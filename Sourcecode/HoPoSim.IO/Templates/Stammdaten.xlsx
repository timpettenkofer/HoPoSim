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dev\HoPoSim\HoPoSim.IO\Templates\"/>
    </mc:Choice>
  </mc:AlternateContent>
  <bookViews>
    <workbookView xWindow="0" yWindow="0" windowWidth="38400" windowHeight="18700"/>
  </bookViews>
  <sheets>
    <sheet name="Daten" sheetId="1" r:id="rId1"/>
    <sheet name="Verteilungen" sheetId="3" r:id="rId2"/>
    <sheet name="Eingabeparameter" sheetId="2" state="hidden" r:id="rId3"/>
    <sheet name="Ausgaben" sheetId="5" state="hidden" r:id="rId4"/>
    <sheet name="Datenaufbereitung" sheetId="4" state="hidden" r:id="rId5"/>
  </sheets>
  <definedNames>
    <definedName name="Abholzigkeit_Mittelwert">Datenaufbereitung!$K$4</definedName>
    <definedName name="Abholzigkeit_Standardabweichung">Datenaufbereitung!$K$5</definedName>
    <definedName name="D_Mitte_mR_Mittelwert">Datenaufbereitung!$D$4</definedName>
    <definedName name="D_Mitte_mR_Standardabweichung">Datenaufbereitung!$D$5</definedName>
    <definedName name="Krümmung_Mittelwert">Datenaufbereitung!$R$4</definedName>
    <definedName name="Krümmung_Standardabweichung">Datenaufbereitung!$R$5</definedName>
    <definedName name="Ovalität_Mittelwert">Datenaufbereitung!$Y$4</definedName>
    <definedName name="Ovalität_Standardabweichung">Datenaufbereitung!$Y$5</definedName>
  </definedNames>
  <calcPr calcId="152511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4" l="1"/>
  <c r="C19" i="4"/>
  <c r="C18" i="4"/>
  <c r="C17" i="4"/>
  <c r="C16" i="4"/>
  <c r="C15" i="4"/>
  <c r="C14" i="4"/>
  <c r="C13" i="4"/>
  <c r="C12" i="4"/>
  <c r="C11" i="4"/>
  <c r="C10" i="4"/>
  <c r="C21" i="4" l="1"/>
  <c r="Y5" i="4" l="1"/>
  <c r="U6" i="1" s="1"/>
  <c r="T6" i="1" s="1"/>
  <c r="Y4" i="4"/>
  <c r="AB10" i="4" l="1"/>
  <c r="AB14" i="4"/>
  <c r="AB18" i="4"/>
  <c r="AB22" i="4"/>
  <c r="AB26" i="4"/>
  <c r="AB30" i="4"/>
  <c r="AB34" i="4"/>
  <c r="AB38" i="4"/>
  <c r="AB42" i="4"/>
  <c r="AB46" i="4"/>
  <c r="AB50" i="4"/>
  <c r="AB54" i="4"/>
  <c r="AB58" i="4"/>
  <c r="AB62" i="4"/>
  <c r="AB66" i="4"/>
  <c r="AB70" i="4"/>
  <c r="AB74" i="4"/>
  <c r="AB78" i="4"/>
  <c r="AB82" i="4"/>
  <c r="AB86" i="4"/>
  <c r="AB90" i="4"/>
  <c r="AB94" i="4"/>
  <c r="AB98" i="4"/>
  <c r="AB102" i="4"/>
  <c r="AB106" i="4"/>
  <c r="AB110" i="4"/>
  <c r="AB114" i="4"/>
  <c r="AB118" i="4"/>
  <c r="AB122" i="4"/>
  <c r="AB126" i="4"/>
  <c r="AB130" i="4"/>
  <c r="AB134" i="4"/>
  <c r="AB138" i="4"/>
  <c r="AB142" i="4"/>
  <c r="AB146" i="4"/>
  <c r="AB150" i="4"/>
  <c r="AB154" i="4"/>
  <c r="AB158" i="4"/>
  <c r="AB162" i="4"/>
  <c r="AB166" i="4"/>
  <c r="AB170" i="4"/>
  <c r="AB174" i="4"/>
  <c r="AB178" i="4"/>
  <c r="AB182" i="4"/>
  <c r="AB186" i="4"/>
  <c r="AB190" i="4"/>
  <c r="AB194" i="4"/>
  <c r="AB198" i="4"/>
  <c r="AB202" i="4"/>
  <c r="AB206" i="4"/>
  <c r="AB210" i="4"/>
  <c r="AB214" i="4"/>
  <c r="AB218" i="4"/>
  <c r="AB222" i="4"/>
  <c r="AB226" i="4"/>
  <c r="AB230" i="4"/>
  <c r="AB234" i="4"/>
  <c r="AB238" i="4"/>
  <c r="AB242" i="4"/>
  <c r="AB246" i="4"/>
  <c r="AB250" i="4"/>
  <c r="AB254" i="4"/>
  <c r="AB258" i="4"/>
  <c r="AB262" i="4"/>
  <c r="AB266" i="4"/>
  <c r="AB270" i="4"/>
  <c r="AB274" i="4"/>
  <c r="AB278" i="4"/>
  <c r="AB282" i="4"/>
  <c r="AB286" i="4"/>
  <c r="AB290" i="4"/>
  <c r="AB294" i="4"/>
  <c r="AB298" i="4"/>
  <c r="AB302" i="4"/>
  <c r="AB306" i="4"/>
  <c r="AB310" i="4"/>
  <c r="AB314" i="4"/>
  <c r="AB318" i="4"/>
  <c r="AB322" i="4"/>
  <c r="AB326" i="4"/>
  <c r="AB330" i="4"/>
  <c r="AB334" i="4"/>
  <c r="AB338" i="4"/>
  <c r="AB342" i="4"/>
  <c r="AB346" i="4"/>
  <c r="AB11" i="4"/>
  <c r="AB15" i="4"/>
  <c r="AB19" i="4"/>
  <c r="AB23" i="4"/>
  <c r="AB27" i="4"/>
  <c r="AB31" i="4"/>
  <c r="AB35" i="4"/>
  <c r="AB39" i="4"/>
  <c r="AB43" i="4"/>
  <c r="AB47" i="4"/>
  <c r="AB51" i="4"/>
  <c r="AB55" i="4"/>
  <c r="AB59" i="4"/>
  <c r="AB63" i="4"/>
  <c r="AB67" i="4"/>
  <c r="AB71" i="4"/>
  <c r="AB75" i="4"/>
  <c r="AB79" i="4"/>
  <c r="AB83" i="4"/>
  <c r="AB87" i="4"/>
  <c r="AB91" i="4"/>
  <c r="AB95" i="4"/>
  <c r="AB99" i="4"/>
  <c r="AB103" i="4"/>
  <c r="AB107" i="4"/>
  <c r="AB111" i="4"/>
  <c r="AB115" i="4"/>
  <c r="AB119" i="4"/>
  <c r="AB123" i="4"/>
  <c r="AB127" i="4"/>
  <c r="AB131" i="4"/>
  <c r="AB135" i="4"/>
  <c r="AB139" i="4"/>
  <c r="AB143" i="4"/>
  <c r="AB147" i="4"/>
  <c r="AB151" i="4"/>
  <c r="AB155" i="4"/>
  <c r="AB159" i="4"/>
  <c r="AB163" i="4"/>
  <c r="AB167" i="4"/>
  <c r="AB171" i="4"/>
  <c r="AB175" i="4"/>
  <c r="AB179" i="4"/>
  <c r="AB183" i="4"/>
  <c r="AB187" i="4"/>
  <c r="AB191" i="4"/>
  <c r="AB195" i="4"/>
  <c r="AB199" i="4"/>
  <c r="AB203" i="4"/>
  <c r="AB207" i="4"/>
  <c r="AB211" i="4"/>
  <c r="AB215" i="4"/>
  <c r="AB219" i="4"/>
  <c r="AB223" i="4"/>
  <c r="AB227" i="4"/>
  <c r="AB231" i="4"/>
  <c r="AB235" i="4"/>
  <c r="AB239" i="4"/>
  <c r="AB243" i="4"/>
  <c r="AB247" i="4"/>
  <c r="AB251" i="4"/>
  <c r="AB255" i="4"/>
  <c r="AB259" i="4"/>
  <c r="AB263" i="4"/>
  <c r="AB267" i="4"/>
  <c r="AB271" i="4"/>
  <c r="AB275" i="4"/>
  <c r="AB279" i="4"/>
  <c r="AB283" i="4"/>
  <c r="AB287" i="4"/>
  <c r="AB291" i="4"/>
  <c r="AB295" i="4"/>
  <c r="AB299" i="4"/>
  <c r="AB303" i="4"/>
  <c r="AB307" i="4"/>
  <c r="AB311" i="4"/>
  <c r="AB315" i="4"/>
  <c r="AB319" i="4"/>
  <c r="AB12" i="4"/>
  <c r="AB20" i="4"/>
  <c r="AB28" i="4"/>
  <c r="AB36" i="4"/>
  <c r="AB44" i="4"/>
  <c r="AB52" i="4"/>
  <c r="AB60" i="4"/>
  <c r="AB68" i="4"/>
  <c r="AB76" i="4"/>
  <c r="AB84" i="4"/>
  <c r="AB92" i="4"/>
  <c r="AB100" i="4"/>
  <c r="AB108" i="4"/>
  <c r="AB116" i="4"/>
  <c r="AB124" i="4"/>
  <c r="AB132" i="4"/>
  <c r="AB140" i="4"/>
  <c r="AB148" i="4"/>
  <c r="AB156" i="4"/>
  <c r="AB164" i="4"/>
  <c r="AB172" i="4"/>
  <c r="AB180" i="4"/>
  <c r="AB188" i="4"/>
  <c r="AB196" i="4"/>
  <c r="AB204" i="4"/>
  <c r="AB212" i="4"/>
  <c r="AB220" i="4"/>
  <c r="AB228" i="4"/>
  <c r="AB236" i="4"/>
  <c r="AB244" i="4"/>
  <c r="AB252" i="4"/>
  <c r="AB260" i="4"/>
  <c r="AB268" i="4"/>
  <c r="AB276" i="4"/>
  <c r="AB284" i="4"/>
  <c r="AB292" i="4"/>
  <c r="AB300" i="4"/>
  <c r="AB308" i="4"/>
  <c r="AB316" i="4"/>
  <c r="AB323" i="4"/>
  <c r="AB328" i="4"/>
  <c r="AB333" i="4"/>
  <c r="AB339" i="4"/>
  <c r="AB344" i="4"/>
  <c r="AB349" i="4"/>
  <c r="AB353" i="4"/>
  <c r="AB357" i="4"/>
  <c r="AB361" i="4"/>
  <c r="AB365" i="4"/>
  <c r="AB369" i="4"/>
  <c r="AB373" i="4"/>
  <c r="AB377" i="4"/>
  <c r="AB381" i="4"/>
  <c r="AB385" i="4"/>
  <c r="AB389" i="4"/>
  <c r="AB393" i="4"/>
  <c r="AB397" i="4"/>
  <c r="AB401" i="4"/>
  <c r="AB405" i="4"/>
  <c r="AB409" i="4"/>
  <c r="AB413" i="4"/>
  <c r="AB417" i="4"/>
  <c r="AB421" i="4"/>
  <c r="AB425" i="4"/>
  <c r="AB429" i="4"/>
  <c r="AB433" i="4"/>
  <c r="AB437" i="4"/>
  <c r="AB441" i="4"/>
  <c r="AB445" i="4"/>
  <c r="AB449" i="4"/>
  <c r="AB453" i="4"/>
  <c r="AB457" i="4"/>
  <c r="AB461" i="4"/>
  <c r="AB465" i="4"/>
  <c r="AB469" i="4"/>
  <c r="AB473" i="4"/>
  <c r="AB477" i="4"/>
  <c r="AB481" i="4"/>
  <c r="AB485" i="4"/>
  <c r="AB489" i="4"/>
  <c r="AB493" i="4"/>
  <c r="AB497" i="4"/>
  <c r="AB501" i="4"/>
  <c r="AB505" i="4"/>
  <c r="AB509" i="4"/>
  <c r="AB513" i="4"/>
  <c r="AB13" i="4"/>
  <c r="AB21" i="4"/>
  <c r="AB29" i="4"/>
  <c r="AB37" i="4"/>
  <c r="AB45" i="4"/>
  <c r="AB53" i="4"/>
  <c r="AB61" i="4"/>
  <c r="AB69" i="4"/>
  <c r="AB77" i="4"/>
  <c r="AB85" i="4"/>
  <c r="AB93" i="4"/>
  <c r="AB101" i="4"/>
  <c r="AB109" i="4"/>
  <c r="AB117" i="4"/>
  <c r="AB125" i="4"/>
  <c r="AB133" i="4"/>
  <c r="AB141" i="4"/>
  <c r="AB149" i="4"/>
  <c r="AB157" i="4"/>
  <c r="AB165" i="4"/>
  <c r="AB173" i="4"/>
  <c r="AB181" i="4"/>
  <c r="AB189" i="4"/>
  <c r="AB197" i="4"/>
  <c r="AB205" i="4"/>
  <c r="AB213" i="4"/>
  <c r="AB221" i="4"/>
  <c r="AB229" i="4"/>
  <c r="AB237" i="4"/>
  <c r="AB245" i="4"/>
  <c r="AB253" i="4"/>
  <c r="AB261" i="4"/>
  <c r="AB269" i="4"/>
  <c r="AB277" i="4"/>
  <c r="AB285" i="4"/>
  <c r="AB293" i="4"/>
  <c r="AB301" i="4"/>
  <c r="AB309" i="4"/>
  <c r="AB317" i="4"/>
  <c r="AB324" i="4"/>
  <c r="AB329" i="4"/>
  <c r="AB335" i="4"/>
  <c r="AB340" i="4"/>
  <c r="AB345" i="4"/>
  <c r="AB350" i="4"/>
  <c r="AB354" i="4"/>
  <c r="AB358" i="4"/>
  <c r="AB362" i="4"/>
  <c r="AB366" i="4"/>
  <c r="AB370" i="4"/>
  <c r="AB374" i="4"/>
  <c r="AB378" i="4"/>
  <c r="AB382" i="4"/>
  <c r="AB386" i="4"/>
  <c r="AB390" i="4"/>
  <c r="AB394" i="4"/>
  <c r="AB398" i="4"/>
  <c r="AB402" i="4"/>
  <c r="AB406" i="4"/>
  <c r="AB410" i="4"/>
  <c r="AB414" i="4"/>
  <c r="AB418" i="4"/>
  <c r="AB422" i="4"/>
  <c r="AB426" i="4"/>
  <c r="AB430" i="4"/>
  <c r="AB434" i="4"/>
  <c r="AB438" i="4"/>
  <c r="AB442" i="4"/>
  <c r="AB446" i="4"/>
  <c r="AB450" i="4"/>
  <c r="AB454" i="4"/>
  <c r="AB458" i="4"/>
  <c r="AB462" i="4"/>
  <c r="AB466" i="4"/>
  <c r="AB470" i="4"/>
  <c r="AB474" i="4"/>
  <c r="AB478" i="4"/>
  <c r="AB482" i="4"/>
  <c r="AB486" i="4"/>
  <c r="AB490" i="4"/>
  <c r="AB494" i="4"/>
  <c r="AB498" i="4"/>
  <c r="AB502" i="4"/>
  <c r="AB16" i="4"/>
  <c r="AB24" i="4"/>
  <c r="AB32" i="4"/>
  <c r="AB40" i="4"/>
  <c r="AB48" i="4"/>
  <c r="AB56" i="4"/>
  <c r="AB64" i="4"/>
  <c r="AB72" i="4"/>
  <c r="AB80" i="4"/>
  <c r="AB88" i="4"/>
  <c r="AB96" i="4"/>
  <c r="AB104" i="4"/>
  <c r="AB112" i="4"/>
  <c r="AB120" i="4"/>
  <c r="AB128" i="4"/>
  <c r="AB136" i="4"/>
  <c r="AB144" i="4"/>
  <c r="AB152" i="4"/>
  <c r="AB160" i="4"/>
  <c r="AB168" i="4"/>
  <c r="AB176" i="4"/>
  <c r="AB184" i="4"/>
  <c r="AB192" i="4"/>
  <c r="AB200" i="4"/>
  <c r="AB208" i="4"/>
  <c r="AB216" i="4"/>
  <c r="AB224" i="4"/>
  <c r="AB232" i="4"/>
  <c r="AB240" i="4"/>
  <c r="AB248" i="4"/>
  <c r="AB256" i="4"/>
  <c r="AB264" i="4"/>
  <c r="AB272" i="4"/>
  <c r="AB280" i="4"/>
  <c r="AB288" i="4"/>
  <c r="AB296" i="4"/>
  <c r="AB304" i="4"/>
  <c r="AB312" i="4"/>
  <c r="AB320" i="4"/>
  <c r="AB325" i="4"/>
  <c r="AB331" i="4"/>
  <c r="AB336" i="4"/>
  <c r="AB341" i="4"/>
  <c r="AB347" i="4"/>
  <c r="AB351" i="4"/>
  <c r="AB355" i="4"/>
  <c r="AB359" i="4"/>
  <c r="AB363" i="4"/>
  <c r="AB367" i="4"/>
  <c r="AB371" i="4"/>
  <c r="AB375" i="4"/>
  <c r="AB379" i="4"/>
  <c r="AB383" i="4"/>
  <c r="AB387" i="4"/>
  <c r="AB391" i="4"/>
  <c r="AB395" i="4"/>
  <c r="AB399" i="4"/>
  <c r="AB403" i="4"/>
  <c r="AB407" i="4"/>
  <c r="AB411" i="4"/>
  <c r="AB415" i="4"/>
  <c r="AB419" i="4"/>
  <c r="AB423" i="4"/>
  <c r="AB427" i="4"/>
  <c r="AB431" i="4"/>
  <c r="AB435" i="4"/>
  <c r="AB439" i="4"/>
  <c r="AB443" i="4"/>
  <c r="AB447" i="4"/>
  <c r="AB451" i="4"/>
  <c r="AB455" i="4"/>
  <c r="AB459" i="4"/>
  <c r="AB463" i="4"/>
  <c r="AB467" i="4"/>
  <c r="AB471" i="4"/>
  <c r="AB475" i="4"/>
  <c r="AB479" i="4"/>
  <c r="AB483" i="4"/>
  <c r="AB487" i="4"/>
  <c r="AB491" i="4"/>
  <c r="AB495" i="4"/>
  <c r="AB499" i="4"/>
  <c r="AB503" i="4"/>
  <c r="AB507" i="4"/>
  <c r="AB511" i="4"/>
  <c r="AB17" i="4"/>
  <c r="AB49" i="4"/>
  <c r="AB81" i="4"/>
  <c r="AB113" i="4"/>
  <c r="AB145" i="4"/>
  <c r="AB177" i="4"/>
  <c r="AB209" i="4"/>
  <c r="AB241" i="4"/>
  <c r="AB273" i="4"/>
  <c r="AB305" i="4"/>
  <c r="AB332" i="4"/>
  <c r="AB352" i="4"/>
  <c r="AB368" i="4"/>
  <c r="AB384" i="4"/>
  <c r="AB400" i="4"/>
  <c r="AB416" i="4"/>
  <c r="AB432" i="4"/>
  <c r="AB448" i="4"/>
  <c r="AB464" i="4"/>
  <c r="AB480" i="4"/>
  <c r="AB496" i="4"/>
  <c r="AB508" i="4"/>
  <c r="AB515" i="4"/>
  <c r="AB519" i="4"/>
  <c r="AB523" i="4"/>
  <c r="AB527" i="4"/>
  <c r="AB531" i="4"/>
  <c r="AB535" i="4"/>
  <c r="AB539" i="4"/>
  <c r="AB543" i="4"/>
  <c r="AB547" i="4"/>
  <c r="AB551" i="4"/>
  <c r="AB555" i="4"/>
  <c r="AB559" i="4"/>
  <c r="AB563" i="4"/>
  <c r="AB567" i="4"/>
  <c r="AB571" i="4"/>
  <c r="AB575" i="4"/>
  <c r="AB579" i="4"/>
  <c r="AB583" i="4"/>
  <c r="AB587" i="4"/>
  <c r="AB591" i="4"/>
  <c r="AB595" i="4"/>
  <c r="AB599" i="4"/>
  <c r="AB603" i="4"/>
  <c r="AB607" i="4"/>
  <c r="AB611" i="4"/>
  <c r="AB615" i="4"/>
  <c r="AB619" i="4"/>
  <c r="AB623" i="4"/>
  <c r="AB627" i="4"/>
  <c r="AB631" i="4"/>
  <c r="AB635" i="4"/>
  <c r="AB639" i="4"/>
  <c r="AB643" i="4"/>
  <c r="AB647" i="4"/>
  <c r="AB651" i="4"/>
  <c r="AB655" i="4"/>
  <c r="AB659" i="4"/>
  <c r="AB663" i="4"/>
  <c r="AB667" i="4"/>
  <c r="AB671" i="4"/>
  <c r="AB675" i="4"/>
  <c r="AB679" i="4"/>
  <c r="AB683" i="4"/>
  <c r="AB687" i="4"/>
  <c r="AB691" i="4"/>
  <c r="AB695" i="4"/>
  <c r="AB699" i="4"/>
  <c r="AB703" i="4"/>
  <c r="AB707" i="4"/>
  <c r="AB711" i="4"/>
  <c r="AB715" i="4"/>
  <c r="AB719" i="4"/>
  <c r="AB723" i="4"/>
  <c r="AB727" i="4"/>
  <c r="AB731" i="4"/>
  <c r="AB735" i="4"/>
  <c r="AB739" i="4"/>
  <c r="AB743" i="4"/>
  <c r="AB747" i="4"/>
  <c r="AB751" i="4"/>
  <c r="AB755" i="4"/>
  <c r="AB759" i="4"/>
  <c r="AB763" i="4"/>
  <c r="AB767" i="4"/>
  <c r="AB771" i="4"/>
  <c r="AB775" i="4"/>
  <c r="AB779" i="4"/>
  <c r="AB783" i="4"/>
  <c r="AB787" i="4"/>
  <c r="AB25" i="4"/>
  <c r="AB57" i="4"/>
  <c r="AB89" i="4"/>
  <c r="AB121" i="4"/>
  <c r="AB153" i="4"/>
  <c r="AB185" i="4"/>
  <c r="AB217" i="4"/>
  <c r="AB249" i="4"/>
  <c r="AB281" i="4"/>
  <c r="AB313" i="4"/>
  <c r="AB337" i="4"/>
  <c r="AB356" i="4"/>
  <c r="AB372" i="4"/>
  <c r="AB388" i="4"/>
  <c r="AB404" i="4"/>
  <c r="AB420" i="4"/>
  <c r="AB436" i="4"/>
  <c r="AB452" i="4"/>
  <c r="AB468" i="4"/>
  <c r="AB484" i="4"/>
  <c r="AB500" i="4"/>
  <c r="AB510" i="4"/>
  <c r="AB516" i="4"/>
  <c r="AB520" i="4"/>
  <c r="AB524" i="4"/>
  <c r="AB528" i="4"/>
  <c r="AB532" i="4"/>
  <c r="AB536" i="4"/>
  <c r="AB540" i="4"/>
  <c r="AB544" i="4"/>
  <c r="AB548" i="4"/>
  <c r="AB552" i="4"/>
  <c r="AB556" i="4"/>
  <c r="AB560" i="4"/>
  <c r="AB564" i="4"/>
  <c r="AB568" i="4"/>
  <c r="AB572" i="4"/>
  <c r="AB576" i="4"/>
  <c r="AB580" i="4"/>
  <c r="AB584" i="4"/>
  <c r="AB588" i="4"/>
  <c r="AB592" i="4"/>
  <c r="AB596" i="4"/>
  <c r="AB600" i="4"/>
  <c r="AB604" i="4"/>
  <c r="AB608" i="4"/>
  <c r="AB612" i="4"/>
  <c r="AB616" i="4"/>
  <c r="AB620" i="4"/>
  <c r="AB624" i="4"/>
  <c r="AB628" i="4"/>
  <c r="AB632" i="4"/>
  <c r="AB636" i="4"/>
  <c r="AB640" i="4"/>
  <c r="AB644" i="4"/>
  <c r="AB648" i="4"/>
  <c r="AB652" i="4"/>
  <c r="AB656" i="4"/>
  <c r="AB660" i="4"/>
  <c r="AB664" i="4"/>
  <c r="AB668" i="4"/>
  <c r="AB672" i="4"/>
  <c r="AB676" i="4"/>
  <c r="AB680" i="4"/>
  <c r="AB684" i="4"/>
  <c r="AB688" i="4"/>
  <c r="AB692" i="4"/>
  <c r="AB696" i="4"/>
  <c r="AB700" i="4"/>
  <c r="AB704" i="4"/>
  <c r="AB708" i="4"/>
  <c r="AB712" i="4"/>
  <c r="AB716" i="4"/>
  <c r="AB720" i="4"/>
  <c r="AB724" i="4"/>
  <c r="AB728" i="4"/>
  <c r="AB732" i="4"/>
  <c r="AB736" i="4"/>
  <c r="AB740" i="4"/>
  <c r="AB744" i="4"/>
  <c r="AB748" i="4"/>
  <c r="AB752" i="4"/>
  <c r="AB756" i="4"/>
  <c r="AB760" i="4"/>
  <c r="AB764" i="4"/>
  <c r="AB33" i="4"/>
  <c r="AB65" i="4"/>
  <c r="AB97" i="4"/>
  <c r="AB129" i="4"/>
  <c r="AB161" i="4"/>
  <c r="AB193" i="4"/>
  <c r="AB225" i="4"/>
  <c r="AB257" i="4"/>
  <c r="AB289" i="4"/>
  <c r="AB321" i="4"/>
  <c r="AB343" i="4"/>
  <c r="AB360" i="4"/>
  <c r="AB376" i="4"/>
  <c r="AB392" i="4"/>
  <c r="AB408" i="4"/>
  <c r="AB424" i="4"/>
  <c r="AB440" i="4"/>
  <c r="AB456" i="4"/>
  <c r="AB472" i="4"/>
  <c r="AB488" i="4"/>
  <c r="AB504" i="4"/>
  <c r="AB512" i="4"/>
  <c r="AB517" i="4"/>
  <c r="AB521" i="4"/>
  <c r="AB525" i="4"/>
  <c r="AB529" i="4"/>
  <c r="AB533" i="4"/>
  <c r="AB537" i="4"/>
  <c r="AB541" i="4"/>
  <c r="AB545" i="4"/>
  <c r="AB549" i="4"/>
  <c r="AB553" i="4"/>
  <c r="AB557" i="4"/>
  <c r="AB561" i="4"/>
  <c r="AB565" i="4"/>
  <c r="AB569" i="4"/>
  <c r="AB573" i="4"/>
  <c r="AB577" i="4"/>
  <c r="AB581" i="4"/>
  <c r="AB585" i="4"/>
  <c r="AB589" i="4"/>
  <c r="AB593" i="4"/>
  <c r="AB597" i="4"/>
  <c r="AB601" i="4"/>
  <c r="AB605" i="4"/>
  <c r="AB609" i="4"/>
  <c r="AB613" i="4"/>
  <c r="AB617" i="4"/>
  <c r="AB621" i="4"/>
  <c r="AB625" i="4"/>
  <c r="AB629" i="4"/>
  <c r="AB633" i="4"/>
  <c r="AB637" i="4"/>
  <c r="AB641" i="4"/>
  <c r="AB645" i="4"/>
  <c r="AB649" i="4"/>
  <c r="AB653" i="4"/>
  <c r="AB657" i="4"/>
  <c r="AB661" i="4"/>
  <c r="AB665" i="4"/>
  <c r="AB669" i="4"/>
  <c r="AB673" i="4"/>
  <c r="AB677" i="4"/>
  <c r="AB681" i="4"/>
  <c r="AB685" i="4"/>
  <c r="AB689" i="4"/>
  <c r="AB693" i="4"/>
  <c r="AB697" i="4"/>
  <c r="AB701" i="4"/>
  <c r="AB705" i="4"/>
  <c r="AB709" i="4"/>
  <c r="AB713" i="4"/>
  <c r="AB717" i="4"/>
  <c r="AB721" i="4"/>
  <c r="AB725" i="4"/>
  <c r="AB729" i="4"/>
  <c r="AB733" i="4"/>
  <c r="AB737" i="4"/>
  <c r="AB741" i="4"/>
  <c r="AB745" i="4"/>
  <c r="AB749" i="4"/>
  <c r="AB753" i="4"/>
  <c r="AB757" i="4"/>
  <c r="AB761" i="4"/>
  <c r="AB765" i="4"/>
  <c r="AB769" i="4"/>
  <c r="AB773" i="4"/>
  <c r="AB777" i="4"/>
  <c r="AB781" i="4"/>
  <c r="AB785" i="4"/>
  <c r="AB789" i="4"/>
  <c r="AB41" i="4"/>
  <c r="AB169" i="4"/>
  <c r="AB297" i="4"/>
  <c r="AB380" i="4"/>
  <c r="AB444" i="4"/>
  <c r="AB506" i="4"/>
  <c r="AB526" i="4"/>
  <c r="AB542" i="4"/>
  <c r="AB558" i="4"/>
  <c r="AB574" i="4"/>
  <c r="AB590" i="4"/>
  <c r="AB606" i="4"/>
  <c r="AB622" i="4"/>
  <c r="AB638" i="4"/>
  <c r="AB654" i="4"/>
  <c r="AB670" i="4"/>
  <c r="AB686" i="4"/>
  <c r="AB702" i="4"/>
  <c r="AB718" i="4"/>
  <c r="AB734" i="4"/>
  <c r="AB750" i="4"/>
  <c r="AB766" i="4"/>
  <c r="AB774" i="4"/>
  <c r="AB782" i="4"/>
  <c r="AB790" i="4"/>
  <c r="AB794" i="4"/>
  <c r="AB798" i="4"/>
  <c r="AB802" i="4"/>
  <c r="AB806" i="4"/>
  <c r="AB810" i="4"/>
  <c r="AB814" i="4"/>
  <c r="AB818" i="4"/>
  <c r="AB822" i="4"/>
  <c r="AB826" i="4"/>
  <c r="AB830" i="4"/>
  <c r="AB834" i="4"/>
  <c r="AB838" i="4"/>
  <c r="AB842" i="4"/>
  <c r="AB846" i="4"/>
  <c r="AB850" i="4"/>
  <c r="AB854" i="4"/>
  <c r="AB858" i="4"/>
  <c r="AB862" i="4"/>
  <c r="AB866" i="4"/>
  <c r="AB870" i="4"/>
  <c r="AB874" i="4"/>
  <c r="AB878" i="4"/>
  <c r="AB882" i="4"/>
  <c r="AB886" i="4"/>
  <c r="AB890" i="4"/>
  <c r="AB894" i="4"/>
  <c r="AB898" i="4"/>
  <c r="AB902" i="4"/>
  <c r="AB906" i="4"/>
  <c r="AB910" i="4"/>
  <c r="AB914" i="4"/>
  <c r="AB918" i="4"/>
  <c r="AB922" i="4"/>
  <c r="AB926" i="4"/>
  <c r="AB930" i="4"/>
  <c r="AB934" i="4"/>
  <c r="AB938" i="4"/>
  <c r="AB942" i="4"/>
  <c r="AB946" i="4"/>
  <c r="AB950" i="4"/>
  <c r="AB954" i="4"/>
  <c r="AB958" i="4"/>
  <c r="AB962" i="4"/>
  <c r="AB966" i="4"/>
  <c r="AB970" i="4"/>
  <c r="AB974" i="4"/>
  <c r="AB978" i="4"/>
  <c r="AB982" i="4"/>
  <c r="AB986" i="4"/>
  <c r="AB990" i="4"/>
  <c r="AB994" i="4"/>
  <c r="AB998" i="4"/>
  <c r="AB1002" i="4"/>
  <c r="AB1006" i="4"/>
  <c r="AB1010" i="4"/>
  <c r="AB1014" i="4"/>
  <c r="AB1018" i="4"/>
  <c r="AB1022" i="4"/>
  <c r="AB1026" i="4"/>
  <c r="AB1030" i="4"/>
  <c r="AB1034" i="4"/>
  <c r="AB1038" i="4"/>
  <c r="AB1042" i="4"/>
  <c r="AB1046" i="4"/>
  <c r="AB1050" i="4"/>
  <c r="AB1054" i="4"/>
  <c r="AB1058" i="4"/>
  <c r="AB1062" i="4"/>
  <c r="AB1066" i="4"/>
  <c r="AB1070" i="4"/>
  <c r="AB1074" i="4"/>
  <c r="AB1078" i="4"/>
  <c r="AB1082" i="4"/>
  <c r="AB1086" i="4"/>
  <c r="AB1090" i="4"/>
  <c r="AB1094" i="4"/>
  <c r="AB1098" i="4"/>
  <c r="AB1102" i="4"/>
  <c r="AB1106" i="4"/>
  <c r="AB1110" i="4"/>
  <c r="AB1114" i="4"/>
  <c r="AB1118" i="4"/>
  <c r="AB1122" i="4"/>
  <c r="AB1126" i="4"/>
  <c r="AB1130" i="4"/>
  <c r="AB1134" i="4"/>
  <c r="AB1138" i="4"/>
  <c r="AB1142" i="4"/>
  <c r="AB1146" i="4"/>
  <c r="AB1150" i="4"/>
  <c r="AB1154" i="4"/>
  <c r="AB1158" i="4"/>
  <c r="AB1162" i="4"/>
  <c r="AB1166" i="4"/>
  <c r="AB1170" i="4"/>
  <c r="AB1174" i="4"/>
  <c r="AB1178" i="4"/>
  <c r="AB1182" i="4"/>
  <c r="AB1186" i="4"/>
  <c r="AB1190" i="4"/>
  <c r="AB1194" i="4"/>
  <c r="AB1198" i="4"/>
  <c r="AB1202" i="4"/>
  <c r="AB1206" i="4"/>
  <c r="AB1210" i="4"/>
  <c r="AB1214" i="4"/>
  <c r="AB1218" i="4"/>
  <c r="AB1222" i="4"/>
  <c r="AB1226" i="4"/>
  <c r="AB1230" i="4"/>
  <c r="AB1234" i="4"/>
  <c r="AB1238" i="4"/>
  <c r="AB1242" i="4"/>
  <c r="AB1246" i="4"/>
  <c r="AB1250" i="4"/>
  <c r="AB1254" i="4"/>
  <c r="AB1258" i="4"/>
  <c r="AB1262" i="4"/>
  <c r="AB1266" i="4"/>
  <c r="AB1270" i="4"/>
  <c r="AB1274" i="4"/>
  <c r="AB1278" i="4"/>
  <c r="AB1282" i="4"/>
  <c r="AB1286" i="4"/>
  <c r="AB1290" i="4"/>
  <c r="AB1294" i="4"/>
  <c r="AB1298" i="4"/>
  <c r="AB1302" i="4"/>
  <c r="AB1306" i="4"/>
  <c r="AB1310" i="4"/>
  <c r="AB1314" i="4"/>
  <c r="AB1318" i="4"/>
  <c r="AB1322" i="4"/>
  <c r="AB1326" i="4"/>
  <c r="AB1330" i="4"/>
  <c r="AB1334" i="4"/>
  <c r="AB1338" i="4"/>
  <c r="AB1342" i="4"/>
  <c r="AB1346" i="4"/>
  <c r="AB1350" i="4"/>
  <c r="AB1354" i="4"/>
  <c r="AB1358" i="4"/>
  <c r="AB1362" i="4"/>
  <c r="AB1366" i="4"/>
  <c r="AB1370" i="4"/>
  <c r="AB73" i="4"/>
  <c r="AB201" i="4"/>
  <c r="AB327" i="4"/>
  <c r="AB396" i="4"/>
  <c r="AB460" i="4"/>
  <c r="AB514" i="4"/>
  <c r="AB530" i="4"/>
  <c r="AB546" i="4"/>
  <c r="AB562" i="4"/>
  <c r="AB578" i="4"/>
  <c r="AB594" i="4"/>
  <c r="AB610" i="4"/>
  <c r="AB626" i="4"/>
  <c r="AB642" i="4"/>
  <c r="AB658" i="4"/>
  <c r="AB674" i="4"/>
  <c r="AB690" i="4"/>
  <c r="AB706" i="4"/>
  <c r="AB722" i="4"/>
  <c r="AB738" i="4"/>
  <c r="AB754" i="4"/>
  <c r="AB768" i="4"/>
  <c r="AB776" i="4"/>
  <c r="AB784" i="4"/>
  <c r="AB791" i="4"/>
  <c r="AB795" i="4"/>
  <c r="AB799" i="4"/>
  <c r="AB803" i="4"/>
  <c r="AB807" i="4"/>
  <c r="AB811" i="4"/>
  <c r="AB815" i="4"/>
  <c r="AB819" i="4"/>
  <c r="AB823" i="4"/>
  <c r="AB827" i="4"/>
  <c r="AB831" i="4"/>
  <c r="AB835" i="4"/>
  <c r="AB839" i="4"/>
  <c r="AB843" i="4"/>
  <c r="AB847" i="4"/>
  <c r="AB851" i="4"/>
  <c r="AB855" i="4"/>
  <c r="AB859" i="4"/>
  <c r="AB863" i="4"/>
  <c r="AB867" i="4"/>
  <c r="AB871" i="4"/>
  <c r="AB875" i="4"/>
  <c r="AB879" i="4"/>
  <c r="AB883" i="4"/>
  <c r="AB887" i="4"/>
  <c r="AB891" i="4"/>
  <c r="AB895" i="4"/>
  <c r="AB899" i="4"/>
  <c r="AB903" i="4"/>
  <c r="AB907" i="4"/>
  <c r="AB911" i="4"/>
  <c r="AB915" i="4"/>
  <c r="AB919" i="4"/>
  <c r="AB923" i="4"/>
  <c r="AB927" i="4"/>
  <c r="AB931" i="4"/>
  <c r="AB935" i="4"/>
  <c r="AB939" i="4"/>
  <c r="AB943" i="4"/>
  <c r="AB947" i="4"/>
  <c r="AB951" i="4"/>
  <c r="AB955" i="4"/>
  <c r="AB959" i="4"/>
  <c r="AB963" i="4"/>
  <c r="AB967" i="4"/>
  <c r="AB971" i="4"/>
  <c r="AB975" i="4"/>
  <c r="AB979" i="4"/>
  <c r="AB983" i="4"/>
  <c r="AB987" i="4"/>
  <c r="AB991" i="4"/>
  <c r="AB995" i="4"/>
  <c r="AB999" i="4"/>
  <c r="AB1003" i="4"/>
  <c r="AB1007" i="4"/>
  <c r="AB1011" i="4"/>
  <c r="AB1015" i="4"/>
  <c r="AB1019" i="4"/>
  <c r="AB1023" i="4"/>
  <c r="AB1027" i="4"/>
  <c r="AB1031" i="4"/>
  <c r="AB1035" i="4"/>
  <c r="AB1039" i="4"/>
  <c r="AB1043" i="4"/>
  <c r="AB1047" i="4"/>
  <c r="AB1051" i="4"/>
  <c r="AB1055" i="4"/>
  <c r="AB1059" i="4"/>
  <c r="AB1063" i="4"/>
  <c r="AB1067" i="4"/>
  <c r="AB1071" i="4"/>
  <c r="AB1075" i="4"/>
  <c r="AB1079" i="4"/>
  <c r="AB1083" i="4"/>
  <c r="AB1087" i="4"/>
  <c r="AB1091" i="4"/>
  <c r="AB1095" i="4"/>
  <c r="AB1099" i="4"/>
  <c r="AB1103" i="4"/>
  <c r="AB1107" i="4"/>
  <c r="AB1111" i="4"/>
  <c r="AB1115" i="4"/>
  <c r="AB1119" i="4"/>
  <c r="AB1123" i="4"/>
  <c r="AB1127" i="4"/>
  <c r="AB1131" i="4"/>
  <c r="AB1135" i="4"/>
  <c r="AB1139" i="4"/>
  <c r="AB1143" i="4"/>
  <c r="AB1147" i="4"/>
  <c r="AB1151" i="4"/>
  <c r="AB1155" i="4"/>
  <c r="AB1159" i="4"/>
  <c r="AB1163" i="4"/>
  <c r="AB1167" i="4"/>
  <c r="AB1171" i="4"/>
  <c r="AB1175" i="4"/>
  <c r="AB1179" i="4"/>
  <c r="AB1183" i="4"/>
  <c r="AB1187" i="4"/>
  <c r="AB1191" i="4"/>
  <c r="AB1195" i="4"/>
  <c r="AB1199" i="4"/>
  <c r="AB1203" i="4"/>
  <c r="AB1207" i="4"/>
  <c r="AB1211" i="4"/>
  <c r="AB1215" i="4"/>
  <c r="AB1219" i="4"/>
  <c r="AB1223" i="4"/>
  <c r="AB1227" i="4"/>
  <c r="AB1231" i="4"/>
  <c r="AB1235" i="4"/>
  <c r="AB1239" i="4"/>
  <c r="AB1243" i="4"/>
  <c r="AB1247" i="4"/>
  <c r="AB1251" i="4"/>
  <c r="AB1255" i="4"/>
  <c r="AB1259" i="4"/>
  <c r="AB1263" i="4"/>
  <c r="AB1267" i="4"/>
  <c r="AB1271" i="4"/>
  <c r="AB1275" i="4"/>
  <c r="AB1279" i="4"/>
  <c r="AB1283" i="4"/>
  <c r="AB1287" i="4"/>
  <c r="AB1291" i="4"/>
  <c r="AB1295" i="4"/>
  <c r="AB1299" i="4"/>
  <c r="AB1303" i="4"/>
  <c r="AB1307" i="4"/>
  <c r="AB1311" i="4"/>
  <c r="AB1315" i="4"/>
  <c r="AB1319" i="4"/>
  <c r="AB1323" i="4"/>
  <c r="AB1327" i="4"/>
  <c r="AB1331" i="4"/>
  <c r="AB1335" i="4"/>
  <c r="AB1339" i="4"/>
  <c r="AB1343" i="4"/>
  <c r="AB1347" i="4"/>
  <c r="AB1351" i="4"/>
  <c r="AB1355" i="4"/>
  <c r="AB105" i="4"/>
  <c r="AB233" i="4"/>
  <c r="AB348" i="4"/>
  <c r="AB412" i="4"/>
  <c r="AB476" i="4"/>
  <c r="AB518" i="4"/>
  <c r="AB534" i="4"/>
  <c r="AB550" i="4"/>
  <c r="AB566" i="4"/>
  <c r="AB582" i="4"/>
  <c r="AB598" i="4"/>
  <c r="AB614" i="4"/>
  <c r="AB630" i="4"/>
  <c r="AB646" i="4"/>
  <c r="AB662" i="4"/>
  <c r="AB678" i="4"/>
  <c r="AB694" i="4"/>
  <c r="AB710" i="4"/>
  <c r="AB726" i="4"/>
  <c r="AB742" i="4"/>
  <c r="AB758" i="4"/>
  <c r="AB770" i="4"/>
  <c r="AB778" i="4"/>
  <c r="AB786" i="4"/>
  <c r="AB792" i="4"/>
  <c r="AB796" i="4"/>
  <c r="AB800" i="4"/>
  <c r="AB804" i="4"/>
  <c r="AB808" i="4"/>
  <c r="AB812" i="4"/>
  <c r="AB816" i="4"/>
  <c r="AB820" i="4"/>
  <c r="AB824" i="4"/>
  <c r="AB828" i="4"/>
  <c r="AB832" i="4"/>
  <c r="AB836" i="4"/>
  <c r="AB840" i="4"/>
  <c r="AB844" i="4"/>
  <c r="AB848" i="4"/>
  <c r="AB852" i="4"/>
  <c r="AB856" i="4"/>
  <c r="AB860" i="4"/>
  <c r="AB864" i="4"/>
  <c r="AB868" i="4"/>
  <c r="AB872" i="4"/>
  <c r="AB876" i="4"/>
  <c r="AB880" i="4"/>
  <c r="AB884" i="4"/>
  <c r="AB888" i="4"/>
  <c r="AB892" i="4"/>
  <c r="AB896" i="4"/>
  <c r="AB900" i="4"/>
  <c r="AB904" i="4"/>
  <c r="AB908" i="4"/>
  <c r="AB912" i="4"/>
  <c r="AB916" i="4"/>
  <c r="AB920" i="4"/>
  <c r="AB924" i="4"/>
  <c r="AB928" i="4"/>
  <c r="AB932" i="4"/>
  <c r="AB936" i="4"/>
  <c r="AB940" i="4"/>
  <c r="AB944" i="4"/>
  <c r="AB948" i="4"/>
  <c r="AB952" i="4"/>
  <c r="AB956" i="4"/>
  <c r="AB960" i="4"/>
  <c r="AB964" i="4"/>
  <c r="AB968" i="4"/>
  <c r="AB972" i="4"/>
  <c r="AB976" i="4"/>
  <c r="AB980" i="4"/>
  <c r="AB984" i="4"/>
  <c r="AB988" i="4"/>
  <c r="AB992" i="4"/>
  <c r="AB996" i="4"/>
  <c r="AB1000" i="4"/>
  <c r="AB1004" i="4"/>
  <c r="AB1008" i="4"/>
  <c r="AB1012" i="4"/>
  <c r="AB1016" i="4"/>
  <c r="AB1020" i="4"/>
  <c r="AB1024" i="4"/>
  <c r="AB1028" i="4"/>
  <c r="AB1032" i="4"/>
  <c r="AB1036" i="4"/>
  <c r="AB1040" i="4"/>
  <c r="AB1044" i="4"/>
  <c r="AB1048" i="4"/>
  <c r="AB1052" i="4"/>
  <c r="AB1056" i="4"/>
  <c r="AB1060" i="4"/>
  <c r="AB1064" i="4"/>
  <c r="AB1068" i="4"/>
  <c r="AB1072" i="4"/>
  <c r="AB1076" i="4"/>
  <c r="AB1080" i="4"/>
  <c r="AB1084" i="4"/>
  <c r="AB1088" i="4"/>
  <c r="AB1092" i="4"/>
  <c r="AB1096" i="4"/>
  <c r="AB1100" i="4"/>
  <c r="AB1104" i="4"/>
  <c r="AB1108" i="4"/>
  <c r="AB1112" i="4"/>
  <c r="AB1116" i="4"/>
  <c r="AB1120" i="4"/>
  <c r="AB1124" i="4"/>
  <c r="AB1128" i="4"/>
  <c r="AB1132" i="4"/>
  <c r="AB1136" i="4"/>
  <c r="AB1140" i="4"/>
  <c r="AB1144" i="4"/>
  <c r="AB1148" i="4"/>
  <c r="AB1152" i="4"/>
  <c r="AB1156" i="4"/>
  <c r="AB1160" i="4"/>
  <c r="AB1164" i="4"/>
  <c r="AB1168" i="4"/>
  <c r="AB1172" i="4"/>
  <c r="AB1176" i="4"/>
  <c r="AB1180" i="4"/>
  <c r="AB1184" i="4"/>
  <c r="AB1188" i="4"/>
  <c r="AB1192" i="4"/>
  <c r="AB1196" i="4"/>
  <c r="AB1200" i="4"/>
  <c r="AB1204" i="4"/>
  <c r="AB1208" i="4"/>
  <c r="AB1212" i="4"/>
  <c r="AB1216" i="4"/>
  <c r="AB1220" i="4"/>
  <c r="AB1224" i="4"/>
  <c r="AB1228" i="4"/>
  <c r="AB1232" i="4"/>
  <c r="AB1236" i="4"/>
  <c r="AB1240" i="4"/>
  <c r="AB1244" i="4"/>
  <c r="AB1248" i="4"/>
  <c r="AB1252" i="4"/>
  <c r="AB1256" i="4"/>
  <c r="AB1260" i="4"/>
  <c r="AB1264" i="4"/>
  <c r="AB1268" i="4"/>
  <c r="AB1272" i="4"/>
  <c r="AB1276" i="4"/>
  <c r="AB1280" i="4"/>
  <c r="AB1284" i="4"/>
  <c r="AB1288" i="4"/>
  <c r="AB1292" i="4"/>
  <c r="AB1296" i="4"/>
  <c r="AB1300" i="4"/>
  <c r="AB1304" i="4"/>
  <c r="AB1308" i="4"/>
  <c r="AB1312" i="4"/>
  <c r="AB1316" i="4"/>
  <c r="AB1320" i="4"/>
  <c r="AB1324" i="4"/>
  <c r="AB1328" i="4"/>
  <c r="AB1332" i="4"/>
  <c r="AB1336" i="4"/>
  <c r="AB1340" i="4"/>
  <c r="AB1344" i="4"/>
  <c r="AB1348" i="4"/>
  <c r="AB1352" i="4"/>
  <c r="AB1356" i="4"/>
  <c r="AB1360" i="4"/>
  <c r="AB1364" i="4"/>
  <c r="AB1368" i="4"/>
  <c r="AB1372" i="4"/>
  <c r="AB137" i="4"/>
  <c r="AB492" i="4"/>
  <c r="AB570" i="4"/>
  <c r="AB634" i="4"/>
  <c r="AB698" i="4"/>
  <c r="AB762" i="4"/>
  <c r="AB793" i="4"/>
  <c r="AB809" i="4"/>
  <c r="AB825" i="4"/>
  <c r="AB841" i="4"/>
  <c r="AB857" i="4"/>
  <c r="AB873" i="4"/>
  <c r="AB889" i="4"/>
  <c r="AB905" i="4"/>
  <c r="AB921" i="4"/>
  <c r="AB937" i="4"/>
  <c r="AB953" i="4"/>
  <c r="AB969" i="4"/>
  <c r="AB985" i="4"/>
  <c r="AB1001" i="4"/>
  <c r="AB1017" i="4"/>
  <c r="AB1033" i="4"/>
  <c r="AB1049" i="4"/>
  <c r="AB1065" i="4"/>
  <c r="AB1081" i="4"/>
  <c r="AB1097" i="4"/>
  <c r="AB1113" i="4"/>
  <c r="AB1129" i="4"/>
  <c r="AB1145" i="4"/>
  <c r="AB1161" i="4"/>
  <c r="AB1177" i="4"/>
  <c r="AB1193" i="4"/>
  <c r="AB1209" i="4"/>
  <c r="AB1225" i="4"/>
  <c r="AB1241" i="4"/>
  <c r="AB1257" i="4"/>
  <c r="AB1273" i="4"/>
  <c r="AB1289" i="4"/>
  <c r="AB1305" i="4"/>
  <c r="AB1321" i="4"/>
  <c r="AB1337" i="4"/>
  <c r="AB1353" i="4"/>
  <c r="AB1363" i="4"/>
  <c r="AB1371" i="4"/>
  <c r="AB1376" i="4"/>
  <c r="AB1380" i="4"/>
  <c r="AB1384" i="4"/>
  <c r="AB1388" i="4"/>
  <c r="AB1392" i="4"/>
  <c r="AB1396" i="4"/>
  <c r="AB1400" i="4"/>
  <c r="AB1404" i="4"/>
  <c r="AB1408" i="4"/>
  <c r="AB1412" i="4"/>
  <c r="AB1416" i="4"/>
  <c r="AB1420" i="4"/>
  <c r="AB1424" i="4"/>
  <c r="AB1428" i="4"/>
  <c r="AB1432" i="4"/>
  <c r="AB1436" i="4"/>
  <c r="AB1440" i="4"/>
  <c r="AB1444" i="4"/>
  <c r="AB1448" i="4"/>
  <c r="AB1452" i="4"/>
  <c r="AB1456" i="4"/>
  <c r="AB1460" i="4"/>
  <c r="AB1464" i="4"/>
  <c r="AB1468" i="4"/>
  <c r="AB1472" i="4"/>
  <c r="AB1476" i="4"/>
  <c r="AB1480" i="4"/>
  <c r="AB1484" i="4"/>
  <c r="AB1488" i="4"/>
  <c r="AB1492" i="4"/>
  <c r="AB1496" i="4"/>
  <c r="AB1500" i="4"/>
  <c r="AB1504" i="4"/>
  <c r="AB1508" i="4"/>
  <c r="AB1512" i="4"/>
  <c r="AB1516" i="4"/>
  <c r="AB1520" i="4"/>
  <c r="AB1524" i="4"/>
  <c r="AB1528" i="4"/>
  <c r="AB1532" i="4"/>
  <c r="AB1536" i="4"/>
  <c r="AB1540" i="4"/>
  <c r="AB1544" i="4"/>
  <c r="AB1548" i="4"/>
  <c r="AB1552" i="4"/>
  <c r="AB1556" i="4"/>
  <c r="AB1560" i="4"/>
  <c r="AB1564" i="4"/>
  <c r="AB1568" i="4"/>
  <c r="AB1572" i="4"/>
  <c r="AB1576" i="4"/>
  <c r="AB1580" i="4"/>
  <c r="AB1584" i="4"/>
  <c r="AB1588" i="4"/>
  <c r="AB1592" i="4"/>
  <c r="AB1596" i="4"/>
  <c r="AB1600" i="4"/>
  <c r="AB1604" i="4"/>
  <c r="AB1608" i="4"/>
  <c r="AB1612" i="4"/>
  <c r="AB1616" i="4"/>
  <c r="AB1620" i="4"/>
  <c r="AB1624" i="4"/>
  <c r="AB1628" i="4"/>
  <c r="AB1632" i="4"/>
  <c r="AB1636" i="4"/>
  <c r="AB1640" i="4"/>
  <c r="AB1644" i="4"/>
  <c r="AB1648" i="4"/>
  <c r="AB1652" i="4"/>
  <c r="AB1656" i="4"/>
  <c r="AB1660" i="4"/>
  <c r="AB1664" i="4"/>
  <c r="AB1668" i="4"/>
  <c r="AB1672" i="4"/>
  <c r="AB1676" i="4"/>
  <c r="AB1680" i="4"/>
  <c r="AB1684" i="4"/>
  <c r="AB1688" i="4"/>
  <c r="AB1692" i="4"/>
  <c r="AB1696" i="4"/>
  <c r="AB1700" i="4"/>
  <c r="AB1704" i="4"/>
  <c r="AB1708" i="4"/>
  <c r="AB1712" i="4"/>
  <c r="AB1716" i="4"/>
  <c r="AB1720" i="4"/>
  <c r="AB1724" i="4"/>
  <c r="AB1728" i="4"/>
  <c r="AB1732" i="4"/>
  <c r="AB1736" i="4"/>
  <c r="AB1740" i="4"/>
  <c r="AB1744" i="4"/>
  <c r="AB1748" i="4"/>
  <c r="AB1752" i="4"/>
  <c r="AB1756" i="4"/>
  <c r="AB1760" i="4"/>
  <c r="AB1764" i="4"/>
  <c r="AB1768" i="4"/>
  <c r="AB1772" i="4"/>
  <c r="AB1776" i="4"/>
  <c r="AB1780" i="4"/>
  <c r="AB1784" i="4"/>
  <c r="AB1788" i="4"/>
  <c r="AB1792" i="4"/>
  <c r="AB1796" i="4"/>
  <c r="AB1800" i="4"/>
  <c r="AB1804" i="4"/>
  <c r="AB1808" i="4"/>
  <c r="AB1812" i="4"/>
  <c r="AB1816" i="4"/>
  <c r="AB1820" i="4"/>
  <c r="AB1824" i="4"/>
  <c r="AB1828" i="4"/>
  <c r="AB1832" i="4"/>
  <c r="AB1836" i="4"/>
  <c r="AB1840" i="4"/>
  <c r="AB1844" i="4"/>
  <c r="AB1848" i="4"/>
  <c r="AB1852" i="4"/>
  <c r="AB1856" i="4"/>
  <c r="AB1860" i="4"/>
  <c r="AB1864" i="4"/>
  <c r="AB1868" i="4"/>
  <c r="AB1872" i="4"/>
  <c r="AB1876" i="4"/>
  <c r="AB1880" i="4"/>
  <c r="AB265" i="4"/>
  <c r="AB522" i="4"/>
  <c r="AB586" i="4"/>
  <c r="AB650" i="4"/>
  <c r="AB714" i="4"/>
  <c r="AB772" i="4"/>
  <c r="AB797" i="4"/>
  <c r="AB813" i="4"/>
  <c r="AB829" i="4"/>
  <c r="AB845" i="4"/>
  <c r="AB861" i="4"/>
  <c r="AB877" i="4"/>
  <c r="AB893" i="4"/>
  <c r="AB909" i="4"/>
  <c r="AB925" i="4"/>
  <c r="AB941" i="4"/>
  <c r="AB957" i="4"/>
  <c r="AB973" i="4"/>
  <c r="AB989" i="4"/>
  <c r="AB1005" i="4"/>
  <c r="AB1021" i="4"/>
  <c r="AB1037" i="4"/>
  <c r="AB1053" i="4"/>
  <c r="AB1069" i="4"/>
  <c r="AB1085" i="4"/>
  <c r="AB1101" i="4"/>
  <c r="AB1117" i="4"/>
  <c r="AB1133" i="4"/>
  <c r="AB1149" i="4"/>
  <c r="AB1165" i="4"/>
  <c r="AB1181" i="4"/>
  <c r="AB1197" i="4"/>
  <c r="AB1213" i="4"/>
  <c r="AB1229" i="4"/>
  <c r="AB1245" i="4"/>
  <c r="AB1261" i="4"/>
  <c r="AB1277" i="4"/>
  <c r="AB1293" i="4"/>
  <c r="AB1309" i="4"/>
  <c r="AB1325" i="4"/>
  <c r="AB1341" i="4"/>
  <c r="AB1357" i="4"/>
  <c r="AB1365" i="4"/>
  <c r="AB1373" i="4"/>
  <c r="AB1377" i="4"/>
  <c r="AB1381" i="4"/>
  <c r="AB1385" i="4"/>
  <c r="AB1389" i="4"/>
  <c r="AB1393" i="4"/>
  <c r="AB1397" i="4"/>
  <c r="AB1401" i="4"/>
  <c r="AB1405" i="4"/>
  <c r="AB1409" i="4"/>
  <c r="AB1413" i="4"/>
  <c r="AB1417" i="4"/>
  <c r="AB1421" i="4"/>
  <c r="AB1425" i="4"/>
  <c r="AB1429" i="4"/>
  <c r="AB1433" i="4"/>
  <c r="AB1437" i="4"/>
  <c r="AB1441" i="4"/>
  <c r="AB1445" i="4"/>
  <c r="AB1449" i="4"/>
  <c r="AB1453" i="4"/>
  <c r="AB1457" i="4"/>
  <c r="AB1461" i="4"/>
  <c r="AB1465" i="4"/>
  <c r="AB1469" i="4"/>
  <c r="AB1473" i="4"/>
  <c r="AB1477" i="4"/>
  <c r="AB1481" i="4"/>
  <c r="AB1485" i="4"/>
  <c r="AB1489" i="4"/>
  <c r="AB1493" i="4"/>
  <c r="AB1497" i="4"/>
  <c r="AB1501" i="4"/>
  <c r="AB1505" i="4"/>
  <c r="AB1509" i="4"/>
  <c r="AB1513" i="4"/>
  <c r="AB1517" i="4"/>
  <c r="AB1521" i="4"/>
  <c r="AB1525" i="4"/>
  <c r="AB1529" i="4"/>
  <c r="AB1533" i="4"/>
  <c r="AB1537" i="4"/>
  <c r="AB1541" i="4"/>
  <c r="AB1545" i="4"/>
  <c r="AB1549" i="4"/>
  <c r="AB1553" i="4"/>
  <c r="AB1557" i="4"/>
  <c r="AB1561" i="4"/>
  <c r="AB1565" i="4"/>
  <c r="AB1569" i="4"/>
  <c r="AB1573" i="4"/>
  <c r="AB1577" i="4"/>
  <c r="AB1581" i="4"/>
  <c r="AB1585" i="4"/>
  <c r="AB1589" i="4"/>
  <c r="AB1593" i="4"/>
  <c r="AB1597" i="4"/>
  <c r="AB1601" i="4"/>
  <c r="AB1605" i="4"/>
  <c r="AB1609" i="4"/>
  <c r="AB1613" i="4"/>
  <c r="AB1617" i="4"/>
  <c r="AB1621" i="4"/>
  <c r="AB1625" i="4"/>
  <c r="AB1629" i="4"/>
  <c r="AB1633" i="4"/>
  <c r="AB1637" i="4"/>
  <c r="AB1641" i="4"/>
  <c r="AB1645" i="4"/>
  <c r="AB1649" i="4"/>
  <c r="AB1653" i="4"/>
  <c r="AB1657" i="4"/>
  <c r="AB1661" i="4"/>
  <c r="AB1665" i="4"/>
  <c r="AB1669" i="4"/>
  <c r="AB1673" i="4"/>
  <c r="AB1677" i="4"/>
  <c r="AB1681" i="4"/>
  <c r="AB1685" i="4"/>
  <c r="AB1689" i="4"/>
  <c r="AB1693" i="4"/>
  <c r="AB1697" i="4"/>
  <c r="AB1701" i="4"/>
  <c r="AB1705" i="4"/>
  <c r="AB1709" i="4"/>
  <c r="AB1713" i="4"/>
  <c r="AB1717" i="4"/>
  <c r="AB1721" i="4"/>
  <c r="AB1725" i="4"/>
  <c r="AB1729" i="4"/>
  <c r="AB1733" i="4"/>
  <c r="AB1737" i="4"/>
  <c r="AB1741" i="4"/>
  <c r="AB1745" i="4"/>
  <c r="AB1749" i="4"/>
  <c r="AB1753" i="4"/>
  <c r="AB1757" i="4"/>
  <c r="AB1761" i="4"/>
  <c r="AB1765" i="4"/>
  <c r="AB364" i="4"/>
  <c r="AB538" i="4"/>
  <c r="AB602" i="4"/>
  <c r="AB666" i="4"/>
  <c r="AB730" i="4"/>
  <c r="AB780" i="4"/>
  <c r="AB801" i="4"/>
  <c r="AB817" i="4"/>
  <c r="AB833" i="4"/>
  <c r="AB849" i="4"/>
  <c r="AB865" i="4"/>
  <c r="AB881" i="4"/>
  <c r="AB897" i="4"/>
  <c r="AB913" i="4"/>
  <c r="AB929" i="4"/>
  <c r="AB945" i="4"/>
  <c r="AB961" i="4"/>
  <c r="AB977" i="4"/>
  <c r="AB993" i="4"/>
  <c r="AB1009" i="4"/>
  <c r="AB1025" i="4"/>
  <c r="AB1041" i="4"/>
  <c r="AB1057" i="4"/>
  <c r="AB1073" i="4"/>
  <c r="AB1089" i="4"/>
  <c r="AB1105" i="4"/>
  <c r="AB1121" i="4"/>
  <c r="AB1137" i="4"/>
  <c r="AB1153" i="4"/>
  <c r="AB1169" i="4"/>
  <c r="AB1185" i="4"/>
  <c r="AB1201" i="4"/>
  <c r="AB1217" i="4"/>
  <c r="AB1233" i="4"/>
  <c r="AB1249" i="4"/>
  <c r="AB1265" i="4"/>
  <c r="AB1281" i="4"/>
  <c r="AB1297" i="4"/>
  <c r="AB1313" i="4"/>
  <c r="AB1329" i="4"/>
  <c r="AB1345" i="4"/>
  <c r="AB1359" i="4"/>
  <c r="AB1367" i="4"/>
  <c r="AB1374" i="4"/>
  <c r="AB1378" i="4"/>
  <c r="AB1382" i="4"/>
  <c r="AB1386" i="4"/>
  <c r="AB1390" i="4"/>
  <c r="AB1394" i="4"/>
  <c r="AB1398" i="4"/>
  <c r="AB1402" i="4"/>
  <c r="AB1406" i="4"/>
  <c r="AB1410" i="4"/>
  <c r="AB1414" i="4"/>
  <c r="AB1418" i="4"/>
  <c r="AB1422" i="4"/>
  <c r="AB1426" i="4"/>
  <c r="AB1430" i="4"/>
  <c r="AB1434" i="4"/>
  <c r="AB1438" i="4"/>
  <c r="AB1442" i="4"/>
  <c r="AB1446" i="4"/>
  <c r="AB1450" i="4"/>
  <c r="AB1454" i="4"/>
  <c r="AB1458" i="4"/>
  <c r="AB1462" i="4"/>
  <c r="AB1466" i="4"/>
  <c r="AB1470" i="4"/>
  <c r="AB1474" i="4"/>
  <c r="AB1478" i="4"/>
  <c r="AB1482" i="4"/>
  <c r="AB1486" i="4"/>
  <c r="AB1490" i="4"/>
  <c r="AB1494" i="4"/>
  <c r="AB1498" i="4"/>
  <c r="AB1502" i="4"/>
  <c r="AB1506" i="4"/>
  <c r="AB1510" i="4"/>
  <c r="AB1514" i="4"/>
  <c r="AB1518" i="4"/>
  <c r="AB1522" i="4"/>
  <c r="AB1526" i="4"/>
  <c r="AB1530" i="4"/>
  <c r="AB1534" i="4"/>
  <c r="AB1538" i="4"/>
  <c r="AB1542" i="4"/>
  <c r="AB1546" i="4"/>
  <c r="AB1550" i="4"/>
  <c r="AB1554" i="4"/>
  <c r="AB1558" i="4"/>
  <c r="AB1562" i="4"/>
  <c r="AB1566" i="4"/>
  <c r="AB1570" i="4"/>
  <c r="AB1574" i="4"/>
  <c r="AB1578" i="4"/>
  <c r="AB1582" i="4"/>
  <c r="AB1586" i="4"/>
  <c r="AB1590" i="4"/>
  <c r="AB1594" i="4"/>
  <c r="AB1598" i="4"/>
  <c r="AB1602" i="4"/>
  <c r="AB1606" i="4"/>
  <c r="AB1610" i="4"/>
  <c r="AB1614" i="4"/>
  <c r="AB1618" i="4"/>
  <c r="AB1622" i="4"/>
  <c r="AB1626" i="4"/>
  <c r="AB1630" i="4"/>
  <c r="AB1634" i="4"/>
  <c r="AB1638" i="4"/>
  <c r="AB1642" i="4"/>
  <c r="AB1646" i="4"/>
  <c r="AB1650" i="4"/>
  <c r="AB1654" i="4"/>
  <c r="AB1658" i="4"/>
  <c r="AB1662" i="4"/>
  <c r="AB1666" i="4"/>
  <c r="AB1670" i="4"/>
  <c r="AB1674" i="4"/>
  <c r="AB1678" i="4"/>
  <c r="AB1682" i="4"/>
  <c r="AB1686" i="4"/>
  <c r="AB1690" i="4"/>
  <c r="AB1694" i="4"/>
  <c r="AB1698" i="4"/>
  <c r="AB1702" i="4"/>
  <c r="AB1706" i="4"/>
  <c r="AB1710" i="4"/>
  <c r="AB1714" i="4"/>
  <c r="AB1718" i="4"/>
  <c r="AB1722" i="4"/>
  <c r="AB1726" i="4"/>
  <c r="AB1730" i="4"/>
  <c r="AB1734" i="4"/>
  <c r="AB1738" i="4"/>
  <c r="AB1742" i="4"/>
  <c r="AB1746" i="4"/>
  <c r="AB1750" i="4"/>
  <c r="AB1754" i="4"/>
  <c r="AB1758" i="4"/>
  <c r="AB1762" i="4"/>
  <c r="AB1766" i="4"/>
  <c r="AB1770" i="4"/>
  <c r="AB1774" i="4"/>
  <c r="AB1778" i="4"/>
  <c r="AB1782" i="4"/>
  <c r="AB1786" i="4"/>
  <c r="AB1790" i="4"/>
  <c r="AB1794" i="4"/>
  <c r="AB1798" i="4"/>
  <c r="AB1802" i="4"/>
  <c r="AB1806" i="4"/>
  <c r="AB1810" i="4"/>
  <c r="AB1814" i="4"/>
  <c r="AB1818" i="4"/>
  <c r="AB1822" i="4"/>
  <c r="AB1826" i="4"/>
  <c r="AB1830" i="4"/>
  <c r="AB1834" i="4"/>
  <c r="AB1838" i="4"/>
  <c r="AB1842" i="4"/>
  <c r="AB1846" i="4"/>
  <c r="AB1850" i="4"/>
  <c r="AB1854" i="4"/>
  <c r="AB1858" i="4"/>
  <c r="AB1862" i="4"/>
  <c r="AB1866" i="4"/>
  <c r="AB1870" i="4"/>
  <c r="AB1874" i="4"/>
  <c r="AB1878" i="4"/>
  <c r="AB428" i="4"/>
  <c r="AB746" i="4"/>
  <c r="AB837" i="4"/>
  <c r="AB901" i="4"/>
  <c r="AB965" i="4"/>
  <c r="AB1029" i="4"/>
  <c r="AB1093" i="4"/>
  <c r="AB1157" i="4"/>
  <c r="AB1221" i="4"/>
  <c r="AB1285" i="4"/>
  <c r="AB1349" i="4"/>
  <c r="AB1379" i="4"/>
  <c r="AB1395" i="4"/>
  <c r="AB1411" i="4"/>
  <c r="AB1427" i="4"/>
  <c r="AB1443" i="4"/>
  <c r="AB1459" i="4"/>
  <c r="AB1475" i="4"/>
  <c r="AB1491" i="4"/>
  <c r="AB1507" i="4"/>
  <c r="AB1523" i="4"/>
  <c r="AB1539" i="4"/>
  <c r="AB1555" i="4"/>
  <c r="AB1571" i="4"/>
  <c r="AB1587" i="4"/>
  <c r="AB1603" i="4"/>
  <c r="AB1619" i="4"/>
  <c r="AB1635" i="4"/>
  <c r="AB1651" i="4"/>
  <c r="AB1667" i="4"/>
  <c r="AB1683" i="4"/>
  <c r="AB1699" i="4"/>
  <c r="AB1715" i="4"/>
  <c r="AB1731" i="4"/>
  <c r="AB1747" i="4"/>
  <c r="AB1763" i="4"/>
  <c r="AB1773" i="4"/>
  <c r="AB1781" i="4"/>
  <c r="AB1789" i="4"/>
  <c r="AB1797" i="4"/>
  <c r="AB1805" i="4"/>
  <c r="AB1813" i="4"/>
  <c r="AB1821" i="4"/>
  <c r="AB1829" i="4"/>
  <c r="AB1837" i="4"/>
  <c r="AB1845" i="4"/>
  <c r="AB1853" i="4"/>
  <c r="AB1861" i="4"/>
  <c r="AB1869" i="4"/>
  <c r="AB1877" i="4"/>
  <c r="AB1883" i="4"/>
  <c r="AB1887" i="4"/>
  <c r="AB1891" i="4"/>
  <c r="AB1895" i="4"/>
  <c r="AB1899" i="4"/>
  <c r="AB1903" i="4"/>
  <c r="AB1907" i="4"/>
  <c r="AB1911" i="4"/>
  <c r="AB1915" i="4"/>
  <c r="AB1919" i="4"/>
  <c r="AB1923" i="4"/>
  <c r="AB1927" i="4"/>
  <c r="AB1931" i="4"/>
  <c r="AB1935" i="4"/>
  <c r="AB1939" i="4"/>
  <c r="AB1943" i="4"/>
  <c r="AB1947" i="4"/>
  <c r="AB1951" i="4"/>
  <c r="AB1955" i="4"/>
  <c r="AB1959" i="4"/>
  <c r="AB1963" i="4"/>
  <c r="AB1967" i="4"/>
  <c r="AB1971" i="4"/>
  <c r="AB1975" i="4"/>
  <c r="AB1979" i="4"/>
  <c r="AB1983" i="4"/>
  <c r="AB1987" i="4"/>
  <c r="AB1991" i="4"/>
  <c r="AB1995" i="4"/>
  <c r="AB1999" i="4"/>
  <c r="AB2003" i="4"/>
  <c r="AB2007" i="4"/>
  <c r="AB2011" i="4"/>
  <c r="AB2015" i="4"/>
  <c r="AB2019" i="4"/>
  <c r="AB2023" i="4"/>
  <c r="AB2027" i="4"/>
  <c r="AB2031" i="4"/>
  <c r="AB2035" i="4"/>
  <c r="AB2039" i="4"/>
  <c r="AB2043" i="4"/>
  <c r="AB2047" i="4"/>
  <c r="AB2051" i="4"/>
  <c r="AB2055" i="4"/>
  <c r="AB2059" i="4"/>
  <c r="AB2063" i="4"/>
  <c r="AB2067" i="4"/>
  <c r="AB2071" i="4"/>
  <c r="AB2075" i="4"/>
  <c r="AB2079" i="4"/>
  <c r="AB2083" i="4"/>
  <c r="AB2087" i="4"/>
  <c r="AB2091" i="4"/>
  <c r="AB2095" i="4"/>
  <c r="AB2099" i="4"/>
  <c r="AB2103" i="4"/>
  <c r="AB2107" i="4"/>
  <c r="AB2111" i="4"/>
  <c r="AB2115" i="4"/>
  <c r="AB2119" i="4"/>
  <c r="AB2123" i="4"/>
  <c r="AB2127" i="4"/>
  <c r="AB2131" i="4"/>
  <c r="AB2135" i="4"/>
  <c r="AB2139" i="4"/>
  <c r="AB2143" i="4"/>
  <c r="AB2147" i="4"/>
  <c r="AB2151" i="4"/>
  <c r="AB2155" i="4"/>
  <c r="AB2159" i="4"/>
  <c r="AB2163" i="4"/>
  <c r="AB2167" i="4"/>
  <c r="AB2171" i="4"/>
  <c r="AB2175" i="4"/>
  <c r="AB2179" i="4"/>
  <c r="AB2183" i="4"/>
  <c r="AB2187" i="4"/>
  <c r="AB2191" i="4"/>
  <c r="AB2195" i="4"/>
  <c r="AB2199" i="4"/>
  <c r="AB2203" i="4"/>
  <c r="AB2207" i="4"/>
  <c r="AB2211" i="4"/>
  <c r="AB2215" i="4"/>
  <c r="AB2219" i="4"/>
  <c r="AB2223" i="4"/>
  <c r="AB2227" i="4"/>
  <c r="AB2231" i="4"/>
  <c r="AB2235" i="4"/>
  <c r="AB2239" i="4"/>
  <c r="AB2243" i="4"/>
  <c r="AB2247" i="4"/>
  <c r="AB2251" i="4"/>
  <c r="AB2255" i="4"/>
  <c r="AB2259" i="4"/>
  <c r="AB2263" i="4"/>
  <c r="AB2267" i="4"/>
  <c r="AB2271" i="4"/>
  <c r="AB2275" i="4"/>
  <c r="AB2279" i="4"/>
  <c r="AB2283" i="4"/>
  <c r="AB2287" i="4"/>
  <c r="AB2291" i="4"/>
  <c r="AB2295" i="4"/>
  <c r="AB2299" i="4"/>
  <c r="AB2303" i="4"/>
  <c r="AB2307" i="4"/>
  <c r="AB2311" i="4"/>
  <c r="AB2315" i="4"/>
  <c r="AB2319" i="4"/>
  <c r="AB2323" i="4"/>
  <c r="AB2327" i="4"/>
  <c r="AB2331" i="4"/>
  <c r="AB2335" i="4"/>
  <c r="AB2339" i="4"/>
  <c r="AB2343" i="4"/>
  <c r="AB2347" i="4"/>
  <c r="AB2351" i="4"/>
  <c r="AB2355" i="4"/>
  <c r="AB2359" i="4"/>
  <c r="AB2363" i="4"/>
  <c r="AB554" i="4"/>
  <c r="AB788" i="4"/>
  <c r="AB853" i="4"/>
  <c r="AB917" i="4"/>
  <c r="AB981" i="4"/>
  <c r="AB1045" i="4"/>
  <c r="AB1109" i="4"/>
  <c r="AB1173" i="4"/>
  <c r="AB1237" i="4"/>
  <c r="AB1301" i="4"/>
  <c r="AB1361" i="4"/>
  <c r="AB1383" i="4"/>
  <c r="AB1399" i="4"/>
  <c r="AB1415" i="4"/>
  <c r="AB1431" i="4"/>
  <c r="AB1447" i="4"/>
  <c r="AB1463" i="4"/>
  <c r="AB1479" i="4"/>
  <c r="AB1495" i="4"/>
  <c r="AB1511" i="4"/>
  <c r="AB1527" i="4"/>
  <c r="AB1543" i="4"/>
  <c r="AB1559" i="4"/>
  <c r="AB1575" i="4"/>
  <c r="AB1591" i="4"/>
  <c r="AB1607" i="4"/>
  <c r="AB1623" i="4"/>
  <c r="AB1639" i="4"/>
  <c r="AB1655" i="4"/>
  <c r="AB1671" i="4"/>
  <c r="AB1687" i="4"/>
  <c r="AB1703" i="4"/>
  <c r="AB1719" i="4"/>
  <c r="AB1735" i="4"/>
  <c r="AB1751" i="4"/>
  <c r="AB1767" i="4"/>
  <c r="AB1775" i="4"/>
  <c r="AB1783" i="4"/>
  <c r="AB1791" i="4"/>
  <c r="AB1799" i="4"/>
  <c r="AB1807" i="4"/>
  <c r="AB1815" i="4"/>
  <c r="AB1823" i="4"/>
  <c r="AB1831" i="4"/>
  <c r="AB1839" i="4"/>
  <c r="AB1847" i="4"/>
  <c r="AB1855" i="4"/>
  <c r="AB1863" i="4"/>
  <c r="AB1871" i="4"/>
  <c r="AB1879" i="4"/>
  <c r="AB1884" i="4"/>
  <c r="AB1888" i="4"/>
  <c r="AB1892" i="4"/>
  <c r="AB1896" i="4"/>
  <c r="AB1900" i="4"/>
  <c r="AB1904" i="4"/>
  <c r="AB1908" i="4"/>
  <c r="AB1912" i="4"/>
  <c r="AB1916" i="4"/>
  <c r="AB1920" i="4"/>
  <c r="AB1924" i="4"/>
  <c r="AB1928" i="4"/>
  <c r="AB1932" i="4"/>
  <c r="AB1936" i="4"/>
  <c r="AB1940" i="4"/>
  <c r="AB1944" i="4"/>
  <c r="AB1948" i="4"/>
  <c r="AB1952" i="4"/>
  <c r="AB1956" i="4"/>
  <c r="AB1960" i="4"/>
  <c r="AB1964" i="4"/>
  <c r="AB1968" i="4"/>
  <c r="AB1972" i="4"/>
  <c r="AB1976" i="4"/>
  <c r="AB1980" i="4"/>
  <c r="AB1984" i="4"/>
  <c r="AB1988" i="4"/>
  <c r="AB1992" i="4"/>
  <c r="AB1996" i="4"/>
  <c r="AB2000" i="4"/>
  <c r="AB2004" i="4"/>
  <c r="AB2008" i="4"/>
  <c r="AB2012" i="4"/>
  <c r="AB2016" i="4"/>
  <c r="AB2020" i="4"/>
  <c r="AB2024" i="4"/>
  <c r="AB2028" i="4"/>
  <c r="AB2032" i="4"/>
  <c r="AB2036" i="4"/>
  <c r="AB2040" i="4"/>
  <c r="AB2044" i="4"/>
  <c r="AB2048" i="4"/>
  <c r="AB2052" i="4"/>
  <c r="AB2056" i="4"/>
  <c r="AB2060" i="4"/>
  <c r="AB2064" i="4"/>
  <c r="AB2068" i="4"/>
  <c r="AB2072" i="4"/>
  <c r="AB2076" i="4"/>
  <c r="AB2080" i="4"/>
  <c r="AB2084" i="4"/>
  <c r="AB2088" i="4"/>
  <c r="AB2092" i="4"/>
  <c r="AB2096" i="4"/>
  <c r="AB2100" i="4"/>
  <c r="AB2104" i="4"/>
  <c r="AB2108" i="4"/>
  <c r="AB2112" i="4"/>
  <c r="AB2116" i="4"/>
  <c r="AB2120" i="4"/>
  <c r="AB2124" i="4"/>
  <c r="AB2128" i="4"/>
  <c r="AB2132" i="4"/>
  <c r="AB2136" i="4"/>
  <c r="AB2140" i="4"/>
  <c r="AB2144" i="4"/>
  <c r="AB2148" i="4"/>
  <c r="AB2152" i="4"/>
  <c r="AB2156" i="4"/>
  <c r="AB2160" i="4"/>
  <c r="AB2164" i="4"/>
  <c r="AB2168" i="4"/>
  <c r="AB2172" i="4"/>
  <c r="AB2176" i="4"/>
  <c r="AB2180" i="4"/>
  <c r="AB2184" i="4"/>
  <c r="AB2188" i="4"/>
  <c r="AB2192" i="4"/>
  <c r="AB2196" i="4"/>
  <c r="AB2200" i="4"/>
  <c r="AB2204" i="4"/>
  <c r="AB2208" i="4"/>
  <c r="AB2212" i="4"/>
  <c r="AB2216" i="4"/>
  <c r="AB2220" i="4"/>
  <c r="AB2224" i="4"/>
  <c r="AB2228" i="4"/>
  <c r="AB2232" i="4"/>
  <c r="AB2236" i="4"/>
  <c r="AB2240" i="4"/>
  <c r="AB2244" i="4"/>
  <c r="AB2248" i="4"/>
  <c r="AB2252" i="4"/>
  <c r="AB2256" i="4"/>
  <c r="AB2260" i="4"/>
  <c r="AB2264" i="4"/>
  <c r="AB2268" i="4"/>
  <c r="AB2272" i="4"/>
  <c r="AB2276" i="4"/>
  <c r="AB2280" i="4"/>
  <c r="AB2284" i="4"/>
  <c r="AB2288" i="4"/>
  <c r="AB2292" i="4"/>
  <c r="AB2296" i="4"/>
  <c r="AB2300" i="4"/>
  <c r="AB2304" i="4"/>
  <c r="AB2308" i="4"/>
  <c r="AB2312" i="4"/>
  <c r="AB2316" i="4"/>
  <c r="AB2320" i="4"/>
  <c r="AB2324" i="4"/>
  <c r="AB2328" i="4"/>
  <c r="AB2332" i="4"/>
  <c r="AB2336" i="4"/>
  <c r="AB2340" i="4"/>
  <c r="AB2344" i="4"/>
  <c r="AB2348" i="4"/>
  <c r="AB2352" i="4"/>
  <c r="AB2356" i="4"/>
  <c r="AB2360" i="4"/>
  <c r="AB618" i="4"/>
  <c r="AB805" i="4"/>
  <c r="AB869" i="4"/>
  <c r="AB933" i="4"/>
  <c r="AB997" i="4"/>
  <c r="AB1061" i="4"/>
  <c r="AB1125" i="4"/>
  <c r="AB1189" i="4"/>
  <c r="AB1253" i="4"/>
  <c r="AB1317" i="4"/>
  <c r="AB1369" i="4"/>
  <c r="AB1387" i="4"/>
  <c r="AB1403" i="4"/>
  <c r="AB1419" i="4"/>
  <c r="AB1435" i="4"/>
  <c r="AB1451" i="4"/>
  <c r="AB1467" i="4"/>
  <c r="AB1483" i="4"/>
  <c r="AB1499" i="4"/>
  <c r="AB1515" i="4"/>
  <c r="AB1531" i="4"/>
  <c r="AB1547" i="4"/>
  <c r="AB1563" i="4"/>
  <c r="AB1579" i="4"/>
  <c r="AB1595" i="4"/>
  <c r="AB1611" i="4"/>
  <c r="AB1627" i="4"/>
  <c r="AB1643" i="4"/>
  <c r="AB1659" i="4"/>
  <c r="AB1675" i="4"/>
  <c r="AB1691" i="4"/>
  <c r="AB1707" i="4"/>
  <c r="AB1723" i="4"/>
  <c r="AB1739" i="4"/>
  <c r="AB1755" i="4"/>
  <c r="AB1769" i="4"/>
  <c r="AB1777" i="4"/>
  <c r="AB1785" i="4"/>
  <c r="AB1793" i="4"/>
  <c r="AB1801" i="4"/>
  <c r="AB1809" i="4"/>
  <c r="AB1817" i="4"/>
  <c r="AB1825" i="4"/>
  <c r="AB1833" i="4"/>
  <c r="AB1841" i="4"/>
  <c r="AB1849" i="4"/>
  <c r="AB1857" i="4"/>
  <c r="AB1865" i="4"/>
  <c r="AB1873" i="4"/>
  <c r="AB1881" i="4"/>
  <c r="AB1885" i="4"/>
  <c r="AB1889" i="4"/>
  <c r="AB1893" i="4"/>
  <c r="AB1897" i="4"/>
  <c r="AB1901" i="4"/>
  <c r="AB1905" i="4"/>
  <c r="AB1909" i="4"/>
  <c r="AB1913" i="4"/>
  <c r="AB1917" i="4"/>
  <c r="AB1921" i="4"/>
  <c r="AB1925" i="4"/>
  <c r="AB1929" i="4"/>
  <c r="AB1933" i="4"/>
  <c r="AB1937" i="4"/>
  <c r="AB1941" i="4"/>
  <c r="AB1945" i="4"/>
  <c r="AB1949" i="4"/>
  <c r="AB1953" i="4"/>
  <c r="AB1957" i="4"/>
  <c r="AB1961" i="4"/>
  <c r="AB1965" i="4"/>
  <c r="AB1969" i="4"/>
  <c r="AB1973" i="4"/>
  <c r="AB1977" i="4"/>
  <c r="AB1981" i="4"/>
  <c r="AB1985" i="4"/>
  <c r="AB1989" i="4"/>
  <c r="AB1993" i="4"/>
  <c r="AB1997" i="4"/>
  <c r="AB2001" i="4"/>
  <c r="AB2005" i="4"/>
  <c r="AB2009" i="4"/>
  <c r="AB2013" i="4"/>
  <c r="AB2017" i="4"/>
  <c r="AB2021" i="4"/>
  <c r="AB2025" i="4"/>
  <c r="AB2029" i="4"/>
  <c r="AB2033" i="4"/>
  <c r="AB2037" i="4"/>
  <c r="AB2041" i="4"/>
  <c r="AB2045" i="4"/>
  <c r="AB2049" i="4"/>
  <c r="AB2053" i="4"/>
  <c r="AB2057" i="4"/>
  <c r="AB2061" i="4"/>
  <c r="AB2065" i="4"/>
  <c r="AB2069" i="4"/>
  <c r="AB2073" i="4"/>
  <c r="AB2077" i="4"/>
  <c r="AB2081" i="4"/>
  <c r="AB2085" i="4"/>
  <c r="AB2089" i="4"/>
  <c r="AB2093" i="4"/>
  <c r="AB2097" i="4"/>
  <c r="AB2101" i="4"/>
  <c r="AB2105" i="4"/>
  <c r="AB2109" i="4"/>
  <c r="AB2113" i="4"/>
  <c r="AB2117" i="4"/>
  <c r="AB2121" i="4"/>
  <c r="AB2125" i="4"/>
  <c r="AB2129" i="4"/>
  <c r="AB2133" i="4"/>
  <c r="AB2137" i="4"/>
  <c r="AB2141" i="4"/>
  <c r="AB2145" i="4"/>
  <c r="AB2149" i="4"/>
  <c r="AB2153" i="4"/>
  <c r="AB2157" i="4"/>
  <c r="AB2161" i="4"/>
  <c r="AB2165" i="4"/>
  <c r="AB2169" i="4"/>
  <c r="AB2173" i="4"/>
  <c r="AB2177" i="4"/>
  <c r="AB2181" i="4"/>
  <c r="AB2185" i="4"/>
  <c r="AB2189" i="4"/>
  <c r="AB2193" i="4"/>
  <c r="AB2197" i="4"/>
  <c r="AB2201" i="4"/>
  <c r="AB2205" i="4"/>
  <c r="AB2209" i="4"/>
  <c r="AB2213" i="4"/>
  <c r="AB2217" i="4"/>
  <c r="AB2221" i="4"/>
  <c r="AB2225" i="4"/>
  <c r="AB2229" i="4"/>
  <c r="AB2233" i="4"/>
  <c r="AB2237" i="4"/>
  <c r="AB2241" i="4"/>
  <c r="AB2245" i="4"/>
  <c r="AB2249" i="4"/>
  <c r="AB2253" i="4"/>
  <c r="AB2257" i="4"/>
  <c r="AB2261" i="4"/>
  <c r="AB2265" i="4"/>
  <c r="AB2269" i="4"/>
  <c r="AB2273" i="4"/>
  <c r="AB2277" i="4"/>
  <c r="AB2281" i="4"/>
  <c r="AB2285" i="4"/>
  <c r="AB2289" i="4"/>
  <c r="AB2293" i="4"/>
  <c r="AB2297" i="4"/>
  <c r="AB2301" i="4"/>
  <c r="AB2305" i="4"/>
  <c r="AB2309" i="4"/>
  <c r="AB2313" i="4"/>
  <c r="AB2317" i="4"/>
  <c r="AB2321" i="4"/>
  <c r="AB2325" i="4"/>
  <c r="AB2329" i="4"/>
  <c r="AB2333" i="4"/>
  <c r="AB2337" i="4"/>
  <c r="AB2341" i="4"/>
  <c r="AB2345" i="4"/>
  <c r="AB2349" i="4"/>
  <c r="AB2353" i="4"/>
  <c r="AB682" i="4"/>
  <c r="AB1013" i="4"/>
  <c r="AB1269" i="4"/>
  <c r="AB1407" i="4"/>
  <c r="AB1471" i="4"/>
  <c r="AB1535" i="4"/>
  <c r="AB1599" i="4"/>
  <c r="AB1663" i="4"/>
  <c r="AB1727" i="4"/>
  <c r="AB1779" i="4"/>
  <c r="AB1811" i="4"/>
  <c r="AB1843" i="4"/>
  <c r="AB1875" i="4"/>
  <c r="AB1894" i="4"/>
  <c r="AB1910" i="4"/>
  <c r="AB1926" i="4"/>
  <c r="AB1942" i="4"/>
  <c r="AB1958" i="4"/>
  <c r="AB1974" i="4"/>
  <c r="AB1990" i="4"/>
  <c r="AB2006" i="4"/>
  <c r="AB2022" i="4"/>
  <c r="AB2038" i="4"/>
  <c r="AB2054" i="4"/>
  <c r="AB2070" i="4"/>
  <c r="AB2086" i="4"/>
  <c r="AB2102" i="4"/>
  <c r="AB2118" i="4"/>
  <c r="AB2134" i="4"/>
  <c r="AB2150" i="4"/>
  <c r="AB2166" i="4"/>
  <c r="AB2182" i="4"/>
  <c r="AB2198" i="4"/>
  <c r="AB2214" i="4"/>
  <c r="AB2230" i="4"/>
  <c r="AB2246" i="4"/>
  <c r="AB2262" i="4"/>
  <c r="AB2278" i="4"/>
  <c r="AB2294" i="4"/>
  <c r="AB2310" i="4"/>
  <c r="AB2326" i="4"/>
  <c r="AB2342" i="4"/>
  <c r="AB2357" i="4"/>
  <c r="AB2364" i="4"/>
  <c r="AB2368" i="4"/>
  <c r="AB2372" i="4"/>
  <c r="AB2376" i="4"/>
  <c r="AB2380" i="4"/>
  <c r="AB2384" i="4"/>
  <c r="AB2388" i="4"/>
  <c r="AB2392" i="4"/>
  <c r="AB2396" i="4"/>
  <c r="AB2400" i="4"/>
  <c r="AB2404" i="4"/>
  <c r="AB2408" i="4"/>
  <c r="AB2412" i="4"/>
  <c r="AB2416" i="4"/>
  <c r="AB2420" i="4"/>
  <c r="AB2424" i="4"/>
  <c r="AB2428" i="4"/>
  <c r="AB2432" i="4"/>
  <c r="AB2436" i="4"/>
  <c r="AB2440" i="4"/>
  <c r="AB2444" i="4"/>
  <c r="AB2448" i="4"/>
  <c r="AB2452" i="4"/>
  <c r="AB2456" i="4"/>
  <c r="AB2460" i="4"/>
  <c r="AB2464" i="4"/>
  <c r="AB2468" i="4"/>
  <c r="AB2472" i="4"/>
  <c r="AB2476" i="4"/>
  <c r="AB2480" i="4"/>
  <c r="AB2484" i="4"/>
  <c r="AB2488" i="4"/>
  <c r="AB2492" i="4"/>
  <c r="AB2496" i="4"/>
  <c r="AB2500" i="4"/>
  <c r="AB2504" i="4"/>
  <c r="AB2508" i="4"/>
  <c r="AB2512" i="4"/>
  <c r="AB2516" i="4"/>
  <c r="AB2520" i="4"/>
  <c r="AB2524" i="4"/>
  <c r="AB2528" i="4"/>
  <c r="AB2532" i="4"/>
  <c r="AB2536" i="4"/>
  <c r="AB2540" i="4"/>
  <c r="AB2544" i="4"/>
  <c r="AB2548" i="4"/>
  <c r="AB2552" i="4"/>
  <c r="AB2556" i="4"/>
  <c r="AB2560" i="4"/>
  <c r="AB2564" i="4"/>
  <c r="AB2568" i="4"/>
  <c r="AB2572" i="4"/>
  <c r="AB2576" i="4"/>
  <c r="AB2580" i="4"/>
  <c r="AB2584" i="4"/>
  <c r="AB2588" i="4"/>
  <c r="AB2592" i="4"/>
  <c r="AB2596" i="4"/>
  <c r="AB2600" i="4"/>
  <c r="AB2604" i="4"/>
  <c r="AB2608" i="4"/>
  <c r="AB2612" i="4"/>
  <c r="AB2616" i="4"/>
  <c r="AB2620" i="4"/>
  <c r="AB2624" i="4"/>
  <c r="AB2628" i="4"/>
  <c r="AB2632" i="4"/>
  <c r="AB2636" i="4"/>
  <c r="AB2640" i="4"/>
  <c r="AB2644" i="4"/>
  <c r="AB2648" i="4"/>
  <c r="AB2652" i="4"/>
  <c r="AB2656" i="4"/>
  <c r="AB2660" i="4"/>
  <c r="AB2664" i="4"/>
  <c r="AB2668" i="4"/>
  <c r="AB2672" i="4"/>
  <c r="AB2676" i="4"/>
  <c r="AB2680" i="4"/>
  <c r="AB2684" i="4"/>
  <c r="AB2688" i="4"/>
  <c r="AB2692" i="4"/>
  <c r="AB2696" i="4"/>
  <c r="AB2700" i="4"/>
  <c r="AB2704" i="4"/>
  <c r="AB2708" i="4"/>
  <c r="AB2712" i="4"/>
  <c r="AB2716" i="4"/>
  <c r="AB2720" i="4"/>
  <c r="AB2724" i="4"/>
  <c r="AB2728" i="4"/>
  <c r="AB2732" i="4"/>
  <c r="AB2736" i="4"/>
  <c r="AB2740" i="4"/>
  <c r="AB2744" i="4"/>
  <c r="AB2748" i="4"/>
  <c r="AB2752" i="4"/>
  <c r="AB2756" i="4"/>
  <c r="AB2760" i="4"/>
  <c r="AB2764" i="4"/>
  <c r="AB2768" i="4"/>
  <c r="AB2772" i="4"/>
  <c r="AB2776" i="4"/>
  <c r="AB2780" i="4"/>
  <c r="AB2784" i="4"/>
  <c r="AB2788" i="4"/>
  <c r="AB2792" i="4"/>
  <c r="AB2796" i="4"/>
  <c r="AB2800" i="4"/>
  <c r="AB2804" i="4"/>
  <c r="AB2808" i="4"/>
  <c r="AB2812" i="4"/>
  <c r="AB2816" i="4"/>
  <c r="AB2820" i="4"/>
  <c r="AB2824" i="4"/>
  <c r="AB2828" i="4"/>
  <c r="AB2832" i="4"/>
  <c r="AB2836" i="4"/>
  <c r="AB2840" i="4"/>
  <c r="AB2844" i="4"/>
  <c r="AB2848" i="4"/>
  <c r="AB2852" i="4"/>
  <c r="AB2856" i="4"/>
  <c r="AB2860" i="4"/>
  <c r="AB2864" i="4"/>
  <c r="AB2868" i="4"/>
  <c r="AB2872" i="4"/>
  <c r="AB2876" i="4"/>
  <c r="AB2880" i="4"/>
  <c r="AB2884" i="4"/>
  <c r="AB2888" i="4"/>
  <c r="AB2892" i="4"/>
  <c r="AB2896" i="4"/>
  <c r="AB2900" i="4"/>
  <c r="AB2904" i="4"/>
  <c r="AB2908" i="4"/>
  <c r="AB2912" i="4"/>
  <c r="AB2916" i="4"/>
  <c r="AB2920" i="4"/>
  <c r="AB2924" i="4"/>
  <c r="AB2928" i="4"/>
  <c r="AB2932" i="4"/>
  <c r="AB2936" i="4"/>
  <c r="AB2940" i="4"/>
  <c r="AB2944" i="4"/>
  <c r="AB2948" i="4"/>
  <c r="AB2952" i="4"/>
  <c r="AB2956" i="4"/>
  <c r="AB2960" i="4"/>
  <c r="AB2964" i="4"/>
  <c r="AB2968" i="4"/>
  <c r="AB2972" i="4"/>
  <c r="AB2976" i="4"/>
  <c r="AB2980" i="4"/>
  <c r="AB2984" i="4"/>
  <c r="AB2988" i="4"/>
  <c r="AB2992" i="4"/>
  <c r="AB2996" i="4"/>
  <c r="AB3000" i="4"/>
  <c r="AB3004" i="4"/>
  <c r="AB3008" i="4"/>
  <c r="AB3012" i="4"/>
  <c r="AB3016" i="4"/>
  <c r="AB3020" i="4"/>
  <c r="AB3024" i="4"/>
  <c r="AB3028" i="4"/>
  <c r="AB3032" i="4"/>
  <c r="AB3036" i="4"/>
  <c r="AB3040" i="4"/>
  <c r="AB3044" i="4"/>
  <c r="AB3048" i="4"/>
  <c r="AB3052" i="4"/>
  <c r="AB3056" i="4"/>
  <c r="AB3060" i="4"/>
  <c r="AB3064" i="4"/>
  <c r="AB3068" i="4"/>
  <c r="AB3072" i="4"/>
  <c r="AB3076" i="4"/>
  <c r="AB3080" i="4"/>
  <c r="AB3084" i="4"/>
  <c r="AB3088" i="4"/>
  <c r="AB3092" i="4"/>
  <c r="AB3096" i="4"/>
  <c r="AB3100" i="4"/>
  <c r="AB3104" i="4"/>
  <c r="AB3108" i="4"/>
  <c r="AB3112" i="4"/>
  <c r="AB3116" i="4"/>
  <c r="AB3120" i="4"/>
  <c r="AB3124" i="4"/>
  <c r="AB3128" i="4"/>
  <c r="AB3132" i="4"/>
  <c r="AB3136" i="4"/>
  <c r="AB3140" i="4"/>
  <c r="AB3144" i="4"/>
  <c r="AB3148" i="4"/>
  <c r="AB3152" i="4"/>
  <c r="AB3156" i="4"/>
  <c r="AB3160" i="4"/>
  <c r="AB3164" i="4"/>
  <c r="AB3168" i="4"/>
  <c r="AB3172" i="4"/>
  <c r="AB3176" i="4"/>
  <c r="AB3180" i="4"/>
  <c r="AB3184" i="4"/>
  <c r="AB3188" i="4"/>
  <c r="AB3192" i="4"/>
  <c r="AB3196" i="4"/>
  <c r="AB3200" i="4"/>
  <c r="AB3204" i="4"/>
  <c r="AB3208" i="4"/>
  <c r="AB3212" i="4"/>
  <c r="AB3216" i="4"/>
  <c r="AB3220" i="4"/>
  <c r="AB3224" i="4"/>
  <c r="AB3228" i="4"/>
  <c r="AB3232" i="4"/>
  <c r="AB3236" i="4"/>
  <c r="AB3240" i="4"/>
  <c r="AB3244" i="4"/>
  <c r="AB3248" i="4"/>
  <c r="AB3252" i="4"/>
  <c r="AB3256" i="4"/>
  <c r="AB3260" i="4"/>
  <c r="AB3264" i="4"/>
  <c r="AB3268" i="4"/>
  <c r="AB3272" i="4"/>
  <c r="AB3276" i="4"/>
  <c r="AB3280" i="4"/>
  <c r="AB3284" i="4"/>
  <c r="AB3288" i="4"/>
  <c r="AB3292" i="4"/>
  <c r="AB3296" i="4"/>
  <c r="AB3300" i="4"/>
  <c r="AB3304" i="4"/>
  <c r="AB3308" i="4"/>
  <c r="AB3312" i="4"/>
  <c r="AB3316" i="4"/>
  <c r="AB3320" i="4"/>
  <c r="AB3324" i="4"/>
  <c r="AB3328" i="4"/>
  <c r="AB3332" i="4"/>
  <c r="AB3336" i="4"/>
  <c r="AB3340" i="4"/>
  <c r="AB3344" i="4"/>
  <c r="AB3348" i="4"/>
  <c r="AB3352" i="4"/>
  <c r="AB3356" i="4"/>
  <c r="AB3360" i="4"/>
  <c r="AB3364" i="4"/>
  <c r="AB3368" i="4"/>
  <c r="AB3372" i="4"/>
  <c r="AB3376" i="4"/>
  <c r="AB3380" i="4"/>
  <c r="AB3384" i="4"/>
  <c r="AB3388" i="4"/>
  <c r="AB3392" i="4"/>
  <c r="AB3396" i="4"/>
  <c r="AB3400" i="4"/>
  <c r="AB3404" i="4"/>
  <c r="AB3408" i="4"/>
  <c r="AB3412" i="4"/>
  <c r="AB3416" i="4"/>
  <c r="AB3420" i="4"/>
  <c r="AB3424" i="4"/>
  <c r="AB3428" i="4"/>
  <c r="AB3432" i="4"/>
  <c r="AB3436" i="4"/>
  <c r="AB3440" i="4"/>
  <c r="AB3444" i="4"/>
  <c r="AB3448" i="4"/>
  <c r="AB3452" i="4"/>
  <c r="AB3456" i="4"/>
  <c r="AB3460" i="4"/>
  <c r="AB3464" i="4"/>
  <c r="AB3468" i="4"/>
  <c r="AB3472" i="4"/>
  <c r="AB3476" i="4"/>
  <c r="AB3480" i="4"/>
  <c r="AB3484" i="4"/>
  <c r="AB3488" i="4"/>
  <c r="AB3492" i="4"/>
  <c r="AB3496" i="4"/>
  <c r="AB3500" i="4"/>
  <c r="AB3504" i="4"/>
  <c r="AB3508" i="4"/>
  <c r="AB3512" i="4"/>
  <c r="AB3516" i="4"/>
  <c r="AB3520" i="4"/>
  <c r="AB3524" i="4"/>
  <c r="AB3528" i="4"/>
  <c r="AB3532" i="4"/>
  <c r="AB3536" i="4"/>
  <c r="AB3540" i="4"/>
  <c r="AB3544" i="4"/>
  <c r="AB3548" i="4"/>
  <c r="AB3552" i="4"/>
  <c r="AB821" i="4"/>
  <c r="AB1077" i="4"/>
  <c r="AB1333" i="4"/>
  <c r="AB1423" i="4"/>
  <c r="AB1487" i="4"/>
  <c r="AB1551" i="4"/>
  <c r="AB1615" i="4"/>
  <c r="AB1679" i="4"/>
  <c r="AB1743" i="4"/>
  <c r="AB1787" i="4"/>
  <c r="AB1819" i="4"/>
  <c r="AB1851" i="4"/>
  <c r="AB1882" i="4"/>
  <c r="AB1898" i="4"/>
  <c r="AB1914" i="4"/>
  <c r="AB1930" i="4"/>
  <c r="AB1946" i="4"/>
  <c r="AB1962" i="4"/>
  <c r="AB1978" i="4"/>
  <c r="AB1994" i="4"/>
  <c r="AB2010" i="4"/>
  <c r="AB2026" i="4"/>
  <c r="AB2042" i="4"/>
  <c r="AB2058" i="4"/>
  <c r="AB2074" i="4"/>
  <c r="AB2090" i="4"/>
  <c r="AB2106" i="4"/>
  <c r="AB2122" i="4"/>
  <c r="AB2138" i="4"/>
  <c r="AB2154" i="4"/>
  <c r="AB2170" i="4"/>
  <c r="AB2186" i="4"/>
  <c r="AB2202" i="4"/>
  <c r="AB2218" i="4"/>
  <c r="AB2234" i="4"/>
  <c r="AB2250" i="4"/>
  <c r="AB2266" i="4"/>
  <c r="AB2282" i="4"/>
  <c r="AB2298" i="4"/>
  <c r="AB2314" i="4"/>
  <c r="AB2330" i="4"/>
  <c r="AB2346" i="4"/>
  <c r="AB2358" i="4"/>
  <c r="AB2365" i="4"/>
  <c r="AB2369" i="4"/>
  <c r="AB2373" i="4"/>
  <c r="AB2377" i="4"/>
  <c r="AB2381" i="4"/>
  <c r="AB2385" i="4"/>
  <c r="AB2389" i="4"/>
  <c r="AB2393" i="4"/>
  <c r="AB2397" i="4"/>
  <c r="AB2401" i="4"/>
  <c r="AB2405" i="4"/>
  <c r="AB2409" i="4"/>
  <c r="AB2413" i="4"/>
  <c r="AB2417" i="4"/>
  <c r="AB2421" i="4"/>
  <c r="AB2425" i="4"/>
  <c r="AB2429" i="4"/>
  <c r="AB2433" i="4"/>
  <c r="AB2437" i="4"/>
  <c r="AB2441" i="4"/>
  <c r="AB2445" i="4"/>
  <c r="AB2449" i="4"/>
  <c r="AB2453" i="4"/>
  <c r="AB2457" i="4"/>
  <c r="AB2461" i="4"/>
  <c r="AB2465" i="4"/>
  <c r="AB2469" i="4"/>
  <c r="AB2473" i="4"/>
  <c r="AB2477" i="4"/>
  <c r="AB2481" i="4"/>
  <c r="AB2485" i="4"/>
  <c r="AB2489" i="4"/>
  <c r="AB2493" i="4"/>
  <c r="AB2497" i="4"/>
  <c r="AB2501" i="4"/>
  <c r="AB2505" i="4"/>
  <c r="AB2509" i="4"/>
  <c r="AB2513" i="4"/>
  <c r="AB2517" i="4"/>
  <c r="AB2521" i="4"/>
  <c r="AB2525" i="4"/>
  <c r="AB2529" i="4"/>
  <c r="AB2533" i="4"/>
  <c r="AB2537" i="4"/>
  <c r="AB2541" i="4"/>
  <c r="AB2545" i="4"/>
  <c r="AB2549" i="4"/>
  <c r="AB2553" i="4"/>
  <c r="AB2557" i="4"/>
  <c r="AB2561" i="4"/>
  <c r="AB2565" i="4"/>
  <c r="AB2569" i="4"/>
  <c r="AB2573" i="4"/>
  <c r="AB2577" i="4"/>
  <c r="AB2581" i="4"/>
  <c r="AB2585" i="4"/>
  <c r="AB2589" i="4"/>
  <c r="AB2593" i="4"/>
  <c r="AB2597" i="4"/>
  <c r="AB2601" i="4"/>
  <c r="AB2605" i="4"/>
  <c r="AB2609" i="4"/>
  <c r="AB2613" i="4"/>
  <c r="AB2617" i="4"/>
  <c r="AB2621" i="4"/>
  <c r="AB2625" i="4"/>
  <c r="AB2629" i="4"/>
  <c r="AB2633" i="4"/>
  <c r="AB2637" i="4"/>
  <c r="AB2641" i="4"/>
  <c r="AB2645" i="4"/>
  <c r="AB2649" i="4"/>
  <c r="AB2653" i="4"/>
  <c r="AB2657" i="4"/>
  <c r="AB2661" i="4"/>
  <c r="AB2665" i="4"/>
  <c r="AB2669" i="4"/>
  <c r="AB2673" i="4"/>
  <c r="AB2677" i="4"/>
  <c r="AB2681" i="4"/>
  <c r="AB2685" i="4"/>
  <c r="AB2689" i="4"/>
  <c r="AB2693" i="4"/>
  <c r="AB2697" i="4"/>
  <c r="AB2701" i="4"/>
  <c r="AB2705" i="4"/>
  <c r="AB2709" i="4"/>
  <c r="AB2713" i="4"/>
  <c r="AB2717" i="4"/>
  <c r="AB2721" i="4"/>
  <c r="AB2725" i="4"/>
  <c r="AB2729" i="4"/>
  <c r="AB2733" i="4"/>
  <c r="AB2737" i="4"/>
  <c r="AB2741" i="4"/>
  <c r="AB2745" i="4"/>
  <c r="AB2749" i="4"/>
  <c r="AB2753" i="4"/>
  <c r="AB2757" i="4"/>
  <c r="AB2761" i="4"/>
  <c r="AB2765" i="4"/>
  <c r="AB2769" i="4"/>
  <c r="AB2773" i="4"/>
  <c r="AB2777" i="4"/>
  <c r="AB2781" i="4"/>
  <c r="AB2785" i="4"/>
  <c r="AB2789" i="4"/>
  <c r="AB2793" i="4"/>
  <c r="AB2797" i="4"/>
  <c r="AB2801" i="4"/>
  <c r="AB2805" i="4"/>
  <c r="AB2809" i="4"/>
  <c r="AB2813" i="4"/>
  <c r="AB2817" i="4"/>
  <c r="AB2821" i="4"/>
  <c r="AB2825" i="4"/>
  <c r="AB2829" i="4"/>
  <c r="AB2833" i="4"/>
  <c r="AB2837" i="4"/>
  <c r="AB2841" i="4"/>
  <c r="AB2845" i="4"/>
  <c r="AB2849" i="4"/>
  <c r="AB2853" i="4"/>
  <c r="AB2857" i="4"/>
  <c r="AB2861" i="4"/>
  <c r="AB2865" i="4"/>
  <c r="AB2869" i="4"/>
  <c r="AB2873" i="4"/>
  <c r="AB2877" i="4"/>
  <c r="AB2881" i="4"/>
  <c r="AB2885" i="4"/>
  <c r="AB2889" i="4"/>
  <c r="AB2893" i="4"/>
  <c r="AB2897" i="4"/>
  <c r="AB2901" i="4"/>
  <c r="AB2905" i="4"/>
  <c r="AB2909" i="4"/>
  <c r="AB2913" i="4"/>
  <c r="AB2917" i="4"/>
  <c r="AB2921" i="4"/>
  <c r="AB2925" i="4"/>
  <c r="AB2929" i="4"/>
  <c r="AB2933" i="4"/>
  <c r="AB2937" i="4"/>
  <c r="AB2941" i="4"/>
  <c r="AB2945" i="4"/>
  <c r="AB2949" i="4"/>
  <c r="AB2953" i="4"/>
  <c r="AB2957" i="4"/>
  <c r="AB2961" i="4"/>
  <c r="AB2965" i="4"/>
  <c r="AB2969" i="4"/>
  <c r="AB2973" i="4"/>
  <c r="AB2977" i="4"/>
  <c r="AB2981" i="4"/>
  <c r="AB2985" i="4"/>
  <c r="AB2989" i="4"/>
  <c r="AB2993" i="4"/>
  <c r="AB2997" i="4"/>
  <c r="AB3001" i="4"/>
  <c r="AB3005" i="4"/>
  <c r="AB3009" i="4"/>
  <c r="AB3013" i="4"/>
  <c r="AB3017" i="4"/>
  <c r="AB3021" i="4"/>
  <c r="AB3025" i="4"/>
  <c r="AB3029" i="4"/>
  <c r="AB3033" i="4"/>
  <c r="AB3037" i="4"/>
  <c r="AB3041" i="4"/>
  <c r="AB3045" i="4"/>
  <c r="AB3049" i="4"/>
  <c r="AB3053" i="4"/>
  <c r="AB3057" i="4"/>
  <c r="AB3061" i="4"/>
  <c r="AB3065" i="4"/>
  <c r="AB3069" i="4"/>
  <c r="AB3073" i="4"/>
  <c r="AB3077" i="4"/>
  <c r="AB3081" i="4"/>
  <c r="AB3085" i="4"/>
  <c r="AB3089" i="4"/>
  <c r="AB3093" i="4"/>
  <c r="AB3097" i="4"/>
  <c r="AB3101" i="4"/>
  <c r="AB3105" i="4"/>
  <c r="AB3109" i="4"/>
  <c r="AB3113" i="4"/>
  <c r="AB3117" i="4"/>
  <c r="AB3121" i="4"/>
  <c r="AB3125" i="4"/>
  <c r="AB3129" i="4"/>
  <c r="AB3133" i="4"/>
  <c r="AB3137" i="4"/>
  <c r="AB3141" i="4"/>
  <c r="AB3145" i="4"/>
  <c r="AB3149" i="4"/>
  <c r="AB3153" i="4"/>
  <c r="AB3157" i="4"/>
  <c r="AB3161" i="4"/>
  <c r="AB3165" i="4"/>
  <c r="AB3169" i="4"/>
  <c r="AB3173" i="4"/>
  <c r="AB3177" i="4"/>
  <c r="AB3181" i="4"/>
  <c r="AB3185" i="4"/>
  <c r="AB3189" i="4"/>
  <c r="AB3193" i="4"/>
  <c r="AB3197" i="4"/>
  <c r="AB3201" i="4"/>
  <c r="AB3205" i="4"/>
  <c r="AB3209" i="4"/>
  <c r="AB3213" i="4"/>
  <c r="AB3217" i="4"/>
  <c r="AB3221" i="4"/>
  <c r="AB3225" i="4"/>
  <c r="AB3229" i="4"/>
  <c r="AB3233" i="4"/>
  <c r="AB3237" i="4"/>
  <c r="AB3241" i="4"/>
  <c r="AB3245" i="4"/>
  <c r="AB3249" i="4"/>
  <c r="AB3253" i="4"/>
  <c r="AB3257" i="4"/>
  <c r="AB3261" i="4"/>
  <c r="AB3265" i="4"/>
  <c r="AB3269" i="4"/>
  <c r="AB3273" i="4"/>
  <c r="AB3277" i="4"/>
  <c r="AB3281" i="4"/>
  <c r="AB3285" i="4"/>
  <c r="AB3289" i="4"/>
  <c r="AB3293" i="4"/>
  <c r="AB3297" i="4"/>
  <c r="AB3301" i="4"/>
  <c r="AB3305" i="4"/>
  <c r="AB3309" i="4"/>
  <c r="AB3313" i="4"/>
  <c r="AB3317" i="4"/>
  <c r="AB3321" i="4"/>
  <c r="AB3325" i="4"/>
  <c r="AB3329" i="4"/>
  <c r="AB3333" i="4"/>
  <c r="AB3337" i="4"/>
  <c r="AB3341" i="4"/>
  <c r="AB3345" i="4"/>
  <c r="AB3349" i="4"/>
  <c r="AB3353" i="4"/>
  <c r="AB3357" i="4"/>
  <c r="AB3361" i="4"/>
  <c r="AB3365" i="4"/>
  <c r="AB3369" i="4"/>
  <c r="AB3373" i="4"/>
  <c r="AB3377" i="4"/>
  <c r="AB3381" i="4"/>
  <c r="AB3385" i="4"/>
  <c r="AB3389" i="4"/>
  <c r="AB3393" i="4"/>
  <c r="AB3397" i="4"/>
  <c r="AB3401" i="4"/>
  <c r="AB3405" i="4"/>
  <c r="AB3409" i="4"/>
  <c r="AB3413" i="4"/>
  <c r="AB3417" i="4"/>
  <c r="AB3421" i="4"/>
  <c r="AB3425" i="4"/>
  <c r="AB3429" i="4"/>
  <c r="AB3433" i="4"/>
  <c r="AB3437" i="4"/>
  <c r="AB3441" i="4"/>
  <c r="AB3445" i="4"/>
  <c r="AB3449" i="4"/>
  <c r="AB3453" i="4"/>
  <c r="AB3457" i="4"/>
  <c r="AB885" i="4"/>
  <c r="AB1141" i="4"/>
  <c r="AB1375" i="4"/>
  <c r="AB1439" i="4"/>
  <c r="AB1503" i="4"/>
  <c r="AB1567" i="4"/>
  <c r="AB1631" i="4"/>
  <c r="AB1695" i="4"/>
  <c r="AB1759" i="4"/>
  <c r="AB1795" i="4"/>
  <c r="AB1827" i="4"/>
  <c r="AB1859" i="4"/>
  <c r="AB1886" i="4"/>
  <c r="AB1902" i="4"/>
  <c r="AB1918" i="4"/>
  <c r="AB1934" i="4"/>
  <c r="AB1950" i="4"/>
  <c r="AB1966" i="4"/>
  <c r="AB1982" i="4"/>
  <c r="AB1998" i="4"/>
  <c r="AB2014" i="4"/>
  <c r="AB2030" i="4"/>
  <c r="AB2046" i="4"/>
  <c r="AB2062" i="4"/>
  <c r="AB2078" i="4"/>
  <c r="AB2094" i="4"/>
  <c r="AB2110" i="4"/>
  <c r="AB2126" i="4"/>
  <c r="AB2142" i="4"/>
  <c r="AB2158" i="4"/>
  <c r="AB2174" i="4"/>
  <c r="AB2190" i="4"/>
  <c r="AB2206" i="4"/>
  <c r="AB2222" i="4"/>
  <c r="AB2238" i="4"/>
  <c r="AB2254" i="4"/>
  <c r="AB2270" i="4"/>
  <c r="AB2286" i="4"/>
  <c r="AB2302" i="4"/>
  <c r="AB2318" i="4"/>
  <c r="AB2334" i="4"/>
  <c r="AB2350" i="4"/>
  <c r="AB2361" i="4"/>
  <c r="AB2366" i="4"/>
  <c r="AB2370" i="4"/>
  <c r="AB2374" i="4"/>
  <c r="AB2378" i="4"/>
  <c r="AB2382" i="4"/>
  <c r="AB2386" i="4"/>
  <c r="AB2390" i="4"/>
  <c r="AB2394" i="4"/>
  <c r="AB2398" i="4"/>
  <c r="AB2402" i="4"/>
  <c r="AB2406" i="4"/>
  <c r="AB2410" i="4"/>
  <c r="AB2414" i="4"/>
  <c r="AB2418" i="4"/>
  <c r="AB2422" i="4"/>
  <c r="AB2426" i="4"/>
  <c r="AB2430" i="4"/>
  <c r="AB2434" i="4"/>
  <c r="AB2438" i="4"/>
  <c r="AB2442" i="4"/>
  <c r="AB2446" i="4"/>
  <c r="AB2450" i="4"/>
  <c r="AB2454" i="4"/>
  <c r="AB2458" i="4"/>
  <c r="AB2462" i="4"/>
  <c r="AB2466" i="4"/>
  <c r="AB2470" i="4"/>
  <c r="AB2474" i="4"/>
  <c r="AB2478" i="4"/>
  <c r="AB2482" i="4"/>
  <c r="AB2486" i="4"/>
  <c r="AB2490" i="4"/>
  <c r="AB2494" i="4"/>
  <c r="AB2498" i="4"/>
  <c r="AB2502" i="4"/>
  <c r="AB2506" i="4"/>
  <c r="AB2510" i="4"/>
  <c r="AB2514" i="4"/>
  <c r="AB2518" i="4"/>
  <c r="AB2522" i="4"/>
  <c r="AB2526" i="4"/>
  <c r="AB2530" i="4"/>
  <c r="AB2534" i="4"/>
  <c r="AB2538" i="4"/>
  <c r="AB2542" i="4"/>
  <c r="AB2546" i="4"/>
  <c r="AB2550" i="4"/>
  <c r="AB2554" i="4"/>
  <c r="AB2558" i="4"/>
  <c r="AB2562" i="4"/>
  <c r="AB2566" i="4"/>
  <c r="AB2570" i="4"/>
  <c r="AB2574" i="4"/>
  <c r="AB2578" i="4"/>
  <c r="AB2582" i="4"/>
  <c r="AB2586" i="4"/>
  <c r="AB2590" i="4"/>
  <c r="AB2594" i="4"/>
  <c r="AB2598" i="4"/>
  <c r="AB2602" i="4"/>
  <c r="AB2606" i="4"/>
  <c r="AB2610" i="4"/>
  <c r="AB2614" i="4"/>
  <c r="AB2618" i="4"/>
  <c r="AB2622" i="4"/>
  <c r="AB2626" i="4"/>
  <c r="AB2630" i="4"/>
  <c r="AB2634" i="4"/>
  <c r="AB2638" i="4"/>
  <c r="AB2642" i="4"/>
  <c r="AB2646" i="4"/>
  <c r="AB2650" i="4"/>
  <c r="AB2654" i="4"/>
  <c r="AB2658" i="4"/>
  <c r="AB2662" i="4"/>
  <c r="AB2666" i="4"/>
  <c r="AB2670" i="4"/>
  <c r="AB2674" i="4"/>
  <c r="AB2678" i="4"/>
  <c r="AB2682" i="4"/>
  <c r="AB2686" i="4"/>
  <c r="AB2690" i="4"/>
  <c r="AB2694" i="4"/>
  <c r="AB2698" i="4"/>
  <c r="AB2702" i="4"/>
  <c r="AB2706" i="4"/>
  <c r="AB2710" i="4"/>
  <c r="AB2714" i="4"/>
  <c r="AB2718" i="4"/>
  <c r="AB2722" i="4"/>
  <c r="AB2726" i="4"/>
  <c r="AB2730" i="4"/>
  <c r="AB2734" i="4"/>
  <c r="AB2738" i="4"/>
  <c r="AB2742" i="4"/>
  <c r="AB2746" i="4"/>
  <c r="AB2750" i="4"/>
  <c r="AB2754" i="4"/>
  <c r="AB2758" i="4"/>
  <c r="AB2762" i="4"/>
  <c r="AB2766" i="4"/>
  <c r="AB2770" i="4"/>
  <c r="AB2774" i="4"/>
  <c r="AB2778" i="4"/>
  <c r="AB2782" i="4"/>
  <c r="AB2786" i="4"/>
  <c r="AB2790" i="4"/>
  <c r="AB2794" i="4"/>
  <c r="AB2798" i="4"/>
  <c r="AB2802" i="4"/>
  <c r="AB2806" i="4"/>
  <c r="AB2810" i="4"/>
  <c r="AB2814" i="4"/>
  <c r="AB2818" i="4"/>
  <c r="AB2822" i="4"/>
  <c r="AB2826" i="4"/>
  <c r="AB2830" i="4"/>
  <c r="AB2834" i="4"/>
  <c r="AB2838" i="4"/>
  <c r="AB2842" i="4"/>
  <c r="AB2846" i="4"/>
  <c r="AB2850" i="4"/>
  <c r="AB2854" i="4"/>
  <c r="AB2858" i="4"/>
  <c r="AB2862" i="4"/>
  <c r="AB2866" i="4"/>
  <c r="AB2870" i="4"/>
  <c r="AB2874" i="4"/>
  <c r="AB2878" i="4"/>
  <c r="AB2882" i="4"/>
  <c r="AB2886" i="4"/>
  <c r="AB2890" i="4"/>
  <c r="AB2894" i="4"/>
  <c r="AB2898" i="4"/>
  <c r="AB2902" i="4"/>
  <c r="AB2906" i="4"/>
  <c r="AB2910" i="4"/>
  <c r="AB2914" i="4"/>
  <c r="AB2918" i="4"/>
  <c r="AB2922" i="4"/>
  <c r="AB2926" i="4"/>
  <c r="AB2930" i="4"/>
  <c r="AB2934" i="4"/>
  <c r="AB2938" i="4"/>
  <c r="AB2942" i="4"/>
  <c r="AB2946" i="4"/>
  <c r="AB2950" i="4"/>
  <c r="AB2954" i="4"/>
  <c r="AB2958" i="4"/>
  <c r="AB2962" i="4"/>
  <c r="AB2966" i="4"/>
  <c r="AB2970" i="4"/>
  <c r="AB2974" i="4"/>
  <c r="AB2978" i="4"/>
  <c r="AB2982" i="4"/>
  <c r="AB2986" i="4"/>
  <c r="AB2990" i="4"/>
  <c r="AB2994" i="4"/>
  <c r="AB2998" i="4"/>
  <c r="AB3002" i="4"/>
  <c r="AB3006" i="4"/>
  <c r="AB3010" i="4"/>
  <c r="AB3014" i="4"/>
  <c r="AB3018" i="4"/>
  <c r="AB3022" i="4"/>
  <c r="AB3026" i="4"/>
  <c r="AB3030" i="4"/>
  <c r="AB3034" i="4"/>
  <c r="AB3038" i="4"/>
  <c r="AB3042" i="4"/>
  <c r="AB3046" i="4"/>
  <c r="AB3050" i="4"/>
  <c r="AB3054" i="4"/>
  <c r="AB3058" i="4"/>
  <c r="AB3062" i="4"/>
  <c r="AB3066" i="4"/>
  <c r="AB3070" i="4"/>
  <c r="AB3074" i="4"/>
  <c r="AB3078" i="4"/>
  <c r="AB3082" i="4"/>
  <c r="AB3086" i="4"/>
  <c r="AB3090" i="4"/>
  <c r="AB3094" i="4"/>
  <c r="AB3098" i="4"/>
  <c r="AB3102" i="4"/>
  <c r="AB3106" i="4"/>
  <c r="AB3110" i="4"/>
  <c r="AB3114" i="4"/>
  <c r="AB3118" i="4"/>
  <c r="AB3122" i="4"/>
  <c r="AB3126" i="4"/>
  <c r="AB3130" i="4"/>
  <c r="AB3134" i="4"/>
  <c r="AB3138" i="4"/>
  <c r="AB3142" i="4"/>
  <c r="AB3146" i="4"/>
  <c r="AB3150" i="4"/>
  <c r="AB3154" i="4"/>
  <c r="AB3158" i="4"/>
  <c r="AB3162" i="4"/>
  <c r="AB3166" i="4"/>
  <c r="AB3170" i="4"/>
  <c r="AB3174" i="4"/>
  <c r="AB3178" i="4"/>
  <c r="AB3182" i="4"/>
  <c r="AB3186" i="4"/>
  <c r="AB3190" i="4"/>
  <c r="AB3194" i="4"/>
  <c r="AB3198" i="4"/>
  <c r="AB3202" i="4"/>
  <c r="AB3206" i="4"/>
  <c r="AB3210" i="4"/>
  <c r="AB3214" i="4"/>
  <c r="AB3218" i="4"/>
  <c r="AB3222" i="4"/>
  <c r="AB3226" i="4"/>
  <c r="AB3230" i="4"/>
  <c r="AB3234" i="4"/>
  <c r="AB3238" i="4"/>
  <c r="AB3242" i="4"/>
  <c r="AB3246" i="4"/>
  <c r="AB3250" i="4"/>
  <c r="AB3254" i="4"/>
  <c r="AB3258" i="4"/>
  <c r="AB3262" i="4"/>
  <c r="AB3266" i="4"/>
  <c r="AB3270" i="4"/>
  <c r="AB3274" i="4"/>
  <c r="AB3278" i="4"/>
  <c r="AB3282" i="4"/>
  <c r="AB3286" i="4"/>
  <c r="AB3290" i="4"/>
  <c r="AB3294" i="4"/>
  <c r="AB3298" i="4"/>
  <c r="AB3302" i="4"/>
  <c r="AB3306" i="4"/>
  <c r="AB3310" i="4"/>
  <c r="AB3314" i="4"/>
  <c r="AB3318" i="4"/>
  <c r="AB3322" i="4"/>
  <c r="AB3326" i="4"/>
  <c r="AB3330" i="4"/>
  <c r="AB3334" i="4"/>
  <c r="AB3338" i="4"/>
  <c r="AB3342" i="4"/>
  <c r="AB3346" i="4"/>
  <c r="AB3350" i="4"/>
  <c r="AB3354" i="4"/>
  <c r="AB3358" i="4"/>
  <c r="AB3362" i="4"/>
  <c r="AB3366" i="4"/>
  <c r="AB3370" i="4"/>
  <c r="AB3374" i="4"/>
  <c r="AB3378" i="4"/>
  <c r="AB3382" i="4"/>
  <c r="AB3386" i="4"/>
  <c r="AB3390" i="4"/>
  <c r="AB3394" i="4"/>
  <c r="AB3398" i="4"/>
  <c r="AB3402" i="4"/>
  <c r="AB3406" i="4"/>
  <c r="AB3410" i="4"/>
  <c r="AB3414" i="4"/>
  <c r="AB3418" i="4"/>
  <c r="AB3422" i="4"/>
  <c r="AB3426" i="4"/>
  <c r="AB3430" i="4"/>
  <c r="AB3434" i="4"/>
  <c r="AB3438" i="4"/>
  <c r="AB3442" i="4"/>
  <c r="AB3446" i="4"/>
  <c r="AB3450" i="4"/>
  <c r="AB3454" i="4"/>
  <c r="AB3458" i="4"/>
  <c r="AB3462" i="4"/>
  <c r="AB3466" i="4"/>
  <c r="AB3470" i="4"/>
  <c r="AB3474" i="4"/>
  <c r="AB3478" i="4"/>
  <c r="AB3482" i="4"/>
  <c r="AB3486" i="4"/>
  <c r="AB3490" i="4"/>
  <c r="AB3494" i="4"/>
  <c r="AB3498" i="4"/>
  <c r="AB3502" i="4"/>
  <c r="AB3506" i="4"/>
  <c r="AB3510" i="4"/>
  <c r="AB3514" i="4"/>
  <c r="AB3518" i="4"/>
  <c r="AB3522" i="4"/>
  <c r="AB3526" i="4"/>
  <c r="AB3530" i="4"/>
  <c r="AB3534" i="4"/>
  <c r="AB3538" i="4"/>
  <c r="AB3542" i="4"/>
  <c r="AB3546" i="4"/>
  <c r="AB3550" i="4"/>
  <c r="AB3554" i="4"/>
  <c r="AB949" i="4"/>
  <c r="AB1519" i="4"/>
  <c r="AB1771" i="4"/>
  <c r="AB1890" i="4"/>
  <c r="AB1954" i="4"/>
  <c r="AB2018" i="4"/>
  <c r="AB2082" i="4"/>
  <c r="AB2146" i="4"/>
  <c r="AB2210" i="4"/>
  <c r="AB2274" i="4"/>
  <c r="AB2338" i="4"/>
  <c r="AB2371" i="4"/>
  <c r="AB2387" i="4"/>
  <c r="AB2403" i="4"/>
  <c r="AB2419" i="4"/>
  <c r="AB2435" i="4"/>
  <c r="AB2451" i="4"/>
  <c r="AB2467" i="4"/>
  <c r="AB2483" i="4"/>
  <c r="AB2499" i="4"/>
  <c r="AB2515" i="4"/>
  <c r="AB2531" i="4"/>
  <c r="AB2547" i="4"/>
  <c r="AB2563" i="4"/>
  <c r="AB2579" i="4"/>
  <c r="AB2595" i="4"/>
  <c r="AB2611" i="4"/>
  <c r="AB2627" i="4"/>
  <c r="AB2643" i="4"/>
  <c r="AB2659" i="4"/>
  <c r="AB2675" i="4"/>
  <c r="AB2691" i="4"/>
  <c r="AB2707" i="4"/>
  <c r="AB2723" i="4"/>
  <c r="AB2739" i="4"/>
  <c r="AB2755" i="4"/>
  <c r="AB2771" i="4"/>
  <c r="AB2787" i="4"/>
  <c r="AB2803" i="4"/>
  <c r="AB2819" i="4"/>
  <c r="AB2835" i="4"/>
  <c r="AB2851" i="4"/>
  <c r="AB2867" i="4"/>
  <c r="AB2883" i="4"/>
  <c r="AB2899" i="4"/>
  <c r="AB2915" i="4"/>
  <c r="AB2931" i="4"/>
  <c r="AB2947" i="4"/>
  <c r="AB2963" i="4"/>
  <c r="AB2979" i="4"/>
  <c r="AB2995" i="4"/>
  <c r="AB3011" i="4"/>
  <c r="AB3027" i="4"/>
  <c r="AB3043" i="4"/>
  <c r="AB3059" i="4"/>
  <c r="AB3075" i="4"/>
  <c r="AB3091" i="4"/>
  <c r="AB3107" i="4"/>
  <c r="AB3123" i="4"/>
  <c r="AB3139" i="4"/>
  <c r="AB3155" i="4"/>
  <c r="AB3171" i="4"/>
  <c r="AB3187" i="4"/>
  <c r="AB3203" i="4"/>
  <c r="AB3219" i="4"/>
  <c r="AB3235" i="4"/>
  <c r="AB3251" i="4"/>
  <c r="AB3267" i="4"/>
  <c r="AB3283" i="4"/>
  <c r="AB3299" i="4"/>
  <c r="AB3315" i="4"/>
  <c r="AB3331" i="4"/>
  <c r="AB3347" i="4"/>
  <c r="AB3363" i="4"/>
  <c r="AB3379" i="4"/>
  <c r="AB3395" i="4"/>
  <c r="AB3411" i="4"/>
  <c r="AB3427" i="4"/>
  <c r="AB3443" i="4"/>
  <c r="AB3459" i="4"/>
  <c r="AB3467" i="4"/>
  <c r="AB3475" i="4"/>
  <c r="AB3483" i="4"/>
  <c r="AB3491" i="4"/>
  <c r="AB3499" i="4"/>
  <c r="AB3507" i="4"/>
  <c r="AB3515" i="4"/>
  <c r="AB3523" i="4"/>
  <c r="AB3531" i="4"/>
  <c r="AB3539" i="4"/>
  <c r="AB3547" i="4"/>
  <c r="AB3555" i="4"/>
  <c r="AB3559" i="4"/>
  <c r="AB3563" i="4"/>
  <c r="AB3567" i="4"/>
  <c r="AB3571" i="4"/>
  <c r="AB3575" i="4"/>
  <c r="AB3579" i="4"/>
  <c r="AB3583" i="4"/>
  <c r="AB3587" i="4"/>
  <c r="AB3591" i="4"/>
  <c r="AB3595" i="4"/>
  <c r="AB3599" i="4"/>
  <c r="AB3603" i="4"/>
  <c r="AB3607" i="4"/>
  <c r="AB3611" i="4"/>
  <c r="AB3615" i="4"/>
  <c r="AB3619" i="4"/>
  <c r="AB3623" i="4"/>
  <c r="AB3627" i="4"/>
  <c r="AB3631" i="4"/>
  <c r="AB3635" i="4"/>
  <c r="AB3639" i="4"/>
  <c r="AB3643" i="4"/>
  <c r="AB3647" i="4"/>
  <c r="AB3651" i="4"/>
  <c r="AB3655" i="4"/>
  <c r="AB3659" i="4"/>
  <c r="AB3663" i="4"/>
  <c r="AB3667" i="4"/>
  <c r="AB3671" i="4"/>
  <c r="AB3675" i="4"/>
  <c r="AB3679" i="4"/>
  <c r="AB3683" i="4"/>
  <c r="AB3687" i="4"/>
  <c r="AB3691" i="4"/>
  <c r="AB3695" i="4"/>
  <c r="AB3699" i="4"/>
  <c r="AB3703" i="4"/>
  <c r="AB3707" i="4"/>
  <c r="AB3711" i="4"/>
  <c r="AB3715" i="4"/>
  <c r="AB3719" i="4"/>
  <c r="AB3723" i="4"/>
  <c r="AB3727" i="4"/>
  <c r="AB3731" i="4"/>
  <c r="AB3735" i="4"/>
  <c r="AB3739" i="4"/>
  <c r="AB3743" i="4"/>
  <c r="AB3747" i="4"/>
  <c r="AB3751" i="4"/>
  <c r="AB3755" i="4"/>
  <c r="AB3759" i="4"/>
  <c r="AB3763" i="4"/>
  <c r="AB3767" i="4"/>
  <c r="AB3771" i="4"/>
  <c r="AB3775" i="4"/>
  <c r="AB3779" i="4"/>
  <c r="AB3783" i="4"/>
  <c r="AB3787" i="4"/>
  <c r="AB3791" i="4"/>
  <c r="AB3795" i="4"/>
  <c r="AB3799" i="4"/>
  <c r="AB3803" i="4"/>
  <c r="AB1205" i="4"/>
  <c r="AB1583" i="4"/>
  <c r="AB1803" i="4"/>
  <c r="AB1906" i="4"/>
  <c r="AB1970" i="4"/>
  <c r="AB2034" i="4"/>
  <c r="AB2098" i="4"/>
  <c r="AB2162" i="4"/>
  <c r="AB2226" i="4"/>
  <c r="AB2290" i="4"/>
  <c r="AB2354" i="4"/>
  <c r="AB2375" i="4"/>
  <c r="AB2391" i="4"/>
  <c r="AB2407" i="4"/>
  <c r="AB2423" i="4"/>
  <c r="AB2439" i="4"/>
  <c r="AB2455" i="4"/>
  <c r="AB2471" i="4"/>
  <c r="AB2487" i="4"/>
  <c r="AB2503" i="4"/>
  <c r="AB2519" i="4"/>
  <c r="AB2535" i="4"/>
  <c r="AB2551" i="4"/>
  <c r="AB2567" i="4"/>
  <c r="AB2583" i="4"/>
  <c r="AB2599" i="4"/>
  <c r="AB2615" i="4"/>
  <c r="AB2631" i="4"/>
  <c r="AB2647" i="4"/>
  <c r="AB2663" i="4"/>
  <c r="AB2679" i="4"/>
  <c r="AB2695" i="4"/>
  <c r="AB2711" i="4"/>
  <c r="AB2727" i="4"/>
  <c r="AB2743" i="4"/>
  <c r="AB2759" i="4"/>
  <c r="AB2775" i="4"/>
  <c r="AB2791" i="4"/>
  <c r="AB2807" i="4"/>
  <c r="AB2823" i="4"/>
  <c r="AB2839" i="4"/>
  <c r="AB2855" i="4"/>
  <c r="AB2871" i="4"/>
  <c r="AB2887" i="4"/>
  <c r="AB2903" i="4"/>
  <c r="AB2919" i="4"/>
  <c r="AB2935" i="4"/>
  <c r="AB2951" i="4"/>
  <c r="AB2967" i="4"/>
  <c r="AB2983" i="4"/>
  <c r="AB2999" i="4"/>
  <c r="AB3015" i="4"/>
  <c r="AB3031" i="4"/>
  <c r="AB3047" i="4"/>
  <c r="AB3063" i="4"/>
  <c r="AB3079" i="4"/>
  <c r="AB3095" i="4"/>
  <c r="AB3111" i="4"/>
  <c r="AB3127" i="4"/>
  <c r="AB3143" i="4"/>
  <c r="AB3159" i="4"/>
  <c r="AB3175" i="4"/>
  <c r="AB3191" i="4"/>
  <c r="AB3207" i="4"/>
  <c r="AB3223" i="4"/>
  <c r="AB3239" i="4"/>
  <c r="AB3255" i="4"/>
  <c r="AB3271" i="4"/>
  <c r="AB3287" i="4"/>
  <c r="AB3303" i="4"/>
  <c r="AB3319" i="4"/>
  <c r="AB3335" i="4"/>
  <c r="AB3351" i="4"/>
  <c r="AB3367" i="4"/>
  <c r="AB3383" i="4"/>
  <c r="AB3399" i="4"/>
  <c r="AB3415" i="4"/>
  <c r="AB3431" i="4"/>
  <c r="AB3447" i="4"/>
  <c r="AB3461" i="4"/>
  <c r="AB3469" i="4"/>
  <c r="AB3477" i="4"/>
  <c r="AB3485" i="4"/>
  <c r="AB3493" i="4"/>
  <c r="AB3501" i="4"/>
  <c r="AB3509" i="4"/>
  <c r="AB3517" i="4"/>
  <c r="AB3525" i="4"/>
  <c r="AB3533" i="4"/>
  <c r="AB3541" i="4"/>
  <c r="AB3549" i="4"/>
  <c r="AB3556" i="4"/>
  <c r="AB3560" i="4"/>
  <c r="AB3564" i="4"/>
  <c r="AB3568" i="4"/>
  <c r="AB3572" i="4"/>
  <c r="AB3576" i="4"/>
  <c r="AB3580" i="4"/>
  <c r="AB3584" i="4"/>
  <c r="AB3588" i="4"/>
  <c r="AB3592" i="4"/>
  <c r="AB3596" i="4"/>
  <c r="AB3600" i="4"/>
  <c r="AB3604" i="4"/>
  <c r="AB3608" i="4"/>
  <c r="AB3612" i="4"/>
  <c r="AB3616" i="4"/>
  <c r="AB3620" i="4"/>
  <c r="AB3624" i="4"/>
  <c r="AB3628" i="4"/>
  <c r="AB3632" i="4"/>
  <c r="AB3636" i="4"/>
  <c r="AB3640" i="4"/>
  <c r="AB3644" i="4"/>
  <c r="AB1391" i="4"/>
  <c r="AB1647" i="4"/>
  <c r="AB1835" i="4"/>
  <c r="AB1922" i="4"/>
  <c r="AB1986" i="4"/>
  <c r="AB2050" i="4"/>
  <c r="AB2114" i="4"/>
  <c r="AB2178" i="4"/>
  <c r="AB2242" i="4"/>
  <c r="AB2306" i="4"/>
  <c r="AB2362" i="4"/>
  <c r="AB2379" i="4"/>
  <c r="AB2395" i="4"/>
  <c r="AB2411" i="4"/>
  <c r="AB2427" i="4"/>
  <c r="AB2443" i="4"/>
  <c r="AB2459" i="4"/>
  <c r="AB2475" i="4"/>
  <c r="AB2491" i="4"/>
  <c r="AB2507" i="4"/>
  <c r="AB2523" i="4"/>
  <c r="AB2539" i="4"/>
  <c r="AB2555" i="4"/>
  <c r="AB2571" i="4"/>
  <c r="AB2587" i="4"/>
  <c r="AB2603" i="4"/>
  <c r="AB2619" i="4"/>
  <c r="AB2635" i="4"/>
  <c r="AB2651" i="4"/>
  <c r="AB2667" i="4"/>
  <c r="AB2683" i="4"/>
  <c r="AB2699" i="4"/>
  <c r="AB2715" i="4"/>
  <c r="AB2731" i="4"/>
  <c r="AB2747" i="4"/>
  <c r="AB2763" i="4"/>
  <c r="AB2779" i="4"/>
  <c r="AB2795" i="4"/>
  <c r="AB2811" i="4"/>
  <c r="AB2827" i="4"/>
  <c r="AB2843" i="4"/>
  <c r="AB2859" i="4"/>
  <c r="AB2875" i="4"/>
  <c r="AB2891" i="4"/>
  <c r="AB2907" i="4"/>
  <c r="AB2923" i="4"/>
  <c r="AB2939" i="4"/>
  <c r="AB2955" i="4"/>
  <c r="AB2971" i="4"/>
  <c r="AB2987" i="4"/>
  <c r="AB3003" i="4"/>
  <c r="AB3019" i="4"/>
  <c r="AB3035" i="4"/>
  <c r="AB3051" i="4"/>
  <c r="AB3067" i="4"/>
  <c r="AB3083" i="4"/>
  <c r="AB3099" i="4"/>
  <c r="AB3115" i="4"/>
  <c r="AB3131" i="4"/>
  <c r="AB3147" i="4"/>
  <c r="AB3163" i="4"/>
  <c r="AB3179" i="4"/>
  <c r="AB3195" i="4"/>
  <c r="AB3211" i="4"/>
  <c r="AB3227" i="4"/>
  <c r="AB3243" i="4"/>
  <c r="AB3259" i="4"/>
  <c r="AB3275" i="4"/>
  <c r="AB3291" i="4"/>
  <c r="AB3307" i="4"/>
  <c r="AB3323" i="4"/>
  <c r="AB3339" i="4"/>
  <c r="AB3355" i="4"/>
  <c r="AB3371" i="4"/>
  <c r="AB3387" i="4"/>
  <c r="AB3403" i="4"/>
  <c r="AB3419" i="4"/>
  <c r="AB3435" i="4"/>
  <c r="AB3451" i="4"/>
  <c r="AB3463" i="4"/>
  <c r="AB3471" i="4"/>
  <c r="AB3479" i="4"/>
  <c r="AB3487" i="4"/>
  <c r="AB3495" i="4"/>
  <c r="AB3503" i="4"/>
  <c r="AB3511" i="4"/>
  <c r="AB3519" i="4"/>
  <c r="AB3527" i="4"/>
  <c r="AB3535" i="4"/>
  <c r="AB3543" i="4"/>
  <c r="AB3551" i="4"/>
  <c r="AB3557" i="4"/>
  <c r="AB3561" i="4"/>
  <c r="AB3565" i="4"/>
  <c r="AB3569" i="4"/>
  <c r="AB3573" i="4"/>
  <c r="AB3577" i="4"/>
  <c r="AB3581" i="4"/>
  <c r="AB3585" i="4"/>
  <c r="AB3589" i="4"/>
  <c r="AB3593" i="4"/>
  <c r="AB3597" i="4"/>
  <c r="AB3601" i="4"/>
  <c r="AB3605" i="4"/>
  <c r="AB3609" i="4"/>
  <c r="AB3613" i="4"/>
  <c r="AB3617" i="4"/>
  <c r="AB3621" i="4"/>
  <c r="AB3625" i="4"/>
  <c r="AB3629" i="4"/>
  <c r="AB3633" i="4"/>
  <c r="AB3637" i="4"/>
  <c r="AB3641" i="4"/>
  <c r="AB3645" i="4"/>
  <c r="AB3649" i="4"/>
  <c r="AB3653" i="4"/>
  <c r="AB3657" i="4"/>
  <c r="AB3661" i="4"/>
  <c r="AB3665" i="4"/>
  <c r="AB3669" i="4"/>
  <c r="AB3673" i="4"/>
  <c r="AB3677" i="4"/>
  <c r="AB3681" i="4"/>
  <c r="AB3685" i="4"/>
  <c r="AB3689" i="4"/>
  <c r="AB3693" i="4"/>
  <c r="AB3697" i="4"/>
  <c r="AB3701" i="4"/>
  <c r="AB3705" i="4"/>
  <c r="AB3709" i="4"/>
  <c r="AB3713" i="4"/>
  <c r="AB3717" i="4"/>
  <c r="AB3721" i="4"/>
  <c r="AB3725" i="4"/>
  <c r="AB3729" i="4"/>
  <c r="AB3733" i="4"/>
  <c r="AB3737" i="4"/>
  <c r="AB3741" i="4"/>
  <c r="AB3745" i="4"/>
  <c r="AB3749" i="4"/>
  <c r="AB3753" i="4"/>
  <c r="AB3757" i="4"/>
  <c r="AB3761" i="4"/>
  <c r="AB3765" i="4"/>
  <c r="AB3769" i="4"/>
  <c r="AB3773" i="4"/>
  <c r="AB3777" i="4"/>
  <c r="AB3781" i="4"/>
  <c r="AB3785" i="4"/>
  <c r="AB3789" i="4"/>
  <c r="AB3793" i="4"/>
  <c r="AB3797" i="4"/>
  <c r="AB3801" i="4"/>
  <c r="AB3805" i="4"/>
  <c r="AB1455" i="4"/>
  <c r="AB1711" i="4"/>
  <c r="AB1867" i="4"/>
  <c r="AB1938" i="4"/>
  <c r="AB2002" i="4"/>
  <c r="AB2066" i="4"/>
  <c r="AB2130" i="4"/>
  <c r="AB2194" i="4"/>
  <c r="AB2258" i="4"/>
  <c r="AB2322" i="4"/>
  <c r="AB2367" i="4"/>
  <c r="AB2383" i="4"/>
  <c r="AB2399" i="4"/>
  <c r="AB2415" i="4"/>
  <c r="AB2431" i="4"/>
  <c r="AB2447" i="4"/>
  <c r="AB2463" i="4"/>
  <c r="AB2479" i="4"/>
  <c r="AB2495" i="4"/>
  <c r="AB2511" i="4"/>
  <c r="AB2527" i="4"/>
  <c r="AB2543" i="4"/>
  <c r="AB2559" i="4"/>
  <c r="AB2575" i="4"/>
  <c r="AB2591" i="4"/>
  <c r="AB2607" i="4"/>
  <c r="AB2623" i="4"/>
  <c r="AB2639" i="4"/>
  <c r="AB2655" i="4"/>
  <c r="AB2671" i="4"/>
  <c r="AB2687" i="4"/>
  <c r="AB2703" i="4"/>
  <c r="AB2719" i="4"/>
  <c r="AB2735" i="4"/>
  <c r="AB2751" i="4"/>
  <c r="AB2767" i="4"/>
  <c r="AB2783" i="4"/>
  <c r="AB2799" i="4"/>
  <c r="AB2815" i="4"/>
  <c r="AB2831" i="4"/>
  <c r="AB2847" i="4"/>
  <c r="AB2863" i="4"/>
  <c r="AB2879" i="4"/>
  <c r="AB2895" i="4"/>
  <c r="AB2911" i="4"/>
  <c r="AB2927" i="4"/>
  <c r="AB2943" i="4"/>
  <c r="AB2959" i="4"/>
  <c r="AB2975" i="4"/>
  <c r="AB2991" i="4"/>
  <c r="AB3007" i="4"/>
  <c r="AB3023" i="4"/>
  <c r="AB3039" i="4"/>
  <c r="AB3055" i="4"/>
  <c r="AB3071" i="4"/>
  <c r="AB3087" i="4"/>
  <c r="AB3103" i="4"/>
  <c r="AB3119" i="4"/>
  <c r="AB3135" i="4"/>
  <c r="AB3151" i="4"/>
  <c r="AB3167" i="4"/>
  <c r="AB3183" i="4"/>
  <c r="AB3199" i="4"/>
  <c r="AB3215" i="4"/>
  <c r="AB3231" i="4"/>
  <c r="AB3247" i="4"/>
  <c r="AB3263" i="4"/>
  <c r="AB3279" i="4"/>
  <c r="AB3295" i="4"/>
  <c r="AB3311" i="4"/>
  <c r="AB3327" i="4"/>
  <c r="AB3343" i="4"/>
  <c r="AB3359" i="4"/>
  <c r="AB3375" i="4"/>
  <c r="AB3391" i="4"/>
  <c r="AB3407" i="4"/>
  <c r="AB3423" i="4"/>
  <c r="AB3439" i="4"/>
  <c r="AB3455" i="4"/>
  <c r="AB3465" i="4"/>
  <c r="AB3473" i="4"/>
  <c r="AB3481" i="4"/>
  <c r="AB3489" i="4"/>
  <c r="AB3497" i="4"/>
  <c r="AB3505" i="4"/>
  <c r="AB3513" i="4"/>
  <c r="AB3545" i="4"/>
  <c r="AB3566" i="4"/>
  <c r="AB3582" i="4"/>
  <c r="AB3598" i="4"/>
  <c r="AB3614" i="4"/>
  <c r="AB3630" i="4"/>
  <c r="AB3646" i="4"/>
  <c r="AB3654" i="4"/>
  <c r="AB3662" i="4"/>
  <c r="AB3670" i="4"/>
  <c r="AB3678" i="4"/>
  <c r="AB3686" i="4"/>
  <c r="AB3694" i="4"/>
  <c r="AB3702" i="4"/>
  <c r="AB3710" i="4"/>
  <c r="AB3718" i="4"/>
  <c r="AB3726" i="4"/>
  <c r="AB3734" i="4"/>
  <c r="AB3742" i="4"/>
  <c r="AB3750" i="4"/>
  <c r="AB3758" i="4"/>
  <c r="AB3766" i="4"/>
  <c r="AB3774" i="4"/>
  <c r="AB3782" i="4"/>
  <c r="AB3790" i="4"/>
  <c r="AB3798" i="4"/>
  <c r="AB3806" i="4"/>
  <c r="AB3810" i="4"/>
  <c r="AB3814" i="4"/>
  <c r="AB3818" i="4"/>
  <c r="AB3822" i="4"/>
  <c r="AB3826" i="4"/>
  <c r="AB3830" i="4"/>
  <c r="AB3834" i="4"/>
  <c r="AB3838" i="4"/>
  <c r="AB3842" i="4"/>
  <c r="AB3846" i="4"/>
  <c r="AB3850" i="4"/>
  <c r="AB3854" i="4"/>
  <c r="AB3858" i="4"/>
  <c r="AB3862" i="4"/>
  <c r="AB3866" i="4"/>
  <c r="AB3870" i="4"/>
  <c r="AB3874" i="4"/>
  <c r="AB3878" i="4"/>
  <c r="AB3882" i="4"/>
  <c r="AB3886" i="4"/>
  <c r="AB3890" i="4"/>
  <c r="AB3894" i="4"/>
  <c r="AB3898" i="4"/>
  <c r="AB3902" i="4"/>
  <c r="AB3906" i="4"/>
  <c r="AB3910" i="4"/>
  <c r="AB3914" i="4"/>
  <c r="AB3918" i="4"/>
  <c r="AB3922" i="4"/>
  <c r="AB3926" i="4"/>
  <c r="AB3930" i="4"/>
  <c r="AB3934" i="4"/>
  <c r="AB3938" i="4"/>
  <c r="AB3942" i="4"/>
  <c r="AB3946" i="4"/>
  <c r="AB3950" i="4"/>
  <c r="AB3954" i="4"/>
  <c r="AB3958" i="4"/>
  <c r="AB3962" i="4"/>
  <c r="AB3966" i="4"/>
  <c r="AB3970" i="4"/>
  <c r="AB3974" i="4"/>
  <c r="AB3978" i="4"/>
  <c r="AB3982" i="4"/>
  <c r="AB3986" i="4"/>
  <c r="AB3990" i="4"/>
  <c r="AB3994" i="4"/>
  <c r="AB3998" i="4"/>
  <c r="AB4002" i="4"/>
  <c r="AB4006" i="4"/>
  <c r="AB4010" i="4"/>
  <c r="AB4014" i="4"/>
  <c r="AB4018" i="4"/>
  <c r="AB4022" i="4"/>
  <c r="AB4026" i="4"/>
  <c r="AB4030" i="4"/>
  <c r="AB4034" i="4"/>
  <c r="AB4038" i="4"/>
  <c r="AB4042" i="4"/>
  <c r="AB4046" i="4"/>
  <c r="AB4050" i="4"/>
  <c r="AB4054" i="4"/>
  <c r="AB4058" i="4"/>
  <c r="AB4062" i="4"/>
  <c r="AB4066" i="4"/>
  <c r="AB4070" i="4"/>
  <c r="AB4074" i="4"/>
  <c r="AB4078" i="4"/>
  <c r="AB4082" i="4"/>
  <c r="AB4086" i="4"/>
  <c r="AB4090" i="4"/>
  <c r="AB4094" i="4"/>
  <c r="AB4098" i="4"/>
  <c r="AB4102" i="4"/>
  <c r="AB4106" i="4"/>
  <c r="AB4110" i="4"/>
  <c r="AB4114" i="4"/>
  <c r="AB4118" i="4"/>
  <c r="AB4122" i="4"/>
  <c r="AB4126" i="4"/>
  <c r="AB4130" i="4"/>
  <c r="AB4134" i="4"/>
  <c r="AB4138" i="4"/>
  <c r="AB4142" i="4"/>
  <c r="AB4146" i="4"/>
  <c r="AB4150" i="4"/>
  <c r="AB4154" i="4"/>
  <c r="AB4158" i="4"/>
  <c r="AB4162" i="4"/>
  <c r="AB4166" i="4"/>
  <c r="AB4170" i="4"/>
  <c r="AB4174" i="4"/>
  <c r="AB4178" i="4"/>
  <c r="AB4182" i="4"/>
  <c r="AB4186" i="4"/>
  <c r="AB4190" i="4"/>
  <c r="AB4194" i="4"/>
  <c r="AB4198" i="4"/>
  <c r="AB4202" i="4"/>
  <c r="AB4206" i="4"/>
  <c r="AB4210" i="4"/>
  <c r="AB4214" i="4"/>
  <c r="AB4218" i="4"/>
  <c r="AB4222" i="4"/>
  <c r="AB4226" i="4"/>
  <c r="AB4230" i="4"/>
  <c r="AB4234" i="4"/>
  <c r="AB4238" i="4"/>
  <c r="AB4242" i="4"/>
  <c r="AB4246" i="4"/>
  <c r="AB4250" i="4"/>
  <c r="AB4254" i="4"/>
  <c r="AB4258" i="4"/>
  <c r="AB4262" i="4"/>
  <c r="AB4266" i="4"/>
  <c r="AB4270" i="4"/>
  <c r="AB4274" i="4"/>
  <c r="AB4278" i="4"/>
  <c r="AB4282" i="4"/>
  <c r="AB4286" i="4"/>
  <c r="AB4290" i="4"/>
  <c r="AB4294" i="4"/>
  <c r="AB4298" i="4"/>
  <c r="AB4302" i="4"/>
  <c r="AB4306" i="4"/>
  <c r="AB4310" i="4"/>
  <c r="AB4314" i="4"/>
  <c r="AB4318" i="4"/>
  <c r="AB4322" i="4"/>
  <c r="AB4326" i="4"/>
  <c r="AB4330" i="4"/>
  <c r="AB4334" i="4"/>
  <c r="AB4338" i="4"/>
  <c r="AB3521" i="4"/>
  <c r="AB3553" i="4"/>
  <c r="AB3570" i="4"/>
  <c r="AB3586" i="4"/>
  <c r="AB3602" i="4"/>
  <c r="AB3618" i="4"/>
  <c r="AB3634" i="4"/>
  <c r="AB3648" i="4"/>
  <c r="AB3656" i="4"/>
  <c r="AB3664" i="4"/>
  <c r="AB3672" i="4"/>
  <c r="AB3680" i="4"/>
  <c r="AB3688" i="4"/>
  <c r="AB3696" i="4"/>
  <c r="AB3704" i="4"/>
  <c r="AB3712" i="4"/>
  <c r="AB3720" i="4"/>
  <c r="AB3728" i="4"/>
  <c r="AB3736" i="4"/>
  <c r="AB3744" i="4"/>
  <c r="AB3752" i="4"/>
  <c r="AB3760" i="4"/>
  <c r="AB3768" i="4"/>
  <c r="AB3776" i="4"/>
  <c r="AB3784" i="4"/>
  <c r="AB3792" i="4"/>
  <c r="AB3800" i="4"/>
  <c r="AB3807" i="4"/>
  <c r="AB3811" i="4"/>
  <c r="AB3815" i="4"/>
  <c r="AB3819" i="4"/>
  <c r="AB3823" i="4"/>
  <c r="AB3827" i="4"/>
  <c r="AB3831" i="4"/>
  <c r="AB3835" i="4"/>
  <c r="AB3839" i="4"/>
  <c r="AB3843" i="4"/>
  <c r="AB3847" i="4"/>
  <c r="AB3851" i="4"/>
  <c r="AB3855" i="4"/>
  <c r="AB3859" i="4"/>
  <c r="AB3863" i="4"/>
  <c r="AB3867" i="4"/>
  <c r="AB3871" i="4"/>
  <c r="AB3875" i="4"/>
  <c r="AB3879" i="4"/>
  <c r="AB3883" i="4"/>
  <c r="AB3887" i="4"/>
  <c r="AB3891" i="4"/>
  <c r="AB3895" i="4"/>
  <c r="AB3899" i="4"/>
  <c r="AB3903" i="4"/>
  <c r="AB3907" i="4"/>
  <c r="AB3911" i="4"/>
  <c r="AB3915" i="4"/>
  <c r="AB3919" i="4"/>
  <c r="AB3923" i="4"/>
  <c r="AB3927" i="4"/>
  <c r="AB3931" i="4"/>
  <c r="AB3935" i="4"/>
  <c r="AB3939" i="4"/>
  <c r="AB3943" i="4"/>
  <c r="AB3947" i="4"/>
  <c r="AB3951" i="4"/>
  <c r="AB3955" i="4"/>
  <c r="AB3959" i="4"/>
  <c r="AB3963" i="4"/>
  <c r="AB3967" i="4"/>
  <c r="AB3971" i="4"/>
  <c r="AB3975" i="4"/>
  <c r="AB3979" i="4"/>
  <c r="AB3983" i="4"/>
  <c r="AB3987" i="4"/>
  <c r="AB3991" i="4"/>
  <c r="AB3995" i="4"/>
  <c r="AB3999" i="4"/>
  <c r="AB4003" i="4"/>
  <c r="AB4007" i="4"/>
  <c r="AB4011" i="4"/>
  <c r="AB4015" i="4"/>
  <c r="AB4019" i="4"/>
  <c r="AB4023" i="4"/>
  <c r="AB4027" i="4"/>
  <c r="AB4031" i="4"/>
  <c r="AB4035" i="4"/>
  <c r="AB4039" i="4"/>
  <c r="AB4043" i="4"/>
  <c r="AB4047" i="4"/>
  <c r="AB4051" i="4"/>
  <c r="AB4055" i="4"/>
  <c r="AB4059" i="4"/>
  <c r="AB4063" i="4"/>
  <c r="AB4067" i="4"/>
  <c r="AB4071" i="4"/>
  <c r="AB4075" i="4"/>
  <c r="AB4079" i="4"/>
  <c r="AB4083" i="4"/>
  <c r="AB4087" i="4"/>
  <c r="AB4091" i="4"/>
  <c r="AB4095" i="4"/>
  <c r="AB4099" i="4"/>
  <c r="AB4103" i="4"/>
  <c r="AB4107" i="4"/>
  <c r="AB4111" i="4"/>
  <c r="AB4115" i="4"/>
  <c r="AB4119" i="4"/>
  <c r="AB4123" i="4"/>
  <c r="AB4127" i="4"/>
  <c r="AB4131" i="4"/>
  <c r="AB4135" i="4"/>
  <c r="AB4139" i="4"/>
  <c r="AB4143" i="4"/>
  <c r="AB4147" i="4"/>
  <c r="AB4151" i="4"/>
  <c r="AB4155" i="4"/>
  <c r="AB4159" i="4"/>
  <c r="AB4163" i="4"/>
  <c r="AB4167" i="4"/>
  <c r="AB4171" i="4"/>
  <c r="AB4175" i="4"/>
  <c r="AB4179" i="4"/>
  <c r="AB4183" i="4"/>
  <c r="AB4187" i="4"/>
  <c r="AB4191" i="4"/>
  <c r="AB4195" i="4"/>
  <c r="AB4199" i="4"/>
  <c r="AB4203" i="4"/>
  <c r="AB4207" i="4"/>
  <c r="AB4211" i="4"/>
  <c r="AB4215" i="4"/>
  <c r="AB4219" i="4"/>
  <c r="AB4223" i="4"/>
  <c r="AB4227" i="4"/>
  <c r="AB4231" i="4"/>
  <c r="AB4235" i="4"/>
  <c r="AB4239" i="4"/>
  <c r="AB4243" i="4"/>
  <c r="AB4247" i="4"/>
  <c r="AB4251" i="4"/>
  <c r="AB4255" i="4"/>
  <c r="AB4259" i="4"/>
  <c r="AB4263" i="4"/>
  <c r="AB4267" i="4"/>
  <c r="AB4271" i="4"/>
  <c r="AB4275" i="4"/>
  <c r="AB4279" i="4"/>
  <c r="AB4283" i="4"/>
  <c r="AB4287" i="4"/>
  <c r="AB4291" i="4"/>
  <c r="AB4295" i="4"/>
  <c r="AB4299" i="4"/>
  <c r="AB4303" i="4"/>
  <c r="AB4307" i="4"/>
  <c r="AB4311" i="4"/>
  <c r="AB4315" i="4"/>
  <c r="AB4319" i="4"/>
  <c r="AB4323" i="4"/>
  <c r="AB4327" i="4"/>
  <c r="AB4331" i="4"/>
  <c r="AB4335" i="4"/>
  <c r="AB4339" i="4"/>
  <c r="AB3529" i="4"/>
  <c r="AB3558" i="4"/>
  <c r="AB3574" i="4"/>
  <c r="AB3590" i="4"/>
  <c r="AB3606" i="4"/>
  <c r="AB3622" i="4"/>
  <c r="AB3638" i="4"/>
  <c r="AB3650" i="4"/>
  <c r="AB3658" i="4"/>
  <c r="AB3666" i="4"/>
  <c r="AB3674" i="4"/>
  <c r="AB3682" i="4"/>
  <c r="AB3690" i="4"/>
  <c r="AB3698" i="4"/>
  <c r="AB3706" i="4"/>
  <c r="AB3714" i="4"/>
  <c r="AB3722" i="4"/>
  <c r="AB3730" i="4"/>
  <c r="AB3738" i="4"/>
  <c r="AB3746" i="4"/>
  <c r="AB3754" i="4"/>
  <c r="AB3762" i="4"/>
  <c r="AB3770" i="4"/>
  <c r="AB3778" i="4"/>
  <c r="AB3786" i="4"/>
  <c r="AB3794" i="4"/>
  <c r="AB3802" i="4"/>
  <c r="AB3808" i="4"/>
  <c r="AB3812" i="4"/>
  <c r="AB3816" i="4"/>
  <c r="AB3820" i="4"/>
  <c r="AB3824" i="4"/>
  <c r="AB3828" i="4"/>
  <c r="AB3832" i="4"/>
  <c r="AB3836" i="4"/>
  <c r="AB3840" i="4"/>
  <c r="AB3844" i="4"/>
  <c r="AB3848" i="4"/>
  <c r="AB3852" i="4"/>
  <c r="AB3856" i="4"/>
  <c r="AB3860" i="4"/>
  <c r="AB3864" i="4"/>
  <c r="AB3868" i="4"/>
  <c r="AB3872" i="4"/>
  <c r="AB3876" i="4"/>
  <c r="AB3880" i="4"/>
  <c r="AB3884" i="4"/>
  <c r="AB3888" i="4"/>
  <c r="AB3892" i="4"/>
  <c r="AB3896" i="4"/>
  <c r="AB3900" i="4"/>
  <c r="AB3904" i="4"/>
  <c r="AB3908" i="4"/>
  <c r="AB3912" i="4"/>
  <c r="AB3916" i="4"/>
  <c r="AB3920" i="4"/>
  <c r="AB3924" i="4"/>
  <c r="AB3928" i="4"/>
  <c r="AB3932" i="4"/>
  <c r="AB3936" i="4"/>
  <c r="AB3940" i="4"/>
  <c r="AB3944" i="4"/>
  <c r="AB3948" i="4"/>
  <c r="AB3952" i="4"/>
  <c r="AB3956" i="4"/>
  <c r="AB3960" i="4"/>
  <c r="AB3964" i="4"/>
  <c r="AB3968" i="4"/>
  <c r="AB3972" i="4"/>
  <c r="AB3976" i="4"/>
  <c r="AB3980" i="4"/>
  <c r="AB3984" i="4"/>
  <c r="AB3988" i="4"/>
  <c r="AB3992" i="4"/>
  <c r="AB3996" i="4"/>
  <c r="AB4000" i="4"/>
  <c r="AB4004" i="4"/>
  <c r="AB4008" i="4"/>
  <c r="AB4012" i="4"/>
  <c r="AB4016" i="4"/>
  <c r="AB4020" i="4"/>
  <c r="AB4024" i="4"/>
  <c r="AB4028" i="4"/>
  <c r="AB4032" i="4"/>
  <c r="AB4036" i="4"/>
  <c r="AB4040" i="4"/>
  <c r="AB4044" i="4"/>
  <c r="AB4048" i="4"/>
  <c r="AB4052" i="4"/>
  <c r="AB4056" i="4"/>
  <c r="AB4060" i="4"/>
  <c r="AB4064" i="4"/>
  <c r="AB4068" i="4"/>
  <c r="AB4072" i="4"/>
  <c r="AB4076" i="4"/>
  <c r="AB4080" i="4"/>
  <c r="AB4084" i="4"/>
  <c r="AB4088" i="4"/>
  <c r="AB4092" i="4"/>
  <c r="AB4096" i="4"/>
  <c r="AB4100" i="4"/>
  <c r="AB4104" i="4"/>
  <c r="AB4108" i="4"/>
  <c r="AB4112" i="4"/>
  <c r="AB4116" i="4"/>
  <c r="AB4120" i="4"/>
  <c r="AB4124" i="4"/>
  <c r="AB4128" i="4"/>
  <c r="AB4132" i="4"/>
  <c r="AB4136" i="4"/>
  <c r="AB4140" i="4"/>
  <c r="AB4144" i="4"/>
  <c r="AB4148" i="4"/>
  <c r="AB4152" i="4"/>
  <c r="AB4156" i="4"/>
  <c r="AB4160" i="4"/>
  <c r="AB4164" i="4"/>
  <c r="AB4168" i="4"/>
  <c r="AB4172" i="4"/>
  <c r="AB4176" i="4"/>
  <c r="AB4180" i="4"/>
  <c r="AB4184" i="4"/>
  <c r="AB4188" i="4"/>
  <c r="AB4192" i="4"/>
  <c r="AB4196" i="4"/>
  <c r="AB4200" i="4"/>
  <c r="AB4204" i="4"/>
  <c r="AB4208" i="4"/>
  <c r="AB4212" i="4"/>
  <c r="AB4216" i="4"/>
  <c r="AB4220" i="4"/>
  <c r="AB4224" i="4"/>
  <c r="AB4228" i="4"/>
  <c r="AB4232" i="4"/>
  <c r="AB4236" i="4"/>
  <c r="AB4240" i="4"/>
  <c r="AB4244" i="4"/>
  <c r="AB4248" i="4"/>
  <c r="AB4252" i="4"/>
  <c r="AB4256" i="4"/>
  <c r="AB4260" i="4"/>
  <c r="AB4264" i="4"/>
  <c r="AB4268" i="4"/>
  <c r="AB4272" i="4"/>
  <c r="AB4276" i="4"/>
  <c r="AB4280" i="4"/>
  <c r="AB4284" i="4"/>
  <c r="AB4288" i="4"/>
  <c r="AB4292" i="4"/>
  <c r="AB4296" i="4"/>
  <c r="AB4300" i="4"/>
  <c r="AB4304" i="4"/>
  <c r="AB4308" i="4"/>
  <c r="AB4312" i="4"/>
  <c r="AB4316" i="4"/>
  <c r="AB4320" i="4"/>
  <c r="AB4324" i="4"/>
  <c r="AB4328" i="4"/>
  <c r="AB4332" i="4"/>
  <c r="AB4336" i="4"/>
  <c r="AB4340" i="4"/>
  <c r="AB4344" i="4"/>
  <c r="AB4348" i="4"/>
  <c r="AB4352" i="4"/>
  <c r="AB4356" i="4"/>
  <c r="AB4360" i="4"/>
  <c r="AB4364" i="4"/>
  <c r="AB4368" i="4"/>
  <c r="AB4372" i="4"/>
  <c r="AB4376" i="4"/>
  <c r="AB4380" i="4"/>
  <c r="AB3537" i="4"/>
  <c r="AB3562" i="4"/>
  <c r="AB3578" i="4"/>
  <c r="AB3594" i="4"/>
  <c r="AB3610" i="4"/>
  <c r="AB3626" i="4"/>
  <c r="AB3642" i="4"/>
  <c r="AB3652" i="4"/>
  <c r="AB3660" i="4"/>
  <c r="AB3668" i="4"/>
  <c r="AB3676" i="4"/>
  <c r="AB3684" i="4"/>
  <c r="AB3692" i="4"/>
  <c r="AB3700" i="4"/>
  <c r="AB3708" i="4"/>
  <c r="AB3716" i="4"/>
  <c r="AB3724" i="4"/>
  <c r="AB3732" i="4"/>
  <c r="AB3740" i="4"/>
  <c r="AB3748" i="4"/>
  <c r="AB3756" i="4"/>
  <c r="AB3764" i="4"/>
  <c r="AB3772" i="4"/>
  <c r="AB3780" i="4"/>
  <c r="AB3788" i="4"/>
  <c r="AB3796" i="4"/>
  <c r="AB3804" i="4"/>
  <c r="AB3809" i="4"/>
  <c r="AB3813" i="4"/>
  <c r="AB3817" i="4"/>
  <c r="AB3821" i="4"/>
  <c r="AB3825" i="4"/>
  <c r="AB3829" i="4"/>
  <c r="AB3833" i="4"/>
  <c r="AB3837" i="4"/>
  <c r="AB3841" i="4"/>
  <c r="AB3845" i="4"/>
  <c r="AB3849" i="4"/>
  <c r="AB3853" i="4"/>
  <c r="AB3857" i="4"/>
  <c r="AB3861" i="4"/>
  <c r="AB3865" i="4"/>
  <c r="AB3869" i="4"/>
  <c r="AB3873" i="4"/>
  <c r="AB3877" i="4"/>
  <c r="AB3881" i="4"/>
  <c r="AB3885" i="4"/>
  <c r="AB3889" i="4"/>
  <c r="AB3893" i="4"/>
  <c r="AB3897" i="4"/>
  <c r="AB3901" i="4"/>
  <c r="AB3905" i="4"/>
  <c r="AB3909" i="4"/>
  <c r="AB3913" i="4"/>
  <c r="AB3917" i="4"/>
  <c r="AB3921" i="4"/>
  <c r="AB3925" i="4"/>
  <c r="AB3929" i="4"/>
  <c r="AB3933" i="4"/>
  <c r="AB3937" i="4"/>
  <c r="AB3941" i="4"/>
  <c r="AB3945" i="4"/>
  <c r="AB3949" i="4"/>
  <c r="AB3953" i="4"/>
  <c r="AB3957" i="4"/>
  <c r="AB3961" i="4"/>
  <c r="AB3965" i="4"/>
  <c r="AB3969" i="4"/>
  <c r="AB3973" i="4"/>
  <c r="AB3977" i="4"/>
  <c r="AB3981" i="4"/>
  <c r="AB3985" i="4"/>
  <c r="AB3989" i="4"/>
  <c r="AB3993" i="4"/>
  <c r="AB3997" i="4"/>
  <c r="AB4001" i="4"/>
  <c r="AB4005" i="4"/>
  <c r="AB4009" i="4"/>
  <c r="AB4013" i="4"/>
  <c r="AB4017" i="4"/>
  <c r="AB4021" i="4"/>
  <c r="AB4025" i="4"/>
  <c r="AB4029" i="4"/>
  <c r="AB4033" i="4"/>
  <c r="AB4037" i="4"/>
  <c r="AB4041" i="4"/>
  <c r="AB4045" i="4"/>
  <c r="AB4049" i="4"/>
  <c r="AB4053" i="4"/>
  <c r="AB4057" i="4"/>
  <c r="AB4061" i="4"/>
  <c r="AB4065" i="4"/>
  <c r="AB4069" i="4"/>
  <c r="AB4073" i="4"/>
  <c r="AB4077" i="4"/>
  <c r="AB4081" i="4"/>
  <c r="AB4085" i="4"/>
  <c r="AB4089" i="4"/>
  <c r="AB4093" i="4"/>
  <c r="AB4097" i="4"/>
  <c r="AB4101" i="4"/>
  <c r="AB4105" i="4"/>
  <c r="AB4109" i="4"/>
  <c r="AB4113" i="4"/>
  <c r="AB4117" i="4"/>
  <c r="AB4121" i="4"/>
  <c r="AB4125" i="4"/>
  <c r="AB4129" i="4"/>
  <c r="AB4133" i="4"/>
  <c r="AB4137" i="4"/>
  <c r="AB4141" i="4"/>
  <c r="AB4145" i="4"/>
  <c r="AB4149" i="4"/>
  <c r="AB4153" i="4"/>
  <c r="AB4157" i="4"/>
  <c r="AB4161" i="4"/>
  <c r="AB4165" i="4"/>
  <c r="AB4169" i="4"/>
  <c r="AB4173" i="4"/>
  <c r="AB4177" i="4"/>
  <c r="AB4181" i="4"/>
  <c r="AB4185" i="4"/>
  <c r="AB4189" i="4"/>
  <c r="AB4193" i="4"/>
  <c r="AB4197" i="4"/>
  <c r="AB4201" i="4"/>
  <c r="AB4205" i="4"/>
  <c r="AB4209" i="4"/>
  <c r="AB4213" i="4"/>
  <c r="AB4217" i="4"/>
  <c r="AB4221" i="4"/>
  <c r="AB4225" i="4"/>
  <c r="AB4229" i="4"/>
  <c r="AB4233" i="4"/>
  <c r="AB4237" i="4"/>
  <c r="AB4241" i="4"/>
  <c r="AB4245" i="4"/>
  <c r="AB4249" i="4"/>
  <c r="AB4253" i="4"/>
  <c r="AB4257" i="4"/>
  <c r="AB4261" i="4"/>
  <c r="AB4265" i="4"/>
  <c r="AB4269" i="4"/>
  <c r="AB4273" i="4"/>
  <c r="AB4277" i="4"/>
  <c r="AB4281" i="4"/>
  <c r="AB4285" i="4"/>
  <c r="AB4289" i="4"/>
  <c r="AB4293" i="4"/>
  <c r="AB4297" i="4"/>
  <c r="AB4301" i="4"/>
  <c r="AB4305" i="4"/>
  <c r="AB4309" i="4"/>
  <c r="AB4313" i="4"/>
  <c r="AB4317" i="4"/>
  <c r="AB4321" i="4"/>
  <c r="AB4325" i="4"/>
  <c r="AB4329" i="4"/>
  <c r="AB4333" i="4"/>
  <c r="AB4337" i="4"/>
  <c r="AB4341" i="4"/>
  <c r="AB4345" i="4"/>
  <c r="AB4349" i="4"/>
  <c r="AB4353" i="4"/>
  <c r="AB4357" i="4"/>
  <c r="AB4361" i="4"/>
  <c r="AB4365" i="4"/>
  <c r="AB4369" i="4"/>
  <c r="AB4373" i="4"/>
  <c r="AB4377" i="4"/>
  <c r="AB4342" i="4"/>
  <c r="AB4350" i="4"/>
  <c r="AB4358" i="4"/>
  <c r="AB4366" i="4"/>
  <c r="AB4374" i="4"/>
  <c r="AB4381" i="4"/>
  <c r="AB4385" i="4"/>
  <c r="AB4389" i="4"/>
  <c r="AB4393" i="4"/>
  <c r="AB4397" i="4"/>
  <c r="AB4401" i="4"/>
  <c r="AB4405" i="4"/>
  <c r="AB4409" i="4"/>
  <c r="AB4413" i="4"/>
  <c r="AB4417" i="4"/>
  <c r="AB4421" i="4"/>
  <c r="AB4425" i="4"/>
  <c r="AB4429" i="4"/>
  <c r="AB4433" i="4"/>
  <c r="AB4437" i="4"/>
  <c r="AB4441" i="4"/>
  <c r="AB4445" i="4"/>
  <c r="AB4449" i="4"/>
  <c r="AB4453" i="4"/>
  <c r="AB4457" i="4"/>
  <c r="AB4461" i="4"/>
  <c r="AB4465" i="4"/>
  <c r="AB4469" i="4"/>
  <c r="AB4473" i="4"/>
  <c r="AB4477" i="4"/>
  <c r="AB4481" i="4"/>
  <c r="AB4485" i="4"/>
  <c r="AB4489" i="4"/>
  <c r="AB4493" i="4"/>
  <c r="AB4497" i="4"/>
  <c r="AB4501" i="4"/>
  <c r="AB4505" i="4"/>
  <c r="AB4509" i="4"/>
  <c r="AB4513" i="4"/>
  <c r="AB4517" i="4"/>
  <c r="AB4521" i="4"/>
  <c r="AB4525" i="4"/>
  <c r="AB4529" i="4"/>
  <c r="AB4533" i="4"/>
  <c r="AB4537" i="4"/>
  <c r="AB4541" i="4"/>
  <c r="AB4545" i="4"/>
  <c r="AB4549" i="4"/>
  <c r="AB4553" i="4"/>
  <c r="AB4557" i="4"/>
  <c r="AB4561" i="4"/>
  <c r="AB4565" i="4"/>
  <c r="AB4569" i="4"/>
  <c r="AB4573" i="4"/>
  <c r="AB4577" i="4"/>
  <c r="AB4581" i="4"/>
  <c r="AB4585" i="4"/>
  <c r="AB4589" i="4"/>
  <c r="AB4593" i="4"/>
  <c r="AB4597" i="4"/>
  <c r="AB4601" i="4"/>
  <c r="AB4605" i="4"/>
  <c r="AB4609" i="4"/>
  <c r="AB4613" i="4"/>
  <c r="AB4617" i="4"/>
  <c r="AB4621" i="4"/>
  <c r="AB4625" i="4"/>
  <c r="AB4629" i="4"/>
  <c r="AB4633" i="4"/>
  <c r="AB4637" i="4"/>
  <c r="AB4641" i="4"/>
  <c r="AB4645" i="4"/>
  <c r="AB4649" i="4"/>
  <c r="AB4653" i="4"/>
  <c r="AB4657" i="4"/>
  <c r="AB4661" i="4"/>
  <c r="AB4665" i="4"/>
  <c r="AB4669" i="4"/>
  <c r="AB4673" i="4"/>
  <c r="AB4677" i="4"/>
  <c r="AB4681" i="4"/>
  <c r="AB4685" i="4"/>
  <c r="AB4689" i="4"/>
  <c r="AB4693" i="4"/>
  <c r="AB4697" i="4"/>
  <c r="AB4701" i="4"/>
  <c r="AB4705" i="4"/>
  <c r="AB4709" i="4"/>
  <c r="AB4713" i="4"/>
  <c r="AB4717" i="4"/>
  <c r="AB4721" i="4"/>
  <c r="AB4725" i="4"/>
  <c r="AB4729" i="4"/>
  <c r="AB4733" i="4"/>
  <c r="AB4737" i="4"/>
  <c r="AB4741" i="4"/>
  <c r="AB4745" i="4"/>
  <c r="AB4749" i="4"/>
  <c r="AB4753" i="4"/>
  <c r="AB4757" i="4"/>
  <c r="AB4761" i="4"/>
  <c r="AB4765" i="4"/>
  <c r="AB4769" i="4"/>
  <c r="AB4773" i="4"/>
  <c r="AB4777" i="4"/>
  <c r="AB4781" i="4"/>
  <c r="AB4785" i="4"/>
  <c r="AB4789" i="4"/>
  <c r="AB4793" i="4"/>
  <c r="AB4797" i="4"/>
  <c r="AB4801" i="4"/>
  <c r="AB4805" i="4"/>
  <c r="AB4809" i="4"/>
  <c r="AB4813" i="4"/>
  <c r="AB4817" i="4"/>
  <c r="AB4821" i="4"/>
  <c r="AB4825" i="4"/>
  <c r="AB4829" i="4"/>
  <c r="AB4833" i="4"/>
  <c r="AB4837" i="4"/>
  <c r="AB4841" i="4"/>
  <c r="AB4845" i="4"/>
  <c r="AB4849" i="4"/>
  <c r="AB4853" i="4"/>
  <c r="AB4857" i="4"/>
  <c r="AB4861" i="4"/>
  <c r="AB4865" i="4"/>
  <c r="AB4869" i="4"/>
  <c r="AB4873" i="4"/>
  <c r="AB4877" i="4"/>
  <c r="AB4881" i="4"/>
  <c r="AB4885" i="4"/>
  <c r="AB4889" i="4"/>
  <c r="AB4893" i="4"/>
  <c r="AB4897" i="4"/>
  <c r="AB4901" i="4"/>
  <c r="AB4905" i="4"/>
  <c r="AB4909" i="4"/>
  <c r="AB4913" i="4"/>
  <c r="AB4917" i="4"/>
  <c r="AB4921" i="4"/>
  <c r="AB4925" i="4"/>
  <c r="AB4929" i="4"/>
  <c r="AB4933" i="4"/>
  <c r="AB4937" i="4"/>
  <c r="AB4941" i="4"/>
  <c r="AB4945" i="4"/>
  <c r="AB4949" i="4"/>
  <c r="AB4953" i="4"/>
  <c r="AB4957" i="4"/>
  <c r="AB4961" i="4"/>
  <c r="AB4965" i="4"/>
  <c r="AB4969" i="4"/>
  <c r="AB4973" i="4"/>
  <c r="AB4977" i="4"/>
  <c r="AB4981" i="4"/>
  <c r="AB4985" i="4"/>
  <c r="AB4989" i="4"/>
  <c r="AB4993" i="4"/>
  <c r="AB4997" i="4"/>
  <c r="AB5001" i="4"/>
  <c r="AB5005" i="4"/>
  <c r="AB5009" i="4"/>
  <c r="AA13" i="4"/>
  <c r="AA17" i="4"/>
  <c r="AA21" i="4"/>
  <c r="AA25" i="4"/>
  <c r="AA29" i="4"/>
  <c r="AA33" i="4"/>
  <c r="AA37" i="4"/>
  <c r="AA41" i="4"/>
  <c r="AA45" i="4"/>
  <c r="AA49" i="4"/>
  <c r="AA53" i="4"/>
  <c r="AA57" i="4"/>
  <c r="AA61" i="4"/>
  <c r="AA65" i="4"/>
  <c r="AA69" i="4"/>
  <c r="AA73" i="4"/>
  <c r="AA77" i="4"/>
  <c r="AA81" i="4"/>
  <c r="AA85" i="4"/>
  <c r="AA89" i="4"/>
  <c r="AA93" i="4"/>
  <c r="AA97" i="4"/>
  <c r="AA101" i="4"/>
  <c r="AA105" i="4"/>
  <c r="AA109" i="4"/>
  <c r="AA113" i="4"/>
  <c r="AA117" i="4"/>
  <c r="AA121" i="4"/>
  <c r="AA125" i="4"/>
  <c r="AA129" i="4"/>
  <c r="AA133" i="4"/>
  <c r="AA137" i="4"/>
  <c r="AA141" i="4"/>
  <c r="AA145" i="4"/>
  <c r="AA149" i="4"/>
  <c r="AA153" i="4"/>
  <c r="AA157" i="4"/>
  <c r="AA161" i="4"/>
  <c r="AA165" i="4"/>
  <c r="AA169" i="4"/>
  <c r="AA173" i="4"/>
  <c r="AA177" i="4"/>
  <c r="AA181" i="4"/>
  <c r="AA185" i="4"/>
  <c r="AA189" i="4"/>
  <c r="AA193" i="4"/>
  <c r="AA197" i="4"/>
  <c r="AA201" i="4"/>
  <c r="AA205" i="4"/>
  <c r="AA209" i="4"/>
  <c r="AA213" i="4"/>
  <c r="AA217" i="4"/>
  <c r="AA221" i="4"/>
  <c r="AA225" i="4"/>
  <c r="AA229" i="4"/>
  <c r="AA233" i="4"/>
  <c r="AA237" i="4"/>
  <c r="AA241" i="4"/>
  <c r="AA245" i="4"/>
  <c r="AA249" i="4"/>
  <c r="AA253" i="4"/>
  <c r="AA257" i="4"/>
  <c r="AA261" i="4"/>
  <c r="AA265" i="4"/>
  <c r="AA269" i="4"/>
  <c r="AA273" i="4"/>
  <c r="AA277" i="4"/>
  <c r="AA281" i="4"/>
  <c r="AA285" i="4"/>
  <c r="AA289" i="4"/>
  <c r="AA293" i="4"/>
  <c r="AA297" i="4"/>
  <c r="AA301" i="4"/>
  <c r="AA305" i="4"/>
  <c r="AA309" i="4"/>
  <c r="AA313" i="4"/>
  <c r="AA317" i="4"/>
  <c r="AA321" i="4"/>
  <c r="AA325" i="4"/>
  <c r="AA329" i="4"/>
  <c r="AA333" i="4"/>
  <c r="AA337" i="4"/>
  <c r="AA341" i="4"/>
  <c r="AA345" i="4"/>
  <c r="AA349" i="4"/>
  <c r="AA353" i="4"/>
  <c r="AA357" i="4"/>
  <c r="AA361" i="4"/>
  <c r="AA365" i="4"/>
  <c r="AA369" i="4"/>
  <c r="AA373" i="4"/>
  <c r="AA377" i="4"/>
  <c r="AA381" i="4"/>
  <c r="AA385" i="4"/>
  <c r="AA389" i="4"/>
  <c r="AA393" i="4"/>
  <c r="AA397" i="4"/>
  <c r="AA401" i="4"/>
  <c r="AA405" i="4"/>
  <c r="AA409" i="4"/>
  <c r="AA413" i="4"/>
  <c r="AA417" i="4"/>
  <c r="AA421" i="4"/>
  <c r="AA425" i="4"/>
  <c r="AA429" i="4"/>
  <c r="AA433" i="4"/>
  <c r="AA437" i="4"/>
  <c r="AA441" i="4"/>
  <c r="AA445" i="4"/>
  <c r="AA449" i="4"/>
  <c r="AA453" i="4"/>
  <c r="AA457" i="4"/>
  <c r="AA461" i="4"/>
  <c r="AA465" i="4"/>
  <c r="AA469" i="4"/>
  <c r="AA473" i="4"/>
  <c r="AA477" i="4"/>
  <c r="AA481" i="4"/>
  <c r="AA485" i="4"/>
  <c r="AA489" i="4"/>
  <c r="AA493" i="4"/>
  <c r="AA497" i="4"/>
  <c r="AA501" i="4"/>
  <c r="AA505" i="4"/>
  <c r="AA509" i="4"/>
  <c r="AA513" i="4"/>
  <c r="AA517" i="4"/>
  <c r="AA521" i="4"/>
  <c r="AA525" i="4"/>
  <c r="AA529" i="4"/>
  <c r="AA533" i="4"/>
  <c r="AA537" i="4"/>
  <c r="AA541" i="4"/>
  <c r="AA545" i="4"/>
  <c r="AA549" i="4"/>
  <c r="AA553" i="4"/>
  <c r="AA557" i="4"/>
  <c r="AA561" i="4"/>
  <c r="AA565" i="4"/>
  <c r="AA569" i="4"/>
  <c r="AA573" i="4"/>
  <c r="AA577" i="4"/>
  <c r="AA581" i="4"/>
  <c r="AA585" i="4"/>
  <c r="AA589" i="4"/>
  <c r="AA593" i="4"/>
  <c r="AA597" i="4"/>
  <c r="AA601" i="4"/>
  <c r="AA605" i="4"/>
  <c r="AA609" i="4"/>
  <c r="AA613" i="4"/>
  <c r="AA617" i="4"/>
  <c r="AA621" i="4"/>
  <c r="AA625" i="4"/>
  <c r="AA629" i="4"/>
  <c r="AA633" i="4"/>
  <c r="AA637" i="4"/>
  <c r="AA641" i="4"/>
  <c r="AA645" i="4"/>
  <c r="AA649" i="4"/>
  <c r="AA653" i="4"/>
  <c r="AA657" i="4"/>
  <c r="AA661" i="4"/>
  <c r="AA665" i="4"/>
  <c r="AA669" i="4"/>
  <c r="AA673" i="4"/>
  <c r="AA677" i="4"/>
  <c r="AA681" i="4"/>
  <c r="AA685" i="4"/>
  <c r="AA689" i="4"/>
  <c r="AA693" i="4"/>
  <c r="AA697" i="4"/>
  <c r="AA701" i="4"/>
  <c r="AA705" i="4"/>
  <c r="AA709" i="4"/>
  <c r="AA713" i="4"/>
  <c r="AA717" i="4"/>
  <c r="AB4343" i="4"/>
  <c r="AB4351" i="4"/>
  <c r="AB4359" i="4"/>
  <c r="AB4367" i="4"/>
  <c r="AB4375" i="4"/>
  <c r="AB4382" i="4"/>
  <c r="AB4386" i="4"/>
  <c r="AB4390" i="4"/>
  <c r="AB4394" i="4"/>
  <c r="AB4398" i="4"/>
  <c r="AB4402" i="4"/>
  <c r="AB4406" i="4"/>
  <c r="AB4410" i="4"/>
  <c r="AB4414" i="4"/>
  <c r="AB4418" i="4"/>
  <c r="AB4422" i="4"/>
  <c r="AB4426" i="4"/>
  <c r="AB4430" i="4"/>
  <c r="AB4434" i="4"/>
  <c r="AB4438" i="4"/>
  <c r="AB4442" i="4"/>
  <c r="AB4446" i="4"/>
  <c r="AB4450" i="4"/>
  <c r="AB4454" i="4"/>
  <c r="AB4458" i="4"/>
  <c r="AB4462" i="4"/>
  <c r="AB4466" i="4"/>
  <c r="AB4470" i="4"/>
  <c r="AB4474" i="4"/>
  <c r="AB4478" i="4"/>
  <c r="AB4482" i="4"/>
  <c r="AB4486" i="4"/>
  <c r="AB4490" i="4"/>
  <c r="AB4494" i="4"/>
  <c r="AB4498" i="4"/>
  <c r="AB4502" i="4"/>
  <c r="AB4506" i="4"/>
  <c r="AB4510" i="4"/>
  <c r="AB4514" i="4"/>
  <c r="AB4518" i="4"/>
  <c r="AB4522" i="4"/>
  <c r="AB4526" i="4"/>
  <c r="AB4530" i="4"/>
  <c r="AB4534" i="4"/>
  <c r="AB4538" i="4"/>
  <c r="AB4542" i="4"/>
  <c r="AB4546" i="4"/>
  <c r="AB4550" i="4"/>
  <c r="AB4554" i="4"/>
  <c r="AB4558" i="4"/>
  <c r="AB4562" i="4"/>
  <c r="AB4566" i="4"/>
  <c r="AB4570" i="4"/>
  <c r="AB4574" i="4"/>
  <c r="AB4578" i="4"/>
  <c r="AB4582" i="4"/>
  <c r="AB4586" i="4"/>
  <c r="AB4590" i="4"/>
  <c r="AB4594" i="4"/>
  <c r="AB4598" i="4"/>
  <c r="AB4602" i="4"/>
  <c r="AB4606" i="4"/>
  <c r="AB4610" i="4"/>
  <c r="AB4614" i="4"/>
  <c r="AB4618" i="4"/>
  <c r="AB4622" i="4"/>
  <c r="AB4626" i="4"/>
  <c r="AB4630" i="4"/>
  <c r="AB4634" i="4"/>
  <c r="AB4638" i="4"/>
  <c r="AB4642" i="4"/>
  <c r="AB4646" i="4"/>
  <c r="AB4650" i="4"/>
  <c r="AB4654" i="4"/>
  <c r="AB4658" i="4"/>
  <c r="AB4662" i="4"/>
  <c r="AB4666" i="4"/>
  <c r="AB4670" i="4"/>
  <c r="AB4674" i="4"/>
  <c r="AB4678" i="4"/>
  <c r="AB4682" i="4"/>
  <c r="AB4686" i="4"/>
  <c r="AB4690" i="4"/>
  <c r="AB4694" i="4"/>
  <c r="AB4698" i="4"/>
  <c r="AB4702" i="4"/>
  <c r="AB4706" i="4"/>
  <c r="AB4710" i="4"/>
  <c r="AB4714" i="4"/>
  <c r="AB4718" i="4"/>
  <c r="AB4722" i="4"/>
  <c r="AB4726" i="4"/>
  <c r="AB4730" i="4"/>
  <c r="AB4734" i="4"/>
  <c r="AB4738" i="4"/>
  <c r="AB4742" i="4"/>
  <c r="AB4746" i="4"/>
  <c r="AB4750" i="4"/>
  <c r="AB4754" i="4"/>
  <c r="AB4758" i="4"/>
  <c r="AB4762" i="4"/>
  <c r="AB4766" i="4"/>
  <c r="AB4770" i="4"/>
  <c r="AB4774" i="4"/>
  <c r="AB4778" i="4"/>
  <c r="AB4782" i="4"/>
  <c r="AB4786" i="4"/>
  <c r="AB4790" i="4"/>
  <c r="AB4794" i="4"/>
  <c r="AB4798" i="4"/>
  <c r="AB4802" i="4"/>
  <c r="AB4806" i="4"/>
  <c r="AB4810" i="4"/>
  <c r="AB4814" i="4"/>
  <c r="AB4818" i="4"/>
  <c r="AB4822" i="4"/>
  <c r="AB4826" i="4"/>
  <c r="AB4830" i="4"/>
  <c r="AB4834" i="4"/>
  <c r="AB4838" i="4"/>
  <c r="AB4842" i="4"/>
  <c r="AB4846" i="4"/>
  <c r="AB4850" i="4"/>
  <c r="AB4854" i="4"/>
  <c r="AB4858" i="4"/>
  <c r="AB4862" i="4"/>
  <c r="AB4866" i="4"/>
  <c r="AB4870" i="4"/>
  <c r="AB4874" i="4"/>
  <c r="AB4878" i="4"/>
  <c r="AB4882" i="4"/>
  <c r="AB4886" i="4"/>
  <c r="AB4890" i="4"/>
  <c r="AB4894" i="4"/>
  <c r="AB4898" i="4"/>
  <c r="AB4902" i="4"/>
  <c r="AB4906" i="4"/>
  <c r="AB4910" i="4"/>
  <c r="AB4914" i="4"/>
  <c r="AB4918" i="4"/>
  <c r="AB4922" i="4"/>
  <c r="AB4926" i="4"/>
  <c r="AB4930" i="4"/>
  <c r="AB4934" i="4"/>
  <c r="AB4938" i="4"/>
  <c r="AB4942" i="4"/>
  <c r="AB4946" i="4"/>
  <c r="AB4950" i="4"/>
  <c r="AB4954" i="4"/>
  <c r="AB4958" i="4"/>
  <c r="AB4962" i="4"/>
  <c r="AB4966" i="4"/>
  <c r="AB4970" i="4"/>
  <c r="AB4974" i="4"/>
  <c r="AB4978" i="4"/>
  <c r="AB4982" i="4"/>
  <c r="AB4986" i="4"/>
  <c r="AB4990" i="4"/>
  <c r="AB4994" i="4"/>
  <c r="AB4998" i="4"/>
  <c r="AB5002" i="4"/>
  <c r="AB5006" i="4"/>
  <c r="AA10" i="4"/>
  <c r="AA14" i="4"/>
  <c r="AA18" i="4"/>
  <c r="AA22" i="4"/>
  <c r="AA26" i="4"/>
  <c r="AA30" i="4"/>
  <c r="AA34" i="4"/>
  <c r="AA38" i="4"/>
  <c r="AA42" i="4"/>
  <c r="AA46" i="4"/>
  <c r="AA50" i="4"/>
  <c r="AA54" i="4"/>
  <c r="AA58" i="4"/>
  <c r="AA62" i="4"/>
  <c r="AA66" i="4"/>
  <c r="AA70" i="4"/>
  <c r="AA74" i="4"/>
  <c r="AA78" i="4"/>
  <c r="AA82" i="4"/>
  <c r="AA86" i="4"/>
  <c r="AA90" i="4"/>
  <c r="AA94" i="4"/>
  <c r="AA98" i="4"/>
  <c r="AA102" i="4"/>
  <c r="AA106" i="4"/>
  <c r="AA110" i="4"/>
  <c r="AA114" i="4"/>
  <c r="AA118" i="4"/>
  <c r="AA122" i="4"/>
  <c r="AA126" i="4"/>
  <c r="AA130" i="4"/>
  <c r="AA134" i="4"/>
  <c r="AA138" i="4"/>
  <c r="AA142" i="4"/>
  <c r="AA146" i="4"/>
  <c r="AA150" i="4"/>
  <c r="AA154" i="4"/>
  <c r="AA158" i="4"/>
  <c r="AA162" i="4"/>
  <c r="AA166" i="4"/>
  <c r="AA170" i="4"/>
  <c r="AA174" i="4"/>
  <c r="AA178" i="4"/>
  <c r="AA182" i="4"/>
  <c r="AA186" i="4"/>
  <c r="AA190" i="4"/>
  <c r="AA194" i="4"/>
  <c r="AA198" i="4"/>
  <c r="AA202" i="4"/>
  <c r="AA206" i="4"/>
  <c r="AA210" i="4"/>
  <c r="AA214" i="4"/>
  <c r="AA218" i="4"/>
  <c r="AA222" i="4"/>
  <c r="AA226" i="4"/>
  <c r="AA230" i="4"/>
  <c r="AA234" i="4"/>
  <c r="AA238" i="4"/>
  <c r="AA242" i="4"/>
  <c r="AA246" i="4"/>
  <c r="AA250" i="4"/>
  <c r="AA254" i="4"/>
  <c r="AA258" i="4"/>
  <c r="AA262" i="4"/>
  <c r="AA266" i="4"/>
  <c r="AA270" i="4"/>
  <c r="AA274" i="4"/>
  <c r="AA278" i="4"/>
  <c r="AA282" i="4"/>
  <c r="AA286" i="4"/>
  <c r="AA290" i="4"/>
  <c r="AA294" i="4"/>
  <c r="AA298" i="4"/>
  <c r="AA302" i="4"/>
  <c r="AA306" i="4"/>
  <c r="AA310" i="4"/>
  <c r="AA314" i="4"/>
  <c r="AA318" i="4"/>
  <c r="AA322" i="4"/>
  <c r="AA326" i="4"/>
  <c r="AA330" i="4"/>
  <c r="AA334" i="4"/>
  <c r="AA338" i="4"/>
  <c r="AA342" i="4"/>
  <c r="AA346" i="4"/>
  <c r="AA350" i="4"/>
  <c r="AA354" i="4"/>
  <c r="AA358" i="4"/>
  <c r="AA362" i="4"/>
  <c r="AA366" i="4"/>
  <c r="AA370" i="4"/>
  <c r="AA374" i="4"/>
  <c r="AA378" i="4"/>
  <c r="AA382" i="4"/>
  <c r="AA386" i="4"/>
  <c r="AA390" i="4"/>
  <c r="AA394" i="4"/>
  <c r="AA398" i="4"/>
  <c r="AA402" i="4"/>
  <c r="AA406" i="4"/>
  <c r="AA410" i="4"/>
  <c r="AA414" i="4"/>
  <c r="AA418" i="4"/>
  <c r="AA422" i="4"/>
  <c r="AA426" i="4"/>
  <c r="AA430" i="4"/>
  <c r="AA434" i="4"/>
  <c r="AA438" i="4"/>
  <c r="AA442" i="4"/>
  <c r="AA446" i="4"/>
  <c r="AA450" i="4"/>
  <c r="AA454" i="4"/>
  <c r="AA458" i="4"/>
  <c r="AA462" i="4"/>
  <c r="AA466" i="4"/>
  <c r="AA470" i="4"/>
  <c r="AA474" i="4"/>
  <c r="AA478" i="4"/>
  <c r="AA482" i="4"/>
  <c r="AA486" i="4"/>
  <c r="AA490" i="4"/>
  <c r="AA494" i="4"/>
  <c r="AA498" i="4"/>
  <c r="AA502" i="4"/>
  <c r="AA506" i="4"/>
  <c r="AA510" i="4"/>
  <c r="AA514" i="4"/>
  <c r="AA518" i="4"/>
  <c r="AA522" i="4"/>
  <c r="AA526" i="4"/>
  <c r="AA530" i="4"/>
  <c r="AA534" i="4"/>
  <c r="AA538" i="4"/>
  <c r="AA542" i="4"/>
  <c r="AA546" i="4"/>
  <c r="AA550" i="4"/>
  <c r="AA554" i="4"/>
  <c r="AA558" i="4"/>
  <c r="AA562" i="4"/>
  <c r="AA566" i="4"/>
  <c r="AA570" i="4"/>
  <c r="AA574" i="4"/>
  <c r="AA578" i="4"/>
  <c r="AA582" i="4"/>
  <c r="AA586" i="4"/>
  <c r="AA590" i="4"/>
  <c r="AA594" i="4"/>
  <c r="AA598" i="4"/>
  <c r="AA602" i="4"/>
  <c r="AA606" i="4"/>
  <c r="AA610" i="4"/>
  <c r="AA614" i="4"/>
  <c r="AA618" i="4"/>
  <c r="AA622" i="4"/>
  <c r="AA626" i="4"/>
  <c r="AA630" i="4"/>
  <c r="AA634" i="4"/>
  <c r="AA638" i="4"/>
  <c r="AA642" i="4"/>
  <c r="AA646" i="4"/>
  <c r="AA650" i="4"/>
  <c r="AA654" i="4"/>
  <c r="AA658" i="4"/>
  <c r="AA662" i="4"/>
  <c r="AA666" i="4"/>
  <c r="AA670" i="4"/>
  <c r="AA674" i="4"/>
  <c r="AA678" i="4"/>
  <c r="AA682" i="4"/>
  <c r="AA686" i="4"/>
  <c r="AA690" i="4"/>
  <c r="AA694" i="4"/>
  <c r="AA698" i="4"/>
  <c r="AA702" i="4"/>
  <c r="AA706" i="4"/>
  <c r="AA710" i="4"/>
  <c r="AA714" i="4"/>
  <c r="AA718" i="4"/>
  <c r="AA722" i="4"/>
  <c r="AB4346" i="4"/>
  <c r="AB4354" i="4"/>
  <c r="AB4362" i="4"/>
  <c r="AB4370" i="4"/>
  <c r="AB4378" i="4"/>
  <c r="AB4383" i="4"/>
  <c r="AB4387" i="4"/>
  <c r="AB4391" i="4"/>
  <c r="AB4395" i="4"/>
  <c r="AB4399" i="4"/>
  <c r="AB4403" i="4"/>
  <c r="AB4407" i="4"/>
  <c r="AB4411" i="4"/>
  <c r="AB4415" i="4"/>
  <c r="AB4419" i="4"/>
  <c r="AB4423" i="4"/>
  <c r="AB4427" i="4"/>
  <c r="AB4431" i="4"/>
  <c r="AB4435" i="4"/>
  <c r="AB4439" i="4"/>
  <c r="AB4443" i="4"/>
  <c r="AB4447" i="4"/>
  <c r="AB4451" i="4"/>
  <c r="AB4455" i="4"/>
  <c r="AB4459" i="4"/>
  <c r="AB4463" i="4"/>
  <c r="AB4467" i="4"/>
  <c r="AB4471" i="4"/>
  <c r="AB4475" i="4"/>
  <c r="AB4479" i="4"/>
  <c r="AB4483" i="4"/>
  <c r="AB4487" i="4"/>
  <c r="AB4491" i="4"/>
  <c r="AB4495" i="4"/>
  <c r="AB4499" i="4"/>
  <c r="AB4503" i="4"/>
  <c r="AB4507" i="4"/>
  <c r="AB4511" i="4"/>
  <c r="AB4515" i="4"/>
  <c r="AB4519" i="4"/>
  <c r="AB4523" i="4"/>
  <c r="AB4527" i="4"/>
  <c r="AB4531" i="4"/>
  <c r="AB4535" i="4"/>
  <c r="AB4539" i="4"/>
  <c r="AB4543" i="4"/>
  <c r="AB4547" i="4"/>
  <c r="AB4551" i="4"/>
  <c r="AB4555" i="4"/>
  <c r="AB4559" i="4"/>
  <c r="AB4563" i="4"/>
  <c r="AB4567" i="4"/>
  <c r="AB4571" i="4"/>
  <c r="AB4575" i="4"/>
  <c r="AB4579" i="4"/>
  <c r="AB4583" i="4"/>
  <c r="AB4587" i="4"/>
  <c r="AB4591" i="4"/>
  <c r="AB4595" i="4"/>
  <c r="AB4599" i="4"/>
  <c r="AB4603" i="4"/>
  <c r="AB4607" i="4"/>
  <c r="AB4611" i="4"/>
  <c r="AB4615" i="4"/>
  <c r="AB4619" i="4"/>
  <c r="AB4623" i="4"/>
  <c r="AB4627" i="4"/>
  <c r="AB4631" i="4"/>
  <c r="AB4635" i="4"/>
  <c r="AB4639" i="4"/>
  <c r="AB4643" i="4"/>
  <c r="AB4647" i="4"/>
  <c r="AB4651" i="4"/>
  <c r="AB4655" i="4"/>
  <c r="AB4659" i="4"/>
  <c r="AB4663" i="4"/>
  <c r="AB4667" i="4"/>
  <c r="AB4671" i="4"/>
  <c r="AB4675" i="4"/>
  <c r="AB4679" i="4"/>
  <c r="AB4683" i="4"/>
  <c r="AB4687" i="4"/>
  <c r="AB4691" i="4"/>
  <c r="AB4695" i="4"/>
  <c r="AB4699" i="4"/>
  <c r="AB4703" i="4"/>
  <c r="AB4707" i="4"/>
  <c r="AB4711" i="4"/>
  <c r="AB4715" i="4"/>
  <c r="AB4719" i="4"/>
  <c r="AB4723" i="4"/>
  <c r="AB4727" i="4"/>
  <c r="AB4731" i="4"/>
  <c r="AB4735" i="4"/>
  <c r="AB4739" i="4"/>
  <c r="AB4743" i="4"/>
  <c r="AB4747" i="4"/>
  <c r="AB4751" i="4"/>
  <c r="AB4755" i="4"/>
  <c r="AB4759" i="4"/>
  <c r="AB4763" i="4"/>
  <c r="AB4767" i="4"/>
  <c r="AB4771" i="4"/>
  <c r="AB4775" i="4"/>
  <c r="AB4779" i="4"/>
  <c r="AB4783" i="4"/>
  <c r="AB4787" i="4"/>
  <c r="AB4791" i="4"/>
  <c r="AB4795" i="4"/>
  <c r="AB4799" i="4"/>
  <c r="AB4803" i="4"/>
  <c r="AB4807" i="4"/>
  <c r="AB4811" i="4"/>
  <c r="AB4815" i="4"/>
  <c r="AB4819" i="4"/>
  <c r="AB4823" i="4"/>
  <c r="AB4827" i="4"/>
  <c r="AB4831" i="4"/>
  <c r="AB4835" i="4"/>
  <c r="AB4839" i="4"/>
  <c r="AB4843" i="4"/>
  <c r="AB4847" i="4"/>
  <c r="AB4851" i="4"/>
  <c r="AB4855" i="4"/>
  <c r="AB4859" i="4"/>
  <c r="AB4863" i="4"/>
  <c r="AB4867" i="4"/>
  <c r="AB4871" i="4"/>
  <c r="AB4875" i="4"/>
  <c r="AB4879" i="4"/>
  <c r="AB4883" i="4"/>
  <c r="AB4887" i="4"/>
  <c r="AB4891" i="4"/>
  <c r="AB4895" i="4"/>
  <c r="AB4899" i="4"/>
  <c r="AB4903" i="4"/>
  <c r="AB4907" i="4"/>
  <c r="AB4911" i="4"/>
  <c r="AB4915" i="4"/>
  <c r="AB4919" i="4"/>
  <c r="AB4923" i="4"/>
  <c r="AB4927" i="4"/>
  <c r="AB4931" i="4"/>
  <c r="AB4935" i="4"/>
  <c r="AB4939" i="4"/>
  <c r="AB4943" i="4"/>
  <c r="AB4947" i="4"/>
  <c r="AB4951" i="4"/>
  <c r="AB4955" i="4"/>
  <c r="AB4959" i="4"/>
  <c r="AB4963" i="4"/>
  <c r="AB4967" i="4"/>
  <c r="AB4971" i="4"/>
  <c r="AB4975" i="4"/>
  <c r="AB4979" i="4"/>
  <c r="AB4983" i="4"/>
  <c r="AB4987" i="4"/>
  <c r="AB4991" i="4"/>
  <c r="AB4995" i="4"/>
  <c r="AB4999" i="4"/>
  <c r="AB5003" i="4"/>
  <c r="AB5007" i="4"/>
  <c r="AA11" i="4"/>
  <c r="AA15" i="4"/>
  <c r="AA19" i="4"/>
  <c r="AA23" i="4"/>
  <c r="AA27" i="4"/>
  <c r="AA31" i="4"/>
  <c r="AA35" i="4"/>
  <c r="AA39" i="4"/>
  <c r="AA43" i="4"/>
  <c r="AA47" i="4"/>
  <c r="AA51" i="4"/>
  <c r="AA55" i="4"/>
  <c r="AA59" i="4"/>
  <c r="AA63" i="4"/>
  <c r="AA67" i="4"/>
  <c r="AA71" i="4"/>
  <c r="AA75" i="4"/>
  <c r="AA79" i="4"/>
  <c r="AA83" i="4"/>
  <c r="AA87" i="4"/>
  <c r="AA91" i="4"/>
  <c r="AA95" i="4"/>
  <c r="AA99" i="4"/>
  <c r="AA103" i="4"/>
  <c r="AA107" i="4"/>
  <c r="AA111" i="4"/>
  <c r="AA115" i="4"/>
  <c r="AA119" i="4"/>
  <c r="AA123" i="4"/>
  <c r="AA127" i="4"/>
  <c r="AA131" i="4"/>
  <c r="AA135" i="4"/>
  <c r="AA139" i="4"/>
  <c r="AA143" i="4"/>
  <c r="AA147" i="4"/>
  <c r="AA151" i="4"/>
  <c r="AA155" i="4"/>
  <c r="AA159" i="4"/>
  <c r="AA163" i="4"/>
  <c r="AA167" i="4"/>
  <c r="AA171" i="4"/>
  <c r="AA175" i="4"/>
  <c r="AA179" i="4"/>
  <c r="AA183" i="4"/>
  <c r="AA187" i="4"/>
  <c r="AA191" i="4"/>
  <c r="AA195" i="4"/>
  <c r="AA199" i="4"/>
  <c r="AA203" i="4"/>
  <c r="AA207" i="4"/>
  <c r="AA211" i="4"/>
  <c r="AA215" i="4"/>
  <c r="AA219" i="4"/>
  <c r="AA223" i="4"/>
  <c r="AA227" i="4"/>
  <c r="AA231" i="4"/>
  <c r="AA235" i="4"/>
  <c r="AA239" i="4"/>
  <c r="AA243" i="4"/>
  <c r="AA247" i="4"/>
  <c r="AA251" i="4"/>
  <c r="AA255" i="4"/>
  <c r="AA259" i="4"/>
  <c r="AA263" i="4"/>
  <c r="AA267" i="4"/>
  <c r="AA271" i="4"/>
  <c r="AA275" i="4"/>
  <c r="AA279" i="4"/>
  <c r="AA283" i="4"/>
  <c r="AA287" i="4"/>
  <c r="AA291" i="4"/>
  <c r="AA295" i="4"/>
  <c r="AA299" i="4"/>
  <c r="AA303" i="4"/>
  <c r="AA307" i="4"/>
  <c r="AA311" i="4"/>
  <c r="AA315" i="4"/>
  <c r="AA319" i="4"/>
  <c r="AA323" i="4"/>
  <c r="AA327" i="4"/>
  <c r="AA331" i="4"/>
  <c r="AA335" i="4"/>
  <c r="AA339" i="4"/>
  <c r="AA343" i="4"/>
  <c r="AA347" i="4"/>
  <c r="AA351" i="4"/>
  <c r="AA355" i="4"/>
  <c r="AA359" i="4"/>
  <c r="AA363" i="4"/>
  <c r="AA367" i="4"/>
  <c r="AA371" i="4"/>
  <c r="AA375" i="4"/>
  <c r="AA379" i="4"/>
  <c r="AA383" i="4"/>
  <c r="AA387" i="4"/>
  <c r="AA391" i="4"/>
  <c r="AA395" i="4"/>
  <c r="AA399" i="4"/>
  <c r="AA403" i="4"/>
  <c r="AA407" i="4"/>
  <c r="AA411" i="4"/>
  <c r="AA415" i="4"/>
  <c r="AA419" i="4"/>
  <c r="AA423" i="4"/>
  <c r="AA427" i="4"/>
  <c r="AA431" i="4"/>
  <c r="AA435" i="4"/>
  <c r="AA439" i="4"/>
  <c r="AA443" i="4"/>
  <c r="AA447" i="4"/>
  <c r="AA451" i="4"/>
  <c r="AA455" i="4"/>
  <c r="AA459" i="4"/>
  <c r="AA463" i="4"/>
  <c r="AA467" i="4"/>
  <c r="AA471" i="4"/>
  <c r="AA475" i="4"/>
  <c r="AA479" i="4"/>
  <c r="AA483" i="4"/>
  <c r="AA487" i="4"/>
  <c r="AA491" i="4"/>
  <c r="AA495" i="4"/>
  <c r="AA499" i="4"/>
  <c r="AA503" i="4"/>
  <c r="AA507" i="4"/>
  <c r="AA511" i="4"/>
  <c r="AA515" i="4"/>
  <c r="AA519" i="4"/>
  <c r="AA523" i="4"/>
  <c r="AA527" i="4"/>
  <c r="AA531" i="4"/>
  <c r="AA535" i="4"/>
  <c r="AA539" i="4"/>
  <c r="AA543" i="4"/>
  <c r="AA547" i="4"/>
  <c r="AA551" i="4"/>
  <c r="AA555" i="4"/>
  <c r="AA559" i="4"/>
  <c r="AA563" i="4"/>
  <c r="AA567" i="4"/>
  <c r="AA571" i="4"/>
  <c r="AA575" i="4"/>
  <c r="AA579" i="4"/>
  <c r="AA583" i="4"/>
  <c r="AA587" i="4"/>
  <c r="AA591" i="4"/>
  <c r="AA595" i="4"/>
  <c r="AA599" i="4"/>
  <c r="AA603" i="4"/>
  <c r="AA607" i="4"/>
  <c r="AA611" i="4"/>
  <c r="AA615" i="4"/>
  <c r="AA619" i="4"/>
  <c r="AA623" i="4"/>
  <c r="AA627" i="4"/>
  <c r="AA631" i="4"/>
  <c r="AA635" i="4"/>
  <c r="AA639" i="4"/>
  <c r="AA643" i="4"/>
  <c r="AA647" i="4"/>
  <c r="AA651" i="4"/>
  <c r="AA655" i="4"/>
  <c r="AA659" i="4"/>
  <c r="AA663" i="4"/>
  <c r="AA667" i="4"/>
  <c r="AA671" i="4"/>
  <c r="AA675" i="4"/>
  <c r="AA679" i="4"/>
  <c r="AA683" i="4"/>
  <c r="AA687" i="4"/>
  <c r="AA691" i="4"/>
  <c r="AA695" i="4"/>
  <c r="AA699" i="4"/>
  <c r="AA703" i="4"/>
  <c r="AA707" i="4"/>
  <c r="AA711" i="4"/>
  <c r="AA715" i="4"/>
  <c r="AA719" i="4"/>
  <c r="AB4347" i="4"/>
  <c r="AB4355" i="4"/>
  <c r="AB4363" i="4"/>
  <c r="AB4371" i="4"/>
  <c r="AB4379" i="4"/>
  <c r="AB4384" i="4"/>
  <c r="AB4388" i="4"/>
  <c r="AB4392" i="4"/>
  <c r="AB4396" i="4"/>
  <c r="AB4400" i="4"/>
  <c r="AB4404" i="4"/>
  <c r="AB4408" i="4"/>
  <c r="AB4412" i="4"/>
  <c r="AB4416" i="4"/>
  <c r="AB4420" i="4"/>
  <c r="AB4424" i="4"/>
  <c r="AB4428" i="4"/>
  <c r="AB4432" i="4"/>
  <c r="AB4436" i="4"/>
  <c r="AB4440" i="4"/>
  <c r="AB4444" i="4"/>
  <c r="AB4448" i="4"/>
  <c r="AB4452" i="4"/>
  <c r="AB4456" i="4"/>
  <c r="AB4460" i="4"/>
  <c r="AB4464" i="4"/>
  <c r="AB4468" i="4"/>
  <c r="AB4472" i="4"/>
  <c r="AB4476" i="4"/>
  <c r="AB4480" i="4"/>
  <c r="AB4484" i="4"/>
  <c r="AB4488" i="4"/>
  <c r="AB4492" i="4"/>
  <c r="AB4496" i="4"/>
  <c r="AB4500" i="4"/>
  <c r="AB4504" i="4"/>
  <c r="AB4508" i="4"/>
  <c r="AB4512" i="4"/>
  <c r="AB4516" i="4"/>
  <c r="AB4520" i="4"/>
  <c r="AB4524" i="4"/>
  <c r="AB4528" i="4"/>
  <c r="AB4532" i="4"/>
  <c r="AB4536" i="4"/>
  <c r="AB4540" i="4"/>
  <c r="AB4544" i="4"/>
  <c r="AB4548" i="4"/>
  <c r="AB4552" i="4"/>
  <c r="AB4556" i="4"/>
  <c r="AB4560" i="4"/>
  <c r="AB4564" i="4"/>
  <c r="AB4568" i="4"/>
  <c r="AB4572" i="4"/>
  <c r="AB4576" i="4"/>
  <c r="AB4580" i="4"/>
  <c r="AB4584" i="4"/>
  <c r="AB4588" i="4"/>
  <c r="AB4592" i="4"/>
  <c r="AB4596" i="4"/>
  <c r="AB4600" i="4"/>
  <c r="AB4604" i="4"/>
  <c r="AB4608" i="4"/>
  <c r="AB4612" i="4"/>
  <c r="AB4616" i="4"/>
  <c r="AB4620" i="4"/>
  <c r="AB4624" i="4"/>
  <c r="AB4628" i="4"/>
  <c r="AB4632" i="4"/>
  <c r="AB4636" i="4"/>
  <c r="AB4640" i="4"/>
  <c r="AB4644" i="4"/>
  <c r="AB4648" i="4"/>
  <c r="AB4652" i="4"/>
  <c r="AB4656" i="4"/>
  <c r="AB4660" i="4"/>
  <c r="AB4664" i="4"/>
  <c r="AB4668" i="4"/>
  <c r="AB4672" i="4"/>
  <c r="AB4676" i="4"/>
  <c r="AB4680" i="4"/>
  <c r="AB4684" i="4"/>
  <c r="AB4688" i="4"/>
  <c r="AB4692" i="4"/>
  <c r="AB4696" i="4"/>
  <c r="AB4700" i="4"/>
  <c r="AB4704" i="4"/>
  <c r="AB4708" i="4"/>
  <c r="AB4712" i="4"/>
  <c r="AB4716" i="4"/>
  <c r="AB4720" i="4"/>
  <c r="AB4724" i="4"/>
  <c r="AB4728" i="4"/>
  <c r="AB4732" i="4"/>
  <c r="AB4736" i="4"/>
  <c r="AB4740" i="4"/>
  <c r="AB4744" i="4"/>
  <c r="AB4748" i="4"/>
  <c r="AB4752" i="4"/>
  <c r="AB4756" i="4"/>
  <c r="AB4760" i="4"/>
  <c r="AB4764" i="4"/>
  <c r="AB4768" i="4"/>
  <c r="AB4772" i="4"/>
  <c r="AB4776" i="4"/>
  <c r="AB4780" i="4"/>
  <c r="AB4784" i="4"/>
  <c r="AB4788" i="4"/>
  <c r="AB4792" i="4"/>
  <c r="AB4796" i="4"/>
  <c r="AB4800" i="4"/>
  <c r="AB4804" i="4"/>
  <c r="AB4808" i="4"/>
  <c r="AB4812" i="4"/>
  <c r="AB4816" i="4"/>
  <c r="AB4820" i="4"/>
  <c r="AB4824" i="4"/>
  <c r="AB4828" i="4"/>
  <c r="AB4832" i="4"/>
  <c r="AB4836" i="4"/>
  <c r="AB4840" i="4"/>
  <c r="AB4844" i="4"/>
  <c r="AB4848" i="4"/>
  <c r="AB4852" i="4"/>
  <c r="AB4856" i="4"/>
  <c r="AB4860" i="4"/>
  <c r="AB4864" i="4"/>
  <c r="AB4868" i="4"/>
  <c r="AB4872" i="4"/>
  <c r="AB4876" i="4"/>
  <c r="AB4880" i="4"/>
  <c r="AB4884" i="4"/>
  <c r="AB4888" i="4"/>
  <c r="AB4892" i="4"/>
  <c r="AB4896" i="4"/>
  <c r="AB4900" i="4"/>
  <c r="AB4904" i="4"/>
  <c r="AB4908" i="4"/>
  <c r="AB4912" i="4"/>
  <c r="AB4916" i="4"/>
  <c r="AB4920" i="4"/>
  <c r="AB4924" i="4"/>
  <c r="AB4928" i="4"/>
  <c r="AB4932" i="4"/>
  <c r="AB4936" i="4"/>
  <c r="AB4940" i="4"/>
  <c r="AB4944" i="4"/>
  <c r="AB4948" i="4"/>
  <c r="AB4952" i="4"/>
  <c r="AB4956" i="4"/>
  <c r="AB4960" i="4"/>
  <c r="AB4964" i="4"/>
  <c r="AB4968" i="4"/>
  <c r="AB4972" i="4"/>
  <c r="AB4976" i="4"/>
  <c r="AB4980" i="4"/>
  <c r="AB4984" i="4"/>
  <c r="AB4988" i="4"/>
  <c r="AB4992" i="4"/>
  <c r="AB4996" i="4"/>
  <c r="AB5000" i="4"/>
  <c r="AB5004" i="4"/>
  <c r="AB5008" i="4"/>
  <c r="AA12" i="4"/>
  <c r="AA16" i="4"/>
  <c r="AA20" i="4"/>
  <c r="AA24" i="4"/>
  <c r="AA28" i="4"/>
  <c r="AA32" i="4"/>
  <c r="AA36" i="4"/>
  <c r="AA40" i="4"/>
  <c r="AA44" i="4"/>
  <c r="AA48" i="4"/>
  <c r="AA52" i="4"/>
  <c r="AA56" i="4"/>
  <c r="AA60" i="4"/>
  <c r="AA64" i="4"/>
  <c r="AA68" i="4"/>
  <c r="AA72" i="4"/>
  <c r="AA76" i="4"/>
  <c r="AA80" i="4"/>
  <c r="AA84" i="4"/>
  <c r="AA88" i="4"/>
  <c r="AA92" i="4"/>
  <c r="AA96" i="4"/>
  <c r="AA100" i="4"/>
  <c r="AA104" i="4"/>
  <c r="AA108" i="4"/>
  <c r="AA112" i="4"/>
  <c r="AA116" i="4"/>
  <c r="AA120" i="4"/>
  <c r="AA124" i="4"/>
  <c r="AA128" i="4"/>
  <c r="AA132" i="4"/>
  <c r="AA136" i="4"/>
  <c r="AA140" i="4"/>
  <c r="AA144" i="4"/>
  <c r="AA148" i="4"/>
  <c r="AA152" i="4"/>
  <c r="AA156" i="4"/>
  <c r="AA160" i="4"/>
  <c r="AA164" i="4"/>
  <c r="AA168" i="4"/>
  <c r="AA172" i="4"/>
  <c r="AA176" i="4"/>
  <c r="AA180" i="4"/>
  <c r="AA184" i="4"/>
  <c r="AA188" i="4"/>
  <c r="AA192" i="4"/>
  <c r="AA196" i="4"/>
  <c r="AA200" i="4"/>
  <c r="AA204" i="4"/>
  <c r="AA208" i="4"/>
  <c r="AA212" i="4"/>
  <c r="AA216" i="4"/>
  <c r="AA220" i="4"/>
  <c r="AA224" i="4"/>
  <c r="AA228" i="4"/>
  <c r="AA232" i="4"/>
  <c r="AA236" i="4"/>
  <c r="AA240" i="4"/>
  <c r="AA244" i="4"/>
  <c r="AA248" i="4"/>
  <c r="AA252" i="4"/>
  <c r="AA256" i="4"/>
  <c r="AA260" i="4"/>
  <c r="AA264" i="4"/>
  <c r="AA268" i="4"/>
  <c r="AA272" i="4"/>
  <c r="AA276" i="4"/>
  <c r="AA280" i="4"/>
  <c r="AA284" i="4"/>
  <c r="AA288" i="4"/>
  <c r="AA292" i="4"/>
  <c r="AA296" i="4"/>
  <c r="AA300" i="4"/>
  <c r="AA304" i="4"/>
  <c r="AA308" i="4"/>
  <c r="AA312" i="4"/>
  <c r="AA316" i="4"/>
  <c r="AA320" i="4"/>
  <c r="AA324" i="4"/>
  <c r="AA328" i="4"/>
  <c r="AA332" i="4"/>
  <c r="AA336" i="4"/>
  <c r="AA340" i="4"/>
  <c r="AA344" i="4"/>
  <c r="AA348" i="4"/>
  <c r="AA352" i="4"/>
  <c r="AA356" i="4"/>
  <c r="AA360" i="4"/>
  <c r="AA364" i="4"/>
  <c r="AA368" i="4"/>
  <c r="AA372" i="4"/>
  <c r="AA376" i="4"/>
  <c r="AA380" i="4"/>
  <c r="AA384" i="4"/>
  <c r="AA388" i="4"/>
  <c r="AA392" i="4"/>
  <c r="AA396" i="4"/>
  <c r="AA400" i="4"/>
  <c r="AA404" i="4"/>
  <c r="AA408" i="4"/>
  <c r="AA412" i="4"/>
  <c r="AA416" i="4"/>
  <c r="AA420" i="4"/>
  <c r="AA424" i="4"/>
  <c r="AA428" i="4"/>
  <c r="AA432" i="4"/>
  <c r="AA436" i="4"/>
  <c r="AA440" i="4"/>
  <c r="AA444" i="4"/>
  <c r="AA448" i="4"/>
  <c r="AA452" i="4"/>
  <c r="AA456" i="4"/>
  <c r="AA460" i="4"/>
  <c r="AA464" i="4"/>
  <c r="AA468" i="4"/>
  <c r="AA472" i="4"/>
  <c r="AA476" i="4"/>
  <c r="AA480" i="4"/>
  <c r="AA484" i="4"/>
  <c r="AA488" i="4"/>
  <c r="AA492" i="4"/>
  <c r="AA496" i="4"/>
  <c r="AA500" i="4"/>
  <c r="AA504" i="4"/>
  <c r="AA508" i="4"/>
  <c r="AA512" i="4"/>
  <c r="AA516" i="4"/>
  <c r="AA520" i="4"/>
  <c r="AA524" i="4"/>
  <c r="AA528" i="4"/>
  <c r="AA532" i="4"/>
  <c r="AA536" i="4"/>
  <c r="AA540" i="4"/>
  <c r="AA544" i="4"/>
  <c r="AA548" i="4"/>
  <c r="AA552" i="4"/>
  <c r="AA556" i="4"/>
  <c r="AA560" i="4"/>
  <c r="AA564" i="4"/>
  <c r="AA568" i="4"/>
  <c r="AA572" i="4"/>
  <c r="AA576" i="4"/>
  <c r="AA580" i="4"/>
  <c r="AA584" i="4"/>
  <c r="AA588" i="4"/>
  <c r="AA592" i="4"/>
  <c r="AA596" i="4"/>
  <c r="AA600" i="4"/>
  <c r="AA604" i="4"/>
  <c r="AA608" i="4"/>
  <c r="AA612" i="4"/>
  <c r="AA616" i="4"/>
  <c r="AA620" i="4"/>
  <c r="AA624" i="4"/>
  <c r="AA628" i="4"/>
  <c r="AA632" i="4"/>
  <c r="AA636" i="4"/>
  <c r="AA640" i="4"/>
  <c r="AA644" i="4"/>
  <c r="AA648" i="4"/>
  <c r="AA652" i="4"/>
  <c r="AA656" i="4"/>
  <c r="AA660" i="4"/>
  <c r="AA664" i="4"/>
  <c r="AA668" i="4"/>
  <c r="AA672" i="4"/>
  <c r="AA676" i="4"/>
  <c r="AA680" i="4"/>
  <c r="AA684" i="4"/>
  <c r="AA688" i="4"/>
  <c r="AA692" i="4"/>
  <c r="AA696" i="4"/>
  <c r="AA700" i="4"/>
  <c r="AA704" i="4"/>
  <c r="AA708" i="4"/>
  <c r="AA712" i="4"/>
  <c r="AA716" i="4"/>
  <c r="AA720" i="4"/>
  <c r="AA724" i="4"/>
  <c r="AA721" i="4"/>
  <c r="AA727" i="4"/>
  <c r="AA731" i="4"/>
  <c r="AA735" i="4"/>
  <c r="AA739" i="4"/>
  <c r="AA743" i="4"/>
  <c r="AA747" i="4"/>
  <c r="AA751" i="4"/>
  <c r="AA755" i="4"/>
  <c r="AA759" i="4"/>
  <c r="AA763" i="4"/>
  <c r="AA767" i="4"/>
  <c r="AA771" i="4"/>
  <c r="AA775" i="4"/>
  <c r="AA779" i="4"/>
  <c r="AA783" i="4"/>
  <c r="AA787" i="4"/>
  <c r="AA791" i="4"/>
  <c r="AA795" i="4"/>
  <c r="AA799" i="4"/>
  <c r="AA803" i="4"/>
  <c r="AA807" i="4"/>
  <c r="AA811" i="4"/>
  <c r="AA815" i="4"/>
  <c r="AA819" i="4"/>
  <c r="AA823" i="4"/>
  <c r="AA827" i="4"/>
  <c r="AA831" i="4"/>
  <c r="AA835" i="4"/>
  <c r="AA839" i="4"/>
  <c r="AA843" i="4"/>
  <c r="AA847" i="4"/>
  <c r="AA851" i="4"/>
  <c r="AA855" i="4"/>
  <c r="AA859" i="4"/>
  <c r="AA863" i="4"/>
  <c r="AA867" i="4"/>
  <c r="AA871" i="4"/>
  <c r="AA875" i="4"/>
  <c r="AA879" i="4"/>
  <c r="AA883" i="4"/>
  <c r="AA887" i="4"/>
  <c r="AA891" i="4"/>
  <c r="AA895" i="4"/>
  <c r="AA899" i="4"/>
  <c r="AA903" i="4"/>
  <c r="AA907" i="4"/>
  <c r="AA911" i="4"/>
  <c r="AA915" i="4"/>
  <c r="AA919" i="4"/>
  <c r="AA923" i="4"/>
  <c r="AA927" i="4"/>
  <c r="AA931" i="4"/>
  <c r="AA935" i="4"/>
  <c r="AA939" i="4"/>
  <c r="AA943" i="4"/>
  <c r="AA947" i="4"/>
  <c r="AA951" i="4"/>
  <c r="AA955" i="4"/>
  <c r="AA959" i="4"/>
  <c r="AA963" i="4"/>
  <c r="AA967" i="4"/>
  <c r="AA971" i="4"/>
  <c r="AA975" i="4"/>
  <c r="AA979" i="4"/>
  <c r="AA983" i="4"/>
  <c r="AA987" i="4"/>
  <c r="AA991" i="4"/>
  <c r="AA995" i="4"/>
  <c r="AA999" i="4"/>
  <c r="AA1003" i="4"/>
  <c r="AA1007" i="4"/>
  <c r="AA1011" i="4"/>
  <c r="AA1015" i="4"/>
  <c r="AA1019" i="4"/>
  <c r="AA1023" i="4"/>
  <c r="AA1027" i="4"/>
  <c r="AA1031" i="4"/>
  <c r="AA1035" i="4"/>
  <c r="AA1039" i="4"/>
  <c r="AA1043" i="4"/>
  <c r="AA1047" i="4"/>
  <c r="AA1051" i="4"/>
  <c r="AA1055" i="4"/>
  <c r="AA1059" i="4"/>
  <c r="AA1063" i="4"/>
  <c r="AA1067" i="4"/>
  <c r="AA1071" i="4"/>
  <c r="AA1075" i="4"/>
  <c r="AA1079" i="4"/>
  <c r="AA1083" i="4"/>
  <c r="AA1087" i="4"/>
  <c r="AA1091" i="4"/>
  <c r="AA1095" i="4"/>
  <c r="AA1099" i="4"/>
  <c r="AA1103" i="4"/>
  <c r="AA1107" i="4"/>
  <c r="AA1111" i="4"/>
  <c r="AA1115" i="4"/>
  <c r="AA1119" i="4"/>
  <c r="AA1123" i="4"/>
  <c r="AA1127" i="4"/>
  <c r="AA1131" i="4"/>
  <c r="AA1135" i="4"/>
  <c r="AA1139" i="4"/>
  <c r="AA1143" i="4"/>
  <c r="AA1147" i="4"/>
  <c r="AA1151" i="4"/>
  <c r="AA1155" i="4"/>
  <c r="AA1159" i="4"/>
  <c r="AA1163" i="4"/>
  <c r="AA1167" i="4"/>
  <c r="AA1171" i="4"/>
  <c r="AA1175" i="4"/>
  <c r="AA1179" i="4"/>
  <c r="AA1183" i="4"/>
  <c r="AA1187" i="4"/>
  <c r="AA1191" i="4"/>
  <c r="AA1195" i="4"/>
  <c r="AA1199" i="4"/>
  <c r="AA1203" i="4"/>
  <c r="AA1207" i="4"/>
  <c r="AA1211" i="4"/>
  <c r="AA1215" i="4"/>
  <c r="AA1219" i="4"/>
  <c r="AA1223" i="4"/>
  <c r="AA1227" i="4"/>
  <c r="AA1231" i="4"/>
  <c r="AA1235" i="4"/>
  <c r="AA1239" i="4"/>
  <c r="AA1243" i="4"/>
  <c r="AA1247" i="4"/>
  <c r="AA1251" i="4"/>
  <c r="AA1255" i="4"/>
  <c r="AA1259" i="4"/>
  <c r="AA1263" i="4"/>
  <c r="AA1267" i="4"/>
  <c r="AA1271" i="4"/>
  <c r="AA1275" i="4"/>
  <c r="AA1279" i="4"/>
  <c r="AA1283" i="4"/>
  <c r="AA1287" i="4"/>
  <c r="AA1291" i="4"/>
  <c r="AA1295" i="4"/>
  <c r="AA1299" i="4"/>
  <c r="AA1303" i="4"/>
  <c r="AA1307" i="4"/>
  <c r="AA1311" i="4"/>
  <c r="AA1315" i="4"/>
  <c r="AA1319" i="4"/>
  <c r="AA1323" i="4"/>
  <c r="AA1327" i="4"/>
  <c r="AA1331" i="4"/>
  <c r="AA1335" i="4"/>
  <c r="AA1339" i="4"/>
  <c r="AA1343" i="4"/>
  <c r="AA1347" i="4"/>
  <c r="AA1351" i="4"/>
  <c r="AA1355" i="4"/>
  <c r="AA1359" i="4"/>
  <c r="AA1363" i="4"/>
  <c r="AA1367" i="4"/>
  <c r="AA1371" i="4"/>
  <c r="AA1375" i="4"/>
  <c r="AA1379" i="4"/>
  <c r="AA1383" i="4"/>
  <c r="AA1387" i="4"/>
  <c r="AA1391" i="4"/>
  <c r="AA1395" i="4"/>
  <c r="AA1399" i="4"/>
  <c r="AA1403" i="4"/>
  <c r="AA1407" i="4"/>
  <c r="AA1411" i="4"/>
  <c r="AA1415" i="4"/>
  <c r="AA1419" i="4"/>
  <c r="AA1423" i="4"/>
  <c r="AA1427" i="4"/>
  <c r="AA1431" i="4"/>
  <c r="AA1435" i="4"/>
  <c r="AA1439" i="4"/>
  <c r="AA1443" i="4"/>
  <c r="AA1447" i="4"/>
  <c r="AA1451" i="4"/>
  <c r="AA1455" i="4"/>
  <c r="AA1459" i="4"/>
  <c r="AA1463" i="4"/>
  <c r="AA1467" i="4"/>
  <c r="AA1471" i="4"/>
  <c r="AA1475" i="4"/>
  <c r="AA1479" i="4"/>
  <c r="AA1483" i="4"/>
  <c r="AA1487" i="4"/>
  <c r="AA1491" i="4"/>
  <c r="AA1495" i="4"/>
  <c r="AA1499" i="4"/>
  <c r="AA1503" i="4"/>
  <c r="AA1507" i="4"/>
  <c r="AA1511" i="4"/>
  <c r="AA1515" i="4"/>
  <c r="AA1519" i="4"/>
  <c r="AA1523" i="4"/>
  <c r="AA1527" i="4"/>
  <c r="AA1531" i="4"/>
  <c r="AA1535" i="4"/>
  <c r="AA1539" i="4"/>
  <c r="AA1543" i="4"/>
  <c r="AA1547" i="4"/>
  <c r="AA1551" i="4"/>
  <c r="AA1555" i="4"/>
  <c r="AA1559" i="4"/>
  <c r="AA1563" i="4"/>
  <c r="AA1567" i="4"/>
  <c r="AA1571" i="4"/>
  <c r="AA1575" i="4"/>
  <c r="AA1579" i="4"/>
  <c r="AA1583" i="4"/>
  <c r="AA1587" i="4"/>
  <c r="AA1591" i="4"/>
  <c r="AA1595" i="4"/>
  <c r="AA1599" i="4"/>
  <c r="AA1603" i="4"/>
  <c r="AA1607" i="4"/>
  <c r="AA1611" i="4"/>
  <c r="AA1615" i="4"/>
  <c r="AA1619" i="4"/>
  <c r="AA1623" i="4"/>
  <c r="AA1627" i="4"/>
  <c r="AA1631" i="4"/>
  <c r="AA1635" i="4"/>
  <c r="AA1639" i="4"/>
  <c r="AA1643" i="4"/>
  <c r="AA1647" i="4"/>
  <c r="AA1651" i="4"/>
  <c r="AA1655" i="4"/>
  <c r="AA1659" i="4"/>
  <c r="AA1663" i="4"/>
  <c r="AA1667" i="4"/>
  <c r="AA1671" i="4"/>
  <c r="AA1675" i="4"/>
  <c r="AA1679" i="4"/>
  <c r="AA1683" i="4"/>
  <c r="AA1687" i="4"/>
  <c r="AA1691" i="4"/>
  <c r="AA1695" i="4"/>
  <c r="AA1699" i="4"/>
  <c r="AA1703" i="4"/>
  <c r="AA1707" i="4"/>
  <c r="AA1711" i="4"/>
  <c r="AA1715" i="4"/>
  <c r="AA1719" i="4"/>
  <c r="AA1723" i="4"/>
  <c r="AA1727" i="4"/>
  <c r="AA1731" i="4"/>
  <c r="AA1735" i="4"/>
  <c r="AA1739" i="4"/>
  <c r="AA1743" i="4"/>
  <c r="AA1747" i="4"/>
  <c r="AA1751" i="4"/>
  <c r="AA1755" i="4"/>
  <c r="AA1759" i="4"/>
  <c r="AA1763" i="4"/>
  <c r="AA1767" i="4"/>
  <c r="AA1771" i="4"/>
  <c r="AA1775" i="4"/>
  <c r="AA1779" i="4"/>
  <c r="AA1783" i="4"/>
  <c r="AA1787" i="4"/>
  <c r="AA1791" i="4"/>
  <c r="AA1795" i="4"/>
  <c r="AA1799" i="4"/>
  <c r="AA1803" i="4"/>
  <c r="AA1807" i="4"/>
  <c r="AA1811" i="4"/>
  <c r="AA1815" i="4"/>
  <c r="AA1819" i="4"/>
  <c r="AA1823" i="4"/>
  <c r="AA1827" i="4"/>
  <c r="AA1831" i="4"/>
  <c r="AA1835" i="4"/>
  <c r="AA1839" i="4"/>
  <c r="AA1843" i="4"/>
  <c r="AA1847" i="4"/>
  <c r="AA1851" i="4"/>
  <c r="AA1855" i="4"/>
  <c r="AA1859" i="4"/>
  <c r="AA1863" i="4"/>
  <c r="AA1867" i="4"/>
  <c r="AA1871" i="4"/>
  <c r="AA1875" i="4"/>
  <c r="AA1879" i="4"/>
  <c r="AA1883" i="4"/>
  <c r="AA1887" i="4"/>
  <c r="AA1891" i="4"/>
  <c r="AA1895" i="4"/>
  <c r="AA1899" i="4"/>
  <c r="AA1903" i="4"/>
  <c r="AA1907" i="4"/>
  <c r="AA1911" i="4"/>
  <c r="AA1915" i="4"/>
  <c r="AA1919" i="4"/>
  <c r="AA1923" i="4"/>
  <c r="AA1927" i="4"/>
  <c r="AA1931" i="4"/>
  <c r="AA1935" i="4"/>
  <c r="AA1939" i="4"/>
  <c r="AA1943" i="4"/>
  <c r="AA1947" i="4"/>
  <c r="AA1951" i="4"/>
  <c r="AA1955" i="4"/>
  <c r="AA1959" i="4"/>
  <c r="AA1963" i="4"/>
  <c r="AA1967" i="4"/>
  <c r="AA1971" i="4"/>
  <c r="AA1975" i="4"/>
  <c r="AA1979" i="4"/>
  <c r="AA1983" i="4"/>
  <c r="AA1987" i="4"/>
  <c r="AA1991" i="4"/>
  <c r="AA1995" i="4"/>
  <c r="AA1999" i="4"/>
  <c r="AA2003" i="4"/>
  <c r="AA2007" i="4"/>
  <c r="AA2011" i="4"/>
  <c r="AA2015" i="4"/>
  <c r="AA2019" i="4"/>
  <c r="AA2023" i="4"/>
  <c r="AA2027" i="4"/>
  <c r="AA2031" i="4"/>
  <c r="AA2035" i="4"/>
  <c r="AA2039" i="4"/>
  <c r="AA2043" i="4"/>
  <c r="AA2047" i="4"/>
  <c r="AA2051" i="4"/>
  <c r="AA2055" i="4"/>
  <c r="AA2059" i="4"/>
  <c r="AA2063" i="4"/>
  <c r="AA2067" i="4"/>
  <c r="AA723" i="4"/>
  <c r="AA728" i="4"/>
  <c r="AA732" i="4"/>
  <c r="AA736" i="4"/>
  <c r="AA740" i="4"/>
  <c r="AA744" i="4"/>
  <c r="AA748" i="4"/>
  <c r="AA752" i="4"/>
  <c r="AA756" i="4"/>
  <c r="AA760" i="4"/>
  <c r="AA764" i="4"/>
  <c r="AA768" i="4"/>
  <c r="AA772" i="4"/>
  <c r="AA776" i="4"/>
  <c r="AA780" i="4"/>
  <c r="AA784" i="4"/>
  <c r="AA788" i="4"/>
  <c r="AA792" i="4"/>
  <c r="AA796" i="4"/>
  <c r="AA800" i="4"/>
  <c r="AA804" i="4"/>
  <c r="AA808" i="4"/>
  <c r="AA812" i="4"/>
  <c r="AA816" i="4"/>
  <c r="AA820" i="4"/>
  <c r="AA824" i="4"/>
  <c r="AA828" i="4"/>
  <c r="AA832" i="4"/>
  <c r="AA836" i="4"/>
  <c r="AA840" i="4"/>
  <c r="AA844" i="4"/>
  <c r="AA848" i="4"/>
  <c r="AA852" i="4"/>
  <c r="AA856" i="4"/>
  <c r="AA860" i="4"/>
  <c r="AA864" i="4"/>
  <c r="AA868" i="4"/>
  <c r="AA872" i="4"/>
  <c r="AA876" i="4"/>
  <c r="AA880" i="4"/>
  <c r="AA884" i="4"/>
  <c r="AA888" i="4"/>
  <c r="AA892" i="4"/>
  <c r="AA896" i="4"/>
  <c r="AA900" i="4"/>
  <c r="AA904" i="4"/>
  <c r="AA908" i="4"/>
  <c r="AA912" i="4"/>
  <c r="AA916" i="4"/>
  <c r="AA920" i="4"/>
  <c r="AA924" i="4"/>
  <c r="AA928" i="4"/>
  <c r="AA932" i="4"/>
  <c r="AA936" i="4"/>
  <c r="AA940" i="4"/>
  <c r="AA944" i="4"/>
  <c r="AA948" i="4"/>
  <c r="AA952" i="4"/>
  <c r="AA956" i="4"/>
  <c r="AA960" i="4"/>
  <c r="AA964" i="4"/>
  <c r="AA968" i="4"/>
  <c r="AA972" i="4"/>
  <c r="AA976" i="4"/>
  <c r="AA980" i="4"/>
  <c r="AA984" i="4"/>
  <c r="AA988" i="4"/>
  <c r="AA992" i="4"/>
  <c r="AA996" i="4"/>
  <c r="AA1000" i="4"/>
  <c r="AA1004" i="4"/>
  <c r="AA1008" i="4"/>
  <c r="AA1012" i="4"/>
  <c r="AA1016" i="4"/>
  <c r="AA1020" i="4"/>
  <c r="AA1024" i="4"/>
  <c r="AA1028" i="4"/>
  <c r="AA1032" i="4"/>
  <c r="AA1036" i="4"/>
  <c r="AA1040" i="4"/>
  <c r="AA1044" i="4"/>
  <c r="AA1048" i="4"/>
  <c r="AA1052" i="4"/>
  <c r="AA1056" i="4"/>
  <c r="AA1060" i="4"/>
  <c r="AA1064" i="4"/>
  <c r="AA1068" i="4"/>
  <c r="AA1072" i="4"/>
  <c r="AA1076" i="4"/>
  <c r="AA1080" i="4"/>
  <c r="AA1084" i="4"/>
  <c r="AA1088" i="4"/>
  <c r="AA1092" i="4"/>
  <c r="AA1096" i="4"/>
  <c r="AA1100" i="4"/>
  <c r="AA1104" i="4"/>
  <c r="AA1108" i="4"/>
  <c r="AA1112" i="4"/>
  <c r="AA1116" i="4"/>
  <c r="AA1120" i="4"/>
  <c r="AA1124" i="4"/>
  <c r="AA1128" i="4"/>
  <c r="AA1132" i="4"/>
  <c r="AA1136" i="4"/>
  <c r="AA1140" i="4"/>
  <c r="AA1144" i="4"/>
  <c r="AA1148" i="4"/>
  <c r="AA1152" i="4"/>
  <c r="AA1156" i="4"/>
  <c r="AA1160" i="4"/>
  <c r="AA1164" i="4"/>
  <c r="AA1168" i="4"/>
  <c r="AA1172" i="4"/>
  <c r="AA1176" i="4"/>
  <c r="AA1180" i="4"/>
  <c r="AA1184" i="4"/>
  <c r="AA1188" i="4"/>
  <c r="AA1192" i="4"/>
  <c r="AA1196" i="4"/>
  <c r="AA1200" i="4"/>
  <c r="AA1204" i="4"/>
  <c r="AA1208" i="4"/>
  <c r="AA1212" i="4"/>
  <c r="AA1216" i="4"/>
  <c r="AA1220" i="4"/>
  <c r="AA1224" i="4"/>
  <c r="AA1228" i="4"/>
  <c r="AA1232" i="4"/>
  <c r="AA1236" i="4"/>
  <c r="AA1240" i="4"/>
  <c r="AA1244" i="4"/>
  <c r="AA1248" i="4"/>
  <c r="AA1252" i="4"/>
  <c r="AA1256" i="4"/>
  <c r="AA1260" i="4"/>
  <c r="AA1264" i="4"/>
  <c r="AA1268" i="4"/>
  <c r="AA1272" i="4"/>
  <c r="AA1276" i="4"/>
  <c r="AA1280" i="4"/>
  <c r="AA1284" i="4"/>
  <c r="AA1288" i="4"/>
  <c r="AA1292" i="4"/>
  <c r="AA1296" i="4"/>
  <c r="AA1300" i="4"/>
  <c r="AA1304" i="4"/>
  <c r="AA1308" i="4"/>
  <c r="AA1312" i="4"/>
  <c r="AA1316" i="4"/>
  <c r="AA1320" i="4"/>
  <c r="AA1324" i="4"/>
  <c r="AA1328" i="4"/>
  <c r="AA1332" i="4"/>
  <c r="AA1336" i="4"/>
  <c r="AA1340" i="4"/>
  <c r="AA1344" i="4"/>
  <c r="AA1348" i="4"/>
  <c r="AA1352" i="4"/>
  <c r="AA1356" i="4"/>
  <c r="AA1360" i="4"/>
  <c r="AA1364" i="4"/>
  <c r="AA1368" i="4"/>
  <c r="AA1372" i="4"/>
  <c r="AA1376" i="4"/>
  <c r="AA1380" i="4"/>
  <c r="AA1384" i="4"/>
  <c r="AA1388" i="4"/>
  <c r="AA1392" i="4"/>
  <c r="AA1396" i="4"/>
  <c r="AA1400" i="4"/>
  <c r="AA1404" i="4"/>
  <c r="AA1408" i="4"/>
  <c r="AA1412" i="4"/>
  <c r="AA1416" i="4"/>
  <c r="AA1420" i="4"/>
  <c r="AA1424" i="4"/>
  <c r="AA1428" i="4"/>
  <c r="AA1432" i="4"/>
  <c r="AA1436" i="4"/>
  <c r="AA1440" i="4"/>
  <c r="AA1444" i="4"/>
  <c r="AA1448" i="4"/>
  <c r="AA1452" i="4"/>
  <c r="AA1456" i="4"/>
  <c r="AA1460" i="4"/>
  <c r="AA1464" i="4"/>
  <c r="AA1468" i="4"/>
  <c r="AA1472" i="4"/>
  <c r="AA1476" i="4"/>
  <c r="AA1480" i="4"/>
  <c r="AA1484" i="4"/>
  <c r="AA1488" i="4"/>
  <c r="AA1492" i="4"/>
  <c r="AA1496" i="4"/>
  <c r="AA1500" i="4"/>
  <c r="AA1504" i="4"/>
  <c r="AA1508" i="4"/>
  <c r="AA1512" i="4"/>
  <c r="AA1516" i="4"/>
  <c r="AA1520" i="4"/>
  <c r="AA1524" i="4"/>
  <c r="AA1528" i="4"/>
  <c r="AA1532" i="4"/>
  <c r="AA1536" i="4"/>
  <c r="AA1540" i="4"/>
  <c r="AA1544" i="4"/>
  <c r="AA1548" i="4"/>
  <c r="AA1552" i="4"/>
  <c r="AA1556" i="4"/>
  <c r="AA1560" i="4"/>
  <c r="AA1564" i="4"/>
  <c r="AA1568" i="4"/>
  <c r="AA1572" i="4"/>
  <c r="AA1576" i="4"/>
  <c r="AA1580" i="4"/>
  <c r="AA1584" i="4"/>
  <c r="AA1588" i="4"/>
  <c r="AA1592" i="4"/>
  <c r="AA1596" i="4"/>
  <c r="AA1600" i="4"/>
  <c r="AA1604" i="4"/>
  <c r="AA1608" i="4"/>
  <c r="AA1612" i="4"/>
  <c r="AA1616" i="4"/>
  <c r="AA1620" i="4"/>
  <c r="AA1624" i="4"/>
  <c r="AA1628" i="4"/>
  <c r="AA1632" i="4"/>
  <c r="AA1636" i="4"/>
  <c r="AA1640" i="4"/>
  <c r="AA1644" i="4"/>
  <c r="AA1648" i="4"/>
  <c r="AA1652" i="4"/>
  <c r="AA1656" i="4"/>
  <c r="AA1660" i="4"/>
  <c r="AA1664" i="4"/>
  <c r="AA1668" i="4"/>
  <c r="AA1672" i="4"/>
  <c r="AA1676" i="4"/>
  <c r="AA1680" i="4"/>
  <c r="AA1684" i="4"/>
  <c r="AA1688" i="4"/>
  <c r="AA1692" i="4"/>
  <c r="AA1696" i="4"/>
  <c r="AA1700" i="4"/>
  <c r="AA1704" i="4"/>
  <c r="AA1708" i="4"/>
  <c r="AA1712" i="4"/>
  <c r="AA1716" i="4"/>
  <c r="AA1720" i="4"/>
  <c r="AA1724" i="4"/>
  <c r="AA1728" i="4"/>
  <c r="AA1732" i="4"/>
  <c r="AA1736" i="4"/>
  <c r="AA1740" i="4"/>
  <c r="AA1744" i="4"/>
  <c r="AA1748" i="4"/>
  <c r="AA1752" i="4"/>
  <c r="AA1756" i="4"/>
  <c r="AA1760" i="4"/>
  <c r="AA1764" i="4"/>
  <c r="AA1768" i="4"/>
  <c r="AA1772" i="4"/>
  <c r="AA1776" i="4"/>
  <c r="AA1780" i="4"/>
  <c r="AA1784" i="4"/>
  <c r="AA1788" i="4"/>
  <c r="AA1792" i="4"/>
  <c r="AA1796" i="4"/>
  <c r="AA1800" i="4"/>
  <c r="AA1804" i="4"/>
  <c r="AA1808" i="4"/>
  <c r="AA1812" i="4"/>
  <c r="AA1816" i="4"/>
  <c r="AA1820" i="4"/>
  <c r="AA1824" i="4"/>
  <c r="AA1828" i="4"/>
  <c r="AA1832" i="4"/>
  <c r="AA1836" i="4"/>
  <c r="AA1840" i="4"/>
  <c r="AA1844" i="4"/>
  <c r="AA1848" i="4"/>
  <c r="AA1852" i="4"/>
  <c r="AA1856" i="4"/>
  <c r="AA1860" i="4"/>
  <c r="AA1864" i="4"/>
  <c r="AA1868" i="4"/>
  <c r="AA1872" i="4"/>
  <c r="AA1876" i="4"/>
  <c r="AA1880" i="4"/>
  <c r="AA1884" i="4"/>
  <c r="AA1888" i="4"/>
  <c r="AA1892" i="4"/>
  <c r="AA1896" i="4"/>
  <c r="AA1900" i="4"/>
  <c r="AA1904" i="4"/>
  <c r="AA1908" i="4"/>
  <c r="AA1912" i="4"/>
  <c r="AA1916" i="4"/>
  <c r="AA1920" i="4"/>
  <c r="AA1924" i="4"/>
  <c r="AA1928" i="4"/>
  <c r="AA1932" i="4"/>
  <c r="AA1936" i="4"/>
  <c r="AA1940" i="4"/>
  <c r="AA1944" i="4"/>
  <c r="AA1948" i="4"/>
  <c r="AA1952" i="4"/>
  <c r="AA1956" i="4"/>
  <c r="AA1960" i="4"/>
  <c r="AA1964" i="4"/>
  <c r="AA1968" i="4"/>
  <c r="AA1972" i="4"/>
  <c r="AA1976" i="4"/>
  <c r="AA1980" i="4"/>
  <c r="AA1984" i="4"/>
  <c r="AA1988" i="4"/>
  <c r="AA1992" i="4"/>
  <c r="AA1996" i="4"/>
  <c r="AA2000" i="4"/>
  <c r="AA2004" i="4"/>
  <c r="AA2008" i="4"/>
  <c r="AA2012" i="4"/>
  <c r="AA2016" i="4"/>
  <c r="AA2020" i="4"/>
  <c r="AA2024" i="4"/>
  <c r="AA2028" i="4"/>
  <c r="AA2032" i="4"/>
  <c r="AA2036" i="4"/>
  <c r="AA2040" i="4"/>
  <c r="AA2044" i="4"/>
  <c r="AA2048" i="4"/>
  <c r="AA2052" i="4"/>
  <c r="AA2056" i="4"/>
  <c r="AA2060" i="4"/>
  <c r="AA2064" i="4"/>
  <c r="AA2068" i="4"/>
  <c r="AA2072" i="4"/>
  <c r="AA2076" i="4"/>
  <c r="AA2080" i="4"/>
  <c r="AA2084" i="4"/>
  <c r="AA2088" i="4"/>
  <c r="AA725" i="4"/>
  <c r="AA729" i="4"/>
  <c r="AA733" i="4"/>
  <c r="AA737" i="4"/>
  <c r="AA741" i="4"/>
  <c r="AA745" i="4"/>
  <c r="AA749" i="4"/>
  <c r="AA753" i="4"/>
  <c r="AA757" i="4"/>
  <c r="AA761" i="4"/>
  <c r="AA765" i="4"/>
  <c r="AA769" i="4"/>
  <c r="AA773" i="4"/>
  <c r="AA777" i="4"/>
  <c r="AA781" i="4"/>
  <c r="AA785" i="4"/>
  <c r="AA789" i="4"/>
  <c r="AA793" i="4"/>
  <c r="AA797" i="4"/>
  <c r="AA801" i="4"/>
  <c r="AA805" i="4"/>
  <c r="AA809" i="4"/>
  <c r="AA813" i="4"/>
  <c r="AA817" i="4"/>
  <c r="AA821" i="4"/>
  <c r="AA825" i="4"/>
  <c r="AA829" i="4"/>
  <c r="AA833" i="4"/>
  <c r="AA837" i="4"/>
  <c r="AA841" i="4"/>
  <c r="AA845" i="4"/>
  <c r="AA849" i="4"/>
  <c r="AA853" i="4"/>
  <c r="AA857" i="4"/>
  <c r="AA861" i="4"/>
  <c r="AA865" i="4"/>
  <c r="AA869" i="4"/>
  <c r="AA873" i="4"/>
  <c r="AA877" i="4"/>
  <c r="AA881" i="4"/>
  <c r="AA885" i="4"/>
  <c r="AA889" i="4"/>
  <c r="AA893" i="4"/>
  <c r="AA897" i="4"/>
  <c r="AA901" i="4"/>
  <c r="AA905" i="4"/>
  <c r="AA909" i="4"/>
  <c r="AA913" i="4"/>
  <c r="AA917" i="4"/>
  <c r="AA921" i="4"/>
  <c r="AA925" i="4"/>
  <c r="AA929" i="4"/>
  <c r="AA933" i="4"/>
  <c r="AA937" i="4"/>
  <c r="AA941" i="4"/>
  <c r="AA945" i="4"/>
  <c r="AA949" i="4"/>
  <c r="AA953" i="4"/>
  <c r="AA957" i="4"/>
  <c r="AA961" i="4"/>
  <c r="AA965" i="4"/>
  <c r="AA969" i="4"/>
  <c r="AA973" i="4"/>
  <c r="AA977" i="4"/>
  <c r="AA981" i="4"/>
  <c r="AA985" i="4"/>
  <c r="AA989" i="4"/>
  <c r="AA993" i="4"/>
  <c r="AA997" i="4"/>
  <c r="AA1001" i="4"/>
  <c r="AA1005" i="4"/>
  <c r="AA1009" i="4"/>
  <c r="AA1013" i="4"/>
  <c r="AA1017" i="4"/>
  <c r="AA1021" i="4"/>
  <c r="AA1025" i="4"/>
  <c r="AA1029" i="4"/>
  <c r="AA1033" i="4"/>
  <c r="AA1037" i="4"/>
  <c r="AA1041" i="4"/>
  <c r="AA1045" i="4"/>
  <c r="AA1049" i="4"/>
  <c r="AA1053" i="4"/>
  <c r="AA1057" i="4"/>
  <c r="AA1061" i="4"/>
  <c r="AA1065" i="4"/>
  <c r="AA1069" i="4"/>
  <c r="AA1073" i="4"/>
  <c r="AA1077" i="4"/>
  <c r="AA1081" i="4"/>
  <c r="AA1085" i="4"/>
  <c r="AA1089" i="4"/>
  <c r="AA1093" i="4"/>
  <c r="AA1097" i="4"/>
  <c r="AA1101" i="4"/>
  <c r="AA1105" i="4"/>
  <c r="AA1109" i="4"/>
  <c r="AA1113" i="4"/>
  <c r="AA1117" i="4"/>
  <c r="AA1121" i="4"/>
  <c r="AA1125" i="4"/>
  <c r="AA1129" i="4"/>
  <c r="AA1133" i="4"/>
  <c r="AA1137" i="4"/>
  <c r="AA1141" i="4"/>
  <c r="AA1145" i="4"/>
  <c r="AA1149" i="4"/>
  <c r="AA1153" i="4"/>
  <c r="AA1157" i="4"/>
  <c r="AA1161" i="4"/>
  <c r="AA1165" i="4"/>
  <c r="AA1169" i="4"/>
  <c r="AA1173" i="4"/>
  <c r="AA1177" i="4"/>
  <c r="AA1181" i="4"/>
  <c r="AA1185" i="4"/>
  <c r="AA1189" i="4"/>
  <c r="AA1193" i="4"/>
  <c r="AA1197" i="4"/>
  <c r="AA1201" i="4"/>
  <c r="AA1205" i="4"/>
  <c r="AA1209" i="4"/>
  <c r="AA1213" i="4"/>
  <c r="AA1217" i="4"/>
  <c r="AA1221" i="4"/>
  <c r="AA1225" i="4"/>
  <c r="AA1229" i="4"/>
  <c r="AA1233" i="4"/>
  <c r="AA1237" i="4"/>
  <c r="AA1241" i="4"/>
  <c r="AA1245" i="4"/>
  <c r="AA1249" i="4"/>
  <c r="AA1253" i="4"/>
  <c r="AA1257" i="4"/>
  <c r="AA1261" i="4"/>
  <c r="AA1265" i="4"/>
  <c r="AA1269" i="4"/>
  <c r="AA1273" i="4"/>
  <c r="AA1277" i="4"/>
  <c r="AA1281" i="4"/>
  <c r="AA1285" i="4"/>
  <c r="AA1289" i="4"/>
  <c r="AA1293" i="4"/>
  <c r="AA1297" i="4"/>
  <c r="AA1301" i="4"/>
  <c r="AA1305" i="4"/>
  <c r="AA1309" i="4"/>
  <c r="AA1313" i="4"/>
  <c r="AA1317" i="4"/>
  <c r="AA1321" i="4"/>
  <c r="AA1325" i="4"/>
  <c r="AA1329" i="4"/>
  <c r="AA1333" i="4"/>
  <c r="AA1337" i="4"/>
  <c r="AA1341" i="4"/>
  <c r="AA1345" i="4"/>
  <c r="AA1349" i="4"/>
  <c r="AA1353" i="4"/>
  <c r="AA1357" i="4"/>
  <c r="AA1361" i="4"/>
  <c r="AA1365" i="4"/>
  <c r="AA1369" i="4"/>
  <c r="AA1373" i="4"/>
  <c r="AA1377" i="4"/>
  <c r="AA1381" i="4"/>
  <c r="AA1385" i="4"/>
  <c r="AA1389" i="4"/>
  <c r="AA1393" i="4"/>
  <c r="AA1397" i="4"/>
  <c r="AA1401" i="4"/>
  <c r="AA1405" i="4"/>
  <c r="AA1409" i="4"/>
  <c r="AA1413" i="4"/>
  <c r="AA1417" i="4"/>
  <c r="AA1421" i="4"/>
  <c r="AA1425" i="4"/>
  <c r="AA1429" i="4"/>
  <c r="AA1433" i="4"/>
  <c r="AA1437" i="4"/>
  <c r="AA1441" i="4"/>
  <c r="AA1445" i="4"/>
  <c r="AA1449" i="4"/>
  <c r="AA1453" i="4"/>
  <c r="AA1457" i="4"/>
  <c r="AA1461" i="4"/>
  <c r="AA1465" i="4"/>
  <c r="AA1469" i="4"/>
  <c r="AA1473" i="4"/>
  <c r="AA1477" i="4"/>
  <c r="AA1481" i="4"/>
  <c r="AA1485" i="4"/>
  <c r="AA1489" i="4"/>
  <c r="AA1493" i="4"/>
  <c r="AA1497" i="4"/>
  <c r="AA1501" i="4"/>
  <c r="AA1505" i="4"/>
  <c r="AA1509" i="4"/>
  <c r="AA1513" i="4"/>
  <c r="AA1517" i="4"/>
  <c r="AA1521" i="4"/>
  <c r="AA1525" i="4"/>
  <c r="AA1529" i="4"/>
  <c r="AA1533" i="4"/>
  <c r="AA1537" i="4"/>
  <c r="AA1541" i="4"/>
  <c r="AA1545" i="4"/>
  <c r="AA1549" i="4"/>
  <c r="AA1553" i="4"/>
  <c r="AA1557" i="4"/>
  <c r="AA1561" i="4"/>
  <c r="AA1565" i="4"/>
  <c r="AA1569" i="4"/>
  <c r="AA1573" i="4"/>
  <c r="AA1577" i="4"/>
  <c r="AA1581" i="4"/>
  <c r="AA1585" i="4"/>
  <c r="AA1589" i="4"/>
  <c r="AA1593" i="4"/>
  <c r="AA1597" i="4"/>
  <c r="AA1601" i="4"/>
  <c r="AA1605" i="4"/>
  <c r="AA1609" i="4"/>
  <c r="AA1613" i="4"/>
  <c r="AA1617" i="4"/>
  <c r="AA1621" i="4"/>
  <c r="AA1625" i="4"/>
  <c r="AA1629" i="4"/>
  <c r="AA1633" i="4"/>
  <c r="AA1637" i="4"/>
  <c r="AA1641" i="4"/>
  <c r="AA1645" i="4"/>
  <c r="AA1649" i="4"/>
  <c r="AA1653" i="4"/>
  <c r="AA1657" i="4"/>
  <c r="AA1661" i="4"/>
  <c r="AA1665" i="4"/>
  <c r="AA1669" i="4"/>
  <c r="AA1673" i="4"/>
  <c r="AA1677" i="4"/>
  <c r="AA1681" i="4"/>
  <c r="AA1685" i="4"/>
  <c r="AA1689" i="4"/>
  <c r="AA1693" i="4"/>
  <c r="AA1697" i="4"/>
  <c r="AA1701" i="4"/>
  <c r="AA1705" i="4"/>
  <c r="AA1709" i="4"/>
  <c r="AA1713" i="4"/>
  <c r="AA1717" i="4"/>
  <c r="AA1721" i="4"/>
  <c r="AA1725" i="4"/>
  <c r="AA1729" i="4"/>
  <c r="AA1733" i="4"/>
  <c r="AA1737" i="4"/>
  <c r="AA1741" i="4"/>
  <c r="AA1745" i="4"/>
  <c r="AA1749" i="4"/>
  <c r="AA1753" i="4"/>
  <c r="AA1757" i="4"/>
  <c r="AA1761" i="4"/>
  <c r="AA1765" i="4"/>
  <c r="AA1769" i="4"/>
  <c r="AA1773" i="4"/>
  <c r="AA1777" i="4"/>
  <c r="AA1781" i="4"/>
  <c r="AA1785" i="4"/>
  <c r="AA1789" i="4"/>
  <c r="AA1793" i="4"/>
  <c r="AA1797" i="4"/>
  <c r="AA1801" i="4"/>
  <c r="AA1805" i="4"/>
  <c r="AA1809" i="4"/>
  <c r="AA1813" i="4"/>
  <c r="AA1817" i="4"/>
  <c r="AA1821" i="4"/>
  <c r="AA1825" i="4"/>
  <c r="AA1829" i="4"/>
  <c r="AA1833" i="4"/>
  <c r="AA1837" i="4"/>
  <c r="AA1841" i="4"/>
  <c r="AA1845" i="4"/>
  <c r="AA1849" i="4"/>
  <c r="AA1853" i="4"/>
  <c r="AA1857" i="4"/>
  <c r="AA1861" i="4"/>
  <c r="AA1865" i="4"/>
  <c r="AA1869" i="4"/>
  <c r="AA1873" i="4"/>
  <c r="AA1877" i="4"/>
  <c r="AA1881" i="4"/>
  <c r="AA1885" i="4"/>
  <c r="AA1889" i="4"/>
  <c r="AA1893" i="4"/>
  <c r="AA1897" i="4"/>
  <c r="AA1901" i="4"/>
  <c r="AA1905" i="4"/>
  <c r="AA1909" i="4"/>
  <c r="AA1913" i="4"/>
  <c r="AA1917" i="4"/>
  <c r="AA1921" i="4"/>
  <c r="AA1925" i="4"/>
  <c r="AA1929" i="4"/>
  <c r="AA1933" i="4"/>
  <c r="AA1937" i="4"/>
  <c r="AA1941" i="4"/>
  <c r="AA1945" i="4"/>
  <c r="AA1949" i="4"/>
  <c r="AA1953" i="4"/>
  <c r="AA1957" i="4"/>
  <c r="AA1961" i="4"/>
  <c r="AA1965" i="4"/>
  <c r="AA1969" i="4"/>
  <c r="AA1973" i="4"/>
  <c r="AA1977" i="4"/>
  <c r="AA1981" i="4"/>
  <c r="AA1985" i="4"/>
  <c r="AA1989" i="4"/>
  <c r="AA1993" i="4"/>
  <c r="AA1997" i="4"/>
  <c r="AA2001" i="4"/>
  <c r="AA2005" i="4"/>
  <c r="AA2009" i="4"/>
  <c r="AA2013" i="4"/>
  <c r="AA2017" i="4"/>
  <c r="AA2021" i="4"/>
  <c r="AA2025" i="4"/>
  <c r="AA2029" i="4"/>
  <c r="AA2033" i="4"/>
  <c r="AA2037" i="4"/>
  <c r="AA2041" i="4"/>
  <c r="AA2045" i="4"/>
  <c r="AA2049" i="4"/>
  <c r="AA2053" i="4"/>
  <c r="AA2057" i="4"/>
  <c r="AA2061" i="4"/>
  <c r="AA2065" i="4"/>
  <c r="AA2069" i="4"/>
  <c r="AA726" i="4"/>
  <c r="AA730" i="4"/>
  <c r="AA734" i="4"/>
  <c r="AA738" i="4"/>
  <c r="AA742" i="4"/>
  <c r="AA746" i="4"/>
  <c r="AA750" i="4"/>
  <c r="AA754" i="4"/>
  <c r="AA758" i="4"/>
  <c r="AA762" i="4"/>
  <c r="AA766" i="4"/>
  <c r="AA770" i="4"/>
  <c r="AA774" i="4"/>
  <c r="AA778" i="4"/>
  <c r="AA782" i="4"/>
  <c r="AA786" i="4"/>
  <c r="AA790" i="4"/>
  <c r="AA794" i="4"/>
  <c r="AA798" i="4"/>
  <c r="AA802" i="4"/>
  <c r="AA806" i="4"/>
  <c r="AA810" i="4"/>
  <c r="AA814" i="4"/>
  <c r="AA818" i="4"/>
  <c r="AA822" i="4"/>
  <c r="AA826" i="4"/>
  <c r="AA830" i="4"/>
  <c r="AA834" i="4"/>
  <c r="AA838" i="4"/>
  <c r="AA842" i="4"/>
  <c r="AA846" i="4"/>
  <c r="AA850" i="4"/>
  <c r="AA854" i="4"/>
  <c r="AA858" i="4"/>
  <c r="AA862" i="4"/>
  <c r="AA866" i="4"/>
  <c r="AA870" i="4"/>
  <c r="AA874" i="4"/>
  <c r="AA878" i="4"/>
  <c r="AA882" i="4"/>
  <c r="AA886" i="4"/>
  <c r="AA890" i="4"/>
  <c r="AA894" i="4"/>
  <c r="AA898" i="4"/>
  <c r="AA902" i="4"/>
  <c r="AA906" i="4"/>
  <c r="AA910" i="4"/>
  <c r="AA914" i="4"/>
  <c r="AA918" i="4"/>
  <c r="AA922" i="4"/>
  <c r="AA926" i="4"/>
  <c r="AA930" i="4"/>
  <c r="AA934" i="4"/>
  <c r="AA938" i="4"/>
  <c r="AA942" i="4"/>
  <c r="AA946" i="4"/>
  <c r="AA950" i="4"/>
  <c r="AA954" i="4"/>
  <c r="AA958" i="4"/>
  <c r="AA962" i="4"/>
  <c r="AA966" i="4"/>
  <c r="AA970" i="4"/>
  <c r="AA974" i="4"/>
  <c r="AA978" i="4"/>
  <c r="AA982" i="4"/>
  <c r="AA986" i="4"/>
  <c r="AA990" i="4"/>
  <c r="AA994" i="4"/>
  <c r="AA998" i="4"/>
  <c r="AA1002" i="4"/>
  <c r="AA1006" i="4"/>
  <c r="AA1010" i="4"/>
  <c r="AA1014" i="4"/>
  <c r="AA1018" i="4"/>
  <c r="AA1022" i="4"/>
  <c r="AA1026" i="4"/>
  <c r="AA1030" i="4"/>
  <c r="AA1034" i="4"/>
  <c r="AA1038" i="4"/>
  <c r="AA1042" i="4"/>
  <c r="AA1046" i="4"/>
  <c r="AA1050" i="4"/>
  <c r="AA1054" i="4"/>
  <c r="AA1058" i="4"/>
  <c r="AA1062" i="4"/>
  <c r="AA1066" i="4"/>
  <c r="AA1070" i="4"/>
  <c r="AA1074" i="4"/>
  <c r="AA1078" i="4"/>
  <c r="AA1082" i="4"/>
  <c r="AA1086" i="4"/>
  <c r="AA1090" i="4"/>
  <c r="AA1094" i="4"/>
  <c r="AA1098" i="4"/>
  <c r="AA1102" i="4"/>
  <c r="AA1106" i="4"/>
  <c r="AA1110" i="4"/>
  <c r="AA1114" i="4"/>
  <c r="AA1118" i="4"/>
  <c r="AA1122" i="4"/>
  <c r="AA1126" i="4"/>
  <c r="AA1130" i="4"/>
  <c r="AA1134" i="4"/>
  <c r="AA1138" i="4"/>
  <c r="AA1142" i="4"/>
  <c r="AA1146" i="4"/>
  <c r="AA1150" i="4"/>
  <c r="AA1154" i="4"/>
  <c r="AA1158" i="4"/>
  <c r="AA1162" i="4"/>
  <c r="AA1166" i="4"/>
  <c r="AA1170" i="4"/>
  <c r="AA1174" i="4"/>
  <c r="AA1178" i="4"/>
  <c r="AA1182" i="4"/>
  <c r="AA1186" i="4"/>
  <c r="AA1190" i="4"/>
  <c r="AA1194" i="4"/>
  <c r="AA1198" i="4"/>
  <c r="AA1202" i="4"/>
  <c r="AA1206" i="4"/>
  <c r="AA1210" i="4"/>
  <c r="AA1214" i="4"/>
  <c r="AA1218" i="4"/>
  <c r="AA1222" i="4"/>
  <c r="AA1226" i="4"/>
  <c r="AA1230" i="4"/>
  <c r="AA1234" i="4"/>
  <c r="AA1238" i="4"/>
  <c r="AA1242" i="4"/>
  <c r="AA1246" i="4"/>
  <c r="AA1250" i="4"/>
  <c r="AA1254" i="4"/>
  <c r="AA1258" i="4"/>
  <c r="AA1262" i="4"/>
  <c r="AA1266" i="4"/>
  <c r="AA1270" i="4"/>
  <c r="AA1274" i="4"/>
  <c r="AA1278" i="4"/>
  <c r="AA1282" i="4"/>
  <c r="AA1286" i="4"/>
  <c r="AA1290" i="4"/>
  <c r="AA1294" i="4"/>
  <c r="AA1298" i="4"/>
  <c r="AA1302" i="4"/>
  <c r="AA1306" i="4"/>
  <c r="AA1310" i="4"/>
  <c r="AA1314" i="4"/>
  <c r="AA1318" i="4"/>
  <c r="AA1322" i="4"/>
  <c r="AA1326" i="4"/>
  <c r="AA1330" i="4"/>
  <c r="AA1334" i="4"/>
  <c r="AA1338" i="4"/>
  <c r="AA1342" i="4"/>
  <c r="AA1346" i="4"/>
  <c r="AA1350" i="4"/>
  <c r="AA1354" i="4"/>
  <c r="AA1358" i="4"/>
  <c r="AA1362" i="4"/>
  <c r="AA1366" i="4"/>
  <c r="AA1370" i="4"/>
  <c r="AA1374" i="4"/>
  <c r="AA1378" i="4"/>
  <c r="AA1382" i="4"/>
  <c r="AA1386" i="4"/>
  <c r="AA1390" i="4"/>
  <c r="AA1394" i="4"/>
  <c r="AA1398" i="4"/>
  <c r="AA1402" i="4"/>
  <c r="AA1406" i="4"/>
  <c r="AA1410" i="4"/>
  <c r="AA1414" i="4"/>
  <c r="AA1418" i="4"/>
  <c r="AA1422" i="4"/>
  <c r="AA1426" i="4"/>
  <c r="AA1430" i="4"/>
  <c r="AA1434" i="4"/>
  <c r="AA1438" i="4"/>
  <c r="AA1442" i="4"/>
  <c r="AA1446" i="4"/>
  <c r="AA1450" i="4"/>
  <c r="AA1454" i="4"/>
  <c r="AA1458" i="4"/>
  <c r="AA1462" i="4"/>
  <c r="AA1466" i="4"/>
  <c r="AA1470" i="4"/>
  <c r="AA1474" i="4"/>
  <c r="AA1478" i="4"/>
  <c r="AA1482" i="4"/>
  <c r="AA1486" i="4"/>
  <c r="AA1490" i="4"/>
  <c r="AA1494" i="4"/>
  <c r="AA1498" i="4"/>
  <c r="AA1502" i="4"/>
  <c r="AA1506" i="4"/>
  <c r="AA1510" i="4"/>
  <c r="AA1514" i="4"/>
  <c r="AA1518" i="4"/>
  <c r="AA1522" i="4"/>
  <c r="AA1526" i="4"/>
  <c r="AA1530" i="4"/>
  <c r="AA1534" i="4"/>
  <c r="AA1538" i="4"/>
  <c r="AA1542" i="4"/>
  <c r="AA1546" i="4"/>
  <c r="AA1550" i="4"/>
  <c r="AA1554" i="4"/>
  <c r="AA1558" i="4"/>
  <c r="AA1562" i="4"/>
  <c r="AA1566" i="4"/>
  <c r="AA1570" i="4"/>
  <c r="AA1574" i="4"/>
  <c r="AA1578" i="4"/>
  <c r="AA1582" i="4"/>
  <c r="AA1586" i="4"/>
  <c r="AA1590" i="4"/>
  <c r="AA1594" i="4"/>
  <c r="AA1598" i="4"/>
  <c r="AA1602" i="4"/>
  <c r="AA1606" i="4"/>
  <c r="AA1610" i="4"/>
  <c r="AA1614" i="4"/>
  <c r="AA1618" i="4"/>
  <c r="AA1622" i="4"/>
  <c r="AA1626" i="4"/>
  <c r="AA1630" i="4"/>
  <c r="AA1634" i="4"/>
  <c r="AA1638" i="4"/>
  <c r="AA1642" i="4"/>
  <c r="AA1646" i="4"/>
  <c r="AA1650" i="4"/>
  <c r="AA1654" i="4"/>
  <c r="AA1658" i="4"/>
  <c r="AA1662" i="4"/>
  <c r="AA1666" i="4"/>
  <c r="AA1670" i="4"/>
  <c r="AA1674" i="4"/>
  <c r="AA1678" i="4"/>
  <c r="AA1682" i="4"/>
  <c r="AA1686" i="4"/>
  <c r="AA1690" i="4"/>
  <c r="AA1694" i="4"/>
  <c r="AA1698" i="4"/>
  <c r="AA1702" i="4"/>
  <c r="AA1706" i="4"/>
  <c r="AA1710" i="4"/>
  <c r="AA1714" i="4"/>
  <c r="AA1718" i="4"/>
  <c r="AA1722" i="4"/>
  <c r="AA1726" i="4"/>
  <c r="AA1730" i="4"/>
  <c r="AA1734" i="4"/>
  <c r="AA1738" i="4"/>
  <c r="AA1742" i="4"/>
  <c r="AA1746" i="4"/>
  <c r="AA1750" i="4"/>
  <c r="AA1754" i="4"/>
  <c r="AA1758" i="4"/>
  <c r="AA1762" i="4"/>
  <c r="AA1766" i="4"/>
  <c r="AA1770" i="4"/>
  <c r="AA1774" i="4"/>
  <c r="AA1778" i="4"/>
  <c r="AA1782" i="4"/>
  <c r="AA1786" i="4"/>
  <c r="AA1790" i="4"/>
  <c r="AA1794" i="4"/>
  <c r="AA1798" i="4"/>
  <c r="AA1802" i="4"/>
  <c r="AA1806" i="4"/>
  <c r="AA1810" i="4"/>
  <c r="AA1814" i="4"/>
  <c r="AA1818" i="4"/>
  <c r="AA1822" i="4"/>
  <c r="AA1826" i="4"/>
  <c r="AA1830" i="4"/>
  <c r="AA1834" i="4"/>
  <c r="AA1838" i="4"/>
  <c r="AA1842" i="4"/>
  <c r="AA1846" i="4"/>
  <c r="AA1850" i="4"/>
  <c r="AA1854" i="4"/>
  <c r="AA1858" i="4"/>
  <c r="AA1862" i="4"/>
  <c r="AA1866" i="4"/>
  <c r="AA1870" i="4"/>
  <c r="AA1874" i="4"/>
  <c r="AA1878" i="4"/>
  <c r="AA1882" i="4"/>
  <c r="AA1886" i="4"/>
  <c r="AA1890" i="4"/>
  <c r="AA1894" i="4"/>
  <c r="AA1898" i="4"/>
  <c r="AA1902" i="4"/>
  <c r="AA1906" i="4"/>
  <c r="AA1910" i="4"/>
  <c r="AA1914" i="4"/>
  <c r="AA1918" i="4"/>
  <c r="AA1922" i="4"/>
  <c r="AA1926" i="4"/>
  <c r="AA1930" i="4"/>
  <c r="AA1934" i="4"/>
  <c r="AA1938" i="4"/>
  <c r="AA1942" i="4"/>
  <c r="AA1946" i="4"/>
  <c r="AA1950" i="4"/>
  <c r="AA1954" i="4"/>
  <c r="AA1958" i="4"/>
  <c r="AA1962" i="4"/>
  <c r="AA1966" i="4"/>
  <c r="AA1970" i="4"/>
  <c r="AA1974" i="4"/>
  <c r="AA1978" i="4"/>
  <c r="AA1982" i="4"/>
  <c r="AA1986" i="4"/>
  <c r="AA1990" i="4"/>
  <c r="AA1994" i="4"/>
  <c r="AA1998" i="4"/>
  <c r="AA2002" i="4"/>
  <c r="AA2006" i="4"/>
  <c r="AA2010" i="4"/>
  <c r="AA2014" i="4"/>
  <c r="AA2018" i="4"/>
  <c r="AA2022" i="4"/>
  <c r="AA2026" i="4"/>
  <c r="AA2030" i="4"/>
  <c r="AA2034" i="4"/>
  <c r="AA2038" i="4"/>
  <c r="AA2042" i="4"/>
  <c r="AA2046" i="4"/>
  <c r="AA2050" i="4"/>
  <c r="AA2054" i="4"/>
  <c r="AA2058" i="4"/>
  <c r="AA2062" i="4"/>
  <c r="AA2066" i="4"/>
  <c r="AA2070" i="4"/>
  <c r="AA2074" i="4"/>
  <c r="AA2078" i="4"/>
  <c r="AA2082" i="4"/>
  <c r="AA2086" i="4"/>
  <c r="AA2071" i="4"/>
  <c r="AA2079" i="4"/>
  <c r="AA2087" i="4"/>
  <c r="AA2092" i="4"/>
  <c r="AA2096" i="4"/>
  <c r="AA2100" i="4"/>
  <c r="AA2104" i="4"/>
  <c r="AA2108" i="4"/>
  <c r="AA2112" i="4"/>
  <c r="AA2116" i="4"/>
  <c r="AA2120" i="4"/>
  <c r="AA2124" i="4"/>
  <c r="AA2128" i="4"/>
  <c r="AA2132" i="4"/>
  <c r="AA2136" i="4"/>
  <c r="AA2140" i="4"/>
  <c r="AA2144" i="4"/>
  <c r="AA2148" i="4"/>
  <c r="AA2152" i="4"/>
  <c r="AA2156" i="4"/>
  <c r="AA2160" i="4"/>
  <c r="AA2164" i="4"/>
  <c r="AA2168" i="4"/>
  <c r="AA2172" i="4"/>
  <c r="AA2176" i="4"/>
  <c r="AA2180" i="4"/>
  <c r="AA2184" i="4"/>
  <c r="AA2188" i="4"/>
  <c r="AA2192" i="4"/>
  <c r="AA2196" i="4"/>
  <c r="AA2200" i="4"/>
  <c r="AA2204" i="4"/>
  <c r="AA2208" i="4"/>
  <c r="AA2212" i="4"/>
  <c r="AA2216" i="4"/>
  <c r="AA2220" i="4"/>
  <c r="AA2224" i="4"/>
  <c r="AA2228" i="4"/>
  <c r="AA2232" i="4"/>
  <c r="AA2236" i="4"/>
  <c r="AA2240" i="4"/>
  <c r="AA2244" i="4"/>
  <c r="AA2248" i="4"/>
  <c r="AA2252" i="4"/>
  <c r="AA2256" i="4"/>
  <c r="AA2260" i="4"/>
  <c r="AA2264" i="4"/>
  <c r="AA2268" i="4"/>
  <c r="AA2272" i="4"/>
  <c r="AA2276" i="4"/>
  <c r="AA2280" i="4"/>
  <c r="AA2284" i="4"/>
  <c r="AA2288" i="4"/>
  <c r="AA2292" i="4"/>
  <c r="AA2296" i="4"/>
  <c r="AA2300" i="4"/>
  <c r="AA2304" i="4"/>
  <c r="AA2308" i="4"/>
  <c r="AA2312" i="4"/>
  <c r="AA2316" i="4"/>
  <c r="AA2320" i="4"/>
  <c r="AA2324" i="4"/>
  <c r="AA2328" i="4"/>
  <c r="AA2332" i="4"/>
  <c r="AA2336" i="4"/>
  <c r="AA2340" i="4"/>
  <c r="AA2344" i="4"/>
  <c r="AA2348" i="4"/>
  <c r="AA2352" i="4"/>
  <c r="AA2356" i="4"/>
  <c r="AA2360" i="4"/>
  <c r="AA2364" i="4"/>
  <c r="AA2368" i="4"/>
  <c r="AA2372" i="4"/>
  <c r="AA2376" i="4"/>
  <c r="AA2380" i="4"/>
  <c r="AA2384" i="4"/>
  <c r="AA2388" i="4"/>
  <c r="AA2392" i="4"/>
  <c r="AA2396" i="4"/>
  <c r="AA2400" i="4"/>
  <c r="AA2404" i="4"/>
  <c r="AA2408" i="4"/>
  <c r="AA2412" i="4"/>
  <c r="AA2416" i="4"/>
  <c r="AA2420" i="4"/>
  <c r="AA2424" i="4"/>
  <c r="AA2428" i="4"/>
  <c r="AA2432" i="4"/>
  <c r="AA2436" i="4"/>
  <c r="AA2440" i="4"/>
  <c r="AA2444" i="4"/>
  <c r="AA2448" i="4"/>
  <c r="AA2452" i="4"/>
  <c r="AA2456" i="4"/>
  <c r="AA2460" i="4"/>
  <c r="AA2464" i="4"/>
  <c r="AA2468" i="4"/>
  <c r="AA2472" i="4"/>
  <c r="AA2476" i="4"/>
  <c r="AA2480" i="4"/>
  <c r="AA2484" i="4"/>
  <c r="AA2488" i="4"/>
  <c r="AA2492" i="4"/>
  <c r="AA2496" i="4"/>
  <c r="AA2500" i="4"/>
  <c r="AA2504" i="4"/>
  <c r="AA2508" i="4"/>
  <c r="AA2512" i="4"/>
  <c r="AA2516" i="4"/>
  <c r="AA2520" i="4"/>
  <c r="AA2524" i="4"/>
  <c r="AA2528" i="4"/>
  <c r="AA2532" i="4"/>
  <c r="AA2536" i="4"/>
  <c r="AA2540" i="4"/>
  <c r="AA2544" i="4"/>
  <c r="AA2548" i="4"/>
  <c r="AA2552" i="4"/>
  <c r="AA2556" i="4"/>
  <c r="AA2560" i="4"/>
  <c r="AA2564" i="4"/>
  <c r="AA2568" i="4"/>
  <c r="AA2572" i="4"/>
  <c r="AA2576" i="4"/>
  <c r="AA2580" i="4"/>
  <c r="AA2584" i="4"/>
  <c r="AA2588" i="4"/>
  <c r="AA2592" i="4"/>
  <c r="AA2596" i="4"/>
  <c r="AA2600" i="4"/>
  <c r="AA2604" i="4"/>
  <c r="AA2608" i="4"/>
  <c r="AA2612" i="4"/>
  <c r="AA2616" i="4"/>
  <c r="AA2620" i="4"/>
  <c r="AA2624" i="4"/>
  <c r="AA2628" i="4"/>
  <c r="AA2632" i="4"/>
  <c r="AA2636" i="4"/>
  <c r="AA2640" i="4"/>
  <c r="AA2644" i="4"/>
  <c r="AA2648" i="4"/>
  <c r="AA2652" i="4"/>
  <c r="AA2656" i="4"/>
  <c r="AA2660" i="4"/>
  <c r="AA2664" i="4"/>
  <c r="AA2668" i="4"/>
  <c r="AA2672" i="4"/>
  <c r="AA2676" i="4"/>
  <c r="AA2680" i="4"/>
  <c r="AA2684" i="4"/>
  <c r="AA2688" i="4"/>
  <c r="AA2692" i="4"/>
  <c r="AA2696" i="4"/>
  <c r="AA2700" i="4"/>
  <c r="AA2704" i="4"/>
  <c r="AA2708" i="4"/>
  <c r="AA2712" i="4"/>
  <c r="AA2716" i="4"/>
  <c r="AA2720" i="4"/>
  <c r="AA2724" i="4"/>
  <c r="AA2728" i="4"/>
  <c r="AA2732" i="4"/>
  <c r="AA2736" i="4"/>
  <c r="AA2740" i="4"/>
  <c r="AA2744" i="4"/>
  <c r="AA2748" i="4"/>
  <c r="AA2752" i="4"/>
  <c r="AA2756" i="4"/>
  <c r="AA2760" i="4"/>
  <c r="AA2764" i="4"/>
  <c r="AA2768" i="4"/>
  <c r="AA2772" i="4"/>
  <c r="AA2776" i="4"/>
  <c r="AA2780" i="4"/>
  <c r="AA2784" i="4"/>
  <c r="AA2788" i="4"/>
  <c r="AA2792" i="4"/>
  <c r="AA2796" i="4"/>
  <c r="AA2800" i="4"/>
  <c r="AA2804" i="4"/>
  <c r="AA2808" i="4"/>
  <c r="AA2812" i="4"/>
  <c r="AA2816" i="4"/>
  <c r="AA2820" i="4"/>
  <c r="AA2824" i="4"/>
  <c r="AA2828" i="4"/>
  <c r="AA2832" i="4"/>
  <c r="AA2836" i="4"/>
  <c r="AA2840" i="4"/>
  <c r="AA2844" i="4"/>
  <c r="AA2848" i="4"/>
  <c r="AA2852" i="4"/>
  <c r="AA2856" i="4"/>
  <c r="AA2860" i="4"/>
  <c r="AA2864" i="4"/>
  <c r="AA2868" i="4"/>
  <c r="AA2872" i="4"/>
  <c r="AA2876" i="4"/>
  <c r="AA2880" i="4"/>
  <c r="AA2884" i="4"/>
  <c r="AA2888" i="4"/>
  <c r="AA2892" i="4"/>
  <c r="AA2896" i="4"/>
  <c r="AA2900" i="4"/>
  <c r="AA2904" i="4"/>
  <c r="AA2908" i="4"/>
  <c r="AA2912" i="4"/>
  <c r="AA2916" i="4"/>
  <c r="AA2920" i="4"/>
  <c r="AA2924" i="4"/>
  <c r="AA2928" i="4"/>
  <c r="AA2932" i="4"/>
  <c r="AA2936" i="4"/>
  <c r="AA2940" i="4"/>
  <c r="AA2944" i="4"/>
  <c r="AA2948" i="4"/>
  <c r="AA2952" i="4"/>
  <c r="AA2956" i="4"/>
  <c r="AA2960" i="4"/>
  <c r="AA2964" i="4"/>
  <c r="AA2968" i="4"/>
  <c r="AA2972" i="4"/>
  <c r="AA2976" i="4"/>
  <c r="AA2980" i="4"/>
  <c r="AA2984" i="4"/>
  <c r="AA2988" i="4"/>
  <c r="AA2992" i="4"/>
  <c r="AA2996" i="4"/>
  <c r="AA3000" i="4"/>
  <c r="AA3004" i="4"/>
  <c r="AA3008" i="4"/>
  <c r="AA3012" i="4"/>
  <c r="AA3016" i="4"/>
  <c r="AA3020" i="4"/>
  <c r="AA3024" i="4"/>
  <c r="AA3028" i="4"/>
  <c r="AA3032" i="4"/>
  <c r="AA3036" i="4"/>
  <c r="AA3040" i="4"/>
  <c r="AA3044" i="4"/>
  <c r="AA3048" i="4"/>
  <c r="AA3052" i="4"/>
  <c r="AA3056" i="4"/>
  <c r="AA3060" i="4"/>
  <c r="AA3064" i="4"/>
  <c r="AA3068" i="4"/>
  <c r="AA3072" i="4"/>
  <c r="AA3076" i="4"/>
  <c r="AA3080" i="4"/>
  <c r="AA3084" i="4"/>
  <c r="AA3088" i="4"/>
  <c r="AA3092" i="4"/>
  <c r="AA3096" i="4"/>
  <c r="AA3100" i="4"/>
  <c r="AA3104" i="4"/>
  <c r="AA3108" i="4"/>
  <c r="AA3112" i="4"/>
  <c r="AA3116" i="4"/>
  <c r="AA3120" i="4"/>
  <c r="AA3124" i="4"/>
  <c r="AA3128" i="4"/>
  <c r="AA3132" i="4"/>
  <c r="AA3136" i="4"/>
  <c r="AA3140" i="4"/>
  <c r="AA3144" i="4"/>
  <c r="AA3148" i="4"/>
  <c r="AA3152" i="4"/>
  <c r="AA3156" i="4"/>
  <c r="AA3160" i="4"/>
  <c r="AA3164" i="4"/>
  <c r="AA3168" i="4"/>
  <c r="AA3172" i="4"/>
  <c r="AA3176" i="4"/>
  <c r="AA3180" i="4"/>
  <c r="AA3184" i="4"/>
  <c r="AA3188" i="4"/>
  <c r="AA3192" i="4"/>
  <c r="AA3196" i="4"/>
  <c r="AA3200" i="4"/>
  <c r="AA3204" i="4"/>
  <c r="AA3208" i="4"/>
  <c r="AA3212" i="4"/>
  <c r="AA3216" i="4"/>
  <c r="AA3220" i="4"/>
  <c r="AA3224" i="4"/>
  <c r="AA3228" i="4"/>
  <c r="AA3232" i="4"/>
  <c r="AA3236" i="4"/>
  <c r="AA3240" i="4"/>
  <c r="AA3244" i="4"/>
  <c r="AA3248" i="4"/>
  <c r="AA3252" i="4"/>
  <c r="AA3256" i="4"/>
  <c r="AA3260" i="4"/>
  <c r="AA3264" i="4"/>
  <c r="AA3268" i="4"/>
  <c r="AA3272" i="4"/>
  <c r="AA3276" i="4"/>
  <c r="AA3280" i="4"/>
  <c r="AA3284" i="4"/>
  <c r="AA3288" i="4"/>
  <c r="AA3292" i="4"/>
  <c r="AA3296" i="4"/>
  <c r="AA3300" i="4"/>
  <c r="AA3304" i="4"/>
  <c r="AA3308" i="4"/>
  <c r="AA3312" i="4"/>
  <c r="AA3316" i="4"/>
  <c r="AA3320" i="4"/>
  <c r="AA3324" i="4"/>
  <c r="AA3328" i="4"/>
  <c r="AA3332" i="4"/>
  <c r="AA3336" i="4"/>
  <c r="AA3340" i="4"/>
  <c r="AA3344" i="4"/>
  <c r="AA3348" i="4"/>
  <c r="AA3352" i="4"/>
  <c r="AA3356" i="4"/>
  <c r="AA3360" i="4"/>
  <c r="AA3364" i="4"/>
  <c r="AA3368" i="4"/>
  <c r="AA3372" i="4"/>
  <c r="AA3376" i="4"/>
  <c r="AA3380" i="4"/>
  <c r="AA3384" i="4"/>
  <c r="AA3388" i="4"/>
  <c r="AA3392" i="4"/>
  <c r="AA3396" i="4"/>
  <c r="AA3400" i="4"/>
  <c r="AA3404" i="4"/>
  <c r="AA3408" i="4"/>
  <c r="AA3412" i="4"/>
  <c r="AA3416" i="4"/>
  <c r="AA3420" i="4"/>
  <c r="AA3424" i="4"/>
  <c r="AA3428" i="4"/>
  <c r="AA3432" i="4"/>
  <c r="AA3436" i="4"/>
  <c r="AA3440" i="4"/>
  <c r="AA3444" i="4"/>
  <c r="AA2073" i="4"/>
  <c r="AA2081" i="4"/>
  <c r="AA2089" i="4"/>
  <c r="AA2093" i="4"/>
  <c r="AA2097" i="4"/>
  <c r="AA2101" i="4"/>
  <c r="AA2105" i="4"/>
  <c r="AA2109" i="4"/>
  <c r="AA2113" i="4"/>
  <c r="AA2117" i="4"/>
  <c r="AA2121" i="4"/>
  <c r="AA2125" i="4"/>
  <c r="AA2129" i="4"/>
  <c r="AA2133" i="4"/>
  <c r="AA2137" i="4"/>
  <c r="AA2141" i="4"/>
  <c r="AA2145" i="4"/>
  <c r="AA2149" i="4"/>
  <c r="AA2153" i="4"/>
  <c r="AA2157" i="4"/>
  <c r="AA2161" i="4"/>
  <c r="AA2165" i="4"/>
  <c r="AA2169" i="4"/>
  <c r="AA2173" i="4"/>
  <c r="AA2177" i="4"/>
  <c r="AA2181" i="4"/>
  <c r="AA2185" i="4"/>
  <c r="AA2189" i="4"/>
  <c r="AA2193" i="4"/>
  <c r="AA2197" i="4"/>
  <c r="AA2201" i="4"/>
  <c r="AA2205" i="4"/>
  <c r="AA2209" i="4"/>
  <c r="AA2213" i="4"/>
  <c r="AA2217" i="4"/>
  <c r="AA2221" i="4"/>
  <c r="AA2225" i="4"/>
  <c r="AA2229" i="4"/>
  <c r="AA2233" i="4"/>
  <c r="AA2237" i="4"/>
  <c r="AA2241" i="4"/>
  <c r="AA2245" i="4"/>
  <c r="AA2249" i="4"/>
  <c r="AA2253" i="4"/>
  <c r="AA2257" i="4"/>
  <c r="AA2261" i="4"/>
  <c r="AA2265" i="4"/>
  <c r="AA2269" i="4"/>
  <c r="AA2273" i="4"/>
  <c r="AA2277" i="4"/>
  <c r="AA2281" i="4"/>
  <c r="AA2285" i="4"/>
  <c r="AA2289" i="4"/>
  <c r="AA2293" i="4"/>
  <c r="AA2297" i="4"/>
  <c r="AA2301" i="4"/>
  <c r="AA2305" i="4"/>
  <c r="AA2309" i="4"/>
  <c r="AA2313" i="4"/>
  <c r="AA2317" i="4"/>
  <c r="AA2321" i="4"/>
  <c r="AA2325" i="4"/>
  <c r="AA2329" i="4"/>
  <c r="AA2333" i="4"/>
  <c r="AA2337" i="4"/>
  <c r="AA2341" i="4"/>
  <c r="AA2345" i="4"/>
  <c r="AA2349" i="4"/>
  <c r="AA2353" i="4"/>
  <c r="AA2357" i="4"/>
  <c r="AA2361" i="4"/>
  <c r="AA2365" i="4"/>
  <c r="AA2369" i="4"/>
  <c r="AA2373" i="4"/>
  <c r="AA2377" i="4"/>
  <c r="AA2381" i="4"/>
  <c r="AA2385" i="4"/>
  <c r="AA2389" i="4"/>
  <c r="AA2393" i="4"/>
  <c r="AA2397" i="4"/>
  <c r="AA2401" i="4"/>
  <c r="AA2405" i="4"/>
  <c r="AA2409" i="4"/>
  <c r="AA2413" i="4"/>
  <c r="AA2417" i="4"/>
  <c r="AA2421" i="4"/>
  <c r="AA2425" i="4"/>
  <c r="AA2429" i="4"/>
  <c r="AA2433" i="4"/>
  <c r="AA2437" i="4"/>
  <c r="AA2441" i="4"/>
  <c r="AA2445" i="4"/>
  <c r="AA2449" i="4"/>
  <c r="AA2453" i="4"/>
  <c r="AA2457" i="4"/>
  <c r="AA2461" i="4"/>
  <c r="AA2465" i="4"/>
  <c r="AA2469" i="4"/>
  <c r="AA2473" i="4"/>
  <c r="AA2477" i="4"/>
  <c r="AA2481" i="4"/>
  <c r="AA2485" i="4"/>
  <c r="AA2489" i="4"/>
  <c r="AA2493" i="4"/>
  <c r="AA2497" i="4"/>
  <c r="AA2501" i="4"/>
  <c r="AA2505" i="4"/>
  <c r="AA2509" i="4"/>
  <c r="AA2513" i="4"/>
  <c r="AA2517" i="4"/>
  <c r="AA2521" i="4"/>
  <c r="AA2525" i="4"/>
  <c r="AA2529" i="4"/>
  <c r="AA2533" i="4"/>
  <c r="AA2537" i="4"/>
  <c r="AA2541" i="4"/>
  <c r="AA2545" i="4"/>
  <c r="AA2549" i="4"/>
  <c r="AA2553" i="4"/>
  <c r="AA2557" i="4"/>
  <c r="AA2561" i="4"/>
  <c r="AA2565" i="4"/>
  <c r="AA2569" i="4"/>
  <c r="AA2573" i="4"/>
  <c r="AA2577" i="4"/>
  <c r="AA2581" i="4"/>
  <c r="AA2585" i="4"/>
  <c r="AA2589" i="4"/>
  <c r="AA2593" i="4"/>
  <c r="AA2597" i="4"/>
  <c r="AA2601" i="4"/>
  <c r="AA2605" i="4"/>
  <c r="AA2609" i="4"/>
  <c r="AA2613" i="4"/>
  <c r="AA2617" i="4"/>
  <c r="AA2621" i="4"/>
  <c r="AA2625" i="4"/>
  <c r="AA2629" i="4"/>
  <c r="AA2633" i="4"/>
  <c r="AA2637" i="4"/>
  <c r="AA2641" i="4"/>
  <c r="AA2645" i="4"/>
  <c r="AA2649" i="4"/>
  <c r="AA2653" i="4"/>
  <c r="AA2657" i="4"/>
  <c r="AA2661" i="4"/>
  <c r="AA2665" i="4"/>
  <c r="AA2669" i="4"/>
  <c r="AA2673" i="4"/>
  <c r="AA2677" i="4"/>
  <c r="AA2681" i="4"/>
  <c r="AA2685" i="4"/>
  <c r="AA2689" i="4"/>
  <c r="AA2693" i="4"/>
  <c r="AA2697" i="4"/>
  <c r="AA2701" i="4"/>
  <c r="AA2705" i="4"/>
  <c r="AA2709" i="4"/>
  <c r="AA2713" i="4"/>
  <c r="AA2717" i="4"/>
  <c r="AA2721" i="4"/>
  <c r="AA2725" i="4"/>
  <c r="AA2729" i="4"/>
  <c r="AA2733" i="4"/>
  <c r="AA2737" i="4"/>
  <c r="AA2741" i="4"/>
  <c r="AA2745" i="4"/>
  <c r="AA2749" i="4"/>
  <c r="AA2753" i="4"/>
  <c r="AA2757" i="4"/>
  <c r="AA2761" i="4"/>
  <c r="AA2765" i="4"/>
  <c r="AA2769" i="4"/>
  <c r="AA2773" i="4"/>
  <c r="AA2777" i="4"/>
  <c r="AA2781" i="4"/>
  <c r="AA2785" i="4"/>
  <c r="AA2789" i="4"/>
  <c r="AA2793" i="4"/>
  <c r="AA2797" i="4"/>
  <c r="AA2801" i="4"/>
  <c r="AA2805" i="4"/>
  <c r="AA2809" i="4"/>
  <c r="AA2813" i="4"/>
  <c r="AA2817" i="4"/>
  <c r="AA2821" i="4"/>
  <c r="AA2825" i="4"/>
  <c r="AA2829" i="4"/>
  <c r="AA2833" i="4"/>
  <c r="AA2837" i="4"/>
  <c r="AA2841" i="4"/>
  <c r="AA2845" i="4"/>
  <c r="AA2849" i="4"/>
  <c r="AA2853" i="4"/>
  <c r="AA2857" i="4"/>
  <c r="AA2861" i="4"/>
  <c r="AA2865" i="4"/>
  <c r="AA2869" i="4"/>
  <c r="AA2873" i="4"/>
  <c r="AA2877" i="4"/>
  <c r="AA2881" i="4"/>
  <c r="AA2885" i="4"/>
  <c r="AA2889" i="4"/>
  <c r="AA2893" i="4"/>
  <c r="AA2897" i="4"/>
  <c r="AA2901" i="4"/>
  <c r="AA2905" i="4"/>
  <c r="AA2909" i="4"/>
  <c r="AA2913" i="4"/>
  <c r="AA2917" i="4"/>
  <c r="AA2921" i="4"/>
  <c r="AA2925" i="4"/>
  <c r="AA2929" i="4"/>
  <c r="AA2933" i="4"/>
  <c r="AA2937" i="4"/>
  <c r="AA2941" i="4"/>
  <c r="AA2945" i="4"/>
  <c r="AA2949" i="4"/>
  <c r="AA2953" i="4"/>
  <c r="AA2957" i="4"/>
  <c r="AA2961" i="4"/>
  <c r="AA2965" i="4"/>
  <c r="AA2969" i="4"/>
  <c r="AA2973" i="4"/>
  <c r="AA2977" i="4"/>
  <c r="AA2981" i="4"/>
  <c r="AA2985" i="4"/>
  <c r="AA2989" i="4"/>
  <c r="AA2993" i="4"/>
  <c r="AA2997" i="4"/>
  <c r="AA3001" i="4"/>
  <c r="AA3005" i="4"/>
  <c r="AA3009" i="4"/>
  <c r="AA3013" i="4"/>
  <c r="AA3017" i="4"/>
  <c r="AA3021" i="4"/>
  <c r="AA3025" i="4"/>
  <c r="AA3029" i="4"/>
  <c r="AA3033" i="4"/>
  <c r="AA3037" i="4"/>
  <c r="AA3041" i="4"/>
  <c r="AA3045" i="4"/>
  <c r="AA3049" i="4"/>
  <c r="AA3053" i="4"/>
  <c r="AA3057" i="4"/>
  <c r="AA3061" i="4"/>
  <c r="AA3065" i="4"/>
  <c r="AA3069" i="4"/>
  <c r="AA3073" i="4"/>
  <c r="AA3077" i="4"/>
  <c r="AA3081" i="4"/>
  <c r="AA3085" i="4"/>
  <c r="AA3089" i="4"/>
  <c r="AA3093" i="4"/>
  <c r="AA3097" i="4"/>
  <c r="AA3101" i="4"/>
  <c r="AA3105" i="4"/>
  <c r="AA3109" i="4"/>
  <c r="AA3113" i="4"/>
  <c r="AA3117" i="4"/>
  <c r="AA3121" i="4"/>
  <c r="AA3125" i="4"/>
  <c r="AA3129" i="4"/>
  <c r="AA3133" i="4"/>
  <c r="AA3137" i="4"/>
  <c r="AA3141" i="4"/>
  <c r="AA3145" i="4"/>
  <c r="AA3149" i="4"/>
  <c r="AA3153" i="4"/>
  <c r="AA3157" i="4"/>
  <c r="AA3161" i="4"/>
  <c r="AA3165" i="4"/>
  <c r="AA3169" i="4"/>
  <c r="AA3173" i="4"/>
  <c r="AA3177" i="4"/>
  <c r="AA3181" i="4"/>
  <c r="AA3185" i="4"/>
  <c r="AA3189" i="4"/>
  <c r="AA3193" i="4"/>
  <c r="AA3197" i="4"/>
  <c r="AA3201" i="4"/>
  <c r="AA3205" i="4"/>
  <c r="AA3209" i="4"/>
  <c r="AA3213" i="4"/>
  <c r="AA3217" i="4"/>
  <c r="AA3221" i="4"/>
  <c r="AA3225" i="4"/>
  <c r="AA3229" i="4"/>
  <c r="AA3233" i="4"/>
  <c r="AA3237" i="4"/>
  <c r="AA3241" i="4"/>
  <c r="AA3245" i="4"/>
  <c r="AA3249" i="4"/>
  <c r="AA3253" i="4"/>
  <c r="AA3257" i="4"/>
  <c r="AA3261" i="4"/>
  <c r="AA3265" i="4"/>
  <c r="AA3269" i="4"/>
  <c r="AA3273" i="4"/>
  <c r="AA3277" i="4"/>
  <c r="AA3281" i="4"/>
  <c r="AA3285" i="4"/>
  <c r="AA3289" i="4"/>
  <c r="AA3293" i="4"/>
  <c r="AA3297" i="4"/>
  <c r="AA3301" i="4"/>
  <c r="AA3305" i="4"/>
  <c r="AA3309" i="4"/>
  <c r="AA3313" i="4"/>
  <c r="AA3317" i="4"/>
  <c r="AA3321" i="4"/>
  <c r="AA3325" i="4"/>
  <c r="AA3329" i="4"/>
  <c r="AA3333" i="4"/>
  <c r="AA3337" i="4"/>
  <c r="AA3341" i="4"/>
  <c r="AA3345" i="4"/>
  <c r="AA3349" i="4"/>
  <c r="AA3353" i="4"/>
  <c r="AA3357" i="4"/>
  <c r="AA3361" i="4"/>
  <c r="AA3365" i="4"/>
  <c r="AA3369" i="4"/>
  <c r="AA3373" i="4"/>
  <c r="AA3377" i="4"/>
  <c r="AA3381" i="4"/>
  <c r="AA3385" i="4"/>
  <c r="AA3389" i="4"/>
  <c r="AA3393" i="4"/>
  <c r="AA3397" i="4"/>
  <c r="AA3401" i="4"/>
  <c r="AA3405" i="4"/>
  <c r="AA3409" i="4"/>
  <c r="AA3413" i="4"/>
  <c r="AA3417" i="4"/>
  <c r="AA3421" i="4"/>
  <c r="AA3425" i="4"/>
  <c r="AA3429" i="4"/>
  <c r="AA3433" i="4"/>
  <c r="AA3437" i="4"/>
  <c r="AA3441" i="4"/>
  <c r="AA3445" i="4"/>
  <c r="AA2075" i="4"/>
  <c r="AA2083" i="4"/>
  <c r="AA2090" i="4"/>
  <c r="AA2094" i="4"/>
  <c r="AA2098" i="4"/>
  <c r="AA2102" i="4"/>
  <c r="AA2106" i="4"/>
  <c r="AA2110" i="4"/>
  <c r="AA2114" i="4"/>
  <c r="AA2118" i="4"/>
  <c r="AA2122" i="4"/>
  <c r="AA2126" i="4"/>
  <c r="AA2130" i="4"/>
  <c r="AA2134" i="4"/>
  <c r="AA2138" i="4"/>
  <c r="AA2142" i="4"/>
  <c r="AA2146" i="4"/>
  <c r="AA2150" i="4"/>
  <c r="AA2154" i="4"/>
  <c r="AA2158" i="4"/>
  <c r="AA2162" i="4"/>
  <c r="AA2166" i="4"/>
  <c r="AA2170" i="4"/>
  <c r="AA2174" i="4"/>
  <c r="AA2178" i="4"/>
  <c r="AA2182" i="4"/>
  <c r="AA2186" i="4"/>
  <c r="AA2190" i="4"/>
  <c r="AA2194" i="4"/>
  <c r="AA2198" i="4"/>
  <c r="AA2202" i="4"/>
  <c r="AA2206" i="4"/>
  <c r="AA2210" i="4"/>
  <c r="AA2214" i="4"/>
  <c r="AA2218" i="4"/>
  <c r="AA2222" i="4"/>
  <c r="AA2226" i="4"/>
  <c r="AA2230" i="4"/>
  <c r="AA2234" i="4"/>
  <c r="AA2238" i="4"/>
  <c r="AA2242" i="4"/>
  <c r="AA2246" i="4"/>
  <c r="AA2250" i="4"/>
  <c r="AA2254" i="4"/>
  <c r="AA2258" i="4"/>
  <c r="AA2262" i="4"/>
  <c r="AA2266" i="4"/>
  <c r="AA2270" i="4"/>
  <c r="AA2274" i="4"/>
  <c r="AA2278" i="4"/>
  <c r="AA2282" i="4"/>
  <c r="AA2286" i="4"/>
  <c r="AA2290" i="4"/>
  <c r="AA2294" i="4"/>
  <c r="AA2298" i="4"/>
  <c r="AA2302" i="4"/>
  <c r="AA2306" i="4"/>
  <c r="AA2310" i="4"/>
  <c r="AA2314" i="4"/>
  <c r="AA2318" i="4"/>
  <c r="AA2322" i="4"/>
  <c r="AA2326" i="4"/>
  <c r="AA2330" i="4"/>
  <c r="AA2334" i="4"/>
  <c r="AA2338" i="4"/>
  <c r="AA2342" i="4"/>
  <c r="AA2346" i="4"/>
  <c r="AA2350" i="4"/>
  <c r="AA2354" i="4"/>
  <c r="AA2358" i="4"/>
  <c r="AA2362" i="4"/>
  <c r="AA2366" i="4"/>
  <c r="AA2370" i="4"/>
  <c r="AA2374" i="4"/>
  <c r="AA2378" i="4"/>
  <c r="AA2382" i="4"/>
  <c r="AA2386" i="4"/>
  <c r="AA2390" i="4"/>
  <c r="AA2394" i="4"/>
  <c r="AA2398" i="4"/>
  <c r="AA2402" i="4"/>
  <c r="AA2406" i="4"/>
  <c r="AA2410" i="4"/>
  <c r="AA2414" i="4"/>
  <c r="AA2418" i="4"/>
  <c r="AA2422" i="4"/>
  <c r="AA2426" i="4"/>
  <c r="AA2430" i="4"/>
  <c r="AA2434" i="4"/>
  <c r="AA2438" i="4"/>
  <c r="AA2442" i="4"/>
  <c r="AA2446" i="4"/>
  <c r="AA2450" i="4"/>
  <c r="AA2454" i="4"/>
  <c r="AA2458" i="4"/>
  <c r="AA2462" i="4"/>
  <c r="AA2466" i="4"/>
  <c r="AA2470" i="4"/>
  <c r="AA2474" i="4"/>
  <c r="AA2478" i="4"/>
  <c r="AA2482" i="4"/>
  <c r="AA2486" i="4"/>
  <c r="AA2490" i="4"/>
  <c r="AA2494" i="4"/>
  <c r="AA2498" i="4"/>
  <c r="AA2502" i="4"/>
  <c r="AA2506" i="4"/>
  <c r="AA2510" i="4"/>
  <c r="AA2514" i="4"/>
  <c r="AA2518" i="4"/>
  <c r="AA2522" i="4"/>
  <c r="AA2526" i="4"/>
  <c r="AA2530" i="4"/>
  <c r="AA2534" i="4"/>
  <c r="AA2538" i="4"/>
  <c r="AA2542" i="4"/>
  <c r="AA2546" i="4"/>
  <c r="AA2550" i="4"/>
  <c r="AA2554" i="4"/>
  <c r="AA2558" i="4"/>
  <c r="AA2562" i="4"/>
  <c r="AA2566" i="4"/>
  <c r="AA2570" i="4"/>
  <c r="AA2574" i="4"/>
  <c r="AA2578" i="4"/>
  <c r="AA2582" i="4"/>
  <c r="AA2586" i="4"/>
  <c r="AA2590" i="4"/>
  <c r="AA2594" i="4"/>
  <c r="AA2598" i="4"/>
  <c r="AA2602" i="4"/>
  <c r="AA2606" i="4"/>
  <c r="AA2610" i="4"/>
  <c r="AA2614" i="4"/>
  <c r="AA2618" i="4"/>
  <c r="AA2622" i="4"/>
  <c r="AA2626" i="4"/>
  <c r="AA2630" i="4"/>
  <c r="AA2634" i="4"/>
  <c r="AA2638" i="4"/>
  <c r="AA2642" i="4"/>
  <c r="AA2646" i="4"/>
  <c r="AA2650" i="4"/>
  <c r="AA2654" i="4"/>
  <c r="AA2658" i="4"/>
  <c r="AA2662" i="4"/>
  <c r="AA2666" i="4"/>
  <c r="AA2670" i="4"/>
  <c r="AA2674" i="4"/>
  <c r="AA2678" i="4"/>
  <c r="AA2682" i="4"/>
  <c r="AA2686" i="4"/>
  <c r="AA2690" i="4"/>
  <c r="AA2694" i="4"/>
  <c r="AA2698" i="4"/>
  <c r="AA2702" i="4"/>
  <c r="AA2706" i="4"/>
  <c r="AA2710" i="4"/>
  <c r="AA2714" i="4"/>
  <c r="AA2718" i="4"/>
  <c r="AA2722" i="4"/>
  <c r="AA2726" i="4"/>
  <c r="AA2730" i="4"/>
  <c r="AA2734" i="4"/>
  <c r="AA2738" i="4"/>
  <c r="AA2742" i="4"/>
  <c r="AA2746" i="4"/>
  <c r="AA2750" i="4"/>
  <c r="AA2754" i="4"/>
  <c r="AA2758" i="4"/>
  <c r="AA2762" i="4"/>
  <c r="AA2766" i="4"/>
  <c r="AA2770" i="4"/>
  <c r="AA2774" i="4"/>
  <c r="AA2778" i="4"/>
  <c r="AA2782" i="4"/>
  <c r="AA2786" i="4"/>
  <c r="AA2790" i="4"/>
  <c r="AA2794" i="4"/>
  <c r="AA2798" i="4"/>
  <c r="AA2802" i="4"/>
  <c r="AA2806" i="4"/>
  <c r="AA2810" i="4"/>
  <c r="AA2814" i="4"/>
  <c r="AA2818" i="4"/>
  <c r="AA2822" i="4"/>
  <c r="AA2826" i="4"/>
  <c r="AA2830" i="4"/>
  <c r="AA2834" i="4"/>
  <c r="AA2838" i="4"/>
  <c r="AA2842" i="4"/>
  <c r="AA2846" i="4"/>
  <c r="AA2850" i="4"/>
  <c r="AA2854" i="4"/>
  <c r="AA2858" i="4"/>
  <c r="AA2862" i="4"/>
  <c r="AA2866" i="4"/>
  <c r="AA2870" i="4"/>
  <c r="AA2874" i="4"/>
  <c r="AA2878" i="4"/>
  <c r="AA2882" i="4"/>
  <c r="AA2886" i="4"/>
  <c r="AA2890" i="4"/>
  <c r="AA2894" i="4"/>
  <c r="AA2898" i="4"/>
  <c r="AA2902" i="4"/>
  <c r="AA2906" i="4"/>
  <c r="AA2910" i="4"/>
  <c r="AA2914" i="4"/>
  <c r="AA2918" i="4"/>
  <c r="AA2922" i="4"/>
  <c r="AA2926" i="4"/>
  <c r="AA2930" i="4"/>
  <c r="AA2934" i="4"/>
  <c r="AA2938" i="4"/>
  <c r="AA2942" i="4"/>
  <c r="AA2946" i="4"/>
  <c r="AA2950" i="4"/>
  <c r="AA2954" i="4"/>
  <c r="AA2958" i="4"/>
  <c r="AA2962" i="4"/>
  <c r="AA2966" i="4"/>
  <c r="AA2970" i="4"/>
  <c r="AA2974" i="4"/>
  <c r="AA2978" i="4"/>
  <c r="AA2982" i="4"/>
  <c r="AA2986" i="4"/>
  <c r="AA2990" i="4"/>
  <c r="AA2994" i="4"/>
  <c r="AA2998" i="4"/>
  <c r="AA3002" i="4"/>
  <c r="AA3006" i="4"/>
  <c r="AA3010" i="4"/>
  <c r="AA3014" i="4"/>
  <c r="AA3018" i="4"/>
  <c r="AA3022" i="4"/>
  <c r="AA3026" i="4"/>
  <c r="AA3030" i="4"/>
  <c r="AA3034" i="4"/>
  <c r="AA3038" i="4"/>
  <c r="AA3042" i="4"/>
  <c r="AA3046" i="4"/>
  <c r="AA3050" i="4"/>
  <c r="AA3054" i="4"/>
  <c r="AA3058" i="4"/>
  <c r="AA3062" i="4"/>
  <c r="AA3066" i="4"/>
  <c r="AA3070" i="4"/>
  <c r="AA3074" i="4"/>
  <c r="AA3078" i="4"/>
  <c r="AA3082" i="4"/>
  <c r="AA3086" i="4"/>
  <c r="AA3090" i="4"/>
  <c r="AA3094" i="4"/>
  <c r="AA3098" i="4"/>
  <c r="AA3102" i="4"/>
  <c r="AA3106" i="4"/>
  <c r="AA3110" i="4"/>
  <c r="AA3114" i="4"/>
  <c r="AA3118" i="4"/>
  <c r="AA3122" i="4"/>
  <c r="AA3126" i="4"/>
  <c r="AA3130" i="4"/>
  <c r="AA3134" i="4"/>
  <c r="AA3138" i="4"/>
  <c r="AA3142" i="4"/>
  <c r="AA3146" i="4"/>
  <c r="AA3150" i="4"/>
  <c r="AA3154" i="4"/>
  <c r="AA3158" i="4"/>
  <c r="AA3162" i="4"/>
  <c r="AA3166" i="4"/>
  <c r="AA3170" i="4"/>
  <c r="AA3174" i="4"/>
  <c r="AA3178" i="4"/>
  <c r="AA3182" i="4"/>
  <c r="AA3186" i="4"/>
  <c r="AA3190" i="4"/>
  <c r="AA3194" i="4"/>
  <c r="AA3198" i="4"/>
  <c r="AA3202" i="4"/>
  <c r="AA3206" i="4"/>
  <c r="AA3210" i="4"/>
  <c r="AA3214" i="4"/>
  <c r="AA3218" i="4"/>
  <c r="AA3222" i="4"/>
  <c r="AA3226" i="4"/>
  <c r="AA3230" i="4"/>
  <c r="AA3234" i="4"/>
  <c r="AA3238" i="4"/>
  <c r="AA3242" i="4"/>
  <c r="AA3246" i="4"/>
  <c r="AA3250" i="4"/>
  <c r="AA3254" i="4"/>
  <c r="AA3258" i="4"/>
  <c r="AA3262" i="4"/>
  <c r="AA3266" i="4"/>
  <c r="AA3270" i="4"/>
  <c r="AA3274" i="4"/>
  <c r="AA3278" i="4"/>
  <c r="AA3282" i="4"/>
  <c r="AA3286" i="4"/>
  <c r="AA3290" i="4"/>
  <c r="AA3294" i="4"/>
  <c r="AA3298" i="4"/>
  <c r="AA3302" i="4"/>
  <c r="AA3306" i="4"/>
  <c r="AA3310" i="4"/>
  <c r="AA3314" i="4"/>
  <c r="AA3318" i="4"/>
  <c r="AA3322" i="4"/>
  <c r="AA3326" i="4"/>
  <c r="AA3330" i="4"/>
  <c r="AA3334" i="4"/>
  <c r="AA3338" i="4"/>
  <c r="AA3342" i="4"/>
  <c r="AA3346" i="4"/>
  <c r="AA3350" i="4"/>
  <c r="AA3354" i="4"/>
  <c r="AA3358" i="4"/>
  <c r="AA3362" i="4"/>
  <c r="AA3366" i="4"/>
  <c r="AA3370" i="4"/>
  <c r="AA3374" i="4"/>
  <c r="AA3378" i="4"/>
  <c r="AA3382" i="4"/>
  <c r="AA3386" i="4"/>
  <c r="AA3390" i="4"/>
  <c r="AA3394" i="4"/>
  <c r="AA3398" i="4"/>
  <c r="AA3402" i="4"/>
  <c r="AA3406" i="4"/>
  <c r="AA3410" i="4"/>
  <c r="AA3414" i="4"/>
  <c r="AA3418" i="4"/>
  <c r="AA3422" i="4"/>
  <c r="AA3426" i="4"/>
  <c r="AA3430" i="4"/>
  <c r="AA3434" i="4"/>
  <c r="AA3438" i="4"/>
  <c r="AA3442" i="4"/>
  <c r="AA2077" i="4"/>
  <c r="AA2085" i="4"/>
  <c r="AA2091" i="4"/>
  <c r="AA2095" i="4"/>
  <c r="AA2099" i="4"/>
  <c r="AA2103" i="4"/>
  <c r="AA2107" i="4"/>
  <c r="AA2111" i="4"/>
  <c r="AA2115" i="4"/>
  <c r="AA2119" i="4"/>
  <c r="AA2123" i="4"/>
  <c r="AA2127" i="4"/>
  <c r="AA2131" i="4"/>
  <c r="AA2135" i="4"/>
  <c r="AA2139" i="4"/>
  <c r="AA2143" i="4"/>
  <c r="AA2147" i="4"/>
  <c r="AA2151" i="4"/>
  <c r="AA2155" i="4"/>
  <c r="AA2159" i="4"/>
  <c r="AA2163" i="4"/>
  <c r="AA2167" i="4"/>
  <c r="AA2171" i="4"/>
  <c r="AA2175" i="4"/>
  <c r="AA2179" i="4"/>
  <c r="AA2183" i="4"/>
  <c r="AA2187" i="4"/>
  <c r="AA2191" i="4"/>
  <c r="AA2195" i="4"/>
  <c r="AA2199" i="4"/>
  <c r="AA2203" i="4"/>
  <c r="AA2207" i="4"/>
  <c r="AA2211" i="4"/>
  <c r="AA2215" i="4"/>
  <c r="AA2219" i="4"/>
  <c r="AA2223" i="4"/>
  <c r="AA2227" i="4"/>
  <c r="AA2231" i="4"/>
  <c r="AA2235" i="4"/>
  <c r="AA2239" i="4"/>
  <c r="AA2243" i="4"/>
  <c r="AA2247" i="4"/>
  <c r="AA2251" i="4"/>
  <c r="AA2255" i="4"/>
  <c r="AA2259" i="4"/>
  <c r="AA2263" i="4"/>
  <c r="AA2267" i="4"/>
  <c r="AA2271" i="4"/>
  <c r="AA2275" i="4"/>
  <c r="AA2279" i="4"/>
  <c r="AA2283" i="4"/>
  <c r="AA2287" i="4"/>
  <c r="AA2291" i="4"/>
  <c r="AA2295" i="4"/>
  <c r="AA2299" i="4"/>
  <c r="AA2303" i="4"/>
  <c r="AA2307" i="4"/>
  <c r="AA2311" i="4"/>
  <c r="AA2315" i="4"/>
  <c r="AA2319" i="4"/>
  <c r="AA2323" i="4"/>
  <c r="AA2327" i="4"/>
  <c r="AA2331" i="4"/>
  <c r="AA2335" i="4"/>
  <c r="AA2339" i="4"/>
  <c r="AA2343" i="4"/>
  <c r="AA2347" i="4"/>
  <c r="AA2351" i="4"/>
  <c r="AA2355" i="4"/>
  <c r="AA2359" i="4"/>
  <c r="AA2363" i="4"/>
  <c r="AA2367" i="4"/>
  <c r="AA2371" i="4"/>
  <c r="AA2375" i="4"/>
  <c r="AA2379" i="4"/>
  <c r="AA2383" i="4"/>
  <c r="AA2387" i="4"/>
  <c r="AA2391" i="4"/>
  <c r="AA2395" i="4"/>
  <c r="AA2399" i="4"/>
  <c r="AA2403" i="4"/>
  <c r="AA2407" i="4"/>
  <c r="AA2411" i="4"/>
  <c r="AA2415" i="4"/>
  <c r="AA2419" i="4"/>
  <c r="AA2423" i="4"/>
  <c r="AA2427" i="4"/>
  <c r="AA2431" i="4"/>
  <c r="AA2435" i="4"/>
  <c r="AA2439" i="4"/>
  <c r="AA2443" i="4"/>
  <c r="AA2447" i="4"/>
  <c r="AA2451" i="4"/>
  <c r="AA2455" i="4"/>
  <c r="AA2459" i="4"/>
  <c r="AA2463" i="4"/>
  <c r="AA2467" i="4"/>
  <c r="AA2471" i="4"/>
  <c r="AA2475" i="4"/>
  <c r="AA2479" i="4"/>
  <c r="AA2483" i="4"/>
  <c r="AA2487" i="4"/>
  <c r="AA2491" i="4"/>
  <c r="AA2495" i="4"/>
  <c r="AA2499" i="4"/>
  <c r="AA2503" i="4"/>
  <c r="AA2507" i="4"/>
  <c r="AA2511" i="4"/>
  <c r="AA2515" i="4"/>
  <c r="AA2519" i="4"/>
  <c r="AA2523" i="4"/>
  <c r="AA2527" i="4"/>
  <c r="AA2531" i="4"/>
  <c r="AA2535" i="4"/>
  <c r="AA2539" i="4"/>
  <c r="AA2543" i="4"/>
  <c r="AA2547" i="4"/>
  <c r="AA2551" i="4"/>
  <c r="AA2555" i="4"/>
  <c r="AA2559" i="4"/>
  <c r="AA2563" i="4"/>
  <c r="AA2567" i="4"/>
  <c r="AA2571" i="4"/>
  <c r="AA2575" i="4"/>
  <c r="AA2579" i="4"/>
  <c r="AA2583" i="4"/>
  <c r="AA2587" i="4"/>
  <c r="AA2591" i="4"/>
  <c r="AA2595" i="4"/>
  <c r="AA2599" i="4"/>
  <c r="AA2603" i="4"/>
  <c r="AA2607" i="4"/>
  <c r="AA2611" i="4"/>
  <c r="AA2615" i="4"/>
  <c r="AA2619" i="4"/>
  <c r="AA2623" i="4"/>
  <c r="AA2627" i="4"/>
  <c r="AA2631" i="4"/>
  <c r="AA2635" i="4"/>
  <c r="AA2639" i="4"/>
  <c r="AA2643" i="4"/>
  <c r="AA2647" i="4"/>
  <c r="AA2651" i="4"/>
  <c r="AA2655" i="4"/>
  <c r="AA2659" i="4"/>
  <c r="AA2663" i="4"/>
  <c r="AA2667" i="4"/>
  <c r="AA2671" i="4"/>
  <c r="AA2675" i="4"/>
  <c r="AA2679" i="4"/>
  <c r="AA2683" i="4"/>
  <c r="AA2687" i="4"/>
  <c r="AA2691" i="4"/>
  <c r="AA2695" i="4"/>
  <c r="AA2699" i="4"/>
  <c r="AA2703" i="4"/>
  <c r="AA2707" i="4"/>
  <c r="AA2711" i="4"/>
  <c r="AA2715" i="4"/>
  <c r="AA2719" i="4"/>
  <c r="AA2723" i="4"/>
  <c r="AA2727" i="4"/>
  <c r="AA2731" i="4"/>
  <c r="AA2735" i="4"/>
  <c r="AA2739" i="4"/>
  <c r="AA2743" i="4"/>
  <c r="AA2747" i="4"/>
  <c r="AA2751" i="4"/>
  <c r="AA2755" i="4"/>
  <c r="AA2759" i="4"/>
  <c r="AA2763" i="4"/>
  <c r="AA2767" i="4"/>
  <c r="AA2771" i="4"/>
  <c r="AA2775" i="4"/>
  <c r="AA2779" i="4"/>
  <c r="AA2783" i="4"/>
  <c r="AA2787" i="4"/>
  <c r="AA2791" i="4"/>
  <c r="AA2795" i="4"/>
  <c r="AA2799" i="4"/>
  <c r="AA2803" i="4"/>
  <c r="AA2807" i="4"/>
  <c r="AA2811" i="4"/>
  <c r="AA2815" i="4"/>
  <c r="AA2819" i="4"/>
  <c r="AA2823" i="4"/>
  <c r="AA2827" i="4"/>
  <c r="AA2831" i="4"/>
  <c r="AA2835" i="4"/>
  <c r="AA2839" i="4"/>
  <c r="AA2843" i="4"/>
  <c r="AA2847" i="4"/>
  <c r="AA2851" i="4"/>
  <c r="AA2855" i="4"/>
  <c r="AA2859" i="4"/>
  <c r="AA2863" i="4"/>
  <c r="AA2867" i="4"/>
  <c r="AA2871" i="4"/>
  <c r="AA2875" i="4"/>
  <c r="AA2879" i="4"/>
  <c r="AA2883" i="4"/>
  <c r="AA2887" i="4"/>
  <c r="AA2891" i="4"/>
  <c r="AA2895" i="4"/>
  <c r="AA2899" i="4"/>
  <c r="AA2903" i="4"/>
  <c r="AA2907" i="4"/>
  <c r="AA2911" i="4"/>
  <c r="AA2915" i="4"/>
  <c r="AA2919" i="4"/>
  <c r="AA2923" i="4"/>
  <c r="AA2927" i="4"/>
  <c r="AA2931" i="4"/>
  <c r="AA2935" i="4"/>
  <c r="AA2939" i="4"/>
  <c r="AA2943" i="4"/>
  <c r="AA2947" i="4"/>
  <c r="AA2951" i="4"/>
  <c r="AA2955" i="4"/>
  <c r="AA2959" i="4"/>
  <c r="AA2963" i="4"/>
  <c r="AA2967" i="4"/>
  <c r="AA2971" i="4"/>
  <c r="AA2975" i="4"/>
  <c r="AA2979" i="4"/>
  <c r="AA2983" i="4"/>
  <c r="AA2987" i="4"/>
  <c r="AA2991" i="4"/>
  <c r="AA2995" i="4"/>
  <c r="AA2999" i="4"/>
  <c r="AA3003" i="4"/>
  <c r="AA3007" i="4"/>
  <c r="AA3011" i="4"/>
  <c r="AA3015" i="4"/>
  <c r="AA3019" i="4"/>
  <c r="AA3023" i="4"/>
  <c r="AA3027" i="4"/>
  <c r="AA3031" i="4"/>
  <c r="AA3035" i="4"/>
  <c r="AA3039" i="4"/>
  <c r="AA3043" i="4"/>
  <c r="AA3047" i="4"/>
  <c r="AA3051" i="4"/>
  <c r="AA3055" i="4"/>
  <c r="AA3059" i="4"/>
  <c r="AA3063" i="4"/>
  <c r="AA3067" i="4"/>
  <c r="AA3071" i="4"/>
  <c r="AA3075" i="4"/>
  <c r="AA3079" i="4"/>
  <c r="AA3083" i="4"/>
  <c r="AA3087" i="4"/>
  <c r="AA3091" i="4"/>
  <c r="AA3095" i="4"/>
  <c r="AA3099" i="4"/>
  <c r="AA3103" i="4"/>
  <c r="AA3107" i="4"/>
  <c r="AA3111" i="4"/>
  <c r="AA3115" i="4"/>
  <c r="AA3119" i="4"/>
  <c r="AA3123" i="4"/>
  <c r="AA3127" i="4"/>
  <c r="AA3131" i="4"/>
  <c r="AA3135" i="4"/>
  <c r="AA3139" i="4"/>
  <c r="AA3143" i="4"/>
  <c r="AA3147" i="4"/>
  <c r="AA3151" i="4"/>
  <c r="AA3155" i="4"/>
  <c r="AA3159" i="4"/>
  <c r="AA3163" i="4"/>
  <c r="AA3167" i="4"/>
  <c r="AA3171" i="4"/>
  <c r="AA3175" i="4"/>
  <c r="AA3179" i="4"/>
  <c r="AA3183" i="4"/>
  <c r="AA3187" i="4"/>
  <c r="AA3191" i="4"/>
  <c r="AA3195" i="4"/>
  <c r="AA3199" i="4"/>
  <c r="AA3203" i="4"/>
  <c r="AA3207" i="4"/>
  <c r="AA3211" i="4"/>
  <c r="AA3215" i="4"/>
  <c r="AA3219" i="4"/>
  <c r="AA3223" i="4"/>
  <c r="AA3227" i="4"/>
  <c r="AA3231" i="4"/>
  <c r="AA3235" i="4"/>
  <c r="AA3239" i="4"/>
  <c r="AA3243" i="4"/>
  <c r="AA3247" i="4"/>
  <c r="AA3251" i="4"/>
  <c r="AA3255" i="4"/>
  <c r="AA3259" i="4"/>
  <c r="AA3263" i="4"/>
  <c r="AA3267" i="4"/>
  <c r="AA3271" i="4"/>
  <c r="AA3275" i="4"/>
  <c r="AA3279" i="4"/>
  <c r="AA3283" i="4"/>
  <c r="AA3287" i="4"/>
  <c r="AA3291" i="4"/>
  <c r="AA3295" i="4"/>
  <c r="AA3299" i="4"/>
  <c r="AA3303" i="4"/>
  <c r="AA3307" i="4"/>
  <c r="AA3311" i="4"/>
  <c r="AA3315" i="4"/>
  <c r="AA3319" i="4"/>
  <c r="AA3323" i="4"/>
  <c r="AA3327" i="4"/>
  <c r="AA3331" i="4"/>
  <c r="AA3335" i="4"/>
  <c r="AA3339" i="4"/>
  <c r="AA3343" i="4"/>
  <c r="AA3347" i="4"/>
  <c r="AA3351" i="4"/>
  <c r="AA3355" i="4"/>
  <c r="AA3359" i="4"/>
  <c r="AA3363" i="4"/>
  <c r="AA3367" i="4"/>
  <c r="AA3371" i="4"/>
  <c r="AA3375" i="4"/>
  <c r="AA3379" i="4"/>
  <c r="AA3383" i="4"/>
  <c r="AA3387" i="4"/>
  <c r="AA3391" i="4"/>
  <c r="AA3395" i="4"/>
  <c r="AA3399" i="4"/>
  <c r="AA3403" i="4"/>
  <c r="AA3407" i="4"/>
  <c r="AA3411" i="4"/>
  <c r="AA3415" i="4"/>
  <c r="AA3419" i="4"/>
  <c r="AA3423" i="4"/>
  <c r="AA3427" i="4"/>
  <c r="AA3431" i="4"/>
  <c r="AA3435" i="4"/>
  <c r="AA3439" i="4"/>
  <c r="AA3443" i="4"/>
  <c r="AA3447" i="4"/>
  <c r="AA3446" i="4"/>
  <c r="AA3451" i="4"/>
  <c r="AA3455" i="4"/>
  <c r="AA3459" i="4"/>
  <c r="AA3463" i="4"/>
  <c r="AA3467" i="4"/>
  <c r="AA3471" i="4"/>
  <c r="AA3475" i="4"/>
  <c r="AA3479" i="4"/>
  <c r="AA3483" i="4"/>
  <c r="AA3487" i="4"/>
  <c r="AA3491" i="4"/>
  <c r="AA3495" i="4"/>
  <c r="AA3499" i="4"/>
  <c r="AA3503" i="4"/>
  <c r="AA3507" i="4"/>
  <c r="AA3511" i="4"/>
  <c r="AA3515" i="4"/>
  <c r="AA3519" i="4"/>
  <c r="AA3523" i="4"/>
  <c r="AA3527" i="4"/>
  <c r="AA3531" i="4"/>
  <c r="AA3535" i="4"/>
  <c r="AA3539" i="4"/>
  <c r="AA3543" i="4"/>
  <c r="AA3547" i="4"/>
  <c r="AA3551" i="4"/>
  <c r="AA3555" i="4"/>
  <c r="AA3559" i="4"/>
  <c r="AA3563" i="4"/>
  <c r="AA3567" i="4"/>
  <c r="AA3571" i="4"/>
  <c r="AA3575" i="4"/>
  <c r="AA3579" i="4"/>
  <c r="AA3583" i="4"/>
  <c r="AA3587" i="4"/>
  <c r="AA3591" i="4"/>
  <c r="AA3595" i="4"/>
  <c r="AA3599" i="4"/>
  <c r="AA3603" i="4"/>
  <c r="AA3607" i="4"/>
  <c r="AA3611" i="4"/>
  <c r="AA3615" i="4"/>
  <c r="AA3619" i="4"/>
  <c r="AA3623" i="4"/>
  <c r="AA3627" i="4"/>
  <c r="AA3631" i="4"/>
  <c r="AA3635" i="4"/>
  <c r="AA3639" i="4"/>
  <c r="AA3643" i="4"/>
  <c r="AA3647" i="4"/>
  <c r="AA3651" i="4"/>
  <c r="AA3655" i="4"/>
  <c r="AA3659" i="4"/>
  <c r="AA3663" i="4"/>
  <c r="AA3667" i="4"/>
  <c r="AA3671" i="4"/>
  <c r="AA3675" i="4"/>
  <c r="AA3679" i="4"/>
  <c r="AA3683" i="4"/>
  <c r="AA3687" i="4"/>
  <c r="AA3691" i="4"/>
  <c r="AA3695" i="4"/>
  <c r="AA3699" i="4"/>
  <c r="AA3703" i="4"/>
  <c r="AA3707" i="4"/>
  <c r="AA3711" i="4"/>
  <c r="AA3715" i="4"/>
  <c r="AA3719" i="4"/>
  <c r="AA3723" i="4"/>
  <c r="AA3727" i="4"/>
  <c r="AA3731" i="4"/>
  <c r="AA3735" i="4"/>
  <c r="AA3739" i="4"/>
  <c r="AA3743" i="4"/>
  <c r="AA3747" i="4"/>
  <c r="AA3751" i="4"/>
  <c r="AA3755" i="4"/>
  <c r="AA3759" i="4"/>
  <c r="AA3763" i="4"/>
  <c r="AA3767" i="4"/>
  <c r="AA3771" i="4"/>
  <c r="AA3775" i="4"/>
  <c r="AA3779" i="4"/>
  <c r="AA3783" i="4"/>
  <c r="AA3787" i="4"/>
  <c r="AA3791" i="4"/>
  <c r="AA3795" i="4"/>
  <c r="AA3799" i="4"/>
  <c r="AA3803" i="4"/>
  <c r="AA3807" i="4"/>
  <c r="AA3811" i="4"/>
  <c r="AA3815" i="4"/>
  <c r="AA3819" i="4"/>
  <c r="AA3823" i="4"/>
  <c r="AA3827" i="4"/>
  <c r="AA3831" i="4"/>
  <c r="AA3835" i="4"/>
  <c r="AA3839" i="4"/>
  <c r="AA3843" i="4"/>
  <c r="AA3847" i="4"/>
  <c r="AA3851" i="4"/>
  <c r="AA3855" i="4"/>
  <c r="AA3859" i="4"/>
  <c r="AA3863" i="4"/>
  <c r="AA3867" i="4"/>
  <c r="AA3871" i="4"/>
  <c r="AA3875" i="4"/>
  <c r="AA3879" i="4"/>
  <c r="AA3883" i="4"/>
  <c r="AA3887" i="4"/>
  <c r="AA3891" i="4"/>
  <c r="AA3895" i="4"/>
  <c r="AA3899" i="4"/>
  <c r="AA3903" i="4"/>
  <c r="AA3907" i="4"/>
  <c r="AA3911" i="4"/>
  <c r="AA3915" i="4"/>
  <c r="AA3919" i="4"/>
  <c r="AA3923" i="4"/>
  <c r="AA3927" i="4"/>
  <c r="AA3931" i="4"/>
  <c r="AA3935" i="4"/>
  <c r="AA3939" i="4"/>
  <c r="AA3943" i="4"/>
  <c r="AA3947" i="4"/>
  <c r="AA3951" i="4"/>
  <c r="AA3955" i="4"/>
  <c r="AA3959" i="4"/>
  <c r="AA3963" i="4"/>
  <c r="AA3967" i="4"/>
  <c r="AA3971" i="4"/>
  <c r="AA3975" i="4"/>
  <c r="AA3979" i="4"/>
  <c r="AA3983" i="4"/>
  <c r="AA3987" i="4"/>
  <c r="AA3991" i="4"/>
  <c r="AA3995" i="4"/>
  <c r="AA3999" i="4"/>
  <c r="AA4003" i="4"/>
  <c r="AA4007" i="4"/>
  <c r="AA4011" i="4"/>
  <c r="AA4015" i="4"/>
  <c r="AA4019" i="4"/>
  <c r="AA4023" i="4"/>
  <c r="AA4027" i="4"/>
  <c r="AA4031" i="4"/>
  <c r="AA4035" i="4"/>
  <c r="AA4039" i="4"/>
  <c r="AA4043" i="4"/>
  <c r="AA4047" i="4"/>
  <c r="AA4051" i="4"/>
  <c r="AA4055" i="4"/>
  <c r="AA4059" i="4"/>
  <c r="AA4063" i="4"/>
  <c r="AA4067" i="4"/>
  <c r="AA4071" i="4"/>
  <c r="AA4075" i="4"/>
  <c r="AA4079" i="4"/>
  <c r="AA4083" i="4"/>
  <c r="AA4087" i="4"/>
  <c r="AA4091" i="4"/>
  <c r="AA4095" i="4"/>
  <c r="AA4099" i="4"/>
  <c r="AA4103" i="4"/>
  <c r="AA4107" i="4"/>
  <c r="AA4111" i="4"/>
  <c r="AA4115" i="4"/>
  <c r="AA4119" i="4"/>
  <c r="AA4123" i="4"/>
  <c r="AA4127" i="4"/>
  <c r="AA4131" i="4"/>
  <c r="AA4135" i="4"/>
  <c r="AA4139" i="4"/>
  <c r="AA4143" i="4"/>
  <c r="AA4147" i="4"/>
  <c r="AA4151" i="4"/>
  <c r="AA4155" i="4"/>
  <c r="AA4159" i="4"/>
  <c r="AA4163" i="4"/>
  <c r="AA4167" i="4"/>
  <c r="AA4171" i="4"/>
  <c r="AA4175" i="4"/>
  <c r="AA4179" i="4"/>
  <c r="AA4183" i="4"/>
  <c r="AA4187" i="4"/>
  <c r="AA4191" i="4"/>
  <c r="AA4195" i="4"/>
  <c r="AA4199" i="4"/>
  <c r="AA4203" i="4"/>
  <c r="AA4207" i="4"/>
  <c r="AA4211" i="4"/>
  <c r="AA4215" i="4"/>
  <c r="AA4219" i="4"/>
  <c r="AA4223" i="4"/>
  <c r="AA4227" i="4"/>
  <c r="AA4231" i="4"/>
  <c r="AA4235" i="4"/>
  <c r="AA4239" i="4"/>
  <c r="AA4243" i="4"/>
  <c r="AA4247" i="4"/>
  <c r="AA4251" i="4"/>
  <c r="AA4255" i="4"/>
  <c r="AA4259" i="4"/>
  <c r="AA4263" i="4"/>
  <c r="AA4267" i="4"/>
  <c r="AA4271" i="4"/>
  <c r="AA4275" i="4"/>
  <c r="AA4279" i="4"/>
  <c r="AA4283" i="4"/>
  <c r="AA4287" i="4"/>
  <c r="AA4291" i="4"/>
  <c r="AA4295" i="4"/>
  <c r="AA4299" i="4"/>
  <c r="AA4303" i="4"/>
  <c r="AA4307" i="4"/>
  <c r="AA4311" i="4"/>
  <c r="AA4315" i="4"/>
  <c r="AA4319" i="4"/>
  <c r="AA4323" i="4"/>
  <c r="AA4327" i="4"/>
  <c r="AA4331" i="4"/>
  <c r="AA4335" i="4"/>
  <c r="AA4339" i="4"/>
  <c r="AA4343" i="4"/>
  <c r="AA4347" i="4"/>
  <c r="AA4351" i="4"/>
  <c r="AA4355" i="4"/>
  <c r="AA4359" i="4"/>
  <c r="AA4363" i="4"/>
  <c r="AA4367" i="4"/>
  <c r="AA4371" i="4"/>
  <c r="AA4375" i="4"/>
  <c r="AA4379" i="4"/>
  <c r="AA4383" i="4"/>
  <c r="AA4387" i="4"/>
  <c r="AA4391" i="4"/>
  <c r="AA4395" i="4"/>
  <c r="AA4399" i="4"/>
  <c r="AA4403" i="4"/>
  <c r="AA4407" i="4"/>
  <c r="AA4411" i="4"/>
  <c r="AA4415" i="4"/>
  <c r="AA4419" i="4"/>
  <c r="AA4423" i="4"/>
  <c r="AA4427" i="4"/>
  <c r="AA4431" i="4"/>
  <c r="AA4435" i="4"/>
  <c r="AA4439" i="4"/>
  <c r="AA4443" i="4"/>
  <c r="AA4447" i="4"/>
  <c r="AA4451" i="4"/>
  <c r="AA4455" i="4"/>
  <c r="AA4459" i="4"/>
  <c r="AA4463" i="4"/>
  <c r="AA4467" i="4"/>
  <c r="AA4471" i="4"/>
  <c r="AA4475" i="4"/>
  <c r="AA4479" i="4"/>
  <c r="AA4483" i="4"/>
  <c r="AA4487" i="4"/>
  <c r="AA4491" i="4"/>
  <c r="AA4495" i="4"/>
  <c r="AA4499" i="4"/>
  <c r="AA4503" i="4"/>
  <c r="AA4507" i="4"/>
  <c r="AA4511" i="4"/>
  <c r="AA4515" i="4"/>
  <c r="AA4519" i="4"/>
  <c r="AA4523" i="4"/>
  <c r="AA4527" i="4"/>
  <c r="AA4531" i="4"/>
  <c r="AA4535" i="4"/>
  <c r="AA4539" i="4"/>
  <c r="AA4543" i="4"/>
  <c r="AA4547" i="4"/>
  <c r="AA4551" i="4"/>
  <c r="AA4555" i="4"/>
  <c r="AA4559" i="4"/>
  <c r="AA4563" i="4"/>
  <c r="AA4567" i="4"/>
  <c r="AA4571" i="4"/>
  <c r="AA4575" i="4"/>
  <c r="AA4579" i="4"/>
  <c r="AA4583" i="4"/>
  <c r="AA4587" i="4"/>
  <c r="AA4591" i="4"/>
  <c r="AA4595" i="4"/>
  <c r="AA4599" i="4"/>
  <c r="AA4603" i="4"/>
  <c r="AA4607" i="4"/>
  <c r="AA4611" i="4"/>
  <c r="AA4615" i="4"/>
  <c r="AA4619" i="4"/>
  <c r="AA4623" i="4"/>
  <c r="AA4627" i="4"/>
  <c r="AA4631" i="4"/>
  <c r="AA4635" i="4"/>
  <c r="AA4639" i="4"/>
  <c r="AA4643" i="4"/>
  <c r="AA4647" i="4"/>
  <c r="AA4651" i="4"/>
  <c r="AA4655" i="4"/>
  <c r="AA4659" i="4"/>
  <c r="AA4663" i="4"/>
  <c r="AA4667" i="4"/>
  <c r="AA4671" i="4"/>
  <c r="AA4675" i="4"/>
  <c r="AA4679" i="4"/>
  <c r="AA4683" i="4"/>
  <c r="AA4687" i="4"/>
  <c r="AA4691" i="4"/>
  <c r="AA4695" i="4"/>
  <c r="AA4699" i="4"/>
  <c r="AA4703" i="4"/>
  <c r="AA4707" i="4"/>
  <c r="AA4711" i="4"/>
  <c r="AA4715" i="4"/>
  <c r="AA4719" i="4"/>
  <c r="AA4723" i="4"/>
  <c r="AA4727" i="4"/>
  <c r="AA4731" i="4"/>
  <c r="AA4735" i="4"/>
  <c r="AA4739" i="4"/>
  <c r="AA4743" i="4"/>
  <c r="AA4747" i="4"/>
  <c r="AA4751" i="4"/>
  <c r="AA4755" i="4"/>
  <c r="AA4759" i="4"/>
  <c r="AA4763" i="4"/>
  <c r="AA4767" i="4"/>
  <c r="AA4771" i="4"/>
  <c r="AA4775" i="4"/>
  <c r="AA4779" i="4"/>
  <c r="AA4783" i="4"/>
  <c r="AA4787" i="4"/>
  <c r="AA4791" i="4"/>
  <c r="AA4795" i="4"/>
  <c r="AA4799" i="4"/>
  <c r="AA4803" i="4"/>
  <c r="AA4807" i="4"/>
  <c r="AA4811" i="4"/>
  <c r="AA4815" i="4"/>
  <c r="AA4819" i="4"/>
  <c r="AA4823" i="4"/>
  <c r="AA4827" i="4"/>
  <c r="AA4831" i="4"/>
  <c r="AA4835" i="4"/>
  <c r="AA4839" i="4"/>
  <c r="AA4843" i="4"/>
  <c r="AA4847" i="4"/>
  <c r="AA4851" i="4"/>
  <c r="AA4855" i="4"/>
  <c r="AA4859" i="4"/>
  <c r="AA4863" i="4"/>
  <c r="AA4867" i="4"/>
  <c r="AA4871" i="4"/>
  <c r="AA4875" i="4"/>
  <c r="AA4879" i="4"/>
  <c r="AA4883" i="4"/>
  <c r="AA4887" i="4"/>
  <c r="AA4891" i="4"/>
  <c r="AA4895" i="4"/>
  <c r="AA4899" i="4"/>
  <c r="AA4903" i="4"/>
  <c r="AA4907" i="4"/>
  <c r="AA4911" i="4"/>
  <c r="AA4915" i="4"/>
  <c r="AA4919" i="4"/>
  <c r="AA4923" i="4"/>
  <c r="AA4927" i="4"/>
  <c r="AA4931" i="4"/>
  <c r="AA4935" i="4"/>
  <c r="AA4939" i="4"/>
  <c r="AA4943" i="4"/>
  <c r="AA4947" i="4"/>
  <c r="AA4951" i="4"/>
  <c r="AA4955" i="4"/>
  <c r="AA4959" i="4"/>
  <c r="AA4963" i="4"/>
  <c r="AA4967" i="4"/>
  <c r="AA4971" i="4"/>
  <c r="AA4975" i="4"/>
  <c r="AA4979" i="4"/>
  <c r="AA4983" i="4"/>
  <c r="AA4987" i="4"/>
  <c r="AA4991" i="4"/>
  <c r="AA4995" i="4"/>
  <c r="AA4999" i="4"/>
  <c r="AA5003" i="4"/>
  <c r="AA5007" i="4"/>
  <c r="AA3448" i="4"/>
  <c r="AA3452" i="4"/>
  <c r="AA3456" i="4"/>
  <c r="AA3460" i="4"/>
  <c r="AA3464" i="4"/>
  <c r="AA3468" i="4"/>
  <c r="AA3472" i="4"/>
  <c r="AA3476" i="4"/>
  <c r="AA3480" i="4"/>
  <c r="AA3484" i="4"/>
  <c r="AA3488" i="4"/>
  <c r="AA3492" i="4"/>
  <c r="AA3496" i="4"/>
  <c r="AA3500" i="4"/>
  <c r="AA3504" i="4"/>
  <c r="AA3508" i="4"/>
  <c r="AA3512" i="4"/>
  <c r="AA3516" i="4"/>
  <c r="AA3520" i="4"/>
  <c r="AA3524" i="4"/>
  <c r="AA3528" i="4"/>
  <c r="AA3532" i="4"/>
  <c r="AA3536" i="4"/>
  <c r="AA3540" i="4"/>
  <c r="AA3544" i="4"/>
  <c r="AA3548" i="4"/>
  <c r="AA3552" i="4"/>
  <c r="AA3556" i="4"/>
  <c r="AA3560" i="4"/>
  <c r="AA3564" i="4"/>
  <c r="AA3568" i="4"/>
  <c r="AA3572" i="4"/>
  <c r="AA3576" i="4"/>
  <c r="AA3580" i="4"/>
  <c r="AA3584" i="4"/>
  <c r="AA3588" i="4"/>
  <c r="AA3592" i="4"/>
  <c r="AA3596" i="4"/>
  <c r="AA3600" i="4"/>
  <c r="AA3604" i="4"/>
  <c r="AA3608" i="4"/>
  <c r="AA3612" i="4"/>
  <c r="AA3616" i="4"/>
  <c r="AA3620" i="4"/>
  <c r="AA3624" i="4"/>
  <c r="AA3628" i="4"/>
  <c r="AA3632" i="4"/>
  <c r="AA3636" i="4"/>
  <c r="AA3640" i="4"/>
  <c r="AA3644" i="4"/>
  <c r="AA3648" i="4"/>
  <c r="AA3652" i="4"/>
  <c r="AA3656" i="4"/>
  <c r="AA3660" i="4"/>
  <c r="AA3664" i="4"/>
  <c r="AA3668" i="4"/>
  <c r="AA3672" i="4"/>
  <c r="AA3676" i="4"/>
  <c r="AA3680" i="4"/>
  <c r="AA3684" i="4"/>
  <c r="AA3688" i="4"/>
  <c r="AA3692" i="4"/>
  <c r="AA3696" i="4"/>
  <c r="AA3700" i="4"/>
  <c r="AA3704" i="4"/>
  <c r="AA3708" i="4"/>
  <c r="AA3712" i="4"/>
  <c r="AA3716" i="4"/>
  <c r="AA3720" i="4"/>
  <c r="AA3724" i="4"/>
  <c r="AA3728" i="4"/>
  <c r="AA3732" i="4"/>
  <c r="AA3736" i="4"/>
  <c r="AA3740" i="4"/>
  <c r="AA3744" i="4"/>
  <c r="AA3748" i="4"/>
  <c r="AA3752" i="4"/>
  <c r="AA3756" i="4"/>
  <c r="AA3760" i="4"/>
  <c r="AA3764" i="4"/>
  <c r="AA3768" i="4"/>
  <c r="AA3772" i="4"/>
  <c r="AA3776" i="4"/>
  <c r="AA3780" i="4"/>
  <c r="AA3784" i="4"/>
  <c r="AA3788" i="4"/>
  <c r="AA3792" i="4"/>
  <c r="AA3796" i="4"/>
  <c r="AA3800" i="4"/>
  <c r="AA3804" i="4"/>
  <c r="AA3808" i="4"/>
  <c r="AA3812" i="4"/>
  <c r="AA3816" i="4"/>
  <c r="AA3820" i="4"/>
  <c r="AA3824" i="4"/>
  <c r="AA3828" i="4"/>
  <c r="AA3832" i="4"/>
  <c r="AA3836" i="4"/>
  <c r="AA3840" i="4"/>
  <c r="AA3844" i="4"/>
  <c r="AA3848" i="4"/>
  <c r="AA3852" i="4"/>
  <c r="AA3856" i="4"/>
  <c r="AA3860" i="4"/>
  <c r="AA3864" i="4"/>
  <c r="AA3868" i="4"/>
  <c r="AA3872" i="4"/>
  <c r="AA3876" i="4"/>
  <c r="AA3880" i="4"/>
  <c r="AA3884" i="4"/>
  <c r="AA3888" i="4"/>
  <c r="AA3892" i="4"/>
  <c r="AA3896" i="4"/>
  <c r="AA3900" i="4"/>
  <c r="AA3904" i="4"/>
  <c r="AA3908" i="4"/>
  <c r="AA3912" i="4"/>
  <c r="AA3916" i="4"/>
  <c r="AA3920" i="4"/>
  <c r="AA3924" i="4"/>
  <c r="AA3928" i="4"/>
  <c r="AA3932" i="4"/>
  <c r="AA3936" i="4"/>
  <c r="AA3940" i="4"/>
  <c r="AA3944" i="4"/>
  <c r="AA3948" i="4"/>
  <c r="AA3952" i="4"/>
  <c r="AA3956" i="4"/>
  <c r="AA3960" i="4"/>
  <c r="AA3964" i="4"/>
  <c r="AA3968" i="4"/>
  <c r="AA3972" i="4"/>
  <c r="AA3976" i="4"/>
  <c r="AA3980" i="4"/>
  <c r="AA3984" i="4"/>
  <c r="AA3988" i="4"/>
  <c r="AA3992" i="4"/>
  <c r="AA3996" i="4"/>
  <c r="AA4000" i="4"/>
  <c r="AA4004" i="4"/>
  <c r="AA4008" i="4"/>
  <c r="AA4012" i="4"/>
  <c r="AA4016" i="4"/>
  <c r="AA4020" i="4"/>
  <c r="AA4024" i="4"/>
  <c r="AA4028" i="4"/>
  <c r="AA4032" i="4"/>
  <c r="AA4036" i="4"/>
  <c r="AA4040" i="4"/>
  <c r="AA4044" i="4"/>
  <c r="AA4048" i="4"/>
  <c r="AA4052" i="4"/>
  <c r="AA4056" i="4"/>
  <c r="AA4060" i="4"/>
  <c r="AA4064" i="4"/>
  <c r="AA4068" i="4"/>
  <c r="AA4072" i="4"/>
  <c r="AA4076" i="4"/>
  <c r="AA4080" i="4"/>
  <c r="AA4084" i="4"/>
  <c r="AA4088" i="4"/>
  <c r="AA4092" i="4"/>
  <c r="AA4096" i="4"/>
  <c r="AA4100" i="4"/>
  <c r="AA4104" i="4"/>
  <c r="AA4108" i="4"/>
  <c r="AA4112" i="4"/>
  <c r="AA4116" i="4"/>
  <c r="AA4120" i="4"/>
  <c r="AA4124" i="4"/>
  <c r="AA4128" i="4"/>
  <c r="AA4132" i="4"/>
  <c r="AA4136" i="4"/>
  <c r="AA4140" i="4"/>
  <c r="AA4144" i="4"/>
  <c r="AA4148" i="4"/>
  <c r="AA4152" i="4"/>
  <c r="AA4156" i="4"/>
  <c r="AA4160" i="4"/>
  <c r="AA4164" i="4"/>
  <c r="AA4168" i="4"/>
  <c r="AA4172" i="4"/>
  <c r="AA4176" i="4"/>
  <c r="AA4180" i="4"/>
  <c r="AA4184" i="4"/>
  <c r="AA4188" i="4"/>
  <c r="AA4192" i="4"/>
  <c r="AA4196" i="4"/>
  <c r="AA4200" i="4"/>
  <c r="AA4204" i="4"/>
  <c r="AA4208" i="4"/>
  <c r="AA4212" i="4"/>
  <c r="AA4216" i="4"/>
  <c r="AA4220" i="4"/>
  <c r="AA4224" i="4"/>
  <c r="AA4228" i="4"/>
  <c r="AA4232" i="4"/>
  <c r="AA4236" i="4"/>
  <c r="AA4240" i="4"/>
  <c r="AA4244" i="4"/>
  <c r="AA4248" i="4"/>
  <c r="AA4252" i="4"/>
  <c r="AA4256" i="4"/>
  <c r="AA4260" i="4"/>
  <c r="AA4264" i="4"/>
  <c r="AA4268" i="4"/>
  <c r="AA4272" i="4"/>
  <c r="AA4276" i="4"/>
  <c r="AA4280" i="4"/>
  <c r="AA4284" i="4"/>
  <c r="AA4288" i="4"/>
  <c r="AA4292" i="4"/>
  <c r="AA4296" i="4"/>
  <c r="AA4300" i="4"/>
  <c r="AA4304" i="4"/>
  <c r="AA4308" i="4"/>
  <c r="AA4312" i="4"/>
  <c r="AA4316" i="4"/>
  <c r="AA4320" i="4"/>
  <c r="AA4324" i="4"/>
  <c r="AA4328" i="4"/>
  <c r="AA4332" i="4"/>
  <c r="AA4336" i="4"/>
  <c r="AA4340" i="4"/>
  <c r="AA4344" i="4"/>
  <c r="AA4348" i="4"/>
  <c r="AA4352" i="4"/>
  <c r="AA4356" i="4"/>
  <c r="AA4360" i="4"/>
  <c r="AA4364" i="4"/>
  <c r="AA4368" i="4"/>
  <c r="AA4372" i="4"/>
  <c r="AA4376" i="4"/>
  <c r="AA4380" i="4"/>
  <c r="AA4384" i="4"/>
  <c r="AA4388" i="4"/>
  <c r="AA4392" i="4"/>
  <c r="AA4396" i="4"/>
  <c r="AA4400" i="4"/>
  <c r="AA4404" i="4"/>
  <c r="AA4408" i="4"/>
  <c r="AA4412" i="4"/>
  <c r="AA4416" i="4"/>
  <c r="AA4420" i="4"/>
  <c r="AA4424" i="4"/>
  <c r="AA4428" i="4"/>
  <c r="AA4432" i="4"/>
  <c r="AA4436" i="4"/>
  <c r="AA4440" i="4"/>
  <c r="AA4444" i="4"/>
  <c r="AA4448" i="4"/>
  <c r="AA4452" i="4"/>
  <c r="AA4456" i="4"/>
  <c r="AA4460" i="4"/>
  <c r="AA4464" i="4"/>
  <c r="AA4468" i="4"/>
  <c r="AA4472" i="4"/>
  <c r="AA4476" i="4"/>
  <c r="AA4480" i="4"/>
  <c r="AA4484" i="4"/>
  <c r="AA4488" i="4"/>
  <c r="AA4492" i="4"/>
  <c r="AA4496" i="4"/>
  <c r="AA4500" i="4"/>
  <c r="AA4504" i="4"/>
  <c r="AA4508" i="4"/>
  <c r="AA4512" i="4"/>
  <c r="AA4516" i="4"/>
  <c r="AA4520" i="4"/>
  <c r="AA4524" i="4"/>
  <c r="AA4528" i="4"/>
  <c r="AA4532" i="4"/>
  <c r="AA4536" i="4"/>
  <c r="AA4540" i="4"/>
  <c r="AA4544" i="4"/>
  <c r="AA4548" i="4"/>
  <c r="AA4552" i="4"/>
  <c r="AA4556" i="4"/>
  <c r="AA4560" i="4"/>
  <c r="AA4564" i="4"/>
  <c r="AA4568" i="4"/>
  <c r="AA4572" i="4"/>
  <c r="AA4576" i="4"/>
  <c r="AA4580" i="4"/>
  <c r="AA4584" i="4"/>
  <c r="AA4588" i="4"/>
  <c r="AA4592" i="4"/>
  <c r="AA4596" i="4"/>
  <c r="AA4600" i="4"/>
  <c r="AA4604" i="4"/>
  <c r="AA4608" i="4"/>
  <c r="AA4612" i="4"/>
  <c r="AA4616" i="4"/>
  <c r="AA4620" i="4"/>
  <c r="AA4624" i="4"/>
  <c r="AA4628" i="4"/>
  <c r="AA4632" i="4"/>
  <c r="AA4636" i="4"/>
  <c r="AA4640" i="4"/>
  <c r="AA4644" i="4"/>
  <c r="AA4648" i="4"/>
  <c r="AA4652" i="4"/>
  <c r="AA4656" i="4"/>
  <c r="AA4660" i="4"/>
  <c r="AA4664" i="4"/>
  <c r="AA4668" i="4"/>
  <c r="AA4672" i="4"/>
  <c r="AA4676" i="4"/>
  <c r="AA4680" i="4"/>
  <c r="AA4684" i="4"/>
  <c r="AA4688" i="4"/>
  <c r="AA4692" i="4"/>
  <c r="AA4696" i="4"/>
  <c r="AA4700" i="4"/>
  <c r="AA4704" i="4"/>
  <c r="AA4708" i="4"/>
  <c r="AA4712" i="4"/>
  <c r="AA4716" i="4"/>
  <c r="AA4720" i="4"/>
  <c r="AA4724" i="4"/>
  <c r="AA4728" i="4"/>
  <c r="AA4732" i="4"/>
  <c r="AA4736" i="4"/>
  <c r="AA4740" i="4"/>
  <c r="AA4744" i="4"/>
  <c r="AA4748" i="4"/>
  <c r="AA4752" i="4"/>
  <c r="AA4756" i="4"/>
  <c r="AA4760" i="4"/>
  <c r="AA4764" i="4"/>
  <c r="AA4768" i="4"/>
  <c r="AA4772" i="4"/>
  <c r="AA4776" i="4"/>
  <c r="AA4780" i="4"/>
  <c r="AA4784" i="4"/>
  <c r="AA4788" i="4"/>
  <c r="AA4792" i="4"/>
  <c r="AA4796" i="4"/>
  <c r="AA4800" i="4"/>
  <c r="AA4804" i="4"/>
  <c r="AA4808" i="4"/>
  <c r="AA4812" i="4"/>
  <c r="AA4816" i="4"/>
  <c r="AA4820" i="4"/>
  <c r="AA4824" i="4"/>
  <c r="AA4828" i="4"/>
  <c r="AA4832" i="4"/>
  <c r="AA4836" i="4"/>
  <c r="AA4840" i="4"/>
  <c r="AA4844" i="4"/>
  <c r="AA4848" i="4"/>
  <c r="AA4852" i="4"/>
  <c r="AA4856" i="4"/>
  <c r="AA4860" i="4"/>
  <c r="AA4864" i="4"/>
  <c r="AA4868" i="4"/>
  <c r="AA4872" i="4"/>
  <c r="AA4876" i="4"/>
  <c r="AA4880" i="4"/>
  <c r="AA4884" i="4"/>
  <c r="AA4888" i="4"/>
  <c r="AA4892" i="4"/>
  <c r="AA4896" i="4"/>
  <c r="AA4900" i="4"/>
  <c r="AA4904" i="4"/>
  <c r="AA4908" i="4"/>
  <c r="AA4912" i="4"/>
  <c r="AA4916" i="4"/>
  <c r="AA4920" i="4"/>
  <c r="AA4924" i="4"/>
  <c r="AA4928" i="4"/>
  <c r="AA4932" i="4"/>
  <c r="AA4936" i="4"/>
  <c r="AA4940" i="4"/>
  <c r="AA4944" i="4"/>
  <c r="AA4948" i="4"/>
  <c r="AA4952" i="4"/>
  <c r="AA4956" i="4"/>
  <c r="AA4960" i="4"/>
  <c r="AA4964" i="4"/>
  <c r="AA4968" i="4"/>
  <c r="AA4972" i="4"/>
  <c r="AA4976" i="4"/>
  <c r="AA4980" i="4"/>
  <c r="AA4984" i="4"/>
  <c r="AA4988" i="4"/>
  <c r="AA4992" i="4"/>
  <c r="AA4996" i="4"/>
  <c r="AA5000" i="4"/>
  <c r="AA5004" i="4"/>
  <c r="AA5008" i="4"/>
  <c r="AA3449" i="4"/>
  <c r="AA3453" i="4"/>
  <c r="AA3457" i="4"/>
  <c r="AA3461" i="4"/>
  <c r="AA3465" i="4"/>
  <c r="AA3469" i="4"/>
  <c r="AA3473" i="4"/>
  <c r="AA3477" i="4"/>
  <c r="AA3481" i="4"/>
  <c r="AA3485" i="4"/>
  <c r="AA3489" i="4"/>
  <c r="AA3493" i="4"/>
  <c r="AA3497" i="4"/>
  <c r="AA3501" i="4"/>
  <c r="AA3505" i="4"/>
  <c r="AA3509" i="4"/>
  <c r="AA3513" i="4"/>
  <c r="AA3517" i="4"/>
  <c r="AA3521" i="4"/>
  <c r="AA3525" i="4"/>
  <c r="AA3529" i="4"/>
  <c r="AA3533" i="4"/>
  <c r="AA3537" i="4"/>
  <c r="AA3541" i="4"/>
  <c r="AA3545" i="4"/>
  <c r="AA3549" i="4"/>
  <c r="AA3553" i="4"/>
  <c r="AA3557" i="4"/>
  <c r="AA3561" i="4"/>
  <c r="AA3565" i="4"/>
  <c r="AA3569" i="4"/>
  <c r="AA3573" i="4"/>
  <c r="AA3577" i="4"/>
  <c r="AA3581" i="4"/>
  <c r="AA3585" i="4"/>
  <c r="AA3589" i="4"/>
  <c r="AA3593" i="4"/>
  <c r="AA3597" i="4"/>
  <c r="AA3601" i="4"/>
  <c r="AA3605" i="4"/>
  <c r="AA3609" i="4"/>
  <c r="AA3613" i="4"/>
  <c r="AA3617" i="4"/>
  <c r="AA3621" i="4"/>
  <c r="AA3625" i="4"/>
  <c r="AA3629" i="4"/>
  <c r="AA3633" i="4"/>
  <c r="AA3637" i="4"/>
  <c r="AA3641" i="4"/>
  <c r="AA3645" i="4"/>
  <c r="AA3649" i="4"/>
  <c r="AA3653" i="4"/>
  <c r="AA3657" i="4"/>
  <c r="AA3661" i="4"/>
  <c r="AA3665" i="4"/>
  <c r="AA3669" i="4"/>
  <c r="AA3673" i="4"/>
  <c r="AA3677" i="4"/>
  <c r="AA3681" i="4"/>
  <c r="AA3685" i="4"/>
  <c r="AA3689" i="4"/>
  <c r="AA3693" i="4"/>
  <c r="AA3697" i="4"/>
  <c r="AA3701" i="4"/>
  <c r="AA3705" i="4"/>
  <c r="AA3709" i="4"/>
  <c r="AA3713" i="4"/>
  <c r="AA3717" i="4"/>
  <c r="AA3721" i="4"/>
  <c r="AA3725" i="4"/>
  <c r="AA3729" i="4"/>
  <c r="AA3733" i="4"/>
  <c r="AA3737" i="4"/>
  <c r="AA3741" i="4"/>
  <c r="AA3745" i="4"/>
  <c r="AA3749" i="4"/>
  <c r="AA3753" i="4"/>
  <c r="AA3757" i="4"/>
  <c r="AA3761" i="4"/>
  <c r="AA3765" i="4"/>
  <c r="AA3769" i="4"/>
  <c r="AA3773" i="4"/>
  <c r="AA3777" i="4"/>
  <c r="AA3781" i="4"/>
  <c r="AA3785" i="4"/>
  <c r="AA3789" i="4"/>
  <c r="AA3793" i="4"/>
  <c r="AA3797" i="4"/>
  <c r="AA3801" i="4"/>
  <c r="AA3805" i="4"/>
  <c r="AA3809" i="4"/>
  <c r="AA3813" i="4"/>
  <c r="AA3817" i="4"/>
  <c r="AA3821" i="4"/>
  <c r="AA3825" i="4"/>
  <c r="AA3829" i="4"/>
  <c r="AA3833" i="4"/>
  <c r="AA3837" i="4"/>
  <c r="AA3841" i="4"/>
  <c r="AA3845" i="4"/>
  <c r="AA3849" i="4"/>
  <c r="AA3853" i="4"/>
  <c r="AA3857" i="4"/>
  <c r="AA3861" i="4"/>
  <c r="AA3865" i="4"/>
  <c r="AA3869" i="4"/>
  <c r="AA3873" i="4"/>
  <c r="AA3877" i="4"/>
  <c r="AA3881" i="4"/>
  <c r="AA3885" i="4"/>
  <c r="AA3889" i="4"/>
  <c r="AA3893" i="4"/>
  <c r="AA3897" i="4"/>
  <c r="AA3901" i="4"/>
  <c r="AA3905" i="4"/>
  <c r="AA3909" i="4"/>
  <c r="AA3913" i="4"/>
  <c r="AA3917" i="4"/>
  <c r="AA3921" i="4"/>
  <c r="AA3925" i="4"/>
  <c r="AA3929" i="4"/>
  <c r="AA3933" i="4"/>
  <c r="AA3937" i="4"/>
  <c r="AA3941" i="4"/>
  <c r="AA3945" i="4"/>
  <c r="AA3949" i="4"/>
  <c r="AA3953" i="4"/>
  <c r="AA3957" i="4"/>
  <c r="AA3961" i="4"/>
  <c r="AA3965" i="4"/>
  <c r="AA3969" i="4"/>
  <c r="AA3973" i="4"/>
  <c r="AA3977" i="4"/>
  <c r="AA3981" i="4"/>
  <c r="AA3985" i="4"/>
  <c r="AA3989" i="4"/>
  <c r="AA3993" i="4"/>
  <c r="AA3997" i="4"/>
  <c r="AA4001" i="4"/>
  <c r="AA4005" i="4"/>
  <c r="AA4009" i="4"/>
  <c r="AA4013" i="4"/>
  <c r="AA4017" i="4"/>
  <c r="AA4021" i="4"/>
  <c r="AA4025" i="4"/>
  <c r="AA4029" i="4"/>
  <c r="AA4033" i="4"/>
  <c r="AA4037" i="4"/>
  <c r="AA4041" i="4"/>
  <c r="AA4045" i="4"/>
  <c r="AA4049" i="4"/>
  <c r="AA4053" i="4"/>
  <c r="AA4057" i="4"/>
  <c r="AA4061" i="4"/>
  <c r="AA4065" i="4"/>
  <c r="AA4069" i="4"/>
  <c r="AA4073" i="4"/>
  <c r="AA4077" i="4"/>
  <c r="AA4081" i="4"/>
  <c r="AA4085" i="4"/>
  <c r="AA4089" i="4"/>
  <c r="AA4093" i="4"/>
  <c r="AA4097" i="4"/>
  <c r="AA4101" i="4"/>
  <c r="AA4105" i="4"/>
  <c r="AA4109" i="4"/>
  <c r="AA4113" i="4"/>
  <c r="AA4117" i="4"/>
  <c r="AA4121" i="4"/>
  <c r="AA4125" i="4"/>
  <c r="AA4129" i="4"/>
  <c r="AA4133" i="4"/>
  <c r="AA4137" i="4"/>
  <c r="AA4141" i="4"/>
  <c r="AA4145" i="4"/>
  <c r="AA4149" i="4"/>
  <c r="AA4153" i="4"/>
  <c r="AA4157" i="4"/>
  <c r="AA4161" i="4"/>
  <c r="AA4165" i="4"/>
  <c r="AA4169" i="4"/>
  <c r="AA4173" i="4"/>
  <c r="AA4177" i="4"/>
  <c r="AA4181" i="4"/>
  <c r="AA4185" i="4"/>
  <c r="AA4189" i="4"/>
  <c r="AA4193" i="4"/>
  <c r="AA4197" i="4"/>
  <c r="AA4201" i="4"/>
  <c r="AA4205" i="4"/>
  <c r="AA4209" i="4"/>
  <c r="AA4213" i="4"/>
  <c r="AA4217" i="4"/>
  <c r="AA4221" i="4"/>
  <c r="AA4225" i="4"/>
  <c r="AA4229" i="4"/>
  <c r="AA4233" i="4"/>
  <c r="AA4237" i="4"/>
  <c r="AA4241" i="4"/>
  <c r="AA4245" i="4"/>
  <c r="AA4249" i="4"/>
  <c r="AA4253" i="4"/>
  <c r="AA4257" i="4"/>
  <c r="AA4261" i="4"/>
  <c r="AA4265" i="4"/>
  <c r="AA4269" i="4"/>
  <c r="AA4273" i="4"/>
  <c r="AA4277" i="4"/>
  <c r="AA4281" i="4"/>
  <c r="AA4285" i="4"/>
  <c r="AA4289" i="4"/>
  <c r="AA4293" i="4"/>
  <c r="AA4297" i="4"/>
  <c r="AA4301" i="4"/>
  <c r="AA4305" i="4"/>
  <c r="AA4309" i="4"/>
  <c r="AA4313" i="4"/>
  <c r="AA4317" i="4"/>
  <c r="AA4321" i="4"/>
  <c r="AA4325" i="4"/>
  <c r="AA4329" i="4"/>
  <c r="AA4333" i="4"/>
  <c r="AA4337" i="4"/>
  <c r="AA4341" i="4"/>
  <c r="AA4345" i="4"/>
  <c r="AA4349" i="4"/>
  <c r="AA4353" i="4"/>
  <c r="AA4357" i="4"/>
  <c r="AA4361" i="4"/>
  <c r="AA4365" i="4"/>
  <c r="AA4369" i="4"/>
  <c r="AA4373" i="4"/>
  <c r="AA4377" i="4"/>
  <c r="AA4381" i="4"/>
  <c r="AA4385" i="4"/>
  <c r="AA4389" i="4"/>
  <c r="AA4393" i="4"/>
  <c r="AA4397" i="4"/>
  <c r="AA4401" i="4"/>
  <c r="AA4405" i="4"/>
  <c r="AA4409" i="4"/>
  <c r="AA4413" i="4"/>
  <c r="AA4417" i="4"/>
  <c r="AA4421" i="4"/>
  <c r="AA4425" i="4"/>
  <c r="AA4429" i="4"/>
  <c r="AA4433" i="4"/>
  <c r="AA4437" i="4"/>
  <c r="AA4441" i="4"/>
  <c r="AA4445" i="4"/>
  <c r="AA4449" i="4"/>
  <c r="AA4453" i="4"/>
  <c r="AA4457" i="4"/>
  <c r="AA4461" i="4"/>
  <c r="AA4465" i="4"/>
  <c r="AA4469" i="4"/>
  <c r="AA4473" i="4"/>
  <c r="AA4477" i="4"/>
  <c r="AA4481" i="4"/>
  <c r="AA4485" i="4"/>
  <c r="AA4489" i="4"/>
  <c r="AA4493" i="4"/>
  <c r="AA4497" i="4"/>
  <c r="AA4501" i="4"/>
  <c r="AA4505" i="4"/>
  <c r="AA4509" i="4"/>
  <c r="AA4513" i="4"/>
  <c r="AA4517" i="4"/>
  <c r="AA4521" i="4"/>
  <c r="AA4525" i="4"/>
  <c r="AA4529" i="4"/>
  <c r="AA4533" i="4"/>
  <c r="AA4537" i="4"/>
  <c r="AA4541" i="4"/>
  <c r="AA4545" i="4"/>
  <c r="AA4549" i="4"/>
  <c r="AA4553" i="4"/>
  <c r="AA4557" i="4"/>
  <c r="AA4561" i="4"/>
  <c r="AA4565" i="4"/>
  <c r="AA4569" i="4"/>
  <c r="AA4573" i="4"/>
  <c r="AA4577" i="4"/>
  <c r="AA4581" i="4"/>
  <c r="AA4585" i="4"/>
  <c r="AA4589" i="4"/>
  <c r="AA4593" i="4"/>
  <c r="AA4597" i="4"/>
  <c r="AA4601" i="4"/>
  <c r="AA4605" i="4"/>
  <c r="AA4609" i="4"/>
  <c r="AA4613" i="4"/>
  <c r="AA4617" i="4"/>
  <c r="AA4621" i="4"/>
  <c r="AA4625" i="4"/>
  <c r="AA4629" i="4"/>
  <c r="AA4633" i="4"/>
  <c r="AA4637" i="4"/>
  <c r="AA4641" i="4"/>
  <c r="AA4645" i="4"/>
  <c r="AA4649" i="4"/>
  <c r="AA4653" i="4"/>
  <c r="AA4657" i="4"/>
  <c r="AA4661" i="4"/>
  <c r="AA4665" i="4"/>
  <c r="AA4669" i="4"/>
  <c r="AA4673" i="4"/>
  <c r="AA4677" i="4"/>
  <c r="AA4681" i="4"/>
  <c r="AA4685" i="4"/>
  <c r="AA4689" i="4"/>
  <c r="AA4693" i="4"/>
  <c r="AA4697" i="4"/>
  <c r="AA4701" i="4"/>
  <c r="AA4705" i="4"/>
  <c r="AA4709" i="4"/>
  <c r="AA4713" i="4"/>
  <c r="AA4717" i="4"/>
  <c r="AA4721" i="4"/>
  <c r="AA4725" i="4"/>
  <c r="AA4729" i="4"/>
  <c r="AA4733" i="4"/>
  <c r="AA4737" i="4"/>
  <c r="AA4741" i="4"/>
  <c r="AA4745" i="4"/>
  <c r="AA4749" i="4"/>
  <c r="AA4753" i="4"/>
  <c r="AA4757" i="4"/>
  <c r="AA4761" i="4"/>
  <c r="AA4765" i="4"/>
  <c r="AA4769" i="4"/>
  <c r="AA4773" i="4"/>
  <c r="AA4777" i="4"/>
  <c r="AA4781" i="4"/>
  <c r="AA4785" i="4"/>
  <c r="AA4789" i="4"/>
  <c r="AA4793" i="4"/>
  <c r="AA4797" i="4"/>
  <c r="AA4801" i="4"/>
  <c r="AA4805" i="4"/>
  <c r="AA4809" i="4"/>
  <c r="AA4813" i="4"/>
  <c r="AA4817" i="4"/>
  <c r="AA4821" i="4"/>
  <c r="AA4825" i="4"/>
  <c r="AA4829" i="4"/>
  <c r="AA4833" i="4"/>
  <c r="AA4837" i="4"/>
  <c r="AA4841" i="4"/>
  <c r="AA4845" i="4"/>
  <c r="AA4849" i="4"/>
  <c r="AA4853" i="4"/>
  <c r="AA4857" i="4"/>
  <c r="AA4861" i="4"/>
  <c r="AA4865" i="4"/>
  <c r="AA4869" i="4"/>
  <c r="AA4873" i="4"/>
  <c r="AA4877" i="4"/>
  <c r="AA4881" i="4"/>
  <c r="AA4885" i="4"/>
  <c r="AA4889" i="4"/>
  <c r="AA4893" i="4"/>
  <c r="AA4897" i="4"/>
  <c r="AA4901" i="4"/>
  <c r="AA4905" i="4"/>
  <c r="AA4909" i="4"/>
  <c r="AA4913" i="4"/>
  <c r="AA4917" i="4"/>
  <c r="AA4921" i="4"/>
  <c r="AA4925" i="4"/>
  <c r="AA4929" i="4"/>
  <c r="AA4933" i="4"/>
  <c r="AA4937" i="4"/>
  <c r="AA4941" i="4"/>
  <c r="AA4945" i="4"/>
  <c r="AA4949" i="4"/>
  <c r="AA4953" i="4"/>
  <c r="AA4957" i="4"/>
  <c r="AA4961" i="4"/>
  <c r="AA4965" i="4"/>
  <c r="AA4969" i="4"/>
  <c r="AA4973" i="4"/>
  <c r="AA4977" i="4"/>
  <c r="AA4981" i="4"/>
  <c r="AA4985" i="4"/>
  <c r="AA4989" i="4"/>
  <c r="AA4993" i="4"/>
  <c r="AA4997" i="4"/>
  <c r="AA5001" i="4"/>
  <c r="AA5005" i="4"/>
  <c r="AA5009" i="4"/>
  <c r="AA3450" i="4"/>
  <c r="AA3454" i="4"/>
  <c r="AA3458" i="4"/>
  <c r="AA3462" i="4"/>
  <c r="AA3466" i="4"/>
  <c r="AA3470" i="4"/>
  <c r="AA3474" i="4"/>
  <c r="AA3478" i="4"/>
  <c r="AA3482" i="4"/>
  <c r="AA3486" i="4"/>
  <c r="AA3490" i="4"/>
  <c r="AA3494" i="4"/>
  <c r="AA3498" i="4"/>
  <c r="AA3502" i="4"/>
  <c r="AA3506" i="4"/>
  <c r="AA3510" i="4"/>
  <c r="AA3514" i="4"/>
  <c r="AA3518" i="4"/>
  <c r="AA3522" i="4"/>
  <c r="AA3526" i="4"/>
  <c r="AA3530" i="4"/>
  <c r="AA3534" i="4"/>
  <c r="AA3538" i="4"/>
  <c r="AA3542" i="4"/>
  <c r="AA3546" i="4"/>
  <c r="AA3550" i="4"/>
  <c r="AA3554" i="4"/>
  <c r="AA3558" i="4"/>
  <c r="AA3562" i="4"/>
  <c r="AA3566" i="4"/>
  <c r="AA3570" i="4"/>
  <c r="AA3574" i="4"/>
  <c r="AA3578" i="4"/>
  <c r="AA3582" i="4"/>
  <c r="AA3586" i="4"/>
  <c r="AA3590" i="4"/>
  <c r="AA3594" i="4"/>
  <c r="AA3598" i="4"/>
  <c r="AA3602" i="4"/>
  <c r="AA3606" i="4"/>
  <c r="AA3610" i="4"/>
  <c r="AA3614" i="4"/>
  <c r="AA3618" i="4"/>
  <c r="AA3622" i="4"/>
  <c r="AA3626" i="4"/>
  <c r="AA3630" i="4"/>
  <c r="AA3634" i="4"/>
  <c r="AA3638" i="4"/>
  <c r="AA3642" i="4"/>
  <c r="AA3646" i="4"/>
  <c r="AA3650" i="4"/>
  <c r="AA3654" i="4"/>
  <c r="AA3658" i="4"/>
  <c r="AA3662" i="4"/>
  <c r="AA3666" i="4"/>
  <c r="AA3670" i="4"/>
  <c r="AA3674" i="4"/>
  <c r="AA3678" i="4"/>
  <c r="AA3682" i="4"/>
  <c r="AA3686" i="4"/>
  <c r="AA3690" i="4"/>
  <c r="AA3694" i="4"/>
  <c r="AA3698" i="4"/>
  <c r="AA3702" i="4"/>
  <c r="AA3706" i="4"/>
  <c r="AA3710" i="4"/>
  <c r="AA3714" i="4"/>
  <c r="AA3718" i="4"/>
  <c r="AA3722" i="4"/>
  <c r="AA3726" i="4"/>
  <c r="AA3730" i="4"/>
  <c r="AA3734" i="4"/>
  <c r="AA3738" i="4"/>
  <c r="AA3742" i="4"/>
  <c r="AA3746" i="4"/>
  <c r="AA3750" i="4"/>
  <c r="AA3754" i="4"/>
  <c r="AA3758" i="4"/>
  <c r="AA3762" i="4"/>
  <c r="AA3766" i="4"/>
  <c r="AA3770" i="4"/>
  <c r="AA3774" i="4"/>
  <c r="AA3778" i="4"/>
  <c r="AA3782" i="4"/>
  <c r="AA3786" i="4"/>
  <c r="AA3790" i="4"/>
  <c r="AA3794" i="4"/>
  <c r="AA3798" i="4"/>
  <c r="AA3802" i="4"/>
  <c r="AA3806" i="4"/>
  <c r="AA3810" i="4"/>
  <c r="AA3814" i="4"/>
  <c r="AA3818" i="4"/>
  <c r="AA3822" i="4"/>
  <c r="AA3826" i="4"/>
  <c r="AA3830" i="4"/>
  <c r="AA3834" i="4"/>
  <c r="AA3838" i="4"/>
  <c r="AA3842" i="4"/>
  <c r="AA3846" i="4"/>
  <c r="AA3850" i="4"/>
  <c r="AA3854" i="4"/>
  <c r="AA3858" i="4"/>
  <c r="AA3862" i="4"/>
  <c r="AA3866" i="4"/>
  <c r="AA3870" i="4"/>
  <c r="AA3874" i="4"/>
  <c r="AA3878" i="4"/>
  <c r="AA3882" i="4"/>
  <c r="AA3886" i="4"/>
  <c r="AA3890" i="4"/>
  <c r="AA3894" i="4"/>
  <c r="AA3898" i="4"/>
  <c r="AA3902" i="4"/>
  <c r="AA3906" i="4"/>
  <c r="AA3910" i="4"/>
  <c r="AA3914" i="4"/>
  <c r="AA3918" i="4"/>
  <c r="AA3922" i="4"/>
  <c r="AA3926" i="4"/>
  <c r="AA3930" i="4"/>
  <c r="AA3934" i="4"/>
  <c r="AA3938" i="4"/>
  <c r="AA3942" i="4"/>
  <c r="AA3946" i="4"/>
  <c r="AA3950" i="4"/>
  <c r="AA3954" i="4"/>
  <c r="AA3958" i="4"/>
  <c r="AA3962" i="4"/>
  <c r="AA3966" i="4"/>
  <c r="AA3970" i="4"/>
  <c r="AA3974" i="4"/>
  <c r="AA3978" i="4"/>
  <c r="AA3982" i="4"/>
  <c r="AA3986" i="4"/>
  <c r="AA3990" i="4"/>
  <c r="AA3994" i="4"/>
  <c r="AA3998" i="4"/>
  <c r="AA4002" i="4"/>
  <c r="AA4006" i="4"/>
  <c r="AA4010" i="4"/>
  <c r="AA4014" i="4"/>
  <c r="AA4018" i="4"/>
  <c r="AA4022" i="4"/>
  <c r="AA4026" i="4"/>
  <c r="AA4030" i="4"/>
  <c r="AA4034" i="4"/>
  <c r="AA4038" i="4"/>
  <c r="AA4042" i="4"/>
  <c r="AA4046" i="4"/>
  <c r="AA4050" i="4"/>
  <c r="AA4054" i="4"/>
  <c r="AA4058" i="4"/>
  <c r="AA4062" i="4"/>
  <c r="AA4066" i="4"/>
  <c r="AA4070" i="4"/>
  <c r="AA4074" i="4"/>
  <c r="AA4078" i="4"/>
  <c r="AA4082" i="4"/>
  <c r="AA4086" i="4"/>
  <c r="AA4090" i="4"/>
  <c r="AA4094" i="4"/>
  <c r="AA4098" i="4"/>
  <c r="AA4102" i="4"/>
  <c r="AA4106" i="4"/>
  <c r="AA4110" i="4"/>
  <c r="AA4114" i="4"/>
  <c r="AA4118" i="4"/>
  <c r="AA4122" i="4"/>
  <c r="AA4126" i="4"/>
  <c r="AA4130" i="4"/>
  <c r="AA4134" i="4"/>
  <c r="AA4138" i="4"/>
  <c r="AA4142" i="4"/>
  <c r="AA4146" i="4"/>
  <c r="AA4150" i="4"/>
  <c r="AA4154" i="4"/>
  <c r="AA4158" i="4"/>
  <c r="AA4162" i="4"/>
  <c r="AA4166" i="4"/>
  <c r="AA4170" i="4"/>
  <c r="AA4174" i="4"/>
  <c r="AA4178" i="4"/>
  <c r="AA4182" i="4"/>
  <c r="AA4186" i="4"/>
  <c r="AA4190" i="4"/>
  <c r="AA4194" i="4"/>
  <c r="AA4198" i="4"/>
  <c r="AA4202" i="4"/>
  <c r="AA4206" i="4"/>
  <c r="AA4210" i="4"/>
  <c r="AA4214" i="4"/>
  <c r="AA4218" i="4"/>
  <c r="AA4222" i="4"/>
  <c r="AA4226" i="4"/>
  <c r="AA4230" i="4"/>
  <c r="AA4234" i="4"/>
  <c r="AA4238" i="4"/>
  <c r="AA4242" i="4"/>
  <c r="AA4246" i="4"/>
  <c r="AA4250" i="4"/>
  <c r="AA4254" i="4"/>
  <c r="AA4258" i="4"/>
  <c r="AA4262" i="4"/>
  <c r="AA4266" i="4"/>
  <c r="AA4270" i="4"/>
  <c r="AA4274" i="4"/>
  <c r="AA4278" i="4"/>
  <c r="AA4282" i="4"/>
  <c r="AA4286" i="4"/>
  <c r="AA4290" i="4"/>
  <c r="AA4294" i="4"/>
  <c r="AA4298" i="4"/>
  <c r="AA4302" i="4"/>
  <c r="AA4306" i="4"/>
  <c r="AA4310" i="4"/>
  <c r="AA4314" i="4"/>
  <c r="AA4318" i="4"/>
  <c r="AA4322" i="4"/>
  <c r="AA4326" i="4"/>
  <c r="AA4330" i="4"/>
  <c r="AA4334" i="4"/>
  <c r="AA4338" i="4"/>
  <c r="AA4342" i="4"/>
  <c r="AA4346" i="4"/>
  <c r="AA4350" i="4"/>
  <c r="AA4354" i="4"/>
  <c r="AA4358" i="4"/>
  <c r="AA4362" i="4"/>
  <c r="AA4366" i="4"/>
  <c r="AA4370" i="4"/>
  <c r="AA4374" i="4"/>
  <c r="AA4378" i="4"/>
  <c r="AA4382" i="4"/>
  <c r="AA4386" i="4"/>
  <c r="AA4390" i="4"/>
  <c r="AA4394" i="4"/>
  <c r="AA4398" i="4"/>
  <c r="AA4402" i="4"/>
  <c r="AA4406" i="4"/>
  <c r="AA4410" i="4"/>
  <c r="AA4414" i="4"/>
  <c r="AA4418" i="4"/>
  <c r="AA4422" i="4"/>
  <c r="AA4426" i="4"/>
  <c r="AA4430" i="4"/>
  <c r="AA4434" i="4"/>
  <c r="AA4438" i="4"/>
  <c r="AA4442" i="4"/>
  <c r="AA4446" i="4"/>
  <c r="AA4450" i="4"/>
  <c r="AA4454" i="4"/>
  <c r="AA4458" i="4"/>
  <c r="AA4462" i="4"/>
  <c r="AA4466" i="4"/>
  <c r="AA4470" i="4"/>
  <c r="AA4474" i="4"/>
  <c r="AA4478" i="4"/>
  <c r="AA4482" i="4"/>
  <c r="AA4486" i="4"/>
  <c r="AA4490" i="4"/>
  <c r="AA4494" i="4"/>
  <c r="AA4498" i="4"/>
  <c r="AA4502" i="4"/>
  <c r="AA4506" i="4"/>
  <c r="AA4510" i="4"/>
  <c r="AA4514" i="4"/>
  <c r="AA4518" i="4"/>
  <c r="AA4522" i="4"/>
  <c r="AA4526" i="4"/>
  <c r="AA4530" i="4"/>
  <c r="AA4534" i="4"/>
  <c r="AA4538" i="4"/>
  <c r="AA4542" i="4"/>
  <c r="AA4546" i="4"/>
  <c r="AA4550" i="4"/>
  <c r="AA4554" i="4"/>
  <c r="AA4558" i="4"/>
  <c r="AA4562" i="4"/>
  <c r="AA4566" i="4"/>
  <c r="AA4570" i="4"/>
  <c r="AA4574" i="4"/>
  <c r="AA4578" i="4"/>
  <c r="AA4582" i="4"/>
  <c r="AA4586" i="4"/>
  <c r="AA4590" i="4"/>
  <c r="AA4594" i="4"/>
  <c r="AA4598" i="4"/>
  <c r="AA4602" i="4"/>
  <c r="AA4606" i="4"/>
  <c r="AA4610" i="4"/>
  <c r="AA4614" i="4"/>
  <c r="AA4618" i="4"/>
  <c r="AA4622" i="4"/>
  <c r="AA4626" i="4"/>
  <c r="AA4630" i="4"/>
  <c r="AA4634" i="4"/>
  <c r="AA4638" i="4"/>
  <c r="AA4642" i="4"/>
  <c r="AA4646" i="4"/>
  <c r="AA4650" i="4"/>
  <c r="AA4654" i="4"/>
  <c r="AA4658" i="4"/>
  <c r="AA4662" i="4"/>
  <c r="AA4666" i="4"/>
  <c r="AA4670" i="4"/>
  <c r="AA4674" i="4"/>
  <c r="AA4678" i="4"/>
  <c r="AA4682" i="4"/>
  <c r="AA4686" i="4"/>
  <c r="AA4690" i="4"/>
  <c r="AA4694" i="4"/>
  <c r="AA4698" i="4"/>
  <c r="AA4702" i="4"/>
  <c r="AA4706" i="4"/>
  <c r="AA4710" i="4"/>
  <c r="AA4714" i="4"/>
  <c r="AA4718" i="4"/>
  <c r="AA4722" i="4"/>
  <c r="AA4726" i="4"/>
  <c r="AA4730" i="4"/>
  <c r="AA4734" i="4"/>
  <c r="AA4738" i="4"/>
  <c r="AA4742" i="4"/>
  <c r="AA4746" i="4"/>
  <c r="AA4750" i="4"/>
  <c r="AA4754" i="4"/>
  <c r="AA4758" i="4"/>
  <c r="AA4762" i="4"/>
  <c r="AA4766" i="4"/>
  <c r="AA4770" i="4"/>
  <c r="AA4774" i="4"/>
  <c r="AA4778" i="4"/>
  <c r="AA4782" i="4"/>
  <c r="AA4786" i="4"/>
  <c r="AA4790" i="4"/>
  <c r="AA4794" i="4"/>
  <c r="AA4798" i="4"/>
  <c r="AA4802" i="4"/>
  <c r="AA4806" i="4"/>
  <c r="AA4810" i="4"/>
  <c r="AA4814" i="4"/>
  <c r="AA4818" i="4"/>
  <c r="AA4822" i="4"/>
  <c r="AA4826" i="4"/>
  <c r="AA4830" i="4"/>
  <c r="AA4834" i="4"/>
  <c r="AA4838" i="4"/>
  <c r="AA4842" i="4"/>
  <c r="AA4846" i="4"/>
  <c r="AA4850" i="4"/>
  <c r="AA4854" i="4"/>
  <c r="AA4858" i="4"/>
  <c r="AA4862" i="4"/>
  <c r="AA4866" i="4"/>
  <c r="AA4870" i="4"/>
  <c r="AA4874" i="4"/>
  <c r="AA4878" i="4"/>
  <c r="AA4882" i="4"/>
  <c r="AA4886" i="4"/>
  <c r="AA4890" i="4"/>
  <c r="AA4894" i="4"/>
  <c r="AA4898" i="4"/>
  <c r="AA4902" i="4"/>
  <c r="AA4906" i="4"/>
  <c r="AA4910" i="4"/>
  <c r="AA4914" i="4"/>
  <c r="AA4918" i="4"/>
  <c r="AA4922" i="4"/>
  <c r="AA4926" i="4"/>
  <c r="AA4930" i="4"/>
  <c r="AA4934" i="4"/>
  <c r="AA4938" i="4"/>
  <c r="AA4942" i="4"/>
  <c r="AA4946" i="4"/>
  <c r="AA4950" i="4"/>
  <c r="AA4954" i="4"/>
  <c r="AA4958" i="4"/>
  <c r="AA4962" i="4"/>
  <c r="AA4966" i="4"/>
  <c r="AA4970" i="4"/>
  <c r="AA4974" i="4"/>
  <c r="AA4978" i="4"/>
  <c r="AA4982" i="4"/>
  <c r="AA4986" i="4"/>
  <c r="AA4990" i="4"/>
  <c r="AA4994" i="4"/>
  <c r="AA4998" i="4"/>
  <c r="AA5002" i="4"/>
  <c r="AA5006" i="4"/>
  <c r="R5" i="4"/>
  <c r="R4" i="4"/>
  <c r="D5" i="4"/>
  <c r="D4" i="4"/>
  <c r="S6" i="1" l="1"/>
  <c r="R6" i="1" s="1"/>
  <c r="O6" i="1"/>
  <c r="N6" i="1" s="1"/>
  <c r="G6" i="1"/>
  <c r="G10" i="4" l="1"/>
  <c r="F10" i="4"/>
  <c r="F14" i="4"/>
  <c r="F18" i="4"/>
  <c r="F22" i="4"/>
  <c r="F26" i="4"/>
  <c r="F30" i="4"/>
  <c r="F34" i="4"/>
  <c r="F38" i="4"/>
  <c r="F42" i="4"/>
  <c r="F46" i="4"/>
  <c r="F50" i="4"/>
  <c r="F54" i="4"/>
  <c r="F58" i="4"/>
  <c r="F62" i="4"/>
  <c r="F66" i="4"/>
  <c r="F70" i="4"/>
  <c r="F74" i="4"/>
  <c r="F78" i="4"/>
  <c r="F82" i="4"/>
  <c r="F86" i="4"/>
  <c r="F90" i="4"/>
  <c r="F94" i="4"/>
  <c r="F98" i="4"/>
  <c r="F102" i="4"/>
  <c r="F106" i="4"/>
  <c r="F110" i="4"/>
  <c r="F114" i="4"/>
  <c r="F118" i="4"/>
  <c r="F122" i="4"/>
  <c r="F126" i="4"/>
  <c r="F130" i="4"/>
  <c r="F134" i="4"/>
  <c r="F138" i="4"/>
  <c r="F142" i="4"/>
  <c r="F146" i="4"/>
  <c r="F150" i="4"/>
  <c r="F154" i="4"/>
  <c r="F158" i="4"/>
  <c r="F162" i="4"/>
  <c r="F166" i="4"/>
  <c r="F170" i="4"/>
  <c r="F174" i="4"/>
  <c r="F178" i="4"/>
  <c r="F182" i="4"/>
  <c r="F186" i="4"/>
  <c r="F190" i="4"/>
  <c r="F194" i="4"/>
  <c r="F198" i="4"/>
  <c r="F202" i="4"/>
  <c r="F206" i="4"/>
  <c r="F210" i="4"/>
  <c r="F214" i="4"/>
  <c r="F218" i="4"/>
  <c r="F222" i="4"/>
  <c r="F226" i="4"/>
  <c r="F230" i="4"/>
  <c r="F234" i="4"/>
  <c r="F238" i="4"/>
  <c r="F242" i="4"/>
  <c r="F246" i="4"/>
  <c r="F250" i="4"/>
  <c r="F254" i="4"/>
  <c r="F258" i="4"/>
  <c r="F262" i="4"/>
  <c r="F266" i="4"/>
  <c r="F270" i="4"/>
  <c r="F274" i="4"/>
  <c r="F278" i="4"/>
  <c r="F282" i="4"/>
  <c r="F286" i="4"/>
  <c r="F290" i="4"/>
  <c r="F294" i="4"/>
  <c r="F298" i="4"/>
  <c r="F302" i="4"/>
  <c r="F306" i="4"/>
  <c r="F310" i="4"/>
  <c r="F314" i="4"/>
  <c r="F318" i="4"/>
  <c r="F322" i="4"/>
  <c r="F326" i="4"/>
  <c r="F330" i="4"/>
  <c r="F334" i="4"/>
  <c r="F338" i="4"/>
  <c r="F342" i="4"/>
  <c r="F346" i="4"/>
  <c r="F350" i="4"/>
  <c r="F354" i="4"/>
  <c r="F358" i="4"/>
  <c r="F362" i="4"/>
  <c r="F366" i="4"/>
  <c r="F370" i="4"/>
  <c r="F374" i="4"/>
  <c r="F378" i="4"/>
  <c r="F382" i="4"/>
  <c r="F386" i="4"/>
  <c r="F390" i="4"/>
  <c r="F394" i="4"/>
  <c r="F398" i="4"/>
  <c r="F402" i="4"/>
  <c r="F406" i="4"/>
  <c r="F410" i="4"/>
  <c r="F414" i="4"/>
  <c r="F418" i="4"/>
  <c r="F422" i="4"/>
  <c r="F426" i="4"/>
  <c r="F430" i="4"/>
  <c r="F434" i="4"/>
  <c r="F438" i="4"/>
  <c r="F442" i="4"/>
  <c r="F446" i="4"/>
  <c r="F450" i="4"/>
  <c r="F454" i="4"/>
  <c r="F458" i="4"/>
  <c r="F462" i="4"/>
  <c r="F466" i="4"/>
  <c r="F470" i="4"/>
  <c r="F474" i="4"/>
  <c r="F478" i="4"/>
  <c r="F482" i="4"/>
  <c r="F486" i="4"/>
  <c r="F490" i="4"/>
  <c r="F494" i="4"/>
  <c r="F498" i="4"/>
  <c r="F502" i="4"/>
  <c r="F506" i="4"/>
  <c r="F510" i="4"/>
  <c r="F514" i="4"/>
  <c r="F518" i="4"/>
  <c r="F522" i="4"/>
  <c r="F526" i="4"/>
  <c r="F530" i="4"/>
  <c r="F534" i="4"/>
  <c r="F538" i="4"/>
  <c r="F542" i="4"/>
  <c r="F546" i="4"/>
  <c r="F550" i="4"/>
  <c r="F554" i="4"/>
  <c r="F558" i="4"/>
  <c r="F562" i="4"/>
  <c r="F566" i="4"/>
  <c r="F570" i="4"/>
  <c r="F574" i="4"/>
  <c r="F578" i="4"/>
  <c r="F582" i="4"/>
  <c r="F586" i="4"/>
  <c r="F590" i="4"/>
  <c r="F594" i="4"/>
  <c r="F598" i="4"/>
  <c r="F602" i="4"/>
  <c r="F606" i="4"/>
  <c r="F610" i="4"/>
  <c r="F614" i="4"/>
  <c r="F618" i="4"/>
  <c r="F622" i="4"/>
  <c r="F626" i="4"/>
  <c r="F630" i="4"/>
  <c r="F634" i="4"/>
  <c r="F638" i="4"/>
  <c r="F642" i="4"/>
  <c r="F646" i="4"/>
  <c r="F650" i="4"/>
  <c r="F654" i="4"/>
  <c r="F658" i="4"/>
  <c r="F662" i="4"/>
  <c r="F666" i="4"/>
  <c r="F670" i="4"/>
  <c r="F674" i="4"/>
  <c r="F678" i="4"/>
  <c r="F682" i="4"/>
  <c r="F686" i="4"/>
  <c r="F690" i="4"/>
  <c r="F694" i="4"/>
  <c r="F698" i="4"/>
  <c r="F702" i="4"/>
  <c r="F706" i="4"/>
  <c r="F710" i="4"/>
  <c r="F714" i="4"/>
  <c r="F718" i="4"/>
  <c r="F722" i="4"/>
  <c r="F726" i="4"/>
  <c r="F730" i="4"/>
  <c r="F734" i="4"/>
  <c r="F738" i="4"/>
  <c r="F742" i="4"/>
  <c r="F746" i="4"/>
  <c r="F750" i="4"/>
  <c r="F754" i="4"/>
  <c r="F758" i="4"/>
  <c r="F762" i="4"/>
  <c r="F766" i="4"/>
  <c r="F770" i="4"/>
  <c r="F774" i="4"/>
  <c r="F778" i="4"/>
  <c r="F782" i="4"/>
  <c r="F786" i="4"/>
  <c r="F790" i="4"/>
  <c r="F794" i="4"/>
  <c r="F798" i="4"/>
  <c r="F802" i="4"/>
  <c r="F806" i="4"/>
  <c r="F810" i="4"/>
  <c r="F814" i="4"/>
  <c r="F818" i="4"/>
  <c r="F822" i="4"/>
  <c r="F826" i="4"/>
  <c r="F830" i="4"/>
  <c r="F834" i="4"/>
  <c r="F838" i="4"/>
  <c r="F842" i="4"/>
  <c r="F846" i="4"/>
  <c r="F850" i="4"/>
  <c r="F854" i="4"/>
  <c r="F858" i="4"/>
  <c r="F862" i="4"/>
  <c r="F866" i="4"/>
  <c r="F870" i="4"/>
  <c r="F874" i="4"/>
  <c r="F878" i="4"/>
  <c r="F882" i="4"/>
  <c r="F886" i="4"/>
  <c r="F890" i="4"/>
  <c r="F894" i="4"/>
  <c r="F898" i="4"/>
  <c r="F902" i="4"/>
  <c r="F906" i="4"/>
  <c r="F910" i="4"/>
  <c r="F914" i="4"/>
  <c r="F918" i="4"/>
  <c r="F922" i="4"/>
  <c r="F926" i="4"/>
  <c r="F930" i="4"/>
  <c r="F934" i="4"/>
  <c r="F938" i="4"/>
  <c r="F942" i="4"/>
  <c r="F946" i="4"/>
  <c r="F950" i="4"/>
  <c r="F954" i="4"/>
  <c r="F958" i="4"/>
  <c r="F962" i="4"/>
  <c r="F966" i="4"/>
  <c r="F970" i="4"/>
  <c r="F974" i="4"/>
  <c r="F978" i="4"/>
  <c r="F982" i="4"/>
  <c r="F986" i="4"/>
  <c r="F990" i="4"/>
  <c r="F994" i="4"/>
  <c r="F998" i="4"/>
  <c r="F1002" i="4"/>
  <c r="F1006" i="4"/>
  <c r="F1010" i="4"/>
  <c r="F1014" i="4"/>
  <c r="F1018" i="4"/>
  <c r="F1022" i="4"/>
  <c r="F1026" i="4"/>
  <c r="F1030" i="4"/>
  <c r="F1034" i="4"/>
  <c r="F1038" i="4"/>
  <c r="F1042" i="4"/>
  <c r="F1046" i="4"/>
  <c r="F1050" i="4"/>
  <c r="F1054" i="4"/>
  <c r="F1058" i="4"/>
  <c r="F1062" i="4"/>
  <c r="F1066" i="4"/>
  <c r="F1070" i="4"/>
  <c r="F1074" i="4"/>
  <c r="F1078" i="4"/>
  <c r="F1082" i="4"/>
  <c r="F1086" i="4"/>
  <c r="F1090" i="4"/>
  <c r="F1094" i="4"/>
  <c r="F1098" i="4"/>
  <c r="F1102" i="4"/>
  <c r="F1106" i="4"/>
  <c r="F1110" i="4"/>
  <c r="F1114" i="4"/>
  <c r="F1118" i="4"/>
  <c r="F1122" i="4"/>
  <c r="F1126" i="4"/>
  <c r="F1130" i="4"/>
  <c r="F1134" i="4"/>
  <c r="F1138" i="4"/>
  <c r="F1142" i="4"/>
  <c r="F1146" i="4"/>
  <c r="F1150" i="4"/>
  <c r="F1154" i="4"/>
  <c r="F1158" i="4"/>
  <c r="F1162" i="4"/>
  <c r="F1166" i="4"/>
  <c r="F1170" i="4"/>
  <c r="F1174" i="4"/>
  <c r="F1178" i="4"/>
  <c r="F1182" i="4"/>
  <c r="F1186" i="4"/>
  <c r="F1190" i="4"/>
  <c r="F1194" i="4"/>
  <c r="F1198" i="4"/>
  <c r="F1202" i="4"/>
  <c r="F1206" i="4"/>
  <c r="F1210" i="4"/>
  <c r="F1214" i="4"/>
  <c r="F1218" i="4"/>
  <c r="F1222" i="4"/>
  <c r="F1226" i="4"/>
  <c r="F1230" i="4"/>
  <c r="F1234" i="4"/>
  <c r="F1238" i="4"/>
  <c r="F1242" i="4"/>
  <c r="F1246" i="4"/>
  <c r="F1250" i="4"/>
  <c r="F1254" i="4"/>
  <c r="F1258" i="4"/>
  <c r="F1262" i="4"/>
  <c r="F1266" i="4"/>
  <c r="F1270" i="4"/>
  <c r="F1274" i="4"/>
  <c r="F1278" i="4"/>
  <c r="F1282" i="4"/>
  <c r="F1286" i="4"/>
  <c r="F1290" i="4"/>
  <c r="F1294" i="4"/>
  <c r="F1298" i="4"/>
  <c r="F1302" i="4"/>
  <c r="F1306" i="4"/>
  <c r="F1310" i="4"/>
  <c r="F1314" i="4"/>
  <c r="F1318" i="4"/>
  <c r="F1322" i="4"/>
  <c r="F1326" i="4"/>
  <c r="F1330" i="4"/>
  <c r="F1334" i="4"/>
  <c r="F1338" i="4"/>
  <c r="F1342" i="4"/>
  <c r="F1346" i="4"/>
  <c r="F1350" i="4"/>
  <c r="F1354" i="4"/>
  <c r="F1358" i="4"/>
  <c r="F1362" i="4"/>
  <c r="F1366" i="4"/>
  <c r="F1370" i="4"/>
  <c r="F1374" i="4"/>
  <c r="F1378" i="4"/>
  <c r="F1382" i="4"/>
  <c r="F1386" i="4"/>
  <c r="F1390" i="4"/>
  <c r="F1394" i="4"/>
  <c r="F1398" i="4"/>
  <c r="F1402" i="4"/>
  <c r="F1406" i="4"/>
  <c r="F1410" i="4"/>
  <c r="F1414" i="4"/>
  <c r="F1418" i="4"/>
  <c r="F1422" i="4"/>
  <c r="F1426" i="4"/>
  <c r="F1430" i="4"/>
  <c r="F1434" i="4"/>
  <c r="F1438" i="4"/>
  <c r="F1442" i="4"/>
  <c r="F1446" i="4"/>
  <c r="F1450" i="4"/>
  <c r="F1454" i="4"/>
  <c r="F1458" i="4"/>
  <c r="F1462" i="4"/>
  <c r="F1466" i="4"/>
  <c r="F1470" i="4"/>
  <c r="F1474" i="4"/>
  <c r="F1478" i="4"/>
  <c r="F1482" i="4"/>
  <c r="F1486" i="4"/>
  <c r="F1490" i="4"/>
  <c r="F1494" i="4"/>
  <c r="F1498" i="4"/>
  <c r="F1502" i="4"/>
  <c r="F1506" i="4"/>
  <c r="F1510" i="4"/>
  <c r="F1514" i="4"/>
  <c r="F1518" i="4"/>
  <c r="F1522" i="4"/>
  <c r="F1526" i="4"/>
  <c r="F1530" i="4"/>
  <c r="F1534" i="4"/>
  <c r="F1538" i="4"/>
  <c r="F1542" i="4"/>
  <c r="F1546" i="4"/>
  <c r="F1550" i="4"/>
  <c r="F1554" i="4"/>
  <c r="F1558" i="4"/>
  <c r="F1562" i="4"/>
  <c r="F1566" i="4"/>
  <c r="F1570" i="4"/>
  <c r="F1574" i="4"/>
  <c r="F1578" i="4"/>
  <c r="F1582" i="4"/>
  <c r="F1586" i="4"/>
  <c r="F1590" i="4"/>
  <c r="F1594" i="4"/>
  <c r="F1598" i="4"/>
  <c r="F1602" i="4"/>
  <c r="F1606" i="4"/>
  <c r="F1610" i="4"/>
  <c r="F1614" i="4"/>
  <c r="F1618" i="4"/>
  <c r="F1622" i="4"/>
  <c r="F1626" i="4"/>
  <c r="F1630" i="4"/>
  <c r="F1634" i="4"/>
  <c r="F1638" i="4"/>
  <c r="F1642" i="4"/>
  <c r="F1646" i="4"/>
  <c r="F1650" i="4"/>
  <c r="F1654" i="4"/>
  <c r="F1658" i="4"/>
  <c r="F1662" i="4"/>
  <c r="F1666" i="4"/>
  <c r="F1670" i="4"/>
  <c r="F1674" i="4"/>
  <c r="F1678" i="4"/>
  <c r="F1682" i="4"/>
  <c r="F1686" i="4"/>
  <c r="F1690" i="4"/>
  <c r="F1694" i="4"/>
  <c r="F1698" i="4"/>
  <c r="F1702" i="4"/>
  <c r="F1706" i="4"/>
  <c r="F1710" i="4"/>
  <c r="F1714" i="4"/>
  <c r="F1718" i="4"/>
  <c r="F1722" i="4"/>
  <c r="F1726" i="4"/>
  <c r="F1730" i="4"/>
  <c r="F1734" i="4"/>
  <c r="F1738" i="4"/>
  <c r="F1742" i="4"/>
  <c r="F1746" i="4"/>
  <c r="F1750" i="4"/>
  <c r="F1754" i="4"/>
  <c r="F1758" i="4"/>
  <c r="F1762" i="4"/>
  <c r="F1766" i="4"/>
  <c r="F1770" i="4"/>
  <c r="F1774" i="4"/>
  <c r="F1778" i="4"/>
  <c r="F1782" i="4"/>
  <c r="F1786" i="4"/>
  <c r="F1790" i="4"/>
  <c r="F1794" i="4"/>
  <c r="F1798" i="4"/>
  <c r="F1802" i="4"/>
  <c r="F1806" i="4"/>
  <c r="F1810" i="4"/>
  <c r="F1814" i="4"/>
  <c r="F1818" i="4"/>
  <c r="F1822" i="4"/>
  <c r="F1826" i="4"/>
  <c r="F1830" i="4"/>
  <c r="F1834" i="4"/>
  <c r="F1838" i="4"/>
  <c r="F1842" i="4"/>
  <c r="F1846" i="4"/>
  <c r="F1850" i="4"/>
  <c r="F1854" i="4"/>
  <c r="F1858" i="4"/>
  <c r="F1862" i="4"/>
  <c r="F1866" i="4"/>
  <c r="F1870" i="4"/>
  <c r="F1874" i="4"/>
  <c r="F1878" i="4"/>
  <c r="F1882" i="4"/>
  <c r="F1886" i="4"/>
  <c r="F1890" i="4"/>
  <c r="F1894" i="4"/>
  <c r="F1898" i="4"/>
  <c r="F1902" i="4"/>
  <c r="F1906" i="4"/>
  <c r="F1910" i="4"/>
  <c r="F1914" i="4"/>
  <c r="F1918" i="4"/>
  <c r="F1922" i="4"/>
  <c r="F1926" i="4"/>
  <c r="F1930" i="4"/>
  <c r="F1934" i="4"/>
  <c r="F1938" i="4"/>
  <c r="F1942" i="4"/>
  <c r="F1946" i="4"/>
  <c r="F1950" i="4"/>
  <c r="F1954" i="4"/>
  <c r="F1958" i="4"/>
  <c r="F1962" i="4"/>
  <c r="F1966" i="4"/>
  <c r="F1970" i="4"/>
  <c r="F1974" i="4"/>
  <c r="F1978" i="4"/>
  <c r="F1982" i="4"/>
  <c r="F1986" i="4"/>
  <c r="F1990" i="4"/>
  <c r="F1994" i="4"/>
  <c r="F1998" i="4"/>
  <c r="F2002" i="4"/>
  <c r="F2006" i="4"/>
  <c r="F2010" i="4"/>
  <c r="F2014" i="4"/>
  <c r="F2018" i="4"/>
  <c r="F2022" i="4"/>
  <c r="F2026" i="4"/>
  <c r="F2030" i="4"/>
  <c r="F2034" i="4"/>
  <c r="F2038" i="4"/>
  <c r="F2042" i="4"/>
  <c r="F2046" i="4"/>
  <c r="F2050" i="4"/>
  <c r="F2054" i="4"/>
  <c r="F2058" i="4"/>
  <c r="F2062" i="4"/>
  <c r="F2066" i="4"/>
  <c r="F2070" i="4"/>
  <c r="F2074" i="4"/>
  <c r="F2078" i="4"/>
  <c r="F2082" i="4"/>
  <c r="F2086" i="4"/>
  <c r="F2090" i="4"/>
  <c r="F2094" i="4"/>
  <c r="F2098" i="4"/>
  <c r="F2102" i="4"/>
  <c r="F2106" i="4"/>
  <c r="F2110" i="4"/>
  <c r="F2114" i="4"/>
  <c r="F2118" i="4"/>
  <c r="F2122" i="4"/>
  <c r="F2126" i="4"/>
  <c r="F2130" i="4"/>
  <c r="F2134" i="4"/>
  <c r="F2138" i="4"/>
  <c r="F2142" i="4"/>
  <c r="F2146" i="4"/>
  <c r="F2150" i="4"/>
  <c r="F2154" i="4"/>
  <c r="F2158" i="4"/>
  <c r="F2162" i="4"/>
  <c r="F2166" i="4"/>
  <c r="F2170" i="4"/>
  <c r="F2174" i="4"/>
  <c r="F2178" i="4"/>
  <c r="F2182" i="4"/>
  <c r="F2186" i="4"/>
  <c r="F2190" i="4"/>
  <c r="F2194" i="4"/>
  <c r="F2198" i="4"/>
  <c r="F2202" i="4"/>
  <c r="F2206" i="4"/>
  <c r="F2210" i="4"/>
  <c r="F2214" i="4"/>
  <c r="F2218" i="4"/>
  <c r="F2222" i="4"/>
  <c r="F2226" i="4"/>
  <c r="F2230" i="4"/>
  <c r="F2234" i="4"/>
  <c r="F2238" i="4"/>
  <c r="F2242" i="4"/>
  <c r="F2246" i="4"/>
  <c r="F2250" i="4"/>
  <c r="F2254" i="4"/>
  <c r="F2258" i="4"/>
  <c r="F2262" i="4"/>
  <c r="F2266" i="4"/>
  <c r="F2270" i="4"/>
  <c r="F2274" i="4"/>
  <c r="F2278" i="4"/>
  <c r="F2282" i="4"/>
  <c r="F2286" i="4"/>
  <c r="F2290" i="4"/>
  <c r="F2294" i="4"/>
  <c r="F2298" i="4"/>
  <c r="F2302" i="4"/>
  <c r="F2306" i="4"/>
  <c r="F2310" i="4"/>
  <c r="F2314" i="4"/>
  <c r="F2318" i="4"/>
  <c r="F2322" i="4"/>
  <c r="F2326" i="4"/>
  <c r="F2330" i="4"/>
  <c r="F2334" i="4"/>
  <c r="F2338" i="4"/>
  <c r="F2342" i="4"/>
  <c r="F2346" i="4"/>
  <c r="F2350" i="4"/>
  <c r="F2354" i="4"/>
  <c r="F2358" i="4"/>
  <c r="F2362" i="4"/>
  <c r="F2366" i="4"/>
  <c r="F2370" i="4"/>
  <c r="F2374" i="4"/>
  <c r="F2378" i="4"/>
  <c r="F2382" i="4"/>
  <c r="F2386" i="4"/>
  <c r="F2390" i="4"/>
  <c r="F2394" i="4"/>
  <c r="F2398" i="4"/>
  <c r="F2402" i="4"/>
  <c r="F2406" i="4"/>
  <c r="F2410" i="4"/>
  <c r="F2414" i="4"/>
  <c r="F2418" i="4"/>
  <c r="F2422" i="4"/>
  <c r="F2426" i="4"/>
  <c r="F2430" i="4"/>
  <c r="F2434" i="4"/>
  <c r="F2438" i="4"/>
  <c r="F2442" i="4"/>
  <c r="F2446" i="4"/>
  <c r="F2450" i="4"/>
  <c r="F2454" i="4"/>
  <c r="F2458" i="4"/>
  <c r="F2462" i="4"/>
  <c r="F2466" i="4"/>
  <c r="F2470" i="4"/>
  <c r="F2474" i="4"/>
  <c r="F2478" i="4"/>
  <c r="F2482" i="4"/>
  <c r="F2486" i="4"/>
  <c r="F2490" i="4"/>
  <c r="F2494" i="4"/>
  <c r="F2498" i="4"/>
  <c r="F2502" i="4"/>
  <c r="F2506" i="4"/>
  <c r="F2510" i="4"/>
  <c r="F2514" i="4"/>
  <c r="F2518" i="4"/>
  <c r="F2522" i="4"/>
  <c r="F2526" i="4"/>
  <c r="F2530" i="4"/>
  <c r="F2534" i="4"/>
  <c r="F2538" i="4"/>
  <c r="F2542" i="4"/>
  <c r="F2546" i="4"/>
  <c r="F2550" i="4"/>
  <c r="F2554" i="4"/>
  <c r="F2558" i="4"/>
  <c r="F2562" i="4"/>
  <c r="F2566" i="4"/>
  <c r="F2570" i="4"/>
  <c r="F2574" i="4"/>
  <c r="F2578" i="4"/>
  <c r="F2582" i="4"/>
  <c r="F2586" i="4"/>
  <c r="F2590" i="4"/>
  <c r="F2594" i="4"/>
  <c r="F2598" i="4"/>
  <c r="F2602" i="4"/>
  <c r="F2606" i="4"/>
  <c r="F2610" i="4"/>
  <c r="F2614" i="4"/>
  <c r="F2618" i="4"/>
  <c r="F2622" i="4"/>
  <c r="F2626" i="4"/>
  <c r="F2630" i="4"/>
  <c r="F2634" i="4"/>
  <c r="F2638" i="4"/>
  <c r="F2642" i="4"/>
  <c r="F2646" i="4"/>
  <c r="F2650" i="4"/>
  <c r="F2654" i="4"/>
  <c r="F2658" i="4"/>
  <c r="F2662" i="4"/>
  <c r="F2666" i="4"/>
  <c r="F2670" i="4"/>
  <c r="F2674" i="4"/>
  <c r="F2678" i="4"/>
  <c r="F2682" i="4"/>
  <c r="F2686" i="4"/>
  <c r="F2690" i="4"/>
  <c r="F2694" i="4"/>
  <c r="F2698" i="4"/>
  <c r="F2702" i="4"/>
  <c r="F2706" i="4"/>
  <c r="F2710" i="4"/>
  <c r="F2714" i="4"/>
  <c r="F2718" i="4"/>
  <c r="F2722" i="4"/>
  <c r="F2726" i="4"/>
  <c r="F2730" i="4"/>
  <c r="F2734" i="4"/>
  <c r="F2738" i="4"/>
  <c r="F2742" i="4"/>
  <c r="F11" i="4"/>
  <c r="F15" i="4"/>
  <c r="F19" i="4"/>
  <c r="F23" i="4"/>
  <c r="F27" i="4"/>
  <c r="F31" i="4"/>
  <c r="F35" i="4"/>
  <c r="F39" i="4"/>
  <c r="F43" i="4"/>
  <c r="F47" i="4"/>
  <c r="F51" i="4"/>
  <c r="F55" i="4"/>
  <c r="F59" i="4"/>
  <c r="F63" i="4"/>
  <c r="F67" i="4"/>
  <c r="F71" i="4"/>
  <c r="F75" i="4"/>
  <c r="F79" i="4"/>
  <c r="F83" i="4"/>
  <c r="F87" i="4"/>
  <c r="F91" i="4"/>
  <c r="F95" i="4"/>
  <c r="F99" i="4"/>
  <c r="F103" i="4"/>
  <c r="F107" i="4"/>
  <c r="F111" i="4"/>
  <c r="F115" i="4"/>
  <c r="F119" i="4"/>
  <c r="F123" i="4"/>
  <c r="F127" i="4"/>
  <c r="F131" i="4"/>
  <c r="F135" i="4"/>
  <c r="F139" i="4"/>
  <c r="F143" i="4"/>
  <c r="F147" i="4"/>
  <c r="F151" i="4"/>
  <c r="F155" i="4"/>
  <c r="F159" i="4"/>
  <c r="F163" i="4"/>
  <c r="F167" i="4"/>
  <c r="F171" i="4"/>
  <c r="F175" i="4"/>
  <c r="F179" i="4"/>
  <c r="F183" i="4"/>
  <c r="F187" i="4"/>
  <c r="F191" i="4"/>
  <c r="F195" i="4"/>
  <c r="F199" i="4"/>
  <c r="F203" i="4"/>
  <c r="F207" i="4"/>
  <c r="F211" i="4"/>
  <c r="F215" i="4"/>
  <c r="F219" i="4"/>
  <c r="F223" i="4"/>
  <c r="F227" i="4"/>
  <c r="F231" i="4"/>
  <c r="F235" i="4"/>
  <c r="F239" i="4"/>
  <c r="F243" i="4"/>
  <c r="F247" i="4"/>
  <c r="F251" i="4"/>
  <c r="F255" i="4"/>
  <c r="F259" i="4"/>
  <c r="F263" i="4"/>
  <c r="F267" i="4"/>
  <c r="F271" i="4"/>
  <c r="F275" i="4"/>
  <c r="F279" i="4"/>
  <c r="F283" i="4"/>
  <c r="F287" i="4"/>
  <c r="F291" i="4"/>
  <c r="F295" i="4"/>
  <c r="F299" i="4"/>
  <c r="F303" i="4"/>
  <c r="F307" i="4"/>
  <c r="F311" i="4"/>
  <c r="F315" i="4"/>
  <c r="F319" i="4"/>
  <c r="F323" i="4"/>
  <c r="F327" i="4"/>
  <c r="F331" i="4"/>
  <c r="F335" i="4"/>
  <c r="F339" i="4"/>
  <c r="F343" i="4"/>
  <c r="F347" i="4"/>
  <c r="F351" i="4"/>
  <c r="F355" i="4"/>
  <c r="F359" i="4"/>
  <c r="F363" i="4"/>
  <c r="F367" i="4"/>
  <c r="F371" i="4"/>
  <c r="F375" i="4"/>
  <c r="F379" i="4"/>
  <c r="F383" i="4"/>
  <c r="F387" i="4"/>
  <c r="F391" i="4"/>
  <c r="F395" i="4"/>
  <c r="F399" i="4"/>
  <c r="F403" i="4"/>
  <c r="F407" i="4"/>
  <c r="F411" i="4"/>
  <c r="F415" i="4"/>
  <c r="F419" i="4"/>
  <c r="F423" i="4"/>
  <c r="F427" i="4"/>
  <c r="F431" i="4"/>
  <c r="F435" i="4"/>
  <c r="F439" i="4"/>
  <c r="F443" i="4"/>
  <c r="F447" i="4"/>
  <c r="F451" i="4"/>
  <c r="F455" i="4"/>
  <c r="F459" i="4"/>
  <c r="F463" i="4"/>
  <c r="F467" i="4"/>
  <c r="F471" i="4"/>
  <c r="F475" i="4"/>
  <c r="F479" i="4"/>
  <c r="F483" i="4"/>
  <c r="F487" i="4"/>
  <c r="F491" i="4"/>
  <c r="F495" i="4"/>
  <c r="F499" i="4"/>
  <c r="F503" i="4"/>
  <c r="F507" i="4"/>
  <c r="F511" i="4"/>
  <c r="F515" i="4"/>
  <c r="F519" i="4"/>
  <c r="F523" i="4"/>
  <c r="F527" i="4"/>
  <c r="F531" i="4"/>
  <c r="F535" i="4"/>
  <c r="F539" i="4"/>
  <c r="F543" i="4"/>
  <c r="F547" i="4"/>
  <c r="F551" i="4"/>
  <c r="F555" i="4"/>
  <c r="F559" i="4"/>
  <c r="F563" i="4"/>
  <c r="F567" i="4"/>
  <c r="F571" i="4"/>
  <c r="F575" i="4"/>
  <c r="F579" i="4"/>
  <c r="F583" i="4"/>
  <c r="F587" i="4"/>
  <c r="F591" i="4"/>
  <c r="F595" i="4"/>
  <c r="F599" i="4"/>
  <c r="F603" i="4"/>
  <c r="F607" i="4"/>
  <c r="F611" i="4"/>
  <c r="F615" i="4"/>
  <c r="F619" i="4"/>
  <c r="F623" i="4"/>
  <c r="F627" i="4"/>
  <c r="F631" i="4"/>
  <c r="F635" i="4"/>
  <c r="F639" i="4"/>
  <c r="F643" i="4"/>
  <c r="F647" i="4"/>
  <c r="F651" i="4"/>
  <c r="F655" i="4"/>
  <c r="F659" i="4"/>
  <c r="F663" i="4"/>
  <c r="F667" i="4"/>
  <c r="F671" i="4"/>
  <c r="F675" i="4"/>
  <c r="F679" i="4"/>
  <c r="F683" i="4"/>
  <c r="F687" i="4"/>
  <c r="F691" i="4"/>
  <c r="F695" i="4"/>
  <c r="F699" i="4"/>
  <c r="F703" i="4"/>
  <c r="F707" i="4"/>
  <c r="F711" i="4"/>
  <c r="F715" i="4"/>
  <c r="F719" i="4"/>
  <c r="F723" i="4"/>
  <c r="F727" i="4"/>
  <c r="F731" i="4"/>
  <c r="F735" i="4"/>
  <c r="F739" i="4"/>
  <c r="F743" i="4"/>
  <c r="F747" i="4"/>
  <c r="F751" i="4"/>
  <c r="F755" i="4"/>
  <c r="F759" i="4"/>
  <c r="F763" i="4"/>
  <c r="F767" i="4"/>
  <c r="F771" i="4"/>
  <c r="F775" i="4"/>
  <c r="F779" i="4"/>
  <c r="F783" i="4"/>
  <c r="F787" i="4"/>
  <c r="F791" i="4"/>
  <c r="F795" i="4"/>
  <c r="F799" i="4"/>
  <c r="F803" i="4"/>
  <c r="F807" i="4"/>
  <c r="F811" i="4"/>
  <c r="F815" i="4"/>
  <c r="F819" i="4"/>
  <c r="F823" i="4"/>
  <c r="F827" i="4"/>
  <c r="F831" i="4"/>
  <c r="F835" i="4"/>
  <c r="F839" i="4"/>
  <c r="F843" i="4"/>
  <c r="F847" i="4"/>
  <c r="F851" i="4"/>
  <c r="F855" i="4"/>
  <c r="F859" i="4"/>
  <c r="F863" i="4"/>
  <c r="F867" i="4"/>
  <c r="F871" i="4"/>
  <c r="F875" i="4"/>
  <c r="F879" i="4"/>
  <c r="F883" i="4"/>
  <c r="F887" i="4"/>
  <c r="F891" i="4"/>
  <c r="F895" i="4"/>
  <c r="F899" i="4"/>
  <c r="F903" i="4"/>
  <c r="F907" i="4"/>
  <c r="F911" i="4"/>
  <c r="F915" i="4"/>
  <c r="F919" i="4"/>
  <c r="F923" i="4"/>
  <c r="F927" i="4"/>
  <c r="F931" i="4"/>
  <c r="F935" i="4"/>
  <c r="F939" i="4"/>
  <c r="F943" i="4"/>
  <c r="F947" i="4"/>
  <c r="F951" i="4"/>
  <c r="F955" i="4"/>
  <c r="F959" i="4"/>
  <c r="F963" i="4"/>
  <c r="F967" i="4"/>
  <c r="F971" i="4"/>
  <c r="F975" i="4"/>
  <c r="F979" i="4"/>
  <c r="F983" i="4"/>
  <c r="F987" i="4"/>
  <c r="F991" i="4"/>
  <c r="F995" i="4"/>
  <c r="F999" i="4"/>
  <c r="F1003" i="4"/>
  <c r="F1007" i="4"/>
  <c r="F1011" i="4"/>
  <c r="F1015" i="4"/>
  <c r="F1019" i="4"/>
  <c r="F1023" i="4"/>
  <c r="F1027" i="4"/>
  <c r="F1031" i="4"/>
  <c r="F1035" i="4"/>
  <c r="F1039" i="4"/>
  <c r="F1043" i="4"/>
  <c r="F1047" i="4"/>
  <c r="F1051" i="4"/>
  <c r="F1055" i="4"/>
  <c r="F1059" i="4"/>
  <c r="F1063" i="4"/>
  <c r="F1067" i="4"/>
  <c r="F1071" i="4"/>
  <c r="F1075" i="4"/>
  <c r="F1079" i="4"/>
  <c r="F1083" i="4"/>
  <c r="F1087" i="4"/>
  <c r="F1091" i="4"/>
  <c r="F1095" i="4"/>
  <c r="F1099" i="4"/>
  <c r="F1103" i="4"/>
  <c r="F1107" i="4"/>
  <c r="F1111" i="4"/>
  <c r="F1115" i="4"/>
  <c r="F1119" i="4"/>
  <c r="F1123" i="4"/>
  <c r="F1127" i="4"/>
  <c r="F1131" i="4"/>
  <c r="F1135" i="4"/>
  <c r="F1139" i="4"/>
  <c r="F1143" i="4"/>
  <c r="F1147" i="4"/>
  <c r="F1151" i="4"/>
  <c r="F1155" i="4"/>
  <c r="F1159" i="4"/>
  <c r="F1163" i="4"/>
  <c r="F1167" i="4"/>
  <c r="F1171" i="4"/>
  <c r="F1175" i="4"/>
  <c r="F1179" i="4"/>
  <c r="F1183" i="4"/>
  <c r="F1187" i="4"/>
  <c r="F1191" i="4"/>
  <c r="F1195" i="4"/>
  <c r="F1199" i="4"/>
  <c r="F1203" i="4"/>
  <c r="F1207" i="4"/>
  <c r="F1211" i="4"/>
  <c r="F1215" i="4"/>
  <c r="F1219" i="4"/>
  <c r="F1223" i="4"/>
  <c r="F1227" i="4"/>
  <c r="F1231" i="4"/>
  <c r="F1235" i="4"/>
  <c r="F1239" i="4"/>
  <c r="F1243" i="4"/>
  <c r="F1247" i="4"/>
  <c r="F1251" i="4"/>
  <c r="F1255" i="4"/>
  <c r="F1259" i="4"/>
  <c r="F1263" i="4"/>
  <c r="F1267" i="4"/>
  <c r="F1271" i="4"/>
  <c r="F1275" i="4"/>
  <c r="F1279" i="4"/>
  <c r="F1283" i="4"/>
  <c r="F1287" i="4"/>
  <c r="F1291" i="4"/>
  <c r="F1295" i="4"/>
  <c r="F1299" i="4"/>
  <c r="F1303" i="4"/>
  <c r="F1307" i="4"/>
  <c r="F1311" i="4"/>
  <c r="F1315" i="4"/>
  <c r="F1319" i="4"/>
  <c r="F1323" i="4"/>
  <c r="F1327" i="4"/>
  <c r="F1331" i="4"/>
  <c r="F1335" i="4"/>
  <c r="F1339" i="4"/>
  <c r="F1343" i="4"/>
  <c r="F1347" i="4"/>
  <c r="F1351" i="4"/>
  <c r="F1355" i="4"/>
  <c r="F1359" i="4"/>
  <c r="F1363" i="4"/>
  <c r="F1367" i="4"/>
  <c r="F1371" i="4"/>
  <c r="F1375" i="4"/>
  <c r="F1379" i="4"/>
  <c r="F1383" i="4"/>
  <c r="F1387" i="4"/>
  <c r="F1391" i="4"/>
  <c r="F1395" i="4"/>
  <c r="F1399" i="4"/>
  <c r="F1403" i="4"/>
  <c r="F1407" i="4"/>
  <c r="F1411" i="4"/>
  <c r="F1415" i="4"/>
  <c r="F1419" i="4"/>
  <c r="F1423" i="4"/>
  <c r="F1427" i="4"/>
  <c r="F1431" i="4"/>
  <c r="F1435" i="4"/>
  <c r="F1439" i="4"/>
  <c r="F1443" i="4"/>
  <c r="F1447" i="4"/>
  <c r="F1451" i="4"/>
  <c r="F1455" i="4"/>
  <c r="F1459" i="4"/>
  <c r="F1463" i="4"/>
  <c r="F1467" i="4"/>
  <c r="F1471" i="4"/>
  <c r="F1475" i="4"/>
  <c r="F1479" i="4"/>
  <c r="F1483" i="4"/>
  <c r="F1487" i="4"/>
  <c r="F1491" i="4"/>
  <c r="F1495" i="4"/>
  <c r="F1499" i="4"/>
  <c r="F1503" i="4"/>
  <c r="F1507" i="4"/>
  <c r="F1511" i="4"/>
  <c r="F1515" i="4"/>
  <c r="F1519" i="4"/>
  <c r="F1523" i="4"/>
  <c r="F1527" i="4"/>
  <c r="F1531" i="4"/>
  <c r="F1535" i="4"/>
  <c r="F1539" i="4"/>
  <c r="F1543" i="4"/>
  <c r="F1547" i="4"/>
  <c r="F1551" i="4"/>
  <c r="F1555" i="4"/>
  <c r="F1559" i="4"/>
  <c r="F1563" i="4"/>
  <c r="F1567" i="4"/>
  <c r="F1571" i="4"/>
  <c r="F1575" i="4"/>
  <c r="F1579" i="4"/>
  <c r="F1583" i="4"/>
  <c r="F1587" i="4"/>
  <c r="F1591" i="4"/>
  <c r="F1595" i="4"/>
  <c r="F1599" i="4"/>
  <c r="F1603" i="4"/>
  <c r="F1607" i="4"/>
  <c r="F1611" i="4"/>
  <c r="F1615" i="4"/>
  <c r="F1619" i="4"/>
  <c r="F1623" i="4"/>
  <c r="F1627" i="4"/>
  <c r="F1631" i="4"/>
  <c r="F1635" i="4"/>
  <c r="F1639" i="4"/>
  <c r="F1643" i="4"/>
  <c r="F1647" i="4"/>
  <c r="F1651" i="4"/>
  <c r="F1655" i="4"/>
  <c r="F1659" i="4"/>
  <c r="F1663" i="4"/>
  <c r="F1667" i="4"/>
  <c r="F1671" i="4"/>
  <c r="F1675" i="4"/>
  <c r="F1679" i="4"/>
  <c r="F1683" i="4"/>
  <c r="F1687" i="4"/>
  <c r="F1691" i="4"/>
  <c r="F1695" i="4"/>
  <c r="F1699" i="4"/>
  <c r="F1703" i="4"/>
  <c r="F1707" i="4"/>
  <c r="F1711" i="4"/>
  <c r="F1715" i="4"/>
  <c r="F1719" i="4"/>
  <c r="F1723" i="4"/>
  <c r="F1727" i="4"/>
  <c r="F1731" i="4"/>
  <c r="F1735" i="4"/>
  <c r="F1739" i="4"/>
  <c r="F1743" i="4"/>
  <c r="F1747" i="4"/>
  <c r="F1751" i="4"/>
  <c r="F1755" i="4"/>
  <c r="F1759" i="4"/>
  <c r="F1763" i="4"/>
  <c r="F1767" i="4"/>
  <c r="F1771" i="4"/>
  <c r="F1775" i="4"/>
  <c r="F1779" i="4"/>
  <c r="F1783" i="4"/>
  <c r="F1787" i="4"/>
  <c r="F1791" i="4"/>
  <c r="F1795" i="4"/>
  <c r="F1799" i="4"/>
  <c r="F1803" i="4"/>
  <c r="F1807" i="4"/>
  <c r="F1811" i="4"/>
  <c r="F1815" i="4"/>
  <c r="F1819" i="4"/>
  <c r="F1823" i="4"/>
  <c r="F1827" i="4"/>
  <c r="F1831" i="4"/>
  <c r="F1835" i="4"/>
  <c r="F1839" i="4"/>
  <c r="F1843" i="4"/>
  <c r="F1847" i="4"/>
  <c r="F1851" i="4"/>
  <c r="F1855" i="4"/>
  <c r="F1859" i="4"/>
  <c r="F1863" i="4"/>
  <c r="F1867" i="4"/>
  <c r="F1871" i="4"/>
  <c r="F1875" i="4"/>
  <c r="F1879" i="4"/>
  <c r="F1883" i="4"/>
  <c r="F1887" i="4"/>
  <c r="F1891" i="4"/>
  <c r="F1895" i="4"/>
  <c r="F1899" i="4"/>
  <c r="F1903" i="4"/>
  <c r="F1907" i="4"/>
  <c r="F1911" i="4"/>
  <c r="F1915" i="4"/>
  <c r="F1919" i="4"/>
  <c r="F1923" i="4"/>
  <c r="F1927" i="4"/>
  <c r="F1931" i="4"/>
  <c r="F1935" i="4"/>
  <c r="F1939" i="4"/>
  <c r="F1943" i="4"/>
  <c r="F1947" i="4"/>
  <c r="F1951" i="4"/>
  <c r="F1955" i="4"/>
  <c r="F1959" i="4"/>
  <c r="F1963" i="4"/>
  <c r="F1967" i="4"/>
  <c r="F1971" i="4"/>
  <c r="F1975" i="4"/>
  <c r="F1979" i="4"/>
  <c r="F1983" i="4"/>
  <c r="F1987" i="4"/>
  <c r="F1991" i="4"/>
  <c r="F1995" i="4"/>
  <c r="F1999" i="4"/>
  <c r="F2003" i="4"/>
  <c r="F2007" i="4"/>
  <c r="F2011" i="4"/>
  <c r="F2015" i="4"/>
  <c r="F2019" i="4"/>
  <c r="F2023" i="4"/>
  <c r="F2027" i="4"/>
  <c r="F2031" i="4"/>
  <c r="F2035" i="4"/>
  <c r="F2039" i="4"/>
  <c r="F2043" i="4"/>
  <c r="F2047" i="4"/>
  <c r="F2051" i="4"/>
  <c r="F2055" i="4"/>
  <c r="F2059" i="4"/>
  <c r="F2063" i="4"/>
  <c r="F2067" i="4"/>
  <c r="F2071" i="4"/>
  <c r="F2075" i="4"/>
  <c r="F2079" i="4"/>
  <c r="F2083" i="4"/>
  <c r="F2087" i="4"/>
  <c r="F2091" i="4"/>
  <c r="F2095" i="4"/>
  <c r="F2099" i="4"/>
  <c r="F2103" i="4"/>
  <c r="F2107" i="4"/>
  <c r="F2111" i="4"/>
  <c r="F2115" i="4"/>
  <c r="F2119" i="4"/>
  <c r="F2123" i="4"/>
  <c r="F2127" i="4"/>
  <c r="F2131" i="4"/>
  <c r="F2135" i="4"/>
  <c r="F2139" i="4"/>
  <c r="F2143" i="4"/>
  <c r="F2147" i="4"/>
  <c r="F2151" i="4"/>
  <c r="F2155" i="4"/>
  <c r="F2159" i="4"/>
  <c r="F2163" i="4"/>
  <c r="F2167" i="4"/>
  <c r="F2171" i="4"/>
  <c r="F2175" i="4"/>
  <c r="F2179" i="4"/>
  <c r="F2183" i="4"/>
  <c r="F2187" i="4"/>
  <c r="F2191" i="4"/>
  <c r="F2195" i="4"/>
  <c r="F2199" i="4"/>
  <c r="F2203" i="4"/>
  <c r="F2207" i="4"/>
  <c r="F2211" i="4"/>
  <c r="F2215" i="4"/>
  <c r="F2219" i="4"/>
  <c r="F2223" i="4"/>
  <c r="F2227" i="4"/>
  <c r="F2231" i="4"/>
  <c r="F2235" i="4"/>
  <c r="F2239" i="4"/>
  <c r="F2243" i="4"/>
  <c r="F2247" i="4"/>
  <c r="F2251" i="4"/>
  <c r="F2255" i="4"/>
  <c r="F2259" i="4"/>
  <c r="F2263" i="4"/>
  <c r="F2267" i="4"/>
  <c r="F2271" i="4"/>
  <c r="F2275" i="4"/>
  <c r="F2279" i="4"/>
  <c r="F2283" i="4"/>
  <c r="F2287" i="4"/>
  <c r="F2291" i="4"/>
  <c r="F2295" i="4"/>
  <c r="F2299" i="4"/>
  <c r="F2303" i="4"/>
  <c r="F2307" i="4"/>
  <c r="F2311" i="4"/>
  <c r="F2315" i="4"/>
  <c r="F2319" i="4"/>
  <c r="F2323" i="4"/>
  <c r="F2327" i="4"/>
  <c r="F2331" i="4"/>
  <c r="F2335" i="4"/>
  <c r="F2339" i="4"/>
  <c r="F2343" i="4"/>
  <c r="F2347" i="4"/>
  <c r="F2351" i="4"/>
  <c r="F2355" i="4"/>
  <c r="F2359" i="4"/>
  <c r="F2363" i="4"/>
  <c r="F2367" i="4"/>
  <c r="F2371" i="4"/>
  <c r="F2375" i="4"/>
  <c r="F2379" i="4"/>
  <c r="F2383" i="4"/>
  <c r="F2387" i="4"/>
  <c r="F2391" i="4"/>
  <c r="F2395" i="4"/>
  <c r="F2399" i="4"/>
  <c r="F2403" i="4"/>
  <c r="F2407" i="4"/>
  <c r="F2411" i="4"/>
  <c r="F2415" i="4"/>
  <c r="F2419" i="4"/>
  <c r="F2423" i="4"/>
  <c r="F2427" i="4"/>
  <c r="F2431" i="4"/>
  <c r="F2435" i="4"/>
  <c r="F2439" i="4"/>
  <c r="F2443" i="4"/>
  <c r="F2447" i="4"/>
  <c r="F2451" i="4"/>
  <c r="F2455" i="4"/>
  <c r="F2459" i="4"/>
  <c r="F2463" i="4"/>
  <c r="F2467" i="4"/>
  <c r="F2471" i="4"/>
  <c r="F2475" i="4"/>
  <c r="F2479" i="4"/>
  <c r="F2483" i="4"/>
  <c r="F2487" i="4"/>
  <c r="F2491" i="4"/>
  <c r="F2495" i="4"/>
  <c r="F2499" i="4"/>
  <c r="F2503" i="4"/>
  <c r="F2507" i="4"/>
  <c r="F2511" i="4"/>
  <c r="F2515" i="4"/>
  <c r="F2519" i="4"/>
  <c r="F2523" i="4"/>
  <c r="F2527" i="4"/>
  <c r="F2531" i="4"/>
  <c r="F2535" i="4"/>
  <c r="F2539" i="4"/>
  <c r="F2543" i="4"/>
  <c r="F2547" i="4"/>
  <c r="F2551" i="4"/>
  <c r="F2555" i="4"/>
  <c r="F2559" i="4"/>
  <c r="F2563" i="4"/>
  <c r="F2567" i="4"/>
  <c r="F2571" i="4"/>
  <c r="F2575" i="4"/>
  <c r="F2579" i="4"/>
  <c r="F2583" i="4"/>
  <c r="F2587" i="4"/>
  <c r="F2591" i="4"/>
  <c r="F2595" i="4"/>
  <c r="F2599" i="4"/>
  <c r="F2603" i="4"/>
  <c r="F2607" i="4"/>
  <c r="F2611" i="4"/>
  <c r="F2615" i="4"/>
  <c r="F2619" i="4"/>
  <c r="F2623" i="4"/>
  <c r="F2627" i="4"/>
  <c r="F2631" i="4"/>
  <c r="F2635" i="4"/>
  <c r="F2639" i="4"/>
  <c r="F2643" i="4"/>
  <c r="F2647" i="4"/>
  <c r="F2651" i="4"/>
  <c r="F2655" i="4"/>
  <c r="F2659" i="4"/>
  <c r="F2663" i="4"/>
  <c r="F2667" i="4"/>
  <c r="F2671" i="4"/>
  <c r="F2675" i="4"/>
  <c r="F2679" i="4"/>
  <c r="F2683" i="4"/>
  <c r="F2687" i="4"/>
  <c r="F2691" i="4"/>
  <c r="F2695" i="4"/>
  <c r="F2699" i="4"/>
  <c r="F2703" i="4"/>
  <c r="F2707" i="4"/>
  <c r="F2711" i="4"/>
  <c r="F2715" i="4"/>
  <c r="F2719" i="4"/>
  <c r="F2723" i="4"/>
  <c r="F2727" i="4"/>
  <c r="F2731" i="4"/>
  <c r="F2735" i="4"/>
  <c r="F2739" i="4"/>
  <c r="F2743" i="4"/>
  <c r="F12" i="4"/>
  <c r="F16" i="4"/>
  <c r="F20" i="4"/>
  <c r="F24" i="4"/>
  <c r="F28" i="4"/>
  <c r="F32" i="4"/>
  <c r="F36" i="4"/>
  <c r="F40" i="4"/>
  <c r="F44" i="4"/>
  <c r="F48" i="4"/>
  <c r="F52" i="4"/>
  <c r="F56" i="4"/>
  <c r="F60" i="4"/>
  <c r="F64" i="4"/>
  <c r="F68" i="4"/>
  <c r="F72" i="4"/>
  <c r="F76" i="4"/>
  <c r="F80" i="4"/>
  <c r="F84" i="4"/>
  <c r="F88" i="4"/>
  <c r="F92" i="4"/>
  <c r="F96" i="4"/>
  <c r="F100" i="4"/>
  <c r="F104" i="4"/>
  <c r="F108" i="4"/>
  <c r="F112" i="4"/>
  <c r="F116" i="4"/>
  <c r="F120" i="4"/>
  <c r="F124" i="4"/>
  <c r="F128" i="4"/>
  <c r="F132" i="4"/>
  <c r="F136" i="4"/>
  <c r="F140" i="4"/>
  <c r="F144" i="4"/>
  <c r="F148" i="4"/>
  <c r="F152" i="4"/>
  <c r="F156" i="4"/>
  <c r="F160" i="4"/>
  <c r="F164" i="4"/>
  <c r="F168" i="4"/>
  <c r="F172" i="4"/>
  <c r="F176" i="4"/>
  <c r="F180" i="4"/>
  <c r="F184" i="4"/>
  <c r="F188" i="4"/>
  <c r="F192" i="4"/>
  <c r="F196" i="4"/>
  <c r="F200" i="4"/>
  <c r="F204" i="4"/>
  <c r="F208" i="4"/>
  <c r="F212" i="4"/>
  <c r="F216" i="4"/>
  <c r="F220" i="4"/>
  <c r="F224" i="4"/>
  <c r="F228" i="4"/>
  <c r="F232" i="4"/>
  <c r="F236" i="4"/>
  <c r="F240" i="4"/>
  <c r="F244" i="4"/>
  <c r="F248" i="4"/>
  <c r="F252" i="4"/>
  <c r="F256" i="4"/>
  <c r="F260" i="4"/>
  <c r="F264" i="4"/>
  <c r="F268" i="4"/>
  <c r="F272" i="4"/>
  <c r="F276" i="4"/>
  <c r="F280" i="4"/>
  <c r="F284" i="4"/>
  <c r="F288" i="4"/>
  <c r="F292" i="4"/>
  <c r="F296" i="4"/>
  <c r="F300" i="4"/>
  <c r="F304" i="4"/>
  <c r="F308" i="4"/>
  <c r="F312" i="4"/>
  <c r="F316" i="4"/>
  <c r="F320" i="4"/>
  <c r="F324" i="4"/>
  <c r="F328" i="4"/>
  <c r="F332" i="4"/>
  <c r="F336" i="4"/>
  <c r="F340" i="4"/>
  <c r="F344" i="4"/>
  <c r="F348" i="4"/>
  <c r="F352" i="4"/>
  <c r="F356" i="4"/>
  <c r="F360" i="4"/>
  <c r="F364" i="4"/>
  <c r="F368" i="4"/>
  <c r="F372" i="4"/>
  <c r="F376" i="4"/>
  <c r="F380" i="4"/>
  <c r="F384" i="4"/>
  <c r="F388" i="4"/>
  <c r="F392" i="4"/>
  <c r="F396" i="4"/>
  <c r="F400" i="4"/>
  <c r="F404" i="4"/>
  <c r="F408" i="4"/>
  <c r="F412" i="4"/>
  <c r="F416" i="4"/>
  <c r="F420" i="4"/>
  <c r="F424" i="4"/>
  <c r="F428" i="4"/>
  <c r="F432" i="4"/>
  <c r="F436" i="4"/>
  <c r="F440" i="4"/>
  <c r="F444" i="4"/>
  <c r="F448" i="4"/>
  <c r="F452" i="4"/>
  <c r="F456" i="4"/>
  <c r="F460" i="4"/>
  <c r="F464" i="4"/>
  <c r="F468" i="4"/>
  <c r="F472" i="4"/>
  <c r="F476" i="4"/>
  <c r="F480" i="4"/>
  <c r="F484" i="4"/>
  <c r="F488" i="4"/>
  <c r="F492" i="4"/>
  <c r="F496" i="4"/>
  <c r="F500" i="4"/>
  <c r="F504" i="4"/>
  <c r="F508" i="4"/>
  <c r="F512" i="4"/>
  <c r="F516" i="4"/>
  <c r="F520" i="4"/>
  <c r="F524" i="4"/>
  <c r="F528" i="4"/>
  <c r="F532" i="4"/>
  <c r="F536" i="4"/>
  <c r="F540" i="4"/>
  <c r="F544" i="4"/>
  <c r="F548" i="4"/>
  <c r="F552" i="4"/>
  <c r="F556" i="4"/>
  <c r="F560" i="4"/>
  <c r="F564" i="4"/>
  <c r="F568" i="4"/>
  <c r="F572" i="4"/>
  <c r="F576" i="4"/>
  <c r="F580" i="4"/>
  <c r="F584" i="4"/>
  <c r="F588" i="4"/>
  <c r="F592" i="4"/>
  <c r="F596" i="4"/>
  <c r="F600" i="4"/>
  <c r="F604" i="4"/>
  <c r="F608" i="4"/>
  <c r="F612" i="4"/>
  <c r="F616" i="4"/>
  <c r="F620" i="4"/>
  <c r="F624" i="4"/>
  <c r="F628" i="4"/>
  <c r="F632" i="4"/>
  <c r="F636" i="4"/>
  <c r="F640" i="4"/>
  <c r="F644" i="4"/>
  <c r="F648" i="4"/>
  <c r="F652" i="4"/>
  <c r="F656" i="4"/>
  <c r="F660" i="4"/>
  <c r="F664" i="4"/>
  <c r="F668" i="4"/>
  <c r="F672" i="4"/>
  <c r="F676" i="4"/>
  <c r="F680" i="4"/>
  <c r="F684" i="4"/>
  <c r="F688" i="4"/>
  <c r="F692" i="4"/>
  <c r="F696" i="4"/>
  <c r="F700" i="4"/>
  <c r="F704" i="4"/>
  <c r="F708" i="4"/>
  <c r="F712" i="4"/>
  <c r="F716" i="4"/>
  <c r="F720" i="4"/>
  <c r="F724" i="4"/>
  <c r="F728" i="4"/>
  <c r="F732" i="4"/>
  <c r="F736" i="4"/>
  <c r="F740" i="4"/>
  <c r="F744" i="4"/>
  <c r="F748" i="4"/>
  <c r="F752" i="4"/>
  <c r="F756" i="4"/>
  <c r="F760" i="4"/>
  <c r="F764" i="4"/>
  <c r="F768" i="4"/>
  <c r="F772" i="4"/>
  <c r="F776" i="4"/>
  <c r="F780" i="4"/>
  <c r="F784" i="4"/>
  <c r="F788" i="4"/>
  <c r="F792" i="4"/>
  <c r="F796" i="4"/>
  <c r="F800" i="4"/>
  <c r="F804" i="4"/>
  <c r="F808" i="4"/>
  <c r="F812" i="4"/>
  <c r="F816" i="4"/>
  <c r="F820" i="4"/>
  <c r="F824" i="4"/>
  <c r="F828" i="4"/>
  <c r="F832" i="4"/>
  <c r="F836" i="4"/>
  <c r="F840" i="4"/>
  <c r="F844" i="4"/>
  <c r="F848" i="4"/>
  <c r="F852" i="4"/>
  <c r="F856" i="4"/>
  <c r="F860" i="4"/>
  <c r="F864" i="4"/>
  <c r="F868" i="4"/>
  <c r="F872" i="4"/>
  <c r="F876" i="4"/>
  <c r="F880" i="4"/>
  <c r="F884" i="4"/>
  <c r="F888" i="4"/>
  <c r="F892" i="4"/>
  <c r="F896" i="4"/>
  <c r="F900" i="4"/>
  <c r="F904" i="4"/>
  <c r="F908" i="4"/>
  <c r="F912" i="4"/>
  <c r="F916" i="4"/>
  <c r="F920" i="4"/>
  <c r="F924" i="4"/>
  <c r="F928" i="4"/>
  <c r="F932" i="4"/>
  <c r="F936" i="4"/>
  <c r="F940" i="4"/>
  <c r="F944" i="4"/>
  <c r="F948" i="4"/>
  <c r="F952" i="4"/>
  <c r="F956" i="4"/>
  <c r="F960" i="4"/>
  <c r="F964" i="4"/>
  <c r="F968" i="4"/>
  <c r="F972" i="4"/>
  <c r="F976" i="4"/>
  <c r="F980" i="4"/>
  <c r="F984" i="4"/>
  <c r="F988" i="4"/>
  <c r="F992" i="4"/>
  <c r="F996" i="4"/>
  <c r="F1000" i="4"/>
  <c r="F1004" i="4"/>
  <c r="F1008" i="4"/>
  <c r="F1012" i="4"/>
  <c r="F1016" i="4"/>
  <c r="F1020" i="4"/>
  <c r="F1024" i="4"/>
  <c r="F1028" i="4"/>
  <c r="F1032" i="4"/>
  <c r="F1036" i="4"/>
  <c r="F1040" i="4"/>
  <c r="F1044" i="4"/>
  <c r="F1048" i="4"/>
  <c r="F1052" i="4"/>
  <c r="F1056" i="4"/>
  <c r="F1060" i="4"/>
  <c r="F1064" i="4"/>
  <c r="F1068" i="4"/>
  <c r="F1072" i="4"/>
  <c r="F1076" i="4"/>
  <c r="F1080" i="4"/>
  <c r="F1084" i="4"/>
  <c r="F1088" i="4"/>
  <c r="F1092" i="4"/>
  <c r="F1096" i="4"/>
  <c r="F1100" i="4"/>
  <c r="F1104" i="4"/>
  <c r="F1108" i="4"/>
  <c r="F1112" i="4"/>
  <c r="F1116" i="4"/>
  <c r="F1120" i="4"/>
  <c r="F1124" i="4"/>
  <c r="F1128" i="4"/>
  <c r="F1132" i="4"/>
  <c r="F1136" i="4"/>
  <c r="F1140" i="4"/>
  <c r="F1144" i="4"/>
  <c r="F1148" i="4"/>
  <c r="F1152" i="4"/>
  <c r="F1156" i="4"/>
  <c r="F1160" i="4"/>
  <c r="F1164" i="4"/>
  <c r="F1168" i="4"/>
  <c r="F1172" i="4"/>
  <c r="F1176" i="4"/>
  <c r="F1180" i="4"/>
  <c r="F1184" i="4"/>
  <c r="F1188" i="4"/>
  <c r="F1192" i="4"/>
  <c r="F1196" i="4"/>
  <c r="F1200" i="4"/>
  <c r="F1204" i="4"/>
  <c r="F1208" i="4"/>
  <c r="F1212" i="4"/>
  <c r="F1216" i="4"/>
  <c r="F1220" i="4"/>
  <c r="F1224" i="4"/>
  <c r="F1228" i="4"/>
  <c r="F1232" i="4"/>
  <c r="F1236" i="4"/>
  <c r="F1240" i="4"/>
  <c r="F1244" i="4"/>
  <c r="F1248" i="4"/>
  <c r="F1252" i="4"/>
  <c r="F1256" i="4"/>
  <c r="F1260" i="4"/>
  <c r="F1264" i="4"/>
  <c r="F1268" i="4"/>
  <c r="F1272" i="4"/>
  <c r="F1276" i="4"/>
  <c r="F1280" i="4"/>
  <c r="F1284" i="4"/>
  <c r="F1288" i="4"/>
  <c r="F1292" i="4"/>
  <c r="F1296" i="4"/>
  <c r="F1300" i="4"/>
  <c r="F1304" i="4"/>
  <c r="F1308" i="4"/>
  <c r="F1312" i="4"/>
  <c r="F1316" i="4"/>
  <c r="F1320" i="4"/>
  <c r="F1324" i="4"/>
  <c r="F1328" i="4"/>
  <c r="F1332" i="4"/>
  <c r="F1336" i="4"/>
  <c r="F1340" i="4"/>
  <c r="F1344" i="4"/>
  <c r="F1348" i="4"/>
  <c r="F1352" i="4"/>
  <c r="F1356" i="4"/>
  <c r="F1360" i="4"/>
  <c r="F1364" i="4"/>
  <c r="F1368" i="4"/>
  <c r="F1372" i="4"/>
  <c r="F1376" i="4"/>
  <c r="F1380" i="4"/>
  <c r="F1384" i="4"/>
  <c r="F1388" i="4"/>
  <c r="F1392" i="4"/>
  <c r="F1396" i="4"/>
  <c r="F1400" i="4"/>
  <c r="F1404" i="4"/>
  <c r="F1408" i="4"/>
  <c r="F1412" i="4"/>
  <c r="F1416" i="4"/>
  <c r="F1420" i="4"/>
  <c r="F1424" i="4"/>
  <c r="F1428" i="4"/>
  <c r="F1432" i="4"/>
  <c r="F1436" i="4"/>
  <c r="F1440" i="4"/>
  <c r="F1444" i="4"/>
  <c r="F1448" i="4"/>
  <c r="F1452" i="4"/>
  <c r="F1456" i="4"/>
  <c r="F1460" i="4"/>
  <c r="F1464" i="4"/>
  <c r="F1468" i="4"/>
  <c r="F1472" i="4"/>
  <c r="F1476" i="4"/>
  <c r="F1480" i="4"/>
  <c r="F1484" i="4"/>
  <c r="F1488" i="4"/>
  <c r="F1492" i="4"/>
  <c r="F1496" i="4"/>
  <c r="F1500" i="4"/>
  <c r="F1504" i="4"/>
  <c r="F1508" i="4"/>
  <c r="F1512" i="4"/>
  <c r="F1516" i="4"/>
  <c r="F1520" i="4"/>
  <c r="F1524" i="4"/>
  <c r="F1528" i="4"/>
  <c r="F1532" i="4"/>
  <c r="F1536" i="4"/>
  <c r="F1540" i="4"/>
  <c r="F1544" i="4"/>
  <c r="F1548" i="4"/>
  <c r="F1552" i="4"/>
  <c r="F1556" i="4"/>
  <c r="F1560" i="4"/>
  <c r="F1564" i="4"/>
  <c r="F1568" i="4"/>
  <c r="F1572" i="4"/>
  <c r="F1576" i="4"/>
  <c r="F1580" i="4"/>
  <c r="F1584" i="4"/>
  <c r="F1588" i="4"/>
  <c r="F1592" i="4"/>
  <c r="F1596" i="4"/>
  <c r="F1600" i="4"/>
  <c r="F1604" i="4"/>
  <c r="F1608" i="4"/>
  <c r="F1612" i="4"/>
  <c r="F1616" i="4"/>
  <c r="F1620" i="4"/>
  <c r="F1624" i="4"/>
  <c r="F1628" i="4"/>
  <c r="F1632" i="4"/>
  <c r="F1636" i="4"/>
  <c r="F1640" i="4"/>
  <c r="F1644" i="4"/>
  <c r="F1648" i="4"/>
  <c r="F1652" i="4"/>
  <c r="F1656" i="4"/>
  <c r="F1660" i="4"/>
  <c r="F1664" i="4"/>
  <c r="F1668" i="4"/>
  <c r="F1672" i="4"/>
  <c r="F1676" i="4"/>
  <c r="F1680" i="4"/>
  <c r="F1684" i="4"/>
  <c r="F1688" i="4"/>
  <c r="F1692" i="4"/>
  <c r="F1696" i="4"/>
  <c r="F1700" i="4"/>
  <c r="F1704" i="4"/>
  <c r="F1708" i="4"/>
  <c r="F1712" i="4"/>
  <c r="F1716" i="4"/>
  <c r="F1720" i="4"/>
  <c r="F1724" i="4"/>
  <c r="F1728" i="4"/>
  <c r="F1732" i="4"/>
  <c r="F1736" i="4"/>
  <c r="F1740" i="4"/>
  <c r="F1744" i="4"/>
  <c r="F1748" i="4"/>
  <c r="F1752" i="4"/>
  <c r="F1756" i="4"/>
  <c r="F1760" i="4"/>
  <c r="F1764" i="4"/>
  <c r="F1768" i="4"/>
  <c r="F1772" i="4"/>
  <c r="F1776" i="4"/>
  <c r="F1780" i="4"/>
  <c r="F1784" i="4"/>
  <c r="F1788" i="4"/>
  <c r="F1792" i="4"/>
  <c r="F1796" i="4"/>
  <c r="F1800" i="4"/>
  <c r="F1804" i="4"/>
  <c r="F1808" i="4"/>
  <c r="F1812" i="4"/>
  <c r="F1816" i="4"/>
  <c r="F1820" i="4"/>
  <c r="F1824" i="4"/>
  <c r="F1828" i="4"/>
  <c r="F1832" i="4"/>
  <c r="F1836" i="4"/>
  <c r="F1840" i="4"/>
  <c r="F1844" i="4"/>
  <c r="F1848" i="4"/>
  <c r="F1852" i="4"/>
  <c r="F1856" i="4"/>
  <c r="F1860" i="4"/>
  <c r="F1864" i="4"/>
  <c r="F1868" i="4"/>
  <c r="F1872" i="4"/>
  <c r="F1876" i="4"/>
  <c r="F1880" i="4"/>
  <c r="F1884" i="4"/>
  <c r="F1888" i="4"/>
  <c r="F1892" i="4"/>
  <c r="F1896" i="4"/>
  <c r="F1900" i="4"/>
  <c r="F1904" i="4"/>
  <c r="F1908" i="4"/>
  <c r="F1912" i="4"/>
  <c r="F1916" i="4"/>
  <c r="F1920" i="4"/>
  <c r="F1924" i="4"/>
  <c r="F1928" i="4"/>
  <c r="F1932" i="4"/>
  <c r="F1936" i="4"/>
  <c r="F1940" i="4"/>
  <c r="F1944" i="4"/>
  <c r="F1948" i="4"/>
  <c r="F1952" i="4"/>
  <c r="F1956" i="4"/>
  <c r="F1960" i="4"/>
  <c r="F1964" i="4"/>
  <c r="F1968" i="4"/>
  <c r="F1972" i="4"/>
  <c r="F1976" i="4"/>
  <c r="F1980" i="4"/>
  <c r="F1984" i="4"/>
  <c r="F1988" i="4"/>
  <c r="F1992" i="4"/>
  <c r="F1996" i="4"/>
  <c r="F2000" i="4"/>
  <c r="F2004" i="4"/>
  <c r="F2008" i="4"/>
  <c r="F2012" i="4"/>
  <c r="F2016" i="4"/>
  <c r="F2020" i="4"/>
  <c r="F2024" i="4"/>
  <c r="F2028" i="4"/>
  <c r="F2032" i="4"/>
  <c r="F2036" i="4"/>
  <c r="F2040" i="4"/>
  <c r="F2044" i="4"/>
  <c r="F2048" i="4"/>
  <c r="F2052" i="4"/>
  <c r="F2056" i="4"/>
  <c r="F2060" i="4"/>
  <c r="F2064" i="4"/>
  <c r="F2068" i="4"/>
  <c r="F2072" i="4"/>
  <c r="F2076" i="4"/>
  <c r="F2080" i="4"/>
  <c r="F2084" i="4"/>
  <c r="F2088" i="4"/>
  <c r="F2092" i="4"/>
  <c r="F2096" i="4"/>
  <c r="F2100" i="4"/>
  <c r="F2104" i="4"/>
  <c r="F2108" i="4"/>
  <c r="F2112" i="4"/>
  <c r="F2116" i="4"/>
  <c r="F2120" i="4"/>
  <c r="F2124" i="4"/>
  <c r="F2128" i="4"/>
  <c r="F2132" i="4"/>
  <c r="F2136" i="4"/>
  <c r="F2140" i="4"/>
  <c r="F2144" i="4"/>
  <c r="F2148" i="4"/>
  <c r="F2152" i="4"/>
  <c r="F2156" i="4"/>
  <c r="F2160" i="4"/>
  <c r="F2164" i="4"/>
  <c r="F2168" i="4"/>
  <c r="F2172" i="4"/>
  <c r="F2176" i="4"/>
  <c r="F2180" i="4"/>
  <c r="F2184" i="4"/>
  <c r="F2188" i="4"/>
  <c r="F2192" i="4"/>
  <c r="F2196" i="4"/>
  <c r="F2200" i="4"/>
  <c r="F2204" i="4"/>
  <c r="F2208" i="4"/>
  <c r="F2212" i="4"/>
  <c r="F2216" i="4"/>
  <c r="F2220" i="4"/>
  <c r="F2224" i="4"/>
  <c r="F2228" i="4"/>
  <c r="F2232" i="4"/>
  <c r="F2236" i="4"/>
  <c r="F2240" i="4"/>
  <c r="F2244" i="4"/>
  <c r="F2248" i="4"/>
  <c r="F2252" i="4"/>
  <c r="F2256" i="4"/>
  <c r="F2260" i="4"/>
  <c r="F2264" i="4"/>
  <c r="F2268" i="4"/>
  <c r="F2272" i="4"/>
  <c r="F2276" i="4"/>
  <c r="F2280" i="4"/>
  <c r="F2284" i="4"/>
  <c r="F2288" i="4"/>
  <c r="F2292" i="4"/>
  <c r="F2296" i="4"/>
  <c r="F2300" i="4"/>
  <c r="F2304" i="4"/>
  <c r="F2308" i="4"/>
  <c r="F2312" i="4"/>
  <c r="F2316" i="4"/>
  <c r="F2320" i="4"/>
  <c r="F2324" i="4"/>
  <c r="F2328" i="4"/>
  <c r="F2332" i="4"/>
  <c r="F2336" i="4"/>
  <c r="F2340" i="4"/>
  <c r="F2344" i="4"/>
  <c r="F2348" i="4"/>
  <c r="F2352" i="4"/>
  <c r="F2356" i="4"/>
  <c r="F2360" i="4"/>
  <c r="F2364" i="4"/>
  <c r="F2368" i="4"/>
  <c r="F2372" i="4"/>
  <c r="F2376" i="4"/>
  <c r="F2380" i="4"/>
  <c r="F2384" i="4"/>
  <c r="F2388" i="4"/>
  <c r="F2392" i="4"/>
  <c r="F2396" i="4"/>
  <c r="F2400" i="4"/>
  <c r="F2404" i="4"/>
  <c r="F2408" i="4"/>
  <c r="F2412" i="4"/>
  <c r="F2416" i="4"/>
  <c r="F2420" i="4"/>
  <c r="F2424" i="4"/>
  <c r="F2428" i="4"/>
  <c r="F2432" i="4"/>
  <c r="F2436" i="4"/>
  <c r="F2440" i="4"/>
  <c r="F2444" i="4"/>
  <c r="F2448" i="4"/>
  <c r="F2452" i="4"/>
  <c r="F2456" i="4"/>
  <c r="F2460" i="4"/>
  <c r="F2464" i="4"/>
  <c r="F2468" i="4"/>
  <c r="F2472" i="4"/>
  <c r="F2476" i="4"/>
  <c r="F2480" i="4"/>
  <c r="F2484" i="4"/>
  <c r="F2488" i="4"/>
  <c r="F2492" i="4"/>
  <c r="F2496" i="4"/>
  <c r="F2500" i="4"/>
  <c r="F2504" i="4"/>
  <c r="F2508" i="4"/>
  <c r="F2512" i="4"/>
  <c r="F2516" i="4"/>
  <c r="F2520" i="4"/>
  <c r="F2524" i="4"/>
  <c r="F2528" i="4"/>
  <c r="F2532" i="4"/>
  <c r="F2536" i="4"/>
  <c r="F2540" i="4"/>
  <c r="F2544" i="4"/>
  <c r="F2548" i="4"/>
  <c r="F2552" i="4"/>
  <c r="F2556" i="4"/>
  <c r="F2560" i="4"/>
  <c r="F2564" i="4"/>
  <c r="F2568" i="4"/>
  <c r="F2572" i="4"/>
  <c r="F2576" i="4"/>
  <c r="F2580" i="4"/>
  <c r="F2584" i="4"/>
  <c r="F2588" i="4"/>
  <c r="F2592" i="4"/>
  <c r="F2596" i="4"/>
  <c r="F2600" i="4"/>
  <c r="F2604" i="4"/>
  <c r="F2608" i="4"/>
  <c r="F2612" i="4"/>
  <c r="F2616" i="4"/>
  <c r="F2620" i="4"/>
  <c r="F2624" i="4"/>
  <c r="F2628" i="4"/>
  <c r="F2632" i="4"/>
  <c r="F2636" i="4"/>
  <c r="F2640" i="4"/>
  <c r="F2644" i="4"/>
  <c r="F2648" i="4"/>
  <c r="F2652" i="4"/>
  <c r="F2656" i="4"/>
  <c r="F2660" i="4"/>
  <c r="F2664" i="4"/>
  <c r="F2668" i="4"/>
  <c r="F2672" i="4"/>
  <c r="F2676" i="4"/>
  <c r="F2680" i="4"/>
  <c r="F2684" i="4"/>
  <c r="F2688" i="4"/>
  <c r="F2692" i="4"/>
  <c r="F2696" i="4"/>
  <c r="F2700" i="4"/>
  <c r="F2704" i="4"/>
  <c r="F2708" i="4"/>
  <c r="F2712" i="4"/>
  <c r="F2716" i="4"/>
  <c r="F2720" i="4"/>
  <c r="F2724" i="4"/>
  <c r="F2728" i="4"/>
  <c r="F2732" i="4"/>
  <c r="F2736" i="4"/>
  <c r="F2740" i="4"/>
  <c r="F13" i="4"/>
  <c r="F17" i="4"/>
  <c r="F21" i="4"/>
  <c r="F25" i="4"/>
  <c r="F29" i="4"/>
  <c r="F33" i="4"/>
  <c r="F37" i="4"/>
  <c r="F41" i="4"/>
  <c r="F45" i="4"/>
  <c r="F49" i="4"/>
  <c r="F53" i="4"/>
  <c r="F57" i="4"/>
  <c r="F61" i="4"/>
  <c r="F65" i="4"/>
  <c r="F69" i="4"/>
  <c r="F73" i="4"/>
  <c r="F77" i="4"/>
  <c r="F81" i="4"/>
  <c r="F85" i="4"/>
  <c r="F89" i="4"/>
  <c r="F93" i="4"/>
  <c r="F97" i="4"/>
  <c r="F101" i="4"/>
  <c r="F105" i="4"/>
  <c r="F109" i="4"/>
  <c r="F113" i="4"/>
  <c r="F117" i="4"/>
  <c r="F121" i="4"/>
  <c r="F125" i="4"/>
  <c r="F129" i="4"/>
  <c r="F133" i="4"/>
  <c r="F137" i="4"/>
  <c r="F141" i="4"/>
  <c r="F145" i="4"/>
  <c r="F149" i="4"/>
  <c r="F153" i="4"/>
  <c r="F157" i="4"/>
  <c r="F161" i="4"/>
  <c r="F165" i="4"/>
  <c r="F169" i="4"/>
  <c r="F173" i="4"/>
  <c r="F177" i="4"/>
  <c r="F181" i="4"/>
  <c r="F185" i="4"/>
  <c r="F189" i="4"/>
  <c r="F193" i="4"/>
  <c r="F197" i="4"/>
  <c r="F201" i="4"/>
  <c r="F205" i="4"/>
  <c r="F209" i="4"/>
  <c r="F213" i="4"/>
  <c r="F217" i="4"/>
  <c r="F221" i="4"/>
  <c r="F225" i="4"/>
  <c r="F229" i="4"/>
  <c r="F233" i="4"/>
  <c r="F237" i="4"/>
  <c r="F241" i="4"/>
  <c r="F245" i="4"/>
  <c r="F249" i="4"/>
  <c r="F253" i="4"/>
  <c r="F257" i="4"/>
  <c r="F261" i="4"/>
  <c r="F265" i="4"/>
  <c r="F269" i="4"/>
  <c r="F273" i="4"/>
  <c r="F277" i="4"/>
  <c r="F281" i="4"/>
  <c r="F285" i="4"/>
  <c r="F289" i="4"/>
  <c r="F293" i="4"/>
  <c r="F297" i="4"/>
  <c r="F301" i="4"/>
  <c r="F305" i="4"/>
  <c r="F309" i="4"/>
  <c r="F313" i="4"/>
  <c r="F317" i="4"/>
  <c r="F321" i="4"/>
  <c r="F325" i="4"/>
  <c r="F329" i="4"/>
  <c r="F333" i="4"/>
  <c r="F337" i="4"/>
  <c r="F341" i="4"/>
  <c r="F345" i="4"/>
  <c r="F349" i="4"/>
  <c r="F353" i="4"/>
  <c r="F357" i="4"/>
  <c r="F361" i="4"/>
  <c r="F365" i="4"/>
  <c r="F369" i="4"/>
  <c r="F373" i="4"/>
  <c r="F377" i="4"/>
  <c r="F381" i="4"/>
  <c r="F385" i="4"/>
  <c r="F389" i="4"/>
  <c r="F393" i="4"/>
  <c r="F397" i="4"/>
  <c r="F401" i="4"/>
  <c r="F405" i="4"/>
  <c r="F409" i="4"/>
  <c r="F413" i="4"/>
  <c r="F417" i="4"/>
  <c r="F421" i="4"/>
  <c r="F425" i="4"/>
  <c r="F429" i="4"/>
  <c r="F433" i="4"/>
  <c r="F437" i="4"/>
  <c r="F441" i="4"/>
  <c r="F445" i="4"/>
  <c r="F449" i="4"/>
  <c r="F453" i="4"/>
  <c r="F457" i="4"/>
  <c r="F461" i="4"/>
  <c r="F465" i="4"/>
  <c r="F469" i="4"/>
  <c r="F473" i="4"/>
  <c r="F477" i="4"/>
  <c r="F481" i="4"/>
  <c r="F485" i="4"/>
  <c r="F489" i="4"/>
  <c r="F493" i="4"/>
  <c r="F497" i="4"/>
  <c r="F501" i="4"/>
  <c r="F505" i="4"/>
  <c r="F509" i="4"/>
  <c r="F513" i="4"/>
  <c r="F517" i="4"/>
  <c r="F521" i="4"/>
  <c r="F525" i="4"/>
  <c r="F529" i="4"/>
  <c r="F533" i="4"/>
  <c r="F537" i="4"/>
  <c r="F541" i="4"/>
  <c r="F545" i="4"/>
  <c r="F549" i="4"/>
  <c r="F553" i="4"/>
  <c r="F557" i="4"/>
  <c r="F561" i="4"/>
  <c r="F565" i="4"/>
  <c r="F569" i="4"/>
  <c r="F573" i="4"/>
  <c r="F577" i="4"/>
  <c r="F581" i="4"/>
  <c r="F585" i="4"/>
  <c r="F589" i="4"/>
  <c r="F593" i="4"/>
  <c r="F597" i="4"/>
  <c r="F601" i="4"/>
  <c r="F605" i="4"/>
  <c r="F609" i="4"/>
  <c r="F613" i="4"/>
  <c r="F617" i="4"/>
  <c r="F621" i="4"/>
  <c r="F625" i="4"/>
  <c r="F629" i="4"/>
  <c r="F633" i="4"/>
  <c r="F637" i="4"/>
  <c r="F641" i="4"/>
  <c r="F645" i="4"/>
  <c r="F649" i="4"/>
  <c r="F653" i="4"/>
  <c r="F657" i="4"/>
  <c r="F661" i="4"/>
  <c r="F665" i="4"/>
  <c r="F669" i="4"/>
  <c r="F673" i="4"/>
  <c r="F677" i="4"/>
  <c r="F681" i="4"/>
  <c r="F685" i="4"/>
  <c r="F689" i="4"/>
  <c r="F693" i="4"/>
  <c r="F697" i="4"/>
  <c r="F701" i="4"/>
  <c r="F705" i="4"/>
  <c r="F709" i="4"/>
  <c r="F713" i="4"/>
  <c r="F717" i="4"/>
  <c r="F721" i="4"/>
  <c r="F725" i="4"/>
  <c r="F729" i="4"/>
  <c r="F733" i="4"/>
  <c r="F737" i="4"/>
  <c r="F741" i="4"/>
  <c r="F745" i="4"/>
  <c r="F749" i="4"/>
  <c r="F753" i="4"/>
  <c r="F757" i="4"/>
  <c r="F761" i="4"/>
  <c r="F765" i="4"/>
  <c r="F769" i="4"/>
  <c r="F773" i="4"/>
  <c r="F777" i="4"/>
  <c r="F781" i="4"/>
  <c r="F785" i="4"/>
  <c r="F789" i="4"/>
  <c r="F793" i="4"/>
  <c r="F797" i="4"/>
  <c r="F801" i="4"/>
  <c r="F805" i="4"/>
  <c r="F809" i="4"/>
  <c r="F813" i="4"/>
  <c r="F817" i="4"/>
  <c r="F821" i="4"/>
  <c r="F825" i="4"/>
  <c r="F829" i="4"/>
  <c r="F833" i="4"/>
  <c r="F837" i="4"/>
  <c r="F841" i="4"/>
  <c r="F845" i="4"/>
  <c r="F849" i="4"/>
  <c r="F853" i="4"/>
  <c r="F857" i="4"/>
  <c r="F861" i="4"/>
  <c r="F865" i="4"/>
  <c r="F869" i="4"/>
  <c r="F873" i="4"/>
  <c r="F877" i="4"/>
  <c r="F881" i="4"/>
  <c r="F885" i="4"/>
  <c r="F889" i="4"/>
  <c r="F893" i="4"/>
  <c r="F897" i="4"/>
  <c r="F901" i="4"/>
  <c r="F905" i="4"/>
  <c r="F909" i="4"/>
  <c r="F913" i="4"/>
  <c r="F917" i="4"/>
  <c r="F921" i="4"/>
  <c r="F925" i="4"/>
  <c r="F929" i="4"/>
  <c r="F933" i="4"/>
  <c r="F937" i="4"/>
  <c r="F941" i="4"/>
  <c r="F945" i="4"/>
  <c r="F949" i="4"/>
  <c r="F953" i="4"/>
  <c r="F957" i="4"/>
  <c r="F961" i="4"/>
  <c r="F965" i="4"/>
  <c r="F969" i="4"/>
  <c r="F973" i="4"/>
  <c r="F977" i="4"/>
  <c r="F981" i="4"/>
  <c r="F985" i="4"/>
  <c r="F989" i="4"/>
  <c r="F993" i="4"/>
  <c r="F997" i="4"/>
  <c r="F1001" i="4"/>
  <c r="F1005" i="4"/>
  <c r="F1009" i="4"/>
  <c r="F1013" i="4"/>
  <c r="F1017" i="4"/>
  <c r="F1021" i="4"/>
  <c r="F1025" i="4"/>
  <c r="F1029" i="4"/>
  <c r="F1033" i="4"/>
  <c r="F1037" i="4"/>
  <c r="F1041" i="4"/>
  <c r="F1045" i="4"/>
  <c r="F1049" i="4"/>
  <c r="F1053" i="4"/>
  <c r="F1057" i="4"/>
  <c r="F1061" i="4"/>
  <c r="F1065" i="4"/>
  <c r="F1069" i="4"/>
  <c r="F1073" i="4"/>
  <c r="F1077" i="4"/>
  <c r="F1081" i="4"/>
  <c r="F1085" i="4"/>
  <c r="F1089" i="4"/>
  <c r="F1093" i="4"/>
  <c r="F1097" i="4"/>
  <c r="F1101" i="4"/>
  <c r="F1105" i="4"/>
  <c r="F1109" i="4"/>
  <c r="F1113" i="4"/>
  <c r="F1117" i="4"/>
  <c r="F1121" i="4"/>
  <c r="F1125" i="4"/>
  <c r="F1129" i="4"/>
  <c r="F1133" i="4"/>
  <c r="F1137" i="4"/>
  <c r="F1141" i="4"/>
  <c r="F1145" i="4"/>
  <c r="F1149" i="4"/>
  <c r="F1153" i="4"/>
  <c r="F1157" i="4"/>
  <c r="F1161" i="4"/>
  <c r="F1165" i="4"/>
  <c r="F1169" i="4"/>
  <c r="F1173" i="4"/>
  <c r="F1177" i="4"/>
  <c r="F1181" i="4"/>
  <c r="F1185" i="4"/>
  <c r="F1189" i="4"/>
  <c r="F1193" i="4"/>
  <c r="F1197" i="4"/>
  <c r="F1201" i="4"/>
  <c r="F1205" i="4"/>
  <c r="F1209" i="4"/>
  <c r="F1213" i="4"/>
  <c r="F1217" i="4"/>
  <c r="F1221" i="4"/>
  <c r="F1225" i="4"/>
  <c r="F1229" i="4"/>
  <c r="F1233" i="4"/>
  <c r="F1237" i="4"/>
  <c r="F1241" i="4"/>
  <c r="F1245" i="4"/>
  <c r="F1249" i="4"/>
  <c r="F1253" i="4"/>
  <c r="F1257" i="4"/>
  <c r="F1261" i="4"/>
  <c r="F1265" i="4"/>
  <c r="F1269" i="4"/>
  <c r="F1273" i="4"/>
  <c r="F1277" i="4"/>
  <c r="F1281" i="4"/>
  <c r="F1285" i="4"/>
  <c r="F1289" i="4"/>
  <c r="F1293" i="4"/>
  <c r="F1297" i="4"/>
  <c r="F1301" i="4"/>
  <c r="F1305" i="4"/>
  <c r="F1309" i="4"/>
  <c r="F1313" i="4"/>
  <c r="F1317" i="4"/>
  <c r="F1321" i="4"/>
  <c r="F1325" i="4"/>
  <c r="F1329" i="4"/>
  <c r="F1333" i="4"/>
  <c r="F1337" i="4"/>
  <c r="F1341" i="4"/>
  <c r="F1345" i="4"/>
  <c r="F1349" i="4"/>
  <c r="F1353" i="4"/>
  <c r="F1357" i="4"/>
  <c r="F1361" i="4"/>
  <c r="F1365" i="4"/>
  <c r="F1369" i="4"/>
  <c r="F1373" i="4"/>
  <c r="F1377" i="4"/>
  <c r="F1381" i="4"/>
  <c r="F1385" i="4"/>
  <c r="F1389" i="4"/>
  <c r="F1393" i="4"/>
  <c r="F1397" i="4"/>
  <c r="F1401" i="4"/>
  <c r="F1405" i="4"/>
  <c r="F1409" i="4"/>
  <c r="F1413" i="4"/>
  <c r="F1417" i="4"/>
  <c r="F1421" i="4"/>
  <c r="F1425" i="4"/>
  <c r="F1429" i="4"/>
  <c r="F1433" i="4"/>
  <c r="F1437" i="4"/>
  <c r="F1441" i="4"/>
  <c r="F1445" i="4"/>
  <c r="F1449" i="4"/>
  <c r="F1453" i="4"/>
  <c r="F1457" i="4"/>
  <c r="F1461" i="4"/>
  <c r="F1465" i="4"/>
  <c r="F1469" i="4"/>
  <c r="F1473" i="4"/>
  <c r="F1477" i="4"/>
  <c r="F1481" i="4"/>
  <c r="F1485" i="4"/>
  <c r="F1489" i="4"/>
  <c r="F1493" i="4"/>
  <c r="F1497" i="4"/>
  <c r="F1501" i="4"/>
  <c r="F1505" i="4"/>
  <c r="F1509" i="4"/>
  <c r="F1513" i="4"/>
  <c r="F1517" i="4"/>
  <c r="F1521" i="4"/>
  <c r="F1525" i="4"/>
  <c r="F1529" i="4"/>
  <c r="F1533" i="4"/>
  <c r="F1537" i="4"/>
  <c r="F1541" i="4"/>
  <c r="F1545" i="4"/>
  <c r="F1549" i="4"/>
  <c r="F1553" i="4"/>
  <c r="F1557" i="4"/>
  <c r="F1561" i="4"/>
  <c r="F1565" i="4"/>
  <c r="F1569" i="4"/>
  <c r="F1573" i="4"/>
  <c r="F1577" i="4"/>
  <c r="F1581" i="4"/>
  <c r="F1585" i="4"/>
  <c r="F1589" i="4"/>
  <c r="F1593" i="4"/>
  <c r="F1597" i="4"/>
  <c r="F1601" i="4"/>
  <c r="F1605" i="4"/>
  <c r="F1609" i="4"/>
  <c r="F1613" i="4"/>
  <c r="F1617" i="4"/>
  <c r="F1621" i="4"/>
  <c r="F1625" i="4"/>
  <c r="F1629" i="4"/>
  <c r="F1633" i="4"/>
  <c r="F1637" i="4"/>
  <c r="F1641" i="4"/>
  <c r="F1645" i="4"/>
  <c r="F1649" i="4"/>
  <c r="F1653" i="4"/>
  <c r="F1657" i="4"/>
  <c r="F1661" i="4"/>
  <c r="F1665" i="4"/>
  <c r="F1669" i="4"/>
  <c r="F1673" i="4"/>
  <c r="F1677" i="4"/>
  <c r="F1681" i="4"/>
  <c r="F1685" i="4"/>
  <c r="F1689" i="4"/>
  <c r="F1693" i="4"/>
  <c r="F1697" i="4"/>
  <c r="F1701" i="4"/>
  <c r="F1705" i="4"/>
  <c r="F1709" i="4"/>
  <c r="F1713" i="4"/>
  <c r="F1717" i="4"/>
  <c r="F1721" i="4"/>
  <c r="F1725" i="4"/>
  <c r="F1729" i="4"/>
  <c r="F1733" i="4"/>
  <c r="F1737" i="4"/>
  <c r="F1741" i="4"/>
  <c r="F1745" i="4"/>
  <c r="F1749" i="4"/>
  <c r="F1753" i="4"/>
  <c r="F1757" i="4"/>
  <c r="F1761" i="4"/>
  <c r="F1765" i="4"/>
  <c r="F1769" i="4"/>
  <c r="F1773" i="4"/>
  <c r="F1777" i="4"/>
  <c r="F1781" i="4"/>
  <c r="F1785" i="4"/>
  <c r="F1789" i="4"/>
  <c r="F1793" i="4"/>
  <c r="F1797" i="4"/>
  <c r="F1801" i="4"/>
  <c r="F1805" i="4"/>
  <c r="F1809" i="4"/>
  <c r="F1813" i="4"/>
  <c r="F1817" i="4"/>
  <c r="F1821" i="4"/>
  <c r="F1825" i="4"/>
  <c r="F1829" i="4"/>
  <c r="F1833" i="4"/>
  <c r="F1837" i="4"/>
  <c r="F1841" i="4"/>
  <c r="F1845" i="4"/>
  <c r="F1849" i="4"/>
  <c r="F1853" i="4"/>
  <c r="F1857" i="4"/>
  <c r="F1861" i="4"/>
  <c r="F1865" i="4"/>
  <c r="F1869" i="4"/>
  <c r="F1873" i="4"/>
  <c r="F1877" i="4"/>
  <c r="F1881" i="4"/>
  <c r="F1885" i="4"/>
  <c r="F1889" i="4"/>
  <c r="F1893" i="4"/>
  <c r="F1897" i="4"/>
  <c r="F1901" i="4"/>
  <c r="F1905" i="4"/>
  <c r="F1909" i="4"/>
  <c r="F1913" i="4"/>
  <c r="F1917" i="4"/>
  <c r="F1921" i="4"/>
  <c r="F1925" i="4"/>
  <c r="F1929" i="4"/>
  <c r="F1933" i="4"/>
  <c r="F1937" i="4"/>
  <c r="F1941" i="4"/>
  <c r="F1945" i="4"/>
  <c r="F1949" i="4"/>
  <c r="F1953" i="4"/>
  <c r="F1957" i="4"/>
  <c r="F1961" i="4"/>
  <c r="F1965" i="4"/>
  <c r="F1969" i="4"/>
  <c r="F1973" i="4"/>
  <c r="F1977" i="4"/>
  <c r="F1981" i="4"/>
  <c r="F1985" i="4"/>
  <c r="F1989" i="4"/>
  <c r="F1993" i="4"/>
  <c r="F1997" i="4"/>
  <c r="F2001" i="4"/>
  <c r="F2005" i="4"/>
  <c r="F2009" i="4"/>
  <c r="F2013" i="4"/>
  <c r="F2017" i="4"/>
  <c r="F2021" i="4"/>
  <c r="F2025" i="4"/>
  <c r="F2029" i="4"/>
  <c r="F2033" i="4"/>
  <c r="F2037" i="4"/>
  <c r="F2041" i="4"/>
  <c r="F2045" i="4"/>
  <c r="F2049" i="4"/>
  <c r="F2053" i="4"/>
  <c r="F2057" i="4"/>
  <c r="F2061" i="4"/>
  <c r="F2065" i="4"/>
  <c r="F2069" i="4"/>
  <c r="F2073" i="4"/>
  <c r="F2077" i="4"/>
  <c r="F2081" i="4"/>
  <c r="F2085" i="4"/>
  <c r="F2089" i="4"/>
  <c r="F2093" i="4"/>
  <c r="F2097" i="4"/>
  <c r="F2101" i="4"/>
  <c r="F2105" i="4"/>
  <c r="F2109" i="4"/>
  <c r="F2113" i="4"/>
  <c r="F2117" i="4"/>
  <c r="F2121" i="4"/>
  <c r="F2125" i="4"/>
  <c r="F2129" i="4"/>
  <c r="F2133" i="4"/>
  <c r="F2137" i="4"/>
  <c r="F2141" i="4"/>
  <c r="F2145" i="4"/>
  <c r="F2149" i="4"/>
  <c r="F2153" i="4"/>
  <c r="F2157" i="4"/>
  <c r="F2161" i="4"/>
  <c r="F2165" i="4"/>
  <c r="F2169" i="4"/>
  <c r="F2173" i="4"/>
  <c r="F2177" i="4"/>
  <c r="F2181" i="4"/>
  <c r="F2185" i="4"/>
  <c r="F2189" i="4"/>
  <c r="F2193" i="4"/>
  <c r="F2197" i="4"/>
  <c r="F2201" i="4"/>
  <c r="F2205" i="4"/>
  <c r="F2209" i="4"/>
  <c r="F2213" i="4"/>
  <c r="F2217" i="4"/>
  <c r="F2221" i="4"/>
  <c r="F2225" i="4"/>
  <c r="F2229" i="4"/>
  <c r="F2233" i="4"/>
  <c r="F2237" i="4"/>
  <c r="F2241" i="4"/>
  <c r="F2245" i="4"/>
  <c r="F2249" i="4"/>
  <c r="F2253" i="4"/>
  <c r="F2257" i="4"/>
  <c r="F2261" i="4"/>
  <c r="F2265" i="4"/>
  <c r="F2269" i="4"/>
  <c r="F2273" i="4"/>
  <c r="F2277" i="4"/>
  <c r="F2281" i="4"/>
  <c r="F2285" i="4"/>
  <c r="F2289" i="4"/>
  <c r="F2293" i="4"/>
  <c r="F2297" i="4"/>
  <c r="F2301" i="4"/>
  <c r="F2305" i="4"/>
  <c r="F2309" i="4"/>
  <c r="F2313" i="4"/>
  <c r="F2317" i="4"/>
  <c r="F2321" i="4"/>
  <c r="F2325" i="4"/>
  <c r="F2329" i="4"/>
  <c r="F2333" i="4"/>
  <c r="F2337" i="4"/>
  <c r="F2341" i="4"/>
  <c r="F2345" i="4"/>
  <c r="F2349" i="4"/>
  <c r="F2353" i="4"/>
  <c r="F2357" i="4"/>
  <c r="F2361" i="4"/>
  <c r="F2365" i="4"/>
  <c r="F2369" i="4"/>
  <c r="F2373" i="4"/>
  <c r="F2377" i="4"/>
  <c r="F2381" i="4"/>
  <c r="F2385" i="4"/>
  <c r="F2389" i="4"/>
  <c r="F2393" i="4"/>
  <c r="F2397" i="4"/>
  <c r="F2401" i="4"/>
  <c r="F2405" i="4"/>
  <c r="F2409" i="4"/>
  <c r="F2413" i="4"/>
  <c r="F2417" i="4"/>
  <c r="F2421" i="4"/>
  <c r="F2425" i="4"/>
  <c r="F2429" i="4"/>
  <c r="F2433" i="4"/>
  <c r="F2437" i="4"/>
  <c r="F2441" i="4"/>
  <c r="F2445" i="4"/>
  <c r="F2449" i="4"/>
  <c r="F2453" i="4"/>
  <c r="F2457" i="4"/>
  <c r="F2461" i="4"/>
  <c r="F2465" i="4"/>
  <c r="F2469" i="4"/>
  <c r="F2473" i="4"/>
  <c r="F2477" i="4"/>
  <c r="F2481" i="4"/>
  <c r="F2485" i="4"/>
  <c r="F2489" i="4"/>
  <c r="F2493" i="4"/>
  <c r="F2497" i="4"/>
  <c r="F2501" i="4"/>
  <c r="F2505" i="4"/>
  <c r="F2509" i="4"/>
  <c r="F2513" i="4"/>
  <c r="F2517" i="4"/>
  <c r="F2521" i="4"/>
  <c r="F2525" i="4"/>
  <c r="F2529" i="4"/>
  <c r="F2533" i="4"/>
  <c r="F2537" i="4"/>
  <c r="F2541" i="4"/>
  <c r="F2545" i="4"/>
  <c r="F2549" i="4"/>
  <c r="F2553" i="4"/>
  <c r="F2557" i="4"/>
  <c r="F2561" i="4"/>
  <c r="F2565" i="4"/>
  <c r="F2569" i="4"/>
  <c r="F2573" i="4"/>
  <c r="F2577" i="4"/>
  <c r="F2581" i="4"/>
  <c r="F2585" i="4"/>
  <c r="F2589" i="4"/>
  <c r="F2593" i="4"/>
  <c r="F2597" i="4"/>
  <c r="F2601" i="4"/>
  <c r="F2605" i="4"/>
  <c r="F2609" i="4"/>
  <c r="F2613" i="4"/>
  <c r="F2617" i="4"/>
  <c r="F2621" i="4"/>
  <c r="F2625" i="4"/>
  <c r="F2629" i="4"/>
  <c r="F2633" i="4"/>
  <c r="F2637" i="4"/>
  <c r="F2641" i="4"/>
  <c r="F2645" i="4"/>
  <c r="F2649" i="4"/>
  <c r="F2653" i="4"/>
  <c r="F2657" i="4"/>
  <c r="F2661" i="4"/>
  <c r="F2665" i="4"/>
  <c r="F2669" i="4"/>
  <c r="F2673" i="4"/>
  <c r="F2677" i="4"/>
  <c r="F2681" i="4"/>
  <c r="F2685" i="4"/>
  <c r="F2689" i="4"/>
  <c r="F2693" i="4"/>
  <c r="F2697" i="4"/>
  <c r="F2701" i="4"/>
  <c r="F2705" i="4"/>
  <c r="F2709" i="4"/>
  <c r="F2713" i="4"/>
  <c r="F2717" i="4"/>
  <c r="F2721" i="4"/>
  <c r="F2725" i="4"/>
  <c r="F2729" i="4"/>
  <c r="F2733" i="4"/>
  <c r="F2737" i="4"/>
  <c r="F2741" i="4"/>
  <c r="F2747" i="4"/>
  <c r="F2751" i="4"/>
  <c r="F2755" i="4"/>
  <c r="F2759" i="4"/>
  <c r="F2763" i="4"/>
  <c r="F2767" i="4"/>
  <c r="F2771" i="4"/>
  <c r="F2775" i="4"/>
  <c r="F2779" i="4"/>
  <c r="F2783" i="4"/>
  <c r="F2787" i="4"/>
  <c r="F2791" i="4"/>
  <c r="F2795" i="4"/>
  <c r="F2799" i="4"/>
  <c r="F2803" i="4"/>
  <c r="F2807" i="4"/>
  <c r="F2811" i="4"/>
  <c r="F2815" i="4"/>
  <c r="F2819" i="4"/>
  <c r="F2823" i="4"/>
  <c r="F2827" i="4"/>
  <c r="F2831" i="4"/>
  <c r="F2835" i="4"/>
  <c r="F2839" i="4"/>
  <c r="F2843" i="4"/>
  <c r="F2847" i="4"/>
  <c r="F2851" i="4"/>
  <c r="F2855" i="4"/>
  <c r="F2859" i="4"/>
  <c r="F2863" i="4"/>
  <c r="F2867" i="4"/>
  <c r="F2871" i="4"/>
  <c r="F2875" i="4"/>
  <c r="F2879" i="4"/>
  <c r="F2883" i="4"/>
  <c r="F2887" i="4"/>
  <c r="F2891" i="4"/>
  <c r="F2895" i="4"/>
  <c r="F2899" i="4"/>
  <c r="F2903" i="4"/>
  <c r="F2907" i="4"/>
  <c r="F2911" i="4"/>
  <c r="F2915" i="4"/>
  <c r="F2919" i="4"/>
  <c r="F2923" i="4"/>
  <c r="F2927" i="4"/>
  <c r="F2931" i="4"/>
  <c r="F2935" i="4"/>
  <c r="F2939" i="4"/>
  <c r="F2943" i="4"/>
  <c r="F2947" i="4"/>
  <c r="F2951" i="4"/>
  <c r="F2955" i="4"/>
  <c r="F2959" i="4"/>
  <c r="F2963" i="4"/>
  <c r="F2967" i="4"/>
  <c r="F2971" i="4"/>
  <c r="F2975" i="4"/>
  <c r="F2979" i="4"/>
  <c r="F2983" i="4"/>
  <c r="F2987" i="4"/>
  <c r="F2991" i="4"/>
  <c r="F2995" i="4"/>
  <c r="F2999" i="4"/>
  <c r="F3003" i="4"/>
  <c r="F3007" i="4"/>
  <c r="F3011" i="4"/>
  <c r="F3015" i="4"/>
  <c r="F3019" i="4"/>
  <c r="F3023" i="4"/>
  <c r="F3027" i="4"/>
  <c r="F3031" i="4"/>
  <c r="F3035" i="4"/>
  <c r="F3039" i="4"/>
  <c r="F3043" i="4"/>
  <c r="F3047" i="4"/>
  <c r="F3051" i="4"/>
  <c r="F3055" i="4"/>
  <c r="F3059" i="4"/>
  <c r="F3063" i="4"/>
  <c r="F3067" i="4"/>
  <c r="F3071" i="4"/>
  <c r="F3075" i="4"/>
  <c r="F3079" i="4"/>
  <c r="F3083" i="4"/>
  <c r="F3087" i="4"/>
  <c r="F3091" i="4"/>
  <c r="F3095" i="4"/>
  <c r="F3099" i="4"/>
  <c r="F3103" i="4"/>
  <c r="F3107" i="4"/>
  <c r="F3111" i="4"/>
  <c r="F3115" i="4"/>
  <c r="F3119" i="4"/>
  <c r="F3123" i="4"/>
  <c r="F3127" i="4"/>
  <c r="F3131" i="4"/>
  <c r="F3135" i="4"/>
  <c r="F3139" i="4"/>
  <c r="F3143" i="4"/>
  <c r="F3147" i="4"/>
  <c r="F3151" i="4"/>
  <c r="F3155" i="4"/>
  <c r="F3159" i="4"/>
  <c r="F3163" i="4"/>
  <c r="F3167" i="4"/>
  <c r="F3171" i="4"/>
  <c r="F3175" i="4"/>
  <c r="F3179" i="4"/>
  <c r="F3183" i="4"/>
  <c r="F3187" i="4"/>
  <c r="F3191" i="4"/>
  <c r="F3195" i="4"/>
  <c r="F3199" i="4"/>
  <c r="F3203" i="4"/>
  <c r="F3207" i="4"/>
  <c r="F3211" i="4"/>
  <c r="F3215" i="4"/>
  <c r="F3219" i="4"/>
  <c r="F3223" i="4"/>
  <c r="F3227" i="4"/>
  <c r="F3231" i="4"/>
  <c r="F3235" i="4"/>
  <c r="F3239" i="4"/>
  <c r="F3243" i="4"/>
  <c r="F3247" i="4"/>
  <c r="F3251" i="4"/>
  <c r="F3255" i="4"/>
  <c r="F3259" i="4"/>
  <c r="F3263" i="4"/>
  <c r="F3267" i="4"/>
  <c r="F3271" i="4"/>
  <c r="F3275" i="4"/>
  <c r="F3279" i="4"/>
  <c r="F3283" i="4"/>
  <c r="F3287" i="4"/>
  <c r="F3291" i="4"/>
  <c r="F3295" i="4"/>
  <c r="F3299" i="4"/>
  <c r="F3303" i="4"/>
  <c r="F3307" i="4"/>
  <c r="F3311" i="4"/>
  <c r="F3315" i="4"/>
  <c r="F3319" i="4"/>
  <c r="F3323" i="4"/>
  <c r="F3327" i="4"/>
  <c r="F3331" i="4"/>
  <c r="F3335" i="4"/>
  <c r="F3339" i="4"/>
  <c r="F3343" i="4"/>
  <c r="F3347" i="4"/>
  <c r="F3351" i="4"/>
  <c r="F3355" i="4"/>
  <c r="F3359" i="4"/>
  <c r="F3363" i="4"/>
  <c r="F3367" i="4"/>
  <c r="F3371" i="4"/>
  <c r="F3375" i="4"/>
  <c r="F3379" i="4"/>
  <c r="F3383" i="4"/>
  <c r="F3387" i="4"/>
  <c r="F3391" i="4"/>
  <c r="F3395" i="4"/>
  <c r="F3399" i="4"/>
  <c r="F3403" i="4"/>
  <c r="F3407" i="4"/>
  <c r="F3411" i="4"/>
  <c r="F3415" i="4"/>
  <c r="F3419" i="4"/>
  <c r="F3423" i="4"/>
  <c r="F3427" i="4"/>
  <c r="F3431" i="4"/>
  <c r="F3435" i="4"/>
  <c r="F3439" i="4"/>
  <c r="F3443" i="4"/>
  <c r="F3447" i="4"/>
  <c r="F3451" i="4"/>
  <c r="F3455" i="4"/>
  <c r="F3459" i="4"/>
  <c r="F3463" i="4"/>
  <c r="F3467" i="4"/>
  <c r="F3471" i="4"/>
  <c r="F3475" i="4"/>
  <c r="F3479" i="4"/>
  <c r="F3483" i="4"/>
  <c r="F3487" i="4"/>
  <c r="F3491" i="4"/>
  <c r="F3495" i="4"/>
  <c r="F3499" i="4"/>
  <c r="F3503" i="4"/>
  <c r="F3507" i="4"/>
  <c r="F3511" i="4"/>
  <c r="F3515" i="4"/>
  <c r="F3519" i="4"/>
  <c r="F3523" i="4"/>
  <c r="F3527" i="4"/>
  <c r="F3531" i="4"/>
  <c r="F3535" i="4"/>
  <c r="F3539" i="4"/>
  <c r="F3543" i="4"/>
  <c r="F3547" i="4"/>
  <c r="F3551" i="4"/>
  <c r="F3555" i="4"/>
  <c r="F3559" i="4"/>
  <c r="F3563" i="4"/>
  <c r="F3567" i="4"/>
  <c r="F3571" i="4"/>
  <c r="F3575" i="4"/>
  <c r="F3579" i="4"/>
  <c r="F3583" i="4"/>
  <c r="F3587" i="4"/>
  <c r="F3591" i="4"/>
  <c r="F3595" i="4"/>
  <c r="F3599" i="4"/>
  <c r="F3603" i="4"/>
  <c r="F3607" i="4"/>
  <c r="F3611" i="4"/>
  <c r="F3615" i="4"/>
  <c r="F3619" i="4"/>
  <c r="F3623" i="4"/>
  <c r="F3627" i="4"/>
  <c r="F3631" i="4"/>
  <c r="F3635" i="4"/>
  <c r="F3639" i="4"/>
  <c r="F3643" i="4"/>
  <c r="F3647" i="4"/>
  <c r="F3651" i="4"/>
  <c r="F3655" i="4"/>
  <c r="F3659" i="4"/>
  <c r="F3663" i="4"/>
  <c r="F3667" i="4"/>
  <c r="F3671" i="4"/>
  <c r="F3675" i="4"/>
  <c r="F3679" i="4"/>
  <c r="F3683" i="4"/>
  <c r="F3687" i="4"/>
  <c r="F3691" i="4"/>
  <c r="F3695" i="4"/>
  <c r="F3699" i="4"/>
  <c r="F3703" i="4"/>
  <c r="F3707" i="4"/>
  <c r="F3711" i="4"/>
  <c r="F3715" i="4"/>
  <c r="F3719" i="4"/>
  <c r="F3723" i="4"/>
  <c r="F3727" i="4"/>
  <c r="F3731" i="4"/>
  <c r="F3735" i="4"/>
  <c r="F3739" i="4"/>
  <c r="F3743" i="4"/>
  <c r="F3747" i="4"/>
  <c r="F3751" i="4"/>
  <c r="F3755" i="4"/>
  <c r="F3759" i="4"/>
  <c r="F3763" i="4"/>
  <c r="F3767" i="4"/>
  <c r="F3771" i="4"/>
  <c r="F3775" i="4"/>
  <c r="F3779" i="4"/>
  <c r="F3783" i="4"/>
  <c r="F3787" i="4"/>
  <c r="F3791" i="4"/>
  <c r="F3795" i="4"/>
  <c r="F3799" i="4"/>
  <c r="F3803" i="4"/>
  <c r="F3807" i="4"/>
  <c r="F3811" i="4"/>
  <c r="F3815" i="4"/>
  <c r="F3819" i="4"/>
  <c r="F3823" i="4"/>
  <c r="F3827" i="4"/>
  <c r="F3831" i="4"/>
  <c r="F3835" i="4"/>
  <c r="F3839" i="4"/>
  <c r="F3843" i="4"/>
  <c r="F3847" i="4"/>
  <c r="F3851" i="4"/>
  <c r="F3855" i="4"/>
  <c r="F3859" i="4"/>
  <c r="F3863" i="4"/>
  <c r="F3867" i="4"/>
  <c r="F3871" i="4"/>
  <c r="F3875" i="4"/>
  <c r="F3879" i="4"/>
  <c r="F3883" i="4"/>
  <c r="F3887" i="4"/>
  <c r="F3891" i="4"/>
  <c r="F3895" i="4"/>
  <c r="F3899" i="4"/>
  <c r="F3903" i="4"/>
  <c r="F3907" i="4"/>
  <c r="F3911" i="4"/>
  <c r="F3915" i="4"/>
  <c r="F3919" i="4"/>
  <c r="F3923" i="4"/>
  <c r="F3927" i="4"/>
  <c r="F3931" i="4"/>
  <c r="F3935" i="4"/>
  <c r="F3939" i="4"/>
  <c r="F3943" i="4"/>
  <c r="F3947" i="4"/>
  <c r="F3951" i="4"/>
  <c r="F3955" i="4"/>
  <c r="F3959" i="4"/>
  <c r="F3963" i="4"/>
  <c r="F3967" i="4"/>
  <c r="F3971" i="4"/>
  <c r="F3975" i="4"/>
  <c r="F3979" i="4"/>
  <c r="F3983" i="4"/>
  <c r="F3987" i="4"/>
  <c r="F3991" i="4"/>
  <c r="F3995" i="4"/>
  <c r="F3999" i="4"/>
  <c r="F4003" i="4"/>
  <c r="F4007" i="4"/>
  <c r="F4011" i="4"/>
  <c r="F4015" i="4"/>
  <c r="F4019" i="4"/>
  <c r="F4023" i="4"/>
  <c r="F4027" i="4"/>
  <c r="F4031" i="4"/>
  <c r="F4035" i="4"/>
  <c r="F4039" i="4"/>
  <c r="F4043" i="4"/>
  <c r="F4047" i="4"/>
  <c r="F4051" i="4"/>
  <c r="F4055" i="4"/>
  <c r="F4059" i="4"/>
  <c r="F4063" i="4"/>
  <c r="F4067" i="4"/>
  <c r="F4071" i="4"/>
  <c r="F4075" i="4"/>
  <c r="F4079" i="4"/>
  <c r="F4083" i="4"/>
  <c r="F4087" i="4"/>
  <c r="F4091" i="4"/>
  <c r="F4095" i="4"/>
  <c r="F4099" i="4"/>
  <c r="F4103" i="4"/>
  <c r="F4107" i="4"/>
  <c r="F4111" i="4"/>
  <c r="F4115" i="4"/>
  <c r="F4119" i="4"/>
  <c r="F4123" i="4"/>
  <c r="F4127" i="4"/>
  <c r="F4131" i="4"/>
  <c r="F4135" i="4"/>
  <c r="F4139" i="4"/>
  <c r="F4143" i="4"/>
  <c r="F4147" i="4"/>
  <c r="F4151" i="4"/>
  <c r="F4155" i="4"/>
  <c r="F4159" i="4"/>
  <c r="F4163" i="4"/>
  <c r="F4167" i="4"/>
  <c r="F4171" i="4"/>
  <c r="F4175" i="4"/>
  <c r="F4179" i="4"/>
  <c r="F4183" i="4"/>
  <c r="F4187" i="4"/>
  <c r="F4191" i="4"/>
  <c r="F4195" i="4"/>
  <c r="F4199" i="4"/>
  <c r="F4203" i="4"/>
  <c r="F4207" i="4"/>
  <c r="F4211" i="4"/>
  <c r="F4215" i="4"/>
  <c r="F4219" i="4"/>
  <c r="F4223" i="4"/>
  <c r="F4227" i="4"/>
  <c r="F4231" i="4"/>
  <c r="F4235" i="4"/>
  <c r="F4239" i="4"/>
  <c r="F4243" i="4"/>
  <c r="F4247" i="4"/>
  <c r="F4251" i="4"/>
  <c r="F4255" i="4"/>
  <c r="F4259" i="4"/>
  <c r="F4263" i="4"/>
  <c r="F4267" i="4"/>
  <c r="F4271" i="4"/>
  <c r="F4275" i="4"/>
  <c r="F4279" i="4"/>
  <c r="F4283" i="4"/>
  <c r="F4287" i="4"/>
  <c r="F4291" i="4"/>
  <c r="F4295" i="4"/>
  <c r="F4299" i="4"/>
  <c r="F4303" i="4"/>
  <c r="F4307" i="4"/>
  <c r="F4311" i="4"/>
  <c r="F4315" i="4"/>
  <c r="F4319" i="4"/>
  <c r="F4323" i="4"/>
  <c r="F4327" i="4"/>
  <c r="F4331" i="4"/>
  <c r="F4335" i="4"/>
  <c r="F4339" i="4"/>
  <c r="F4343" i="4"/>
  <c r="F4347" i="4"/>
  <c r="F4351" i="4"/>
  <c r="F4355" i="4"/>
  <c r="F4359" i="4"/>
  <c r="F4363" i="4"/>
  <c r="F4367" i="4"/>
  <c r="F4371" i="4"/>
  <c r="F4375" i="4"/>
  <c r="F4379" i="4"/>
  <c r="F4383" i="4"/>
  <c r="F4387" i="4"/>
  <c r="F4391" i="4"/>
  <c r="F4395" i="4"/>
  <c r="F4399" i="4"/>
  <c r="F4403" i="4"/>
  <c r="F4407" i="4"/>
  <c r="F4411" i="4"/>
  <c r="F4415" i="4"/>
  <c r="F4419" i="4"/>
  <c r="F4423" i="4"/>
  <c r="F4427" i="4"/>
  <c r="F4431" i="4"/>
  <c r="F4435" i="4"/>
  <c r="F4439" i="4"/>
  <c r="F4443" i="4"/>
  <c r="F4447" i="4"/>
  <c r="F4451" i="4"/>
  <c r="F4455" i="4"/>
  <c r="F4459" i="4"/>
  <c r="F4463" i="4"/>
  <c r="F4467" i="4"/>
  <c r="F4471" i="4"/>
  <c r="F4475" i="4"/>
  <c r="F4479" i="4"/>
  <c r="F4483" i="4"/>
  <c r="F4487" i="4"/>
  <c r="F4491" i="4"/>
  <c r="F4495" i="4"/>
  <c r="F4499" i="4"/>
  <c r="F4503" i="4"/>
  <c r="F4507" i="4"/>
  <c r="F4511" i="4"/>
  <c r="F4515" i="4"/>
  <c r="F4519" i="4"/>
  <c r="F4523" i="4"/>
  <c r="F4527" i="4"/>
  <c r="F4531" i="4"/>
  <c r="F4535" i="4"/>
  <c r="F4539" i="4"/>
  <c r="F4543" i="4"/>
  <c r="F4547" i="4"/>
  <c r="F4551" i="4"/>
  <c r="F4555" i="4"/>
  <c r="F4559" i="4"/>
  <c r="F4563" i="4"/>
  <c r="F4567" i="4"/>
  <c r="F4571" i="4"/>
  <c r="F4575" i="4"/>
  <c r="F4579" i="4"/>
  <c r="F4583" i="4"/>
  <c r="F4587" i="4"/>
  <c r="F4591" i="4"/>
  <c r="F4595" i="4"/>
  <c r="F4599" i="4"/>
  <c r="F4603" i="4"/>
  <c r="F4607" i="4"/>
  <c r="F4611" i="4"/>
  <c r="F4615" i="4"/>
  <c r="F4619" i="4"/>
  <c r="F4623" i="4"/>
  <c r="F4627" i="4"/>
  <c r="F4631" i="4"/>
  <c r="F4635" i="4"/>
  <c r="F4639" i="4"/>
  <c r="F4643" i="4"/>
  <c r="F4647" i="4"/>
  <c r="F4651" i="4"/>
  <c r="F4655" i="4"/>
  <c r="F4659" i="4"/>
  <c r="F4663" i="4"/>
  <c r="F4667" i="4"/>
  <c r="F4671" i="4"/>
  <c r="F4675" i="4"/>
  <c r="F4679" i="4"/>
  <c r="F4683" i="4"/>
  <c r="F4687" i="4"/>
  <c r="F4691" i="4"/>
  <c r="F4695" i="4"/>
  <c r="F4699" i="4"/>
  <c r="F4703" i="4"/>
  <c r="F4707" i="4"/>
  <c r="F4711" i="4"/>
  <c r="F4715" i="4"/>
  <c r="F4719" i="4"/>
  <c r="F4723" i="4"/>
  <c r="F4727" i="4"/>
  <c r="F4731" i="4"/>
  <c r="F4735" i="4"/>
  <c r="F4739" i="4"/>
  <c r="F4743" i="4"/>
  <c r="F4747" i="4"/>
  <c r="F4751" i="4"/>
  <c r="F4755" i="4"/>
  <c r="F4759" i="4"/>
  <c r="F4763" i="4"/>
  <c r="F4767" i="4"/>
  <c r="F4771" i="4"/>
  <c r="F4775" i="4"/>
  <c r="F4779" i="4"/>
  <c r="F4783" i="4"/>
  <c r="F4787" i="4"/>
  <c r="F4791" i="4"/>
  <c r="F4795" i="4"/>
  <c r="F4799" i="4"/>
  <c r="F4803" i="4"/>
  <c r="F4807" i="4"/>
  <c r="F4811" i="4"/>
  <c r="F4815" i="4"/>
  <c r="F4819" i="4"/>
  <c r="F4823" i="4"/>
  <c r="F4827" i="4"/>
  <c r="F4831" i="4"/>
  <c r="F4835" i="4"/>
  <c r="F4839" i="4"/>
  <c r="F4843" i="4"/>
  <c r="F4847" i="4"/>
  <c r="F4851" i="4"/>
  <c r="F4855" i="4"/>
  <c r="F4859" i="4"/>
  <c r="F4863" i="4"/>
  <c r="F4867" i="4"/>
  <c r="F4871" i="4"/>
  <c r="F4875" i="4"/>
  <c r="F4879" i="4"/>
  <c r="F4883" i="4"/>
  <c r="F4887" i="4"/>
  <c r="F4891" i="4"/>
  <c r="F4895" i="4"/>
  <c r="F4899" i="4"/>
  <c r="F4903" i="4"/>
  <c r="F4907" i="4"/>
  <c r="F4911" i="4"/>
  <c r="F4915" i="4"/>
  <c r="F4919" i="4"/>
  <c r="F4923" i="4"/>
  <c r="F4927" i="4"/>
  <c r="F4931" i="4"/>
  <c r="F4935" i="4"/>
  <c r="F4939" i="4"/>
  <c r="F4943" i="4"/>
  <c r="F4947" i="4"/>
  <c r="F4951" i="4"/>
  <c r="F4955" i="4"/>
  <c r="F4959" i="4"/>
  <c r="F4963" i="4"/>
  <c r="F4967" i="4"/>
  <c r="F4971" i="4"/>
  <c r="F4975" i="4"/>
  <c r="F4979" i="4"/>
  <c r="F4983" i="4"/>
  <c r="F4987" i="4"/>
  <c r="F4991" i="4"/>
  <c r="F4995" i="4"/>
  <c r="F4999" i="4"/>
  <c r="F5003" i="4"/>
  <c r="F5007" i="4"/>
  <c r="G11" i="4"/>
  <c r="G15" i="4"/>
  <c r="G19" i="4"/>
  <c r="G23" i="4"/>
  <c r="G27" i="4"/>
  <c r="G31" i="4"/>
  <c r="G35" i="4"/>
  <c r="G39" i="4"/>
  <c r="G43" i="4"/>
  <c r="G47" i="4"/>
  <c r="G51" i="4"/>
  <c r="G55" i="4"/>
  <c r="G59" i="4"/>
  <c r="G63" i="4"/>
  <c r="G67" i="4"/>
  <c r="G71" i="4"/>
  <c r="G75" i="4"/>
  <c r="G79" i="4"/>
  <c r="G83" i="4"/>
  <c r="G87" i="4"/>
  <c r="G91" i="4"/>
  <c r="G95" i="4"/>
  <c r="G99" i="4"/>
  <c r="G103" i="4"/>
  <c r="G107" i="4"/>
  <c r="G111" i="4"/>
  <c r="G115" i="4"/>
  <c r="G119" i="4"/>
  <c r="G123" i="4"/>
  <c r="G127" i="4"/>
  <c r="G131" i="4"/>
  <c r="G135" i="4"/>
  <c r="G139" i="4"/>
  <c r="G143" i="4"/>
  <c r="G147" i="4"/>
  <c r="G151" i="4"/>
  <c r="G155" i="4"/>
  <c r="G159" i="4"/>
  <c r="G163" i="4"/>
  <c r="G167" i="4"/>
  <c r="G171" i="4"/>
  <c r="G175" i="4"/>
  <c r="G179" i="4"/>
  <c r="G183" i="4"/>
  <c r="G187" i="4"/>
  <c r="G191" i="4"/>
  <c r="G195" i="4"/>
  <c r="G199" i="4"/>
  <c r="G203" i="4"/>
  <c r="G207" i="4"/>
  <c r="G211" i="4"/>
  <c r="G215" i="4"/>
  <c r="G219" i="4"/>
  <c r="G223" i="4"/>
  <c r="G227" i="4"/>
  <c r="G231" i="4"/>
  <c r="G235" i="4"/>
  <c r="G239" i="4"/>
  <c r="G243" i="4"/>
  <c r="G247" i="4"/>
  <c r="G251" i="4"/>
  <c r="G255" i="4"/>
  <c r="G259" i="4"/>
  <c r="G263" i="4"/>
  <c r="G267" i="4"/>
  <c r="G271" i="4"/>
  <c r="G275" i="4"/>
  <c r="G279" i="4"/>
  <c r="G283" i="4"/>
  <c r="G287" i="4"/>
  <c r="G291" i="4"/>
  <c r="G295" i="4"/>
  <c r="G299" i="4"/>
  <c r="G303" i="4"/>
  <c r="G307" i="4"/>
  <c r="G311" i="4"/>
  <c r="G315" i="4"/>
  <c r="G319" i="4"/>
  <c r="G323" i="4"/>
  <c r="G327" i="4"/>
  <c r="G331" i="4"/>
  <c r="G335" i="4"/>
  <c r="G339" i="4"/>
  <c r="G343" i="4"/>
  <c r="G347" i="4"/>
  <c r="G351" i="4"/>
  <c r="G355" i="4"/>
  <c r="G359" i="4"/>
  <c r="G363" i="4"/>
  <c r="G367" i="4"/>
  <c r="G371" i="4"/>
  <c r="G375" i="4"/>
  <c r="G379" i="4"/>
  <c r="G383" i="4"/>
  <c r="G387" i="4"/>
  <c r="G391" i="4"/>
  <c r="G395" i="4"/>
  <c r="G399" i="4"/>
  <c r="G403" i="4"/>
  <c r="G407" i="4"/>
  <c r="G411" i="4"/>
  <c r="G415" i="4"/>
  <c r="G419" i="4"/>
  <c r="G423" i="4"/>
  <c r="G427" i="4"/>
  <c r="G431" i="4"/>
  <c r="G435" i="4"/>
  <c r="G439" i="4"/>
  <c r="G443" i="4"/>
  <c r="G447" i="4"/>
  <c r="G451" i="4"/>
  <c r="G455" i="4"/>
  <c r="G459" i="4"/>
  <c r="G463" i="4"/>
  <c r="G467" i="4"/>
  <c r="G471" i="4"/>
  <c r="G475" i="4"/>
  <c r="G479" i="4"/>
  <c r="G483" i="4"/>
  <c r="G487" i="4"/>
  <c r="G491" i="4"/>
  <c r="G495" i="4"/>
  <c r="G499" i="4"/>
  <c r="G503" i="4"/>
  <c r="G507" i="4"/>
  <c r="G511" i="4"/>
  <c r="G515" i="4"/>
  <c r="G519" i="4"/>
  <c r="G523" i="4"/>
  <c r="G527" i="4"/>
  <c r="G531" i="4"/>
  <c r="G535" i="4"/>
  <c r="G539" i="4"/>
  <c r="G543" i="4"/>
  <c r="G547" i="4"/>
  <c r="G551" i="4"/>
  <c r="G555" i="4"/>
  <c r="G559" i="4"/>
  <c r="G563" i="4"/>
  <c r="G567" i="4"/>
  <c r="G571" i="4"/>
  <c r="G575" i="4"/>
  <c r="G579" i="4"/>
  <c r="G583" i="4"/>
  <c r="G587" i="4"/>
  <c r="G591" i="4"/>
  <c r="G595" i="4"/>
  <c r="G599" i="4"/>
  <c r="G603" i="4"/>
  <c r="G607" i="4"/>
  <c r="G611" i="4"/>
  <c r="G615" i="4"/>
  <c r="G619" i="4"/>
  <c r="G623" i="4"/>
  <c r="G627" i="4"/>
  <c r="G631" i="4"/>
  <c r="G635" i="4"/>
  <c r="G639" i="4"/>
  <c r="G643" i="4"/>
  <c r="G647" i="4"/>
  <c r="G651" i="4"/>
  <c r="G655" i="4"/>
  <c r="G659" i="4"/>
  <c r="G663" i="4"/>
  <c r="G667" i="4"/>
  <c r="G671" i="4"/>
  <c r="G675" i="4"/>
  <c r="G679" i="4"/>
  <c r="G683" i="4"/>
  <c r="G687" i="4"/>
  <c r="G691" i="4"/>
  <c r="G695" i="4"/>
  <c r="G699" i="4"/>
  <c r="G703" i="4"/>
  <c r="G707" i="4"/>
  <c r="G711" i="4"/>
  <c r="G715" i="4"/>
  <c r="G719" i="4"/>
  <c r="G723" i="4"/>
  <c r="G727" i="4"/>
  <c r="G731" i="4"/>
  <c r="G735" i="4"/>
  <c r="G739" i="4"/>
  <c r="G743" i="4"/>
  <c r="G747" i="4"/>
  <c r="G751" i="4"/>
  <c r="G755" i="4"/>
  <c r="G759" i="4"/>
  <c r="G763" i="4"/>
  <c r="G767" i="4"/>
  <c r="G771" i="4"/>
  <c r="G775" i="4"/>
  <c r="G779" i="4"/>
  <c r="G783" i="4"/>
  <c r="G787" i="4"/>
  <c r="G791" i="4"/>
  <c r="G795" i="4"/>
  <c r="G799" i="4"/>
  <c r="G803" i="4"/>
  <c r="G807" i="4"/>
  <c r="G811" i="4"/>
  <c r="G815" i="4"/>
  <c r="G819" i="4"/>
  <c r="G823" i="4"/>
  <c r="G827" i="4"/>
  <c r="G831" i="4"/>
  <c r="G835" i="4"/>
  <c r="G839" i="4"/>
  <c r="G843" i="4"/>
  <c r="G847" i="4"/>
  <c r="G851" i="4"/>
  <c r="G855" i="4"/>
  <c r="G859" i="4"/>
  <c r="G863" i="4"/>
  <c r="G867" i="4"/>
  <c r="G871" i="4"/>
  <c r="G875" i="4"/>
  <c r="G879" i="4"/>
  <c r="G883" i="4"/>
  <c r="G887" i="4"/>
  <c r="G891" i="4"/>
  <c r="G895" i="4"/>
  <c r="G899" i="4"/>
  <c r="G903" i="4"/>
  <c r="G907" i="4"/>
  <c r="G911" i="4"/>
  <c r="G915" i="4"/>
  <c r="G919" i="4"/>
  <c r="G923" i="4"/>
  <c r="G927" i="4"/>
  <c r="G931" i="4"/>
  <c r="G935" i="4"/>
  <c r="G939" i="4"/>
  <c r="G943" i="4"/>
  <c r="G947" i="4"/>
  <c r="G951" i="4"/>
  <c r="G955" i="4"/>
  <c r="G959" i="4"/>
  <c r="G963" i="4"/>
  <c r="G967" i="4"/>
  <c r="G971" i="4"/>
  <c r="G975" i="4"/>
  <c r="G979" i="4"/>
  <c r="G983" i="4"/>
  <c r="G987" i="4"/>
  <c r="G991" i="4"/>
  <c r="G995" i="4"/>
  <c r="G999" i="4"/>
  <c r="G1003" i="4"/>
  <c r="G1007" i="4"/>
  <c r="G1011" i="4"/>
  <c r="G1015" i="4"/>
  <c r="G1019" i="4"/>
  <c r="G1023" i="4"/>
  <c r="G1027" i="4"/>
  <c r="G1031" i="4"/>
  <c r="G1035" i="4"/>
  <c r="G1039" i="4"/>
  <c r="G1043" i="4"/>
  <c r="G1047" i="4"/>
  <c r="G1051" i="4"/>
  <c r="G1055" i="4"/>
  <c r="G1059" i="4"/>
  <c r="G1063" i="4"/>
  <c r="G1067" i="4"/>
  <c r="G1071" i="4"/>
  <c r="G1075" i="4"/>
  <c r="G1079" i="4"/>
  <c r="G1083" i="4"/>
  <c r="G1087" i="4"/>
  <c r="G1091" i="4"/>
  <c r="G1095" i="4"/>
  <c r="G1099" i="4"/>
  <c r="G1103" i="4"/>
  <c r="G1107" i="4"/>
  <c r="G1111" i="4"/>
  <c r="G1115" i="4"/>
  <c r="G1119" i="4"/>
  <c r="G1123" i="4"/>
  <c r="G1127" i="4"/>
  <c r="G1131" i="4"/>
  <c r="G1135" i="4"/>
  <c r="G1139" i="4"/>
  <c r="G1143" i="4"/>
  <c r="G1147" i="4"/>
  <c r="G1151" i="4"/>
  <c r="G1155" i="4"/>
  <c r="G1159" i="4"/>
  <c r="G1163" i="4"/>
  <c r="G1167" i="4"/>
  <c r="G1171" i="4"/>
  <c r="G1175" i="4"/>
  <c r="G1179" i="4"/>
  <c r="G1183" i="4"/>
  <c r="G1187" i="4"/>
  <c r="G1191" i="4"/>
  <c r="G1195" i="4"/>
  <c r="G1199" i="4"/>
  <c r="G1203" i="4"/>
  <c r="G1207" i="4"/>
  <c r="G1211" i="4"/>
  <c r="G1215" i="4"/>
  <c r="G1219" i="4"/>
  <c r="G1223" i="4"/>
  <c r="G1227" i="4"/>
  <c r="G1231" i="4"/>
  <c r="G1235" i="4"/>
  <c r="G1239" i="4"/>
  <c r="G1243" i="4"/>
  <c r="G1247" i="4"/>
  <c r="G1251" i="4"/>
  <c r="G1255" i="4"/>
  <c r="G1259" i="4"/>
  <c r="G1263" i="4"/>
  <c r="G1267" i="4"/>
  <c r="G1271" i="4"/>
  <c r="G1275" i="4"/>
  <c r="G1279" i="4"/>
  <c r="G1283" i="4"/>
  <c r="G1287" i="4"/>
  <c r="G1291" i="4"/>
  <c r="G1295" i="4"/>
  <c r="G1299" i="4"/>
  <c r="G1303" i="4"/>
  <c r="G1307" i="4"/>
  <c r="G1311" i="4"/>
  <c r="G1315" i="4"/>
  <c r="G1319" i="4"/>
  <c r="G1323" i="4"/>
  <c r="G1327" i="4"/>
  <c r="G1331" i="4"/>
  <c r="G1335" i="4"/>
  <c r="G1339" i="4"/>
  <c r="G1343" i="4"/>
  <c r="G1347" i="4"/>
  <c r="G1351" i="4"/>
  <c r="G1355" i="4"/>
  <c r="G1359" i="4"/>
  <c r="G1363" i="4"/>
  <c r="G1367" i="4"/>
  <c r="G1371" i="4"/>
  <c r="G1375" i="4"/>
  <c r="G1379" i="4"/>
  <c r="G1383" i="4"/>
  <c r="G1387" i="4"/>
  <c r="G1391" i="4"/>
  <c r="G1395" i="4"/>
  <c r="G1399" i="4"/>
  <c r="G1403" i="4"/>
  <c r="G1407" i="4"/>
  <c r="G1411" i="4"/>
  <c r="G1415" i="4"/>
  <c r="G1419" i="4"/>
  <c r="G1423" i="4"/>
  <c r="G1427" i="4"/>
  <c r="G1431" i="4"/>
  <c r="G1435" i="4"/>
  <c r="G1439" i="4"/>
  <c r="G1443" i="4"/>
  <c r="G1447" i="4"/>
  <c r="G1451" i="4"/>
  <c r="G1455" i="4"/>
  <c r="G1459" i="4"/>
  <c r="F2744" i="4"/>
  <c r="F2748" i="4"/>
  <c r="F2752" i="4"/>
  <c r="F2756" i="4"/>
  <c r="F2760" i="4"/>
  <c r="F2764" i="4"/>
  <c r="F2768" i="4"/>
  <c r="F2772" i="4"/>
  <c r="F2776" i="4"/>
  <c r="F2780" i="4"/>
  <c r="F2784" i="4"/>
  <c r="F2788" i="4"/>
  <c r="F2792" i="4"/>
  <c r="F2796" i="4"/>
  <c r="F2800" i="4"/>
  <c r="F2804" i="4"/>
  <c r="F2808" i="4"/>
  <c r="F2812" i="4"/>
  <c r="F2816" i="4"/>
  <c r="F2820" i="4"/>
  <c r="F2824" i="4"/>
  <c r="F2828" i="4"/>
  <c r="F2832" i="4"/>
  <c r="F2836" i="4"/>
  <c r="F2840" i="4"/>
  <c r="F2844" i="4"/>
  <c r="F2848" i="4"/>
  <c r="F2852" i="4"/>
  <c r="F2856" i="4"/>
  <c r="F2860" i="4"/>
  <c r="F2864" i="4"/>
  <c r="F2868" i="4"/>
  <c r="F2872" i="4"/>
  <c r="F2876" i="4"/>
  <c r="F2880" i="4"/>
  <c r="F2884" i="4"/>
  <c r="F2888" i="4"/>
  <c r="F2892" i="4"/>
  <c r="F2896" i="4"/>
  <c r="F2900" i="4"/>
  <c r="F2904" i="4"/>
  <c r="F2908" i="4"/>
  <c r="F2912" i="4"/>
  <c r="F2916" i="4"/>
  <c r="F2920" i="4"/>
  <c r="F2924" i="4"/>
  <c r="F2928" i="4"/>
  <c r="F2932" i="4"/>
  <c r="F2936" i="4"/>
  <c r="F2940" i="4"/>
  <c r="F2944" i="4"/>
  <c r="F2948" i="4"/>
  <c r="F2952" i="4"/>
  <c r="F2956" i="4"/>
  <c r="F2960" i="4"/>
  <c r="F2964" i="4"/>
  <c r="F2968" i="4"/>
  <c r="F2972" i="4"/>
  <c r="F2976" i="4"/>
  <c r="F2980" i="4"/>
  <c r="F2984" i="4"/>
  <c r="F2988" i="4"/>
  <c r="F2992" i="4"/>
  <c r="F2996" i="4"/>
  <c r="F3000" i="4"/>
  <c r="F3004" i="4"/>
  <c r="F3008" i="4"/>
  <c r="F3012" i="4"/>
  <c r="F3016" i="4"/>
  <c r="F3020" i="4"/>
  <c r="F3024" i="4"/>
  <c r="F3028" i="4"/>
  <c r="F3032" i="4"/>
  <c r="F3036" i="4"/>
  <c r="F3040" i="4"/>
  <c r="F3044" i="4"/>
  <c r="F3048" i="4"/>
  <c r="F3052" i="4"/>
  <c r="F3056" i="4"/>
  <c r="F3060" i="4"/>
  <c r="F3064" i="4"/>
  <c r="F3068" i="4"/>
  <c r="F3072" i="4"/>
  <c r="F3076" i="4"/>
  <c r="F3080" i="4"/>
  <c r="F3084" i="4"/>
  <c r="F3088" i="4"/>
  <c r="F3092" i="4"/>
  <c r="F3096" i="4"/>
  <c r="F3100" i="4"/>
  <c r="F3104" i="4"/>
  <c r="F3108" i="4"/>
  <c r="F3112" i="4"/>
  <c r="F3116" i="4"/>
  <c r="F3120" i="4"/>
  <c r="F3124" i="4"/>
  <c r="F3128" i="4"/>
  <c r="F3132" i="4"/>
  <c r="F3136" i="4"/>
  <c r="F3140" i="4"/>
  <c r="F3144" i="4"/>
  <c r="F3148" i="4"/>
  <c r="F3152" i="4"/>
  <c r="F3156" i="4"/>
  <c r="F3160" i="4"/>
  <c r="F3164" i="4"/>
  <c r="F3168" i="4"/>
  <c r="F3172" i="4"/>
  <c r="F3176" i="4"/>
  <c r="F3180" i="4"/>
  <c r="F3184" i="4"/>
  <c r="F3188" i="4"/>
  <c r="F3192" i="4"/>
  <c r="F3196" i="4"/>
  <c r="F3200" i="4"/>
  <c r="F3204" i="4"/>
  <c r="F3208" i="4"/>
  <c r="F3212" i="4"/>
  <c r="F3216" i="4"/>
  <c r="F3220" i="4"/>
  <c r="F3224" i="4"/>
  <c r="F3228" i="4"/>
  <c r="F3232" i="4"/>
  <c r="F3236" i="4"/>
  <c r="F3240" i="4"/>
  <c r="F3244" i="4"/>
  <c r="F3248" i="4"/>
  <c r="F3252" i="4"/>
  <c r="F3256" i="4"/>
  <c r="F3260" i="4"/>
  <c r="F3264" i="4"/>
  <c r="F3268" i="4"/>
  <c r="F3272" i="4"/>
  <c r="F3276" i="4"/>
  <c r="F3280" i="4"/>
  <c r="F3284" i="4"/>
  <c r="F3288" i="4"/>
  <c r="F3292" i="4"/>
  <c r="F3296" i="4"/>
  <c r="F3300" i="4"/>
  <c r="F3304" i="4"/>
  <c r="F3308" i="4"/>
  <c r="F3312" i="4"/>
  <c r="F3316" i="4"/>
  <c r="F3320" i="4"/>
  <c r="F3324" i="4"/>
  <c r="F3328" i="4"/>
  <c r="F3332" i="4"/>
  <c r="F3336" i="4"/>
  <c r="F3340" i="4"/>
  <c r="F3344" i="4"/>
  <c r="F3348" i="4"/>
  <c r="F3352" i="4"/>
  <c r="F3356" i="4"/>
  <c r="F3360" i="4"/>
  <c r="F3364" i="4"/>
  <c r="F3368" i="4"/>
  <c r="F3372" i="4"/>
  <c r="F3376" i="4"/>
  <c r="F3380" i="4"/>
  <c r="F3384" i="4"/>
  <c r="F3388" i="4"/>
  <c r="F3392" i="4"/>
  <c r="F3396" i="4"/>
  <c r="F3400" i="4"/>
  <c r="F3404" i="4"/>
  <c r="F3408" i="4"/>
  <c r="F3412" i="4"/>
  <c r="F3416" i="4"/>
  <c r="F3420" i="4"/>
  <c r="F3424" i="4"/>
  <c r="F3428" i="4"/>
  <c r="F3432" i="4"/>
  <c r="F3436" i="4"/>
  <c r="F3440" i="4"/>
  <c r="F3444" i="4"/>
  <c r="F3448" i="4"/>
  <c r="F3452" i="4"/>
  <c r="F3456" i="4"/>
  <c r="F3460" i="4"/>
  <c r="F3464" i="4"/>
  <c r="F3468" i="4"/>
  <c r="F3472" i="4"/>
  <c r="F3476" i="4"/>
  <c r="F3480" i="4"/>
  <c r="F3484" i="4"/>
  <c r="F3488" i="4"/>
  <c r="F3492" i="4"/>
  <c r="F3496" i="4"/>
  <c r="F3500" i="4"/>
  <c r="F3504" i="4"/>
  <c r="F3508" i="4"/>
  <c r="F3512" i="4"/>
  <c r="F3516" i="4"/>
  <c r="F3520" i="4"/>
  <c r="F3524" i="4"/>
  <c r="F3528" i="4"/>
  <c r="F3532" i="4"/>
  <c r="F3536" i="4"/>
  <c r="F3540" i="4"/>
  <c r="F3544" i="4"/>
  <c r="F3548" i="4"/>
  <c r="F3552" i="4"/>
  <c r="F3556" i="4"/>
  <c r="F3560" i="4"/>
  <c r="F3564" i="4"/>
  <c r="F3568" i="4"/>
  <c r="F3572" i="4"/>
  <c r="F3576" i="4"/>
  <c r="F3580" i="4"/>
  <c r="F3584" i="4"/>
  <c r="F3588" i="4"/>
  <c r="F3592" i="4"/>
  <c r="F3596" i="4"/>
  <c r="F3600" i="4"/>
  <c r="F3604" i="4"/>
  <c r="F3608" i="4"/>
  <c r="F3612" i="4"/>
  <c r="F3616" i="4"/>
  <c r="F3620" i="4"/>
  <c r="F3624" i="4"/>
  <c r="F3628" i="4"/>
  <c r="F3632" i="4"/>
  <c r="F3636" i="4"/>
  <c r="F3640" i="4"/>
  <c r="F3644" i="4"/>
  <c r="F3648" i="4"/>
  <c r="F3652" i="4"/>
  <c r="F3656" i="4"/>
  <c r="F3660" i="4"/>
  <c r="F3664" i="4"/>
  <c r="F3668" i="4"/>
  <c r="F3672" i="4"/>
  <c r="F3676" i="4"/>
  <c r="F3680" i="4"/>
  <c r="F3684" i="4"/>
  <c r="F3688" i="4"/>
  <c r="F3692" i="4"/>
  <c r="F3696" i="4"/>
  <c r="F3700" i="4"/>
  <c r="F3704" i="4"/>
  <c r="F3708" i="4"/>
  <c r="F3712" i="4"/>
  <c r="F3716" i="4"/>
  <c r="F3720" i="4"/>
  <c r="F3724" i="4"/>
  <c r="F3728" i="4"/>
  <c r="F3732" i="4"/>
  <c r="F3736" i="4"/>
  <c r="F3740" i="4"/>
  <c r="F3744" i="4"/>
  <c r="F3748" i="4"/>
  <c r="F3752" i="4"/>
  <c r="F3756" i="4"/>
  <c r="F3760" i="4"/>
  <c r="F3764" i="4"/>
  <c r="F3768" i="4"/>
  <c r="F3772" i="4"/>
  <c r="F3776" i="4"/>
  <c r="F3780" i="4"/>
  <c r="F3784" i="4"/>
  <c r="F3788" i="4"/>
  <c r="F3792" i="4"/>
  <c r="F3796" i="4"/>
  <c r="F3800" i="4"/>
  <c r="F3804" i="4"/>
  <c r="F3808" i="4"/>
  <c r="F3812" i="4"/>
  <c r="F3816" i="4"/>
  <c r="F3820" i="4"/>
  <c r="F3824" i="4"/>
  <c r="F3828" i="4"/>
  <c r="F3832" i="4"/>
  <c r="F3836" i="4"/>
  <c r="F3840" i="4"/>
  <c r="F3844" i="4"/>
  <c r="F3848" i="4"/>
  <c r="F3852" i="4"/>
  <c r="F3856" i="4"/>
  <c r="F3860" i="4"/>
  <c r="F3864" i="4"/>
  <c r="F3868" i="4"/>
  <c r="F3872" i="4"/>
  <c r="F3876" i="4"/>
  <c r="F3880" i="4"/>
  <c r="F3884" i="4"/>
  <c r="F3888" i="4"/>
  <c r="F3892" i="4"/>
  <c r="F3896" i="4"/>
  <c r="F3900" i="4"/>
  <c r="F3904" i="4"/>
  <c r="F3908" i="4"/>
  <c r="F3912" i="4"/>
  <c r="F3916" i="4"/>
  <c r="F3920" i="4"/>
  <c r="F3924" i="4"/>
  <c r="F3928" i="4"/>
  <c r="F3932" i="4"/>
  <c r="F3936" i="4"/>
  <c r="F3940" i="4"/>
  <c r="F3944" i="4"/>
  <c r="F3948" i="4"/>
  <c r="F3952" i="4"/>
  <c r="F3956" i="4"/>
  <c r="F3960" i="4"/>
  <c r="F3964" i="4"/>
  <c r="F3968" i="4"/>
  <c r="F3972" i="4"/>
  <c r="F3976" i="4"/>
  <c r="F3980" i="4"/>
  <c r="F3984" i="4"/>
  <c r="F3988" i="4"/>
  <c r="F3992" i="4"/>
  <c r="F3996" i="4"/>
  <c r="F4000" i="4"/>
  <c r="F4004" i="4"/>
  <c r="F4008" i="4"/>
  <c r="F4012" i="4"/>
  <c r="F4016" i="4"/>
  <c r="F4020" i="4"/>
  <c r="F4024" i="4"/>
  <c r="F4028" i="4"/>
  <c r="F4032" i="4"/>
  <c r="F4036" i="4"/>
  <c r="F4040" i="4"/>
  <c r="F4044" i="4"/>
  <c r="F4048" i="4"/>
  <c r="F4052" i="4"/>
  <c r="F4056" i="4"/>
  <c r="F4060" i="4"/>
  <c r="F4064" i="4"/>
  <c r="F4068" i="4"/>
  <c r="F4072" i="4"/>
  <c r="F4076" i="4"/>
  <c r="F4080" i="4"/>
  <c r="F4084" i="4"/>
  <c r="F4088" i="4"/>
  <c r="F4092" i="4"/>
  <c r="F4096" i="4"/>
  <c r="F4100" i="4"/>
  <c r="F4104" i="4"/>
  <c r="F4108" i="4"/>
  <c r="F4112" i="4"/>
  <c r="F4116" i="4"/>
  <c r="F4120" i="4"/>
  <c r="F4124" i="4"/>
  <c r="F4128" i="4"/>
  <c r="F4132" i="4"/>
  <c r="F4136" i="4"/>
  <c r="F4140" i="4"/>
  <c r="F4144" i="4"/>
  <c r="F4148" i="4"/>
  <c r="F4152" i="4"/>
  <c r="F4156" i="4"/>
  <c r="F4160" i="4"/>
  <c r="F4164" i="4"/>
  <c r="F4168" i="4"/>
  <c r="F4172" i="4"/>
  <c r="F4176" i="4"/>
  <c r="F4180" i="4"/>
  <c r="F4184" i="4"/>
  <c r="F4188" i="4"/>
  <c r="F4192" i="4"/>
  <c r="F4196" i="4"/>
  <c r="F4200" i="4"/>
  <c r="F4204" i="4"/>
  <c r="F4208" i="4"/>
  <c r="F4212" i="4"/>
  <c r="F4216" i="4"/>
  <c r="F4220" i="4"/>
  <c r="F4224" i="4"/>
  <c r="F4228" i="4"/>
  <c r="F4232" i="4"/>
  <c r="F4236" i="4"/>
  <c r="F4240" i="4"/>
  <c r="F4244" i="4"/>
  <c r="F4248" i="4"/>
  <c r="F4252" i="4"/>
  <c r="F4256" i="4"/>
  <c r="F4260" i="4"/>
  <c r="F4264" i="4"/>
  <c r="F4268" i="4"/>
  <c r="F4272" i="4"/>
  <c r="F4276" i="4"/>
  <c r="F4280" i="4"/>
  <c r="F4284" i="4"/>
  <c r="F4288" i="4"/>
  <c r="F4292" i="4"/>
  <c r="F4296" i="4"/>
  <c r="F4300" i="4"/>
  <c r="F4304" i="4"/>
  <c r="F4308" i="4"/>
  <c r="F4312" i="4"/>
  <c r="F4316" i="4"/>
  <c r="F4320" i="4"/>
  <c r="F4324" i="4"/>
  <c r="F4328" i="4"/>
  <c r="F4332" i="4"/>
  <c r="F4336" i="4"/>
  <c r="F4340" i="4"/>
  <c r="F4344" i="4"/>
  <c r="F4348" i="4"/>
  <c r="F4352" i="4"/>
  <c r="F4356" i="4"/>
  <c r="F4360" i="4"/>
  <c r="F4364" i="4"/>
  <c r="F4368" i="4"/>
  <c r="F4372" i="4"/>
  <c r="F4376" i="4"/>
  <c r="F4380" i="4"/>
  <c r="F4384" i="4"/>
  <c r="F4388" i="4"/>
  <c r="F4392" i="4"/>
  <c r="F4396" i="4"/>
  <c r="F4400" i="4"/>
  <c r="F4404" i="4"/>
  <c r="F4408" i="4"/>
  <c r="F4412" i="4"/>
  <c r="F4416" i="4"/>
  <c r="F4420" i="4"/>
  <c r="F4424" i="4"/>
  <c r="F4428" i="4"/>
  <c r="F4432" i="4"/>
  <c r="F4436" i="4"/>
  <c r="F4440" i="4"/>
  <c r="F4444" i="4"/>
  <c r="F4448" i="4"/>
  <c r="F4452" i="4"/>
  <c r="F4456" i="4"/>
  <c r="F4460" i="4"/>
  <c r="F4464" i="4"/>
  <c r="F4468" i="4"/>
  <c r="F4472" i="4"/>
  <c r="F4476" i="4"/>
  <c r="F4480" i="4"/>
  <c r="F4484" i="4"/>
  <c r="F4488" i="4"/>
  <c r="F4492" i="4"/>
  <c r="F4496" i="4"/>
  <c r="F4500" i="4"/>
  <c r="F4504" i="4"/>
  <c r="F4508" i="4"/>
  <c r="F4512" i="4"/>
  <c r="F4516" i="4"/>
  <c r="F4520" i="4"/>
  <c r="F4524" i="4"/>
  <c r="F4528" i="4"/>
  <c r="F4532" i="4"/>
  <c r="F4536" i="4"/>
  <c r="F4540" i="4"/>
  <c r="F4544" i="4"/>
  <c r="F4548" i="4"/>
  <c r="F4552" i="4"/>
  <c r="F4556" i="4"/>
  <c r="F4560" i="4"/>
  <c r="F4564" i="4"/>
  <c r="F4568" i="4"/>
  <c r="F4572" i="4"/>
  <c r="F4576" i="4"/>
  <c r="F4580" i="4"/>
  <c r="F4584" i="4"/>
  <c r="F4588" i="4"/>
  <c r="F4592" i="4"/>
  <c r="F4596" i="4"/>
  <c r="F4600" i="4"/>
  <c r="F4604" i="4"/>
  <c r="F4608" i="4"/>
  <c r="F4612" i="4"/>
  <c r="F4616" i="4"/>
  <c r="F4620" i="4"/>
  <c r="F4624" i="4"/>
  <c r="F4628" i="4"/>
  <c r="F4632" i="4"/>
  <c r="F4636" i="4"/>
  <c r="F4640" i="4"/>
  <c r="F4644" i="4"/>
  <c r="F4648" i="4"/>
  <c r="F4652" i="4"/>
  <c r="F4656" i="4"/>
  <c r="F4660" i="4"/>
  <c r="F4664" i="4"/>
  <c r="F4668" i="4"/>
  <c r="F4672" i="4"/>
  <c r="F4676" i="4"/>
  <c r="F4680" i="4"/>
  <c r="F4684" i="4"/>
  <c r="F4688" i="4"/>
  <c r="F4692" i="4"/>
  <c r="F4696" i="4"/>
  <c r="F4700" i="4"/>
  <c r="F4704" i="4"/>
  <c r="F4708" i="4"/>
  <c r="F4712" i="4"/>
  <c r="F4716" i="4"/>
  <c r="F4720" i="4"/>
  <c r="F4724" i="4"/>
  <c r="F4728" i="4"/>
  <c r="F4732" i="4"/>
  <c r="F4736" i="4"/>
  <c r="F4740" i="4"/>
  <c r="F4744" i="4"/>
  <c r="F4748" i="4"/>
  <c r="F4752" i="4"/>
  <c r="F4756" i="4"/>
  <c r="F4760" i="4"/>
  <c r="F4764" i="4"/>
  <c r="F4768" i="4"/>
  <c r="F4772" i="4"/>
  <c r="F4776" i="4"/>
  <c r="F4780" i="4"/>
  <c r="F4784" i="4"/>
  <c r="F4788" i="4"/>
  <c r="F4792" i="4"/>
  <c r="F4796" i="4"/>
  <c r="F4800" i="4"/>
  <c r="F4804" i="4"/>
  <c r="F4808" i="4"/>
  <c r="F4812" i="4"/>
  <c r="F4816" i="4"/>
  <c r="F4820" i="4"/>
  <c r="F4824" i="4"/>
  <c r="F4828" i="4"/>
  <c r="F4832" i="4"/>
  <c r="F4836" i="4"/>
  <c r="F4840" i="4"/>
  <c r="F4844" i="4"/>
  <c r="F4848" i="4"/>
  <c r="F4852" i="4"/>
  <c r="F4856" i="4"/>
  <c r="F4860" i="4"/>
  <c r="F4864" i="4"/>
  <c r="F4868" i="4"/>
  <c r="F4872" i="4"/>
  <c r="F4876" i="4"/>
  <c r="F4880" i="4"/>
  <c r="F4884" i="4"/>
  <c r="F4888" i="4"/>
  <c r="F4892" i="4"/>
  <c r="F4896" i="4"/>
  <c r="F4900" i="4"/>
  <c r="F4904" i="4"/>
  <c r="F4908" i="4"/>
  <c r="F4912" i="4"/>
  <c r="F4916" i="4"/>
  <c r="F4920" i="4"/>
  <c r="F4924" i="4"/>
  <c r="F4928" i="4"/>
  <c r="F4932" i="4"/>
  <c r="F4936" i="4"/>
  <c r="F4940" i="4"/>
  <c r="F4944" i="4"/>
  <c r="F4948" i="4"/>
  <c r="F4952" i="4"/>
  <c r="F4956" i="4"/>
  <c r="F4960" i="4"/>
  <c r="F4964" i="4"/>
  <c r="F4968" i="4"/>
  <c r="F4972" i="4"/>
  <c r="F4976" i="4"/>
  <c r="F4980" i="4"/>
  <c r="F4984" i="4"/>
  <c r="F4988" i="4"/>
  <c r="F4992" i="4"/>
  <c r="F4996" i="4"/>
  <c r="F5000" i="4"/>
  <c r="F5004" i="4"/>
  <c r="F5008" i="4"/>
  <c r="G12" i="4"/>
  <c r="G16" i="4"/>
  <c r="G20" i="4"/>
  <c r="G24" i="4"/>
  <c r="G28" i="4"/>
  <c r="G32" i="4"/>
  <c r="G36" i="4"/>
  <c r="G40" i="4"/>
  <c r="G44" i="4"/>
  <c r="G48" i="4"/>
  <c r="G52" i="4"/>
  <c r="G56" i="4"/>
  <c r="G60" i="4"/>
  <c r="G64" i="4"/>
  <c r="G68" i="4"/>
  <c r="G72" i="4"/>
  <c r="G76" i="4"/>
  <c r="G80" i="4"/>
  <c r="G84" i="4"/>
  <c r="G88" i="4"/>
  <c r="G92" i="4"/>
  <c r="G96" i="4"/>
  <c r="G100" i="4"/>
  <c r="G104" i="4"/>
  <c r="G108" i="4"/>
  <c r="G112" i="4"/>
  <c r="G116" i="4"/>
  <c r="G120" i="4"/>
  <c r="G124" i="4"/>
  <c r="G128" i="4"/>
  <c r="G132" i="4"/>
  <c r="G136" i="4"/>
  <c r="G140" i="4"/>
  <c r="G144" i="4"/>
  <c r="G148" i="4"/>
  <c r="G152" i="4"/>
  <c r="G156" i="4"/>
  <c r="G160" i="4"/>
  <c r="G164" i="4"/>
  <c r="G168" i="4"/>
  <c r="G172" i="4"/>
  <c r="G176" i="4"/>
  <c r="G180" i="4"/>
  <c r="G184" i="4"/>
  <c r="G188" i="4"/>
  <c r="G192" i="4"/>
  <c r="G196" i="4"/>
  <c r="G200" i="4"/>
  <c r="G204" i="4"/>
  <c r="G208" i="4"/>
  <c r="G212" i="4"/>
  <c r="G216" i="4"/>
  <c r="G220" i="4"/>
  <c r="G224" i="4"/>
  <c r="G228" i="4"/>
  <c r="G232" i="4"/>
  <c r="G236" i="4"/>
  <c r="G240" i="4"/>
  <c r="G244" i="4"/>
  <c r="G248" i="4"/>
  <c r="G252" i="4"/>
  <c r="G256" i="4"/>
  <c r="G260" i="4"/>
  <c r="G264" i="4"/>
  <c r="G268" i="4"/>
  <c r="G272" i="4"/>
  <c r="G276" i="4"/>
  <c r="G280" i="4"/>
  <c r="G284" i="4"/>
  <c r="G288" i="4"/>
  <c r="G292" i="4"/>
  <c r="G296" i="4"/>
  <c r="G300" i="4"/>
  <c r="G304" i="4"/>
  <c r="G308" i="4"/>
  <c r="G312" i="4"/>
  <c r="G316" i="4"/>
  <c r="G320" i="4"/>
  <c r="G324" i="4"/>
  <c r="G328" i="4"/>
  <c r="G332" i="4"/>
  <c r="G336" i="4"/>
  <c r="G340" i="4"/>
  <c r="G344" i="4"/>
  <c r="G348" i="4"/>
  <c r="G352" i="4"/>
  <c r="G356" i="4"/>
  <c r="G360" i="4"/>
  <c r="G364" i="4"/>
  <c r="G368" i="4"/>
  <c r="G372" i="4"/>
  <c r="G376" i="4"/>
  <c r="G380" i="4"/>
  <c r="G384" i="4"/>
  <c r="G388" i="4"/>
  <c r="G392" i="4"/>
  <c r="G396" i="4"/>
  <c r="G400" i="4"/>
  <c r="G404" i="4"/>
  <c r="G408" i="4"/>
  <c r="G412" i="4"/>
  <c r="G416" i="4"/>
  <c r="G420" i="4"/>
  <c r="G424" i="4"/>
  <c r="G428" i="4"/>
  <c r="G432" i="4"/>
  <c r="G436" i="4"/>
  <c r="G440" i="4"/>
  <c r="G444" i="4"/>
  <c r="G448" i="4"/>
  <c r="G452" i="4"/>
  <c r="G456" i="4"/>
  <c r="G460" i="4"/>
  <c r="G464" i="4"/>
  <c r="G468" i="4"/>
  <c r="G472" i="4"/>
  <c r="G476" i="4"/>
  <c r="G480" i="4"/>
  <c r="G484" i="4"/>
  <c r="G488" i="4"/>
  <c r="G492" i="4"/>
  <c r="G496" i="4"/>
  <c r="G500" i="4"/>
  <c r="G504" i="4"/>
  <c r="G508" i="4"/>
  <c r="G512" i="4"/>
  <c r="G516" i="4"/>
  <c r="G520" i="4"/>
  <c r="G524" i="4"/>
  <c r="G528" i="4"/>
  <c r="G532" i="4"/>
  <c r="G536" i="4"/>
  <c r="G540" i="4"/>
  <c r="G544" i="4"/>
  <c r="G548" i="4"/>
  <c r="G552" i="4"/>
  <c r="G556" i="4"/>
  <c r="G560" i="4"/>
  <c r="G564" i="4"/>
  <c r="G568" i="4"/>
  <c r="G572" i="4"/>
  <c r="G576" i="4"/>
  <c r="G580" i="4"/>
  <c r="G584" i="4"/>
  <c r="G588" i="4"/>
  <c r="G592" i="4"/>
  <c r="G596" i="4"/>
  <c r="G600" i="4"/>
  <c r="G604" i="4"/>
  <c r="G608" i="4"/>
  <c r="G612" i="4"/>
  <c r="G616" i="4"/>
  <c r="G620" i="4"/>
  <c r="G624" i="4"/>
  <c r="G628" i="4"/>
  <c r="G632" i="4"/>
  <c r="G636" i="4"/>
  <c r="G640" i="4"/>
  <c r="G644" i="4"/>
  <c r="G648" i="4"/>
  <c r="G652" i="4"/>
  <c r="G656" i="4"/>
  <c r="G660" i="4"/>
  <c r="G664" i="4"/>
  <c r="G668" i="4"/>
  <c r="G672" i="4"/>
  <c r="G676" i="4"/>
  <c r="G680" i="4"/>
  <c r="G684" i="4"/>
  <c r="G688" i="4"/>
  <c r="G692" i="4"/>
  <c r="G696" i="4"/>
  <c r="G700" i="4"/>
  <c r="G704" i="4"/>
  <c r="G708" i="4"/>
  <c r="G712" i="4"/>
  <c r="G716" i="4"/>
  <c r="G720" i="4"/>
  <c r="G724" i="4"/>
  <c r="G728" i="4"/>
  <c r="G732" i="4"/>
  <c r="G736" i="4"/>
  <c r="G740" i="4"/>
  <c r="G744" i="4"/>
  <c r="G748" i="4"/>
  <c r="G752" i="4"/>
  <c r="G756" i="4"/>
  <c r="G760" i="4"/>
  <c r="G764" i="4"/>
  <c r="G768" i="4"/>
  <c r="G772" i="4"/>
  <c r="G776" i="4"/>
  <c r="G780" i="4"/>
  <c r="G784" i="4"/>
  <c r="G788" i="4"/>
  <c r="G792" i="4"/>
  <c r="G796" i="4"/>
  <c r="G800" i="4"/>
  <c r="G804" i="4"/>
  <c r="G808" i="4"/>
  <c r="G812" i="4"/>
  <c r="G816" i="4"/>
  <c r="G820" i="4"/>
  <c r="G824" i="4"/>
  <c r="G828" i="4"/>
  <c r="G832" i="4"/>
  <c r="G836" i="4"/>
  <c r="G840" i="4"/>
  <c r="G844" i="4"/>
  <c r="G848" i="4"/>
  <c r="G852" i="4"/>
  <c r="G856" i="4"/>
  <c r="G860" i="4"/>
  <c r="G864" i="4"/>
  <c r="G868" i="4"/>
  <c r="G872" i="4"/>
  <c r="G876" i="4"/>
  <c r="G880" i="4"/>
  <c r="G884" i="4"/>
  <c r="G888" i="4"/>
  <c r="G892" i="4"/>
  <c r="G896" i="4"/>
  <c r="G900" i="4"/>
  <c r="G904" i="4"/>
  <c r="G908" i="4"/>
  <c r="G912" i="4"/>
  <c r="G916" i="4"/>
  <c r="G920" i="4"/>
  <c r="G924" i="4"/>
  <c r="G928" i="4"/>
  <c r="G932" i="4"/>
  <c r="G936" i="4"/>
  <c r="G940" i="4"/>
  <c r="G944" i="4"/>
  <c r="G948" i="4"/>
  <c r="G952" i="4"/>
  <c r="G956" i="4"/>
  <c r="G960" i="4"/>
  <c r="G964" i="4"/>
  <c r="G968" i="4"/>
  <c r="G972" i="4"/>
  <c r="G976" i="4"/>
  <c r="G980" i="4"/>
  <c r="G984" i="4"/>
  <c r="G988" i="4"/>
  <c r="G992" i="4"/>
  <c r="G996" i="4"/>
  <c r="G1000" i="4"/>
  <c r="G1004" i="4"/>
  <c r="G1008" i="4"/>
  <c r="G1012" i="4"/>
  <c r="G1016" i="4"/>
  <c r="G1020" i="4"/>
  <c r="G1024" i="4"/>
  <c r="G1028" i="4"/>
  <c r="G1032" i="4"/>
  <c r="G1036" i="4"/>
  <c r="G1040" i="4"/>
  <c r="G1044" i="4"/>
  <c r="G1048" i="4"/>
  <c r="G1052" i="4"/>
  <c r="G1056" i="4"/>
  <c r="G1060" i="4"/>
  <c r="G1064" i="4"/>
  <c r="G1068" i="4"/>
  <c r="G1072" i="4"/>
  <c r="G1076" i="4"/>
  <c r="G1080" i="4"/>
  <c r="G1084" i="4"/>
  <c r="G1088" i="4"/>
  <c r="G1092" i="4"/>
  <c r="G1096" i="4"/>
  <c r="G1100" i="4"/>
  <c r="G1104" i="4"/>
  <c r="G1108" i="4"/>
  <c r="G1112" i="4"/>
  <c r="G1116" i="4"/>
  <c r="G1120" i="4"/>
  <c r="G1124" i="4"/>
  <c r="G1128" i="4"/>
  <c r="G1132" i="4"/>
  <c r="G1136" i="4"/>
  <c r="G1140" i="4"/>
  <c r="G1144" i="4"/>
  <c r="G1148" i="4"/>
  <c r="G1152" i="4"/>
  <c r="G1156" i="4"/>
  <c r="G1160" i="4"/>
  <c r="G1164" i="4"/>
  <c r="G1168" i="4"/>
  <c r="G1172" i="4"/>
  <c r="G1176" i="4"/>
  <c r="G1180" i="4"/>
  <c r="G1184" i="4"/>
  <c r="G1188" i="4"/>
  <c r="G1192" i="4"/>
  <c r="G1196" i="4"/>
  <c r="G1200" i="4"/>
  <c r="G1204" i="4"/>
  <c r="G1208" i="4"/>
  <c r="G1212" i="4"/>
  <c r="G1216" i="4"/>
  <c r="G1220" i="4"/>
  <c r="G1224" i="4"/>
  <c r="G1228" i="4"/>
  <c r="G1232" i="4"/>
  <c r="G1236" i="4"/>
  <c r="G1240" i="4"/>
  <c r="G1244" i="4"/>
  <c r="G1248" i="4"/>
  <c r="G1252" i="4"/>
  <c r="G1256" i="4"/>
  <c r="G1260" i="4"/>
  <c r="G1264" i="4"/>
  <c r="G1268" i="4"/>
  <c r="G1272" i="4"/>
  <c r="G1276" i="4"/>
  <c r="G1280" i="4"/>
  <c r="G1284" i="4"/>
  <c r="G1288" i="4"/>
  <c r="G1292" i="4"/>
  <c r="G1296" i="4"/>
  <c r="G1300" i="4"/>
  <c r="G1304" i="4"/>
  <c r="G1308" i="4"/>
  <c r="G1312" i="4"/>
  <c r="G1316" i="4"/>
  <c r="G1320" i="4"/>
  <c r="G1324" i="4"/>
  <c r="G1328" i="4"/>
  <c r="G1332" i="4"/>
  <c r="G1336" i="4"/>
  <c r="G1340" i="4"/>
  <c r="G1344" i="4"/>
  <c r="G1348" i="4"/>
  <c r="G1352" i="4"/>
  <c r="G1356" i="4"/>
  <c r="G1360" i="4"/>
  <c r="G1364" i="4"/>
  <c r="G1368" i="4"/>
  <c r="G1372" i="4"/>
  <c r="G1376" i="4"/>
  <c r="G1380" i="4"/>
  <c r="G1384" i="4"/>
  <c r="G1388" i="4"/>
  <c r="G1392" i="4"/>
  <c r="G1396" i="4"/>
  <c r="G1400" i="4"/>
  <c r="G1404" i="4"/>
  <c r="G1408" i="4"/>
  <c r="G1412" i="4"/>
  <c r="G1416" i="4"/>
  <c r="G1420" i="4"/>
  <c r="G1424" i="4"/>
  <c r="G1428" i="4"/>
  <c r="G1432" i="4"/>
  <c r="G1436" i="4"/>
  <c r="G1440" i="4"/>
  <c r="G1444" i="4"/>
  <c r="G1448" i="4"/>
  <c r="G1452" i="4"/>
  <c r="G1456" i="4"/>
  <c r="G1460" i="4"/>
  <c r="G1464" i="4"/>
  <c r="G1468" i="4"/>
  <c r="G1472" i="4"/>
  <c r="G1476" i="4"/>
  <c r="G1480" i="4"/>
  <c r="G1484" i="4"/>
  <c r="G1488" i="4"/>
  <c r="G1492" i="4"/>
  <c r="G1496" i="4"/>
  <c r="G1500" i="4"/>
  <c r="G1504" i="4"/>
  <c r="G1508" i="4"/>
  <c r="G1512" i="4"/>
  <c r="G1516" i="4"/>
  <c r="G1520" i="4"/>
  <c r="G1524" i="4"/>
  <c r="G1528" i="4"/>
  <c r="G1532" i="4"/>
  <c r="G1536" i="4"/>
  <c r="G1540" i="4"/>
  <c r="G1544" i="4"/>
  <c r="G1548" i="4"/>
  <c r="G1552" i="4"/>
  <c r="G1556" i="4"/>
  <c r="G1560" i="4"/>
  <c r="G1564" i="4"/>
  <c r="G1568" i="4"/>
  <c r="G1572" i="4"/>
  <c r="G1576" i="4"/>
  <c r="G1580" i="4"/>
  <c r="G1584" i="4"/>
  <c r="G1588" i="4"/>
  <c r="G1592" i="4"/>
  <c r="G1596" i="4"/>
  <c r="G1600" i="4"/>
  <c r="G1604" i="4"/>
  <c r="G1608" i="4"/>
  <c r="G1612" i="4"/>
  <c r="G1616" i="4"/>
  <c r="G1620" i="4"/>
  <c r="G1624" i="4"/>
  <c r="G1628" i="4"/>
  <c r="G1632" i="4"/>
  <c r="G1636" i="4"/>
  <c r="G1640" i="4"/>
  <c r="G1644" i="4"/>
  <c r="G1648" i="4"/>
  <c r="G1652" i="4"/>
  <c r="G1656" i="4"/>
  <c r="G1660" i="4"/>
  <c r="G1664" i="4"/>
  <c r="G1668" i="4"/>
  <c r="G1672" i="4"/>
  <c r="G1676" i="4"/>
  <c r="G1680" i="4"/>
  <c r="G1684" i="4"/>
  <c r="G1688" i="4"/>
  <c r="G1692" i="4"/>
  <c r="G1696" i="4"/>
  <c r="G1700" i="4"/>
  <c r="G1704" i="4"/>
  <c r="G1708" i="4"/>
  <c r="G1712" i="4"/>
  <c r="G1716" i="4"/>
  <c r="G1720" i="4"/>
  <c r="G1724" i="4"/>
  <c r="G1728" i="4"/>
  <c r="G1732" i="4"/>
  <c r="G1736" i="4"/>
  <c r="G1740" i="4"/>
  <c r="G1744" i="4"/>
  <c r="G1748" i="4"/>
  <c r="G1752" i="4"/>
  <c r="G1756" i="4"/>
  <c r="G1760" i="4"/>
  <c r="G1764" i="4"/>
  <c r="G1768" i="4"/>
  <c r="G1772" i="4"/>
  <c r="G1776" i="4"/>
  <c r="G1780" i="4"/>
  <c r="G1784" i="4"/>
  <c r="G1788" i="4"/>
  <c r="G1792" i="4"/>
  <c r="G1796" i="4"/>
  <c r="G1800" i="4"/>
  <c r="G1804" i="4"/>
  <c r="G1808" i="4"/>
  <c r="G1812" i="4"/>
  <c r="G1816" i="4"/>
  <c r="G1820" i="4"/>
  <c r="G1824" i="4"/>
  <c r="G1828" i="4"/>
  <c r="G1832" i="4"/>
  <c r="G1836" i="4"/>
  <c r="G1840" i="4"/>
  <c r="G1844" i="4"/>
  <c r="G1848" i="4"/>
  <c r="G1852" i="4"/>
  <c r="G1856" i="4"/>
  <c r="G1860" i="4"/>
  <c r="G1864" i="4"/>
  <c r="G1868" i="4"/>
  <c r="G1872" i="4"/>
  <c r="G1876" i="4"/>
  <c r="G1880" i="4"/>
  <c r="G1884" i="4"/>
  <c r="G1888" i="4"/>
  <c r="G1892" i="4"/>
  <c r="G1896" i="4"/>
  <c r="G1900" i="4"/>
  <c r="G1904" i="4"/>
  <c r="G1908" i="4"/>
  <c r="G1912" i="4"/>
  <c r="G1916" i="4"/>
  <c r="G1920" i="4"/>
  <c r="G1924" i="4"/>
  <c r="G1928" i="4"/>
  <c r="G1932" i="4"/>
  <c r="G1936" i="4"/>
  <c r="G1940" i="4"/>
  <c r="G1944" i="4"/>
  <c r="G1948" i="4"/>
  <c r="G1952" i="4"/>
  <c r="G1956" i="4"/>
  <c r="G1960" i="4"/>
  <c r="G1964" i="4"/>
  <c r="G1968" i="4"/>
  <c r="G1972" i="4"/>
  <c r="G1976" i="4"/>
  <c r="G1980" i="4"/>
  <c r="G1984" i="4"/>
  <c r="G1988" i="4"/>
  <c r="G1992" i="4"/>
  <c r="G1996" i="4"/>
  <c r="G2000" i="4"/>
  <c r="G2004" i="4"/>
  <c r="G2008" i="4"/>
  <c r="G2012" i="4"/>
  <c r="G2016" i="4"/>
  <c r="G2020" i="4"/>
  <c r="G2024" i="4"/>
  <c r="G2028" i="4"/>
  <c r="G2032" i="4"/>
  <c r="G2036" i="4"/>
  <c r="G2040" i="4"/>
  <c r="G2044" i="4"/>
  <c r="G2048" i="4"/>
  <c r="G2052" i="4"/>
  <c r="G2056" i="4"/>
  <c r="G2060" i="4"/>
  <c r="G2064" i="4"/>
  <c r="G2068" i="4"/>
  <c r="G2072" i="4"/>
  <c r="G2076" i="4"/>
  <c r="G2080" i="4"/>
  <c r="G2084" i="4"/>
  <c r="G2088" i="4"/>
  <c r="G2092" i="4"/>
  <c r="G2096" i="4"/>
  <c r="G2100" i="4"/>
  <c r="G2104" i="4"/>
  <c r="G2108" i="4"/>
  <c r="G2112" i="4"/>
  <c r="G2116" i="4"/>
  <c r="G2120" i="4"/>
  <c r="G2124" i="4"/>
  <c r="G2128" i="4"/>
  <c r="G2132" i="4"/>
  <c r="G2136" i="4"/>
  <c r="G2140" i="4"/>
  <c r="G2144" i="4"/>
  <c r="G2148" i="4"/>
  <c r="G2152" i="4"/>
  <c r="G2156" i="4"/>
  <c r="G2160" i="4"/>
  <c r="G2164" i="4"/>
  <c r="G2168" i="4"/>
  <c r="G2172" i="4"/>
  <c r="G2176" i="4"/>
  <c r="G2180" i="4"/>
  <c r="G2184" i="4"/>
  <c r="G2188" i="4"/>
  <c r="G2192" i="4"/>
  <c r="G2196" i="4"/>
  <c r="G2200" i="4"/>
  <c r="G2204" i="4"/>
  <c r="G2208" i="4"/>
  <c r="G2212" i="4"/>
  <c r="G2216" i="4"/>
  <c r="G2220" i="4"/>
  <c r="G2224" i="4"/>
  <c r="G2228" i="4"/>
  <c r="G2232" i="4"/>
  <c r="G2236" i="4"/>
  <c r="G2240" i="4"/>
  <c r="G2244" i="4"/>
  <c r="G2248" i="4"/>
  <c r="G2252" i="4"/>
  <c r="G2256" i="4"/>
  <c r="G2260" i="4"/>
  <c r="G2264" i="4"/>
  <c r="G2268" i="4"/>
  <c r="G2272" i="4"/>
  <c r="G2276" i="4"/>
  <c r="G2280" i="4"/>
  <c r="G2284" i="4"/>
  <c r="G2288" i="4"/>
  <c r="G2292" i="4"/>
  <c r="G2296" i="4"/>
  <c r="G2300" i="4"/>
  <c r="G2304" i="4"/>
  <c r="G2308" i="4"/>
  <c r="G2312" i="4"/>
  <c r="G2316" i="4"/>
  <c r="G2320" i="4"/>
  <c r="G2324" i="4"/>
  <c r="G2328" i="4"/>
  <c r="G2332" i="4"/>
  <c r="G2336" i="4"/>
  <c r="G2340" i="4"/>
  <c r="G2344" i="4"/>
  <c r="G2348" i="4"/>
  <c r="G2352" i="4"/>
  <c r="G2356" i="4"/>
  <c r="G2360" i="4"/>
  <c r="G2364" i="4"/>
  <c r="G2368" i="4"/>
  <c r="G2372" i="4"/>
  <c r="G2376" i="4"/>
  <c r="G2380" i="4"/>
  <c r="G2384" i="4"/>
  <c r="G2388" i="4"/>
  <c r="G2392" i="4"/>
  <c r="G2396" i="4"/>
  <c r="G2400" i="4"/>
  <c r="G2404" i="4"/>
  <c r="G2408" i="4"/>
  <c r="G2412" i="4"/>
  <c r="G2416" i="4"/>
  <c r="G2420" i="4"/>
  <c r="G2424" i="4"/>
  <c r="G2428" i="4"/>
  <c r="G2432" i="4"/>
  <c r="G2436" i="4"/>
  <c r="G2440" i="4"/>
  <c r="G2444" i="4"/>
  <c r="G2448" i="4"/>
  <c r="G2452" i="4"/>
  <c r="G2456" i="4"/>
  <c r="G2460" i="4"/>
  <c r="G2464" i="4"/>
  <c r="G2468" i="4"/>
  <c r="G2472" i="4"/>
  <c r="G2476" i="4"/>
  <c r="G2480" i="4"/>
  <c r="G2484" i="4"/>
  <c r="G2488" i="4"/>
  <c r="G2492" i="4"/>
  <c r="G2496" i="4"/>
  <c r="G2500" i="4"/>
  <c r="G2504" i="4"/>
  <c r="G2508" i="4"/>
  <c r="G2512" i="4"/>
  <c r="G2516" i="4"/>
  <c r="G2520" i="4"/>
  <c r="G2524" i="4"/>
  <c r="G2528" i="4"/>
  <c r="G2532" i="4"/>
  <c r="G2536" i="4"/>
  <c r="G2540" i="4"/>
  <c r="G2544" i="4"/>
  <c r="G2548" i="4"/>
  <c r="G2552" i="4"/>
  <c r="G2556" i="4"/>
  <c r="G2560" i="4"/>
  <c r="G2564" i="4"/>
  <c r="G2568" i="4"/>
  <c r="G2572" i="4"/>
  <c r="G2576" i="4"/>
  <c r="G2580" i="4"/>
  <c r="G2584" i="4"/>
  <c r="G2588" i="4"/>
  <c r="G2592" i="4"/>
  <c r="G2596" i="4"/>
  <c r="G2600" i="4"/>
  <c r="G2604" i="4"/>
  <c r="G2608" i="4"/>
  <c r="G2612" i="4"/>
  <c r="G2616" i="4"/>
  <c r="G2620" i="4"/>
  <c r="G2624" i="4"/>
  <c r="G2628" i="4"/>
  <c r="G2632" i="4"/>
  <c r="G2636" i="4"/>
  <c r="G2640" i="4"/>
  <c r="G2644" i="4"/>
  <c r="G2648" i="4"/>
  <c r="G2652" i="4"/>
  <c r="G2656" i="4"/>
  <c r="G2660" i="4"/>
  <c r="G2664" i="4"/>
  <c r="G2668" i="4"/>
  <c r="G2672" i="4"/>
  <c r="G2676" i="4"/>
  <c r="G2680" i="4"/>
  <c r="G2684" i="4"/>
  <c r="G2688" i="4"/>
  <c r="G2692" i="4"/>
  <c r="G2696" i="4"/>
  <c r="G2700" i="4"/>
  <c r="G2704" i="4"/>
  <c r="G2708" i="4"/>
  <c r="G2712" i="4"/>
  <c r="G2716" i="4"/>
  <c r="G2720" i="4"/>
  <c r="G2724" i="4"/>
  <c r="G2728" i="4"/>
  <c r="G2732" i="4"/>
  <c r="G2736" i="4"/>
  <c r="G2740" i="4"/>
  <c r="G2744" i="4"/>
  <c r="G2748" i="4"/>
  <c r="G2752" i="4"/>
  <c r="G2756" i="4"/>
  <c r="G2760" i="4"/>
  <c r="G2764" i="4"/>
  <c r="G2768" i="4"/>
  <c r="G2772" i="4"/>
  <c r="G2776" i="4"/>
  <c r="G2780" i="4"/>
  <c r="G2784" i="4"/>
  <c r="G2788" i="4"/>
  <c r="G2792" i="4"/>
  <c r="G2796" i="4"/>
  <c r="G2800" i="4"/>
  <c r="G2804" i="4"/>
  <c r="G2808" i="4"/>
  <c r="G2812" i="4"/>
  <c r="G2816" i="4"/>
  <c r="G2820" i="4"/>
  <c r="G2824" i="4"/>
  <c r="G2828" i="4"/>
  <c r="G2832" i="4"/>
  <c r="G2836" i="4"/>
  <c r="G2840" i="4"/>
  <c r="G2844" i="4"/>
  <c r="G2848" i="4"/>
  <c r="G2852" i="4"/>
  <c r="G2856" i="4"/>
  <c r="G2860" i="4"/>
  <c r="G2864" i="4"/>
  <c r="G2868" i="4"/>
  <c r="G2872" i="4"/>
  <c r="G2876" i="4"/>
  <c r="G2880" i="4"/>
  <c r="G2884" i="4"/>
  <c r="G2888" i="4"/>
  <c r="G2892" i="4"/>
  <c r="G2896" i="4"/>
  <c r="G2900" i="4"/>
  <c r="G2904" i="4"/>
  <c r="G2908" i="4"/>
  <c r="G2912" i="4"/>
  <c r="G2916" i="4"/>
  <c r="G2920" i="4"/>
  <c r="G2924" i="4"/>
  <c r="G2928" i="4"/>
  <c r="G2932" i="4"/>
  <c r="G2936" i="4"/>
  <c r="G2940" i="4"/>
  <c r="G2944" i="4"/>
  <c r="G2948" i="4"/>
  <c r="G2952" i="4"/>
  <c r="G2956" i="4"/>
  <c r="G2960" i="4"/>
  <c r="G2964" i="4"/>
  <c r="G2968" i="4"/>
  <c r="G2972" i="4"/>
  <c r="G2976" i="4"/>
  <c r="G2980" i="4"/>
  <c r="G2984" i="4"/>
  <c r="G2988" i="4"/>
  <c r="G2992" i="4"/>
  <c r="G2996" i="4"/>
  <c r="G3000" i="4"/>
  <c r="G3004" i="4"/>
  <c r="G3008" i="4"/>
  <c r="G3012" i="4"/>
  <c r="G3016" i="4"/>
  <c r="G3020" i="4"/>
  <c r="G3024" i="4"/>
  <c r="G3028" i="4"/>
  <c r="G3032" i="4"/>
  <c r="G3036" i="4"/>
  <c r="G3040" i="4"/>
  <c r="G3044" i="4"/>
  <c r="G3048" i="4"/>
  <c r="G3052" i="4"/>
  <c r="G3056" i="4"/>
  <c r="F2745" i="4"/>
  <c r="F2749" i="4"/>
  <c r="F2753" i="4"/>
  <c r="F2757" i="4"/>
  <c r="F2761" i="4"/>
  <c r="F2765" i="4"/>
  <c r="F2769" i="4"/>
  <c r="F2773" i="4"/>
  <c r="F2777" i="4"/>
  <c r="F2781" i="4"/>
  <c r="F2785" i="4"/>
  <c r="F2789" i="4"/>
  <c r="F2793" i="4"/>
  <c r="F2797" i="4"/>
  <c r="F2801" i="4"/>
  <c r="F2805" i="4"/>
  <c r="F2809" i="4"/>
  <c r="F2813" i="4"/>
  <c r="F2817" i="4"/>
  <c r="F2821" i="4"/>
  <c r="F2825" i="4"/>
  <c r="F2829" i="4"/>
  <c r="F2833" i="4"/>
  <c r="F2837" i="4"/>
  <c r="F2841" i="4"/>
  <c r="F2845" i="4"/>
  <c r="F2849" i="4"/>
  <c r="F2853" i="4"/>
  <c r="F2857" i="4"/>
  <c r="F2861" i="4"/>
  <c r="F2865" i="4"/>
  <c r="F2869" i="4"/>
  <c r="F2873" i="4"/>
  <c r="F2877" i="4"/>
  <c r="F2881" i="4"/>
  <c r="F2885" i="4"/>
  <c r="F2889" i="4"/>
  <c r="F2893" i="4"/>
  <c r="F2897" i="4"/>
  <c r="F2901" i="4"/>
  <c r="F2905" i="4"/>
  <c r="F2909" i="4"/>
  <c r="F2913" i="4"/>
  <c r="F2917" i="4"/>
  <c r="F2921" i="4"/>
  <c r="F2925" i="4"/>
  <c r="F2929" i="4"/>
  <c r="F2933" i="4"/>
  <c r="F2937" i="4"/>
  <c r="F2941" i="4"/>
  <c r="F2945" i="4"/>
  <c r="F2949" i="4"/>
  <c r="F2953" i="4"/>
  <c r="F2957" i="4"/>
  <c r="F2961" i="4"/>
  <c r="F2965" i="4"/>
  <c r="F2969" i="4"/>
  <c r="F2973" i="4"/>
  <c r="F2977" i="4"/>
  <c r="F2981" i="4"/>
  <c r="F2985" i="4"/>
  <c r="F2989" i="4"/>
  <c r="F2993" i="4"/>
  <c r="F2997" i="4"/>
  <c r="F3001" i="4"/>
  <c r="F3005" i="4"/>
  <c r="F3009" i="4"/>
  <c r="F3013" i="4"/>
  <c r="F3017" i="4"/>
  <c r="F3021" i="4"/>
  <c r="F3025" i="4"/>
  <c r="F3029" i="4"/>
  <c r="F3033" i="4"/>
  <c r="F3037" i="4"/>
  <c r="F3041" i="4"/>
  <c r="F3045" i="4"/>
  <c r="F3049" i="4"/>
  <c r="F3053" i="4"/>
  <c r="F3057" i="4"/>
  <c r="F3061" i="4"/>
  <c r="F3065" i="4"/>
  <c r="F3069" i="4"/>
  <c r="F3073" i="4"/>
  <c r="F3077" i="4"/>
  <c r="F3081" i="4"/>
  <c r="F3085" i="4"/>
  <c r="F3089" i="4"/>
  <c r="F3093" i="4"/>
  <c r="F3097" i="4"/>
  <c r="F3101" i="4"/>
  <c r="F3105" i="4"/>
  <c r="F3109" i="4"/>
  <c r="F3113" i="4"/>
  <c r="F3117" i="4"/>
  <c r="F3121" i="4"/>
  <c r="F3125" i="4"/>
  <c r="F3129" i="4"/>
  <c r="F3133" i="4"/>
  <c r="F3137" i="4"/>
  <c r="F3141" i="4"/>
  <c r="F3145" i="4"/>
  <c r="F3149" i="4"/>
  <c r="F3153" i="4"/>
  <c r="F3157" i="4"/>
  <c r="F3161" i="4"/>
  <c r="F3165" i="4"/>
  <c r="F3169" i="4"/>
  <c r="F3173" i="4"/>
  <c r="F3177" i="4"/>
  <c r="F3181" i="4"/>
  <c r="F3185" i="4"/>
  <c r="F3189" i="4"/>
  <c r="F3193" i="4"/>
  <c r="F3197" i="4"/>
  <c r="F3201" i="4"/>
  <c r="F3205" i="4"/>
  <c r="F3209" i="4"/>
  <c r="F3213" i="4"/>
  <c r="F3217" i="4"/>
  <c r="F3221" i="4"/>
  <c r="F3225" i="4"/>
  <c r="F3229" i="4"/>
  <c r="F3233" i="4"/>
  <c r="F3237" i="4"/>
  <c r="F3241" i="4"/>
  <c r="F3245" i="4"/>
  <c r="F3249" i="4"/>
  <c r="F3253" i="4"/>
  <c r="F3257" i="4"/>
  <c r="F3261" i="4"/>
  <c r="F3265" i="4"/>
  <c r="F3269" i="4"/>
  <c r="F3273" i="4"/>
  <c r="F3277" i="4"/>
  <c r="F3281" i="4"/>
  <c r="F3285" i="4"/>
  <c r="F3289" i="4"/>
  <c r="F3293" i="4"/>
  <c r="F3297" i="4"/>
  <c r="F3301" i="4"/>
  <c r="F3305" i="4"/>
  <c r="F3309" i="4"/>
  <c r="F3313" i="4"/>
  <c r="F3317" i="4"/>
  <c r="F3321" i="4"/>
  <c r="F3325" i="4"/>
  <c r="F3329" i="4"/>
  <c r="F3333" i="4"/>
  <c r="F3337" i="4"/>
  <c r="F3341" i="4"/>
  <c r="F3345" i="4"/>
  <c r="F3349" i="4"/>
  <c r="F3353" i="4"/>
  <c r="F3357" i="4"/>
  <c r="F3361" i="4"/>
  <c r="F3365" i="4"/>
  <c r="F3369" i="4"/>
  <c r="F3373" i="4"/>
  <c r="F3377" i="4"/>
  <c r="F3381" i="4"/>
  <c r="F3385" i="4"/>
  <c r="F3389" i="4"/>
  <c r="F3393" i="4"/>
  <c r="F3397" i="4"/>
  <c r="F3401" i="4"/>
  <c r="F3405" i="4"/>
  <c r="F3409" i="4"/>
  <c r="F3413" i="4"/>
  <c r="F3417" i="4"/>
  <c r="F3421" i="4"/>
  <c r="F3425" i="4"/>
  <c r="F3429" i="4"/>
  <c r="F3433" i="4"/>
  <c r="F3437" i="4"/>
  <c r="F3441" i="4"/>
  <c r="F3445" i="4"/>
  <c r="F3449" i="4"/>
  <c r="F3453" i="4"/>
  <c r="F3457" i="4"/>
  <c r="F3461" i="4"/>
  <c r="F3465" i="4"/>
  <c r="F3469" i="4"/>
  <c r="F3473" i="4"/>
  <c r="F3477" i="4"/>
  <c r="F3481" i="4"/>
  <c r="F3485" i="4"/>
  <c r="F3489" i="4"/>
  <c r="F3493" i="4"/>
  <c r="F3497" i="4"/>
  <c r="F3501" i="4"/>
  <c r="F3505" i="4"/>
  <c r="F3509" i="4"/>
  <c r="F3513" i="4"/>
  <c r="F3517" i="4"/>
  <c r="F3521" i="4"/>
  <c r="F3525" i="4"/>
  <c r="F3529" i="4"/>
  <c r="F3533" i="4"/>
  <c r="F3537" i="4"/>
  <c r="F3541" i="4"/>
  <c r="F3545" i="4"/>
  <c r="F3549" i="4"/>
  <c r="F3553" i="4"/>
  <c r="F3557" i="4"/>
  <c r="F3561" i="4"/>
  <c r="F3565" i="4"/>
  <c r="F3569" i="4"/>
  <c r="F3573" i="4"/>
  <c r="F3577" i="4"/>
  <c r="F3581" i="4"/>
  <c r="F3585" i="4"/>
  <c r="F3589" i="4"/>
  <c r="F3593" i="4"/>
  <c r="F3597" i="4"/>
  <c r="F3601" i="4"/>
  <c r="F3605" i="4"/>
  <c r="F3609" i="4"/>
  <c r="F3613" i="4"/>
  <c r="F3617" i="4"/>
  <c r="F3621" i="4"/>
  <c r="F3625" i="4"/>
  <c r="F3629" i="4"/>
  <c r="F3633" i="4"/>
  <c r="F3637" i="4"/>
  <c r="F3641" i="4"/>
  <c r="F3645" i="4"/>
  <c r="F3649" i="4"/>
  <c r="F3653" i="4"/>
  <c r="F3657" i="4"/>
  <c r="F3661" i="4"/>
  <c r="F3665" i="4"/>
  <c r="F3669" i="4"/>
  <c r="F3673" i="4"/>
  <c r="F3677" i="4"/>
  <c r="F3681" i="4"/>
  <c r="F3685" i="4"/>
  <c r="F3689" i="4"/>
  <c r="F3693" i="4"/>
  <c r="F3697" i="4"/>
  <c r="F3701" i="4"/>
  <c r="F3705" i="4"/>
  <c r="F3709" i="4"/>
  <c r="F3713" i="4"/>
  <c r="F3717" i="4"/>
  <c r="F3721" i="4"/>
  <c r="F3725" i="4"/>
  <c r="F3729" i="4"/>
  <c r="F3733" i="4"/>
  <c r="F3737" i="4"/>
  <c r="F3741" i="4"/>
  <c r="F3745" i="4"/>
  <c r="F3749" i="4"/>
  <c r="F3753" i="4"/>
  <c r="F3757" i="4"/>
  <c r="F3761" i="4"/>
  <c r="F3765" i="4"/>
  <c r="F3769" i="4"/>
  <c r="F3773" i="4"/>
  <c r="F3777" i="4"/>
  <c r="F3781" i="4"/>
  <c r="F3785" i="4"/>
  <c r="F3789" i="4"/>
  <c r="F3793" i="4"/>
  <c r="F3797" i="4"/>
  <c r="F3801" i="4"/>
  <c r="F3805" i="4"/>
  <c r="F3809" i="4"/>
  <c r="F3813" i="4"/>
  <c r="F3817" i="4"/>
  <c r="F3821" i="4"/>
  <c r="F3825" i="4"/>
  <c r="F3829" i="4"/>
  <c r="F3833" i="4"/>
  <c r="F3837" i="4"/>
  <c r="F3841" i="4"/>
  <c r="F3845" i="4"/>
  <c r="F3849" i="4"/>
  <c r="F3853" i="4"/>
  <c r="F3857" i="4"/>
  <c r="F3861" i="4"/>
  <c r="F3865" i="4"/>
  <c r="F3869" i="4"/>
  <c r="F3873" i="4"/>
  <c r="F3877" i="4"/>
  <c r="F3881" i="4"/>
  <c r="F3885" i="4"/>
  <c r="F3889" i="4"/>
  <c r="F3893" i="4"/>
  <c r="F3897" i="4"/>
  <c r="F3901" i="4"/>
  <c r="F3905" i="4"/>
  <c r="F3909" i="4"/>
  <c r="F3913" i="4"/>
  <c r="F3917" i="4"/>
  <c r="F3921" i="4"/>
  <c r="F3925" i="4"/>
  <c r="F3929" i="4"/>
  <c r="F3933" i="4"/>
  <c r="F3937" i="4"/>
  <c r="F3941" i="4"/>
  <c r="F3945" i="4"/>
  <c r="F3949" i="4"/>
  <c r="F3953" i="4"/>
  <c r="F3957" i="4"/>
  <c r="F3961" i="4"/>
  <c r="F3965" i="4"/>
  <c r="F3969" i="4"/>
  <c r="F3973" i="4"/>
  <c r="F3977" i="4"/>
  <c r="F3981" i="4"/>
  <c r="F3985" i="4"/>
  <c r="F3989" i="4"/>
  <c r="F3993" i="4"/>
  <c r="F3997" i="4"/>
  <c r="F4001" i="4"/>
  <c r="F4005" i="4"/>
  <c r="F4009" i="4"/>
  <c r="F4013" i="4"/>
  <c r="F4017" i="4"/>
  <c r="F4021" i="4"/>
  <c r="F4025" i="4"/>
  <c r="F4029" i="4"/>
  <c r="F4033" i="4"/>
  <c r="F4037" i="4"/>
  <c r="F4041" i="4"/>
  <c r="F4045" i="4"/>
  <c r="F4049" i="4"/>
  <c r="F4053" i="4"/>
  <c r="F4057" i="4"/>
  <c r="F4061" i="4"/>
  <c r="F4065" i="4"/>
  <c r="F4069" i="4"/>
  <c r="F4073" i="4"/>
  <c r="F4077" i="4"/>
  <c r="F4081" i="4"/>
  <c r="F4085" i="4"/>
  <c r="F4089" i="4"/>
  <c r="F4093" i="4"/>
  <c r="F4097" i="4"/>
  <c r="F4101" i="4"/>
  <c r="F4105" i="4"/>
  <c r="F4109" i="4"/>
  <c r="F4113" i="4"/>
  <c r="F4117" i="4"/>
  <c r="F4121" i="4"/>
  <c r="F4125" i="4"/>
  <c r="F4129" i="4"/>
  <c r="F4133" i="4"/>
  <c r="F4137" i="4"/>
  <c r="F4141" i="4"/>
  <c r="F4145" i="4"/>
  <c r="F4149" i="4"/>
  <c r="F4153" i="4"/>
  <c r="F4157" i="4"/>
  <c r="F4161" i="4"/>
  <c r="F4165" i="4"/>
  <c r="F4169" i="4"/>
  <c r="F4173" i="4"/>
  <c r="F4177" i="4"/>
  <c r="F4181" i="4"/>
  <c r="F4185" i="4"/>
  <c r="F4189" i="4"/>
  <c r="F4193" i="4"/>
  <c r="F4197" i="4"/>
  <c r="F4201" i="4"/>
  <c r="F4205" i="4"/>
  <c r="F4209" i="4"/>
  <c r="F4213" i="4"/>
  <c r="F4217" i="4"/>
  <c r="F4221" i="4"/>
  <c r="F4225" i="4"/>
  <c r="F4229" i="4"/>
  <c r="F4233" i="4"/>
  <c r="F4237" i="4"/>
  <c r="F4241" i="4"/>
  <c r="F4245" i="4"/>
  <c r="F4249" i="4"/>
  <c r="F4253" i="4"/>
  <c r="F4257" i="4"/>
  <c r="F4261" i="4"/>
  <c r="F4265" i="4"/>
  <c r="F4269" i="4"/>
  <c r="F4273" i="4"/>
  <c r="F4277" i="4"/>
  <c r="F4281" i="4"/>
  <c r="F4285" i="4"/>
  <c r="F4289" i="4"/>
  <c r="F4293" i="4"/>
  <c r="F4297" i="4"/>
  <c r="F4301" i="4"/>
  <c r="F4305" i="4"/>
  <c r="F4309" i="4"/>
  <c r="F4313" i="4"/>
  <c r="F4317" i="4"/>
  <c r="F4321" i="4"/>
  <c r="F4325" i="4"/>
  <c r="F4329" i="4"/>
  <c r="F4333" i="4"/>
  <c r="F4337" i="4"/>
  <c r="F4341" i="4"/>
  <c r="F4345" i="4"/>
  <c r="F4349" i="4"/>
  <c r="F4353" i="4"/>
  <c r="F4357" i="4"/>
  <c r="F4361" i="4"/>
  <c r="F4365" i="4"/>
  <c r="F4369" i="4"/>
  <c r="F4373" i="4"/>
  <c r="F4377" i="4"/>
  <c r="F4381" i="4"/>
  <c r="F4385" i="4"/>
  <c r="F4389" i="4"/>
  <c r="F4393" i="4"/>
  <c r="F4397" i="4"/>
  <c r="F4401" i="4"/>
  <c r="F4405" i="4"/>
  <c r="F4409" i="4"/>
  <c r="F4413" i="4"/>
  <c r="F4417" i="4"/>
  <c r="F4421" i="4"/>
  <c r="F4425" i="4"/>
  <c r="F4429" i="4"/>
  <c r="F4433" i="4"/>
  <c r="F4437" i="4"/>
  <c r="F4441" i="4"/>
  <c r="F4445" i="4"/>
  <c r="F4449" i="4"/>
  <c r="F4453" i="4"/>
  <c r="F4457" i="4"/>
  <c r="F4461" i="4"/>
  <c r="F4465" i="4"/>
  <c r="F4469" i="4"/>
  <c r="F4473" i="4"/>
  <c r="F4477" i="4"/>
  <c r="F4481" i="4"/>
  <c r="F4485" i="4"/>
  <c r="F4489" i="4"/>
  <c r="F4493" i="4"/>
  <c r="F4497" i="4"/>
  <c r="F4501" i="4"/>
  <c r="F4505" i="4"/>
  <c r="F4509" i="4"/>
  <c r="F4513" i="4"/>
  <c r="F4517" i="4"/>
  <c r="F4521" i="4"/>
  <c r="F4525" i="4"/>
  <c r="F4529" i="4"/>
  <c r="F4533" i="4"/>
  <c r="F4537" i="4"/>
  <c r="F4541" i="4"/>
  <c r="F4545" i="4"/>
  <c r="F4549" i="4"/>
  <c r="F4553" i="4"/>
  <c r="F4557" i="4"/>
  <c r="F4561" i="4"/>
  <c r="F4565" i="4"/>
  <c r="F4569" i="4"/>
  <c r="F4573" i="4"/>
  <c r="F4577" i="4"/>
  <c r="F4581" i="4"/>
  <c r="F4585" i="4"/>
  <c r="F4589" i="4"/>
  <c r="F4593" i="4"/>
  <c r="F4597" i="4"/>
  <c r="F4601" i="4"/>
  <c r="F4605" i="4"/>
  <c r="F4609" i="4"/>
  <c r="F4613" i="4"/>
  <c r="F4617" i="4"/>
  <c r="F4621" i="4"/>
  <c r="F4625" i="4"/>
  <c r="F4629" i="4"/>
  <c r="F4633" i="4"/>
  <c r="F4637" i="4"/>
  <c r="F4641" i="4"/>
  <c r="F4645" i="4"/>
  <c r="F4649" i="4"/>
  <c r="F4653" i="4"/>
  <c r="F4657" i="4"/>
  <c r="F4661" i="4"/>
  <c r="F4665" i="4"/>
  <c r="F4669" i="4"/>
  <c r="F4673" i="4"/>
  <c r="F4677" i="4"/>
  <c r="F4681" i="4"/>
  <c r="F4685" i="4"/>
  <c r="F4689" i="4"/>
  <c r="F4693" i="4"/>
  <c r="F4697" i="4"/>
  <c r="F4701" i="4"/>
  <c r="F4705" i="4"/>
  <c r="F4709" i="4"/>
  <c r="F4713" i="4"/>
  <c r="F4717" i="4"/>
  <c r="F4721" i="4"/>
  <c r="F4725" i="4"/>
  <c r="F4729" i="4"/>
  <c r="F4733" i="4"/>
  <c r="F4737" i="4"/>
  <c r="F4741" i="4"/>
  <c r="F4745" i="4"/>
  <c r="F4749" i="4"/>
  <c r="F4753" i="4"/>
  <c r="F4757" i="4"/>
  <c r="F4761" i="4"/>
  <c r="F4765" i="4"/>
  <c r="F4769" i="4"/>
  <c r="F4773" i="4"/>
  <c r="F4777" i="4"/>
  <c r="F4781" i="4"/>
  <c r="F4785" i="4"/>
  <c r="F4789" i="4"/>
  <c r="F4793" i="4"/>
  <c r="F4797" i="4"/>
  <c r="F4801" i="4"/>
  <c r="F4805" i="4"/>
  <c r="F4809" i="4"/>
  <c r="F4813" i="4"/>
  <c r="F4817" i="4"/>
  <c r="F4821" i="4"/>
  <c r="F4825" i="4"/>
  <c r="F4829" i="4"/>
  <c r="F4833" i="4"/>
  <c r="F4837" i="4"/>
  <c r="F4841" i="4"/>
  <c r="F4845" i="4"/>
  <c r="F4849" i="4"/>
  <c r="F4853" i="4"/>
  <c r="F4857" i="4"/>
  <c r="F4861" i="4"/>
  <c r="F4865" i="4"/>
  <c r="F4869" i="4"/>
  <c r="F4873" i="4"/>
  <c r="F4877" i="4"/>
  <c r="F4881" i="4"/>
  <c r="F4885" i="4"/>
  <c r="F4889" i="4"/>
  <c r="F4893" i="4"/>
  <c r="F4897" i="4"/>
  <c r="F4901" i="4"/>
  <c r="F4905" i="4"/>
  <c r="F4909" i="4"/>
  <c r="F4913" i="4"/>
  <c r="F4917" i="4"/>
  <c r="F4921" i="4"/>
  <c r="F4925" i="4"/>
  <c r="F4929" i="4"/>
  <c r="F4933" i="4"/>
  <c r="F4937" i="4"/>
  <c r="F4941" i="4"/>
  <c r="F4945" i="4"/>
  <c r="F4949" i="4"/>
  <c r="F4953" i="4"/>
  <c r="F4957" i="4"/>
  <c r="F4961" i="4"/>
  <c r="F4965" i="4"/>
  <c r="F4969" i="4"/>
  <c r="F4973" i="4"/>
  <c r="F4977" i="4"/>
  <c r="F4981" i="4"/>
  <c r="F4985" i="4"/>
  <c r="F4989" i="4"/>
  <c r="F4993" i="4"/>
  <c r="F4997" i="4"/>
  <c r="F5001" i="4"/>
  <c r="F5005" i="4"/>
  <c r="F5009" i="4"/>
  <c r="G13" i="4"/>
  <c r="G17" i="4"/>
  <c r="G21" i="4"/>
  <c r="G25" i="4"/>
  <c r="G29" i="4"/>
  <c r="G33" i="4"/>
  <c r="G37" i="4"/>
  <c r="G41" i="4"/>
  <c r="G45" i="4"/>
  <c r="G49" i="4"/>
  <c r="G53" i="4"/>
  <c r="G57" i="4"/>
  <c r="G61" i="4"/>
  <c r="G65" i="4"/>
  <c r="G69" i="4"/>
  <c r="G73" i="4"/>
  <c r="G77" i="4"/>
  <c r="G81" i="4"/>
  <c r="G85" i="4"/>
  <c r="G89" i="4"/>
  <c r="G93" i="4"/>
  <c r="G97" i="4"/>
  <c r="G101" i="4"/>
  <c r="G105" i="4"/>
  <c r="G109" i="4"/>
  <c r="G113" i="4"/>
  <c r="G117" i="4"/>
  <c r="G121" i="4"/>
  <c r="G125" i="4"/>
  <c r="G129" i="4"/>
  <c r="G133" i="4"/>
  <c r="G137" i="4"/>
  <c r="G141" i="4"/>
  <c r="G145" i="4"/>
  <c r="G149" i="4"/>
  <c r="G153" i="4"/>
  <c r="G157" i="4"/>
  <c r="G161" i="4"/>
  <c r="G165" i="4"/>
  <c r="G169" i="4"/>
  <c r="G173" i="4"/>
  <c r="G177" i="4"/>
  <c r="G181" i="4"/>
  <c r="G185" i="4"/>
  <c r="G189" i="4"/>
  <c r="G193" i="4"/>
  <c r="G197" i="4"/>
  <c r="G201" i="4"/>
  <c r="G205" i="4"/>
  <c r="G209" i="4"/>
  <c r="G213" i="4"/>
  <c r="G217" i="4"/>
  <c r="G221" i="4"/>
  <c r="G225" i="4"/>
  <c r="G229" i="4"/>
  <c r="G233" i="4"/>
  <c r="G237" i="4"/>
  <c r="G241" i="4"/>
  <c r="G245" i="4"/>
  <c r="G249" i="4"/>
  <c r="G253" i="4"/>
  <c r="G257" i="4"/>
  <c r="G261" i="4"/>
  <c r="G265" i="4"/>
  <c r="G269" i="4"/>
  <c r="G273" i="4"/>
  <c r="G277" i="4"/>
  <c r="G281" i="4"/>
  <c r="G285" i="4"/>
  <c r="G289" i="4"/>
  <c r="G293" i="4"/>
  <c r="G297" i="4"/>
  <c r="G301" i="4"/>
  <c r="G305" i="4"/>
  <c r="G309" i="4"/>
  <c r="G313" i="4"/>
  <c r="G317" i="4"/>
  <c r="G321" i="4"/>
  <c r="G325" i="4"/>
  <c r="G329" i="4"/>
  <c r="G333" i="4"/>
  <c r="G337" i="4"/>
  <c r="G341" i="4"/>
  <c r="G345" i="4"/>
  <c r="G349" i="4"/>
  <c r="G353" i="4"/>
  <c r="G357" i="4"/>
  <c r="G361" i="4"/>
  <c r="G365" i="4"/>
  <c r="G369" i="4"/>
  <c r="G373" i="4"/>
  <c r="G377" i="4"/>
  <c r="G381" i="4"/>
  <c r="G385" i="4"/>
  <c r="G389" i="4"/>
  <c r="G393" i="4"/>
  <c r="G397" i="4"/>
  <c r="G401" i="4"/>
  <c r="G405" i="4"/>
  <c r="G409" i="4"/>
  <c r="G413" i="4"/>
  <c r="G417" i="4"/>
  <c r="G421" i="4"/>
  <c r="G425" i="4"/>
  <c r="G429" i="4"/>
  <c r="G433" i="4"/>
  <c r="G437" i="4"/>
  <c r="G441" i="4"/>
  <c r="G445" i="4"/>
  <c r="G449" i="4"/>
  <c r="G453" i="4"/>
  <c r="G457" i="4"/>
  <c r="G461" i="4"/>
  <c r="G465" i="4"/>
  <c r="G469" i="4"/>
  <c r="G473" i="4"/>
  <c r="G477" i="4"/>
  <c r="G481" i="4"/>
  <c r="G485" i="4"/>
  <c r="G489" i="4"/>
  <c r="G493" i="4"/>
  <c r="G497" i="4"/>
  <c r="G501" i="4"/>
  <c r="G505" i="4"/>
  <c r="G509" i="4"/>
  <c r="G513" i="4"/>
  <c r="G517" i="4"/>
  <c r="G521" i="4"/>
  <c r="G525" i="4"/>
  <c r="G529" i="4"/>
  <c r="G533" i="4"/>
  <c r="G537" i="4"/>
  <c r="G541" i="4"/>
  <c r="G545" i="4"/>
  <c r="G549" i="4"/>
  <c r="G553" i="4"/>
  <c r="G557" i="4"/>
  <c r="G561" i="4"/>
  <c r="G565" i="4"/>
  <c r="G569" i="4"/>
  <c r="G573" i="4"/>
  <c r="G577" i="4"/>
  <c r="G581" i="4"/>
  <c r="G585" i="4"/>
  <c r="G589" i="4"/>
  <c r="G593" i="4"/>
  <c r="G597" i="4"/>
  <c r="G601" i="4"/>
  <c r="G605" i="4"/>
  <c r="G609" i="4"/>
  <c r="G613" i="4"/>
  <c r="G617" i="4"/>
  <c r="G621" i="4"/>
  <c r="G625" i="4"/>
  <c r="G629" i="4"/>
  <c r="G633" i="4"/>
  <c r="G637" i="4"/>
  <c r="G641" i="4"/>
  <c r="G645" i="4"/>
  <c r="G649" i="4"/>
  <c r="G653" i="4"/>
  <c r="G657" i="4"/>
  <c r="G661" i="4"/>
  <c r="G665" i="4"/>
  <c r="G669" i="4"/>
  <c r="G673" i="4"/>
  <c r="G677" i="4"/>
  <c r="G681" i="4"/>
  <c r="G685" i="4"/>
  <c r="G689" i="4"/>
  <c r="G693" i="4"/>
  <c r="G697" i="4"/>
  <c r="G701" i="4"/>
  <c r="G705" i="4"/>
  <c r="G709" i="4"/>
  <c r="G713" i="4"/>
  <c r="G717" i="4"/>
  <c r="G721" i="4"/>
  <c r="G725" i="4"/>
  <c r="G729" i="4"/>
  <c r="G733" i="4"/>
  <c r="G737" i="4"/>
  <c r="G741" i="4"/>
  <c r="G745" i="4"/>
  <c r="G749" i="4"/>
  <c r="G753" i="4"/>
  <c r="G757" i="4"/>
  <c r="G761" i="4"/>
  <c r="G765" i="4"/>
  <c r="G769" i="4"/>
  <c r="G773" i="4"/>
  <c r="G777" i="4"/>
  <c r="G781" i="4"/>
  <c r="G785" i="4"/>
  <c r="G789" i="4"/>
  <c r="G793" i="4"/>
  <c r="G797" i="4"/>
  <c r="G801" i="4"/>
  <c r="G805" i="4"/>
  <c r="G809" i="4"/>
  <c r="G813" i="4"/>
  <c r="G817" i="4"/>
  <c r="G821" i="4"/>
  <c r="G825" i="4"/>
  <c r="G829" i="4"/>
  <c r="G833" i="4"/>
  <c r="G837" i="4"/>
  <c r="G841" i="4"/>
  <c r="G845" i="4"/>
  <c r="G849" i="4"/>
  <c r="G853" i="4"/>
  <c r="G857" i="4"/>
  <c r="G861" i="4"/>
  <c r="G865" i="4"/>
  <c r="G869" i="4"/>
  <c r="G873" i="4"/>
  <c r="G877" i="4"/>
  <c r="G881" i="4"/>
  <c r="G885" i="4"/>
  <c r="G889" i="4"/>
  <c r="G893" i="4"/>
  <c r="G897" i="4"/>
  <c r="G901" i="4"/>
  <c r="G905" i="4"/>
  <c r="G909" i="4"/>
  <c r="G913" i="4"/>
  <c r="G917" i="4"/>
  <c r="G921" i="4"/>
  <c r="G925" i="4"/>
  <c r="G929" i="4"/>
  <c r="G933" i="4"/>
  <c r="G937" i="4"/>
  <c r="G941" i="4"/>
  <c r="G945" i="4"/>
  <c r="G949" i="4"/>
  <c r="G953" i="4"/>
  <c r="G957" i="4"/>
  <c r="G961" i="4"/>
  <c r="G965" i="4"/>
  <c r="G969" i="4"/>
  <c r="G973" i="4"/>
  <c r="G977" i="4"/>
  <c r="G981" i="4"/>
  <c r="G985" i="4"/>
  <c r="G989" i="4"/>
  <c r="G993" i="4"/>
  <c r="G997" i="4"/>
  <c r="G1001" i="4"/>
  <c r="G1005" i="4"/>
  <c r="G1009" i="4"/>
  <c r="G1013" i="4"/>
  <c r="G1017" i="4"/>
  <c r="G1021" i="4"/>
  <c r="G1025" i="4"/>
  <c r="G1029" i="4"/>
  <c r="G1033" i="4"/>
  <c r="G1037" i="4"/>
  <c r="G1041" i="4"/>
  <c r="G1045" i="4"/>
  <c r="G1049" i="4"/>
  <c r="G1053" i="4"/>
  <c r="G1057" i="4"/>
  <c r="G1061" i="4"/>
  <c r="G1065" i="4"/>
  <c r="G1069" i="4"/>
  <c r="G1073" i="4"/>
  <c r="G1077" i="4"/>
  <c r="G1081" i="4"/>
  <c r="G1085" i="4"/>
  <c r="G1089" i="4"/>
  <c r="G1093" i="4"/>
  <c r="G1097" i="4"/>
  <c r="G1101" i="4"/>
  <c r="G1105" i="4"/>
  <c r="G1109" i="4"/>
  <c r="G1113" i="4"/>
  <c r="G1117" i="4"/>
  <c r="G1121" i="4"/>
  <c r="G1125" i="4"/>
  <c r="G1129" i="4"/>
  <c r="G1133" i="4"/>
  <c r="G1137" i="4"/>
  <c r="G1141" i="4"/>
  <c r="G1145" i="4"/>
  <c r="G1149" i="4"/>
  <c r="G1153" i="4"/>
  <c r="G1157" i="4"/>
  <c r="G1161" i="4"/>
  <c r="G1165" i="4"/>
  <c r="G1169" i="4"/>
  <c r="G1173" i="4"/>
  <c r="G1177" i="4"/>
  <c r="G1181" i="4"/>
  <c r="G1185" i="4"/>
  <c r="G1189" i="4"/>
  <c r="G1193" i="4"/>
  <c r="G1197" i="4"/>
  <c r="G1201" i="4"/>
  <c r="G1205" i="4"/>
  <c r="G1209" i="4"/>
  <c r="G1213" i="4"/>
  <c r="G1217" i="4"/>
  <c r="G1221" i="4"/>
  <c r="G1225" i="4"/>
  <c r="G1229" i="4"/>
  <c r="G1233" i="4"/>
  <c r="G1237" i="4"/>
  <c r="G1241" i="4"/>
  <c r="G1245" i="4"/>
  <c r="G1249" i="4"/>
  <c r="G1253" i="4"/>
  <c r="G1257" i="4"/>
  <c r="G1261" i="4"/>
  <c r="G1265" i="4"/>
  <c r="G1269" i="4"/>
  <c r="G1273" i="4"/>
  <c r="G1277" i="4"/>
  <c r="G1281" i="4"/>
  <c r="G1285" i="4"/>
  <c r="G1289" i="4"/>
  <c r="G1293" i="4"/>
  <c r="G1297" i="4"/>
  <c r="G1301" i="4"/>
  <c r="G1305" i="4"/>
  <c r="G1309" i="4"/>
  <c r="G1313" i="4"/>
  <c r="G1317" i="4"/>
  <c r="G1321" i="4"/>
  <c r="G1325" i="4"/>
  <c r="G1329" i="4"/>
  <c r="G1333" i="4"/>
  <c r="G1337" i="4"/>
  <c r="G1341" i="4"/>
  <c r="G1345" i="4"/>
  <c r="G1349" i="4"/>
  <c r="G1353" i="4"/>
  <c r="G1357" i="4"/>
  <c r="G1361" i="4"/>
  <c r="G1365" i="4"/>
  <c r="G1369" i="4"/>
  <c r="G1373" i="4"/>
  <c r="G1377" i="4"/>
  <c r="G1381" i="4"/>
  <c r="G1385" i="4"/>
  <c r="G1389" i="4"/>
  <c r="G1393" i="4"/>
  <c r="G1397" i="4"/>
  <c r="G1401" i="4"/>
  <c r="G1405" i="4"/>
  <c r="G1409" i="4"/>
  <c r="G1413" i="4"/>
  <c r="G1417" i="4"/>
  <c r="G1421" i="4"/>
  <c r="G1425" i="4"/>
  <c r="G1429" i="4"/>
  <c r="G1433" i="4"/>
  <c r="G1437" i="4"/>
  <c r="G1441" i="4"/>
  <c r="G1445" i="4"/>
  <c r="G1449" i="4"/>
  <c r="G1453" i="4"/>
  <c r="G1457" i="4"/>
  <c r="G1461" i="4"/>
  <c r="G1465" i="4"/>
  <c r="G1469" i="4"/>
  <c r="G1473" i="4"/>
  <c r="G1477" i="4"/>
  <c r="G1481" i="4"/>
  <c r="G1485" i="4"/>
  <c r="G1489" i="4"/>
  <c r="G1493" i="4"/>
  <c r="G1497" i="4"/>
  <c r="G1501" i="4"/>
  <c r="G1505" i="4"/>
  <c r="G1509" i="4"/>
  <c r="G1513" i="4"/>
  <c r="G1517" i="4"/>
  <c r="G1521" i="4"/>
  <c r="G1525" i="4"/>
  <c r="G1529" i="4"/>
  <c r="G1533" i="4"/>
  <c r="G1537" i="4"/>
  <c r="G1541" i="4"/>
  <c r="G1545" i="4"/>
  <c r="G1549" i="4"/>
  <c r="G1553" i="4"/>
  <c r="G1557" i="4"/>
  <c r="G1561" i="4"/>
  <c r="G1565" i="4"/>
  <c r="G1569" i="4"/>
  <c r="G1573" i="4"/>
  <c r="G1577" i="4"/>
  <c r="G1581" i="4"/>
  <c r="G1585" i="4"/>
  <c r="G1589" i="4"/>
  <c r="G1593" i="4"/>
  <c r="G1597" i="4"/>
  <c r="G1601" i="4"/>
  <c r="G1605" i="4"/>
  <c r="G1609" i="4"/>
  <c r="G1613" i="4"/>
  <c r="G1617" i="4"/>
  <c r="G1621" i="4"/>
  <c r="G1625" i="4"/>
  <c r="G1629" i="4"/>
  <c r="G1633" i="4"/>
  <c r="G1637" i="4"/>
  <c r="G1641" i="4"/>
  <c r="G1645" i="4"/>
  <c r="G1649" i="4"/>
  <c r="G1653" i="4"/>
  <c r="G1657" i="4"/>
  <c r="G1661" i="4"/>
  <c r="G1665" i="4"/>
  <c r="G1669" i="4"/>
  <c r="G1673" i="4"/>
  <c r="G1677" i="4"/>
  <c r="G1681" i="4"/>
  <c r="G1685" i="4"/>
  <c r="G1689" i="4"/>
  <c r="G1693" i="4"/>
  <c r="G1697" i="4"/>
  <c r="G1701" i="4"/>
  <c r="G1705" i="4"/>
  <c r="G1709" i="4"/>
  <c r="G1713" i="4"/>
  <c r="G1717" i="4"/>
  <c r="G1721" i="4"/>
  <c r="G1725" i="4"/>
  <c r="G1729" i="4"/>
  <c r="G1733" i="4"/>
  <c r="G1737" i="4"/>
  <c r="G1741" i="4"/>
  <c r="G1745" i="4"/>
  <c r="G1749" i="4"/>
  <c r="G1753" i="4"/>
  <c r="G1757" i="4"/>
  <c r="G1761" i="4"/>
  <c r="G1765" i="4"/>
  <c r="G1769" i="4"/>
  <c r="G1773" i="4"/>
  <c r="G1777" i="4"/>
  <c r="G1781" i="4"/>
  <c r="G1785" i="4"/>
  <c r="G1789" i="4"/>
  <c r="G1793" i="4"/>
  <c r="G1797" i="4"/>
  <c r="G1801" i="4"/>
  <c r="G1805" i="4"/>
  <c r="G1809" i="4"/>
  <c r="G1813" i="4"/>
  <c r="G1817" i="4"/>
  <c r="G1821" i="4"/>
  <c r="G1825" i="4"/>
  <c r="G1829" i="4"/>
  <c r="G1833" i="4"/>
  <c r="G1837" i="4"/>
  <c r="G1841" i="4"/>
  <c r="G1845" i="4"/>
  <c r="G1849" i="4"/>
  <c r="G1853" i="4"/>
  <c r="G1857" i="4"/>
  <c r="G1861" i="4"/>
  <c r="G1865" i="4"/>
  <c r="G1869" i="4"/>
  <c r="G1873" i="4"/>
  <c r="G1877" i="4"/>
  <c r="G1881" i="4"/>
  <c r="G1885" i="4"/>
  <c r="G1889" i="4"/>
  <c r="G1893" i="4"/>
  <c r="G1897" i="4"/>
  <c r="G1901" i="4"/>
  <c r="G1905" i="4"/>
  <c r="G1909" i="4"/>
  <c r="G1913" i="4"/>
  <c r="G1917" i="4"/>
  <c r="G1921" i="4"/>
  <c r="G1925" i="4"/>
  <c r="G1929" i="4"/>
  <c r="G1933" i="4"/>
  <c r="G1937" i="4"/>
  <c r="G1941" i="4"/>
  <c r="G1945" i="4"/>
  <c r="G1949" i="4"/>
  <c r="G1953" i="4"/>
  <c r="G1957" i="4"/>
  <c r="G1961" i="4"/>
  <c r="G1965" i="4"/>
  <c r="G1969" i="4"/>
  <c r="G1973" i="4"/>
  <c r="G1977" i="4"/>
  <c r="G1981" i="4"/>
  <c r="G1985" i="4"/>
  <c r="G1989" i="4"/>
  <c r="G1993" i="4"/>
  <c r="G1997" i="4"/>
  <c r="G2001" i="4"/>
  <c r="G2005" i="4"/>
  <c r="G2009" i="4"/>
  <c r="G2013" i="4"/>
  <c r="G2017" i="4"/>
  <c r="G2021" i="4"/>
  <c r="G2025" i="4"/>
  <c r="G2029" i="4"/>
  <c r="G2033" i="4"/>
  <c r="G2037" i="4"/>
  <c r="G2041" i="4"/>
  <c r="G2045" i="4"/>
  <c r="G2049" i="4"/>
  <c r="G2053" i="4"/>
  <c r="G2057" i="4"/>
  <c r="G2061" i="4"/>
  <c r="G2065" i="4"/>
  <c r="G2069" i="4"/>
  <c r="G2073" i="4"/>
  <c r="G2077" i="4"/>
  <c r="G2081" i="4"/>
  <c r="G2085" i="4"/>
  <c r="G2089" i="4"/>
  <c r="G2093" i="4"/>
  <c r="G2097" i="4"/>
  <c r="G2101" i="4"/>
  <c r="G2105" i="4"/>
  <c r="G2109" i="4"/>
  <c r="G2113" i="4"/>
  <c r="G2117" i="4"/>
  <c r="G2121" i="4"/>
  <c r="G2125" i="4"/>
  <c r="G2129" i="4"/>
  <c r="G2133" i="4"/>
  <c r="G2137" i="4"/>
  <c r="G2141" i="4"/>
  <c r="G2145" i="4"/>
  <c r="G2149" i="4"/>
  <c r="G2153" i="4"/>
  <c r="G2157" i="4"/>
  <c r="G2161" i="4"/>
  <c r="G2165" i="4"/>
  <c r="G2169" i="4"/>
  <c r="G2173" i="4"/>
  <c r="G2177" i="4"/>
  <c r="G2181" i="4"/>
  <c r="G2185" i="4"/>
  <c r="G2189" i="4"/>
  <c r="G2193" i="4"/>
  <c r="G2197" i="4"/>
  <c r="G2201" i="4"/>
  <c r="G2205" i="4"/>
  <c r="G2209" i="4"/>
  <c r="G2213" i="4"/>
  <c r="G2217" i="4"/>
  <c r="G2221" i="4"/>
  <c r="G2225" i="4"/>
  <c r="G2229" i="4"/>
  <c r="G2233" i="4"/>
  <c r="G2237" i="4"/>
  <c r="G2241" i="4"/>
  <c r="G2245" i="4"/>
  <c r="G2249" i="4"/>
  <c r="G2253" i="4"/>
  <c r="G2257" i="4"/>
  <c r="G2261" i="4"/>
  <c r="G2265" i="4"/>
  <c r="G2269" i="4"/>
  <c r="G2273" i="4"/>
  <c r="G2277" i="4"/>
  <c r="G2281" i="4"/>
  <c r="G2285" i="4"/>
  <c r="G2289" i="4"/>
  <c r="G2293" i="4"/>
  <c r="G2297" i="4"/>
  <c r="G2301" i="4"/>
  <c r="G2305" i="4"/>
  <c r="G2309" i="4"/>
  <c r="G2313" i="4"/>
  <c r="G2317" i="4"/>
  <c r="G2321" i="4"/>
  <c r="G2325" i="4"/>
  <c r="G2329" i="4"/>
  <c r="G2333" i="4"/>
  <c r="G2337" i="4"/>
  <c r="G2341" i="4"/>
  <c r="G2345" i="4"/>
  <c r="G2349" i="4"/>
  <c r="G2353" i="4"/>
  <c r="G2357" i="4"/>
  <c r="G2361" i="4"/>
  <c r="G2365" i="4"/>
  <c r="G2369" i="4"/>
  <c r="G2373" i="4"/>
  <c r="G2377" i="4"/>
  <c r="G2381" i="4"/>
  <c r="G2385" i="4"/>
  <c r="G2389" i="4"/>
  <c r="G2393" i="4"/>
  <c r="G2397" i="4"/>
  <c r="G2401" i="4"/>
  <c r="G2405" i="4"/>
  <c r="G2409" i="4"/>
  <c r="G2413" i="4"/>
  <c r="G2417" i="4"/>
  <c r="G2421" i="4"/>
  <c r="G2425" i="4"/>
  <c r="G2429" i="4"/>
  <c r="G2433" i="4"/>
  <c r="G2437" i="4"/>
  <c r="G2441" i="4"/>
  <c r="G2445" i="4"/>
  <c r="G2449" i="4"/>
  <c r="G2453" i="4"/>
  <c r="G2457" i="4"/>
  <c r="G2461" i="4"/>
  <c r="G2465" i="4"/>
  <c r="G2469" i="4"/>
  <c r="G2473" i="4"/>
  <c r="G2477" i="4"/>
  <c r="G2481" i="4"/>
  <c r="G2485" i="4"/>
  <c r="G2489" i="4"/>
  <c r="G2493" i="4"/>
  <c r="G2497" i="4"/>
  <c r="G2501" i="4"/>
  <c r="G2505" i="4"/>
  <c r="G2509" i="4"/>
  <c r="G2513" i="4"/>
  <c r="G2517" i="4"/>
  <c r="G2521" i="4"/>
  <c r="G2525" i="4"/>
  <c r="G2529" i="4"/>
  <c r="G2533" i="4"/>
  <c r="G2537" i="4"/>
  <c r="G2541" i="4"/>
  <c r="G2545" i="4"/>
  <c r="G2549" i="4"/>
  <c r="G2553" i="4"/>
  <c r="G2557" i="4"/>
  <c r="G2561" i="4"/>
  <c r="G2565" i="4"/>
  <c r="G2569" i="4"/>
  <c r="G2573" i="4"/>
  <c r="G2577" i="4"/>
  <c r="G2581" i="4"/>
  <c r="G2585" i="4"/>
  <c r="G2589" i="4"/>
  <c r="G2593" i="4"/>
  <c r="G2597" i="4"/>
  <c r="G2601" i="4"/>
  <c r="G2605" i="4"/>
  <c r="G2609" i="4"/>
  <c r="G2613" i="4"/>
  <c r="G2617" i="4"/>
  <c r="G2621" i="4"/>
  <c r="G2625" i="4"/>
  <c r="G2629" i="4"/>
  <c r="G2633" i="4"/>
  <c r="G2637" i="4"/>
  <c r="G2641" i="4"/>
  <c r="G2645" i="4"/>
  <c r="G2649" i="4"/>
  <c r="G2653" i="4"/>
  <c r="G2657" i="4"/>
  <c r="G2661" i="4"/>
  <c r="G2665" i="4"/>
  <c r="G2669" i="4"/>
  <c r="G2673" i="4"/>
  <c r="G2677" i="4"/>
  <c r="G2681" i="4"/>
  <c r="G2685" i="4"/>
  <c r="G2689" i="4"/>
  <c r="G2693" i="4"/>
  <c r="G2697" i="4"/>
  <c r="G2701" i="4"/>
  <c r="G2705" i="4"/>
  <c r="G2709" i="4"/>
  <c r="G2713" i="4"/>
  <c r="G2717" i="4"/>
  <c r="G2721" i="4"/>
  <c r="G2725" i="4"/>
  <c r="G2729" i="4"/>
  <c r="G2733" i="4"/>
  <c r="G2737" i="4"/>
  <c r="G2741" i="4"/>
  <c r="G2745" i="4"/>
  <c r="G2749" i="4"/>
  <c r="G2753" i="4"/>
  <c r="G2757" i="4"/>
  <c r="G2761" i="4"/>
  <c r="G2765" i="4"/>
  <c r="G2769" i="4"/>
  <c r="G2773" i="4"/>
  <c r="G2777" i="4"/>
  <c r="G2781" i="4"/>
  <c r="G2785" i="4"/>
  <c r="G2789" i="4"/>
  <c r="G2793" i="4"/>
  <c r="G2797" i="4"/>
  <c r="G2801" i="4"/>
  <c r="G2805" i="4"/>
  <c r="G2809" i="4"/>
  <c r="G2813" i="4"/>
  <c r="G2817" i="4"/>
  <c r="G2821" i="4"/>
  <c r="G2825" i="4"/>
  <c r="G2829" i="4"/>
  <c r="G2833" i="4"/>
  <c r="G2837" i="4"/>
  <c r="G2841" i="4"/>
  <c r="G2845" i="4"/>
  <c r="G2849" i="4"/>
  <c r="G2853" i="4"/>
  <c r="G2857" i="4"/>
  <c r="G2861" i="4"/>
  <c r="G2865" i="4"/>
  <c r="G2869" i="4"/>
  <c r="G2873" i="4"/>
  <c r="G2877" i="4"/>
  <c r="G2881" i="4"/>
  <c r="G2885" i="4"/>
  <c r="G2889" i="4"/>
  <c r="G2893" i="4"/>
  <c r="G2897" i="4"/>
  <c r="G2901" i="4"/>
  <c r="G2905" i="4"/>
  <c r="G2909" i="4"/>
  <c r="G2913" i="4"/>
  <c r="G2917" i="4"/>
  <c r="G2921" i="4"/>
  <c r="G2925" i="4"/>
  <c r="G2929" i="4"/>
  <c r="G2933" i="4"/>
  <c r="G2937" i="4"/>
  <c r="G2941" i="4"/>
  <c r="G2945" i="4"/>
  <c r="G2949" i="4"/>
  <c r="G2953" i="4"/>
  <c r="G2957" i="4"/>
  <c r="G2961" i="4"/>
  <c r="G2965" i="4"/>
  <c r="G2969" i="4"/>
  <c r="G2973" i="4"/>
  <c r="G2977" i="4"/>
  <c r="G2981" i="4"/>
  <c r="G2985" i="4"/>
  <c r="G2989" i="4"/>
  <c r="G2993" i="4"/>
  <c r="G2997" i="4"/>
  <c r="G3001" i="4"/>
  <c r="G3005" i="4"/>
  <c r="G3009" i="4"/>
  <c r="G3013" i="4"/>
  <c r="G3017" i="4"/>
  <c r="G3021" i="4"/>
  <c r="G3025" i="4"/>
  <c r="G3029" i="4"/>
  <c r="G3033" i="4"/>
  <c r="G3037" i="4"/>
  <c r="G3041" i="4"/>
  <c r="G3045" i="4"/>
  <c r="G3049" i="4"/>
  <c r="G3053" i="4"/>
  <c r="G3057" i="4"/>
  <c r="G3061" i="4"/>
  <c r="G3065" i="4"/>
  <c r="G3069" i="4"/>
  <c r="G3073" i="4"/>
  <c r="G3077" i="4"/>
  <c r="G3081" i="4"/>
  <c r="G3085" i="4"/>
  <c r="G3089" i="4"/>
  <c r="G3093" i="4"/>
  <c r="G3097" i="4"/>
  <c r="G3101" i="4"/>
  <c r="G3105" i="4"/>
  <c r="G3109" i="4"/>
  <c r="G3113" i="4"/>
  <c r="G3117" i="4"/>
  <c r="G3121" i="4"/>
  <c r="G3125" i="4"/>
  <c r="G3129" i="4"/>
  <c r="G3133" i="4"/>
  <c r="G3137" i="4"/>
  <c r="G3141" i="4"/>
  <c r="G3145" i="4"/>
  <c r="G3149" i="4"/>
  <c r="G3153" i="4"/>
  <c r="G3157" i="4"/>
  <c r="G3161" i="4"/>
  <c r="G3165" i="4"/>
  <c r="G3169" i="4"/>
  <c r="G3173" i="4"/>
  <c r="G3177" i="4"/>
  <c r="G3181" i="4"/>
  <c r="G3185" i="4"/>
  <c r="G3189" i="4"/>
  <c r="G3193" i="4"/>
  <c r="G3197" i="4"/>
  <c r="G3201" i="4"/>
  <c r="G3205" i="4"/>
  <c r="F2746" i="4"/>
  <c r="F2750" i="4"/>
  <c r="F2754" i="4"/>
  <c r="F2758" i="4"/>
  <c r="F2762" i="4"/>
  <c r="F2766" i="4"/>
  <c r="F2770" i="4"/>
  <c r="F2774" i="4"/>
  <c r="F2778" i="4"/>
  <c r="F2782" i="4"/>
  <c r="F2786" i="4"/>
  <c r="F2790" i="4"/>
  <c r="F2794" i="4"/>
  <c r="F2798" i="4"/>
  <c r="F2802" i="4"/>
  <c r="F2806" i="4"/>
  <c r="F2810" i="4"/>
  <c r="F2814" i="4"/>
  <c r="F2818" i="4"/>
  <c r="F2822" i="4"/>
  <c r="F2826" i="4"/>
  <c r="F2830" i="4"/>
  <c r="F2834" i="4"/>
  <c r="F2838" i="4"/>
  <c r="F2842" i="4"/>
  <c r="F2846" i="4"/>
  <c r="F2850" i="4"/>
  <c r="F2854" i="4"/>
  <c r="F2858" i="4"/>
  <c r="F2862" i="4"/>
  <c r="F2866" i="4"/>
  <c r="F2870" i="4"/>
  <c r="F2874" i="4"/>
  <c r="F2878" i="4"/>
  <c r="F2882" i="4"/>
  <c r="F2886" i="4"/>
  <c r="F2890" i="4"/>
  <c r="F2894" i="4"/>
  <c r="F2898" i="4"/>
  <c r="F2902" i="4"/>
  <c r="F2906" i="4"/>
  <c r="F2910" i="4"/>
  <c r="F2914" i="4"/>
  <c r="F2918" i="4"/>
  <c r="F2922" i="4"/>
  <c r="F2926" i="4"/>
  <c r="F2930" i="4"/>
  <c r="F2934" i="4"/>
  <c r="F2938" i="4"/>
  <c r="F2942" i="4"/>
  <c r="F2946" i="4"/>
  <c r="F2950" i="4"/>
  <c r="F2954" i="4"/>
  <c r="F2958" i="4"/>
  <c r="F2962" i="4"/>
  <c r="F2966" i="4"/>
  <c r="F2970" i="4"/>
  <c r="F2974" i="4"/>
  <c r="F2978" i="4"/>
  <c r="F2982" i="4"/>
  <c r="F2986" i="4"/>
  <c r="F2990" i="4"/>
  <c r="F2994" i="4"/>
  <c r="F2998" i="4"/>
  <c r="F3002" i="4"/>
  <c r="F3006" i="4"/>
  <c r="F3010" i="4"/>
  <c r="F3014" i="4"/>
  <c r="F3018" i="4"/>
  <c r="F3022" i="4"/>
  <c r="F3026" i="4"/>
  <c r="F3030" i="4"/>
  <c r="F3034" i="4"/>
  <c r="F3038" i="4"/>
  <c r="F3042" i="4"/>
  <c r="F3046" i="4"/>
  <c r="F3050" i="4"/>
  <c r="F3054" i="4"/>
  <c r="F3058" i="4"/>
  <c r="F3062" i="4"/>
  <c r="F3066" i="4"/>
  <c r="F3070" i="4"/>
  <c r="F3074" i="4"/>
  <c r="F3078" i="4"/>
  <c r="F3082" i="4"/>
  <c r="F3086" i="4"/>
  <c r="F3090" i="4"/>
  <c r="F3094" i="4"/>
  <c r="F3098" i="4"/>
  <c r="F3102" i="4"/>
  <c r="F3106" i="4"/>
  <c r="F3110" i="4"/>
  <c r="F3114" i="4"/>
  <c r="F3118" i="4"/>
  <c r="F3122" i="4"/>
  <c r="F3126" i="4"/>
  <c r="F3130" i="4"/>
  <c r="F3134" i="4"/>
  <c r="F3138" i="4"/>
  <c r="F3142" i="4"/>
  <c r="F3146" i="4"/>
  <c r="F3150" i="4"/>
  <c r="F3154" i="4"/>
  <c r="F3158" i="4"/>
  <c r="F3162" i="4"/>
  <c r="F3166" i="4"/>
  <c r="F3170" i="4"/>
  <c r="F3174" i="4"/>
  <c r="F3178" i="4"/>
  <c r="F3182" i="4"/>
  <c r="F3186" i="4"/>
  <c r="F3190" i="4"/>
  <c r="F3194" i="4"/>
  <c r="F3198" i="4"/>
  <c r="F3202" i="4"/>
  <c r="F3206" i="4"/>
  <c r="F3210" i="4"/>
  <c r="F3214" i="4"/>
  <c r="F3218" i="4"/>
  <c r="F3222" i="4"/>
  <c r="F3226" i="4"/>
  <c r="F3230" i="4"/>
  <c r="F3234" i="4"/>
  <c r="F3238" i="4"/>
  <c r="F3242" i="4"/>
  <c r="F3246" i="4"/>
  <c r="F3250" i="4"/>
  <c r="F3254" i="4"/>
  <c r="F3258" i="4"/>
  <c r="F3262" i="4"/>
  <c r="F3266" i="4"/>
  <c r="F3270" i="4"/>
  <c r="F3274" i="4"/>
  <c r="F3278" i="4"/>
  <c r="F3282" i="4"/>
  <c r="F3286" i="4"/>
  <c r="F3290" i="4"/>
  <c r="F3294" i="4"/>
  <c r="F3298" i="4"/>
  <c r="F3302" i="4"/>
  <c r="F3306" i="4"/>
  <c r="F3310" i="4"/>
  <c r="F3314" i="4"/>
  <c r="F3318" i="4"/>
  <c r="F3322" i="4"/>
  <c r="F3326" i="4"/>
  <c r="F3330" i="4"/>
  <c r="F3334" i="4"/>
  <c r="F3338" i="4"/>
  <c r="F3342" i="4"/>
  <c r="F3346" i="4"/>
  <c r="F3350" i="4"/>
  <c r="F3354" i="4"/>
  <c r="F3358" i="4"/>
  <c r="F3362" i="4"/>
  <c r="F3366" i="4"/>
  <c r="F3370" i="4"/>
  <c r="F3374" i="4"/>
  <c r="F3378" i="4"/>
  <c r="F3382" i="4"/>
  <c r="F3386" i="4"/>
  <c r="F3390" i="4"/>
  <c r="F3394" i="4"/>
  <c r="F3398" i="4"/>
  <c r="F3402" i="4"/>
  <c r="F3406" i="4"/>
  <c r="F3410" i="4"/>
  <c r="F3414" i="4"/>
  <c r="F3418" i="4"/>
  <c r="F3422" i="4"/>
  <c r="F3426" i="4"/>
  <c r="F3430" i="4"/>
  <c r="F3434" i="4"/>
  <c r="F3438" i="4"/>
  <c r="F3442" i="4"/>
  <c r="F3446" i="4"/>
  <c r="F3450" i="4"/>
  <c r="F3454" i="4"/>
  <c r="F3458" i="4"/>
  <c r="F3462" i="4"/>
  <c r="F3466" i="4"/>
  <c r="F3470" i="4"/>
  <c r="F3474" i="4"/>
  <c r="F3478" i="4"/>
  <c r="F3482" i="4"/>
  <c r="F3486" i="4"/>
  <c r="F3490" i="4"/>
  <c r="F3494" i="4"/>
  <c r="F3498" i="4"/>
  <c r="F3502" i="4"/>
  <c r="F3506" i="4"/>
  <c r="F3510" i="4"/>
  <c r="F3514" i="4"/>
  <c r="F3518" i="4"/>
  <c r="F3522" i="4"/>
  <c r="F3526" i="4"/>
  <c r="F3530" i="4"/>
  <c r="F3534" i="4"/>
  <c r="F3538" i="4"/>
  <c r="F3542" i="4"/>
  <c r="F3546" i="4"/>
  <c r="F3550" i="4"/>
  <c r="F3554" i="4"/>
  <c r="F3558" i="4"/>
  <c r="F3562" i="4"/>
  <c r="F3566" i="4"/>
  <c r="F3570" i="4"/>
  <c r="F3574" i="4"/>
  <c r="F3578" i="4"/>
  <c r="F3582" i="4"/>
  <c r="F3586" i="4"/>
  <c r="F3590" i="4"/>
  <c r="F3594" i="4"/>
  <c r="F3598" i="4"/>
  <c r="F3602" i="4"/>
  <c r="F3606" i="4"/>
  <c r="F3610" i="4"/>
  <c r="F3614" i="4"/>
  <c r="F3618" i="4"/>
  <c r="F3622" i="4"/>
  <c r="F3626" i="4"/>
  <c r="F3630" i="4"/>
  <c r="F3634" i="4"/>
  <c r="F3638" i="4"/>
  <c r="F3642" i="4"/>
  <c r="F3646" i="4"/>
  <c r="F3650" i="4"/>
  <c r="F3654" i="4"/>
  <c r="F3658" i="4"/>
  <c r="F3662" i="4"/>
  <c r="F3666" i="4"/>
  <c r="F3670" i="4"/>
  <c r="F3674" i="4"/>
  <c r="F3678" i="4"/>
  <c r="F3682" i="4"/>
  <c r="F3686" i="4"/>
  <c r="F3690" i="4"/>
  <c r="F3694" i="4"/>
  <c r="F3698" i="4"/>
  <c r="F3702" i="4"/>
  <c r="F3706" i="4"/>
  <c r="F3710" i="4"/>
  <c r="F3714" i="4"/>
  <c r="F3718" i="4"/>
  <c r="F3722" i="4"/>
  <c r="F3726" i="4"/>
  <c r="F3730" i="4"/>
  <c r="F3734" i="4"/>
  <c r="F3738" i="4"/>
  <c r="F3742" i="4"/>
  <c r="F3746" i="4"/>
  <c r="F3750" i="4"/>
  <c r="F3754" i="4"/>
  <c r="F3758" i="4"/>
  <c r="F3762" i="4"/>
  <c r="F3766" i="4"/>
  <c r="F3770" i="4"/>
  <c r="F3774" i="4"/>
  <c r="F3778" i="4"/>
  <c r="F3782" i="4"/>
  <c r="F3786" i="4"/>
  <c r="F3790" i="4"/>
  <c r="F3794" i="4"/>
  <c r="F3798" i="4"/>
  <c r="F3802" i="4"/>
  <c r="F3806" i="4"/>
  <c r="F3810" i="4"/>
  <c r="F3814" i="4"/>
  <c r="F3818" i="4"/>
  <c r="F3822" i="4"/>
  <c r="F3826" i="4"/>
  <c r="F3830" i="4"/>
  <c r="F3834" i="4"/>
  <c r="F3838" i="4"/>
  <c r="F3842" i="4"/>
  <c r="F3846" i="4"/>
  <c r="F3850" i="4"/>
  <c r="F3854" i="4"/>
  <c r="F3858" i="4"/>
  <c r="F3862" i="4"/>
  <c r="F3866" i="4"/>
  <c r="F3870" i="4"/>
  <c r="F3874" i="4"/>
  <c r="F3878" i="4"/>
  <c r="F3882" i="4"/>
  <c r="F3886" i="4"/>
  <c r="F3890" i="4"/>
  <c r="F3894" i="4"/>
  <c r="F3898" i="4"/>
  <c r="F3902" i="4"/>
  <c r="F3906" i="4"/>
  <c r="F3910" i="4"/>
  <c r="F3914" i="4"/>
  <c r="F3918" i="4"/>
  <c r="F3922" i="4"/>
  <c r="F3926" i="4"/>
  <c r="F3930" i="4"/>
  <c r="F3934" i="4"/>
  <c r="F3938" i="4"/>
  <c r="F3942" i="4"/>
  <c r="F3946" i="4"/>
  <c r="F3950" i="4"/>
  <c r="F3954" i="4"/>
  <c r="F3958" i="4"/>
  <c r="F3962" i="4"/>
  <c r="F3966" i="4"/>
  <c r="F3970" i="4"/>
  <c r="F3974" i="4"/>
  <c r="F3978" i="4"/>
  <c r="F3982" i="4"/>
  <c r="F3986" i="4"/>
  <c r="F3990" i="4"/>
  <c r="F3994" i="4"/>
  <c r="F3998" i="4"/>
  <c r="F4002" i="4"/>
  <c r="F4006" i="4"/>
  <c r="F4010" i="4"/>
  <c r="F4014" i="4"/>
  <c r="F4018" i="4"/>
  <c r="F4022" i="4"/>
  <c r="F4026" i="4"/>
  <c r="F4030" i="4"/>
  <c r="F4034" i="4"/>
  <c r="F4038" i="4"/>
  <c r="F4042" i="4"/>
  <c r="F4046" i="4"/>
  <c r="F4050" i="4"/>
  <c r="F4054" i="4"/>
  <c r="F4058" i="4"/>
  <c r="F4062" i="4"/>
  <c r="F4066" i="4"/>
  <c r="F4070" i="4"/>
  <c r="F4074" i="4"/>
  <c r="F4078" i="4"/>
  <c r="F4082" i="4"/>
  <c r="F4086" i="4"/>
  <c r="F4090" i="4"/>
  <c r="F4094" i="4"/>
  <c r="F4098" i="4"/>
  <c r="F4102" i="4"/>
  <c r="F4106" i="4"/>
  <c r="F4110" i="4"/>
  <c r="F4114" i="4"/>
  <c r="F4118" i="4"/>
  <c r="F4122" i="4"/>
  <c r="F4126" i="4"/>
  <c r="F4130" i="4"/>
  <c r="F4134" i="4"/>
  <c r="F4138" i="4"/>
  <c r="F4142" i="4"/>
  <c r="F4146" i="4"/>
  <c r="F4150" i="4"/>
  <c r="F4154" i="4"/>
  <c r="F4158" i="4"/>
  <c r="F4162" i="4"/>
  <c r="F4166" i="4"/>
  <c r="F4170" i="4"/>
  <c r="F4174" i="4"/>
  <c r="F4178" i="4"/>
  <c r="F4182" i="4"/>
  <c r="F4186" i="4"/>
  <c r="F4190" i="4"/>
  <c r="F4194" i="4"/>
  <c r="F4198" i="4"/>
  <c r="F4202" i="4"/>
  <c r="F4206" i="4"/>
  <c r="F4210" i="4"/>
  <c r="F4214" i="4"/>
  <c r="F4218" i="4"/>
  <c r="F4222" i="4"/>
  <c r="F4226" i="4"/>
  <c r="F4230" i="4"/>
  <c r="F4234" i="4"/>
  <c r="F4238" i="4"/>
  <c r="F4242" i="4"/>
  <c r="F4246" i="4"/>
  <c r="F4250" i="4"/>
  <c r="F4254" i="4"/>
  <c r="F4258" i="4"/>
  <c r="F4262" i="4"/>
  <c r="F4266" i="4"/>
  <c r="F4270" i="4"/>
  <c r="F4274" i="4"/>
  <c r="F4278" i="4"/>
  <c r="F4282" i="4"/>
  <c r="F4286" i="4"/>
  <c r="F4290" i="4"/>
  <c r="F4294" i="4"/>
  <c r="F4298" i="4"/>
  <c r="F4302" i="4"/>
  <c r="F4306" i="4"/>
  <c r="F4310" i="4"/>
  <c r="F4314" i="4"/>
  <c r="F4318" i="4"/>
  <c r="F4322" i="4"/>
  <c r="F4326" i="4"/>
  <c r="F4330" i="4"/>
  <c r="F4334" i="4"/>
  <c r="F4338" i="4"/>
  <c r="F4342" i="4"/>
  <c r="F4346" i="4"/>
  <c r="F4350" i="4"/>
  <c r="F4354" i="4"/>
  <c r="F4358" i="4"/>
  <c r="F4362" i="4"/>
  <c r="F4366" i="4"/>
  <c r="F4370" i="4"/>
  <c r="F4374" i="4"/>
  <c r="F4378" i="4"/>
  <c r="F4382" i="4"/>
  <c r="F4386" i="4"/>
  <c r="F4390" i="4"/>
  <c r="F4394" i="4"/>
  <c r="F4398" i="4"/>
  <c r="F4402" i="4"/>
  <c r="F4406" i="4"/>
  <c r="F4410" i="4"/>
  <c r="F4414" i="4"/>
  <c r="F4418" i="4"/>
  <c r="F4422" i="4"/>
  <c r="F4426" i="4"/>
  <c r="F4430" i="4"/>
  <c r="F4434" i="4"/>
  <c r="F4438" i="4"/>
  <c r="F4442" i="4"/>
  <c r="F4446" i="4"/>
  <c r="F4450" i="4"/>
  <c r="F4454" i="4"/>
  <c r="F4458" i="4"/>
  <c r="F4462" i="4"/>
  <c r="F4466" i="4"/>
  <c r="F4470" i="4"/>
  <c r="F4474" i="4"/>
  <c r="F4478" i="4"/>
  <c r="F4482" i="4"/>
  <c r="F4486" i="4"/>
  <c r="F4490" i="4"/>
  <c r="F4494" i="4"/>
  <c r="F4498" i="4"/>
  <c r="F4502" i="4"/>
  <c r="F4506" i="4"/>
  <c r="F4510" i="4"/>
  <c r="F4514" i="4"/>
  <c r="F4518" i="4"/>
  <c r="F4522" i="4"/>
  <c r="F4526" i="4"/>
  <c r="F4530" i="4"/>
  <c r="F4534" i="4"/>
  <c r="F4538" i="4"/>
  <c r="F4542" i="4"/>
  <c r="F4546" i="4"/>
  <c r="F4550" i="4"/>
  <c r="F4554" i="4"/>
  <c r="F4558" i="4"/>
  <c r="F4562" i="4"/>
  <c r="F4566" i="4"/>
  <c r="F4570" i="4"/>
  <c r="F4574" i="4"/>
  <c r="F4578" i="4"/>
  <c r="F4582" i="4"/>
  <c r="F4586" i="4"/>
  <c r="F4590" i="4"/>
  <c r="F4594" i="4"/>
  <c r="F4598" i="4"/>
  <c r="F4602" i="4"/>
  <c r="F4606" i="4"/>
  <c r="F4610" i="4"/>
  <c r="F4614" i="4"/>
  <c r="F4618" i="4"/>
  <c r="F4622" i="4"/>
  <c r="F4626" i="4"/>
  <c r="F4630" i="4"/>
  <c r="F4634" i="4"/>
  <c r="F4638" i="4"/>
  <c r="F4642" i="4"/>
  <c r="F4646" i="4"/>
  <c r="F4650" i="4"/>
  <c r="F4654" i="4"/>
  <c r="F4658" i="4"/>
  <c r="F4662" i="4"/>
  <c r="F4666" i="4"/>
  <c r="F4670" i="4"/>
  <c r="F4674" i="4"/>
  <c r="F4678" i="4"/>
  <c r="F4682" i="4"/>
  <c r="F4686" i="4"/>
  <c r="F4690" i="4"/>
  <c r="F4694" i="4"/>
  <c r="F4698" i="4"/>
  <c r="F4702" i="4"/>
  <c r="F4706" i="4"/>
  <c r="F4710" i="4"/>
  <c r="F4714" i="4"/>
  <c r="F4718" i="4"/>
  <c r="F4722" i="4"/>
  <c r="F4726" i="4"/>
  <c r="F4730" i="4"/>
  <c r="F4734" i="4"/>
  <c r="F4738" i="4"/>
  <c r="F4742" i="4"/>
  <c r="F4746" i="4"/>
  <c r="F4750" i="4"/>
  <c r="F4754" i="4"/>
  <c r="F4758" i="4"/>
  <c r="F4762" i="4"/>
  <c r="F4766" i="4"/>
  <c r="F4770" i="4"/>
  <c r="F4774" i="4"/>
  <c r="F4778" i="4"/>
  <c r="F4782" i="4"/>
  <c r="F4786" i="4"/>
  <c r="F4790" i="4"/>
  <c r="F4794" i="4"/>
  <c r="F4798" i="4"/>
  <c r="F4802" i="4"/>
  <c r="F4806" i="4"/>
  <c r="F4810" i="4"/>
  <c r="F4814" i="4"/>
  <c r="F4818" i="4"/>
  <c r="F4822" i="4"/>
  <c r="F4826" i="4"/>
  <c r="F4830" i="4"/>
  <c r="F4834" i="4"/>
  <c r="F4838" i="4"/>
  <c r="F4842" i="4"/>
  <c r="F4846" i="4"/>
  <c r="F4850" i="4"/>
  <c r="F4854" i="4"/>
  <c r="F4858" i="4"/>
  <c r="F4862" i="4"/>
  <c r="F4866" i="4"/>
  <c r="F4870" i="4"/>
  <c r="F4874" i="4"/>
  <c r="F4878" i="4"/>
  <c r="F4882" i="4"/>
  <c r="F4886" i="4"/>
  <c r="F4890" i="4"/>
  <c r="F4894" i="4"/>
  <c r="F4898" i="4"/>
  <c r="F4902" i="4"/>
  <c r="F4906" i="4"/>
  <c r="F4910" i="4"/>
  <c r="F4914" i="4"/>
  <c r="F4918" i="4"/>
  <c r="F4922" i="4"/>
  <c r="F4926" i="4"/>
  <c r="F4930" i="4"/>
  <c r="F4934" i="4"/>
  <c r="F4938" i="4"/>
  <c r="F4942" i="4"/>
  <c r="F4946" i="4"/>
  <c r="F4950" i="4"/>
  <c r="F4954" i="4"/>
  <c r="F4958" i="4"/>
  <c r="F4962" i="4"/>
  <c r="F4966" i="4"/>
  <c r="F4970" i="4"/>
  <c r="F4974" i="4"/>
  <c r="F4978" i="4"/>
  <c r="F4982" i="4"/>
  <c r="F4986" i="4"/>
  <c r="F4990" i="4"/>
  <c r="F4994" i="4"/>
  <c r="F4998" i="4"/>
  <c r="F5002" i="4"/>
  <c r="F5006" i="4"/>
  <c r="G14" i="4"/>
  <c r="G18" i="4"/>
  <c r="G22" i="4"/>
  <c r="G26" i="4"/>
  <c r="G30" i="4"/>
  <c r="G34" i="4"/>
  <c r="G38" i="4"/>
  <c r="G42" i="4"/>
  <c r="G46" i="4"/>
  <c r="G50" i="4"/>
  <c r="G54" i="4"/>
  <c r="G58" i="4"/>
  <c r="G62" i="4"/>
  <c r="G66" i="4"/>
  <c r="G70" i="4"/>
  <c r="G74" i="4"/>
  <c r="G78" i="4"/>
  <c r="G82" i="4"/>
  <c r="G86" i="4"/>
  <c r="G90" i="4"/>
  <c r="G94" i="4"/>
  <c r="G98" i="4"/>
  <c r="G102" i="4"/>
  <c r="G106" i="4"/>
  <c r="G110" i="4"/>
  <c r="G114" i="4"/>
  <c r="G118" i="4"/>
  <c r="G122" i="4"/>
  <c r="G126" i="4"/>
  <c r="G130" i="4"/>
  <c r="G134" i="4"/>
  <c r="G138" i="4"/>
  <c r="G142" i="4"/>
  <c r="G146" i="4"/>
  <c r="G150" i="4"/>
  <c r="G154" i="4"/>
  <c r="G158" i="4"/>
  <c r="G162" i="4"/>
  <c r="G166" i="4"/>
  <c r="G170" i="4"/>
  <c r="G174" i="4"/>
  <c r="G178" i="4"/>
  <c r="G182" i="4"/>
  <c r="G186" i="4"/>
  <c r="G190" i="4"/>
  <c r="G194" i="4"/>
  <c r="G198" i="4"/>
  <c r="G202" i="4"/>
  <c r="G206" i="4"/>
  <c r="G210" i="4"/>
  <c r="G214" i="4"/>
  <c r="G218" i="4"/>
  <c r="G222" i="4"/>
  <c r="G226" i="4"/>
  <c r="G230" i="4"/>
  <c r="G234" i="4"/>
  <c r="G238" i="4"/>
  <c r="G242" i="4"/>
  <c r="G246" i="4"/>
  <c r="G250" i="4"/>
  <c r="G254" i="4"/>
  <c r="G258" i="4"/>
  <c r="G262" i="4"/>
  <c r="G266" i="4"/>
  <c r="G270" i="4"/>
  <c r="G274" i="4"/>
  <c r="G278" i="4"/>
  <c r="G282" i="4"/>
  <c r="G286" i="4"/>
  <c r="G290" i="4"/>
  <c r="G294" i="4"/>
  <c r="G298" i="4"/>
  <c r="G302" i="4"/>
  <c r="G306" i="4"/>
  <c r="G310" i="4"/>
  <c r="G314" i="4"/>
  <c r="G318" i="4"/>
  <c r="G322" i="4"/>
  <c r="G326" i="4"/>
  <c r="G330" i="4"/>
  <c r="G334" i="4"/>
  <c r="G338" i="4"/>
  <c r="G342" i="4"/>
  <c r="G346" i="4"/>
  <c r="G350" i="4"/>
  <c r="G354" i="4"/>
  <c r="G358" i="4"/>
  <c r="G362" i="4"/>
  <c r="G366" i="4"/>
  <c r="G370" i="4"/>
  <c r="G374" i="4"/>
  <c r="G378" i="4"/>
  <c r="G382" i="4"/>
  <c r="G386" i="4"/>
  <c r="G390" i="4"/>
  <c r="G394" i="4"/>
  <c r="G398" i="4"/>
  <c r="G402" i="4"/>
  <c r="G406" i="4"/>
  <c r="G410" i="4"/>
  <c r="G414" i="4"/>
  <c r="G418" i="4"/>
  <c r="G422" i="4"/>
  <c r="G426" i="4"/>
  <c r="G430" i="4"/>
  <c r="G434" i="4"/>
  <c r="G438" i="4"/>
  <c r="G442" i="4"/>
  <c r="G446" i="4"/>
  <c r="G450" i="4"/>
  <c r="G454" i="4"/>
  <c r="G458" i="4"/>
  <c r="G462" i="4"/>
  <c r="G466" i="4"/>
  <c r="G470" i="4"/>
  <c r="G474" i="4"/>
  <c r="G478" i="4"/>
  <c r="G482" i="4"/>
  <c r="G486" i="4"/>
  <c r="G490" i="4"/>
  <c r="G494" i="4"/>
  <c r="G498" i="4"/>
  <c r="G502" i="4"/>
  <c r="G506" i="4"/>
  <c r="G510" i="4"/>
  <c r="G514" i="4"/>
  <c r="G518" i="4"/>
  <c r="G522" i="4"/>
  <c r="G526" i="4"/>
  <c r="G530" i="4"/>
  <c r="G534" i="4"/>
  <c r="G538" i="4"/>
  <c r="G542" i="4"/>
  <c r="G546" i="4"/>
  <c r="G550" i="4"/>
  <c r="G554" i="4"/>
  <c r="G558" i="4"/>
  <c r="G562" i="4"/>
  <c r="G566" i="4"/>
  <c r="G570" i="4"/>
  <c r="G574" i="4"/>
  <c r="G578" i="4"/>
  <c r="G582" i="4"/>
  <c r="G586" i="4"/>
  <c r="G590" i="4"/>
  <c r="G594" i="4"/>
  <c r="G598" i="4"/>
  <c r="G602" i="4"/>
  <c r="G606" i="4"/>
  <c r="G610" i="4"/>
  <c r="G614" i="4"/>
  <c r="G618" i="4"/>
  <c r="G622" i="4"/>
  <c r="G626" i="4"/>
  <c r="G630" i="4"/>
  <c r="G634" i="4"/>
  <c r="G638" i="4"/>
  <c r="G642" i="4"/>
  <c r="G646" i="4"/>
  <c r="G650" i="4"/>
  <c r="G654" i="4"/>
  <c r="G658" i="4"/>
  <c r="G662" i="4"/>
  <c r="G666" i="4"/>
  <c r="G670" i="4"/>
  <c r="G674" i="4"/>
  <c r="G678" i="4"/>
  <c r="G682" i="4"/>
  <c r="G686" i="4"/>
  <c r="G690" i="4"/>
  <c r="G694" i="4"/>
  <c r="G698" i="4"/>
  <c r="G702" i="4"/>
  <c r="G706" i="4"/>
  <c r="G710" i="4"/>
  <c r="G714" i="4"/>
  <c r="G718" i="4"/>
  <c r="G722" i="4"/>
  <c r="G726" i="4"/>
  <c r="G730" i="4"/>
  <c r="G734" i="4"/>
  <c r="G738" i="4"/>
  <c r="G742" i="4"/>
  <c r="G746" i="4"/>
  <c r="G750" i="4"/>
  <c r="G754" i="4"/>
  <c r="G758" i="4"/>
  <c r="G762" i="4"/>
  <c r="G766" i="4"/>
  <c r="G770" i="4"/>
  <c r="G774" i="4"/>
  <c r="G778" i="4"/>
  <c r="G782" i="4"/>
  <c r="G786" i="4"/>
  <c r="G790" i="4"/>
  <c r="G794" i="4"/>
  <c r="G798" i="4"/>
  <c r="G802" i="4"/>
  <c r="G806" i="4"/>
  <c r="G810" i="4"/>
  <c r="G814" i="4"/>
  <c r="G818" i="4"/>
  <c r="G822" i="4"/>
  <c r="G826" i="4"/>
  <c r="G830" i="4"/>
  <c r="G834" i="4"/>
  <c r="G838" i="4"/>
  <c r="G842" i="4"/>
  <c r="G846" i="4"/>
  <c r="G850" i="4"/>
  <c r="G854" i="4"/>
  <c r="G858" i="4"/>
  <c r="G862" i="4"/>
  <c r="G866" i="4"/>
  <c r="G870" i="4"/>
  <c r="G874" i="4"/>
  <c r="G878" i="4"/>
  <c r="G882" i="4"/>
  <c r="G886" i="4"/>
  <c r="G890" i="4"/>
  <c r="G894" i="4"/>
  <c r="G898" i="4"/>
  <c r="G902" i="4"/>
  <c r="G906" i="4"/>
  <c r="G910" i="4"/>
  <c r="G914" i="4"/>
  <c r="G918" i="4"/>
  <c r="G922" i="4"/>
  <c r="G926" i="4"/>
  <c r="G930" i="4"/>
  <c r="G934" i="4"/>
  <c r="G938" i="4"/>
  <c r="G942" i="4"/>
  <c r="G946" i="4"/>
  <c r="G950" i="4"/>
  <c r="G954" i="4"/>
  <c r="G958" i="4"/>
  <c r="G962" i="4"/>
  <c r="G966" i="4"/>
  <c r="G970" i="4"/>
  <c r="G974" i="4"/>
  <c r="G978" i="4"/>
  <c r="G982" i="4"/>
  <c r="G986" i="4"/>
  <c r="G990" i="4"/>
  <c r="G994" i="4"/>
  <c r="G998" i="4"/>
  <c r="G1002" i="4"/>
  <c r="G1006" i="4"/>
  <c r="G1010" i="4"/>
  <c r="G1014" i="4"/>
  <c r="G1018" i="4"/>
  <c r="G1022" i="4"/>
  <c r="G1026" i="4"/>
  <c r="G1030" i="4"/>
  <c r="G1034" i="4"/>
  <c r="G1038" i="4"/>
  <c r="G1042" i="4"/>
  <c r="G1046" i="4"/>
  <c r="G1050" i="4"/>
  <c r="G1054" i="4"/>
  <c r="G1058" i="4"/>
  <c r="G1062" i="4"/>
  <c r="G1066" i="4"/>
  <c r="G1070" i="4"/>
  <c r="G1074" i="4"/>
  <c r="G1078" i="4"/>
  <c r="G1082" i="4"/>
  <c r="G1086" i="4"/>
  <c r="G1090" i="4"/>
  <c r="G1094" i="4"/>
  <c r="G1098" i="4"/>
  <c r="G1102" i="4"/>
  <c r="G1106" i="4"/>
  <c r="G1110" i="4"/>
  <c r="G1114" i="4"/>
  <c r="G1118" i="4"/>
  <c r="G1122" i="4"/>
  <c r="G1126" i="4"/>
  <c r="G1130" i="4"/>
  <c r="G1134" i="4"/>
  <c r="G1138" i="4"/>
  <c r="G1142" i="4"/>
  <c r="G1146" i="4"/>
  <c r="G1150" i="4"/>
  <c r="G1154" i="4"/>
  <c r="G1158" i="4"/>
  <c r="G1162" i="4"/>
  <c r="G1166" i="4"/>
  <c r="G1170" i="4"/>
  <c r="G1174" i="4"/>
  <c r="G1178" i="4"/>
  <c r="G1182" i="4"/>
  <c r="G1186" i="4"/>
  <c r="G1190" i="4"/>
  <c r="G1194" i="4"/>
  <c r="G1198" i="4"/>
  <c r="G1202" i="4"/>
  <c r="G1206" i="4"/>
  <c r="G1210" i="4"/>
  <c r="G1214" i="4"/>
  <c r="G1218" i="4"/>
  <c r="G1222" i="4"/>
  <c r="G1226" i="4"/>
  <c r="G1230" i="4"/>
  <c r="G1234" i="4"/>
  <c r="G1238" i="4"/>
  <c r="G1242" i="4"/>
  <c r="G1246" i="4"/>
  <c r="G1250" i="4"/>
  <c r="G1254" i="4"/>
  <c r="G1258" i="4"/>
  <c r="G1262" i="4"/>
  <c r="G1266" i="4"/>
  <c r="G1270" i="4"/>
  <c r="G1274" i="4"/>
  <c r="G1278" i="4"/>
  <c r="G1282" i="4"/>
  <c r="G1286" i="4"/>
  <c r="G1290" i="4"/>
  <c r="G1294" i="4"/>
  <c r="G1298" i="4"/>
  <c r="G1302" i="4"/>
  <c r="G1306" i="4"/>
  <c r="G1310" i="4"/>
  <c r="G1314" i="4"/>
  <c r="G1318" i="4"/>
  <c r="G1322" i="4"/>
  <c r="G1326" i="4"/>
  <c r="G1330" i="4"/>
  <c r="G1334" i="4"/>
  <c r="G1338" i="4"/>
  <c r="G1342" i="4"/>
  <c r="G1346" i="4"/>
  <c r="G1350" i="4"/>
  <c r="G1354" i="4"/>
  <c r="G1358" i="4"/>
  <c r="G1362" i="4"/>
  <c r="G1366" i="4"/>
  <c r="G1370" i="4"/>
  <c r="G1374" i="4"/>
  <c r="G1378" i="4"/>
  <c r="G1382" i="4"/>
  <c r="G1386" i="4"/>
  <c r="G1390" i="4"/>
  <c r="G1394" i="4"/>
  <c r="G1398" i="4"/>
  <c r="G1402" i="4"/>
  <c r="G1406" i="4"/>
  <c r="G1410" i="4"/>
  <c r="G1414" i="4"/>
  <c r="G1418" i="4"/>
  <c r="G1422" i="4"/>
  <c r="G1426" i="4"/>
  <c r="G1430" i="4"/>
  <c r="G1434" i="4"/>
  <c r="G1438" i="4"/>
  <c r="G1442" i="4"/>
  <c r="G1446" i="4"/>
  <c r="G1450" i="4"/>
  <c r="G1454" i="4"/>
  <c r="G1458" i="4"/>
  <c r="G1462" i="4"/>
  <c r="G1466" i="4"/>
  <c r="G1470" i="4"/>
  <c r="G1474" i="4"/>
  <c r="G1478" i="4"/>
  <c r="G1482" i="4"/>
  <c r="G1486" i="4"/>
  <c r="G1490" i="4"/>
  <c r="G1494" i="4"/>
  <c r="G1498" i="4"/>
  <c r="G1502" i="4"/>
  <c r="G1506" i="4"/>
  <c r="G1510" i="4"/>
  <c r="G1514" i="4"/>
  <c r="G1518" i="4"/>
  <c r="G1522" i="4"/>
  <c r="G1526" i="4"/>
  <c r="G1530" i="4"/>
  <c r="G1534" i="4"/>
  <c r="G1538" i="4"/>
  <c r="G1542" i="4"/>
  <c r="G1546" i="4"/>
  <c r="G1550" i="4"/>
  <c r="G1554" i="4"/>
  <c r="G1558" i="4"/>
  <c r="G1562" i="4"/>
  <c r="G1566" i="4"/>
  <c r="G1570" i="4"/>
  <c r="G1574" i="4"/>
  <c r="G1578" i="4"/>
  <c r="G1582" i="4"/>
  <c r="G1586" i="4"/>
  <c r="G1590" i="4"/>
  <c r="G1594" i="4"/>
  <c r="G1598" i="4"/>
  <c r="G1602" i="4"/>
  <c r="G1606" i="4"/>
  <c r="G1610" i="4"/>
  <c r="G1614" i="4"/>
  <c r="G1618" i="4"/>
  <c r="G1622" i="4"/>
  <c r="G1626" i="4"/>
  <c r="G1630" i="4"/>
  <c r="G1634" i="4"/>
  <c r="G1638" i="4"/>
  <c r="G1642" i="4"/>
  <c r="G1646" i="4"/>
  <c r="G1650" i="4"/>
  <c r="G1654" i="4"/>
  <c r="G1658" i="4"/>
  <c r="G1662" i="4"/>
  <c r="G1666" i="4"/>
  <c r="G1670" i="4"/>
  <c r="G1674" i="4"/>
  <c r="G1678" i="4"/>
  <c r="G1682" i="4"/>
  <c r="G1686" i="4"/>
  <c r="G1690" i="4"/>
  <c r="G1694" i="4"/>
  <c r="G1698" i="4"/>
  <c r="G1702" i="4"/>
  <c r="G1706" i="4"/>
  <c r="G1710" i="4"/>
  <c r="G1714" i="4"/>
  <c r="G1718" i="4"/>
  <c r="G1722" i="4"/>
  <c r="G1726" i="4"/>
  <c r="G1730" i="4"/>
  <c r="G1734" i="4"/>
  <c r="G1738" i="4"/>
  <c r="G1742" i="4"/>
  <c r="G1746" i="4"/>
  <c r="G1750" i="4"/>
  <c r="G1754" i="4"/>
  <c r="G1758" i="4"/>
  <c r="G1762" i="4"/>
  <c r="G1766" i="4"/>
  <c r="G1770" i="4"/>
  <c r="G1774" i="4"/>
  <c r="G1778" i="4"/>
  <c r="G1782" i="4"/>
  <c r="G1786" i="4"/>
  <c r="G1790" i="4"/>
  <c r="G1794" i="4"/>
  <c r="G1798" i="4"/>
  <c r="G1802" i="4"/>
  <c r="G1806" i="4"/>
  <c r="G1810" i="4"/>
  <c r="G1814" i="4"/>
  <c r="G1818" i="4"/>
  <c r="G1822" i="4"/>
  <c r="G1826" i="4"/>
  <c r="G1830" i="4"/>
  <c r="G1834" i="4"/>
  <c r="G1838" i="4"/>
  <c r="G1842" i="4"/>
  <c r="G1846" i="4"/>
  <c r="G1850" i="4"/>
  <c r="G1854" i="4"/>
  <c r="G1858" i="4"/>
  <c r="G1862" i="4"/>
  <c r="G1866" i="4"/>
  <c r="G1870" i="4"/>
  <c r="G1874" i="4"/>
  <c r="G1878" i="4"/>
  <c r="G1882" i="4"/>
  <c r="G1886" i="4"/>
  <c r="G1890" i="4"/>
  <c r="G1894" i="4"/>
  <c r="G1898" i="4"/>
  <c r="G1902" i="4"/>
  <c r="G1906" i="4"/>
  <c r="G1910" i="4"/>
  <c r="G1914" i="4"/>
  <c r="G1918" i="4"/>
  <c r="G1922" i="4"/>
  <c r="G1926" i="4"/>
  <c r="G1930" i="4"/>
  <c r="G1934" i="4"/>
  <c r="G1938" i="4"/>
  <c r="G1942" i="4"/>
  <c r="G1946" i="4"/>
  <c r="G1950" i="4"/>
  <c r="G1954" i="4"/>
  <c r="G1958" i="4"/>
  <c r="G1962" i="4"/>
  <c r="G1966" i="4"/>
  <c r="G1970" i="4"/>
  <c r="G1974" i="4"/>
  <c r="G1978" i="4"/>
  <c r="G1982" i="4"/>
  <c r="G1986" i="4"/>
  <c r="G1990" i="4"/>
  <c r="G1994" i="4"/>
  <c r="G1998" i="4"/>
  <c r="G2002" i="4"/>
  <c r="G2006" i="4"/>
  <c r="G2010" i="4"/>
  <c r="G2014" i="4"/>
  <c r="G2018" i="4"/>
  <c r="G2022" i="4"/>
  <c r="G2026" i="4"/>
  <c r="G2030" i="4"/>
  <c r="G2034" i="4"/>
  <c r="G2038" i="4"/>
  <c r="G2042" i="4"/>
  <c r="G2046" i="4"/>
  <c r="G2050" i="4"/>
  <c r="G2054" i="4"/>
  <c r="G2058" i="4"/>
  <c r="G2062" i="4"/>
  <c r="G2066" i="4"/>
  <c r="G2070" i="4"/>
  <c r="G2074" i="4"/>
  <c r="G2078" i="4"/>
  <c r="G2082" i="4"/>
  <c r="G2086" i="4"/>
  <c r="G2090" i="4"/>
  <c r="G2094" i="4"/>
  <c r="G2098" i="4"/>
  <c r="G2102" i="4"/>
  <c r="G2106" i="4"/>
  <c r="G2110" i="4"/>
  <c r="G2114" i="4"/>
  <c r="G2118" i="4"/>
  <c r="G2122" i="4"/>
  <c r="G2126" i="4"/>
  <c r="G2130" i="4"/>
  <c r="G2134" i="4"/>
  <c r="G2138" i="4"/>
  <c r="G2142" i="4"/>
  <c r="G2146" i="4"/>
  <c r="G2150" i="4"/>
  <c r="G2154" i="4"/>
  <c r="G2158" i="4"/>
  <c r="G2162" i="4"/>
  <c r="G2166" i="4"/>
  <c r="G2170" i="4"/>
  <c r="G2174" i="4"/>
  <c r="G2178" i="4"/>
  <c r="G2182" i="4"/>
  <c r="G2186" i="4"/>
  <c r="G2190" i="4"/>
  <c r="G2194" i="4"/>
  <c r="G2198" i="4"/>
  <c r="G2202" i="4"/>
  <c r="G2206" i="4"/>
  <c r="G2210" i="4"/>
  <c r="G2214" i="4"/>
  <c r="G2218" i="4"/>
  <c r="G2222" i="4"/>
  <c r="G2226" i="4"/>
  <c r="G2230" i="4"/>
  <c r="G2234" i="4"/>
  <c r="G2238" i="4"/>
  <c r="G2242" i="4"/>
  <c r="G2246" i="4"/>
  <c r="G2250" i="4"/>
  <c r="G2254" i="4"/>
  <c r="G2258" i="4"/>
  <c r="G2262" i="4"/>
  <c r="G2266" i="4"/>
  <c r="G2270" i="4"/>
  <c r="G2274" i="4"/>
  <c r="G2278" i="4"/>
  <c r="G2282" i="4"/>
  <c r="G2286" i="4"/>
  <c r="G2290" i="4"/>
  <c r="G2294" i="4"/>
  <c r="G2298" i="4"/>
  <c r="G2302" i="4"/>
  <c r="G2306" i="4"/>
  <c r="G2310" i="4"/>
  <c r="G2314" i="4"/>
  <c r="G2318" i="4"/>
  <c r="G2322" i="4"/>
  <c r="G2326" i="4"/>
  <c r="G2330" i="4"/>
  <c r="G2334" i="4"/>
  <c r="G2338" i="4"/>
  <c r="G2342" i="4"/>
  <c r="G2346" i="4"/>
  <c r="G2350" i="4"/>
  <c r="G2354" i="4"/>
  <c r="G2358" i="4"/>
  <c r="G2362" i="4"/>
  <c r="G2366" i="4"/>
  <c r="G2370" i="4"/>
  <c r="G2374" i="4"/>
  <c r="G2378" i="4"/>
  <c r="G2382" i="4"/>
  <c r="G2386" i="4"/>
  <c r="G2390" i="4"/>
  <c r="G2394" i="4"/>
  <c r="G2398" i="4"/>
  <c r="G2402" i="4"/>
  <c r="G2406" i="4"/>
  <c r="G2410" i="4"/>
  <c r="G2414" i="4"/>
  <c r="G2418" i="4"/>
  <c r="G2422" i="4"/>
  <c r="G2426" i="4"/>
  <c r="G2430" i="4"/>
  <c r="G2434" i="4"/>
  <c r="G2438" i="4"/>
  <c r="G2442" i="4"/>
  <c r="G2446" i="4"/>
  <c r="G2450" i="4"/>
  <c r="G2454" i="4"/>
  <c r="G2458" i="4"/>
  <c r="G2462" i="4"/>
  <c r="G2466" i="4"/>
  <c r="G2470" i="4"/>
  <c r="G2474" i="4"/>
  <c r="G2478" i="4"/>
  <c r="G2482" i="4"/>
  <c r="G2486" i="4"/>
  <c r="G2490" i="4"/>
  <c r="G2494" i="4"/>
  <c r="G2498" i="4"/>
  <c r="G2502" i="4"/>
  <c r="G2506" i="4"/>
  <c r="G2510" i="4"/>
  <c r="G2514" i="4"/>
  <c r="G2518" i="4"/>
  <c r="G2522" i="4"/>
  <c r="G2526" i="4"/>
  <c r="G2530" i="4"/>
  <c r="G2534" i="4"/>
  <c r="G2538" i="4"/>
  <c r="G2542" i="4"/>
  <c r="G2546" i="4"/>
  <c r="G2550" i="4"/>
  <c r="G2554" i="4"/>
  <c r="G2558" i="4"/>
  <c r="G2562" i="4"/>
  <c r="G2566" i="4"/>
  <c r="G2570" i="4"/>
  <c r="G2574" i="4"/>
  <c r="G2578" i="4"/>
  <c r="G2582" i="4"/>
  <c r="G2586" i="4"/>
  <c r="G2590" i="4"/>
  <c r="G2594" i="4"/>
  <c r="G2598" i="4"/>
  <c r="G2602" i="4"/>
  <c r="G2606" i="4"/>
  <c r="G2610" i="4"/>
  <c r="G2614" i="4"/>
  <c r="G2618" i="4"/>
  <c r="G2622" i="4"/>
  <c r="G2626" i="4"/>
  <c r="G2630" i="4"/>
  <c r="G2634" i="4"/>
  <c r="G2638" i="4"/>
  <c r="G2642" i="4"/>
  <c r="G2646" i="4"/>
  <c r="G2650" i="4"/>
  <c r="G2654" i="4"/>
  <c r="G2658" i="4"/>
  <c r="G2662" i="4"/>
  <c r="G2666" i="4"/>
  <c r="G2670" i="4"/>
  <c r="G2674" i="4"/>
  <c r="G2678" i="4"/>
  <c r="G2682" i="4"/>
  <c r="G2686" i="4"/>
  <c r="G2690" i="4"/>
  <c r="G2694" i="4"/>
  <c r="G2698" i="4"/>
  <c r="G2702" i="4"/>
  <c r="G2706" i="4"/>
  <c r="G2710" i="4"/>
  <c r="G2714" i="4"/>
  <c r="G2718" i="4"/>
  <c r="G2722" i="4"/>
  <c r="G2726" i="4"/>
  <c r="G2730" i="4"/>
  <c r="G2734" i="4"/>
  <c r="G2738" i="4"/>
  <c r="G2742" i="4"/>
  <c r="G2746" i="4"/>
  <c r="G2750" i="4"/>
  <c r="G2754" i="4"/>
  <c r="G2758" i="4"/>
  <c r="G2762" i="4"/>
  <c r="G2766" i="4"/>
  <c r="G2770" i="4"/>
  <c r="G2774" i="4"/>
  <c r="G2778" i="4"/>
  <c r="G2782" i="4"/>
  <c r="G2786" i="4"/>
  <c r="G2790" i="4"/>
  <c r="G2794" i="4"/>
  <c r="G2798" i="4"/>
  <c r="G2802" i="4"/>
  <c r="G2806" i="4"/>
  <c r="G2810" i="4"/>
  <c r="G2814" i="4"/>
  <c r="G2818" i="4"/>
  <c r="G2822" i="4"/>
  <c r="G2826" i="4"/>
  <c r="G2830" i="4"/>
  <c r="G2834" i="4"/>
  <c r="G2838" i="4"/>
  <c r="G2842" i="4"/>
  <c r="G2846" i="4"/>
  <c r="G2850" i="4"/>
  <c r="G2854" i="4"/>
  <c r="G2858" i="4"/>
  <c r="G2862" i="4"/>
  <c r="G2866" i="4"/>
  <c r="G2870" i="4"/>
  <c r="G2874" i="4"/>
  <c r="G2878" i="4"/>
  <c r="G2882" i="4"/>
  <c r="G2886" i="4"/>
  <c r="G2890" i="4"/>
  <c r="G2894" i="4"/>
  <c r="G2898" i="4"/>
  <c r="G2902" i="4"/>
  <c r="G2906" i="4"/>
  <c r="G2910" i="4"/>
  <c r="G2914" i="4"/>
  <c r="G2918" i="4"/>
  <c r="G2922" i="4"/>
  <c r="G2926" i="4"/>
  <c r="G2930" i="4"/>
  <c r="G2934" i="4"/>
  <c r="G2938" i="4"/>
  <c r="G2942" i="4"/>
  <c r="G2946" i="4"/>
  <c r="G2950" i="4"/>
  <c r="G2954" i="4"/>
  <c r="G2958" i="4"/>
  <c r="G2962" i="4"/>
  <c r="G2966" i="4"/>
  <c r="G2970" i="4"/>
  <c r="G2974" i="4"/>
  <c r="G2978" i="4"/>
  <c r="G2982" i="4"/>
  <c r="G2986" i="4"/>
  <c r="G2990" i="4"/>
  <c r="G2994" i="4"/>
  <c r="G2998" i="4"/>
  <c r="G3002" i="4"/>
  <c r="G3006" i="4"/>
  <c r="G3010" i="4"/>
  <c r="G3014" i="4"/>
  <c r="G3018" i="4"/>
  <c r="G3022" i="4"/>
  <c r="G3026" i="4"/>
  <c r="G3030" i="4"/>
  <c r="G3034" i="4"/>
  <c r="G3038" i="4"/>
  <c r="G3042" i="4"/>
  <c r="G3046" i="4"/>
  <c r="G3050" i="4"/>
  <c r="G3054" i="4"/>
  <c r="G3058" i="4"/>
  <c r="G3062" i="4"/>
  <c r="G3066" i="4"/>
  <c r="G3070" i="4"/>
  <c r="G3074" i="4"/>
  <c r="G3078" i="4"/>
  <c r="G3082" i="4"/>
  <c r="G3086" i="4"/>
  <c r="G3090" i="4"/>
  <c r="G3094" i="4"/>
  <c r="G3098" i="4"/>
  <c r="G3102" i="4"/>
  <c r="G3106" i="4"/>
  <c r="G3110" i="4"/>
  <c r="G3114" i="4"/>
  <c r="G3118" i="4"/>
  <c r="G3122" i="4"/>
  <c r="G3126" i="4"/>
  <c r="G3130" i="4"/>
  <c r="G3134" i="4"/>
  <c r="G3138" i="4"/>
  <c r="G3142" i="4"/>
  <c r="G3146" i="4"/>
  <c r="G3150" i="4"/>
  <c r="G3154" i="4"/>
  <c r="G3158" i="4"/>
  <c r="G3162" i="4"/>
  <c r="G3166" i="4"/>
  <c r="G3170" i="4"/>
  <c r="G3174" i="4"/>
  <c r="G3178" i="4"/>
  <c r="G3182" i="4"/>
  <c r="G3186" i="4"/>
  <c r="G3190" i="4"/>
  <c r="G3194" i="4"/>
  <c r="G3198" i="4"/>
  <c r="G3202" i="4"/>
  <c r="G1463" i="4"/>
  <c r="G1479" i="4"/>
  <c r="G1495" i="4"/>
  <c r="G1511" i="4"/>
  <c r="G1527" i="4"/>
  <c r="G1543" i="4"/>
  <c r="G1559" i="4"/>
  <c r="G1575" i="4"/>
  <c r="G1591" i="4"/>
  <c r="G1607" i="4"/>
  <c r="G1623" i="4"/>
  <c r="G1639" i="4"/>
  <c r="G1655" i="4"/>
  <c r="G1671" i="4"/>
  <c r="G1687" i="4"/>
  <c r="G1703" i="4"/>
  <c r="G1719" i="4"/>
  <c r="G1735" i="4"/>
  <c r="G1751" i="4"/>
  <c r="G1767" i="4"/>
  <c r="G1783" i="4"/>
  <c r="G1799" i="4"/>
  <c r="G1815" i="4"/>
  <c r="G1831" i="4"/>
  <c r="G1847" i="4"/>
  <c r="G1863" i="4"/>
  <c r="G1879" i="4"/>
  <c r="G1895" i="4"/>
  <c r="G1911" i="4"/>
  <c r="G1927" i="4"/>
  <c r="G1943" i="4"/>
  <c r="G1959" i="4"/>
  <c r="G1975" i="4"/>
  <c r="G1991" i="4"/>
  <c r="G2007" i="4"/>
  <c r="G2023" i="4"/>
  <c r="G2039" i="4"/>
  <c r="G2055" i="4"/>
  <c r="G2071" i="4"/>
  <c r="G2087" i="4"/>
  <c r="G2103" i="4"/>
  <c r="G2119" i="4"/>
  <c r="G2135" i="4"/>
  <c r="G2151" i="4"/>
  <c r="G2167" i="4"/>
  <c r="G2183" i="4"/>
  <c r="G2199" i="4"/>
  <c r="G2215" i="4"/>
  <c r="G2231" i="4"/>
  <c r="G2247" i="4"/>
  <c r="G2263" i="4"/>
  <c r="G2279" i="4"/>
  <c r="G2295" i="4"/>
  <c r="G2311" i="4"/>
  <c r="G2327" i="4"/>
  <c r="G2343" i="4"/>
  <c r="G2359" i="4"/>
  <c r="G2375" i="4"/>
  <c r="G2391" i="4"/>
  <c r="G2407" i="4"/>
  <c r="G2423" i="4"/>
  <c r="G2439" i="4"/>
  <c r="G2455" i="4"/>
  <c r="G2471" i="4"/>
  <c r="G2487" i="4"/>
  <c r="G2503" i="4"/>
  <c r="G2519" i="4"/>
  <c r="G2535" i="4"/>
  <c r="G2551" i="4"/>
  <c r="G2567" i="4"/>
  <c r="G2583" i="4"/>
  <c r="G2599" i="4"/>
  <c r="G2615" i="4"/>
  <c r="G2631" i="4"/>
  <c r="G2647" i="4"/>
  <c r="G2663" i="4"/>
  <c r="G2679" i="4"/>
  <c r="G2695" i="4"/>
  <c r="G2711" i="4"/>
  <c r="G2727" i="4"/>
  <c r="G2743" i="4"/>
  <c r="G2759" i="4"/>
  <c r="G2775" i="4"/>
  <c r="G2791" i="4"/>
  <c r="G2807" i="4"/>
  <c r="G2823" i="4"/>
  <c r="G2839" i="4"/>
  <c r="G2855" i="4"/>
  <c r="G2871" i="4"/>
  <c r="G2887" i="4"/>
  <c r="G2903" i="4"/>
  <c r="G2919" i="4"/>
  <c r="G2935" i="4"/>
  <c r="G2951" i="4"/>
  <c r="G2967" i="4"/>
  <c r="G2983" i="4"/>
  <c r="G2999" i="4"/>
  <c r="G3015" i="4"/>
  <c r="G3031" i="4"/>
  <c r="G3047" i="4"/>
  <c r="G3060" i="4"/>
  <c r="G3068" i="4"/>
  <c r="G3076" i="4"/>
  <c r="G3084" i="4"/>
  <c r="G3092" i="4"/>
  <c r="G3100" i="4"/>
  <c r="G3108" i="4"/>
  <c r="G3116" i="4"/>
  <c r="G3124" i="4"/>
  <c r="G3132" i="4"/>
  <c r="G3140" i="4"/>
  <c r="G3148" i="4"/>
  <c r="G3156" i="4"/>
  <c r="G3164" i="4"/>
  <c r="G3172" i="4"/>
  <c r="G3180" i="4"/>
  <c r="G3188" i="4"/>
  <c r="G3196" i="4"/>
  <c r="G3204" i="4"/>
  <c r="G3209" i="4"/>
  <c r="G3213" i="4"/>
  <c r="G3217" i="4"/>
  <c r="G3221" i="4"/>
  <c r="G3225" i="4"/>
  <c r="G3229" i="4"/>
  <c r="G3233" i="4"/>
  <c r="G3237" i="4"/>
  <c r="G3241" i="4"/>
  <c r="G3245" i="4"/>
  <c r="G3249" i="4"/>
  <c r="G3253" i="4"/>
  <c r="G3257" i="4"/>
  <c r="G3261" i="4"/>
  <c r="G3265" i="4"/>
  <c r="G3269" i="4"/>
  <c r="G3273" i="4"/>
  <c r="G3277" i="4"/>
  <c r="G3281" i="4"/>
  <c r="G3285" i="4"/>
  <c r="G3289" i="4"/>
  <c r="G3293" i="4"/>
  <c r="G3297" i="4"/>
  <c r="G3301" i="4"/>
  <c r="G3305" i="4"/>
  <c r="G3309" i="4"/>
  <c r="G3313" i="4"/>
  <c r="G3317" i="4"/>
  <c r="G3321" i="4"/>
  <c r="G3325" i="4"/>
  <c r="G3329" i="4"/>
  <c r="G3333" i="4"/>
  <c r="G3337" i="4"/>
  <c r="G3341" i="4"/>
  <c r="G3345" i="4"/>
  <c r="G3349" i="4"/>
  <c r="G3353" i="4"/>
  <c r="G3357" i="4"/>
  <c r="G3361" i="4"/>
  <c r="G3365" i="4"/>
  <c r="G3369" i="4"/>
  <c r="G3373" i="4"/>
  <c r="G3377" i="4"/>
  <c r="G3381" i="4"/>
  <c r="G3385" i="4"/>
  <c r="G3389" i="4"/>
  <c r="G3393" i="4"/>
  <c r="G3397" i="4"/>
  <c r="G3401" i="4"/>
  <c r="G3405" i="4"/>
  <c r="G3409" i="4"/>
  <c r="G3413" i="4"/>
  <c r="G3417" i="4"/>
  <c r="G3421" i="4"/>
  <c r="G3425" i="4"/>
  <c r="G3429" i="4"/>
  <c r="G3433" i="4"/>
  <c r="G3437" i="4"/>
  <c r="G3441" i="4"/>
  <c r="G3445" i="4"/>
  <c r="G3449" i="4"/>
  <c r="G3453" i="4"/>
  <c r="G3457" i="4"/>
  <c r="G3461" i="4"/>
  <c r="G3465" i="4"/>
  <c r="G3469" i="4"/>
  <c r="G3473" i="4"/>
  <c r="G3477" i="4"/>
  <c r="G3481" i="4"/>
  <c r="G3485" i="4"/>
  <c r="G3489" i="4"/>
  <c r="G3493" i="4"/>
  <c r="G3497" i="4"/>
  <c r="G3501" i="4"/>
  <c r="G3505" i="4"/>
  <c r="G3509" i="4"/>
  <c r="G3513" i="4"/>
  <c r="G3517" i="4"/>
  <c r="G3521" i="4"/>
  <c r="G3525" i="4"/>
  <c r="G3529" i="4"/>
  <c r="G3533" i="4"/>
  <c r="G3537" i="4"/>
  <c r="G3541" i="4"/>
  <c r="G3545" i="4"/>
  <c r="G3549" i="4"/>
  <c r="G3553" i="4"/>
  <c r="G3557" i="4"/>
  <c r="G3561" i="4"/>
  <c r="G3565" i="4"/>
  <c r="G3569" i="4"/>
  <c r="G3573" i="4"/>
  <c r="G3577" i="4"/>
  <c r="G3581" i="4"/>
  <c r="G3585" i="4"/>
  <c r="G3589" i="4"/>
  <c r="G3593" i="4"/>
  <c r="G3597" i="4"/>
  <c r="G3601" i="4"/>
  <c r="G3605" i="4"/>
  <c r="G3609" i="4"/>
  <c r="G3613" i="4"/>
  <c r="G3617" i="4"/>
  <c r="G3621" i="4"/>
  <c r="G3625" i="4"/>
  <c r="G3629" i="4"/>
  <c r="G3633" i="4"/>
  <c r="G3637" i="4"/>
  <c r="G3641" i="4"/>
  <c r="G3645" i="4"/>
  <c r="G3649" i="4"/>
  <c r="G3653" i="4"/>
  <c r="G3657" i="4"/>
  <c r="G3661" i="4"/>
  <c r="G3665" i="4"/>
  <c r="G3669" i="4"/>
  <c r="G3673" i="4"/>
  <c r="G3677" i="4"/>
  <c r="G3681" i="4"/>
  <c r="G3685" i="4"/>
  <c r="G3689" i="4"/>
  <c r="G3693" i="4"/>
  <c r="G3697" i="4"/>
  <c r="G3701" i="4"/>
  <c r="G3705" i="4"/>
  <c r="G3709" i="4"/>
  <c r="G3713" i="4"/>
  <c r="G3717" i="4"/>
  <c r="G3721" i="4"/>
  <c r="G3725" i="4"/>
  <c r="G3729" i="4"/>
  <c r="G3733" i="4"/>
  <c r="G3737" i="4"/>
  <c r="G3741" i="4"/>
  <c r="G3745" i="4"/>
  <c r="G3749" i="4"/>
  <c r="G3753" i="4"/>
  <c r="G3757" i="4"/>
  <c r="G3761" i="4"/>
  <c r="G3765" i="4"/>
  <c r="G3769" i="4"/>
  <c r="G3773" i="4"/>
  <c r="G3777" i="4"/>
  <c r="G3781" i="4"/>
  <c r="G3785" i="4"/>
  <c r="G3789" i="4"/>
  <c r="G3793" i="4"/>
  <c r="G3797" i="4"/>
  <c r="G3801" i="4"/>
  <c r="G3805" i="4"/>
  <c r="G3809" i="4"/>
  <c r="G3813" i="4"/>
  <c r="G3817" i="4"/>
  <c r="G3821" i="4"/>
  <c r="G3825" i="4"/>
  <c r="G3829" i="4"/>
  <c r="G3833" i="4"/>
  <c r="G3837" i="4"/>
  <c r="G3841" i="4"/>
  <c r="G3845" i="4"/>
  <c r="G3849" i="4"/>
  <c r="G3853" i="4"/>
  <c r="G3857" i="4"/>
  <c r="G3861" i="4"/>
  <c r="G3865" i="4"/>
  <c r="G3869" i="4"/>
  <c r="G3873" i="4"/>
  <c r="G3877" i="4"/>
  <c r="G3881" i="4"/>
  <c r="G3885" i="4"/>
  <c r="G3889" i="4"/>
  <c r="G3893" i="4"/>
  <c r="G3897" i="4"/>
  <c r="G3901" i="4"/>
  <c r="G3905" i="4"/>
  <c r="G3909" i="4"/>
  <c r="G3913" i="4"/>
  <c r="G3917" i="4"/>
  <c r="G3921" i="4"/>
  <c r="G3925" i="4"/>
  <c r="G3929" i="4"/>
  <c r="G3933" i="4"/>
  <c r="G3937" i="4"/>
  <c r="G3941" i="4"/>
  <c r="G3945" i="4"/>
  <c r="G3949" i="4"/>
  <c r="G3953" i="4"/>
  <c r="G3957" i="4"/>
  <c r="G3961" i="4"/>
  <c r="G3965" i="4"/>
  <c r="G3969" i="4"/>
  <c r="G3973" i="4"/>
  <c r="G3977" i="4"/>
  <c r="G3981" i="4"/>
  <c r="G3985" i="4"/>
  <c r="G3989" i="4"/>
  <c r="G3993" i="4"/>
  <c r="G3997" i="4"/>
  <c r="G4001" i="4"/>
  <c r="G4005" i="4"/>
  <c r="G4009" i="4"/>
  <c r="G4013" i="4"/>
  <c r="G4017" i="4"/>
  <c r="G4021" i="4"/>
  <c r="G4025" i="4"/>
  <c r="G4029" i="4"/>
  <c r="G4033" i="4"/>
  <c r="G4037" i="4"/>
  <c r="G4041" i="4"/>
  <c r="G4045" i="4"/>
  <c r="G4049" i="4"/>
  <c r="G4053" i="4"/>
  <c r="G4057" i="4"/>
  <c r="G4061" i="4"/>
  <c r="G4065" i="4"/>
  <c r="G4069" i="4"/>
  <c r="G4073" i="4"/>
  <c r="G4077" i="4"/>
  <c r="G4081" i="4"/>
  <c r="G4085" i="4"/>
  <c r="G4089" i="4"/>
  <c r="G4093" i="4"/>
  <c r="G4097" i="4"/>
  <c r="G4101" i="4"/>
  <c r="G4105" i="4"/>
  <c r="G4109" i="4"/>
  <c r="G4113" i="4"/>
  <c r="G4117" i="4"/>
  <c r="G4121" i="4"/>
  <c r="G4125" i="4"/>
  <c r="G4129" i="4"/>
  <c r="G4133" i="4"/>
  <c r="G4137" i="4"/>
  <c r="G4141" i="4"/>
  <c r="G4145" i="4"/>
  <c r="G4149" i="4"/>
  <c r="G4153" i="4"/>
  <c r="G4157" i="4"/>
  <c r="G4161" i="4"/>
  <c r="G4165" i="4"/>
  <c r="G4169" i="4"/>
  <c r="G4173" i="4"/>
  <c r="G4177" i="4"/>
  <c r="G4181" i="4"/>
  <c r="G4185" i="4"/>
  <c r="G4189" i="4"/>
  <c r="G4193" i="4"/>
  <c r="G4197" i="4"/>
  <c r="G4201" i="4"/>
  <c r="G4205" i="4"/>
  <c r="G4209" i="4"/>
  <c r="G4213" i="4"/>
  <c r="G4217" i="4"/>
  <c r="G4221" i="4"/>
  <c r="G4225" i="4"/>
  <c r="G4229" i="4"/>
  <c r="G4233" i="4"/>
  <c r="G4237" i="4"/>
  <c r="G4241" i="4"/>
  <c r="G4245" i="4"/>
  <c r="G4249" i="4"/>
  <c r="G4253" i="4"/>
  <c r="G4257" i="4"/>
  <c r="G4261" i="4"/>
  <c r="G4265" i="4"/>
  <c r="G4269" i="4"/>
  <c r="G4273" i="4"/>
  <c r="G4277" i="4"/>
  <c r="G4281" i="4"/>
  <c r="G4285" i="4"/>
  <c r="G4289" i="4"/>
  <c r="G4293" i="4"/>
  <c r="G4297" i="4"/>
  <c r="G4301" i="4"/>
  <c r="G4305" i="4"/>
  <c r="G4309" i="4"/>
  <c r="G4313" i="4"/>
  <c r="G4317" i="4"/>
  <c r="G4321" i="4"/>
  <c r="G4325" i="4"/>
  <c r="G4329" i="4"/>
  <c r="G4333" i="4"/>
  <c r="G4337" i="4"/>
  <c r="G4341" i="4"/>
  <c r="G4345" i="4"/>
  <c r="G4349" i="4"/>
  <c r="G4353" i="4"/>
  <c r="G4357" i="4"/>
  <c r="G4361" i="4"/>
  <c r="G4365" i="4"/>
  <c r="G4369" i="4"/>
  <c r="G4373" i="4"/>
  <c r="G4377" i="4"/>
  <c r="G4381" i="4"/>
  <c r="G4385" i="4"/>
  <c r="G4389" i="4"/>
  <c r="G4393" i="4"/>
  <c r="G4397" i="4"/>
  <c r="G4401" i="4"/>
  <c r="G4405" i="4"/>
  <c r="G4409" i="4"/>
  <c r="G4413" i="4"/>
  <c r="G4417" i="4"/>
  <c r="G4421" i="4"/>
  <c r="G4425" i="4"/>
  <c r="G4429" i="4"/>
  <c r="G4433" i="4"/>
  <c r="G4437" i="4"/>
  <c r="G4441" i="4"/>
  <c r="G4445" i="4"/>
  <c r="G4449" i="4"/>
  <c r="G4453" i="4"/>
  <c r="G4457" i="4"/>
  <c r="G4461" i="4"/>
  <c r="G4465" i="4"/>
  <c r="G4469" i="4"/>
  <c r="G4473" i="4"/>
  <c r="G4477" i="4"/>
  <c r="G4481" i="4"/>
  <c r="G4485" i="4"/>
  <c r="G4489" i="4"/>
  <c r="G4493" i="4"/>
  <c r="G4497" i="4"/>
  <c r="G4501" i="4"/>
  <c r="G4505" i="4"/>
  <c r="G4509" i="4"/>
  <c r="G4513" i="4"/>
  <c r="G4517" i="4"/>
  <c r="G4521" i="4"/>
  <c r="G4525" i="4"/>
  <c r="G4529" i="4"/>
  <c r="G4533" i="4"/>
  <c r="G4537" i="4"/>
  <c r="G4541" i="4"/>
  <c r="G4545" i="4"/>
  <c r="G4549" i="4"/>
  <c r="G4553" i="4"/>
  <c r="G4557" i="4"/>
  <c r="G4561" i="4"/>
  <c r="G4565" i="4"/>
  <c r="G4569" i="4"/>
  <c r="G4573" i="4"/>
  <c r="G4577" i="4"/>
  <c r="G4581" i="4"/>
  <c r="G4585" i="4"/>
  <c r="G4589" i="4"/>
  <c r="G4593" i="4"/>
  <c r="G4597" i="4"/>
  <c r="G4601" i="4"/>
  <c r="G4605" i="4"/>
  <c r="G4609" i="4"/>
  <c r="G4613" i="4"/>
  <c r="G4617" i="4"/>
  <c r="G4621" i="4"/>
  <c r="G4625" i="4"/>
  <c r="G4629" i="4"/>
  <c r="G4633" i="4"/>
  <c r="G4637" i="4"/>
  <c r="G4641" i="4"/>
  <c r="G4645" i="4"/>
  <c r="G4649" i="4"/>
  <c r="G4653" i="4"/>
  <c r="G4657" i="4"/>
  <c r="G4661" i="4"/>
  <c r="G4665" i="4"/>
  <c r="G4669" i="4"/>
  <c r="G4673" i="4"/>
  <c r="G4677" i="4"/>
  <c r="G4681" i="4"/>
  <c r="G4685" i="4"/>
  <c r="G4689" i="4"/>
  <c r="G4693" i="4"/>
  <c r="G4697" i="4"/>
  <c r="G4701" i="4"/>
  <c r="G4705" i="4"/>
  <c r="G4709" i="4"/>
  <c r="G4713" i="4"/>
  <c r="G4717" i="4"/>
  <c r="G4721" i="4"/>
  <c r="G4725" i="4"/>
  <c r="G4729" i="4"/>
  <c r="G4733" i="4"/>
  <c r="G4737" i="4"/>
  <c r="G4741" i="4"/>
  <c r="G4745" i="4"/>
  <c r="G4749" i="4"/>
  <c r="G4753" i="4"/>
  <c r="G4757" i="4"/>
  <c r="G4761" i="4"/>
  <c r="G4765" i="4"/>
  <c r="G4769" i="4"/>
  <c r="G4773" i="4"/>
  <c r="G4777" i="4"/>
  <c r="G4781" i="4"/>
  <c r="G4785" i="4"/>
  <c r="G4789" i="4"/>
  <c r="G4793" i="4"/>
  <c r="G4797" i="4"/>
  <c r="G4801" i="4"/>
  <c r="G4805" i="4"/>
  <c r="G4809" i="4"/>
  <c r="G4813" i="4"/>
  <c r="G4817" i="4"/>
  <c r="G4821" i="4"/>
  <c r="G4825" i="4"/>
  <c r="G4829" i="4"/>
  <c r="G4833" i="4"/>
  <c r="G4837" i="4"/>
  <c r="G4841" i="4"/>
  <c r="G4845" i="4"/>
  <c r="G4849" i="4"/>
  <c r="G4853" i="4"/>
  <c r="G4857" i="4"/>
  <c r="G4861" i="4"/>
  <c r="G4865" i="4"/>
  <c r="G4869" i="4"/>
  <c r="G4873" i="4"/>
  <c r="G4877" i="4"/>
  <c r="G4881" i="4"/>
  <c r="G4885" i="4"/>
  <c r="G4889" i="4"/>
  <c r="G4893" i="4"/>
  <c r="G4897" i="4"/>
  <c r="G4901" i="4"/>
  <c r="G4905" i="4"/>
  <c r="G4909" i="4"/>
  <c r="G4913" i="4"/>
  <c r="G4917" i="4"/>
  <c r="G4921" i="4"/>
  <c r="G4925" i="4"/>
  <c r="G4929" i="4"/>
  <c r="G4933" i="4"/>
  <c r="G4937" i="4"/>
  <c r="G4941" i="4"/>
  <c r="G4945" i="4"/>
  <c r="G4949" i="4"/>
  <c r="G4953" i="4"/>
  <c r="G4957" i="4"/>
  <c r="G4961" i="4"/>
  <c r="G4965" i="4"/>
  <c r="G4969" i="4"/>
  <c r="G4973" i="4"/>
  <c r="G4977" i="4"/>
  <c r="G4981" i="4"/>
  <c r="G4985" i="4"/>
  <c r="G4989" i="4"/>
  <c r="G4993" i="4"/>
  <c r="G4997" i="4"/>
  <c r="G5001" i="4"/>
  <c r="G5005" i="4"/>
  <c r="G5009" i="4"/>
  <c r="G4407" i="4"/>
  <c r="G4443" i="4"/>
  <c r="G4459" i="4"/>
  <c r="G4471" i="4"/>
  <c r="G4483" i="4"/>
  <c r="G4495" i="4"/>
  <c r="G4503" i="4"/>
  <c r="G4515" i="4"/>
  <c r="G4527" i="4"/>
  <c r="G4539" i="4"/>
  <c r="G4551" i="4"/>
  <c r="G4559" i="4"/>
  <c r="G4567" i="4"/>
  <c r="G4579" i="4"/>
  <c r="G4591" i="4"/>
  <c r="G4599" i="4"/>
  <c r="G4611" i="4"/>
  <c r="G4627" i="4"/>
  <c r="G4639" i="4"/>
  <c r="G4647" i="4"/>
  <c r="G4659" i="4"/>
  <c r="G4675" i="4"/>
  <c r="G4687" i="4"/>
  <c r="G4695" i="4"/>
  <c r="G4711" i="4"/>
  <c r="G4727" i="4"/>
  <c r="G4743" i="4"/>
  <c r="G4759" i="4"/>
  <c r="G4775" i="4"/>
  <c r="G4791" i="4"/>
  <c r="G4807" i="4"/>
  <c r="G4819" i="4"/>
  <c r="G4835" i="4"/>
  <c r="G4851" i="4"/>
  <c r="G4867" i="4"/>
  <c r="G4883" i="4"/>
  <c r="G4895" i="4"/>
  <c r="G4911" i="4"/>
  <c r="G4931" i="4"/>
  <c r="G4947" i="4"/>
  <c r="G4959" i="4"/>
  <c r="G4975" i="4"/>
  <c r="G4995" i="4"/>
  <c r="G1467" i="4"/>
  <c r="G1483" i="4"/>
  <c r="G1499" i="4"/>
  <c r="G1515" i="4"/>
  <c r="G1531" i="4"/>
  <c r="G1547" i="4"/>
  <c r="G1563" i="4"/>
  <c r="G1579" i="4"/>
  <c r="G1595" i="4"/>
  <c r="G1611" i="4"/>
  <c r="G1627" i="4"/>
  <c r="G1643" i="4"/>
  <c r="G1659" i="4"/>
  <c r="G1675" i="4"/>
  <c r="G1691" i="4"/>
  <c r="G1707" i="4"/>
  <c r="G1723" i="4"/>
  <c r="G1739" i="4"/>
  <c r="G1755" i="4"/>
  <c r="G1771" i="4"/>
  <c r="G1787" i="4"/>
  <c r="G1803" i="4"/>
  <c r="G1819" i="4"/>
  <c r="G1835" i="4"/>
  <c r="G1851" i="4"/>
  <c r="G1867" i="4"/>
  <c r="G1883" i="4"/>
  <c r="G1899" i="4"/>
  <c r="G1915" i="4"/>
  <c r="G1931" i="4"/>
  <c r="G1947" i="4"/>
  <c r="G1963" i="4"/>
  <c r="G1979" i="4"/>
  <c r="G1995" i="4"/>
  <c r="G2011" i="4"/>
  <c r="G2027" i="4"/>
  <c r="G2043" i="4"/>
  <c r="G2059" i="4"/>
  <c r="G2075" i="4"/>
  <c r="G2091" i="4"/>
  <c r="G2107" i="4"/>
  <c r="G2123" i="4"/>
  <c r="G2139" i="4"/>
  <c r="G2155" i="4"/>
  <c r="G2171" i="4"/>
  <c r="G2187" i="4"/>
  <c r="G2203" i="4"/>
  <c r="G2219" i="4"/>
  <c r="G2235" i="4"/>
  <c r="G2251" i="4"/>
  <c r="G2267" i="4"/>
  <c r="G2283" i="4"/>
  <c r="G2299" i="4"/>
  <c r="G2315" i="4"/>
  <c r="G2331" i="4"/>
  <c r="G2347" i="4"/>
  <c r="G2363" i="4"/>
  <c r="G2379" i="4"/>
  <c r="G2395" i="4"/>
  <c r="G2411" i="4"/>
  <c r="G2427" i="4"/>
  <c r="G2443" i="4"/>
  <c r="G2459" i="4"/>
  <c r="G2475" i="4"/>
  <c r="G2491" i="4"/>
  <c r="G2507" i="4"/>
  <c r="G2523" i="4"/>
  <c r="G2539" i="4"/>
  <c r="G2555" i="4"/>
  <c r="G2571" i="4"/>
  <c r="G2587" i="4"/>
  <c r="G2603" i="4"/>
  <c r="G2619" i="4"/>
  <c r="G2635" i="4"/>
  <c r="G2651" i="4"/>
  <c r="G2667" i="4"/>
  <c r="G2683" i="4"/>
  <c r="G2699" i="4"/>
  <c r="G2715" i="4"/>
  <c r="G2731" i="4"/>
  <c r="G2747" i="4"/>
  <c r="G2763" i="4"/>
  <c r="G2779" i="4"/>
  <c r="G2795" i="4"/>
  <c r="G2811" i="4"/>
  <c r="G2827" i="4"/>
  <c r="G2843" i="4"/>
  <c r="G2859" i="4"/>
  <c r="G2875" i="4"/>
  <c r="G2891" i="4"/>
  <c r="G2907" i="4"/>
  <c r="G2923" i="4"/>
  <c r="G2939" i="4"/>
  <c r="G2955" i="4"/>
  <c r="G2971" i="4"/>
  <c r="G2987" i="4"/>
  <c r="G3003" i="4"/>
  <c r="G3019" i="4"/>
  <c r="G3035" i="4"/>
  <c r="G3051" i="4"/>
  <c r="G3063" i="4"/>
  <c r="G3071" i="4"/>
  <c r="G3079" i="4"/>
  <c r="G3087" i="4"/>
  <c r="G3095" i="4"/>
  <c r="G3103" i="4"/>
  <c r="G3111" i="4"/>
  <c r="G3119" i="4"/>
  <c r="G3127" i="4"/>
  <c r="G3135" i="4"/>
  <c r="G3143" i="4"/>
  <c r="G3151" i="4"/>
  <c r="G3159" i="4"/>
  <c r="G3167" i="4"/>
  <c r="G3175" i="4"/>
  <c r="G3183" i="4"/>
  <c r="G3191" i="4"/>
  <c r="G3199" i="4"/>
  <c r="G3206" i="4"/>
  <c r="G3210" i="4"/>
  <c r="G3214" i="4"/>
  <c r="G3218" i="4"/>
  <c r="G3222" i="4"/>
  <c r="G3226" i="4"/>
  <c r="G3230" i="4"/>
  <c r="G3234" i="4"/>
  <c r="G3238" i="4"/>
  <c r="G3242" i="4"/>
  <c r="G3246" i="4"/>
  <c r="G3250" i="4"/>
  <c r="G3254" i="4"/>
  <c r="G3258" i="4"/>
  <c r="G3262" i="4"/>
  <c r="G3266" i="4"/>
  <c r="G3270" i="4"/>
  <c r="G3274" i="4"/>
  <c r="G3278" i="4"/>
  <c r="G3282" i="4"/>
  <c r="G3286" i="4"/>
  <c r="G3290" i="4"/>
  <c r="G3294" i="4"/>
  <c r="G3298" i="4"/>
  <c r="G3302" i="4"/>
  <c r="G3306" i="4"/>
  <c r="G3310" i="4"/>
  <c r="G3314" i="4"/>
  <c r="G3318" i="4"/>
  <c r="G3322" i="4"/>
  <c r="G3326" i="4"/>
  <c r="G3330" i="4"/>
  <c r="G3334" i="4"/>
  <c r="G3338" i="4"/>
  <c r="G3342" i="4"/>
  <c r="G3346" i="4"/>
  <c r="G3350" i="4"/>
  <c r="G3354" i="4"/>
  <c r="G3358" i="4"/>
  <c r="G3362" i="4"/>
  <c r="G3366" i="4"/>
  <c r="G3370" i="4"/>
  <c r="G3374" i="4"/>
  <c r="G3378" i="4"/>
  <c r="G3382" i="4"/>
  <c r="G3386" i="4"/>
  <c r="G3390" i="4"/>
  <c r="G3394" i="4"/>
  <c r="G3398" i="4"/>
  <c r="G3402" i="4"/>
  <c r="G3406" i="4"/>
  <c r="G3410" i="4"/>
  <c r="G3414" i="4"/>
  <c r="G3418" i="4"/>
  <c r="G3422" i="4"/>
  <c r="G3426" i="4"/>
  <c r="G3430" i="4"/>
  <c r="G3434" i="4"/>
  <c r="G3438" i="4"/>
  <c r="G3442" i="4"/>
  <c r="G3446" i="4"/>
  <c r="G3450" i="4"/>
  <c r="G3454" i="4"/>
  <c r="G3458" i="4"/>
  <c r="G3462" i="4"/>
  <c r="G3466" i="4"/>
  <c r="G3470" i="4"/>
  <c r="G3474" i="4"/>
  <c r="G3478" i="4"/>
  <c r="G3482" i="4"/>
  <c r="G3486" i="4"/>
  <c r="G3490" i="4"/>
  <c r="G3494" i="4"/>
  <c r="G3498" i="4"/>
  <c r="G3502" i="4"/>
  <c r="G3506" i="4"/>
  <c r="G3510" i="4"/>
  <c r="G3514" i="4"/>
  <c r="G3518" i="4"/>
  <c r="G3522" i="4"/>
  <c r="G3526" i="4"/>
  <c r="G3530" i="4"/>
  <c r="G3534" i="4"/>
  <c r="G3538" i="4"/>
  <c r="G3542" i="4"/>
  <c r="G3546" i="4"/>
  <c r="G3550" i="4"/>
  <c r="G3554" i="4"/>
  <c r="G3558" i="4"/>
  <c r="G3562" i="4"/>
  <c r="G3566" i="4"/>
  <c r="G3570" i="4"/>
  <c r="G3574" i="4"/>
  <c r="G3578" i="4"/>
  <c r="G3582" i="4"/>
  <c r="G3586" i="4"/>
  <c r="G3590" i="4"/>
  <c r="G3594" i="4"/>
  <c r="G3598" i="4"/>
  <c r="G3602" i="4"/>
  <c r="G3606" i="4"/>
  <c r="G3610" i="4"/>
  <c r="G3614" i="4"/>
  <c r="G3618" i="4"/>
  <c r="G3622" i="4"/>
  <c r="G3626" i="4"/>
  <c r="G3630" i="4"/>
  <c r="G3634" i="4"/>
  <c r="G3638" i="4"/>
  <c r="G3642" i="4"/>
  <c r="G3646" i="4"/>
  <c r="G3650" i="4"/>
  <c r="G3654" i="4"/>
  <c r="G3658" i="4"/>
  <c r="G3662" i="4"/>
  <c r="G3666" i="4"/>
  <c r="G3670" i="4"/>
  <c r="G3674" i="4"/>
  <c r="G3678" i="4"/>
  <c r="G3682" i="4"/>
  <c r="G3686" i="4"/>
  <c r="G3690" i="4"/>
  <c r="G3694" i="4"/>
  <c r="G3698" i="4"/>
  <c r="G3702" i="4"/>
  <c r="G3706" i="4"/>
  <c r="G3710" i="4"/>
  <c r="G3714" i="4"/>
  <c r="G3718" i="4"/>
  <c r="G3722" i="4"/>
  <c r="G3726" i="4"/>
  <c r="G3730" i="4"/>
  <c r="G3734" i="4"/>
  <c r="G3738" i="4"/>
  <c r="G3742" i="4"/>
  <c r="G3746" i="4"/>
  <c r="G3750" i="4"/>
  <c r="G3754" i="4"/>
  <c r="G3758" i="4"/>
  <c r="G3762" i="4"/>
  <c r="G3766" i="4"/>
  <c r="G3770" i="4"/>
  <c r="G3774" i="4"/>
  <c r="G3778" i="4"/>
  <c r="G3782" i="4"/>
  <c r="G3786" i="4"/>
  <c r="G3790" i="4"/>
  <c r="G3794" i="4"/>
  <c r="G3798" i="4"/>
  <c r="G3802" i="4"/>
  <c r="G3806" i="4"/>
  <c r="G3810" i="4"/>
  <c r="G3814" i="4"/>
  <c r="G3818" i="4"/>
  <c r="G3822" i="4"/>
  <c r="G3826" i="4"/>
  <c r="G3830" i="4"/>
  <c r="G3834" i="4"/>
  <c r="G3838" i="4"/>
  <c r="G3842" i="4"/>
  <c r="G3846" i="4"/>
  <c r="G3850" i="4"/>
  <c r="G3854" i="4"/>
  <c r="G3858" i="4"/>
  <c r="G3862" i="4"/>
  <c r="G3866" i="4"/>
  <c r="G3870" i="4"/>
  <c r="G3874" i="4"/>
  <c r="G3878" i="4"/>
  <c r="G3882" i="4"/>
  <c r="G3886" i="4"/>
  <c r="G3890" i="4"/>
  <c r="G3894" i="4"/>
  <c r="G3898" i="4"/>
  <c r="G3902" i="4"/>
  <c r="G3906" i="4"/>
  <c r="G3910" i="4"/>
  <c r="G3914" i="4"/>
  <c r="G3918" i="4"/>
  <c r="G3922" i="4"/>
  <c r="G3926" i="4"/>
  <c r="G3930" i="4"/>
  <c r="G3934" i="4"/>
  <c r="G3938" i="4"/>
  <c r="G3942" i="4"/>
  <c r="G3946" i="4"/>
  <c r="G3950" i="4"/>
  <c r="G3954" i="4"/>
  <c r="G3958" i="4"/>
  <c r="G3962" i="4"/>
  <c r="G3966" i="4"/>
  <c r="G3970" i="4"/>
  <c r="G3974" i="4"/>
  <c r="G3978" i="4"/>
  <c r="G3982" i="4"/>
  <c r="G3986" i="4"/>
  <c r="G3990" i="4"/>
  <c r="G3994" i="4"/>
  <c r="G3998" i="4"/>
  <c r="G4002" i="4"/>
  <c r="G4006" i="4"/>
  <c r="G4010" i="4"/>
  <c r="G4014" i="4"/>
  <c r="G4018" i="4"/>
  <c r="G4022" i="4"/>
  <c r="G4026" i="4"/>
  <c r="G4030" i="4"/>
  <c r="G4034" i="4"/>
  <c r="G4038" i="4"/>
  <c r="G4042" i="4"/>
  <c r="G4046" i="4"/>
  <c r="G4050" i="4"/>
  <c r="G4054" i="4"/>
  <c r="G4058" i="4"/>
  <c r="G4062" i="4"/>
  <c r="G4066" i="4"/>
  <c r="G4070" i="4"/>
  <c r="G4074" i="4"/>
  <c r="G4078" i="4"/>
  <c r="G4082" i="4"/>
  <c r="G4086" i="4"/>
  <c r="G4090" i="4"/>
  <c r="G4094" i="4"/>
  <c r="G4098" i="4"/>
  <c r="G4102" i="4"/>
  <c r="G4106" i="4"/>
  <c r="G4110" i="4"/>
  <c r="G4114" i="4"/>
  <c r="G4118" i="4"/>
  <c r="G4122" i="4"/>
  <c r="G4126" i="4"/>
  <c r="G4130" i="4"/>
  <c r="G4134" i="4"/>
  <c r="G4138" i="4"/>
  <c r="G4142" i="4"/>
  <c r="G4146" i="4"/>
  <c r="G4150" i="4"/>
  <c r="G4154" i="4"/>
  <c r="G4158" i="4"/>
  <c r="G4162" i="4"/>
  <c r="G4166" i="4"/>
  <c r="G4170" i="4"/>
  <c r="G4174" i="4"/>
  <c r="G4178" i="4"/>
  <c r="G4182" i="4"/>
  <c r="G4186" i="4"/>
  <c r="G4190" i="4"/>
  <c r="G4194" i="4"/>
  <c r="G4198" i="4"/>
  <c r="G4202" i="4"/>
  <c r="G4206" i="4"/>
  <c r="G4210" i="4"/>
  <c r="G4214" i="4"/>
  <c r="G4218" i="4"/>
  <c r="G4222" i="4"/>
  <c r="G4226" i="4"/>
  <c r="G4230" i="4"/>
  <c r="G4234" i="4"/>
  <c r="G4238" i="4"/>
  <c r="G4242" i="4"/>
  <c r="G4246" i="4"/>
  <c r="G4250" i="4"/>
  <c r="G4254" i="4"/>
  <c r="G4258" i="4"/>
  <c r="G4262" i="4"/>
  <c r="G4266" i="4"/>
  <c r="G4270" i="4"/>
  <c r="G4274" i="4"/>
  <c r="G4278" i="4"/>
  <c r="G4282" i="4"/>
  <c r="G4286" i="4"/>
  <c r="G4290" i="4"/>
  <c r="G4294" i="4"/>
  <c r="G4298" i="4"/>
  <c r="G4302" i="4"/>
  <c r="G4306" i="4"/>
  <c r="G4310" i="4"/>
  <c r="G4314" i="4"/>
  <c r="G4318" i="4"/>
  <c r="G4322" i="4"/>
  <c r="G4326" i="4"/>
  <c r="G4330" i="4"/>
  <c r="G4334" i="4"/>
  <c r="G4338" i="4"/>
  <c r="G4342" i="4"/>
  <c r="G4346" i="4"/>
  <c r="G4350" i="4"/>
  <c r="G4354" i="4"/>
  <c r="G4358" i="4"/>
  <c r="G4362" i="4"/>
  <c r="G4366" i="4"/>
  <c r="G4370" i="4"/>
  <c r="G4374" i="4"/>
  <c r="G4378" i="4"/>
  <c r="G4382" i="4"/>
  <c r="G4386" i="4"/>
  <c r="G4390" i="4"/>
  <c r="G4394" i="4"/>
  <c r="G4398" i="4"/>
  <c r="G4402" i="4"/>
  <c r="G4406" i="4"/>
  <c r="G4410" i="4"/>
  <c r="G4414" i="4"/>
  <c r="G4418" i="4"/>
  <c r="G4422" i="4"/>
  <c r="G4426" i="4"/>
  <c r="G4430" i="4"/>
  <c r="G4434" i="4"/>
  <c r="G4438" i="4"/>
  <c r="G4442" i="4"/>
  <c r="G4446" i="4"/>
  <c r="G4450" i="4"/>
  <c r="G4454" i="4"/>
  <c r="G4458" i="4"/>
  <c r="G4462" i="4"/>
  <c r="G4466" i="4"/>
  <c r="G4470" i="4"/>
  <c r="G4474" i="4"/>
  <c r="G4478" i="4"/>
  <c r="G4482" i="4"/>
  <c r="G4486" i="4"/>
  <c r="G4490" i="4"/>
  <c r="G4494" i="4"/>
  <c r="G4498" i="4"/>
  <c r="G4502" i="4"/>
  <c r="G4506" i="4"/>
  <c r="G4510" i="4"/>
  <c r="G4514" i="4"/>
  <c r="G4518" i="4"/>
  <c r="G4522" i="4"/>
  <c r="G4526" i="4"/>
  <c r="G4530" i="4"/>
  <c r="G4534" i="4"/>
  <c r="G4538" i="4"/>
  <c r="G4542" i="4"/>
  <c r="G4546" i="4"/>
  <c r="G4550" i="4"/>
  <c r="G4554" i="4"/>
  <c r="G4558" i="4"/>
  <c r="G4562" i="4"/>
  <c r="G4566" i="4"/>
  <c r="G4570" i="4"/>
  <c r="G4574" i="4"/>
  <c r="G4578" i="4"/>
  <c r="G4582" i="4"/>
  <c r="G4586" i="4"/>
  <c r="G4590" i="4"/>
  <c r="G4594" i="4"/>
  <c r="G4598" i="4"/>
  <c r="G4602" i="4"/>
  <c r="G4606" i="4"/>
  <c r="G4610" i="4"/>
  <c r="G4614" i="4"/>
  <c r="G4618" i="4"/>
  <c r="G4622" i="4"/>
  <c r="G4626" i="4"/>
  <c r="G4630" i="4"/>
  <c r="G4634" i="4"/>
  <c r="G4638" i="4"/>
  <c r="G4642" i="4"/>
  <c r="G4646" i="4"/>
  <c r="G4650" i="4"/>
  <c r="G4654" i="4"/>
  <c r="G4658" i="4"/>
  <c r="G4662" i="4"/>
  <c r="G4666" i="4"/>
  <c r="G4670" i="4"/>
  <c r="G4674" i="4"/>
  <c r="G4678" i="4"/>
  <c r="G4682" i="4"/>
  <c r="G4686" i="4"/>
  <c r="G4690" i="4"/>
  <c r="G4694" i="4"/>
  <c r="G4698" i="4"/>
  <c r="G4702" i="4"/>
  <c r="G4706" i="4"/>
  <c r="G4710" i="4"/>
  <c r="G4714" i="4"/>
  <c r="G4718" i="4"/>
  <c r="G4722" i="4"/>
  <c r="G4726" i="4"/>
  <c r="G4730" i="4"/>
  <c r="G4734" i="4"/>
  <c r="G4738" i="4"/>
  <c r="G4742" i="4"/>
  <c r="G4746" i="4"/>
  <c r="G4750" i="4"/>
  <c r="G4754" i="4"/>
  <c r="G4758" i="4"/>
  <c r="G4762" i="4"/>
  <c r="G4766" i="4"/>
  <c r="G4770" i="4"/>
  <c r="G4774" i="4"/>
  <c r="G4778" i="4"/>
  <c r="G4782" i="4"/>
  <c r="G4786" i="4"/>
  <c r="G4790" i="4"/>
  <c r="G4794" i="4"/>
  <c r="G4798" i="4"/>
  <c r="G4802" i="4"/>
  <c r="G4806" i="4"/>
  <c r="G4810" i="4"/>
  <c r="G4814" i="4"/>
  <c r="G4818" i="4"/>
  <c r="G4822" i="4"/>
  <c r="G4826" i="4"/>
  <c r="G4830" i="4"/>
  <c r="G4834" i="4"/>
  <c r="G4838" i="4"/>
  <c r="G4842" i="4"/>
  <c r="G4846" i="4"/>
  <c r="G4850" i="4"/>
  <c r="G4854" i="4"/>
  <c r="G4858" i="4"/>
  <c r="G4862" i="4"/>
  <c r="G4866" i="4"/>
  <c r="G4870" i="4"/>
  <c r="G4874" i="4"/>
  <c r="G4878" i="4"/>
  <c r="G4882" i="4"/>
  <c r="G4886" i="4"/>
  <c r="G4890" i="4"/>
  <c r="G4894" i="4"/>
  <c r="G4898" i="4"/>
  <c r="G4902" i="4"/>
  <c r="G4906" i="4"/>
  <c r="G4910" i="4"/>
  <c r="G4914" i="4"/>
  <c r="G4918" i="4"/>
  <c r="G4922" i="4"/>
  <c r="G4926" i="4"/>
  <c r="G4930" i="4"/>
  <c r="G4934" i="4"/>
  <c r="G4938" i="4"/>
  <c r="G4942" i="4"/>
  <c r="G4946" i="4"/>
  <c r="G4950" i="4"/>
  <c r="G4954" i="4"/>
  <c r="G4958" i="4"/>
  <c r="G4962" i="4"/>
  <c r="G4966" i="4"/>
  <c r="G4970" i="4"/>
  <c r="G4974" i="4"/>
  <c r="G4978" i="4"/>
  <c r="G4982" i="4"/>
  <c r="G4986" i="4"/>
  <c r="G4990" i="4"/>
  <c r="G4994" i="4"/>
  <c r="G4998" i="4"/>
  <c r="G5002" i="4"/>
  <c r="G5006" i="4"/>
  <c r="G4399" i="4"/>
  <c r="G4447" i="4"/>
  <c r="G4455" i="4"/>
  <c r="G4467" i="4"/>
  <c r="G4479" i="4"/>
  <c r="G4491" i="4"/>
  <c r="G4499" i="4"/>
  <c r="G4511" i="4"/>
  <c r="G4523" i="4"/>
  <c r="G4535" i="4"/>
  <c r="G4547" i="4"/>
  <c r="G4555" i="4"/>
  <c r="G4571" i="4"/>
  <c r="G4583" i="4"/>
  <c r="G4595" i="4"/>
  <c r="G4607" i="4"/>
  <c r="G4619" i="4"/>
  <c r="G4631" i="4"/>
  <c r="G4643" i="4"/>
  <c r="G4655" i="4"/>
  <c r="G4671" i="4"/>
  <c r="G4691" i="4"/>
  <c r="G4707" i="4"/>
  <c r="G4723" i="4"/>
  <c r="G4735" i="4"/>
  <c r="G4751" i="4"/>
  <c r="G4767" i="4"/>
  <c r="G4783" i="4"/>
  <c r="G4799" i="4"/>
  <c r="G4815" i="4"/>
  <c r="G4831" i="4"/>
  <c r="G4847" i="4"/>
  <c r="G4863" i="4"/>
  <c r="G4879" i="4"/>
  <c r="G4899" i="4"/>
  <c r="G4915" i="4"/>
  <c r="G4927" i="4"/>
  <c r="G4943" i="4"/>
  <c r="G4967" i="4"/>
  <c r="G4983" i="4"/>
  <c r="G4999" i="4"/>
  <c r="G1471" i="4"/>
  <c r="G1487" i="4"/>
  <c r="G1503" i="4"/>
  <c r="G1519" i="4"/>
  <c r="G1535" i="4"/>
  <c r="G1551" i="4"/>
  <c r="G1567" i="4"/>
  <c r="G1583" i="4"/>
  <c r="G1599" i="4"/>
  <c r="G1615" i="4"/>
  <c r="G1631" i="4"/>
  <c r="G1647" i="4"/>
  <c r="G1663" i="4"/>
  <c r="G1679" i="4"/>
  <c r="G1695" i="4"/>
  <c r="G1711" i="4"/>
  <c r="G1727" i="4"/>
  <c r="G1743" i="4"/>
  <c r="G1759" i="4"/>
  <c r="G1775" i="4"/>
  <c r="G1791" i="4"/>
  <c r="G1807" i="4"/>
  <c r="G1823" i="4"/>
  <c r="G1839" i="4"/>
  <c r="G1855" i="4"/>
  <c r="G1871" i="4"/>
  <c r="G1887" i="4"/>
  <c r="G1903" i="4"/>
  <c r="G1919" i="4"/>
  <c r="G1935" i="4"/>
  <c r="G1951" i="4"/>
  <c r="G1967" i="4"/>
  <c r="G1983" i="4"/>
  <c r="G1999" i="4"/>
  <c r="G2015" i="4"/>
  <c r="G2031" i="4"/>
  <c r="G2047" i="4"/>
  <c r="G2063" i="4"/>
  <c r="G2079" i="4"/>
  <c r="G2095" i="4"/>
  <c r="G2111" i="4"/>
  <c r="G2127" i="4"/>
  <c r="G2143" i="4"/>
  <c r="G2159" i="4"/>
  <c r="G2175" i="4"/>
  <c r="G2191" i="4"/>
  <c r="G2207" i="4"/>
  <c r="G2223" i="4"/>
  <c r="G2239" i="4"/>
  <c r="G2255" i="4"/>
  <c r="G2271" i="4"/>
  <c r="G2287" i="4"/>
  <c r="G2303" i="4"/>
  <c r="G2319" i="4"/>
  <c r="G2335" i="4"/>
  <c r="G2351" i="4"/>
  <c r="G2367" i="4"/>
  <c r="G2383" i="4"/>
  <c r="G2399" i="4"/>
  <c r="G2415" i="4"/>
  <c r="G2431" i="4"/>
  <c r="G2447" i="4"/>
  <c r="G2463" i="4"/>
  <c r="G2479" i="4"/>
  <c r="G2495" i="4"/>
  <c r="G2511" i="4"/>
  <c r="G2527" i="4"/>
  <c r="G2543" i="4"/>
  <c r="G2559" i="4"/>
  <c r="G2575" i="4"/>
  <c r="G2591" i="4"/>
  <c r="G2607" i="4"/>
  <c r="G2623" i="4"/>
  <c r="G2639" i="4"/>
  <c r="G2655" i="4"/>
  <c r="G2671" i="4"/>
  <c r="G2687" i="4"/>
  <c r="G2703" i="4"/>
  <c r="G2719" i="4"/>
  <c r="G2735" i="4"/>
  <c r="G2751" i="4"/>
  <c r="G2767" i="4"/>
  <c r="G2783" i="4"/>
  <c r="G2799" i="4"/>
  <c r="G2815" i="4"/>
  <c r="G2831" i="4"/>
  <c r="G2847" i="4"/>
  <c r="G2863" i="4"/>
  <c r="G2879" i="4"/>
  <c r="G2895" i="4"/>
  <c r="G2911" i="4"/>
  <c r="G2927" i="4"/>
  <c r="G2943" i="4"/>
  <c r="G2959" i="4"/>
  <c r="G2975" i="4"/>
  <c r="G2991" i="4"/>
  <c r="G3007" i="4"/>
  <c r="G3023" i="4"/>
  <c r="G3039" i="4"/>
  <c r="G3055" i="4"/>
  <c r="G3064" i="4"/>
  <c r="G3072" i="4"/>
  <c r="G3080" i="4"/>
  <c r="G3088" i="4"/>
  <c r="G3096" i="4"/>
  <c r="G3104" i="4"/>
  <c r="G3112" i="4"/>
  <c r="G3120" i="4"/>
  <c r="G3128" i="4"/>
  <c r="G3136" i="4"/>
  <c r="G3144" i="4"/>
  <c r="G3152" i="4"/>
  <c r="G3160" i="4"/>
  <c r="G3168" i="4"/>
  <c r="G3176" i="4"/>
  <c r="G3184" i="4"/>
  <c r="G3192" i="4"/>
  <c r="G3200" i="4"/>
  <c r="G3207" i="4"/>
  <c r="G3211" i="4"/>
  <c r="G3215" i="4"/>
  <c r="G3219" i="4"/>
  <c r="G3223" i="4"/>
  <c r="G3227" i="4"/>
  <c r="G3231" i="4"/>
  <c r="G3235" i="4"/>
  <c r="G3239" i="4"/>
  <c r="G3243" i="4"/>
  <c r="G3247" i="4"/>
  <c r="G3251" i="4"/>
  <c r="G3255" i="4"/>
  <c r="G3259" i="4"/>
  <c r="G3263" i="4"/>
  <c r="G3267" i="4"/>
  <c r="G3271" i="4"/>
  <c r="G3275" i="4"/>
  <c r="G3279" i="4"/>
  <c r="G3283" i="4"/>
  <c r="G3287" i="4"/>
  <c r="G3291" i="4"/>
  <c r="G3295" i="4"/>
  <c r="G3299" i="4"/>
  <c r="G3303" i="4"/>
  <c r="G3307" i="4"/>
  <c r="G3311" i="4"/>
  <c r="G3315" i="4"/>
  <c r="G3319" i="4"/>
  <c r="G3323" i="4"/>
  <c r="G3327" i="4"/>
  <c r="G3331" i="4"/>
  <c r="G3335" i="4"/>
  <c r="G3339" i="4"/>
  <c r="G3343" i="4"/>
  <c r="G3347" i="4"/>
  <c r="G3351" i="4"/>
  <c r="G3355" i="4"/>
  <c r="G3359" i="4"/>
  <c r="G3363" i="4"/>
  <c r="G3367" i="4"/>
  <c r="G3371" i="4"/>
  <c r="G3375" i="4"/>
  <c r="G3379" i="4"/>
  <c r="G3383" i="4"/>
  <c r="G3387" i="4"/>
  <c r="G3391" i="4"/>
  <c r="G3395" i="4"/>
  <c r="G3399" i="4"/>
  <c r="G3403" i="4"/>
  <c r="G3407" i="4"/>
  <c r="G3411" i="4"/>
  <c r="G3415" i="4"/>
  <c r="G3419" i="4"/>
  <c r="G3423" i="4"/>
  <c r="G3427" i="4"/>
  <c r="G3431" i="4"/>
  <c r="G3435" i="4"/>
  <c r="G3439" i="4"/>
  <c r="G3443" i="4"/>
  <c r="G3447" i="4"/>
  <c r="G3451" i="4"/>
  <c r="G3455" i="4"/>
  <c r="G3459" i="4"/>
  <c r="G3463" i="4"/>
  <c r="G3467" i="4"/>
  <c r="G3471" i="4"/>
  <c r="G3475" i="4"/>
  <c r="G3479" i="4"/>
  <c r="G3483" i="4"/>
  <c r="G3487" i="4"/>
  <c r="G3491" i="4"/>
  <c r="G3495" i="4"/>
  <c r="G3499" i="4"/>
  <c r="G3503" i="4"/>
  <c r="G3507" i="4"/>
  <c r="G3511" i="4"/>
  <c r="G3515" i="4"/>
  <c r="G3519" i="4"/>
  <c r="G3523" i="4"/>
  <c r="G3527" i="4"/>
  <c r="G3531" i="4"/>
  <c r="G3535" i="4"/>
  <c r="G3539" i="4"/>
  <c r="G3543" i="4"/>
  <c r="G3547" i="4"/>
  <c r="G3551" i="4"/>
  <c r="G3555" i="4"/>
  <c r="G3559" i="4"/>
  <c r="G3563" i="4"/>
  <c r="G3567" i="4"/>
  <c r="G3571" i="4"/>
  <c r="G3575" i="4"/>
  <c r="G3579" i="4"/>
  <c r="G3583" i="4"/>
  <c r="G3587" i="4"/>
  <c r="G3591" i="4"/>
  <c r="G3595" i="4"/>
  <c r="G3599" i="4"/>
  <c r="G3603" i="4"/>
  <c r="G3607" i="4"/>
  <c r="G3611" i="4"/>
  <c r="G3615" i="4"/>
  <c r="G3619" i="4"/>
  <c r="G3623" i="4"/>
  <c r="G3627" i="4"/>
  <c r="G3631" i="4"/>
  <c r="G3635" i="4"/>
  <c r="G3639" i="4"/>
  <c r="G3643" i="4"/>
  <c r="G3647" i="4"/>
  <c r="G3651" i="4"/>
  <c r="G3655" i="4"/>
  <c r="G3659" i="4"/>
  <c r="G3663" i="4"/>
  <c r="G3667" i="4"/>
  <c r="G3671" i="4"/>
  <c r="G3675" i="4"/>
  <c r="G3679" i="4"/>
  <c r="G3683" i="4"/>
  <c r="G3687" i="4"/>
  <c r="G3691" i="4"/>
  <c r="G3695" i="4"/>
  <c r="G3699" i="4"/>
  <c r="G3703" i="4"/>
  <c r="G3707" i="4"/>
  <c r="G3711" i="4"/>
  <c r="G3715" i="4"/>
  <c r="G3719" i="4"/>
  <c r="G3723" i="4"/>
  <c r="G3727" i="4"/>
  <c r="G3731" i="4"/>
  <c r="G3735" i="4"/>
  <c r="G3739" i="4"/>
  <c r="G3743" i="4"/>
  <c r="G3747" i="4"/>
  <c r="G3751" i="4"/>
  <c r="G3755" i="4"/>
  <c r="G3759" i="4"/>
  <c r="G3763" i="4"/>
  <c r="G3767" i="4"/>
  <c r="G3771" i="4"/>
  <c r="G3775" i="4"/>
  <c r="G3779" i="4"/>
  <c r="G3783" i="4"/>
  <c r="G3787" i="4"/>
  <c r="G3791" i="4"/>
  <c r="G3795" i="4"/>
  <c r="G3799" i="4"/>
  <c r="G3803" i="4"/>
  <c r="G3807" i="4"/>
  <c r="G3811" i="4"/>
  <c r="G3815" i="4"/>
  <c r="G3819" i="4"/>
  <c r="G3823" i="4"/>
  <c r="G3827" i="4"/>
  <c r="G3831" i="4"/>
  <c r="G3835" i="4"/>
  <c r="G3839" i="4"/>
  <c r="G3843" i="4"/>
  <c r="G3847" i="4"/>
  <c r="G3851" i="4"/>
  <c r="G3855" i="4"/>
  <c r="G3859" i="4"/>
  <c r="G3863" i="4"/>
  <c r="G3867" i="4"/>
  <c r="G3871" i="4"/>
  <c r="G3875" i="4"/>
  <c r="G3879" i="4"/>
  <c r="G3883" i="4"/>
  <c r="G3887" i="4"/>
  <c r="G3891" i="4"/>
  <c r="G3895" i="4"/>
  <c r="G3899" i="4"/>
  <c r="G3903" i="4"/>
  <c r="G3907" i="4"/>
  <c r="G3911" i="4"/>
  <c r="G3915" i="4"/>
  <c r="G3919" i="4"/>
  <c r="G3923" i="4"/>
  <c r="G3927" i="4"/>
  <c r="G3931" i="4"/>
  <c r="G3935" i="4"/>
  <c r="G3939" i="4"/>
  <c r="G3943" i="4"/>
  <c r="G3947" i="4"/>
  <c r="G3951" i="4"/>
  <c r="G3955" i="4"/>
  <c r="G3959" i="4"/>
  <c r="G3963" i="4"/>
  <c r="G3967" i="4"/>
  <c r="G3971" i="4"/>
  <c r="G3975" i="4"/>
  <c r="G3979" i="4"/>
  <c r="G3983" i="4"/>
  <c r="G3987" i="4"/>
  <c r="G3991" i="4"/>
  <c r="G3995" i="4"/>
  <c r="G3999" i="4"/>
  <c r="G4003" i="4"/>
  <c r="G4007" i="4"/>
  <c r="G4011" i="4"/>
  <c r="G4015" i="4"/>
  <c r="G4019" i="4"/>
  <c r="G4023" i="4"/>
  <c r="G4027" i="4"/>
  <c r="G4031" i="4"/>
  <c r="G4035" i="4"/>
  <c r="G4039" i="4"/>
  <c r="G4043" i="4"/>
  <c r="G4047" i="4"/>
  <c r="G4051" i="4"/>
  <c r="G4055" i="4"/>
  <c r="G4059" i="4"/>
  <c r="G4063" i="4"/>
  <c r="G4067" i="4"/>
  <c r="G4071" i="4"/>
  <c r="G4075" i="4"/>
  <c r="G4079" i="4"/>
  <c r="G4083" i="4"/>
  <c r="G4087" i="4"/>
  <c r="G4091" i="4"/>
  <c r="G4095" i="4"/>
  <c r="G4099" i="4"/>
  <c r="G4103" i="4"/>
  <c r="G4107" i="4"/>
  <c r="G4111" i="4"/>
  <c r="G4115" i="4"/>
  <c r="G4119" i="4"/>
  <c r="G4123" i="4"/>
  <c r="G4127" i="4"/>
  <c r="G4131" i="4"/>
  <c r="G4135" i="4"/>
  <c r="G4139" i="4"/>
  <c r="G4143" i="4"/>
  <c r="G4147" i="4"/>
  <c r="G4151" i="4"/>
  <c r="G4155" i="4"/>
  <c r="G4159" i="4"/>
  <c r="G4163" i="4"/>
  <c r="G4167" i="4"/>
  <c r="G4171" i="4"/>
  <c r="G4175" i="4"/>
  <c r="G4179" i="4"/>
  <c r="G4183" i="4"/>
  <c r="G4187" i="4"/>
  <c r="G4191" i="4"/>
  <c r="G4195" i="4"/>
  <c r="G4199" i="4"/>
  <c r="G4203" i="4"/>
  <c r="G4207" i="4"/>
  <c r="G4211" i="4"/>
  <c r="G4215" i="4"/>
  <c r="G4219" i="4"/>
  <c r="G4223" i="4"/>
  <c r="G4227" i="4"/>
  <c r="G4231" i="4"/>
  <c r="G4235" i="4"/>
  <c r="G4239" i="4"/>
  <c r="G4243" i="4"/>
  <c r="G4247" i="4"/>
  <c r="G4251" i="4"/>
  <c r="G4255" i="4"/>
  <c r="G4259" i="4"/>
  <c r="G4263" i="4"/>
  <c r="G4267" i="4"/>
  <c r="G4271" i="4"/>
  <c r="G4275" i="4"/>
  <c r="G4279" i="4"/>
  <c r="G4283" i="4"/>
  <c r="G4287" i="4"/>
  <c r="G4291" i="4"/>
  <c r="G4295" i="4"/>
  <c r="G4299" i="4"/>
  <c r="G4303" i="4"/>
  <c r="G4307" i="4"/>
  <c r="G4311" i="4"/>
  <c r="G4315" i="4"/>
  <c r="G4319" i="4"/>
  <c r="G4323" i="4"/>
  <c r="G4327" i="4"/>
  <c r="G4331" i="4"/>
  <c r="G4335" i="4"/>
  <c r="G4339" i="4"/>
  <c r="G4343" i="4"/>
  <c r="G4347" i="4"/>
  <c r="G4351" i="4"/>
  <c r="G4355" i="4"/>
  <c r="G4359" i="4"/>
  <c r="G4363" i="4"/>
  <c r="G4367" i="4"/>
  <c r="G4371" i="4"/>
  <c r="G4375" i="4"/>
  <c r="G4379" i="4"/>
  <c r="G4383" i="4"/>
  <c r="G4387" i="4"/>
  <c r="G4391" i="4"/>
  <c r="G4395" i="4"/>
  <c r="G4403" i="4"/>
  <c r="G4411" i="4"/>
  <c r="G4415" i="4"/>
  <c r="G4419" i="4"/>
  <c r="G4423" i="4"/>
  <c r="G4427" i="4"/>
  <c r="G4431" i="4"/>
  <c r="G4435" i="4"/>
  <c r="G4439" i="4"/>
  <c r="G4451" i="4"/>
  <c r="G4463" i="4"/>
  <c r="G4475" i="4"/>
  <c r="G4487" i="4"/>
  <c r="G4507" i="4"/>
  <c r="G4519" i="4"/>
  <c r="G4531" i="4"/>
  <c r="G4543" i="4"/>
  <c r="G4563" i="4"/>
  <c r="G4575" i="4"/>
  <c r="G4587" i="4"/>
  <c r="G4603" i="4"/>
  <c r="G4615" i="4"/>
  <c r="G4635" i="4"/>
  <c r="G4651" i="4"/>
  <c r="G4663" i="4"/>
  <c r="G4679" i="4"/>
  <c r="G4703" i="4"/>
  <c r="G4719" i="4"/>
  <c r="G4739" i="4"/>
  <c r="G4755" i="4"/>
  <c r="G4771" i="4"/>
  <c r="G4787" i="4"/>
  <c r="G4803" i="4"/>
  <c r="G4823" i="4"/>
  <c r="G4843" i="4"/>
  <c r="G4855" i="4"/>
  <c r="G4871" i="4"/>
  <c r="G4891" i="4"/>
  <c r="G4907" i="4"/>
  <c r="G4923" i="4"/>
  <c r="G4939" i="4"/>
  <c r="G4955" i="4"/>
  <c r="G4971" i="4"/>
  <c r="G4987" i="4"/>
  <c r="G5007" i="4"/>
  <c r="G1475" i="4"/>
  <c r="G1491" i="4"/>
  <c r="G1507" i="4"/>
  <c r="G1523" i="4"/>
  <c r="G1539" i="4"/>
  <c r="G1555" i="4"/>
  <c r="G1571" i="4"/>
  <c r="G1587" i="4"/>
  <c r="G1603" i="4"/>
  <c r="G1619" i="4"/>
  <c r="G1635" i="4"/>
  <c r="G1651" i="4"/>
  <c r="G1667" i="4"/>
  <c r="G1683" i="4"/>
  <c r="G1699" i="4"/>
  <c r="G1715" i="4"/>
  <c r="G1731" i="4"/>
  <c r="G1747" i="4"/>
  <c r="G1763" i="4"/>
  <c r="G1779" i="4"/>
  <c r="G1795" i="4"/>
  <c r="G1811" i="4"/>
  <c r="G1827" i="4"/>
  <c r="G1843" i="4"/>
  <c r="G1859" i="4"/>
  <c r="G1875" i="4"/>
  <c r="G1891" i="4"/>
  <c r="G1907" i="4"/>
  <c r="G1923" i="4"/>
  <c r="G1939" i="4"/>
  <c r="G1955" i="4"/>
  <c r="G1971" i="4"/>
  <c r="G1987" i="4"/>
  <c r="G2003" i="4"/>
  <c r="G2019" i="4"/>
  <c r="G2035" i="4"/>
  <c r="G2051" i="4"/>
  <c r="G2067" i="4"/>
  <c r="G2083" i="4"/>
  <c r="G2099" i="4"/>
  <c r="G2115" i="4"/>
  <c r="G2131" i="4"/>
  <c r="G2147" i="4"/>
  <c r="G2163" i="4"/>
  <c r="G2179" i="4"/>
  <c r="G2195" i="4"/>
  <c r="G2211" i="4"/>
  <c r="G2227" i="4"/>
  <c r="G2243" i="4"/>
  <c r="G2259" i="4"/>
  <c r="G2275" i="4"/>
  <c r="G2291" i="4"/>
  <c r="G2307" i="4"/>
  <c r="G2323" i="4"/>
  <c r="G2339" i="4"/>
  <c r="G2355" i="4"/>
  <c r="G2371" i="4"/>
  <c r="G2387" i="4"/>
  <c r="G2403" i="4"/>
  <c r="G2419" i="4"/>
  <c r="G2435" i="4"/>
  <c r="G2451" i="4"/>
  <c r="G2467" i="4"/>
  <c r="G2483" i="4"/>
  <c r="G2499" i="4"/>
  <c r="G2515" i="4"/>
  <c r="G2531" i="4"/>
  <c r="G2547" i="4"/>
  <c r="G2563" i="4"/>
  <c r="G2579" i="4"/>
  <c r="G2595" i="4"/>
  <c r="G2611" i="4"/>
  <c r="G2627" i="4"/>
  <c r="G2643" i="4"/>
  <c r="G2659" i="4"/>
  <c r="G2675" i="4"/>
  <c r="G2691" i="4"/>
  <c r="G2707" i="4"/>
  <c r="G2723" i="4"/>
  <c r="G2739" i="4"/>
  <c r="G2755" i="4"/>
  <c r="G2771" i="4"/>
  <c r="G2787" i="4"/>
  <c r="G2803" i="4"/>
  <c r="G2819" i="4"/>
  <c r="G2835" i="4"/>
  <c r="G2851" i="4"/>
  <c r="G2867" i="4"/>
  <c r="G2883" i="4"/>
  <c r="G2899" i="4"/>
  <c r="G2915" i="4"/>
  <c r="G2931" i="4"/>
  <c r="G2947" i="4"/>
  <c r="G2963" i="4"/>
  <c r="G2979" i="4"/>
  <c r="G2995" i="4"/>
  <c r="G3011" i="4"/>
  <c r="G3027" i="4"/>
  <c r="G3043" i="4"/>
  <c r="G3059" i="4"/>
  <c r="G3067" i="4"/>
  <c r="G3075" i="4"/>
  <c r="G3083" i="4"/>
  <c r="G3091" i="4"/>
  <c r="G3099" i="4"/>
  <c r="G3107" i="4"/>
  <c r="G3115" i="4"/>
  <c r="G3123" i="4"/>
  <c r="G3131" i="4"/>
  <c r="G3139" i="4"/>
  <c r="G3147" i="4"/>
  <c r="G3155" i="4"/>
  <c r="G3163" i="4"/>
  <c r="G3171" i="4"/>
  <c r="G3179" i="4"/>
  <c r="G3187" i="4"/>
  <c r="G3195" i="4"/>
  <c r="G3203" i="4"/>
  <c r="G3208" i="4"/>
  <c r="G3212" i="4"/>
  <c r="G3216" i="4"/>
  <c r="G3220" i="4"/>
  <c r="G3224" i="4"/>
  <c r="G3228" i="4"/>
  <c r="G3232" i="4"/>
  <c r="G3236" i="4"/>
  <c r="G3240" i="4"/>
  <c r="G3244" i="4"/>
  <c r="G3248" i="4"/>
  <c r="G3252" i="4"/>
  <c r="G3256" i="4"/>
  <c r="G3260" i="4"/>
  <c r="G3264" i="4"/>
  <c r="G3268" i="4"/>
  <c r="G3272" i="4"/>
  <c r="G3276" i="4"/>
  <c r="G3280" i="4"/>
  <c r="G3284" i="4"/>
  <c r="G3288" i="4"/>
  <c r="G3292" i="4"/>
  <c r="G3296" i="4"/>
  <c r="G3300" i="4"/>
  <c r="G3304" i="4"/>
  <c r="G3308" i="4"/>
  <c r="G3312" i="4"/>
  <c r="G3316" i="4"/>
  <c r="G3320" i="4"/>
  <c r="G3324" i="4"/>
  <c r="G3328" i="4"/>
  <c r="G3332" i="4"/>
  <c r="G3336" i="4"/>
  <c r="G3340" i="4"/>
  <c r="G3344" i="4"/>
  <c r="G3348" i="4"/>
  <c r="G3352" i="4"/>
  <c r="G3356" i="4"/>
  <c r="G3360" i="4"/>
  <c r="G3364" i="4"/>
  <c r="G3368" i="4"/>
  <c r="G3372" i="4"/>
  <c r="G3376" i="4"/>
  <c r="G3380" i="4"/>
  <c r="G3384" i="4"/>
  <c r="G3388" i="4"/>
  <c r="G3392" i="4"/>
  <c r="G3396" i="4"/>
  <c r="G3400" i="4"/>
  <c r="G3404" i="4"/>
  <c r="G3408" i="4"/>
  <c r="G3412" i="4"/>
  <c r="G3416" i="4"/>
  <c r="G3420" i="4"/>
  <c r="G3424" i="4"/>
  <c r="G3428" i="4"/>
  <c r="G3432" i="4"/>
  <c r="G3436" i="4"/>
  <c r="G3440" i="4"/>
  <c r="G3444" i="4"/>
  <c r="G3448" i="4"/>
  <c r="G3452" i="4"/>
  <c r="G3456" i="4"/>
  <c r="G3460" i="4"/>
  <c r="G3464" i="4"/>
  <c r="G3468" i="4"/>
  <c r="G3472" i="4"/>
  <c r="G3476" i="4"/>
  <c r="G3480" i="4"/>
  <c r="G3484" i="4"/>
  <c r="G3488" i="4"/>
  <c r="G3492" i="4"/>
  <c r="G3496" i="4"/>
  <c r="G3500" i="4"/>
  <c r="G3504" i="4"/>
  <c r="G3508" i="4"/>
  <c r="G3512" i="4"/>
  <c r="G3516" i="4"/>
  <c r="G3520" i="4"/>
  <c r="G3524" i="4"/>
  <c r="G3528" i="4"/>
  <c r="G3532" i="4"/>
  <c r="G3536" i="4"/>
  <c r="G3540" i="4"/>
  <c r="G3544" i="4"/>
  <c r="G3548" i="4"/>
  <c r="G3552" i="4"/>
  <c r="G3556" i="4"/>
  <c r="G3560" i="4"/>
  <c r="G3564" i="4"/>
  <c r="G3568" i="4"/>
  <c r="G3572" i="4"/>
  <c r="G3576" i="4"/>
  <c r="G3580" i="4"/>
  <c r="G3584" i="4"/>
  <c r="G3588" i="4"/>
  <c r="G3592" i="4"/>
  <c r="G3596" i="4"/>
  <c r="G3600" i="4"/>
  <c r="G3604" i="4"/>
  <c r="G3608" i="4"/>
  <c r="G3612" i="4"/>
  <c r="G3616" i="4"/>
  <c r="G3620" i="4"/>
  <c r="G3624" i="4"/>
  <c r="G3628" i="4"/>
  <c r="G3632" i="4"/>
  <c r="G3636" i="4"/>
  <c r="G3640" i="4"/>
  <c r="G3644" i="4"/>
  <c r="G3648" i="4"/>
  <c r="G3652" i="4"/>
  <c r="G3656" i="4"/>
  <c r="G3660" i="4"/>
  <c r="G3664" i="4"/>
  <c r="G3668" i="4"/>
  <c r="G3672" i="4"/>
  <c r="G3676" i="4"/>
  <c r="G3680" i="4"/>
  <c r="G3684" i="4"/>
  <c r="G3688" i="4"/>
  <c r="G3692" i="4"/>
  <c r="G3696" i="4"/>
  <c r="G3700" i="4"/>
  <c r="G3704" i="4"/>
  <c r="G3708" i="4"/>
  <c r="G3712" i="4"/>
  <c r="G3716" i="4"/>
  <c r="G3720" i="4"/>
  <c r="G3724" i="4"/>
  <c r="G3728" i="4"/>
  <c r="G3732" i="4"/>
  <c r="G3736" i="4"/>
  <c r="G3740" i="4"/>
  <c r="G3744" i="4"/>
  <c r="G3748" i="4"/>
  <c r="G3752" i="4"/>
  <c r="G3756" i="4"/>
  <c r="G3760" i="4"/>
  <c r="G3764" i="4"/>
  <c r="G3768" i="4"/>
  <c r="G3772" i="4"/>
  <c r="G3776" i="4"/>
  <c r="G3780" i="4"/>
  <c r="G3784" i="4"/>
  <c r="G3788" i="4"/>
  <c r="G3792" i="4"/>
  <c r="G3796" i="4"/>
  <c r="G3800" i="4"/>
  <c r="G3804" i="4"/>
  <c r="G3808" i="4"/>
  <c r="G3812" i="4"/>
  <c r="G3816" i="4"/>
  <c r="G3820" i="4"/>
  <c r="G3824" i="4"/>
  <c r="G3828" i="4"/>
  <c r="G3832" i="4"/>
  <c r="G3836" i="4"/>
  <c r="G3840" i="4"/>
  <c r="G3844" i="4"/>
  <c r="G3848" i="4"/>
  <c r="G3852" i="4"/>
  <c r="G3856" i="4"/>
  <c r="G3860" i="4"/>
  <c r="G3864" i="4"/>
  <c r="G3868" i="4"/>
  <c r="G3872" i="4"/>
  <c r="G3876" i="4"/>
  <c r="G3880" i="4"/>
  <c r="G3884" i="4"/>
  <c r="G3888" i="4"/>
  <c r="G3892" i="4"/>
  <c r="G3896" i="4"/>
  <c r="G3900" i="4"/>
  <c r="G3904" i="4"/>
  <c r="G3908" i="4"/>
  <c r="G3912" i="4"/>
  <c r="G3916" i="4"/>
  <c r="G3920" i="4"/>
  <c r="G3924" i="4"/>
  <c r="G3928" i="4"/>
  <c r="G3932" i="4"/>
  <c r="G3936" i="4"/>
  <c r="G3940" i="4"/>
  <c r="G3944" i="4"/>
  <c r="G3948" i="4"/>
  <c r="G3952" i="4"/>
  <c r="G3956" i="4"/>
  <c r="G3960" i="4"/>
  <c r="G3964" i="4"/>
  <c r="G3968" i="4"/>
  <c r="G3972" i="4"/>
  <c r="G3976" i="4"/>
  <c r="G3980" i="4"/>
  <c r="G3984" i="4"/>
  <c r="G3988" i="4"/>
  <c r="G3992" i="4"/>
  <c r="G3996" i="4"/>
  <c r="G4000" i="4"/>
  <c r="G4004" i="4"/>
  <c r="G4008" i="4"/>
  <c r="G4012" i="4"/>
  <c r="G4016" i="4"/>
  <c r="G4020" i="4"/>
  <c r="G4024" i="4"/>
  <c r="G4028" i="4"/>
  <c r="G4032" i="4"/>
  <c r="G4036" i="4"/>
  <c r="G4040" i="4"/>
  <c r="G4044" i="4"/>
  <c r="G4048" i="4"/>
  <c r="G4052" i="4"/>
  <c r="G4056" i="4"/>
  <c r="G4060" i="4"/>
  <c r="G4064" i="4"/>
  <c r="G4068" i="4"/>
  <c r="G4072" i="4"/>
  <c r="G4076" i="4"/>
  <c r="G4080" i="4"/>
  <c r="G4084" i="4"/>
  <c r="G4088" i="4"/>
  <c r="G4092" i="4"/>
  <c r="G4096" i="4"/>
  <c r="G4100" i="4"/>
  <c r="G4104" i="4"/>
  <c r="G4108" i="4"/>
  <c r="G4112" i="4"/>
  <c r="G4116" i="4"/>
  <c r="G4120" i="4"/>
  <c r="G4124" i="4"/>
  <c r="G4128" i="4"/>
  <c r="G4132" i="4"/>
  <c r="G4136" i="4"/>
  <c r="G4140" i="4"/>
  <c r="G4144" i="4"/>
  <c r="G4148" i="4"/>
  <c r="G4152" i="4"/>
  <c r="G4156" i="4"/>
  <c r="G4160" i="4"/>
  <c r="G4164" i="4"/>
  <c r="G4168" i="4"/>
  <c r="G4172" i="4"/>
  <c r="G4176" i="4"/>
  <c r="G4180" i="4"/>
  <c r="G4184" i="4"/>
  <c r="G4188" i="4"/>
  <c r="G4192" i="4"/>
  <c r="G4196" i="4"/>
  <c r="G4200" i="4"/>
  <c r="G4204" i="4"/>
  <c r="G4208" i="4"/>
  <c r="G4212" i="4"/>
  <c r="G4216" i="4"/>
  <c r="G4220" i="4"/>
  <c r="G4224" i="4"/>
  <c r="G4228" i="4"/>
  <c r="G4232" i="4"/>
  <c r="G4236" i="4"/>
  <c r="G4240" i="4"/>
  <c r="G4244" i="4"/>
  <c r="G4248" i="4"/>
  <c r="G4252" i="4"/>
  <c r="G4256" i="4"/>
  <c r="G4260" i="4"/>
  <c r="G4264" i="4"/>
  <c r="G4268" i="4"/>
  <c r="G4272" i="4"/>
  <c r="G4276" i="4"/>
  <c r="G4280" i="4"/>
  <c r="G4284" i="4"/>
  <c r="G4288" i="4"/>
  <c r="G4292" i="4"/>
  <c r="G4296" i="4"/>
  <c r="G4300" i="4"/>
  <c r="G4304" i="4"/>
  <c r="G4308" i="4"/>
  <c r="G4312" i="4"/>
  <c r="G4316" i="4"/>
  <c r="G4320" i="4"/>
  <c r="G4324" i="4"/>
  <c r="G4328" i="4"/>
  <c r="G4332" i="4"/>
  <c r="G4336" i="4"/>
  <c r="G4340" i="4"/>
  <c r="G4344" i="4"/>
  <c r="G4348" i="4"/>
  <c r="G4352" i="4"/>
  <c r="G4356" i="4"/>
  <c r="G4360" i="4"/>
  <c r="G4364" i="4"/>
  <c r="G4368" i="4"/>
  <c r="G4372" i="4"/>
  <c r="G4376" i="4"/>
  <c r="G4380" i="4"/>
  <c r="G4384" i="4"/>
  <c r="G4388" i="4"/>
  <c r="G4392" i="4"/>
  <c r="G4396" i="4"/>
  <c r="G4400" i="4"/>
  <c r="G4404" i="4"/>
  <c r="G4408" i="4"/>
  <c r="G4412" i="4"/>
  <c r="G4416" i="4"/>
  <c r="G4420" i="4"/>
  <c r="G4424" i="4"/>
  <c r="G4428" i="4"/>
  <c r="G4432" i="4"/>
  <c r="G4436" i="4"/>
  <c r="G4440" i="4"/>
  <c r="G4444" i="4"/>
  <c r="G4448" i="4"/>
  <c r="G4452" i="4"/>
  <c r="G4456" i="4"/>
  <c r="G4460" i="4"/>
  <c r="G4464" i="4"/>
  <c r="G4468" i="4"/>
  <c r="G4472" i="4"/>
  <c r="G4476" i="4"/>
  <c r="G4480" i="4"/>
  <c r="G4484" i="4"/>
  <c r="G4488" i="4"/>
  <c r="G4492" i="4"/>
  <c r="G4496" i="4"/>
  <c r="G4500" i="4"/>
  <c r="G4504" i="4"/>
  <c r="G4508" i="4"/>
  <c r="G4512" i="4"/>
  <c r="G4516" i="4"/>
  <c r="G4520" i="4"/>
  <c r="G4524" i="4"/>
  <c r="G4528" i="4"/>
  <c r="G4532" i="4"/>
  <c r="G4536" i="4"/>
  <c r="G4540" i="4"/>
  <c r="G4544" i="4"/>
  <c r="G4548" i="4"/>
  <c r="G4552" i="4"/>
  <c r="G4556" i="4"/>
  <c r="G4560" i="4"/>
  <c r="G4564" i="4"/>
  <c r="G4568" i="4"/>
  <c r="G4572" i="4"/>
  <c r="G4576" i="4"/>
  <c r="G4580" i="4"/>
  <c r="G4584" i="4"/>
  <c r="G4588" i="4"/>
  <c r="G4592" i="4"/>
  <c r="G4596" i="4"/>
  <c r="G4600" i="4"/>
  <c r="G4604" i="4"/>
  <c r="G4608" i="4"/>
  <c r="G4612" i="4"/>
  <c r="G4616" i="4"/>
  <c r="G4620" i="4"/>
  <c r="G4624" i="4"/>
  <c r="G4628" i="4"/>
  <c r="G4632" i="4"/>
  <c r="G4636" i="4"/>
  <c r="G4640" i="4"/>
  <c r="G4644" i="4"/>
  <c r="G4648" i="4"/>
  <c r="G4652" i="4"/>
  <c r="G4656" i="4"/>
  <c r="G4660" i="4"/>
  <c r="G4664" i="4"/>
  <c r="G4668" i="4"/>
  <c r="G4672" i="4"/>
  <c r="G4676" i="4"/>
  <c r="G4680" i="4"/>
  <c r="G4684" i="4"/>
  <c r="G4688" i="4"/>
  <c r="G4692" i="4"/>
  <c r="G4696" i="4"/>
  <c r="G4700" i="4"/>
  <c r="G4704" i="4"/>
  <c r="G4708" i="4"/>
  <c r="G4712" i="4"/>
  <c r="G4716" i="4"/>
  <c r="G4720" i="4"/>
  <c r="G4724" i="4"/>
  <c r="G4728" i="4"/>
  <c r="G4732" i="4"/>
  <c r="G4736" i="4"/>
  <c r="G4740" i="4"/>
  <c r="G4744" i="4"/>
  <c r="G4748" i="4"/>
  <c r="G4752" i="4"/>
  <c r="G4756" i="4"/>
  <c r="G4760" i="4"/>
  <c r="G4764" i="4"/>
  <c r="G4768" i="4"/>
  <c r="G4772" i="4"/>
  <c r="G4776" i="4"/>
  <c r="G4780" i="4"/>
  <c r="G4784" i="4"/>
  <c r="G4788" i="4"/>
  <c r="G4792" i="4"/>
  <c r="G4796" i="4"/>
  <c r="G4800" i="4"/>
  <c r="G4804" i="4"/>
  <c r="G4808" i="4"/>
  <c r="G4812" i="4"/>
  <c r="G4816" i="4"/>
  <c r="G4820" i="4"/>
  <c r="G4824" i="4"/>
  <c r="G4828" i="4"/>
  <c r="G4832" i="4"/>
  <c r="G4836" i="4"/>
  <c r="G4840" i="4"/>
  <c r="G4844" i="4"/>
  <c r="G4848" i="4"/>
  <c r="G4852" i="4"/>
  <c r="G4856" i="4"/>
  <c r="G4860" i="4"/>
  <c r="G4864" i="4"/>
  <c r="G4868" i="4"/>
  <c r="G4872" i="4"/>
  <c r="G4876" i="4"/>
  <c r="G4880" i="4"/>
  <c r="G4884" i="4"/>
  <c r="G4888" i="4"/>
  <c r="G4892" i="4"/>
  <c r="G4896" i="4"/>
  <c r="G4900" i="4"/>
  <c r="G4904" i="4"/>
  <c r="G4908" i="4"/>
  <c r="G4912" i="4"/>
  <c r="G4916" i="4"/>
  <c r="G4920" i="4"/>
  <c r="G4924" i="4"/>
  <c r="G4928" i="4"/>
  <c r="G4932" i="4"/>
  <c r="G4936" i="4"/>
  <c r="G4940" i="4"/>
  <c r="G4944" i="4"/>
  <c r="G4948" i="4"/>
  <c r="G4952" i="4"/>
  <c r="G4956" i="4"/>
  <c r="G4960" i="4"/>
  <c r="G4964" i="4"/>
  <c r="G4968" i="4"/>
  <c r="G4972" i="4"/>
  <c r="G4976" i="4"/>
  <c r="G4980" i="4"/>
  <c r="G4984" i="4"/>
  <c r="G4988" i="4"/>
  <c r="G4992" i="4"/>
  <c r="G4996" i="4"/>
  <c r="G5000" i="4"/>
  <c r="G5004" i="4"/>
  <c r="G5008" i="4"/>
  <c r="G4623" i="4"/>
  <c r="G4667" i="4"/>
  <c r="G4683" i="4"/>
  <c r="G4699" i="4"/>
  <c r="G4715" i="4"/>
  <c r="G4731" i="4"/>
  <c r="G4747" i="4"/>
  <c r="G4763" i="4"/>
  <c r="G4779" i="4"/>
  <c r="G4795" i="4"/>
  <c r="G4811" i="4"/>
  <c r="G4827" i="4"/>
  <c r="G4839" i="4"/>
  <c r="G4859" i="4"/>
  <c r="G4875" i="4"/>
  <c r="G4887" i="4"/>
  <c r="G4903" i="4"/>
  <c r="G4919" i="4"/>
  <c r="G4935" i="4"/>
  <c r="G4951" i="4"/>
  <c r="G4963" i="4"/>
  <c r="G4979" i="4"/>
  <c r="G4991" i="4"/>
  <c r="G5003" i="4"/>
  <c r="U10" i="4"/>
  <c r="U14" i="4"/>
  <c r="U18" i="4"/>
  <c r="U22" i="4"/>
  <c r="U26" i="4"/>
  <c r="U30" i="4"/>
  <c r="U34" i="4"/>
  <c r="U38" i="4"/>
  <c r="U42" i="4"/>
  <c r="U46" i="4"/>
  <c r="U50" i="4"/>
  <c r="U54" i="4"/>
  <c r="U58" i="4"/>
  <c r="U62" i="4"/>
  <c r="U66" i="4"/>
  <c r="U70" i="4"/>
  <c r="U74" i="4"/>
  <c r="U78" i="4"/>
  <c r="U82" i="4"/>
  <c r="U86" i="4"/>
  <c r="U90" i="4"/>
  <c r="U94" i="4"/>
  <c r="U98" i="4"/>
  <c r="U102" i="4"/>
  <c r="U106" i="4"/>
  <c r="U110" i="4"/>
  <c r="U114" i="4"/>
  <c r="U118" i="4"/>
  <c r="U122" i="4"/>
  <c r="U126" i="4"/>
  <c r="U130" i="4"/>
  <c r="U134" i="4"/>
  <c r="U138" i="4"/>
  <c r="U142" i="4"/>
  <c r="U146" i="4"/>
  <c r="U150" i="4"/>
  <c r="U154" i="4"/>
  <c r="U158" i="4"/>
  <c r="U162" i="4"/>
  <c r="U166" i="4"/>
  <c r="U170" i="4"/>
  <c r="U174" i="4"/>
  <c r="U178" i="4"/>
  <c r="U182" i="4"/>
  <c r="U186" i="4"/>
  <c r="U190" i="4"/>
  <c r="U194" i="4"/>
  <c r="U198" i="4"/>
  <c r="U202" i="4"/>
  <c r="U206" i="4"/>
  <c r="U210" i="4"/>
  <c r="U214" i="4"/>
  <c r="U218" i="4"/>
  <c r="U222" i="4"/>
  <c r="U226" i="4"/>
  <c r="U230" i="4"/>
  <c r="U234" i="4"/>
  <c r="U238" i="4"/>
  <c r="U242" i="4"/>
  <c r="U246" i="4"/>
  <c r="U250" i="4"/>
  <c r="U254" i="4"/>
  <c r="U258" i="4"/>
  <c r="U262" i="4"/>
  <c r="U266" i="4"/>
  <c r="U270" i="4"/>
  <c r="U274" i="4"/>
  <c r="U278" i="4"/>
  <c r="U282" i="4"/>
  <c r="U286" i="4"/>
  <c r="U290" i="4"/>
  <c r="U294" i="4"/>
  <c r="U298" i="4"/>
  <c r="U302" i="4"/>
  <c r="U306" i="4"/>
  <c r="U310" i="4"/>
  <c r="U314" i="4"/>
  <c r="U318" i="4"/>
  <c r="U322" i="4"/>
  <c r="U326" i="4"/>
  <c r="U330" i="4"/>
  <c r="U334" i="4"/>
  <c r="U338" i="4"/>
  <c r="U342" i="4"/>
  <c r="U346" i="4"/>
  <c r="U11" i="4"/>
  <c r="U15" i="4"/>
  <c r="U19" i="4"/>
  <c r="U23" i="4"/>
  <c r="U27" i="4"/>
  <c r="U31" i="4"/>
  <c r="U35" i="4"/>
  <c r="U39" i="4"/>
  <c r="U43" i="4"/>
  <c r="U47" i="4"/>
  <c r="U51" i="4"/>
  <c r="U55" i="4"/>
  <c r="U59" i="4"/>
  <c r="U63" i="4"/>
  <c r="U67" i="4"/>
  <c r="U71" i="4"/>
  <c r="U75" i="4"/>
  <c r="U79" i="4"/>
  <c r="U83" i="4"/>
  <c r="U87" i="4"/>
  <c r="U91" i="4"/>
  <c r="U95" i="4"/>
  <c r="U99" i="4"/>
  <c r="U103" i="4"/>
  <c r="U107" i="4"/>
  <c r="U111" i="4"/>
  <c r="U115" i="4"/>
  <c r="U119" i="4"/>
  <c r="U123" i="4"/>
  <c r="U127" i="4"/>
  <c r="U131" i="4"/>
  <c r="U135" i="4"/>
  <c r="U139" i="4"/>
  <c r="U143" i="4"/>
  <c r="U147" i="4"/>
  <c r="U151" i="4"/>
  <c r="U155" i="4"/>
  <c r="U159" i="4"/>
  <c r="U163" i="4"/>
  <c r="U167" i="4"/>
  <c r="U171" i="4"/>
  <c r="U175" i="4"/>
  <c r="U179" i="4"/>
  <c r="U183" i="4"/>
  <c r="U187" i="4"/>
  <c r="U191" i="4"/>
  <c r="U195" i="4"/>
  <c r="U199" i="4"/>
  <c r="U203" i="4"/>
  <c r="U207" i="4"/>
  <c r="U211" i="4"/>
  <c r="U215" i="4"/>
  <c r="U219" i="4"/>
  <c r="U223" i="4"/>
  <c r="U227" i="4"/>
  <c r="U231" i="4"/>
  <c r="U235" i="4"/>
  <c r="U239" i="4"/>
  <c r="U243" i="4"/>
  <c r="U247" i="4"/>
  <c r="U251" i="4"/>
  <c r="U255" i="4"/>
  <c r="U259" i="4"/>
  <c r="U263" i="4"/>
  <c r="U267" i="4"/>
  <c r="U271" i="4"/>
  <c r="U275" i="4"/>
  <c r="U279" i="4"/>
  <c r="U283" i="4"/>
  <c r="U287" i="4"/>
  <c r="U291" i="4"/>
  <c r="U295" i="4"/>
  <c r="U299" i="4"/>
  <c r="U303" i="4"/>
  <c r="U307" i="4"/>
  <c r="U311" i="4"/>
  <c r="U315" i="4"/>
  <c r="U319" i="4"/>
  <c r="U323" i="4"/>
  <c r="U327" i="4"/>
  <c r="U331" i="4"/>
  <c r="U335" i="4"/>
  <c r="U339" i="4"/>
  <c r="U343" i="4"/>
  <c r="U347" i="4"/>
  <c r="U12" i="4"/>
  <c r="U16" i="4"/>
  <c r="U20" i="4"/>
  <c r="U24" i="4"/>
  <c r="U28" i="4"/>
  <c r="U32" i="4"/>
  <c r="U36" i="4"/>
  <c r="U40" i="4"/>
  <c r="U44" i="4"/>
  <c r="U48" i="4"/>
  <c r="U52" i="4"/>
  <c r="U56" i="4"/>
  <c r="U60" i="4"/>
  <c r="U64" i="4"/>
  <c r="U68" i="4"/>
  <c r="U72" i="4"/>
  <c r="U76" i="4"/>
  <c r="U80" i="4"/>
  <c r="U84" i="4"/>
  <c r="U88" i="4"/>
  <c r="U92" i="4"/>
  <c r="U96" i="4"/>
  <c r="U100" i="4"/>
  <c r="U104" i="4"/>
  <c r="U108" i="4"/>
  <c r="U112" i="4"/>
  <c r="U116" i="4"/>
  <c r="U120" i="4"/>
  <c r="U124" i="4"/>
  <c r="U128" i="4"/>
  <c r="U132" i="4"/>
  <c r="U136" i="4"/>
  <c r="U140" i="4"/>
  <c r="U144" i="4"/>
  <c r="U148" i="4"/>
  <c r="U152" i="4"/>
  <c r="U156" i="4"/>
  <c r="U160" i="4"/>
  <c r="U164" i="4"/>
  <c r="U168" i="4"/>
  <c r="U172" i="4"/>
  <c r="U176" i="4"/>
  <c r="U180" i="4"/>
  <c r="U184" i="4"/>
  <c r="U188" i="4"/>
  <c r="U192" i="4"/>
  <c r="U196" i="4"/>
  <c r="U200" i="4"/>
  <c r="U204" i="4"/>
  <c r="U208" i="4"/>
  <c r="U212" i="4"/>
  <c r="U216" i="4"/>
  <c r="U220" i="4"/>
  <c r="U224" i="4"/>
  <c r="U228" i="4"/>
  <c r="U232" i="4"/>
  <c r="U236" i="4"/>
  <c r="U240" i="4"/>
  <c r="U244" i="4"/>
  <c r="U248" i="4"/>
  <c r="U252" i="4"/>
  <c r="U256" i="4"/>
  <c r="U260" i="4"/>
  <c r="U264" i="4"/>
  <c r="U268" i="4"/>
  <c r="U272" i="4"/>
  <c r="U276" i="4"/>
  <c r="U280" i="4"/>
  <c r="U284" i="4"/>
  <c r="U288" i="4"/>
  <c r="U292" i="4"/>
  <c r="U296" i="4"/>
  <c r="U300" i="4"/>
  <c r="U304" i="4"/>
  <c r="U308" i="4"/>
  <c r="U312" i="4"/>
  <c r="U316" i="4"/>
  <c r="U320" i="4"/>
  <c r="U324" i="4"/>
  <c r="U328" i="4"/>
  <c r="U332" i="4"/>
  <c r="U336" i="4"/>
  <c r="U340" i="4"/>
  <c r="U344" i="4"/>
  <c r="U348" i="4"/>
  <c r="U13" i="4"/>
  <c r="U29" i="4"/>
  <c r="U45" i="4"/>
  <c r="U61" i="4"/>
  <c r="U77" i="4"/>
  <c r="U93" i="4"/>
  <c r="U109" i="4"/>
  <c r="U125" i="4"/>
  <c r="U141" i="4"/>
  <c r="U157" i="4"/>
  <c r="U173" i="4"/>
  <c r="U189" i="4"/>
  <c r="U205" i="4"/>
  <c r="U221" i="4"/>
  <c r="U237" i="4"/>
  <c r="U253" i="4"/>
  <c r="U269" i="4"/>
  <c r="U285" i="4"/>
  <c r="U301" i="4"/>
  <c r="U317" i="4"/>
  <c r="U333" i="4"/>
  <c r="U349" i="4"/>
  <c r="U353" i="4"/>
  <c r="U357" i="4"/>
  <c r="U361" i="4"/>
  <c r="U365" i="4"/>
  <c r="U369" i="4"/>
  <c r="U373" i="4"/>
  <c r="U377" i="4"/>
  <c r="U381" i="4"/>
  <c r="U385" i="4"/>
  <c r="U389" i="4"/>
  <c r="U393" i="4"/>
  <c r="U397" i="4"/>
  <c r="U401" i="4"/>
  <c r="U405" i="4"/>
  <c r="U409" i="4"/>
  <c r="U413" i="4"/>
  <c r="U417" i="4"/>
  <c r="U421" i="4"/>
  <c r="U425" i="4"/>
  <c r="U429" i="4"/>
  <c r="U433" i="4"/>
  <c r="U437" i="4"/>
  <c r="U441" i="4"/>
  <c r="U445" i="4"/>
  <c r="U449" i="4"/>
  <c r="U453" i="4"/>
  <c r="U457" i="4"/>
  <c r="U461" i="4"/>
  <c r="U465" i="4"/>
  <c r="U469" i="4"/>
  <c r="U473" i="4"/>
  <c r="U477" i="4"/>
  <c r="U481" i="4"/>
  <c r="U485" i="4"/>
  <c r="U489" i="4"/>
  <c r="U493" i="4"/>
  <c r="U497" i="4"/>
  <c r="U501" i="4"/>
  <c r="U505" i="4"/>
  <c r="U509" i="4"/>
  <c r="U513" i="4"/>
  <c r="U517" i="4"/>
  <c r="U521" i="4"/>
  <c r="U525" i="4"/>
  <c r="U529" i="4"/>
  <c r="U533" i="4"/>
  <c r="U537" i="4"/>
  <c r="U541" i="4"/>
  <c r="U545" i="4"/>
  <c r="U549" i="4"/>
  <c r="U17" i="4"/>
  <c r="U33" i="4"/>
  <c r="U49" i="4"/>
  <c r="U65" i="4"/>
  <c r="U81" i="4"/>
  <c r="U97" i="4"/>
  <c r="U113" i="4"/>
  <c r="U129" i="4"/>
  <c r="U145" i="4"/>
  <c r="U161" i="4"/>
  <c r="U177" i="4"/>
  <c r="U193" i="4"/>
  <c r="U209" i="4"/>
  <c r="U225" i="4"/>
  <c r="U241" i="4"/>
  <c r="U257" i="4"/>
  <c r="U273" i="4"/>
  <c r="U289" i="4"/>
  <c r="U305" i="4"/>
  <c r="U321" i="4"/>
  <c r="U337" i="4"/>
  <c r="U350" i="4"/>
  <c r="U354" i="4"/>
  <c r="U358" i="4"/>
  <c r="U362" i="4"/>
  <c r="U366" i="4"/>
  <c r="U370" i="4"/>
  <c r="U374" i="4"/>
  <c r="U378" i="4"/>
  <c r="U382" i="4"/>
  <c r="U386" i="4"/>
  <c r="U390" i="4"/>
  <c r="U394" i="4"/>
  <c r="U398" i="4"/>
  <c r="U402" i="4"/>
  <c r="U406" i="4"/>
  <c r="U410" i="4"/>
  <c r="U414" i="4"/>
  <c r="U418" i="4"/>
  <c r="U422" i="4"/>
  <c r="U426" i="4"/>
  <c r="U430" i="4"/>
  <c r="U434" i="4"/>
  <c r="U438" i="4"/>
  <c r="U442" i="4"/>
  <c r="U446" i="4"/>
  <c r="U450" i="4"/>
  <c r="U454" i="4"/>
  <c r="U458" i="4"/>
  <c r="U462" i="4"/>
  <c r="U466" i="4"/>
  <c r="U470" i="4"/>
  <c r="U474" i="4"/>
  <c r="U478" i="4"/>
  <c r="U482" i="4"/>
  <c r="U486" i="4"/>
  <c r="U490" i="4"/>
  <c r="U494" i="4"/>
  <c r="U498" i="4"/>
  <c r="U502" i="4"/>
  <c r="U506" i="4"/>
  <c r="U510" i="4"/>
  <c r="U514" i="4"/>
  <c r="U518" i="4"/>
  <c r="U522" i="4"/>
  <c r="U526" i="4"/>
  <c r="U530" i="4"/>
  <c r="U534" i="4"/>
  <c r="U538" i="4"/>
  <c r="U542" i="4"/>
  <c r="U546" i="4"/>
  <c r="U550" i="4"/>
  <c r="U554" i="4"/>
  <c r="U558" i="4"/>
  <c r="U562" i="4"/>
  <c r="U566" i="4"/>
  <c r="U570" i="4"/>
  <c r="U574" i="4"/>
  <c r="U578" i="4"/>
  <c r="U582" i="4"/>
  <c r="U586" i="4"/>
  <c r="U590" i="4"/>
  <c r="U594" i="4"/>
  <c r="U598" i="4"/>
  <c r="U602" i="4"/>
  <c r="U21" i="4"/>
  <c r="U37" i="4"/>
  <c r="U53" i="4"/>
  <c r="U69" i="4"/>
  <c r="U85" i="4"/>
  <c r="U101" i="4"/>
  <c r="U117" i="4"/>
  <c r="U133" i="4"/>
  <c r="U149" i="4"/>
  <c r="U165" i="4"/>
  <c r="U181" i="4"/>
  <c r="U197" i="4"/>
  <c r="U213" i="4"/>
  <c r="U229" i="4"/>
  <c r="U245" i="4"/>
  <c r="U261" i="4"/>
  <c r="U277" i="4"/>
  <c r="U293" i="4"/>
  <c r="U309" i="4"/>
  <c r="U325" i="4"/>
  <c r="U341" i="4"/>
  <c r="U351" i="4"/>
  <c r="U355" i="4"/>
  <c r="U359" i="4"/>
  <c r="U363" i="4"/>
  <c r="U367" i="4"/>
  <c r="U371" i="4"/>
  <c r="U375" i="4"/>
  <c r="U379" i="4"/>
  <c r="U383" i="4"/>
  <c r="U387" i="4"/>
  <c r="U391" i="4"/>
  <c r="U395" i="4"/>
  <c r="U399" i="4"/>
  <c r="U403" i="4"/>
  <c r="U407" i="4"/>
  <c r="U411" i="4"/>
  <c r="U415" i="4"/>
  <c r="U419" i="4"/>
  <c r="U423" i="4"/>
  <c r="U427" i="4"/>
  <c r="U431" i="4"/>
  <c r="U435" i="4"/>
  <c r="U439" i="4"/>
  <c r="U443" i="4"/>
  <c r="U447" i="4"/>
  <c r="U451" i="4"/>
  <c r="U455" i="4"/>
  <c r="U459" i="4"/>
  <c r="U463" i="4"/>
  <c r="U467" i="4"/>
  <c r="U471" i="4"/>
  <c r="U475" i="4"/>
  <c r="U479" i="4"/>
  <c r="U483" i="4"/>
  <c r="U487" i="4"/>
  <c r="U491" i="4"/>
  <c r="U495" i="4"/>
  <c r="U499" i="4"/>
  <c r="U503" i="4"/>
  <c r="U507" i="4"/>
  <c r="U511" i="4"/>
  <c r="U515" i="4"/>
  <c r="U519" i="4"/>
  <c r="U523" i="4"/>
  <c r="U527" i="4"/>
  <c r="U531" i="4"/>
  <c r="U535" i="4"/>
  <c r="U539" i="4"/>
  <c r="U543" i="4"/>
  <c r="U547" i="4"/>
  <c r="U551" i="4"/>
  <c r="U555" i="4"/>
  <c r="U559" i="4"/>
  <c r="U563" i="4"/>
  <c r="U567" i="4"/>
  <c r="U571" i="4"/>
  <c r="U575" i="4"/>
  <c r="U579" i="4"/>
  <c r="U583" i="4"/>
  <c r="U587" i="4"/>
  <c r="U591" i="4"/>
  <c r="U595" i="4"/>
  <c r="U599" i="4"/>
  <c r="U603" i="4"/>
  <c r="U25" i="4"/>
  <c r="U89" i="4"/>
  <c r="U153" i="4"/>
  <c r="U217" i="4"/>
  <c r="U281" i="4"/>
  <c r="U345" i="4"/>
  <c r="U364" i="4"/>
  <c r="U380" i="4"/>
  <c r="U396" i="4"/>
  <c r="U412" i="4"/>
  <c r="U428" i="4"/>
  <c r="U444" i="4"/>
  <c r="U460" i="4"/>
  <c r="U476" i="4"/>
  <c r="U492" i="4"/>
  <c r="U508" i="4"/>
  <c r="U524" i="4"/>
  <c r="U540" i="4"/>
  <c r="U553" i="4"/>
  <c r="U561" i="4"/>
  <c r="U569" i="4"/>
  <c r="U577" i="4"/>
  <c r="U585" i="4"/>
  <c r="U593" i="4"/>
  <c r="U601" i="4"/>
  <c r="U607" i="4"/>
  <c r="U611" i="4"/>
  <c r="U615" i="4"/>
  <c r="U619" i="4"/>
  <c r="U623" i="4"/>
  <c r="U627" i="4"/>
  <c r="U631" i="4"/>
  <c r="U635" i="4"/>
  <c r="U639" i="4"/>
  <c r="U643" i="4"/>
  <c r="U647" i="4"/>
  <c r="U651" i="4"/>
  <c r="U655" i="4"/>
  <c r="U659" i="4"/>
  <c r="U663" i="4"/>
  <c r="U667" i="4"/>
  <c r="U671" i="4"/>
  <c r="U675" i="4"/>
  <c r="U679" i="4"/>
  <c r="U683" i="4"/>
  <c r="U687" i="4"/>
  <c r="U691" i="4"/>
  <c r="U695" i="4"/>
  <c r="U699" i="4"/>
  <c r="U703" i="4"/>
  <c r="U707" i="4"/>
  <c r="U711" i="4"/>
  <c r="U715" i="4"/>
  <c r="U719" i="4"/>
  <c r="U723" i="4"/>
  <c r="U727" i="4"/>
  <c r="U731" i="4"/>
  <c r="U735" i="4"/>
  <c r="U739" i="4"/>
  <c r="U743" i="4"/>
  <c r="U747" i="4"/>
  <c r="U751" i="4"/>
  <c r="U755" i="4"/>
  <c r="U759" i="4"/>
  <c r="U763" i="4"/>
  <c r="U767" i="4"/>
  <c r="U771" i="4"/>
  <c r="U41" i="4"/>
  <c r="U105" i="4"/>
  <c r="U169" i="4"/>
  <c r="U233" i="4"/>
  <c r="U297" i="4"/>
  <c r="U352" i="4"/>
  <c r="U368" i="4"/>
  <c r="U384" i="4"/>
  <c r="U400" i="4"/>
  <c r="U416" i="4"/>
  <c r="U432" i="4"/>
  <c r="U448" i="4"/>
  <c r="U464" i="4"/>
  <c r="U480" i="4"/>
  <c r="U496" i="4"/>
  <c r="U512" i="4"/>
  <c r="U528" i="4"/>
  <c r="U544" i="4"/>
  <c r="U556" i="4"/>
  <c r="U564" i="4"/>
  <c r="U572" i="4"/>
  <c r="U580" i="4"/>
  <c r="U588" i="4"/>
  <c r="U596" i="4"/>
  <c r="U604" i="4"/>
  <c r="U608" i="4"/>
  <c r="U612" i="4"/>
  <c r="U616" i="4"/>
  <c r="U620" i="4"/>
  <c r="U624" i="4"/>
  <c r="U628" i="4"/>
  <c r="U632" i="4"/>
  <c r="U636" i="4"/>
  <c r="U640" i="4"/>
  <c r="U644" i="4"/>
  <c r="U648" i="4"/>
  <c r="U652" i="4"/>
  <c r="U656" i="4"/>
  <c r="U660" i="4"/>
  <c r="U664" i="4"/>
  <c r="U668" i="4"/>
  <c r="U672" i="4"/>
  <c r="U676" i="4"/>
  <c r="U680" i="4"/>
  <c r="U684" i="4"/>
  <c r="U688" i="4"/>
  <c r="U692" i="4"/>
  <c r="U696" i="4"/>
  <c r="U700" i="4"/>
  <c r="U704" i="4"/>
  <c r="U708" i="4"/>
  <c r="U712" i="4"/>
  <c r="U716" i="4"/>
  <c r="U720" i="4"/>
  <c r="U724" i="4"/>
  <c r="U728" i="4"/>
  <c r="U732" i="4"/>
  <c r="U736" i="4"/>
  <c r="U740" i="4"/>
  <c r="U744" i="4"/>
  <c r="U748" i="4"/>
  <c r="U752" i="4"/>
  <c r="U756" i="4"/>
  <c r="U760" i="4"/>
  <c r="U764" i="4"/>
  <c r="U768" i="4"/>
  <c r="U772" i="4"/>
  <c r="U776" i="4"/>
  <c r="U780" i="4"/>
  <c r="U784" i="4"/>
  <c r="U788" i="4"/>
  <c r="U792" i="4"/>
  <c r="U796" i="4"/>
  <c r="U800" i="4"/>
  <c r="U804" i="4"/>
  <c r="U808" i="4"/>
  <c r="U812" i="4"/>
  <c r="U816" i="4"/>
  <c r="U820" i="4"/>
  <c r="U824" i="4"/>
  <c r="U828" i="4"/>
  <c r="U832" i="4"/>
  <c r="U57" i="4"/>
  <c r="U121" i="4"/>
  <c r="U185" i="4"/>
  <c r="U249" i="4"/>
  <c r="U313" i="4"/>
  <c r="U356" i="4"/>
  <c r="U372" i="4"/>
  <c r="U388" i="4"/>
  <c r="U404" i="4"/>
  <c r="U420" i="4"/>
  <c r="U436" i="4"/>
  <c r="U452" i="4"/>
  <c r="U468" i="4"/>
  <c r="U484" i="4"/>
  <c r="U500" i="4"/>
  <c r="U516" i="4"/>
  <c r="U532" i="4"/>
  <c r="U548" i="4"/>
  <c r="U557" i="4"/>
  <c r="U565" i="4"/>
  <c r="U573" i="4"/>
  <c r="U581" i="4"/>
  <c r="U589" i="4"/>
  <c r="U597" i="4"/>
  <c r="U605" i="4"/>
  <c r="U609" i="4"/>
  <c r="U613" i="4"/>
  <c r="U617" i="4"/>
  <c r="U621" i="4"/>
  <c r="U625" i="4"/>
  <c r="U629" i="4"/>
  <c r="U633" i="4"/>
  <c r="U637" i="4"/>
  <c r="U641" i="4"/>
  <c r="U645" i="4"/>
  <c r="U649" i="4"/>
  <c r="U653" i="4"/>
  <c r="U657" i="4"/>
  <c r="U661" i="4"/>
  <c r="U665" i="4"/>
  <c r="U669" i="4"/>
  <c r="U673" i="4"/>
  <c r="U677" i="4"/>
  <c r="U681" i="4"/>
  <c r="U685" i="4"/>
  <c r="U689" i="4"/>
  <c r="U693" i="4"/>
  <c r="U697" i="4"/>
  <c r="U701" i="4"/>
  <c r="U705" i="4"/>
  <c r="U709" i="4"/>
  <c r="U713" i="4"/>
  <c r="U717" i="4"/>
  <c r="U721" i="4"/>
  <c r="U725" i="4"/>
  <c r="U729" i="4"/>
  <c r="U733" i="4"/>
  <c r="U737" i="4"/>
  <c r="U741" i="4"/>
  <c r="U745" i="4"/>
  <c r="U749" i="4"/>
  <c r="U753" i="4"/>
  <c r="U757" i="4"/>
  <c r="U761" i="4"/>
  <c r="U765" i="4"/>
  <c r="U769" i="4"/>
  <c r="U773" i="4"/>
  <c r="U777" i="4"/>
  <c r="U781" i="4"/>
  <c r="U785" i="4"/>
  <c r="U789" i="4"/>
  <c r="U793" i="4"/>
  <c r="U797" i="4"/>
  <c r="U801" i="4"/>
  <c r="U805" i="4"/>
  <c r="U809" i="4"/>
  <c r="U813" i="4"/>
  <c r="U817" i="4"/>
  <c r="U821" i="4"/>
  <c r="U825" i="4"/>
  <c r="U829" i="4"/>
  <c r="U833" i="4"/>
  <c r="U837" i="4"/>
  <c r="U841" i="4"/>
  <c r="U845" i="4"/>
  <c r="U73" i="4"/>
  <c r="U329" i="4"/>
  <c r="U408" i="4"/>
  <c r="U472" i="4"/>
  <c r="U536" i="4"/>
  <c r="U576" i="4"/>
  <c r="U606" i="4"/>
  <c r="U622" i="4"/>
  <c r="U638" i="4"/>
  <c r="U654" i="4"/>
  <c r="U670" i="4"/>
  <c r="U686" i="4"/>
  <c r="U702" i="4"/>
  <c r="U718" i="4"/>
  <c r="U734" i="4"/>
  <c r="U750" i="4"/>
  <c r="U766" i="4"/>
  <c r="U778" i="4"/>
  <c r="U786" i="4"/>
  <c r="U794" i="4"/>
  <c r="U802" i="4"/>
  <c r="U810" i="4"/>
  <c r="U818" i="4"/>
  <c r="U826" i="4"/>
  <c r="U834" i="4"/>
  <c r="U839" i="4"/>
  <c r="U844" i="4"/>
  <c r="U849" i="4"/>
  <c r="U853" i="4"/>
  <c r="U857" i="4"/>
  <c r="U861" i="4"/>
  <c r="U865" i="4"/>
  <c r="U869" i="4"/>
  <c r="U873" i="4"/>
  <c r="U877" i="4"/>
  <c r="U881" i="4"/>
  <c r="U885" i="4"/>
  <c r="U889" i="4"/>
  <c r="U893" i="4"/>
  <c r="U897" i="4"/>
  <c r="U901" i="4"/>
  <c r="U905" i="4"/>
  <c r="U909" i="4"/>
  <c r="U913" i="4"/>
  <c r="U917" i="4"/>
  <c r="U921" i="4"/>
  <c r="U925" i="4"/>
  <c r="U929" i="4"/>
  <c r="U933" i="4"/>
  <c r="U937" i="4"/>
  <c r="U941" i="4"/>
  <c r="U945" i="4"/>
  <c r="U949" i="4"/>
  <c r="U953" i="4"/>
  <c r="U957" i="4"/>
  <c r="U961" i="4"/>
  <c r="U965" i="4"/>
  <c r="U969" i="4"/>
  <c r="U973" i="4"/>
  <c r="U977" i="4"/>
  <c r="U981" i="4"/>
  <c r="U985" i="4"/>
  <c r="U989" i="4"/>
  <c r="U993" i="4"/>
  <c r="U997" i="4"/>
  <c r="U1001" i="4"/>
  <c r="U1005" i="4"/>
  <c r="U1009" i="4"/>
  <c r="U1013" i="4"/>
  <c r="U1017" i="4"/>
  <c r="U1021" i="4"/>
  <c r="U1025" i="4"/>
  <c r="U1029" i="4"/>
  <c r="U1033" i="4"/>
  <c r="U1037" i="4"/>
  <c r="U1041" i="4"/>
  <c r="U1045" i="4"/>
  <c r="U1049" i="4"/>
  <c r="U1053" i="4"/>
  <c r="U1057" i="4"/>
  <c r="U1061" i="4"/>
  <c r="U1065" i="4"/>
  <c r="U1069" i="4"/>
  <c r="U1073" i="4"/>
  <c r="U1077" i="4"/>
  <c r="U1081" i="4"/>
  <c r="U1085" i="4"/>
  <c r="U1089" i="4"/>
  <c r="U1093" i="4"/>
  <c r="U1097" i="4"/>
  <c r="U1101" i="4"/>
  <c r="U1105" i="4"/>
  <c r="U1109" i="4"/>
  <c r="U1113" i="4"/>
  <c r="U1117" i="4"/>
  <c r="U1121" i="4"/>
  <c r="U1125" i="4"/>
  <c r="U1129" i="4"/>
  <c r="U1133" i="4"/>
  <c r="U1137" i="4"/>
  <c r="U1141" i="4"/>
  <c r="U1145" i="4"/>
  <c r="U1149" i="4"/>
  <c r="U1153" i="4"/>
  <c r="U1157" i="4"/>
  <c r="U1161" i="4"/>
  <c r="U1165" i="4"/>
  <c r="U1169" i="4"/>
  <c r="U1173" i="4"/>
  <c r="U1177" i="4"/>
  <c r="U1181" i="4"/>
  <c r="U1185" i="4"/>
  <c r="U1189" i="4"/>
  <c r="U1193" i="4"/>
  <c r="U1197" i="4"/>
  <c r="U1201" i="4"/>
  <c r="U1205" i="4"/>
  <c r="U1209" i="4"/>
  <c r="U1213" i="4"/>
  <c r="U1217" i="4"/>
  <c r="U1221" i="4"/>
  <c r="U1225" i="4"/>
  <c r="U1229" i="4"/>
  <c r="U1233" i="4"/>
  <c r="U1237" i="4"/>
  <c r="U1241" i="4"/>
  <c r="U1245" i="4"/>
  <c r="U1249" i="4"/>
  <c r="U1253" i="4"/>
  <c r="U1257" i="4"/>
  <c r="U137" i="4"/>
  <c r="U360" i="4"/>
  <c r="U424" i="4"/>
  <c r="U488" i="4"/>
  <c r="U552" i="4"/>
  <c r="U584" i="4"/>
  <c r="U610" i="4"/>
  <c r="U626" i="4"/>
  <c r="U642" i="4"/>
  <c r="U658" i="4"/>
  <c r="U674" i="4"/>
  <c r="U690" i="4"/>
  <c r="U706" i="4"/>
  <c r="U722" i="4"/>
  <c r="U738" i="4"/>
  <c r="U754" i="4"/>
  <c r="U770" i="4"/>
  <c r="U779" i="4"/>
  <c r="U787" i="4"/>
  <c r="U795" i="4"/>
  <c r="U803" i="4"/>
  <c r="U811" i="4"/>
  <c r="U819" i="4"/>
  <c r="U827" i="4"/>
  <c r="U835" i="4"/>
  <c r="U840" i="4"/>
  <c r="U846" i="4"/>
  <c r="U850" i="4"/>
  <c r="U854" i="4"/>
  <c r="U858" i="4"/>
  <c r="U862" i="4"/>
  <c r="U866" i="4"/>
  <c r="U870" i="4"/>
  <c r="U874" i="4"/>
  <c r="U878" i="4"/>
  <c r="U882" i="4"/>
  <c r="U886" i="4"/>
  <c r="U890" i="4"/>
  <c r="U894" i="4"/>
  <c r="U898" i="4"/>
  <c r="U902" i="4"/>
  <c r="U906" i="4"/>
  <c r="U910" i="4"/>
  <c r="U914" i="4"/>
  <c r="U918" i="4"/>
  <c r="U922" i="4"/>
  <c r="U926" i="4"/>
  <c r="U930" i="4"/>
  <c r="U934" i="4"/>
  <c r="U938" i="4"/>
  <c r="U942" i="4"/>
  <c r="U946" i="4"/>
  <c r="U950" i="4"/>
  <c r="U954" i="4"/>
  <c r="U958" i="4"/>
  <c r="U962" i="4"/>
  <c r="U966" i="4"/>
  <c r="U970" i="4"/>
  <c r="U974" i="4"/>
  <c r="U978" i="4"/>
  <c r="U982" i="4"/>
  <c r="U986" i="4"/>
  <c r="U990" i="4"/>
  <c r="U994" i="4"/>
  <c r="U998" i="4"/>
  <c r="U1002" i="4"/>
  <c r="U1006" i="4"/>
  <c r="U1010" i="4"/>
  <c r="U1014" i="4"/>
  <c r="U1018" i="4"/>
  <c r="U1022" i="4"/>
  <c r="U1026" i="4"/>
  <c r="U1030" i="4"/>
  <c r="U1034" i="4"/>
  <c r="U1038" i="4"/>
  <c r="U1042" i="4"/>
  <c r="U1046" i="4"/>
  <c r="U1050" i="4"/>
  <c r="U1054" i="4"/>
  <c r="U1058" i="4"/>
  <c r="U1062" i="4"/>
  <c r="U1066" i="4"/>
  <c r="U1070" i="4"/>
  <c r="U1074" i="4"/>
  <c r="U1078" i="4"/>
  <c r="U1082" i="4"/>
  <c r="U1086" i="4"/>
  <c r="U1090" i="4"/>
  <c r="U1094" i="4"/>
  <c r="U1098" i="4"/>
  <c r="U1102" i="4"/>
  <c r="U1106" i="4"/>
  <c r="U1110" i="4"/>
  <c r="U1114" i="4"/>
  <c r="U1118" i="4"/>
  <c r="U1122" i="4"/>
  <c r="U1126" i="4"/>
  <c r="U1130" i="4"/>
  <c r="U1134" i="4"/>
  <c r="U1138" i="4"/>
  <c r="U1142" i="4"/>
  <c r="U1146" i="4"/>
  <c r="U1150" i="4"/>
  <c r="U1154" i="4"/>
  <c r="U1158" i="4"/>
  <c r="U1162" i="4"/>
  <c r="U1166" i="4"/>
  <c r="U1170" i="4"/>
  <c r="U1174" i="4"/>
  <c r="U1178" i="4"/>
  <c r="U1182" i="4"/>
  <c r="U1186" i="4"/>
  <c r="U1190" i="4"/>
  <c r="U1194" i="4"/>
  <c r="U1198" i="4"/>
  <c r="U1202" i="4"/>
  <c r="U1206" i="4"/>
  <c r="U1210" i="4"/>
  <c r="U1214" i="4"/>
  <c r="U1218" i="4"/>
  <c r="U1222" i="4"/>
  <c r="U1226" i="4"/>
  <c r="U1230" i="4"/>
  <c r="U1234" i="4"/>
  <c r="U1238" i="4"/>
  <c r="U1242" i="4"/>
  <c r="U1246" i="4"/>
  <c r="U1250" i="4"/>
  <c r="U1254" i="4"/>
  <c r="U1258" i="4"/>
  <c r="U1262" i="4"/>
  <c r="U1266" i="4"/>
  <c r="U1270" i="4"/>
  <c r="U201" i="4"/>
  <c r="U376" i="4"/>
  <c r="U440" i="4"/>
  <c r="U504" i="4"/>
  <c r="U560" i="4"/>
  <c r="U592" i="4"/>
  <c r="U614" i="4"/>
  <c r="U630" i="4"/>
  <c r="U646" i="4"/>
  <c r="U662" i="4"/>
  <c r="U678" i="4"/>
  <c r="U694" i="4"/>
  <c r="U710" i="4"/>
  <c r="U726" i="4"/>
  <c r="U742" i="4"/>
  <c r="U758" i="4"/>
  <c r="U774" i="4"/>
  <c r="U782" i="4"/>
  <c r="U790" i="4"/>
  <c r="U798" i="4"/>
  <c r="U806" i="4"/>
  <c r="U814" i="4"/>
  <c r="U822" i="4"/>
  <c r="U830" i="4"/>
  <c r="U836" i="4"/>
  <c r="U842" i="4"/>
  <c r="U847" i="4"/>
  <c r="U851" i="4"/>
  <c r="U855" i="4"/>
  <c r="U859" i="4"/>
  <c r="U863" i="4"/>
  <c r="U867" i="4"/>
  <c r="U871" i="4"/>
  <c r="U875" i="4"/>
  <c r="U879" i="4"/>
  <c r="U883" i="4"/>
  <c r="U887" i="4"/>
  <c r="U891" i="4"/>
  <c r="U895" i="4"/>
  <c r="U899" i="4"/>
  <c r="U903" i="4"/>
  <c r="U907" i="4"/>
  <c r="U911" i="4"/>
  <c r="U915" i="4"/>
  <c r="U919" i="4"/>
  <c r="U923" i="4"/>
  <c r="U927" i="4"/>
  <c r="U931" i="4"/>
  <c r="U935" i="4"/>
  <c r="U939" i="4"/>
  <c r="U943" i="4"/>
  <c r="U947" i="4"/>
  <c r="U951" i="4"/>
  <c r="U955" i="4"/>
  <c r="U959" i="4"/>
  <c r="U963" i="4"/>
  <c r="U967" i="4"/>
  <c r="U971" i="4"/>
  <c r="U975" i="4"/>
  <c r="U979" i="4"/>
  <c r="U983" i="4"/>
  <c r="U987" i="4"/>
  <c r="U991" i="4"/>
  <c r="U995" i="4"/>
  <c r="U999" i="4"/>
  <c r="U1003" i="4"/>
  <c r="U1007" i="4"/>
  <c r="U1011" i="4"/>
  <c r="U1015" i="4"/>
  <c r="U1019" i="4"/>
  <c r="U1023" i="4"/>
  <c r="U1027" i="4"/>
  <c r="U1031" i="4"/>
  <c r="U1035" i="4"/>
  <c r="U1039" i="4"/>
  <c r="U1043" i="4"/>
  <c r="U1047" i="4"/>
  <c r="U1051" i="4"/>
  <c r="U1055" i="4"/>
  <c r="U1059" i="4"/>
  <c r="U1063" i="4"/>
  <c r="U1067" i="4"/>
  <c r="U1071" i="4"/>
  <c r="U1075" i="4"/>
  <c r="U1079" i="4"/>
  <c r="U1083" i="4"/>
  <c r="U1087" i="4"/>
  <c r="U1091" i="4"/>
  <c r="U1095" i="4"/>
  <c r="U1099" i="4"/>
  <c r="U1103" i="4"/>
  <c r="U1107" i="4"/>
  <c r="U1111" i="4"/>
  <c r="U1115" i="4"/>
  <c r="U1119" i="4"/>
  <c r="U1123" i="4"/>
  <c r="U1127" i="4"/>
  <c r="U1131" i="4"/>
  <c r="U1135" i="4"/>
  <c r="U1139" i="4"/>
  <c r="U1143" i="4"/>
  <c r="U1147" i="4"/>
  <c r="U1151" i="4"/>
  <c r="U1155" i="4"/>
  <c r="U1159" i="4"/>
  <c r="U1163" i="4"/>
  <c r="U1167" i="4"/>
  <c r="U1171" i="4"/>
  <c r="U1175" i="4"/>
  <c r="U1179" i="4"/>
  <c r="U1183" i="4"/>
  <c r="U1187" i="4"/>
  <c r="U1191" i="4"/>
  <c r="U1195" i="4"/>
  <c r="U1199" i="4"/>
  <c r="U1203" i="4"/>
  <c r="U1207" i="4"/>
  <c r="U1211" i="4"/>
  <c r="U1215" i="4"/>
  <c r="U1219" i="4"/>
  <c r="U1223" i="4"/>
  <c r="U1227" i="4"/>
  <c r="U1231" i="4"/>
  <c r="U1235" i="4"/>
  <c r="U1239" i="4"/>
  <c r="U1243" i="4"/>
  <c r="U1247" i="4"/>
  <c r="U1251" i="4"/>
  <c r="U1255" i="4"/>
  <c r="U1259" i="4"/>
  <c r="U1263" i="4"/>
  <c r="U1267" i="4"/>
  <c r="U1271" i="4"/>
  <c r="U1275" i="4"/>
  <c r="U1279" i="4"/>
  <c r="U1283" i="4"/>
  <c r="U1287" i="4"/>
  <c r="U1291" i="4"/>
  <c r="U1295" i="4"/>
  <c r="U1299" i="4"/>
  <c r="U1303" i="4"/>
  <c r="U1307" i="4"/>
  <c r="U1311" i="4"/>
  <c r="U1315" i="4"/>
  <c r="U1319" i="4"/>
  <c r="U1323" i="4"/>
  <c r="U1327" i="4"/>
  <c r="U1331" i="4"/>
  <c r="U1335" i="4"/>
  <c r="U1339" i="4"/>
  <c r="U1343" i="4"/>
  <c r="U1347" i="4"/>
  <c r="U1351" i="4"/>
  <c r="U1355" i="4"/>
  <c r="U1359" i="4"/>
  <c r="U1363" i="4"/>
  <c r="U1367" i="4"/>
  <c r="U1371" i="4"/>
  <c r="U1375" i="4"/>
  <c r="U1379" i="4"/>
  <c r="U1383" i="4"/>
  <c r="U1387" i="4"/>
  <c r="U1391" i="4"/>
  <c r="U1395" i="4"/>
  <c r="U1399" i="4"/>
  <c r="U1403" i="4"/>
  <c r="U1407" i="4"/>
  <c r="U1411" i="4"/>
  <c r="U1415" i="4"/>
  <c r="U1419" i="4"/>
  <c r="U265" i="4"/>
  <c r="U568" i="4"/>
  <c r="U650" i="4"/>
  <c r="U714" i="4"/>
  <c r="U775" i="4"/>
  <c r="U807" i="4"/>
  <c r="U838" i="4"/>
  <c r="U856" i="4"/>
  <c r="U872" i="4"/>
  <c r="U888" i="4"/>
  <c r="U904" i="4"/>
  <c r="U920" i="4"/>
  <c r="U936" i="4"/>
  <c r="U952" i="4"/>
  <c r="U968" i="4"/>
  <c r="U984" i="4"/>
  <c r="U1000" i="4"/>
  <c r="U1016" i="4"/>
  <c r="U1032" i="4"/>
  <c r="U1048" i="4"/>
  <c r="U1064" i="4"/>
  <c r="U1080" i="4"/>
  <c r="U1096" i="4"/>
  <c r="U1112" i="4"/>
  <c r="U1128" i="4"/>
  <c r="U1144" i="4"/>
  <c r="U1160" i="4"/>
  <c r="U1176" i="4"/>
  <c r="U1192" i="4"/>
  <c r="U1208" i="4"/>
  <c r="U1224" i="4"/>
  <c r="U1240" i="4"/>
  <c r="U1256" i="4"/>
  <c r="U1265" i="4"/>
  <c r="U1273" i="4"/>
  <c r="U1278" i="4"/>
  <c r="U1284" i="4"/>
  <c r="U1289" i="4"/>
  <c r="U1294" i="4"/>
  <c r="U1300" i="4"/>
  <c r="U1305" i="4"/>
  <c r="U1310" i="4"/>
  <c r="U1316" i="4"/>
  <c r="U1321" i="4"/>
  <c r="U1326" i="4"/>
  <c r="U1332" i="4"/>
  <c r="U1337" i="4"/>
  <c r="U1342" i="4"/>
  <c r="U1348" i="4"/>
  <c r="U1353" i="4"/>
  <c r="U1358" i="4"/>
  <c r="U1364" i="4"/>
  <c r="U1369" i="4"/>
  <c r="U1374" i="4"/>
  <c r="U1380" i="4"/>
  <c r="U1385" i="4"/>
  <c r="U1390" i="4"/>
  <c r="U1396" i="4"/>
  <c r="U1401" i="4"/>
  <c r="U1406" i="4"/>
  <c r="U1412" i="4"/>
  <c r="U1417" i="4"/>
  <c r="U1422" i="4"/>
  <c r="U1426" i="4"/>
  <c r="U1430" i="4"/>
  <c r="U1434" i="4"/>
  <c r="U1438" i="4"/>
  <c r="U1442" i="4"/>
  <c r="U1446" i="4"/>
  <c r="U1450" i="4"/>
  <c r="U1454" i="4"/>
  <c r="U1458" i="4"/>
  <c r="U1462" i="4"/>
  <c r="U1466" i="4"/>
  <c r="U1470" i="4"/>
  <c r="U1474" i="4"/>
  <c r="U1478" i="4"/>
  <c r="U1482" i="4"/>
  <c r="U1486" i="4"/>
  <c r="U1490" i="4"/>
  <c r="U1494" i="4"/>
  <c r="U1498" i="4"/>
  <c r="U1502" i="4"/>
  <c r="U1506" i="4"/>
  <c r="U1510" i="4"/>
  <c r="U1514" i="4"/>
  <c r="U1518" i="4"/>
  <c r="U1522" i="4"/>
  <c r="U1526" i="4"/>
  <c r="U1530" i="4"/>
  <c r="U1534" i="4"/>
  <c r="U1538" i="4"/>
  <c r="U1542" i="4"/>
  <c r="U1546" i="4"/>
  <c r="U1550" i="4"/>
  <c r="U1554" i="4"/>
  <c r="U1558" i="4"/>
  <c r="U1562" i="4"/>
  <c r="U1566" i="4"/>
  <c r="U1570" i="4"/>
  <c r="U1574" i="4"/>
  <c r="U1578" i="4"/>
  <c r="U1582" i="4"/>
  <c r="U1586" i="4"/>
  <c r="U1590" i="4"/>
  <c r="U1594" i="4"/>
  <c r="U1598" i="4"/>
  <c r="U1602" i="4"/>
  <c r="U1606" i="4"/>
  <c r="U1610" i="4"/>
  <c r="U1614" i="4"/>
  <c r="U1618" i="4"/>
  <c r="U1622" i="4"/>
  <c r="U1626" i="4"/>
  <c r="U1630" i="4"/>
  <c r="U1634" i="4"/>
  <c r="U1638" i="4"/>
  <c r="U1642" i="4"/>
  <c r="U1646" i="4"/>
  <c r="U1650" i="4"/>
  <c r="U1654" i="4"/>
  <c r="U1658" i="4"/>
  <c r="U1662" i="4"/>
  <c r="U1666" i="4"/>
  <c r="U1670" i="4"/>
  <c r="U1674" i="4"/>
  <c r="U1678" i="4"/>
  <c r="U1682" i="4"/>
  <c r="U1686" i="4"/>
  <c r="U1690" i="4"/>
  <c r="U1694" i="4"/>
  <c r="U1698" i="4"/>
  <c r="U1702" i="4"/>
  <c r="U1706" i="4"/>
  <c r="U1710" i="4"/>
  <c r="U1714" i="4"/>
  <c r="U1718" i="4"/>
  <c r="U1722" i="4"/>
  <c r="U1726" i="4"/>
  <c r="U1730" i="4"/>
  <c r="U1734" i="4"/>
  <c r="U1738" i="4"/>
  <c r="U1742" i="4"/>
  <c r="U1746" i="4"/>
  <c r="U1750" i="4"/>
  <c r="U1754" i="4"/>
  <c r="U1758" i="4"/>
  <c r="U1762" i="4"/>
  <c r="U1766" i="4"/>
  <c r="U1770" i="4"/>
  <c r="U1774" i="4"/>
  <c r="U1778" i="4"/>
  <c r="U1782" i="4"/>
  <c r="U1786" i="4"/>
  <c r="U1790" i="4"/>
  <c r="U1794" i="4"/>
  <c r="U1798" i="4"/>
  <c r="U1802" i="4"/>
  <c r="U1806" i="4"/>
  <c r="U1810" i="4"/>
  <c r="U1814" i="4"/>
  <c r="U1818" i="4"/>
  <c r="U1822" i="4"/>
  <c r="U1826" i="4"/>
  <c r="U1830" i="4"/>
  <c r="U1834" i="4"/>
  <c r="U1838" i="4"/>
  <c r="U1842" i="4"/>
  <c r="U1846" i="4"/>
  <c r="U1850" i="4"/>
  <c r="U392" i="4"/>
  <c r="U600" i="4"/>
  <c r="U666" i="4"/>
  <c r="U730" i="4"/>
  <c r="U783" i="4"/>
  <c r="U815" i="4"/>
  <c r="U843" i="4"/>
  <c r="U860" i="4"/>
  <c r="U876" i="4"/>
  <c r="U892" i="4"/>
  <c r="U908" i="4"/>
  <c r="U924" i="4"/>
  <c r="U940" i="4"/>
  <c r="U956" i="4"/>
  <c r="U972" i="4"/>
  <c r="U988" i="4"/>
  <c r="U1004" i="4"/>
  <c r="U1020" i="4"/>
  <c r="U1036" i="4"/>
  <c r="U1052" i="4"/>
  <c r="U1068" i="4"/>
  <c r="U1084" i="4"/>
  <c r="U1100" i="4"/>
  <c r="U1116" i="4"/>
  <c r="U1132" i="4"/>
  <c r="U1148" i="4"/>
  <c r="U1164" i="4"/>
  <c r="U1180" i="4"/>
  <c r="U1196" i="4"/>
  <c r="U1212" i="4"/>
  <c r="U1228" i="4"/>
  <c r="U1244" i="4"/>
  <c r="U1260" i="4"/>
  <c r="U1268" i="4"/>
  <c r="U1274" i="4"/>
  <c r="U1280" i="4"/>
  <c r="U1285" i="4"/>
  <c r="U1290" i="4"/>
  <c r="U1296" i="4"/>
  <c r="U1301" i="4"/>
  <c r="U1306" i="4"/>
  <c r="U1312" i="4"/>
  <c r="U1317" i="4"/>
  <c r="U1322" i="4"/>
  <c r="U1328" i="4"/>
  <c r="U1333" i="4"/>
  <c r="U1338" i="4"/>
  <c r="U1344" i="4"/>
  <c r="U1349" i="4"/>
  <c r="U1354" i="4"/>
  <c r="U1360" i="4"/>
  <c r="U1365" i="4"/>
  <c r="U1370" i="4"/>
  <c r="U1376" i="4"/>
  <c r="U1381" i="4"/>
  <c r="U1386" i="4"/>
  <c r="U1392" i="4"/>
  <c r="U1397" i="4"/>
  <c r="U1402" i="4"/>
  <c r="U1408" i="4"/>
  <c r="U1413" i="4"/>
  <c r="U1418" i="4"/>
  <c r="U1423" i="4"/>
  <c r="U1427" i="4"/>
  <c r="U1431" i="4"/>
  <c r="U1435" i="4"/>
  <c r="U1439" i="4"/>
  <c r="U1443" i="4"/>
  <c r="U1447" i="4"/>
  <c r="U1451" i="4"/>
  <c r="U1455" i="4"/>
  <c r="U1459" i="4"/>
  <c r="U1463" i="4"/>
  <c r="U1467" i="4"/>
  <c r="U1471" i="4"/>
  <c r="U1475" i="4"/>
  <c r="U1479" i="4"/>
  <c r="U1483" i="4"/>
  <c r="U1487" i="4"/>
  <c r="U1491" i="4"/>
  <c r="U1495" i="4"/>
  <c r="U1499" i="4"/>
  <c r="U1503" i="4"/>
  <c r="U1507" i="4"/>
  <c r="U1511" i="4"/>
  <c r="U1515" i="4"/>
  <c r="U1519" i="4"/>
  <c r="U1523" i="4"/>
  <c r="U1527" i="4"/>
  <c r="U1531" i="4"/>
  <c r="U1535" i="4"/>
  <c r="U1539" i="4"/>
  <c r="U1543" i="4"/>
  <c r="U1547" i="4"/>
  <c r="U1551" i="4"/>
  <c r="U1555" i="4"/>
  <c r="U1559" i="4"/>
  <c r="U1563" i="4"/>
  <c r="U1567" i="4"/>
  <c r="U1571" i="4"/>
  <c r="U1575" i="4"/>
  <c r="U1579" i="4"/>
  <c r="U1583" i="4"/>
  <c r="U1587" i="4"/>
  <c r="U1591" i="4"/>
  <c r="U1595" i="4"/>
  <c r="U1599" i="4"/>
  <c r="U1603" i="4"/>
  <c r="U1607" i="4"/>
  <c r="U1611" i="4"/>
  <c r="U1615" i="4"/>
  <c r="U1619" i="4"/>
  <c r="U1623" i="4"/>
  <c r="U1627" i="4"/>
  <c r="U1631" i="4"/>
  <c r="U1635" i="4"/>
  <c r="U1639" i="4"/>
  <c r="U1643" i="4"/>
  <c r="U1647" i="4"/>
  <c r="U1651" i="4"/>
  <c r="U1655" i="4"/>
  <c r="U1659" i="4"/>
  <c r="U1663" i="4"/>
  <c r="U1667" i="4"/>
  <c r="U1671" i="4"/>
  <c r="U1675" i="4"/>
  <c r="U1679" i="4"/>
  <c r="U1683" i="4"/>
  <c r="U1687" i="4"/>
  <c r="U1691" i="4"/>
  <c r="U1695" i="4"/>
  <c r="U1699" i="4"/>
  <c r="U1703" i="4"/>
  <c r="U1707" i="4"/>
  <c r="U1711" i="4"/>
  <c r="U1715" i="4"/>
  <c r="U1719" i="4"/>
  <c r="U1723" i="4"/>
  <c r="U1727" i="4"/>
  <c r="U1731" i="4"/>
  <c r="U1735" i="4"/>
  <c r="U1739" i="4"/>
  <c r="U1743" i="4"/>
  <c r="U1747" i="4"/>
  <c r="U1751" i="4"/>
  <c r="U1755" i="4"/>
  <c r="U1759" i="4"/>
  <c r="U1763" i="4"/>
  <c r="U1767" i="4"/>
  <c r="U1771" i="4"/>
  <c r="U1775" i="4"/>
  <c r="U1779" i="4"/>
  <c r="U1783" i="4"/>
  <c r="U1787" i="4"/>
  <c r="U1791" i="4"/>
  <c r="U1795" i="4"/>
  <c r="U1799" i="4"/>
  <c r="U1803" i="4"/>
  <c r="U1807" i="4"/>
  <c r="U1811" i="4"/>
  <c r="U1815" i="4"/>
  <c r="U456" i="4"/>
  <c r="U618" i="4"/>
  <c r="U682" i="4"/>
  <c r="U746" i="4"/>
  <c r="U791" i="4"/>
  <c r="U823" i="4"/>
  <c r="U848" i="4"/>
  <c r="U864" i="4"/>
  <c r="U880" i="4"/>
  <c r="U896" i="4"/>
  <c r="U912" i="4"/>
  <c r="U928" i="4"/>
  <c r="U944" i="4"/>
  <c r="U960" i="4"/>
  <c r="U976" i="4"/>
  <c r="U992" i="4"/>
  <c r="U1008" i="4"/>
  <c r="U1024" i="4"/>
  <c r="U1040" i="4"/>
  <c r="U1056" i="4"/>
  <c r="U1072" i="4"/>
  <c r="U1088" i="4"/>
  <c r="U1104" i="4"/>
  <c r="U1120" i="4"/>
  <c r="U1136" i="4"/>
  <c r="U1152" i="4"/>
  <c r="U1168" i="4"/>
  <c r="U1184" i="4"/>
  <c r="U1200" i="4"/>
  <c r="U1216" i="4"/>
  <c r="U1232" i="4"/>
  <c r="U1248" i="4"/>
  <c r="U1261" i="4"/>
  <c r="U1269" i="4"/>
  <c r="U1276" i="4"/>
  <c r="U1281" i="4"/>
  <c r="U1286" i="4"/>
  <c r="U1292" i="4"/>
  <c r="U1297" i="4"/>
  <c r="U1302" i="4"/>
  <c r="U1308" i="4"/>
  <c r="U1313" i="4"/>
  <c r="U1318" i="4"/>
  <c r="U1324" i="4"/>
  <c r="U1329" i="4"/>
  <c r="U1334" i="4"/>
  <c r="U1340" i="4"/>
  <c r="U1345" i="4"/>
  <c r="U1350" i="4"/>
  <c r="U1356" i="4"/>
  <c r="U1361" i="4"/>
  <c r="U1366" i="4"/>
  <c r="U1372" i="4"/>
  <c r="U1377" i="4"/>
  <c r="U1382" i="4"/>
  <c r="U1388" i="4"/>
  <c r="U1393" i="4"/>
  <c r="U1398" i="4"/>
  <c r="U1404" i="4"/>
  <c r="U1409" i="4"/>
  <c r="U1414" i="4"/>
  <c r="U1420" i="4"/>
  <c r="U1424" i="4"/>
  <c r="U1428" i="4"/>
  <c r="U1432" i="4"/>
  <c r="U1436" i="4"/>
  <c r="U1440" i="4"/>
  <c r="U1444" i="4"/>
  <c r="U1448" i="4"/>
  <c r="U1452" i="4"/>
  <c r="U1456" i="4"/>
  <c r="U1460" i="4"/>
  <c r="U1464" i="4"/>
  <c r="U1468" i="4"/>
  <c r="U1472" i="4"/>
  <c r="U1476" i="4"/>
  <c r="U1480" i="4"/>
  <c r="U1484" i="4"/>
  <c r="U1488" i="4"/>
  <c r="U1492" i="4"/>
  <c r="U1496" i="4"/>
  <c r="U1500" i="4"/>
  <c r="U1504" i="4"/>
  <c r="U1508" i="4"/>
  <c r="U1512" i="4"/>
  <c r="U1516" i="4"/>
  <c r="U1520" i="4"/>
  <c r="U1524" i="4"/>
  <c r="U1528" i="4"/>
  <c r="U1532" i="4"/>
  <c r="U1536" i="4"/>
  <c r="U1540" i="4"/>
  <c r="U1544" i="4"/>
  <c r="U1548" i="4"/>
  <c r="U1552" i="4"/>
  <c r="U1556" i="4"/>
  <c r="U1560" i="4"/>
  <c r="U1564" i="4"/>
  <c r="U1568" i="4"/>
  <c r="U1572" i="4"/>
  <c r="U1576" i="4"/>
  <c r="U1580" i="4"/>
  <c r="U1584" i="4"/>
  <c r="U1588" i="4"/>
  <c r="U1592" i="4"/>
  <c r="U1596" i="4"/>
  <c r="U1600" i="4"/>
  <c r="U1604" i="4"/>
  <c r="U1608" i="4"/>
  <c r="U1612" i="4"/>
  <c r="U1616" i="4"/>
  <c r="U1620" i="4"/>
  <c r="U1624" i="4"/>
  <c r="U1628" i="4"/>
  <c r="U1632" i="4"/>
  <c r="U1636" i="4"/>
  <c r="U1640" i="4"/>
  <c r="U1644" i="4"/>
  <c r="U1648" i="4"/>
  <c r="U1652" i="4"/>
  <c r="U1656" i="4"/>
  <c r="U1660" i="4"/>
  <c r="U1664" i="4"/>
  <c r="U1668" i="4"/>
  <c r="U1672" i="4"/>
  <c r="U1676" i="4"/>
  <c r="U1680" i="4"/>
  <c r="U1684" i="4"/>
  <c r="U1688" i="4"/>
  <c r="U1692" i="4"/>
  <c r="U1696" i="4"/>
  <c r="U1700" i="4"/>
  <c r="U1704" i="4"/>
  <c r="U1708" i="4"/>
  <c r="U1712" i="4"/>
  <c r="U1716" i="4"/>
  <c r="U1720" i="4"/>
  <c r="U1724" i="4"/>
  <c r="U1728" i="4"/>
  <c r="U1732" i="4"/>
  <c r="U1736" i="4"/>
  <c r="U1740" i="4"/>
  <c r="U1744" i="4"/>
  <c r="U1748" i="4"/>
  <c r="U1752" i="4"/>
  <c r="U1756" i="4"/>
  <c r="U1760" i="4"/>
  <c r="U1764" i="4"/>
  <c r="U1768" i="4"/>
  <c r="U1772" i="4"/>
  <c r="U1776" i="4"/>
  <c r="U1780" i="4"/>
  <c r="U1784" i="4"/>
  <c r="U520" i="4"/>
  <c r="U799" i="4"/>
  <c r="U884" i="4"/>
  <c r="U948" i="4"/>
  <c r="U1012" i="4"/>
  <c r="U1076" i="4"/>
  <c r="U1140" i="4"/>
  <c r="U1204" i="4"/>
  <c r="U1264" i="4"/>
  <c r="U1288" i="4"/>
  <c r="U1309" i="4"/>
  <c r="U1330" i="4"/>
  <c r="U1352" i="4"/>
  <c r="U1373" i="4"/>
  <c r="U1394" i="4"/>
  <c r="U1416" i="4"/>
  <c r="U1433" i="4"/>
  <c r="U1449" i="4"/>
  <c r="U1465" i="4"/>
  <c r="U1481" i="4"/>
  <c r="U1497" i="4"/>
  <c r="U1513" i="4"/>
  <c r="U1529" i="4"/>
  <c r="U1545" i="4"/>
  <c r="U1561" i="4"/>
  <c r="U1577" i="4"/>
  <c r="U1593" i="4"/>
  <c r="U1609" i="4"/>
  <c r="U1625" i="4"/>
  <c r="U1641" i="4"/>
  <c r="U1657" i="4"/>
  <c r="U1673" i="4"/>
  <c r="U1689" i="4"/>
  <c r="U1705" i="4"/>
  <c r="U1721" i="4"/>
  <c r="U1737" i="4"/>
  <c r="U1753" i="4"/>
  <c r="U1769" i="4"/>
  <c r="U1785" i="4"/>
  <c r="U1793" i="4"/>
  <c r="U1801" i="4"/>
  <c r="U1809" i="4"/>
  <c r="U1817" i="4"/>
  <c r="U1823" i="4"/>
  <c r="U1828" i="4"/>
  <c r="U1833" i="4"/>
  <c r="U1839" i="4"/>
  <c r="U1844" i="4"/>
  <c r="U1849" i="4"/>
  <c r="U1854" i="4"/>
  <c r="U1858" i="4"/>
  <c r="U1862" i="4"/>
  <c r="U1866" i="4"/>
  <c r="U1870" i="4"/>
  <c r="U1874" i="4"/>
  <c r="U1878" i="4"/>
  <c r="U1882" i="4"/>
  <c r="U1886" i="4"/>
  <c r="U1890" i="4"/>
  <c r="U1894" i="4"/>
  <c r="U1898" i="4"/>
  <c r="U1902" i="4"/>
  <c r="U1906" i="4"/>
  <c r="U1910" i="4"/>
  <c r="U1914" i="4"/>
  <c r="U1918" i="4"/>
  <c r="U1922" i="4"/>
  <c r="U1926" i="4"/>
  <c r="U1930" i="4"/>
  <c r="U1934" i="4"/>
  <c r="U1938" i="4"/>
  <c r="U1942" i="4"/>
  <c r="U1946" i="4"/>
  <c r="U1950" i="4"/>
  <c r="U1954" i="4"/>
  <c r="U1958" i="4"/>
  <c r="U1962" i="4"/>
  <c r="U1966" i="4"/>
  <c r="U1970" i="4"/>
  <c r="U1974" i="4"/>
  <c r="U1978" i="4"/>
  <c r="U1982" i="4"/>
  <c r="U1986" i="4"/>
  <c r="U1990" i="4"/>
  <c r="U1994" i="4"/>
  <c r="U1998" i="4"/>
  <c r="U2002" i="4"/>
  <c r="U2006" i="4"/>
  <c r="U2010" i="4"/>
  <c r="U2014" i="4"/>
  <c r="U2018" i="4"/>
  <c r="U2022" i="4"/>
  <c r="U2026" i="4"/>
  <c r="U2030" i="4"/>
  <c r="U2034" i="4"/>
  <c r="U2038" i="4"/>
  <c r="U2042" i="4"/>
  <c r="U2046" i="4"/>
  <c r="U2050" i="4"/>
  <c r="U2054" i="4"/>
  <c r="U2058" i="4"/>
  <c r="U2062" i="4"/>
  <c r="U2066" i="4"/>
  <c r="U2070" i="4"/>
  <c r="U2074" i="4"/>
  <c r="U2078" i="4"/>
  <c r="U2082" i="4"/>
  <c r="U2086" i="4"/>
  <c r="U2090" i="4"/>
  <c r="U2094" i="4"/>
  <c r="U2098" i="4"/>
  <c r="U2102" i="4"/>
  <c r="U2106" i="4"/>
  <c r="U2110" i="4"/>
  <c r="U2114" i="4"/>
  <c r="U2118" i="4"/>
  <c r="U2122" i="4"/>
  <c r="U2126" i="4"/>
  <c r="U2130" i="4"/>
  <c r="U2134" i="4"/>
  <c r="U2138" i="4"/>
  <c r="U2142" i="4"/>
  <c r="U2146" i="4"/>
  <c r="U2150" i="4"/>
  <c r="U2154" i="4"/>
  <c r="U2158" i="4"/>
  <c r="U2162" i="4"/>
  <c r="U2166" i="4"/>
  <c r="U2170" i="4"/>
  <c r="U2174" i="4"/>
  <c r="U2178" i="4"/>
  <c r="U2182" i="4"/>
  <c r="U2186" i="4"/>
  <c r="U2190" i="4"/>
  <c r="U2194" i="4"/>
  <c r="U2198" i="4"/>
  <c r="U2202" i="4"/>
  <c r="U2206" i="4"/>
  <c r="U2210" i="4"/>
  <c r="U2214" i="4"/>
  <c r="U2218" i="4"/>
  <c r="U2222" i="4"/>
  <c r="U2226" i="4"/>
  <c r="U2230" i="4"/>
  <c r="U2234" i="4"/>
  <c r="U2238" i="4"/>
  <c r="U2242" i="4"/>
  <c r="U2246" i="4"/>
  <c r="U2250" i="4"/>
  <c r="U2254" i="4"/>
  <c r="U2258" i="4"/>
  <c r="U2262" i="4"/>
  <c r="U2266" i="4"/>
  <c r="U2270" i="4"/>
  <c r="U2274" i="4"/>
  <c r="U2278" i="4"/>
  <c r="U634" i="4"/>
  <c r="U831" i="4"/>
  <c r="U900" i="4"/>
  <c r="U964" i="4"/>
  <c r="U1028" i="4"/>
  <c r="U1092" i="4"/>
  <c r="U1156" i="4"/>
  <c r="U1220" i="4"/>
  <c r="U1272" i="4"/>
  <c r="U1293" i="4"/>
  <c r="U1314" i="4"/>
  <c r="U1336" i="4"/>
  <c r="U1357" i="4"/>
  <c r="U1378" i="4"/>
  <c r="U1400" i="4"/>
  <c r="U1421" i="4"/>
  <c r="U1437" i="4"/>
  <c r="U1453" i="4"/>
  <c r="U1469" i="4"/>
  <c r="U1485" i="4"/>
  <c r="U1501" i="4"/>
  <c r="U1517" i="4"/>
  <c r="U1533" i="4"/>
  <c r="U1549" i="4"/>
  <c r="U1565" i="4"/>
  <c r="U1581" i="4"/>
  <c r="U1597" i="4"/>
  <c r="U1613" i="4"/>
  <c r="U1629" i="4"/>
  <c r="U1645" i="4"/>
  <c r="U1661" i="4"/>
  <c r="U1677" i="4"/>
  <c r="U1693" i="4"/>
  <c r="U1709" i="4"/>
  <c r="U1725" i="4"/>
  <c r="U1741" i="4"/>
  <c r="U1757" i="4"/>
  <c r="U1773" i="4"/>
  <c r="U1788" i="4"/>
  <c r="U1796" i="4"/>
  <c r="U1804" i="4"/>
  <c r="U1812" i="4"/>
  <c r="U1819" i="4"/>
  <c r="U1824" i="4"/>
  <c r="U1829" i="4"/>
  <c r="U1835" i="4"/>
  <c r="U1840" i="4"/>
  <c r="U1845" i="4"/>
  <c r="U1851" i="4"/>
  <c r="U1855" i="4"/>
  <c r="U1859" i="4"/>
  <c r="U1863" i="4"/>
  <c r="U1867" i="4"/>
  <c r="U1871" i="4"/>
  <c r="U1875" i="4"/>
  <c r="U1879" i="4"/>
  <c r="U1883" i="4"/>
  <c r="U1887" i="4"/>
  <c r="U1891" i="4"/>
  <c r="U1895" i="4"/>
  <c r="U1899" i="4"/>
  <c r="U1903" i="4"/>
  <c r="U1907" i="4"/>
  <c r="U1911" i="4"/>
  <c r="U1915" i="4"/>
  <c r="U1919" i="4"/>
  <c r="U1923" i="4"/>
  <c r="U1927" i="4"/>
  <c r="U1931" i="4"/>
  <c r="U1935" i="4"/>
  <c r="U1939" i="4"/>
  <c r="U1943" i="4"/>
  <c r="U1947" i="4"/>
  <c r="U1951" i="4"/>
  <c r="U1955" i="4"/>
  <c r="U1959" i="4"/>
  <c r="U1963" i="4"/>
  <c r="U1967" i="4"/>
  <c r="U1971" i="4"/>
  <c r="U1975" i="4"/>
  <c r="U1979" i="4"/>
  <c r="U1983" i="4"/>
  <c r="U1987" i="4"/>
  <c r="U1991" i="4"/>
  <c r="U1995" i="4"/>
  <c r="U1999" i="4"/>
  <c r="U2003" i="4"/>
  <c r="U2007" i="4"/>
  <c r="U2011" i="4"/>
  <c r="U2015" i="4"/>
  <c r="U2019" i="4"/>
  <c r="U2023" i="4"/>
  <c r="U2027" i="4"/>
  <c r="U2031" i="4"/>
  <c r="U2035" i="4"/>
  <c r="U2039" i="4"/>
  <c r="U2043" i="4"/>
  <c r="U2047" i="4"/>
  <c r="U2051" i="4"/>
  <c r="U2055" i="4"/>
  <c r="U2059" i="4"/>
  <c r="U2063" i="4"/>
  <c r="U2067" i="4"/>
  <c r="U2071" i="4"/>
  <c r="U2075" i="4"/>
  <c r="U2079" i="4"/>
  <c r="U2083" i="4"/>
  <c r="U2087" i="4"/>
  <c r="U2091" i="4"/>
  <c r="U2095" i="4"/>
  <c r="U2099" i="4"/>
  <c r="U2103" i="4"/>
  <c r="U2107" i="4"/>
  <c r="U2111" i="4"/>
  <c r="U2115" i="4"/>
  <c r="U2119" i="4"/>
  <c r="U2123" i="4"/>
  <c r="U2127" i="4"/>
  <c r="U2131" i="4"/>
  <c r="U2135" i="4"/>
  <c r="U2139" i="4"/>
  <c r="U2143" i="4"/>
  <c r="U2147" i="4"/>
  <c r="U2151" i="4"/>
  <c r="U2155" i="4"/>
  <c r="U2159" i="4"/>
  <c r="U2163" i="4"/>
  <c r="U2167" i="4"/>
  <c r="U2171" i="4"/>
  <c r="U2175" i="4"/>
  <c r="U2179" i="4"/>
  <c r="U2183" i="4"/>
  <c r="U2187" i="4"/>
  <c r="U2191" i="4"/>
  <c r="U2195" i="4"/>
  <c r="U2199" i="4"/>
  <c r="U2203" i="4"/>
  <c r="U2207" i="4"/>
  <c r="U2211" i="4"/>
  <c r="U2215" i="4"/>
  <c r="U2219" i="4"/>
  <c r="U2223" i="4"/>
  <c r="U2227" i="4"/>
  <c r="U2231" i="4"/>
  <c r="U2235" i="4"/>
  <c r="U2239" i="4"/>
  <c r="U2243" i="4"/>
  <c r="U2247" i="4"/>
  <c r="U2251" i="4"/>
  <c r="U2255" i="4"/>
  <c r="U2259" i="4"/>
  <c r="U2263" i="4"/>
  <c r="U2267" i="4"/>
  <c r="U2271" i="4"/>
  <c r="U2275" i="4"/>
  <c r="U2279" i="4"/>
  <c r="U2283" i="4"/>
  <c r="U2287" i="4"/>
  <c r="U2291" i="4"/>
  <c r="U2295" i="4"/>
  <c r="U2299" i="4"/>
  <c r="U2303" i="4"/>
  <c r="U2307" i="4"/>
  <c r="U2311" i="4"/>
  <c r="U2315" i="4"/>
  <c r="U2319" i="4"/>
  <c r="U2323" i="4"/>
  <c r="U2327" i="4"/>
  <c r="U2331" i="4"/>
  <c r="U2335" i="4"/>
  <c r="U698" i="4"/>
  <c r="U852" i="4"/>
  <c r="U916" i="4"/>
  <c r="U980" i="4"/>
  <c r="U1044" i="4"/>
  <c r="U1108" i="4"/>
  <c r="U1172" i="4"/>
  <c r="U1236" i="4"/>
  <c r="U1277" i="4"/>
  <c r="U1298" i="4"/>
  <c r="U1320" i="4"/>
  <c r="U1341" i="4"/>
  <c r="U1362" i="4"/>
  <c r="U1384" i="4"/>
  <c r="U1405" i="4"/>
  <c r="U1425" i="4"/>
  <c r="U1441" i="4"/>
  <c r="U1457" i="4"/>
  <c r="U1473" i="4"/>
  <c r="U1489" i="4"/>
  <c r="U1505" i="4"/>
  <c r="U1521" i="4"/>
  <c r="U1537" i="4"/>
  <c r="U1553" i="4"/>
  <c r="U1569" i="4"/>
  <c r="U1585" i="4"/>
  <c r="U1601" i="4"/>
  <c r="U1617" i="4"/>
  <c r="U1633" i="4"/>
  <c r="U1649" i="4"/>
  <c r="U1665" i="4"/>
  <c r="U1681" i="4"/>
  <c r="U1697" i="4"/>
  <c r="U1713" i="4"/>
  <c r="U1729" i="4"/>
  <c r="U1745" i="4"/>
  <c r="U1761" i="4"/>
  <c r="U1777" i="4"/>
  <c r="U1789" i="4"/>
  <c r="U1797" i="4"/>
  <c r="U1805" i="4"/>
  <c r="U1813" i="4"/>
  <c r="U1820" i="4"/>
  <c r="U1825" i="4"/>
  <c r="U1831" i="4"/>
  <c r="U1836" i="4"/>
  <c r="U1841" i="4"/>
  <c r="U1847" i="4"/>
  <c r="U1852" i="4"/>
  <c r="U1856" i="4"/>
  <c r="U1860" i="4"/>
  <c r="U1864" i="4"/>
  <c r="U1868" i="4"/>
  <c r="U1872" i="4"/>
  <c r="U1876" i="4"/>
  <c r="U1880" i="4"/>
  <c r="U1884" i="4"/>
  <c r="U1888" i="4"/>
  <c r="U1892" i="4"/>
  <c r="U1896" i="4"/>
  <c r="U1900" i="4"/>
  <c r="U1904" i="4"/>
  <c r="U1908" i="4"/>
  <c r="U1912" i="4"/>
  <c r="U1916" i="4"/>
  <c r="U1920" i="4"/>
  <c r="U1924" i="4"/>
  <c r="U1928" i="4"/>
  <c r="U1932" i="4"/>
  <c r="U1936" i="4"/>
  <c r="U1940" i="4"/>
  <c r="U1944" i="4"/>
  <c r="U1948" i="4"/>
  <c r="U1952" i="4"/>
  <c r="U1956" i="4"/>
  <c r="U1960" i="4"/>
  <c r="U1964" i="4"/>
  <c r="U1968" i="4"/>
  <c r="U1972" i="4"/>
  <c r="U1976" i="4"/>
  <c r="U1980" i="4"/>
  <c r="U1984" i="4"/>
  <c r="U1988" i="4"/>
  <c r="U1992" i="4"/>
  <c r="U1996" i="4"/>
  <c r="U2000" i="4"/>
  <c r="U2004" i="4"/>
  <c r="U2008" i="4"/>
  <c r="U2012" i="4"/>
  <c r="U2016" i="4"/>
  <c r="U2020" i="4"/>
  <c r="U2024" i="4"/>
  <c r="U2028" i="4"/>
  <c r="U2032" i="4"/>
  <c r="U2036" i="4"/>
  <c r="U2040" i="4"/>
  <c r="U2044" i="4"/>
  <c r="U2048" i="4"/>
  <c r="U2052" i="4"/>
  <c r="U2056" i="4"/>
  <c r="U2060" i="4"/>
  <c r="U2064" i="4"/>
  <c r="U2068" i="4"/>
  <c r="U2072" i="4"/>
  <c r="U2076" i="4"/>
  <c r="U2080" i="4"/>
  <c r="U2084" i="4"/>
  <c r="U2088" i="4"/>
  <c r="U2092" i="4"/>
  <c r="U2096" i="4"/>
  <c r="U2100" i="4"/>
  <c r="U2104" i="4"/>
  <c r="U2108" i="4"/>
  <c r="U2112" i="4"/>
  <c r="U2116" i="4"/>
  <c r="U2120" i="4"/>
  <c r="U2124" i="4"/>
  <c r="U2128" i="4"/>
  <c r="U2132" i="4"/>
  <c r="U2136" i="4"/>
  <c r="U2140" i="4"/>
  <c r="U2144" i="4"/>
  <c r="U2148" i="4"/>
  <c r="U2152" i="4"/>
  <c r="U2156" i="4"/>
  <c r="U2160" i="4"/>
  <c r="U2164" i="4"/>
  <c r="U2168" i="4"/>
  <c r="U2172" i="4"/>
  <c r="U2176" i="4"/>
  <c r="U2180" i="4"/>
  <c r="U2184" i="4"/>
  <c r="U2188" i="4"/>
  <c r="U2192" i="4"/>
  <c r="U2196" i="4"/>
  <c r="U2200" i="4"/>
  <c r="U2204" i="4"/>
  <c r="U2208" i="4"/>
  <c r="U2212" i="4"/>
  <c r="U2216" i="4"/>
  <c r="U2220" i="4"/>
  <c r="U2224" i="4"/>
  <c r="U2228" i="4"/>
  <c r="U2232" i="4"/>
  <c r="U2236" i="4"/>
  <c r="U2240" i="4"/>
  <c r="U2244" i="4"/>
  <c r="U2248" i="4"/>
  <c r="U2252" i="4"/>
  <c r="U2256" i="4"/>
  <c r="U2260" i="4"/>
  <c r="U2264" i="4"/>
  <c r="U2268" i="4"/>
  <c r="U2272" i="4"/>
  <c r="U2276" i="4"/>
  <c r="U2280" i="4"/>
  <c r="U2284" i="4"/>
  <c r="U2288" i="4"/>
  <c r="U2292" i="4"/>
  <c r="U2296" i="4"/>
  <c r="U2300" i="4"/>
  <c r="U2304" i="4"/>
  <c r="U2308" i="4"/>
  <c r="U2312" i="4"/>
  <c r="U2316" i="4"/>
  <c r="U2320" i="4"/>
  <c r="U2324" i="4"/>
  <c r="U2328" i="4"/>
  <c r="U2332" i="4"/>
  <c r="U2336" i="4"/>
  <c r="U2340" i="4"/>
  <c r="U2344" i="4"/>
  <c r="U2348" i="4"/>
  <c r="U2352" i="4"/>
  <c r="U2356" i="4"/>
  <c r="U2360" i="4"/>
  <c r="U2364" i="4"/>
  <c r="U2368" i="4"/>
  <c r="U2372" i="4"/>
  <c r="U2376" i="4"/>
  <c r="U2380" i="4"/>
  <c r="U2384" i="4"/>
  <c r="U2388" i="4"/>
  <c r="U2392" i="4"/>
  <c r="U2396" i="4"/>
  <c r="U2400" i="4"/>
  <c r="U2404" i="4"/>
  <c r="U2408" i="4"/>
  <c r="U2412" i="4"/>
  <c r="U2416" i="4"/>
  <c r="U2420" i="4"/>
  <c r="U2424" i="4"/>
  <c r="U2428" i="4"/>
  <c r="U2432" i="4"/>
  <c r="U2436" i="4"/>
  <c r="U2440" i="4"/>
  <c r="U2444" i="4"/>
  <c r="U2448" i="4"/>
  <c r="U2452" i="4"/>
  <c r="U2456" i="4"/>
  <c r="U2460" i="4"/>
  <c r="U2464" i="4"/>
  <c r="U2468" i="4"/>
  <c r="U2472" i="4"/>
  <c r="U2476" i="4"/>
  <c r="U2480" i="4"/>
  <c r="U2484" i="4"/>
  <c r="U2488" i="4"/>
  <c r="U762" i="4"/>
  <c r="U1060" i="4"/>
  <c r="U1282" i="4"/>
  <c r="U1368" i="4"/>
  <c r="U1445" i="4"/>
  <c r="U1509" i="4"/>
  <c r="U1573" i="4"/>
  <c r="U1637" i="4"/>
  <c r="U1701" i="4"/>
  <c r="U1765" i="4"/>
  <c r="U1808" i="4"/>
  <c r="U1832" i="4"/>
  <c r="U1853" i="4"/>
  <c r="U1869" i="4"/>
  <c r="U1885" i="4"/>
  <c r="U1901" i="4"/>
  <c r="U1917" i="4"/>
  <c r="U1933" i="4"/>
  <c r="U1949" i="4"/>
  <c r="U1965" i="4"/>
  <c r="U1981" i="4"/>
  <c r="U1997" i="4"/>
  <c r="U2013" i="4"/>
  <c r="U2029" i="4"/>
  <c r="U2045" i="4"/>
  <c r="U2061" i="4"/>
  <c r="U2077" i="4"/>
  <c r="U2093" i="4"/>
  <c r="U2109" i="4"/>
  <c r="U2125" i="4"/>
  <c r="U2141" i="4"/>
  <c r="U2157" i="4"/>
  <c r="U2173" i="4"/>
  <c r="U2189" i="4"/>
  <c r="U2205" i="4"/>
  <c r="U2221" i="4"/>
  <c r="U2237" i="4"/>
  <c r="U2253" i="4"/>
  <c r="U2269" i="4"/>
  <c r="U2282" i="4"/>
  <c r="U2290" i="4"/>
  <c r="U2298" i="4"/>
  <c r="U2306" i="4"/>
  <c r="U2314" i="4"/>
  <c r="U2322" i="4"/>
  <c r="U2330" i="4"/>
  <c r="U2338" i="4"/>
  <c r="U2343" i="4"/>
  <c r="U2349" i="4"/>
  <c r="U2354" i="4"/>
  <c r="U2359" i="4"/>
  <c r="U2365" i="4"/>
  <c r="U2370" i="4"/>
  <c r="U2375" i="4"/>
  <c r="U2381" i="4"/>
  <c r="U2386" i="4"/>
  <c r="U2391" i="4"/>
  <c r="U2397" i="4"/>
  <c r="U2402" i="4"/>
  <c r="U2407" i="4"/>
  <c r="U2413" i="4"/>
  <c r="U2418" i="4"/>
  <c r="U2423" i="4"/>
  <c r="U2429" i="4"/>
  <c r="U2434" i="4"/>
  <c r="U2439" i="4"/>
  <c r="U2445" i="4"/>
  <c r="U2450" i="4"/>
  <c r="U2455" i="4"/>
  <c r="U2461" i="4"/>
  <c r="U2466" i="4"/>
  <c r="U2471" i="4"/>
  <c r="U2477" i="4"/>
  <c r="U2482" i="4"/>
  <c r="U2487" i="4"/>
  <c r="U2492" i="4"/>
  <c r="U2496" i="4"/>
  <c r="U2500" i="4"/>
  <c r="U2504" i="4"/>
  <c r="U2508" i="4"/>
  <c r="U2512" i="4"/>
  <c r="U2516" i="4"/>
  <c r="U2520" i="4"/>
  <c r="U2524" i="4"/>
  <c r="U2528" i="4"/>
  <c r="U2532" i="4"/>
  <c r="U2536" i="4"/>
  <c r="U2540" i="4"/>
  <c r="U2544" i="4"/>
  <c r="U2548" i="4"/>
  <c r="U2552" i="4"/>
  <c r="U2556" i="4"/>
  <c r="U2560" i="4"/>
  <c r="U2564" i="4"/>
  <c r="U2568" i="4"/>
  <c r="U2572" i="4"/>
  <c r="U2576" i="4"/>
  <c r="U2580" i="4"/>
  <c r="U2584" i="4"/>
  <c r="U2588" i="4"/>
  <c r="U2592" i="4"/>
  <c r="U2596" i="4"/>
  <c r="U2600" i="4"/>
  <c r="U2604" i="4"/>
  <c r="U2608" i="4"/>
  <c r="U2612" i="4"/>
  <c r="U2616" i="4"/>
  <c r="U2620" i="4"/>
  <c r="U2624" i="4"/>
  <c r="U2628" i="4"/>
  <c r="U2632" i="4"/>
  <c r="U2636" i="4"/>
  <c r="U2640" i="4"/>
  <c r="U2644" i="4"/>
  <c r="U2648" i="4"/>
  <c r="U2652" i="4"/>
  <c r="U2656" i="4"/>
  <c r="U2660" i="4"/>
  <c r="U2664" i="4"/>
  <c r="U2668" i="4"/>
  <c r="U2672" i="4"/>
  <c r="U2676" i="4"/>
  <c r="U2680" i="4"/>
  <c r="U2684" i="4"/>
  <c r="U2688" i="4"/>
  <c r="U2692" i="4"/>
  <c r="U2696" i="4"/>
  <c r="U2700" i="4"/>
  <c r="U2704" i="4"/>
  <c r="U2708" i="4"/>
  <c r="U2712" i="4"/>
  <c r="U2716" i="4"/>
  <c r="U2720" i="4"/>
  <c r="U2724" i="4"/>
  <c r="U2728" i="4"/>
  <c r="U2732" i="4"/>
  <c r="U2736" i="4"/>
  <c r="U2740" i="4"/>
  <c r="U2744" i="4"/>
  <c r="U2748" i="4"/>
  <c r="U2752" i="4"/>
  <c r="U2756" i="4"/>
  <c r="U2760" i="4"/>
  <c r="U2764" i="4"/>
  <c r="U2768" i="4"/>
  <c r="U2772" i="4"/>
  <c r="U2776" i="4"/>
  <c r="U2780" i="4"/>
  <c r="U2784" i="4"/>
  <c r="U2788" i="4"/>
  <c r="U2792" i="4"/>
  <c r="U2796" i="4"/>
  <c r="U2800" i="4"/>
  <c r="U2804" i="4"/>
  <c r="U2808" i="4"/>
  <c r="U2812" i="4"/>
  <c r="U2816" i="4"/>
  <c r="U2820" i="4"/>
  <c r="U2824" i="4"/>
  <c r="U2828" i="4"/>
  <c r="U2832" i="4"/>
  <c r="U2836" i="4"/>
  <c r="U2840" i="4"/>
  <c r="U2844" i="4"/>
  <c r="U2848" i="4"/>
  <c r="U2852" i="4"/>
  <c r="U2856" i="4"/>
  <c r="U2860" i="4"/>
  <c r="U2864" i="4"/>
  <c r="U2868" i="4"/>
  <c r="U2872" i="4"/>
  <c r="U2876" i="4"/>
  <c r="U2880" i="4"/>
  <c r="U2884" i="4"/>
  <c r="U2888" i="4"/>
  <c r="U2892" i="4"/>
  <c r="U2896" i="4"/>
  <c r="U2900" i="4"/>
  <c r="U2904" i="4"/>
  <c r="U2908" i="4"/>
  <c r="U2912" i="4"/>
  <c r="U2916" i="4"/>
  <c r="U2920" i="4"/>
  <c r="U2924" i="4"/>
  <c r="U2928" i="4"/>
  <c r="U2932" i="4"/>
  <c r="U2936" i="4"/>
  <c r="U2940" i="4"/>
  <c r="U2944" i="4"/>
  <c r="U2948" i="4"/>
  <c r="U2952" i="4"/>
  <c r="U2956" i="4"/>
  <c r="U2960" i="4"/>
  <c r="U2964" i="4"/>
  <c r="U2968" i="4"/>
  <c r="U2972" i="4"/>
  <c r="U2976" i="4"/>
  <c r="U2980" i="4"/>
  <c r="U2984" i="4"/>
  <c r="U2988" i="4"/>
  <c r="U2992" i="4"/>
  <c r="U2996" i="4"/>
  <c r="U3000" i="4"/>
  <c r="U3004" i="4"/>
  <c r="U3008" i="4"/>
  <c r="U3012" i="4"/>
  <c r="U3016" i="4"/>
  <c r="U3020" i="4"/>
  <c r="U3024" i="4"/>
  <c r="U3028" i="4"/>
  <c r="U3032" i="4"/>
  <c r="U3036" i="4"/>
  <c r="U3040" i="4"/>
  <c r="U3044" i="4"/>
  <c r="U3048" i="4"/>
  <c r="U3052" i="4"/>
  <c r="U3056" i="4"/>
  <c r="U3060" i="4"/>
  <c r="U3064" i="4"/>
  <c r="U3068" i="4"/>
  <c r="U3072" i="4"/>
  <c r="U3076" i="4"/>
  <c r="U3080" i="4"/>
  <c r="U3084" i="4"/>
  <c r="U3088" i="4"/>
  <c r="U3092" i="4"/>
  <c r="U3096" i="4"/>
  <c r="U3100" i="4"/>
  <c r="U3104" i="4"/>
  <c r="U3108" i="4"/>
  <c r="U3112" i="4"/>
  <c r="U3116" i="4"/>
  <c r="U3120" i="4"/>
  <c r="U3124" i="4"/>
  <c r="U3128" i="4"/>
  <c r="U3132" i="4"/>
  <c r="U3136" i="4"/>
  <c r="U3140" i="4"/>
  <c r="U3144" i="4"/>
  <c r="U3148" i="4"/>
  <c r="U3152" i="4"/>
  <c r="U3156" i="4"/>
  <c r="U3160" i="4"/>
  <c r="U3164" i="4"/>
  <c r="U3168" i="4"/>
  <c r="U3172" i="4"/>
  <c r="U3176" i="4"/>
  <c r="U3180" i="4"/>
  <c r="U3184" i="4"/>
  <c r="U3188" i="4"/>
  <c r="U3192" i="4"/>
  <c r="U3196" i="4"/>
  <c r="U3200" i="4"/>
  <c r="U3204" i="4"/>
  <c r="U3208" i="4"/>
  <c r="U3212" i="4"/>
  <c r="U3216" i="4"/>
  <c r="U3220" i="4"/>
  <c r="U3224" i="4"/>
  <c r="U3228" i="4"/>
  <c r="U3232" i="4"/>
  <c r="U3236" i="4"/>
  <c r="U3240" i="4"/>
  <c r="U3244" i="4"/>
  <c r="U3248" i="4"/>
  <c r="U3252" i="4"/>
  <c r="U3256" i="4"/>
  <c r="U3260" i="4"/>
  <c r="U3264" i="4"/>
  <c r="U3268" i="4"/>
  <c r="U3272" i="4"/>
  <c r="U3276" i="4"/>
  <c r="U3280" i="4"/>
  <c r="U3284" i="4"/>
  <c r="U868" i="4"/>
  <c r="U1124" i="4"/>
  <c r="U1304" i="4"/>
  <c r="U1389" i="4"/>
  <c r="U1461" i="4"/>
  <c r="U1525" i="4"/>
  <c r="U1589" i="4"/>
  <c r="U1653" i="4"/>
  <c r="U1717" i="4"/>
  <c r="U1781" i="4"/>
  <c r="U1816" i="4"/>
  <c r="U1837" i="4"/>
  <c r="U1857" i="4"/>
  <c r="U1873" i="4"/>
  <c r="U1889" i="4"/>
  <c r="U1905" i="4"/>
  <c r="U1921" i="4"/>
  <c r="U1937" i="4"/>
  <c r="U1953" i="4"/>
  <c r="U1969" i="4"/>
  <c r="U1985" i="4"/>
  <c r="U2001" i="4"/>
  <c r="U2017" i="4"/>
  <c r="U2033" i="4"/>
  <c r="U2049" i="4"/>
  <c r="U2065" i="4"/>
  <c r="U2081" i="4"/>
  <c r="U2097" i="4"/>
  <c r="U2113" i="4"/>
  <c r="U2129" i="4"/>
  <c r="U2145" i="4"/>
  <c r="U2161" i="4"/>
  <c r="U2177" i="4"/>
  <c r="U2193" i="4"/>
  <c r="U2209" i="4"/>
  <c r="U2225" i="4"/>
  <c r="U2241" i="4"/>
  <c r="U2257" i="4"/>
  <c r="U2273" i="4"/>
  <c r="U2285" i="4"/>
  <c r="U2293" i="4"/>
  <c r="U2301" i="4"/>
  <c r="U2309" i="4"/>
  <c r="U2317" i="4"/>
  <c r="U2325" i="4"/>
  <c r="U2333" i="4"/>
  <c r="U2339" i="4"/>
  <c r="U2345" i="4"/>
  <c r="U2350" i="4"/>
  <c r="U2355" i="4"/>
  <c r="U2361" i="4"/>
  <c r="U2366" i="4"/>
  <c r="U2371" i="4"/>
  <c r="U2377" i="4"/>
  <c r="U2382" i="4"/>
  <c r="U2387" i="4"/>
  <c r="U2393" i="4"/>
  <c r="U2398" i="4"/>
  <c r="U2403" i="4"/>
  <c r="U2409" i="4"/>
  <c r="U2414" i="4"/>
  <c r="U2419" i="4"/>
  <c r="U2425" i="4"/>
  <c r="U2430" i="4"/>
  <c r="U2435" i="4"/>
  <c r="U2441" i="4"/>
  <c r="U2446" i="4"/>
  <c r="U2451" i="4"/>
  <c r="U2457" i="4"/>
  <c r="U2462" i="4"/>
  <c r="U2467" i="4"/>
  <c r="U2473" i="4"/>
  <c r="U2478" i="4"/>
  <c r="U2483" i="4"/>
  <c r="U2489" i="4"/>
  <c r="U2493" i="4"/>
  <c r="U2497" i="4"/>
  <c r="U2501" i="4"/>
  <c r="U2505" i="4"/>
  <c r="U2509" i="4"/>
  <c r="U2513" i="4"/>
  <c r="U2517" i="4"/>
  <c r="U2521" i="4"/>
  <c r="U2525" i="4"/>
  <c r="U2529" i="4"/>
  <c r="U2533" i="4"/>
  <c r="U2537" i="4"/>
  <c r="U2541" i="4"/>
  <c r="U2545" i="4"/>
  <c r="U2549" i="4"/>
  <c r="U2553" i="4"/>
  <c r="U2557" i="4"/>
  <c r="U2561" i="4"/>
  <c r="U2565" i="4"/>
  <c r="U2569" i="4"/>
  <c r="U2573" i="4"/>
  <c r="U2577" i="4"/>
  <c r="U2581" i="4"/>
  <c r="U2585" i="4"/>
  <c r="U2589" i="4"/>
  <c r="U2593" i="4"/>
  <c r="U2597" i="4"/>
  <c r="U2601" i="4"/>
  <c r="U2605" i="4"/>
  <c r="U2609" i="4"/>
  <c r="U2613" i="4"/>
  <c r="U2617" i="4"/>
  <c r="U2621" i="4"/>
  <c r="U2625" i="4"/>
  <c r="U2629" i="4"/>
  <c r="U2633" i="4"/>
  <c r="U2637" i="4"/>
  <c r="U2641" i="4"/>
  <c r="U2645" i="4"/>
  <c r="U2649" i="4"/>
  <c r="U2653" i="4"/>
  <c r="U2657" i="4"/>
  <c r="U2661" i="4"/>
  <c r="U2665" i="4"/>
  <c r="U2669" i="4"/>
  <c r="U2673" i="4"/>
  <c r="U2677" i="4"/>
  <c r="U2681" i="4"/>
  <c r="U2685" i="4"/>
  <c r="U2689" i="4"/>
  <c r="U2693" i="4"/>
  <c r="U2697" i="4"/>
  <c r="U2701" i="4"/>
  <c r="U2705" i="4"/>
  <c r="U2709" i="4"/>
  <c r="U2713" i="4"/>
  <c r="U2717" i="4"/>
  <c r="U2721" i="4"/>
  <c r="U2725" i="4"/>
  <c r="U2729" i="4"/>
  <c r="U2733" i="4"/>
  <c r="U2737" i="4"/>
  <c r="U2741" i="4"/>
  <c r="U2745" i="4"/>
  <c r="U2749" i="4"/>
  <c r="U2753" i="4"/>
  <c r="U2757" i="4"/>
  <c r="U2761" i="4"/>
  <c r="U2765" i="4"/>
  <c r="U2769" i="4"/>
  <c r="U2773" i="4"/>
  <c r="U2777" i="4"/>
  <c r="U2781" i="4"/>
  <c r="U2785" i="4"/>
  <c r="U2789" i="4"/>
  <c r="U2793" i="4"/>
  <c r="U2797" i="4"/>
  <c r="U2801" i="4"/>
  <c r="U2805" i="4"/>
  <c r="U2809" i="4"/>
  <c r="U2813" i="4"/>
  <c r="U2817" i="4"/>
  <c r="U2821" i="4"/>
  <c r="U2825" i="4"/>
  <c r="U2829" i="4"/>
  <c r="U2833" i="4"/>
  <c r="U2837" i="4"/>
  <c r="U2841" i="4"/>
  <c r="U2845" i="4"/>
  <c r="U2849" i="4"/>
  <c r="U2853" i="4"/>
  <c r="U2857" i="4"/>
  <c r="U2861" i="4"/>
  <c r="U2865" i="4"/>
  <c r="U2869" i="4"/>
  <c r="U2873" i="4"/>
  <c r="U2877" i="4"/>
  <c r="U2881" i="4"/>
  <c r="U2885" i="4"/>
  <c r="U2889" i="4"/>
  <c r="U2893" i="4"/>
  <c r="U2897" i="4"/>
  <c r="U2901" i="4"/>
  <c r="U2905" i="4"/>
  <c r="U2909" i="4"/>
  <c r="U2913" i="4"/>
  <c r="U2917" i="4"/>
  <c r="U2921" i="4"/>
  <c r="U2925" i="4"/>
  <c r="U2929" i="4"/>
  <c r="U2933" i="4"/>
  <c r="U2937" i="4"/>
  <c r="U2941" i="4"/>
  <c r="U2945" i="4"/>
  <c r="U2949" i="4"/>
  <c r="U2953" i="4"/>
  <c r="U2957" i="4"/>
  <c r="U2961" i="4"/>
  <c r="U2965" i="4"/>
  <c r="U2969" i="4"/>
  <c r="U2973" i="4"/>
  <c r="U2977" i="4"/>
  <c r="U2981" i="4"/>
  <c r="U2985" i="4"/>
  <c r="U2989" i="4"/>
  <c r="U2993" i="4"/>
  <c r="U2997" i="4"/>
  <c r="U3001" i="4"/>
  <c r="U3005" i="4"/>
  <c r="U3009" i="4"/>
  <c r="U3013" i="4"/>
  <c r="U3017" i="4"/>
  <c r="U3021" i="4"/>
  <c r="U3025" i="4"/>
  <c r="U3029" i="4"/>
  <c r="U3033" i="4"/>
  <c r="U3037" i="4"/>
  <c r="U3041" i="4"/>
  <c r="U3045" i="4"/>
  <c r="U3049" i="4"/>
  <c r="U3053" i="4"/>
  <c r="U3057" i="4"/>
  <c r="U3061" i="4"/>
  <c r="U3065" i="4"/>
  <c r="U3069" i="4"/>
  <c r="U3073" i="4"/>
  <c r="U3077" i="4"/>
  <c r="U3081" i="4"/>
  <c r="U3085" i="4"/>
  <c r="U3089" i="4"/>
  <c r="U3093" i="4"/>
  <c r="U3097" i="4"/>
  <c r="U3101" i="4"/>
  <c r="U3105" i="4"/>
  <c r="U3109" i="4"/>
  <c r="U3113" i="4"/>
  <c r="U3117" i="4"/>
  <c r="U3121" i="4"/>
  <c r="U3125" i="4"/>
  <c r="U3129" i="4"/>
  <c r="U3133" i="4"/>
  <c r="U3137" i="4"/>
  <c r="U3141" i="4"/>
  <c r="U3145" i="4"/>
  <c r="U3149" i="4"/>
  <c r="U3153" i="4"/>
  <c r="U3157" i="4"/>
  <c r="U3161" i="4"/>
  <c r="U3165" i="4"/>
  <c r="U3169" i="4"/>
  <c r="U3173" i="4"/>
  <c r="U3177" i="4"/>
  <c r="U3181" i="4"/>
  <c r="U3185" i="4"/>
  <c r="U3189" i="4"/>
  <c r="U3193" i="4"/>
  <c r="U3197" i="4"/>
  <c r="U3201" i="4"/>
  <c r="U3205" i="4"/>
  <c r="U3209" i="4"/>
  <c r="U3213" i="4"/>
  <c r="U3217" i="4"/>
  <c r="U3221" i="4"/>
  <c r="U3225" i="4"/>
  <c r="U3229" i="4"/>
  <c r="U3233" i="4"/>
  <c r="U3237" i="4"/>
  <c r="U3241" i="4"/>
  <c r="U3245" i="4"/>
  <c r="U3249" i="4"/>
  <c r="U3253" i="4"/>
  <c r="U3257" i="4"/>
  <c r="U3261" i="4"/>
  <c r="U3265" i="4"/>
  <c r="U3269" i="4"/>
  <c r="U3273" i="4"/>
  <c r="U3277" i="4"/>
  <c r="U3281" i="4"/>
  <c r="U3285" i="4"/>
  <c r="U3289" i="4"/>
  <c r="U3293" i="4"/>
  <c r="U3297" i="4"/>
  <c r="U3301" i="4"/>
  <c r="U3305" i="4"/>
  <c r="U3309" i="4"/>
  <c r="U3313" i="4"/>
  <c r="U3317" i="4"/>
  <c r="U3321" i="4"/>
  <c r="U3325" i="4"/>
  <c r="U3329" i="4"/>
  <c r="U3333" i="4"/>
  <c r="U3337" i="4"/>
  <c r="U3341" i="4"/>
  <c r="U3345" i="4"/>
  <c r="U3349" i="4"/>
  <c r="U3353" i="4"/>
  <c r="U3357" i="4"/>
  <c r="U3361" i="4"/>
  <c r="U3365" i="4"/>
  <c r="U3369" i="4"/>
  <c r="U3373" i="4"/>
  <c r="U3377" i="4"/>
  <c r="U3381" i="4"/>
  <c r="U3385" i="4"/>
  <c r="U3389" i="4"/>
  <c r="U3393" i="4"/>
  <c r="U3397" i="4"/>
  <c r="U3401" i="4"/>
  <c r="U3405" i="4"/>
  <c r="U3409" i="4"/>
  <c r="U3413" i="4"/>
  <c r="U3417" i="4"/>
  <c r="U3421" i="4"/>
  <c r="U3425" i="4"/>
  <c r="U3429" i="4"/>
  <c r="U3433" i="4"/>
  <c r="U3437" i="4"/>
  <c r="U3441" i="4"/>
  <c r="U3445" i="4"/>
  <c r="U3449" i="4"/>
  <c r="U3453" i="4"/>
  <c r="U3457" i="4"/>
  <c r="U3461" i="4"/>
  <c r="U3465" i="4"/>
  <c r="U3469" i="4"/>
  <c r="U3473" i="4"/>
  <c r="U3477" i="4"/>
  <c r="U3481" i="4"/>
  <c r="U3485" i="4"/>
  <c r="U3489" i="4"/>
  <c r="U3493" i="4"/>
  <c r="U3497" i="4"/>
  <c r="U3501" i="4"/>
  <c r="U3505" i="4"/>
  <c r="U3509" i="4"/>
  <c r="U3513" i="4"/>
  <c r="U3517" i="4"/>
  <c r="U3521" i="4"/>
  <c r="U3525" i="4"/>
  <c r="U3529" i="4"/>
  <c r="U3533" i="4"/>
  <c r="U3537" i="4"/>
  <c r="U3541" i="4"/>
  <c r="U3545" i="4"/>
  <c r="U3549" i="4"/>
  <c r="U3553" i="4"/>
  <c r="U932" i="4"/>
  <c r="U1188" i="4"/>
  <c r="U1325" i="4"/>
  <c r="U1410" i="4"/>
  <c r="U1477" i="4"/>
  <c r="U1541" i="4"/>
  <c r="U1605" i="4"/>
  <c r="U1669" i="4"/>
  <c r="U1733" i="4"/>
  <c r="U1792" i="4"/>
  <c r="U1821" i="4"/>
  <c r="U1843" i="4"/>
  <c r="U1861" i="4"/>
  <c r="U1877" i="4"/>
  <c r="U1893" i="4"/>
  <c r="U1909" i="4"/>
  <c r="U1925" i="4"/>
  <c r="U1941" i="4"/>
  <c r="U1957" i="4"/>
  <c r="U1973" i="4"/>
  <c r="U1989" i="4"/>
  <c r="U2005" i="4"/>
  <c r="U2021" i="4"/>
  <c r="U2037" i="4"/>
  <c r="U2053" i="4"/>
  <c r="U2069" i="4"/>
  <c r="U2085" i="4"/>
  <c r="U2101" i="4"/>
  <c r="U2117" i="4"/>
  <c r="U2133" i="4"/>
  <c r="U2149" i="4"/>
  <c r="U2165" i="4"/>
  <c r="U2181" i="4"/>
  <c r="U2197" i="4"/>
  <c r="U2213" i="4"/>
  <c r="U2229" i="4"/>
  <c r="U2245" i="4"/>
  <c r="U2261" i="4"/>
  <c r="U2277" i="4"/>
  <c r="U2286" i="4"/>
  <c r="U2294" i="4"/>
  <c r="U2302" i="4"/>
  <c r="U2310" i="4"/>
  <c r="U2318" i="4"/>
  <c r="U2326" i="4"/>
  <c r="U2334" i="4"/>
  <c r="U2341" i="4"/>
  <c r="U2346" i="4"/>
  <c r="U2351" i="4"/>
  <c r="U2357" i="4"/>
  <c r="U2362" i="4"/>
  <c r="U2367" i="4"/>
  <c r="U2373" i="4"/>
  <c r="U2378" i="4"/>
  <c r="U2383" i="4"/>
  <c r="U2389" i="4"/>
  <c r="U2394" i="4"/>
  <c r="U2399" i="4"/>
  <c r="U2405" i="4"/>
  <c r="U2410" i="4"/>
  <c r="U2415" i="4"/>
  <c r="U2421" i="4"/>
  <c r="U2426" i="4"/>
  <c r="U2431" i="4"/>
  <c r="U2437" i="4"/>
  <c r="U2442" i="4"/>
  <c r="U2447" i="4"/>
  <c r="U2453" i="4"/>
  <c r="U2458" i="4"/>
  <c r="U2463" i="4"/>
  <c r="U2469" i="4"/>
  <c r="U2474" i="4"/>
  <c r="U2479" i="4"/>
  <c r="U2485" i="4"/>
  <c r="U2490" i="4"/>
  <c r="U2494" i="4"/>
  <c r="U2498" i="4"/>
  <c r="U2502" i="4"/>
  <c r="U2506" i="4"/>
  <c r="U2510" i="4"/>
  <c r="U2514" i="4"/>
  <c r="U2518" i="4"/>
  <c r="U2522" i="4"/>
  <c r="U2526" i="4"/>
  <c r="U2530" i="4"/>
  <c r="U2534" i="4"/>
  <c r="U2538" i="4"/>
  <c r="U2542" i="4"/>
  <c r="U2546" i="4"/>
  <c r="U2550" i="4"/>
  <c r="U2554" i="4"/>
  <c r="U2558" i="4"/>
  <c r="U2562" i="4"/>
  <c r="U2566" i="4"/>
  <c r="U2570" i="4"/>
  <c r="U2574" i="4"/>
  <c r="U2578" i="4"/>
  <c r="U2582" i="4"/>
  <c r="U2586" i="4"/>
  <c r="U2590" i="4"/>
  <c r="U2594" i="4"/>
  <c r="U2598" i="4"/>
  <c r="U2602" i="4"/>
  <c r="U2606" i="4"/>
  <c r="U2610" i="4"/>
  <c r="U2614" i="4"/>
  <c r="U2618" i="4"/>
  <c r="U2622" i="4"/>
  <c r="U2626" i="4"/>
  <c r="U2630" i="4"/>
  <c r="U2634" i="4"/>
  <c r="U2638" i="4"/>
  <c r="U2642" i="4"/>
  <c r="U2646" i="4"/>
  <c r="U2650" i="4"/>
  <c r="U2654" i="4"/>
  <c r="U2658" i="4"/>
  <c r="U2662" i="4"/>
  <c r="U2666" i="4"/>
  <c r="U2670" i="4"/>
  <c r="U2674" i="4"/>
  <c r="U2678" i="4"/>
  <c r="U2682" i="4"/>
  <c r="U2686" i="4"/>
  <c r="U2690" i="4"/>
  <c r="U2694" i="4"/>
  <c r="U2698" i="4"/>
  <c r="U2702" i="4"/>
  <c r="U2706" i="4"/>
  <c r="U2710" i="4"/>
  <c r="U2714" i="4"/>
  <c r="U2718" i="4"/>
  <c r="U2722" i="4"/>
  <c r="U2726" i="4"/>
  <c r="U2730" i="4"/>
  <c r="U2734" i="4"/>
  <c r="U2738" i="4"/>
  <c r="U2742" i="4"/>
  <c r="U2746" i="4"/>
  <c r="U2750" i="4"/>
  <c r="U2754" i="4"/>
  <c r="U2758" i="4"/>
  <c r="U2762" i="4"/>
  <c r="U2766" i="4"/>
  <c r="U2770" i="4"/>
  <c r="U2774" i="4"/>
  <c r="U2778" i="4"/>
  <c r="U2782" i="4"/>
  <c r="U2786" i="4"/>
  <c r="U2790" i="4"/>
  <c r="U2794" i="4"/>
  <c r="U2798" i="4"/>
  <c r="U2802" i="4"/>
  <c r="U2806" i="4"/>
  <c r="U2810" i="4"/>
  <c r="U2814" i="4"/>
  <c r="U2818" i="4"/>
  <c r="U2822" i="4"/>
  <c r="U2826" i="4"/>
  <c r="U2830" i="4"/>
  <c r="U2834" i="4"/>
  <c r="U2838" i="4"/>
  <c r="U2842" i="4"/>
  <c r="U2846" i="4"/>
  <c r="U2850" i="4"/>
  <c r="U2854" i="4"/>
  <c r="U2858" i="4"/>
  <c r="U2862" i="4"/>
  <c r="U2866" i="4"/>
  <c r="U2870" i="4"/>
  <c r="U2874" i="4"/>
  <c r="U2878" i="4"/>
  <c r="U2882" i="4"/>
  <c r="U2886" i="4"/>
  <c r="U2890" i="4"/>
  <c r="U2894" i="4"/>
  <c r="U2898" i="4"/>
  <c r="U2902" i="4"/>
  <c r="U2906" i="4"/>
  <c r="U2910" i="4"/>
  <c r="U2914" i="4"/>
  <c r="U2918" i="4"/>
  <c r="U2922" i="4"/>
  <c r="U2926" i="4"/>
  <c r="U2930" i="4"/>
  <c r="U2934" i="4"/>
  <c r="U2938" i="4"/>
  <c r="U2942" i="4"/>
  <c r="U2946" i="4"/>
  <c r="U2950" i="4"/>
  <c r="U2954" i="4"/>
  <c r="U2958" i="4"/>
  <c r="U2962" i="4"/>
  <c r="U2966" i="4"/>
  <c r="U2970" i="4"/>
  <c r="U2974" i="4"/>
  <c r="U2978" i="4"/>
  <c r="U2982" i="4"/>
  <c r="U2986" i="4"/>
  <c r="U2990" i="4"/>
  <c r="U2994" i="4"/>
  <c r="U2998" i="4"/>
  <c r="U3002" i="4"/>
  <c r="U3006" i="4"/>
  <c r="U3010" i="4"/>
  <c r="U3014" i="4"/>
  <c r="U3018" i="4"/>
  <c r="U3022" i="4"/>
  <c r="U3026" i="4"/>
  <c r="U3030" i="4"/>
  <c r="U3034" i="4"/>
  <c r="U3038" i="4"/>
  <c r="U3042" i="4"/>
  <c r="U3046" i="4"/>
  <c r="U3050" i="4"/>
  <c r="U3054" i="4"/>
  <c r="U3058" i="4"/>
  <c r="U3062" i="4"/>
  <c r="U3066" i="4"/>
  <c r="U3070" i="4"/>
  <c r="U3074" i="4"/>
  <c r="U3078" i="4"/>
  <c r="U3082" i="4"/>
  <c r="U3086" i="4"/>
  <c r="U3090" i="4"/>
  <c r="U3094" i="4"/>
  <c r="U3098" i="4"/>
  <c r="U3102" i="4"/>
  <c r="U3106" i="4"/>
  <c r="U3110" i="4"/>
  <c r="U3114" i="4"/>
  <c r="U3118" i="4"/>
  <c r="U3122" i="4"/>
  <c r="U3126" i="4"/>
  <c r="U3130" i="4"/>
  <c r="U3134" i="4"/>
  <c r="U3138" i="4"/>
  <c r="U3142" i="4"/>
  <c r="U3146" i="4"/>
  <c r="U3150" i="4"/>
  <c r="U3154" i="4"/>
  <c r="U3158" i="4"/>
  <c r="U3162" i="4"/>
  <c r="U3166" i="4"/>
  <c r="U3170" i="4"/>
  <c r="U3174" i="4"/>
  <c r="U3178" i="4"/>
  <c r="U3182" i="4"/>
  <c r="U3186" i="4"/>
  <c r="U3190" i="4"/>
  <c r="U3194" i="4"/>
  <c r="U3198" i="4"/>
  <c r="U3202" i="4"/>
  <c r="U3206" i="4"/>
  <c r="U3210" i="4"/>
  <c r="U3214" i="4"/>
  <c r="U3218" i="4"/>
  <c r="U3222" i="4"/>
  <c r="U3226" i="4"/>
  <c r="U3230" i="4"/>
  <c r="U3234" i="4"/>
  <c r="U3238" i="4"/>
  <c r="U3242" i="4"/>
  <c r="U3246" i="4"/>
  <c r="U3250" i="4"/>
  <c r="U3254" i="4"/>
  <c r="U3258" i="4"/>
  <c r="U3262" i="4"/>
  <c r="U3266" i="4"/>
  <c r="U3270" i="4"/>
  <c r="U3274" i="4"/>
  <c r="U3278" i="4"/>
  <c r="U3282" i="4"/>
  <c r="U3286" i="4"/>
  <c r="U3290" i="4"/>
  <c r="U3294" i="4"/>
  <c r="U3298" i="4"/>
  <c r="U3302" i="4"/>
  <c r="U3306" i="4"/>
  <c r="U3310" i="4"/>
  <c r="U3314" i="4"/>
  <c r="U3318" i="4"/>
  <c r="U3322" i="4"/>
  <c r="U3326" i="4"/>
  <c r="U3330" i="4"/>
  <c r="U3334" i="4"/>
  <c r="U3338" i="4"/>
  <c r="U3342" i="4"/>
  <c r="U3346" i="4"/>
  <c r="U3350" i="4"/>
  <c r="U3354" i="4"/>
  <c r="U3358" i="4"/>
  <c r="U3362" i="4"/>
  <c r="U3366" i="4"/>
  <c r="U3370" i="4"/>
  <c r="U3374" i="4"/>
  <c r="U3378" i="4"/>
  <c r="U3382" i="4"/>
  <c r="U3386" i="4"/>
  <c r="U3390" i="4"/>
  <c r="U3394" i="4"/>
  <c r="U3398" i="4"/>
  <c r="U3402" i="4"/>
  <c r="U3406" i="4"/>
  <c r="U3410" i="4"/>
  <c r="U3414" i="4"/>
  <c r="U3418" i="4"/>
  <c r="U3422" i="4"/>
  <c r="U3426" i="4"/>
  <c r="U3430" i="4"/>
  <c r="U3434" i="4"/>
  <c r="U3438" i="4"/>
  <c r="U3442" i="4"/>
  <c r="U3446" i="4"/>
  <c r="U3450" i="4"/>
  <c r="U3454" i="4"/>
  <c r="U3458" i="4"/>
  <c r="U3462" i="4"/>
  <c r="U3466" i="4"/>
  <c r="U3470" i="4"/>
  <c r="U3474" i="4"/>
  <c r="U3478" i="4"/>
  <c r="U3482" i="4"/>
  <c r="U3486" i="4"/>
  <c r="U3490" i="4"/>
  <c r="U3494" i="4"/>
  <c r="U3498" i="4"/>
  <c r="U3502" i="4"/>
  <c r="U3506" i="4"/>
  <c r="U3510" i="4"/>
  <c r="U3514" i="4"/>
  <c r="U3518" i="4"/>
  <c r="U3522" i="4"/>
  <c r="U3526" i="4"/>
  <c r="U3530" i="4"/>
  <c r="U3534" i="4"/>
  <c r="U3538" i="4"/>
  <c r="U3542" i="4"/>
  <c r="U3546" i="4"/>
  <c r="U3550" i="4"/>
  <c r="U3554" i="4"/>
  <c r="U996" i="4"/>
  <c r="U1493" i="4"/>
  <c r="U1749" i="4"/>
  <c r="U1865" i="4"/>
  <c r="U1929" i="4"/>
  <c r="U1993" i="4"/>
  <c r="U2057" i="4"/>
  <c r="U2121" i="4"/>
  <c r="U2185" i="4"/>
  <c r="U2249" i="4"/>
  <c r="U2297" i="4"/>
  <c r="U2329" i="4"/>
  <c r="U2353" i="4"/>
  <c r="U2374" i="4"/>
  <c r="U2395" i="4"/>
  <c r="U2417" i="4"/>
  <c r="U2438" i="4"/>
  <c r="U2459" i="4"/>
  <c r="U2481" i="4"/>
  <c r="U2499" i="4"/>
  <c r="U2515" i="4"/>
  <c r="U2531" i="4"/>
  <c r="U2547" i="4"/>
  <c r="U2563" i="4"/>
  <c r="U2579" i="4"/>
  <c r="U2595" i="4"/>
  <c r="U2611" i="4"/>
  <c r="U2627" i="4"/>
  <c r="U2643" i="4"/>
  <c r="U2659" i="4"/>
  <c r="U2675" i="4"/>
  <c r="U2691" i="4"/>
  <c r="U2707" i="4"/>
  <c r="U2723" i="4"/>
  <c r="U2739" i="4"/>
  <c r="U2755" i="4"/>
  <c r="U2771" i="4"/>
  <c r="U2787" i="4"/>
  <c r="U2803" i="4"/>
  <c r="U2819" i="4"/>
  <c r="U2835" i="4"/>
  <c r="U2851" i="4"/>
  <c r="U2867" i="4"/>
  <c r="U2883" i="4"/>
  <c r="U2899" i="4"/>
  <c r="U2915" i="4"/>
  <c r="U2931" i="4"/>
  <c r="U2947" i="4"/>
  <c r="U2963" i="4"/>
  <c r="U2979" i="4"/>
  <c r="U2995" i="4"/>
  <c r="U3011" i="4"/>
  <c r="U3027" i="4"/>
  <c r="U3043" i="4"/>
  <c r="U3059" i="4"/>
  <c r="U3075" i="4"/>
  <c r="U3091" i="4"/>
  <c r="U3107" i="4"/>
  <c r="U3123" i="4"/>
  <c r="U3139" i="4"/>
  <c r="U3155" i="4"/>
  <c r="U3171" i="4"/>
  <c r="U3187" i="4"/>
  <c r="U3203" i="4"/>
  <c r="U3219" i="4"/>
  <c r="U3235" i="4"/>
  <c r="U3251" i="4"/>
  <c r="U3267" i="4"/>
  <c r="U3283" i="4"/>
  <c r="U3292" i="4"/>
  <c r="U3300" i="4"/>
  <c r="U3308" i="4"/>
  <c r="U3316" i="4"/>
  <c r="U3324" i="4"/>
  <c r="U3332" i="4"/>
  <c r="U3340" i="4"/>
  <c r="U3348" i="4"/>
  <c r="U3356" i="4"/>
  <c r="U3364" i="4"/>
  <c r="U3372" i="4"/>
  <c r="U3380" i="4"/>
  <c r="U3388" i="4"/>
  <c r="U3396" i="4"/>
  <c r="U3404" i="4"/>
  <c r="U3412" i="4"/>
  <c r="U3420" i="4"/>
  <c r="U3428" i="4"/>
  <c r="U3436" i="4"/>
  <c r="U3444" i="4"/>
  <c r="U3452" i="4"/>
  <c r="U3460" i="4"/>
  <c r="U3468" i="4"/>
  <c r="U3476" i="4"/>
  <c r="U3484" i="4"/>
  <c r="U3492" i="4"/>
  <c r="U3500" i="4"/>
  <c r="U3508" i="4"/>
  <c r="U3516" i="4"/>
  <c r="U3524" i="4"/>
  <c r="U3532" i="4"/>
  <c r="U3540" i="4"/>
  <c r="U3548" i="4"/>
  <c r="U3556" i="4"/>
  <c r="U3560" i="4"/>
  <c r="U3564" i="4"/>
  <c r="U3568" i="4"/>
  <c r="U3572" i="4"/>
  <c r="U3576" i="4"/>
  <c r="U3580" i="4"/>
  <c r="U3584" i="4"/>
  <c r="U3588" i="4"/>
  <c r="U3592" i="4"/>
  <c r="U3596" i="4"/>
  <c r="U3600" i="4"/>
  <c r="U3604" i="4"/>
  <c r="U3608" i="4"/>
  <c r="U3612" i="4"/>
  <c r="U3616" i="4"/>
  <c r="U3620" i="4"/>
  <c r="U3624" i="4"/>
  <c r="U3628" i="4"/>
  <c r="U3632" i="4"/>
  <c r="U3636" i="4"/>
  <c r="U3640" i="4"/>
  <c r="U3644" i="4"/>
  <c r="U3648" i="4"/>
  <c r="U3652" i="4"/>
  <c r="U3656" i="4"/>
  <c r="U3660" i="4"/>
  <c r="U3664" i="4"/>
  <c r="U3668" i="4"/>
  <c r="U3672" i="4"/>
  <c r="U3676" i="4"/>
  <c r="U3680" i="4"/>
  <c r="U3684" i="4"/>
  <c r="U3688" i="4"/>
  <c r="U3692" i="4"/>
  <c r="U3696" i="4"/>
  <c r="U3700" i="4"/>
  <c r="U3704" i="4"/>
  <c r="U3708" i="4"/>
  <c r="U3712" i="4"/>
  <c r="U3716" i="4"/>
  <c r="U3720" i="4"/>
  <c r="U3724" i="4"/>
  <c r="U3728" i="4"/>
  <c r="U3732" i="4"/>
  <c r="U3736" i="4"/>
  <c r="U3740" i="4"/>
  <c r="U3744" i="4"/>
  <c r="U3748" i="4"/>
  <c r="U3752" i="4"/>
  <c r="U3756" i="4"/>
  <c r="U3760" i="4"/>
  <c r="U3764" i="4"/>
  <c r="U3768" i="4"/>
  <c r="U3772" i="4"/>
  <c r="U3776" i="4"/>
  <c r="U3780" i="4"/>
  <c r="U3784" i="4"/>
  <c r="U3788" i="4"/>
  <c r="U3792" i="4"/>
  <c r="U3796" i="4"/>
  <c r="U3800" i="4"/>
  <c r="U3804" i="4"/>
  <c r="U3808" i="4"/>
  <c r="U3812" i="4"/>
  <c r="U3816" i="4"/>
  <c r="U3820" i="4"/>
  <c r="U3824" i="4"/>
  <c r="U3828" i="4"/>
  <c r="U3832" i="4"/>
  <c r="U3836" i="4"/>
  <c r="U3840" i="4"/>
  <c r="U3844" i="4"/>
  <c r="U3848" i="4"/>
  <c r="U3852" i="4"/>
  <c r="U3856" i="4"/>
  <c r="U3860" i="4"/>
  <c r="U3864" i="4"/>
  <c r="U3868" i="4"/>
  <c r="U3872" i="4"/>
  <c r="U3876" i="4"/>
  <c r="U3880" i="4"/>
  <c r="U3884" i="4"/>
  <c r="U3888" i="4"/>
  <c r="U3892" i="4"/>
  <c r="U3896" i="4"/>
  <c r="U3900" i="4"/>
  <c r="U3904" i="4"/>
  <c r="U3908" i="4"/>
  <c r="U3912" i="4"/>
  <c r="U3916" i="4"/>
  <c r="U3920" i="4"/>
  <c r="U3924" i="4"/>
  <c r="U3928" i="4"/>
  <c r="U3932" i="4"/>
  <c r="U3936" i="4"/>
  <c r="U3940" i="4"/>
  <c r="U3944" i="4"/>
  <c r="U3948" i="4"/>
  <c r="U3952" i="4"/>
  <c r="U3956" i="4"/>
  <c r="U3960" i="4"/>
  <c r="U3964" i="4"/>
  <c r="U3968" i="4"/>
  <c r="U3972" i="4"/>
  <c r="U3976" i="4"/>
  <c r="U3980" i="4"/>
  <c r="U3984" i="4"/>
  <c r="U3988" i="4"/>
  <c r="U3992" i="4"/>
  <c r="U3996" i="4"/>
  <c r="U4000" i="4"/>
  <c r="U4004" i="4"/>
  <c r="U4008" i="4"/>
  <c r="U4012" i="4"/>
  <c r="U4016" i="4"/>
  <c r="U4020" i="4"/>
  <c r="U4024" i="4"/>
  <c r="U4028" i="4"/>
  <c r="U4032" i="4"/>
  <c r="U4036" i="4"/>
  <c r="U4040" i="4"/>
  <c r="U4044" i="4"/>
  <c r="U4048" i="4"/>
  <c r="U4052" i="4"/>
  <c r="U4056" i="4"/>
  <c r="U4060" i="4"/>
  <c r="U4064" i="4"/>
  <c r="U4068" i="4"/>
  <c r="U4072" i="4"/>
  <c r="U4076" i="4"/>
  <c r="U4080" i="4"/>
  <c r="U4084" i="4"/>
  <c r="U4088" i="4"/>
  <c r="U4092" i="4"/>
  <c r="U4096" i="4"/>
  <c r="U4100" i="4"/>
  <c r="U4104" i="4"/>
  <c r="U4108" i="4"/>
  <c r="U4112" i="4"/>
  <c r="U4116" i="4"/>
  <c r="U4120" i="4"/>
  <c r="U4124" i="4"/>
  <c r="U4128" i="4"/>
  <c r="U4132" i="4"/>
  <c r="U4136" i="4"/>
  <c r="U4140" i="4"/>
  <c r="U4144" i="4"/>
  <c r="U4148" i="4"/>
  <c r="U4152" i="4"/>
  <c r="U4156" i="4"/>
  <c r="U4160" i="4"/>
  <c r="U4164" i="4"/>
  <c r="U4168" i="4"/>
  <c r="U4172" i="4"/>
  <c r="U4176" i="4"/>
  <c r="U4180" i="4"/>
  <c r="U4184" i="4"/>
  <c r="U4188" i="4"/>
  <c r="U4192" i="4"/>
  <c r="U4196" i="4"/>
  <c r="U4200" i="4"/>
  <c r="U4204" i="4"/>
  <c r="U4208" i="4"/>
  <c r="U4212" i="4"/>
  <c r="U4216" i="4"/>
  <c r="U4220" i="4"/>
  <c r="U4224" i="4"/>
  <c r="U4228" i="4"/>
  <c r="U4232" i="4"/>
  <c r="U4236" i="4"/>
  <c r="U4240" i="4"/>
  <c r="U4244" i="4"/>
  <c r="U4248" i="4"/>
  <c r="U1252" i="4"/>
  <c r="U1557" i="4"/>
  <c r="U1800" i="4"/>
  <c r="U1881" i="4"/>
  <c r="U1945" i="4"/>
  <c r="U2009" i="4"/>
  <c r="U2073" i="4"/>
  <c r="U2137" i="4"/>
  <c r="U2201" i="4"/>
  <c r="U2265" i="4"/>
  <c r="U2305" i="4"/>
  <c r="U2337" i="4"/>
  <c r="U2358" i="4"/>
  <c r="U2379" i="4"/>
  <c r="U2401" i="4"/>
  <c r="U2422" i="4"/>
  <c r="U2443" i="4"/>
  <c r="U2465" i="4"/>
  <c r="U2486" i="4"/>
  <c r="U2503" i="4"/>
  <c r="U2519" i="4"/>
  <c r="U2535" i="4"/>
  <c r="U2551" i="4"/>
  <c r="U2567" i="4"/>
  <c r="U2583" i="4"/>
  <c r="U2599" i="4"/>
  <c r="U2615" i="4"/>
  <c r="U2631" i="4"/>
  <c r="U2647" i="4"/>
  <c r="U2663" i="4"/>
  <c r="U2679" i="4"/>
  <c r="U2695" i="4"/>
  <c r="U2711" i="4"/>
  <c r="U2727" i="4"/>
  <c r="U2743" i="4"/>
  <c r="U2759" i="4"/>
  <c r="U2775" i="4"/>
  <c r="U2791" i="4"/>
  <c r="U2807" i="4"/>
  <c r="U2823" i="4"/>
  <c r="U2839" i="4"/>
  <c r="U2855" i="4"/>
  <c r="U2871" i="4"/>
  <c r="U2887" i="4"/>
  <c r="U2903" i="4"/>
  <c r="U2919" i="4"/>
  <c r="U2935" i="4"/>
  <c r="U2951" i="4"/>
  <c r="U2967" i="4"/>
  <c r="U2983" i="4"/>
  <c r="U2999" i="4"/>
  <c r="U3015" i="4"/>
  <c r="U3031" i="4"/>
  <c r="U3047" i="4"/>
  <c r="U3063" i="4"/>
  <c r="U3079" i="4"/>
  <c r="U3095" i="4"/>
  <c r="U3111" i="4"/>
  <c r="U3127" i="4"/>
  <c r="U3143" i="4"/>
  <c r="U3159" i="4"/>
  <c r="U3175" i="4"/>
  <c r="U3191" i="4"/>
  <c r="U3207" i="4"/>
  <c r="U3223" i="4"/>
  <c r="U3239" i="4"/>
  <c r="U3255" i="4"/>
  <c r="U3271" i="4"/>
  <c r="U3287" i="4"/>
  <c r="U3295" i="4"/>
  <c r="U3303" i="4"/>
  <c r="U3311" i="4"/>
  <c r="U3319" i="4"/>
  <c r="U3327" i="4"/>
  <c r="U3335" i="4"/>
  <c r="U3343" i="4"/>
  <c r="U3351" i="4"/>
  <c r="U3359" i="4"/>
  <c r="U3367" i="4"/>
  <c r="U3375" i="4"/>
  <c r="U3383" i="4"/>
  <c r="U3391" i="4"/>
  <c r="U3399" i="4"/>
  <c r="U3407" i="4"/>
  <c r="U3415" i="4"/>
  <c r="U3423" i="4"/>
  <c r="U3431" i="4"/>
  <c r="U3439" i="4"/>
  <c r="U3447" i="4"/>
  <c r="U3455" i="4"/>
  <c r="U3463" i="4"/>
  <c r="U3471" i="4"/>
  <c r="U3479" i="4"/>
  <c r="U3487" i="4"/>
  <c r="U3495" i="4"/>
  <c r="U3503" i="4"/>
  <c r="U3511" i="4"/>
  <c r="U3519" i="4"/>
  <c r="U3527" i="4"/>
  <c r="U3535" i="4"/>
  <c r="U3543" i="4"/>
  <c r="U3551" i="4"/>
  <c r="U3557" i="4"/>
  <c r="U3561" i="4"/>
  <c r="U3565" i="4"/>
  <c r="U3569" i="4"/>
  <c r="U3573" i="4"/>
  <c r="U3577" i="4"/>
  <c r="U3581" i="4"/>
  <c r="U3585" i="4"/>
  <c r="U3589" i="4"/>
  <c r="U3593" i="4"/>
  <c r="U3597" i="4"/>
  <c r="U3601" i="4"/>
  <c r="U3605" i="4"/>
  <c r="U3609" i="4"/>
  <c r="U3613" i="4"/>
  <c r="U3617" i="4"/>
  <c r="U3621" i="4"/>
  <c r="U3625" i="4"/>
  <c r="U3629" i="4"/>
  <c r="U3633" i="4"/>
  <c r="U3637" i="4"/>
  <c r="U3641" i="4"/>
  <c r="U3645" i="4"/>
  <c r="U3649" i="4"/>
  <c r="U3653" i="4"/>
  <c r="U3657" i="4"/>
  <c r="U3661" i="4"/>
  <c r="U3665" i="4"/>
  <c r="U3669" i="4"/>
  <c r="U3673" i="4"/>
  <c r="U3677" i="4"/>
  <c r="U3681" i="4"/>
  <c r="U3685" i="4"/>
  <c r="U3689" i="4"/>
  <c r="U3693" i="4"/>
  <c r="U3697" i="4"/>
  <c r="U3701" i="4"/>
  <c r="U3705" i="4"/>
  <c r="U3709" i="4"/>
  <c r="U3713" i="4"/>
  <c r="U3717" i="4"/>
  <c r="U3721" i="4"/>
  <c r="U3725" i="4"/>
  <c r="U3729" i="4"/>
  <c r="U3733" i="4"/>
  <c r="U3737" i="4"/>
  <c r="U3741" i="4"/>
  <c r="U3745" i="4"/>
  <c r="U3749" i="4"/>
  <c r="U3753" i="4"/>
  <c r="U3757" i="4"/>
  <c r="U3761" i="4"/>
  <c r="U3765" i="4"/>
  <c r="U3769" i="4"/>
  <c r="U3773" i="4"/>
  <c r="U3777" i="4"/>
  <c r="U3781" i="4"/>
  <c r="U3785" i="4"/>
  <c r="U3789" i="4"/>
  <c r="U3793" i="4"/>
  <c r="U3797" i="4"/>
  <c r="U3801" i="4"/>
  <c r="U3805" i="4"/>
  <c r="U3809" i="4"/>
  <c r="U3813" i="4"/>
  <c r="U3817" i="4"/>
  <c r="U3821" i="4"/>
  <c r="U3825" i="4"/>
  <c r="U3829" i="4"/>
  <c r="U3833" i="4"/>
  <c r="U3837" i="4"/>
  <c r="U3841" i="4"/>
  <c r="U3845" i="4"/>
  <c r="U3849" i="4"/>
  <c r="U3853" i="4"/>
  <c r="U3857" i="4"/>
  <c r="U3861" i="4"/>
  <c r="U3865" i="4"/>
  <c r="U3869" i="4"/>
  <c r="U3873" i="4"/>
  <c r="U3877" i="4"/>
  <c r="U3881" i="4"/>
  <c r="U3885" i="4"/>
  <c r="U3889" i="4"/>
  <c r="U3893" i="4"/>
  <c r="U3897" i="4"/>
  <c r="U3901" i="4"/>
  <c r="U3905" i="4"/>
  <c r="U3909" i="4"/>
  <c r="U3913" i="4"/>
  <c r="U3917" i="4"/>
  <c r="U3921" i="4"/>
  <c r="U3925" i="4"/>
  <c r="U3929" i="4"/>
  <c r="U3933" i="4"/>
  <c r="U3937" i="4"/>
  <c r="U3941" i="4"/>
  <c r="U3945" i="4"/>
  <c r="U3949" i="4"/>
  <c r="U3953" i="4"/>
  <c r="U3957" i="4"/>
  <c r="U3961" i="4"/>
  <c r="U3965" i="4"/>
  <c r="U3969" i="4"/>
  <c r="U3973" i="4"/>
  <c r="U3977" i="4"/>
  <c r="U3981" i="4"/>
  <c r="U3985" i="4"/>
  <c r="U3989" i="4"/>
  <c r="U3993" i="4"/>
  <c r="U3997" i="4"/>
  <c r="U4001" i="4"/>
  <c r="U4005" i="4"/>
  <c r="U4009" i="4"/>
  <c r="U4013" i="4"/>
  <c r="U4017" i="4"/>
  <c r="U4021" i="4"/>
  <c r="U4025" i="4"/>
  <c r="U4029" i="4"/>
  <c r="U4033" i="4"/>
  <c r="U4037" i="4"/>
  <c r="U4041" i="4"/>
  <c r="U4045" i="4"/>
  <c r="U4049" i="4"/>
  <c r="U4053" i="4"/>
  <c r="U4057" i="4"/>
  <c r="U4061" i="4"/>
  <c r="U4065" i="4"/>
  <c r="U4069" i="4"/>
  <c r="U4073" i="4"/>
  <c r="U4077" i="4"/>
  <c r="U4081" i="4"/>
  <c r="U4085" i="4"/>
  <c r="U4089" i="4"/>
  <c r="U4093" i="4"/>
  <c r="U4097" i="4"/>
  <c r="U4101" i="4"/>
  <c r="U4105" i="4"/>
  <c r="U4109" i="4"/>
  <c r="U4113" i="4"/>
  <c r="U4117" i="4"/>
  <c r="U4121" i="4"/>
  <c r="U4125" i="4"/>
  <c r="U4129" i="4"/>
  <c r="U4133" i="4"/>
  <c r="U4137" i="4"/>
  <c r="U4141" i="4"/>
  <c r="U4145" i="4"/>
  <c r="U4149" i="4"/>
  <c r="U4153" i="4"/>
  <c r="U4157" i="4"/>
  <c r="U4161" i="4"/>
  <c r="U4165" i="4"/>
  <c r="U4169" i="4"/>
  <c r="U4173" i="4"/>
  <c r="U4177" i="4"/>
  <c r="U4181" i="4"/>
  <c r="U4185" i="4"/>
  <c r="U4189" i="4"/>
  <c r="U4193" i="4"/>
  <c r="U4197" i="4"/>
  <c r="U4201" i="4"/>
  <c r="U4205" i="4"/>
  <c r="U4209" i="4"/>
  <c r="U4213" i="4"/>
  <c r="U4217" i="4"/>
  <c r="U4221" i="4"/>
  <c r="U4225" i="4"/>
  <c r="U4229" i="4"/>
  <c r="U4233" i="4"/>
  <c r="U4237" i="4"/>
  <c r="U4241" i="4"/>
  <c r="U4245" i="4"/>
  <c r="U4249" i="4"/>
  <c r="U4253" i="4"/>
  <c r="U4257" i="4"/>
  <c r="U4261" i="4"/>
  <c r="U4265" i="4"/>
  <c r="U4269" i="4"/>
  <c r="U1346" i="4"/>
  <c r="U1621" i="4"/>
  <c r="U1827" i="4"/>
  <c r="U1897" i="4"/>
  <c r="U1961" i="4"/>
  <c r="U2025" i="4"/>
  <c r="U2089" i="4"/>
  <c r="U2153" i="4"/>
  <c r="U2217" i="4"/>
  <c r="U2281" i="4"/>
  <c r="U2313" i="4"/>
  <c r="U2342" i="4"/>
  <c r="U2363" i="4"/>
  <c r="U2385" i="4"/>
  <c r="U2406" i="4"/>
  <c r="U2427" i="4"/>
  <c r="U2449" i="4"/>
  <c r="U2470" i="4"/>
  <c r="U2491" i="4"/>
  <c r="U2507" i="4"/>
  <c r="U2523" i="4"/>
  <c r="U2539" i="4"/>
  <c r="U2555" i="4"/>
  <c r="U2571" i="4"/>
  <c r="U2587" i="4"/>
  <c r="U2603" i="4"/>
  <c r="U2619" i="4"/>
  <c r="U2635" i="4"/>
  <c r="U2651" i="4"/>
  <c r="U2667" i="4"/>
  <c r="U2683" i="4"/>
  <c r="U2699" i="4"/>
  <c r="U2715" i="4"/>
  <c r="U2731" i="4"/>
  <c r="U2747" i="4"/>
  <c r="U2763" i="4"/>
  <c r="U2779" i="4"/>
  <c r="U2795" i="4"/>
  <c r="U2811" i="4"/>
  <c r="U2827" i="4"/>
  <c r="U2843" i="4"/>
  <c r="U2859" i="4"/>
  <c r="U2875" i="4"/>
  <c r="U2891" i="4"/>
  <c r="U2907" i="4"/>
  <c r="U2923" i="4"/>
  <c r="U2939" i="4"/>
  <c r="U2955" i="4"/>
  <c r="U2971" i="4"/>
  <c r="U2987" i="4"/>
  <c r="U3003" i="4"/>
  <c r="U3019" i="4"/>
  <c r="U3035" i="4"/>
  <c r="U3051" i="4"/>
  <c r="U3067" i="4"/>
  <c r="U3083" i="4"/>
  <c r="U3099" i="4"/>
  <c r="U3115" i="4"/>
  <c r="U3131" i="4"/>
  <c r="U3147" i="4"/>
  <c r="U3163" i="4"/>
  <c r="U3179" i="4"/>
  <c r="U3195" i="4"/>
  <c r="U3211" i="4"/>
  <c r="U3227" i="4"/>
  <c r="U3243" i="4"/>
  <c r="U3259" i="4"/>
  <c r="U3275" i="4"/>
  <c r="U3288" i="4"/>
  <c r="U3296" i="4"/>
  <c r="U3304" i="4"/>
  <c r="U3312" i="4"/>
  <c r="U3320" i="4"/>
  <c r="U3328" i="4"/>
  <c r="U3336" i="4"/>
  <c r="U3344" i="4"/>
  <c r="U3352" i="4"/>
  <c r="U3360" i="4"/>
  <c r="U3368" i="4"/>
  <c r="U3376" i="4"/>
  <c r="U3384" i="4"/>
  <c r="U3392" i="4"/>
  <c r="U3400" i="4"/>
  <c r="U3408" i="4"/>
  <c r="U3416" i="4"/>
  <c r="U3424" i="4"/>
  <c r="U3432" i="4"/>
  <c r="U3440" i="4"/>
  <c r="U3448" i="4"/>
  <c r="U3456" i="4"/>
  <c r="U3464" i="4"/>
  <c r="U3472" i="4"/>
  <c r="U3480" i="4"/>
  <c r="U3488" i="4"/>
  <c r="U3496" i="4"/>
  <c r="U3504" i="4"/>
  <c r="U3512" i="4"/>
  <c r="U3520" i="4"/>
  <c r="U3528" i="4"/>
  <c r="U3536" i="4"/>
  <c r="U3544" i="4"/>
  <c r="U3552" i="4"/>
  <c r="U3558" i="4"/>
  <c r="U3562" i="4"/>
  <c r="U3566" i="4"/>
  <c r="U3570" i="4"/>
  <c r="U3574" i="4"/>
  <c r="U3578" i="4"/>
  <c r="U3582" i="4"/>
  <c r="U3586" i="4"/>
  <c r="U3590" i="4"/>
  <c r="U3594" i="4"/>
  <c r="U3598" i="4"/>
  <c r="U3602" i="4"/>
  <c r="U3606" i="4"/>
  <c r="U3610" i="4"/>
  <c r="U3614" i="4"/>
  <c r="U3618" i="4"/>
  <c r="U3622" i="4"/>
  <c r="U3626" i="4"/>
  <c r="U3630" i="4"/>
  <c r="U3634" i="4"/>
  <c r="U3638" i="4"/>
  <c r="U3642" i="4"/>
  <c r="U3646" i="4"/>
  <c r="U3650" i="4"/>
  <c r="U3654" i="4"/>
  <c r="U3658" i="4"/>
  <c r="U3662" i="4"/>
  <c r="U3666" i="4"/>
  <c r="U3670" i="4"/>
  <c r="U3674" i="4"/>
  <c r="U3678" i="4"/>
  <c r="U3682" i="4"/>
  <c r="U3686" i="4"/>
  <c r="U3690" i="4"/>
  <c r="U3694" i="4"/>
  <c r="U3698" i="4"/>
  <c r="U3702" i="4"/>
  <c r="U3706" i="4"/>
  <c r="U3710" i="4"/>
  <c r="U3714" i="4"/>
  <c r="U3718" i="4"/>
  <c r="U3722" i="4"/>
  <c r="U3726" i="4"/>
  <c r="U3730" i="4"/>
  <c r="U3734" i="4"/>
  <c r="U3738" i="4"/>
  <c r="U3742" i="4"/>
  <c r="U3746" i="4"/>
  <c r="U3750" i="4"/>
  <c r="U3754" i="4"/>
  <c r="U3758" i="4"/>
  <c r="U3762" i="4"/>
  <c r="U3766" i="4"/>
  <c r="U3770" i="4"/>
  <c r="U3774" i="4"/>
  <c r="U3778" i="4"/>
  <c r="U3782" i="4"/>
  <c r="U3786" i="4"/>
  <c r="U3790" i="4"/>
  <c r="U3794" i="4"/>
  <c r="U3798" i="4"/>
  <c r="U3802" i="4"/>
  <c r="U3806" i="4"/>
  <c r="U3810" i="4"/>
  <c r="U3814" i="4"/>
  <c r="U3818" i="4"/>
  <c r="U3822" i="4"/>
  <c r="U3826" i="4"/>
  <c r="U3830" i="4"/>
  <c r="U3834" i="4"/>
  <c r="U3838" i="4"/>
  <c r="U3842" i="4"/>
  <c r="U3846" i="4"/>
  <c r="U3850" i="4"/>
  <c r="U3854" i="4"/>
  <c r="U3858" i="4"/>
  <c r="U3862" i="4"/>
  <c r="U3866" i="4"/>
  <c r="U3870" i="4"/>
  <c r="U3874" i="4"/>
  <c r="U3878" i="4"/>
  <c r="U3882" i="4"/>
  <c r="U3886" i="4"/>
  <c r="U3890" i="4"/>
  <c r="U3894" i="4"/>
  <c r="U3898" i="4"/>
  <c r="U3902" i="4"/>
  <c r="U3906" i="4"/>
  <c r="U3910" i="4"/>
  <c r="U3914" i="4"/>
  <c r="U3918" i="4"/>
  <c r="U3922" i="4"/>
  <c r="U3926" i="4"/>
  <c r="U3930" i="4"/>
  <c r="U3934" i="4"/>
  <c r="U3938" i="4"/>
  <c r="U3942" i="4"/>
  <c r="U3946" i="4"/>
  <c r="U3950" i="4"/>
  <c r="U3954" i="4"/>
  <c r="U3958" i="4"/>
  <c r="U3962" i="4"/>
  <c r="U3966" i="4"/>
  <c r="U3970" i="4"/>
  <c r="U3974" i="4"/>
  <c r="U3978" i="4"/>
  <c r="U3982" i="4"/>
  <c r="U3986" i="4"/>
  <c r="U3990" i="4"/>
  <c r="U3994" i="4"/>
  <c r="U3998" i="4"/>
  <c r="U4002" i="4"/>
  <c r="U4006" i="4"/>
  <c r="U4010" i="4"/>
  <c r="U4014" i="4"/>
  <c r="U4018" i="4"/>
  <c r="U4022" i="4"/>
  <c r="U4026" i="4"/>
  <c r="U4030" i="4"/>
  <c r="U4034" i="4"/>
  <c r="U4038" i="4"/>
  <c r="U4042" i="4"/>
  <c r="U4046" i="4"/>
  <c r="U4050" i="4"/>
  <c r="U4054" i="4"/>
  <c r="U4058" i="4"/>
  <c r="U4062" i="4"/>
  <c r="U4066" i="4"/>
  <c r="U4070" i="4"/>
  <c r="U4074" i="4"/>
  <c r="U4078" i="4"/>
  <c r="U4082" i="4"/>
  <c r="U4086" i="4"/>
  <c r="U4090" i="4"/>
  <c r="U4094" i="4"/>
  <c r="U4098" i="4"/>
  <c r="U4102" i="4"/>
  <c r="U4106" i="4"/>
  <c r="U4110" i="4"/>
  <c r="U4114" i="4"/>
  <c r="U4118" i="4"/>
  <c r="U4122" i="4"/>
  <c r="U4126" i="4"/>
  <c r="U4130" i="4"/>
  <c r="U4134" i="4"/>
  <c r="U4138" i="4"/>
  <c r="U4142" i="4"/>
  <c r="U4146" i="4"/>
  <c r="U4150" i="4"/>
  <c r="U4154" i="4"/>
  <c r="U4158" i="4"/>
  <c r="U4162" i="4"/>
  <c r="U4166" i="4"/>
  <c r="U4170" i="4"/>
  <c r="U4174" i="4"/>
  <c r="U4178" i="4"/>
  <c r="U4182" i="4"/>
  <c r="U4186" i="4"/>
  <c r="U4190" i="4"/>
  <c r="U4194" i="4"/>
  <c r="U4198" i="4"/>
  <c r="U4202" i="4"/>
  <c r="U4206" i="4"/>
  <c r="U4210" i="4"/>
  <c r="U4214" i="4"/>
  <c r="U4218" i="4"/>
  <c r="U4222" i="4"/>
  <c r="U4226" i="4"/>
  <c r="U4230" i="4"/>
  <c r="U4234" i="4"/>
  <c r="U4238" i="4"/>
  <c r="U4242" i="4"/>
  <c r="U4246" i="4"/>
  <c r="U4250" i="4"/>
  <c r="U4254" i="4"/>
  <c r="U4258" i="4"/>
  <c r="U4262" i="4"/>
  <c r="U4266" i="4"/>
  <c r="U4270" i="4"/>
  <c r="U4274" i="4"/>
  <c r="U4278" i="4"/>
  <c r="U4282" i="4"/>
  <c r="U4286" i="4"/>
  <c r="U4290" i="4"/>
  <c r="U4294" i="4"/>
  <c r="U4298" i="4"/>
  <c r="U4302" i="4"/>
  <c r="U4306" i="4"/>
  <c r="U4310" i="4"/>
  <c r="U4314" i="4"/>
  <c r="U4318" i="4"/>
  <c r="U4322" i="4"/>
  <c r="U4326" i="4"/>
  <c r="U4330" i="4"/>
  <c r="U4334" i="4"/>
  <c r="U4338" i="4"/>
  <c r="U4342" i="4"/>
  <c r="U4346" i="4"/>
  <c r="U4350" i="4"/>
  <c r="U4354" i="4"/>
  <c r="U4358" i="4"/>
  <c r="U4362" i="4"/>
  <c r="U4366" i="4"/>
  <c r="U4370" i="4"/>
  <c r="U4374" i="4"/>
  <c r="U4378" i="4"/>
  <c r="U4382" i="4"/>
  <c r="U4386" i="4"/>
  <c r="U4390" i="4"/>
  <c r="U4394" i="4"/>
  <c r="U4398" i="4"/>
  <c r="U4402" i="4"/>
  <c r="U4406" i="4"/>
  <c r="U4410" i="4"/>
  <c r="U4414" i="4"/>
  <c r="U4418" i="4"/>
  <c r="U4422" i="4"/>
  <c r="U4426" i="4"/>
  <c r="U4430" i="4"/>
  <c r="U4434" i="4"/>
  <c r="U4438" i="4"/>
  <c r="U4442" i="4"/>
  <c r="U4446" i="4"/>
  <c r="U4450" i="4"/>
  <c r="U4454" i="4"/>
  <c r="U4458" i="4"/>
  <c r="U4462" i="4"/>
  <c r="U4466" i="4"/>
  <c r="U4470" i="4"/>
  <c r="U4474" i="4"/>
  <c r="U4478" i="4"/>
  <c r="U4482" i="4"/>
  <c r="U4486" i="4"/>
  <c r="U4490" i="4"/>
  <c r="U4494" i="4"/>
  <c r="U4498" i="4"/>
  <c r="U4502" i="4"/>
  <c r="U4506" i="4"/>
  <c r="U4510" i="4"/>
  <c r="U1429" i="4"/>
  <c r="U1977" i="4"/>
  <c r="U2233" i="4"/>
  <c r="U2369" i="4"/>
  <c r="U2454" i="4"/>
  <c r="U2527" i="4"/>
  <c r="U2591" i="4"/>
  <c r="U2655" i="4"/>
  <c r="U2719" i="4"/>
  <c r="U2783" i="4"/>
  <c r="U2847" i="4"/>
  <c r="U2911" i="4"/>
  <c r="U2975" i="4"/>
  <c r="U3039" i="4"/>
  <c r="U3103" i="4"/>
  <c r="U3167" i="4"/>
  <c r="U3231" i="4"/>
  <c r="U3291" i="4"/>
  <c r="U3323" i="4"/>
  <c r="U3355" i="4"/>
  <c r="U3387" i="4"/>
  <c r="U3419" i="4"/>
  <c r="U3451" i="4"/>
  <c r="U3483" i="4"/>
  <c r="U3515" i="4"/>
  <c r="U3547" i="4"/>
  <c r="U3567" i="4"/>
  <c r="U3583" i="4"/>
  <c r="U3599" i="4"/>
  <c r="U3615" i="4"/>
  <c r="U3631" i="4"/>
  <c r="U3647" i="4"/>
  <c r="U3663" i="4"/>
  <c r="U3679" i="4"/>
  <c r="U3695" i="4"/>
  <c r="U3711" i="4"/>
  <c r="U3727" i="4"/>
  <c r="U3743" i="4"/>
  <c r="U3759" i="4"/>
  <c r="U3775" i="4"/>
  <c r="U3791" i="4"/>
  <c r="U3807" i="4"/>
  <c r="U3823" i="4"/>
  <c r="U3839" i="4"/>
  <c r="U3855" i="4"/>
  <c r="U3871" i="4"/>
  <c r="U3887" i="4"/>
  <c r="U3903" i="4"/>
  <c r="U3919" i="4"/>
  <c r="U3935" i="4"/>
  <c r="U3951" i="4"/>
  <c r="U3967" i="4"/>
  <c r="U3983" i="4"/>
  <c r="U3999" i="4"/>
  <c r="U4015" i="4"/>
  <c r="U4031" i="4"/>
  <c r="U4047" i="4"/>
  <c r="U4063" i="4"/>
  <c r="U4079" i="4"/>
  <c r="U4095" i="4"/>
  <c r="U4111" i="4"/>
  <c r="U4127" i="4"/>
  <c r="U4143" i="4"/>
  <c r="U4159" i="4"/>
  <c r="U4175" i="4"/>
  <c r="U4191" i="4"/>
  <c r="U4207" i="4"/>
  <c r="U4223" i="4"/>
  <c r="U4239" i="4"/>
  <c r="U4252" i="4"/>
  <c r="U4260" i="4"/>
  <c r="U4268" i="4"/>
  <c r="U4275" i="4"/>
  <c r="U4280" i="4"/>
  <c r="U4285" i="4"/>
  <c r="U4291" i="4"/>
  <c r="U4296" i="4"/>
  <c r="U4301" i="4"/>
  <c r="U4307" i="4"/>
  <c r="U4312" i="4"/>
  <c r="U4317" i="4"/>
  <c r="U4323" i="4"/>
  <c r="U4328" i="4"/>
  <c r="U4333" i="4"/>
  <c r="U4339" i="4"/>
  <c r="U4344" i="4"/>
  <c r="U4349" i="4"/>
  <c r="U4355" i="4"/>
  <c r="U4360" i="4"/>
  <c r="U4365" i="4"/>
  <c r="U4371" i="4"/>
  <c r="U4376" i="4"/>
  <c r="U4381" i="4"/>
  <c r="U4387" i="4"/>
  <c r="U4392" i="4"/>
  <c r="U4397" i="4"/>
  <c r="U4403" i="4"/>
  <c r="U4408" i="4"/>
  <c r="U4413" i="4"/>
  <c r="U4419" i="4"/>
  <c r="U4424" i="4"/>
  <c r="U4429" i="4"/>
  <c r="U4435" i="4"/>
  <c r="U4440" i="4"/>
  <c r="U4445" i="4"/>
  <c r="U4451" i="4"/>
  <c r="U4456" i="4"/>
  <c r="U4461" i="4"/>
  <c r="U4467" i="4"/>
  <c r="U4472" i="4"/>
  <c r="U4477" i="4"/>
  <c r="U4483" i="4"/>
  <c r="U4488" i="4"/>
  <c r="U4493" i="4"/>
  <c r="U4499" i="4"/>
  <c r="U4504" i="4"/>
  <c r="U4509" i="4"/>
  <c r="U4514" i="4"/>
  <c r="U4518" i="4"/>
  <c r="U4522" i="4"/>
  <c r="U4526" i="4"/>
  <c r="U4530" i="4"/>
  <c r="U4534" i="4"/>
  <c r="U4538" i="4"/>
  <c r="U4542" i="4"/>
  <c r="U4546" i="4"/>
  <c r="U4550" i="4"/>
  <c r="U4554" i="4"/>
  <c r="U4558" i="4"/>
  <c r="U4562" i="4"/>
  <c r="U4566" i="4"/>
  <c r="U4570" i="4"/>
  <c r="U4574" i="4"/>
  <c r="U4578" i="4"/>
  <c r="U4582" i="4"/>
  <c r="U4586" i="4"/>
  <c r="U4590" i="4"/>
  <c r="U4594" i="4"/>
  <c r="U4598" i="4"/>
  <c r="U4602" i="4"/>
  <c r="U4606" i="4"/>
  <c r="U4610" i="4"/>
  <c r="U4614" i="4"/>
  <c r="U4618" i="4"/>
  <c r="U4622" i="4"/>
  <c r="U4626" i="4"/>
  <c r="U4630" i="4"/>
  <c r="U4634" i="4"/>
  <c r="U4638" i="4"/>
  <c r="U4642" i="4"/>
  <c r="U4646" i="4"/>
  <c r="U4650" i="4"/>
  <c r="U4654" i="4"/>
  <c r="U4658" i="4"/>
  <c r="U4662" i="4"/>
  <c r="U4666" i="4"/>
  <c r="U4670" i="4"/>
  <c r="U4674" i="4"/>
  <c r="U4678" i="4"/>
  <c r="U4682" i="4"/>
  <c r="U4686" i="4"/>
  <c r="U4690" i="4"/>
  <c r="U4694" i="4"/>
  <c r="U4698" i="4"/>
  <c r="U4702" i="4"/>
  <c r="U4706" i="4"/>
  <c r="U4710" i="4"/>
  <c r="U4714" i="4"/>
  <c r="U4718" i="4"/>
  <c r="U4722" i="4"/>
  <c r="U4726" i="4"/>
  <c r="U4730" i="4"/>
  <c r="U4734" i="4"/>
  <c r="U4738" i="4"/>
  <c r="U4742" i="4"/>
  <c r="U4746" i="4"/>
  <c r="U4750" i="4"/>
  <c r="U4754" i="4"/>
  <c r="U4758" i="4"/>
  <c r="U4762" i="4"/>
  <c r="U4766" i="4"/>
  <c r="U4770" i="4"/>
  <c r="U4774" i="4"/>
  <c r="U4778" i="4"/>
  <c r="U4782" i="4"/>
  <c r="U4786" i="4"/>
  <c r="U4790" i="4"/>
  <c r="U4794" i="4"/>
  <c r="U4798" i="4"/>
  <c r="U4802" i="4"/>
  <c r="U4806" i="4"/>
  <c r="U4810" i="4"/>
  <c r="U4814" i="4"/>
  <c r="U4818" i="4"/>
  <c r="U4822" i="4"/>
  <c r="U4826" i="4"/>
  <c r="U4830" i="4"/>
  <c r="U4834" i="4"/>
  <c r="U4838" i="4"/>
  <c r="U4842" i="4"/>
  <c r="U4846" i="4"/>
  <c r="U4850" i="4"/>
  <c r="U4854" i="4"/>
  <c r="U4858" i="4"/>
  <c r="U4862" i="4"/>
  <c r="U4866" i="4"/>
  <c r="U4870" i="4"/>
  <c r="U4874" i="4"/>
  <c r="U4878" i="4"/>
  <c r="U4882" i="4"/>
  <c r="U4886" i="4"/>
  <c r="U4890" i="4"/>
  <c r="U4894" i="4"/>
  <c r="U4898" i="4"/>
  <c r="U4902" i="4"/>
  <c r="U4906" i="4"/>
  <c r="U4910" i="4"/>
  <c r="U4914" i="4"/>
  <c r="U4918" i="4"/>
  <c r="U4922" i="4"/>
  <c r="U4926" i="4"/>
  <c r="U4930" i="4"/>
  <c r="U4934" i="4"/>
  <c r="U4938" i="4"/>
  <c r="U4942" i="4"/>
  <c r="U4946" i="4"/>
  <c r="U4950" i="4"/>
  <c r="U4954" i="4"/>
  <c r="U4958" i="4"/>
  <c r="U4962" i="4"/>
  <c r="U4966" i="4"/>
  <c r="U4970" i="4"/>
  <c r="U4974" i="4"/>
  <c r="U4978" i="4"/>
  <c r="U4982" i="4"/>
  <c r="U4986" i="4"/>
  <c r="U4990" i="4"/>
  <c r="U4994" i="4"/>
  <c r="U4998" i="4"/>
  <c r="U5002" i="4"/>
  <c r="U5006" i="4"/>
  <c r="U1685" i="4"/>
  <c r="U2041" i="4"/>
  <c r="U2289" i="4"/>
  <c r="U2390" i="4"/>
  <c r="U2475" i="4"/>
  <c r="U2543" i="4"/>
  <c r="U2607" i="4"/>
  <c r="U2671" i="4"/>
  <c r="U2735" i="4"/>
  <c r="U2799" i="4"/>
  <c r="U2863" i="4"/>
  <c r="U2927" i="4"/>
  <c r="U2991" i="4"/>
  <c r="U3055" i="4"/>
  <c r="U3119" i="4"/>
  <c r="U3183" i="4"/>
  <c r="U3247" i="4"/>
  <c r="U3299" i="4"/>
  <c r="U3331" i="4"/>
  <c r="U3363" i="4"/>
  <c r="U3395" i="4"/>
  <c r="U3427" i="4"/>
  <c r="U3459" i="4"/>
  <c r="U3491" i="4"/>
  <c r="U3523" i="4"/>
  <c r="U3555" i="4"/>
  <c r="U3571" i="4"/>
  <c r="U3587" i="4"/>
  <c r="U3603" i="4"/>
  <c r="U3619" i="4"/>
  <c r="U3635" i="4"/>
  <c r="U3651" i="4"/>
  <c r="U3667" i="4"/>
  <c r="U3683" i="4"/>
  <c r="U3699" i="4"/>
  <c r="U3715" i="4"/>
  <c r="U3731" i="4"/>
  <c r="U3747" i="4"/>
  <c r="U3763" i="4"/>
  <c r="U3779" i="4"/>
  <c r="U3795" i="4"/>
  <c r="U3811" i="4"/>
  <c r="U3827" i="4"/>
  <c r="U3843" i="4"/>
  <c r="U3859" i="4"/>
  <c r="U3875" i="4"/>
  <c r="U3891" i="4"/>
  <c r="U3907" i="4"/>
  <c r="U3923" i="4"/>
  <c r="U3939" i="4"/>
  <c r="U3955" i="4"/>
  <c r="U3971" i="4"/>
  <c r="U3987" i="4"/>
  <c r="U4003" i="4"/>
  <c r="U4019" i="4"/>
  <c r="U4035" i="4"/>
  <c r="U4051" i="4"/>
  <c r="U4067" i="4"/>
  <c r="U4083" i="4"/>
  <c r="U4099" i="4"/>
  <c r="U4115" i="4"/>
  <c r="U4131" i="4"/>
  <c r="U4147" i="4"/>
  <c r="U4163" i="4"/>
  <c r="U4179" i="4"/>
  <c r="U4195" i="4"/>
  <c r="U4211" i="4"/>
  <c r="U4227" i="4"/>
  <c r="U4243" i="4"/>
  <c r="U4255" i="4"/>
  <c r="U4263" i="4"/>
  <c r="U4271" i="4"/>
  <c r="U4276" i="4"/>
  <c r="U4281" i="4"/>
  <c r="U4287" i="4"/>
  <c r="U4292" i="4"/>
  <c r="U4297" i="4"/>
  <c r="U4303" i="4"/>
  <c r="U4308" i="4"/>
  <c r="U4313" i="4"/>
  <c r="U4319" i="4"/>
  <c r="U4324" i="4"/>
  <c r="U4329" i="4"/>
  <c r="U4335" i="4"/>
  <c r="U4340" i="4"/>
  <c r="U4345" i="4"/>
  <c r="U4351" i="4"/>
  <c r="U4356" i="4"/>
  <c r="U4361" i="4"/>
  <c r="U4367" i="4"/>
  <c r="U4372" i="4"/>
  <c r="U4377" i="4"/>
  <c r="U4383" i="4"/>
  <c r="U4388" i="4"/>
  <c r="U4393" i="4"/>
  <c r="U4399" i="4"/>
  <c r="U4404" i="4"/>
  <c r="U4409" i="4"/>
  <c r="U4415" i="4"/>
  <c r="U4420" i="4"/>
  <c r="U4425" i="4"/>
  <c r="U4431" i="4"/>
  <c r="U4436" i="4"/>
  <c r="U4441" i="4"/>
  <c r="U4447" i="4"/>
  <c r="U4452" i="4"/>
  <c r="U4457" i="4"/>
  <c r="U4463" i="4"/>
  <c r="U4468" i="4"/>
  <c r="U4473" i="4"/>
  <c r="U4479" i="4"/>
  <c r="U4484" i="4"/>
  <c r="U4489" i="4"/>
  <c r="U4495" i="4"/>
  <c r="U4500" i="4"/>
  <c r="U4505" i="4"/>
  <c r="U4511" i="4"/>
  <c r="U4515" i="4"/>
  <c r="U4519" i="4"/>
  <c r="U4523" i="4"/>
  <c r="U4527" i="4"/>
  <c r="U4531" i="4"/>
  <c r="U4535" i="4"/>
  <c r="U4539" i="4"/>
  <c r="U4543" i="4"/>
  <c r="U4547" i="4"/>
  <c r="U4551" i="4"/>
  <c r="U4555" i="4"/>
  <c r="U4559" i="4"/>
  <c r="U4563" i="4"/>
  <c r="U4567" i="4"/>
  <c r="U4571" i="4"/>
  <c r="U4575" i="4"/>
  <c r="U4579" i="4"/>
  <c r="U4583" i="4"/>
  <c r="U4587" i="4"/>
  <c r="U4591" i="4"/>
  <c r="U4595" i="4"/>
  <c r="U4599" i="4"/>
  <c r="U4603" i="4"/>
  <c r="U4607" i="4"/>
  <c r="U4611" i="4"/>
  <c r="U4615" i="4"/>
  <c r="U4619" i="4"/>
  <c r="U4623" i="4"/>
  <c r="U4627" i="4"/>
  <c r="U4631" i="4"/>
  <c r="U4635" i="4"/>
  <c r="U4639" i="4"/>
  <c r="U4643" i="4"/>
  <c r="U4647" i="4"/>
  <c r="U4651" i="4"/>
  <c r="U4655" i="4"/>
  <c r="U4659" i="4"/>
  <c r="U4663" i="4"/>
  <c r="U4667" i="4"/>
  <c r="U4671" i="4"/>
  <c r="U4675" i="4"/>
  <c r="U4679" i="4"/>
  <c r="U4683" i="4"/>
  <c r="U4687" i="4"/>
  <c r="U4691" i="4"/>
  <c r="U4695" i="4"/>
  <c r="U4699" i="4"/>
  <c r="U4703" i="4"/>
  <c r="U4707" i="4"/>
  <c r="U4711" i="4"/>
  <c r="U4715" i="4"/>
  <c r="U4719" i="4"/>
  <c r="U4723" i="4"/>
  <c r="U4727" i="4"/>
  <c r="U4731" i="4"/>
  <c r="U4735" i="4"/>
  <c r="U4739" i="4"/>
  <c r="U4743" i="4"/>
  <c r="U4747" i="4"/>
  <c r="U4751" i="4"/>
  <c r="U4755" i="4"/>
  <c r="U4759" i="4"/>
  <c r="U4763" i="4"/>
  <c r="U4767" i="4"/>
  <c r="U4771" i="4"/>
  <c r="U4775" i="4"/>
  <c r="U4779" i="4"/>
  <c r="U4783" i="4"/>
  <c r="U4787" i="4"/>
  <c r="U4791" i="4"/>
  <c r="U4795" i="4"/>
  <c r="U4799" i="4"/>
  <c r="U4803" i="4"/>
  <c r="U4807" i="4"/>
  <c r="U4811" i="4"/>
  <c r="U4815" i="4"/>
  <c r="U4819" i="4"/>
  <c r="U4823" i="4"/>
  <c r="U4827" i="4"/>
  <c r="U4831" i="4"/>
  <c r="U4835" i="4"/>
  <c r="U4839" i="4"/>
  <c r="U4843" i="4"/>
  <c r="U4847" i="4"/>
  <c r="U4851" i="4"/>
  <c r="U4855" i="4"/>
  <c r="U4859" i="4"/>
  <c r="U4863" i="4"/>
  <c r="U4867" i="4"/>
  <c r="U4871" i="4"/>
  <c r="U4875" i="4"/>
  <c r="U4879" i="4"/>
  <c r="U4883" i="4"/>
  <c r="U4887" i="4"/>
  <c r="U4891" i="4"/>
  <c r="U4895" i="4"/>
  <c r="U4899" i="4"/>
  <c r="U4903" i="4"/>
  <c r="U4907" i="4"/>
  <c r="U4911" i="4"/>
  <c r="U4915" i="4"/>
  <c r="U4919" i="4"/>
  <c r="U4923" i="4"/>
  <c r="U4927" i="4"/>
  <c r="U4931" i="4"/>
  <c r="U4935" i="4"/>
  <c r="U4939" i="4"/>
  <c r="U4943" i="4"/>
  <c r="U4947" i="4"/>
  <c r="U4951" i="4"/>
  <c r="U4955" i="4"/>
  <c r="U4959" i="4"/>
  <c r="U4963" i="4"/>
  <c r="U4967" i="4"/>
  <c r="U4971" i="4"/>
  <c r="U4975" i="4"/>
  <c r="U4979" i="4"/>
  <c r="U4983" i="4"/>
  <c r="U4987" i="4"/>
  <c r="U4991" i="4"/>
  <c r="U4995" i="4"/>
  <c r="U4999" i="4"/>
  <c r="U5003" i="4"/>
  <c r="U5007" i="4"/>
  <c r="U1848" i="4"/>
  <c r="U2105" i="4"/>
  <c r="U2321" i="4"/>
  <c r="U2411" i="4"/>
  <c r="U2495" i="4"/>
  <c r="U2559" i="4"/>
  <c r="U2623" i="4"/>
  <c r="U2687" i="4"/>
  <c r="U2751" i="4"/>
  <c r="U2815" i="4"/>
  <c r="U2879" i="4"/>
  <c r="U2943" i="4"/>
  <c r="U3007" i="4"/>
  <c r="U3071" i="4"/>
  <c r="U3135" i="4"/>
  <c r="U3199" i="4"/>
  <c r="U3263" i="4"/>
  <c r="U3307" i="4"/>
  <c r="U3339" i="4"/>
  <c r="U3371" i="4"/>
  <c r="U3403" i="4"/>
  <c r="U3435" i="4"/>
  <c r="U3467" i="4"/>
  <c r="U3499" i="4"/>
  <c r="U3531" i="4"/>
  <c r="U3559" i="4"/>
  <c r="U3575" i="4"/>
  <c r="U3591" i="4"/>
  <c r="U3607" i="4"/>
  <c r="U3623" i="4"/>
  <c r="U3639" i="4"/>
  <c r="U3655" i="4"/>
  <c r="U3671" i="4"/>
  <c r="U3687" i="4"/>
  <c r="U3703" i="4"/>
  <c r="U3719" i="4"/>
  <c r="U3735" i="4"/>
  <c r="U3751" i="4"/>
  <c r="U3767" i="4"/>
  <c r="U3783" i="4"/>
  <c r="U3799" i="4"/>
  <c r="U3815" i="4"/>
  <c r="U3831" i="4"/>
  <c r="U3847" i="4"/>
  <c r="U3863" i="4"/>
  <c r="U3879" i="4"/>
  <c r="U3895" i="4"/>
  <c r="U3911" i="4"/>
  <c r="U3927" i="4"/>
  <c r="U3943" i="4"/>
  <c r="U3959" i="4"/>
  <c r="U3975" i="4"/>
  <c r="U3991" i="4"/>
  <c r="U4007" i="4"/>
  <c r="U4023" i="4"/>
  <c r="U4039" i="4"/>
  <c r="U4055" i="4"/>
  <c r="U4071" i="4"/>
  <c r="U4087" i="4"/>
  <c r="U4103" i="4"/>
  <c r="U4119" i="4"/>
  <c r="U4135" i="4"/>
  <c r="U4151" i="4"/>
  <c r="U4167" i="4"/>
  <c r="U4183" i="4"/>
  <c r="U4199" i="4"/>
  <c r="U4215" i="4"/>
  <c r="U4231" i="4"/>
  <c r="U4247" i="4"/>
  <c r="U4256" i="4"/>
  <c r="U4264" i="4"/>
  <c r="U4272" i="4"/>
  <c r="U4277" i="4"/>
  <c r="U4283" i="4"/>
  <c r="U4288" i="4"/>
  <c r="U4293" i="4"/>
  <c r="U4299" i="4"/>
  <c r="U4304" i="4"/>
  <c r="U4309" i="4"/>
  <c r="U4315" i="4"/>
  <c r="U4320" i="4"/>
  <c r="U4325" i="4"/>
  <c r="U4331" i="4"/>
  <c r="U4336" i="4"/>
  <c r="U4341" i="4"/>
  <c r="U4347" i="4"/>
  <c r="U4352" i="4"/>
  <c r="U4357" i="4"/>
  <c r="U4363" i="4"/>
  <c r="U4368" i="4"/>
  <c r="U4373" i="4"/>
  <c r="U4379" i="4"/>
  <c r="U4384" i="4"/>
  <c r="U4389" i="4"/>
  <c r="U4395" i="4"/>
  <c r="U4400" i="4"/>
  <c r="U4405" i="4"/>
  <c r="U4411" i="4"/>
  <c r="U4416" i="4"/>
  <c r="U4421" i="4"/>
  <c r="U4427" i="4"/>
  <c r="U4432" i="4"/>
  <c r="U4437" i="4"/>
  <c r="U4443" i="4"/>
  <c r="U4448" i="4"/>
  <c r="U4453" i="4"/>
  <c r="U4459" i="4"/>
  <c r="U4464" i="4"/>
  <c r="U4469" i="4"/>
  <c r="U4475" i="4"/>
  <c r="U4480" i="4"/>
  <c r="U4485" i="4"/>
  <c r="U4491" i="4"/>
  <c r="U4496" i="4"/>
  <c r="U4501" i="4"/>
  <c r="U4507" i="4"/>
  <c r="U4512" i="4"/>
  <c r="U4516" i="4"/>
  <c r="U4520" i="4"/>
  <c r="U4524" i="4"/>
  <c r="U4528" i="4"/>
  <c r="U4532" i="4"/>
  <c r="U4536" i="4"/>
  <c r="U4540" i="4"/>
  <c r="U4544" i="4"/>
  <c r="U4548" i="4"/>
  <c r="U4552" i="4"/>
  <c r="U4556" i="4"/>
  <c r="U4560" i="4"/>
  <c r="U4564" i="4"/>
  <c r="U4568" i="4"/>
  <c r="U4572" i="4"/>
  <c r="U4576" i="4"/>
  <c r="U4580" i="4"/>
  <c r="U4584" i="4"/>
  <c r="U4588" i="4"/>
  <c r="U4592" i="4"/>
  <c r="U4596" i="4"/>
  <c r="U4600" i="4"/>
  <c r="U4604" i="4"/>
  <c r="U4608" i="4"/>
  <c r="U4612" i="4"/>
  <c r="U4616" i="4"/>
  <c r="U4620" i="4"/>
  <c r="U4624" i="4"/>
  <c r="U4628" i="4"/>
  <c r="U4632" i="4"/>
  <c r="U4636" i="4"/>
  <c r="U4640" i="4"/>
  <c r="U4644" i="4"/>
  <c r="U4648" i="4"/>
  <c r="U4652" i="4"/>
  <c r="U4656" i="4"/>
  <c r="U4660" i="4"/>
  <c r="U4664" i="4"/>
  <c r="U4668" i="4"/>
  <c r="U4672" i="4"/>
  <c r="U4676" i="4"/>
  <c r="U4680" i="4"/>
  <c r="U4684" i="4"/>
  <c r="U4688" i="4"/>
  <c r="U4692" i="4"/>
  <c r="U4696" i="4"/>
  <c r="U4700" i="4"/>
  <c r="U4704" i="4"/>
  <c r="U4708" i="4"/>
  <c r="U4712" i="4"/>
  <c r="U4716" i="4"/>
  <c r="U4720" i="4"/>
  <c r="U4724" i="4"/>
  <c r="U4728" i="4"/>
  <c r="U4732" i="4"/>
  <c r="U4736" i="4"/>
  <c r="U4740" i="4"/>
  <c r="U4744" i="4"/>
  <c r="U4748" i="4"/>
  <c r="U4752" i="4"/>
  <c r="U4756" i="4"/>
  <c r="U4760" i="4"/>
  <c r="U4764" i="4"/>
  <c r="U4768" i="4"/>
  <c r="U4772" i="4"/>
  <c r="U4776" i="4"/>
  <c r="U4780" i="4"/>
  <c r="U4784" i="4"/>
  <c r="U4788" i="4"/>
  <c r="U4792" i="4"/>
  <c r="U4796" i="4"/>
  <c r="U4800" i="4"/>
  <c r="U4804" i="4"/>
  <c r="U4808" i="4"/>
  <c r="U4812" i="4"/>
  <c r="U4816" i="4"/>
  <c r="U4820" i="4"/>
  <c r="U4824" i="4"/>
  <c r="U4828" i="4"/>
  <c r="U4832" i="4"/>
  <c r="U4836" i="4"/>
  <c r="U4840" i="4"/>
  <c r="U4844" i="4"/>
  <c r="U4848" i="4"/>
  <c r="U4852" i="4"/>
  <c r="U4856" i="4"/>
  <c r="U4860" i="4"/>
  <c r="U4864" i="4"/>
  <c r="U4868" i="4"/>
  <c r="U4872" i="4"/>
  <c r="U4876" i="4"/>
  <c r="U4880" i="4"/>
  <c r="U4884" i="4"/>
  <c r="U4888" i="4"/>
  <c r="U4892" i="4"/>
  <c r="U4896" i="4"/>
  <c r="U4900" i="4"/>
  <c r="U4904" i="4"/>
  <c r="U4908" i="4"/>
  <c r="U4912" i="4"/>
  <c r="U4916" i="4"/>
  <c r="U4920" i="4"/>
  <c r="U4924" i="4"/>
  <c r="U4928" i="4"/>
  <c r="U4932" i="4"/>
  <c r="U4936" i="4"/>
  <c r="U4940" i="4"/>
  <c r="U4944" i="4"/>
  <c r="U4948" i="4"/>
  <c r="U4952" i="4"/>
  <c r="U4956" i="4"/>
  <c r="U4960" i="4"/>
  <c r="U4964" i="4"/>
  <c r="U4968" i="4"/>
  <c r="U4972" i="4"/>
  <c r="U4976" i="4"/>
  <c r="U4980" i="4"/>
  <c r="U4984" i="4"/>
  <c r="U4988" i="4"/>
  <c r="U4992" i="4"/>
  <c r="U4996" i="4"/>
  <c r="U5000" i="4"/>
  <c r="U5004" i="4"/>
  <c r="U5008" i="4"/>
  <c r="U1913" i="4"/>
  <c r="U2511" i="4"/>
  <c r="U2767" i="4"/>
  <c r="U3023" i="4"/>
  <c r="U3279" i="4"/>
  <c r="U3411" i="4"/>
  <c r="U3539" i="4"/>
  <c r="U3611" i="4"/>
  <c r="U3675" i="4"/>
  <c r="U3739" i="4"/>
  <c r="U3803" i="4"/>
  <c r="U3867" i="4"/>
  <c r="U3931" i="4"/>
  <c r="U3995" i="4"/>
  <c r="U4059" i="4"/>
  <c r="U4123" i="4"/>
  <c r="U4187" i="4"/>
  <c r="U4251" i="4"/>
  <c r="U4279" i="4"/>
  <c r="U4300" i="4"/>
  <c r="U4321" i="4"/>
  <c r="U4343" i="4"/>
  <c r="U4364" i="4"/>
  <c r="U4385" i="4"/>
  <c r="U4407" i="4"/>
  <c r="U4428" i="4"/>
  <c r="U4449" i="4"/>
  <c r="U4471" i="4"/>
  <c r="U4492" i="4"/>
  <c r="U4513" i="4"/>
  <c r="U4529" i="4"/>
  <c r="U4545" i="4"/>
  <c r="U4561" i="4"/>
  <c r="U4577" i="4"/>
  <c r="U4593" i="4"/>
  <c r="U4609" i="4"/>
  <c r="U4625" i="4"/>
  <c r="U4641" i="4"/>
  <c r="U4657" i="4"/>
  <c r="U4673" i="4"/>
  <c r="U4689" i="4"/>
  <c r="U4705" i="4"/>
  <c r="U4721" i="4"/>
  <c r="U4737" i="4"/>
  <c r="U4753" i="4"/>
  <c r="U4769" i="4"/>
  <c r="U4785" i="4"/>
  <c r="U4801" i="4"/>
  <c r="U4817" i="4"/>
  <c r="U4833" i="4"/>
  <c r="U4849" i="4"/>
  <c r="U4865" i="4"/>
  <c r="U4881" i="4"/>
  <c r="U4897" i="4"/>
  <c r="U4913" i="4"/>
  <c r="U4929" i="4"/>
  <c r="U4945" i="4"/>
  <c r="U4961" i="4"/>
  <c r="U4977" i="4"/>
  <c r="U4993" i="4"/>
  <c r="U5009" i="4"/>
  <c r="U2169" i="4"/>
  <c r="U2575" i="4"/>
  <c r="U2831" i="4"/>
  <c r="U3087" i="4"/>
  <c r="U3315" i="4"/>
  <c r="U3443" i="4"/>
  <c r="U3563" i="4"/>
  <c r="U3627" i="4"/>
  <c r="U3691" i="4"/>
  <c r="U3755" i="4"/>
  <c r="U3819" i="4"/>
  <c r="U3883" i="4"/>
  <c r="U3947" i="4"/>
  <c r="U4011" i="4"/>
  <c r="U4075" i="4"/>
  <c r="U4139" i="4"/>
  <c r="U4203" i="4"/>
  <c r="U4259" i="4"/>
  <c r="U4284" i="4"/>
  <c r="U4305" i="4"/>
  <c r="U4327" i="4"/>
  <c r="U4348" i="4"/>
  <c r="U4369" i="4"/>
  <c r="U4391" i="4"/>
  <c r="U4412" i="4"/>
  <c r="U4433" i="4"/>
  <c r="U4455" i="4"/>
  <c r="U4476" i="4"/>
  <c r="U4497" i="4"/>
  <c r="U4517" i="4"/>
  <c r="U4533" i="4"/>
  <c r="U4549" i="4"/>
  <c r="U4565" i="4"/>
  <c r="U4581" i="4"/>
  <c r="U4597" i="4"/>
  <c r="U4613" i="4"/>
  <c r="U4629" i="4"/>
  <c r="U4645" i="4"/>
  <c r="U4661" i="4"/>
  <c r="U4677" i="4"/>
  <c r="U4693" i="4"/>
  <c r="U4709" i="4"/>
  <c r="U4725" i="4"/>
  <c r="U4741" i="4"/>
  <c r="U4757" i="4"/>
  <c r="U4773" i="4"/>
  <c r="U4789" i="4"/>
  <c r="U4805" i="4"/>
  <c r="U4821" i="4"/>
  <c r="U4837" i="4"/>
  <c r="U4853" i="4"/>
  <c r="U4869" i="4"/>
  <c r="U4885" i="4"/>
  <c r="U4901" i="4"/>
  <c r="U4917" i="4"/>
  <c r="U4933" i="4"/>
  <c r="U4949" i="4"/>
  <c r="U4965" i="4"/>
  <c r="U4981" i="4"/>
  <c r="U4997" i="4"/>
  <c r="U2347" i="4"/>
  <c r="U2639" i="4"/>
  <c r="U2895" i="4"/>
  <c r="U3151" i="4"/>
  <c r="U3347" i="4"/>
  <c r="U3475" i="4"/>
  <c r="U3579" i="4"/>
  <c r="U3643" i="4"/>
  <c r="U3707" i="4"/>
  <c r="U3771" i="4"/>
  <c r="U3835" i="4"/>
  <c r="U3899" i="4"/>
  <c r="U3963" i="4"/>
  <c r="U4027" i="4"/>
  <c r="U4091" i="4"/>
  <c r="U4155" i="4"/>
  <c r="U4219" i="4"/>
  <c r="U4267" i="4"/>
  <c r="U4289" i="4"/>
  <c r="U4311" i="4"/>
  <c r="U4332" i="4"/>
  <c r="U4353" i="4"/>
  <c r="U4375" i="4"/>
  <c r="U4396" i="4"/>
  <c r="U4417" i="4"/>
  <c r="U4439" i="4"/>
  <c r="U4460" i="4"/>
  <c r="U4481" i="4"/>
  <c r="U4503" i="4"/>
  <c r="U4521" i="4"/>
  <c r="U4537" i="4"/>
  <c r="U4553" i="4"/>
  <c r="U4569" i="4"/>
  <c r="U4585" i="4"/>
  <c r="U4601" i="4"/>
  <c r="U4617" i="4"/>
  <c r="U4633" i="4"/>
  <c r="U4649" i="4"/>
  <c r="U4665" i="4"/>
  <c r="U4681" i="4"/>
  <c r="U4697" i="4"/>
  <c r="U4713" i="4"/>
  <c r="U4729" i="4"/>
  <c r="U4745" i="4"/>
  <c r="U4761" i="4"/>
  <c r="U4777" i="4"/>
  <c r="U4793" i="4"/>
  <c r="U4809" i="4"/>
  <c r="U4825" i="4"/>
  <c r="U4841" i="4"/>
  <c r="U4857" i="4"/>
  <c r="U4873" i="4"/>
  <c r="U4889" i="4"/>
  <c r="U4905" i="4"/>
  <c r="U4921" i="4"/>
  <c r="U4937" i="4"/>
  <c r="U4953" i="4"/>
  <c r="U4969" i="4"/>
  <c r="U4985" i="4"/>
  <c r="U5001" i="4"/>
  <c r="U2433" i="4"/>
  <c r="U3379" i="4"/>
  <c r="U3723" i="4"/>
  <c r="U3979" i="4"/>
  <c r="U4235" i="4"/>
  <c r="U4337" i="4"/>
  <c r="U4423" i="4"/>
  <c r="U4508" i="4"/>
  <c r="U4573" i="4"/>
  <c r="U4637" i="4"/>
  <c r="U4701" i="4"/>
  <c r="U4765" i="4"/>
  <c r="U4829" i="4"/>
  <c r="U4893" i="4"/>
  <c r="U4957" i="4"/>
  <c r="U2703" i="4"/>
  <c r="U3507" i="4"/>
  <c r="U3787" i="4"/>
  <c r="U4043" i="4"/>
  <c r="U4273" i="4"/>
  <c r="U4359" i="4"/>
  <c r="U4444" i="4"/>
  <c r="U4525" i="4"/>
  <c r="U4589" i="4"/>
  <c r="U4653" i="4"/>
  <c r="U4717" i="4"/>
  <c r="U4781" i="4"/>
  <c r="U4845" i="4"/>
  <c r="U4909" i="4"/>
  <c r="U4973" i="4"/>
  <c r="U2959" i="4"/>
  <c r="U3595" i="4"/>
  <c r="U3851" i="4"/>
  <c r="U4107" i="4"/>
  <c r="U4295" i="4"/>
  <c r="U4380" i="4"/>
  <c r="U4465" i="4"/>
  <c r="U4541" i="4"/>
  <c r="U4605" i="4"/>
  <c r="U4669" i="4"/>
  <c r="U4733" i="4"/>
  <c r="U4797" i="4"/>
  <c r="U4861" i="4"/>
  <c r="U4925" i="4"/>
  <c r="U4989" i="4"/>
  <c r="U3215" i="4"/>
  <c r="U4316" i="4"/>
  <c r="U4621" i="4"/>
  <c r="U4877" i="4"/>
  <c r="T10" i="4"/>
  <c r="T14" i="4"/>
  <c r="T18" i="4"/>
  <c r="T22" i="4"/>
  <c r="T26" i="4"/>
  <c r="T30" i="4"/>
  <c r="T34" i="4"/>
  <c r="T38" i="4"/>
  <c r="T42" i="4"/>
  <c r="T46" i="4"/>
  <c r="T50" i="4"/>
  <c r="T54" i="4"/>
  <c r="T58" i="4"/>
  <c r="T62" i="4"/>
  <c r="T66" i="4"/>
  <c r="T70" i="4"/>
  <c r="T74" i="4"/>
  <c r="T78" i="4"/>
  <c r="T82" i="4"/>
  <c r="T86" i="4"/>
  <c r="T90" i="4"/>
  <c r="T94" i="4"/>
  <c r="T98" i="4"/>
  <c r="T102" i="4"/>
  <c r="T106" i="4"/>
  <c r="T110" i="4"/>
  <c r="T114" i="4"/>
  <c r="T118" i="4"/>
  <c r="T122" i="4"/>
  <c r="T126" i="4"/>
  <c r="T130" i="4"/>
  <c r="T134" i="4"/>
  <c r="T138" i="4"/>
  <c r="T142" i="4"/>
  <c r="T146" i="4"/>
  <c r="T150" i="4"/>
  <c r="T154" i="4"/>
  <c r="T158" i="4"/>
  <c r="T162" i="4"/>
  <c r="T166" i="4"/>
  <c r="T170" i="4"/>
  <c r="T174" i="4"/>
  <c r="T178" i="4"/>
  <c r="T182" i="4"/>
  <c r="T186" i="4"/>
  <c r="T190" i="4"/>
  <c r="T194" i="4"/>
  <c r="T198" i="4"/>
  <c r="T202" i="4"/>
  <c r="T206" i="4"/>
  <c r="T210" i="4"/>
  <c r="T214" i="4"/>
  <c r="T218" i="4"/>
  <c r="T222" i="4"/>
  <c r="T226" i="4"/>
  <c r="T230" i="4"/>
  <c r="T234" i="4"/>
  <c r="T238" i="4"/>
  <c r="T242" i="4"/>
  <c r="T246" i="4"/>
  <c r="T250" i="4"/>
  <c r="T254" i="4"/>
  <c r="T258" i="4"/>
  <c r="T262" i="4"/>
  <c r="T266" i="4"/>
  <c r="T270" i="4"/>
  <c r="T274" i="4"/>
  <c r="T278" i="4"/>
  <c r="T282" i="4"/>
  <c r="T286" i="4"/>
  <c r="T290" i="4"/>
  <c r="T294" i="4"/>
  <c r="T298" i="4"/>
  <c r="T302" i="4"/>
  <c r="T306" i="4"/>
  <c r="T310" i="4"/>
  <c r="T314" i="4"/>
  <c r="T318" i="4"/>
  <c r="T322" i="4"/>
  <c r="T326" i="4"/>
  <c r="T330" i="4"/>
  <c r="T334" i="4"/>
  <c r="T338" i="4"/>
  <c r="T342" i="4"/>
  <c r="T346" i="4"/>
  <c r="T350" i="4"/>
  <c r="T354" i="4"/>
  <c r="T358" i="4"/>
  <c r="T362" i="4"/>
  <c r="T366" i="4"/>
  <c r="T370" i="4"/>
  <c r="T374" i="4"/>
  <c r="T378" i="4"/>
  <c r="T382" i="4"/>
  <c r="T386" i="4"/>
  <c r="T390" i="4"/>
  <c r="T394" i="4"/>
  <c r="T398" i="4"/>
  <c r="T402" i="4"/>
  <c r="T406" i="4"/>
  <c r="T410" i="4"/>
  <c r="T414" i="4"/>
  <c r="T418" i="4"/>
  <c r="T422" i="4"/>
  <c r="T426" i="4"/>
  <c r="T430" i="4"/>
  <c r="T434" i="4"/>
  <c r="T438" i="4"/>
  <c r="T442" i="4"/>
  <c r="T446" i="4"/>
  <c r="T450" i="4"/>
  <c r="T454" i="4"/>
  <c r="T458" i="4"/>
  <c r="T462" i="4"/>
  <c r="T466" i="4"/>
  <c r="T470" i="4"/>
  <c r="T474" i="4"/>
  <c r="T478" i="4"/>
  <c r="T482" i="4"/>
  <c r="T486" i="4"/>
  <c r="T490" i="4"/>
  <c r="T494" i="4"/>
  <c r="T498" i="4"/>
  <c r="T502" i="4"/>
  <c r="T506" i="4"/>
  <c r="T510" i="4"/>
  <c r="T514" i="4"/>
  <c r="T518" i="4"/>
  <c r="T522" i="4"/>
  <c r="T526" i="4"/>
  <c r="T530" i="4"/>
  <c r="T534" i="4"/>
  <c r="T538" i="4"/>
  <c r="T542" i="4"/>
  <c r="T546" i="4"/>
  <c r="T550" i="4"/>
  <c r="T554" i="4"/>
  <c r="T558" i="4"/>
  <c r="T562" i="4"/>
  <c r="T566" i="4"/>
  <c r="T570" i="4"/>
  <c r="T574" i="4"/>
  <c r="T578" i="4"/>
  <c r="T582" i="4"/>
  <c r="T586" i="4"/>
  <c r="T590" i="4"/>
  <c r="T594" i="4"/>
  <c r="T598" i="4"/>
  <c r="T602" i="4"/>
  <c r="T606" i="4"/>
  <c r="T610" i="4"/>
  <c r="T614" i="4"/>
  <c r="T618" i="4"/>
  <c r="T622" i="4"/>
  <c r="T626" i="4"/>
  <c r="T630" i="4"/>
  <c r="T634" i="4"/>
  <c r="T638" i="4"/>
  <c r="T642" i="4"/>
  <c r="T646" i="4"/>
  <c r="T650" i="4"/>
  <c r="T654" i="4"/>
  <c r="T658" i="4"/>
  <c r="T662" i="4"/>
  <c r="T666" i="4"/>
  <c r="T670" i="4"/>
  <c r="T674" i="4"/>
  <c r="T678" i="4"/>
  <c r="T682" i="4"/>
  <c r="T686" i="4"/>
  <c r="T690" i="4"/>
  <c r="T694" i="4"/>
  <c r="T698" i="4"/>
  <c r="T702" i="4"/>
  <c r="T706" i="4"/>
  <c r="T710" i="4"/>
  <c r="T714" i="4"/>
  <c r="T718" i="4"/>
  <c r="T722" i="4"/>
  <c r="T726" i="4"/>
  <c r="T730" i="4"/>
  <c r="T734" i="4"/>
  <c r="T738" i="4"/>
  <c r="T742" i="4"/>
  <c r="T746" i="4"/>
  <c r="T750" i="4"/>
  <c r="T754" i="4"/>
  <c r="T758" i="4"/>
  <c r="T762" i="4"/>
  <c r="T766" i="4"/>
  <c r="T770" i="4"/>
  <c r="T774" i="4"/>
  <c r="T778" i="4"/>
  <c r="T782" i="4"/>
  <c r="T786" i="4"/>
  <c r="T790" i="4"/>
  <c r="T794" i="4"/>
  <c r="T798" i="4"/>
  <c r="T802" i="4"/>
  <c r="T806" i="4"/>
  <c r="T810" i="4"/>
  <c r="T814" i="4"/>
  <c r="T818" i="4"/>
  <c r="T822" i="4"/>
  <c r="T826" i="4"/>
  <c r="T830" i="4"/>
  <c r="T834" i="4"/>
  <c r="T838" i="4"/>
  <c r="T842" i="4"/>
  <c r="T846" i="4"/>
  <c r="T850" i="4"/>
  <c r="T854" i="4"/>
  <c r="T858" i="4"/>
  <c r="T862" i="4"/>
  <c r="T866" i="4"/>
  <c r="T870" i="4"/>
  <c r="T874" i="4"/>
  <c r="T878" i="4"/>
  <c r="T882" i="4"/>
  <c r="T886" i="4"/>
  <c r="T890" i="4"/>
  <c r="T894" i="4"/>
  <c r="T898" i="4"/>
  <c r="T902" i="4"/>
  <c r="T906" i="4"/>
  <c r="T910" i="4"/>
  <c r="T914" i="4"/>
  <c r="T918" i="4"/>
  <c r="T922" i="4"/>
  <c r="T926" i="4"/>
  <c r="T930" i="4"/>
  <c r="T934" i="4"/>
  <c r="T938" i="4"/>
  <c r="T942" i="4"/>
  <c r="T946" i="4"/>
  <c r="T950" i="4"/>
  <c r="T954" i="4"/>
  <c r="T958" i="4"/>
  <c r="T962" i="4"/>
  <c r="T966" i="4"/>
  <c r="T970" i="4"/>
  <c r="T974" i="4"/>
  <c r="T978" i="4"/>
  <c r="T982" i="4"/>
  <c r="T986" i="4"/>
  <c r="T990" i="4"/>
  <c r="T994" i="4"/>
  <c r="T998" i="4"/>
  <c r="T1002" i="4"/>
  <c r="T1006" i="4"/>
  <c r="T1010" i="4"/>
  <c r="T1014" i="4"/>
  <c r="T1018" i="4"/>
  <c r="T1022" i="4"/>
  <c r="T1026" i="4"/>
  <c r="T1030" i="4"/>
  <c r="T1034" i="4"/>
  <c r="T1038" i="4"/>
  <c r="T1042" i="4"/>
  <c r="T1046" i="4"/>
  <c r="T1050" i="4"/>
  <c r="T1054" i="4"/>
  <c r="T1058" i="4"/>
  <c r="T1062" i="4"/>
  <c r="T1066" i="4"/>
  <c r="T1070" i="4"/>
  <c r="T1074" i="4"/>
  <c r="T1078" i="4"/>
  <c r="T1082" i="4"/>
  <c r="T1086" i="4"/>
  <c r="T1090" i="4"/>
  <c r="T1094" i="4"/>
  <c r="T1098" i="4"/>
  <c r="T1102" i="4"/>
  <c r="T1106" i="4"/>
  <c r="T1110" i="4"/>
  <c r="T1114" i="4"/>
  <c r="T1118" i="4"/>
  <c r="T1122" i="4"/>
  <c r="T1126" i="4"/>
  <c r="T1130" i="4"/>
  <c r="T1134" i="4"/>
  <c r="T1138" i="4"/>
  <c r="T1142" i="4"/>
  <c r="T1146" i="4"/>
  <c r="T1150" i="4"/>
  <c r="T1154" i="4"/>
  <c r="T1158" i="4"/>
  <c r="T1162" i="4"/>
  <c r="T1166" i="4"/>
  <c r="T1170" i="4"/>
  <c r="T1174" i="4"/>
  <c r="T1178" i="4"/>
  <c r="T1182" i="4"/>
  <c r="T1186" i="4"/>
  <c r="T1190" i="4"/>
  <c r="T1194" i="4"/>
  <c r="T1198" i="4"/>
  <c r="T1202" i="4"/>
  <c r="T1206" i="4"/>
  <c r="T1210" i="4"/>
  <c r="T1214" i="4"/>
  <c r="T1218" i="4"/>
  <c r="T1222" i="4"/>
  <c r="T1226" i="4"/>
  <c r="T1230" i="4"/>
  <c r="T1234" i="4"/>
  <c r="T1238" i="4"/>
  <c r="T1242" i="4"/>
  <c r="T1246" i="4"/>
  <c r="T1250" i="4"/>
  <c r="T1254" i="4"/>
  <c r="T1258" i="4"/>
  <c r="T1262" i="4"/>
  <c r="T1266" i="4"/>
  <c r="T1270" i="4"/>
  <c r="T1274" i="4"/>
  <c r="T1278" i="4"/>
  <c r="T1282" i="4"/>
  <c r="T1286" i="4"/>
  <c r="T1290" i="4"/>
  <c r="T1294" i="4"/>
  <c r="T1298" i="4"/>
  <c r="T1302" i="4"/>
  <c r="T1306" i="4"/>
  <c r="T1310" i="4"/>
  <c r="T1314" i="4"/>
  <c r="T1318" i="4"/>
  <c r="T1322" i="4"/>
  <c r="T1326" i="4"/>
  <c r="T1330" i="4"/>
  <c r="T1334" i="4"/>
  <c r="T1338" i="4"/>
  <c r="T1342" i="4"/>
  <c r="T1346" i="4"/>
  <c r="T1350" i="4"/>
  <c r="T1354" i="4"/>
  <c r="T1358" i="4"/>
  <c r="T1362" i="4"/>
  <c r="T1366" i="4"/>
  <c r="T1370" i="4"/>
  <c r="T1374" i="4"/>
  <c r="T1378" i="4"/>
  <c r="T1382" i="4"/>
  <c r="T1386" i="4"/>
  <c r="T1390" i="4"/>
  <c r="T1394" i="4"/>
  <c r="T1398" i="4"/>
  <c r="T1402" i="4"/>
  <c r="T1406" i="4"/>
  <c r="T1410" i="4"/>
  <c r="T1414" i="4"/>
  <c r="T1418" i="4"/>
  <c r="T1422" i="4"/>
  <c r="U3659" i="4"/>
  <c r="U4401" i="4"/>
  <c r="U4685" i="4"/>
  <c r="U4941" i="4"/>
  <c r="T11" i="4"/>
  <c r="T15" i="4"/>
  <c r="T19" i="4"/>
  <c r="T23" i="4"/>
  <c r="T27" i="4"/>
  <c r="T31" i="4"/>
  <c r="T35" i="4"/>
  <c r="T39" i="4"/>
  <c r="T43" i="4"/>
  <c r="T47" i="4"/>
  <c r="T51" i="4"/>
  <c r="T55" i="4"/>
  <c r="T59" i="4"/>
  <c r="T63" i="4"/>
  <c r="T67" i="4"/>
  <c r="T71" i="4"/>
  <c r="T75" i="4"/>
  <c r="T79" i="4"/>
  <c r="T83" i="4"/>
  <c r="T87" i="4"/>
  <c r="T91" i="4"/>
  <c r="T95" i="4"/>
  <c r="T99" i="4"/>
  <c r="T103" i="4"/>
  <c r="T107" i="4"/>
  <c r="T111" i="4"/>
  <c r="T115" i="4"/>
  <c r="T119" i="4"/>
  <c r="T123" i="4"/>
  <c r="T127" i="4"/>
  <c r="T131" i="4"/>
  <c r="T135" i="4"/>
  <c r="T139" i="4"/>
  <c r="T143" i="4"/>
  <c r="T147" i="4"/>
  <c r="T151" i="4"/>
  <c r="T155" i="4"/>
  <c r="T159" i="4"/>
  <c r="T163" i="4"/>
  <c r="T167" i="4"/>
  <c r="T171" i="4"/>
  <c r="T175" i="4"/>
  <c r="T179" i="4"/>
  <c r="T183" i="4"/>
  <c r="T187" i="4"/>
  <c r="T191" i="4"/>
  <c r="T195" i="4"/>
  <c r="T199" i="4"/>
  <c r="T203" i="4"/>
  <c r="T207" i="4"/>
  <c r="T211" i="4"/>
  <c r="T215" i="4"/>
  <c r="T219" i="4"/>
  <c r="T223" i="4"/>
  <c r="T227" i="4"/>
  <c r="T231" i="4"/>
  <c r="T235" i="4"/>
  <c r="T239" i="4"/>
  <c r="T243" i="4"/>
  <c r="T247" i="4"/>
  <c r="T251" i="4"/>
  <c r="T255" i="4"/>
  <c r="T259" i="4"/>
  <c r="T263" i="4"/>
  <c r="T267" i="4"/>
  <c r="T271" i="4"/>
  <c r="T275" i="4"/>
  <c r="T279" i="4"/>
  <c r="T283" i="4"/>
  <c r="T287" i="4"/>
  <c r="T291" i="4"/>
  <c r="T295" i="4"/>
  <c r="T299" i="4"/>
  <c r="T303" i="4"/>
  <c r="T307" i="4"/>
  <c r="T311" i="4"/>
  <c r="T315" i="4"/>
  <c r="T319" i="4"/>
  <c r="T323" i="4"/>
  <c r="T327" i="4"/>
  <c r="T331" i="4"/>
  <c r="T335" i="4"/>
  <c r="T339" i="4"/>
  <c r="T343" i="4"/>
  <c r="T347" i="4"/>
  <c r="T351" i="4"/>
  <c r="T355" i="4"/>
  <c r="T359" i="4"/>
  <c r="T363" i="4"/>
  <c r="T367" i="4"/>
  <c r="T371" i="4"/>
  <c r="T375" i="4"/>
  <c r="T379" i="4"/>
  <c r="T383" i="4"/>
  <c r="T387" i="4"/>
  <c r="T391" i="4"/>
  <c r="T395" i="4"/>
  <c r="T399" i="4"/>
  <c r="T403" i="4"/>
  <c r="T407" i="4"/>
  <c r="T411" i="4"/>
  <c r="T415" i="4"/>
  <c r="T419" i="4"/>
  <c r="T423" i="4"/>
  <c r="T427" i="4"/>
  <c r="T431" i="4"/>
  <c r="T435" i="4"/>
  <c r="T439" i="4"/>
  <c r="T443" i="4"/>
  <c r="T447" i="4"/>
  <c r="T451" i="4"/>
  <c r="T455" i="4"/>
  <c r="T459" i="4"/>
  <c r="T463" i="4"/>
  <c r="T467" i="4"/>
  <c r="T471" i="4"/>
  <c r="T475" i="4"/>
  <c r="T479" i="4"/>
  <c r="T483" i="4"/>
  <c r="T487" i="4"/>
  <c r="T491" i="4"/>
  <c r="T495" i="4"/>
  <c r="T499" i="4"/>
  <c r="T503" i="4"/>
  <c r="T507" i="4"/>
  <c r="T511" i="4"/>
  <c r="T515" i="4"/>
  <c r="T519" i="4"/>
  <c r="T523" i="4"/>
  <c r="T527" i="4"/>
  <c r="T531" i="4"/>
  <c r="T535" i="4"/>
  <c r="T539" i="4"/>
  <c r="T543" i="4"/>
  <c r="T547" i="4"/>
  <c r="T551" i="4"/>
  <c r="T555" i="4"/>
  <c r="T559" i="4"/>
  <c r="T563" i="4"/>
  <c r="T567" i="4"/>
  <c r="T571" i="4"/>
  <c r="T575" i="4"/>
  <c r="T579" i="4"/>
  <c r="T583" i="4"/>
  <c r="T587" i="4"/>
  <c r="T591" i="4"/>
  <c r="T595" i="4"/>
  <c r="T599" i="4"/>
  <c r="T603" i="4"/>
  <c r="T607" i="4"/>
  <c r="T611" i="4"/>
  <c r="T615" i="4"/>
  <c r="T619" i="4"/>
  <c r="T623" i="4"/>
  <c r="T627" i="4"/>
  <c r="T631" i="4"/>
  <c r="T635" i="4"/>
  <c r="T639" i="4"/>
  <c r="T643" i="4"/>
  <c r="T647" i="4"/>
  <c r="T651" i="4"/>
  <c r="T655" i="4"/>
  <c r="T659" i="4"/>
  <c r="T663" i="4"/>
  <c r="T667" i="4"/>
  <c r="T671" i="4"/>
  <c r="T675" i="4"/>
  <c r="T679" i="4"/>
  <c r="T683" i="4"/>
  <c r="T687" i="4"/>
  <c r="T691" i="4"/>
  <c r="T695" i="4"/>
  <c r="T699" i="4"/>
  <c r="T703" i="4"/>
  <c r="T707" i="4"/>
  <c r="T711" i="4"/>
  <c r="T715" i="4"/>
  <c r="T719" i="4"/>
  <c r="T723" i="4"/>
  <c r="T727" i="4"/>
  <c r="T731" i="4"/>
  <c r="T735" i="4"/>
  <c r="T739" i="4"/>
  <c r="T743" i="4"/>
  <c r="T747" i="4"/>
  <c r="T751" i="4"/>
  <c r="T755" i="4"/>
  <c r="T759" i="4"/>
  <c r="T763" i="4"/>
  <c r="T767" i="4"/>
  <c r="T771" i="4"/>
  <c r="T775" i="4"/>
  <c r="T779" i="4"/>
  <c r="T783" i="4"/>
  <c r="T787" i="4"/>
  <c r="T791" i="4"/>
  <c r="T795" i="4"/>
  <c r="T799" i="4"/>
  <c r="T803" i="4"/>
  <c r="T807" i="4"/>
  <c r="T811" i="4"/>
  <c r="T815" i="4"/>
  <c r="T819" i="4"/>
  <c r="T823" i="4"/>
  <c r="T827" i="4"/>
  <c r="T831" i="4"/>
  <c r="T835" i="4"/>
  <c r="T839" i="4"/>
  <c r="T843" i="4"/>
  <c r="T847" i="4"/>
  <c r="T851" i="4"/>
  <c r="T855" i="4"/>
  <c r="T859" i="4"/>
  <c r="T863" i="4"/>
  <c r="T867" i="4"/>
  <c r="T871" i="4"/>
  <c r="T875" i="4"/>
  <c r="T879" i="4"/>
  <c r="T883" i="4"/>
  <c r="T887" i="4"/>
  <c r="T891" i="4"/>
  <c r="T895" i="4"/>
  <c r="T899" i="4"/>
  <c r="T903" i="4"/>
  <c r="T907" i="4"/>
  <c r="T911" i="4"/>
  <c r="T915" i="4"/>
  <c r="T919" i="4"/>
  <c r="T923" i="4"/>
  <c r="T927" i="4"/>
  <c r="T931" i="4"/>
  <c r="T935" i="4"/>
  <c r="T939" i="4"/>
  <c r="T943" i="4"/>
  <c r="T947" i="4"/>
  <c r="T951" i="4"/>
  <c r="T955" i="4"/>
  <c r="T959" i="4"/>
  <c r="T963" i="4"/>
  <c r="T967" i="4"/>
  <c r="T971" i="4"/>
  <c r="T975" i="4"/>
  <c r="T979" i="4"/>
  <c r="U3915" i="4"/>
  <c r="U4487" i="4"/>
  <c r="U4749" i="4"/>
  <c r="U5005" i="4"/>
  <c r="T12" i="4"/>
  <c r="T16" i="4"/>
  <c r="T20" i="4"/>
  <c r="T24" i="4"/>
  <c r="T28" i="4"/>
  <c r="T32" i="4"/>
  <c r="T36" i="4"/>
  <c r="T40" i="4"/>
  <c r="T44" i="4"/>
  <c r="T48" i="4"/>
  <c r="T52" i="4"/>
  <c r="T56" i="4"/>
  <c r="T60" i="4"/>
  <c r="T64" i="4"/>
  <c r="T68" i="4"/>
  <c r="T72" i="4"/>
  <c r="T76" i="4"/>
  <c r="T80" i="4"/>
  <c r="T84" i="4"/>
  <c r="T88" i="4"/>
  <c r="T92" i="4"/>
  <c r="T96" i="4"/>
  <c r="T100" i="4"/>
  <c r="T104" i="4"/>
  <c r="T108" i="4"/>
  <c r="T112" i="4"/>
  <c r="T116" i="4"/>
  <c r="T120" i="4"/>
  <c r="T124" i="4"/>
  <c r="T128" i="4"/>
  <c r="T132" i="4"/>
  <c r="T136" i="4"/>
  <c r="T140" i="4"/>
  <c r="T144" i="4"/>
  <c r="T148" i="4"/>
  <c r="T152" i="4"/>
  <c r="T156" i="4"/>
  <c r="T160" i="4"/>
  <c r="T164" i="4"/>
  <c r="T168" i="4"/>
  <c r="T172" i="4"/>
  <c r="T176" i="4"/>
  <c r="T180" i="4"/>
  <c r="T184" i="4"/>
  <c r="T188" i="4"/>
  <c r="T192" i="4"/>
  <c r="T196" i="4"/>
  <c r="T200" i="4"/>
  <c r="T204" i="4"/>
  <c r="T208" i="4"/>
  <c r="T212" i="4"/>
  <c r="T216" i="4"/>
  <c r="T220" i="4"/>
  <c r="T224" i="4"/>
  <c r="T228" i="4"/>
  <c r="T232" i="4"/>
  <c r="T236" i="4"/>
  <c r="T240" i="4"/>
  <c r="T244" i="4"/>
  <c r="T248" i="4"/>
  <c r="T252" i="4"/>
  <c r="T256" i="4"/>
  <c r="T260" i="4"/>
  <c r="T264" i="4"/>
  <c r="T268" i="4"/>
  <c r="T272" i="4"/>
  <c r="T276" i="4"/>
  <c r="T280" i="4"/>
  <c r="T284" i="4"/>
  <c r="T288" i="4"/>
  <c r="T292" i="4"/>
  <c r="T296" i="4"/>
  <c r="T300" i="4"/>
  <c r="T304" i="4"/>
  <c r="T308" i="4"/>
  <c r="T312" i="4"/>
  <c r="T316" i="4"/>
  <c r="T320" i="4"/>
  <c r="T324" i="4"/>
  <c r="T328" i="4"/>
  <c r="T332" i="4"/>
  <c r="T336" i="4"/>
  <c r="T340" i="4"/>
  <c r="T344" i="4"/>
  <c r="T348" i="4"/>
  <c r="T352" i="4"/>
  <c r="T356" i="4"/>
  <c r="T360" i="4"/>
  <c r="T364" i="4"/>
  <c r="T368" i="4"/>
  <c r="T372" i="4"/>
  <c r="T376" i="4"/>
  <c r="T380" i="4"/>
  <c r="T384" i="4"/>
  <c r="T388" i="4"/>
  <c r="T392" i="4"/>
  <c r="T396" i="4"/>
  <c r="T400" i="4"/>
  <c r="T404" i="4"/>
  <c r="T408" i="4"/>
  <c r="T412" i="4"/>
  <c r="T416" i="4"/>
  <c r="T420" i="4"/>
  <c r="T424" i="4"/>
  <c r="T428" i="4"/>
  <c r="T432" i="4"/>
  <c r="T436" i="4"/>
  <c r="T440" i="4"/>
  <c r="T444" i="4"/>
  <c r="T448" i="4"/>
  <c r="T452" i="4"/>
  <c r="T456" i="4"/>
  <c r="T460" i="4"/>
  <c r="T464" i="4"/>
  <c r="T468" i="4"/>
  <c r="T472" i="4"/>
  <c r="T476" i="4"/>
  <c r="T480" i="4"/>
  <c r="T484" i="4"/>
  <c r="T488" i="4"/>
  <c r="T492" i="4"/>
  <c r="T496" i="4"/>
  <c r="T500" i="4"/>
  <c r="T504" i="4"/>
  <c r="T508" i="4"/>
  <c r="T512" i="4"/>
  <c r="T516" i="4"/>
  <c r="T520" i="4"/>
  <c r="T524" i="4"/>
  <c r="T528" i="4"/>
  <c r="T532" i="4"/>
  <c r="T536" i="4"/>
  <c r="T540" i="4"/>
  <c r="T544" i="4"/>
  <c r="T548" i="4"/>
  <c r="T552" i="4"/>
  <c r="T556" i="4"/>
  <c r="T560" i="4"/>
  <c r="T564" i="4"/>
  <c r="T568" i="4"/>
  <c r="T572" i="4"/>
  <c r="T576" i="4"/>
  <c r="T580" i="4"/>
  <c r="T584" i="4"/>
  <c r="T588" i="4"/>
  <c r="T592" i="4"/>
  <c r="T596" i="4"/>
  <c r="T600" i="4"/>
  <c r="T604" i="4"/>
  <c r="T608" i="4"/>
  <c r="T612" i="4"/>
  <c r="T616" i="4"/>
  <c r="T620" i="4"/>
  <c r="T624" i="4"/>
  <c r="T628" i="4"/>
  <c r="T632" i="4"/>
  <c r="T636" i="4"/>
  <c r="T640" i="4"/>
  <c r="T644" i="4"/>
  <c r="T648" i="4"/>
  <c r="T652" i="4"/>
  <c r="T656" i="4"/>
  <c r="T660" i="4"/>
  <c r="T664" i="4"/>
  <c r="T668" i="4"/>
  <c r="T672" i="4"/>
  <c r="T676" i="4"/>
  <c r="T680" i="4"/>
  <c r="T684" i="4"/>
  <c r="T688" i="4"/>
  <c r="T692" i="4"/>
  <c r="T696" i="4"/>
  <c r="T700" i="4"/>
  <c r="T704" i="4"/>
  <c r="T708" i="4"/>
  <c r="T712" i="4"/>
  <c r="T716" i="4"/>
  <c r="T720" i="4"/>
  <c r="T724" i="4"/>
  <c r="T728" i="4"/>
  <c r="T732" i="4"/>
  <c r="T736" i="4"/>
  <c r="T740" i="4"/>
  <c r="T744" i="4"/>
  <c r="T748" i="4"/>
  <c r="T752" i="4"/>
  <c r="T756" i="4"/>
  <c r="T760" i="4"/>
  <c r="T764" i="4"/>
  <c r="T768" i="4"/>
  <c r="T772" i="4"/>
  <c r="T776" i="4"/>
  <c r="T780" i="4"/>
  <c r="T784" i="4"/>
  <c r="T788" i="4"/>
  <c r="T792" i="4"/>
  <c r="T796" i="4"/>
  <c r="T800" i="4"/>
  <c r="T804" i="4"/>
  <c r="T808" i="4"/>
  <c r="T812" i="4"/>
  <c r="T816" i="4"/>
  <c r="T820" i="4"/>
  <c r="T824" i="4"/>
  <c r="T828" i="4"/>
  <c r="T832" i="4"/>
  <c r="T836" i="4"/>
  <c r="T840" i="4"/>
  <c r="T844" i="4"/>
  <c r="T848" i="4"/>
  <c r="T852" i="4"/>
  <c r="T856" i="4"/>
  <c r="T860" i="4"/>
  <c r="T864" i="4"/>
  <c r="T868" i="4"/>
  <c r="T872" i="4"/>
  <c r="T876" i="4"/>
  <c r="T880" i="4"/>
  <c r="T884" i="4"/>
  <c r="T888" i="4"/>
  <c r="T892" i="4"/>
  <c r="T896" i="4"/>
  <c r="T900" i="4"/>
  <c r="T904" i="4"/>
  <c r="T908" i="4"/>
  <c r="T912" i="4"/>
  <c r="T916" i="4"/>
  <c r="T920" i="4"/>
  <c r="T924" i="4"/>
  <c r="T928" i="4"/>
  <c r="T932" i="4"/>
  <c r="T936" i="4"/>
  <c r="T940" i="4"/>
  <c r="T944" i="4"/>
  <c r="T948" i="4"/>
  <c r="T952" i="4"/>
  <c r="T956" i="4"/>
  <c r="T960" i="4"/>
  <c r="T964" i="4"/>
  <c r="T968" i="4"/>
  <c r="T972" i="4"/>
  <c r="T976" i="4"/>
  <c r="T980" i="4"/>
  <c r="T984" i="4"/>
  <c r="T988" i="4"/>
  <c r="T992" i="4"/>
  <c r="T996" i="4"/>
  <c r="T1000" i="4"/>
  <c r="T1004" i="4"/>
  <c r="T1008" i="4"/>
  <c r="T1012" i="4"/>
  <c r="T1016" i="4"/>
  <c r="T1020" i="4"/>
  <c r="T1024" i="4"/>
  <c r="T1028" i="4"/>
  <c r="T1032" i="4"/>
  <c r="T1036" i="4"/>
  <c r="T1040" i="4"/>
  <c r="T1044" i="4"/>
  <c r="T1048" i="4"/>
  <c r="T1052" i="4"/>
  <c r="T1056" i="4"/>
  <c r="T1060" i="4"/>
  <c r="T1064" i="4"/>
  <c r="T1068" i="4"/>
  <c r="T1072" i="4"/>
  <c r="T1076" i="4"/>
  <c r="T1080" i="4"/>
  <c r="T1084" i="4"/>
  <c r="T1088" i="4"/>
  <c r="T1092" i="4"/>
  <c r="T1096" i="4"/>
  <c r="T1100" i="4"/>
  <c r="T1104" i="4"/>
  <c r="T1108" i="4"/>
  <c r="T1112" i="4"/>
  <c r="T1116" i="4"/>
  <c r="T1120" i="4"/>
  <c r="T1124" i="4"/>
  <c r="T1128" i="4"/>
  <c r="T1132" i="4"/>
  <c r="T1136" i="4"/>
  <c r="T1140" i="4"/>
  <c r="T1144" i="4"/>
  <c r="T1148" i="4"/>
  <c r="T1152" i="4"/>
  <c r="T1156" i="4"/>
  <c r="T1160" i="4"/>
  <c r="T1164" i="4"/>
  <c r="T1168" i="4"/>
  <c r="T1172" i="4"/>
  <c r="T1176" i="4"/>
  <c r="T1180" i="4"/>
  <c r="T1184" i="4"/>
  <c r="T1188" i="4"/>
  <c r="T1192" i="4"/>
  <c r="T1196" i="4"/>
  <c r="T1200" i="4"/>
  <c r="T1204" i="4"/>
  <c r="T1208" i="4"/>
  <c r="T1212" i="4"/>
  <c r="T1216" i="4"/>
  <c r="T1220" i="4"/>
  <c r="T1224" i="4"/>
  <c r="T1228" i="4"/>
  <c r="T1232" i="4"/>
  <c r="T1236" i="4"/>
  <c r="T1240" i="4"/>
  <c r="T1244" i="4"/>
  <c r="T1248" i="4"/>
  <c r="T1252" i="4"/>
  <c r="T1256" i="4"/>
  <c r="T1260" i="4"/>
  <c r="T1264" i="4"/>
  <c r="T1268" i="4"/>
  <c r="T1272" i="4"/>
  <c r="T1276" i="4"/>
  <c r="T1280" i="4"/>
  <c r="T1284" i="4"/>
  <c r="T1288" i="4"/>
  <c r="T1292" i="4"/>
  <c r="T1296" i="4"/>
  <c r="T1300" i="4"/>
  <c r="T1304" i="4"/>
  <c r="T1308" i="4"/>
  <c r="T1312" i="4"/>
  <c r="T1316" i="4"/>
  <c r="T1320" i="4"/>
  <c r="T1324" i="4"/>
  <c r="T1328" i="4"/>
  <c r="T1332" i="4"/>
  <c r="T1336" i="4"/>
  <c r="T1340" i="4"/>
  <c r="T1344" i="4"/>
  <c r="T1348" i="4"/>
  <c r="T1352" i="4"/>
  <c r="T1356" i="4"/>
  <c r="T1360" i="4"/>
  <c r="T1364" i="4"/>
  <c r="T1368" i="4"/>
  <c r="T1372" i="4"/>
  <c r="T1376" i="4"/>
  <c r="T1380" i="4"/>
  <c r="T1384" i="4"/>
  <c r="T1388" i="4"/>
  <c r="T1392" i="4"/>
  <c r="T1396" i="4"/>
  <c r="T1400" i="4"/>
  <c r="T1404" i="4"/>
  <c r="T1408" i="4"/>
  <c r="T1412" i="4"/>
  <c r="T1416" i="4"/>
  <c r="T1420" i="4"/>
  <c r="T1424" i="4"/>
  <c r="T1428" i="4"/>
  <c r="T1432" i="4"/>
  <c r="U4171" i="4"/>
  <c r="T13" i="4"/>
  <c r="T29" i="4"/>
  <c r="T45" i="4"/>
  <c r="T61" i="4"/>
  <c r="T77" i="4"/>
  <c r="T93" i="4"/>
  <c r="T109" i="4"/>
  <c r="T125" i="4"/>
  <c r="T141" i="4"/>
  <c r="T157" i="4"/>
  <c r="T173" i="4"/>
  <c r="T189" i="4"/>
  <c r="T205" i="4"/>
  <c r="T221" i="4"/>
  <c r="T237" i="4"/>
  <c r="T253" i="4"/>
  <c r="T269" i="4"/>
  <c r="T285" i="4"/>
  <c r="T301" i="4"/>
  <c r="T317" i="4"/>
  <c r="T333" i="4"/>
  <c r="T349" i="4"/>
  <c r="T365" i="4"/>
  <c r="T381" i="4"/>
  <c r="T397" i="4"/>
  <c r="T413" i="4"/>
  <c r="T429" i="4"/>
  <c r="T445" i="4"/>
  <c r="T461" i="4"/>
  <c r="T477" i="4"/>
  <c r="T493" i="4"/>
  <c r="T509" i="4"/>
  <c r="T525" i="4"/>
  <c r="T541" i="4"/>
  <c r="T557" i="4"/>
  <c r="T573" i="4"/>
  <c r="T589" i="4"/>
  <c r="T605" i="4"/>
  <c r="T621" i="4"/>
  <c r="T637" i="4"/>
  <c r="T653" i="4"/>
  <c r="T669" i="4"/>
  <c r="T685" i="4"/>
  <c r="T701" i="4"/>
  <c r="T717" i="4"/>
  <c r="T733" i="4"/>
  <c r="T749" i="4"/>
  <c r="T765" i="4"/>
  <c r="T781" i="4"/>
  <c r="T797" i="4"/>
  <c r="T813" i="4"/>
  <c r="T829" i="4"/>
  <c r="T845" i="4"/>
  <c r="T861" i="4"/>
  <c r="T877" i="4"/>
  <c r="T893" i="4"/>
  <c r="T909" i="4"/>
  <c r="T925" i="4"/>
  <c r="T941" i="4"/>
  <c r="T957" i="4"/>
  <c r="T973" i="4"/>
  <c r="T985" i="4"/>
  <c r="T993" i="4"/>
  <c r="T1001" i="4"/>
  <c r="T1009" i="4"/>
  <c r="T1017" i="4"/>
  <c r="T1025" i="4"/>
  <c r="T1033" i="4"/>
  <c r="T1041" i="4"/>
  <c r="T1049" i="4"/>
  <c r="T1057" i="4"/>
  <c r="T1065" i="4"/>
  <c r="T1073" i="4"/>
  <c r="T1081" i="4"/>
  <c r="T1089" i="4"/>
  <c r="T1097" i="4"/>
  <c r="T1105" i="4"/>
  <c r="T1113" i="4"/>
  <c r="T1121" i="4"/>
  <c r="T1129" i="4"/>
  <c r="T1137" i="4"/>
  <c r="T1145" i="4"/>
  <c r="T1153" i="4"/>
  <c r="T1161" i="4"/>
  <c r="T1169" i="4"/>
  <c r="T1177" i="4"/>
  <c r="T1185" i="4"/>
  <c r="T1193" i="4"/>
  <c r="T1201" i="4"/>
  <c r="T1209" i="4"/>
  <c r="T1217" i="4"/>
  <c r="T1225" i="4"/>
  <c r="T1233" i="4"/>
  <c r="T1241" i="4"/>
  <c r="T1249" i="4"/>
  <c r="T1257" i="4"/>
  <c r="T1265" i="4"/>
  <c r="T1273" i="4"/>
  <c r="T1281" i="4"/>
  <c r="T1289" i="4"/>
  <c r="T1297" i="4"/>
  <c r="T1305" i="4"/>
  <c r="T1313" i="4"/>
  <c r="T1321" i="4"/>
  <c r="T1329" i="4"/>
  <c r="T1337" i="4"/>
  <c r="T1345" i="4"/>
  <c r="T1353" i="4"/>
  <c r="T1361" i="4"/>
  <c r="T1369" i="4"/>
  <c r="T1377" i="4"/>
  <c r="T1385" i="4"/>
  <c r="T1393" i="4"/>
  <c r="T1401" i="4"/>
  <c r="T1409" i="4"/>
  <c r="T1417" i="4"/>
  <c r="T1425" i="4"/>
  <c r="T1430" i="4"/>
  <c r="T1435" i="4"/>
  <c r="T1439" i="4"/>
  <c r="T1443" i="4"/>
  <c r="T1447" i="4"/>
  <c r="T1451" i="4"/>
  <c r="T1455" i="4"/>
  <c r="T1459" i="4"/>
  <c r="T1463" i="4"/>
  <c r="T1467" i="4"/>
  <c r="T1471" i="4"/>
  <c r="T1475" i="4"/>
  <c r="T1479" i="4"/>
  <c r="T1483" i="4"/>
  <c r="T1487" i="4"/>
  <c r="T1491" i="4"/>
  <c r="T1495" i="4"/>
  <c r="T1499" i="4"/>
  <c r="T1503" i="4"/>
  <c r="T1507" i="4"/>
  <c r="T1511" i="4"/>
  <c r="T1515" i="4"/>
  <c r="T1519" i="4"/>
  <c r="T1523" i="4"/>
  <c r="T1527" i="4"/>
  <c r="T1531" i="4"/>
  <c r="T1535" i="4"/>
  <c r="T1539" i="4"/>
  <c r="T1543" i="4"/>
  <c r="T1547" i="4"/>
  <c r="T1551" i="4"/>
  <c r="T1555" i="4"/>
  <c r="T1559" i="4"/>
  <c r="T1563" i="4"/>
  <c r="T1567" i="4"/>
  <c r="T1571" i="4"/>
  <c r="T1575" i="4"/>
  <c r="T1579" i="4"/>
  <c r="T1583" i="4"/>
  <c r="T1587" i="4"/>
  <c r="T1591" i="4"/>
  <c r="T1595" i="4"/>
  <c r="T1599" i="4"/>
  <c r="T1603" i="4"/>
  <c r="T1607" i="4"/>
  <c r="T1611" i="4"/>
  <c r="T1615" i="4"/>
  <c r="T1619" i="4"/>
  <c r="T1623" i="4"/>
  <c r="T1627" i="4"/>
  <c r="T1631" i="4"/>
  <c r="T1635" i="4"/>
  <c r="T1639" i="4"/>
  <c r="T1643" i="4"/>
  <c r="T1647" i="4"/>
  <c r="T1651" i="4"/>
  <c r="T1655" i="4"/>
  <c r="T1659" i="4"/>
  <c r="T1663" i="4"/>
  <c r="T1667" i="4"/>
  <c r="T1671" i="4"/>
  <c r="T1675" i="4"/>
  <c r="T1679" i="4"/>
  <c r="T1683" i="4"/>
  <c r="T1687" i="4"/>
  <c r="T1691" i="4"/>
  <c r="T1695" i="4"/>
  <c r="T1699" i="4"/>
  <c r="T1703" i="4"/>
  <c r="T1707" i="4"/>
  <c r="T1711" i="4"/>
  <c r="T1715" i="4"/>
  <c r="T1719" i="4"/>
  <c r="T1723" i="4"/>
  <c r="T1727" i="4"/>
  <c r="T1731" i="4"/>
  <c r="T1735" i="4"/>
  <c r="T1739" i="4"/>
  <c r="T1743" i="4"/>
  <c r="T1747" i="4"/>
  <c r="T1751" i="4"/>
  <c r="T1755" i="4"/>
  <c r="T1759" i="4"/>
  <c r="T1763" i="4"/>
  <c r="T1767" i="4"/>
  <c r="T1771" i="4"/>
  <c r="T1775" i="4"/>
  <c r="T1779" i="4"/>
  <c r="T1783" i="4"/>
  <c r="T1787" i="4"/>
  <c r="T1791" i="4"/>
  <c r="T1795" i="4"/>
  <c r="T1799" i="4"/>
  <c r="T1803" i="4"/>
  <c r="T1807" i="4"/>
  <c r="T1811" i="4"/>
  <c r="T1815" i="4"/>
  <c r="T1819" i="4"/>
  <c r="T1823" i="4"/>
  <c r="T1827" i="4"/>
  <c r="T1831" i="4"/>
  <c r="T1835" i="4"/>
  <c r="T1839" i="4"/>
  <c r="T1843" i="4"/>
  <c r="T1847" i="4"/>
  <c r="T1851" i="4"/>
  <c r="T1855" i="4"/>
  <c r="T1859" i="4"/>
  <c r="T1863" i="4"/>
  <c r="T1867" i="4"/>
  <c r="T1871" i="4"/>
  <c r="T1875" i="4"/>
  <c r="T1879" i="4"/>
  <c r="T1883" i="4"/>
  <c r="T1887" i="4"/>
  <c r="T1891" i="4"/>
  <c r="T1895" i="4"/>
  <c r="T1899" i="4"/>
  <c r="T1903" i="4"/>
  <c r="T1907" i="4"/>
  <c r="T1911" i="4"/>
  <c r="T1915" i="4"/>
  <c r="T1919" i="4"/>
  <c r="T1923" i="4"/>
  <c r="T1927" i="4"/>
  <c r="T1931" i="4"/>
  <c r="T1935" i="4"/>
  <c r="T1939" i="4"/>
  <c r="T1943" i="4"/>
  <c r="T1947" i="4"/>
  <c r="T1951" i="4"/>
  <c r="T1955" i="4"/>
  <c r="T1959" i="4"/>
  <c r="T1963" i="4"/>
  <c r="T1967" i="4"/>
  <c r="T1971" i="4"/>
  <c r="T1975" i="4"/>
  <c r="T1979" i="4"/>
  <c r="T1983" i="4"/>
  <c r="T1987" i="4"/>
  <c r="T1991" i="4"/>
  <c r="T1995" i="4"/>
  <c r="T1999" i="4"/>
  <c r="T2003" i="4"/>
  <c r="T2007" i="4"/>
  <c r="T2011" i="4"/>
  <c r="T2015" i="4"/>
  <c r="T2019" i="4"/>
  <c r="T2023" i="4"/>
  <c r="T2027" i="4"/>
  <c r="T2031" i="4"/>
  <c r="T2035" i="4"/>
  <c r="T2039" i="4"/>
  <c r="T2043" i="4"/>
  <c r="T2047" i="4"/>
  <c r="T2051" i="4"/>
  <c r="T2055" i="4"/>
  <c r="T2059" i="4"/>
  <c r="T2063" i="4"/>
  <c r="T2067" i="4"/>
  <c r="T2071" i="4"/>
  <c r="T2075" i="4"/>
  <c r="T2079" i="4"/>
  <c r="T2083" i="4"/>
  <c r="T2087" i="4"/>
  <c r="T2091" i="4"/>
  <c r="T2095" i="4"/>
  <c r="T2099" i="4"/>
  <c r="T2103" i="4"/>
  <c r="T2107" i="4"/>
  <c r="T2111" i="4"/>
  <c r="T2115" i="4"/>
  <c r="T2119" i="4"/>
  <c r="T2123" i="4"/>
  <c r="T2127" i="4"/>
  <c r="T2131" i="4"/>
  <c r="T2135" i="4"/>
  <c r="T2139" i="4"/>
  <c r="T2143" i="4"/>
  <c r="T2147" i="4"/>
  <c r="T2151" i="4"/>
  <c r="T2155" i="4"/>
  <c r="T2159" i="4"/>
  <c r="T2163" i="4"/>
  <c r="T2167" i="4"/>
  <c r="T2171" i="4"/>
  <c r="T2175" i="4"/>
  <c r="T2179" i="4"/>
  <c r="T2183" i="4"/>
  <c r="T2187" i="4"/>
  <c r="T2191" i="4"/>
  <c r="T2195" i="4"/>
  <c r="T2199" i="4"/>
  <c r="T2203" i="4"/>
  <c r="T2207" i="4"/>
  <c r="T2211" i="4"/>
  <c r="T2215" i="4"/>
  <c r="T2219" i="4"/>
  <c r="T2223" i="4"/>
  <c r="T2227" i="4"/>
  <c r="T2231" i="4"/>
  <c r="T2235" i="4"/>
  <c r="T2239" i="4"/>
  <c r="T2243" i="4"/>
  <c r="T2247" i="4"/>
  <c r="T2251" i="4"/>
  <c r="T2255" i="4"/>
  <c r="T2259" i="4"/>
  <c r="T2263" i="4"/>
  <c r="T2267" i="4"/>
  <c r="T2271" i="4"/>
  <c r="T2275" i="4"/>
  <c r="T2279" i="4"/>
  <c r="T2283" i="4"/>
  <c r="T2287" i="4"/>
  <c r="T2291" i="4"/>
  <c r="T2295" i="4"/>
  <c r="T2299" i="4"/>
  <c r="T2303" i="4"/>
  <c r="T2307" i="4"/>
  <c r="T2311" i="4"/>
  <c r="T2315" i="4"/>
  <c r="T2319" i="4"/>
  <c r="T2323" i="4"/>
  <c r="T2327" i="4"/>
  <c r="T2331" i="4"/>
  <c r="T2335" i="4"/>
  <c r="T2339" i="4"/>
  <c r="T2343" i="4"/>
  <c r="T2347" i="4"/>
  <c r="T2351" i="4"/>
  <c r="T2355" i="4"/>
  <c r="T2359" i="4"/>
  <c r="T2363" i="4"/>
  <c r="T2367" i="4"/>
  <c r="T2371" i="4"/>
  <c r="T2375" i="4"/>
  <c r="T2379" i="4"/>
  <c r="T2383" i="4"/>
  <c r="T2387" i="4"/>
  <c r="T2391" i="4"/>
  <c r="T2395" i="4"/>
  <c r="T2399" i="4"/>
  <c r="T2403" i="4"/>
  <c r="T2407" i="4"/>
  <c r="T2411" i="4"/>
  <c r="T2415" i="4"/>
  <c r="T2419" i="4"/>
  <c r="T2423" i="4"/>
  <c r="T2427" i="4"/>
  <c r="T2431" i="4"/>
  <c r="T2435" i="4"/>
  <c r="T2439" i="4"/>
  <c r="T2443" i="4"/>
  <c r="T2447" i="4"/>
  <c r="T2451" i="4"/>
  <c r="T2455" i="4"/>
  <c r="T2459" i="4"/>
  <c r="T2463" i="4"/>
  <c r="T2467" i="4"/>
  <c r="T2471" i="4"/>
  <c r="T2475" i="4"/>
  <c r="T2479" i="4"/>
  <c r="T2483" i="4"/>
  <c r="T2487" i="4"/>
  <c r="T2491" i="4"/>
  <c r="T2495" i="4"/>
  <c r="T2499" i="4"/>
  <c r="T2503" i="4"/>
  <c r="T2507" i="4"/>
  <c r="T2511" i="4"/>
  <c r="T2515" i="4"/>
  <c r="T2519" i="4"/>
  <c r="T2523" i="4"/>
  <c r="T2527" i="4"/>
  <c r="T2531" i="4"/>
  <c r="T2535" i="4"/>
  <c r="T2539" i="4"/>
  <c r="T2543" i="4"/>
  <c r="T2547" i="4"/>
  <c r="T2551" i="4"/>
  <c r="T2555" i="4"/>
  <c r="T2559" i="4"/>
  <c r="T2563" i="4"/>
  <c r="T2567" i="4"/>
  <c r="T2571" i="4"/>
  <c r="T2575" i="4"/>
  <c r="T2579" i="4"/>
  <c r="T2583" i="4"/>
  <c r="T2587" i="4"/>
  <c r="T2591" i="4"/>
  <c r="T2595" i="4"/>
  <c r="T2599" i="4"/>
  <c r="T2603" i="4"/>
  <c r="T2607" i="4"/>
  <c r="T2611" i="4"/>
  <c r="T2615" i="4"/>
  <c r="T2619" i="4"/>
  <c r="T2623" i="4"/>
  <c r="T2627" i="4"/>
  <c r="T2631" i="4"/>
  <c r="T2635" i="4"/>
  <c r="T2639" i="4"/>
  <c r="T2643" i="4"/>
  <c r="T2647" i="4"/>
  <c r="T2651" i="4"/>
  <c r="T2655" i="4"/>
  <c r="T2659" i="4"/>
  <c r="T2663" i="4"/>
  <c r="T2667" i="4"/>
  <c r="T2671" i="4"/>
  <c r="T2675" i="4"/>
  <c r="T2679" i="4"/>
  <c r="T2683" i="4"/>
  <c r="T2687" i="4"/>
  <c r="T2691" i="4"/>
  <c r="T2695" i="4"/>
  <c r="T2699" i="4"/>
  <c r="T2703" i="4"/>
  <c r="T2707" i="4"/>
  <c r="T2711" i="4"/>
  <c r="T2715" i="4"/>
  <c r="T2719" i="4"/>
  <c r="T2723" i="4"/>
  <c r="T2727" i="4"/>
  <c r="T2731" i="4"/>
  <c r="T2735" i="4"/>
  <c r="T2739" i="4"/>
  <c r="T2743" i="4"/>
  <c r="T2747" i="4"/>
  <c r="T2751" i="4"/>
  <c r="T2755" i="4"/>
  <c r="T2759" i="4"/>
  <c r="T2763" i="4"/>
  <c r="T2767" i="4"/>
  <c r="T2771" i="4"/>
  <c r="T2775" i="4"/>
  <c r="T2779" i="4"/>
  <c r="T2783" i="4"/>
  <c r="T2787" i="4"/>
  <c r="T2791" i="4"/>
  <c r="T2795" i="4"/>
  <c r="T2799" i="4"/>
  <c r="T2803" i="4"/>
  <c r="T2807" i="4"/>
  <c r="T2811" i="4"/>
  <c r="T2815" i="4"/>
  <c r="T2819" i="4"/>
  <c r="T2823" i="4"/>
  <c r="T2827" i="4"/>
  <c r="T2831" i="4"/>
  <c r="T2835" i="4"/>
  <c r="T2839" i="4"/>
  <c r="T2843" i="4"/>
  <c r="T2847" i="4"/>
  <c r="T2851" i="4"/>
  <c r="T2855" i="4"/>
  <c r="T2859" i="4"/>
  <c r="T2863" i="4"/>
  <c r="T2867" i="4"/>
  <c r="T2871" i="4"/>
  <c r="T2875" i="4"/>
  <c r="T2879" i="4"/>
  <c r="T2883" i="4"/>
  <c r="T2887" i="4"/>
  <c r="T2891" i="4"/>
  <c r="T2895" i="4"/>
  <c r="T2899" i="4"/>
  <c r="T2903" i="4"/>
  <c r="T2907" i="4"/>
  <c r="T2911" i="4"/>
  <c r="T2915" i="4"/>
  <c r="T2919" i="4"/>
  <c r="T2923" i="4"/>
  <c r="T2927" i="4"/>
  <c r="T2931" i="4"/>
  <c r="T2935" i="4"/>
  <c r="T2939" i="4"/>
  <c r="T2943" i="4"/>
  <c r="T2947" i="4"/>
  <c r="T2951" i="4"/>
  <c r="T2955" i="4"/>
  <c r="T2959" i="4"/>
  <c r="T2963" i="4"/>
  <c r="T2967" i="4"/>
  <c r="T2971" i="4"/>
  <c r="T2975" i="4"/>
  <c r="T2979" i="4"/>
  <c r="T2983" i="4"/>
  <c r="T2987" i="4"/>
  <c r="T2991" i="4"/>
  <c r="T2995" i="4"/>
  <c r="T2999" i="4"/>
  <c r="T3003" i="4"/>
  <c r="T3007" i="4"/>
  <c r="T3011" i="4"/>
  <c r="T3015" i="4"/>
  <c r="T3019" i="4"/>
  <c r="T3023" i="4"/>
  <c r="T3027" i="4"/>
  <c r="T3031" i="4"/>
  <c r="T3035" i="4"/>
  <c r="T3039" i="4"/>
  <c r="T3043" i="4"/>
  <c r="T3047" i="4"/>
  <c r="T3051" i="4"/>
  <c r="T3055" i="4"/>
  <c r="T3059" i="4"/>
  <c r="T3063" i="4"/>
  <c r="T3067" i="4"/>
  <c r="T3071" i="4"/>
  <c r="T3075" i="4"/>
  <c r="T3079" i="4"/>
  <c r="T3083" i="4"/>
  <c r="T3087" i="4"/>
  <c r="T3091" i="4"/>
  <c r="T3095" i="4"/>
  <c r="T3099" i="4"/>
  <c r="T3103" i="4"/>
  <c r="T3107" i="4"/>
  <c r="T3111" i="4"/>
  <c r="T3115" i="4"/>
  <c r="T3119" i="4"/>
  <c r="T3123" i="4"/>
  <c r="T3127" i="4"/>
  <c r="T3131" i="4"/>
  <c r="T3135" i="4"/>
  <c r="T3139" i="4"/>
  <c r="T3143" i="4"/>
  <c r="T3147" i="4"/>
  <c r="T3151" i="4"/>
  <c r="T3155" i="4"/>
  <c r="T3159" i="4"/>
  <c r="T3163" i="4"/>
  <c r="T3167" i="4"/>
  <c r="T3171" i="4"/>
  <c r="T3175" i="4"/>
  <c r="T3179" i="4"/>
  <c r="T3183" i="4"/>
  <c r="T3187" i="4"/>
  <c r="T3191" i="4"/>
  <c r="T3195" i="4"/>
  <c r="T3199" i="4"/>
  <c r="T3203" i="4"/>
  <c r="T3207" i="4"/>
  <c r="T3211" i="4"/>
  <c r="T3215" i="4"/>
  <c r="T3219" i="4"/>
  <c r="T3223" i="4"/>
  <c r="T3227" i="4"/>
  <c r="T3231" i="4"/>
  <c r="T3235" i="4"/>
  <c r="T3239" i="4"/>
  <c r="T3243" i="4"/>
  <c r="T3247" i="4"/>
  <c r="T3251" i="4"/>
  <c r="T3255" i="4"/>
  <c r="T3259" i="4"/>
  <c r="T3263" i="4"/>
  <c r="T3267" i="4"/>
  <c r="T3271" i="4"/>
  <c r="T3275" i="4"/>
  <c r="T3279" i="4"/>
  <c r="T3283" i="4"/>
  <c r="T3287" i="4"/>
  <c r="T3291" i="4"/>
  <c r="T3295" i="4"/>
  <c r="T3299" i="4"/>
  <c r="T3303" i="4"/>
  <c r="T3307" i="4"/>
  <c r="T3311" i="4"/>
  <c r="T3315" i="4"/>
  <c r="T3319" i="4"/>
  <c r="T3323" i="4"/>
  <c r="T3327" i="4"/>
  <c r="T3331" i="4"/>
  <c r="T3335" i="4"/>
  <c r="T3339" i="4"/>
  <c r="T3343" i="4"/>
  <c r="T3347" i="4"/>
  <c r="T3351" i="4"/>
  <c r="T3355" i="4"/>
  <c r="T3359" i="4"/>
  <c r="T3363" i="4"/>
  <c r="T3367" i="4"/>
  <c r="T3371" i="4"/>
  <c r="T3375" i="4"/>
  <c r="T3379" i="4"/>
  <c r="T3383" i="4"/>
  <c r="T3387" i="4"/>
  <c r="T3391" i="4"/>
  <c r="T3395" i="4"/>
  <c r="T3399" i="4"/>
  <c r="T3403" i="4"/>
  <c r="T3407" i="4"/>
  <c r="T3411" i="4"/>
  <c r="T3415" i="4"/>
  <c r="T3419" i="4"/>
  <c r="T3423" i="4"/>
  <c r="T3427" i="4"/>
  <c r="T3431" i="4"/>
  <c r="T3435" i="4"/>
  <c r="T3439" i="4"/>
  <c r="T3443" i="4"/>
  <c r="T3447" i="4"/>
  <c r="T3451" i="4"/>
  <c r="T3455" i="4"/>
  <c r="T3459" i="4"/>
  <c r="T3463" i="4"/>
  <c r="T3467" i="4"/>
  <c r="T3471" i="4"/>
  <c r="T3475" i="4"/>
  <c r="T3479" i="4"/>
  <c r="T3483" i="4"/>
  <c r="T3487" i="4"/>
  <c r="T3491" i="4"/>
  <c r="T3495" i="4"/>
  <c r="T3499" i="4"/>
  <c r="T3503" i="4"/>
  <c r="T3507" i="4"/>
  <c r="T3511" i="4"/>
  <c r="T3515" i="4"/>
  <c r="T3519" i="4"/>
  <c r="T3523" i="4"/>
  <c r="T3527" i="4"/>
  <c r="T3531" i="4"/>
  <c r="T3535" i="4"/>
  <c r="T3539" i="4"/>
  <c r="T3543" i="4"/>
  <c r="T3547" i="4"/>
  <c r="T3551" i="4"/>
  <c r="T3555" i="4"/>
  <c r="T3559" i="4"/>
  <c r="T3563" i="4"/>
  <c r="T3567" i="4"/>
  <c r="T3571" i="4"/>
  <c r="T3575" i="4"/>
  <c r="T3579" i="4"/>
  <c r="T3583" i="4"/>
  <c r="T3587" i="4"/>
  <c r="T3591" i="4"/>
  <c r="T3595" i="4"/>
  <c r="T3599" i="4"/>
  <c r="T3603" i="4"/>
  <c r="T3607" i="4"/>
  <c r="T3611" i="4"/>
  <c r="T3615" i="4"/>
  <c r="T3619" i="4"/>
  <c r="T3623" i="4"/>
  <c r="T3627" i="4"/>
  <c r="T3631" i="4"/>
  <c r="T3635" i="4"/>
  <c r="T3639" i="4"/>
  <c r="T3643" i="4"/>
  <c r="T3647" i="4"/>
  <c r="T3651" i="4"/>
  <c r="T3655" i="4"/>
  <c r="T3659" i="4"/>
  <c r="T3663" i="4"/>
  <c r="T3667" i="4"/>
  <c r="T3671" i="4"/>
  <c r="T3675" i="4"/>
  <c r="T3679" i="4"/>
  <c r="T3683" i="4"/>
  <c r="T3687" i="4"/>
  <c r="T3691" i="4"/>
  <c r="T3695" i="4"/>
  <c r="T3699" i="4"/>
  <c r="T3703" i="4"/>
  <c r="T3707" i="4"/>
  <c r="T3711" i="4"/>
  <c r="T3715" i="4"/>
  <c r="T3719" i="4"/>
  <c r="T3723" i="4"/>
  <c r="T3727" i="4"/>
  <c r="T3731" i="4"/>
  <c r="T3735" i="4"/>
  <c r="T3739" i="4"/>
  <c r="T3743" i="4"/>
  <c r="T3747" i="4"/>
  <c r="T3751" i="4"/>
  <c r="T3755" i="4"/>
  <c r="T3759" i="4"/>
  <c r="T3763" i="4"/>
  <c r="T3767" i="4"/>
  <c r="T3771" i="4"/>
  <c r="T3775" i="4"/>
  <c r="T3779" i="4"/>
  <c r="T3783" i="4"/>
  <c r="T3787" i="4"/>
  <c r="T3791" i="4"/>
  <c r="T3795" i="4"/>
  <c r="T3799" i="4"/>
  <c r="T3803" i="4"/>
  <c r="T3807" i="4"/>
  <c r="T3811" i="4"/>
  <c r="T3815" i="4"/>
  <c r="T3819" i="4"/>
  <c r="T3823" i="4"/>
  <c r="T3827" i="4"/>
  <c r="T3831" i="4"/>
  <c r="T3835" i="4"/>
  <c r="T3839" i="4"/>
  <c r="T3843" i="4"/>
  <c r="T3847" i="4"/>
  <c r="T3851" i="4"/>
  <c r="T3855" i="4"/>
  <c r="T3859" i="4"/>
  <c r="T3863" i="4"/>
  <c r="T3867" i="4"/>
  <c r="T3871" i="4"/>
  <c r="T3875" i="4"/>
  <c r="T3879" i="4"/>
  <c r="T3883" i="4"/>
  <c r="T3887" i="4"/>
  <c r="T3891" i="4"/>
  <c r="T3895" i="4"/>
  <c r="T3899" i="4"/>
  <c r="T3903" i="4"/>
  <c r="T3907" i="4"/>
  <c r="T3911" i="4"/>
  <c r="T3915" i="4"/>
  <c r="T3919" i="4"/>
  <c r="T3923" i="4"/>
  <c r="T3927" i="4"/>
  <c r="T3931" i="4"/>
  <c r="T3935" i="4"/>
  <c r="T3939" i="4"/>
  <c r="T3943" i="4"/>
  <c r="T3947" i="4"/>
  <c r="T3951" i="4"/>
  <c r="T3955" i="4"/>
  <c r="T3959" i="4"/>
  <c r="T3963" i="4"/>
  <c r="T3967" i="4"/>
  <c r="T3971" i="4"/>
  <c r="T3975" i="4"/>
  <c r="T3979" i="4"/>
  <c r="T3983" i="4"/>
  <c r="T3987" i="4"/>
  <c r="T3991" i="4"/>
  <c r="T3995" i="4"/>
  <c r="T3999" i="4"/>
  <c r="T4003" i="4"/>
  <c r="T4007" i="4"/>
  <c r="T4011" i="4"/>
  <c r="T4015" i="4"/>
  <c r="T4019" i="4"/>
  <c r="T4023" i="4"/>
  <c r="T4027" i="4"/>
  <c r="T4031" i="4"/>
  <c r="T4035" i="4"/>
  <c r="T4039" i="4"/>
  <c r="T4043" i="4"/>
  <c r="T4047" i="4"/>
  <c r="T4051" i="4"/>
  <c r="T4055" i="4"/>
  <c r="T4059" i="4"/>
  <c r="T4063" i="4"/>
  <c r="T4067" i="4"/>
  <c r="T4071" i="4"/>
  <c r="T4075" i="4"/>
  <c r="T4079" i="4"/>
  <c r="T4083" i="4"/>
  <c r="T4087" i="4"/>
  <c r="T4091" i="4"/>
  <c r="T4095" i="4"/>
  <c r="T4099" i="4"/>
  <c r="T4103" i="4"/>
  <c r="T4107" i="4"/>
  <c r="T4111" i="4"/>
  <c r="T4115" i="4"/>
  <c r="T4119" i="4"/>
  <c r="T4123" i="4"/>
  <c r="T4127" i="4"/>
  <c r="T4131" i="4"/>
  <c r="T4135" i="4"/>
  <c r="T4139" i="4"/>
  <c r="T4143" i="4"/>
  <c r="T4147" i="4"/>
  <c r="T4151" i="4"/>
  <c r="T4155" i="4"/>
  <c r="T4159" i="4"/>
  <c r="T4163" i="4"/>
  <c r="T4167" i="4"/>
  <c r="T4171" i="4"/>
  <c r="T4175" i="4"/>
  <c r="T4179" i="4"/>
  <c r="T4183" i="4"/>
  <c r="T4187" i="4"/>
  <c r="T4191" i="4"/>
  <c r="T4195" i="4"/>
  <c r="T4199" i="4"/>
  <c r="T4203" i="4"/>
  <c r="T4207" i="4"/>
  <c r="T4211" i="4"/>
  <c r="T4215" i="4"/>
  <c r="T4219" i="4"/>
  <c r="T4223" i="4"/>
  <c r="T4227" i="4"/>
  <c r="T4231" i="4"/>
  <c r="T4235" i="4"/>
  <c r="T4239" i="4"/>
  <c r="T4243" i="4"/>
  <c r="T4247" i="4"/>
  <c r="T4251" i="4"/>
  <c r="T4255" i="4"/>
  <c r="T4259" i="4"/>
  <c r="T4263" i="4"/>
  <c r="T4267" i="4"/>
  <c r="T4271" i="4"/>
  <c r="T4275" i="4"/>
  <c r="T4279" i="4"/>
  <c r="T4283" i="4"/>
  <c r="T4287" i="4"/>
  <c r="T4291" i="4"/>
  <c r="T4295" i="4"/>
  <c r="T4299" i="4"/>
  <c r="T4303" i="4"/>
  <c r="T4307" i="4"/>
  <c r="T4311" i="4"/>
  <c r="T4315" i="4"/>
  <c r="T4319" i="4"/>
  <c r="T4323" i="4"/>
  <c r="T4327" i="4"/>
  <c r="T4331" i="4"/>
  <c r="T4335" i="4"/>
  <c r="T4339" i="4"/>
  <c r="T4343" i="4"/>
  <c r="T4347" i="4"/>
  <c r="T4351" i="4"/>
  <c r="T4355" i="4"/>
  <c r="T4359" i="4"/>
  <c r="T4363" i="4"/>
  <c r="T4367" i="4"/>
  <c r="T4371" i="4"/>
  <c r="T4375" i="4"/>
  <c r="T4379" i="4"/>
  <c r="T4383" i="4"/>
  <c r="T4387" i="4"/>
  <c r="T4391" i="4"/>
  <c r="T4395" i="4"/>
  <c r="T4399" i="4"/>
  <c r="T4403" i="4"/>
  <c r="T4407" i="4"/>
  <c r="T4411" i="4"/>
  <c r="T4415" i="4"/>
  <c r="T4419" i="4"/>
  <c r="T4423" i="4"/>
  <c r="T4427" i="4"/>
  <c r="T4431" i="4"/>
  <c r="T4435" i="4"/>
  <c r="T4439" i="4"/>
  <c r="T4443" i="4"/>
  <c r="T4447" i="4"/>
  <c r="T4451" i="4"/>
  <c r="T4455" i="4"/>
  <c r="T4459" i="4"/>
  <c r="T4463" i="4"/>
  <c r="T4467" i="4"/>
  <c r="T4471" i="4"/>
  <c r="T4475" i="4"/>
  <c r="T4479" i="4"/>
  <c r="T4483" i="4"/>
  <c r="T4487" i="4"/>
  <c r="T4491" i="4"/>
  <c r="T4495" i="4"/>
  <c r="T4499" i="4"/>
  <c r="T4503" i="4"/>
  <c r="T4507" i="4"/>
  <c r="T4511" i="4"/>
  <c r="T4515" i="4"/>
  <c r="T4519" i="4"/>
  <c r="T4523" i="4"/>
  <c r="T4527" i="4"/>
  <c r="T4531" i="4"/>
  <c r="T4535" i="4"/>
  <c r="T4539" i="4"/>
  <c r="T4543" i="4"/>
  <c r="T4547" i="4"/>
  <c r="T4551" i="4"/>
  <c r="T4555" i="4"/>
  <c r="T4559" i="4"/>
  <c r="T4563" i="4"/>
  <c r="T4567" i="4"/>
  <c r="T4571" i="4"/>
  <c r="T4575" i="4"/>
  <c r="T4579" i="4"/>
  <c r="T4583" i="4"/>
  <c r="T4587" i="4"/>
  <c r="T4591" i="4"/>
  <c r="T4595" i="4"/>
  <c r="T4599" i="4"/>
  <c r="T4603" i="4"/>
  <c r="T4607" i="4"/>
  <c r="T4611" i="4"/>
  <c r="T4615" i="4"/>
  <c r="T4619" i="4"/>
  <c r="T4623" i="4"/>
  <c r="T4627" i="4"/>
  <c r="T4631" i="4"/>
  <c r="T4635" i="4"/>
  <c r="T4639" i="4"/>
  <c r="T4643" i="4"/>
  <c r="T4647" i="4"/>
  <c r="T4651" i="4"/>
  <c r="T4655" i="4"/>
  <c r="T4659" i="4"/>
  <c r="T4663" i="4"/>
  <c r="T4667" i="4"/>
  <c r="T4671" i="4"/>
  <c r="T4675" i="4"/>
  <c r="T4679" i="4"/>
  <c r="T4683" i="4"/>
  <c r="T4687" i="4"/>
  <c r="T4691" i="4"/>
  <c r="T4695" i="4"/>
  <c r="T4699" i="4"/>
  <c r="T4703" i="4"/>
  <c r="T4707" i="4"/>
  <c r="T4711" i="4"/>
  <c r="T4715" i="4"/>
  <c r="T4719" i="4"/>
  <c r="T4723" i="4"/>
  <c r="T4727" i="4"/>
  <c r="T4731" i="4"/>
  <c r="T4735" i="4"/>
  <c r="T4739" i="4"/>
  <c r="T4743" i="4"/>
  <c r="T4747" i="4"/>
  <c r="T4751" i="4"/>
  <c r="T4755" i="4"/>
  <c r="T4759" i="4"/>
  <c r="T4763" i="4"/>
  <c r="T4767" i="4"/>
  <c r="T4771" i="4"/>
  <c r="T4775" i="4"/>
  <c r="T4779" i="4"/>
  <c r="T4783" i="4"/>
  <c r="T4787" i="4"/>
  <c r="T4791" i="4"/>
  <c r="T4795" i="4"/>
  <c r="T4799" i="4"/>
  <c r="T4803" i="4"/>
  <c r="T4807" i="4"/>
  <c r="T4811" i="4"/>
  <c r="T4815" i="4"/>
  <c r="T4819" i="4"/>
  <c r="T4823" i="4"/>
  <c r="T4827" i="4"/>
  <c r="T4831" i="4"/>
  <c r="T4835" i="4"/>
  <c r="T4839" i="4"/>
  <c r="T4843" i="4"/>
  <c r="T4847" i="4"/>
  <c r="T4851" i="4"/>
  <c r="T4855" i="4"/>
  <c r="T4859" i="4"/>
  <c r="T4863" i="4"/>
  <c r="T4867" i="4"/>
  <c r="T4871" i="4"/>
  <c r="T4875" i="4"/>
  <c r="T4879" i="4"/>
  <c r="T4883" i="4"/>
  <c r="T4887" i="4"/>
  <c r="T4891" i="4"/>
  <c r="T4895" i="4"/>
  <c r="T4899" i="4"/>
  <c r="T4903" i="4"/>
  <c r="T4907" i="4"/>
  <c r="T4911" i="4"/>
  <c r="T4915" i="4"/>
  <c r="T4919" i="4"/>
  <c r="T4923" i="4"/>
  <c r="T4927" i="4"/>
  <c r="T4931" i="4"/>
  <c r="T4935" i="4"/>
  <c r="T4939" i="4"/>
  <c r="T4943" i="4"/>
  <c r="T4947" i="4"/>
  <c r="T4951" i="4"/>
  <c r="T4955" i="4"/>
  <c r="T4959" i="4"/>
  <c r="T4963" i="4"/>
  <c r="T4967" i="4"/>
  <c r="T4971" i="4"/>
  <c r="T4975" i="4"/>
  <c r="T4979" i="4"/>
  <c r="T4983" i="4"/>
  <c r="T4987" i="4"/>
  <c r="T4991" i="4"/>
  <c r="T4995" i="4"/>
  <c r="T4999" i="4"/>
  <c r="T5003" i="4"/>
  <c r="T5007" i="4"/>
  <c r="U4557" i="4"/>
  <c r="T17" i="4"/>
  <c r="T33" i="4"/>
  <c r="T49" i="4"/>
  <c r="T65" i="4"/>
  <c r="T81" i="4"/>
  <c r="T97" i="4"/>
  <c r="T113" i="4"/>
  <c r="T129" i="4"/>
  <c r="T145" i="4"/>
  <c r="T161" i="4"/>
  <c r="T177" i="4"/>
  <c r="T193" i="4"/>
  <c r="T209" i="4"/>
  <c r="T225" i="4"/>
  <c r="T241" i="4"/>
  <c r="T257" i="4"/>
  <c r="T273" i="4"/>
  <c r="T289" i="4"/>
  <c r="T305" i="4"/>
  <c r="T321" i="4"/>
  <c r="T337" i="4"/>
  <c r="T353" i="4"/>
  <c r="T369" i="4"/>
  <c r="T385" i="4"/>
  <c r="T401" i="4"/>
  <c r="T417" i="4"/>
  <c r="T433" i="4"/>
  <c r="T449" i="4"/>
  <c r="T465" i="4"/>
  <c r="T481" i="4"/>
  <c r="T497" i="4"/>
  <c r="T513" i="4"/>
  <c r="T529" i="4"/>
  <c r="T545" i="4"/>
  <c r="T561" i="4"/>
  <c r="T577" i="4"/>
  <c r="T593" i="4"/>
  <c r="T609" i="4"/>
  <c r="T625" i="4"/>
  <c r="T641" i="4"/>
  <c r="T657" i="4"/>
  <c r="T673" i="4"/>
  <c r="T689" i="4"/>
  <c r="T705" i="4"/>
  <c r="T721" i="4"/>
  <c r="T737" i="4"/>
  <c r="T753" i="4"/>
  <c r="T769" i="4"/>
  <c r="T785" i="4"/>
  <c r="T801" i="4"/>
  <c r="T817" i="4"/>
  <c r="T833" i="4"/>
  <c r="T849" i="4"/>
  <c r="T865" i="4"/>
  <c r="T881" i="4"/>
  <c r="T897" i="4"/>
  <c r="T913" i="4"/>
  <c r="T929" i="4"/>
  <c r="T945" i="4"/>
  <c r="T961" i="4"/>
  <c r="T977" i="4"/>
  <c r="T987" i="4"/>
  <c r="T995" i="4"/>
  <c r="T1003" i="4"/>
  <c r="T1011" i="4"/>
  <c r="T1019" i="4"/>
  <c r="T1027" i="4"/>
  <c r="T1035" i="4"/>
  <c r="T1043" i="4"/>
  <c r="T1051" i="4"/>
  <c r="T1059" i="4"/>
  <c r="T1067" i="4"/>
  <c r="T1075" i="4"/>
  <c r="T1083" i="4"/>
  <c r="T1091" i="4"/>
  <c r="T1099" i="4"/>
  <c r="T1107" i="4"/>
  <c r="T1115" i="4"/>
  <c r="T1123" i="4"/>
  <c r="T1131" i="4"/>
  <c r="T1139" i="4"/>
  <c r="T1147" i="4"/>
  <c r="T1155" i="4"/>
  <c r="T1163" i="4"/>
  <c r="T1171" i="4"/>
  <c r="T1179" i="4"/>
  <c r="T1187" i="4"/>
  <c r="T1195" i="4"/>
  <c r="T1203" i="4"/>
  <c r="T1211" i="4"/>
  <c r="T1219" i="4"/>
  <c r="T1227" i="4"/>
  <c r="T1235" i="4"/>
  <c r="T1243" i="4"/>
  <c r="T1251" i="4"/>
  <c r="T1259" i="4"/>
  <c r="T1267" i="4"/>
  <c r="T1275" i="4"/>
  <c r="T1283" i="4"/>
  <c r="T1291" i="4"/>
  <c r="T1299" i="4"/>
  <c r="T1307" i="4"/>
  <c r="T1315" i="4"/>
  <c r="T1323" i="4"/>
  <c r="T1331" i="4"/>
  <c r="T1339" i="4"/>
  <c r="T1347" i="4"/>
  <c r="T1355" i="4"/>
  <c r="T1363" i="4"/>
  <c r="T1371" i="4"/>
  <c r="T1379" i="4"/>
  <c r="T1387" i="4"/>
  <c r="T1395" i="4"/>
  <c r="T1403" i="4"/>
  <c r="T1411" i="4"/>
  <c r="T1419" i="4"/>
  <c r="T1426" i="4"/>
  <c r="T1431" i="4"/>
  <c r="T1436" i="4"/>
  <c r="T1440" i="4"/>
  <c r="T1444" i="4"/>
  <c r="T1448" i="4"/>
  <c r="T1452" i="4"/>
  <c r="T1456" i="4"/>
  <c r="T1460" i="4"/>
  <c r="T1464" i="4"/>
  <c r="T1468" i="4"/>
  <c r="T1472" i="4"/>
  <c r="T1476" i="4"/>
  <c r="T1480" i="4"/>
  <c r="T1484" i="4"/>
  <c r="T1488" i="4"/>
  <c r="T1492" i="4"/>
  <c r="T1496" i="4"/>
  <c r="T1500" i="4"/>
  <c r="T1504" i="4"/>
  <c r="T1508" i="4"/>
  <c r="T1512" i="4"/>
  <c r="T1516" i="4"/>
  <c r="T1520" i="4"/>
  <c r="T1524" i="4"/>
  <c r="T1528" i="4"/>
  <c r="T1532" i="4"/>
  <c r="T1536" i="4"/>
  <c r="T1540" i="4"/>
  <c r="T1544" i="4"/>
  <c r="T1548" i="4"/>
  <c r="T1552" i="4"/>
  <c r="T1556" i="4"/>
  <c r="T1560" i="4"/>
  <c r="T1564" i="4"/>
  <c r="T1568" i="4"/>
  <c r="T1572" i="4"/>
  <c r="T1576" i="4"/>
  <c r="T1580" i="4"/>
  <c r="T1584" i="4"/>
  <c r="T1588" i="4"/>
  <c r="T1592" i="4"/>
  <c r="T1596" i="4"/>
  <c r="T1600" i="4"/>
  <c r="T1604" i="4"/>
  <c r="T1608" i="4"/>
  <c r="T1612" i="4"/>
  <c r="T1616" i="4"/>
  <c r="T1620" i="4"/>
  <c r="T1624" i="4"/>
  <c r="T1628" i="4"/>
  <c r="T1632" i="4"/>
  <c r="T1636" i="4"/>
  <c r="T1640" i="4"/>
  <c r="T1644" i="4"/>
  <c r="T1648" i="4"/>
  <c r="T1652" i="4"/>
  <c r="T1656" i="4"/>
  <c r="T1660" i="4"/>
  <c r="T1664" i="4"/>
  <c r="T1668" i="4"/>
  <c r="T1672" i="4"/>
  <c r="T1676" i="4"/>
  <c r="T1680" i="4"/>
  <c r="T1684" i="4"/>
  <c r="T1688" i="4"/>
  <c r="T1692" i="4"/>
  <c r="T1696" i="4"/>
  <c r="T1700" i="4"/>
  <c r="T1704" i="4"/>
  <c r="T1708" i="4"/>
  <c r="T1712" i="4"/>
  <c r="T1716" i="4"/>
  <c r="T1720" i="4"/>
  <c r="T1724" i="4"/>
  <c r="T1728" i="4"/>
  <c r="T1732" i="4"/>
  <c r="T1736" i="4"/>
  <c r="T1740" i="4"/>
  <c r="T1744" i="4"/>
  <c r="T1748" i="4"/>
  <c r="T1752" i="4"/>
  <c r="T1756" i="4"/>
  <c r="T1760" i="4"/>
  <c r="T1764" i="4"/>
  <c r="T1768" i="4"/>
  <c r="T1772" i="4"/>
  <c r="T1776" i="4"/>
  <c r="T1780" i="4"/>
  <c r="T1784" i="4"/>
  <c r="T1788" i="4"/>
  <c r="T1792" i="4"/>
  <c r="T1796" i="4"/>
  <c r="T1800" i="4"/>
  <c r="T1804" i="4"/>
  <c r="T1808" i="4"/>
  <c r="T1812" i="4"/>
  <c r="T1816" i="4"/>
  <c r="T1820" i="4"/>
  <c r="T1824" i="4"/>
  <c r="T1828" i="4"/>
  <c r="T1832" i="4"/>
  <c r="T1836" i="4"/>
  <c r="T1840" i="4"/>
  <c r="T1844" i="4"/>
  <c r="T1848" i="4"/>
  <c r="T1852" i="4"/>
  <c r="T1856" i="4"/>
  <c r="T1860" i="4"/>
  <c r="T1864" i="4"/>
  <c r="T1868" i="4"/>
  <c r="T1872" i="4"/>
  <c r="T1876" i="4"/>
  <c r="T1880" i="4"/>
  <c r="T1884" i="4"/>
  <c r="T1888" i="4"/>
  <c r="T1892" i="4"/>
  <c r="T1896" i="4"/>
  <c r="T1900" i="4"/>
  <c r="T1904" i="4"/>
  <c r="T1908" i="4"/>
  <c r="T1912" i="4"/>
  <c r="T1916" i="4"/>
  <c r="T1920" i="4"/>
  <c r="T1924" i="4"/>
  <c r="T1928" i="4"/>
  <c r="T1932" i="4"/>
  <c r="T1936" i="4"/>
  <c r="T1940" i="4"/>
  <c r="T1944" i="4"/>
  <c r="T1948" i="4"/>
  <c r="T1952" i="4"/>
  <c r="T1956" i="4"/>
  <c r="T1960" i="4"/>
  <c r="T1964" i="4"/>
  <c r="T1968" i="4"/>
  <c r="T1972" i="4"/>
  <c r="T1976" i="4"/>
  <c r="T1980" i="4"/>
  <c r="T1984" i="4"/>
  <c r="T1988" i="4"/>
  <c r="T1992" i="4"/>
  <c r="T1996" i="4"/>
  <c r="T2000" i="4"/>
  <c r="T2004" i="4"/>
  <c r="T2008" i="4"/>
  <c r="T2012" i="4"/>
  <c r="T2016" i="4"/>
  <c r="T2020" i="4"/>
  <c r="T2024" i="4"/>
  <c r="T2028" i="4"/>
  <c r="T2032" i="4"/>
  <c r="T2036" i="4"/>
  <c r="T2040" i="4"/>
  <c r="T2044" i="4"/>
  <c r="T2048" i="4"/>
  <c r="T2052" i="4"/>
  <c r="T2056" i="4"/>
  <c r="T2060" i="4"/>
  <c r="T2064" i="4"/>
  <c r="T2068" i="4"/>
  <c r="T2072" i="4"/>
  <c r="T2076" i="4"/>
  <c r="T2080" i="4"/>
  <c r="T2084" i="4"/>
  <c r="T2088" i="4"/>
  <c r="T2092" i="4"/>
  <c r="T2096" i="4"/>
  <c r="T2100" i="4"/>
  <c r="T2104" i="4"/>
  <c r="T2108" i="4"/>
  <c r="T2112" i="4"/>
  <c r="T2116" i="4"/>
  <c r="T2120" i="4"/>
  <c r="T2124" i="4"/>
  <c r="T2128" i="4"/>
  <c r="T2132" i="4"/>
  <c r="T2136" i="4"/>
  <c r="T2140" i="4"/>
  <c r="T2144" i="4"/>
  <c r="T2148" i="4"/>
  <c r="T2152" i="4"/>
  <c r="T2156" i="4"/>
  <c r="T2160" i="4"/>
  <c r="T2164" i="4"/>
  <c r="T2168" i="4"/>
  <c r="T2172" i="4"/>
  <c r="T2176" i="4"/>
  <c r="T2180" i="4"/>
  <c r="T2184" i="4"/>
  <c r="T2188" i="4"/>
  <c r="T2192" i="4"/>
  <c r="T2196" i="4"/>
  <c r="T2200" i="4"/>
  <c r="T2204" i="4"/>
  <c r="T2208" i="4"/>
  <c r="T2212" i="4"/>
  <c r="T2216" i="4"/>
  <c r="T2220" i="4"/>
  <c r="T2224" i="4"/>
  <c r="T2228" i="4"/>
  <c r="T2232" i="4"/>
  <c r="T2236" i="4"/>
  <c r="T2240" i="4"/>
  <c r="T2244" i="4"/>
  <c r="T2248" i="4"/>
  <c r="T2252" i="4"/>
  <c r="T2256" i="4"/>
  <c r="T2260" i="4"/>
  <c r="T2264" i="4"/>
  <c r="T2268" i="4"/>
  <c r="T2272" i="4"/>
  <c r="T2276" i="4"/>
  <c r="T2280" i="4"/>
  <c r="T2284" i="4"/>
  <c r="T2288" i="4"/>
  <c r="T2292" i="4"/>
  <c r="T2296" i="4"/>
  <c r="T2300" i="4"/>
  <c r="T2304" i="4"/>
  <c r="T2308" i="4"/>
  <c r="T2312" i="4"/>
  <c r="T2316" i="4"/>
  <c r="T2320" i="4"/>
  <c r="T2324" i="4"/>
  <c r="T2328" i="4"/>
  <c r="T2332" i="4"/>
  <c r="T2336" i="4"/>
  <c r="T2340" i="4"/>
  <c r="T2344" i="4"/>
  <c r="T2348" i="4"/>
  <c r="T2352" i="4"/>
  <c r="T2356" i="4"/>
  <c r="T2360" i="4"/>
  <c r="T2364" i="4"/>
  <c r="T2368" i="4"/>
  <c r="T2372" i="4"/>
  <c r="T2376" i="4"/>
  <c r="T2380" i="4"/>
  <c r="T2384" i="4"/>
  <c r="T2388" i="4"/>
  <c r="T2392" i="4"/>
  <c r="T2396" i="4"/>
  <c r="T2400" i="4"/>
  <c r="T2404" i="4"/>
  <c r="T2408" i="4"/>
  <c r="T2412" i="4"/>
  <c r="T2416" i="4"/>
  <c r="T2420" i="4"/>
  <c r="T2424" i="4"/>
  <c r="T2428" i="4"/>
  <c r="T2432" i="4"/>
  <c r="T2436" i="4"/>
  <c r="T2440" i="4"/>
  <c r="T2444" i="4"/>
  <c r="T2448" i="4"/>
  <c r="T2452" i="4"/>
  <c r="T2456" i="4"/>
  <c r="T2460" i="4"/>
  <c r="T2464" i="4"/>
  <c r="T2468" i="4"/>
  <c r="T2472" i="4"/>
  <c r="T2476" i="4"/>
  <c r="T2480" i="4"/>
  <c r="T2484" i="4"/>
  <c r="T2488" i="4"/>
  <c r="T2492" i="4"/>
  <c r="T2496" i="4"/>
  <c r="T2500" i="4"/>
  <c r="T2504" i="4"/>
  <c r="T2508" i="4"/>
  <c r="T2512" i="4"/>
  <c r="T2516" i="4"/>
  <c r="T2520" i="4"/>
  <c r="T2524" i="4"/>
  <c r="T2528" i="4"/>
  <c r="T2532" i="4"/>
  <c r="T2536" i="4"/>
  <c r="T2540" i="4"/>
  <c r="T2544" i="4"/>
  <c r="T2548" i="4"/>
  <c r="T2552" i="4"/>
  <c r="T2556" i="4"/>
  <c r="T2560" i="4"/>
  <c r="T2564" i="4"/>
  <c r="T2568" i="4"/>
  <c r="T2572" i="4"/>
  <c r="T2576" i="4"/>
  <c r="T2580" i="4"/>
  <c r="T2584" i="4"/>
  <c r="T2588" i="4"/>
  <c r="T2592" i="4"/>
  <c r="T2596" i="4"/>
  <c r="T2600" i="4"/>
  <c r="T2604" i="4"/>
  <c r="T2608" i="4"/>
  <c r="T2612" i="4"/>
  <c r="T2616" i="4"/>
  <c r="T2620" i="4"/>
  <c r="T2624" i="4"/>
  <c r="T2628" i="4"/>
  <c r="T2632" i="4"/>
  <c r="T2636" i="4"/>
  <c r="T2640" i="4"/>
  <c r="T2644" i="4"/>
  <c r="T2648" i="4"/>
  <c r="T2652" i="4"/>
  <c r="T2656" i="4"/>
  <c r="T2660" i="4"/>
  <c r="T2664" i="4"/>
  <c r="T2668" i="4"/>
  <c r="T2672" i="4"/>
  <c r="T2676" i="4"/>
  <c r="T2680" i="4"/>
  <c r="T2684" i="4"/>
  <c r="T2688" i="4"/>
  <c r="T2692" i="4"/>
  <c r="T2696" i="4"/>
  <c r="T2700" i="4"/>
  <c r="T2704" i="4"/>
  <c r="T2708" i="4"/>
  <c r="T2712" i="4"/>
  <c r="T2716" i="4"/>
  <c r="T2720" i="4"/>
  <c r="T2724" i="4"/>
  <c r="T2728" i="4"/>
  <c r="T2732" i="4"/>
  <c r="T2736" i="4"/>
  <c r="T2740" i="4"/>
  <c r="T2744" i="4"/>
  <c r="T2748" i="4"/>
  <c r="T2752" i="4"/>
  <c r="T2756" i="4"/>
  <c r="T2760" i="4"/>
  <c r="T2764" i="4"/>
  <c r="T2768" i="4"/>
  <c r="T2772" i="4"/>
  <c r="T2776" i="4"/>
  <c r="T2780" i="4"/>
  <c r="T2784" i="4"/>
  <c r="T2788" i="4"/>
  <c r="T2792" i="4"/>
  <c r="T2796" i="4"/>
  <c r="T2800" i="4"/>
  <c r="T2804" i="4"/>
  <c r="T2808" i="4"/>
  <c r="T2812" i="4"/>
  <c r="T2816" i="4"/>
  <c r="T2820" i="4"/>
  <c r="T2824" i="4"/>
  <c r="T2828" i="4"/>
  <c r="T2832" i="4"/>
  <c r="T2836" i="4"/>
  <c r="T2840" i="4"/>
  <c r="T2844" i="4"/>
  <c r="T2848" i="4"/>
  <c r="T2852" i="4"/>
  <c r="T2856" i="4"/>
  <c r="T2860" i="4"/>
  <c r="T2864" i="4"/>
  <c r="T2868" i="4"/>
  <c r="T2872" i="4"/>
  <c r="T2876" i="4"/>
  <c r="T2880" i="4"/>
  <c r="T2884" i="4"/>
  <c r="T2888" i="4"/>
  <c r="T2892" i="4"/>
  <c r="T2896" i="4"/>
  <c r="T2900" i="4"/>
  <c r="T2904" i="4"/>
  <c r="T2908" i="4"/>
  <c r="T2912" i="4"/>
  <c r="T2916" i="4"/>
  <c r="T2920" i="4"/>
  <c r="T2924" i="4"/>
  <c r="T2928" i="4"/>
  <c r="T2932" i="4"/>
  <c r="T2936" i="4"/>
  <c r="T2940" i="4"/>
  <c r="T2944" i="4"/>
  <c r="T2948" i="4"/>
  <c r="T2952" i="4"/>
  <c r="T2956" i="4"/>
  <c r="T2960" i="4"/>
  <c r="T2964" i="4"/>
  <c r="T2968" i="4"/>
  <c r="T2972" i="4"/>
  <c r="T2976" i="4"/>
  <c r="T2980" i="4"/>
  <c r="T2984" i="4"/>
  <c r="T2988" i="4"/>
  <c r="T2992" i="4"/>
  <c r="T2996" i="4"/>
  <c r="T3000" i="4"/>
  <c r="T3004" i="4"/>
  <c r="T3008" i="4"/>
  <c r="T3012" i="4"/>
  <c r="T3016" i="4"/>
  <c r="T3020" i="4"/>
  <c r="T3024" i="4"/>
  <c r="T3028" i="4"/>
  <c r="T3032" i="4"/>
  <c r="T3036" i="4"/>
  <c r="T3040" i="4"/>
  <c r="T3044" i="4"/>
  <c r="T3048" i="4"/>
  <c r="T3052" i="4"/>
  <c r="T3056" i="4"/>
  <c r="T3060" i="4"/>
  <c r="T3064" i="4"/>
  <c r="T3068" i="4"/>
  <c r="T3072" i="4"/>
  <c r="T3076" i="4"/>
  <c r="T3080" i="4"/>
  <c r="T3084" i="4"/>
  <c r="T3088" i="4"/>
  <c r="T3092" i="4"/>
  <c r="T3096" i="4"/>
  <c r="T3100" i="4"/>
  <c r="T3104" i="4"/>
  <c r="T3108" i="4"/>
  <c r="T3112" i="4"/>
  <c r="T3116" i="4"/>
  <c r="T3120" i="4"/>
  <c r="T3124" i="4"/>
  <c r="T3128" i="4"/>
  <c r="T3132" i="4"/>
  <c r="T3136" i="4"/>
  <c r="T3140" i="4"/>
  <c r="T3144" i="4"/>
  <c r="T3148" i="4"/>
  <c r="T3152" i="4"/>
  <c r="T3156" i="4"/>
  <c r="T3160" i="4"/>
  <c r="T3164" i="4"/>
  <c r="T3168" i="4"/>
  <c r="T3172" i="4"/>
  <c r="T3176" i="4"/>
  <c r="T3180" i="4"/>
  <c r="T3184" i="4"/>
  <c r="T3188" i="4"/>
  <c r="T3192" i="4"/>
  <c r="T3196" i="4"/>
  <c r="T3200" i="4"/>
  <c r="T3204" i="4"/>
  <c r="T3208" i="4"/>
  <c r="T3212" i="4"/>
  <c r="T3216" i="4"/>
  <c r="T3220" i="4"/>
  <c r="T3224" i="4"/>
  <c r="T3228" i="4"/>
  <c r="T3232" i="4"/>
  <c r="T3236" i="4"/>
  <c r="T3240" i="4"/>
  <c r="T3244" i="4"/>
  <c r="T3248" i="4"/>
  <c r="T3252" i="4"/>
  <c r="T3256" i="4"/>
  <c r="T3260" i="4"/>
  <c r="T3264" i="4"/>
  <c r="T3268" i="4"/>
  <c r="T3272" i="4"/>
  <c r="T3276" i="4"/>
  <c r="T3280" i="4"/>
  <c r="T3284" i="4"/>
  <c r="T3288" i="4"/>
  <c r="T3292" i="4"/>
  <c r="T3296" i="4"/>
  <c r="T3300" i="4"/>
  <c r="T3304" i="4"/>
  <c r="T3308" i="4"/>
  <c r="T3312" i="4"/>
  <c r="T3316" i="4"/>
  <c r="T3320" i="4"/>
  <c r="T3324" i="4"/>
  <c r="T3328" i="4"/>
  <c r="T3332" i="4"/>
  <c r="T3336" i="4"/>
  <c r="T3340" i="4"/>
  <c r="T3344" i="4"/>
  <c r="T3348" i="4"/>
  <c r="T3352" i="4"/>
  <c r="T3356" i="4"/>
  <c r="T3360" i="4"/>
  <c r="T3364" i="4"/>
  <c r="T3368" i="4"/>
  <c r="T3372" i="4"/>
  <c r="T3376" i="4"/>
  <c r="T3380" i="4"/>
  <c r="T3384" i="4"/>
  <c r="T3388" i="4"/>
  <c r="T3392" i="4"/>
  <c r="T3396" i="4"/>
  <c r="T3400" i="4"/>
  <c r="T3404" i="4"/>
  <c r="T3408" i="4"/>
  <c r="T3412" i="4"/>
  <c r="T3416" i="4"/>
  <c r="T3420" i="4"/>
  <c r="T3424" i="4"/>
  <c r="T3428" i="4"/>
  <c r="T3432" i="4"/>
  <c r="T3436" i="4"/>
  <c r="T3440" i="4"/>
  <c r="T3444" i="4"/>
  <c r="T3448" i="4"/>
  <c r="T3452" i="4"/>
  <c r="T3456" i="4"/>
  <c r="T3460" i="4"/>
  <c r="T3464" i="4"/>
  <c r="T3468" i="4"/>
  <c r="T3472" i="4"/>
  <c r="T3476" i="4"/>
  <c r="T3480" i="4"/>
  <c r="T3484" i="4"/>
  <c r="T3488" i="4"/>
  <c r="T3492" i="4"/>
  <c r="T3496" i="4"/>
  <c r="T3500" i="4"/>
  <c r="T3504" i="4"/>
  <c r="T3508" i="4"/>
  <c r="T3512" i="4"/>
  <c r="T3516" i="4"/>
  <c r="T3520" i="4"/>
  <c r="T3524" i="4"/>
  <c r="T3528" i="4"/>
  <c r="T3532" i="4"/>
  <c r="T3536" i="4"/>
  <c r="T3540" i="4"/>
  <c r="T3544" i="4"/>
  <c r="T3548" i="4"/>
  <c r="T3552" i="4"/>
  <c r="T3556" i="4"/>
  <c r="T3560" i="4"/>
  <c r="T3564" i="4"/>
  <c r="T3568" i="4"/>
  <c r="T3572" i="4"/>
  <c r="T3576" i="4"/>
  <c r="T3580" i="4"/>
  <c r="T3584" i="4"/>
  <c r="T3588" i="4"/>
  <c r="T3592" i="4"/>
  <c r="T3596" i="4"/>
  <c r="T3600" i="4"/>
  <c r="T3604" i="4"/>
  <c r="T3608" i="4"/>
  <c r="T3612" i="4"/>
  <c r="T3616" i="4"/>
  <c r="T3620" i="4"/>
  <c r="T3624" i="4"/>
  <c r="T3628" i="4"/>
  <c r="T3632" i="4"/>
  <c r="T3636" i="4"/>
  <c r="T3640" i="4"/>
  <c r="T3644" i="4"/>
  <c r="T3648" i="4"/>
  <c r="T3652" i="4"/>
  <c r="T3656" i="4"/>
  <c r="T3660" i="4"/>
  <c r="T3664" i="4"/>
  <c r="T3668" i="4"/>
  <c r="T3672" i="4"/>
  <c r="T3676" i="4"/>
  <c r="T3680" i="4"/>
  <c r="T3684" i="4"/>
  <c r="T3688" i="4"/>
  <c r="T3692" i="4"/>
  <c r="T3696" i="4"/>
  <c r="T3700" i="4"/>
  <c r="T3704" i="4"/>
  <c r="T3708" i="4"/>
  <c r="T3712" i="4"/>
  <c r="T3716" i="4"/>
  <c r="T3720" i="4"/>
  <c r="T3724" i="4"/>
  <c r="T3728" i="4"/>
  <c r="T3732" i="4"/>
  <c r="T3736" i="4"/>
  <c r="T3740" i="4"/>
  <c r="T3744" i="4"/>
  <c r="T3748" i="4"/>
  <c r="T3752" i="4"/>
  <c r="T3756" i="4"/>
  <c r="T3760" i="4"/>
  <c r="T3764" i="4"/>
  <c r="T3768" i="4"/>
  <c r="T3772" i="4"/>
  <c r="T3776" i="4"/>
  <c r="T3780" i="4"/>
  <c r="T3784" i="4"/>
  <c r="T3788" i="4"/>
  <c r="T3792" i="4"/>
  <c r="T3796" i="4"/>
  <c r="T3800" i="4"/>
  <c r="T3804" i="4"/>
  <c r="T3808" i="4"/>
  <c r="T3812" i="4"/>
  <c r="T3816" i="4"/>
  <c r="T3820" i="4"/>
  <c r="T3824" i="4"/>
  <c r="T3828" i="4"/>
  <c r="T3832" i="4"/>
  <c r="T3836" i="4"/>
  <c r="T3840" i="4"/>
  <c r="T3844" i="4"/>
  <c r="T3848" i="4"/>
  <c r="T3852" i="4"/>
  <c r="T3856" i="4"/>
  <c r="T3860" i="4"/>
  <c r="T3864" i="4"/>
  <c r="T3868" i="4"/>
  <c r="T3872" i="4"/>
  <c r="T3876" i="4"/>
  <c r="T3880" i="4"/>
  <c r="T3884" i="4"/>
  <c r="T3888" i="4"/>
  <c r="T3892" i="4"/>
  <c r="T3896" i="4"/>
  <c r="T3900" i="4"/>
  <c r="T3904" i="4"/>
  <c r="T3908" i="4"/>
  <c r="T3912" i="4"/>
  <c r="T3916" i="4"/>
  <c r="T3920" i="4"/>
  <c r="T3924" i="4"/>
  <c r="T3928" i="4"/>
  <c r="T3932" i="4"/>
  <c r="T3936" i="4"/>
  <c r="T3940" i="4"/>
  <c r="T3944" i="4"/>
  <c r="T3948" i="4"/>
  <c r="T3952" i="4"/>
  <c r="T3956" i="4"/>
  <c r="T3960" i="4"/>
  <c r="T3964" i="4"/>
  <c r="T3968" i="4"/>
  <c r="T3972" i="4"/>
  <c r="T3976" i="4"/>
  <c r="T3980" i="4"/>
  <c r="T3984" i="4"/>
  <c r="T3988" i="4"/>
  <c r="T3992" i="4"/>
  <c r="T3996" i="4"/>
  <c r="T4000" i="4"/>
  <c r="T4004" i="4"/>
  <c r="T4008" i="4"/>
  <c r="T4012" i="4"/>
  <c r="T4016" i="4"/>
  <c r="T4020" i="4"/>
  <c r="T4024" i="4"/>
  <c r="T4028" i="4"/>
  <c r="T4032" i="4"/>
  <c r="T4036" i="4"/>
  <c r="T4040" i="4"/>
  <c r="T4044" i="4"/>
  <c r="T4048" i="4"/>
  <c r="T4052" i="4"/>
  <c r="T4056" i="4"/>
  <c r="T4060" i="4"/>
  <c r="T4064" i="4"/>
  <c r="T4068" i="4"/>
  <c r="T4072" i="4"/>
  <c r="T4076" i="4"/>
  <c r="T4080" i="4"/>
  <c r="T4084" i="4"/>
  <c r="T4088" i="4"/>
  <c r="T4092" i="4"/>
  <c r="T4096" i="4"/>
  <c r="T4100" i="4"/>
  <c r="T4104" i="4"/>
  <c r="T4108" i="4"/>
  <c r="T4112" i="4"/>
  <c r="T4116" i="4"/>
  <c r="T4120" i="4"/>
  <c r="T4124" i="4"/>
  <c r="T4128" i="4"/>
  <c r="T4132" i="4"/>
  <c r="T4136" i="4"/>
  <c r="T4140" i="4"/>
  <c r="T4144" i="4"/>
  <c r="T4148" i="4"/>
  <c r="T4152" i="4"/>
  <c r="U4813" i="4"/>
  <c r="T21" i="4"/>
  <c r="T37" i="4"/>
  <c r="T53" i="4"/>
  <c r="T69" i="4"/>
  <c r="T85" i="4"/>
  <c r="T101" i="4"/>
  <c r="T117" i="4"/>
  <c r="T133" i="4"/>
  <c r="T149" i="4"/>
  <c r="T165" i="4"/>
  <c r="T181" i="4"/>
  <c r="T197" i="4"/>
  <c r="T213" i="4"/>
  <c r="T229" i="4"/>
  <c r="T245" i="4"/>
  <c r="T261" i="4"/>
  <c r="T277" i="4"/>
  <c r="T293" i="4"/>
  <c r="T309" i="4"/>
  <c r="T325" i="4"/>
  <c r="T341" i="4"/>
  <c r="T357" i="4"/>
  <c r="T373" i="4"/>
  <c r="T389" i="4"/>
  <c r="T405" i="4"/>
  <c r="T421" i="4"/>
  <c r="T437" i="4"/>
  <c r="T453" i="4"/>
  <c r="T469" i="4"/>
  <c r="T485" i="4"/>
  <c r="T501" i="4"/>
  <c r="T517" i="4"/>
  <c r="T533" i="4"/>
  <c r="T549" i="4"/>
  <c r="T565" i="4"/>
  <c r="T581" i="4"/>
  <c r="T597" i="4"/>
  <c r="T613" i="4"/>
  <c r="T629" i="4"/>
  <c r="T645" i="4"/>
  <c r="T661" i="4"/>
  <c r="T677" i="4"/>
  <c r="T693" i="4"/>
  <c r="T709" i="4"/>
  <c r="T725" i="4"/>
  <c r="T741" i="4"/>
  <c r="T757" i="4"/>
  <c r="T773" i="4"/>
  <c r="T789" i="4"/>
  <c r="T805" i="4"/>
  <c r="T821" i="4"/>
  <c r="T837" i="4"/>
  <c r="T853" i="4"/>
  <c r="T869" i="4"/>
  <c r="T885" i="4"/>
  <c r="T901" i="4"/>
  <c r="T917" i="4"/>
  <c r="T933" i="4"/>
  <c r="T949" i="4"/>
  <c r="T965" i="4"/>
  <c r="T981" i="4"/>
  <c r="T989" i="4"/>
  <c r="T997" i="4"/>
  <c r="T1005" i="4"/>
  <c r="T1013" i="4"/>
  <c r="T1021" i="4"/>
  <c r="T1029" i="4"/>
  <c r="T1037" i="4"/>
  <c r="T1045" i="4"/>
  <c r="T1053" i="4"/>
  <c r="T1061" i="4"/>
  <c r="T1069" i="4"/>
  <c r="T1077" i="4"/>
  <c r="T1085" i="4"/>
  <c r="T1093" i="4"/>
  <c r="T1101" i="4"/>
  <c r="T1109" i="4"/>
  <c r="T1117" i="4"/>
  <c r="T1125" i="4"/>
  <c r="T1133" i="4"/>
  <c r="T1141" i="4"/>
  <c r="T1149" i="4"/>
  <c r="T1157" i="4"/>
  <c r="T1165" i="4"/>
  <c r="T1173" i="4"/>
  <c r="T1181" i="4"/>
  <c r="T1189" i="4"/>
  <c r="T1197" i="4"/>
  <c r="T1205" i="4"/>
  <c r="T1213" i="4"/>
  <c r="T1221" i="4"/>
  <c r="T1229" i="4"/>
  <c r="T1237" i="4"/>
  <c r="T1245" i="4"/>
  <c r="T1253" i="4"/>
  <c r="T1261" i="4"/>
  <c r="T1269" i="4"/>
  <c r="T1277" i="4"/>
  <c r="T1285" i="4"/>
  <c r="T1293" i="4"/>
  <c r="T1301" i="4"/>
  <c r="T1309" i="4"/>
  <c r="T1317" i="4"/>
  <c r="T1325" i="4"/>
  <c r="T1333" i="4"/>
  <c r="T1341" i="4"/>
  <c r="T1349" i="4"/>
  <c r="T1357" i="4"/>
  <c r="T1365" i="4"/>
  <c r="T1373" i="4"/>
  <c r="T1381" i="4"/>
  <c r="T1389" i="4"/>
  <c r="T1397" i="4"/>
  <c r="T1405" i="4"/>
  <c r="T1413" i="4"/>
  <c r="T1421" i="4"/>
  <c r="T1427" i="4"/>
  <c r="T1433" i="4"/>
  <c r="T1437" i="4"/>
  <c r="T1441" i="4"/>
  <c r="T1445" i="4"/>
  <c r="T1449" i="4"/>
  <c r="T1453" i="4"/>
  <c r="T1457" i="4"/>
  <c r="T1461" i="4"/>
  <c r="T1465" i="4"/>
  <c r="T1469" i="4"/>
  <c r="T1473" i="4"/>
  <c r="T1477" i="4"/>
  <c r="T1481" i="4"/>
  <c r="T1485" i="4"/>
  <c r="T1489" i="4"/>
  <c r="T1493" i="4"/>
  <c r="T1497" i="4"/>
  <c r="T1501" i="4"/>
  <c r="T1505" i="4"/>
  <c r="T1509" i="4"/>
  <c r="T1513" i="4"/>
  <c r="T1517" i="4"/>
  <c r="T1521" i="4"/>
  <c r="T1525" i="4"/>
  <c r="T1529" i="4"/>
  <c r="T1533" i="4"/>
  <c r="T1537" i="4"/>
  <c r="T1541" i="4"/>
  <c r="T1545" i="4"/>
  <c r="T1549" i="4"/>
  <c r="T1553" i="4"/>
  <c r="T1557" i="4"/>
  <c r="T1561" i="4"/>
  <c r="T1565" i="4"/>
  <c r="T1569" i="4"/>
  <c r="T1573" i="4"/>
  <c r="T1577" i="4"/>
  <c r="T1581" i="4"/>
  <c r="T1585" i="4"/>
  <c r="T1589" i="4"/>
  <c r="T1593" i="4"/>
  <c r="T1597" i="4"/>
  <c r="T1601" i="4"/>
  <c r="T1605" i="4"/>
  <c r="T1609" i="4"/>
  <c r="T1613" i="4"/>
  <c r="T1617" i="4"/>
  <c r="T1621" i="4"/>
  <c r="T1625" i="4"/>
  <c r="T1629" i="4"/>
  <c r="T1633" i="4"/>
  <c r="T1637" i="4"/>
  <c r="T1641" i="4"/>
  <c r="T1645" i="4"/>
  <c r="T1649" i="4"/>
  <c r="T1653" i="4"/>
  <c r="T1657" i="4"/>
  <c r="T1661" i="4"/>
  <c r="T1665" i="4"/>
  <c r="T1669" i="4"/>
  <c r="T1673" i="4"/>
  <c r="T1677" i="4"/>
  <c r="T1681" i="4"/>
  <c r="T1685" i="4"/>
  <c r="T1689" i="4"/>
  <c r="T1693" i="4"/>
  <c r="T1697" i="4"/>
  <c r="T1701" i="4"/>
  <c r="T1705" i="4"/>
  <c r="T1709" i="4"/>
  <c r="T1713" i="4"/>
  <c r="T1717" i="4"/>
  <c r="T1721" i="4"/>
  <c r="T1725" i="4"/>
  <c r="T1729" i="4"/>
  <c r="T1733" i="4"/>
  <c r="T1737" i="4"/>
  <c r="T1741" i="4"/>
  <c r="T1745" i="4"/>
  <c r="T1749" i="4"/>
  <c r="T1753" i="4"/>
  <c r="T1757" i="4"/>
  <c r="T1761" i="4"/>
  <c r="T1765" i="4"/>
  <c r="T1769" i="4"/>
  <c r="T1773" i="4"/>
  <c r="T1777" i="4"/>
  <c r="T1781" i="4"/>
  <c r="T1785" i="4"/>
  <c r="T1789" i="4"/>
  <c r="T1793" i="4"/>
  <c r="T1797" i="4"/>
  <c r="T1801" i="4"/>
  <c r="T1805" i="4"/>
  <c r="T1809" i="4"/>
  <c r="T1813" i="4"/>
  <c r="T1817" i="4"/>
  <c r="T1821" i="4"/>
  <c r="T1825" i="4"/>
  <c r="T1829" i="4"/>
  <c r="T1833" i="4"/>
  <c r="T1837" i="4"/>
  <c r="T1841" i="4"/>
  <c r="T1845" i="4"/>
  <c r="T1849" i="4"/>
  <c r="T1853" i="4"/>
  <c r="T1857" i="4"/>
  <c r="T1861" i="4"/>
  <c r="T1865" i="4"/>
  <c r="T1869" i="4"/>
  <c r="T1873" i="4"/>
  <c r="T1877" i="4"/>
  <c r="T1881" i="4"/>
  <c r="T1885" i="4"/>
  <c r="T1889" i="4"/>
  <c r="T1893" i="4"/>
  <c r="T1897" i="4"/>
  <c r="T1901" i="4"/>
  <c r="T1905" i="4"/>
  <c r="T1909" i="4"/>
  <c r="T1913" i="4"/>
  <c r="T1917" i="4"/>
  <c r="T1921" i="4"/>
  <c r="T1925" i="4"/>
  <c r="T1929" i="4"/>
  <c r="T1933" i="4"/>
  <c r="T1937" i="4"/>
  <c r="T1941" i="4"/>
  <c r="T1945" i="4"/>
  <c r="T1949" i="4"/>
  <c r="T1953" i="4"/>
  <c r="T1957" i="4"/>
  <c r="T1961" i="4"/>
  <c r="T1965" i="4"/>
  <c r="T1969" i="4"/>
  <c r="T1973" i="4"/>
  <c r="T1977" i="4"/>
  <c r="T1981" i="4"/>
  <c r="T1985" i="4"/>
  <c r="T1989" i="4"/>
  <c r="T1993" i="4"/>
  <c r="T1997" i="4"/>
  <c r="T2001" i="4"/>
  <c r="T2005" i="4"/>
  <c r="T2009" i="4"/>
  <c r="T2013" i="4"/>
  <c r="T2017" i="4"/>
  <c r="T2021" i="4"/>
  <c r="T2025" i="4"/>
  <c r="T2029" i="4"/>
  <c r="T2033" i="4"/>
  <c r="T2037" i="4"/>
  <c r="T2041" i="4"/>
  <c r="T2045" i="4"/>
  <c r="T2049" i="4"/>
  <c r="T2053" i="4"/>
  <c r="T2057" i="4"/>
  <c r="T2061" i="4"/>
  <c r="T2065" i="4"/>
  <c r="T2069" i="4"/>
  <c r="T2073" i="4"/>
  <c r="T2077" i="4"/>
  <c r="T2081" i="4"/>
  <c r="T2085" i="4"/>
  <c r="T2089" i="4"/>
  <c r="T2093" i="4"/>
  <c r="T2097" i="4"/>
  <c r="T2101" i="4"/>
  <c r="T2105" i="4"/>
  <c r="T2109" i="4"/>
  <c r="T2113" i="4"/>
  <c r="T2117" i="4"/>
  <c r="T2121" i="4"/>
  <c r="T2125" i="4"/>
  <c r="T2129" i="4"/>
  <c r="T2133" i="4"/>
  <c r="T2137" i="4"/>
  <c r="T2141" i="4"/>
  <c r="T2145" i="4"/>
  <c r="T2149" i="4"/>
  <c r="T2153" i="4"/>
  <c r="T2157" i="4"/>
  <c r="T2161" i="4"/>
  <c r="T2165" i="4"/>
  <c r="T2169" i="4"/>
  <c r="T2173" i="4"/>
  <c r="T2177" i="4"/>
  <c r="T2181" i="4"/>
  <c r="T2185" i="4"/>
  <c r="T2189" i="4"/>
  <c r="T2193" i="4"/>
  <c r="T2197" i="4"/>
  <c r="T2201" i="4"/>
  <c r="T2205" i="4"/>
  <c r="T2209" i="4"/>
  <c r="T2213" i="4"/>
  <c r="T2217" i="4"/>
  <c r="T2221" i="4"/>
  <c r="T2225" i="4"/>
  <c r="T2229" i="4"/>
  <c r="T2233" i="4"/>
  <c r="T2237" i="4"/>
  <c r="T2241" i="4"/>
  <c r="T2245" i="4"/>
  <c r="T2249" i="4"/>
  <c r="T2253" i="4"/>
  <c r="T2257" i="4"/>
  <c r="T2261" i="4"/>
  <c r="T2265" i="4"/>
  <c r="T2269" i="4"/>
  <c r="T2273" i="4"/>
  <c r="T2277" i="4"/>
  <c r="T2281" i="4"/>
  <c r="T2285" i="4"/>
  <c r="T2289" i="4"/>
  <c r="T2293" i="4"/>
  <c r="T2297" i="4"/>
  <c r="T2301" i="4"/>
  <c r="T2305" i="4"/>
  <c r="T2309" i="4"/>
  <c r="T2313" i="4"/>
  <c r="T2317" i="4"/>
  <c r="T2321" i="4"/>
  <c r="T2325" i="4"/>
  <c r="T2329" i="4"/>
  <c r="T2333" i="4"/>
  <c r="T2337" i="4"/>
  <c r="T2341" i="4"/>
  <c r="T2345" i="4"/>
  <c r="T2349" i="4"/>
  <c r="T2353" i="4"/>
  <c r="T2357" i="4"/>
  <c r="T2361" i="4"/>
  <c r="T2365" i="4"/>
  <c r="T2369" i="4"/>
  <c r="T2373" i="4"/>
  <c r="T2377" i="4"/>
  <c r="T2381" i="4"/>
  <c r="T2385" i="4"/>
  <c r="T2389" i="4"/>
  <c r="T2393" i="4"/>
  <c r="T2397" i="4"/>
  <c r="T2401" i="4"/>
  <c r="T2405" i="4"/>
  <c r="T2409" i="4"/>
  <c r="T2413" i="4"/>
  <c r="T2417" i="4"/>
  <c r="T2421" i="4"/>
  <c r="T2425" i="4"/>
  <c r="T2429" i="4"/>
  <c r="T2433" i="4"/>
  <c r="T2437" i="4"/>
  <c r="T2441" i="4"/>
  <c r="T2445" i="4"/>
  <c r="T2449" i="4"/>
  <c r="T2453" i="4"/>
  <c r="T2457" i="4"/>
  <c r="T2461" i="4"/>
  <c r="T2465" i="4"/>
  <c r="T2469" i="4"/>
  <c r="T2473" i="4"/>
  <c r="T2477" i="4"/>
  <c r="T2481" i="4"/>
  <c r="T2485" i="4"/>
  <c r="T2489" i="4"/>
  <c r="T2493" i="4"/>
  <c r="T2497" i="4"/>
  <c r="T2501" i="4"/>
  <c r="T2505" i="4"/>
  <c r="T2509" i="4"/>
  <c r="T2513" i="4"/>
  <c r="T2517" i="4"/>
  <c r="T2521" i="4"/>
  <c r="T2525" i="4"/>
  <c r="T2529" i="4"/>
  <c r="T2533" i="4"/>
  <c r="T2537" i="4"/>
  <c r="T2541" i="4"/>
  <c r="T2545" i="4"/>
  <c r="T2549" i="4"/>
  <c r="T2553" i="4"/>
  <c r="T2557" i="4"/>
  <c r="T2561" i="4"/>
  <c r="T2565" i="4"/>
  <c r="T2569" i="4"/>
  <c r="T2573" i="4"/>
  <c r="T2577" i="4"/>
  <c r="T2581" i="4"/>
  <c r="T2585" i="4"/>
  <c r="T2589" i="4"/>
  <c r="T2593" i="4"/>
  <c r="T2597" i="4"/>
  <c r="T2601" i="4"/>
  <c r="T2605" i="4"/>
  <c r="T2609" i="4"/>
  <c r="T2613" i="4"/>
  <c r="T2617" i="4"/>
  <c r="T2621" i="4"/>
  <c r="T2625" i="4"/>
  <c r="T2629" i="4"/>
  <c r="T2633" i="4"/>
  <c r="T2637" i="4"/>
  <c r="T2641" i="4"/>
  <c r="T2645" i="4"/>
  <c r="T2649" i="4"/>
  <c r="T2653" i="4"/>
  <c r="T2657" i="4"/>
  <c r="T2661" i="4"/>
  <c r="T2665" i="4"/>
  <c r="T2669" i="4"/>
  <c r="T2673" i="4"/>
  <c r="T2677" i="4"/>
  <c r="T2681" i="4"/>
  <c r="T2685" i="4"/>
  <c r="T2689" i="4"/>
  <c r="T2693" i="4"/>
  <c r="T2697" i="4"/>
  <c r="T2701" i="4"/>
  <c r="T2705" i="4"/>
  <c r="T2709" i="4"/>
  <c r="T2713" i="4"/>
  <c r="T2717" i="4"/>
  <c r="T2721" i="4"/>
  <c r="T2725" i="4"/>
  <c r="T2729" i="4"/>
  <c r="T2733" i="4"/>
  <c r="T2737" i="4"/>
  <c r="T2741" i="4"/>
  <c r="T2745" i="4"/>
  <c r="T2749" i="4"/>
  <c r="T2753" i="4"/>
  <c r="T2757" i="4"/>
  <c r="T2761" i="4"/>
  <c r="T2765" i="4"/>
  <c r="T2769" i="4"/>
  <c r="T2773" i="4"/>
  <c r="T2777" i="4"/>
  <c r="T2781" i="4"/>
  <c r="T2785" i="4"/>
  <c r="T2789" i="4"/>
  <c r="T2793" i="4"/>
  <c r="T2797" i="4"/>
  <c r="T2801" i="4"/>
  <c r="T2805" i="4"/>
  <c r="T2809" i="4"/>
  <c r="T2813" i="4"/>
  <c r="T2817" i="4"/>
  <c r="T2821" i="4"/>
  <c r="T2825" i="4"/>
  <c r="T2829" i="4"/>
  <c r="T2833" i="4"/>
  <c r="T2837" i="4"/>
  <c r="T2841" i="4"/>
  <c r="T2845" i="4"/>
  <c r="T2849" i="4"/>
  <c r="T2853" i="4"/>
  <c r="T2857" i="4"/>
  <c r="T2861" i="4"/>
  <c r="T2865" i="4"/>
  <c r="T2869" i="4"/>
  <c r="T2873" i="4"/>
  <c r="T2877" i="4"/>
  <c r="T2881" i="4"/>
  <c r="T2885" i="4"/>
  <c r="T2889" i="4"/>
  <c r="T2893" i="4"/>
  <c r="T2897" i="4"/>
  <c r="T2901" i="4"/>
  <c r="T2905" i="4"/>
  <c r="T2909" i="4"/>
  <c r="T2913" i="4"/>
  <c r="T2917" i="4"/>
  <c r="T2921" i="4"/>
  <c r="T2925" i="4"/>
  <c r="T2929" i="4"/>
  <c r="T2933" i="4"/>
  <c r="T2937" i="4"/>
  <c r="T2941" i="4"/>
  <c r="T2945" i="4"/>
  <c r="T2949" i="4"/>
  <c r="T2953" i="4"/>
  <c r="T2957" i="4"/>
  <c r="T2961" i="4"/>
  <c r="T2965" i="4"/>
  <c r="T2969" i="4"/>
  <c r="T2973" i="4"/>
  <c r="T2977" i="4"/>
  <c r="T2981" i="4"/>
  <c r="T2985" i="4"/>
  <c r="T2989" i="4"/>
  <c r="T2993" i="4"/>
  <c r="T2997" i="4"/>
  <c r="T3001" i="4"/>
  <c r="T3005" i="4"/>
  <c r="T3009" i="4"/>
  <c r="T3013" i="4"/>
  <c r="T3017" i="4"/>
  <c r="T3021" i="4"/>
  <c r="T3025" i="4"/>
  <c r="T3029" i="4"/>
  <c r="T3033" i="4"/>
  <c r="T3037" i="4"/>
  <c r="T3041" i="4"/>
  <c r="T3045" i="4"/>
  <c r="T3049" i="4"/>
  <c r="T3053" i="4"/>
  <c r="T3057" i="4"/>
  <c r="T3061" i="4"/>
  <c r="T3065" i="4"/>
  <c r="T3069" i="4"/>
  <c r="T3073" i="4"/>
  <c r="T3077" i="4"/>
  <c r="T3081" i="4"/>
  <c r="T3085" i="4"/>
  <c r="T3089" i="4"/>
  <c r="T3093" i="4"/>
  <c r="T3097" i="4"/>
  <c r="T3101" i="4"/>
  <c r="T3105" i="4"/>
  <c r="T3109" i="4"/>
  <c r="T3113" i="4"/>
  <c r="T3117" i="4"/>
  <c r="T3121" i="4"/>
  <c r="T3125" i="4"/>
  <c r="T3129" i="4"/>
  <c r="T3133" i="4"/>
  <c r="T3137" i="4"/>
  <c r="T3141" i="4"/>
  <c r="T3145" i="4"/>
  <c r="T3149" i="4"/>
  <c r="T3153" i="4"/>
  <c r="T3157" i="4"/>
  <c r="T3161" i="4"/>
  <c r="T3165" i="4"/>
  <c r="T3169" i="4"/>
  <c r="T3173" i="4"/>
  <c r="T3177" i="4"/>
  <c r="T3181" i="4"/>
  <c r="T3185" i="4"/>
  <c r="T3189" i="4"/>
  <c r="T3193" i="4"/>
  <c r="T3197" i="4"/>
  <c r="T3201" i="4"/>
  <c r="T3205" i="4"/>
  <c r="T3209" i="4"/>
  <c r="T3213" i="4"/>
  <c r="T3217" i="4"/>
  <c r="T3221" i="4"/>
  <c r="T3225" i="4"/>
  <c r="T3229" i="4"/>
  <c r="T3233" i="4"/>
  <c r="T3237" i="4"/>
  <c r="T3241" i="4"/>
  <c r="T3245" i="4"/>
  <c r="T3249" i="4"/>
  <c r="T3253" i="4"/>
  <c r="T3257" i="4"/>
  <c r="T3261" i="4"/>
  <c r="T3265" i="4"/>
  <c r="T3269" i="4"/>
  <c r="T3273" i="4"/>
  <c r="T3277" i="4"/>
  <c r="T3281" i="4"/>
  <c r="T3285" i="4"/>
  <c r="T3289" i="4"/>
  <c r="T3293" i="4"/>
  <c r="T3297" i="4"/>
  <c r="T3301" i="4"/>
  <c r="T3305" i="4"/>
  <c r="T3309" i="4"/>
  <c r="T3313" i="4"/>
  <c r="T3317" i="4"/>
  <c r="T3321" i="4"/>
  <c r="T3325" i="4"/>
  <c r="T3329" i="4"/>
  <c r="T3333" i="4"/>
  <c r="T3337" i="4"/>
  <c r="T3341" i="4"/>
  <c r="T3345" i="4"/>
  <c r="T3349" i="4"/>
  <c r="T3353" i="4"/>
  <c r="T3357" i="4"/>
  <c r="T3361" i="4"/>
  <c r="T3365" i="4"/>
  <c r="T3369" i="4"/>
  <c r="T3373" i="4"/>
  <c r="T3377" i="4"/>
  <c r="T3381" i="4"/>
  <c r="T3385" i="4"/>
  <c r="T3389" i="4"/>
  <c r="T3393" i="4"/>
  <c r="T3397" i="4"/>
  <c r="T3401" i="4"/>
  <c r="T3405" i="4"/>
  <c r="T3409" i="4"/>
  <c r="T3413" i="4"/>
  <c r="T3417" i="4"/>
  <c r="T3421" i="4"/>
  <c r="T3425" i="4"/>
  <c r="T3429" i="4"/>
  <c r="T3433" i="4"/>
  <c r="T3437" i="4"/>
  <c r="T3441" i="4"/>
  <c r="T3445" i="4"/>
  <c r="T3449" i="4"/>
  <c r="T3453" i="4"/>
  <c r="T3457" i="4"/>
  <c r="T3461" i="4"/>
  <c r="T3465" i="4"/>
  <c r="T3469" i="4"/>
  <c r="T3473" i="4"/>
  <c r="T3477" i="4"/>
  <c r="T3481" i="4"/>
  <c r="T3485" i="4"/>
  <c r="T3489" i="4"/>
  <c r="T3493" i="4"/>
  <c r="T3497" i="4"/>
  <c r="T3501" i="4"/>
  <c r="T3505" i="4"/>
  <c r="T3509" i="4"/>
  <c r="T3513" i="4"/>
  <c r="T3517" i="4"/>
  <c r="T3521" i="4"/>
  <c r="T3525" i="4"/>
  <c r="T3529" i="4"/>
  <c r="T3533" i="4"/>
  <c r="T3537" i="4"/>
  <c r="T3541" i="4"/>
  <c r="T3545" i="4"/>
  <c r="T3549" i="4"/>
  <c r="T3553" i="4"/>
  <c r="T3557" i="4"/>
  <c r="T3561" i="4"/>
  <c r="T3565" i="4"/>
  <c r="T3569" i="4"/>
  <c r="T3573" i="4"/>
  <c r="T3577" i="4"/>
  <c r="T3581" i="4"/>
  <c r="T3585" i="4"/>
  <c r="T3589" i="4"/>
  <c r="T3593" i="4"/>
  <c r="T3597" i="4"/>
  <c r="T3601" i="4"/>
  <c r="T3605" i="4"/>
  <c r="T3609" i="4"/>
  <c r="T3613" i="4"/>
  <c r="T3617" i="4"/>
  <c r="T3621" i="4"/>
  <c r="T3625" i="4"/>
  <c r="T3629" i="4"/>
  <c r="T3633" i="4"/>
  <c r="T3637" i="4"/>
  <c r="T3641" i="4"/>
  <c r="T3645" i="4"/>
  <c r="T3649" i="4"/>
  <c r="T3653" i="4"/>
  <c r="T3657" i="4"/>
  <c r="T3661" i="4"/>
  <c r="T3665" i="4"/>
  <c r="T3669" i="4"/>
  <c r="T3673" i="4"/>
  <c r="T3677" i="4"/>
  <c r="T3681" i="4"/>
  <c r="T3685" i="4"/>
  <c r="T3689" i="4"/>
  <c r="T3693" i="4"/>
  <c r="T3697" i="4"/>
  <c r="T3701" i="4"/>
  <c r="T3705" i="4"/>
  <c r="T3709" i="4"/>
  <c r="T3713" i="4"/>
  <c r="T3717" i="4"/>
  <c r="T3721" i="4"/>
  <c r="T3725" i="4"/>
  <c r="T3729" i="4"/>
  <c r="T3733" i="4"/>
  <c r="T3737" i="4"/>
  <c r="T3741" i="4"/>
  <c r="T3745" i="4"/>
  <c r="T3749" i="4"/>
  <c r="T3753" i="4"/>
  <c r="T3757" i="4"/>
  <c r="T3761" i="4"/>
  <c r="T3765" i="4"/>
  <c r="T3769" i="4"/>
  <c r="T3773" i="4"/>
  <c r="T3777" i="4"/>
  <c r="T3781" i="4"/>
  <c r="T3785" i="4"/>
  <c r="T3789" i="4"/>
  <c r="T3793" i="4"/>
  <c r="T3797" i="4"/>
  <c r="T3801" i="4"/>
  <c r="T3805" i="4"/>
  <c r="T3809" i="4"/>
  <c r="T3813" i="4"/>
  <c r="T3817" i="4"/>
  <c r="T3821" i="4"/>
  <c r="T3825" i="4"/>
  <c r="T3829" i="4"/>
  <c r="T3833" i="4"/>
  <c r="T3837" i="4"/>
  <c r="T3841" i="4"/>
  <c r="T3845" i="4"/>
  <c r="T3849" i="4"/>
  <c r="T3853" i="4"/>
  <c r="T3857" i="4"/>
  <c r="T3861" i="4"/>
  <c r="T3865" i="4"/>
  <c r="T3869" i="4"/>
  <c r="T3873" i="4"/>
  <c r="T3877" i="4"/>
  <c r="T3881" i="4"/>
  <c r="T3885" i="4"/>
  <c r="T3889" i="4"/>
  <c r="T3893" i="4"/>
  <c r="T3897" i="4"/>
  <c r="T3901" i="4"/>
  <c r="T3905" i="4"/>
  <c r="T3909" i="4"/>
  <c r="T3913" i="4"/>
  <c r="T3917" i="4"/>
  <c r="T3921" i="4"/>
  <c r="T3925" i="4"/>
  <c r="T3929" i="4"/>
  <c r="T3933" i="4"/>
  <c r="T3937" i="4"/>
  <c r="T3941" i="4"/>
  <c r="T3945" i="4"/>
  <c r="T3949" i="4"/>
  <c r="T3953" i="4"/>
  <c r="T3957" i="4"/>
  <c r="T3961" i="4"/>
  <c r="T3965" i="4"/>
  <c r="T3969" i="4"/>
  <c r="T3973" i="4"/>
  <c r="T3977" i="4"/>
  <c r="T3981" i="4"/>
  <c r="T3985" i="4"/>
  <c r="T3989" i="4"/>
  <c r="T3993" i="4"/>
  <c r="T3997" i="4"/>
  <c r="T4001" i="4"/>
  <c r="T4005" i="4"/>
  <c r="T4009" i="4"/>
  <c r="T4013" i="4"/>
  <c r="T4017" i="4"/>
  <c r="T4021" i="4"/>
  <c r="T4025" i="4"/>
  <c r="T4029" i="4"/>
  <c r="T4033" i="4"/>
  <c r="T4037" i="4"/>
  <c r="T4041" i="4"/>
  <c r="T4045" i="4"/>
  <c r="T4049" i="4"/>
  <c r="T4053" i="4"/>
  <c r="T4057" i="4"/>
  <c r="T4061" i="4"/>
  <c r="T4065" i="4"/>
  <c r="T4069" i="4"/>
  <c r="T4073" i="4"/>
  <c r="T4077" i="4"/>
  <c r="T4081" i="4"/>
  <c r="T4085" i="4"/>
  <c r="T4089" i="4"/>
  <c r="T4093" i="4"/>
  <c r="T4097" i="4"/>
  <c r="T4101" i="4"/>
  <c r="T4105" i="4"/>
  <c r="T4109" i="4"/>
  <c r="T4113" i="4"/>
  <c r="T4117" i="4"/>
  <c r="T4121" i="4"/>
  <c r="T4125" i="4"/>
  <c r="T4129" i="4"/>
  <c r="T4133" i="4"/>
  <c r="T4137" i="4"/>
  <c r="T4141" i="4"/>
  <c r="T4145" i="4"/>
  <c r="T4149" i="4"/>
  <c r="T4153" i="4"/>
  <c r="T4157" i="4"/>
  <c r="T4161" i="4"/>
  <c r="T4165" i="4"/>
  <c r="T4169" i="4"/>
  <c r="T4173" i="4"/>
  <c r="T4177" i="4"/>
  <c r="T4181" i="4"/>
  <c r="T4185" i="4"/>
  <c r="T4189" i="4"/>
  <c r="T4193" i="4"/>
  <c r="T4197" i="4"/>
  <c r="T4201" i="4"/>
  <c r="T4205" i="4"/>
  <c r="T4209" i="4"/>
  <c r="T4213" i="4"/>
  <c r="T4217" i="4"/>
  <c r="T4221" i="4"/>
  <c r="T4225" i="4"/>
  <c r="T4229" i="4"/>
  <c r="T4233" i="4"/>
  <c r="T4237" i="4"/>
  <c r="T4241" i="4"/>
  <c r="T4245" i="4"/>
  <c r="T4249" i="4"/>
  <c r="T4253" i="4"/>
  <c r="T4257" i="4"/>
  <c r="T4261" i="4"/>
  <c r="T4265" i="4"/>
  <c r="T4269" i="4"/>
  <c r="T4273" i="4"/>
  <c r="T4277" i="4"/>
  <c r="T4281" i="4"/>
  <c r="T4285" i="4"/>
  <c r="T4289" i="4"/>
  <c r="T4293" i="4"/>
  <c r="T4297" i="4"/>
  <c r="T4301" i="4"/>
  <c r="T4305" i="4"/>
  <c r="T4309" i="4"/>
  <c r="T4313" i="4"/>
  <c r="T4317" i="4"/>
  <c r="T4321" i="4"/>
  <c r="T4325" i="4"/>
  <c r="T4329" i="4"/>
  <c r="T4333" i="4"/>
  <c r="T4337" i="4"/>
  <c r="T4341" i="4"/>
  <c r="T4345" i="4"/>
  <c r="T4349" i="4"/>
  <c r="T4353" i="4"/>
  <c r="T4357" i="4"/>
  <c r="T4361" i="4"/>
  <c r="T4365" i="4"/>
  <c r="T4369" i="4"/>
  <c r="T4373" i="4"/>
  <c r="T4377" i="4"/>
  <c r="T4381" i="4"/>
  <c r="T4385" i="4"/>
  <c r="T4389" i="4"/>
  <c r="T4393" i="4"/>
  <c r="T4397" i="4"/>
  <c r="T4401" i="4"/>
  <c r="T4405" i="4"/>
  <c r="T4409" i="4"/>
  <c r="T4413" i="4"/>
  <c r="T4417" i="4"/>
  <c r="T4421" i="4"/>
  <c r="T4425" i="4"/>
  <c r="T4429" i="4"/>
  <c r="T4433" i="4"/>
  <c r="T4437" i="4"/>
  <c r="T4441" i="4"/>
  <c r="T4445" i="4"/>
  <c r="T4449" i="4"/>
  <c r="T4453" i="4"/>
  <c r="T4457" i="4"/>
  <c r="T4461" i="4"/>
  <c r="T4465" i="4"/>
  <c r="T4469" i="4"/>
  <c r="T4473" i="4"/>
  <c r="T4477" i="4"/>
  <c r="T4481" i="4"/>
  <c r="T4485" i="4"/>
  <c r="T4489" i="4"/>
  <c r="T4493" i="4"/>
  <c r="T4497" i="4"/>
  <c r="T4501" i="4"/>
  <c r="T4505" i="4"/>
  <c r="T4509" i="4"/>
  <c r="T4513" i="4"/>
  <c r="T4517" i="4"/>
  <c r="T4521" i="4"/>
  <c r="T4525" i="4"/>
  <c r="T4529" i="4"/>
  <c r="T4533" i="4"/>
  <c r="T4537" i="4"/>
  <c r="T4541" i="4"/>
  <c r="T4545" i="4"/>
  <c r="T4549" i="4"/>
  <c r="T4553" i="4"/>
  <c r="T4557" i="4"/>
  <c r="T4561" i="4"/>
  <c r="T4565" i="4"/>
  <c r="T4569" i="4"/>
  <c r="T4573" i="4"/>
  <c r="T4577" i="4"/>
  <c r="T4581" i="4"/>
  <c r="T4585" i="4"/>
  <c r="T4589" i="4"/>
  <c r="T4593" i="4"/>
  <c r="T4597" i="4"/>
  <c r="T4601" i="4"/>
  <c r="T4605" i="4"/>
  <c r="T4609" i="4"/>
  <c r="T4613" i="4"/>
  <c r="T4617" i="4"/>
  <c r="T4621" i="4"/>
  <c r="T4625" i="4"/>
  <c r="T4629" i="4"/>
  <c r="T4633" i="4"/>
  <c r="T4637" i="4"/>
  <c r="T4641" i="4"/>
  <c r="T4645" i="4"/>
  <c r="T4649" i="4"/>
  <c r="T4653" i="4"/>
  <c r="T4657" i="4"/>
  <c r="T4661" i="4"/>
  <c r="T4665" i="4"/>
  <c r="T4669" i="4"/>
  <c r="T4673" i="4"/>
  <c r="T4677" i="4"/>
  <c r="T4681" i="4"/>
  <c r="T4685" i="4"/>
  <c r="T4689" i="4"/>
  <c r="T4693" i="4"/>
  <c r="T4697" i="4"/>
  <c r="T4701" i="4"/>
  <c r="T4705" i="4"/>
  <c r="T4709" i="4"/>
  <c r="T4713" i="4"/>
  <c r="T4717" i="4"/>
  <c r="T4721" i="4"/>
  <c r="T4725" i="4"/>
  <c r="T4729" i="4"/>
  <c r="T4733" i="4"/>
  <c r="T4737" i="4"/>
  <c r="T4741" i="4"/>
  <c r="T4745" i="4"/>
  <c r="T4749" i="4"/>
  <c r="T4753" i="4"/>
  <c r="T4757" i="4"/>
  <c r="T4761" i="4"/>
  <c r="T4765" i="4"/>
  <c r="T4769" i="4"/>
  <c r="T4773" i="4"/>
  <c r="T4777" i="4"/>
  <c r="T4781" i="4"/>
  <c r="T4785" i="4"/>
  <c r="T4789" i="4"/>
  <c r="T4793" i="4"/>
  <c r="T4797" i="4"/>
  <c r="T4801" i="4"/>
  <c r="T4805" i="4"/>
  <c r="T4809" i="4"/>
  <c r="T4813" i="4"/>
  <c r="T4817" i="4"/>
  <c r="T4821" i="4"/>
  <c r="T4825" i="4"/>
  <c r="T4829" i="4"/>
  <c r="T4833" i="4"/>
  <c r="T4837" i="4"/>
  <c r="T4841" i="4"/>
  <c r="T4845" i="4"/>
  <c r="T4849" i="4"/>
  <c r="T4853" i="4"/>
  <c r="T4857" i="4"/>
  <c r="T4861" i="4"/>
  <c r="T4865" i="4"/>
  <c r="T4869" i="4"/>
  <c r="T4873" i="4"/>
  <c r="T4877" i="4"/>
  <c r="T4881" i="4"/>
  <c r="T4885" i="4"/>
  <c r="T4889" i="4"/>
  <c r="T4893" i="4"/>
  <c r="T4897" i="4"/>
  <c r="T4901" i="4"/>
  <c r="T4905" i="4"/>
  <c r="T4909" i="4"/>
  <c r="T4913" i="4"/>
  <c r="T4917" i="4"/>
  <c r="T4921" i="4"/>
  <c r="T4925" i="4"/>
  <c r="T4929" i="4"/>
  <c r="T4933" i="4"/>
  <c r="T4937" i="4"/>
  <c r="T4941" i="4"/>
  <c r="T4945" i="4"/>
  <c r="T4949" i="4"/>
  <c r="T4953" i="4"/>
  <c r="T4957" i="4"/>
  <c r="T4961" i="4"/>
  <c r="T4965" i="4"/>
  <c r="T4969" i="4"/>
  <c r="T4973" i="4"/>
  <c r="T4977" i="4"/>
  <c r="T4981" i="4"/>
  <c r="T4985" i="4"/>
  <c r="T4989" i="4"/>
  <c r="T4993" i="4"/>
  <c r="T4997" i="4"/>
  <c r="T5001" i="4"/>
  <c r="T5005" i="4"/>
  <c r="T5009" i="4"/>
  <c r="T57" i="4"/>
  <c r="T121" i="4"/>
  <c r="T185" i="4"/>
  <c r="T249" i="4"/>
  <c r="T313" i="4"/>
  <c r="T377" i="4"/>
  <c r="T441" i="4"/>
  <c r="T505" i="4"/>
  <c r="T569" i="4"/>
  <c r="T633" i="4"/>
  <c r="T697" i="4"/>
  <c r="T761" i="4"/>
  <c r="T825" i="4"/>
  <c r="T889" i="4"/>
  <c r="T953" i="4"/>
  <c r="T999" i="4"/>
  <c r="T1031" i="4"/>
  <c r="T1063" i="4"/>
  <c r="T1095" i="4"/>
  <c r="T1127" i="4"/>
  <c r="T1159" i="4"/>
  <c r="T1191" i="4"/>
  <c r="T1223" i="4"/>
  <c r="T1255" i="4"/>
  <c r="T1287" i="4"/>
  <c r="T1319" i="4"/>
  <c r="T1351" i="4"/>
  <c r="T1383" i="4"/>
  <c r="T1415" i="4"/>
  <c r="T1438" i="4"/>
  <c r="T1454" i="4"/>
  <c r="T1470" i="4"/>
  <c r="T1486" i="4"/>
  <c r="T1502" i="4"/>
  <c r="T1518" i="4"/>
  <c r="T1534" i="4"/>
  <c r="T1550" i="4"/>
  <c r="T1566" i="4"/>
  <c r="T1582" i="4"/>
  <c r="T1598" i="4"/>
  <c r="T1614" i="4"/>
  <c r="T1630" i="4"/>
  <c r="T1646" i="4"/>
  <c r="T1662" i="4"/>
  <c r="T1678" i="4"/>
  <c r="T1694" i="4"/>
  <c r="T1710" i="4"/>
  <c r="T1726" i="4"/>
  <c r="T1742" i="4"/>
  <c r="T1758" i="4"/>
  <c r="T1774" i="4"/>
  <c r="T1790" i="4"/>
  <c r="T1806" i="4"/>
  <c r="T1822" i="4"/>
  <c r="T1838" i="4"/>
  <c r="T1854" i="4"/>
  <c r="T1870" i="4"/>
  <c r="T1886" i="4"/>
  <c r="T1902" i="4"/>
  <c r="T1918" i="4"/>
  <c r="T1934" i="4"/>
  <c r="T1950" i="4"/>
  <c r="T1966" i="4"/>
  <c r="T1982" i="4"/>
  <c r="T1998" i="4"/>
  <c r="T2014" i="4"/>
  <c r="T2030" i="4"/>
  <c r="T2046" i="4"/>
  <c r="T2062" i="4"/>
  <c r="T2078" i="4"/>
  <c r="T2094" i="4"/>
  <c r="T2110" i="4"/>
  <c r="T2126" i="4"/>
  <c r="T2142" i="4"/>
  <c r="T2158" i="4"/>
  <c r="T2174" i="4"/>
  <c r="T2190" i="4"/>
  <c r="T2206" i="4"/>
  <c r="T2222" i="4"/>
  <c r="T2238" i="4"/>
  <c r="T2254" i="4"/>
  <c r="T2270" i="4"/>
  <c r="T2286" i="4"/>
  <c r="T2302" i="4"/>
  <c r="T2318" i="4"/>
  <c r="T2334" i="4"/>
  <c r="T2350" i="4"/>
  <c r="T2366" i="4"/>
  <c r="T2382" i="4"/>
  <c r="T2398" i="4"/>
  <c r="T2414" i="4"/>
  <c r="T2430" i="4"/>
  <c r="T2446" i="4"/>
  <c r="T2462" i="4"/>
  <c r="T2478" i="4"/>
  <c r="T2494" i="4"/>
  <c r="T2510" i="4"/>
  <c r="T2526" i="4"/>
  <c r="T2542" i="4"/>
  <c r="T2558" i="4"/>
  <c r="T2574" i="4"/>
  <c r="T2590" i="4"/>
  <c r="T2606" i="4"/>
  <c r="T2622" i="4"/>
  <c r="T2638" i="4"/>
  <c r="T2654" i="4"/>
  <c r="T2670" i="4"/>
  <c r="T2686" i="4"/>
  <c r="T2702" i="4"/>
  <c r="T2718" i="4"/>
  <c r="T2734" i="4"/>
  <c r="T2750" i="4"/>
  <c r="T2766" i="4"/>
  <c r="T2782" i="4"/>
  <c r="T2798" i="4"/>
  <c r="T2814" i="4"/>
  <c r="T2830" i="4"/>
  <c r="T2846" i="4"/>
  <c r="T2862" i="4"/>
  <c r="T2878" i="4"/>
  <c r="T2894" i="4"/>
  <c r="T2910" i="4"/>
  <c r="T2926" i="4"/>
  <c r="T2942" i="4"/>
  <c r="T2958" i="4"/>
  <c r="T2974" i="4"/>
  <c r="T2990" i="4"/>
  <c r="T3006" i="4"/>
  <c r="T3022" i="4"/>
  <c r="T3038" i="4"/>
  <c r="T3054" i="4"/>
  <c r="T3070" i="4"/>
  <c r="T3086" i="4"/>
  <c r="T3102" i="4"/>
  <c r="T3118" i="4"/>
  <c r="T3134" i="4"/>
  <c r="T3150" i="4"/>
  <c r="T3166" i="4"/>
  <c r="T3182" i="4"/>
  <c r="T3198" i="4"/>
  <c r="T3214" i="4"/>
  <c r="T3230" i="4"/>
  <c r="T3246" i="4"/>
  <c r="T3262" i="4"/>
  <c r="T3278" i="4"/>
  <c r="T3294" i="4"/>
  <c r="T3310" i="4"/>
  <c r="T3326" i="4"/>
  <c r="T3342" i="4"/>
  <c r="T3358" i="4"/>
  <c r="T3374" i="4"/>
  <c r="T3390" i="4"/>
  <c r="T3406" i="4"/>
  <c r="T3422" i="4"/>
  <c r="T3438" i="4"/>
  <c r="T3454" i="4"/>
  <c r="T3470" i="4"/>
  <c r="T3486" i="4"/>
  <c r="T3502" i="4"/>
  <c r="T3518" i="4"/>
  <c r="T3534" i="4"/>
  <c r="T3550" i="4"/>
  <c r="T3566" i="4"/>
  <c r="T3582" i="4"/>
  <c r="T3598" i="4"/>
  <c r="T3614" i="4"/>
  <c r="T3630" i="4"/>
  <c r="T3646" i="4"/>
  <c r="T3662" i="4"/>
  <c r="T3678" i="4"/>
  <c r="T3694" i="4"/>
  <c r="T3710" i="4"/>
  <c r="T3726" i="4"/>
  <c r="T3742" i="4"/>
  <c r="T3758" i="4"/>
  <c r="T3774" i="4"/>
  <c r="T3790" i="4"/>
  <c r="T3806" i="4"/>
  <c r="T3822" i="4"/>
  <c r="T3838" i="4"/>
  <c r="T3854" i="4"/>
  <c r="T3870" i="4"/>
  <c r="T3886" i="4"/>
  <c r="T3902" i="4"/>
  <c r="T3918" i="4"/>
  <c r="T3934" i="4"/>
  <c r="T3950" i="4"/>
  <c r="T3966" i="4"/>
  <c r="T3982" i="4"/>
  <c r="T3998" i="4"/>
  <c r="T4014" i="4"/>
  <c r="T4030" i="4"/>
  <c r="T4046" i="4"/>
  <c r="T4062" i="4"/>
  <c r="T4078" i="4"/>
  <c r="T4094" i="4"/>
  <c r="T4110" i="4"/>
  <c r="T4126" i="4"/>
  <c r="T4142" i="4"/>
  <c r="T4156" i="4"/>
  <c r="T4164" i="4"/>
  <c r="T4172" i="4"/>
  <c r="T4180" i="4"/>
  <c r="T4188" i="4"/>
  <c r="T4196" i="4"/>
  <c r="T4204" i="4"/>
  <c r="T4212" i="4"/>
  <c r="T4220" i="4"/>
  <c r="T4228" i="4"/>
  <c r="T4236" i="4"/>
  <c r="T4244" i="4"/>
  <c r="T4252" i="4"/>
  <c r="T4260" i="4"/>
  <c r="T4268" i="4"/>
  <c r="T4276" i="4"/>
  <c r="T4284" i="4"/>
  <c r="T4292" i="4"/>
  <c r="T4300" i="4"/>
  <c r="T4308" i="4"/>
  <c r="T4316" i="4"/>
  <c r="T4324" i="4"/>
  <c r="T4332" i="4"/>
  <c r="T4340" i="4"/>
  <c r="T4348" i="4"/>
  <c r="T4356" i="4"/>
  <c r="T4364" i="4"/>
  <c r="T4372" i="4"/>
  <c r="T4380" i="4"/>
  <c r="T4388" i="4"/>
  <c r="T4396" i="4"/>
  <c r="T4404" i="4"/>
  <c r="T4412" i="4"/>
  <c r="T4420" i="4"/>
  <c r="T4428" i="4"/>
  <c r="T4436" i="4"/>
  <c r="T4444" i="4"/>
  <c r="T4452" i="4"/>
  <c r="T4460" i="4"/>
  <c r="T4468" i="4"/>
  <c r="T4476" i="4"/>
  <c r="T4484" i="4"/>
  <c r="T4492" i="4"/>
  <c r="T4500" i="4"/>
  <c r="T4508" i="4"/>
  <c r="T4516" i="4"/>
  <c r="T4524" i="4"/>
  <c r="T4532" i="4"/>
  <c r="T4540" i="4"/>
  <c r="T4548" i="4"/>
  <c r="T4556" i="4"/>
  <c r="T4564" i="4"/>
  <c r="T4572" i="4"/>
  <c r="T4580" i="4"/>
  <c r="T4588" i="4"/>
  <c r="T4596" i="4"/>
  <c r="T4604" i="4"/>
  <c r="T4612" i="4"/>
  <c r="T4620" i="4"/>
  <c r="T4628" i="4"/>
  <c r="T4636" i="4"/>
  <c r="T4644" i="4"/>
  <c r="T4652" i="4"/>
  <c r="T4660" i="4"/>
  <c r="T4668" i="4"/>
  <c r="T4676" i="4"/>
  <c r="T4684" i="4"/>
  <c r="T4692" i="4"/>
  <c r="T4700" i="4"/>
  <c r="T4708" i="4"/>
  <c r="T4716" i="4"/>
  <c r="T4724" i="4"/>
  <c r="T4732" i="4"/>
  <c r="T4740" i="4"/>
  <c r="T4748" i="4"/>
  <c r="T4756" i="4"/>
  <c r="T4764" i="4"/>
  <c r="T4772" i="4"/>
  <c r="T4780" i="4"/>
  <c r="T4788" i="4"/>
  <c r="T4796" i="4"/>
  <c r="T4804" i="4"/>
  <c r="T4812" i="4"/>
  <c r="T4820" i="4"/>
  <c r="T4828" i="4"/>
  <c r="T4836" i="4"/>
  <c r="T4844" i="4"/>
  <c r="T4852" i="4"/>
  <c r="T4860" i="4"/>
  <c r="T4868" i="4"/>
  <c r="T4876" i="4"/>
  <c r="T4884" i="4"/>
  <c r="T4892" i="4"/>
  <c r="T4900" i="4"/>
  <c r="T4908" i="4"/>
  <c r="T4916" i="4"/>
  <c r="T4924" i="4"/>
  <c r="T4932" i="4"/>
  <c r="T4940" i="4"/>
  <c r="T4948" i="4"/>
  <c r="T4956" i="4"/>
  <c r="T4964" i="4"/>
  <c r="T4972" i="4"/>
  <c r="T4980" i="4"/>
  <c r="T4988" i="4"/>
  <c r="T4996" i="4"/>
  <c r="T5004" i="4"/>
  <c r="T73" i="4"/>
  <c r="T137" i="4"/>
  <c r="T201" i="4"/>
  <c r="T265" i="4"/>
  <c r="T329" i="4"/>
  <c r="T393" i="4"/>
  <c r="T457" i="4"/>
  <c r="T521" i="4"/>
  <c r="T585" i="4"/>
  <c r="T649" i="4"/>
  <c r="T713" i="4"/>
  <c r="T777" i="4"/>
  <c r="T841" i="4"/>
  <c r="T905" i="4"/>
  <c r="T969" i="4"/>
  <c r="T1007" i="4"/>
  <c r="T1039" i="4"/>
  <c r="T1071" i="4"/>
  <c r="T1103" i="4"/>
  <c r="T1135" i="4"/>
  <c r="T1167" i="4"/>
  <c r="T1199" i="4"/>
  <c r="T1231" i="4"/>
  <c r="T1263" i="4"/>
  <c r="T1295" i="4"/>
  <c r="T1327" i="4"/>
  <c r="T1359" i="4"/>
  <c r="T1391" i="4"/>
  <c r="T1423" i="4"/>
  <c r="T1442" i="4"/>
  <c r="T1458" i="4"/>
  <c r="T1474" i="4"/>
  <c r="T1490" i="4"/>
  <c r="T1506" i="4"/>
  <c r="T1522" i="4"/>
  <c r="T1538" i="4"/>
  <c r="T1554" i="4"/>
  <c r="T1570" i="4"/>
  <c r="T1586" i="4"/>
  <c r="T1602" i="4"/>
  <c r="T1618" i="4"/>
  <c r="T1634" i="4"/>
  <c r="T1650" i="4"/>
  <c r="T1666" i="4"/>
  <c r="T1682" i="4"/>
  <c r="T1698" i="4"/>
  <c r="T1714" i="4"/>
  <c r="T1730" i="4"/>
  <c r="T1746" i="4"/>
  <c r="T1762" i="4"/>
  <c r="T1778" i="4"/>
  <c r="T1794" i="4"/>
  <c r="T1810" i="4"/>
  <c r="T1826" i="4"/>
  <c r="T1842" i="4"/>
  <c r="T1858" i="4"/>
  <c r="T1874" i="4"/>
  <c r="T1890" i="4"/>
  <c r="T1906" i="4"/>
  <c r="T1922" i="4"/>
  <c r="T1938" i="4"/>
  <c r="T1954" i="4"/>
  <c r="T1970" i="4"/>
  <c r="T1986" i="4"/>
  <c r="T2002" i="4"/>
  <c r="T2018" i="4"/>
  <c r="T2034" i="4"/>
  <c r="T2050" i="4"/>
  <c r="T2066" i="4"/>
  <c r="T2082" i="4"/>
  <c r="T2098" i="4"/>
  <c r="T2114" i="4"/>
  <c r="T2130" i="4"/>
  <c r="T2146" i="4"/>
  <c r="T2162" i="4"/>
  <c r="T2178" i="4"/>
  <c r="T2194" i="4"/>
  <c r="T2210" i="4"/>
  <c r="T2226" i="4"/>
  <c r="T2242" i="4"/>
  <c r="T2258" i="4"/>
  <c r="T2274" i="4"/>
  <c r="T2290" i="4"/>
  <c r="T2306" i="4"/>
  <c r="T2322" i="4"/>
  <c r="T2338" i="4"/>
  <c r="T2354" i="4"/>
  <c r="T2370" i="4"/>
  <c r="T2386" i="4"/>
  <c r="T2402" i="4"/>
  <c r="T2418" i="4"/>
  <c r="T2434" i="4"/>
  <c r="T2450" i="4"/>
  <c r="T2466" i="4"/>
  <c r="T2482" i="4"/>
  <c r="T2498" i="4"/>
  <c r="T2514" i="4"/>
  <c r="T2530" i="4"/>
  <c r="T2546" i="4"/>
  <c r="T2562" i="4"/>
  <c r="T2578" i="4"/>
  <c r="T2594" i="4"/>
  <c r="T2610" i="4"/>
  <c r="T2626" i="4"/>
  <c r="T2642" i="4"/>
  <c r="T2658" i="4"/>
  <c r="T2674" i="4"/>
  <c r="T2690" i="4"/>
  <c r="T2706" i="4"/>
  <c r="T2722" i="4"/>
  <c r="T2738" i="4"/>
  <c r="T2754" i="4"/>
  <c r="T2770" i="4"/>
  <c r="T2786" i="4"/>
  <c r="T2802" i="4"/>
  <c r="T2818" i="4"/>
  <c r="T2834" i="4"/>
  <c r="T2850" i="4"/>
  <c r="T2866" i="4"/>
  <c r="T2882" i="4"/>
  <c r="T2898" i="4"/>
  <c r="T2914" i="4"/>
  <c r="T2930" i="4"/>
  <c r="T2946" i="4"/>
  <c r="T2962" i="4"/>
  <c r="T2978" i="4"/>
  <c r="T2994" i="4"/>
  <c r="T3010" i="4"/>
  <c r="T3026" i="4"/>
  <c r="T3042" i="4"/>
  <c r="T3058" i="4"/>
  <c r="T3074" i="4"/>
  <c r="T3090" i="4"/>
  <c r="T3106" i="4"/>
  <c r="T3122" i="4"/>
  <c r="T3138" i="4"/>
  <c r="T3154" i="4"/>
  <c r="T3170" i="4"/>
  <c r="T3186" i="4"/>
  <c r="T3202" i="4"/>
  <c r="T3218" i="4"/>
  <c r="T3234" i="4"/>
  <c r="T3250" i="4"/>
  <c r="T3266" i="4"/>
  <c r="T3282" i="4"/>
  <c r="T3298" i="4"/>
  <c r="T3314" i="4"/>
  <c r="T3330" i="4"/>
  <c r="T3346" i="4"/>
  <c r="T3362" i="4"/>
  <c r="T3378" i="4"/>
  <c r="T3394" i="4"/>
  <c r="T3410" i="4"/>
  <c r="T3426" i="4"/>
  <c r="T3442" i="4"/>
  <c r="T3458" i="4"/>
  <c r="T3474" i="4"/>
  <c r="T3490" i="4"/>
  <c r="T3506" i="4"/>
  <c r="T3522" i="4"/>
  <c r="T3538" i="4"/>
  <c r="T3554" i="4"/>
  <c r="T3570" i="4"/>
  <c r="T3586" i="4"/>
  <c r="T3602" i="4"/>
  <c r="T3618" i="4"/>
  <c r="T3634" i="4"/>
  <c r="T3650" i="4"/>
  <c r="T3666" i="4"/>
  <c r="T3682" i="4"/>
  <c r="T3698" i="4"/>
  <c r="T3714" i="4"/>
  <c r="T3730" i="4"/>
  <c r="T3746" i="4"/>
  <c r="T3762" i="4"/>
  <c r="T3778" i="4"/>
  <c r="T3794" i="4"/>
  <c r="T3810" i="4"/>
  <c r="T3826" i="4"/>
  <c r="T3842" i="4"/>
  <c r="T3858" i="4"/>
  <c r="T3874" i="4"/>
  <c r="T3890" i="4"/>
  <c r="T3906" i="4"/>
  <c r="T3922" i="4"/>
  <c r="T3938" i="4"/>
  <c r="T3954" i="4"/>
  <c r="T3970" i="4"/>
  <c r="T3986" i="4"/>
  <c r="T4002" i="4"/>
  <c r="T4018" i="4"/>
  <c r="T4034" i="4"/>
  <c r="T4050" i="4"/>
  <c r="T4066" i="4"/>
  <c r="T4082" i="4"/>
  <c r="T4098" i="4"/>
  <c r="T4114" i="4"/>
  <c r="T4130" i="4"/>
  <c r="T4146" i="4"/>
  <c r="T4158" i="4"/>
  <c r="T4166" i="4"/>
  <c r="T4174" i="4"/>
  <c r="T4182" i="4"/>
  <c r="T4190" i="4"/>
  <c r="T4198" i="4"/>
  <c r="T4206" i="4"/>
  <c r="T4214" i="4"/>
  <c r="T4222" i="4"/>
  <c r="T4230" i="4"/>
  <c r="T4238" i="4"/>
  <c r="T4246" i="4"/>
  <c r="T4254" i="4"/>
  <c r="T4262" i="4"/>
  <c r="T4270" i="4"/>
  <c r="T4278" i="4"/>
  <c r="T4286" i="4"/>
  <c r="T4294" i="4"/>
  <c r="T4302" i="4"/>
  <c r="T4310" i="4"/>
  <c r="T4318" i="4"/>
  <c r="T4326" i="4"/>
  <c r="T4334" i="4"/>
  <c r="T4342" i="4"/>
  <c r="T4350" i="4"/>
  <c r="T4358" i="4"/>
  <c r="T4366" i="4"/>
  <c r="T4374" i="4"/>
  <c r="T4382" i="4"/>
  <c r="T4390" i="4"/>
  <c r="T4398" i="4"/>
  <c r="T4406" i="4"/>
  <c r="T4414" i="4"/>
  <c r="T4422" i="4"/>
  <c r="T4430" i="4"/>
  <c r="T4438" i="4"/>
  <c r="T4446" i="4"/>
  <c r="T4454" i="4"/>
  <c r="T4462" i="4"/>
  <c r="T4470" i="4"/>
  <c r="T4478" i="4"/>
  <c r="T4486" i="4"/>
  <c r="T4494" i="4"/>
  <c r="T4502" i="4"/>
  <c r="T4510" i="4"/>
  <c r="T4518" i="4"/>
  <c r="T4526" i="4"/>
  <c r="T4534" i="4"/>
  <c r="T4542" i="4"/>
  <c r="T4550" i="4"/>
  <c r="T4558" i="4"/>
  <c r="T4566" i="4"/>
  <c r="T4574" i="4"/>
  <c r="T4582" i="4"/>
  <c r="T4590" i="4"/>
  <c r="T4598" i="4"/>
  <c r="T4606" i="4"/>
  <c r="T4614" i="4"/>
  <c r="T4622" i="4"/>
  <c r="T4630" i="4"/>
  <c r="T4638" i="4"/>
  <c r="T4646" i="4"/>
  <c r="T4654" i="4"/>
  <c r="T4662" i="4"/>
  <c r="T4670" i="4"/>
  <c r="T4678" i="4"/>
  <c r="T4686" i="4"/>
  <c r="T4694" i="4"/>
  <c r="T4702" i="4"/>
  <c r="T4710" i="4"/>
  <c r="T4718" i="4"/>
  <c r="T4726" i="4"/>
  <c r="T4734" i="4"/>
  <c r="T4742" i="4"/>
  <c r="T4750" i="4"/>
  <c r="T4758" i="4"/>
  <c r="T4766" i="4"/>
  <c r="T4774" i="4"/>
  <c r="T4782" i="4"/>
  <c r="T4790" i="4"/>
  <c r="T4798" i="4"/>
  <c r="T4806" i="4"/>
  <c r="T4814" i="4"/>
  <c r="T4822" i="4"/>
  <c r="T4830" i="4"/>
  <c r="T4838" i="4"/>
  <c r="T4846" i="4"/>
  <c r="T4854" i="4"/>
  <c r="T4862" i="4"/>
  <c r="T4870" i="4"/>
  <c r="T4878" i="4"/>
  <c r="T4886" i="4"/>
  <c r="T4894" i="4"/>
  <c r="T4902" i="4"/>
  <c r="T4910" i="4"/>
  <c r="T4918" i="4"/>
  <c r="T4926" i="4"/>
  <c r="T4934" i="4"/>
  <c r="T4942" i="4"/>
  <c r="T4950" i="4"/>
  <c r="T4958" i="4"/>
  <c r="T4966" i="4"/>
  <c r="T4974" i="4"/>
  <c r="T4982" i="4"/>
  <c r="T4990" i="4"/>
  <c r="T4998" i="4"/>
  <c r="T5006" i="4"/>
  <c r="T25" i="4"/>
  <c r="T89" i="4"/>
  <c r="T153" i="4"/>
  <c r="T217" i="4"/>
  <c r="T281" i="4"/>
  <c r="T345" i="4"/>
  <c r="T409" i="4"/>
  <c r="T473" i="4"/>
  <c r="T537" i="4"/>
  <c r="T601" i="4"/>
  <c r="T665" i="4"/>
  <c r="T729" i="4"/>
  <c r="T793" i="4"/>
  <c r="T857" i="4"/>
  <c r="T921" i="4"/>
  <c r="T983" i="4"/>
  <c r="T1015" i="4"/>
  <c r="T1047" i="4"/>
  <c r="T1079" i="4"/>
  <c r="T1111" i="4"/>
  <c r="T1143" i="4"/>
  <c r="T1175" i="4"/>
  <c r="T1207" i="4"/>
  <c r="T1239" i="4"/>
  <c r="T1271" i="4"/>
  <c r="T1303" i="4"/>
  <c r="T1335" i="4"/>
  <c r="T1367" i="4"/>
  <c r="T1399" i="4"/>
  <c r="T1429" i="4"/>
  <c r="T1446" i="4"/>
  <c r="T1462" i="4"/>
  <c r="T1478" i="4"/>
  <c r="T1494" i="4"/>
  <c r="T1510" i="4"/>
  <c r="T1526" i="4"/>
  <c r="T1542" i="4"/>
  <c r="T1558" i="4"/>
  <c r="T1574" i="4"/>
  <c r="T1590" i="4"/>
  <c r="T1606" i="4"/>
  <c r="T1622" i="4"/>
  <c r="T1638" i="4"/>
  <c r="T1654" i="4"/>
  <c r="T1670" i="4"/>
  <c r="T1686" i="4"/>
  <c r="T1702" i="4"/>
  <c r="T1718" i="4"/>
  <c r="T1734" i="4"/>
  <c r="T1750" i="4"/>
  <c r="T1766" i="4"/>
  <c r="T1782" i="4"/>
  <c r="T1798" i="4"/>
  <c r="T1814" i="4"/>
  <c r="T1830" i="4"/>
  <c r="T1846" i="4"/>
  <c r="T1862" i="4"/>
  <c r="T1878" i="4"/>
  <c r="T1894" i="4"/>
  <c r="T1910" i="4"/>
  <c r="T1926" i="4"/>
  <c r="T1942" i="4"/>
  <c r="T1958" i="4"/>
  <c r="T1974" i="4"/>
  <c r="T1990" i="4"/>
  <c r="T2006" i="4"/>
  <c r="T2022" i="4"/>
  <c r="T2038" i="4"/>
  <c r="T2054" i="4"/>
  <c r="T2070" i="4"/>
  <c r="T2086" i="4"/>
  <c r="T2102" i="4"/>
  <c r="T2118" i="4"/>
  <c r="T2134" i="4"/>
  <c r="T2150" i="4"/>
  <c r="T2166" i="4"/>
  <c r="T2182" i="4"/>
  <c r="T2198" i="4"/>
  <c r="T2214" i="4"/>
  <c r="T2230" i="4"/>
  <c r="T2246" i="4"/>
  <c r="T2262" i="4"/>
  <c r="T2278" i="4"/>
  <c r="T2294" i="4"/>
  <c r="T2310" i="4"/>
  <c r="T2326" i="4"/>
  <c r="T2342" i="4"/>
  <c r="T2358" i="4"/>
  <c r="T2374" i="4"/>
  <c r="T2390" i="4"/>
  <c r="T2406" i="4"/>
  <c r="T2422" i="4"/>
  <c r="T2438" i="4"/>
  <c r="T2454" i="4"/>
  <c r="T2470" i="4"/>
  <c r="T2486" i="4"/>
  <c r="T2502" i="4"/>
  <c r="T2518" i="4"/>
  <c r="T2534" i="4"/>
  <c r="T2550" i="4"/>
  <c r="T2566" i="4"/>
  <c r="T2582" i="4"/>
  <c r="T2598" i="4"/>
  <c r="T2614" i="4"/>
  <c r="T2630" i="4"/>
  <c r="T2646" i="4"/>
  <c r="T2662" i="4"/>
  <c r="T2678" i="4"/>
  <c r="T2694" i="4"/>
  <c r="T2710" i="4"/>
  <c r="T2726" i="4"/>
  <c r="T2742" i="4"/>
  <c r="T2758" i="4"/>
  <c r="T2774" i="4"/>
  <c r="T2790" i="4"/>
  <c r="T2806" i="4"/>
  <c r="T2822" i="4"/>
  <c r="T2838" i="4"/>
  <c r="T2854" i="4"/>
  <c r="T41" i="4"/>
  <c r="T105" i="4"/>
  <c r="T169" i="4"/>
  <c r="T233" i="4"/>
  <c r="T297" i="4"/>
  <c r="T361" i="4"/>
  <c r="T425" i="4"/>
  <c r="T489" i="4"/>
  <c r="T553" i="4"/>
  <c r="T617" i="4"/>
  <c r="T681" i="4"/>
  <c r="T745" i="4"/>
  <c r="T809" i="4"/>
  <c r="T873" i="4"/>
  <c r="T937" i="4"/>
  <c r="T991" i="4"/>
  <c r="T1023" i="4"/>
  <c r="T1055" i="4"/>
  <c r="T1087" i="4"/>
  <c r="T1119" i="4"/>
  <c r="T1151" i="4"/>
  <c r="T1183" i="4"/>
  <c r="T1215" i="4"/>
  <c r="T1247" i="4"/>
  <c r="T1279" i="4"/>
  <c r="T1311" i="4"/>
  <c r="T1343" i="4"/>
  <c r="T1375" i="4"/>
  <c r="T1407" i="4"/>
  <c r="T1434" i="4"/>
  <c r="T1450" i="4"/>
  <c r="T1466" i="4"/>
  <c r="T1482" i="4"/>
  <c r="T1498" i="4"/>
  <c r="T1514" i="4"/>
  <c r="T1530" i="4"/>
  <c r="T1546" i="4"/>
  <c r="T1562" i="4"/>
  <c r="T1578" i="4"/>
  <c r="T1594" i="4"/>
  <c r="T1610" i="4"/>
  <c r="T1626" i="4"/>
  <c r="T1642" i="4"/>
  <c r="T1658" i="4"/>
  <c r="T1674" i="4"/>
  <c r="T1690" i="4"/>
  <c r="T1706" i="4"/>
  <c r="T1722" i="4"/>
  <c r="T1738" i="4"/>
  <c r="T1754" i="4"/>
  <c r="T1770" i="4"/>
  <c r="T1786" i="4"/>
  <c r="T1802" i="4"/>
  <c r="T1818" i="4"/>
  <c r="T1834" i="4"/>
  <c r="T1850" i="4"/>
  <c r="T1866" i="4"/>
  <c r="T1882" i="4"/>
  <c r="T1898" i="4"/>
  <c r="T1914" i="4"/>
  <c r="T1930" i="4"/>
  <c r="T1946" i="4"/>
  <c r="T1962" i="4"/>
  <c r="T1978" i="4"/>
  <c r="T1994" i="4"/>
  <c r="T2010" i="4"/>
  <c r="T2074" i="4"/>
  <c r="T2138" i="4"/>
  <c r="T2202" i="4"/>
  <c r="T2266" i="4"/>
  <c r="T2330" i="4"/>
  <c r="T2394" i="4"/>
  <c r="T2458" i="4"/>
  <c r="T2522" i="4"/>
  <c r="T2586" i="4"/>
  <c r="T2650" i="4"/>
  <c r="T2714" i="4"/>
  <c r="T2778" i="4"/>
  <c r="T2842" i="4"/>
  <c r="T2886" i="4"/>
  <c r="T2918" i="4"/>
  <c r="T2950" i="4"/>
  <c r="T2982" i="4"/>
  <c r="T3014" i="4"/>
  <c r="T3046" i="4"/>
  <c r="T3078" i="4"/>
  <c r="T3110" i="4"/>
  <c r="T3142" i="4"/>
  <c r="T3174" i="4"/>
  <c r="T3206" i="4"/>
  <c r="T3238" i="4"/>
  <c r="T3270" i="4"/>
  <c r="T3302" i="4"/>
  <c r="T3334" i="4"/>
  <c r="T3366" i="4"/>
  <c r="T3398" i="4"/>
  <c r="T3430" i="4"/>
  <c r="T3462" i="4"/>
  <c r="T3494" i="4"/>
  <c r="T3526" i="4"/>
  <c r="T3558" i="4"/>
  <c r="T3590" i="4"/>
  <c r="T3622" i="4"/>
  <c r="T3654" i="4"/>
  <c r="T3686" i="4"/>
  <c r="T3718" i="4"/>
  <c r="T3750" i="4"/>
  <c r="T3782" i="4"/>
  <c r="T3814" i="4"/>
  <c r="T3846" i="4"/>
  <c r="T3878" i="4"/>
  <c r="T3910" i="4"/>
  <c r="T3942" i="4"/>
  <c r="T3974" i="4"/>
  <c r="T4006" i="4"/>
  <c r="T4038" i="4"/>
  <c r="T4070" i="4"/>
  <c r="T4102" i="4"/>
  <c r="T4134" i="4"/>
  <c r="T4160" i="4"/>
  <c r="T4176" i="4"/>
  <c r="T4192" i="4"/>
  <c r="T4208" i="4"/>
  <c r="T4224" i="4"/>
  <c r="T4240" i="4"/>
  <c r="T4256" i="4"/>
  <c r="T4272" i="4"/>
  <c r="T4288" i="4"/>
  <c r="T4304" i="4"/>
  <c r="T4320" i="4"/>
  <c r="T4336" i="4"/>
  <c r="T4352" i="4"/>
  <c r="T4368" i="4"/>
  <c r="T4384" i="4"/>
  <c r="T4400" i="4"/>
  <c r="T4416" i="4"/>
  <c r="T4432" i="4"/>
  <c r="T4448" i="4"/>
  <c r="T4464" i="4"/>
  <c r="T4480" i="4"/>
  <c r="T4496" i="4"/>
  <c r="T4512" i="4"/>
  <c r="T4528" i="4"/>
  <c r="T4544" i="4"/>
  <c r="T4560" i="4"/>
  <c r="T4576" i="4"/>
  <c r="T4592" i="4"/>
  <c r="T4608" i="4"/>
  <c r="T4624" i="4"/>
  <c r="T4640" i="4"/>
  <c r="T4656" i="4"/>
  <c r="T4672" i="4"/>
  <c r="T4688" i="4"/>
  <c r="T4704" i="4"/>
  <c r="T4720" i="4"/>
  <c r="T4736" i="4"/>
  <c r="T4752" i="4"/>
  <c r="T4768" i="4"/>
  <c r="T4784" i="4"/>
  <c r="T4800" i="4"/>
  <c r="T4816" i="4"/>
  <c r="T4832" i="4"/>
  <c r="T4848" i="4"/>
  <c r="T4864" i="4"/>
  <c r="T4880" i="4"/>
  <c r="T4896" i="4"/>
  <c r="T4912" i="4"/>
  <c r="T4928" i="4"/>
  <c r="T4944" i="4"/>
  <c r="T4960" i="4"/>
  <c r="T4976" i="4"/>
  <c r="T4992" i="4"/>
  <c r="T5008" i="4"/>
  <c r="T2026" i="4"/>
  <c r="T2090" i="4"/>
  <c r="T2154" i="4"/>
  <c r="T2218" i="4"/>
  <c r="T2282" i="4"/>
  <c r="T2346" i="4"/>
  <c r="T2410" i="4"/>
  <c r="T2474" i="4"/>
  <c r="T2538" i="4"/>
  <c r="T2602" i="4"/>
  <c r="T2666" i="4"/>
  <c r="T2730" i="4"/>
  <c r="T2794" i="4"/>
  <c r="T2858" i="4"/>
  <c r="T2890" i="4"/>
  <c r="T2922" i="4"/>
  <c r="T2954" i="4"/>
  <c r="T2986" i="4"/>
  <c r="T3018" i="4"/>
  <c r="T3050" i="4"/>
  <c r="T3082" i="4"/>
  <c r="T3114" i="4"/>
  <c r="T3146" i="4"/>
  <c r="T3178" i="4"/>
  <c r="T3210" i="4"/>
  <c r="T3242" i="4"/>
  <c r="T3274" i="4"/>
  <c r="T3306" i="4"/>
  <c r="T3338" i="4"/>
  <c r="T3370" i="4"/>
  <c r="T3402" i="4"/>
  <c r="T3434" i="4"/>
  <c r="T3466" i="4"/>
  <c r="T3498" i="4"/>
  <c r="T3530" i="4"/>
  <c r="T3562" i="4"/>
  <c r="T3594" i="4"/>
  <c r="T3626" i="4"/>
  <c r="T3658" i="4"/>
  <c r="T3690" i="4"/>
  <c r="T3722" i="4"/>
  <c r="T3754" i="4"/>
  <c r="T3786" i="4"/>
  <c r="T3818" i="4"/>
  <c r="T3850" i="4"/>
  <c r="T3882" i="4"/>
  <c r="T3914" i="4"/>
  <c r="T3946" i="4"/>
  <c r="T3978" i="4"/>
  <c r="T4010" i="4"/>
  <c r="T4042" i="4"/>
  <c r="T4074" i="4"/>
  <c r="T4106" i="4"/>
  <c r="T4138" i="4"/>
  <c r="T4162" i="4"/>
  <c r="T4178" i="4"/>
  <c r="T4194" i="4"/>
  <c r="T4210" i="4"/>
  <c r="T4226" i="4"/>
  <c r="T4242" i="4"/>
  <c r="T4258" i="4"/>
  <c r="T4274" i="4"/>
  <c r="T4290" i="4"/>
  <c r="T4306" i="4"/>
  <c r="T4322" i="4"/>
  <c r="T4338" i="4"/>
  <c r="T4354" i="4"/>
  <c r="T4370" i="4"/>
  <c r="T4386" i="4"/>
  <c r="T4402" i="4"/>
  <c r="T4418" i="4"/>
  <c r="T4434" i="4"/>
  <c r="T4450" i="4"/>
  <c r="T4466" i="4"/>
  <c r="T4482" i="4"/>
  <c r="T4498" i="4"/>
  <c r="T4514" i="4"/>
  <c r="T4530" i="4"/>
  <c r="T4546" i="4"/>
  <c r="T4562" i="4"/>
  <c r="T4578" i="4"/>
  <c r="T4594" i="4"/>
  <c r="T4610" i="4"/>
  <c r="T4626" i="4"/>
  <c r="T4642" i="4"/>
  <c r="T4658" i="4"/>
  <c r="T4674" i="4"/>
  <c r="T4690" i="4"/>
  <c r="T4706" i="4"/>
  <c r="T4722" i="4"/>
  <c r="T4738" i="4"/>
  <c r="T4754" i="4"/>
  <c r="T4770" i="4"/>
  <c r="T4786" i="4"/>
  <c r="T4802" i="4"/>
  <c r="T4818" i="4"/>
  <c r="T4834" i="4"/>
  <c r="T4850" i="4"/>
  <c r="T4866" i="4"/>
  <c r="T4882" i="4"/>
  <c r="T4898" i="4"/>
  <c r="T4914" i="4"/>
  <c r="T4930" i="4"/>
  <c r="T4946" i="4"/>
  <c r="T4962" i="4"/>
  <c r="T4978" i="4"/>
  <c r="T4994" i="4"/>
  <c r="T2042" i="4"/>
  <c r="T2106" i="4"/>
  <c r="T2170" i="4"/>
  <c r="T2234" i="4"/>
  <c r="T2298" i="4"/>
  <c r="T2362" i="4"/>
  <c r="T2426" i="4"/>
  <c r="T2490" i="4"/>
  <c r="T2554" i="4"/>
  <c r="T2618" i="4"/>
  <c r="T2682" i="4"/>
  <c r="T2746" i="4"/>
  <c r="T2810" i="4"/>
  <c r="T2870" i="4"/>
  <c r="T2902" i="4"/>
  <c r="T2934" i="4"/>
  <c r="T2966" i="4"/>
  <c r="T2998" i="4"/>
  <c r="T3030" i="4"/>
  <c r="T3062" i="4"/>
  <c r="T3094" i="4"/>
  <c r="T3126" i="4"/>
  <c r="T3158" i="4"/>
  <c r="T3190" i="4"/>
  <c r="T3222" i="4"/>
  <c r="T3254" i="4"/>
  <c r="T3286" i="4"/>
  <c r="T3318" i="4"/>
  <c r="T3350" i="4"/>
  <c r="T3382" i="4"/>
  <c r="T3414" i="4"/>
  <c r="T3446" i="4"/>
  <c r="T3478" i="4"/>
  <c r="T3510" i="4"/>
  <c r="T3542" i="4"/>
  <c r="T3574" i="4"/>
  <c r="T3606" i="4"/>
  <c r="T3638" i="4"/>
  <c r="T3670" i="4"/>
  <c r="T3702" i="4"/>
  <c r="T3734" i="4"/>
  <c r="T3766" i="4"/>
  <c r="T3798" i="4"/>
  <c r="T3830" i="4"/>
  <c r="T3862" i="4"/>
  <c r="T3894" i="4"/>
  <c r="T3926" i="4"/>
  <c r="T3958" i="4"/>
  <c r="T3990" i="4"/>
  <c r="T4022" i="4"/>
  <c r="T4054" i="4"/>
  <c r="T4086" i="4"/>
  <c r="T4118" i="4"/>
  <c r="T4150" i="4"/>
  <c r="T4168" i="4"/>
  <c r="T4184" i="4"/>
  <c r="T4200" i="4"/>
  <c r="T4216" i="4"/>
  <c r="T4232" i="4"/>
  <c r="T4248" i="4"/>
  <c r="T4264" i="4"/>
  <c r="T4280" i="4"/>
  <c r="T4296" i="4"/>
  <c r="T4312" i="4"/>
  <c r="T4328" i="4"/>
  <c r="T4344" i="4"/>
  <c r="T4360" i="4"/>
  <c r="T4376" i="4"/>
  <c r="T4392" i="4"/>
  <c r="T4408" i="4"/>
  <c r="T4424" i="4"/>
  <c r="T4440" i="4"/>
  <c r="T4456" i="4"/>
  <c r="T4472" i="4"/>
  <c r="T4488" i="4"/>
  <c r="T4504" i="4"/>
  <c r="T4520" i="4"/>
  <c r="T4536" i="4"/>
  <c r="T4552" i="4"/>
  <c r="T4568" i="4"/>
  <c r="T4584" i="4"/>
  <c r="T4600" i="4"/>
  <c r="T4616" i="4"/>
  <c r="T4632" i="4"/>
  <c r="T4648" i="4"/>
  <c r="T4664" i="4"/>
  <c r="T4680" i="4"/>
  <c r="T4696" i="4"/>
  <c r="T4712" i="4"/>
  <c r="T4728" i="4"/>
  <c r="T4744" i="4"/>
  <c r="T4760" i="4"/>
  <c r="T4776" i="4"/>
  <c r="T4792" i="4"/>
  <c r="T4808" i="4"/>
  <c r="T4824" i="4"/>
  <c r="T4840" i="4"/>
  <c r="T4856" i="4"/>
  <c r="T4872" i="4"/>
  <c r="T4888" i="4"/>
  <c r="T4904" i="4"/>
  <c r="T4920" i="4"/>
  <c r="T4936" i="4"/>
  <c r="T4952" i="4"/>
  <c r="T4968" i="4"/>
  <c r="T4984" i="4"/>
  <c r="T5000" i="4"/>
  <c r="T2058" i="4"/>
  <c r="T2122" i="4"/>
  <c r="T2186" i="4"/>
  <c r="T2250" i="4"/>
  <c r="T2314" i="4"/>
  <c r="T2378" i="4"/>
  <c r="T2442" i="4"/>
  <c r="T2506" i="4"/>
  <c r="T2570" i="4"/>
  <c r="T2634" i="4"/>
  <c r="T2698" i="4"/>
  <c r="T2762" i="4"/>
  <c r="T2826" i="4"/>
  <c r="T2874" i="4"/>
  <c r="T2906" i="4"/>
  <c r="T2938" i="4"/>
  <c r="T2970" i="4"/>
  <c r="T3002" i="4"/>
  <c r="T3034" i="4"/>
  <c r="T3066" i="4"/>
  <c r="T3098" i="4"/>
  <c r="T3130" i="4"/>
  <c r="T3162" i="4"/>
  <c r="T3194" i="4"/>
  <c r="T3226" i="4"/>
  <c r="T3258" i="4"/>
  <c r="T3290" i="4"/>
  <c r="T3322" i="4"/>
  <c r="T3354" i="4"/>
  <c r="T3386" i="4"/>
  <c r="T3418" i="4"/>
  <c r="T3450" i="4"/>
  <c r="T3482" i="4"/>
  <c r="T3514" i="4"/>
  <c r="T3546" i="4"/>
  <c r="T3578" i="4"/>
  <c r="T3610" i="4"/>
  <c r="T3642" i="4"/>
  <c r="T3674" i="4"/>
  <c r="T3706" i="4"/>
  <c r="T3738" i="4"/>
  <c r="T3770" i="4"/>
  <c r="T3802" i="4"/>
  <c r="T3834" i="4"/>
  <c r="T3866" i="4"/>
  <c r="T3898" i="4"/>
  <c r="T3930" i="4"/>
  <c r="T3962" i="4"/>
  <c r="T3994" i="4"/>
  <c r="T4026" i="4"/>
  <c r="T4058" i="4"/>
  <c r="T4090" i="4"/>
  <c r="T4122" i="4"/>
  <c r="T4154" i="4"/>
  <c r="T4170" i="4"/>
  <c r="T4186" i="4"/>
  <c r="T4202" i="4"/>
  <c r="T4218" i="4"/>
  <c r="T4234" i="4"/>
  <c r="T4250" i="4"/>
  <c r="T4266" i="4"/>
  <c r="T4282" i="4"/>
  <c r="T4298" i="4"/>
  <c r="T4314" i="4"/>
  <c r="T4330" i="4"/>
  <c r="T4346" i="4"/>
  <c r="T4362" i="4"/>
  <c r="T4378" i="4"/>
  <c r="T4394" i="4"/>
  <c r="T4410" i="4"/>
  <c r="T4426" i="4"/>
  <c r="T4442" i="4"/>
  <c r="T4458" i="4"/>
  <c r="T4474" i="4"/>
  <c r="T4490" i="4"/>
  <c r="T4506" i="4"/>
  <c r="T4522" i="4"/>
  <c r="T4538" i="4"/>
  <c r="T4554" i="4"/>
  <c r="T4570" i="4"/>
  <c r="T4586" i="4"/>
  <c r="T4602" i="4"/>
  <c r="T4618" i="4"/>
  <c r="T4634" i="4"/>
  <c r="T4650" i="4"/>
  <c r="T4666" i="4"/>
  <c r="T4682" i="4"/>
  <c r="T4698" i="4"/>
  <c r="T4714" i="4"/>
  <c r="T4730" i="4"/>
  <c r="T4746" i="4"/>
  <c r="T4762" i="4"/>
  <c r="T4778" i="4"/>
  <c r="T4794" i="4"/>
  <c r="T4810" i="4"/>
  <c r="T4826" i="4"/>
  <c r="T4842" i="4"/>
  <c r="T4858" i="4"/>
  <c r="T4874" i="4"/>
  <c r="T4890" i="4"/>
  <c r="T4906" i="4"/>
  <c r="T4922" i="4"/>
  <c r="T4938" i="4"/>
  <c r="T4954" i="4"/>
  <c r="T4970" i="4"/>
  <c r="T4986" i="4"/>
  <c r="T5002" i="4"/>
  <c r="I6" i="1"/>
  <c r="H6" i="1"/>
  <c r="J6" i="1"/>
  <c r="K5" i="4" l="1"/>
  <c r="K4" i="4"/>
  <c r="Q6" i="1" l="1"/>
  <c r="P6" i="1" s="1"/>
  <c r="M10" i="4" l="1"/>
  <c r="N10" i="4"/>
  <c r="N14" i="4"/>
  <c r="N18" i="4"/>
  <c r="N22" i="4"/>
  <c r="N26" i="4"/>
  <c r="N30" i="4"/>
  <c r="N34" i="4"/>
  <c r="N38" i="4"/>
  <c r="N42" i="4"/>
  <c r="N46" i="4"/>
  <c r="N50" i="4"/>
  <c r="N54" i="4"/>
  <c r="N58" i="4"/>
  <c r="N62" i="4"/>
  <c r="N66" i="4"/>
  <c r="N70" i="4"/>
  <c r="N74" i="4"/>
  <c r="N78" i="4"/>
  <c r="N82" i="4"/>
  <c r="N86" i="4"/>
  <c r="N90" i="4"/>
  <c r="N94" i="4"/>
  <c r="N98" i="4"/>
  <c r="N102" i="4"/>
  <c r="N106" i="4"/>
  <c r="N110" i="4"/>
  <c r="N114" i="4"/>
  <c r="N118" i="4"/>
  <c r="N122" i="4"/>
  <c r="N126" i="4"/>
  <c r="N130" i="4"/>
  <c r="N134" i="4"/>
  <c r="N138" i="4"/>
  <c r="N142" i="4"/>
  <c r="N146" i="4"/>
  <c r="N150" i="4"/>
  <c r="N154" i="4"/>
  <c r="N158" i="4"/>
  <c r="N162" i="4"/>
  <c r="N166" i="4"/>
  <c r="N170" i="4"/>
  <c r="N174" i="4"/>
  <c r="N178" i="4"/>
  <c r="N182" i="4"/>
  <c r="N186" i="4"/>
  <c r="N190" i="4"/>
  <c r="N194" i="4"/>
  <c r="N198" i="4"/>
  <c r="N202" i="4"/>
  <c r="N206" i="4"/>
  <c r="N210" i="4"/>
  <c r="N214" i="4"/>
  <c r="N218" i="4"/>
  <c r="N222" i="4"/>
  <c r="N226" i="4"/>
  <c r="N230" i="4"/>
  <c r="N234" i="4"/>
  <c r="N238" i="4"/>
  <c r="N242" i="4"/>
  <c r="N246" i="4"/>
  <c r="N250" i="4"/>
  <c r="N254" i="4"/>
  <c r="N258" i="4"/>
  <c r="N262" i="4"/>
  <c r="N266" i="4"/>
  <c r="N270" i="4"/>
  <c r="N274" i="4"/>
  <c r="N278" i="4"/>
  <c r="N282" i="4"/>
  <c r="N286" i="4"/>
  <c r="N290" i="4"/>
  <c r="N294" i="4"/>
  <c r="N298" i="4"/>
  <c r="N302" i="4"/>
  <c r="N306" i="4"/>
  <c r="N310" i="4"/>
  <c r="N314" i="4"/>
  <c r="N318" i="4"/>
  <c r="N322" i="4"/>
  <c r="N326" i="4"/>
  <c r="N330" i="4"/>
  <c r="N334" i="4"/>
  <c r="N338" i="4"/>
  <c r="N342" i="4"/>
  <c r="N346" i="4"/>
  <c r="N350" i="4"/>
  <c r="N354" i="4"/>
  <c r="N358" i="4"/>
  <c r="N362" i="4"/>
  <c r="N366" i="4"/>
  <c r="N370" i="4"/>
  <c r="N374" i="4"/>
  <c r="N378" i="4"/>
  <c r="N382" i="4"/>
  <c r="N386" i="4"/>
  <c r="N390" i="4"/>
  <c r="N394" i="4"/>
  <c r="N398" i="4"/>
  <c r="N402" i="4"/>
  <c r="N406" i="4"/>
  <c r="N11" i="4"/>
  <c r="N15" i="4"/>
  <c r="N19" i="4"/>
  <c r="N23" i="4"/>
  <c r="N27" i="4"/>
  <c r="N31" i="4"/>
  <c r="N35" i="4"/>
  <c r="N39" i="4"/>
  <c r="N43" i="4"/>
  <c r="N47" i="4"/>
  <c r="N51" i="4"/>
  <c r="N55" i="4"/>
  <c r="N59" i="4"/>
  <c r="N63" i="4"/>
  <c r="N67" i="4"/>
  <c r="N71" i="4"/>
  <c r="N75" i="4"/>
  <c r="N79" i="4"/>
  <c r="N83" i="4"/>
  <c r="N87" i="4"/>
  <c r="N91" i="4"/>
  <c r="N95" i="4"/>
  <c r="N99" i="4"/>
  <c r="N103" i="4"/>
  <c r="N107" i="4"/>
  <c r="N111" i="4"/>
  <c r="N115" i="4"/>
  <c r="N119" i="4"/>
  <c r="N123" i="4"/>
  <c r="N127" i="4"/>
  <c r="N131" i="4"/>
  <c r="N135" i="4"/>
  <c r="N139" i="4"/>
  <c r="N143" i="4"/>
  <c r="N147" i="4"/>
  <c r="N151" i="4"/>
  <c r="N155" i="4"/>
  <c r="N159" i="4"/>
  <c r="N163" i="4"/>
  <c r="N167" i="4"/>
  <c r="N171" i="4"/>
  <c r="N175" i="4"/>
  <c r="N179" i="4"/>
  <c r="N183" i="4"/>
  <c r="N187" i="4"/>
  <c r="N191" i="4"/>
  <c r="N195" i="4"/>
  <c r="N199" i="4"/>
  <c r="N203" i="4"/>
  <c r="N207" i="4"/>
  <c r="N211" i="4"/>
  <c r="N215" i="4"/>
  <c r="N219" i="4"/>
  <c r="N223" i="4"/>
  <c r="N227" i="4"/>
  <c r="N231" i="4"/>
  <c r="N235" i="4"/>
  <c r="N239" i="4"/>
  <c r="N243" i="4"/>
  <c r="N247" i="4"/>
  <c r="N251" i="4"/>
  <c r="N255" i="4"/>
  <c r="N259" i="4"/>
  <c r="N263" i="4"/>
  <c r="N267" i="4"/>
  <c r="N271" i="4"/>
  <c r="N275" i="4"/>
  <c r="N279" i="4"/>
  <c r="N283" i="4"/>
  <c r="N287" i="4"/>
  <c r="N291" i="4"/>
  <c r="N295" i="4"/>
  <c r="N299" i="4"/>
  <c r="N303" i="4"/>
  <c r="N307" i="4"/>
  <c r="N311" i="4"/>
  <c r="N315" i="4"/>
  <c r="N319" i="4"/>
  <c r="N323" i="4"/>
  <c r="N327" i="4"/>
  <c r="N331" i="4"/>
  <c r="N335" i="4"/>
  <c r="N339" i="4"/>
  <c r="N343" i="4"/>
  <c r="N347" i="4"/>
  <c r="N351" i="4"/>
  <c r="N355" i="4"/>
  <c r="N359" i="4"/>
  <c r="N363" i="4"/>
  <c r="N367" i="4"/>
  <c r="N12" i="4"/>
  <c r="N16" i="4"/>
  <c r="N20" i="4"/>
  <c r="N24" i="4"/>
  <c r="N28" i="4"/>
  <c r="N32" i="4"/>
  <c r="N36" i="4"/>
  <c r="N40" i="4"/>
  <c r="N44" i="4"/>
  <c r="N48" i="4"/>
  <c r="N52" i="4"/>
  <c r="N56" i="4"/>
  <c r="N60" i="4"/>
  <c r="N64" i="4"/>
  <c r="N68" i="4"/>
  <c r="N72" i="4"/>
  <c r="N76" i="4"/>
  <c r="N80" i="4"/>
  <c r="N84" i="4"/>
  <c r="N88" i="4"/>
  <c r="N92" i="4"/>
  <c r="N96" i="4"/>
  <c r="N100" i="4"/>
  <c r="N104" i="4"/>
  <c r="N108" i="4"/>
  <c r="N112" i="4"/>
  <c r="N116" i="4"/>
  <c r="N120" i="4"/>
  <c r="N124" i="4"/>
  <c r="N128" i="4"/>
  <c r="N132" i="4"/>
  <c r="N136" i="4"/>
  <c r="N140" i="4"/>
  <c r="N144" i="4"/>
  <c r="N148" i="4"/>
  <c r="N152" i="4"/>
  <c r="N156" i="4"/>
  <c r="N160" i="4"/>
  <c r="N164" i="4"/>
  <c r="N168" i="4"/>
  <c r="N172" i="4"/>
  <c r="N176" i="4"/>
  <c r="N180" i="4"/>
  <c r="N184" i="4"/>
  <c r="N188" i="4"/>
  <c r="N192" i="4"/>
  <c r="N196" i="4"/>
  <c r="N200" i="4"/>
  <c r="N204" i="4"/>
  <c r="N208" i="4"/>
  <c r="N212" i="4"/>
  <c r="N216" i="4"/>
  <c r="N220" i="4"/>
  <c r="N224" i="4"/>
  <c r="N228" i="4"/>
  <c r="N232" i="4"/>
  <c r="N236" i="4"/>
  <c r="N240" i="4"/>
  <c r="N244" i="4"/>
  <c r="N248" i="4"/>
  <c r="N252" i="4"/>
  <c r="N256" i="4"/>
  <c r="N260" i="4"/>
  <c r="N264" i="4"/>
  <c r="N268" i="4"/>
  <c r="N272" i="4"/>
  <c r="N276" i="4"/>
  <c r="N280" i="4"/>
  <c r="N284" i="4"/>
  <c r="N288" i="4"/>
  <c r="N292" i="4"/>
  <c r="N296" i="4"/>
  <c r="N300" i="4"/>
  <c r="N304" i="4"/>
  <c r="N308" i="4"/>
  <c r="N312" i="4"/>
  <c r="N316" i="4"/>
  <c r="N320" i="4"/>
  <c r="N324" i="4"/>
  <c r="N328" i="4"/>
  <c r="N332" i="4"/>
  <c r="N336" i="4"/>
  <c r="N340" i="4"/>
  <c r="N344" i="4"/>
  <c r="N348" i="4"/>
  <c r="N352" i="4"/>
  <c r="N356" i="4"/>
  <c r="N360" i="4"/>
  <c r="N364" i="4"/>
  <c r="N368" i="4"/>
  <c r="N372" i="4"/>
  <c r="N376" i="4"/>
  <c r="N380" i="4"/>
  <c r="N384" i="4"/>
  <c r="N388" i="4"/>
  <c r="N392" i="4"/>
  <c r="N396" i="4"/>
  <c r="N400" i="4"/>
  <c r="N404" i="4"/>
  <c r="N408" i="4"/>
  <c r="N412" i="4"/>
  <c r="N416" i="4"/>
  <c r="N420" i="4"/>
  <c r="N424" i="4"/>
  <c r="N428" i="4"/>
  <c r="N432" i="4"/>
  <c r="N436" i="4"/>
  <c r="N440" i="4"/>
  <c r="N444" i="4"/>
  <c r="N448" i="4"/>
  <c r="N452" i="4"/>
  <c r="N456" i="4"/>
  <c r="N460" i="4"/>
  <c r="N464" i="4"/>
  <c r="N468" i="4"/>
  <c r="N472" i="4"/>
  <c r="N476" i="4"/>
  <c r="N480" i="4"/>
  <c r="N484" i="4"/>
  <c r="N488" i="4"/>
  <c r="N492" i="4"/>
  <c r="N496" i="4"/>
  <c r="N500" i="4"/>
  <c r="N504" i="4"/>
  <c r="N508" i="4"/>
  <c r="N512" i="4"/>
  <c r="N516" i="4"/>
  <c r="N520" i="4"/>
  <c r="N524" i="4"/>
  <c r="N528" i="4"/>
  <c r="N532" i="4"/>
  <c r="N536" i="4"/>
  <c r="N540" i="4"/>
  <c r="N544" i="4"/>
  <c r="N548" i="4"/>
  <c r="N552" i="4"/>
  <c r="N556" i="4"/>
  <c r="N560" i="4"/>
  <c r="N564" i="4"/>
  <c r="N568" i="4"/>
  <c r="N572" i="4"/>
  <c r="N576" i="4"/>
  <c r="N580" i="4"/>
  <c r="N584" i="4"/>
  <c r="N588" i="4"/>
  <c r="N592" i="4"/>
  <c r="N596" i="4"/>
  <c r="N600" i="4"/>
  <c r="N604" i="4"/>
  <c r="N608" i="4"/>
  <c r="N612" i="4"/>
  <c r="N616" i="4"/>
  <c r="N620" i="4"/>
  <c r="N624" i="4"/>
  <c r="N628" i="4"/>
  <c r="N632" i="4"/>
  <c r="N636" i="4"/>
  <c r="N25" i="4"/>
  <c r="N41" i="4"/>
  <c r="N57" i="4"/>
  <c r="N73" i="4"/>
  <c r="N89" i="4"/>
  <c r="N105" i="4"/>
  <c r="N121" i="4"/>
  <c r="N137" i="4"/>
  <c r="N153" i="4"/>
  <c r="N169" i="4"/>
  <c r="N185" i="4"/>
  <c r="N201" i="4"/>
  <c r="N217" i="4"/>
  <c r="N233" i="4"/>
  <c r="N249" i="4"/>
  <c r="N265" i="4"/>
  <c r="N281" i="4"/>
  <c r="N297" i="4"/>
  <c r="N313" i="4"/>
  <c r="N329" i="4"/>
  <c r="N345" i="4"/>
  <c r="N361" i="4"/>
  <c r="N373" i="4"/>
  <c r="N381" i="4"/>
  <c r="N389" i="4"/>
  <c r="N397" i="4"/>
  <c r="N405" i="4"/>
  <c r="N411" i="4"/>
  <c r="N417" i="4"/>
  <c r="N422" i="4"/>
  <c r="N427" i="4"/>
  <c r="N433" i="4"/>
  <c r="N438" i="4"/>
  <c r="N443" i="4"/>
  <c r="N449" i="4"/>
  <c r="N454" i="4"/>
  <c r="N459" i="4"/>
  <c r="N465" i="4"/>
  <c r="N470" i="4"/>
  <c r="N475" i="4"/>
  <c r="N481" i="4"/>
  <c r="N486" i="4"/>
  <c r="N491" i="4"/>
  <c r="N497" i="4"/>
  <c r="N502" i="4"/>
  <c r="N507" i="4"/>
  <c r="N513" i="4"/>
  <c r="N518" i="4"/>
  <c r="N523" i="4"/>
  <c r="N529" i="4"/>
  <c r="N534" i="4"/>
  <c r="N539" i="4"/>
  <c r="N545" i="4"/>
  <c r="N550" i="4"/>
  <c r="N555" i="4"/>
  <c r="N561" i="4"/>
  <c r="N566" i="4"/>
  <c r="N571" i="4"/>
  <c r="N577" i="4"/>
  <c r="N582" i="4"/>
  <c r="N587" i="4"/>
  <c r="N593" i="4"/>
  <c r="N598" i="4"/>
  <c r="N603" i="4"/>
  <c r="N609" i="4"/>
  <c r="N614" i="4"/>
  <c r="N619" i="4"/>
  <c r="N625" i="4"/>
  <c r="N630" i="4"/>
  <c r="N635" i="4"/>
  <c r="N640" i="4"/>
  <c r="N644" i="4"/>
  <c r="N648" i="4"/>
  <c r="N652" i="4"/>
  <c r="N656" i="4"/>
  <c r="N660" i="4"/>
  <c r="N664" i="4"/>
  <c r="N668" i="4"/>
  <c r="N672" i="4"/>
  <c r="N676" i="4"/>
  <c r="N680" i="4"/>
  <c r="N684" i="4"/>
  <c r="N688" i="4"/>
  <c r="N692" i="4"/>
  <c r="N696" i="4"/>
  <c r="N700" i="4"/>
  <c r="N704" i="4"/>
  <c r="N708" i="4"/>
  <c r="N712" i="4"/>
  <c r="N716" i="4"/>
  <c r="N720" i="4"/>
  <c r="N724" i="4"/>
  <c r="N728" i="4"/>
  <c r="N732" i="4"/>
  <c r="N736" i="4"/>
  <c r="N740" i="4"/>
  <c r="N744" i="4"/>
  <c r="N748" i="4"/>
  <c r="N752" i="4"/>
  <c r="N756" i="4"/>
  <c r="N760" i="4"/>
  <c r="N764" i="4"/>
  <c r="N768" i="4"/>
  <c r="N772" i="4"/>
  <c r="N776" i="4"/>
  <c r="N780" i="4"/>
  <c r="N784" i="4"/>
  <c r="N788" i="4"/>
  <c r="N792" i="4"/>
  <c r="N796" i="4"/>
  <c r="N800" i="4"/>
  <c r="N804" i="4"/>
  <c r="N808" i="4"/>
  <c r="N812" i="4"/>
  <c r="N816" i="4"/>
  <c r="N820" i="4"/>
  <c r="N824" i="4"/>
  <c r="N828" i="4"/>
  <c r="N832" i="4"/>
  <c r="N836" i="4"/>
  <c r="N840" i="4"/>
  <c r="N844" i="4"/>
  <c r="N848" i="4"/>
  <c r="N852" i="4"/>
  <c r="N856" i="4"/>
  <c r="N860" i="4"/>
  <c r="N864" i="4"/>
  <c r="N868" i="4"/>
  <c r="N872" i="4"/>
  <c r="N876" i="4"/>
  <c r="N880" i="4"/>
  <c r="N884" i="4"/>
  <c r="N888" i="4"/>
  <c r="N892" i="4"/>
  <c r="N896" i="4"/>
  <c r="N900" i="4"/>
  <c r="N904" i="4"/>
  <c r="N908" i="4"/>
  <c r="N912" i="4"/>
  <c r="N916" i="4"/>
  <c r="N920" i="4"/>
  <c r="N924" i="4"/>
  <c r="N928" i="4"/>
  <c r="N932" i="4"/>
  <c r="N936" i="4"/>
  <c r="N940" i="4"/>
  <c r="N944" i="4"/>
  <c r="N948" i="4"/>
  <c r="N952" i="4"/>
  <c r="N956" i="4"/>
  <c r="N960" i="4"/>
  <c r="N964" i="4"/>
  <c r="N968" i="4"/>
  <c r="N972" i="4"/>
  <c r="N976" i="4"/>
  <c r="N980" i="4"/>
  <c r="N984" i="4"/>
  <c r="N988" i="4"/>
  <c r="N992" i="4"/>
  <c r="N996" i="4"/>
  <c r="N1000" i="4"/>
  <c r="N1004" i="4"/>
  <c r="N1008" i="4"/>
  <c r="N1012" i="4"/>
  <c r="N1016" i="4"/>
  <c r="N1020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0" i="4"/>
  <c r="N1144" i="4"/>
  <c r="N1148" i="4"/>
  <c r="N1152" i="4"/>
  <c r="N1156" i="4"/>
  <c r="N1160" i="4"/>
  <c r="N1164" i="4"/>
  <c r="N1168" i="4"/>
  <c r="N1172" i="4"/>
  <c r="N1176" i="4"/>
  <c r="N1180" i="4"/>
  <c r="N1184" i="4"/>
  <c r="N1188" i="4"/>
  <c r="N1192" i="4"/>
  <c r="N1196" i="4"/>
  <c r="N1200" i="4"/>
  <c r="N1204" i="4"/>
  <c r="N1208" i="4"/>
  <c r="N1212" i="4"/>
  <c r="N1216" i="4"/>
  <c r="N1220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2" i="4"/>
  <c r="N1296" i="4"/>
  <c r="N1300" i="4"/>
  <c r="N1304" i="4"/>
  <c r="N1308" i="4"/>
  <c r="N1312" i="4"/>
  <c r="N1316" i="4"/>
  <c r="N1320" i="4"/>
  <c r="N1324" i="4"/>
  <c r="N1328" i="4"/>
  <c r="N1332" i="4"/>
  <c r="N1336" i="4"/>
  <c r="N1340" i="4"/>
  <c r="N1344" i="4"/>
  <c r="N1348" i="4"/>
  <c r="N1352" i="4"/>
  <c r="N1356" i="4"/>
  <c r="N1360" i="4"/>
  <c r="N1364" i="4"/>
  <c r="N1368" i="4"/>
  <c r="N1372" i="4"/>
  <c r="N1376" i="4"/>
  <c r="N1380" i="4"/>
  <c r="N1384" i="4"/>
  <c r="N1388" i="4"/>
  <c r="N1392" i="4"/>
  <c r="N1396" i="4"/>
  <c r="N1400" i="4"/>
  <c r="N1404" i="4"/>
  <c r="N1408" i="4"/>
  <c r="N1412" i="4"/>
  <c r="N1416" i="4"/>
  <c r="N1420" i="4"/>
  <c r="N1424" i="4"/>
  <c r="N1428" i="4"/>
  <c r="N1432" i="4"/>
  <c r="N1436" i="4"/>
  <c r="N1440" i="4"/>
  <c r="N1444" i="4"/>
  <c r="N1448" i="4"/>
  <c r="N1452" i="4"/>
  <c r="N1456" i="4"/>
  <c r="N1460" i="4"/>
  <c r="N1464" i="4"/>
  <c r="N1468" i="4"/>
  <c r="N1472" i="4"/>
  <c r="N1476" i="4"/>
  <c r="N1480" i="4"/>
  <c r="N1484" i="4"/>
  <c r="N1488" i="4"/>
  <c r="N1492" i="4"/>
  <c r="N1496" i="4"/>
  <c r="N1500" i="4"/>
  <c r="N1504" i="4"/>
  <c r="N1508" i="4"/>
  <c r="N1512" i="4"/>
  <c r="N1516" i="4"/>
  <c r="N1520" i="4"/>
  <c r="N1524" i="4"/>
  <c r="N1528" i="4"/>
  <c r="N1532" i="4"/>
  <c r="N1536" i="4"/>
  <c r="N1540" i="4"/>
  <c r="N1544" i="4"/>
  <c r="N1548" i="4"/>
  <c r="N1552" i="4"/>
  <c r="N1556" i="4"/>
  <c r="N1560" i="4"/>
  <c r="N1564" i="4"/>
  <c r="N1568" i="4"/>
  <c r="N1572" i="4"/>
  <c r="N1576" i="4"/>
  <c r="N1580" i="4"/>
  <c r="N1584" i="4"/>
  <c r="N1588" i="4"/>
  <c r="N1592" i="4"/>
  <c r="N1596" i="4"/>
  <c r="N1600" i="4"/>
  <c r="N1604" i="4"/>
  <c r="N1608" i="4"/>
  <c r="N1612" i="4"/>
  <c r="N1616" i="4"/>
  <c r="N1620" i="4"/>
  <c r="N1624" i="4"/>
  <c r="N1628" i="4"/>
  <c r="N1632" i="4"/>
  <c r="N1636" i="4"/>
  <c r="N1640" i="4"/>
  <c r="N1644" i="4"/>
  <c r="N1648" i="4"/>
  <c r="N1652" i="4"/>
  <c r="N1656" i="4"/>
  <c r="N1660" i="4"/>
  <c r="N1664" i="4"/>
  <c r="N1668" i="4"/>
  <c r="N1672" i="4"/>
  <c r="N1676" i="4"/>
  <c r="N1680" i="4"/>
  <c r="N1684" i="4"/>
  <c r="N1688" i="4"/>
  <c r="N1692" i="4"/>
  <c r="N1696" i="4"/>
  <c r="N1700" i="4"/>
  <c r="N1704" i="4"/>
  <c r="N1708" i="4"/>
  <c r="N1712" i="4"/>
  <c r="N1716" i="4"/>
  <c r="N1720" i="4"/>
  <c r="N1724" i="4"/>
  <c r="N1728" i="4"/>
  <c r="N1732" i="4"/>
  <c r="N1736" i="4"/>
  <c r="N1740" i="4"/>
  <c r="N1744" i="4"/>
  <c r="N1748" i="4"/>
  <c r="N1752" i="4"/>
  <c r="N1756" i="4"/>
  <c r="N1760" i="4"/>
  <c r="N1764" i="4"/>
  <c r="N1768" i="4"/>
  <c r="N1772" i="4"/>
  <c r="N1776" i="4"/>
  <c r="N1780" i="4"/>
  <c r="N1784" i="4"/>
  <c r="N1788" i="4"/>
  <c r="N1792" i="4"/>
  <c r="N1796" i="4"/>
  <c r="N1800" i="4"/>
  <c r="N1804" i="4"/>
  <c r="N1808" i="4"/>
  <c r="N1812" i="4"/>
  <c r="N1816" i="4"/>
  <c r="N1820" i="4"/>
  <c r="N1824" i="4"/>
  <c r="N1828" i="4"/>
  <c r="N1832" i="4"/>
  <c r="N1836" i="4"/>
  <c r="N1840" i="4"/>
  <c r="N1844" i="4"/>
  <c r="N1848" i="4"/>
  <c r="N1852" i="4"/>
  <c r="N1856" i="4"/>
  <c r="N1860" i="4"/>
  <c r="N1864" i="4"/>
  <c r="N1868" i="4"/>
  <c r="N1872" i="4"/>
  <c r="N1876" i="4"/>
  <c r="N1880" i="4"/>
  <c r="N1884" i="4"/>
  <c r="N1888" i="4"/>
  <c r="N1892" i="4"/>
  <c r="N1896" i="4"/>
  <c r="N1900" i="4"/>
  <c r="N1904" i="4"/>
  <c r="N1908" i="4"/>
  <c r="N1912" i="4"/>
  <c r="N1916" i="4"/>
  <c r="N1920" i="4"/>
  <c r="N1924" i="4"/>
  <c r="N1928" i="4"/>
  <c r="N1932" i="4"/>
  <c r="N1936" i="4"/>
  <c r="N1940" i="4"/>
  <c r="N1944" i="4"/>
  <c r="N1948" i="4"/>
  <c r="N1952" i="4"/>
  <c r="N1956" i="4"/>
  <c r="N1960" i="4"/>
  <c r="N1964" i="4"/>
  <c r="N1968" i="4"/>
  <c r="N1972" i="4"/>
  <c r="N1976" i="4"/>
  <c r="N1980" i="4"/>
  <c r="N1984" i="4"/>
  <c r="N1988" i="4"/>
  <c r="N1992" i="4"/>
  <c r="N1996" i="4"/>
  <c r="N2000" i="4"/>
  <c r="N2004" i="4"/>
  <c r="N2008" i="4"/>
  <c r="N2012" i="4"/>
  <c r="N2016" i="4"/>
  <c r="N2020" i="4"/>
  <c r="N2024" i="4"/>
  <c r="N2028" i="4"/>
  <c r="N2032" i="4"/>
  <c r="N2036" i="4"/>
  <c r="N2040" i="4"/>
  <c r="N2044" i="4"/>
  <c r="N2048" i="4"/>
  <c r="N2052" i="4"/>
  <c r="N2056" i="4"/>
  <c r="N2060" i="4"/>
  <c r="N2064" i="4"/>
  <c r="N2068" i="4"/>
  <c r="N2072" i="4"/>
  <c r="N2076" i="4"/>
  <c r="N2080" i="4"/>
  <c r="N2084" i="4"/>
  <c r="N2088" i="4"/>
  <c r="N2092" i="4"/>
  <c r="N2096" i="4"/>
  <c r="N2100" i="4"/>
  <c r="N2104" i="4"/>
  <c r="N2108" i="4"/>
  <c r="N2112" i="4"/>
  <c r="N2116" i="4"/>
  <c r="N2120" i="4"/>
  <c r="N2124" i="4"/>
  <c r="N2128" i="4"/>
  <c r="N2132" i="4"/>
  <c r="N2136" i="4"/>
  <c r="N2140" i="4"/>
  <c r="N2144" i="4"/>
  <c r="N2148" i="4"/>
  <c r="N2152" i="4"/>
  <c r="N2156" i="4"/>
  <c r="N2160" i="4"/>
  <c r="N2164" i="4"/>
  <c r="N2168" i="4"/>
  <c r="N2172" i="4"/>
  <c r="N2176" i="4"/>
  <c r="N2180" i="4"/>
  <c r="N2184" i="4"/>
  <c r="N2188" i="4"/>
  <c r="N2192" i="4"/>
  <c r="N2196" i="4"/>
  <c r="N2200" i="4"/>
  <c r="N2204" i="4"/>
  <c r="N2208" i="4"/>
  <c r="N2212" i="4"/>
  <c r="N2216" i="4"/>
  <c r="N2220" i="4"/>
  <c r="N2224" i="4"/>
  <c r="N2228" i="4"/>
  <c r="N2232" i="4"/>
  <c r="N2236" i="4"/>
  <c r="N2240" i="4"/>
  <c r="N2244" i="4"/>
  <c r="N2248" i="4"/>
  <c r="N2252" i="4"/>
  <c r="N2256" i="4"/>
  <c r="N2260" i="4"/>
  <c r="N2264" i="4"/>
  <c r="N2268" i="4"/>
  <c r="N2272" i="4"/>
  <c r="N2276" i="4"/>
  <c r="N2280" i="4"/>
  <c r="N2284" i="4"/>
  <c r="N2288" i="4"/>
  <c r="N2292" i="4"/>
  <c r="N2296" i="4"/>
  <c r="N2300" i="4"/>
  <c r="N2304" i="4"/>
  <c r="N2308" i="4"/>
  <c r="N13" i="4"/>
  <c r="N29" i="4"/>
  <c r="N45" i="4"/>
  <c r="N61" i="4"/>
  <c r="N77" i="4"/>
  <c r="N93" i="4"/>
  <c r="N109" i="4"/>
  <c r="N125" i="4"/>
  <c r="N141" i="4"/>
  <c r="N157" i="4"/>
  <c r="N173" i="4"/>
  <c r="N189" i="4"/>
  <c r="N205" i="4"/>
  <c r="N221" i="4"/>
  <c r="N237" i="4"/>
  <c r="N253" i="4"/>
  <c r="N269" i="4"/>
  <c r="N285" i="4"/>
  <c r="N301" i="4"/>
  <c r="N317" i="4"/>
  <c r="N333" i="4"/>
  <c r="N349" i="4"/>
  <c r="N365" i="4"/>
  <c r="N375" i="4"/>
  <c r="N383" i="4"/>
  <c r="N391" i="4"/>
  <c r="N399" i="4"/>
  <c r="N407" i="4"/>
  <c r="N413" i="4"/>
  <c r="N418" i="4"/>
  <c r="N423" i="4"/>
  <c r="N429" i="4"/>
  <c r="N434" i="4"/>
  <c r="N439" i="4"/>
  <c r="N445" i="4"/>
  <c r="N450" i="4"/>
  <c r="N455" i="4"/>
  <c r="N461" i="4"/>
  <c r="N466" i="4"/>
  <c r="N471" i="4"/>
  <c r="N477" i="4"/>
  <c r="N482" i="4"/>
  <c r="N487" i="4"/>
  <c r="N493" i="4"/>
  <c r="N498" i="4"/>
  <c r="N503" i="4"/>
  <c r="N509" i="4"/>
  <c r="N514" i="4"/>
  <c r="N519" i="4"/>
  <c r="N525" i="4"/>
  <c r="N530" i="4"/>
  <c r="N535" i="4"/>
  <c r="N541" i="4"/>
  <c r="N546" i="4"/>
  <c r="N551" i="4"/>
  <c r="N557" i="4"/>
  <c r="N562" i="4"/>
  <c r="N567" i="4"/>
  <c r="N573" i="4"/>
  <c r="N578" i="4"/>
  <c r="N583" i="4"/>
  <c r="N589" i="4"/>
  <c r="N594" i="4"/>
  <c r="N599" i="4"/>
  <c r="N605" i="4"/>
  <c r="N610" i="4"/>
  <c r="N615" i="4"/>
  <c r="N621" i="4"/>
  <c r="N626" i="4"/>
  <c r="N631" i="4"/>
  <c r="N637" i="4"/>
  <c r="N641" i="4"/>
  <c r="N645" i="4"/>
  <c r="N649" i="4"/>
  <c r="N653" i="4"/>
  <c r="N657" i="4"/>
  <c r="N661" i="4"/>
  <c r="N665" i="4"/>
  <c r="N669" i="4"/>
  <c r="N673" i="4"/>
  <c r="N677" i="4"/>
  <c r="N681" i="4"/>
  <c r="N685" i="4"/>
  <c r="N689" i="4"/>
  <c r="N693" i="4"/>
  <c r="N697" i="4"/>
  <c r="N701" i="4"/>
  <c r="N705" i="4"/>
  <c r="N709" i="4"/>
  <c r="N713" i="4"/>
  <c r="N717" i="4"/>
  <c r="N721" i="4"/>
  <c r="N725" i="4"/>
  <c r="N729" i="4"/>
  <c r="N733" i="4"/>
  <c r="N737" i="4"/>
  <c r="N741" i="4"/>
  <c r="N745" i="4"/>
  <c r="N749" i="4"/>
  <c r="N753" i="4"/>
  <c r="N757" i="4"/>
  <c r="N761" i="4"/>
  <c r="N765" i="4"/>
  <c r="N769" i="4"/>
  <c r="N773" i="4"/>
  <c r="N777" i="4"/>
  <c r="N781" i="4"/>
  <c r="N785" i="4"/>
  <c r="N789" i="4"/>
  <c r="N793" i="4"/>
  <c r="N797" i="4"/>
  <c r="N801" i="4"/>
  <c r="N805" i="4"/>
  <c r="N809" i="4"/>
  <c r="N813" i="4"/>
  <c r="N817" i="4"/>
  <c r="N821" i="4"/>
  <c r="N825" i="4"/>
  <c r="N829" i="4"/>
  <c r="N833" i="4"/>
  <c r="N837" i="4"/>
  <c r="N841" i="4"/>
  <c r="N845" i="4"/>
  <c r="N849" i="4"/>
  <c r="N853" i="4"/>
  <c r="N857" i="4"/>
  <c r="N861" i="4"/>
  <c r="N865" i="4"/>
  <c r="N869" i="4"/>
  <c r="N873" i="4"/>
  <c r="N877" i="4"/>
  <c r="N881" i="4"/>
  <c r="N885" i="4"/>
  <c r="N889" i="4"/>
  <c r="N893" i="4"/>
  <c r="N897" i="4"/>
  <c r="N901" i="4"/>
  <c r="N905" i="4"/>
  <c r="N909" i="4"/>
  <c r="N913" i="4"/>
  <c r="N917" i="4"/>
  <c r="N921" i="4"/>
  <c r="N925" i="4"/>
  <c r="N929" i="4"/>
  <c r="N933" i="4"/>
  <c r="N937" i="4"/>
  <c r="N941" i="4"/>
  <c r="N945" i="4"/>
  <c r="N949" i="4"/>
  <c r="N953" i="4"/>
  <c r="N957" i="4"/>
  <c r="N961" i="4"/>
  <c r="N965" i="4"/>
  <c r="N969" i="4"/>
  <c r="N973" i="4"/>
  <c r="N977" i="4"/>
  <c r="N981" i="4"/>
  <c r="N985" i="4"/>
  <c r="N989" i="4"/>
  <c r="N993" i="4"/>
  <c r="N997" i="4"/>
  <c r="N1001" i="4"/>
  <c r="N1005" i="4"/>
  <c r="N1009" i="4"/>
  <c r="N1013" i="4"/>
  <c r="N1017" i="4"/>
  <c r="N1021" i="4"/>
  <c r="N1025" i="4"/>
  <c r="N1029" i="4"/>
  <c r="N1033" i="4"/>
  <c r="N1037" i="4"/>
  <c r="N1041" i="4"/>
  <c r="N1045" i="4"/>
  <c r="N1049" i="4"/>
  <c r="N1053" i="4"/>
  <c r="N1057" i="4"/>
  <c r="N1061" i="4"/>
  <c r="N1065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41" i="4"/>
  <c r="N1145" i="4"/>
  <c r="N1149" i="4"/>
  <c r="N1153" i="4"/>
  <c r="N1157" i="4"/>
  <c r="N1161" i="4"/>
  <c r="N1165" i="4"/>
  <c r="N1169" i="4"/>
  <c r="N1173" i="4"/>
  <c r="N1177" i="4"/>
  <c r="N1181" i="4"/>
  <c r="N1185" i="4"/>
  <c r="N1189" i="4"/>
  <c r="N1193" i="4"/>
  <c r="N1197" i="4"/>
  <c r="N1201" i="4"/>
  <c r="N1205" i="4"/>
  <c r="N1209" i="4"/>
  <c r="N1213" i="4"/>
  <c r="N1217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3" i="4"/>
  <c r="N1297" i="4"/>
  <c r="N1301" i="4"/>
  <c r="N1305" i="4"/>
  <c r="N1309" i="4"/>
  <c r="N1313" i="4"/>
  <c r="N1317" i="4"/>
  <c r="N1321" i="4"/>
  <c r="N1325" i="4"/>
  <c r="N1329" i="4"/>
  <c r="N1333" i="4"/>
  <c r="N1337" i="4"/>
  <c r="N1341" i="4"/>
  <c r="N1345" i="4"/>
  <c r="N1349" i="4"/>
  <c r="N1353" i="4"/>
  <c r="N1357" i="4"/>
  <c r="N1361" i="4"/>
  <c r="N1365" i="4"/>
  <c r="N1369" i="4"/>
  <c r="N1373" i="4"/>
  <c r="N1377" i="4"/>
  <c r="N1381" i="4"/>
  <c r="N1385" i="4"/>
  <c r="N1389" i="4"/>
  <c r="N1393" i="4"/>
  <c r="N1397" i="4"/>
  <c r="N1401" i="4"/>
  <c r="N1405" i="4"/>
  <c r="N1409" i="4"/>
  <c r="N1413" i="4"/>
  <c r="N1417" i="4"/>
  <c r="N1421" i="4"/>
  <c r="N1425" i="4"/>
  <c r="N1429" i="4"/>
  <c r="N1433" i="4"/>
  <c r="N1437" i="4"/>
  <c r="N1441" i="4"/>
  <c r="N1445" i="4"/>
  <c r="N1449" i="4"/>
  <c r="N1453" i="4"/>
  <c r="N1457" i="4"/>
  <c r="N1461" i="4"/>
  <c r="N1465" i="4"/>
  <c r="N1469" i="4"/>
  <c r="N1473" i="4"/>
  <c r="N1477" i="4"/>
  <c r="N1481" i="4"/>
  <c r="N1485" i="4"/>
  <c r="N1489" i="4"/>
  <c r="N1493" i="4"/>
  <c r="N1497" i="4"/>
  <c r="N1501" i="4"/>
  <c r="N1505" i="4"/>
  <c r="N1509" i="4"/>
  <c r="N1513" i="4"/>
  <c r="N1517" i="4"/>
  <c r="N1521" i="4"/>
  <c r="N1525" i="4"/>
  <c r="N1529" i="4"/>
  <c r="N1533" i="4"/>
  <c r="N1537" i="4"/>
  <c r="N1541" i="4"/>
  <c r="N1545" i="4"/>
  <c r="N1549" i="4"/>
  <c r="N1553" i="4"/>
  <c r="N1557" i="4"/>
  <c r="N1561" i="4"/>
  <c r="N1565" i="4"/>
  <c r="N1569" i="4"/>
  <c r="N1573" i="4"/>
  <c r="N1577" i="4"/>
  <c r="N1581" i="4"/>
  <c r="N1585" i="4"/>
  <c r="N1589" i="4"/>
  <c r="N1593" i="4"/>
  <c r="N1597" i="4"/>
  <c r="N1601" i="4"/>
  <c r="N1605" i="4"/>
  <c r="N1609" i="4"/>
  <c r="N1613" i="4"/>
  <c r="N1617" i="4"/>
  <c r="N1621" i="4"/>
  <c r="N1625" i="4"/>
  <c r="N1629" i="4"/>
  <c r="N1633" i="4"/>
  <c r="N1637" i="4"/>
  <c r="N1641" i="4"/>
  <c r="N1645" i="4"/>
  <c r="N1649" i="4"/>
  <c r="N1653" i="4"/>
  <c r="N1657" i="4"/>
  <c r="N1661" i="4"/>
  <c r="N1665" i="4"/>
  <c r="N1669" i="4"/>
  <c r="N1673" i="4"/>
  <c r="N1677" i="4"/>
  <c r="N1681" i="4"/>
  <c r="N1685" i="4"/>
  <c r="N1689" i="4"/>
  <c r="N1693" i="4"/>
  <c r="N1697" i="4"/>
  <c r="N1701" i="4"/>
  <c r="N1705" i="4"/>
  <c r="N1709" i="4"/>
  <c r="N1713" i="4"/>
  <c r="N1717" i="4"/>
  <c r="N1721" i="4"/>
  <c r="N1725" i="4"/>
  <c r="N1729" i="4"/>
  <c r="N1733" i="4"/>
  <c r="N1737" i="4"/>
  <c r="N1741" i="4"/>
  <c r="N1745" i="4"/>
  <c r="N1749" i="4"/>
  <c r="N1753" i="4"/>
  <c r="N1757" i="4"/>
  <c r="N1761" i="4"/>
  <c r="N1765" i="4"/>
  <c r="N1769" i="4"/>
  <c r="N1773" i="4"/>
  <c r="N1777" i="4"/>
  <c r="N1781" i="4"/>
  <c r="N1785" i="4"/>
  <c r="N1789" i="4"/>
  <c r="N1793" i="4"/>
  <c r="N1797" i="4"/>
  <c r="N1801" i="4"/>
  <c r="N1805" i="4"/>
  <c r="N1809" i="4"/>
  <c r="N1813" i="4"/>
  <c r="N1817" i="4"/>
  <c r="N1821" i="4"/>
  <c r="N1825" i="4"/>
  <c r="N1829" i="4"/>
  <c r="N1833" i="4"/>
  <c r="N1837" i="4"/>
  <c r="N1841" i="4"/>
  <c r="N1845" i="4"/>
  <c r="N1849" i="4"/>
  <c r="N1853" i="4"/>
  <c r="N1857" i="4"/>
  <c r="N1861" i="4"/>
  <c r="N1865" i="4"/>
  <c r="N1869" i="4"/>
  <c r="N1873" i="4"/>
  <c r="N1877" i="4"/>
  <c r="N1881" i="4"/>
  <c r="N1885" i="4"/>
  <c r="N1889" i="4"/>
  <c r="N1893" i="4"/>
  <c r="N1897" i="4"/>
  <c r="N1901" i="4"/>
  <c r="N1905" i="4"/>
  <c r="N1909" i="4"/>
  <c r="N1913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73" i="4"/>
  <c r="N1977" i="4"/>
  <c r="N1981" i="4"/>
  <c r="N1985" i="4"/>
  <c r="N1989" i="4"/>
  <c r="N1993" i="4"/>
  <c r="N1997" i="4"/>
  <c r="N2001" i="4"/>
  <c r="N2005" i="4"/>
  <c r="N2009" i="4"/>
  <c r="N2013" i="4"/>
  <c r="N2017" i="4"/>
  <c r="N2021" i="4"/>
  <c r="N2025" i="4"/>
  <c r="N2029" i="4"/>
  <c r="N2033" i="4"/>
  <c r="N2037" i="4"/>
  <c r="N2041" i="4"/>
  <c r="N2045" i="4"/>
  <c r="N2049" i="4"/>
  <c r="N2053" i="4"/>
  <c r="N2057" i="4"/>
  <c r="N2061" i="4"/>
  <c r="N2065" i="4"/>
  <c r="N2069" i="4"/>
  <c r="N2073" i="4"/>
  <c r="N2077" i="4"/>
  <c r="N2081" i="4"/>
  <c r="N2085" i="4"/>
  <c r="N2089" i="4"/>
  <c r="N2093" i="4"/>
  <c r="N2097" i="4"/>
  <c r="N2101" i="4"/>
  <c r="N2105" i="4"/>
  <c r="N2109" i="4"/>
  <c r="N2113" i="4"/>
  <c r="N2117" i="4"/>
  <c r="N2121" i="4"/>
  <c r="N2125" i="4"/>
  <c r="N2129" i="4"/>
  <c r="N2133" i="4"/>
  <c r="N2137" i="4"/>
  <c r="N2141" i="4"/>
  <c r="N2145" i="4"/>
  <c r="N2149" i="4"/>
  <c r="N2153" i="4"/>
  <c r="N2157" i="4"/>
  <c r="N2161" i="4"/>
  <c r="N2165" i="4"/>
  <c r="N2169" i="4"/>
  <c r="N2173" i="4"/>
  <c r="N2177" i="4"/>
  <c r="N2181" i="4"/>
  <c r="N2185" i="4"/>
  <c r="N2189" i="4"/>
  <c r="N2193" i="4"/>
  <c r="N2197" i="4"/>
  <c r="N2201" i="4"/>
  <c r="N2205" i="4"/>
  <c r="N2209" i="4"/>
  <c r="N2213" i="4"/>
  <c r="N2217" i="4"/>
  <c r="N2221" i="4"/>
  <c r="N2225" i="4"/>
  <c r="N2229" i="4"/>
  <c r="N2233" i="4"/>
  <c r="N2237" i="4"/>
  <c r="N2241" i="4"/>
  <c r="N2245" i="4"/>
  <c r="N2249" i="4"/>
  <c r="N2253" i="4"/>
  <c r="N2257" i="4"/>
  <c r="N2261" i="4"/>
  <c r="N2265" i="4"/>
  <c r="N2269" i="4"/>
  <c r="N2273" i="4"/>
  <c r="N2277" i="4"/>
  <c r="N2281" i="4"/>
  <c r="N2285" i="4"/>
  <c r="N2289" i="4"/>
  <c r="N2293" i="4"/>
  <c r="N2297" i="4"/>
  <c r="N2301" i="4"/>
  <c r="N2305" i="4"/>
  <c r="N2309" i="4"/>
  <c r="N2313" i="4"/>
  <c r="N2317" i="4"/>
  <c r="N2321" i="4"/>
  <c r="N2325" i="4"/>
  <c r="N2329" i="4"/>
  <c r="N2333" i="4"/>
  <c r="N17" i="4"/>
  <c r="N33" i="4"/>
  <c r="N49" i="4"/>
  <c r="N65" i="4"/>
  <c r="N81" i="4"/>
  <c r="N97" i="4"/>
  <c r="N113" i="4"/>
  <c r="N129" i="4"/>
  <c r="N145" i="4"/>
  <c r="N161" i="4"/>
  <c r="N177" i="4"/>
  <c r="N193" i="4"/>
  <c r="N209" i="4"/>
  <c r="N225" i="4"/>
  <c r="N241" i="4"/>
  <c r="N257" i="4"/>
  <c r="N273" i="4"/>
  <c r="N289" i="4"/>
  <c r="N305" i="4"/>
  <c r="N321" i="4"/>
  <c r="N337" i="4"/>
  <c r="N353" i="4"/>
  <c r="N369" i="4"/>
  <c r="N377" i="4"/>
  <c r="N385" i="4"/>
  <c r="N393" i="4"/>
  <c r="N401" i="4"/>
  <c r="N409" i="4"/>
  <c r="N414" i="4"/>
  <c r="N419" i="4"/>
  <c r="N425" i="4"/>
  <c r="N430" i="4"/>
  <c r="N435" i="4"/>
  <c r="N441" i="4"/>
  <c r="N446" i="4"/>
  <c r="N451" i="4"/>
  <c r="N457" i="4"/>
  <c r="N462" i="4"/>
  <c r="N467" i="4"/>
  <c r="N473" i="4"/>
  <c r="N478" i="4"/>
  <c r="N483" i="4"/>
  <c r="N489" i="4"/>
  <c r="N494" i="4"/>
  <c r="N499" i="4"/>
  <c r="N505" i="4"/>
  <c r="N510" i="4"/>
  <c r="N515" i="4"/>
  <c r="N521" i="4"/>
  <c r="N526" i="4"/>
  <c r="N531" i="4"/>
  <c r="N537" i="4"/>
  <c r="N542" i="4"/>
  <c r="N547" i="4"/>
  <c r="N553" i="4"/>
  <c r="N558" i="4"/>
  <c r="N563" i="4"/>
  <c r="N569" i="4"/>
  <c r="N574" i="4"/>
  <c r="N579" i="4"/>
  <c r="N585" i="4"/>
  <c r="N590" i="4"/>
  <c r="N595" i="4"/>
  <c r="N601" i="4"/>
  <c r="N606" i="4"/>
  <c r="N611" i="4"/>
  <c r="N617" i="4"/>
  <c r="N622" i="4"/>
  <c r="N627" i="4"/>
  <c r="N633" i="4"/>
  <c r="N638" i="4"/>
  <c r="N642" i="4"/>
  <c r="N646" i="4"/>
  <c r="N650" i="4"/>
  <c r="N654" i="4"/>
  <c r="N658" i="4"/>
  <c r="N662" i="4"/>
  <c r="N666" i="4"/>
  <c r="N670" i="4"/>
  <c r="N674" i="4"/>
  <c r="N678" i="4"/>
  <c r="N682" i="4"/>
  <c r="N686" i="4"/>
  <c r="N690" i="4"/>
  <c r="N694" i="4"/>
  <c r="N698" i="4"/>
  <c r="N702" i="4"/>
  <c r="N706" i="4"/>
  <c r="N710" i="4"/>
  <c r="N714" i="4"/>
  <c r="N718" i="4"/>
  <c r="N722" i="4"/>
  <c r="N726" i="4"/>
  <c r="N730" i="4"/>
  <c r="N734" i="4"/>
  <c r="N738" i="4"/>
  <c r="N742" i="4"/>
  <c r="N746" i="4"/>
  <c r="N750" i="4"/>
  <c r="N754" i="4"/>
  <c r="N758" i="4"/>
  <c r="N762" i="4"/>
  <c r="N766" i="4"/>
  <c r="N770" i="4"/>
  <c r="N774" i="4"/>
  <c r="N778" i="4"/>
  <c r="N782" i="4"/>
  <c r="N786" i="4"/>
  <c r="N790" i="4"/>
  <c r="N794" i="4"/>
  <c r="N798" i="4"/>
  <c r="N802" i="4"/>
  <c r="N806" i="4"/>
  <c r="N810" i="4"/>
  <c r="N814" i="4"/>
  <c r="N818" i="4"/>
  <c r="N822" i="4"/>
  <c r="N826" i="4"/>
  <c r="N830" i="4"/>
  <c r="N834" i="4"/>
  <c r="N838" i="4"/>
  <c r="N842" i="4"/>
  <c r="N846" i="4"/>
  <c r="N850" i="4"/>
  <c r="N854" i="4"/>
  <c r="N858" i="4"/>
  <c r="N862" i="4"/>
  <c r="N866" i="4"/>
  <c r="N870" i="4"/>
  <c r="N874" i="4"/>
  <c r="N878" i="4"/>
  <c r="N882" i="4"/>
  <c r="N886" i="4"/>
  <c r="N890" i="4"/>
  <c r="N894" i="4"/>
  <c r="N898" i="4"/>
  <c r="N902" i="4"/>
  <c r="N906" i="4"/>
  <c r="N910" i="4"/>
  <c r="N914" i="4"/>
  <c r="N918" i="4"/>
  <c r="N922" i="4"/>
  <c r="N926" i="4"/>
  <c r="N930" i="4"/>
  <c r="N934" i="4"/>
  <c r="N938" i="4"/>
  <c r="N942" i="4"/>
  <c r="N946" i="4"/>
  <c r="N950" i="4"/>
  <c r="N954" i="4"/>
  <c r="N958" i="4"/>
  <c r="N962" i="4"/>
  <c r="N966" i="4"/>
  <c r="N970" i="4"/>
  <c r="N974" i="4"/>
  <c r="N978" i="4"/>
  <c r="N982" i="4"/>
  <c r="N986" i="4"/>
  <c r="N990" i="4"/>
  <c r="N994" i="4"/>
  <c r="N998" i="4"/>
  <c r="N1002" i="4"/>
  <c r="N1006" i="4"/>
  <c r="N1010" i="4"/>
  <c r="N1014" i="4"/>
  <c r="N1018" i="4"/>
  <c r="N1022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2" i="4"/>
  <c r="N1146" i="4"/>
  <c r="N1150" i="4"/>
  <c r="N1154" i="4"/>
  <c r="N1158" i="4"/>
  <c r="N1162" i="4"/>
  <c r="N1166" i="4"/>
  <c r="N1170" i="4"/>
  <c r="N1174" i="4"/>
  <c r="N1178" i="4"/>
  <c r="N1182" i="4"/>
  <c r="N1186" i="4"/>
  <c r="N1190" i="4"/>
  <c r="N1194" i="4"/>
  <c r="N1198" i="4"/>
  <c r="N1202" i="4"/>
  <c r="N1206" i="4"/>
  <c r="N1210" i="4"/>
  <c r="N1214" i="4"/>
  <c r="N1218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4" i="4"/>
  <c r="N1298" i="4"/>
  <c r="N1302" i="4"/>
  <c r="N1306" i="4"/>
  <c r="N1310" i="4"/>
  <c r="N1314" i="4"/>
  <c r="N1318" i="4"/>
  <c r="N1322" i="4"/>
  <c r="N1326" i="4"/>
  <c r="N1330" i="4"/>
  <c r="N1334" i="4"/>
  <c r="N1338" i="4"/>
  <c r="N1342" i="4"/>
  <c r="N1346" i="4"/>
  <c r="N1350" i="4"/>
  <c r="N1354" i="4"/>
  <c r="N1358" i="4"/>
  <c r="N1362" i="4"/>
  <c r="N1366" i="4"/>
  <c r="N1370" i="4"/>
  <c r="N1374" i="4"/>
  <c r="N1378" i="4"/>
  <c r="N1382" i="4"/>
  <c r="N1386" i="4"/>
  <c r="N1390" i="4"/>
  <c r="N1394" i="4"/>
  <c r="N1398" i="4"/>
  <c r="N1402" i="4"/>
  <c r="N1406" i="4"/>
  <c r="N1410" i="4"/>
  <c r="N1414" i="4"/>
  <c r="N1418" i="4"/>
  <c r="N1422" i="4"/>
  <c r="N1426" i="4"/>
  <c r="N1430" i="4"/>
  <c r="N1434" i="4"/>
  <c r="N1438" i="4"/>
  <c r="N1442" i="4"/>
  <c r="N1446" i="4"/>
  <c r="N1450" i="4"/>
  <c r="N1454" i="4"/>
  <c r="N1458" i="4"/>
  <c r="N1462" i="4"/>
  <c r="N1466" i="4"/>
  <c r="N1470" i="4"/>
  <c r="N1474" i="4"/>
  <c r="N1478" i="4"/>
  <c r="N1482" i="4"/>
  <c r="N1486" i="4"/>
  <c r="N1490" i="4"/>
  <c r="N1494" i="4"/>
  <c r="N1498" i="4"/>
  <c r="N1502" i="4"/>
  <c r="N1506" i="4"/>
  <c r="N1510" i="4"/>
  <c r="N1514" i="4"/>
  <c r="N1518" i="4"/>
  <c r="N1522" i="4"/>
  <c r="N1526" i="4"/>
  <c r="N1530" i="4"/>
  <c r="N1534" i="4"/>
  <c r="N1538" i="4"/>
  <c r="N1542" i="4"/>
  <c r="N1546" i="4"/>
  <c r="N1550" i="4"/>
  <c r="N1554" i="4"/>
  <c r="N1558" i="4"/>
  <c r="N1562" i="4"/>
  <c r="N1566" i="4"/>
  <c r="N1570" i="4"/>
  <c r="N1574" i="4"/>
  <c r="N1578" i="4"/>
  <c r="N1582" i="4"/>
  <c r="N1586" i="4"/>
  <c r="N1590" i="4"/>
  <c r="N1594" i="4"/>
  <c r="N1598" i="4"/>
  <c r="N1602" i="4"/>
  <c r="N1606" i="4"/>
  <c r="N1610" i="4"/>
  <c r="N1614" i="4"/>
  <c r="N1618" i="4"/>
  <c r="N1622" i="4"/>
  <c r="N1626" i="4"/>
  <c r="N1630" i="4"/>
  <c r="N1634" i="4"/>
  <c r="N1638" i="4"/>
  <c r="N1642" i="4"/>
  <c r="N1646" i="4"/>
  <c r="N1650" i="4"/>
  <c r="N1654" i="4"/>
  <c r="N1658" i="4"/>
  <c r="N1662" i="4"/>
  <c r="N1666" i="4"/>
  <c r="N1670" i="4"/>
  <c r="N1674" i="4"/>
  <c r="N1678" i="4"/>
  <c r="N1682" i="4"/>
  <c r="N1686" i="4"/>
  <c r="N1690" i="4"/>
  <c r="N1694" i="4"/>
  <c r="N1698" i="4"/>
  <c r="N1702" i="4"/>
  <c r="N1706" i="4"/>
  <c r="N1710" i="4"/>
  <c r="N1714" i="4"/>
  <c r="N1718" i="4"/>
  <c r="N1722" i="4"/>
  <c r="N1726" i="4"/>
  <c r="N1730" i="4"/>
  <c r="N1734" i="4"/>
  <c r="N1738" i="4"/>
  <c r="N1742" i="4"/>
  <c r="N1746" i="4"/>
  <c r="N1750" i="4"/>
  <c r="N1754" i="4"/>
  <c r="N1758" i="4"/>
  <c r="N1762" i="4"/>
  <c r="N1766" i="4"/>
  <c r="N1770" i="4"/>
  <c r="N1774" i="4"/>
  <c r="N1778" i="4"/>
  <c r="N1782" i="4"/>
  <c r="N1786" i="4"/>
  <c r="N1790" i="4"/>
  <c r="N1794" i="4"/>
  <c r="N1798" i="4"/>
  <c r="N1802" i="4"/>
  <c r="N1806" i="4"/>
  <c r="N1810" i="4"/>
  <c r="N1814" i="4"/>
  <c r="N1818" i="4"/>
  <c r="N1822" i="4"/>
  <c r="N1826" i="4"/>
  <c r="N1830" i="4"/>
  <c r="N1834" i="4"/>
  <c r="N1838" i="4"/>
  <c r="N1842" i="4"/>
  <c r="N1846" i="4"/>
  <c r="N1850" i="4"/>
  <c r="N1854" i="4"/>
  <c r="N1858" i="4"/>
  <c r="N1862" i="4"/>
  <c r="N1866" i="4"/>
  <c r="N1870" i="4"/>
  <c r="N1874" i="4"/>
  <c r="N1878" i="4"/>
  <c r="N1882" i="4"/>
  <c r="N1886" i="4"/>
  <c r="N1890" i="4"/>
  <c r="N1894" i="4"/>
  <c r="N1898" i="4"/>
  <c r="N1902" i="4"/>
  <c r="N1906" i="4"/>
  <c r="N1910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74" i="4"/>
  <c r="N1978" i="4"/>
  <c r="N1982" i="4"/>
  <c r="N1986" i="4"/>
  <c r="N1990" i="4"/>
  <c r="N1994" i="4"/>
  <c r="N1998" i="4"/>
  <c r="N2002" i="4"/>
  <c r="N2006" i="4"/>
  <c r="N2010" i="4"/>
  <c r="N2014" i="4"/>
  <c r="N2018" i="4"/>
  <c r="N2022" i="4"/>
  <c r="N2026" i="4"/>
  <c r="N2030" i="4"/>
  <c r="N2034" i="4"/>
  <c r="N2038" i="4"/>
  <c r="N2042" i="4"/>
  <c r="N2046" i="4"/>
  <c r="N2050" i="4"/>
  <c r="N2054" i="4"/>
  <c r="N2058" i="4"/>
  <c r="N2062" i="4"/>
  <c r="N2066" i="4"/>
  <c r="N2070" i="4"/>
  <c r="N2074" i="4"/>
  <c r="N2078" i="4"/>
  <c r="N2082" i="4"/>
  <c r="N2086" i="4"/>
  <c r="N2090" i="4"/>
  <c r="N2094" i="4"/>
  <c r="N2098" i="4"/>
  <c r="N2102" i="4"/>
  <c r="N2106" i="4"/>
  <c r="N2110" i="4"/>
  <c r="N2114" i="4"/>
  <c r="N2118" i="4"/>
  <c r="N2122" i="4"/>
  <c r="N2126" i="4"/>
  <c r="N2130" i="4"/>
  <c r="N2134" i="4"/>
  <c r="N2138" i="4"/>
  <c r="N2142" i="4"/>
  <c r="N2146" i="4"/>
  <c r="N2150" i="4"/>
  <c r="N2154" i="4"/>
  <c r="N2158" i="4"/>
  <c r="N2162" i="4"/>
  <c r="N2166" i="4"/>
  <c r="N2170" i="4"/>
  <c r="N2174" i="4"/>
  <c r="N2178" i="4"/>
  <c r="N2182" i="4"/>
  <c r="N2186" i="4"/>
  <c r="N2190" i="4"/>
  <c r="N2194" i="4"/>
  <c r="N2198" i="4"/>
  <c r="N2202" i="4"/>
  <c r="N2206" i="4"/>
  <c r="N2210" i="4"/>
  <c r="N2214" i="4"/>
  <c r="N2218" i="4"/>
  <c r="N2222" i="4"/>
  <c r="N2226" i="4"/>
  <c r="N2230" i="4"/>
  <c r="N2234" i="4"/>
  <c r="N2238" i="4"/>
  <c r="N2242" i="4"/>
  <c r="N2246" i="4"/>
  <c r="N2250" i="4"/>
  <c r="N2254" i="4"/>
  <c r="N2258" i="4"/>
  <c r="N2262" i="4"/>
  <c r="N2266" i="4"/>
  <c r="N2270" i="4"/>
  <c r="N2274" i="4"/>
  <c r="N2278" i="4"/>
  <c r="N2282" i="4"/>
  <c r="N2286" i="4"/>
  <c r="N2290" i="4"/>
  <c r="N2294" i="4"/>
  <c r="N2298" i="4"/>
  <c r="N2302" i="4"/>
  <c r="N2306" i="4"/>
  <c r="N2310" i="4"/>
  <c r="N2314" i="4"/>
  <c r="N2318" i="4"/>
  <c r="N2322" i="4"/>
  <c r="N2326" i="4"/>
  <c r="N2330" i="4"/>
  <c r="N2334" i="4"/>
  <c r="N2338" i="4"/>
  <c r="N2342" i="4"/>
  <c r="N2346" i="4"/>
  <c r="N2350" i="4"/>
  <c r="N2354" i="4"/>
  <c r="N2358" i="4"/>
  <c r="N2362" i="4"/>
  <c r="N2366" i="4"/>
  <c r="N2370" i="4"/>
  <c r="N2374" i="4"/>
  <c r="N2378" i="4"/>
  <c r="N2382" i="4"/>
  <c r="N2386" i="4"/>
  <c r="N2390" i="4"/>
  <c r="N2394" i="4"/>
  <c r="N2398" i="4"/>
  <c r="N2402" i="4"/>
  <c r="N2406" i="4"/>
  <c r="N2410" i="4"/>
  <c r="N2414" i="4"/>
  <c r="N2418" i="4"/>
  <c r="N2422" i="4"/>
  <c r="N2426" i="4"/>
  <c r="N2430" i="4"/>
  <c r="N2434" i="4"/>
  <c r="N2438" i="4"/>
  <c r="N2442" i="4"/>
  <c r="N2446" i="4"/>
  <c r="N2450" i="4"/>
  <c r="N2454" i="4"/>
  <c r="N2458" i="4"/>
  <c r="N2462" i="4"/>
  <c r="N2466" i="4"/>
  <c r="N2470" i="4"/>
  <c r="N2474" i="4"/>
  <c r="N2478" i="4"/>
  <c r="N2482" i="4"/>
  <c r="N2486" i="4"/>
  <c r="N2490" i="4"/>
  <c r="N2494" i="4"/>
  <c r="N2498" i="4"/>
  <c r="N2502" i="4"/>
  <c r="N2506" i="4"/>
  <c r="N2510" i="4"/>
  <c r="N2514" i="4"/>
  <c r="N2518" i="4"/>
  <c r="N2522" i="4"/>
  <c r="N2526" i="4"/>
  <c r="N2530" i="4"/>
  <c r="N2534" i="4"/>
  <c r="N2538" i="4"/>
  <c r="N2542" i="4"/>
  <c r="N2546" i="4"/>
  <c r="N2550" i="4"/>
  <c r="N2554" i="4"/>
  <c r="N2558" i="4"/>
  <c r="N2562" i="4"/>
  <c r="N2566" i="4"/>
  <c r="N2570" i="4"/>
  <c r="N2574" i="4"/>
  <c r="N2578" i="4"/>
  <c r="N2582" i="4"/>
  <c r="N2586" i="4"/>
  <c r="N2590" i="4"/>
  <c r="N2594" i="4"/>
  <c r="N2598" i="4"/>
  <c r="N2602" i="4"/>
  <c r="N2606" i="4"/>
  <c r="N2610" i="4"/>
  <c r="N2614" i="4"/>
  <c r="N2618" i="4"/>
  <c r="N2622" i="4"/>
  <c r="N2626" i="4"/>
  <c r="N2630" i="4"/>
  <c r="N2634" i="4"/>
  <c r="N2638" i="4"/>
  <c r="N2642" i="4"/>
  <c r="N2646" i="4"/>
  <c r="N2650" i="4"/>
  <c r="N2654" i="4"/>
  <c r="N2658" i="4"/>
  <c r="N2662" i="4"/>
  <c r="N2666" i="4"/>
  <c r="N2670" i="4"/>
  <c r="N2674" i="4"/>
  <c r="N2678" i="4"/>
  <c r="N2682" i="4"/>
  <c r="N2686" i="4"/>
  <c r="N2690" i="4"/>
  <c r="N2694" i="4"/>
  <c r="N2698" i="4"/>
  <c r="N2702" i="4"/>
  <c r="N2706" i="4"/>
  <c r="N2710" i="4"/>
  <c r="N2714" i="4"/>
  <c r="N2718" i="4"/>
  <c r="N2722" i="4"/>
  <c r="N2726" i="4"/>
  <c r="N2730" i="4"/>
  <c r="N2734" i="4"/>
  <c r="N2738" i="4"/>
  <c r="N2742" i="4"/>
  <c r="N2746" i="4"/>
  <c r="N2750" i="4"/>
  <c r="N2754" i="4"/>
  <c r="N2758" i="4"/>
  <c r="N2762" i="4"/>
  <c r="N2766" i="4"/>
  <c r="N2770" i="4"/>
  <c r="N2774" i="4"/>
  <c r="N2778" i="4"/>
  <c r="N2782" i="4"/>
  <c r="N2786" i="4"/>
  <c r="N2790" i="4"/>
  <c r="N2794" i="4"/>
  <c r="N2798" i="4"/>
  <c r="N2802" i="4"/>
  <c r="N2806" i="4"/>
  <c r="N2810" i="4"/>
  <c r="N2814" i="4"/>
  <c r="N2818" i="4"/>
  <c r="N2822" i="4"/>
  <c r="N2826" i="4"/>
  <c r="N2830" i="4"/>
  <c r="N2834" i="4"/>
  <c r="N2838" i="4"/>
  <c r="N2842" i="4"/>
  <c r="N21" i="4"/>
  <c r="N85" i="4"/>
  <c r="N149" i="4"/>
  <c r="N213" i="4"/>
  <c r="N277" i="4"/>
  <c r="N341" i="4"/>
  <c r="N387" i="4"/>
  <c r="N415" i="4"/>
  <c r="N437" i="4"/>
  <c r="N458" i="4"/>
  <c r="N479" i="4"/>
  <c r="N501" i="4"/>
  <c r="N522" i="4"/>
  <c r="N543" i="4"/>
  <c r="N565" i="4"/>
  <c r="N586" i="4"/>
  <c r="N607" i="4"/>
  <c r="N629" i="4"/>
  <c r="N647" i="4"/>
  <c r="N663" i="4"/>
  <c r="N679" i="4"/>
  <c r="N695" i="4"/>
  <c r="N711" i="4"/>
  <c r="N727" i="4"/>
  <c r="N743" i="4"/>
  <c r="N759" i="4"/>
  <c r="N775" i="4"/>
  <c r="N791" i="4"/>
  <c r="N807" i="4"/>
  <c r="N823" i="4"/>
  <c r="N839" i="4"/>
  <c r="N855" i="4"/>
  <c r="N871" i="4"/>
  <c r="N887" i="4"/>
  <c r="N903" i="4"/>
  <c r="N919" i="4"/>
  <c r="N935" i="4"/>
  <c r="N951" i="4"/>
  <c r="N967" i="4"/>
  <c r="N983" i="4"/>
  <c r="N999" i="4"/>
  <c r="N1015" i="4"/>
  <c r="N1031" i="4"/>
  <c r="N1047" i="4"/>
  <c r="N1063" i="4"/>
  <c r="N1079" i="4"/>
  <c r="N1095" i="4"/>
  <c r="N1111" i="4"/>
  <c r="N1127" i="4"/>
  <c r="N1143" i="4"/>
  <c r="N1159" i="4"/>
  <c r="N1175" i="4"/>
  <c r="N1191" i="4"/>
  <c r="N1207" i="4"/>
  <c r="N1223" i="4"/>
  <c r="N1239" i="4"/>
  <c r="N1255" i="4"/>
  <c r="N1271" i="4"/>
  <c r="N1287" i="4"/>
  <c r="N1303" i="4"/>
  <c r="N1319" i="4"/>
  <c r="N1335" i="4"/>
  <c r="N1351" i="4"/>
  <c r="N1367" i="4"/>
  <c r="N1383" i="4"/>
  <c r="N1399" i="4"/>
  <c r="N1415" i="4"/>
  <c r="N1431" i="4"/>
  <c r="N1447" i="4"/>
  <c r="N1463" i="4"/>
  <c r="N1479" i="4"/>
  <c r="N1495" i="4"/>
  <c r="N1511" i="4"/>
  <c r="N1527" i="4"/>
  <c r="N1543" i="4"/>
  <c r="N1559" i="4"/>
  <c r="N1575" i="4"/>
  <c r="N1591" i="4"/>
  <c r="N1607" i="4"/>
  <c r="N1623" i="4"/>
  <c r="N1639" i="4"/>
  <c r="N1655" i="4"/>
  <c r="N1671" i="4"/>
  <c r="N1687" i="4"/>
  <c r="N1703" i="4"/>
  <c r="N1719" i="4"/>
  <c r="N1735" i="4"/>
  <c r="N1751" i="4"/>
  <c r="N1767" i="4"/>
  <c r="N1783" i="4"/>
  <c r="N1799" i="4"/>
  <c r="N1815" i="4"/>
  <c r="N1831" i="4"/>
  <c r="N1847" i="4"/>
  <c r="N1863" i="4"/>
  <c r="N1879" i="4"/>
  <c r="N1895" i="4"/>
  <c r="N1911" i="4"/>
  <c r="N1927" i="4"/>
  <c r="N1943" i="4"/>
  <c r="N1959" i="4"/>
  <c r="N1975" i="4"/>
  <c r="N1991" i="4"/>
  <c r="N2007" i="4"/>
  <c r="N2023" i="4"/>
  <c r="N2039" i="4"/>
  <c r="N2055" i="4"/>
  <c r="N2071" i="4"/>
  <c r="N2087" i="4"/>
  <c r="N2103" i="4"/>
  <c r="N2119" i="4"/>
  <c r="N2135" i="4"/>
  <c r="N2151" i="4"/>
  <c r="N2167" i="4"/>
  <c r="N2183" i="4"/>
  <c r="N2199" i="4"/>
  <c r="N2215" i="4"/>
  <c r="N2231" i="4"/>
  <c r="N2247" i="4"/>
  <c r="N2263" i="4"/>
  <c r="N2279" i="4"/>
  <c r="N2295" i="4"/>
  <c r="N2311" i="4"/>
  <c r="N2319" i="4"/>
  <c r="N2327" i="4"/>
  <c r="N2335" i="4"/>
  <c r="N2340" i="4"/>
  <c r="N2345" i="4"/>
  <c r="N2351" i="4"/>
  <c r="N2356" i="4"/>
  <c r="N2361" i="4"/>
  <c r="N2367" i="4"/>
  <c r="N2372" i="4"/>
  <c r="N2377" i="4"/>
  <c r="N2383" i="4"/>
  <c r="N2388" i="4"/>
  <c r="N2393" i="4"/>
  <c r="N2399" i="4"/>
  <c r="N2404" i="4"/>
  <c r="N2409" i="4"/>
  <c r="N2415" i="4"/>
  <c r="N2420" i="4"/>
  <c r="N2425" i="4"/>
  <c r="N2431" i="4"/>
  <c r="N2436" i="4"/>
  <c r="N2441" i="4"/>
  <c r="N2447" i="4"/>
  <c r="N2452" i="4"/>
  <c r="N2457" i="4"/>
  <c r="N2463" i="4"/>
  <c r="N2468" i="4"/>
  <c r="N2473" i="4"/>
  <c r="N2479" i="4"/>
  <c r="N2484" i="4"/>
  <c r="N2489" i="4"/>
  <c r="N2495" i="4"/>
  <c r="N2500" i="4"/>
  <c r="N2505" i="4"/>
  <c r="N2511" i="4"/>
  <c r="N2516" i="4"/>
  <c r="N2521" i="4"/>
  <c r="N2527" i="4"/>
  <c r="N2532" i="4"/>
  <c r="N2537" i="4"/>
  <c r="N2543" i="4"/>
  <c r="N2548" i="4"/>
  <c r="N2553" i="4"/>
  <c r="N2559" i="4"/>
  <c r="N2564" i="4"/>
  <c r="N2569" i="4"/>
  <c r="N2575" i="4"/>
  <c r="N2580" i="4"/>
  <c r="N2585" i="4"/>
  <c r="N2591" i="4"/>
  <c r="N2596" i="4"/>
  <c r="N2601" i="4"/>
  <c r="N2607" i="4"/>
  <c r="N2612" i="4"/>
  <c r="N2617" i="4"/>
  <c r="N2623" i="4"/>
  <c r="N2628" i="4"/>
  <c r="N2633" i="4"/>
  <c r="N2639" i="4"/>
  <c r="N2644" i="4"/>
  <c r="N2649" i="4"/>
  <c r="N2655" i="4"/>
  <c r="N2660" i="4"/>
  <c r="N2665" i="4"/>
  <c r="N2671" i="4"/>
  <c r="N2676" i="4"/>
  <c r="N2681" i="4"/>
  <c r="N2687" i="4"/>
  <c r="N2692" i="4"/>
  <c r="N2697" i="4"/>
  <c r="N2703" i="4"/>
  <c r="N2708" i="4"/>
  <c r="N2713" i="4"/>
  <c r="N2719" i="4"/>
  <c r="N2724" i="4"/>
  <c r="N2729" i="4"/>
  <c r="N2735" i="4"/>
  <c r="N2740" i="4"/>
  <c r="N2745" i="4"/>
  <c r="N2751" i="4"/>
  <c r="N2756" i="4"/>
  <c r="N2761" i="4"/>
  <c r="N2767" i="4"/>
  <c r="N2772" i="4"/>
  <c r="N2777" i="4"/>
  <c r="N2783" i="4"/>
  <c r="N2788" i="4"/>
  <c r="N2793" i="4"/>
  <c r="N2799" i="4"/>
  <c r="N2804" i="4"/>
  <c r="N2809" i="4"/>
  <c r="N2815" i="4"/>
  <c r="N2820" i="4"/>
  <c r="N2825" i="4"/>
  <c r="N2831" i="4"/>
  <c r="N2836" i="4"/>
  <c r="N2841" i="4"/>
  <c r="N2846" i="4"/>
  <c r="N2850" i="4"/>
  <c r="N2854" i="4"/>
  <c r="N2858" i="4"/>
  <c r="N2862" i="4"/>
  <c r="N2866" i="4"/>
  <c r="N2870" i="4"/>
  <c r="N2874" i="4"/>
  <c r="N2878" i="4"/>
  <c r="N2882" i="4"/>
  <c r="N2886" i="4"/>
  <c r="N2890" i="4"/>
  <c r="N2894" i="4"/>
  <c r="N2898" i="4"/>
  <c r="N2902" i="4"/>
  <c r="N2906" i="4"/>
  <c r="N2910" i="4"/>
  <c r="N2914" i="4"/>
  <c r="N2918" i="4"/>
  <c r="N2922" i="4"/>
  <c r="N2926" i="4"/>
  <c r="N2930" i="4"/>
  <c r="N2934" i="4"/>
  <c r="N2938" i="4"/>
  <c r="N2942" i="4"/>
  <c r="N2946" i="4"/>
  <c r="N2950" i="4"/>
  <c r="N2954" i="4"/>
  <c r="N2958" i="4"/>
  <c r="N2962" i="4"/>
  <c r="N2966" i="4"/>
  <c r="N2970" i="4"/>
  <c r="N2974" i="4"/>
  <c r="N2978" i="4"/>
  <c r="N2982" i="4"/>
  <c r="N2986" i="4"/>
  <c r="N2990" i="4"/>
  <c r="N2994" i="4"/>
  <c r="N2998" i="4"/>
  <c r="N3002" i="4"/>
  <c r="N3006" i="4"/>
  <c r="N3010" i="4"/>
  <c r="N3014" i="4"/>
  <c r="N3018" i="4"/>
  <c r="N3022" i="4"/>
  <c r="N3026" i="4"/>
  <c r="N3030" i="4"/>
  <c r="N3034" i="4"/>
  <c r="N3038" i="4"/>
  <c r="N3042" i="4"/>
  <c r="N3046" i="4"/>
  <c r="N3050" i="4"/>
  <c r="N3054" i="4"/>
  <c r="N3058" i="4"/>
  <c r="N3062" i="4"/>
  <c r="N3066" i="4"/>
  <c r="N3070" i="4"/>
  <c r="N3074" i="4"/>
  <c r="N3078" i="4"/>
  <c r="N3082" i="4"/>
  <c r="N3086" i="4"/>
  <c r="N3090" i="4"/>
  <c r="N3094" i="4"/>
  <c r="N3098" i="4"/>
  <c r="N3102" i="4"/>
  <c r="N3106" i="4"/>
  <c r="N3110" i="4"/>
  <c r="N3114" i="4"/>
  <c r="N3118" i="4"/>
  <c r="N3122" i="4"/>
  <c r="N3126" i="4"/>
  <c r="N3130" i="4"/>
  <c r="N3134" i="4"/>
  <c r="N3138" i="4"/>
  <c r="N3142" i="4"/>
  <c r="N3146" i="4"/>
  <c r="N3150" i="4"/>
  <c r="N3154" i="4"/>
  <c r="N3158" i="4"/>
  <c r="N3162" i="4"/>
  <c r="N3166" i="4"/>
  <c r="N3170" i="4"/>
  <c r="N3174" i="4"/>
  <c r="N3178" i="4"/>
  <c r="N3182" i="4"/>
  <c r="N3186" i="4"/>
  <c r="N3190" i="4"/>
  <c r="N3194" i="4"/>
  <c r="N3198" i="4"/>
  <c r="N3202" i="4"/>
  <c r="N3206" i="4"/>
  <c r="N3210" i="4"/>
  <c r="N3214" i="4"/>
  <c r="N3218" i="4"/>
  <c r="N3222" i="4"/>
  <c r="N3226" i="4"/>
  <c r="N3230" i="4"/>
  <c r="N3234" i="4"/>
  <c r="N3238" i="4"/>
  <c r="N3242" i="4"/>
  <c r="N3246" i="4"/>
  <c r="N3250" i="4"/>
  <c r="N3254" i="4"/>
  <c r="N3258" i="4"/>
  <c r="N3262" i="4"/>
  <c r="N3266" i="4"/>
  <c r="N3270" i="4"/>
  <c r="N3274" i="4"/>
  <c r="N3278" i="4"/>
  <c r="N3282" i="4"/>
  <c r="N3286" i="4"/>
  <c r="N3290" i="4"/>
  <c r="N3294" i="4"/>
  <c r="N3298" i="4"/>
  <c r="N3302" i="4"/>
  <c r="N3306" i="4"/>
  <c r="N3310" i="4"/>
  <c r="N3314" i="4"/>
  <c r="N3318" i="4"/>
  <c r="N3322" i="4"/>
  <c r="N3326" i="4"/>
  <c r="N3330" i="4"/>
  <c r="N3334" i="4"/>
  <c r="N3338" i="4"/>
  <c r="N3342" i="4"/>
  <c r="N3346" i="4"/>
  <c r="N3350" i="4"/>
  <c r="N3354" i="4"/>
  <c r="N3358" i="4"/>
  <c r="N3362" i="4"/>
  <c r="N3366" i="4"/>
  <c r="N3370" i="4"/>
  <c r="N3374" i="4"/>
  <c r="N3378" i="4"/>
  <c r="N3382" i="4"/>
  <c r="N3386" i="4"/>
  <c r="N3390" i="4"/>
  <c r="N3394" i="4"/>
  <c r="N3398" i="4"/>
  <c r="N3402" i="4"/>
  <c r="N3406" i="4"/>
  <c r="N3410" i="4"/>
  <c r="N3414" i="4"/>
  <c r="N3418" i="4"/>
  <c r="N3422" i="4"/>
  <c r="N3426" i="4"/>
  <c r="N3430" i="4"/>
  <c r="N3434" i="4"/>
  <c r="N3438" i="4"/>
  <c r="N3442" i="4"/>
  <c r="N3446" i="4"/>
  <c r="N3450" i="4"/>
  <c r="N3454" i="4"/>
  <c r="N3458" i="4"/>
  <c r="N3462" i="4"/>
  <c r="N3466" i="4"/>
  <c r="N3470" i="4"/>
  <c r="N3474" i="4"/>
  <c r="N3478" i="4"/>
  <c r="N3482" i="4"/>
  <c r="N3486" i="4"/>
  <c r="N3490" i="4"/>
  <c r="N3494" i="4"/>
  <c r="N3498" i="4"/>
  <c r="N3502" i="4"/>
  <c r="N3506" i="4"/>
  <c r="N3510" i="4"/>
  <c r="N3514" i="4"/>
  <c r="N3518" i="4"/>
  <c r="N3522" i="4"/>
  <c r="N3526" i="4"/>
  <c r="N3530" i="4"/>
  <c r="N3534" i="4"/>
  <c r="N3538" i="4"/>
  <c r="N3542" i="4"/>
  <c r="N3546" i="4"/>
  <c r="N3550" i="4"/>
  <c r="N3554" i="4"/>
  <c r="N3558" i="4"/>
  <c r="N3562" i="4"/>
  <c r="N3566" i="4"/>
  <c r="N3570" i="4"/>
  <c r="N3574" i="4"/>
  <c r="N3578" i="4"/>
  <c r="N3582" i="4"/>
  <c r="N3586" i="4"/>
  <c r="N3590" i="4"/>
  <c r="N3594" i="4"/>
  <c r="N3598" i="4"/>
  <c r="N3602" i="4"/>
  <c r="N3606" i="4"/>
  <c r="N3610" i="4"/>
  <c r="N3614" i="4"/>
  <c r="N3618" i="4"/>
  <c r="N3622" i="4"/>
  <c r="N3626" i="4"/>
  <c r="N3630" i="4"/>
  <c r="N3634" i="4"/>
  <c r="N3638" i="4"/>
  <c r="N3642" i="4"/>
  <c r="N3646" i="4"/>
  <c r="N3650" i="4"/>
  <c r="N3654" i="4"/>
  <c r="N3658" i="4"/>
  <c r="N3662" i="4"/>
  <c r="N3666" i="4"/>
  <c r="N3670" i="4"/>
  <c r="N3674" i="4"/>
  <c r="N3678" i="4"/>
  <c r="N3682" i="4"/>
  <c r="N3686" i="4"/>
  <c r="N3690" i="4"/>
  <c r="N3694" i="4"/>
  <c r="N3698" i="4"/>
  <c r="N3702" i="4"/>
  <c r="N3706" i="4"/>
  <c r="N3710" i="4"/>
  <c r="N3714" i="4"/>
  <c r="N3718" i="4"/>
  <c r="N3722" i="4"/>
  <c r="N3726" i="4"/>
  <c r="N3730" i="4"/>
  <c r="N3734" i="4"/>
  <c r="N3738" i="4"/>
  <c r="N3742" i="4"/>
  <c r="N3746" i="4"/>
  <c r="N3750" i="4"/>
  <c r="N3754" i="4"/>
  <c r="N3758" i="4"/>
  <c r="N3762" i="4"/>
  <c r="N3766" i="4"/>
  <c r="N3770" i="4"/>
  <c r="N3774" i="4"/>
  <c r="N3778" i="4"/>
  <c r="N3782" i="4"/>
  <c r="N3786" i="4"/>
  <c r="N3790" i="4"/>
  <c r="N3794" i="4"/>
  <c r="N3798" i="4"/>
  <c r="N3802" i="4"/>
  <c r="N3806" i="4"/>
  <c r="N3810" i="4"/>
  <c r="N3814" i="4"/>
  <c r="N3818" i="4"/>
  <c r="N3822" i="4"/>
  <c r="N3826" i="4"/>
  <c r="N3830" i="4"/>
  <c r="N3834" i="4"/>
  <c r="N3838" i="4"/>
  <c r="N3842" i="4"/>
  <c r="N3846" i="4"/>
  <c r="N3850" i="4"/>
  <c r="N3854" i="4"/>
  <c r="N3858" i="4"/>
  <c r="N3862" i="4"/>
  <c r="N3866" i="4"/>
  <c r="N3870" i="4"/>
  <c r="N3874" i="4"/>
  <c r="N3878" i="4"/>
  <c r="N3882" i="4"/>
  <c r="N3886" i="4"/>
  <c r="N3890" i="4"/>
  <c r="N3894" i="4"/>
  <c r="N3898" i="4"/>
  <c r="N3902" i="4"/>
  <c r="N3906" i="4"/>
  <c r="N3910" i="4"/>
  <c r="N3914" i="4"/>
  <c r="N3918" i="4"/>
  <c r="N3922" i="4"/>
  <c r="N3926" i="4"/>
  <c r="N3930" i="4"/>
  <c r="N3934" i="4"/>
  <c r="N3938" i="4"/>
  <c r="N3942" i="4"/>
  <c r="N3946" i="4"/>
  <c r="N3950" i="4"/>
  <c r="N3954" i="4"/>
  <c r="N3958" i="4"/>
  <c r="N3962" i="4"/>
  <c r="N3966" i="4"/>
  <c r="N3970" i="4"/>
  <c r="N3974" i="4"/>
  <c r="N3978" i="4"/>
  <c r="N3982" i="4"/>
  <c r="N3986" i="4"/>
  <c r="N3990" i="4"/>
  <c r="N3994" i="4"/>
  <c r="N3998" i="4"/>
  <c r="N4002" i="4"/>
  <c r="N4006" i="4"/>
  <c r="N4010" i="4"/>
  <c r="N4014" i="4"/>
  <c r="N4018" i="4"/>
  <c r="N4022" i="4"/>
  <c r="N4026" i="4"/>
  <c r="N4030" i="4"/>
  <c r="N4034" i="4"/>
  <c r="N4038" i="4"/>
  <c r="N4042" i="4"/>
  <c r="N4046" i="4"/>
  <c r="N4050" i="4"/>
  <c r="N4054" i="4"/>
  <c r="N4058" i="4"/>
  <c r="N4062" i="4"/>
  <c r="N4066" i="4"/>
  <c r="N4070" i="4"/>
  <c r="N4074" i="4"/>
  <c r="N4078" i="4"/>
  <c r="N4082" i="4"/>
  <c r="N4086" i="4"/>
  <c r="N4090" i="4"/>
  <c r="N4094" i="4"/>
  <c r="N4098" i="4"/>
  <c r="N4102" i="4"/>
  <c r="N4106" i="4"/>
  <c r="N4110" i="4"/>
  <c r="N4114" i="4"/>
  <c r="N4118" i="4"/>
  <c r="N4122" i="4"/>
  <c r="N4126" i="4"/>
  <c r="N4130" i="4"/>
  <c r="N4134" i="4"/>
  <c r="N4138" i="4"/>
  <c r="N4142" i="4"/>
  <c r="N4146" i="4"/>
  <c r="N4150" i="4"/>
  <c r="N4154" i="4"/>
  <c r="N4158" i="4"/>
  <c r="N4162" i="4"/>
  <c r="N4166" i="4"/>
  <c r="N4170" i="4"/>
  <c r="N4174" i="4"/>
  <c r="N4178" i="4"/>
  <c r="N4182" i="4"/>
  <c r="N4186" i="4"/>
  <c r="N37" i="4"/>
  <c r="N101" i="4"/>
  <c r="N165" i="4"/>
  <c r="N229" i="4"/>
  <c r="N293" i="4"/>
  <c r="N357" i="4"/>
  <c r="N395" i="4"/>
  <c r="N421" i="4"/>
  <c r="N442" i="4"/>
  <c r="N463" i="4"/>
  <c r="N485" i="4"/>
  <c r="N506" i="4"/>
  <c r="N527" i="4"/>
  <c r="N549" i="4"/>
  <c r="N570" i="4"/>
  <c r="N591" i="4"/>
  <c r="N613" i="4"/>
  <c r="N634" i="4"/>
  <c r="N651" i="4"/>
  <c r="N667" i="4"/>
  <c r="N683" i="4"/>
  <c r="N699" i="4"/>
  <c r="N715" i="4"/>
  <c r="N731" i="4"/>
  <c r="N747" i="4"/>
  <c r="N763" i="4"/>
  <c r="N779" i="4"/>
  <c r="N795" i="4"/>
  <c r="N811" i="4"/>
  <c r="N827" i="4"/>
  <c r="N843" i="4"/>
  <c r="N859" i="4"/>
  <c r="N875" i="4"/>
  <c r="N891" i="4"/>
  <c r="N907" i="4"/>
  <c r="N923" i="4"/>
  <c r="N939" i="4"/>
  <c r="N955" i="4"/>
  <c r="N971" i="4"/>
  <c r="N987" i="4"/>
  <c r="N1003" i="4"/>
  <c r="N1019" i="4"/>
  <c r="N1035" i="4"/>
  <c r="N1051" i="4"/>
  <c r="N1067" i="4"/>
  <c r="N1083" i="4"/>
  <c r="N1099" i="4"/>
  <c r="N1115" i="4"/>
  <c r="N1131" i="4"/>
  <c r="N1147" i="4"/>
  <c r="N1163" i="4"/>
  <c r="N1179" i="4"/>
  <c r="N1195" i="4"/>
  <c r="N1211" i="4"/>
  <c r="N1227" i="4"/>
  <c r="N1243" i="4"/>
  <c r="N1259" i="4"/>
  <c r="N1275" i="4"/>
  <c r="N1291" i="4"/>
  <c r="N1307" i="4"/>
  <c r="N1323" i="4"/>
  <c r="N1339" i="4"/>
  <c r="N1355" i="4"/>
  <c r="N1371" i="4"/>
  <c r="N1387" i="4"/>
  <c r="N1403" i="4"/>
  <c r="N1419" i="4"/>
  <c r="N1435" i="4"/>
  <c r="N1451" i="4"/>
  <c r="N1467" i="4"/>
  <c r="N1483" i="4"/>
  <c r="N1499" i="4"/>
  <c r="N1515" i="4"/>
  <c r="N1531" i="4"/>
  <c r="N1547" i="4"/>
  <c r="N1563" i="4"/>
  <c r="N1579" i="4"/>
  <c r="N1595" i="4"/>
  <c r="N1611" i="4"/>
  <c r="N1627" i="4"/>
  <c r="N1643" i="4"/>
  <c r="N1659" i="4"/>
  <c r="N1675" i="4"/>
  <c r="N1691" i="4"/>
  <c r="N1707" i="4"/>
  <c r="N1723" i="4"/>
  <c r="N1739" i="4"/>
  <c r="N1755" i="4"/>
  <c r="N1771" i="4"/>
  <c r="N1787" i="4"/>
  <c r="N1803" i="4"/>
  <c r="N1819" i="4"/>
  <c r="N1835" i="4"/>
  <c r="N1851" i="4"/>
  <c r="N1867" i="4"/>
  <c r="N1883" i="4"/>
  <c r="N1899" i="4"/>
  <c r="N1915" i="4"/>
  <c r="N1931" i="4"/>
  <c r="N1947" i="4"/>
  <c r="N1963" i="4"/>
  <c r="N1979" i="4"/>
  <c r="N1995" i="4"/>
  <c r="N2011" i="4"/>
  <c r="N2027" i="4"/>
  <c r="N2043" i="4"/>
  <c r="N2059" i="4"/>
  <c r="N2075" i="4"/>
  <c r="N2091" i="4"/>
  <c r="N2107" i="4"/>
  <c r="N2123" i="4"/>
  <c r="N2139" i="4"/>
  <c r="N2155" i="4"/>
  <c r="N2171" i="4"/>
  <c r="N2187" i="4"/>
  <c r="N2203" i="4"/>
  <c r="N2219" i="4"/>
  <c r="N2235" i="4"/>
  <c r="N2251" i="4"/>
  <c r="N2267" i="4"/>
  <c r="N2283" i="4"/>
  <c r="N2299" i="4"/>
  <c r="N2312" i="4"/>
  <c r="N2320" i="4"/>
  <c r="N2328" i="4"/>
  <c r="N2336" i="4"/>
  <c r="N2341" i="4"/>
  <c r="N2347" i="4"/>
  <c r="N2352" i="4"/>
  <c r="N2357" i="4"/>
  <c r="N2363" i="4"/>
  <c r="N2368" i="4"/>
  <c r="N2373" i="4"/>
  <c r="N2379" i="4"/>
  <c r="N2384" i="4"/>
  <c r="N2389" i="4"/>
  <c r="N2395" i="4"/>
  <c r="N2400" i="4"/>
  <c r="N2405" i="4"/>
  <c r="N2411" i="4"/>
  <c r="N2416" i="4"/>
  <c r="N2421" i="4"/>
  <c r="N2427" i="4"/>
  <c r="N2432" i="4"/>
  <c r="N2437" i="4"/>
  <c r="N2443" i="4"/>
  <c r="N2448" i="4"/>
  <c r="N2453" i="4"/>
  <c r="N2459" i="4"/>
  <c r="N2464" i="4"/>
  <c r="N2469" i="4"/>
  <c r="N2475" i="4"/>
  <c r="N2480" i="4"/>
  <c r="N2485" i="4"/>
  <c r="N2491" i="4"/>
  <c r="N2496" i="4"/>
  <c r="N2501" i="4"/>
  <c r="N2507" i="4"/>
  <c r="N2512" i="4"/>
  <c r="N2517" i="4"/>
  <c r="N2523" i="4"/>
  <c r="N2528" i="4"/>
  <c r="N2533" i="4"/>
  <c r="N2539" i="4"/>
  <c r="N2544" i="4"/>
  <c r="N2549" i="4"/>
  <c r="N2555" i="4"/>
  <c r="N2560" i="4"/>
  <c r="N2565" i="4"/>
  <c r="N2571" i="4"/>
  <c r="N2576" i="4"/>
  <c r="N2581" i="4"/>
  <c r="N2587" i="4"/>
  <c r="N2592" i="4"/>
  <c r="N2597" i="4"/>
  <c r="N2603" i="4"/>
  <c r="N2608" i="4"/>
  <c r="N2613" i="4"/>
  <c r="N2619" i="4"/>
  <c r="N2624" i="4"/>
  <c r="N2629" i="4"/>
  <c r="N2635" i="4"/>
  <c r="N2640" i="4"/>
  <c r="N2645" i="4"/>
  <c r="N2651" i="4"/>
  <c r="N2656" i="4"/>
  <c r="N2661" i="4"/>
  <c r="N2667" i="4"/>
  <c r="N2672" i="4"/>
  <c r="N2677" i="4"/>
  <c r="N2683" i="4"/>
  <c r="N2688" i="4"/>
  <c r="N2693" i="4"/>
  <c r="N2699" i="4"/>
  <c r="N2704" i="4"/>
  <c r="N2709" i="4"/>
  <c r="N2715" i="4"/>
  <c r="N2720" i="4"/>
  <c r="N2725" i="4"/>
  <c r="N2731" i="4"/>
  <c r="N2736" i="4"/>
  <c r="N2741" i="4"/>
  <c r="N2747" i="4"/>
  <c r="N2752" i="4"/>
  <c r="N2757" i="4"/>
  <c r="N2763" i="4"/>
  <c r="N2768" i="4"/>
  <c r="N2773" i="4"/>
  <c r="N2779" i="4"/>
  <c r="N2784" i="4"/>
  <c r="N2789" i="4"/>
  <c r="N2795" i="4"/>
  <c r="N2800" i="4"/>
  <c r="N2805" i="4"/>
  <c r="N2811" i="4"/>
  <c r="N2816" i="4"/>
  <c r="N2821" i="4"/>
  <c r="N2827" i="4"/>
  <c r="N2832" i="4"/>
  <c r="N2837" i="4"/>
  <c r="N2843" i="4"/>
  <c r="N2847" i="4"/>
  <c r="N2851" i="4"/>
  <c r="N2855" i="4"/>
  <c r="N2859" i="4"/>
  <c r="N2863" i="4"/>
  <c r="N2867" i="4"/>
  <c r="N2871" i="4"/>
  <c r="N2875" i="4"/>
  <c r="N2879" i="4"/>
  <c r="N2883" i="4"/>
  <c r="N2887" i="4"/>
  <c r="N2891" i="4"/>
  <c r="N2895" i="4"/>
  <c r="N2899" i="4"/>
  <c r="N2903" i="4"/>
  <c r="N2907" i="4"/>
  <c r="N2911" i="4"/>
  <c r="N2915" i="4"/>
  <c r="N2919" i="4"/>
  <c r="N2923" i="4"/>
  <c r="N2927" i="4"/>
  <c r="N2931" i="4"/>
  <c r="N2935" i="4"/>
  <c r="N2939" i="4"/>
  <c r="N2943" i="4"/>
  <c r="N2947" i="4"/>
  <c r="N2951" i="4"/>
  <c r="N2955" i="4"/>
  <c r="N2959" i="4"/>
  <c r="N2963" i="4"/>
  <c r="N2967" i="4"/>
  <c r="N2971" i="4"/>
  <c r="N2975" i="4"/>
  <c r="N2979" i="4"/>
  <c r="N2983" i="4"/>
  <c r="N2987" i="4"/>
  <c r="N2991" i="4"/>
  <c r="N2995" i="4"/>
  <c r="N2999" i="4"/>
  <c r="N3003" i="4"/>
  <c r="N3007" i="4"/>
  <c r="N3011" i="4"/>
  <c r="N3015" i="4"/>
  <c r="N3019" i="4"/>
  <c r="N3023" i="4"/>
  <c r="N3027" i="4"/>
  <c r="N3031" i="4"/>
  <c r="N3035" i="4"/>
  <c r="N3039" i="4"/>
  <c r="N3043" i="4"/>
  <c r="N3047" i="4"/>
  <c r="N3051" i="4"/>
  <c r="N3055" i="4"/>
  <c r="N3059" i="4"/>
  <c r="N3063" i="4"/>
  <c r="N3067" i="4"/>
  <c r="N3071" i="4"/>
  <c r="N3075" i="4"/>
  <c r="N3079" i="4"/>
  <c r="N3083" i="4"/>
  <c r="N3087" i="4"/>
  <c r="N3091" i="4"/>
  <c r="N3095" i="4"/>
  <c r="N3099" i="4"/>
  <c r="N3103" i="4"/>
  <c r="N3107" i="4"/>
  <c r="N3111" i="4"/>
  <c r="N3115" i="4"/>
  <c r="N3119" i="4"/>
  <c r="N3123" i="4"/>
  <c r="N3127" i="4"/>
  <c r="N3131" i="4"/>
  <c r="N3135" i="4"/>
  <c r="N3139" i="4"/>
  <c r="N3143" i="4"/>
  <c r="N3147" i="4"/>
  <c r="N3151" i="4"/>
  <c r="N3155" i="4"/>
  <c r="N3159" i="4"/>
  <c r="N3163" i="4"/>
  <c r="N3167" i="4"/>
  <c r="N3171" i="4"/>
  <c r="N3175" i="4"/>
  <c r="N3179" i="4"/>
  <c r="N3183" i="4"/>
  <c r="N3187" i="4"/>
  <c r="N3191" i="4"/>
  <c r="N3195" i="4"/>
  <c r="N3199" i="4"/>
  <c r="N3203" i="4"/>
  <c r="N3207" i="4"/>
  <c r="N3211" i="4"/>
  <c r="N3215" i="4"/>
  <c r="N3219" i="4"/>
  <c r="N3223" i="4"/>
  <c r="N3227" i="4"/>
  <c r="N3231" i="4"/>
  <c r="N3235" i="4"/>
  <c r="N3239" i="4"/>
  <c r="N3243" i="4"/>
  <c r="N3247" i="4"/>
  <c r="N3251" i="4"/>
  <c r="N3255" i="4"/>
  <c r="N3259" i="4"/>
  <c r="N3263" i="4"/>
  <c r="N3267" i="4"/>
  <c r="N3271" i="4"/>
  <c r="N3275" i="4"/>
  <c r="N3279" i="4"/>
  <c r="N3283" i="4"/>
  <c r="N3287" i="4"/>
  <c r="N3291" i="4"/>
  <c r="N3295" i="4"/>
  <c r="N3299" i="4"/>
  <c r="N3303" i="4"/>
  <c r="N3307" i="4"/>
  <c r="N3311" i="4"/>
  <c r="N3315" i="4"/>
  <c r="N3319" i="4"/>
  <c r="N3323" i="4"/>
  <c r="N3327" i="4"/>
  <c r="N3331" i="4"/>
  <c r="N3335" i="4"/>
  <c r="N3339" i="4"/>
  <c r="N3343" i="4"/>
  <c r="N3347" i="4"/>
  <c r="N3351" i="4"/>
  <c r="N3355" i="4"/>
  <c r="N3359" i="4"/>
  <c r="N3363" i="4"/>
  <c r="N3367" i="4"/>
  <c r="N3371" i="4"/>
  <c r="N3375" i="4"/>
  <c r="N3379" i="4"/>
  <c r="N3383" i="4"/>
  <c r="N3387" i="4"/>
  <c r="N3391" i="4"/>
  <c r="N3395" i="4"/>
  <c r="N3399" i="4"/>
  <c r="N3403" i="4"/>
  <c r="N3407" i="4"/>
  <c r="N3411" i="4"/>
  <c r="N3415" i="4"/>
  <c r="N3419" i="4"/>
  <c r="N3423" i="4"/>
  <c r="N3427" i="4"/>
  <c r="N3431" i="4"/>
  <c r="N3435" i="4"/>
  <c r="N3439" i="4"/>
  <c r="N3443" i="4"/>
  <c r="N3447" i="4"/>
  <c r="N3451" i="4"/>
  <c r="N3455" i="4"/>
  <c r="N3459" i="4"/>
  <c r="N3463" i="4"/>
  <c r="N3467" i="4"/>
  <c r="N3471" i="4"/>
  <c r="N3475" i="4"/>
  <c r="N3479" i="4"/>
  <c r="N3483" i="4"/>
  <c r="N3487" i="4"/>
  <c r="N3491" i="4"/>
  <c r="N3495" i="4"/>
  <c r="N3499" i="4"/>
  <c r="N3503" i="4"/>
  <c r="N3507" i="4"/>
  <c r="N3511" i="4"/>
  <c r="N3515" i="4"/>
  <c r="N3519" i="4"/>
  <c r="N3523" i="4"/>
  <c r="N3527" i="4"/>
  <c r="N3531" i="4"/>
  <c r="N3535" i="4"/>
  <c r="N3539" i="4"/>
  <c r="N3543" i="4"/>
  <c r="N3547" i="4"/>
  <c r="N3551" i="4"/>
  <c r="N3555" i="4"/>
  <c r="N3559" i="4"/>
  <c r="N3563" i="4"/>
  <c r="N3567" i="4"/>
  <c r="N3571" i="4"/>
  <c r="N3575" i="4"/>
  <c r="N3579" i="4"/>
  <c r="N3583" i="4"/>
  <c r="N3587" i="4"/>
  <c r="N3591" i="4"/>
  <c r="N3595" i="4"/>
  <c r="N3599" i="4"/>
  <c r="N3603" i="4"/>
  <c r="N3607" i="4"/>
  <c r="N3611" i="4"/>
  <c r="N3615" i="4"/>
  <c r="N3619" i="4"/>
  <c r="N3623" i="4"/>
  <c r="N3627" i="4"/>
  <c r="N3631" i="4"/>
  <c r="N3635" i="4"/>
  <c r="N3639" i="4"/>
  <c r="N3643" i="4"/>
  <c r="N3647" i="4"/>
  <c r="N3651" i="4"/>
  <c r="N3655" i="4"/>
  <c r="N3659" i="4"/>
  <c r="N3663" i="4"/>
  <c r="N3667" i="4"/>
  <c r="N3671" i="4"/>
  <c r="N3675" i="4"/>
  <c r="N3679" i="4"/>
  <c r="N3683" i="4"/>
  <c r="N3687" i="4"/>
  <c r="N3691" i="4"/>
  <c r="N3695" i="4"/>
  <c r="N3699" i="4"/>
  <c r="N3703" i="4"/>
  <c r="N3707" i="4"/>
  <c r="N3711" i="4"/>
  <c r="N3715" i="4"/>
  <c r="N3719" i="4"/>
  <c r="N3723" i="4"/>
  <c r="N3727" i="4"/>
  <c r="N3731" i="4"/>
  <c r="N3735" i="4"/>
  <c r="N3739" i="4"/>
  <c r="N3743" i="4"/>
  <c r="N3747" i="4"/>
  <c r="N3751" i="4"/>
  <c r="N3755" i="4"/>
  <c r="N3759" i="4"/>
  <c r="N3763" i="4"/>
  <c r="N3767" i="4"/>
  <c r="N3771" i="4"/>
  <c r="N3775" i="4"/>
  <c r="N3779" i="4"/>
  <c r="N3783" i="4"/>
  <c r="N3787" i="4"/>
  <c r="N3791" i="4"/>
  <c r="N3795" i="4"/>
  <c r="N3799" i="4"/>
  <c r="N3803" i="4"/>
  <c r="N3807" i="4"/>
  <c r="N3811" i="4"/>
  <c r="N3815" i="4"/>
  <c r="N3819" i="4"/>
  <c r="N3823" i="4"/>
  <c r="N3827" i="4"/>
  <c r="N3831" i="4"/>
  <c r="N3835" i="4"/>
  <c r="N3839" i="4"/>
  <c r="N3843" i="4"/>
  <c r="N3847" i="4"/>
  <c r="N3851" i="4"/>
  <c r="N3855" i="4"/>
  <c r="N3859" i="4"/>
  <c r="N3863" i="4"/>
  <c r="N3867" i="4"/>
  <c r="N3871" i="4"/>
  <c r="N3875" i="4"/>
  <c r="N3879" i="4"/>
  <c r="N3883" i="4"/>
  <c r="N3887" i="4"/>
  <c r="N3891" i="4"/>
  <c r="N3895" i="4"/>
  <c r="N3899" i="4"/>
  <c r="N3903" i="4"/>
  <c r="N3907" i="4"/>
  <c r="N3911" i="4"/>
  <c r="N3915" i="4"/>
  <c r="N3919" i="4"/>
  <c r="N3923" i="4"/>
  <c r="N3927" i="4"/>
  <c r="N3931" i="4"/>
  <c r="N3935" i="4"/>
  <c r="N3939" i="4"/>
  <c r="N3943" i="4"/>
  <c r="N3947" i="4"/>
  <c r="N3951" i="4"/>
  <c r="N3955" i="4"/>
  <c r="N3959" i="4"/>
  <c r="N3963" i="4"/>
  <c r="N3967" i="4"/>
  <c r="N3971" i="4"/>
  <c r="N3975" i="4"/>
  <c r="N3979" i="4"/>
  <c r="N3983" i="4"/>
  <c r="N3987" i="4"/>
  <c r="N3991" i="4"/>
  <c r="N3995" i="4"/>
  <c r="N3999" i="4"/>
  <c r="N4003" i="4"/>
  <c r="N4007" i="4"/>
  <c r="N4011" i="4"/>
  <c r="N4015" i="4"/>
  <c r="N4019" i="4"/>
  <c r="N4023" i="4"/>
  <c r="N4027" i="4"/>
  <c r="N4031" i="4"/>
  <c r="N4035" i="4"/>
  <c r="N4039" i="4"/>
  <c r="N4043" i="4"/>
  <c r="N4047" i="4"/>
  <c r="N4051" i="4"/>
  <c r="N4055" i="4"/>
  <c r="N4059" i="4"/>
  <c r="N4063" i="4"/>
  <c r="N4067" i="4"/>
  <c r="N4071" i="4"/>
  <c r="N4075" i="4"/>
  <c r="N4079" i="4"/>
  <c r="N4083" i="4"/>
  <c r="N4087" i="4"/>
  <c r="N4091" i="4"/>
  <c r="N4095" i="4"/>
  <c r="N4099" i="4"/>
  <c r="N4103" i="4"/>
  <c r="N4107" i="4"/>
  <c r="N4111" i="4"/>
  <c r="N4115" i="4"/>
  <c r="N4119" i="4"/>
  <c r="N4123" i="4"/>
  <c r="N4127" i="4"/>
  <c r="N4131" i="4"/>
  <c r="N4135" i="4"/>
  <c r="N4139" i="4"/>
  <c r="N4143" i="4"/>
  <c r="N4147" i="4"/>
  <c r="N4151" i="4"/>
  <c r="N4155" i="4"/>
  <c r="N4159" i="4"/>
  <c r="N4163" i="4"/>
  <c r="N4167" i="4"/>
  <c r="N4171" i="4"/>
  <c r="N4175" i="4"/>
  <c r="N4179" i="4"/>
  <c r="N4183" i="4"/>
  <c r="N4187" i="4"/>
  <c r="N4191" i="4"/>
  <c r="N4195" i="4"/>
  <c r="N4199" i="4"/>
  <c r="N4203" i="4"/>
  <c r="N4207" i="4"/>
  <c r="N4211" i="4"/>
  <c r="N4215" i="4"/>
  <c r="N4219" i="4"/>
  <c r="N4223" i="4"/>
  <c r="N4227" i="4"/>
  <c r="N4231" i="4"/>
  <c r="N4235" i="4"/>
  <c r="N4239" i="4"/>
  <c r="N4243" i="4"/>
  <c r="N4247" i="4"/>
  <c r="N4251" i="4"/>
  <c r="N4255" i="4"/>
  <c r="N4259" i="4"/>
  <c r="N4263" i="4"/>
  <c r="N4267" i="4"/>
  <c r="N4271" i="4"/>
  <c r="N4275" i="4"/>
  <c r="N4279" i="4"/>
  <c r="N4283" i="4"/>
  <c r="N4287" i="4"/>
  <c r="N4291" i="4"/>
  <c r="N4295" i="4"/>
  <c r="N4299" i="4"/>
  <c r="N4303" i="4"/>
  <c r="N4307" i="4"/>
  <c r="N4311" i="4"/>
  <c r="N4315" i="4"/>
  <c r="N4319" i="4"/>
  <c r="N4323" i="4"/>
  <c r="N4327" i="4"/>
  <c r="N4331" i="4"/>
  <c r="N4335" i="4"/>
  <c r="N4339" i="4"/>
  <c r="N4343" i="4"/>
  <c r="N4347" i="4"/>
  <c r="N4351" i="4"/>
  <c r="N4355" i="4"/>
  <c r="N4359" i="4"/>
  <c r="N4363" i="4"/>
  <c r="N4367" i="4"/>
  <c r="N4371" i="4"/>
  <c r="N4375" i="4"/>
  <c r="N4379" i="4"/>
  <c r="N4383" i="4"/>
  <c r="N4387" i="4"/>
  <c r="N4391" i="4"/>
  <c r="N4395" i="4"/>
  <c r="N4399" i="4"/>
  <c r="N4403" i="4"/>
  <c r="N4407" i="4"/>
  <c r="N4411" i="4"/>
  <c r="N4415" i="4"/>
  <c r="N4419" i="4"/>
  <c r="N4423" i="4"/>
  <c r="N4427" i="4"/>
  <c r="N4431" i="4"/>
  <c r="N4435" i="4"/>
  <c r="N4439" i="4"/>
  <c r="N4443" i="4"/>
  <c r="N4447" i="4"/>
  <c r="N4451" i="4"/>
  <c r="N4455" i="4"/>
  <c r="N4459" i="4"/>
  <c r="N4463" i="4"/>
  <c r="N4467" i="4"/>
  <c r="N4471" i="4"/>
  <c r="N4475" i="4"/>
  <c r="N4479" i="4"/>
  <c r="N4483" i="4"/>
  <c r="N4487" i="4"/>
  <c r="N4491" i="4"/>
  <c r="N4495" i="4"/>
  <c r="N4499" i="4"/>
  <c r="N4503" i="4"/>
  <c r="N4507" i="4"/>
  <c r="N4511" i="4"/>
  <c r="N4515" i="4"/>
  <c r="N4519" i="4"/>
  <c r="N4523" i="4"/>
  <c r="N4527" i="4"/>
  <c r="N4531" i="4"/>
  <c r="N4535" i="4"/>
  <c r="N4539" i="4"/>
  <c r="N4543" i="4"/>
  <c r="N4547" i="4"/>
  <c r="N4551" i="4"/>
  <c r="N4555" i="4"/>
  <c r="N4559" i="4"/>
  <c r="N4563" i="4"/>
  <c r="N4567" i="4"/>
  <c r="N4571" i="4"/>
  <c r="N4575" i="4"/>
  <c r="N4579" i="4"/>
  <c r="N4583" i="4"/>
  <c r="N4587" i="4"/>
  <c r="N4591" i="4"/>
  <c r="N4595" i="4"/>
  <c r="N4599" i="4"/>
  <c r="N4603" i="4"/>
  <c r="N4607" i="4"/>
  <c r="N4611" i="4"/>
  <c r="N4615" i="4"/>
  <c r="N4619" i="4"/>
  <c r="N4623" i="4"/>
  <c r="N4627" i="4"/>
  <c r="N53" i="4"/>
  <c r="N117" i="4"/>
  <c r="N181" i="4"/>
  <c r="N245" i="4"/>
  <c r="N309" i="4"/>
  <c r="N371" i="4"/>
  <c r="N403" i="4"/>
  <c r="N426" i="4"/>
  <c r="N447" i="4"/>
  <c r="N469" i="4"/>
  <c r="N490" i="4"/>
  <c r="N511" i="4"/>
  <c r="N533" i="4"/>
  <c r="N554" i="4"/>
  <c r="N575" i="4"/>
  <c r="N597" i="4"/>
  <c r="N618" i="4"/>
  <c r="N639" i="4"/>
  <c r="N655" i="4"/>
  <c r="N671" i="4"/>
  <c r="N687" i="4"/>
  <c r="N703" i="4"/>
  <c r="N719" i="4"/>
  <c r="N735" i="4"/>
  <c r="N751" i="4"/>
  <c r="N767" i="4"/>
  <c r="N783" i="4"/>
  <c r="N799" i="4"/>
  <c r="N815" i="4"/>
  <c r="N831" i="4"/>
  <c r="N847" i="4"/>
  <c r="N863" i="4"/>
  <c r="N879" i="4"/>
  <c r="N895" i="4"/>
  <c r="N911" i="4"/>
  <c r="N927" i="4"/>
  <c r="N943" i="4"/>
  <c r="N959" i="4"/>
  <c r="N975" i="4"/>
  <c r="N991" i="4"/>
  <c r="N1007" i="4"/>
  <c r="N1023" i="4"/>
  <c r="N1039" i="4"/>
  <c r="N1055" i="4"/>
  <c r="N1071" i="4"/>
  <c r="N1087" i="4"/>
  <c r="N1103" i="4"/>
  <c r="N1119" i="4"/>
  <c r="N1135" i="4"/>
  <c r="N1151" i="4"/>
  <c r="N1167" i="4"/>
  <c r="N1183" i="4"/>
  <c r="N1199" i="4"/>
  <c r="N1215" i="4"/>
  <c r="N1231" i="4"/>
  <c r="N1247" i="4"/>
  <c r="N1263" i="4"/>
  <c r="N1279" i="4"/>
  <c r="N1295" i="4"/>
  <c r="N1311" i="4"/>
  <c r="N1327" i="4"/>
  <c r="N1343" i="4"/>
  <c r="N1359" i="4"/>
  <c r="N1375" i="4"/>
  <c r="N1391" i="4"/>
  <c r="N1407" i="4"/>
  <c r="N1423" i="4"/>
  <c r="N1439" i="4"/>
  <c r="N1455" i="4"/>
  <c r="N1471" i="4"/>
  <c r="N1487" i="4"/>
  <c r="N1503" i="4"/>
  <c r="N1519" i="4"/>
  <c r="N1535" i="4"/>
  <c r="N1551" i="4"/>
  <c r="N1567" i="4"/>
  <c r="N1583" i="4"/>
  <c r="N1599" i="4"/>
  <c r="N1615" i="4"/>
  <c r="N1631" i="4"/>
  <c r="N1647" i="4"/>
  <c r="N1663" i="4"/>
  <c r="N1679" i="4"/>
  <c r="N1695" i="4"/>
  <c r="N1711" i="4"/>
  <c r="N1727" i="4"/>
  <c r="N1743" i="4"/>
  <c r="N1759" i="4"/>
  <c r="N1775" i="4"/>
  <c r="N1791" i="4"/>
  <c r="N1807" i="4"/>
  <c r="N1823" i="4"/>
  <c r="N1839" i="4"/>
  <c r="N1855" i="4"/>
  <c r="N1871" i="4"/>
  <c r="N1887" i="4"/>
  <c r="N1903" i="4"/>
  <c r="N1919" i="4"/>
  <c r="N1935" i="4"/>
  <c r="N1951" i="4"/>
  <c r="N1967" i="4"/>
  <c r="N1983" i="4"/>
  <c r="N1999" i="4"/>
  <c r="N2015" i="4"/>
  <c r="N2031" i="4"/>
  <c r="N2047" i="4"/>
  <c r="N2063" i="4"/>
  <c r="N2079" i="4"/>
  <c r="N2095" i="4"/>
  <c r="N2111" i="4"/>
  <c r="N2127" i="4"/>
  <c r="N2143" i="4"/>
  <c r="N2159" i="4"/>
  <c r="N2175" i="4"/>
  <c r="N2191" i="4"/>
  <c r="N2207" i="4"/>
  <c r="N2223" i="4"/>
  <c r="N2239" i="4"/>
  <c r="N2255" i="4"/>
  <c r="N2271" i="4"/>
  <c r="N2287" i="4"/>
  <c r="N2303" i="4"/>
  <c r="N2315" i="4"/>
  <c r="N2323" i="4"/>
  <c r="N2331" i="4"/>
  <c r="N2337" i="4"/>
  <c r="N2343" i="4"/>
  <c r="N2348" i="4"/>
  <c r="N2353" i="4"/>
  <c r="N2359" i="4"/>
  <c r="N2364" i="4"/>
  <c r="N2369" i="4"/>
  <c r="N2375" i="4"/>
  <c r="N2380" i="4"/>
  <c r="N2385" i="4"/>
  <c r="N2391" i="4"/>
  <c r="N2396" i="4"/>
  <c r="N2401" i="4"/>
  <c r="N2407" i="4"/>
  <c r="N2412" i="4"/>
  <c r="N2417" i="4"/>
  <c r="N2423" i="4"/>
  <c r="N2428" i="4"/>
  <c r="N2433" i="4"/>
  <c r="N2439" i="4"/>
  <c r="N2444" i="4"/>
  <c r="N2449" i="4"/>
  <c r="N2455" i="4"/>
  <c r="N2460" i="4"/>
  <c r="N2465" i="4"/>
  <c r="N2471" i="4"/>
  <c r="N2476" i="4"/>
  <c r="N2481" i="4"/>
  <c r="N2487" i="4"/>
  <c r="N2492" i="4"/>
  <c r="N2497" i="4"/>
  <c r="N2503" i="4"/>
  <c r="N2508" i="4"/>
  <c r="N2513" i="4"/>
  <c r="N2519" i="4"/>
  <c r="N2524" i="4"/>
  <c r="N2529" i="4"/>
  <c r="N2535" i="4"/>
  <c r="N2540" i="4"/>
  <c r="N2545" i="4"/>
  <c r="N2551" i="4"/>
  <c r="N2556" i="4"/>
  <c r="N2561" i="4"/>
  <c r="N2567" i="4"/>
  <c r="N2572" i="4"/>
  <c r="N2577" i="4"/>
  <c r="N2583" i="4"/>
  <c r="N2588" i="4"/>
  <c r="N2593" i="4"/>
  <c r="N2599" i="4"/>
  <c r="N2604" i="4"/>
  <c r="N2609" i="4"/>
  <c r="N2615" i="4"/>
  <c r="N2620" i="4"/>
  <c r="N2625" i="4"/>
  <c r="N2631" i="4"/>
  <c r="N2636" i="4"/>
  <c r="N2641" i="4"/>
  <c r="N2647" i="4"/>
  <c r="N2652" i="4"/>
  <c r="N2657" i="4"/>
  <c r="N2663" i="4"/>
  <c r="N2668" i="4"/>
  <c r="N2673" i="4"/>
  <c r="N2679" i="4"/>
  <c r="N2684" i="4"/>
  <c r="N2689" i="4"/>
  <c r="N2695" i="4"/>
  <c r="N2700" i="4"/>
  <c r="N2705" i="4"/>
  <c r="N2711" i="4"/>
  <c r="N2716" i="4"/>
  <c r="N2721" i="4"/>
  <c r="N2727" i="4"/>
  <c r="N2732" i="4"/>
  <c r="N2737" i="4"/>
  <c r="N2743" i="4"/>
  <c r="N2748" i="4"/>
  <c r="N2753" i="4"/>
  <c r="N2759" i="4"/>
  <c r="N2764" i="4"/>
  <c r="N2769" i="4"/>
  <c r="N2775" i="4"/>
  <c r="N2780" i="4"/>
  <c r="N2785" i="4"/>
  <c r="N2791" i="4"/>
  <c r="N2796" i="4"/>
  <c r="N2801" i="4"/>
  <c r="N2807" i="4"/>
  <c r="N2812" i="4"/>
  <c r="N2817" i="4"/>
  <c r="N2823" i="4"/>
  <c r="N2828" i="4"/>
  <c r="N2833" i="4"/>
  <c r="N2839" i="4"/>
  <c r="N2844" i="4"/>
  <c r="N2848" i="4"/>
  <c r="N2852" i="4"/>
  <c r="N2856" i="4"/>
  <c r="N2860" i="4"/>
  <c r="N2864" i="4"/>
  <c r="N2868" i="4"/>
  <c r="N2872" i="4"/>
  <c r="N2876" i="4"/>
  <c r="N2880" i="4"/>
  <c r="N2884" i="4"/>
  <c r="N2888" i="4"/>
  <c r="N2892" i="4"/>
  <c r="N2896" i="4"/>
  <c r="N2900" i="4"/>
  <c r="N2904" i="4"/>
  <c r="N2908" i="4"/>
  <c r="N2912" i="4"/>
  <c r="N2916" i="4"/>
  <c r="N2920" i="4"/>
  <c r="N2924" i="4"/>
  <c r="N2928" i="4"/>
  <c r="N2932" i="4"/>
  <c r="N2936" i="4"/>
  <c r="N2940" i="4"/>
  <c r="N2944" i="4"/>
  <c r="N2948" i="4"/>
  <c r="N2952" i="4"/>
  <c r="N2956" i="4"/>
  <c r="N2960" i="4"/>
  <c r="N2964" i="4"/>
  <c r="N2968" i="4"/>
  <c r="N2972" i="4"/>
  <c r="N2976" i="4"/>
  <c r="N2980" i="4"/>
  <c r="N2984" i="4"/>
  <c r="N2988" i="4"/>
  <c r="N2992" i="4"/>
  <c r="N2996" i="4"/>
  <c r="N3000" i="4"/>
  <c r="N3004" i="4"/>
  <c r="N3008" i="4"/>
  <c r="N3012" i="4"/>
  <c r="N3016" i="4"/>
  <c r="N3020" i="4"/>
  <c r="N3024" i="4"/>
  <c r="N3028" i="4"/>
  <c r="N3032" i="4"/>
  <c r="N3036" i="4"/>
  <c r="N3040" i="4"/>
  <c r="N3044" i="4"/>
  <c r="N3048" i="4"/>
  <c r="N3052" i="4"/>
  <c r="N3056" i="4"/>
  <c r="N3060" i="4"/>
  <c r="N3064" i="4"/>
  <c r="N3068" i="4"/>
  <c r="N3072" i="4"/>
  <c r="N3076" i="4"/>
  <c r="N3080" i="4"/>
  <c r="N3084" i="4"/>
  <c r="N3088" i="4"/>
  <c r="N3092" i="4"/>
  <c r="N3096" i="4"/>
  <c r="N3100" i="4"/>
  <c r="N3104" i="4"/>
  <c r="N3108" i="4"/>
  <c r="N3112" i="4"/>
  <c r="N3116" i="4"/>
  <c r="N3120" i="4"/>
  <c r="N3124" i="4"/>
  <c r="N3128" i="4"/>
  <c r="N3132" i="4"/>
  <c r="N3136" i="4"/>
  <c r="N3140" i="4"/>
  <c r="N3144" i="4"/>
  <c r="N3148" i="4"/>
  <c r="N3152" i="4"/>
  <c r="N3156" i="4"/>
  <c r="N3160" i="4"/>
  <c r="N3164" i="4"/>
  <c r="N3168" i="4"/>
  <c r="N3172" i="4"/>
  <c r="N3176" i="4"/>
  <c r="N3180" i="4"/>
  <c r="N3184" i="4"/>
  <c r="N3188" i="4"/>
  <c r="N3192" i="4"/>
  <c r="N3196" i="4"/>
  <c r="N3200" i="4"/>
  <c r="N3204" i="4"/>
  <c r="N3208" i="4"/>
  <c r="N3212" i="4"/>
  <c r="N3216" i="4"/>
  <c r="N3220" i="4"/>
  <c r="N3224" i="4"/>
  <c r="N3228" i="4"/>
  <c r="N3232" i="4"/>
  <c r="N3236" i="4"/>
  <c r="N3240" i="4"/>
  <c r="N3244" i="4"/>
  <c r="N3248" i="4"/>
  <c r="N3252" i="4"/>
  <c r="N3256" i="4"/>
  <c r="N3260" i="4"/>
  <c r="N3264" i="4"/>
  <c r="N3268" i="4"/>
  <c r="N3272" i="4"/>
  <c r="N3276" i="4"/>
  <c r="N3280" i="4"/>
  <c r="N3284" i="4"/>
  <c r="N3288" i="4"/>
  <c r="N3292" i="4"/>
  <c r="N3296" i="4"/>
  <c r="N3300" i="4"/>
  <c r="N3304" i="4"/>
  <c r="N3308" i="4"/>
  <c r="N3312" i="4"/>
  <c r="N3316" i="4"/>
  <c r="N3320" i="4"/>
  <c r="N3324" i="4"/>
  <c r="N3328" i="4"/>
  <c r="N3332" i="4"/>
  <c r="N3336" i="4"/>
  <c r="N3340" i="4"/>
  <c r="N3344" i="4"/>
  <c r="N3348" i="4"/>
  <c r="N3352" i="4"/>
  <c r="N3356" i="4"/>
  <c r="N3360" i="4"/>
  <c r="N3364" i="4"/>
  <c r="N3368" i="4"/>
  <c r="N3372" i="4"/>
  <c r="N3376" i="4"/>
  <c r="N3380" i="4"/>
  <c r="N3384" i="4"/>
  <c r="N3388" i="4"/>
  <c r="N3392" i="4"/>
  <c r="N3396" i="4"/>
  <c r="N3400" i="4"/>
  <c r="N3404" i="4"/>
  <c r="N3408" i="4"/>
  <c r="N3412" i="4"/>
  <c r="N3416" i="4"/>
  <c r="N3420" i="4"/>
  <c r="N3424" i="4"/>
  <c r="N3428" i="4"/>
  <c r="N3432" i="4"/>
  <c r="N3436" i="4"/>
  <c r="N3440" i="4"/>
  <c r="N3444" i="4"/>
  <c r="N3448" i="4"/>
  <c r="N3452" i="4"/>
  <c r="N3456" i="4"/>
  <c r="N3460" i="4"/>
  <c r="N3464" i="4"/>
  <c r="N3468" i="4"/>
  <c r="N3472" i="4"/>
  <c r="N3476" i="4"/>
  <c r="N3480" i="4"/>
  <c r="N3484" i="4"/>
  <c r="N3488" i="4"/>
  <c r="N3492" i="4"/>
  <c r="N3496" i="4"/>
  <c r="N3500" i="4"/>
  <c r="N3504" i="4"/>
  <c r="N3508" i="4"/>
  <c r="N3512" i="4"/>
  <c r="N3516" i="4"/>
  <c r="N3520" i="4"/>
  <c r="N3524" i="4"/>
  <c r="N3528" i="4"/>
  <c r="N3532" i="4"/>
  <c r="N3536" i="4"/>
  <c r="N3540" i="4"/>
  <c r="N3544" i="4"/>
  <c r="N3548" i="4"/>
  <c r="N3552" i="4"/>
  <c r="N3556" i="4"/>
  <c r="N3560" i="4"/>
  <c r="N3564" i="4"/>
  <c r="N3568" i="4"/>
  <c r="N3572" i="4"/>
  <c r="N3576" i="4"/>
  <c r="N3580" i="4"/>
  <c r="N3584" i="4"/>
  <c r="N3588" i="4"/>
  <c r="N3592" i="4"/>
  <c r="N3596" i="4"/>
  <c r="N3600" i="4"/>
  <c r="N3604" i="4"/>
  <c r="N3608" i="4"/>
  <c r="N3612" i="4"/>
  <c r="N3616" i="4"/>
  <c r="N3620" i="4"/>
  <c r="N3624" i="4"/>
  <c r="N3628" i="4"/>
  <c r="N3632" i="4"/>
  <c r="N3636" i="4"/>
  <c r="N3640" i="4"/>
  <c r="N3644" i="4"/>
  <c r="N3648" i="4"/>
  <c r="N3652" i="4"/>
  <c r="N3656" i="4"/>
  <c r="N3660" i="4"/>
  <c r="N3664" i="4"/>
  <c r="N3668" i="4"/>
  <c r="N3672" i="4"/>
  <c r="N3676" i="4"/>
  <c r="N3680" i="4"/>
  <c r="N3684" i="4"/>
  <c r="N3688" i="4"/>
  <c r="N3692" i="4"/>
  <c r="N3696" i="4"/>
  <c r="N3700" i="4"/>
  <c r="N3704" i="4"/>
  <c r="N3708" i="4"/>
  <c r="N3712" i="4"/>
  <c r="N3716" i="4"/>
  <c r="N3720" i="4"/>
  <c r="N3724" i="4"/>
  <c r="N3728" i="4"/>
  <c r="N3732" i="4"/>
  <c r="N3736" i="4"/>
  <c r="N3740" i="4"/>
  <c r="N3744" i="4"/>
  <c r="N3748" i="4"/>
  <c r="N3752" i="4"/>
  <c r="N3756" i="4"/>
  <c r="N3760" i="4"/>
  <c r="N3764" i="4"/>
  <c r="N3768" i="4"/>
  <c r="N3772" i="4"/>
  <c r="N3776" i="4"/>
  <c r="N3780" i="4"/>
  <c r="N3784" i="4"/>
  <c r="N3788" i="4"/>
  <c r="N3792" i="4"/>
  <c r="N3796" i="4"/>
  <c r="N3800" i="4"/>
  <c r="N3804" i="4"/>
  <c r="N3808" i="4"/>
  <c r="N3812" i="4"/>
  <c r="N3816" i="4"/>
  <c r="N3820" i="4"/>
  <c r="N3824" i="4"/>
  <c r="N3828" i="4"/>
  <c r="N3832" i="4"/>
  <c r="N3836" i="4"/>
  <c r="N3840" i="4"/>
  <c r="N3844" i="4"/>
  <c r="N3848" i="4"/>
  <c r="N3852" i="4"/>
  <c r="N3856" i="4"/>
  <c r="N3860" i="4"/>
  <c r="N3864" i="4"/>
  <c r="N3868" i="4"/>
  <c r="N3872" i="4"/>
  <c r="N3876" i="4"/>
  <c r="N3880" i="4"/>
  <c r="N3884" i="4"/>
  <c r="N3888" i="4"/>
  <c r="N3892" i="4"/>
  <c r="N3896" i="4"/>
  <c r="N3900" i="4"/>
  <c r="N3904" i="4"/>
  <c r="N3908" i="4"/>
  <c r="N3912" i="4"/>
  <c r="N3916" i="4"/>
  <c r="N3920" i="4"/>
  <c r="N3924" i="4"/>
  <c r="N3928" i="4"/>
  <c r="N3932" i="4"/>
  <c r="N3936" i="4"/>
  <c r="N3940" i="4"/>
  <c r="N3944" i="4"/>
  <c r="N3948" i="4"/>
  <c r="N3952" i="4"/>
  <c r="N3956" i="4"/>
  <c r="N3960" i="4"/>
  <c r="N3964" i="4"/>
  <c r="N3968" i="4"/>
  <c r="N3972" i="4"/>
  <c r="N3976" i="4"/>
  <c r="N3980" i="4"/>
  <c r="N3984" i="4"/>
  <c r="N3988" i="4"/>
  <c r="N3992" i="4"/>
  <c r="N3996" i="4"/>
  <c r="N4000" i="4"/>
  <c r="N4004" i="4"/>
  <c r="N4008" i="4"/>
  <c r="N4012" i="4"/>
  <c r="N4016" i="4"/>
  <c r="N4020" i="4"/>
  <c r="N4024" i="4"/>
  <c r="N4028" i="4"/>
  <c r="N4032" i="4"/>
  <c r="N4036" i="4"/>
  <c r="N4040" i="4"/>
  <c r="N4044" i="4"/>
  <c r="N4048" i="4"/>
  <c r="N4052" i="4"/>
  <c r="N4056" i="4"/>
  <c r="N4060" i="4"/>
  <c r="N4064" i="4"/>
  <c r="N4068" i="4"/>
  <c r="N133" i="4"/>
  <c r="N379" i="4"/>
  <c r="N474" i="4"/>
  <c r="N559" i="4"/>
  <c r="N643" i="4"/>
  <c r="N707" i="4"/>
  <c r="N771" i="4"/>
  <c r="N835" i="4"/>
  <c r="N899" i="4"/>
  <c r="N963" i="4"/>
  <c r="N1027" i="4"/>
  <c r="N1091" i="4"/>
  <c r="N1155" i="4"/>
  <c r="N1219" i="4"/>
  <c r="N1283" i="4"/>
  <c r="N1347" i="4"/>
  <c r="N1411" i="4"/>
  <c r="N1475" i="4"/>
  <c r="N1539" i="4"/>
  <c r="N1603" i="4"/>
  <c r="N1667" i="4"/>
  <c r="N1731" i="4"/>
  <c r="N1795" i="4"/>
  <c r="N1859" i="4"/>
  <c r="N1923" i="4"/>
  <c r="N1987" i="4"/>
  <c r="N2051" i="4"/>
  <c r="N2115" i="4"/>
  <c r="N2179" i="4"/>
  <c r="N2243" i="4"/>
  <c r="N2307" i="4"/>
  <c r="N2339" i="4"/>
  <c r="N2360" i="4"/>
  <c r="N2381" i="4"/>
  <c r="N2403" i="4"/>
  <c r="N2424" i="4"/>
  <c r="N2445" i="4"/>
  <c r="N2467" i="4"/>
  <c r="N2488" i="4"/>
  <c r="N2509" i="4"/>
  <c r="N2531" i="4"/>
  <c r="N2552" i="4"/>
  <c r="N2573" i="4"/>
  <c r="N2595" i="4"/>
  <c r="N2616" i="4"/>
  <c r="N2637" i="4"/>
  <c r="N2659" i="4"/>
  <c r="N2680" i="4"/>
  <c r="N2701" i="4"/>
  <c r="N2723" i="4"/>
  <c r="N2744" i="4"/>
  <c r="N2765" i="4"/>
  <c r="N2787" i="4"/>
  <c r="N2808" i="4"/>
  <c r="N2829" i="4"/>
  <c r="N2849" i="4"/>
  <c r="N2865" i="4"/>
  <c r="N2881" i="4"/>
  <c r="N2897" i="4"/>
  <c r="N2913" i="4"/>
  <c r="N2929" i="4"/>
  <c r="N2945" i="4"/>
  <c r="N2961" i="4"/>
  <c r="N2977" i="4"/>
  <c r="N2993" i="4"/>
  <c r="N3009" i="4"/>
  <c r="N3025" i="4"/>
  <c r="N3041" i="4"/>
  <c r="N3057" i="4"/>
  <c r="N3073" i="4"/>
  <c r="N3089" i="4"/>
  <c r="N3105" i="4"/>
  <c r="N3121" i="4"/>
  <c r="N3137" i="4"/>
  <c r="N3153" i="4"/>
  <c r="N3169" i="4"/>
  <c r="N3185" i="4"/>
  <c r="N3201" i="4"/>
  <c r="N3217" i="4"/>
  <c r="N3233" i="4"/>
  <c r="N3249" i="4"/>
  <c r="N3265" i="4"/>
  <c r="N3281" i="4"/>
  <c r="N3297" i="4"/>
  <c r="N3313" i="4"/>
  <c r="N3329" i="4"/>
  <c r="N3345" i="4"/>
  <c r="N3361" i="4"/>
  <c r="N3377" i="4"/>
  <c r="N3393" i="4"/>
  <c r="N3409" i="4"/>
  <c r="N3425" i="4"/>
  <c r="N3441" i="4"/>
  <c r="N3457" i="4"/>
  <c r="N3473" i="4"/>
  <c r="N3489" i="4"/>
  <c r="N3505" i="4"/>
  <c r="N3521" i="4"/>
  <c r="N3537" i="4"/>
  <c r="N3553" i="4"/>
  <c r="N3569" i="4"/>
  <c r="N3585" i="4"/>
  <c r="N3601" i="4"/>
  <c r="N3617" i="4"/>
  <c r="N3633" i="4"/>
  <c r="N3649" i="4"/>
  <c r="N3665" i="4"/>
  <c r="N3681" i="4"/>
  <c r="N3697" i="4"/>
  <c r="N3713" i="4"/>
  <c r="N3729" i="4"/>
  <c r="N3745" i="4"/>
  <c r="N3761" i="4"/>
  <c r="N3777" i="4"/>
  <c r="N3793" i="4"/>
  <c r="N3809" i="4"/>
  <c r="N3825" i="4"/>
  <c r="N3841" i="4"/>
  <c r="N3857" i="4"/>
  <c r="N3873" i="4"/>
  <c r="N3889" i="4"/>
  <c r="N3905" i="4"/>
  <c r="N3921" i="4"/>
  <c r="N3937" i="4"/>
  <c r="N3953" i="4"/>
  <c r="N3969" i="4"/>
  <c r="N3985" i="4"/>
  <c r="N4001" i="4"/>
  <c r="N4017" i="4"/>
  <c r="N4033" i="4"/>
  <c r="N4049" i="4"/>
  <c r="N4065" i="4"/>
  <c r="N4076" i="4"/>
  <c r="N4084" i="4"/>
  <c r="N4092" i="4"/>
  <c r="N4100" i="4"/>
  <c r="N4108" i="4"/>
  <c r="N4116" i="4"/>
  <c r="N4124" i="4"/>
  <c r="N4132" i="4"/>
  <c r="N4140" i="4"/>
  <c r="N4148" i="4"/>
  <c r="N4156" i="4"/>
  <c r="N4164" i="4"/>
  <c r="N4172" i="4"/>
  <c r="N4180" i="4"/>
  <c r="N4188" i="4"/>
  <c r="N4193" i="4"/>
  <c r="N4198" i="4"/>
  <c r="N4204" i="4"/>
  <c r="N4209" i="4"/>
  <c r="N4214" i="4"/>
  <c r="N4220" i="4"/>
  <c r="N4225" i="4"/>
  <c r="N4230" i="4"/>
  <c r="N4236" i="4"/>
  <c r="N4241" i="4"/>
  <c r="N4246" i="4"/>
  <c r="N4252" i="4"/>
  <c r="N4257" i="4"/>
  <c r="N4262" i="4"/>
  <c r="N4268" i="4"/>
  <c r="N4273" i="4"/>
  <c r="N4278" i="4"/>
  <c r="N4284" i="4"/>
  <c r="N4289" i="4"/>
  <c r="N4294" i="4"/>
  <c r="N4300" i="4"/>
  <c r="N4305" i="4"/>
  <c r="N4310" i="4"/>
  <c r="N4316" i="4"/>
  <c r="N4321" i="4"/>
  <c r="N4326" i="4"/>
  <c r="N4332" i="4"/>
  <c r="N4337" i="4"/>
  <c r="N4342" i="4"/>
  <c r="N4348" i="4"/>
  <c r="N4353" i="4"/>
  <c r="N4358" i="4"/>
  <c r="N4364" i="4"/>
  <c r="N4369" i="4"/>
  <c r="N4374" i="4"/>
  <c r="N4380" i="4"/>
  <c r="N4385" i="4"/>
  <c r="N4390" i="4"/>
  <c r="N4396" i="4"/>
  <c r="N4401" i="4"/>
  <c r="N4406" i="4"/>
  <c r="N4412" i="4"/>
  <c r="N4417" i="4"/>
  <c r="N4422" i="4"/>
  <c r="N4428" i="4"/>
  <c r="N4433" i="4"/>
  <c r="N4438" i="4"/>
  <c r="N4444" i="4"/>
  <c r="N4449" i="4"/>
  <c r="N4454" i="4"/>
  <c r="N4460" i="4"/>
  <c r="N4465" i="4"/>
  <c r="N4470" i="4"/>
  <c r="N4476" i="4"/>
  <c r="N4481" i="4"/>
  <c r="N4486" i="4"/>
  <c r="N4492" i="4"/>
  <c r="N4497" i="4"/>
  <c r="N4502" i="4"/>
  <c r="N4508" i="4"/>
  <c r="N4513" i="4"/>
  <c r="N4518" i="4"/>
  <c r="N4524" i="4"/>
  <c r="N4529" i="4"/>
  <c r="N4534" i="4"/>
  <c r="N4540" i="4"/>
  <c r="N4545" i="4"/>
  <c r="N4550" i="4"/>
  <c r="N4556" i="4"/>
  <c r="N4561" i="4"/>
  <c r="N4566" i="4"/>
  <c r="N4572" i="4"/>
  <c r="N4577" i="4"/>
  <c r="N4582" i="4"/>
  <c r="N4588" i="4"/>
  <c r="N4593" i="4"/>
  <c r="N4598" i="4"/>
  <c r="N4604" i="4"/>
  <c r="N4609" i="4"/>
  <c r="N4614" i="4"/>
  <c r="N4620" i="4"/>
  <c r="N4625" i="4"/>
  <c r="N4630" i="4"/>
  <c r="N4634" i="4"/>
  <c r="N4638" i="4"/>
  <c r="N4642" i="4"/>
  <c r="N4646" i="4"/>
  <c r="N4650" i="4"/>
  <c r="N4654" i="4"/>
  <c r="N4658" i="4"/>
  <c r="N4662" i="4"/>
  <c r="N4666" i="4"/>
  <c r="N4670" i="4"/>
  <c r="N4674" i="4"/>
  <c r="N4678" i="4"/>
  <c r="N4682" i="4"/>
  <c r="N4686" i="4"/>
  <c r="N4690" i="4"/>
  <c r="N4694" i="4"/>
  <c r="N4698" i="4"/>
  <c r="N4702" i="4"/>
  <c r="N4706" i="4"/>
  <c r="N4710" i="4"/>
  <c r="N4714" i="4"/>
  <c r="N4718" i="4"/>
  <c r="N4722" i="4"/>
  <c r="N4726" i="4"/>
  <c r="N4730" i="4"/>
  <c r="N4734" i="4"/>
  <c r="N4738" i="4"/>
  <c r="N4742" i="4"/>
  <c r="N4746" i="4"/>
  <c r="N4750" i="4"/>
  <c r="N4754" i="4"/>
  <c r="N4758" i="4"/>
  <c r="N4762" i="4"/>
  <c r="N4766" i="4"/>
  <c r="N4770" i="4"/>
  <c r="N4774" i="4"/>
  <c r="N4778" i="4"/>
  <c r="N4782" i="4"/>
  <c r="N4786" i="4"/>
  <c r="N4790" i="4"/>
  <c r="N4794" i="4"/>
  <c r="N4798" i="4"/>
  <c r="N4802" i="4"/>
  <c r="N4806" i="4"/>
  <c r="N4810" i="4"/>
  <c r="N4814" i="4"/>
  <c r="N4818" i="4"/>
  <c r="N4822" i="4"/>
  <c r="N4826" i="4"/>
  <c r="N4830" i="4"/>
  <c r="N4834" i="4"/>
  <c r="N4838" i="4"/>
  <c r="N4842" i="4"/>
  <c r="N4846" i="4"/>
  <c r="N4850" i="4"/>
  <c r="N4854" i="4"/>
  <c r="N4858" i="4"/>
  <c r="N4862" i="4"/>
  <c r="N4866" i="4"/>
  <c r="N4870" i="4"/>
  <c r="N4874" i="4"/>
  <c r="N4878" i="4"/>
  <c r="N4882" i="4"/>
  <c r="N4886" i="4"/>
  <c r="N4890" i="4"/>
  <c r="N4894" i="4"/>
  <c r="N4898" i="4"/>
  <c r="N4902" i="4"/>
  <c r="N4906" i="4"/>
  <c r="N4910" i="4"/>
  <c r="N4914" i="4"/>
  <c r="N4918" i="4"/>
  <c r="N4922" i="4"/>
  <c r="N4926" i="4"/>
  <c r="N4930" i="4"/>
  <c r="N4934" i="4"/>
  <c r="N4938" i="4"/>
  <c r="N4942" i="4"/>
  <c r="N4946" i="4"/>
  <c r="N4950" i="4"/>
  <c r="N4954" i="4"/>
  <c r="N4958" i="4"/>
  <c r="N4962" i="4"/>
  <c r="N4966" i="4"/>
  <c r="N4970" i="4"/>
  <c r="N4974" i="4"/>
  <c r="N4978" i="4"/>
  <c r="N4982" i="4"/>
  <c r="N4986" i="4"/>
  <c r="N4990" i="4"/>
  <c r="N4994" i="4"/>
  <c r="N4998" i="4"/>
  <c r="N5002" i="4"/>
  <c r="N5006" i="4"/>
  <c r="N197" i="4"/>
  <c r="N410" i="4"/>
  <c r="N495" i="4"/>
  <c r="N581" i="4"/>
  <c r="N659" i="4"/>
  <c r="N723" i="4"/>
  <c r="N787" i="4"/>
  <c r="N851" i="4"/>
  <c r="N915" i="4"/>
  <c r="N979" i="4"/>
  <c r="N1043" i="4"/>
  <c r="N1107" i="4"/>
  <c r="N1171" i="4"/>
  <c r="N1235" i="4"/>
  <c r="N1299" i="4"/>
  <c r="N1363" i="4"/>
  <c r="N1427" i="4"/>
  <c r="N1491" i="4"/>
  <c r="N1555" i="4"/>
  <c r="N1619" i="4"/>
  <c r="N1683" i="4"/>
  <c r="N1747" i="4"/>
  <c r="N1811" i="4"/>
  <c r="N1875" i="4"/>
  <c r="N1939" i="4"/>
  <c r="N2003" i="4"/>
  <c r="N2067" i="4"/>
  <c r="N2131" i="4"/>
  <c r="N2195" i="4"/>
  <c r="N2259" i="4"/>
  <c r="N2316" i="4"/>
  <c r="N2344" i="4"/>
  <c r="N2365" i="4"/>
  <c r="N2387" i="4"/>
  <c r="N2408" i="4"/>
  <c r="N2429" i="4"/>
  <c r="N2451" i="4"/>
  <c r="N2472" i="4"/>
  <c r="N2493" i="4"/>
  <c r="N2515" i="4"/>
  <c r="N2536" i="4"/>
  <c r="N2557" i="4"/>
  <c r="N2579" i="4"/>
  <c r="N2600" i="4"/>
  <c r="N2621" i="4"/>
  <c r="N2643" i="4"/>
  <c r="N2664" i="4"/>
  <c r="N2685" i="4"/>
  <c r="N2707" i="4"/>
  <c r="N2728" i="4"/>
  <c r="N2749" i="4"/>
  <c r="N2771" i="4"/>
  <c r="N2792" i="4"/>
  <c r="N2813" i="4"/>
  <c r="N2835" i="4"/>
  <c r="N2853" i="4"/>
  <c r="N2869" i="4"/>
  <c r="N2885" i="4"/>
  <c r="N2901" i="4"/>
  <c r="N2917" i="4"/>
  <c r="N2933" i="4"/>
  <c r="N2949" i="4"/>
  <c r="N2965" i="4"/>
  <c r="N2981" i="4"/>
  <c r="N2997" i="4"/>
  <c r="N3013" i="4"/>
  <c r="N3029" i="4"/>
  <c r="N3045" i="4"/>
  <c r="N3061" i="4"/>
  <c r="N3077" i="4"/>
  <c r="N3093" i="4"/>
  <c r="N3109" i="4"/>
  <c r="N3125" i="4"/>
  <c r="N3141" i="4"/>
  <c r="N3157" i="4"/>
  <c r="N3173" i="4"/>
  <c r="N3189" i="4"/>
  <c r="N3205" i="4"/>
  <c r="N3221" i="4"/>
  <c r="N3237" i="4"/>
  <c r="N3253" i="4"/>
  <c r="N3269" i="4"/>
  <c r="N3285" i="4"/>
  <c r="N3301" i="4"/>
  <c r="N3317" i="4"/>
  <c r="N3333" i="4"/>
  <c r="N3349" i="4"/>
  <c r="N3365" i="4"/>
  <c r="N3381" i="4"/>
  <c r="N3397" i="4"/>
  <c r="N3413" i="4"/>
  <c r="N3429" i="4"/>
  <c r="N3445" i="4"/>
  <c r="N3461" i="4"/>
  <c r="N3477" i="4"/>
  <c r="N3493" i="4"/>
  <c r="N3509" i="4"/>
  <c r="N3525" i="4"/>
  <c r="N3541" i="4"/>
  <c r="N3557" i="4"/>
  <c r="N3573" i="4"/>
  <c r="N3589" i="4"/>
  <c r="N3605" i="4"/>
  <c r="N3621" i="4"/>
  <c r="N3637" i="4"/>
  <c r="N3653" i="4"/>
  <c r="N3669" i="4"/>
  <c r="N3685" i="4"/>
  <c r="N3701" i="4"/>
  <c r="N3717" i="4"/>
  <c r="N3733" i="4"/>
  <c r="N3749" i="4"/>
  <c r="N3765" i="4"/>
  <c r="N3781" i="4"/>
  <c r="N3797" i="4"/>
  <c r="N3813" i="4"/>
  <c r="N3829" i="4"/>
  <c r="N3845" i="4"/>
  <c r="N3861" i="4"/>
  <c r="N3877" i="4"/>
  <c r="N3893" i="4"/>
  <c r="N3909" i="4"/>
  <c r="N3925" i="4"/>
  <c r="N3941" i="4"/>
  <c r="N3957" i="4"/>
  <c r="N3973" i="4"/>
  <c r="N3989" i="4"/>
  <c r="N4005" i="4"/>
  <c r="N4021" i="4"/>
  <c r="N4037" i="4"/>
  <c r="N4053" i="4"/>
  <c r="N4069" i="4"/>
  <c r="N4077" i="4"/>
  <c r="N4085" i="4"/>
  <c r="N4093" i="4"/>
  <c r="N4101" i="4"/>
  <c r="N4109" i="4"/>
  <c r="N4117" i="4"/>
  <c r="N4125" i="4"/>
  <c r="N4133" i="4"/>
  <c r="N4141" i="4"/>
  <c r="N4149" i="4"/>
  <c r="N4157" i="4"/>
  <c r="N4165" i="4"/>
  <c r="N4173" i="4"/>
  <c r="N4181" i="4"/>
  <c r="N4189" i="4"/>
  <c r="N4194" i="4"/>
  <c r="N4200" i="4"/>
  <c r="N4205" i="4"/>
  <c r="N4210" i="4"/>
  <c r="N4216" i="4"/>
  <c r="N4221" i="4"/>
  <c r="N4226" i="4"/>
  <c r="N4232" i="4"/>
  <c r="N4237" i="4"/>
  <c r="N4242" i="4"/>
  <c r="N4248" i="4"/>
  <c r="N4253" i="4"/>
  <c r="N4258" i="4"/>
  <c r="N4264" i="4"/>
  <c r="N4269" i="4"/>
  <c r="N4274" i="4"/>
  <c r="N4280" i="4"/>
  <c r="N4285" i="4"/>
  <c r="N4290" i="4"/>
  <c r="N4296" i="4"/>
  <c r="N4301" i="4"/>
  <c r="N4306" i="4"/>
  <c r="N4312" i="4"/>
  <c r="N4317" i="4"/>
  <c r="N4322" i="4"/>
  <c r="N4328" i="4"/>
  <c r="N4333" i="4"/>
  <c r="N4338" i="4"/>
  <c r="N4344" i="4"/>
  <c r="N4349" i="4"/>
  <c r="N4354" i="4"/>
  <c r="N4360" i="4"/>
  <c r="N4365" i="4"/>
  <c r="N4370" i="4"/>
  <c r="N4376" i="4"/>
  <c r="N4381" i="4"/>
  <c r="N4386" i="4"/>
  <c r="N4392" i="4"/>
  <c r="N4397" i="4"/>
  <c r="N4402" i="4"/>
  <c r="N4408" i="4"/>
  <c r="N4413" i="4"/>
  <c r="N4418" i="4"/>
  <c r="N4424" i="4"/>
  <c r="N4429" i="4"/>
  <c r="N4434" i="4"/>
  <c r="N4440" i="4"/>
  <c r="N4445" i="4"/>
  <c r="N4450" i="4"/>
  <c r="N4456" i="4"/>
  <c r="N4461" i="4"/>
  <c r="N4466" i="4"/>
  <c r="N4472" i="4"/>
  <c r="N4477" i="4"/>
  <c r="N4482" i="4"/>
  <c r="N4488" i="4"/>
  <c r="N4493" i="4"/>
  <c r="N4498" i="4"/>
  <c r="N4504" i="4"/>
  <c r="N4509" i="4"/>
  <c r="N4514" i="4"/>
  <c r="N4520" i="4"/>
  <c r="N4525" i="4"/>
  <c r="N4530" i="4"/>
  <c r="N4536" i="4"/>
  <c r="N4541" i="4"/>
  <c r="N4546" i="4"/>
  <c r="N4552" i="4"/>
  <c r="N4557" i="4"/>
  <c r="N4562" i="4"/>
  <c r="N4568" i="4"/>
  <c r="N4573" i="4"/>
  <c r="N4578" i="4"/>
  <c r="N4584" i="4"/>
  <c r="N4589" i="4"/>
  <c r="N4594" i="4"/>
  <c r="N4600" i="4"/>
  <c r="N4605" i="4"/>
  <c r="N4610" i="4"/>
  <c r="N4616" i="4"/>
  <c r="N4621" i="4"/>
  <c r="N4626" i="4"/>
  <c r="N4631" i="4"/>
  <c r="N4635" i="4"/>
  <c r="N4639" i="4"/>
  <c r="N4643" i="4"/>
  <c r="N4647" i="4"/>
  <c r="N4651" i="4"/>
  <c r="N4655" i="4"/>
  <c r="N4659" i="4"/>
  <c r="N4663" i="4"/>
  <c r="N4667" i="4"/>
  <c r="N4671" i="4"/>
  <c r="N4675" i="4"/>
  <c r="N4679" i="4"/>
  <c r="N4683" i="4"/>
  <c r="N4687" i="4"/>
  <c r="N4691" i="4"/>
  <c r="N4695" i="4"/>
  <c r="N4699" i="4"/>
  <c r="N4703" i="4"/>
  <c r="N4707" i="4"/>
  <c r="N4711" i="4"/>
  <c r="N4715" i="4"/>
  <c r="N4719" i="4"/>
  <c r="N4723" i="4"/>
  <c r="N4727" i="4"/>
  <c r="N4731" i="4"/>
  <c r="N4735" i="4"/>
  <c r="N4739" i="4"/>
  <c r="N4743" i="4"/>
  <c r="N4747" i="4"/>
  <c r="N4751" i="4"/>
  <c r="N4755" i="4"/>
  <c r="N4759" i="4"/>
  <c r="N4763" i="4"/>
  <c r="N4767" i="4"/>
  <c r="N4771" i="4"/>
  <c r="N4775" i="4"/>
  <c r="N4779" i="4"/>
  <c r="N4783" i="4"/>
  <c r="N4787" i="4"/>
  <c r="N4791" i="4"/>
  <c r="N4795" i="4"/>
  <c r="N4799" i="4"/>
  <c r="N4803" i="4"/>
  <c r="N4807" i="4"/>
  <c r="N4811" i="4"/>
  <c r="N4815" i="4"/>
  <c r="N4819" i="4"/>
  <c r="N4823" i="4"/>
  <c r="N4827" i="4"/>
  <c r="N4831" i="4"/>
  <c r="N4835" i="4"/>
  <c r="N4839" i="4"/>
  <c r="N4843" i="4"/>
  <c r="N4847" i="4"/>
  <c r="N4851" i="4"/>
  <c r="N4855" i="4"/>
  <c r="N4859" i="4"/>
  <c r="N4863" i="4"/>
  <c r="N4867" i="4"/>
  <c r="N4871" i="4"/>
  <c r="N4875" i="4"/>
  <c r="N4879" i="4"/>
  <c r="N4883" i="4"/>
  <c r="N4887" i="4"/>
  <c r="N4891" i="4"/>
  <c r="N4895" i="4"/>
  <c r="N4899" i="4"/>
  <c r="N4903" i="4"/>
  <c r="N4907" i="4"/>
  <c r="N4911" i="4"/>
  <c r="N4915" i="4"/>
  <c r="N4919" i="4"/>
  <c r="N4923" i="4"/>
  <c r="N4927" i="4"/>
  <c r="N4931" i="4"/>
  <c r="N4935" i="4"/>
  <c r="N4939" i="4"/>
  <c r="N4943" i="4"/>
  <c r="N4947" i="4"/>
  <c r="N4951" i="4"/>
  <c r="N4955" i="4"/>
  <c r="N4959" i="4"/>
  <c r="N4963" i="4"/>
  <c r="N4967" i="4"/>
  <c r="N4971" i="4"/>
  <c r="N4975" i="4"/>
  <c r="N4979" i="4"/>
  <c r="N4983" i="4"/>
  <c r="N4987" i="4"/>
  <c r="N4991" i="4"/>
  <c r="N4995" i="4"/>
  <c r="N4999" i="4"/>
  <c r="N5003" i="4"/>
  <c r="N5007" i="4"/>
  <c r="N261" i="4"/>
  <c r="N431" i="4"/>
  <c r="N517" i="4"/>
  <c r="N602" i="4"/>
  <c r="N675" i="4"/>
  <c r="N739" i="4"/>
  <c r="N803" i="4"/>
  <c r="N867" i="4"/>
  <c r="N931" i="4"/>
  <c r="N995" i="4"/>
  <c r="N1059" i="4"/>
  <c r="N1123" i="4"/>
  <c r="N1187" i="4"/>
  <c r="N1251" i="4"/>
  <c r="N1315" i="4"/>
  <c r="N1379" i="4"/>
  <c r="N1443" i="4"/>
  <c r="N1507" i="4"/>
  <c r="N1571" i="4"/>
  <c r="N1635" i="4"/>
  <c r="N1699" i="4"/>
  <c r="N1763" i="4"/>
  <c r="N1827" i="4"/>
  <c r="N1891" i="4"/>
  <c r="N1955" i="4"/>
  <c r="N2019" i="4"/>
  <c r="N2083" i="4"/>
  <c r="N2147" i="4"/>
  <c r="N2211" i="4"/>
  <c r="N2275" i="4"/>
  <c r="N2324" i="4"/>
  <c r="N2349" i="4"/>
  <c r="N2371" i="4"/>
  <c r="N2392" i="4"/>
  <c r="N2413" i="4"/>
  <c r="N2435" i="4"/>
  <c r="N2456" i="4"/>
  <c r="N2477" i="4"/>
  <c r="N2499" i="4"/>
  <c r="N2520" i="4"/>
  <c r="N2541" i="4"/>
  <c r="N2563" i="4"/>
  <c r="N2584" i="4"/>
  <c r="N2605" i="4"/>
  <c r="N2627" i="4"/>
  <c r="N2648" i="4"/>
  <c r="N2669" i="4"/>
  <c r="N2691" i="4"/>
  <c r="N2712" i="4"/>
  <c r="N2733" i="4"/>
  <c r="N2755" i="4"/>
  <c r="N2776" i="4"/>
  <c r="N2797" i="4"/>
  <c r="N2819" i="4"/>
  <c r="N2840" i="4"/>
  <c r="N2857" i="4"/>
  <c r="N2873" i="4"/>
  <c r="N2889" i="4"/>
  <c r="N2905" i="4"/>
  <c r="N2921" i="4"/>
  <c r="N2937" i="4"/>
  <c r="N2953" i="4"/>
  <c r="N2969" i="4"/>
  <c r="N2985" i="4"/>
  <c r="N3001" i="4"/>
  <c r="N3017" i="4"/>
  <c r="N3033" i="4"/>
  <c r="N3049" i="4"/>
  <c r="N3065" i="4"/>
  <c r="N3081" i="4"/>
  <c r="N3097" i="4"/>
  <c r="N3113" i="4"/>
  <c r="N3129" i="4"/>
  <c r="N3145" i="4"/>
  <c r="N3161" i="4"/>
  <c r="N3177" i="4"/>
  <c r="N3193" i="4"/>
  <c r="N3209" i="4"/>
  <c r="N3225" i="4"/>
  <c r="N3241" i="4"/>
  <c r="N3257" i="4"/>
  <c r="N3273" i="4"/>
  <c r="N3289" i="4"/>
  <c r="N3305" i="4"/>
  <c r="N3321" i="4"/>
  <c r="N3337" i="4"/>
  <c r="N3353" i="4"/>
  <c r="N3369" i="4"/>
  <c r="N3385" i="4"/>
  <c r="N3401" i="4"/>
  <c r="N3417" i="4"/>
  <c r="N3433" i="4"/>
  <c r="N3449" i="4"/>
  <c r="N3465" i="4"/>
  <c r="N3481" i="4"/>
  <c r="N3497" i="4"/>
  <c r="N3513" i="4"/>
  <c r="N3529" i="4"/>
  <c r="N3545" i="4"/>
  <c r="N3561" i="4"/>
  <c r="N3577" i="4"/>
  <c r="N3593" i="4"/>
  <c r="N3609" i="4"/>
  <c r="N3625" i="4"/>
  <c r="N3641" i="4"/>
  <c r="N3657" i="4"/>
  <c r="N3673" i="4"/>
  <c r="N3689" i="4"/>
  <c r="N3705" i="4"/>
  <c r="N3721" i="4"/>
  <c r="N3737" i="4"/>
  <c r="N3753" i="4"/>
  <c r="N3769" i="4"/>
  <c r="N3785" i="4"/>
  <c r="N3801" i="4"/>
  <c r="N3817" i="4"/>
  <c r="N3833" i="4"/>
  <c r="N3849" i="4"/>
  <c r="N3865" i="4"/>
  <c r="N3881" i="4"/>
  <c r="N3897" i="4"/>
  <c r="N3913" i="4"/>
  <c r="N3929" i="4"/>
  <c r="N3945" i="4"/>
  <c r="N3961" i="4"/>
  <c r="N3977" i="4"/>
  <c r="N3993" i="4"/>
  <c r="N4009" i="4"/>
  <c r="N4025" i="4"/>
  <c r="N4041" i="4"/>
  <c r="N4057" i="4"/>
  <c r="N4072" i="4"/>
  <c r="N4080" i="4"/>
  <c r="N4088" i="4"/>
  <c r="N4096" i="4"/>
  <c r="N4104" i="4"/>
  <c r="N4112" i="4"/>
  <c r="N4120" i="4"/>
  <c r="N4128" i="4"/>
  <c r="N4136" i="4"/>
  <c r="N4144" i="4"/>
  <c r="N4152" i="4"/>
  <c r="N4160" i="4"/>
  <c r="N4168" i="4"/>
  <c r="N4176" i="4"/>
  <c r="N4184" i="4"/>
  <c r="N4190" i="4"/>
  <c r="N4196" i="4"/>
  <c r="N4201" i="4"/>
  <c r="N4206" i="4"/>
  <c r="N4212" i="4"/>
  <c r="N4217" i="4"/>
  <c r="N4222" i="4"/>
  <c r="N4228" i="4"/>
  <c r="N4233" i="4"/>
  <c r="N4238" i="4"/>
  <c r="N4244" i="4"/>
  <c r="N4249" i="4"/>
  <c r="N4254" i="4"/>
  <c r="N4260" i="4"/>
  <c r="N4265" i="4"/>
  <c r="N4270" i="4"/>
  <c r="N4276" i="4"/>
  <c r="N4281" i="4"/>
  <c r="N4286" i="4"/>
  <c r="N4292" i="4"/>
  <c r="N4297" i="4"/>
  <c r="N4302" i="4"/>
  <c r="N4308" i="4"/>
  <c r="N4313" i="4"/>
  <c r="N4318" i="4"/>
  <c r="N4324" i="4"/>
  <c r="N4329" i="4"/>
  <c r="N4334" i="4"/>
  <c r="N4340" i="4"/>
  <c r="N4345" i="4"/>
  <c r="N4350" i="4"/>
  <c r="N4356" i="4"/>
  <c r="N4361" i="4"/>
  <c r="N4366" i="4"/>
  <c r="N4372" i="4"/>
  <c r="N4377" i="4"/>
  <c r="N4382" i="4"/>
  <c r="N4388" i="4"/>
  <c r="N4393" i="4"/>
  <c r="N4398" i="4"/>
  <c r="N4404" i="4"/>
  <c r="N4409" i="4"/>
  <c r="N4414" i="4"/>
  <c r="N4420" i="4"/>
  <c r="N4425" i="4"/>
  <c r="N4430" i="4"/>
  <c r="N4436" i="4"/>
  <c r="N4441" i="4"/>
  <c r="N4446" i="4"/>
  <c r="N4452" i="4"/>
  <c r="N4457" i="4"/>
  <c r="N4462" i="4"/>
  <c r="N4468" i="4"/>
  <c r="N4473" i="4"/>
  <c r="N4478" i="4"/>
  <c r="N4484" i="4"/>
  <c r="N4489" i="4"/>
  <c r="N4494" i="4"/>
  <c r="N4500" i="4"/>
  <c r="N4505" i="4"/>
  <c r="N4510" i="4"/>
  <c r="N4516" i="4"/>
  <c r="N4521" i="4"/>
  <c r="N4526" i="4"/>
  <c r="N4532" i="4"/>
  <c r="N4537" i="4"/>
  <c r="N4542" i="4"/>
  <c r="N4548" i="4"/>
  <c r="N4553" i="4"/>
  <c r="N4558" i="4"/>
  <c r="N4564" i="4"/>
  <c r="N4569" i="4"/>
  <c r="N4574" i="4"/>
  <c r="N4580" i="4"/>
  <c r="N4585" i="4"/>
  <c r="N4590" i="4"/>
  <c r="N4596" i="4"/>
  <c r="N4601" i="4"/>
  <c r="N4606" i="4"/>
  <c r="N4612" i="4"/>
  <c r="N4617" i="4"/>
  <c r="N4622" i="4"/>
  <c r="N4628" i="4"/>
  <c r="N4632" i="4"/>
  <c r="N4636" i="4"/>
  <c r="N4640" i="4"/>
  <c r="N4644" i="4"/>
  <c r="N4648" i="4"/>
  <c r="N4652" i="4"/>
  <c r="N4656" i="4"/>
  <c r="N4660" i="4"/>
  <c r="N4664" i="4"/>
  <c r="N4668" i="4"/>
  <c r="N4672" i="4"/>
  <c r="N4676" i="4"/>
  <c r="N4680" i="4"/>
  <c r="N4684" i="4"/>
  <c r="N4688" i="4"/>
  <c r="N4692" i="4"/>
  <c r="N4696" i="4"/>
  <c r="N4700" i="4"/>
  <c r="N4704" i="4"/>
  <c r="N4708" i="4"/>
  <c r="N4712" i="4"/>
  <c r="N4716" i="4"/>
  <c r="N4720" i="4"/>
  <c r="N4724" i="4"/>
  <c r="N4728" i="4"/>
  <c r="N4732" i="4"/>
  <c r="N4736" i="4"/>
  <c r="N4740" i="4"/>
  <c r="N4744" i="4"/>
  <c r="N4748" i="4"/>
  <c r="N4752" i="4"/>
  <c r="N4756" i="4"/>
  <c r="N4760" i="4"/>
  <c r="N4764" i="4"/>
  <c r="N4768" i="4"/>
  <c r="N4772" i="4"/>
  <c r="N4776" i="4"/>
  <c r="N4780" i="4"/>
  <c r="N4784" i="4"/>
  <c r="N4788" i="4"/>
  <c r="N4792" i="4"/>
  <c r="N4796" i="4"/>
  <c r="N4800" i="4"/>
  <c r="N4804" i="4"/>
  <c r="N4808" i="4"/>
  <c r="N4812" i="4"/>
  <c r="N4816" i="4"/>
  <c r="N4820" i="4"/>
  <c r="N4824" i="4"/>
  <c r="N4828" i="4"/>
  <c r="N4832" i="4"/>
  <c r="N4836" i="4"/>
  <c r="N4840" i="4"/>
  <c r="N4844" i="4"/>
  <c r="N4848" i="4"/>
  <c r="N4852" i="4"/>
  <c r="N4856" i="4"/>
  <c r="N4860" i="4"/>
  <c r="N4864" i="4"/>
  <c r="N4868" i="4"/>
  <c r="N4872" i="4"/>
  <c r="N4876" i="4"/>
  <c r="N4880" i="4"/>
  <c r="N4884" i="4"/>
  <c r="N4888" i="4"/>
  <c r="N4892" i="4"/>
  <c r="N4896" i="4"/>
  <c r="N4900" i="4"/>
  <c r="N4904" i="4"/>
  <c r="N4908" i="4"/>
  <c r="N4912" i="4"/>
  <c r="N4916" i="4"/>
  <c r="N4920" i="4"/>
  <c r="N4924" i="4"/>
  <c r="N4928" i="4"/>
  <c r="N4932" i="4"/>
  <c r="N4936" i="4"/>
  <c r="N4940" i="4"/>
  <c r="N4944" i="4"/>
  <c r="N4948" i="4"/>
  <c r="N4952" i="4"/>
  <c r="N4956" i="4"/>
  <c r="N4960" i="4"/>
  <c r="N4964" i="4"/>
  <c r="N4968" i="4"/>
  <c r="N4972" i="4"/>
  <c r="N4976" i="4"/>
  <c r="N4980" i="4"/>
  <c r="N4984" i="4"/>
  <c r="N4988" i="4"/>
  <c r="N4992" i="4"/>
  <c r="N4996" i="4"/>
  <c r="N5000" i="4"/>
  <c r="N5004" i="4"/>
  <c r="N5008" i="4"/>
  <c r="N325" i="4"/>
  <c r="N691" i="4"/>
  <c r="N947" i="4"/>
  <c r="N1203" i="4"/>
  <c r="N1459" i="4"/>
  <c r="N1715" i="4"/>
  <c r="N1971" i="4"/>
  <c r="N2227" i="4"/>
  <c r="N2376" i="4"/>
  <c r="N2461" i="4"/>
  <c r="N2547" i="4"/>
  <c r="N2632" i="4"/>
  <c r="N2717" i="4"/>
  <c r="N2803" i="4"/>
  <c r="N2877" i="4"/>
  <c r="N2941" i="4"/>
  <c r="N3005" i="4"/>
  <c r="N3069" i="4"/>
  <c r="N3133" i="4"/>
  <c r="N3197" i="4"/>
  <c r="N3261" i="4"/>
  <c r="N3325" i="4"/>
  <c r="N3389" i="4"/>
  <c r="N3453" i="4"/>
  <c r="N3517" i="4"/>
  <c r="N3581" i="4"/>
  <c r="N3645" i="4"/>
  <c r="N3709" i="4"/>
  <c r="N3773" i="4"/>
  <c r="N3837" i="4"/>
  <c r="N3901" i="4"/>
  <c r="N3965" i="4"/>
  <c r="N4029" i="4"/>
  <c r="N4081" i="4"/>
  <c r="N4113" i="4"/>
  <c r="N4145" i="4"/>
  <c r="N4177" i="4"/>
  <c r="N4202" i="4"/>
  <c r="N4224" i="4"/>
  <c r="N4245" i="4"/>
  <c r="N4266" i="4"/>
  <c r="N4288" i="4"/>
  <c r="N4309" i="4"/>
  <c r="N4330" i="4"/>
  <c r="N4352" i="4"/>
  <c r="N4373" i="4"/>
  <c r="N4394" i="4"/>
  <c r="N4416" i="4"/>
  <c r="N4437" i="4"/>
  <c r="N4458" i="4"/>
  <c r="N4480" i="4"/>
  <c r="N4501" i="4"/>
  <c r="N4522" i="4"/>
  <c r="N4544" i="4"/>
  <c r="N4565" i="4"/>
  <c r="N4586" i="4"/>
  <c r="N4608" i="4"/>
  <c r="N4629" i="4"/>
  <c r="N4645" i="4"/>
  <c r="N4661" i="4"/>
  <c r="N4677" i="4"/>
  <c r="N4693" i="4"/>
  <c r="N4709" i="4"/>
  <c r="N4725" i="4"/>
  <c r="N4741" i="4"/>
  <c r="N4757" i="4"/>
  <c r="N4773" i="4"/>
  <c r="N4789" i="4"/>
  <c r="N4805" i="4"/>
  <c r="N4821" i="4"/>
  <c r="N4837" i="4"/>
  <c r="N4853" i="4"/>
  <c r="N4869" i="4"/>
  <c r="N4885" i="4"/>
  <c r="N4901" i="4"/>
  <c r="N4917" i="4"/>
  <c r="N4933" i="4"/>
  <c r="N4949" i="4"/>
  <c r="N4965" i="4"/>
  <c r="N4981" i="4"/>
  <c r="N4997" i="4"/>
  <c r="M11" i="4"/>
  <c r="M15" i="4"/>
  <c r="M19" i="4"/>
  <c r="M23" i="4"/>
  <c r="M27" i="4"/>
  <c r="M31" i="4"/>
  <c r="M35" i="4"/>
  <c r="M39" i="4"/>
  <c r="M43" i="4"/>
  <c r="M47" i="4"/>
  <c r="M51" i="4"/>
  <c r="M55" i="4"/>
  <c r="M59" i="4"/>
  <c r="M63" i="4"/>
  <c r="M67" i="4"/>
  <c r="M71" i="4"/>
  <c r="M75" i="4"/>
  <c r="M79" i="4"/>
  <c r="M83" i="4"/>
  <c r="M87" i="4"/>
  <c r="M91" i="4"/>
  <c r="M95" i="4"/>
  <c r="M99" i="4"/>
  <c r="M103" i="4"/>
  <c r="M107" i="4"/>
  <c r="M111" i="4"/>
  <c r="M115" i="4"/>
  <c r="M119" i="4"/>
  <c r="M123" i="4"/>
  <c r="M127" i="4"/>
  <c r="M131" i="4"/>
  <c r="M135" i="4"/>
  <c r="M139" i="4"/>
  <c r="M143" i="4"/>
  <c r="M147" i="4"/>
  <c r="M151" i="4"/>
  <c r="M155" i="4"/>
  <c r="M159" i="4"/>
  <c r="M163" i="4"/>
  <c r="M167" i="4"/>
  <c r="M171" i="4"/>
  <c r="M175" i="4"/>
  <c r="M179" i="4"/>
  <c r="M183" i="4"/>
  <c r="M187" i="4"/>
  <c r="M191" i="4"/>
  <c r="M195" i="4"/>
  <c r="M199" i="4"/>
  <c r="M203" i="4"/>
  <c r="M207" i="4"/>
  <c r="M211" i="4"/>
  <c r="M215" i="4"/>
  <c r="M219" i="4"/>
  <c r="M223" i="4"/>
  <c r="M227" i="4"/>
  <c r="M231" i="4"/>
  <c r="M235" i="4"/>
  <c r="M239" i="4"/>
  <c r="M243" i="4"/>
  <c r="M247" i="4"/>
  <c r="M251" i="4"/>
  <c r="M255" i="4"/>
  <c r="M259" i="4"/>
  <c r="M263" i="4"/>
  <c r="M267" i="4"/>
  <c r="M271" i="4"/>
  <c r="M275" i="4"/>
  <c r="M279" i="4"/>
  <c r="M283" i="4"/>
  <c r="M287" i="4"/>
  <c r="M291" i="4"/>
  <c r="M295" i="4"/>
  <c r="M299" i="4"/>
  <c r="M303" i="4"/>
  <c r="M307" i="4"/>
  <c r="M311" i="4"/>
  <c r="M315" i="4"/>
  <c r="M319" i="4"/>
  <c r="M323" i="4"/>
  <c r="M327" i="4"/>
  <c r="M331" i="4"/>
  <c r="M335" i="4"/>
  <c r="M339" i="4"/>
  <c r="M343" i="4"/>
  <c r="M347" i="4"/>
  <c r="M351" i="4"/>
  <c r="M355" i="4"/>
  <c r="M359" i="4"/>
  <c r="M363" i="4"/>
  <c r="M367" i="4"/>
  <c r="M371" i="4"/>
  <c r="M375" i="4"/>
  <c r="M379" i="4"/>
  <c r="M383" i="4"/>
  <c r="M387" i="4"/>
  <c r="M391" i="4"/>
  <c r="M395" i="4"/>
  <c r="M399" i="4"/>
  <c r="M403" i="4"/>
  <c r="M407" i="4"/>
  <c r="M411" i="4"/>
  <c r="M415" i="4"/>
  <c r="M419" i="4"/>
  <c r="M423" i="4"/>
  <c r="M427" i="4"/>
  <c r="M431" i="4"/>
  <c r="M435" i="4"/>
  <c r="M439" i="4"/>
  <c r="M443" i="4"/>
  <c r="M447" i="4"/>
  <c r="M451" i="4"/>
  <c r="M455" i="4"/>
  <c r="M459" i="4"/>
  <c r="M463" i="4"/>
  <c r="M467" i="4"/>
  <c r="M471" i="4"/>
  <c r="M475" i="4"/>
  <c r="M479" i="4"/>
  <c r="M483" i="4"/>
  <c r="M487" i="4"/>
  <c r="M491" i="4"/>
  <c r="M495" i="4"/>
  <c r="M499" i="4"/>
  <c r="M503" i="4"/>
  <c r="M507" i="4"/>
  <c r="M511" i="4"/>
  <c r="M515" i="4"/>
  <c r="M519" i="4"/>
  <c r="M523" i="4"/>
  <c r="M527" i="4"/>
  <c r="M531" i="4"/>
  <c r="M535" i="4"/>
  <c r="M539" i="4"/>
  <c r="M543" i="4"/>
  <c r="M547" i="4"/>
  <c r="M551" i="4"/>
  <c r="M555" i="4"/>
  <c r="M559" i="4"/>
  <c r="M563" i="4"/>
  <c r="M567" i="4"/>
  <c r="M571" i="4"/>
  <c r="M575" i="4"/>
  <c r="M579" i="4"/>
  <c r="M583" i="4"/>
  <c r="M587" i="4"/>
  <c r="M591" i="4"/>
  <c r="M595" i="4"/>
  <c r="M599" i="4"/>
  <c r="M603" i="4"/>
  <c r="M607" i="4"/>
  <c r="M611" i="4"/>
  <c r="M615" i="4"/>
  <c r="M619" i="4"/>
  <c r="M623" i="4"/>
  <c r="M627" i="4"/>
  <c r="M631" i="4"/>
  <c r="M635" i="4"/>
  <c r="M639" i="4"/>
  <c r="M643" i="4"/>
  <c r="M647" i="4"/>
  <c r="M651" i="4"/>
  <c r="M655" i="4"/>
  <c r="M659" i="4"/>
  <c r="M663" i="4"/>
  <c r="M667" i="4"/>
  <c r="M671" i="4"/>
  <c r="M675" i="4"/>
  <c r="M679" i="4"/>
  <c r="M683" i="4"/>
  <c r="M687" i="4"/>
  <c r="M691" i="4"/>
  <c r="M695" i="4"/>
  <c r="M699" i="4"/>
  <c r="N453" i="4"/>
  <c r="N755" i="4"/>
  <c r="N1011" i="4"/>
  <c r="N1267" i="4"/>
  <c r="N1523" i="4"/>
  <c r="N1779" i="4"/>
  <c r="N2035" i="4"/>
  <c r="N2291" i="4"/>
  <c r="N2397" i="4"/>
  <c r="N2483" i="4"/>
  <c r="N2568" i="4"/>
  <c r="N2653" i="4"/>
  <c r="N2739" i="4"/>
  <c r="N2824" i="4"/>
  <c r="N2893" i="4"/>
  <c r="N2957" i="4"/>
  <c r="N3021" i="4"/>
  <c r="N3085" i="4"/>
  <c r="N3149" i="4"/>
  <c r="N3213" i="4"/>
  <c r="N3277" i="4"/>
  <c r="N3341" i="4"/>
  <c r="N3405" i="4"/>
  <c r="N3469" i="4"/>
  <c r="N3533" i="4"/>
  <c r="N3597" i="4"/>
  <c r="N3661" i="4"/>
  <c r="N3725" i="4"/>
  <c r="N3789" i="4"/>
  <c r="N3853" i="4"/>
  <c r="N3917" i="4"/>
  <c r="N3981" i="4"/>
  <c r="N4045" i="4"/>
  <c r="N4089" i="4"/>
  <c r="N4121" i="4"/>
  <c r="N4153" i="4"/>
  <c r="N4185" i="4"/>
  <c r="N4208" i="4"/>
  <c r="N4229" i="4"/>
  <c r="N4250" i="4"/>
  <c r="N4272" i="4"/>
  <c r="N4293" i="4"/>
  <c r="N4314" i="4"/>
  <c r="N4336" i="4"/>
  <c r="N4357" i="4"/>
  <c r="N4378" i="4"/>
  <c r="N4400" i="4"/>
  <c r="N4421" i="4"/>
  <c r="N4442" i="4"/>
  <c r="N4464" i="4"/>
  <c r="N4485" i="4"/>
  <c r="N4506" i="4"/>
  <c r="N4528" i="4"/>
  <c r="N4549" i="4"/>
  <c r="N4570" i="4"/>
  <c r="N4592" i="4"/>
  <c r="N4613" i="4"/>
  <c r="N4633" i="4"/>
  <c r="N4649" i="4"/>
  <c r="N4665" i="4"/>
  <c r="N4681" i="4"/>
  <c r="N4697" i="4"/>
  <c r="N4713" i="4"/>
  <c r="N4729" i="4"/>
  <c r="N4745" i="4"/>
  <c r="N4761" i="4"/>
  <c r="N4777" i="4"/>
  <c r="N4793" i="4"/>
  <c r="N4809" i="4"/>
  <c r="N4825" i="4"/>
  <c r="N4841" i="4"/>
  <c r="N4857" i="4"/>
  <c r="N4873" i="4"/>
  <c r="N4889" i="4"/>
  <c r="N4905" i="4"/>
  <c r="N4921" i="4"/>
  <c r="N4937" i="4"/>
  <c r="N4953" i="4"/>
  <c r="N4969" i="4"/>
  <c r="N4985" i="4"/>
  <c r="N5001" i="4"/>
  <c r="N538" i="4"/>
  <c r="N819" i="4"/>
  <c r="N1075" i="4"/>
  <c r="N1331" i="4"/>
  <c r="N1587" i="4"/>
  <c r="N1843" i="4"/>
  <c r="N2099" i="4"/>
  <c r="N2332" i="4"/>
  <c r="N2419" i="4"/>
  <c r="N2504" i="4"/>
  <c r="N2589" i="4"/>
  <c r="N2675" i="4"/>
  <c r="N2760" i="4"/>
  <c r="N2845" i="4"/>
  <c r="N2909" i="4"/>
  <c r="N2973" i="4"/>
  <c r="N3037" i="4"/>
  <c r="N3101" i="4"/>
  <c r="N3165" i="4"/>
  <c r="N3229" i="4"/>
  <c r="N3293" i="4"/>
  <c r="N3357" i="4"/>
  <c r="N3421" i="4"/>
  <c r="N3485" i="4"/>
  <c r="N3549" i="4"/>
  <c r="N3613" i="4"/>
  <c r="N3677" i="4"/>
  <c r="N3741" i="4"/>
  <c r="N3805" i="4"/>
  <c r="N3869" i="4"/>
  <c r="N3933" i="4"/>
  <c r="N3997" i="4"/>
  <c r="N4061" i="4"/>
  <c r="N4097" i="4"/>
  <c r="N4129" i="4"/>
  <c r="N4161" i="4"/>
  <c r="N4192" i="4"/>
  <c r="N4213" i="4"/>
  <c r="N4234" i="4"/>
  <c r="N4256" i="4"/>
  <c r="N4277" i="4"/>
  <c r="N4298" i="4"/>
  <c r="N4320" i="4"/>
  <c r="N4341" i="4"/>
  <c r="N4362" i="4"/>
  <c r="N4384" i="4"/>
  <c r="N4405" i="4"/>
  <c r="N4426" i="4"/>
  <c r="N4448" i="4"/>
  <c r="N4469" i="4"/>
  <c r="N4490" i="4"/>
  <c r="N4512" i="4"/>
  <c r="N4533" i="4"/>
  <c r="N4554" i="4"/>
  <c r="N4576" i="4"/>
  <c r="N4597" i="4"/>
  <c r="N4618" i="4"/>
  <c r="N4637" i="4"/>
  <c r="N4653" i="4"/>
  <c r="N4669" i="4"/>
  <c r="N4685" i="4"/>
  <c r="N4701" i="4"/>
  <c r="N4717" i="4"/>
  <c r="N4733" i="4"/>
  <c r="N4749" i="4"/>
  <c r="N4765" i="4"/>
  <c r="N4781" i="4"/>
  <c r="N4797" i="4"/>
  <c r="N4813" i="4"/>
  <c r="N4829" i="4"/>
  <c r="N4845" i="4"/>
  <c r="N4861" i="4"/>
  <c r="N4877" i="4"/>
  <c r="N4893" i="4"/>
  <c r="N4909" i="4"/>
  <c r="N4925" i="4"/>
  <c r="N4941" i="4"/>
  <c r="N4957" i="4"/>
  <c r="N4973" i="4"/>
  <c r="N4989" i="4"/>
  <c r="N5005" i="4"/>
  <c r="M13" i="4"/>
  <c r="M17" i="4"/>
  <c r="M21" i="4"/>
  <c r="M25" i="4"/>
  <c r="M29" i="4"/>
  <c r="M33" i="4"/>
  <c r="M37" i="4"/>
  <c r="M41" i="4"/>
  <c r="M45" i="4"/>
  <c r="M49" i="4"/>
  <c r="M53" i="4"/>
  <c r="M57" i="4"/>
  <c r="M61" i="4"/>
  <c r="M65" i="4"/>
  <c r="M69" i="4"/>
  <c r="M73" i="4"/>
  <c r="M77" i="4"/>
  <c r="M81" i="4"/>
  <c r="M85" i="4"/>
  <c r="M89" i="4"/>
  <c r="M93" i="4"/>
  <c r="M97" i="4"/>
  <c r="M101" i="4"/>
  <c r="M105" i="4"/>
  <c r="M109" i="4"/>
  <c r="M113" i="4"/>
  <c r="M117" i="4"/>
  <c r="M121" i="4"/>
  <c r="M125" i="4"/>
  <c r="M129" i="4"/>
  <c r="M133" i="4"/>
  <c r="M137" i="4"/>
  <c r="M141" i="4"/>
  <c r="M145" i="4"/>
  <c r="M149" i="4"/>
  <c r="M153" i="4"/>
  <c r="M157" i="4"/>
  <c r="M161" i="4"/>
  <c r="M165" i="4"/>
  <c r="M169" i="4"/>
  <c r="M173" i="4"/>
  <c r="M177" i="4"/>
  <c r="M181" i="4"/>
  <c r="M185" i="4"/>
  <c r="M189" i="4"/>
  <c r="M193" i="4"/>
  <c r="M197" i="4"/>
  <c r="M201" i="4"/>
  <c r="M205" i="4"/>
  <c r="M209" i="4"/>
  <c r="M213" i="4"/>
  <c r="M217" i="4"/>
  <c r="M221" i="4"/>
  <c r="M225" i="4"/>
  <c r="M229" i="4"/>
  <c r="M233" i="4"/>
  <c r="M237" i="4"/>
  <c r="M241" i="4"/>
  <c r="M245" i="4"/>
  <c r="M249" i="4"/>
  <c r="M253" i="4"/>
  <c r="M257" i="4"/>
  <c r="M261" i="4"/>
  <c r="M265" i="4"/>
  <c r="M269" i="4"/>
  <c r="M273" i="4"/>
  <c r="M277" i="4"/>
  <c r="M281" i="4"/>
  <c r="M285" i="4"/>
  <c r="M289" i="4"/>
  <c r="M293" i="4"/>
  <c r="M297" i="4"/>
  <c r="M301" i="4"/>
  <c r="M305" i="4"/>
  <c r="M309" i="4"/>
  <c r="M313" i="4"/>
  <c r="M317" i="4"/>
  <c r="M321" i="4"/>
  <c r="M325" i="4"/>
  <c r="M329" i="4"/>
  <c r="M333" i="4"/>
  <c r="M337" i="4"/>
  <c r="M341" i="4"/>
  <c r="M345" i="4"/>
  <c r="M349" i="4"/>
  <c r="M353" i="4"/>
  <c r="M357" i="4"/>
  <c r="M361" i="4"/>
  <c r="M365" i="4"/>
  <c r="M369" i="4"/>
  <c r="M373" i="4"/>
  <c r="M377" i="4"/>
  <c r="M381" i="4"/>
  <c r="M385" i="4"/>
  <c r="M389" i="4"/>
  <c r="M393" i="4"/>
  <c r="M397" i="4"/>
  <c r="M401" i="4"/>
  <c r="M405" i="4"/>
  <c r="M409" i="4"/>
  <c r="M413" i="4"/>
  <c r="M417" i="4"/>
  <c r="M421" i="4"/>
  <c r="M425" i="4"/>
  <c r="M429" i="4"/>
  <c r="M433" i="4"/>
  <c r="M437" i="4"/>
  <c r="M441" i="4"/>
  <c r="M445" i="4"/>
  <c r="M449" i="4"/>
  <c r="M453" i="4"/>
  <c r="M457" i="4"/>
  <c r="M461" i="4"/>
  <c r="M465" i="4"/>
  <c r="M469" i="4"/>
  <c r="M473" i="4"/>
  <c r="M477" i="4"/>
  <c r="M481" i="4"/>
  <c r="M485" i="4"/>
  <c r="M489" i="4"/>
  <c r="M493" i="4"/>
  <c r="M497" i="4"/>
  <c r="M501" i="4"/>
  <c r="M505" i="4"/>
  <c r="M509" i="4"/>
  <c r="M513" i="4"/>
  <c r="M517" i="4"/>
  <c r="M521" i="4"/>
  <c r="M525" i="4"/>
  <c r="M529" i="4"/>
  <c r="M533" i="4"/>
  <c r="M537" i="4"/>
  <c r="M541" i="4"/>
  <c r="M545" i="4"/>
  <c r="M549" i="4"/>
  <c r="M553" i="4"/>
  <c r="M557" i="4"/>
  <c r="M561" i="4"/>
  <c r="M565" i="4"/>
  <c r="M569" i="4"/>
  <c r="M573" i="4"/>
  <c r="M577" i="4"/>
  <c r="M581" i="4"/>
  <c r="M585" i="4"/>
  <c r="M589" i="4"/>
  <c r="M593" i="4"/>
  <c r="M597" i="4"/>
  <c r="M601" i="4"/>
  <c r="M605" i="4"/>
  <c r="M609" i="4"/>
  <c r="M613" i="4"/>
  <c r="M617" i="4"/>
  <c r="M621" i="4"/>
  <c r="M625" i="4"/>
  <c r="M629" i="4"/>
  <c r="M633" i="4"/>
  <c r="M637" i="4"/>
  <c r="M641" i="4"/>
  <c r="M645" i="4"/>
  <c r="M649" i="4"/>
  <c r="M653" i="4"/>
  <c r="M657" i="4"/>
  <c r="M661" i="4"/>
  <c r="M665" i="4"/>
  <c r="M669" i="4"/>
  <c r="M673" i="4"/>
  <c r="M677" i="4"/>
  <c r="M681" i="4"/>
  <c r="M685" i="4"/>
  <c r="M689" i="4"/>
  <c r="M693" i="4"/>
  <c r="M697" i="4"/>
  <c r="M701" i="4"/>
  <c r="M705" i="4"/>
  <c r="M709" i="4"/>
  <c r="M713" i="4"/>
  <c r="M717" i="4"/>
  <c r="M721" i="4"/>
  <c r="M725" i="4"/>
  <c r="M729" i="4"/>
  <c r="M733" i="4"/>
  <c r="M737" i="4"/>
  <c r="M741" i="4"/>
  <c r="M745" i="4"/>
  <c r="M749" i="4"/>
  <c r="M753" i="4"/>
  <c r="M757" i="4"/>
  <c r="M761" i="4"/>
  <c r="M765" i="4"/>
  <c r="M769" i="4"/>
  <c r="M773" i="4"/>
  <c r="M777" i="4"/>
  <c r="M781" i="4"/>
  <c r="M785" i="4"/>
  <c r="M789" i="4"/>
  <c r="M793" i="4"/>
  <c r="M797" i="4"/>
  <c r="M801" i="4"/>
  <c r="M805" i="4"/>
  <c r="M809" i="4"/>
  <c r="M813" i="4"/>
  <c r="M817" i="4"/>
  <c r="M821" i="4"/>
  <c r="M825" i="4"/>
  <c r="M829" i="4"/>
  <c r="M833" i="4"/>
  <c r="M837" i="4"/>
  <c r="M841" i="4"/>
  <c r="M845" i="4"/>
  <c r="M849" i="4"/>
  <c r="M853" i="4"/>
  <c r="M857" i="4"/>
  <c r="M861" i="4"/>
  <c r="M865" i="4"/>
  <c r="M869" i="4"/>
  <c r="M873" i="4"/>
  <c r="M877" i="4"/>
  <c r="M881" i="4"/>
  <c r="M885" i="4"/>
  <c r="M889" i="4"/>
  <c r="M893" i="4"/>
  <c r="M897" i="4"/>
  <c r="M901" i="4"/>
  <c r="M905" i="4"/>
  <c r="M909" i="4"/>
  <c r="M913" i="4"/>
  <c r="M917" i="4"/>
  <c r="M921" i="4"/>
  <c r="M925" i="4"/>
  <c r="M929" i="4"/>
  <c r="M933" i="4"/>
  <c r="M937" i="4"/>
  <c r="M941" i="4"/>
  <c r="M945" i="4"/>
  <c r="M949" i="4"/>
  <c r="M953" i="4"/>
  <c r="M957" i="4"/>
  <c r="M961" i="4"/>
  <c r="M965" i="4"/>
  <c r="M969" i="4"/>
  <c r="M973" i="4"/>
  <c r="M977" i="4"/>
  <c r="M981" i="4"/>
  <c r="M985" i="4"/>
  <c r="M989" i="4"/>
  <c r="M993" i="4"/>
  <c r="M997" i="4"/>
  <c r="M1001" i="4"/>
  <c r="M1005" i="4"/>
  <c r="M1009" i="4"/>
  <c r="M1013" i="4"/>
  <c r="M1017" i="4"/>
  <c r="M1021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1073" i="4"/>
  <c r="M1077" i="4"/>
  <c r="M1081" i="4"/>
  <c r="M1085" i="4"/>
  <c r="M1089" i="4"/>
  <c r="M1093" i="4"/>
  <c r="N69" i="4"/>
  <c r="N1395" i="4"/>
  <c r="N2355" i="4"/>
  <c r="N2696" i="4"/>
  <c r="N2989" i="4"/>
  <c r="N3245" i="4"/>
  <c r="N3501" i="4"/>
  <c r="N3757" i="4"/>
  <c r="N4013" i="4"/>
  <c r="N4169" i="4"/>
  <c r="N4261" i="4"/>
  <c r="N4346" i="4"/>
  <c r="N4432" i="4"/>
  <c r="N4517" i="4"/>
  <c r="N4602" i="4"/>
  <c r="N4673" i="4"/>
  <c r="N4737" i="4"/>
  <c r="N4801" i="4"/>
  <c r="N4865" i="4"/>
  <c r="N4929" i="4"/>
  <c r="N4993" i="4"/>
  <c r="M12" i="4"/>
  <c r="M20" i="4"/>
  <c r="M28" i="4"/>
  <c r="M36" i="4"/>
  <c r="M44" i="4"/>
  <c r="M52" i="4"/>
  <c r="M60" i="4"/>
  <c r="M68" i="4"/>
  <c r="M76" i="4"/>
  <c r="M84" i="4"/>
  <c r="M92" i="4"/>
  <c r="M100" i="4"/>
  <c r="M108" i="4"/>
  <c r="M116" i="4"/>
  <c r="M124" i="4"/>
  <c r="M132" i="4"/>
  <c r="M140" i="4"/>
  <c r="M148" i="4"/>
  <c r="M156" i="4"/>
  <c r="M164" i="4"/>
  <c r="M172" i="4"/>
  <c r="M180" i="4"/>
  <c r="M188" i="4"/>
  <c r="M196" i="4"/>
  <c r="M204" i="4"/>
  <c r="M212" i="4"/>
  <c r="M220" i="4"/>
  <c r="M228" i="4"/>
  <c r="M236" i="4"/>
  <c r="M244" i="4"/>
  <c r="M252" i="4"/>
  <c r="M260" i="4"/>
  <c r="M268" i="4"/>
  <c r="M276" i="4"/>
  <c r="M284" i="4"/>
  <c r="M292" i="4"/>
  <c r="M300" i="4"/>
  <c r="M308" i="4"/>
  <c r="M316" i="4"/>
  <c r="M324" i="4"/>
  <c r="M332" i="4"/>
  <c r="M340" i="4"/>
  <c r="M348" i="4"/>
  <c r="M356" i="4"/>
  <c r="M364" i="4"/>
  <c r="M372" i="4"/>
  <c r="M380" i="4"/>
  <c r="M388" i="4"/>
  <c r="M396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500" i="4"/>
  <c r="M508" i="4"/>
  <c r="M516" i="4"/>
  <c r="M524" i="4"/>
  <c r="M532" i="4"/>
  <c r="M540" i="4"/>
  <c r="M548" i="4"/>
  <c r="M556" i="4"/>
  <c r="M564" i="4"/>
  <c r="M572" i="4"/>
  <c r="M580" i="4"/>
  <c r="M588" i="4"/>
  <c r="M596" i="4"/>
  <c r="M604" i="4"/>
  <c r="M612" i="4"/>
  <c r="M620" i="4"/>
  <c r="M628" i="4"/>
  <c r="M636" i="4"/>
  <c r="M644" i="4"/>
  <c r="M652" i="4"/>
  <c r="M660" i="4"/>
  <c r="M668" i="4"/>
  <c r="M676" i="4"/>
  <c r="M684" i="4"/>
  <c r="M692" i="4"/>
  <c r="M700" i="4"/>
  <c r="M706" i="4"/>
  <c r="M711" i="4"/>
  <c r="M716" i="4"/>
  <c r="M722" i="4"/>
  <c r="M727" i="4"/>
  <c r="M732" i="4"/>
  <c r="M738" i="4"/>
  <c r="M743" i="4"/>
  <c r="M748" i="4"/>
  <c r="M754" i="4"/>
  <c r="M759" i="4"/>
  <c r="M764" i="4"/>
  <c r="M770" i="4"/>
  <c r="M775" i="4"/>
  <c r="M780" i="4"/>
  <c r="M786" i="4"/>
  <c r="M791" i="4"/>
  <c r="M796" i="4"/>
  <c r="M802" i="4"/>
  <c r="M807" i="4"/>
  <c r="M812" i="4"/>
  <c r="M818" i="4"/>
  <c r="M823" i="4"/>
  <c r="M828" i="4"/>
  <c r="M834" i="4"/>
  <c r="M839" i="4"/>
  <c r="M844" i="4"/>
  <c r="M850" i="4"/>
  <c r="M855" i="4"/>
  <c r="M860" i="4"/>
  <c r="M866" i="4"/>
  <c r="M871" i="4"/>
  <c r="M876" i="4"/>
  <c r="M882" i="4"/>
  <c r="M887" i="4"/>
  <c r="M892" i="4"/>
  <c r="M898" i="4"/>
  <c r="M903" i="4"/>
  <c r="M908" i="4"/>
  <c r="M914" i="4"/>
  <c r="M919" i="4"/>
  <c r="M924" i="4"/>
  <c r="M930" i="4"/>
  <c r="M935" i="4"/>
  <c r="M940" i="4"/>
  <c r="M946" i="4"/>
  <c r="M951" i="4"/>
  <c r="M956" i="4"/>
  <c r="M962" i="4"/>
  <c r="M967" i="4"/>
  <c r="M972" i="4"/>
  <c r="M978" i="4"/>
  <c r="M983" i="4"/>
  <c r="M988" i="4"/>
  <c r="M994" i="4"/>
  <c r="M999" i="4"/>
  <c r="M1004" i="4"/>
  <c r="M1010" i="4"/>
  <c r="M1015" i="4"/>
  <c r="M1020" i="4"/>
  <c r="M1026" i="4"/>
  <c r="M1031" i="4"/>
  <c r="M1036" i="4"/>
  <c r="M1042" i="4"/>
  <c r="M1047" i="4"/>
  <c r="N623" i="4"/>
  <c r="N1651" i="4"/>
  <c r="N2440" i="4"/>
  <c r="N2781" i="4"/>
  <c r="N3053" i="4"/>
  <c r="N3309" i="4"/>
  <c r="N3565" i="4"/>
  <c r="N3821" i="4"/>
  <c r="N4073" i="4"/>
  <c r="N4197" i="4"/>
  <c r="N4282" i="4"/>
  <c r="N4368" i="4"/>
  <c r="N4453" i="4"/>
  <c r="N4538" i="4"/>
  <c r="N4624" i="4"/>
  <c r="N4689" i="4"/>
  <c r="N4753" i="4"/>
  <c r="N4817" i="4"/>
  <c r="N4881" i="4"/>
  <c r="N4945" i="4"/>
  <c r="N5009" i="4"/>
  <c r="M14" i="4"/>
  <c r="M22" i="4"/>
  <c r="M30" i="4"/>
  <c r="M38" i="4"/>
  <c r="M46" i="4"/>
  <c r="M54" i="4"/>
  <c r="M62" i="4"/>
  <c r="M70" i="4"/>
  <c r="M78" i="4"/>
  <c r="M86" i="4"/>
  <c r="M94" i="4"/>
  <c r="M102" i="4"/>
  <c r="M110" i="4"/>
  <c r="M118" i="4"/>
  <c r="M126" i="4"/>
  <c r="M134" i="4"/>
  <c r="M142" i="4"/>
  <c r="M150" i="4"/>
  <c r="M158" i="4"/>
  <c r="M166" i="4"/>
  <c r="M174" i="4"/>
  <c r="M182" i="4"/>
  <c r="M190" i="4"/>
  <c r="M198" i="4"/>
  <c r="M206" i="4"/>
  <c r="M214" i="4"/>
  <c r="M222" i="4"/>
  <c r="M230" i="4"/>
  <c r="M238" i="4"/>
  <c r="M246" i="4"/>
  <c r="M254" i="4"/>
  <c r="M262" i="4"/>
  <c r="M270" i="4"/>
  <c r="M278" i="4"/>
  <c r="M286" i="4"/>
  <c r="M294" i="4"/>
  <c r="M302" i="4"/>
  <c r="M310" i="4"/>
  <c r="M318" i="4"/>
  <c r="M326" i="4"/>
  <c r="M334" i="4"/>
  <c r="M342" i="4"/>
  <c r="M350" i="4"/>
  <c r="M358" i="4"/>
  <c r="M366" i="4"/>
  <c r="M374" i="4"/>
  <c r="M382" i="4"/>
  <c r="M390" i="4"/>
  <c r="M398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502" i="4"/>
  <c r="M510" i="4"/>
  <c r="M518" i="4"/>
  <c r="M526" i="4"/>
  <c r="M534" i="4"/>
  <c r="M542" i="4"/>
  <c r="M550" i="4"/>
  <c r="M558" i="4"/>
  <c r="M566" i="4"/>
  <c r="M574" i="4"/>
  <c r="M582" i="4"/>
  <c r="M590" i="4"/>
  <c r="M598" i="4"/>
  <c r="M606" i="4"/>
  <c r="M614" i="4"/>
  <c r="M622" i="4"/>
  <c r="M630" i="4"/>
  <c r="M638" i="4"/>
  <c r="M646" i="4"/>
  <c r="M654" i="4"/>
  <c r="M662" i="4"/>
  <c r="M670" i="4"/>
  <c r="M678" i="4"/>
  <c r="M686" i="4"/>
  <c r="M694" i="4"/>
  <c r="M702" i="4"/>
  <c r="M707" i="4"/>
  <c r="M712" i="4"/>
  <c r="M718" i="4"/>
  <c r="M723" i="4"/>
  <c r="M728" i="4"/>
  <c r="M734" i="4"/>
  <c r="M739" i="4"/>
  <c r="M744" i="4"/>
  <c r="M750" i="4"/>
  <c r="M755" i="4"/>
  <c r="M760" i="4"/>
  <c r="M766" i="4"/>
  <c r="M771" i="4"/>
  <c r="M776" i="4"/>
  <c r="M782" i="4"/>
  <c r="M787" i="4"/>
  <c r="M792" i="4"/>
  <c r="M798" i="4"/>
  <c r="M803" i="4"/>
  <c r="M808" i="4"/>
  <c r="M814" i="4"/>
  <c r="M819" i="4"/>
  <c r="M824" i="4"/>
  <c r="M830" i="4"/>
  <c r="M835" i="4"/>
  <c r="M840" i="4"/>
  <c r="M846" i="4"/>
  <c r="M851" i="4"/>
  <c r="M856" i="4"/>
  <c r="M862" i="4"/>
  <c r="M867" i="4"/>
  <c r="M872" i="4"/>
  <c r="M878" i="4"/>
  <c r="M883" i="4"/>
  <c r="M888" i="4"/>
  <c r="M894" i="4"/>
  <c r="M899" i="4"/>
  <c r="M904" i="4"/>
  <c r="M910" i="4"/>
  <c r="M915" i="4"/>
  <c r="M920" i="4"/>
  <c r="M926" i="4"/>
  <c r="M931" i="4"/>
  <c r="M936" i="4"/>
  <c r="M942" i="4"/>
  <c r="M947" i="4"/>
  <c r="M952" i="4"/>
  <c r="M958" i="4"/>
  <c r="M963" i="4"/>
  <c r="M968" i="4"/>
  <c r="M974" i="4"/>
  <c r="M979" i="4"/>
  <c r="M984" i="4"/>
  <c r="M990" i="4"/>
  <c r="M995" i="4"/>
  <c r="M1000" i="4"/>
  <c r="M1006" i="4"/>
  <c r="M1011" i="4"/>
  <c r="M1016" i="4"/>
  <c r="M1022" i="4"/>
  <c r="M1027" i="4"/>
  <c r="M1032" i="4"/>
  <c r="M1038" i="4"/>
  <c r="M1043" i="4"/>
  <c r="M1048" i="4"/>
  <c r="N883" i="4"/>
  <c r="N1907" i="4"/>
  <c r="N2525" i="4"/>
  <c r="N2861" i="4"/>
  <c r="N3117" i="4"/>
  <c r="N3373" i="4"/>
  <c r="N3629" i="4"/>
  <c r="N3885" i="4"/>
  <c r="N4105" i="4"/>
  <c r="N4218" i="4"/>
  <c r="N4304" i="4"/>
  <c r="N4389" i="4"/>
  <c r="N4474" i="4"/>
  <c r="N4560" i="4"/>
  <c r="N4641" i="4"/>
  <c r="N4705" i="4"/>
  <c r="N4769" i="4"/>
  <c r="N4833" i="4"/>
  <c r="N4897" i="4"/>
  <c r="N4961" i="4"/>
  <c r="N1139" i="4"/>
  <c r="N2163" i="4"/>
  <c r="N2611" i="4"/>
  <c r="N2925" i="4"/>
  <c r="N3181" i="4"/>
  <c r="N3437" i="4"/>
  <c r="N3693" i="4"/>
  <c r="N3949" i="4"/>
  <c r="N4137" i="4"/>
  <c r="N4240" i="4"/>
  <c r="N4325" i="4"/>
  <c r="N4410" i="4"/>
  <c r="N4496" i="4"/>
  <c r="N4581" i="4"/>
  <c r="N4657" i="4"/>
  <c r="N4721" i="4"/>
  <c r="N4785" i="4"/>
  <c r="N4849" i="4"/>
  <c r="N4913" i="4"/>
  <c r="N4977" i="4"/>
  <c r="M24" i="4"/>
  <c r="M40" i="4"/>
  <c r="M56" i="4"/>
  <c r="M72" i="4"/>
  <c r="M88" i="4"/>
  <c r="M104" i="4"/>
  <c r="M120" i="4"/>
  <c r="M136" i="4"/>
  <c r="M152" i="4"/>
  <c r="M168" i="4"/>
  <c r="M184" i="4"/>
  <c r="M200" i="4"/>
  <c r="M216" i="4"/>
  <c r="M232" i="4"/>
  <c r="M248" i="4"/>
  <c r="M264" i="4"/>
  <c r="M280" i="4"/>
  <c r="M296" i="4"/>
  <c r="M312" i="4"/>
  <c r="M328" i="4"/>
  <c r="M344" i="4"/>
  <c r="M360" i="4"/>
  <c r="M376" i="4"/>
  <c r="M392" i="4"/>
  <c r="M408" i="4"/>
  <c r="M424" i="4"/>
  <c r="M440" i="4"/>
  <c r="M456" i="4"/>
  <c r="M472" i="4"/>
  <c r="M488" i="4"/>
  <c r="M504" i="4"/>
  <c r="M520" i="4"/>
  <c r="M536" i="4"/>
  <c r="M552" i="4"/>
  <c r="M568" i="4"/>
  <c r="M584" i="4"/>
  <c r="M600" i="4"/>
  <c r="M616" i="4"/>
  <c r="M632" i="4"/>
  <c r="M648" i="4"/>
  <c r="M664" i="4"/>
  <c r="M680" i="4"/>
  <c r="M696" i="4"/>
  <c r="M708" i="4"/>
  <c r="M719" i="4"/>
  <c r="M730" i="4"/>
  <c r="M740" i="4"/>
  <c r="M751" i="4"/>
  <c r="M762" i="4"/>
  <c r="M772" i="4"/>
  <c r="M783" i="4"/>
  <c r="M794" i="4"/>
  <c r="M804" i="4"/>
  <c r="M815" i="4"/>
  <c r="M826" i="4"/>
  <c r="M836" i="4"/>
  <c r="M847" i="4"/>
  <c r="M858" i="4"/>
  <c r="M868" i="4"/>
  <c r="M879" i="4"/>
  <c r="M890" i="4"/>
  <c r="M900" i="4"/>
  <c r="M911" i="4"/>
  <c r="M922" i="4"/>
  <c r="M932" i="4"/>
  <c r="M943" i="4"/>
  <c r="M954" i="4"/>
  <c r="M964" i="4"/>
  <c r="M975" i="4"/>
  <c r="M986" i="4"/>
  <c r="M996" i="4"/>
  <c r="M1007" i="4"/>
  <c r="M1018" i="4"/>
  <c r="M26" i="4"/>
  <c r="M42" i="4"/>
  <c r="M58" i="4"/>
  <c r="M74" i="4"/>
  <c r="M90" i="4"/>
  <c r="M106" i="4"/>
  <c r="M122" i="4"/>
  <c r="M138" i="4"/>
  <c r="M154" i="4"/>
  <c r="M170" i="4"/>
  <c r="M186" i="4"/>
  <c r="M202" i="4"/>
  <c r="M218" i="4"/>
  <c r="M234" i="4"/>
  <c r="M250" i="4"/>
  <c r="M266" i="4"/>
  <c r="M282" i="4"/>
  <c r="M298" i="4"/>
  <c r="M314" i="4"/>
  <c r="M330" i="4"/>
  <c r="M346" i="4"/>
  <c r="M362" i="4"/>
  <c r="M378" i="4"/>
  <c r="M394" i="4"/>
  <c r="M410" i="4"/>
  <c r="M426" i="4"/>
  <c r="M442" i="4"/>
  <c r="M458" i="4"/>
  <c r="M474" i="4"/>
  <c r="M490" i="4"/>
  <c r="M506" i="4"/>
  <c r="M522" i="4"/>
  <c r="M538" i="4"/>
  <c r="M554" i="4"/>
  <c r="M570" i="4"/>
  <c r="M586" i="4"/>
  <c r="M602" i="4"/>
  <c r="M618" i="4"/>
  <c r="M634" i="4"/>
  <c r="M650" i="4"/>
  <c r="M666" i="4"/>
  <c r="M682" i="4"/>
  <c r="M698" i="4"/>
  <c r="M710" i="4"/>
  <c r="M720" i="4"/>
  <c r="M731" i="4"/>
  <c r="M742" i="4"/>
  <c r="M752" i="4"/>
  <c r="M763" i="4"/>
  <c r="M774" i="4"/>
  <c r="M784" i="4"/>
  <c r="M795" i="4"/>
  <c r="M806" i="4"/>
  <c r="M816" i="4"/>
  <c r="M827" i="4"/>
  <c r="M838" i="4"/>
  <c r="M848" i="4"/>
  <c r="M859" i="4"/>
  <c r="M870" i="4"/>
  <c r="M880" i="4"/>
  <c r="M891" i="4"/>
  <c r="M902" i="4"/>
  <c r="M912" i="4"/>
  <c r="M16" i="4"/>
  <c r="M32" i="4"/>
  <c r="M48" i="4"/>
  <c r="M64" i="4"/>
  <c r="M80" i="4"/>
  <c r="M96" i="4"/>
  <c r="M112" i="4"/>
  <c r="M128" i="4"/>
  <c r="M144" i="4"/>
  <c r="M160" i="4"/>
  <c r="M176" i="4"/>
  <c r="M192" i="4"/>
  <c r="M208" i="4"/>
  <c r="M224" i="4"/>
  <c r="M240" i="4"/>
  <c r="M256" i="4"/>
  <c r="M272" i="4"/>
  <c r="M288" i="4"/>
  <c r="M304" i="4"/>
  <c r="M320" i="4"/>
  <c r="M336" i="4"/>
  <c r="M352" i="4"/>
  <c r="M368" i="4"/>
  <c r="M384" i="4"/>
  <c r="M400" i="4"/>
  <c r="M416" i="4"/>
  <c r="M432" i="4"/>
  <c r="M448" i="4"/>
  <c r="M464" i="4"/>
  <c r="M480" i="4"/>
  <c r="M496" i="4"/>
  <c r="M512" i="4"/>
  <c r="M528" i="4"/>
  <c r="M544" i="4"/>
  <c r="M560" i="4"/>
  <c r="M576" i="4"/>
  <c r="M592" i="4"/>
  <c r="M608" i="4"/>
  <c r="M624" i="4"/>
  <c r="M640" i="4"/>
  <c r="M656" i="4"/>
  <c r="M672" i="4"/>
  <c r="M688" i="4"/>
  <c r="M703" i="4"/>
  <c r="M714" i="4"/>
  <c r="M724" i="4"/>
  <c r="M735" i="4"/>
  <c r="M746" i="4"/>
  <c r="M756" i="4"/>
  <c r="M767" i="4"/>
  <c r="M778" i="4"/>
  <c r="M788" i="4"/>
  <c r="M799" i="4"/>
  <c r="M810" i="4"/>
  <c r="M820" i="4"/>
  <c r="M831" i="4"/>
  <c r="M842" i="4"/>
  <c r="M852" i="4"/>
  <c r="M863" i="4"/>
  <c r="M874" i="4"/>
  <c r="M884" i="4"/>
  <c r="M895" i="4"/>
  <c r="M906" i="4"/>
  <c r="M916" i="4"/>
  <c r="M927" i="4"/>
  <c r="M938" i="4"/>
  <c r="M948" i="4"/>
  <c r="M959" i="4"/>
  <c r="M970" i="4"/>
  <c r="M980" i="4"/>
  <c r="M18" i="4"/>
  <c r="M34" i="4"/>
  <c r="M50" i="4"/>
  <c r="M66" i="4"/>
  <c r="M82" i="4"/>
  <c r="M98" i="4"/>
  <c r="M114" i="4"/>
  <c r="M130" i="4"/>
  <c r="M146" i="4"/>
  <c r="M162" i="4"/>
  <c r="M178" i="4"/>
  <c r="M194" i="4"/>
  <c r="M210" i="4"/>
  <c r="M226" i="4"/>
  <c r="M242" i="4"/>
  <c r="M258" i="4"/>
  <c r="M274" i="4"/>
  <c r="M290" i="4"/>
  <c r="M306" i="4"/>
  <c r="M322" i="4"/>
  <c r="M338" i="4"/>
  <c r="M354" i="4"/>
  <c r="M370" i="4"/>
  <c r="M386" i="4"/>
  <c r="M402" i="4"/>
  <c r="M418" i="4"/>
  <c r="M434" i="4"/>
  <c r="M450" i="4"/>
  <c r="M466" i="4"/>
  <c r="M482" i="4"/>
  <c r="M498" i="4"/>
  <c r="M514" i="4"/>
  <c r="M530" i="4"/>
  <c r="M546" i="4"/>
  <c r="M562" i="4"/>
  <c r="M578" i="4"/>
  <c r="M594" i="4"/>
  <c r="M610" i="4"/>
  <c r="M626" i="4"/>
  <c r="M642" i="4"/>
  <c r="M658" i="4"/>
  <c r="M674" i="4"/>
  <c r="M690" i="4"/>
  <c r="M704" i="4"/>
  <c r="M715" i="4"/>
  <c r="M726" i="4"/>
  <c r="M736" i="4"/>
  <c r="M747" i="4"/>
  <c r="M758" i="4"/>
  <c r="M768" i="4"/>
  <c r="M779" i="4"/>
  <c r="M790" i="4"/>
  <c r="M800" i="4"/>
  <c r="M811" i="4"/>
  <c r="M822" i="4"/>
  <c r="M832" i="4"/>
  <c r="M843" i="4"/>
  <c r="M854" i="4"/>
  <c r="M864" i="4"/>
  <c r="M875" i="4"/>
  <c r="M886" i="4"/>
  <c r="M896" i="4"/>
  <c r="M907" i="4"/>
  <c r="M918" i="4"/>
  <c r="M939" i="4"/>
  <c r="M960" i="4"/>
  <c r="M982" i="4"/>
  <c r="M998" i="4"/>
  <c r="M1012" i="4"/>
  <c r="M1024" i="4"/>
  <c r="M1035" i="4"/>
  <c r="M1046" i="4"/>
  <c r="M1054" i="4"/>
  <c r="M1059" i="4"/>
  <c r="M1064" i="4"/>
  <c r="M1070" i="4"/>
  <c r="M1075" i="4"/>
  <c r="M1080" i="4"/>
  <c r="M1086" i="4"/>
  <c r="M1091" i="4"/>
  <c r="M1096" i="4"/>
  <c r="M1100" i="4"/>
  <c r="M1104" i="4"/>
  <c r="M1108" i="4"/>
  <c r="M1112" i="4"/>
  <c r="M1116" i="4"/>
  <c r="M1120" i="4"/>
  <c r="M1124" i="4"/>
  <c r="M1128" i="4"/>
  <c r="M1132" i="4"/>
  <c r="M1136" i="4"/>
  <c r="M1140" i="4"/>
  <c r="M1144" i="4"/>
  <c r="M1148" i="4"/>
  <c r="M1152" i="4"/>
  <c r="M1156" i="4"/>
  <c r="M1160" i="4"/>
  <c r="M1164" i="4"/>
  <c r="M1168" i="4"/>
  <c r="M1172" i="4"/>
  <c r="M1176" i="4"/>
  <c r="M1180" i="4"/>
  <c r="M1184" i="4"/>
  <c r="M1188" i="4"/>
  <c r="M1192" i="4"/>
  <c r="M1196" i="4"/>
  <c r="M1200" i="4"/>
  <c r="M1204" i="4"/>
  <c r="M1208" i="4"/>
  <c r="M1212" i="4"/>
  <c r="M1216" i="4"/>
  <c r="M1220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2" i="4"/>
  <c r="M1296" i="4"/>
  <c r="M1300" i="4"/>
  <c r="M1304" i="4"/>
  <c r="M1308" i="4"/>
  <c r="M1312" i="4"/>
  <c r="M1316" i="4"/>
  <c r="M1320" i="4"/>
  <c r="M1324" i="4"/>
  <c r="M1328" i="4"/>
  <c r="M1332" i="4"/>
  <c r="M1336" i="4"/>
  <c r="M1340" i="4"/>
  <c r="M1344" i="4"/>
  <c r="M1348" i="4"/>
  <c r="M1352" i="4"/>
  <c r="M1356" i="4"/>
  <c r="M1360" i="4"/>
  <c r="M1364" i="4"/>
  <c r="M1368" i="4"/>
  <c r="M1372" i="4"/>
  <c r="M1376" i="4"/>
  <c r="M1380" i="4"/>
  <c r="M1384" i="4"/>
  <c r="M1388" i="4"/>
  <c r="M1392" i="4"/>
  <c r="M1396" i="4"/>
  <c r="M1400" i="4"/>
  <c r="M1404" i="4"/>
  <c r="M1408" i="4"/>
  <c r="M1412" i="4"/>
  <c r="M1416" i="4"/>
  <c r="M1420" i="4"/>
  <c r="M1424" i="4"/>
  <c r="M1428" i="4"/>
  <c r="M1432" i="4"/>
  <c r="M1436" i="4"/>
  <c r="M1440" i="4"/>
  <c r="M1444" i="4"/>
  <c r="M1448" i="4"/>
  <c r="M1452" i="4"/>
  <c r="M1456" i="4"/>
  <c r="M1460" i="4"/>
  <c r="M1464" i="4"/>
  <c r="M1468" i="4"/>
  <c r="M1472" i="4"/>
  <c r="M1476" i="4"/>
  <c r="M1480" i="4"/>
  <c r="M1484" i="4"/>
  <c r="M1488" i="4"/>
  <c r="M1492" i="4"/>
  <c r="M1496" i="4"/>
  <c r="M1500" i="4"/>
  <c r="M1504" i="4"/>
  <c r="M1508" i="4"/>
  <c r="M1512" i="4"/>
  <c r="M1516" i="4"/>
  <c r="M1520" i="4"/>
  <c r="M1524" i="4"/>
  <c r="M1528" i="4"/>
  <c r="M1532" i="4"/>
  <c r="M1536" i="4"/>
  <c r="M1540" i="4"/>
  <c r="M1544" i="4"/>
  <c r="M1548" i="4"/>
  <c r="M1552" i="4"/>
  <c r="M1556" i="4"/>
  <c r="M1560" i="4"/>
  <c r="M1564" i="4"/>
  <c r="M1568" i="4"/>
  <c r="M1572" i="4"/>
  <c r="M1576" i="4"/>
  <c r="M1580" i="4"/>
  <c r="M1584" i="4"/>
  <c r="M1588" i="4"/>
  <c r="M1592" i="4"/>
  <c r="M1596" i="4"/>
  <c r="M1600" i="4"/>
  <c r="M1604" i="4"/>
  <c r="M1608" i="4"/>
  <c r="M1612" i="4"/>
  <c r="M1616" i="4"/>
  <c r="M1620" i="4"/>
  <c r="M1624" i="4"/>
  <c r="M1628" i="4"/>
  <c r="M1632" i="4"/>
  <c r="M1636" i="4"/>
  <c r="M1640" i="4"/>
  <c r="M1644" i="4"/>
  <c r="M1648" i="4"/>
  <c r="M1652" i="4"/>
  <c r="M1656" i="4"/>
  <c r="M1660" i="4"/>
  <c r="M1664" i="4"/>
  <c r="M1668" i="4"/>
  <c r="M1672" i="4"/>
  <c r="M1676" i="4"/>
  <c r="M1680" i="4"/>
  <c r="M1684" i="4"/>
  <c r="M1688" i="4"/>
  <c r="M1692" i="4"/>
  <c r="M1696" i="4"/>
  <c r="M1700" i="4"/>
  <c r="M1704" i="4"/>
  <c r="M1708" i="4"/>
  <c r="M1712" i="4"/>
  <c r="M1716" i="4"/>
  <c r="M1720" i="4"/>
  <c r="M1724" i="4"/>
  <c r="M1728" i="4"/>
  <c r="M1732" i="4"/>
  <c r="M1736" i="4"/>
  <c r="M1740" i="4"/>
  <c r="M1744" i="4"/>
  <c r="M1748" i="4"/>
  <c r="M1752" i="4"/>
  <c r="M1756" i="4"/>
  <c r="M1760" i="4"/>
  <c r="M1764" i="4"/>
  <c r="M1768" i="4"/>
  <c r="M1772" i="4"/>
  <c r="M1776" i="4"/>
  <c r="M1780" i="4"/>
  <c r="M1784" i="4"/>
  <c r="M1788" i="4"/>
  <c r="M1792" i="4"/>
  <c r="M1796" i="4"/>
  <c r="M1800" i="4"/>
  <c r="M1804" i="4"/>
  <c r="M1808" i="4"/>
  <c r="M1812" i="4"/>
  <c r="M1816" i="4"/>
  <c r="M1820" i="4"/>
  <c r="M1824" i="4"/>
  <c r="M1828" i="4"/>
  <c r="M1832" i="4"/>
  <c r="M1836" i="4"/>
  <c r="M1840" i="4"/>
  <c r="M1844" i="4"/>
  <c r="M1848" i="4"/>
  <c r="M1852" i="4"/>
  <c r="M1856" i="4"/>
  <c r="M1860" i="4"/>
  <c r="M1864" i="4"/>
  <c r="M1868" i="4"/>
  <c r="M1872" i="4"/>
  <c r="M1876" i="4"/>
  <c r="M1880" i="4"/>
  <c r="M1884" i="4"/>
  <c r="M1888" i="4"/>
  <c r="M1892" i="4"/>
  <c r="M1896" i="4"/>
  <c r="M1900" i="4"/>
  <c r="M1904" i="4"/>
  <c r="M1908" i="4"/>
  <c r="M1912" i="4"/>
  <c r="M1916" i="4"/>
  <c r="M1920" i="4"/>
  <c r="M1924" i="4"/>
  <c r="M1928" i="4"/>
  <c r="M1932" i="4"/>
  <c r="M1936" i="4"/>
  <c r="M1940" i="4"/>
  <c r="M1944" i="4"/>
  <c r="M1948" i="4"/>
  <c r="M1952" i="4"/>
  <c r="M1956" i="4"/>
  <c r="M1960" i="4"/>
  <c r="M1964" i="4"/>
  <c r="M1968" i="4"/>
  <c r="M1972" i="4"/>
  <c r="M1976" i="4"/>
  <c r="M1980" i="4"/>
  <c r="M1984" i="4"/>
  <c r="M1988" i="4"/>
  <c r="M1992" i="4"/>
  <c r="M1996" i="4"/>
  <c r="M2000" i="4"/>
  <c r="M2004" i="4"/>
  <c r="M2008" i="4"/>
  <c r="M2012" i="4"/>
  <c r="M2016" i="4"/>
  <c r="M2020" i="4"/>
  <c r="M2024" i="4"/>
  <c r="M2028" i="4"/>
  <c r="M2032" i="4"/>
  <c r="M2036" i="4"/>
  <c r="M2040" i="4"/>
  <c r="M2044" i="4"/>
  <c r="M2048" i="4"/>
  <c r="M2052" i="4"/>
  <c r="M2056" i="4"/>
  <c r="M2060" i="4"/>
  <c r="M2064" i="4"/>
  <c r="M2068" i="4"/>
  <c r="M2072" i="4"/>
  <c r="M2076" i="4"/>
  <c r="M2080" i="4"/>
  <c r="M2084" i="4"/>
  <c r="M2088" i="4"/>
  <c r="M2092" i="4"/>
  <c r="M2096" i="4"/>
  <c r="M2100" i="4"/>
  <c r="M2104" i="4"/>
  <c r="M2108" i="4"/>
  <c r="M2112" i="4"/>
  <c r="M2116" i="4"/>
  <c r="M2120" i="4"/>
  <c r="M2124" i="4"/>
  <c r="M2128" i="4"/>
  <c r="M2132" i="4"/>
  <c r="M2136" i="4"/>
  <c r="M2140" i="4"/>
  <c r="M2144" i="4"/>
  <c r="M2148" i="4"/>
  <c r="M2152" i="4"/>
  <c r="M2156" i="4"/>
  <c r="M2160" i="4"/>
  <c r="M2164" i="4"/>
  <c r="M2168" i="4"/>
  <c r="M2172" i="4"/>
  <c r="M2176" i="4"/>
  <c r="M2180" i="4"/>
  <c r="M2184" i="4"/>
  <c r="M2188" i="4"/>
  <c r="M2192" i="4"/>
  <c r="M2196" i="4"/>
  <c r="M2200" i="4"/>
  <c r="M2204" i="4"/>
  <c r="M2208" i="4"/>
  <c r="M2212" i="4"/>
  <c r="M2216" i="4"/>
  <c r="M2220" i="4"/>
  <c r="M2224" i="4"/>
  <c r="M2228" i="4"/>
  <c r="M2232" i="4"/>
  <c r="M2236" i="4"/>
  <c r="M2240" i="4"/>
  <c r="M2244" i="4"/>
  <c r="M2248" i="4"/>
  <c r="M2252" i="4"/>
  <c r="M2256" i="4"/>
  <c r="M2260" i="4"/>
  <c r="M2264" i="4"/>
  <c r="M2268" i="4"/>
  <c r="M2272" i="4"/>
  <c r="M2276" i="4"/>
  <c r="M2280" i="4"/>
  <c r="M2284" i="4"/>
  <c r="M2288" i="4"/>
  <c r="M2292" i="4"/>
  <c r="M2296" i="4"/>
  <c r="M2300" i="4"/>
  <c r="M2304" i="4"/>
  <c r="M2308" i="4"/>
  <c r="M2312" i="4"/>
  <c r="M2316" i="4"/>
  <c r="M2320" i="4"/>
  <c r="M2324" i="4"/>
  <c r="M2328" i="4"/>
  <c r="M2332" i="4"/>
  <c r="M2336" i="4"/>
  <c r="M2340" i="4"/>
  <c r="M2344" i="4"/>
  <c r="M2348" i="4"/>
  <c r="M2352" i="4"/>
  <c r="M2356" i="4"/>
  <c r="M2360" i="4"/>
  <c r="M2364" i="4"/>
  <c r="M2368" i="4"/>
  <c r="M2372" i="4"/>
  <c r="M2376" i="4"/>
  <c r="M2380" i="4"/>
  <c r="M2384" i="4"/>
  <c r="M2388" i="4"/>
  <c r="M2392" i="4"/>
  <c r="M2396" i="4"/>
  <c r="M923" i="4"/>
  <c r="M944" i="4"/>
  <c r="M966" i="4"/>
  <c r="M987" i="4"/>
  <c r="M1002" i="4"/>
  <c r="M1014" i="4"/>
  <c r="M1028" i="4"/>
  <c r="M1039" i="4"/>
  <c r="M1050" i="4"/>
  <c r="M1055" i="4"/>
  <c r="M1060" i="4"/>
  <c r="M1066" i="4"/>
  <c r="M1071" i="4"/>
  <c r="M1076" i="4"/>
  <c r="M1082" i="4"/>
  <c r="M1087" i="4"/>
  <c r="M1092" i="4"/>
  <c r="M1097" i="4"/>
  <c r="M1101" i="4"/>
  <c r="M1105" i="4"/>
  <c r="M1109" i="4"/>
  <c r="M1113" i="4"/>
  <c r="M1117" i="4"/>
  <c r="M1121" i="4"/>
  <c r="M1125" i="4"/>
  <c r="M1129" i="4"/>
  <c r="M1133" i="4"/>
  <c r="M1137" i="4"/>
  <c r="M1141" i="4"/>
  <c r="M1145" i="4"/>
  <c r="M1149" i="4"/>
  <c r="M1153" i="4"/>
  <c r="M1157" i="4"/>
  <c r="M1161" i="4"/>
  <c r="M1165" i="4"/>
  <c r="M1169" i="4"/>
  <c r="M1173" i="4"/>
  <c r="M1177" i="4"/>
  <c r="M1181" i="4"/>
  <c r="M1185" i="4"/>
  <c r="M1189" i="4"/>
  <c r="M1193" i="4"/>
  <c r="M1197" i="4"/>
  <c r="M1201" i="4"/>
  <c r="M1205" i="4"/>
  <c r="M1209" i="4"/>
  <c r="M1213" i="4"/>
  <c r="M1217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3" i="4"/>
  <c r="M1297" i="4"/>
  <c r="M1301" i="4"/>
  <c r="M1305" i="4"/>
  <c r="M1309" i="4"/>
  <c r="M1313" i="4"/>
  <c r="M1317" i="4"/>
  <c r="M1321" i="4"/>
  <c r="M1325" i="4"/>
  <c r="M1329" i="4"/>
  <c r="M1333" i="4"/>
  <c r="M1337" i="4"/>
  <c r="M1341" i="4"/>
  <c r="M1345" i="4"/>
  <c r="M1349" i="4"/>
  <c r="M1353" i="4"/>
  <c r="M1357" i="4"/>
  <c r="M1361" i="4"/>
  <c r="M1365" i="4"/>
  <c r="M1369" i="4"/>
  <c r="M1373" i="4"/>
  <c r="M1377" i="4"/>
  <c r="M1381" i="4"/>
  <c r="M1385" i="4"/>
  <c r="M1389" i="4"/>
  <c r="M1393" i="4"/>
  <c r="M1397" i="4"/>
  <c r="M1401" i="4"/>
  <c r="M1405" i="4"/>
  <c r="M1409" i="4"/>
  <c r="M1413" i="4"/>
  <c r="M1417" i="4"/>
  <c r="M1421" i="4"/>
  <c r="M1425" i="4"/>
  <c r="M1429" i="4"/>
  <c r="M1433" i="4"/>
  <c r="M1437" i="4"/>
  <c r="M1441" i="4"/>
  <c r="M1445" i="4"/>
  <c r="M1449" i="4"/>
  <c r="M1453" i="4"/>
  <c r="M1457" i="4"/>
  <c r="M1461" i="4"/>
  <c r="M1465" i="4"/>
  <c r="M1469" i="4"/>
  <c r="M1473" i="4"/>
  <c r="M1477" i="4"/>
  <c r="M1481" i="4"/>
  <c r="M1485" i="4"/>
  <c r="M1489" i="4"/>
  <c r="M1493" i="4"/>
  <c r="M1497" i="4"/>
  <c r="M1501" i="4"/>
  <c r="M1505" i="4"/>
  <c r="M1509" i="4"/>
  <c r="M1513" i="4"/>
  <c r="M1517" i="4"/>
  <c r="M1521" i="4"/>
  <c r="M1525" i="4"/>
  <c r="M1529" i="4"/>
  <c r="M1533" i="4"/>
  <c r="M1537" i="4"/>
  <c r="M1541" i="4"/>
  <c r="M1545" i="4"/>
  <c r="M1549" i="4"/>
  <c r="M1553" i="4"/>
  <c r="M1557" i="4"/>
  <c r="M1561" i="4"/>
  <c r="M1565" i="4"/>
  <c r="M1569" i="4"/>
  <c r="M1573" i="4"/>
  <c r="M1577" i="4"/>
  <c r="M1581" i="4"/>
  <c r="M1585" i="4"/>
  <c r="M1589" i="4"/>
  <c r="M1593" i="4"/>
  <c r="M1597" i="4"/>
  <c r="M1601" i="4"/>
  <c r="M1605" i="4"/>
  <c r="M1609" i="4"/>
  <c r="M1613" i="4"/>
  <c r="M1617" i="4"/>
  <c r="M1621" i="4"/>
  <c r="M1625" i="4"/>
  <c r="M1629" i="4"/>
  <c r="M1633" i="4"/>
  <c r="M1637" i="4"/>
  <c r="M1641" i="4"/>
  <c r="M1645" i="4"/>
  <c r="M1649" i="4"/>
  <c r="M1653" i="4"/>
  <c r="M1657" i="4"/>
  <c r="M1661" i="4"/>
  <c r="M1665" i="4"/>
  <c r="M1669" i="4"/>
  <c r="M1673" i="4"/>
  <c r="M1677" i="4"/>
  <c r="M1681" i="4"/>
  <c r="M1685" i="4"/>
  <c r="M1689" i="4"/>
  <c r="M1693" i="4"/>
  <c r="M1697" i="4"/>
  <c r="M1701" i="4"/>
  <c r="M1705" i="4"/>
  <c r="M1709" i="4"/>
  <c r="M1713" i="4"/>
  <c r="M1717" i="4"/>
  <c r="M1721" i="4"/>
  <c r="M1725" i="4"/>
  <c r="M1729" i="4"/>
  <c r="M1733" i="4"/>
  <c r="M1737" i="4"/>
  <c r="M1741" i="4"/>
  <c r="M1745" i="4"/>
  <c r="M1749" i="4"/>
  <c r="M1753" i="4"/>
  <c r="M1757" i="4"/>
  <c r="M1761" i="4"/>
  <c r="M1765" i="4"/>
  <c r="M1769" i="4"/>
  <c r="M1773" i="4"/>
  <c r="M1777" i="4"/>
  <c r="M1781" i="4"/>
  <c r="M1785" i="4"/>
  <c r="M1789" i="4"/>
  <c r="M1793" i="4"/>
  <c r="M1797" i="4"/>
  <c r="M1801" i="4"/>
  <c r="M1805" i="4"/>
  <c r="M1809" i="4"/>
  <c r="M1813" i="4"/>
  <c r="M1817" i="4"/>
  <c r="M1821" i="4"/>
  <c r="M1825" i="4"/>
  <c r="M1829" i="4"/>
  <c r="M1833" i="4"/>
  <c r="M1837" i="4"/>
  <c r="M1841" i="4"/>
  <c r="M1845" i="4"/>
  <c r="M1849" i="4"/>
  <c r="M1853" i="4"/>
  <c r="M1857" i="4"/>
  <c r="M1861" i="4"/>
  <c r="M1865" i="4"/>
  <c r="M1869" i="4"/>
  <c r="M1873" i="4"/>
  <c r="M1877" i="4"/>
  <c r="M1881" i="4"/>
  <c r="M1885" i="4"/>
  <c r="M1889" i="4"/>
  <c r="M1893" i="4"/>
  <c r="M1897" i="4"/>
  <c r="M1901" i="4"/>
  <c r="M1905" i="4"/>
  <c r="M1909" i="4"/>
  <c r="M1913" i="4"/>
  <c r="M1917" i="4"/>
  <c r="M1921" i="4"/>
  <c r="M1925" i="4"/>
  <c r="M1929" i="4"/>
  <c r="M1933" i="4"/>
  <c r="M1937" i="4"/>
  <c r="M1941" i="4"/>
  <c r="M1945" i="4"/>
  <c r="M1949" i="4"/>
  <c r="M1953" i="4"/>
  <c r="M1957" i="4"/>
  <c r="M1961" i="4"/>
  <c r="M1965" i="4"/>
  <c r="M1969" i="4"/>
  <c r="M1973" i="4"/>
  <c r="M1977" i="4"/>
  <c r="M1981" i="4"/>
  <c r="M1985" i="4"/>
  <c r="M1989" i="4"/>
  <c r="M1993" i="4"/>
  <c r="M1997" i="4"/>
  <c r="M2001" i="4"/>
  <c r="M2005" i="4"/>
  <c r="M2009" i="4"/>
  <c r="M2013" i="4"/>
  <c r="M2017" i="4"/>
  <c r="M2021" i="4"/>
  <c r="M2025" i="4"/>
  <c r="M2029" i="4"/>
  <c r="M2033" i="4"/>
  <c r="M2037" i="4"/>
  <c r="M2041" i="4"/>
  <c r="M2045" i="4"/>
  <c r="M2049" i="4"/>
  <c r="M2053" i="4"/>
  <c r="M2057" i="4"/>
  <c r="M2061" i="4"/>
  <c r="M2065" i="4"/>
  <c r="M2069" i="4"/>
  <c r="M2073" i="4"/>
  <c r="M2077" i="4"/>
  <c r="M2081" i="4"/>
  <c r="M2085" i="4"/>
  <c r="M2089" i="4"/>
  <c r="M2093" i="4"/>
  <c r="M2097" i="4"/>
  <c r="M2101" i="4"/>
  <c r="M2105" i="4"/>
  <c r="M2109" i="4"/>
  <c r="M2113" i="4"/>
  <c r="M2117" i="4"/>
  <c r="M2121" i="4"/>
  <c r="M2125" i="4"/>
  <c r="M2129" i="4"/>
  <c r="M2133" i="4"/>
  <c r="M2137" i="4"/>
  <c r="M2141" i="4"/>
  <c r="M2145" i="4"/>
  <c r="M2149" i="4"/>
  <c r="M2153" i="4"/>
  <c r="M2157" i="4"/>
  <c r="M2161" i="4"/>
  <c r="M2165" i="4"/>
  <c r="M2169" i="4"/>
  <c r="M2173" i="4"/>
  <c r="M2177" i="4"/>
  <c r="M2181" i="4"/>
  <c r="M2185" i="4"/>
  <c r="M2189" i="4"/>
  <c r="M2193" i="4"/>
  <c r="M2197" i="4"/>
  <c r="M2201" i="4"/>
  <c r="M2205" i="4"/>
  <c r="M2209" i="4"/>
  <c r="M2213" i="4"/>
  <c r="M2217" i="4"/>
  <c r="M2221" i="4"/>
  <c r="M2225" i="4"/>
  <c r="M2229" i="4"/>
  <c r="M2233" i="4"/>
  <c r="M2237" i="4"/>
  <c r="M2241" i="4"/>
  <c r="M2245" i="4"/>
  <c r="M2249" i="4"/>
  <c r="M2253" i="4"/>
  <c r="M2257" i="4"/>
  <c r="M2261" i="4"/>
  <c r="M2265" i="4"/>
  <c r="M2269" i="4"/>
  <c r="M2273" i="4"/>
  <c r="M2277" i="4"/>
  <c r="M2281" i="4"/>
  <c r="M2285" i="4"/>
  <c r="M2289" i="4"/>
  <c r="M2293" i="4"/>
  <c r="M2297" i="4"/>
  <c r="M2301" i="4"/>
  <c r="M2305" i="4"/>
  <c r="M2309" i="4"/>
  <c r="M2313" i="4"/>
  <c r="M2317" i="4"/>
  <c r="M2321" i="4"/>
  <c r="M2325" i="4"/>
  <c r="M2329" i="4"/>
  <c r="M2333" i="4"/>
  <c r="M2337" i="4"/>
  <c r="M2341" i="4"/>
  <c r="M2345" i="4"/>
  <c r="M2349" i="4"/>
  <c r="M2353" i="4"/>
  <c r="M2357" i="4"/>
  <c r="M2361" i="4"/>
  <c r="M2365" i="4"/>
  <c r="M2369" i="4"/>
  <c r="M2373" i="4"/>
  <c r="M2377" i="4"/>
  <c r="M2381" i="4"/>
  <c r="M2385" i="4"/>
  <c r="M2389" i="4"/>
  <c r="M2393" i="4"/>
  <c r="M928" i="4"/>
  <c r="M950" i="4"/>
  <c r="M971" i="4"/>
  <c r="M991" i="4"/>
  <c r="M1003" i="4"/>
  <c r="M1019" i="4"/>
  <c r="M1030" i="4"/>
  <c r="M1040" i="4"/>
  <c r="M1051" i="4"/>
  <c r="M1056" i="4"/>
  <c r="M1062" i="4"/>
  <c r="M1067" i="4"/>
  <c r="M1072" i="4"/>
  <c r="M1078" i="4"/>
  <c r="M1083" i="4"/>
  <c r="M1088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42" i="4"/>
  <c r="M1146" i="4"/>
  <c r="M1150" i="4"/>
  <c r="M1154" i="4"/>
  <c r="M1158" i="4"/>
  <c r="M1162" i="4"/>
  <c r="M1166" i="4"/>
  <c r="M1170" i="4"/>
  <c r="M1174" i="4"/>
  <c r="M1178" i="4"/>
  <c r="M1182" i="4"/>
  <c r="M1186" i="4"/>
  <c r="M1190" i="4"/>
  <c r="M1194" i="4"/>
  <c r="M1198" i="4"/>
  <c r="M1202" i="4"/>
  <c r="M1206" i="4"/>
  <c r="M1210" i="4"/>
  <c r="M1214" i="4"/>
  <c r="M1218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4" i="4"/>
  <c r="M1298" i="4"/>
  <c r="M1302" i="4"/>
  <c r="M1306" i="4"/>
  <c r="M1310" i="4"/>
  <c r="M1314" i="4"/>
  <c r="M1318" i="4"/>
  <c r="M1322" i="4"/>
  <c r="M1326" i="4"/>
  <c r="M1330" i="4"/>
  <c r="M1334" i="4"/>
  <c r="M1338" i="4"/>
  <c r="M1342" i="4"/>
  <c r="M1346" i="4"/>
  <c r="M1350" i="4"/>
  <c r="M1354" i="4"/>
  <c r="M1358" i="4"/>
  <c r="M1362" i="4"/>
  <c r="M1366" i="4"/>
  <c r="M1370" i="4"/>
  <c r="M1374" i="4"/>
  <c r="M1378" i="4"/>
  <c r="M1382" i="4"/>
  <c r="M1386" i="4"/>
  <c r="M1390" i="4"/>
  <c r="M1394" i="4"/>
  <c r="M1398" i="4"/>
  <c r="M1402" i="4"/>
  <c r="M1406" i="4"/>
  <c r="M1410" i="4"/>
  <c r="M1414" i="4"/>
  <c r="M1418" i="4"/>
  <c r="M1422" i="4"/>
  <c r="M1426" i="4"/>
  <c r="M1430" i="4"/>
  <c r="M1434" i="4"/>
  <c r="M1438" i="4"/>
  <c r="M1442" i="4"/>
  <c r="M1446" i="4"/>
  <c r="M1450" i="4"/>
  <c r="M1454" i="4"/>
  <c r="M1458" i="4"/>
  <c r="M1462" i="4"/>
  <c r="M1466" i="4"/>
  <c r="M1470" i="4"/>
  <c r="M1474" i="4"/>
  <c r="M1478" i="4"/>
  <c r="M1482" i="4"/>
  <c r="M1486" i="4"/>
  <c r="M1490" i="4"/>
  <c r="M1494" i="4"/>
  <c r="M1498" i="4"/>
  <c r="M1502" i="4"/>
  <c r="M1506" i="4"/>
  <c r="M1510" i="4"/>
  <c r="M1514" i="4"/>
  <c r="M1518" i="4"/>
  <c r="M1522" i="4"/>
  <c r="M1526" i="4"/>
  <c r="M1530" i="4"/>
  <c r="M1534" i="4"/>
  <c r="M1538" i="4"/>
  <c r="M1542" i="4"/>
  <c r="M1546" i="4"/>
  <c r="M1550" i="4"/>
  <c r="M1554" i="4"/>
  <c r="M1558" i="4"/>
  <c r="M1562" i="4"/>
  <c r="M1566" i="4"/>
  <c r="M1570" i="4"/>
  <c r="M1574" i="4"/>
  <c r="M1578" i="4"/>
  <c r="M1582" i="4"/>
  <c r="M1586" i="4"/>
  <c r="M1590" i="4"/>
  <c r="M1594" i="4"/>
  <c r="M1598" i="4"/>
  <c r="M1602" i="4"/>
  <c r="M1606" i="4"/>
  <c r="M1610" i="4"/>
  <c r="M1614" i="4"/>
  <c r="M1618" i="4"/>
  <c r="M1622" i="4"/>
  <c r="M1626" i="4"/>
  <c r="M1630" i="4"/>
  <c r="M1634" i="4"/>
  <c r="M1638" i="4"/>
  <c r="M1642" i="4"/>
  <c r="M1646" i="4"/>
  <c r="M1650" i="4"/>
  <c r="M1654" i="4"/>
  <c r="M1658" i="4"/>
  <c r="M1662" i="4"/>
  <c r="M1666" i="4"/>
  <c r="M1670" i="4"/>
  <c r="M1674" i="4"/>
  <c r="M1678" i="4"/>
  <c r="M1682" i="4"/>
  <c r="M1686" i="4"/>
  <c r="M1690" i="4"/>
  <c r="M1694" i="4"/>
  <c r="M1698" i="4"/>
  <c r="M1702" i="4"/>
  <c r="M1706" i="4"/>
  <c r="M1710" i="4"/>
  <c r="M1714" i="4"/>
  <c r="M1718" i="4"/>
  <c r="M1722" i="4"/>
  <c r="M1726" i="4"/>
  <c r="M1730" i="4"/>
  <c r="M1734" i="4"/>
  <c r="M1738" i="4"/>
  <c r="M1742" i="4"/>
  <c r="M1746" i="4"/>
  <c r="M1750" i="4"/>
  <c r="M1754" i="4"/>
  <c r="M1758" i="4"/>
  <c r="M1762" i="4"/>
  <c r="M1766" i="4"/>
  <c r="M1770" i="4"/>
  <c r="M1774" i="4"/>
  <c r="M1778" i="4"/>
  <c r="M1782" i="4"/>
  <c r="M1786" i="4"/>
  <c r="M1790" i="4"/>
  <c r="M1794" i="4"/>
  <c r="M1798" i="4"/>
  <c r="M1802" i="4"/>
  <c r="M1806" i="4"/>
  <c r="M1810" i="4"/>
  <c r="M1814" i="4"/>
  <c r="M1818" i="4"/>
  <c r="M1822" i="4"/>
  <c r="M1826" i="4"/>
  <c r="M1830" i="4"/>
  <c r="M1834" i="4"/>
  <c r="M1838" i="4"/>
  <c r="M1842" i="4"/>
  <c r="M1846" i="4"/>
  <c r="M1850" i="4"/>
  <c r="M1854" i="4"/>
  <c r="M1858" i="4"/>
  <c r="M1862" i="4"/>
  <c r="M1866" i="4"/>
  <c r="M1870" i="4"/>
  <c r="M1874" i="4"/>
  <c r="M1878" i="4"/>
  <c r="M1882" i="4"/>
  <c r="M1886" i="4"/>
  <c r="M1890" i="4"/>
  <c r="M1894" i="4"/>
  <c r="M1898" i="4"/>
  <c r="M1902" i="4"/>
  <c r="M1906" i="4"/>
  <c r="M1910" i="4"/>
  <c r="M1914" i="4"/>
  <c r="M1918" i="4"/>
  <c r="M1922" i="4"/>
  <c r="M1926" i="4"/>
  <c r="M1930" i="4"/>
  <c r="M1934" i="4"/>
  <c r="M1938" i="4"/>
  <c r="M1942" i="4"/>
  <c r="M1946" i="4"/>
  <c r="M1950" i="4"/>
  <c r="M1954" i="4"/>
  <c r="M1958" i="4"/>
  <c r="M1962" i="4"/>
  <c r="M1966" i="4"/>
  <c r="M1970" i="4"/>
  <c r="M1974" i="4"/>
  <c r="M1978" i="4"/>
  <c r="M1982" i="4"/>
  <c r="M1986" i="4"/>
  <c r="M1990" i="4"/>
  <c r="M1994" i="4"/>
  <c r="M1998" i="4"/>
  <c r="M2002" i="4"/>
  <c r="M2006" i="4"/>
  <c r="M2010" i="4"/>
  <c r="M2014" i="4"/>
  <c r="M2018" i="4"/>
  <c r="M2022" i="4"/>
  <c r="M2026" i="4"/>
  <c r="M2030" i="4"/>
  <c r="M2034" i="4"/>
  <c r="M2038" i="4"/>
  <c r="M2042" i="4"/>
  <c r="M2046" i="4"/>
  <c r="M2050" i="4"/>
  <c r="M2054" i="4"/>
  <c r="M2058" i="4"/>
  <c r="M2062" i="4"/>
  <c r="M2066" i="4"/>
  <c r="M2070" i="4"/>
  <c r="M2074" i="4"/>
  <c r="M2078" i="4"/>
  <c r="M2082" i="4"/>
  <c r="M2086" i="4"/>
  <c r="M2090" i="4"/>
  <c r="M2094" i="4"/>
  <c r="M2098" i="4"/>
  <c r="M2102" i="4"/>
  <c r="M2106" i="4"/>
  <c r="M2110" i="4"/>
  <c r="M2114" i="4"/>
  <c r="M2118" i="4"/>
  <c r="M2122" i="4"/>
  <c r="M2126" i="4"/>
  <c r="M2130" i="4"/>
  <c r="M2134" i="4"/>
  <c r="M2138" i="4"/>
  <c r="M2142" i="4"/>
  <c r="M2146" i="4"/>
  <c r="M2150" i="4"/>
  <c r="M2154" i="4"/>
  <c r="M2158" i="4"/>
  <c r="M2162" i="4"/>
  <c r="M2166" i="4"/>
  <c r="M2170" i="4"/>
  <c r="M2174" i="4"/>
  <c r="M2178" i="4"/>
  <c r="M2182" i="4"/>
  <c r="M2186" i="4"/>
  <c r="M2190" i="4"/>
  <c r="M2194" i="4"/>
  <c r="M2198" i="4"/>
  <c r="M2202" i="4"/>
  <c r="M2206" i="4"/>
  <c r="M2210" i="4"/>
  <c r="M2214" i="4"/>
  <c r="M2218" i="4"/>
  <c r="M2222" i="4"/>
  <c r="M2226" i="4"/>
  <c r="M2230" i="4"/>
  <c r="M2234" i="4"/>
  <c r="M2238" i="4"/>
  <c r="M2242" i="4"/>
  <c r="M2246" i="4"/>
  <c r="M2250" i="4"/>
  <c r="M2254" i="4"/>
  <c r="M2258" i="4"/>
  <c r="M2262" i="4"/>
  <c r="M2266" i="4"/>
  <c r="M2270" i="4"/>
  <c r="M2274" i="4"/>
  <c r="M2278" i="4"/>
  <c r="M2282" i="4"/>
  <c r="M2286" i="4"/>
  <c r="M2290" i="4"/>
  <c r="M2294" i="4"/>
  <c r="M2298" i="4"/>
  <c r="M2302" i="4"/>
  <c r="M2306" i="4"/>
  <c r="M2310" i="4"/>
  <c r="M2314" i="4"/>
  <c r="M2318" i="4"/>
  <c r="M2322" i="4"/>
  <c r="M2326" i="4"/>
  <c r="M2330" i="4"/>
  <c r="M2334" i="4"/>
  <c r="M2338" i="4"/>
  <c r="M2342" i="4"/>
  <c r="M2346" i="4"/>
  <c r="M2350" i="4"/>
  <c r="M2354" i="4"/>
  <c r="M2358" i="4"/>
  <c r="M2362" i="4"/>
  <c r="M2366" i="4"/>
  <c r="M2370" i="4"/>
  <c r="M2374" i="4"/>
  <c r="M2378" i="4"/>
  <c r="M2382" i="4"/>
  <c r="M2386" i="4"/>
  <c r="M2390" i="4"/>
  <c r="M2394" i="4"/>
  <c r="M934" i="4"/>
  <c r="M955" i="4"/>
  <c r="M976" i="4"/>
  <c r="M992" i="4"/>
  <c r="M1008" i="4"/>
  <c r="M1023" i="4"/>
  <c r="M1034" i="4"/>
  <c r="M1044" i="4"/>
  <c r="M1052" i="4"/>
  <c r="M1058" i="4"/>
  <c r="M1063" i="4"/>
  <c r="M1068" i="4"/>
  <c r="M1074" i="4"/>
  <c r="M1079" i="4"/>
  <c r="M1084" i="4"/>
  <c r="M1090" i="4"/>
  <c r="M1095" i="4"/>
  <c r="M1099" i="4"/>
  <c r="M1103" i="4"/>
  <c r="M1107" i="4"/>
  <c r="M1111" i="4"/>
  <c r="M1115" i="4"/>
  <c r="M1119" i="4"/>
  <c r="M1123" i="4"/>
  <c r="M1127" i="4"/>
  <c r="M1131" i="4"/>
  <c r="M1135" i="4"/>
  <c r="M1139" i="4"/>
  <c r="M1143" i="4"/>
  <c r="M1147" i="4"/>
  <c r="M1151" i="4"/>
  <c r="M1155" i="4"/>
  <c r="M1159" i="4"/>
  <c r="M1163" i="4"/>
  <c r="M1167" i="4"/>
  <c r="M1171" i="4"/>
  <c r="M1175" i="4"/>
  <c r="M1179" i="4"/>
  <c r="M1183" i="4"/>
  <c r="M1187" i="4"/>
  <c r="M1191" i="4"/>
  <c r="M1195" i="4"/>
  <c r="M1199" i="4"/>
  <c r="M1203" i="4"/>
  <c r="M1207" i="4"/>
  <c r="M1211" i="4"/>
  <c r="M1215" i="4"/>
  <c r="M1219" i="4"/>
  <c r="M1223" i="4"/>
  <c r="M1227" i="4"/>
  <c r="M1231" i="4"/>
  <c r="M1235" i="4"/>
  <c r="M1239" i="4"/>
  <c r="M1243" i="4"/>
  <c r="M1247" i="4"/>
  <c r="M1251" i="4"/>
  <c r="M1255" i="4"/>
  <c r="M1259" i="4"/>
  <c r="M1263" i="4"/>
  <c r="M1267" i="4"/>
  <c r="M1271" i="4"/>
  <c r="M1275" i="4"/>
  <c r="M1279" i="4"/>
  <c r="M1283" i="4"/>
  <c r="M1287" i="4"/>
  <c r="M1291" i="4"/>
  <c r="M1295" i="4"/>
  <c r="M1299" i="4"/>
  <c r="M1303" i="4"/>
  <c r="M1307" i="4"/>
  <c r="M1311" i="4"/>
  <c r="M1315" i="4"/>
  <c r="M1319" i="4"/>
  <c r="M1323" i="4"/>
  <c r="M1327" i="4"/>
  <c r="M1331" i="4"/>
  <c r="M1335" i="4"/>
  <c r="M1339" i="4"/>
  <c r="M1343" i="4"/>
  <c r="M1347" i="4"/>
  <c r="M1351" i="4"/>
  <c r="M1355" i="4"/>
  <c r="M1359" i="4"/>
  <c r="M1363" i="4"/>
  <c r="M1367" i="4"/>
  <c r="M1371" i="4"/>
  <c r="M1375" i="4"/>
  <c r="M1379" i="4"/>
  <c r="M1383" i="4"/>
  <c r="M1387" i="4"/>
  <c r="M1391" i="4"/>
  <c r="M1395" i="4"/>
  <c r="M1399" i="4"/>
  <c r="M1403" i="4"/>
  <c r="M1407" i="4"/>
  <c r="M1411" i="4"/>
  <c r="M1415" i="4"/>
  <c r="M1419" i="4"/>
  <c r="M1423" i="4"/>
  <c r="M1427" i="4"/>
  <c r="M1431" i="4"/>
  <c r="M1435" i="4"/>
  <c r="M1439" i="4"/>
  <c r="M1443" i="4"/>
  <c r="M1447" i="4"/>
  <c r="M1451" i="4"/>
  <c r="M1455" i="4"/>
  <c r="M1459" i="4"/>
  <c r="M1463" i="4"/>
  <c r="M1467" i="4"/>
  <c r="M1471" i="4"/>
  <c r="M1475" i="4"/>
  <c r="M1479" i="4"/>
  <c r="M1483" i="4"/>
  <c r="M1487" i="4"/>
  <c r="M1491" i="4"/>
  <c r="M1495" i="4"/>
  <c r="M1499" i="4"/>
  <c r="M1503" i="4"/>
  <c r="M1507" i="4"/>
  <c r="M1511" i="4"/>
  <c r="M1515" i="4"/>
  <c r="M1519" i="4"/>
  <c r="M1523" i="4"/>
  <c r="M1527" i="4"/>
  <c r="M1531" i="4"/>
  <c r="M1535" i="4"/>
  <c r="M1539" i="4"/>
  <c r="M1543" i="4"/>
  <c r="M1547" i="4"/>
  <c r="M1551" i="4"/>
  <c r="M1555" i="4"/>
  <c r="M1559" i="4"/>
  <c r="M1563" i="4"/>
  <c r="M1567" i="4"/>
  <c r="M1571" i="4"/>
  <c r="M1575" i="4"/>
  <c r="M1579" i="4"/>
  <c r="M1583" i="4"/>
  <c r="M1587" i="4"/>
  <c r="M1591" i="4"/>
  <c r="M1595" i="4"/>
  <c r="M1599" i="4"/>
  <c r="M1603" i="4"/>
  <c r="M1607" i="4"/>
  <c r="M1611" i="4"/>
  <c r="M1615" i="4"/>
  <c r="M1619" i="4"/>
  <c r="M1623" i="4"/>
  <c r="M1627" i="4"/>
  <c r="M1631" i="4"/>
  <c r="M1635" i="4"/>
  <c r="M1639" i="4"/>
  <c r="M1643" i="4"/>
  <c r="M1647" i="4"/>
  <c r="M1651" i="4"/>
  <c r="M1655" i="4"/>
  <c r="M1659" i="4"/>
  <c r="M1663" i="4"/>
  <c r="M1667" i="4"/>
  <c r="M1671" i="4"/>
  <c r="M1675" i="4"/>
  <c r="M1679" i="4"/>
  <c r="M1683" i="4"/>
  <c r="M1687" i="4"/>
  <c r="M1691" i="4"/>
  <c r="M1695" i="4"/>
  <c r="M1699" i="4"/>
  <c r="M1703" i="4"/>
  <c r="M1707" i="4"/>
  <c r="M1711" i="4"/>
  <c r="M1715" i="4"/>
  <c r="M1719" i="4"/>
  <c r="M1723" i="4"/>
  <c r="M1727" i="4"/>
  <c r="M1731" i="4"/>
  <c r="M1735" i="4"/>
  <c r="M1739" i="4"/>
  <c r="M1743" i="4"/>
  <c r="M1747" i="4"/>
  <c r="M1751" i="4"/>
  <c r="M1755" i="4"/>
  <c r="M1759" i="4"/>
  <c r="M1763" i="4"/>
  <c r="M1767" i="4"/>
  <c r="M1771" i="4"/>
  <c r="M1775" i="4"/>
  <c r="M1779" i="4"/>
  <c r="M1783" i="4"/>
  <c r="M1787" i="4"/>
  <c r="M1791" i="4"/>
  <c r="M1795" i="4"/>
  <c r="M1799" i="4"/>
  <c r="M1803" i="4"/>
  <c r="M1807" i="4"/>
  <c r="M1811" i="4"/>
  <c r="M1815" i="4"/>
  <c r="M1819" i="4"/>
  <c r="M1823" i="4"/>
  <c r="M1827" i="4"/>
  <c r="M1831" i="4"/>
  <c r="M1835" i="4"/>
  <c r="M1839" i="4"/>
  <c r="M1843" i="4"/>
  <c r="M1847" i="4"/>
  <c r="M1851" i="4"/>
  <c r="M1855" i="4"/>
  <c r="M1859" i="4"/>
  <c r="M1863" i="4"/>
  <c r="M1867" i="4"/>
  <c r="M1871" i="4"/>
  <c r="M1875" i="4"/>
  <c r="M1879" i="4"/>
  <c r="M1883" i="4"/>
  <c r="M1887" i="4"/>
  <c r="M1891" i="4"/>
  <c r="M1895" i="4"/>
  <c r="M1899" i="4"/>
  <c r="M1903" i="4"/>
  <c r="M1907" i="4"/>
  <c r="M1911" i="4"/>
  <c r="M1915" i="4"/>
  <c r="M1919" i="4"/>
  <c r="M1923" i="4"/>
  <c r="M1927" i="4"/>
  <c r="M1931" i="4"/>
  <c r="M1935" i="4"/>
  <c r="M1939" i="4"/>
  <c r="M1943" i="4"/>
  <c r="M1947" i="4"/>
  <c r="M1951" i="4"/>
  <c r="M1955" i="4"/>
  <c r="M1959" i="4"/>
  <c r="M1963" i="4"/>
  <c r="M1967" i="4"/>
  <c r="M1971" i="4"/>
  <c r="M1975" i="4"/>
  <c r="M1979" i="4"/>
  <c r="M1983" i="4"/>
  <c r="M1987" i="4"/>
  <c r="M1991" i="4"/>
  <c r="M1995" i="4"/>
  <c r="M1999" i="4"/>
  <c r="M2003" i="4"/>
  <c r="M2007" i="4"/>
  <c r="M2011" i="4"/>
  <c r="M2015" i="4"/>
  <c r="M2019" i="4"/>
  <c r="M2023" i="4"/>
  <c r="M2027" i="4"/>
  <c r="M2031" i="4"/>
  <c r="M2035" i="4"/>
  <c r="M2039" i="4"/>
  <c r="M2043" i="4"/>
  <c r="M2047" i="4"/>
  <c r="M2051" i="4"/>
  <c r="M2055" i="4"/>
  <c r="M2059" i="4"/>
  <c r="M2063" i="4"/>
  <c r="M2067" i="4"/>
  <c r="M2071" i="4"/>
  <c r="M2075" i="4"/>
  <c r="M2079" i="4"/>
  <c r="M2083" i="4"/>
  <c r="M2087" i="4"/>
  <c r="M2091" i="4"/>
  <c r="M2095" i="4"/>
  <c r="M2099" i="4"/>
  <c r="M2103" i="4"/>
  <c r="M2107" i="4"/>
  <c r="M2111" i="4"/>
  <c r="M2115" i="4"/>
  <c r="M2119" i="4"/>
  <c r="M2123" i="4"/>
  <c r="M2127" i="4"/>
  <c r="M2131" i="4"/>
  <c r="M2135" i="4"/>
  <c r="M2139" i="4"/>
  <c r="M2143" i="4"/>
  <c r="M2147" i="4"/>
  <c r="M2151" i="4"/>
  <c r="M2155" i="4"/>
  <c r="M2159" i="4"/>
  <c r="M2163" i="4"/>
  <c r="M2167" i="4"/>
  <c r="M2171" i="4"/>
  <c r="M2175" i="4"/>
  <c r="M2179" i="4"/>
  <c r="M2183" i="4"/>
  <c r="M2187" i="4"/>
  <c r="M2191" i="4"/>
  <c r="M2195" i="4"/>
  <c r="M2199" i="4"/>
  <c r="M2203" i="4"/>
  <c r="M2207" i="4"/>
  <c r="M2211" i="4"/>
  <c r="M2215" i="4"/>
  <c r="M2219" i="4"/>
  <c r="M2223" i="4"/>
  <c r="M2227" i="4"/>
  <c r="M2231" i="4"/>
  <c r="M2235" i="4"/>
  <c r="M2239" i="4"/>
  <c r="M2243" i="4"/>
  <c r="M2247" i="4"/>
  <c r="M2251" i="4"/>
  <c r="M2255" i="4"/>
  <c r="M2259" i="4"/>
  <c r="M2263" i="4"/>
  <c r="M2267" i="4"/>
  <c r="M2271" i="4"/>
  <c r="M2275" i="4"/>
  <c r="M2279" i="4"/>
  <c r="M2283" i="4"/>
  <c r="M2287" i="4"/>
  <c r="M2291" i="4"/>
  <c r="M2295" i="4"/>
  <c r="M2299" i="4"/>
  <c r="M2303" i="4"/>
  <c r="M2307" i="4"/>
  <c r="M2311" i="4"/>
  <c r="M2315" i="4"/>
  <c r="M2319" i="4"/>
  <c r="M2323" i="4"/>
  <c r="M2327" i="4"/>
  <c r="M2331" i="4"/>
  <c r="M2335" i="4"/>
  <c r="M2339" i="4"/>
  <c r="M2343" i="4"/>
  <c r="M2347" i="4"/>
  <c r="M2351" i="4"/>
  <c r="M2355" i="4"/>
  <c r="M2359" i="4"/>
  <c r="M2363" i="4"/>
  <c r="M2367" i="4"/>
  <c r="M2371" i="4"/>
  <c r="M2375" i="4"/>
  <c r="M2379" i="4"/>
  <c r="M2383" i="4"/>
  <c r="M2387" i="4"/>
  <c r="M2391" i="4"/>
  <c r="M2395" i="4"/>
  <c r="M2400" i="4"/>
  <c r="M2404" i="4"/>
  <c r="M2408" i="4"/>
  <c r="M2412" i="4"/>
  <c r="M2416" i="4"/>
  <c r="M2420" i="4"/>
  <c r="M2424" i="4"/>
  <c r="M2428" i="4"/>
  <c r="M2432" i="4"/>
  <c r="M2436" i="4"/>
  <c r="M2440" i="4"/>
  <c r="M2444" i="4"/>
  <c r="M2448" i="4"/>
  <c r="M2452" i="4"/>
  <c r="M2456" i="4"/>
  <c r="M2460" i="4"/>
  <c r="M2464" i="4"/>
  <c r="M2468" i="4"/>
  <c r="M2472" i="4"/>
  <c r="M2476" i="4"/>
  <c r="M2480" i="4"/>
  <c r="M2484" i="4"/>
  <c r="M2488" i="4"/>
  <c r="M2492" i="4"/>
  <c r="M2496" i="4"/>
  <c r="M2500" i="4"/>
  <c r="M2504" i="4"/>
  <c r="M2508" i="4"/>
  <c r="M2512" i="4"/>
  <c r="M2516" i="4"/>
  <c r="M2520" i="4"/>
  <c r="M2524" i="4"/>
  <c r="M2528" i="4"/>
  <c r="M2532" i="4"/>
  <c r="M2536" i="4"/>
  <c r="M2540" i="4"/>
  <c r="M2544" i="4"/>
  <c r="M2548" i="4"/>
  <c r="M2552" i="4"/>
  <c r="M2556" i="4"/>
  <c r="M2560" i="4"/>
  <c r="M2564" i="4"/>
  <c r="M2568" i="4"/>
  <c r="M2572" i="4"/>
  <c r="M2576" i="4"/>
  <c r="M2580" i="4"/>
  <c r="M2584" i="4"/>
  <c r="M2588" i="4"/>
  <c r="M2592" i="4"/>
  <c r="M2596" i="4"/>
  <c r="M2600" i="4"/>
  <c r="M2604" i="4"/>
  <c r="M2608" i="4"/>
  <c r="M2612" i="4"/>
  <c r="M2616" i="4"/>
  <c r="M2620" i="4"/>
  <c r="M2624" i="4"/>
  <c r="M2628" i="4"/>
  <c r="M2632" i="4"/>
  <c r="M2636" i="4"/>
  <c r="M2640" i="4"/>
  <c r="M2644" i="4"/>
  <c r="M2648" i="4"/>
  <c r="M2652" i="4"/>
  <c r="M2656" i="4"/>
  <c r="M2660" i="4"/>
  <c r="M2664" i="4"/>
  <c r="M2668" i="4"/>
  <c r="M2672" i="4"/>
  <c r="M2676" i="4"/>
  <c r="M2680" i="4"/>
  <c r="M2684" i="4"/>
  <c r="M2688" i="4"/>
  <c r="M2692" i="4"/>
  <c r="M2696" i="4"/>
  <c r="M2700" i="4"/>
  <c r="M2704" i="4"/>
  <c r="M2708" i="4"/>
  <c r="M2712" i="4"/>
  <c r="M2716" i="4"/>
  <c r="M2720" i="4"/>
  <c r="M2724" i="4"/>
  <c r="M2728" i="4"/>
  <c r="M2732" i="4"/>
  <c r="M2736" i="4"/>
  <c r="M2740" i="4"/>
  <c r="M2744" i="4"/>
  <c r="M2748" i="4"/>
  <c r="M2752" i="4"/>
  <c r="M2756" i="4"/>
  <c r="M2760" i="4"/>
  <c r="M2764" i="4"/>
  <c r="M2768" i="4"/>
  <c r="M2772" i="4"/>
  <c r="M2776" i="4"/>
  <c r="M2780" i="4"/>
  <c r="M2784" i="4"/>
  <c r="M2788" i="4"/>
  <c r="M2792" i="4"/>
  <c r="M2796" i="4"/>
  <c r="M2800" i="4"/>
  <c r="M2804" i="4"/>
  <c r="M2808" i="4"/>
  <c r="M2812" i="4"/>
  <c r="M2816" i="4"/>
  <c r="M2820" i="4"/>
  <c r="M2824" i="4"/>
  <c r="M2828" i="4"/>
  <c r="M2832" i="4"/>
  <c r="M2836" i="4"/>
  <c r="M2840" i="4"/>
  <c r="M2844" i="4"/>
  <c r="M2848" i="4"/>
  <c r="M2852" i="4"/>
  <c r="M2856" i="4"/>
  <c r="M2860" i="4"/>
  <c r="M2864" i="4"/>
  <c r="M2868" i="4"/>
  <c r="M2872" i="4"/>
  <c r="M2876" i="4"/>
  <c r="M2880" i="4"/>
  <c r="M2884" i="4"/>
  <c r="M2888" i="4"/>
  <c r="M2892" i="4"/>
  <c r="M2896" i="4"/>
  <c r="M2900" i="4"/>
  <c r="M2904" i="4"/>
  <c r="M2908" i="4"/>
  <c r="M2912" i="4"/>
  <c r="M2916" i="4"/>
  <c r="M2920" i="4"/>
  <c r="M2924" i="4"/>
  <c r="M2928" i="4"/>
  <c r="M2932" i="4"/>
  <c r="M2936" i="4"/>
  <c r="M2940" i="4"/>
  <c r="M2944" i="4"/>
  <c r="M2948" i="4"/>
  <c r="M2952" i="4"/>
  <c r="M2956" i="4"/>
  <c r="M2960" i="4"/>
  <c r="M2964" i="4"/>
  <c r="M2968" i="4"/>
  <c r="M2972" i="4"/>
  <c r="M2976" i="4"/>
  <c r="M2980" i="4"/>
  <c r="M2984" i="4"/>
  <c r="M2988" i="4"/>
  <c r="M2992" i="4"/>
  <c r="M2996" i="4"/>
  <c r="M3000" i="4"/>
  <c r="M3004" i="4"/>
  <c r="M3008" i="4"/>
  <c r="M3012" i="4"/>
  <c r="M3016" i="4"/>
  <c r="M3020" i="4"/>
  <c r="M3024" i="4"/>
  <c r="M3028" i="4"/>
  <c r="M3032" i="4"/>
  <c r="M3036" i="4"/>
  <c r="M3040" i="4"/>
  <c r="M3044" i="4"/>
  <c r="M3048" i="4"/>
  <c r="M3052" i="4"/>
  <c r="M3056" i="4"/>
  <c r="M3060" i="4"/>
  <c r="M3064" i="4"/>
  <c r="M3068" i="4"/>
  <c r="M3072" i="4"/>
  <c r="M3076" i="4"/>
  <c r="M3080" i="4"/>
  <c r="M3084" i="4"/>
  <c r="M3088" i="4"/>
  <c r="M3092" i="4"/>
  <c r="M3096" i="4"/>
  <c r="M3100" i="4"/>
  <c r="M3104" i="4"/>
  <c r="M3108" i="4"/>
  <c r="M3112" i="4"/>
  <c r="M3116" i="4"/>
  <c r="M3120" i="4"/>
  <c r="M3124" i="4"/>
  <c r="M3128" i="4"/>
  <c r="M3132" i="4"/>
  <c r="M3136" i="4"/>
  <c r="M3140" i="4"/>
  <c r="M3144" i="4"/>
  <c r="M3148" i="4"/>
  <c r="M3152" i="4"/>
  <c r="M3156" i="4"/>
  <c r="M3160" i="4"/>
  <c r="M3164" i="4"/>
  <c r="M3168" i="4"/>
  <c r="M3172" i="4"/>
  <c r="M3176" i="4"/>
  <c r="M3180" i="4"/>
  <c r="M3184" i="4"/>
  <c r="M3188" i="4"/>
  <c r="M3192" i="4"/>
  <c r="M3196" i="4"/>
  <c r="M3200" i="4"/>
  <c r="M3204" i="4"/>
  <c r="M3208" i="4"/>
  <c r="M3212" i="4"/>
  <c r="M3216" i="4"/>
  <c r="M3220" i="4"/>
  <c r="M3224" i="4"/>
  <c r="M3228" i="4"/>
  <c r="M3232" i="4"/>
  <c r="M3236" i="4"/>
  <c r="M3240" i="4"/>
  <c r="M3244" i="4"/>
  <c r="M3248" i="4"/>
  <c r="M3252" i="4"/>
  <c r="M3256" i="4"/>
  <c r="M3260" i="4"/>
  <c r="M3264" i="4"/>
  <c r="M3268" i="4"/>
  <c r="M3272" i="4"/>
  <c r="M3276" i="4"/>
  <c r="M3280" i="4"/>
  <c r="M3284" i="4"/>
  <c r="M3288" i="4"/>
  <c r="M3292" i="4"/>
  <c r="M3296" i="4"/>
  <c r="M3300" i="4"/>
  <c r="M3304" i="4"/>
  <c r="M3308" i="4"/>
  <c r="M3312" i="4"/>
  <c r="M3316" i="4"/>
  <c r="M3320" i="4"/>
  <c r="M3324" i="4"/>
  <c r="M3328" i="4"/>
  <c r="M3332" i="4"/>
  <c r="M3336" i="4"/>
  <c r="M3340" i="4"/>
  <c r="M3344" i="4"/>
  <c r="M3348" i="4"/>
  <c r="M3352" i="4"/>
  <c r="M3356" i="4"/>
  <c r="M3360" i="4"/>
  <c r="M3364" i="4"/>
  <c r="M3368" i="4"/>
  <c r="M3372" i="4"/>
  <c r="M3376" i="4"/>
  <c r="M3380" i="4"/>
  <c r="M3384" i="4"/>
  <c r="M3388" i="4"/>
  <c r="M3392" i="4"/>
  <c r="M3396" i="4"/>
  <c r="M3400" i="4"/>
  <c r="M3404" i="4"/>
  <c r="M3408" i="4"/>
  <c r="M3412" i="4"/>
  <c r="M3416" i="4"/>
  <c r="M3420" i="4"/>
  <c r="M3424" i="4"/>
  <c r="M3428" i="4"/>
  <c r="M3432" i="4"/>
  <c r="M3436" i="4"/>
  <c r="M3440" i="4"/>
  <c r="M3444" i="4"/>
  <c r="M3448" i="4"/>
  <c r="M3452" i="4"/>
  <c r="M3456" i="4"/>
  <c r="M3460" i="4"/>
  <c r="M3464" i="4"/>
  <c r="M3468" i="4"/>
  <c r="M3472" i="4"/>
  <c r="M3476" i="4"/>
  <c r="M3480" i="4"/>
  <c r="M3484" i="4"/>
  <c r="M3488" i="4"/>
  <c r="M3492" i="4"/>
  <c r="M3496" i="4"/>
  <c r="M3500" i="4"/>
  <c r="M3504" i="4"/>
  <c r="M3508" i="4"/>
  <c r="M3512" i="4"/>
  <c r="M3516" i="4"/>
  <c r="M3520" i="4"/>
  <c r="M3524" i="4"/>
  <c r="M3528" i="4"/>
  <c r="M3532" i="4"/>
  <c r="M3536" i="4"/>
  <c r="M3540" i="4"/>
  <c r="M3544" i="4"/>
  <c r="M3548" i="4"/>
  <c r="M3552" i="4"/>
  <c r="M3556" i="4"/>
  <c r="M3560" i="4"/>
  <c r="M3564" i="4"/>
  <c r="M3568" i="4"/>
  <c r="M3572" i="4"/>
  <c r="M3576" i="4"/>
  <c r="M3580" i="4"/>
  <c r="M3584" i="4"/>
  <c r="M3588" i="4"/>
  <c r="M3592" i="4"/>
  <c r="M3596" i="4"/>
  <c r="M3600" i="4"/>
  <c r="M3604" i="4"/>
  <c r="M3608" i="4"/>
  <c r="M3612" i="4"/>
  <c r="M3616" i="4"/>
  <c r="M3620" i="4"/>
  <c r="M3624" i="4"/>
  <c r="M3628" i="4"/>
  <c r="M3632" i="4"/>
  <c r="M3636" i="4"/>
  <c r="M3640" i="4"/>
  <c r="M3644" i="4"/>
  <c r="M3648" i="4"/>
  <c r="M3652" i="4"/>
  <c r="M3656" i="4"/>
  <c r="M3660" i="4"/>
  <c r="M3664" i="4"/>
  <c r="M3668" i="4"/>
  <c r="M3672" i="4"/>
  <c r="M3676" i="4"/>
  <c r="M3680" i="4"/>
  <c r="M3684" i="4"/>
  <c r="M3688" i="4"/>
  <c r="M3692" i="4"/>
  <c r="M3696" i="4"/>
  <c r="M3700" i="4"/>
  <c r="M3704" i="4"/>
  <c r="M3708" i="4"/>
  <c r="M3712" i="4"/>
  <c r="M3716" i="4"/>
  <c r="M3720" i="4"/>
  <c r="M3724" i="4"/>
  <c r="M3728" i="4"/>
  <c r="M3732" i="4"/>
  <c r="M3736" i="4"/>
  <c r="M3740" i="4"/>
  <c r="M3744" i="4"/>
  <c r="M3748" i="4"/>
  <c r="M3752" i="4"/>
  <c r="M3756" i="4"/>
  <c r="M3760" i="4"/>
  <c r="M3764" i="4"/>
  <c r="M3768" i="4"/>
  <c r="M3772" i="4"/>
  <c r="M3776" i="4"/>
  <c r="M3780" i="4"/>
  <c r="M3784" i="4"/>
  <c r="M3788" i="4"/>
  <c r="M3792" i="4"/>
  <c r="M3796" i="4"/>
  <c r="M3800" i="4"/>
  <c r="M3804" i="4"/>
  <c r="M3808" i="4"/>
  <c r="M3812" i="4"/>
  <c r="M3816" i="4"/>
  <c r="M3820" i="4"/>
  <c r="M3824" i="4"/>
  <c r="M3828" i="4"/>
  <c r="M3832" i="4"/>
  <c r="M3836" i="4"/>
  <c r="M3840" i="4"/>
  <c r="M3844" i="4"/>
  <c r="M3848" i="4"/>
  <c r="M3852" i="4"/>
  <c r="M3856" i="4"/>
  <c r="M3860" i="4"/>
  <c r="M3864" i="4"/>
  <c r="M3868" i="4"/>
  <c r="M3872" i="4"/>
  <c r="M3876" i="4"/>
  <c r="M3880" i="4"/>
  <c r="M3884" i="4"/>
  <c r="M3888" i="4"/>
  <c r="M3892" i="4"/>
  <c r="M3896" i="4"/>
  <c r="M3900" i="4"/>
  <c r="M3904" i="4"/>
  <c r="M3908" i="4"/>
  <c r="M3912" i="4"/>
  <c r="M3916" i="4"/>
  <c r="M3920" i="4"/>
  <c r="M3924" i="4"/>
  <c r="M3928" i="4"/>
  <c r="M3932" i="4"/>
  <c r="M3936" i="4"/>
  <c r="M3940" i="4"/>
  <c r="M3944" i="4"/>
  <c r="M3948" i="4"/>
  <c r="M3952" i="4"/>
  <c r="M3956" i="4"/>
  <c r="M3960" i="4"/>
  <c r="M3964" i="4"/>
  <c r="M3968" i="4"/>
  <c r="M3972" i="4"/>
  <c r="M3976" i="4"/>
  <c r="M3980" i="4"/>
  <c r="M3984" i="4"/>
  <c r="M3988" i="4"/>
  <c r="M3992" i="4"/>
  <c r="M3996" i="4"/>
  <c r="M4000" i="4"/>
  <c r="M4004" i="4"/>
  <c r="M4008" i="4"/>
  <c r="M4012" i="4"/>
  <c r="M4016" i="4"/>
  <c r="M4020" i="4"/>
  <c r="M4024" i="4"/>
  <c r="M4028" i="4"/>
  <c r="M4032" i="4"/>
  <c r="M4036" i="4"/>
  <c r="M4040" i="4"/>
  <c r="M4044" i="4"/>
  <c r="M4048" i="4"/>
  <c r="M4052" i="4"/>
  <c r="M4056" i="4"/>
  <c r="M4060" i="4"/>
  <c r="M4064" i="4"/>
  <c r="M4068" i="4"/>
  <c r="M4072" i="4"/>
  <c r="M4076" i="4"/>
  <c r="M4080" i="4"/>
  <c r="M4084" i="4"/>
  <c r="M4088" i="4"/>
  <c r="M4092" i="4"/>
  <c r="M4096" i="4"/>
  <c r="M4100" i="4"/>
  <c r="M4104" i="4"/>
  <c r="M4108" i="4"/>
  <c r="M4112" i="4"/>
  <c r="M4116" i="4"/>
  <c r="M4120" i="4"/>
  <c r="M4124" i="4"/>
  <c r="M4128" i="4"/>
  <c r="M4132" i="4"/>
  <c r="M4136" i="4"/>
  <c r="M4140" i="4"/>
  <c r="M4144" i="4"/>
  <c r="M4148" i="4"/>
  <c r="M4152" i="4"/>
  <c r="M4156" i="4"/>
  <c r="M4160" i="4"/>
  <c r="M4164" i="4"/>
  <c r="M4168" i="4"/>
  <c r="M4172" i="4"/>
  <c r="M4176" i="4"/>
  <c r="M4180" i="4"/>
  <c r="M4184" i="4"/>
  <c r="M4188" i="4"/>
  <c r="M4192" i="4"/>
  <c r="M4196" i="4"/>
  <c r="M4200" i="4"/>
  <c r="M4204" i="4"/>
  <c r="M4208" i="4"/>
  <c r="M4212" i="4"/>
  <c r="M4216" i="4"/>
  <c r="M4220" i="4"/>
  <c r="M4224" i="4"/>
  <c r="M4228" i="4"/>
  <c r="M4232" i="4"/>
  <c r="M4236" i="4"/>
  <c r="M4240" i="4"/>
  <c r="M4244" i="4"/>
  <c r="M4248" i="4"/>
  <c r="M4252" i="4"/>
  <c r="M4256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60" i="4"/>
  <c r="M4364" i="4"/>
  <c r="M4368" i="4"/>
  <c r="M4372" i="4"/>
  <c r="M4376" i="4"/>
  <c r="M4380" i="4"/>
  <c r="M4384" i="4"/>
  <c r="M4388" i="4"/>
  <c r="M4392" i="4"/>
  <c r="M4396" i="4"/>
  <c r="M4400" i="4"/>
  <c r="M4404" i="4"/>
  <c r="M4408" i="4"/>
  <c r="M4412" i="4"/>
  <c r="M4416" i="4"/>
  <c r="M4420" i="4"/>
  <c r="M4424" i="4"/>
  <c r="M4428" i="4"/>
  <c r="M4432" i="4"/>
  <c r="M4436" i="4"/>
  <c r="M4440" i="4"/>
  <c r="M4444" i="4"/>
  <c r="M4448" i="4"/>
  <c r="M4452" i="4"/>
  <c r="M4456" i="4"/>
  <c r="M4460" i="4"/>
  <c r="M4464" i="4"/>
  <c r="M4468" i="4"/>
  <c r="M4472" i="4"/>
  <c r="M4476" i="4"/>
  <c r="M4480" i="4"/>
  <c r="M4484" i="4"/>
  <c r="M4488" i="4"/>
  <c r="M4492" i="4"/>
  <c r="M4496" i="4"/>
  <c r="M4500" i="4"/>
  <c r="M4504" i="4"/>
  <c r="M4508" i="4"/>
  <c r="M4512" i="4"/>
  <c r="M4516" i="4"/>
  <c r="M4520" i="4"/>
  <c r="M4524" i="4"/>
  <c r="M4528" i="4"/>
  <c r="M4532" i="4"/>
  <c r="M4536" i="4"/>
  <c r="M4540" i="4"/>
  <c r="M4544" i="4"/>
  <c r="M4548" i="4"/>
  <c r="M4552" i="4"/>
  <c r="M4556" i="4"/>
  <c r="M4560" i="4"/>
  <c r="M4564" i="4"/>
  <c r="M4568" i="4"/>
  <c r="M4572" i="4"/>
  <c r="M4576" i="4"/>
  <c r="M4580" i="4"/>
  <c r="M4584" i="4"/>
  <c r="M4588" i="4"/>
  <c r="M4592" i="4"/>
  <c r="M4596" i="4"/>
  <c r="M4600" i="4"/>
  <c r="M4604" i="4"/>
  <c r="M4608" i="4"/>
  <c r="M4612" i="4"/>
  <c r="M4616" i="4"/>
  <c r="M4620" i="4"/>
  <c r="M4624" i="4"/>
  <c r="M4628" i="4"/>
  <c r="M4632" i="4"/>
  <c r="M4636" i="4"/>
  <c r="M4640" i="4"/>
  <c r="M4644" i="4"/>
  <c r="M4648" i="4"/>
  <c r="M4652" i="4"/>
  <c r="M4656" i="4"/>
  <c r="M4660" i="4"/>
  <c r="M4664" i="4"/>
  <c r="M4668" i="4"/>
  <c r="M4672" i="4"/>
  <c r="M4676" i="4"/>
  <c r="M4680" i="4"/>
  <c r="M4684" i="4"/>
  <c r="M4688" i="4"/>
  <c r="M4692" i="4"/>
  <c r="M4696" i="4"/>
  <c r="M4700" i="4"/>
  <c r="M4704" i="4"/>
  <c r="M4708" i="4"/>
  <c r="M4712" i="4"/>
  <c r="M4716" i="4"/>
  <c r="M4720" i="4"/>
  <c r="M4724" i="4"/>
  <c r="M4728" i="4"/>
  <c r="M4732" i="4"/>
  <c r="M4736" i="4"/>
  <c r="M4740" i="4"/>
  <c r="M4744" i="4"/>
  <c r="M4748" i="4"/>
  <c r="M4752" i="4"/>
  <c r="M4756" i="4"/>
  <c r="M4760" i="4"/>
  <c r="M4764" i="4"/>
  <c r="M4768" i="4"/>
  <c r="M4772" i="4"/>
  <c r="M4776" i="4"/>
  <c r="M4780" i="4"/>
  <c r="M4784" i="4"/>
  <c r="M4788" i="4"/>
  <c r="M4792" i="4"/>
  <c r="M4796" i="4"/>
  <c r="M4800" i="4"/>
  <c r="M4804" i="4"/>
  <c r="M4808" i="4"/>
  <c r="M4812" i="4"/>
  <c r="M4816" i="4"/>
  <c r="M4820" i="4"/>
  <c r="M4824" i="4"/>
  <c r="M4828" i="4"/>
  <c r="M4832" i="4"/>
  <c r="M4836" i="4"/>
  <c r="M4840" i="4"/>
  <c r="M4844" i="4"/>
  <c r="M4848" i="4"/>
  <c r="M4852" i="4"/>
  <c r="M4856" i="4"/>
  <c r="M4860" i="4"/>
  <c r="M4864" i="4"/>
  <c r="M4868" i="4"/>
  <c r="M4872" i="4"/>
  <c r="M4876" i="4"/>
  <c r="M4880" i="4"/>
  <c r="M4884" i="4"/>
  <c r="M4888" i="4"/>
  <c r="M4892" i="4"/>
  <c r="M4896" i="4"/>
  <c r="M4900" i="4"/>
  <c r="M4904" i="4"/>
  <c r="M4908" i="4"/>
  <c r="M4912" i="4"/>
  <c r="M4916" i="4"/>
  <c r="M4920" i="4"/>
  <c r="M4924" i="4"/>
  <c r="M4928" i="4"/>
  <c r="M4932" i="4"/>
  <c r="M4936" i="4"/>
  <c r="M4940" i="4"/>
  <c r="M4944" i="4"/>
  <c r="M4948" i="4"/>
  <c r="M4952" i="4"/>
  <c r="M4956" i="4"/>
  <c r="M4960" i="4"/>
  <c r="M4964" i="4"/>
  <c r="M4968" i="4"/>
  <c r="M4972" i="4"/>
  <c r="M4976" i="4"/>
  <c r="M4980" i="4"/>
  <c r="M4984" i="4"/>
  <c r="M4988" i="4"/>
  <c r="M4992" i="4"/>
  <c r="M4996" i="4"/>
  <c r="M5000" i="4"/>
  <c r="M5004" i="4"/>
  <c r="M5008" i="4"/>
  <c r="M4871" i="4"/>
  <c r="M4883" i="4"/>
  <c r="M4903" i="4"/>
  <c r="M4919" i="4"/>
  <c r="M4939" i="4"/>
  <c r="M4955" i="4"/>
  <c r="M4967" i="4"/>
  <c r="M4983" i="4"/>
  <c r="M4999" i="4"/>
  <c r="M2397" i="4"/>
  <c r="M2401" i="4"/>
  <c r="M2405" i="4"/>
  <c r="M2409" i="4"/>
  <c r="M2413" i="4"/>
  <c r="M2417" i="4"/>
  <c r="M2421" i="4"/>
  <c r="M2425" i="4"/>
  <c r="M2429" i="4"/>
  <c r="M2433" i="4"/>
  <c r="M2437" i="4"/>
  <c r="M2441" i="4"/>
  <c r="M2445" i="4"/>
  <c r="M2449" i="4"/>
  <c r="M2453" i="4"/>
  <c r="M2457" i="4"/>
  <c r="M2461" i="4"/>
  <c r="M2465" i="4"/>
  <c r="M2469" i="4"/>
  <c r="M2473" i="4"/>
  <c r="M2477" i="4"/>
  <c r="M2481" i="4"/>
  <c r="M2485" i="4"/>
  <c r="M2489" i="4"/>
  <c r="M2493" i="4"/>
  <c r="M2497" i="4"/>
  <c r="M2501" i="4"/>
  <c r="M2505" i="4"/>
  <c r="M2509" i="4"/>
  <c r="M2513" i="4"/>
  <c r="M2517" i="4"/>
  <c r="M2521" i="4"/>
  <c r="M2525" i="4"/>
  <c r="M2529" i="4"/>
  <c r="M2533" i="4"/>
  <c r="M2537" i="4"/>
  <c r="M2541" i="4"/>
  <c r="M2545" i="4"/>
  <c r="M2549" i="4"/>
  <c r="M2553" i="4"/>
  <c r="M2557" i="4"/>
  <c r="M2561" i="4"/>
  <c r="M2565" i="4"/>
  <c r="M2569" i="4"/>
  <c r="M2573" i="4"/>
  <c r="M2577" i="4"/>
  <c r="M2581" i="4"/>
  <c r="M2585" i="4"/>
  <c r="M2589" i="4"/>
  <c r="M2593" i="4"/>
  <c r="M2597" i="4"/>
  <c r="M2601" i="4"/>
  <c r="M2605" i="4"/>
  <c r="M2609" i="4"/>
  <c r="M2613" i="4"/>
  <c r="M2617" i="4"/>
  <c r="M2621" i="4"/>
  <c r="M2625" i="4"/>
  <c r="M2629" i="4"/>
  <c r="M2633" i="4"/>
  <c r="M2637" i="4"/>
  <c r="M2641" i="4"/>
  <c r="M2645" i="4"/>
  <c r="M2649" i="4"/>
  <c r="M2653" i="4"/>
  <c r="M2657" i="4"/>
  <c r="M2661" i="4"/>
  <c r="M2665" i="4"/>
  <c r="M2669" i="4"/>
  <c r="M2673" i="4"/>
  <c r="M2677" i="4"/>
  <c r="M2681" i="4"/>
  <c r="M2685" i="4"/>
  <c r="M2689" i="4"/>
  <c r="M2693" i="4"/>
  <c r="M2697" i="4"/>
  <c r="M2701" i="4"/>
  <c r="M2705" i="4"/>
  <c r="M2709" i="4"/>
  <c r="M2713" i="4"/>
  <c r="M2717" i="4"/>
  <c r="M2721" i="4"/>
  <c r="M2725" i="4"/>
  <c r="M2729" i="4"/>
  <c r="M2733" i="4"/>
  <c r="M2737" i="4"/>
  <c r="M2741" i="4"/>
  <c r="M2745" i="4"/>
  <c r="M2749" i="4"/>
  <c r="M2753" i="4"/>
  <c r="M2757" i="4"/>
  <c r="M2761" i="4"/>
  <c r="M2765" i="4"/>
  <c r="M2769" i="4"/>
  <c r="M2773" i="4"/>
  <c r="M2777" i="4"/>
  <c r="M2781" i="4"/>
  <c r="M2785" i="4"/>
  <c r="M2789" i="4"/>
  <c r="M2793" i="4"/>
  <c r="M2797" i="4"/>
  <c r="M2801" i="4"/>
  <c r="M2805" i="4"/>
  <c r="M2809" i="4"/>
  <c r="M2813" i="4"/>
  <c r="M2817" i="4"/>
  <c r="M2821" i="4"/>
  <c r="M2825" i="4"/>
  <c r="M2829" i="4"/>
  <c r="M2833" i="4"/>
  <c r="M2837" i="4"/>
  <c r="M2841" i="4"/>
  <c r="M2845" i="4"/>
  <c r="M2849" i="4"/>
  <c r="M2853" i="4"/>
  <c r="M2857" i="4"/>
  <c r="M2861" i="4"/>
  <c r="M2865" i="4"/>
  <c r="M2869" i="4"/>
  <c r="M2873" i="4"/>
  <c r="M2877" i="4"/>
  <c r="M2881" i="4"/>
  <c r="M2885" i="4"/>
  <c r="M2889" i="4"/>
  <c r="M2893" i="4"/>
  <c r="M2897" i="4"/>
  <c r="M2901" i="4"/>
  <c r="M2905" i="4"/>
  <c r="M2909" i="4"/>
  <c r="M2913" i="4"/>
  <c r="M2917" i="4"/>
  <c r="M2921" i="4"/>
  <c r="M2925" i="4"/>
  <c r="M2929" i="4"/>
  <c r="M2933" i="4"/>
  <c r="M2937" i="4"/>
  <c r="M2941" i="4"/>
  <c r="M2945" i="4"/>
  <c r="M2949" i="4"/>
  <c r="M2953" i="4"/>
  <c r="M2957" i="4"/>
  <c r="M2961" i="4"/>
  <c r="M2965" i="4"/>
  <c r="M2969" i="4"/>
  <c r="M2973" i="4"/>
  <c r="M2977" i="4"/>
  <c r="M2981" i="4"/>
  <c r="M2985" i="4"/>
  <c r="M2989" i="4"/>
  <c r="M2993" i="4"/>
  <c r="M2997" i="4"/>
  <c r="M3001" i="4"/>
  <c r="M3005" i="4"/>
  <c r="M3009" i="4"/>
  <c r="M3013" i="4"/>
  <c r="M3017" i="4"/>
  <c r="M3021" i="4"/>
  <c r="M3025" i="4"/>
  <c r="M3029" i="4"/>
  <c r="M3033" i="4"/>
  <c r="M3037" i="4"/>
  <c r="M3041" i="4"/>
  <c r="M3045" i="4"/>
  <c r="M3049" i="4"/>
  <c r="M3053" i="4"/>
  <c r="M3057" i="4"/>
  <c r="M3061" i="4"/>
  <c r="M3065" i="4"/>
  <c r="M3069" i="4"/>
  <c r="M3073" i="4"/>
  <c r="M3077" i="4"/>
  <c r="M3081" i="4"/>
  <c r="M3085" i="4"/>
  <c r="M3089" i="4"/>
  <c r="M3093" i="4"/>
  <c r="M3097" i="4"/>
  <c r="M3101" i="4"/>
  <c r="M3105" i="4"/>
  <c r="M3109" i="4"/>
  <c r="M3113" i="4"/>
  <c r="M3117" i="4"/>
  <c r="M3121" i="4"/>
  <c r="M3125" i="4"/>
  <c r="M3129" i="4"/>
  <c r="M3133" i="4"/>
  <c r="M3137" i="4"/>
  <c r="M3141" i="4"/>
  <c r="M3145" i="4"/>
  <c r="M3149" i="4"/>
  <c r="M3153" i="4"/>
  <c r="M3157" i="4"/>
  <c r="M3161" i="4"/>
  <c r="M3165" i="4"/>
  <c r="M3169" i="4"/>
  <c r="M3173" i="4"/>
  <c r="M3177" i="4"/>
  <c r="M3181" i="4"/>
  <c r="M3185" i="4"/>
  <c r="M3189" i="4"/>
  <c r="M3193" i="4"/>
  <c r="M3197" i="4"/>
  <c r="M3201" i="4"/>
  <c r="M3205" i="4"/>
  <c r="M3209" i="4"/>
  <c r="M3213" i="4"/>
  <c r="M3217" i="4"/>
  <c r="M3221" i="4"/>
  <c r="M3225" i="4"/>
  <c r="M3229" i="4"/>
  <c r="M3233" i="4"/>
  <c r="M3237" i="4"/>
  <c r="M3241" i="4"/>
  <c r="M3245" i="4"/>
  <c r="M3249" i="4"/>
  <c r="M3253" i="4"/>
  <c r="M3257" i="4"/>
  <c r="M3261" i="4"/>
  <c r="M3265" i="4"/>
  <c r="M3269" i="4"/>
  <c r="M3273" i="4"/>
  <c r="M3277" i="4"/>
  <c r="M3281" i="4"/>
  <c r="M3285" i="4"/>
  <c r="M3289" i="4"/>
  <c r="M3293" i="4"/>
  <c r="M3297" i="4"/>
  <c r="M3301" i="4"/>
  <c r="M3305" i="4"/>
  <c r="M3309" i="4"/>
  <c r="M3313" i="4"/>
  <c r="M3317" i="4"/>
  <c r="M3321" i="4"/>
  <c r="M3325" i="4"/>
  <c r="M3329" i="4"/>
  <c r="M3333" i="4"/>
  <c r="M3337" i="4"/>
  <c r="M3341" i="4"/>
  <c r="M3345" i="4"/>
  <c r="M3349" i="4"/>
  <c r="M3353" i="4"/>
  <c r="M3357" i="4"/>
  <c r="M3361" i="4"/>
  <c r="M3365" i="4"/>
  <c r="M3369" i="4"/>
  <c r="M3373" i="4"/>
  <c r="M3377" i="4"/>
  <c r="M3381" i="4"/>
  <c r="M3385" i="4"/>
  <c r="M3389" i="4"/>
  <c r="M3393" i="4"/>
  <c r="M3397" i="4"/>
  <c r="M3401" i="4"/>
  <c r="M3405" i="4"/>
  <c r="M3409" i="4"/>
  <c r="M3413" i="4"/>
  <c r="M3417" i="4"/>
  <c r="M3421" i="4"/>
  <c r="M3425" i="4"/>
  <c r="M3429" i="4"/>
  <c r="M3433" i="4"/>
  <c r="M3437" i="4"/>
  <c r="M3441" i="4"/>
  <c r="M3445" i="4"/>
  <c r="M3449" i="4"/>
  <c r="M3453" i="4"/>
  <c r="M3457" i="4"/>
  <c r="M3461" i="4"/>
  <c r="M3465" i="4"/>
  <c r="M3469" i="4"/>
  <c r="M3473" i="4"/>
  <c r="M3477" i="4"/>
  <c r="M3481" i="4"/>
  <c r="M3485" i="4"/>
  <c r="M3489" i="4"/>
  <c r="M3493" i="4"/>
  <c r="M3497" i="4"/>
  <c r="M3501" i="4"/>
  <c r="M3505" i="4"/>
  <c r="M3509" i="4"/>
  <c r="M3513" i="4"/>
  <c r="M3517" i="4"/>
  <c r="M3521" i="4"/>
  <c r="M3525" i="4"/>
  <c r="M3529" i="4"/>
  <c r="M3533" i="4"/>
  <c r="M3537" i="4"/>
  <c r="M3541" i="4"/>
  <c r="M3545" i="4"/>
  <c r="M3549" i="4"/>
  <c r="M3553" i="4"/>
  <c r="M3557" i="4"/>
  <c r="M3561" i="4"/>
  <c r="M3565" i="4"/>
  <c r="M3569" i="4"/>
  <c r="M3573" i="4"/>
  <c r="M3577" i="4"/>
  <c r="M3581" i="4"/>
  <c r="M3585" i="4"/>
  <c r="M3589" i="4"/>
  <c r="M3593" i="4"/>
  <c r="M3597" i="4"/>
  <c r="M3601" i="4"/>
  <c r="M3605" i="4"/>
  <c r="M3609" i="4"/>
  <c r="M3613" i="4"/>
  <c r="M3617" i="4"/>
  <c r="M3621" i="4"/>
  <c r="M3625" i="4"/>
  <c r="M3629" i="4"/>
  <c r="M3633" i="4"/>
  <c r="M3637" i="4"/>
  <c r="M3641" i="4"/>
  <c r="M3645" i="4"/>
  <c r="M3649" i="4"/>
  <c r="M3653" i="4"/>
  <c r="M3657" i="4"/>
  <c r="M3661" i="4"/>
  <c r="M3665" i="4"/>
  <c r="M3669" i="4"/>
  <c r="M3673" i="4"/>
  <c r="M3677" i="4"/>
  <c r="M3681" i="4"/>
  <c r="M3685" i="4"/>
  <c r="M3689" i="4"/>
  <c r="M3693" i="4"/>
  <c r="M3697" i="4"/>
  <c r="M3701" i="4"/>
  <c r="M3705" i="4"/>
  <c r="M3709" i="4"/>
  <c r="M3713" i="4"/>
  <c r="M3717" i="4"/>
  <c r="M3721" i="4"/>
  <c r="M3725" i="4"/>
  <c r="M3729" i="4"/>
  <c r="M3733" i="4"/>
  <c r="M3737" i="4"/>
  <c r="M3741" i="4"/>
  <c r="M3745" i="4"/>
  <c r="M3749" i="4"/>
  <c r="M3753" i="4"/>
  <c r="M3757" i="4"/>
  <c r="M3761" i="4"/>
  <c r="M3765" i="4"/>
  <c r="M3769" i="4"/>
  <c r="M3773" i="4"/>
  <c r="M3777" i="4"/>
  <c r="M3781" i="4"/>
  <c r="M3785" i="4"/>
  <c r="M3789" i="4"/>
  <c r="M3793" i="4"/>
  <c r="M3797" i="4"/>
  <c r="M3801" i="4"/>
  <c r="M3805" i="4"/>
  <c r="M3809" i="4"/>
  <c r="M3813" i="4"/>
  <c r="M3817" i="4"/>
  <c r="M3821" i="4"/>
  <c r="M3825" i="4"/>
  <c r="M3829" i="4"/>
  <c r="M3833" i="4"/>
  <c r="M3837" i="4"/>
  <c r="M3841" i="4"/>
  <c r="M3845" i="4"/>
  <c r="M3849" i="4"/>
  <c r="M3853" i="4"/>
  <c r="M3857" i="4"/>
  <c r="M3861" i="4"/>
  <c r="M3865" i="4"/>
  <c r="M3869" i="4"/>
  <c r="M3873" i="4"/>
  <c r="M3877" i="4"/>
  <c r="M3881" i="4"/>
  <c r="M3885" i="4"/>
  <c r="M3889" i="4"/>
  <c r="M3893" i="4"/>
  <c r="M3897" i="4"/>
  <c r="M3901" i="4"/>
  <c r="M3905" i="4"/>
  <c r="M3909" i="4"/>
  <c r="M3913" i="4"/>
  <c r="M3917" i="4"/>
  <c r="M3921" i="4"/>
  <c r="M3925" i="4"/>
  <c r="M3929" i="4"/>
  <c r="M3933" i="4"/>
  <c r="M3937" i="4"/>
  <c r="M3941" i="4"/>
  <c r="M3945" i="4"/>
  <c r="M3949" i="4"/>
  <c r="M3953" i="4"/>
  <c r="M3957" i="4"/>
  <c r="M3961" i="4"/>
  <c r="M3965" i="4"/>
  <c r="M3969" i="4"/>
  <c r="M3973" i="4"/>
  <c r="M3977" i="4"/>
  <c r="M3981" i="4"/>
  <c r="M3985" i="4"/>
  <c r="M3989" i="4"/>
  <c r="M3993" i="4"/>
  <c r="M3997" i="4"/>
  <c r="M4001" i="4"/>
  <c r="M4005" i="4"/>
  <c r="M4009" i="4"/>
  <c r="M4013" i="4"/>
  <c r="M4017" i="4"/>
  <c r="M4021" i="4"/>
  <c r="M4025" i="4"/>
  <c r="M4029" i="4"/>
  <c r="M4033" i="4"/>
  <c r="M4037" i="4"/>
  <c r="M4041" i="4"/>
  <c r="M4045" i="4"/>
  <c r="M4049" i="4"/>
  <c r="M4053" i="4"/>
  <c r="M4057" i="4"/>
  <c r="M4061" i="4"/>
  <c r="M4065" i="4"/>
  <c r="M4069" i="4"/>
  <c r="M4073" i="4"/>
  <c r="M4077" i="4"/>
  <c r="M4081" i="4"/>
  <c r="M4085" i="4"/>
  <c r="M4089" i="4"/>
  <c r="M4093" i="4"/>
  <c r="M4097" i="4"/>
  <c r="M4101" i="4"/>
  <c r="M4105" i="4"/>
  <c r="M4109" i="4"/>
  <c r="M4113" i="4"/>
  <c r="M4117" i="4"/>
  <c r="M4121" i="4"/>
  <c r="M4125" i="4"/>
  <c r="M4129" i="4"/>
  <c r="M4133" i="4"/>
  <c r="M4137" i="4"/>
  <c r="M4141" i="4"/>
  <c r="M4145" i="4"/>
  <c r="M4149" i="4"/>
  <c r="M4153" i="4"/>
  <c r="M4157" i="4"/>
  <c r="M4161" i="4"/>
  <c r="M4165" i="4"/>
  <c r="M4169" i="4"/>
  <c r="M4173" i="4"/>
  <c r="M4177" i="4"/>
  <c r="M4181" i="4"/>
  <c r="M4185" i="4"/>
  <c r="M4189" i="4"/>
  <c r="M4193" i="4"/>
  <c r="M4197" i="4"/>
  <c r="M4201" i="4"/>
  <c r="M4205" i="4"/>
  <c r="M4209" i="4"/>
  <c r="M4213" i="4"/>
  <c r="M4217" i="4"/>
  <c r="M4221" i="4"/>
  <c r="M4225" i="4"/>
  <c r="M4229" i="4"/>
  <c r="M4233" i="4"/>
  <c r="M4237" i="4"/>
  <c r="M4241" i="4"/>
  <c r="M4245" i="4"/>
  <c r="M4249" i="4"/>
  <c r="M4253" i="4"/>
  <c r="M4257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61" i="4"/>
  <c r="M4365" i="4"/>
  <c r="M4369" i="4"/>
  <c r="M4373" i="4"/>
  <c r="M4377" i="4"/>
  <c r="M4381" i="4"/>
  <c r="M4385" i="4"/>
  <c r="M4389" i="4"/>
  <c r="M4393" i="4"/>
  <c r="M4397" i="4"/>
  <c r="M4401" i="4"/>
  <c r="M4405" i="4"/>
  <c r="M4409" i="4"/>
  <c r="M4413" i="4"/>
  <c r="M4417" i="4"/>
  <c r="M4421" i="4"/>
  <c r="M4425" i="4"/>
  <c r="M4429" i="4"/>
  <c r="M4433" i="4"/>
  <c r="M4437" i="4"/>
  <c r="M4441" i="4"/>
  <c r="M4445" i="4"/>
  <c r="M4449" i="4"/>
  <c r="M4453" i="4"/>
  <c r="M4457" i="4"/>
  <c r="M4461" i="4"/>
  <c r="M4465" i="4"/>
  <c r="M4469" i="4"/>
  <c r="M4473" i="4"/>
  <c r="M4477" i="4"/>
  <c r="M4481" i="4"/>
  <c r="M4485" i="4"/>
  <c r="M4489" i="4"/>
  <c r="M4493" i="4"/>
  <c r="M4497" i="4"/>
  <c r="M4501" i="4"/>
  <c r="M4505" i="4"/>
  <c r="M4509" i="4"/>
  <c r="M4513" i="4"/>
  <c r="M4517" i="4"/>
  <c r="M4521" i="4"/>
  <c r="M4525" i="4"/>
  <c r="M4529" i="4"/>
  <c r="M4533" i="4"/>
  <c r="M4537" i="4"/>
  <c r="M4541" i="4"/>
  <c r="M4545" i="4"/>
  <c r="M4549" i="4"/>
  <c r="M4553" i="4"/>
  <c r="M4557" i="4"/>
  <c r="M4561" i="4"/>
  <c r="M4565" i="4"/>
  <c r="M4569" i="4"/>
  <c r="M4573" i="4"/>
  <c r="M4577" i="4"/>
  <c r="M4581" i="4"/>
  <c r="M4585" i="4"/>
  <c r="M4589" i="4"/>
  <c r="M4593" i="4"/>
  <c r="M4597" i="4"/>
  <c r="M4601" i="4"/>
  <c r="M4605" i="4"/>
  <c r="M4609" i="4"/>
  <c r="M4613" i="4"/>
  <c r="M4617" i="4"/>
  <c r="M4621" i="4"/>
  <c r="M4625" i="4"/>
  <c r="M4629" i="4"/>
  <c r="M4633" i="4"/>
  <c r="M4637" i="4"/>
  <c r="M4641" i="4"/>
  <c r="M4645" i="4"/>
  <c r="M4649" i="4"/>
  <c r="M4653" i="4"/>
  <c r="M4657" i="4"/>
  <c r="M4661" i="4"/>
  <c r="M4665" i="4"/>
  <c r="M4669" i="4"/>
  <c r="M4673" i="4"/>
  <c r="M4677" i="4"/>
  <c r="M4681" i="4"/>
  <c r="M4685" i="4"/>
  <c r="M4689" i="4"/>
  <c r="M4693" i="4"/>
  <c r="M4697" i="4"/>
  <c r="M4701" i="4"/>
  <c r="M4705" i="4"/>
  <c r="M4709" i="4"/>
  <c r="M4713" i="4"/>
  <c r="M4717" i="4"/>
  <c r="M4721" i="4"/>
  <c r="M4725" i="4"/>
  <c r="M4729" i="4"/>
  <c r="M4733" i="4"/>
  <c r="M4737" i="4"/>
  <c r="M4741" i="4"/>
  <c r="M4745" i="4"/>
  <c r="M4749" i="4"/>
  <c r="M4753" i="4"/>
  <c r="M4757" i="4"/>
  <c r="M4761" i="4"/>
  <c r="M4765" i="4"/>
  <c r="M4769" i="4"/>
  <c r="M4773" i="4"/>
  <c r="M4777" i="4"/>
  <c r="M4781" i="4"/>
  <c r="M4785" i="4"/>
  <c r="M4789" i="4"/>
  <c r="M4793" i="4"/>
  <c r="M4797" i="4"/>
  <c r="M4801" i="4"/>
  <c r="M4805" i="4"/>
  <c r="M4809" i="4"/>
  <c r="M4813" i="4"/>
  <c r="M4817" i="4"/>
  <c r="M4821" i="4"/>
  <c r="M4825" i="4"/>
  <c r="M4829" i="4"/>
  <c r="M4833" i="4"/>
  <c r="M4837" i="4"/>
  <c r="M4841" i="4"/>
  <c r="M4845" i="4"/>
  <c r="M4849" i="4"/>
  <c r="M4853" i="4"/>
  <c r="M4857" i="4"/>
  <c r="M4861" i="4"/>
  <c r="M4865" i="4"/>
  <c r="M4869" i="4"/>
  <c r="M4873" i="4"/>
  <c r="M4877" i="4"/>
  <c r="M4881" i="4"/>
  <c r="M4885" i="4"/>
  <c r="M4889" i="4"/>
  <c r="M4893" i="4"/>
  <c r="M4897" i="4"/>
  <c r="M4901" i="4"/>
  <c r="M4905" i="4"/>
  <c r="M4909" i="4"/>
  <c r="M4913" i="4"/>
  <c r="M4917" i="4"/>
  <c r="M4921" i="4"/>
  <c r="M4925" i="4"/>
  <c r="M4929" i="4"/>
  <c r="M4933" i="4"/>
  <c r="M4937" i="4"/>
  <c r="M4941" i="4"/>
  <c r="M4945" i="4"/>
  <c r="M4949" i="4"/>
  <c r="M4953" i="4"/>
  <c r="M4957" i="4"/>
  <c r="M4961" i="4"/>
  <c r="M4965" i="4"/>
  <c r="M4969" i="4"/>
  <c r="M4973" i="4"/>
  <c r="M4977" i="4"/>
  <c r="M4981" i="4"/>
  <c r="M4985" i="4"/>
  <c r="M4989" i="4"/>
  <c r="M4993" i="4"/>
  <c r="M4997" i="4"/>
  <c r="M5001" i="4"/>
  <c r="M5005" i="4"/>
  <c r="M5009" i="4"/>
  <c r="M4879" i="4"/>
  <c r="M4895" i="4"/>
  <c r="M4911" i="4"/>
  <c r="M4927" i="4"/>
  <c r="M4943" i="4"/>
  <c r="M4963" i="4"/>
  <c r="M4975" i="4"/>
  <c r="M4991" i="4"/>
  <c r="M5007" i="4"/>
  <c r="M2398" i="4"/>
  <c r="M2402" i="4"/>
  <c r="M2406" i="4"/>
  <c r="M2410" i="4"/>
  <c r="M2414" i="4"/>
  <c r="M2418" i="4"/>
  <c r="M2422" i="4"/>
  <c r="M2426" i="4"/>
  <c r="M2430" i="4"/>
  <c r="M2434" i="4"/>
  <c r="M2438" i="4"/>
  <c r="M2442" i="4"/>
  <c r="M2446" i="4"/>
  <c r="M2450" i="4"/>
  <c r="M2454" i="4"/>
  <c r="M2458" i="4"/>
  <c r="M2462" i="4"/>
  <c r="M2466" i="4"/>
  <c r="M2470" i="4"/>
  <c r="M2474" i="4"/>
  <c r="M2478" i="4"/>
  <c r="M2482" i="4"/>
  <c r="M2486" i="4"/>
  <c r="M2490" i="4"/>
  <c r="M2494" i="4"/>
  <c r="M2498" i="4"/>
  <c r="M2502" i="4"/>
  <c r="M2506" i="4"/>
  <c r="M2510" i="4"/>
  <c r="M2514" i="4"/>
  <c r="M2518" i="4"/>
  <c r="M2522" i="4"/>
  <c r="M2526" i="4"/>
  <c r="M2530" i="4"/>
  <c r="M2534" i="4"/>
  <c r="M2538" i="4"/>
  <c r="M2542" i="4"/>
  <c r="M2546" i="4"/>
  <c r="M2550" i="4"/>
  <c r="M2554" i="4"/>
  <c r="M2558" i="4"/>
  <c r="M2562" i="4"/>
  <c r="M2566" i="4"/>
  <c r="M2570" i="4"/>
  <c r="M2574" i="4"/>
  <c r="M2578" i="4"/>
  <c r="M2582" i="4"/>
  <c r="M2586" i="4"/>
  <c r="M2590" i="4"/>
  <c r="M2594" i="4"/>
  <c r="M2598" i="4"/>
  <c r="M2602" i="4"/>
  <c r="M2606" i="4"/>
  <c r="M2610" i="4"/>
  <c r="M2614" i="4"/>
  <c r="M2618" i="4"/>
  <c r="M2622" i="4"/>
  <c r="M2626" i="4"/>
  <c r="M2630" i="4"/>
  <c r="M2634" i="4"/>
  <c r="M2638" i="4"/>
  <c r="M2642" i="4"/>
  <c r="M2646" i="4"/>
  <c r="M2650" i="4"/>
  <c r="M2654" i="4"/>
  <c r="M2658" i="4"/>
  <c r="M2662" i="4"/>
  <c r="M2666" i="4"/>
  <c r="M2670" i="4"/>
  <c r="M2674" i="4"/>
  <c r="M2678" i="4"/>
  <c r="M2682" i="4"/>
  <c r="M2686" i="4"/>
  <c r="M2690" i="4"/>
  <c r="M2694" i="4"/>
  <c r="M2698" i="4"/>
  <c r="M2702" i="4"/>
  <c r="M2706" i="4"/>
  <c r="M2710" i="4"/>
  <c r="M2714" i="4"/>
  <c r="M2718" i="4"/>
  <c r="M2722" i="4"/>
  <c r="M2726" i="4"/>
  <c r="M2730" i="4"/>
  <c r="M2734" i="4"/>
  <c r="M2738" i="4"/>
  <c r="M2742" i="4"/>
  <c r="M2746" i="4"/>
  <c r="M2750" i="4"/>
  <c r="M2754" i="4"/>
  <c r="M2758" i="4"/>
  <c r="M2762" i="4"/>
  <c r="M2766" i="4"/>
  <c r="M2770" i="4"/>
  <c r="M2774" i="4"/>
  <c r="M2778" i="4"/>
  <c r="M2782" i="4"/>
  <c r="M2786" i="4"/>
  <c r="M2790" i="4"/>
  <c r="M2794" i="4"/>
  <c r="M2798" i="4"/>
  <c r="M2802" i="4"/>
  <c r="M2806" i="4"/>
  <c r="M2810" i="4"/>
  <c r="M2814" i="4"/>
  <c r="M2818" i="4"/>
  <c r="M2822" i="4"/>
  <c r="M2826" i="4"/>
  <c r="M2830" i="4"/>
  <c r="M2834" i="4"/>
  <c r="M2838" i="4"/>
  <c r="M2842" i="4"/>
  <c r="M2846" i="4"/>
  <c r="M2850" i="4"/>
  <c r="M2854" i="4"/>
  <c r="M2858" i="4"/>
  <c r="M2862" i="4"/>
  <c r="M2866" i="4"/>
  <c r="M2870" i="4"/>
  <c r="M2874" i="4"/>
  <c r="M2878" i="4"/>
  <c r="M2882" i="4"/>
  <c r="M2886" i="4"/>
  <c r="M2890" i="4"/>
  <c r="M2894" i="4"/>
  <c r="M2898" i="4"/>
  <c r="M2902" i="4"/>
  <c r="M2906" i="4"/>
  <c r="M2910" i="4"/>
  <c r="M2914" i="4"/>
  <c r="M2918" i="4"/>
  <c r="M2922" i="4"/>
  <c r="M2926" i="4"/>
  <c r="M2930" i="4"/>
  <c r="M2934" i="4"/>
  <c r="M2938" i="4"/>
  <c r="M2942" i="4"/>
  <c r="M2946" i="4"/>
  <c r="M2950" i="4"/>
  <c r="M2954" i="4"/>
  <c r="M2958" i="4"/>
  <c r="M2962" i="4"/>
  <c r="M2966" i="4"/>
  <c r="M2970" i="4"/>
  <c r="M2974" i="4"/>
  <c r="M2978" i="4"/>
  <c r="M2982" i="4"/>
  <c r="M2986" i="4"/>
  <c r="M2990" i="4"/>
  <c r="M2994" i="4"/>
  <c r="M2998" i="4"/>
  <c r="M3002" i="4"/>
  <c r="M3006" i="4"/>
  <c r="M3010" i="4"/>
  <c r="M3014" i="4"/>
  <c r="M3018" i="4"/>
  <c r="M3022" i="4"/>
  <c r="M3026" i="4"/>
  <c r="M3030" i="4"/>
  <c r="M3034" i="4"/>
  <c r="M3038" i="4"/>
  <c r="M3042" i="4"/>
  <c r="M3046" i="4"/>
  <c r="M3050" i="4"/>
  <c r="M3054" i="4"/>
  <c r="M3058" i="4"/>
  <c r="M3062" i="4"/>
  <c r="M3066" i="4"/>
  <c r="M3070" i="4"/>
  <c r="M3074" i="4"/>
  <c r="M3078" i="4"/>
  <c r="M3082" i="4"/>
  <c r="M3086" i="4"/>
  <c r="M3090" i="4"/>
  <c r="M3094" i="4"/>
  <c r="M3098" i="4"/>
  <c r="M3102" i="4"/>
  <c r="M3106" i="4"/>
  <c r="M3110" i="4"/>
  <c r="M3114" i="4"/>
  <c r="M3118" i="4"/>
  <c r="M3122" i="4"/>
  <c r="M3126" i="4"/>
  <c r="M3130" i="4"/>
  <c r="M3134" i="4"/>
  <c r="M3138" i="4"/>
  <c r="M3142" i="4"/>
  <c r="M3146" i="4"/>
  <c r="M3150" i="4"/>
  <c r="M3154" i="4"/>
  <c r="M3158" i="4"/>
  <c r="M3162" i="4"/>
  <c r="M3166" i="4"/>
  <c r="M3170" i="4"/>
  <c r="M3174" i="4"/>
  <c r="M3178" i="4"/>
  <c r="M3182" i="4"/>
  <c r="M3186" i="4"/>
  <c r="M3190" i="4"/>
  <c r="M3194" i="4"/>
  <c r="M3198" i="4"/>
  <c r="M3202" i="4"/>
  <c r="M3206" i="4"/>
  <c r="M3210" i="4"/>
  <c r="M3214" i="4"/>
  <c r="M3218" i="4"/>
  <c r="M3222" i="4"/>
  <c r="M3226" i="4"/>
  <c r="M3230" i="4"/>
  <c r="M3234" i="4"/>
  <c r="M3238" i="4"/>
  <c r="M3242" i="4"/>
  <c r="M3246" i="4"/>
  <c r="M3250" i="4"/>
  <c r="M3254" i="4"/>
  <c r="M3258" i="4"/>
  <c r="M3262" i="4"/>
  <c r="M3266" i="4"/>
  <c r="M3270" i="4"/>
  <c r="M3274" i="4"/>
  <c r="M3278" i="4"/>
  <c r="M3282" i="4"/>
  <c r="M3286" i="4"/>
  <c r="M3290" i="4"/>
  <c r="M3294" i="4"/>
  <c r="M3298" i="4"/>
  <c r="M3302" i="4"/>
  <c r="M3306" i="4"/>
  <c r="M3310" i="4"/>
  <c r="M3314" i="4"/>
  <c r="M3318" i="4"/>
  <c r="M3322" i="4"/>
  <c r="M3326" i="4"/>
  <c r="M3330" i="4"/>
  <c r="M3334" i="4"/>
  <c r="M3338" i="4"/>
  <c r="M3342" i="4"/>
  <c r="M3346" i="4"/>
  <c r="M3350" i="4"/>
  <c r="M3354" i="4"/>
  <c r="M3358" i="4"/>
  <c r="M3362" i="4"/>
  <c r="M3366" i="4"/>
  <c r="M3370" i="4"/>
  <c r="M3374" i="4"/>
  <c r="M3378" i="4"/>
  <c r="M3382" i="4"/>
  <c r="M3386" i="4"/>
  <c r="M3390" i="4"/>
  <c r="M3394" i="4"/>
  <c r="M3398" i="4"/>
  <c r="M3402" i="4"/>
  <c r="M3406" i="4"/>
  <c r="M3410" i="4"/>
  <c r="M3414" i="4"/>
  <c r="M3418" i="4"/>
  <c r="M3422" i="4"/>
  <c r="M3426" i="4"/>
  <c r="M3430" i="4"/>
  <c r="M3434" i="4"/>
  <c r="M3438" i="4"/>
  <c r="M3442" i="4"/>
  <c r="M3446" i="4"/>
  <c r="M3450" i="4"/>
  <c r="M3454" i="4"/>
  <c r="M3458" i="4"/>
  <c r="M3462" i="4"/>
  <c r="M3466" i="4"/>
  <c r="M3470" i="4"/>
  <c r="M3474" i="4"/>
  <c r="M3478" i="4"/>
  <c r="M3482" i="4"/>
  <c r="M3486" i="4"/>
  <c r="M3490" i="4"/>
  <c r="M3494" i="4"/>
  <c r="M3498" i="4"/>
  <c r="M3502" i="4"/>
  <c r="M3506" i="4"/>
  <c r="M3510" i="4"/>
  <c r="M3514" i="4"/>
  <c r="M3518" i="4"/>
  <c r="M3522" i="4"/>
  <c r="M3526" i="4"/>
  <c r="M3530" i="4"/>
  <c r="M3534" i="4"/>
  <c r="M3538" i="4"/>
  <c r="M3542" i="4"/>
  <c r="M3546" i="4"/>
  <c r="M3550" i="4"/>
  <c r="M3554" i="4"/>
  <c r="M3558" i="4"/>
  <c r="M3562" i="4"/>
  <c r="M3566" i="4"/>
  <c r="M3570" i="4"/>
  <c r="M3574" i="4"/>
  <c r="M3578" i="4"/>
  <c r="M3582" i="4"/>
  <c r="M3586" i="4"/>
  <c r="M3590" i="4"/>
  <c r="M3594" i="4"/>
  <c r="M3598" i="4"/>
  <c r="M3602" i="4"/>
  <c r="M3606" i="4"/>
  <c r="M3610" i="4"/>
  <c r="M3614" i="4"/>
  <c r="M3618" i="4"/>
  <c r="M3622" i="4"/>
  <c r="M3626" i="4"/>
  <c r="M3630" i="4"/>
  <c r="M3634" i="4"/>
  <c r="M3638" i="4"/>
  <c r="M3642" i="4"/>
  <c r="M3646" i="4"/>
  <c r="M3650" i="4"/>
  <c r="M3654" i="4"/>
  <c r="M3658" i="4"/>
  <c r="M3662" i="4"/>
  <c r="M3666" i="4"/>
  <c r="M3670" i="4"/>
  <c r="M3674" i="4"/>
  <c r="M3678" i="4"/>
  <c r="M3682" i="4"/>
  <c r="M3686" i="4"/>
  <c r="M3690" i="4"/>
  <c r="M3694" i="4"/>
  <c r="M3698" i="4"/>
  <c r="M3702" i="4"/>
  <c r="M3706" i="4"/>
  <c r="M3710" i="4"/>
  <c r="M3714" i="4"/>
  <c r="M3718" i="4"/>
  <c r="M3722" i="4"/>
  <c r="M3726" i="4"/>
  <c r="M3730" i="4"/>
  <c r="M3734" i="4"/>
  <c r="M3738" i="4"/>
  <c r="M3742" i="4"/>
  <c r="M3746" i="4"/>
  <c r="M3750" i="4"/>
  <c r="M3754" i="4"/>
  <c r="M3758" i="4"/>
  <c r="M3762" i="4"/>
  <c r="M3766" i="4"/>
  <c r="M3770" i="4"/>
  <c r="M3774" i="4"/>
  <c r="M3778" i="4"/>
  <c r="M3782" i="4"/>
  <c r="M3786" i="4"/>
  <c r="M3790" i="4"/>
  <c r="M3794" i="4"/>
  <c r="M3798" i="4"/>
  <c r="M3802" i="4"/>
  <c r="M3806" i="4"/>
  <c r="M3810" i="4"/>
  <c r="M3814" i="4"/>
  <c r="M3818" i="4"/>
  <c r="M3822" i="4"/>
  <c r="M3826" i="4"/>
  <c r="M3830" i="4"/>
  <c r="M3834" i="4"/>
  <c r="M3838" i="4"/>
  <c r="M3842" i="4"/>
  <c r="M3846" i="4"/>
  <c r="M3850" i="4"/>
  <c r="M3854" i="4"/>
  <c r="M3858" i="4"/>
  <c r="M3862" i="4"/>
  <c r="M3866" i="4"/>
  <c r="M3870" i="4"/>
  <c r="M3874" i="4"/>
  <c r="M3878" i="4"/>
  <c r="M3882" i="4"/>
  <c r="M3886" i="4"/>
  <c r="M3890" i="4"/>
  <c r="M3894" i="4"/>
  <c r="M3898" i="4"/>
  <c r="M3902" i="4"/>
  <c r="M3906" i="4"/>
  <c r="M3910" i="4"/>
  <c r="M3914" i="4"/>
  <c r="M3918" i="4"/>
  <c r="M3922" i="4"/>
  <c r="M3926" i="4"/>
  <c r="M3930" i="4"/>
  <c r="M3934" i="4"/>
  <c r="M3938" i="4"/>
  <c r="M3942" i="4"/>
  <c r="M3946" i="4"/>
  <c r="M3950" i="4"/>
  <c r="M3954" i="4"/>
  <c r="M3958" i="4"/>
  <c r="M3962" i="4"/>
  <c r="M3966" i="4"/>
  <c r="M3970" i="4"/>
  <c r="M3974" i="4"/>
  <c r="M3978" i="4"/>
  <c r="M3982" i="4"/>
  <c r="M3986" i="4"/>
  <c r="M3990" i="4"/>
  <c r="M3994" i="4"/>
  <c r="M3998" i="4"/>
  <c r="M4002" i="4"/>
  <c r="M4006" i="4"/>
  <c r="M4010" i="4"/>
  <c r="M4014" i="4"/>
  <c r="M4018" i="4"/>
  <c r="M4022" i="4"/>
  <c r="M4026" i="4"/>
  <c r="M4030" i="4"/>
  <c r="M4034" i="4"/>
  <c r="M4038" i="4"/>
  <c r="M4042" i="4"/>
  <c r="M4046" i="4"/>
  <c r="M4050" i="4"/>
  <c r="M4054" i="4"/>
  <c r="M4058" i="4"/>
  <c r="M4062" i="4"/>
  <c r="M4066" i="4"/>
  <c r="M4070" i="4"/>
  <c r="M4074" i="4"/>
  <c r="M4078" i="4"/>
  <c r="M4082" i="4"/>
  <c r="M4086" i="4"/>
  <c r="M4090" i="4"/>
  <c r="M4094" i="4"/>
  <c r="M4098" i="4"/>
  <c r="M4102" i="4"/>
  <c r="M4106" i="4"/>
  <c r="M4110" i="4"/>
  <c r="M4114" i="4"/>
  <c r="M4118" i="4"/>
  <c r="M4122" i="4"/>
  <c r="M4126" i="4"/>
  <c r="M4130" i="4"/>
  <c r="M4134" i="4"/>
  <c r="M4138" i="4"/>
  <c r="M4142" i="4"/>
  <c r="M4146" i="4"/>
  <c r="M4150" i="4"/>
  <c r="M4154" i="4"/>
  <c r="M4158" i="4"/>
  <c r="M4162" i="4"/>
  <c r="M4166" i="4"/>
  <c r="M4170" i="4"/>
  <c r="M4174" i="4"/>
  <c r="M4178" i="4"/>
  <c r="M4182" i="4"/>
  <c r="M4186" i="4"/>
  <c r="M4190" i="4"/>
  <c r="M4194" i="4"/>
  <c r="M4198" i="4"/>
  <c r="M4202" i="4"/>
  <c r="M4206" i="4"/>
  <c r="M4210" i="4"/>
  <c r="M4214" i="4"/>
  <c r="M4218" i="4"/>
  <c r="M4222" i="4"/>
  <c r="M4226" i="4"/>
  <c r="M4230" i="4"/>
  <c r="M4234" i="4"/>
  <c r="M4238" i="4"/>
  <c r="M4242" i="4"/>
  <c r="M4246" i="4"/>
  <c r="M4250" i="4"/>
  <c r="M4254" i="4"/>
  <c r="M4258" i="4"/>
  <c r="M4262" i="4"/>
  <c r="M4266" i="4"/>
  <c r="M4270" i="4"/>
  <c r="M4274" i="4"/>
  <c r="M4278" i="4"/>
  <c r="M4282" i="4"/>
  <c r="M4286" i="4"/>
  <c r="M4290" i="4"/>
  <c r="M4294" i="4"/>
  <c r="M4298" i="4"/>
  <c r="M4302" i="4"/>
  <c r="M4306" i="4"/>
  <c r="M4310" i="4"/>
  <c r="M4314" i="4"/>
  <c r="M4318" i="4"/>
  <c r="M4322" i="4"/>
  <c r="M4326" i="4"/>
  <c r="M4330" i="4"/>
  <c r="M4334" i="4"/>
  <c r="M4338" i="4"/>
  <c r="M4342" i="4"/>
  <c r="M4346" i="4"/>
  <c r="M4350" i="4"/>
  <c r="M4354" i="4"/>
  <c r="M4358" i="4"/>
  <c r="M4362" i="4"/>
  <c r="M4366" i="4"/>
  <c r="M4370" i="4"/>
  <c r="M4374" i="4"/>
  <c r="M4378" i="4"/>
  <c r="M4382" i="4"/>
  <c r="M4386" i="4"/>
  <c r="M4390" i="4"/>
  <c r="M4394" i="4"/>
  <c r="M4398" i="4"/>
  <c r="M4402" i="4"/>
  <c r="M4406" i="4"/>
  <c r="M4410" i="4"/>
  <c r="M4414" i="4"/>
  <c r="M4418" i="4"/>
  <c r="M4422" i="4"/>
  <c r="M4426" i="4"/>
  <c r="M4430" i="4"/>
  <c r="M4434" i="4"/>
  <c r="M4438" i="4"/>
  <c r="M4442" i="4"/>
  <c r="M4446" i="4"/>
  <c r="M4450" i="4"/>
  <c r="M4454" i="4"/>
  <c r="M4458" i="4"/>
  <c r="M4462" i="4"/>
  <c r="M4466" i="4"/>
  <c r="M4470" i="4"/>
  <c r="M4474" i="4"/>
  <c r="M4478" i="4"/>
  <c r="M4482" i="4"/>
  <c r="M4486" i="4"/>
  <c r="M4490" i="4"/>
  <c r="M4494" i="4"/>
  <c r="M4498" i="4"/>
  <c r="M4502" i="4"/>
  <c r="M4506" i="4"/>
  <c r="M4510" i="4"/>
  <c r="M4514" i="4"/>
  <c r="M4518" i="4"/>
  <c r="M4522" i="4"/>
  <c r="M4526" i="4"/>
  <c r="M4530" i="4"/>
  <c r="M4534" i="4"/>
  <c r="M4538" i="4"/>
  <c r="M4542" i="4"/>
  <c r="M4546" i="4"/>
  <c r="M4550" i="4"/>
  <c r="M4554" i="4"/>
  <c r="M4558" i="4"/>
  <c r="M4562" i="4"/>
  <c r="M4566" i="4"/>
  <c r="M4570" i="4"/>
  <c r="M4574" i="4"/>
  <c r="M4578" i="4"/>
  <c r="M4582" i="4"/>
  <c r="M4586" i="4"/>
  <c r="M4590" i="4"/>
  <c r="M4594" i="4"/>
  <c r="M4598" i="4"/>
  <c r="M4602" i="4"/>
  <c r="M4606" i="4"/>
  <c r="M4610" i="4"/>
  <c r="M4614" i="4"/>
  <c r="M4618" i="4"/>
  <c r="M4622" i="4"/>
  <c r="M4626" i="4"/>
  <c r="M4630" i="4"/>
  <c r="M4634" i="4"/>
  <c r="M4638" i="4"/>
  <c r="M4642" i="4"/>
  <c r="M4646" i="4"/>
  <c r="M4650" i="4"/>
  <c r="M4654" i="4"/>
  <c r="M4658" i="4"/>
  <c r="M4662" i="4"/>
  <c r="M4666" i="4"/>
  <c r="M4670" i="4"/>
  <c r="M4674" i="4"/>
  <c r="M4678" i="4"/>
  <c r="M4682" i="4"/>
  <c r="M4686" i="4"/>
  <c r="M4690" i="4"/>
  <c r="M4694" i="4"/>
  <c r="M4698" i="4"/>
  <c r="M4702" i="4"/>
  <c r="M4706" i="4"/>
  <c r="M4710" i="4"/>
  <c r="M4714" i="4"/>
  <c r="M4718" i="4"/>
  <c r="M4722" i="4"/>
  <c r="M4726" i="4"/>
  <c r="M4730" i="4"/>
  <c r="M4734" i="4"/>
  <c r="M4738" i="4"/>
  <c r="M4742" i="4"/>
  <c r="M4746" i="4"/>
  <c r="M4750" i="4"/>
  <c r="M4754" i="4"/>
  <c r="M4758" i="4"/>
  <c r="M4762" i="4"/>
  <c r="M4766" i="4"/>
  <c r="M4770" i="4"/>
  <c r="M4774" i="4"/>
  <c r="M4778" i="4"/>
  <c r="M4782" i="4"/>
  <c r="M4786" i="4"/>
  <c r="M4790" i="4"/>
  <c r="M4794" i="4"/>
  <c r="M4798" i="4"/>
  <c r="M4802" i="4"/>
  <c r="M4806" i="4"/>
  <c r="M4810" i="4"/>
  <c r="M4814" i="4"/>
  <c r="M4818" i="4"/>
  <c r="M4822" i="4"/>
  <c r="M4826" i="4"/>
  <c r="M4830" i="4"/>
  <c r="M4834" i="4"/>
  <c r="M4838" i="4"/>
  <c r="M4842" i="4"/>
  <c r="M4846" i="4"/>
  <c r="M4850" i="4"/>
  <c r="M4854" i="4"/>
  <c r="M4858" i="4"/>
  <c r="M4862" i="4"/>
  <c r="M4866" i="4"/>
  <c r="M4870" i="4"/>
  <c r="M4874" i="4"/>
  <c r="M4878" i="4"/>
  <c r="M4882" i="4"/>
  <c r="M4886" i="4"/>
  <c r="M4890" i="4"/>
  <c r="M4894" i="4"/>
  <c r="M4898" i="4"/>
  <c r="M4902" i="4"/>
  <c r="M4906" i="4"/>
  <c r="M4910" i="4"/>
  <c r="M4914" i="4"/>
  <c r="M4918" i="4"/>
  <c r="M4922" i="4"/>
  <c r="M4926" i="4"/>
  <c r="M4930" i="4"/>
  <c r="M4934" i="4"/>
  <c r="M4938" i="4"/>
  <c r="M4942" i="4"/>
  <c r="M4946" i="4"/>
  <c r="M4950" i="4"/>
  <c r="M4954" i="4"/>
  <c r="M4958" i="4"/>
  <c r="M4962" i="4"/>
  <c r="M4966" i="4"/>
  <c r="M4970" i="4"/>
  <c r="M4974" i="4"/>
  <c r="M4978" i="4"/>
  <c r="M4982" i="4"/>
  <c r="M4986" i="4"/>
  <c r="M4990" i="4"/>
  <c r="M4994" i="4"/>
  <c r="M4998" i="4"/>
  <c r="M5002" i="4"/>
  <c r="M5006" i="4"/>
  <c r="M4867" i="4"/>
  <c r="M4887" i="4"/>
  <c r="M4907" i="4"/>
  <c r="M4923" i="4"/>
  <c r="M4935" i="4"/>
  <c r="M4947" i="4"/>
  <c r="M4959" i="4"/>
  <c r="M4979" i="4"/>
  <c r="M4995" i="4"/>
  <c r="M2399" i="4"/>
  <c r="M2403" i="4"/>
  <c r="M2407" i="4"/>
  <c r="M2411" i="4"/>
  <c r="M2415" i="4"/>
  <c r="M2419" i="4"/>
  <c r="M2423" i="4"/>
  <c r="M2427" i="4"/>
  <c r="M2431" i="4"/>
  <c r="M2435" i="4"/>
  <c r="M2439" i="4"/>
  <c r="M2443" i="4"/>
  <c r="M2447" i="4"/>
  <c r="M2451" i="4"/>
  <c r="M2455" i="4"/>
  <c r="M2459" i="4"/>
  <c r="M2463" i="4"/>
  <c r="M2467" i="4"/>
  <c r="M2471" i="4"/>
  <c r="M2475" i="4"/>
  <c r="M2479" i="4"/>
  <c r="M2483" i="4"/>
  <c r="M2487" i="4"/>
  <c r="M2491" i="4"/>
  <c r="M2495" i="4"/>
  <c r="M2499" i="4"/>
  <c r="M2503" i="4"/>
  <c r="M2507" i="4"/>
  <c r="M2511" i="4"/>
  <c r="M2515" i="4"/>
  <c r="M2519" i="4"/>
  <c r="M2523" i="4"/>
  <c r="M2527" i="4"/>
  <c r="M2531" i="4"/>
  <c r="M2535" i="4"/>
  <c r="M2539" i="4"/>
  <c r="M2543" i="4"/>
  <c r="M2547" i="4"/>
  <c r="M2551" i="4"/>
  <c r="M2555" i="4"/>
  <c r="M2559" i="4"/>
  <c r="M2563" i="4"/>
  <c r="M2567" i="4"/>
  <c r="M2571" i="4"/>
  <c r="M2575" i="4"/>
  <c r="M2579" i="4"/>
  <c r="M2583" i="4"/>
  <c r="M2587" i="4"/>
  <c r="M2591" i="4"/>
  <c r="M2595" i="4"/>
  <c r="M2599" i="4"/>
  <c r="M2603" i="4"/>
  <c r="M2607" i="4"/>
  <c r="M2611" i="4"/>
  <c r="M2615" i="4"/>
  <c r="M2619" i="4"/>
  <c r="M2623" i="4"/>
  <c r="M2627" i="4"/>
  <c r="M2631" i="4"/>
  <c r="M2635" i="4"/>
  <c r="M2639" i="4"/>
  <c r="M2643" i="4"/>
  <c r="M2647" i="4"/>
  <c r="M2651" i="4"/>
  <c r="M2655" i="4"/>
  <c r="M2659" i="4"/>
  <c r="M2663" i="4"/>
  <c r="M2667" i="4"/>
  <c r="M2671" i="4"/>
  <c r="M2675" i="4"/>
  <c r="M2679" i="4"/>
  <c r="M2683" i="4"/>
  <c r="M2687" i="4"/>
  <c r="M2691" i="4"/>
  <c r="M2695" i="4"/>
  <c r="M2699" i="4"/>
  <c r="M2703" i="4"/>
  <c r="M2707" i="4"/>
  <c r="M2711" i="4"/>
  <c r="M2715" i="4"/>
  <c r="M2719" i="4"/>
  <c r="M2723" i="4"/>
  <c r="M2727" i="4"/>
  <c r="M2731" i="4"/>
  <c r="M2735" i="4"/>
  <c r="M2739" i="4"/>
  <c r="M2743" i="4"/>
  <c r="M2747" i="4"/>
  <c r="M2751" i="4"/>
  <c r="M2755" i="4"/>
  <c r="M2759" i="4"/>
  <c r="M2763" i="4"/>
  <c r="M2767" i="4"/>
  <c r="M2771" i="4"/>
  <c r="M2775" i="4"/>
  <c r="M2779" i="4"/>
  <c r="M2783" i="4"/>
  <c r="M2787" i="4"/>
  <c r="M2791" i="4"/>
  <c r="M2795" i="4"/>
  <c r="M2799" i="4"/>
  <c r="M2803" i="4"/>
  <c r="M2807" i="4"/>
  <c r="M2811" i="4"/>
  <c r="M2815" i="4"/>
  <c r="M2819" i="4"/>
  <c r="M2823" i="4"/>
  <c r="M2827" i="4"/>
  <c r="M2831" i="4"/>
  <c r="M2835" i="4"/>
  <c r="M2839" i="4"/>
  <c r="M2843" i="4"/>
  <c r="M2847" i="4"/>
  <c r="M2851" i="4"/>
  <c r="M2855" i="4"/>
  <c r="M2859" i="4"/>
  <c r="M2863" i="4"/>
  <c r="M2867" i="4"/>
  <c r="M2871" i="4"/>
  <c r="M2875" i="4"/>
  <c r="M2879" i="4"/>
  <c r="M2883" i="4"/>
  <c r="M2887" i="4"/>
  <c r="M2891" i="4"/>
  <c r="M2895" i="4"/>
  <c r="M2899" i="4"/>
  <c r="M2903" i="4"/>
  <c r="M2907" i="4"/>
  <c r="M2911" i="4"/>
  <c r="M2915" i="4"/>
  <c r="M2919" i="4"/>
  <c r="M2923" i="4"/>
  <c r="M2927" i="4"/>
  <c r="M2931" i="4"/>
  <c r="M2935" i="4"/>
  <c r="M2939" i="4"/>
  <c r="M2943" i="4"/>
  <c r="M2947" i="4"/>
  <c r="M2951" i="4"/>
  <c r="M2955" i="4"/>
  <c r="M2959" i="4"/>
  <c r="M2963" i="4"/>
  <c r="M2967" i="4"/>
  <c r="M2971" i="4"/>
  <c r="M2975" i="4"/>
  <c r="M2979" i="4"/>
  <c r="M2983" i="4"/>
  <c r="M2987" i="4"/>
  <c r="M2991" i="4"/>
  <c r="M2995" i="4"/>
  <c r="M2999" i="4"/>
  <c r="M3003" i="4"/>
  <c r="M3007" i="4"/>
  <c r="M3011" i="4"/>
  <c r="M3015" i="4"/>
  <c r="M3019" i="4"/>
  <c r="M3023" i="4"/>
  <c r="M3027" i="4"/>
  <c r="M3031" i="4"/>
  <c r="M3035" i="4"/>
  <c r="M3039" i="4"/>
  <c r="M3043" i="4"/>
  <c r="M3047" i="4"/>
  <c r="M3051" i="4"/>
  <c r="M3055" i="4"/>
  <c r="M3059" i="4"/>
  <c r="M3063" i="4"/>
  <c r="M3067" i="4"/>
  <c r="M3071" i="4"/>
  <c r="M3075" i="4"/>
  <c r="M3079" i="4"/>
  <c r="M3083" i="4"/>
  <c r="M3087" i="4"/>
  <c r="M3091" i="4"/>
  <c r="M3095" i="4"/>
  <c r="M3099" i="4"/>
  <c r="M3103" i="4"/>
  <c r="M3107" i="4"/>
  <c r="M3111" i="4"/>
  <c r="M3115" i="4"/>
  <c r="M3119" i="4"/>
  <c r="M3123" i="4"/>
  <c r="M3127" i="4"/>
  <c r="M3131" i="4"/>
  <c r="M3135" i="4"/>
  <c r="M3139" i="4"/>
  <c r="M3143" i="4"/>
  <c r="M3147" i="4"/>
  <c r="M3151" i="4"/>
  <c r="M3155" i="4"/>
  <c r="M3159" i="4"/>
  <c r="M3163" i="4"/>
  <c r="M3167" i="4"/>
  <c r="M3171" i="4"/>
  <c r="M3175" i="4"/>
  <c r="M3179" i="4"/>
  <c r="M3183" i="4"/>
  <c r="M3187" i="4"/>
  <c r="M3191" i="4"/>
  <c r="M3195" i="4"/>
  <c r="M3199" i="4"/>
  <c r="M3203" i="4"/>
  <c r="M3207" i="4"/>
  <c r="M3211" i="4"/>
  <c r="M3215" i="4"/>
  <c r="M3219" i="4"/>
  <c r="M3223" i="4"/>
  <c r="M3227" i="4"/>
  <c r="M3231" i="4"/>
  <c r="M3235" i="4"/>
  <c r="M3239" i="4"/>
  <c r="M3243" i="4"/>
  <c r="M3247" i="4"/>
  <c r="M3251" i="4"/>
  <c r="M3255" i="4"/>
  <c r="M3259" i="4"/>
  <c r="M3263" i="4"/>
  <c r="M3267" i="4"/>
  <c r="M3271" i="4"/>
  <c r="M3275" i="4"/>
  <c r="M3279" i="4"/>
  <c r="M3283" i="4"/>
  <c r="M3287" i="4"/>
  <c r="M3291" i="4"/>
  <c r="M3295" i="4"/>
  <c r="M3299" i="4"/>
  <c r="M3303" i="4"/>
  <c r="M3307" i="4"/>
  <c r="M3311" i="4"/>
  <c r="M3315" i="4"/>
  <c r="M3319" i="4"/>
  <c r="M3323" i="4"/>
  <c r="M3327" i="4"/>
  <c r="M3331" i="4"/>
  <c r="M3335" i="4"/>
  <c r="M3339" i="4"/>
  <c r="M3343" i="4"/>
  <c r="M3347" i="4"/>
  <c r="M3351" i="4"/>
  <c r="M3355" i="4"/>
  <c r="M3359" i="4"/>
  <c r="M3363" i="4"/>
  <c r="M3367" i="4"/>
  <c r="M3371" i="4"/>
  <c r="M3375" i="4"/>
  <c r="M3379" i="4"/>
  <c r="M3383" i="4"/>
  <c r="M3387" i="4"/>
  <c r="M3391" i="4"/>
  <c r="M3395" i="4"/>
  <c r="M3399" i="4"/>
  <c r="M3403" i="4"/>
  <c r="M3407" i="4"/>
  <c r="M3411" i="4"/>
  <c r="M3415" i="4"/>
  <c r="M3419" i="4"/>
  <c r="M3423" i="4"/>
  <c r="M3427" i="4"/>
  <c r="M3431" i="4"/>
  <c r="M3435" i="4"/>
  <c r="M3439" i="4"/>
  <c r="M3443" i="4"/>
  <c r="M3447" i="4"/>
  <c r="M3451" i="4"/>
  <c r="M3455" i="4"/>
  <c r="M3459" i="4"/>
  <c r="M3463" i="4"/>
  <c r="M3467" i="4"/>
  <c r="M3471" i="4"/>
  <c r="M3475" i="4"/>
  <c r="M3479" i="4"/>
  <c r="M3483" i="4"/>
  <c r="M3487" i="4"/>
  <c r="M3491" i="4"/>
  <c r="M3495" i="4"/>
  <c r="M3499" i="4"/>
  <c r="M3503" i="4"/>
  <c r="M3507" i="4"/>
  <c r="M3511" i="4"/>
  <c r="M3515" i="4"/>
  <c r="M3519" i="4"/>
  <c r="M3523" i="4"/>
  <c r="M3527" i="4"/>
  <c r="M3531" i="4"/>
  <c r="M3535" i="4"/>
  <c r="M3539" i="4"/>
  <c r="M3543" i="4"/>
  <c r="M3547" i="4"/>
  <c r="M3551" i="4"/>
  <c r="M3555" i="4"/>
  <c r="M3559" i="4"/>
  <c r="M3563" i="4"/>
  <c r="M3567" i="4"/>
  <c r="M3571" i="4"/>
  <c r="M3575" i="4"/>
  <c r="M3579" i="4"/>
  <c r="M3583" i="4"/>
  <c r="M3587" i="4"/>
  <c r="M3591" i="4"/>
  <c r="M3595" i="4"/>
  <c r="M3599" i="4"/>
  <c r="M3603" i="4"/>
  <c r="M3607" i="4"/>
  <c r="M3611" i="4"/>
  <c r="M3615" i="4"/>
  <c r="M3619" i="4"/>
  <c r="M3623" i="4"/>
  <c r="M3627" i="4"/>
  <c r="M3631" i="4"/>
  <c r="M3635" i="4"/>
  <c r="M3639" i="4"/>
  <c r="M3643" i="4"/>
  <c r="M3647" i="4"/>
  <c r="M3651" i="4"/>
  <c r="M3655" i="4"/>
  <c r="M3659" i="4"/>
  <c r="M3663" i="4"/>
  <c r="M3667" i="4"/>
  <c r="M3671" i="4"/>
  <c r="M3675" i="4"/>
  <c r="M3679" i="4"/>
  <c r="M3683" i="4"/>
  <c r="M3687" i="4"/>
  <c r="M3691" i="4"/>
  <c r="M3695" i="4"/>
  <c r="M3699" i="4"/>
  <c r="M3703" i="4"/>
  <c r="M3707" i="4"/>
  <c r="M3711" i="4"/>
  <c r="M3715" i="4"/>
  <c r="M3719" i="4"/>
  <c r="M3723" i="4"/>
  <c r="M3727" i="4"/>
  <c r="M3731" i="4"/>
  <c r="M3735" i="4"/>
  <c r="M3739" i="4"/>
  <c r="M3743" i="4"/>
  <c r="M3747" i="4"/>
  <c r="M3751" i="4"/>
  <c r="M3755" i="4"/>
  <c r="M3759" i="4"/>
  <c r="M3763" i="4"/>
  <c r="M3767" i="4"/>
  <c r="M3771" i="4"/>
  <c r="M3775" i="4"/>
  <c r="M3779" i="4"/>
  <c r="M3783" i="4"/>
  <c r="M3787" i="4"/>
  <c r="M3791" i="4"/>
  <c r="M3795" i="4"/>
  <c r="M3799" i="4"/>
  <c r="M3803" i="4"/>
  <c r="M3807" i="4"/>
  <c r="M3811" i="4"/>
  <c r="M3815" i="4"/>
  <c r="M3819" i="4"/>
  <c r="M3823" i="4"/>
  <c r="M3827" i="4"/>
  <c r="M3831" i="4"/>
  <c r="M3835" i="4"/>
  <c r="M3839" i="4"/>
  <c r="M3843" i="4"/>
  <c r="M3847" i="4"/>
  <c r="M3851" i="4"/>
  <c r="M3855" i="4"/>
  <c r="M3859" i="4"/>
  <c r="M3863" i="4"/>
  <c r="M3867" i="4"/>
  <c r="M3871" i="4"/>
  <c r="M3875" i="4"/>
  <c r="M3879" i="4"/>
  <c r="M3883" i="4"/>
  <c r="M3887" i="4"/>
  <c r="M3891" i="4"/>
  <c r="M3895" i="4"/>
  <c r="M3899" i="4"/>
  <c r="M3903" i="4"/>
  <c r="M3907" i="4"/>
  <c r="M3911" i="4"/>
  <c r="M3915" i="4"/>
  <c r="M3919" i="4"/>
  <c r="M3923" i="4"/>
  <c r="M3927" i="4"/>
  <c r="M3931" i="4"/>
  <c r="M3935" i="4"/>
  <c r="M3939" i="4"/>
  <c r="M3943" i="4"/>
  <c r="M3947" i="4"/>
  <c r="M3951" i="4"/>
  <c r="M3955" i="4"/>
  <c r="M3959" i="4"/>
  <c r="M3963" i="4"/>
  <c r="M3967" i="4"/>
  <c r="M3971" i="4"/>
  <c r="M3975" i="4"/>
  <c r="M3979" i="4"/>
  <c r="M3983" i="4"/>
  <c r="M3987" i="4"/>
  <c r="M3991" i="4"/>
  <c r="M3995" i="4"/>
  <c r="M3999" i="4"/>
  <c r="M4003" i="4"/>
  <c r="M4007" i="4"/>
  <c r="M4011" i="4"/>
  <c r="M4015" i="4"/>
  <c r="M4019" i="4"/>
  <c r="M4023" i="4"/>
  <c r="M4027" i="4"/>
  <c r="M4031" i="4"/>
  <c r="M4035" i="4"/>
  <c r="M4039" i="4"/>
  <c r="M4043" i="4"/>
  <c r="M4047" i="4"/>
  <c r="M4051" i="4"/>
  <c r="M4055" i="4"/>
  <c r="M4059" i="4"/>
  <c r="M4063" i="4"/>
  <c r="M4067" i="4"/>
  <c r="M4071" i="4"/>
  <c r="M4075" i="4"/>
  <c r="M4079" i="4"/>
  <c r="M4083" i="4"/>
  <c r="M4087" i="4"/>
  <c r="M4091" i="4"/>
  <c r="M4095" i="4"/>
  <c r="M4099" i="4"/>
  <c r="M4103" i="4"/>
  <c r="M4107" i="4"/>
  <c r="M4111" i="4"/>
  <c r="M4115" i="4"/>
  <c r="M4119" i="4"/>
  <c r="M4123" i="4"/>
  <c r="M4127" i="4"/>
  <c r="M4131" i="4"/>
  <c r="M4135" i="4"/>
  <c r="M4139" i="4"/>
  <c r="M4143" i="4"/>
  <c r="M4147" i="4"/>
  <c r="M4151" i="4"/>
  <c r="M4155" i="4"/>
  <c r="M4159" i="4"/>
  <c r="M4163" i="4"/>
  <c r="M4167" i="4"/>
  <c r="M4171" i="4"/>
  <c r="M4175" i="4"/>
  <c r="M4179" i="4"/>
  <c r="M4183" i="4"/>
  <c r="M4187" i="4"/>
  <c r="M4191" i="4"/>
  <c r="M4195" i="4"/>
  <c r="M4199" i="4"/>
  <c r="M4203" i="4"/>
  <c r="M4207" i="4"/>
  <c r="M4211" i="4"/>
  <c r="M4215" i="4"/>
  <c r="M4219" i="4"/>
  <c r="M4223" i="4"/>
  <c r="M4227" i="4"/>
  <c r="M4231" i="4"/>
  <c r="M4235" i="4"/>
  <c r="M4239" i="4"/>
  <c r="M4243" i="4"/>
  <c r="M4247" i="4"/>
  <c r="M4251" i="4"/>
  <c r="M4255" i="4"/>
  <c r="M4259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9" i="4"/>
  <c r="M4363" i="4"/>
  <c r="M4367" i="4"/>
  <c r="M4371" i="4"/>
  <c r="M4375" i="4"/>
  <c r="M4379" i="4"/>
  <c r="M4383" i="4"/>
  <c r="M4387" i="4"/>
  <c r="M4391" i="4"/>
  <c r="M4395" i="4"/>
  <c r="M4399" i="4"/>
  <c r="M4403" i="4"/>
  <c r="M4407" i="4"/>
  <c r="M4411" i="4"/>
  <c r="M4415" i="4"/>
  <c r="M4419" i="4"/>
  <c r="M4423" i="4"/>
  <c r="M4427" i="4"/>
  <c r="M4431" i="4"/>
  <c r="M4435" i="4"/>
  <c r="M4439" i="4"/>
  <c r="M4443" i="4"/>
  <c r="M4447" i="4"/>
  <c r="M4451" i="4"/>
  <c r="M4455" i="4"/>
  <c r="M4459" i="4"/>
  <c r="M4463" i="4"/>
  <c r="M4467" i="4"/>
  <c r="M4471" i="4"/>
  <c r="M4475" i="4"/>
  <c r="M4479" i="4"/>
  <c r="M4483" i="4"/>
  <c r="M4487" i="4"/>
  <c r="M4491" i="4"/>
  <c r="M4495" i="4"/>
  <c r="M4499" i="4"/>
  <c r="M4503" i="4"/>
  <c r="M4507" i="4"/>
  <c r="M4511" i="4"/>
  <c r="M4515" i="4"/>
  <c r="M4519" i="4"/>
  <c r="M4523" i="4"/>
  <c r="M4527" i="4"/>
  <c r="M4531" i="4"/>
  <c r="M4535" i="4"/>
  <c r="M4539" i="4"/>
  <c r="M4543" i="4"/>
  <c r="M4547" i="4"/>
  <c r="M4551" i="4"/>
  <c r="M4555" i="4"/>
  <c r="M4559" i="4"/>
  <c r="M4563" i="4"/>
  <c r="M4567" i="4"/>
  <c r="M4571" i="4"/>
  <c r="M4575" i="4"/>
  <c r="M4579" i="4"/>
  <c r="M4583" i="4"/>
  <c r="M4587" i="4"/>
  <c r="M4591" i="4"/>
  <c r="M4595" i="4"/>
  <c r="M4599" i="4"/>
  <c r="M4603" i="4"/>
  <c r="M4607" i="4"/>
  <c r="M4611" i="4"/>
  <c r="M4615" i="4"/>
  <c r="M4619" i="4"/>
  <c r="M4623" i="4"/>
  <c r="M4627" i="4"/>
  <c r="M4631" i="4"/>
  <c r="M4635" i="4"/>
  <c r="M4639" i="4"/>
  <c r="M4643" i="4"/>
  <c r="M4647" i="4"/>
  <c r="M4651" i="4"/>
  <c r="M4655" i="4"/>
  <c r="M4659" i="4"/>
  <c r="M4663" i="4"/>
  <c r="M4667" i="4"/>
  <c r="M4671" i="4"/>
  <c r="M4675" i="4"/>
  <c r="M4679" i="4"/>
  <c r="M4683" i="4"/>
  <c r="M4687" i="4"/>
  <c r="M4691" i="4"/>
  <c r="M4695" i="4"/>
  <c r="M4699" i="4"/>
  <c r="M4703" i="4"/>
  <c r="M4707" i="4"/>
  <c r="M4711" i="4"/>
  <c r="M4715" i="4"/>
  <c r="M4719" i="4"/>
  <c r="M4723" i="4"/>
  <c r="M4727" i="4"/>
  <c r="M4731" i="4"/>
  <c r="M4735" i="4"/>
  <c r="M4739" i="4"/>
  <c r="M4743" i="4"/>
  <c r="M4747" i="4"/>
  <c r="M4751" i="4"/>
  <c r="M4755" i="4"/>
  <c r="M4759" i="4"/>
  <c r="M4763" i="4"/>
  <c r="M4767" i="4"/>
  <c r="M4771" i="4"/>
  <c r="M4775" i="4"/>
  <c r="M4779" i="4"/>
  <c r="M4783" i="4"/>
  <c r="M4787" i="4"/>
  <c r="M4791" i="4"/>
  <c r="M4795" i="4"/>
  <c r="M4799" i="4"/>
  <c r="M4803" i="4"/>
  <c r="M4807" i="4"/>
  <c r="M4811" i="4"/>
  <c r="M4815" i="4"/>
  <c r="M4819" i="4"/>
  <c r="M4823" i="4"/>
  <c r="M4827" i="4"/>
  <c r="M4831" i="4"/>
  <c r="M4835" i="4"/>
  <c r="M4839" i="4"/>
  <c r="M4843" i="4"/>
  <c r="M4847" i="4"/>
  <c r="M4851" i="4"/>
  <c r="M4855" i="4"/>
  <c r="M4859" i="4"/>
  <c r="M4863" i="4"/>
  <c r="M4875" i="4"/>
  <c r="M4891" i="4"/>
  <c r="M4899" i="4"/>
  <c r="M4915" i="4"/>
  <c r="M4931" i="4"/>
  <c r="M4951" i="4"/>
  <c r="M4971" i="4"/>
  <c r="M4987" i="4"/>
  <c r="M5003" i="4"/>
</calcChain>
</file>

<file path=xl/sharedStrings.xml><?xml version="1.0" encoding="utf-8"?>
<sst xmlns="http://schemas.openxmlformats.org/spreadsheetml/2006/main" count="152" uniqueCount="112">
  <si>
    <t>Abholzigkeit</t>
  </si>
  <si>
    <t>Krümmung</t>
  </si>
  <si>
    <t>Rinderstärke</t>
  </si>
  <si>
    <t>HoPoSim Stammdaten</t>
  </si>
  <si>
    <t>Einzelstamm ID</t>
  </si>
  <si>
    <t>Klasse</t>
  </si>
  <si>
    <t>bis (mm)</t>
  </si>
  <si>
    <t>bis (mm/lfm)</t>
  </si>
  <si>
    <t>Krümmungsklassen</t>
  </si>
  <si>
    <t>Abholzigkeitsklassen</t>
  </si>
  <si>
    <t>Anteil (%)</t>
  </si>
  <si>
    <t>Abholzigkeitsverteilungen</t>
  </si>
  <si>
    <t>Krümmungsverteilungen</t>
  </si>
  <si>
    <t>Mittendurchmesser
Klassen</t>
  </si>
  <si>
    <t>Abholzigkeit
Klasse</t>
  </si>
  <si>
    <t>Anteil (Absolute)</t>
  </si>
  <si>
    <t>Mittendurchmesserverteilungen</t>
  </si>
  <si>
    <t>Mittendurchmesserklassen</t>
  </si>
  <si>
    <t>Verteilung D Mitte mit Rinde</t>
  </si>
  <si>
    <t>Verteilung Abholzigkeit</t>
  </si>
  <si>
    <t>Verteilung Krümmung</t>
  </si>
  <si>
    <t>D Mitte mR Mittelwert</t>
  </si>
  <si>
    <t>D Mitte mR Standardabweichung</t>
  </si>
  <si>
    <t>Abholzigkeit Mittelwert</t>
  </si>
  <si>
    <t>Abholzigkeit Standardabweichung</t>
  </si>
  <si>
    <t>Krümmung Mittelwert</t>
  </si>
  <si>
    <t>Krümmung Standardabweichung</t>
  </si>
  <si>
    <t>Sie können jederzeit auf "Daten/Alle aktualisieren" klicken, um die Verteilung Charts in Ihrer Arbeitsmappe zu aktualisieren.</t>
  </si>
  <si>
    <t>Rank Verteilung Krümmung</t>
  </si>
  <si>
    <t>Rank Verteilung Abholzigkeit</t>
  </si>
  <si>
    <t>Rank Verteilung D Mitte mit Rinde</t>
  </si>
  <si>
    <t>Rank</t>
  </si>
  <si>
    <t>D Mitte mR</t>
  </si>
  <si>
    <t>Verteilung</t>
  </si>
  <si>
    <t>Ovalität</t>
  </si>
  <si>
    <t>Ovalitätsklassen</t>
  </si>
  <si>
    <t>bis</t>
  </si>
  <si>
    <t>Ovalitätsverteilungen</t>
  </si>
  <si>
    <t>Krümmung
Klasse</t>
  </si>
  <si>
    <t>Rank Verteilung Ovalität</t>
  </si>
  <si>
    <t>Verteilung Ovalität</t>
  </si>
  <si>
    <t>Ovalität Mittelwert</t>
  </si>
  <si>
    <t>Ovalität Standardabweichung</t>
  </si>
  <si>
    <t>Polterlänge (m)</t>
  </si>
  <si>
    <t>Steigungswinkel (°)</t>
  </si>
  <si>
    <t>Seitenspiegelung (%)</t>
  </si>
  <si>
    <t>Poltervolume (FmmR)</t>
  </si>
  <si>
    <t>Poltervolume (FmoR)</t>
  </si>
  <si>
    <t>Rindenanteil (%)</t>
  </si>
  <si>
    <t>Länge (m)</t>
  </si>
  <si>
    <t>D Stirn mit Rinde (mm)</t>
  </si>
  <si>
    <t>D Mitte mit Rinde (mm)</t>
  </si>
  <si>
    <t>D Zopf mit Rinde (mm)</t>
  </si>
  <si>
    <t>D Stirn ohne Rinde (mm)</t>
  </si>
  <si>
    <t>D Mitte ohne Rinde (mm)</t>
  </si>
  <si>
    <t>D Zopf ohne Rinde (mm)</t>
  </si>
  <si>
    <t>Abholzigkeit (mm/lfm)</t>
  </si>
  <si>
    <t>Krümmung (mm/lfm)</t>
  </si>
  <si>
    <t>Rindenstärke (mm)</t>
  </si>
  <si>
    <t>Zeilenbeschriftungen</t>
  </si>
  <si>
    <t>Gesamtergebnis</t>
  </si>
  <si>
    <t>Stammanzahl</t>
  </si>
  <si>
    <t>0-9</t>
  </si>
  <si>
    <t>Ovalität (]0,1])</t>
  </si>
  <si>
    <t>Polterunterlage</t>
  </si>
  <si>
    <t>Stirnfläche Vorderseite (Qm)</t>
  </si>
  <si>
    <t>Stirnfläche Hinterseite (Qm)</t>
  </si>
  <si>
    <t>Polygonzug Vorderseite (Qm)</t>
  </si>
  <si>
    <t>Polygonzug (Rm)</t>
  </si>
  <si>
    <t>Sektionsraummaß Vorderseite (Qm)</t>
  </si>
  <si>
    <t>Sektionsraummaß (Rm)</t>
  </si>
  <si>
    <t>Umrechnungsfaktor Sektionsraummaß (oR)</t>
  </si>
  <si>
    <t>Umrechnungsfaktor Sektionsraummaß (mR)</t>
  </si>
  <si>
    <t>Umrechnungsfaktor Polygonzug (oR)</t>
  </si>
  <si>
    <t>Umrechnungsfaktor Polygonzug (mR)</t>
  </si>
  <si>
    <t>Polterunterlagevolume (FmmR)</t>
  </si>
  <si>
    <t>Polterunterlagevolume (FmoR)</t>
  </si>
  <si>
    <t>Mittendurchmesser (mit Rinde)</t>
  </si>
  <si>
    <t>bis 9</t>
  </si>
  <si>
    <t>10 bis 14</t>
  </si>
  <si>
    <t>15 bis 19</t>
  </si>
  <si>
    <t>20 bis 24</t>
  </si>
  <si>
    <t>25 bis 29</t>
  </si>
  <si>
    <t>30 bis 34</t>
  </si>
  <si>
    <t>35 bis 39</t>
  </si>
  <si>
    <t>40 bis 49</t>
  </si>
  <si>
    <t>50 bis 59</t>
  </si>
  <si>
    <t>60 bis 69</t>
  </si>
  <si>
    <t>70 bis 79</t>
  </si>
  <si>
    <t>ab 80</t>
  </si>
  <si>
    <t>Zufallsspiegelung</t>
  </si>
  <si>
    <t>Holzdichte (kg/m3)</t>
  </si>
  <si>
    <t>Holzfriktion</t>
  </si>
  <si>
    <t>Fotooptik Vorderseite (Qm)</t>
  </si>
  <si>
    <t>Fotooptik (Rm)</t>
  </si>
  <si>
    <t>Stützpunkte Vorderseite</t>
  </si>
  <si>
    <t>Umrechnungsfaktor Fotooptik (oR)</t>
  </si>
  <si>
    <t>Umrechnungsfaktor Fotooptik (mR)</t>
  </si>
  <si>
    <t>Höhe</t>
  </si>
  <si>
    <t>Breite</t>
  </si>
  <si>
    <t>von (mm)</t>
  </si>
  <si>
    <t>von (mm/lfm)</t>
  </si>
  <si>
    <t>von</t>
  </si>
  <si>
    <t>Fotooptik Rückseite (Qm)</t>
  </si>
  <si>
    <t>Stützpunkte Rückseite</t>
  </si>
  <si>
    <t>Polygonzug Rückseite (Qm)</t>
  </si>
  <si>
    <t>Sektionsraummaß Rückseite (Qm)</t>
  </si>
  <si>
    <t>Iteration ID</t>
  </si>
  <si>
    <t>Rindenbeschädigungen (%)</t>
  </si>
  <si>
    <t>Krümmungsvarianten (%)</t>
  </si>
  <si>
    <t>Baumart</t>
  </si>
  <si>
    <t>Stammfußhöhe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</si>
</sst>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4"/>
      <color rgb="FF003600"/>
      <name val="Calibri"/>
      <family val="2"/>
      <scheme val="minor"/>
    </font>
    <font>
      <b/>
      <sz val="36"/>
      <color rgb="FF004600"/>
      <name val="Segoe U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8">
    <border>
      <left/>
      <right/>
      <top/>
      <bottom/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/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9"/>
      </right>
      <top style="medium">
        <color theme="9"/>
      </top>
      <bottom style="medium">
        <color theme="9"/>
      </bottom>
      <diagonal/>
    </border>
  </borders>
  <cellStyleXfs count="1">
    <xf numFmtId="0" fontId="0" fillId="0" borderId="0"/>
  </cellStyleXfs>
  <cellXfs count="63">
    <xf numFmtId="0" fontId="0" fillId="0" borderId="0" xfId="0"/>
    <xf numFmtId="2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textRotation="9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49" fontId="2" fillId="0" borderId="3" xfId="0" applyNumberFormat="1" applyFont="1" applyBorder="1" applyAlignment="1" applyProtection="1">
      <alignment horizontal="center" textRotation="90"/>
    </xf>
    <xf numFmtId="0" fontId="2" fillId="0" borderId="4" xfId="0" applyFont="1" applyBorder="1" applyAlignment="1" applyProtection="1">
      <alignment horizontal="center" textRotation="90"/>
    </xf>
    <xf numFmtId="2" fontId="2" fillId="0" borderId="4" xfId="0" applyNumberFormat="1" applyFont="1" applyBorder="1" applyAlignment="1" applyProtection="1">
      <alignment horizontal="center" textRotation="90"/>
    </xf>
    <xf numFmtId="0" fontId="2" fillId="0" borderId="6" xfId="0" applyFont="1" applyBorder="1" applyAlignment="1" applyProtection="1">
      <alignment horizontal="center" textRotation="90"/>
      <protection hidden="1"/>
    </xf>
    <xf numFmtId="0" fontId="2" fillId="0" borderId="5" xfId="0" applyFont="1" applyBorder="1" applyAlignment="1" applyProtection="1">
      <alignment horizontal="center" textRotation="90"/>
    </xf>
    <xf numFmtId="1" fontId="1" fillId="0" borderId="2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  <xf numFmtId="1" fontId="2" fillId="0" borderId="0" xfId="0" applyNumberFormat="1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1" fontId="2" fillId="0" borderId="7" xfId="0" applyNumberFormat="1" applyFont="1" applyBorder="1" applyAlignment="1" applyProtection="1">
      <alignment horizontal="center" vertical="center"/>
      <protection locked="0"/>
    </xf>
    <xf numFmtId="1" fontId="2" fillId="0" borderId="8" xfId="0" applyNumberFormat="1" applyFont="1" applyBorder="1" applyAlignment="1" applyProtection="1">
      <alignment horizontal="center" vertical="center"/>
      <protection locked="0"/>
    </xf>
    <xf numFmtId="1" fontId="2" fillId="0" borderId="0" xfId="0" applyNumberFormat="1" applyFont="1" applyBorder="1" applyAlignment="1" applyProtection="1">
      <alignment horizontal="center" vertical="center"/>
      <protection hidden="1"/>
    </xf>
    <xf numFmtId="1" fontId="2" fillId="0" borderId="9" xfId="0" applyNumberFormat="1" applyFont="1" applyBorder="1" applyAlignment="1" applyProtection="1">
      <alignment horizontal="center" vertical="center"/>
      <protection hidden="1"/>
    </xf>
    <xf numFmtId="1" fontId="2" fillId="0" borderId="10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>
      <alignment horizontal="center" textRotation="90"/>
    </xf>
    <xf numFmtId="0" fontId="1" fillId="0" borderId="1" xfId="0" applyFont="1" applyBorder="1" applyAlignment="1">
      <alignment horizontal="center" textRotation="90"/>
    </xf>
    <xf numFmtId="0" fontId="1" fillId="0" borderId="0" xfId="0" applyFont="1" applyAlignment="1">
      <alignment horizontal="center" textRotation="90" wrapText="1"/>
    </xf>
    <xf numFmtId="0" fontId="6" fillId="0" borderId="0" xfId="0" applyFont="1"/>
    <xf numFmtId="0" fontId="8" fillId="0" borderId="11" xfId="0" applyFont="1" applyBorder="1" applyAlignment="1" applyProtection="1">
      <alignment horizontal="center" textRotation="90"/>
    </xf>
    <xf numFmtId="0" fontId="5" fillId="0" borderId="0" xfId="0" applyFont="1"/>
    <xf numFmtId="164" fontId="7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NumberFormat="1"/>
    <xf numFmtId="0" fontId="9" fillId="0" borderId="0" xfId="0" applyFont="1"/>
    <xf numFmtId="0" fontId="10" fillId="0" borderId="0" xfId="0" applyFont="1"/>
    <xf numFmtId="2" fontId="2" fillId="0" borderId="2" xfId="0" applyNumberFormat="1" applyFont="1" applyBorder="1" applyAlignment="1" applyProtection="1">
      <alignment horizontal="center" vertical="center"/>
      <protection locked="0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textRotation="90"/>
    </xf>
    <xf numFmtId="1" fontId="11" fillId="0" borderId="0" xfId="0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vertical="top"/>
    </xf>
    <xf numFmtId="49" fontId="1" fillId="0" borderId="13" xfId="0" applyNumberFormat="1" applyFont="1" applyBorder="1" applyAlignment="1">
      <alignment horizontal="center" textRotation="90"/>
    </xf>
    <xf numFmtId="2" fontId="1" fillId="0" borderId="1" xfId="0" applyNumberFormat="1" applyFont="1" applyBorder="1" applyAlignment="1">
      <alignment horizontal="center" textRotation="90"/>
    </xf>
    <xf numFmtId="1" fontId="1" fillId="2" borderId="14" xfId="0" applyNumberFormat="1" applyFont="1" applyFill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textRotation="90"/>
    </xf>
    <xf numFmtId="165" fontId="2" fillId="2" borderId="14" xfId="0" applyNumberFormat="1" applyFont="1" applyFill="1" applyBorder="1" applyAlignment="1">
      <alignment horizontal="center" vertical="center"/>
    </xf>
    <xf numFmtId="165" fontId="13" fillId="2" borderId="14" xfId="0" applyNumberFormat="1" applyFont="1" applyFill="1" applyBorder="1" applyAlignment="1">
      <alignment horizontal="center" vertical="center"/>
    </xf>
    <xf numFmtId="2" fontId="2" fillId="0" borderId="12" xfId="0" applyNumberFormat="1" applyFont="1" applyBorder="1" applyAlignment="1" applyProtection="1">
      <alignment horizontal="center" vertical="center"/>
      <protection locked="0"/>
    </xf>
    <xf numFmtId="0" fontId="0" fillId="0" borderId="0" xfId="0" pivotButton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13" fillId="2" borderId="0" xfId="0" applyNumberFormat="1" applyFont="1" applyFill="1" applyAlignment="1">
      <alignment horizontal="center" vertical="center"/>
    </xf>
    <xf numFmtId="0" fontId="1" fillId="0" borderId="11" xfId="0" applyFont="1" applyBorder="1" applyAlignment="1">
      <alignment horizontal="center" textRotation="90"/>
    </xf>
    <xf numFmtId="0" fontId="1" fillId="0" borderId="4" xfId="0" applyFont="1" applyBorder="1" applyAlignment="1">
      <alignment horizontal="center" textRotation="90"/>
    </xf>
    <xf numFmtId="0" fontId="1" fillId="0" borderId="17" xfId="0" applyFont="1" applyBorder="1" applyAlignment="1">
      <alignment horizontal="center" textRotation="90"/>
    </xf>
    <xf numFmtId="165" fontId="14" fillId="2" borderId="0" xfId="0" applyNumberFormat="1" applyFont="1" applyFill="1" applyAlignment="1">
      <alignment horizontal="center" vertical="center"/>
    </xf>
    <xf numFmtId="0" fontId="15" fillId="0" borderId="11" xfId="0" applyFont="1" applyBorder="1" applyAlignment="1">
      <alignment horizontal="center" textRotation="90"/>
    </xf>
    <xf numFmtId="49" fontId="2" fillId="2" borderId="16" xfId="0" applyNumberFormat="1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textRotation="90"/>
    </xf>
    <xf numFmtId="0" fontId="2" fillId="0" borderId="11" xfId="0" applyFont="1" applyBorder="1" applyAlignment="1" applyProtection="1">
      <alignment horizontal="center" textRotation="90"/>
    </xf>
  </cellXfs>
  <cellStyles count="1">
    <cellStyle name="Standard" xfId="0" builtinId="0"/>
  </cellStyles>
  <dxfs count="125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border outline="0">
        <top style="thin">
          <color theme="9"/>
        </top>
      </border>
    </dxf>
    <dxf>
      <border outline="0">
        <top style="medium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0.00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9"/>
        </top>
        <bottom/>
        <vertical/>
        <horizontal/>
      </border>
    </dxf>
    <dxf>
      <border outline="0">
        <top style="thin">
          <color theme="9"/>
        </top>
      </border>
    </dxf>
    <dxf>
      <border outline="0">
        <top style="medium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border outline="0">
        <top style="thin">
          <color theme="9"/>
        </top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9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  <protection locked="1" hidden="1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1" hidden="1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medium">
          <color theme="9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9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004600"/>
      <color rgb="FF002E00"/>
      <color rgb="FF005C00"/>
      <color rgb="FF003600"/>
      <color rgb="FF00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[Stammdaten.xlsx]Datenaufbereitung!PivotTable5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Abholzigkeit - Verteilung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Datenaufbereitung!$J$9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Datenaufbereitung!$I$10:$I$11</c:f>
              <c:strCache>
                <c:ptCount val="1"/>
                <c:pt idx="0">
                  <c:v>0-9</c:v>
                </c:pt>
              </c:strCache>
            </c:strRef>
          </c:cat>
          <c:val>
            <c:numRef>
              <c:f>Datenaufbereitung!$J$10:$J$11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axId val="500995680"/>
        <c:axId val="500994504"/>
      </c:barChart>
      <c:catAx>
        <c:axId val="50099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0994504"/>
        <c:crosses val="autoZero"/>
        <c:auto val="1"/>
        <c:lblAlgn val="ctr"/>
        <c:lblOffset val="100"/>
        <c:noMultiLvlLbl val="0"/>
      </c:catAx>
      <c:valAx>
        <c:axId val="50099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099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[Stammdaten.xlsx]Datenaufbereitung!PivotTable6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Krümmung - Verteilung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Datenaufbereitung!$Q$9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Datenaufbereitung!$P$10:$P$11</c:f>
              <c:strCache>
                <c:ptCount val="1"/>
                <c:pt idx="0">
                  <c:v>0-9</c:v>
                </c:pt>
              </c:strCache>
            </c:strRef>
          </c:cat>
          <c:val>
            <c:numRef>
              <c:f>Datenaufbereitung!$Q$10:$Q$11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axId val="500995288"/>
        <c:axId val="500992544"/>
      </c:barChart>
      <c:catAx>
        <c:axId val="50099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0992544"/>
        <c:crosses val="autoZero"/>
        <c:auto val="1"/>
        <c:lblAlgn val="ctr"/>
        <c:lblOffset val="100"/>
        <c:noMultiLvlLbl val="0"/>
      </c:catAx>
      <c:valAx>
        <c:axId val="5009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0995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tx2"/>
                </a:solidFill>
                <a:effectLst/>
              </a:rPr>
              <a:t>Mittendurchmesser m.R.</a:t>
            </a:r>
            <a:endParaRPr lang="en-US">
              <a:solidFill>
                <a:schemeClr val="tx2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Datenaufbereitung!$F$10:$F$5009</c:f>
              <c:numCache>
                <c:formatCode>General</c:formatCode>
                <c:ptCount val="5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xVal>
          <c:yVal>
            <c:numRef>
              <c:f>Datenaufbereitung!$G$10:$G$5009</c:f>
              <c:numCache>
                <c:formatCode>General</c:formatCode>
                <c:ptCount val="5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96072"/>
        <c:axId val="500987056"/>
      </c:scatterChart>
      <c:valAx>
        <c:axId val="50099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Mitte Durchmesser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0987056"/>
        <c:crosses val="autoZero"/>
        <c:crossBetween val="midCat"/>
      </c:valAx>
      <c:valAx>
        <c:axId val="50098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Dichte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0996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tx2"/>
                </a:solidFill>
                <a:effectLst/>
              </a:rPr>
              <a:t>Abholzigkeit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Datenaufbereitung!$M$10:$M$5009</c:f>
              <c:numCache>
                <c:formatCode>General</c:formatCode>
                <c:ptCount val="5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xVal>
          <c:yVal>
            <c:numRef>
              <c:f>Datenaufbereitung!$N$10:$N$5009</c:f>
              <c:numCache>
                <c:formatCode>General</c:formatCode>
                <c:ptCount val="5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90976"/>
        <c:axId val="500991368"/>
      </c:scatterChart>
      <c:valAx>
        <c:axId val="50099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Abholzigkeit (mm/lfm)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0991368"/>
        <c:crosses val="autoZero"/>
        <c:crossBetween val="midCat"/>
      </c:valAx>
      <c:valAx>
        <c:axId val="50099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Dichte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099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tx2"/>
                </a:solidFill>
                <a:effectLst/>
              </a:rPr>
              <a:t>Krümmung</a:t>
            </a:r>
            <a:endParaRPr lang="en-US">
              <a:solidFill>
                <a:schemeClr val="tx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Datenaufbereitung!$T$10:$T$5009</c:f>
              <c:numCache>
                <c:formatCode>General</c:formatCode>
                <c:ptCount val="5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xVal>
          <c:yVal>
            <c:numRef>
              <c:f>Datenaufbereitung!$U$10:$U$5009</c:f>
              <c:numCache>
                <c:formatCode>General</c:formatCode>
                <c:ptCount val="5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29768"/>
        <c:axId val="504927024"/>
      </c:scatterChart>
      <c:valAx>
        <c:axId val="50492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Krümmung (mm/lfm)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927024"/>
        <c:crosses val="autoZero"/>
        <c:crossBetween val="midCat"/>
      </c:valAx>
      <c:valAx>
        <c:axId val="5049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Dichte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929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[Stammdaten.xlsx]Datenaufbereitung!PivotTable1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Ovalität - Verteilung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Datenaufbereitung!$X$9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Datenaufbereitung!$W$10:$W$11</c:f>
              <c:strCache>
                <c:ptCount val="1"/>
                <c:pt idx="0">
                  <c:v>1,00</c:v>
                </c:pt>
              </c:strCache>
            </c:strRef>
          </c:cat>
          <c:val>
            <c:numRef>
              <c:f>Datenaufbereitung!$X$10:$X$11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axId val="504926632"/>
        <c:axId val="504923888"/>
      </c:barChart>
      <c:catAx>
        <c:axId val="50492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923888"/>
        <c:crosses val="autoZero"/>
        <c:auto val="1"/>
        <c:lblAlgn val="ctr"/>
        <c:lblOffset val="100"/>
        <c:noMultiLvlLbl val="0"/>
      </c:catAx>
      <c:valAx>
        <c:axId val="5049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92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tx2"/>
                </a:solidFill>
                <a:effectLst/>
              </a:rPr>
              <a:t>Ovalität</a:t>
            </a:r>
            <a:endParaRPr lang="en-US">
              <a:solidFill>
                <a:schemeClr val="tx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Datenaufbereitung!$AA$10:$AA$5009</c:f>
              <c:numCache>
                <c:formatCode>General</c:formatCode>
                <c:ptCount val="5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xVal>
          <c:yVal>
            <c:numRef>
              <c:f>Datenaufbereitung!$AB$10:$AB$5009</c:f>
              <c:numCache>
                <c:formatCode>General</c:formatCode>
                <c:ptCount val="5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28200"/>
        <c:axId val="504929376"/>
      </c:scatterChart>
      <c:valAx>
        <c:axId val="504928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Ovalität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929376"/>
        <c:crosses val="autoZero"/>
        <c:crossBetween val="midCat"/>
      </c:valAx>
      <c:valAx>
        <c:axId val="5049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Dichte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928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6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16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Mittendurchmesser m.R. - Verteilung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600" b="0" i="0" u="none" strike="noStrike" kern="1200" cap="none" spc="5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Datenaufbereitung!$B$10:$B$21</c:f>
              <c:strCache>
                <c:ptCount val="12"/>
                <c:pt idx="0">
                  <c:v>bis 9</c:v>
                </c:pt>
                <c:pt idx="1">
                  <c:v>10 bis 14</c:v>
                </c:pt>
                <c:pt idx="2">
                  <c:v>15 bis 19</c:v>
                </c:pt>
                <c:pt idx="3">
                  <c:v>20 bis 24</c:v>
                </c:pt>
                <c:pt idx="4">
                  <c:v>25 bis 29</c:v>
                </c:pt>
                <c:pt idx="5">
                  <c:v>30 bis 34</c:v>
                </c:pt>
                <c:pt idx="6">
                  <c:v>35 bis 39</c:v>
                </c:pt>
                <c:pt idx="7">
                  <c:v>40 bis 49</c:v>
                </c:pt>
                <c:pt idx="8">
                  <c:v>50 bis 59</c:v>
                </c:pt>
                <c:pt idx="9">
                  <c:v>60 bis 69</c:v>
                </c:pt>
                <c:pt idx="10">
                  <c:v>70 bis 79</c:v>
                </c:pt>
                <c:pt idx="11">
                  <c:v>ab 80</c:v>
                </c:pt>
              </c:strCache>
            </c:strRef>
          </c:cat>
          <c:val>
            <c:numRef>
              <c:f>Datenaufbereitung!$C$10:$C$21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504923496"/>
        <c:axId val="504921144"/>
      </c:barChart>
      <c:catAx>
        <c:axId val="50492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921144"/>
        <c:crosses val="autoZero"/>
        <c:auto val="1"/>
        <c:lblAlgn val="ctr"/>
        <c:lblOffset val="100"/>
        <c:noMultiLvlLbl val="0"/>
      </c:catAx>
      <c:valAx>
        <c:axId val="50492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4923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133351</xdr:rowOff>
    </xdr:from>
    <xdr:to>
      <xdr:col>3</xdr:col>
      <xdr:colOff>1047750</xdr:colOff>
      <xdr:row>2</xdr:row>
      <xdr:rowOff>814495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33351"/>
          <a:ext cx="2768600" cy="1049444"/>
        </a:xfrm>
        <a:prstGeom prst="rect">
          <a:avLst/>
        </a:prstGeom>
      </xdr:spPr>
    </xdr:pic>
    <xdr:clientData/>
  </xdr:twoCellAnchor>
  <xdr:twoCellAnchor editAs="oneCell">
    <xdr:from>
      <xdr:col>9</xdr:col>
      <xdr:colOff>704850</xdr:colOff>
      <xdr:row>0</xdr:row>
      <xdr:rowOff>76201</xdr:rowOff>
    </xdr:from>
    <xdr:to>
      <xdr:col>12</xdr:col>
      <xdr:colOff>939800</xdr:colOff>
      <xdr:row>2</xdr:row>
      <xdr:rowOff>814941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87050" y="76201"/>
          <a:ext cx="2838450" cy="1107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6350</xdr:colOff>
      <xdr:row>28</xdr:row>
      <xdr:rowOff>19050</xdr:rowOff>
    </xdr:from>
    <xdr:to>
      <xdr:col>20</xdr:col>
      <xdr:colOff>19050</xdr:colOff>
      <xdr:row>46</xdr:row>
      <xdr:rowOff>177800</xdr:rowOff>
    </xdr:to>
    <xdr:graphicFrame macro="">
      <xdr:nvGraphicFramePr>
        <xdr:cNvPr id="5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51</xdr:row>
      <xdr:rowOff>0</xdr:rowOff>
    </xdr:from>
    <xdr:to>
      <xdr:col>20</xdr:col>
      <xdr:colOff>0</xdr:colOff>
      <xdr:row>70</xdr:row>
      <xdr:rowOff>12700</xdr:rowOff>
    </xdr:to>
    <xdr:graphicFrame macro="">
      <xdr:nvGraphicFramePr>
        <xdr:cNvPr id="7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12700</xdr:colOff>
      <xdr:row>5</xdr:row>
      <xdr:rowOff>6350</xdr:rowOff>
    </xdr:from>
    <xdr:to>
      <xdr:col>9</xdr:col>
      <xdr:colOff>755650</xdr:colOff>
      <xdr:row>24</xdr:row>
      <xdr:rowOff>12700</xdr:rowOff>
    </xdr:to>
    <xdr:graphicFrame macro="">
      <xdr:nvGraphicFramePr>
        <xdr:cNvPr id="9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3174</xdr:colOff>
      <xdr:row>28</xdr:row>
      <xdr:rowOff>0</xdr:rowOff>
    </xdr:from>
    <xdr:to>
      <xdr:col>10</xdr:col>
      <xdr:colOff>6349</xdr:colOff>
      <xdr:row>46</xdr:row>
      <xdr:rowOff>177800</xdr:rowOff>
    </xdr:to>
    <xdr:graphicFrame macro="">
      <xdr:nvGraphicFramePr>
        <xdr:cNvPr id="8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9524</xdr:colOff>
      <xdr:row>51</xdr:row>
      <xdr:rowOff>12700</xdr:rowOff>
    </xdr:from>
    <xdr:to>
      <xdr:col>9</xdr:col>
      <xdr:colOff>749299</xdr:colOff>
      <xdr:row>69</xdr:row>
      <xdr:rowOff>171450</xdr:rowOff>
    </xdr:to>
    <xdr:graphicFrame macro="">
      <xdr:nvGraphicFramePr>
        <xdr:cNvPr id="10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23812</xdr:colOff>
      <xdr:row>74</xdr:row>
      <xdr:rowOff>12699</xdr:rowOff>
    </xdr:from>
    <xdr:to>
      <xdr:col>20</xdr:col>
      <xdr:colOff>23813</xdr:colOff>
      <xdr:row>93</xdr:row>
      <xdr:rowOff>7936</xdr:rowOff>
    </xdr:to>
    <xdr:graphicFrame macro="">
      <xdr:nvGraphicFramePr>
        <xdr:cNvPr id="3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74</xdr:row>
      <xdr:rowOff>0</xdr:rowOff>
    </xdr:from>
    <xdr:to>
      <xdr:col>9</xdr:col>
      <xdr:colOff>739775</xdr:colOff>
      <xdr:row>92</xdr:row>
      <xdr:rowOff>158750</xdr:rowOff>
    </xdr:to>
    <xdr:graphicFrame macro="">
      <xdr:nvGraphicFramePr>
        <xdr:cNvPr id="11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15874</xdr:colOff>
      <xdr:row>5</xdr:row>
      <xdr:rowOff>25399</xdr:rowOff>
    </xdr:from>
    <xdr:to>
      <xdr:col>20</xdr:col>
      <xdr:colOff>31749</xdr:colOff>
      <xdr:row>23</xdr:row>
      <xdr:rowOff>169333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philippe" refreshedDate="44207.586063657407" createdVersion="5" refreshedVersion="5" minRefreshableVersion="3" recordCount="1">
  <cacheSource type="worksheet">
    <worksheetSource name="Stammdaten"/>
  </cacheSource>
  <cacheFields count="21">
    <cacheField name="Einzelstamm ID" numFmtId="1">
      <sharedItems containsNonDate="0" containsString="0" containsBlank="1"/>
    </cacheField>
    <cacheField name="Länge (m)" numFmtId="2">
      <sharedItems containsNonDate="0" containsString="0" containsBlank="1"/>
    </cacheField>
    <cacheField name="D Stirn mit Rinde (mm)" numFmtId="1">
      <sharedItems containsSemiMixedTypes="0" containsString="0" containsNumber="1" containsInteger="1" minValue="0" maxValue="0"/>
    </cacheField>
    <cacheField name="D Mitte mit Rinde (mm)" numFmtId="1">
      <sharedItems containsSemiMixedTypes="0" containsString="0" containsNumber="1" containsInteger="1" minValue="0" maxValue="0" count="1">
        <n v="0"/>
      </sharedItems>
      <fieldGroup base="3">
        <rangePr startNum="0" endNum="0" groupInterval="10"/>
        <groupItems count="3">
          <s v="&lt;0"/>
          <s v="0-9"/>
          <s v="&gt;10"/>
        </groupItems>
      </fieldGroup>
    </cacheField>
    <cacheField name="D Zopf mit Rinde (mm)" numFmtId="1">
      <sharedItems containsSemiMixedTypes="0" containsString="0" containsNumber="1" containsInteger="1" minValue="0" maxValue="0"/>
    </cacheField>
    <cacheField name="D Stirn ohne Rinde (mm)" numFmtId="1">
      <sharedItems containsSemiMixedTypes="0" containsString="0" containsNumber="1" containsInteger="1" minValue="0" maxValue="0"/>
    </cacheField>
    <cacheField name="D Mitte ohne Rinde (mm)" numFmtId="1">
      <sharedItems containsSemiMixedTypes="0" containsString="0" containsNumber="1" containsInteger="1" minValue="0" maxValue="0"/>
    </cacheField>
    <cacheField name="D Zopf ohne Rinde (mm)" numFmtId="1">
      <sharedItems containsSemiMixedTypes="0" containsString="0" containsNumber="1" containsInteger="1" minValue="0" maxValue="0"/>
    </cacheField>
    <cacheField name="Abholzigkeit (mm/lfm)" numFmtId="1">
      <sharedItems containsSemiMixedTypes="0" containsString="0" containsNumber="1" containsInteger="1" minValue="0" maxValue="0" count="1">
        <n v="0"/>
      </sharedItems>
      <fieldGroup base="8">
        <rangePr startNum="0" endNum="0" groupInterval="10"/>
        <groupItems count="3">
          <s v="&lt;0"/>
          <s v="0-9"/>
          <s v="&gt;10"/>
        </groupItems>
      </fieldGroup>
    </cacheField>
    <cacheField name="Krümmung (mm/lfm)" numFmtId="1">
      <sharedItems containsSemiMixedTypes="0" containsString="0" containsNumber="1" containsInteger="1" minValue="0" maxValue="0" count="1">
        <n v="0"/>
      </sharedItems>
      <fieldGroup base="9">
        <rangePr startNum="0" endNum="0" groupInterval="10"/>
        <groupItems count="3">
          <s v="&lt;0"/>
          <s v="0-9"/>
          <s v="&gt;10"/>
        </groupItems>
      </fieldGroup>
    </cacheField>
    <cacheField name="Ovalität (]0,1])" numFmtId="2">
      <sharedItems containsSemiMixedTypes="0" containsString="0" containsNumber="1" containsInteger="1" minValue="1" maxValue="1" count="1">
        <n v="1"/>
      </sharedItems>
    </cacheField>
    <cacheField name="Rindenstärke (mm)" numFmtId="1">
      <sharedItems containsNonDate="0" containsString="0" containsBlank="1"/>
    </cacheField>
    <cacheField name="Rank Verteilung D Mitte mit Rinde" numFmtId="1">
      <sharedItems/>
    </cacheField>
    <cacheField name="Verteilung D Mitte mit Rinde" numFmtId="164">
      <sharedItems/>
    </cacheField>
    <cacheField name="Rank Verteilung Abholzigkeit" numFmtId="1">
      <sharedItems/>
    </cacheField>
    <cacheField name="Verteilung Abholzigkeit" numFmtId="164">
      <sharedItems/>
    </cacheField>
    <cacheField name="Rank Verteilung Krümmung" numFmtId="1">
      <sharedItems/>
    </cacheField>
    <cacheField name="Verteilung Krümmung" numFmtId="164">
      <sharedItems/>
    </cacheField>
    <cacheField name="Rank Verteilung Ovalität" numFmtId="1">
      <sharedItems/>
    </cacheField>
    <cacheField name="Verteilung Ovalität" numFmtId="164">
      <sharedItems/>
    </cacheField>
    <cacheField name="Stammfußhöhe (cm)" numFmtId="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n v="0"/>
    <x v="0"/>
    <n v="0"/>
    <n v="0"/>
    <n v="0"/>
    <n v="0"/>
    <x v="0"/>
    <x v="0"/>
    <x v="0"/>
    <m/>
    <e v="#DIV/0!"/>
    <e v="#DIV/0!"/>
    <e v="#DIV/0!"/>
    <e v="#DIV/0!"/>
    <e v="#DIV/0!"/>
    <e v="#DIV/0!"/>
    <e v="#DIV/0!"/>
    <e v="#DIV/0!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Werte" updatedVersion="5" minRefreshableVersion="3" useAutoFormatting="1" itemPrintTitles="1" createdVersion="5" indent="0" outline="1" outlineData="1" multipleFieldFilters="0" chartFormat="7">
  <location ref="W9:X11" firstHeaderRow="1" firstDataRow="1" firstDataCol="1"/>
  <pivotFields count="21">
    <pivotField showAll="0"/>
    <pivotField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axis="axisRow" dataField="1" numFmtId="2" showAll="0" sortType="ascending" defaultSubtotal="0">
      <items count="1">
        <item x="0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1">
    <field x="10"/>
  </rowFields>
  <rowItems count="2">
    <i>
      <x/>
    </i>
    <i t="grand">
      <x/>
    </i>
  </rowItems>
  <colItems count="1">
    <i/>
  </colItems>
  <dataFields count="1">
    <dataField name="Stammanzahl" fld="10" subtotal="count" baseField="1" baseItem="471018544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6" applyNumberFormats="0" applyBorderFormats="0" applyFontFormats="0" applyPatternFormats="0" applyAlignmentFormats="0" applyWidthHeightFormats="1" dataCaption="Werte" updatedVersion="5" minRefreshableVersion="3" useAutoFormatting="1" itemPrintTitles="1" createdVersion="5" indent="0" outline="1" outlineData="1" multipleFieldFilters="0" chartFormat="5">
  <location ref="P9:Q11" firstHeaderRow="1" firstDataRow="1" firstDataCol="1"/>
  <pivotFields count="21">
    <pivotField showAll="0"/>
    <pivotField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axis="axisRow" dataField="1" numFmtId="1" showAll="0" sortType="ascending" defaultSubtotal="0">
      <items count="3">
        <item x="0"/>
        <item x="2"/>
        <item x="1"/>
      </items>
    </pivotField>
    <pivotField numFmtId="2"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 defaultSubtotal="0"/>
    <pivotField showAll="0" defaultSubtotal="0"/>
  </pivotFields>
  <rowFields count="1">
    <field x="9"/>
  </rowFields>
  <rowItems count="2">
    <i>
      <x v="2"/>
    </i>
    <i t="grand">
      <x/>
    </i>
  </rowItems>
  <colItems count="1">
    <i/>
  </colItems>
  <dataFields count="1">
    <dataField name="Stammanzahl" fld="9" subtotal="count" baseField="1" baseItem="4710185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Werte" updatedVersion="5" minRefreshableVersion="3" useAutoFormatting="1" itemPrintTitles="1" createdVersion="5" indent="0" outline="1" outlineData="1" multipleFieldFilters="0" chartFormat="6">
  <location ref="I9:J11" firstHeaderRow="1" firstDataRow="1" firstDataCol="1"/>
  <pivotFields count="21">
    <pivotField showAll="0"/>
    <pivotField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axis="axisRow" dataField="1" numFmtId="1" showAll="0" sortType="ascending" defaultSubtotal="0">
      <items count="3">
        <item x="0"/>
        <item x="2"/>
        <item x="1"/>
      </items>
    </pivotField>
    <pivotField numFmtId="1" showAll="0" defaultSubtotal="0"/>
    <pivotField numFmtId="2"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 defaultSubtotal="0"/>
    <pivotField showAll="0" defaultSubtotal="0"/>
  </pivotFields>
  <rowFields count="1">
    <field x="8"/>
  </rowFields>
  <rowItems count="2">
    <i>
      <x v="2"/>
    </i>
    <i t="grand">
      <x/>
    </i>
  </rowItems>
  <colItems count="1">
    <i/>
  </colItems>
  <dataFields count="1">
    <dataField name="Stammanzahl" fld="8" subtotal="count" baseField="8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Werte" updatedVersion="5" minRefreshableVersion="3" useAutoFormatting="1" itemPrintTitles="1" createdVersion="5" indent="0" outline="1" outlineData="1" multipleFieldFilters="0" chartFormat="7">
  <location ref="B24:C26" firstHeaderRow="1" firstDataRow="1" firstDataCol="1"/>
  <pivotFields count="21">
    <pivotField showAll="0"/>
    <pivotField showAll="0" defaultSubtotal="0"/>
    <pivotField numFmtId="1" showAll="0" defaultSubtotal="0"/>
    <pivotField axis="axisRow" dataField="1" numFmtId="1" showAll="0" measureFilter="1" sortType="ascending" defaultSubtotal="0">
      <items count="3">
        <item x="0"/>
        <item x="2"/>
        <item x="1"/>
      </items>
    </pivotField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2" showAll="0" defaultSubtota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 defaultSubtotal="0"/>
    <pivotField showAll="0" defaultSubtotal="0"/>
  </pivotFields>
  <rowFields count="1">
    <field x="3"/>
  </rowFields>
  <rowItems count="2">
    <i>
      <x v="2"/>
    </i>
    <i t="grand">
      <x/>
    </i>
  </rowItems>
  <colItems count="1">
    <i/>
  </colItems>
  <dataFields count="1">
    <dataField name="Stammanzahl" fld="3" subtotal="count" baseField="3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filters count="1">
    <filter fld="3" type="valueLessThan" evalOrder="-1" id="1" iMeasureFld="0">
      <autoFilter ref="A1">
        <filterColumn colId="0">
          <customFilters>
            <customFilter operator="lessThan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tammdaten" displayName="Stammdaten" ref="B5:V6" totalsRowShown="0" headerRowDxfId="120" dataDxfId="118" headerRowBorderDxfId="119">
  <tableColumns count="21">
    <tableColumn id="1" name="Einzelstamm ID" dataDxfId="117"/>
    <tableColumn id="2" name="Länge (m)" dataDxfId="116"/>
    <tableColumn id="3" name="D Stirn mit Rinde (mm)" dataDxfId="115"/>
    <tableColumn id="4" name="D Mitte mit Rinde (mm)" dataDxfId="114"/>
    <tableColumn id="5" name="D Zopf mit Rinde (mm)" dataDxfId="113"/>
    <tableColumn id="6" name="D Stirn ohne Rinde (mm)" dataDxfId="112">
      <calculatedColumnFormula>IF(OR(ISBLANK(Stammdaten[D Stirn mit Rinde (mm)]),ISBLANK(Stammdaten[Rindenstärke (mm)])),0,Stammdaten[D Stirn mit Rinde (mm)]-2*Stammdaten[Rindenstärke (mm)])</calculatedColumnFormula>
    </tableColumn>
    <tableColumn id="7" name="D Mitte ohne Rinde (mm)" dataDxfId="111">
      <calculatedColumnFormula>IF(OR(ISBLANK(Stammdaten[D Mitte mit Rinde (mm)]),ISBLANK(Stammdaten[Rindenstärke (mm)])),0,Stammdaten[D Mitte mit Rinde (mm)]-2*Stammdaten[Rindenstärke (mm)])</calculatedColumnFormula>
    </tableColumn>
    <tableColumn id="8" name="D Zopf ohne Rinde (mm)" dataDxfId="110">
      <calculatedColumnFormula>IF(OR(ISBLANK(Stammdaten[D Zopf mit Rinde (mm)]),ISBLANK(Stammdaten[Rindenstärke (mm)])),0,Stammdaten[D Zopf mit Rinde (mm)]-2*Stammdaten[Rindenstärke (mm)])</calculatedColumnFormula>
    </tableColumn>
    <tableColumn id="9" name="Abholzigkeit (mm/lfm)" dataDxfId="109">
      <calculatedColumnFormula>IF(OR(ISBLANK(Stammdaten[D Stirn mit Rinde (mm)]),ISBLANK(Stammdaten[D Zopf mit Rinde (mm)])),0,IFERROR((Stammdaten[D Stirn mit Rinde (mm)]-Stammdaten[D Zopf mit Rinde (mm)])/Stammdaten[Länge (m)],0))</calculatedColumnFormula>
    </tableColumn>
    <tableColumn id="10" name="Krümmung (mm/lfm)" dataDxfId="108"/>
    <tableColumn id="19" name="Ovalität (]0,1])" dataDxfId="107"/>
    <tableColumn id="11" name="Rindenstärke (mm)" dataDxfId="106"/>
    <tableColumn id="15" name="Rank Verteilung D Mitte mit Rinde" dataDxfId="105">
      <calculatedColumnFormula>_xlfn.RANK.EQ(Stammdaten[Verteilung D Mitte mit Rinde],Stammdaten[Verteilung D Mitte mit Rinde],1)</calculatedColumnFormula>
    </tableColumn>
    <tableColumn id="12" name="Verteilung D Mitte mit Rinde" dataDxfId="104">
      <calculatedColumnFormula>_xlfn.NORM.DIST(Stammdaten[[#This Row],[D Mitte mit Rinde (mm)]],D_Mitte_mR_Mittelwert,D_Mitte_mR_Standardabweichung,FALSE)</calculatedColumnFormula>
    </tableColumn>
    <tableColumn id="16" name="Rank Verteilung Abholzigkeit" dataDxfId="103">
      <calculatedColumnFormula>_xlfn.RANK.EQ(Stammdaten[Verteilung Abholzigkeit],Stammdaten[Verteilung Abholzigkeit],1)</calculatedColumnFormula>
    </tableColumn>
    <tableColumn id="13" name="Verteilung Abholzigkeit" dataDxfId="102">
      <calculatedColumnFormula>_xlfn.NORM.DIST(Stammdaten[[#This Row],[Abholzigkeit (mm/lfm)]],Abholzigkeit_Mittelwert,Abholzigkeit_Standardabweichung,FALSE)</calculatedColumnFormula>
    </tableColumn>
    <tableColumn id="17" name="Rank Verteilung Krümmung" dataDxfId="101">
      <calculatedColumnFormula>_xlfn.RANK.EQ(Stammdaten[Verteilung Krümmung],Stammdaten[Verteilung Krümmung],1)</calculatedColumnFormula>
    </tableColumn>
    <tableColumn id="14" name="Verteilung Krümmung" dataDxfId="100">
      <calculatedColumnFormula>_xlfn.NORM.DIST(Stammdaten[[#This Row],[Krümmung (mm/lfm)]],Krümmung_Mittelwert,Krümmung_Standardabweichung,FALSE)</calculatedColumnFormula>
    </tableColumn>
    <tableColumn id="20" name="Rank Verteilung Ovalität" dataDxfId="99">
      <calculatedColumnFormula>_xlfn.RANK.EQ(Stammdaten[Verteilung Ovalität],Stammdaten[Verteilung Ovalität],1)</calculatedColumnFormula>
    </tableColumn>
    <tableColumn id="18" name="Verteilung Ovalität" dataDxfId="98">
      <calculatedColumnFormula>_xlfn.NORM.DIST(Stammdaten[[#This Row],[Ovalität (']0,1'])]],Ovalität_Mittelwert,Ovalität_Standardabweichung,FALSE)</calculatedColumnFormula>
    </tableColumn>
    <tableColumn id="21" name="Stammfußhöhe (cm)" dataDxfId="9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Durchmesser" displayName="Durchmesser" ref="B4:E5" insertRow="1" totalsRowShown="0" headerRowDxfId="96">
  <autoFilter ref="B4:E5">
    <filterColumn colId="0" hiddenButton="1"/>
    <filterColumn colId="1" hiddenButton="1"/>
    <filterColumn colId="2" hiddenButton="1"/>
    <filterColumn colId="3" hiddenButton="1"/>
  </autoFilter>
  <tableColumns count="4">
    <tableColumn id="1" name="Klasse" dataDxfId="95"/>
    <tableColumn id="2" name="von (mm)" dataDxfId="94"/>
    <tableColumn id="3" name="bis (mm)" dataDxfId="93"/>
    <tableColumn id="4" name="Rinderstärke" dataDxfId="9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Abholzigkeit" displayName="Abholzigkeit" ref="G4:I5" insertRow="1" totalsRowShown="0" headerRowDxfId="91" dataDxfId="90">
  <autoFilter ref="G4:I5">
    <filterColumn colId="0" hiddenButton="1"/>
    <filterColumn colId="1" hiddenButton="1"/>
    <filterColumn colId="2" hiddenButton="1"/>
  </autoFilter>
  <tableColumns count="3">
    <tableColumn id="1" name="Klasse" dataDxfId="89"/>
    <tableColumn id="2" name="von (mm/lfm)" dataDxfId="88"/>
    <tableColumn id="3" name="bis (mm/lfm)" dataDxfId="8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Krümmung" displayName="Krümmung" ref="L4:N5" insertRow="1" totalsRowShown="0" headerRowDxfId="86" dataDxfId="85">
  <autoFilter ref="L4:N5">
    <filterColumn colId="0" hiddenButton="1"/>
    <filterColumn colId="1" hiddenButton="1"/>
    <filterColumn colId="2" hiddenButton="1"/>
  </autoFilter>
  <tableColumns count="3">
    <tableColumn id="1" name="Klasse" dataDxfId="84"/>
    <tableColumn id="2" name="von (mm/lfm)" dataDxfId="83"/>
    <tableColumn id="3" name="bis (mm/lfm)" dataDxfId="8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id="5" name="Abholzigkeitsverteilungen" displayName="Abholzigkeitsverteilungen" ref="G17:J18" insertRow="1" totalsRowShown="0" headerRowDxfId="81">
  <autoFilter ref="G17:J18"/>
  <tableColumns count="4">
    <tableColumn id="1" name="Klasse" dataDxfId="80"/>
    <tableColumn id="2" name="Mittendurchmesser_x000a_Klassen" dataDxfId="79"/>
    <tableColumn id="3" name="Anteil (%)" dataDxfId="78"/>
    <tableColumn id="4" name="Anteil (Absolute)" dataDxfId="77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id="6" name="Krümmungsverteilungen" displayName="Krümmungsverteilungen" ref="L17:P18" insertRow="1" totalsRowShown="0" headerRowDxfId="76">
  <autoFilter ref="L17:P18"/>
  <tableColumns count="5">
    <tableColumn id="1" name="Klasse" dataDxfId="75"/>
    <tableColumn id="2" name="Mittendurchmesser_x000a_Klassen" dataDxfId="74"/>
    <tableColumn id="3" name="Abholzigkeit_x000a_Klasse" dataDxfId="73"/>
    <tableColumn id="4" name="Anteil (%)" dataDxfId="72"/>
    <tableColumn id="5" name="Anteil (Absolute)" dataDxfId="71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id="7" name="Durchmesserverteilungen" displayName="Durchmesserverteilungen" ref="B17:D18" totalsRowShown="0" headerRowDxfId="70" headerRowBorderDxfId="69" tableBorderDxfId="68">
  <autoFilter ref="B17:D18"/>
  <tableColumns count="3">
    <tableColumn id="1" name="Klasse"/>
    <tableColumn id="2" name="Anteil (%)"/>
    <tableColumn id="3" name="Anteil (Absolute)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id="11" name="Ovalität" displayName="Ovalität" ref="R4:T5" insertRow="1" totalsRowShown="0" headerRowDxfId="67" dataDxfId="66">
  <autoFilter ref="R4:T5"/>
  <tableColumns count="3">
    <tableColumn id="1" name="Klasse" dataDxfId="65"/>
    <tableColumn id="2" name="von" dataDxfId="64"/>
    <tableColumn id="3" name="bis" dataDxfId="63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id="12" name="Ovalitätsverteilungen" displayName="Ovalitätsverteilungen" ref="R17:W18" insertRow="1" totalsRowShown="0" headerRowDxfId="62">
  <autoFilter ref="R17:W18"/>
  <tableColumns count="6">
    <tableColumn id="1" name="Klasse" dataDxfId="61"/>
    <tableColumn id="2" name="Mittendurchmesser_x000a_Klassen" dataDxfId="60"/>
    <tableColumn id="3" name="Abholzigkeit_x000a_Klasse" dataDxfId="59"/>
    <tableColumn id="6" name="Krümmung_x000a_Klasse" dataDxfId="58"/>
    <tableColumn id="4" name="Anteil (%)" dataDxfId="57"/>
    <tableColumn id="5" name="Anteil (Absolute)" dataDxfId="56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id="15" name="Ergebnisse" displayName="Ergebnisse" ref="B10:AB11" totalsRowShown="0" headerRowDxfId="55" dataDxfId="53" headerRowBorderDxfId="54" tableBorderDxfId="52" totalsRowBorderDxfId="51">
  <autoFilter ref="B10:AB11"/>
  <tableColumns count="27">
    <tableColumn id="1" name="Iteration ID" dataDxfId="50"/>
    <tableColumn id="2" name="Stirnfläche Vorderseite (Qm)" dataDxfId="49"/>
    <tableColumn id="3" name="Stirnfläche Hinterseite (Qm)" dataDxfId="48"/>
    <tableColumn id="4" name="Fotooptik Vorderseite (Qm)" dataDxfId="47"/>
    <tableColumn id="5" name="Fotooptik Rückseite (Qm)" dataDxfId="46"/>
    <tableColumn id="6" name="Fotooptik (Rm)" dataDxfId="45"/>
    <tableColumn id="7" name="Stützpunkte Vorderseite" dataDxfId="44"/>
    <tableColumn id="8" name="Stützpunkte Rückseite" dataDxfId="43"/>
    <tableColumn id="9" name="Polygonzug Vorderseite (Qm)" dataDxfId="42"/>
    <tableColumn id="10" name="Polygonzug Rückseite (Qm)" dataDxfId="41"/>
    <tableColumn id="11" name="Polygonzug (Rm)" dataDxfId="40"/>
    <tableColumn id="12" name="Sektionsraummaß Vorderseite (Qm)" dataDxfId="39"/>
    <tableColumn id="13" name="Sektionsraummaß Rückseite (Qm)" dataDxfId="38"/>
    <tableColumn id="14" name="Sektionsraummaß (Rm)" dataDxfId="37"/>
    <tableColumn id="15" name="Poltervolume (FmmR)" dataDxfId="36"/>
    <tableColumn id="16" name="Poltervolume (FmoR)" dataDxfId="35"/>
    <tableColumn id="17" name="Polterunterlagevolume (FmmR)" dataDxfId="34"/>
    <tableColumn id="18" name="Polterunterlagevolume (FmoR)" dataDxfId="33"/>
    <tableColumn id="19" name="Rindenanteil (%)" dataDxfId="32"/>
    <tableColumn id="20" name="Umrechnungsfaktor Sektionsraummaß (oR)" dataDxfId="31"/>
    <tableColumn id="21" name="Umrechnungsfaktor Sektionsraummaß (mR)" dataDxfId="30"/>
    <tableColumn id="22" name="Umrechnungsfaktor Polygonzug (oR)" dataDxfId="29"/>
    <tableColumn id="23" name="Umrechnungsfaktor Polygonzug (mR)" dataDxfId="28"/>
    <tableColumn id="24" name="Umrechnungsfaktor Fotooptik (oR)" dataDxfId="27"/>
    <tableColumn id="25" name="Umrechnungsfaktor Fotooptik (mR)" dataDxfId="26"/>
    <tableColumn id="26" name="Höhe" dataDxfId="25"/>
    <tableColumn id="27" name="Breite" dataDxfId="24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id="17" name="Simulationdaten" displayName="Simulationdaten" ref="B6:K7" totalsRowShown="0" dataDxfId="22" headerRowBorderDxfId="23" tableBorderDxfId="21" totalsRowBorderDxfId="20">
  <autoFilter ref="B6:K7"/>
  <tableColumns count="10">
    <tableColumn id="2" name="Polterlänge (m)" dataDxfId="19"/>
    <tableColumn id="3" name="Steigungswinkel (°)" dataDxfId="18"/>
    <tableColumn id="4" name="Seitenspiegelung (%)" dataDxfId="17"/>
    <tableColumn id="1" name="Zufallsspiegelung" dataDxfId="16"/>
    <tableColumn id="5" name="Polterunterlage" dataDxfId="15"/>
    <tableColumn id="6" name="Holzdichte (kg/m3)" dataDxfId="14"/>
    <tableColumn id="7" name="Holzfriktion" dataDxfId="13"/>
    <tableColumn id="8" name="Rindenbeschädigungen (%)" dataDxfId="12"/>
    <tableColumn id="9" name="Krümmungsvarianten (%)" dataDxfId="11"/>
    <tableColumn id="10" name="Baumart" dataDxfId="10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id="8" name="Tabelle8" displayName="Tabelle8" ref="E9:G5009" totalsRowShown="0">
  <autoFilter ref="E9:G5009"/>
  <tableColumns count="3">
    <tableColumn id="1" name="Rank"/>
    <tableColumn id="2" name="D Mitte mR" dataDxfId="9">
      <calculatedColumnFormula>INDEX(Stammdaten[D Mitte mit Rinde (mm)],MATCH(Tabelle8[[#This Row],[Rank]],Stammdaten[Rank Verteilung D Mitte mit Rinde],0))</calculatedColumnFormula>
    </tableColumn>
    <tableColumn id="3" name="Verteilung" dataDxfId="8">
      <calculatedColumnFormula>VLOOKUP(Tabelle8[[#This Row],[Rank]],Stammdaten[[Rank Verteilung D Mitte mit Rinde]:[Verteilung D Mitte mit Rinde]],2,FALSE)</calculatedColumnFormula>
    </tableColumn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id="9" name="Tabelle9" displayName="Tabelle9" ref="L9:N5009" totalsRowShown="0">
  <autoFilter ref="L9:N5009"/>
  <tableColumns count="3">
    <tableColumn id="1" name="Rank"/>
    <tableColumn id="2" name="Abholzigkeit" dataDxfId="7">
      <calculatedColumnFormula>INDEX(Stammdaten[Abholzigkeit (mm/lfm)],MATCH(Tabelle9[[#This Row],[Rank]],Stammdaten[Rank Verteilung Abholzigkeit],0))</calculatedColumnFormula>
    </tableColumn>
    <tableColumn id="3" name="Verteilung" dataDxfId="6">
      <calculatedColumnFormula>VLOOKUP(Tabelle9[[#This Row],[Rank]],Stammdaten[[Rank Verteilung Abholzigkeit]:[Verteilung Abholzigkeit]],2,FALSE)</calculatedColumnFormula>
    </tableColumn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id="10" name="Tabelle10" displayName="Tabelle10" ref="S9:U5009" totalsRowShown="0">
  <autoFilter ref="S9:U5009"/>
  <tableColumns count="3">
    <tableColumn id="1" name="Rank"/>
    <tableColumn id="2" name="Krümmung" dataDxfId="5">
      <calculatedColumnFormula>INDEX(Stammdaten[Krümmung (mm/lfm)],MATCH(Tabelle10[[#This Row],[Rank]],Stammdaten[Rank Verteilung Krümmung],0))</calculatedColumnFormula>
    </tableColumn>
    <tableColumn id="3" name="Verteilung" dataDxfId="4">
      <calculatedColumnFormula>VLOOKUP(Tabelle10[[#This Row],[Rank]],Stammdaten[[Rank Verteilung Krümmung]:[Verteilung Krümmung]],2,FALSE)</calculatedColumnFormula>
    </tableColumn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id="13" name="Tabelle1014" displayName="Tabelle1014" ref="Z9:AB5009" totalsRowShown="0">
  <autoFilter ref="Z9:AB5009"/>
  <tableColumns count="3">
    <tableColumn id="1" name="Rank"/>
    <tableColumn id="2" name="Ovalität" dataDxfId="3">
      <calculatedColumnFormula>INDEX(Stammdaten[Ovalität (']0,1'])],MATCH(Tabelle1014[[#This Row],[Rank]],Stammdaten[Rank Verteilung Ovalität],0))</calculatedColumnFormula>
    </tableColumn>
    <tableColumn id="3" name="Verteilung" dataDxfId="2">
      <calculatedColumnFormula>VLOOKUP(Tabelle1014[[#This Row],[Rank]],Stammdaten[[Rank Verteilung Ovalität]:[Verteilung Ovalität]],2,FALSE)</calculatedColumnFormula>
    </tableColumn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id="16" name="Dimensionssortierung" displayName="Dimensionssortierung" ref="B9:C21" totalsRowShown="0" headerRowDxfId="1">
  <autoFilter ref="B9:C21"/>
  <tableColumns count="2">
    <tableColumn id="1" name="Zeilenbeschriftungen"/>
    <tableColumn id="2" name="Stammanzahl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2.xml"/><Relationship Id="rId5" Type="http://schemas.openxmlformats.org/officeDocument/2006/relationships/printerSettings" Target="../printerSettings/printerSettings5.bin"/><Relationship Id="rId10" Type="http://schemas.openxmlformats.org/officeDocument/2006/relationships/table" Target="../tables/table16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7"/>
  <sheetViews>
    <sheetView showGridLines="0" tabSelected="1" workbookViewId="0">
      <selection activeCell="B6" sqref="B6"/>
    </sheetView>
  </sheetViews>
  <sheetFormatPr baseColWidth="10" defaultRowHeight="25" customHeight="1" x14ac:dyDescent="0.35"/>
  <cols>
    <col min="2" max="2" width="14" style="17" customWidth="1"/>
    <col min="3" max="3" width="10.90625" style="13"/>
    <col min="4" max="4" width="16.90625" style="13" customWidth="1"/>
    <col min="5" max="5" width="17.6328125" style="13" customWidth="1"/>
    <col min="6" max="6" width="16.81640625" style="13" customWidth="1"/>
    <col min="7" max="7" width="18.36328125" style="19" customWidth="1"/>
    <col min="8" max="8" width="19.08984375" style="19" customWidth="1"/>
    <col min="9" max="9" width="18.26953125" style="19" customWidth="1"/>
    <col min="10" max="10" width="13.08984375" style="19" customWidth="1"/>
    <col min="11" max="12" width="12.08984375" style="13" customWidth="1"/>
    <col min="13" max="13" width="13.54296875" style="13" customWidth="1"/>
    <col min="14" max="21" width="10.90625" hidden="1" customWidth="1"/>
    <col min="22" max="22" width="10.90625" customWidth="1"/>
  </cols>
  <sheetData>
    <row r="1" spans="2:22" ht="14.5" x14ac:dyDescent="0.35">
      <c r="B1"/>
      <c r="C1"/>
      <c r="D1"/>
      <c r="E1"/>
      <c r="F1"/>
      <c r="G1"/>
      <c r="H1"/>
      <c r="I1"/>
      <c r="J1"/>
      <c r="K1"/>
      <c r="L1"/>
      <c r="M1"/>
    </row>
    <row r="2" spans="2:22" ht="14.5" x14ac:dyDescent="0.35">
      <c r="B2"/>
      <c r="C2"/>
      <c r="D2"/>
      <c r="E2"/>
      <c r="F2"/>
      <c r="G2"/>
      <c r="H2"/>
      <c r="I2"/>
      <c r="J2"/>
      <c r="K2"/>
      <c r="L2"/>
      <c r="M2"/>
    </row>
    <row r="3" spans="2:22" ht="66.5" customHeight="1" x14ac:dyDescent="0.35">
      <c r="B3"/>
      <c r="C3"/>
      <c r="D3"/>
      <c r="E3"/>
      <c r="F3" s="41" t="s">
        <v>3</v>
      </c>
      <c r="G3"/>
      <c r="H3"/>
      <c r="I3"/>
      <c r="J3"/>
      <c r="K3"/>
      <c r="L3"/>
      <c r="M3"/>
    </row>
    <row r="4" spans="2:22" ht="15" thickBot="1" x14ac:dyDescent="0.4">
      <c r="B4"/>
      <c r="C4"/>
      <c r="D4"/>
      <c r="E4"/>
      <c r="F4"/>
      <c r="G4"/>
      <c r="H4"/>
      <c r="I4"/>
      <c r="J4"/>
      <c r="K4"/>
      <c r="L4"/>
      <c r="M4"/>
    </row>
    <row r="5" spans="2:22" ht="154" customHeight="1" thickBot="1" x14ac:dyDescent="0.4">
      <c r="B5" s="7" t="s">
        <v>4</v>
      </c>
      <c r="C5" s="8" t="s">
        <v>49</v>
      </c>
      <c r="D5" s="9" t="s">
        <v>50</v>
      </c>
      <c r="E5" s="8" t="s">
        <v>51</v>
      </c>
      <c r="F5" s="8" t="s">
        <v>52</v>
      </c>
      <c r="G5" s="10" t="s">
        <v>53</v>
      </c>
      <c r="H5" s="10" t="s">
        <v>54</v>
      </c>
      <c r="I5" s="10" t="s">
        <v>55</v>
      </c>
      <c r="J5" s="10" t="s">
        <v>56</v>
      </c>
      <c r="K5" s="8" t="s">
        <v>57</v>
      </c>
      <c r="L5" s="8" t="s">
        <v>63</v>
      </c>
      <c r="M5" s="11" t="s">
        <v>58</v>
      </c>
      <c r="N5" s="29" t="s">
        <v>30</v>
      </c>
      <c r="O5" s="29" t="s">
        <v>18</v>
      </c>
      <c r="P5" s="29" t="s">
        <v>29</v>
      </c>
      <c r="Q5" s="29" t="s">
        <v>19</v>
      </c>
      <c r="R5" s="29" t="s">
        <v>28</v>
      </c>
      <c r="S5" s="29" t="s">
        <v>20</v>
      </c>
      <c r="T5" s="29" t="s">
        <v>39</v>
      </c>
      <c r="U5" s="29" t="s">
        <v>40</v>
      </c>
      <c r="V5" s="62" t="s">
        <v>111</v>
      </c>
    </row>
    <row r="6" spans="2:22" ht="25" customHeight="1" x14ac:dyDescent="0.35">
      <c r="B6" s="12"/>
      <c r="C6" s="36"/>
      <c r="D6" s="6">
        <v>0</v>
      </c>
      <c r="E6" s="6">
        <v>0</v>
      </c>
      <c r="F6" s="20">
        <v>0</v>
      </c>
      <c r="G6" s="23">
        <f>IF(OR(ISBLANK(Stammdaten[D Stirn mit Rinde (mm)]),ISBLANK(Stammdaten[Rindenstärke (mm)])),0,Stammdaten[D Stirn mit Rinde (mm)]-2*Stammdaten[Rindenstärke (mm)])</f>
        <v>0</v>
      </c>
      <c r="H6" s="22">
        <f>IF(OR(ISBLANK(Stammdaten[D Mitte mit Rinde (mm)]),ISBLANK(Stammdaten[Rindenstärke (mm)])),0,Stammdaten[D Mitte mit Rinde (mm)]-2*Stammdaten[Rindenstärke (mm)])</f>
        <v>0</v>
      </c>
      <c r="I6" s="22">
        <f>IF(OR(ISBLANK(Stammdaten[D Zopf mit Rinde (mm)]),ISBLANK(Stammdaten[Rindenstärke (mm)])),0,Stammdaten[D Zopf mit Rinde (mm)]-2*Stammdaten[Rindenstärke (mm)])</f>
        <v>0</v>
      </c>
      <c r="J6" s="24">
        <f>IF(OR(ISBLANK(Stammdaten[D Stirn mit Rinde (mm)]),ISBLANK(Stammdaten[D Zopf mit Rinde (mm)])),0,IFERROR((Stammdaten[D Stirn mit Rinde (mm)]-Stammdaten[D Zopf mit Rinde (mm)])/Stammdaten[Länge (m)],0))</f>
        <v>0</v>
      </c>
      <c r="K6" s="21">
        <v>0</v>
      </c>
      <c r="L6" s="49">
        <v>1</v>
      </c>
      <c r="M6" s="6"/>
      <c r="N6" s="37" t="e">
        <f>_xlfn.RANK.EQ(Stammdaten[Verteilung D Mitte mit Rinde],Stammdaten[Verteilung D Mitte mit Rinde],1)</f>
        <v>#DIV/0!</v>
      </c>
      <c r="O6" s="31" t="e">
        <f>_xlfn.NORM.DIST(Stammdaten[[#This Row],[D Mitte mit Rinde (mm)]],D_Mitte_mR_Mittelwert,D_Mitte_mR_Standardabweichung,FALSE)</f>
        <v>#DIV/0!</v>
      </c>
      <c r="P6" s="38" t="e">
        <f>_xlfn.RANK.EQ(Stammdaten[Verteilung Abholzigkeit],Stammdaten[Verteilung Abholzigkeit],1)</f>
        <v>#DIV/0!</v>
      </c>
      <c r="Q6" s="32" t="e">
        <f>_xlfn.NORM.DIST(Stammdaten[[#This Row],[Abholzigkeit (mm/lfm)]],Abholzigkeit_Mittelwert,Abholzigkeit_Standardabweichung,FALSE)</f>
        <v>#DIV/0!</v>
      </c>
      <c r="R6" s="38" t="e">
        <f>_xlfn.RANK.EQ(Stammdaten[Verteilung Krümmung],Stammdaten[Verteilung Krümmung],1)</f>
        <v>#DIV/0!</v>
      </c>
      <c r="S6" s="32" t="e">
        <f>_xlfn.NORM.DIST(Stammdaten[[#This Row],[Krümmung (mm/lfm)]],Krümmung_Mittelwert,Krümmung_Standardabweichung,FALSE)</f>
        <v>#DIV/0!</v>
      </c>
      <c r="T6" s="38" t="e">
        <f>_xlfn.RANK.EQ(Stammdaten[Verteilung Ovalität],Stammdaten[Verteilung Ovalität],1)</f>
        <v>#DIV/0!</v>
      </c>
      <c r="U6" s="32" t="e">
        <f>_xlfn.NORM.DIST(Stammdaten[[#This Row],[Ovalität (']0,1'])]],Ovalität_Mittelwert,Ovalität_Standardabweichung,FALSE)</f>
        <v>#DIV/0!</v>
      </c>
      <c r="V6" s="21"/>
    </row>
    <row r="7" spans="2:22" ht="25" customHeight="1" x14ac:dyDescent="0.35">
      <c r="B7" s="14"/>
      <c r="C7" s="15"/>
      <c r="D7" s="16"/>
      <c r="E7" s="16"/>
      <c r="F7" s="16"/>
      <c r="G7" s="18"/>
      <c r="H7" s="40"/>
      <c r="I7" s="18"/>
      <c r="J7" s="18"/>
      <c r="K7" s="16"/>
      <c r="L7" s="16"/>
      <c r="M7" s="16"/>
    </row>
  </sheetData>
  <sheetProtection formatCells="0" insertRows="0" selectLockedCells="1" sort="0" autoFilter="0"/>
  <conditionalFormatting sqref="B6:I6">
    <cfRule type="cellIs" dxfId="124" priority="5" operator="lessThanOrEqual">
      <formula>0</formula>
    </cfRule>
  </conditionalFormatting>
  <conditionalFormatting sqref="B6:F6 M6">
    <cfRule type="containsBlanks" dxfId="123" priority="4">
      <formula>LEN(TRIM(B6))=0</formula>
    </cfRule>
  </conditionalFormatting>
  <conditionalFormatting sqref="V6">
    <cfRule type="cellIs" dxfId="122" priority="2" operator="lessThan">
      <formula>0</formula>
    </cfRule>
    <cfRule type="expression" dxfId="121" priority="1">
      <formula>$V$6 &gt; $C$6 *100</formula>
    </cfRule>
  </conditionalFormatting>
  <dataValidations count="11">
    <dataValidation type="custom" allowBlank="1" showErrorMessage="1" errorTitle="Gesperrte Zelle" error="Die Zelle kann nicht bearbeitet werden" sqref="G6:J1048576">
      <formula1>"isdhiofnsiovnidviosdnvosvnd"</formula1>
    </dataValidation>
    <dataValidation type="textLength" showErrorMessage="1" errorTitle="Kopfzeile" error="Der Wert der Zelle kann nicht geändert werden" sqref="N5:S5">
      <formula1>2000</formula1>
      <formula2>2001</formula2>
    </dataValidation>
    <dataValidation type="custom" allowBlank="1" showInputMessage="1" showErrorMessage="1" errorTitle="Gesperrte Zelle" error="Die Zelle kann nicht bearbeitet werden" sqref="N6:S1048576 T7:U1048576">
      <formula1>"bsbfsdibvsivisbvobvisbvbs"</formula1>
    </dataValidation>
    <dataValidation type="custom" allowBlank="1" showInputMessage="1" showErrorMessage="1" errorTitle="Kopfzeile" error="Der Wert der Zelle kann nicht geändert werden" sqref="T5:U5">
      <formula1>"fhsidhoifhaohfanvlnvlkdsnlvdls"</formula1>
    </dataValidation>
    <dataValidation type="custom" allowBlank="1" showInputMessage="1" showErrorMessage="1" errorTitle="Gesperrte Zelle" error="Die Zelle kann nicht bearbeitet werden" sqref="T6:U6">
      <formula1>"bsbfsdibvsivisbvobvisbvbs"</formula1>
    </dataValidation>
    <dataValidation type="textLength" showErrorMessage="1" errorTitle="Kopfzeile" error="Der Wert der Zelle kann nicht geändert werden" sqref="B5">
      <formula1>20000</formula1>
      <formula2>20001</formula2>
    </dataValidation>
    <dataValidation type="textLength" showInputMessage="1" showErrorMessage="1" errorTitle="Kopfzeile" error="Der Wert der Zelle kann nicht geändert werden" promptTitle="Einheit" prompt="Millimeter" sqref="M5">
      <formula1>20000</formula1>
      <formula2>20001</formula2>
    </dataValidation>
    <dataValidation type="textLength" showInputMessage="1" showErrorMessage="1" errorTitle="Kopfzeile" error="Der Wert der Zelle kann nicht geändert werden" promptTitle="Einheit" prompt="Millimeter per Laufender Meter" sqref="J5:K5">
      <formula1>20000</formula1>
      <formula2>20001</formula2>
    </dataValidation>
    <dataValidation type="textLength" showInputMessage="1" showErrorMessage="1" errorTitle="Kopfzeile" error="Der Wert der Zelle kann nicht geändert werden" promptTitle="Einheit" prompt="Meter" sqref="C5">
      <formula1>20000</formula1>
      <formula2>20001</formula2>
    </dataValidation>
    <dataValidation type="textLength" showInputMessage="1" showErrorMessage="1" errorTitle="Kopfzeile" error="Der Wert der Zelle kann nicht geändert werden" promptTitle="Einheit" prompt="Millimeter" sqref="D5:I5">
      <formula1>20000</formula1>
      <formula2>20001</formula2>
    </dataValidation>
    <dataValidation type="textLength" showInputMessage="1" showErrorMessage="1" errorTitle="Kopfzeile" error="Der Wert der Zelle kann nicht geändert werden" promptTitle="Werte" prompt="&gt;0 und &lt;=1" sqref="L5">
      <formula1>20000</formula1>
      <formula2>20001</formula2>
    </dataValidation>
  </dataValidations>
  <pageMargins left="0.7" right="0.7" top="0.78740157499999996" bottom="0.78740157499999996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73"/>
  <sheetViews>
    <sheetView showGridLines="0" showRowColHeaders="0" zoomScale="60" zoomScaleNormal="60" workbookViewId="0"/>
  </sheetViews>
  <sheetFormatPr baseColWidth="10" defaultRowHeight="14.5" x14ac:dyDescent="0.35"/>
  <cols>
    <col min="11" max="11" width="5.1796875" customWidth="1"/>
  </cols>
  <sheetData>
    <row r="3" spans="3:9" x14ac:dyDescent="0.35">
      <c r="I3" s="35" t="s">
        <v>27</v>
      </c>
    </row>
    <row r="4" spans="3:9" ht="26" x14ac:dyDescent="0.6">
      <c r="C4" s="34" t="s">
        <v>77</v>
      </c>
    </row>
    <row r="27" spans="3:3" ht="26" x14ac:dyDescent="0.6">
      <c r="C27" s="34" t="s">
        <v>0</v>
      </c>
    </row>
    <row r="50" spans="3:3" ht="26" x14ac:dyDescent="0.6">
      <c r="C50" s="34" t="s">
        <v>1</v>
      </c>
    </row>
    <row r="73" spans="3:3" ht="26" x14ac:dyDescent="0.6">
      <c r="C73" s="34" t="s">
        <v>34</v>
      </c>
    </row>
  </sheetData>
  <pageMargins left="0.7" right="0.7" top="0.78740157499999996" bottom="0.78740157499999996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1"/>
  <sheetViews>
    <sheetView showGridLines="0" topLeftCell="A3" zoomScale="80" zoomScaleNormal="80" workbookViewId="0">
      <selection activeCell="B4" sqref="B4"/>
    </sheetView>
  </sheetViews>
  <sheetFormatPr baseColWidth="10" defaultRowHeight="25" customHeight="1" x14ac:dyDescent="0.35"/>
  <cols>
    <col min="2" max="5" width="10.6328125" customWidth="1"/>
    <col min="6" max="6" width="6" customWidth="1"/>
    <col min="7" max="10" width="10.6328125" customWidth="1"/>
    <col min="11" max="11" width="5.1796875" customWidth="1"/>
    <col min="12" max="16" width="10.6328125" customWidth="1"/>
  </cols>
  <sheetData>
    <row r="1" spans="2:20" ht="14.5" x14ac:dyDescent="0.35"/>
    <row r="2" spans="2:20" ht="14.5" x14ac:dyDescent="0.35"/>
    <row r="3" spans="2:20" ht="21" x14ac:dyDescent="0.5">
      <c r="B3" s="28" t="s">
        <v>17</v>
      </c>
      <c r="G3" s="28" t="s">
        <v>9</v>
      </c>
      <c r="L3" s="28" t="s">
        <v>8</v>
      </c>
      <c r="R3" s="28" t="s">
        <v>35</v>
      </c>
    </row>
    <row r="4" spans="2:20" ht="124.5" customHeight="1" x14ac:dyDescent="0.35">
      <c r="B4" s="25" t="s">
        <v>5</v>
      </c>
      <c r="C4" s="25" t="s">
        <v>100</v>
      </c>
      <c r="D4" s="25" t="s">
        <v>6</v>
      </c>
      <c r="E4" s="25" t="s">
        <v>2</v>
      </c>
      <c r="F4" s="5"/>
      <c r="G4" s="25" t="s">
        <v>5</v>
      </c>
      <c r="H4" s="25" t="s">
        <v>101</v>
      </c>
      <c r="I4" s="25" t="s">
        <v>7</v>
      </c>
      <c r="L4" s="25" t="s">
        <v>5</v>
      </c>
      <c r="M4" s="25" t="s">
        <v>101</v>
      </c>
      <c r="N4" s="25" t="s">
        <v>7</v>
      </c>
      <c r="R4" s="25" t="s">
        <v>5</v>
      </c>
      <c r="S4" s="39" t="s">
        <v>102</v>
      </c>
      <c r="T4" s="39" t="s">
        <v>36</v>
      </c>
    </row>
    <row r="5" spans="2:20" ht="25" customHeight="1" x14ac:dyDescent="0.35">
      <c r="B5" s="2"/>
      <c r="C5" s="2"/>
      <c r="D5" s="2"/>
      <c r="E5" s="2"/>
      <c r="F5" s="1"/>
      <c r="G5" s="2"/>
      <c r="H5" s="2"/>
      <c r="I5" s="2"/>
      <c r="L5" s="2"/>
      <c r="M5" s="2"/>
      <c r="N5" s="2"/>
      <c r="R5" s="2"/>
      <c r="S5" s="33"/>
      <c r="T5" s="33"/>
    </row>
    <row r="16" spans="2:20" ht="21" x14ac:dyDescent="0.5">
      <c r="B16" s="28" t="s">
        <v>16</v>
      </c>
      <c r="G16" s="28" t="s">
        <v>11</v>
      </c>
      <c r="L16" s="28" t="s">
        <v>12</v>
      </c>
      <c r="R16" s="28" t="s">
        <v>37</v>
      </c>
    </row>
    <row r="17" spans="2:23" ht="166" customHeight="1" thickBot="1" x14ac:dyDescent="0.4">
      <c r="B17" s="26" t="s">
        <v>5</v>
      </c>
      <c r="C17" s="26" t="s">
        <v>10</v>
      </c>
      <c r="D17" s="26" t="s">
        <v>15</v>
      </c>
      <c r="E17" s="3"/>
      <c r="G17" s="25" t="s">
        <v>5</v>
      </c>
      <c r="H17" s="27" t="s">
        <v>13</v>
      </c>
      <c r="I17" s="25" t="s">
        <v>10</v>
      </c>
      <c r="J17" s="25" t="s">
        <v>15</v>
      </c>
      <c r="L17" s="25" t="s">
        <v>5</v>
      </c>
      <c r="M17" s="27" t="s">
        <v>13</v>
      </c>
      <c r="N17" s="27" t="s">
        <v>14</v>
      </c>
      <c r="O17" s="25" t="s">
        <v>10</v>
      </c>
      <c r="P17" s="25" t="s">
        <v>15</v>
      </c>
      <c r="R17" s="25" t="s">
        <v>5</v>
      </c>
      <c r="S17" s="27" t="s">
        <v>13</v>
      </c>
      <c r="T17" s="27" t="s">
        <v>14</v>
      </c>
      <c r="U17" s="27" t="s">
        <v>38</v>
      </c>
      <c r="V17" s="25" t="s">
        <v>10</v>
      </c>
      <c r="W17" s="25" t="s">
        <v>15</v>
      </c>
    </row>
    <row r="18" spans="2:23" ht="25" customHeight="1" x14ac:dyDescent="0.35">
      <c r="E18" s="1"/>
      <c r="G18" s="2"/>
      <c r="H18" s="2"/>
      <c r="I18" s="1"/>
      <c r="J18" s="2"/>
      <c r="L18" s="2"/>
      <c r="M18" s="2"/>
      <c r="N18" s="2"/>
      <c r="O18" s="1"/>
      <c r="P18" s="2"/>
      <c r="R18" s="2"/>
      <c r="S18" s="2"/>
      <c r="T18" s="2"/>
      <c r="U18" s="2"/>
      <c r="V18" s="1"/>
      <c r="W18" s="2"/>
    </row>
    <row r="30" spans="2:23" ht="25" customHeight="1" x14ac:dyDescent="0.35">
      <c r="E30" s="4"/>
    </row>
    <row r="31" spans="2:23" ht="25" customHeight="1" x14ac:dyDescent="0.35">
      <c r="E31" s="1"/>
    </row>
  </sheetData>
  <pageMargins left="0.7" right="0.7" top="0.78740157499999996" bottom="0.78740157499999996" header="0.3" footer="0.3"/>
  <pageSetup orientation="portrait" horizontalDpi="4294967293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B11"/>
  <sheetViews>
    <sheetView showGridLines="0" workbookViewId="0">
      <selection activeCell="B6" sqref="B6"/>
    </sheetView>
  </sheetViews>
  <sheetFormatPr baseColWidth="10" defaultRowHeight="14.5" x14ac:dyDescent="0.35"/>
  <cols>
    <col min="2" max="2" width="18.1796875" customWidth="1"/>
    <col min="3" max="11" width="13.1796875" customWidth="1"/>
  </cols>
  <sheetData>
    <row r="5" spans="2:28" ht="15" thickBot="1" x14ac:dyDescent="0.4"/>
    <row r="6" spans="2:28" ht="164.5" thickBot="1" x14ac:dyDescent="0.4">
      <c r="B6" s="26" t="s">
        <v>43</v>
      </c>
      <c r="C6" s="43" t="s">
        <v>44</v>
      </c>
      <c r="D6" s="26" t="s">
        <v>45</v>
      </c>
      <c r="E6" s="26" t="s">
        <v>90</v>
      </c>
      <c r="F6" s="54" t="s">
        <v>64</v>
      </c>
      <c r="G6" s="55" t="s">
        <v>91</v>
      </c>
      <c r="H6" s="56" t="s">
        <v>92</v>
      </c>
      <c r="I6" s="56" t="s">
        <v>108</v>
      </c>
      <c r="J6" s="56" t="s">
        <v>109</v>
      </c>
      <c r="K6" s="55" t="s">
        <v>110</v>
      </c>
      <c r="L6" s="61"/>
      <c r="M6" s="61"/>
      <c r="N6" s="61"/>
      <c r="O6" s="61"/>
      <c r="P6" s="61"/>
      <c r="Q6" s="61"/>
    </row>
    <row r="7" spans="2:28" ht="26.5" customHeight="1" x14ac:dyDescent="0.35">
      <c r="B7" s="45">
        <v>0</v>
      </c>
      <c r="C7" s="45">
        <v>0</v>
      </c>
      <c r="D7" s="45">
        <v>0</v>
      </c>
      <c r="E7" s="59" t="b">
        <v>0</v>
      </c>
      <c r="F7" s="60" t="b">
        <v>0</v>
      </c>
      <c r="G7" s="60">
        <v>0</v>
      </c>
      <c r="H7" s="60">
        <v>0</v>
      </c>
      <c r="I7" s="60">
        <v>0</v>
      </c>
      <c r="J7" s="60">
        <v>0</v>
      </c>
      <c r="K7" s="60"/>
    </row>
    <row r="10" spans="2:28" ht="266.5" thickBot="1" x14ac:dyDescent="0.4">
      <c r="B10" s="42" t="s">
        <v>107</v>
      </c>
      <c r="C10" s="26" t="s">
        <v>65</v>
      </c>
      <c r="D10" s="43" t="s">
        <v>66</v>
      </c>
      <c r="E10" s="26" t="s">
        <v>93</v>
      </c>
      <c r="F10" s="46" t="s">
        <v>103</v>
      </c>
      <c r="G10" s="46" t="s">
        <v>94</v>
      </c>
      <c r="H10" s="46" t="s">
        <v>95</v>
      </c>
      <c r="I10" s="46" t="s">
        <v>104</v>
      </c>
      <c r="J10" s="46" t="s">
        <v>67</v>
      </c>
      <c r="K10" s="46" t="s">
        <v>105</v>
      </c>
      <c r="L10" s="46" t="s">
        <v>68</v>
      </c>
      <c r="M10" s="46" t="s">
        <v>69</v>
      </c>
      <c r="N10" s="46" t="s">
        <v>106</v>
      </c>
      <c r="O10" s="46" t="s">
        <v>70</v>
      </c>
      <c r="P10" s="46" t="s">
        <v>46</v>
      </c>
      <c r="Q10" s="46" t="s">
        <v>47</v>
      </c>
      <c r="R10" s="46" t="s">
        <v>75</v>
      </c>
      <c r="S10" s="46" t="s">
        <v>76</v>
      </c>
      <c r="T10" s="46" t="s">
        <v>48</v>
      </c>
      <c r="U10" s="26" t="s">
        <v>71</v>
      </c>
      <c r="V10" s="58" t="s">
        <v>72</v>
      </c>
      <c r="W10" s="58" t="s">
        <v>73</v>
      </c>
      <c r="X10" s="58" t="s">
        <v>74</v>
      </c>
      <c r="Y10" s="58" t="s">
        <v>96</v>
      </c>
      <c r="Z10" s="58" t="s">
        <v>97</v>
      </c>
      <c r="AA10" s="58" t="s">
        <v>98</v>
      </c>
      <c r="AB10" s="58" t="s">
        <v>99</v>
      </c>
    </row>
    <row r="11" spans="2:28" ht="18.5" x14ac:dyDescent="0.35">
      <c r="B11" s="44"/>
      <c r="C11" s="47">
        <v>0</v>
      </c>
      <c r="D11" s="47">
        <v>0</v>
      </c>
      <c r="E11" s="47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7"/>
      <c r="W11" s="57"/>
      <c r="X11" s="57"/>
      <c r="Y11" s="57"/>
      <c r="Z11" s="57"/>
      <c r="AA11" s="57"/>
      <c r="AB11" s="57"/>
    </row>
  </sheetData>
  <dataValidations count="2">
    <dataValidation type="custom" errorStyle="warning" allowBlank="1" showInputMessage="1" showErrorMessage="1" errorTitle="Kopfzeile" error="Der Wert der Zelle kann nicht geändert werden" sqref="B10:K10 F6 B6:D6">
      <formula1>"fhsidhoifhaohfanvlnvlkdsnlvdls"</formula1>
    </dataValidation>
    <dataValidation type="custom" allowBlank="1" showErrorMessage="1" errorTitle="Gesperrte Zelle" error="Die Zelle kann nicht bearbeitet werden" sqref="F7">
      <formula1>"isdhiofnsiovnidviosdnvosvnd"</formula1>
    </dataValidation>
  </dataValidations>
  <pageMargins left="0.7" right="0.7" top="0.78740157499999996" bottom="0.78740157499999996" header="0.3" footer="0.3"/>
  <pageSetup orientation="portrait" horizontalDpi="4294967293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B5009"/>
  <sheetViews>
    <sheetView topLeftCell="A7" workbookViewId="0">
      <selection activeCell="C21" sqref="C21"/>
    </sheetView>
  </sheetViews>
  <sheetFormatPr baseColWidth="10" defaultRowHeight="14.5" x14ac:dyDescent="0.35"/>
  <cols>
    <col min="2" max="2" width="20.7265625" customWidth="1"/>
    <col min="3" max="3" width="12.1796875" customWidth="1"/>
    <col min="6" max="6" width="12.36328125" customWidth="1"/>
    <col min="7" max="7" width="11.453125" customWidth="1"/>
    <col min="9" max="9" width="20.7265625" customWidth="1"/>
    <col min="10" max="10" width="12.1796875" customWidth="1"/>
    <col min="13" max="13" width="13.08984375" customWidth="1"/>
    <col min="14" max="14" width="11.453125" customWidth="1"/>
    <col min="16" max="16" width="20.7265625" customWidth="1"/>
    <col min="17" max="17" width="12.1796875" customWidth="1"/>
    <col min="20" max="20" width="12.08984375" customWidth="1"/>
    <col min="21" max="21" width="11.453125" customWidth="1"/>
    <col min="23" max="23" width="20.7265625" customWidth="1"/>
    <col min="24" max="24" width="12.1796875" customWidth="1"/>
  </cols>
  <sheetData>
    <row r="4" spans="2:28" x14ac:dyDescent="0.35">
      <c r="B4" s="30" t="s">
        <v>21</v>
      </c>
      <c r="D4">
        <f>AVERAGE(Stammdaten[D Mitte mit Rinde (mm)])</f>
        <v>0</v>
      </c>
      <c r="I4" s="30" t="s">
        <v>23</v>
      </c>
      <c r="K4">
        <f>AVERAGE(Stammdaten[Abholzigkeit (mm/lfm)])</f>
        <v>0</v>
      </c>
      <c r="P4" s="30" t="s">
        <v>25</v>
      </c>
      <c r="R4">
        <f>AVERAGE(Stammdaten[Krümmung (mm/lfm)])</f>
        <v>0</v>
      </c>
      <c r="W4" s="30" t="s">
        <v>41</v>
      </c>
      <c r="Y4">
        <f>AVERAGE(Stammdaten[Ovalität (']0,1'])])</f>
        <v>1</v>
      </c>
    </row>
    <row r="5" spans="2:28" x14ac:dyDescent="0.35">
      <c r="B5" s="30" t="s">
        <v>22</v>
      </c>
      <c r="D5" t="e">
        <f>_xlfn.STDEV.S(Stammdaten[D Mitte mit Rinde (mm)])</f>
        <v>#DIV/0!</v>
      </c>
      <c r="I5" s="30" t="s">
        <v>24</v>
      </c>
      <c r="K5" t="e">
        <f>_xlfn.STDEV.S(Stammdaten[Abholzigkeit (mm/lfm)])</f>
        <v>#DIV/0!</v>
      </c>
      <c r="P5" s="30" t="s">
        <v>26</v>
      </c>
      <c r="R5" t="e">
        <f>_xlfn.STDEV.S(Stammdaten[Krümmung (mm/lfm)])</f>
        <v>#DIV/0!</v>
      </c>
      <c r="W5" s="30" t="s">
        <v>42</v>
      </c>
      <c r="Y5" t="e">
        <f>_xlfn.STDEV.S(Stammdaten[Ovalität (']0,1'])])</f>
        <v>#DIV/0!</v>
      </c>
    </row>
    <row r="9" spans="2:28" x14ac:dyDescent="0.35">
      <c r="B9" s="30" t="s">
        <v>59</v>
      </c>
      <c r="C9" s="30" t="s">
        <v>61</v>
      </c>
      <c r="E9" t="s">
        <v>31</v>
      </c>
      <c r="F9" t="s">
        <v>32</v>
      </c>
      <c r="G9" t="s">
        <v>33</v>
      </c>
      <c r="I9" s="50" t="s">
        <v>59</v>
      </c>
      <c r="J9" t="s">
        <v>61</v>
      </c>
      <c r="L9" t="s">
        <v>31</v>
      </c>
      <c r="M9" t="s">
        <v>0</v>
      </c>
      <c r="N9" t="s">
        <v>33</v>
      </c>
      <c r="P9" s="50" t="s">
        <v>59</v>
      </c>
      <c r="Q9" t="s">
        <v>61</v>
      </c>
      <c r="S9" t="s">
        <v>31</v>
      </c>
      <c r="T9" t="s">
        <v>1</v>
      </c>
      <c r="U9" t="s">
        <v>33</v>
      </c>
      <c r="W9" s="50" t="s">
        <v>59</v>
      </c>
      <c r="X9" t="s">
        <v>61</v>
      </c>
      <c r="Z9" t="s">
        <v>31</v>
      </c>
      <c r="AA9" t="s">
        <v>34</v>
      </c>
      <c r="AB9" t="s">
        <v>33</v>
      </c>
    </row>
    <row r="10" spans="2:28" x14ac:dyDescent="0.35">
      <c r="B10" t="s">
        <v>78</v>
      </c>
      <c r="C10" s="2">
        <f>COUNTIFS(Stammdaten[D Mitte mit Rinde (mm)],"&gt;=0",Stammdaten[D Mitte mit Rinde (mm)],"&lt;100")</f>
        <v>1</v>
      </c>
      <c r="E10">
        <v>1</v>
      </c>
      <c r="F10" t="e">
        <f>INDEX(Stammdaten[D Mitte mit Rinde (mm)],MATCH(Tabelle8[[#This Row],[Rank]],Stammdaten[Rank Verteilung D Mitte mit Rinde],0))</f>
        <v>#N/A</v>
      </c>
      <c r="G10" t="e">
        <f>VLOOKUP(Tabelle8[[#This Row],[Rank]],Stammdaten[[Rank Verteilung D Mitte mit Rinde]:[Verteilung D Mitte mit Rinde]],2,FALSE)</f>
        <v>#N/A</v>
      </c>
      <c r="I10" s="51" t="s">
        <v>62</v>
      </c>
      <c r="J10" s="33">
        <v>1</v>
      </c>
      <c r="L10">
        <v>1</v>
      </c>
      <c r="M10" t="e">
        <f>INDEX(Stammdaten[Abholzigkeit (mm/lfm)],MATCH(Tabelle9[[#This Row],[Rank]],Stammdaten[Rank Verteilung Abholzigkeit],0))</f>
        <v>#N/A</v>
      </c>
      <c r="N10" t="e">
        <f>VLOOKUP(Tabelle9[[#This Row],[Rank]],Stammdaten[[Rank Verteilung Abholzigkeit]:[Verteilung Abholzigkeit]],2,FALSE)</f>
        <v>#N/A</v>
      </c>
      <c r="P10" s="51" t="s">
        <v>62</v>
      </c>
      <c r="Q10" s="33">
        <v>1</v>
      </c>
      <c r="S10">
        <v>1</v>
      </c>
      <c r="T10" t="e">
        <f>INDEX(Stammdaten[Krümmung (mm/lfm)],MATCH(Tabelle10[[#This Row],[Rank]],Stammdaten[Rank Verteilung Krümmung],0))</f>
        <v>#N/A</v>
      </c>
      <c r="U10" t="e">
        <f>VLOOKUP(Tabelle10[[#This Row],[Rank]],Stammdaten[[Rank Verteilung Krümmung]:[Verteilung Krümmung]],2,FALSE)</f>
        <v>#N/A</v>
      </c>
      <c r="W10" s="52">
        <v>1</v>
      </c>
      <c r="X10" s="33">
        <v>1</v>
      </c>
      <c r="Z10">
        <v>1</v>
      </c>
      <c r="AA10" t="e">
        <f>INDEX(Stammdaten[Ovalität (']0,1'])],MATCH(Tabelle1014[[#This Row],[Rank]],Stammdaten[Rank Verteilung Ovalität],0))</f>
        <v>#N/A</v>
      </c>
      <c r="AB10" t="e">
        <f>VLOOKUP(Tabelle1014[[#This Row],[Rank]],Stammdaten[[Rank Verteilung Ovalität]:[Verteilung Ovalität]],2,FALSE)</f>
        <v>#N/A</v>
      </c>
    </row>
    <row r="11" spans="2:28" x14ac:dyDescent="0.35">
      <c r="B11" t="s">
        <v>79</v>
      </c>
      <c r="C11" s="2">
        <f>COUNTIFS(Stammdaten[D Mitte mit Rinde (mm)],"&gt;=100",Stammdaten[D Mitte mit Rinde (mm)],"&lt;150")</f>
        <v>0</v>
      </c>
      <c r="E11">
        <v>2</v>
      </c>
      <c r="F11" t="e">
        <f>INDEX(Stammdaten[D Mitte mit Rinde (mm)],MATCH(Tabelle8[[#This Row],[Rank]],Stammdaten[Rank Verteilung D Mitte mit Rinde],0))</f>
        <v>#N/A</v>
      </c>
      <c r="G11" t="e">
        <f>VLOOKUP(Tabelle8[[#This Row],[Rank]],Stammdaten[[Rank Verteilung D Mitte mit Rinde]:[Verteilung D Mitte mit Rinde]],2,FALSE)</f>
        <v>#N/A</v>
      </c>
      <c r="I11" s="51" t="s">
        <v>60</v>
      </c>
      <c r="J11" s="33">
        <v>1</v>
      </c>
      <c r="L11">
        <v>2</v>
      </c>
      <c r="M11" t="e">
        <f>INDEX(Stammdaten[Abholzigkeit (mm/lfm)],MATCH(Tabelle9[[#This Row],[Rank]],Stammdaten[Rank Verteilung Abholzigkeit],0))</f>
        <v>#N/A</v>
      </c>
      <c r="N11" t="e">
        <f>VLOOKUP(Tabelle9[[#This Row],[Rank]],Stammdaten[[Rank Verteilung Abholzigkeit]:[Verteilung Abholzigkeit]],2,FALSE)</f>
        <v>#N/A</v>
      </c>
      <c r="P11" s="51" t="s">
        <v>60</v>
      </c>
      <c r="Q11" s="33">
        <v>1</v>
      </c>
      <c r="S11">
        <v>2</v>
      </c>
      <c r="T11" t="e">
        <f>INDEX(Stammdaten[Krümmung (mm/lfm)],MATCH(Tabelle10[[#This Row],[Rank]],Stammdaten[Rank Verteilung Krümmung],0))</f>
        <v>#N/A</v>
      </c>
      <c r="U11" t="e">
        <f>VLOOKUP(Tabelle10[[#This Row],[Rank]],Stammdaten[[Rank Verteilung Krümmung]:[Verteilung Krümmung]],2,FALSE)</f>
        <v>#N/A</v>
      </c>
      <c r="W11" s="52" t="s">
        <v>60</v>
      </c>
      <c r="X11" s="33">
        <v>1</v>
      </c>
      <c r="Z11">
        <v>2</v>
      </c>
      <c r="AA11" t="e">
        <f>INDEX(Stammdaten[Ovalität (']0,1'])],MATCH(Tabelle1014[[#This Row],[Rank]],Stammdaten[Rank Verteilung Ovalität],0))</f>
        <v>#N/A</v>
      </c>
      <c r="AB11" t="e">
        <f>VLOOKUP(Tabelle1014[[#This Row],[Rank]],Stammdaten[[Rank Verteilung Ovalität]:[Verteilung Ovalität]],2,FALSE)</f>
        <v>#N/A</v>
      </c>
    </row>
    <row r="12" spans="2:28" x14ac:dyDescent="0.35">
      <c r="B12" t="s">
        <v>80</v>
      </c>
      <c r="C12" s="2">
        <f>COUNTIFS(Stammdaten[D Mitte mit Rinde (mm)],"&gt;=150",Stammdaten[D Mitte mit Rinde (mm)],"&lt;200")</f>
        <v>0</v>
      </c>
      <c r="E12">
        <v>3</v>
      </c>
      <c r="F12" t="e">
        <f>INDEX(Stammdaten[D Mitte mit Rinde (mm)],MATCH(Tabelle8[[#This Row],[Rank]],Stammdaten[Rank Verteilung D Mitte mit Rinde],0))</f>
        <v>#N/A</v>
      </c>
      <c r="G12" t="e">
        <f>VLOOKUP(Tabelle8[[#This Row],[Rank]],Stammdaten[[Rank Verteilung D Mitte mit Rinde]:[Verteilung D Mitte mit Rinde]],2,FALSE)</f>
        <v>#N/A</v>
      </c>
      <c r="L12">
        <v>3</v>
      </c>
      <c r="M12" t="e">
        <f>INDEX(Stammdaten[Abholzigkeit (mm/lfm)],MATCH(Tabelle9[[#This Row],[Rank]],Stammdaten[Rank Verteilung Abholzigkeit],0))</f>
        <v>#N/A</v>
      </c>
      <c r="N12" t="e">
        <f>VLOOKUP(Tabelle9[[#This Row],[Rank]],Stammdaten[[Rank Verteilung Abholzigkeit]:[Verteilung Abholzigkeit]],2,FALSE)</f>
        <v>#N/A</v>
      </c>
      <c r="S12">
        <v>3</v>
      </c>
      <c r="T12" t="e">
        <f>INDEX(Stammdaten[Krümmung (mm/lfm)],MATCH(Tabelle10[[#This Row],[Rank]],Stammdaten[Rank Verteilung Krümmung],0))</f>
        <v>#N/A</v>
      </c>
      <c r="U12" t="e">
        <f>VLOOKUP(Tabelle10[[#This Row],[Rank]],Stammdaten[[Rank Verteilung Krümmung]:[Verteilung Krümmung]],2,FALSE)</f>
        <v>#N/A</v>
      </c>
      <c r="Z12">
        <v>3</v>
      </c>
      <c r="AA12" t="e">
        <f>INDEX(Stammdaten[Ovalität (']0,1'])],MATCH(Tabelle1014[[#This Row],[Rank]],Stammdaten[Rank Verteilung Ovalität],0))</f>
        <v>#N/A</v>
      </c>
      <c r="AB12" t="e">
        <f>VLOOKUP(Tabelle1014[[#This Row],[Rank]],Stammdaten[[Rank Verteilung Ovalität]:[Verteilung Ovalität]],2,FALSE)</f>
        <v>#N/A</v>
      </c>
    </row>
    <row r="13" spans="2:28" x14ac:dyDescent="0.35">
      <c r="B13" t="s">
        <v>81</v>
      </c>
      <c r="C13" s="2">
        <f>COUNTIFS(Stammdaten[D Mitte mit Rinde (mm)],"&gt;=200",Stammdaten[D Mitte mit Rinde (mm)],"&lt;250")</f>
        <v>0</v>
      </c>
      <c r="E13">
        <v>4</v>
      </c>
      <c r="F13" t="e">
        <f>INDEX(Stammdaten[D Mitte mit Rinde (mm)],MATCH(Tabelle8[[#This Row],[Rank]],Stammdaten[Rank Verteilung D Mitte mit Rinde],0))</f>
        <v>#N/A</v>
      </c>
      <c r="G13" t="e">
        <f>VLOOKUP(Tabelle8[[#This Row],[Rank]],Stammdaten[[Rank Verteilung D Mitte mit Rinde]:[Verteilung D Mitte mit Rinde]],2,FALSE)</f>
        <v>#N/A</v>
      </c>
      <c r="L13">
        <v>4</v>
      </c>
      <c r="M13" t="e">
        <f>INDEX(Stammdaten[Abholzigkeit (mm/lfm)],MATCH(Tabelle9[[#This Row],[Rank]],Stammdaten[Rank Verteilung Abholzigkeit],0))</f>
        <v>#N/A</v>
      </c>
      <c r="N13" t="e">
        <f>VLOOKUP(Tabelle9[[#This Row],[Rank]],Stammdaten[[Rank Verteilung Abholzigkeit]:[Verteilung Abholzigkeit]],2,FALSE)</f>
        <v>#N/A</v>
      </c>
      <c r="S13">
        <v>4</v>
      </c>
      <c r="T13" t="e">
        <f>INDEX(Stammdaten[Krümmung (mm/lfm)],MATCH(Tabelle10[[#This Row],[Rank]],Stammdaten[Rank Verteilung Krümmung],0))</f>
        <v>#N/A</v>
      </c>
      <c r="U13" t="e">
        <f>VLOOKUP(Tabelle10[[#This Row],[Rank]],Stammdaten[[Rank Verteilung Krümmung]:[Verteilung Krümmung]],2,FALSE)</f>
        <v>#N/A</v>
      </c>
      <c r="Z13">
        <v>4</v>
      </c>
      <c r="AA13" t="e">
        <f>INDEX(Stammdaten[Ovalität (']0,1'])],MATCH(Tabelle1014[[#This Row],[Rank]],Stammdaten[Rank Verteilung Ovalität],0))</f>
        <v>#N/A</v>
      </c>
      <c r="AB13" t="e">
        <f>VLOOKUP(Tabelle1014[[#This Row],[Rank]],Stammdaten[[Rank Verteilung Ovalität]:[Verteilung Ovalität]],2,FALSE)</f>
        <v>#N/A</v>
      </c>
    </row>
    <row r="14" spans="2:28" x14ac:dyDescent="0.35">
      <c r="B14" t="s">
        <v>82</v>
      </c>
      <c r="C14" s="2">
        <f>COUNTIFS(Stammdaten[D Mitte mit Rinde (mm)],"&gt;=250",Stammdaten[D Mitte mit Rinde (mm)],"&lt;300")</f>
        <v>0</v>
      </c>
      <c r="E14">
        <v>5</v>
      </c>
      <c r="F14" t="e">
        <f>INDEX(Stammdaten[D Mitte mit Rinde (mm)],MATCH(Tabelle8[[#This Row],[Rank]],Stammdaten[Rank Verteilung D Mitte mit Rinde],0))</f>
        <v>#N/A</v>
      </c>
      <c r="G14" t="e">
        <f>VLOOKUP(Tabelle8[[#This Row],[Rank]],Stammdaten[[Rank Verteilung D Mitte mit Rinde]:[Verteilung D Mitte mit Rinde]],2,FALSE)</f>
        <v>#N/A</v>
      </c>
      <c r="L14">
        <v>5</v>
      </c>
      <c r="M14" t="e">
        <f>INDEX(Stammdaten[Abholzigkeit (mm/lfm)],MATCH(Tabelle9[[#This Row],[Rank]],Stammdaten[Rank Verteilung Abholzigkeit],0))</f>
        <v>#N/A</v>
      </c>
      <c r="N14" t="e">
        <f>VLOOKUP(Tabelle9[[#This Row],[Rank]],Stammdaten[[Rank Verteilung Abholzigkeit]:[Verteilung Abholzigkeit]],2,FALSE)</f>
        <v>#N/A</v>
      </c>
      <c r="S14">
        <v>5</v>
      </c>
      <c r="T14" t="e">
        <f>INDEX(Stammdaten[Krümmung (mm/lfm)],MATCH(Tabelle10[[#This Row],[Rank]],Stammdaten[Rank Verteilung Krümmung],0))</f>
        <v>#N/A</v>
      </c>
      <c r="U14" t="e">
        <f>VLOOKUP(Tabelle10[[#This Row],[Rank]],Stammdaten[[Rank Verteilung Krümmung]:[Verteilung Krümmung]],2,FALSE)</f>
        <v>#N/A</v>
      </c>
      <c r="Z14">
        <v>5</v>
      </c>
      <c r="AA14" t="e">
        <f>INDEX(Stammdaten[Ovalität (']0,1'])],MATCH(Tabelle1014[[#This Row],[Rank]],Stammdaten[Rank Verteilung Ovalität],0))</f>
        <v>#N/A</v>
      </c>
      <c r="AB14" t="e">
        <f>VLOOKUP(Tabelle1014[[#This Row],[Rank]],Stammdaten[[Rank Verteilung Ovalität]:[Verteilung Ovalität]],2,FALSE)</f>
        <v>#N/A</v>
      </c>
    </row>
    <row r="15" spans="2:28" x14ac:dyDescent="0.35">
      <c r="B15" t="s">
        <v>83</v>
      </c>
      <c r="C15" s="2">
        <f>COUNTIFS(Stammdaten[D Mitte mit Rinde (mm)],"&gt;=300",Stammdaten[D Mitte mit Rinde (mm)],"&lt;350")</f>
        <v>0</v>
      </c>
      <c r="E15">
        <v>6</v>
      </c>
      <c r="F15" t="e">
        <f>INDEX(Stammdaten[D Mitte mit Rinde (mm)],MATCH(Tabelle8[[#This Row],[Rank]],Stammdaten[Rank Verteilung D Mitte mit Rinde],0))</f>
        <v>#N/A</v>
      </c>
      <c r="G15" t="e">
        <f>VLOOKUP(Tabelle8[[#This Row],[Rank]],Stammdaten[[Rank Verteilung D Mitte mit Rinde]:[Verteilung D Mitte mit Rinde]],2,FALSE)</f>
        <v>#N/A</v>
      </c>
      <c r="L15">
        <v>6</v>
      </c>
      <c r="M15" t="e">
        <f>INDEX(Stammdaten[Abholzigkeit (mm/lfm)],MATCH(Tabelle9[[#This Row],[Rank]],Stammdaten[Rank Verteilung Abholzigkeit],0))</f>
        <v>#N/A</v>
      </c>
      <c r="N15" t="e">
        <f>VLOOKUP(Tabelle9[[#This Row],[Rank]],Stammdaten[[Rank Verteilung Abholzigkeit]:[Verteilung Abholzigkeit]],2,FALSE)</f>
        <v>#N/A</v>
      </c>
      <c r="S15">
        <v>6</v>
      </c>
      <c r="T15" t="e">
        <f>INDEX(Stammdaten[Krümmung (mm/lfm)],MATCH(Tabelle10[[#This Row],[Rank]],Stammdaten[Rank Verteilung Krümmung],0))</f>
        <v>#N/A</v>
      </c>
      <c r="U15" t="e">
        <f>VLOOKUP(Tabelle10[[#This Row],[Rank]],Stammdaten[[Rank Verteilung Krümmung]:[Verteilung Krümmung]],2,FALSE)</f>
        <v>#N/A</v>
      </c>
      <c r="Z15">
        <v>6</v>
      </c>
      <c r="AA15" t="e">
        <f>INDEX(Stammdaten[Ovalität (']0,1'])],MATCH(Tabelle1014[[#This Row],[Rank]],Stammdaten[Rank Verteilung Ovalität],0))</f>
        <v>#N/A</v>
      </c>
      <c r="AB15" t="e">
        <f>VLOOKUP(Tabelle1014[[#This Row],[Rank]],Stammdaten[[Rank Verteilung Ovalität]:[Verteilung Ovalität]],2,FALSE)</f>
        <v>#N/A</v>
      </c>
    </row>
    <row r="16" spans="2:28" x14ac:dyDescent="0.35">
      <c r="B16" t="s">
        <v>84</v>
      </c>
      <c r="C16" s="2">
        <f>COUNTIFS(Stammdaten[D Mitte mit Rinde (mm)],"&gt;=350",Stammdaten[D Mitte mit Rinde (mm)],"&lt;400")</f>
        <v>0</v>
      </c>
      <c r="E16">
        <v>7</v>
      </c>
      <c r="F16" t="e">
        <f>INDEX(Stammdaten[D Mitte mit Rinde (mm)],MATCH(Tabelle8[[#This Row],[Rank]],Stammdaten[Rank Verteilung D Mitte mit Rinde],0))</f>
        <v>#N/A</v>
      </c>
      <c r="G16" t="e">
        <f>VLOOKUP(Tabelle8[[#This Row],[Rank]],Stammdaten[[Rank Verteilung D Mitte mit Rinde]:[Verteilung D Mitte mit Rinde]],2,FALSE)</f>
        <v>#N/A</v>
      </c>
      <c r="L16">
        <v>7</v>
      </c>
      <c r="M16" t="e">
        <f>INDEX(Stammdaten[Abholzigkeit (mm/lfm)],MATCH(Tabelle9[[#This Row],[Rank]],Stammdaten[Rank Verteilung Abholzigkeit],0))</f>
        <v>#N/A</v>
      </c>
      <c r="N16" t="e">
        <f>VLOOKUP(Tabelle9[[#This Row],[Rank]],Stammdaten[[Rank Verteilung Abholzigkeit]:[Verteilung Abholzigkeit]],2,FALSE)</f>
        <v>#N/A</v>
      </c>
      <c r="S16">
        <v>7</v>
      </c>
      <c r="T16" t="e">
        <f>INDEX(Stammdaten[Krümmung (mm/lfm)],MATCH(Tabelle10[[#This Row],[Rank]],Stammdaten[Rank Verteilung Krümmung],0))</f>
        <v>#N/A</v>
      </c>
      <c r="U16" t="e">
        <f>VLOOKUP(Tabelle10[[#This Row],[Rank]],Stammdaten[[Rank Verteilung Krümmung]:[Verteilung Krümmung]],2,FALSE)</f>
        <v>#N/A</v>
      </c>
      <c r="Z16">
        <v>7</v>
      </c>
      <c r="AA16" t="e">
        <f>INDEX(Stammdaten[Ovalität (']0,1'])],MATCH(Tabelle1014[[#This Row],[Rank]],Stammdaten[Rank Verteilung Ovalität],0))</f>
        <v>#N/A</v>
      </c>
      <c r="AB16" t="e">
        <f>VLOOKUP(Tabelle1014[[#This Row],[Rank]],Stammdaten[[Rank Verteilung Ovalität]:[Verteilung Ovalität]],2,FALSE)</f>
        <v>#N/A</v>
      </c>
    </row>
    <row r="17" spans="2:28" x14ac:dyDescent="0.35">
      <c r="B17" t="s">
        <v>85</v>
      </c>
      <c r="C17" s="2">
        <f>COUNTIFS(Stammdaten[D Mitte mit Rinde (mm)],"&gt;=400",Stammdaten[D Mitte mit Rinde (mm)],"&lt;500")</f>
        <v>0</v>
      </c>
      <c r="E17">
        <v>8</v>
      </c>
      <c r="F17" t="e">
        <f>INDEX(Stammdaten[D Mitte mit Rinde (mm)],MATCH(Tabelle8[[#This Row],[Rank]],Stammdaten[Rank Verteilung D Mitte mit Rinde],0))</f>
        <v>#N/A</v>
      </c>
      <c r="G17" t="e">
        <f>VLOOKUP(Tabelle8[[#This Row],[Rank]],Stammdaten[[Rank Verteilung D Mitte mit Rinde]:[Verteilung D Mitte mit Rinde]],2,FALSE)</f>
        <v>#N/A</v>
      </c>
      <c r="L17">
        <v>8</v>
      </c>
      <c r="M17" t="e">
        <f>INDEX(Stammdaten[Abholzigkeit (mm/lfm)],MATCH(Tabelle9[[#This Row],[Rank]],Stammdaten[Rank Verteilung Abholzigkeit],0))</f>
        <v>#N/A</v>
      </c>
      <c r="N17" t="e">
        <f>VLOOKUP(Tabelle9[[#This Row],[Rank]],Stammdaten[[Rank Verteilung Abholzigkeit]:[Verteilung Abholzigkeit]],2,FALSE)</f>
        <v>#N/A</v>
      </c>
      <c r="S17">
        <v>8</v>
      </c>
      <c r="T17" t="e">
        <f>INDEX(Stammdaten[Krümmung (mm/lfm)],MATCH(Tabelle10[[#This Row],[Rank]],Stammdaten[Rank Verteilung Krümmung],0))</f>
        <v>#N/A</v>
      </c>
      <c r="U17" t="e">
        <f>VLOOKUP(Tabelle10[[#This Row],[Rank]],Stammdaten[[Rank Verteilung Krümmung]:[Verteilung Krümmung]],2,FALSE)</f>
        <v>#N/A</v>
      </c>
      <c r="Z17">
        <v>8</v>
      </c>
      <c r="AA17" t="e">
        <f>INDEX(Stammdaten[Ovalität (']0,1'])],MATCH(Tabelle1014[[#This Row],[Rank]],Stammdaten[Rank Verteilung Ovalität],0))</f>
        <v>#N/A</v>
      </c>
      <c r="AB17" t="e">
        <f>VLOOKUP(Tabelle1014[[#This Row],[Rank]],Stammdaten[[Rank Verteilung Ovalität]:[Verteilung Ovalität]],2,FALSE)</f>
        <v>#N/A</v>
      </c>
    </row>
    <row r="18" spans="2:28" x14ac:dyDescent="0.35">
      <c r="B18" t="s">
        <v>86</v>
      </c>
      <c r="C18" s="2">
        <f>COUNTIFS(Stammdaten[D Mitte mit Rinde (mm)],"&gt;=500",Stammdaten[D Mitte mit Rinde (mm)],"&lt;600")</f>
        <v>0</v>
      </c>
      <c r="E18">
        <v>9</v>
      </c>
      <c r="F18" t="e">
        <f>INDEX(Stammdaten[D Mitte mit Rinde (mm)],MATCH(Tabelle8[[#This Row],[Rank]],Stammdaten[Rank Verteilung D Mitte mit Rinde],0))</f>
        <v>#N/A</v>
      </c>
      <c r="G18" t="e">
        <f>VLOOKUP(Tabelle8[[#This Row],[Rank]],Stammdaten[[Rank Verteilung D Mitte mit Rinde]:[Verteilung D Mitte mit Rinde]],2,FALSE)</f>
        <v>#N/A</v>
      </c>
      <c r="L18">
        <v>9</v>
      </c>
      <c r="M18" t="e">
        <f>INDEX(Stammdaten[Abholzigkeit (mm/lfm)],MATCH(Tabelle9[[#This Row],[Rank]],Stammdaten[Rank Verteilung Abholzigkeit],0))</f>
        <v>#N/A</v>
      </c>
      <c r="N18" t="e">
        <f>VLOOKUP(Tabelle9[[#This Row],[Rank]],Stammdaten[[Rank Verteilung Abholzigkeit]:[Verteilung Abholzigkeit]],2,FALSE)</f>
        <v>#N/A</v>
      </c>
      <c r="S18">
        <v>9</v>
      </c>
      <c r="T18" t="e">
        <f>INDEX(Stammdaten[Krümmung (mm/lfm)],MATCH(Tabelle10[[#This Row],[Rank]],Stammdaten[Rank Verteilung Krümmung],0))</f>
        <v>#N/A</v>
      </c>
      <c r="U18" t="e">
        <f>VLOOKUP(Tabelle10[[#This Row],[Rank]],Stammdaten[[Rank Verteilung Krümmung]:[Verteilung Krümmung]],2,FALSE)</f>
        <v>#N/A</v>
      </c>
      <c r="Z18">
        <v>9</v>
      </c>
      <c r="AA18" t="e">
        <f>INDEX(Stammdaten[Ovalität (']0,1'])],MATCH(Tabelle1014[[#This Row],[Rank]],Stammdaten[Rank Verteilung Ovalität],0))</f>
        <v>#N/A</v>
      </c>
      <c r="AB18" t="e">
        <f>VLOOKUP(Tabelle1014[[#This Row],[Rank]],Stammdaten[[Rank Verteilung Ovalität]:[Verteilung Ovalität]],2,FALSE)</f>
        <v>#N/A</v>
      </c>
    </row>
    <row r="19" spans="2:28" x14ac:dyDescent="0.35">
      <c r="B19" t="s">
        <v>87</v>
      </c>
      <c r="C19" s="2">
        <f>COUNTIFS(Stammdaten[D Mitte mit Rinde (mm)],"&gt;=600",Stammdaten[D Mitte mit Rinde (mm)],"&lt;700")</f>
        <v>0</v>
      </c>
      <c r="E19">
        <v>10</v>
      </c>
      <c r="F19" t="e">
        <f>INDEX(Stammdaten[D Mitte mit Rinde (mm)],MATCH(Tabelle8[[#This Row],[Rank]],Stammdaten[Rank Verteilung D Mitte mit Rinde],0))</f>
        <v>#N/A</v>
      </c>
      <c r="G19" t="e">
        <f>VLOOKUP(Tabelle8[[#This Row],[Rank]],Stammdaten[[Rank Verteilung D Mitte mit Rinde]:[Verteilung D Mitte mit Rinde]],2,FALSE)</f>
        <v>#N/A</v>
      </c>
      <c r="L19">
        <v>10</v>
      </c>
      <c r="M19" t="e">
        <f>INDEX(Stammdaten[Abholzigkeit (mm/lfm)],MATCH(Tabelle9[[#This Row],[Rank]],Stammdaten[Rank Verteilung Abholzigkeit],0))</f>
        <v>#N/A</v>
      </c>
      <c r="N19" t="e">
        <f>VLOOKUP(Tabelle9[[#This Row],[Rank]],Stammdaten[[Rank Verteilung Abholzigkeit]:[Verteilung Abholzigkeit]],2,FALSE)</f>
        <v>#N/A</v>
      </c>
      <c r="S19">
        <v>10</v>
      </c>
      <c r="T19" t="e">
        <f>INDEX(Stammdaten[Krümmung (mm/lfm)],MATCH(Tabelle10[[#This Row],[Rank]],Stammdaten[Rank Verteilung Krümmung],0))</f>
        <v>#N/A</v>
      </c>
      <c r="U19" t="e">
        <f>VLOOKUP(Tabelle10[[#This Row],[Rank]],Stammdaten[[Rank Verteilung Krümmung]:[Verteilung Krümmung]],2,FALSE)</f>
        <v>#N/A</v>
      </c>
      <c r="Z19">
        <v>10</v>
      </c>
      <c r="AA19" t="e">
        <f>INDEX(Stammdaten[Ovalität (']0,1'])],MATCH(Tabelle1014[[#This Row],[Rank]],Stammdaten[Rank Verteilung Ovalität],0))</f>
        <v>#N/A</v>
      </c>
      <c r="AB19" t="e">
        <f>VLOOKUP(Tabelle1014[[#This Row],[Rank]],Stammdaten[[Rank Verteilung Ovalität]:[Verteilung Ovalität]],2,FALSE)</f>
        <v>#N/A</v>
      </c>
    </row>
    <row r="20" spans="2:28" x14ac:dyDescent="0.35">
      <c r="B20" t="s">
        <v>88</v>
      </c>
      <c r="C20" s="2">
        <f>COUNTIFS(Stammdaten[D Mitte mit Rinde (mm)],"&gt;=700",Stammdaten[D Mitte mit Rinde (mm)],"&lt;800")</f>
        <v>0</v>
      </c>
      <c r="E20">
        <v>11</v>
      </c>
      <c r="F20" t="e">
        <f>INDEX(Stammdaten[D Mitte mit Rinde (mm)],MATCH(Tabelle8[[#This Row],[Rank]],Stammdaten[Rank Verteilung D Mitte mit Rinde],0))</f>
        <v>#N/A</v>
      </c>
      <c r="G20" t="e">
        <f>VLOOKUP(Tabelle8[[#This Row],[Rank]],Stammdaten[[Rank Verteilung D Mitte mit Rinde]:[Verteilung D Mitte mit Rinde]],2,FALSE)</f>
        <v>#N/A</v>
      </c>
      <c r="L20">
        <v>11</v>
      </c>
      <c r="M20" t="e">
        <f>INDEX(Stammdaten[Abholzigkeit (mm/lfm)],MATCH(Tabelle9[[#This Row],[Rank]],Stammdaten[Rank Verteilung Abholzigkeit],0))</f>
        <v>#N/A</v>
      </c>
      <c r="N20" t="e">
        <f>VLOOKUP(Tabelle9[[#This Row],[Rank]],Stammdaten[[Rank Verteilung Abholzigkeit]:[Verteilung Abholzigkeit]],2,FALSE)</f>
        <v>#N/A</v>
      </c>
      <c r="S20">
        <v>11</v>
      </c>
      <c r="T20" t="e">
        <f>INDEX(Stammdaten[Krümmung (mm/lfm)],MATCH(Tabelle10[[#This Row],[Rank]],Stammdaten[Rank Verteilung Krümmung],0))</f>
        <v>#N/A</v>
      </c>
      <c r="U20" t="e">
        <f>VLOOKUP(Tabelle10[[#This Row],[Rank]],Stammdaten[[Rank Verteilung Krümmung]:[Verteilung Krümmung]],2,FALSE)</f>
        <v>#N/A</v>
      </c>
      <c r="Z20">
        <v>11</v>
      </c>
      <c r="AA20" t="e">
        <f>INDEX(Stammdaten[Ovalität (']0,1'])],MATCH(Tabelle1014[[#This Row],[Rank]],Stammdaten[Rank Verteilung Ovalität],0))</f>
        <v>#N/A</v>
      </c>
      <c r="AB20" t="e">
        <f>VLOOKUP(Tabelle1014[[#This Row],[Rank]],Stammdaten[[Rank Verteilung Ovalität]:[Verteilung Ovalität]],2,FALSE)</f>
        <v>#N/A</v>
      </c>
    </row>
    <row r="21" spans="2:28" x14ac:dyDescent="0.35">
      <c r="B21" t="s">
        <v>89</v>
      </c>
      <c r="C21" s="2">
        <f>COUNTIF(Stammdaten[D Mitte mit Rinde (mm)],"&gt;=800")</f>
        <v>0</v>
      </c>
      <c r="E21">
        <v>12</v>
      </c>
      <c r="F21" t="e">
        <f>INDEX(Stammdaten[D Mitte mit Rinde (mm)],MATCH(Tabelle8[[#This Row],[Rank]],Stammdaten[Rank Verteilung D Mitte mit Rinde],0))</f>
        <v>#N/A</v>
      </c>
      <c r="G21" t="e">
        <f>VLOOKUP(Tabelle8[[#This Row],[Rank]],Stammdaten[[Rank Verteilung D Mitte mit Rinde]:[Verteilung D Mitte mit Rinde]],2,FALSE)</f>
        <v>#N/A</v>
      </c>
      <c r="L21">
        <v>12</v>
      </c>
      <c r="M21" t="e">
        <f>INDEX(Stammdaten[Abholzigkeit (mm/lfm)],MATCH(Tabelle9[[#This Row],[Rank]],Stammdaten[Rank Verteilung Abholzigkeit],0))</f>
        <v>#N/A</v>
      </c>
      <c r="N21" t="e">
        <f>VLOOKUP(Tabelle9[[#This Row],[Rank]],Stammdaten[[Rank Verteilung Abholzigkeit]:[Verteilung Abholzigkeit]],2,FALSE)</f>
        <v>#N/A</v>
      </c>
      <c r="S21">
        <v>12</v>
      </c>
      <c r="T21" t="e">
        <f>INDEX(Stammdaten[Krümmung (mm/lfm)],MATCH(Tabelle10[[#This Row],[Rank]],Stammdaten[Rank Verteilung Krümmung],0))</f>
        <v>#N/A</v>
      </c>
      <c r="U21" t="e">
        <f>VLOOKUP(Tabelle10[[#This Row],[Rank]],Stammdaten[[Rank Verteilung Krümmung]:[Verteilung Krümmung]],2,FALSE)</f>
        <v>#N/A</v>
      </c>
      <c r="Z21">
        <v>12</v>
      </c>
      <c r="AA21" t="e">
        <f>INDEX(Stammdaten[Ovalität (']0,1'])],MATCH(Tabelle1014[[#This Row],[Rank]],Stammdaten[Rank Verteilung Ovalität],0))</f>
        <v>#N/A</v>
      </c>
      <c r="AB21" t="e">
        <f>VLOOKUP(Tabelle1014[[#This Row],[Rank]],Stammdaten[[Rank Verteilung Ovalität]:[Verteilung Ovalität]],2,FALSE)</f>
        <v>#N/A</v>
      </c>
    </row>
    <row r="22" spans="2:28" x14ac:dyDescent="0.35">
      <c r="E22">
        <v>13</v>
      </c>
      <c r="F22" t="e">
        <f>INDEX(Stammdaten[D Mitte mit Rinde (mm)],MATCH(Tabelle8[[#This Row],[Rank]],Stammdaten[Rank Verteilung D Mitte mit Rinde],0))</f>
        <v>#N/A</v>
      </c>
      <c r="G22" t="e">
        <f>VLOOKUP(Tabelle8[[#This Row],[Rank]],Stammdaten[[Rank Verteilung D Mitte mit Rinde]:[Verteilung D Mitte mit Rinde]],2,FALSE)</f>
        <v>#N/A</v>
      </c>
      <c r="L22">
        <v>13</v>
      </c>
      <c r="M22" t="e">
        <f>INDEX(Stammdaten[Abholzigkeit (mm/lfm)],MATCH(Tabelle9[[#This Row],[Rank]],Stammdaten[Rank Verteilung Abholzigkeit],0))</f>
        <v>#N/A</v>
      </c>
      <c r="N22" t="e">
        <f>VLOOKUP(Tabelle9[[#This Row],[Rank]],Stammdaten[[Rank Verteilung Abholzigkeit]:[Verteilung Abholzigkeit]],2,FALSE)</f>
        <v>#N/A</v>
      </c>
      <c r="S22">
        <v>13</v>
      </c>
      <c r="T22" t="e">
        <f>INDEX(Stammdaten[Krümmung (mm/lfm)],MATCH(Tabelle10[[#This Row],[Rank]],Stammdaten[Rank Verteilung Krümmung],0))</f>
        <v>#N/A</v>
      </c>
      <c r="U22" t="e">
        <f>VLOOKUP(Tabelle10[[#This Row],[Rank]],Stammdaten[[Rank Verteilung Krümmung]:[Verteilung Krümmung]],2,FALSE)</f>
        <v>#N/A</v>
      </c>
      <c r="Z22">
        <v>13</v>
      </c>
      <c r="AA22" t="e">
        <f>INDEX(Stammdaten[Ovalität (']0,1'])],MATCH(Tabelle1014[[#This Row],[Rank]],Stammdaten[Rank Verteilung Ovalität],0))</f>
        <v>#N/A</v>
      </c>
      <c r="AB22" t="e">
        <f>VLOOKUP(Tabelle1014[[#This Row],[Rank]],Stammdaten[[Rank Verteilung Ovalität]:[Verteilung Ovalität]],2,FALSE)</f>
        <v>#N/A</v>
      </c>
    </row>
    <row r="23" spans="2:28" x14ac:dyDescent="0.35">
      <c r="E23">
        <v>14</v>
      </c>
      <c r="F23" t="e">
        <f>INDEX(Stammdaten[D Mitte mit Rinde (mm)],MATCH(Tabelle8[[#This Row],[Rank]],Stammdaten[Rank Verteilung D Mitte mit Rinde],0))</f>
        <v>#N/A</v>
      </c>
      <c r="G23" t="e">
        <f>VLOOKUP(Tabelle8[[#This Row],[Rank]],Stammdaten[[Rank Verteilung D Mitte mit Rinde]:[Verteilung D Mitte mit Rinde]],2,FALSE)</f>
        <v>#N/A</v>
      </c>
      <c r="L23">
        <v>14</v>
      </c>
      <c r="M23" t="e">
        <f>INDEX(Stammdaten[Abholzigkeit (mm/lfm)],MATCH(Tabelle9[[#This Row],[Rank]],Stammdaten[Rank Verteilung Abholzigkeit],0))</f>
        <v>#N/A</v>
      </c>
      <c r="N23" t="e">
        <f>VLOOKUP(Tabelle9[[#This Row],[Rank]],Stammdaten[[Rank Verteilung Abholzigkeit]:[Verteilung Abholzigkeit]],2,FALSE)</f>
        <v>#N/A</v>
      </c>
      <c r="S23">
        <v>14</v>
      </c>
      <c r="T23" t="e">
        <f>INDEX(Stammdaten[Krümmung (mm/lfm)],MATCH(Tabelle10[[#This Row],[Rank]],Stammdaten[Rank Verteilung Krümmung],0))</f>
        <v>#N/A</v>
      </c>
      <c r="U23" t="e">
        <f>VLOOKUP(Tabelle10[[#This Row],[Rank]],Stammdaten[[Rank Verteilung Krümmung]:[Verteilung Krümmung]],2,FALSE)</f>
        <v>#N/A</v>
      </c>
      <c r="Z23">
        <v>14</v>
      </c>
      <c r="AA23" t="e">
        <f>INDEX(Stammdaten[Ovalität (']0,1'])],MATCH(Tabelle1014[[#This Row],[Rank]],Stammdaten[Rank Verteilung Ovalität],0))</f>
        <v>#N/A</v>
      </c>
      <c r="AB23" t="e">
        <f>VLOOKUP(Tabelle1014[[#This Row],[Rank]],Stammdaten[[Rank Verteilung Ovalität]:[Verteilung Ovalität]],2,FALSE)</f>
        <v>#N/A</v>
      </c>
    </row>
    <row r="24" spans="2:28" x14ac:dyDescent="0.35">
      <c r="B24" s="50" t="s">
        <v>59</v>
      </c>
      <c r="C24" t="s">
        <v>61</v>
      </c>
      <c r="E24">
        <v>15</v>
      </c>
      <c r="F24" t="e">
        <f>INDEX(Stammdaten[D Mitte mit Rinde (mm)],MATCH(Tabelle8[[#This Row],[Rank]],Stammdaten[Rank Verteilung D Mitte mit Rinde],0))</f>
        <v>#N/A</v>
      </c>
      <c r="G24" t="e">
        <f>VLOOKUP(Tabelle8[[#This Row],[Rank]],Stammdaten[[Rank Verteilung D Mitte mit Rinde]:[Verteilung D Mitte mit Rinde]],2,FALSE)</f>
        <v>#N/A</v>
      </c>
      <c r="L24">
        <v>15</v>
      </c>
      <c r="M24" t="e">
        <f>INDEX(Stammdaten[Abholzigkeit (mm/lfm)],MATCH(Tabelle9[[#This Row],[Rank]],Stammdaten[Rank Verteilung Abholzigkeit],0))</f>
        <v>#N/A</v>
      </c>
      <c r="N24" t="e">
        <f>VLOOKUP(Tabelle9[[#This Row],[Rank]],Stammdaten[[Rank Verteilung Abholzigkeit]:[Verteilung Abholzigkeit]],2,FALSE)</f>
        <v>#N/A</v>
      </c>
      <c r="S24">
        <v>15</v>
      </c>
      <c r="T24" t="e">
        <f>INDEX(Stammdaten[Krümmung (mm/lfm)],MATCH(Tabelle10[[#This Row],[Rank]],Stammdaten[Rank Verteilung Krümmung],0))</f>
        <v>#N/A</v>
      </c>
      <c r="U24" t="e">
        <f>VLOOKUP(Tabelle10[[#This Row],[Rank]],Stammdaten[[Rank Verteilung Krümmung]:[Verteilung Krümmung]],2,FALSE)</f>
        <v>#N/A</v>
      </c>
      <c r="Z24">
        <v>15</v>
      </c>
      <c r="AA24" t="e">
        <f>INDEX(Stammdaten[Ovalität (']0,1'])],MATCH(Tabelle1014[[#This Row],[Rank]],Stammdaten[Rank Verteilung Ovalität],0))</f>
        <v>#N/A</v>
      </c>
      <c r="AB24" t="e">
        <f>VLOOKUP(Tabelle1014[[#This Row],[Rank]],Stammdaten[[Rank Verteilung Ovalität]:[Verteilung Ovalität]],2,FALSE)</f>
        <v>#N/A</v>
      </c>
    </row>
    <row r="25" spans="2:28" x14ac:dyDescent="0.35">
      <c r="B25" s="51" t="s">
        <v>62</v>
      </c>
      <c r="C25" s="33">
        <v>1</v>
      </c>
      <c r="E25">
        <v>16</v>
      </c>
      <c r="F25" t="e">
        <f>INDEX(Stammdaten[D Mitte mit Rinde (mm)],MATCH(Tabelle8[[#This Row],[Rank]],Stammdaten[Rank Verteilung D Mitte mit Rinde],0))</f>
        <v>#N/A</v>
      </c>
      <c r="G25" t="e">
        <f>VLOOKUP(Tabelle8[[#This Row],[Rank]],Stammdaten[[Rank Verteilung D Mitte mit Rinde]:[Verteilung D Mitte mit Rinde]],2,FALSE)</f>
        <v>#N/A</v>
      </c>
      <c r="L25">
        <v>16</v>
      </c>
      <c r="M25" t="e">
        <f>INDEX(Stammdaten[Abholzigkeit (mm/lfm)],MATCH(Tabelle9[[#This Row],[Rank]],Stammdaten[Rank Verteilung Abholzigkeit],0))</f>
        <v>#N/A</v>
      </c>
      <c r="N25" t="e">
        <f>VLOOKUP(Tabelle9[[#This Row],[Rank]],Stammdaten[[Rank Verteilung Abholzigkeit]:[Verteilung Abholzigkeit]],2,FALSE)</f>
        <v>#N/A</v>
      </c>
      <c r="S25">
        <v>16</v>
      </c>
      <c r="T25" t="e">
        <f>INDEX(Stammdaten[Krümmung (mm/lfm)],MATCH(Tabelle10[[#This Row],[Rank]],Stammdaten[Rank Verteilung Krümmung],0))</f>
        <v>#N/A</v>
      </c>
      <c r="U25" t="e">
        <f>VLOOKUP(Tabelle10[[#This Row],[Rank]],Stammdaten[[Rank Verteilung Krümmung]:[Verteilung Krümmung]],2,FALSE)</f>
        <v>#N/A</v>
      </c>
      <c r="Z25">
        <v>16</v>
      </c>
      <c r="AA25" t="e">
        <f>INDEX(Stammdaten[Ovalität (']0,1'])],MATCH(Tabelle1014[[#This Row],[Rank]],Stammdaten[Rank Verteilung Ovalität],0))</f>
        <v>#N/A</v>
      </c>
      <c r="AB25" t="e">
        <f>VLOOKUP(Tabelle1014[[#This Row],[Rank]],Stammdaten[[Rank Verteilung Ovalität]:[Verteilung Ovalität]],2,FALSE)</f>
        <v>#N/A</v>
      </c>
    </row>
    <row r="26" spans="2:28" x14ac:dyDescent="0.35">
      <c r="B26" s="51" t="s">
        <v>60</v>
      </c>
      <c r="C26" s="33">
        <v>1</v>
      </c>
      <c r="E26">
        <v>17</v>
      </c>
      <c r="F26" t="e">
        <f>INDEX(Stammdaten[D Mitte mit Rinde (mm)],MATCH(Tabelle8[[#This Row],[Rank]],Stammdaten[Rank Verteilung D Mitte mit Rinde],0))</f>
        <v>#N/A</v>
      </c>
      <c r="G26" t="e">
        <f>VLOOKUP(Tabelle8[[#This Row],[Rank]],Stammdaten[[Rank Verteilung D Mitte mit Rinde]:[Verteilung D Mitte mit Rinde]],2,FALSE)</f>
        <v>#N/A</v>
      </c>
      <c r="L26">
        <v>17</v>
      </c>
      <c r="M26" t="e">
        <f>INDEX(Stammdaten[Abholzigkeit (mm/lfm)],MATCH(Tabelle9[[#This Row],[Rank]],Stammdaten[Rank Verteilung Abholzigkeit],0))</f>
        <v>#N/A</v>
      </c>
      <c r="N26" t="e">
        <f>VLOOKUP(Tabelle9[[#This Row],[Rank]],Stammdaten[[Rank Verteilung Abholzigkeit]:[Verteilung Abholzigkeit]],2,FALSE)</f>
        <v>#N/A</v>
      </c>
      <c r="S26">
        <v>17</v>
      </c>
      <c r="T26" t="e">
        <f>INDEX(Stammdaten[Krümmung (mm/lfm)],MATCH(Tabelle10[[#This Row],[Rank]],Stammdaten[Rank Verteilung Krümmung],0))</f>
        <v>#N/A</v>
      </c>
      <c r="U26" t="e">
        <f>VLOOKUP(Tabelle10[[#This Row],[Rank]],Stammdaten[[Rank Verteilung Krümmung]:[Verteilung Krümmung]],2,FALSE)</f>
        <v>#N/A</v>
      </c>
      <c r="Z26">
        <v>17</v>
      </c>
      <c r="AA26" t="e">
        <f>INDEX(Stammdaten[Ovalität (']0,1'])],MATCH(Tabelle1014[[#This Row],[Rank]],Stammdaten[Rank Verteilung Ovalität],0))</f>
        <v>#N/A</v>
      </c>
      <c r="AB26" t="e">
        <f>VLOOKUP(Tabelle1014[[#This Row],[Rank]],Stammdaten[[Rank Verteilung Ovalität]:[Verteilung Ovalität]],2,FALSE)</f>
        <v>#N/A</v>
      </c>
    </row>
    <row r="27" spans="2:28" x14ac:dyDescent="0.35">
      <c r="E27">
        <v>18</v>
      </c>
      <c r="F27" t="e">
        <f>INDEX(Stammdaten[D Mitte mit Rinde (mm)],MATCH(Tabelle8[[#This Row],[Rank]],Stammdaten[Rank Verteilung D Mitte mit Rinde],0))</f>
        <v>#N/A</v>
      </c>
      <c r="G27" t="e">
        <f>VLOOKUP(Tabelle8[[#This Row],[Rank]],Stammdaten[[Rank Verteilung D Mitte mit Rinde]:[Verteilung D Mitte mit Rinde]],2,FALSE)</f>
        <v>#N/A</v>
      </c>
      <c r="L27">
        <v>18</v>
      </c>
      <c r="M27" t="e">
        <f>INDEX(Stammdaten[Abholzigkeit (mm/lfm)],MATCH(Tabelle9[[#This Row],[Rank]],Stammdaten[Rank Verteilung Abholzigkeit],0))</f>
        <v>#N/A</v>
      </c>
      <c r="N27" t="e">
        <f>VLOOKUP(Tabelle9[[#This Row],[Rank]],Stammdaten[[Rank Verteilung Abholzigkeit]:[Verteilung Abholzigkeit]],2,FALSE)</f>
        <v>#N/A</v>
      </c>
      <c r="S27">
        <v>18</v>
      </c>
      <c r="T27" t="e">
        <f>INDEX(Stammdaten[Krümmung (mm/lfm)],MATCH(Tabelle10[[#This Row],[Rank]],Stammdaten[Rank Verteilung Krümmung],0))</f>
        <v>#N/A</v>
      </c>
      <c r="U27" t="e">
        <f>VLOOKUP(Tabelle10[[#This Row],[Rank]],Stammdaten[[Rank Verteilung Krümmung]:[Verteilung Krümmung]],2,FALSE)</f>
        <v>#N/A</v>
      </c>
      <c r="Z27">
        <v>18</v>
      </c>
      <c r="AA27" t="e">
        <f>INDEX(Stammdaten[Ovalität (']0,1'])],MATCH(Tabelle1014[[#This Row],[Rank]],Stammdaten[Rank Verteilung Ovalität],0))</f>
        <v>#N/A</v>
      </c>
      <c r="AB27" t="e">
        <f>VLOOKUP(Tabelle1014[[#This Row],[Rank]],Stammdaten[[Rank Verteilung Ovalität]:[Verteilung Ovalität]],2,FALSE)</f>
        <v>#N/A</v>
      </c>
    </row>
    <row r="28" spans="2:28" x14ac:dyDescent="0.35">
      <c r="E28">
        <v>19</v>
      </c>
      <c r="F28" t="e">
        <f>INDEX(Stammdaten[D Mitte mit Rinde (mm)],MATCH(Tabelle8[[#This Row],[Rank]],Stammdaten[Rank Verteilung D Mitte mit Rinde],0))</f>
        <v>#N/A</v>
      </c>
      <c r="G28" t="e">
        <f>VLOOKUP(Tabelle8[[#This Row],[Rank]],Stammdaten[[Rank Verteilung D Mitte mit Rinde]:[Verteilung D Mitte mit Rinde]],2,FALSE)</f>
        <v>#N/A</v>
      </c>
      <c r="L28">
        <v>19</v>
      </c>
      <c r="M28" t="e">
        <f>INDEX(Stammdaten[Abholzigkeit (mm/lfm)],MATCH(Tabelle9[[#This Row],[Rank]],Stammdaten[Rank Verteilung Abholzigkeit],0))</f>
        <v>#N/A</v>
      </c>
      <c r="N28" t="e">
        <f>VLOOKUP(Tabelle9[[#This Row],[Rank]],Stammdaten[[Rank Verteilung Abholzigkeit]:[Verteilung Abholzigkeit]],2,FALSE)</f>
        <v>#N/A</v>
      </c>
      <c r="S28">
        <v>19</v>
      </c>
      <c r="T28" t="e">
        <f>INDEX(Stammdaten[Krümmung (mm/lfm)],MATCH(Tabelle10[[#This Row],[Rank]],Stammdaten[Rank Verteilung Krümmung],0))</f>
        <v>#N/A</v>
      </c>
      <c r="U28" t="e">
        <f>VLOOKUP(Tabelle10[[#This Row],[Rank]],Stammdaten[[Rank Verteilung Krümmung]:[Verteilung Krümmung]],2,FALSE)</f>
        <v>#N/A</v>
      </c>
      <c r="Z28">
        <v>19</v>
      </c>
      <c r="AA28" t="e">
        <f>INDEX(Stammdaten[Ovalität (']0,1'])],MATCH(Tabelle1014[[#This Row],[Rank]],Stammdaten[Rank Verteilung Ovalität],0))</f>
        <v>#N/A</v>
      </c>
      <c r="AB28" t="e">
        <f>VLOOKUP(Tabelle1014[[#This Row],[Rank]],Stammdaten[[Rank Verteilung Ovalität]:[Verteilung Ovalität]],2,FALSE)</f>
        <v>#N/A</v>
      </c>
    </row>
    <row r="29" spans="2:28" x14ac:dyDescent="0.35">
      <c r="E29">
        <v>20</v>
      </c>
      <c r="F29" t="e">
        <f>INDEX(Stammdaten[D Mitte mit Rinde (mm)],MATCH(Tabelle8[[#This Row],[Rank]],Stammdaten[Rank Verteilung D Mitte mit Rinde],0))</f>
        <v>#N/A</v>
      </c>
      <c r="G29" t="e">
        <f>VLOOKUP(Tabelle8[[#This Row],[Rank]],Stammdaten[[Rank Verteilung D Mitte mit Rinde]:[Verteilung D Mitte mit Rinde]],2,FALSE)</f>
        <v>#N/A</v>
      </c>
      <c r="L29">
        <v>20</v>
      </c>
      <c r="M29" t="e">
        <f>INDEX(Stammdaten[Abholzigkeit (mm/lfm)],MATCH(Tabelle9[[#This Row],[Rank]],Stammdaten[Rank Verteilung Abholzigkeit],0))</f>
        <v>#N/A</v>
      </c>
      <c r="N29" t="e">
        <f>VLOOKUP(Tabelle9[[#This Row],[Rank]],Stammdaten[[Rank Verteilung Abholzigkeit]:[Verteilung Abholzigkeit]],2,FALSE)</f>
        <v>#N/A</v>
      </c>
      <c r="S29">
        <v>20</v>
      </c>
      <c r="T29" t="e">
        <f>INDEX(Stammdaten[Krümmung (mm/lfm)],MATCH(Tabelle10[[#This Row],[Rank]],Stammdaten[Rank Verteilung Krümmung],0))</f>
        <v>#N/A</v>
      </c>
      <c r="U29" t="e">
        <f>VLOOKUP(Tabelle10[[#This Row],[Rank]],Stammdaten[[Rank Verteilung Krümmung]:[Verteilung Krümmung]],2,FALSE)</f>
        <v>#N/A</v>
      </c>
      <c r="Z29">
        <v>20</v>
      </c>
      <c r="AA29" t="e">
        <f>INDEX(Stammdaten[Ovalität (']0,1'])],MATCH(Tabelle1014[[#This Row],[Rank]],Stammdaten[Rank Verteilung Ovalität],0))</f>
        <v>#N/A</v>
      </c>
      <c r="AB29" t="e">
        <f>VLOOKUP(Tabelle1014[[#This Row],[Rank]],Stammdaten[[Rank Verteilung Ovalität]:[Verteilung Ovalität]],2,FALSE)</f>
        <v>#N/A</v>
      </c>
    </row>
    <row r="30" spans="2:28" x14ac:dyDescent="0.35">
      <c r="E30">
        <v>21</v>
      </c>
      <c r="F30" t="e">
        <f>INDEX(Stammdaten[D Mitte mit Rinde (mm)],MATCH(Tabelle8[[#This Row],[Rank]],Stammdaten[Rank Verteilung D Mitte mit Rinde],0))</f>
        <v>#N/A</v>
      </c>
      <c r="G30" t="e">
        <f>VLOOKUP(Tabelle8[[#This Row],[Rank]],Stammdaten[[Rank Verteilung D Mitte mit Rinde]:[Verteilung D Mitte mit Rinde]],2,FALSE)</f>
        <v>#N/A</v>
      </c>
      <c r="L30">
        <v>21</v>
      </c>
      <c r="M30" t="e">
        <f>INDEX(Stammdaten[Abholzigkeit (mm/lfm)],MATCH(Tabelle9[[#This Row],[Rank]],Stammdaten[Rank Verteilung Abholzigkeit],0))</f>
        <v>#N/A</v>
      </c>
      <c r="N30" t="e">
        <f>VLOOKUP(Tabelle9[[#This Row],[Rank]],Stammdaten[[Rank Verteilung Abholzigkeit]:[Verteilung Abholzigkeit]],2,FALSE)</f>
        <v>#N/A</v>
      </c>
      <c r="S30">
        <v>21</v>
      </c>
      <c r="T30" t="e">
        <f>INDEX(Stammdaten[Krümmung (mm/lfm)],MATCH(Tabelle10[[#This Row],[Rank]],Stammdaten[Rank Verteilung Krümmung],0))</f>
        <v>#N/A</v>
      </c>
      <c r="U30" t="e">
        <f>VLOOKUP(Tabelle10[[#This Row],[Rank]],Stammdaten[[Rank Verteilung Krümmung]:[Verteilung Krümmung]],2,FALSE)</f>
        <v>#N/A</v>
      </c>
      <c r="Z30">
        <v>21</v>
      </c>
      <c r="AA30" t="e">
        <f>INDEX(Stammdaten[Ovalität (']0,1'])],MATCH(Tabelle1014[[#This Row],[Rank]],Stammdaten[Rank Verteilung Ovalität],0))</f>
        <v>#N/A</v>
      </c>
      <c r="AB30" t="e">
        <f>VLOOKUP(Tabelle1014[[#This Row],[Rank]],Stammdaten[[Rank Verteilung Ovalität]:[Verteilung Ovalität]],2,FALSE)</f>
        <v>#N/A</v>
      </c>
    </row>
    <row r="31" spans="2:28" x14ac:dyDescent="0.35">
      <c r="E31">
        <v>22</v>
      </c>
      <c r="F31" t="e">
        <f>INDEX(Stammdaten[D Mitte mit Rinde (mm)],MATCH(Tabelle8[[#This Row],[Rank]],Stammdaten[Rank Verteilung D Mitte mit Rinde],0))</f>
        <v>#N/A</v>
      </c>
      <c r="G31" t="e">
        <f>VLOOKUP(Tabelle8[[#This Row],[Rank]],Stammdaten[[Rank Verteilung D Mitte mit Rinde]:[Verteilung D Mitte mit Rinde]],2,FALSE)</f>
        <v>#N/A</v>
      </c>
      <c r="L31">
        <v>22</v>
      </c>
      <c r="M31" t="e">
        <f>INDEX(Stammdaten[Abholzigkeit (mm/lfm)],MATCH(Tabelle9[[#This Row],[Rank]],Stammdaten[Rank Verteilung Abholzigkeit],0))</f>
        <v>#N/A</v>
      </c>
      <c r="N31" t="e">
        <f>VLOOKUP(Tabelle9[[#This Row],[Rank]],Stammdaten[[Rank Verteilung Abholzigkeit]:[Verteilung Abholzigkeit]],2,FALSE)</f>
        <v>#N/A</v>
      </c>
      <c r="S31">
        <v>22</v>
      </c>
      <c r="T31" t="e">
        <f>INDEX(Stammdaten[Krümmung (mm/lfm)],MATCH(Tabelle10[[#This Row],[Rank]],Stammdaten[Rank Verteilung Krümmung],0))</f>
        <v>#N/A</v>
      </c>
      <c r="U31" t="e">
        <f>VLOOKUP(Tabelle10[[#This Row],[Rank]],Stammdaten[[Rank Verteilung Krümmung]:[Verteilung Krümmung]],2,FALSE)</f>
        <v>#N/A</v>
      </c>
      <c r="Z31">
        <v>22</v>
      </c>
      <c r="AA31" t="e">
        <f>INDEX(Stammdaten[Ovalität (']0,1'])],MATCH(Tabelle1014[[#This Row],[Rank]],Stammdaten[Rank Verteilung Ovalität],0))</f>
        <v>#N/A</v>
      </c>
      <c r="AB31" t="e">
        <f>VLOOKUP(Tabelle1014[[#This Row],[Rank]],Stammdaten[[Rank Verteilung Ovalität]:[Verteilung Ovalität]],2,FALSE)</f>
        <v>#N/A</v>
      </c>
    </row>
    <row r="32" spans="2:28" x14ac:dyDescent="0.35">
      <c r="E32">
        <v>23</v>
      </c>
      <c r="F32" t="e">
        <f>INDEX(Stammdaten[D Mitte mit Rinde (mm)],MATCH(Tabelle8[[#This Row],[Rank]],Stammdaten[Rank Verteilung D Mitte mit Rinde],0))</f>
        <v>#N/A</v>
      </c>
      <c r="G32" t="e">
        <f>VLOOKUP(Tabelle8[[#This Row],[Rank]],Stammdaten[[Rank Verteilung D Mitte mit Rinde]:[Verteilung D Mitte mit Rinde]],2,FALSE)</f>
        <v>#N/A</v>
      </c>
      <c r="L32">
        <v>23</v>
      </c>
      <c r="M32" t="e">
        <f>INDEX(Stammdaten[Abholzigkeit (mm/lfm)],MATCH(Tabelle9[[#This Row],[Rank]],Stammdaten[Rank Verteilung Abholzigkeit],0))</f>
        <v>#N/A</v>
      </c>
      <c r="N32" t="e">
        <f>VLOOKUP(Tabelle9[[#This Row],[Rank]],Stammdaten[[Rank Verteilung Abholzigkeit]:[Verteilung Abholzigkeit]],2,FALSE)</f>
        <v>#N/A</v>
      </c>
      <c r="S32">
        <v>23</v>
      </c>
      <c r="T32" t="e">
        <f>INDEX(Stammdaten[Krümmung (mm/lfm)],MATCH(Tabelle10[[#This Row],[Rank]],Stammdaten[Rank Verteilung Krümmung],0))</f>
        <v>#N/A</v>
      </c>
      <c r="U32" t="e">
        <f>VLOOKUP(Tabelle10[[#This Row],[Rank]],Stammdaten[[Rank Verteilung Krümmung]:[Verteilung Krümmung]],2,FALSE)</f>
        <v>#N/A</v>
      </c>
      <c r="Z32">
        <v>23</v>
      </c>
      <c r="AA32" t="e">
        <f>INDEX(Stammdaten[Ovalität (']0,1'])],MATCH(Tabelle1014[[#This Row],[Rank]],Stammdaten[Rank Verteilung Ovalität],0))</f>
        <v>#N/A</v>
      </c>
      <c r="AB32" t="e">
        <f>VLOOKUP(Tabelle1014[[#This Row],[Rank]],Stammdaten[[Rank Verteilung Ovalität]:[Verteilung Ovalität]],2,FALSE)</f>
        <v>#N/A</v>
      </c>
    </row>
    <row r="33" spans="5:28" x14ac:dyDescent="0.35">
      <c r="E33">
        <v>24</v>
      </c>
      <c r="F33" t="e">
        <f>INDEX(Stammdaten[D Mitte mit Rinde (mm)],MATCH(Tabelle8[[#This Row],[Rank]],Stammdaten[Rank Verteilung D Mitte mit Rinde],0))</f>
        <v>#N/A</v>
      </c>
      <c r="G33" t="e">
        <f>VLOOKUP(Tabelle8[[#This Row],[Rank]],Stammdaten[[Rank Verteilung D Mitte mit Rinde]:[Verteilung D Mitte mit Rinde]],2,FALSE)</f>
        <v>#N/A</v>
      </c>
      <c r="L33">
        <v>24</v>
      </c>
      <c r="M33" t="e">
        <f>INDEX(Stammdaten[Abholzigkeit (mm/lfm)],MATCH(Tabelle9[[#This Row],[Rank]],Stammdaten[Rank Verteilung Abholzigkeit],0))</f>
        <v>#N/A</v>
      </c>
      <c r="N33" t="e">
        <f>VLOOKUP(Tabelle9[[#This Row],[Rank]],Stammdaten[[Rank Verteilung Abholzigkeit]:[Verteilung Abholzigkeit]],2,FALSE)</f>
        <v>#N/A</v>
      </c>
      <c r="S33">
        <v>24</v>
      </c>
      <c r="T33" t="e">
        <f>INDEX(Stammdaten[Krümmung (mm/lfm)],MATCH(Tabelle10[[#This Row],[Rank]],Stammdaten[Rank Verteilung Krümmung],0))</f>
        <v>#N/A</v>
      </c>
      <c r="U33" t="e">
        <f>VLOOKUP(Tabelle10[[#This Row],[Rank]],Stammdaten[[Rank Verteilung Krümmung]:[Verteilung Krümmung]],2,FALSE)</f>
        <v>#N/A</v>
      </c>
      <c r="Z33">
        <v>24</v>
      </c>
      <c r="AA33" t="e">
        <f>INDEX(Stammdaten[Ovalität (']0,1'])],MATCH(Tabelle1014[[#This Row],[Rank]],Stammdaten[Rank Verteilung Ovalität],0))</f>
        <v>#N/A</v>
      </c>
      <c r="AB33" t="e">
        <f>VLOOKUP(Tabelle1014[[#This Row],[Rank]],Stammdaten[[Rank Verteilung Ovalität]:[Verteilung Ovalität]],2,FALSE)</f>
        <v>#N/A</v>
      </c>
    </row>
    <row r="34" spans="5:28" x14ac:dyDescent="0.35">
      <c r="E34">
        <v>25</v>
      </c>
      <c r="F34" t="e">
        <f>INDEX(Stammdaten[D Mitte mit Rinde (mm)],MATCH(Tabelle8[[#This Row],[Rank]],Stammdaten[Rank Verteilung D Mitte mit Rinde],0))</f>
        <v>#N/A</v>
      </c>
      <c r="G34" t="e">
        <f>VLOOKUP(Tabelle8[[#This Row],[Rank]],Stammdaten[[Rank Verteilung D Mitte mit Rinde]:[Verteilung D Mitte mit Rinde]],2,FALSE)</f>
        <v>#N/A</v>
      </c>
      <c r="L34">
        <v>25</v>
      </c>
      <c r="M34" t="e">
        <f>INDEX(Stammdaten[Abholzigkeit (mm/lfm)],MATCH(Tabelle9[[#This Row],[Rank]],Stammdaten[Rank Verteilung Abholzigkeit],0))</f>
        <v>#N/A</v>
      </c>
      <c r="N34" t="e">
        <f>VLOOKUP(Tabelle9[[#This Row],[Rank]],Stammdaten[[Rank Verteilung Abholzigkeit]:[Verteilung Abholzigkeit]],2,FALSE)</f>
        <v>#N/A</v>
      </c>
      <c r="S34">
        <v>25</v>
      </c>
      <c r="T34" t="e">
        <f>INDEX(Stammdaten[Krümmung (mm/lfm)],MATCH(Tabelle10[[#This Row],[Rank]],Stammdaten[Rank Verteilung Krümmung],0))</f>
        <v>#N/A</v>
      </c>
      <c r="U34" t="e">
        <f>VLOOKUP(Tabelle10[[#This Row],[Rank]],Stammdaten[[Rank Verteilung Krümmung]:[Verteilung Krümmung]],2,FALSE)</f>
        <v>#N/A</v>
      </c>
      <c r="Z34">
        <v>25</v>
      </c>
      <c r="AA34" t="e">
        <f>INDEX(Stammdaten[Ovalität (']0,1'])],MATCH(Tabelle1014[[#This Row],[Rank]],Stammdaten[Rank Verteilung Ovalität],0))</f>
        <v>#N/A</v>
      </c>
      <c r="AB34" t="e">
        <f>VLOOKUP(Tabelle1014[[#This Row],[Rank]],Stammdaten[[Rank Verteilung Ovalität]:[Verteilung Ovalität]],2,FALSE)</f>
        <v>#N/A</v>
      </c>
    </row>
    <row r="35" spans="5:28" x14ac:dyDescent="0.35">
      <c r="E35">
        <v>26</v>
      </c>
      <c r="F35" t="e">
        <f>INDEX(Stammdaten[D Mitte mit Rinde (mm)],MATCH(Tabelle8[[#This Row],[Rank]],Stammdaten[Rank Verteilung D Mitte mit Rinde],0))</f>
        <v>#N/A</v>
      </c>
      <c r="G35" t="e">
        <f>VLOOKUP(Tabelle8[[#This Row],[Rank]],Stammdaten[[Rank Verteilung D Mitte mit Rinde]:[Verteilung D Mitte mit Rinde]],2,FALSE)</f>
        <v>#N/A</v>
      </c>
      <c r="L35">
        <v>26</v>
      </c>
      <c r="M35" t="e">
        <f>INDEX(Stammdaten[Abholzigkeit (mm/lfm)],MATCH(Tabelle9[[#This Row],[Rank]],Stammdaten[Rank Verteilung Abholzigkeit],0))</f>
        <v>#N/A</v>
      </c>
      <c r="N35" t="e">
        <f>VLOOKUP(Tabelle9[[#This Row],[Rank]],Stammdaten[[Rank Verteilung Abholzigkeit]:[Verteilung Abholzigkeit]],2,FALSE)</f>
        <v>#N/A</v>
      </c>
      <c r="S35">
        <v>26</v>
      </c>
      <c r="T35" t="e">
        <f>INDEX(Stammdaten[Krümmung (mm/lfm)],MATCH(Tabelle10[[#This Row],[Rank]],Stammdaten[Rank Verteilung Krümmung],0))</f>
        <v>#N/A</v>
      </c>
      <c r="U35" t="e">
        <f>VLOOKUP(Tabelle10[[#This Row],[Rank]],Stammdaten[[Rank Verteilung Krümmung]:[Verteilung Krümmung]],2,FALSE)</f>
        <v>#N/A</v>
      </c>
      <c r="Z35">
        <v>26</v>
      </c>
      <c r="AA35" t="e">
        <f>INDEX(Stammdaten[Ovalität (']0,1'])],MATCH(Tabelle1014[[#This Row],[Rank]],Stammdaten[Rank Verteilung Ovalität],0))</f>
        <v>#N/A</v>
      </c>
      <c r="AB35" t="e">
        <f>VLOOKUP(Tabelle1014[[#This Row],[Rank]],Stammdaten[[Rank Verteilung Ovalität]:[Verteilung Ovalität]],2,FALSE)</f>
        <v>#N/A</v>
      </c>
    </row>
    <row r="36" spans="5:28" x14ac:dyDescent="0.35">
      <c r="E36">
        <v>27</v>
      </c>
      <c r="F36" t="e">
        <f>INDEX(Stammdaten[D Mitte mit Rinde (mm)],MATCH(Tabelle8[[#This Row],[Rank]],Stammdaten[Rank Verteilung D Mitte mit Rinde],0))</f>
        <v>#N/A</v>
      </c>
      <c r="G36" t="e">
        <f>VLOOKUP(Tabelle8[[#This Row],[Rank]],Stammdaten[[Rank Verteilung D Mitte mit Rinde]:[Verteilung D Mitte mit Rinde]],2,FALSE)</f>
        <v>#N/A</v>
      </c>
      <c r="L36">
        <v>27</v>
      </c>
      <c r="M36" t="e">
        <f>INDEX(Stammdaten[Abholzigkeit (mm/lfm)],MATCH(Tabelle9[[#This Row],[Rank]],Stammdaten[Rank Verteilung Abholzigkeit],0))</f>
        <v>#N/A</v>
      </c>
      <c r="N36" t="e">
        <f>VLOOKUP(Tabelle9[[#This Row],[Rank]],Stammdaten[[Rank Verteilung Abholzigkeit]:[Verteilung Abholzigkeit]],2,FALSE)</f>
        <v>#N/A</v>
      </c>
      <c r="S36">
        <v>27</v>
      </c>
      <c r="T36" t="e">
        <f>INDEX(Stammdaten[Krümmung (mm/lfm)],MATCH(Tabelle10[[#This Row],[Rank]],Stammdaten[Rank Verteilung Krümmung],0))</f>
        <v>#N/A</v>
      </c>
      <c r="U36" t="e">
        <f>VLOOKUP(Tabelle10[[#This Row],[Rank]],Stammdaten[[Rank Verteilung Krümmung]:[Verteilung Krümmung]],2,FALSE)</f>
        <v>#N/A</v>
      </c>
      <c r="Z36">
        <v>27</v>
      </c>
      <c r="AA36" t="e">
        <f>INDEX(Stammdaten[Ovalität (']0,1'])],MATCH(Tabelle1014[[#This Row],[Rank]],Stammdaten[Rank Verteilung Ovalität],0))</f>
        <v>#N/A</v>
      </c>
      <c r="AB36" t="e">
        <f>VLOOKUP(Tabelle1014[[#This Row],[Rank]],Stammdaten[[Rank Verteilung Ovalität]:[Verteilung Ovalität]],2,FALSE)</f>
        <v>#N/A</v>
      </c>
    </row>
    <row r="37" spans="5:28" x14ac:dyDescent="0.35">
      <c r="E37">
        <v>28</v>
      </c>
      <c r="F37" t="e">
        <f>INDEX(Stammdaten[D Mitte mit Rinde (mm)],MATCH(Tabelle8[[#This Row],[Rank]],Stammdaten[Rank Verteilung D Mitte mit Rinde],0))</f>
        <v>#N/A</v>
      </c>
      <c r="G37" t="e">
        <f>VLOOKUP(Tabelle8[[#This Row],[Rank]],Stammdaten[[Rank Verteilung D Mitte mit Rinde]:[Verteilung D Mitte mit Rinde]],2,FALSE)</f>
        <v>#N/A</v>
      </c>
      <c r="L37">
        <v>28</v>
      </c>
      <c r="M37" t="e">
        <f>INDEX(Stammdaten[Abholzigkeit (mm/lfm)],MATCH(Tabelle9[[#This Row],[Rank]],Stammdaten[Rank Verteilung Abholzigkeit],0))</f>
        <v>#N/A</v>
      </c>
      <c r="N37" t="e">
        <f>VLOOKUP(Tabelle9[[#This Row],[Rank]],Stammdaten[[Rank Verteilung Abholzigkeit]:[Verteilung Abholzigkeit]],2,FALSE)</f>
        <v>#N/A</v>
      </c>
      <c r="S37">
        <v>28</v>
      </c>
      <c r="T37" t="e">
        <f>INDEX(Stammdaten[Krümmung (mm/lfm)],MATCH(Tabelle10[[#This Row],[Rank]],Stammdaten[Rank Verteilung Krümmung],0))</f>
        <v>#N/A</v>
      </c>
      <c r="U37" t="e">
        <f>VLOOKUP(Tabelle10[[#This Row],[Rank]],Stammdaten[[Rank Verteilung Krümmung]:[Verteilung Krümmung]],2,FALSE)</f>
        <v>#N/A</v>
      </c>
      <c r="Z37">
        <v>28</v>
      </c>
      <c r="AA37" t="e">
        <f>INDEX(Stammdaten[Ovalität (']0,1'])],MATCH(Tabelle1014[[#This Row],[Rank]],Stammdaten[Rank Verteilung Ovalität],0))</f>
        <v>#N/A</v>
      </c>
      <c r="AB37" t="e">
        <f>VLOOKUP(Tabelle1014[[#This Row],[Rank]],Stammdaten[[Rank Verteilung Ovalität]:[Verteilung Ovalität]],2,FALSE)</f>
        <v>#N/A</v>
      </c>
    </row>
    <row r="38" spans="5:28" x14ac:dyDescent="0.35">
      <c r="E38">
        <v>29</v>
      </c>
      <c r="F38" t="e">
        <f>INDEX(Stammdaten[D Mitte mit Rinde (mm)],MATCH(Tabelle8[[#This Row],[Rank]],Stammdaten[Rank Verteilung D Mitte mit Rinde],0))</f>
        <v>#N/A</v>
      </c>
      <c r="G38" t="e">
        <f>VLOOKUP(Tabelle8[[#This Row],[Rank]],Stammdaten[[Rank Verteilung D Mitte mit Rinde]:[Verteilung D Mitte mit Rinde]],2,FALSE)</f>
        <v>#N/A</v>
      </c>
      <c r="L38">
        <v>29</v>
      </c>
      <c r="M38" t="e">
        <f>INDEX(Stammdaten[Abholzigkeit (mm/lfm)],MATCH(Tabelle9[[#This Row],[Rank]],Stammdaten[Rank Verteilung Abholzigkeit],0))</f>
        <v>#N/A</v>
      </c>
      <c r="N38" t="e">
        <f>VLOOKUP(Tabelle9[[#This Row],[Rank]],Stammdaten[[Rank Verteilung Abholzigkeit]:[Verteilung Abholzigkeit]],2,FALSE)</f>
        <v>#N/A</v>
      </c>
      <c r="S38">
        <v>29</v>
      </c>
      <c r="T38" t="e">
        <f>INDEX(Stammdaten[Krümmung (mm/lfm)],MATCH(Tabelle10[[#This Row],[Rank]],Stammdaten[Rank Verteilung Krümmung],0))</f>
        <v>#N/A</v>
      </c>
      <c r="U38" t="e">
        <f>VLOOKUP(Tabelle10[[#This Row],[Rank]],Stammdaten[[Rank Verteilung Krümmung]:[Verteilung Krümmung]],2,FALSE)</f>
        <v>#N/A</v>
      </c>
      <c r="Z38">
        <v>29</v>
      </c>
      <c r="AA38" t="e">
        <f>INDEX(Stammdaten[Ovalität (']0,1'])],MATCH(Tabelle1014[[#This Row],[Rank]],Stammdaten[Rank Verteilung Ovalität],0))</f>
        <v>#N/A</v>
      </c>
      <c r="AB38" t="e">
        <f>VLOOKUP(Tabelle1014[[#This Row],[Rank]],Stammdaten[[Rank Verteilung Ovalität]:[Verteilung Ovalität]],2,FALSE)</f>
        <v>#N/A</v>
      </c>
    </row>
    <row r="39" spans="5:28" x14ac:dyDescent="0.35">
      <c r="E39">
        <v>30</v>
      </c>
      <c r="F39" t="e">
        <f>INDEX(Stammdaten[D Mitte mit Rinde (mm)],MATCH(Tabelle8[[#This Row],[Rank]],Stammdaten[Rank Verteilung D Mitte mit Rinde],0))</f>
        <v>#N/A</v>
      </c>
      <c r="G39" t="e">
        <f>VLOOKUP(Tabelle8[[#This Row],[Rank]],Stammdaten[[Rank Verteilung D Mitte mit Rinde]:[Verteilung D Mitte mit Rinde]],2,FALSE)</f>
        <v>#N/A</v>
      </c>
      <c r="L39">
        <v>30</v>
      </c>
      <c r="M39" t="e">
        <f>INDEX(Stammdaten[Abholzigkeit (mm/lfm)],MATCH(Tabelle9[[#This Row],[Rank]],Stammdaten[Rank Verteilung Abholzigkeit],0))</f>
        <v>#N/A</v>
      </c>
      <c r="N39" t="e">
        <f>VLOOKUP(Tabelle9[[#This Row],[Rank]],Stammdaten[[Rank Verteilung Abholzigkeit]:[Verteilung Abholzigkeit]],2,FALSE)</f>
        <v>#N/A</v>
      </c>
      <c r="S39">
        <v>30</v>
      </c>
      <c r="T39" t="e">
        <f>INDEX(Stammdaten[Krümmung (mm/lfm)],MATCH(Tabelle10[[#This Row],[Rank]],Stammdaten[Rank Verteilung Krümmung],0))</f>
        <v>#N/A</v>
      </c>
      <c r="U39" t="e">
        <f>VLOOKUP(Tabelle10[[#This Row],[Rank]],Stammdaten[[Rank Verteilung Krümmung]:[Verteilung Krümmung]],2,FALSE)</f>
        <v>#N/A</v>
      </c>
      <c r="Z39">
        <v>30</v>
      </c>
      <c r="AA39" t="e">
        <f>INDEX(Stammdaten[Ovalität (']0,1'])],MATCH(Tabelle1014[[#This Row],[Rank]],Stammdaten[Rank Verteilung Ovalität],0))</f>
        <v>#N/A</v>
      </c>
      <c r="AB39" t="e">
        <f>VLOOKUP(Tabelle1014[[#This Row],[Rank]],Stammdaten[[Rank Verteilung Ovalität]:[Verteilung Ovalität]],2,FALSE)</f>
        <v>#N/A</v>
      </c>
    </row>
    <row r="40" spans="5:28" x14ac:dyDescent="0.35">
      <c r="E40">
        <v>31</v>
      </c>
      <c r="F40" t="e">
        <f>INDEX(Stammdaten[D Mitte mit Rinde (mm)],MATCH(Tabelle8[[#This Row],[Rank]],Stammdaten[Rank Verteilung D Mitte mit Rinde],0))</f>
        <v>#N/A</v>
      </c>
      <c r="G40" t="e">
        <f>VLOOKUP(Tabelle8[[#This Row],[Rank]],Stammdaten[[Rank Verteilung D Mitte mit Rinde]:[Verteilung D Mitte mit Rinde]],2,FALSE)</f>
        <v>#N/A</v>
      </c>
      <c r="L40">
        <v>31</v>
      </c>
      <c r="M40" t="e">
        <f>INDEX(Stammdaten[Abholzigkeit (mm/lfm)],MATCH(Tabelle9[[#This Row],[Rank]],Stammdaten[Rank Verteilung Abholzigkeit],0))</f>
        <v>#N/A</v>
      </c>
      <c r="N40" t="e">
        <f>VLOOKUP(Tabelle9[[#This Row],[Rank]],Stammdaten[[Rank Verteilung Abholzigkeit]:[Verteilung Abholzigkeit]],2,FALSE)</f>
        <v>#N/A</v>
      </c>
      <c r="S40">
        <v>31</v>
      </c>
      <c r="T40" t="e">
        <f>INDEX(Stammdaten[Krümmung (mm/lfm)],MATCH(Tabelle10[[#This Row],[Rank]],Stammdaten[Rank Verteilung Krümmung],0))</f>
        <v>#N/A</v>
      </c>
      <c r="U40" t="e">
        <f>VLOOKUP(Tabelle10[[#This Row],[Rank]],Stammdaten[[Rank Verteilung Krümmung]:[Verteilung Krümmung]],2,FALSE)</f>
        <v>#N/A</v>
      </c>
      <c r="Z40">
        <v>31</v>
      </c>
      <c r="AA40" t="e">
        <f>INDEX(Stammdaten[Ovalität (']0,1'])],MATCH(Tabelle1014[[#This Row],[Rank]],Stammdaten[Rank Verteilung Ovalität],0))</f>
        <v>#N/A</v>
      </c>
      <c r="AB40" t="e">
        <f>VLOOKUP(Tabelle1014[[#This Row],[Rank]],Stammdaten[[Rank Verteilung Ovalität]:[Verteilung Ovalität]],2,FALSE)</f>
        <v>#N/A</v>
      </c>
    </row>
    <row r="41" spans="5:28" x14ac:dyDescent="0.35">
      <c r="E41">
        <v>32</v>
      </c>
      <c r="F41" t="e">
        <f>INDEX(Stammdaten[D Mitte mit Rinde (mm)],MATCH(Tabelle8[[#This Row],[Rank]],Stammdaten[Rank Verteilung D Mitte mit Rinde],0))</f>
        <v>#N/A</v>
      </c>
      <c r="G41" t="e">
        <f>VLOOKUP(Tabelle8[[#This Row],[Rank]],Stammdaten[[Rank Verteilung D Mitte mit Rinde]:[Verteilung D Mitte mit Rinde]],2,FALSE)</f>
        <v>#N/A</v>
      </c>
      <c r="L41">
        <v>32</v>
      </c>
      <c r="M41" t="e">
        <f>INDEX(Stammdaten[Abholzigkeit (mm/lfm)],MATCH(Tabelle9[[#This Row],[Rank]],Stammdaten[Rank Verteilung Abholzigkeit],0))</f>
        <v>#N/A</v>
      </c>
      <c r="N41" t="e">
        <f>VLOOKUP(Tabelle9[[#This Row],[Rank]],Stammdaten[[Rank Verteilung Abholzigkeit]:[Verteilung Abholzigkeit]],2,FALSE)</f>
        <v>#N/A</v>
      </c>
      <c r="S41">
        <v>32</v>
      </c>
      <c r="T41" t="e">
        <f>INDEX(Stammdaten[Krümmung (mm/lfm)],MATCH(Tabelle10[[#This Row],[Rank]],Stammdaten[Rank Verteilung Krümmung],0))</f>
        <v>#N/A</v>
      </c>
      <c r="U41" t="e">
        <f>VLOOKUP(Tabelle10[[#This Row],[Rank]],Stammdaten[[Rank Verteilung Krümmung]:[Verteilung Krümmung]],2,FALSE)</f>
        <v>#N/A</v>
      </c>
      <c r="Z41">
        <v>32</v>
      </c>
      <c r="AA41" t="e">
        <f>INDEX(Stammdaten[Ovalität (']0,1'])],MATCH(Tabelle1014[[#This Row],[Rank]],Stammdaten[Rank Verteilung Ovalität],0))</f>
        <v>#N/A</v>
      </c>
      <c r="AB41" t="e">
        <f>VLOOKUP(Tabelle1014[[#This Row],[Rank]],Stammdaten[[Rank Verteilung Ovalität]:[Verteilung Ovalität]],2,FALSE)</f>
        <v>#N/A</v>
      </c>
    </row>
    <row r="42" spans="5:28" x14ac:dyDescent="0.35">
      <c r="E42">
        <v>33</v>
      </c>
      <c r="F42" t="e">
        <f>INDEX(Stammdaten[D Mitte mit Rinde (mm)],MATCH(Tabelle8[[#This Row],[Rank]],Stammdaten[Rank Verteilung D Mitte mit Rinde],0))</f>
        <v>#N/A</v>
      </c>
      <c r="G42" t="e">
        <f>VLOOKUP(Tabelle8[[#This Row],[Rank]],Stammdaten[[Rank Verteilung D Mitte mit Rinde]:[Verteilung D Mitte mit Rinde]],2,FALSE)</f>
        <v>#N/A</v>
      </c>
      <c r="L42">
        <v>33</v>
      </c>
      <c r="M42" t="e">
        <f>INDEX(Stammdaten[Abholzigkeit (mm/lfm)],MATCH(Tabelle9[[#This Row],[Rank]],Stammdaten[Rank Verteilung Abholzigkeit],0))</f>
        <v>#N/A</v>
      </c>
      <c r="N42" t="e">
        <f>VLOOKUP(Tabelle9[[#This Row],[Rank]],Stammdaten[[Rank Verteilung Abholzigkeit]:[Verteilung Abholzigkeit]],2,FALSE)</f>
        <v>#N/A</v>
      </c>
      <c r="S42">
        <v>33</v>
      </c>
      <c r="T42" t="e">
        <f>INDEX(Stammdaten[Krümmung (mm/lfm)],MATCH(Tabelle10[[#This Row],[Rank]],Stammdaten[Rank Verteilung Krümmung],0))</f>
        <v>#N/A</v>
      </c>
      <c r="U42" t="e">
        <f>VLOOKUP(Tabelle10[[#This Row],[Rank]],Stammdaten[[Rank Verteilung Krümmung]:[Verteilung Krümmung]],2,FALSE)</f>
        <v>#N/A</v>
      </c>
      <c r="Z42">
        <v>33</v>
      </c>
      <c r="AA42" t="e">
        <f>INDEX(Stammdaten[Ovalität (']0,1'])],MATCH(Tabelle1014[[#This Row],[Rank]],Stammdaten[Rank Verteilung Ovalität],0))</f>
        <v>#N/A</v>
      </c>
      <c r="AB42" t="e">
        <f>VLOOKUP(Tabelle1014[[#This Row],[Rank]],Stammdaten[[Rank Verteilung Ovalität]:[Verteilung Ovalität]],2,FALSE)</f>
        <v>#N/A</v>
      </c>
    </row>
    <row r="43" spans="5:28" x14ac:dyDescent="0.35">
      <c r="E43">
        <v>34</v>
      </c>
      <c r="F43" t="e">
        <f>INDEX(Stammdaten[D Mitte mit Rinde (mm)],MATCH(Tabelle8[[#This Row],[Rank]],Stammdaten[Rank Verteilung D Mitte mit Rinde],0))</f>
        <v>#N/A</v>
      </c>
      <c r="G43" t="e">
        <f>VLOOKUP(Tabelle8[[#This Row],[Rank]],Stammdaten[[Rank Verteilung D Mitte mit Rinde]:[Verteilung D Mitte mit Rinde]],2,FALSE)</f>
        <v>#N/A</v>
      </c>
      <c r="L43">
        <v>34</v>
      </c>
      <c r="M43" t="e">
        <f>INDEX(Stammdaten[Abholzigkeit (mm/lfm)],MATCH(Tabelle9[[#This Row],[Rank]],Stammdaten[Rank Verteilung Abholzigkeit],0))</f>
        <v>#N/A</v>
      </c>
      <c r="N43" t="e">
        <f>VLOOKUP(Tabelle9[[#This Row],[Rank]],Stammdaten[[Rank Verteilung Abholzigkeit]:[Verteilung Abholzigkeit]],2,FALSE)</f>
        <v>#N/A</v>
      </c>
      <c r="S43">
        <v>34</v>
      </c>
      <c r="T43" t="e">
        <f>INDEX(Stammdaten[Krümmung (mm/lfm)],MATCH(Tabelle10[[#This Row],[Rank]],Stammdaten[Rank Verteilung Krümmung],0))</f>
        <v>#N/A</v>
      </c>
      <c r="U43" t="e">
        <f>VLOOKUP(Tabelle10[[#This Row],[Rank]],Stammdaten[[Rank Verteilung Krümmung]:[Verteilung Krümmung]],2,FALSE)</f>
        <v>#N/A</v>
      </c>
      <c r="Z43">
        <v>34</v>
      </c>
      <c r="AA43" t="e">
        <f>INDEX(Stammdaten[Ovalität (']0,1'])],MATCH(Tabelle1014[[#This Row],[Rank]],Stammdaten[Rank Verteilung Ovalität],0))</f>
        <v>#N/A</v>
      </c>
      <c r="AB43" t="e">
        <f>VLOOKUP(Tabelle1014[[#This Row],[Rank]],Stammdaten[[Rank Verteilung Ovalität]:[Verteilung Ovalität]],2,FALSE)</f>
        <v>#N/A</v>
      </c>
    </row>
    <row r="44" spans="5:28" x14ac:dyDescent="0.35">
      <c r="E44">
        <v>35</v>
      </c>
      <c r="F44" t="e">
        <f>INDEX(Stammdaten[D Mitte mit Rinde (mm)],MATCH(Tabelle8[[#This Row],[Rank]],Stammdaten[Rank Verteilung D Mitte mit Rinde],0))</f>
        <v>#N/A</v>
      </c>
      <c r="G44" t="e">
        <f>VLOOKUP(Tabelle8[[#This Row],[Rank]],Stammdaten[[Rank Verteilung D Mitte mit Rinde]:[Verteilung D Mitte mit Rinde]],2,FALSE)</f>
        <v>#N/A</v>
      </c>
      <c r="L44">
        <v>35</v>
      </c>
      <c r="M44" t="e">
        <f>INDEX(Stammdaten[Abholzigkeit (mm/lfm)],MATCH(Tabelle9[[#This Row],[Rank]],Stammdaten[Rank Verteilung Abholzigkeit],0))</f>
        <v>#N/A</v>
      </c>
      <c r="N44" t="e">
        <f>VLOOKUP(Tabelle9[[#This Row],[Rank]],Stammdaten[[Rank Verteilung Abholzigkeit]:[Verteilung Abholzigkeit]],2,FALSE)</f>
        <v>#N/A</v>
      </c>
      <c r="S44">
        <v>35</v>
      </c>
      <c r="T44" t="e">
        <f>INDEX(Stammdaten[Krümmung (mm/lfm)],MATCH(Tabelle10[[#This Row],[Rank]],Stammdaten[Rank Verteilung Krümmung],0))</f>
        <v>#N/A</v>
      </c>
      <c r="U44" t="e">
        <f>VLOOKUP(Tabelle10[[#This Row],[Rank]],Stammdaten[[Rank Verteilung Krümmung]:[Verteilung Krümmung]],2,FALSE)</f>
        <v>#N/A</v>
      </c>
      <c r="Z44">
        <v>35</v>
      </c>
      <c r="AA44" t="e">
        <f>INDEX(Stammdaten[Ovalität (']0,1'])],MATCH(Tabelle1014[[#This Row],[Rank]],Stammdaten[Rank Verteilung Ovalität],0))</f>
        <v>#N/A</v>
      </c>
      <c r="AB44" t="e">
        <f>VLOOKUP(Tabelle1014[[#This Row],[Rank]],Stammdaten[[Rank Verteilung Ovalität]:[Verteilung Ovalität]],2,FALSE)</f>
        <v>#N/A</v>
      </c>
    </row>
    <row r="45" spans="5:28" x14ac:dyDescent="0.35">
      <c r="E45">
        <v>36</v>
      </c>
      <c r="F45" t="e">
        <f>INDEX(Stammdaten[D Mitte mit Rinde (mm)],MATCH(Tabelle8[[#This Row],[Rank]],Stammdaten[Rank Verteilung D Mitte mit Rinde],0))</f>
        <v>#N/A</v>
      </c>
      <c r="G45" t="e">
        <f>VLOOKUP(Tabelle8[[#This Row],[Rank]],Stammdaten[[Rank Verteilung D Mitte mit Rinde]:[Verteilung D Mitte mit Rinde]],2,FALSE)</f>
        <v>#N/A</v>
      </c>
      <c r="L45">
        <v>36</v>
      </c>
      <c r="M45" t="e">
        <f>INDEX(Stammdaten[Abholzigkeit (mm/lfm)],MATCH(Tabelle9[[#This Row],[Rank]],Stammdaten[Rank Verteilung Abholzigkeit],0))</f>
        <v>#N/A</v>
      </c>
      <c r="N45" t="e">
        <f>VLOOKUP(Tabelle9[[#This Row],[Rank]],Stammdaten[[Rank Verteilung Abholzigkeit]:[Verteilung Abholzigkeit]],2,FALSE)</f>
        <v>#N/A</v>
      </c>
      <c r="S45">
        <v>36</v>
      </c>
      <c r="T45" t="e">
        <f>INDEX(Stammdaten[Krümmung (mm/lfm)],MATCH(Tabelle10[[#This Row],[Rank]],Stammdaten[Rank Verteilung Krümmung],0))</f>
        <v>#N/A</v>
      </c>
      <c r="U45" t="e">
        <f>VLOOKUP(Tabelle10[[#This Row],[Rank]],Stammdaten[[Rank Verteilung Krümmung]:[Verteilung Krümmung]],2,FALSE)</f>
        <v>#N/A</v>
      </c>
      <c r="Z45">
        <v>36</v>
      </c>
      <c r="AA45" t="e">
        <f>INDEX(Stammdaten[Ovalität (']0,1'])],MATCH(Tabelle1014[[#This Row],[Rank]],Stammdaten[Rank Verteilung Ovalität],0))</f>
        <v>#N/A</v>
      </c>
      <c r="AB45" t="e">
        <f>VLOOKUP(Tabelle1014[[#This Row],[Rank]],Stammdaten[[Rank Verteilung Ovalität]:[Verteilung Ovalität]],2,FALSE)</f>
        <v>#N/A</v>
      </c>
    </row>
    <row r="46" spans="5:28" x14ac:dyDescent="0.35">
      <c r="E46">
        <v>37</v>
      </c>
      <c r="F46" t="e">
        <f>INDEX(Stammdaten[D Mitte mit Rinde (mm)],MATCH(Tabelle8[[#This Row],[Rank]],Stammdaten[Rank Verteilung D Mitte mit Rinde],0))</f>
        <v>#N/A</v>
      </c>
      <c r="G46" t="e">
        <f>VLOOKUP(Tabelle8[[#This Row],[Rank]],Stammdaten[[Rank Verteilung D Mitte mit Rinde]:[Verteilung D Mitte mit Rinde]],2,FALSE)</f>
        <v>#N/A</v>
      </c>
      <c r="L46">
        <v>37</v>
      </c>
      <c r="M46" t="e">
        <f>INDEX(Stammdaten[Abholzigkeit (mm/lfm)],MATCH(Tabelle9[[#This Row],[Rank]],Stammdaten[Rank Verteilung Abholzigkeit],0))</f>
        <v>#N/A</v>
      </c>
      <c r="N46" t="e">
        <f>VLOOKUP(Tabelle9[[#This Row],[Rank]],Stammdaten[[Rank Verteilung Abholzigkeit]:[Verteilung Abholzigkeit]],2,FALSE)</f>
        <v>#N/A</v>
      </c>
      <c r="S46">
        <v>37</v>
      </c>
      <c r="T46" t="e">
        <f>INDEX(Stammdaten[Krümmung (mm/lfm)],MATCH(Tabelle10[[#This Row],[Rank]],Stammdaten[Rank Verteilung Krümmung],0))</f>
        <v>#N/A</v>
      </c>
      <c r="U46" t="e">
        <f>VLOOKUP(Tabelle10[[#This Row],[Rank]],Stammdaten[[Rank Verteilung Krümmung]:[Verteilung Krümmung]],2,FALSE)</f>
        <v>#N/A</v>
      </c>
      <c r="Z46">
        <v>37</v>
      </c>
      <c r="AA46" t="e">
        <f>INDEX(Stammdaten[Ovalität (']0,1'])],MATCH(Tabelle1014[[#This Row],[Rank]],Stammdaten[Rank Verteilung Ovalität],0))</f>
        <v>#N/A</v>
      </c>
      <c r="AB46" t="e">
        <f>VLOOKUP(Tabelle1014[[#This Row],[Rank]],Stammdaten[[Rank Verteilung Ovalität]:[Verteilung Ovalität]],2,FALSE)</f>
        <v>#N/A</v>
      </c>
    </row>
    <row r="47" spans="5:28" x14ac:dyDescent="0.35">
      <c r="E47">
        <v>38</v>
      </c>
      <c r="F47" t="e">
        <f>INDEX(Stammdaten[D Mitte mit Rinde (mm)],MATCH(Tabelle8[[#This Row],[Rank]],Stammdaten[Rank Verteilung D Mitte mit Rinde],0))</f>
        <v>#N/A</v>
      </c>
      <c r="G47" t="e">
        <f>VLOOKUP(Tabelle8[[#This Row],[Rank]],Stammdaten[[Rank Verteilung D Mitte mit Rinde]:[Verteilung D Mitte mit Rinde]],2,FALSE)</f>
        <v>#N/A</v>
      </c>
      <c r="L47">
        <v>38</v>
      </c>
      <c r="M47" t="e">
        <f>INDEX(Stammdaten[Abholzigkeit (mm/lfm)],MATCH(Tabelle9[[#This Row],[Rank]],Stammdaten[Rank Verteilung Abholzigkeit],0))</f>
        <v>#N/A</v>
      </c>
      <c r="N47" t="e">
        <f>VLOOKUP(Tabelle9[[#This Row],[Rank]],Stammdaten[[Rank Verteilung Abholzigkeit]:[Verteilung Abholzigkeit]],2,FALSE)</f>
        <v>#N/A</v>
      </c>
      <c r="S47">
        <v>38</v>
      </c>
      <c r="T47" t="e">
        <f>INDEX(Stammdaten[Krümmung (mm/lfm)],MATCH(Tabelle10[[#This Row],[Rank]],Stammdaten[Rank Verteilung Krümmung],0))</f>
        <v>#N/A</v>
      </c>
      <c r="U47" t="e">
        <f>VLOOKUP(Tabelle10[[#This Row],[Rank]],Stammdaten[[Rank Verteilung Krümmung]:[Verteilung Krümmung]],2,FALSE)</f>
        <v>#N/A</v>
      </c>
      <c r="Z47">
        <v>38</v>
      </c>
      <c r="AA47" t="e">
        <f>INDEX(Stammdaten[Ovalität (']0,1'])],MATCH(Tabelle1014[[#This Row],[Rank]],Stammdaten[Rank Verteilung Ovalität],0))</f>
        <v>#N/A</v>
      </c>
      <c r="AB47" t="e">
        <f>VLOOKUP(Tabelle1014[[#This Row],[Rank]],Stammdaten[[Rank Verteilung Ovalität]:[Verteilung Ovalität]],2,FALSE)</f>
        <v>#N/A</v>
      </c>
    </row>
    <row r="48" spans="5:28" x14ac:dyDescent="0.35">
      <c r="E48">
        <v>39</v>
      </c>
      <c r="F48" t="e">
        <f>INDEX(Stammdaten[D Mitte mit Rinde (mm)],MATCH(Tabelle8[[#This Row],[Rank]],Stammdaten[Rank Verteilung D Mitte mit Rinde],0))</f>
        <v>#N/A</v>
      </c>
      <c r="G48" t="e">
        <f>VLOOKUP(Tabelle8[[#This Row],[Rank]],Stammdaten[[Rank Verteilung D Mitte mit Rinde]:[Verteilung D Mitte mit Rinde]],2,FALSE)</f>
        <v>#N/A</v>
      </c>
      <c r="L48">
        <v>39</v>
      </c>
      <c r="M48" t="e">
        <f>INDEX(Stammdaten[Abholzigkeit (mm/lfm)],MATCH(Tabelle9[[#This Row],[Rank]],Stammdaten[Rank Verteilung Abholzigkeit],0))</f>
        <v>#N/A</v>
      </c>
      <c r="N48" t="e">
        <f>VLOOKUP(Tabelle9[[#This Row],[Rank]],Stammdaten[[Rank Verteilung Abholzigkeit]:[Verteilung Abholzigkeit]],2,FALSE)</f>
        <v>#N/A</v>
      </c>
      <c r="S48">
        <v>39</v>
      </c>
      <c r="T48" t="e">
        <f>INDEX(Stammdaten[Krümmung (mm/lfm)],MATCH(Tabelle10[[#This Row],[Rank]],Stammdaten[Rank Verteilung Krümmung],0))</f>
        <v>#N/A</v>
      </c>
      <c r="U48" t="e">
        <f>VLOOKUP(Tabelle10[[#This Row],[Rank]],Stammdaten[[Rank Verteilung Krümmung]:[Verteilung Krümmung]],2,FALSE)</f>
        <v>#N/A</v>
      </c>
      <c r="Z48">
        <v>39</v>
      </c>
      <c r="AA48" t="e">
        <f>INDEX(Stammdaten[Ovalität (']0,1'])],MATCH(Tabelle1014[[#This Row],[Rank]],Stammdaten[Rank Verteilung Ovalität],0))</f>
        <v>#N/A</v>
      </c>
      <c r="AB48" t="e">
        <f>VLOOKUP(Tabelle1014[[#This Row],[Rank]],Stammdaten[[Rank Verteilung Ovalität]:[Verteilung Ovalität]],2,FALSE)</f>
        <v>#N/A</v>
      </c>
    </row>
    <row r="49" spans="5:28" x14ac:dyDescent="0.35">
      <c r="E49">
        <v>40</v>
      </c>
      <c r="F49" t="e">
        <f>INDEX(Stammdaten[D Mitte mit Rinde (mm)],MATCH(Tabelle8[[#This Row],[Rank]],Stammdaten[Rank Verteilung D Mitte mit Rinde],0))</f>
        <v>#N/A</v>
      </c>
      <c r="G49" t="e">
        <f>VLOOKUP(Tabelle8[[#This Row],[Rank]],Stammdaten[[Rank Verteilung D Mitte mit Rinde]:[Verteilung D Mitte mit Rinde]],2,FALSE)</f>
        <v>#N/A</v>
      </c>
      <c r="L49">
        <v>40</v>
      </c>
      <c r="M49" t="e">
        <f>INDEX(Stammdaten[Abholzigkeit (mm/lfm)],MATCH(Tabelle9[[#This Row],[Rank]],Stammdaten[Rank Verteilung Abholzigkeit],0))</f>
        <v>#N/A</v>
      </c>
      <c r="N49" t="e">
        <f>VLOOKUP(Tabelle9[[#This Row],[Rank]],Stammdaten[[Rank Verteilung Abholzigkeit]:[Verteilung Abholzigkeit]],2,FALSE)</f>
        <v>#N/A</v>
      </c>
      <c r="S49">
        <v>40</v>
      </c>
      <c r="T49" t="e">
        <f>INDEX(Stammdaten[Krümmung (mm/lfm)],MATCH(Tabelle10[[#This Row],[Rank]],Stammdaten[Rank Verteilung Krümmung],0))</f>
        <v>#N/A</v>
      </c>
      <c r="U49" t="e">
        <f>VLOOKUP(Tabelle10[[#This Row],[Rank]],Stammdaten[[Rank Verteilung Krümmung]:[Verteilung Krümmung]],2,FALSE)</f>
        <v>#N/A</v>
      </c>
      <c r="Z49">
        <v>40</v>
      </c>
      <c r="AA49" t="e">
        <f>INDEX(Stammdaten[Ovalität (']0,1'])],MATCH(Tabelle1014[[#This Row],[Rank]],Stammdaten[Rank Verteilung Ovalität],0))</f>
        <v>#N/A</v>
      </c>
      <c r="AB49" t="e">
        <f>VLOOKUP(Tabelle1014[[#This Row],[Rank]],Stammdaten[[Rank Verteilung Ovalität]:[Verteilung Ovalität]],2,FALSE)</f>
        <v>#N/A</v>
      </c>
    </row>
    <row r="50" spans="5:28" x14ac:dyDescent="0.35">
      <c r="E50">
        <v>41</v>
      </c>
      <c r="F50" t="e">
        <f>INDEX(Stammdaten[D Mitte mit Rinde (mm)],MATCH(Tabelle8[[#This Row],[Rank]],Stammdaten[Rank Verteilung D Mitte mit Rinde],0))</f>
        <v>#N/A</v>
      </c>
      <c r="G50" t="e">
        <f>VLOOKUP(Tabelle8[[#This Row],[Rank]],Stammdaten[[Rank Verteilung D Mitte mit Rinde]:[Verteilung D Mitte mit Rinde]],2,FALSE)</f>
        <v>#N/A</v>
      </c>
      <c r="L50">
        <v>41</v>
      </c>
      <c r="M50" t="e">
        <f>INDEX(Stammdaten[Abholzigkeit (mm/lfm)],MATCH(Tabelle9[[#This Row],[Rank]],Stammdaten[Rank Verteilung Abholzigkeit],0))</f>
        <v>#N/A</v>
      </c>
      <c r="N50" t="e">
        <f>VLOOKUP(Tabelle9[[#This Row],[Rank]],Stammdaten[[Rank Verteilung Abholzigkeit]:[Verteilung Abholzigkeit]],2,FALSE)</f>
        <v>#N/A</v>
      </c>
      <c r="S50">
        <v>41</v>
      </c>
      <c r="T50" t="e">
        <f>INDEX(Stammdaten[Krümmung (mm/lfm)],MATCH(Tabelle10[[#This Row],[Rank]],Stammdaten[Rank Verteilung Krümmung],0))</f>
        <v>#N/A</v>
      </c>
      <c r="U50" t="e">
        <f>VLOOKUP(Tabelle10[[#This Row],[Rank]],Stammdaten[[Rank Verteilung Krümmung]:[Verteilung Krümmung]],2,FALSE)</f>
        <v>#N/A</v>
      </c>
      <c r="Z50">
        <v>41</v>
      </c>
      <c r="AA50" t="e">
        <f>INDEX(Stammdaten[Ovalität (']0,1'])],MATCH(Tabelle1014[[#This Row],[Rank]],Stammdaten[Rank Verteilung Ovalität],0))</f>
        <v>#N/A</v>
      </c>
      <c r="AB50" t="e">
        <f>VLOOKUP(Tabelle1014[[#This Row],[Rank]],Stammdaten[[Rank Verteilung Ovalität]:[Verteilung Ovalität]],2,FALSE)</f>
        <v>#N/A</v>
      </c>
    </row>
    <row r="51" spans="5:28" x14ac:dyDescent="0.35">
      <c r="E51">
        <v>42</v>
      </c>
      <c r="F51" t="e">
        <f>INDEX(Stammdaten[D Mitte mit Rinde (mm)],MATCH(Tabelle8[[#This Row],[Rank]],Stammdaten[Rank Verteilung D Mitte mit Rinde],0))</f>
        <v>#N/A</v>
      </c>
      <c r="G51" t="e">
        <f>VLOOKUP(Tabelle8[[#This Row],[Rank]],Stammdaten[[Rank Verteilung D Mitte mit Rinde]:[Verteilung D Mitte mit Rinde]],2,FALSE)</f>
        <v>#N/A</v>
      </c>
      <c r="L51">
        <v>42</v>
      </c>
      <c r="M51" t="e">
        <f>INDEX(Stammdaten[Abholzigkeit (mm/lfm)],MATCH(Tabelle9[[#This Row],[Rank]],Stammdaten[Rank Verteilung Abholzigkeit],0))</f>
        <v>#N/A</v>
      </c>
      <c r="N51" t="e">
        <f>VLOOKUP(Tabelle9[[#This Row],[Rank]],Stammdaten[[Rank Verteilung Abholzigkeit]:[Verteilung Abholzigkeit]],2,FALSE)</f>
        <v>#N/A</v>
      </c>
      <c r="S51">
        <v>42</v>
      </c>
      <c r="T51" t="e">
        <f>INDEX(Stammdaten[Krümmung (mm/lfm)],MATCH(Tabelle10[[#This Row],[Rank]],Stammdaten[Rank Verteilung Krümmung],0))</f>
        <v>#N/A</v>
      </c>
      <c r="U51" t="e">
        <f>VLOOKUP(Tabelle10[[#This Row],[Rank]],Stammdaten[[Rank Verteilung Krümmung]:[Verteilung Krümmung]],2,FALSE)</f>
        <v>#N/A</v>
      </c>
      <c r="Z51">
        <v>42</v>
      </c>
      <c r="AA51" t="e">
        <f>INDEX(Stammdaten[Ovalität (']0,1'])],MATCH(Tabelle1014[[#This Row],[Rank]],Stammdaten[Rank Verteilung Ovalität],0))</f>
        <v>#N/A</v>
      </c>
      <c r="AB51" t="e">
        <f>VLOOKUP(Tabelle1014[[#This Row],[Rank]],Stammdaten[[Rank Verteilung Ovalität]:[Verteilung Ovalität]],2,FALSE)</f>
        <v>#N/A</v>
      </c>
    </row>
    <row r="52" spans="5:28" x14ac:dyDescent="0.35">
      <c r="E52">
        <v>43</v>
      </c>
      <c r="F52" t="e">
        <f>INDEX(Stammdaten[D Mitte mit Rinde (mm)],MATCH(Tabelle8[[#This Row],[Rank]],Stammdaten[Rank Verteilung D Mitte mit Rinde],0))</f>
        <v>#N/A</v>
      </c>
      <c r="G52" t="e">
        <f>VLOOKUP(Tabelle8[[#This Row],[Rank]],Stammdaten[[Rank Verteilung D Mitte mit Rinde]:[Verteilung D Mitte mit Rinde]],2,FALSE)</f>
        <v>#N/A</v>
      </c>
      <c r="L52">
        <v>43</v>
      </c>
      <c r="M52" t="e">
        <f>INDEX(Stammdaten[Abholzigkeit (mm/lfm)],MATCH(Tabelle9[[#This Row],[Rank]],Stammdaten[Rank Verteilung Abholzigkeit],0))</f>
        <v>#N/A</v>
      </c>
      <c r="N52" t="e">
        <f>VLOOKUP(Tabelle9[[#This Row],[Rank]],Stammdaten[[Rank Verteilung Abholzigkeit]:[Verteilung Abholzigkeit]],2,FALSE)</f>
        <v>#N/A</v>
      </c>
      <c r="S52">
        <v>43</v>
      </c>
      <c r="T52" t="e">
        <f>INDEX(Stammdaten[Krümmung (mm/lfm)],MATCH(Tabelle10[[#This Row],[Rank]],Stammdaten[Rank Verteilung Krümmung],0))</f>
        <v>#N/A</v>
      </c>
      <c r="U52" t="e">
        <f>VLOOKUP(Tabelle10[[#This Row],[Rank]],Stammdaten[[Rank Verteilung Krümmung]:[Verteilung Krümmung]],2,FALSE)</f>
        <v>#N/A</v>
      </c>
      <c r="Z52">
        <v>43</v>
      </c>
      <c r="AA52" t="e">
        <f>INDEX(Stammdaten[Ovalität (']0,1'])],MATCH(Tabelle1014[[#This Row],[Rank]],Stammdaten[Rank Verteilung Ovalität],0))</f>
        <v>#N/A</v>
      </c>
      <c r="AB52" t="e">
        <f>VLOOKUP(Tabelle1014[[#This Row],[Rank]],Stammdaten[[Rank Verteilung Ovalität]:[Verteilung Ovalität]],2,FALSE)</f>
        <v>#N/A</v>
      </c>
    </row>
    <row r="53" spans="5:28" x14ac:dyDescent="0.35">
      <c r="E53">
        <v>44</v>
      </c>
      <c r="F53" t="e">
        <f>INDEX(Stammdaten[D Mitte mit Rinde (mm)],MATCH(Tabelle8[[#This Row],[Rank]],Stammdaten[Rank Verteilung D Mitte mit Rinde],0))</f>
        <v>#N/A</v>
      </c>
      <c r="G53" t="e">
        <f>VLOOKUP(Tabelle8[[#This Row],[Rank]],Stammdaten[[Rank Verteilung D Mitte mit Rinde]:[Verteilung D Mitte mit Rinde]],2,FALSE)</f>
        <v>#N/A</v>
      </c>
      <c r="L53">
        <v>44</v>
      </c>
      <c r="M53" t="e">
        <f>INDEX(Stammdaten[Abholzigkeit (mm/lfm)],MATCH(Tabelle9[[#This Row],[Rank]],Stammdaten[Rank Verteilung Abholzigkeit],0))</f>
        <v>#N/A</v>
      </c>
      <c r="N53" t="e">
        <f>VLOOKUP(Tabelle9[[#This Row],[Rank]],Stammdaten[[Rank Verteilung Abholzigkeit]:[Verteilung Abholzigkeit]],2,FALSE)</f>
        <v>#N/A</v>
      </c>
      <c r="S53">
        <v>44</v>
      </c>
      <c r="T53" t="e">
        <f>INDEX(Stammdaten[Krümmung (mm/lfm)],MATCH(Tabelle10[[#This Row],[Rank]],Stammdaten[Rank Verteilung Krümmung],0))</f>
        <v>#N/A</v>
      </c>
      <c r="U53" t="e">
        <f>VLOOKUP(Tabelle10[[#This Row],[Rank]],Stammdaten[[Rank Verteilung Krümmung]:[Verteilung Krümmung]],2,FALSE)</f>
        <v>#N/A</v>
      </c>
      <c r="Z53">
        <v>44</v>
      </c>
      <c r="AA53" t="e">
        <f>INDEX(Stammdaten[Ovalität (']0,1'])],MATCH(Tabelle1014[[#This Row],[Rank]],Stammdaten[Rank Verteilung Ovalität],0))</f>
        <v>#N/A</v>
      </c>
      <c r="AB53" t="e">
        <f>VLOOKUP(Tabelle1014[[#This Row],[Rank]],Stammdaten[[Rank Verteilung Ovalität]:[Verteilung Ovalität]],2,FALSE)</f>
        <v>#N/A</v>
      </c>
    </row>
    <row r="54" spans="5:28" x14ac:dyDescent="0.35">
      <c r="E54">
        <v>45</v>
      </c>
      <c r="F54" t="e">
        <f>INDEX(Stammdaten[D Mitte mit Rinde (mm)],MATCH(Tabelle8[[#This Row],[Rank]],Stammdaten[Rank Verteilung D Mitte mit Rinde],0))</f>
        <v>#N/A</v>
      </c>
      <c r="G54" t="e">
        <f>VLOOKUP(Tabelle8[[#This Row],[Rank]],Stammdaten[[Rank Verteilung D Mitte mit Rinde]:[Verteilung D Mitte mit Rinde]],2,FALSE)</f>
        <v>#N/A</v>
      </c>
      <c r="L54">
        <v>45</v>
      </c>
      <c r="M54" t="e">
        <f>INDEX(Stammdaten[Abholzigkeit (mm/lfm)],MATCH(Tabelle9[[#This Row],[Rank]],Stammdaten[Rank Verteilung Abholzigkeit],0))</f>
        <v>#N/A</v>
      </c>
      <c r="N54" t="e">
        <f>VLOOKUP(Tabelle9[[#This Row],[Rank]],Stammdaten[[Rank Verteilung Abholzigkeit]:[Verteilung Abholzigkeit]],2,FALSE)</f>
        <v>#N/A</v>
      </c>
      <c r="S54">
        <v>45</v>
      </c>
      <c r="T54" t="e">
        <f>INDEX(Stammdaten[Krümmung (mm/lfm)],MATCH(Tabelle10[[#This Row],[Rank]],Stammdaten[Rank Verteilung Krümmung],0))</f>
        <v>#N/A</v>
      </c>
      <c r="U54" t="e">
        <f>VLOOKUP(Tabelle10[[#This Row],[Rank]],Stammdaten[[Rank Verteilung Krümmung]:[Verteilung Krümmung]],2,FALSE)</f>
        <v>#N/A</v>
      </c>
      <c r="Z54">
        <v>45</v>
      </c>
      <c r="AA54" t="e">
        <f>INDEX(Stammdaten[Ovalität (']0,1'])],MATCH(Tabelle1014[[#This Row],[Rank]],Stammdaten[Rank Verteilung Ovalität],0))</f>
        <v>#N/A</v>
      </c>
      <c r="AB54" t="e">
        <f>VLOOKUP(Tabelle1014[[#This Row],[Rank]],Stammdaten[[Rank Verteilung Ovalität]:[Verteilung Ovalität]],2,FALSE)</f>
        <v>#N/A</v>
      </c>
    </row>
    <row r="55" spans="5:28" x14ac:dyDescent="0.35">
      <c r="E55">
        <v>46</v>
      </c>
      <c r="F55" t="e">
        <f>INDEX(Stammdaten[D Mitte mit Rinde (mm)],MATCH(Tabelle8[[#This Row],[Rank]],Stammdaten[Rank Verteilung D Mitte mit Rinde],0))</f>
        <v>#N/A</v>
      </c>
      <c r="G55" t="e">
        <f>VLOOKUP(Tabelle8[[#This Row],[Rank]],Stammdaten[[Rank Verteilung D Mitte mit Rinde]:[Verteilung D Mitte mit Rinde]],2,FALSE)</f>
        <v>#N/A</v>
      </c>
      <c r="L55">
        <v>46</v>
      </c>
      <c r="M55" t="e">
        <f>INDEX(Stammdaten[Abholzigkeit (mm/lfm)],MATCH(Tabelle9[[#This Row],[Rank]],Stammdaten[Rank Verteilung Abholzigkeit],0))</f>
        <v>#N/A</v>
      </c>
      <c r="N55" t="e">
        <f>VLOOKUP(Tabelle9[[#This Row],[Rank]],Stammdaten[[Rank Verteilung Abholzigkeit]:[Verteilung Abholzigkeit]],2,FALSE)</f>
        <v>#N/A</v>
      </c>
      <c r="S55">
        <v>46</v>
      </c>
      <c r="T55" t="e">
        <f>INDEX(Stammdaten[Krümmung (mm/lfm)],MATCH(Tabelle10[[#This Row],[Rank]],Stammdaten[Rank Verteilung Krümmung],0))</f>
        <v>#N/A</v>
      </c>
      <c r="U55" t="e">
        <f>VLOOKUP(Tabelle10[[#This Row],[Rank]],Stammdaten[[Rank Verteilung Krümmung]:[Verteilung Krümmung]],2,FALSE)</f>
        <v>#N/A</v>
      </c>
      <c r="Z55">
        <v>46</v>
      </c>
      <c r="AA55" t="e">
        <f>INDEX(Stammdaten[Ovalität (']0,1'])],MATCH(Tabelle1014[[#This Row],[Rank]],Stammdaten[Rank Verteilung Ovalität],0))</f>
        <v>#N/A</v>
      </c>
      <c r="AB55" t="e">
        <f>VLOOKUP(Tabelle1014[[#This Row],[Rank]],Stammdaten[[Rank Verteilung Ovalität]:[Verteilung Ovalität]],2,FALSE)</f>
        <v>#N/A</v>
      </c>
    </row>
    <row r="56" spans="5:28" x14ac:dyDescent="0.35">
      <c r="E56">
        <v>47</v>
      </c>
      <c r="F56" t="e">
        <f>INDEX(Stammdaten[D Mitte mit Rinde (mm)],MATCH(Tabelle8[[#This Row],[Rank]],Stammdaten[Rank Verteilung D Mitte mit Rinde],0))</f>
        <v>#N/A</v>
      </c>
      <c r="G56" t="e">
        <f>VLOOKUP(Tabelle8[[#This Row],[Rank]],Stammdaten[[Rank Verteilung D Mitte mit Rinde]:[Verteilung D Mitte mit Rinde]],2,FALSE)</f>
        <v>#N/A</v>
      </c>
      <c r="L56">
        <v>47</v>
      </c>
      <c r="M56" t="e">
        <f>INDEX(Stammdaten[Abholzigkeit (mm/lfm)],MATCH(Tabelle9[[#This Row],[Rank]],Stammdaten[Rank Verteilung Abholzigkeit],0))</f>
        <v>#N/A</v>
      </c>
      <c r="N56" t="e">
        <f>VLOOKUP(Tabelle9[[#This Row],[Rank]],Stammdaten[[Rank Verteilung Abholzigkeit]:[Verteilung Abholzigkeit]],2,FALSE)</f>
        <v>#N/A</v>
      </c>
      <c r="S56">
        <v>47</v>
      </c>
      <c r="T56" t="e">
        <f>INDEX(Stammdaten[Krümmung (mm/lfm)],MATCH(Tabelle10[[#This Row],[Rank]],Stammdaten[Rank Verteilung Krümmung],0))</f>
        <v>#N/A</v>
      </c>
      <c r="U56" t="e">
        <f>VLOOKUP(Tabelle10[[#This Row],[Rank]],Stammdaten[[Rank Verteilung Krümmung]:[Verteilung Krümmung]],2,FALSE)</f>
        <v>#N/A</v>
      </c>
      <c r="Z56">
        <v>47</v>
      </c>
      <c r="AA56" t="e">
        <f>INDEX(Stammdaten[Ovalität (']0,1'])],MATCH(Tabelle1014[[#This Row],[Rank]],Stammdaten[Rank Verteilung Ovalität],0))</f>
        <v>#N/A</v>
      </c>
      <c r="AB56" t="e">
        <f>VLOOKUP(Tabelle1014[[#This Row],[Rank]],Stammdaten[[Rank Verteilung Ovalität]:[Verteilung Ovalität]],2,FALSE)</f>
        <v>#N/A</v>
      </c>
    </row>
    <row r="57" spans="5:28" x14ac:dyDescent="0.35">
      <c r="E57">
        <v>48</v>
      </c>
      <c r="F57" t="e">
        <f>INDEX(Stammdaten[D Mitte mit Rinde (mm)],MATCH(Tabelle8[[#This Row],[Rank]],Stammdaten[Rank Verteilung D Mitte mit Rinde],0))</f>
        <v>#N/A</v>
      </c>
      <c r="G57" t="e">
        <f>VLOOKUP(Tabelle8[[#This Row],[Rank]],Stammdaten[[Rank Verteilung D Mitte mit Rinde]:[Verteilung D Mitte mit Rinde]],2,FALSE)</f>
        <v>#N/A</v>
      </c>
      <c r="L57">
        <v>48</v>
      </c>
      <c r="M57" t="e">
        <f>INDEX(Stammdaten[Abholzigkeit (mm/lfm)],MATCH(Tabelle9[[#This Row],[Rank]],Stammdaten[Rank Verteilung Abholzigkeit],0))</f>
        <v>#N/A</v>
      </c>
      <c r="N57" t="e">
        <f>VLOOKUP(Tabelle9[[#This Row],[Rank]],Stammdaten[[Rank Verteilung Abholzigkeit]:[Verteilung Abholzigkeit]],2,FALSE)</f>
        <v>#N/A</v>
      </c>
      <c r="S57">
        <v>48</v>
      </c>
      <c r="T57" t="e">
        <f>INDEX(Stammdaten[Krümmung (mm/lfm)],MATCH(Tabelle10[[#This Row],[Rank]],Stammdaten[Rank Verteilung Krümmung],0))</f>
        <v>#N/A</v>
      </c>
      <c r="U57" t="e">
        <f>VLOOKUP(Tabelle10[[#This Row],[Rank]],Stammdaten[[Rank Verteilung Krümmung]:[Verteilung Krümmung]],2,FALSE)</f>
        <v>#N/A</v>
      </c>
      <c r="Z57">
        <v>48</v>
      </c>
      <c r="AA57" t="e">
        <f>INDEX(Stammdaten[Ovalität (']0,1'])],MATCH(Tabelle1014[[#This Row],[Rank]],Stammdaten[Rank Verteilung Ovalität],0))</f>
        <v>#N/A</v>
      </c>
      <c r="AB57" t="e">
        <f>VLOOKUP(Tabelle1014[[#This Row],[Rank]],Stammdaten[[Rank Verteilung Ovalität]:[Verteilung Ovalität]],2,FALSE)</f>
        <v>#N/A</v>
      </c>
    </row>
    <row r="58" spans="5:28" x14ac:dyDescent="0.35">
      <c r="E58">
        <v>49</v>
      </c>
      <c r="F58" t="e">
        <f>INDEX(Stammdaten[D Mitte mit Rinde (mm)],MATCH(Tabelle8[[#This Row],[Rank]],Stammdaten[Rank Verteilung D Mitte mit Rinde],0))</f>
        <v>#N/A</v>
      </c>
      <c r="G58" t="e">
        <f>VLOOKUP(Tabelle8[[#This Row],[Rank]],Stammdaten[[Rank Verteilung D Mitte mit Rinde]:[Verteilung D Mitte mit Rinde]],2,FALSE)</f>
        <v>#N/A</v>
      </c>
      <c r="L58">
        <v>49</v>
      </c>
      <c r="M58" t="e">
        <f>INDEX(Stammdaten[Abholzigkeit (mm/lfm)],MATCH(Tabelle9[[#This Row],[Rank]],Stammdaten[Rank Verteilung Abholzigkeit],0))</f>
        <v>#N/A</v>
      </c>
      <c r="N58" t="e">
        <f>VLOOKUP(Tabelle9[[#This Row],[Rank]],Stammdaten[[Rank Verteilung Abholzigkeit]:[Verteilung Abholzigkeit]],2,FALSE)</f>
        <v>#N/A</v>
      </c>
      <c r="S58">
        <v>49</v>
      </c>
      <c r="T58" t="e">
        <f>INDEX(Stammdaten[Krümmung (mm/lfm)],MATCH(Tabelle10[[#This Row],[Rank]],Stammdaten[Rank Verteilung Krümmung],0))</f>
        <v>#N/A</v>
      </c>
      <c r="U58" t="e">
        <f>VLOOKUP(Tabelle10[[#This Row],[Rank]],Stammdaten[[Rank Verteilung Krümmung]:[Verteilung Krümmung]],2,FALSE)</f>
        <v>#N/A</v>
      </c>
      <c r="Z58">
        <v>49</v>
      </c>
      <c r="AA58" t="e">
        <f>INDEX(Stammdaten[Ovalität (']0,1'])],MATCH(Tabelle1014[[#This Row],[Rank]],Stammdaten[Rank Verteilung Ovalität],0))</f>
        <v>#N/A</v>
      </c>
      <c r="AB58" t="e">
        <f>VLOOKUP(Tabelle1014[[#This Row],[Rank]],Stammdaten[[Rank Verteilung Ovalität]:[Verteilung Ovalität]],2,FALSE)</f>
        <v>#N/A</v>
      </c>
    </row>
    <row r="59" spans="5:28" x14ac:dyDescent="0.35">
      <c r="E59">
        <v>50</v>
      </c>
      <c r="F59" t="e">
        <f>INDEX(Stammdaten[D Mitte mit Rinde (mm)],MATCH(Tabelle8[[#This Row],[Rank]],Stammdaten[Rank Verteilung D Mitte mit Rinde],0))</f>
        <v>#N/A</v>
      </c>
      <c r="G59" t="e">
        <f>VLOOKUP(Tabelle8[[#This Row],[Rank]],Stammdaten[[Rank Verteilung D Mitte mit Rinde]:[Verteilung D Mitte mit Rinde]],2,FALSE)</f>
        <v>#N/A</v>
      </c>
      <c r="L59">
        <v>50</v>
      </c>
      <c r="M59" t="e">
        <f>INDEX(Stammdaten[Abholzigkeit (mm/lfm)],MATCH(Tabelle9[[#This Row],[Rank]],Stammdaten[Rank Verteilung Abholzigkeit],0))</f>
        <v>#N/A</v>
      </c>
      <c r="N59" t="e">
        <f>VLOOKUP(Tabelle9[[#This Row],[Rank]],Stammdaten[[Rank Verteilung Abholzigkeit]:[Verteilung Abholzigkeit]],2,FALSE)</f>
        <v>#N/A</v>
      </c>
      <c r="S59">
        <v>50</v>
      </c>
      <c r="T59" t="e">
        <f>INDEX(Stammdaten[Krümmung (mm/lfm)],MATCH(Tabelle10[[#This Row],[Rank]],Stammdaten[Rank Verteilung Krümmung],0))</f>
        <v>#N/A</v>
      </c>
      <c r="U59" t="e">
        <f>VLOOKUP(Tabelle10[[#This Row],[Rank]],Stammdaten[[Rank Verteilung Krümmung]:[Verteilung Krümmung]],2,FALSE)</f>
        <v>#N/A</v>
      </c>
      <c r="Z59">
        <v>50</v>
      </c>
      <c r="AA59" t="e">
        <f>INDEX(Stammdaten[Ovalität (']0,1'])],MATCH(Tabelle1014[[#This Row],[Rank]],Stammdaten[Rank Verteilung Ovalität],0))</f>
        <v>#N/A</v>
      </c>
      <c r="AB59" t="e">
        <f>VLOOKUP(Tabelle1014[[#This Row],[Rank]],Stammdaten[[Rank Verteilung Ovalität]:[Verteilung Ovalität]],2,FALSE)</f>
        <v>#N/A</v>
      </c>
    </row>
    <row r="60" spans="5:28" x14ac:dyDescent="0.35">
      <c r="E60">
        <v>51</v>
      </c>
      <c r="F60" t="e">
        <f>INDEX(Stammdaten[D Mitte mit Rinde (mm)],MATCH(Tabelle8[[#This Row],[Rank]],Stammdaten[Rank Verteilung D Mitte mit Rinde],0))</f>
        <v>#N/A</v>
      </c>
      <c r="G60" t="e">
        <f>VLOOKUP(Tabelle8[[#This Row],[Rank]],Stammdaten[[Rank Verteilung D Mitte mit Rinde]:[Verteilung D Mitte mit Rinde]],2,FALSE)</f>
        <v>#N/A</v>
      </c>
      <c r="L60">
        <v>51</v>
      </c>
      <c r="M60" t="e">
        <f>INDEX(Stammdaten[Abholzigkeit (mm/lfm)],MATCH(Tabelle9[[#This Row],[Rank]],Stammdaten[Rank Verteilung Abholzigkeit],0))</f>
        <v>#N/A</v>
      </c>
      <c r="N60" t="e">
        <f>VLOOKUP(Tabelle9[[#This Row],[Rank]],Stammdaten[[Rank Verteilung Abholzigkeit]:[Verteilung Abholzigkeit]],2,FALSE)</f>
        <v>#N/A</v>
      </c>
      <c r="S60">
        <v>51</v>
      </c>
      <c r="T60" t="e">
        <f>INDEX(Stammdaten[Krümmung (mm/lfm)],MATCH(Tabelle10[[#This Row],[Rank]],Stammdaten[Rank Verteilung Krümmung],0))</f>
        <v>#N/A</v>
      </c>
      <c r="U60" t="e">
        <f>VLOOKUP(Tabelle10[[#This Row],[Rank]],Stammdaten[[Rank Verteilung Krümmung]:[Verteilung Krümmung]],2,FALSE)</f>
        <v>#N/A</v>
      </c>
      <c r="Z60">
        <v>51</v>
      </c>
      <c r="AA60" t="e">
        <f>INDEX(Stammdaten[Ovalität (']0,1'])],MATCH(Tabelle1014[[#This Row],[Rank]],Stammdaten[Rank Verteilung Ovalität],0))</f>
        <v>#N/A</v>
      </c>
      <c r="AB60" t="e">
        <f>VLOOKUP(Tabelle1014[[#This Row],[Rank]],Stammdaten[[Rank Verteilung Ovalität]:[Verteilung Ovalität]],2,FALSE)</f>
        <v>#N/A</v>
      </c>
    </row>
    <row r="61" spans="5:28" x14ac:dyDescent="0.35">
      <c r="E61">
        <v>52</v>
      </c>
      <c r="F61" t="e">
        <f>INDEX(Stammdaten[D Mitte mit Rinde (mm)],MATCH(Tabelle8[[#This Row],[Rank]],Stammdaten[Rank Verteilung D Mitte mit Rinde],0))</f>
        <v>#N/A</v>
      </c>
      <c r="G61" t="e">
        <f>VLOOKUP(Tabelle8[[#This Row],[Rank]],Stammdaten[[Rank Verteilung D Mitte mit Rinde]:[Verteilung D Mitte mit Rinde]],2,FALSE)</f>
        <v>#N/A</v>
      </c>
      <c r="L61">
        <v>52</v>
      </c>
      <c r="M61" t="e">
        <f>INDEX(Stammdaten[Abholzigkeit (mm/lfm)],MATCH(Tabelle9[[#This Row],[Rank]],Stammdaten[Rank Verteilung Abholzigkeit],0))</f>
        <v>#N/A</v>
      </c>
      <c r="N61" t="e">
        <f>VLOOKUP(Tabelle9[[#This Row],[Rank]],Stammdaten[[Rank Verteilung Abholzigkeit]:[Verteilung Abholzigkeit]],2,FALSE)</f>
        <v>#N/A</v>
      </c>
      <c r="S61">
        <v>52</v>
      </c>
      <c r="T61" t="e">
        <f>INDEX(Stammdaten[Krümmung (mm/lfm)],MATCH(Tabelle10[[#This Row],[Rank]],Stammdaten[Rank Verteilung Krümmung],0))</f>
        <v>#N/A</v>
      </c>
      <c r="U61" t="e">
        <f>VLOOKUP(Tabelle10[[#This Row],[Rank]],Stammdaten[[Rank Verteilung Krümmung]:[Verteilung Krümmung]],2,FALSE)</f>
        <v>#N/A</v>
      </c>
      <c r="Z61">
        <v>52</v>
      </c>
      <c r="AA61" t="e">
        <f>INDEX(Stammdaten[Ovalität (']0,1'])],MATCH(Tabelle1014[[#This Row],[Rank]],Stammdaten[Rank Verteilung Ovalität],0))</f>
        <v>#N/A</v>
      </c>
      <c r="AB61" t="e">
        <f>VLOOKUP(Tabelle1014[[#This Row],[Rank]],Stammdaten[[Rank Verteilung Ovalität]:[Verteilung Ovalität]],2,FALSE)</f>
        <v>#N/A</v>
      </c>
    </row>
    <row r="62" spans="5:28" x14ac:dyDescent="0.35">
      <c r="E62">
        <v>53</v>
      </c>
      <c r="F62" t="e">
        <f>INDEX(Stammdaten[D Mitte mit Rinde (mm)],MATCH(Tabelle8[[#This Row],[Rank]],Stammdaten[Rank Verteilung D Mitte mit Rinde],0))</f>
        <v>#N/A</v>
      </c>
      <c r="G62" t="e">
        <f>VLOOKUP(Tabelle8[[#This Row],[Rank]],Stammdaten[[Rank Verteilung D Mitte mit Rinde]:[Verteilung D Mitte mit Rinde]],2,FALSE)</f>
        <v>#N/A</v>
      </c>
      <c r="L62">
        <v>53</v>
      </c>
      <c r="M62" t="e">
        <f>INDEX(Stammdaten[Abholzigkeit (mm/lfm)],MATCH(Tabelle9[[#This Row],[Rank]],Stammdaten[Rank Verteilung Abholzigkeit],0))</f>
        <v>#N/A</v>
      </c>
      <c r="N62" t="e">
        <f>VLOOKUP(Tabelle9[[#This Row],[Rank]],Stammdaten[[Rank Verteilung Abholzigkeit]:[Verteilung Abholzigkeit]],2,FALSE)</f>
        <v>#N/A</v>
      </c>
      <c r="S62">
        <v>53</v>
      </c>
      <c r="T62" t="e">
        <f>INDEX(Stammdaten[Krümmung (mm/lfm)],MATCH(Tabelle10[[#This Row],[Rank]],Stammdaten[Rank Verteilung Krümmung],0))</f>
        <v>#N/A</v>
      </c>
      <c r="U62" t="e">
        <f>VLOOKUP(Tabelle10[[#This Row],[Rank]],Stammdaten[[Rank Verteilung Krümmung]:[Verteilung Krümmung]],2,FALSE)</f>
        <v>#N/A</v>
      </c>
      <c r="Z62">
        <v>53</v>
      </c>
      <c r="AA62" t="e">
        <f>INDEX(Stammdaten[Ovalität (']0,1'])],MATCH(Tabelle1014[[#This Row],[Rank]],Stammdaten[Rank Verteilung Ovalität],0))</f>
        <v>#N/A</v>
      </c>
      <c r="AB62" t="e">
        <f>VLOOKUP(Tabelle1014[[#This Row],[Rank]],Stammdaten[[Rank Verteilung Ovalität]:[Verteilung Ovalität]],2,FALSE)</f>
        <v>#N/A</v>
      </c>
    </row>
    <row r="63" spans="5:28" x14ac:dyDescent="0.35">
      <c r="E63">
        <v>54</v>
      </c>
      <c r="F63" t="e">
        <f>INDEX(Stammdaten[D Mitte mit Rinde (mm)],MATCH(Tabelle8[[#This Row],[Rank]],Stammdaten[Rank Verteilung D Mitte mit Rinde],0))</f>
        <v>#N/A</v>
      </c>
      <c r="G63" t="e">
        <f>VLOOKUP(Tabelle8[[#This Row],[Rank]],Stammdaten[[Rank Verteilung D Mitte mit Rinde]:[Verteilung D Mitte mit Rinde]],2,FALSE)</f>
        <v>#N/A</v>
      </c>
      <c r="L63">
        <v>54</v>
      </c>
      <c r="M63" t="e">
        <f>INDEX(Stammdaten[Abholzigkeit (mm/lfm)],MATCH(Tabelle9[[#This Row],[Rank]],Stammdaten[Rank Verteilung Abholzigkeit],0))</f>
        <v>#N/A</v>
      </c>
      <c r="N63" t="e">
        <f>VLOOKUP(Tabelle9[[#This Row],[Rank]],Stammdaten[[Rank Verteilung Abholzigkeit]:[Verteilung Abholzigkeit]],2,FALSE)</f>
        <v>#N/A</v>
      </c>
      <c r="S63">
        <v>54</v>
      </c>
      <c r="T63" t="e">
        <f>INDEX(Stammdaten[Krümmung (mm/lfm)],MATCH(Tabelle10[[#This Row],[Rank]],Stammdaten[Rank Verteilung Krümmung],0))</f>
        <v>#N/A</v>
      </c>
      <c r="U63" t="e">
        <f>VLOOKUP(Tabelle10[[#This Row],[Rank]],Stammdaten[[Rank Verteilung Krümmung]:[Verteilung Krümmung]],2,FALSE)</f>
        <v>#N/A</v>
      </c>
      <c r="Z63">
        <v>54</v>
      </c>
      <c r="AA63" t="e">
        <f>INDEX(Stammdaten[Ovalität (']0,1'])],MATCH(Tabelle1014[[#This Row],[Rank]],Stammdaten[Rank Verteilung Ovalität],0))</f>
        <v>#N/A</v>
      </c>
      <c r="AB63" t="e">
        <f>VLOOKUP(Tabelle1014[[#This Row],[Rank]],Stammdaten[[Rank Verteilung Ovalität]:[Verteilung Ovalität]],2,FALSE)</f>
        <v>#N/A</v>
      </c>
    </row>
    <row r="64" spans="5:28" x14ac:dyDescent="0.35">
      <c r="E64">
        <v>55</v>
      </c>
      <c r="F64" t="e">
        <f>INDEX(Stammdaten[D Mitte mit Rinde (mm)],MATCH(Tabelle8[[#This Row],[Rank]],Stammdaten[Rank Verteilung D Mitte mit Rinde],0))</f>
        <v>#N/A</v>
      </c>
      <c r="G64" t="e">
        <f>VLOOKUP(Tabelle8[[#This Row],[Rank]],Stammdaten[[Rank Verteilung D Mitte mit Rinde]:[Verteilung D Mitte mit Rinde]],2,FALSE)</f>
        <v>#N/A</v>
      </c>
      <c r="L64">
        <v>55</v>
      </c>
      <c r="M64" t="e">
        <f>INDEX(Stammdaten[Abholzigkeit (mm/lfm)],MATCH(Tabelle9[[#This Row],[Rank]],Stammdaten[Rank Verteilung Abholzigkeit],0))</f>
        <v>#N/A</v>
      </c>
      <c r="N64" t="e">
        <f>VLOOKUP(Tabelle9[[#This Row],[Rank]],Stammdaten[[Rank Verteilung Abholzigkeit]:[Verteilung Abholzigkeit]],2,FALSE)</f>
        <v>#N/A</v>
      </c>
      <c r="S64">
        <v>55</v>
      </c>
      <c r="T64" t="e">
        <f>INDEX(Stammdaten[Krümmung (mm/lfm)],MATCH(Tabelle10[[#This Row],[Rank]],Stammdaten[Rank Verteilung Krümmung],0))</f>
        <v>#N/A</v>
      </c>
      <c r="U64" t="e">
        <f>VLOOKUP(Tabelle10[[#This Row],[Rank]],Stammdaten[[Rank Verteilung Krümmung]:[Verteilung Krümmung]],2,FALSE)</f>
        <v>#N/A</v>
      </c>
      <c r="Z64">
        <v>55</v>
      </c>
      <c r="AA64" t="e">
        <f>INDEX(Stammdaten[Ovalität (']0,1'])],MATCH(Tabelle1014[[#This Row],[Rank]],Stammdaten[Rank Verteilung Ovalität],0))</f>
        <v>#N/A</v>
      </c>
      <c r="AB64" t="e">
        <f>VLOOKUP(Tabelle1014[[#This Row],[Rank]],Stammdaten[[Rank Verteilung Ovalität]:[Verteilung Ovalität]],2,FALSE)</f>
        <v>#N/A</v>
      </c>
    </row>
    <row r="65" spans="5:28" x14ac:dyDescent="0.35">
      <c r="E65">
        <v>56</v>
      </c>
      <c r="F65" t="e">
        <f>INDEX(Stammdaten[D Mitte mit Rinde (mm)],MATCH(Tabelle8[[#This Row],[Rank]],Stammdaten[Rank Verteilung D Mitte mit Rinde],0))</f>
        <v>#N/A</v>
      </c>
      <c r="G65" t="e">
        <f>VLOOKUP(Tabelle8[[#This Row],[Rank]],Stammdaten[[Rank Verteilung D Mitte mit Rinde]:[Verteilung D Mitte mit Rinde]],2,FALSE)</f>
        <v>#N/A</v>
      </c>
      <c r="L65">
        <v>56</v>
      </c>
      <c r="M65" t="e">
        <f>INDEX(Stammdaten[Abholzigkeit (mm/lfm)],MATCH(Tabelle9[[#This Row],[Rank]],Stammdaten[Rank Verteilung Abholzigkeit],0))</f>
        <v>#N/A</v>
      </c>
      <c r="N65" t="e">
        <f>VLOOKUP(Tabelle9[[#This Row],[Rank]],Stammdaten[[Rank Verteilung Abholzigkeit]:[Verteilung Abholzigkeit]],2,FALSE)</f>
        <v>#N/A</v>
      </c>
      <c r="S65">
        <v>56</v>
      </c>
      <c r="T65" t="e">
        <f>INDEX(Stammdaten[Krümmung (mm/lfm)],MATCH(Tabelle10[[#This Row],[Rank]],Stammdaten[Rank Verteilung Krümmung],0))</f>
        <v>#N/A</v>
      </c>
      <c r="U65" t="e">
        <f>VLOOKUP(Tabelle10[[#This Row],[Rank]],Stammdaten[[Rank Verteilung Krümmung]:[Verteilung Krümmung]],2,FALSE)</f>
        <v>#N/A</v>
      </c>
      <c r="Z65">
        <v>56</v>
      </c>
      <c r="AA65" t="e">
        <f>INDEX(Stammdaten[Ovalität (']0,1'])],MATCH(Tabelle1014[[#This Row],[Rank]],Stammdaten[Rank Verteilung Ovalität],0))</f>
        <v>#N/A</v>
      </c>
      <c r="AB65" t="e">
        <f>VLOOKUP(Tabelle1014[[#This Row],[Rank]],Stammdaten[[Rank Verteilung Ovalität]:[Verteilung Ovalität]],2,FALSE)</f>
        <v>#N/A</v>
      </c>
    </row>
    <row r="66" spans="5:28" x14ac:dyDescent="0.35">
      <c r="E66">
        <v>57</v>
      </c>
      <c r="F66" t="e">
        <f>INDEX(Stammdaten[D Mitte mit Rinde (mm)],MATCH(Tabelle8[[#This Row],[Rank]],Stammdaten[Rank Verteilung D Mitte mit Rinde],0))</f>
        <v>#N/A</v>
      </c>
      <c r="G66" t="e">
        <f>VLOOKUP(Tabelle8[[#This Row],[Rank]],Stammdaten[[Rank Verteilung D Mitte mit Rinde]:[Verteilung D Mitte mit Rinde]],2,FALSE)</f>
        <v>#N/A</v>
      </c>
      <c r="L66">
        <v>57</v>
      </c>
      <c r="M66" t="e">
        <f>INDEX(Stammdaten[Abholzigkeit (mm/lfm)],MATCH(Tabelle9[[#This Row],[Rank]],Stammdaten[Rank Verteilung Abholzigkeit],0))</f>
        <v>#N/A</v>
      </c>
      <c r="N66" t="e">
        <f>VLOOKUP(Tabelle9[[#This Row],[Rank]],Stammdaten[[Rank Verteilung Abholzigkeit]:[Verteilung Abholzigkeit]],2,FALSE)</f>
        <v>#N/A</v>
      </c>
      <c r="S66">
        <v>57</v>
      </c>
      <c r="T66" t="e">
        <f>INDEX(Stammdaten[Krümmung (mm/lfm)],MATCH(Tabelle10[[#This Row],[Rank]],Stammdaten[Rank Verteilung Krümmung],0))</f>
        <v>#N/A</v>
      </c>
      <c r="U66" t="e">
        <f>VLOOKUP(Tabelle10[[#This Row],[Rank]],Stammdaten[[Rank Verteilung Krümmung]:[Verteilung Krümmung]],2,FALSE)</f>
        <v>#N/A</v>
      </c>
      <c r="Z66">
        <v>57</v>
      </c>
      <c r="AA66" t="e">
        <f>INDEX(Stammdaten[Ovalität (']0,1'])],MATCH(Tabelle1014[[#This Row],[Rank]],Stammdaten[Rank Verteilung Ovalität],0))</f>
        <v>#N/A</v>
      </c>
      <c r="AB66" t="e">
        <f>VLOOKUP(Tabelle1014[[#This Row],[Rank]],Stammdaten[[Rank Verteilung Ovalität]:[Verteilung Ovalität]],2,FALSE)</f>
        <v>#N/A</v>
      </c>
    </row>
    <row r="67" spans="5:28" x14ac:dyDescent="0.35">
      <c r="E67">
        <v>58</v>
      </c>
      <c r="F67" t="e">
        <f>INDEX(Stammdaten[D Mitte mit Rinde (mm)],MATCH(Tabelle8[[#This Row],[Rank]],Stammdaten[Rank Verteilung D Mitte mit Rinde],0))</f>
        <v>#N/A</v>
      </c>
      <c r="G67" t="e">
        <f>VLOOKUP(Tabelle8[[#This Row],[Rank]],Stammdaten[[Rank Verteilung D Mitte mit Rinde]:[Verteilung D Mitte mit Rinde]],2,FALSE)</f>
        <v>#N/A</v>
      </c>
      <c r="L67">
        <v>58</v>
      </c>
      <c r="M67" t="e">
        <f>INDEX(Stammdaten[Abholzigkeit (mm/lfm)],MATCH(Tabelle9[[#This Row],[Rank]],Stammdaten[Rank Verteilung Abholzigkeit],0))</f>
        <v>#N/A</v>
      </c>
      <c r="N67" t="e">
        <f>VLOOKUP(Tabelle9[[#This Row],[Rank]],Stammdaten[[Rank Verteilung Abholzigkeit]:[Verteilung Abholzigkeit]],2,FALSE)</f>
        <v>#N/A</v>
      </c>
      <c r="S67">
        <v>58</v>
      </c>
      <c r="T67" t="e">
        <f>INDEX(Stammdaten[Krümmung (mm/lfm)],MATCH(Tabelle10[[#This Row],[Rank]],Stammdaten[Rank Verteilung Krümmung],0))</f>
        <v>#N/A</v>
      </c>
      <c r="U67" t="e">
        <f>VLOOKUP(Tabelle10[[#This Row],[Rank]],Stammdaten[[Rank Verteilung Krümmung]:[Verteilung Krümmung]],2,FALSE)</f>
        <v>#N/A</v>
      </c>
      <c r="Z67">
        <v>58</v>
      </c>
      <c r="AA67" t="e">
        <f>INDEX(Stammdaten[Ovalität (']0,1'])],MATCH(Tabelle1014[[#This Row],[Rank]],Stammdaten[Rank Verteilung Ovalität],0))</f>
        <v>#N/A</v>
      </c>
      <c r="AB67" t="e">
        <f>VLOOKUP(Tabelle1014[[#This Row],[Rank]],Stammdaten[[Rank Verteilung Ovalität]:[Verteilung Ovalität]],2,FALSE)</f>
        <v>#N/A</v>
      </c>
    </row>
    <row r="68" spans="5:28" x14ac:dyDescent="0.35">
      <c r="E68">
        <v>59</v>
      </c>
      <c r="F68" t="e">
        <f>INDEX(Stammdaten[D Mitte mit Rinde (mm)],MATCH(Tabelle8[[#This Row],[Rank]],Stammdaten[Rank Verteilung D Mitte mit Rinde],0))</f>
        <v>#N/A</v>
      </c>
      <c r="G68" t="e">
        <f>VLOOKUP(Tabelle8[[#This Row],[Rank]],Stammdaten[[Rank Verteilung D Mitte mit Rinde]:[Verteilung D Mitte mit Rinde]],2,FALSE)</f>
        <v>#N/A</v>
      </c>
      <c r="L68">
        <v>59</v>
      </c>
      <c r="M68" t="e">
        <f>INDEX(Stammdaten[Abholzigkeit (mm/lfm)],MATCH(Tabelle9[[#This Row],[Rank]],Stammdaten[Rank Verteilung Abholzigkeit],0))</f>
        <v>#N/A</v>
      </c>
      <c r="N68" t="e">
        <f>VLOOKUP(Tabelle9[[#This Row],[Rank]],Stammdaten[[Rank Verteilung Abholzigkeit]:[Verteilung Abholzigkeit]],2,FALSE)</f>
        <v>#N/A</v>
      </c>
      <c r="S68">
        <v>59</v>
      </c>
      <c r="T68" t="e">
        <f>INDEX(Stammdaten[Krümmung (mm/lfm)],MATCH(Tabelle10[[#This Row],[Rank]],Stammdaten[Rank Verteilung Krümmung],0))</f>
        <v>#N/A</v>
      </c>
      <c r="U68" t="e">
        <f>VLOOKUP(Tabelle10[[#This Row],[Rank]],Stammdaten[[Rank Verteilung Krümmung]:[Verteilung Krümmung]],2,FALSE)</f>
        <v>#N/A</v>
      </c>
      <c r="Z68">
        <v>59</v>
      </c>
      <c r="AA68" t="e">
        <f>INDEX(Stammdaten[Ovalität (']0,1'])],MATCH(Tabelle1014[[#This Row],[Rank]],Stammdaten[Rank Verteilung Ovalität],0))</f>
        <v>#N/A</v>
      </c>
      <c r="AB68" t="e">
        <f>VLOOKUP(Tabelle1014[[#This Row],[Rank]],Stammdaten[[Rank Verteilung Ovalität]:[Verteilung Ovalität]],2,FALSE)</f>
        <v>#N/A</v>
      </c>
    </row>
    <row r="69" spans="5:28" x14ac:dyDescent="0.35">
      <c r="E69">
        <v>60</v>
      </c>
      <c r="F69" t="e">
        <f>INDEX(Stammdaten[D Mitte mit Rinde (mm)],MATCH(Tabelle8[[#This Row],[Rank]],Stammdaten[Rank Verteilung D Mitte mit Rinde],0))</f>
        <v>#N/A</v>
      </c>
      <c r="G69" t="e">
        <f>VLOOKUP(Tabelle8[[#This Row],[Rank]],Stammdaten[[Rank Verteilung D Mitte mit Rinde]:[Verteilung D Mitte mit Rinde]],2,FALSE)</f>
        <v>#N/A</v>
      </c>
      <c r="L69">
        <v>60</v>
      </c>
      <c r="M69" t="e">
        <f>INDEX(Stammdaten[Abholzigkeit (mm/lfm)],MATCH(Tabelle9[[#This Row],[Rank]],Stammdaten[Rank Verteilung Abholzigkeit],0))</f>
        <v>#N/A</v>
      </c>
      <c r="N69" t="e">
        <f>VLOOKUP(Tabelle9[[#This Row],[Rank]],Stammdaten[[Rank Verteilung Abholzigkeit]:[Verteilung Abholzigkeit]],2,FALSE)</f>
        <v>#N/A</v>
      </c>
      <c r="S69">
        <v>60</v>
      </c>
      <c r="T69" t="e">
        <f>INDEX(Stammdaten[Krümmung (mm/lfm)],MATCH(Tabelle10[[#This Row],[Rank]],Stammdaten[Rank Verteilung Krümmung],0))</f>
        <v>#N/A</v>
      </c>
      <c r="U69" t="e">
        <f>VLOOKUP(Tabelle10[[#This Row],[Rank]],Stammdaten[[Rank Verteilung Krümmung]:[Verteilung Krümmung]],2,FALSE)</f>
        <v>#N/A</v>
      </c>
      <c r="Z69">
        <v>60</v>
      </c>
      <c r="AA69" t="e">
        <f>INDEX(Stammdaten[Ovalität (']0,1'])],MATCH(Tabelle1014[[#This Row],[Rank]],Stammdaten[Rank Verteilung Ovalität],0))</f>
        <v>#N/A</v>
      </c>
      <c r="AB69" t="e">
        <f>VLOOKUP(Tabelle1014[[#This Row],[Rank]],Stammdaten[[Rank Verteilung Ovalität]:[Verteilung Ovalität]],2,FALSE)</f>
        <v>#N/A</v>
      </c>
    </row>
    <row r="70" spans="5:28" x14ac:dyDescent="0.35">
      <c r="E70">
        <v>61</v>
      </c>
      <c r="F70" t="e">
        <f>INDEX(Stammdaten[D Mitte mit Rinde (mm)],MATCH(Tabelle8[[#This Row],[Rank]],Stammdaten[Rank Verteilung D Mitte mit Rinde],0))</f>
        <v>#N/A</v>
      </c>
      <c r="G70" t="e">
        <f>VLOOKUP(Tabelle8[[#This Row],[Rank]],Stammdaten[[Rank Verteilung D Mitte mit Rinde]:[Verteilung D Mitte mit Rinde]],2,FALSE)</f>
        <v>#N/A</v>
      </c>
      <c r="L70">
        <v>61</v>
      </c>
      <c r="M70" t="e">
        <f>INDEX(Stammdaten[Abholzigkeit (mm/lfm)],MATCH(Tabelle9[[#This Row],[Rank]],Stammdaten[Rank Verteilung Abholzigkeit],0))</f>
        <v>#N/A</v>
      </c>
      <c r="N70" t="e">
        <f>VLOOKUP(Tabelle9[[#This Row],[Rank]],Stammdaten[[Rank Verteilung Abholzigkeit]:[Verteilung Abholzigkeit]],2,FALSE)</f>
        <v>#N/A</v>
      </c>
      <c r="S70">
        <v>61</v>
      </c>
      <c r="T70" t="e">
        <f>INDEX(Stammdaten[Krümmung (mm/lfm)],MATCH(Tabelle10[[#This Row],[Rank]],Stammdaten[Rank Verteilung Krümmung],0))</f>
        <v>#N/A</v>
      </c>
      <c r="U70" t="e">
        <f>VLOOKUP(Tabelle10[[#This Row],[Rank]],Stammdaten[[Rank Verteilung Krümmung]:[Verteilung Krümmung]],2,FALSE)</f>
        <v>#N/A</v>
      </c>
      <c r="Z70">
        <v>61</v>
      </c>
      <c r="AA70" t="e">
        <f>INDEX(Stammdaten[Ovalität (']0,1'])],MATCH(Tabelle1014[[#This Row],[Rank]],Stammdaten[Rank Verteilung Ovalität],0))</f>
        <v>#N/A</v>
      </c>
      <c r="AB70" t="e">
        <f>VLOOKUP(Tabelle1014[[#This Row],[Rank]],Stammdaten[[Rank Verteilung Ovalität]:[Verteilung Ovalität]],2,FALSE)</f>
        <v>#N/A</v>
      </c>
    </row>
    <row r="71" spans="5:28" x14ac:dyDescent="0.35">
      <c r="E71">
        <v>62</v>
      </c>
      <c r="F71" t="e">
        <f>INDEX(Stammdaten[D Mitte mit Rinde (mm)],MATCH(Tabelle8[[#This Row],[Rank]],Stammdaten[Rank Verteilung D Mitte mit Rinde],0))</f>
        <v>#N/A</v>
      </c>
      <c r="G71" t="e">
        <f>VLOOKUP(Tabelle8[[#This Row],[Rank]],Stammdaten[[Rank Verteilung D Mitte mit Rinde]:[Verteilung D Mitte mit Rinde]],2,FALSE)</f>
        <v>#N/A</v>
      </c>
      <c r="L71">
        <v>62</v>
      </c>
      <c r="M71" t="e">
        <f>INDEX(Stammdaten[Abholzigkeit (mm/lfm)],MATCH(Tabelle9[[#This Row],[Rank]],Stammdaten[Rank Verteilung Abholzigkeit],0))</f>
        <v>#N/A</v>
      </c>
      <c r="N71" t="e">
        <f>VLOOKUP(Tabelle9[[#This Row],[Rank]],Stammdaten[[Rank Verteilung Abholzigkeit]:[Verteilung Abholzigkeit]],2,FALSE)</f>
        <v>#N/A</v>
      </c>
      <c r="S71">
        <v>62</v>
      </c>
      <c r="T71" t="e">
        <f>INDEX(Stammdaten[Krümmung (mm/lfm)],MATCH(Tabelle10[[#This Row],[Rank]],Stammdaten[Rank Verteilung Krümmung],0))</f>
        <v>#N/A</v>
      </c>
      <c r="U71" t="e">
        <f>VLOOKUP(Tabelle10[[#This Row],[Rank]],Stammdaten[[Rank Verteilung Krümmung]:[Verteilung Krümmung]],2,FALSE)</f>
        <v>#N/A</v>
      </c>
      <c r="Z71">
        <v>62</v>
      </c>
      <c r="AA71" t="e">
        <f>INDEX(Stammdaten[Ovalität (']0,1'])],MATCH(Tabelle1014[[#This Row],[Rank]],Stammdaten[Rank Verteilung Ovalität],0))</f>
        <v>#N/A</v>
      </c>
      <c r="AB71" t="e">
        <f>VLOOKUP(Tabelle1014[[#This Row],[Rank]],Stammdaten[[Rank Verteilung Ovalität]:[Verteilung Ovalität]],2,FALSE)</f>
        <v>#N/A</v>
      </c>
    </row>
    <row r="72" spans="5:28" x14ac:dyDescent="0.35">
      <c r="E72">
        <v>63</v>
      </c>
      <c r="F72" t="e">
        <f>INDEX(Stammdaten[D Mitte mit Rinde (mm)],MATCH(Tabelle8[[#This Row],[Rank]],Stammdaten[Rank Verteilung D Mitte mit Rinde],0))</f>
        <v>#N/A</v>
      </c>
      <c r="G72" t="e">
        <f>VLOOKUP(Tabelle8[[#This Row],[Rank]],Stammdaten[[Rank Verteilung D Mitte mit Rinde]:[Verteilung D Mitte mit Rinde]],2,FALSE)</f>
        <v>#N/A</v>
      </c>
      <c r="L72">
        <v>63</v>
      </c>
      <c r="M72" t="e">
        <f>INDEX(Stammdaten[Abholzigkeit (mm/lfm)],MATCH(Tabelle9[[#This Row],[Rank]],Stammdaten[Rank Verteilung Abholzigkeit],0))</f>
        <v>#N/A</v>
      </c>
      <c r="N72" t="e">
        <f>VLOOKUP(Tabelle9[[#This Row],[Rank]],Stammdaten[[Rank Verteilung Abholzigkeit]:[Verteilung Abholzigkeit]],2,FALSE)</f>
        <v>#N/A</v>
      </c>
      <c r="S72">
        <v>63</v>
      </c>
      <c r="T72" t="e">
        <f>INDEX(Stammdaten[Krümmung (mm/lfm)],MATCH(Tabelle10[[#This Row],[Rank]],Stammdaten[Rank Verteilung Krümmung],0))</f>
        <v>#N/A</v>
      </c>
      <c r="U72" t="e">
        <f>VLOOKUP(Tabelle10[[#This Row],[Rank]],Stammdaten[[Rank Verteilung Krümmung]:[Verteilung Krümmung]],2,FALSE)</f>
        <v>#N/A</v>
      </c>
      <c r="Z72">
        <v>63</v>
      </c>
      <c r="AA72" t="e">
        <f>INDEX(Stammdaten[Ovalität (']0,1'])],MATCH(Tabelle1014[[#This Row],[Rank]],Stammdaten[Rank Verteilung Ovalität],0))</f>
        <v>#N/A</v>
      </c>
      <c r="AB72" t="e">
        <f>VLOOKUP(Tabelle1014[[#This Row],[Rank]],Stammdaten[[Rank Verteilung Ovalität]:[Verteilung Ovalität]],2,FALSE)</f>
        <v>#N/A</v>
      </c>
    </row>
    <row r="73" spans="5:28" x14ac:dyDescent="0.35">
      <c r="E73">
        <v>64</v>
      </c>
      <c r="F73" t="e">
        <f>INDEX(Stammdaten[D Mitte mit Rinde (mm)],MATCH(Tabelle8[[#This Row],[Rank]],Stammdaten[Rank Verteilung D Mitte mit Rinde],0))</f>
        <v>#N/A</v>
      </c>
      <c r="G73" t="e">
        <f>VLOOKUP(Tabelle8[[#This Row],[Rank]],Stammdaten[[Rank Verteilung D Mitte mit Rinde]:[Verteilung D Mitte mit Rinde]],2,FALSE)</f>
        <v>#N/A</v>
      </c>
      <c r="L73">
        <v>64</v>
      </c>
      <c r="M73" t="e">
        <f>INDEX(Stammdaten[Abholzigkeit (mm/lfm)],MATCH(Tabelle9[[#This Row],[Rank]],Stammdaten[Rank Verteilung Abholzigkeit],0))</f>
        <v>#N/A</v>
      </c>
      <c r="N73" t="e">
        <f>VLOOKUP(Tabelle9[[#This Row],[Rank]],Stammdaten[[Rank Verteilung Abholzigkeit]:[Verteilung Abholzigkeit]],2,FALSE)</f>
        <v>#N/A</v>
      </c>
      <c r="S73">
        <v>64</v>
      </c>
      <c r="T73" t="e">
        <f>INDEX(Stammdaten[Krümmung (mm/lfm)],MATCH(Tabelle10[[#This Row],[Rank]],Stammdaten[Rank Verteilung Krümmung],0))</f>
        <v>#N/A</v>
      </c>
      <c r="U73" t="e">
        <f>VLOOKUP(Tabelle10[[#This Row],[Rank]],Stammdaten[[Rank Verteilung Krümmung]:[Verteilung Krümmung]],2,FALSE)</f>
        <v>#N/A</v>
      </c>
      <c r="Z73">
        <v>64</v>
      </c>
      <c r="AA73" t="e">
        <f>INDEX(Stammdaten[Ovalität (']0,1'])],MATCH(Tabelle1014[[#This Row],[Rank]],Stammdaten[Rank Verteilung Ovalität],0))</f>
        <v>#N/A</v>
      </c>
      <c r="AB73" t="e">
        <f>VLOOKUP(Tabelle1014[[#This Row],[Rank]],Stammdaten[[Rank Verteilung Ovalität]:[Verteilung Ovalität]],2,FALSE)</f>
        <v>#N/A</v>
      </c>
    </row>
    <row r="74" spans="5:28" x14ac:dyDescent="0.35">
      <c r="E74">
        <v>65</v>
      </c>
      <c r="F74" t="e">
        <f>INDEX(Stammdaten[D Mitte mit Rinde (mm)],MATCH(Tabelle8[[#This Row],[Rank]],Stammdaten[Rank Verteilung D Mitte mit Rinde],0))</f>
        <v>#N/A</v>
      </c>
      <c r="G74" t="e">
        <f>VLOOKUP(Tabelle8[[#This Row],[Rank]],Stammdaten[[Rank Verteilung D Mitte mit Rinde]:[Verteilung D Mitte mit Rinde]],2,FALSE)</f>
        <v>#N/A</v>
      </c>
      <c r="L74">
        <v>65</v>
      </c>
      <c r="M74" t="e">
        <f>INDEX(Stammdaten[Abholzigkeit (mm/lfm)],MATCH(Tabelle9[[#This Row],[Rank]],Stammdaten[Rank Verteilung Abholzigkeit],0))</f>
        <v>#N/A</v>
      </c>
      <c r="N74" t="e">
        <f>VLOOKUP(Tabelle9[[#This Row],[Rank]],Stammdaten[[Rank Verteilung Abholzigkeit]:[Verteilung Abholzigkeit]],2,FALSE)</f>
        <v>#N/A</v>
      </c>
      <c r="S74">
        <v>65</v>
      </c>
      <c r="T74" t="e">
        <f>INDEX(Stammdaten[Krümmung (mm/lfm)],MATCH(Tabelle10[[#This Row],[Rank]],Stammdaten[Rank Verteilung Krümmung],0))</f>
        <v>#N/A</v>
      </c>
      <c r="U74" t="e">
        <f>VLOOKUP(Tabelle10[[#This Row],[Rank]],Stammdaten[[Rank Verteilung Krümmung]:[Verteilung Krümmung]],2,FALSE)</f>
        <v>#N/A</v>
      </c>
      <c r="Z74">
        <v>65</v>
      </c>
      <c r="AA74" t="e">
        <f>INDEX(Stammdaten[Ovalität (']0,1'])],MATCH(Tabelle1014[[#This Row],[Rank]],Stammdaten[Rank Verteilung Ovalität],0))</f>
        <v>#N/A</v>
      </c>
      <c r="AB74" t="e">
        <f>VLOOKUP(Tabelle1014[[#This Row],[Rank]],Stammdaten[[Rank Verteilung Ovalität]:[Verteilung Ovalität]],2,FALSE)</f>
        <v>#N/A</v>
      </c>
    </row>
    <row r="75" spans="5:28" x14ac:dyDescent="0.35">
      <c r="E75">
        <v>66</v>
      </c>
      <c r="F75" t="e">
        <f>INDEX(Stammdaten[D Mitte mit Rinde (mm)],MATCH(Tabelle8[[#This Row],[Rank]],Stammdaten[Rank Verteilung D Mitte mit Rinde],0))</f>
        <v>#N/A</v>
      </c>
      <c r="G75" t="e">
        <f>VLOOKUP(Tabelle8[[#This Row],[Rank]],Stammdaten[[Rank Verteilung D Mitte mit Rinde]:[Verteilung D Mitte mit Rinde]],2,FALSE)</f>
        <v>#N/A</v>
      </c>
      <c r="L75">
        <v>66</v>
      </c>
      <c r="M75" t="e">
        <f>INDEX(Stammdaten[Abholzigkeit (mm/lfm)],MATCH(Tabelle9[[#This Row],[Rank]],Stammdaten[Rank Verteilung Abholzigkeit],0))</f>
        <v>#N/A</v>
      </c>
      <c r="N75" t="e">
        <f>VLOOKUP(Tabelle9[[#This Row],[Rank]],Stammdaten[[Rank Verteilung Abholzigkeit]:[Verteilung Abholzigkeit]],2,FALSE)</f>
        <v>#N/A</v>
      </c>
      <c r="S75">
        <v>66</v>
      </c>
      <c r="T75" t="e">
        <f>INDEX(Stammdaten[Krümmung (mm/lfm)],MATCH(Tabelle10[[#This Row],[Rank]],Stammdaten[Rank Verteilung Krümmung],0))</f>
        <v>#N/A</v>
      </c>
      <c r="U75" t="e">
        <f>VLOOKUP(Tabelle10[[#This Row],[Rank]],Stammdaten[[Rank Verteilung Krümmung]:[Verteilung Krümmung]],2,FALSE)</f>
        <v>#N/A</v>
      </c>
      <c r="Z75">
        <v>66</v>
      </c>
      <c r="AA75" t="e">
        <f>INDEX(Stammdaten[Ovalität (']0,1'])],MATCH(Tabelle1014[[#This Row],[Rank]],Stammdaten[Rank Verteilung Ovalität],0))</f>
        <v>#N/A</v>
      </c>
      <c r="AB75" t="e">
        <f>VLOOKUP(Tabelle1014[[#This Row],[Rank]],Stammdaten[[Rank Verteilung Ovalität]:[Verteilung Ovalität]],2,FALSE)</f>
        <v>#N/A</v>
      </c>
    </row>
    <row r="76" spans="5:28" x14ac:dyDescent="0.35">
      <c r="E76">
        <v>67</v>
      </c>
      <c r="F76" t="e">
        <f>INDEX(Stammdaten[D Mitte mit Rinde (mm)],MATCH(Tabelle8[[#This Row],[Rank]],Stammdaten[Rank Verteilung D Mitte mit Rinde],0))</f>
        <v>#N/A</v>
      </c>
      <c r="G76" t="e">
        <f>VLOOKUP(Tabelle8[[#This Row],[Rank]],Stammdaten[[Rank Verteilung D Mitte mit Rinde]:[Verteilung D Mitte mit Rinde]],2,FALSE)</f>
        <v>#N/A</v>
      </c>
      <c r="L76">
        <v>67</v>
      </c>
      <c r="M76" t="e">
        <f>INDEX(Stammdaten[Abholzigkeit (mm/lfm)],MATCH(Tabelle9[[#This Row],[Rank]],Stammdaten[Rank Verteilung Abholzigkeit],0))</f>
        <v>#N/A</v>
      </c>
      <c r="N76" t="e">
        <f>VLOOKUP(Tabelle9[[#This Row],[Rank]],Stammdaten[[Rank Verteilung Abholzigkeit]:[Verteilung Abholzigkeit]],2,FALSE)</f>
        <v>#N/A</v>
      </c>
      <c r="S76">
        <v>67</v>
      </c>
      <c r="T76" t="e">
        <f>INDEX(Stammdaten[Krümmung (mm/lfm)],MATCH(Tabelle10[[#This Row],[Rank]],Stammdaten[Rank Verteilung Krümmung],0))</f>
        <v>#N/A</v>
      </c>
      <c r="U76" t="e">
        <f>VLOOKUP(Tabelle10[[#This Row],[Rank]],Stammdaten[[Rank Verteilung Krümmung]:[Verteilung Krümmung]],2,FALSE)</f>
        <v>#N/A</v>
      </c>
      <c r="Z76">
        <v>67</v>
      </c>
      <c r="AA76" t="e">
        <f>INDEX(Stammdaten[Ovalität (']0,1'])],MATCH(Tabelle1014[[#This Row],[Rank]],Stammdaten[Rank Verteilung Ovalität],0))</f>
        <v>#N/A</v>
      </c>
      <c r="AB76" t="e">
        <f>VLOOKUP(Tabelle1014[[#This Row],[Rank]],Stammdaten[[Rank Verteilung Ovalität]:[Verteilung Ovalität]],2,FALSE)</f>
        <v>#N/A</v>
      </c>
    </row>
    <row r="77" spans="5:28" x14ac:dyDescent="0.35">
      <c r="E77">
        <v>68</v>
      </c>
      <c r="F77" t="e">
        <f>INDEX(Stammdaten[D Mitte mit Rinde (mm)],MATCH(Tabelle8[[#This Row],[Rank]],Stammdaten[Rank Verteilung D Mitte mit Rinde],0))</f>
        <v>#N/A</v>
      </c>
      <c r="G77" t="e">
        <f>VLOOKUP(Tabelle8[[#This Row],[Rank]],Stammdaten[[Rank Verteilung D Mitte mit Rinde]:[Verteilung D Mitte mit Rinde]],2,FALSE)</f>
        <v>#N/A</v>
      </c>
      <c r="L77">
        <v>68</v>
      </c>
      <c r="M77" t="e">
        <f>INDEX(Stammdaten[Abholzigkeit (mm/lfm)],MATCH(Tabelle9[[#This Row],[Rank]],Stammdaten[Rank Verteilung Abholzigkeit],0))</f>
        <v>#N/A</v>
      </c>
      <c r="N77" t="e">
        <f>VLOOKUP(Tabelle9[[#This Row],[Rank]],Stammdaten[[Rank Verteilung Abholzigkeit]:[Verteilung Abholzigkeit]],2,FALSE)</f>
        <v>#N/A</v>
      </c>
      <c r="S77">
        <v>68</v>
      </c>
      <c r="T77" t="e">
        <f>INDEX(Stammdaten[Krümmung (mm/lfm)],MATCH(Tabelle10[[#This Row],[Rank]],Stammdaten[Rank Verteilung Krümmung],0))</f>
        <v>#N/A</v>
      </c>
      <c r="U77" t="e">
        <f>VLOOKUP(Tabelle10[[#This Row],[Rank]],Stammdaten[[Rank Verteilung Krümmung]:[Verteilung Krümmung]],2,FALSE)</f>
        <v>#N/A</v>
      </c>
      <c r="Z77">
        <v>68</v>
      </c>
      <c r="AA77" t="e">
        <f>INDEX(Stammdaten[Ovalität (']0,1'])],MATCH(Tabelle1014[[#This Row],[Rank]],Stammdaten[Rank Verteilung Ovalität],0))</f>
        <v>#N/A</v>
      </c>
      <c r="AB77" t="e">
        <f>VLOOKUP(Tabelle1014[[#This Row],[Rank]],Stammdaten[[Rank Verteilung Ovalität]:[Verteilung Ovalität]],2,FALSE)</f>
        <v>#N/A</v>
      </c>
    </row>
    <row r="78" spans="5:28" x14ac:dyDescent="0.35">
      <c r="E78">
        <v>69</v>
      </c>
      <c r="F78" t="e">
        <f>INDEX(Stammdaten[D Mitte mit Rinde (mm)],MATCH(Tabelle8[[#This Row],[Rank]],Stammdaten[Rank Verteilung D Mitte mit Rinde],0))</f>
        <v>#N/A</v>
      </c>
      <c r="G78" t="e">
        <f>VLOOKUP(Tabelle8[[#This Row],[Rank]],Stammdaten[[Rank Verteilung D Mitte mit Rinde]:[Verteilung D Mitte mit Rinde]],2,FALSE)</f>
        <v>#N/A</v>
      </c>
      <c r="L78">
        <v>69</v>
      </c>
      <c r="M78" t="e">
        <f>INDEX(Stammdaten[Abholzigkeit (mm/lfm)],MATCH(Tabelle9[[#This Row],[Rank]],Stammdaten[Rank Verteilung Abholzigkeit],0))</f>
        <v>#N/A</v>
      </c>
      <c r="N78" t="e">
        <f>VLOOKUP(Tabelle9[[#This Row],[Rank]],Stammdaten[[Rank Verteilung Abholzigkeit]:[Verteilung Abholzigkeit]],2,FALSE)</f>
        <v>#N/A</v>
      </c>
      <c r="S78">
        <v>69</v>
      </c>
      <c r="T78" t="e">
        <f>INDEX(Stammdaten[Krümmung (mm/lfm)],MATCH(Tabelle10[[#This Row],[Rank]],Stammdaten[Rank Verteilung Krümmung],0))</f>
        <v>#N/A</v>
      </c>
      <c r="U78" t="e">
        <f>VLOOKUP(Tabelle10[[#This Row],[Rank]],Stammdaten[[Rank Verteilung Krümmung]:[Verteilung Krümmung]],2,FALSE)</f>
        <v>#N/A</v>
      </c>
      <c r="Z78">
        <v>69</v>
      </c>
      <c r="AA78" t="e">
        <f>INDEX(Stammdaten[Ovalität (']0,1'])],MATCH(Tabelle1014[[#This Row],[Rank]],Stammdaten[Rank Verteilung Ovalität],0))</f>
        <v>#N/A</v>
      </c>
      <c r="AB78" t="e">
        <f>VLOOKUP(Tabelle1014[[#This Row],[Rank]],Stammdaten[[Rank Verteilung Ovalität]:[Verteilung Ovalität]],2,FALSE)</f>
        <v>#N/A</v>
      </c>
    </row>
    <row r="79" spans="5:28" x14ac:dyDescent="0.35">
      <c r="E79">
        <v>70</v>
      </c>
      <c r="F79" t="e">
        <f>INDEX(Stammdaten[D Mitte mit Rinde (mm)],MATCH(Tabelle8[[#This Row],[Rank]],Stammdaten[Rank Verteilung D Mitte mit Rinde],0))</f>
        <v>#N/A</v>
      </c>
      <c r="G79" t="e">
        <f>VLOOKUP(Tabelle8[[#This Row],[Rank]],Stammdaten[[Rank Verteilung D Mitte mit Rinde]:[Verteilung D Mitte mit Rinde]],2,FALSE)</f>
        <v>#N/A</v>
      </c>
      <c r="L79">
        <v>70</v>
      </c>
      <c r="M79" t="e">
        <f>INDEX(Stammdaten[Abholzigkeit (mm/lfm)],MATCH(Tabelle9[[#This Row],[Rank]],Stammdaten[Rank Verteilung Abholzigkeit],0))</f>
        <v>#N/A</v>
      </c>
      <c r="N79" t="e">
        <f>VLOOKUP(Tabelle9[[#This Row],[Rank]],Stammdaten[[Rank Verteilung Abholzigkeit]:[Verteilung Abholzigkeit]],2,FALSE)</f>
        <v>#N/A</v>
      </c>
      <c r="S79">
        <v>70</v>
      </c>
      <c r="T79" t="e">
        <f>INDEX(Stammdaten[Krümmung (mm/lfm)],MATCH(Tabelle10[[#This Row],[Rank]],Stammdaten[Rank Verteilung Krümmung],0))</f>
        <v>#N/A</v>
      </c>
      <c r="U79" t="e">
        <f>VLOOKUP(Tabelle10[[#This Row],[Rank]],Stammdaten[[Rank Verteilung Krümmung]:[Verteilung Krümmung]],2,FALSE)</f>
        <v>#N/A</v>
      </c>
      <c r="Z79">
        <v>70</v>
      </c>
      <c r="AA79" t="e">
        <f>INDEX(Stammdaten[Ovalität (']0,1'])],MATCH(Tabelle1014[[#This Row],[Rank]],Stammdaten[Rank Verteilung Ovalität],0))</f>
        <v>#N/A</v>
      </c>
      <c r="AB79" t="e">
        <f>VLOOKUP(Tabelle1014[[#This Row],[Rank]],Stammdaten[[Rank Verteilung Ovalität]:[Verteilung Ovalität]],2,FALSE)</f>
        <v>#N/A</v>
      </c>
    </row>
    <row r="80" spans="5:28" x14ac:dyDescent="0.35">
      <c r="E80">
        <v>71</v>
      </c>
      <c r="F80" t="e">
        <f>INDEX(Stammdaten[D Mitte mit Rinde (mm)],MATCH(Tabelle8[[#This Row],[Rank]],Stammdaten[Rank Verteilung D Mitte mit Rinde],0))</f>
        <v>#N/A</v>
      </c>
      <c r="G80" t="e">
        <f>VLOOKUP(Tabelle8[[#This Row],[Rank]],Stammdaten[[Rank Verteilung D Mitte mit Rinde]:[Verteilung D Mitte mit Rinde]],2,FALSE)</f>
        <v>#N/A</v>
      </c>
      <c r="L80">
        <v>71</v>
      </c>
      <c r="M80" t="e">
        <f>INDEX(Stammdaten[Abholzigkeit (mm/lfm)],MATCH(Tabelle9[[#This Row],[Rank]],Stammdaten[Rank Verteilung Abholzigkeit],0))</f>
        <v>#N/A</v>
      </c>
      <c r="N80" t="e">
        <f>VLOOKUP(Tabelle9[[#This Row],[Rank]],Stammdaten[[Rank Verteilung Abholzigkeit]:[Verteilung Abholzigkeit]],2,FALSE)</f>
        <v>#N/A</v>
      </c>
      <c r="S80">
        <v>71</v>
      </c>
      <c r="T80" t="e">
        <f>INDEX(Stammdaten[Krümmung (mm/lfm)],MATCH(Tabelle10[[#This Row],[Rank]],Stammdaten[Rank Verteilung Krümmung],0))</f>
        <v>#N/A</v>
      </c>
      <c r="U80" t="e">
        <f>VLOOKUP(Tabelle10[[#This Row],[Rank]],Stammdaten[[Rank Verteilung Krümmung]:[Verteilung Krümmung]],2,FALSE)</f>
        <v>#N/A</v>
      </c>
      <c r="Z80">
        <v>71</v>
      </c>
      <c r="AA80" t="e">
        <f>INDEX(Stammdaten[Ovalität (']0,1'])],MATCH(Tabelle1014[[#This Row],[Rank]],Stammdaten[Rank Verteilung Ovalität],0))</f>
        <v>#N/A</v>
      </c>
      <c r="AB80" t="e">
        <f>VLOOKUP(Tabelle1014[[#This Row],[Rank]],Stammdaten[[Rank Verteilung Ovalität]:[Verteilung Ovalität]],2,FALSE)</f>
        <v>#N/A</v>
      </c>
    </row>
    <row r="81" spans="5:28" x14ac:dyDescent="0.35">
      <c r="E81">
        <v>72</v>
      </c>
      <c r="F81" t="e">
        <f>INDEX(Stammdaten[D Mitte mit Rinde (mm)],MATCH(Tabelle8[[#This Row],[Rank]],Stammdaten[Rank Verteilung D Mitte mit Rinde],0))</f>
        <v>#N/A</v>
      </c>
      <c r="G81" t="e">
        <f>VLOOKUP(Tabelle8[[#This Row],[Rank]],Stammdaten[[Rank Verteilung D Mitte mit Rinde]:[Verteilung D Mitte mit Rinde]],2,FALSE)</f>
        <v>#N/A</v>
      </c>
      <c r="L81">
        <v>72</v>
      </c>
      <c r="M81" t="e">
        <f>INDEX(Stammdaten[Abholzigkeit (mm/lfm)],MATCH(Tabelle9[[#This Row],[Rank]],Stammdaten[Rank Verteilung Abholzigkeit],0))</f>
        <v>#N/A</v>
      </c>
      <c r="N81" t="e">
        <f>VLOOKUP(Tabelle9[[#This Row],[Rank]],Stammdaten[[Rank Verteilung Abholzigkeit]:[Verteilung Abholzigkeit]],2,FALSE)</f>
        <v>#N/A</v>
      </c>
      <c r="S81">
        <v>72</v>
      </c>
      <c r="T81" t="e">
        <f>INDEX(Stammdaten[Krümmung (mm/lfm)],MATCH(Tabelle10[[#This Row],[Rank]],Stammdaten[Rank Verteilung Krümmung],0))</f>
        <v>#N/A</v>
      </c>
      <c r="U81" t="e">
        <f>VLOOKUP(Tabelle10[[#This Row],[Rank]],Stammdaten[[Rank Verteilung Krümmung]:[Verteilung Krümmung]],2,FALSE)</f>
        <v>#N/A</v>
      </c>
      <c r="Z81">
        <v>72</v>
      </c>
      <c r="AA81" t="e">
        <f>INDEX(Stammdaten[Ovalität (']0,1'])],MATCH(Tabelle1014[[#This Row],[Rank]],Stammdaten[Rank Verteilung Ovalität],0))</f>
        <v>#N/A</v>
      </c>
      <c r="AB81" t="e">
        <f>VLOOKUP(Tabelle1014[[#This Row],[Rank]],Stammdaten[[Rank Verteilung Ovalität]:[Verteilung Ovalität]],2,FALSE)</f>
        <v>#N/A</v>
      </c>
    </row>
    <row r="82" spans="5:28" x14ac:dyDescent="0.35">
      <c r="E82">
        <v>73</v>
      </c>
      <c r="F82" t="e">
        <f>INDEX(Stammdaten[D Mitte mit Rinde (mm)],MATCH(Tabelle8[[#This Row],[Rank]],Stammdaten[Rank Verteilung D Mitte mit Rinde],0))</f>
        <v>#N/A</v>
      </c>
      <c r="G82" t="e">
        <f>VLOOKUP(Tabelle8[[#This Row],[Rank]],Stammdaten[[Rank Verteilung D Mitte mit Rinde]:[Verteilung D Mitte mit Rinde]],2,FALSE)</f>
        <v>#N/A</v>
      </c>
      <c r="L82">
        <v>73</v>
      </c>
      <c r="M82" t="e">
        <f>INDEX(Stammdaten[Abholzigkeit (mm/lfm)],MATCH(Tabelle9[[#This Row],[Rank]],Stammdaten[Rank Verteilung Abholzigkeit],0))</f>
        <v>#N/A</v>
      </c>
      <c r="N82" t="e">
        <f>VLOOKUP(Tabelle9[[#This Row],[Rank]],Stammdaten[[Rank Verteilung Abholzigkeit]:[Verteilung Abholzigkeit]],2,FALSE)</f>
        <v>#N/A</v>
      </c>
      <c r="S82">
        <v>73</v>
      </c>
      <c r="T82" t="e">
        <f>INDEX(Stammdaten[Krümmung (mm/lfm)],MATCH(Tabelle10[[#This Row],[Rank]],Stammdaten[Rank Verteilung Krümmung],0))</f>
        <v>#N/A</v>
      </c>
      <c r="U82" t="e">
        <f>VLOOKUP(Tabelle10[[#This Row],[Rank]],Stammdaten[[Rank Verteilung Krümmung]:[Verteilung Krümmung]],2,FALSE)</f>
        <v>#N/A</v>
      </c>
      <c r="Z82">
        <v>73</v>
      </c>
      <c r="AA82" t="e">
        <f>INDEX(Stammdaten[Ovalität (']0,1'])],MATCH(Tabelle1014[[#This Row],[Rank]],Stammdaten[Rank Verteilung Ovalität],0))</f>
        <v>#N/A</v>
      </c>
      <c r="AB82" t="e">
        <f>VLOOKUP(Tabelle1014[[#This Row],[Rank]],Stammdaten[[Rank Verteilung Ovalität]:[Verteilung Ovalität]],2,FALSE)</f>
        <v>#N/A</v>
      </c>
    </row>
    <row r="83" spans="5:28" x14ac:dyDescent="0.35">
      <c r="E83">
        <v>74</v>
      </c>
      <c r="F83" t="e">
        <f>INDEX(Stammdaten[D Mitte mit Rinde (mm)],MATCH(Tabelle8[[#This Row],[Rank]],Stammdaten[Rank Verteilung D Mitte mit Rinde],0))</f>
        <v>#N/A</v>
      </c>
      <c r="G83" t="e">
        <f>VLOOKUP(Tabelle8[[#This Row],[Rank]],Stammdaten[[Rank Verteilung D Mitte mit Rinde]:[Verteilung D Mitte mit Rinde]],2,FALSE)</f>
        <v>#N/A</v>
      </c>
      <c r="L83">
        <v>74</v>
      </c>
      <c r="M83" t="e">
        <f>INDEX(Stammdaten[Abholzigkeit (mm/lfm)],MATCH(Tabelle9[[#This Row],[Rank]],Stammdaten[Rank Verteilung Abholzigkeit],0))</f>
        <v>#N/A</v>
      </c>
      <c r="N83" t="e">
        <f>VLOOKUP(Tabelle9[[#This Row],[Rank]],Stammdaten[[Rank Verteilung Abholzigkeit]:[Verteilung Abholzigkeit]],2,FALSE)</f>
        <v>#N/A</v>
      </c>
      <c r="S83">
        <v>74</v>
      </c>
      <c r="T83" t="e">
        <f>INDEX(Stammdaten[Krümmung (mm/lfm)],MATCH(Tabelle10[[#This Row],[Rank]],Stammdaten[Rank Verteilung Krümmung],0))</f>
        <v>#N/A</v>
      </c>
      <c r="U83" t="e">
        <f>VLOOKUP(Tabelle10[[#This Row],[Rank]],Stammdaten[[Rank Verteilung Krümmung]:[Verteilung Krümmung]],2,FALSE)</f>
        <v>#N/A</v>
      </c>
      <c r="Z83">
        <v>74</v>
      </c>
      <c r="AA83" t="e">
        <f>INDEX(Stammdaten[Ovalität (']0,1'])],MATCH(Tabelle1014[[#This Row],[Rank]],Stammdaten[Rank Verteilung Ovalität],0))</f>
        <v>#N/A</v>
      </c>
      <c r="AB83" t="e">
        <f>VLOOKUP(Tabelle1014[[#This Row],[Rank]],Stammdaten[[Rank Verteilung Ovalität]:[Verteilung Ovalität]],2,FALSE)</f>
        <v>#N/A</v>
      </c>
    </row>
    <row r="84" spans="5:28" x14ac:dyDescent="0.35">
      <c r="E84">
        <v>75</v>
      </c>
      <c r="F84" t="e">
        <f>INDEX(Stammdaten[D Mitte mit Rinde (mm)],MATCH(Tabelle8[[#This Row],[Rank]],Stammdaten[Rank Verteilung D Mitte mit Rinde],0))</f>
        <v>#N/A</v>
      </c>
      <c r="G84" t="e">
        <f>VLOOKUP(Tabelle8[[#This Row],[Rank]],Stammdaten[[Rank Verteilung D Mitte mit Rinde]:[Verteilung D Mitte mit Rinde]],2,FALSE)</f>
        <v>#N/A</v>
      </c>
      <c r="L84">
        <v>75</v>
      </c>
      <c r="M84" t="e">
        <f>INDEX(Stammdaten[Abholzigkeit (mm/lfm)],MATCH(Tabelle9[[#This Row],[Rank]],Stammdaten[Rank Verteilung Abholzigkeit],0))</f>
        <v>#N/A</v>
      </c>
      <c r="N84" t="e">
        <f>VLOOKUP(Tabelle9[[#This Row],[Rank]],Stammdaten[[Rank Verteilung Abholzigkeit]:[Verteilung Abholzigkeit]],2,FALSE)</f>
        <v>#N/A</v>
      </c>
      <c r="S84">
        <v>75</v>
      </c>
      <c r="T84" t="e">
        <f>INDEX(Stammdaten[Krümmung (mm/lfm)],MATCH(Tabelle10[[#This Row],[Rank]],Stammdaten[Rank Verteilung Krümmung],0))</f>
        <v>#N/A</v>
      </c>
      <c r="U84" t="e">
        <f>VLOOKUP(Tabelle10[[#This Row],[Rank]],Stammdaten[[Rank Verteilung Krümmung]:[Verteilung Krümmung]],2,FALSE)</f>
        <v>#N/A</v>
      </c>
      <c r="Z84">
        <v>75</v>
      </c>
      <c r="AA84" t="e">
        <f>INDEX(Stammdaten[Ovalität (']0,1'])],MATCH(Tabelle1014[[#This Row],[Rank]],Stammdaten[Rank Verteilung Ovalität],0))</f>
        <v>#N/A</v>
      </c>
      <c r="AB84" t="e">
        <f>VLOOKUP(Tabelle1014[[#This Row],[Rank]],Stammdaten[[Rank Verteilung Ovalität]:[Verteilung Ovalität]],2,FALSE)</f>
        <v>#N/A</v>
      </c>
    </row>
    <row r="85" spans="5:28" x14ac:dyDescent="0.35">
      <c r="E85">
        <v>76</v>
      </c>
      <c r="F85" t="e">
        <f>INDEX(Stammdaten[D Mitte mit Rinde (mm)],MATCH(Tabelle8[[#This Row],[Rank]],Stammdaten[Rank Verteilung D Mitte mit Rinde],0))</f>
        <v>#N/A</v>
      </c>
      <c r="G85" t="e">
        <f>VLOOKUP(Tabelle8[[#This Row],[Rank]],Stammdaten[[Rank Verteilung D Mitte mit Rinde]:[Verteilung D Mitte mit Rinde]],2,FALSE)</f>
        <v>#N/A</v>
      </c>
      <c r="L85">
        <v>76</v>
      </c>
      <c r="M85" t="e">
        <f>INDEX(Stammdaten[Abholzigkeit (mm/lfm)],MATCH(Tabelle9[[#This Row],[Rank]],Stammdaten[Rank Verteilung Abholzigkeit],0))</f>
        <v>#N/A</v>
      </c>
      <c r="N85" t="e">
        <f>VLOOKUP(Tabelle9[[#This Row],[Rank]],Stammdaten[[Rank Verteilung Abholzigkeit]:[Verteilung Abholzigkeit]],2,FALSE)</f>
        <v>#N/A</v>
      </c>
      <c r="S85">
        <v>76</v>
      </c>
      <c r="T85" t="e">
        <f>INDEX(Stammdaten[Krümmung (mm/lfm)],MATCH(Tabelle10[[#This Row],[Rank]],Stammdaten[Rank Verteilung Krümmung],0))</f>
        <v>#N/A</v>
      </c>
      <c r="U85" t="e">
        <f>VLOOKUP(Tabelle10[[#This Row],[Rank]],Stammdaten[[Rank Verteilung Krümmung]:[Verteilung Krümmung]],2,FALSE)</f>
        <v>#N/A</v>
      </c>
      <c r="Z85">
        <v>76</v>
      </c>
      <c r="AA85" t="e">
        <f>INDEX(Stammdaten[Ovalität (']0,1'])],MATCH(Tabelle1014[[#This Row],[Rank]],Stammdaten[Rank Verteilung Ovalität],0))</f>
        <v>#N/A</v>
      </c>
      <c r="AB85" t="e">
        <f>VLOOKUP(Tabelle1014[[#This Row],[Rank]],Stammdaten[[Rank Verteilung Ovalität]:[Verteilung Ovalität]],2,FALSE)</f>
        <v>#N/A</v>
      </c>
    </row>
    <row r="86" spans="5:28" x14ac:dyDescent="0.35">
      <c r="E86">
        <v>77</v>
      </c>
      <c r="F86" t="e">
        <f>INDEX(Stammdaten[D Mitte mit Rinde (mm)],MATCH(Tabelle8[[#This Row],[Rank]],Stammdaten[Rank Verteilung D Mitte mit Rinde],0))</f>
        <v>#N/A</v>
      </c>
      <c r="G86" t="e">
        <f>VLOOKUP(Tabelle8[[#This Row],[Rank]],Stammdaten[[Rank Verteilung D Mitte mit Rinde]:[Verteilung D Mitte mit Rinde]],2,FALSE)</f>
        <v>#N/A</v>
      </c>
      <c r="L86">
        <v>77</v>
      </c>
      <c r="M86" t="e">
        <f>INDEX(Stammdaten[Abholzigkeit (mm/lfm)],MATCH(Tabelle9[[#This Row],[Rank]],Stammdaten[Rank Verteilung Abholzigkeit],0))</f>
        <v>#N/A</v>
      </c>
      <c r="N86" t="e">
        <f>VLOOKUP(Tabelle9[[#This Row],[Rank]],Stammdaten[[Rank Verteilung Abholzigkeit]:[Verteilung Abholzigkeit]],2,FALSE)</f>
        <v>#N/A</v>
      </c>
      <c r="S86">
        <v>77</v>
      </c>
      <c r="T86" t="e">
        <f>INDEX(Stammdaten[Krümmung (mm/lfm)],MATCH(Tabelle10[[#This Row],[Rank]],Stammdaten[Rank Verteilung Krümmung],0))</f>
        <v>#N/A</v>
      </c>
      <c r="U86" t="e">
        <f>VLOOKUP(Tabelle10[[#This Row],[Rank]],Stammdaten[[Rank Verteilung Krümmung]:[Verteilung Krümmung]],2,FALSE)</f>
        <v>#N/A</v>
      </c>
      <c r="Z86">
        <v>77</v>
      </c>
      <c r="AA86" t="e">
        <f>INDEX(Stammdaten[Ovalität (']0,1'])],MATCH(Tabelle1014[[#This Row],[Rank]],Stammdaten[Rank Verteilung Ovalität],0))</f>
        <v>#N/A</v>
      </c>
      <c r="AB86" t="e">
        <f>VLOOKUP(Tabelle1014[[#This Row],[Rank]],Stammdaten[[Rank Verteilung Ovalität]:[Verteilung Ovalität]],2,FALSE)</f>
        <v>#N/A</v>
      </c>
    </row>
    <row r="87" spans="5:28" x14ac:dyDescent="0.35">
      <c r="E87">
        <v>78</v>
      </c>
      <c r="F87" t="e">
        <f>INDEX(Stammdaten[D Mitte mit Rinde (mm)],MATCH(Tabelle8[[#This Row],[Rank]],Stammdaten[Rank Verteilung D Mitte mit Rinde],0))</f>
        <v>#N/A</v>
      </c>
      <c r="G87" t="e">
        <f>VLOOKUP(Tabelle8[[#This Row],[Rank]],Stammdaten[[Rank Verteilung D Mitte mit Rinde]:[Verteilung D Mitte mit Rinde]],2,FALSE)</f>
        <v>#N/A</v>
      </c>
      <c r="L87">
        <v>78</v>
      </c>
      <c r="M87" t="e">
        <f>INDEX(Stammdaten[Abholzigkeit (mm/lfm)],MATCH(Tabelle9[[#This Row],[Rank]],Stammdaten[Rank Verteilung Abholzigkeit],0))</f>
        <v>#N/A</v>
      </c>
      <c r="N87" t="e">
        <f>VLOOKUP(Tabelle9[[#This Row],[Rank]],Stammdaten[[Rank Verteilung Abholzigkeit]:[Verteilung Abholzigkeit]],2,FALSE)</f>
        <v>#N/A</v>
      </c>
      <c r="S87">
        <v>78</v>
      </c>
      <c r="T87" t="e">
        <f>INDEX(Stammdaten[Krümmung (mm/lfm)],MATCH(Tabelle10[[#This Row],[Rank]],Stammdaten[Rank Verteilung Krümmung],0))</f>
        <v>#N/A</v>
      </c>
      <c r="U87" t="e">
        <f>VLOOKUP(Tabelle10[[#This Row],[Rank]],Stammdaten[[Rank Verteilung Krümmung]:[Verteilung Krümmung]],2,FALSE)</f>
        <v>#N/A</v>
      </c>
      <c r="Z87">
        <v>78</v>
      </c>
      <c r="AA87" t="e">
        <f>INDEX(Stammdaten[Ovalität (']0,1'])],MATCH(Tabelle1014[[#This Row],[Rank]],Stammdaten[Rank Verteilung Ovalität],0))</f>
        <v>#N/A</v>
      </c>
      <c r="AB87" t="e">
        <f>VLOOKUP(Tabelle1014[[#This Row],[Rank]],Stammdaten[[Rank Verteilung Ovalität]:[Verteilung Ovalität]],2,FALSE)</f>
        <v>#N/A</v>
      </c>
    </row>
    <row r="88" spans="5:28" x14ac:dyDescent="0.35">
      <c r="E88">
        <v>79</v>
      </c>
      <c r="F88" t="e">
        <f>INDEX(Stammdaten[D Mitte mit Rinde (mm)],MATCH(Tabelle8[[#This Row],[Rank]],Stammdaten[Rank Verteilung D Mitte mit Rinde],0))</f>
        <v>#N/A</v>
      </c>
      <c r="G88" t="e">
        <f>VLOOKUP(Tabelle8[[#This Row],[Rank]],Stammdaten[[Rank Verteilung D Mitte mit Rinde]:[Verteilung D Mitte mit Rinde]],2,FALSE)</f>
        <v>#N/A</v>
      </c>
      <c r="L88">
        <v>79</v>
      </c>
      <c r="M88" t="e">
        <f>INDEX(Stammdaten[Abholzigkeit (mm/lfm)],MATCH(Tabelle9[[#This Row],[Rank]],Stammdaten[Rank Verteilung Abholzigkeit],0))</f>
        <v>#N/A</v>
      </c>
      <c r="N88" t="e">
        <f>VLOOKUP(Tabelle9[[#This Row],[Rank]],Stammdaten[[Rank Verteilung Abholzigkeit]:[Verteilung Abholzigkeit]],2,FALSE)</f>
        <v>#N/A</v>
      </c>
      <c r="S88">
        <v>79</v>
      </c>
      <c r="T88" t="e">
        <f>INDEX(Stammdaten[Krümmung (mm/lfm)],MATCH(Tabelle10[[#This Row],[Rank]],Stammdaten[Rank Verteilung Krümmung],0))</f>
        <v>#N/A</v>
      </c>
      <c r="U88" t="e">
        <f>VLOOKUP(Tabelle10[[#This Row],[Rank]],Stammdaten[[Rank Verteilung Krümmung]:[Verteilung Krümmung]],2,FALSE)</f>
        <v>#N/A</v>
      </c>
      <c r="Z88">
        <v>79</v>
      </c>
      <c r="AA88" t="e">
        <f>INDEX(Stammdaten[Ovalität (']0,1'])],MATCH(Tabelle1014[[#This Row],[Rank]],Stammdaten[Rank Verteilung Ovalität],0))</f>
        <v>#N/A</v>
      </c>
      <c r="AB88" t="e">
        <f>VLOOKUP(Tabelle1014[[#This Row],[Rank]],Stammdaten[[Rank Verteilung Ovalität]:[Verteilung Ovalität]],2,FALSE)</f>
        <v>#N/A</v>
      </c>
    </row>
    <row r="89" spans="5:28" x14ac:dyDescent="0.35">
      <c r="E89">
        <v>80</v>
      </c>
      <c r="F89" t="e">
        <f>INDEX(Stammdaten[D Mitte mit Rinde (mm)],MATCH(Tabelle8[[#This Row],[Rank]],Stammdaten[Rank Verteilung D Mitte mit Rinde],0))</f>
        <v>#N/A</v>
      </c>
      <c r="G89" t="e">
        <f>VLOOKUP(Tabelle8[[#This Row],[Rank]],Stammdaten[[Rank Verteilung D Mitte mit Rinde]:[Verteilung D Mitte mit Rinde]],2,FALSE)</f>
        <v>#N/A</v>
      </c>
      <c r="L89">
        <v>80</v>
      </c>
      <c r="M89" t="e">
        <f>INDEX(Stammdaten[Abholzigkeit (mm/lfm)],MATCH(Tabelle9[[#This Row],[Rank]],Stammdaten[Rank Verteilung Abholzigkeit],0))</f>
        <v>#N/A</v>
      </c>
      <c r="N89" t="e">
        <f>VLOOKUP(Tabelle9[[#This Row],[Rank]],Stammdaten[[Rank Verteilung Abholzigkeit]:[Verteilung Abholzigkeit]],2,FALSE)</f>
        <v>#N/A</v>
      </c>
      <c r="S89">
        <v>80</v>
      </c>
      <c r="T89" t="e">
        <f>INDEX(Stammdaten[Krümmung (mm/lfm)],MATCH(Tabelle10[[#This Row],[Rank]],Stammdaten[Rank Verteilung Krümmung],0))</f>
        <v>#N/A</v>
      </c>
      <c r="U89" t="e">
        <f>VLOOKUP(Tabelle10[[#This Row],[Rank]],Stammdaten[[Rank Verteilung Krümmung]:[Verteilung Krümmung]],2,FALSE)</f>
        <v>#N/A</v>
      </c>
      <c r="Z89">
        <v>80</v>
      </c>
      <c r="AA89" t="e">
        <f>INDEX(Stammdaten[Ovalität (']0,1'])],MATCH(Tabelle1014[[#This Row],[Rank]],Stammdaten[Rank Verteilung Ovalität],0))</f>
        <v>#N/A</v>
      </c>
      <c r="AB89" t="e">
        <f>VLOOKUP(Tabelle1014[[#This Row],[Rank]],Stammdaten[[Rank Verteilung Ovalität]:[Verteilung Ovalität]],2,FALSE)</f>
        <v>#N/A</v>
      </c>
    </row>
    <row r="90" spans="5:28" x14ac:dyDescent="0.35">
      <c r="E90">
        <v>81</v>
      </c>
      <c r="F90" t="e">
        <f>INDEX(Stammdaten[D Mitte mit Rinde (mm)],MATCH(Tabelle8[[#This Row],[Rank]],Stammdaten[Rank Verteilung D Mitte mit Rinde],0))</f>
        <v>#N/A</v>
      </c>
      <c r="G90" t="e">
        <f>VLOOKUP(Tabelle8[[#This Row],[Rank]],Stammdaten[[Rank Verteilung D Mitte mit Rinde]:[Verteilung D Mitte mit Rinde]],2,FALSE)</f>
        <v>#N/A</v>
      </c>
      <c r="L90">
        <v>81</v>
      </c>
      <c r="M90" t="e">
        <f>INDEX(Stammdaten[Abholzigkeit (mm/lfm)],MATCH(Tabelle9[[#This Row],[Rank]],Stammdaten[Rank Verteilung Abholzigkeit],0))</f>
        <v>#N/A</v>
      </c>
      <c r="N90" t="e">
        <f>VLOOKUP(Tabelle9[[#This Row],[Rank]],Stammdaten[[Rank Verteilung Abholzigkeit]:[Verteilung Abholzigkeit]],2,FALSE)</f>
        <v>#N/A</v>
      </c>
      <c r="S90">
        <v>81</v>
      </c>
      <c r="T90" t="e">
        <f>INDEX(Stammdaten[Krümmung (mm/lfm)],MATCH(Tabelle10[[#This Row],[Rank]],Stammdaten[Rank Verteilung Krümmung],0))</f>
        <v>#N/A</v>
      </c>
      <c r="U90" t="e">
        <f>VLOOKUP(Tabelle10[[#This Row],[Rank]],Stammdaten[[Rank Verteilung Krümmung]:[Verteilung Krümmung]],2,FALSE)</f>
        <v>#N/A</v>
      </c>
      <c r="Z90">
        <v>81</v>
      </c>
      <c r="AA90" t="e">
        <f>INDEX(Stammdaten[Ovalität (']0,1'])],MATCH(Tabelle1014[[#This Row],[Rank]],Stammdaten[Rank Verteilung Ovalität],0))</f>
        <v>#N/A</v>
      </c>
      <c r="AB90" t="e">
        <f>VLOOKUP(Tabelle1014[[#This Row],[Rank]],Stammdaten[[Rank Verteilung Ovalität]:[Verteilung Ovalität]],2,FALSE)</f>
        <v>#N/A</v>
      </c>
    </row>
    <row r="91" spans="5:28" x14ac:dyDescent="0.35">
      <c r="E91">
        <v>82</v>
      </c>
      <c r="F91" t="e">
        <f>INDEX(Stammdaten[D Mitte mit Rinde (mm)],MATCH(Tabelle8[[#This Row],[Rank]],Stammdaten[Rank Verteilung D Mitte mit Rinde],0))</f>
        <v>#N/A</v>
      </c>
      <c r="G91" t="e">
        <f>VLOOKUP(Tabelle8[[#This Row],[Rank]],Stammdaten[[Rank Verteilung D Mitte mit Rinde]:[Verteilung D Mitte mit Rinde]],2,FALSE)</f>
        <v>#N/A</v>
      </c>
      <c r="L91">
        <v>82</v>
      </c>
      <c r="M91" t="e">
        <f>INDEX(Stammdaten[Abholzigkeit (mm/lfm)],MATCH(Tabelle9[[#This Row],[Rank]],Stammdaten[Rank Verteilung Abholzigkeit],0))</f>
        <v>#N/A</v>
      </c>
      <c r="N91" t="e">
        <f>VLOOKUP(Tabelle9[[#This Row],[Rank]],Stammdaten[[Rank Verteilung Abholzigkeit]:[Verteilung Abholzigkeit]],2,FALSE)</f>
        <v>#N/A</v>
      </c>
      <c r="S91">
        <v>82</v>
      </c>
      <c r="T91" t="e">
        <f>INDEX(Stammdaten[Krümmung (mm/lfm)],MATCH(Tabelle10[[#This Row],[Rank]],Stammdaten[Rank Verteilung Krümmung],0))</f>
        <v>#N/A</v>
      </c>
      <c r="U91" t="e">
        <f>VLOOKUP(Tabelle10[[#This Row],[Rank]],Stammdaten[[Rank Verteilung Krümmung]:[Verteilung Krümmung]],2,FALSE)</f>
        <v>#N/A</v>
      </c>
      <c r="Z91">
        <v>82</v>
      </c>
      <c r="AA91" t="e">
        <f>INDEX(Stammdaten[Ovalität (']0,1'])],MATCH(Tabelle1014[[#This Row],[Rank]],Stammdaten[Rank Verteilung Ovalität],0))</f>
        <v>#N/A</v>
      </c>
      <c r="AB91" t="e">
        <f>VLOOKUP(Tabelle1014[[#This Row],[Rank]],Stammdaten[[Rank Verteilung Ovalität]:[Verteilung Ovalität]],2,FALSE)</f>
        <v>#N/A</v>
      </c>
    </row>
    <row r="92" spans="5:28" x14ac:dyDescent="0.35">
      <c r="E92">
        <v>83</v>
      </c>
      <c r="F92" t="e">
        <f>INDEX(Stammdaten[D Mitte mit Rinde (mm)],MATCH(Tabelle8[[#This Row],[Rank]],Stammdaten[Rank Verteilung D Mitte mit Rinde],0))</f>
        <v>#N/A</v>
      </c>
      <c r="G92" t="e">
        <f>VLOOKUP(Tabelle8[[#This Row],[Rank]],Stammdaten[[Rank Verteilung D Mitte mit Rinde]:[Verteilung D Mitte mit Rinde]],2,FALSE)</f>
        <v>#N/A</v>
      </c>
      <c r="L92">
        <v>83</v>
      </c>
      <c r="M92" t="e">
        <f>INDEX(Stammdaten[Abholzigkeit (mm/lfm)],MATCH(Tabelle9[[#This Row],[Rank]],Stammdaten[Rank Verteilung Abholzigkeit],0))</f>
        <v>#N/A</v>
      </c>
      <c r="N92" t="e">
        <f>VLOOKUP(Tabelle9[[#This Row],[Rank]],Stammdaten[[Rank Verteilung Abholzigkeit]:[Verteilung Abholzigkeit]],2,FALSE)</f>
        <v>#N/A</v>
      </c>
      <c r="S92">
        <v>83</v>
      </c>
      <c r="T92" t="e">
        <f>INDEX(Stammdaten[Krümmung (mm/lfm)],MATCH(Tabelle10[[#This Row],[Rank]],Stammdaten[Rank Verteilung Krümmung],0))</f>
        <v>#N/A</v>
      </c>
      <c r="U92" t="e">
        <f>VLOOKUP(Tabelle10[[#This Row],[Rank]],Stammdaten[[Rank Verteilung Krümmung]:[Verteilung Krümmung]],2,FALSE)</f>
        <v>#N/A</v>
      </c>
      <c r="Z92">
        <v>83</v>
      </c>
      <c r="AA92" t="e">
        <f>INDEX(Stammdaten[Ovalität (']0,1'])],MATCH(Tabelle1014[[#This Row],[Rank]],Stammdaten[Rank Verteilung Ovalität],0))</f>
        <v>#N/A</v>
      </c>
      <c r="AB92" t="e">
        <f>VLOOKUP(Tabelle1014[[#This Row],[Rank]],Stammdaten[[Rank Verteilung Ovalität]:[Verteilung Ovalität]],2,FALSE)</f>
        <v>#N/A</v>
      </c>
    </row>
    <row r="93" spans="5:28" x14ac:dyDescent="0.35">
      <c r="E93">
        <v>84</v>
      </c>
      <c r="F93" t="e">
        <f>INDEX(Stammdaten[D Mitte mit Rinde (mm)],MATCH(Tabelle8[[#This Row],[Rank]],Stammdaten[Rank Verteilung D Mitte mit Rinde],0))</f>
        <v>#N/A</v>
      </c>
      <c r="G93" t="e">
        <f>VLOOKUP(Tabelle8[[#This Row],[Rank]],Stammdaten[[Rank Verteilung D Mitte mit Rinde]:[Verteilung D Mitte mit Rinde]],2,FALSE)</f>
        <v>#N/A</v>
      </c>
      <c r="L93">
        <v>84</v>
      </c>
      <c r="M93" t="e">
        <f>INDEX(Stammdaten[Abholzigkeit (mm/lfm)],MATCH(Tabelle9[[#This Row],[Rank]],Stammdaten[Rank Verteilung Abholzigkeit],0))</f>
        <v>#N/A</v>
      </c>
      <c r="N93" t="e">
        <f>VLOOKUP(Tabelle9[[#This Row],[Rank]],Stammdaten[[Rank Verteilung Abholzigkeit]:[Verteilung Abholzigkeit]],2,FALSE)</f>
        <v>#N/A</v>
      </c>
      <c r="S93">
        <v>84</v>
      </c>
      <c r="T93" t="e">
        <f>INDEX(Stammdaten[Krümmung (mm/lfm)],MATCH(Tabelle10[[#This Row],[Rank]],Stammdaten[Rank Verteilung Krümmung],0))</f>
        <v>#N/A</v>
      </c>
      <c r="U93" t="e">
        <f>VLOOKUP(Tabelle10[[#This Row],[Rank]],Stammdaten[[Rank Verteilung Krümmung]:[Verteilung Krümmung]],2,FALSE)</f>
        <v>#N/A</v>
      </c>
      <c r="Z93">
        <v>84</v>
      </c>
      <c r="AA93" t="e">
        <f>INDEX(Stammdaten[Ovalität (']0,1'])],MATCH(Tabelle1014[[#This Row],[Rank]],Stammdaten[Rank Verteilung Ovalität],0))</f>
        <v>#N/A</v>
      </c>
      <c r="AB93" t="e">
        <f>VLOOKUP(Tabelle1014[[#This Row],[Rank]],Stammdaten[[Rank Verteilung Ovalität]:[Verteilung Ovalität]],2,FALSE)</f>
        <v>#N/A</v>
      </c>
    </row>
    <row r="94" spans="5:28" x14ac:dyDescent="0.35">
      <c r="E94">
        <v>85</v>
      </c>
      <c r="F94" t="e">
        <f>INDEX(Stammdaten[D Mitte mit Rinde (mm)],MATCH(Tabelle8[[#This Row],[Rank]],Stammdaten[Rank Verteilung D Mitte mit Rinde],0))</f>
        <v>#N/A</v>
      </c>
      <c r="G94" t="e">
        <f>VLOOKUP(Tabelle8[[#This Row],[Rank]],Stammdaten[[Rank Verteilung D Mitte mit Rinde]:[Verteilung D Mitte mit Rinde]],2,FALSE)</f>
        <v>#N/A</v>
      </c>
      <c r="L94">
        <v>85</v>
      </c>
      <c r="M94" t="e">
        <f>INDEX(Stammdaten[Abholzigkeit (mm/lfm)],MATCH(Tabelle9[[#This Row],[Rank]],Stammdaten[Rank Verteilung Abholzigkeit],0))</f>
        <v>#N/A</v>
      </c>
      <c r="N94" t="e">
        <f>VLOOKUP(Tabelle9[[#This Row],[Rank]],Stammdaten[[Rank Verteilung Abholzigkeit]:[Verteilung Abholzigkeit]],2,FALSE)</f>
        <v>#N/A</v>
      </c>
      <c r="S94">
        <v>85</v>
      </c>
      <c r="T94" t="e">
        <f>INDEX(Stammdaten[Krümmung (mm/lfm)],MATCH(Tabelle10[[#This Row],[Rank]],Stammdaten[Rank Verteilung Krümmung],0))</f>
        <v>#N/A</v>
      </c>
      <c r="U94" t="e">
        <f>VLOOKUP(Tabelle10[[#This Row],[Rank]],Stammdaten[[Rank Verteilung Krümmung]:[Verteilung Krümmung]],2,FALSE)</f>
        <v>#N/A</v>
      </c>
      <c r="Z94">
        <v>85</v>
      </c>
      <c r="AA94" t="e">
        <f>INDEX(Stammdaten[Ovalität (']0,1'])],MATCH(Tabelle1014[[#This Row],[Rank]],Stammdaten[Rank Verteilung Ovalität],0))</f>
        <v>#N/A</v>
      </c>
      <c r="AB94" t="e">
        <f>VLOOKUP(Tabelle1014[[#This Row],[Rank]],Stammdaten[[Rank Verteilung Ovalität]:[Verteilung Ovalität]],2,FALSE)</f>
        <v>#N/A</v>
      </c>
    </row>
    <row r="95" spans="5:28" x14ac:dyDescent="0.35">
      <c r="E95">
        <v>86</v>
      </c>
      <c r="F95" t="e">
        <f>INDEX(Stammdaten[D Mitte mit Rinde (mm)],MATCH(Tabelle8[[#This Row],[Rank]],Stammdaten[Rank Verteilung D Mitte mit Rinde],0))</f>
        <v>#N/A</v>
      </c>
      <c r="G95" t="e">
        <f>VLOOKUP(Tabelle8[[#This Row],[Rank]],Stammdaten[[Rank Verteilung D Mitte mit Rinde]:[Verteilung D Mitte mit Rinde]],2,FALSE)</f>
        <v>#N/A</v>
      </c>
      <c r="L95">
        <v>86</v>
      </c>
      <c r="M95" t="e">
        <f>INDEX(Stammdaten[Abholzigkeit (mm/lfm)],MATCH(Tabelle9[[#This Row],[Rank]],Stammdaten[Rank Verteilung Abholzigkeit],0))</f>
        <v>#N/A</v>
      </c>
      <c r="N95" t="e">
        <f>VLOOKUP(Tabelle9[[#This Row],[Rank]],Stammdaten[[Rank Verteilung Abholzigkeit]:[Verteilung Abholzigkeit]],2,FALSE)</f>
        <v>#N/A</v>
      </c>
      <c r="S95">
        <v>86</v>
      </c>
      <c r="T95" t="e">
        <f>INDEX(Stammdaten[Krümmung (mm/lfm)],MATCH(Tabelle10[[#This Row],[Rank]],Stammdaten[Rank Verteilung Krümmung],0))</f>
        <v>#N/A</v>
      </c>
      <c r="U95" t="e">
        <f>VLOOKUP(Tabelle10[[#This Row],[Rank]],Stammdaten[[Rank Verteilung Krümmung]:[Verteilung Krümmung]],2,FALSE)</f>
        <v>#N/A</v>
      </c>
      <c r="Z95">
        <v>86</v>
      </c>
      <c r="AA95" t="e">
        <f>INDEX(Stammdaten[Ovalität (']0,1'])],MATCH(Tabelle1014[[#This Row],[Rank]],Stammdaten[Rank Verteilung Ovalität],0))</f>
        <v>#N/A</v>
      </c>
      <c r="AB95" t="e">
        <f>VLOOKUP(Tabelle1014[[#This Row],[Rank]],Stammdaten[[Rank Verteilung Ovalität]:[Verteilung Ovalität]],2,FALSE)</f>
        <v>#N/A</v>
      </c>
    </row>
    <row r="96" spans="5:28" x14ac:dyDescent="0.35">
      <c r="E96">
        <v>87</v>
      </c>
      <c r="F96" t="e">
        <f>INDEX(Stammdaten[D Mitte mit Rinde (mm)],MATCH(Tabelle8[[#This Row],[Rank]],Stammdaten[Rank Verteilung D Mitte mit Rinde],0))</f>
        <v>#N/A</v>
      </c>
      <c r="G96" t="e">
        <f>VLOOKUP(Tabelle8[[#This Row],[Rank]],Stammdaten[[Rank Verteilung D Mitte mit Rinde]:[Verteilung D Mitte mit Rinde]],2,FALSE)</f>
        <v>#N/A</v>
      </c>
      <c r="L96">
        <v>87</v>
      </c>
      <c r="M96" t="e">
        <f>INDEX(Stammdaten[Abholzigkeit (mm/lfm)],MATCH(Tabelle9[[#This Row],[Rank]],Stammdaten[Rank Verteilung Abholzigkeit],0))</f>
        <v>#N/A</v>
      </c>
      <c r="N96" t="e">
        <f>VLOOKUP(Tabelle9[[#This Row],[Rank]],Stammdaten[[Rank Verteilung Abholzigkeit]:[Verteilung Abholzigkeit]],2,FALSE)</f>
        <v>#N/A</v>
      </c>
      <c r="S96">
        <v>87</v>
      </c>
      <c r="T96" t="e">
        <f>INDEX(Stammdaten[Krümmung (mm/lfm)],MATCH(Tabelle10[[#This Row],[Rank]],Stammdaten[Rank Verteilung Krümmung],0))</f>
        <v>#N/A</v>
      </c>
      <c r="U96" t="e">
        <f>VLOOKUP(Tabelle10[[#This Row],[Rank]],Stammdaten[[Rank Verteilung Krümmung]:[Verteilung Krümmung]],2,FALSE)</f>
        <v>#N/A</v>
      </c>
      <c r="Z96">
        <v>87</v>
      </c>
      <c r="AA96" t="e">
        <f>INDEX(Stammdaten[Ovalität (']0,1'])],MATCH(Tabelle1014[[#This Row],[Rank]],Stammdaten[Rank Verteilung Ovalität],0))</f>
        <v>#N/A</v>
      </c>
      <c r="AB96" t="e">
        <f>VLOOKUP(Tabelle1014[[#This Row],[Rank]],Stammdaten[[Rank Verteilung Ovalität]:[Verteilung Ovalität]],2,FALSE)</f>
        <v>#N/A</v>
      </c>
    </row>
    <row r="97" spans="5:28" x14ac:dyDescent="0.35">
      <c r="E97">
        <v>88</v>
      </c>
      <c r="F97" t="e">
        <f>INDEX(Stammdaten[D Mitte mit Rinde (mm)],MATCH(Tabelle8[[#This Row],[Rank]],Stammdaten[Rank Verteilung D Mitte mit Rinde],0))</f>
        <v>#N/A</v>
      </c>
      <c r="G97" t="e">
        <f>VLOOKUP(Tabelle8[[#This Row],[Rank]],Stammdaten[[Rank Verteilung D Mitte mit Rinde]:[Verteilung D Mitte mit Rinde]],2,FALSE)</f>
        <v>#N/A</v>
      </c>
      <c r="L97">
        <v>88</v>
      </c>
      <c r="M97" t="e">
        <f>INDEX(Stammdaten[Abholzigkeit (mm/lfm)],MATCH(Tabelle9[[#This Row],[Rank]],Stammdaten[Rank Verteilung Abholzigkeit],0))</f>
        <v>#N/A</v>
      </c>
      <c r="N97" t="e">
        <f>VLOOKUP(Tabelle9[[#This Row],[Rank]],Stammdaten[[Rank Verteilung Abholzigkeit]:[Verteilung Abholzigkeit]],2,FALSE)</f>
        <v>#N/A</v>
      </c>
      <c r="S97">
        <v>88</v>
      </c>
      <c r="T97" t="e">
        <f>INDEX(Stammdaten[Krümmung (mm/lfm)],MATCH(Tabelle10[[#This Row],[Rank]],Stammdaten[Rank Verteilung Krümmung],0))</f>
        <v>#N/A</v>
      </c>
      <c r="U97" t="e">
        <f>VLOOKUP(Tabelle10[[#This Row],[Rank]],Stammdaten[[Rank Verteilung Krümmung]:[Verteilung Krümmung]],2,FALSE)</f>
        <v>#N/A</v>
      </c>
      <c r="Z97">
        <v>88</v>
      </c>
      <c r="AA97" t="e">
        <f>INDEX(Stammdaten[Ovalität (']0,1'])],MATCH(Tabelle1014[[#This Row],[Rank]],Stammdaten[Rank Verteilung Ovalität],0))</f>
        <v>#N/A</v>
      </c>
      <c r="AB97" t="e">
        <f>VLOOKUP(Tabelle1014[[#This Row],[Rank]],Stammdaten[[Rank Verteilung Ovalität]:[Verteilung Ovalität]],2,FALSE)</f>
        <v>#N/A</v>
      </c>
    </row>
    <row r="98" spans="5:28" x14ac:dyDescent="0.35">
      <c r="E98">
        <v>89</v>
      </c>
      <c r="F98" t="e">
        <f>INDEX(Stammdaten[D Mitte mit Rinde (mm)],MATCH(Tabelle8[[#This Row],[Rank]],Stammdaten[Rank Verteilung D Mitte mit Rinde],0))</f>
        <v>#N/A</v>
      </c>
      <c r="G98" t="e">
        <f>VLOOKUP(Tabelle8[[#This Row],[Rank]],Stammdaten[[Rank Verteilung D Mitte mit Rinde]:[Verteilung D Mitte mit Rinde]],2,FALSE)</f>
        <v>#N/A</v>
      </c>
      <c r="L98">
        <v>89</v>
      </c>
      <c r="M98" t="e">
        <f>INDEX(Stammdaten[Abholzigkeit (mm/lfm)],MATCH(Tabelle9[[#This Row],[Rank]],Stammdaten[Rank Verteilung Abholzigkeit],0))</f>
        <v>#N/A</v>
      </c>
      <c r="N98" t="e">
        <f>VLOOKUP(Tabelle9[[#This Row],[Rank]],Stammdaten[[Rank Verteilung Abholzigkeit]:[Verteilung Abholzigkeit]],2,FALSE)</f>
        <v>#N/A</v>
      </c>
      <c r="S98">
        <v>89</v>
      </c>
      <c r="T98" t="e">
        <f>INDEX(Stammdaten[Krümmung (mm/lfm)],MATCH(Tabelle10[[#This Row],[Rank]],Stammdaten[Rank Verteilung Krümmung],0))</f>
        <v>#N/A</v>
      </c>
      <c r="U98" t="e">
        <f>VLOOKUP(Tabelle10[[#This Row],[Rank]],Stammdaten[[Rank Verteilung Krümmung]:[Verteilung Krümmung]],2,FALSE)</f>
        <v>#N/A</v>
      </c>
      <c r="Z98">
        <v>89</v>
      </c>
      <c r="AA98" t="e">
        <f>INDEX(Stammdaten[Ovalität (']0,1'])],MATCH(Tabelle1014[[#This Row],[Rank]],Stammdaten[Rank Verteilung Ovalität],0))</f>
        <v>#N/A</v>
      </c>
      <c r="AB98" t="e">
        <f>VLOOKUP(Tabelle1014[[#This Row],[Rank]],Stammdaten[[Rank Verteilung Ovalität]:[Verteilung Ovalität]],2,FALSE)</f>
        <v>#N/A</v>
      </c>
    </row>
    <row r="99" spans="5:28" x14ac:dyDescent="0.35">
      <c r="E99">
        <v>90</v>
      </c>
      <c r="F99" t="e">
        <f>INDEX(Stammdaten[D Mitte mit Rinde (mm)],MATCH(Tabelle8[[#This Row],[Rank]],Stammdaten[Rank Verteilung D Mitte mit Rinde],0))</f>
        <v>#N/A</v>
      </c>
      <c r="G99" t="e">
        <f>VLOOKUP(Tabelle8[[#This Row],[Rank]],Stammdaten[[Rank Verteilung D Mitte mit Rinde]:[Verteilung D Mitte mit Rinde]],2,FALSE)</f>
        <v>#N/A</v>
      </c>
      <c r="L99">
        <v>90</v>
      </c>
      <c r="M99" t="e">
        <f>INDEX(Stammdaten[Abholzigkeit (mm/lfm)],MATCH(Tabelle9[[#This Row],[Rank]],Stammdaten[Rank Verteilung Abholzigkeit],0))</f>
        <v>#N/A</v>
      </c>
      <c r="N99" t="e">
        <f>VLOOKUP(Tabelle9[[#This Row],[Rank]],Stammdaten[[Rank Verteilung Abholzigkeit]:[Verteilung Abholzigkeit]],2,FALSE)</f>
        <v>#N/A</v>
      </c>
      <c r="S99">
        <v>90</v>
      </c>
      <c r="T99" t="e">
        <f>INDEX(Stammdaten[Krümmung (mm/lfm)],MATCH(Tabelle10[[#This Row],[Rank]],Stammdaten[Rank Verteilung Krümmung],0))</f>
        <v>#N/A</v>
      </c>
      <c r="U99" t="e">
        <f>VLOOKUP(Tabelle10[[#This Row],[Rank]],Stammdaten[[Rank Verteilung Krümmung]:[Verteilung Krümmung]],2,FALSE)</f>
        <v>#N/A</v>
      </c>
      <c r="Z99">
        <v>90</v>
      </c>
      <c r="AA99" t="e">
        <f>INDEX(Stammdaten[Ovalität (']0,1'])],MATCH(Tabelle1014[[#This Row],[Rank]],Stammdaten[Rank Verteilung Ovalität],0))</f>
        <v>#N/A</v>
      </c>
      <c r="AB99" t="e">
        <f>VLOOKUP(Tabelle1014[[#This Row],[Rank]],Stammdaten[[Rank Verteilung Ovalität]:[Verteilung Ovalität]],2,FALSE)</f>
        <v>#N/A</v>
      </c>
    </row>
    <row r="100" spans="5:28" x14ac:dyDescent="0.35">
      <c r="E100">
        <v>91</v>
      </c>
      <c r="F100" t="e">
        <f>INDEX(Stammdaten[D Mitte mit Rinde (mm)],MATCH(Tabelle8[[#This Row],[Rank]],Stammdaten[Rank Verteilung D Mitte mit Rinde],0))</f>
        <v>#N/A</v>
      </c>
      <c r="G100" t="e">
        <f>VLOOKUP(Tabelle8[[#This Row],[Rank]],Stammdaten[[Rank Verteilung D Mitte mit Rinde]:[Verteilung D Mitte mit Rinde]],2,FALSE)</f>
        <v>#N/A</v>
      </c>
      <c r="L100">
        <v>91</v>
      </c>
      <c r="M100" t="e">
        <f>INDEX(Stammdaten[Abholzigkeit (mm/lfm)],MATCH(Tabelle9[[#This Row],[Rank]],Stammdaten[Rank Verteilung Abholzigkeit],0))</f>
        <v>#N/A</v>
      </c>
      <c r="N100" t="e">
        <f>VLOOKUP(Tabelle9[[#This Row],[Rank]],Stammdaten[[Rank Verteilung Abholzigkeit]:[Verteilung Abholzigkeit]],2,FALSE)</f>
        <v>#N/A</v>
      </c>
      <c r="S100">
        <v>91</v>
      </c>
      <c r="T100" t="e">
        <f>INDEX(Stammdaten[Krümmung (mm/lfm)],MATCH(Tabelle10[[#This Row],[Rank]],Stammdaten[Rank Verteilung Krümmung],0))</f>
        <v>#N/A</v>
      </c>
      <c r="U100" t="e">
        <f>VLOOKUP(Tabelle10[[#This Row],[Rank]],Stammdaten[[Rank Verteilung Krümmung]:[Verteilung Krümmung]],2,FALSE)</f>
        <v>#N/A</v>
      </c>
      <c r="Z100">
        <v>91</v>
      </c>
      <c r="AA100" t="e">
        <f>INDEX(Stammdaten[Ovalität (']0,1'])],MATCH(Tabelle1014[[#This Row],[Rank]],Stammdaten[Rank Verteilung Ovalität],0))</f>
        <v>#N/A</v>
      </c>
      <c r="AB100" t="e">
        <f>VLOOKUP(Tabelle1014[[#This Row],[Rank]],Stammdaten[[Rank Verteilung Ovalität]:[Verteilung Ovalität]],2,FALSE)</f>
        <v>#N/A</v>
      </c>
    </row>
    <row r="101" spans="5:28" x14ac:dyDescent="0.35">
      <c r="E101">
        <v>92</v>
      </c>
      <c r="F101" t="e">
        <f>INDEX(Stammdaten[D Mitte mit Rinde (mm)],MATCH(Tabelle8[[#This Row],[Rank]],Stammdaten[Rank Verteilung D Mitte mit Rinde],0))</f>
        <v>#N/A</v>
      </c>
      <c r="G101" t="e">
        <f>VLOOKUP(Tabelle8[[#This Row],[Rank]],Stammdaten[[Rank Verteilung D Mitte mit Rinde]:[Verteilung D Mitte mit Rinde]],2,FALSE)</f>
        <v>#N/A</v>
      </c>
      <c r="L101">
        <v>92</v>
      </c>
      <c r="M101" t="e">
        <f>INDEX(Stammdaten[Abholzigkeit (mm/lfm)],MATCH(Tabelle9[[#This Row],[Rank]],Stammdaten[Rank Verteilung Abholzigkeit],0))</f>
        <v>#N/A</v>
      </c>
      <c r="N101" t="e">
        <f>VLOOKUP(Tabelle9[[#This Row],[Rank]],Stammdaten[[Rank Verteilung Abholzigkeit]:[Verteilung Abholzigkeit]],2,FALSE)</f>
        <v>#N/A</v>
      </c>
      <c r="S101">
        <v>92</v>
      </c>
      <c r="T101" t="e">
        <f>INDEX(Stammdaten[Krümmung (mm/lfm)],MATCH(Tabelle10[[#This Row],[Rank]],Stammdaten[Rank Verteilung Krümmung],0))</f>
        <v>#N/A</v>
      </c>
      <c r="U101" t="e">
        <f>VLOOKUP(Tabelle10[[#This Row],[Rank]],Stammdaten[[Rank Verteilung Krümmung]:[Verteilung Krümmung]],2,FALSE)</f>
        <v>#N/A</v>
      </c>
      <c r="Z101">
        <v>92</v>
      </c>
      <c r="AA101" t="e">
        <f>INDEX(Stammdaten[Ovalität (']0,1'])],MATCH(Tabelle1014[[#This Row],[Rank]],Stammdaten[Rank Verteilung Ovalität],0))</f>
        <v>#N/A</v>
      </c>
      <c r="AB101" t="e">
        <f>VLOOKUP(Tabelle1014[[#This Row],[Rank]],Stammdaten[[Rank Verteilung Ovalität]:[Verteilung Ovalität]],2,FALSE)</f>
        <v>#N/A</v>
      </c>
    </row>
    <row r="102" spans="5:28" x14ac:dyDescent="0.35">
      <c r="E102">
        <v>93</v>
      </c>
      <c r="F102" t="e">
        <f>INDEX(Stammdaten[D Mitte mit Rinde (mm)],MATCH(Tabelle8[[#This Row],[Rank]],Stammdaten[Rank Verteilung D Mitte mit Rinde],0))</f>
        <v>#N/A</v>
      </c>
      <c r="G102" t="e">
        <f>VLOOKUP(Tabelle8[[#This Row],[Rank]],Stammdaten[[Rank Verteilung D Mitte mit Rinde]:[Verteilung D Mitte mit Rinde]],2,FALSE)</f>
        <v>#N/A</v>
      </c>
      <c r="L102">
        <v>93</v>
      </c>
      <c r="M102" t="e">
        <f>INDEX(Stammdaten[Abholzigkeit (mm/lfm)],MATCH(Tabelle9[[#This Row],[Rank]],Stammdaten[Rank Verteilung Abholzigkeit],0))</f>
        <v>#N/A</v>
      </c>
      <c r="N102" t="e">
        <f>VLOOKUP(Tabelle9[[#This Row],[Rank]],Stammdaten[[Rank Verteilung Abholzigkeit]:[Verteilung Abholzigkeit]],2,FALSE)</f>
        <v>#N/A</v>
      </c>
      <c r="S102">
        <v>93</v>
      </c>
      <c r="T102" t="e">
        <f>INDEX(Stammdaten[Krümmung (mm/lfm)],MATCH(Tabelle10[[#This Row],[Rank]],Stammdaten[Rank Verteilung Krümmung],0))</f>
        <v>#N/A</v>
      </c>
      <c r="U102" t="e">
        <f>VLOOKUP(Tabelle10[[#This Row],[Rank]],Stammdaten[[Rank Verteilung Krümmung]:[Verteilung Krümmung]],2,FALSE)</f>
        <v>#N/A</v>
      </c>
      <c r="Z102">
        <v>93</v>
      </c>
      <c r="AA102" t="e">
        <f>INDEX(Stammdaten[Ovalität (']0,1'])],MATCH(Tabelle1014[[#This Row],[Rank]],Stammdaten[Rank Verteilung Ovalität],0))</f>
        <v>#N/A</v>
      </c>
      <c r="AB102" t="e">
        <f>VLOOKUP(Tabelle1014[[#This Row],[Rank]],Stammdaten[[Rank Verteilung Ovalität]:[Verteilung Ovalität]],2,FALSE)</f>
        <v>#N/A</v>
      </c>
    </row>
    <row r="103" spans="5:28" x14ac:dyDescent="0.35">
      <c r="E103">
        <v>94</v>
      </c>
      <c r="F103" t="e">
        <f>INDEX(Stammdaten[D Mitte mit Rinde (mm)],MATCH(Tabelle8[[#This Row],[Rank]],Stammdaten[Rank Verteilung D Mitte mit Rinde],0))</f>
        <v>#N/A</v>
      </c>
      <c r="G103" t="e">
        <f>VLOOKUP(Tabelle8[[#This Row],[Rank]],Stammdaten[[Rank Verteilung D Mitte mit Rinde]:[Verteilung D Mitte mit Rinde]],2,FALSE)</f>
        <v>#N/A</v>
      </c>
      <c r="L103">
        <v>94</v>
      </c>
      <c r="M103" t="e">
        <f>INDEX(Stammdaten[Abholzigkeit (mm/lfm)],MATCH(Tabelle9[[#This Row],[Rank]],Stammdaten[Rank Verteilung Abholzigkeit],0))</f>
        <v>#N/A</v>
      </c>
      <c r="N103" t="e">
        <f>VLOOKUP(Tabelle9[[#This Row],[Rank]],Stammdaten[[Rank Verteilung Abholzigkeit]:[Verteilung Abholzigkeit]],2,FALSE)</f>
        <v>#N/A</v>
      </c>
      <c r="S103">
        <v>94</v>
      </c>
      <c r="T103" t="e">
        <f>INDEX(Stammdaten[Krümmung (mm/lfm)],MATCH(Tabelle10[[#This Row],[Rank]],Stammdaten[Rank Verteilung Krümmung],0))</f>
        <v>#N/A</v>
      </c>
      <c r="U103" t="e">
        <f>VLOOKUP(Tabelle10[[#This Row],[Rank]],Stammdaten[[Rank Verteilung Krümmung]:[Verteilung Krümmung]],2,FALSE)</f>
        <v>#N/A</v>
      </c>
      <c r="Z103">
        <v>94</v>
      </c>
      <c r="AA103" t="e">
        <f>INDEX(Stammdaten[Ovalität (']0,1'])],MATCH(Tabelle1014[[#This Row],[Rank]],Stammdaten[Rank Verteilung Ovalität],0))</f>
        <v>#N/A</v>
      </c>
      <c r="AB103" t="e">
        <f>VLOOKUP(Tabelle1014[[#This Row],[Rank]],Stammdaten[[Rank Verteilung Ovalität]:[Verteilung Ovalität]],2,FALSE)</f>
        <v>#N/A</v>
      </c>
    </row>
    <row r="104" spans="5:28" x14ac:dyDescent="0.35">
      <c r="E104">
        <v>95</v>
      </c>
      <c r="F104" t="e">
        <f>INDEX(Stammdaten[D Mitte mit Rinde (mm)],MATCH(Tabelle8[[#This Row],[Rank]],Stammdaten[Rank Verteilung D Mitte mit Rinde],0))</f>
        <v>#N/A</v>
      </c>
      <c r="G104" t="e">
        <f>VLOOKUP(Tabelle8[[#This Row],[Rank]],Stammdaten[[Rank Verteilung D Mitte mit Rinde]:[Verteilung D Mitte mit Rinde]],2,FALSE)</f>
        <v>#N/A</v>
      </c>
      <c r="L104">
        <v>95</v>
      </c>
      <c r="M104" t="e">
        <f>INDEX(Stammdaten[Abholzigkeit (mm/lfm)],MATCH(Tabelle9[[#This Row],[Rank]],Stammdaten[Rank Verteilung Abholzigkeit],0))</f>
        <v>#N/A</v>
      </c>
      <c r="N104" t="e">
        <f>VLOOKUP(Tabelle9[[#This Row],[Rank]],Stammdaten[[Rank Verteilung Abholzigkeit]:[Verteilung Abholzigkeit]],2,FALSE)</f>
        <v>#N/A</v>
      </c>
      <c r="S104">
        <v>95</v>
      </c>
      <c r="T104" t="e">
        <f>INDEX(Stammdaten[Krümmung (mm/lfm)],MATCH(Tabelle10[[#This Row],[Rank]],Stammdaten[Rank Verteilung Krümmung],0))</f>
        <v>#N/A</v>
      </c>
      <c r="U104" t="e">
        <f>VLOOKUP(Tabelle10[[#This Row],[Rank]],Stammdaten[[Rank Verteilung Krümmung]:[Verteilung Krümmung]],2,FALSE)</f>
        <v>#N/A</v>
      </c>
      <c r="Z104">
        <v>95</v>
      </c>
      <c r="AA104" t="e">
        <f>INDEX(Stammdaten[Ovalität (']0,1'])],MATCH(Tabelle1014[[#This Row],[Rank]],Stammdaten[Rank Verteilung Ovalität],0))</f>
        <v>#N/A</v>
      </c>
      <c r="AB104" t="e">
        <f>VLOOKUP(Tabelle1014[[#This Row],[Rank]],Stammdaten[[Rank Verteilung Ovalität]:[Verteilung Ovalität]],2,FALSE)</f>
        <v>#N/A</v>
      </c>
    </row>
    <row r="105" spans="5:28" x14ac:dyDescent="0.35">
      <c r="E105">
        <v>96</v>
      </c>
      <c r="F105" t="e">
        <f>INDEX(Stammdaten[D Mitte mit Rinde (mm)],MATCH(Tabelle8[[#This Row],[Rank]],Stammdaten[Rank Verteilung D Mitte mit Rinde],0))</f>
        <v>#N/A</v>
      </c>
      <c r="G105" t="e">
        <f>VLOOKUP(Tabelle8[[#This Row],[Rank]],Stammdaten[[Rank Verteilung D Mitte mit Rinde]:[Verteilung D Mitte mit Rinde]],2,FALSE)</f>
        <v>#N/A</v>
      </c>
      <c r="L105">
        <v>96</v>
      </c>
      <c r="M105" t="e">
        <f>INDEX(Stammdaten[Abholzigkeit (mm/lfm)],MATCH(Tabelle9[[#This Row],[Rank]],Stammdaten[Rank Verteilung Abholzigkeit],0))</f>
        <v>#N/A</v>
      </c>
      <c r="N105" t="e">
        <f>VLOOKUP(Tabelle9[[#This Row],[Rank]],Stammdaten[[Rank Verteilung Abholzigkeit]:[Verteilung Abholzigkeit]],2,FALSE)</f>
        <v>#N/A</v>
      </c>
      <c r="S105">
        <v>96</v>
      </c>
      <c r="T105" t="e">
        <f>INDEX(Stammdaten[Krümmung (mm/lfm)],MATCH(Tabelle10[[#This Row],[Rank]],Stammdaten[Rank Verteilung Krümmung],0))</f>
        <v>#N/A</v>
      </c>
      <c r="U105" t="e">
        <f>VLOOKUP(Tabelle10[[#This Row],[Rank]],Stammdaten[[Rank Verteilung Krümmung]:[Verteilung Krümmung]],2,FALSE)</f>
        <v>#N/A</v>
      </c>
      <c r="Z105">
        <v>96</v>
      </c>
      <c r="AA105" t="e">
        <f>INDEX(Stammdaten[Ovalität (']0,1'])],MATCH(Tabelle1014[[#This Row],[Rank]],Stammdaten[Rank Verteilung Ovalität],0))</f>
        <v>#N/A</v>
      </c>
      <c r="AB105" t="e">
        <f>VLOOKUP(Tabelle1014[[#This Row],[Rank]],Stammdaten[[Rank Verteilung Ovalität]:[Verteilung Ovalität]],2,FALSE)</f>
        <v>#N/A</v>
      </c>
    </row>
    <row r="106" spans="5:28" x14ac:dyDescent="0.35">
      <c r="E106">
        <v>97</v>
      </c>
      <c r="F106" t="e">
        <f>INDEX(Stammdaten[D Mitte mit Rinde (mm)],MATCH(Tabelle8[[#This Row],[Rank]],Stammdaten[Rank Verteilung D Mitte mit Rinde],0))</f>
        <v>#N/A</v>
      </c>
      <c r="G106" t="e">
        <f>VLOOKUP(Tabelle8[[#This Row],[Rank]],Stammdaten[[Rank Verteilung D Mitte mit Rinde]:[Verteilung D Mitte mit Rinde]],2,FALSE)</f>
        <v>#N/A</v>
      </c>
      <c r="L106">
        <v>97</v>
      </c>
      <c r="M106" t="e">
        <f>INDEX(Stammdaten[Abholzigkeit (mm/lfm)],MATCH(Tabelle9[[#This Row],[Rank]],Stammdaten[Rank Verteilung Abholzigkeit],0))</f>
        <v>#N/A</v>
      </c>
      <c r="N106" t="e">
        <f>VLOOKUP(Tabelle9[[#This Row],[Rank]],Stammdaten[[Rank Verteilung Abholzigkeit]:[Verteilung Abholzigkeit]],2,FALSE)</f>
        <v>#N/A</v>
      </c>
      <c r="S106">
        <v>97</v>
      </c>
      <c r="T106" t="e">
        <f>INDEX(Stammdaten[Krümmung (mm/lfm)],MATCH(Tabelle10[[#This Row],[Rank]],Stammdaten[Rank Verteilung Krümmung],0))</f>
        <v>#N/A</v>
      </c>
      <c r="U106" t="e">
        <f>VLOOKUP(Tabelle10[[#This Row],[Rank]],Stammdaten[[Rank Verteilung Krümmung]:[Verteilung Krümmung]],2,FALSE)</f>
        <v>#N/A</v>
      </c>
      <c r="Z106">
        <v>97</v>
      </c>
      <c r="AA106" t="e">
        <f>INDEX(Stammdaten[Ovalität (']0,1'])],MATCH(Tabelle1014[[#This Row],[Rank]],Stammdaten[Rank Verteilung Ovalität],0))</f>
        <v>#N/A</v>
      </c>
      <c r="AB106" t="e">
        <f>VLOOKUP(Tabelle1014[[#This Row],[Rank]],Stammdaten[[Rank Verteilung Ovalität]:[Verteilung Ovalität]],2,FALSE)</f>
        <v>#N/A</v>
      </c>
    </row>
    <row r="107" spans="5:28" x14ac:dyDescent="0.35">
      <c r="E107">
        <v>98</v>
      </c>
      <c r="F107" t="e">
        <f>INDEX(Stammdaten[D Mitte mit Rinde (mm)],MATCH(Tabelle8[[#This Row],[Rank]],Stammdaten[Rank Verteilung D Mitte mit Rinde],0))</f>
        <v>#N/A</v>
      </c>
      <c r="G107" t="e">
        <f>VLOOKUP(Tabelle8[[#This Row],[Rank]],Stammdaten[[Rank Verteilung D Mitte mit Rinde]:[Verteilung D Mitte mit Rinde]],2,FALSE)</f>
        <v>#N/A</v>
      </c>
      <c r="L107">
        <v>98</v>
      </c>
      <c r="M107" t="e">
        <f>INDEX(Stammdaten[Abholzigkeit (mm/lfm)],MATCH(Tabelle9[[#This Row],[Rank]],Stammdaten[Rank Verteilung Abholzigkeit],0))</f>
        <v>#N/A</v>
      </c>
      <c r="N107" t="e">
        <f>VLOOKUP(Tabelle9[[#This Row],[Rank]],Stammdaten[[Rank Verteilung Abholzigkeit]:[Verteilung Abholzigkeit]],2,FALSE)</f>
        <v>#N/A</v>
      </c>
      <c r="S107">
        <v>98</v>
      </c>
      <c r="T107" t="e">
        <f>INDEX(Stammdaten[Krümmung (mm/lfm)],MATCH(Tabelle10[[#This Row],[Rank]],Stammdaten[Rank Verteilung Krümmung],0))</f>
        <v>#N/A</v>
      </c>
      <c r="U107" t="e">
        <f>VLOOKUP(Tabelle10[[#This Row],[Rank]],Stammdaten[[Rank Verteilung Krümmung]:[Verteilung Krümmung]],2,FALSE)</f>
        <v>#N/A</v>
      </c>
      <c r="Z107">
        <v>98</v>
      </c>
      <c r="AA107" t="e">
        <f>INDEX(Stammdaten[Ovalität (']0,1'])],MATCH(Tabelle1014[[#This Row],[Rank]],Stammdaten[Rank Verteilung Ovalität],0))</f>
        <v>#N/A</v>
      </c>
      <c r="AB107" t="e">
        <f>VLOOKUP(Tabelle1014[[#This Row],[Rank]],Stammdaten[[Rank Verteilung Ovalität]:[Verteilung Ovalität]],2,FALSE)</f>
        <v>#N/A</v>
      </c>
    </row>
    <row r="108" spans="5:28" x14ac:dyDescent="0.35">
      <c r="E108">
        <v>99</v>
      </c>
      <c r="F108" t="e">
        <f>INDEX(Stammdaten[D Mitte mit Rinde (mm)],MATCH(Tabelle8[[#This Row],[Rank]],Stammdaten[Rank Verteilung D Mitte mit Rinde],0))</f>
        <v>#N/A</v>
      </c>
      <c r="G108" t="e">
        <f>VLOOKUP(Tabelle8[[#This Row],[Rank]],Stammdaten[[Rank Verteilung D Mitte mit Rinde]:[Verteilung D Mitte mit Rinde]],2,FALSE)</f>
        <v>#N/A</v>
      </c>
      <c r="L108">
        <v>99</v>
      </c>
      <c r="M108" t="e">
        <f>INDEX(Stammdaten[Abholzigkeit (mm/lfm)],MATCH(Tabelle9[[#This Row],[Rank]],Stammdaten[Rank Verteilung Abholzigkeit],0))</f>
        <v>#N/A</v>
      </c>
      <c r="N108" t="e">
        <f>VLOOKUP(Tabelle9[[#This Row],[Rank]],Stammdaten[[Rank Verteilung Abholzigkeit]:[Verteilung Abholzigkeit]],2,FALSE)</f>
        <v>#N/A</v>
      </c>
      <c r="S108">
        <v>99</v>
      </c>
      <c r="T108" t="e">
        <f>INDEX(Stammdaten[Krümmung (mm/lfm)],MATCH(Tabelle10[[#This Row],[Rank]],Stammdaten[Rank Verteilung Krümmung],0))</f>
        <v>#N/A</v>
      </c>
      <c r="U108" t="e">
        <f>VLOOKUP(Tabelle10[[#This Row],[Rank]],Stammdaten[[Rank Verteilung Krümmung]:[Verteilung Krümmung]],2,FALSE)</f>
        <v>#N/A</v>
      </c>
      <c r="Z108">
        <v>99</v>
      </c>
      <c r="AA108" t="e">
        <f>INDEX(Stammdaten[Ovalität (']0,1'])],MATCH(Tabelle1014[[#This Row],[Rank]],Stammdaten[Rank Verteilung Ovalität],0))</f>
        <v>#N/A</v>
      </c>
      <c r="AB108" t="e">
        <f>VLOOKUP(Tabelle1014[[#This Row],[Rank]],Stammdaten[[Rank Verteilung Ovalität]:[Verteilung Ovalität]],2,FALSE)</f>
        <v>#N/A</v>
      </c>
    </row>
    <row r="109" spans="5:28" x14ac:dyDescent="0.35">
      <c r="E109">
        <v>100</v>
      </c>
      <c r="F109" t="e">
        <f>INDEX(Stammdaten[D Mitte mit Rinde (mm)],MATCH(Tabelle8[[#This Row],[Rank]],Stammdaten[Rank Verteilung D Mitte mit Rinde],0))</f>
        <v>#N/A</v>
      </c>
      <c r="G109" t="e">
        <f>VLOOKUP(Tabelle8[[#This Row],[Rank]],Stammdaten[[Rank Verteilung D Mitte mit Rinde]:[Verteilung D Mitte mit Rinde]],2,FALSE)</f>
        <v>#N/A</v>
      </c>
      <c r="L109">
        <v>100</v>
      </c>
      <c r="M109" t="e">
        <f>INDEX(Stammdaten[Abholzigkeit (mm/lfm)],MATCH(Tabelle9[[#This Row],[Rank]],Stammdaten[Rank Verteilung Abholzigkeit],0))</f>
        <v>#N/A</v>
      </c>
      <c r="N109" t="e">
        <f>VLOOKUP(Tabelle9[[#This Row],[Rank]],Stammdaten[[Rank Verteilung Abholzigkeit]:[Verteilung Abholzigkeit]],2,FALSE)</f>
        <v>#N/A</v>
      </c>
      <c r="S109">
        <v>100</v>
      </c>
      <c r="T109" t="e">
        <f>INDEX(Stammdaten[Krümmung (mm/lfm)],MATCH(Tabelle10[[#This Row],[Rank]],Stammdaten[Rank Verteilung Krümmung],0))</f>
        <v>#N/A</v>
      </c>
      <c r="U109" t="e">
        <f>VLOOKUP(Tabelle10[[#This Row],[Rank]],Stammdaten[[Rank Verteilung Krümmung]:[Verteilung Krümmung]],2,FALSE)</f>
        <v>#N/A</v>
      </c>
      <c r="Z109">
        <v>100</v>
      </c>
      <c r="AA109" t="e">
        <f>INDEX(Stammdaten[Ovalität (']0,1'])],MATCH(Tabelle1014[[#This Row],[Rank]],Stammdaten[Rank Verteilung Ovalität],0))</f>
        <v>#N/A</v>
      </c>
      <c r="AB109" t="e">
        <f>VLOOKUP(Tabelle1014[[#This Row],[Rank]],Stammdaten[[Rank Verteilung Ovalität]:[Verteilung Ovalität]],2,FALSE)</f>
        <v>#N/A</v>
      </c>
    </row>
    <row r="110" spans="5:28" x14ac:dyDescent="0.35">
      <c r="E110">
        <v>101</v>
      </c>
      <c r="F110" t="e">
        <f>INDEX(Stammdaten[D Mitte mit Rinde (mm)],MATCH(Tabelle8[[#This Row],[Rank]],Stammdaten[Rank Verteilung D Mitte mit Rinde],0))</f>
        <v>#N/A</v>
      </c>
      <c r="G110" t="e">
        <f>VLOOKUP(Tabelle8[[#This Row],[Rank]],Stammdaten[[Rank Verteilung D Mitte mit Rinde]:[Verteilung D Mitte mit Rinde]],2,FALSE)</f>
        <v>#N/A</v>
      </c>
      <c r="L110">
        <v>101</v>
      </c>
      <c r="M110" t="e">
        <f>INDEX(Stammdaten[Abholzigkeit (mm/lfm)],MATCH(Tabelle9[[#This Row],[Rank]],Stammdaten[Rank Verteilung Abholzigkeit],0))</f>
        <v>#N/A</v>
      </c>
      <c r="N110" t="e">
        <f>VLOOKUP(Tabelle9[[#This Row],[Rank]],Stammdaten[[Rank Verteilung Abholzigkeit]:[Verteilung Abholzigkeit]],2,FALSE)</f>
        <v>#N/A</v>
      </c>
      <c r="S110">
        <v>101</v>
      </c>
      <c r="T110" t="e">
        <f>INDEX(Stammdaten[Krümmung (mm/lfm)],MATCH(Tabelle10[[#This Row],[Rank]],Stammdaten[Rank Verteilung Krümmung],0))</f>
        <v>#N/A</v>
      </c>
      <c r="U110" t="e">
        <f>VLOOKUP(Tabelle10[[#This Row],[Rank]],Stammdaten[[Rank Verteilung Krümmung]:[Verteilung Krümmung]],2,FALSE)</f>
        <v>#N/A</v>
      </c>
      <c r="Z110">
        <v>101</v>
      </c>
      <c r="AA110" t="e">
        <f>INDEX(Stammdaten[Ovalität (']0,1'])],MATCH(Tabelle1014[[#This Row],[Rank]],Stammdaten[Rank Verteilung Ovalität],0))</f>
        <v>#N/A</v>
      </c>
      <c r="AB110" t="e">
        <f>VLOOKUP(Tabelle1014[[#This Row],[Rank]],Stammdaten[[Rank Verteilung Ovalität]:[Verteilung Ovalität]],2,FALSE)</f>
        <v>#N/A</v>
      </c>
    </row>
    <row r="111" spans="5:28" x14ac:dyDescent="0.35">
      <c r="E111">
        <v>102</v>
      </c>
      <c r="F111" t="e">
        <f>INDEX(Stammdaten[D Mitte mit Rinde (mm)],MATCH(Tabelle8[[#This Row],[Rank]],Stammdaten[Rank Verteilung D Mitte mit Rinde],0))</f>
        <v>#N/A</v>
      </c>
      <c r="G111" t="e">
        <f>VLOOKUP(Tabelle8[[#This Row],[Rank]],Stammdaten[[Rank Verteilung D Mitte mit Rinde]:[Verteilung D Mitte mit Rinde]],2,FALSE)</f>
        <v>#N/A</v>
      </c>
      <c r="L111">
        <v>102</v>
      </c>
      <c r="M111" t="e">
        <f>INDEX(Stammdaten[Abholzigkeit (mm/lfm)],MATCH(Tabelle9[[#This Row],[Rank]],Stammdaten[Rank Verteilung Abholzigkeit],0))</f>
        <v>#N/A</v>
      </c>
      <c r="N111" t="e">
        <f>VLOOKUP(Tabelle9[[#This Row],[Rank]],Stammdaten[[Rank Verteilung Abholzigkeit]:[Verteilung Abholzigkeit]],2,FALSE)</f>
        <v>#N/A</v>
      </c>
      <c r="S111">
        <v>102</v>
      </c>
      <c r="T111" t="e">
        <f>INDEX(Stammdaten[Krümmung (mm/lfm)],MATCH(Tabelle10[[#This Row],[Rank]],Stammdaten[Rank Verteilung Krümmung],0))</f>
        <v>#N/A</v>
      </c>
      <c r="U111" t="e">
        <f>VLOOKUP(Tabelle10[[#This Row],[Rank]],Stammdaten[[Rank Verteilung Krümmung]:[Verteilung Krümmung]],2,FALSE)</f>
        <v>#N/A</v>
      </c>
      <c r="Z111">
        <v>102</v>
      </c>
      <c r="AA111" t="e">
        <f>INDEX(Stammdaten[Ovalität (']0,1'])],MATCH(Tabelle1014[[#This Row],[Rank]],Stammdaten[Rank Verteilung Ovalität],0))</f>
        <v>#N/A</v>
      </c>
      <c r="AB111" t="e">
        <f>VLOOKUP(Tabelle1014[[#This Row],[Rank]],Stammdaten[[Rank Verteilung Ovalität]:[Verteilung Ovalität]],2,FALSE)</f>
        <v>#N/A</v>
      </c>
    </row>
    <row r="112" spans="5:28" x14ac:dyDescent="0.35">
      <c r="E112">
        <v>103</v>
      </c>
      <c r="F112" t="e">
        <f>INDEX(Stammdaten[D Mitte mit Rinde (mm)],MATCH(Tabelle8[[#This Row],[Rank]],Stammdaten[Rank Verteilung D Mitte mit Rinde],0))</f>
        <v>#N/A</v>
      </c>
      <c r="G112" t="e">
        <f>VLOOKUP(Tabelle8[[#This Row],[Rank]],Stammdaten[[Rank Verteilung D Mitte mit Rinde]:[Verteilung D Mitte mit Rinde]],2,FALSE)</f>
        <v>#N/A</v>
      </c>
      <c r="L112">
        <v>103</v>
      </c>
      <c r="M112" t="e">
        <f>INDEX(Stammdaten[Abholzigkeit (mm/lfm)],MATCH(Tabelle9[[#This Row],[Rank]],Stammdaten[Rank Verteilung Abholzigkeit],0))</f>
        <v>#N/A</v>
      </c>
      <c r="N112" t="e">
        <f>VLOOKUP(Tabelle9[[#This Row],[Rank]],Stammdaten[[Rank Verteilung Abholzigkeit]:[Verteilung Abholzigkeit]],2,FALSE)</f>
        <v>#N/A</v>
      </c>
      <c r="S112">
        <v>103</v>
      </c>
      <c r="T112" t="e">
        <f>INDEX(Stammdaten[Krümmung (mm/lfm)],MATCH(Tabelle10[[#This Row],[Rank]],Stammdaten[Rank Verteilung Krümmung],0))</f>
        <v>#N/A</v>
      </c>
      <c r="U112" t="e">
        <f>VLOOKUP(Tabelle10[[#This Row],[Rank]],Stammdaten[[Rank Verteilung Krümmung]:[Verteilung Krümmung]],2,FALSE)</f>
        <v>#N/A</v>
      </c>
      <c r="Z112">
        <v>103</v>
      </c>
      <c r="AA112" t="e">
        <f>INDEX(Stammdaten[Ovalität (']0,1'])],MATCH(Tabelle1014[[#This Row],[Rank]],Stammdaten[Rank Verteilung Ovalität],0))</f>
        <v>#N/A</v>
      </c>
      <c r="AB112" t="e">
        <f>VLOOKUP(Tabelle1014[[#This Row],[Rank]],Stammdaten[[Rank Verteilung Ovalität]:[Verteilung Ovalität]],2,FALSE)</f>
        <v>#N/A</v>
      </c>
    </row>
    <row r="113" spans="5:28" x14ac:dyDescent="0.35">
      <c r="E113">
        <v>104</v>
      </c>
      <c r="F113" t="e">
        <f>INDEX(Stammdaten[D Mitte mit Rinde (mm)],MATCH(Tabelle8[[#This Row],[Rank]],Stammdaten[Rank Verteilung D Mitte mit Rinde],0))</f>
        <v>#N/A</v>
      </c>
      <c r="G113" t="e">
        <f>VLOOKUP(Tabelle8[[#This Row],[Rank]],Stammdaten[[Rank Verteilung D Mitte mit Rinde]:[Verteilung D Mitte mit Rinde]],2,FALSE)</f>
        <v>#N/A</v>
      </c>
      <c r="L113">
        <v>104</v>
      </c>
      <c r="M113" t="e">
        <f>INDEX(Stammdaten[Abholzigkeit (mm/lfm)],MATCH(Tabelle9[[#This Row],[Rank]],Stammdaten[Rank Verteilung Abholzigkeit],0))</f>
        <v>#N/A</v>
      </c>
      <c r="N113" t="e">
        <f>VLOOKUP(Tabelle9[[#This Row],[Rank]],Stammdaten[[Rank Verteilung Abholzigkeit]:[Verteilung Abholzigkeit]],2,FALSE)</f>
        <v>#N/A</v>
      </c>
      <c r="S113">
        <v>104</v>
      </c>
      <c r="T113" t="e">
        <f>INDEX(Stammdaten[Krümmung (mm/lfm)],MATCH(Tabelle10[[#This Row],[Rank]],Stammdaten[Rank Verteilung Krümmung],0))</f>
        <v>#N/A</v>
      </c>
      <c r="U113" t="e">
        <f>VLOOKUP(Tabelle10[[#This Row],[Rank]],Stammdaten[[Rank Verteilung Krümmung]:[Verteilung Krümmung]],2,FALSE)</f>
        <v>#N/A</v>
      </c>
      <c r="Z113">
        <v>104</v>
      </c>
      <c r="AA113" t="e">
        <f>INDEX(Stammdaten[Ovalität (']0,1'])],MATCH(Tabelle1014[[#This Row],[Rank]],Stammdaten[Rank Verteilung Ovalität],0))</f>
        <v>#N/A</v>
      </c>
      <c r="AB113" t="e">
        <f>VLOOKUP(Tabelle1014[[#This Row],[Rank]],Stammdaten[[Rank Verteilung Ovalität]:[Verteilung Ovalität]],2,FALSE)</f>
        <v>#N/A</v>
      </c>
    </row>
    <row r="114" spans="5:28" x14ac:dyDescent="0.35">
      <c r="E114">
        <v>105</v>
      </c>
      <c r="F114" t="e">
        <f>INDEX(Stammdaten[D Mitte mit Rinde (mm)],MATCH(Tabelle8[[#This Row],[Rank]],Stammdaten[Rank Verteilung D Mitte mit Rinde],0))</f>
        <v>#N/A</v>
      </c>
      <c r="G114" t="e">
        <f>VLOOKUP(Tabelle8[[#This Row],[Rank]],Stammdaten[[Rank Verteilung D Mitte mit Rinde]:[Verteilung D Mitte mit Rinde]],2,FALSE)</f>
        <v>#N/A</v>
      </c>
      <c r="L114">
        <v>105</v>
      </c>
      <c r="M114" t="e">
        <f>INDEX(Stammdaten[Abholzigkeit (mm/lfm)],MATCH(Tabelle9[[#This Row],[Rank]],Stammdaten[Rank Verteilung Abholzigkeit],0))</f>
        <v>#N/A</v>
      </c>
      <c r="N114" t="e">
        <f>VLOOKUP(Tabelle9[[#This Row],[Rank]],Stammdaten[[Rank Verteilung Abholzigkeit]:[Verteilung Abholzigkeit]],2,FALSE)</f>
        <v>#N/A</v>
      </c>
      <c r="S114">
        <v>105</v>
      </c>
      <c r="T114" t="e">
        <f>INDEX(Stammdaten[Krümmung (mm/lfm)],MATCH(Tabelle10[[#This Row],[Rank]],Stammdaten[Rank Verteilung Krümmung],0))</f>
        <v>#N/A</v>
      </c>
      <c r="U114" t="e">
        <f>VLOOKUP(Tabelle10[[#This Row],[Rank]],Stammdaten[[Rank Verteilung Krümmung]:[Verteilung Krümmung]],2,FALSE)</f>
        <v>#N/A</v>
      </c>
      <c r="Z114">
        <v>105</v>
      </c>
      <c r="AA114" t="e">
        <f>INDEX(Stammdaten[Ovalität (']0,1'])],MATCH(Tabelle1014[[#This Row],[Rank]],Stammdaten[Rank Verteilung Ovalität],0))</f>
        <v>#N/A</v>
      </c>
      <c r="AB114" t="e">
        <f>VLOOKUP(Tabelle1014[[#This Row],[Rank]],Stammdaten[[Rank Verteilung Ovalität]:[Verteilung Ovalität]],2,FALSE)</f>
        <v>#N/A</v>
      </c>
    </row>
    <row r="115" spans="5:28" x14ac:dyDescent="0.35">
      <c r="E115">
        <v>106</v>
      </c>
      <c r="F115" t="e">
        <f>INDEX(Stammdaten[D Mitte mit Rinde (mm)],MATCH(Tabelle8[[#This Row],[Rank]],Stammdaten[Rank Verteilung D Mitte mit Rinde],0))</f>
        <v>#N/A</v>
      </c>
      <c r="G115" t="e">
        <f>VLOOKUP(Tabelle8[[#This Row],[Rank]],Stammdaten[[Rank Verteilung D Mitte mit Rinde]:[Verteilung D Mitte mit Rinde]],2,FALSE)</f>
        <v>#N/A</v>
      </c>
      <c r="L115">
        <v>106</v>
      </c>
      <c r="M115" t="e">
        <f>INDEX(Stammdaten[Abholzigkeit (mm/lfm)],MATCH(Tabelle9[[#This Row],[Rank]],Stammdaten[Rank Verteilung Abholzigkeit],0))</f>
        <v>#N/A</v>
      </c>
      <c r="N115" t="e">
        <f>VLOOKUP(Tabelle9[[#This Row],[Rank]],Stammdaten[[Rank Verteilung Abholzigkeit]:[Verteilung Abholzigkeit]],2,FALSE)</f>
        <v>#N/A</v>
      </c>
      <c r="S115">
        <v>106</v>
      </c>
      <c r="T115" t="e">
        <f>INDEX(Stammdaten[Krümmung (mm/lfm)],MATCH(Tabelle10[[#This Row],[Rank]],Stammdaten[Rank Verteilung Krümmung],0))</f>
        <v>#N/A</v>
      </c>
      <c r="U115" t="e">
        <f>VLOOKUP(Tabelle10[[#This Row],[Rank]],Stammdaten[[Rank Verteilung Krümmung]:[Verteilung Krümmung]],2,FALSE)</f>
        <v>#N/A</v>
      </c>
      <c r="Z115">
        <v>106</v>
      </c>
      <c r="AA115" t="e">
        <f>INDEX(Stammdaten[Ovalität (']0,1'])],MATCH(Tabelle1014[[#This Row],[Rank]],Stammdaten[Rank Verteilung Ovalität],0))</f>
        <v>#N/A</v>
      </c>
      <c r="AB115" t="e">
        <f>VLOOKUP(Tabelle1014[[#This Row],[Rank]],Stammdaten[[Rank Verteilung Ovalität]:[Verteilung Ovalität]],2,FALSE)</f>
        <v>#N/A</v>
      </c>
    </row>
    <row r="116" spans="5:28" x14ac:dyDescent="0.35">
      <c r="E116">
        <v>107</v>
      </c>
      <c r="F116" t="e">
        <f>INDEX(Stammdaten[D Mitte mit Rinde (mm)],MATCH(Tabelle8[[#This Row],[Rank]],Stammdaten[Rank Verteilung D Mitte mit Rinde],0))</f>
        <v>#N/A</v>
      </c>
      <c r="G116" t="e">
        <f>VLOOKUP(Tabelle8[[#This Row],[Rank]],Stammdaten[[Rank Verteilung D Mitte mit Rinde]:[Verteilung D Mitte mit Rinde]],2,FALSE)</f>
        <v>#N/A</v>
      </c>
      <c r="L116">
        <v>107</v>
      </c>
      <c r="M116" t="e">
        <f>INDEX(Stammdaten[Abholzigkeit (mm/lfm)],MATCH(Tabelle9[[#This Row],[Rank]],Stammdaten[Rank Verteilung Abholzigkeit],0))</f>
        <v>#N/A</v>
      </c>
      <c r="N116" t="e">
        <f>VLOOKUP(Tabelle9[[#This Row],[Rank]],Stammdaten[[Rank Verteilung Abholzigkeit]:[Verteilung Abholzigkeit]],2,FALSE)</f>
        <v>#N/A</v>
      </c>
      <c r="S116">
        <v>107</v>
      </c>
      <c r="T116" t="e">
        <f>INDEX(Stammdaten[Krümmung (mm/lfm)],MATCH(Tabelle10[[#This Row],[Rank]],Stammdaten[Rank Verteilung Krümmung],0))</f>
        <v>#N/A</v>
      </c>
      <c r="U116" t="e">
        <f>VLOOKUP(Tabelle10[[#This Row],[Rank]],Stammdaten[[Rank Verteilung Krümmung]:[Verteilung Krümmung]],2,FALSE)</f>
        <v>#N/A</v>
      </c>
      <c r="Z116">
        <v>107</v>
      </c>
      <c r="AA116" t="e">
        <f>INDEX(Stammdaten[Ovalität (']0,1'])],MATCH(Tabelle1014[[#This Row],[Rank]],Stammdaten[Rank Verteilung Ovalität],0))</f>
        <v>#N/A</v>
      </c>
      <c r="AB116" t="e">
        <f>VLOOKUP(Tabelle1014[[#This Row],[Rank]],Stammdaten[[Rank Verteilung Ovalität]:[Verteilung Ovalität]],2,FALSE)</f>
        <v>#N/A</v>
      </c>
    </row>
    <row r="117" spans="5:28" x14ac:dyDescent="0.35">
      <c r="E117">
        <v>108</v>
      </c>
      <c r="F117" t="e">
        <f>INDEX(Stammdaten[D Mitte mit Rinde (mm)],MATCH(Tabelle8[[#This Row],[Rank]],Stammdaten[Rank Verteilung D Mitte mit Rinde],0))</f>
        <v>#N/A</v>
      </c>
      <c r="G117" t="e">
        <f>VLOOKUP(Tabelle8[[#This Row],[Rank]],Stammdaten[[Rank Verteilung D Mitte mit Rinde]:[Verteilung D Mitte mit Rinde]],2,FALSE)</f>
        <v>#N/A</v>
      </c>
      <c r="L117">
        <v>108</v>
      </c>
      <c r="M117" t="e">
        <f>INDEX(Stammdaten[Abholzigkeit (mm/lfm)],MATCH(Tabelle9[[#This Row],[Rank]],Stammdaten[Rank Verteilung Abholzigkeit],0))</f>
        <v>#N/A</v>
      </c>
      <c r="N117" t="e">
        <f>VLOOKUP(Tabelle9[[#This Row],[Rank]],Stammdaten[[Rank Verteilung Abholzigkeit]:[Verteilung Abholzigkeit]],2,FALSE)</f>
        <v>#N/A</v>
      </c>
      <c r="S117">
        <v>108</v>
      </c>
      <c r="T117" t="e">
        <f>INDEX(Stammdaten[Krümmung (mm/lfm)],MATCH(Tabelle10[[#This Row],[Rank]],Stammdaten[Rank Verteilung Krümmung],0))</f>
        <v>#N/A</v>
      </c>
      <c r="U117" t="e">
        <f>VLOOKUP(Tabelle10[[#This Row],[Rank]],Stammdaten[[Rank Verteilung Krümmung]:[Verteilung Krümmung]],2,FALSE)</f>
        <v>#N/A</v>
      </c>
      <c r="Z117">
        <v>108</v>
      </c>
      <c r="AA117" t="e">
        <f>INDEX(Stammdaten[Ovalität (']0,1'])],MATCH(Tabelle1014[[#This Row],[Rank]],Stammdaten[Rank Verteilung Ovalität],0))</f>
        <v>#N/A</v>
      </c>
      <c r="AB117" t="e">
        <f>VLOOKUP(Tabelle1014[[#This Row],[Rank]],Stammdaten[[Rank Verteilung Ovalität]:[Verteilung Ovalität]],2,FALSE)</f>
        <v>#N/A</v>
      </c>
    </row>
    <row r="118" spans="5:28" x14ac:dyDescent="0.35">
      <c r="E118">
        <v>109</v>
      </c>
      <c r="F118" t="e">
        <f>INDEX(Stammdaten[D Mitte mit Rinde (mm)],MATCH(Tabelle8[[#This Row],[Rank]],Stammdaten[Rank Verteilung D Mitte mit Rinde],0))</f>
        <v>#N/A</v>
      </c>
      <c r="G118" t="e">
        <f>VLOOKUP(Tabelle8[[#This Row],[Rank]],Stammdaten[[Rank Verteilung D Mitte mit Rinde]:[Verteilung D Mitte mit Rinde]],2,FALSE)</f>
        <v>#N/A</v>
      </c>
      <c r="L118">
        <v>109</v>
      </c>
      <c r="M118" t="e">
        <f>INDEX(Stammdaten[Abholzigkeit (mm/lfm)],MATCH(Tabelle9[[#This Row],[Rank]],Stammdaten[Rank Verteilung Abholzigkeit],0))</f>
        <v>#N/A</v>
      </c>
      <c r="N118" t="e">
        <f>VLOOKUP(Tabelle9[[#This Row],[Rank]],Stammdaten[[Rank Verteilung Abholzigkeit]:[Verteilung Abholzigkeit]],2,FALSE)</f>
        <v>#N/A</v>
      </c>
      <c r="S118">
        <v>109</v>
      </c>
      <c r="T118" t="e">
        <f>INDEX(Stammdaten[Krümmung (mm/lfm)],MATCH(Tabelle10[[#This Row],[Rank]],Stammdaten[Rank Verteilung Krümmung],0))</f>
        <v>#N/A</v>
      </c>
      <c r="U118" t="e">
        <f>VLOOKUP(Tabelle10[[#This Row],[Rank]],Stammdaten[[Rank Verteilung Krümmung]:[Verteilung Krümmung]],2,FALSE)</f>
        <v>#N/A</v>
      </c>
      <c r="Z118">
        <v>109</v>
      </c>
      <c r="AA118" t="e">
        <f>INDEX(Stammdaten[Ovalität (']0,1'])],MATCH(Tabelle1014[[#This Row],[Rank]],Stammdaten[Rank Verteilung Ovalität],0))</f>
        <v>#N/A</v>
      </c>
      <c r="AB118" t="e">
        <f>VLOOKUP(Tabelle1014[[#This Row],[Rank]],Stammdaten[[Rank Verteilung Ovalität]:[Verteilung Ovalität]],2,FALSE)</f>
        <v>#N/A</v>
      </c>
    </row>
    <row r="119" spans="5:28" x14ac:dyDescent="0.35">
      <c r="E119">
        <v>110</v>
      </c>
      <c r="F119" t="e">
        <f>INDEX(Stammdaten[D Mitte mit Rinde (mm)],MATCH(Tabelle8[[#This Row],[Rank]],Stammdaten[Rank Verteilung D Mitte mit Rinde],0))</f>
        <v>#N/A</v>
      </c>
      <c r="G119" t="e">
        <f>VLOOKUP(Tabelle8[[#This Row],[Rank]],Stammdaten[[Rank Verteilung D Mitte mit Rinde]:[Verteilung D Mitte mit Rinde]],2,FALSE)</f>
        <v>#N/A</v>
      </c>
      <c r="L119">
        <v>110</v>
      </c>
      <c r="M119" t="e">
        <f>INDEX(Stammdaten[Abholzigkeit (mm/lfm)],MATCH(Tabelle9[[#This Row],[Rank]],Stammdaten[Rank Verteilung Abholzigkeit],0))</f>
        <v>#N/A</v>
      </c>
      <c r="N119" t="e">
        <f>VLOOKUP(Tabelle9[[#This Row],[Rank]],Stammdaten[[Rank Verteilung Abholzigkeit]:[Verteilung Abholzigkeit]],2,FALSE)</f>
        <v>#N/A</v>
      </c>
      <c r="S119">
        <v>110</v>
      </c>
      <c r="T119" t="e">
        <f>INDEX(Stammdaten[Krümmung (mm/lfm)],MATCH(Tabelle10[[#This Row],[Rank]],Stammdaten[Rank Verteilung Krümmung],0))</f>
        <v>#N/A</v>
      </c>
      <c r="U119" t="e">
        <f>VLOOKUP(Tabelle10[[#This Row],[Rank]],Stammdaten[[Rank Verteilung Krümmung]:[Verteilung Krümmung]],2,FALSE)</f>
        <v>#N/A</v>
      </c>
      <c r="Z119">
        <v>110</v>
      </c>
      <c r="AA119" t="e">
        <f>INDEX(Stammdaten[Ovalität (']0,1'])],MATCH(Tabelle1014[[#This Row],[Rank]],Stammdaten[Rank Verteilung Ovalität],0))</f>
        <v>#N/A</v>
      </c>
      <c r="AB119" t="e">
        <f>VLOOKUP(Tabelle1014[[#This Row],[Rank]],Stammdaten[[Rank Verteilung Ovalität]:[Verteilung Ovalität]],2,FALSE)</f>
        <v>#N/A</v>
      </c>
    </row>
    <row r="120" spans="5:28" x14ac:dyDescent="0.35">
      <c r="E120">
        <v>111</v>
      </c>
      <c r="F120" t="e">
        <f>INDEX(Stammdaten[D Mitte mit Rinde (mm)],MATCH(Tabelle8[[#This Row],[Rank]],Stammdaten[Rank Verteilung D Mitte mit Rinde],0))</f>
        <v>#N/A</v>
      </c>
      <c r="G120" t="e">
        <f>VLOOKUP(Tabelle8[[#This Row],[Rank]],Stammdaten[[Rank Verteilung D Mitte mit Rinde]:[Verteilung D Mitte mit Rinde]],2,FALSE)</f>
        <v>#N/A</v>
      </c>
      <c r="L120">
        <v>111</v>
      </c>
      <c r="M120" t="e">
        <f>INDEX(Stammdaten[Abholzigkeit (mm/lfm)],MATCH(Tabelle9[[#This Row],[Rank]],Stammdaten[Rank Verteilung Abholzigkeit],0))</f>
        <v>#N/A</v>
      </c>
      <c r="N120" t="e">
        <f>VLOOKUP(Tabelle9[[#This Row],[Rank]],Stammdaten[[Rank Verteilung Abholzigkeit]:[Verteilung Abholzigkeit]],2,FALSE)</f>
        <v>#N/A</v>
      </c>
      <c r="S120">
        <v>111</v>
      </c>
      <c r="T120" t="e">
        <f>INDEX(Stammdaten[Krümmung (mm/lfm)],MATCH(Tabelle10[[#This Row],[Rank]],Stammdaten[Rank Verteilung Krümmung],0))</f>
        <v>#N/A</v>
      </c>
      <c r="U120" t="e">
        <f>VLOOKUP(Tabelle10[[#This Row],[Rank]],Stammdaten[[Rank Verteilung Krümmung]:[Verteilung Krümmung]],2,FALSE)</f>
        <v>#N/A</v>
      </c>
      <c r="Z120">
        <v>111</v>
      </c>
      <c r="AA120" t="e">
        <f>INDEX(Stammdaten[Ovalität (']0,1'])],MATCH(Tabelle1014[[#This Row],[Rank]],Stammdaten[Rank Verteilung Ovalität],0))</f>
        <v>#N/A</v>
      </c>
      <c r="AB120" t="e">
        <f>VLOOKUP(Tabelle1014[[#This Row],[Rank]],Stammdaten[[Rank Verteilung Ovalität]:[Verteilung Ovalität]],2,FALSE)</f>
        <v>#N/A</v>
      </c>
    </row>
    <row r="121" spans="5:28" x14ac:dyDescent="0.35">
      <c r="E121">
        <v>112</v>
      </c>
      <c r="F121" t="e">
        <f>INDEX(Stammdaten[D Mitte mit Rinde (mm)],MATCH(Tabelle8[[#This Row],[Rank]],Stammdaten[Rank Verteilung D Mitte mit Rinde],0))</f>
        <v>#N/A</v>
      </c>
      <c r="G121" t="e">
        <f>VLOOKUP(Tabelle8[[#This Row],[Rank]],Stammdaten[[Rank Verteilung D Mitte mit Rinde]:[Verteilung D Mitte mit Rinde]],2,FALSE)</f>
        <v>#N/A</v>
      </c>
      <c r="L121">
        <v>112</v>
      </c>
      <c r="M121" t="e">
        <f>INDEX(Stammdaten[Abholzigkeit (mm/lfm)],MATCH(Tabelle9[[#This Row],[Rank]],Stammdaten[Rank Verteilung Abholzigkeit],0))</f>
        <v>#N/A</v>
      </c>
      <c r="N121" t="e">
        <f>VLOOKUP(Tabelle9[[#This Row],[Rank]],Stammdaten[[Rank Verteilung Abholzigkeit]:[Verteilung Abholzigkeit]],2,FALSE)</f>
        <v>#N/A</v>
      </c>
      <c r="S121">
        <v>112</v>
      </c>
      <c r="T121" t="e">
        <f>INDEX(Stammdaten[Krümmung (mm/lfm)],MATCH(Tabelle10[[#This Row],[Rank]],Stammdaten[Rank Verteilung Krümmung],0))</f>
        <v>#N/A</v>
      </c>
      <c r="U121" t="e">
        <f>VLOOKUP(Tabelle10[[#This Row],[Rank]],Stammdaten[[Rank Verteilung Krümmung]:[Verteilung Krümmung]],2,FALSE)</f>
        <v>#N/A</v>
      </c>
      <c r="Z121">
        <v>112</v>
      </c>
      <c r="AA121" t="e">
        <f>INDEX(Stammdaten[Ovalität (']0,1'])],MATCH(Tabelle1014[[#This Row],[Rank]],Stammdaten[Rank Verteilung Ovalität],0))</f>
        <v>#N/A</v>
      </c>
      <c r="AB121" t="e">
        <f>VLOOKUP(Tabelle1014[[#This Row],[Rank]],Stammdaten[[Rank Verteilung Ovalität]:[Verteilung Ovalität]],2,FALSE)</f>
        <v>#N/A</v>
      </c>
    </row>
    <row r="122" spans="5:28" x14ac:dyDescent="0.35">
      <c r="E122">
        <v>113</v>
      </c>
      <c r="F122" t="e">
        <f>INDEX(Stammdaten[D Mitte mit Rinde (mm)],MATCH(Tabelle8[[#This Row],[Rank]],Stammdaten[Rank Verteilung D Mitte mit Rinde],0))</f>
        <v>#N/A</v>
      </c>
      <c r="G122" t="e">
        <f>VLOOKUP(Tabelle8[[#This Row],[Rank]],Stammdaten[[Rank Verteilung D Mitte mit Rinde]:[Verteilung D Mitte mit Rinde]],2,FALSE)</f>
        <v>#N/A</v>
      </c>
      <c r="L122">
        <v>113</v>
      </c>
      <c r="M122" t="e">
        <f>INDEX(Stammdaten[Abholzigkeit (mm/lfm)],MATCH(Tabelle9[[#This Row],[Rank]],Stammdaten[Rank Verteilung Abholzigkeit],0))</f>
        <v>#N/A</v>
      </c>
      <c r="N122" t="e">
        <f>VLOOKUP(Tabelle9[[#This Row],[Rank]],Stammdaten[[Rank Verteilung Abholzigkeit]:[Verteilung Abholzigkeit]],2,FALSE)</f>
        <v>#N/A</v>
      </c>
      <c r="S122">
        <v>113</v>
      </c>
      <c r="T122" t="e">
        <f>INDEX(Stammdaten[Krümmung (mm/lfm)],MATCH(Tabelle10[[#This Row],[Rank]],Stammdaten[Rank Verteilung Krümmung],0))</f>
        <v>#N/A</v>
      </c>
      <c r="U122" t="e">
        <f>VLOOKUP(Tabelle10[[#This Row],[Rank]],Stammdaten[[Rank Verteilung Krümmung]:[Verteilung Krümmung]],2,FALSE)</f>
        <v>#N/A</v>
      </c>
      <c r="Z122">
        <v>113</v>
      </c>
      <c r="AA122" t="e">
        <f>INDEX(Stammdaten[Ovalität (']0,1'])],MATCH(Tabelle1014[[#This Row],[Rank]],Stammdaten[Rank Verteilung Ovalität],0))</f>
        <v>#N/A</v>
      </c>
      <c r="AB122" t="e">
        <f>VLOOKUP(Tabelle1014[[#This Row],[Rank]],Stammdaten[[Rank Verteilung Ovalität]:[Verteilung Ovalität]],2,FALSE)</f>
        <v>#N/A</v>
      </c>
    </row>
    <row r="123" spans="5:28" x14ac:dyDescent="0.35">
      <c r="E123">
        <v>114</v>
      </c>
      <c r="F123" t="e">
        <f>INDEX(Stammdaten[D Mitte mit Rinde (mm)],MATCH(Tabelle8[[#This Row],[Rank]],Stammdaten[Rank Verteilung D Mitte mit Rinde],0))</f>
        <v>#N/A</v>
      </c>
      <c r="G123" t="e">
        <f>VLOOKUP(Tabelle8[[#This Row],[Rank]],Stammdaten[[Rank Verteilung D Mitte mit Rinde]:[Verteilung D Mitte mit Rinde]],2,FALSE)</f>
        <v>#N/A</v>
      </c>
      <c r="L123">
        <v>114</v>
      </c>
      <c r="M123" t="e">
        <f>INDEX(Stammdaten[Abholzigkeit (mm/lfm)],MATCH(Tabelle9[[#This Row],[Rank]],Stammdaten[Rank Verteilung Abholzigkeit],0))</f>
        <v>#N/A</v>
      </c>
      <c r="N123" t="e">
        <f>VLOOKUP(Tabelle9[[#This Row],[Rank]],Stammdaten[[Rank Verteilung Abholzigkeit]:[Verteilung Abholzigkeit]],2,FALSE)</f>
        <v>#N/A</v>
      </c>
      <c r="S123">
        <v>114</v>
      </c>
      <c r="T123" t="e">
        <f>INDEX(Stammdaten[Krümmung (mm/lfm)],MATCH(Tabelle10[[#This Row],[Rank]],Stammdaten[Rank Verteilung Krümmung],0))</f>
        <v>#N/A</v>
      </c>
      <c r="U123" t="e">
        <f>VLOOKUP(Tabelle10[[#This Row],[Rank]],Stammdaten[[Rank Verteilung Krümmung]:[Verteilung Krümmung]],2,FALSE)</f>
        <v>#N/A</v>
      </c>
      <c r="Z123">
        <v>114</v>
      </c>
      <c r="AA123" t="e">
        <f>INDEX(Stammdaten[Ovalität (']0,1'])],MATCH(Tabelle1014[[#This Row],[Rank]],Stammdaten[Rank Verteilung Ovalität],0))</f>
        <v>#N/A</v>
      </c>
      <c r="AB123" t="e">
        <f>VLOOKUP(Tabelle1014[[#This Row],[Rank]],Stammdaten[[Rank Verteilung Ovalität]:[Verteilung Ovalität]],2,FALSE)</f>
        <v>#N/A</v>
      </c>
    </row>
    <row r="124" spans="5:28" x14ac:dyDescent="0.35">
      <c r="E124">
        <v>115</v>
      </c>
      <c r="F124" t="e">
        <f>INDEX(Stammdaten[D Mitte mit Rinde (mm)],MATCH(Tabelle8[[#This Row],[Rank]],Stammdaten[Rank Verteilung D Mitte mit Rinde],0))</f>
        <v>#N/A</v>
      </c>
      <c r="G124" t="e">
        <f>VLOOKUP(Tabelle8[[#This Row],[Rank]],Stammdaten[[Rank Verteilung D Mitte mit Rinde]:[Verteilung D Mitte mit Rinde]],2,FALSE)</f>
        <v>#N/A</v>
      </c>
      <c r="L124">
        <v>115</v>
      </c>
      <c r="M124" t="e">
        <f>INDEX(Stammdaten[Abholzigkeit (mm/lfm)],MATCH(Tabelle9[[#This Row],[Rank]],Stammdaten[Rank Verteilung Abholzigkeit],0))</f>
        <v>#N/A</v>
      </c>
      <c r="N124" t="e">
        <f>VLOOKUP(Tabelle9[[#This Row],[Rank]],Stammdaten[[Rank Verteilung Abholzigkeit]:[Verteilung Abholzigkeit]],2,FALSE)</f>
        <v>#N/A</v>
      </c>
      <c r="S124">
        <v>115</v>
      </c>
      <c r="T124" t="e">
        <f>INDEX(Stammdaten[Krümmung (mm/lfm)],MATCH(Tabelle10[[#This Row],[Rank]],Stammdaten[Rank Verteilung Krümmung],0))</f>
        <v>#N/A</v>
      </c>
      <c r="U124" t="e">
        <f>VLOOKUP(Tabelle10[[#This Row],[Rank]],Stammdaten[[Rank Verteilung Krümmung]:[Verteilung Krümmung]],2,FALSE)</f>
        <v>#N/A</v>
      </c>
      <c r="Z124">
        <v>115</v>
      </c>
      <c r="AA124" t="e">
        <f>INDEX(Stammdaten[Ovalität (']0,1'])],MATCH(Tabelle1014[[#This Row],[Rank]],Stammdaten[Rank Verteilung Ovalität],0))</f>
        <v>#N/A</v>
      </c>
      <c r="AB124" t="e">
        <f>VLOOKUP(Tabelle1014[[#This Row],[Rank]],Stammdaten[[Rank Verteilung Ovalität]:[Verteilung Ovalität]],2,FALSE)</f>
        <v>#N/A</v>
      </c>
    </row>
    <row r="125" spans="5:28" x14ac:dyDescent="0.35">
      <c r="E125">
        <v>116</v>
      </c>
      <c r="F125" t="e">
        <f>INDEX(Stammdaten[D Mitte mit Rinde (mm)],MATCH(Tabelle8[[#This Row],[Rank]],Stammdaten[Rank Verteilung D Mitte mit Rinde],0))</f>
        <v>#N/A</v>
      </c>
      <c r="G125" t="e">
        <f>VLOOKUP(Tabelle8[[#This Row],[Rank]],Stammdaten[[Rank Verteilung D Mitte mit Rinde]:[Verteilung D Mitte mit Rinde]],2,FALSE)</f>
        <v>#N/A</v>
      </c>
      <c r="L125">
        <v>116</v>
      </c>
      <c r="M125" t="e">
        <f>INDEX(Stammdaten[Abholzigkeit (mm/lfm)],MATCH(Tabelle9[[#This Row],[Rank]],Stammdaten[Rank Verteilung Abholzigkeit],0))</f>
        <v>#N/A</v>
      </c>
      <c r="N125" t="e">
        <f>VLOOKUP(Tabelle9[[#This Row],[Rank]],Stammdaten[[Rank Verteilung Abholzigkeit]:[Verteilung Abholzigkeit]],2,FALSE)</f>
        <v>#N/A</v>
      </c>
      <c r="S125">
        <v>116</v>
      </c>
      <c r="T125" t="e">
        <f>INDEX(Stammdaten[Krümmung (mm/lfm)],MATCH(Tabelle10[[#This Row],[Rank]],Stammdaten[Rank Verteilung Krümmung],0))</f>
        <v>#N/A</v>
      </c>
      <c r="U125" t="e">
        <f>VLOOKUP(Tabelle10[[#This Row],[Rank]],Stammdaten[[Rank Verteilung Krümmung]:[Verteilung Krümmung]],2,FALSE)</f>
        <v>#N/A</v>
      </c>
      <c r="Z125">
        <v>116</v>
      </c>
      <c r="AA125" t="e">
        <f>INDEX(Stammdaten[Ovalität (']0,1'])],MATCH(Tabelle1014[[#This Row],[Rank]],Stammdaten[Rank Verteilung Ovalität],0))</f>
        <v>#N/A</v>
      </c>
      <c r="AB125" t="e">
        <f>VLOOKUP(Tabelle1014[[#This Row],[Rank]],Stammdaten[[Rank Verteilung Ovalität]:[Verteilung Ovalität]],2,FALSE)</f>
        <v>#N/A</v>
      </c>
    </row>
    <row r="126" spans="5:28" x14ac:dyDescent="0.35">
      <c r="E126">
        <v>117</v>
      </c>
      <c r="F126" t="e">
        <f>INDEX(Stammdaten[D Mitte mit Rinde (mm)],MATCH(Tabelle8[[#This Row],[Rank]],Stammdaten[Rank Verteilung D Mitte mit Rinde],0))</f>
        <v>#N/A</v>
      </c>
      <c r="G126" t="e">
        <f>VLOOKUP(Tabelle8[[#This Row],[Rank]],Stammdaten[[Rank Verteilung D Mitte mit Rinde]:[Verteilung D Mitte mit Rinde]],2,FALSE)</f>
        <v>#N/A</v>
      </c>
      <c r="L126">
        <v>117</v>
      </c>
      <c r="M126" t="e">
        <f>INDEX(Stammdaten[Abholzigkeit (mm/lfm)],MATCH(Tabelle9[[#This Row],[Rank]],Stammdaten[Rank Verteilung Abholzigkeit],0))</f>
        <v>#N/A</v>
      </c>
      <c r="N126" t="e">
        <f>VLOOKUP(Tabelle9[[#This Row],[Rank]],Stammdaten[[Rank Verteilung Abholzigkeit]:[Verteilung Abholzigkeit]],2,FALSE)</f>
        <v>#N/A</v>
      </c>
      <c r="S126">
        <v>117</v>
      </c>
      <c r="T126" t="e">
        <f>INDEX(Stammdaten[Krümmung (mm/lfm)],MATCH(Tabelle10[[#This Row],[Rank]],Stammdaten[Rank Verteilung Krümmung],0))</f>
        <v>#N/A</v>
      </c>
      <c r="U126" t="e">
        <f>VLOOKUP(Tabelle10[[#This Row],[Rank]],Stammdaten[[Rank Verteilung Krümmung]:[Verteilung Krümmung]],2,FALSE)</f>
        <v>#N/A</v>
      </c>
      <c r="Z126">
        <v>117</v>
      </c>
      <c r="AA126" t="e">
        <f>INDEX(Stammdaten[Ovalität (']0,1'])],MATCH(Tabelle1014[[#This Row],[Rank]],Stammdaten[Rank Verteilung Ovalität],0))</f>
        <v>#N/A</v>
      </c>
      <c r="AB126" t="e">
        <f>VLOOKUP(Tabelle1014[[#This Row],[Rank]],Stammdaten[[Rank Verteilung Ovalität]:[Verteilung Ovalität]],2,FALSE)</f>
        <v>#N/A</v>
      </c>
    </row>
    <row r="127" spans="5:28" x14ac:dyDescent="0.35">
      <c r="E127">
        <v>118</v>
      </c>
      <c r="F127" t="e">
        <f>INDEX(Stammdaten[D Mitte mit Rinde (mm)],MATCH(Tabelle8[[#This Row],[Rank]],Stammdaten[Rank Verteilung D Mitte mit Rinde],0))</f>
        <v>#N/A</v>
      </c>
      <c r="G127" t="e">
        <f>VLOOKUP(Tabelle8[[#This Row],[Rank]],Stammdaten[[Rank Verteilung D Mitte mit Rinde]:[Verteilung D Mitte mit Rinde]],2,FALSE)</f>
        <v>#N/A</v>
      </c>
      <c r="L127">
        <v>118</v>
      </c>
      <c r="M127" t="e">
        <f>INDEX(Stammdaten[Abholzigkeit (mm/lfm)],MATCH(Tabelle9[[#This Row],[Rank]],Stammdaten[Rank Verteilung Abholzigkeit],0))</f>
        <v>#N/A</v>
      </c>
      <c r="N127" t="e">
        <f>VLOOKUP(Tabelle9[[#This Row],[Rank]],Stammdaten[[Rank Verteilung Abholzigkeit]:[Verteilung Abholzigkeit]],2,FALSE)</f>
        <v>#N/A</v>
      </c>
      <c r="S127">
        <v>118</v>
      </c>
      <c r="T127" t="e">
        <f>INDEX(Stammdaten[Krümmung (mm/lfm)],MATCH(Tabelle10[[#This Row],[Rank]],Stammdaten[Rank Verteilung Krümmung],0))</f>
        <v>#N/A</v>
      </c>
      <c r="U127" t="e">
        <f>VLOOKUP(Tabelle10[[#This Row],[Rank]],Stammdaten[[Rank Verteilung Krümmung]:[Verteilung Krümmung]],2,FALSE)</f>
        <v>#N/A</v>
      </c>
      <c r="Z127">
        <v>118</v>
      </c>
      <c r="AA127" t="e">
        <f>INDEX(Stammdaten[Ovalität (']0,1'])],MATCH(Tabelle1014[[#This Row],[Rank]],Stammdaten[Rank Verteilung Ovalität],0))</f>
        <v>#N/A</v>
      </c>
      <c r="AB127" t="e">
        <f>VLOOKUP(Tabelle1014[[#This Row],[Rank]],Stammdaten[[Rank Verteilung Ovalität]:[Verteilung Ovalität]],2,FALSE)</f>
        <v>#N/A</v>
      </c>
    </row>
    <row r="128" spans="5:28" x14ac:dyDescent="0.35">
      <c r="E128">
        <v>119</v>
      </c>
      <c r="F128" t="e">
        <f>INDEX(Stammdaten[D Mitte mit Rinde (mm)],MATCH(Tabelle8[[#This Row],[Rank]],Stammdaten[Rank Verteilung D Mitte mit Rinde],0))</f>
        <v>#N/A</v>
      </c>
      <c r="G128" t="e">
        <f>VLOOKUP(Tabelle8[[#This Row],[Rank]],Stammdaten[[Rank Verteilung D Mitte mit Rinde]:[Verteilung D Mitte mit Rinde]],2,FALSE)</f>
        <v>#N/A</v>
      </c>
      <c r="L128">
        <v>119</v>
      </c>
      <c r="M128" t="e">
        <f>INDEX(Stammdaten[Abholzigkeit (mm/lfm)],MATCH(Tabelle9[[#This Row],[Rank]],Stammdaten[Rank Verteilung Abholzigkeit],0))</f>
        <v>#N/A</v>
      </c>
      <c r="N128" t="e">
        <f>VLOOKUP(Tabelle9[[#This Row],[Rank]],Stammdaten[[Rank Verteilung Abholzigkeit]:[Verteilung Abholzigkeit]],2,FALSE)</f>
        <v>#N/A</v>
      </c>
      <c r="S128">
        <v>119</v>
      </c>
      <c r="T128" t="e">
        <f>INDEX(Stammdaten[Krümmung (mm/lfm)],MATCH(Tabelle10[[#This Row],[Rank]],Stammdaten[Rank Verteilung Krümmung],0))</f>
        <v>#N/A</v>
      </c>
      <c r="U128" t="e">
        <f>VLOOKUP(Tabelle10[[#This Row],[Rank]],Stammdaten[[Rank Verteilung Krümmung]:[Verteilung Krümmung]],2,FALSE)</f>
        <v>#N/A</v>
      </c>
      <c r="Z128">
        <v>119</v>
      </c>
      <c r="AA128" t="e">
        <f>INDEX(Stammdaten[Ovalität (']0,1'])],MATCH(Tabelle1014[[#This Row],[Rank]],Stammdaten[Rank Verteilung Ovalität],0))</f>
        <v>#N/A</v>
      </c>
      <c r="AB128" t="e">
        <f>VLOOKUP(Tabelle1014[[#This Row],[Rank]],Stammdaten[[Rank Verteilung Ovalität]:[Verteilung Ovalität]],2,FALSE)</f>
        <v>#N/A</v>
      </c>
    </row>
    <row r="129" spans="5:28" x14ac:dyDescent="0.35">
      <c r="E129">
        <v>120</v>
      </c>
      <c r="F129" t="e">
        <f>INDEX(Stammdaten[D Mitte mit Rinde (mm)],MATCH(Tabelle8[[#This Row],[Rank]],Stammdaten[Rank Verteilung D Mitte mit Rinde],0))</f>
        <v>#N/A</v>
      </c>
      <c r="G129" t="e">
        <f>VLOOKUP(Tabelle8[[#This Row],[Rank]],Stammdaten[[Rank Verteilung D Mitte mit Rinde]:[Verteilung D Mitte mit Rinde]],2,FALSE)</f>
        <v>#N/A</v>
      </c>
      <c r="L129">
        <v>120</v>
      </c>
      <c r="M129" t="e">
        <f>INDEX(Stammdaten[Abholzigkeit (mm/lfm)],MATCH(Tabelle9[[#This Row],[Rank]],Stammdaten[Rank Verteilung Abholzigkeit],0))</f>
        <v>#N/A</v>
      </c>
      <c r="N129" t="e">
        <f>VLOOKUP(Tabelle9[[#This Row],[Rank]],Stammdaten[[Rank Verteilung Abholzigkeit]:[Verteilung Abholzigkeit]],2,FALSE)</f>
        <v>#N/A</v>
      </c>
      <c r="S129">
        <v>120</v>
      </c>
      <c r="T129" t="e">
        <f>INDEX(Stammdaten[Krümmung (mm/lfm)],MATCH(Tabelle10[[#This Row],[Rank]],Stammdaten[Rank Verteilung Krümmung],0))</f>
        <v>#N/A</v>
      </c>
      <c r="U129" t="e">
        <f>VLOOKUP(Tabelle10[[#This Row],[Rank]],Stammdaten[[Rank Verteilung Krümmung]:[Verteilung Krümmung]],2,FALSE)</f>
        <v>#N/A</v>
      </c>
      <c r="Z129">
        <v>120</v>
      </c>
      <c r="AA129" t="e">
        <f>INDEX(Stammdaten[Ovalität (']0,1'])],MATCH(Tabelle1014[[#This Row],[Rank]],Stammdaten[Rank Verteilung Ovalität],0))</f>
        <v>#N/A</v>
      </c>
      <c r="AB129" t="e">
        <f>VLOOKUP(Tabelle1014[[#This Row],[Rank]],Stammdaten[[Rank Verteilung Ovalität]:[Verteilung Ovalität]],2,FALSE)</f>
        <v>#N/A</v>
      </c>
    </row>
    <row r="130" spans="5:28" x14ac:dyDescent="0.35">
      <c r="E130">
        <v>121</v>
      </c>
      <c r="F130" t="e">
        <f>INDEX(Stammdaten[D Mitte mit Rinde (mm)],MATCH(Tabelle8[[#This Row],[Rank]],Stammdaten[Rank Verteilung D Mitte mit Rinde],0))</f>
        <v>#N/A</v>
      </c>
      <c r="G130" t="e">
        <f>VLOOKUP(Tabelle8[[#This Row],[Rank]],Stammdaten[[Rank Verteilung D Mitte mit Rinde]:[Verteilung D Mitte mit Rinde]],2,FALSE)</f>
        <v>#N/A</v>
      </c>
      <c r="L130">
        <v>121</v>
      </c>
      <c r="M130" t="e">
        <f>INDEX(Stammdaten[Abholzigkeit (mm/lfm)],MATCH(Tabelle9[[#This Row],[Rank]],Stammdaten[Rank Verteilung Abholzigkeit],0))</f>
        <v>#N/A</v>
      </c>
      <c r="N130" t="e">
        <f>VLOOKUP(Tabelle9[[#This Row],[Rank]],Stammdaten[[Rank Verteilung Abholzigkeit]:[Verteilung Abholzigkeit]],2,FALSE)</f>
        <v>#N/A</v>
      </c>
      <c r="S130">
        <v>121</v>
      </c>
      <c r="T130" t="e">
        <f>INDEX(Stammdaten[Krümmung (mm/lfm)],MATCH(Tabelle10[[#This Row],[Rank]],Stammdaten[Rank Verteilung Krümmung],0))</f>
        <v>#N/A</v>
      </c>
      <c r="U130" t="e">
        <f>VLOOKUP(Tabelle10[[#This Row],[Rank]],Stammdaten[[Rank Verteilung Krümmung]:[Verteilung Krümmung]],2,FALSE)</f>
        <v>#N/A</v>
      </c>
      <c r="Z130">
        <v>121</v>
      </c>
      <c r="AA130" t="e">
        <f>INDEX(Stammdaten[Ovalität (']0,1'])],MATCH(Tabelle1014[[#This Row],[Rank]],Stammdaten[Rank Verteilung Ovalität],0))</f>
        <v>#N/A</v>
      </c>
      <c r="AB130" t="e">
        <f>VLOOKUP(Tabelle1014[[#This Row],[Rank]],Stammdaten[[Rank Verteilung Ovalität]:[Verteilung Ovalität]],2,FALSE)</f>
        <v>#N/A</v>
      </c>
    </row>
    <row r="131" spans="5:28" x14ac:dyDescent="0.35">
      <c r="E131">
        <v>122</v>
      </c>
      <c r="F131" t="e">
        <f>INDEX(Stammdaten[D Mitte mit Rinde (mm)],MATCH(Tabelle8[[#This Row],[Rank]],Stammdaten[Rank Verteilung D Mitte mit Rinde],0))</f>
        <v>#N/A</v>
      </c>
      <c r="G131" t="e">
        <f>VLOOKUP(Tabelle8[[#This Row],[Rank]],Stammdaten[[Rank Verteilung D Mitte mit Rinde]:[Verteilung D Mitte mit Rinde]],2,FALSE)</f>
        <v>#N/A</v>
      </c>
      <c r="L131">
        <v>122</v>
      </c>
      <c r="M131" t="e">
        <f>INDEX(Stammdaten[Abholzigkeit (mm/lfm)],MATCH(Tabelle9[[#This Row],[Rank]],Stammdaten[Rank Verteilung Abholzigkeit],0))</f>
        <v>#N/A</v>
      </c>
      <c r="N131" t="e">
        <f>VLOOKUP(Tabelle9[[#This Row],[Rank]],Stammdaten[[Rank Verteilung Abholzigkeit]:[Verteilung Abholzigkeit]],2,FALSE)</f>
        <v>#N/A</v>
      </c>
      <c r="S131">
        <v>122</v>
      </c>
      <c r="T131" t="e">
        <f>INDEX(Stammdaten[Krümmung (mm/lfm)],MATCH(Tabelle10[[#This Row],[Rank]],Stammdaten[Rank Verteilung Krümmung],0))</f>
        <v>#N/A</v>
      </c>
      <c r="U131" t="e">
        <f>VLOOKUP(Tabelle10[[#This Row],[Rank]],Stammdaten[[Rank Verteilung Krümmung]:[Verteilung Krümmung]],2,FALSE)</f>
        <v>#N/A</v>
      </c>
      <c r="Z131">
        <v>122</v>
      </c>
      <c r="AA131" t="e">
        <f>INDEX(Stammdaten[Ovalität (']0,1'])],MATCH(Tabelle1014[[#This Row],[Rank]],Stammdaten[Rank Verteilung Ovalität],0))</f>
        <v>#N/A</v>
      </c>
      <c r="AB131" t="e">
        <f>VLOOKUP(Tabelle1014[[#This Row],[Rank]],Stammdaten[[Rank Verteilung Ovalität]:[Verteilung Ovalität]],2,FALSE)</f>
        <v>#N/A</v>
      </c>
    </row>
    <row r="132" spans="5:28" x14ac:dyDescent="0.35">
      <c r="E132">
        <v>123</v>
      </c>
      <c r="F132" t="e">
        <f>INDEX(Stammdaten[D Mitte mit Rinde (mm)],MATCH(Tabelle8[[#This Row],[Rank]],Stammdaten[Rank Verteilung D Mitte mit Rinde],0))</f>
        <v>#N/A</v>
      </c>
      <c r="G132" t="e">
        <f>VLOOKUP(Tabelle8[[#This Row],[Rank]],Stammdaten[[Rank Verteilung D Mitte mit Rinde]:[Verteilung D Mitte mit Rinde]],2,FALSE)</f>
        <v>#N/A</v>
      </c>
      <c r="L132">
        <v>123</v>
      </c>
      <c r="M132" t="e">
        <f>INDEX(Stammdaten[Abholzigkeit (mm/lfm)],MATCH(Tabelle9[[#This Row],[Rank]],Stammdaten[Rank Verteilung Abholzigkeit],0))</f>
        <v>#N/A</v>
      </c>
      <c r="N132" t="e">
        <f>VLOOKUP(Tabelle9[[#This Row],[Rank]],Stammdaten[[Rank Verteilung Abholzigkeit]:[Verteilung Abholzigkeit]],2,FALSE)</f>
        <v>#N/A</v>
      </c>
      <c r="S132">
        <v>123</v>
      </c>
      <c r="T132" t="e">
        <f>INDEX(Stammdaten[Krümmung (mm/lfm)],MATCH(Tabelle10[[#This Row],[Rank]],Stammdaten[Rank Verteilung Krümmung],0))</f>
        <v>#N/A</v>
      </c>
      <c r="U132" t="e">
        <f>VLOOKUP(Tabelle10[[#This Row],[Rank]],Stammdaten[[Rank Verteilung Krümmung]:[Verteilung Krümmung]],2,FALSE)</f>
        <v>#N/A</v>
      </c>
      <c r="Z132">
        <v>123</v>
      </c>
      <c r="AA132" t="e">
        <f>INDEX(Stammdaten[Ovalität (']0,1'])],MATCH(Tabelle1014[[#This Row],[Rank]],Stammdaten[Rank Verteilung Ovalität],0))</f>
        <v>#N/A</v>
      </c>
      <c r="AB132" t="e">
        <f>VLOOKUP(Tabelle1014[[#This Row],[Rank]],Stammdaten[[Rank Verteilung Ovalität]:[Verteilung Ovalität]],2,FALSE)</f>
        <v>#N/A</v>
      </c>
    </row>
    <row r="133" spans="5:28" x14ac:dyDescent="0.35">
      <c r="E133">
        <v>124</v>
      </c>
      <c r="F133" t="e">
        <f>INDEX(Stammdaten[D Mitte mit Rinde (mm)],MATCH(Tabelle8[[#This Row],[Rank]],Stammdaten[Rank Verteilung D Mitte mit Rinde],0))</f>
        <v>#N/A</v>
      </c>
      <c r="G133" t="e">
        <f>VLOOKUP(Tabelle8[[#This Row],[Rank]],Stammdaten[[Rank Verteilung D Mitte mit Rinde]:[Verteilung D Mitte mit Rinde]],2,FALSE)</f>
        <v>#N/A</v>
      </c>
      <c r="L133">
        <v>124</v>
      </c>
      <c r="M133" t="e">
        <f>INDEX(Stammdaten[Abholzigkeit (mm/lfm)],MATCH(Tabelle9[[#This Row],[Rank]],Stammdaten[Rank Verteilung Abholzigkeit],0))</f>
        <v>#N/A</v>
      </c>
      <c r="N133" t="e">
        <f>VLOOKUP(Tabelle9[[#This Row],[Rank]],Stammdaten[[Rank Verteilung Abholzigkeit]:[Verteilung Abholzigkeit]],2,FALSE)</f>
        <v>#N/A</v>
      </c>
      <c r="S133">
        <v>124</v>
      </c>
      <c r="T133" t="e">
        <f>INDEX(Stammdaten[Krümmung (mm/lfm)],MATCH(Tabelle10[[#This Row],[Rank]],Stammdaten[Rank Verteilung Krümmung],0))</f>
        <v>#N/A</v>
      </c>
      <c r="U133" t="e">
        <f>VLOOKUP(Tabelle10[[#This Row],[Rank]],Stammdaten[[Rank Verteilung Krümmung]:[Verteilung Krümmung]],2,FALSE)</f>
        <v>#N/A</v>
      </c>
      <c r="Z133">
        <v>124</v>
      </c>
      <c r="AA133" t="e">
        <f>INDEX(Stammdaten[Ovalität (']0,1'])],MATCH(Tabelle1014[[#This Row],[Rank]],Stammdaten[Rank Verteilung Ovalität],0))</f>
        <v>#N/A</v>
      </c>
      <c r="AB133" t="e">
        <f>VLOOKUP(Tabelle1014[[#This Row],[Rank]],Stammdaten[[Rank Verteilung Ovalität]:[Verteilung Ovalität]],2,FALSE)</f>
        <v>#N/A</v>
      </c>
    </row>
    <row r="134" spans="5:28" x14ac:dyDescent="0.35">
      <c r="E134">
        <v>125</v>
      </c>
      <c r="F134" t="e">
        <f>INDEX(Stammdaten[D Mitte mit Rinde (mm)],MATCH(Tabelle8[[#This Row],[Rank]],Stammdaten[Rank Verteilung D Mitte mit Rinde],0))</f>
        <v>#N/A</v>
      </c>
      <c r="G134" t="e">
        <f>VLOOKUP(Tabelle8[[#This Row],[Rank]],Stammdaten[[Rank Verteilung D Mitte mit Rinde]:[Verteilung D Mitte mit Rinde]],2,FALSE)</f>
        <v>#N/A</v>
      </c>
      <c r="L134">
        <v>125</v>
      </c>
      <c r="M134" t="e">
        <f>INDEX(Stammdaten[Abholzigkeit (mm/lfm)],MATCH(Tabelle9[[#This Row],[Rank]],Stammdaten[Rank Verteilung Abholzigkeit],0))</f>
        <v>#N/A</v>
      </c>
      <c r="N134" t="e">
        <f>VLOOKUP(Tabelle9[[#This Row],[Rank]],Stammdaten[[Rank Verteilung Abholzigkeit]:[Verteilung Abholzigkeit]],2,FALSE)</f>
        <v>#N/A</v>
      </c>
      <c r="S134">
        <v>125</v>
      </c>
      <c r="T134" t="e">
        <f>INDEX(Stammdaten[Krümmung (mm/lfm)],MATCH(Tabelle10[[#This Row],[Rank]],Stammdaten[Rank Verteilung Krümmung],0))</f>
        <v>#N/A</v>
      </c>
      <c r="U134" t="e">
        <f>VLOOKUP(Tabelle10[[#This Row],[Rank]],Stammdaten[[Rank Verteilung Krümmung]:[Verteilung Krümmung]],2,FALSE)</f>
        <v>#N/A</v>
      </c>
      <c r="Z134">
        <v>125</v>
      </c>
      <c r="AA134" t="e">
        <f>INDEX(Stammdaten[Ovalität (']0,1'])],MATCH(Tabelle1014[[#This Row],[Rank]],Stammdaten[Rank Verteilung Ovalität],0))</f>
        <v>#N/A</v>
      </c>
      <c r="AB134" t="e">
        <f>VLOOKUP(Tabelle1014[[#This Row],[Rank]],Stammdaten[[Rank Verteilung Ovalität]:[Verteilung Ovalität]],2,FALSE)</f>
        <v>#N/A</v>
      </c>
    </row>
    <row r="135" spans="5:28" x14ac:dyDescent="0.35">
      <c r="E135">
        <v>126</v>
      </c>
      <c r="F135" t="e">
        <f>INDEX(Stammdaten[D Mitte mit Rinde (mm)],MATCH(Tabelle8[[#This Row],[Rank]],Stammdaten[Rank Verteilung D Mitte mit Rinde],0))</f>
        <v>#N/A</v>
      </c>
      <c r="G135" t="e">
        <f>VLOOKUP(Tabelle8[[#This Row],[Rank]],Stammdaten[[Rank Verteilung D Mitte mit Rinde]:[Verteilung D Mitte mit Rinde]],2,FALSE)</f>
        <v>#N/A</v>
      </c>
      <c r="L135">
        <v>126</v>
      </c>
      <c r="M135" t="e">
        <f>INDEX(Stammdaten[Abholzigkeit (mm/lfm)],MATCH(Tabelle9[[#This Row],[Rank]],Stammdaten[Rank Verteilung Abholzigkeit],0))</f>
        <v>#N/A</v>
      </c>
      <c r="N135" t="e">
        <f>VLOOKUP(Tabelle9[[#This Row],[Rank]],Stammdaten[[Rank Verteilung Abholzigkeit]:[Verteilung Abholzigkeit]],2,FALSE)</f>
        <v>#N/A</v>
      </c>
      <c r="S135">
        <v>126</v>
      </c>
      <c r="T135" t="e">
        <f>INDEX(Stammdaten[Krümmung (mm/lfm)],MATCH(Tabelle10[[#This Row],[Rank]],Stammdaten[Rank Verteilung Krümmung],0))</f>
        <v>#N/A</v>
      </c>
      <c r="U135" t="e">
        <f>VLOOKUP(Tabelle10[[#This Row],[Rank]],Stammdaten[[Rank Verteilung Krümmung]:[Verteilung Krümmung]],2,FALSE)</f>
        <v>#N/A</v>
      </c>
      <c r="Z135">
        <v>126</v>
      </c>
      <c r="AA135" t="e">
        <f>INDEX(Stammdaten[Ovalität (']0,1'])],MATCH(Tabelle1014[[#This Row],[Rank]],Stammdaten[Rank Verteilung Ovalität],0))</f>
        <v>#N/A</v>
      </c>
      <c r="AB135" t="e">
        <f>VLOOKUP(Tabelle1014[[#This Row],[Rank]],Stammdaten[[Rank Verteilung Ovalität]:[Verteilung Ovalität]],2,FALSE)</f>
        <v>#N/A</v>
      </c>
    </row>
    <row r="136" spans="5:28" x14ac:dyDescent="0.35">
      <c r="E136">
        <v>127</v>
      </c>
      <c r="F136" t="e">
        <f>INDEX(Stammdaten[D Mitte mit Rinde (mm)],MATCH(Tabelle8[[#This Row],[Rank]],Stammdaten[Rank Verteilung D Mitte mit Rinde],0))</f>
        <v>#N/A</v>
      </c>
      <c r="G136" t="e">
        <f>VLOOKUP(Tabelle8[[#This Row],[Rank]],Stammdaten[[Rank Verteilung D Mitte mit Rinde]:[Verteilung D Mitte mit Rinde]],2,FALSE)</f>
        <v>#N/A</v>
      </c>
      <c r="L136">
        <v>127</v>
      </c>
      <c r="M136" t="e">
        <f>INDEX(Stammdaten[Abholzigkeit (mm/lfm)],MATCH(Tabelle9[[#This Row],[Rank]],Stammdaten[Rank Verteilung Abholzigkeit],0))</f>
        <v>#N/A</v>
      </c>
      <c r="N136" t="e">
        <f>VLOOKUP(Tabelle9[[#This Row],[Rank]],Stammdaten[[Rank Verteilung Abholzigkeit]:[Verteilung Abholzigkeit]],2,FALSE)</f>
        <v>#N/A</v>
      </c>
      <c r="S136">
        <v>127</v>
      </c>
      <c r="T136" t="e">
        <f>INDEX(Stammdaten[Krümmung (mm/lfm)],MATCH(Tabelle10[[#This Row],[Rank]],Stammdaten[Rank Verteilung Krümmung],0))</f>
        <v>#N/A</v>
      </c>
      <c r="U136" t="e">
        <f>VLOOKUP(Tabelle10[[#This Row],[Rank]],Stammdaten[[Rank Verteilung Krümmung]:[Verteilung Krümmung]],2,FALSE)</f>
        <v>#N/A</v>
      </c>
      <c r="Z136">
        <v>127</v>
      </c>
      <c r="AA136" t="e">
        <f>INDEX(Stammdaten[Ovalität (']0,1'])],MATCH(Tabelle1014[[#This Row],[Rank]],Stammdaten[Rank Verteilung Ovalität],0))</f>
        <v>#N/A</v>
      </c>
      <c r="AB136" t="e">
        <f>VLOOKUP(Tabelle1014[[#This Row],[Rank]],Stammdaten[[Rank Verteilung Ovalität]:[Verteilung Ovalität]],2,FALSE)</f>
        <v>#N/A</v>
      </c>
    </row>
    <row r="137" spans="5:28" x14ac:dyDescent="0.35">
      <c r="E137">
        <v>128</v>
      </c>
      <c r="F137" t="e">
        <f>INDEX(Stammdaten[D Mitte mit Rinde (mm)],MATCH(Tabelle8[[#This Row],[Rank]],Stammdaten[Rank Verteilung D Mitte mit Rinde],0))</f>
        <v>#N/A</v>
      </c>
      <c r="G137" t="e">
        <f>VLOOKUP(Tabelle8[[#This Row],[Rank]],Stammdaten[[Rank Verteilung D Mitte mit Rinde]:[Verteilung D Mitte mit Rinde]],2,FALSE)</f>
        <v>#N/A</v>
      </c>
      <c r="L137">
        <v>128</v>
      </c>
      <c r="M137" t="e">
        <f>INDEX(Stammdaten[Abholzigkeit (mm/lfm)],MATCH(Tabelle9[[#This Row],[Rank]],Stammdaten[Rank Verteilung Abholzigkeit],0))</f>
        <v>#N/A</v>
      </c>
      <c r="N137" t="e">
        <f>VLOOKUP(Tabelle9[[#This Row],[Rank]],Stammdaten[[Rank Verteilung Abholzigkeit]:[Verteilung Abholzigkeit]],2,FALSE)</f>
        <v>#N/A</v>
      </c>
      <c r="S137">
        <v>128</v>
      </c>
      <c r="T137" t="e">
        <f>INDEX(Stammdaten[Krümmung (mm/lfm)],MATCH(Tabelle10[[#This Row],[Rank]],Stammdaten[Rank Verteilung Krümmung],0))</f>
        <v>#N/A</v>
      </c>
      <c r="U137" t="e">
        <f>VLOOKUP(Tabelle10[[#This Row],[Rank]],Stammdaten[[Rank Verteilung Krümmung]:[Verteilung Krümmung]],2,FALSE)</f>
        <v>#N/A</v>
      </c>
      <c r="Z137">
        <v>128</v>
      </c>
      <c r="AA137" t="e">
        <f>INDEX(Stammdaten[Ovalität (']0,1'])],MATCH(Tabelle1014[[#This Row],[Rank]],Stammdaten[Rank Verteilung Ovalität],0))</f>
        <v>#N/A</v>
      </c>
      <c r="AB137" t="e">
        <f>VLOOKUP(Tabelle1014[[#This Row],[Rank]],Stammdaten[[Rank Verteilung Ovalität]:[Verteilung Ovalität]],2,FALSE)</f>
        <v>#N/A</v>
      </c>
    </row>
    <row r="138" spans="5:28" x14ac:dyDescent="0.35">
      <c r="E138">
        <v>129</v>
      </c>
      <c r="F138" t="e">
        <f>INDEX(Stammdaten[D Mitte mit Rinde (mm)],MATCH(Tabelle8[[#This Row],[Rank]],Stammdaten[Rank Verteilung D Mitte mit Rinde],0))</f>
        <v>#N/A</v>
      </c>
      <c r="G138" t="e">
        <f>VLOOKUP(Tabelle8[[#This Row],[Rank]],Stammdaten[[Rank Verteilung D Mitte mit Rinde]:[Verteilung D Mitte mit Rinde]],2,FALSE)</f>
        <v>#N/A</v>
      </c>
      <c r="L138">
        <v>129</v>
      </c>
      <c r="M138" t="e">
        <f>INDEX(Stammdaten[Abholzigkeit (mm/lfm)],MATCH(Tabelle9[[#This Row],[Rank]],Stammdaten[Rank Verteilung Abholzigkeit],0))</f>
        <v>#N/A</v>
      </c>
      <c r="N138" t="e">
        <f>VLOOKUP(Tabelle9[[#This Row],[Rank]],Stammdaten[[Rank Verteilung Abholzigkeit]:[Verteilung Abholzigkeit]],2,FALSE)</f>
        <v>#N/A</v>
      </c>
      <c r="S138">
        <v>129</v>
      </c>
      <c r="T138" t="e">
        <f>INDEX(Stammdaten[Krümmung (mm/lfm)],MATCH(Tabelle10[[#This Row],[Rank]],Stammdaten[Rank Verteilung Krümmung],0))</f>
        <v>#N/A</v>
      </c>
      <c r="U138" t="e">
        <f>VLOOKUP(Tabelle10[[#This Row],[Rank]],Stammdaten[[Rank Verteilung Krümmung]:[Verteilung Krümmung]],2,FALSE)</f>
        <v>#N/A</v>
      </c>
      <c r="Z138">
        <v>129</v>
      </c>
      <c r="AA138" t="e">
        <f>INDEX(Stammdaten[Ovalität (']0,1'])],MATCH(Tabelle1014[[#This Row],[Rank]],Stammdaten[Rank Verteilung Ovalität],0))</f>
        <v>#N/A</v>
      </c>
      <c r="AB138" t="e">
        <f>VLOOKUP(Tabelle1014[[#This Row],[Rank]],Stammdaten[[Rank Verteilung Ovalität]:[Verteilung Ovalität]],2,FALSE)</f>
        <v>#N/A</v>
      </c>
    </row>
    <row r="139" spans="5:28" x14ac:dyDescent="0.35">
      <c r="E139">
        <v>130</v>
      </c>
      <c r="F139" t="e">
        <f>INDEX(Stammdaten[D Mitte mit Rinde (mm)],MATCH(Tabelle8[[#This Row],[Rank]],Stammdaten[Rank Verteilung D Mitte mit Rinde],0))</f>
        <v>#N/A</v>
      </c>
      <c r="G139" t="e">
        <f>VLOOKUP(Tabelle8[[#This Row],[Rank]],Stammdaten[[Rank Verteilung D Mitte mit Rinde]:[Verteilung D Mitte mit Rinde]],2,FALSE)</f>
        <v>#N/A</v>
      </c>
      <c r="L139">
        <v>130</v>
      </c>
      <c r="M139" t="e">
        <f>INDEX(Stammdaten[Abholzigkeit (mm/lfm)],MATCH(Tabelle9[[#This Row],[Rank]],Stammdaten[Rank Verteilung Abholzigkeit],0))</f>
        <v>#N/A</v>
      </c>
      <c r="N139" t="e">
        <f>VLOOKUP(Tabelle9[[#This Row],[Rank]],Stammdaten[[Rank Verteilung Abholzigkeit]:[Verteilung Abholzigkeit]],2,FALSE)</f>
        <v>#N/A</v>
      </c>
      <c r="S139">
        <v>130</v>
      </c>
      <c r="T139" t="e">
        <f>INDEX(Stammdaten[Krümmung (mm/lfm)],MATCH(Tabelle10[[#This Row],[Rank]],Stammdaten[Rank Verteilung Krümmung],0))</f>
        <v>#N/A</v>
      </c>
      <c r="U139" t="e">
        <f>VLOOKUP(Tabelle10[[#This Row],[Rank]],Stammdaten[[Rank Verteilung Krümmung]:[Verteilung Krümmung]],2,FALSE)</f>
        <v>#N/A</v>
      </c>
      <c r="Z139">
        <v>130</v>
      </c>
      <c r="AA139" t="e">
        <f>INDEX(Stammdaten[Ovalität (']0,1'])],MATCH(Tabelle1014[[#This Row],[Rank]],Stammdaten[Rank Verteilung Ovalität],0))</f>
        <v>#N/A</v>
      </c>
      <c r="AB139" t="e">
        <f>VLOOKUP(Tabelle1014[[#This Row],[Rank]],Stammdaten[[Rank Verteilung Ovalität]:[Verteilung Ovalität]],2,FALSE)</f>
        <v>#N/A</v>
      </c>
    </row>
    <row r="140" spans="5:28" x14ac:dyDescent="0.35">
      <c r="E140">
        <v>131</v>
      </c>
      <c r="F140" t="e">
        <f>INDEX(Stammdaten[D Mitte mit Rinde (mm)],MATCH(Tabelle8[[#This Row],[Rank]],Stammdaten[Rank Verteilung D Mitte mit Rinde],0))</f>
        <v>#N/A</v>
      </c>
      <c r="G140" t="e">
        <f>VLOOKUP(Tabelle8[[#This Row],[Rank]],Stammdaten[[Rank Verteilung D Mitte mit Rinde]:[Verteilung D Mitte mit Rinde]],2,FALSE)</f>
        <v>#N/A</v>
      </c>
      <c r="L140">
        <v>131</v>
      </c>
      <c r="M140" t="e">
        <f>INDEX(Stammdaten[Abholzigkeit (mm/lfm)],MATCH(Tabelle9[[#This Row],[Rank]],Stammdaten[Rank Verteilung Abholzigkeit],0))</f>
        <v>#N/A</v>
      </c>
      <c r="N140" t="e">
        <f>VLOOKUP(Tabelle9[[#This Row],[Rank]],Stammdaten[[Rank Verteilung Abholzigkeit]:[Verteilung Abholzigkeit]],2,FALSE)</f>
        <v>#N/A</v>
      </c>
      <c r="S140">
        <v>131</v>
      </c>
      <c r="T140" t="e">
        <f>INDEX(Stammdaten[Krümmung (mm/lfm)],MATCH(Tabelle10[[#This Row],[Rank]],Stammdaten[Rank Verteilung Krümmung],0))</f>
        <v>#N/A</v>
      </c>
      <c r="U140" t="e">
        <f>VLOOKUP(Tabelle10[[#This Row],[Rank]],Stammdaten[[Rank Verteilung Krümmung]:[Verteilung Krümmung]],2,FALSE)</f>
        <v>#N/A</v>
      </c>
      <c r="Z140">
        <v>131</v>
      </c>
      <c r="AA140" t="e">
        <f>INDEX(Stammdaten[Ovalität (']0,1'])],MATCH(Tabelle1014[[#This Row],[Rank]],Stammdaten[Rank Verteilung Ovalität],0))</f>
        <v>#N/A</v>
      </c>
      <c r="AB140" t="e">
        <f>VLOOKUP(Tabelle1014[[#This Row],[Rank]],Stammdaten[[Rank Verteilung Ovalität]:[Verteilung Ovalität]],2,FALSE)</f>
        <v>#N/A</v>
      </c>
    </row>
    <row r="141" spans="5:28" x14ac:dyDescent="0.35">
      <c r="E141">
        <v>132</v>
      </c>
      <c r="F141" t="e">
        <f>INDEX(Stammdaten[D Mitte mit Rinde (mm)],MATCH(Tabelle8[[#This Row],[Rank]],Stammdaten[Rank Verteilung D Mitte mit Rinde],0))</f>
        <v>#N/A</v>
      </c>
      <c r="G141" t="e">
        <f>VLOOKUP(Tabelle8[[#This Row],[Rank]],Stammdaten[[Rank Verteilung D Mitte mit Rinde]:[Verteilung D Mitte mit Rinde]],2,FALSE)</f>
        <v>#N/A</v>
      </c>
      <c r="L141">
        <v>132</v>
      </c>
      <c r="M141" t="e">
        <f>INDEX(Stammdaten[Abholzigkeit (mm/lfm)],MATCH(Tabelle9[[#This Row],[Rank]],Stammdaten[Rank Verteilung Abholzigkeit],0))</f>
        <v>#N/A</v>
      </c>
      <c r="N141" t="e">
        <f>VLOOKUP(Tabelle9[[#This Row],[Rank]],Stammdaten[[Rank Verteilung Abholzigkeit]:[Verteilung Abholzigkeit]],2,FALSE)</f>
        <v>#N/A</v>
      </c>
      <c r="S141">
        <v>132</v>
      </c>
      <c r="T141" t="e">
        <f>INDEX(Stammdaten[Krümmung (mm/lfm)],MATCH(Tabelle10[[#This Row],[Rank]],Stammdaten[Rank Verteilung Krümmung],0))</f>
        <v>#N/A</v>
      </c>
      <c r="U141" t="e">
        <f>VLOOKUP(Tabelle10[[#This Row],[Rank]],Stammdaten[[Rank Verteilung Krümmung]:[Verteilung Krümmung]],2,FALSE)</f>
        <v>#N/A</v>
      </c>
      <c r="Z141">
        <v>132</v>
      </c>
      <c r="AA141" t="e">
        <f>INDEX(Stammdaten[Ovalität (']0,1'])],MATCH(Tabelle1014[[#This Row],[Rank]],Stammdaten[Rank Verteilung Ovalität],0))</f>
        <v>#N/A</v>
      </c>
      <c r="AB141" t="e">
        <f>VLOOKUP(Tabelle1014[[#This Row],[Rank]],Stammdaten[[Rank Verteilung Ovalität]:[Verteilung Ovalität]],2,FALSE)</f>
        <v>#N/A</v>
      </c>
    </row>
    <row r="142" spans="5:28" x14ac:dyDescent="0.35">
      <c r="E142">
        <v>133</v>
      </c>
      <c r="F142" t="e">
        <f>INDEX(Stammdaten[D Mitte mit Rinde (mm)],MATCH(Tabelle8[[#This Row],[Rank]],Stammdaten[Rank Verteilung D Mitte mit Rinde],0))</f>
        <v>#N/A</v>
      </c>
      <c r="G142" t="e">
        <f>VLOOKUP(Tabelle8[[#This Row],[Rank]],Stammdaten[[Rank Verteilung D Mitte mit Rinde]:[Verteilung D Mitte mit Rinde]],2,FALSE)</f>
        <v>#N/A</v>
      </c>
      <c r="L142">
        <v>133</v>
      </c>
      <c r="M142" t="e">
        <f>INDEX(Stammdaten[Abholzigkeit (mm/lfm)],MATCH(Tabelle9[[#This Row],[Rank]],Stammdaten[Rank Verteilung Abholzigkeit],0))</f>
        <v>#N/A</v>
      </c>
      <c r="N142" t="e">
        <f>VLOOKUP(Tabelle9[[#This Row],[Rank]],Stammdaten[[Rank Verteilung Abholzigkeit]:[Verteilung Abholzigkeit]],2,FALSE)</f>
        <v>#N/A</v>
      </c>
      <c r="S142">
        <v>133</v>
      </c>
      <c r="T142" t="e">
        <f>INDEX(Stammdaten[Krümmung (mm/lfm)],MATCH(Tabelle10[[#This Row],[Rank]],Stammdaten[Rank Verteilung Krümmung],0))</f>
        <v>#N/A</v>
      </c>
      <c r="U142" t="e">
        <f>VLOOKUP(Tabelle10[[#This Row],[Rank]],Stammdaten[[Rank Verteilung Krümmung]:[Verteilung Krümmung]],2,FALSE)</f>
        <v>#N/A</v>
      </c>
      <c r="Z142">
        <v>133</v>
      </c>
      <c r="AA142" t="e">
        <f>INDEX(Stammdaten[Ovalität (']0,1'])],MATCH(Tabelle1014[[#This Row],[Rank]],Stammdaten[Rank Verteilung Ovalität],0))</f>
        <v>#N/A</v>
      </c>
      <c r="AB142" t="e">
        <f>VLOOKUP(Tabelle1014[[#This Row],[Rank]],Stammdaten[[Rank Verteilung Ovalität]:[Verteilung Ovalität]],2,FALSE)</f>
        <v>#N/A</v>
      </c>
    </row>
    <row r="143" spans="5:28" x14ac:dyDescent="0.35">
      <c r="E143">
        <v>134</v>
      </c>
      <c r="F143" t="e">
        <f>INDEX(Stammdaten[D Mitte mit Rinde (mm)],MATCH(Tabelle8[[#This Row],[Rank]],Stammdaten[Rank Verteilung D Mitte mit Rinde],0))</f>
        <v>#N/A</v>
      </c>
      <c r="G143" t="e">
        <f>VLOOKUP(Tabelle8[[#This Row],[Rank]],Stammdaten[[Rank Verteilung D Mitte mit Rinde]:[Verteilung D Mitte mit Rinde]],2,FALSE)</f>
        <v>#N/A</v>
      </c>
      <c r="L143">
        <v>134</v>
      </c>
      <c r="M143" t="e">
        <f>INDEX(Stammdaten[Abholzigkeit (mm/lfm)],MATCH(Tabelle9[[#This Row],[Rank]],Stammdaten[Rank Verteilung Abholzigkeit],0))</f>
        <v>#N/A</v>
      </c>
      <c r="N143" t="e">
        <f>VLOOKUP(Tabelle9[[#This Row],[Rank]],Stammdaten[[Rank Verteilung Abholzigkeit]:[Verteilung Abholzigkeit]],2,FALSE)</f>
        <v>#N/A</v>
      </c>
      <c r="S143">
        <v>134</v>
      </c>
      <c r="T143" t="e">
        <f>INDEX(Stammdaten[Krümmung (mm/lfm)],MATCH(Tabelle10[[#This Row],[Rank]],Stammdaten[Rank Verteilung Krümmung],0))</f>
        <v>#N/A</v>
      </c>
      <c r="U143" t="e">
        <f>VLOOKUP(Tabelle10[[#This Row],[Rank]],Stammdaten[[Rank Verteilung Krümmung]:[Verteilung Krümmung]],2,FALSE)</f>
        <v>#N/A</v>
      </c>
      <c r="Z143">
        <v>134</v>
      </c>
      <c r="AA143" t="e">
        <f>INDEX(Stammdaten[Ovalität (']0,1'])],MATCH(Tabelle1014[[#This Row],[Rank]],Stammdaten[Rank Verteilung Ovalität],0))</f>
        <v>#N/A</v>
      </c>
      <c r="AB143" t="e">
        <f>VLOOKUP(Tabelle1014[[#This Row],[Rank]],Stammdaten[[Rank Verteilung Ovalität]:[Verteilung Ovalität]],2,FALSE)</f>
        <v>#N/A</v>
      </c>
    </row>
    <row r="144" spans="5:28" x14ac:dyDescent="0.35">
      <c r="E144">
        <v>135</v>
      </c>
      <c r="F144" t="e">
        <f>INDEX(Stammdaten[D Mitte mit Rinde (mm)],MATCH(Tabelle8[[#This Row],[Rank]],Stammdaten[Rank Verteilung D Mitte mit Rinde],0))</f>
        <v>#N/A</v>
      </c>
      <c r="G144" t="e">
        <f>VLOOKUP(Tabelle8[[#This Row],[Rank]],Stammdaten[[Rank Verteilung D Mitte mit Rinde]:[Verteilung D Mitte mit Rinde]],2,FALSE)</f>
        <v>#N/A</v>
      </c>
      <c r="L144">
        <v>135</v>
      </c>
      <c r="M144" t="e">
        <f>INDEX(Stammdaten[Abholzigkeit (mm/lfm)],MATCH(Tabelle9[[#This Row],[Rank]],Stammdaten[Rank Verteilung Abholzigkeit],0))</f>
        <v>#N/A</v>
      </c>
      <c r="N144" t="e">
        <f>VLOOKUP(Tabelle9[[#This Row],[Rank]],Stammdaten[[Rank Verteilung Abholzigkeit]:[Verteilung Abholzigkeit]],2,FALSE)</f>
        <v>#N/A</v>
      </c>
      <c r="S144">
        <v>135</v>
      </c>
      <c r="T144" t="e">
        <f>INDEX(Stammdaten[Krümmung (mm/lfm)],MATCH(Tabelle10[[#This Row],[Rank]],Stammdaten[Rank Verteilung Krümmung],0))</f>
        <v>#N/A</v>
      </c>
      <c r="U144" t="e">
        <f>VLOOKUP(Tabelle10[[#This Row],[Rank]],Stammdaten[[Rank Verteilung Krümmung]:[Verteilung Krümmung]],2,FALSE)</f>
        <v>#N/A</v>
      </c>
      <c r="Z144">
        <v>135</v>
      </c>
      <c r="AA144" t="e">
        <f>INDEX(Stammdaten[Ovalität (']0,1'])],MATCH(Tabelle1014[[#This Row],[Rank]],Stammdaten[Rank Verteilung Ovalität],0))</f>
        <v>#N/A</v>
      </c>
      <c r="AB144" t="e">
        <f>VLOOKUP(Tabelle1014[[#This Row],[Rank]],Stammdaten[[Rank Verteilung Ovalität]:[Verteilung Ovalität]],2,FALSE)</f>
        <v>#N/A</v>
      </c>
    </row>
    <row r="145" spans="5:28" x14ac:dyDescent="0.35">
      <c r="E145">
        <v>136</v>
      </c>
      <c r="F145" t="e">
        <f>INDEX(Stammdaten[D Mitte mit Rinde (mm)],MATCH(Tabelle8[[#This Row],[Rank]],Stammdaten[Rank Verteilung D Mitte mit Rinde],0))</f>
        <v>#N/A</v>
      </c>
      <c r="G145" t="e">
        <f>VLOOKUP(Tabelle8[[#This Row],[Rank]],Stammdaten[[Rank Verteilung D Mitte mit Rinde]:[Verteilung D Mitte mit Rinde]],2,FALSE)</f>
        <v>#N/A</v>
      </c>
      <c r="L145">
        <v>136</v>
      </c>
      <c r="M145" t="e">
        <f>INDEX(Stammdaten[Abholzigkeit (mm/lfm)],MATCH(Tabelle9[[#This Row],[Rank]],Stammdaten[Rank Verteilung Abholzigkeit],0))</f>
        <v>#N/A</v>
      </c>
      <c r="N145" t="e">
        <f>VLOOKUP(Tabelle9[[#This Row],[Rank]],Stammdaten[[Rank Verteilung Abholzigkeit]:[Verteilung Abholzigkeit]],2,FALSE)</f>
        <v>#N/A</v>
      </c>
      <c r="S145">
        <v>136</v>
      </c>
      <c r="T145" t="e">
        <f>INDEX(Stammdaten[Krümmung (mm/lfm)],MATCH(Tabelle10[[#This Row],[Rank]],Stammdaten[Rank Verteilung Krümmung],0))</f>
        <v>#N/A</v>
      </c>
      <c r="U145" t="e">
        <f>VLOOKUP(Tabelle10[[#This Row],[Rank]],Stammdaten[[Rank Verteilung Krümmung]:[Verteilung Krümmung]],2,FALSE)</f>
        <v>#N/A</v>
      </c>
      <c r="Z145">
        <v>136</v>
      </c>
      <c r="AA145" t="e">
        <f>INDEX(Stammdaten[Ovalität (']0,1'])],MATCH(Tabelle1014[[#This Row],[Rank]],Stammdaten[Rank Verteilung Ovalität],0))</f>
        <v>#N/A</v>
      </c>
      <c r="AB145" t="e">
        <f>VLOOKUP(Tabelle1014[[#This Row],[Rank]],Stammdaten[[Rank Verteilung Ovalität]:[Verteilung Ovalität]],2,FALSE)</f>
        <v>#N/A</v>
      </c>
    </row>
    <row r="146" spans="5:28" x14ac:dyDescent="0.35">
      <c r="E146">
        <v>137</v>
      </c>
      <c r="F146" t="e">
        <f>INDEX(Stammdaten[D Mitte mit Rinde (mm)],MATCH(Tabelle8[[#This Row],[Rank]],Stammdaten[Rank Verteilung D Mitte mit Rinde],0))</f>
        <v>#N/A</v>
      </c>
      <c r="G146" t="e">
        <f>VLOOKUP(Tabelle8[[#This Row],[Rank]],Stammdaten[[Rank Verteilung D Mitte mit Rinde]:[Verteilung D Mitte mit Rinde]],2,FALSE)</f>
        <v>#N/A</v>
      </c>
      <c r="L146">
        <v>137</v>
      </c>
      <c r="M146" t="e">
        <f>INDEX(Stammdaten[Abholzigkeit (mm/lfm)],MATCH(Tabelle9[[#This Row],[Rank]],Stammdaten[Rank Verteilung Abholzigkeit],0))</f>
        <v>#N/A</v>
      </c>
      <c r="N146" t="e">
        <f>VLOOKUP(Tabelle9[[#This Row],[Rank]],Stammdaten[[Rank Verteilung Abholzigkeit]:[Verteilung Abholzigkeit]],2,FALSE)</f>
        <v>#N/A</v>
      </c>
      <c r="S146">
        <v>137</v>
      </c>
      <c r="T146" t="e">
        <f>INDEX(Stammdaten[Krümmung (mm/lfm)],MATCH(Tabelle10[[#This Row],[Rank]],Stammdaten[Rank Verteilung Krümmung],0))</f>
        <v>#N/A</v>
      </c>
      <c r="U146" t="e">
        <f>VLOOKUP(Tabelle10[[#This Row],[Rank]],Stammdaten[[Rank Verteilung Krümmung]:[Verteilung Krümmung]],2,FALSE)</f>
        <v>#N/A</v>
      </c>
      <c r="Z146">
        <v>137</v>
      </c>
      <c r="AA146" t="e">
        <f>INDEX(Stammdaten[Ovalität (']0,1'])],MATCH(Tabelle1014[[#This Row],[Rank]],Stammdaten[Rank Verteilung Ovalität],0))</f>
        <v>#N/A</v>
      </c>
      <c r="AB146" t="e">
        <f>VLOOKUP(Tabelle1014[[#This Row],[Rank]],Stammdaten[[Rank Verteilung Ovalität]:[Verteilung Ovalität]],2,FALSE)</f>
        <v>#N/A</v>
      </c>
    </row>
    <row r="147" spans="5:28" x14ac:dyDescent="0.35">
      <c r="E147">
        <v>138</v>
      </c>
      <c r="F147" t="e">
        <f>INDEX(Stammdaten[D Mitte mit Rinde (mm)],MATCH(Tabelle8[[#This Row],[Rank]],Stammdaten[Rank Verteilung D Mitte mit Rinde],0))</f>
        <v>#N/A</v>
      </c>
      <c r="G147" t="e">
        <f>VLOOKUP(Tabelle8[[#This Row],[Rank]],Stammdaten[[Rank Verteilung D Mitte mit Rinde]:[Verteilung D Mitte mit Rinde]],2,FALSE)</f>
        <v>#N/A</v>
      </c>
      <c r="L147">
        <v>138</v>
      </c>
      <c r="M147" t="e">
        <f>INDEX(Stammdaten[Abholzigkeit (mm/lfm)],MATCH(Tabelle9[[#This Row],[Rank]],Stammdaten[Rank Verteilung Abholzigkeit],0))</f>
        <v>#N/A</v>
      </c>
      <c r="N147" t="e">
        <f>VLOOKUP(Tabelle9[[#This Row],[Rank]],Stammdaten[[Rank Verteilung Abholzigkeit]:[Verteilung Abholzigkeit]],2,FALSE)</f>
        <v>#N/A</v>
      </c>
      <c r="S147">
        <v>138</v>
      </c>
      <c r="T147" t="e">
        <f>INDEX(Stammdaten[Krümmung (mm/lfm)],MATCH(Tabelle10[[#This Row],[Rank]],Stammdaten[Rank Verteilung Krümmung],0))</f>
        <v>#N/A</v>
      </c>
      <c r="U147" t="e">
        <f>VLOOKUP(Tabelle10[[#This Row],[Rank]],Stammdaten[[Rank Verteilung Krümmung]:[Verteilung Krümmung]],2,FALSE)</f>
        <v>#N/A</v>
      </c>
      <c r="Z147">
        <v>138</v>
      </c>
      <c r="AA147" t="e">
        <f>INDEX(Stammdaten[Ovalität (']0,1'])],MATCH(Tabelle1014[[#This Row],[Rank]],Stammdaten[Rank Verteilung Ovalität],0))</f>
        <v>#N/A</v>
      </c>
      <c r="AB147" t="e">
        <f>VLOOKUP(Tabelle1014[[#This Row],[Rank]],Stammdaten[[Rank Verteilung Ovalität]:[Verteilung Ovalität]],2,FALSE)</f>
        <v>#N/A</v>
      </c>
    </row>
    <row r="148" spans="5:28" x14ac:dyDescent="0.35">
      <c r="E148">
        <v>139</v>
      </c>
      <c r="F148" t="e">
        <f>INDEX(Stammdaten[D Mitte mit Rinde (mm)],MATCH(Tabelle8[[#This Row],[Rank]],Stammdaten[Rank Verteilung D Mitte mit Rinde],0))</f>
        <v>#N/A</v>
      </c>
      <c r="G148" t="e">
        <f>VLOOKUP(Tabelle8[[#This Row],[Rank]],Stammdaten[[Rank Verteilung D Mitte mit Rinde]:[Verteilung D Mitte mit Rinde]],2,FALSE)</f>
        <v>#N/A</v>
      </c>
      <c r="L148">
        <v>139</v>
      </c>
      <c r="M148" t="e">
        <f>INDEX(Stammdaten[Abholzigkeit (mm/lfm)],MATCH(Tabelle9[[#This Row],[Rank]],Stammdaten[Rank Verteilung Abholzigkeit],0))</f>
        <v>#N/A</v>
      </c>
      <c r="N148" t="e">
        <f>VLOOKUP(Tabelle9[[#This Row],[Rank]],Stammdaten[[Rank Verteilung Abholzigkeit]:[Verteilung Abholzigkeit]],2,FALSE)</f>
        <v>#N/A</v>
      </c>
      <c r="S148">
        <v>139</v>
      </c>
      <c r="T148" t="e">
        <f>INDEX(Stammdaten[Krümmung (mm/lfm)],MATCH(Tabelle10[[#This Row],[Rank]],Stammdaten[Rank Verteilung Krümmung],0))</f>
        <v>#N/A</v>
      </c>
      <c r="U148" t="e">
        <f>VLOOKUP(Tabelle10[[#This Row],[Rank]],Stammdaten[[Rank Verteilung Krümmung]:[Verteilung Krümmung]],2,FALSE)</f>
        <v>#N/A</v>
      </c>
      <c r="Z148">
        <v>139</v>
      </c>
      <c r="AA148" t="e">
        <f>INDEX(Stammdaten[Ovalität (']0,1'])],MATCH(Tabelle1014[[#This Row],[Rank]],Stammdaten[Rank Verteilung Ovalität],0))</f>
        <v>#N/A</v>
      </c>
      <c r="AB148" t="e">
        <f>VLOOKUP(Tabelle1014[[#This Row],[Rank]],Stammdaten[[Rank Verteilung Ovalität]:[Verteilung Ovalität]],2,FALSE)</f>
        <v>#N/A</v>
      </c>
    </row>
    <row r="149" spans="5:28" x14ac:dyDescent="0.35">
      <c r="E149">
        <v>140</v>
      </c>
      <c r="F149" t="e">
        <f>INDEX(Stammdaten[D Mitte mit Rinde (mm)],MATCH(Tabelle8[[#This Row],[Rank]],Stammdaten[Rank Verteilung D Mitte mit Rinde],0))</f>
        <v>#N/A</v>
      </c>
      <c r="G149" t="e">
        <f>VLOOKUP(Tabelle8[[#This Row],[Rank]],Stammdaten[[Rank Verteilung D Mitte mit Rinde]:[Verteilung D Mitte mit Rinde]],2,FALSE)</f>
        <v>#N/A</v>
      </c>
      <c r="L149">
        <v>140</v>
      </c>
      <c r="M149" t="e">
        <f>INDEX(Stammdaten[Abholzigkeit (mm/lfm)],MATCH(Tabelle9[[#This Row],[Rank]],Stammdaten[Rank Verteilung Abholzigkeit],0))</f>
        <v>#N/A</v>
      </c>
      <c r="N149" t="e">
        <f>VLOOKUP(Tabelle9[[#This Row],[Rank]],Stammdaten[[Rank Verteilung Abholzigkeit]:[Verteilung Abholzigkeit]],2,FALSE)</f>
        <v>#N/A</v>
      </c>
      <c r="S149">
        <v>140</v>
      </c>
      <c r="T149" t="e">
        <f>INDEX(Stammdaten[Krümmung (mm/lfm)],MATCH(Tabelle10[[#This Row],[Rank]],Stammdaten[Rank Verteilung Krümmung],0))</f>
        <v>#N/A</v>
      </c>
      <c r="U149" t="e">
        <f>VLOOKUP(Tabelle10[[#This Row],[Rank]],Stammdaten[[Rank Verteilung Krümmung]:[Verteilung Krümmung]],2,FALSE)</f>
        <v>#N/A</v>
      </c>
      <c r="Z149">
        <v>140</v>
      </c>
      <c r="AA149" t="e">
        <f>INDEX(Stammdaten[Ovalität (']0,1'])],MATCH(Tabelle1014[[#This Row],[Rank]],Stammdaten[Rank Verteilung Ovalität],0))</f>
        <v>#N/A</v>
      </c>
      <c r="AB149" t="e">
        <f>VLOOKUP(Tabelle1014[[#This Row],[Rank]],Stammdaten[[Rank Verteilung Ovalität]:[Verteilung Ovalität]],2,FALSE)</f>
        <v>#N/A</v>
      </c>
    </row>
    <row r="150" spans="5:28" x14ac:dyDescent="0.35">
      <c r="E150">
        <v>141</v>
      </c>
      <c r="F150" t="e">
        <f>INDEX(Stammdaten[D Mitte mit Rinde (mm)],MATCH(Tabelle8[[#This Row],[Rank]],Stammdaten[Rank Verteilung D Mitte mit Rinde],0))</f>
        <v>#N/A</v>
      </c>
      <c r="G150" t="e">
        <f>VLOOKUP(Tabelle8[[#This Row],[Rank]],Stammdaten[[Rank Verteilung D Mitte mit Rinde]:[Verteilung D Mitte mit Rinde]],2,FALSE)</f>
        <v>#N/A</v>
      </c>
      <c r="L150">
        <v>141</v>
      </c>
      <c r="M150" t="e">
        <f>INDEX(Stammdaten[Abholzigkeit (mm/lfm)],MATCH(Tabelle9[[#This Row],[Rank]],Stammdaten[Rank Verteilung Abholzigkeit],0))</f>
        <v>#N/A</v>
      </c>
      <c r="N150" t="e">
        <f>VLOOKUP(Tabelle9[[#This Row],[Rank]],Stammdaten[[Rank Verteilung Abholzigkeit]:[Verteilung Abholzigkeit]],2,FALSE)</f>
        <v>#N/A</v>
      </c>
      <c r="S150">
        <v>141</v>
      </c>
      <c r="T150" t="e">
        <f>INDEX(Stammdaten[Krümmung (mm/lfm)],MATCH(Tabelle10[[#This Row],[Rank]],Stammdaten[Rank Verteilung Krümmung],0))</f>
        <v>#N/A</v>
      </c>
      <c r="U150" t="e">
        <f>VLOOKUP(Tabelle10[[#This Row],[Rank]],Stammdaten[[Rank Verteilung Krümmung]:[Verteilung Krümmung]],2,FALSE)</f>
        <v>#N/A</v>
      </c>
      <c r="Z150">
        <v>141</v>
      </c>
      <c r="AA150" t="e">
        <f>INDEX(Stammdaten[Ovalität (']0,1'])],MATCH(Tabelle1014[[#This Row],[Rank]],Stammdaten[Rank Verteilung Ovalität],0))</f>
        <v>#N/A</v>
      </c>
      <c r="AB150" t="e">
        <f>VLOOKUP(Tabelle1014[[#This Row],[Rank]],Stammdaten[[Rank Verteilung Ovalität]:[Verteilung Ovalität]],2,FALSE)</f>
        <v>#N/A</v>
      </c>
    </row>
    <row r="151" spans="5:28" x14ac:dyDescent="0.35">
      <c r="E151">
        <v>142</v>
      </c>
      <c r="F151" t="e">
        <f>INDEX(Stammdaten[D Mitte mit Rinde (mm)],MATCH(Tabelle8[[#This Row],[Rank]],Stammdaten[Rank Verteilung D Mitte mit Rinde],0))</f>
        <v>#N/A</v>
      </c>
      <c r="G151" t="e">
        <f>VLOOKUP(Tabelle8[[#This Row],[Rank]],Stammdaten[[Rank Verteilung D Mitte mit Rinde]:[Verteilung D Mitte mit Rinde]],2,FALSE)</f>
        <v>#N/A</v>
      </c>
      <c r="L151">
        <v>142</v>
      </c>
      <c r="M151" t="e">
        <f>INDEX(Stammdaten[Abholzigkeit (mm/lfm)],MATCH(Tabelle9[[#This Row],[Rank]],Stammdaten[Rank Verteilung Abholzigkeit],0))</f>
        <v>#N/A</v>
      </c>
      <c r="N151" t="e">
        <f>VLOOKUP(Tabelle9[[#This Row],[Rank]],Stammdaten[[Rank Verteilung Abholzigkeit]:[Verteilung Abholzigkeit]],2,FALSE)</f>
        <v>#N/A</v>
      </c>
      <c r="S151">
        <v>142</v>
      </c>
      <c r="T151" t="e">
        <f>INDEX(Stammdaten[Krümmung (mm/lfm)],MATCH(Tabelle10[[#This Row],[Rank]],Stammdaten[Rank Verteilung Krümmung],0))</f>
        <v>#N/A</v>
      </c>
      <c r="U151" t="e">
        <f>VLOOKUP(Tabelle10[[#This Row],[Rank]],Stammdaten[[Rank Verteilung Krümmung]:[Verteilung Krümmung]],2,FALSE)</f>
        <v>#N/A</v>
      </c>
      <c r="Z151">
        <v>142</v>
      </c>
      <c r="AA151" t="e">
        <f>INDEX(Stammdaten[Ovalität (']0,1'])],MATCH(Tabelle1014[[#This Row],[Rank]],Stammdaten[Rank Verteilung Ovalität],0))</f>
        <v>#N/A</v>
      </c>
      <c r="AB151" t="e">
        <f>VLOOKUP(Tabelle1014[[#This Row],[Rank]],Stammdaten[[Rank Verteilung Ovalität]:[Verteilung Ovalität]],2,FALSE)</f>
        <v>#N/A</v>
      </c>
    </row>
    <row r="152" spans="5:28" x14ac:dyDescent="0.35">
      <c r="E152">
        <v>143</v>
      </c>
      <c r="F152" t="e">
        <f>INDEX(Stammdaten[D Mitte mit Rinde (mm)],MATCH(Tabelle8[[#This Row],[Rank]],Stammdaten[Rank Verteilung D Mitte mit Rinde],0))</f>
        <v>#N/A</v>
      </c>
      <c r="G152" t="e">
        <f>VLOOKUP(Tabelle8[[#This Row],[Rank]],Stammdaten[[Rank Verteilung D Mitte mit Rinde]:[Verteilung D Mitte mit Rinde]],2,FALSE)</f>
        <v>#N/A</v>
      </c>
      <c r="L152">
        <v>143</v>
      </c>
      <c r="M152" t="e">
        <f>INDEX(Stammdaten[Abholzigkeit (mm/lfm)],MATCH(Tabelle9[[#This Row],[Rank]],Stammdaten[Rank Verteilung Abholzigkeit],0))</f>
        <v>#N/A</v>
      </c>
      <c r="N152" t="e">
        <f>VLOOKUP(Tabelle9[[#This Row],[Rank]],Stammdaten[[Rank Verteilung Abholzigkeit]:[Verteilung Abholzigkeit]],2,FALSE)</f>
        <v>#N/A</v>
      </c>
      <c r="S152">
        <v>143</v>
      </c>
      <c r="T152" t="e">
        <f>INDEX(Stammdaten[Krümmung (mm/lfm)],MATCH(Tabelle10[[#This Row],[Rank]],Stammdaten[Rank Verteilung Krümmung],0))</f>
        <v>#N/A</v>
      </c>
      <c r="U152" t="e">
        <f>VLOOKUP(Tabelle10[[#This Row],[Rank]],Stammdaten[[Rank Verteilung Krümmung]:[Verteilung Krümmung]],2,FALSE)</f>
        <v>#N/A</v>
      </c>
      <c r="Z152">
        <v>143</v>
      </c>
      <c r="AA152" t="e">
        <f>INDEX(Stammdaten[Ovalität (']0,1'])],MATCH(Tabelle1014[[#This Row],[Rank]],Stammdaten[Rank Verteilung Ovalität],0))</f>
        <v>#N/A</v>
      </c>
      <c r="AB152" t="e">
        <f>VLOOKUP(Tabelle1014[[#This Row],[Rank]],Stammdaten[[Rank Verteilung Ovalität]:[Verteilung Ovalität]],2,FALSE)</f>
        <v>#N/A</v>
      </c>
    </row>
    <row r="153" spans="5:28" x14ac:dyDescent="0.35">
      <c r="E153">
        <v>144</v>
      </c>
      <c r="F153" t="e">
        <f>INDEX(Stammdaten[D Mitte mit Rinde (mm)],MATCH(Tabelle8[[#This Row],[Rank]],Stammdaten[Rank Verteilung D Mitte mit Rinde],0))</f>
        <v>#N/A</v>
      </c>
      <c r="G153" t="e">
        <f>VLOOKUP(Tabelle8[[#This Row],[Rank]],Stammdaten[[Rank Verteilung D Mitte mit Rinde]:[Verteilung D Mitte mit Rinde]],2,FALSE)</f>
        <v>#N/A</v>
      </c>
      <c r="L153">
        <v>144</v>
      </c>
      <c r="M153" t="e">
        <f>INDEX(Stammdaten[Abholzigkeit (mm/lfm)],MATCH(Tabelle9[[#This Row],[Rank]],Stammdaten[Rank Verteilung Abholzigkeit],0))</f>
        <v>#N/A</v>
      </c>
      <c r="N153" t="e">
        <f>VLOOKUP(Tabelle9[[#This Row],[Rank]],Stammdaten[[Rank Verteilung Abholzigkeit]:[Verteilung Abholzigkeit]],2,FALSE)</f>
        <v>#N/A</v>
      </c>
      <c r="S153">
        <v>144</v>
      </c>
      <c r="T153" t="e">
        <f>INDEX(Stammdaten[Krümmung (mm/lfm)],MATCH(Tabelle10[[#This Row],[Rank]],Stammdaten[Rank Verteilung Krümmung],0))</f>
        <v>#N/A</v>
      </c>
      <c r="U153" t="e">
        <f>VLOOKUP(Tabelle10[[#This Row],[Rank]],Stammdaten[[Rank Verteilung Krümmung]:[Verteilung Krümmung]],2,FALSE)</f>
        <v>#N/A</v>
      </c>
      <c r="Z153">
        <v>144</v>
      </c>
      <c r="AA153" t="e">
        <f>INDEX(Stammdaten[Ovalität (']0,1'])],MATCH(Tabelle1014[[#This Row],[Rank]],Stammdaten[Rank Verteilung Ovalität],0))</f>
        <v>#N/A</v>
      </c>
      <c r="AB153" t="e">
        <f>VLOOKUP(Tabelle1014[[#This Row],[Rank]],Stammdaten[[Rank Verteilung Ovalität]:[Verteilung Ovalität]],2,FALSE)</f>
        <v>#N/A</v>
      </c>
    </row>
    <row r="154" spans="5:28" x14ac:dyDescent="0.35">
      <c r="E154">
        <v>145</v>
      </c>
      <c r="F154" t="e">
        <f>INDEX(Stammdaten[D Mitte mit Rinde (mm)],MATCH(Tabelle8[[#This Row],[Rank]],Stammdaten[Rank Verteilung D Mitte mit Rinde],0))</f>
        <v>#N/A</v>
      </c>
      <c r="G154" t="e">
        <f>VLOOKUP(Tabelle8[[#This Row],[Rank]],Stammdaten[[Rank Verteilung D Mitte mit Rinde]:[Verteilung D Mitte mit Rinde]],2,FALSE)</f>
        <v>#N/A</v>
      </c>
      <c r="L154">
        <v>145</v>
      </c>
      <c r="M154" t="e">
        <f>INDEX(Stammdaten[Abholzigkeit (mm/lfm)],MATCH(Tabelle9[[#This Row],[Rank]],Stammdaten[Rank Verteilung Abholzigkeit],0))</f>
        <v>#N/A</v>
      </c>
      <c r="N154" t="e">
        <f>VLOOKUP(Tabelle9[[#This Row],[Rank]],Stammdaten[[Rank Verteilung Abholzigkeit]:[Verteilung Abholzigkeit]],2,FALSE)</f>
        <v>#N/A</v>
      </c>
      <c r="S154">
        <v>145</v>
      </c>
      <c r="T154" t="e">
        <f>INDEX(Stammdaten[Krümmung (mm/lfm)],MATCH(Tabelle10[[#This Row],[Rank]],Stammdaten[Rank Verteilung Krümmung],0))</f>
        <v>#N/A</v>
      </c>
      <c r="U154" t="e">
        <f>VLOOKUP(Tabelle10[[#This Row],[Rank]],Stammdaten[[Rank Verteilung Krümmung]:[Verteilung Krümmung]],2,FALSE)</f>
        <v>#N/A</v>
      </c>
      <c r="Z154">
        <v>145</v>
      </c>
      <c r="AA154" t="e">
        <f>INDEX(Stammdaten[Ovalität (']0,1'])],MATCH(Tabelle1014[[#This Row],[Rank]],Stammdaten[Rank Verteilung Ovalität],0))</f>
        <v>#N/A</v>
      </c>
      <c r="AB154" t="e">
        <f>VLOOKUP(Tabelle1014[[#This Row],[Rank]],Stammdaten[[Rank Verteilung Ovalität]:[Verteilung Ovalität]],2,FALSE)</f>
        <v>#N/A</v>
      </c>
    </row>
    <row r="155" spans="5:28" x14ac:dyDescent="0.35">
      <c r="E155">
        <v>146</v>
      </c>
      <c r="F155" t="e">
        <f>INDEX(Stammdaten[D Mitte mit Rinde (mm)],MATCH(Tabelle8[[#This Row],[Rank]],Stammdaten[Rank Verteilung D Mitte mit Rinde],0))</f>
        <v>#N/A</v>
      </c>
      <c r="G155" t="e">
        <f>VLOOKUP(Tabelle8[[#This Row],[Rank]],Stammdaten[[Rank Verteilung D Mitte mit Rinde]:[Verteilung D Mitte mit Rinde]],2,FALSE)</f>
        <v>#N/A</v>
      </c>
      <c r="L155">
        <v>146</v>
      </c>
      <c r="M155" t="e">
        <f>INDEX(Stammdaten[Abholzigkeit (mm/lfm)],MATCH(Tabelle9[[#This Row],[Rank]],Stammdaten[Rank Verteilung Abholzigkeit],0))</f>
        <v>#N/A</v>
      </c>
      <c r="N155" t="e">
        <f>VLOOKUP(Tabelle9[[#This Row],[Rank]],Stammdaten[[Rank Verteilung Abholzigkeit]:[Verteilung Abholzigkeit]],2,FALSE)</f>
        <v>#N/A</v>
      </c>
      <c r="S155">
        <v>146</v>
      </c>
      <c r="T155" t="e">
        <f>INDEX(Stammdaten[Krümmung (mm/lfm)],MATCH(Tabelle10[[#This Row],[Rank]],Stammdaten[Rank Verteilung Krümmung],0))</f>
        <v>#N/A</v>
      </c>
      <c r="U155" t="e">
        <f>VLOOKUP(Tabelle10[[#This Row],[Rank]],Stammdaten[[Rank Verteilung Krümmung]:[Verteilung Krümmung]],2,FALSE)</f>
        <v>#N/A</v>
      </c>
      <c r="Z155">
        <v>146</v>
      </c>
      <c r="AA155" t="e">
        <f>INDEX(Stammdaten[Ovalität (']0,1'])],MATCH(Tabelle1014[[#This Row],[Rank]],Stammdaten[Rank Verteilung Ovalität],0))</f>
        <v>#N/A</v>
      </c>
      <c r="AB155" t="e">
        <f>VLOOKUP(Tabelle1014[[#This Row],[Rank]],Stammdaten[[Rank Verteilung Ovalität]:[Verteilung Ovalität]],2,FALSE)</f>
        <v>#N/A</v>
      </c>
    </row>
    <row r="156" spans="5:28" x14ac:dyDescent="0.35">
      <c r="E156">
        <v>147</v>
      </c>
      <c r="F156" t="e">
        <f>INDEX(Stammdaten[D Mitte mit Rinde (mm)],MATCH(Tabelle8[[#This Row],[Rank]],Stammdaten[Rank Verteilung D Mitte mit Rinde],0))</f>
        <v>#N/A</v>
      </c>
      <c r="G156" t="e">
        <f>VLOOKUP(Tabelle8[[#This Row],[Rank]],Stammdaten[[Rank Verteilung D Mitte mit Rinde]:[Verteilung D Mitte mit Rinde]],2,FALSE)</f>
        <v>#N/A</v>
      </c>
      <c r="L156">
        <v>147</v>
      </c>
      <c r="M156" t="e">
        <f>INDEX(Stammdaten[Abholzigkeit (mm/lfm)],MATCH(Tabelle9[[#This Row],[Rank]],Stammdaten[Rank Verteilung Abholzigkeit],0))</f>
        <v>#N/A</v>
      </c>
      <c r="N156" t="e">
        <f>VLOOKUP(Tabelle9[[#This Row],[Rank]],Stammdaten[[Rank Verteilung Abholzigkeit]:[Verteilung Abholzigkeit]],2,FALSE)</f>
        <v>#N/A</v>
      </c>
      <c r="S156">
        <v>147</v>
      </c>
      <c r="T156" t="e">
        <f>INDEX(Stammdaten[Krümmung (mm/lfm)],MATCH(Tabelle10[[#This Row],[Rank]],Stammdaten[Rank Verteilung Krümmung],0))</f>
        <v>#N/A</v>
      </c>
      <c r="U156" t="e">
        <f>VLOOKUP(Tabelle10[[#This Row],[Rank]],Stammdaten[[Rank Verteilung Krümmung]:[Verteilung Krümmung]],2,FALSE)</f>
        <v>#N/A</v>
      </c>
      <c r="Z156">
        <v>147</v>
      </c>
      <c r="AA156" t="e">
        <f>INDEX(Stammdaten[Ovalität (']0,1'])],MATCH(Tabelle1014[[#This Row],[Rank]],Stammdaten[Rank Verteilung Ovalität],0))</f>
        <v>#N/A</v>
      </c>
      <c r="AB156" t="e">
        <f>VLOOKUP(Tabelle1014[[#This Row],[Rank]],Stammdaten[[Rank Verteilung Ovalität]:[Verteilung Ovalität]],2,FALSE)</f>
        <v>#N/A</v>
      </c>
    </row>
    <row r="157" spans="5:28" x14ac:dyDescent="0.35">
      <c r="E157">
        <v>148</v>
      </c>
      <c r="F157" t="e">
        <f>INDEX(Stammdaten[D Mitte mit Rinde (mm)],MATCH(Tabelle8[[#This Row],[Rank]],Stammdaten[Rank Verteilung D Mitte mit Rinde],0))</f>
        <v>#N/A</v>
      </c>
      <c r="G157" t="e">
        <f>VLOOKUP(Tabelle8[[#This Row],[Rank]],Stammdaten[[Rank Verteilung D Mitte mit Rinde]:[Verteilung D Mitte mit Rinde]],2,FALSE)</f>
        <v>#N/A</v>
      </c>
      <c r="L157">
        <v>148</v>
      </c>
      <c r="M157" t="e">
        <f>INDEX(Stammdaten[Abholzigkeit (mm/lfm)],MATCH(Tabelle9[[#This Row],[Rank]],Stammdaten[Rank Verteilung Abholzigkeit],0))</f>
        <v>#N/A</v>
      </c>
      <c r="N157" t="e">
        <f>VLOOKUP(Tabelle9[[#This Row],[Rank]],Stammdaten[[Rank Verteilung Abholzigkeit]:[Verteilung Abholzigkeit]],2,FALSE)</f>
        <v>#N/A</v>
      </c>
      <c r="S157">
        <v>148</v>
      </c>
      <c r="T157" t="e">
        <f>INDEX(Stammdaten[Krümmung (mm/lfm)],MATCH(Tabelle10[[#This Row],[Rank]],Stammdaten[Rank Verteilung Krümmung],0))</f>
        <v>#N/A</v>
      </c>
      <c r="U157" t="e">
        <f>VLOOKUP(Tabelle10[[#This Row],[Rank]],Stammdaten[[Rank Verteilung Krümmung]:[Verteilung Krümmung]],2,FALSE)</f>
        <v>#N/A</v>
      </c>
      <c r="Z157">
        <v>148</v>
      </c>
      <c r="AA157" t="e">
        <f>INDEX(Stammdaten[Ovalität (']0,1'])],MATCH(Tabelle1014[[#This Row],[Rank]],Stammdaten[Rank Verteilung Ovalität],0))</f>
        <v>#N/A</v>
      </c>
      <c r="AB157" t="e">
        <f>VLOOKUP(Tabelle1014[[#This Row],[Rank]],Stammdaten[[Rank Verteilung Ovalität]:[Verteilung Ovalität]],2,FALSE)</f>
        <v>#N/A</v>
      </c>
    </row>
    <row r="158" spans="5:28" x14ac:dyDescent="0.35">
      <c r="E158">
        <v>149</v>
      </c>
      <c r="F158" t="e">
        <f>INDEX(Stammdaten[D Mitte mit Rinde (mm)],MATCH(Tabelle8[[#This Row],[Rank]],Stammdaten[Rank Verteilung D Mitte mit Rinde],0))</f>
        <v>#N/A</v>
      </c>
      <c r="G158" t="e">
        <f>VLOOKUP(Tabelle8[[#This Row],[Rank]],Stammdaten[[Rank Verteilung D Mitte mit Rinde]:[Verteilung D Mitte mit Rinde]],2,FALSE)</f>
        <v>#N/A</v>
      </c>
      <c r="L158">
        <v>149</v>
      </c>
      <c r="M158" t="e">
        <f>INDEX(Stammdaten[Abholzigkeit (mm/lfm)],MATCH(Tabelle9[[#This Row],[Rank]],Stammdaten[Rank Verteilung Abholzigkeit],0))</f>
        <v>#N/A</v>
      </c>
      <c r="N158" t="e">
        <f>VLOOKUP(Tabelle9[[#This Row],[Rank]],Stammdaten[[Rank Verteilung Abholzigkeit]:[Verteilung Abholzigkeit]],2,FALSE)</f>
        <v>#N/A</v>
      </c>
      <c r="S158">
        <v>149</v>
      </c>
      <c r="T158" t="e">
        <f>INDEX(Stammdaten[Krümmung (mm/lfm)],MATCH(Tabelle10[[#This Row],[Rank]],Stammdaten[Rank Verteilung Krümmung],0))</f>
        <v>#N/A</v>
      </c>
      <c r="U158" t="e">
        <f>VLOOKUP(Tabelle10[[#This Row],[Rank]],Stammdaten[[Rank Verteilung Krümmung]:[Verteilung Krümmung]],2,FALSE)</f>
        <v>#N/A</v>
      </c>
      <c r="Z158">
        <v>149</v>
      </c>
      <c r="AA158" t="e">
        <f>INDEX(Stammdaten[Ovalität (']0,1'])],MATCH(Tabelle1014[[#This Row],[Rank]],Stammdaten[Rank Verteilung Ovalität],0))</f>
        <v>#N/A</v>
      </c>
      <c r="AB158" t="e">
        <f>VLOOKUP(Tabelle1014[[#This Row],[Rank]],Stammdaten[[Rank Verteilung Ovalität]:[Verteilung Ovalität]],2,FALSE)</f>
        <v>#N/A</v>
      </c>
    </row>
    <row r="159" spans="5:28" x14ac:dyDescent="0.35">
      <c r="E159">
        <v>150</v>
      </c>
      <c r="F159" t="e">
        <f>INDEX(Stammdaten[D Mitte mit Rinde (mm)],MATCH(Tabelle8[[#This Row],[Rank]],Stammdaten[Rank Verteilung D Mitte mit Rinde],0))</f>
        <v>#N/A</v>
      </c>
      <c r="G159" t="e">
        <f>VLOOKUP(Tabelle8[[#This Row],[Rank]],Stammdaten[[Rank Verteilung D Mitte mit Rinde]:[Verteilung D Mitte mit Rinde]],2,FALSE)</f>
        <v>#N/A</v>
      </c>
      <c r="L159">
        <v>150</v>
      </c>
      <c r="M159" t="e">
        <f>INDEX(Stammdaten[Abholzigkeit (mm/lfm)],MATCH(Tabelle9[[#This Row],[Rank]],Stammdaten[Rank Verteilung Abholzigkeit],0))</f>
        <v>#N/A</v>
      </c>
      <c r="N159" t="e">
        <f>VLOOKUP(Tabelle9[[#This Row],[Rank]],Stammdaten[[Rank Verteilung Abholzigkeit]:[Verteilung Abholzigkeit]],2,FALSE)</f>
        <v>#N/A</v>
      </c>
      <c r="S159">
        <v>150</v>
      </c>
      <c r="T159" t="e">
        <f>INDEX(Stammdaten[Krümmung (mm/lfm)],MATCH(Tabelle10[[#This Row],[Rank]],Stammdaten[Rank Verteilung Krümmung],0))</f>
        <v>#N/A</v>
      </c>
      <c r="U159" t="e">
        <f>VLOOKUP(Tabelle10[[#This Row],[Rank]],Stammdaten[[Rank Verteilung Krümmung]:[Verteilung Krümmung]],2,FALSE)</f>
        <v>#N/A</v>
      </c>
      <c r="Z159">
        <v>150</v>
      </c>
      <c r="AA159" t="e">
        <f>INDEX(Stammdaten[Ovalität (']0,1'])],MATCH(Tabelle1014[[#This Row],[Rank]],Stammdaten[Rank Verteilung Ovalität],0))</f>
        <v>#N/A</v>
      </c>
      <c r="AB159" t="e">
        <f>VLOOKUP(Tabelle1014[[#This Row],[Rank]],Stammdaten[[Rank Verteilung Ovalität]:[Verteilung Ovalität]],2,FALSE)</f>
        <v>#N/A</v>
      </c>
    </row>
    <row r="160" spans="5:28" x14ac:dyDescent="0.35">
      <c r="E160">
        <v>151</v>
      </c>
      <c r="F160" t="e">
        <f>INDEX(Stammdaten[D Mitte mit Rinde (mm)],MATCH(Tabelle8[[#This Row],[Rank]],Stammdaten[Rank Verteilung D Mitte mit Rinde],0))</f>
        <v>#N/A</v>
      </c>
      <c r="G160" t="e">
        <f>VLOOKUP(Tabelle8[[#This Row],[Rank]],Stammdaten[[Rank Verteilung D Mitte mit Rinde]:[Verteilung D Mitte mit Rinde]],2,FALSE)</f>
        <v>#N/A</v>
      </c>
      <c r="L160">
        <v>151</v>
      </c>
      <c r="M160" t="e">
        <f>INDEX(Stammdaten[Abholzigkeit (mm/lfm)],MATCH(Tabelle9[[#This Row],[Rank]],Stammdaten[Rank Verteilung Abholzigkeit],0))</f>
        <v>#N/A</v>
      </c>
      <c r="N160" t="e">
        <f>VLOOKUP(Tabelle9[[#This Row],[Rank]],Stammdaten[[Rank Verteilung Abholzigkeit]:[Verteilung Abholzigkeit]],2,FALSE)</f>
        <v>#N/A</v>
      </c>
      <c r="S160">
        <v>151</v>
      </c>
      <c r="T160" t="e">
        <f>INDEX(Stammdaten[Krümmung (mm/lfm)],MATCH(Tabelle10[[#This Row],[Rank]],Stammdaten[Rank Verteilung Krümmung],0))</f>
        <v>#N/A</v>
      </c>
      <c r="U160" t="e">
        <f>VLOOKUP(Tabelle10[[#This Row],[Rank]],Stammdaten[[Rank Verteilung Krümmung]:[Verteilung Krümmung]],2,FALSE)</f>
        <v>#N/A</v>
      </c>
      <c r="Z160">
        <v>151</v>
      </c>
      <c r="AA160" t="e">
        <f>INDEX(Stammdaten[Ovalität (']0,1'])],MATCH(Tabelle1014[[#This Row],[Rank]],Stammdaten[Rank Verteilung Ovalität],0))</f>
        <v>#N/A</v>
      </c>
      <c r="AB160" t="e">
        <f>VLOOKUP(Tabelle1014[[#This Row],[Rank]],Stammdaten[[Rank Verteilung Ovalität]:[Verteilung Ovalität]],2,FALSE)</f>
        <v>#N/A</v>
      </c>
    </row>
    <row r="161" spans="5:28" x14ac:dyDescent="0.35">
      <c r="E161">
        <v>152</v>
      </c>
      <c r="F161" t="e">
        <f>INDEX(Stammdaten[D Mitte mit Rinde (mm)],MATCH(Tabelle8[[#This Row],[Rank]],Stammdaten[Rank Verteilung D Mitte mit Rinde],0))</f>
        <v>#N/A</v>
      </c>
      <c r="G161" t="e">
        <f>VLOOKUP(Tabelle8[[#This Row],[Rank]],Stammdaten[[Rank Verteilung D Mitte mit Rinde]:[Verteilung D Mitte mit Rinde]],2,FALSE)</f>
        <v>#N/A</v>
      </c>
      <c r="L161">
        <v>152</v>
      </c>
      <c r="M161" t="e">
        <f>INDEX(Stammdaten[Abholzigkeit (mm/lfm)],MATCH(Tabelle9[[#This Row],[Rank]],Stammdaten[Rank Verteilung Abholzigkeit],0))</f>
        <v>#N/A</v>
      </c>
      <c r="N161" t="e">
        <f>VLOOKUP(Tabelle9[[#This Row],[Rank]],Stammdaten[[Rank Verteilung Abholzigkeit]:[Verteilung Abholzigkeit]],2,FALSE)</f>
        <v>#N/A</v>
      </c>
      <c r="S161">
        <v>152</v>
      </c>
      <c r="T161" t="e">
        <f>INDEX(Stammdaten[Krümmung (mm/lfm)],MATCH(Tabelle10[[#This Row],[Rank]],Stammdaten[Rank Verteilung Krümmung],0))</f>
        <v>#N/A</v>
      </c>
      <c r="U161" t="e">
        <f>VLOOKUP(Tabelle10[[#This Row],[Rank]],Stammdaten[[Rank Verteilung Krümmung]:[Verteilung Krümmung]],2,FALSE)</f>
        <v>#N/A</v>
      </c>
      <c r="Z161">
        <v>152</v>
      </c>
      <c r="AA161" t="e">
        <f>INDEX(Stammdaten[Ovalität (']0,1'])],MATCH(Tabelle1014[[#This Row],[Rank]],Stammdaten[Rank Verteilung Ovalität],0))</f>
        <v>#N/A</v>
      </c>
      <c r="AB161" t="e">
        <f>VLOOKUP(Tabelle1014[[#This Row],[Rank]],Stammdaten[[Rank Verteilung Ovalität]:[Verteilung Ovalität]],2,FALSE)</f>
        <v>#N/A</v>
      </c>
    </row>
    <row r="162" spans="5:28" x14ac:dyDescent="0.35">
      <c r="E162">
        <v>153</v>
      </c>
      <c r="F162" t="e">
        <f>INDEX(Stammdaten[D Mitte mit Rinde (mm)],MATCH(Tabelle8[[#This Row],[Rank]],Stammdaten[Rank Verteilung D Mitte mit Rinde],0))</f>
        <v>#N/A</v>
      </c>
      <c r="G162" t="e">
        <f>VLOOKUP(Tabelle8[[#This Row],[Rank]],Stammdaten[[Rank Verteilung D Mitte mit Rinde]:[Verteilung D Mitte mit Rinde]],2,FALSE)</f>
        <v>#N/A</v>
      </c>
      <c r="L162">
        <v>153</v>
      </c>
      <c r="M162" t="e">
        <f>INDEX(Stammdaten[Abholzigkeit (mm/lfm)],MATCH(Tabelle9[[#This Row],[Rank]],Stammdaten[Rank Verteilung Abholzigkeit],0))</f>
        <v>#N/A</v>
      </c>
      <c r="N162" t="e">
        <f>VLOOKUP(Tabelle9[[#This Row],[Rank]],Stammdaten[[Rank Verteilung Abholzigkeit]:[Verteilung Abholzigkeit]],2,FALSE)</f>
        <v>#N/A</v>
      </c>
      <c r="S162">
        <v>153</v>
      </c>
      <c r="T162" t="e">
        <f>INDEX(Stammdaten[Krümmung (mm/lfm)],MATCH(Tabelle10[[#This Row],[Rank]],Stammdaten[Rank Verteilung Krümmung],0))</f>
        <v>#N/A</v>
      </c>
      <c r="U162" t="e">
        <f>VLOOKUP(Tabelle10[[#This Row],[Rank]],Stammdaten[[Rank Verteilung Krümmung]:[Verteilung Krümmung]],2,FALSE)</f>
        <v>#N/A</v>
      </c>
      <c r="Z162">
        <v>153</v>
      </c>
      <c r="AA162" t="e">
        <f>INDEX(Stammdaten[Ovalität (']0,1'])],MATCH(Tabelle1014[[#This Row],[Rank]],Stammdaten[Rank Verteilung Ovalität],0))</f>
        <v>#N/A</v>
      </c>
      <c r="AB162" t="e">
        <f>VLOOKUP(Tabelle1014[[#This Row],[Rank]],Stammdaten[[Rank Verteilung Ovalität]:[Verteilung Ovalität]],2,FALSE)</f>
        <v>#N/A</v>
      </c>
    </row>
    <row r="163" spans="5:28" x14ac:dyDescent="0.35">
      <c r="E163">
        <v>154</v>
      </c>
      <c r="F163" t="e">
        <f>INDEX(Stammdaten[D Mitte mit Rinde (mm)],MATCH(Tabelle8[[#This Row],[Rank]],Stammdaten[Rank Verteilung D Mitte mit Rinde],0))</f>
        <v>#N/A</v>
      </c>
      <c r="G163" t="e">
        <f>VLOOKUP(Tabelle8[[#This Row],[Rank]],Stammdaten[[Rank Verteilung D Mitte mit Rinde]:[Verteilung D Mitte mit Rinde]],2,FALSE)</f>
        <v>#N/A</v>
      </c>
      <c r="L163">
        <v>154</v>
      </c>
      <c r="M163" t="e">
        <f>INDEX(Stammdaten[Abholzigkeit (mm/lfm)],MATCH(Tabelle9[[#This Row],[Rank]],Stammdaten[Rank Verteilung Abholzigkeit],0))</f>
        <v>#N/A</v>
      </c>
      <c r="N163" t="e">
        <f>VLOOKUP(Tabelle9[[#This Row],[Rank]],Stammdaten[[Rank Verteilung Abholzigkeit]:[Verteilung Abholzigkeit]],2,FALSE)</f>
        <v>#N/A</v>
      </c>
      <c r="S163">
        <v>154</v>
      </c>
      <c r="T163" t="e">
        <f>INDEX(Stammdaten[Krümmung (mm/lfm)],MATCH(Tabelle10[[#This Row],[Rank]],Stammdaten[Rank Verteilung Krümmung],0))</f>
        <v>#N/A</v>
      </c>
      <c r="U163" t="e">
        <f>VLOOKUP(Tabelle10[[#This Row],[Rank]],Stammdaten[[Rank Verteilung Krümmung]:[Verteilung Krümmung]],2,FALSE)</f>
        <v>#N/A</v>
      </c>
      <c r="Z163">
        <v>154</v>
      </c>
      <c r="AA163" t="e">
        <f>INDEX(Stammdaten[Ovalität (']0,1'])],MATCH(Tabelle1014[[#This Row],[Rank]],Stammdaten[Rank Verteilung Ovalität],0))</f>
        <v>#N/A</v>
      </c>
      <c r="AB163" t="e">
        <f>VLOOKUP(Tabelle1014[[#This Row],[Rank]],Stammdaten[[Rank Verteilung Ovalität]:[Verteilung Ovalität]],2,FALSE)</f>
        <v>#N/A</v>
      </c>
    </row>
    <row r="164" spans="5:28" x14ac:dyDescent="0.35">
      <c r="E164">
        <v>155</v>
      </c>
      <c r="F164" t="e">
        <f>INDEX(Stammdaten[D Mitte mit Rinde (mm)],MATCH(Tabelle8[[#This Row],[Rank]],Stammdaten[Rank Verteilung D Mitte mit Rinde],0))</f>
        <v>#N/A</v>
      </c>
      <c r="G164" t="e">
        <f>VLOOKUP(Tabelle8[[#This Row],[Rank]],Stammdaten[[Rank Verteilung D Mitte mit Rinde]:[Verteilung D Mitte mit Rinde]],2,FALSE)</f>
        <v>#N/A</v>
      </c>
      <c r="L164">
        <v>155</v>
      </c>
      <c r="M164" t="e">
        <f>INDEX(Stammdaten[Abholzigkeit (mm/lfm)],MATCH(Tabelle9[[#This Row],[Rank]],Stammdaten[Rank Verteilung Abholzigkeit],0))</f>
        <v>#N/A</v>
      </c>
      <c r="N164" t="e">
        <f>VLOOKUP(Tabelle9[[#This Row],[Rank]],Stammdaten[[Rank Verteilung Abholzigkeit]:[Verteilung Abholzigkeit]],2,FALSE)</f>
        <v>#N/A</v>
      </c>
      <c r="S164">
        <v>155</v>
      </c>
      <c r="T164" t="e">
        <f>INDEX(Stammdaten[Krümmung (mm/lfm)],MATCH(Tabelle10[[#This Row],[Rank]],Stammdaten[Rank Verteilung Krümmung],0))</f>
        <v>#N/A</v>
      </c>
      <c r="U164" t="e">
        <f>VLOOKUP(Tabelle10[[#This Row],[Rank]],Stammdaten[[Rank Verteilung Krümmung]:[Verteilung Krümmung]],2,FALSE)</f>
        <v>#N/A</v>
      </c>
      <c r="Z164">
        <v>155</v>
      </c>
      <c r="AA164" t="e">
        <f>INDEX(Stammdaten[Ovalität (']0,1'])],MATCH(Tabelle1014[[#This Row],[Rank]],Stammdaten[Rank Verteilung Ovalität],0))</f>
        <v>#N/A</v>
      </c>
      <c r="AB164" t="e">
        <f>VLOOKUP(Tabelle1014[[#This Row],[Rank]],Stammdaten[[Rank Verteilung Ovalität]:[Verteilung Ovalität]],2,FALSE)</f>
        <v>#N/A</v>
      </c>
    </row>
    <row r="165" spans="5:28" x14ac:dyDescent="0.35">
      <c r="E165">
        <v>156</v>
      </c>
      <c r="F165" t="e">
        <f>INDEX(Stammdaten[D Mitte mit Rinde (mm)],MATCH(Tabelle8[[#This Row],[Rank]],Stammdaten[Rank Verteilung D Mitte mit Rinde],0))</f>
        <v>#N/A</v>
      </c>
      <c r="G165" t="e">
        <f>VLOOKUP(Tabelle8[[#This Row],[Rank]],Stammdaten[[Rank Verteilung D Mitte mit Rinde]:[Verteilung D Mitte mit Rinde]],2,FALSE)</f>
        <v>#N/A</v>
      </c>
      <c r="L165">
        <v>156</v>
      </c>
      <c r="M165" t="e">
        <f>INDEX(Stammdaten[Abholzigkeit (mm/lfm)],MATCH(Tabelle9[[#This Row],[Rank]],Stammdaten[Rank Verteilung Abholzigkeit],0))</f>
        <v>#N/A</v>
      </c>
      <c r="N165" t="e">
        <f>VLOOKUP(Tabelle9[[#This Row],[Rank]],Stammdaten[[Rank Verteilung Abholzigkeit]:[Verteilung Abholzigkeit]],2,FALSE)</f>
        <v>#N/A</v>
      </c>
      <c r="S165">
        <v>156</v>
      </c>
      <c r="T165" t="e">
        <f>INDEX(Stammdaten[Krümmung (mm/lfm)],MATCH(Tabelle10[[#This Row],[Rank]],Stammdaten[Rank Verteilung Krümmung],0))</f>
        <v>#N/A</v>
      </c>
      <c r="U165" t="e">
        <f>VLOOKUP(Tabelle10[[#This Row],[Rank]],Stammdaten[[Rank Verteilung Krümmung]:[Verteilung Krümmung]],2,FALSE)</f>
        <v>#N/A</v>
      </c>
      <c r="Z165">
        <v>156</v>
      </c>
      <c r="AA165" t="e">
        <f>INDEX(Stammdaten[Ovalität (']0,1'])],MATCH(Tabelle1014[[#This Row],[Rank]],Stammdaten[Rank Verteilung Ovalität],0))</f>
        <v>#N/A</v>
      </c>
      <c r="AB165" t="e">
        <f>VLOOKUP(Tabelle1014[[#This Row],[Rank]],Stammdaten[[Rank Verteilung Ovalität]:[Verteilung Ovalität]],2,FALSE)</f>
        <v>#N/A</v>
      </c>
    </row>
    <row r="166" spans="5:28" x14ac:dyDescent="0.35">
      <c r="E166">
        <v>157</v>
      </c>
      <c r="F166" t="e">
        <f>INDEX(Stammdaten[D Mitte mit Rinde (mm)],MATCH(Tabelle8[[#This Row],[Rank]],Stammdaten[Rank Verteilung D Mitte mit Rinde],0))</f>
        <v>#N/A</v>
      </c>
      <c r="G166" t="e">
        <f>VLOOKUP(Tabelle8[[#This Row],[Rank]],Stammdaten[[Rank Verteilung D Mitte mit Rinde]:[Verteilung D Mitte mit Rinde]],2,FALSE)</f>
        <v>#N/A</v>
      </c>
      <c r="L166">
        <v>157</v>
      </c>
      <c r="M166" t="e">
        <f>INDEX(Stammdaten[Abholzigkeit (mm/lfm)],MATCH(Tabelle9[[#This Row],[Rank]],Stammdaten[Rank Verteilung Abholzigkeit],0))</f>
        <v>#N/A</v>
      </c>
      <c r="N166" t="e">
        <f>VLOOKUP(Tabelle9[[#This Row],[Rank]],Stammdaten[[Rank Verteilung Abholzigkeit]:[Verteilung Abholzigkeit]],2,FALSE)</f>
        <v>#N/A</v>
      </c>
      <c r="S166">
        <v>157</v>
      </c>
      <c r="T166" t="e">
        <f>INDEX(Stammdaten[Krümmung (mm/lfm)],MATCH(Tabelle10[[#This Row],[Rank]],Stammdaten[Rank Verteilung Krümmung],0))</f>
        <v>#N/A</v>
      </c>
      <c r="U166" t="e">
        <f>VLOOKUP(Tabelle10[[#This Row],[Rank]],Stammdaten[[Rank Verteilung Krümmung]:[Verteilung Krümmung]],2,FALSE)</f>
        <v>#N/A</v>
      </c>
      <c r="Z166">
        <v>157</v>
      </c>
      <c r="AA166" t="e">
        <f>INDEX(Stammdaten[Ovalität (']0,1'])],MATCH(Tabelle1014[[#This Row],[Rank]],Stammdaten[Rank Verteilung Ovalität],0))</f>
        <v>#N/A</v>
      </c>
      <c r="AB166" t="e">
        <f>VLOOKUP(Tabelle1014[[#This Row],[Rank]],Stammdaten[[Rank Verteilung Ovalität]:[Verteilung Ovalität]],2,FALSE)</f>
        <v>#N/A</v>
      </c>
    </row>
    <row r="167" spans="5:28" x14ac:dyDescent="0.35">
      <c r="E167">
        <v>158</v>
      </c>
      <c r="F167" t="e">
        <f>INDEX(Stammdaten[D Mitte mit Rinde (mm)],MATCH(Tabelle8[[#This Row],[Rank]],Stammdaten[Rank Verteilung D Mitte mit Rinde],0))</f>
        <v>#N/A</v>
      </c>
      <c r="G167" t="e">
        <f>VLOOKUP(Tabelle8[[#This Row],[Rank]],Stammdaten[[Rank Verteilung D Mitte mit Rinde]:[Verteilung D Mitte mit Rinde]],2,FALSE)</f>
        <v>#N/A</v>
      </c>
      <c r="L167">
        <v>158</v>
      </c>
      <c r="M167" t="e">
        <f>INDEX(Stammdaten[Abholzigkeit (mm/lfm)],MATCH(Tabelle9[[#This Row],[Rank]],Stammdaten[Rank Verteilung Abholzigkeit],0))</f>
        <v>#N/A</v>
      </c>
      <c r="N167" t="e">
        <f>VLOOKUP(Tabelle9[[#This Row],[Rank]],Stammdaten[[Rank Verteilung Abholzigkeit]:[Verteilung Abholzigkeit]],2,FALSE)</f>
        <v>#N/A</v>
      </c>
      <c r="S167">
        <v>158</v>
      </c>
      <c r="T167" t="e">
        <f>INDEX(Stammdaten[Krümmung (mm/lfm)],MATCH(Tabelle10[[#This Row],[Rank]],Stammdaten[Rank Verteilung Krümmung],0))</f>
        <v>#N/A</v>
      </c>
      <c r="U167" t="e">
        <f>VLOOKUP(Tabelle10[[#This Row],[Rank]],Stammdaten[[Rank Verteilung Krümmung]:[Verteilung Krümmung]],2,FALSE)</f>
        <v>#N/A</v>
      </c>
      <c r="Z167">
        <v>158</v>
      </c>
      <c r="AA167" t="e">
        <f>INDEX(Stammdaten[Ovalität (']0,1'])],MATCH(Tabelle1014[[#This Row],[Rank]],Stammdaten[Rank Verteilung Ovalität],0))</f>
        <v>#N/A</v>
      </c>
      <c r="AB167" t="e">
        <f>VLOOKUP(Tabelle1014[[#This Row],[Rank]],Stammdaten[[Rank Verteilung Ovalität]:[Verteilung Ovalität]],2,FALSE)</f>
        <v>#N/A</v>
      </c>
    </row>
    <row r="168" spans="5:28" x14ac:dyDescent="0.35">
      <c r="E168">
        <v>159</v>
      </c>
      <c r="F168" t="e">
        <f>INDEX(Stammdaten[D Mitte mit Rinde (mm)],MATCH(Tabelle8[[#This Row],[Rank]],Stammdaten[Rank Verteilung D Mitte mit Rinde],0))</f>
        <v>#N/A</v>
      </c>
      <c r="G168" t="e">
        <f>VLOOKUP(Tabelle8[[#This Row],[Rank]],Stammdaten[[Rank Verteilung D Mitte mit Rinde]:[Verteilung D Mitte mit Rinde]],2,FALSE)</f>
        <v>#N/A</v>
      </c>
      <c r="L168">
        <v>159</v>
      </c>
      <c r="M168" t="e">
        <f>INDEX(Stammdaten[Abholzigkeit (mm/lfm)],MATCH(Tabelle9[[#This Row],[Rank]],Stammdaten[Rank Verteilung Abholzigkeit],0))</f>
        <v>#N/A</v>
      </c>
      <c r="N168" t="e">
        <f>VLOOKUP(Tabelle9[[#This Row],[Rank]],Stammdaten[[Rank Verteilung Abholzigkeit]:[Verteilung Abholzigkeit]],2,FALSE)</f>
        <v>#N/A</v>
      </c>
      <c r="S168">
        <v>159</v>
      </c>
      <c r="T168" t="e">
        <f>INDEX(Stammdaten[Krümmung (mm/lfm)],MATCH(Tabelle10[[#This Row],[Rank]],Stammdaten[Rank Verteilung Krümmung],0))</f>
        <v>#N/A</v>
      </c>
      <c r="U168" t="e">
        <f>VLOOKUP(Tabelle10[[#This Row],[Rank]],Stammdaten[[Rank Verteilung Krümmung]:[Verteilung Krümmung]],2,FALSE)</f>
        <v>#N/A</v>
      </c>
      <c r="Z168">
        <v>159</v>
      </c>
      <c r="AA168" t="e">
        <f>INDEX(Stammdaten[Ovalität (']0,1'])],MATCH(Tabelle1014[[#This Row],[Rank]],Stammdaten[Rank Verteilung Ovalität],0))</f>
        <v>#N/A</v>
      </c>
      <c r="AB168" t="e">
        <f>VLOOKUP(Tabelle1014[[#This Row],[Rank]],Stammdaten[[Rank Verteilung Ovalität]:[Verteilung Ovalität]],2,FALSE)</f>
        <v>#N/A</v>
      </c>
    </row>
    <row r="169" spans="5:28" x14ac:dyDescent="0.35">
      <c r="E169">
        <v>160</v>
      </c>
      <c r="F169" t="e">
        <f>INDEX(Stammdaten[D Mitte mit Rinde (mm)],MATCH(Tabelle8[[#This Row],[Rank]],Stammdaten[Rank Verteilung D Mitte mit Rinde],0))</f>
        <v>#N/A</v>
      </c>
      <c r="G169" t="e">
        <f>VLOOKUP(Tabelle8[[#This Row],[Rank]],Stammdaten[[Rank Verteilung D Mitte mit Rinde]:[Verteilung D Mitte mit Rinde]],2,FALSE)</f>
        <v>#N/A</v>
      </c>
      <c r="L169">
        <v>160</v>
      </c>
      <c r="M169" t="e">
        <f>INDEX(Stammdaten[Abholzigkeit (mm/lfm)],MATCH(Tabelle9[[#This Row],[Rank]],Stammdaten[Rank Verteilung Abholzigkeit],0))</f>
        <v>#N/A</v>
      </c>
      <c r="N169" t="e">
        <f>VLOOKUP(Tabelle9[[#This Row],[Rank]],Stammdaten[[Rank Verteilung Abholzigkeit]:[Verteilung Abholzigkeit]],2,FALSE)</f>
        <v>#N/A</v>
      </c>
      <c r="S169">
        <v>160</v>
      </c>
      <c r="T169" t="e">
        <f>INDEX(Stammdaten[Krümmung (mm/lfm)],MATCH(Tabelle10[[#This Row],[Rank]],Stammdaten[Rank Verteilung Krümmung],0))</f>
        <v>#N/A</v>
      </c>
      <c r="U169" t="e">
        <f>VLOOKUP(Tabelle10[[#This Row],[Rank]],Stammdaten[[Rank Verteilung Krümmung]:[Verteilung Krümmung]],2,FALSE)</f>
        <v>#N/A</v>
      </c>
      <c r="Z169">
        <v>160</v>
      </c>
      <c r="AA169" t="e">
        <f>INDEX(Stammdaten[Ovalität (']0,1'])],MATCH(Tabelle1014[[#This Row],[Rank]],Stammdaten[Rank Verteilung Ovalität],0))</f>
        <v>#N/A</v>
      </c>
      <c r="AB169" t="e">
        <f>VLOOKUP(Tabelle1014[[#This Row],[Rank]],Stammdaten[[Rank Verteilung Ovalität]:[Verteilung Ovalität]],2,FALSE)</f>
        <v>#N/A</v>
      </c>
    </row>
    <row r="170" spans="5:28" x14ac:dyDescent="0.35">
      <c r="E170">
        <v>161</v>
      </c>
      <c r="F170" t="e">
        <f>INDEX(Stammdaten[D Mitte mit Rinde (mm)],MATCH(Tabelle8[[#This Row],[Rank]],Stammdaten[Rank Verteilung D Mitte mit Rinde],0))</f>
        <v>#N/A</v>
      </c>
      <c r="G170" t="e">
        <f>VLOOKUP(Tabelle8[[#This Row],[Rank]],Stammdaten[[Rank Verteilung D Mitte mit Rinde]:[Verteilung D Mitte mit Rinde]],2,FALSE)</f>
        <v>#N/A</v>
      </c>
      <c r="L170">
        <v>161</v>
      </c>
      <c r="M170" t="e">
        <f>INDEX(Stammdaten[Abholzigkeit (mm/lfm)],MATCH(Tabelle9[[#This Row],[Rank]],Stammdaten[Rank Verteilung Abholzigkeit],0))</f>
        <v>#N/A</v>
      </c>
      <c r="N170" t="e">
        <f>VLOOKUP(Tabelle9[[#This Row],[Rank]],Stammdaten[[Rank Verteilung Abholzigkeit]:[Verteilung Abholzigkeit]],2,FALSE)</f>
        <v>#N/A</v>
      </c>
      <c r="S170">
        <v>161</v>
      </c>
      <c r="T170" t="e">
        <f>INDEX(Stammdaten[Krümmung (mm/lfm)],MATCH(Tabelle10[[#This Row],[Rank]],Stammdaten[Rank Verteilung Krümmung],0))</f>
        <v>#N/A</v>
      </c>
      <c r="U170" t="e">
        <f>VLOOKUP(Tabelle10[[#This Row],[Rank]],Stammdaten[[Rank Verteilung Krümmung]:[Verteilung Krümmung]],2,FALSE)</f>
        <v>#N/A</v>
      </c>
      <c r="Z170">
        <v>161</v>
      </c>
      <c r="AA170" t="e">
        <f>INDEX(Stammdaten[Ovalität (']0,1'])],MATCH(Tabelle1014[[#This Row],[Rank]],Stammdaten[Rank Verteilung Ovalität],0))</f>
        <v>#N/A</v>
      </c>
      <c r="AB170" t="e">
        <f>VLOOKUP(Tabelle1014[[#This Row],[Rank]],Stammdaten[[Rank Verteilung Ovalität]:[Verteilung Ovalität]],2,FALSE)</f>
        <v>#N/A</v>
      </c>
    </row>
    <row r="171" spans="5:28" x14ac:dyDescent="0.35">
      <c r="E171">
        <v>162</v>
      </c>
      <c r="F171" t="e">
        <f>INDEX(Stammdaten[D Mitte mit Rinde (mm)],MATCH(Tabelle8[[#This Row],[Rank]],Stammdaten[Rank Verteilung D Mitte mit Rinde],0))</f>
        <v>#N/A</v>
      </c>
      <c r="G171" t="e">
        <f>VLOOKUP(Tabelle8[[#This Row],[Rank]],Stammdaten[[Rank Verteilung D Mitte mit Rinde]:[Verteilung D Mitte mit Rinde]],2,FALSE)</f>
        <v>#N/A</v>
      </c>
      <c r="L171">
        <v>162</v>
      </c>
      <c r="M171" t="e">
        <f>INDEX(Stammdaten[Abholzigkeit (mm/lfm)],MATCH(Tabelle9[[#This Row],[Rank]],Stammdaten[Rank Verteilung Abholzigkeit],0))</f>
        <v>#N/A</v>
      </c>
      <c r="N171" t="e">
        <f>VLOOKUP(Tabelle9[[#This Row],[Rank]],Stammdaten[[Rank Verteilung Abholzigkeit]:[Verteilung Abholzigkeit]],2,FALSE)</f>
        <v>#N/A</v>
      </c>
      <c r="S171">
        <v>162</v>
      </c>
      <c r="T171" t="e">
        <f>INDEX(Stammdaten[Krümmung (mm/lfm)],MATCH(Tabelle10[[#This Row],[Rank]],Stammdaten[Rank Verteilung Krümmung],0))</f>
        <v>#N/A</v>
      </c>
      <c r="U171" t="e">
        <f>VLOOKUP(Tabelle10[[#This Row],[Rank]],Stammdaten[[Rank Verteilung Krümmung]:[Verteilung Krümmung]],2,FALSE)</f>
        <v>#N/A</v>
      </c>
      <c r="Z171">
        <v>162</v>
      </c>
      <c r="AA171" t="e">
        <f>INDEX(Stammdaten[Ovalität (']0,1'])],MATCH(Tabelle1014[[#This Row],[Rank]],Stammdaten[Rank Verteilung Ovalität],0))</f>
        <v>#N/A</v>
      </c>
      <c r="AB171" t="e">
        <f>VLOOKUP(Tabelle1014[[#This Row],[Rank]],Stammdaten[[Rank Verteilung Ovalität]:[Verteilung Ovalität]],2,FALSE)</f>
        <v>#N/A</v>
      </c>
    </row>
    <row r="172" spans="5:28" x14ac:dyDescent="0.35">
      <c r="E172">
        <v>163</v>
      </c>
      <c r="F172" t="e">
        <f>INDEX(Stammdaten[D Mitte mit Rinde (mm)],MATCH(Tabelle8[[#This Row],[Rank]],Stammdaten[Rank Verteilung D Mitte mit Rinde],0))</f>
        <v>#N/A</v>
      </c>
      <c r="G172" t="e">
        <f>VLOOKUP(Tabelle8[[#This Row],[Rank]],Stammdaten[[Rank Verteilung D Mitte mit Rinde]:[Verteilung D Mitte mit Rinde]],2,FALSE)</f>
        <v>#N/A</v>
      </c>
      <c r="L172">
        <v>163</v>
      </c>
      <c r="M172" t="e">
        <f>INDEX(Stammdaten[Abholzigkeit (mm/lfm)],MATCH(Tabelle9[[#This Row],[Rank]],Stammdaten[Rank Verteilung Abholzigkeit],0))</f>
        <v>#N/A</v>
      </c>
      <c r="N172" t="e">
        <f>VLOOKUP(Tabelle9[[#This Row],[Rank]],Stammdaten[[Rank Verteilung Abholzigkeit]:[Verteilung Abholzigkeit]],2,FALSE)</f>
        <v>#N/A</v>
      </c>
      <c r="S172">
        <v>163</v>
      </c>
      <c r="T172" t="e">
        <f>INDEX(Stammdaten[Krümmung (mm/lfm)],MATCH(Tabelle10[[#This Row],[Rank]],Stammdaten[Rank Verteilung Krümmung],0))</f>
        <v>#N/A</v>
      </c>
      <c r="U172" t="e">
        <f>VLOOKUP(Tabelle10[[#This Row],[Rank]],Stammdaten[[Rank Verteilung Krümmung]:[Verteilung Krümmung]],2,FALSE)</f>
        <v>#N/A</v>
      </c>
      <c r="Z172">
        <v>163</v>
      </c>
      <c r="AA172" t="e">
        <f>INDEX(Stammdaten[Ovalität (']0,1'])],MATCH(Tabelle1014[[#This Row],[Rank]],Stammdaten[Rank Verteilung Ovalität],0))</f>
        <v>#N/A</v>
      </c>
      <c r="AB172" t="e">
        <f>VLOOKUP(Tabelle1014[[#This Row],[Rank]],Stammdaten[[Rank Verteilung Ovalität]:[Verteilung Ovalität]],2,FALSE)</f>
        <v>#N/A</v>
      </c>
    </row>
    <row r="173" spans="5:28" x14ac:dyDescent="0.35">
      <c r="E173">
        <v>164</v>
      </c>
      <c r="F173" t="e">
        <f>INDEX(Stammdaten[D Mitte mit Rinde (mm)],MATCH(Tabelle8[[#This Row],[Rank]],Stammdaten[Rank Verteilung D Mitte mit Rinde],0))</f>
        <v>#N/A</v>
      </c>
      <c r="G173" t="e">
        <f>VLOOKUP(Tabelle8[[#This Row],[Rank]],Stammdaten[[Rank Verteilung D Mitte mit Rinde]:[Verteilung D Mitte mit Rinde]],2,FALSE)</f>
        <v>#N/A</v>
      </c>
      <c r="L173">
        <v>164</v>
      </c>
      <c r="M173" t="e">
        <f>INDEX(Stammdaten[Abholzigkeit (mm/lfm)],MATCH(Tabelle9[[#This Row],[Rank]],Stammdaten[Rank Verteilung Abholzigkeit],0))</f>
        <v>#N/A</v>
      </c>
      <c r="N173" t="e">
        <f>VLOOKUP(Tabelle9[[#This Row],[Rank]],Stammdaten[[Rank Verteilung Abholzigkeit]:[Verteilung Abholzigkeit]],2,FALSE)</f>
        <v>#N/A</v>
      </c>
      <c r="S173">
        <v>164</v>
      </c>
      <c r="T173" t="e">
        <f>INDEX(Stammdaten[Krümmung (mm/lfm)],MATCH(Tabelle10[[#This Row],[Rank]],Stammdaten[Rank Verteilung Krümmung],0))</f>
        <v>#N/A</v>
      </c>
      <c r="U173" t="e">
        <f>VLOOKUP(Tabelle10[[#This Row],[Rank]],Stammdaten[[Rank Verteilung Krümmung]:[Verteilung Krümmung]],2,FALSE)</f>
        <v>#N/A</v>
      </c>
      <c r="Z173">
        <v>164</v>
      </c>
      <c r="AA173" t="e">
        <f>INDEX(Stammdaten[Ovalität (']0,1'])],MATCH(Tabelle1014[[#This Row],[Rank]],Stammdaten[Rank Verteilung Ovalität],0))</f>
        <v>#N/A</v>
      </c>
      <c r="AB173" t="e">
        <f>VLOOKUP(Tabelle1014[[#This Row],[Rank]],Stammdaten[[Rank Verteilung Ovalität]:[Verteilung Ovalität]],2,FALSE)</f>
        <v>#N/A</v>
      </c>
    </row>
    <row r="174" spans="5:28" x14ac:dyDescent="0.35">
      <c r="E174">
        <v>165</v>
      </c>
      <c r="F174" t="e">
        <f>INDEX(Stammdaten[D Mitte mit Rinde (mm)],MATCH(Tabelle8[[#This Row],[Rank]],Stammdaten[Rank Verteilung D Mitte mit Rinde],0))</f>
        <v>#N/A</v>
      </c>
      <c r="G174" t="e">
        <f>VLOOKUP(Tabelle8[[#This Row],[Rank]],Stammdaten[[Rank Verteilung D Mitte mit Rinde]:[Verteilung D Mitte mit Rinde]],2,FALSE)</f>
        <v>#N/A</v>
      </c>
      <c r="L174">
        <v>165</v>
      </c>
      <c r="M174" t="e">
        <f>INDEX(Stammdaten[Abholzigkeit (mm/lfm)],MATCH(Tabelle9[[#This Row],[Rank]],Stammdaten[Rank Verteilung Abholzigkeit],0))</f>
        <v>#N/A</v>
      </c>
      <c r="N174" t="e">
        <f>VLOOKUP(Tabelle9[[#This Row],[Rank]],Stammdaten[[Rank Verteilung Abholzigkeit]:[Verteilung Abholzigkeit]],2,FALSE)</f>
        <v>#N/A</v>
      </c>
      <c r="S174">
        <v>165</v>
      </c>
      <c r="T174" t="e">
        <f>INDEX(Stammdaten[Krümmung (mm/lfm)],MATCH(Tabelle10[[#This Row],[Rank]],Stammdaten[Rank Verteilung Krümmung],0))</f>
        <v>#N/A</v>
      </c>
      <c r="U174" t="e">
        <f>VLOOKUP(Tabelle10[[#This Row],[Rank]],Stammdaten[[Rank Verteilung Krümmung]:[Verteilung Krümmung]],2,FALSE)</f>
        <v>#N/A</v>
      </c>
      <c r="Z174">
        <v>165</v>
      </c>
      <c r="AA174" t="e">
        <f>INDEX(Stammdaten[Ovalität (']0,1'])],MATCH(Tabelle1014[[#This Row],[Rank]],Stammdaten[Rank Verteilung Ovalität],0))</f>
        <v>#N/A</v>
      </c>
      <c r="AB174" t="e">
        <f>VLOOKUP(Tabelle1014[[#This Row],[Rank]],Stammdaten[[Rank Verteilung Ovalität]:[Verteilung Ovalität]],2,FALSE)</f>
        <v>#N/A</v>
      </c>
    </row>
    <row r="175" spans="5:28" x14ac:dyDescent="0.35">
      <c r="E175">
        <v>166</v>
      </c>
      <c r="F175" t="e">
        <f>INDEX(Stammdaten[D Mitte mit Rinde (mm)],MATCH(Tabelle8[[#This Row],[Rank]],Stammdaten[Rank Verteilung D Mitte mit Rinde],0))</f>
        <v>#N/A</v>
      </c>
      <c r="G175" t="e">
        <f>VLOOKUP(Tabelle8[[#This Row],[Rank]],Stammdaten[[Rank Verteilung D Mitte mit Rinde]:[Verteilung D Mitte mit Rinde]],2,FALSE)</f>
        <v>#N/A</v>
      </c>
      <c r="L175">
        <v>166</v>
      </c>
      <c r="M175" t="e">
        <f>INDEX(Stammdaten[Abholzigkeit (mm/lfm)],MATCH(Tabelle9[[#This Row],[Rank]],Stammdaten[Rank Verteilung Abholzigkeit],0))</f>
        <v>#N/A</v>
      </c>
      <c r="N175" t="e">
        <f>VLOOKUP(Tabelle9[[#This Row],[Rank]],Stammdaten[[Rank Verteilung Abholzigkeit]:[Verteilung Abholzigkeit]],2,FALSE)</f>
        <v>#N/A</v>
      </c>
      <c r="S175">
        <v>166</v>
      </c>
      <c r="T175" t="e">
        <f>INDEX(Stammdaten[Krümmung (mm/lfm)],MATCH(Tabelle10[[#This Row],[Rank]],Stammdaten[Rank Verteilung Krümmung],0))</f>
        <v>#N/A</v>
      </c>
      <c r="U175" t="e">
        <f>VLOOKUP(Tabelle10[[#This Row],[Rank]],Stammdaten[[Rank Verteilung Krümmung]:[Verteilung Krümmung]],2,FALSE)</f>
        <v>#N/A</v>
      </c>
      <c r="Z175">
        <v>166</v>
      </c>
      <c r="AA175" t="e">
        <f>INDEX(Stammdaten[Ovalität (']0,1'])],MATCH(Tabelle1014[[#This Row],[Rank]],Stammdaten[Rank Verteilung Ovalität],0))</f>
        <v>#N/A</v>
      </c>
      <c r="AB175" t="e">
        <f>VLOOKUP(Tabelle1014[[#This Row],[Rank]],Stammdaten[[Rank Verteilung Ovalität]:[Verteilung Ovalität]],2,FALSE)</f>
        <v>#N/A</v>
      </c>
    </row>
    <row r="176" spans="5:28" x14ac:dyDescent="0.35">
      <c r="E176">
        <v>167</v>
      </c>
      <c r="F176" t="e">
        <f>INDEX(Stammdaten[D Mitte mit Rinde (mm)],MATCH(Tabelle8[[#This Row],[Rank]],Stammdaten[Rank Verteilung D Mitte mit Rinde],0))</f>
        <v>#N/A</v>
      </c>
      <c r="G176" t="e">
        <f>VLOOKUP(Tabelle8[[#This Row],[Rank]],Stammdaten[[Rank Verteilung D Mitte mit Rinde]:[Verteilung D Mitte mit Rinde]],2,FALSE)</f>
        <v>#N/A</v>
      </c>
      <c r="L176">
        <v>167</v>
      </c>
      <c r="M176" t="e">
        <f>INDEX(Stammdaten[Abholzigkeit (mm/lfm)],MATCH(Tabelle9[[#This Row],[Rank]],Stammdaten[Rank Verteilung Abholzigkeit],0))</f>
        <v>#N/A</v>
      </c>
      <c r="N176" t="e">
        <f>VLOOKUP(Tabelle9[[#This Row],[Rank]],Stammdaten[[Rank Verteilung Abholzigkeit]:[Verteilung Abholzigkeit]],2,FALSE)</f>
        <v>#N/A</v>
      </c>
      <c r="S176">
        <v>167</v>
      </c>
      <c r="T176" t="e">
        <f>INDEX(Stammdaten[Krümmung (mm/lfm)],MATCH(Tabelle10[[#This Row],[Rank]],Stammdaten[Rank Verteilung Krümmung],0))</f>
        <v>#N/A</v>
      </c>
      <c r="U176" t="e">
        <f>VLOOKUP(Tabelle10[[#This Row],[Rank]],Stammdaten[[Rank Verteilung Krümmung]:[Verteilung Krümmung]],2,FALSE)</f>
        <v>#N/A</v>
      </c>
      <c r="Z176">
        <v>167</v>
      </c>
      <c r="AA176" t="e">
        <f>INDEX(Stammdaten[Ovalität (']0,1'])],MATCH(Tabelle1014[[#This Row],[Rank]],Stammdaten[Rank Verteilung Ovalität],0))</f>
        <v>#N/A</v>
      </c>
      <c r="AB176" t="e">
        <f>VLOOKUP(Tabelle1014[[#This Row],[Rank]],Stammdaten[[Rank Verteilung Ovalität]:[Verteilung Ovalität]],2,FALSE)</f>
        <v>#N/A</v>
      </c>
    </row>
    <row r="177" spans="5:28" x14ac:dyDescent="0.35">
      <c r="E177">
        <v>168</v>
      </c>
      <c r="F177" t="e">
        <f>INDEX(Stammdaten[D Mitte mit Rinde (mm)],MATCH(Tabelle8[[#This Row],[Rank]],Stammdaten[Rank Verteilung D Mitte mit Rinde],0))</f>
        <v>#N/A</v>
      </c>
      <c r="G177" t="e">
        <f>VLOOKUP(Tabelle8[[#This Row],[Rank]],Stammdaten[[Rank Verteilung D Mitte mit Rinde]:[Verteilung D Mitte mit Rinde]],2,FALSE)</f>
        <v>#N/A</v>
      </c>
      <c r="L177">
        <v>168</v>
      </c>
      <c r="M177" t="e">
        <f>INDEX(Stammdaten[Abholzigkeit (mm/lfm)],MATCH(Tabelle9[[#This Row],[Rank]],Stammdaten[Rank Verteilung Abholzigkeit],0))</f>
        <v>#N/A</v>
      </c>
      <c r="N177" t="e">
        <f>VLOOKUP(Tabelle9[[#This Row],[Rank]],Stammdaten[[Rank Verteilung Abholzigkeit]:[Verteilung Abholzigkeit]],2,FALSE)</f>
        <v>#N/A</v>
      </c>
      <c r="S177">
        <v>168</v>
      </c>
      <c r="T177" t="e">
        <f>INDEX(Stammdaten[Krümmung (mm/lfm)],MATCH(Tabelle10[[#This Row],[Rank]],Stammdaten[Rank Verteilung Krümmung],0))</f>
        <v>#N/A</v>
      </c>
      <c r="U177" t="e">
        <f>VLOOKUP(Tabelle10[[#This Row],[Rank]],Stammdaten[[Rank Verteilung Krümmung]:[Verteilung Krümmung]],2,FALSE)</f>
        <v>#N/A</v>
      </c>
      <c r="Z177">
        <v>168</v>
      </c>
      <c r="AA177" t="e">
        <f>INDEX(Stammdaten[Ovalität (']0,1'])],MATCH(Tabelle1014[[#This Row],[Rank]],Stammdaten[Rank Verteilung Ovalität],0))</f>
        <v>#N/A</v>
      </c>
      <c r="AB177" t="e">
        <f>VLOOKUP(Tabelle1014[[#This Row],[Rank]],Stammdaten[[Rank Verteilung Ovalität]:[Verteilung Ovalität]],2,FALSE)</f>
        <v>#N/A</v>
      </c>
    </row>
    <row r="178" spans="5:28" x14ac:dyDescent="0.35">
      <c r="E178">
        <v>169</v>
      </c>
      <c r="F178" t="e">
        <f>INDEX(Stammdaten[D Mitte mit Rinde (mm)],MATCH(Tabelle8[[#This Row],[Rank]],Stammdaten[Rank Verteilung D Mitte mit Rinde],0))</f>
        <v>#N/A</v>
      </c>
      <c r="G178" t="e">
        <f>VLOOKUP(Tabelle8[[#This Row],[Rank]],Stammdaten[[Rank Verteilung D Mitte mit Rinde]:[Verteilung D Mitte mit Rinde]],2,FALSE)</f>
        <v>#N/A</v>
      </c>
      <c r="L178">
        <v>169</v>
      </c>
      <c r="M178" t="e">
        <f>INDEX(Stammdaten[Abholzigkeit (mm/lfm)],MATCH(Tabelle9[[#This Row],[Rank]],Stammdaten[Rank Verteilung Abholzigkeit],0))</f>
        <v>#N/A</v>
      </c>
      <c r="N178" t="e">
        <f>VLOOKUP(Tabelle9[[#This Row],[Rank]],Stammdaten[[Rank Verteilung Abholzigkeit]:[Verteilung Abholzigkeit]],2,FALSE)</f>
        <v>#N/A</v>
      </c>
      <c r="S178">
        <v>169</v>
      </c>
      <c r="T178" t="e">
        <f>INDEX(Stammdaten[Krümmung (mm/lfm)],MATCH(Tabelle10[[#This Row],[Rank]],Stammdaten[Rank Verteilung Krümmung],0))</f>
        <v>#N/A</v>
      </c>
      <c r="U178" t="e">
        <f>VLOOKUP(Tabelle10[[#This Row],[Rank]],Stammdaten[[Rank Verteilung Krümmung]:[Verteilung Krümmung]],2,FALSE)</f>
        <v>#N/A</v>
      </c>
      <c r="Z178">
        <v>169</v>
      </c>
      <c r="AA178" t="e">
        <f>INDEX(Stammdaten[Ovalität (']0,1'])],MATCH(Tabelle1014[[#This Row],[Rank]],Stammdaten[Rank Verteilung Ovalität],0))</f>
        <v>#N/A</v>
      </c>
      <c r="AB178" t="e">
        <f>VLOOKUP(Tabelle1014[[#This Row],[Rank]],Stammdaten[[Rank Verteilung Ovalität]:[Verteilung Ovalität]],2,FALSE)</f>
        <v>#N/A</v>
      </c>
    </row>
    <row r="179" spans="5:28" x14ac:dyDescent="0.35">
      <c r="E179">
        <v>170</v>
      </c>
      <c r="F179" t="e">
        <f>INDEX(Stammdaten[D Mitte mit Rinde (mm)],MATCH(Tabelle8[[#This Row],[Rank]],Stammdaten[Rank Verteilung D Mitte mit Rinde],0))</f>
        <v>#N/A</v>
      </c>
      <c r="G179" t="e">
        <f>VLOOKUP(Tabelle8[[#This Row],[Rank]],Stammdaten[[Rank Verteilung D Mitte mit Rinde]:[Verteilung D Mitte mit Rinde]],2,FALSE)</f>
        <v>#N/A</v>
      </c>
      <c r="L179">
        <v>170</v>
      </c>
      <c r="M179" t="e">
        <f>INDEX(Stammdaten[Abholzigkeit (mm/lfm)],MATCH(Tabelle9[[#This Row],[Rank]],Stammdaten[Rank Verteilung Abholzigkeit],0))</f>
        <v>#N/A</v>
      </c>
      <c r="N179" t="e">
        <f>VLOOKUP(Tabelle9[[#This Row],[Rank]],Stammdaten[[Rank Verteilung Abholzigkeit]:[Verteilung Abholzigkeit]],2,FALSE)</f>
        <v>#N/A</v>
      </c>
      <c r="S179">
        <v>170</v>
      </c>
      <c r="T179" t="e">
        <f>INDEX(Stammdaten[Krümmung (mm/lfm)],MATCH(Tabelle10[[#This Row],[Rank]],Stammdaten[Rank Verteilung Krümmung],0))</f>
        <v>#N/A</v>
      </c>
      <c r="U179" t="e">
        <f>VLOOKUP(Tabelle10[[#This Row],[Rank]],Stammdaten[[Rank Verteilung Krümmung]:[Verteilung Krümmung]],2,FALSE)</f>
        <v>#N/A</v>
      </c>
      <c r="Z179">
        <v>170</v>
      </c>
      <c r="AA179" t="e">
        <f>INDEX(Stammdaten[Ovalität (']0,1'])],MATCH(Tabelle1014[[#This Row],[Rank]],Stammdaten[Rank Verteilung Ovalität],0))</f>
        <v>#N/A</v>
      </c>
      <c r="AB179" t="e">
        <f>VLOOKUP(Tabelle1014[[#This Row],[Rank]],Stammdaten[[Rank Verteilung Ovalität]:[Verteilung Ovalität]],2,FALSE)</f>
        <v>#N/A</v>
      </c>
    </row>
    <row r="180" spans="5:28" x14ac:dyDescent="0.35">
      <c r="E180">
        <v>171</v>
      </c>
      <c r="F180" t="e">
        <f>INDEX(Stammdaten[D Mitte mit Rinde (mm)],MATCH(Tabelle8[[#This Row],[Rank]],Stammdaten[Rank Verteilung D Mitte mit Rinde],0))</f>
        <v>#N/A</v>
      </c>
      <c r="G180" t="e">
        <f>VLOOKUP(Tabelle8[[#This Row],[Rank]],Stammdaten[[Rank Verteilung D Mitte mit Rinde]:[Verteilung D Mitte mit Rinde]],2,FALSE)</f>
        <v>#N/A</v>
      </c>
      <c r="L180">
        <v>171</v>
      </c>
      <c r="M180" t="e">
        <f>INDEX(Stammdaten[Abholzigkeit (mm/lfm)],MATCH(Tabelle9[[#This Row],[Rank]],Stammdaten[Rank Verteilung Abholzigkeit],0))</f>
        <v>#N/A</v>
      </c>
      <c r="N180" t="e">
        <f>VLOOKUP(Tabelle9[[#This Row],[Rank]],Stammdaten[[Rank Verteilung Abholzigkeit]:[Verteilung Abholzigkeit]],2,FALSE)</f>
        <v>#N/A</v>
      </c>
      <c r="S180">
        <v>171</v>
      </c>
      <c r="T180" t="e">
        <f>INDEX(Stammdaten[Krümmung (mm/lfm)],MATCH(Tabelle10[[#This Row],[Rank]],Stammdaten[Rank Verteilung Krümmung],0))</f>
        <v>#N/A</v>
      </c>
      <c r="U180" t="e">
        <f>VLOOKUP(Tabelle10[[#This Row],[Rank]],Stammdaten[[Rank Verteilung Krümmung]:[Verteilung Krümmung]],2,FALSE)</f>
        <v>#N/A</v>
      </c>
      <c r="Z180">
        <v>171</v>
      </c>
      <c r="AA180" t="e">
        <f>INDEX(Stammdaten[Ovalität (']0,1'])],MATCH(Tabelle1014[[#This Row],[Rank]],Stammdaten[Rank Verteilung Ovalität],0))</f>
        <v>#N/A</v>
      </c>
      <c r="AB180" t="e">
        <f>VLOOKUP(Tabelle1014[[#This Row],[Rank]],Stammdaten[[Rank Verteilung Ovalität]:[Verteilung Ovalität]],2,FALSE)</f>
        <v>#N/A</v>
      </c>
    </row>
    <row r="181" spans="5:28" x14ac:dyDescent="0.35">
      <c r="E181">
        <v>172</v>
      </c>
      <c r="F181" t="e">
        <f>INDEX(Stammdaten[D Mitte mit Rinde (mm)],MATCH(Tabelle8[[#This Row],[Rank]],Stammdaten[Rank Verteilung D Mitte mit Rinde],0))</f>
        <v>#N/A</v>
      </c>
      <c r="G181" t="e">
        <f>VLOOKUP(Tabelle8[[#This Row],[Rank]],Stammdaten[[Rank Verteilung D Mitte mit Rinde]:[Verteilung D Mitte mit Rinde]],2,FALSE)</f>
        <v>#N/A</v>
      </c>
      <c r="L181">
        <v>172</v>
      </c>
      <c r="M181" t="e">
        <f>INDEX(Stammdaten[Abholzigkeit (mm/lfm)],MATCH(Tabelle9[[#This Row],[Rank]],Stammdaten[Rank Verteilung Abholzigkeit],0))</f>
        <v>#N/A</v>
      </c>
      <c r="N181" t="e">
        <f>VLOOKUP(Tabelle9[[#This Row],[Rank]],Stammdaten[[Rank Verteilung Abholzigkeit]:[Verteilung Abholzigkeit]],2,FALSE)</f>
        <v>#N/A</v>
      </c>
      <c r="S181">
        <v>172</v>
      </c>
      <c r="T181" t="e">
        <f>INDEX(Stammdaten[Krümmung (mm/lfm)],MATCH(Tabelle10[[#This Row],[Rank]],Stammdaten[Rank Verteilung Krümmung],0))</f>
        <v>#N/A</v>
      </c>
      <c r="U181" t="e">
        <f>VLOOKUP(Tabelle10[[#This Row],[Rank]],Stammdaten[[Rank Verteilung Krümmung]:[Verteilung Krümmung]],2,FALSE)</f>
        <v>#N/A</v>
      </c>
      <c r="Z181">
        <v>172</v>
      </c>
      <c r="AA181" t="e">
        <f>INDEX(Stammdaten[Ovalität (']0,1'])],MATCH(Tabelle1014[[#This Row],[Rank]],Stammdaten[Rank Verteilung Ovalität],0))</f>
        <v>#N/A</v>
      </c>
      <c r="AB181" t="e">
        <f>VLOOKUP(Tabelle1014[[#This Row],[Rank]],Stammdaten[[Rank Verteilung Ovalität]:[Verteilung Ovalität]],2,FALSE)</f>
        <v>#N/A</v>
      </c>
    </row>
    <row r="182" spans="5:28" x14ac:dyDescent="0.35">
      <c r="E182">
        <v>173</v>
      </c>
      <c r="F182" t="e">
        <f>INDEX(Stammdaten[D Mitte mit Rinde (mm)],MATCH(Tabelle8[[#This Row],[Rank]],Stammdaten[Rank Verteilung D Mitte mit Rinde],0))</f>
        <v>#N/A</v>
      </c>
      <c r="G182" t="e">
        <f>VLOOKUP(Tabelle8[[#This Row],[Rank]],Stammdaten[[Rank Verteilung D Mitte mit Rinde]:[Verteilung D Mitte mit Rinde]],2,FALSE)</f>
        <v>#N/A</v>
      </c>
      <c r="L182">
        <v>173</v>
      </c>
      <c r="M182" t="e">
        <f>INDEX(Stammdaten[Abholzigkeit (mm/lfm)],MATCH(Tabelle9[[#This Row],[Rank]],Stammdaten[Rank Verteilung Abholzigkeit],0))</f>
        <v>#N/A</v>
      </c>
      <c r="N182" t="e">
        <f>VLOOKUP(Tabelle9[[#This Row],[Rank]],Stammdaten[[Rank Verteilung Abholzigkeit]:[Verteilung Abholzigkeit]],2,FALSE)</f>
        <v>#N/A</v>
      </c>
      <c r="S182">
        <v>173</v>
      </c>
      <c r="T182" t="e">
        <f>INDEX(Stammdaten[Krümmung (mm/lfm)],MATCH(Tabelle10[[#This Row],[Rank]],Stammdaten[Rank Verteilung Krümmung],0))</f>
        <v>#N/A</v>
      </c>
      <c r="U182" t="e">
        <f>VLOOKUP(Tabelle10[[#This Row],[Rank]],Stammdaten[[Rank Verteilung Krümmung]:[Verteilung Krümmung]],2,FALSE)</f>
        <v>#N/A</v>
      </c>
      <c r="Z182">
        <v>173</v>
      </c>
      <c r="AA182" t="e">
        <f>INDEX(Stammdaten[Ovalität (']0,1'])],MATCH(Tabelle1014[[#This Row],[Rank]],Stammdaten[Rank Verteilung Ovalität],0))</f>
        <v>#N/A</v>
      </c>
      <c r="AB182" t="e">
        <f>VLOOKUP(Tabelle1014[[#This Row],[Rank]],Stammdaten[[Rank Verteilung Ovalität]:[Verteilung Ovalität]],2,FALSE)</f>
        <v>#N/A</v>
      </c>
    </row>
    <row r="183" spans="5:28" x14ac:dyDescent="0.35">
      <c r="E183">
        <v>174</v>
      </c>
      <c r="F183" t="e">
        <f>INDEX(Stammdaten[D Mitte mit Rinde (mm)],MATCH(Tabelle8[[#This Row],[Rank]],Stammdaten[Rank Verteilung D Mitte mit Rinde],0))</f>
        <v>#N/A</v>
      </c>
      <c r="G183" t="e">
        <f>VLOOKUP(Tabelle8[[#This Row],[Rank]],Stammdaten[[Rank Verteilung D Mitte mit Rinde]:[Verteilung D Mitte mit Rinde]],2,FALSE)</f>
        <v>#N/A</v>
      </c>
      <c r="L183">
        <v>174</v>
      </c>
      <c r="M183" t="e">
        <f>INDEX(Stammdaten[Abholzigkeit (mm/lfm)],MATCH(Tabelle9[[#This Row],[Rank]],Stammdaten[Rank Verteilung Abholzigkeit],0))</f>
        <v>#N/A</v>
      </c>
      <c r="N183" t="e">
        <f>VLOOKUP(Tabelle9[[#This Row],[Rank]],Stammdaten[[Rank Verteilung Abholzigkeit]:[Verteilung Abholzigkeit]],2,FALSE)</f>
        <v>#N/A</v>
      </c>
      <c r="S183">
        <v>174</v>
      </c>
      <c r="T183" t="e">
        <f>INDEX(Stammdaten[Krümmung (mm/lfm)],MATCH(Tabelle10[[#This Row],[Rank]],Stammdaten[Rank Verteilung Krümmung],0))</f>
        <v>#N/A</v>
      </c>
      <c r="U183" t="e">
        <f>VLOOKUP(Tabelle10[[#This Row],[Rank]],Stammdaten[[Rank Verteilung Krümmung]:[Verteilung Krümmung]],2,FALSE)</f>
        <v>#N/A</v>
      </c>
      <c r="Z183">
        <v>174</v>
      </c>
      <c r="AA183" t="e">
        <f>INDEX(Stammdaten[Ovalität (']0,1'])],MATCH(Tabelle1014[[#This Row],[Rank]],Stammdaten[Rank Verteilung Ovalität],0))</f>
        <v>#N/A</v>
      </c>
      <c r="AB183" t="e">
        <f>VLOOKUP(Tabelle1014[[#This Row],[Rank]],Stammdaten[[Rank Verteilung Ovalität]:[Verteilung Ovalität]],2,FALSE)</f>
        <v>#N/A</v>
      </c>
    </row>
    <row r="184" spans="5:28" x14ac:dyDescent="0.35">
      <c r="E184">
        <v>175</v>
      </c>
      <c r="F184" t="e">
        <f>INDEX(Stammdaten[D Mitte mit Rinde (mm)],MATCH(Tabelle8[[#This Row],[Rank]],Stammdaten[Rank Verteilung D Mitte mit Rinde],0))</f>
        <v>#N/A</v>
      </c>
      <c r="G184" t="e">
        <f>VLOOKUP(Tabelle8[[#This Row],[Rank]],Stammdaten[[Rank Verteilung D Mitte mit Rinde]:[Verteilung D Mitte mit Rinde]],2,FALSE)</f>
        <v>#N/A</v>
      </c>
      <c r="L184">
        <v>175</v>
      </c>
      <c r="M184" t="e">
        <f>INDEX(Stammdaten[Abholzigkeit (mm/lfm)],MATCH(Tabelle9[[#This Row],[Rank]],Stammdaten[Rank Verteilung Abholzigkeit],0))</f>
        <v>#N/A</v>
      </c>
      <c r="N184" t="e">
        <f>VLOOKUP(Tabelle9[[#This Row],[Rank]],Stammdaten[[Rank Verteilung Abholzigkeit]:[Verteilung Abholzigkeit]],2,FALSE)</f>
        <v>#N/A</v>
      </c>
      <c r="S184">
        <v>175</v>
      </c>
      <c r="T184" t="e">
        <f>INDEX(Stammdaten[Krümmung (mm/lfm)],MATCH(Tabelle10[[#This Row],[Rank]],Stammdaten[Rank Verteilung Krümmung],0))</f>
        <v>#N/A</v>
      </c>
      <c r="U184" t="e">
        <f>VLOOKUP(Tabelle10[[#This Row],[Rank]],Stammdaten[[Rank Verteilung Krümmung]:[Verteilung Krümmung]],2,FALSE)</f>
        <v>#N/A</v>
      </c>
      <c r="Z184">
        <v>175</v>
      </c>
      <c r="AA184" t="e">
        <f>INDEX(Stammdaten[Ovalität (']0,1'])],MATCH(Tabelle1014[[#This Row],[Rank]],Stammdaten[Rank Verteilung Ovalität],0))</f>
        <v>#N/A</v>
      </c>
      <c r="AB184" t="e">
        <f>VLOOKUP(Tabelle1014[[#This Row],[Rank]],Stammdaten[[Rank Verteilung Ovalität]:[Verteilung Ovalität]],2,FALSE)</f>
        <v>#N/A</v>
      </c>
    </row>
    <row r="185" spans="5:28" x14ac:dyDescent="0.35">
      <c r="E185">
        <v>176</v>
      </c>
      <c r="F185" t="e">
        <f>INDEX(Stammdaten[D Mitte mit Rinde (mm)],MATCH(Tabelle8[[#This Row],[Rank]],Stammdaten[Rank Verteilung D Mitte mit Rinde],0))</f>
        <v>#N/A</v>
      </c>
      <c r="G185" t="e">
        <f>VLOOKUP(Tabelle8[[#This Row],[Rank]],Stammdaten[[Rank Verteilung D Mitte mit Rinde]:[Verteilung D Mitte mit Rinde]],2,FALSE)</f>
        <v>#N/A</v>
      </c>
      <c r="L185">
        <v>176</v>
      </c>
      <c r="M185" t="e">
        <f>INDEX(Stammdaten[Abholzigkeit (mm/lfm)],MATCH(Tabelle9[[#This Row],[Rank]],Stammdaten[Rank Verteilung Abholzigkeit],0))</f>
        <v>#N/A</v>
      </c>
      <c r="N185" t="e">
        <f>VLOOKUP(Tabelle9[[#This Row],[Rank]],Stammdaten[[Rank Verteilung Abholzigkeit]:[Verteilung Abholzigkeit]],2,FALSE)</f>
        <v>#N/A</v>
      </c>
      <c r="S185">
        <v>176</v>
      </c>
      <c r="T185" t="e">
        <f>INDEX(Stammdaten[Krümmung (mm/lfm)],MATCH(Tabelle10[[#This Row],[Rank]],Stammdaten[Rank Verteilung Krümmung],0))</f>
        <v>#N/A</v>
      </c>
      <c r="U185" t="e">
        <f>VLOOKUP(Tabelle10[[#This Row],[Rank]],Stammdaten[[Rank Verteilung Krümmung]:[Verteilung Krümmung]],2,FALSE)</f>
        <v>#N/A</v>
      </c>
      <c r="Z185">
        <v>176</v>
      </c>
      <c r="AA185" t="e">
        <f>INDEX(Stammdaten[Ovalität (']0,1'])],MATCH(Tabelle1014[[#This Row],[Rank]],Stammdaten[Rank Verteilung Ovalität],0))</f>
        <v>#N/A</v>
      </c>
      <c r="AB185" t="e">
        <f>VLOOKUP(Tabelle1014[[#This Row],[Rank]],Stammdaten[[Rank Verteilung Ovalität]:[Verteilung Ovalität]],2,FALSE)</f>
        <v>#N/A</v>
      </c>
    </row>
    <row r="186" spans="5:28" x14ac:dyDescent="0.35">
      <c r="E186">
        <v>177</v>
      </c>
      <c r="F186" t="e">
        <f>INDEX(Stammdaten[D Mitte mit Rinde (mm)],MATCH(Tabelle8[[#This Row],[Rank]],Stammdaten[Rank Verteilung D Mitte mit Rinde],0))</f>
        <v>#N/A</v>
      </c>
      <c r="G186" t="e">
        <f>VLOOKUP(Tabelle8[[#This Row],[Rank]],Stammdaten[[Rank Verteilung D Mitte mit Rinde]:[Verteilung D Mitte mit Rinde]],2,FALSE)</f>
        <v>#N/A</v>
      </c>
      <c r="L186">
        <v>177</v>
      </c>
      <c r="M186" t="e">
        <f>INDEX(Stammdaten[Abholzigkeit (mm/lfm)],MATCH(Tabelle9[[#This Row],[Rank]],Stammdaten[Rank Verteilung Abholzigkeit],0))</f>
        <v>#N/A</v>
      </c>
      <c r="N186" t="e">
        <f>VLOOKUP(Tabelle9[[#This Row],[Rank]],Stammdaten[[Rank Verteilung Abholzigkeit]:[Verteilung Abholzigkeit]],2,FALSE)</f>
        <v>#N/A</v>
      </c>
      <c r="S186">
        <v>177</v>
      </c>
      <c r="T186" t="e">
        <f>INDEX(Stammdaten[Krümmung (mm/lfm)],MATCH(Tabelle10[[#This Row],[Rank]],Stammdaten[Rank Verteilung Krümmung],0))</f>
        <v>#N/A</v>
      </c>
      <c r="U186" t="e">
        <f>VLOOKUP(Tabelle10[[#This Row],[Rank]],Stammdaten[[Rank Verteilung Krümmung]:[Verteilung Krümmung]],2,FALSE)</f>
        <v>#N/A</v>
      </c>
      <c r="Z186">
        <v>177</v>
      </c>
      <c r="AA186" t="e">
        <f>INDEX(Stammdaten[Ovalität (']0,1'])],MATCH(Tabelle1014[[#This Row],[Rank]],Stammdaten[Rank Verteilung Ovalität],0))</f>
        <v>#N/A</v>
      </c>
      <c r="AB186" t="e">
        <f>VLOOKUP(Tabelle1014[[#This Row],[Rank]],Stammdaten[[Rank Verteilung Ovalität]:[Verteilung Ovalität]],2,FALSE)</f>
        <v>#N/A</v>
      </c>
    </row>
    <row r="187" spans="5:28" x14ac:dyDescent="0.35">
      <c r="E187">
        <v>178</v>
      </c>
      <c r="F187" t="e">
        <f>INDEX(Stammdaten[D Mitte mit Rinde (mm)],MATCH(Tabelle8[[#This Row],[Rank]],Stammdaten[Rank Verteilung D Mitte mit Rinde],0))</f>
        <v>#N/A</v>
      </c>
      <c r="G187" t="e">
        <f>VLOOKUP(Tabelle8[[#This Row],[Rank]],Stammdaten[[Rank Verteilung D Mitte mit Rinde]:[Verteilung D Mitte mit Rinde]],2,FALSE)</f>
        <v>#N/A</v>
      </c>
      <c r="L187">
        <v>178</v>
      </c>
      <c r="M187" t="e">
        <f>INDEX(Stammdaten[Abholzigkeit (mm/lfm)],MATCH(Tabelle9[[#This Row],[Rank]],Stammdaten[Rank Verteilung Abholzigkeit],0))</f>
        <v>#N/A</v>
      </c>
      <c r="N187" t="e">
        <f>VLOOKUP(Tabelle9[[#This Row],[Rank]],Stammdaten[[Rank Verteilung Abholzigkeit]:[Verteilung Abholzigkeit]],2,FALSE)</f>
        <v>#N/A</v>
      </c>
      <c r="S187">
        <v>178</v>
      </c>
      <c r="T187" t="e">
        <f>INDEX(Stammdaten[Krümmung (mm/lfm)],MATCH(Tabelle10[[#This Row],[Rank]],Stammdaten[Rank Verteilung Krümmung],0))</f>
        <v>#N/A</v>
      </c>
      <c r="U187" t="e">
        <f>VLOOKUP(Tabelle10[[#This Row],[Rank]],Stammdaten[[Rank Verteilung Krümmung]:[Verteilung Krümmung]],2,FALSE)</f>
        <v>#N/A</v>
      </c>
      <c r="Z187">
        <v>178</v>
      </c>
      <c r="AA187" t="e">
        <f>INDEX(Stammdaten[Ovalität (']0,1'])],MATCH(Tabelle1014[[#This Row],[Rank]],Stammdaten[Rank Verteilung Ovalität],0))</f>
        <v>#N/A</v>
      </c>
      <c r="AB187" t="e">
        <f>VLOOKUP(Tabelle1014[[#This Row],[Rank]],Stammdaten[[Rank Verteilung Ovalität]:[Verteilung Ovalität]],2,FALSE)</f>
        <v>#N/A</v>
      </c>
    </row>
    <row r="188" spans="5:28" x14ac:dyDescent="0.35">
      <c r="E188">
        <v>179</v>
      </c>
      <c r="F188" t="e">
        <f>INDEX(Stammdaten[D Mitte mit Rinde (mm)],MATCH(Tabelle8[[#This Row],[Rank]],Stammdaten[Rank Verteilung D Mitte mit Rinde],0))</f>
        <v>#N/A</v>
      </c>
      <c r="G188" t="e">
        <f>VLOOKUP(Tabelle8[[#This Row],[Rank]],Stammdaten[[Rank Verteilung D Mitte mit Rinde]:[Verteilung D Mitte mit Rinde]],2,FALSE)</f>
        <v>#N/A</v>
      </c>
      <c r="L188">
        <v>179</v>
      </c>
      <c r="M188" t="e">
        <f>INDEX(Stammdaten[Abholzigkeit (mm/lfm)],MATCH(Tabelle9[[#This Row],[Rank]],Stammdaten[Rank Verteilung Abholzigkeit],0))</f>
        <v>#N/A</v>
      </c>
      <c r="N188" t="e">
        <f>VLOOKUP(Tabelle9[[#This Row],[Rank]],Stammdaten[[Rank Verteilung Abholzigkeit]:[Verteilung Abholzigkeit]],2,FALSE)</f>
        <v>#N/A</v>
      </c>
      <c r="S188">
        <v>179</v>
      </c>
      <c r="T188" t="e">
        <f>INDEX(Stammdaten[Krümmung (mm/lfm)],MATCH(Tabelle10[[#This Row],[Rank]],Stammdaten[Rank Verteilung Krümmung],0))</f>
        <v>#N/A</v>
      </c>
      <c r="U188" t="e">
        <f>VLOOKUP(Tabelle10[[#This Row],[Rank]],Stammdaten[[Rank Verteilung Krümmung]:[Verteilung Krümmung]],2,FALSE)</f>
        <v>#N/A</v>
      </c>
      <c r="Z188">
        <v>179</v>
      </c>
      <c r="AA188" t="e">
        <f>INDEX(Stammdaten[Ovalität (']0,1'])],MATCH(Tabelle1014[[#This Row],[Rank]],Stammdaten[Rank Verteilung Ovalität],0))</f>
        <v>#N/A</v>
      </c>
      <c r="AB188" t="e">
        <f>VLOOKUP(Tabelle1014[[#This Row],[Rank]],Stammdaten[[Rank Verteilung Ovalität]:[Verteilung Ovalität]],2,FALSE)</f>
        <v>#N/A</v>
      </c>
    </row>
    <row r="189" spans="5:28" x14ac:dyDescent="0.35">
      <c r="E189">
        <v>180</v>
      </c>
      <c r="F189" t="e">
        <f>INDEX(Stammdaten[D Mitte mit Rinde (mm)],MATCH(Tabelle8[[#This Row],[Rank]],Stammdaten[Rank Verteilung D Mitte mit Rinde],0))</f>
        <v>#N/A</v>
      </c>
      <c r="G189" t="e">
        <f>VLOOKUP(Tabelle8[[#This Row],[Rank]],Stammdaten[[Rank Verteilung D Mitte mit Rinde]:[Verteilung D Mitte mit Rinde]],2,FALSE)</f>
        <v>#N/A</v>
      </c>
      <c r="L189">
        <v>180</v>
      </c>
      <c r="M189" t="e">
        <f>INDEX(Stammdaten[Abholzigkeit (mm/lfm)],MATCH(Tabelle9[[#This Row],[Rank]],Stammdaten[Rank Verteilung Abholzigkeit],0))</f>
        <v>#N/A</v>
      </c>
      <c r="N189" t="e">
        <f>VLOOKUP(Tabelle9[[#This Row],[Rank]],Stammdaten[[Rank Verteilung Abholzigkeit]:[Verteilung Abholzigkeit]],2,FALSE)</f>
        <v>#N/A</v>
      </c>
      <c r="S189">
        <v>180</v>
      </c>
      <c r="T189" t="e">
        <f>INDEX(Stammdaten[Krümmung (mm/lfm)],MATCH(Tabelle10[[#This Row],[Rank]],Stammdaten[Rank Verteilung Krümmung],0))</f>
        <v>#N/A</v>
      </c>
      <c r="U189" t="e">
        <f>VLOOKUP(Tabelle10[[#This Row],[Rank]],Stammdaten[[Rank Verteilung Krümmung]:[Verteilung Krümmung]],2,FALSE)</f>
        <v>#N/A</v>
      </c>
      <c r="Z189">
        <v>180</v>
      </c>
      <c r="AA189" t="e">
        <f>INDEX(Stammdaten[Ovalität (']0,1'])],MATCH(Tabelle1014[[#This Row],[Rank]],Stammdaten[Rank Verteilung Ovalität],0))</f>
        <v>#N/A</v>
      </c>
      <c r="AB189" t="e">
        <f>VLOOKUP(Tabelle1014[[#This Row],[Rank]],Stammdaten[[Rank Verteilung Ovalität]:[Verteilung Ovalität]],2,FALSE)</f>
        <v>#N/A</v>
      </c>
    </row>
    <row r="190" spans="5:28" x14ac:dyDescent="0.35">
      <c r="E190">
        <v>181</v>
      </c>
      <c r="F190" t="e">
        <f>INDEX(Stammdaten[D Mitte mit Rinde (mm)],MATCH(Tabelle8[[#This Row],[Rank]],Stammdaten[Rank Verteilung D Mitte mit Rinde],0))</f>
        <v>#N/A</v>
      </c>
      <c r="G190" t="e">
        <f>VLOOKUP(Tabelle8[[#This Row],[Rank]],Stammdaten[[Rank Verteilung D Mitte mit Rinde]:[Verteilung D Mitte mit Rinde]],2,FALSE)</f>
        <v>#N/A</v>
      </c>
      <c r="L190">
        <v>181</v>
      </c>
      <c r="M190" t="e">
        <f>INDEX(Stammdaten[Abholzigkeit (mm/lfm)],MATCH(Tabelle9[[#This Row],[Rank]],Stammdaten[Rank Verteilung Abholzigkeit],0))</f>
        <v>#N/A</v>
      </c>
      <c r="N190" t="e">
        <f>VLOOKUP(Tabelle9[[#This Row],[Rank]],Stammdaten[[Rank Verteilung Abholzigkeit]:[Verteilung Abholzigkeit]],2,FALSE)</f>
        <v>#N/A</v>
      </c>
      <c r="S190">
        <v>181</v>
      </c>
      <c r="T190" t="e">
        <f>INDEX(Stammdaten[Krümmung (mm/lfm)],MATCH(Tabelle10[[#This Row],[Rank]],Stammdaten[Rank Verteilung Krümmung],0))</f>
        <v>#N/A</v>
      </c>
      <c r="U190" t="e">
        <f>VLOOKUP(Tabelle10[[#This Row],[Rank]],Stammdaten[[Rank Verteilung Krümmung]:[Verteilung Krümmung]],2,FALSE)</f>
        <v>#N/A</v>
      </c>
      <c r="Z190">
        <v>181</v>
      </c>
      <c r="AA190" t="e">
        <f>INDEX(Stammdaten[Ovalität (']0,1'])],MATCH(Tabelle1014[[#This Row],[Rank]],Stammdaten[Rank Verteilung Ovalität],0))</f>
        <v>#N/A</v>
      </c>
      <c r="AB190" t="e">
        <f>VLOOKUP(Tabelle1014[[#This Row],[Rank]],Stammdaten[[Rank Verteilung Ovalität]:[Verteilung Ovalität]],2,FALSE)</f>
        <v>#N/A</v>
      </c>
    </row>
    <row r="191" spans="5:28" x14ac:dyDescent="0.35">
      <c r="E191">
        <v>182</v>
      </c>
      <c r="F191" t="e">
        <f>INDEX(Stammdaten[D Mitte mit Rinde (mm)],MATCH(Tabelle8[[#This Row],[Rank]],Stammdaten[Rank Verteilung D Mitte mit Rinde],0))</f>
        <v>#N/A</v>
      </c>
      <c r="G191" t="e">
        <f>VLOOKUP(Tabelle8[[#This Row],[Rank]],Stammdaten[[Rank Verteilung D Mitte mit Rinde]:[Verteilung D Mitte mit Rinde]],2,FALSE)</f>
        <v>#N/A</v>
      </c>
      <c r="L191">
        <v>182</v>
      </c>
      <c r="M191" t="e">
        <f>INDEX(Stammdaten[Abholzigkeit (mm/lfm)],MATCH(Tabelle9[[#This Row],[Rank]],Stammdaten[Rank Verteilung Abholzigkeit],0))</f>
        <v>#N/A</v>
      </c>
      <c r="N191" t="e">
        <f>VLOOKUP(Tabelle9[[#This Row],[Rank]],Stammdaten[[Rank Verteilung Abholzigkeit]:[Verteilung Abholzigkeit]],2,FALSE)</f>
        <v>#N/A</v>
      </c>
      <c r="S191">
        <v>182</v>
      </c>
      <c r="T191" t="e">
        <f>INDEX(Stammdaten[Krümmung (mm/lfm)],MATCH(Tabelle10[[#This Row],[Rank]],Stammdaten[Rank Verteilung Krümmung],0))</f>
        <v>#N/A</v>
      </c>
      <c r="U191" t="e">
        <f>VLOOKUP(Tabelle10[[#This Row],[Rank]],Stammdaten[[Rank Verteilung Krümmung]:[Verteilung Krümmung]],2,FALSE)</f>
        <v>#N/A</v>
      </c>
      <c r="Z191">
        <v>182</v>
      </c>
      <c r="AA191" t="e">
        <f>INDEX(Stammdaten[Ovalität (']0,1'])],MATCH(Tabelle1014[[#This Row],[Rank]],Stammdaten[Rank Verteilung Ovalität],0))</f>
        <v>#N/A</v>
      </c>
      <c r="AB191" t="e">
        <f>VLOOKUP(Tabelle1014[[#This Row],[Rank]],Stammdaten[[Rank Verteilung Ovalität]:[Verteilung Ovalität]],2,FALSE)</f>
        <v>#N/A</v>
      </c>
    </row>
    <row r="192" spans="5:28" x14ac:dyDescent="0.35">
      <c r="E192">
        <v>183</v>
      </c>
      <c r="F192" t="e">
        <f>INDEX(Stammdaten[D Mitte mit Rinde (mm)],MATCH(Tabelle8[[#This Row],[Rank]],Stammdaten[Rank Verteilung D Mitte mit Rinde],0))</f>
        <v>#N/A</v>
      </c>
      <c r="G192" t="e">
        <f>VLOOKUP(Tabelle8[[#This Row],[Rank]],Stammdaten[[Rank Verteilung D Mitte mit Rinde]:[Verteilung D Mitte mit Rinde]],2,FALSE)</f>
        <v>#N/A</v>
      </c>
      <c r="L192">
        <v>183</v>
      </c>
      <c r="M192" t="e">
        <f>INDEX(Stammdaten[Abholzigkeit (mm/lfm)],MATCH(Tabelle9[[#This Row],[Rank]],Stammdaten[Rank Verteilung Abholzigkeit],0))</f>
        <v>#N/A</v>
      </c>
      <c r="N192" t="e">
        <f>VLOOKUP(Tabelle9[[#This Row],[Rank]],Stammdaten[[Rank Verteilung Abholzigkeit]:[Verteilung Abholzigkeit]],2,FALSE)</f>
        <v>#N/A</v>
      </c>
      <c r="S192">
        <v>183</v>
      </c>
      <c r="T192" t="e">
        <f>INDEX(Stammdaten[Krümmung (mm/lfm)],MATCH(Tabelle10[[#This Row],[Rank]],Stammdaten[Rank Verteilung Krümmung],0))</f>
        <v>#N/A</v>
      </c>
      <c r="U192" t="e">
        <f>VLOOKUP(Tabelle10[[#This Row],[Rank]],Stammdaten[[Rank Verteilung Krümmung]:[Verteilung Krümmung]],2,FALSE)</f>
        <v>#N/A</v>
      </c>
      <c r="Z192">
        <v>183</v>
      </c>
      <c r="AA192" t="e">
        <f>INDEX(Stammdaten[Ovalität (']0,1'])],MATCH(Tabelle1014[[#This Row],[Rank]],Stammdaten[Rank Verteilung Ovalität],0))</f>
        <v>#N/A</v>
      </c>
      <c r="AB192" t="e">
        <f>VLOOKUP(Tabelle1014[[#This Row],[Rank]],Stammdaten[[Rank Verteilung Ovalität]:[Verteilung Ovalität]],2,FALSE)</f>
        <v>#N/A</v>
      </c>
    </row>
    <row r="193" spans="5:28" x14ac:dyDescent="0.35">
      <c r="E193">
        <v>184</v>
      </c>
      <c r="F193" t="e">
        <f>INDEX(Stammdaten[D Mitte mit Rinde (mm)],MATCH(Tabelle8[[#This Row],[Rank]],Stammdaten[Rank Verteilung D Mitte mit Rinde],0))</f>
        <v>#N/A</v>
      </c>
      <c r="G193" t="e">
        <f>VLOOKUP(Tabelle8[[#This Row],[Rank]],Stammdaten[[Rank Verteilung D Mitte mit Rinde]:[Verteilung D Mitte mit Rinde]],2,FALSE)</f>
        <v>#N/A</v>
      </c>
      <c r="L193">
        <v>184</v>
      </c>
      <c r="M193" t="e">
        <f>INDEX(Stammdaten[Abholzigkeit (mm/lfm)],MATCH(Tabelle9[[#This Row],[Rank]],Stammdaten[Rank Verteilung Abholzigkeit],0))</f>
        <v>#N/A</v>
      </c>
      <c r="N193" t="e">
        <f>VLOOKUP(Tabelle9[[#This Row],[Rank]],Stammdaten[[Rank Verteilung Abholzigkeit]:[Verteilung Abholzigkeit]],2,FALSE)</f>
        <v>#N/A</v>
      </c>
      <c r="S193">
        <v>184</v>
      </c>
      <c r="T193" t="e">
        <f>INDEX(Stammdaten[Krümmung (mm/lfm)],MATCH(Tabelle10[[#This Row],[Rank]],Stammdaten[Rank Verteilung Krümmung],0))</f>
        <v>#N/A</v>
      </c>
      <c r="U193" t="e">
        <f>VLOOKUP(Tabelle10[[#This Row],[Rank]],Stammdaten[[Rank Verteilung Krümmung]:[Verteilung Krümmung]],2,FALSE)</f>
        <v>#N/A</v>
      </c>
      <c r="Z193">
        <v>184</v>
      </c>
      <c r="AA193" t="e">
        <f>INDEX(Stammdaten[Ovalität (']0,1'])],MATCH(Tabelle1014[[#This Row],[Rank]],Stammdaten[Rank Verteilung Ovalität],0))</f>
        <v>#N/A</v>
      </c>
      <c r="AB193" t="e">
        <f>VLOOKUP(Tabelle1014[[#This Row],[Rank]],Stammdaten[[Rank Verteilung Ovalität]:[Verteilung Ovalität]],2,FALSE)</f>
        <v>#N/A</v>
      </c>
    </row>
    <row r="194" spans="5:28" x14ac:dyDescent="0.35">
      <c r="E194">
        <v>185</v>
      </c>
      <c r="F194" t="e">
        <f>INDEX(Stammdaten[D Mitte mit Rinde (mm)],MATCH(Tabelle8[[#This Row],[Rank]],Stammdaten[Rank Verteilung D Mitte mit Rinde],0))</f>
        <v>#N/A</v>
      </c>
      <c r="G194" t="e">
        <f>VLOOKUP(Tabelle8[[#This Row],[Rank]],Stammdaten[[Rank Verteilung D Mitte mit Rinde]:[Verteilung D Mitte mit Rinde]],2,FALSE)</f>
        <v>#N/A</v>
      </c>
      <c r="L194">
        <v>185</v>
      </c>
      <c r="M194" t="e">
        <f>INDEX(Stammdaten[Abholzigkeit (mm/lfm)],MATCH(Tabelle9[[#This Row],[Rank]],Stammdaten[Rank Verteilung Abholzigkeit],0))</f>
        <v>#N/A</v>
      </c>
      <c r="N194" t="e">
        <f>VLOOKUP(Tabelle9[[#This Row],[Rank]],Stammdaten[[Rank Verteilung Abholzigkeit]:[Verteilung Abholzigkeit]],2,FALSE)</f>
        <v>#N/A</v>
      </c>
      <c r="S194">
        <v>185</v>
      </c>
      <c r="T194" t="e">
        <f>INDEX(Stammdaten[Krümmung (mm/lfm)],MATCH(Tabelle10[[#This Row],[Rank]],Stammdaten[Rank Verteilung Krümmung],0))</f>
        <v>#N/A</v>
      </c>
      <c r="U194" t="e">
        <f>VLOOKUP(Tabelle10[[#This Row],[Rank]],Stammdaten[[Rank Verteilung Krümmung]:[Verteilung Krümmung]],2,FALSE)</f>
        <v>#N/A</v>
      </c>
      <c r="Z194">
        <v>185</v>
      </c>
      <c r="AA194" t="e">
        <f>INDEX(Stammdaten[Ovalität (']0,1'])],MATCH(Tabelle1014[[#This Row],[Rank]],Stammdaten[Rank Verteilung Ovalität],0))</f>
        <v>#N/A</v>
      </c>
      <c r="AB194" t="e">
        <f>VLOOKUP(Tabelle1014[[#This Row],[Rank]],Stammdaten[[Rank Verteilung Ovalität]:[Verteilung Ovalität]],2,FALSE)</f>
        <v>#N/A</v>
      </c>
    </row>
    <row r="195" spans="5:28" x14ac:dyDescent="0.35">
      <c r="E195">
        <v>186</v>
      </c>
      <c r="F195" t="e">
        <f>INDEX(Stammdaten[D Mitte mit Rinde (mm)],MATCH(Tabelle8[[#This Row],[Rank]],Stammdaten[Rank Verteilung D Mitte mit Rinde],0))</f>
        <v>#N/A</v>
      </c>
      <c r="G195" t="e">
        <f>VLOOKUP(Tabelle8[[#This Row],[Rank]],Stammdaten[[Rank Verteilung D Mitte mit Rinde]:[Verteilung D Mitte mit Rinde]],2,FALSE)</f>
        <v>#N/A</v>
      </c>
      <c r="L195">
        <v>186</v>
      </c>
      <c r="M195" t="e">
        <f>INDEX(Stammdaten[Abholzigkeit (mm/lfm)],MATCH(Tabelle9[[#This Row],[Rank]],Stammdaten[Rank Verteilung Abholzigkeit],0))</f>
        <v>#N/A</v>
      </c>
      <c r="N195" t="e">
        <f>VLOOKUP(Tabelle9[[#This Row],[Rank]],Stammdaten[[Rank Verteilung Abholzigkeit]:[Verteilung Abholzigkeit]],2,FALSE)</f>
        <v>#N/A</v>
      </c>
      <c r="S195">
        <v>186</v>
      </c>
      <c r="T195" t="e">
        <f>INDEX(Stammdaten[Krümmung (mm/lfm)],MATCH(Tabelle10[[#This Row],[Rank]],Stammdaten[Rank Verteilung Krümmung],0))</f>
        <v>#N/A</v>
      </c>
      <c r="U195" t="e">
        <f>VLOOKUP(Tabelle10[[#This Row],[Rank]],Stammdaten[[Rank Verteilung Krümmung]:[Verteilung Krümmung]],2,FALSE)</f>
        <v>#N/A</v>
      </c>
      <c r="Z195">
        <v>186</v>
      </c>
      <c r="AA195" t="e">
        <f>INDEX(Stammdaten[Ovalität (']0,1'])],MATCH(Tabelle1014[[#This Row],[Rank]],Stammdaten[Rank Verteilung Ovalität],0))</f>
        <v>#N/A</v>
      </c>
      <c r="AB195" t="e">
        <f>VLOOKUP(Tabelle1014[[#This Row],[Rank]],Stammdaten[[Rank Verteilung Ovalität]:[Verteilung Ovalität]],2,FALSE)</f>
        <v>#N/A</v>
      </c>
    </row>
    <row r="196" spans="5:28" x14ac:dyDescent="0.35">
      <c r="E196">
        <v>187</v>
      </c>
      <c r="F196" t="e">
        <f>INDEX(Stammdaten[D Mitte mit Rinde (mm)],MATCH(Tabelle8[[#This Row],[Rank]],Stammdaten[Rank Verteilung D Mitte mit Rinde],0))</f>
        <v>#N/A</v>
      </c>
      <c r="G196" t="e">
        <f>VLOOKUP(Tabelle8[[#This Row],[Rank]],Stammdaten[[Rank Verteilung D Mitte mit Rinde]:[Verteilung D Mitte mit Rinde]],2,FALSE)</f>
        <v>#N/A</v>
      </c>
      <c r="L196">
        <v>187</v>
      </c>
      <c r="M196" t="e">
        <f>INDEX(Stammdaten[Abholzigkeit (mm/lfm)],MATCH(Tabelle9[[#This Row],[Rank]],Stammdaten[Rank Verteilung Abholzigkeit],0))</f>
        <v>#N/A</v>
      </c>
      <c r="N196" t="e">
        <f>VLOOKUP(Tabelle9[[#This Row],[Rank]],Stammdaten[[Rank Verteilung Abholzigkeit]:[Verteilung Abholzigkeit]],2,FALSE)</f>
        <v>#N/A</v>
      </c>
      <c r="S196">
        <v>187</v>
      </c>
      <c r="T196" t="e">
        <f>INDEX(Stammdaten[Krümmung (mm/lfm)],MATCH(Tabelle10[[#This Row],[Rank]],Stammdaten[Rank Verteilung Krümmung],0))</f>
        <v>#N/A</v>
      </c>
      <c r="U196" t="e">
        <f>VLOOKUP(Tabelle10[[#This Row],[Rank]],Stammdaten[[Rank Verteilung Krümmung]:[Verteilung Krümmung]],2,FALSE)</f>
        <v>#N/A</v>
      </c>
      <c r="Z196">
        <v>187</v>
      </c>
      <c r="AA196" t="e">
        <f>INDEX(Stammdaten[Ovalität (']0,1'])],MATCH(Tabelle1014[[#This Row],[Rank]],Stammdaten[Rank Verteilung Ovalität],0))</f>
        <v>#N/A</v>
      </c>
      <c r="AB196" t="e">
        <f>VLOOKUP(Tabelle1014[[#This Row],[Rank]],Stammdaten[[Rank Verteilung Ovalität]:[Verteilung Ovalität]],2,FALSE)</f>
        <v>#N/A</v>
      </c>
    </row>
    <row r="197" spans="5:28" x14ac:dyDescent="0.35">
      <c r="E197">
        <v>188</v>
      </c>
      <c r="F197" t="e">
        <f>INDEX(Stammdaten[D Mitte mit Rinde (mm)],MATCH(Tabelle8[[#This Row],[Rank]],Stammdaten[Rank Verteilung D Mitte mit Rinde],0))</f>
        <v>#N/A</v>
      </c>
      <c r="G197" t="e">
        <f>VLOOKUP(Tabelle8[[#This Row],[Rank]],Stammdaten[[Rank Verteilung D Mitte mit Rinde]:[Verteilung D Mitte mit Rinde]],2,FALSE)</f>
        <v>#N/A</v>
      </c>
      <c r="L197">
        <v>188</v>
      </c>
      <c r="M197" t="e">
        <f>INDEX(Stammdaten[Abholzigkeit (mm/lfm)],MATCH(Tabelle9[[#This Row],[Rank]],Stammdaten[Rank Verteilung Abholzigkeit],0))</f>
        <v>#N/A</v>
      </c>
      <c r="N197" t="e">
        <f>VLOOKUP(Tabelle9[[#This Row],[Rank]],Stammdaten[[Rank Verteilung Abholzigkeit]:[Verteilung Abholzigkeit]],2,FALSE)</f>
        <v>#N/A</v>
      </c>
      <c r="S197">
        <v>188</v>
      </c>
      <c r="T197" t="e">
        <f>INDEX(Stammdaten[Krümmung (mm/lfm)],MATCH(Tabelle10[[#This Row],[Rank]],Stammdaten[Rank Verteilung Krümmung],0))</f>
        <v>#N/A</v>
      </c>
      <c r="U197" t="e">
        <f>VLOOKUP(Tabelle10[[#This Row],[Rank]],Stammdaten[[Rank Verteilung Krümmung]:[Verteilung Krümmung]],2,FALSE)</f>
        <v>#N/A</v>
      </c>
      <c r="Z197">
        <v>188</v>
      </c>
      <c r="AA197" t="e">
        <f>INDEX(Stammdaten[Ovalität (']0,1'])],MATCH(Tabelle1014[[#This Row],[Rank]],Stammdaten[Rank Verteilung Ovalität],0))</f>
        <v>#N/A</v>
      </c>
      <c r="AB197" t="e">
        <f>VLOOKUP(Tabelle1014[[#This Row],[Rank]],Stammdaten[[Rank Verteilung Ovalität]:[Verteilung Ovalität]],2,FALSE)</f>
        <v>#N/A</v>
      </c>
    </row>
    <row r="198" spans="5:28" x14ac:dyDescent="0.35">
      <c r="E198">
        <v>189</v>
      </c>
      <c r="F198" t="e">
        <f>INDEX(Stammdaten[D Mitte mit Rinde (mm)],MATCH(Tabelle8[[#This Row],[Rank]],Stammdaten[Rank Verteilung D Mitte mit Rinde],0))</f>
        <v>#N/A</v>
      </c>
      <c r="G198" t="e">
        <f>VLOOKUP(Tabelle8[[#This Row],[Rank]],Stammdaten[[Rank Verteilung D Mitte mit Rinde]:[Verteilung D Mitte mit Rinde]],2,FALSE)</f>
        <v>#N/A</v>
      </c>
      <c r="L198">
        <v>189</v>
      </c>
      <c r="M198" t="e">
        <f>INDEX(Stammdaten[Abholzigkeit (mm/lfm)],MATCH(Tabelle9[[#This Row],[Rank]],Stammdaten[Rank Verteilung Abholzigkeit],0))</f>
        <v>#N/A</v>
      </c>
      <c r="N198" t="e">
        <f>VLOOKUP(Tabelle9[[#This Row],[Rank]],Stammdaten[[Rank Verteilung Abholzigkeit]:[Verteilung Abholzigkeit]],2,FALSE)</f>
        <v>#N/A</v>
      </c>
      <c r="S198">
        <v>189</v>
      </c>
      <c r="T198" t="e">
        <f>INDEX(Stammdaten[Krümmung (mm/lfm)],MATCH(Tabelle10[[#This Row],[Rank]],Stammdaten[Rank Verteilung Krümmung],0))</f>
        <v>#N/A</v>
      </c>
      <c r="U198" t="e">
        <f>VLOOKUP(Tabelle10[[#This Row],[Rank]],Stammdaten[[Rank Verteilung Krümmung]:[Verteilung Krümmung]],2,FALSE)</f>
        <v>#N/A</v>
      </c>
      <c r="Z198">
        <v>189</v>
      </c>
      <c r="AA198" t="e">
        <f>INDEX(Stammdaten[Ovalität (']0,1'])],MATCH(Tabelle1014[[#This Row],[Rank]],Stammdaten[Rank Verteilung Ovalität],0))</f>
        <v>#N/A</v>
      </c>
      <c r="AB198" t="e">
        <f>VLOOKUP(Tabelle1014[[#This Row],[Rank]],Stammdaten[[Rank Verteilung Ovalität]:[Verteilung Ovalität]],2,FALSE)</f>
        <v>#N/A</v>
      </c>
    </row>
    <row r="199" spans="5:28" x14ac:dyDescent="0.35">
      <c r="E199">
        <v>190</v>
      </c>
      <c r="F199" t="e">
        <f>INDEX(Stammdaten[D Mitte mit Rinde (mm)],MATCH(Tabelle8[[#This Row],[Rank]],Stammdaten[Rank Verteilung D Mitte mit Rinde],0))</f>
        <v>#N/A</v>
      </c>
      <c r="G199" t="e">
        <f>VLOOKUP(Tabelle8[[#This Row],[Rank]],Stammdaten[[Rank Verteilung D Mitte mit Rinde]:[Verteilung D Mitte mit Rinde]],2,FALSE)</f>
        <v>#N/A</v>
      </c>
      <c r="L199">
        <v>190</v>
      </c>
      <c r="M199" t="e">
        <f>INDEX(Stammdaten[Abholzigkeit (mm/lfm)],MATCH(Tabelle9[[#This Row],[Rank]],Stammdaten[Rank Verteilung Abholzigkeit],0))</f>
        <v>#N/A</v>
      </c>
      <c r="N199" t="e">
        <f>VLOOKUP(Tabelle9[[#This Row],[Rank]],Stammdaten[[Rank Verteilung Abholzigkeit]:[Verteilung Abholzigkeit]],2,FALSE)</f>
        <v>#N/A</v>
      </c>
      <c r="S199">
        <v>190</v>
      </c>
      <c r="T199" t="e">
        <f>INDEX(Stammdaten[Krümmung (mm/lfm)],MATCH(Tabelle10[[#This Row],[Rank]],Stammdaten[Rank Verteilung Krümmung],0))</f>
        <v>#N/A</v>
      </c>
      <c r="U199" t="e">
        <f>VLOOKUP(Tabelle10[[#This Row],[Rank]],Stammdaten[[Rank Verteilung Krümmung]:[Verteilung Krümmung]],2,FALSE)</f>
        <v>#N/A</v>
      </c>
      <c r="Z199">
        <v>190</v>
      </c>
      <c r="AA199" t="e">
        <f>INDEX(Stammdaten[Ovalität (']0,1'])],MATCH(Tabelle1014[[#This Row],[Rank]],Stammdaten[Rank Verteilung Ovalität],0))</f>
        <v>#N/A</v>
      </c>
      <c r="AB199" t="e">
        <f>VLOOKUP(Tabelle1014[[#This Row],[Rank]],Stammdaten[[Rank Verteilung Ovalität]:[Verteilung Ovalität]],2,FALSE)</f>
        <v>#N/A</v>
      </c>
    </row>
    <row r="200" spans="5:28" x14ac:dyDescent="0.35">
      <c r="E200">
        <v>191</v>
      </c>
      <c r="F200" t="e">
        <f>INDEX(Stammdaten[D Mitte mit Rinde (mm)],MATCH(Tabelle8[[#This Row],[Rank]],Stammdaten[Rank Verteilung D Mitte mit Rinde],0))</f>
        <v>#N/A</v>
      </c>
      <c r="G200" t="e">
        <f>VLOOKUP(Tabelle8[[#This Row],[Rank]],Stammdaten[[Rank Verteilung D Mitte mit Rinde]:[Verteilung D Mitte mit Rinde]],2,FALSE)</f>
        <v>#N/A</v>
      </c>
      <c r="L200">
        <v>191</v>
      </c>
      <c r="M200" t="e">
        <f>INDEX(Stammdaten[Abholzigkeit (mm/lfm)],MATCH(Tabelle9[[#This Row],[Rank]],Stammdaten[Rank Verteilung Abholzigkeit],0))</f>
        <v>#N/A</v>
      </c>
      <c r="N200" t="e">
        <f>VLOOKUP(Tabelle9[[#This Row],[Rank]],Stammdaten[[Rank Verteilung Abholzigkeit]:[Verteilung Abholzigkeit]],2,FALSE)</f>
        <v>#N/A</v>
      </c>
      <c r="S200">
        <v>191</v>
      </c>
      <c r="T200" t="e">
        <f>INDEX(Stammdaten[Krümmung (mm/lfm)],MATCH(Tabelle10[[#This Row],[Rank]],Stammdaten[Rank Verteilung Krümmung],0))</f>
        <v>#N/A</v>
      </c>
      <c r="U200" t="e">
        <f>VLOOKUP(Tabelle10[[#This Row],[Rank]],Stammdaten[[Rank Verteilung Krümmung]:[Verteilung Krümmung]],2,FALSE)</f>
        <v>#N/A</v>
      </c>
      <c r="Z200">
        <v>191</v>
      </c>
      <c r="AA200" t="e">
        <f>INDEX(Stammdaten[Ovalität (']0,1'])],MATCH(Tabelle1014[[#This Row],[Rank]],Stammdaten[Rank Verteilung Ovalität],0))</f>
        <v>#N/A</v>
      </c>
      <c r="AB200" t="e">
        <f>VLOOKUP(Tabelle1014[[#This Row],[Rank]],Stammdaten[[Rank Verteilung Ovalität]:[Verteilung Ovalität]],2,FALSE)</f>
        <v>#N/A</v>
      </c>
    </row>
    <row r="201" spans="5:28" x14ac:dyDescent="0.35">
      <c r="E201">
        <v>192</v>
      </c>
      <c r="F201" t="e">
        <f>INDEX(Stammdaten[D Mitte mit Rinde (mm)],MATCH(Tabelle8[[#This Row],[Rank]],Stammdaten[Rank Verteilung D Mitte mit Rinde],0))</f>
        <v>#N/A</v>
      </c>
      <c r="G201" t="e">
        <f>VLOOKUP(Tabelle8[[#This Row],[Rank]],Stammdaten[[Rank Verteilung D Mitte mit Rinde]:[Verteilung D Mitte mit Rinde]],2,FALSE)</f>
        <v>#N/A</v>
      </c>
      <c r="L201">
        <v>192</v>
      </c>
      <c r="M201" t="e">
        <f>INDEX(Stammdaten[Abholzigkeit (mm/lfm)],MATCH(Tabelle9[[#This Row],[Rank]],Stammdaten[Rank Verteilung Abholzigkeit],0))</f>
        <v>#N/A</v>
      </c>
      <c r="N201" t="e">
        <f>VLOOKUP(Tabelle9[[#This Row],[Rank]],Stammdaten[[Rank Verteilung Abholzigkeit]:[Verteilung Abholzigkeit]],2,FALSE)</f>
        <v>#N/A</v>
      </c>
      <c r="S201">
        <v>192</v>
      </c>
      <c r="T201" t="e">
        <f>INDEX(Stammdaten[Krümmung (mm/lfm)],MATCH(Tabelle10[[#This Row],[Rank]],Stammdaten[Rank Verteilung Krümmung],0))</f>
        <v>#N/A</v>
      </c>
      <c r="U201" t="e">
        <f>VLOOKUP(Tabelle10[[#This Row],[Rank]],Stammdaten[[Rank Verteilung Krümmung]:[Verteilung Krümmung]],2,FALSE)</f>
        <v>#N/A</v>
      </c>
      <c r="Z201">
        <v>192</v>
      </c>
      <c r="AA201" t="e">
        <f>INDEX(Stammdaten[Ovalität (']0,1'])],MATCH(Tabelle1014[[#This Row],[Rank]],Stammdaten[Rank Verteilung Ovalität],0))</f>
        <v>#N/A</v>
      </c>
      <c r="AB201" t="e">
        <f>VLOOKUP(Tabelle1014[[#This Row],[Rank]],Stammdaten[[Rank Verteilung Ovalität]:[Verteilung Ovalität]],2,FALSE)</f>
        <v>#N/A</v>
      </c>
    </row>
    <row r="202" spans="5:28" x14ac:dyDescent="0.35">
      <c r="E202">
        <v>193</v>
      </c>
      <c r="F202" t="e">
        <f>INDEX(Stammdaten[D Mitte mit Rinde (mm)],MATCH(Tabelle8[[#This Row],[Rank]],Stammdaten[Rank Verteilung D Mitte mit Rinde],0))</f>
        <v>#N/A</v>
      </c>
      <c r="G202" t="e">
        <f>VLOOKUP(Tabelle8[[#This Row],[Rank]],Stammdaten[[Rank Verteilung D Mitte mit Rinde]:[Verteilung D Mitte mit Rinde]],2,FALSE)</f>
        <v>#N/A</v>
      </c>
      <c r="L202">
        <v>193</v>
      </c>
      <c r="M202" t="e">
        <f>INDEX(Stammdaten[Abholzigkeit (mm/lfm)],MATCH(Tabelle9[[#This Row],[Rank]],Stammdaten[Rank Verteilung Abholzigkeit],0))</f>
        <v>#N/A</v>
      </c>
      <c r="N202" t="e">
        <f>VLOOKUP(Tabelle9[[#This Row],[Rank]],Stammdaten[[Rank Verteilung Abholzigkeit]:[Verteilung Abholzigkeit]],2,FALSE)</f>
        <v>#N/A</v>
      </c>
      <c r="S202">
        <v>193</v>
      </c>
      <c r="T202" t="e">
        <f>INDEX(Stammdaten[Krümmung (mm/lfm)],MATCH(Tabelle10[[#This Row],[Rank]],Stammdaten[Rank Verteilung Krümmung],0))</f>
        <v>#N/A</v>
      </c>
      <c r="U202" t="e">
        <f>VLOOKUP(Tabelle10[[#This Row],[Rank]],Stammdaten[[Rank Verteilung Krümmung]:[Verteilung Krümmung]],2,FALSE)</f>
        <v>#N/A</v>
      </c>
      <c r="Z202">
        <v>193</v>
      </c>
      <c r="AA202" t="e">
        <f>INDEX(Stammdaten[Ovalität (']0,1'])],MATCH(Tabelle1014[[#This Row],[Rank]],Stammdaten[Rank Verteilung Ovalität],0))</f>
        <v>#N/A</v>
      </c>
      <c r="AB202" t="e">
        <f>VLOOKUP(Tabelle1014[[#This Row],[Rank]],Stammdaten[[Rank Verteilung Ovalität]:[Verteilung Ovalität]],2,FALSE)</f>
        <v>#N/A</v>
      </c>
    </row>
    <row r="203" spans="5:28" x14ac:dyDescent="0.35">
      <c r="E203">
        <v>194</v>
      </c>
      <c r="F203" t="e">
        <f>INDEX(Stammdaten[D Mitte mit Rinde (mm)],MATCH(Tabelle8[[#This Row],[Rank]],Stammdaten[Rank Verteilung D Mitte mit Rinde],0))</f>
        <v>#N/A</v>
      </c>
      <c r="G203" t="e">
        <f>VLOOKUP(Tabelle8[[#This Row],[Rank]],Stammdaten[[Rank Verteilung D Mitte mit Rinde]:[Verteilung D Mitte mit Rinde]],2,FALSE)</f>
        <v>#N/A</v>
      </c>
      <c r="L203">
        <v>194</v>
      </c>
      <c r="M203" t="e">
        <f>INDEX(Stammdaten[Abholzigkeit (mm/lfm)],MATCH(Tabelle9[[#This Row],[Rank]],Stammdaten[Rank Verteilung Abholzigkeit],0))</f>
        <v>#N/A</v>
      </c>
      <c r="N203" t="e">
        <f>VLOOKUP(Tabelle9[[#This Row],[Rank]],Stammdaten[[Rank Verteilung Abholzigkeit]:[Verteilung Abholzigkeit]],2,FALSE)</f>
        <v>#N/A</v>
      </c>
      <c r="S203">
        <v>194</v>
      </c>
      <c r="T203" t="e">
        <f>INDEX(Stammdaten[Krümmung (mm/lfm)],MATCH(Tabelle10[[#This Row],[Rank]],Stammdaten[Rank Verteilung Krümmung],0))</f>
        <v>#N/A</v>
      </c>
      <c r="U203" t="e">
        <f>VLOOKUP(Tabelle10[[#This Row],[Rank]],Stammdaten[[Rank Verteilung Krümmung]:[Verteilung Krümmung]],2,FALSE)</f>
        <v>#N/A</v>
      </c>
      <c r="Z203">
        <v>194</v>
      </c>
      <c r="AA203" t="e">
        <f>INDEX(Stammdaten[Ovalität (']0,1'])],MATCH(Tabelle1014[[#This Row],[Rank]],Stammdaten[Rank Verteilung Ovalität],0))</f>
        <v>#N/A</v>
      </c>
      <c r="AB203" t="e">
        <f>VLOOKUP(Tabelle1014[[#This Row],[Rank]],Stammdaten[[Rank Verteilung Ovalität]:[Verteilung Ovalität]],2,FALSE)</f>
        <v>#N/A</v>
      </c>
    </row>
    <row r="204" spans="5:28" x14ac:dyDescent="0.35">
      <c r="E204">
        <v>195</v>
      </c>
      <c r="F204" t="e">
        <f>INDEX(Stammdaten[D Mitte mit Rinde (mm)],MATCH(Tabelle8[[#This Row],[Rank]],Stammdaten[Rank Verteilung D Mitte mit Rinde],0))</f>
        <v>#N/A</v>
      </c>
      <c r="G204" t="e">
        <f>VLOOKUP(Tabelle8[[#This Row],[Rank]],Stammdaten[[Rank Verteilung D Mitte mit Rinde]:[Verteilung D Mitte mit Rinde]],2,FALSE)</f>
        <v>#N/A</v>
      </c>
      <c r="L204">
        <v>195</v>
      </c>
      <c r="M204" t="e">
        <f>INDEX(Stammdaten[Abholzigkeit (mm/lfm)],MATCH(Tabelle9[[#This Row],[Rank]],Stammdaten[Rank Verteilung Abholzigkeit],0))</f>
        <v>#N/A</v>
      </c>
      <c r="N204" t="e">
        <f>VLOOKUP(Tabelle9[[#This Row],[Rank]],Stammdaten[[Rank Verteilung Abholzigkeit]:[Verteilung Abholzigkeit]],2,FALSE)</f>
        <v>#N/A</v>
      </c>
      <c r="S204">
        <v>195</v>
      </c>
      <c r="T204" t="e">
        <f>INDEX(Stammdaten[Krümmung (mm/lfm)],MATCH(Tabelle10[[#This Row],[Rank]],Stammdaten[Rank Verteilung Krümmung],0))</f>
        <v>#N/A</v>
      </c>
      <c r="U204" t="e">
        <f>VLOOKUP(Tabelle10[[#This Row],[Rank]],Stammdaten[[Rank Verteilung Krümmung]:[Verteilung Krümmung]],2,FALSE)</f>
        <v>#N/A</v>
      </c>
      <c r="Z204">
        <v>195</v>
      </c>
      <c r="AA204" t="e">
        <f>INDEX(Stammdaten[Ovalität (']0,1'])],MATCH(Tabelle1014[[#This Row],[Rank]],Stammdaten[Rank Verteilung Ovalität],0))</f>
        <v>#N/A</v>
      </c>
      <c r="AB204" t="e">
        <f>VLOOKUP(Tabelle1014[[#This Row],[Rank]],Stammdaten[[Rank Verteilung Ovalität]:[Verteilung Ovalität]],2,FALSE)</f>
        <v>#N/A</v>
      </c>
    </row>
    <row r="205" spans="5:28" x14ac:dyDescent="0.35">
      <c r="E205">
        <v>196</v>
      </c>
      <c r="F205" t="e">
        <f>INDEX(Stammdaten[D Mitte mit Rinde (mm)],MATCH(Tabelle8[[#This Row],[Rank]],Stammdaten[Rank Verteilung D Mitte mit Rinde],0))</f>
        <v>#N/A</v>
      </c>
      <c r="G205" t="e">
        <f>VLOOKUP(Tabelle8[[#This Row],[Rank]],Stammdaten[[Rank Verteilung D Mitte mit Rinde]:[Verteilung D Mitte mit Rinde]],2,FALSE)</f>
        <v>#N/A</v>
      </c>
      <c r="L205">
        <v>196</v>
      </c>
      <c r="M205" t="e">
        <f>INDEX(Stammdaten[Abholzigkeit (mm/lfm)],MATCH(Tabelle9[[#This Row],[Rank]],Stammdaten[Rank Verteilung Abholzigkeit],0))</f>
        <v>#N/A</v>
      </c>
      <c r="N205" t="e">
        <f>VLOOKUP(Tabelle9[[#This Row],[Rank]],Stammdaten[[Rank Verteilung Abholzigkeit]:[Verteilung Abholzigkeit]],2,FALSE)</f>
        <v>#N/A</v>
      </c>
      <c r="S205">
        <v>196</v>
      </c>
      <c r="T205" t="e">
        <f>INDEX(Stammdaten[Krümmung (mm/lfm)],MATCH(Tabelle10[[#This Row],[Rank]],Stammdaten[Rank Verteilung Krümmung],0))</f>
        <v>#N/A</v>
      </c>
      <c r="U205" t="e">
        <f>VLOOKUP(Tabelle10[[#This Row],[Rank]],Stammdaten[[Rank Verteilung Krümmung]:[Verteilung Krümmung]],2,FALSE)</f>
        <v>#N/A</v>
      </c>
      <c r="Z205">
        <v>196</v>
      </c>
      <c r="AA205" t="e">
        <f>INDEX(Stammdaten[Ovalität (']0,1'])],MATCH(Tabelle1014[[#This Row],[Rank]],Stammdaten[Rank Verteilung Ovalität],0))</f>
        <v>#N/A</v>
      </c>
      <c r="AB205" t="e">
        <f>VLOOKUP(Tabelle1014[[#This Row],[Rank]],Stammdaten[[Rank Verteilung Ovalität]:[Verteilung Ovalität]],2,FALSE)</f>
        <v>#N/A</v>
      </c>
    </row>
    <row r="206" spans="5:28" x14ac:dyDescent="0.35">
      <c r="E206">
        <v>197</v>
      </c>
      <c r="F206" t="e">
        <f>INDEX(Stammdaten[D Mitte mit Rinde (mm)],MATCH(Tabelle8[[#This Row],[Rank]],Stammdaten[Rank Verteilung D Mitte mit Rinde],0))</f>
        <v>#N/A</v>
      </c>
      <c r="G206" t="e">
        <f>VLOOKUP(Tabelle8[[#This Row],[Rank]],Stammdaten[[Rank Verteilung D Mitte mit Rinde]:[Verteilung D Mitte mit Rinde]],2,FALSE)</f>
        <v>#N/A</v>
      </c>
      <c r="L206">
        <v>197</v>
      </c>
      <c r="M206" t="e">
        <f>INDEX(Stammdaten[Abholzigkeit (mm/lfm)],MATCH(Tabelle9[[#This Row],[Rank]],Stammdaten[Rank Verteilung Abholzigkeit],0))</f>
        <v>#N/A</v>
      </c>
      <c r="N206" t="e">
        <f>VLOOKUP(Tabelle9[[#This Row],[Rank]],Stammdaten[[Rank Verteilung Abholzigkeit]:[Verteilung Abholzigkeit]],2,FALSE)</f>
        <v>#N/A</v>
      </c>
      <c r="S206">
        <v>197</v>
      </c>
      <c r="T206" t="e">
        <f>INDEX(Stammdaten[Krümmung (mm/lfm)],MATCH(Tabelle10[[#This Row],[Rank]],Stammdaten[Rank Verteilung Krümmung],0))</f>
        <v>#N/A</v>
      </c>
      <c r="U206" t="e">
        <f>VLOOKUP(Tabelle10[[#This Row],[Rank]],Stammdaten[[Rank Verteilung Krümmung]:[Verteilung Krümmung]],2,FALSE)</f>
        <v>#N/A</v>
      </c>
      <c r="Z206">
        <v>197</v>
      </c>
      <c r="AA206" t="e">
        <f>INDEX(Stammdaten[Ovalität (']0,1'])],MATCH(Tabelle1014[[#This Row],[Rank]],Stammdaten[Rank Verteilung Ovalität],0))</f>
        <v>#N/A</v>
      </c>
      <c r="AB206" t="e">
        <f>VLOOKUP(Tabelle1014[[#This Row],[Rank]],Stammdaten[[Rank Verteilung Ovalität]:[Verteilung Ovalität]],2,FALSE)</f>
        <v>#N/A</v>
      </c>
    </row>
    <row r="207" spans="5:28" x14ac:dyDescent="0.35">
      <c r="E207">
        <v>198</v>
      </c>
      <c r="F207" t="e">
        <f>INDEX(Stammdaten[D Mitte mit Rinde (mm)],MATCH(Tabelle8[[#This Row],[Rank]],Stammdaten[Rank Verteilung D Mitte mit Rinde],0))</f>
        <v>#N/A</v>
      </c>
      <c r="G207" t="e">
        <f>VLOOKUP(Tabelle8[[#This Row],[Rank]],Stammdaten[[Rank Verteilung D Mitte mit Rinde]:[Verteilung D Mitte mit Rinde]],2,FALSE)</f>
        <v>#N/A</v>
      </c>
      <c r="L207">
        <v>198</v>
      </c>
      <c r="M207" t="e">
        <f>INDEX(Stammdaten[Abholzigkeit (mm/lfm)],MATCH(Tabelle9[[#This Row],[Rank]],Stammdaten[Rank Verteilung Abholzigkeit],0))</f>
        <v>#N/A</v>
      </c>
      <c r="N207" t="e">
        <f>VLOOKUP(Tabelle9[[#This Row],[Rank]],Stammdaten[[Rank Verteilung Abholzigkeit]:[Verteilung Abholzigkeit]],2,FALSE)</f>
        <v>#N/A</v>
      </c>
      <c r="S207">
        <v>198</v>
      </c>
      <c r="T207" t="e">
        <f>INDEX(Stammdaten[Krümmung (mm/lfm)],MATCH(Tabelle10[[#This Row],[Rank]],Stammdaten[Rank Verteilung Krümmung],0))</f>
        <v>#N/A</v>
      </c>
      <c r="U207" t="e">
        <f>VLOOKUP(Tabelle10[[#This Row],[Rank]],Stammdaten[[Rank Verteilung Krümmung]:[Verteilung Krümmung]],2,FALSE)</f>
        <v>#N/A</v>
      </c>
      <c r="Z207">
        <v>198</v>
      </c>
      <c r="AA207" t="e">
        <f>INDEX(Stammdaten[Ovalität (']0,1'])],MATCH(Tabelle1014[[#This Row],[Rank]],Stammdaten[Rank Verteilung Ovalität],0))</f>
        <v>#N/A</v>
      </c>
      <c r="AB207" t="e">
        <f>VLOOKUP(Tabelle1014[[#This Row],[Rank]],Stammdaten[[Rank Verteilung Ovalität]:[Verteilung Ovalität]],2,FALSE)</f>
        <v>#N/A</v>
      </c>
    </row>
    <row r="208" spans="5:28" x14ac:dyDescent="0.35">
      <c r="E208">
        <v>199</v>
      </c>
      <c r="F208" t="e">
        <f>INDEX(Stammdaten[D Mitte mit Rinde (mm)],MATCH(Tabelle8[[#This Row],[Rank]],Stammdaten[Rank Verteilung D Mitte mit Rinde],0))</f>
        <v>#N/A</v>
      </c>
      <c r="G208" t="e">
        <f>VLOOKUP(Tabelle8[[#This Row],[Rank]],Stammdaten[[Rank Verteilung D Mitte mit Rinde]:[Verteilung D Mitte mit Rinde]],2,FALSE)</f>
        <v>#N/A</v>
      </c>
      <c r="L208">
        <v>199</v>
      </c>
      <c r="M208" t="e">
        <f>INDEX(Stammdaten[Abholzigkeit (mm/lfm)],MATCH(Tabelle9[[#This Row],[Rank]],Stammdaten[Rank Verteilung Abholzigkeit],0))</f>
        <v>#N/A</v>
      </c>
      <c r="N208" t="e">
        <f>VLOOKUP(Tabelle9[[#This Row],[Rank]],Stammdaten[[Rank Verteilung Abholzigkeit]:[Verteilung Abholzigkeit]],2,FALSE)</f>
        <v>#N/A</v>
      </c>
      <c r="S208">
        <v>199</v>
      </c>
      <c r="T208" t="e">
        <f>INDEX(Stammdaten[Krümmung (mm/lfm)],MATCH(Tabelle10[[#This Row],[Rank]],Stammdaten[Rank Verteilung Krümmung],0))</f>
        <v>#N/A</v>
      </c>
      <c r="U208" t="e">
        <f>VLOOKUP(Tabelle10[[#This Row],[Rank]],Stammdaten[[Rank Verteilung Krümmung]:[Verteilung Krümmung]],2,FALSE)</f>
        <v>#N/A</v>
      </c>
      <c r="Z208">
        <v>199</v>
      </c>
      <c r="AA208" t="e">
        <f>INDEX(Stammdaten[Ovalität (']0,1'])],MATCH(Tabelle1014[[#This Row],[Rank]],Stammdaten[Rank Verteilung Ovalität],0))</f>
        <v>#N/A</v>
      </c>
      <c r="AB208" t="e">
        <f>VLOOKUP(Tabelle1014[[#This Row],[Rank]],Stammdaten[[Rank Verteilung Ovalität]:[Verteilung Ovalität]],2,FALSE)</f>
        <v>#N/A</v>
      </c>
    </row>
    <row r="209" spans="5:28" x14ac:dyDescent="0.35">
      <c r="E209">
        <v>200</v>
      </c>
      <c r="F209" t="e">
        <f>INDEX(Stammdaten[D Mitte mit Rinde (mm)],MATCH(Tabelle8[[#This Row],[Rank]],Stammdaten[Rank Verteilung D Mitte mit Rinde],0))</f>
        <v>#N/A</v>
      </c>
      <c r="G209" t="e">
        <f>VLOOKUP(Tabelle8[[#This Row],[Rank]],Stammdaten[[Rank Verteilung D Mitte mit Rinde]:[Verteilung D Mitte mit Rinde]],2,FALSE)</f>
        <v>#N/A</v>
      </c>
      <c r="L209">
        <v>200</v>
      </c>
      <c r="M209" t="e">
        <f>INDEX(Stammdaten[Abholzigkeit (mm/lfm)],MATCH(Tabelle9[[#This Row],[Rank]],Stammdaten[Rank Verteilung Abholzigkeit],0))</f>
        <v>#N/A</v>
      </c>
      <c r="N209" t="e">
        <f>VLOOKUP(Tabelle9[[#This Row],[Rank]],Stammdaten[[Rank Verteilung Abholzigkeit]:[Verteilung Abholzigkeit]],2,FALSE)</f>
        <v>#N/A</v>
      </c>
      <c r="S209">
        <v>200</v>
      </c>
      <c r="T209" t="e">
        <f>INDEX(Stammdaten[Krümmung (mm/lfm)],MATCH(Tabelle10[[#This Row],[Rank]],Stammdaten[Rank Verteilung Krümmung],0))</f>
        <v>#N/A</v>
      </c>
      <c r="U209" t="e">
        <f>VLOOKUP(Tabelle10[[#This Row],[Rank]],Stammdaten[[Rank Verteilung Krümmung]:[Verteilung Krümmung]],2,FALSE)</f>
        <v>#N/A</v>
      </c>
      <c r="Z209">
        <v>200</v>
      </c>
      <c r="AA209" t="e">
        <f>INDEX(Stammdaten[Ovalität (']0,1'])],MATCH(Tabelle1014[[#This Row],[Rank]],Stammdaten[Rank Verteilung Ovalität],0))</f>
        <v>#N/A</v>
      </c>
      <c r="AB209" t="e">
        <f>VLOOKUP(Tabelle1014[[#This Row],[Rank]],Stammdaten[[Rank Verteilung Ovalität]:[Verteilung Ovalität]],2,FALSE)</f>
        <v>#N/A</v>
      </c>
    </row>
    <row r="210" spans="5:28" x14ac:dyDescent="0.35">
      <c r="E210">
        <v>201</v>
      </c>
      <c r="F210" t="e">
        <f>INDEX(Stammdaten[D Mitte mit Rinde (mm)],MATCH(Tabelle8[[#This Row],[Rank]],Stammdaten[Rank Verteilung D Mitte mit Rinde],0))</f>
        <v>#N/A</v>
      </c>
      <c r="G210" t="e">
        <f>VLOOKUP(Tabelle8[[#This Row],[Rank]],Stammdaten[[Rank Verteilung D Mitte mit Rinde]:[Verteilung D Mitte mit Rinde]],2,FALSE)</f>
        <v>#N/A</v>
      </c>
      <c r="L210">
        <v>201</v>
      </c>
      <c r="M210" t="e">
        <f>INDEX(Stammdaten[Abholzigkeit (mm/lfm)],MATCH(Tabelle9[[#This Row],[Rank]],Stammdaten[Rank Verteilung Abholzigkeit],0))</f>
        <v>#N/A</v>
      </c>
      <c r="N210" t="e">
        <f>VLOOKUP(Tabelle9[[#This Row],[Rank]],Stammdaten[[Rank Verteilung Abholzigkeit]:[Verteilung Abholzigkeit]],2,FALSE)</f>
        <v>#N/A</v>
      </c>
      <c r="S210">
        <v>201</v>
      </c>
      <c r="T210" t="e">
        <f>INDEX(Stammdaten[Krümmung (mm/lfm)],MATCH(Tabelle10[[#This Row],[Rank]],Stammdaten[Rank Verteilung Krümmung],0))</f>
        <v>#N/A</v>
      </c>
      <c r="U210" t="e">
        <f>VLOOKUP(Tabelle10[[#This Row],[Rank]],Stammdaten[[Rank Verteilung Krümmung]:[Verteilung Krümmung]],2,FALSE)</f>
        <v>#N/A</v>
      </c>
      <c r="Z210">
        <v>201</v>
      </c>
      <c r="AA210" t="e">
        <f>INDEX(Stammdaten[Ovalität (']0,1'])],MATCH(Tabelle1014[[#This Row],[Rank]],Stammdaten[Rank Verteilung Ovalität],0))</f>
        <v>#N/A</v>
      </c>
      <c r="AB210" t="e">
        <f>VLOOKUP(Tabelle1014[[#This Row],[Rank]],Stammdaten[[Rank Verteilung Ovalität]:[Verteilung Ovalität]],2,FALSE)</f>
        <v>#N/A</v>
      </c>
    </row>
    <row r="211" spans="5:28" x14ac:dyDescent="0.35">
      <c r="E211">
        <v>202</v>
      </c>
      <c r="F211" t="e">
        <f>INDEX(Stammdaten[D Mitte mit Rinde (mm)],MATCH(Tabelle8[[#This Row],[Rank]],Stammdaten[Rank Verteilung D Mitte mit Rinde],0))</f>
        <v>#N/A</v>
      </c>
      <c r="G211" t="e">
        <f>VLOOKUP(Tabelle8[[#This Row],[Rank]],Stammdaten[[Rank Verteilung D Mitte mit Rinde]:[Verteilung D Mitte mit Rinde]],2,FALSE)</f>
        <v>#N/A</v>
      </c>
      <c r="L211">
        <v>202</v>
      </c>
      <c r="M211" t="e">
        <f>INDEX(Stammdaten[Abholzigkeit (mm/lfm)],MATCH(Tabelle9[[#This Row],[Rank]],Stammdaten[Rank Verteilung Abholzigkeit],0))</f>
        <v>#N/A</v>
      </c>
      <c r="N211" t="e">
        <f>VLOOKUP(Tabelle9[[#This Row],[Rank]],Stammdaten[[Rank Verteilung Abholzigkeit]:[Verteilung Abholzigkeit]],2,FALSE)</f>
        <v>#N/A</v>
      </c>
      <c r="S211">
        <v>202</v>
      </c>
      <c r="T211" t="e">
        <f>INDEX(Stammdaten[Krümmung (mm/lfm)],MATCH(Tabelle10[[#This Row],[Rank]],Stammdaten[Rank Verteilung Krümmung],0))</f>
        <v>#N/A</v>
      </c>
      <c r="U211" t="e">
        <f>VLOOKUP(Tabelle10[[#This Row],[Rank]],Stammdaten[[Rank Verteilung Krümmung]:[Verteilung Krümmung]],2,FALSE)</f>
        <v>#N/A</v>
      </c>
      <c r="Z211">
        <v>202</v>
      </c>
      <c r="AA211" t="e">
        <f>INDEX(Stammdaten[Ovalität (']0,1'])],MATCH(Tabelle1014[[#This Row],[Rank]],Stammdaten[Rank Verteilung Ovalität],0))</f>
        <v>#N/A</v>
      </c>
      <c r="AB211" t="e">
        <f>VLOOKUP(Tabelle1014[[#This Row],[Rank]],Stammdaten[[Rank Verteilung Ovalität]:[Verteilung Ovalität]],2,FALSE)</f>
        <v>#N/A</v>
      </c>
    </row>
    <row r="212" spans="5:28" x14ac:dyDescent="0.35">
      <c r="E212">
        <v>203</v>
      </c>
      <c r="F212" t="e">
        <f>INDEX(Stammdaten[D Mitte mit Rinde (mm)],MATCH(Tabelle8[[#This Row],[Rank]],Stammdaten[Rank Verteilung D Mitte mit Rinde],0))</f>
        <v>#N/A</v>
      </c>
      <c r="G212" t="e">
        <f>VLOOKUP(Tabelle8[[#This Row],[Rank]],Stammdaten[[Rank Verteilung D Mitte mit Rinde]:[Verteilung D Mitte mit Rinde]],2,FALSE)</f>
        <v>#N/A</v>
      </c>
      <c r="L212">
        <v>203</v>
      </c>
      <c r="M212" t="e">
        <f>INDEX(Stammdaten[Abholzigkeit (mm/lfm)],MATCH(Tabelle9[[#This Row],[Rank]],Stammdaten[Rank Verteilung Abholzigkeit],0))</f>
        <v>#N/A</v>
      </c>
      <c r="N212" t="e">
        <f>VLOOKUP(Tabelle9[[#This Row],[Rank]],Stammdaten[[Rank Verteilung Abholzigkeit]:[Verteilung Abholzigkeit]],2,FALSE)</f>
        <v>#N/A</v>
      </c>
      <c r="S212">
        <v>203</v>
      </c>
      <c r="T212" t="e">
        <f>INDEX(Stammdaten[Krümmung (mm/lfm)],MATCH(Tabelle10[[#This Row],[Rank]],Stammdaten[Rank Verteilung Krümmung],0))</f>
        <v>#N/A</v>
      </c>
      <c r="U212" t="e">
        <f>VLOOKUP(Tabelle10[[#This Row],[Rank]],Stammdaten[[Rank Verteilung Krümmung]:[Verteilung Krümmung]],2,FALSE)</f>
        <v>#N/A</v>
      </c>
      <c r="Z212">
        <v>203</v>
      </c>
      <c r="AA212" t="e">
        <f>INDEX(Stammdaten[Ovalität (']0,1'])],MATCH(Tabelle1014[[#This Row],[Rank]],Stammdaten[Rank Verteilung Ovalität],0))</f>
        <v>#N/A</v>
      </c>
      <c r="AB212" t="e">
        <f>VLOOKUP(Tabelle1014[[#This Row],[Rank]],Stammdaten[[Rank Verteilung Ovalität]:[Verteilung Ovalität]],2,FALSE)</f>
        <v>#N/A</v>
      </c>
    </row>
    <row r="213" spans="5:28" x14ac:dyDescent="0.35">
      <c r="E213">
        <v>204</v>
      </c>
      <c r="F213" t="e">
        <f>INDEX(Stammdaten[D Mitte mit Rinde (mm)],MATCH(Tabelle8[[#This Row],[Rank]],Stammdaten[Rank Verteilung D Mitte mit Rinde],0))</f>
        <v>#N/A</v>
      </c>
      <c r="G213" t="e">
        <f>VLOOKUP(Tabelle8[[#This Row],[Rank]],Stammdaten[[Rank Verteilung D Mitte mit Rinde]:[Verteilung D Mitte mit Rinde]],2,FALSE)</f>
        <v>#N/A</v>
      </c>
      <c r="L213">
        <v>204</v>
      </c>
      <c r="M213" t="e">
        <f>INDEX(Stammdaten[Abholzigkeit (mm/lfm)],MATCH(Tabelle9[[#This Row],[Rank]],Stammdaten[Rank Verteilung Abholzigkeit],0))</f>
        <v>#N/A</v>
      </c>
      <c r="N213" t="e">
        <f>VLOOKUP(Tabelle9[[#This Row],[Rank]],Stammdaten[[Rank Verteilung Abholzigkeit]:[Verteilung Abholzigkeit]],2,FALSE)</f>
        <v>#N/A</v>
      </c>
      <c r="S213">
        <v>204</v>
      </c>
      <c r="T213" t="e">
        <f>INDEX(Stammdaten[Krümmung (mm/lfm)],MATCH(Tabelle10[[#This Row],[Rank]],Stammdaten[Rank Verteilung Krümmung],0))</f>
        <v>#N/A</v>
      </c>
      <c r="U213" t="e">
        <f>VLOOKUP(Tabelle10[[#This Row],[Rank]],Stammdaten[[Rank Verteilung Krümmung]:[Verteilung Krümmung]],2,FALSE)</f>
        <v>#N/A</v>
      </c>
      <c r="Z213">
        <v>204</v>
      </c>
      <c r="AA213" t="e">
        <f>INDEX(Stammdaten[Ovalität (']0,1'])],MATCH(Tabelle1014[[#This Row],[Rank]],Stammdaten[Rank Verteilung Ovalität],0))</f>
        <v>#N/A</v>
      </c>
      <c r="AB213" t="e">
        <f>VLOOKUP(Tabelle1014[[#This Row],[Rank]],Stammdaten[[Rank Verteilung Ovalität]:[Verteilung Ovalität]],2,FALSE)</f>
        <v>#N/A</v>
      </c>
    </row>
    <row r="214" spans="5:28" x14ac:dyDescent="0.35">
      <c r="E214">
        <v>205</v>
      </c>
      <c r="F214" t="e">
        <f>INDEX(Stammdaten[D Mitte mit Rinde (mm)],MATCH(Tabelle8[[#This Row],[Rank]],Stammdaten[Rank Verteilung D Mitte mit Rinde],0))</f>
        <v>#N/A</v>
      </c>
      <c r="G214" t="e">
        <f>VLOOKUP(Tabelle8[[#This Row],[Rank]],Stammdaten[[Rank Verteilung D Mitte mit Rinde]:[Verteilung D Mitte mit Rinde]],2,FALSE)</f>
        <v>#N/A</v>
      </c>
      <c r="L214">
        <v>205</v>
      </c>
      <c r="M214" t="e">
        <f>INDEX(Stammdaten[Abholzigkeit (mm/lfm)],MATCH(Tabelle9[[#This Row],[Rank]],Stammdaten[Rank Verteilung Abholzigkeit],0))</f>
        <v>#N/A</v>
      </c>
      <c r="N214" t="e">
        <f>VLOOKUP(Tabelle9[[#This Row],[Rank]],Stammdaten[[Rank Verteilung Abholzigkeit]:[Verteilung Abholzigkeit]],2,FALSE)</f>
        <v>#N/A</v>
      </c>
      <c r="S214">
        <v>205</v>
      </c>
      <c r="T214" t="e">
        <f>INDEX(Stammdaten[Krümmung (mm/lfm)],MATCH(Tabelle10[[#This Row],[Rank]],Stammdaten[Rank Verteilung Krümmung],0))</f>
        <v>#N/A</v>
      </c>
      <c r="U214" t="e">
        <f>VLOOKUP(Tabelle10[[#This Row],[Rank]],Stammdaten[[Rank Verteilung Krümmung]:[Verteilung Krümmung]],2,FALSE)</f>
        <v>#N/A</v>
      </c>
      <c r="Z214">
        <v>205</v>
      </c>
      <c r="AA214" t="e">
        <f>INDEX(Stammdaten[Ovalität (']0,1'])],MATCH(Tabelle1014[[#This Row],[Rank]],Stammdaten[Rank Verteilung Ovalität],0))</f>
        <v>#N/A</v>
      </c>
      <c r="AB214" t="e">
        <f>VLOOKUP(Tabelle1014[[#This Row],[Rank]],Stammdaten[[Rank Verteilung Ovalität]:[Verteilung Ovalität]],2,FALSE)</f>
        <v>#N/A</v>
      </c>
    </row>
    <row r="215" spans="5:28" x14ac:dyDescent="0.35">
      <c r="E215">
        <v>206</v>
      </c>
      <c r="F215" t="e">
        <f>INDEX(Stammdaten[D Mitte mit Rinde (mm)],MATCH(Tabelle8[[#This Row],[Rank]],Stammdaten[Rank Verteilung D Mitte mit Rinde],0))</f>
        <v>#N/A</v>
      </c>
      <c r="G215" t="e">
        <f>VLOOKUP(Tabelle8[[#This Row],[Rank]],Stammdaten[[Rank Verteilung D Mitte mit Rinde]:[Verteilung D Mitte mit Rinde]],2,FALSE)</f>
        <v>#N/A</v>
      </c>
      <c r="L215">
        <v>206</v>
      </c>
      <c r="M215" t="e">
        <f>INDEX(Stammdaten[Abholzigkeit (mm/lfm)],MATCH(Tabelle9[[#This Row],[Rank]],Stammdaten[Rank Verteilung Abholzigkeit],0))</f>
        <v>#N/A</v>
      </c>
      <c r="N215" t="e">
        <f>VLOOKUP(Tabelle9[[#This Row],[Rank]],Stammdaten[[Rank Verteilung Abholzigkeit]:[Verteilung Abholzigkeit]],2,FALSE)</f>
        <v>#N/A</v>
      </c>
      <c r="S215">
        <v>206</v>
      </c>
      <c r="T215" t="e">
        <f>INDEX(Stammdaten[Krümmung (mm/lfm)],MATCH(Tabelle10[[#This Row],[Rank]],Stammdaten[Rank Verteilung Krümmung],0))</f>
        <v>#N/A</v>
      </c>
      <c r="U215" t="e">
        <f>VLOOKUP(Tabelle10[[#This Row],[Rank]],Stammdaten[[Rank Verteilung Krümmung]:[Verteilung Krümmung]],2,FALSE)</f>
        <v>#N/A</v>
      </c>
      <c r="Z215">
        <v>206</v>
      </c>
      <c r="AA215" t="e">
        <f>INDEX(Stammdaten[Ovalität (']0,1'])],MATCH(Tabelle1014[[#This Row],[Rank]],Stammdaten[Rank Verteilung Ovalität],0))</f>
        <v>#N/A</v>
      </c>
      <c r="AB215" t="e">
        <f>VLOOKUP(Tabelle1014[[#This Row],[Rank]],Stammdaten[[Rank Verteilung Ovalität]:[Verteilung Ovalität]],2,FALSE)</f>
        <v>#N/A</v>
      </c>
    </row>
    <row r="216" spans="5:28" x14ac:dyDescent="0.35">
      <c r="E216">
        <v>207</v>
      </c>
      <c r="F216" t="e">
        <f>INDEX(Stammdaten[D Mitte mit Rinde (mm)],MATCH(Tabelle8[[#This Row],[Rank]],Stammdaten[Rank Verteilung D Mitte mit Rinde],0))</f>
        <v>#N/A</v>
      </c>
      <c r="G216" t="e">
        <f>VLOOKUP(Tabelle8[[#This Row],[Rank]],Stammdaten[[Rank Verteilung D Mitte mit Rinde]:[Verteilung D Mitte mit Rinde]],2,FALSE)</f>
        <v>#N/A</v>
      </c>
      <c r="L216">
        <v>207</v>
      </c>
      <c r="M216" t="e">
        <f>INDEX(Stammdaten[Abholzigkeit (mm/lfm)],MATCH(Tabelle9[[#This Row],[Rank]],Stammdaten[Rank Verteilung Abholzigkeit],0))</f>
        <v>#N/A</v>
      </c>
      <c r="N216" t="e">
        <f>VLOOKUP(Tabelle9[[#This Row],[Rank]],Stammdaten[[Rank Verteilung Abholzigkeit]:[Verteilung Abholzigkeit]],2,FALSE)</f>
        <v>#N/A</v>
      </c>
      <c r="S216">
        <v>207</v>
      </c>
      <c r="T216" t="e">
        <f>INDEX(Stammdaten[Krümmung (mm/lfm)],MATCH(Tabelle10[[#This Row],[Rank]],Stammdaten[Rank Verteilung Krümmung],0))</f>
        <v>#N/A</v>
      </c>
      <c r="U216" t="e">
        <f>VLOOKUP(Tabelle10[[#This Row],[Rank]],Stammdaten[[Rank Verteilung Krümmung]:[Verteilung Krümmung]],2,FALSE)</f>
        <v>#N/A</v>
      </c>
      <c r="Z216">
        <v>207</v>
      </c>
      <c r="AA216" t="e">
        <f>INDEX(Stammdaten[Ovalität (']0,1'])],MATCH(Tabelle1014[[#This Row],[Rank]],Stammdaten[Rank Verteilung Ovalität],0))</f>
        <v>#N/A</v>
      </c>
      <c r="AB216" t="e">
        <f>VLOOKUP(Tabelle1014[[#This Row],[Rank]],Stammdaten[[Rank Verteilung Ovalität]:[Verteilung Ovalität]],2,FALSE)</f>
        <v>#N/A</v>
      </c>
    </row>
    <row r="217" spans="5:28" x14ac:dyDescent="0.35">
      <c r="E217">
        <v>208</v>
      </c>
      <c r="F217" t="e">
        <f>INDEX(Stammdaten[D Mitte mit Rinde (mm)],MATCH(Tabelle8[[#This Row],[Rank]],Stammdaten[Rank Verteilung D Mitte mit Rinde],0))</f>
        <v>#N/A</v>
      </c>
      <c r="G217" t="e">
        <f>VLOOKUP(Tabelle8[[#This Row],[Rank]],Stammdaten[[Rank Verteilung D Mitte mit Rinde]:[Verteilung D Mitte mit Rinde]],2,FALSE)</f>
        <v>#N/A</v>
      </c>
      <c r="L217">
        <v>208</v>
      </c>
      <c r="M217" t="e">
        <f>INDEX(Stammdaten[Abholzigkeit (mm/lfm)],MATCH(Tabelle9[[#This Row],[Rank]],Stammdaten[Rank Verteilung Abholzigkeit],0))</f>
        <v>#N/A</v>
      </c>
      <c r="N217" t="e">
        <f>VLOOKUP(Tabelle9[[#This Row],[Rank]],Stammdaten[[Rank Verteilung Abholzigkeit]:[Verteilung Abholzigkeit]],2,FALSE)</f>
        <v>#N/A</v>
      </c>
      <c r="S217">
        <v>208</v>
      </c>
      <c r="T217" t="e">
        <f>INDEX(Stammdaten[Krümmung (mm/lfm)],MATCH(Tabelle10[[#This Row],[Rank]],Stammdaten[Rank Verteilung Krümmung],0))</f>
        <v>#N/A</v>
      </c>
      <c r="U217" t="e">
        <f>VLOOKUP(Tabelle10[[#This Row],[Rank]],Stammdaten[[Rank Verteilung Krümmung]:[Verteilung Krümmung]],2,FALSE)</f>
        <v>#N/A</v>
      </c>
      <c r="Z217">
        <v>208</v>
      </c>
      <c r="AA217" t="e">
        <f>INDEX(Stammdaten[Ovalität (']0,1'])],MATCH(Tabelle1014[[#This Row],[Rank]],Stammdaten[Rank Verteilung Ovalität],0))</f>
        <v>#N/A</v>
      </c>
      <c r="AB217" t="e">
        <f>VLOOKUP(Tabelle1014[[#This Row],[Rank]],Stammdaten[[Rank Verteilung Ovalität]:[Verteilung Ovalität]],2,FALSE)</f>
        <v>#N/A</v>
      </c>
    </row>
    <row r="218" spans="5:28" x14ac:dyDescent="0.35">
      <c r="E218">
        <v>209</v>
      </c>
      <c r="F218" t="e">
        <f>INDEX(Stammdaten[D Mitte mit Rinde (mm)],MATCH(Tabelle8[[#This Row],[Rank]],Stammdaten[Rank Verteilung D Mitte mit Rinde],0))</f>
        <v>#N/A</v>
      </c>
      <c r="G218" t="e">
        <f>VLOOKUP(Tabelle8[[#This Row],[Rank]],Stammdaten[[Rank Verteilung D Mitte mit Rinde]:[Verteilung D Mitte mit Rinde]],2,FALSE)</f>
        <v>#N/A</v>
      </c>
      <c r="L218">
        <v>209</v>
      </c>
      <c r="M218" t="e">
        <f>INDEX(Stammdaten[Abholzigkeit (mm/lfm)],MATCH(Tabelle9[[#This Row],[Rank]],Stammdaten[Rank Verteilung Abholzigkeit],0))</f>
        <v>#N/A</v>
      </c>
      <c r="N218" t="e">
        <f>VLOOKUP(Tabelle9[[#This Row],[Rank]],Stammdaten[[Rank Verteilung Abholzigkeit]:[Verteilung Abholzigkeit]],2,FALSE)</f>
        <v>#N/A</v>
      </c>
      <c r="S218">
        <v>209</v>
      </c>
      <c r="T218" t="e">
        <f>INDEX(Stammdaten[Krümmung (mm/lfm)],MATCH(Tabelle10[[#This Row],[Rank]],Stammdaten[Rank Verteilung Krümmung],0))</f>
        <v>#N/A</v>
      </c>
      <c r="U218" t="e">
        <f>VLOOKUP(Tabelle10[[#This Row],[Rank]],Stammdaten[[Rank Verteilung Krümmung]:[Verteilung Krümmung]],2,FALSE)</f>
        <v>#N/A</v>
      </c>
      <c r="Z218">
        <v>209</v>
      </c>
      <c r="AA218" t="e">
        <f>INDEX(Stammdaten[Ovalität (']0,1'])],MATCH(Tabelle1014[[#This Row],[Rank]],Stammdaten[Rank Verteilung Ovalität],0))</f>
        <v>#N/A</v>
      </c>
      <c r="AB218" t="e">
        <f>VLOOKUP(Tabelle1014[[#This Row],[Rank]],Stammdaten[[Rank Verteilung Ovalität]:[Verteilung Ovalität]],2,FALSE)</f>
        <v>#N/A</v>
      </c>
    </row>
    <row r="219" spans="5:28" x14ac:dyDescent="0.35">
      <c r="E219">
        <v>210</v>
      </c>
      <c r="F219" t="e">
        <f>INDEX(Stammdaten[D Mitte mit Rinde (mm)],MATCH(Tabelle8[[#This Row],[Rank]],Stammdaten[Rank Verteilung D Mitte mit Rinde],0))</f>
        <v>#N/A</v>
      </c>
      <c r="G219" t="e">
        <f>VLOOKUP(Tabelle8[[#This Row],[Rank]],Stammdaten[[Rank Verteilung D Mitte mit Rinde]:[Verteilung D Mitte mit Rinde]],2,FALSE)</f>
        <v>#N/A</v>
      </c>
      <c r="L219">
        <v>210</v>
      </c>
      <c r="M219" t="e">
        <f>INDEX(Stammdaten[Abholzigkeit (mm/lfm)],MATCH(Tabelle9[[#This Row],[Rank]],Stammdaten[Rank Verteilung Abholzigkeit],0))</f>
        <v>#N/A</v>
      </c>
      <c r="N219" t="e">
        <f>VLOOKUP(Tabelle9[[#This Row],[Rank]],Stammdaten[[Rank Verteilung Abholzigkeit]:[Verteilung Abholzigkeit]],2,FALSE)</f>
        <v>#N/A</v>
      </c>
      <c r="S219">
        <v>210</v>
      </c>
      <c r="T219" t="e">
        <f>INDEX(Stammdaten[Krümmung (mm/lfm)],MATCH(Tabelle10[[#This Row],[Rank]],Stammdaten[Rank Verteilung Krümmung],0))</f>
        <v>#N/A</v>
      </c>
      <c r="U219" t="e">
        <f>VLOOKUP(Tabelle10[[#This Row],[Rank]],Stammdaten[[Rank Verteilung Krümmung]:[Verteilung Krümmung]],2,FALSE)</f>
        <v>#N/A</v>
      </c>
      <c r="Z219">
        <v>210</v>
      </c>
      <c r="AA219" t="e">
        <f>INDEX(Stammdaten[Ovalität (']0,1'])],MATCH(Tabelle1014[[#This Row],[Rank]],Stammdaten[Rank Verteilung Ovalität],0))</f>
        <v>#N/A</v>
      </c>
      <c r="AB219" t="e">
        <f>VLOOKUP(Tabelle1014[[#This Row],[Rank]],Stammdaten[[Rank Verteilung Ovalität]:[Verteilung Ovalität]],2,FALSE)</f>
        <v>#N/A</v>
      </c>
    </row>
    <row r="220" spans="5:28" x14ac:dyDescent="0.35">
      <c r="E220">
        <v>211</v>
      </c>
      <c r="F220" t="e">
        <f>INDEX(Stammdaten[D Mitte mit Rinde (mm)],MATCH(Tabelle8[[#This Row],[Rank]],Stammdaten[Rank Verteilung D Mitte mit Rinde],0))</f>
        <v>#N/A</v>
      </c>
      <c r="G220" t="e">
        <f>VLOOKUP(Tabelle8[[#This Row],[Rank]],Stammdaten[[Rank Verteilung D Mitte mit Rinde]:[Verteilung D Mitte mit Rinde]],2,FALSE)</f>
        <v>#N/A</v>
      </c>
      <c r="L220">
        <v>211</v>
      </c>
      <c r="M220" t="e">
        <f>INDEX(Stammdaten[Abholzigkeit (mm/lfm)],MATCH(Tabelle9[[#This Row],[Rank]],Stammdaten[Rank Verteilung Abholzigkeit],0))</f>
        <v>#N/A</v>
      </c>
      <c r="N220" t="e">
        <f>VLOOKUP(Tabelle9[[#This Row],[Rank]],Stammdaten[[Rank Verteilung Abholzigkeit]:[Verteilung Abholzigkeit]],2,FALSE)</f>
        <v>#N/A</v>
      </c>
      <c r="S220">
        <v>211</v>
      </c>
      <c r="T220" t="e">
        <f>INDEX(Stammdaten[Krümmung (mm/lfm)],MATCH(Tabelle10[[#This Row],[Rank]],Stammdaten[Rank Verteilung Krümmung],0))</f>
        <v>#N/A</v>
      </c>
      <c r="U220" t="e">
        <f>VLOOKUP(Tabelle10[[#This Row],[Rank]],Stammdaten[[Rank Verteilung Krümmung]:[Verteilung Krümmung]],2,FALSE)</f>
        <v>#N/A</v>
      </c>
      <c r="Z220">
        <v>211</v>
      </c>
      <c r="AA220" t="e">
        <f>INDEX(Stammdaten[Ovalität (']0,1'])],MATCH(Tabelle1014[[#This Row],[Rank]],Stammdaten[Rank Verteilung Ovalität],0))</f>
        <v>#N/A</v>
      </c>
      <c r="AB220" t="e">
        <f>VLOOKUP(Tabelle1014[[#This Row],[Rank]],Stammdaten[[Rank Verteilung Ovalität]:[Verteilung Ovalität]],2,FALSE)</f>
        <v>#N/A</v>
      </c>
    </row>
    <row r="221" spans="5:28" x14ac:dyDescent="0.35">
      <c r="E221">
        <v>212</v>
      </c>
      <c r="F221" t="e">
        <f>INDEX(Stammdaten[D Mitte mit Rinde (mm)],MATCH(Tabelle8[[#This Row],[Rank]],Stammdaten[Rank Verteilung D Mitte mit Rinde],0))</f>
        <v>#N/A</v>
      </c>
      <c r="G221" t="e">
        <f>VLOOKUP(Tabelle8[[#This Row],[Rank]],Stammdaten[[Rank Verteilung D Mitte mit Rinde]:[Verteilung D Mitte mit Rinde]],2,FALSE)</f>
        <v>#N/A</v>
      </c>
      <c r="L221">
        <v>212</v>
      </c>
      <c r="M221" t="e">
        <f>INDEX(Stammdaten[Abholzigkeit (mm/lfm)],MATCH(Tabelle9[[#This Row],[Rank]],Stammdaten[Rank Verteilung Abholzigkeit],0))</f>
        <v>#N/A</v>
      </c>
      <c r="N221" t="e">
        <f>VLOOKUP(Tabelle9[[#This Row],[Rank]],Stammdaten[[Rank Verteilung Abholzigkeit]:[Verteilung Abholzigkeit]],2,FALSE)</f>
        <v>#N/A</v>
      </c>
      <c r="S221">
        <v>212</v>
      </c>
      <c r="T221" t="e">
        <f>INDEX(Stammdaten[Krümmung (mm/lfm)],MATCH(Tabelle10[[#This Row],[Rank]],Stammdaten[Rank Verteilung Krümmung],0))</f>
        <v>#N/A</v>
      </c>
      <c r="U221" t="e">
        <f>VLOOKUP(Tabelle10[[#This Row],[Rank]],Stammdaten[[Rank Verteilung Krümmung]:[Verteilung Krümmung]],2,FALSE)</f>
        <v>#N/A</v>
      </c>
      <c r="Z221">
        <v>212</v>
      </c>
      <c r="AA221" t="e">
        <f>INDEX(Stammdaten[Ovalität (']0,1'])],MATCH(Tabelle1014[[#This Row],[Rank]],Stammdaten[Rank Verteilung Ovalität],0))</f>
        <v>#N/A</v>
      </c>
      <c r="AB221" t="e">
        <f>VLOOKUP(Tabelle1014[[#This Row],[Rank]],Stammdaten[[Rank Verteilung Ovalität]:[Verteilung Ovalität]],2,FALSE)</f>
        <v>#N/A</v>
      </c>
    </row>
    <row r="222" spans="5:28" x14ac:dyDescent="0.35">
      <c r="E222">
        <v>213</v>
      </c>
      <c r="F222" t="e">
        <f>INDEX(Stammdaten[D Mitte mit Rinde (mm)],MATCH(Tabelle8[[#This Row],[Rank]],Stammdaten[Rank Verteilung D Mitte mit Rinde],0))</f>
        <v>#N/A</v>
      </c>
      <c r="G222" t="e">
        <f>VLOOKUP(Tabelle8[[#This Row],[Rank]],Stammdaten[[Rank Verteilung D Mitte mit Rinde]:[Verteilung D Mitte mit Rinde]],2,FALSE)</f>
        <v>#N/A</v>
      </c>
      <c r="L222">
        <v>213</v>
      </c>
      <c r="M222" t="e">
        <f>INDEX(Stammdaten[Abholzigkeit (mm/lfm)],MATCH(Tabelle9[[#This Row],[Rank]],Stammdaten[Rank Verteilung Abholzigkeit],0))</f>
        <v>#N/A</v>
      </c>
      <c r="N222" t="e">
        <f>VLOOKUP(Tabelle9[[#This Row],[Rank]],Stammdaten[[Rank Verteilung Abholzigkeit]:[Verteilung Abholzigkeit]],2,FALSE)</f>
        <v>#N/A</v>
      </c>
      <c r="S222">
        <v>213</v>
      </c>
      <c r="T222" t="e">
        <f>INDEX(Stammdaten[Krümmung (mm/lfm)],MATCH(Tabelle10[[#This Row],[Rank]],Stammdaten[Rank Verteilung Krümmung],0))</f>
        <v>#N/A</v>
      </c>
      <c r="U222" t="e">
        <f>VLOOKUP(Tabelle10[[#This Row],[Rank]],Stammdaten[[Rank Verteilung Krümmung]:[Verteilung Krümmung]],2,FALSE)</f>
        <v>#N/A</v>
      </c>
      <c r="Z222">
        <v>213</v>
      </c>
      <c r="AA222" t="e">
        <f>INDEX(Stammdaten[Ovalität (']0,1'])],MATCH(Tabelle1014[[#This Row],[Rank]],Stammdaten[Rank Verteilung Ovalität],0))</f>
        <v>#N/A</v>
      </c>
      <c r="AB222" t="e">
        <f>VLOOKUP(Tabelle1014[[#This Row],[Rank]],Stammdaten[[Rank Verteilung Ovalität]:[Verteilung Ovalität]],2,FALSE)</f>
        <v>#N/A</v>
      </c>
    </row>
    <row r="223" spans="5:28" x14ac:dyDescent="0.35">
      <c r="E223">
        <v>214</v>
      </c>
      <c r="F223" t="e">
        <f>INDEX(Stammdaten[D Mitte mit Rinde (mm)],MATCH(Tabelle8[[#This Row],[Rank]],Stammdaten[Rank Verteilung D Mitte mit Rinde],0))</f>
        <v>#N/A</v>
      </c>
      <c r="G223" t="e">
        <f>VLOOKUP(Tabelle8[[#This Row],[Rank]],Stammdaten[[Rank Verteilung D Mitte mit Rinde]:[Verteilung D Mitte mit Rinde]],2,FALSE)</f>
        <v>#N/A</v>
      </c>
      <c r="L223">
        <v>214</v>
      </c>
      <c r="M223" t="e">
        <f>INDEX(Stammdaten[Abholzigkeit (mm/lfm)],MATCH(Tabelle9[[#This Row],[Rank]],Stammdaten[Rank Verteilung Abholzigkeit],0))</f>
        <v>#N/A</v>
      </c>
      <c r="N223" t="e">
        <f>VLOOKUP(Tabelle9[[#This Row],[Rank]],Stammdaten[[Rank Verteilung Abholzigkeit]:[Verteilung Abholzigkeit]],2,FALSE)</f>
        <v>#N/A</v>
      </c>
      <c r="S223">
        <v>214</v>
      </c>
      <c r="T223" t="e">
        <f>INDEX(Stammdaten[Krümmung (mm/lfm)],MATCH(Tabelle10[[#This Row],[Rank]],Stammdaten[Rank Verteilung Krümmung],0))</f>
        <v>#N/A</v>
      </c>
      <c r="U223" t="e">
        <f>VLOOKUP(Tabelle10[[#This Row],[Rank]],Stammdaten[[Rank Verteilung Krümmung]:[Verteilung Krümmung]],2,FALSE)</f>
        <v>#N/A</v>
      </c>
      <c r="Z223">
        <v>214</v>
      </c>
      <c r="AA223" t="e">
        <f>INDEX(Stammdaten[Ovalität (']0,1'])],MATCH(Tabelle1014[[#This Row],[Rank]],Stammdaten[Rank Verteilung Ovalität],0))</f>
        <v>#N/A</v>
      </c>
      <c r="AB223" t="e">
        <f>VLOOKUP(Tabelle1014[[#This Row],[Rank]],Stammdaten[[Rank Verteilung Ovalität]:[Verteilung Ovalität]],2,FALSE)</f>
        <v>#N/A</v>
      </c>
    </row>
    <row r="224" spans="5:28" x14ac:dyDescent="0.35">
      <c r="E224">
        <v>215</v>
      </c>
      <c r="F224" t="e">
        <f>INDEX(Stammdaten[D Mitte mit Rinde (mm)],MATCH(Tabelle8[[#This Row],[Rank]],Stammdaten[Rank Verteilung D Mitte mit Rinde],0))</f>
        <v>#N/A</v>
      </c>
      <c r="G224" t="e">
        <f>VLOOKUP(Tabelle8[[#This Row],[Rank]],Stammdaten[[Rank Verteilung D Mitte mit Rinde]:[Verteilung D Mitte mit Rinde]],2,FALSE)</f>
        <v>#N/A</v>
      </c>
      <c r="L224">
        <v>215</v>
      </c>
      <c r="M224" t="e">
        <f>INDEX(Stammdaten[Abholzigkeit (mm/lfm)],MATCH(Tabelle9[[#This Row],[Rank]],Stammdaten[Rank Verteilung Abholzigkeit],0))</f>
        <v>#N/A</v>
      </c>
      <c r="N224" t="e">
        <f>VLOOKUP(Tabelle9[[#This Row],[Rank]],Stammdaten[[Rank Verteilung Abholzigkeit]:[Verteilung Abholzigkeit]],2,FALSE)</f>
        <v>#N/A</v>
      </c>
      <c r="S224">
        <v>215</v>
      </c>
      <c r="T224" t="e">
        <f>INDEX(Stammdaten[Krümmung (mm/lfm)],MATCH(Tabelle10[[#This Row],[Rank]],Stammdaten[Rank Verteilung Krümmung],0))</f>
        <v>#N/A</v>
      </c>
      <c r="U224" t="e">
        <f>VLOOKUP(Tabelle10[[#This Row],[Rank]],Stammdaten[[Rank Verteilung Krümmung]:[Verteilung Krümmung]],2,FALSE)</f>
        <v>#N/A</v>
      </c>
      <c r="Z224">
        <v>215</v>
      </c>
      <c r="AA224" t="e">
        <f>INDEX(Stammdaten[Ovalität (']0,1'])],MATCH(Tabelle1014[[#This Row],[Rank]],Stammdaten[Rank Verteilung Ovalität],0))</f>
        <v>#N/A</v>
      </c>
      <c r="AB224" t="e">
        <f>VLOOKUP(Tabelle1014[[#This Row],[Rank]],Stammdaten[[Rank Verteilung Ovalität]:[Verteilung Ovalität]],2,FALSE)</f>
        <v>#N/A</v>
      </c>
    </row>
    <row r="225" spans="5:28" x14ac:dyDescent="0.35">
      <c r="E225">
        <v>216</v>
      </c>
      <c r="F225" t="e">
        <f>INDEX(Stammdaten[D Mitte mit Rinde (mm)],MATCH(Tabelle8[[#This Row],[Rank]],Stammdaten[Rank Verteilung D Mitte mit Rinde],0))</f>
        <v>#N/A</v>
      </c>
      <c r="G225" t="e">
        <f>VLOOKUP(Tabelle8[[#This Row],[Rank]],Stammdaten[[Rank Verteilung D Mitte mit Rinde]:[Verteilung D Mitte mit Rinde]],2,FALSE)</f>
        <v>#N/A</v>
      </c>
      <c r="L225">
        <v>216</v>
      </c>
      <c r="M225" t="e">
        <f>INDEX(Stammdaten[Abholzigkeit (mm/lfm)],MATCH(Tabelle9[[#This Row],[Rank]],Stammdaten[Rank Verteilung Abholzigkeit],0))</f>
        <v>#N/A</v>
      </c>
      <c r="N225" t="e">
        <f>VLOOKUP(Tabelle9[[#This Row],[Rank]],Stammdaten[[Rank Verteilung Abholzigkeit]:[Verteilung Abholzigkeit]],2,FALSE)</f>
        <v>#N/A</v>
      </c>
      <c r="S225">
        <v>216</v>
      </c>
      <c r="T225" t="e">
        <f>INDEX(Stammdaten[Krümmung (mm/lfm)],MATCH(Tabelle10[[#This Row],[Rank]],Stammdaten[Rank Verteilung Krümmung],0))</f>
        <v>#N/A</v>
      </c>
      <c r="U225" t="e">
        <f>VLOOKUP(Tabelle10[[#This Row],[Rank]],Stammdaten[[Rank Verteilung Krümmung]:[Verteilung Krümmung]],2,FALSE)</f>
        <v>#N/A</v>
      </c>
      <c r="Z225">
        <v>216</v>
      </c>
      <c r="AA225" t="e">
        <f>INDEX(Stammdaten[Ovalität (']0,1'])],MATCH(Tabelle1014[[#This Row],[Rank]],Stammdaten[Rank Verteilung Ovalität],0))</f>
        <v>#N/A</v>
      </c>
      <c r="AB225" t="e">
        <f>VLOOKUP(Tabelle1014[[#This Row],[Rank]],Stammdaten[[Rank Verteilung Ovalität]:[Verteilung Ovalität]],2,FALSE)</f>
        <v>#N/A</v>
      </c>
    </row>
    <row r="226" spans="5:28" x14ac:dyDescent="0.35">
      <c r="E226">
        <v>217</v>
      </c>
      <c r="F226" t="e">
        <f>INDEX(Stammdaten[D Mitte mit Rinde (mm)],MATCH(Tabelle8[[#This Row],[Rank]],Stammdaten[Rank Verteilung D Mitte mit Rinde],0))</f>
        <v>#N/A</v>
      </c>
      <c r="G226" t="e">
        <f>VLOOKUP(Tabelle8[[#This Row],[Rank]],Stammdaten[[Rank Verteilung D Mitte mit Rinde]:[Verteilung D Mitte mit Rinde]],2,FALSE)</f>
        <v>#N/A</v>
      </c>
      <c r="L226">
        <v>217</v>
      </c>
      <c r="M226" t="e">
        <f>INDEX(Stammdaten[Abholzigkeit (mm/lfm)],MATCH(Tabelle9[[#This Row],[Rank]],Stammdaten[Rank Verteilung Abholzigkeit],0))</f>
        <v>#N/A</v>
      </c>
      <c r="N226" t="e">
        <f>VLOOKUP(Tabelle9[[#This Row],[Rank]],Stammdaten[[Rank Verteilung Abholzigkeit]:[Verteilung Abholzigkeit]],2,FALSE)</f>
        <v>#N/A</v>
      </c>
      <c r="S226">
        <v>217</v>
      </c>
      <c r="T226" t="e">
        <f>INDEX(Stammdaten[Krümmung (mm/lfm)],MATCH(Tabelle10[[#This Row],[Rank]],Stammdaten[Rank Verteilung Krümmung],0))</f>
        <v>#N/A</v>
      </c>
      <c r="U226" t="e">
        <f>VLOOKUP(Tabelle10[[#This Row],[Rank]],Stammdaten[[Rank Verteilung Krümmung]:[Verteilung Krümmung]],2,FALSE)</f>
        <v>#N/A</v>
      </c>
      <c r="Z226">
        <v>217</v>
      </c>
      <c r="AA226" t="e">
        <f>INDEX(Stammdaten[Ovalität (']0,1'])],MATCH(Tabelle1014[[#This Row],[Rank]],Stammdaten[Rank Verteilung Ovalität],0))</f>
        <v>#N/A</v>
      </c>
      <c r="AB226" t="e">
        <f>VLOOKUP(Tabelle1014[[#This Row],[Rank]],Stammdaten[[Rank Verteilung Ovalität]:[Verteilung Ovalität]],2,FALSE)</f>
        <v>#N/A</v>
      </c>
    </row>
    <row r="227" spans="5:28" x14ac:dyDescent="0.35">
      <c r="E227">
        <v>218</v>
      </c>
      <c r="F227" t="e">
        <f>INDEX(Stammdaten[D Mitte mit Rinde (mm)],MATCH(Tabelle8[[#This Row],[Rank]],Stammdaten[Rank Verteilung D Mitte mit Rinde],0))</f>
        <v>#N/A</v>
      </c>
      <c r="G227" t="e">
        <f>VLOOKUP(Tabelle8[[#This Row],[Rank]],Stammdaten[[Rank Verteilung D Mitte mit Rinde]:[Verteilung D Mitte mit Rinde]],2,FALSE)</f>
        <v>#N/A</v>
      </c>
      <c r="L227">
        <v>218</v>
      </c>
      <c r="M227" t="e">
        <f>INDEX(Stammdaten[Abholzigkeit (mm/lfm)],MATCH(Tabelle9[[#This Row],[Rank]],Stammdaten[Rank Verteilung Abholzigkeit],0))</f>
        <v>#N/A</v>
      </c>
      <c r="N227" t="e">
        <f>VLOOKUP(Tabelle9[[#This Row],[Rank]],Stammdaten[[Rank Verteilung Abholzigkeit]:[Verteilung Abholzigkeit]],2,FALSE)</f>
        <v>#N/A</v>
      </c>
      <c r="S227">
        <v>218</v>
      </c>
      <c r="T227" t="e">
        <f>INDEX(Stammdaten[Krümmung (mm/lfm)],MATCH(Tabelle10[[#This Row],[Rank]],Stammdaten[Rank Verteilung Krümmung],0))</f>
        <v>#N/A</v>
      </c>
      <c r="U227" t="e">
        <f>VLOOKUP(Tabelle10[[#This Row],[Rank]],Stammdaten[[Rank Verteilung Krümmung]:[Verteilung Krümmung]],2,FALSE)</f>
        <v>#N/A</v>
      </c>
      <c r="Z227">
        <v>218</v>
      </c>
      <c r="AA227" t="e">
        <f>INDEX(Stammdaten[Ovalität (']0,1'])],MATCH(Tabelle1014[[#This Row],[Rank]],Stammdaten[Rank Verteilung Ovalität],0))</f>
        <v>#N/A</v>
      </c>
      <c r="AB227" t="e">
        <f>VLOOKUP(Tabelle1014[[#This Row],[Rank]],Stammdaten[[Rank Verteilung Ovalität]:[Verteilung Ovalität]],2,FALSE)</f>
        <v>#N/A</v>
      </c>
    </row>
    <row r="228" spans="5:28" x14ac:dyDescent="0.35">
      <c r="E228">
        <v>219</v>
      </c>
      <c r="F228" t="e">
        <f>INDEX(Stammdaten[D Mitte mit Rinde (mm)],MATCH(Tabelle8[[#This Row],[Rank]],Stammdaten[Rank Verteilung D Mitte mit Rinde],0))</f>
        <v>#N/A</v>
      </c>
      <c r="G228" t="e">
        <f>VLOOKUP(Tabelle8[[#This Row],[Rank]],Stammdaten[[Rank Verteilung D Mitte mit Rinde]:[Verteilung D Mitte mit Rinde]],2,FALSE)</f>
        <v>#N/A</v>
      </c>
      <c r="L228">
        <v>219</v>
      </c>
      <c r="M228" t="e">
        <f>INDEX(Stammdaten[Abholzigkeit (mm/lfm)],MATCH(Tabelle9[[#This Row],[Rank]],Stammdaten[Rank Verteilung Abholzigkeit],0))</f>
        <v>#N/A</v>
      </c>
      <c r="N228" t="e">
        <f>VLOOKUP(Tabelle9[[#This Row],[Rank]],Stammdaten[[Rank Verteilung Abholzigkeit]:[Verteilung Abholzigkeit]],2,FALSE)</f>
        <v>#N/A</v>
      </c>
      <c r="S228">
        <v>219</v>
      </c>
      <c r="T228" t="e">
        <f>INDEX(Stammdaten[Krümmung (mm/lfm)],MATCH(Tabelle10[[#This Row],[Rank]],Stammdaten[Rank Verteilung Krümmung],0))</f>
        <v>#N/A</v>
      </c>
      <c r="U228" t="e">
        <f>VLOOKUP(Tabelle10[[#This Row],[Rank]],Stammdaten[[Rank Verteilung Krümmung]:[Verteilung Krümmung]],2,FALSE)</f>
        <v>#N/A</v>
      </c>
      <c r="Z228">
        <v>219</v>
      </c>
      <c r="AA228" t="e">
        <f>INDEX(Stammdaten[Ovalität (']0,1'])],MATCH(Tabelle1014[[#This Row],[Rank]],Stammdaten[Rank Verteilung Ovalität],0))</f>
        <v>#N/A</v>
      </c>
      <c r="AB228" t="e">
        <f>VLOOKUP(Tabelle1014[[#This Row],[Rank]],Stammdaten[[Rank Verteilung Ovalität]:[Verteilung Ovalität]],2,FALSE)</f>
        <v>#N/A</v>
      </c>
    </row>
    <row r="229" spans="5:28" x14ac:dyDescent="0.35">
      <c r="E229">
        <v>220</v>
      </c>
      <c r="F229" t="e">
        <f>INDEX(Stammdaten[D Mitte mit Rinde (mm)],MATCH(Tabelle8[[#This Row],[Rank]],Stammdaten[Rank Verteilung D Mitte mit Rinde],0))</f>
        <v>#N/A</v>
      </c>
      <c r="G229" t="e">
        <f>VLOOKUP(Tabelle8[[#This Row],[Rank]],Stammdaten[[Rank Verteilung D Mitte mit Rinde]:[Verteilung D Mitte mit Rinde]],2,FALSE)</f>
        <v>#N/A</v>
      </c>
      <c r="L229">
        <v>220</v>
      </c>
      <c r="M229" t="e">
        <f>INDEX(Stammdaten[Abholzigkeit (mm/lfm)],MATCH(Tabelle9[[#This Row],[Rank]],Stammdaten[Rank Verteilung Abholzigkeit],0))</f>
        <v>#N/A</v>
      </c>
      <c r="N229" t="e">
        <f>VLOOKUP(Tabelle9[[#This Row],[Rank]],Stammdaten[[Rank Verteilung Abholzigkeit]:[Verteilung Abholzigkeit]],2,FALSE)</f>
        <v>#N/A</v>
      </c>
      <c r="S229">
        <v>220</v>
      </c>
      <c r="T229" t="e">
        <f>INDEX(Stammdaten[Krümmung (mm/lfm)],MATCH(Tabelle10[[#This Row],[Rank]],Stammdaten[Rank Verteilung Krümmung],0))</f>
        <v>#N/A</v>
      </c>
      <c r="U229" t="e">
        <f>VLOOKUP(Tabelle10[[#This Row],[Rank]],Stammdaten[[Rank Verteilung Krümmung]:[Verteilung Krümmung]],2,FALSE)</f>
        <v>#N/A</v>
      </c>
      <c r="Z229">
        <v>220</v>
      </c>
      <c r="AA229" t="e">
        <f>INDEX(Stammdaten[Ovalität (']0,1'])],MATCH(Tabelle1014[[#This Row],[Rank]],Stammdaten[Rank Verteilung Ovalität],0))</f>
        <v>#N/A</v>
      </c>
      <c r="AB229" t="e">
        <f>VLOOKUP(Tabelle1014[[#This Row],[Rank]],Stammdaten[[Rank Verteilung Ovalität]:[Verteilung Ovalität]],2,FALSE)</f>
        <v>#N/A</v>
      </c>
    </row>
    <row r="230" spans="5:28" x14ac:dyDescent="0.35">
      <c r="E230">
        <v>221</v>
      </c>
      <c r="F230" t="e">
        <f>INDEX(Stammdaten[D Mitte mit Rinde (mm)],MATCH(Tabelle8[[#This Row],[Rank]],Stammdaten[Rank Verteilung D Mitte mit Rinde],0))</f>
        <v>#N/A</v>
      </c>
      <c r="G230" t="e">
        <f>VLOOKUP(Tabelle8[[#This Row],[Rank]],Stammdaten[[Rank Verteilung D Mitte mit Rinde]:[Verteilung D Mitte mit Rinde]],2,FALSE)</f>
        <v>#N/A</v>
      </c>
      <c r="L230">
        <v>221</v>
      </c>
      <c r="M230" t="e">
        <f>INDEX(Stammdaten[Abholzigkeit (mm/lfm)],MATCH(Tabelle9[[#This Row],[Rank]],Stammdaten[Rank Verteilung Abholzigkeit],0))</f>
        <v>#N/A</v>
      </c>
      <c r="N230" t="e">
        <f>VLOOKUP(Tabelle9[[#This Row],[Rank]],Stammdaten[[Rank Verteilung Abholzigkeit]:[Verteilung Abholzigkeit]],2,FALSE)</f>
        <v>#N/A</v>
      </c>
      <c r="S230">
        <v>221</v>
      </c>
      <c r="T230" t="e">
        <f>INDEX(Stammdaten[Krümmung (mm/lfm)],MATCH(Tabelle10[[#This Row],[Rank]],Stammdaten[Rank Verteilung Krümmung],0))</f>
        <v>#N/A</v>
      </c>
      <c r="U230" t="e">
        <f>VLOOKUP(Tabelle10[[#This Row],[Rank]],Stammdaten[[Rank Verteilung Krümmung]:[Verteilung Krümmung]],2,FALSE)</f>
        <v>#N/A</v>
      </c>
      <c r="Z230">
        <v>221</v>
      </c>
      <c r="AA230" t="e">
        <f>INDEX(Stammdaten[Ovalität (']0,1'])],MATCH(Tabelle1014[[#This Row],[Rank]],Stammdaten[Rank Verteilung Ovalität],0))</f>
        <v>#N/A</v>
      </c>
      <c r="AB230" t="e">
        <f>VLOOKUP(Tabelle1014[[#This Row],[Rank]],Stammdaten[[Rank Verteilung Ovalität]:[Verteilung Ovalität]],2,FALSE)</f>
        <v>#N/A</v>
      </c>
    </row>
    <row r="231" spans="5:28" x14ac:dyDescent="0.35">
      <c r="E231">
        <v>222</v>
      </c>
      <c r="F231" t="e">
        <f>INDEX(Stammdaten[D Mitte mit Rinde (mm)],MATCH(Tabelle8[[#This Row],[Rank]],Stammdaten[Rank Verteilung D Mitte mit Rinde],0))</f>
        <v>#N/A</v>
      </c>
      <c r="G231" t="e">
        <f>VLOOKUP(Tabelle8[[#This Row],[Rank]],Stammdaten[[Rank Verteilung D Mitte mit Rinde]:[Verteilung D Mitte mit Rinde]],2,FALSE)</f>
        <v>#N/A</v>
      </c>
      <c r="L231">
        <v>222</v>
      </c>
      <c r="M231" t="e">
        <f>INDEX(Stammdaten[Abholzigkeit (mm/lfm)],MATCH(Tabelle9[[#This Row],[Rank]],Stammdaten[Rank Verteilung Abholzigkeit],0))</f>
        <v>#N/A</v>
      </c>
      <c r="N231" t="e">
        <f>VLOOKUP(Tabelle9[[#This Row],[Rank]],Stammdaten[[Rank Verteilung Abholzigkeit]:[Verteilung Abholzigkeit]],2,FALSE)</f>
        <v>#N/A</v>
      </c>
      <c r="S231">
        <v>222</v>
      </c>
      <c r="T231" t="e">
        <f>INDEX(Stammdaten[Krümmung (mm/lfm)],MATCH(Tabelle10[[#This Row],[Rank]],Stammdaten[Rank Verteilung Krümmung],0))</f>
        <v>#N/A</v>
      </c>
      <c r="U231" t="e">
        <f>VLOOKUP(Tabelle10[[#This Row],[Rank]],Stammdaten[[Rank Verteilung Krümmung]:[Verteilung Krümmung]],2,FALSE)</f>
        <v>#N/A</v>
      </c>
      <c r="Z231">
        <v>222</v>
      </c>
      <c r="AA231" t="e">
        <f>INDEX(Stammdaten[Ovalität (']0,1'])],MATCH(Tabelle1014[[#This Row],[Rank]],Stammdaten[Rank Verteilung Ovalität],0))</f>
        <v>#N/A</v>
      </c>
      <c r="AB231" t="e">
        <f>VLOOKUP(Tabelle1014[[#This Row],[Rank]],Stammdaten[[Rank Verteilung Ovalität]:[Verteilung Ovalität]],2,FALSE)</f>
        <v>#N/A</v>
      </c>
    </row>
    <row r="232" spans="5:28" x14ac:dyDescent="0.35">
      <c r="E232">
        <v>223</v>
      </c>
      <c r="F232" t="e">
        <f>INDEX(Stammdaten[D Mitte mit Rinde (mm)],MATCH(Tabelle8[[#This Row],[Rank]],Stammdaten[Rank Verteilung D Mitte mit Rinde],0))</f>
        <v>#N/A</v>
      </c>
      <c r="G232" t="e">
        <f>VLOOKUP(Tabelle8[[#This Row],[Rank]],Stammdaten[[Rank Verteilung D Mitte mit Rinde]:[Verteilung D Mitte mit Rinde]],2,FALSE)</f>
        <v>#N/A</v>
      </c>
      <c r="L232">
        <v>223</v>
      </c>
      <c r="M232" t="e">
        <f>INDEX(Stammdaten[Abholzigkeit (mm/lfm)],MATCH(Tabelle9[[#This Row],[Rank]],Stammdaten[Rank Verteilung Abholzigkeit],0))</f>
        <v>#N/A</v>
      </c>
      <c r="N232" t="e">
        <f>VLOOKUP(Tabelle9[[#This Row],[Rank]],Stammdaten[[Rank Verteilung Abholzigkeit]:[Verteilung Abholzigkeit]],2,FALSE)</f>
        <v>#N/A</v>
      </c>
      <c r="S232">
        <v>223</v>
      </c>
      <c r="T232" t="e">
        <f>INDEX(Stammdaten[Krümmung (mm/lfm)],MATCH(Tabelle10[[#This Row],[Rank]],Stammdaten[Rank Verteilung Krümmung],0))</f>
        <v>#N/A</v>
      </c>
      <c r="U232" t="e">
        <f>VLOOKUP(Tabelle10[[#This Row],[Rank]],Stammdaten[[Rank Verteilung Krümmung]:[Verteilung Krümmung]],2,FALSE)</f>
        <v>#N/A</v>
      </c>
      <c r="Z232">
        <v>223</v>
      </c>
      <c r="AA232" t="e">
        <f>INDEX(Stammdaten[Ovalität (']0,1'])],MATCH(Tabelle1014[[#This Row],[Rank]],Stammdaten[Rank Verteilung Ovalität],0))</f>
        <v>#N/A</v>
      </c>
      <c r="AB232" t="e">
        <f>VLOOKUP(Tabelle1014[[#This Row],[Rank]],Stammdaten[[Rank Verteilung Ovalität]:[Verteilung Ovalität]],2,FALSE)</f>
        <v>#N/A</v>
      </c>
    </row>
    <row r="233" spans="5:28" x14ac:dyDescent="0.35">
      <c r="E233">
        <v>224</v>
      </c>
      <c r="F233" t="e">
        <f>INDEX(Stammdaten[D Mitte mit Rinde (mm)],MATCH(Tabelle8[[#This Row],[Rank]],Stammdaten[Rank Verteilung D Mitte mit Rinde],0))</f>
        <v>#N/A</v>
      </c>
      <c r="G233" t="e">
        <f>VLOOKUP(Tabelle8[[#This Row],[Rank]],Stammdaten[[Rank Verteilung D Mitte mit Rinde]:[Verteilung D Mitte mit Rinde]],2,FALSE)</f>
        <v>#N/A</v>
      </c>
      <c r="L233">
        <v>224</v>
      </c>
      <c r="M233" t="e">
        <f>INDEX(Stammdaten[Abholzigkeit (mm/lfm)],MATCH(Tabelle9[[#This Row],[Rank]],Stammdaten[Rank Verteilung Abholzigkeit],0))</f>
        <v>#N/A</v>
      </c>
      <c r="N233" t="e">
        <f>VLOOKUP(Tabelle9[[#This Row],[Rank]],Stammdaten[[Rank Verteilung Abholzigkeit]:[Verteilung Abholzigkeit]],2,FALSE)</f>
        <v>#N/A</v>
      </c>
      <c r="S233">
        <v>224</v>
      </c>
      <c r="T233" t="e">
        <f>INDEX(Stammdaten[Krümmung (mm/lfm)],MATCH(Tabelle10[[#This Row],[Rank]],Stammdaten[Rank Verteilung Krümmung],0))</f>
        <v>#N/A</v>
      </c>
      <c r="U233" t="e">
        <f>VLOOKUP(Tabelle10[[#This Row],[Rank]],Stammdaten[[Rank Verteilung Krümmung]:[Verteilung Krümmung]],2,FALSE)</f>
        <v>#N/A</v>
      </c>
      <c r="Z233">
        <v>224</v>
      </c>
      <c r="AA233" t="e">
        <f>INDEX(Stammdaten[Ovalität (']0,1'])],MATCH(Tabelle1014[[#This Row],[Rank]],Stammdaten[Rank Verteilung Ovalität],0))</f>
        <v>#N/A</v>
      </c>
      <c r="AB233" t="e">
        <f>VLOOKUP(Tabelle1014[[#This Row],[Rank]],Stammdaten[[Rank Verteilung Ovalität]:[Verteilung Ovalität]],2,FALSE)</f>
        <v>#N/A</v>
      </c>
    </row>
    <row r="234" spans="5:28" x14ac:dyDescent="0.35">
      <c r="E234">
        <v>225</v>
      </c>
      <c r="F234" t="e">
        <f>INDEX(Stammdaten[D Mitte mit Rinde (mm)],MATCH(Tabelle8[[#This Row],[Rank]],Stammdaten[Rank Verteilung D Mitte mit Rinde],0))</f>
        <v>#N/A</v>
      </c>
      <c r="G234" t="e">
        <f>VLOOKUP(Tabelle8[[#This Row],[Rank]],Stammdaten[[Rank Verteilung D Mitte mit Rinde]:[Verteilung D Mitte mit Rinde]],2,FALSE)</f>
        <v>#N/A</v>
      </c>
      <c r="L234">
        <v>225</v>
      </c>
      <c r="M234" t="e">
        <f>INDEX(Stammdaten[Abholzigkeit (mm/lfm)],MATCH(Tabelle9[[#This Row],[Rank]],Stammdaten[Rank Verteilung Abholzigkeit],0))</f>
        <v>#N/A</v>
      </c>
      <c r="N234" t="e">
        <f>VLOOKUP(Tabelle9[[#This Row],[Rank]],Stammdaten[[Rank Verteilung Abholzigkeit]:[Verteilung Abholzigkeit]],2,FALSE)</f>
        <v>#N/A</v>
      </c>
      <c r="S234">
        <v>225</v>
      </c>
      <c r="T234" t="e">
        <f>INDEX(Stammdaten[Krümmung (mm/lfm)],MATCH(Tabelle10[[#This Row],[Rank]],Stammdaten[Rank Verteilung Krümmung],0))</f>
        <v>#N/A</v>
      </c>
      <c r="U234" t="e">
        <f>VLOOKUP(Tabelle10[[#This Row],[Rank]],Stammdaten[[Rank Verteilung Krümmung]:[Verteilung Krümmung]],2,FALSE)</f>
        <v>#N/A</v>
      </c>
      <c r="Z234">
        <v>225</v>
      </c>
      <c r="AA234" t="e">
        <f>INDEX(Stammdaten[Ovalität (']0,1'])],MATCH(Tabelle1014[[#This Row],[Rank]],Stammdaten[Rank Verteilung Ovalität],0))</f>
        <v>#N/A</v>
      </c>
      <c r="AB234" t="e">
        <f>VLOOKUP(Tabelle1014[[#This Row],[Rank]],Stammdaten[[Rank Verteilung Ovalität]:[Verteilung Ovalität]],2,FALSE)</f>
        <v>#N/A</v>
      </c>
    </row>
    <row r="235" spans="5:28" x14ac:dyDescent="0.35">
      <c r="E235">
        <v>226</v>
      </c>
      <c r="F235" t="e">
        <f>INDEX(Stammdaten[D Mitte mit Rinde (mm)],MATCH(Tabelle8[[#This Row],[Rank]],Stammdaten[Rank Verteilung D Mitte mit Rinde],0))</f>
        <v>#N/A</v>
      </c>
      <c r="G235" t="e">
        <f>VLOOKUP(Tabelle8[[#This Row],[Rank]],Stammdaten[[Rank Verteilung D Mitte mit Rinde]:[Verteilung D Mitte mit Rinde]],2,FALSE)</f>
        <v>#N/A</v>
      </c>
      <c r="L235">
        <v>226</v>
      </c>
      <c r="M235" t="e">
        <f>INDEX(Stammdaten[Abholzigkeit (mm/lfm)],MATCH(Tabelle9[[#This Row],[Rank]],Stammdaten[Rank Verteilung Abholzigkeit],0))</f>
        <v>#N/A</v>
      </c>
      <c r="N235" t="e">
        <f>VLOOKUP(Tabelle9[[#This Row],[Rank]],Stammdaten[[Rank Verteilung Abholzigkeit]:[Verteilung Abholzigkeit]],2,FALSE)</f>
        <v>#N/A</v>
      </c>
      <c r="S235">
        <v>226</v>
      </c>
      <c r="T235" t="e">
        <f>INDEX(Stammdaten[Krümmung (mm/lfm)],MATCH(Tabelle10[[#This Row],[Rank]],Stammdaten[Rank Verteilung Krümmung],0))</f>
        <v>#N/A</v>
      </c>
      <c r="U235" t="e">
        <f>VLOOKUP(Tabelle10[[#This Row],[Rank]],Stammdaten[[Rank Verteilung Krümmung]:[Verteilung Krümmung]],2,FALSE)</f>
        <v>#N/A</v>
      </c>
      <c r="Z235">
        <v>226</v>
      </c>
      <c r="AA235" t="e">
        <f>INDEX(Stammdaten[Ovalität (']0,1'])],MATCH(Tabelle1014[[#This Row],[Rank]],Stammdaten[Rank Verteilung Ovalität],0))</f>
        <v>#N/A</v>
      </c>
      <c r="AB235" t="e">
        <f>VLOOKUP(Tabelle1014[[#This Row],[Rank]],Stammdaten[[Rank Verteilung Ovalität]:[Verteilung Ovalität]],2,FALSE)</f>
        <v>#N/A</v>
      </c>
    </row>
    <row r="236" spans="5:28" x14ac:dyDescent="0.35">
      <c r="E236">
        <v>227</v>
      </c>
      <c r="F236" t="e">
        <f>INDEX(Stammdaten[D Mitte mit Rinde (mm)],MATCH(Tabelle8[[#This Row],[Rank]],Stammdaten[Rank Verteilung D Mitte mit Rinde],0))</f>
        <v>#N/A</v>
      </c>
      <c r="G236" t="e">
        <f>VLOOKUP(Tabelle8[[#This Row],[Rank]],Stammdaten[[Rank Verteilung D Mitte mit Rinde]:[Verteilung D Mitte mit Rinde]],2,FALSE)</f>
        <v>#N/A</v>
      </c>
      <c r="L236">
        <v>227</v>
      </c>
      <c r="M236" t="e">
        <f>INDEX(Stammdaten[Abholzigkeit (mm/lfm)],MATCH(Tabelle9[[#This Row],[Rank]],Stammdaten[Rank Verteilung Abholzigkeit],0))</f>
        <v>#N/A</v>
      </c>
      <c r="N236" t="e">
        <f>VLOOKUP(Tabelle9[[#This Row],[Rank]],Stammdaten[[Rank Verteilung Abholzigkeit]:[Verteilung Abholzigkeit]],2,FALSE)</f>
        <v>#N/A</v>
      </c>
      <c r="S236">
        <v>227</v>
      </c>
      <c r="T236" t="e">
        <f>INDEX(Stammdaten[Krümmung (mm/lfm)],MATCH(Tabelle10[[#This Row],[Rank]],Stammdaten[Rank Verteilung Krümmung],0))</f>
        <v>#N/A</v>
      </c>
      <c r="U236" t="e">
        <f>VLOOKUP(Tabelle10[[#This Row],[Rank]],Stammdaten[[Rank Verteilung Krümmung]:[Verteilung Krümmung]],2,FALSE)</f>
        <v>#N/A</v>
      </c>
      <c r="Z236">
        <v>227</v>
      </c>
      <c r="AA236" t="e">
        <f>INDEX(Stammdaten[Ovalität (']0,1'])],MATCH(Tabelle1014[[#This Row],[Rank]],Stammdaten[Rank Verteilung Ovalität],0))</f>
        <v>#N/A</v>
      </c>
      <c r="AB236" t="e">
        <f>VLOOKUP(Tabelle1014[[#This Row],[Rank]],Stammdaten[[Rank Verteilung Ovalität]:[Verteilung Ovalität]],2,FALSE)</f>
        <v>#N/A</v>
      </c>
    </row>
    <row r="237" spans="5:28" x14ac:dyDescent="0.35">
      <c r="E237">
        <v>228</v>
      </c>
      <c r="F237" t="e">
        <f>INDEX(Stammdaten[D Mitte mit Rinde (mm)],MATCH(Tabelle8[[#This Row],[Rank]],Stammdaten[Rank Verteilung D Mitte mit Rinde],0))</f>
        <v>#N/A</v>
      </c>
      <c r="G237" t="e">
        <f>VLOOKUP(Tabelle8[[#This Row],[Rank]],Stammdaten[[Rank Verteilung D Mitte mit Rinde]:[Verteilung D Mitte mit Rinde]],2,FALSE)</f>
        <v>#N/A</v>
      </c>
      <c r="L237">
        <v>228</v>
      </c>
      <c r="M237" t="e">
        <f>INDEX(Stammdaten[Abholzigkeit (mm/lfm)],MATCH(Tabelle9[[#This Row],[Rank]],Stammdaten[Rank Verteilung Abholzigkeit],0))</f>
        <v>#N/A</v>
      </c>
      <c r="N237" t="e">
        <f>VLOOKUP(Tabelle9[[#This Row],[Rank]],Stammdaten[[Rank Verteilung Abholzigkeit]:[Verteilung Abholzigkeit]],2,FALSE)</f>
        <v>#N/A</v>
      </c>
      <c r="S237">
        <v>228</v>
      </c>
      <c r="T237" t="e">
        <f>INDEX(Stammdaten[Krümmung (mm/lfm)],MATCH(Tabelle10[[#This Row],[Rank]],Stammdaten[Rank Verteilung Krümmung],0))</f>
        <v>#N/A</v>
      </c>
      <c r="U237" t="e">
        <f>VLOOKUP(Tabelle10[[#This Row],[Rank]],Stammdaten[[Rank Verteilung Krümmung]:[Verteilung Krümmung]],2,FALSE)</f>
        <v>#N/A</v>
      </c>
      <c r="Z237">
        <v>228</v>
      </c>
      <c r="AA237" t="e">
        <f>INDEX(Stammdaten[Ovalität (']0,1'])],MATCH(Tabelle1014[[#This Row],[Rank]],Stammdaten[Rank Verteilung Ovalität],0))</f>
        <v>#N/A</v>
      </c>
      <c r="AB237" t="e">
        <f>VLOOKUP(Tabelle1014[[#This Row],[Rank]],Stammdaten[[Rank Verteilung Ovalität]:[Verteilung Ovalität]],2,FALSE)</f>
        <v>#N/A</v>
      </c>
    </row>
    <row r="238" spans="5:28" x14ac:dyDescent="0.35">
      <c r="E238">
        <v>229</v>
      </c>
      <c r="F238" t="e">
        <f>INDEX(Stammdaten[D Mitte mit Rinde (mm)],MATCH(Tabelle8[[#This Row],[Rank]],Stammdaten[Rank Verteilung D Mitte mit Rinde],0))</f>
        <v>#N/A</v>
      </c>
      <c r="G238" t="e">
        <f>VLOOKUP(Tabelle8[[#This Row],[Rank]],Stammdaten[[Rank Verteilung D Mitte mit Rinde]:[Verteilung D Mitte mit Rinde]],2,FALSE)</f>
        <v>#N/A</v>
      </c>
      <c r="L238">
        <v>229</v>
      </c>
      <c r="M238" t="e">
        <f>INDEX(Stammdaten[Abholzigkeit (mm/lfm)],MATCH(Tabelle9[[#This Row],[Rank]],Stammdaten[Rank Verteilung Abholzigkeit],0))</f>
        <v>#N/A</v>
      </c>
      <c r="N238" t="e">
        <f>VLOOKUP(Tabelle9[[#This Row],[Rank]],Stammdaten[[Rank Verteilung Abholzigkeit]:[Verteilung Abholzigkeit]],2,FALSE)</f>
        <v>#N/A</v>
      </c>
      <c r="S238">
        <v>229</v>
      </c>
      <c r="T238" t="e">
        <f>INDEX(Stammdaten[Krümmung (mm/lfm)],MATCH(Tabelle10[[#This Row],[Rank]],Stammdaten[Rank Verteilung Krümmung],0))</f>
        <v>#N/A</v>
      </c>
      <c r="U238" t="e">
        <f>VLOOKUP(Tabelle10[[#This Row],[Rank]],Stammdaten[[Rank Verteilung Krümmung]:[Verteilung Krümmung]],2,FALSE)</f>
        <v>#N/A</v>
      </c>
      <c r="Z238">
        <v>229</v>
      </c>
      <c r="AA238" t="e">
        <f>INDEX(Stammdaten[Ovalität (']0,1'])],MATCH(Tabelle1014[[#This Row],[Rank]],Stammdaten[Rank Verteilung Ovalität],0))</f>
        <v>#N/A</v>
      </c>
      <c r="AB238" t="e">
        <f>VLOOKUP(Tabelle1014[[#This Row],[Rank]],Stammdaten[[Rank Verteilung Ovalität]:[Verteilung Ovalität]],2,FALSE)</f>
        <v>#N/A</v>
      </c>
    </row>
    <row r="239" spans="5:28" x14ac:dyDescent="0.35">
      <c r="E239">
        <v>230</v>
      </c>
      <c r="F239" t="e">
        <f>INDEX(Stammdaten[D Mitte mit Rinde (mm)],MATCH(Tabelle8[[#This Row],[Rank]],Stammdaten[Rank Verteilung D Mitte mit Rinde],0))</f>
        <v>#N/A</v>
      </c>
      <c r="G239" t="e">
        <f>VLOOKUP(Tabelle8[[#This Row],[Rank]],Stammdaten[[Rank Verteilung D Mitte mit Rinde]:[Verteilung D Mitte mit Rinde]],2,FALSE)</f>
        <v>#N/A</v>
      </c>
      <c r="L239">
        <v>230</v>
      </c>
      <c r="M239" t="e">
        <f>INDEX(Stammdaten[Abholzigkeit (mm/lfm)],MATCH(Tabelle9[[#This Row],[Rank]],Stammdaten[Rank Verteilung Abholzigkeit],0))</f>
        <v>#N/A</v>
      </c>
      <c r="N239" t="e">
        <f>VLOOKUP(Tabelle9[[#This Row],[Rank]],Stammdaten[[Rank Verteilung Abholzigkeit]:[Verteilung Abholzigkeit]],2,FALSE)</f>
        <v>#N/A</v>
      </c>
      <c r="S239">
        <v>230</v>
      </c>
      <c r="T239" t="e">
        <f>INDEX(Stammdaten[Krümmung (mm/lfm)],MATCH(Tabelle10[[#This Row],[Rank]],Stammdaten[Rank Verteilung Krümmung],0))</f>
        <v>#N/A</v>
      </c>
      <c r="U239" t="e">
        <f>VLOOKUP(Tabelle10[[#This Row],[Rank]],Stammdaten[[Rank Verteilung Krümmung]:[Verteilung Krümmung]],2,FALSE)</f>
        <v>#N/A</v>
      </c>
      <c r="Z239">
        <v>230</v>
      </c>
      <c r="AA239" t="e">
        <f>INDEX(Stammdaten[Ovalität (']0,1'])],MATCH(Tabelle1014[[#This Row],[Rank]],Stammdaten[Rank Verteilung Ovalität],0))</f>
        <v>#N/A</v>
      </c>
      <c r="AB239" t="e">
        <f>VLOOKUP(Tabelle1014[[#This Row],[Rank]],Stammdaten[[Rank Verteilung Ovalität]:[Verteilung Ovalität]],2,FALSE)</f>
        <v>#N/A</v>
      </c>
    </row>
    <row r="240" spans="5:28" x14ac:dyDescent="0.35">
      <c r="E240">
        <v>231</v>
      </c>
      <c r="F240" t="e">
        <f>INDEX(Stammdaten[D Mitte mit Rinde (mm)],MATCH(Tabelle8[[#This Row],[Rank]],Stammdaten[Rank Verteilung D Mitte mit Rinde],0))</f>
        <v>#N/A</v>
      </c>
      <c r="G240" t="e">
        <f>VLOOKUP(Tabelle8[[#This Row],[Rank]],Stammdaten[[Rank Verteilung D Mitte mit Rinde]:[Verteilung D Mitte mit Rinde]],2,FALSE)</f>
        <v>#N/A</v>
      </c>
      <c r="L240">
        <v>231</v>
      </c>
      <c r="M240" t="e">
        <f>INDEX(Stammdaten[Abholzigkeit (mm/lfm)],MATCH(Tabelle9[[#This Row],[Rank]],Stammdaten[Rank Verteilung Abholzigkeit],0))</f>
        <v>#N/A</v>
      </c>
      <c r="N240" t="e">
        <f>VLOOKUP(Tabelle9[[#This Row],[Rank]],Stammdaten[[Rank Verteilung Abholzigkeit]:[Verteilung Abholzigkeit]],2,FALSE)</f>
        <v>#N/A</v>
      </c>
      <c r="S240">
        <v>231</v>
      </c>
      <c r="T240" t="e">
        <f>INDEX(Stammdaten[Krümmung (mm/lfm)],MATCH(Tabelle10[[#This Row],[Rank]],Stammdaten[Rank Verteilung Krümmung],0))</f>
        <v>#N/A</v>
      </c>
      <c r="U240" t="e">
        <f>VLOOKUP(Tabelle10[[#This Row],[Rank]],Stammdaten[[Rank Verteilung Krümmung]:[Verteilung Krümmung]],2,FALSE)</f>
        <v>#N/A</v>
      </c>
      <c r="Z240">
        <v>231</v>
      </c>
      <c r="AA240" t="e">
        <f>INDEX(Stammdaten[Ovalität (']0,1'])],MATCH(Tabelle1014[[#This Row],[Rank]],Stammdaten[Rank Verteilung Ovalität],0))</f>
        <v>#N/A</v>
      </c>
      <c r="AB240" t="e">
        <f>VLOOKUP(Tabelle1014[[#This Row],[Rank]],Stammdaten[[Rank Verteilung Ovalität]:[Verteilung Ovalität]],2,FALSE)</f>
        <v>#N/A</v>
      </c>
    </row>
    <row r="241" spans="5:28" x14ac:dyDescent="0.35">
      <c r="E241">
        <v>232</v>
      </c>
      <c r="F241" t="e">
        <f>INDEX(Stammdaten[D Mitte mit Rinde (mm)],MATCH(Tabelle8[[#This Row],[Rank]],Stammdaten[Rank Verteilung D Mitte mit Rinde],0))</f>
        <v>#N/A</v>
      </c>
      <c r="G241" t="e">
        <f>VLOOKUP(Tabelle8[[#This Row],[Rank]],Stammdaten[[Rank Verteilung D Mitte mit Rinde]:[Verteilung D Mitte mit Rinde]],2,FALSE)</f>
        <v>#N/A</v>
      </c>
      <c r="L241">
        <v>232</v>
      </c>
      <c r="M241" t="e">
        <f>INDEX(Stammdaten[Abholzigkeit (mm/lfm)],MATCH(Tabelle9[[#This Row],[Rank]],Stammdaten[Rank Verteilung Abholzigkeit],0))</f>
        <v>#N/A</v>
      </c>
      <c r="N241" t="e">
        <f>VLOOKUP(Tabelle9[[#This Row],[Rank]],Stammdaten[[Rank Verteilung Abholzigkeit]:[Verteilung Abholzigkeit]],2,FALSE)</f>
        <v>#N/A</v>
      </c>
      <c r="S241">
        <v>232</v>
      </c>
      <c r="T241" t="e">
        <f>INDEX(Stammdaten[Krümmung (mm/lfm)],MATCH(Tabelle10[[#This Row],[Rank]],Stammdaten[Rank Verteilung Krümmung],0))</f>
        <v>#N/A</v>
      </c>
      <c r="U241" t="e">
        <f>VLOOKUP(Tabelle10[[#This Row],[Rank]],Stammdaten[[Rank Verteilung Krümmung]:[Verteilung Krümmung]],2,FALSE)</f>
        <v>#N/A</v>
      </c>
      <c r="Z241">
        <v>232</v>
      </c>
      <c r="AA241" t="e">
        <f>INDEX(Stammdaten[Ovalität (']0,1'])],MATCH(Tabelle1014[[#This Row],[Rank]],Stammdaten[Rank Verteilung Ovalität],0))</f>
        <v>#N/A</v>
      </c>
      <c r="AB241" t="e">
        <f>VLOOKUP(Tabelle1014[[#This Row],[Rank]],Stammdaten[[Rank Verteilung Ovalität]:[Verteilung Ovalität]],2,FALSE)</f>
        <v>#N/A</v>
      </c>
    </row>
    <row r="242" spans="5:28" x14ac:dyDescent="0.35">
      <c r="E242">
        <v>233</v>
      </c>
      <c r="F242" t="e">
        <f>INDEX(Stammdaten[D Mitte mit Rinde (mm)],MATCH(Tabelle8[[#This Row],[Rank]],Stammdaten[Rank Verteilung D Mitte mit Rinde],0))</f>
        <v>#N/A</v>
      </c>
      <c r="G242" t="e">
        <f>VLOOKUP(Tabelle8[[#This Row],[Rank]],Stammdaten[[Rank Verteilung D Mitte mit Rinde]:[Verteilung D Mitte mit Rinde]],2,FALSE)</f>
        <v>#N/A</v>
      </c>
      <c r="L242">
        <v>233</v>
      </c>
      <c r="M242" t="e">
        <f>INDEX(Stammdaten[Abholzigkeit (mm/lfm)],MATCH(Tabelle9[[#This Row],[Rank]],Stammdaten[Rank Verteilung Abholzigkeit],0))</f>
        <v>#N/A</v>
      </c>
      <c r="N242" t="e">
        <f>VLOOKUP(Tabelle9[[#This Row],[Rank]],Stammdaten[[Rank Verteilung Abholzigkeit]:[Verteilung Abholzigkeit]],2,FALSE)</f>
        <v>#N/A</v>
      </c>
      <c r="S242">
        <v>233</v>
      </c>
      <c r="T242" t="e">
        <f>INDEX(Stammdaten[Krümmung (mm/lfm)],MATCH(Tabelle10[[#This Row],[Rank]],Stammdaten[Rank Verteilung Krümmung],0))</f>
        <v>#N/A</v>
      </c>
      <c r="U242" t="e">
        <f>VLOOKUP(Tabelle10[[#This Row],[Rank]],Stammdaten[[Rank Verteilung Krümmung]:[Verteilung Krümmung]],2,FALSE)</f>
        <v>#N/A</v>
      </c>
      <c r="Z242">
        <v>233</v>
      </c>
      <c r="AA242" t="e">
        <f>INDEX(Stammdaten[Ovalität (']0,1'])],MATCH(Tabelle1014[[#This Row],[Rank]],Stammdaten[Rank Verteilung Ovalität],0))</f>
        <v>#N/A</v>
      </c>
      <c r="AB242" t="e">
        <f>VLOOKUP(Tabelle1014[[#This Row],[Rank]],Stammdaten[[Rank Verteilung Ovalität]:[Verteilung Ovalität]],2,FALSE)</f>
        <v>#N/A</v>
      </c>
    </row>
    <row r="243" spans="5:28" x14ac:dyDescent="0.35">
      <c r="E243">
        <v>234</v>
      </c>
      <c r="F243" t="e">
        <f>INDEX(Stammdaten[D Mitte mit Rinde (mm)],MATCH(Tabelle8[[#This Row],[Rank]],Stammdaten[Rank Verteilung D Mitte mit Rinde],0))</f>
        <v>#N/A</v>
      </c>
      <c r="G243" t="e">
        <f>VLOOKUP(Tabelle8[[#This Row],[Rank]],Stammdaten[[Rank Verteilung D Mitte mit Rinde]:[Verteilung D Mitte mit Rinde]],2,FALSE)</f>
        <v>#N/A</v>
      </c>
      <c r="L243">
        <v>234</v>
      </c>
      <c r="M243" t="e">
        <f>INDEX(Stammdaten[Abholzigkeit (mm/lfm)],MATCH(Tabelle9[[#This Row],[Rank]],Stammdaten[Rank Verteilung Abholzigkeit],0))</f>
        <v>#N/A</v>
      </c>
      <c r="N243" t="e">
        <f>VLOOKUP(Tabelle9[[#This Row],[Rank]],Stammdaten[[Rank Verteilung Abholzigkeit]:[Verteilung Abholzigkeit]],2,FALSE)</f>
        <v>#N/A</v>
      </c>
      <c r="S243">
        <v>234</v>
      </c>
      <c r="T243" t="e">
        <f>INDEX(Stammdaten[Krümmung (mm/lfm)],MATCH(Tabelle10[[#This Row],[Rank]],Stammdaten[Rank Verteilung Krümmung],0))</f>
        <v>#N/A</v>
      </c>
      <c r="U243" t="e">
        <f>VLOOKUP(Tabelle10[[#This Row],[Rank]],Stammdaten[[Rank Verteilung Krümmung]:[Verteilung Krümmung]],2,FALSE)</f>
        <v>#N/A</v>
      </c>
      <c r="Z243">
        <v>234</v>
      </c>
      <c r="AA243" t="e">
        <f>INDEX(Stammdaten[Ovalität (']0,1'])],MATCH(Tabelle1014[[#This Row],[Rank]],Stammdaten[Rank Verteilung Ovalität],0))</f>
        <v>#N/A</v>
      </c>
      <c r="AB243" t="e">
        <f>VLOOKUP(Tabelle1014[[#This Row],[Rank]],Stammdaten[[Rank Verteilung Ovalität]:[Verteilung Ovalität]],2,FALSE)</f>
        <v>#N/A</v>
      </c>
    </row>
    <row r="244" spans="5:28" x14ac:dyDescent="0.35">
      <c r="E244">
        <v>235</v>
      </c>
      <c r="F244" t="e">
        <f>INDEX(Stammdaten[D Mitte mit Rinde (mm)],MATCH(Tabelle8[[#This Row],[Rank]],Stammdaten[Rank Verteilung D Mitte mit Rinde],0))</f>
        <v>#N/A</v>
      </c>
      <c r="G244" t="e">
        <f>VLOOKUP(Tabelle8[[#This Row],[Rank]],Stammdaten[[Rank Verteilung D Mitte mit Rinde]:[Verteilung D Mitte mit Rinde]],2,FALSE)</f>
        <v>#N/A</v>
      </c>
      <c r="L244">
        <v>235</v>
      </c>
      <c r="M244" t="e">
        <f>INDEX(Stammdaten[Abholzigkeit (mm/lfm)],MATCH(Tabelle9[[#This Row],[Rank]],Stammdaten[Rank Verteilung Abholzigkeit],0))</f>
        <v>#N/A</v>
      </c>
      <c r="N244" t="e">
        <f>VLOOKUP(Tabelle9[[#This Row],[Rank]],Stammdaten[[Rank Verteilung Abholzigkeit]:[Verteilung Abholzigkeit]],2,FALSE)</f>
        <v>#N/A</v>
      </c>
      <c r="S244">
        <v>235</v>
      </c>
      <c r="T244" t="e">
        <f>INDEX(Stammdaten[Krümmung (mm/lfm)],MATCH(Tabelle10[[#This Row],[Rank]],Stammdaten[Rank Verteilung Krümmung],0))</f>
        <v>#N/A</v>
      </c>
      <c r="U244" t="e">
        <f>VLOOKUP(Tabelle10[[#This Row],[Rank]],Stammdaten[[Rank Verteilung Krümmung]:[Verteilung Krümmung]],2,FALSE)</f>
        <v>#N/A</v>
      </c>
      <c r="Z244">
        <v>235</v>
      </c>
      <c r="AA244" t="e">
        <f>INDEX(Stammdaten[Ovalität (']0,1'])],MATCH(Tabelle1014[[#This Row],[Rank]],Stammdaten[Rank Verteilung Ovalität],0))</f>
        <v>#N/A</v>
      </c>
      <c r="AB244" t="e">
        <f>VLOOKUP(Tabelle1014[[#This Row],[Rank]],Stammdaten[[Rank Verteilung Ovalität]:[Verteilung Ovalität]],2,FALSE)</f>
        <v>#N/A</v>
      </c>
    </row>
    <row r="245" spans="5:28" x14ac:dyDescent="0.35">
      <c r="E245">
        <v>236</v>
      </c>
      <c r="F245" t="e">
        <f>INDEX(Stammdaten[D Mitte mit Rinde (mm)],MATCH(Tabelle8[[#This Row],[Rank]],Stammdaten[Rank Verteilung D Mitte mit Rinde],0))</f>
        <v>#N/A</v>
      </c>
      <c r="G245" t="e">
        <f>VLOOKUP(Tabelle8[[#This Row],[Rank]],Stammdaten[[Rank Verteilung D Mitte mit Rinde]:[Verteilung D Mitte mit Rinde]],2,FALSE)</f>
        <v>#N/A</v>
      </c>
      <c r="L245">
        <v>236</v>
      </c>
      <c r="M245" t="e">
        <f>INDEX(Stammdaten[Abholzigkeit (mm/lfm)],MATCH(Tabelle9[[#This Row],[Rank]],Stammdaten[Rank Verteilung Abholzigkeit],0))</f>
        <v>#N/A</v>
      </c>
      <c r="N245" t="e">
        <f>VLOOKUP(Tabelle9[[#This Row],[Rank]],Stammdaten[[Rank Verteilung Abholzigkeit]:[Verteilung Abholzigkeit]],2,FALSE)</f>
        <v>#N/A</v>
      </c>
      <c r="S245">
        <v>236</v>
      </c>
      <c r="T245" t="e">
        <f>INDEX(Stammdaten[Krümmung (mm/lfm)],MATCH(Tabelle10[[#This Row],[Rank]],Stammdaten[Rank Verteilung Krümmung],0))</f>
        <v>#N/A</v>
      </c>
      <c r="U245" t="e">
        <f>VLOOKUP(Tabelle10[[#This Row],[Rank]],Stammdaten[[Rank Verteilung Krümmung]:[Verteilung Krümmung]],2,FALSE)</f>
        <v>#N/A</v>
      </c>
      <c r="Z245">
        <v>236</v>
      </c>
      <c r="AA245" t="e">
        <f>INDEX(Stammdaten[Ovalität (']0,1'])],MATCH(Tabelle1014[[#This Row],[Rank]],Stammdaten[Rank Verteilung Ovalität],0))</f>
        <v>#N/A</v>
      </c>
      <c r="AB245" t="e">
        <f>VLOOKUP(Tabelle1014[[#This Row],[Rank]],Stammdaten[[Rank Verteilung Ovalität]:[Verteilung Ovalität]],2,FALSE)</f>
        <v>#N/A</v>
      </c>
    </row>
    <row r="246" spans="5:28" x14ac:dyDescent="0.35">
      <c r="E246">
        <v>237</v>
      </c>
      <c r="F246" t="e">
        <f>INDEX(Stammdaten[D Mitte mit Rinde (mm)],MATCH(Tabelle8[[#This Row],[Rank]],Stammdaten[Rank Verteilung D Mitte mit Rinde],0))</f>
        <v>#N/A</v>
      </c>
      <c r="G246" t="e">
        <f>VLOOKUP(Tabelle8[[#This Row],[Rank]],Stammdaten[[Rank Verteilung D Mitte mit Rinde]:[Verteilung D Mitte mit Rinde]],2,FALSE)</f>
        <v>#N/A</v>
      </c>
      <c r="L246">
        <v>237</v>
      </c>
      <c r="M246" t="e">
        <f>INDEX(Stammdaten[Abholzigkeit (mm/lfm)],MATCH(Tabelle9[[#This Row],[Rank]],Stammdaten[Rank Verteilung Abholzigkeit],0))</f>
        <v>#N/A</v>
      </c>
      <c r="N246" t="e">
        <f>VLOOKUP(Tabelle9[[#This Row],[Rank]],Stammdaten[[Rank Verteilung Abholzigkeit]:[Verteilung Abholzigkeit]],2,FALSE)</f>
        <v>#N/A</v>
      </c>
      <c r="S246">
        <v>237</v>
      </c>
      <c r="T246" t="e">
        <f>INDEX(Stammdaten[Krümmung (mm/lfm)],MATCH(Tabelle10[[#This Row],[Rank]],Stammdaten[Rank Verteilung Krümmung],0))</f>
        <v>#N/A</v>
      </c>
      <c r="U246" t="e">
        <f>VLOOKUP(Tabelle10[[#This Row],[Rank]],Stammdaten[[Rank Verteilung Krümmung]:[Verteilung Krümmung]],2,FALSE)</f>
        <v>#N/A</v>
      </c>
      <c r="Z246">
        <v>237</v>
      </c>
      <c r="AA246" t="e">
        <f>INDEX(Stammdaten[Ovalität (']0,1'])],MATCH(Tabelle1014[[#This Row],[Rank]],Stammdaten[Rank Verteilung Ovalität],0))</f>
        <v>#N/A</v>
      </c>
      <c r="AB246" t="e">
        <f>VLOOKUP(Tabelle1014[[#This Row],[Rank]],Stammdaten[[Rank Verteilung Ovalität]:[Verteilung Ovalität]],2,FALSE)</f>
        <v>#N/A</v>
      </c>
    </row>
    <row r="247" spans="5:28" x14ac:dyDescent="0.35">
      <c r="E247">
        <v>238</v>
      </c>
      <c r="F247" t="e">
        <f>INDEX(Stammdaten[D Mitte mit Rinde (mm)],MATCH(Tabelle8[[#This Row],[Rank]],Stammdaten[Rank Verteilung D Mitte mit Rinde],0))</f>
        <v>#N/A</v>
      </c>
      <c r="G247" t="e">
        <f>VLOOKUP(Tabelle8[[#This Row],[Rank]],Stammdaten[[Rank Verteilung D Mitte mit Rinde]:[Verteilung D Mitte mit Rinde]],2,FALSE)</f>
        <v>#N/A</v>
      </c>
      <c r="L247">
        <v>238</v>
      </c>
      <c r="M247" t="e">
        <f>INDEX(Stammdaten[Abholzigkeit (mm/lfm)],MATCH(Tabelle9[[#This Row],[Rank]],Stammdaten[Rank Verteilung Abholzigkeit],0))</f>
        <v>#N/A</v>
      </c>
      <c r="N247" t="e">
        <f>VLOOKUP(Tabelle9[[#This Row],[Rank]],Stammdaten[[Rank Verteilung Abholzigkeit]:[Verteilung Abholzigkeit]],2,FALSE)</f>
        <v>#N/A</v>
      </c>
      <c r="S247">
        <v>238</v>
      </c>
      <c r="T247" t="e">
        <f>INDEX(Stammdaten[Krümmung (mm/lfm)],MATCH(Tabelle10[[#This Row],[Rank]],Stammdaten[Rank Verteilung Krümmung],0))</f>
        <v>#N/A</v>
      </c>
      <c r="U247" t="e">
        <f>VLOOKUP(Tabelle10[[#This Row],[Rank]],Stammdaten[[Rank Verteilung Krümmung]:[Verteilung Krümmung]],2,FALSE)</f>
        <v>#N/A</v>
      </c>
      <c r="Z247">
        <v>238</v>
      </c>
      <c r="AA247" t="e">
        <f>INDEX(Stammdaten[Ovalität (']0,1'])],MATCH(Tabelle1014[[#This Row],[Rank]],Stammdaten[Rank Verteilung Ovalität],0))</f>
        <v>#N/A</v>
      </c>
      <c r="AB247" t="e">
        <f>VLOOKUP(Tabelle1014[[#This Row],[Rank]],Stammdaten[[Rank Verteilung Ovalität]:[Verteilung Ovalität]],2,FALSE)</f>
        <v>#N/A</v>
      </c>
    </row>
    <row r="248" spans="5:28" x14ac:dyDescent="0.35">
      <c r="E248">
        <v>239</v>
      </c>
      <c r="F248" t="e">
        <f>INDEX(Stammdaten[D Mitte mit Rinde (mm)],MATCH(Tabelle8[[#This Row],[Rank]],Stammdaten[Rank Verteilung D Mitte mit Rinde],0))</f>
        <v>#N/A</v>
      </c>
      <c r="G248" t="e">
        <f>VLOOKUP(Tabelle8[[#This Row],[Rank]],Stammdaten[[Rank Verteilung D Mitte mit Rinde]:[Verteilung D Mitte mit Rinde]],2,FALSE)</f>
        <v>#N/A</v>
      </c>
      <c r="L248">
        <v>239</v>
      </c>
      <c r="M248" t="e">
        <f>INDEX(Stammdaten[Abholzigkeit (mm/lfm)],MATCH(Tabelle9[[#This Row],[Rank]],Stammdaten[Rank Verteilung Abholzigkeit],0))</f>
        <v>#N/A</v>
      </c>
      <c r="N248" t="e">
        <f>VLOOKUP(Tabelle9[[#This Row],[Rank]],Stammdaten[[Rank Verteilung Abholzigkeit]:[Verteilung Abholzigkeit]],2,FALSE)</f>
        <v>#N/A</v>
      </c>
      <c r="S248">
        <v>239</v>
      </c>
      <c r="T248" t="e">
        <f>INDEX(Stammdaten[Krümmung (mm/lfm)],MATCH(Tabelle10[[#This Row],[Rank]],Stammdaten[Rank Verteilung Krümmung],0))</f>
        <v>#N/A</v>
      </c>
      <c r="U248" t="e">
        <f>VLOOKUP(Tabelle10[[#This Row],[Rank]],Stammdaten[[Rank Verteilung Krümmung]:[Verteilung Krümmung]],2,FALSE)</f>
        <v>#N/A</v>
      </c>
      <c r="Z248">
        <v>239</v>
      </c>
      <c r="AA248" t="e">
        <f>INDEX(Stammdaten[Ovalität (']0,1'])],MATCH(Tabelle1014[[#This Row],[Rank]],Stammdaten[Rank Verteilung Ovalität],0))</f>
        <v>#N/A</v>
      </c>
      <c r="AB248" t="e">
        <f>VLOOKUP(Tabelle1014[[#This Row],[Rank]],Stammdaten[[Rank Verteilung Ovalität]:[Verteilung Ovalität]],2,FALSE)</f>
        <v>#N/A</v>
      </c>
    </row>
    <row r="249" spans="5:28" x14ac:dyDescent="0.35">
      <c r="E249">
        <v>240</v>
      </c>
      <c r="F249" t="e">
        <f>INDEX(Stammdaten[D Mitte mit Rinde (mm)],MATCH(Tabelle8[[#This Row],[Rank]],Stammdaten[Rank Verteilung D Mitte mit Rinde],0))</f>
        <v>#N/A</v>
      </c>
      <c r="G249" t="e">
        <f>VLOOKUP(Tabelle8[[#This Row],[Rank]],Stammdaten[[Rank Verteilung D Mitte mit Rinde]:[Verteilung D Mitte mit Rinde]],2,FALSE)</f>
        <v>#N/A</v>
      </c>
      <c r="L249">
        <v>240</v>
      </c>
      <c r="M249" t="e">
        <f>INDEX(Stammdaten[Abholzigkeit (mm/lfm)],MATCH(Tabelle9[[#This Row],[Rank]],Stammdaten[Rank Verteilung Abholzigkeit],0))</f>
        <v>#N/A</v>
      </c>
      <c r="N249" t="e">
        <f>VLOOKUP(Tabelle9[[#This Row],[Rank]],Stammdaten[[Rank Verteilung Abholzigkeit]:[Verteilung Abholzigkeit]],2,FALSE)</f>
        <v>#N/A</v>
      </c>
      <c r="S249">
        <v>240</v>
      </c>
      <c r="T249" t="e">
        <f>INDEX(Stammdaten[Krümmung (mm/lfm)],MATCH(Tabelle10[[#This Row],[Rank]],Stammdaten[Rank Verteilung Krümmung],0))</f>
        <v>#N/A</v>
      </c>
      <c r="U249" t="e">
        <f>VLOOKUP(Tabelle10[[#This Row],[Rank]],Stammdaten[[Rank Verteilung Krümmung]:[Verteilung Krümmung]],2,FALSE)</f>
        <v>#N/A</v>
      </c>
      <c r="Z249">
        <v>240</v>
      </c>
      <c r="AA249" t="e">
        <f>INDEX(Stammdaten[Ovalität (']0,1'])],MATCH(Tabelle1014[[#This Row],[Rank]],Stammdaten[Rank Verteilung Ovalität],0))</f>
        <v>#N/A</v>
      </c>
      <c r="AB249" t="e">
        <f>VLOOKUP(Tabelle1014[[#This Row],[Rank]],Stammdaten[[Rank Verteilung Ovalität]:[Verteilung Ovalität]],2,FALSE)</f>
        <v>#N/A</v>
      </c>
    </row>
    <row r="250" spans="5:28" x14ac:dyDescent="0.35">
      <c r="E250">
        <v>241</v>
      </c>
      <c r="F250" t="e">
        <f>INDEX(Stammdaten[D Mitte mit Rinde (mm)],MATCH(Tabelle8[[#This Row],[Rank]],Stammdaten[Rank Verteilung D Mitte mit Rinde],0))</f>
        <v>#N/A</v>
      </c>
      <c r="G250" t="e">
        <f>VLOOKUP(Tabelle8[[#This Row],[Rank]],Stammdaten[[Rank Verteilung D Mitte mit Rinde]:[Verteilung D Mitte mit Rinde]],2,FALSE)</f>
        <v>#N/A</v>
      </c>
      <c r="L250">
        <v>241</v>
      </c>
      <c r="M250" t="e">
        <f>INDEX(Stammdaten[Abholzigkeit (mm/lfm)],MATCH(Tabelle9[[#This Row],[Rank]],Stammdaten[Rank Verteilung Abholzigkeit],0))</f>
        <v>#N/A</v>
      </c>
      <c r="N250" t="e">
        <f>VLOOKUP(Tabelle9[[#This Row],[Rank]],Stammdaten[[Rank Verteilung Abholzigkeit]:[Verteilung Abholzigkeit]],2,FALSE)</f>
        <v>#N/A</v>
      </c>
      <c r="S250">
        <v>241</v>
      </c>
      <c r="T250" t="e">
        <f>INDEX(Stammdaten[Krümmung (mm/lfm)],MATCH(Tabelle10[[#This Row],[Rank]],Stammdaten[Rank Verteilung Krümmung],0))</f>
        <v>#N/A</v>
      </c>
      <c r="U250" t="e">
        <f>VLOOKUP(Tabelle10[[#This Row],[Rank]],Stammdaten[[Rank Verteilung Krümmung]:[Verteilung Krümmung]],2,FALSE)</f>
        <v>#N/A</v>
      </c>
      <c r="Z250">
        <v>241</v>
      </c>
      <c r="AA250" t="e">
        <f>INDEX(Stammdaten[Ovalität (']0,1'])],MATCH(Tabelle1014[[#This Row],[Rank]],Stammdaten[Rank Verteilung Ovalität],0))</f>
        <v>#N/A</v>
      </c>
      <c r="AB250" t="e">
        <f>VLOOKUP(Tabelle1014[[#This Row],[Rank]],Stammdaten[[Rank Verteilung Ovalität]:[Verteilung Ovalität]],2,FALSE)</f>
        <v>#N/A</v>
      </c>
    </row>
    <row r="251" spans="5:28" x14ac:dyDescent="0.35">
      <c r="E251">
        <v>242</v>
      </c>
      <c r="F251" t="e">
        <f>INDEX(Stammdaten[D Mitte mit Rinde (mm)],MATCH(Tabelle8[[#This Row],[Rank]],Stammdaten[Rank Verteilung D Mitte mit Rinde],0))</f>
        <v>#N/A</v>
      </c>
      <c r="G251" t="e">
        <f>VLOOKUP(Tabelle8[[#This Row],[Rank]],Stammdaten[[Rank Verteilung D Mitte mit Rinde]:[Verteilung D Mitte mit Rinde]],2,FALSE)</f>
        <v>#N/A</v>
      </c>
      <c r="L251">
        <v>242</v>
      </c>
      <c r="M251" t="e">
        <f>INDEX(Stammdaten[Abholzigkeit (mm/lfm)],MATCH(Tabelle9[[#This Row],[Rank]],Stammdaten[Rank Verteilung Abholzigkeit],0))</f>
        <v>#N/A</v>
      </c>
      <c r="N251" t="e">
        <f>VLOOKUP(Tabelle9[[#This Row],[Rank]],Stammdaten[[Rank Verteilung Abholzigkeit]:[Verteilung Abholzigkeit]],2,FALSE)</f>
        <v>#N/A</v>
      </c>
      <c r="S251">
        <v>242</v>
      </c>
      <c r="T251" t="e">
        <f>INDEX(Stammdaten[Krümmung (mm/lfm)],MATCH(Tabelle10[[#This Row],[Rank]],Stammdaten[Rank Verteilung Krümmung],0))</f>
        <v>#N/A</v>
      </c>
      <c r="U251" t="e">
        <f>VLOOKUP(Tabelle10[[#This Row],[Rank]],Stammdaten[[Rank Verteilung Krümmung]:[Verteilung Krümmung]],2,FALSE)</f>
        <v>#N/A</v>
      </c>
      <c r="Z251">
        <v>242</v>
      </c>
      <c r="AA251" t="e">
        <f>INDEX(Stammdaten[Ovalität (']0,1'])],MATCH(Tabelle1014[[#This Row],[Rank]],Stammdaten[Rank Verteilung Ovalität],0))</f>
        <v>#N/A</v>
      </c>
      <c r="AB251" t="e">
        <f>VLOOKUP(Tabelle1014[[#This Row],[Rank]],Stammdaten[[Rank Verteilung Ovalität]:[Verteilung Ovalität]],2,FALSE)</f>
        <v>#N/A</v>
      </c>
    </row>
    <row r="252" spans="5:28" x14ac:dyDescent="0.35">
      <c r="E252">
        <v>243</v>
      </c>
      <c r="F252" t="e">
        <f>INDEX(Stammdaten[D Mitte mit Rinde (mm)],MATCH(Tabelle8[[#This Row],[Rank]],Stammdaten[Rank Verteilung D Mitte mit Rinde],0))</f>
        <v>#N/A</v>
      </c>
      <c r="G252" t="e">
        <f>VLOOKUP(Tabelle8[[#This Row],[Rank]],Stammdaten[[Rank Verteilung D Mitte mit Rinde]:[Verteilung D Mitte mit Rinde]],2,FALSE)</f>
        <v>#N/A</v>
      </c>
      <c r="L252">
        <v>243</v>
      </c>
      <c r="M252" t="e">
        <f>INDEX(Stammdaten[Abholzigkeit (mm/lfm)],MATCH(Tabelle9[[#This Row],[Rank]],Stammdaten[Rank Verteilung Abholzigkeit],0))</f>
        <v>#N/A</v>
      </c>
      <c r="N252" t="e">
        <f>VLOOKUP(Tabelle9[[#This Row],[Rank]],Stammdaten[[Rank Verteilung Abholzigkeit]:[Verteilung Abholzigkeit]],2,FALSE)</f>
        <v>#N/A</v>
      </c>
      <c r="S252">
        <v>243</v>
      </c>
      <c r="T252" t="e">
        <f>INDEX(Stammdaten[Krümmung (mm/lfm)],MATCH(Tabelle10[[#This Row],[Rank]],Stammdaten[Rank Verteilung Krümmung],0))</f>
        <v>#N/A</v>
      </c>
      <c r="U252" t="e">
        <f>VLOOKUP(Tabelle10[[#This Row],[Rank]],Stammdaten[[Rank Verteilung Krümmung]:[Verteilung Krümmung]],2,FALSE)</f>
        <v>#N/A</v>
      </c>
      <c r="Z252">
        <v>243</v>
      </c>
      <c r="AA252" t="e">
        <f>INDEX(Stammdaten[Ovalität (']0,1'])],MATCH(Tabelle1014[[#This Row],[Rank]],Stammdaten[Rank Verteilung Ovalität],0))</f>
        <v>#N/A</v>
      </c>
      <c r="AB252" t="e">
        <f>VLOOKUP(Tabelle1014[[#This Row],[Rank]],Stammdaten[[Rank Verteilung Ovalität]:[Verteilung Ovalität]],2,FALSE)</f>
        <v>#N/A</v>
      </c>
    </row>
    <row r="253" spans="5:28" x14ac:dyDescent="0.35">
      <c r="E253">
        <v>244</v>
      </c>
      <c r="F253" t="e">
        <f>INDEX(Stammdaten[D Mitte mit Rinde (mm)],MATCH(Tabelle8[[#This Row],[Rank]],Stammdaten[Rank Verteilung D Mitte mit Rinde],0))</f>
        <v>#N/A</v>
      </c>
      <c r="G253" t="e">
        <f>VLOOKUP(Tabelle8[[#This Row],[Rank]],Stammdaten[[Rank Verteilung D Mitte mit Rinde]:[Verteilung D Mitte mit Rinde]],2,FALSE)</f>
        <v>#N/A</v>
      </c>
      <c r="L253">
        <v>244</v>
      </c>
      <c r="M253" t="e">
        <f>INDEX(Stammdaten[Abholzigkeit (mm/lfm)],MATCH(Tabelle9[[#This Row],[Rank]],Stammdaten[Rank Verteilung Abholzigkeit],0))</f>
        <v>#N/A</v>
      </c>
      <c r="N253" t="e">
        <f>VLOOKUP(Tabelle9[[#This Row],[Rank]],Stammdaten[[Rank Verteilung Abholzigkeit]:[Verteilung Abholzigkeit]],2,FALSE)</f>
        <v>#N/A</v>
      </c>
      <c r="S253">
        <v>244</v>
      </c>
      <c r="T253" t="e">
        <f>INDEX(Stammdaten[Krümmung (mm/lfm)],MATCH(Tabelle10[[#This Row],[Rank]],Stammdaten[Rank Verteilung Krümmung],0))</f>
        <v>#N/A</v>
      </c>
      <c r="U253" t="e">
        <f>VLOOKUP(Tabelle10[[#This Row],[Rank]],Stammdaten[[Rank Verteilung Krümmung]:[Verteilung Krümmung]],2,FALSE)</f>
        <v>#N/A</v>
      </c>
      <c r="Z253">
        <v>244</v>
      </c>
      <c r="AA253" t="e">
        <f>INDEX(Stammdaten[Ovalität (']0,1'])],MATCH(Tabelle1014[[#This Row],[Rank]],Stammdaten[Rank Verteilung Ovalität],0))</f>
        <v>#N/A</v>
      </c>
      <c r="AB253" t="e">
        <f>VLOOKUP(Tabelle1014[[#This Row],[Rank]],Stammdaten[[Rank Verteilung Ovalität]:[Verteilung Ovalität]],2,FALSE)</f>
        <v>#N/A</v>
      </c>
    </row>
    <row r="254" spans="5:28" x14ac:dyDescent="0.35">
      <c r="E254">
        <v>245</v>
      </c>
      <c r="F254" t="e">
        <f>INDEX(Stammdaten[D Mitte mit Rinde (mm)],MATCH(Tabelle8[[#This Row],[Rank]],Stammdaten[Rank Verteilung D Mitte mit Rinde],0))</f>
        <v>#N/A</v>
      </c>
      <c r="G254" t="e">
        <f>VLOOKUP(Tabelle8[[#This Row],[Rank]],Stammdaten[[Rank Verteilung D Mitte mit Rinde]:[Verteilung D Mitte mit Rinde]],2,FALSE)</f>
        <v>#N/A</v>
      </c>
      <c r="L254">
        <v>245</v>
      </c>
      <c r="M254" t="e">
        <f>INDEX(Stammdaten[Abholzigkeit (mm/lfm)],MATCH(Tabelle9[[#This Row],[Rank]],Stammdaten[Rank Verteilung Abholzigkeit],0))</f>
        <v>#N/A</v>
      </c>
      <c r="N254" t="e">
        <f>VLOOKUP(Tabelle9[[#This Row],[Rank]],Stammdaten[[Rank Verteilung Abholzigkeit]:[Verteilung Abholzigkeit]],2,FALSE)</f>
        <v>#N/A</v>
      </c>
      <c r="S254">
        <v>245</v>
      </c>
      <c r="T254" t="e">
        <f>INDEX(Stammdaten[Krümmung (mm/lfm)],MATCH(Tabelle10[[#This Row],[Rank]],Stammdaten[Rank Verteilung Krümmung],0))</f>
        <v>#N/A</v>
      </c>
      <c r="U254" t="e">
        <f>VLOOKUP(Tabelle10[[#This Row],[Rank]],Stammdaten[[Rank Verteilung Krümmung]:[Verteilung Krümmung]],2,FALSE)</f>
        <v>#N/A</v>
      </c>
      <c r="Z254">
        <v>245</v>
      </c>
      <c r="AA254" t="e">
        <f>INDEX(Stammdaten[Ovalität (']0,1'])],MATCH(Tabelle1014[[#This Row],[Rank]],Stammdaten[Rank Verteilung Ovalität],0))</f>
        <v>#N/A</v>
      </c>
      <c r="AB254" t="e">
        <f>VLOOKUP(Tabelle1014[[#This Row],[Rank]],Stammdaten[[Rank Verteilung Ovalität]:[Verteilung Ovalität]],2,FALSE)</f>
        <v>#N/A</v>
      </c>
    </row>
    <row r="255" spans="5:28" x14ac:dyDescent="0.35">
      <c r="E255">
        <v>246</v>
      </c>
      <c r="F255" t="e">
        <f>INDEX(Stammdaten[D Mitte mit Rinde (mm)],MATCH(Tabelle8[[#This Row],[Rank]],Stammdaten[Rank Verteilung D Mitte mit Rinde],0))</f>
        <v>#N/A</v>
      </c>
      <c r="G255" t="e">
        <f>VLOOKUP(Tabelle8[[#This Row],[Rank]],Stammdaten[[Rank Verteilung D Mitte mit Rinde]:[Verteilung D Mitte mit Rinde]],2,FALSE)</f>
        <v>#N/A</v>
      </c>
      <c r="L255">
        <v>246</v>
      </c>
      <c r="M255" t="e">
        <f>INDEX(Stammdaten[Abholzigkeit (mm/lfm)],MATCH(Tabelle9[[#This Row],[Rank]],Stammdaten[Rank Verteilung Abholzigkeit],0))</f>
        <v>#N/A</v>
      </c>
      <c r="N255" t="e">
        <f>VLOOKUP(Tabelle9[[#This Row],[Rank]],Stammdaten[[Rank Verteilung Abholzigkeit]:[Verteilung Abholzigkeit]],2,FALSE)</f>
        <v>#N/A</v>
      </c>
      <c r="S255">
        <v>246</v>
      </c>
      <c r="T255" t="e">
        <f>INDEX(Stammdaten[Krümmung (mm/lfm)],MATCH(Tabelle10[[#This Row],[Rank]],Stammdaten[Rank Verteilung Krümmung],0))</f>
        <v>#N/A</v>
      </c>
      <c r="U255" t="e">
        <f>VLOOKUP(Tabelle10[[#This Row],[Rank]],Stammdaten[[Rank Verteilung Krümmung]:[Verteilung Krümmung]],2,FALSE)</f>
        <v>#N/A</v>
      </c>
      <c r="Z255">
        <v>246</v>
      </c>
      <c r="AA255" t="e">
        <f>INDEX(Stammdaten[Ovalität (']0,1'])],MATCH(Tabelle1014[[#This Row],[Rank]],Stammdaten[Rank Verteilung Ovalität],0))</f>
        <v>#N/A</v>
      </c>
      <c r="AB255" t="e">
        <f>VLOOKUP(Tabelle1014[[#This Row],[Rank]],Stammdaten[[Rank Verteilung Ovalität]:[Verteilung Ovalität]],2,FALSE)</f>
        <v>#N/A</v>
      </c>
    </row>
    <row r="256" spans="5:28" x14ac:dyDescent="0.35">
      <c r="E256">
        <v>247</v>
      </c>
      <c r="F256" t="e">
        <f>INDEX(Stammdaten[D Mitte mit Rinde (mm)],MATCH(Tabelle8[[#This Row],[Rank]],Stammdaten[Rank Verteilung D Mitte mit Rinde],0))</f>
        <v>#N/A</v>
      </c>
      <c r="G256" t="e">
        <f>VLOOKUP(Tabelle8[[#This Row],[Rank]],Stammdaten[[Rank Verteilung D Mitte mit Rinde]:[Verteilung D Mitte mit Rinde]],2,FALSE)</f>
        <v>#N/A</v>
      </c>
      <c r="L256">
        <v>247</v>
      </c>
      <c r="M256" t="e">
        <f>INDEX(Stammdaten[Abholzigkeit (mm/lfm)],MATCH(Tabelle9[[#This Row],[Rank]],Stammdaten[Rank Verteilung Abholzigkeit],0))</f>
        <v>#N/A</v>
      </c>
      <c r="N256" t="e">
        <f>VLOOKUP(Tabelle9[[#This Row],[Rank]],Stammdaten[[Rank Verteilung Abholzigkeit]:[Verteilung Abholzigkeit]],2,FALSE)</f>
        <v>#N/A</v>
      </c>
      <c r="S256">
        <v>247</v>
      </c>
      <c r="T256" t="e">
        <f>INDEX(Stammdaten[Krümmung (mm/lfm)],MATCH(Tabelle10[[#This Row],[Rank]],Stammdaten[Rank Verteilung Krümmung],0))</f>
        <v>#N/A</v>
      </c>
      <c r="U256" t="e">
        <f>VLOOKUP(Tabelle10[[#This Row],[Rank]],Stammdaten[[Rank Verteilung Krümmung]:[Verteilung Krümmung]],2,FALSE)</f>
        <v>#N/A</v>
      </c>
      <c r="Z256">
        <v>247</v>
      </c>
      <c r="AA256" t="e">
        <f>INDEX(Stammdaten[Ovalität (']0,1'])],MATCH(Tabelle1014[[#This Row],[Rank]],Stammdaten[Rank Verteilung Ovalität],0))</f>
        <v>#N/A</v>
      </c>
      <c r="AB256" t="e">
        <f>VLOOKUP(Tabelle1014[[#This Row],[Rank]],Stammdaten[[Rank Verteilung Ovalität]:[Verteilung Ovalität]],2,FALSE)</f>
        <v>#N/A</v>
      </c>
    </row>
    <row r="257" spans="5:28" x14ac:dyDescent="0.35">
      <c r="E257">
        <v>248</v>
      </c>
      <c r="F257" t="e">
        <f>INDEX(Stammdaten[D Mitte mit Rinde (mm)],MATCH(Tabelle8[[#This Row],[Rank]],Stammdaten[Rank Verteilung D Mitte mit Rinde],0))</f>
        <v>#N/A</v>
      </c>
      <c r="G257" t="e">
        <f>VLOOKUP(Tabelle8[[#This Row],[Rank]],Stammdaten[[Rank Verteilung D Mitte mit Rinde]:[Verteilung D Mitte mit Rinde]],2,FALSE)</f>
        <v>#N/A</v>
      </c>
      <c r="L257">
        <v>248</v>
      </c>
      <c r="M257" t="e">
        <f>INDEX(Stammdaten[Abholzigkeit (mm/lfm)],MATCH(Tabelle9[[#This Row],[Rank]],Stammdaten[Rank Verteilung Abholzigkeit],0))</f>
        <v>#N/A</v>
      </c>
      <c r="N257" t="e">
        <f>VLOOKUP(Tabelle9[[#This Row],[Rank]],Stammdaten[[Rank Verteilung Abholzigkeit]:[Verteilung Abholzigkeit]],2,FALSE)</f>
        <v>#N/A</v>
      </c>
      <c r="S257">
        <v>248</v>
      </c>
      <c r="T257" t="e">
        <f>INDEX(Stammdaten[Krümmung (mm/lfm)],MATCH(Tabelle10[[#This Row],[Rank]],Stammdaten[Rank Verteilung Krümmung],0))</f>
        <v>#N/A</v>
      </c>
      <c r="U257" t="e">
        <f>VLOOKUP(Tabelle10[[#This Row],[Rank]],Stammdaten[[Rank Verteilung Krümmung]:[Verteilung Krümmung]],2,FALSE)</f>
        <v>#N/A</v>
      </c>
      <c r="Z257">
        <v>248</v>
      </c>
      <c r="AA257" t="e">
        <f>INDEX(Stammdaten[Ovalität (']0,1'])],MATCH(Tabelle1014[[#This Row],[Rank]],Stammdaten[Rank Verteilung Ovalität],0))</f>
        <v>#N/A</v>
      </c>
      <c r="AB257" t="e">
        <f>VLOOKUP(Tabelle1014[[#This Row],[Rank]],Stammdaten[[Rank Verteilung Ovalität]:[Verteilung Ovalität]],2,FALSE)</f>
        <v>#N/A</v>
      </c>
    </row>
    <row r="258" spans="5:28" x14ac:dyDescent="0.35">
      <c r="E258">
        <v>249</v>
      </c>
      <c r="F258" t="e">
        <f>INDEX(Stammdaten[D Mitte mit Rinde (mm)],MATCH(Tabelle8[[#This Row],[Rank]],Stammdaten[Rank Verteilung D Mitte mit Rinde],0))</f>
        <v>#N/A</v>
      </c>
      <c r="G258" t="e">
        <f>VLOOKUP(Tabelle8[[#This Row],[Rank]],Stammdaten[[Rank Verteilung D Mitte mit Rinde]:[Verteilung D Mitte mit Rinde]],2,FALSE)</f>
        <v>#N/A</v>
      </c>
      <c r="L258">
        <v>249</v>
      </c>
      <c r="M258" t="e">
        <f>INDEX(Stammdaten[Abholzigkeit (mm/lfm)],MATCH(Tabelle9[[#This Row],[Rank]],Stammdaten[Rank Verteilung Abholzigkeit],0))</f>
        <v>#N/A</v>
      </c>
      <c r="N258" t="e">
        <f>VLOOKUP(Tabelle9[[#This Row],[Rank]],Stammdaten[[Rank Verteilung Abholzigkeit]:[Verteilung Abholzigkeit]],2,FALSE)</f>
        <v>#N/A</v>
      </c>
      <c r="S258">
        <v>249</v>
      </c>
      <c r="T258" t="e">
        <f>INDEX(Stammdaten[Krümmung (mm/lfm)],MATCH(Tabelle10[[#This Row],[Rank]],Stammdaten[Rank Verteilung Krümmung],0))</f>
        <v>#N/A</v>
      </c>
      <c r="U258" t="e">
        <f>VLOOKUP(Tabelle10[[#This Row],[Rank]],Stammdaten[[Rank Verteilung Krümmung]:[Verteilung Krümmung]],2,FALSE)</f>
        <v>#N/A</v>
      </c>
      <c r="Z258">
        <v>249</v>
      </c>
      <c r="AA258" t="e">
        <f>INDEX(Stammdaten[Ovalität (']0,1'])],MATCH(Tabelle1014[[#This Row],[Rank]],Stammdaten[Rank Verteilung Ovalität],0))</f>
        <v>#N/A</v>
      </c>
      <c r="AB258" t="e">
        <f>VLOOKUP(Tabelle1014[[#This Row],[Rank]],Stammdaten[[Rank Verteilung Ovalität]:[Verteilung Ovalität]],2,FALSE)</f>
        <v>#N/A</v>
      </c>
    </row>
    <row r="259" spans="5:28" x14ac:dyDescent="0.35">
      <c r="E259">
        <v>250</v>
      </c>
      <c r="F259" t="e">
        <f>INDEX(Stammdaten[D Mitte mit Rinde (mm)],MATCH(Tabelle8[[#This Row],[Rank]],Stammdaten[Rank Verteilung D Mitte mit Rinde],0))</f>
        <v>#N/A</v>
      </c>
      <c r="G259" t="e">
        <f>VLOOKUP(Tabelle8[[#This Row],[Rank]],Stammdaten[[Rank Verteilung D Mitte mit Rinde]:[Verteilung D Mitte mit Rinde]],2,FALSE)</f>
        <v>#N/A</v>
      </c>
      <c r="L259">
        <v>250</v>
      </c>
      <c r="M259" t="e">
        <f>INDEX(Stammdaten[Abholzigkeit (mm/lfm)],MATCH(Tabelle9[[#This Row],[Rank]],Stammdaten[Rank Verteilung Abholzigkeit],0))</f>
        <v>#N/A</v>
      </c>
      <c r="N259" t="e">
        <f>VLOOKUP(Tabelle9[[#This Row],[Rank]],Stammdaten[[Rank Verteilung Abholzigkeit]:[Verteilung Abholzigkeit]],2,FALSE)</f>
        <v>#N/A</v>
      </c>
      <c r="S259">
        <v>250</v>
      </c>
      <c r="T259" t="e">
        <f>INDEX(Stammdaten[Krümmung (mm/lfm)],MATCH(Tabelle10[[#This Row],[Rank]],Stammdaten[Rank Verteilung Krümmung],0))</f>
        <v>#N/A</v>
      </c>
      <c r="U259" t="e">
        <f>VLOOKUP(Tabelle10[[#This Row],[Rank]],Stammdaten[[Rank Verteilung Krümmung]:[Verteilung Krümmung]],2,FALSE)</f>
        <v>#N/A</v>
      </c>
      <c r="Z259">
        <v>250</v>
      </c>
      <c r="AA259" t="e">
        <f>INDEX(Stammdaten[Ovalität (']0,1'])],MATCH(Tabelle1014[[#This Row],[Rank]],Stammdaten[Rank Verteilung Ovalität],0))</f>
        <v>#N/A</v>
      </c>
      <c r="AB259" t="e">
        <f>VLOOKUP(Tabelle1014[[#This Row],[Rank]],Stammdaten[[Rank Verteilung Ovalität]:[Verteilung Ovalität]],2,FALSE)</f>
        <v>#N/A</v>
      </c>
    </row>
    <row r="260" spans="5:28" x14ac:dyDescent="0.35">
      <c r="E260">
        <v>251</v>
      </c>
      <c r="F260" t="e">
        <f>INDEX(Stammdaten[D Mitte mit Rinde (mm)],MATCH(Tabelle8[[#This Row],[Rank]],Stammdaten[Rank Verteilung D Mitte mit Rinde],0))</f>
        <v>#N/A</v>
      </c>
      <c r="G260" t="e">
        <f>VLOOKUP(Tabelle8[[#This Row],[Rank]],Stammdaten[[Rank Verteilung D Mitte mit Rinde]:[Verteilung D Mitte mit Rinde]],2,FALSE)</f>
        <v>#N/A</v>
      </c>
      <c r="L260">
        <v>251</v>
      </c>
      <c r="M260" t="e">
        <f>INDEX(Stammdaten[Abholzigkeit (mm/lfm)],MATCH(Tabelle9[[#This Row],[Rank]],Stammdaten[Rank Verteilung Abholzigkeit],0))</f>
        <v>#N/A</v>
      </c>
      <c r="N260" t="e">
        <f>VLOOKUP(Tabelle9[[#This Row],[Rank]],Stammdaten[[Rank Verteilung Abholzigkeit]:[Verteilung Abholzigkeit]],2,FALSE)</f>
        <v>#N/A</v>
      </c>
      <c r="S260">
        <v>251</v>
      </c>
      <c r="T260" t="e">
        <f>INDEX(Stammdaten[Krümmung (mm/lfm)],MATCH(Tabelle10[[#This Row],[Rank]],Stammdaten[Rank Verteilung Krümmung],0))</f>
        <v>#N/A</v>
      </c>
      <c r="U260" t="e">
        <f>VLOOKUP(Tabelle10[[#This Row],[Rank]],Stammdaten[[Rank Verteilung Krümmung]:[Verteilung Krümmung]],2,FALSE)</f>
        <v>#N/A</v>
      </c>
      <c r="Z260">
        <v>251</v>
      </c>
      <c r="AA260" t="e">
        <f>INDEX(Stammdaten[Ovalität (']0,1'])],MATCH(Tabelle1014[[#This Row],[Rank]],Stammdaten[Rank Verteilung Ovalität],0))</f>
        <v>#N/A</v>
      </c>
      <c r="AB260" t="e">
        <f>VLOOKUP(Tabelle1014[[#This Row],[Rank]],Stammdaten[[Rank Verteilung Ovalität]:[Verteilung Ovalität]],2,FALSE)</f>
        <v>#N/A</v>
      </c>
    </row>
    <row r="261" spans="5:28" x14ac:dyDescent="0.35">
      <c r="E261">
        <v>252</v>
      </c>
      <c r="F261" t="e">
        <f>INDEX(Stammdaten[D Mitte mit Rinde (mm)],MATCH(Tabelle8[[#This Row],[Rank]],Stammdaten[Rank Verteilung D Mitte mit Rinde],0))</f>
        <v>#N/A</v>
      </c>
      <c r="G261" t="e">
        <f>VLOOKUP(Tabelle8[[#This Row],[Rank]],Stammdaten[[Rank Verteilung D Mitte mit Rinde]:[Verteilung D Mitte mit Rinde]],2,FALSE)</f>
        <v>#N/A</v>
      </c>
      <c r="L261">
        <v>252</v>
      </c>
      <c r="M261" t="e">
        <f>INDEX(Stammdaten[Abholzigkeit (mm/lfm)],MATCH(Tabelle9[[#This Row],[Rank]],Stammdaten[Rank Verteilung Abholzigkeit],0))</f>
        <v>#N/A</v>
      </c>
      <c r="N261" t="e">
        <f>VLOOKUP(Tabelle9[[#This Row],[Rank]],Stammdaten[[Rank Verteilung Abholzigkeit]:[Verteilung Abholzigkeit]],2,FALSE)</f>
        <v>#N/A</v>
      </c>
      <c r="S261">
        <v>252</v>
      </c>
      <c r="T261" t="e">
        <f>INDEX(Stammdaten[Krümmung (mm/lfm)],MATCH(Tabelle10[[#This Row],[Rank]],Stammdaten[Rank Verteilung Krümmung],0))</f>
        <v>#N/A</v>
      </c>
      <c r="U261" t="e">
        <f>VLOOKUP(Tabelle10[[#This Row],[Rank]],Stammdaten[[Rank Verteilung Krümmung]:[Verteilung Krümmung]],2,FALSE)</f>
        <v>#N/A</v>
      </c>
      <c r="Z261">
        <v>252</v>
      </c>
      <c r="AA261" t="e">
        <f>INDEX(Stammdaten[Ovalität (']0,1'])],MATCH(Tabelle1014[[#This Row],[Rank]],Stammdaten[Rank Verteilung Ovalität],0))</f>
        <v>#N/A</v>
      </c>
      <c r="AB261" t="e">
        <f>VLOOKUP(Tabelle1014[[#This Row],[Rank]],Stammdaten[[Rank Verteilung Ovalität]:[Verteilung Ovalität]],2,FALSE)</f>
        <v>#N/A</v>
      </c>
    </row>
    <row r="262" spans="5:28" x14ac:dyDescent="0.35">
      <c r="E262">
        <v>253</v>
      </c>
      <c r="F262" t="e">
        <f>INDEX(Stammdaten[D Mitte mit Rinde (mm)],MATCH(Tabelle8[[#This Row],[Rank]],Stammdaten[Rank Verteilung D Mitte mit Rinde],0))</f>
        <v>#N/A</v>
      </c>
      <c r="G262" t="e">
        <f>VLOOKUP(Tabelle8[[#This Row],[Rank]],Stammdaten[[Rank Verteilung D Mitte mit Rinde]:[Verteilung D Mitte mit Rinde]],2,FALSE)</f>
        <v>#N/A</v>
      </c>
      <c r="L262">
        <v>253</v>
      </c>
      <c r="M262" t="e">
        <f>INDEX(Stammdaten[Abholzigkeit (mm/lfm)],MATCH(Tabelle9[[#This Row],[Rank]],Stammdaten[Rank Verteilung Abholzigkeit],0))</f>
        <v>#N/A</v>
      </c>
      <c r="N262" t="e">
        <f>VLOOKUP(Tabelle9[[#This Row],[Rank]],Stammdaten[[Rank Verteilung Abholzigkeit]:[Verteilung Abholzigkeit]],2,FALSE)</f>
        <v>#N/A</v>
      </c>
      <c r="S262">
        <v>253</v>
      </c>
      <c r="T262" t="e">
        <f>INDEX(Stammdaten[Krümmung (mm/lfm)],MATCH(Tabelle10[[#This Row],[Rank]],Stammdaten[Rank Verteilung Krümmung],0))</f>
        <v>#N/A</v>
      </c>
      <c r="U262" t="e">
        <f>VLOOKUP(Tabelle10[[#This Row],[Rank]],Stammdaten[[Rank Verteilung Krümmung]:[Verteilung Krümmung]],2,FALSE)</f>
        <v>#N/A</v>
      </c>
      <c r="Z262">
        <v>253</v>
      </c>
      <c r="AA262" t="e">
        <f>INDEX(Stammdaten[Ovalität (']0,1'])],MATCH(Tabelle1014[[#This Row],[Rank]],Stammdaten[Rank Verteilung Ovalität],0))</f>
        <v>#N/A</v>
      </c>
      <c r="AB262" t="e">
        <f>VLOOKUP(Tabelle1014[[#This Row],[Rank]],Stammdaten[[Rank Verteilung Ovalität]:[Verteilung Ovalität]],2,FALSE)</f>
        <v>#N/A</v>
      </c>
    </row>
    <row r="263" spans="5:28" x14ac:dyDescent="0.35">
      <c r="E263">
        <v>254</v>
      </c>
      <c r="F263" t="e">
        <f>INDEX(Stammdaten[D Mitte mit Rinde (mm)],MATCH(Tabelle8[[#This Row],[Rank]],Stammdaten[Rank Verteilung D Mitte mit Rinde],0))</f>
        <v>#N/A</v>
      </c>
      <c r="G263" t="e">
        <f>VLOOKUP(Tabelle8[[#This Row],[Rank]],Stammdaten[[Rank Verteilung D Mitte mit Rinde]:[Verteilung D Mitte mit Rinde]],2,FALSE)</f>
        <v>#N/A</v>
      </c>
      <c r="L263">
        <v>254</v>
      </c>
      <c r="M263" t="e">
        <f>INDEX(Stammdaten[Abholzigkeit (mm/lfm)],MATCH(Tabelle9[[#This Row],[Rank]],Stammdaten[Rank Verteilung Abholzigkeit],0))</f>
        <v>#N/A</v>
      </c>
      <c r="N263" t="e">
        <f>VLOOKUP(Tabelle9[[#This Row],[Rank]],Stammdaten[[Rank Verteilung Abholzigkeit]:[Verteilung Abholzigkeit]],2,FALSE)</f>
        <v>#N/A</v>
      </c>
      <c r="S263">
        <v>254</v>
      </c>
      <c r="T263" t="e">
        <f>INDEX(Stammdaten[Krümmung (mm/lfm)],MATCH(Tabelle10[[#This Row],[Rank]],Stammdaten[Rank Verteilung Krümmung],0))</f>
        <v>#N/A</v>
      </c>
      <c r="U263" t="e">
        <f>VLOOKUP(Tabelle10[[#This Row],[Rank]],Stammdaten[[Rank Verteilung Krümmung]:[Verteilung Krümmung]],2,FALSE)</f>
        <v>#N/A</v>
      </c>
      <c r="Z263">
        <v>254</v>
      </c>
      <c r="AA263" t="e">
        <f>INDEX(Stammdaten[Ovalität (']0,1'])],MATCH(Tabelle1014[[#This Row],[Rank]],Stammdaten[Rank Verteilung Ovalität],0))</f>
        <v>#N/A</v>
      </c>
      <c r="AB263" t="e">
        <f>VLOOKUP(Tabelle1014[[#This Row],[Rank]],Stammdaten[[Rank Verteilung Ovalität]:[Verteilung Ovalität]],2,FALSE)</f>
        <v>#N/A</v>
      </c>
    </row>
    <row r="264" spans="5:28" x14ac:dyDescent="0.35">
      <c r="E264">
        <v>255</v>
      </c>
      <c r="F264" t="e">
        <f>INDEX(Stammdaten[D Mitte mit Rinde (mm)],MATCH(Tabelle8[[#This Row],[Rank]],Stammdaten[Rank Verteilung D Mitte mit Rinde],0))</f>
        <v>#N/A</v>
      </c>
      <c r="G264" t="e">
        <f>VLOOKUP(Tabelle8[[#This Row],[Rank]],Stammdaten[[Rank Verteilung D Mitte mit Rinde]:[Verteilung D Mitte mit Rinde]],2,FALSE)</f>
        <v>#N/A</v>
      </c>
      <c r="L264">
        <v>255</v>
      </c>
      <c r="M264" t="e">
        <f>INDEX(Stammdaten[Abholzigkeit (mm/lfm)],MATCH(Tabelle9[[#This Row],[Rank]],Stammdaten[Rank Verteilung Abholzigkeit],0))</f>
        <v>#N/A</v>
      </c>
      <c r="N264" t="e">
        <f>VLOOKUP(Tabelle9[[#This Row],[Rank]],Stammdaten[[Rank Verteilung Abholzigkeit]:[Verteilung Abholzigkeit]],2,FALSE)</f>
        <v>#N/A</v>
      </c>
      <c r="S264">
        <v>255</v>
      </c>
      <c r="T264" t="e">
        <f>INDEX(Stammdaten[Krümmung (mm/lfm)],MATCH(Tabelle10[[#This Row],[Rank]],Stammdaten[Rank Verteilung Krümmung],0))</f>
        <v>#N/A</v>
      </c>
      <c r="U264" t="e">
        <f>VLOOKUP(Tabelle10[[#This Row],[Rank]],Stammdaten[[Rank Verteilung Krümmung]:[Verteilung Krümmung]],2,FALSE)</f>
        <v>#N/A</v>
      </c>
      <c r="Z264">
        <v>255</v>
      </c>
      <c r="AA264" t="e">
        <f>INDEX(Stammdaten[Ovalität (']0,1'])],MATCH(Tabelle1014[[#This Row],[Rank]],Stammdaten[Rank Verteilung Ovalität],0))</f>
        <v>#N/A</v>
      </c>
      <c r="AB264" t="e">
        <f>VLOOKUP(Tabelle1014[[#This Row],[Rank]],Stammdaten[[Rank Verteilung Ovalität]:[Verteilung Ovalität]],2,FALSE)</f>
        <v>#N/A</v>
      </c>
    </row>
    <row r="265" spans="5:28" x14ac:dyDescent="0.35">
      <c r="E265">
        <v>256</v>
      </c>
      <c r="F265" t="e">
        <f>INDEX(Stammdaten[D Mitte mit Rinde (mm)],MATCH(Tabelle8[[#This Row],[Rank]],Stammdaten[Rank Verteilung D Mitte mit Rinde],0))</f>
        <v>#N/A</v>
      </c>
      <c r="G265" t="e">
        <f>VLOOKUP(Tabelle8[[#This Row],[Rank]],Stammdaten[[Rank Verteilung D Mitte mit Rinde]:[Verteilung D Mitte mit Rinde]],2,FALSE)</f>
        <v>#N/A</v>
      </c>
      <c r="L265">
        <v>256</v>
      </c>
      <c r="M265" t="e">
        <f>INDEX(Stammdaten[Abholzigkeit (mm/lfm)],MATCH(Tabelle9[[#This Row],[Rank]],Stammdaten[Rank Verteilung Abholzigkeit],0))</f>
        <v>#N/A</v>
      </c>
      <c r="N265" t="e">
        <f>VLOOKUP(Tabelle9[[#This Row],[Rank]],Stammdaten[[Rank Verteilung Abholzigkeit]:[Verteilung Abholzigkeit]],2,FALSE)</f>
        <v>#N/A</v>
      </c>
      <c r="S265">
        <v>256</v>
      </c>
      <c r="T265" t="e">
        <f>INDEX(Stammdaten[Krümmung (mm/lfm)],MATCH(Tabelle10[[#This Row],[Rank]],Stammdaten[Rank Verteilung Krümmung],0))</f>
        <v>#N/A</v>
      </c>
      <c r="U265" t="e">
        <f>VLOOKUP(Tabelle10[[#This Row],[Rank]],Stammdaten[[Rank Verteilung Krümmung]:[Verteilung Krümmung]],2,FALSE)</f>
        <v>#N/A</v>
      </c>
      <c r="Z265">
        <v>256</v>
      </c>
      <c r="AA265" t="e">
        <f>INDEX(Stammdaten[Ovalität (']0,1'])],MATCH(Tabelle1014[[#This Row],[Rank]],Stammdaten[Rank Verteilung Ovalität],0))</f>
        <v>#N/A</v>
      </c>
      <c r="AB265" t="e">
        <f>VLOOKUP(Tabelle1014[[#This Row],[Rank]],Stammdaten[[Rank Verteilung Ovalität]:[Verteilung Ovalität]],2,FALSE)</f>
        <v>#N/A</v>
      </c>
    </row>
    <row r="266" spans="5:28" x14ac:dyDescent="0.35">
      <c r="E266">
        <v>257</v>
      </c>
      <c r="F266" t="e">
        <f>INDEX(Stammdaten[D Mitte mit Rinde (mm)],MATCH(Tabelle8[[#This Row],[Rank]],Stammdaten[Rank Verteilung D Mitte mit Rinde],0))</f>
        <v>#N/A</v>
      </c>
      <c r="G266" t="e">
        <f>VLOOKUP(Tabelle8[[#This Row],[Rank]],Stammdaten[[Rank Verteilung D Mitte mit Rinde]:[Verteilung D Mitte mit Rinde]],2,FALSE)</f>
        <v>#N/A</v>
      </c>
      <c r="L266">
        <v>257</v>
      </c>
      <c r="M266" t="e">
        <f>INDEX(Stammdaten[Abholzigkeit (mm/lfm)],MATCH(Tabelle9[[#This Row],[Rank]],Stammdaten[Rank Verteilung Abholzigkeit],0))</f>
        <v>#N/A</v>
      </c>
      <c r="N266" t="e">
        <f>VLOOKUP(Tabelle9[[#This Row],[Rank]],Stammdaten[[Rank Verteilung Abholzigkeit]:[Verteilung Abholzigkeit]],2,FALSE)</f>
        <v>#N/A</v>
      </c>
      <c r="S266">
        <v>257</v>
      </c>
      <c r="T266" t="e">
        <f>INDEX(Stammdaten[Krümmung (mm/lfm)],MATCH(Tabelle10[[#This Row],[Rank]],Stammdaten[Rank Verteilung Krümmung],0))</f>
        <v>#N/A</v>
      </c>
      <c r="U266" t="e">
        <f>VLOOKUP(Tabelle10[[#This Row],[Rank]],Stammdaten[[Rank Verteilung Krümmung]:[Verteilung Krümmung]],2,FALSE)</f>
        <v>#N/A</v>
      </c>
      <c r="Z266">
        <v>257</v>
      </c>
      <c r="AA266" t="e">
        <f>INDEX(Stammdaten[Ovalität (']0,1'])],MATCH(Tabelle1014[[#This Row],[Rank]],Stammdaten[Rank Verteilung Ovalität],0))</f>
        <v>#N/A</v>
      </c>
      <c r="AB266" t="e">
        <f>VLOOKUP(Tabelle1014[[#This Row],[Rank]],Stammdaten[[Rank Verteilung Ovalität]:[Verteilung Ovalität]],2,FALSE)</f>
        <v>#N/A</v>
      </c>
    </row>
    <row r="267" spans="5:28" x14ac:dyDescent="0.35">
      <c r="E267">
        <v>258</v>
      </c>
      <c r="F267" t="e">
        <f>INDEX(Stammdaten[D Mitte mit Rinde (mm)],MATCH(Tabelle8[[#This Row],[Rank]],Stammdaten[Rank Verteilung D Mitte mit Rinde],0))</f>
        <v>#N/A</v>
      </c>
      <c r="G267" t="e">
        <f>VLOOKUP(Tabelle8[[#This Row],[Rank]],Stammdaten[[Rank Verteilung D Mitte mit Rinde]:[Verteilung D Mitte mit Rinde]],2,FALSE)</f>
        <v>#N/A</v>
      </c>
      <c r="L267">
        <v>258</v>
      </c>
      <c r="M267" t="e">
        <f>INDEX(Stammdaten[Abholzigkeit (mm/lfm)],MATCH(Tabelle9[[#This Row],[Rank]],Stammdaten[Rank Verteilung Abholzigkeit],0))</f>
        <v>#N/A</v>
      </c>
      <c r="N267" t="e">
        <f>VLOOKUP(Tabelle9[[#This Row],[Rank]],Stammdaten[[Rank Verteilung Abholzigkeit]:[Verteilung Abholzigkeit]],2,FALSE)</f>
        <v>#N/A</v>
      </c>
      <c r="S267">
        <v>258</v>
      </c>
      <c r="T267" t="e">
        <f>INDEX(Stammdaten[Krümmung (mm/lfm)],MATCH(Tabelle10[[#This Row],[Rank]],Stammdaten[Rank Verteilung Krümmung],0))</f>
        <v>#N/A</v>
      </c>
      <c r="U267" t="e">
        <f>VLOOKUP(Tabelle10[[#This Row],[Rank]],Stammdaten[[Rank Verteilung Krümmung]:[Verteilung Krümmung]],2,FALSE)</f>
        <v>#N/A</v>
      </c>
      <c r="Z267">
        <v>258</v>
      </c>
      <c r="AA267" t="e">
        <f>INDEX(Stammdaten[Ovalität (']0,1'])],MATCH(Tabelle1014[[#This Row],[Rank]],Stammdaten[Rank Verteilung Ovalität],0))</f>
        <v>#N/A</v>
      </c>
      <c r="AB267" t="e">
        <f>VLOOKUP(Tabelle1014[[#This Row],[Rank]],Stammdaten[[Rank Verteilung Ovalität]:[Verteilung Ovalität]],2,FALSE)</f>
        <v>#N/A</v>
      </c>
    </row>
    <row r="268" spans="5:28" x14ac:dyDescent="0.35">
      <c r="E268">
        <v>259</v>
      </c>
      <c r="F268" t="e">
        <f>INDEX(Stammdaten[D Mitte mit Rinde (mm)],MATCH(Tabelle8[[#This Row],[Rank]],Stammdaten[Rank Verteilung D Mitte mit Rinde],0))</f>
        <v>#N/A</v>
      </c>
      <c r="G268" t="e">
        <f>VLOOKUP(Tabelle8[[#This Row],[Rank]],Stammdaten[[Rank Verteilung D Mitte mit Rinde]:[Verteilung D Mitte mit Rinde]],2,FALSE)</f>
        <v>#N/A</v>
      </c>
      <c r="L268">
        <v>259</v>
      </c>
      <c r="M268" t="e">
        <f>INDEX(Stammdaten[Abholzigkeit (mm/lfm)],MATCH(Tabelle9[[#This Row],[Rank]],Stammdaten[Rank Verteilung Abholzigkeit],0))</f>
        <v>#N/A</v>
      </c>
      <c r="N268" t="e">
        <f>VLOOKUP(Tabelle9[[#This Row],[Rank]],Stammdaten[[Rank Verteilung Abholzigkeit]:[Verteilung Abholzigkeit]],2,FALSE)</f>
        <v>#N/A</v>
      </c>
      <c r="S268">
        <v>259</v>
      </c>
      <c r="T268" t="e">
        <f>INDEX(Stammdaten[Krümmung (mm/lfm)],MATCH(Tabelle10[[#This Row],[Rank]],Stammdaten[Rank Verteilung Krümmung],0))</f>
        <v>#N/A</v>
      </c>
      <c r="U268" t="e">
        <f>VLOOKUP(Tabelle10[[#This Row],[Rank]],Stammdaten[[Rank Verteilung Krümmung]:[Verteilung Krümmung]],2,FALSE)</f>
        <v>#N/A</v>
      </c>
      <c r="Z268">
        <v>259</v>
      </c>
      <c r="AA268" t="e">
        <f>INDEX(Stammdaten[Ovalität (']0,1'])],MATCH(Tabelle1014[[#This Row],[Rank]],Stammdaten[Rank Verteilung Ovalität],0))</f>
        <v>#N/A</v>
      </c>
      <c r="AB268" t="e">
        <f>VLOOKUP(Tabelle1014[[#This Row],[Rank]],Stammdaten[[Rank Verteilung Ovalität]:[Verteilung Ovalität]],2,FALSE)</f>
        <v>#N/A</v>
      </c>
    </row>
    <row r="269" spans="5:28" x14ac:dyDescent="0.35">
      <c r="E269">
        <v>260</v>
      </c>
      <c r="F269" t="e">
        <f>INDEX(Stammdaten[D Mitte mit Rinde (mm)],MATCH(Tabelle8[[#This Row],[Rank]],Stammdaten[Rank Verteilung D Mitte mit Rinde],0))</f>
        <v>#N/A</v>
      </c>
      <c r="G269" t="e">
        <f>VLOOKUP(Tabelle8[[#This Row],[Rank]],Stammdaten[[Rank Verteilung D Mitte mit Rinde]:[Verteilung D Mitte mit Rinde]],2,FALSE)</f>
        <v>#N/A</v>
      </c>
      <c r="L269">
        <v>260</v>
      </c>
      <c r="M269" t="e">
        <f>INDEX(Stammdaten[Abholzigkeit (mm/lfm)],MATCH(Tabelle9[[#This Row],[Rank]],Stammdaten[Rank Verteilung Abholzigkeit],0))</f>
        <v>#N/A</v>
      </c>
      <c r="N269" t="e">
        <f>VLOOKUP(Tabelle9[[#This Row],[Rank]],Stammdaten[[Rank Verteilung Abholzigkeit]:[Verteilung Abholzigkeit]],2,FALSE)</f>
        <v>#N/A</v>
      </c>
      <c r="S269">
        <v>260</v>
      </c>
      <c r="T269" t="e">
        <f>INDEX(Stammdaten[Krümmung (mm/lfm)],MATCH(Tabelle10[[#This Row],[Rank]],Stammdaten[Rank Verteilung Krümmung],0))</f>
        <v>#N/A</v>
      </c>
      <c r="U269" t="e">
        <f>VLOOKUP(Tabelle10[[#This Row],[Rank]],Stammdaten[[Rank Verteilung Krümmung]:[Verteilung Krümmung]],2,FALSE)</f>
        <v>#N/A</v>
      </c>
      <c r="Z269">
        <v>260</v>
      </c>
      <c r="AA269" t="e">
        <f>INDEX(Stammdaten[Ovalität (']0,1'])],MATCH(Tabelle1014[[#This Row],[Rank]],Stammdaten[Rank Verteilung Ovalität],0))</f>
        <v>#N/A</v>
      </c>
      <c r="AB269" t="e">
        <f>VLOOKUP(Tabelle1014[[#This Row],[Rank]],Stammdaten[[Rank Verteilung Ovalität]:[Verteilung Ovalität]],2,FALSE)</f>
        <v>#N/A</v>
      </c>
    </row>
    <row r="270" spans="5:28" x14ac:dyDescent="0.35">
      <c r="E270">
        <v>261</v>
      </c>
      <c r="F270" t="e">
        <f>INDEX(Stammdaten[D Mitte mit Rinde (mm)],MATCH(Tabelle8[[#This Row],[Rank]],Stammdaten[Rank Verteilung D Mitte mit Rinde],0))</f>
        <v>#N/A</v>
      </c>
      <c r="G270" t="e">
        <f>VLOOKUP(Tabelle8[[#This Row],[Rank]],Stammdaten[[Rank Verteilung D Mitte mit Rinde]:[Verteilung D Mitte mit Rinde]],2,FALSE)</f>
        <v>#N/A</v>
      </c>
      <c r="L270">
        <v>261</v>
      </c>
      <c r="M270" t="e">
        <f>INDEX(Stammdaten[Abholzigkeit (mm/lfm)],MATCH(Tabelle9[[#This Row],[Rank]],Stammdaten[Rank Verteilung Abholzigkeit],0))</f>
        <v>#N/A</v>
      </c>
      <c r="N270" t="e">
        <f>VLOOKUP(Tabelle9[[#This Row],[Rank]],Stammdaten[[Rank Verteilung Abholzigkeit]:[Verteilung Abholzigkeit]],2,FALSE)</f>
        <v>#N/A</v>
      </c>
      <c r="S270">
        <v>261</v>
      </c>
      <c r="T270" t="e">
        <f>INDEX(Stammdaten[Krümmung (mm/lfm)],MATCH(Tabelle10[[#This Row],[Rank]],Stammdaten[Rank Verteilung Krümmung],0))</f>
        <v>#N/A</v>
      </c>
      <c r="U270" t="e">
        <f>VLOOKUP(Tabelle10[[#This Row],[Rank]],Stammdaten[[Rank Verteilung Krümmung]:[Verteilung Krümmung]],2,FALSE)</f>
        <v>#N/A</v>
      </c>
      <c r="Z270">
        <v>261</v>
      </c>
      <c r="AA270" t="e">
        <f>INDEX(Stammdaten[Ovalität (']0,1'])],MATCH(Tabelle1014[[#This Row],[Rank]],Stammdaten[Rank Verteilung Ovalität],0))</f>
        <v>#N/A</v>
      </c>
      <c r="AB270" t="e">
        <f>VLOOKUP(Tabelle1014[[#This Row],[Rank]],Stammdaten[[Rank Verteilung Ovalität]:[Verteilung Ovalität]],2,FALSE)</f>
        <v>#N/A</v>
      </c>
    </row>
    <row r="271" spans="5:28" x14ac:dyDescent="0.35">
      <c r="E271">
        <v>262</v>
      </c>
      <c r="F271" t="e">
        <f>INDEX(Stammdaten[D Mitte mit Rinde (mm)],MATCH(Tabelle8[[#This Row],[Rank]],Stammdaten[Rank Verteilung D Mitte mit Rinde],0))</f>
        <v>#N/A</v>
      </c>
      <c r="G271" t="e">
        <f>VLOOKUP(Tabelle8[[#This Row],[Rank]],Stammdaten[[Rank Verteilung D Mitte mit Rinde]:[Verteilung D Mitte mit Rinde]],2,FALSE)</f>
        <v>#N/A</v>
      </c>
      <c r="L271">
        <v>262</v>
      </c>
      <c r="M271" t="e">
        <f>INDEX(Stammdaten[Abholzigkeit (mm/lfm)],MATCH(Tabelle9[[#This Row],[Rank]],Stammdaten[Rank Verteilung Abholzigkeit],0))</f>
        <v>#N/A</v>
      </c>
      <c r="N271" t="e">
        <f>VLOOKUP(Tabelle9[[#This Row],[Rank]],Stammdaten[[Rank Verteilung Abholzigkeit]:[Verteilung Abholzigkeit]],2,FALSE)</f>
        <v>#N/A</v>
      </c>
      <c r="S271">
        <v>262</v>
      </c>
      <c r="T271" t="e">
        <f>INDEX(Stammdaten[Krümmung (mm/lfm)],MATCH(Tabelle10[[#This Row],[Rank]],Stammdaten[Rank Verteilung Krümmung],0))</f>
        <v>#N/A</v>
      </c>
      <c r="U271" t="e">
        <f>VLOOKUP(Tabelle10[[#This Row],[Rank]],Stammdaten[[Rank Verteilung Krümmung]:[Verteilung Krümmung]],2,FALSE)</f>
        <v>#N/A</v>
      </c>
      <c r="Z271">
        <v>262</v>
      </c>
      <c r="AA271" t="e">
        <f>INDEX(Stammdaten[Ovalität (']0,1'])],MATCH(Tabelle1014[[#This Row],[Rank]],Stammdaten[Rank Verteilung Ovalität],0))</f>
        <v>#N/A</v>
      </c>
      <c r="AB271" t="e">
        <f>VLOOKUP(Tabelle1014[[#This Row],[Rank]],Stammdaten[[Rank Verteilung Ovalität]:[Verteilung Ovalität]],2,FALSE)</f>
        <v>#N/A</v>
      </c>
    </row>
    <row r="272" spans="5:28" x14ac:dyDescent="0.35">
      <c r="E272">
        <v>263</v>
      </c>
      <c r="F272" t="e">
        <f>INDEX(Stammdaten[D Mitte mit Rinde (mm)],MATCH(Tabelle8[[#This Row],[Rank]],Stammdaten[Rank Verteilung D Mitte mit Rinde],0))</f>
        <v>#N/A</v>
      </c>
      <c r="G272" t="e">
        <f>VLOOKUP(Tabelle8[[#This Row],[Rank]],Stammdaten[[Rank Verteilung D Mitte mit Rinde]:[Verteilung D Mitte mit Rinde]],2,FALSE)</f>
        <v>#N/A</v>
      </c>
      <c r="L272">
        <v>263</v>
      </c>
      <c r="M272" t="e">
        <f>INDEX(Stammdaten[Abholzigkeit (mm/lfm)],MATCH(Tabelle9[[#This Row],[Rank]],Stammdaten[Rank Verteilung Abholzigkeit],0))</f>
        <v>#N/A</v>
      </c>
      <c r="N272" t="e">
        <f>VLOOKUP(Tabelle9[[#This Row],[Rank]],Stammdaten[[Rank Verteilung Abholzigkeit]:[Verteilung Abholzigkeit]],2,FALSE)</f>
        <v>#N/A</v>
      </c>
      <c r="S272">
        <v>263</v>
      </c>
      <c r="T272" t="e">
        <f>INDEX(Stammdaten[Krümmung (mm/lfm)],MATCH(Tabelle10[[#This Row],[Rank]],Stammdaten[Rank Verteilung Krümmung],0))</f>
        <v>#N/A</v>
      </c>
      <c r="U272" t="e">
        <f>VLOOKUP(Tabelle10[[#This Row],[Rank]],Stammdaten[[Rank Verteilung Krümmung]:[Verteilung Krümmung]],2,FALSE)</f>
        <v>#N/A</v>
      </c>
      <c r="Z272">
        <v>263</v>
      </c>
      <c r="AA272" t="e">
        <f>INDEX(Stammdaten[Ovalität (']0,1'])],MATCH(Tabelle1014[[#This Row],[Rank]],Stammdaten[Rank Verteilung Ovalität],0))</f>
        <v>#N/A</v>
      </c>
      <c r="AB272" t="e">
        <f>VLOOKUP(Tabelle1014[[#This Row],[Rank]],Stammdaten[[Rank Verteilung Ovalität]:[Verteilung Ovalität]],2,FALSE)</f>
        <v>#N/A</v>
      </c>
    </row>
    <row r="273" spans="5:28" x14ac:dyDescent="0.35">
      <c r="E273">
        <v>264</v>
      </c>
      <c r="F273" t="e">
        <f>INDEX(Stammdaten[D Mitte mit Rinde (mm)],MATCH(Tabelle8[[#This Row],[Rank]],Stammdaten[Rank Verteilung D Mitte mit Rinde],0))</f>
        <v>#N/A</v>
      </c>
      <c r="G273" t="e">
        <f>VLOOKUP(Tabelle8[[#This Row],[Rank]],Stammdaten[[Rank Verteilung D Mitte mit Rinde]:[Verteilung D Mitte mit Rinde]],2,FALSE)</f>
        <v>#N/A</v>
      </c>
      <c r="L273">
        <v>264</v>
      </c>
      <c r="M273" t="e">
        <f>INDEX(Stammdaten[Abholzigkeit (mm/lfm)],MATCH(Tabelle9[[#This Row],[Rank]],Stammdaten[Rank Verteilung Abholzigkeit],0))</f>
        <v>#N/A</v>
      </c>
      <c r="N273" t="e">
        <f>VLOOKUP(Tabelle9[[#This Row],[Rank]],Stammdaten[[Rank Verteilung Abholzigkeit]:[Verteilung Abholzigkeit]],2,FALSE)</f>
        <v>#N/A</v>
      </c>
      <c r="S273">
        <v>264</v>
      </c>
      <c r="T273" t="e">
        <f>INDEX(Stammdaten[Krümmung (mm/lfm)],MATCH(Tabelle10[[#This Row],[Rank]],Stammdaten[Rank Verteilung Krümmung],0))</f>
        <v>#N/A</v>
      </c>
      <c r="U273" t="e">
        <f>VLOOKUP(Tabelle10[[#This Row],[Rank]],Stammdaten[[Rank Verteilung Krümmung]:[Verteilung Krümmung]],2,FALSE)</f>
        <v>#N/A</v>
      </c>
      <c r="Z273">
        <v>264</v>
      </c>
      <c r="AA273" t="e">
        <f>INDEX(Stammdaten[Ovalität (']0,1'])],MATCH(Tabelle1014[[#This Row],[Rank]],Stammdaten[Rank Verteilung Ovalität],0))</f>
        <v>#N/A</v>
      </c>
      <c r="AB273" t="e">
        <f>VLOOKUP(Tabelle1014[[#This Row],[Rank]],Stammdaten[[Rank Verteilung Ovalität]:[Verteilung Ovalität]],2,FALSE)</f>
        <v>#N/A</v>
      </c>
    </row>
    <row r="274" spans="5:28" x14ac:dyDescent="0.35">
      <c r="E274">
        <v>265</v>
      </c>
      <c r="F274" t="e">
        <f>INDEX(Stammdaten[D Mitte mit Rinde (mm)],MATCH(Tabelle8[[#This Row],[Rank]],Stammdaten[Rank Verteilung D Mitte mit Rinde],0))</f>
        <v>#N/A</v>
      </c>
      <c r="G274" t="e">
        <f>VLOOKUP(Tabelle8[[#This Row],[Rank]],Stammdaten[[Rank Verteilung D Mitte mit Rinde]:[Verteilung D Mitte mit Rinde]],2,FALSE)</f>
        <v>#N/A</v>
      </c>
      <c r="L274">
        <v>265</v>
      </c>
      <c r="M274" t="e">
        <f>INDEX(Stammdaten[Abholzigkeit (mm/lfm)],MATCH(Tabelle9[[#This Row],[Rank]],Stammdaten[Rank Verteilung Abholzigkeit],0))</f>
        <v>#N/A</v>
      </c>
      <c r="N274" t="e">
        <f>VLOOKUP(Tabelle9[[#This Row],[Rank]],Stammdaten[[Rank Verteilung Abholzigkeit]:[Verteilung Abholzigkeit]],2,FALSE)</f>
        <v>#N/A</v>
      </c>
      <c r="S274">
        <v>265</v>
      </c>
      <c r="T274" t="e">
        <f>INDEX(Stammdaten[Krümmung (mm/lfm)],MATCH(Tabelle10[[#This Row],[Rank]],Stammdaten[Rank Verteilung Krümmung],0))</f>
        <v>#N/A</v>
      </c>
      <c r="U274" t="e">
        <f>VLOOKUP(Tabelle10[[#This Row],[Rank]],Stammdaten[[Rank Verteilung Krümmung]:[Verteilung Krümmung]],2,FALSE)</f>
        <v>#N/A</v>
      </c>
      <c r="Z274">
        <v>265</v>
      </c>
      <c r="AA274" t="e">
        <f>INDEX(Stammdaten[Ovalität (']0,1'])],MATCH(Tabelle1014[[#This Row],[Rank]],Stammdaten[Rank Verteilung Ovalität],0))</f>
        <v>#N/A</v>
      </c>
      <c r="AB274" t="e">
        <f>VLOOKUP(Tabelle1014[[#This Row],[Rank]],Stammdaten[[Rank Verteilung Ovalität]:[Verteilung Ovalität]],2,FALSE)</f>
        <v>#N/A</v>
      </c>
    </row>
    <row r="275" spans="5:28" x14ac:dyDescent="0.35">
      <c r="E275">
        <v>266</v>
      </c>
      <c r="F275" t="e">
        <f>INDEX(Stammdaten[D Mitte mit Rinde (mm)],MATCH(Tabelle8[[#This Row],[Rank]],Stammdaten[Rank Verteilung D Mitte mit Rinde],0))</f>
        <v>#N/A</v>
      </c>
      <c r="G275" t="e">
        <f>VLOOKUP(Tabelle8[[#This Row],[Rank]],Stammdaten[[Rank Verteilung D Mitte mit Rinde]:[Verteilung D Mitte mit Rinde]],2,FALSE)</f>
        <v>#N/A</v>
      </c>
      <c r="L275">
        <v>266</v>
      </c>
      <c r="M275" t="e">
        <f>INDEX(Stammdaten[Abholzigkeit (mm/lfm)],MATCH(Tabelle9[[#This Row],[Rank]],Stammdaten[Rank Verteilung Abholzigkeit],0))</f>
        <v>#N/A</v>
      </c>
      <c r="N275" t="e">
        <f>VLOOKUP(Tabelle9[[#This Row],[Rank]],Stammdaten[[Rank Verteilung Abholzigkeit]:[Verteilung Abholzigkeit]],2,FALSE)</f>
        <v>#N/A</v>
      </c>
      <c r="S275">
        <v>266</v>
      </c>
      <c r="T275" t="e">
        <f>INDEX(Stammdaten[Krümmung (mm/lfm)],MATCH(Tabelle10[[#This Row],[Rank]],Stammdaten[Rank Verteilung Krümmung],0))</f>
        <v>#N/A</v>
      </c>
      <c r="U275" t="e">
        <f>VLOOKUP(Tabelle10[[#This Row],[Rank]],Stammdaten[[Rank Verteilung Krümmung]:[Verteilung Krümmung]],2,FALSE)</f>
        <v>#N/A</v>
      </c>
      <c r="Z275">
        <v>266</v>
      </c>
      <c r="AA275" t="e">
        <f>INDEX(Stammdaten[Ovalität (']0,1'])],MATCH(Tabelle1014[[#This Row],[Rank]],Stammdaten[Rank Verteilung Ovalität],0))</f>
        <v>#N/A</v>
      </c>
      <c r="AB275" t="e">
        <f>VLOOKUP(Tabelle1014[[#This Row],[Rank]],Stammdaten[[Rank Verteilung Ovalität]:[Verteilung Ovalität]],2,FALSE)</f>
        <v>#N/A</v>
      </c>
    </row>
    <row r="276" spans="5:28" x14ac:dyDescent="0.35">
      <c r="E276">
        <v>267</v>
      </c>
      <c r="F276" t="e">
        <f>INDEX(Stammdaten[D Mitte mit Rinde (mm)],MATCH(Tabelle8[[#This Row],[Rank]],Stammdaten[Rank Verteilung D Mitte mit Rinde],0))</f>
        <v>#N/A</v>
      </c>
      <c r="G276" t="e">
        <f>VLOOKUP(Tabelle8[[#This Row],[Rank]],Stammdaten[[Rank Verteilung D Mitte mit Rinde]:[Verteilung D Mitte mit Rinde]],2,FALSE)</f>
        <v>#N/A</v>
      </c>
      <c r="L276">
        <v>267</v>
      </c>
      <c r="M276" t="e">
        <f>INDEX(Stammdaten[Abholzigkeit (mm/lfm)],MATCH(Tabelle9[[#This Row],[Rank]],Stammdaten[Rank Verteilung Abholzigkeit],0))</f>
        <v>#N/A</v>
      </c>
      <c r="N276" t="e">
        <f>VLOOKUP(Tabelle9[[#This Row],[Rank]],Stammdaten[[Rank Verteilung Abholzigkeit]:[Verteilung Abholzigkeit]],2,FALSE)</f>
        <v>#N/A</v>
      </c>
      <c r="S276">
        <v>267</v>
      </c>
      <c r="T276" t="e">
        <f>INDEX(Stammdaten[Krümmung (mm/lfm)],MATCH(Tabelle10[[#This Row],[Rank]],Stammdaten[Rank Verteilung Krümmung],0))</f>
        <v>#N/A</v>
      </c>
      <c r="U276" t="e">
        <f>VLOOKUP(Tabelle10[[#This Row],[Rank]],Stammdaten[[Rank Verteilung Krümmung]:[Verteilung Krümmung]],2,FALSE)</f>
        <v>#N/A</v>
      </c>
      <c r="Z276">
        <v>267</v>
      </c>
      <c r="AA276" t="e">
        <f>INDEX(Stammdaten[Ovalität (']0,1'])],MATCH(Tabelle1014[[#This Row],[Rank]],Stammdaten[Rank Verteilung Ovalität],0))</f>
        <v>#N/A</v>
      </c>
      <c r="AB276" t="e">
        <f>VLOOKUP(Tabelle1014[[#This Row],[Rank]],Stammdaten[[Rank Verteilung Ovalität]:[Verteilung Ovalität]],2,FALSE)</f>
        <v>#N/A</v>
      </c>
    </row>
    <row r="277" spans="5:28" x14ac:dyDescent="0.35">
      <c r="E277">
        <v>268</v>
      </c>
      <c r="F277" t="e">
        <f>INDEX(Stammdaten[D Mitte mit Rinde (mm)],MATCH(Tabelle8[[#This Row],[Rank]],Stammdaten[Rank Verteilung D Mitte mit Rinde],0))</f>
        <v>#N/A</v>
      </c>
      <c r="G277" t="e">
        <f>VLOOKUP(Tabelle8[[#This Row],[Rank]],Stammdaten[[Rank Verteilung D Mitte mit Rinde]:[Verteilung D Mitte mit Rinde]],2,FALSE)</f>
        <v>#N/A</v>
      </c>
      <c r="L277">
        <v>268</v>
      </c>
      <c r="M277" t="e">
        <f>INDEX(Stammdaten[Abholzigkeit (mm/lfm)],MATCH(Tabelle9[[#This Row],[Rank]],Stammdaten[Rank Verteilung Abholzigkeit],0))</f>
        <v>#N/A</v>
      </c>
      <c r="N277" t="e">
        <f>VLOOKUP(Tabelle9[[#This Row],[Rank]],Stammdaten[[Rank Verteilung Abholzigkeit]:[Verteilung Abholzigkeit]],2,FALSE)</f>
        <v>#N/A</v>
      </c>
      <c r="S277">
        <v>268</v>
      </c>
      <c r="T277" t="e">
        <f>INDEX(Stammdaten[Krümmung (mm/lfm)],MATCH(Tabelle10[[#This Row],[Rank]],Stammdaten[Rank Verteilung Krümmung],0))</f>
        <v>#N/A</v>
      </c>
      <c r="U277" t="e">
        <f>VLOOKUP(Tabelle10[[#This Row],[Rank]],Stammdaten[[Rank Verteilung Krümmung]:[Verteilung Krümmung]],2,FALSE)</f>
        <v>#N/A</v>
      </c>
      <c r="Z277">
        <v>268</v>
      </c>
      <c r="AA277" t="e">
        <f>INDEX(Stammdaten[Ovalität (']0,1'])],MATCH(Tabelle1014[[#This Row],[Rank]],Stammdaten[Rank Verteilung Ovalität],0))</f>
        <v>#N/A</v>
      </c>
      <c r="AB277" t="e">
        <f>VLOOKUP(Tabelle1014[[#This Row],[Rank]],Stammdaten[[Rank Verteilung Ovalität]:[Verteilung Ovalität]],2,FALSE)</f>
        <v>#N/A</v>
      </c>
    </row>
    <row r="278" spans="5:28" x14ac:dyDescent="0.35">
      <c r="E278">
        <v>269</v>
      </c>
      <c r="F278" t="e">
        <f>INDEX(Stammdaten[D Mitte mit Rinde (mm)],MATCH(Tabelle8[[#This Row],[Rank]],Stammdaten[Rank Verteilung D Mitte mit Rinde],0))</f>
        <v>#N/A</v>
      </c>
      <c r="G278" t="e">
        <f>VLOOKUP(Tabelle8[[#This Row],[Rank]],Stammdaten[[Rank Verteilung D Mitte mit Rinde]:[Verteilung D Mitte mit Rinde]],2,FALSE)</f>
        <v>#N/A</v>
      </c>
      <c r="L278">
        <v>269</v>
      </c>
      <c r="M278" t="e">
        <f>INDEX(Stammdaten[Abholzigkeit (mm/lfm)],MATCH(Tabelle9[[#This Row],[Rank]],Stammdaten[Rank Verteilung Abholzigkeit],0))</f>
        <v>#N/A</v>
      </c>
      <c r="N278" t="e">
        <f>VLOOKUP(Tabelle9[[#This Row],[Rank]],Stammdaten[[Rank Verteilung Abholzigkeit]:[Verteilung Abholzigkeit]],2,FALSE)</f>
        <v>#N/A</v>
      </c>
      <c r="S278">
        <v>269</v>
      </c>
      <c r="T278" t="e">
        <f>INDEX(Stammdaten[Krümmung (mm/lfm)],MATCH(Tabelle10[[#This Row],[Rank]],Stammdaten[Rank Verteilung Krümmung],0))</f>
        <v>#N/A</v>
      </c>
      <c r="U278" t="e">
        <f>VLOOKUP(Tabelle10[[#This Row],[Rank]],Stammdaten[[Rank Verteilung Krümmung]:[Verteilung Krümmung]],2,FALSE)</f>
        <v>#N/A</v>
      </c>
      <c r="Z278">
        <v>269</v>
      </c>
      <c r="AA278" t="e">
        <f>INDEX(Stammdaten[Ovalität (']0,1'])],MATCH(Tabelle1014[[#This Row],[Rank]],Stammdaten[Rank Verteilung Ovalität],0))</f>
        <v>#N/A</v>
      </c>
      <c r="AB278" t="e">
        <f>VLOOKUP(Tabelle1014[[#This Row],[Rank]],Stammdaten[[Rank Verteilung Ovalität]:[Verteilung Ovalität]],2,FALSE)</f>
        <v>#N/A</v>
      </c>
    </row>
    <row r="279" spans="5:28" x14ac:dyDescent="0.35">
      <c r="E279">
        <v>270</v>
      </c>
      <c r="F279" t="e">
        <f>INDEX(Stammdaten[D Mitte mit Rinde (mm)],MATCH(Tabelle8[[#This Row],[Rank]],Stammdaten[Rank Verteilung D Mitte mit Rinde],0))</f>
        <v>#N/A</v>
      </c>
      <c r="G279" t="e">
        <f>VLOOKUP(Tabelle8[[#This Row],[Rank]],Stammdaten[[Rank Verteilung D Mitte mit Rinde]:[Verteilung D Mitte mit Rinde]],2,FALSE)</f>
        <v>#N/A</v>
      </c>
      <c r="L279">
        <v>270</v>
      </c>
      <c r="M279" t="e">
        <f>INDEX(Stammdaten[Abholzigkeit (mm/lfm)],MATCH(Tabelle9[[#This Row],[Rank]],Stammdaten[Rank Verteilung Abholzigkeit],0))</f>
        <v>#N/A</v>
      </c>
      <c r="N279" t="e">
        <f>VLOOKUP(Tabelle9[[#This Row],[Rank]],Stammdaten[[Rank Verteilung Abholzigkeit]:[Verteilung Abholzigkeit]],2,FALSE)</f>
        <v>#N/A</v>
      </c>
      <c r="S279">
        <v>270</v>
      </c>
      <c r="T279" t="e">
        <f>INDEX(Stammdaten[Krümmung (mm/lfm)],MATCH(Tabelle10[[#This Row],[Rank]],Stammdaten[Rank Verteilung Krümmung],0))</f>
        <v>#N/A</v>
      </c>
      <c r="U279" t="e">
        <f>VLOOKUP(Tabelle10[[#This Row],[Rank]],Stammdaten[[Rank Verteilung Krümmung]:[Verteilung Krümmung]],2,FALSE)</f>
        <v>#N/A</v>
      </c>
      <c r="Z279">
        <v>270</v>
      </c>
      <c r="AA279" t="e">
        <f>INDEX(Stammdaten[Ovalität (']0,1'])],MATCH(Tabelle1014[[#This Row],[Rank]],Stammdaten[Rank Verteilung Ovalität],0))</f>
        <v>#N/A</v>
      </c>
      <c r="AB279" t="e">
        <f>VLOOKUP(Tabelle1014[[#This Row],[Rank]],Stammdaten[[Rank Verteilung Ovalität]:[Verteilung Ovalität]],2,FALSE)</f>
        <v>#N/A</v>
      </c>
    </row>
    <row r="280" spans="5:28" x14ac:dyDescent="0.35">
      <c r="E280">
        <v>271</v>
      </c>
      <c r="F280" t="e">
        <f>INDEX(Stammdaten[D Mitte mit Rinde (mm)],MATCH(Tabelle8[[#This Row],[Rank]],Stammdaten[Rank Verteilung D Mitte mit Rinde],0))</f>
        <v>#N/A</v>
      </c>
      <c r="G280" t="e">
        <f>VLOOKUP(Tabelle8[[#This Row],[Rank]],Stammdaten[[Rank Verteilung D Mitte mit Rinde]:[Verteilung D Mitte mit Rinde]],2,FALSE)</f>
        <v>#N/A</v>
      </c>
      <c r="L280">
        <v>271</v>
      </c>
      <c r="M280" t="e">
        <f>INDEX(Stammdaten[Abholzigkeit (mm/lfm)],MATCH(Tabelle9[[#This Row],[Rank]],Stammdaten[Rank Verteilung Abholzigkeit],0))</f>
        <v>#N/A</v>
      </c>
      <c r="N280" t="e">
        <f>VLOOKUP(Tabelle9[[#This Row],[Rank]],Stammdaten[[Rank Verteilung Abholzigkeit]:[Verteilung Abholzigkeit]],2,FALSE)</f>
        <v>#N/A</v>
      </c>
      <c r="S280">
        <v>271</v>
      </c>
      <c r="T280" t="e">
        <f>INDEX(Stammdaten[Krümmung (mm/lfm)],MATCH(Tabelle10[[#This Row],[Rank]],Stammdaten[Rank Verteilung Krümmung],0))</f>
        <v>#N/A</v>
      </c>
      <c r="U280" t="e">
        <f>VLOOKUP(Tabelle10[[#This Row],[Rank]],Stammdaten[[Rank Verteilung Krümmung]:[Verteilung Krümmung]],2,FALSE)</f>
        <v>#N/A</v>
      </c>
      <c r="Z280">
        <v>271</v>
      </c>
      <c r="AA280" t="e">
        <f>INDEX(Stammdaten[Ovalität (']0,1'])],MATCH(Tabelle1014[[#This Row],[Rank]],Stammdaten[Rank Verteilung Ovalität],0))</f>
        <v>#N/A</v>
      </c>
      <c r="AB280" t="e">
        <f>VLOOKUP(Tabelle1014[[#This Row],[Rank]],Stammdaten[[Rank Verteilung Ovalität]:[Verteilung Ovalität]],2,FALSE)</f>
        <v>#N/A</v>
      </c>
    </row>
    <row r="281" spans="5:28" x14ac:dyDescent="0.35">
      <c r="E281">
        <v>272</v>
      </c>
      <c r="F281" t="e">
        <f>INDEX(Stammdaten[D Mitte mit Rinde (mm)],MATCH(Tabelle8[[#This Row],[Rank]],Stammdaten[Rank Verteilung D Mitte mit Rinde],0))</f>
        <v>#N/A</v>
      </c>
      <c r="G281" t="e">
        <f>VLOOKUP(Tabelle8[[#This Row],[Rank]],Stammdaten[[Rank Verteilung D Mitte mit Rinde]:[Verteilung D Mitte mit Rinde]],2,FALSE)</f>
        <v>#N/A</v>
      </c>
      <c r="L281">
        <v>272</v>
      </c>
      <c r="M281" t="e">
        <f>INDEX(Stammdaten[Abholzigkeit (mm/lfm)],MATCH(Tabelle9[[#This Row],[Rank]],Stammdaten[Rank Verteilung Abholzigkeit],0))</f>
        <v>#N/A</v>
      </c>
      <c r="N281" t="e">
        <f>VLOOKUP(Tabelle9[[#This Row],[Rank]],Stammdaten[[Rank Verteilung Abholzigkeit]:[Verteilung Abholzigkeit]],2,FALSE)</f>
        <v>#N/A</v>
      </c>
      <c r="S281">
        <v>272</v>
      </c>
      <c r="T281" t="e">
        <f>INDEX(Stammdaten[Krümmung (mm/lfm)],MATCH(Tabelle10[[#This Row],[Rank]],Stammdaten[Rank Verteilung Krümmung],0))</f>
        <v>#N/A</v>
      </c>
      <c r="U281" t="e">
        <f>VLOOKUP(Tabelle10[[#This Row],[Rank]],Stammdaten[[Rank Verteilung Krümmung]:[Verteilung Krümmung]],2,FALSE)</f>
        <v>#N/A</v>
      </c>
      <c r="Z281">
        <v>272</v>
      </c>
      <c r="AA281" t="e">
        <f>INDEX(Stammdaten[Ovalität (']0,1'])],MATCH(Tabelle1014[[#This Row],[Rank]],Stammdaten[Rank Verteilung Ovalität],0))</f>
        <v>#N/A</v>
      </c>
      <c r="AB281" t="e">
        <f>VLOOKUP(Tabelle1014[[#This Row],[Rank]],Stammdaten[[Rank Verteilung Ovalität]:[Verteilung Ovalität]],2,FALSE)</f>
        <v>#N/A</v>
      </c>
    </row>
    <row r="282" spans="5:28" x14ac:dyDescent="0.35">
      <c r="E282">
        <v>273</v>
      </c>
      <c r="F282" t="e">
        <f>INDEX(Stammdaten[D Mitte mit Rinde (mm)],MATCH(Tabelle8[[#This Row],[Rank]],Stammdaten[Rank Verteilung D Mitte mit Rinde],0))</f>
        <v>#N/A</v>
      </c>
      <c r="G282" t="e">
        <f>VLOOKUP(Tabelle8[[#This Row],[Rank]],Stammdaten[[Rank Verteilung D Mitte mit Rinde]:[Verteilung D Mitte mit Rinde]],2,FALSE)</f>
        <v>#N/A</v>
      </c>
      <c r="L282">
        <v>273</v>
      </c>
      <c r="M282" t="e">
        <f>INDEX(Stammdaten[Abholzigkeit (mm/lfm)],MATCH(Tabelle9[[#This Row],[Rank]],Stammdaten[Rank Verteilung Abholzigkeit],0))</f>
        <v>#N/A</v>
      </c>
      <c r="N282" t="e">
        <f>VLOOKUP(Tabelle9[[#This Row],[Rank]],Stammdaten[[Rank Verteilung Abholzigkeit]:[Verteilung Abholzigkeit]],2,FALSE)</f>
        <v>#N/A</v>
      </c>
      <c r="S282">
        <v>273</v>
      </c>
      <c r="T282" t="e">
        <f>INDEX(Stammdaten[Krümmung (mm/lfm)],MATCH(Tabelle10[[#This Row],[Rank]],Stammdaten[Rank Verteilung Krümmung],0))</f>
        <v>#N/A</v>
      </c>
      <c r="U282" t="e">
        <f>VLOOKUP(Tabelle10[[#This Row],[Rank]],Stammdaten[[Rank Verteilung Krümmung]:[Verteilung Krümmung]],2,FALSE)</f>
        <v>#N/A</v>
      </c>
      <c r="Z282">
        <v>273</v>
      </c>
      <c r="AA282" t="e">
        <f>INDEX(Stammdaten[Ovalität (']0,1'])],MATCH(Tabelle1014[[#This Row],[Rank]],Stammdaten[Rank Verteilung Ovalität],0))</f>
        <v>#N/A</v>
      </c>
      <c r="AB282" t="e">
        <f>VLOOKUP(Tabelle1014[[#This Row],[Rank]],Stammdaten[[Rank Verteilung Ovalität]:[Verteilung Ovalität]],2,FALSE)</f>
        <v>#N/A</v>
      </c>
    </row>
    <row r="283" spans="5:28" x14ac:dyDescent="0.35">
      <c r="E283">
        <v>274</v>
      </c>
      <c r="F283" t="e">
        <f>INDEX(Stammdaten[D Mitte mit Rinde (mm)],MATCH(Tabelle8[[#This Row],[Rank]],Stammdaten[Rank Verteilung D Mitte mit Rinde],0))</f>
        <v>#N/A</v>
      </c>
      <c r="G283" t="e">
        <f>VLOOKUP(Tabelle8[[#This Row],[Rank]],Stammdaten[[Rank Verteilung D Mitte mit Rinde]:[Verteilung D Mitte mit Rinde]],2,FALSE)</f>
        <v>#N/A</v>
      </c>
      <c r="L283">
        <v>274</v>
      </c>
      <c r="M283" t="e">
        <f>INDEX(Stammdaten[Abholzigkeit (mm/lfm)],MATCH(Tabelle9[[#This Row],[Rank]],Stammdaten[Rank Verteilung Abholzigkeit],0))</f>
        <v>#N/A</v>
      </c>
      <c r="N283" t="e">
        <f>VLOOKUP(Tabelle9[[#This Row],[Rank]],Stammdaten[[Rank Verteilung Abholzigkeit]:[Verteilung Abholzigkeit]],2,FALSE)</f>
        <v>#N/A</v>
      </c>
      <c r="S283">
        <v>274</v>
      </c>
      <c r="T283" t="e">
        <f>INDEX(Stammdaten[Krümmung (mm/lfm)],MATCH(Tabelle10[[#This Row],[Rank]],Stammdaten[Rank Verteilung Krümmung],0))</f>
        <v>#N/A</v>
      </c>
      <c r="U283" t="e">
        <f>VLOOKUP(Tabelle10[[#This Row],[Rank]],Stammdaten[[Rank Verteilung Krümmung]:[Verteilung Krümmung]],2,FALSE)</f>
        <v>#N/A</v>
      </c>
      <c r="Z283">
        <v>274</v>
      </c>
      <c r="AA283" t="e">
        <f>INDEX(Stammdaten[Ovalität (']0,1'])],MATCH(Tabelle1014[[#This Row],[Rank]],Stammdaten[Rank Verteilung Ovalität],0))</f>
        <v>#N/A</v>
      </c>
      <c r="AB283" t="e">
        <f>VLOOKUP(Tabelle1014[[#This Row],[Rank]],Stammdaten[[Rank Verteilung Ovalität]:[Verteilung Ovalität]],2,FALSE)</f>
        <v>#N/A</v>
      </c>
    </row>
    <row r="284" spans="5:28" x14ac:dyDescent="0.35">
      <c r="E284">
        <v>275</v>
      </c>
      <c r="F284" t="e">
        <f>INDEX(Stammdaten[D Mitte mit Rinde (mm)],MATCH(Tabelle8[[#This Row],[Rank]],Stammdaten[Rank Verteilung D Mitte mit Rinde],0))</f>
        <v>#N/A</v>
      </c>
      <c r="G284" t="e">
        <f>VLOOKUP(Tabelle8[[#This Row],[Rank]],Stammdaten[[Rank Verteilung D Mitte mit Rinde]:[Verteilung D Mitte mit Rinde]],2,FALSE)</f>
        <v>#N/A</v>
      </c>
      <c r="L284">
        <v>275</v>
      </c>
      <c r="M284" t="e">
        <f>INDEX(Stammdaten[Abholzigkeit (mm/lfm)],MATCH(Tabelle9[[#This Row],[Rank]],Stammdaten[Rank Verteilung Abholzigkeit],0))</f>
        <v>#N/A</v>
      </c>
      <c r="N284" t="e">
        <f>VLOOKUP(Tabelle9[[#This Row],[Rank]],Stammdaten[[Rank Verteilung Abholzigkeit]:[Verteilung Abholzigkeit]],2,FALSE)</f>
        <v>#N/A</v>
      </c>
      <c r="S284">
        <v>275</v>
      </c>
      <c r="T284" t="e">
        <f>INDEX(Stammdaten[Krümmung (mm/lfm)],MATCH(Tabelle10[[#This Row],[Rank]],Stammdaten[Rank Verteilung Krümmung],0))</f>
        <v>#N/A</v>
      </c>
      <c r="U284" t="e">
        <f>VLOOKUP(Tabelle10[[#This Row],[Rank]],Stammdaten[[Rank Verteilung Krümmung]:[Verteilung Krümmung]],2,FALSE)</f>
        <v>#N/A</v>
      </c>
      <c r="Z284">
        <v>275</v>
      </c>
      <c r="AA284" t="e">
        <f>INDEX(Stammdaten[Ovalität (']0,1'])],MATCH(Tabelle1014[[#This Row],[Rank]],Stammdaten[Rank Verteilung Ovalität],0))</f>
        <v>#N/A</v>
      </c>
      <c r="AB284" t="e">
        <f>VLOOKUP(Tabelle1014[[#This Row],[Rank]],Stammdaten[[Rank Verteilung Ovalität]:[Verteilung Ovalität]],2,FALSE)</f>
        <v>#N/A</v>
      </c>
    </row>
    <row r="285" spans="5:28" x14ac:dyDescent="0.35">
      <c r="E285">
        <v>276</v>
      </c>
      <c r="F285" t="e">
        <f>INDEX(Stammdaten[D Mitte mit Rinde (mm)],MATCH(Tabelle8[[#This Row],[Rank]],Stammdaten[Rank Verteilung D Mitte mit Rinde],0))</f>
        <v>#N/A</v>
      </c>
      <c r="G285" t="e">
        <f>VLOOKUP(Tabelle8[[#This Row],[Rank]],Stammdaten[[Rank Verteilung D Mitte mit Rinde]:[Verteilung D Mitte mit Rinde]],2,FALSE)</f>
        <v>#N/A</v>
      </c>
      <c r="L285">
        <v>276</v>
      </c>
      <c r="M285" t="e">
        <f>INDEX(Stammdaten[Abholzigkeit (mm/lfm)],MATCH(Tabelle9[[#This Row],[Rank]],Stammdaten[Rank Verteilung Abholzigkeit],0))</f>
        <v>#N/A</v>
      </c>
      <c r="N285" t="e">
        <f>VLOOKUP(Tabelle9[[#This Row],[Rank]],Stammdaten[[Rank Verteilung Abholzigkeit]:[Verteilung Abholzigkeit]],2,FALSE)</f>
        <v>#N/A</v>
      </c>
      <c r="S285">
        <v>276</v>
      </c>
      <c r="T285" t="e">
        <f>INDEX(Stammdaten[Krümmung (mm/lfm)],MATCH(Tabelle10[[#This Row],[Rank]],Stammdaten[Rank Verteilung Krümmung],0))</f>
        <v>#N/A</v>
      </c>
      <c r="U285" t="e">
        <f>VLOOKUP(Tabelle10[[#This Row],[Rank]],Stammdaten[[Rank Verteilung Krümmung]:[Verteilung Krümmung]],2,FALSE)</f>
        <v>#N/A</v>
      </c>
      <c r="Z285">
        <v>276</v>
      </c>
      <c r="AA285" t="e">
        <f>INDEX(Stammdaten[Ovalität (']0,1'])],MATCH(Tabelle1014[[#This Row],[Rank]],Stammdaten[Rank Verteilung Ovalität],0))</f>
        <v>#N/A</v>
      </c>
      <c r="AB285" t="e">
        <f>VLOOKUP(Tabelle1014[[#This Row],[Rank]],Stammdaten[[Rank Verteilung Ovalität]:[Verteilung Ovalität]],2,FALSE)</f>
        <v>#N/A</v>
      </c>
    </row>
    <row r="286" spans="5:28" x14ac:dyDescent="0.35">
      <c r="E286">
        <v>277</v>
      </c>
      <c r="F286" t="e">
        <f>INDEX(Stammdaten[D Mitte mit Rinde (mm)],MATCH(Tabelle8[[#This Row],[Rank]],Stammdaten[Rank Verteilung D Mitte mit Rinde],0))</f>
        <v>#N/A</v>
      </c>
      <c r="G286" t="e">
        <f>VLOOKUP(Tabelle8[[#This Row],[Rank]],Stammdaten[[Rank Verteilung D Mitte mit Rinde]:[Verteilung D Mitte mit Rinde]],2,FALSE)</f>
        <v>#N/A</v>
      </c>
      <c r="L286">
        <v>277</v>
      </c>
      <c r="M286" t="e">
        <f>INDEX(Stammdaten[Abholzigkeit (mm/lfm)],MATCH(Tabelle9[[#This Row],[Rank]],Stammdaten[Rank Verteilung Abholzigkeit],0))</f>
        <v>#N/A</v>
      </c>
      <c r="N286" t="e">
        <f>VLOOKUP(Tabelle9[[#This Row],[Rank]],Stammdaten[[Rank Verteilung Abholzigkeit]:[Verteilung Abholzigkeit]],2,FALSE)</f>
        <v>#N/A</v>
      </c>
      <c r="S286">
        <v>277</v>
      </c>
      <c r="T286" t="e">
        <f>INDEX(Stammdaten[Krümmung (mm/lfm)],MATCH(Tabelle10[[#This Row],[Rank]],Stammdaten[Rank Verteilung Krümmung],0))</f>
        <v>#N/A</v>
      </c>
      <c r="U286" t="e">
        <f>VLOOKUP(Tabelle10[[#This Row],[Rank]],Stammdaten[[Rank Verteilung Krümmung]:[Verteilung Krümmung]],2,FALSE)</f>
        <v>#N/A</v>
      </c>
      <c r="Z286">
        <v>277</v>
      </c>
      <c r="AA286" t="e">
        <f>INDEX(Stammdaten[Ovalität (']0,1'])],MATCH(Tabelle1014[[#This Row],[Rank]],Stammdaten[Rank Verteilung Ovalität],0))</f>
        <v>#N/A</v>
      </c>
      <c r="AB286" t="e">
        <f>VLOOKUP(Tabelle1014[[#This Row],[Rank]],Stammdaten[[Rank Verteilung Ovalität]:[Verteilung Ovalität]],2,FALSE)</f>
        <v>#N/A</v>
      </c>
    </row>
    <row r="287" spans="5:28" x14ac:dyDescent="0.35">
      <c r="E287">
        <v>278</v>
      </c>
      <c r="F287" t="e">
        <f>INDEX(Stammdaten[D Mitte mit Rinde (mm)],MATCH(Tabelle8[[#This Row],[Rank]],Stammdaten[Rank Verteilung D Mitte mit Rinde],0))</f>
        <v>#N/A</v>
      </c>
      <c r="G287" t="e">
        <f>VLOOKUP(Tabelle8[[#This Row],[Rank]],Stammdaten[[Rank Verteilung D Mitte mit Rinde]:[Verteilung D Mitte mit Rinde]],2,FALSE)</f>
        <v>#N/A</v>
      </c>
      <c r="L287">
        <v>278</v>
      </c>
      <c r="M287" t="e">
        <f>INDEX(Stammdaten[Abholzigkeit (mm/lfm)],MATCH(Tabelle9[[#This Row],[Rank]],Stammdaten[Rank Verteilung Abholzigkeit],0))</f>
        <v>#N/A</v>
      </c>
      <c r="N287" t="e">
        <f>VLOOKUP(Tabelle9[[#This Row],[Rank]],Stammdaten[[Rank Verteilung Abholzigkeit]:[Verteilung Abholzigkeit]],2,FALSE)</f>
        <v>#N/A</v>
      </c>
      <c r="S287">
        <v>278</v>
      </c>
      <c r="T287" t="e">
        <f>INDEX(Stammdaten[Krümmung (mm/lfm)],MATCH(Tabelle10[[#This Row],[Rank]],Stammdaten[Rank Verteilung Krümmung],0))</f>
        <v>#N/A</v>
      </c>
      <c r="U287" t="e">
        <f>VLOOKUP(Tabelle10[[#This Row],[Rank]],Stammdaten[[Rank Verteilung Krümmung]:[Verteilung Krümmung]],2,FALSE)</f>
        <v>#N/A</v>
      </c>
      <c r="Z287">
        <v>278</v>
      </c>
      <c r="AA287" t="e">
        <f>INDEX(Stammdaten[Ovalität (']0,1'])],MATCH(Tabelle1014[[#This Row],[Rank]],Stammdaten[Rank Verteilung Ovalität],0))</f>
        <v>#N/A</v>
      </c>
      <c r="AB287" t="e">
        <f>VLOOKUP(Tabelle1014[[#This Row],[Rank]],Stammdaten[[Rank Verteilung Ovalität]:[Verteilung Ovalität]],2,FALSE)</f>
        <v>#N/A</v>
      </c>
    </row>
    <row r="288" spans="5:28" x14ac:dyDescent="0.35">
      <c r="E288">
        <v>279</v>
      </c>
      <c r="F288" t="e">
        <f>INDEX(Stammdaten[D Mitte mit Rinde (mm)],MATCH(Tabelle8[[#This Row],[Rank]],Stammdaten[Rank Verteilung D Mitte mit Rinde],0))</f>
        <v>#N/A</v>
      </c>
      <c r="G288" t="e">
        <f>VLOOKUP(Tabelle8[[#This Row],[Rank]],Stammdaten[[Rank Verteilung D Mitte mit Rinde]:[Verteilung D Mitte mit Rinde]],2,FALSE)</f>
        <v>#N/A</v>
      </c>
      <c r="L288">
        <v>279</v>
      </c>
      <c r="M288" t="e">
        <f>INDEX(Stammdaten[Abholzigkeit (mm/lfm)],MATCH(Tabelle9[[#This Row],[Rank]],Stammdaten[Rank Verteilung Abholzigkeit],0))</f>
        <v>#N/A</v>
      </c>
      <c r="N288" t="e">
        <f>VLOOKUP(Tabelle9[[#This Row],[Rank]],Stammdaten[[Rank Verteilung Abholzigkeit]:[Verteilung Abholzigkeit]],2,FALSE)</f>
        <v>#N/A</v>
      </c>
      <c r="S288">
        <v>279</v>
      </c>
      <c r="T288" t="e">
        <f>INDEX(Stammdaten[Krümmung (mm/lfm)],MATCH(Tabelle10[[#This Row],[Rank]],Stammdaten[Rank Verteilung Krümmung],0))</f>
        <v>#N/A</v>
      </c>
      <c r="U288" t="e">
        <f>VLOOKUP(Tabelle10[[#This Row],[Rank]],Stammdaten[[Rank Verteilung Krümmung]:[Verteilung Krümmung]],2,FALSE)</f>
        <v>#N/A</v>
      </c>
      <c r="Z288">
        <v>279</v>
      </c>
      <c r="AA288" t="e">
        <f>INDEX(Stammdaten[Ovalität (']0,1'])],MATCH(Tabelle1014[[#This Row],[Rank]],Stammdaten[Rank Verteilung Ovalität],0))</f>
        <v>#N/A</v>
      </c>
      <c r="AB288" t="e">
        <f>VLOOKUP(Tabelle1014[[#This Row],[Rank]],Stammdaten[[Rank Verteilung Ovalität]:[Verteilung Ovalität]],2,FALSE)</f>
        <v>#N/A</v>
      </c>
    </row>
    <row r="289" spans="5:28" x14ac:dyDescent="0.35">
      <c r="E289">
        <v>280</v>
      </c>
      <c r="F289" t="e">
        <f>INDEX(Stammdaten[D Mitte mit Rinde (mm)],MATCH(Tabelle8[[#This Row],[Rank]],Stammdaten[Rank Verteilung D Mitte mit Rinde],0))</f>
        <v>#N/A</v>
      </c>
      <c r="G289" t="e">
        <f>VLOOKUP(Tabelle8[[#This Row],[Rank]],Stammdaten[[Rank Verteilung D Mitte mit Rinde]:[Verteilung D Mitte mit Rinde]],2,FALSE)</f>
        <v>#N/A</v>
      </c>
      <c r="L289">
        <v>280</v>
      </c>
      <c r="M289" t="e">
        <f>INDEX(Stammdaten[Abholzigkeit (mm/lfm)],MATCH(Tabelle9[[#This Row],[Rank]],Stammdaten[Rank Verteilung Abholzigkeit],0))</f>
        <v>#N/A</v>
      </c>
      <c r="N289" t="e">
        <f>VLOOKUP(Tabelle9[[#This Row],[Rank]],Stammdaten[[Rank Verteilung Abholzigkeit]:[Verteilung Abholzigkeit]],2,FALSE)</f>
        <v>#N/A</v>
      </c>
      <c r="S289">
        <v>280</v>
      </c>
      <c r="T289" t="e">
        <f>INDEX(Stammdaten[Krümmung (mm/lfm)],MATCH(Tabelle10[[#This Row],[Rank]],Stammdaten[Rank Verteilung Krümmung],0))</f>
        <v>#N/A</v>
      </c>
      <c r="U289" t="e">
        <f>VLOOKUP(Tabelle10[[#This Row],[Rank]],Stammdaten[[Rank Verteilung Krümmung]:[Verteilung Krümmung]],2,FALSE)</f>
        <v>#N/A</v>
      </c>
      <c r="Z289">
        <v>280</v>
      </c>
      <c r="AA289" t="e">
        <f>INDEX(Stammdaten[Ovalität (']0,1'])],MATCH(Tabelle1014[[#This Row],[Rank]],Stammdaten[Rank Verteilung Ovalität],0))</f>
        <v>#N/A</v>
      </c>
      <c r="AB289" t="e">
        <f>VLOOKUP(Tabelle1014[[#This Row],[Rank]],Stammdaten[[Rank Verteilung Ovalität]:[Verteilung Ovalität]],2,FALSE)</f>
        <v>#N/A</v>
      </c>
    </row>
    <row r="290" spans="5:28" x14ac:dyDescent="0.35">
      <c r="E290">
        <v>281</v>
      </c>
      <c r="F290" t="e">
        <f>INDEX(Stammdaten[D Mitte mit Rinde (mm)],MATCH(Tabelle8[[#This Row],[Rank]],Stammdaten[Rank Verteilung D Mitte mit Rinde],0))</f>
        <v>#N/A</v>
      </c>
      <c r="G290" t="e">
        <f>VLOOKUP(Tabelle8[[#This Row],[Rank]],Stammdaten[[Rank Verteilung D Mitte mit Rinde]:[Verteilung D Mitte mit Rinde]],2,FALSE)</f>
        <v>#N/A</v>
      </c>
      <c r="L290">
        <v>281</v>
      </c>
      <c r="M290" t="e">
        <f>INDEX(Stammdaten[Abholzigkeit (mm/lfm)],MATCH(Tabelle9[[#This Row],[Rank]],Stammdaten[Rank Verteilung Abholzigkeit],0))</f>
        <v>#N/A</v>
      </c>
      <c r="N290" t="e">
        <f>VLOOKUP(Tabelle9[[#This Row],[Rank]],Stammdaten[[Rank Verteilung Abholzigkeit]:[Verteilung Abholzigkeit]],2,FALSE)</f>
        <v>#N/A</v>
      </c>
      <c r="S290">
        <v>281</v>
      </c>
      <c r="T290" t="e">
        <f>INDEX(Stammdaten[Krümmung (mm/lfm)],MATCH(Tabelle10[[#This Row],[Rank]],Stammdaten[Rank Verteilung Krümmung],0))</f>
        <v>#N/A</v>
      </c>
      <c r="U290" t="e">
        <f>VLOOKUP(Tabelle10[[#This Row],[Rank]],Stammdaten[[Rank Verteilung Krümmung]:[Verteilung Krümmung]],2,FALSE)</f>
        <v>#N/A</v>
      </c>
      <c r="Z290">
        <v>281</v>
      </c>
      <c r="AA290" t="e">
        <f>INDEX(Stammdaten[Ovalität (']0,1'])],MATCH(Tabelle1014[[#This Row],[Rank]],Stammdaten[Rank Verteilung Ovalität],0))</f>
        <v>#N/A</v>
      </c>
      <c r="AB290" t="e">
        <f>VLOOKUP(Tabelle1014[[#This Row],[Rank]],Stammdaten[[Rank Verteilung Ovalität]:[Verteilung Ovalität]],2,FALSE)</f>
        <v>#N/A</v>
      </c>
    </row>
    <row r="291" spans="5:28" x14ac:dyDescent="0.35">
      <c r="E291">
        <v>282</v>
      </c>
      <c r="F291" t="e">
        <f>INDEX(Stammdaten[D Mitte mit Rinde (mm)],MATCH(Tabelle8[[#This Row],[Rank]],Stammdaten[Rank Verteilung D Mitte mit Rinde],0))</f>
        <v>#N/A</v>
      </c>
      <c r="G291" t="e">
        <f>VLOOKUP(Tabelle8[[#This Row],[Rank]],Stammdaten[[Rank Verteilung D Mitte mit Rinde]:[Verteilung D Mitte mit Rinde]],2,FALSE)</f>
        <v>#N/A</v>
      </c>
      <c r="L291">
        <v>282</v>
      </c>
      <c r="M291" t="e">
        <f>INDEX(Stammdaten[Abholzigkeit (mm/lfm)],MATCH(Tabelle9[[#This Row],[Rank]],Stammdaten[Rank Verteilung Abholzigkeit],0))</f>
        <v>#N/A</v>
      </c>
      <c r="N291" t="e">
        <f>VLOOKUP(Tabelle9[[#This Row],[Rank]],Stammdaten[[Rank Verteilung Abholzigkeit]:[Verteilung Abholzigkeit]],2,FALSE)</f>
        <v>#N/A</v>
      </c>
      <c r="S291">
        <v>282</v>
      </c>
      <c r="T291" t="e">
        <f>INDEX(Stammdaten[Krümmung (mm/lfm)],MATCH(Tabelle10[[#This Row],[Rank]],Stammdaten[Rank Verteilung Krümmung],0))</f>
        <v>#N/A</v>
      </c>
      <c r="U291" t="e">
        <f>VLOOKUP(Tabelle10[[#This Row],[Rank]],Stammdaten[[Rank Verteilung Krümmung]:[Verteilung Krümmung]],2,FALSE)</f>
        <v>#N/A</v>
      </c>
      <c r="Z291">
        <v>282</v>
      </c>
      <c r="AA291" t="e">
        <f>INDEX(Stammdaten[Ovalität (']0,1'])],MATCH(Tabelle1014[[#This Row],[Rank]],Stammdaten[Rank Verteilung Ovalität],0))</f>
        <v>#N/A</v>
      </c>
      <c r="AB291" t="e">
        <f>VLOOKUP(Tabelle1014[[#This Row],[Rank]],Stammdaten[[Rank Verteilung Ovalität]:[Verteilung Ovalität]],2,FALSE)</f>
        <v>#N/A</v>
      </c>
    </row>
    <row r="292" spans="5:28" x14ac:dyDescent="0.35">
      <c r="E292">
        <v>283</v>
      </c>
      <c r="F292" t="e">
        <f>INDEX(Stammdaten[D Mitte mit Rinde (mm)],MATCH(Tabelle8[[#This Row],[Rank]],Stammdaten[Rank Verteilung D Mitte mit Rinde],0))</f>
        <v>#N/A</v>
      </c>
      <c r="G292" t="e">
        <f>VLOOKUP(Tabelle8[[#This Row],[Rank]],Stammdaten[[Rank Verteilung D Mitte mit Rinde]:[Verteilung D Mitte mit Rinde]],2,FALSE)</f>
        <v>#N/A</v>
      </c>
      <c r="L292">
        <v>283</v>
      </c>
      <c r="M292" t="e">
        <f>INDEX(Stammdaten[Abholzigkeit (mm/lfm)],MATCH(Tabelle9[[#This Row],[Rank]],Stammdaten[Rank Verteilung Abholzigkeit],0))</f>
        <v>#N/A</v>
      </c>
      <c r="N292" t="e">
        <f>VLOOKUP(Tabelle9[[#This Row],[Rank]],Stammdaten[[Rank Verteilung Abholzigkeit]:[Verteilung Abholzigkeit]],2,FALSE)</f>
        <v>#N/A</v>
      </c>
      <c r="S292">
        <v>283</v>
      </c>
      <c r="T292" t="e">
        <f>INDEX(Stammdaten[Krümmung (mm/lfm)],MATCH(Tabelle10[[#This Row],[Rank]],Stammdaten[Rank Verteilung Krümmung],0))</f>
        <v>#N/A</v>
      </c>
      <c r="U292" t="e">
        <f>VLOOKUP(Tabelle10[[#This Row],[Rank]],Stammdaten[[Rank Verteilung Krümmung]:[Verteilung Krümmung]],2,FALSE)</f>
        <v>#N/A</v>
      </c>
      <c r="Z292">
        <v>283</v>
      </c>
      <c r="AA292" t="e">
        <f>INDEX(Stammdaten[Ovalität (']0,1'])],MATCH(Tabelle1014[[#This Row],[Rank]],Stammdaten[Rank Verteilung Ovalität],0))</f>
        <v>#N/A</v>
      </c>
      <c r="AB292" t="e">
        <f>VLOOKUP(Tabelle1014[[#This Row],[Rank]],Stammdaten[[Rank Verteilung Ovalität]:[Verteilung Ovalität]],2,FALSE)</f>
        <v>#N/A</v>
      </c>
    </row>
    <row r="293" spans="5:28" x14ac:dyDescent="0.35">
      <c r="E293">
        <v>284</v>
      </c>
      <c r="F293" t="e">
        <f>INDEX(Stammdaten[D Mitte mit Rinde (mm)],MATCH(Tabelle8[[#This Row],[Rank]],Stammdaten[Rank Verteilung D Mitte mit Rinde],0))</f>
        <v>#N/A</v>
      </c>
      <c r="G293" t="e">
        <f>VLOOKUP(Tabelle8[[#This Row],[Rank]],Stammdaten[[Rank Verteilung D Mitte mit Rinde]:[Verteilung D Mitte mit Rinde]],2,FALSE)</f>
        <v>#N/A</v>
      </c>
      <c r="L293">
        <v>284</v>
      </c>
      <c r="M293" t="e">
        <f>INDEX(Stammdaten[Abholzigkeit (mm/lfm)],MATCH(Tabelle9[[#This Row],[Rank]],Stammdaten[Rank Verteilung Abholzigkeit],0))</f>
        <v>#N/A</v>
      </c>
      <c r="N293" t="e">
        <f>VLOOKUP(Tabelle9[[#This Row],[Rank]],Stammdaten[[Rank Verteilung Abholzigkeit]:[Verteilung Abholzigkeit]],2,FALSE)</f>
        <v>#N/A</v>
      </c>
      <c r="S293">
        <v>284</v>
      </c>
      <c r="T293" t="e">
        <f>INDEX(Stammdaten[Krümmung (mm/lfm)],MATCH(Tabelle10[[#This Row],[Rank]],Stammdaten[Rank Verteilung Krümmung],0))</f>
        <v>#N/A</v>
      </c>
      <c r="U293" t="e">
        <f>VLOOKUP(Tabelle10[[#This Row],[Rank]],Stammdaten[[Rank Verteilung Krümmung]:[Verteilung Krümmung]],2,FALSE)</f>
        <v>#N/A</v>
      </c>
      <c r="Z293">
        <v>284</v>
      </c>
      <c r="AA293" t="e">
        <f>INDEX(Stammdaten[Ovalität (']0,1'])],MATCH(Tabelle1014[[#This Row],[Rank]],Stammdaten[Rank Verteilung Ovalität],0))</f>
        <v>#N/A</v>
      </c>
      <c r="AB293" t="e">
        <f>VLOOKUP(Tabelle1014[[#This Row],[Rank]],Stammdaten[[Rank Verteilung Ovalität]:[Verteilung Ovalität]],2,FALSE)</f>
        <v>#N/A</v>
      </c>
    </row>
    <row r="294" spans="5:28" x14ac:dyDescent="0.35">
      <c r="E294">
        <v>285</v>
      </c>
      <c r="F294" t="e">
        <f>INDEX(Stammdaten[D Mitte mit Rinde (mm)],MATCH(Tabelle8[[#This Row],[Rank]],Stammdaten[Rank Verteilung D Mitte mit Rinde],0))</f>
        <v>#N/A</v>
      </c>
      <c r="G294" t="e">
        <f>VLOOKUP(Tabelle8[[#This Row],[Rank]],Stammdaten[[Rank Verteilung D Mitte mit Rinde]:[Verteilung D Mitte mit Rinde]],2,FALSE)</f>
        <v>#N/A</v>
      </c>
      <c r="L294">
        <v>285</v>
      </c>
      <c r="M294" t="e">
        <f>INDEX(Stammdaten[Abholzigkeit (mm/lfm)],MATCH(Tabelle9[[#This Row],[Rank]],Stammdaten[Rank Verteilung Abholzigkeit],0))</f>
        <v>#N/A</v>
      </c>
      <c r="N294" t="e">
        <f>VLOOKUP(Tabelle9[[#This Row],[Rank]],Stammdaten[[Rank Verteilung Abholzigkeit]:[Verteilung Abholzigkeit]],2,FALSE)</f>
        <v>#N/A</v>
      </c>
      <c r="S294">
        <v>285</v>
      </c>
      <c r="T294" t="e">
        <f>INDEX(Stammdaten[Krümmung (mm/lfm)],MATCH(Tabelle10[[#This Row],[Rank]],Stammdaten[Rank Verteilung Krümmung],0))</f>
        <v>#N/A</v>
      </c>
      <c r="U294" t="e">
        <f>VLOOKUP(Tabelle10[[#This Row],[Rank]],Stammdaten[[Rank Verteilung Krümmung]:[Verteilung Krümmung]],2,FALSE)</f>
        <v>#N/A</v>
      </c>
      <c r="Z294">
        <v>285</v>
      </c>
      <c r="AA294" t="e">
        <f>INDEX(Stammdaten[Ovalität (']0,1'])],MATCH(Tabelle1014[[#This Row],[Rank]],Stammdaten[Rank Verteilung Ovalität],0))</f>
        <v>#N/A</v>
      </c>
      <c r="AB294" t="e">
        <f>VLOOKUP(Tabelle1014[[#This Row],[Rank]],Stammdaten[[Rank Verteilung Ovalität]:[Verteilung Ovalität]],2,FALSE)</f>
        <v>#N/A</v>
      </c>
    </row>
    <row r="295" spans="5:28" x14ac:dyDescent="0.35">
      <c r="E295">
        <v>286</v>
      </c>
      <c r="F295" t="e">
        <f>INDEX(Stammdaten[D Mitte mit Rinde (mm)],MATCH(Tabelle8[[#This Row],[Rank]],Stammdaten[Rank Verteilung D Mitte mit Rinde],0))</f>
        <v>#N/A</v>
      </c>
      <c r="G295" t="e">
        <f>VLOOKUP(Tabelle8[[#This Row],[Rank]],Stammdaten[[Rank Verteilung D Mitte mit Rinde]:[Verteilung D Mitte mit Rinde]],2,FALSE)</f>
        <v>#N/A</v>
      </c>
      <c r="L295">
        <v>286</v>
      </c>
      <c r="M295" t="e">
        <f>INDEX(Stammdaten[Abholzigkeit (mm/lfm)],MATCH(Tabelle9[[#This Row],[Rank]],Stammdaten[Rank Verteilung Abholzigkeit],0))</f>
        <v>#N/A</v>
      </c>
      <c r="N295" t="e">
        <f>VLOOKUP(Tabelle9[[#This Row],[Rank]],Stammdaten[[Rank Verteilung Abholzigkeit]:[Verteilung Abholzigkeit]],2,FALSE)</f>
        <v>#N/A</v>
      </c>
      <c r="S295">
        <v>286</v>
      </c>
      <c r="T295" t="e">
        <f>INDEX(Stammdaten[Krümmung (mm/lfm)],MATCH(Tabelle10[[#This Row],[Rank]],Stammdaten[Rank Verteilung Krümmung],0))</f>
        <v>#N/A</v>
      </c>
      <c r="U295" t="e">
        <f>VLOOKUP(Tabelle10[[#This Row],[Rank]],Stammdaten[[Rank Verteilung Krümmung]:[Verteilung Krümmung]],2,FALSE)</f>
        <v>#N/A</v>
      </c>
      <c r="Z295">
        <v>286</v>
      </c>
      <c r="AA295" t="e">
        <f>INDEX(Stammdaten[Ovalität (']0,1'])],MATCH(Tabelle1014[[#This Row],[Rank]],Stammdaten[Rank Verteilung Ovalität],0))</f>
        <v>#N/A</v>
      </c>
      <c r="AB295" t="e">
        <f>VLOOKUP(Tabelle1014[[#This Row],[Rank]],Stammdaten[[Rank Verteilung Ovalität]:[Verteilung Ovalität]],2,FALSE)</f>
        <v>#N/A</v>
      </c>
    </row>
    <row r="296" spans="5:28" x14ac:dyDescent="0.35">
      <c r="E296">
        <v>287</v>
      </c>
      <c r="F296" t="e">
        <f>INDEX(Stammdaten[D Mitte mit Rinde (mm)],MATCH(Tabelle8[[#This Row],[Rank]],Stammdaten[Rank Verteilung D Mitte mit Rinde],0))</f>
        <v>#N/A</v>
      </c>
      <c r="G296" t="e">
        <f>VLOOKUP(Tabelle8[[#This Row],[Rank]],Stammdaten[[Rank Verteilung D Mitte mit Rinde]:[Verteilung D Mitte mit Rinde]],2,FALSE)</f>
        <v>#N/A</v>
      </c>
      <c r="L296">
        <v>287</v>
      </c>
      <c r="M296" t="e">
        <f>INDEX(Stammdaten[Abholzigkeit (mm/lfm)],MATCH(Tabelle9[[#This Row],[Rank]],Stammdaten[Rank Verteilung Abholzigkeit],0))</f>
        <v>#N/A</v>
      </c>
      <c r="N296" t="e">
        <f>VLOOKUP(Tabelle9[[#This Row],[Rank]],Stammdaten[[Rank Verteilung Abholzigkeit]:[Verteilung Abholzigkeit]],2,FALSE)</f>
        <v>#N/A</v>
      </c>
      <c r="S296">
        <v>287</v>
      </c>
      <c r="T296" t="e">
        <f>INDEX(Stammdaten[Krümmung (mm/lfm)],MATCH(Tabelle10[[#This Row],[Rank]],Stammdaten[Rank Verteilung Krümmung],0))</f>
        <v>#N/A</v>
      </c>
      <c r="U296" t="e">
        <f>VLOOKUP(Tabelle10[[#This Row],[Rank]],Stammdaten[[Rank Verteilung Krümmung]:[Verteilung Krümmung]],2,FALSE)</f>
        <v>#N/A</v>
      </c>
      <c r="Z296">
        <v>287</v>
      </c>
      <c r="AA296" t="e">
        <f>INDEX(Stammdaten[Ovalität (']0,1'])],MATCH(Tabelle1014[[#This Row],[Rank]],Stammdaten[Rank Verteilung Ovalität],0))</f>
        <v>#N/A</v>
      </c>
      <c r="AB296" t="e">
        <f>VLOOKUP(Tabelle1014[[#This Row],[Rank]],Stammdaten[[Rank Verteilung Ovalität]:[Verteilung Ovalität]],2,FALSE)</f>
        <v>#N/A</v>
      </c>
    </row>
    <row r="297" spans="5:28" x14ac:dyDescent="0.35">
      <c r="E297">
        <v>288</v>
      </c>
      <c r="F297" t="e">
        <f>INDEX(Stammdaten[D Mitte mit Rinde (mm)],MATCH(Tabelle8[[#This Row],[Rank]],Stammdaten[Rank Verteilung D Mitte mit Rinde],0))</f>
        <v>#N/A</v>
      </c>
      <c r="G297" t="e">
        <f>VLOOKUP(Tabelle8[[#This Row],[Rank]],Stammdaten[[Rank Verteilung D Mitte mit Rinde]:[Verteilung D Mitte mit Rinde]],2,FALSE)</f>
        <v>#N/A</v>
      </c>
      <c r="L297">
        <v>288</v>
      </c>
      <c r="M297" t="e">
        <f>INDEX(Stammdaten[Abholzigkeit (mm/lfm)],MATCH(Tabelle9[[#This Row],[Rank]],Stammdaten[Rank Verteilung Abholzigkeit],0))</f>
        <v>#N/A</v>
      </c>
      <c r="N297" t="e">
        <f>VLOOKUP(Tabelle9[[#This Row],[Rank]],Stammdaten[[Rank Verteilung Abholzigkeit]:[Verteilung Abholzigkeit]],2,FALSE)</f>
        <v>#N/A</v>
      </c>
      <c r="S297">
        <v>288</v>
      </c>
      <c r="T297" t="e">
        <f>INDEX(Stammdaten[Krümmung (mm/lfm)],MATCH(Tabelle10[[#This Row],[Rank]],Stammdaten[Rank Verteilung Krümmung],0))</f>
        <v>#N/A</v>
      </c>
      <c r="U297" t="e">
        <f>VLOOKUP(Tabelle10[[#This Row],[Rank]],Stammdaten[[Rank Verteilung Krümmung]:[Verteilung Krümmung]],2,FALSE)</f>
        <v>#N/A</v>
      </c>
      <c r="Z297">
        <v>288</v>
      </c>
      <c r="AA297" t="e">
        <f>INDEX(Stammdaten[Ovalität (']0,1'])],MATCH(Tabelle1014[[#This Row],[Rank]],Stammdaten[Rank Verteilung Ovalität],0))</f>
        <v>#N/A</v>
      </c>
      <c r="AB297" t="e">
        <f>VLOOKUP(Tabelle1014[[#This Row],[Rank]],Stammdaten[[Rank Verteilung Ovalität]:[Verteilung Ovalität]],2,FALSE)</f>
        <v>#N/A</v>
      </c>
    </row>
    <row r="298" spans="5:28" x14ac:dyDescent="0.35">
      <c r="E298">
        <v>289</v>
      </c>
      <c r="F298" t="e">
        <f>INDEX(Stammdaten[D Mitte mit Rinde (mm)],MATCH(Tabelle8[[#This Row],[Rank]],Stammdaten[Rank Verteilung D Mitte mit Rinde],0))</f>
        <v>#N/A</v>
      </c>
      <c r="G298" t="e">
        <f>VLOOKUP(Tabelle8[[#This Row],[Rank]],Stammdaten[[Rank Verteilung D Mitte mit Rinde]:[Verteilung D Mitte mit Rinde]],2,FALSE)</f>
        <v>#N/A</v>
      </c>
      <c r="L298">
        <v>289</v>
      </c>
      <c r="M298" t="e">
        <f>INDEX(Stammdaten[Abholzigkeit (mm/lfm)],MATCH(Tabelle9[[#This Row],[Rank]],Stammdaten[Rank Verteilung Abholzigkeit],0))</f>
        <v>#N/A</v>
      </c>
      <c r="N298" t="e">
        <f>VLOOKUP(Tabelle9[[#This Row],[Rank]],Stammdaten[[Rank Verteilung Abholzigkeit]:[Verteilung Abholzigkeit]],2,FALSE)</f>
        <v>#N/A</v>
      </c>
      <c r="S298">
        <v>289</v>
      </c>
      <c r="T298" t="e">
        <f>INDEX(Stammdaten[Krümmung (mm/lfm)],MATCH(Tabelle10[[#This Row],[Rank]],Stammdaten[Rank Verteilung Krümmung],0))</f>
        <v>#N/A</v>
      </c>
      <c r="U298" t="e">
        <f>VLOOKUP(Tabelle10[[#This Row],[Rank]],Stammdaten[[Rank Verteilung Krümmung]:[Verteilung Krümmung]],2,FALSE)</f>
        <v>#N/A</v>
      </c>
      <c r="Z298">
        <v>289</v>
      </c>
      <c r="AA298" t="e">
        <f>INDEX(Stammdaten[Ovalität (']0,1'])],MATCH(Tabelle1014[[#This Row],[Rank]],Stammdaten[Rank Verteilung Ovalität],0))</f>
        <v>#N/A</v>
      </c>
      <c r="AB298" t="e">
        <f>VLOOKUP(Tabelle1014[[#This Row],[Rank]],Stammdaten[[Rank Verteilung Ovalität]:[Verteilung Ovalität]],2,FALSE)</f>
        <v>#N/A</v>
      </c>
    </row>
    <row r="299" spans="5:28" x14ac:dyDescent="0.35">
      <c r="E299">
        <v>290</v>
      </c>
      <c r="F299" t="e">
        <f>INDEX(Stammdaten[D Mitte mit Rinde (mm)],MATCH(Tabelle8[[#This Row],[Rank]],Stammdaten[Rank Verteilung D Mitte mit Rinde],0))</f>
        <v>#N/A</v>
      </c>
      <c r="G299" t="e">
        <f>VLOOKUP(Tabelle8[[#This Row],[Rank]],Stammdaten[[Rank Verteilung D Mitte mit Rinde]:[Verteilung D Mitte mit Rinde]],2,FALSE)</f>
        <v>#N/A</v>
      </c>
      <c r="L299">
        <v>290</v>
      </c>
      <c r="M299" t="e">
        <f>INDEX(Stammdaten[Abholzigkeit (mm/lfm)],MATCH(Tabelle9[[#This Row],[Rank]],Stammdaten[Rank Verteilung Abholzigkeit],0))</f>
        <v>#N/A</v>
      </c>
      <c r="N299" t="e">
        <f>VLOOKUP(Tabelle9[[#This Row],[Rank]],Stammdaten[[Rank Verteilung Abholzigkeit]:[Verteilung Abholzigkeit]],2,FALSE)</f>
        <v>#N/A</v>
      </c>
      <c r="S299">
        <v>290</v>
      </c>
      <c r="T299" t="e">
        <f>INDEX(Stammdaten[Krümmung (mm/lfm)],MATCH(Tabelle10[[#This Row],[Rank]],Stammdaten[Rank Verteilung Krümmung],0))</f>
        <v>#N/A</v>
      </c>
      <c r="U299" t="e">
        <f>VLOOKUP(Tabelle10[[#This Row],[Rank]],Stammdaten[[Rank Verteilung Krümmung]:[Verteilung Krümmung]],2,FALSE)</f>
        <v>#N/A</v>
      </c>
      <c r="Z299">
        <v>290</v>
      </c>
      <c r="AA299" t="e">
        <f>INDEX(Stammdaten[Ovalität (']0,1'])],MATCH(Tabelle1014[[#This Row],[Rank]],Stammdaten[Rank Verteilung Ovalität],0))</f>
        <v>#N/A</v>
      </c>
      <c r="AB299" t="e">
        <f>VLOOKUP(Tabelle1014[[#This Row],[Rank]],Stammdaten[[Rank Verteilung Ovalität]:[Verteilung Ovalität]],2,FALSE)</f>
        <v>#N/A</v>
      </c>
    </row>
    <row r="300" spans="5:28" x14ac:dyDescent="0.35">
      <c r="E300">
        <v>291</v>
      </c>
      <c r="F300" t="e">
        <f>INDEX(Stammdaten[D Mitte mit Rinde (mm)],MATCH(Tabelle8[[#This Row],[Rank]],Stammdaten[Rank Verteilung D Mitte mit Rinde],0))</f>
        <v>#N/A</v>
      </c>
      <c r="G300" t="e">
        <f>VLOOKUP(Tabelle8[[#This Row],[Rank]],Stammdaten[[Rank Verteilung D Mitte mit Rinde]:[Verteilung D Mitte mit Rinde]],2,FALSE)</f>
        <v>#N/A</v>
      </c>
      <c r="L300">
        <v>291</v>
      </c>
      <c r="M300" t="e">
        <f>INDEX(Stammdaten[Abholzigkeit (mm/lfm)],MATCH(Tabelle9[[#This Row],[Rank]],Stammdaten[Rank Verteilung Abholzigkeit],0))</f>
        <v>#N/A</v>
      </c>
      <c r="N300" t="e">
        <f>VLOOKUP(Tabelle9[[#This Row],[Rank]],Stammdaten[[Rank Verteilung Abholzigkeit]:[Verteilung Abholzigkeit]],2,FALSE)</f>
        <v>#N/A</v>
      </c>
      <c r="S300">
        <v>291</v>
      </c>
      <c r="T300" t="e">
        <f>INDEX(Stammdaten[Krümmung (mm/lfm)],MATCH(Tabelle10[[#This Row],[Rank]],Stammdaten[Rank Verteilung Krümmung],0))</f>
        <v>#N/A</v>
      </c>
      <c r="U300" t="e">
        <f>VLOOKUP(Tabelle10[[#This Row],[Rank]],Stammdaten[[Rank Verteilung Krümmung]:[Verteilung Krümmung]],2,FALSE)</f>
        <v>#N/A</v>
      </c>
      <c r="Z300">
        <v>291</v>
      </c>
      <c r="AA300" t="e">
        <f>INDEX(Stammdaten[Ovalität (']0,1'])],MATCH(Tabelle1014[[#This Row],[Rank]],Stammdaten[Rank Verteilung Ovalität],0))</f>
        <v>#N/A</v>
      </c>
      <c r="AB300" t="e">
        <f>VLOOKUP(Tabelle1014[[#This Row],[Rank]],Stammdaten[[Rank Verteilung Ovalität]:[Verteilung Ovalität]],2,FALSE)</f>
        <v>#N/A</v>
      </c>
    </row>
    <row r="301" spans="5:28" x14ac:dyDescent="0.35">
      <c r="E301">
        <v>292</v>
      </c>
      <c r="F301" t="e">
        <f>INDEX(Stammdaten[D Mitte mit Rinde (mm)],MATCH(Tabelle8[[#This Row],[Rank]],Stammdaten[Rank Verteilung D Mitte mit Rinde],0))</f>
        <v>#N/A</v>
      </c>
      <c r="G301" t="e">
        <f>VLOOKUP(Tabelle8[[#This Row],[Rank]],Stammdaten[[Rank Verteilung D Mitte mit Rinde]:[Verteilung D Mitte mit Rinde]],2,FALSE)</f>
        <v>#N/A</v>
      </c>
      <c r="L301">
        <v>292</v>
      </c>
      <c r="M301" t="e">
        <f>INDEX(Stammdaten[Abholzigkeit (mm/lfm)],MATCH(Tabelle9[[#This Row],[Rank]],Stammdaten[Rank Verteilung Abholzigkeit],0))</f>
        <v>#N/A</v>
      </c>
      <c r="N301" t="e">
        <f>VLOOKUP(Tabelle9[[#This Row],[Rank]],Stammdaten[[Rank Verteilung Abholzigkeit]:[Verteilung Abholzigkeit]],2,FALSE)</f>
        <v>#N/A</v>
      </c>
      <c r="S301">
        <v>292</v>
      </c>
      <c r="T301" t="e">
        <f>INDEX(Stammdaten[Krümmung (mm/lfm)],MATCH(Tabelle10[[#This Row],[Rank]],Stammdaten[Rank Verteilung Krümmung],0))</f>
        <v>#N/A</v>
      </c>
      <c r="U301" t="e">
        <f>VLOOKUP(Tabelle10[[#This Row],[Rank]],Stammdaten[[Rank Verteilung Krümmung]:[Verteilung Krümmung]],2,FALSE)</f>
        <v>#N/A</v>
      </c>
      <c r="Z301">
        <v>292</v>
      </c>
      <c r="AA301" t="e">
        <f>INDEX(Stammdaten[Ovalität (']0,1'])],MATCH(Tabelle1014[[#This Row],[Rank]],Stammdaten[Rank Verteilung Ovalität],0))</f>
        <v>#N/A</v>
      </c>
      <c r="AB301" t="e">
        <f>VLOOKUP(Tabelle1014[[#This Row],[Rank]],Stammdaten[[Rank Verteilung Ovalität]:[Verteilung Ovalität]],2,FALSE)</f>
        <v>#N/A</v>
      </c>
    </row>
    <row r="302" spans="5:28" x14ac:dyDescent="0.35">
      <c r="E302">
        <v>293</v>
      </c>
      <c r="F302" t="e">
        <f>INDEX(Stammdaten[D Mitte mit Rinde (mm)],MATCH(Tabelle8[[#This Row],[Rank]],Stammdaten[Rank Verteilung D Mitte mit Rinde],0))</f>
        <v>#N/A</v>
      </c>
      <c r="G302" t="e">
        <f>VLOOKUP(Tabelle8[[#This Row],[Rank]],Stammdaten[[Rank Verteilung D Mitte mit Rinde]:[Verteilung D Mitte mit Rinde]],2,FALSE)</f>
        <v>#N/A</v>
      </c>
      <c r="L302">
        <v>293</v>
      </c>
      <c r="M302" t="e">
        <f>INDEX(Stammdaten[Abholzigkeit (mm/lfm)],MATCH(Tabelle9[[#This Row],[Rank]],Stammdaten[Rank Verteilung Abholzigkeit],0))</f>
        <v>#N/A</v>
      </c>
      <c r="N302" t="e">
        <f>VLOOKUP(Tabelle9[[#This Row],[Rank]],Stammdaten[[Rank Verteilung Abholzigkeit]:[Verteilung Abholzigkeit]],2,FALSE)</f>
        <v>#N/A</v>
      </c>
      <c r="S302">
        <v>293</v>
      </c>
      <c r="T302" t="e">
        <f>INDEX(Stammdaten[Krümmung (mm/lfm)],MATCH(Tabelle10[[#This Row],[Rank]],Stammdaten[Rank Verteilung Krümmung],0))</f>
        <v>#N/A</v>
      </c>
      <c r="U302" t="e">
        <f>VLOOKUP(Tabelle10[[#This Row],[Rank]],Stammdaten[[Rank Verteilung Krümmung]:[Verteilung Krümmung]],2,FALSE)</f>
        <v>#N/A</v>
      </c>
      <c r="Z302">
        <v>293</v>
      </c>
      <c r="AA302" t="e">
        <f>INDEX(Stammdaten[Ovalität (']0,1'])],MATCH(Tabelle1014[[#This Row],[Rank]],Stammdaten[Rank Verteilung Ovalität],0))</f>
        <v>#N/A</v>
      </c>
      <c r="AB302" t="e">
        <f>VLOOKUP(Tabelle1014[[#This Row],[Rank]],Stammdaten[[Rank Verteilung Ovalität]:[Verteilung Ovalität]],2,FALSE)</f>
        <v>#N/A</v>
      </c>
    </row>
    <row r="303" spans="5:28" x14ac:dyDescent="0.35">
      <c r="E303">
        <v>294</v>
      </c>
      <c r="F303" t="e">
        <f>INDEX(Stammdaten[D Mitte mit Rinde (mm)],MATCH(Tabelle8[[#This Row],[Rank]],Stammdaten[Rank Verteilung D Mitte mit Rinde],0))</f>
        <v>#N/A</v>
      </c>
      <c r="G303" t="e">
        <f>VLOOKUP(Tabelle8[[#This Row],[Rank]],Stammdaten[[Rank Verteilung D Mitte mit Rinde]:[Verteilung D Mitte mit Rinde]],2,FALSE)</f>
        <v>#N/A</v>
      </c>
      <c r="L303">
        <v>294</v>
      </c>
      <c r="M303" t="e">
        <f>INDEX(Stammdaten[Abholzigkeit (mm/lfm)],MATCH(Tabelle9[[#This Row],[Rank]],Stammdaten[Rank Verteilung Abholzigkeit],0))</f>
        <v>#N/A</v>
      </c>
      <c r="N303" t="e">
        <f>VLOOKUP(Tabelle9[[#This Row],[Rank]],Stammdaten[[Rank Verteilung Abholzigkeit]:[Verteilung Abholzigkeit]],2,FALSE)</f>
        <v>#N/A</v>
      </c>
      <c r="S303">
        <v>294</v>
      </c>
      <c r="T303" t="e">
        <f>INDEX(Stammdaten[Krümmung (mm/lfm)],MATCH(Tabelle10[[#This Row],[Rank]],Stammdaten[Rank Verteilung Krümmung],0))</f>
        <v>#N/A</v>
      </c>
      <c r="U303" t="e">
        <f>VLOOKUP(Tabelle10[[#This Row],[Rank]],Stammdaten[[Rank Verteilung Krümmung]:[Verteilung Krümmung]],2,FALSE)</f>
        <v>#N/A</v>
      </c>
      <c r="Z303">
        <v>294</v>
      </c>
      <c r="AA303" t="e">
        <f>INDEX(Stammdaten[Ovalität (']0,1'])],MATCH(Tabelle1014[[#This Row],[Rank]],Stammdaten[Rank Verteilung Ovalität],0))</f>
        <v>#N/A</v>
      </c>
      <c r="AB303" t="e">
        <f>VLOOKUP(Tabelle1014[[#This Row],[Rank]],Stammdaten[[Rank Verteilung Ovalität]:[Verteilung Ovalität]],2,FALSE)</f>
        <v>#N/A</v>
      </c>
    </row>
    <row r="304" spans="5:28" x14ac:dyDescent="0.35">
      <c r="E304">
        <v>295</v>
      </c>
      <c r="F304" t="e">
        <f>INDEX(Stammdaten[D Mitte mit Rinde (mm)],MATCH(Tabelle8[[#This Row],[Rank]],Stammdaten[Rank Verteilung D Mitte mit Rinde],0))</f>
        <v>#N/A</v>
      </c>
      <c r="G304" t="e">
        <f>VLOOKUP(Tabelle8[[#This Row],[Rank]],Stammdaten[[Rank Verteilung D Mitte mit Rinde]:[Verteilung D Mitte mit Rinde]],2,FALSE)</f>
        <v>#N/A</v>
      </c>
      <c r="L304">
        <v>295</v>
      </c>
      <c r="M304" t="e">
        <f>INDEX(Stammdaten[Abholzigkeit (mm/lfm)],MATCH(Tabelle9[[#This Row],[Rank]],Stammdaten[Rank Verteilung Abholzigkeit],0))</f>
        <v>#N/A</v>
      </c>
      <c r="N304" t="e">
        <f>VLOOKUP(Tabelle9[[#This Row],[Rank]],Stammdaten[[Rank Verteilung Abholzigkeit]:[Verteilung Abholzigkeit]],2,FALSE)</f>
        <v>#N/A</v>
      </c>
      <c r="S304">
        <v>295</v>
      </c>
      <c r="T304" t="e">
        <f>INDEX(Stammdaten[Krümmung (mm/lfm)],MATCH(Tabelle10[[#This Row],[Rank]],Stammdaten[Rank Verteilung Krümmung],0))</f>
        <v>#N/A</v>
      </c>
      <c r="U304" t="e">
        <f>VLOOKUP(Tabelle10[[#This Row],[Rank]],Stammdaten[[Rank Verteilung Krümmung]:[Verteilung Krümmung]],2,FALSE)</f>
        <v>#N/A</v>
      </c>
      <c r="Z304">
        <v>295</v>
      </c>
      <c r="AA304" t="e">
        <f>INDEX(Stammdaten[Ovalität (']0,1'])],MATCH(Tabelle1014[[#This Row],[Rank]],Stammdaten[Rank Verteilung Ovalität],0))</f>
        <v>#N/A</v>
      </c>
      <c r="AB304" t="e">
        <f>VLOOKUP(Tabelle1014[[#This Row],[Rank]],Stammdaten[[Rank Verteilung Ovalität]:[Verteilung Ovalität]],2,FALSE)</f>
        <v>#N/A</v>
      </c>
    </row>
    <row r="305" spans="5:28" x14ac:dyDescent="0.35">
      <c r="E305">
        <v>296</v>
      </c>
      <c r="F305" t="e">
        <f>INDEX(Stammdaten[D Mitte mit Rinde (mm)],MATCH(Tabelle8[[#This Row],[Rank]],Stammdaten[Rank Verteilung D Mitte mit Rinde],0))</f>
        <v>#N/A</v>
      </c>
      <c r="G305" t="e">
        <f>VLOOKUP(Tabelle8[[#This Row],[Rank]],Stammdaten[[Rank Verteilung D Mitte mit Rinde]:[Verteilung D Mitte mit Rinde]],2,FALSE)</f>
        <v>#N/A</v>
      </c>
      <c r="L305">
        <v>296</v>
      </c>
      <c r="M305" t="e">
        <f>INDEX(Stammdaten[Abholzigkeit (mm/lfm)],MATCH(Tabelle9[[#This Row],[Rank]],Stammdaten[Rank Verteilung Abholzigkeit],0))</f>
        <v>#N/A</v>
      </c>
      <c r="N305" t="e">
        <f>VLOOKUP(Tabelle9[[#This Row],[Rank]],Stammdaten[[Rank Verteilung Abholzigkeit]:[Verteilung Abholzigkeit]],2,FALSE)</f>
        <v>#N/A</v>
      </c>
      <c r="S305">
        <v>296</v>
      </c>
      <c r="T305" t="e">
        <f>INDEX(Stammdaten[Krümmung (mm/lfm)],MATCH(Tabelle10[[#This Row],[Rank]],Stammdaten[Rank Verteilung Krümmung],0))</f>
        <v>#N/A</v>
      </c>
      <c r="U305" t="e">
        <f>VLOOKUP(Tabelle10[[#This Row],[Rank]],Stammdaten[[Rank Verteilung Krümmung]:[Verteilung Krümmung]],2,FALSE)</f>
        <v>#N/A</v>
      </c>
      <c r="Z305">
        <v>296</v>
      </c>
      <c r="AA305" t="e">
        <f>INDEX(Stammdaten[Ovalität (']0,1'])],MATCH(Tabelle1014[[#This Row],[Rank]],Stammdaten[Rank Verteilung Ovalität],0))</f>
        <v>#N/A</v>
      </c>
      <c r="AB305" t="e">
        <f>VLOOKUP(Tabelle1014[[#This Row],[Rank]],Stammdaten[[Rank Verteilung Ovalität]:[Verteilung Ovalität]],2,FALSE)</f>
        <v>#N/A</v>
      </c>
    </row>
    <row r="306" spans="5:28" x14ac:dyDescent="0.35">
      <c r="E306">
        <v>297</v>
      </c>
      <c r="F306" t="e">
        <f>INDEX(Stammdaten[D Mitte mit Rinde (mm)],MATCH(Tabelle8[[#This Row],[Rank]],Stammdaten[Rank Verteilung D Mitte mit Rinde],0))</f>
        <v>#N/A</v>
      </c>
      <c r="G306" t="e">
        <f>VLOOKUP(Tabelle8[[#This Row],[Rank]],Stammdaten[[Rank Verteilung D Mitte mit Rinde]:[Verteilung D Mitte mit Rinde]],2,FALSE)</f>
        <v>#N/A</v>
      </c>
      <c r="L306">
        <v>297</v>
      </c>
      <c r="M306" t="e">
        <f>INDEX(Stammdaten[Abholzigkeit (mm/lfm)],MATCH(Tabelle9[[#This Row],[Rank]],Stammdaten[Rank Verteilung Abholzigkeit],0))</f>
        <v>#N/A</v>
      </c>
      <c r="N306" t="e">
        <f>VLOOKUP(Tabelle9[[#This Row],[Rank]],Stammdaten[[Rank Verteilung Abholzigkeit]:[Verteilung Abholzigkeit]],2,FALSE)</f>
        <v>#N/A</v>
      </c>
      <c r="S306">
        <v>297</v>
      </c>
      <c r="T306" t="e">
        <f>INDEX(Stammdaten[Krümmung (mm/lfm)],MATCH(Tabelle10[[#This Row],[Rank]],Stammdaten[Rank Verteilung Krümmung],0))</f>
        <v>#N/A</v>
      </c>
      <c r="U306" t="e">
        <f>VLOOKUP(Tabelle10[[#This Row],[Rank]],Stammdaten[[Rank Verteilung Krümmung]:[Verteilung Krümmung]],2,FALSE)</f>
        <v>#N/A</v>
      </c>
      <c r="Z306">
        <v>297</v>
      </c>
      <c r="AA306" t="e">
        <f>INDEX(Stammdaten[Ovalität (']0,1'])],MATCH(Tabelle1014[[#This Row],[Rank]],Stammdaten[Rank Verteilung Ovalität],0))</f>
        <v>#N/A</v>
      </c>
      <c r="AB306" t="e">
        <f>VLOOKUP(Tabelle1014[[#This Row],[Rank]],Stammdaten[[Rank Verteilung Ovalität]:[Verteilung Ovalität]],2,FALSE)</f>
        <v>#N/A</v>
      </c>
    </row>
    <row r="307" spans="5:28" x14ac:dyDescent="0.35">
      <c r="E307">
        <v>298</v>
      </c>
      <c r="F307" t="e">
        <f>INDEX(Stammdaten[D Mitte mit Rinde (mm)],MATCH(Tabelle8[[#This Row],[Rank]],Stammdaten[Rank Verteilung D Mitte mit Rinde],0))</f>
        <v>#N/A</v>
      </c>
      <c r="G307" t="e">
        <f>VLOOKUP(Tabelle8[[#This Row],[Rank]],Stammdaten[[Rank Verteilung D Mitte mit Rinde]:[Verteilung D Mitte mit Rinde]],2,FALSE)</f>
        <v>#N/A</v>
      </c>
      <c r="L307">
        <v>298</v>
      </c>
      <c r="M307" t="e">
        <f>INDEX(Stammdaten[Abholzigkeit (mm/lfm)],MATCH(Tabelle9[[#This Row],[Rank]],Stammdaten[Rank Verteilung Abholzigkeit],0))</f>
        <v>#N/A</v>
      </c>
      <c r="N307" t="e">
        <f>VLOOKUP(Tabelle9[[#This Row],[Rank]],Stammdaten[[Rank Verteilung Abholzigkeit]:[Verteilung Abholzigkeit]],2,FALSE)</f>
        <v>#N/A</v>
      </c>
      <c r="S307">
        <v>298</v>
      </c>
      <c r="T307" t="e">
        <f>INDEX(Stammdaten[Krümmung (mm/lfm)],MATCH(Tabelle10[[#This Row],[Rank]],Stammdaten[Rank Verteilung Krümmung],0))</f>
        <v>#N/A</v>
      </c>
      <c r="U307" t="e">
        <f>VLOOKUP(Tabelle10[[#This Row],[Rank]],Stammdaten[[Rank Verteilung Krümmung]:[Verteilung Krümmung]],2,FALSE)</f>
        <v>#N/A</v>
      </c>
      <c r="Z307">
        <v>298</v>
      </c>
      <c r="AA307" t="e">
        <f>INDEX(Stammdaten[Ovalität (']0,1'])],MATCH(Tabelle1014[[#This Row],[Rank]],Stammdaten[Rank Verteilung Ovalität],0))</f>
        <v>#N/A</v>
      </c>
      <c r="AB307" t="e">
        <f>VLOOKUP(Tabelle1014[[#This Row],[Rank]],Stammdaten[[Rank Verteilung Ovalität]:[Verteilung Ovalität]],2,FALSE)</f>
        <v>#N/A</v>
      </c>
    </row>
    <row r="308" spans="5:28" x14ac:dyDescent="0.35">
      <c r="E308">
        <v>299</v>
      </c>
      <c r="F308" t="e">
        <f>INDEX(Stammdaten[D Mitte mit Rinde (mm)],MATCH(Tabelle8[[#This Row],[Rank]],Stammdaten[Rank Verteilung D Mitte mit Rinde],0))</f>
        <v>#N/A</v>
      </c>
      <c r="G308" t="e">
        <f>VLOOKUP(Tabelle8[[#This Row],[Rank]],Stammdaten[[Rank Verteilung D Mitte mit Rinde]:[Verteilung D Mitte mit Rinde]],2,FALSE)</f>
        <v>#N/A</v>
      </c>
      <c r="L308">
        <v>299</v>
      </c>
      <c r="M308" t="e">
        <f>INDEX(Stammdaten[Abholzigkeit (mm/lfm)],MATCH(Tabelle9[[#This Row],[Rank]],Stammdaten[Rank Verteilung Abholzigkeit],0))</f>
        <v>#N/A</v>
      </c>
      <c r="N308" t="e">
        <f>VLOOKUP(Tabelle9[[#This Row],[Rank]],Stammdaten[[Rank Verteilung Abholzigkeit]:[Verteilung Abholzigkeit]],2,FALSE)</f>
        <v>#N/A</v>
      </c>
      <c r="S308">
        <v>299</v>
      </c>
      <c r="T308" t="e">
        <f>INDEX(Stammdaten[Krümmung (mm/lfm)],MATCH(Tabelle10[[#This Row],[Rank]],Stammdaten[Rank Verteilung Krümmung],0))</f>
        <v>#N/A</v>
      </c>
      <c r="U308" t="e">
        <f>VLOOKUP(Tabelle10[[#This Row],[Rank]],Stammdaten[[Rank Verteilung Krümmung]:[Verteilung Krümmung]],2,FALSE)</f>
        <v>#N/A</v>
      </c>
      <c r="Z308">
        <v>299</v>
      </c>
      <c r="AA308" t="e">
        <f>INDEX(Stammdaten[Ovalität (']0,1'])],MATCH(Tabelle1014[[#This Row],[Rank]],Stammdaten[Rank Verteilung Ovalität],0))</f>
        <v>#N/A</v>
      </c>
      <c r="AB308" t="e">
        <f>VLOOKUP(Tabelle1014[[#This Row],[Rank]],Stammdaten[[Rank Verteilung Ovalität]:[Verteilung Ovalität]],2,FALSE)</f>
        <v>#N/A</v>
      </c>
    </row>
    <row r="309" spans="5:28" x14ac:dyDescent="0.35">
      <c r="E309">
        <v>300</v>
      </c>
      <c r="F309" t="e">
        <f>INDEX(Stammdaten[D Mitte mit Rinde (mm)],MATCH(Tabelle8[[#This Row],[Rank]],Stammdaten[Rank Verteilung D Mitte mit Rinde],0))</f>
        <v>#N/A</v>
      </c>
      <c r="G309" t="e">
        <f>VLOOKUP(Tabelle8[[#This Row],[Rank]],Stammdaten[[Rank Verteilung D Mitte mit Rinde]:[Verteilung D Mitte mit Rinde]],2,FALSE)</f>
        <v>#N/A</v>
      </c>
      <c r="L309">
        <v>300</v>
      </c>
      <c r="M309" t="e">
        <f>INDEX(Stammdaten[Abholzigkeit (mm/lfm)],MATCH(Tabelle9[[#This Row],[Rank]],Stammdaten[Rank Verteilung Abholzigkeit],0))</f>
        <v>#N/A</v>
      </c>
      <c r="N309" t="e">
        <f>VLOOKUP(Tabelle9[[#This Row],[Rank]],Stammdaten[[Rank Verteilung Abholzigkeit]:[Verteilung Abholzigkeit]],2,FALSE)</f>
        <v>#N/A</v>
      </c>
      <c r="S309">
        <v>300</v>
      </c>
      <c r="T309" t="e">
        <f>INDEX(Stammdaten[Krümmung (mm/lfm)],MATCH(Tabelle10[[#This Row],[Rank]],Stammdaten[Rank Verteilung Krümmung],0))</f>
        <v>#N/A</v>
      </c>
      <c r="U309" t="e">
        <f>VLOOKUP(Tabelle10[[#This Row],[Rank]],Stammdaten[[Rank Verteilung Krümmung]:[Verteilung Krümmung]],2,FALSE)</f>
        <v>#N/A</v>
      </c>
      <c r="Z309">
        <v>300</v>
      </c>
      <c r="AA309" t="e">
        <f>INDEX(Stammdaten[Ovalität (']0,1'])],MATCH(Tabelle1014[[#This Row],[Rank]],Stammdaten[Rank Verteilung Ovalität],0))</f>
        <v>#N/A</v>
      </c>
      <c r="AB309" t="e">
        <f>VLOOKUP(Tabelle1014[[#This Row],[Rank]],Stammdaten[[Rank Verteilung Ovalität]:[Verteilung Ovalität]],2,FALSE)</f>
        <v>#N/A</v>
      </c>
    </row>
    <row r="310" spans="5:28" x14ac:dyDescent="0.35">
      <c r="E310">
        <v>301</v>
      </c>
      <c r="F310" t="e">
        <f>INDEX(Stammdaten[D Mitte mit Rinde (mm)],MATCH(Tabelle8[[#This Row],[Rank]],Stammdaten[Rank Verteilung D Mitte mit Rinde],0))</f>
        <v>#N/A</v>
      </c>
      <c r="G310" t="e">
        <f>VLOOKUP(Tabelle8[[#This Row],[Rank]],Stammdaten[[Rank Verteilung D Mitte mit Rinde]:[Verteilung D Mitte mit Rinde]],2,FALSE)</f>
        <v>#N/A</v>
      </c>
      <c r="L310">
        <v>301</v>
      </c>
      <c r="M310" t="e">
        <f>INDEX(Stammdaten[Abholzigkeit (mm/lfm)],MATCH(Tabelle9[[#This Row],[Rank]],Stammdaten[Rank Verteilung Abholzigkeit],0))</f>
        <v>#N/A</v>
      </c>
      <c r="N310" t="e">
        <f>VLOOKUP(Tabelle9[[#This Row],[Rank]],Stammdaten[[Rank Verteilung Abholzigkeit]:[Verteilung Abholzigkeit]],2,FALSE)</f>
        <v>#N/A</v>
      </c>
      <c r="S310">
        <v>301</v>
      </c>
      <c r="T310" t="e">
        <f>INDEX(Stammdaten[Krümmung (mm/lfm)],MATCH(Tabelle10[[#This Row],[Rank]],Stammdaten[Rank Verteilung Krümmung],0))</f>
        <v>#N/A</v>
      </c>
      <c r="U310" t="e">
        <f>VLOOKUP(Tabelle10[[#This Row],[Rank]],Stammdaten[[Rank Verteilung Krümmung]:[Verteilung Krümmung]],2,FALSE)</f>
        <v>#N/A</v>
      </c>
      <c r="Z310">
        <v>301</v>
      </c>
      <c r="AA310" t="e">
        <f>INDEX(Stammdaten[Ovalität (']0,1'])],MATCH(Tabelle1014[[#This Row],[Rank]],Stammdaten[Rank Verteilung Ovalität],0))</f>
        <v>#N/A</v>
      </c>
      <c r="AB310" t="e">
        <f>VLOOKUP(Tabelle1014[[#This Row],[Rank]],Stammdaten[[Rank Verteilung Ovalität]:[Verteilung Ovalität]],2,FALSE)</f>
        <v>#N/A</v>
      </c>
    </row>
    <row r="311" spans="5:28" x14ac:dyDescent="0.35">
      <c r="E311">
        <v>302</v>
      </c>
      <c r="F311" t="e">
        <f>INDEX(Stammdaten[D Mitte mit Rinde (mm)],MATCH(Tabelle8[[#This Row],[Rank]],Stammdaten[Rank Verteilung D Mitte mit Rinde],0))</f>
        <v>#N/A</v>
      </c>
      <c r="G311" t="e">
        <f>VLOOKUP(Tabelle8[[#This Row],[Rank]],Stammdaten[[Rank Verteilung D Mitte mit Rinde]:[Verteilung D Mitte mit Rinde]],2,FALSE)</f>
        <v>#N/A</v>
      </c>
      <c r="L311">
        <v>302</v>
      </c>
      <c r="M311" t="e">
        <f>INDEX(Stammdaten[Abholzigkeit (mm/lfm)],MATCH(Tabelle9[[#This Row],[Rank]],Stammdaten[Rank Verteilung Abholzigkeit],0))</f>
        <v>#N/A</v>
      </c>
      <c r="N311" t="e">
        <f>VLOOKUP(Tabelle9[[#This Row],[Rank]],Stammdaten[[Rank Verteilung Abholzigkeit]:[Verteilung Abholzigkeit]],2,FALSE)</f>
        <v>#N/A</v>
      </c>
      <c r="S311">
        <v>302</v>
      </c>
      <c r="T311" t="e">
        <f>INDEX(Stammdaten[Krümmung (mm/lfm)],MATCH(Tabelle10[[#This Row],[Rank]],Stammdaten[Rank Verteilung Krümmung],0))</f>
        <v>#N/A</v>
      </c>
      <c r="U311" t="e">
        <f>VLOOKUP(Tabelle10[[#This Row],[Rank]],Stammdaten[[Rank Verteilung Krümmung]:[Verteilung Krümmung]],2,FALSE)</f>
        <v>#N/A</v>
      </c>
      <c r="Z311">
        <v>302</v>
      </c>
      <c r="AA311" t="e">
        <f>INDEX(Stammdaten[Ovalität (']0,1'])],MATCH(Tabelle1014[[#This Row],[Rank]],Stammdaten[Rank Verteilung Ovalität],0))</f>
        <v>#N/A</v>
      </c>
      <c r="AB311" t="e">
        <f>VLOOKUP(Tabelle1014[[#This Row],[Rank]],Stammdaten[[Rank Verteilung Ovalität]:[Verteilung Ovalität]],2,FALSE)</f>
        <v>#N/A</v>
      </c>
    </row>
    <row r="312" spans="5:28" x14ac:dyDescent="0.35">
      <c r="E312">
        <v>303</v>
      </c>
      <c r="F312" t="e">
        <f>INDEX(Stammdaten[D Mitte mit Rinde (mm)],MATCH(Tabelle8[[#This Row],[Rank]],Stammdaten[Rank Verteilung D Mitte mit Rinde],0))</f>
        <v>#N/A</v>
      </c>
      <c r="G312" t="e">
        <f>VLOOKUP(Tabelle8[[#This Row],[Rank]],Stammdaten[[Rank Verteilung D Mitte mit Rinde]:[Verteilung D Mitte mit Rinde]],2,FALSE)</f>
        <v>#N/A</v>
      </c>
      <c r="L312">
        <v>303</v>
      </c>
      <c r="M312" t="e">
        <f>INDEX(Stammdaten[Abholzigkeit (mm/lfm)],MATCH(Tabelle9[[#This Row],[Rank]],Stammdaten[Rank Verteilung Abholzigkeit],0))</f>
        <v>#N/A</v>
      </c>
      <c r="N312" t="e">
        <f>VLOOKUP(Tabelle9[[#This Row],[Rank]],Stammdaten[[Rank Verteilung Abholzigkeit]:[Verteilung Abholzigkeit]],2,FALSE)</f>
        <v>#N/A</v>
      </c>
      <c r="S312">
        <v>303</v>
      </c>
      <c r="T312" t="e">
        <f>INDEX(Stammdaten[Krümmung (mm/lfm)],MATCH(Tabelle10[[#This Row],[Rank]],Stammdaten[Rank Verteilung Krümmung],0))</f>
        <v>#N/A</v>
      </c>
      <c r="U312" t="e">
        <f>VLOOKUP(Tabelle10[[#This Row],[Rank]],Stammdaten[[Rank Verteilung Krümmung]:[Verteilung Krümmung]],2,FALSE)</f>
        <v>#N/A</v>
      </c>
      <c r="Z312">
        <v>303</v>
      </c>
      <c r="AA312" t="e">
        <f>INDEX(Stammdaten[Ovalität (']0,1'])],MATCH(Tabelle1014[[#This Row],[Rank]],Stammdaten[Rank Verteilung Ovalität],0))</f>
        <v>#N/A</v>
      </c>
      <c r="AB312" t="e">
        <f>VLOOKUP(Tabelle1014[[#This Row],[Rank]],Stammdaten[[Rank Verteilung Ovalität]:[Verteilung Ovalität]],2,FALSE)</f>
        <v>#N/A</v>
      </c>
    </row>
    <row r="313" spans="5:28" x14ac:dyDescent="0.35">
      <c r="E313">
        <v>304</v>
      </c>
      <c r="F313" t="e">
        <f>INDEX(Stammdaten[D Mitte mit Rinde (mm)],MATCH(Tabelle8[[#This Row],[Rank]],Stammdaten[Rank Verteilung D Mitte mit Rinde],0))</f>
        <v>#N/A</v>
      </c>
      <c r="G313" t="e">
        <f>VLOOKUP(Tabelle8[[#This Row],[Rank]],Stammdaten[[Rank Verteilung D Mitte mit Rinde]:[Verteilung D Mitte mit Rinde]],2,FALSE)</f>
        <v>#N/A</v>
      </c>
      <c r="L313">
        <v>304</v>
      </c>
      <c r="M313" t="e">
        <f>INDEX(Stammdaten[Abholzigkeit (mm/lfm)],MATCH(Tabelle9[[#This Row],[Rank]],Stammdaten[Rank Verteilung Abholzigkeit],0))</f>
        <v>#N/A</v>
      </c>
      <c r="N313" t="e">
        <f>VLOOKUP(Tabelle9[[#This Row],[Rank]],Stammdaten[[Rank Verteilung Abholzigkeit]:[Verteilung Abholzigkeit]],2,FALSE)</f>
        <v>#N/A</v>
      </c>
      <c r="S313">
        <v>304</v>
      </c>
      <c r="T313" t="e">
        <f>INDEX(Stammdaten[Krümmung (mm/lfm)],MATCH(Tabelle10[[#This Row],[Rank]],Stammdaten[Rank Verteilung Krümmung],0))</f>
        <v>#N/A</v>
      </c>
      <c r="U313" t="e">
        <f>VLOOKUP(Tabelle10[[#This Row],[Rank]],Stammdaten[[Rank Verteilung Krümmung]:[Verteilung Krümmung]],2,FALSE)</f>
        <v>#N/A</v>
      </c>
      <c r="Z313">
        <v>304</v>
      </c>
      <c r="AA313" t="e">
        <f>INDEX(Stammdaten[Ovalität (']0,1'])],MATCH(Tabelle1014[[#This Row],[Rank]],Stammdaten[Rank Verteilung Ovalität],0))</f>
        <v>#N/A</v>
      </c>
      <c r="AB313" t="e">
        <f>VLOOKUP(Tabelle1014[[#This Row],[Rank]],Stammdaten[[Rank Verteilung Ovalität]:[Verteilung Ovalität]],2,FALSE)</f>
        <v>#N/A</v>
      </c>
    </row>
    <row r="314" spans="5:28" x14ac:dyDescent="0.35">
      <c r="E314">
        <v>305</v>
      </c>
      <c r="F314" t="e">
        <f>INDEX(Stammdaten[D Mitte mit Rinde (mm)],MATCH(Tabelle8[[#This Row],[Rank]],Stammdaten[Rank Verteilung D Mitte mit Rinde],0))</f>
        <v>#N/A</v>
      </c>
      <c r="G314" t="e">
        <f>VLOOKUP(Tabelle8[[#This Row],[Rank]],Stammdaten[[Rank Verteilung D Mitte mit Rinde]:[Verteilung D Mitte mit Rinde]],2,FALSE)</f>
        <v>#N/A</v>
      </c>
      <c r="L314">
        <v>305</v>
      </c>
      <c r="M314" t="e">
        <f>INDEX(Stammdaten[Abholzigkeit (mm/lfm)],MATCH(Tabelle9[[#This Row],[Rank]],Stammdaten[Rank Verteilung Abholzigkeit],0))</f>
        <v>#N/A</v>
      </c>
      <c r="N314" t="e">
        <f>VLOOKUP(Tabelle9[[#This Row],[Rank]],Stammdaten[[Rank Verteilung Abholzigkeit]:[Verteilung Abholzigkeit]],2,FALSE)</f>
        <v>#N/A</v>
      </c>
      <c r="S314">
        <v>305</v>
      </c>
      <c r="T314" t="e">
        <f>INDEX(Stammdaten[Krümmung (mm/lfm)],MATCH(Tabelle10[[#This Row],[Rank]],Stammdaten[Rank Verteilung Krümmung],0))</f>
        <v>#N/A</v>
      </c>
      <c r="U314" t="e">
        <f>VLOOKUP(Tabelle10[[#This Row],[Rank]],Stammdaten[[Rank Verteilung Krümmung]:[Verteilung Krümmung]],2,FALSE)</f>
        <v>#N/A</v>
      </c>
      <c r="Z314">
        <v>305</v>
      </c>
      <c r="AA314" t="e">
        <f>INDEX(Stammdaten[Ovalität (']0,1'])],MATCH(Tabelle1014[[#This Row],[Rank]],Stammdaten[Rank Verteilung Ovalität],0))</f>
        <v>#N/A</v>
      </c>
      <c r="AB314" t="e">
        <f>VLOOKUP(Tabelle1014[[#This Row],[Rank]],Stammdaten[[Rank Verteilung Ovalität]:[Verteilung Ovalität]],2,FALSE)</f>
        <v>#N/A</v>
      </c>
    </row>
    <row r="315" spans="5:28" x14ac:dyDescent="0.35">
      <c r="E315">
        <v>306</v>
      </c>
      <c r="F315" t="e">
        <f>INDEX(Stammdaten[D Mitte mit Rinde (mm)],MATCH(Tabelle8[[#This Row],[Rank]],Stammdaten[Rank Verteilung D Mitte mit Rinde],0))</f>
        <v>#N/A</v>
      </c>
      <c r="G315" t="e">
        <f>VLOOKUP(Tabelle8[[#This Row],[Rank]],Stammdaten[[Rank Verteilung D Mitte mit Rinde]:[Verteilung D Mitte mit Rinde]],2,FALSE)</f>
        <v>#N/A</v>
      </c>
      <c r="L315">
        <v>306</v>
      </c>
      <c r="M315" t="e">
        <f>INDEX(Stammdaten[Abholzigkeit (mm/lfm)],MATCH(Tabelle9[[#This Row],[Rank]],Stammdaten[Rank Verteilung Abholzigkeit],0))</f>
        <v>#N/A</v>
      </c>
      <c r="N315" t="e">
        <f>VLOOKUP(Tabelle9[[#This Row],[Rank]],Stammdaten[[Rank Verteilung Abholzigkeit]:[Verteilung Abholzigkeit]],2,FALSE)</f>
        <v>#N/A</v>
      </c>
      <c r="S315">
        <v>306</v>
      </c>
      <c r="T315" t="e">
        <f>INDEX(Stammdaten[Krümmung (mm/lfm)],MATCH(Tabelle10[[#This Row],[Rank]],Stammdaten[Rank Verteilung Krümmung],0))</f>
        <v>#N/A</v>
      </c>
      <c r="U315" t="e">
        <f>VLOOKUP(Tabelle10[[#This Row],[Rank]],Stammdaten[[Rank Verteilung Krümmung]:[Verteilung Krümmung]],2,FALSE)</f>
        <v>#N/A</v>
      </c>
      <c r="Z315">
        <v>306</v>
      </c>
      <c r="AA315" t="e">
        <f>INDEX(Stammdaten[Ovalität (']0,1'])],MATCH(Tabelle1014[[#This Row],[Rank]],Stammdaten[Rank Verteilung Ovalität],0))</f>
        <v>#N/A</v>
      </c>
      <c r="AB315" t="e">
        <f>VLOOKUP(Tabelle1014[[#This Row],[Rank]],Stammdaten[[Rank Verteilung Ovalität]:[Verteilung Ovalität]],2,FALSE)</f>
        <v>#N/A</v>
      </c>
    </row>
    <row r="316" spans="5:28" x14ac:dyDescent="0.35">
      <c r="E316">
        <v>307</v>
      </c>
      <c r="F316" t="e">
        <f>INDEX(Stammdaten[D Mitte mit Rinde (mm)],MATCH(Tabelle8[[#This Row],[Rank]],Stammdaten[Rank Verteilung D Mitte mit Rinde],0))</f>
        <v>#N/A</v>
      </c>
      <c r="G316" t="e">
        <f>VLOOKUP(Tabelle8[[#This Row],[Rank]],Stammdaten[[Rank Verteilung D Mitte mit Rinde]:[Verteilung D Mitte mit Rinde]],2,FALSE)</f>
        <v>#N/A</v>
      </c>
      <c r="L316">
        <v>307</v>
      </c>
      <c r="M316" t="e">
        <f>INDEX(Stammdaten[Abholzigkeit (mm/lfm)],MATCH(Tabelle9[[#This Row],[Rank]],Stammdaten[Rank Verteilung Abholzigkeit],0))</f>
        <v>#N/A</v>
      </c>
      <c r="N316" t="e">
        <f>VLOOKUP(Tabelle9[[#This Row],[Rank]],Stammdaten[[Rank Verteilung Abholzigkeit]:[Verteilung Abholzigkeit]],2,FALSE)</f>
        <v>#N/A</v>
      </c>
      <c r="S316">
        <v>307</v>
      </c>
      <c r="T316" t="e">
        <f>INDEX(Stammdaten[Krümmung (mm/lfm)],MATCH(Tabelle10[[#This Row],[Rank]],Stammdaten[Rank Verteilung Krümmung],0))</f>
        <v>#N/A</v>
      </c>
      <c r="U316" t="e">
        <f>VLOOKUP(Tabelle10[[#This Row],[Rank]],Stammdaten[[Rank Verteilung Krümmung]:[Verteilung Krümmung]],2,FALSE)</f>
        <v>#N/A</v>
      </c>
      <c r="Z316">
        <v>307</v>
      </c>
      <c r="AA316" t="e">
        <f>INDEX(Stammdaten[Ovalität (']0,1'])],MATCH(Tabelle1014[[#This Row],[Rank]],Stammdaten[Rank Verteilung Ovalität],0))</f>
        <v>#N/A</v>
      </c>
      <c r="AB316" t="e">
        <f>VLOOKUP(Tabelle1014[[#This Row],[Rank]],Stammdaten[[Rank Verteilung Ovalität]:[Verteilung Ovalität]],2,FALSE)</f>
        <v>#N/A</v>
      </c>
    </row>
    <row r="317" spans="5:28" x14ac:dyDescent="0.35">
      <c r="E317">
        <v>308</v>
      </c>
      <c r="F317" t="e">
        <f>INDEX(Stammdaten[D Mitte mit Rinde (mm)],MATCH(Tabelle8[[#This Row],[Rank]],Stammdaten[Rank Verteilung D Mitte mit Rinde],0))</f>
        <v>#N/A</v>
      </c>
      <c r="G317" t="e">
        <f>VLOOKUP(Tabelle8[[#This Row],[Rank]],Stammdaten[[Rank Verteilung D Mitte mit Rinde]:[Verteilung D Mitte mit Rinde]],2,FALSE)</f>
        <v>#N/A</v>
      </c>
      <c r="L317">
        <v>308</v>
      </c>
      <c r="M317" t="e">
        <f>INDEX(Stammdaten[Abholzigkeit (mm/lfm)],MATCH(Tabelle9[[#This Row],[Rank]],Stammdaten[Rank Verteilung Abholzigkeit],0))</f>
        <v>#N/A</v>
      </c>
      <c r="N317" t="e">
        <f>VLOOKUP(Tabelle9[[#This Row],[Rank]],Stammdaten[[Rank Verteilung Abholzigkeit]:[Verteilung Abholzigkeit]],2,FALSE)</f>
        <v>#N/A</v>
      </c>
      <c r="S317">
        <v>308</v>
      </c>
      <c r="T317" t="e">
        <f>INDEX(Stammdaten[Krümmung (mm/lfm)],MATCH(Tabelle10[[#This Row],[Rank]],Stammdaten[Rank Verteilung Krümmung],0))</f>
        <v>#N/A</v>
      </c>
      <c r="U317" t="e">
        <f>VLOOKUP(Tabelle10[[#This Row],[Rank]],Stammdaten[[Rank Verteilung Krümmung]:[Verteilung Krümmung]],2,FALSE)</f>
        <v>#N/A</v>
      </c>
      <c r="Z317">
        <v>308</v>
      </c>
      <c r="AA317" t="e">
        <f>INDEX(Stammdaten[Ovalität (']0,1'])],MATCH(Tabelle1014[[#This Row],[Rank]],Stammdaten[Rank Verteilung Ovalität],0))</f>
        <v>#N/A</v>
      </c>
      <c r="AB317" t="e">
        <f>VLOOKUP(Tabelle1014[[#This Row],[Rank]],Stammdaten[[Rank Verteilung Ovalität]:[Verteilung Ovalität]],2,FALSE)</f>
        <v>#N/A</v>
      </c>
    </row>
    <row r="318" spans="5:28" x14ac:dyDescent="0.35">
      <c r="E318">
        <v>309</v>
      </c>
      <c r="F318" t="e">
        <f>INDEX(Stammdaten[D Mitte mit Rinde (mm)],MATCH(Tabelle8[[#This Row],[Rank]],Stammdaten[Rank Verteilung D Mitte mit Rinde],0))</f>
        <v>#N/A</v>
      </c>
      <c r="G318" t="e">
        <f>VLOOKUP(Tabelle8[[#This Row],[Rank]],Stammdaten[[Rank Verteilung D Mitte mit Rinde]:[Verteilung D Mitte mit Rinde]],2,FALSE)</f>
        <v>#N/A</v>
      </c>
      <c r="L318">
        <v>309</v>
      </c>
      <c r="M318" t="e">
        <f>INDEX(Stammdaten[Abholzigkeit (mm/lfm)],MATCH(Tabelle9[[#This Row],[Rank]],Stammdaten[Rank Verteilung Abholzigkeit],0))</f>
        <v>#N/A</v>
      </c>
      <c r="N318" t="e">
        <f>VLOOKUP(Tabelle9[[#This Row],[Rank]],Stammdaten[[Rank Verteilung Abholzigkeit]:[Verteilung Abholzigkeit]],2,FALSE)</f>
        <v>#N/A</v>
      </c>
      <c r="S318">
        <v>309</v>
      </c>
      <c r="T318" t="e">
        <f>INDEX(Stammdaten[Krümmung (mm/lfm)],MATCH(Tabelle10[[#This Row],[Rank]],Stammdaten[Rank Verteilung Krümmung],0))</f>
        <v>#N/A</v>
      </c>
      <c r="U318" t="e">
        <f>VLOOKUP(Tabelle10[[#This Row],[Rank]],Stammdaten[[Rank Verteilung Krümmung]:[Verteilung Krümmung]],2,FALSE)</f>
        <v>#N/A</v>
      </c>
      <c r="Z318">
        <v>309</v>
      </c>
      <c r="AA318" t="e">
        <f>INDEX(Stammdaten[Ovalität (']0,1'])],MATCH(Tabelle1014[[#This Row],[Rank]],Stammdaten[Rank Verteilung Ovalität],0))</f>
        <v>#N/A</v>
      </c>
      <c r="AB318" t="e">
        <f>VLOOKUP(Tabelle1014[[#This Row],[Rank]],Stammdaten[[Rank Verteilung Ovalität]:[Verteilung Ovalität]],2,FALSE)</f>
        <v>#N/A</v>
      </c>
    </row>
    <row r="319" spans="5:28" x14ac:dyDescent="0.35">
      <c r="E319">
        <v>310</v>
      </c>
      <c r="F319" t="e">
        <f>INDEX(Stammdaten[D Mitte mit Rinde (mm)],MATCH(Tabelle8[[#This Row],[Rank]],Stammdaten[Rank Verteilung D Mitte mit Rinde],0))</f>
        <v>#N/A</v>
      </c>
      <c r="G319" t="e">
        <f>VLOOKUP(Tabelle8[[#This Row],[Rank]],Stammdaten[[Rank Verteilung D Mitte mit Rinde]:[Verteilung D Mitte mit Rinde]],2,FALSE)</f>
        <v>#N/A</v>
      </c>
      <c r="L319">
        <v>310</v>
      </c>
      <c r="M319" t="e">
        <f>INDEX(Stammdaten[Abholzigkeit (mm/lfm)],MATCH(Tabelle9[[#This Row],[Rank]],Stammdaten[Rank Verteilung Abholzigkeit],0))</f>
        <v>#N/A</v>
      </c>
      <c r="N319" t="e">
        <f>VLOOKUP(Tabelle9[[#This Row],[Rank]],Stammdaten[[Rank Verteilung Abholzigkeit]:[Verteilung Abholzigkeit]],2,FALSE)</f>
        <v>#N/A</v>
      </c>
      <c r="S319">
        <v>310</v>
      </c>
      <c r="T319" t="e">
        <f>INDEX(Stammdaten[Krümmung (mm/lfm)],MATCH(Tabelle10[[#This Row],[Rank]],Stammdaten[Rank Verteilung Krümmung],0))</f>
        <v>#N/A</v>
      </c>
      <c r="U319" t="e">
        <f>VLOOKUP(Tabelle10[[#This Row],[Rank]],Stammdaten[[Rank Verteilung Krümmung]:[Verteilung Krümmung]],2,FALSE)</f>
        <v>#N/A</v>
      </c>
      <c r="Z319">
        <v>310</v>
      </c>
      <c r="AA319" t="e">
        <f>INDEX(Stammdaten[Ovalität (']0,1'])],MATCH(Tabelle1014[[#This Row],[Rank]],Stammdaten[Rank Verteilung Ovalität],0))</f>
        <v>#N/A</v>
      </c>
      <c r="AB319" t="e">
        <f>VLOOKUP(Tabelle1014[[#This Row],[Rank]],Stammdaten[[Rank Verteilung Ovalität]:[Verteilung Ovalität]],2,FALSE)</f>
        <v>#N/A</v>
      </c>
    </row>
    <row r="320" spans="5:28" x14ac:dyDescent="0.35">
      <c r="E320">
        <v>311</v>
      </c>
      <c r="F320" t="e">
        <f>INDEX(Stammdaten[D Mitte mit Rinde (mm)],MATCH(Tabelle8[[#This Row],[Rank]],Stammdaten[Rank Verteilung D Mitte mit Rinde],0))</f>
        <v>#N/A</v>
      </c>
      <c r="G320" t="e">
        <f>VLOOKUP(Tabelle8[[#This Row],[Rank]],Stammdaten[[Rank Verteilung D Mitte mit Rinde]:[Verteilung D Mitte mit Rinde]],2,FALSE)</f>
        <v>#N/A</v>
      </c>
      <c r="L320">
        <v>311</v>
      </c>
      <c r="M320" t="e">
        <f>INDEX(Stammdaten[Abholzigkeit (mm/lfm)],MATCH(Tabelle9[[#This Row],[Rank]],Stammdaten[Rank Verteilung Abholzigkeit],0))</f>
        <v>#N/A</v>
      </c>
      <c r="N320" t="e">
        <f>VLOOKUP(Tabelle9[[#This Row],[Rank]],Stammdaten[[Rank Verteilung Abholzigkeit]:[Verteilung Abholzigkeit]],2,FALSE)</f>
        <v>#N/A</v>
      </c>
      <c r="S320">
        <v>311</v>
      </c>
      <c r="T320" t="e">
        <f>INDEX(Stammdaten[Krümmung (mm/lfm)],MATCH(Tabelle10[[#This Row],[Rank]],Stammdaten[Rank Verteilung Krümmung],0))</f>
        <v>#N/A</v>
      </c>
      <c r="U320" t="e">
        <f>VLOOKUP(Tabelle10[[#This Row],[Rank]],Stammdaten[[Rank Verteilung Krümmung]:[Verteilung Krümmung]],2,FALSE)</f>
        <v>#N/A</v>
      </c>
      <c r="Z320">
        <v>311</v>
      </c>
      <c r="AA320" t="e">
        <f>INDEX(Stammdaten[Ovalität (']0,1'])],MATCH(Tabelle1014[[#This Row],[Rank]],Stammdaten[Rank Verteilung Ovalität],0))</f>
        <v>#N/A</v>
      </c>
      <c r="AB320" t="e">
        <f>VLOOKUP(Tabelle1014[[#This Row],[Rank]],Stammdaten[[Rank Verteilung Ovalität]:[Verteilung Ovalität]],2,FALSE)</f>
        <v>#N/A</v>
      </c>
    </row>
    <row r="321" spans="5:28" x14ac:dyDescent="0.35">
      <c r="E321">
        <v>312</v>
      </c>
      <c r="F321" t="e">
        <f>INDEX(Stammdaten[D Mitte mit Rinde (mm)],MATCH(Tabelle8[[#This Row],[Rank]],Stammdaten[Rank Verteilung D Mitte mit Rinde],0))</f>
        <v>#N/A</v>
      </c>
      <c r="G321" t="e">
        <f>VLOOKUP(Tabelle8[[#This Row],[Rank]],Stammdaten[[Rank Verteilung D Mitte mit Rinde]:[Verteilung D Mitte mit Rinde]],2,FALSE)</f>
        <v>#N/A</v>
      </c>
      <c r="L321">
        <v>312</v>
      </c>
      <c r="M321" t="e">
        <f>INDEX(Stammdaten[Abholzigkeit (mm/lfm)],MATCH(Tabelle9[[#This Row],[Rank]],Stammdaten[Rank Verteilung Abholzigkeit],0))</f>
        <v>#N/A</v>
      </c>
      <c r="N321" t="e">
        <f>VLOOKUP(Tabelle9[[#This Row],[Rank]],Stammdaten[[Rank Verteilung Abholzigkeit]:[Verteilung Abholzigkeit]],2,FALSE)</f>
        <v>#N/A</v>
      </c>
      <c r="S321">
        <v>312</v>
      </c>
      <c r="T321" t="e">
        <f>INDEX(Stammdaten[Krümmung (mm/lfm)],MATCH(Tabelle10[[#This Row],[Rank]],Stammdaten[Rank Verteilung Krümmung],0))</f>
        <v>#N/A</v>
      </c>
      <c r="U321" t="e">
        <f>VLOOKUP(Tabelle10[[#This Row],[Rank]],Stammdaten[[Rank Verteilung Krümmung]:[Verteilung Krümmung]],2,FALSE)</f>
        <v>#N/A</v>
      </c>
      <c r="Z321">
        <v>312</v>
      </c>
      <c r="AA321" t="e">
        <f>INDEX(Stammdaten[Ovalität (']0,1'])],MATCH(Tabelle1014[[#This Row],[Rank]],Stammdaten[Rank Verteilung Ovalität],0))</f>
        <v>#N/A</v>
      </c>
      <c r="AB321" t="e">
        <f>VLOOKUP(Tabelle1014[[#This Row],[Rank]],Stammdaten[[Rank Verteilung Ovalität]:[Verteilung Ovalität]],2,FALSE)</f>
        <v>#N/A</v>
      </c>
    </row>
    <row r="322" spans="5:28" x14ac:dyDescent="0.35">
      <c r="E322">
        <v>313</v>
      </c>
      <c r="F322" t="e">
        <f>INDEX(Stammdaten[D Mitte mit Rinde (mm)],MATCH(Tabelle8[[#This Row],[Rank]],Stammdaten[Rank Verteilung D Mitte mit Rinde],0))</f>
        <v>#N/A</v>
      </c>
      <c r="G322" t="e">
        <f>VLOOKUP(Tabelle8[[#This Row],[Rank]],Stammdaten[[Rank Verteilung D Mitte mit Rinde]:[Verteilung D Mitte mit Rinde]],2,FALSE)</f>
        <v>#N/A</v>
      </c>
      <c r="L322">
        <v>313</v>
      </c>
      <c r="M322" t="e">
        <f>INDEX(Stammdaten[Abholzigkeit (mm/lfm)],MATCH(Tabelle9[[#This Row],[Rank]],Stammdaten[Rank Verteilung Abholzigkeit],0))</f>
        <v>#N/A</v>
      </c>
      <c r="N322" t="e">
        <f>VLOOKUP(Tabelle9[[#This Row],[Rank]],Stammdaten[[Rank Verteilung Abholzigkeit]:[Verteilung Abholzigkeit]],2,FALSE)</f>
        <v>#N/A</v>
      </c>
      <c r="S322">
        <v>313</v>
      </c>
      <c r="T322" t="e">
        <f>INDEX(Stammdaten[Krümmung (mm/lfm)],MATCH(Tabelle10[[#This Row],[Rank]],Stammdaten[Rank Verteilung Krümmung],0))</f>
        <v>#N/A</v>
      </c>
      <c r="U322" t="e">
        <f>VLOOKUP(Tabelle10[[#This Row],[Rank]],Stammdaten[[Rank Verteilung Krümmung]:[Verteilung Krümmung]],2,FALSE)</f>
        <v>#N/A</v>
      </c>
      <c r="Z322">
        <v>313</v>
      </c>
      <c r="AA322" t="e">
        <f>INDEX(Stammdaten[Ovalität (']0,1'])],MATCH(Tabelle1014[[#This Row],[Rank]],Stammdaten[Rank Verteilung Ovalität],0))</f>
        <v>#N/A</v>
      </c>
      <c r="AB322" t="e">
        <f>VLOOKUP(Tabelle1014[[#This Row],[Rank]],Stammdaten[[Rank Verteilung Ovalität]:[Verteilung Ovalität]],2,FALSE)</f>
        <v>#N/A</v>
      </c>
    </row>
    <row r="323" spans="5:28" x14ac:dyDescent="0.35">
      <c r="E323">
        <v>314</v>
      </c>
      <c r="F323" t="e">
        <f>INDEX(Stammdaten[D Mitte mit Rinde (mm)],MATCH(Tabelle8[[#This Row],[Rank]],Stammdaten[Rank Verteilung D Mitte mit Rinde],0))</f>
        <v>#N/A</v>
      </c>
      <c r="G323" t="e">
        <f>VLOOKUP(Tabelle8[[#This Row],[Rank]],Stammdaten[[Rank Verteilung D Mitte mit Rinde]:[Verteilung D Mitte mit Rinde]],2,FALSE)</f>
        <v>#N/A</v>
      </c>
      <c r="L323">
        <v>314</v>
      </c>
      <c r="M323" t="e">
        <f>INDEX(Stammdaten[Abholzigkeit (mm/lfm)],MATCH(Tabelle9[[#This Row],[Rank]],Stammdaten[Rank Verteilung Abholzigkeit],0))</f>
        <v>#N/A</v>
      </c>
      <c r="N323" t="e">
        <f>VLOOKUP(Tabelle9[[#This Row],[Rank]],Stammdaten[[Rank Verteilung Abholzigkeit]:[Verteilung Abholzigkeit]],2,FALSE)</f>
        <v>#N/A</v>
      </c>
      <c r="S323">
        <v>314</v>
      </c>
      <c r="T323" t="e">
        <f>INDEX(Stammdaten[Krümmung (mm/lfm)],MATCH(Tabelle10[[#This Row],[Rank]],Stammdaten[Rank Verteilung Krümmung],0))</f>
        <v>#N/A</v>
      </c>
      <c r="U323" t="e">
        <f>VLOOKUP(Tabelle10[[#This Row],[Rank]],Stammdaten[[Rank Verteilung Krümmung]:[Verteilung Krümmung]],2,FALSE)</f>
        <v>#N/A</v>
      </c>
      <c r="Z323">
        <v>314</v>
      </c>
      <c r="AA323" t="e">
        <f>INDEX(Stammdaten[Ovalität (']0,1'])],MATCH(Tabelle1014[[#This Row],[Rank]],Stammdaten[Rank Verteilung Ovalität],0))</f>
        <v>#N/A</v>
      </c>
      <c r="AB323" t="e">
        <f>VLOOKUP(Tabelle1014[[#This Row],[Rank]],Stammdaten[[Rank Verteilung Ovalität]:[Verteilung Ovalität]],2,FALSE)</f>
        <v>#N/A</v>
      </c>
    </row>
    <row r="324" spans="5:28" x14ac:dyDescent="0.35">
      <c r="E324">
        <v>315</v>
      </c>
      <c r="F324" t="e">
        <f>INDEX(Stammdaten[D Mitte mit Rinde (mm)],MATCH(Tabelle8[[#This Row],[Rank]],Stammdaten[Rank Verteilung D Mitte mit Rinde],0))</f>
        <v>#N/A</v>
      </c>
      <c r="G324" t="e">
        <f>VLOOKUP(Tabelle8[[#This Row],[Rank]],Stammdaten[[Rank Verteilung D Mitte mit Rinde]:[Verteilung D Mitte mit Rinde]],2,FALSE)</f>
        <v>#N/A</v>
      </c>
      <c r="L324">
        <v>315</v>
      </c>
      <c r="M324" t="e">
        <f>INDEX(Stammdaten[Abholzigkeit (mm/lfm)],MATCH(Tabelle9[[#This Row],[Rank]],Stammdaten[Rank Verteilung Abholzigkeit],0))</f>
        <v>#N/A</v>
      </c>
      <c r="N324" t="e">
        <f>VLOOKUP(Tabelle9[[#This Row],[Rank]],Stammdaten[[Rank Verteilung Abholzigkeit]:[Verteilung Abholzigkeit]],2,FALSE)</f>
        <v>#N/A</v>
      </c>
      <c r="S324">
        <v>315</v>
      </c>
      <c r="T324" t="e">
        <f>INDEX(Stammdaten[Krümmung (mm/lfm)],MATCH(Tabelle10[[#This Row],[Rank]],Stammdaten[Rank Verteilung Krümmung],0))</f>
        <v>#N/A</v>
      </c>
      <c r="U324" t="e">
        <f>VLOOKUP(Tabelle10[[#This Row],[Rank]],Stammdaten[[Rank Verteilung Krümmung]:[Verteilung Krümmung]],2,FALSE)</f>
        <v>#N/A</v>
      </c>
      <c r="Z324">
        <v>315</v>
      </c>
      <c r="AA324" t="e">
        <f>INDEX(Stammdaten[Ovalität (']0,1'])],MATCH(Tabelle1014[[#This Row],[Rank]],Stammdaten[Rank Verteilung Ovalität],0))</f>
        <v>#N/A</v>
      </c>
      <c r="AB324" t="e">
        <f>VLOOKUP(Tabelle1014[[#This Row],[Rank]],Stammdaten[[Rank Verteilung Ovalität]:[Verteilung Ovalität]],2,FALSE)</f>
        <v>#N/A</v>
      </c>
    </row>
    <row r="325" spans="5:28" x14ac:dyDescent="0.35">
      <c r="E325">
        <v>316</v>
      </c>
      <c r="F325" t="e">
        <f>INDEX(Stammdaten[D Mitte mit Rinde (mm)],MATCH(Tabelle8[[#This Row],[Rank]],Stammdaten[Rank Verteilung D Mitte mit Rinde],0))</f>
        <v>#N/A</v>
      </c>
      <c r="G325" t="e">
        <f>VLOOKUP(Tabelle8[[#This Row],[Rank]],Stammdaten[[Rank Verteilung D Mitte mit Rinde]:[Verteilung D Mitte mit Rinde]],2,FALSE)</f>
        <v>#N/A</v>
      </c>
      <c r="L325">
        <v>316</v>
      </c>
      <c r="M325" t="e">
        <f>INDEX(Stammdaten[Abholzigkeit (mm/lfm)],MATCH(Tabelle9[[#This Row],[Rank]],Stammdaten[Rank Verteilung Abholzigkeit],0))</f>
        <v>#N/A</v>
      </c>
      <c r="N325" t="e">
        <f>VLOOKUP(Tabelle9[[#This Row],[Rank]],Stammdaten[[Rank Verteilung Abholzigkeit]:[Verteilung Abholzigkeit]],2,FALSE)</f>
        <v>#N/A</v>
      </c>
      <c r="S325">
        <v>316</v>
      </c>
      <c r="T325" t="e">
        <f>INDEX(Stammdaten[Krümmung (mm/lfm)],MATCH(Tabelle10[[#This Row],[Rank]],Stammdaten[Rank Verteilung Krümmung],0))</f>
        <v>#N/A</v>
      </c>
      <c r="U325" t="e">
        <f>VLOOKUP(Tabelle10[[#This Row],[Rank]],Stammdaten[[Rank Verteilung Krümmung]:[Verteilung Krümmung]],2,FALSE)</f>
        <v>#N/A</v>
      </c>
      <c r="Z325">
        <v>316</v>
      </c>
      <c r="AA325" t="e">
        <f>INDEX(Stammdaten[Ovalität (']0,1'])],MATCH(Tabelle1014[[#This Row],[Rank]],Stammdaten[Rank Verteilung Ovalität],0))</f>
        <v>#N/A</v>
      </c>
      <c r="AB325" t="e">
        <f>VLOOKUP(Tabelle1014[[#This Row],[Rank]],Stammdaten[[Rank Verteilung Ovalität]:[Verteilung Ovalität]],2,FALSE)</f>
        <v>#N/A</v>
      </c>
    </row>
    <row r="326" spans="5:28" x14ac:dyDescent="0.35">
      <c r="E326">
        <v>317</v>
      </c>
      <c r="F326" t="e">
        <f>INDEX(Stammdaten[D Mitte mit Rinde (mm)],MATCH(Tabelle8[[#This Row],[Rank]],Stammdaten[Rank Verteilung D Mitte mit Rinde],0))</f>
        <v>#N/A</v>
      </c>
      <c r="G326" t="e">
        <f>VLOOKUP(Tabelle8[[#This Row],[Rank]],Stammdaten[[Rank Verteilung D Mitte mit Rinde]:[Verteilung D Mitte mit Rinde]],2,FALSE)</f>
        <v>#N/A</v>
      </c>
      <c r="L326">
        <v>317</v>
      </c>
      <c r="M326" t="e">
        <f>INDEX(Stammdaten[Abholzigkeit (mm/lfm)],MATCH(Tabelle9[[#This Row],[Rank]],Stammdaten[Rank Verteilung Abholzigkeit],0))</f>
        <v>#N/A</v>
      </c>
      <c r="N326" t="e">
        <f>VLOOKUP(Tabelle9[[#This Row],[Rank]],Stammdaten[[Rank Verteilung Abholzigkeit]:[Verteilung Abholzigkeit]],2,FALSE)</f>
        <v>#N/A</v>
      </c>
      <c r="S326">
        <v>317</v>
      </c>
      <c r="T326" t="e">
        <f>INDEX(Stammdaten[Krümmung (mm/lfm)],MATCH(Tabelle10[[#This Row],[Rank]],Stammdaten[Rank Verteilung Krümmung],0))</f>
        <v>#N/A</v>
      </c>
      <c r="U326" t="e">
        <f>VLOOKUP(Tabelle10[[#This Row],[Rank]],Stammdaten[[Rank Verteilung Krümmung]:[Verteilung Krümmung]],2,FALSE)</f>
        <v>#N/A</v>
      </c>
      <c r="Z326">
        <v>317</v>
      </c>
      <c r="AA326" t="e">
        <f>INDEX(Stammdaten[Ovalität (']0,1'])],MATCH(Tabelle1014[[#This Row],[Rank]],Stammdaten[Rank Verteilung Ovalität],0))</f>
        <v>#N/A</v>
      </c>
      <c r="AB326" t="e">
        <f>VLOOKUP(Tabelle1014[[#This Row],[Rank]],Stammdaten[[Rank Verteilung Ovalität]:[Verteilung Ovalität]],2,FALSE)</f>
        <v>#N/A</v>
      </c>
    </row>
    <row r="327" spans="5:28" x14ac:dyDescent="0.35">
      <c r="E327">
        <v>318</v>
      </c>
      <c r="F327" t="e">
        <f>INDEX(Stammdaten[D Mitte mit Rinde (mm)],MATCH(Tabelle8[[#This Row],[Rank]],Stammdaten[Rank Verteilung D Mitte mit Rinde],0))</f>
        <v>#N/A</v>
      </c>
      <c r="G327" t="e">
        <f>VLOOKUP(Tabelle8[[#This Row],[Rank]],Stammdaten[[Rank Verteilung D Mitte mit Rinde]:[Verteilung D Mitte mit Rinde]],2,FALSE)</f>
        <v>#N/A</v>
      </c>
      <c r="L327">
        <v>318</v>
      </c>
      <c r="M327" t="e">
        <f>INDEX(Stammdaten[Abholzigkeit (mm/lfm)],MATCH(Tabelle9[[#This Row],[Rank]],Stammdaten[Rank Verteilung Abholzigkeit],0))</f>
        <v>#N/A</v>
      </c>
      <c r="N327" t="e">
        <f>VLOOKUP(Tabelle9[[#This Row],[Rank]],Stammdaten[[Rank Verteilung Abholzigkeit]:[Verteilung Abholzigkeit]],2,FALSE)</f>
        <v>#N/A</v>
      </c>
      <c r="S327">
        <v>318</v>
      </c>
      <c r="T327" t="e">
        <f>INDEX(Stammdaten[Krümmung (mm/lfm)],MATCH(Tabelle10[[#This Row],[Rank]],Stammdaten[Rank Verteilung Krümmung],0))</f>
        <v>#N/A</v>
      </c>
      <c r="U327" t="e">
        <f>VLOOKUP(Tabelle10[[#This Row],[Rank]],Stammdaten[[Rank Verteilung Krümmung]:[Verteilung Krümmung]],2,FALSE)</f>
        <v>#N/A</v>
      </c>
      <c r="Z327">
        <v>318</v>
      </c>
      <c r="AA327" t="e">
        <f>INDEX(Stammdaten[Ovalität (']0,1'])],MATCH(Tabelle1014[[#This Row],[Rank]],Stammdaten[Rank Verteilung Ovalität],0))</f>
        <v>#N/A</v>
      </c>
      <c r="AB327" t="e">
        <f>VLOOKUP(Tabelle1014[[#This Row],[Rank]],Stammdaten[[Rank Verteilung Ovalität]:[Verteilung Ovalität]],2,FALSE)</f>
        <v>#N/A</v>
      </c>
    </row>
    <row r="328" spans="5:28" x14ac:dyDescent="0.35">
      <c r="E328">
        <v>319</v>
      </c>
      <c r="F328" t="e">
        <f>INDEX(Stammdaten[D Mitte mit Rinde (mm)],MATCH(Tabelle8[[#This Row],[Rank]],Stammdaten[Rank Verteilung D Mitte mit Rinde],0))</f>
        <v>#N/A</v>
      </c>
      <c r="G328" t="e">
        <f>VLOOKUP(Tabelle8[[#This Row],[Rank]],Stammdaten[[Rank Verteilung D Mitte mit Rinde]:[Verteilung D Mitte mit Rinde]],2,FALSE)</f>
        <v>#N/A</v>
      </c>
      <c r="L328">
        <v>319</v>
      </c>
      <c r="M328" t="e">
        <f>INDEX(Stammdaten[Abholzigkeit (mm/lfm)],MATCH(Tabelle9[[#This Row],[Rank]],Stammdaten[Rank Verteilung Abholzigkeit],0))</f>
        <v>#N/A</v>
      </c>
      <c r="N328" t="e">
        <f>VLOOKUP(Tabelle9[[#This Row],[Rank]],Stammdaten[[Rank Verteilung Abholzigkeit]:[Verteilung Abholzigkeit]],2,FALSE)</f>
        <v>#N/A</v>
      </c>
      <c r="S328">
        <v>319</v>
      </c>
      <c r="T328" t="e">
        <f>INDEX(Stammdaten[Krümmung (mm/lfm)],MATCH(Tabelle10[[#This Row],[Rank]],Stammdaten[Rank Verteilung Krümmung],0))</f>
        <v>#N/A</v>
      </c>
      <c r="U328" t="e">
        <f>VLOOKUP(Tabelle10[[#This Row],[Rank]],Stammdaten[[Rank Verteilung Krümmung]:[Verteilung Krümmung]],2,FALSE)</f>
        <v>#N/A</v>
      </c>
      <c r="Z328">
        <v>319</v>
      </c>
      <c r="AA328" t="e">
        <f>INDEX(Stammdaten[Ovalität (']0,1'])],MATCH(Tabelle1014[[#This Row],[Rank]],Stammdaten[Rank Verteilung Ovalität],0))</f>
        <v>#N/A</v>
      </c>
      <c r="AB328" t="e">
        <f>VLOOKUP(Tabelle1014[[#This Row],[Rank]],Stammdaten[[Rank Verteilung Ovalität]:[Verteilung Ovalität]],2,FALSE)</f>
        <v>#N/A</v>
      </c>
    </row>
    <row r="329" spans="5:28" x14ac:dyDescent="0.35">
      <c r="E329">
        <v>320</v>
      </c>
      <c r="F329" t="e">
        <f>INDEX(Stammdaten[D Mitte mit Rinde (mm)],MATCH(Tabelle8[[#This Row],[Rank]],Stammdaten[Rank Verteilung D Mitte mit Rinde],0))</f>
        <v>#N/A</v>
      </c>
      <c r="G329" t="e">
        <f>VLOOKUP(Tabelle8[[#This Row],[Rank]],Stammdaten[[Rank Verteilung D Mitte mit Rinde]:[Verteilung D Mitte mit Rinde]],2,FALSE)</f>
        <v>#N/A</v>
      </c>
      <c r="L329">
        <v>320</v>
      </c>
      <c r="M329" t="e">
        <f>INDEX(Stammdaten[Abholzigkeit (mm/lfm)],MATCH(Tabelle9[[#This Row],[Rank]],Stammdaten[Rank Verteilung Abholzigkeit],0))</f>
        <v>#N/A</v>
      </c>
      <c r="N329" t="e">
        <f>VLOOKUP(Tabelle9[[#This Row],[Rank]],Stammdaten[[Rank Verteilung Abholzigkeit]:[Verteilung Abholzigkeit]],2,FALSE)</f>
        <v>#N/A</v>
      </c>
      <c r="S329">
        <v>320</v>
      </c>
      <c r="T329" t="e">
        <f>INDEX(Stammdaten[Krümmung (mm/lfm)],MATCH(Tabelle10[[#This Row],[Rank]],Stammdaten[Rank Verteilung Krümmung],0))</f>
        <v>#N/A</v>
      </c>
      <c r="U329" t="e">
        <f>VLOOKUP(Tabelle10[[#This Row],[Rank]],Stammdaten[[Rank Verteilung Krümmung]:[Verteilung Krümmung]],2,FALSE)</f>
        <v>#N/A</v>
      </c>
      <c r="Z329">
        <v>320</v>
      </c>
      <c r="AA329" t="e">
        <f>INDEX(Stammdaten[Ovalität (']0,1'])],MATCH(Tabelle1014[[#This Row],[Rank]],Stammdaten[Rank Verteilung Ovalität],0))</f>
        <v>#N/A</v>
      </c>
      <c r="AB329" t="e">
        <f>VLOOKUP(Tabelle1014[[#This Row],[Rank]],Stammdaten[[Rank Verteilung Ovalität]:[Verteilung Ovalität]],2,FALSE)</f>
        <v>#N/A</v>
      </c>
    </row>
    <row r="330" spans="5:28" x14ac:dyDescent="0.35">
      <c r="E330">
        <v>321</v>
      </c>
      <c r="F330" t="e">
        <f>INDEX(Stammdaten[D Mitte mit Rinde (mm)],MATCH(Tabelle8[[#This Row],[Rank]],Stammdaten[Rank Verteilung D Mitte mit Rinde],0))</f>
        <v>#N/A</v>
      </c>
      <c r="G330" t="e">
        <f>VLOOKUP(Tabelle8[[#This Row],[Rank]],Stammdaten[[Rank Verteilung D Mitte mit Rinde]:[Verteilung D Mitte mit Rinde]],2,FALSE)</f>
        <v>#N/A</v>
      </c>
      <c r="L330">
        <v>321</v>
      </c>
      <c r="M330" t="e">
        <f>INDEX(Stammdaten[Abholzigkeit (mm/lfm)],MATCH(Tabelle9[[#This Row],[Rank]],Stammdaten[Rank Verteilung Abholzigkeit],0))</f>
        <v>#N/A</v>
      </c>
      <c r="N330" t="e">
        <f>VLOOKUP(Tabelle9[[#This Row],[Rank]],Stammdaten[[Rank Verteilung Abholzigkeit]:[Verteilung Abholzigkeit]],2,FALSE)</f>
        <v>#N/A</v>
      </c>
      <c r="S330">
        <v>321</v>
      </c>
      <c r="T330" t="e">
        <f>INDEX(Stammdaten[Krümmung (mm/lfm)],MATCH(Tabelle10[[#This Row],[Rank]],Stammdaten[Rank Verteilung Krümmung],0))</f>
        <v>#N/A</v>
      </c>
      <c r="U330" t="e">
        <f>VLOOKUP(Tabelle10[[#This Row],[Rank]],Stammdaten[[Rank Verteilung Krümmung]:[Verteilung Krümmung]],2,FALSE)</f>
        <v>#N/A</v>
      </c>
      <c r="Z330">
        <v>321</v>
      </c>
      <c r="AA330" t="e">
        <f>INDEX(Stammdaten[Ovalität (']0,1'])],MATCH(Tabelle1014[[#This Row],[Rank]],Stammdaten[Rank Verteilung Ovalität],0))</f>
        <v>#N/A</v>
      </c>
      <c r="AB330" t="e">
        <f>VLOOKUP(Tabelle1014[[#This Row],[Rank]],Stammdaten[[Rank Verteilung Ovalität]:[Verteilung Ovalität]],2,FALSE)</f>
        <v>#N/A</v>
      </c>
    </row>
    <row r="331" spans="5:28" x14ac:dyDescent="0.35">
      <c r="E331">
        <v>322</v>
      </c>
      <c r="F331" t="e">
        <f>INDEX(Stammdaten[D Mitte mit Rinde (mm)],MATCH(Tabelle8[[#This Row],[Rank]],Stammdaten[Rank Verteilung D Mitte mit Rinde],0))</f>
        <v>#N/A</v>
      </c>
      <c r="G331" t="e">
        <f>VLOOKUP(Tabelle8[[#This Row],[Rank]],Stammdaten[[Rank Verteilung D Mitte mit Rinde]:[Verteilung D Mitte mit Rinde]],2,FALSE)</f>
        <v>#N/A</v>
      </c>
      <c r="L331">
        <v>322</v>
      </c>
      <c r="M331" t="e">
        <f>INDEX(Stammdaten[Abholzigkeit (mm/lfm)],MATCH(Tabelle9[[#This Row],[Rank]],Stammdaten[Rank Verteilung Abholzigkeit],0))</f>
        <v>#N/A</v>
      </c>
      <c r="N331" t="e">
        <f>VLOOKUP(Tabelle9[[#This Row],[Rank]],Stammdaten[[Rank Verteilung Abholzigkeit]:[Verteilung Abholzigkeit]],2,FALSE)</f>
        <v>#N/A</v>
      </c>
      <c r="S331">
        <v>322</v>
      </c>
      <c r="T331" t="e">
        <f>INDEX(Stammdaten[Krümmung (mm/lfm)],MATCH(Tabelle10[[#This Row],[Rank]],Stammdaten[Rank Verteilung Krümmung],0))</f>
        <v>#N/A</v>
      </c>
      <c r="U331" t="e">
        <f>VLOOKUP(Tabelle10[[#This Row],[Rank]],Stammdaten[[Rank Verteilung Krümmung]:[Verteilung Krümmung]],2,FALSE)</f>
        <v>#N/A</v>
      </c>
      <c r="Z331">
        <v>322</v>
      </c>
      <c r="AA331" t="e">
        <f>INDEX(Stammdaten[Ovalität (']0,1'])],MATCH(Tabelle1014[[#This Row],[Rank]],Stammdaten[Rank Verteilung Ovalität],0))</f>
        <v>#N/A</v>
      </c>
      <c r="AB331" t="e">
        <f>VLOOKUP(Tabelle1014[[#This Row],[Rank]],Stammdaten[[Rank Verteilung Ovalität]:[Verteilung Ovalität]],2,FALSE)</f>
        <v>#N/A</v>
      </c>
    </row>
    <row r="332" spans="5:28" x14ac:dyDescent="0.35">
      <c r="E332">
        <v>323</v>
      </c>
      <c r="F332" t="e">
        <f>INDEX(Stammdaten[D Mitte mit Rinde (mm)],MATCH(Tabelle8[[#This Row],[Rank]],Stammdaten[Rank Verteilung D Mitte mit Rinde],0))</f>
        <v>#N/A</v>
      </c>
      <c r="G332" t="e">
        <f>VLOOKUP(Tabelle8[[#This Row],[Rank]],Stammdaten[[Rank Verteilung D Mitte mit Rinde]:[Verteilung D Mitte mit Rinde]],2,FALSE)</f>
        <v>#N/A</v>
      </c>
      <c r="L332">
        <v>323</v>
      </c>
      <c r="M332" t="e">
        <f>INDEX(Stammdaten[Abholzigkeit (mm/lfm)],MATCH(Tabelle9[[#This Row],[Rank]],Stammdaten[Rank Verteilung Abholzigkeit],0))</f>
        <v>#N/A</v>
      </c>
      <c r="N332" t="e">
        <f>VLOOKUP(Tabelle9[[#This Row],[Rank]],Stammdaten[[Rank Verteilung Abholzigkeit]:[Verteilung Abholzigkeit]],2,FALSE)</f>
        <v>#N/A</v>
      </c>
      <c r="S332">
        <v>323</v>
      </c>
      <c r="T332" t="e">
        <f>INDEX(Stammdaten[Krümmung (mm/lfm)],MATCH(Tabelle10[[#This Row],[Rank]],Stammdaten[Rank Verteilung Krümmung],0))</f>
        <v>#N/A</v>
      </c>
      <c r="U332" t="e">
        <f>VLOOKUP(Tabelle10[[#This Row],[Rank]],Stammdaten[[Rank Verteilung Krümmung]:[Verteilung Krümmung]],2,FALSE)</f>
        <v>#N/A</v>
      </c>
      <c r="Z332">
        <v>323</v>
      </c>
      <c r="AA332" t="e">
        <f>INDEX(Stammdaten[Ovalität (']0,1'])],MATCH(Tabelle1014[[#This Row],[Rank]],Stammdaten[Rank Verteilung Ovalität],0))</f>
        <v>#N/A</v>
      </c>
      <c r="AB332" t="e">
        <f>VLOOKUP(Tabelle1014[[#This Row],[Rank]],Stammdaten[[Rank Verteilung Ovalität]:[Verteilung Ovalität]],2,FALSE)</f>
        <v>#N/A</v>
      </c>
    </row>
    <row r="333" spans="5:28" x14ac:dyDescent="0.35">
      <c r="E333">
        <v>324</v>
      </c>
      <c r="F333" t="e">
        <f>INDEX(Stammdaten[D Mitte mit Rinde (mm)],MATCH(Tabelle8[[#This Row],[Rank]],Stammdaten[Rank Verteilung D Mitte mit Rinde],0))</f>
        <v>#N/A</v>
      </c>
      <c r="G333" t="e">
        <f>VLOOKUP(Tabelle8[[#This Row],[Rank]],Stammdaten[[Rank Verteilung D Mitte mit Rinde]:[Verteilung D Mitte mit Rinde]],2,FALSE)</f>
        <v>#N/A</v>
      </c>
      <c r="L333">
        <v>324</v>
      </c>
      <c r="M333" t="e">
        <f>INDEX(Stammdaten[Abholzigkeit (mm/lfm)],MATCH(Tabelle9[[#This Row],[Rank]],Stammdaten[Rank Verteilung Abholzigkeit],0))</f>
        <v>#N/A</v>
      </c>
      <c r="N333" t="e">
        <f>VLOOKUP(Tabelle9[[#This Row],[Rank]],Stammdaten[[Rank Verteilung Abholzigkeit]:[Verteilung Abholzigkeit]],2,FALSE)</f>
        <v>#N/A</v>
      </c>
      <c r="S333">
        <v>324</v>
      </c>
      <c r="T333" t="e">
        <f>INDEX(Stammdaten[Krümmung (mm/lfm)],MATCH(Tabelle10[[#This Row],[Rank]],Stammdaten[Rank Verteilung Krümmung],0))</f>
        <v>#N/A</v>
      </c>
      <c r="U333" t="e">
        <f>VLOOKUP(Tabelle10[[#This Row],[Rank]],Stammdaten[[Rank Verteilung Krümmung]:[Verteilung Krümmung]],2,FALSE)</f>
        <v>#N/A</v>
      </c>
      <c r="Z333">
        <v>324</v>
      </c>
      <c r="AA333" t="e">
        <f>INDEX(Stammdaten[Ovalität (']0,1'])],MATCH(Tabelle1014[[#This Row],[Rank]],Stammdaten[Rank Verteilung Ovalität],0))</f>
        <v>#N/A</v>
      </c>
      <c r="AB333" t="e">
        <f>VLOOKUP(Tabelle1014[[#This Row],[Rank]],Stammdaten[[Rank Verteilung Ovalität]:[Verteilung Ovalität]],2,FALSE)</f>
        <v>#N/A</v>
      </c>
    </row>
    <row r="334" spans="5:28" x14ac:dyDescent="0.35">
      <c r="E334">
        <v>325</v>
      </c>
      <c r="F334" t="e">
        <f>INDEX(Stammdaten[D Mitte mit Rinde (mm)],MATCH(Tabelle8[[#This Row],[Rank]],Stammdaten[Rank Verteilung D Mitte mit Rinde],0))</f>
        <v>#N/A</v>
      </c>
      <c r="G334" t="e">
        <f>VLOOKUP(Tabelle8[[#This Row],[Rank]],Stammdaten[[Rank Verteilung D Mitte mit Rinde]:[Verteilung D Mitte mit Rinde]],2,FALSE)</f>
        <v>#N/A</v>
      </c>
      <c r="L334">
        <v>325</v>
      </c>
      <c r="M334" t="e">
        <f>INDEX(Stammdaten[Abholzigkeit (mm/lfm)],MATCH(Tabelle9[[#This Row],[Rank]],Stammdaten[Rank Verteilung Abholzigkeit],0))</f>
        <v>#N/A</v>
      </c>
      <c r="N334" t="e">
        <f>VLOOKUP(Tabelle9[[#This Row],[Rank]],Stammdaten[[Rank Verteilung Abholzigkeit]:[Verteilung Abholzigkeit]],2,FALSE)</f>
        <v>#N/A</v>
      </c>
      <c r="S334">
        <v>325</v>
      </c>
      <c r="T334" t="e">
        <f>INDEX(Stammdaten[Krümmung (mm/lfm)],MATCH(Tabelle10[[#This Row],[Rank]],Stammdaten[Rank Verteilung Krümmung],0))</f>
        <v>#N/A</v>
      </c>
      <c r="U334" t="e">
        <f>VLOOKUP(Tabelle10[[#This Row],[Rank]],Stammdaten[[Rank Verteilung Krümmung]:[Verteilung Krümmung]],2,FALSE)</f>
        <v>#N/A</v>
      </c>
      <c r="Z334">
        <v>325</v>
      </c>
      <c r="AA334" t="e">
        <f>INDEX(Stammdaten[Ovalität (']0,1'])],MATCH(Tabelle1014[[#This Row],[Rank]],Stammdaten[Rank Verteilung Ovalität],0))</f>
        <v>#N/A</v>
      </c>
      <c r="AB334" t="e">
        <f>VLOOKUP(Tabelle1014[[#This Row],[Rank]],Stammdaten[[Rank Verteilung Ovalität]:[Verteilung Ovalität]],2,FALSE)</f>
        <v>#N/A</v>
      </c>
    </row>
    <row r="335" spans="5:28" x14ac:dyDescent="0.35">
      <c r="E335">
        <v>326</v>
      </c>
      <c r="F335" t="e">
        <f>INDEX(Stammdaten[D Mitte mit Rinde (mm)],MATCH(Tabelle8[[#This Row],[Rank]],Stammdaten[Rank Verteilung D Mitte mit Rinde],0))</f>
        <v>#N/A</v>
      </c>
      <c r="G335" t="e">
        <f>VLOOKUP(Tabelle8[[#This Row],[Rank]],Stammdaten[[Rank Verteilung D Mitte mit Rinde]:[Verteilung D Mitte mit Rinde]],2,FALSE)</f>
        <v>#N/A</v>
      </c>
      <c r="L335">
        <v>326</v>
      </c>
      <c r="M335" t="e">
        <f>INDEX(Stammdaten[Abholzigkeit (mm/lfm)],MATCH(Tabelle9[[#This Row],[Rank]],Stammdaten[Rank Verteilung Abholzigkeit],0))</f>
        <v>#N/A</v>
      </c>
      <c r="N335" t="e">
        <f>VLOOKUP(Tabelle9[[#This Row],[Rank]],Stammdaten[[Rank Verteilung Abholzigkeit]:[Verteilung Abholzigkeit]],2,FALSE)</f>
        <v>#N/A</v>
      </c>
      <c r="S335">
        <v>326</v>
      </c>
      <c r="T335" t="e">
        <f>INDEX(Stammdaten[Krümmung (mm/lfm)],MATCH(Tabelle10[[#This Row],[Rank]],Stammdaten[Rank Verteilung Krümmung],0))</f>
        <v>#N/A</v>
      </c>
      <c r="U335" t="e">
        <f>VLOOKUP(Tabelle10[[#This Row],[Rank]],Stammdaten[[Rank Verteilung Krümmung]:[Verteilung Krümmung]],2,FALSE)</f>
        <v>#N/A</v>
      </c>
      <c r="Z335">
        <v>326</v>
      </c>
      <c r="AA335" t="e">
        <f>INDEX(Stammdaten[Ovalität (']0,1'])],MATCH(Tabelle1014[[#This Row],[Rank]],Stammdaten[Rank Verteilung Ovalität],0))</f>
        <v>#N/A</v>
      </c>
      <c r="AB335" t="e">
        <f>VLOOKUP(Tabelle1014[[#This Row],[Rank]],Stammdaten[[Rank Verteilung Ovalität]:[Verteilung Ovalität]],2,FALSE)</f>
        <v>#N/A</v>
      </c>
    </row>
    <row r="336" spans="5:28" x14ac:dyDescent="0.35">
      <c r="E336">
        <v>327</v>
      </c>
      <c r="F336" t="e">
        <f>INDEX(Stammdaten[D Mitte mit Rinde (mm)],MATCH(Tabelle8[[#This Row],[Rank]],Stammdaten[Rank Verteilung D Mitte mit Rinde],0))</f>
        <v>#N/A</v>
      </c>
      <c r="G336" t="e">
        <f>VLOOKUP(Tabelle8[[#This Row],[Rank]],Stammdaten[[Rank Verteilung D Mitte mit Rinde]:[Verteilung D Mitte mit Rinde]],2,FALSE)</f>
        <v>#N/A</v>
      </c>
      <c r="L336">
        <v>327</v>
      </c>
      <c r="M336" t="e">
        <f>INDEX(Stammdaten[Abholzigkeit (mm/lfm)],MATCH(Tabelle9[[#This Row],[Rank]],Stammdaten[Rank Verteilung Abholzigkeit],0))</f>
        <v>#N/A</v>
      </c>
      <c r="N336" t="e">
        <f>VLOOKUP(Tabelle9[[#This Row],[Rank]],Stammdaten[[Rank Verteilung Abholzigkeit]:[Verteilung Abholzigkeit]],2,FALSE)</f>
        <v>#N/A</v>
      </c>
      <c r="S336">
        <v>327</v>
      </c>
      <c r="T336" t="e">
        <f>INDEX(Stammdaten[Krümmung (mm/lfm)],MATCH(Tabelle10[[#This Row],[Rank]],Stammdaten[Rank Verteilung Krümmung],0))</f>
        <v>#N/A</v>
      </c>
      <c r="U336" t="e">
        <f>VLOOKUP(Tabelle10[[#This Row],[Rank]],Stammdaten[[Rank Verteilung Krümmung]:[Verteilung Krümmung]],2,FALSE)</f>
        <v>#N/A</v>
      </c>
      <c r="Z336">
        <v>327</v>
      </c>
      <c r="AA336" t="e">
        <f>INDEX(Stammdaten[Ovalität (']0,1'])],MATCH(Tabelle1014[[#This Row],[Rank]],Stammdaten[Rank Verteilung Ovalität],0))</f>
        <v>#N/A</v>
      </c>
      <c r="AB336" t="e">
        <f>VLOOKUP(Tabelle1014[[#This Row],[Rank]],Stammdaten[[Rank Verteilung Ovalität]:[Verteilung Ovalität]],2,FALSE)</f>
        <v>#N/A</v>
      </c>
    </row>
    <row r="337" spans="5:28" x14ac:dyDescent="0.35">
      <c r="E337">
        <v>328</v>
      </c>
      <c r="F337" t="e">
        <f>INDEX(Stammdaten[D Mitte mit Rinde (mm)],MATCH(Tabelle8[[#This Row],[Rank]],Stammdaten[Rank Verteilung D Mitte mit Rinde],0))</f>
        <v>#N/A</v>
      </c>
      <c r="G337" t="e">
        <f>VLOOKUP(Tabelle8[[#This Row],[Rank]],Stammdaten[[Rank Verteilung D Mitte mit Rinde]:[Verteilung D Mitte mit Rinde]],2,FALSE)</f>
        <v>#N/A</v>
      </c>
      <c r="L337">
        <v>328</v>
      </c>
      <c r="M337" t="e">
        <f>INDEX(Stammdaten[Abholzigkeit (mm/lfm)],MATCH(Tabelle9[[#This Row],[Rank]],Stammdaten[Rank Verteilung Abholzigkeit],0))</f>
        <v>#N/A</v>
      </c>
      <c r="N337" t="e">
        <f>VLOOKUP(Tabelle9[[#This Row],[Rank]],Stammdaten[[Rank Verteilung Abholzigkeit]:[Verteilung Abholzigkeit]],2,FALSE)</f>
        <v>#N/A</v>
      </c>
      <c r="S337">
        <v>328</v>
      </c>
      <c r="T337" t="e">
        <f>INDEX(Stammdaten[Krümmung (mm/lfm)],MATCH(Tabelle10[[#This Row],[Rank]],Stammdaten[Rank Verteilung Krümmung],0))</f>
        <v>#N/A</v>
      </c>
      <c r="U337" t="e">
        <f>VLOOKUP(Tabelle10[[#This Row],[Rank]],Stammdaten[[Rank Verteilung Krümmung]:[Verteilung Krümmung]],2,FALSE)</f>
        <v>#N/A</v>
      </c>
      <c r="Z337">
        <v>328</v>
      </c>
      <c r="AA337" t="e">
        <f>INDEX(Stammdaten[Ovalität (']0,1'])],MATCH(Tabelle1014[[#This Row],[Rank]],Stammdaten[Rank Verteilung Ovalität],0))</f>
        <v>#N/A</v>
      </c>
      <c r="AB337" t="e">
        <f>VLOOKUP(Tabelle1014[[#This Row],[Rank]],Stammdaten[[Rank Verteilung Ovalität]:[Verteilung Ovalität]],2,FALSE)</f>
        <v>#N/A</v>
      </c>
    </row>
    <row r="338" spans="5:28" x14ac:dyDescent="0.35">
      <c r="E338">
        <v>329</v>
      </c>
      <c r="F338" t="e">
        <f>INDEX(Stammdaten[D Mitte mit Rinde (mm)],MATCH(Tabelle8[[#This Row],[Rank]],Stammdaten[Rank Verteilung D Mitte mit Rinde],0))</f>
        <v>#N/A</v>
      </c>
      <c r="G338" t="e">
        <f>VLOOKUP(Tabelle8[[#This Row],[Rank]],Stammdaten[[Rank Verteilung D Mitte mit Rinde]:[Verteilung D Mitte mit Rinde]],2,FALSE)</f>
        <v>#N/A</v>
      </c>
      <c r="L338">
        <v>329</v>
      </c>
      <c r="M338" t="e">
        <f>INDEX(Stammdaten[Abholzigkeit (mm/lfm)],MATCH(Tabelle9[[#This Row],[Rank]],Stammdaten[Rank Verteilung Abholzigkeit],0))</f>
        <v>#N/A</v>
      </c>
      <c r="N338" t="e">
        <f>VLOOKUP(Tabelle9[[#This Row],[Rank]],Stammdaten[[Rank Verteilung Abholzigkeit]:[Verteilung Abholzigkeit]],2,FALSE)</f>
        <v>#N/A</v>
      </c>
      <c r="S338">
        <v>329</v>
      </c>
      <c r="T338" t="e">
        <f>INDEX(Stammdaten[Krümmung (mm/lfm)],MATCH(Tabelle10[[#This Row],[Rank]],Stammdaten[Rank Verteilung Krümmung],0))</f>
        <v>#N/A</v>
      </c>
      <c r="U338" t="e">
        <f>VLOOKUP(Tabelle10[[#This Row],[Rank]],Stammdaten[[Rank Verteilung Krümmung]:[Verteilung Krümmung]],2,FALSE)</f>
        <v>#N/A</v>
      </c>
      <c r="Z338">
        <v>329</v>
      </c>
      <c r="AA338" t="e">
        <f>INDEX(Stammdaten[Ovalität (']0,1'])],MATCH(Tabelle1014[[#This Row],[Rank]],Stammdaten[Rank Verteilung Ovalität],0))</f>
        <v>#N/A</v>
      </c>
      <c r="AB338" t="e">
        <f>VLOOKUP(Tabelle1014[[#This Row],[Rank]],Stammdaten[[Rank Verteilung Ovalität]:[Verteilung Ovalität]],2,FALSE)</f>
        <v>#N/A</v>
      </c>
    </row>
    <row r="339" spans="5:28" x14ac:dyDescent="0.35">
      <c r="E339">
        <v>330</v>
      </c>
      <c r="F339" t="e">
        <f>INDEX(Stammdaten[D Mitte mit Rinde (mm)],MATCH(Tabelle8[[#This Row],[Rank]],Stammdaten[Rank Verteilung D Mitte mit Rinde],0))</f>
        <v>#N/A</v>
      </c>
      <c r="G339" t="e">
        <f>VLOOKUP(Tabelle8[[#This Row],[Rank]],Stammdaten[[Rank Verteilung D Mitte mit Rinde]:[Verteilung D Mitte mit Rinde]],2,FALSE)</f>
        <v>#N/A</v>
      </c>
      <c r="L339">
        <v>330</v>
      </c>
      <c r="M339" t="e">
        <f>INDEX(Stammdaten[Abholzigkeit (mm/lfm)],MATCH(Tabelle9[[#This Row],[Rank]],Stammdaten[Rank Verteilung Abholzigkeit],0))</f>
        <v>#N/A</v>
      </c>
      <c r="N339" t="e">
        <f>VLOOKUP(Tabelle9[[#This Row],[Rank]],Stammdaten[[Rank Verteilung Abholzigkeit]:[Verteilung Abholzigkeit]],2,FALSE)</f>
        <v>#N/A</v>
      </c>
      <c r="S339">
        <v>330</v>
      </c>
      <c r="T339" t="e">
        <f>INDEX(Stammdaten[Krümmung (mm/lfm)],MATCH(Tabelle10[[#This Row],[Rank]],Stammdaten[Rank Verteilung Krümmung],0))</f>
        <v>#N/A</v>
      </c>
      <c r="U339" t="e">
        <f>VLOOKUP(Tabelle10[[#This Row],[Rank]],Stammdaten[[Rank Verteilung Krümmung]:[Verteilung Krümmung]],2,FALSE)</f>
        <v>#N/A</v>
      </c>
      <c r="Z339">
        <v>330</v>
      </c>
      <c r="AA339" t="e">
        <f>INDEX(Stammdaten[Ovalität (']0,1'])],MATCH(Tabelle1014[[#This Row],[Rank]],Stammdaten[Rank Verteilung Ovalität],0))</f>
        <v>#N/A</v>
      </c>
      <c r="AB339" t="e">
        <f>VLOOKUP(Tabelle1014[[#This Row],[Rank]],Stammdaten[[Rank Verteilung Ovalität]:[Verteilung Ovalität]],2,FALSE)</f>
        <v>#N/A</v>
      </c>
    </row>
    <row r="340" spans="5:28" x14ac:dyDescent="0.35">
      <c r="E340">
        <v>331</v>
      </c>
      <c r="F340" t="e">
        <f>INDEX(Stammdaten[D Mitte mit Rinde (mm)],MATCH(Tabelle8[[#This Row],[Rank]],Stammdaten[Rank Verteilung D Mitte mit Rinde],0))</f>
        <v>#N/A</v>
      </c>
      <c r="G340" t="e">
        <f>VLOOKUP(Tabelle8[[#This Row],[Rank]],Stammdaten[[Rank Verteilung D Mitte mit Rinde]:[Verteilung D Mitte mit Rinde]],2,FALSE)</f>
        <v>#N/A</v>
      </c>
      <c r="L340">
        <v>331</v>
      </c>
      <c r="M340" t="e">
        <f>INDEX(Stammdaten[Abholzigkeit (mm/lfm)],MATCH(Tabelle9[[#This Row],[Rank]],Stammdaten[Rank Verteilung Abholzigkeit],0))</f>
        <v>#N/A</v>
      </c>
      <c r="N340" t="e">
        <f>VLOOKUP(Tabelle9[[#This Row],[Rank]],Stammdaten[[Rank Verteilung Abholzigkeit]:[Verteilung Abholzigkeit]],2,FALSE)</f>
        <v>#N/A</v>
      </c>
      <c r="S340">
        <v>331</v>
      </c>
      <c r="T340" t="e">
        <f>INDEX(Stammdaten[Krümmung (mm/lfm)],MATCH(Tabelle10[[#This Row],[Rank]],Stammdaten[Rank Verteilung Krümmung],0))</f>
        <v>#N/A</v>
      </c>
      <c r="U340" t="e">
        <f>VLOOKUP(Tabelle10[[#This Row],[Rank]],Stammdaten[[Rank Verteilung Krümmung]:[Verteilung Krümmung]],2,FALSE)</f>
        <v>#N/A</v>
      </c>
      <c r="Z340">
        <v>331</v>
      </c>
      <c r="AA340" t="e">
        <f>INDEX(Stammdaten[Ovalität (']0,1'])],MATCH(Tabelle1014[[#This Row],[Rank]],Stammdaten[Rank Verteilung Ovalität],0))</f>
        <v>#N/A</v>
      </c>
      <c r="AB340" t="e">
        <f>VLOOKUP(Tabelle1014[[#This Row],[Rank]],Stammdaten[[Rank Verteilung Ovalität]:[Verteilung Ovalität]],2,FALSE)</f>
        <v>#N/A</v>
      </c>
    </row>
    <row r="341" spans="5:28" x14ac:dyDescent="0.35">
      <c r="E341">
        <v>332</v>
      </c>
      <c r="F341" t="e">
        <f>INDEX(Stammdaten[D Mitte mit Rinde (mm)],MATCH(Tabelle8[[#This Row],[Rank]],Stammdaten[Rank Verteilung D Mitte mit Rinde],0))</f>
        <v>#N/A</v>
      </c>
      <c r="G341" t="e">
        <f>VLOOKUP(Tabelle8[[#This Row],[Rank]],Stammdaten[[Rank Verteilung D Mitte mit Rinde]:[Verteilung D Mitte mit Rinde]],2,FALSE)</f>
        <v>#N/A</v>
      </c>
      <c r="L341">
        <v>332</v>
      </c>
      <c r="M341" t="e">
        <f>INDEX(Stammdaten[Abholzigkeit (mm/lfm)],MATCH(Tabelle9[[#This Row],[Rank]],Stammdaten[Rank Verteilung Abholzigkeit],0))</f>
        <v>#N/A</v>
      </c>
      <c r="N341" t="e">
        <f>VLOOKUP(Tabelle9[[#This Row],[Rank]],Stammdaten[[Rank Verteilung Abholzigkeit]:[Verteilung Abholzigkeit]],2,FALSE)</f>
        <v>#N/A</v>
      </c>
      <c r="S341">
        <v>332</v>
      </c>
      <c r="T341" t="e">
        <f>INDEX(Stammdaten[Krümmung (mm/lfm)],MATCH(Tabelle10[[#This Row],[Rank]],Stammdaten[Rank Verteilung Krümmung],0))</f>
        <v>#N/A</v>
      </c>
      <c r="U341" t="e">
        <f>VLOOKUP(Tabelle10[[#This Row],[Rank]],Stammdaten[[Rank Verteilung Krümmung]:[Verteilung Krümmung]],2,FALSE)</f>
        <v>#N/A</v>
      </c>
      <c r="Z341">
        <v>332</v>
      </c>
      <c r="AA341" t="e">
        <f>INDEX(Stammdaten[Ovalität (']0,1'])],MATCH(Tabelle1014[[#This Row],[Rank]],Stammdaten[Rank Verteilung Ovalität],0))</f>
        <v>#N/A</v>
      </c>
      <c r="AB341" t="e">
        <f>VLOOKUP(Tabelle1014[[#This Row],[Rank]],Stammdaten[[Rank Verteilung Ovalität]:[Verteilung Ovalität]],2,FALSE)</f>
        <v>#N/A</v>
      </c>
    </row>
    <row r="342" spans="5:28" x14ac:dyDescent="0.35">
      <c r="E342">
        <v>333</v>
      </c>
      <c r="F342" t="e">
        <f>INDEX(Stammdaten[D Mitte mit Rinde (mm)],MATCH(Tabelle8[[#This Row],[Rank]],Stammdaten[Rank Verteilung D Mitte mit Rinde],0))</f>
        <v>#N/A</v>
      </c>
      <c r="G342" t="e">
        <f>VLOOKUP(Tabelle8[[#This Row],[Rank]],Stammdaten[[Rank Verteilung D Mitte mit Rinde]:[Verteilung D Mitte mit Rinde]],2,FALSE)</f>
        <v>#N/A</v>
      </c>
      <c r="L342">
        <v>333</v>
      </c>
      <c r="M342" t="e">
        <f>INDEX(Stammdaten[Abholzigkeit (mm/lfm)],MATCH(Tabelle9[[#This Row],[Rank]],Stammdaten[Rank Verteilung Abholzigkeit],0))</f>
        <v>#N/A</v>
      </c>
      <c r="N342" t="e">
        <f>VLOOKUP(Tabelle9[[#This Row],[Rank]],Stammdaten[[Rank Verteilung Abholzigkeit]:[Verteilung Abholzigkeit]],2,FALSE)</f>
        <v>#N/A</v>
      </c>
      <c r="S342">
        <v>333</v>
      </c>
      <c r="T342" t="e">
        <f>INDEX(Stammdaten[Krümmung (mm/lfm)],MATCH(Tabelle10[[#This Row],[Rank]],Stammdaten[Rank Verteilung Krümmung],0))</f>
        <v>#N/A</v>
      </c>
      <c r="U342" t="e">
        <f>VLOOKUP(Tabelle10[[#This Row],[Rank]],Stammdaten[[Rank Verteilung Krümmung]:[Verteilung Krümmung]],2,FALSE)</f>
        <v>#N/A</v>
      </c>
      <c r="Z342">
        <v>333</v>
      </c>
      <c r="AA342" t="e">
        <f>INDEX(Stammdaten[Ovalität (']0,1'])],MATCH(Tabelle1014[[#This Row],[Rank]],Stammdaten[Rank Verteilung Ovalität],0))</f>
        <v>#N/A</v>
      </c>
      <c r="AB342" t="e">
        <f>VLOOKUP(Tabelle1014[[#This Row],[Rank]],Stammdaten[[Rank Verteilung Ovalität]:[Verteilung Ovalität]],2,FALSE)</f>
        <v>#N/A</v>
      </c>
    </row>
    <row r="343" spans="5:28" x14ac:dyDescent="0.35">
      <c r="E343">
        <v>334</v>
      </c>
      <c r="F343" t="e">
        <f>INDEX(Stammdaten[D Mitte mit Rinde (mm)],MATCH(Tabelle8[[#This Row],[Rank]],Stammdaten[Rank Verteilung D Mitte mit Rinde],0))</f>
        <v>#N/A</v>
      </c>
      <c r="G343" t="e">
        <f>VLOOKUP(Tabelle8[[#This Row],[Rank]],Stammdaten[[Rank Verteilung D Mitte mit Rinde]:[Verteilung D Mitte mit Rinde]],2,FALSE)</f>
        <v>#N/A</v>
      </c>
      <c r="L343">
        <v>334</v>
      </c>
      <c r="M343" t="e">
        <f>INDEX(Stammdaten[Abholzigkeit (mm/lfm)],MATCH(Tabelle9[[#This Row],[Rank]],Stammdaten[Rank Verteilung Abholzigkeit],0))</f>
        <v>#N/A</v>
      </c>
      <c r="N343" t="e">
        <f>VLOOKUP(Tabelle9[[#This Row],[Rank]],Stammdaten[[Rank Verteilung Abholzigkeit]:[Verteilung Abholzigkeit]],2,FALSE)</f>
        <v>#N/A</v>
      </c>
      <c r="S343">
        <v>334</v>
      </c>
      <c r="T343" t="e">
        <f>INDEX(Stammdaten[Krümmung (mm/lfm)],MATCH(Tabelle10[[#This Row],[Rank]],Stammdaten[Rank Verteilung Krümmung],0))</f>
        <v>#N/A</v>
      </c>
      <c r="U343" t="e">
        <f>VLOOKUP(Tabelle10[[#This Row],[Rank]],Stammdaten[[Rank Verteilung Krümmung]:[Verteilung Krümmung]],2,FALSE)</f>
        <v>#N/A</v>
      </c>
      <c r="Z343">
        <v>334</v>
      </c>
      <c r="AA343" t="e">
        <f>INDEX(Stammdaten[Ovalität (']0,1'])],MATCH(Tabelle1014[[#This Row],[Rank]],Stammdaten[Rank Verteilung Ovalität],0))</f>
        <v>#N/A</v>
      </c>
      <c r="AB343" t="e">
        <f>VLOOKUP(Tabelle1014[[#This Row],[Rank]],Stammdaten[[Rank Verteilung Ovalität]:[Verteilung Ovalität]],2,FALSE)</f>
        <v>#N/A</v>
      </c>
    </row>
    <row r="344" spans="5:28" x14ac:dyDescent="0.35">
      <c r="E344">
        <v>335</v>
      </c>
      <c r="F344" t="e">
        <f>INDEX(Stammdaten[D Mitte mit Rinde (mm)],MATCH(Tabelle8[[#This Row],[Rank]],Stammdaten[Rank Verteilung D Mitte mit Rinde],0))</f>
        <v>#N/A</v>
      </c>
      <c r="G344" t="e">
        <f>VLOOKUP(Tabelle8[[#This Row],[Rank]],Stammdaten[[Rank Verteilung D Mitte mit Rinde]:[Verteilung D Mitte mit Rinde]],2,FALSE)</f>
        <v>#N/A</v>
      </c>
      <c r="L344">
        <v>335</v>
      </c>
      <c r="M344" t="e">
        <f>INDEX(Stammdaten[Abholzigkeit (mm/lfm)],MATCH(Tabelle9[[#This Row],[Rank]],Stammdaten[Rank Verteilung Abholzigkeit],0))</f>
        <v>#N/A</v>
      </c>
      <c r="N344" t="e">
        <f>VLOOKUP(Tabelle9[[#This Row],[Rank]],Stammdaten[[Rank Verteilung Abholzigkeit]:[Verteilung Abholzigkeit]],2,FALSE)</f>
        <v>#N/A</v>
      </c>
      <c r="S344">
        <v>335</v>
      </c>
      <c r="T344" t="e">
        <f>INDEX(Stammdaten[Krümmung (mm/lfm)],MATCH(Tabelle10[[#This Row],[Rank]],Stammdaten[Rank Verteilung Krümmung],0))</f>
        <v>#N/A</v>
      </c>
      <c r="U344" t="e">
        <f>VLOOKUP(Tabelle10[[#This Row],[Rank]],Stammdaten[[Rank Verteilung Krümmung]:[Verteilung Krümmung]],2,FALSE)</f>
        <v>#N/A</v>
      </c>
      <c r="Z344">
        <v>335</v>
      </c>
      <c r="AA344" t="e">
        <f>INDEX(Stammdaten[Ovalität (']0,1'])],MATCH(Tabelle1014[[#This Row],[Rank]],Stammdaten[Rank Verteilung Ovalität],0))</f>
        <v>#N/A</v>
      </c>
      <c r="AB344" t="e">
        <f>VLOOKUP(Tabelle1014[[#This Row],[Rank]],Stammdaten[[Rank Verteilung Ovalität]:[Verteilung Ovalität]],2,FALSE)</f>
        <v>#N/A</v>
      </c>
    </row>
    <row r="345" spans="5:28" x14ac:dyDescent="0.35">
      <c r="E345">
        <v>336</v>
      </c>
      <c r="F345" t="e">
        <f>INDEX(Stammdaten[D Mitte mit Rinde (mm)],MATCH(Tabelle8[[#This Row],[Rank]],Stammdaten[Rank Verteilung D Mitte mit Rinde],0))</f>
        <v>#N/A</v>
      </c>
      <c r="G345" t="e">
        <f>VLOOKUP(Tabelle8[[#This Row],[Rank]],Stammdaten[[Rank Verteilung D Mitte mit Rinde]:[Verteilung D Mitte mit Rinde]],2,FALSE)</f>
        <v>#N/A</v>
      </c>
      <c r="L345">
        <v>336</v>
      </c>
      <c r="M345" t="e">
        <f>INDEX(Stammdaten[Abholzigkeit (mm/lfm)],MATCH(Tabelle9[[#This Row],[Rank]],Stammdaten[Rank Verteilung Abholzigkeit],0))</f>
        <v>#N/A</v>
      </c>
      <c r="N345" t="e">
        <f>VLOOKUP(Tabelle9[[#This Row],[Rank]],Stammdaten[[Rank Verteilung Abholzigkeit]:[Verteilung Abholzigkeit]],2,FALSE)</f>
        <v>#N/A</v>
      </c>
      <c r="S345">
        <v>336</v>
      </c>
      <c r="T345" t="e">
        <f>INDEX(Stammdaten[Krümmung (mm/lfm)],MATCH(Tabelle10[[#This Row],[Rank]],Stammdaten[Rank Verteilung Krümmung],0))</f>
        <v>#N/A</v>
      </c>
      <c r="U345" t="e">
        <f>VLOOKUP(Tabelle10[[#This Row],[Rank]],Stammdaten[[Rank Verteilung Krümmung]:[Verteilung Krümmung]],2,FALSE)</f>
        <v>#N/A</v>
      </c>
      <c r="Z345">
        <v>336</v>
      </c>
      <c r="AA345" t="e">
        <f>INDEX(Stammdaten[Ovalität (']0,1'])],MATCH(Tabelle1014[[#This Row],[Rank]],Stammdaten[Rank Verteilung Ovalität],0))</f>
        <v>#N/A</v>
      </c>
      <c r="AB345" t="e">
        <f>VLOOKUP(Tabelle1014[[#This Row],[Rank]],Stammdaten[[Rank Verteilung Ovalität]:[Verteilung Ovalität]],2,FALSE)</f>
        <v>#N/A</v>
      </c>
    </row>
    <row r="346" spans="5:28" x14ac:dyDescent="0.35">
      <c r="E346">
        <v>337</v>
      </c>
      <c r="F346" t="e">
        <f>INDEX(Stammdaten[D Mitte mit Rinde (mm)],MATCH(Tabelle8[[#This Row],[Rank]],Stammdaten[Rank Verteilung D Mitte mit Rinde],0))</f>
        <v>#N/A</v>
      </c>
      <c r="G346" t="e">
        <f>VLOOKUP(Tabelle8[[#This Row],[Rank]],Stammdaten[[Rank Verteilung D Mitte mit Rinde]:[Verteilung D Mitte mit Rinde]],2,FALSE)</f>
        <v>#N/A</v>
      </c>
      <c r="L346">
        <v>337</v>
      </c>
      <c r="M346" t="e">
        <f>INDEX(Stammdaten[Abholzigkeit (mm/lfm)],MATCH(Tabelle9[[#This Row],[Rank]],Stammdaten[Rank Verteilung Abholzigkeit],0))</f>
        <v>#N/A</v>
      </c>
      <c r="N346" t="e">
        <f>VLOOKUP(Tabelle9[[#This Row],[Rank]],Stammdaten[[Rank Verteilung Abholzigkeit]:[Verteilung Abholzigkeit]],2,FALSE)</f>
        <v>#N/A</v>
      </c>
      <c r="S346">
        <v>337</v>
      </c>
      <c r="T346" t="e">
        <f>INDEX(Stammdaten[Krümmung (mm/lfm)],MATCH(Tabelle10[[#This Row],[Rank]],Stammdaten[Rank Verteilung Krümmung],0))</f>
        <v>#N/A</v>
      </c>
      <c r="U346" t="e">
        <f>VLOOKUP(Tabelle10[[#This Row],[Rank]],Stammdaten[[Rank Verteilung Krümmung]:[Verteilung Krümmung]],2,FALSE)</f>
        <v>#N/A</v>
      </c>
      <c r="Z346">
        <v>337</v>
      </c>
      <c r="AA346" t="e">
        <f>INDEX(Stammdaten[Ovalität (']0,1'])],MATCH(Tabelle1014[[#This Row],[Rank]],Stammdaten[Rank Verteilung Ovalität],0))</f>
        <v>#N/A</v>
      </c>
      <c r="AB346" t="e">
        <f>VLOOKUP(Tabelle1014[[#This Row],[Rank]],Stammdaten[[Rank Verteilung Ovalität]:[Verteilung Ovalität]],2,FALSE)</f>
        <v>#N/A</v>
      </c>
    </row>
    <row r="347" spans="5:28" x14ac:dyDescent="0.35">
      <c r="E347">
        <v>338</v>
      </c>
      <c r="F347" t="e">
        <f>INDEX(Stammdaten[D Mitte mit Rinde (mm)],MATCH(Tabelle8[[#This Row],[Rank]],Stammdaten[Rank Verteilung D Mitte mit Rinde],0))</f>
        <v>#N/A</v>
      </c>
      <c r="G347" t="e">
        <f>VLOOKUP(Tabelle8[[#This Row],[Rank]],Stammdaten[[Rank Verteilung D Mitte mit Rinde]:[Verteilung D Mitte mit Rinde]],2,FALSE)</f>
        <v>#N/A</v>
      </c>
      <c r="L347">
        <v>338</v>
      </c>
      <c r="M347" t="e">
        <f>INDEX(Stammdaten[Abholzigkeit (mm/lfm)],MATCH(Tabelle9[[#This Row],[Rank]],Stammdaten[Rank Verteilung Abholzigkeit],0))</f>
        <v>#N/A</v>
      </c>
      <c r="N347" t="e">
        <f>VLOOKUP(Tabelle9[[#This Row],[Rank]],Stammdaten[[Rank Verteilung Abholzigkeit]:[Verteilung Abholzigkeit]],2,FALSE)</f>
        <v>#N/A</v>
      </c>
      <c r="S347">
        <v>338</v>
      </c>
      <c r="T347" t="e">
        <f>INDEX(Stammdaten[Krümmung (mm/lfm)],MATCH(Tabelle10[[#This Row],[Rank]],Stammdaten[Rank Verteilung Krümmung],0))</f>
        <v>#N/A</v>
      </c>
      <c r="U347" t="e">
        <f>VLOOKUP(Tabelle10[[#This Row],[Rank]],Stammdaten[[Rank Verteilung Krümmung]:[Verteilung Krümmung]],2,FALSE)</f>
        <v>#N/A</v>
      </c>
      <c r="Z347">
        <v>338</v>
      </c>
      <c r="AA347" t="e">
        <f>INDEX(Stammdaten[Ovalität (']0,1'])],MATCH(Tabelle1014[[#This Row],[Rank]],Stammdaten[Rank Verteilung Ovalität],0))</f>
        <v>#N/A</v>
      </c>
      <c r="AB347" t="e">
        <f>VLOOKUP(Tabelle1014[[#This Row],[Rank]],Stammdaten[[Rank Verteilung Ovalität]:[Verteilung Ovalität]],2,FALSE)</f>
        <v>#N/A</v>
      </c>
    </row>
    <row r="348" spans="5:28" x14ac:dyDescent="0.35">
      <c r="E348">
        <v>339</v>
      </c>
      <c r="F348" t="e">
        <f>INDEX(Stammdaten[D Mitte mit Rinde (mm)],MATCH(Tabelle8[[#This Row],[Rank]],Stammdaten[Rank Verteilung D Mitte mit Rinde],0))</f>
        <v>#N/A</v>
      </c>
      <c r="G348" t="e">
        <f>VLOOKUP(Tabelle8[[#This Row],[Rank]],Stammdaten[[Rank Verteilung D Mitte mit Rinde]:[Verteilung D Mitte mit Rinde]],2,FALSE)</f>
        <v>#N/A</v>
      </c>
      <c r="L348">
        <v>339</v>
      </c>
      <c r="M348" t="e">
        <f>INDEX(Stammdaten[Abholzigkeit (mm/lfm)],MATCH(Tabelle9[[#This Row],[Rank]],Stammdaten[Rank Verteilung Abholzigkeit],0))</f>
        <v>#N/A</v>
      </c>
      <c r="N348" t="e">
        <f>VLOOKUP(Tabelle9[[#This Row],[Rank]],Stammdaten[[Rank Verteilung Abholzigkeit]:[Verteilung Abholzigkeit]],2,FALSE)</f>
        <v>#N/A</v>
      </c>
      <c r="S348">
        <v>339</v>
      </c>
      <c r="T348" t="e">
        <f>INDEX(Stammdaten[Krümmung (mm/lfm)],MATCH(Tabelle10[[#This Row],[Rank]],Stammdaten[Rank Verteilung Krümmung],0))</f>
        <v>#N/A</v>
      </c>
      <c r="U348" t="e">
        <f>VLOOKUP(Tabelle10[[#This Row],[Rank]],Stammdaten[[Rank Verteilung Krümmung]:[Verteilung Krümmung]],2,FALSE)</f>
        <v>#N/A</v>
      </c>
      <c r="Z348">
        <v>339</v>
      </c>
      <c r="AA348" t="e">
        <f>INDEX(Stammdaten[Ovalität (']0,1'])],MATCH(Tabelle1014[[#This Row],[Rank]],Stammdaten[Rank Verteilung Ovalität],0))</f>
        <v>#N/A</v>
      </c>
      <c r="AB348" t="e">
        <f>VLOOKUP(Tabelle1014[[#This Row],[Rank]],Stammdaten[[Rank Verteilung Ovalität]:[Verteilung Ovalität]],2,FALSE)</f>
        <v>#N/A</v>
      </c>
    </row>
    <row r="349" spans="5:28" x14ac:dyDescent="0.35">
      <c r="E349">
        <v>340</v>
      </c>
      <c r="F349" t="e">
        <f>INDEX(Stammdaten[D Mitte mit Rinde (mm)],MATCH(Tabelle8[[#This Row],[Rank]],Stammdaten[Rank Verteilung D Mitte mit Rinde],0))</f>
        <v>#N/A</v>
      </c>
      <c r="G349" t="e">
        <f>VLOOKUP(Tabelle8[[#This Row],[Rank]],Stammdaten[[Rank Verteilung D Mitte mit Rinde]:[Verteilung D Mitte mit Rinde]],2,FALSE)</f>
        <v>#N/A</v>
      </c>
      <c r="L349">
        <v>340</v>
      </c>
      <c r="M349" t="e">
        <f>INDEX(Stammdaten[Abholzigkeit (mm/lfm)],MATCH(Tabelle9[[#This Row],[Rank]],Stammdaten[Rank Verteilung Abholzigkeit],0))</f>
        <v>#N/A</v>
      </c>
      <c r="N349" t="e">
        <f>VLOOKUP(Tabelle9[[#This Row],[Rank]],Stammdaten[[Rank Verteilung Abholzigkeit]:[Verteilung Abholzigkeit]],2,FALSE)</f>
        <v>#N/A</v>
      </c>
      <c r="S349">
        <v>340</v>
      </c>
      <c r="T349" t="e">
        <f>INDEX(Stammdaten[Krümmung (mm/lfm)],MATCH(Tabelle10[[#This Row],[Rank]],Stammdaten[Rank Verteilung Krümmung],0))</f>
        <v>#N/A</v>
      </c>
      <c r="U349" t="e">
        <f>VLOOKUP(Tabelle10[[#This Row],[Rank]],Stammdaten[[Rank Verteilung Krümmung]:[Verteilung Krümmung]],2,FALSE)</f>
        <v>#N/A</v>
      </c>
      <c r="Z349">
        <v>340</v>
      </c>
      <c r="AA349" t="e">
        <f>INDEX(Stammdaten[Ovalität (']0,1'])],MATCH(Tabelle1014[[#This Row],[Rank]],Stammdaten[Rank Verteilung Ovalität],0))</f>
        <v>#N/A</v>
      </c>
      <c r="AB349" t="e">
        <f>VLOOKUP(Tabelle1014[[#This Row],[Rank]],Stammdaten[[Rank Verteilung Ovalität]:[Verteilung Ovalität]],2,FALSE)</f>
        <v>#N/A</v>
      </c>
    </row>
    <row r="350" spans="5:28" x14ac:dyDescent="0.35">
      <c r="E350">
        <v>341</v>
      </c>
      <c r="F350" t="e">
        <f>INDEX(Stammdaten[D Mitte mit Rinde (mm)],MATCH(Tabelle8[[#This Row],[Rank]],Stammdaten[Rank Verteilung D Mitte mit Rinde],0))</f>
        <v>#N/A</v>
      </c>
      <c r="G350" t="e">
        <f>VLOOKUP(Tabelle8[[#This Row],[Rank]],Stammdaten[[Rank Verteilung D Mitte mit Rinde]:[Verteilung D Mitte mit Rinde]],2,FALSE)</f>
        <v>#N/A</v>
      </c>
      <c r="L350">
        <v>341</v>
      </c>
      <c r="M350" t="e">
        <f>INDEX(Stammdaten[Abholzigkeit (mm/lfm)],MATCH(Tabelle9[[#This Row],[Rank]],Stammdaten[Rank Verteilung Abholzigkeit],0))</f>
        <v>#N/A</v>
      </c>
      <c r="N350" t="e">
        <f>VLOOKUP(Tabelle9[[#This Row],[Rank]],Stammdaten[[Rank Verteilung Abholzigkeit]:[Verteilung Abholzigkeit]],2,FALSE)</f>
        <v>#N/A</v>
      </c>
      <c r="S350">
        <v>341</v>
      </c>
      <c r="T350" t="e">
        <f>INDEX(Stammdaten[Krümmung (mm/lfm)],MATCH(Tabelle10[[#This Row],[Rank]],Stammdaten[Rank Verteilung Krümmung],0))</f>
        <v>#N/A</v>
      </c>
      <c r="U350" t="e">
        <f>VLOOKUP(Tabelle10[[#This Row],[Rank]],Stammdaten[[Rank Verteilung Krümmung]:[Verteilung Krümmung]],2,FALSE)</f>
        <v>#N/A</v>
      </c>
      <c r="Z350">
        <v>341</v>
      </c>
      <c r="AA350" t="e">
        <f>INDEX(Stammdaten[Ovalität (']0,1'])],MATCH(Tabelle1014[[#This Row],[Rank]],Stammdaten[Rank Verteilung Ovalität],0))</f>
        <v>#N/A</v>
      </c>
      <c r="AB350" t="e">
        <f>VLOOKUP(Tabelle1014[[#This Row],[Rank]],Stammdaten[[Rank Verteilung Ovalität]:[Verteilung Ovalität]],2,FALSE)</f>
        <v>#N/A</v>
      </c>
    </row>
    <row r="351" spans="5:28" x14ac:dyDescent="0.35">
      <c r="E351">
        <v>342</v>
      </c>
      <c r="F351" t="e">
        <f>INDEX(Stammdaten[D Mitte mit Rinde (mm)],MATCH(Tabelle8[[#This Row],[Rank]],Stammdaten[Rank Verteilung D Mitte mit Rinde],0))</f>
        <v>#N/A</v>
      </c>
      <c r="G351" t="e">
        <f>VLOOKUP(Tabelle8[[#This Row],[Rank]],Stammdaten[[Rank Verteilung D Mitte mit Rinde]:[Verteilung D Mitte mit Rinde]],2,FALSE)</f>
        <v>#N/A</v>
      </c>
      <c r="L351">
        <v>342</v>
      </c>
      <c r="M351" t="e">
        <f>INDEX(Stammdaten[Abholzigkeit (mm/lfm)],MATCH(Tabelle9[[#This Row],[Rank]],Stammdaten[Rank Verteilung Abholzigkeit],0))</f>
        <v>#N/A</v>
      </c>
      <c r="N351" t="e">
        <f>VLOOKUP(Tabelle9[[#This Row],[Rank]],Stammdaten[[Rank Verteilung Abholzigkeit]:[Verteilung Abholzigkeit]],2,FALSE)</f>
        <v>#N/A</v>
      </c>
      <c r="S351">
        <v>342</v>
      </c>
      <c r="T351" t="e">
        <f>INDEX(Stammdaten[Krümmung (mm/lfm)],MATCH(Tabelle10[[#This Row],[Rank]],Stammdaten[Rank Verteilung Krümmung],0))</f>
        <v>#N/A</v>
      </c>
      <c r="U351" t="e">
        <f>VLOOKUP(Tabelle10[[#This Row],[Rank]],Stammdaten[[Rank Verteilung Krümmung]:[Verteilung Krümmung]],2,FALSE)</f>
        <v>#N/A</v>
      </c>
      <c r="Z351">
        <v>342</v>
      </c>
      <c r="AA351" t="e">
        <f>INDEX(Stammdaten[Ovalität (']0,1'])],MATCH(Tabelle1014[[#This Row],[Rank]],Stammdaten[Rank Verteilung Ovalität],0))</f>
        <v>#N/A</v>
      </c>
      <c r="AB351" t="e">
        <f>VLOOKUP(Tabelle1014[[#This Row],[Rank]],Stammdaten[[Rank Verteilung Ovalität]:[Verteilung Ovalität]],2,FALSE)</f>
        <v>#N/A</v>
      </c>
    </row>
    <row r="352" spans="5:28" x14ac:dyDescent="0.35">
      <c r="E352">
        <v>343</v>
      </c>
      <c r="F352" t="e">
        <f>INDEX(Stammdaten[D Mitte mit Rinde (mm)],MATCH(Tabelle8[[#This Row],[Rank]],Stammdaten[Rank Verteilung D Mitte mit Rinde],0))</f>
        <v>#N/A</v>
      </c>
      <c r="G352" t="e">
        <f>VLOOKUP(Tabelle8[[#This Row],[Rank]],Stammdaten[[Rank Verteilung D Mitte mit Rinde]:[Verteilung D Mitte mit Rinde]],2,FALSE)</f>
        <v>#N/A</v>
      </c>
      <c r="L352">
        <v>343</v>
      </c>
      <c r="M352" t="e">
        <f>INDEX(Stammdaten[Abholzigkeit (mm/lfm)],MATCH(Tabelle9[[#This Row],[Rank]],Stammdaten[Rank Verteilung Abholzigkeit],0))</f>
        <v>#N/A</v>
      </c>
      <c r="N352" t="e">
        <f>VLOOKUP(Tabelle9[[#This Row],[Rank]],Stammdaten[[Rank Verteilung Abholzigkeit]:[Verteilung Abholzigkeit]],2,FALSE)</f>
        <v>#N/A</v>
      </c>
      <c r="S352">
        <v>343</v>
      </c>
      <c r="T352" t="e">
        <f>INDEX(Stammdaten[Krümmung (mm/lfm)],MATCH(Tabelle10[[#This Row],[Rank]],Stammdaten[Rank Verteilung Krümmung],0))</f>
        <v>#N/A</v>
      </c>
      <c r="U352" t="e">
        <f>VLOOKUP(Tabelle10[[#This Row],[Rank]],Stammdaten[[Rank Verteilung Krümmung]:[Verteilung Krümmung]],2,FALSE)</f>
        <v>#N/A</v>
      </c>
      <c r="Z352">
        <v>343</v>
      </c>
      <c r="AA352" t="e">
        <f>INDEX(Stammdaten[Ovalität (']0,1'])],MATCH(Tabelle1014[[#This Row],[Rank]],Stammdaten[Rank Verteilung Ovalität],0))</f>
        <v>#N/A</v>
      </c>
      <c r="AB352" t="e">
        <f>VLOOKUP(Tabelle1014[[#This Row],[Rank]],Stammdaten[[Rank Verteilung Ovalität]:[Verteilung Ovalität]],2,FALSE)</f>
        <v>#N/A</v>
      </c>
    </row>
    <row r="353" spans="5:28" x14ac:dyDescent="0.35">
      <c r="E353">
        <v>344</v>
      </c>
      <c r="F353" t="e">
        <f>INDEX(Stammdaten[D Mitte mit Rinde (mm)],MATCH(Tabelle8[[#This Row],[Rank]],Stammdaten[Rank Verteilung D Mitte mit Rinde],0))</f>
        <v>#N/A</v>
      </c>
      <c r="G353" t="e">
        <f>VLOOKUP(Tabelle8[[#This Row],[Rank]],Stammdaten[[Rank Verteilung D Mitte mit Rinde]:[Verteilung D Mitte mit Rinde]],2,FALSE)</f>
        <v>#N/A</v>
      </c>
      <c r="L353">
        <v>344</v>
      </c>
      <c r="M353" t="e">
        <f>INDEX(Stammdaten[Abholzigkeit (mm/lfm)],MATCH(Tabelle9[[#This Row],[Rank]],Stammdaten[Rank Verteilung Abholzigkeit],0))</f>
        <v>#N/A</v>
      </c>
      <c r="N353" t="e">
        <f>VLOOKUP(Tabelle9[[#This Row],[Rank]],Stammdaten[[Rank Verteilung Abholzigkeit]:[Verteilung Abholzigkeit]],2,FALSE)</f>
        <v>#N/A</v>
      </c>
      <c r="S353">
        <v>344</v>
      </c>
      <c r="T353" t="e">
        <f>INDEX(Stammdaten[Krümmung (mm/lfm)],MATCH(Tabelle10[[#This Row],[Rank]],Stammdaten[Rank Verteilung Krümmung],0))</f>
        <v>#N/A</v>
      </c>
      <c r="U353" t="e">
        <f>VLOOKUP(Tabelle10[[#This Row],[Rank]],Stammdaten[[Rank Verteilung Krümmung]:[Verteilung Krümmung]],2,FALSE)</f>
        <v>#N/A</v>
      </c>
      <c r="Z353">
        <v>344</v>
      </c>
      <c r="AA353" t="e">
        <f>INDEX(Stammdaten[Ovalität (']0,1'])],MATCH(Tabelle1014[[#This Row],[Rank]],Stammdaten[Rank Verteilung Ovalität],0))</f>
        <v>#N/A</v>
      </c>
      <c r="AB353" t="e">
        <f>VLOOKUP(Tabelle1014[[#This Row],[Rank]],Stammdaten[[Rank Verteilung Ovalität]:[Verteilung Ovalität]],2,FALSE)</f>
        <v>#N/A</v>
      </c>
    </row>
    <row r="354" spans="5:28" x14ac:dyDescent="0.35">
      <c r="E354">
        <v>345</v>
      </c>
      <c r="F354" t="e">
        <f>INDEX(Stammdaten[D Mitte mit Rinde (mm)],MATCH(Tabelle8[[#This Row],[Rank]],Stammdaten[Rank Verteilung D Mitte mit Rinde],0))</f>
        <v>#N/A</v>
      </c>
      <c r="G354" t="e">
        <f>VLOOKUP(Tabelle8[[#This Row],[Rank]],Stammdaten[[Rank Verteilung D Mitte mit Rinde]:[Verteilung D Mitte mit Rinde]],2,FALSE)</f>
        <v>#N/A</v>
      </c>
      <c r="L354">
        <v>345</v>
      </c>
      <c r="M354" t="e">
        <f>INDEX(Stammdaten[Abholzigkeit (mm/lfm)],MATCH(Tabelle9[[#This Row],[Rank]],Stammdaten[Rank Verteilung Abholzigkeit],0))</f>
        <v>#N/A</v>
      </c>
      <c r="N354" t="e">
        <f>VLOOKUP(Tabelle9[[#This Row],[Rank]],Stammdaten[[Rank Verteilung Abholzigkeit]:[Verteilung Abholzigkeit]],2,FALSE)</f>
        <v>#N/A</v>
      </c>
      <c r="S354">
        <v>345</v>
      </c>
      <c r="T354" t="e">
        <f>INDEX(Stammdaten[Krümmung (mm/lfm)],MATCH(Tabelle10[[#This Row],[Rank]],Stammdaten[Rank Verteilung Krümmung],0))</f>
        <v>#N/A</v>
      </c>
      <c r="U354" t="e">
        <f>VLOOKUP(Tabelle10[[#This Row],[Rank]],Stammdaten[[Rank Verteilung Krümmung]:[Verteilung Krümmung]],2,FALSE)</f>
        <v>#N/A</v>
      </c>
      <c r="Z354">
        <v>345</v>
      </c>
      <c r="AA354" t="e">
        <f>INDEX(Stammdaten[Ovalität (']0,1'])],MATCH(Tabelle1014[[#This Row],[Rank]],Stammdaten[Rank Verteilung Ovalität],0))</f>
        <v>#N/A</v>
      </c>
      <c r="AB354" t="e">
        <f>VLOOKUP(Tabelle1014[[#This Row],[Rank]],Stammdaten[[Rank Verteilung Ovalität]:[Verteilung Ovalität]],2,FALSE)</f>
        <v>#N/A</v>
      </c>
    </row>
    <row r="355" spans="5:28" x14ac:dyDescent="0.35">
      <c r="E355">
        <v>346</v>
      </c>
      <c r="F355" t="e">
        <f>INDEX(Stammdaten[D Mitte mit Rinde (mm)],MATCH(Tabelle8[[#This Row],[Rank]],Stammdaten[Rank Verteilung D Mitte mit Rinde],0))</f>
        <v>#N/A</v>
      </c>
      <c r="G355" t="e">
        <f>VLOOKUP(Tabelle8[[#This Row],[Rank]],Stammdaten[[Rank Verteilung D Mitte mit Rinde]:[Verteilung D Mitte mit Rinde]],2,FALSE)</f>
        <v>#N/A</v>
      </c>
      <c r="L355">
        <v>346</v>
      </c>
      <c r="M355" t="e">
        <f>INDEX(Stammdaten[Abholzigkeit (mm/lfm)],MATCH(Tabelle9[[#This Row],[Rank]],Stammdaten[Rank Verteilung Abholzigkeit],0))</f>
        <v>#N/A</v>
      </c>
      <c r="N355" t="e">
        <f>VLOOKUP(Tabelle9[[#This Row],[Rank]],Stammdaten[[Rank Verteilung Abholzigkeit]:[Verteilung Abholzigkeit]],2,FALSE)</f>
        <v>#N/A</v>
      </c>
      <c r="S355">
        <v>346</v>
      </c>
      <c r="T355" t="e">
        <f>INDEX(Stammdaten[Krümmung (mm/lfm)],MATCH(Tabelle10[[#This Row],[Rank]],Stammdaten[Rank Verteilung Krümmung],0))</f>
        <v>#N/A</v>
      </c>
      <c r="U355" t="e">
        <f>VLOOKUP(Tabelle10[[#This Row],[Rank]],Stammdaten[[Rank Verteilung Krümmung]:[Verteilung Krümmung]],2,FALSE)</f>
        <v>#N/A</v>
      </c>
      <c r="Z355">
        <v>346</v>
      </c>
      <c r="AA355" t="e">
        <f>INDEX(Stammdaten[Ovalität (']0,1'])],MATCH(Tabelle1014[[#This Row],[Rank]],Stammdaten[Rank Verteilung Ovalität],0))</f>
        <v>#N/A</v>
      </c>
      <c r="AB355" t="e">
        <f>VLOOKUP(Tabelle1014[[#This Row],[Rank]],Stammdaten[[Rank Verteilung Ovalität]:[Verteilung Ovalität]],2,FALSE)</f>
        <v>#N/A</v>
      </c>
    </row>
    <row r="356" spans="5:28" x14ac:dyDescent="0.35">
      <c r="E356">
        <v>347</v>
      </c>
      <c r="F356" t="e">
        <f>INDEX(Stammdaten[D Mitte mit Rinde (mm)],MATCH(Tabelle8[[#This Row],[Rank]],Stammdaten[Rank Verteilung D Mitte mit Rinde],0))</f>
        <v>#N/A</v>
      </c>
      <c r="G356" t="e">
        <f>VLOOKUP(Tabelle8[[#This Row],[Rank]],Stammdaten[[Rank Verteilung D Mitte mit Rinde]:[Verteilung D Mitte mit Rinde]],2,FALSE)</f>
        <v>#N/A</v>
      </c>
      <c r="L356">
        <v>347</v>
      </c>
      <c r="M356" t="e">
        <f>INDEX(Stammdaten[Abholzigkeit (mm/lfm)],MATCH(Tabelle9[[#This Row],[Rank]],Stammdaten[Rank Verteilung Abholzigkeit],0))</f>
        <v>#N/A</v>
      </c>
      <c r="N356" t="e">
        <f>VLOOKUP(Tabelle9[[#This Row],[Rank]],Stammdaten[[Rank Verteilung Abholzigkeit]:[Verteilung Abholzigkeit]],2,FALSE)</f>
        <v>#N/A</v>
      </c>
      <c r="S356">
        <v>347</v>
      </c>
      <c r="T356" t="e">
        <f>INDEX(Stammdaten[Krümmung (mm/lfm)],MATCH(Tabelle10[[#This Row],[Rank]],Stammdaten[Rank Verteilung Krümmung],0))</f>
        <v>#N/A</v>
      </c>
      <c r="U356" t="e">
        <f>VLOOKUP(Tabelle10[[#This Row],[Rank]],Stammdaten[[Rank Verteilung Krümmung]:[Verteilung Krümmung]],2,FALSE)</f>
        <v>#N/A</v>
      </c>
      <c r="Z356">
        <v>347</v>
      </c>
      <c r="AA356" t="e">
        <f>INDEX(Stammdaten[Ovalität (']0,1'])],MATCH(Tabelle1014[[#This Row],[Rank]],Stammdaten[Rank Verteilung Ovalität],0))</f>
        <v>#N/A</v>
      </c>
      <c r="AB356" t="e">
        <f>VLOOKUP(Tabelle1014[[#This Row],[Rank]],Stammdaten[[Rank Verteilung Ovalität]:[Verteilung Ovalität]],2,FALSE)</f>
        <v>#N/A</v>
      </c>
    </row>
    <row r="357" spans="5:28" x14ac:dyDescent="0.35">
      <c r="E357">
        <v>348</v>
      </c>
      <c r="F357" t="e">
        <f>INDEX(Stammdaten[D Mitte mit Rinde (mm)],MATCH(Tabelle8[[#This Row],[Rank]],Stammdaten[Rank Verteilung D Mitte mit Rinde],0))</f>
        <v>#N/A</v>
      </c>
      <c r="G357" t="e">
        <f>VLOOKUP(Tabelle8[[#This Row],[Rank]],Stammdaten[[Rank Verteilung D Mitte mit Rinde]:[Verteilung D Mitte mit Rinde]],2,FALSE)</f>
        <v>#N/A</v>
      </c>
      <c r="L357">
        <v>348</v>
      </c>
      <c r="M357" t="e">
        <f>INDEX(Stammdaten[Abholzigkeit (mm/lfm)],MATCH(Tabelle9[[#This Row],[Rank]],Stammdaten[Rank Verteilung Abholzigkeit],0))</f>
        <v>#N/A</v>
      </c>
      <c r="N357" t="e">
        <f>VLOOKUP(Tabelle9[[#This Row],[Rank]],Stammdaten[[Rank Verteilung Abholzigkeit]:[Verteilung Abholzigkeit]],2,FALSE)</f>
        <v>#N/A</v>
      </c>
      <c r="S357">
        <v>348</v>
      </c>
      <c r="T357" t="e">
        <f>INDEX(Stammdaten[Krümmung (mm/lfm)],MATCH(Tabelle10[[#This Row],[Rank]],Stammdaten[Rank Verteilung Krümmung],0))</f>
        <v>#N/A</v>
      </c>
      <c r="U357" t="e">
        <f>VLOOKUP(Tabelle10[[#This Row],[Rank]],Stammdaten[[Rank Verteilung Krümmung]:[Verteilung Krümmung]],2,FALSE)</f>
        <v>#N/A</v>
      </c>
      <c r="Z357">
        <v>348</v>
      </c>
      <c r="AA357" t="e">
        <f>INDEX(Stammdaten[Ovalität (']0,1'])],MATCH(Tabelle1014[[#This Row],[Rank]],Stammdaten[Rank Verteilung Ovalität],0))</f>
        <v>#N/A</v>
      </c>
      <c r="AB357" t="e">
        <f>VLOOKUP(Tabelle1014[[#This Row],[Rank]],Stammdaten[[Rank Verteilung Ovalität]:[Verteilung Ovalität]],2,FALSE)</f>
        <v>#N/A</v>
      </c>
    </row>
    <row r="358" spans="5:28" x14ac:dyDescent="0.35">
      <c r="E358">
        <v>349</v>
      </c>
      <c r="F358" t="e">
        <f>INDEX(Stammdaten[D Mitte mit Rinde (mm)],MATCH(Tabelle8[[#This Row],[Rank]],Stammdaten[Rank Verteilung D Mitte mit Rinde],0))</f>
        <v>#N/A</v>
      </c>
      <c r="G358" t="e">
        <f>VLOOKUP(Tabelle8[[#This Row],[Rank]],Stammdaten[[Rank Verteilung D Mitte mit Rinde]:[Verteilung D Mitte mit Rinde]],2,FALSE)</f>
        <v>#N/A</v>
      </c>
      <c r="L358">
        <v>349</v>
      </c>
      <c r="M358" t="e">
        <f>INDEX(Stammdaten[Abholzigkeit (mm/lfm)],MATCH(Tabelle9[[#This Row],[Rank]],Stammdaten[Rank Verteilung Abholzigkeit],0))</f>
        <v>#N/A</v>
      </c>
      <c r="N358" t="e">
        <f>VLOOKUP(Tabelle9[[#This Row],[Rank]],Stammdaten[[Rank Verteilung Abholzigkeit]:[Verteilung Abholzigkeit]],2,FALSE)</f>
        <v>#N/A</v>
      </c>
      <c r="S358">
        <v>349</v>
      </c>
      <c r="T358" t="e">
        <f>INDEX(Stammdaten[Krümmung (mm/lfm)],MATCH(Tabelle10[[#This Row],[Rank]],Stammdaten[Rank Verteilung Krümmung],0))</f>
        <v>#N/A</v>
      </c>
      <c r="U358" t="e">
        <f>VLOOKUP(Tabelle10[[#This Row],[Rank]],Stammdaten[[Rank Verteilung Krümmung]:[Verteilung Krümmung]],2,FALSE)</f>
        <v>#N/A</v>
      </c>
      <c r="Z358">
        <v>349</v>
      </c>
      <c r="AA358" t="e">
        <f>INDEX(Stammdaten[Ovalität (']0,1'])],MATCH(Tabelle1014[[#This Row],[Rank]],Stammdaten[Rank Verteilung Ovalität],0))</f>
        <v>#N/A</v>
      </c>
      <c r="AB358" t="e">
        <f>VLOOKUP(Tabelle1014[[#This Row],[Rank]],Stammdaten[[Rank Verteilung Ovalität]:[Verteilung Ovalität]],2,FALSE)</f>
        <v>#N/A</v>
      </c>
    </row>
    <row r="359" spans="5:28" x14ac:dyDescent="0.35">
      <c r="E359">
        <v>350</v>
      </c>
      <c r="F359" t="e">
        <f>INDEX(Stammdaten[D Mitte mit Rinde (mm)],MATCH(Tabelle8[[#This Row],[Rank]],Stammdaten[Rank Verteilung D Mitte mit Rinde],0))</f>
        <v>#N/A</v>
      </c>
      <c r="G359" t="e">
        <f>VLOOKUP(Tabelle8[[#This Row],[Rank]],Stammdaten[[Rank Verteilung D Mitte mit Rinde]:[Verteilung D Mitte mit Rinde]],2,FALSE)</f>
        <v>#N/A</v>
      </c>
      <c r="L359">
        <v>350</v>
      </c>
      <c r="M359" t="e">
        <f>INDEX(Stammdaten[Abholzigkeit (mm/lfm)],MATCH(Tabelle9[[#This Row],[Rank]],Stammdaten[Rank Verteilung Abholzigkeit],0))</f>
        <v>#N/A</v>
      </c>
      <c r="N359" t="e">
        <f>VLOOKUP(Tabelle9[[#This Row],[Rank]],Stammdaten[[Rank Verteilung Abholzigkeit]:[Verteilung Abholzigkeit]],2,FALSE)</f>
        <v>#N/A</v>
      </c>
      <c r="S359">
        <v>350</v>
      </c>
      <c r="T359" t="e">
        <f>INDEX(Stammdaten[Krümmung (mm/lfm)],MATCH(Tabelle10[[#This Row],[Rank]],Stammdaten[Rank Verteilung Krümmung],0))</f>
        <v>#N/A</v>
      </c>
      <c r="U359" t="e">
        <f>VLOOKUP(Tabelle10[[#This Row],[Rank]],Stammdaten[[Rank Verteilung Krümmung]:[Verteilung Krümmung]],2,FALSE)</f>
        <v>#N/A</v>
      </c>
      <c r="Z359">
        <v>350</v>
      </c>
      <c r="AA359" t="e">
        <f>INDEX(Stammdaten[Ovalität (']0,1'])],MATCH(Tabelle1014[[#This Row],[Rank]],Stammdaten[Rank Verteilung Ovalität],0))</f>
        <v>#N/A</v>
      </c>
      <c r="AB359" t="e">
        <f>VLOOKUP(Tabelle1014[[#This Row],[Rank]],Stammdaten[[Rank Verteilung Ovalität]:[Verteilung Ovalität]],2,FALSE)</f>
        <v>#N/A</v>
      </c>
    </row>
    <row r="360" spans="5:28" x14ac:dyDescent="0.35">
      <c r="E360">
        <v>351</v>
      </c>
      <c r="F360" t="e">
        <f>INDEX(Stammdaten[D Mitte mit Rinde (mm)],MATCH(Tabelle8[[#This Row],[Rank]],Stammdaten[Rank Verteilung D Mitte mit Rinde],0))</f>
        <v>#N/A</v>
      </c>
      <c r="G360" t="e">
        <f>VLOOKUP(Tabelle8[[#This Row],[Rank]],Stammdaten[[Rank Verteilung D Mitte mit Rinde]:[Verteilung D Mitte mit Rinde]],2,FALSE)</f>
        <v>#N/A</v>
      </c>
      <c r="L360">
        <v>351</v>
      </c>
      <c r="M360" t="e">
        <f>INDEX(Stammdaten[Abholzigkeit (mm/lfm)],MATCH(Tabelle9[[#This Row],[Rank]],Stammdaten[Rank Verteilung Abholzigkeit],0))</f>
        <v>#N/A</v>
      </c>
      <c r="N360" t="e">
        <f>VLOOKUP(Tabelle9[[#This Row],[Rank]],Stammdaten[[Rank Verteilung Abholzigkeit]:[Verteilung Abholzigkeit]],2,FALSE)</f>
        <v>#N/A</v>
      </c>
      <c r="S360">
        <v>351</v>
      </c>
      <c r="T360" t="e">
        <f>INDEX(Stammdaten[Krümmung (mm/lfm)],MATCH(Tabelle10[[#This Row],[Rank]],Stammdaten[Rank Verteilung Krümmung],0))</f>
        <v>#N/A</v>
      </c>
      <c r="U360" t="e">
        <f>VLOOKUP(Tabelle10[[#This Row],[Rank]],Stammdaten[[Rank Verteilung Krümmung]:[Verteilung Krümmung]],2,FALSE)</f>
        <v>#N/A</v>
      </c>
      <c r="Z360">
        <v>351</v>
      </c>
      <c r="AA360" t="e">
        <f>INDEX(Stammdaten[Ovalität (']0,1'])],MATCH(Tabelle1014[[#This Row],[Rank]],Stammdaten[Rank Verteilung Ovalität],0))</f>
        <v>#N/A</v>
      </c>
      <c r="AB360" t="e">
        <f>VLOOKUP(Tabelle1014[[#This Row],[Rank]],Stammdaten[[Rank Verteilung Ovalität]:[Verteilung Ovalität]],2,FALSE)</f>
        <v>#N/A</v>
      </c>
    </row>
    <row r="361" spans="5:28" x14ac:dyDescent="0.35">
      <c r="E361">
        <v>352</v>
      </c>
      <c r="F361" t="e">
        <f>INDEX(Stammdaten[D Mitte mit Rinde (mm)],MATCH(Tabelle8[[#This Row],[Rank]],Stammdaten[Rank Verteilung D Mitte mit Rinde],0))</f>
        <v>#N/A</v>
      </c>
      <c r="G361" t="e">
        <f>VLOOKUP(Tabelle8[[#This Row],[Rank]],Stammdaten[[Rank Verteilung D Mitte mit Rinde]:[Verteilung D Mitte mit Rinde]],2,FALSE)</f>
        <v>#N/A</v>
      </c>
      <c r="L361">
        <v>352</v>
      </c>
      <c r="M361" t="e">
        <f>INDEX(Stammdaten[Abholzigkeit (mm/lfm)],MATCH(Tabelle9[[#This Row],[Rank]],Stammdaten[Rank Verteilung Abholzigkeit],0))</f>
        <v>#N/A</v>
      </c>
      <c r="N361" t="e">
        <f>VLOOKUP(Tabelle9[[#This Row],[Rank]],Stammdaten[[Rank Verteilung Abholzigkeit]:[Verteilung Abholzigkeit]],2,FALSE)</f>
        <v>#N/A</v>
      </c>
      <c r="S361">
        <v>352</v>
      </c>
      <c r="T361" t="e">
        <f>INDEX(Stammdaten[Krümmung (mm/lfm)],MATCH(Tabelle10[[#This Row],[Rank]],Stammdaten[Rank Verteilung Krümmung],0))</f>
        <v>#N/A</v>
      </c>
      <c r="U361" t="e">
        <f>VLOOKUP(Tabelle10[[#This Row],[Rank]],Stammdaten[[Rank Verteilung Krümmung]:[Verteilung Krümmung]],2,FALSE)</f>
        <v>#N/A</v>
      </c>
      <c r="Z361">
        <v>352</v>
      </c>
      <c r="AA361" t="e">
        <f>INDEX(Stammdaten[Ovalität (']0,1'])],MATCH(Tabelle1014[[#This Row],[Rank]],Stammdaten[Rank Verteilung Ovalität],0))</f>
        <v>#N/A</v>
      </c>
      <c r="AB361" t="e">
        <f>VLOOKUP(Tabelle1014[[#This Row],[Rank]],Stammdaten[[Rank Verteilung Ovalität]:[Verteilung Ovalität]],2,FALSE)</f>
        <v>#N/A</v>
      </c>
    </row>
    <row r="362" spans="5:28" x14ac:dyDescent="0.35">
      <c r="E362">
        <v>353</v>
      </c>
      <c r="F362" t="e">
        <f>INDEX(Stammdaten[D Mitte mit Rinde (mm)],MATCH(Tabelle8[[#This Row],[Rank]],Stammdaten[Rank Verteilung D Mitte mit Rinde],0))</f>
        <v>#N/A</v>
      </c>
      <c r="G362" t="e">
        <f>VLOOKUP(Tabelle8[[#This Row],[Rank]],Stammdaten[[Rank Verteilung D Mitte mit Rinde]:[Verteilung D Mitte mit Rinde]],2,FALSE)</f>
        <v>#N/A</v>
      </c>
      <c r="L362">
        <v>353</v>
      </c>
      <c r="M362" t="e">
        <f>INDEX(Stammdaten[Abholzigkeit (mm/lfm)],MATCH(Tabelle9[[#This Row],[Rank]],Stammdaten[Rank Verteilung Abholzigkeit],0))</f>
        <v>#N/A</v>
      </c>
      <c r="N362" t="e">
        <f>VLOOKUP(Tabelle9[[#This Row],[Rank]],Stammdaten[[Rank Verteilung Abholzigkeit]:[Verteilung Abholzigkeit]],2,FALSE)</f>
        <v>#N/A</v>
      </c>
      <c r="S362">
        <v>353</v>
      </c>
      <c r="T362" t="e">
        <f>INDEX(Stammdaten[Krümmung (mm/lfm)],MATCH(Tabelle10[[#This Row],[Rank]],Stammdaten[Rank Verteilung Krümmung],0))</f>
        <v>#N/A</v>
      </c>
      <c r="U362" t="e">
        <f>VLOOKUP(Tabelle10[[#This Row],[Rank]],Stammdaten[[Rank Verteilung Krümmung]:[Verteilung Krümmung]],2,FALSE)</f>
        <v>#N/A</v>
      </c>
      <c r="Z362">
        <v>353</v>
      </c>
      <c r="AA362" t="e">
        <f>INDEX(Stammdaten[Ovalität (']0,1'])],MATCH(Tabelle1014[[#This Row],[Rank]],Stammdaten[Rank Verteilung Ovalität],0))</f>
        <v>#N/A</v>
      </c>
      <c r="AB362" t="e">
        <f>VLOOKUP(Tabelle1014[[#This Row],[Rank]],Stammdaten[[Rank Verteilung Ovalität]:[Verteilung Ovalität]],2,FALSE)</f>
        <v>#N/A</v>
      </c>
    </row>
    <row r="363" spans="5:28" x14ac:dyDescent="0.35">
      <c r="E363">
        <v>354</v>
      </c>
      <c r="F363" t="e">
        <f>INDEX(Stammdaten[D Mitte mit Rinde (mm)],MATCH(Tabelle8[[#This Row],[Rank]],Stammdaten[Rank Verteilung D Mitte mit Rinde],0))</f>
        <v>#N/A</v>
      </c>
      <c r="G363" t="e">
        <f>VLOOKUP(Tabelle8[[#This Row],[Rank]],Stammdaten[[Rank Verteilung D Mitte mit Rinde]:[Verteilung D Mitte mit Rinde]],2,FALSE)</f>
        <v>#N/A</v>
      </c>
      <c r="L363">
        <v>354</v>
      </c>
      <c r="M363" t="e">
        <f>INDEX(Stammdaten[Abholzigkeit (mm/lfm)],MATCH(Tabelle9[[#This Row],[Rank]],Stammdaten[Rank Verteilung Abholzigkeit],0))</f>
        <v>#N/A</v>
      </c>
      <c r="N363" t="e">
        <f>VLOOKUP(Tabelle9[[#This Row],[Rank]],Stammdaten[[Rank Verteilung Abholzigkeit]:[Verteilung Abholzigkeit]],2,FALSE)</f>
        <v>#N/A</v>
      </c>
      <c r="S363">
        <v>354</v>
      </c>
      <c r="T363" t="e">
        <f>INDEX(Stammdaten[Krümmung (mm/lfm)],MATCH(Tabelle10[[#This Row],[Rank]],Stammdaten[Rank Verteilung Krümmung],0))</f>
        <v>#N/A</v>
      </c>
      <c r="U363" t="e">
        <f>VLOOKUP(Tabelle10[[#This Row],[Rank]],Stammdaten[[Rank Verteilung Krümmung]:[Verteilung Krümmung]],2,FALSE)</f>
        <v>#N/A</v>
      </c>
      <c r="Z363">
        <v>354</v>
      </c>
      <c r="AA363" t="e">
        <f>INDEX(Stammdaten[Ovalität (']0,1'])],MATCH(Tabelle1014[[#This Row],[Rank]],Stammdaten[Rank Verteilung Ovalität],0))</f>
        <v>#N/A</v>
      </c>
      <c r="AB363" t="e">
        <f>VLOOKUP(Tabelle1014[[#This Row],[Rank]],Stammdaten[[Rank Verteilung Ovalität]:[Verteilung Ovalität]],2,FALSE)</f>
        <v>#N/A</v>
      </c>
    </row>
    <row r="364" spans="5:28" x14ac:dyDescent="0.35">
      <c r="E364">
        <v>355</v>
      </c>
      <c r="F364" t="e">
        <f>INDEX(Stammdaten[D Mitte mit Rinde (mm)],MATCH(Tabelle8[[#This Row],[Rank]],Stammdaten[Rank Verteilung D Mitte mit Rinde],0))</f>
        <v>#N/A</v>
      </c>
      <c r="G364" t="e">
        <f>VLOOKUP(Tabelle8[[#This Row],[Rank]],Stammdaten[[Rank Verteilung D Mitte mit Rinde]:[Verteilung D Mitte mit Rinde]],2,FALSE)</f>
        <v>#N/A</v>
      </c>
      <c r="L364">
        <v>355</v>
      </c>
      <c r="M364" t="e">
        <f>INDEX(Stammdaten[Abholzigkeit (mm/lfm)],MATCH(Tabelle9[[#This Row],[Rank]],Stammdaten[Rank Verteilung Abholzigkeit],0))</f>
        <v>#N/A</v>
      </c>
      <c r="N364" t="e">
        <f>VLOOKUP(Tabelle9[[#This Row],[Rank]],Stammdaten[[Rank Verteilung Abholzigkeit]:[Verteilung Abholzigkeit]],2,FALSE)</f>
        <v>#N/A</v>
      </c>
      <c r="S364">
        <v>355</v>
      </c>
      <c r="T364" t="e">
        <f>INDEX(Stammdaten[Krümmung (mm/lfm)],MATCH(Tabelle10[[#This Row],[Rank]],Stammdaten[Rank Verteilung Krümmung],0))</f>
        <v>#N/A</v>
      </c>
      <c r="U364" t="e">
        <f>VLOOKUP(Tabelle10[[#This Row],[Rank]],Stammdaten[[Rank Verteilung Krümmung]:[Verteilung Krümmung]],2,FALSE)</f>
        <v>#N/A</v>
      </c>
      <c r="Z364">
        <v>355</v>
      </c>
      <c r="AA364" t="e">
        <f>INDEX(Stammdaten[Ovalität (']0,1'])],MATCH(Tabelle1014[[#This Row],[Rank]],Stammdaten[Rank Verteilung Ovalität],0))</f>
        <v>#N/A</v>
      </c>
      <c r="AB364" t="e">
        <f>VLOOKUP(Tabelle1014[[#This Row],[Rank]],Stammdaten[[Rank Verteilung Ovalität]:[Verteilung Ovalität]],2,FALSE)</f>
        <v>#N/A</v>
      </c>
    </row>
    <row r="365" spans="5:28" x14ac:dyDescent="0.35">
      <c r="E365">
        <v>356</v>
      </c>
      <c r="F365" t="e">
        <f>INDEX(Stammdaten[D Mitte mit Rinde (mm)],MATCH(Tabelle8[[#This Row],[Rank]],Stammdaten[Rank Verteilung D Mitte mit Rinde],0))</f>
        <v>#N/A</v>
      </c>
      <c r="G365" t="e">
        <f>VLOOKUP(Tabelle8[[#This Row],[Rank]],Stammdaten[[Rank Verteilung D Mitte mit Rinde]:[Verteilung D Mitte mit Rinde]],2,FALSE)</f>
        <v>#N/A</v>
      </c>
      <c r="L365">
        <v>356</v>
      </c>
      <c r="M365" t="e">
        <f>INDEX(Stammdaten[Abholzigkeit (mm/lfm)],MATCH(Tabelle9[[#This Row],[Rank]],Stammdaten[Rank Verteilung Abholzigkeit],0))</f>
        <v>#N/A</v>
      </c>
      <c r="N365" t="e">
        <f>VLOOKUP(Tabelle9[[#This Row],[Rank]],Stammdaten[[Rank Verteilung Abholzigkeit]:[Verteilung Abholzigkeit]],2,FALSE)</f>
        <v>#N/A</v>
      </c>
      <c r="S365">
        <v>356</v>
      </c>
      <c r="T365" t="e">
        <f>INDEX(Stammdaten[Krümmung (mm/lfm)],MATCH(Tabelle10[[#This Row],[Rank]],Stammdaten[Rank Verteilung Krümmung],0))</f>
        <v>#N/A</v>
      </c>
      <c r="U365" t="e">
        <f>VLOOKUP(Tabelle10[[#This Row],[Rank]],Stammdaten[[Rank Verteilung Krümmung]:[Verteilung Krümmung]],2,FALSE)</f>
        <v>#N/A</v>
      </c>
      <c r="Z365">
        <v>356</v>
      </c>
      <c r="AA365" t="e">
        <f>INDEX(Stammdaten[Ovalität (']0,1'])],MATCH(Tabelle1014[[#This Row],[Rank]],Stammdaten[Rank Verteilung Ovalität],0))</f>
        <v>#N/A</v>
      </c>
      <c r="AB365" t="e">
        <f>VLOOKUP(Tabelle1014[[#This Row],[Rank]],Stammdaten[[Rank Verteilung Ovalität]:[Verteilung Ovalität]],2,FALSE)</f>
        <v>#N/A</v>
      </c>
    </row>
    <row r="366" spans="5:28" x14ac:dyDescent="0.35">
      <c r="E366">
        <v>357</v>
      </c>
      <c r="F366" t="e">
        <f>INDEX(Stammdaten[D Mitte mit Rinde (mm)],MATCH(Tabelle8[[#This Row],[Rank]],Stammdaten[Rank Verteilung D Mitte mit Rinde],0))</f>
        <v>#N/A</v>
      </c>
      <c r="G366" t="e">
        <f>VLOOKUP(Tabelle8[[#This Row],[Rank]],Stammdaten[[Rank Verteilung D Mitte mit Rinde]:[Verteilung D Mitte mit Rinde]],2,FALSE)</f>
        <v>#N/A</v>
      </c>
      <c r="L366">
        <v>357</v>
      </c>
      <c r="M366" t="e">
        <f>INDEX(Stammdaten[Abholzigkeit (mm/lfm)],MATCH(Tabelle9[[#This Row],[Rank]],Stammdaten[Rank Verteilung Abholzigkeit],0))</f>
        <v>#N/A</v>
      </c>
      <c r="N366" t="e">
        <f>VLOOKUP(Tabelle9[[#This Row],[Rank]],Stammdaten[[Rank Verteilung Abholzigkeit]:[Verteilung Abholzigkeit]],2,FALSE)</f>
        <v>#N/A</v>
      </c>
      <c r="S366">
        <v>357</v>
      </c>
      <c r="T366" t="e">
        <f>INDEX(Stammdaten[Krümmung (mm/lfm)],MATCH(Tabelle10[[#This Row],[Rank]],Stammdaten[Rank Verteilung Krümmung],0))</f>
        <v>#N/A</v>
      </c>
      <c r="U366" t="e">
        <f>VLOOKUP(Tabelle10[[#This Row],[Rank]],Stammdaten[[Rank Verteilung Krümmung]:[Verteilung Krümmung]],2,FALSE)</f>
        <v>#N/A</v>
      </c>
      <c r="Z366">
        <v>357</v>
      </c>
      <c r="AA366" t="e">
        <f>INDEX(Stammdaten[Ovalität (']0,1'])],MATCH(Tabelle1014[[#This Row],[Rank]],Stammdaten[Rank Verteilung Ovalität],0))</f>
        <v>#N/A</v>
      </c>
      <c r="AB366" t="e">
        <f>VLOOKUP(Tabelle1014[[#This Row],[Rank]],Stammdaten[[Rank Verteilung Ovalität]:[Verteilung Ovalität]],2,FALSE)</f>
        <v>#N/A</v>
      </c>
    </row>
    <row r="367" spans="5:28" x14ac:dyDescent="0.35">
      <c r="E367">
        <v>358</v>
      </c>
      <c r="F367" t="e">
        <f>INDEX(Stammdaten[D Mitte mit Rinde (mm)],MATCH(Tabelle8[[#This Row],[Rank]],Stammdaten[Rank Verteilung D Mitte mit Rinde],0))</f>
        <v>#N/A</v>
      </c>
      <c r="G367" t="e">
        <f>VLOOKUP(Tabelle8[[#This Row],[Rank]],Stammdaten[[Rank Verteilung D Mitte mit Rinde]:[Verteilung D Mitte mit Rinde]],2,FALSE)</f>
        <v>#N/A</v>
      </c>
      <c r="L367">
        <v>358</v>
      </c>
      <c r="M367" t="e">
        <f>INDEX(Stammdaten[Abholzigkeit (mm/lfm)],MATCH(Tabelle9[[#This Row],[Rank]],Stammdaten[Rank Verteilung Abholzigkeit],0))</f>
        <v>#N/A</v>
      </c>
      <c r="N367" t="e">
        <f>VLOOKUP(Tabelle9[[#This Row],[Rank]],Stammdaten[[Rank Verteilung Abholzigkeit]:[Verteilung Abholzigkeit]],2,FALSE)</f>
        <v>#N/A</v>
      </c>
      <c r="S367">
        <v>358</v>
      </c>
      <c r="T367" t="e">
        <f>INDEX(Stammdaten[Krümmung (mm/lfm)],MATCH(Tabelle10[[#This Row],[Rank]],Stammdaten[Rank Verteilung Krümmung],0))</f>
        <v>#N/A</v>
      </c>
      <c r="U367" t="e">
        <f>VLOOKUP(Tabelle10[[#This Row],[Rank]],Stammdaten[[Rank Verteilung Krümmung]:[Verteilung Krümmung]],2,FALSE)</f>
        <v>#N/A</v>
      </c>
      <c r="Z367">
        <v>358</v>
      </c>
      <c r="AA367" t="e">
        <f>INDEX(Stammdaten[Ovalität (']0,1'])],MATCH(Tabelle1014[[#This Row],[Rank]],Stammdaten[Rank Verteilung Ovalität],0))</f>
        <v>#N/A</v>
      </c>
      <c r="AB367" t="e">
        <f>VLOOKUP(Tabelle1014[[#This Row],[Rank]],Stammdaten[[Rank Verteilung Ovalität]:[Verteilung Ovalität]],2,FALSE)</f>
        <v>#N/A</v>
      </c>
    </row>
    <row r="368" spans="5:28" x14ac:dyDescent="0.35">
      <c r="E368">
        <v>359</v>
      </c>
      <c r="F368" t="e">
        <f>INDEX(Stammdaten[D Mitte mit Rinde (mm)],MATCH(Tabelle8[[#This Row],[Rank]],Stammdaten[Rank Verteilung D Mitte mit Rinde],0))</f>
        <v>#N/A</v>
      </c>
      <c r="G368" t="e">
        <f>VLOOKUP(Tabelle8[[#This Row],[Rank]],Stammdaten[[Rank Verteilung D Mitte mit Rinde]:[Verteilung D Mitte mit Rinde]],2,FALSE)</f>
        <v>#N/A</v>
      </c>
      <c r="L368">
        <v>359</v>
      </c>
      <c r="M368" t="e">
        <f>INDEX(Stammdaten[Abholzigkeit (mm/lfm)],MATCH(Tabelle9[[#This Row],[Rank]],Stammdaten[Rank Verteilung Abholzigkeit],0))</f>
        <v>#N/A</v>
      </c>
      <c r="N368" t="e">
        <f>VLOOKUP(Tabelle9[[#This Row],[Rank]],Stammdaten[[Rank Verteilung Abholzigkeit]:[Verteilung Abholzigkeit]],2,FALSE)</f>
        <v>#N/A</v>
      </c>
      <c r="S368">
        <v>359</v>
      </c>
      <c r="T368" t="e">
        <f>INDEX(Stammdaten[Krümmung (mm/lfm)],MATCH(Tabelle10[[#This Row],[Rank]],Stammdaten[Rank Verteilung Krümmung],0))</f>
        <v>#N/A</v>
      </c>
      <c r="U368" t="e">
        <f>VLOOKUP(Tabelle10[[#This Row],[Rank]],Stammdaten[[Rank Verteilung Krümmung]:[Verteilung Krümmung]],2,FALSE)</f>
        <v>#N/A</v>
      </c>
      <c r="Z368">
        <v>359</v>
      </c>
      <c r="AA368" t="e">
        <f>INDEX(Stammdaten[Ovalität (']0,1'])],MATCH(Tabelle1014[[#This Row],[Rank]],Stammdaten[Rank Verteilung Ovalität],0))</f>
        <v>#N/A</v>
      </c>
      <c r="AB368" t="e">
        <f>VLOOKUP(Tabelle1014[[#This Row],[Rank]],Stammdaten[[Rank Verteilung Ovalität]:[Verteilung Ovalität]],2,FALSE)</f>
        <v>#N/A</v>
      </c>
    </row>
    <row r="369" spans="5:28" x14ac:dyDescent="0.35">
      <c r="E369">
        <v>360</v>
      </c>
      <c r="F369" t="e">
        <f>INDEX(Stammdaten[D Mitte mit Rinde (mm)],MATCH(Tabelle8[[#This Row],[Rank]],Stammdaten[Rank Verteilung D Mitte mit Rinde],0))</f>
        <v>#N/A</v>
      </c>
      <c r="G369" t="e">
        <f>VLOOKUP(Tabelle8[[#This Row],[Rank]],Stammdaten[[Rank Verteilung D Mitte mit Rinde]:[Verteilung D Mitte mit Rinde]],2,FALSE)</f>
        <v>#N/A</v>
      </c>
      <c r="L369">
        <v>360</v>
      </c>
      <c r="M369" t="e">
        <f>INDEX(Stammdaten[Abholzigkeit (mm/lfm)],MATCH(Tabelle9[[#This Row],[Rank]],Stammdaten[Rank Verteilung Abholzigkeit],0))</f>
        <v>#N/A</v>
      </c>
      <c r="N369" t="e">
        <f>VLOOKUP(Tabelle9[[#This Row],[Rank]],Stammdaten[[Rank Verteilung Abholzigkeit]:[Verteilung Abholzigkeit]],2,FALSE)</f>
        <v>#N/A</v>
      </c>
      <c r="S369">
        <v>360</v>
      </c>
      <c r="T369" t="e">
        <f>INDEX(Stammdaten[Krümmung (mm/lfm)],MATCH(Tabelle10[[#This Row],[Rank]],Stammdaten[Rank Verteilung Krümmung],0))</f>
        <v>#N/A</v>
      </c>
      <c r="U369" t="e">
        <f>VLOOKUP(Tabelle10[[#This Row],[Rank]],Stammdaten[[Rank Verteilung Krümmung]:[Verteilung Krümmung]],2,FALSE)</f>
        <v>#N/A</v>
      </c>
      <c r="Z369">
        <v>360</v>
      </c>
      <c r="AA369" t="e">
        <f>INDEX(Stammdaten[Ovalität (']0,1'])],MATCH(Tabelle1014[[#This Row],[Rank]],Stammdaten[Rank Verteilung Ovalität],0))</f>
        <v>#N/A</v>
      </c>
      <c r="AB369" t="e">
        <f>VLOOKUP(Tabelle1014[[#This Row],[Rank]],Stammdaten[[Rank Verteilung Ovalität]:[Verteilung Ovalität]],2,FALSE)</f>
        <v>#N/A</v>
      </c>
    </row>
    <row r="370" spans="5:28" x14ac:dyDescent="0.35">
      <c r="E370">
        <v>361</v>
      </c>
      <c r="F370" t="e">
        <f>INDEX(Stammdaten[D Mitte mit Rinde (mm)],MATCH(Tabelle8[[#This Row],[Rank]],Stammdaten[Rank Verteilung D Mitte mit Rinde],0))</f>
        <v>#N/A</v>
      </c>
      <c r="G370" t="e">
        <f>VLOOKUP(Tabelle8[[#This Row],[Rank]],Stammdaten[[Rank Verteilung D Mitte mit Rinde]:[Verteilung D Mitte mit Rinde]],2,FALSE)</f>
        <v>#N/A</v>
      </c>
      <c r="L370">
        <v>361</v>
      </c>
      <c r="M370" t="e">
        <f>INDEX(Stammdaten[Abholzigkeit (mm/lfm)],MATCH(Tabelle9[[#This Row],[Rank]],Stammdaten[Rank Verteilung Abholzigkeit],0))</f>
        <v>#N/A</v>
      </c>
      <c r="N370" t="e">
        <f>VLOOKUP(Tabelle9[[#This Row],[Rank]],Stammdaten[[Rank Verteilung Abholzigkeit]:[Verteilung Abholzigkeit]],2,FALSE)</f>
        <v>#N/A</v>
      </c>
      <c r="S370">
        <v>361</v>
      </c>
      <c r="T370" t="e">
        <f>INDEX(Stammdaten[Krümmung (mm/lfm)],MATCH(Tabelle10[[#This Row],[Rank]],Stammdaten[Rank Verteilung Krümmung],0))</f>
        <v>#N/A</v>
      </c>
      <c r="U370" t="e">
        <f>VLOOKUP(Tabelle10[[#This Row],[Rank]],Stammdaten[[Rank Verteilung Krümmung]:[Verteilung Krümmung]],2,FALSE)</f>
        <v>#N/A</v>
      </c>
      <c r="Z370">
        <v>361</v>
      </c>
      <c r="AA370" t="e">
        <f>INDEX(Stammdaten[Ovalität (']0,1'])],MATCH(Tabelle1014[[#This Row],[Rank]],Stammdaten[Rank Verteilung Ovalität],0))</f>
        <v>#N/A</v>
      </c>
      <c r="AB370" t="e">
        <f>VLOOKUP(Tabelle1014[[#This Row],[Rank]],Stammdaten[[Rank Verteilung Ovalität]:[Verteilung Ovalität]],2,FALSE)</f>
        <v>#N/A</v>
      </c>
    </row>
    <row r="371" spans="5:28" x14ac:dyDescent="0.35">
      <c r="E371">
        <v>362</v>
      </c>
      <c r="F371" t="e">
        <f>INDEX(Stammdaten[D Mitte mit Rinde (mm)],MATCH(Tabelle8[[#This Row],[Rank]],Stammdaten[Rank Verteilung D Mitte mit Rinde],0))</f>
        <v>#N/A</v>
      </c>
      <c r="G371" t="e">
        <f>VLOOKUP(Tabelle8[[#This Row],[Rank]],Stammdaten[[Rank Verteilung D Mitte mit Rinde]:[Verteilung D Mitte mit Rinde]],2,FALSE)</f>
        <v>#N/A</v>
      </c>
      <c r="L371">
        <v>362</v>
      </c>
      <c r="M371" t="e">
        <f>INDEX(Stammdaten[Abholzigkeit (mm/lfm)],MATCH(Tabelle9[[#This Row],[Rank]],Stammdaten[Rank Verteilung Abholzigkeit],0))</f>
        <v>#N/A</v>
      </c>
      <c r="N371" t="e">
        <f>VLOOKUP(Tabelle9[[#This Row],[Rank]],Stammdaten[[Rank Verteilung Abholzigkeit]:[Verteilung Abholzigkeit]],2,FALSE)</f>
        <v>#N/A</v>
      </c>
      <c r="S371">
        <v>362</v>
      </c>
      <c r="T371" t="e">
        <f>INDEX(Stammdaten[Krümmung (mm/lfm)],MATCH(Tabelle10[[#This Row],[Rank]],Stammdaten[Rank Verteilung Krümmung],0))</f>
        <v>#N/A</v>
      </c>
      <c r="U371" t="e">
        <f>VLOOKUP(Tabelle10[[#This Row],[Rank]],Stammdaten[[Rank Verteilung Krümmung]:[Verteilung Krümmung]],2,FALSE)</f>
        <v>#N/A</v>
      </c>
      <c r="Z371">
        <v>362</v>
      </c>
      <c r="AA371" t="e">
        <f>INDEX(Stammdaten[Ovalität (']0,1'])],MATCH(Tabelle1014[[#This Row],[Rank]],Stammdaten[Rank Verteilung Ovalität],0))</f>
        <v>#N/A</v>
      </c>
      <c r="AB371" t="e">
        <f>VLOOKUP(Tabelle1014[[#This Row],[Rank]],Stammdaten[[Rank Verteilung Ovalität]:[Verteilung Ovalität]],2,FALSE)</f>
        <v>#N/A</v>
      </c>
    </row>
    <row r="372" spans="5:28" x14ac:dyDescent="0.35">
      <c r="E372">
        <v>363</v>
      </c>
      <c r="F372" t="e">
        <f>INDEX(Stammdaten[D Mitte mit Rinde (mm)],MATCH(Tabelle8[[#This Row],[Rank]],Stammdaten[Rank Verteilung D Mitte mit Rinde],0))</f>
        <v>#N/A</v>
      </c>
      <c r="G372" t="e">
        <f>VLOOKUP(Tabelle8[[#This Row],[Rank]],Stammdaten[[Rank Verteilung D Mitte mit Rinde]:[Verteilung D Mitte mit Rinde]],2,FALSE)</f>
        <v>#N/A</v>
      </c>
      <c r="L372">
        <v>363</v>
      </c>
      <c r="M372" t="e">
        <f>INDEX(Stammdaten[Abholzigkeit (mm/lfm)],MATCH(Tabelle9[[#This Row],[Rank]],Stammdaten[Rank Verteilung Abholzigkeit],0))</f>
        <v>#N/A</v>
      </c>
      <c r="N372" t="e">
        <f>VLOOKUP(Tabelle9[[#This Row],[Rank]],Stammdaten[[Rank Verteilung Abholzigkeit]:[Verteilung Abholzigkeit]],2,FALSE)</f>
        <v>#N/A</v>
      </c>
      <c r="S372">
        <v>363</v>
      </c>
      <c r="T372" t="e">
        <f>INDEX(Stammdaten[Krümmung (mm/lfm)],MATCH(Tabelle10[[#This Row],[Rank]],Stammdaten[Rank Verteilung Krümmung],0))</f>
        <v>#N/A</v>
      </c>
      <c r="U372" t="e">
        <f>VLOOKUP(Tabelle10[[#This Row],[Rank]],Stammdaten[[Rank Verteilung Krümmung]:[Verteilung Krümmung]],2,FALSE)</f>
        <v>#N/A</v>
      </c>
      <c r="Z372">
        <v>363</v>
      </c>
      <c r="AA372" t="e">
        <f>INDEX(Stammdaten[Ovalität (']0,1'])],MATCH(Tabelle1014[[#This Row],[Rank]],Stammdaten[Rank Verteilung Ovalität],0))</f>
        <v>#N/A</v>
      </c>
      <c r="AB372" t="e">
        <f>VLOOKUP(Tabelle1014[[#This Row],[Rank]],Stammdaten[[Rank Verteilung Ovalität]:[Verteilung Ovalität]],2,FALSE)</f>
        <v>#N/A</v>
      </c>
    </row>
    <row r="373" spans="5:28" x14ac:dyDescent="0.35">
      <c r="E373">
        <v>364</v>
      </c>
      <c r="F373" t="e">
        <f>INDEX(Stammdaten[D Mitte mit Rinde (mm)],MATCH(Tabelle8[[#This Row],[Rank]],Stammdaten[Rank Verteilung D Mitte mit Rinde],0))</f>
        <v>#N/A</v>
      </c>
      <c r="G373" t="e">
        <f>VLOOKUP(Tabelle8[[#This Row],[Rank]],Stammdaten[[Rank Verteilung D Mitte mit Rinde]:[Verteilung D Mitte mit Rinde]],2,FALSE)</f>
        <v>#N/A</v>
      </c>
      <c r="L373">
        <v>364</v>
      </c>
      <c r="M373" t="e">
        <f>INDEX(Stammdaten[Abholzigkeit (mm/lfm)],MATCH(Tabelle9[[#This Row],[Rank]],Stammdaten[Rank Verteilung Abholzigkeit],0))</f>
        <v>#N/A</v>
      </c>
      <c r="N373" t="e">
        <f>VLOOKUP(Tabelle9[[#This Row],[Rank]],Stammdaten[[Rank Verteilung Abholzigkeit]:[Verteilung Abholzigkeit]],2,FALSE)</f>
        <v>#N/A</v>
      </c>
      <c r="S373">
        <v>364</v>
      </c>
      <c r="T373" t="e">
        <f>INDEX(Stammdaten[Krümmung (mm/lfm)],MATCH(Tabelle10[[#This Row],[Rank]],Stammdaten[Rank Verteilung Krümmung],0))</f>
        <v>#N/A</v>
      </c>
      <c r="U373" t="e">
        <f>VLOOKUP(Tabelle10[[#This Row],[Rank]],Stammdaten[[Rank Verteilung Krümmung]:[Verteilung Krümmung]],2,FALSE)</f>
        <v>#N/A</v>
      </c>
      <c r="Z373">
        <v>364</v>
      </c>
      <c r="AA373" t="e">
        <f>INDEX(Stammdaten[Ovalität (']0,1'])],MATCH(Tabelle1014[[#This Row],[Rank]],Stammdaten[Rank Verteilung Ovalität],0))</f>
        <v>#N/A</v>
      </c>
      <c r="AB373" t="e">
        <f>VLOOKUP(Tabelle1014[[#This Row],[Rank]],Stammdaten[[Rank Verteilung Ovalität]:[Verteilung Ovalität]],2,FALSE)</f>
        <v>#N/A</v>
      </c>
    </row>
    <row r="374" spans="5:28" x14ac:dyDescent="0.35">
      <c r="E374">
        <v>365</v>
      </c>
      <c r="F374" t="e">
        <f>INDEX(Stammdaten[D Mitte mit Rinde (mm)],MATCH(Tabelle8[[#This Row],[Rank]],Stammdaten[Rank Verteilung D Mitte mit Rinde],0))</f>
        <v>#N/A</v>
      </c>
      <c r="G374" t="e">
        <f>VLOOKUP(Tabelle8[[#This Row],[Rank]],Stammdaten[[Rank Verteilung D Mitte mit Rinde]:[Verteilung D Mitte mit Rinde]],2,FALSE)</f>
        <v>#N/A</v>
      </c>
      <c r="L374">
        <v>365</v>
      </c>
      <c r="M374" t="e">
        <f>INDEX(Stammdaten[Abholzigkeit (mm/lfm)],MATCH(Tabelle9[[#This Row],[Rank]],Stammdaten[Rank Verteilung Abholzigkeit],0))</f>
        <v>#N/A</v>
      </c>
      <c r="N374" t="e">
        <f>VLOOKUP(Tabelle9[[#This Row],[Rank]],Stammdaten[[Rank Verteilung Abholzigkeit]:[Verteilung Abholzigkeit]],2,FALSE)</f>
        <v>#N/A</v>
      </c>
      <c r="S374">
        <v>365</v>
      </c>
      <c r="T374" t="e">
        <f>INDEX(Stammdaten[Krümmung (mm/lfm)],MATCH(Tabelle10[[#This Row],[Rank]],Stammdaten[Rank Verteilung Krümmung],0))</f>
        <v>#N/A</v>
      </c>
      <c r="U374" t="e">
        <f>VLOOKUP(Tabelle10[[#This Row],[Rank]],Stammdaten[[Rank Verteilung Krümmung]:[Verteilung Krümmung]],2,FALSE)</f>
        <v>#N/A</v>
      </c>
      <c r="Z374">
        <v>365</v>
      </c>
      <c r="AA374" t="e">
        <f>INDEX(Stammdaten[Ovalität (']0,1'])],MATCH(Tabelle1014[[#This Row],[Rank]],Stammdaten[Rank Verteilung Ovalität],0))</f>
        <v>#N/A</v>
      </c>
      <c r="AB374" t="e">
        <f>VLOOKUP(Tabelle1014[[#This Row],[Rank]],Stammdaten[[Rank Verteilung Ovalität]:[Verteilung Ovalität]],2,FALSE)</f>
        <v>#N/A</v>
      </c>
    </row>
    <row r="375" spans="5:28" x14ac:dyDescent="0.35">
      <c r="E375">
        <v>366</v>
      </c>
      <c r="F375" t="e">
        <f>INDEX(Stammdaten[D Mitte mit Rinde (mm)],MATCH(Tabelle8[[#This Row],[Rank]],Stammdaten[Rank Verteilung D Mitte mit Rinde],0))</f>
        <v>#N/A</v>
      </c>
      <c r="G375" t="e">
        <f>VLOOKUP(Tabelle8[[#This Row],[Rank]],Stammdaten[[Rank Verteilung D Mitte mit Rinde]:[Verteilung D Mitte mit Rinde]],2,FALSE)</f>
        <v>#N/A</v>
      </c>
      <c r="L375">
        <v>366</v>
      </c>
      <c r="M375" t="e">
        <f>INDEX(Stammdaten[Abholzigkeit (mm/lfm)],MATCH(Tabelle9[[#This Row],[Rank]],Stammdaten[Rank Verteilung Abholzigkeit],0))</f>
        <v>#N/A</v>
      </c>
      <c r="N375" t="e">
        <f>VLOOKUP(Tabelle9[[#This Row],[Rank]],Stammdaten[[Rank Verteilung Abholzigkeit]:[Verteilung Abholzigkeit]],2,FALSE)</f>
        <v>#N/A</v>
      </c>
      <c r="S375">
        <v>366</v>
      </c>
      <c r="T375" t="e">
        <f>INDEX(Stammdaten[Krümmung (mm/lfm)],MATCH(Tabelle10[[#This Row],[Rank]],Stammdaten[Rank Verteilung Krümmung],0))</f>
        <v>#N/A</v>
      </c>
      <c r="U375" t="e">
        <f>VLOOKUP(Tabelle10[[#This Row],[Rank]],Stammdaten[[Rank Verteilung Krümmung]:[Verteilung Krümmung]],2,FALSE)</f>
        <v>#N/A</v>
      </c>
      <c r="Z375">
        <v>366</v>
      </c>
      <c r="AA375" t="e">
        <f>INDEX(Stammdaten[Ovalität (']0,1'])],MATCH(Tabelle1014[[#This Row],[Rank]],Stammdaten[Rank Verteilung Ovalität],0))</f>
        <v>#N/A</v>
      </c>
      <c r="AB375" t="e">
        <f>VLOOKUP(Tabelle1014[[#This Row],[Rank]],Stammdaten[[Rank Verteilung Ovalität]:[Verteilung Ovalität]],2,FALSE)</f>
        <v>#N/A</v>
      </c>
    </row>
    <row r="376" spans="5:28" x14ac:dyDescent="0.35">
      <c r="E376">
        <v>367</v>
      </c>
      <c r="F376" t="e">
        <f>INDEX(Stammdaten[D Mitte mit Rinde (mm)],MATCH(Tabelle8[[#This Row],[Rank]],Stammdaten[Rank Verteilung D Mitte mit Rinde],0))</f>
        <v>#N/A</v>
      </c>
      <c r="G376" t="e">
        <f>VLOOKUP(Tabelle8[[#This Row],[Rank]],Stammdaten[[Rank Verteilung D Mitte mit Rinde]:[Verteilung D Mitte mit Rinde]],2,FALSE)</f>
        <v>#N/A</v>
      </c>
      <c r="L376">
        <v>367</v>
      </c>
      <c r="M376" t="e">
        <f>INDEX(Stammdaten[Abholzigkeit (mm/lfm)],MATCH(Tabelle9[[#This Row],[Rank]],Stammdaten[Rank Verteilung Abholzigkeit],0))</f>
        <v>#N/A</v>
      </c>
      <c r="N376" t="e">
        <f>VLOOKUP(Tabelle9[[#This Row],[Rank]],Stammdaten[[Rank Verteilung Abholzigkeit]:[Verteilung Abholzigkeit]],2,FALSE)</f>
        <v>#N/A</v>
      </c>
      <c r="S376">
        <v>367</v>
      </c>
      <c r="T376" t="e">
        <f>INDEX(Stammdaten[Krümmung (mm/lfm)],MATCH(Tabelle10[[#This Row],[Rank]],Stammdaten[Rank Verteilung Krümmung],0))</f>
        <v>#N/A</v>
      </c>
      <c r="U376" t="e">
        <f>VLOOKUP(Tabelle10[[#This Row],[Rank]],Stammdaten[[Rank Verteilung Krümmung]:[Verteilung Krümmung]],2,FALSE)</f>
        <v>#N/A</v>
      </c>
      <c r="Z376">
        <v>367</v>
      </c>
      <c r="AA376" t="e">
        <f>INDEX(Stammdaten[Ovalität (']0,1'])],MATCH(Tabelle1014[[#This Row],[Rank]],Stammdaten[Rank Verteilung Ovalität],0))</f>
        <v>#N/A</v>
      </c>
      <c r="AB376" t="e">
        <f>VLOOKUP(Tabelle1014[[#This Row],[Rank]],Stammdaten[[Rank Verteilung Ovalität]:[Verteilung Ovalität]],2,FALSE)</f>
        <v>#N/A</v>
      </c>
    </row>
    <row r="377" spans="5:28" x14ac:dyDescent="0.35">
      <c r="E377">
        <v>368</v>
      </c>
      <c r="F377" t="e">
        <f>INDEX(Stammdaten[D Mitte mit Rinde (mm)],MATCH(Tabelle8[[#This Row],[Rank]],Stammdaten[Rank Verteilung D Mitte mit Rinde],0))</f>
        <v>#N/A</v>
      </c>
      <c r="G377" t="e">
        <f>VLOOKUP(Tabelle8[[#This Row],[Rank]],Stammdaten[[Rank Verteilung D Mitte mit Rinde]:[Verteilung D Mitte mit Rinde]],2,FALSE)</f>
        <v>#N/A</v>
      </c>
      <c r="L377">
        <v>368</v>
      </c>
      <c r="M377" t="e">
        <f>INDEX(Stammdaten[Abholzigkeit (mm/lfm)],MATCH(Tabelle9[[#This Row],[Rank]],Stammdaten[Rank Verteilung Abholzigkeit],0))</f>
        <v>#N/A</v>
      </c>
      <c r="N377" t="e">
        <f>VLOOKUP(Tabelle9[[#This Row],[Rank]],Stammdaten[[Rank Verteilung Abholzigkeit]:[Verteilung Abholzigkeit]],2,FALSE)</f>
        <v>#N/A</v>
      </c>
      <c r="S377">
        <v>368</v>
      </c>
      <c r="T377" t="e">
        <f>INDEX(Stammdaten[Krümmung (mm/lfm)],MATCH(Tabelle10[[#This Row],[Rank]],Stammdaten[Rank Verteilung Krümmung],0))</f>
        <v>#N/A</v>
      </c>
      <c r="U377" t="e">
        <f>VLOOKUP(Tabelle10[[#This Row],[Rank]],Stammdaten[[Rank Verteilung Krümmung]:[Verteilung Krümmung]],2,FALSE)</f>
        <v>#N/A</v>
      </c>
      <c r="Z377">
        <v>368</v>
      </c>
      <c r="AA377" t="e">
        <f>INDEX(Stammdaten[Ovalität (']0,1'])],MATCH(Tabelle1014[[#This Row],[Rank]],Stammdaten[Rank Verteilung Ovalität],0))</f>
        <v>#N/A</v>
      </c>
      <c r="AB377" t="e">
        <f>VLOOKUP(Tabelle1014[[#This Row],[Rank]],Stammdaten[[Rank Verteilung Ovalität]:[Verteilung Ovalität]],2,FALSE)</f>
        <v>#N/A</v>
      </c>
    </row>
    <row r="378" spans="5:28" x14ac:dyDescent="0.35">
      <c r="E378">
        <v>369</v>
      </c>
      <c r="F378" t="e">
        <f>INDEX(Stammdaten[D Mitte mit Rinde (mm)],MATCH(Tabelle8[[#This Row],[Rank]],Stammdaten[Rank Verteilung D Mitte mit Rinde],0))</f>
        <v>#N/A</v>
      </c>
      <c r="G378" t="e">
        <f>VLOOKUP(Tabelle8[[#This Row],[Rank]],Stammdaten[[Rank Verteilung D Mitte mit Rinde]:[Verteilung D Mitte mit Rinde]],2,FALSE)</f>
        <v>#N/A</v>
      </c>
      <c r="L378">
        <v>369</v>
      </c>
      <c r="M378" t="e">
        <f>INDEX(Stammdaten[Abholzigkeit (mm/lfm)],MATCH(Tabelle9[[#This Row],[Rank]],Stammdaten[Rank Verteilung Abholzigkeit],0))</f>
        <v>#N/A</v>
      </c>
      <c r="N378" t="e">
        <f>VLOOKUP(Tabelle9[[#This Row],[Rank]],Stammdaten[[Rank Verteilung Abholzigkeit]:[Verteilung Abholzigkeit]],2,FALSE)</f>
        <v>#N/A</v>
      </c>
      <c r="S378">
        <v>369</v>
      </c>
      <c r="T378" t="e">
        <f>INDEX(Stammdaten[Krümmung (mm/lfm)],MATCH(Tabelle10[[#This Row],[Rank]],Stammdaten[Rank Verteilung Krümmung],0))</f>
        <v>#N/A</v>
      </c>
      <c r="U378" t="e">
        <f>VLOOKUP(Tabelle10[[#This Row],[Rank]],Stammdaten[[Rank Verteilung Krümmung]:[Verteilung Krümmung]],2,FALSE)</f>
        <v>#N/A</v>
      </c>
      <c r="Z378">
        <v>369</v>
      </c>
      <c r="AA378" t="e">
        <f>INDEX(Stammdaten[Ovalität (']0,1'])],MATCH(Tabelle1014[[#This Row],[Rank]],Stammdaten[Rank Verteilung Ovalität],0))</f>
        <v>#N/A</v>
      </c>
      <c r="AB378" t="e">
        <f>VLOOKUP(Tabelle1014[[#This Row],[Rank]],Stammdaten[[Rank Verteilung Ovalität]:[Verteilung Ovalität]],2,FALSE)</f>
        <v>#N/A</v>
      </c>
    </row>
    <row r="379" spans="5:28" x14ac:dyDescent="0.35">
      <c r="E379">
        <v>370</v>
      </c>
      <c r="F379" t="e">
        <f>INDEX(Stammdaten[D Mitte mit Rinde (mm)],MATCH(Tabelle8[[#This Row],[Rank]],Stammdaten[Rank Verteilung D Mitte mit Rinde],0))</f>
        <v>#N/A</v>
      </c>
      <c r="G379" t="e">
        <f>VLOOKUP(Tabelle8[[#This Row],[Rank]],Stammdaten[[Rank Verteilung D Mitte mit Rinde]:[Verteilung D Mitte mit Rinde]],2,FALSE)</f>
        <v>#N/A</v>
      </c>
      <c r="L379">
        <v>370</v>
      </c>
      <c r="M379" t="e">
        <f>INDEX(Stammdaten[Abholzigkeit (mm/lfm)],MATCH(Tabelle9[[#This Row],[Rank]],Stammdaten[Rank Verteilung Abholzigkeit],0))</f>
        <v>#N/A</v>
      </c>
      <c r="N379" t="e">
        <f>VLOOKUP(Tabelle9[[#This Row],[Rank]],Stammdaten[[Rank Verteilung Abholzigkeit]:[Verteilung Abholzigkeit]],2,FALSE)</f>
        <v>#N/A</v>
      </c>
      <c r="S379">
        <v>370</v>
      </c>
      <c r="T379" t="e">
        <f>INDEX(Stammdaten[Krümmung (mm/lfm)],MATCH(Tabelle10[[#This Row],[Rank]],Stammdaten[Rank Verteilung Krümmung],0))</f>
        <v>#N/A</v>
      </c>
      <c r="U379" t="e">
        <f>VLOOKUP(Tabelle10[[#This Row],[Rank]],Stammdaten[[Rank Verteilung Krümmung]:[Verteilung Krümmung]],2,FALSE)</f>
        <v>#N/A</v>
      </c>
      <c r="Z379">
        <v>370</v>
      </c>
      <c r="AA379" t="e">
        <f>INDEX(Stammdaten[Ovalität (']0,1'])],MATCH(Tabelle1014[[#This Row],[Rank]],Stammdaten[Rank Verteilung Ovalität],0))</f>
        <v>#N/A</v>
      </c>
      <c r="AB379" t="e">
        <f>VLOOKUP(Tabelle1014[[#This Row],[Rank]],Stammdaten[[Rank Verteilung Ovalität]:[Verteilung Ovalität]],2,FALSE)</f>
        <v>#N/A</v>
      </c>
    </row>
    <row r="380" spans="5:28" x14ac:dyDescent="0.35">
      <c r="E380">
        <v>371</v>
      </c>
      <c r="F380" t="e">
        <f>INDEX(Stammdaten[D Mitte mit Rinde (mm)],MATCH(Tabelle8[[#This Row],[Rank]],Stammdaten[Rank Verteilung D Mitte mit Rinde],0))</f>
        <v>#N/A</v>
      </c>
      <c r="G380" t="e">
        <f>VLOOKUP(Tabelle8[[#This Row],[Rank]],Stammdaten[[Rank Verteilung D Mitte mit Rinde]:[Verteilung D Mitte mit Rinde]],2,FALSE)</f>
        <v>#N/A</v>
      </c>
      <c r="L380">
        <v>371</v>
      </c>
      <c r="M380" t="e">
        <f>INDEX(Stammdaten[Abholzigkeit (mm/lfm)],MATCH(Tabelle9[[#This Row],[Rank]],Stammdaten[Rank Verteilung Abholzigkeit],0))</f>
        <v>#N/A</v>
      </c>
      <c r="N380" t="e">
        <f>VLOOKUP(Tabelle9[[#This Row],[Rank]],Stammdaten[[Rank Verteilung Abholzigkeit]:[Verteilung Abholzigkeit]],2,FALSE)</f>
        <v>#N/A</v>
      </c>
      <c r="S380">
        <v>371</v>
      </c>
      <c r="T380" t="e">
        <f>INDEX(Stammdaten[Krümmung (mm/lfm)],MATCH(Tabelle10[[#This Row],[Rank]],Stammdaten[Rank Verteilung Krümmung],0))</f>
        <v>#N/A</v>
      </c>
      <c r="U380" t="e">
        <f>VLOOKUP(Tabelle10[[#This Row],[Rank]],Stammdaten[[Rank Verteilung Krümmung]:[Verteilung Krümmung]],2,FALSE)</f>
        <v>#N/A</v>
      </c>
      <c r="Z380">
        <v>371</v>
      </c>
      <c r="AA380" t="e">
        <f>INDEX(Stammdaten[Ovalität (']0,1'])],MATCH(Tabelle1014[[#This Row],[Rank]],Stammdaten[Rank Verteilung Ovalität],0))</f>
        <v>#N/A</v>
      </c>
      <c r="AB380" t="e">
        <f>VLOOKUP(Tabelle1014[[#This Row],[Rank]],Stammdaten[[Rank Verteilung Ovalität]:[Verteilung Ovalität]],2,FALSE)</f>
        <v>#N/A</v>
      </c>
    </row>
    <row r="381" spans="5:28" x14ac:dyDescent="0.35">
      <c r="E381">
        <v>372</v>
      </c>
      <c r="F381" t="e">
        <f>INDEX(Stammdaten[D Mitte mit Rinde (mm)],MATCH(Tabelle8[[#This Row],[Rank]],Stammdaten[Rank Verteilung D Mitte mit Rinde],0))</f>
        <v>#N/A</v>
      </c>
      <c r="G381" t="e">
        <f>VLOOKUP(Tabelle8[[#This Row],[Rank]],Stammdaten[[Rank Verteilung D Mitte mit Rinde]:[Verteilung D Mitte mit Rinde]],2,FALSE)</f>
        <v>#N/A</v>
      </c>
      <c r="L381">
        <v>372</v>
      </c>
      <c r="M381" t="e">
        <f>INDEX(Stammdaten[Abholzigkeit (mm/lfm)],MATCH(Tabelle9[[#This Row],[Rank]],Stammdaten[Rank Verteilung Abholzigkeit],0))</f>
        <v>#N/A</v>
      </c>
      <c r="N381" t="e">
        <f>VLOOKUP(Tabelle9[[#This Row],[Rank]],Stammdaten[[Rank Verteilung Abholzigkeit]:[Verteilung Abholzigkeit]],2,FALSE)</f>
        <v>#N/A</v>
      </c>
      <c r="S381">
        <v>372</v>
      </c>
      <c r="T381" t="e">
        <f>INDEX(Stammdaten[Krümmung (mm/lfm)],MATCH(Tabelle10[[#This Row],[Rank]],Stammdaten[Rank Verteilung Krümmung],0))</f>
        <v>#N/A</v>
      </c>
      <c r="U381" t="e">
        <f>VLOOKUP(Tabelle10[[#This Row],[Rank]],Stammdaten[[Rank Verteilung Krümmung]:[Verteilung Krümmung]],2,FALSE)</f>
        <v>#N/A</v>
      </c>
      <c r="Z381">
        <v>372</v>
      </c>
      <c r="AA381" t="e">
        <f>INDEX(Stammdaten[Ovalität (']0,1'])],MATCH(Tabelle1014[[#This Row],[Rank]],Stammdaten[Rank Verteilung Ovalität],0))</f>
        <v>#N/A</v>
      </c>
      <c r="AB381" t="e">
        <f>VLOOKUP(Tabelle1014[[#This Row],[Rank]],Stammdaten[[Rank Verteilung Ovalität]:[Verteilung Ovalität]],2,FALSE)</f>
        <v>#N/A</v>
      </c>
    </row>
    <row r="382" spans="5:28" x14ac:dyDescent="0.35">
      <c r="E382">
        <v>373</v>
      </c>
      <c r="F382" t="e">
        <f>INDEX(Stammdaten[D Mitte mit Rinde (mm)],MATCH(Tabelle8[[#This Row],[Rank]],Stammdaten[Rank Verteilung D Mitte mit Rinde],0))</f>
        <v>#N/A</v>
      </c>
      <c r="G382" t="e">
        <f>VLOOKUP(Tabelle8[[#This Row],[Rank]],Stammdaten[[Rank Verteilung D Mitte mit Rinde]:[Verteilung D Mitte mit Rinde]],2,FALSE)</f>
        <v>#N/A</v>
      </c>
      <c r="L382">
        <v>373</v>
      </c>
      <c r="M382" t="e">
        <f>INDEX(Stammdaten[Abholzigkeit (mm/lfm)],MATCH(Tabelle9[[#This Row],[Rank]],Stammdaten[Rank Verteilung Abholzigkeit],0))</f>
        <v>#N/A</v>
      </c>
      <c r="N382" t="e">
        <f>VLOOKUP(Tabelle9[[#This Row],[Rank]],Stammdaten[[Rank Verteilung Abholzigkeit]:[Verteilung Abholzigkeit]],2,FALSE)</f>
        <v>#N/A</v>
      </c>
      <c r="S382">
        <v>373</v>
      </c>
      <c r="T382" t="e">
        <f>INDEX(Stammdaten[Krümmung (mm/lfm)],MATCH(Tabelle10[[#This Row],[Rank]],Stammdaten[Rank Verteilung Krümmung],0))</f>
        <v>#N/A</v>
      </c>
      <c r="U382" t="e">
        <f>VLOOKUP(Tabelle10[[#This Row],[Rank]],Stammdaten[[Rank Verteilung Krümmung]:[Verteilung Krümmung]],2,FALSE)</f>
        <v>#N/A</v>
      </c>
      <c r="Z382">
        <v>373</v>
      </c>
      <c r="AA382" t="e">
        <f>INDEX(Stammdaten[Ovalität (']0,1'])],MATCH(Tabelle1014[[#This Row],[Rank]],Stammdaten[Rank Verteilung Ovalität],0))</f>
        <v>#N/A</v>
      </c>
      <c r="AB382" t="e">
        <f>VLOOKUP(Tabelle1014[[#This Row],[Rank]],Stammdaten[[Rank Verteilung Ovalität]:[Verteilung Ovalität]],2,FALSE)</f>
        <v>#N/A</v>
      </c>
    </row>
    <row r="383" spans="5:28" x14ac:dyDescent="0.35">
      <c r="E383">
        <v>374</v>
      </c>
      <c r="F383" t="e">
        <f>INDEX(Stammdaten[D Mitte mit Rinde (mm)],MATCH(Tabelle8[[#This Row],[Rank]],Stammdaten[Rank Verteilung D Mitte mit Rinde],0))</f>
        <v>#N/A</v>
      </c>
      <c r="G383" t="e">
        <f>VLOOKUP(Tabelle8[[#This Row],[Rank]],Stammdaten[[Rank Verteilung D Mitte mit Rinde]:[Verteilung D Mitte mit Rinde]],2,FALSE)</f>
        <v>#N/A</v>
      </c>
      <c r="L383">
        <v>374</v>
      </c>
      <c r="M383" t="e">
        <f>INDEX(Stammdaten[Abholzigkeit (mm/lfm)],MATCH(Tabelle9[[#This Row],[Rank]],Stammdaten[Rank Verteilung Abholzigkeit],0))</f>
        <v>#N/A</v>
      </c>
      <c r="N383" t="e">
        <f>VLOOKUP(Tabelle9[[#This Row],[Rank]],Stammdaten[[Rank Verteilung Abholzigkeit]:[Verteilung Abholzigkeit]],2,FALSE)</f>
        <v>#N/A</v>
      </c>
      <c r="S383">
        <v>374</v>
      </c>
      <c r="T383" t="e">
        <f>INDEX(Stammdaten[Krümmung (mm/lfm)],MATCH(Tabelle10[[#This Row],[Rank]],Stammdaten[Rank Verteilung Krümmung],0))</f>
        <v>#N/A</v>
      </c>
      <c r="U383" t="e">
        <f>VLOOKUP(Tabelle10[[#This Row],[Rank]],Stammdaten[[Rank Verteilung Krümmung]:[Verteilung Krümmung]],2,FALSE)</f>
        <v>#N/A</v>
      </c>
      <c r="Z383">
        <v>374</v>
      </c>
      <c r="AA383" t="e">
        <f>INDEX(Stammdaten[Ovalität (']0,1'])],MATCH(Tabelle1014[[#This Row],[Rank]],Stammdaten[Rank Verteilung Ovalität],0))</f>
        <v>#N/A</v>
      </c>
      <c r="AB383" t="e">
        <f>VLOOKUP(Tabelle1014[[#This Row],[Rank]],Stammdaten[[Rank Verteilung Ovalität]:[Verteilung Ovalität]],2,FALSE)</f>
        <v>#N/A</v>
      </c>
    </row>
    <row r="384" spans="5:28" x14ac:dyDescent="0.35">
      <c r="E384">
        <v>375</v>
      </c>
      <c r="F384" t="e">
        <f>INDEX(Stammdaten[D Mitte mit Rinde (mm)],MATCH(Tabelle8[[#This Row],[Rank]],Stammdaten[Rank Verteilung D Mitte mit Rinde],0))</f>
        <v>#N/A</v>
      </c>
      <c r="G384" t="e">
        <f>VLOOKUP(Tabelle8[[#This Row],[Rank]],Stammdaten[[Rank Verteilung D Mitte mit Rinde]:[Verteilung D Mitte mit Rinde]],2,FALSE)</f>
        <v>#N/A</v>
      </c>
      <c r="L384">
        <v>375</v>
      </c>
      <c r="M384" t="e">
        <f>INDEX(Stammdaten[Abholzigkeit (mm/lfm)],MATCH(Tabelle9[[#This Row],[Rank]],Stammdaten[Rank Verteilung Abholzigkeit],0))</f>
        <v>#N/A</v>
      </c>
      <c r="N384" t="e">
        <f>VLOOKUP(Tabelle9[[#This Row],[Rank]],Stammdaten[[Rank Verteilung Abholzigkeit]:[Verteilung Abholzigkeit]],2,FALSE)</f>
        <v>#N/A</v>
      </c>
      <c r="S384">
        <v>375</v>
      </c>
      <c r="T384" t="e">
        <f>INDEX(Stammdaten[Krümmung (mm/lfm)],MATCH(Tabelle10[[#This Row],[Rank]],Stammdaten[Rank Verteilung Krümmung],0))</f>
        <v>#N/A</v>
      </c>
      <c r="U384" t="e">
        <f>VLOOKUP(Tabelle10[[#This Row],[Rank]],Stammdaten[[Rank Verteilung Krümmung]:[Verteilung Krümmung]],2,FALSE)</f>
        <v>#N/A</v>
      </c>
      <c r="Z384">
        <v>375</v>
      </c>
      <c r="AA384" t="e">
        <f>INDEX(Stammdaten[Ovalität (']0,1'])],MATCH(Tabelle1014[[#This Row],[Rank]],Stammdaten[Rank Verteilung Ovalität],0))</f>
        <v>#N/A</v>
      </c>
      <c r="AB384" t="e">
        <f>VLOOKUP(Tabelle1014[[#This Row],[Rank]],Stammdaten[[Rank Verteilung Ovalität]:[Verteilung Ovalität]],2,FALSE)</f>
        <v>#N/A</v>
      </c>
    </row>
    <row r="385" spans="5:28" x14ac:dyDescent="0.35">
      <c r="E385">
        <v>376</v>
      </c>
      <c r="F385" t="e">
        <f>INDEX(Stammdaten[D Mitte mit Rinde (mm)],MATCH(Tabelle8[[#This Row],[Rank]],Stammdaten[Rank Verteilung D Mitte mit Rinde],0))</f>
        <v>#N/A</v>
      </c>
      <c r="G385" t="e">
        <f>VLOOKUP(Tabelle8[[#This Row],[Rank]],Stammdaten[[Rank Verteilung D Mitte mit Rinde]:[Verteilung D Mitte mit Rinde]],2,FALSE)</f>
        <v>#N/A</v>
      </c>
      <c r="L385">
        <v>376</v>
      </c>
      <c r="M385" t="e">
        <f>INDEX(Stammdaten[Abholzigkeit (mm/lfm)],MATCH(Tabelle9[[#This Row],[Rank]],Stammdaten[Rank Verteilung Abholzigkeit],0))</f>
        <v>#N/A</v>
      </c>
      <c r="N385" t="e">
        <f>VLOOKUP(Tabelle9[[#This Row],[Rank]],Stammdaten[[Rank Verteilung Abholzigkeit]:[Verteilung Abholzigkeit]],2,FALSE)</f>
        <v>#N/A</v>
      </c>
      <c r="S385">
        <v>376</v>
      </c>
      <c r="T385" t="e">
        <f>INDEX(Stammdaten[Krümmung (mm/lfm)],MATCH(Tabelle10[[#This Row],[Rank]],Stammdaten[Rank Verteilung Krümmung],0))</f>
        <v>#N/A</v>
      </c>
      <c r="U385" t="e">
        <f>VLOOKUP(Tabelle10[[#This Row],[Rank]],Stammdaten[[Rank Verteilung Krümmung]:[Verteilung Krümmung]],2,FALSE)</f>
        <v>#N/A</v>
      </c>
      <c r="Z385">
        <v>376</v>
      </c>
      <c r="AA385" t="e">
        <f>INDEX(Stammdaten[Ovalität (']0,1'])],MATCH(Tabelle1014[[#This Row],[Rank]],Stammdaten[Rank Verteilung Ovalität],0))</f>
        <v>#N/A</v>
      </c>
      <c r="AB385" t="e">
        <f>VLOOKUP(Tabelle1014[[#This Row],[Rank]],Stammdaten[[Rank Verteilung Ovalität]:[Verteilung Ovalität]],2,FALSE)</f>
        <v>#N/A</v>
      </c>
    </row>
    <row r="386" spans="5:28" x14ac:dyDescent="0.35">
      <c r="E386">
        <v>377</v>
      </c>
      <c r="F386" t="e">
        <f>INDEX(Stammdaten[D Mitte mit Rinde (mm)],MATCH(Tabelle8[[#This Row],[Rank]],Stammdaten[Rank Verteilung D Mitte mit Rinde],0))</f>
        <v>#N/A</v>
      </c>
      <c r="G386" t="e">
        <f>VLOOKUP(Tabelle8[[#This Row],[Rank]],Stammdaten[[Rank Verteilung D Mitte mit Rinde]:[Verteilung D Mitte mit Rinde]],2,FALSE)</f>
        <v>#N/A</v>
      </c>
      <c r="L386">
        <v>377</v>
      </c>
      <c r="M386" t="e">
        <f>INDEX(Stammdaten[Abholzigkeit (mm/lfm)],MATCH(Tabelle9[[#This Row],[Rank]],Stammdaten[Rank Verteilung Abholzigkeit],0))</f>
        <v>#N/A</v>
      </c>
      <c r="N386" t="e">
        <f>VLOOKUP(Tabelle9[[#This Row],[Rank]],Stammdaten[[Rank Verteilung Abholzigkeit]:[Verteilung Abholzigkeit]],2,FALSE)</f>
        <v>#N/A</v>
      </c>
      <c r="S386">
        <v>377</v>
      </c>
      <c r="T386" t="e">
        <f>INDEX(Stammdaten[Krümmung (mm/lfm)],MATCH(Tabelle10[[#This Row],[Rank]],Stammdaten[Rank Verteilung Krümmung],0))</f>
        <v>#N/A</v>
      </c>
      <c r="U386" t="e">
        <f>VLOOKUP(Tabelle10[[#This Row],[Rank]],Stammdaten[[Rank Verteilung Krümmung]:[Verteilung Krümmung]],2,FALSE)</f>
        <v>#N/A</v>
      </c>
      <c r="Z386">
        <v>377</v>
      </c>
      <c r="AA386" t="e">
        <f>INDEX(Stammdaten[Ovalität (']0,1'])],MATCH(Tabelle1014[[#This Row],[Rank]],Stammdaten[Rank Verteilung Ovalität],0))</f>
        <v>#N/A</v>
      </c>
      <c r="AB386" t="e">
        <f>VLOOKUP(Tabelle1014[[#This Row],[Rank]],Stammdaten[[Rank Verteilung Ovalität]:[Verteilung Ovalität]],2,FALSE)</f>
        <v>#N/A</v>
      </c>
    </row>
    <row r="387" spans="5:28" x14ac:dyDescent="0.35">
      <c r="E387">
        <v>378</v>
      </c>
      <c r="F387" t="e">
        <f>INDEX(Stammdaten[D Mitte mit Rinde (mm)],MATCH(Tabelle8[[#This Row],[Rank]],Stammdaten[Rank Verteilung D Mitte mit Rinde],0))</f>
        <v>#N/A</v>
      </c>
      <c r="G387" t="e">
        <f>VLOOKUP(Tabelle8[[#This Row],[Rank]],Stammdaten[[Rank Verteilung D Mitte mit Rinde]:[Verteilung D Mitte mit Rinde]],2,FALSE)</f>
        <v>#N/A</v>
      </c>
      <c r="L387">
        <v>378</v>
      </c>
      <c r="M387" t="e">
        <f>INDEX(Stammdaten[Abholzigkeit (mm/lfm)],MATCH(Tabelle9[[#This Row],[Rank]],Stammdaten[Rank Verteilung Abholzigkeit],0))</f>
        <v>#N/A</v>
      </c>
      <c r="N387" t="e">
        <f>VLOOKUP(Tabelle9[[#This Row],[Rank]],Stammdaten[[Rank Verteilung Abholzigkeit]:[Verteilung Abholzigkeit]],2,FALSE)</f>
        <v>#N/A</v>
      </c>
      <c r="S387">
        <v>378</v>
      </c>
      <c r="T387" t="e">
        <f>INDEX(Stammdaten[Krümmung (mm/lfm)],MATCH(Tabelle10[[#This Row],[Rank]],Stammdaten[Rank Verteilung Krümmung],0))</f>
        <v>#N/A</v>
      </c>
      <c r="U387" t="e">
        <f>VLOOKUP(Tabelle10[[#This Row],[Rank]],Stammdaten[[Rank Verteilung Krümmung]:[Verteilung Krümmung]],2,FALSE)</f>
        <v>#N/A</v>
      </c>
      <c r="Z387">
        <v>378</v>
      </c>
      <c r="AA387" t="e">
        <f>INDEX(Stammdaten[Ovalität (']0,1'])],MATCH(Tabelle1014[[#This Row],[Rank]],Stammdaten[Rank Verteilung Ovalität],0))</f>
        <v>#N/A</v>
      </c>
      <c r="AB387" t="e">
        <f>VLOOKUP(Tabelle1014[[#This Row],[Rank]],Stammdaten[[Rank Verteilung Ovalität]:[Verteilung Ovalität]],2,FALSE)</f>
        <v>#N/A</v>
      </c>
    </row>
    <row r="388" spans="5:28" x14ac:dyDescent="0.35">
      <c r="E388">
        <v>379</v>
      </c>
      <c r="F388" t="e">
        <f>INDEX(Stammdaten[D Mitte mit Rinde (mm)],MATCH(Tabelle8[[#This Row],[Rank]],Stammdaten[Rank Verteilung D Mitte mit Rinde],0))</f>
        <v>#N/A</v>
      </c>
      <c r="G388" t="e">
        <f>VLOOKUP(Tabelle8[[#This Row],[Rank]],Stammdaten[[Rank Verteilung D Mitte mit Rinde]:[Verteilung D Mitte mit Rinde]],2,FALSE)</f>
        <v>#N/A</v>
      </c>
      <c r="L388">
        <v>379</v>
      </c>
      <c r="M388" t="e">
        <f>INDEX(Stammdaten[Abholzigkeit (mm/lfm)],MATCH(Tabelle9[[#This Row],[Rank]],Stammdaten[Rank Verteilung Abholzigkeit],0))</f>
        <v>#N/A</v>
      </c>
      <c r="N388" t="e">
        <f>VLOOKUP(Tabelle9[[#This Row],[Rank]],Stammdaten[[Rank Verteilung Abholzigkeit]:[Verteilung Abholzigkeit]],2,FALSE)</f>
        <v>#N/A</v>
      </c>
      <c r="S388">
        <v>379</v>
      </c>
      <c r="T388" t="e">
        <f>INDEX(Stammdaten[Krümmung (mm/lfm)],MATCH(Tabelle10[[#This Row],[Rank]],Stammdaten[Rank Verteilung Krümmung],0))</f>
        <v>#N/A</v>
      </c>
      <c r="U388" t="e">
        <f>VLOOKUP(Tabelle10[[#This Row],[Rank]],Stammdaten[[Rank Verteilung Krümmung]:[Verteilung Krümmung]],2,FALSE)</f>
        <v>#N/A</v>
      </c>
      <c r="Z388">
        <v>379</v>
      </c>
      <c r="AA388" t="e">
        <f>INDEX(Stammdaten[Ovalität (']0,1'])],MATCH(Tabelle1014[[#This Row],[Rank]],Stammdaten[Rank Verteilung Ovalität],0))</f>
        <v>#N/A</v>
      </c>
      <c r="AB388" t="e">
        <f>VLOOKUP(Tabelle1014[[#This Row],[Rank]],Stammdaten[[Rank Verteilung Ovalität]:[Verteilung Ovalität]],2,FALSE)</f>
        <v>#N/A</v>
      </c>
    </row>
    <row r="389" spans="5:28" x14ac:dyDescent="0.35">
      <c r="E389">
        <v>380</v>
      </c>
      <c r="F389" t="e">
        <f>INDEX(Stammdaten[D Mitte mit Rinde (mm)],MATCH(Tabelle8[[#This Row],[Rank]],Stammdaten[Rank Verteilung D Mitte mit Rinde],0))</f>
        <v>#N/A</v>
      </c>
      <c r="G389" t="e">
        <f>VLOOKUP(Tabelle8[[#This Row],[Rank]],Stammdaten[[Rank Verteilung D Mitte mit Rinde]:[Verteilung D Mitte mit Rinde]],2,FALSE)</f>
        <v>#N/A</v>
      </c>
      <c r="L389">
        <v>380</v>
      </c>
      <c r="M389" t="e">
        <f>INDEX(Stammdaten[Abholzigkeit (mm/lfm)],MATCH(Tabelle9[[#This Row],[Rank]],Stammdaten[Rank Verteilung Abholzigkeit],0))</f>
        <v>#N/A</v>
      </c>
      <c r="N389" t="e">
        <f>VLOOKUP(Tabelle9[[#This Row],[Rank]],Stammdaten[[Rank Verteilung Abholzigkeit]:[Verteilung Abholzigkeit]],2,FALSE)</f>
        <v>#N/A</v>
      </c>
      <c r="S389">
        <v>380</v>
      </c>
      <c r="T389" t="e">
        <f>INDEX(Stammdaten[Krümmung (mm/lfm)],MATCH(Tabelle10[[#This Row],[Rank]],Stammdaten[Rank Verteilung Krümmung],0))</f>
        <v>#N/A</v>
      </c>
      <c r="U389" t="e">
        <f>VLOOKUP(Tabelle10[[#This Row],[Rank]],Stammdaten[[Rank Verteilung Krümmung]:[Verteilung Krümmung]],2,FALSE)</f>
        <v>#N/A</v>
      </c>
      <c r="Z389">
        <v>380</v>
      </c>
      <c r="AA389" t="e">
        <f>INDEX(Stammdaten[Ovalität (']0,1'])],MATCH(Tabelle1014[[#This Row],[Rank]],Stammdaten[Rank Verteilung Ovalität],0))</f>
        <v>#N/A</v>
      </c>
      <c r="AB389" t="e">
        <f>VLOOKUP(Tabelle1014[[#This Row],[Rank]],Stammdaten[[Rank Verteilung Ovalität]:[Verteilung Ovalität]],2,FALSE)</f>
        <v>#N/A</v>
      </c>
    </row>
    <row r="390" spans="5:28" x14ac:dyDescent="0.35">
      <c r="E390">
        <v>381</v>
      </c>
      <c r="F390" t="e">
        <f>INDEX(Stammdaten[D Mitte mit Rinde (mm)],MATCH(Tabelle8[[#This Row],[Rank]],Stammdaten[Rank Verteilung D Mitte mit Rinde],0))</f>
        <v>#N/A</v>
      </c>
      <c r="G390" t="e">
        <f>VLOOKUP(Tabelle8[[#This Row],[Rank]],Stammdaten[[Rank Verteilung D Mitte mit Rinde]:[Verteilung D Mitte mit Rinde]],2,FALSE)</f>
        <v>#N/A</v>
      </c>
      <c r="L390">
        <v>381</v>
      </c>
      <c r="M390" t="e">
        <f>INDEX(Stammdaten[Abholzigkeit (mm/lfm)],MATCH(Tabelle9[[#This Row],[Rank]],Stammdaten[Rank Verteilung Abholzigkeit],0))</f>
        <v>#N/A</v>
      </c>
      <c r="N390" t="e">
        <f>VLOOKUP(Tabelle9[[#This Row],[Rank]],Stammdaten[[Rank Verteilung Abholzigkeit]:[Verteilung Abholzigkeit]],2,FALSE)</f>
        <v>#N/A</v>
      </c>
      <c r="S390">
        <v>381</v>
      </c>
      <c r="T390" t="e">
        <f>INDEX(Stammdaten[Krümmung (mm/lfm)],MATCH(Tabelle10[[#This Row],[Rank]],Stammdaten[Rank Verteilung Krümmung],0))</f>
        <v>#N/A</v>
      </c>
      <c r="U390" t="e">
        <f>VLOOKUP(Tabelle10[[#This Row],[Rank]],Stammdaten[[Rank Verteilung Krümmung]:[Verteilung Krümmung]],2,FALSE)</f>
        <v>#N/A</v>
      </c>
      <c r="Z390">
        <v>381</v>
      </c>
      <c r="AA390" t="e">
        <f>INDEX(Stammdaten[Ovalität (']0,1'])],MATCH(Tabelle1014[[#This Row],[Rank]],Stammdaten[Rank Verteilung Ovalität],0))</f>
        <v>#N/A</v>
      </c>
      <c r="AB390" t="e">
        <f>VLOOKUP(Tabelle1014[[#This Row],[Rank]],Stammdaten[[Rank Verteilung Ovalität]:[Verteilung Ovalität]],2,FALSE)</f>
        <v>#N/A</v>
      </c>
    </row>
    <row r="391" spans="5:28" x14ac:dyDescent="0.35">
      <c r="E391">
        <v>382</v>
      </c>
      <c r="F391" t="e">
        <f>INDEX(Stammdaten[D Mitte mit Rinde (mm)],MATCH(Tabelle8[[#This Row],[Rank]],Stammdaten[Rank Verteilung D Mitte mit Rinde],0))</f>
        <v>#N/A</v>
      </c>
      <c r="G391" t="e">
        <f>VLOOKUP(Tabelle8[[#This Row],[Rank]],Stammdaten[[Rank Verteilung D Mitte mit Rinde]:[Verteilung D Mitte mit Rinde]],2,FALSE)</f>
        <v>#N/A</v>
      </c>
      <c r="L391">
        <v>382</v>
      </c>
      <c r="M391" t="e">
        <f>INDEX(Stammdaten[Abholzigkeit (mm/lfm)],MATCH(Tabelle9[[#This Row],[Rank]],Stammdaten[Rank Verteilung Abholzigkeit],0))</f>
        <v>#N/A</v>
      </c>
      <c r="N391" t="e">
        <f>VLOOKUP(Tabelle9[[#This Row],[Rank]],Stammdaten[[Rank Verteilung Abholzigkeit]:[Verteilung Abholzigkeit]],2,FALSE)</f>
        <v>#N/A</v>
      </c>
      <c r="S391">
        <v>382</v>
      </c>
      <c r="T391" t="e">
        <f>INDEX(Stammdaten[Krümmung (mm/lfm)],MATCH(Tabelle10[[#This Row],[Rank]],Stammdaten[Rank Verteilung Krümmung],0))</f>
        <v>#N/A</v>
      </c>
      <c r="U391" t="e">
        <f>VLOOKUP(Tabelle10[[#This Row],[Rank]],Stammdaten[[Rank Verteilung Krümmung]:[Verteilung Krümmung]],2,FALSE)</f>
        <v>#N/A</v>
      </c>
      <c r="Z391">
        <v>382</v>
      </c>
      <c r="AA391" t="e">
        <f>INDEX(Stammdaten[Ovalität (']0,1'])],MATCH(Tabelle1014[[#This Row],[Rank]],Stammdaten[Rank Verteilung Ovalität],0))</f>
        <v>#N/A</v>
      </c>
      <c r="AB391" t="e">
        <f>VLOOKUP(Tabelle1014[[#This Row],[Rank]],Stammdaten[[Rank Verteilung Ovalität]:[Verteilung Ovalität]],2,FALSE)</f>
        <v>#N/A</v>
      </c>
    </row>
    <row r="392" spans="5:28" x14ac:dyDescent="0.35">
      <c r="E392">
        <v>383</v>
      </c>
      <c r="F392" t="e">
        <f>INDEX(Stammdaten[D Mitte mit Rinde (mm)],MATCH(Tabelle8[[#This Row],[Rank]],Stammdaten[Rank Verteilung D Mitte mit Rinde],0))</f>
        <v>#N/A</v>
      </c>
      <c r="G392" t="e">
        <f>VLOOKUP(Tabelle8[[#This Row],[Rank]],Stammdaten[[Rank Verteilung D Mitte mit Rinde]:[Verteilung D Mitte mit Rinde]],2,FALSE)</f>
        <v>#N/A</v>
      </c>
      <c r="L392">
        <v>383</v>
      </c>
      <c r="M392" t="e">
        <f>INDEX(Stammdaten[Abholzigkeit (mm/lfm)],MATCH(Tabelle9[[#This Row],[Rank]],Stammdaten[Rank Verteilung Abholzigkeit],0))</f>
        <v>#N/A</v>
      </c>
      <c r="N392" t="e">
        <f>VLOOKUP(Tabelle9[[#This Row],[Rank]],Stammdaten[[Rank Verteilung Abholzigkeit]:[Verteilung Abholzigkeit]],2,FALSE)</f>
        <v>#N/A</v>
      </c>
      <c r="S392">
        <v>383</v>
      </c>
      <c r="T392" t="e">
        <f>INDEX(Stammdaten[Krümmung (mm/lfm)],MATCH(Tabelle10[[#This Row],[Rank]],Stammdaten[Rank Verteilung Krümmung],0))</f>
        <v>#N/A</v>
      </c>
      <c r="U392" t="e">
        <f>VLOOKUP(Tabelle10[[#This Row],[Rank]],Stammdaten[[Rank Verteilung Krümmung]:[Verteilung Krümmung]],2,FALSE)</f>
        <v>#N/A</v>
      </c>
      <c r="Z392">
        <v>383</v>
      </c>
      <c r="AA392" t="e">
        <f>INDEX(Stammdaten[Ovalität (']0,1'])],MATCH(Tabelle1014[[#This Row],[Rank]],Stammdaten[Rank Verteilung Ovalität],0))</f>
        <v>#N/A</v>
      </c>
      <c r="AB392" t="e">
        <f>VLOOKUP(Tabelle1014[[#This Row],[Rank]],Stammdaten[[Rank Verteilung Ovalität]:[Verteilung Ovalität]],2,FALSE)</f>
        <v>#N/A</v>
      </c>
    </row>
    <row r="393" spans="5:28" x14ac:dyDescent="0.35">
      <c r="E393">
        <v>384</v>
      </c>
      <c r="F393" t="e">
        <f>INDEX(Stammdaten[D Mitte mit Rinde (mm)],MATCH(Tabelle8[[#This Row],[Rank]],Stammdaten[Rank Verteilung D Mitte mit Rinde],0))</f>
        <v>#N/A</v>
      </c>
      <c r="G393" t="e">
        <f>VLOOKUP(Tabelle8[[#This Row],[Rank]],Stammdaten[[Rank Verteilung D Mitte mit Rinde]:[Verteilung D Mitte mit Rinde]],2,FALSE)</f>
        <v>#N/A</v>
      </c>
      <c r="L393">
        <v>384</v>
      </c>
      <c r="M393" t="e">
        <f>INDEX(Stammdaten[Abholzigkeit (mm/lfm)],MATCH(Tabelle9[[#This Row],[Rank]],Stammdaten[Rank Verteilung Abholzigkeit],0))</f>
        <v>#N/A</v>
      </c>
      <c r="N393" t="e">
        <f>VLOOKUP(Tabelle9[[#This Row],[Rank]],Stammdaten[[Rank Verteilung Abholzigkeit]:[Verteilung Abholzigkeit]],2,FALSE)</f>
        <v>#N/A</v>
      </c>
      <c r="S393">
        <v>384</v>
      </c>
      <c r="T393" t="e">
        <f>INDEX(Stammdaten[Krümmung (mm/lfm)],MATCH(Tabelle10[[#This Row],[Rank]],Stammdaten[Rank Verteilung Krümmung],0))</f>
        <v>#N/A</v>
      </c>
      <c r="U393" t="e">
        <f>VLOOKUP(Tabelle10[[#This Row],[Rank]],Stammdaten[[Rank Verteilung Krümmung]:[Verteilung Krümmung]],2,FALSE)</f>
        <v>#N/A</v>
      </c>
      <c r="Z393">
        <v>384</v>
      </c>
      <c r="AA393" t="e">
        <f>INDEX(Stammdaten[Ovalität (']0,1'])],MATCH(Tabelle1014[[#This Row],[Rank]],Stammdaten[Rank Verteilung Ovalität],0))</f>
        <v>#N/A</v>
      </c>
      <c r="AB393" t="e">
        <f>VLOOKUP(Tabelle1014[[#This Row],[Rank]],Stammdaten[[Rank Verteilung Ovalität]:[Verteilung Ovalität]],2,FALSE)</f>
        <v>#N/A</v>
      </c>
    </row>
    <row r="394" spans="5:28" x14ac:dyDescent="0.35">
      <c r="E394">
        <v>385</v>
      </c>
      <c r="F394" t="e">
        <f>INDEX(Stammdaten[D Mitte mit Rinde (mm)],MATCH(Tabelle8[[#This Row],[Rank]],Stammdaten[Rank Verteilung D Mitte mit Rinde],0))</f>
        <v>#N/A</v>
      </c>
      <c r="G394" t="e">
        <f>VLOOKUP(Tabelle8[[#This Row],[Rank]],Stammdaten[[Rank Verteilung D Mitte mit Rinde]:[Verteilung D Mitte mit Rinde]],2,FALSE)</f>
        <v>#N/A</v>
      </c>
      <c r="L394">
        <v>385</v>
      </c>
      <c r="M394" t="e">
        <f>INDEX(Stammdaten[Abholzigkeit (mm/lfm)],MATCH(Tabelle9[[#This Row],[Rank]],Stammdaten[Rank Verteilung Abholzigkeit],0))</f>
        <v>#N/A</v>
      </c>
      <c r="N394" t="e">
        <f>VLOOKUP(Tabelle9[[#This Row],[Rank]],Stammdaten[[Rank Verteilung Abholzigkeit]:[Verteilung Abholzigkeit]],2,FALSE)</f>
        <v>#N/A</v>
      </c>
      <c r="S394">
        <v>385</v>
      </c>
      <c r="T394" t="e">
        <f>INDEX(Stammdaten[Krümmung (mm/lfm)],MATCH(Tabelle10[[#This Row],[Rank]],Stammdaten[Rank Verteilung Krümmung],0))</f>
        <v>#N/A</v>
      </c>
      <c r="U394" t="e">
        <f>VLOOKUP(Tabelle10[[#This Row],[Rank]],Stammdaten[[Rank Verteilung Krümmung]:[Verteilung Krümmung]],2,FALSE)</f>
        <v>#N/A</v>
      </c>
      <c r="Z394">
        <v>385</v>
      </c>
      <c r="AA394" t="e">
        <f>INDEX(Stammdaten[Ovalität (']0,1'])],MATCH(Tabelle1014[[#This Row],[Rank]],Stammdaten[Rank Verteilung Ovalität],0))</f>
        <v>#N/A</v>
      </c>
      <c r="AB394" t="e">
        <f>VLOOKUP(Tabelle1014[[#This Row],[Rank]],Stammdaten[[Rank Verteilung Ovalität]:[Verteilung Ovalität]],2,FALSE)</f>
        <v>#N/A</v>
      </c>
    </row>
    <row r="395" spans="5:28" x14ac:dyDescent="0.35">
      <c r="E395">
        <v>386</v>
      </c>
      <c r="F395" t="e">
        <f>INDEX(Stammdaten[D Mitte mit Rinde (mm)],MATCH(Tabelle8[[#This Row],[Rank]],Stammdaten[Rank Verteilung D Mitte mit Rinde],0))</f>
        <v>#N/A</v>
      </c>
      <c r="G395" t="e">
        <f>VLOOKUP(Tabelle8[[#This Row],[Rank]],Stammdaten[[Rank Verteilung D Mitte mit Rinde]:[Verteilung D Mitte mit Rinde]],2,FALSE)</f>
        <v>#N/A</v>
      </c>
      <c r="L395">
        <v>386</v>
      </c>
      <c r="M395" t="e">
        <f>INDEX(Stammdaten[Abholzigkeit (mm/lfm)],MATCH(Tabelle9[[#This Row],[Rank]],Stammdaten[Rank Verteilung Abholzigkeit],0))</f>
        <v>#N/A</v>
      </c>
      <c r="N395" t="e">
        <f>VLOOKUP(Tabelle9[[#This Row],[Rank]],Stammdaten[[Rank Verteilung Abholzigkeit]:[Verteilung Abholzigkeit]],2,FALSE)</f>
        <v>#N/A</v>
      </c>
      <c r="S395">
        <v>386</v>
      </c>
      <c r="T395" t="e">
        <f>INDEX(Stammdaten[Krümmung (mm/lfm)],MATCH(Tabelle10[[#This Row],[Rank]],Stammdaten[Rank Verteilung Krümmung],0))</f>
        <v>#N/A</v>
      </c>
      <c r="U395" t="e">
        <f>VLOOKUP(Tabelle10[[#This Row],[Rank]],Stammdaten[[Rank Verteilung Krümmung]:[Verteilung Krümmung]],2,FALSE)</f>
        <v>#N/A</v>
      </c>
      <c r="Z395">
        <v>386</v>
      </c>
      <c r="AA395" t="e">
        <f>INDEX(Stammdaten[Ovalität (']0,1'])],MATCH(Tabelle1014[[#This Row],[Rank]],Stammdaten[Rank Verteilung Ovalität],0))</f>
        <v>#N/A</v>
      </c>
      <c r="AB395" t="e">
        <f>VLOOKUP(Tabelle1014[[#This Row],[Rank]],Stammdaten[[Rank Verteilung Ovalität]:[Verteilung Ovalität]],2,FALSE)</f>
        <v>#N/A</v>
      </c>
    </row>
    <row r="396" spans="5:28" x14ac:dyDescent="0.35">
      <c r="E396">
        <v>387</v>
      </c>
      <c r="F396" t="e">
        <f>INDEX(Stammdaten[D Mitte mit Rinde (mm)],MATCH(Tabelle8[[#This Row],[Rank]],Stammdaten[Rank Verteilung D Mitte mit Rinde],0))</f>
        <v>#N/A</v>
      </c>
      <c r="G396" t="e">
        <f>VLOOKUP(Tabelle8[[#This Row],[Rank]],Stammdaten[[Rank Verteilung D Mitte mit Rinde]:[Verteilung D Mitte mit Rinde]],2,FALSE)</f>
        <v>#N/A</v>
      </c>
      <c r="L396">
        <v>387</v>
      </c>
      <c r="M396" t="e">
        <f>INDEX(Stammdaten[Abholzigkeit (mm/lfm)],MATCH(Tabelle9[[#This Row],[Rank]],Stammdaten[Rank Verteilung Abholzigkeit],0))</f>
        <v>#N/A</v>
      </c>
      <c r="N396" t="e">
        <f>VLOOKUP(Tabelle9[[#This Row],[Rank]],Stammdaten[[Rank Verteilung Abholzigkeit]:[Verteilung Abholzigkeit]],2,FALSE)</f>
        <v>#N/A</v>
      </c>
      <c r="S396">
        <v>387</v>
      </c>
      <c r="T396" t="e">
        <f>INDEX(Stammdaten[Krümmung (mm/lfm)],MATCH(Tabelle10[[#This Row],[Rank]],Stammdaten[Rank Verteilung Krümmung],0))</f>
        <v>#N/A</v>
      </c>
      <c r="U396" t="e">
        <f>VLOOKUP(Tabelle10[[#This Row],[Rank]],Stammdaten[[Rank Verteilung Krümmung]:[Verteilung Krümmung]],2,FALSE)</f>
        <v>#N/A</v>
      </c>
      <c r="Z396">
        <v>387</v>
      </c>
      <c r="AA396" t="e">
        <f>INDEX(Stammdaten[Ovalität (']0,1'])],MATCH(Tabelle1014[[#This Row],[Rank]],Stammdaten[Rank Verteilung Ovalität],0))</f>
        <v>#N/A</v>
      </c>
      <c r="AB396" t="e">
        <f>VLOOKUP(Tabelle1014[[#This Row],[Rank]],Stammdaten[[Rank Verteilung Ovalität]:[Verteilung Ovalität]],2,FALSE)</f>
        <v>#N/A</v>
      </c>
    </row>
    <row r="397" spans="5:28" x14ac:dyDescent="0.35">
      <c r="E397">
        <v>388</v>
      </c>
      <c r="F397" t="e">
        <f>INDEX(Stammdaten[D Mitte mit Rinde (mm)],MATCH(Tabelle8[[#This Row],[Rank]],Stammdaten[Rank Verteilung D Mitte mit Rinde],0))</f>
        <v>#N/A</v>
      </c>
      <c r="G397" t="e">
        <f>VLOOKUP(Tabelle8[[#This Row],[Rank]],Stammdaten[[Rank Verteilung D Mitte mit Rinde]:[Verteilung D Mitte mit Rinde]],2,FALSE)</f>
        <v>#N/A</v>
      </c>
      <c r="L397">
        <v>388</v>
      </c>
      <c r="M397" t="e">
        <f>INDEX(Stammdaten[Abholzigkeit (mm/lfm)],MATCH(Tabelle9[[#This Row],[Rank]],Stammdaten[Rank Verteilung Abholzigkeit],0))</f>
        <v>#N/A</v>
      </c>
      <c r="N397" t="e">
        <f>VLOOKUP(Tabelle9[[#This Row],[Rank]],Stammdaten[[Rank Verteilung Abholzigkeit]:[Verteilung Abholzigkeit]],2,FALSE)</f>
        <v>#N/A</v>
      </c>
      <c r="S397">
        <v>388</v>
      </c>
      <c r="T397" t="e">
        <f>INDEX(Stammdaten[Krümmung (mm/lfm)],MATCH(Tabelle10[[#This Row],[Rank]],Stammdaten[Rank Verteilung Krümmung],0))</f>
        <v>#N/A</v>
      </c>
      <c r="U397" t="e">
        <f>VLOOKUP(Tabelle10[[#This Row],[Rank]],Stammdaten[[Rank Verteilung Krümmung]:[Verteilung Krümmung]],2,FALSE)</f>
        <v>#N/A</v>
      </c>
      <c r="Z397">
        <v>388</v>
      </c>
      <c r="AA397" t="e">
        <f>INDEX(Stammdaten[Ovalität (']0,1'])],MATCH(Tabelle1014[[#This Row],[Rank]],Stammdaten[Rank Verteilung Ovalität],0))</f>
        <v>#N/A</v>
      </c>
      <c r="AB397" t="e">
        <f>VLOOKUP(Tabelle1014[[#This Row],[Rank]],Stammdaten[[Rank Verteilung Ovalität]:[Verteilung Ovalität]],2,FALSE)</f>
        <v>#N/A</v>
      </c>
    </row>
    <row r="398" spans="5:28" x14ac:dyDescent="0.35">
      <c r="E398">
        <v>389</v>
      </c>
      <c r="F398" t="e">
        <f>INDEX(Stammdaten[D Mitte mit Rinde (mm)],MATCH(Tabelle8[[#This Row],[Rank]],Stammdaten[Rank Verteilung D Mitte mit Rinde],0))</f>
        <v>#N/A</v>
      </c>
      <c r="G398" t="e">
        <f>VLOOKUP(Tabelle8[[#This Row],[Rank]],Stammdaten[[Rank Verteilung D Mitte mit Rinde]:[Verteilung D Mitte mit Rinde]],2,FALSE)</f>
        <v>#N/A</v>
      </c>
      <c r="L398">
        <v>389</v>
      </c>
      <c r="M398" t="e">
        <f>INDEX(Stammdaten[Abholzigkeit (mm/lfm)],MATCH(Tabelle9[[#This Row],[Rank]],Stammdaten[Rank Verteilung Abholzigkeit],0))</f>
        <v>#N/A</v>
      </c>
      <c r="N398" t="e">
        <f>VLOOKUP(Tabelle9[[#This Row],[Rank]],Stammdaten[[Rank Verteilung Abholzigkeit]:[Verteilung Abholzigkeit]],2,FALSE)</f>
        <v>#N/A</v>
      </c>
      <c r="S398">
        <v>389</v>
      </c>
      <c r="T398" t="e">
        <f>INDEX(Stammdaten[Krümmung (mm/lfm)],MATCH(Tabelle10[[#This Row],[Rank]],Stammdaten[Rank Verteilung Krümmung],0))</f>
        <v>#N/A</v>
      </c>
      <c r="U398" t="e">
        <f>VLOOKUP(Tabelle10[[#This Row],[Rank]],Stammdaten[[Rank Verteilung Krümmung]:[Verteilung Krümmung]],2,FALSE)</f>
        <v>#N/A</v>
      </c>
      <c r="Z398">
        <v>389</v>
      </c>
      <c r="AA398" t="e">
        <f>INDEX(Stammdaten[Ovalität (']0,1'])],MATCH(Tabelle1014[[#This Row],[Rank]],Stammdaten[Rank Verteilung Ovalität],0))</f>
        <v>#N/A</v>
      </c>
      <c r="AB398" t="e">
        <f>VLOOKUP(Tabelle1014[[#This Row],[Rank]],Stammdaten[[Rank Verteilung Ovalität]:[Verteilung Ovalität]],2,FALSE)</f>
        <v>#N/A</v>
      </c>
    </row>
    <row r="399" spans="5:28" x14ac:dyDescent="0.35">
      <c r="E399">
        <v>390</v>
      </c>
      <c r="F399" t="e">
        <f>INDEX(Stammdaten[D Mitte mit Rinde (mm)],MATCH(Tabelle8[[#This Row],[Rank]],Stammdaten[Rank Verteilung D Mitte mit Rinde],0))</f>
        <v>#N/A</v>
      </c>
      <c r="G399" t="e">
        <f>VLOOKUP(Tabelle8[[#This Row],[Rank]],Stammdaten[[Rank Verteilung D Mitte mit Rinde]:[Verteilung D Mitte mit Rinde]],2,FALSE)</f>
        <v>#N/A</v>
      </c>
      <c r="L399">
        <v>390</v>
      </c>
      <c r="M399" t="e">
        <f>INDEX(Stammdaten[Abholzigkeit (mm/lfm)],MATCH(Tabelle9[[#This Row],[Rank]],Stammdaten[Rank Verteilung Abholzigkeit],0))</f>
        <v>#N/A</v>
      </c>
      <c r="N399" t="e">
        <f>VLOOKUP(Tabelle9[[#This Row],[Rank]],Stammdaten[[Rank Verteilung Abholzigkeit]:[Verteilung Abholzigkeit]],2,FALSE)</f>
        <v>#N/A</v>
      </c>
      <c r="S399">
        <v>390</v>
      </c>
      <c r="T399" t="e">
        <f>INDEX(Stammdaten[Krümmung (mm/lfm)],MATCH(Tabelle10[[#This Row],[Rank]],Stammdaten[Rank Verteilung Krümmung],0))</f>
        <v>#N/A</v>
      </c>
      <c r="U399" t="e">
        <f>VLOOKUP(Tabelle10[[#This Row],[Rank]],Stammdaten[[Rank Verteilung Krümmung]:[Verteilung Krümmung]],2,FALSE)</f>
        <v>#N/A</v>
      </c>
      <c r="Z399">
        <v>390</v>
      </c>
      <c r="AA399" t="e">
        <f>INDEX(Stammdaten[Ovalität (']0,1'])],MATCH(Tabelle1014[[#This Row],[Rank]],Stammdaten[Rank Verteilung Ovalität],0))</f>
        <v>#N/A</v>
      </c>
      <c r="AB399" t="e">
        <f>VLOOKUP(Tabelle1014[[#This Row],[Rank]],Stammdaten[[Rank Verteilung Ovalität]:[Verteilung Ovalität]],2,FALSE)</f>
        <v>#N/A</v>
      </c>
    </row>
    <row r="400" spans="5:28" x14ac:dyDescent="0.35">
      <c r="E400">
        <v>391</v>
      </c>
      <c r="F400" t="e">
        <f>INDEX(Stammdaten[D Mitte mit Rinde (mm)],MATCH(Tabelle8[[#This Row],[Rank]],Stammdaten[Rank Verteilung D Mitte mit Rinde],0))</f>
        <v>#N/A</v>
      </c>
      <c r="G400" t="e">
        <f>VLOOKUP(Tabelle8[[#This Row],[Rank]],Stammdaten[[Rank Verteilung D Mitte mit Rinde]:[Verteilung D Mitte mit Rinde]],2,FALSE)</f>
        <v>#N/A</v>
      </c>
      <c r="L400">
        <v>391</v>
      </c>
      <c r="M400" t="e">
        <f>INDEX(Stammdaten[Abholzigkeit (mm/lfm)],MATCH(Tabelle9[[#This Row],[Rank]],Stammdaten[Rank Verteilung Abholzigkeit],0))</f>
        <v>#N/A</v>
      </c>
      <c r="N400" t="e">
        <f>VLOOKUP(Tabelle9[[#This Row],[Rank]],Stammdaten[[Rank Verteilung Abholzigkeit]:[Verteilung Abholzigkeit]],2,FALSE)</f>
        <v>#N/A</v>
      </c>
      <c r="S400">
        <v>391</v>
      </c>
      <c r="T400" t="e">
        <f>INDEX(Stammdaten[Krümmung (mm/lfm)],MATCH(Tabelle10[[#This Row],[Rank]],Stammdaten[Rank Verteilung Krümmung],0))</f>
        <v>#N/A</v>
      </c>
      <c r="U400" t="e">
        <f>VLOOKUP(Tabelle10[[#This Row],[Rank]],Stammdaten[[Rank Verteilung Krümmung]:[Verteilung Krümmung]],2,FALSE)</f>
        <v>#N/A</v>
      </c>
      <c r="Z400">
        <v>391</v>
      </c>
      <c r="AA400" t="e">
        <f>INDEX(Stammdaten[Ovalität (']0,1'])],MATCH(Tabelle1014[[#This Row],[Rank]],Stammdaten[Rank Verteilung Ovalität],0))</f>
        <v>#N/A</v>
      </c>
      <c r="AB400" t="e">
        <f>VLOOKUP(Tabelle1014[[#This Row],[Rank]],Stammdaten[[Rank Verteilung Ovalität]:[Verteilung Ovalität]],2,FALSE)</f>
        <v>#N/A</v>
      </c>
    </row>
    <row r="401" spans="5:28" x14ac:dyDescent="0.35">
      <c r="E401">
        <v>392</v>
      </c>
      <c r="F401" t="e">
        <f>INDEX(Stammdaten[D Mitte mit Rinde (mm)],MATCH(Tabelle8[[#This Row],[Rank]],Stammdaten[Rank Verteilung D Mitte mit Rinde],0))</f>
        <v>#N/A</v>
      </c>
      <c r="G401" t="e">
        <f>VLOOKUP(Tabelle8[[#This Row],[Rank]],Stammdaten[[Rank Verteilung D Mitte mit Rinde]:[Verteilung D Mitte mit Rinde]],2,FALSE)</f>
        <v>#N/A</v>
      </c>
      <c r="L401">
        <v>392</v>
      </c>
      <c r="M401" t="e">
        <f>INDEX(Stammdaten[Abholzigkeit (mm/lfm)],MATCH(Tabelle9[[#This Row],[Rank]],Stammdaten[Rank Verteilung Abholzigkeit],0))</f>
        <v>#N/A</v>
      </c>
      <c r="N401" t="e">
        <f>VLOOKUP(Tabelle9[[#This Row],[Rank]],Stammdaten[[Rank Verteilung Abholzigkeit]:[Verteilung Abholzigkeit]],2,FALSE)</f>
        <v>#N/A</v>
      </c>
      <c r="S401">
        <v>392</v>
      </c>
      <c r="T401" t="e">
        <f>INDEX(Stammdaten[Krümmung (mm/lfm)],MATCH(Tabelle10[[#This Row],[Rank]],Stammdaten[Rank Verteilung Krümmung],0))</f>
        <v>#N/A</v>
      </c>
      <c r="U401" t="e">
        <f>VLOOKUP(Tabelle10[[#This Row],[Rank]],Stammdaten[[Rank Verteilung Krümmung]:[Verteilung Krümmung]],2,FALSE)</f>
        <v>#N/A</v>
      </c>
      <c r="Z401">
        <v>392</v>
      </c>
      <c r="AA401" t="e">
        <f>INDEX(Stammdaten[Ovalität (']0,1'])],MATCH(Tabelle1014[[#This Row],[Rank]],Stammdaten[Rank Verteilung Ovalität],0))</f>
        <v>#N/A</v>
      </c>
      <c r="AB401" t="e">
        <f>VLOOKUP(Tabelle1014[[#This Row],[Rank]],Stammdaten[[Rank Verteilung Ovalität]:[Verteilung Ovalität]],2,FALSE)</f>
        <v>#N/A</v>
      </c>
    </row>
    <row r="402" spans="5:28" x14ac:dyDescent="0.35">
      <c r="E402">
        <v>393</v>
      </c>
      <c r="F402" t="e">
        <f>INDEX(Stammdaten[D Mitte mit Rinde (mm)],MATCH(Tabelle8[[#This Row],[Rank]],Stammdaten[Rank Verteilung D Mitte mit Rinde],0))</f>
        <v>#N/A</v>
      </c>
      <c r="G402" t="e">
        <f>VLOOKUP(Tabelle8[[#This Row],[Rank]],Stammdaten[[Rank Verteilung D Mitte mit Rinde]:[Verteilung D Mitte mit Rinde]],2,FALSE)</f>
        <v>#N/A</v>
      </c>
      <c r="L402">
        <v>393</v>
      </c>
      <c r="M402" t="e">
        <f>INDEX(Stammdaten[Abholzigkeit (mm/lfm)],MATCH(Tabelle9[[#This Row],[Rank]],Stammdaten[Rank Verteilung Abholzigkeit],0))</f>
        <v>#N/A</v>
      </c>
      <c r="N402" t="e">
        <f>VLOOKUP(Tabelle9[[#This Row],[Rank]],Stammdaten[[Rank Verteilung Abholzigkeit]:[Verteilung Abholzigkeit]],2,FALSE)</f>
        <v>#N/A</v>
      </c>
      <c r="S402">
        <v>393</v>
      </c>
      <c r="T402" t="e">
        <f>INDEX(Stammdaten[Krümmung (mm/lfm)],MATCH(Tabelle10[[#This Row],[Rank]],Stammdaten[Rank Verteilung Krümmung],0))</f>
        <v>#N/A</v>
      </c>
      <c r="U402" t="e">
        <f>VLOOKUP(Tabelle10[[#This Row],[Rank]],Stammdaten[[Rank Verteilung Krümmung]:[Verteilung Krümmung]],2,FALSE)</f>
        <v>#N/A</v>
      </c>
      <c r="Z402">
        <v>393</v>
      </c>
      <c r="AA402" t="e">
        <f>INDEX(Stammdaten[Ovalität (']0,1'])],MATCH(Tabelle1014[[#This Row],[Rank]],Stammdaten[Rank Verteilung Ovalität],0))</f>
        <v>#N/A</v>
      </c>
      <c r="AB402" t="e">
        <f>VLOOKUP(Tabelle1014[[#This Row],[Rank]],Stammdaten[[Rank Verteilung Ovalität]:[Verteilung Ovalität]],2,FALSE)</f>
        <v>#N/A</v>
      </c>
    </row>
    <row r="403" spans="5:28" x14ac:dyDescent="0.35">
      <c r="E403">
        <v>394</v>
      </c>
      <c r="F403" t="e">
        <f>INDEX(Stammdaten[D Mitte mit Rinde (mm)],MATCH(Tabelle8[[#This Row],[Rank]],Stammdaten[Rank Verteilung D Mitte mit Rinde],0))</f>
        <v>#N/A</v>
      </c>
      <c r="G403" t="e">
        <f>VLOOKUP(Tabelle8[[#This Row],[Rank]],Stammdaten[[Rank Verteilung D Mitte mit Rinde]:[Verteilung D Mitte mit Rinde]],2,FALSE)</f>
        <v>#N/A</v>
      </c>
      <c r="L403">
        <v>394</v>
      </c>
      <c r="M403" t="e">
        <f>INDEX(Stammdaten[Abholzigkeit (mm/lfm)],MATCH(Tabelle9[[#This Row],[Rank]],Stammdaten[Rank Verteilung Abholzigkeit],0))</f>
        <v>#N/A</v>
      </c>
      <c r="N403" t="e">
        <f>VLOOKUP(Tabelle9[[#This Row],[Rank]],Stammdaten[[Rank Verteilung Abholzigkeit]:[Verteilung Abholzigkeit]],2,FALSE)</f>
        <v>#N/A</v>
      </c>
      <c r="S403">
        <v>394</v>
      </c>
      <c r="T403" t="e">
        <f>INDEX(Stammdaten[Krümmung (mm/lfm)],MATCH(Tabelle10[[#This Row],[Rank]],Stammdaten[Rank Verteilung Krümmung],0))</f>
        <v>#N/A</v>
      </c>
      <c r="U403" t="e">
        <f>VLOOKUP(Tabelle10[[#This Row],[Rank]],Stammdaten[[Rank Verteilung Krümmung]:[Verteilung Krümmung]],2,FALSE)</f>
        <v>#N/A</v>
      </c>
      <c r="Z403">
        <v>394</v>
      </c>
      <c r="AA403" t="e">
        <f>INDEX(Stammdaten[Ovalität (']0,1'])],MATCH(Tabelle1014[[#This Row],[Rank]],Stammdaten[Rank Verteilung Ovalität],0))</f>
        <v>#N/A</v>
      </c>
      <c r="AB403" t="e">
        <f>VLOOKUP(Tabelle1014[[#This Row],[Rank]],Stammdaten[[Rank Verteilung Ovalität]:[Verteilung Ovalität]],2,FALSE)</f>
        <v>#N/A</v>
      </c>
    </row>
    <row r="404" spans="5:28" x14ac:dyDescent="0.35">
      <c r="E404">
        <v>395</v>
      </c>
      <c r="F404" t="e">
        <f>INDEX(Stammdaten[D Mitte mit Rinde (mm)],MATCH(Tabelle8[[#This Row],[Rank]],Stammdaten[Rank Verteilung D Mitte mit Rinde],0))</f>
        <v>#N/A</v>
      </c>
      <c r="G404" t="e">
        <f>VLOOKUP(Tabelle8[[#This Row],[Rank]],Stammdaten[[Rank Verteilung D Mitte mit Rinde]:[Verteilung D Mitte mit Rinde]],2,FALSE)</f>
        <v>#N/A</v>
      </c>
      <c r="L404">
        <v>395</v>
      </c>
      <c r="M404" t="e">
        <f>INDEX(Stammdaten[Abholzigkeit (mm/lfm)],MATCH(Tabelle9[[#This Row],[Rank]],Stammdaten[Rank Verteilung Abholzigkeit],0))</f>
        <v>#N/A</v>
      </c>
      <c r="N404" t="e">
        <f>VLOOKUP(Tabelle9[[#This Row],[Rank]],Stammdaten[[Rank Verteilung Abholzigkeit]:[Verteilung Abholzigkeit]],2,FALSE)</f>
        <v>#N/A</v>
      </c>
      <c r="S404">
        <v>395</v>
      </c>
      <c r="T404" t="e">
        <f>INDEX(Stammdaten[Krümmung (mm/lfm)],MATCH(Tabelle10[[#This Row],[Rank]],Stammdaten[Rank Verteilung Krümmung],0))</f>
        <v>#N/A</v>
      </c>
      <c r="U404" t="e">
        <f>VLOOKUP(Tabelle10[[#This Row],[Rank]],Stammdaten[[Rank Verteilung Krümmung]:[Verteilung Krümmung]],2,FALSE)</f>
        <v>#N/A</v>
      </c>
      <c r="Z404">
        <v>395</v>
      </c>
      <c r="AA404" t="e">
        <f>INDEX(Stammdaten[Ovalität (']0,1'])],MATCH(Tabelle1014[[#This Row],[Rank]],Stammdaten[Rank Verteilung Ovalität],0))</f>
        <v>#N/A</v>
      </c>
      <c r="AB404" t="e">
        <f>VLOOKUP(Tabelle1014[[#This Row],[Rank]],Stammdaten[[Rank Verteilung Ovalität]:[Verteilung Ovalität]],2,FALSE)</f>
        <v>#N/A</v>
      </c>
    </row>
    <row r="405" spans="5:28" x14ac:dyDescent="0.35">
      <c r="E405">
        <v>396</v>
      </c>
      <c r="F405" t="e">
        <f>INDEX(Stammdaten[D Mitte mit Rinde (mm)],MATCH(Tabelle8[[#This Row],[Rank]],Stammdaten[Rank Verteilung D Mitte mit Rinde],0))</f>
        <v>#N/A</v>
      </c>
      <c r="G405" t="e">
        <f>VLOOKUP(Tabelle8[[#This Row],[Rank]],Stammdaten[[Rank Verteilung D Mitte mit Rinde]:[Verteilung D Mitte mit Rinde]],2,FALSE)</f>
        <v>#N/A</v>
      </c>
      <c r="L405">
        <v>396</v>
      </c>
      <c r="M405" t="e">
        <f>INDEX(Stammdaten[Abholzigkeit (mm/lfm)],MATCH(Tabelle9[[#This Row],[Rank]],Stammdaten[Rank Verteilung Abholzigkeit],0))</f>
        <v>#N/A</v>
      </c>
      <c r="N405" t="e">
        <f>VLOOKUP(Tabelle9[[#This Row],[Rank]],Stammdaten[[Rank Verteilung Abholzigkeit]:[Verteilung Abholzigkeit]],2,FALSE)</f>
        <v>#N/A</v>
      </c>
      <c r="S405">
        <v>396</v>
      </c>
      <c r="T405" t="e">
        <f>INDEX(Stammdaten[Krümmung (mm/lfm)],MATCH(Tabelle10[[#This Row],[Rank]],Stammdaten[Rank Verteilung Krümmung],0))</f>
        <v>#N/A</v>
      </c>
      <c r="U405" t="e">
        <f>VLOOKUP(Tabelle10[[#This Row],[Rank]],Stammdaten[[Rank Verteilung Krümmung]:[Verteilung Krümmung]],2,FALSE)</f>
        <v>#N/A</v>
      </c>
      <c r="Z405">
        <v>396</v>
      </c>
      <c r="AA405" t="e">
        <f>INDEX(Stammdaten[Ovalität (']0,1'])],MATCH(Tabelle1014[[#This Row],[Rank]],Stammdaten[Rank Verteilung Ovalität],0))</f>
        <v>#N/A</v>
      </c>
      <c r="AB405" t="e">
        <f>VLOOKUP(Tabelle1014[[#This Row],[Rank]],Stammdaten[[Rank Verteilung Ovalität]:[Verteilung Ovalität]],2,FALSE)</f>
        <v>#N/A</v>
      </c>
    </row>
    <row r="406" spans="5:28" x14ac:dyDescent="0.35">
      <c r="E406">
        <v>397</v>
      </c>
      <c r="F406" t="e">
        <f>INDEX(Stammdaten[D Mitte mit Rinde (mm)],MATCH(Tabelle8[[#This Row],[Rank]],Stammdaten[Rank Verteilung D Mitte mit Rinde],0))</f>
        <v>#N/A</v>
      </c>
      <c r="G406" t="e">
        <f>VLOOKUP(Tabelle8[[#This Row],[Rank]],Stammdaten[[Rank Verteilung D Mitte mit Rinde]:[Verteilung D Mitte mit Rinde]],2,FALSE)</f>
        <v>#N/A</v>
      </c>
      <c r="L406">
        <v>397</v>
      </c>
      <c r="M406" t="e">
        <f>INDEX(Stammdaten[Abholzigkeit (mm/lfm)],MATCH(Tabelle9[[#This Row],[Rank]],Stammdaten[Rank Verteilung Abholzigkeit],0))</f>
        <v>#N/A</v>
      </c>
      <c r="N406" t="e">
        <f>VLOOKUP(Tabelle9[[#This Row],[Rank]],Stammdaten[[Rank Verteilung Abholzigkeit]:[Verteilung Abholzigkeit]],2,FALSE)</f>
        <v>#N/A</v>
      </c>
      <c r="S406">
        <v>397</v>
      </c>
      <c r="T406" t="e">
        <f>INDEX(Stammdaten[Krümmung (mm/lfm)],MATCH(Tabelle10[[#This Row],[Rank]],Stammdaten[Rank Verteilung Krümmung],0))</f>
        <v>#N/A</v>
      </c>
      <c r="U406" t="e">
        <f>VLOOKUP(Tabelle10[[#This Row],[Rank]],Stammdaten[[Rank Verteilung Krümmung]:[Verteilung Krümmung]],2,FALSE)</f>
        <v>#N/A</v>
      </c>
      <c r="Z406">
        <v>397</v>
      </c>
      <c r="AA406" t="e">
        <f>INDEX(Stammdaten[Ovalität (']0,1'])],MATCH(Tabelle1014[[#This Row],[Rank]],Stammdaten[Rank Verteilung Ovalität],0))</f>
        <v>#N/A</v>
      </c>
      <c r="AB406" t="e">
        <f>VLOOKUP(Tabelle1014[[#This Row],[Rank]],Stammdaten[[Rank Verteilung Ovalität]:[Verteilung Ovalität]],2,FALSE)</f>
        <v>#N/A</v>
      </c>
    </row>
    <row r="407" spans="5:28" x14ac:dyDescent="0.35">
      <c r="E407">
        <v>398</v>
      </c>
      <c r="F407" t="e">
        <f>INDEX(Stammdaten[D Mitte mit Rinde (mm)],MATCH(Tabelle8[[#This Row],[Rank]],Stammdaten[Rank Verteilung D Mitte mit Rinde],0))</f>
        <v>#N/A</v>
      </c>
      <c r="G407" t="e">
        <f>VLOOKUP(Tabelle8[[#This Row],[Rank]],Stammdaten[[Rank Verteilung D Mitte mit Rinde]:[Verteilung D Mitte mit Rinde]],2,FALSE)</f>
        <v>#N/A</v>
      </c>
      <c r="L407">
        <v>398</v>
      </c>
      <c r="M407" t="e">
        <f>INDEX(Stammdaten[Abholzigkeit (mm/lfm)],MATCH(Tabelle9[[#This Row],[Rank]],Stammdaten[Rank Verteilung Abholzigkeit],0))</f>
        <v>#N/A</v>
      </c>
      <c r="N407" t="e">
        <f>VLOOKUP(Tabelle9[[#This Row],[Rank]],Stammdaten[[Rank Verteilung Abholzigkeit]:[Verteilung Abholzigkeit]],2,FALSE)</f>
        <v>#N/A</v>
      </c>
      <c r="S407">
        <v>398</v>
      </c>
      <c r="T407" t="e">
        <f>INDEX(Stammdaten[Krümmung (mm/lfm)],MATCH(Tabelle10[[#This Row],[Rank]],Stammdaten[Rank Verteilung Krümmung],0))</f>
        <v>#N/A</v>
      </c>
      <c r="U407" t="e">
        <f>VLOOKUP(Tabelle10[[#This Row],[Rank]],Stammdaten[[Rank Verteilung Krümmung]:[Verteilung Krümmung]],2,FALSE)</f>
        <v>#N/A</v>
      </c>
      <c r="Z407">
        <v>398</v>
      </c>
      <c r="AA407" t="e">
        <f>INDEX(Stammdaten[Ovalität (']0,1'])],MATCH(Tabelle1014[[#This Row],[Rank]],Stammdaten[Rank Verteilung Ovalität],0))</f>
        <v>#N/A</v>
      </c>
      <c r="AB407" t="e">
        <f>VLOOKUP(Tabelle1014[[#This Row],[Rank]],Stammdaten[[Rank Verteilung Ovalität]:[Verteilung Ovalität]],2,FALSE)</f>
        <v>#N/A</v>
      </c>
    </row>
    <row r="408" spans="5:28" x14ac:dyDescent="0.35">
      <c r="E408">
        <v>399</v>
      </c>
      <c r="F408" t="e">
        <f>INDEX(Stammdaten[D Mitte mit Rinde (mm)],MATCH(Tabelle8[[#This Row],[Rank]],Stammdaten[Rank Verteilung D Mitte mit Rinde],0))</f>
        <v>#N/A</v>
      </c>
      <c r="G408" t="e">
        <f>VLOOKUP(Tabelle8[[#This Row],[Rank]],Stammdaten[[Rank Verteilung D Mitte mit Rinde]:[Verteilung D Mitte mit Rinde]],2,FALSE)</f>
        <v>#N/A</v>
      </c>
      <c r="L408">
        <v>399</v>
      </c>
      <c r="M408" t="e">
        <f>INDEX(Stammdaten[Abholzigkeit (mm/lfm)],MATCH(Tabelle9[[#This Row],[Rank]],Stammdaten[Rank Verteilung Abholzigkeit],0))</f>
        <v>#N/A</v>
      </c>
      <c r="N408" t="e">
        <f>VLOOKUP(Tabelle9[[#This Row],[Rank]],Stammdaten[[Rank Verteilung Abholzigkeit]:[Verteilung Abholzigkeit]],2,FALSE)</f>
        <v>#N/A</v>
      </c>
      <c r="S408">
        <v>399</v>
      </c>
      <c r="T408" t="e">
        <f>INDEX(Stammdaten[Krümmung (mm/lfm)],MATCH(Tabelle10[[#This Row],[Rank]],Stammdaten[Rank Verteilung Krümmung],0))</f>
        <v>#N/A</v>
      </c>
      <c r="U408" t="e">
        <f>VLOOKUP(Tabelle10[[#This Row],[Rank]],Stammdaten[[Rank Verteilung Krümmung]:[Verteilung Krümmung]],2,FALSE)</f>
        <v>#N/A</v>
      </c>
      <c r="Z408">
        <v>399</v>
      </c>
      <c r="AA408" t="e">
        <f>INDEX(Stammdaten[Ovalität (']0,1'])],MATCH(Tabelle1014[[#This Row],[Rank]],Stammdaten[Rank Verteilung Ovalität],0))</f>
        <v>#N/A</v>
      </c>
      <c r="AB408" t="e">
        <f>VLOOKUP(Tabelle1014[[#This Row],[Rank]],Stammdaten[[Rank Verteilung Ovalität]:[Verteilung Ovalität]],2,FALSE)</f>
        <v>#N/A</v>
      </c>
    </row>
    <row r="409" spans="5:28" x14ac:dyDescent="0.35">
      <c r="E409">
        <v>400</v>
      </c>
      <c r="F409" t="e">
        <f>INDEX(Stammdaten[D Mitte mit Rinde (mm)],MATCH(Tabelle8[[#This Row],[Rank]],Stammdaten[Rank Verteilung D Mitte mit Rinde],0))</f>
        <v>#N/A</v>
      </c>
      <c r="G409" t="e">
        <f>VLOOKUP(Tabelle8[[#This Row],[Rank]],Stammdaten[[Rank Verteilung D Mitte mit Rinde]:[Verteilung D Mitte mit Rinde]],2,FALSE)</f>
        <v>#N/A</v>
      </c>
      <c r="L409">
        <v>400</v>
      </c>
      <c r="M409" t="e">
        <f>INDEX(Stammdaten[Abholzigkeit (mm/lfm)],MATCH(Tabelle9[[#This Row],[Rank]],Stammdaten[Rank Verteilung Abholzigkeit],0))</f>
        <v>#N/A</v>
      </c>
      <c r="N409" t="e">
        <f>VLOOKUP(Tabelle9[[#This Row],[Rank]],Stammdaten[[Rank Verteilung Abholzigkeit]:[Verteilung Abholzigkeit]],2,FALSE)</f>
        <v>#N/A</v>
      </c>
      <c r="S409">
        <v>400</v>
      </c>
      <c r="T409" t="e">
        <f>INDEX(Stammdaten[Krümmung (mm/lfm)],MATCH(Tabelle10[[#This Row],[Rank]],Stammdaten[Rank Verteilung Krümmung],0))</f>
        <v>#N/A</v>
      </c>
      <c r="U409" t="e">
        <f>VLOOKUP(Tabelle10[[#This Row],[Rank]],Stammdaten[[Rank Verteilung Krümmung]:[Verteilung Krümmung]],2,FALSE)</f>
        <v>#N/A</v>
      </c>
      <c r="Z409">
        <v>400</v>
      </c>
      <c r="AA409" t="e">
        <f>INDEX(Stammdaten[Ovalität (']0,1'])],MATCH(Tabelle1014[[#This Row],[Rank]],Stammdaten[Rank Verteilung Ovalität],0))</f>
        <v>#N/A</v>
      </c>
      <c r="AB409" t="e">
        <f>VLOOKUP(Tabelle1014[[#This Row],[Rank]],Stammdaten[[Rank Verteilung Ovalität]:[Verteilung Ovalität]],2,FALSE)</f>
        <v>#N/A</v>
      </c>
    </row>
    <row r="410" spans="5:28" x14ac:dyDescent="0.35">
      <c r="E410">
        <v>401</v>
      </c>
      <c r="F410" t="e">
        <f>INDEX(Stammdaten[D Mitte mit Rinde (mm)],MATCH(Tabelle8[[#This Row],[Rank]],Stammdaten[Rank Verteilung D Mitte mit Rinde],0))</f>
        <v>#N/A</v>
      </c>
      <c r="G410" t="e">
        <f>VLOOKUP(Tabelle8[[#This Row],[Rank]],Stammdaten[[Rank Verteilung D Mitte mit Rinde]:[Verteilung D Mitte mit Rinde]],2,FALSE)</f>
        <v>#N/A</v>
      </c>
      <c r="L410">
        <v>401</v>
      </c>
      <c r="M410" t="e">
        <f>INDEX(Stammdaten[Abholzigkeit (mm/lfm)],MATCH(Tabelle9[[#This Row],[Rank]],Stammdaten[Rank Verteilung Abholzigkeit],0))</f>
        <v>#N/A</v>
      </c>
      <c r="N410" t="e">
        <f>VLOOKUP(Tabelle9[[#This Row],[Rank]],Stammdaten[[Rank Verteilung Abholzigkeit]:[Verteilung Abholzigkeit]],2,FALSE)</f>
        <v>#N/A</v>
      </c>
      <c r="S410">
        <v>401</v>
      </c>
      <c r="T410" t="e">
        <f>INDEX(Stammdaten[Krümmung (mm/lfm)],MATCH(Tabelle10[[#This Row],[Rank]],Stammdaten[Rank Verteilung Krümmung],0))</f>
        <v>#N/A</v>
      </c>
      <c r="U410" t="e">
        <f>VLOOKUP(Tabelle10[[#This Row],[Rank]],Stammdaten[[Rank Verteilung Krümmung]:[Verteilung Krümmung]],2,FALSE)</f>
        <v>#N/A</v>
      </c>
      <c r="Z410">
        <v>401</v>
      </c>
      <c r="AA410" t="e">
        <f>INDEX(Stammdaten[Ovalität (']0,1'])],MATCH(Tabelle1014[[#This Row],[Rank]],Stammdaten[Rank Verteilung Ovalität],0))</f>
        <v>#N/A</v>
      </c>
      <c r="AB410" t="e">
        <f>VLOOKUP(Tabelle1014[[#This Row],[Rank]],Stammdaten[[Rank Verteilung Ovalität]:[Verteilung Ovalität]],2,FALSE)</f>
        <v>#N/A</v>
      </c>
    </row>
    <row r="411" spans="5:28" x14ac:dyDescent="0.35">
      <c r="E411">
        <v>402</v>
      </c>
      <c r="F411" t="e">
        <f>INDEX(Stammdaten[D Mitte mit Rinde (mm)],MATCH(Tabelle8[[#This Row],[Rank]],Stammdaten[Rank Verteilung D Mitte mit Rinde],0))</f>
        <v>#N/A</v>
      </c>
      <c r="G411" t="e">
        <f>VLOOKUP(Tabelle8[[#This Row],[Rank]],Stammdaten[[Rank Verteilung D Mitte mit Rinde]:[Verteilung D Mitte mit Rinde]],2,FALSE)</f>
        <v>#N/A</v>
      </c>
      <c r="L411">
        <v>402</v>
      </c>
      <c r="M411" t="e">
        <f>INDEX(Stammdaten[Abholzigkeit (mm/lfm)],MATCH(Tabelle9[[#This Row],[Rank]],Stammdaten[Rank Verteilung Abholzigkeit],0))</f>
        <v>#N/A</v>
      </c>
      <c r="N411" t="e">
        <f>VLOOKUP(Tabelle9[[#This Row],[Rank]],Stammdaten[[Rank Verteilung Abholzigkeit]:[Verteilung Abholzigkeit]],2,FALSE)</f>
        <v>#N/A</v>
      </c>
      <c r="S411">
        <v>402</v>
      </c>
      <c r="T411" t="e">
        <f>INDEX(Stammdaten[Krümmung (mm/lfm)],MATCH(Tabelle10[[#This Row],[Rank]],Stammdaten[Rank Verteilung Krümmung],0))</f>
        <v>#N/A</v>
      </c>
      <c r="U411" t="e">
        <f>VLOOKUP(Tabelle10[[#This Row],[Rank]],Stammdaten[[Rank Verteilung Krümmung]:[Verteilung Krümmung]],2,FALSE)</f>
        <v>#N/A</v>
      </c>
      <c r="Z411">
        <v>402</v>
      </c>
      <c r="AA411" t="e">
        <f>INDEX(Stammdaten[Ovalität (']0,1'])],MATCH(Tabelle1014[[#This Row],[Rank]],Stammdaten[Rank Verteilung Ovalität],0))</f>
        <v>#N/A</v>
      </c>
      <c r="AB411" t="e">
        <f>VLOOKUP(Tabelle1014[[#This Row],[Rank]],Stammdaten[[Rank Verteilung Ovalität]:[Verteilung Ovalität]],2,FALSE)</f>
        <v>#N/A</v>
      </c>
    </row>
    <row r="412" spans="5:28" x14ac:dyDescent="0.35">
      <c r="E412">
        <v>403</v>
      </c>
      <c r="F412" t="e">
        <f>INDEX(Stammdaten[D Mitte mit Rinde (mm)],MATCH(Tabelle8[[#This Row],[Rank]],Stammdaten[Rank Verteilung D Mitte mit Rinde],0))</f>
        <v>#N/A</v>
      </c>
      <c r="G412" t="e">
        <f>VLOOKUP(Tabelle8[[#This Row],[Rank]],Stammdaten[[Rank Verteilung D Mitte mit Rinde]:[Verteilung D Mitte mit Rinde]],2,FALSE)</f>
        <v>#N/A</v>
      </c>
      <c r="L412">
        <v>403</v>
      </c>
      <c r="M412" t="e">
        <f>INDEX(Stammdaten[Abholzigkeit (mm/lfm)],MATCH(Tabelle9[[#This Row],[Rank]],Stammdaten[Rank Verteilung Abholzigkeit],0))</f>
        <v>#N/A</v>
      </c>
      <c r="N412" t="e">
        <f>VLOOKUP(Tabelle9[[#This Row],[Rank]],Stammdaten[[Rank Verteilung Abholzigkeit]:[Verteilung Abholzigkeit]],2,FALSE)</f>
        <v>#N/A</v>
      </c>
      <c r="S412">
        <v>403</v>
      </c>
      <c r="T412" t="e">
        <f>INDEX(Stammdaten[Krümmung (mm/lfm)],MATCH(Tabelle10[[#This Row],[Rank]],Stammdaten[Rank Verteilung Krümmung],0))</f>
        <v>#N/A</v>
      </c>
      <c r="U412" t="e">
        <f>VLOOKUP(Tabelle10[[#This Row],[Rank]],Stammdaten[[Rank Verteilung Krümmung]:[Verteilung Krümmung]],2,FALSE)</f>
        <v>#N/A</v>
      </c>
      <c r="Z412">
        <v>403</v>
      </c>
      <c r="AA412" t="e">
        <f>INDEX(Stammdaten[Ovalität (']0,1'])],MATCH(Tabelle1014[[#This Row],[Rank]],Stammdaten[Rank Verteilung Ovalität],0))</f>
        <v>#N/A</v>
      </c>
      <c r="AB412" t="e">
        <f>VLOOKUP(Tabelle1014[[#This Row],[Rank]],Stammdaten[[Rank Verteilung Ovalität]:[Verteilung Ovalität]],2,FALSE)</f>
        <v>#N/A</v>
      </c>
    </row>
    <row r="413" spans="5:28" x14ac:dyDescent="0.35">
      <c r="E413">
        <v>404</v>
      </c>
      <c r="F413" t="e">
        <f>INDEX(Stammdaten[D Mitte mit Rinde (mm)],MATCH(Tabelle8[[#This Row],[Rank]],Stammdaten[Rank Verteilung D Mitte mit Rinde],0))</f>
        <v>#N/A</v>
      </c>
      <c r="G413" t="e">
        <f>VLOOKUP(Tabelle8[[#This Row],[Rank]],Stammdaten[[Rank Verteilung D Mitte mit Rinde]:[Verteilung D Mitte mit Rinde]],2,FALSE)</f>
        <v>#N/A</v>
      </c>
      <c r="L413">
        <v>404</v>
      </c>
      <c r="M413" t="e">
        <f>INDEX(Stammdaten[Abholzigkeit (mm/lfm)],MATCH(Tabelle9[[#This Row],[Rank]],Stammdaten[Rank Verteilung Abholzigkeit],0))</f>
        <v>#N/A</v>
      </c>
      <c r="N413" t="e">
        <f>VLOOKUP(Tabelle9[[#This Row],[Rank]],Stammdaten[[Rank Verteilung Abholzigkeit]:[Verteilung Abholzigkeit]],2,FALSE)</f>
        <v>#N/A</v>
      </c>
      <c r="S413">
        <v>404</v>
      </c>
      <c r="T413" t="e">
        <f>INDEX(Stammdaten[Krümmung (mm/lfm)],MATCH(Tabelle10[[#This Row],[Rank]],Stammdaten[Rank Verteilung Krümmung],0))</f>
        <v>#N/A</v>
      </c>
      <c r="U413" t="e">
        <f>VLOOKUP(Tabelle10[[#This Row],[Rank]],Stammdaten[[Rank Verteilung Krümmung]:[Verteilung Krümmung]],2,FALSE)</f>
        <v>#N/A</v>
      </c>
      <c r="Z413">
        <v>404</v>
      </c>
      <c r="AA413" t="e">
        <f>INDEX(Stammdaten[Ovalität (']0,1'])],MATCH(Tabelle1014[[#This Row],[Rank]],Stammdaten[Rank Verteilung Ovalität],0))</f>
        <v>#N/A</v>
      </c>
      <c r="AB413" t="e">
        <f>VLOOKUP(Tabelle1014[[#This Row],[Rank]],Stammdaten[[Rank Verteilung Ovalität]:[Verteilung Ovalität]],2,FALSE)</f>
        <v>#N/A</v>
      </c>
    </row>
    <row r="414" spans="5:28" x14ac:dyDescent="0.35">
      <c r="E414">
        <v>405</v>
      </c>
      <c r="F414" t="e">
        <f>INDEX(Stammdaten[D Mitte mit Rinde (mm)],MATCH(Tabelle8[[#This Row],[Rank]],Stammdaten[Rank Verteilung D Mitte mit Rinde],0))</f>
        <v>#N/A</v>
      </c>
      <c r="G414" t="e">
        <f>VLOOKUP(Tabelle8[[#This Row],[Rank]],Stammdaten[[Rank Verteilung D Mitte mit Rinde]:[Verteilung D Mitte mit Rinde]],2,FALSE)</f>
        <v>#N/A</v>
      </c>
      <c r="L414">
        <v>405</v>
      </c>
      <c r="M414" t="e">
        <f>INDEX(Stammdaten[Abholzigkeit (mm/lfm)],MATCH(Tabelle9[[#This Row],[Rank]],Stammdaten[Rank Verteilung Abholzigkeit],0))</f>
        <v>#N/A</v>
      </c>
      <c r="N414" t="e">
        <f>VLOOKUP(Tabelle9[[#This Row],[Rank]],Stammdaten[[Rank Verteilung Abholzigkeit]:[Verteilung Abholzigkeit]],2,FALSE)</f>
        <v>#N/A</v>
      </c>
      <c r="S414">
        <v>405</v>
      </c>
      <c r="T414" t="e">
        <f>INDEX(Stammdaten[Krümmung (mm/lfm)],MATCH(Tabelle10[[#This Row],[Rank]],Stammdaten[Rank Verteilung Krümmung],0))</f>
        <v>#N/A</v>
      </c>
      <c r="U414" t="e">
        <f>VLOOKUP(Tabelle10[[#This Row],[Rank]],Stammdaten[[Rank Verteilung Krümmung]:[Verteilung Krümmung]],2,FALSE)</f>
        <v>#N/A</v>
      </c>
      <c r="Z414">
        <v>405</v>
      </c>
      <c r="AA414" t="e">
        <f>INDEX(Stammdaten[Ovalität (']0,1'])],MATCH(Tabelle1014[[#This Row],[Rank]],Stammdaten[Rank Verteilung Ovalität],0))</f>
        <v>#N/A</v>
      </c>
      <c r="AB414" t="e">
        <f>VLOOKUP(Tabelle1014[[#This Row],[Rank]],Stammdaten[[Rank Verteilung Ovalität]:[Verteilung Ovalität]],2,FALSE)</f>
        <v>#N/A</v>
      </c>
    </row>
    <row r="415" spans="5:28" x14ac:dyDescent="0.35">
      <c r="E415">
        <v>406</v>
      </c>
      <c r="F415" t="e">
        <f>INDEX(Stammdaten[D Mitte mit Rinde (mm)],MATCH(Tabelle8[[#This Row],[Rank]],Stammdaten[Rank Verteilung D Mitte mit Rinde],0))</f>
        <v>#N/A</v>
      </c>
      <c r="G415" t="e">
        <f>VLOOKUP(Tabelle8[[#This Row],[Rank]],Stammdaten[[Rank Verteilung D Mitte mit Rinde]:[Verteilung D Mitte mit Rinde]],2,FALSE)</f>
        <v>#N/A</v>
      </c>
      <c r="L415">
        <v>406</v>
      </c>
      <c r="M415" t="e">
        <f>INDEX(Stammdaten[Abholzigkeit (mm/lfm)],MATCH(Tabelle9[[#This Row],[Rank]],Stammdaten[Rank Verteilung Abholzigkeit],0))</f>
        <v>#N/A</v>
      </c>
      <c r="N415" t="e">
        <f>VLOOKUP(Tabelle9[[#This Row],[Rank]],Stammdaten[[Rank Verteilung Abholzigkeit]:[Verteilung Abholzigkeit]],2,FALSE)</f>
        <v>#N/A</v>
      </c>
      <c r="S415">
        <v>406</v>
      </c>
      <c r="T415" t="e">
        <f>INDEX(Stammdaten[Krümmung (mm/lfm)],MATCH(Tabelle10[[#This Row],[Rank]],Stammdaten[Rank Verteilung Krümmung],0))</f>
        <v>#N/A</v>
      </c>
      <c r="U415" t="e">
        <f>VLOOKUP(Tabelle10[[#This Row],[Rank]],Stammdaten[[Rank Verteilung Krümmung]:[Verteilung Krümmung]],2,FALSE)</f>
        <v>#N/A</v>
      </c>
      <c r="Z415">
        <v>406</v>
      </c>
      <c r="AA415" t="e">
        <f>INDEX(Stammdaten[Ovalität (']0,1'])],MATCH(Tabelle1014[[#This Row],[Rank]],Stammdaten[Rank Verteilung Ovalität],0))</f>
        <v>#N/A</v>
      </c>
      <c r="AB415" t="e">
        <f>VLOOKUP(Tabelle1014[[#This Row],[Rank]],Stammdaten[[Rank Verteilung Ovalität]:[Verteilung Ovalität]],2,FALSE)</f>
        <v>#N/A</v>
      </c>
    </row>
    <row r="416" spans="5:28" x14ac:dyDescent="0.35">
      <c r="E416">
        <v>407</v>
      </c>
      <c r="F416" t="e">
        <f>INDEX(Stammdaten[D Mitte mit Rinde (mm)],MATCH(Tabelle8[[#This Row],[Rank]],Stammdaten[Rank Verteilung D Mitte mit Rinde],0))</f>
        <v>#N/A</v>
      </c>
      <c r="G416" t="e">
        <f>VLOOKUP(Tabelle8[[#This Row],[Rank]],Stammdaten[[Rank Verteilung D Mitte mit Rinde]:[Verteilung D Mitte mit Rinde]],2,FALSE)</f>
        <v>#N/A</v>
      </c>
      <c r="L416">
        <v>407</v>
      </c>
      <c r="M416" t="e">
        <f>INDEX(Stammdaten[Abholzigkeit (mm/lfm)],MATCH(Tabelle9[[#This Row],[Rank]],Stammdaten[Rank Verteilung Abholzigkeit],0))</f>
        <v>#N/A</v>
      </c>
      <c r="N416" t="e">
        <f>VLOOKUP(Tabelle9[[#This Row],[Rank]],Stammdaten[[Rank Verteilung Abholzigkeit]:[Verteilung Abholzigkeit]],2,FALSE)</f>
        <v>#N/A</v>
      </c>
      <c r="S416">
        <v>407</v>
      </c>
      <c r="T416" t="e">
        <f>INDEX(Stammdaten[Krümmung (mm/lfm)],MATCH(Tabelle10[[#This Row],[Rank]],Stammdaten[Rank Verteilung Krümmung],0))</f>
        <v>#N/A</v>
      </c>
      <c r="U416" t="e">
        <f>VLOOKUP(Tabelle10[[#This Row],[Rank]],Stammdaten[[Rank Verteilung Krümmung]:[Verteilung Krümmung]],2,FALSE)</f>
        <v>#N/A</v>
      </c>
      <c r="Z416">
        <v>407</v>
      </c>
      <c r="AA416" t="e">
        <f>INDEX(Stammdaten[Ovalität (']0,1'])],MATCH(Tabelle1014[[#This Row],[Rank]],Stammdaten[Rank Verteilung Ovalität],0))</f>
        <v>#N/A</v>
      </c>
      <c r="AB416" t="e">
        <f>VLOOKUP(Tabelle1014[[#This Row],[Rank]],Stammdaten[[Rank Verteilung Ovalität]:[Verteilung Ovalität]],2,FALSE)</f>
        <v>#N/A</v>
      </c>
    </row>
    <row r="417" spans="5:28" x14ac:dyDescent="0.35">
      <c r="E417">
        <v>408</v>
      </c>
      <c r="F417" t="e">
        <f>INDEX(Stammdaten[D Mitte mit Rinde (mm)],MATCH(Tabelle8[[#This Row],[Rank]],Stammdaten[Rank Verteilung D Mitte mit Rinde],0))</f>
        <v>#N/A</v>
      </c>
      <c r="G417" t="e">
        <f>VLOOKUP(Tabelle8[[#This Row],[Rank]],Stammdaten[[Rank Verteilung D Mitte mit Rinde]:[Verteilung D Mitte mit Rinde]],2,FALSE)</f>
        <v>#N/A</v>
      </c>
      <c r="L417">
        <v>408</v>
      </c>
      <c r="M417" t="e">
        <f>INDEX(Stammdaten[Abholzigkeit (mm/lfm)],MATCH(Tabelle9[[#This Row],[Rank]],Stammdaten[Rank Verteilung Abholzigkeit],0))</f>
        <v>#N/A</v>
      </c>
      <c r="N417" t="e">
        <f>VLOOKUP(Tabelle9[[#This Row],[Rank]],Stammdaten[[Rank Verteilung Abholzigkeit]:[Verteilung Abholzigkeit]],2,FALSE)</f>
        <v>#N/A</v>
      </c>
      <c r="S417">
        <v>408</v>
      </c>
      <c r="T417" t="e">
        <f>INDEX(Stammdaten[Krümmung (mm/lfm)],MATCH(Tabelle10[[#This Row],[Rank]],Stammdaten[Rank Verteilung Krümmung],0))</f>
        <v>#N/A</v>
      </c>
      <c r="U417" t="e">
        <f>VLOOKUP(Tabelle10[[#This Row],[Rank]],Stammdaten[[Rank Verteilung Krümmung]:[Verteilung Krümmung]],2,FALSE)</f>
        <v>#N/A</v>
      </c>
      <c r="Z417">
        <v>408</v>
      </c>
      <c r="AA417" t="e">
        <f>INDEX(Stammdaten[Ovalität (']0,1'])],MATCH(Tabelle1014[[#This Row],[Rank]],Stammdaten[Rank Verteilung Ovalität],0))</f>
        <v>#N/A</v>
      </c>
      <c r="AB417" t="e">
        <f>VLOOKUP(Tabelle1014[[#This Row],[Rank]],Stammdaten[[Rank Verteilung Ovalität]:[Verteilung Ovalität]],2,FALSE)</f>
        <v>#N/A</v>
      </c>
    </row>
    <row r="418" spans="5:28" x14ac:dyDescent="0.35">
      <c r="E418">
        <v>409</v>
      </c>
      <c r="F418" t="e">
        <f>INDEX(Stammdaten[D Mitte mit Rinde (mm)],MATCH(Tabelle8[[#This Row],[Rank]],Stammdaten[Rank Verteilung D Mitte mit Rinde],0))</f>
        <v>#N/A</v>
      </c>
      <c r="G418" t="e">
        <f>VLOOKUP(Tabelle8[[#This Row],[Rank]],Stammdaten[[Rank Verteilung D Mitte mit Rinde]:[Verteilung D Mitte mit Rinde]],2,FALSE)</f>
        <v>#N/A</v>
      </c>
      <c r="L418">
        <v>409</v>
      </c>
      <c r="M418" t="e">
        <f>INDEX(Stammdaten[Abholzigkeit (mm/lfm)],MATCH(Tabelle9[[#This Row],[Rank]],Stammdaten[Rank Verteilung Abholzigkeit],0))</f>
        <v>#N/A</v>
      </c>
      <c r="N418" t="e">
        <f>VLOOKUP(Tabelle9[[#This Row],[Rank]],Stammdaten[[Rank Verteilung Abholzigkeit]:[Verteilung Abholzigkeit]],2,FALSE)</f>
        <v>#N/A</v>
      </c>
      <c r="S418">
        <v>409</v>
      </c>
      <c r="T418" t="e">
        <f>INDEX(Stammdaten[Krümmung (mm/lfm)],MATCH(Tabelle10[[#This Row],[Rank]],Stammdaten[Rank Verteilung Krümmung],0))</f>
        <v>#N/A</v>
      </c>
      <c r="U418" t="e">
        <f>VLOOKUP(Tabelle10[[#This Row],[Rank]],Stammdaten[[Rank Verteilung Krümmung]:[Verteilung Krümmung]],2,FALSE)</f>
        <v>#N/A</v>
      </c>
      <c r="Z418">
        <v>409</v>
      </c>
      <c r="AA418" t="e">
        <f>INDEX(Stammdaten[Ovalität (']0,1'])],MATCH(Tabelle1014[[#This Row],[Rank]],Stammdaten[Rank Verteilung Ovalität],0))</f>
        <v>#N/A</v>
      </c>
      <c r="AB418" t="e">
        <f>VLOOKUP(Tabelle1014[[#This Row],[Rank]],Stammdaten[[Rank Verteilung Ovalität]:[Verteilung Ovalität]],2,FALSE)</f>
        <v>#N/A</v>
      </c>
    </row>
    <row r="419" spans="5:28" x14ac:dyDescent="0.35">
      <c r="E419">
        <v>410</v>
      </c>
      <c r="F419" t="e">
        <f>INDEX(Stammdaten[D Mitte mit Rinde (mm)],MATCH(Tabelle8[[#This Row],[Rank]],Stammdaten[Rank Verteilung D Mitte mit Rinde],0))</f>
        <v>#N/A</v>
      </c>
      <c r="G419" t="e">
        <f>VLOOKUP(Tabelle8[[#This Row],[Rank]],Stammdaten[[Rank Verteilung D Mitte mit Rinde]:[Verteilung D Mitte mit Rinde]],2,FALSE)</f>
        <v>#N/A</v>
      </c>
      <c r="L419">
        <v>410</v>
      </c>
      <c r="M419" t="e">
        <f>INDEX(Stammdaten[Abholzigkeit (mm/lfm)],MATCH(Tabelle9[[#This Row],[Rank]],Stammdaten[Rank Verteilung Abholzigkeit],0))</f>
        <v>#N/A</v>
      </c>
      <c r="N419" t="e">
        <f>VLOOKUP(Tabelle9[[#This Row],[Rank]],Stammdaten[[Rank Verteilung Abholzigkeit]:[Verteilung Abholzigkeit]],2,FALSE)</f>
        <v>#N/A</v>
      </c>
      <c r="S419">
        <v>410</v>
      </c>
      <c r="T419" t="e">
        <f>INDEX(Stammdaten[Krümmung (mm/lfm)],MATCH(Tabelle10[[#This Row],[Rank]],Stammdaten[Rank Verteilung Krümmung],0))</f>
        <v>#N/A</v>
      </c>
      <c r="U419" t="e">
        <f>VLOOKUP(Tabelle10[[#This Row],[Rank]],Stammdaten[[Rank Verteilung Krümmung]:[Verteilung Krümmung]],2,FALSE)</f>
        <v>#N/A</v>
      </c>
      <c r="Z419">
        <v>410</v>
      </c>
      <c r="AA419" t="e">
        <f>INDEX(Stammdaten[Ovalität (']0,1'])],MATCH(Tabelle1014[[#This Row],[Rank]],Stammdaten[Rank Verteilung Ovalität],0))</f>
        <v>#N/A</v>
      </c>
      <c r="AB419" t="e">
        <f>VLOOKUP(Tabelle1014[[#This Row],[Rank]],Stammdaten[[Rank Verteilung Ovalität]:[Verteilung Ovalität]],2,FALSE)</f>
        <v>#N/A</v>
      </c>
    </row>
    <row r="420" spans="5:28" x14ac:dyDescent="0.35">
      <c r="E420">
        <v>411</v>
      </c>
      <c r="F420" t="e">
        <f>INDEX(Stammdaten[D Mitte mit Rinde (mm)],MATCH(Tabelle8[[#This Row],[Rank]],Stammdaten[Rank Verteilung D Mitte mit Rinde],0))</f>
        <v>#N/A</v>
      </c>
      <c r="G420" t="e">
        <f>VLOOKUP(Tabelle8[[#This Row],[Rank]],Stammdaten[[Rank Verteilung D Mitte mit Rinde]:[Verteilung D Mitte mit Rinde]],2,FALSE)</f>
        <v>#N/A</v>
      </c>
      <c r="L420">
        <v>411</v>
      </c>
      <c r="M420" t="e">
        <f>INDEX(Stammdaten[Abholzigkeit (mm/lfm)],MATCH(Tabelle9[[#This Row],[Rank]],Stammdaten[Rank Verteilung Abholzigkeit],0))</f>
        <v>#N/A</v>
      </c>
      <c r="N420" t="e">
        <f>VLOOKUP(Tabelle9[[#This Row],[Rank]],Stammdaten[[Rank Verteilung Abholzigkeit]:[Verteilung Abholzigkeit]],2,FALSE)</f>
        <v>#N/A</v>
      </c>
      <c r="S420">
        <v>411</v>
      </c>
      <c r="T420" t="e">
        <f>INDEX(Stammdaten[Krümmung (mm/lfm)],MATCH(Tabelle10[[#This Row],[Rank]],Stammdaten[Rank Verteilung Krümmung],0))</f>
        <v>#N/A</v>
      </c>
      <c r="U420" t="e">
        <f>VLOOKUP(Tabelle10[[#This Row],[Rank]],Stammdaten[[Rank Verteilung Krümmung]:[Verteilung Krümmung]],2,FALSE)</f>
        <v>#N/A</v>
      </c>
      <c r="Z420">
        <v>411</v>
      </c>
      <c r="AA420" t="e">
        <f>INDEX(Stammdaten[Ovalität (']0,1'])],MATCH(Tabelle1014[[#This Row],[Rank]],Stammdaten[Rank Verteilung Ovalität],0))</f>
        <v>#N/A</v>
      </c>
      <c r="AB420" t="e">
        <f>VLOOKUP(Tabelle1014[[#This Row],[Rank]],Stammdaten[[Rank Verteilung Ovalität]:[Verteilung Ovalität]],2,FALSE)</f>
        <v>#N/A</v>
      </c>
    </row>
    <row r="421" spans="5:28" x14ac:dyDescent="0.35">
      <c r="E421">
        <v>412</v>
      </c>
      <c r="F421" t="e">
        <f>INDEX(Stammdaten[D Mitte mit Rinde (mm)],MATCH(Tabelle8[[#This Row],[Rank]],Stammdaten[Rank Verteilung D Mitte mit Rinde],0))</f>
        <v>#N/A</v>
      </c>
      <c r="G421" t="e">
        <f>VLOOKUP(Tabelle8[[#This Row],[Rank]],Stammdaten[[Rank Verteilung D Mitte mit Rinde]:[Verteilung D Mitte mit Rinde]],2,FALSE)</f>
        <v>#N/A</v>
      </c>
      <c r="L421">
        <v>412</v>
      </c>
      <c r="M421" t="e">
        <f>INDEX(Stammdaten[Abholzigkeit (mm/lfm)],MATCH(Tabelle9[[#This Row],[Rank]],Stammdaten[Rank Verteilung Abholzigkeit],0))</f>
        <v>#N/A</v>
      </c>
      <c r="N421" t="e">
        <f>VLOOKUP(Tabelle9[[#This Row],[Rank]],Stammdaten[[Rank Verteilung Abholzigkeit]:[Verteilung Abholzigkeit]],2,FALSE)</f>
        <v>#N/A</v>
      </c>
      <c r="S421">
        <v>412</v>
      </c>
      <c r="T421" t="e">
        <f>INDEX(Stammdaten[Krümmung (mm/lfm)],MATCH(Tabelle10[[#This Row],[Rank]],Stammdaten[Rank Verteilung Krümmung],0))</f>
        <v>#N/A</v>
      </c>
      <c r="U421" t="e">
        <f>VLOOKUP(Tabelle10[[#This Row],[Rank]],Stammdaten[[Rank Verteilung Krümmung]:[Verteilung Krümmung]],2,FALSE)</f>
        <v>#N/A</v>
      </c>
      <c r="Z421">
        <v>412</v>
      </c>
      <c r="AA421" t="e">
        <f>INDEX(Stammdaten[Ovalität (']0,1'])],MATCH(Tabelle1014[[#This Row],[Rank]],Stammdaten[Rank Verteilung Ovalität],0))</f>
        <v>#N/A</v>
      </c>
      <c r="AB421" t="e">
        <f>VLOOKUP(Tabelle1014[[#This Row],[Rank]],Stammdaten[[Rank Verteilung Ovalität]:[Verteilung Ovalität]],2,FALSE)</f>
        <v>#N/A</v>
      </c>
    </row>
    <row r="422" spans="5:28" x14ac:dyDescent="0.35">
      <c r="E422">
        <v>413</v>
      </c>
      <c r="F422" t="e">
        <f>INDEX(Stammdaten[D Mitte mit Rinde (mm)],MATCH(Tabelle8[[#This Row],[Rank]],Stammdaten[Rank Verteilung D Mitte mit Rinde],0))</f>
        <v>#N/A</v>
      </c>
      <c r="G422" t="e">
        <f>VLOOKUP(Tabelle8[[#This Row],[Rank]],Stammdaten[[Rank Verteilung D Mitte mit Rinde]:[Verteilung D Mitte mit Rinde]],2,FALSE)</f>
        <v>#N/A</v>
      </c>
      <c r="L422">
        <v>413</v>
      </c>
      <c r="M422" t="e">
        <f>INDEX(Stammdaten[Abholzigkeit (mm/lfm)],MATCH(Tabelle9[[#This Row],[Rank]],Stammdaten[Rank Verteilung Abholzigkeit],0))</f>
        <v>#N/A</v>
      </c>
      <c r="N422" t="e">
        <f>VLOOKUP(Tabelle9[[#This Row],[Rank]],Stammdaten[[Rank Verteilung Abholzigkeit]:[Verteilung Abholzigkeit]],2,FALSE)</f>
        <v>#N/A</v>
      </c>
      <c r="S422">
        <v>413</v>
      </c>
      <c r="T422" t="e">
        <f>INDEX(Stammdaten[Krümmung (mm/lfm)],MATCH(Tabelle10[[#This Row],[Rank]],Stammdaten[Rank Verteilung Krümmung],0))</f>
        <v>#N/A</v>
      </c>
      <c r="U422" t="e">
        <f>VLOOKUP(Tabelle10[[#This Row],[Rank]],Stammdaten[[Rank Verteilung Krümmung]:[Verteilung Krümmung]],2,FALSE)</f>
        <v>#N/A</v>
      </c>
      <c r="Z422">
        <v>413</v>
      </c>
      <c r="AA422" t="e">
        <f>INDEX(Stammdaten[Ovalität (']0,1'])],MATCH(Tabelle1014[[#This Row],[Rank]],Stammdaten[Rank Verteilung Ovalität],0))</f>
        <v>#N/A</v>
      </c>
      <c r="AB422" t="e">
        <f>VLOOKUP(Tabelle1014[[#This Row],[Rank]],Stammdaten[[Rank Verteilung Ovalität]:[Verteilung Ovalität]],2,FALSE)</f>
        <v>#N/A</v>
      </c>
    </row>
    <row r="423" spans="5:28" x14ac:dyDescent="0.35">
      <c r="E423">
        <v>414</v>
      </c>
      <c r="F423" t="e">
        <f>INDEX(Stammdaten[D Mitte mit Rinde (mm)],MATCH(Tabelle8[[#This Row],[Rank]],Stammdaten[Rank Verteilung D Mitte mit Rinde],0))</f>
        <v>#N/A</v>
      </c>
      <c r="G423" t="e">
        <f>VLOOKUP(Tabelle8[[#This Row],[Rank]],Stammdaten[[Rank Verteilung D Mitte mit Rinde]:[Verteilung D Mitte mit Rinde]],2,FALSE)</f>
        <v>#N/A</v>
      </c>
      <c r="L423">
        <v>414</v>
      </c>
      <c r="M423" t="e">
        <f>INDEX(Stammdaten[Abholzigkeit (mm/lfm)],MATCH(Tabelle9[[#This Row],[Rank]],Stammdaten[Rank Verteilung Abholzigkeit],0))</f>
        <v>#N/A</v>
      </c>
      <c r="N423" t="e">
        <f>VLOOKUP(Tabelle9[[#This Row],[Rank]],Stammdaten[[Rank Verteilung Abholzigkeit]:[Verteilung Abholzigkeit]],2,FALSE)</f>
        <v>#N/A</v>
      </c>
      <c r="S423">
        <v>414</v>
      </c>
      <c r="T423" t="e">
        <f>INDEX(Stammdaten[Krümmung (mm/lfm)],MATCH(Tabelle10[[#This Row],[Rank]],Stammdaten[Rank Verteilung Krümmung],0))</f>
        <v>#N/A</v>
      </c>
      <c r="U423" t="e">
        <f>VLOOKUP(Tabelle10[[#This Row],[Rank]],Stammdaten[[Rank Verteilung Krümmung]:[Verteilung Krümmung]],2,FALSE)</f>
        <v>#N/A</v>
      </c>
      <c r="Z423">
        <v>414</v>
      </c>
      <c r="AA423" t="e">
        <f>INDEX(Stammdaten[Ovalität (']0,1'])],MATCH(Tabelle1014[[#This Row],[Rank]],Stammdaten[Rank Verteilung Ovalität],0))</f>
        <v>#N/A</v>
      </c>
      <c r="AB423" t="e">
        <f>VLOOKUP(Tabelle1014[[#This Row],[Rank]],Stammdaten[[Rank Verteilung Ovalität]:[Verteilung Ovalität]],2,FALSE)</f>
        <v>#N/A</v>
      </c>
    </row>
    <row r="424" spans="5:28" x14ac:dyDescent="0.35">
      <c r="E424">
        <v>415</v>
      </c>
      <c r="F424" t="e">
        <f>INDEX(Stammdaten[D Mitte mit Rinde (mm)],MATCH(Tabelle8[[#This Row],[Rank]],Stammdaten[Rank Verteilung D Mitte mit Rinde],0))</f>
        <v>#N/A</v>
      </c>
      <c r="G424" t="e">
        <f>VLOOKUP(Tabelle8[[#This Row],[Rank]],Stammdaten[[Rank Verteilung D Mitte mit Rinde]:[Verteilung D Mitte mit Rinde]],2,FALSE)</f>
        <v>#N/A</v>
      </c>
      <c r="L424">
        <v>415</v>
      </c>
      <c r="M424" t="e">
        <f>INDEX(Stammdaten[Abholzigkeit (mm/lfm)],MATCH(Tabelle9[[#This Row],[Rank]],Stammdaten[Rank Verteilung Abholzigkeit],0))</f>
        <v>#N/A</v>
      </c>
      <c r="N424" t="e">
        <f>VLOOKUP(Tabelle9[[#This Row],[Rank]],Stammdaten[[Rank Verteilung Abholzigkeit]:[Verteilung Abholzigkeit]],2,FALSE)</f>
        <v>#N/A</v>
      </c>
      <c r="S424">
        <v>415</v>
      </c>
      <c r="T424" t="e">
        <f>INDEX(Stammdaten[Krümmung (mm/lfm)],MATCH(Tabelle10[[#This Row],[Rank]],Stammdaten[Rank Verteilung Krümmung],0))</f>
        <v>#N/A</v>
      </c>
      <c r="U424" t="e">
        <f>VLOOKUP(Tabelle10[[#This Row],[Rank]],Stammdaten[[Rank Verteilung Krümmung]:[Verteilung Krümmung]],2,FALSE)</f>
        <v>#N/A</v>
      </c>
      <c r="Z424">
        <v>415</v>
      </c>
      <c r="AA424" t="e">
        <f>INDEX(Stammdaten[Ovalität (']0,1'])],MATCH(Tabelle1014[[#This Row],[Rank]],Stammdaten[Rank Verteilung Ovalität],0))</f>
        <v>#N/A</v>
      </c>
      <c r="AB424" t="e">
        <f>VLOOKUP(Tabelle1014[[#This Row],[Rank]],Stammdaten[[Rank Verteilung Ovalität]:[Verteilung Ovalität]],2,FALSE)</f>
        <v>#N/A</v>
      </c>
    </row>
    <row r="425" spans="5:28" x14ac:dyDescent="0.35">
      <c r="E425">
        <v>416</v>
      </c>
      <c r="F425" t="e">
        <f>INDEX(Stammdaten[D Mitte mit Rinde (mm)],MATCH(Tabelle8[[#This Row],[Rank]],Stammdaten[Rank Verteilung D Mitte mit Rinde],0))</f>
        <v>#N/A</v>
      </c>
      <c r="G425" t="e">
        <f>VLOOKUP(Tabelle8[[#This Row],[Rank]],Stammdaten[[Rank Verteilung D Mitte mit Rinde]:[Verteilung D Mitte mit Rinde]],2,FALSE)</f>
        <v>#N/A</v>
      </c>
      <c r="L425">
        <v>416</v>
      </c>
      <c r="M425" t="e">
        <f>INDEX(Stammdaten[Abholzigkeit (mm/lfm)],MATCH(Tabelle9[[#This Row],[Rank]],Stammdaten[Rank Verteilung Abholzigkeit],0))</f>
        <v>#N/A</v>
      </c>
      <c r="N425" t="e">
        <f>VLOOKUP(Tabelle9[[#This Row],[Rank]],Stammdaten[[Rank Verteilung Abholzigkeit]:[Verteilung Abholzigkeit]],2,FALSE)</f>
        <v>#N/A</v>
      </c>
      <c r="S425">
        <v>416</v>
      </c>
      <c r="T425" t="e">
        <f>INDEX(Stammdaten[Krümmung (mm/lfm)],MATCH(Tabelle10[[#This Row],[Rank]],Stammdaten[Rank Verteilung Krümmung],0))</f>
        <v>#N/A</v>
      </c>
      <c r="U425" t="e">
        <f>VLOOKUP(Tabelle10[[#This Row],[Rank]],Stammdaten[[Rank Verteilung Krümmung]:[Verteilung Krümmung]],2,FALSE)</f>
        <v>#N/A</v>
      </c>
      <c r="Z425">
        <v>416</v>
      </c>
      <c r="AA425" t="e">
        <f>INDEX(Stammdaten[Ovalität (']0,1'])],MATCH(Tabelle1014[[#This Row],[Rank]],Stammdaten[Rank Verteilung Ovalität],0))</f>
        <v>#N/A</v>
      </c>
      <c r="AB425" t="e">
        <f>VLOOKUP(Tabelle1014[[#This Row],[Rank]],Stammdaten[[Rank Verteilung Ovalität]:[Verteilung Ovalität]],2,FALSE)</f>
        <v>#N/A</v>
      </c>
    </row>
    <row r="426" spans="5:28" x14ac:dyDescent="0.35">
      <c r="E426">
        <v>417</v>
      </c>
      <c r="F426" t="e">
        <f>INDEX(Stammdaten[D Mitte mit Rinde (mm)],MATCH(Tabelle8[[#This Row],[Rank]],Stammdaten[Rank Verteilung D Mitte mit Rinde],0))</f>
        <v>#N/A</v>
      </c>
      <c r="G426" t="e">
        <f>VLOOKUP(Tabelle8[[#This Row],[Rank]],Stammdaten[[Rank Verteilung D Mitte mit Rinde]:[Verteilung D Mitte mit Rinde]],2,FALSE)</f>
        <v>#N/A</v>
      </c>
      <c r="L426">
        <v>417</v>
      </c>
      <c r="M426" t="e">
        <f>INDEX(Stammdaten[Abholzigkeit (mm/lfm)],MATCH(Tabelle9[[#This Row],[Rank]],Stammdaten[Rank Verteilung Abholzigkeit],0))</f>
        <v>#N/A</v>
      </c>
      <c r="N426" t="e">
        <f>VLOOKUP(Tabelle9[[#This Row],[Rank]],Stammdaten[[Rank Verteilung Abholzigkeit]:[Verteilung Abholzigkeit]],2,FALSE)</f>
        <v>#N/A</v>
      </c>
      <c r="S426">
        <v>417</v>
      </c>
      <c r="T426" t="e">
        <f>INDEX(Stammdaten[Krümmung (mm/lfm)],MATCH(Tabelle10[[#This Row],[Rank]],Stammdaten[Rank Verteilung Krümmung],0))</f>
        <v>#N/A</v>
      </c>
      <c r="U426" t="e">
        <f>VLOOKUP(Tabelle10[[#This Row],[Rank]],Stammdaten[[Rank Verteilung Krümmung]:[Verteilung Krümmung]],2,FALSE)</f>
        <v>#N/A</v>
      </c>
      <c r="Z426">
        <v>417</v>
      </c>
      <c r="AA426" t="e">
        <f>INDEX(Stammdaten[Ovalität (']0,1'])],MATCH(Tabelle1014[[#This Row],[Rank]],Stammdaten[Rank Verteilung Ovalität],0))</f>
        <v>#N/A</v>
      </c>
      <c r="AB426" t="e">
        <f>VLOOKUP(Tabelle1014[[#This Row],[Rank]],Stammdaten[[Rank Verteilung Ovalität]:[Verteilung Ovalität]],2,FALSE)</f>
        <v>#N/A</v>
      </c>
    </row>
    <row r="427" spans="5:28" x14ac:dyDescent="0.35">
      <c r="E427">
        <v>418</v>
      </c>
      <c r="F427" t="e">
        <f>INDEX(Stammdaten[D Mitte mit Rinde (mm)],MATCH(Tabelle8[[#This Row],[Rank]],Stammdaten[Rank Verteilung D Mitte mit Rinde],0))</f>
        <v>#N/A</v>
      </c>
      <c r="G427" t="e">
        <f>VLOOKUP(Tabelle8[[#This Row],[Rank]],Stammdaten[[Rank Verteilung D Mitte mit Rinde]:[Verteilung D Mitte mit Rinde]],2,FALSE)</f>
        <v>#N/A</v>
      </c>
      <c r="L427">
        <v>418</v>
      </c>
      <c r="M427" t="e">
        <f>INDEX(Stammdaten[Abholzigkeit (mm/lfm)],MATCH(Tabelle9[[#This Row],[Rank]],Stammdaten[Rank Verteilung Abholzigkeit],0))</f>
        <v>#N/A</v>
      </c>
      <c r="N427" t="e">
        <f>VLOOKUP(Tabelle9[[#This Row],[Rank]],Stammdaten[[Rank Verteilung Abholzigkeit]:[Verteilung Abholzigkeit]],2,FALSE)</f>
        <v>#N/A</v>
      </c>
      <c r="S427">
        <v>418</v>
      </c>
      <c r="T427" t="e">
        <f>INDEX(Stammdaten[Krümmung (mm/lfm)],MATCH(Tabelle10[[#This Row],[Rank]],Stammdaten[Rank Verteilung Krümmung],0))</f>
        <v>#N/A</v>
      </c>
      <c r="U427" t="e">
        <f>VLOOKUP(Tabelle10[[#This Row],[Rank]],Stammdaten[[Rank Verteilung Krümmung]:[Verteilung Krümmung]],2,FALSE)</f>
        <v>#N/A</v>
      </c>
      <c r="Z427">
        <v>418</v>
      </c>
      <c r="AA427" t="e">
        <f>INDEX(Stammdaten[Ovalität (']0,1'])],MATCH(Tabelle1014[[#This Row],[Rank]],Stammdaten[Rank Verteilung Ovalität],0))</f>
        <v>#N/A</v>
      </c>
      <c r="AB427" t="e">
        <f>VLOOKUP(Tabelle1014[[#This Row],[Rank]],Stammdaten[[Rank Verteilung Ovalität]:[Verteilung Ovalität]],2,FALSE)</f>
        <v>#N/A</v>
      </c>
    </row>
    <row r="428" spans="5:28" x14ac:dyDescent="0.35">
      <c r="E428">
        <v>419</v>
      </c>
      <c r="F428" t="e">
        <f>INDEX(Stammdaten[D Mitte mit Rinde (mm)],MATCH(Tabelle8[[#This Row],[Rank]],Stammdaten[Rank Verteilung D Mitte mit Rinde],0))</f>
        <v>#N/A</v>
      </c>
      <c r="G428" t="e">
        <f>VLOOKUP(Tabelle8[[#This Row],[Rank]],Stammdaten[[Rank Verteilung D Mitte mit Rinde]:[Verteilung D Mitte mit Rinde]],2,FALSE)</f>
        <v>#N/A</v>
      </c>
      <c r="L428">
        <v>419</v>
      </c>
      <c r="M428" t="e">
        <f>INDEX(Stammdaten[Abholzigkeit (mm/lfm)],MATCH(Tabelle9[[#This Row],[Rank]],Stammdaten[Rank Verteilung Abholzigkeit],0))</f>
        <v>#N/A</v>
      </c>
      <c r="N428" t="e">
        <f>VLOOKUP(Tabelle9[[#This Row],[Rank]],Stammdaten[[Rank Verteilung Abholzigkeit]:[Verteilung Abholzigkeit]],2,FALSE)</f>
        <v>#N/A</v>
      </c>
      <c r="S428">
        <v>419</v>
      </c>
      <c r="T428" t="e">
        <f>INDEX(Stammdaten[Krümmung (mm/lfm)],MATCH(Tabelle10[[#This Row],[Rank]],Stammdaten[Rank Verteilung Krümmung],0))</f>
        <v>#N/A</v>
      </c>
      <c r="U428" t="e">
        <f>VLOOKUP(Tabelle10[[#This Row],[Rank]],Stammdaten[[Rank Verteilung Krümmung]:[Verteilung Krümmung]],2,FALSE)</f>
        <v>#N/A</v>
      </c>
      <c r="Z428">
        <v>419</v>
      </c>
      <c r="AA428" t="e">
        <f>INDEX(Stammdaten[Ovalität (']0,1'])],MATCH(Tabelle1014[[#This Row],[Rank]],Stammdaten[Rank Verteilung Ovalität],0))</f>
        <v>#N/A</v>
      </c>
      <c r="AB428" t="e">
        <f>VLOOKUP(Tabelle1014[[#This Row],[Rank]],Stammdaten[[Rank Verteilung Ovalität]:[Verteilung Ovalität]],2,FALSE)</f>
        <v>#N/A</v>
      </c>
    </row>
    <row r="429" spans="5:28" x14ac:dyDescent="0.35">
      <c r="E429">
        <v>420</v>
      </c>
      <c r="F429" t="e">
        <f>INDEX(Stammdaten[D Mitte mit Rinde (mm)],MATCH(Tabelle8[[#This Row],[Rank]],Stammdaten[Rank Verteilung D Mitte mit Rinde],0))</f>
        <v>#N/A</v>
      </c>
      <c r="G429" t="e">
        <f>VLOOKUP(Tabelle8[[#This Row],[Rank]],Stammdaten[[Rank Verteilung D Mitte mit Rinde]:[Verteilung D Mitte mit Rinde]],2,FALSE)</f>
        <v>#N/A</v>
      </c>
      <c r="L429">
        <v>420</v>
      </c>
      <c r="M429" t="e">
        <f>INDEX(Stammdaten[Abholzigkeit (mm/lfm)],MATCH(Tabelle9[[#This Row],[Rank]],Stammdaten[Rank Verteilung Abholzigkeit],0))</f>
        <v>#N/A</v>
      </c>
      <c r="N429" t="e">
        <f>VLOOKUP(Tabelle9[[#This Row],[Rank]],Stammdaten[[Rank Verteilung Abholzigkeit]:[Verteilung Abholzigkeit]],2,FALSE)</f>
        <v>#N/A</v>
      </c>
      <c r="S429">
        <v>420</v>
      </c>
      <c r="T429" t="e">
        <f>INDEX(Stammdaten[Krümmung (mm/lfm)],MATCH(Tabelle10[[#This Row],[Rank]],Stammdaten[Rank Verteilung Krümmung],0))</f>
        <v>#N/A</v>
      </c>
      <c r="U429" t="e">
        <f>VLOOKUP(Tabelle10[[#This Row],[Rank]],Stammdaten[[Rank Verteilung Krümmung]:[Verteilung Krümmung]],2,FALSE)</f>
        <v>#N/A</v>
      </c>
      <c r="Z429">
        <v>420</v>
      </c>
      <c r="AA429" t="e">
        <f>INDEX(Stammdaten[Ovalität (']0,1'])],MATCH(Tabelle1014[[#This Row],[Rank]],Stammdaten[Rank Verteilung Ovalität],0))</f>
        <v>#N/A</v>
      </c>
      <c r="AB429" t="e">
        <f>VLOOKUP(Tabelle1014[[#This Row],[Rank]],Stammdaten[[Rank Verteilung Ovalität]:[Verteilung Ovalität]],2,FALSE)</f>
        <v>#N/A</v>
      </c>
    </row>
    <row r="430" spans="5:28" x14ac:dyDescent="0.35">
      <c r="E430">
        <v>421</v>
      </c>
      <c r="F430" t="e">
        <f>INDEX(Stammdaten[D Mitte mit Rinde (mm)],MATCH(Tabelle8[[#This Row],[Rank]],Stammdaten[Rank Verteilung D Mitte mit Rinde],0))</f>
        <v>#N/A</v>
      </c>
      <c r="G430" t="e">
        <f>VLOOKUP(Tabelle8[[#This Row],[Rank]],Stammdaten[[Rank Verteilung D Mitte mit Rinde]:[Verteilung D Mitte mit Rinde]],2,FALSE)</f>
        <v>#N/A</v>
      </c>
      <c r="L430">
        <v>421</v>
      </c>
      <c r="M430" t="e">
        <f>INDEX(Stammdaten[Abholzigkeit (mm/lfm)],MATCH(Tabelle9[[#This Row],[Rank]],Stammdaten[Rank Verteilung Abholzigkeit],0))</f>
        <v>#N/A</v>
      </c>
      <c r="N430" t="e">
        <f>VLOOKUP(Tabelle9[[#This Row],[Rank]],Stammdaten[[Rank Verteilung Abholzigkeit]:[Verteilung Abholzigkeit]],2,FALSE)</f>
        <v>#N/A</v>
      </c>
      <c r="S430">
        <v>421</v>
      </c>
      <c r="T430" t="e">
        <f>INDEX(Stammdaten[Krümmung (mm/lfm)],MATCH(Tabelle10[[#This Row],[Rank]],Stammdaten[Rank Verteilung Krümmung],0))</f>
        <v>#N/A</v>
      </c>
      <c r="U430" t="e">
        <f>VLOOKUP(Tabelle10[[#This Row],[Rank]],Stammdaten[[Rank Verteilung Krümmung]:[Verteilung Krümmung]],2,FALSE)</f>
        <v>#N/A</v>
      </c>
      <c r="Z430">
        <v>421</v>
      </c>
      <c r="AA430" t="e">
        <f>INDEX(Stammdaten[Ovalität (']0,1'])],MATCH(Tabelle1014[[#This Row],[Rank]],Stammdaten[Rank Verteilung Ovalität],0))</f>
        <v>#N/A</v>
      </c>
      <c r="AB430" t="e">
        <f>VLOOKUP(Tabelle1014[[#This Row],[Rank]],Stammdaten[[Rank Verteilung Ovalität]:[Verteilung Ovalität]],2,FALSE)</f>
        <v>#N/A</v>
      </c>
    </row>
    <row r="431" spans="5:28" x14ac:dyDescent="0.35">
      <c r="E431">
        <v>422</v>
      </c>
      <c r="F431" t="e">
        <f>INDEX(Stammdaten[D Mitte mit Rinde (mm)],MATCH(Tabelle8[[#This Row],[Rank]],Stammdaten[Rank Verteilung D Mitte mit Rinde],0))</f>
        <v>#N/A</v>
      </c>
      <c r="G431" t="e">
        <f>VLOOKUP(Tabelle8[[#This Row],[Rank]],Stammdaten[[Rank Verteilung D Mitte mit Rinde]:[Verteilung D Mitte mit Rinde]],2,FALSE)</f>
        <v>#N/A</v>
      </c>
      <c r="L431">
        <v>422</v>
      </c>
      <c r="M431" t="e">
        <f>INDEX(Stammdaten[Abholzigkeit (mm/lfm)],MATCH(Tabelle9[[#This Row],[Rank]],Stammdaten[Rank Verteilung Abholzigkeit],0))</f>
        <v>#N/A</v>
      </c>
      <c r="N431" t="e">
        <f>VLOOKUP(Tabelle9[[#This Row],[Rank]],Stammdaten[[Rank Verteilung Abholzigkeit]:[Verteilung Abholzigkeit]],2,FALSE)</f>
        <v>#N/A</v>
      </c>
      <c r="S431">
        <v>422</v>
      </c>
      <c r="T431" t="e">
        <f>INDEX(Stammdaten[Krümmung (mm/lfm)],MATCH(Tabelle10[[#This Row],[Rank]],Stammdaten[Rank Verteilung Krümmung],0))</f>
        <v>#N/A</v>
      </c>
      <c r="U431" t="e">
        <f>VLOOKUP(Tabelle10[[#This Row],[Rank]],Stammdaten[[Rank Verteilung Krümmung]:[Verteilung Krümmung]],2,FALSE)</f>
        <v>#N/A</v>
      </c>
      <c r="Z431">
        <v>422</v>
      </c>
      <c r="AA431" t="e">
        <f>INDEX(Stammdaten[Ovalität (']0,1'])],MATCH(Tabelle1014[[#This Row],[Rank]],Stammdaten[Rank Verteilung Ovalität],0))</f>
        <v>#N/A</v>
      </c>
      <c r="AB431" t="e">
        <f>VLOOKUP(Tabelle1014[[#This Row],[Rank]],Stammdaten[[Rank Verteilung Ovalität]:[Verteilung Ovalität]],2,FALSE)</f>
        <v>#N/A</v>
      </c>
    </row>
    <row r="432" spans="5:28" x14ac:dyDescent="0.35">
      <c r="E432">
        <v>423</v>
      </c>
      <c r="F432" t="e">
        <f>INDEX(Stammdaten[D Mitte mit Rinde (mm)],MATCH(Tabelle8[[#This Row],[Rank]],Stammdaten[Rank Verteilung D Mitte mit Rinde],0))</f>
        <v>#N/A</v>
      </c>
      <c r="G432" t="e">
        <f>VLOOKUP(Tabelle8[[#This Row],[Rank]],Stammdaten[[Rank Verteilung D Mitte mit Rinde]:[Verteilung D Mitte mit Rinde]],2,FALSE)</f>
        <v>#N/A</v>
      </c>
      <c r="L432">
        <v>423</v>
      </c>
      <c r="M432" t="e">
        <f>INDEX(Stammdaten[Abholzigkeit (mm/lfm)],MATCH(Tabelle9[[#This Row],[Rank]],Stammdaten[Rank Verteilung Abholzigkeit],0))</f>
        <v>#N/A</v>
      </c>
      <c r="N432" t="e">
        <f>VLOOKUP(Tabelle9[[#This Row],[Rank]],Stammdaten[[Rank Verteilung Abholzigkeit]:[Verteilung Abholzigkeit]],2,FALSE)</f>
        <v>#N/A</v>
      </c>
      <c r="S432">
        <v>423</v>
      </c>
      <c r="T432" t="e">
        <f>INDEX(Stammdaten[Krümmung (mm/lfm)],MATCH(Tabelle10[[#This Row],[Rank]],Stammdaten[Rank Verteilung Krümmung],0))</f>
        <v>#N/A</v>
      </c>
      <c r="U432" t="e">
        <f>VLOOKUP(Tabelle10[[#This Row],[Rank]],Stammdaten[[Rank Verteilung Krümmung]:[Verteilung Krümmung]],2,FALSE)</f>
        <v>#N/A</v>
      </c>
      <c r="Z432">
        <v>423</v>
      </c>
      <c r="AA432" t="e">
        <f>INDEX(Stammdaten[Ovalität (']0,1'])],MATCH(Tabelle1014[[#This Row],[Rank]],Stammdaten[Rank Verteilung Ovalität],0))</f>
        <v>#N/A</v>
      </c>
      <c r="AB432" t="e">
        <f>VLOOKUP(Tabelle1014[[#This Row],[Rank]],Stammdaten[[Rank Verteilung Ovalität]:[Verteilung Ovalität]],2,FALSE)</f>
        <v>#N/A</v>
      </c>
    </row>
    <row r="433" spans="5:28" x14ac:dyDescent="0.35">
      <c r="E433">
        <v>424</v>
      </c>
      <c r="F433" t="e">
        <f>INDEX(Stammdaten[D Mitte mit Rinde (mm)],MATCH(Tabelle8[[#This Row],[Rank]],Stammdaten[Rank Verteilung D Mitte mit Rinde],0))</f>
        <v>#N/A</v>
      </c>
      <c r="G433" t="e">
        <f>VLOOKUP(Tabelle8[[#This Row],[Rank]],Stammdaten[[Rank Verteilung D Mitte mit Rinde]:[Verteilung D Mitte mit Rinde]],2,FALSE)</f>
        <v>#N/A</v>
      </c>
      <c r="L433">
        <v>424</v>
      </c>
      <c r="M433" t="e">
        <f>INDEX(Stammdaten[Abholzigkeit (mm/lfm)],MATCH(Tabelle9[[#This Row],[Rank]],Stammdaten[Rank Verteilung Abholzigkeit],0))</f>
        <v>#N/A</v>
      </c>
      <c r="N433" t="e">
        <f>VLOOKUP(Tabelle9[[#This Row],[Rank]],Stammdaten[[Rank Verteilung Abholzigkeit]:[Verteilung Abholzigkeit]],2,FALSE)</f>
        <v>#N/A</v>
      </c>
      <c r="S433">
        <v>424</v>
      </c>
      <c r="T433" t="e">
        <f>INDEX(Stammdaten[Krümmung (mm/lfm)],MATCH(Tabelle10[[#This Row],[Rank]],Stammdaten[Rank Verteilung Krümmung],0))</f>
        <v>#N/A</v>
      </c>
      <c r="U433" t="e">
        <f>VLOOKUP(Tabelle10[[#This Row],[Rank]],Stammdaten[[Rank Verteilung Krümmung]:[Verteilung Krümmung]],2,FALSE)</f>
        <v>#N/A</v>
      </c>
      <c r="Z433">
        <v>424</v>
      </c>
      <c r="AA433" t="e">
        <f>INDEX(Stammdaten[Ovalität (']0,1'])],MATCH(Tabelle1014[[#This Row],[Rank]],Stammdaten[Rank Verteilung Ovalität],0))</f>
        <v>#N/A</v>
      </c>
      <c r="AB433" t="e">
        <f>VLOOKUP(Tabelle1014[[#This Row],[Rank]],Stammdaten[[Rank Verteilung Ovalität]:[Verteilung Ovalität]],2,FALSE)</f>
        <v>#N/A</v>
      </c>
    </row>
    <row r="434" spans="5:28" x14ac:dyDescent="0.35">
      <c r="E434">
        <v>425</v>
      </c>
      <c r="F434" t="e">
        <f>INDEX(Stammdaten[D Mitte mit Rinde (mm)],MATCH(Tabelle8[[#This Row],[Rank]],Stammdaten[Rank Verteilung D Mitte mit Rinde],0))</f>
        <v>#N/A</v>
      </c>
      <c r="G434" t="e">
        <f>VLOOKUP(Tabelle8[[#This Row],[Rank]],Stammdaten[[Rank Verteilung D Mitte mit Rinde]:[Verteilung D Mitte mit Rinde]],2,FALSE)</f>
        <v>#N/A</v>
      </c>
      <c r="L434">
        <v>425</v>
      </c>
      <c r="M434" t="e">
        <f>INDEX(Stammdaten[Abholzigkeit (mm/lfm)],MATCH(Tabelle9[[#This Row],[Rank]],Stammdaten[Rank Verteilung Abholzigkeit],0))</f>
        <v>#N/A</v>
      </c>
      <c r="N434" t="e">
        <f>VLOOKUP(Tabelle9[[#This Row],[Rank]],Stammdaten[[Rank Verteilung Abholzigkeit]:[Verteilung Abholzigkeit]],2,FALSE)</f>
        <v>#N/A</v>
      </c>
      <c r="S434">
        <v>425</v>
      </c>
      <c r="T434" t="e">
        <f>INDEX(Stammdaten[Krümmung (mm/lfm)],MATCH(Tabelle10[[#This Row],[Rank]],Stammdaten[Rank Verteilung Krümmung],0))</f>
        <v>#N/A</v>
      </c>
      <c r="U434" t="e">
        <f>VLOOKUP(Tabelle10[[#This Row],[Rank]],Stammdaten[[Rank Verteilung Krümmung]:[Verteilung Krümmung]],2,FALSE)</f>
        <v>#N/A</v>
      </c>
      <c r="Z434">
        <v>425</v>
      </c>
      <c r="AA434" t="e">
        <f>INDEX(Stammdaten[Ovalität (']0,1'])],MATCH(Tabelle1014[[#This Row],[Rank]],Stammdaten[Rank Verteilung Ovalität],0))</f>
        <v>#N/A</v>
      </c>
      <c r="AB434" t="e">
        <f>VLOOKUP(Tabelle1014[[#This Row],[Rank]],Stammdaten[[Rank Verteilung Ovalität]:[Verteilung Ovalität]],2,FALSE)</f>
        <v>#N/A</v>
      </c>
    </row>
    <row r="435" spans="5:28" x14ac:dyDescent="0.35">
      <c r="E435">
        <v>426</v>
      </c>
      <c r="F435" t="e">
        <f>INDEX(Stammdaten[D Mitte mit Rinde (mm)],MATCH(Tabelle8[[#This Row],[Rank]],Stammdaten[Rank Verteilung D Mitte mit Rinde],0))</f>
        <v>#N/A</v>
      </c>
      <c r="G435" t="e">
        <f>VLOOKUP(Tabelle8[[#This Row],[Rank]],Stammdaten[[Rank Verteilung D Mitte mit Rinde]:[Verteilung D Mitte mit Rinde]],2,FALSE)</f>
        <v>#N/A</v>
      </c>
      <c r="L435">
        <v>426</v>
      </c>
      <c r="M435" t="e">
        <f>INDEX(Stammdaten[Abholzigkeit (mm/lfm)],MATCH(Tabelle9[[#This Row],[Rank]],Stammdaten[Rank Verteilung Abholzigkeit],0))</f>
        <v>#N/A</v>
      </c>
      <c r="N435" t="e">
        <f>VLOOKUP(Tabelle9[[#This Row],[Rank]],Stammdaten[[Rank Verteilung Abholzigkeit]:[Verteilung Abholzigkeit]],2,FALSE)</f>
        <v>#N/A</v>
      </c>
      <c r="S435">
        <v>426</v>
      </c>
      <c r="T435" t="e">
        <f>INDEX(Stammdaten[Krümmung (mm/lfm)],MATCH(Tabelle10[[#This Row],[Rank]],Stammdaten[Rank Verteilung Krümmung],0))</f>
        <v>#N/A</v>
      </c>
      <c r="U435" t="e">
        <f>VLOOKUP(Tabelle10[[#This Row],[Rank]],Stammdaten[[Rank Verteilung Krümmung]:[Verteilung Krümmung]],2,FALSE)</f>
        <v>#N/A</v>
      </c>
      <c r="Z435">
        <v>426</v>
      </c>
      <c r="AA435" t="e">
        <f>INDEX(Stammdaten[Ovalität (']0,1'])],MATCH(Tabelle1014[[#This Row],[Rank]],Stammdaten[Rank Verteilung Ovalität],0))</f>
        <v>#N/A</v>
      </c>
      <c r="AB435" t="e">
        <f>VLOOKUP(Tabelle1014[[#This Row],[Rank]],Stammdaten[[Rank Verteilung Ovalität]:[Verteilung Ovalität]],2,FALSE)</f>
        <v>#N/A</v>
      </c>
    </row>
    <row r="436" spans="5:28" x14ac:dyDescent="0.35">
      <c r="E436">
        <v>427</v>
      </c>
      <c r="F436" t="e">
        <f>INDEX(Stammdaten[D Mitte mit Rinde (mm)],MATCH(Tabelle8[[#This Row],[Rank]],Stammdaten[Rank Verteilung D Mitte mit Rinde],0))</f>
        <v>#N/A</v>
      </c>
      <c r="G436" t="e">
        <f>VLOOKUP(Tabelle8[[#This Row],[Rank]],Stammdaten[[Rank Verteilung D Mitte mit Rinde]:[Verteilung D Mitte mit Rinde]],2,FALSE)</f>
        <v>#N/A</v>
      </c>
      <c r="L436">
        <v>427</v>
      </c>
      <c r="M436" t="e">
        <f>INDEX(Stammdaten[Abholzigkeit (mm/lfm)],MATCH(Tabelle9[[#This Row],[Rank]],Stammdaten[Rank Verteilung Abholzigkeit],0))</f>
        <v>#N/A</v>
      </c>
      <c r="N436" t="e">
        <f>VLOOKUP(Tabelle9[[#This Row],[Rank]],Stammdaten[[Rank Verteilung Abholzigkeit]:[Verteilung Abholzigkeit]],2,FALSE)</f>
        <v>#N/A</v>
      </c>
      <c r="S436">
        <v>427</v>
      </c>
      <c r="T436" t="e">
        <f>INDEX(Stammdaten[Krümmung (mm/lfm)],MATCH(Tabelle10[[#This Row],[Rank]],Stammdaten[Rank Verteilung Krümmung],0))</f>
        <v>#N/A</v>
      </c>
      <c r="U436" t="e">
        <f>VLOOKUP(Tabelle10[[#This Row],[Rank]],Stammdaten[[Rank Verteilung Krümmung]:[Verteilung Krümmung]],2,FALSE)</f>
        <v>#N/A</v>
      </c>
      <c r="Z436">
        <v>427</v>
      </c>
      <c r="AA436" t="e">
        <f>INDEX(Stammdaten[Ovalität (']0,1'])],MATCH(Tabelle1014[[#This Row],[Rank]],Stammdaten[Rank Verteilung Ovalität],0))</f>
        <v>#N/A</v>
      </c>
      <c r="AB436" t="e">
        <f>VLOOKUP(Tabelle1014[[#This Row],[Rank]],Stammdaten[[Rank Verteilung Ovalität]:[Verteilung Ovalität]],2,FALSE)</f>
        <v>#N/A</v>
      </c>
    </row>
    <row r="437" spans="5:28" x14ac:dyDescent="0.35">
      <c r="E437">
        <v>428</v>
      </c>
      <c r="F437" t="e">
        <f>INDEX(Stammdaten[D Mitte mit Rinde (mm)],MATCH(Tabelle8[[#This Row],[Rank]],Stammdaten[Rank Verteilung D Mitte mit Rinde],0))</f>
        <v>#N/A</v>
      </c>
      <c r="G437" t="e">
        <f>VLOOKUP(Tabelle8[[#This Row],[Rank]],Stammdaten[[Rank Verteilung D Mitte mit Rinde]:[Verteilung D Mitte mit Rinde]],2,FALSE)</f>
        <v>#N/A</v>
      </c>
      <c r="L437">
        <v>428</v>
      </c>
      <c r="M437" t="e">
        <f>INDEX(Stammdaten[Abholzigkeit (mm/lfm)],MATCH(Tabelle9[[#This Row],[Rank]],Stammdaten[Rank Verteilung Abholzigkeit],0))</f>
        <v>#N/A</v>
      </c>
      <c r="N437" t="e">
        <f>VLOOKUP(Tabelle9[[#This Row],[Rank]],Stammdaten[[Rank Verteilung Abholzigkeit]:[Verteilung Abholzigkeit]],2,FALSE)</f>
        <v>#N/A</v>
      </c>
      <c r="S437">
        <v>428</v>
      </c>
      <c r="T437" t="e">
        <f>INDEX(Stammdaten[Krümmung (mm/lfm)],MATCH(Tabelle10[[#This Row],[Rank]],Stammdaten[Rank Verteilung Krümmung],0))</f>
        <v>#N/A</v>
      </c>
      <c r="U437" t="e">
        <f>VLOOKUP(Tabelle10[[#This Row],[Rank]],Stammdaten[[Rank Verteilung Krümmung]:[Verteilung Krümmung]],2,FALSE)</f>
        <v>#N/A</v>
      </c>
      <c r="Z437">
        <v>428</v>
      </c>
      <c r="AA437" t="e">
        <f>INDEX(Stammdaten[Ovalität (']0,1'])],MATCH(Tabelle1014[[#This Row],[Rank]],Stammdaten[Rank Verteilung Ovalität],0))</f>
        <v>#N/A</v>
      </c>
      <c r="AB437" t="e">
        <f>VLOOKUP(Tabelle1014[[#This Row],[Rank]],Stammdaten[[Rank Verteilung Ovalität]:[Verteilung Ovalität]],2,FALSE)</f>
        <v>#N/A</v>
      </c>
    </row>
    <row r="438" spans="5:28" x14ac:dyDescent="0.35">
      <c r="E438">
        <v>429</v>
      </c>
      <c r="F438" t="e">
        <f>INDEX(Stammdaten[D Mitte mit Rinde (mm)],MATCH(Tabelle8[[#This Row],[Rank]],Stammdaten[Rank Verteilung D Mitte mit Rinde],0))</f>
        <v>#N/A</v>
      </c>
      <c r="G438" t="e">
        <f>VLOOKUP(Tabelle8[[#This Row],[Rank]],Stammdaten[[Rank Verteilung D Mitte mit Rinde]:[Verteilung D Mitte mit Rinde]],2,FALSE)</f>
        <v>#N/A</v>
      </c>
      <c r="L438">
        <v>429</v>
      </c>
      <c r="M438" t="e">
        <f>INDEX(Stammdaten[Abholzigkeit (mm/lfm)],MATCH(Tabelle9[[#This Row],[Rank]],Stammdaten[Rank Verteilung Abholzigkeit],0))</f>
        <v>#N/A</v>
      </c>
      <c r="N438" t="e">
        <f>VLOOKUP(Tabelle9[[#This Row],[Rank]],Stammdaten[[Rank Verteilung Abholzigkeit]:[Verteilung Abholzigkeit]],2,FALSE)</f>
        <v>#N/A</v>
      </c>
      <c r="S438">
        <v>429</v>
      </c>
      <c r="T438" t="e">
        <f>INDEX(Stammdaten[Krümmung (mm/lfm)],MATCH(Tabelle10[[#This Row],[Rank]],Stammdaten[Rank Verteilung Krümmung],0))</f>
        <v>#N/A</v>
      </c>
      <c r="U438" t="e">
        <f>VLOOKUP(Tabelle10[[#This Row],[Rank]],Stammdaten[[Rank Verteilung Krümmung]:[Verteilung Krümmung]],2,FALSE)</f>
        <v>#N/A</v>
      </c>
      <c r="Z438">
        <v>429</v>
      </c>
      <c r="AA438" t="e">
        <f>INDEX(Stammdaten[Ovalität (']0,1'])],MATCH(Tabelle1014[[#This Row],[Rank]],Stammdaten[Rank Verteilung Ovalität],0))</f>
        <v>#N/A</v>
      </c>
      <c r="AB438" t="e">
        <f>VLOOKUP(Tabelle1014[[#This Row],[Rank]],Stammdaten[[Rank Verteilung Ovalität]:[Verteilung Ovalität]],2,FALSE)</f>
        <v>#N/A</v>
      </c>
    </row>
    <row r="439" spans="5:28" x14ac:dyDescent="0.35">
      <c r="E439">
        <v>430</v>
      </c>
      <c r="F439" t="e">
        <f>INDEX(Stammdaten[D Mitte mit Rinde (mm)],MATCH(Tabelle8[[#This Row],[Rank]],Stammdaten[Rank Verteilung D Mitte mit Rinde],0))</f>
        <v>#N/A</v>
      </c>
      <c r="G439" t="e">
        <f>VLOOKUP(Tabelle8[[#This Row],[Rank]],Stammdaten[[Rank Verteilung D Mitte mit Rinde]:[Verteilung D Mitte mit Rinde]],2,FALSE)</f>
        <v>#N/A</v>
      </c>
      <c r="L439">
        <v>430</v>
      </c>
      <c r="M439" t="e">
        <f>INDEX(Stammdaten[Abholzigkeit (mm/lfm)],MATCH(Tabelle9[[#This Row],[Rank]],Stammdaten[Rank Verteilung Abholzigkeit],0))</f>
        <v>#N/A</v>
      </c>
      <c r="N439" t="e">
        <f>VLOOKUP(Tabelle9[[#This Row],[Rank]],Stammdaten[[Rank Verteilung Abholzigkeit]:[Verteilung Abholzigkeit]],2,FALSE)</f>
        <v>#N/A</v>
      </c>
      <c r="S439">
        <v>430</v>
      </c>
      <c r="T439" t="e">
        <f>INDEX(Stammdaten[Krümmung (mm/lfm)],MATCH(Tabelle10[[#This Row],[Rank]],Stammdaten[Rank Verteilung Krümmung],0))</f>
        <v>#N/A</v>
      </c>
      <c r="U439" t="e">
        <f>VLOOKUP(Tabelle10[[#This Row],[Rank]],Stammdaten[[Rank Verteilung Krümmung]:[Verteilung Krümmung]],2,FALSE)</f>
        <v>#N/A</v>
      </c>
      <c r="Z439">
        <v>430</v>
      </c>
      <c r="AA439" t="e">
        <f>INDEX(Stammdaten[Ovalität (']0,1'])],MATCH(Tabelle1014[[#This Row],[Rank]],Stammdaten[Rank Verteilung Ovalität],0))</f>
        <v>#N/A</v>
      </c>
      <c r="AB439" t="e">
        <f>VLOOKUP(Tabelle1014[[#This Row],[Rank]],Stammdaten[[Rank Verteilung Ovalität]:[Verteilung Ovalität]],2,FALSE)</f>
        <v>#N/A</v>
      </c>
    </row>
    <row r="440" spans="5:28" x14ac:dyDescent="0.35">
      <c r="E440">
        <v>431</v>
      </c>
      <c r="F440" t="e">
        <f>INDEX(Stammdaten[D Mitte mit Rinde (mm)],MATCH(Tabelle8[[#This Row],[Rank]],Stammdaten[Rank Verteilung D Mitte mit Rinde],0))</f>
        <v>#N/A</v>
      </c>
      <c r="G440" t="e">
        <f>VLOOKUP(Tabelle8[[#This Row],[Rank]],Stammdaten[[Rank Verteilung D Mitte mit Rinde]:[Verteilung D Mitte mit Rinde]],2,FALSE)</f>
        <v>#N/A</v>
      </c>
      <c r="L440">
        <v>431</v>
      </c>
      <c r="M440" t="e">
        <f>INDEX(Stammdaten[Abholzigkeit (mm/lfm)],MATCH(Tabelle9[[#This Row],[Rank]],Stammdaten[Rank Verteilung Abholzigkeit],0))</f>
        <v>#N/A</v>
      </c>
      <c r="N440" t="e">
        <f>VLOOKUP(Tabelle9[[#This Row],[Rank]],Stammdaten[[Rank Verteilung Abholzigkeit]:[Verteilung Abholzigkeit]],2,FALSE)</f>
        <v>#N/A</v>
      </c>
      <c r="S440">
        <v>431</v>
      </c>
      <c r="T440" t="e">
        <f>INDEX(Stammdaten[Krümmung (mm/lfm)],MATCH(Tabelle10[[#This Row],[Rank]],Stammdaten[Rank Verteilung Krümmung],0))</f>
        <v>#N/A</v>
      </c>
      <c r="U440" t="e">
        <f>VLOOKUP(Tabelle10[[#This Row],[Rank]],Stammdaten[[Rank Verteilung Krümmung]:[Verteilung Krümmung]],2,FALSE)</f>
        <v>#N/A</v>
      </c>
      <c r="Z440">
        <v>431</v>
      </c>
      <c r="AA440" t="e">
        <f>INDEX(Stammdaten[Ovalität (']0,1'])],MATCH(Tabelle1014[[#This Row],[Rank]],Stammdaten[Rank Verteilung Ovalität],0))</f>
        <v>#N/A</v>
      </c>
      <c r="AB440" t="e">
        <f>VLOOKUP(Tabelle1014[[#This Row],[Rank]],Stammdaten[[Rank Verteilung Ovalität]:[Verteilung Ovalität]],2,FALSE)</f>
        <v>#N/A</v>
      </c>
    </row>
    <row r="441" spans="5:28" x14ac:dyDescent="0.35">
      <c r="E441">
        <v>432</v>
      </c>
      <c r="F441" t="e">
        <f>INDEX(Stammdaten[D Mitte mit Rinde (mm)],MATCH(Tabelle8[[#This Row],[Rank]],Stammdaten[Rank Verteilung D Mitte mit Rinde],0))</f>
        <v>#N/A</v>
      </c>
      <c r="G441" t="e">
        <f>VLOOKUP(Tabelle8[[#This Row],[Rank]],Stammdaten[[Rank Verteilung D Mitte mit Rinde]:[Verteilung D Mitte mit Rinde]],2,FALSE)</f>
        <v>#N/A</v>
      </c>
      <c r="L441">
        <v>432</v>
      </c>
      <c r="M441" t="e">
        <f>INDEX(Stammdaten[Abholzigkeit (mm/lfm)],MATCH(Tabelle9[[#This Row],[Rank]],Stammdaten[Rank Verteilung Abholzigkeit],0))</f>
        <v>#N/A</v>
      </c>
      <c r="N441" t="e">
        <f>VLOOKUP(Tabelle9[[#This Row],[Rank]],Stammdaten[[Rank Verteilung Abholzigkeit]:[Verteilung Abholzigkeit]],2,FALSE)</f>
        <v>#N/A</v>
      </c>
      <c r="S441">
        <v>432</v>
      </c>
      <c r="T441" t="e">
        <f>INDEX(Stammdaten[Krümmung (mm/lfm)],MATCH(Tabelle10[[#This Row],[Rank]],Stammdaten[Rank Verteilung Krümmung],0))</f>
        <v>#N/A</v>
      </c>
      <c r="U441" t="e">
        <f>VLOOKUP(Tabelle10[[#This Row],[Rank]],Stammdaten[[Rank Verteilung Krümmung]:[Verteilung Krümmung]],2,FALSE)</f>
        <v>#N/A</v>
      </c>
      <c r="Z441">
        <v>432</v>
      </c>
      <c r="AA441" t="e">
        <f>INDEX(Stammdaten[Ovalität (']0,1'])],MATCH(Tabelle1014[[#This Row],[Rank]],Stammdaten[Rank Verteilung Ovalität],0))</f>
        <v>#N/A</v>
      </c>
      <c r="AB441" t="e">
        <f>VLOOKUP(Tabelle1014[[#This Row],[Rank]],Stammdaten[[Rank Verteilung Ovalität]:[Verteilung Ovalität]],2,FALSE)</f>
        <v>#N/A</v>
      </c>
    </row>
    <row r="442" spans="5:28" x14ac:dyDescent="0.35">
      <c r="E442">
        <v>433</v>
      </c>
      <c r="F442" t="e">
        <f>INDEX(Stammdaten[D Mitte mit Rinde (mm)],MATCH(Tabelle8[[#This Row],[Rank]],Stammdaten[Rank Verteilung D Mitte mit Rinde],0))</f>
        <v>#N/A</v>
      </c>
      <c r="G442" t="e">
        <f>VLOOKUP(Tabelle8[[#This Row],[Rank]],Stammdaten[[Rank Verteilung D Mitte mit Rinde]:[Verteilung D Mitte mit Rinde]],2,FALSE)</f>
        <v>#N/A</v>
      </c>
      <c r="L442">
        <v>433</v>
      </c>
      <c r="M442" t="e">
        <f>INDEX(Stammdaten[Abholzigkeit (mm/lfm)],MATCH(Tabelle9[[#This Row],[Rank]],Stammdaten[Rank Verteilung Abholzigkeit],0))</f>
        <v>#N/A</v>
      </c>
      <c r="N442" t="e">
        <f>VLOOKUP(Tabelle9[[#This Row],[Rank]],Stammdaten[[Rank Verteilung Abholzigkeit]:[Verteilung Abholzigkeit]],2,FALSE)</f>
        <v>#N/A</v>
      </c>
      <c r="S442">
        <v>433</v>
      </c>
      <c r="T442" t="e">
        <f>INDEX(Stammdaten[Krümmung (mm/lfm)],MATCH(Tabelle10[[#This Row],[Rank]],Stammdaten[Rank Verteilung Krümmung],0))</f>
        <v>#N/A</v>
      </c>
      <c r="U442" t="e">
        <f>VLOOKUP(Tabelle10[[#This Row],[Rank]],Stammdaten[[Rank Verteilung Krümmung]:[Verteilung Krümmung]],2,FALSE)</f>
        <v>#N/A</v>
      </c>
      <c r="Z442">
        <v>433</v>
      </c>
      <c r="AA442" t="e">
        <f>INDEX(Stammdaten[Ovalität (']0,1'])],MATCH(Tabelle1014[[#This Row],[Rank]],Stammdaten[Rank Verteilung Ovalität],0))</f>
        <v>#N/A</v>
      </c>
      <c r="AB442" t="e">
        <f>VLOOKUP(Tabelle1014[[#This Row],[Rank]],Stammdaten[[Rank Verteilung Ovalität]:[Verteilung Ovalität]],2,FALSE)</f>
        <v>#N/A</v>
      </c>
    </row>
    <row r="443" spans="5:28" x14ac:dyDescent="0.35">
      <c r="E443">
        <v>434</v>
      </c>
      <c r="F443" t="e">
        <f>INDEX(Stammdaten[D Mitte mit Rinde (mm)],MATCH(Tabelle8[[#This Row],[Rank]],Stammdaten[Rank Verteilung D Mitte mit Rinde],0))</f>
        <v>#N/A</v>
      </c>
      <c r="G443" t="e">
        <f>VLOOKUP(Tabelle8[[#This Row],[Rank]],Stammdaten[[Rank Verteilung D Mitte mit Rinde]:[Verteilung D Mitte mit Rinde]],2,FALSE)</f>
        <v>#N/A</v>
      </c>
      <c r="L443">
        <v>434</v>
      </c>
      <c r="M443" t="e">
        <f>INDEX(Stammdaten[Abholzigkeit (mm/lfm)],MATCH(Tabelle9[[#This Row],[Rank]],Stammdaten[Rank Verteilung Abholzigkeit],0))</f>
        <v>#N/A</v>
      </c>
      <c r="N443" t="e">
        <f>VLOOKUP(Tabelle9[[#This Row],[Rank]],Stammdaten[[Rank Verteilung Abholzigkeit]:[Verteilung Abholzigkeit]],2,FALSE)</f>
        <v>#N/A</v>
      </c>
      <c r="S443">
        <v>434</v>
      </c>
      <c r="T443" t="e">
        <f>INDEX(Stammdaten[Krümmung (mm/lfm)],MATCH(Tabelle10[[#This Row],[Rank]],Stammdaten[Rank Verteilung Krümmung],0))</f>
        <v>#N/A</v>
      </c>
      <c r="U443" t="e">
        <f>VLOOKUP(Tabelle10[[#This Row],[Rank]],Stammdaten[[Rank Verteilung Krümmung]:[Verteilung Krümmung]],2,FALSE)</f>
        <v>#N/A</v>
      </c>
      <c r="Z443">
        <v>434</v>
      </c>
      <c r="AA443" t="e">
        <f>INDEX(Stammdaten[Ovalität (']0,1'])],MATCH(Tabelle1014[[#This Row],[Rank]],Stammdaten[Rank Verteilung Ovalität],0))</f>
        <v>#N/A</v>
      </c>
      <c r="AB443" t="e">
        <f>VLOOKUP(Tabelle1014[[#This Row],[Rank]],Stammdaten[[Rank Verteilung Ovalität]:[Verteilung Ovalität]],2,FALSE)</f>
        <v>#N/A</v>
      </c>
    </row>
    <row r="444" spans="5:28" x14ac:dyDescent="0.35">
      <c r="E444">
        <v>435</v>
      </c>
      <c r="F444" t="e">
        <f>INDEX(Stammdaten[D Mitte mit Rinde (mm)],MATCH(Tabelle8[[#This Row],[Rank]],Stammdaten[Rank Verteilung D Mitte mit Rinde],0))</f>
        <v>#N/A</v>
      </c>
      <c r="G444" t="e">
        <f>VLOOKUP(Tabelle8[[#This Row],[Rank]],Stammdaten[[Rank Verteilung D Mitte mit Rinde]:[Verteilung D Mitte mit Rinde]],2,FALSE)</f>
        <v>#N/A</v>
      </c>
      <c r="L444">
        <v>435</v>
      </c>
      <c r="M444" t="e">
        <f>INDEX(Stammdaten[Abholzigkeit (mm/lfm)],MATCH(Tabelle9[[#This Row],[Rank]],Stammdaten[Rank Verteilung Abholzigkeit],0))</f>
        <v>#N/A</v>
      </c>
      <c r="N444" t="e">
        <f>VLOOKUP(Tabelle9[[#This Row],[Rank]],Stammdaten[[Rank Verteilung Abholzigkeit]:[Verteilung Abholzigkeit]],2,FALSE)</f>
        <v>#N/A</v>
      </c>
      <c r="S444">
        <v>435</v>
      </c>
      <c r="T444" t="e">
        <f>INDEX(Stammdaten[Krümmung (mm/lfm)],MATCH(Tabelle10[[#This Row],[Rank]],Stammdaten[Rank Verteilung Krümmung],0))</f>
        <v>#N/A</v>
      </c>
      <c r="U444" t="e">
        <f>VLOOKUP(Tabelle10[[#This Row],[Rank]],Stammdaten[[Rank Verteilung Krümmung]:[Verteilung Krümmung]],2,FALSE)</f>
        <v>#N/A</v>
      </c>
      <c r="Z444">
        <v>435</v>
      </c>
      <c r="AA444" t="e">
        <f>INDEX(Stammdaten[Ovalität (']0,1'])],MATCH(Tabelle1014[[#This Row],[Rank]],Stammdaten[Rank Verteilung Ovalität],0))</f>
        <v>#N/A</v>
      </c>
      <c r="AB444" t="e">
        <f>VLOOKUP(Tabelle1014[[#This Row],[Rank]],Stammdaten[[Rank Verteilung Ovalität]:[Verteilung Ovalität]],2,FALSE)</f>
        <v>#N/A</v>
      </c>
    </row>
    <row r="445" spans="5:28" x14ac:dyDescent="0.35">
      <c r="E445">
        <v>436</v>
      </c>
      <c r="F445" t="e">
        <f>INDEX(Stammdaten[D Mitte mit Rinde (mm)],MATCH(Tabelle8[[#This Row],[Rank]],Stammdaten[Rank Verteilung D Mitte mit Rinde],0))</f>
        <v>#N/A</v>
      </c>
      <c r="G445" t="e">
        <f>VLOOKUP(Tabelle8[[#This Row],[Rank]],Stammdaten[[Rank Verteilung D Mitte mit Rinde]:[Verteilung D Mitte mit Rinde]],2,FALSE)</f>
        <v>#N/A</v>
      </c>
      <c r="L445">
        <v>436</v>
      </c>
      <c r="M445" t="e">
        <f>INDEX(Stammdaten[Abholzigkeit (mm/lfm)],MATCH(Tabelle9[[#This Row],[Rank]],Stammdaten[Rank Verteilung Abholzigkeit],0))</f>
        <v>#N/A</v>
      </c>
      <c r="N445" t="e">
        <f>VLOOKUP(Tabelle9[[#This Row],[Rank]],Stammdaten[[Rank Verteilung Abholzigkeit]:[Verteilung Abholzigkeit]],2,FALSE)</f>
        <v>#N/A</v>
      </c>
      <c r="S445">
        <v>436</v>
      </c>
      <c r="T445" t="e">
        <f>INDEX(Stammdaten[Krümmung (mm/lfm)],MATCH(Tabelle10[[#This Row],[Rank]],Stammdaten[Rank Verteilung Krümmung],0))</f>
        <v>#N/A</v>
      </c>
      <c r="U445" t="e">
        <f>VLOOKUP(Tabelle10[[#This Row],[Rank]],Stammdaten[[Rank Verteilung Krümmung]:[Verteilung Krümmung]],2,FALSE)</f>
        <v>#N/A</v>
      </c>
      <c r="Z445">
        <v>436</v>
      </c>
      <c r="AA445" t="e">
        <f>INDEX(Stammdaten[Ovalität (']0,1'])],MATCH(Tabelle1014[[#This Row],[Rank]],Stammdaten[Rank Verteilung Ovalität],0))</f>
        <v>#N/A</v>
      </c>
      <c r="AB445" t="e">
        <f>VLOOKUP(Tabelle1014[[#This Row],[Rank]],Stammdaten[[Rank Verteilung Ovalität]:[Verteilung Ovalität]],2,FALSE)</f>
        <v>#N/A</v>
      </c>
    </row>
    <row r="446" spans="5:28" x14ac:dyDescent="0.35">
      <c r="E446">
        <v>437</v>
      </c>
      <c r="F446" t="e">
        <f>INDEX(Stammdaten[D Mitte mit Rinde (mm)],MATCH(Tabelle8[[#This Row],[Rank]],Stammdaten[Rank Verteilung D Mitte mit Rinde],0))</f>
        <v>#N/A</v>
      </c>
      <c r="G446" t="e">
        <f>VLOOKUP(Tabelle8[[#This Row],[Rank]],Stammdaten[[Rank Verteilung D Mitte mit Rinde]:[Verteilung D Mitte mit Rinde]],2,FALSE)</f>
        <v>#N/A</v>
      </c>
      <c r="L446">
        <v>437</v>
      </c>
      <c r="M446" t="e">
        <f>INDEX(Stammdaten[Abholzigkeit (mm/lfm)],MATCH(Tabelle9[[#This Row],[Rank]],Stammdaten[Rank Verteilung Abholzigkeit],0))</f>
        <v>#N/A</v>
      </c>
      <c r="N446" t="e">
        <f>VLOOKUP(Tabelle9[[#This Row],[Rank]],Stammdaten[[Rank Verteilung Abholzigkeit]:[Verteilung Abholzigkeit]],2,FALSE)</f>
        <v>#N/A</v>
      </c>
      <c r="S446">
        <v>437</v>
      </c>
      <c r="T446" t="e">
        <f>INDEX(Stammdaten[Krümmung (mm/lfm)],MATCH(Tabelle10[[#This Row],[Rank]],Stammdaten[Rank Verteilung Krümmung],0))</f>
        <v>#N/A</v>
      </c>
      <c r="U446" t="e">
        <f>VLOOKUP(Tabelle10[[#This Row],[Rank]],Stammdaten[[Rank Verteilung Krümmung]:[Verteilung Krümmung]],2,FALSE)</f>
        <v>#N/A</v>
      </c>
      <c r="Z446">
        <v>437</v>
      </c>
      <c r="AA446" t="e">
        <f>INDEX(Stammdaten[Ovalität (']0,1'])],MATCH(Tabelle1014[[#This Row],[Rank]],Stammdaten[Rank Verteilung Ovalität],0))</f>
        <v>#N/A</v>
      </c>
      <c r="AB446" t="e">
        <f>VLOOKUP(Tabelle1014[[#This Row],[Rank]],Stammdaten[[Rank Verteilung Ovalität]:[Verteilung Ovalität]],2,FALSE)</f>
        <v>#N/A</v>
      </c>
    </row>
    <row r="447" spans="5:28" x14ac:dyDescent="0.35">
      <c r="E447">
        <v>438</v>
      </c>
      <c r="F447" t="e">
        <f>INDEX(Stammdaten[D Mitte mit Rinde (mm)],MATCH(Tabelle8[[#This Row],[Rank]],Stammdaten[Rank Verteilung D Mitte mit Rinde],0))</f>
        <v>#N/A</v>
      </c>
      <c r="G447" t="e">
        <f>VLOOKUP(Tabelle8[[#This Row],[Rank]],Stammdaten[[Rank Verteilung D Mitte mit Rinde]:[Verteilung D Mitte mit Rinde]],2,FALSE)</f>
        <v>#N/A</v>
      </c>
      <c r="L447">
        <v>438</v>
      </c>
      <c r="M447" t="e">
        <f>INDEX(Stammdaten[Abholzigkeit (mm/lfm)],MATCH(Tabelle9[[#This Row],[Rank]],Stammdaten[Rank Verteilung Abholzigkeit],0))</f>
        <v>#N/A</v>
      </c>
      <c r="N447" t="e">
        <f>VLOOKUP(Tabelle9[[#This Row],[Rank]],Stammdaten[[Rank Verteilung Abholzigkeit]:[Verteilung Abholzigkeit]],2,FALSE)</f>
        <v>#N/A</v>
      </c>
      <c r="S447">
        <v>438</v>
      </c>
      <c r="T447" t="e">
        <f>INDEX(Stammdaten[Krümmung (mm/lfm)],MATCH(Tabelle10[[#This Row],[Rank]],Stammdaten[Rank Verteilung Krümmung],0))</f>
        <v>#N/A</v>
      </c>
      <c r="U447" t="e">
        <f>VLOOKUP(Tabelle10[[#This Row],[Rank]],Stammdaten[[Rank Verteilung Krümmung]:[Verteilung Krümmung]],2,FALSE)</f>
        <v>#N/A</v>
      </c>
      <c r="Z447">
        <v>438</v>
      </c>
      <c r="AA447" t="e">
        <f>INDEX(Stammdaten[Ovalität (']0,1'])],MATCH(Tabelle1014[[#This Row],[Rank]],Stammdaten[Rank Verteilung Ovalität],0))</f>
        <v>#N/A</v>
      </c>
      <c r="AB447" t="e">
        <f>VLOOKUP(Tabelle1014[[#This Row],[Rank]],Stammdaten[[Rank Verteilung Ovalität]:[Verteilung Ovalität]],2,FALSE)</f>
        <v>#N/A</v>
      </c>
    </row>
    <row r="448" spans="5:28" x14ac:dyDescent="0.35">
      <c r="E448">
        <v>439</v>
      </c>
      <c r="F448" t="e">
        <f>INDEX(Stammdaten[D Mitte mit Rinde (mm)],MATCH(Tabelle8[[#This Row],[Rank]],Stammdaten[Rank Verteilung D Mitte mit Rinde],0))</f>
        <v>#N/A</v>
      </c>
      <c r="G448" t="e">
        <f>VLOOKUP(Tabelle8[[#This Row],[Rank]],Stammdaten[[Rank Verteilung D Mitte mit Rinde]:[Verteilung D Mitte mit Rinde]],2,FALSE)</f>
        <v>#N/A</v>
      </c>
      <c r="L448">
        <v>439</v>
      </c>
      <c r="M448" t="e">
        <f>INDEX(Stammdaten[Abholzigkeit (mm/lfm)],MATCH(Tabelle9[[#This Row],[Rank]],Stammdaten[Rank Verteilung Abholzigkeit],0))</f>
        <v>#N/A</v>
      </c>
      <c r="N448" t="e">
        <f>VLOOKUP(Tabelle9[[#This Row],[Rank]],Stammdaten[[Rank Verteilung Abholzigkeit]:[Verteilung Abholzigkeit]],2,FALSE)</f>
        <v>#N/A</v>
      </c>
      <c r="S448">
        <v>439</v>
      </c>
      <c r="T448" t="e">
        <f>INDEX(Stammdaten[Krümmung (mm/lfm)],MATCH(Tabelle10[[#This Row],[Rank]],Stammdaten[Rank Verteilung Krümmung],0))</f>
        <v>#N/A</v>
      </c>
      <c r="U448" t="e">
        <f>VLOOKUP(Tabelle10[[#This Row],[Rank]],Stammdaten[[Rank Verteilung Krümmung]:[Verteilung Krümmung]],2,FALSE)</f>
        <v>#N/A</v>
      </c>
      <c r="Z448">
        <v>439</v>
      </c>
      <c r="AA448" t="e">
        <f>INDEX(Stammdaten[Ovalität (']0,1'])],MATCH(Tabelle1014[[#This Row],[Rank]],Stammdaten[Rank Verteilung Ovalität],0))</f>
        <v>#N/A</v>
      </c>
      <c r="AB448" t="e">
        <f>VLOOKUP(Tabelle1014[[#This Row],[Rank]],Stammdaten[[Rank Verteilung Ovalität]:[Verteilung Ovalität]],2,FALSE)</f>
        <v>#N/A</v>
      </c>
    </row>
    <row r="449" spans="5:28" x14ac:dyDescent="0.35">
      <c r="E449">
        <v>440</v>
      </c>
      <c r="F449" t="e">
        <f>INDEX(Stammdaten[D Mitte mit Rinde (mm)],MATCH(Tabelle8[[#This Row],[Rank]],Stammdaten[Rank Verteilung D Mitte mit Rinde],0))</f>
        <v>#N/A</v>
      </c>
      <c r="G449" t="e">
        <f>VLOOKUP(Tabelle8[[#This Row],[Rank]],Stammdaten[[Rank Verteilung D Mitte mit Rinde]:[Verteilung D Mitte mit Rinde]],2,FALSE)</f>
        <v>#N/A</v>
      </c>
      <c r="L449">
        <v>440</v>
      </c>
      <c r="M449" t="e">
        <f>INDEX(Stammdaten[Abholzigkeit (mm/lfm)],MATCH(Tabelle9[[#This Row],[Rank]],Stammdaten[Rank Verteilung Abholzigkeit],0))</f>
        <v>#N/A</v>
      </c>
      <c r="N449" t="e">
        <f>VLOOKUP(Tabelle9[[#This Row],[Rank]],Stammdaten[[Rank Verteilung Abholzigkeit]:[Verteilung Abholzigkeit]],2,FALSE)</f>
        <v>#N/A</v>
      </c>
      <c r="S449">
        <v>440</v>
      </c>
      <c r="T449" t="e">
        <f>INDEX(Stammdaten[Krümmung (mm/lfm)],MATCH(Tabelle10[[#This Row],[Rank]],Stammdaten[Rank Verteilung Krümmung],0))</f>
        <v>#N/A</v>
      </c>
      <c r="U449" t="e">
        <f>VLOOKUP(Tabelle10[[#This Row],[Rank]],Stammdaten[[Rank Verteilung Krümmung]:[Verteilung Krümmung]],2,FALSE)</f>
        <v>#N/A</v>
      </c>
      <c r="Z449">
        <v>440</v>
      </c>
      <c r="AA449" t="e">
        <f>INDEX(Stammdaten[Ovalität (']0,1'])],MATCH(Tabelle1014[[#This Row],[Rank]],Stammdaten[Rank Verteilung Ovalität],0))</f>
        <v>#N/A</v>
      </c>
      <c r="AB449" t="e">
        <f>VLOOKUP(Tabelle1014[[#This Row],[Rank]],Stammdaten[[Rank Verteilung Ovalität]:[Verteilung Ovalität]],2,FALSE)</f>
        <v>#N/A</v>
      </c>
    </row>
    <row r="450" spans="5:28" x14ac:dyDescent="0.35">
      <c r="E450">
        <v>441</v>
      </c>
      <c r="F450" t="e">
        <f>INDEX(Stammdaten[D Mitte mit Rinde (mm)],MATCH(Tabelle8[[#This Row],[Rank]],Stammdaten[Rank Verteilung D Mitte mit Rinde],0))</f>
        <v>#N/A</v>
      </c>
      <c r="G450" t="e">
        <f>VLOOKUP(Tabelle8[[#This Row],[Rank]],Stammdaten[[Rank Verteilung D Mitte mit Rinde]:[Verteilung D Mitte mit Rinde]],2,FALSE)</f>
        <v>#N/A</v>
      </c>
      <c r="L450">
        <v>441</v>
      </c>
      <c r="M450" t="e">
        <f>INDEX(Stammdaten[Abholzigkeit (mm/lfm)],MATCH(Tabelle9[[#This Row],[Rank]],Stammdaten[Rank Verteilung Abholzigkeit],0))</f>
        <v>#N/A</v>
      </c>
      <c r="N450" t="e">
        <f>VLOOKUP(Tabelle9[[#This Row],[Rank]],Stammdaten[[Rank Verteilung Abholzigkeit]:[Verteilung Abholzigkeit]],2,FALSE)</f>
        <v>#N/A</v>
      </c>
      <c r="S450">
        <v>441</v>
      </c>
      <c r="T450" t="e">
        <f>INDEX(Stammdaten[Krümmung (mm/lfm)],MATCH(Tabelle10[[#This Row],[Rank]],Stammdaten[Rank Verteilung Krümmung],0))</f>
        <v>#N/A</v>
      </c>
      <c r="U450" t="e">
        <f>VLOOKUP(Tabelle10[[#This Row],[Rank]],Stammdaten[[Rank Verteilung Krümmung]:[Verteilung Krümmung]],2,FALSE)</f>
        <v>#N/A</v>
      </c>
      <c r="Z450">
        <v>441</v>
      </c>
      <c r="AA450" t="e">
        <f>INDEX(Stammdaten[Ovalität (']0,1'])],MATCH(Tabelle1014[[#This Row],[Rank]],Stammdaten[Rank Verteilung Ovalität],0))</f>
        <v>#N/A</v>
      </c>
      <c r="AB450" t="e">
        <f>VLOOKUP(Tabelle1014[[#This Row],[Rank]],Stammdaten[[Rank Verteilung Ovalität]:[Verteilung Ovalität]],2,FALSE)</f>
        <v>#N/A</v>
      </c>
    </row>
    <row r="451" spans="5:28" x14ac:dyDescent="0.35">
      <c r="E451">
        <v>442</v>
      </c>
      <c r="F451" t="e">
        <f>INDEX(Stammdaten[D Mitte mit Rinde (mm)],MATCH(Tabelle8[[#This Row],[Rank]],Stammdaten[Rank Verteilung D Mitte mit Rinde],0))</f>
        <v>#N/A</v>
      </c>
      <c r="G451" t="e">
        <f>VLOOKUP(Tabelle8[[#This Row],[Rank]],Stammdaten[[Rank Verteilung D Mitte mit Rinde]:[Verteilung D Mitte mit Rinde]],2,FALSE)</f>
        <v>#N/A</v>
      </c>
      <c r="L451">
        <v>442</v>
      </c>
      <c r="M451" t="e">
        <f>INDEX(Stammdaten[Abholzigkeit (mm/lfm)],MATCH(Tabelle9[[#This Row],[Rank]],Stammdaten[Rank Verteilung Abholzigkeit],0))</f>
        <v>#N/A</v>
      </c>
      <c r="N451" t="e">
        <f>VLOOKUP(Tabelle9[[#This Row],[Rank]],Stammdaten[[Rank Verteilung Abholzigkeit]:[Verteilung Abholzigkeit]],2,FALSE)</f>
        <v>#N/A</v>
      </c>
      <c r="S451">
        <v>442</v>
      </c>
      <c r="T451" t="e">
        <f>INDEX(Stammdaten[Krümmung (mm/lfm)],MATCH(Tabelle10[[#This Row],[Rank]],Stammdaten[Rank Verteilung Krümmung],0))</f>
        <v>#N/A</v>
      </c>
      <c r="U451" t="e">
        <f>VLOOKUP(Tabelle10[[#This Row],[Rank]],Stammdaten[[Rank Verteilung Krümmung]:[Verteilung Krümmung]],2,FALSE)</f>
        <v>#N/A</v>
      </c>
      <c r="Z451">
        <v>442</v>
      </c>
      <c r="AA451" t="e">
        <f>INDEX(Stammdaten[Ovalität (']0,1'])],MATCH(Tabelle1014[[#This Row],[Rank]],Stammdaten[Rank Verteilung Ovalität],0))</f>
        <v>#N/A</v>
      </c>
      <c r="AB451" t="e">
        <f>VLOOKUP(Tabelle1014[[#This Row],[Rank]],Stammdaten[[Rank Verteilung Ovalität]:[Verteilung Ovalität]],2,FALSE)</f>
        <v>#N/A</v>
      </c>
    </row>
    <row r="452" spans="5:28" x14ac:dyDescent="0.35">
      <c r="E452">
        <v>443</v>
      </c>
      <c r="F452" t="e">
        <f>INDEX(Stammdaten[D Mitte mit Rinde (mm)],MATCH(Tabelle8[[#This Row],[Rank]],Stammdaten[Rank Verteilung D Mitte mit Rinde],0))</f>
        <v>#N/A</v>
      </c>
      <c r="G452" t="e">
        <f>VLOOKUP(Tabelle8[[#This Row],[Rank]],Stammdaten[[Rank Verteilung D Mitte mit Rinde]:[Verteilung D Mitte mit Rinde]],2,FALSE)</f>
        <v>#N/A</v>
      </c>
      <c r="L452">
        <v>443</v>
      </c>
      <c r="M452" t="e">
        <f>INDEX(Stammdaten[Abholzigkeit (mm/lfm)],MATCH(Tabelle9[[#This Row],[Rank]],Stammdaten[Rank Verteilung Abholzigkeit],0))</f>
        <v>#N/A</v>
      </c>
      <c r="N452" t="e">
        <f>VLOOKUP(Tabelle9[[#This Row],[Rank]],Stammdaten[[Rank Verteilung Abholzigkeit]:[Verteilung Abholzigkeit]],2,FALSE)</f>
        <v>#N/A</v>
      </c>
      <c r="S452">
        <v>443</v>
      </c>
      <c r="T452" t="e">
        <f>INDEX(Stammdaten[Krümmung (mm/lfm)],MATCH(Tabelle10[[#This Row],[Rank]],Stammdaten[Rank Verteilung Krümmung],0))</f>
        <v>#N/A</v>
      </c>
      <c r="U452" t="e">
        <f>VLOOKUP(Tabelle10[[#This Row],[Rank]],Stammdaten[[Rank Verteilung Krümmung]:[Verteilung Krümmung]],2,FALSE)</f>
        <v>#N/A</v>
      </c>
      <c r="Z452">
        <v>443</v>
      </c>
      <c r="AA452" t="e">
        <f>INDEX(Stammdaten[Ovalität (']0,1'])],MATCH(Tabelle1014[[#This Row],[Rank]],Stammdaten[Rank Verteilung Ovalität],0))</f>
        <v>#N/A</v>
      </c>
      <c r="AB452" t="e">
        <f>VLOOKUP(Tabelle1014[[#This Row],[Rank]],Stammdaten[[Rank Verteilung Ovalität]:[Verteilung Ovalität]],2,FALSE)</f>
        <v>#N/A</v>
      </c>
    </row>
    <row r="453" spans="5:28" x14ac:dyDescent="0.35">
      <c r="E453">
        <v>444</v>
      </c>
      <c r="F453" t="e">
        <f>INDEX(Stammdaten[D Mitte mit Rinde (mm)],MATCH(Tabelle8[[#This Row],[Rank]],Stammdaten[Rank Verteilung D Mitte mit Rinde],0))</f>
        <v>#N/A</v>
      </c>
      <c r="G453" t="e">
        <f>VLOOKUP(Tabelle8[[#This Row],[Rank]],Stammdaten[[Rank Verteilung D Mitte mit Rinde]:[Verteilung D Mitte mit Rinde]],2,FALSE)</f>
        <v>#N/A</v>
      </c>
      <c r="L453">
        <v>444</v>
      </c>
      <c r="M453" t="e">
        <f>INDEX(Stammdaten[Abholzigkeit (mm/lfm)],MATCH(Tabelle9[[#This Row],[Rank]],Stammdaten[Rank Verteilung Abholzigkeit],0))</f>
        <v>#N/A</v>
      </c>
      <c r="N453" t="e">
        <f>VLOOKUP(Tabelle9[[#This Row],[Rank]],Stammdaten[[Rank Verteilung Abholzigkeit]:[Verteilung Abholzigkeit]],2,FALSE)</f>
        <v>#N/A</v>
      </c>
      <c r="S453">
        <v>444</v>
      </c>
      <c r="T453" t="e">
        <f>INDEX(Stammdaten[Krümmung (mm/lfm)],MATCH(Tabelle10[[#This Row],[Rank]],Stammdaten[Rank Verteilung Krümmung],0))</f>
        <v>#N/A</v>
      </c>
      <c r="U453" t="e">
        <f>VLOOKUP(Tabelle10[[#This Row],[Rank]],Stammdaten[[Rank Verteilung Krümmung]:[Verteilung Krümmung]],2,FALSE)</f>
        <v>#N/A</v>
      </c>
      <c r="Z453">
        <v>444</v>
      </c>
      <c r="AA453" t="e">
        <f>INDEX(Stammdaten[Ovalität (']0,1'])],MATCH(Tabelle1014[[#This Row],[Rank]],Stammdaten[Rank Verteilung Ovalität],0))</f>
        <v>#N/A</v>
      </c>
      <c r="AB453" t="e">
        <f>VLOOKUP(Tabelle1014[[#This Row],[Rank]],Stammdaten[[Rank Verteilung Ovalität]:[Verteilung Ovalität]],2,FALSE)</f>
        <v>#N/A</v>
      </c>
    </row>
    <row r="454" spans="5:28" x14ac:dyDescent="0.35">
      <c r="E454">
        <v>445</v>
      </c>
      <c r="F454" t="e">
        <f>INDEX(Stammdaten[D Mitte mit Rinde (mm)],MATCH(Tabelle8[[#This Row],[Rank]],Stammdaten[Rank Verteilung D Mitte mit Rinde],0))</f>
        <v>#N/A</v>
      </c>
      <c r="G454" t="e">
        <f>VLOOKUP(Tabelle8[[#This Row],[Rank]],Stammdaten[[Rank Verteilung D Mitte mit Rinde]:[Verteilung D Mitte mit Rinde]],2,FALSE)</f>
        <v>#N/A</v>
      </c>
      <c r="L454">
        <v>445</v>
      </c>
      <c r="M454" t="e">
        <f>INDEX(Stammdaten[Abholzigkeit (mm/lfm)],MATCH(Tabelle9[[#This Row],[Rank]],Stammdaten[Rank Verteilung Abholzigkeit],0))</f>
        <v>#N/A</v>
      </c>
      <c r="N454" t="e">
        <f>VLOOKUP(Tabelle9[[#This Row],[Rank]],Stammdaten[[Rank Verteilung Abholzigkeit]:[Verteilung Abholzigkeit]],2,FALSE)</f>
        <v>#N/A</v>
      </c>
      <c r="S454">
        <v>445</v>
      </c>
      <c r="T454" t="e">
        <f>INDEX(Stammdaten[Krümmung (mm/lfm)],MATCH(Tabelle10[[#This Row],[Rank]],Stammdaten[Rank Verteilung Krümmung],0))</f>
        <v>#N/A</v>
      </c>
      <c r="U454" t="e">
        <f>VLOOKUP(Tabelle10[[#This Row],[Rank]],Stammdaten[[Rank Verteilung Krümmung]:[Verteilung Krümmung]],2,FALSE)</f>
        <v>#N/A</v>
      </c>
      <c r="Z454">
        <v>445</v>
      </c>
      <c r="AA454" t="e">
        <f>INDEX(Stammdaten[Ovalität (']0,1'])],MATCH(Tabelle1014[[#This Row],[Rank]],Stammdaten[Rank Verteilung Ovalität],0))</f>
        <v>#N/A</v>
      </c>
      <c r="AB454" t="e">
        <f>VLOOKUP(Tabelle1014[[#This Row],[Rank]],Stammdaten[[Rank Verteilung Ovalität]:[Verteilung Ovalität]],2,FALSE)</f>
        <v>#N/A</v>
      </c>
    </row>
    <row r="455" spans="5:28" x14ac:dyDescent="0.35">
      <c r="E455">
        <v>446</v>
      </c>
      <c r="F455" t="e">
        <f>INDEX(Stammdaten[D Mitte mit Rinde (mm)],MATCH(Tabelle8[[#This Row],[Rank]],Stammdaten[Rank Verteilung D Mitte mit Rinde],0))</f>
        <v>#N/A</v>
      </c>
      <c r="G455" t="e">
        <f>VLOOKUP(Tabelle8[[#This Row],[Rank]],Stammdaten[[Rank Verteilung D Mitte mit Rinde]:[Verteilung D Mitte mit Rinde]],2,FALSE)</f>
        <v>#N/A</v>
      </c>
      <c r="L455">
        <v>446</v>
      </c>
      <c r="M455" t="e">
        <f>INDEX(Stammdaten[Abholzigkeit (mm/lfm)],MATCH(Tabelle9[[#This Row],[Rank]],Stammdaten[Rank Verteilung Abholzigkeit],0))</f>
        <v>#N/A</v>
      </c>
      <c r="N455" t="e">
        <f>VLOOKUP(Tabelle9[[#This Row],[Rank]],Stammdaten[[Rank Verteilung Abholzigkeit]:[Verteilung Abholzigkeit]],2,FALSE)</f>
        <v>#N/A</v>
      </c>
      <c r="S455">
        <v>446</v>
      </c>
      <c r="T455" t="e">
        <f>INDEX(Stammdaten[Krümmung (mm/lfm)],MATCH(Tabelle10[[#This Row],[Rank]],Stammdaten[Rank Verteilung Krümmung],0))</f>
        <v>#N/A</v>
      </c>
      <c r="U455" t="e">
        <f>VLOOKUP(Tabelle10[[#This Row],[Rank]],Stammdaten[[Rank Verteilung Krümmung]:[Verteilung Krümmung]],2,FALSE)</f>
        <v>#N/A</v>
      </c>
      <c r="Z455">
        <v>446</v>
      </c>
      <c r="AA455" t="e">
        <f>INDEX(Stammdaten[Ovalität (']0,1'])],MATCH(Tabelle1014[[#This Row],[Rank]],Stammdaten[Rank Verteilung Ovalität],0))</f>
        <v>#N/A</v>
      </c>
      <c r="AB455" t="e">
        <f>VLOOKUP(Tabelle1014[[#This Row],[Rank]],Stammdaten[[Rank Verteilung Ovalität]:[Verteilung Ovalität]],2,FALSE)</f>
        <v>#N/A</v>
      </c>
    </row>
    <row r="456" spans="5:28" x14ac:dyDescent="0.35">
      <c r="E456">
        <v>447</v>
      </c>
      <c r="F456" t="e">
        <f>INDEX(Stammdaten[D Mitte mit Rinde (mm)],MATCH(Tabelle8[[#This Row],[Rank]],Stammdaten[Rank Verteilung D Mitte mit Rinde],0))</f>
        <v>#N/A</v>
      </c>
      <c r="G456" t="e">
        <f>VLOOKUP(Tabelle8[[#This Row],[Rank]],Stammdaten[[Rank Verteilung D Mitte mit Rinde]:[Verteilung D Mitte mit Rinde]],2,FALSE)</f>
        <v>#N/A</v>
      </c>
      <c r="L456">
        <v>447</v>
      </c>
      <c r="M456" t="e">
        <f>INDEX(Stammdaten[Abholzigkeit (mm/lfm)],MATCH(Tabelle9[[#This Row],[Rank]],Stammdaten[Rank Verteilung Abholzigkeit],0))</f>
        <v>#N/A</v>
      </c>
      <c r="N456" t="e">
        <f>VLOOKUP(Tabelle9[[#This Row],[Rank]],Stammdaten[[Rank Verteilung Abholzigkeit]:[Verteilung Abholzigkeit]],2,FALSE)</f>
        <v>#N/A</v>
      </c>
      <c r="S456">
        <v>447</v>
      </c>
      <c r="T456" t="e">
        <f>INDEX(Stammdaten[Krümmung (mm/lfm)],MATCH(Tabelle10[[#This Row],[Rank]],Stammdaten[Rank Verteilung Krümmung],0))</f>
        <v>#N/A</v>
      </c>
      <c r="U456" t="e">
        <f>VLOOKUP(Tabelle10[[#This Row],[Rank]],Stammdaten[[Rank Verteilung Krümmung]:[Verteilung Krümmung]],2,FALSE)</f>
        <v>#N/A</v>
      </c>
      <c r="Z456">
        <v>447</v>
      </c>
      <c r="AA456" t="e">
        <f>INDEX(Stammdaten[Ovalität (']0,1'])],MATCH(Tabelle1014[[#This Row],[Rank]],Stammdaten[Rank Verteilung Ovalität],0))</f>
        <v>#N/A</v>
      </c>
      <c r="AB456" t="e">
        <f>VLOOKUP(Tabelle1014[[#This Row],[Rank]],Stammdaten[[Rank Verteilung Ovalität]:[Verteilung Ovalität]],2,FALSE)</f>
        <v>#N/A</v>
      </c>
    </row>
    <row r="457" spans="5:28" x14ac:dyDescent="0.35">
      <c r="E457">
        <v>448</v>
      </c>
      <c r="F457" t="e">
        <f>INDEX(Stammdaten[D Mitte mit Rinde (mm)],MATCH(Tabelle8[[#This Row],[Rank]],Stammdaten[Rank Verteilung D Mitte mit Rinde],0))</f>
        <v>#N/A</v>
      </c>
      <c r="G457" t="e">
        <f>VLOOKUP(Tabelle8[[#This Row],[Rank]],Stammdaten[[Rank Verteilung D Mitte mit Rinde]:[Verteilung D Mitte mit Rinde]],2,FALSE)</f>
        <v>#N/A</v>
      </c>
      <c r="L457">
        <v>448</v>
      </c>
      <c r="M457" t="e">
        <f>INDEX(Stammdaten[Abholzigkeit (mm/lfm)],MATCH(Tabelle9[[#This Row],[Rank]],Stammdaten[Rank Verteilung Abholzigkeit],0))</f>
        <v>#N/A</v>
      </c>
      <c r="N457" t="e">
        <f>VLOOKUP(Tabelle9[[#This Row],[Rank]],Stammdaten[[Rank Verteilung Abholzigkeit]:[Verteilung Abholzigkeit]],2,FALSE)</f>
        <v>#N/A</v>
      </c>
      <c r="S457">
        <v>448</v>
      </c>
      <c r="T457" t="e">
        <f>INDEX(Stammdaten[Krümmung (mm/lfm)],MATCH(Tabelle10[[#This Row],[Rank]],Stammdaten[Rank Verteilung Krümmung],0))</f>
        <v>#N/A</v>
      </c>
      <c r="U457" t="e">
        <f>VLOOKUP(Tabelle10[[#This Row],[Rank]],Stammdaten[[Rank Verteilung Krümmung]:[Verteilung Krümmung]],2,FALSE)</f>
        <v>#N/A</v>
      </c>
      <c r="Z457">
        <v>448</v>
      </c>
      <c r="AA457" t="e">
        <f>INDEX(Stammdaten[Ovalität (']0,1'])],MATCH(Tabelle1014[[#This Row],[Rank]],Stammdaten[Rank Verteilung Ovalität],0))</f>
        <v>#N/A</v>
      </c>
      <c r="AB457" t="e">
        <f>VLOOKUP(Tabelle1014[[#This Row],[Rank]],Stammdaten[[Rank Verteilung Ovalität]:[Verteilung Ovalität]],2,FALSE)</f>
        <v>#N/A</v>
      </c>
    </row>
    <row r="458" spans="5:28" x14ac:dyDescent="0.35">
      <c r="E458">
        <v>449</v>
      </c>
      <c r="F458" t="e">
        <f>INDEX(Stammdaten[D Mitte mit Rinde (mm)],MATCH(Tabelle8[[#This Row],[Rank]],Stammdaten[Rank Verteilung D Mitte mit Rinde],0))</f>
        <v>#N/A</v>
      </c>
      <c r="G458" t="e">
        <f>VLOOKUP(Tabelle8[[#This Row],[Rank]],Stammdaten[[Rank Verteilung D Mitte mit Rinde]:[Verteilung D Mitte mit Rinde]],2,FALSE)</f>
        <v>#N/A</v>
      </c>
      <c r="L458">
        <v>449</v>
      </c>
      <c r="M458" t="e">
        <f>INDEX(Stammdaten[Abholzigkeit (mm/lfm)],MATCH(Tabelle9[[#This Row],[Rank]],Stammdaten[Rank Verteilung Abholzigkeit],0))</f>
        <v>#N/A</v>
      </c>
      <c r="N458" t="e">
        <f>VLOOKUP(Tabelle9[[#This Row],[Rank]],Stammdaten[[Rank Verteilung Abholzigkeit]:[Verteilung Abholzigkeit]],2,FALSE)</f>
        <v>#N/A</v>
      </c>
      <c r="S458">
        <v>449</v>
      </c>
      <c r="T458" t="e">
        <f>INDEX(Stammdaten[Krümmung (mm/lfm)],MATCH(Tabelle10[[#This Row],[Rank]],Stammdaten[Rank Verteilung Krümmung],0))</f>
        <v>#N/A</v>
      </c>
      <c r="U458" t="e">
        <f>VLOOKUP(Tabelle10[[#This Row],[Rank]],Stammdaten[[Rank Verteilung Krümmung]:[Verteilung Krümmung]],2,FALSE)</f>
        <v>#N/A</v>
      </c>
      <c r="Z458">
        <v>449</v>
      </c>
      <c r="AA458" t="e">
        <f>INDEX(Stammdaten[Ovalität (']0,1'])],MATCH(Tabelle1014[[#This Row],[Rank]],Stammdaten[Rank Verteilung Ovalität],0))</f>
        <v>#N/A</v>
      </c>
      <c r="AB458" t="e">
        <f>VLOOKUP(Tabelle1014[[#This Row],[Rank]],Stammdaten[[Rank Verteilung Ovalität]:[Verteilung Ovalität]],2,FALSE)</f>
        <v>#N/A</v>
      </c>
    </row>
    <row r="459" spans="5:28" x14ac:dyDescent="0.35">
      <c r="E459">
        <v>450</v>
      </c>
      <c r="F459" t="e">
        <f>INDEX(Stammdaten[D Mitte mit Rinde (mm)],MATCH(Tabelle8[[#This Row],[Rank]],Stammdaten[Rank Verteilung D Mitte mit Rinde],0))</f>
        <v>#N/A</v>
      </c>
      <c r="G459" t="e">
        <f>VLOOKUP(Tabelle8[[#This Row],[Rank]],Stammdaten[[Rank Verteilung D Mitte mit Rinde]:[Verteilung D Mitte mit Rinde]],2,FALSE)</f>
        <v>#N/A</v>
      </c>
      <c r="L459">
        <v>450</v>
      </c>
      <c r="M459" t="e">
        <f>INDEX(Stammdaten[Abholzigkeit (mm/lfm)],MATCH(Tabelle9[[#This Row],[Rank]],Stammdaten[Rank Verteilung Abholzigkeit],0))</f>
        <v>#N/A</v>
      </c>
      <c r="N459" t="e">
        <f>VLOOKUP(Tabelle9[[#This Row],[Rank]],Stammdaten[[Rank Verteilung Abholzigkeit]:[Verteilung Abholzigkeit]],2,FALSE)</f>
        <v>#N/A</v>
      </c>
      <c r="S459">
        <v>450</v>
      </c>
      <c r="T459" t="e">
        <f>INDEX(Stammdaten[Krümmung (mm/lfm)],MATCH(Tabelle10[[#This Row],[Rank]],Stammdaten[Rank Verteilung Krümmung],0))</f>
        <v>#N/A</v>
      </c>
      <c r="U459" t="e">
        <f>VLOOKUP(Tabelle10[[#This Row],[Rank]],Stammdaten[[Rank Verteilung Krümmung]:[Verteilung Krümmung]],2,FALSE)</f>
        <v>#N/A</v>
      </c>
      <c r="Z459">
        <v>450</v>
      </c>
      <c r="AA459" t="e">
        <f>INDEX(Stammdaten[Ovalität (']0,1'])],MATCH(Tabelle1014[[#This Row],[Rank]],Stammdaten[Rank Verteilung Ovalität],0))</f>
        <v>#N/A</v>
      </c>
      <c r="AB459" t="e">
        <f>VLOOKUP(Tabelle1014[[#This Row],[Rank]],Stammdaten[[Rank Verteilung Ovalität]:[Verteilung Ovalität]],2,FALSE)</f>
        <v>#N/A</v>
      </c>
    </row>
    <row r="460" spans="5:28" x14ac:dyDescent="0.35">
      <c r="E460">
        <v>451</v>
      </c>
      <c r="F460" t="e">
        <f>INDEX(Stammdaten[D Mitte mit Rinde (mm)],MATCH(Tabelle8[[#This Row],[Rank]],Stammdaten[Rank Verteilung D Mitte mit Rinde],0))</f>
        <v>#N/A</v>
      </c>
      <c r="G460" t="e">
        <f>VLOOKUP(Tabelle8[[#This Row],[Rank]],Stammdaten[[Rank Verteilung D Mitte mit Rinde]:[Verteilung D Mitte mit Rinde]],2,FALSE)</f>
        <v>#N/A</v>
      </c>
      <c r="L460">
        <v>451</v>
      </c>
      <c r="M460" t="e">
        <f>INDEX(Stammdaten[Abholzigkeit (mm/lfm)],MATCH(Tabelle9[[#This Row],[Rank]],Stammdaten[Rank Verteilung Abholzigkeit],0))</f>
        <v>#N/A</v>
      </c>
      <c r="N460" t="e">
        <f>VLOOKUP(Tabelle9[[#This Row],[Rank]],Stammdaten[[Rank Verteilung Abholzigkeit]:[Verteilung Abholzigkeit]],2,FALSE)</f>
        <v>#N/A</v>
      </c>
      <c r="S460">
        <v>451</v>
      </c>
      <c r="T460" t="e">
        <f>INDEX(Stammdaten[Krümmung (mm/lfm)],MATCH(Tabelle10[[#This Row],[Rank]],Stammdaten[Rank Verteilung Krümmung],0))</f>
        <v>#N/A</v>
      </c>
      <c r="U460" t="e">
        <f>VLOOKUP(Tabelle10[[#This Row],[Rank]],Stammdaten[[Rank Verteilung Krümmung]:[Verteilung Krümmung]],2,FALSE)</f>
        <v>#N/A</v>
      </c>
      <c r="Z460">
        <v>451</v>
      </c>
      <c r="AA460" t="e">
        <f>INDEX(Stammdaten[Ovalität (']0,1'])],MATCH(Tabelle1014[[#This Row],[Rank]],Stammdaten[Rank Verteilung Ovalität],0))</f>
        <v>#N/A</v>
      </c>
      <c r="AB460" t="e">
        <f>VLOOKUP(Tabelle1014[[#This Row],[Rank]],Stammdaten[[Rank Verteilung Ovalität]:[Verteilung Ovalität]],2,FALSE)</f>
        <v>#N/A</v>
      </c>
    </row>
    <row r="461" spans="5:28" x14ac:dyDescent="0.35">
      <c r="E461">
        <v>452</v>
      </c>
      <c r="F461" t="e">
        <f>INDEX(Stammdaten[D Mitte mit Rinde (mm)],MATCH(Tabelle8[[#This Row],[Rank]],Stammdaten[Rank Verteilung D Mitte mit Rinde],0))</f>
        <v>#N/A</v>
      </c>
      <c r="G461" t="e">
        <f>VLOOKUP(Tabelle8[[#This Row],[Rank]],Stammdaten[[Rank Verteilung D Mitte mit Rinde]:[Verteilung D Mitte mit Rinde]],2,FALSE)</f>
        <v>#N/A</v>
      </c>
      <c r="L461">
        <v>452</v>
      </c>
      <c r="M461" t="e">
        <f>INDEX(Stammdaten[Abholzigkeit (mm/lfm)],MATCH(Tabelle9[[#This Row],[Rank]],Stammdaten[Rank Verteilung Abholzigkeit],0))</f>
        <v>#N/A</v>
      </c>
      <c r="N461" t="e">
        <f>VLOOKUP(Tabelle9[[#This Row],[Rank]],Stammdaten[[Rank Verteilung Abholzigkeit]:[Verteilung Abholzigkeit]],2,FALSE)</f>
        <v>#N/A</v>
      </c>
      <c r="S461">
        <v>452</v>
      </c>
      <c r="T461" t="e">
        <f>INDEX(Stammdaten[Krümmung (mm/lfm)],MATCH(Tabelle10[[#This Row],[Rank]],Stammdaten[Rank Verteilung Krümmung],0))</f>
        <v>#N/A</v>
      </c>
      <c r="U461" t="e">
        <f>VLOOKUP(Tabelle10[[#This Row],[Rank]],Stammdaten[[Rank Verteilung Krümmung]:[Verteilung Krümmung]],2,FALSE)</f>
        <v>#N/A</v>
      </c>
      <c r="Z461">
        <v>452</v>
      </c>
      <c r="AA461" t="e">
        <f>INDEX(Stammdaten[Ovalität (']0,1'])],MATCH(Tabelle1014[[#This Row],[Rank]],Stammdaten[Rank Verteilung Ovalität],0))</f>
        <v>#N/A</v>
      </c>
      <c r="AB461" t="e">
        <f>VLOOKUP(Tabelle1014[[#This Row],[Rank]],Stammdaten[[Rank Verteilung Ovalität]:[Verteilung Ovalität]],2,FALSE)</f>
        <v>#N/A</v>
      </c>
    </row>
    <row r="462" spans="5:28" x14ac:dyDescent="0.35">
      <c r="E462">
        <v>453</v>
      </c>
      <c r="F462" t="e">
        <f>INDEX(Stammdaten[D Mitte mit Rinde (mm)],MATCH(Tabelle8[[#This Row],[Rank]],Stammdaten[Rank Verteilung D Mitte mit Rinde],0))</f>
        <v>#N/A</v>
      </c>
      <c r="G462" t="e">
        <f>VLOOKUP(Tabelle8[[#This Row],[Rank]],Stammdaten[[Rank Verteilung D Mitte mit Rinde]:[Verteilung D Mitte mit Rinde]],2,FALSE)</f>
        <v>#N/A</v>
      </c>
      <c r="L462">
        <v>453</v>
      </c>
      <c r="M462" t="e">
        <f>INDEX(Stammdaten[Abholzigkeit (mm/lfm)],MATCH(Tabelle9[[#This Row],[Rank]],Stammdaten[Rank Verteilung Abholzigkeit],0))</f>
        <v>#N/A</v>
      </c>
      <c r="N462" t="e">
        <f>VLOOKUP(Tabelle9[[#This Row],[Rank]],Stammdaten[[Rank Verteilung Abholzigkeit]:[Verteilung Abholzigkeit]],2,FALSE)</f>
        <v>#N/A</v>
      </c>
      <c r="S462">
        <v>453</v>
      </c>
      <c r="T462" t="e">
        <f>INDEX(Stammdaten[Krümmung (mm/lfm)],MATCH(Tabelle10[[#This Row],[Rank]],Stammdaten[Rank Verteilung Krümmung],0))</f>
        <v>#N/A</v>
      </c>
      <c r="U462" t="e">
        <f>VLOOKUP(Tabelle10[[#This Row],[Rank]],Stammdaten[[Rank Verteilung Krümmung]:[Verteilung Krümmung]],2,FALSE)</f>
        <v>#N/A</v>
      </c>
      <c r="Z462">
        <v>453</v>
      </c>
      <c r="AA462" t="e">
        <f>INDEX(Stammdaten[Ovalität (']0,1'])],MATCH(Tabelle1014[[#This Row],[Rank]],Stammdaten[Rank Verteilung Ovalität],0))</f>
        <v>#N/A</v>
      </c>
      <c r="AB462" t="e">
        <f>VLOOKUP(Tabelle1014[[#This Row],[Rank]],Stammdaten[[Rank Verteilung Ovalität]:[Verteilung Ovalität]],2,FALSE)</f>
        <v>#N/A</v>
      </c>
    </row>
    <row r="463" spans="5:28" x14ac:dyDescent="0.35">
      <c r="E463">
        <v>454</v>
      </c>
      <c r="F463" t="e">
        <f>INDEX(Stammdaten[D Mitte mit Rinde (mm)],MATCH(Tabelle8[[#This Row],[Rank]],Stammdaten[Rank Verteilung D Mitte mit Rinde],0))</f>
        <v>#N/A</v>
      </c>
      <c r="G463" t="e">
        <f>VLOOKUP(Tabelle8[[#This Row],[Rank]],Stammdaten[[Rank Verteilung D Mitte mit Rinde]:[Verteilung D Mitte mit Rinde]],2,FALSE)</f>
        <v>#N/A</v>
      </c>
      <c r="L463">
        <v>454</v>
      </c>
      <c r="M463" t="e">
        <f>INDEX(Stammdaten[Abholzigkeit (mm/lfm)],MATCH(Tabelle9[[#This Row],[Rank]],Stammdaten[Rank Verteilung Abholzigkeit],0))</f>
        <v>#N/A</v>
      </c>
      <c r="N463" t="e">
        <f>VLOOKUP(Tabelle9[[#This Row],[Rank]],Stammdaten[[Rank Verteilung Abholzigkeit]:[Verteilung Abholzigkeit]],2,FALSE)</f>
        <v>#N/A</v>
      </c>
      <c r="S463">
        <v>454</v>
      </c>
      <c r="T463" t="e">
        <f>INDEX(Stammdaten[Krümmung (mm/lfm)],MATCH(Tabelle10[[#This Row],[Rank]],Stammdaten[Rank Verteilung Krümmung],0))</f>
        <v>#N/A</v>
      </c>
      <c r="U463" t="e">
        <f>VLOOKUP(Tabelle10[[#This Row],[Rank]],Stammdaten[[Rank Verteilung Krümmung]:[Verteilung Krümmung]],2,FALSE)</f>
        <v>#N/A</v>
      </c>
      <c r="Z463">
        <v>454</v>
      </c>
      <c r="AA463" t="e">
        <f>INDEX(Stammdaten[Ovalität (']0,1'])],MATCH(Tabelle1014[[#This Row],[Rank]],Stammdaten[Rank Verteilung Ovalität],0))</f>
        <v>#N/A</v>
      </c>
      <c r="AB463" t="e">
        <f>VLOOKUP(Tabelle1014[[#This Row],[Rank]],Stammdaten[[Rank Verteilung Ovalität]:[Verteilung Ovalität]],2,FALSE)</f>
        <v>#N/A</v>
      </c>
    </row>
    <row r="464" spans="5:28" x14ac:dyDescent="0.35">
      <c r="E464">
        <v>455</v>
      </c>
      <c r="F464" t="e">
        <f>INDEX(Stammdaten[D Mitte mit Rinde (mm)],MATCH(Tabelle8[[#This Row],[Rank]],Stammdaten[Rank Verteilung D Mitte mit Rinde],0))</f>
        <v>#N/A</v>
      </c>
      <c r="G464" t="e">
        <f>VLOOKUP(Tabelle8[[#This Row],[Rank]],Stammdaten[[Rank Verteilung D Mitte mit Rinde]:[Verteilung D Mitte mit Rinde]],2,FALSE)</f>
        <v>#N/A</v>
      </c>
      <c r="L464">
        <v>455</v>
      </c>
      <c r="M464" t="e">
        <f>INDEX(Stammdaten[Abholzigkeit (mm/lfm)],MATCH(Tabelle9[[#This Row],[Rank]],Stammdaten[Rank Verteilung Abholzigkeit],0))</f>
        <v>#N/A</v>
      </c>
      <c r="N464" t="e">
        <f>VLOOKUP(Tabelle9[[#This Row],[Rank]],Stammdaten[[Rank Verteilung Abholzigkeit]:[Verteilung Abholzigkeit]],2,FALSE)</f>
        <v>#N/A</v>
      </c>
      <c r="S464">
        <v>455</v>
      </c>
      <c r="T464" t="e">
        <f>INDEX(Stammdaten[Krümmung (mm/lfm)],MATCH(Tabelle10[[#This Row],[Rank]],Stammdaten[Rank Verteilung Krümmung],0))</f>
        <v>#N/A</v>
      </c>
      <c r="U464" t="e">
        <f>VLOOKUP(Tabelle10[[#This Row],[Rank]],Stammdaten[[Rank Verteilung Krümmung]:[Verteilung Krümmung]],2,FALSE)</f>
        <v>#N/A</v>
      </c>
      <c r="Z464">
        <v>455</v>
      </c>
      <c r="AA464" t="e">
        <f>INDEX(Stammdaten[Ovalität (']0,1'])],MATCH(Tabelle1014[[#This Row],[Rank]],Stammdaten[Rank Verteilung Ovalität],0))</f>
        <v>#N/A</v>
      </c>
      <c r="AB464" t="e">
        <f>VLOOKUP(Tabelle1014[[#This Row],[Rank]],Stammdaten[[Rank Verteilung Ovalität]:[Verteilung Ovalität]],2,FALSE)</f>
        <v>#N/A</v>
      </c>
    </row>
    <row r="465" spans="5:28" x14ac:dyDescent="0.35">
      <c r="E465">
        <v>456</v>
      </c>
      <c r="F465" t="e">
        <f>INDEX(Stammdaten[D Mitte mit Rinde (mm)],MATCH(Tabelle8[[#This Row],[Rank]],Stammdaten[Rank Verteilung D Mitte mit Rinde],0))</f>
        <v>#N/A</v>
      </c>
      <c r="G465" t="e">
        <f>VLOOKUP(Tabelle8[[#This Row],[Rank]],Stammdaten[[Rank Verteilung D Mitte mit Rinde]:[Verteilung D Mitte mit Rinde]],2,FALSE)</f>
        <v>#N/A</v>
      </c>
      <c r="L465">
        <v>456</v>
      </c>
      <c r="M465" t="e">
        <f>INDEX(Stammdaten[Abholzigkeit (mm/lfm)],MATCH(Tabelle9[[#This Row],[Rank]],Stammdaten[Rank Verteilung Abholzigkeit],0))</f>
        <v>#N/A</v>
      </c>
      <c r="N465" t="e">
        <f>VLOOKUP(Tabelle9[[#This Row],[Rank]],Stammdaten[[Rank Verteilung Abholzigkeit]:[Verteilung Abholzigkeit]],2,FALSE)</f>
        <v>#N/A</v>
      </c>
      <c r="S465">
        <v>456</v>
      </c>
      <c r="T465" t="e">
        <f>INDEX(Stammdaten[Krümmung (mm/lfm)],MATCH(Tabelle10[[#This Row],[Rank]],Stammdaten[Rank Verteilung Krümmung],0))</f>
        <v>#N/A</v>
      </c>
      <c r="U465" t="e">
        <f>VLOOKUP(Tabelle10[[#This Row],[Rank]],Stammdaten[[Rank Verteilung Krümmung]:[Verteilung Krümmung]],2,FALSE)</f>
        <v>#N/A</v>
      </c>
      <c r="Z465">
        <v>456</v>
      </c>
      <c r="AA465" t="e">
        <f>INDEX(Stammdaten[Ovalität (']0,1'])],MATCH(Tabelle1014[[#This Row],[Rank]],Stammdaten[Rank Verteilung Ovalität],0))</f>
        <v>#N/A</v>
      </c>
      <c r="AB465" t="e">
        <f>VLOOKUP(Tabelle1014[[#This Row],[Rank]],Stammdaten[[Rank Verteilung Ovalität]:[Verteilung Ovalität]],2,FALSE)</f>
        <v>#N/A</v>
      </c>
    </row>
    <row r="466" spans="5:28" x14ac:dyDescent="0.35">
      <c r="E466">
        <v>457</v>
      </c>
      <c r="F466" t="e">
        <f>INDEX(Stammdaten[D Mitte mit Rinde (mm)],MATCH(Tabelle8[[#This Row],[Rank]],Stammdaten[Rank Verteilung D Mitte mit Rinde],0))</f>
        <v>#N/A</v>
      </c>
      <c r="G466" t="e">
        <f>VLOOKUP(Tabelle8[[#This Row],[Rank]],Stammdaten[[Rank Verteilung D Mitte mit Rinde]:[Verteilung D Mitte mit Rinde]],2,FALSE)</f>
        <v>#N/A</v>
      </c>
      <c r="L466">
        <v>457</v>
      </c>
      <c r="M466" t="e">
        <f>INDEX(Stammdaten[Abholzigkeit (mm/lfm)],MATCH(Tabelle9[[#This Row],[Rank]],Stammdaten[Rank Verteilung Abholzigkeit],0))</f>
        <v>#N/A</v>
      </c>
      <c r="N466" t="e">
        <f>VLOOKUP(Tabelle9[[#This Row],[Rank]],Stammdaten[[Rank Verteilung Abholzigkeit]:[Verteilung Abholzigkeit]],2,FALSE)</f>
        <v>#N/A</v>
      </c>
      <c r="S466">
        <v>457</v>
      </c>
      <c r="T466" t="e">
        <f>INDEX(Stammdaten[Krümmung (mm/lfm)],MATCH(Tabelle10[[#This Row],[Rank]],Stammdaten[Rank Verteilung Krümmung],0))</f>
        <v>#N/A</v>
      </c>
      <c r="U466" t="e">
        <f>VLOOKUP(Tabelle10[[#This Row],[Rank]],Stammdaten[[Rank Verteilung Krümmung]:[Verteilung Krümmung]],2,FALSE)</f>
        <v>#N/A</v>
      </c>
      <c r="Z466">
        <v>457</v>
      </c>
      <c r="AA466" t="e">
        <f>INDEX(Stammdaten[Ovalität (']0,1'])],MATCH(Tabelle1014[[#This Row],[Rank]],Stammdaten[Rank Verteilung Ovalität],0))</f>
        <v>#N/A</v>
      </c>
      <c r="AB466" t="e">
        <f>VLOOKUP(Tabelle1014[[#This Row],[Rank]],Stammdaten[[Rank Verteilung Ovalität]:[Verteilung Ovalität]],2,FALSE)</f>
        <v>#N/A</v>
      </c>
    </row>
    <row r="467" spans="5:28" x14ac:dyDescent="0.35">
      <c r="E467">
        <v>458</v>
      </c>
      <c r="F467" t="e">
        <f>INDEX(Stammdaten[D Mitte mit Rinde (mm)],MATCH(Tabelle8[[#This Row],[Rank]],Stammdaten[Rank Verteilung D Mitte mit Rinde],0))</f>
        <v>#N/A</v>
      </c>
      <c r="G467" t="e">
        <f>VLOOKUP(Tabelle8[[#This Row],[Rank]],Stammdaten[[Rank Verteilung D Mitte mit Rinde]:[Verteilung D Mitte mit Rinde]],2,FALSE)</f>
        <v>#N/A</v>
      </c>
      <c r="L467">
        <v>458</v>
      </c>
      <c r="M467" t="e">
        <f>INDEX(Stammdaten[Abholzigkeit (mm/lfm)],MATCH(Tabelle9[[#This Row],[Rank]],Stammdaten[Rank Verteilung Abholzigkeit],0))</f>
        <v>#N/A</v>
      </c>
      <c r="N467" t="e">
        <f>VLOOKUP(Tabelle9[[#This Row],[Rank]],Stammdaten[[Rank Verteilung Abholzigkeit]:[Verteilung Abholzigkeit]],2,FALSE)</f>
        <v>#N/A</v>
      </c>
      <c r="S467">
        <v>458</v>
      </c>
      <c r="T467" t="e">
        <f>INDEX(Stammdaten[Krümmung (mm/lfm)],MATCH(Tabelle10[[#This Row],[Rank]],Stammdaten[Rank Verteilung Krümmung],0))</f>
        <v>#N/A</v>
      </c>
      <c r="U467" t="e">
        <f>VLOOKUP(Tabelle10[[#This Row],[Rank]],Stammdaten[[Rank Verteilung Krümmung]:[Verteilung Krümmung]],2,FALSE)</f>
        <v>#N/A</v>
      </c>
      <c r="Z467">
        <v>458</v>
      </c>
      <c r="AA467" t="e">
        <f>INDEX(Stammdaten[Ovalität (']0,1'])],MATCH(Tabelle1014[[#This Row],[Rank]],Stammdaten[Rank Verteilung Ovalität],0))</f>
        <v>#N/A</v>
      </c>
      <c r="AB467" t="e">
        <f>VLOOKUP(Tabelle1014[[#This Row],[Rank]],Stammdaten[[Rank Verteilung Ovalität]:[Verteilung Ovalität]],2,FALSE)</f>
        <v>#N/A</v>
      </c>
    </row>
    <row r="468" spans="5:28" x14ac:dyDescent="0.35">
      <c r="E468">
        <v>459</v>
      </c>
      <c r="F468" t="e">
        <f>INDEX(Stammdaten[D Mitte mit Rinde (mm)],MATCH(Tabelle8[[#This Row],[Rank]],Stammdaten[Rank Verteilung D Mitte mit Rinde],0))</f>
        <v>#N/A</v>
      </c>
      <c r="G468" t="e">
        <f>VLOOKUP(Tabelle8[[#This Row],[Rank]],Stammdaten[[Rank Verteilung D Mitte mit Rinde]:[Verteilung D Mitte mit Rinde]],2,FALSE)</f>
        <v>#N/A</v>
      </c>
      <c r="L468">
        <v>459</v>
      </c>
      <c r="M468" t="e">
        <f>INDEX(Stammdaten[Abholzigkeit (mm/lfm)],MATCH(Tabelle9[[#This Row],[Rank]],Stammdaten[Rank Verteilung Abholzigkeit],0))</f>
        <v>#N/A</v>
      </c>
      <c r="N468" t="e">
        <f>VLOOKUP(Tabelle9[[#This Row],[Rank]],Stammdaten[[Rank Verteilung Abholzigkeit]:[Verteilung Abholzigkeit]],2,FALSE)</f>
        <v>#N/A</v>
      </c>
      <c r="S468">
        <v>459</v>
      </c>
      <c r="T468" t="e">
        <f>INDEX(Stammdaten[Krümmung (mm/lfm)],MATCH(Tabelle10[[#This Row],[Rank]],Stammdaten[Rank Verteilung Krümmung],0))</f>
        <v>#N/A</v>
      </c>
      <c r="U468" t="e">
        <f>VLOOKUP(Tabelle10[[#This Row],[Rank]],Stammdaten[[Rank Verteilung Krümmung]:[Verteilung Krümmung]],2,FALSE)</f>
        <v>#N/A</v>
      </c>
      <c r="Z468">
        <v>459</v>
      </c>
      <c r="AA468" t="e">
        <f>INDEX(Stammdaten[Ovalität (']0,1'])],MATCH(Tabelle1014[[#This Row],[Rank]],Stammdaten[Rank Verteilung Ovalität],0))</f>
        <v>#N/A</v>
      </c>
      <c r="AB468" t="e">
        <f>VLOOKUP(Tabelle1014[[#This Row],[Rank]],Stammdaten[[Rank Verteilung Ovalität]:[Verteilung Ovalität]],2,FALSE)</f>
        <v>#N/A</v>
      </c>
    </row>
    <row r="469" spans="5:28" x14ac:dyDescent="0.35">
      <c r="E469">
        <v>460</v>
      </c>
      <c r="F469" t="e">
        <f>INDEX(Stammdaten[D Mitte mit Rinde (mm)],MATCH(Tabelle8[[#This Row],[Rank]],Stammdaten[Rank Verteilung D Mitte mit Rinde],0))</f>
        <v>#N/A</v>
      </c>
      <c r="G469" t="e">
        <f>VLOOKUP(Tabelle8[[#This Row],[Rank]],Stammdaten[[Rank Verteilung D Mitte mit Rinde]:[Verteilung D Mitte mit Rinde]],2,FALSE)</f>
        <v>#N/A</v>
      </c>
      <c r="L469">
        <v>460</v>
      </c>
      <c r="M469" t="e">
        <f>INDEX(Stammdaten[Abholzigkeit (mm/lfm)],MATCH(Tabelle9[[#This Row],[Rank]],Stammdaten[Rank Verteilung Abholzigkeit],0))</f>
        <v>#N/A</v>
      </c>
      <c r="N469" t="e">
        <f>VLOOKUP(Tabelle9[[#This Row],[Rank]],Stammdaten[[Rank Verteilung Abholzigkeit]:[Verteilung Abholzigkeit]],2,FALSE)</f>
        <v>#N/A</v>
      </c>
      <c r="S469">
        <v>460</v>
      </c>
      <c r="T469" t="e">
        <f>INDEX(Stammdaten[Krümmung (mm/lfm)],MATCH(Tabelle10[[#This Row],[Rank]],Stammdaten[Rank Verteilung Krümmung],0))</f>
        <v>#N/A</v>
      </c>
      <c r="U469" t="e">
        <f>VLOOKUP(Tabelle10[[#This Row],[Rank]],Stammdaten[[Rank Verteilung Krümmung]:[Verteilung Krümmung]],2,FALSE)</f>
        <v>#N/A</v>
      </c>
      <c r="Z469">
        <v>460</v>
      </c>
      <c r="AA469" t="e">
        <f>INDEX(Stammdaten[Ovalität (']0,1'])],MATCH(Tabelle1014[[#This Row],[Rank]],Stammdaten[Rank Verteilung Ovalität],0))</f>
        <v>#N/A</v>
      </c>
      <c r="AB469" t="e">
        <f>VLOOKUP(Tabelle1014[[#This Row],[Rank]],Stammdaten[[Rank Verteilung Ovalität]:[Verteilung Ovalität]],2,FALSE)</f>
        <v>#N/A</v>
      </c>
    </row>
    <row r="470" spans="5:28" x14ac:dyDescent="0.35">
      <c r="E470">
        <v>461</v>
      </c>
      <c r="F470" t="e">
        <f>INDEX(Stammdaten[D Mitte mit Rinde (mm)],MATCH(Tabelle8[[#This Row],[Rank]],Stammdaten[Rank Verteilung D Mitte mit Rinde],0))</f>
        <v>#N/A</v>
      </c>
      <c r="G470" t="e">
        <f>VLOOKUP(Tabelle8[[#This Row],[Rank]],Stammdaten[[Rank Verteilung D Mitte mit Rinde]:[Verteilung D Mitte mit Rinde]],2,FALSE)</f>
        <v>#N/A</v>
      </c>
      <c r="L470">
        <v>461</v>
      </c>
      <c r="M470" t="e">
        <f>INDEX(Stammdaten[Abholzigkeit (mm/lfm)],MATCH(Tabelle9[[#This Row],[Rank]],Stammdaten[Rank Verteilung Abholzigkeit],0))</f>
        <v>#N/A</v>
      </c>
      <c r="N470" t="e">
        <f>VLOOKUP(Tabelle9[[#This Row],[Rank]],Stammdaten[[Rank Verteilung Abholzigkeit]:[Verteilung Abholzigkeit]],2,FALSE)</f>
        <v>#N/A</v>
      </c>
      <c r="S470">
        <v>461</v>
      </c>
      <c r="T470" t="e">
        <f>INDEX(Stammdaten[Krümmung (mm/lfm)],MATCH(Tabelle10[[#This Row],[Rank]],Stammdaten[Rank Verteilung Krümmung],0))</f>
        <v>#N/A</v>
      </c>
      <c r="U470" t="e">
        <f>VLOOKUP(Tabelle10[[#This Row],[Rank]],Stammdaten[[Rank Verteilung Krümmung]:[Verteilung Krümmung]],2,FALSE)</f>
        <v>#N/A</v>
      </c>
      <c r="Z470">
        <v>461</v>
      </c>
      <c r="AA470" t="e">
        <f>INDEX(Stammdaten[Ovalität (']0,1'])],MATCH(Tabelle1014[[#This Row],[Rank]],Stammdaten[Rank Verteilung Ovalität],0))</f>
        <v>#N/A</v>
      </c>
      <c r="AB470" t="e">
        <f>VLOOKUP(Tabelle1014[[#This Row],[Rank]],Stammdaten[[Rank Verteilung Ovalität]:[Verteilung Ovalität]],2,FALSE)</f>
        <v>#N/A</v>
      </c>
    </row>
    <row r="471" spans="5:28" x14ac:dyDescent="0.35">
      <c r="E471">
        <v>462</v>
      </c>
      <c r="F471" t="e">
        <f>INDEX(Stammdaten[D Mitte mit Rinde (mm)],MATCH(Tabelle8[[#This Row],[Rank]],Stammdaten[Rank Verteilung D Mitte mit Rinde],0))</f>
        <v>#N/A</v>
      </c>
      <c r="G471" t="e">
        <f>VLOOKUP(Tabelle8[[#This Row],[Rank]],Stammdaten[[Rank Verteilung D Mitte mit Rinde]:[Verteilung D Mitte mit Rinde]],2,FALSE)</f>
        <v>#N/A</v>
      </c>
      <c r="L471">
        <v>462</v>
      </c>
      <c r="M471" t="e">
        <f>INDEX(Stammdaten[Abholzigkeit (mm/lfm)],MATCH(Tabelle9[[#This Row],[Rank]],Stammdaten[Rank Verteilung Abholzigkeit],0))</f>
        <v>#N/A</v>
      </c>
      <c r="N471" t="e">
        <f>VLOOKUP(Tabelle9[[#This Row],[Rank]],Stammdaten[[Rank Verteilung Abholzigkeit]:[Verteilung Abholzigkeit]],2,FALSE)</f>
        <v>#N/A</v>
      </c>
      <c r="S471">
        <v>462</v>
      </c>
      <c r="T471" t="e">
        <f>INDEX(Stammdaten[Krümmung (mm/lfm)],MATCH(Tabelle10[[#This Row],[Rank]],Stammdaten[Rank Verteilung Krümmung],0))</f>
        <v>#N/A</v>
      </c>
      <c r="U471" t="e">
        <f>VLOOKUP(Tabelle10[[#This Row],[Rank]],Stammdaten[[Rank Verteilung Krümmung]:[Verteilung Krümmung]],2,FALSE)</f>
        <v>#N/A</v>
      </c>
      <c r="Z471">
        <v>462</v>
      </c>
      <c r="AA471" t="e">
        <f>INDEX(Stammdaten[Ovalität (']0,1'])],MATCH(Tabelle1014[[#This Row],[Rank]],Stammdaten[Rank Verteilung Ovalität],0))</f>
        <v>#N/A</v>
      </c>
      <c r="AB471" t="e">
        <f>VLOOKUP(Tabelle1014[[#This Row],[Rank]],Stammdaten[[Rank Verteilung Ovalität]:[Verteilung Ovalität]],2,FALSE)</f>
        <v>#N/A</v>
      </c>
    </row>
    <row r="472" spans="5:28" x14ac:dyDescent="0.35">
      <c r="E472">
        <v>463</v>
      </c>
      <c r="F472" t="e">
        <f>INDEX(Stammdaten[D Mitte mit Rinde (mm)],MATCH(Tabelle8[[#This Row],[Rank]],Stammdaten[Rank Verteilung D Mitte mit Rinde],0))</f>
        <v>#N/A</v>
      </c>
      <c r="G472" t="e">
        <f>VLOOKUP(Tabelle8[[#This Row],[Rank]],Stammdaten[[Rank Verteilung D Mitte mit Rinde]:[Verteilung D Mitte mit Rinde]],2,FALSE)</f>
        <v>#N/A</v>
      </c>
      <c r="L472">
        <v>463</v>
      </c>
      <c r="M472" t="e">
        <f>INDEX(Stammdaten[Abholzigkeit (mm/lfm)],MATCH(Tabelle9[[#This Row],[Rank]],Stammdaten[Rank Verteilung Abholzigkeit],0))</f>
        <v>#N/A</v>
      </c>
      <c r="N472" t="e">
        <f>VLOOKUP(Tabelle9[[#This Row],[Rank]],Stammdaten[[Rank Verteilung Abholzigkeit]:[Verteilung Abholzigkeit]],2,FALSE)</f>
        <v>#N/A</v>
      </c>
      <c r="S472">
        <v>463</v>
      </c>
      <c r="T472" t="e">
        <f>INDEX(Stammdaten[Krümmung (mm/lfm)],MATCH(Tabelle10[[#This Row],[Rank]],Stammdaten[Rank Verteilung Krümmung],0))</f>
        <v>#N/A</v>
      </c>
      <c r="U472" t="e">
        <f>VLOOKUP(Tabelle10[[#This Row],[Rank]],Stammdaten[[Rank Verteilung Krümmung]:[Verteilung Krümmung]],2,FALSE)</f>
        <v>#N/A</v>
      </c>
      <c r="Z472">
        <v>463</v>
      </c>
      <c r="AA472" t="e">
        <f>INDEX(Stammdaten[Ovalität (']0,1'])],MATCH(Tabelle1014[[#This Row],[Rank]],Stammdaten[Rank Verteilung Ovalität],0))</f>
        <v>#N/A</v>
      </c>
      <c r="AB472" t="e">
        <f>VLOOKUP(Tabelle1014[[#This Row],[Rank]],Stammdaten[[Rank Verteilung Ovalität]:[Verteilung Ovalität]],2,FALSE)</f>
        <v>#N/A</v>
      </c>
    </row>
    <row r="473" spans="5:28" x14ac:dyDescent="0.35">
      <c r="E473">
        <v>464</v>
      </c>
      <c r="F473" t="e">
        <f>INDEX(Stammdaten[D Mitte mit Rinde (mm)],MATCH(Tabelle8[[#This Row],[Rank]],Stammdaten[Rank Verteilung D Mitte mit Rinde],0))</f>
        <v>#N/A</v>
      </c>
      <c r="G473" t="e">
        <f>VLOOKUP(Tabelle8[[#This Row],[Rank]],Stammdaten[[Rank Verteilung D Mitte mit Rinde]:[Verteilung D Mitte mit Rinde]],2,FALSE)</f>
        <v>#N/A</v>
      </c>
      <c r="L473">
        <v>464</v>
      </c>
      <c r="M473" t="e">
        <f>INDEX(Stammdaten[Abholzigkeit (mm/lfm)],MATCH(Tabelle9[[#This Row],[Rank]],Stammdaten[Rank Verteilung Abholzigkeit],0))</f>
        <v>#N/A</v>
      </c>
      <c r="N473" t="e">
        <f>VLOOKUP(Tabelle9[[#This Row],[Rank]],Stammdaten[[Rank Verteilung Abholzigkeit]:[Verteilung Abholzigkeit]],2,FALSE)</f>
        <v>#N/A</v>
      </c>
      <c r="S473">
        <v>464</v>
      </c>
      <c r="T473" t="e">
        <f>INDEX(Stammdaten[Krümmung (mm/lfm)],MATCH(Tabelle10[[#This Row],[Rank]],Stammdaten[Rank Verteilung Krümmung],0))</f>
        <v>#N/A</v>
      </c>
      <c r="U473" t="e">
        <f>VLOOKUP(Tabelle10[[#This Row],[Rank]],Stammdaten[[Rank Verteilung Krümmung]:[Verteilung Krümmung]],2,FALSE)</f>
        <v>#N/A</v>
      </c>
      <c r="Z473">
        <v>464</v>
      </c>
      <c r="AA473" t="e">
        <f>INDEX(Stammdaten[Ovalität (']0,1'])],MATCH(Tabelle1014[[#This Row],[Rank]],Stammdaten[Rank Verteilung Ovalität],0))</f>
        <v>#N/A</v>
      </c>
      <c r="AB473" t="e">
        <f>VLOOKUP(Tabelle1014[[#This Row],[Rank]],Stammdaten[[Rank Verteilung Ovalität]:[Verteilung Ovalität]],2,FALSE)</f>
        <v>#N/A</v>
      </c>
    </row>
    <row r="474" spans="5:28" x14ac:dyDescent="0.35">
      <c r="E474">
        <v>465</v>
      </c>
      <c r="F474" t="e">
        <f>INDEX(Stammdaten[D Mitte mit Rinde (mm)],MATCH(Tabelle8[[#This Row],[Rank]],Stammdaten[Rank Verteilung D Mitte mit Rinde],0))</f>
        <v>#N/A</v>
      </c>
      <c r="G474" t="e">
        <f>VLOOKUP(Tabelle8[[#This Row],[Rank]],Stammdaten[[Rank Verteilung D Mitte mit Rinde]:[Verteilung D Mitte mit Rinde]],2,FALSE)</f>
        <v>#N/A</v>
      </c>
      <c r="L474">
        <v>465</v>
      </c>
      <c r="M474" t="e">
        <f>INDEX(Stammdaten[Abholzigkeit (mm/lfm)],MATCH(Tabelle9[[#This Row],[Rank]],Stammdaten[Rank Verteilung Abholzigkeit],0))</f>
        <v>#N/A</v>
      </c>
      <c r="N474" t="e">
        <f>VLOOKUP(Tabelle9[[#This Row],[Rank]],Stammdaten[[Rank Verteilung Abholzigkeit]:[Verteilung Abholzigkeit]],2,FALSE)</f>
        <v>#N/A</v>
      </c>
      <c r="S474">
        <v>465</v>
      </c>
      <c r="T474" t="e">
        <f>INDEX(Stammdaten[Krümmung (mm/lfm)],MATCH(Tabelle10[[#This Row],[Rank]],Stammdaten[Rank Verteilung Krümmung],0))</f>
        <v>#N/A</v>
      </c>
      <c r="U474" t="e">
        <f>VLOOKUP(Tabelle10[[#This Row],[Rank]],Stammdaten[[Rank Verteilung Krümmung]:[Verteilung Krümmung]],2,FALSE)</f>
        <v>#N/A</v>
      </c>
      <c r="Z474">
        <v>465</v>
      </c>
      <c r="AA474" t="e">
        <f>INDEX(Stammdaten[Ovalität (']0,1'])],MATCH(Tabelle1014[[#This Row],[Rank]],Stammdaten[Rank Verteilung Ovalität],0))</f>
        <v>#N/A</v>
      </c>
      <c r="AB474" t="e">
        <f>VLOOKUP(Tabelle1014[[#This Row],[Rank]],Stammdaten[[Rank Verteilung Ovalität]:[Verteilung Ovalität]],2,FALSE)</f>
        <v>#N/A</v>
      </c>
    </row>
    <row r="475" spans="5:28" x14ac:dyDescent="0.35">
      <c r="E475">
        <v>466</v>
      </c>
      <c r="F475" t="e">
        <f>INDEX(Stammdaten[D Mitte mit Rinde (mm)],MATCH(Tabelle8[[#This Row],[Rank]],Stammdaten[Rank Verteilung D Mitte mit Rinde],0))</f>
        <v>#N/A</v>
      </c>
      <c r="G475" t="e">
        <f>VLOOKUP(Tabelle8[[#This Row],[Rank]],Stammdaten[[Rank Verteilung D Mitte mit Rinde]:[Verteilung D Mitte mit Rinde]],2,FALSE)</f>
        <v>#N/A</v>
      </c>
      <c r="L475">
        <v>466</v>
      </c>
      <c r="M475" t="e">
        <f>INDEX(Stammdaten[Abholzigkeit (mm/lfm)],MATCH(Tabelle9[[#This Row],[Rank]],Stammdaten[Rank Verteilung Abholzigkeit],0))</f>
        <v>#N/A</v>
      </c>
      <c r="N475" t="e">
        <f>VLOOKUP(Tabelle9[[#This Row],[Rank]],Stammdaten[[Rank Verteilung Abholzigkeit]:[Verteilung Abholzigkeit]],2,FALSE)</f>
        <v>#N/A</v>
      </c>
      <c r="S475">
        <v>466</v>
      </c>
      <c r="T475" t="e">
        <f>INDEX(Stammdaten[Krümmung (mm/lfm)],MATCH(Tabelle10[[#This Row],[Rank]],Stammdaten[Rank Verteilung Krümmung],0))</f>
        <v>#N/A</v>
      </c>
      <c r="U475" t="e">
        <f>VLOOKUP(Tabelle10[[#This Row],[Rank]],Stammdaten[[Rank Verteilung Krümmung]:[Verteilung Krümmung]],2,FALSE)</f>
        <v>#N/A</v>
      </c>
      <c r="Z475">
        <v>466</v>
      </c>
      <c r="AA475" t="e">
        <f>INDEX(Stammdaten[Ovalität (']0,1'])],MATCH(Tabelle1014[[#This Row],[Rank]],Stammdaten[Rank Verteilung Ovalität],0))</f>
        <v>#N/A</v>
      </c>
      <c r="AB475" t="e">
        <f>VLOOKUP(Tabelle1014[[#This Row],[Rank]],Stammdaten[[Rank Verteilung Ovalität]:[Verteilung Ovalität]],2,FALSE)</f>
        <v>#N/A</v>
      </c>
    </row>
    <row r="476" spans="5:28" x14ac:dyDescent="0.35">
      <c r="E476">
        <v>467</v>
      </c>
      <c r="F476" t="e">
        <f>INDEX(Stammdaten[D Mitte mit Rinde (mm)],MATCH(Tabelle8[[#This Row],[Rank]],Stammdaten[Rank Verteilung D Mitte mit Rinde],0))</f>
        <v>#N/A</v>
      </c>
      <c r="G476" t="e">
        <f>VLOOKUP(Tabelle8[[#This Row],[Rank]],Stammdaten[[Rank Verteilung D Mitte mit Rinde]:[Verteilung D Mitte mit Rinde]],2,FALSE)</f>
        <v>#N/A</v>
      </c>
      <c r="L476">
        <v>467</v>
      </c>
      <c r="M476" t="e">
        <f>INDEX(Stammdaten[Abholzigkeit (mm/lfm)],MATCH(Tabelle9[[#This Row],[Rank]],Stammdaten[Rank Verteilung Abholzigkeit],0))</f>
        <v>#N/A</v>
      </c>
      <c r="N476" t="e">
        <f>VLOOKUP(Tabelle9[[#This Row],[Rank]],Stammdaten[[Rank Verteilung Abholzigkeit]:[Verteilung Abholzigkeit]],2,FALSE)</f>
        <v>#N/A</v>
      </c>
      <c r="S476">
        <v>467</v>
      </c>
      <c r="T476" t="e">
        <f>INDEX(Stammdaten[Krümmung (mm/lfm)],MATCH(Tabelle10[[#This Row],[Rank]],Stammdaten[Rank Verteilung Krümmung],0))</f>
        <v>#N/A</v>
      </c>
      <c r="U476" t="e">
        <f>VLOOKUP(Tabelle10[[#This Row],[Rank]],Stammdaten[[Rank Verteilung Krümmung]:[Verteilung Krümmung]],2,FALSE)</f>
        <v>#N/A</v>
      </c>
      <c r="Z476">
        <v>467</v>
      </c>
      <c r="AA476" t="e">
        <f>INDEX(Stammdaten[Ovalität (']0,1'])],MATCH(Tabelle1014[[#This Row],[Rank]],Stammdaten[Rank Verteilung Ovalität],0))</f>
        <v>#N/A</v>
      </c>
      <c r="AB476" t="e">
        <f>VLOOKUP(Tabelle1014[[#This Row],[Rank]],Stammdaten[[Rank Verteilung Ovalität]:[Verteilung Ovalität]],2,FALSE)</f>
        <v>#N/A</v>
      </c>
    </row>
    <row r="477" spans="5:28" x14ac:dyDescent="0.35">
      <c r="E477">
        <v>468</v>
      </c>
      <c r="F477" t="e">
        <f>INDEX(Stammdaten[D Mitte mit Rinde (mm)],MATCH(Tabelle8[[#This Row],[Rank]],Stammdaten[Rank Verteilung D Mitte mit Rinde],0))</f>
        <v>#N/A</v>
      </c>
      <c r="G477" t="e">
        <f>VLOOKUP(Tabelle8[[#This Row],[Rank]],Stammdaten[[Rank Verteilung D Mitte mit Rinde]:[Verteilung D Mitte mit Rinde]],2,FALSE)</f>
        <v>#N/A</v>
      </c>
      <c r="L477">
        <v>468</v>
      </c>
      <c r="M477" t="e">
        <f>INDEX(Stammdaten[Abholzigkeit (mm/lfm)],MATCH(Tabelle9[[#This Row],[Rank]],Stammdaten[Rank Verteilung Abholzigkeit],0))</f>
        <v>#N/A</v>
      </c>
      <c r="N477" t="e">
        <f>VLOOKUP(Tabelle9[[#This Row],[Rank]],Stammdaten[[Rank Verteilung Abholzigkeit]:[Verteilung Abholzigkeit]],2,FALSE)</f>
        <v>#N/A</v>
      </c>
      <c r="S477">
        <v>468</v>
      </c>
      <c r="T477" t="e">
        <f>INDEX(Stammdaten[Krümmung (mm/lfm)],MATCH(Tabelle10[[#This Row],[Rank]],Stammdaten[Rank Verteilung Krümmung],0))</f>
        <v>#N/A</v>
      </c>
      <c r="U477" t="e">
        <f>VLOOKUP(Tabelle10[[#This Row],[Rank]],Stammdaten[[Rank Verteilung Krümmung]:[Verteilung Krümmung]],2,FALSE)</f>
        <v>#N/A</v>
      </c>
      <c r="Z477">
        <v>468</v>
      </c>
      <c r="AA477" t="e">
        <f>INDEX(Stammdaten[Ovalität (']0,1'])],MATCH(Tabelle1014[[#This Row],[Rank]],Stammdaten[Rank Verteilung Ovalität],0))</f>
        <v>#N/A</v>
      </c>
      <c r="AB477" t="e">
        <f>VLOOKUP(Tabelle1014[[#This Row],[Rank]],Stammdaten[[Rank Verteilung Ovalität]:[Verteilung Ovalität]],2,FALSE)</f>
        <v>#N/A</v>
      </c>
    </row>
    <row r="478" spans="5:28" x14ac:dyDescent="0.35">
      <c r="E478">
        <v>469</v>
      </c>
      <c r="F478" t="e">
        <f>INDEX(Stammdaten[D Mitte mit Rinde (mm)],MATCH(Tabelle8[[#This Row],[Rank]],Stammdaten[Rank Verteilung D Mitte mit Rinde],0))</f>
        <v>#N/A</v>
      </c>
      <c r="G478" t="e">
        <f>VLOOKUP(Tabelle8[[#This Row],[Rank]],Stammdaten[[Rank Verteilung D Mitte mit Rinde]:[Verteilung D Mitte mit Rinde]],2,FALSE)</f>
        <v>#N/A</v>
      </c>
      <c r="L478">
        <v>469</v>
      </c>
      <c r="M478" t="e">
        <f>INDEX(Stammdaten[Abholzigkeit (mm/lfm)],MATCH(Tabelle9[[#This Row],[Rank]],Stammdaten[Rank Verteilung Abholzigkeit],0))</f>
        <v>#N/A</v>
      </c>
      <c r="N478" t="e">
        <f>VLOOKUP(Tabelle9[[#This Row],[Rank]],Stammdaten[[Rank Verteilung Abholzigkeit]:[Verteilung Abholzigkeit]],2,FALSE)</f>
        <v>#N/A</v>
      </c>
      <c r="S478">
        <v>469</v>
      </c>
      <c r="T478" t="e">
        <f>INDEX(Stammdaten[Krümmung (mm/lfm)],MATCH(Tabelle10[[#This Row],[Rank]],Stammdaten[Rank Verteilung Krümmung],0))</f>
        <v>#N/A</v>
      </c>
      <c r="U478" t="e">
        <f>VLOOKUP(Tabelle10[[#This Row],[Rank]],Stammdaten[[Rank Verteilung Krümmung]:[Verteilung Krümmung]],2,FALSE)</f>
        <v>#N/A</v>
      </c>
      <c r="Z478">
        <v>469</v>
      </c>
      <c r="AA478" t="e">
        <f>INDEX(Stammdaten[Ovalität (']0,1'])],MATCH(Tabelle1014[[#This Row],[Rank]],Stammdaten[Rank Verteilung Ovalität],0))</f>
        <v>#N/A</v>
      </c>
      <c r="AB478" t="e">
        <f>VLOOKUP(Tabelle1014[[#This Row],[Rank]],Stammdaten[[Rank Verteilung Ovalität]:[Verteilung Ovalität]],2,FALSE)</f>
        <v>#N/A</v>
      </c>
    </row>
    <row r="479" spans="5:28" x14ac:dyDescent="0.35">
      <c r="E479">
        <v>470</v>
      </c>
      <c r="F479" t="e">
        <f>INDEX(Stammdaten[D Mitte mit Rinde (mm)],MATCH(Tabelle8[[#This Row],[Rank]],Stammdaten[Rank Verteilung D Mitte mit Rinde],0))</f>
        <v>#N/A</v>
      </c>
      <c r="G479" t="e">
        <f>VLOOKUP(Tabelle8[[#This Row],[Rank]],Stammdaten[[Rank Verteilung D Mitte mit Rinde]:[Verteilung D Mitte mit Rinde]],2,FALSE)</f>
        <v>#N/A</v>
      </c>
      <c r="L479">
        <v>470</v>
      </c>
      <c r="M479" t="e">
        <f>INDEX(Stammdaten[Abholzigkeit (mm/lfm)],MATCH(Tabelle9[[#This Row],[Rank]],Stammdaten[Rank Verteilung Abholzigkeit],0))</f>
        <v>#N/A</v>
      </c>
      <c r="N479" t="e">
        <f>VLOOKUP(Tabelle9[[#This Row],[Rank]],Stammdaten[[Rank Verteilung Abholzigkeit]:[Verteilung Abholzigkeit]],2,FALSE)</f>
        <v>#N/A</v>
      </c>
      <c r="S479">
        <v>470</v>
      </c>
      <c r="T479" t="e">
        <f>INDEX(Stammdaten[Krümmung (mm/lfm)],MATCH(Tabelle10[[#This Row],[Rank]],Stammdaten[Rank Verteilung Krümmung],0))</f>
        <v>#N/A</v>
      </c>
      <c r="U479" t="e">
        <f>VLOOKUP(Tabelle10[[#This Row],[Rank]],Stammdaten[[Rank Verteilung Krümmung]:[Verteilung Krümmung]],2,FALSE)</f>
        <v>#N/A</v>
      </c>
      <c r="Z479">
        <v>470</v>
      </c>
      <c r="AA479" t="e">
        <f>INDEX(Stammdaten[Ovalität (']0,1'])],MATCH(Tabelle1014[[#This Row],[Rank]],Stammdaten[Rank Verteilung Ovalität],0))</f>
        <v>#N/A</v>
      </c>
      <c r="AB479" t="e">
        <f>VLOOKUP(Tabelle1014[[#This Row],[Rank]],Stammdaten[[Rank Verteilung Ovalität]:[Verteilung Ovalität]],2,FALSE)</f>
        <v>#N/A</v>
      </c>
    </row>
    <row r="480" spans="5:28" x14ac:dyDescent="0.35">
      <c r="E480">
        <v>471</v>
      </c>
      <c r="F480" t="e">
        <f>INDEX(Stammdaten[D Mitte mit Rinde (mm)],MATCH(Tabelle8[[#This Row],[Rank]],Stammdaten[Rank Verteilung D Mitte mit Rinde],0))</f>
        <v>#N/A</v>
      </c>
      <c r="G480" t="e">
        <f>VLOOKUP(Tabelle8[[#This Row],[Rank]],Stammdaten[[Rank Verteilung D Mitte mit Rinde]:[Verteilung D Mitte mit Rinde]],2,FALSE)</f>
        <v>#N/A</v>
      </c>
      <c r="L480">
        <v>471</v>
      </c>
      <c r="M480" t="e">
        <f>INDEX(Stammdaten[Abholzigkeit (mm/lfm)],MATCH(Tabelle9[[#This Row],[Rank]],Stammdaten[Rank Verteilung Abholzigkeit],0))</f>
        <v>#N/A</v>
      </c>
      <c r="N480" t="e">
        <f>VLOOKUP(Tabelle9[[#This Row],[Rank]],Stammdaten[[Rank Verteilung Abholzigkeit]:[Verteilung Abholzigkeit]],2,FALSE)</f>
        <v>#N/A</v>
      </c>
      <c r="S480">
        <v>471</v>
      </c>
      <c r="T480" t="e">
        <f>INDEX(Stammdaten[Krümmung (mm/lfm)],MATCH(Tabelle10[[#This Row],[Rank]],Stammdaten[Rank Verteilung Krümmung],0))</f>
        <v>#N/A</v>
      </c>
      <c r="U480" t="e">
        <f>VLOOKUP(Tabelle10[[#This Row],[Rank]],Stammdaten[[Rank Verteilung Krümmung]:[Verteilung Krümmung]],2,FALSE)</f>
        <v>#N/A</v>
      </c>
      <c r="Z480">
        <v>471</v>
      </c>
      <c r="AA480" t="e">
        <f>INDEX(Stammdaten[Ovalität (']0,1'])],MATCH(Tabelle1014[[#This Row],[Rank]],Stammdaten[Rank Verteilung Ovalität],0))</f>
        <v>#N/A</v>
      </c>
      <c r="AB480" t="e">
        <f>VLOOKUP(Tabelle1014[[#This Row],[Rank]],Stammdaten[[Rank Verteilung Ovalität]:[Verteilung Ovalität]],2,FALSE)</f>
        <v>#N/A</v>
      </c>
    </row>
    <row r="481" spans="5:28" x14ac:dyDescent="0.35">
      <c r="E481">
        <v>472</v>
      </c>
      <c r="F481" t="e">
        <f>INDEX(Stammdaten[D Mitte mit Rinde (mm)],MATCH(Tabelle8[[#This Row],[Rank]],Stammdaten[Rank Verteilung D Mitte mit Rinde],0))</f>
        <v>#N/A</v>
      </c>
      <c r="G481" t="e">
        <f>VLOOKUP(Tabelle8[[#This Row],[Rank]],Stammdaten[[Rank Verteilung D Mitte mit Rinde]:[Verteilung D Mitte mit Rinde]],2,FALSE)</f>
        <v>#N/A</v>
      </c>
      <c r="L481">
        <v>472</v>
      </c>
      <c r="M481" t="e">
        <f>INDEX(Stammdaten[Abholzigkeit (mm/lfm)],MATCH(Tabelle9[[#This Row],[Rank]],Stammdaten[Rank Verteilung Abholzigkeit],0))</f>
        <v>#N/A</v>
      </c>
      <c r="N481" t="e">
        <f>VLOOKUP(Tabelle9[[#This Row],[Rank]],Stammdaten[[Rank Verteilung Abholzigkeit]:[Verteilung Abholzigkeit]],2,FALSE)</f>
        <v>#N/A</v>
      </c>
      <c r="S481">
        <v>472</v>
      </c>
      <c r="T481" t="e">
        <f>INDEX(Stammdaten[Krümmung (mm/lfm)],MATCH(Tabelle10[[#This Row],[Rank]],Stammdaten[Rank Verteilung Krümmung],0))</f>
        <v>#N/A</v>
      </c>
      <c r="U481" t="e">
        <f>VLOOKUP(Tabelle10[[#This Row],[Rank]],Stammdaten[[Rank Verteilung Krümmung]:[Verteilung Krümmung]],2,FALSE)</f>
        <v>#N/A</v>
      </c>
      <c r="Z481">
        <v>472</v>
      </c>
      <c r="AA481" t="e">
        <f>INDEX(Stammdaten[Ovalität (']0,1'])],MATCH(Tabelle1014[[#This Row],[Rank]],Stammdaten[Rank Verteilung Ovalität],0))</f>
        <v>#N/A</v>
      </c>
      <c r="AB481" t="e">
        <f>VLOOKUP(Tabelle1014[[#This Row],[Rank]],Stammdaten[[Rank Verteilung Ovalität]:[Verteilung Ovalität]],2,FALSE)</f>
        <v>#N/A</v>
      </c>
    </row>
    <row r="482" spans="5:28" x14ac:dyDescent="0.35">
      <c r="E482">
        <v>473</v>
      </c>
      <c r="F482" t="e">
        <f>INDEX(Stammdaten[D Mitte mit Rinde (mm)],MATCH(Tabelle8[[#This Row],[Rank]],Stammdaten[Rank Verteilung D Mitte mit Rinde],0))</f>
        <v>#N/A</v>
      </c>
      <c r="G482" t="e">
        <f>VLOOKUP(Tabelle8[[#This Row],[Rank]],Stammdaten[[Rank Verteilung D Mitte mit Rinde]:[Verteilung D Mitte mit Rinde]],2,FALSE)</f>
        <v>#N/A</v>
      </c>
      <c r="L482">
        <v>473</v>
      </c>
      <c r="M482" t="e">
        <f>INDEX(Stammdaten[Abholzigkeit (mm/lfm)],MATCH(Tabelle9[[#This Row],[Rank]],Stammdaten[Rank Verteilung Abholzigkeit],0))</f>
        <v>#N/A</v>
      </c>
      <c r="N482" t="e">
        <f>VLOOKUP(Tabelle9[[#This Row],[Rank]],Stammdaten[[Rank Verteilung Abholzigkeit]:[Verteilung Abholzigkeit]],2,FALSE)</f>
        <v>#N/A</v>
      </c>
      <c r="S482">
        <v>473</v>
      </c>
      <c r="T482" t="e">
        <f>INDEX(Stammdaten[Krümmung (mm/lfm)],MATCH(Tabelle10[[#This Row],[Rank]],Stammdaten[Rank Verteilung Krümmung],0))</f>
        <v>#N/A</v>
      </c>
      <c r="U482" t="e">
        <f>VLOOKUP(Tabelle10[[#This Row],[Rank]],Stammdaten[[Rank Verteilung Krümmung]:[Verteilung Krümmung]],2,FALSE)</f>
        <v>#N/A</v>
      </c>
      <c r="Z482">
        <v>473</v>
      </c>
      <c r="AA482" t="e">
        <f>INDEX(Stammdaten[Ovalität (']0,1'])],MATCH(Tabelle1014[[#This Row],[Rank]],Stammdaten[Rank Verteilung Ovalität],0))</f>
        <v>#N/A</v>
      </c>
      <c r="AB482" t="e">
        <f>VLOOKUP(Tabelle1014[[#This Row],[Rank]],Stammdaten[[Rank Verteilung Ovalität]:[Verteilung Ovalität]],2,FALSE)</f>
        <v>#N/A</v>
      </c>
    </row>
    <row r="483" spans="5:28" x14ac:dyDescent="0.35">
      <c r="E483">
        <v>474</v>
      </c>
      <c r="F483" t="e">
        <f>INDEX(Stammdaten[D Mitte mit Rinde (mm)],MATCH(Tabelle8[[#This Row],[Rank]],Stammdaten[Rank Verteilung D Mitte mit Rinde],0))</f>
        <v>#N/A</v>
      </c>
      <c r="G483" t="e">
        <f>VLOOKUP(Tabelle8[[#This Row],[Rank]],Stammdaten[[Rank Verteilung D Mitte mit Rinde]:[Verteilung D Mitte mit Rinde]],2,FALSE)</f>
        <v>#N/A</v>
      </c>
      <c r="L483">
        <v>474</v>
      </c>
      <c r="M483" t="e">
        <f>INDEX(Stammdaten[Abholzigkeit (mm/lfm)],MATCH(Tabelle9[[#This Row],[Rank]],Stammdaten[Rank Verteilung Abholzigkeit],0))</f>
        <v>#N/A</v>
      </c>
      <c r="N483" t="e">
        <f>VLOOKUP(Tabelle9[[#This Row],[Rank]],Stammdaten[[Rank Verteilung Abholzigkeit]:[Verteilung Abholzigkeit]],2,FALSE)</f>
        <v>#N/A</v>
      </c>
      <c r="S483">
        <v>474</v>
      </c>
      <c r="T483" t="e">
        <f>INDEX(Stammdaten[Krümmung (mm/lfm)],MATCH(Tabelle10[[#This Row],[Rank]],Stammdaten[Rank Verteilung Krümmung],0))</f>
        <v>#N/A</v>
      </c>
      <c r="U483" t="e">
        <f>VLOOKUP(Tabelle10[[#This Row],[Rank]],Stammdaten[[Rank Verteilung Krümmung]:[Verteilung Krümmung]],2,FALSE)</f>
        <v>#N/A</v>
      </c>
      <c r="Z483">
        <v>474</v>
      </c>
      <c r="AA483" t="e">
        <f>INDEX(Stammdaten[Ovalität (']0,1'])],MATCH(Tabelle1014[[#This Row],[Rank]],Stammdaten[Rank Verteilung Ovalität],0))</f>
        <v>#N/A</v>
      </c>
      <c r="AB483" t="e">
        <f>VLOOKUP(Tabelle1014[[#This Row],[Rank]],Stammdaten[[Rank Verteilung Ovalität]:[Verteilung Ovalität]],2,FALSE)</f>
        <v>#N/A</v>
      </c>
    </row>
    <row r="484" spans="5:28" x14ac:dyDescent="0.35">
      <c r="E484">
        <v>475</v>
      </c>
      <c r="F484" t="e">
        <f>INDEX(Stammdaten[D Mitte mit Rinde (mm)],MATCH(Tabelle8[[#This Row],[Rank]],Stammdaten[Rank Verteilung D Mitte mit Rinde],0))</f>
        <v>#N/A</v>
      </c>
      <c r="G484" t="e">
        <f>VLOOKUP(Tabelle8[[#This Row],[Rank]],Stammdaten[[Rank Verteilung D Mitte mit Rinde]:[Verteilung D Mitte mit Rinde]],2,FALSE)</f>
        <v>#N/A</v>
      </c>
      <c r="L484">
        <v>475</v>
      </c>
      <c r="M484" t="e">
        <f>INDEX(Stammdaten[Abholzigkeit (mm/lfm)],MATCH(Tabelle9[[#This Row],[Rank]],Stammdaten[Rank Verteilung Abholzigkeit],0))</f>
        <v>#N/A</v>
      </c>
      <c r="N484" t="e">
        <f>VLOOKUP(Tabelle9[[#This Row],[Rank]],Stammdaten[[Rank Verteilung Abholzigkeit]:[Verteilung Abholzigkeit]],2,FALSE)</f>
        <v>#N/A</v>
      </c>
      <c r="S484">
        <v>475</v>
      </c>
      <c r="T484" t="e">
        <f>INDEX(Stammdaten[Krümmung (mm/lfm)],MATCH(Tabelle10[[#This Row],[Rank]],Stammdaten[Rank Verteilung Krümmung],0))</f>
        <v>#N/A</v>
      </c>
      <c r="U484" t="e">
        <f>VLOOKUP(Tabelle10[[#This Row],[Rank]],Stammdaten[[Rank Verteilung Krümmung]:[Verteilung Krümmung]],2,FALSE)</f>
        <v>#N/A</v>
      </c>
      <c r="Z484">
        <v>475</v>
      </c>
      <c r="AA484" t="e">
        <f>INDEX(Stammdaten[Ovalität (']0,1'])],MATCH(Tabelle1014[[#This Row],[Rank]],Stammdaten[Rank Verteilung Ovalität],0))</f>
        <v>#N/A</v>
      </c>
      <c r="AB484" t="e">
        <f>VLOOKUP(Tabelle1014[[#This Row],[Rank]],Stammdaten[[Rank Verteilung Ovalität]:[Verteilung Ovalität]],2,FALSE)</f>
        <v>#N/A</v>
      </c>
    </row>
    <row r="485" spans="5:28" x14ac:dyDescent="0.35">
      <c r="E485">
        <v>476</v>
      </c>
      <c r="F485" t="e">
        <f>INDEX(Stammdaten[D Mitte mit Rinde (mm)],MATCH(Tabelle8[[#This Row],[Rank]],Stammdaten[Rank Verteilung D Mitte mit Rinde],0))</f>
        <v>#N/A</v>
      </c>
      <c r="G485" t="e">
        <f>VLOOKUP(Tabelle8[[#This Row],[Rank]],Stammdaten[[Rank Verteilung D Mitte mit Rinde]:[Verteilung D Mitte mit Rinde]],2,FALSE)</f>
        <v>#N/A</v>
      </c>
      <c r="L485">
        <v>476</v>
      </c>
      <c r="M485" t="e">
        <f>INDEX(Stammdaten[Abholzigkeit (mm/lfm)],MATCH(Tabelle9[[#This Row],[Rank]],Stammdaten[Rank Verteilung Abholzigkeit],0))</f>
        <v>#N/A</v>
      </c>
      <c r="N485" t="e">
        <f>VLOOKUP(Tabelle9[[#This Row],[Rank]],Stammdaten[[Rank Verteilung Abholzigkeit]:[Verteilung Abholzigkeit]],2,FALSE)</f>
        <v>#N/A</v>
      </c>
      <c r="S485">
        <v>476</v>
      </c>
      <c r="T485" t="e">
        <f>INDEX(Stammdaten[Krümmung (mm/lfm)],MATCH(Tabelle10[[#This Row],[Rank]],Stammdaten[Rank Verteilung Krümmung],0))</f>
        <v>#N/A</v>
      </c>
      <c r="U485" t="e">
        <f>VLOOKUP(Tabelle10[[#This Row],[Rank]],Stammdaten[[Rank Verteilung Krümmung]:[Verteilung Krümmung]],2,FALSE)</f>
        <v>#N/A</v>
      </c>
      <c r="Z485">
        <v>476</v>
      </c>
      <c r="AA485" t="e">
        <f>INDEX(Stammdaten[Ovalität (']0,1'])],MATCH(Tabelle1014[[#This Row],[Rank]],Stammdaten[Rank Verteilung Ovalität],0))</f>
        <v>#N/A</v>
      </c>
      <c r="AB485" t="e">
        <f>VLOOKUP(Tabelle1014[[#This Row],[Rank]],Stammdaten[[Rank Verteilung Ovalität]:[Verteilung Ovalität]],2,FALSE)</f>
        <v>#N/A</v>
      </c>
    </row>
    <row r="486" spans="5:28" x14ac:dyDescent="0.35">
      <c r="E486">
        <v>477</v>
      </c>
      <c r="F486" t="e">
        <f>INDEX(Stammdaten[D Mitte mit Rinde (mm)],MATCH(Tabelle8[[#This Row],[Rank]],Stammdaten[Rank Verteilung D Mitte mit Rinde],0))</f>
        <v>#N/A</v>
      </c>
      <c r="G486" t="e">
        <f>VLOOKUP(Tabelle8[[#This Row],[Rank]],Stammdaten[[Rank Verteilung D Mitte mit Rinde]:[Verteilung D Mitte mit Rinde]],2,FALSE)</f>
        <v>#N/A</v>
      </c>
      <c r="L486">
        <v>477</v>
      </c>
      <c r="M486" t="e">
        <f>INDEX(Stammdaten[Abholzigkeit (mm/lfm)],MATCH(Tabelle9[[#This Row],[Rank]],Stammdaten[Rank Verteilung Abholzigkeit],0))</f>
        <v>#N/A</v>
      </c>
      <c r="N486" t="e">
        <f>VLOOKUP(Tabelle9[[#This Row],[Rank]],Stammdaten[[Rank Verteilung Abholzigkeit]:[Verteilung Abholzigkeit]],2,FALSE)</f>
        <v>#N/A</v>
      </c>
      <c r="S486">
        <v>477</v>
      </c>
      <c r="T486" t="e">
        <f>INDEX(Stammdaten[Krümmung (mm/lfm)],MATCH(Tabelle10[[#This Row],[Rank]],Stammdaten[Rank Verteilung Krümmung],0))</f>
        <v>#N/A</v>
      </c>
      <c r="U486" t="e">
        <f>VLOOKUP(Tabelle10[[#This Row],[Rank]],Stammdaten[[Rank Verteilung Krümmung]:[Verteilung Krümmung]],2,FALSE)</f>
        <v>#N/A</v>
      </c>
      <c r="Z486">
        <v>477</v>
      </c>
      <c r="AA486" t="e">
        <f>INDEX(Stammdaten[Ovalität (']0,1'])],MATCH(Tabelle1014[[#This Row],[Rank]],Stammdaten[Rank Verteilung Ovalität],0))</f>
        <v>#N/A</v>
      </c>
      <c r="AB486" t="e">
        <f>VLOOKUP(Tabelle1014[[#This Row],[Rank]],Stammdaten[[Rank Verteilung Ovalität]:[Verteilung Ovalität]],2,FALSE)</f>
        <v>#N/A</v>
      </c>
    </row>
    <row r="487" spans="5:28" x14ac:dyDescent="0.35">
      <c r="E487">
        <v>478</v>
      </c>
      <c r="F487" t="e">
        <f>INDEX(Stammdaten[D Mitte mit Rinde (mm)],MATCH(Tabelle8[[#This Row],[Rank]],Stammdaten[Rank Verteilung D Mitte mit Rinde],0))</f>
        <v>#N/A</v>
      </c>
      <c r="G487" t="e">
        <f>VLOOKUP(Tabelle8[[#This Row],[Rank]],Stammdaten[[Rank Verteilung D Mitte mit Rinde]:[Verteilung D Mitte mit Rinde]],2,FALSE)</f>
        <v>#N/A</v>
      </c>
      <c r="L487">
        <v>478</v>
      </c>
      <c r="M487" t="e">
        <f>INDEX(Stammdaten[Abholzigkeit (mm/lfm)],MATCH(Tabelle9[[#This Row],[Rank]],Stammdaten[Rank Verteilung Abholzigkeit],0))</f>
        <v>#N/A</v>
      </c>
      <c r="N487" t="e">
        <f>VLOOKUP(Tabelle9[[#This Row],[Rank]],Stammdaten[[Rank Verteilung Abholzigkeit]:[Verteilung Abholzigkeit]],2,FALSE)</f>
        <v>#N/A</v>
      </c>
      <c r="S487">
        <v>478</v>
      </c>
      <c r="T487" t="e">
        <f>INDEX(Stammdaten[Krümmung (mm/lfm)],MATCH(Tabelle10[[#This Row],[Rank]],Stammdaten[Rank Verteilung Krümmung],0))</f>
        <v>#N/A</v>
      </c>
      <c r="U487" t="e">
        <f>VLOOKUP(Tabelle10[[#This Row],[Rank]],Stammdaten[[Rank Verteilung Krümmung]:[Verteilung Krümmung]],2,FALSE)</f>
        <v>#N/A</v>
      </c>
      <c r="Z487">
        <v>478</v>
      </c>
      <c r="AA487" t="e">
        <f>INDEX(Stammdaten[Ovalität (']0,1'])],MATCH(Tabelle1014[[#This Row],[Rank]],Stammdaten[Rank Verteilung Ovalität],0))</f>
        <v>#N/A</v>
      </c>
      <c r="AB487" t="e">
        <f>VLOOKUP(Tabelle1014[[#This Row],[Rank]],Stammdaten[[Rank Verteilung Ovalität]:[Verteilung Ovalität]],2,FALSE)</f>
        <v>#N/A</v>
      </c>
    </row>
    <row r="488" spans="5:28" x14ac:dyDescent="0.35">
      <c r="E488">
        <v>479</v>
      </c>
      <c r="F488" t="e">
        <f>INDEX(Stammdaten[D Mitte mit Rinde (mm)],MATCH(Tabelle8[[#This Row],[Rank]],Stammdaten[Rank Verteilung D Mitte mit Rinde],0))</f>
        <v>#N/A</v>
      </c>
      <c r="G488" t="e">
        <f>VLOOKUP(Tabelle8[[#This Row],[Rank]],Stammdaten[[Rank Verteilung D Mitte mit Rinde]:[Verteilung D Mitte mit Rinde]],2,FALSE)</f>
        <v>#N/A</v>
      </c>
      <c r="L488">
        <v>479</v>
      </c>
      <c r="M488" t="e">
        <f>INDEX(Stammdaten[Abholzigkeit (mm/lfm)],MATCH(Tabelle9[[#This Row],[Rank]],Stammdaten[Rank Verteilung Abholzigkeit],0))</f>
        <v>#N/A</v>
      </c>
      <c r="N488" t="e">
        <f>VLOOKUP(Tabelle9[[#This Row],[Rank]],Stammdaten[[Rank Verteilung Abholzigkeit]:[Verteilung Abholzigkeit]],2,FALSE)</f>
        <v>#N/A</v>
      </c>
      <c r="S488">
        <v>479</v>
      </c>
      <c r="T488" t="e">
        <f>INDEX(Stammdaten[Krümmung (mm/lfm)],MATCH(Tabelle10[[#This Row],[Rank]],Stammdaten[Rank Verteilung Krümmung],0))</f>
        <v>#N/A</v>
      </c>
      <c r="U488" t="e">
        <f>VLOOKUP(Tabelle10[[#This Row],[Rank]],Stammdaten[[Rank Verteilung Krümmung]:[Verteilung Krümmung]],2,FALSE)</f>
        <v>#N/A</v>
      </c>
      <c r="Z488">
        <v>479</v>
      </c>
      <c r="AA488" t="e">
        <f>INDEX(Stammdaten[Ovalität (']0,1'])],MATCH(Tabelle1014[[#This Row],[Rank]],Stammdaten[Rank Verteilung Ovalität],0))</f>
        <v>#N/A</v>
      </c>
      <c r="AB488" t="e">
        <f>VLOOKUP(Tabelle1014[[#This Row],[Rank]],Stammdaten[[Rank Verteilung Ovalität]:[Verteilung Ovalität]],2,FALSE)</f>
        <v>#N/A</v>
      </c>
    </row>
    <row r="489" spans="5:28" x14ac:dyDescent="0.35">
      <c r="E489">
        <v>480</v>
      </c>
      <c r="F489" t="e">
        <f>INDEX(Stammdaten[D Mitte mit Rinde (mm)],MATCH(Tabelle8[[#This Row],[Rank]],Stammdaten[Rank Verteilung D Mitte mit Rinde],0))</f>
        <v>#N/A</v>
      </c>
      <c r="G489" t="e">
        <f>VLOOKUP(Tabelle8[[#This Row],[Rank]],Stammdaten[[Rank Verteilung D Mitte mit Rinde]:[Verteilung D Mitte mit Rinde]],2,FALSE)</f>
        <v>#N/A</v>
      </c>
      <c r="L489">
        <v>480</v>
      </c>
      <c r="M489" t="e">
        <f>INDEX(Stammdaten[Abholzigkeit (mm/lfm)],MATCH(Tabelle9[[#This Row],[Rank]],Stammdaten[Rank Verteilung Abholzigkeit],0))</f>
        <v>#N/A</v>
      </c>
      <c r="N489" t="e">
        <f>VLOOKUP(Tabelle9[[#This Row],[Rank]],Stammdaten[[Rank Verteilung Abholzigkeit]:[Verteilung Abholzigkeit]],2,FALSE)</f>
        <v>#N/A</v>
      </c>
      <c r="S489">
        <v>480</v>
      </c>
      <c r="T489" t="e">
        <f>INDEX(Stammdaten[Krümmung (mm/lfm)],MATCH(Tabelle10[[#This Row],[Rank]],Stammdaten[Rank Verteilung Krümmung],0))</f>
        <v>#N/A</v>
      </c>
      <c r="U489" t="e">
        <f>VLOOKUP(Tabelle10[[#This Row],[Rank]],Stammdaten[[Rank Verteilung Krümmung]:[Verteilung Krümmung]],2,FALSE)</f>
        <v>#N/A</v>
      </c>
      <c r="Z489">
        <v>480</v>
      </c>
      <c r="AA489" t="e">
        <f>INDEX(Stammdaten[Ovalität (']0,1'])],MATCH(Tabelle1014[[#This Row],[Rank]],Stammdaten[Rank Verteilung Ovalität],0))</f>
        <v>#N/A</v>
      </c>
      <c r="AB489" t="e">
        <f>VLOOKUP(Tabelle1014[[#This Row],[Rank]],Stammdaten[[Rank Verteilung Ovalität]:[Verteilung Ovalität]],2,FALSE)</f>
        <v>#N/A</v>
      </c>
    </row>
    <row r="490" spans="5:28" x14ac:dyDescent="0.35">
      <c r="E490">
        <v>481</v>
      </c>
      <c r="F490" t="e">
        <f>INDEX(Stammdaten[D Mitte mit Rinde (mm)],MATCH(Tabelle8[[#This Row],[Rank]],Stammdaten[Rank Verteilung D Mitte mit Rinde],0))</f>
        <v>#N/A</v>
      </c>
      <c r="G490" t="e">
        <f>VLOOKUP(Tabelle8[[#This Row],[Rank]],Stammdaten[[Rank Verteilung D Mitte mit Rinde]:[Verteilung D Mitte mit Rinde]],2,FALSE)</f>
        <v>#N/A</v>
      </c>
      <c r="L490">
        <v>481</v>
      </c>
      <c r="M490" t="e">
        <f>INDEX(Stammdaten[Abholzigkeit (mm/lfm)],MATCH(Tabelle9[[#This Row],[Rank]],Stammdaten[Rank Verteilung Abholzigkeit],0))</f>
        <v>#N/A</v>
      </c>
      <c r="N490" t="e">
        <f>VLOOKUP(Tabelle9[[#This Row],[Rank]],Stammdaten[[Rank Verteilung Abholzigkeit]:[Verteilung Abholzigkeit]],2,FALSE)</f>
        <v>#N/A</v>
      </c>
      <c r="S490">
        <v>481</v>
      </c>
      <c r="T490" t="e">
        <f>INDEX(Stammdaten[Krümmung (mm/lfm)],MATCH(Tabelle10[[#This Row],[Rank]],Stammdaten[Rank Verteilung Krümmung],0))</f>
        <v>#N/A</v>
      </c>
      <c r="U490" t="e">
        <f>VLOOKUP(Tabelle10[[#This Row],[Rank]],Stammdaten[[Rank Verteilung Krümmung]:[Verteilung Krümmung]],2,FALSE)</f>
        <v>#N/A</v>
      </c>
      <c r="Z490">
        <v>481</v>
      </c>
      <c r="AA490" t="e">
        <f>INDEX(Stammdaten[Ovalität (']0,1'])],MATCH(Tabelle1014[[#This Row],[Rank]],Stammdaten[Rank Verteilung Ovalität],0))</f>
        <v>#N/A</v>
      </c>
      <c r="AB490" t="e">
        <f>VLOOKUP(Tabelle1014[[#This Row],[Rank]],Stammdaten[[Rank Verteilung Ovalität]:[Verteilung Ovalität]],2,FALSE)</f>
        <v>#N/A</v>
      </c>
    </row>
    <row r="491" spans="5:28" x14ac:dyDescent="0.35">
      <c r="E491">
        <v>482</v>
      </c>
      <c r="F491" t="e">
        <f>INDEX(Stammdaten[D Mitte mit Rinde (mm)],MATCH(Tabelle8[[#This Row],[Rank]],Stammdaten[Rank Verteilung D Mitte mit Rinde],0))</f>
        <v>#N/A</v>
      </c>
      <c r="G491" t="e">
        <f>VLOOKUP(Tabelle8[[#This Row],[Rank]],Stammdaten[[Rank Verteilung D Mitte mit Rinde]:[Verteilung D Mitte mit Rinde]],2,FALSE)</f>
        <v>#N/A</v>
      </c>
      <c r="L491">
        <v>482</v>
      </c>
      <c r="M491" t="e">
        <f>INDEX(Stammdaten[Abholzigkeit (mm/lfm)],MATCH(Tabelle9[[#This Row],[Rank]],Stammdaten[Rank Verteilung Abholzigkeit],0))</f>
        <v>#N/A</v>
      </c>
      <c r="N491" t="e">
        <f>VLOOKUP(Tabelle9[[#This Row],[Rank]],Stammdaten[[Rank Verteilung Abholzigkeit]:[Verteilung Abholzigkeit]],2,FALSE)</f>
        <v>#N/A</v>
      </c>
      <c r="S491">
        <v>482</v>
      </c>
      <c r="T491" t="e">
        <f>INDEX(Stammdaten[Krümmung (mm/lfm)],MATCH(Tabelle10[[#This Row],[Rank]],Stammdaten[Rank Verteilung Krümmung],0))</f>
        <v>#N/A</v>
      </c>
      <c r="U491" t="e">
        <f>VLOOKUP(Tabelle10[[#This Row],[Rank]],Stammdaten[[Rank Verteilung Krümmung]:[Verteilung Krümmung]],2,FALSE)</f>
        <v>#N/A</v>
      </c>
      <c r="Z491">
        <v>482</v>
      </c>
      <c r="AA491" t="e">
        <f>INDEX(Stammdaten[Ovalität (']0,1'])],MATCH(Tabelle1014[[#This Row],[Rank]],Stammdaten[Rank Verteilung Ovalität],0))</f>
        <v>#N/A</v>
      </c>
      <c r="AB491" t="e">
        <f>VLOOKUP(Tabelle1014[[#This Row],[Rank]],Stammdaten[[Rank Verteilung Ovalität]:[Verteilung Ovalität]],2,FALSE)</f>
        <v>#N/A</v>
      </c>
    </row>
    <row r="492" spans="5:28" x14ac:dyDescent="0.35">
      <c r="E492">
        <v>483</v>
      </c>
      <c r="F492" t="e">
        <f>INDEX(Stammdaten[D Mitte mit Rinde (mm)],MATCH(Tabelle8[[#This Row],[Rank]],Stammdaten[Rank Verteilung D Mitte mit Rinde],0))</f>
        <v>#N/A</v>
      </c>
      <c r="G492" t="e">
        <f>VLOOKUP(Tabelle8[[#This Row],[Rank]],Stammdaten[[Rank Verteilung D Mitte mit Rinde]:[Verteilung D Mitte mit Rinde]],2,FALSE)</f>
        <v>#N/A</v>
      </c>
      <c r="L492">
        <v>483</v>
      </c>
      <c r="M492" t="e">
        <f>INDEX(Stammdaten[Abholzigkeit (mm/lfm)],MATCH(Tabelle9[[#This Row],[Rank]],Stammdaten[Rank Verteilung Abholzigkeit],0))</f>
        <v>#N/A</v>
      </c>
      <c r="N492" t="e">
        <f>VLOOKUP(Tabelle9[[#This Row],[Rank]],Stammdaten[[Rank Verteilung Abholzigkeit]:[Verteilung Abholzigkeit]],2,FALSE)</f>
        <v>#N/A</v>
      </c>
      <c r="S492">
        <v>483</v>
      </c>
      <c r="T492" t="e">
        <f>INDEX(Stammdaten[Krümmung (mm/lfm)],MATCH(Tabelle10[[#This Row],[Rank]],Stammdaten[Rank Verteilung Krümmung],0))</f>
        <v>#N/A</v>
      </c>
      <c r="U492" t="e">
        <f>VLOOKUP(Tabelle10[[#This Row],[Rank]],Stammdaten[[Rank Verteilung Krümmung]:[Verteilung Krümmung]],2,FALSE)</f>
        <v>#N/A</v>
      </c>
      <c r="Z492">
        <v>483</v>
      </c>
      <c r="AA492" t="e">
        <f>INDEX(Stammdaten[Ovalität (']0,1'])],MATCH(Tabelle1014[[#This Row],[Rank]],Stammdaten[Rank Verteilung Ovalität],0))</f>
        <v>#N/A</v>
      </c>
      <c r="AB492" t="e">
        <f>VLOOKUP(Tabelle1014[[#This Row],[Rank]],Stammdaten[[Rank Verteilung Ovalität]:[Verteilung Ovalität]],2,FALSE)</f>
        <v>#N/A</v>
      </c>
    </row>
    <row r="493" spans="5:28" x14ac:dyDescent="0.35">
      <c r="E493">
        <v>484</v>
      </c>
      <c r="F493" t="e">
        <f>INDEX(Stammdaten[D Mitte mit Rinde (mm)],MATCH(Tabelle8[[#This Row],[Rank]],Stammdaten[Rank Verteilung D Mitte mit Rinde],0))</f>
        <v>#N/A</v>
      </c>
      <c r="G493" t="e">
        <f>VLOOKUP(Tabelle8[[#This Row],[Rank]],Stammdaten[[Rank Verteilung D Mitte mit Rinde]:[Verteilung D Mitte mit Rinde]],2,FALSE)</f>
        <v>#N/A</v>
      </c>
      <c r="L493">
        <v>484</v>
      </c>
      <c r="M493" t="e">
        <f>INDEX(Stammdaten[Abholzigkeit (mm/lfm)],MATCH(Tabelle9[[#This Row],[Rank]],Stammdaten[Rank Verteilung Abholzigkeit],0))</f>
        <v>#N/A</v>
      </c>
      <c r="N493" t="e">
        <f>VLOOKUP(Tabelle9[[#This Row],[Rank]],Stammdaten[[Rank Verteilung Abholzigkeit]:[Verteilung Abholzigkeit]],2,FALSE)</f>
        <v>#N/A</v>
      </c>
      <c r="S493">
        <v>484</v>
      </c>
      <c r="T493" t="e">
        <f>INDEX(Stammdaten[Krümmung (mm/lfm)],MATCH(Tabelle10[[#This Row],[Rank]],Stammdaten[Rank Verteilung Krümmung],0))</f>
        <v>#N/A</v>
      </c>
      <c r="U493" t="e">
        <f>VLOOKUP(Tabelle10[[#This Row],[Rank]],Stammdaten[[Rank Verteilung Krümmung]:[Verteilung Krümmung]],2,FALSE)</f>
        <v>#N/A</v>
      </c>
      <c r="Z493">
        <v>484</v>
      </c>
      <c r="AA493" t="e">
        <f>INDEX(Stammdaten[Ovalität (']0,1'])],MATCH(Tabelle1014[[#This Row],[Rank]],Stammdaten[Rank Verteilung Ovalität],0))</f>
        <v>#N/A</v>
      </c>
      <c r="AB493" t="e">
        <f>VLOOKUP(Tabelle1014[[#This Row],[Rank]],Stammdaten[[Rank Verteilung Ovalität]:[Verteilung Ovalität]],2,FALSE)</f>
        <v>#N/A</v>
      </c>
    </row>
    <row r="494" spans="5:28" x14ac:dyDescent="0.35">
      <c r="E494">
        <v>485</v>
      </c>
      <c r="F494" t="e">
        <f>INDEX(Stammdaten[D Mitte mit Rinde (mm)],MATCH(Tabelle8[[#This Row],[Rank]],Stammdaten[Rank Verteilung D Mitte mit Rinde],0))</f>
        <v>#N/A</v>
      </c>
      <c r="G494" t="e">
        <f>VLOOKUP(Tabelle8[[#This Row],[Rank]],Stammdaten[[Rank Verteilung D Mitte mit Rinde]:[Verteilung D Mitte mit Rinde]],2,FALSE)</f>
        <v>#N/A</v>
      </c>
      <c r="L494">
        <v>485</v>
      </c>
      <c r="M494" t="e">
        <f>INDEX(Stammdaten[Abholzigkeit (mm/lfm)],MATCH(Tabelle9[[#This Row],[Rank]],Stammdaten[Rank Verteilung Abholzigkeit],0))</f>
        <v>#N/A</v>
      </c>
      <c r="N494" t="e">
        <f>VLOOKUP(Tabelle9[[#This Row],[Rank]],Stammdaten[[Rank Verteilung Abholzigkeit]:[Verteilung Abholzigkeit]],2,FALSE)</f>
        <v>#N/A</v>
      </c>
      <c r="S494">
        <v>485</v>
      </c>
      <c r="T494" t="e">
        <f>INDEX(Stammdaten[Krümmung (mm/lfm)],MATCH(Tabelle10[[#This Row],[Rank]],Stammdaten[Rank Verteilung Krümmung],0))</f>
        <v>#N/A</v>
      </c>
      <c r="U494" t="e">
        <f>VLOOKUP(Tabelle10[[#This Row],[Rank]],Stammdaten[[Rank Verteilung Krümmung]:[Verteilung Krümmung]],2,FALSE)</f>
        <v>#N/A</v>
      </c>
      <c r="Z494">
        <v>485</v>
      </c>
      <c r="AA494" t="e">
        <f>INDEX(Stammdaten[Ovalität (']0,1'])],MATCH(Tabelle1014[[#This Row],[Rank]],Stammdaten[Rank Verteilung Ovalität],0))</f>
        <v>#N/A</v>
      </c>
      <c r="AB494" t="e">
        <f>VLOOKUP(Tabelle1014[[#This Row],[Rank]],Stammdaten[[Rank Verteilung Ovalität]:[Verteilung Ovalität]],2,FALSE)</f>
        <v>#N/A</v>
      </c>
    </row>
    <row r="495" spans="5:28" x14ac:dyDescent="0.35">
      <c r="E495">
        <v>486</v>
      </c>
      <c r="F495" t="e">
        <f>INDEX(Stammdaten[D Mitte mit Rinde (mm)],MATCH(Tabelle8[[#This Row],[Rank]],Stammdaten[Rank Verteilung D Mitte mit Rinde],0))</f>
        <v>#N/A</v>
      </c>
      <c r="G495" t="e">
        <f>VLOOKUP(Tabelle8[[#This Row],[Rank]],Stammdaten[[Rank Verteilung D Mitte mit Rinde]:[Verteilung D Mitte mit Rinde]],2,FALSE)</f>
        <v>#N/A</v>
      </c>
      <c r="L495">
        <v>486</v>
      </c>
      <c r="M495" t="e">
        <f>INDEX(Stammdaten[Abholzigkeit (mm/lfm)],MATCH(Tabelle9[[#This Row],[Rank]],Stammdaten[Rank Verteilung Abholzigkeit],0))</f>
        <v>#N/A</v>
      </c>
      <c r="N495" t="e">
        <f>VLOOKUP(Tabelle9[[#This Row],[Rank]],Stammdaten[[Rank Verteilung Abholzigkeit]:[Verteilung Abholzigkeit]],2,FALSE)</f>
        <v>#N/A</v>
      </c>
      <c r="S495">
        <v>486</v>
      </c>
      <c r="T495" t="e">
        <f>INDEX(Stammdaten[Krümmung (mm/lfm)],MATCH(Tabelle10[[#This Row],[Rank]],Stammdaten[Rank Verteilung Krümmung],0))</f>
        <v>#N/A</v>
      </c>
      <c r="U495" t="e">
        <f>VLOOKUP(Tabelle10[[#This Row],[Rank]],Stammdaten[[Rank Verteilung Krümmung]:[Verteilung Krümmung]],2,FALSE)</f>
        <v>#N/A</v>
      </c>
      <c r="Z495">
        <v>486</v>
      </c>
      <c r="AA495" t="e">
        <f>INDEX(Stammdaten[Ovalität (']0,1'])],MATCH(Tabelle1014[[#This Row],[Rank]],Stammdaten[Rank Verteilung Ovalität],0))</f>
        <v>#N/A</v>
      </c>
      <c r="AB495" t="e">
        <f>VLOOKUP(Tabelle1014[[#This Row],[Rank]],Stammdaten[[Rank Verteilung Ovalität]:[Verteilung Ovalität]],2,FALSE)</f>
        <v>#N/A</v>
      </c>
    </row>
    <row r="496" spans="5:28" x14ac:dyDescent="0.35">
      <c r="E496">
        <v>487</v>
      </c>
      <c r="F496" t="e">
        <f>INDEX(Stammdaten[D Mitte mit Rinde (mm)],MATCH(Tabelle8[[#This Row],[Rank]],Stammdaten[Rank Verteilung D Mitte mit Rinde],0))</f>
        <v>#N/A</v>
      </c>
      <c r="G496" t="e">
        <f>VLOOKUP(Tabelle8[[#This Row],[Rank]],Stammdaten[[Rank Verteilung D Mitte mit Rinde]:[Verteilung D Mitte mit Rinde]],2,FALSE)</f>
        <v>#N/A</v>
      </c>
      <c r="L496">
        <v>487</v>
      </c>
      <c r="M496" t="e">
        <f>INDEX(Stammdaten[Abholzigkeit (mm/lfm)],MATCH(Tabelle9[[#This Row],[Rank]],Stammdaten[Rank Verteilung Abholzigkeit],0))</f>
        <v>#N/A</v>
      </c>
      <c r="N496" t="e">
        <f>VLOOKUP(Tabelle9[[#This Row],[Rank]],Stammdaten[[Rank Verteilung Abholzigkeit]:[Verteilung Abholzigkeit]],2,FALSE)</f>
        <v>#N/A</v>
      </c>
      <c r="S496">
        <v>487</v>
      </c>
      <c r="T496" t="e">
        <f>INDEX(Stammdaten[Krümmung (mm/lfm)],MATCH(Tabelle10[[#This Row],[Rank]],Stammdaten[Rank Verteilung Krümmung],0))</f>
        <v>#N/A</v>
      </c>
      <c r="U496" t="e">
        <f>VLOOKUP(Tabelle10[[#This Row],[Rank]],Stammdaten[[Rank Verteilung Krümmung]:[Verteilung Krümmung]],2,FALSE)</f>
        <v>#N/A</v>
      </c>
      <c r="Z496">
        <v>487</v>
      </c>
      <c r="AA496" t="e">
        <f>INDEX(Stammdaten[Ovalität (']0,1'])],MATCH(Tabelle1014[[#This Row],[Rank]],Stammdaten[Rank Verteilung Ovalität],0))</f>
        <v>#N/A</v>
      </c>
      <c r="AB496" t="e">
        <f>VLOOKUP(Tabelle1014[[#This Row],[Rank]],Stammdaten[[Rank Verteilung Ovalität]:[Verteilung Ovalität]],2,FALSE)</f>
        <v>#N/A</v>
      </c>
    </row>
    <row r="497" spans="5:28" x14ac:dyDescent="0.35">
      <c r="E497">
        <v>488</v>
      </c>
      <c r="F497" t="e">
        <f>INDEX(Stammdaten[D Mitte mit Rinde (mm)],MATCH(Tabelle8[[#This Row],[Rank]],Stammdaten[Rank Verteilung D Mitte mit Rinde],0))</f>
        <v>#N/A</v>
      </c>
      <c r="G497" t="e">
        <f>VLOOKUP(Tabelle8[[#This Row],[Rank]],Stammdaten[[Rank Verteilung D Mitte mit Rinde]:[Verteilung D Mitte mit Rinde]],2,FALSE)</f>
        <v>#N/A</v>
      </c>
      <c r="L497">
        <v>488</v>
      </c>
      <c r="M497" t="e">
        <f>INDEX(Stammdaten[Abholzigkeit (mm/lfm)],MATCH(Tabelle9[[#This Row],[Rank]],Stammdaten[Rank Verteilung Abholzigkeit],0))</f>
        <v>#N/A</v>
      </c>
      <c r="N497" t="e">
        <f>VLOOKUP(Tabelle9[[#This Row],[Rank]],Stammdaten[[Rank Verteilung Abholzigkeit]:[Verteilung Abholzigkeit]],2,FALSE)</f>
        <v>#N/A</v>
      </c>
      <c r="S497">
        <v>488</v>
      </c>
      <c r="T497" t="e">
        <f>INDEX(Stammdaten[Krümmung (mm/lfm)],MATCH(Tabelle10[[#This Row],[Rank]],Stammdaten[Rank Verteilung Krümmung],0))</f>
        <v>#N/A</v>
      </c>
      <c r="U497" t="e">
        <f>VLOOKUP(Tabelle10[[#This Row],[Rank]],Stammdaten[[Rank Verteilung Krümmung]:[Verteilung Krümmung]],2,FALSE)</f>
        <v>#N/A</v>
      </c>
      <c r="Z497">
        <v>488</v>
      </c>
      <c r="AA497" t="e">
        <f>INDEX(Stammdaten[Ovalität (']0,1'])],MATCH(Tabelle1014[[#This Row],[Rank]],Stammdaten[Rank Verteilung Ovalität],0))</f>
        <v>#N/A</v>
      </c>
      <c r="AB497" t="e">
        <f>VLOOKUP(Tabelle1014[[#This Row],[Rank]],Stammdaten[[Rank Verteilung Ovalität]:[Verteilung Ovalität]],2,FALSE)</f>
        <v>#N/A</v>
      </c>
    </row>
    <row r="498" spans="5:28" x14ac:dyDescent="0.35">
      <c r="E498">
        <v>489</v>
      </c>
      <c r="F498" t="e">
        <f>INDEX(Stammdaten[D Mitte mit Rinde (mm)],MATCH(Tabelle8[[#This Row],[Rank]],Stammdaten[Rank Verteilung D Mitte mit Rinde],0))</f>
        <v>#N/A</v>
      </c>
      <c r="G498" t="e">
        <f>VLOOKUP(Tabelle8[[#This Row],[Rank]],Stammdaten[[Rank Verteilung D Mitte mit Rinde]:[Verteilung D Mitte mit Rinde]],2,FALSE)</f>
        <v>#N/A</v>
      </c>
      <c r="L498">
        <v>489</v>
      </c>
      <c r="M498" t="e">
        <f>INDEX(Stammdaten[Abholzigkeit (mm/lfm)],MATCH(Tabelle9[[#This Row],[Rank]],Stammdaten[Rank Verteilung Abholzigkeit],0))</f>
        <v>#N/A</v>
      </c>
      <c r="N498" t="e">
        <f>VLOOKUP(Tabelle9[[#This Row],[Rank]],Stammdaten[[Rank Verteilung Abholzigkeit]:[Verteilung Abholzigkeit]],2,FALSE)</f>
        <v>#N/A</v>
      </c>
      <c r="S498">
        <v>489</v>
      </c>
      <c r="T498" t="e">
        <f>INDEX(Stammdaten[Krümmung (mm/lfm)],MATCH(Tabelle10[[#This Row],[Rank]],Stammdaten[Rank Verteilung Krümmung],0))</f>
        <v>#N/A</v>
      </c>
      <c r="U498" t="e">
        <f>VLOOKUP(Tabelle10[[#This Row],[Rank]],Stammdaten[[Rank Verteilung Krümmung]:[Verteilung Krümmung]],2,FALSE)</f>
        <v>#N/A</v>
      </c>
      <c r="Z498">
        <v>489</v>
      </c>
      <c r="AA498" t="e">
        <f>INDEX(Stammdaten[Ovalität (']0,1'])],MATCH(Tabelle1014[[#This Row],[Rank]],Stammdaten[Rank Verteilung Ovalität],0))</f>
        <v>#N/A</v>
      </c>
      <c r="AB498" t="e">
        <f>VLOOKUP(Tabelle1014[[#This Row],[Rank]],Stammdaten[[Rank Verteilung Ovalität]:[Verteilung Ovalität]],2,FALSE)</f>
        <v>#N/A</v>
      </c>
    </row>
    <row r="499" spans="5:28" x14ac:dyDescent="0.35">
      <c r="E499">
        <v>490</v>
      </c>
      <c r="F499" t="e">
        <f>INDEX(Stammdaten[D Mitte mit Rinde (mm)],MATCH(Tabelle8[[#This Row],[Rank]],Stammdaten[Rank Verteilung D Mitte mit Rinde],0))</f>
        <v>#N/A</v>
      </c>
      <c r="G499" t="e">
        <f>VLOOKUP(Tabelle8[[#This Row],[Rank]],Stammdaten[[Rank Verteilung D Mitte mit Rinde]:[Verteilung D Mitte mit Rinde]],2,FALSE)</f>
        <v>#N/A</v>
      </c>
      <c r="L499">
        <v>490</v>
      </c>
      <c r="M499" t="e">
        <f>INDEX(Stammdaten[Abholzigkeit (mm/lfm)],MATCH(Tabelle9[[#This Row],[Rank]],Stammdaten[Rank Verteilung Abholzigkeit],0))</f>
        <v>#N/A</v>
      </c>
      <c r="N499" t="e">
        <f>VLOOKUP(Tabelle9[[#This Row],[Rank]],Stammdaten[[Rank Verteilung Abholzigkeit]:[Verteilung Abholzigkeit]],2,FALSE)</f>
        <v>#N/A</v>
      </c>
      <c r="S499">
        <v>490</v>
      </c>
      <c r="T499" t="e">
        <f>INDEX(Stammdaten[Krümmung (mm/lfm)],MATCH(Tabelle10[[#This Row],[Rank]],Stammdaten[Rank Verteilung Krümmung],0))</f>
        <v>#N/A</v>
      </c>
      <c r="U499" t="e">
        <f>VLOOKUP(Tabelle10[[#This Row],[Rank]],Stammdaten[[Rank Verteilung Krümmung]:[Verteilung Krümmung]],2,FALSE)</f>
        <v>#N/A</v>
      </c>
      <c r="Z499">
        <v>490</v>
      </c>
      <c r="AA499" t="e">
        <f>INDEX(Stammdaten[Ovalität (']0,1'])],MATCH(Tabelle1014[[#This Row],[Rank]],Stammdaten[Rank Verteilung Ovalität],0))</f>
        <v>#N/A</v>
      </c>
      <c r="AB499" t="e">
        <f>VLOOKUP(Tabelle1014[[#This Row],[Rank]],Stammdaten[[Rank Verteilung Ovalität]:[Verteilung Ovalität]],2,FALSE)</f>
        <v>#N/A</v>
      </c>
    </row>
    <row r="500" spans="5:28" x14ac:dyDescent="0.35">
      <c r="E500">
        <v>491</v>
      </c>
      <c r="F500" t="e">
        <f>INDEX(Stammdaten[D Mitte mit Rinde (mm)],MATCH(Tabelle8[[#This Row],[Rank]],Stammdaten[Rank Verteilung D Mitte mit Rinde],0))</f>
        <v>#N/A</v>
      </c>
      <c r="G500" t="e">
        <f>VLOOKUP(Tabelle8[[#This Row],[Rank]],Stammdaten[[Rank Verteilung D Mitte mit Rinde]:[Verteilung D Mitte mit Rinde]],2,FALSE)</f>
        <v>#N/A</v>
      </c>
      <c r="L500">
        <v>491</v>
      </c>
      <c r="M500" t="e">
        <f>INDEX(Stammdaten[Abholzigkeit (mm/lfm)],MATCH(Tabelle9[[#This Row],[Rank]],Stammdaten[Rank Verteilung Abholzigkeit],0))</f>
        <v>#N/A</v>
      </c>
      <c r="N500" t="e">
        <f>VLOOKUP(Tabelle9[[#This Row],[Rank]],Stammdaten[[Rank Verteilung Abholzigkeit]:[Verteilung Abholzigkeit]],2,FALSE)</f>
        <v>#N/A</v>
      </c>
      <c r="S500">
        <v>491</v>
      </c>
      <c r="T500" t="e">
        <f>INDEX(Stammdaten[Krümmung (mm/lfm)],MATCH(Tabelle10[[#This Row],[Rank]],Stammdaten[Rank Verteilung Krümmung],0))</f>
        <v>#N/A</v>
      </c>
      <c r="U500" t="e">
        <f>VLOOKUP(Tabelle10[[#This Row],[Rank]],Stammdaten[[Rank Verteilung Krümmung]:[Verteilung Krümmung]],2,FALSE)</f>
        <v>#N/A</v>
      </c>
      <c r="Z500">
        <v>491</v>
      </c>
      <c r="AA500" t="e">
        <f>INDEX(Stammdaten[Ovalität (']0,1'])],MATCH(Tabelle1014[[#This Row],[Rank]],Stammdaten[Rank Verteilung Ovalität],0))</f>
        <v>#N/A</v>
      </c>
      <c r="AB500" t="e">
        <f>VLOOKUP(Tabelle1014[[#This Row],[Rank]],Stammdaten[[Rank Verteilung Ovalität]:[Verteilung Ovalität]],2,FALSE)</f>
        <v>#N/A</v>
      </c>
    </row>
    <row r="501" spans="5:28" x14ac:dyDescent="0.35">
      <c r="E501">
        <v>492</v>
      </c>
      <c r="F501" t="e">
        <f>INDEX(Stammdaten[D Mitte mit Rinde (mm)],MATCH(Tabelle8[[#This Row],[Rank]],Stammdaten[Rank Verteilung D Mitte mit Rinde],0))</f>
        <v>#N/A</v>
      </c>
      <c r="G501" t="e">
        <f>VLOOKUP(Tabelle8[[#This Row],[Rank]],Stammdaten[[Rank Verteilung D Mitte mit Rinde]:[Verteilung D Mitte mit Rinde]],2,FALSE)</f>
        <v>#N/A</v>
      </c>
      <c r="L501">
        <v>492</v>
      </c>
      <c r="M501" t="e">
        <f>INDEX(Stammdaten[Abholzigkeit (mm/lfm)],MATCH(Tabelle9[[#This Row],[Rank]],Stammdaten[Rank Verteilung Abholzigkeit],0))</f>
        <v>#N/A</v>
      </c>
      <c r="N501" t="e">
        <f>VLOOKUP(Tabelle9[[#This Row],[Rank]],Stammdaten[[Rank Verteilung Abholzigkeit]:[Verteilung Abholzigkeit]],2,FALSE)</f>
        <v>#N/A</v>
      </c>
      <c r="S501">
        <v>492</v>
      </c>
      <c r="T501" t="e">
        <f>INDEX(Stammdaten[Krümmung (mm/lfm)],MATCH(Tabelle10[[#This Row],[Rank]],Stammdaten[Rank Verteilung Krümmung],0))</f>
        <v>#N/A</v>
      </c>
      <c r="U501" t="e">
        <f>VLOOKUP(Tabelle10[[#This Row],[Rank]],Stammdaten[[Rank Verteilung Krümmung]:[Verteilung Krümmung]],2,FALSE)</f>
        <v>#N/A</v>
      </c>
      <c r="Z501">
        <v>492</v>
      </c>
      <c r="AA501" t="e">
        <f>INDEX(Stammdaten[Ovalität (']0,1'])],MATCH(Tabelle1014[[#This Row],[Rank]],Stammdaten[Rank Verteilung Ovalität],0))</f>
        <v>#N/A</v>
      </c>
      <c r="AB501" t="e">
        <f>VLOOKUP(Tabelle1014[[#This Row],[Rank]],Stammdaten[[Rank Verteilung Ovalität]:[Verteilung Ovalität]],2,FALSE)</f>
        <v>#N/A</v>
      </c>
    </row>
    <row r="502" spans="5:28" x14ac:dyDescent="0.35">
      <c r="E502">
        <v>493</v>
      </c>
      <c r="F502" t="e">
        <f>INDEX(Stammdaten[D Mitte mit Rinde (mm)],MATCH(Tabelle8[[#This Row],[Rank]],Stammdaten[Rank Verteilung D Mitte mit Rinde],0))</f>
        <v>#N/A</v>
      </c>
      <c r="G502" t="e">
        <f>VLOOKUP(Tabelle8[[#This Row],[Rank]],Stammdaten[[Rank Verteilung D Mitte mit Rinde]:[Verteilung D Mitte mit Rinde]],2,FALSE)</f>
        <v>#N/A</v>
      </c>
      <c r="L502">
        <v>493</v>
      </c>
      <c r="M502" t="e">
        <f>INDEX(Stammdaten[Abholzigkeit (mm/lfm)],MATCH(Tabelle9[[#This Row],[Rank]],Stammdaten[Rank Verteilung Abholzigkeit],0))</f>
        <v>#N/A</v>
      </c>
      <c r="N502" t="e">
        <f>VLOOKUP(Tabelle9[[#This Row],[Rank]],Stammdaten[[Rank Verteilung Abholzigkeit]:[Verteilung Abholzigkeit]],2,FALSE)</f>
        <v>#N/A</v>
      </c>
      <c r="S502">
        <v>493</v>
      </c>
      <c r="T502" t="e">
        <f>INDEX(Stammdaten[Krümmung (mm/lfm)],MATCH(Tabelle10[[#This Row],[Rank]],Stammdaten[Rank Verteilung Krümmung],0))</f>
        <v>#N/A</v>
      </c>
      <c r="U502" t="e">
        <f>VLOOKUP(Tabelle10[[#This Row],[Rank]],Stammdaten[[Rank Verteilung Krümmung]:[Verteilung Krümmung]],2,FALSE)</f>
        <v>#N/A</v>
      </c>
      <c r="Z502">
        <v>493</v>
      </c>
      <c r="AA502" t="e">
        <f>INDEX(Stammdaten[Ovalität (']0,1'])],MATCH(Tabelle1014[[#This Row],[Rank]],Stammdaten[Rank Verteilung Ovalität],0))</f>
        <v>#N/A</v>
      </c>
      <c r="AB502" t="e">
        <f>VLOOKUP(Tabelle1014[[#This Row],[Rank]],Stammdaten[[Rank Verteilung Ovalität]:[Verteilung Ovalität]],2,FALSE)</f>
        <v>#N/A</v>
      </c>
    </row>
    <row r="503" spans="5:28" x14ac:dyDescent="0.35">
      <c r="E503">
        <v>494</v>
      </c>
      <c r="F503" t="e">
        <f>INDEX(Stammdaten[D Mitte mit Rinde (mm)],MATCH(Tabelle8[[#This Row],[Rank]],Stammdaten[Rank Verteilung D Mitte mit Rinde],0))</f>
        <v>#N/A</v>
      </c>
      <c r="G503" t="e">
        <f>VLOOKUP(Tabelle8[[#This Row],[Rank]],Stammdaten[[Rank Verteilung D Mitte mit Rinde]:[Verteilung D Mitte mit Rinde]],2,FALSE)</f>
        <v>#N/A</v>
      </c>
      <c r="L503">
        <v>494</v>
      </c>
      <c r="M503" t="e">
        <f>INDEX(Stammdaten[Abholzigkeit (mm/lfm)],MATCH(Tabelle9[[#This Row],[Rank]],Stammdaten[Rank Verteilung Abholzigkeit],0))</f>
        <v>#N/A</v>
      </c>
      <c r="N503" t="e">
        <f>VLOOKUP(Tabelle9[[#This Row],[Rank]],Stammdaten[[Rank Verteilung Abholzigkeit]:[Verteilung Abholzigkeit]],2,FALSE)</f>
        <v>#N/A</v>
      </c>
      <c r="S503">
        <v>494</v>
      </c>
      <c r="T503" t="e">
        <f>INDEX(Stammdaten[Krümmung (mm/lfm)],MATCH(Tabelle10[[#This Row],[Rank]],Stammdaten[Rank Verteilung Krümmung],0))</f>
        <v>#N/A</v>
      </c>
      <c r="U503" t="e">
        <f>VLOOKUP(Tabelle10[[#This Row],[Rank]],Stammdaten[[Rank Verteilung Krümmung]:[Verteilung Krümmung]],2,FALSE)</f>
        <v>#N/A</v>
      </c>
      <c r="Z503">
        <v>494</v>
      </c>
      <c r="AA503" t="e">
        <f>INDEX(Stammdaten[Ovalität (']0,1'])],MATCH(Tabelle1014[[#This Row],[Rank]],Stammdaten[Rank Verteilung Ovalität],0))</f>
        <v>#N/A</v>
      </c>
      <c r="AB503" t="e">
        <f>VLOOKUP(Tabelle1014[[#This Row],[Rank]],Stammdaten[[Rank Verteilung Ovalität]:[Verteilung Ovalität]],2,FALSE)</f>
        <v>#N/A</v>
      </c>
    </row>
    <row r="504" spans="5:28" x14ac:dyDescent="0.35">
      <c r="E504">
        <v>495</v>
      </c>
      <c r="F504" t="e">
        <f>INDEX(Stammdaten[D Mitte mit Rinde (mm)],MATCH(Tabelle8[[#This Row],[Rank]],Stammdaten[Rank Verteilung D Mitte mit Rinde],0))</f>
        <v>#N/A</v>
      </c>
      <c r="G504" t="e">
        <f>VLOOKUP(Tabelle8[[#This Row],[Rank]],Stammdaten[[Rank Verteilung D Mitte mit Rinde]:[Verteilung D Mitte mit Rinde]],2,FALSE)</f>
        <v>#N/A</v>
      </c>
      <c r="L504">
        <v>495</v>
      </c>
      <c r="M504" t="e">
        <f>INDEX(Stammdaten[Abholzigkeit (mm/lfm)],MATCH(Tabelle9[[#This Row],[Rank]],Stammdaten[Rank Verteilung Abholzigkeit],0))</f>
        <v>#N/A</v>
      </c>
      <c r="N504" t="e">
        <f>VLOOKUP(Tabelle9[[#This Row],[Rank]],Stammdaten[[Rank Verteilung Abholzigkeit]:[Verteilung Abholzigkeit]],2,FALSE)</f>
        <v>#N/A</v>
      </c>
      <c r="S504">
        <v>495</v>
      </c>
      <c r="T504" t="e">
        <f>INDEX(Stammdaten[Krümmung (mm/lfm)],MATCH(Tabelle10[[#This Row],[Rank]],Stammdaten[Rank Verteilung Krümmung],0))</f>
        <v>#N/A</v>
      </c>
      <c r="U504" t="e">
        <f>VLOOKUP(Tabelle10[[#This Row],[Rank]],Stammdaten[[Rank Verteilung Krümmung]:[Verteilung Krümmung]],2,FALSE)</f>
        <v>#N/A</v>
      </c>
      <c r="Z504">
        <v>495</v>
      </c>
      <c r="AA504" t="e">
        <f>INDEX(Stammdaten[Ovalität (']0,1'])],MATCH(Tabelle1014[[#This Row],[Rank]],Stammdaten[Rank Verteilung Ovalität],0))</f>
        <v>#N/A</v>
      </c>
      <c r="AB504" t="e">
        <f>VLOOKUP(Tabelle1014[[#This Row],[Rank]],Stammdaten[[Rank Verteilung Ovalität]:[Verteilung Ovalität]],2,FALSE)</f>
        <v>#N/A</v>
      </c>
    </row>
    <row r="505" spans="5:28" x14ac:dyDescent="0.35">
      <c r="E505">
        <v>496</v>
      </c>
      <c r="F505" t="e">
        <f>INDEX(Stammdaten[D Mitte mit Rinde (mm)],MATCH(Tabelle8[[#This Row],[Rank]],Stammdaten[Rank Verteilung D Mitte mit Rinde],0))</f>
        <v>#N/A</v>
      </c>
      <c r="G505" t="e">
        <f>VLOOKUP(Tabelle8[[#This Row],[Rank]],Stammdaten[[Rank Verteilung D Mitte mit Rinde]:[Verteilung D Mitte mit Rinde]],2,FALSE)</f>
        <v>#N/A</v>
      </c>
      <c r="L505">
        <v>496</v>
      </c>
      <c r="M505" t="e">
        <f>INDEX(Stammdaten[Abholzigkeit (mm/lfm)],MATCH(Tabelle9[[#This Row],[Rank]],Stammdaten[Rank Verteilung Abholzigkeit],0))</f>
        <v>#N/A</v>
      </c>
      <c r="N505" t="e">
        <f>VLOOKUP(Tabelle9[[#This Row],[Rank]],Stammdaten[[Rank Verteilung Abholzigkeit]:[Verteilung Abholzigkeit]],2,FALSE)</f>
        <v>#N/A</v>
      </c>
      <c r="S505">
        <v>496</v>
      </c>
      <c r="T505" t="e">
        <f>INDEX(Stammdaten[Krümmung (mm/lfm)],MATCH(Tabelle10[[#This Row],[Rank]],Stammdaten[Rank Verteilung Krümmung],0))</f>
        <v>#N/A</v>
      </c>
      <c r="U505" t="e">
        <f>VLOOKUP(Tabelle10[[#This Row],[Rank]],Stammdaten[[Rank Verteilung Krümmung]:[Verteilung Krümmung]],2,FALSE)</f>
        <v>#N/A</v>
      </c>
      <c r="Z505">
        <v>496</v>
      </c>
      <c r="AA505" t="e">
        <f>INDEX(Stammdaten[Ovalität (']0,1'])],MATCH(Tabelle1014[[#This Row],[Rank]],Stammdaten[Rank Verteilung Ovalität],0))</f>
        <v>#N/A</v>
      </c>
      <c r="AB505" t="e">
        <f>VLOOKUP(Tabelle1014[[#This Row],[Rank]],Stammdaten[[Rank Verteilung Ovalität]:[Verteilung Ovalität]],2,FALSE)</f>
        <v>#N/A</v>
      </c>
    </row>
    <row r="506" spans="5:28" x14ac:dyDescent="0.35">
      <c r="E506">
        <v>497</v>
      </c>
      <c r="F506" t="e">
        <f>INDEX(Stammdaten[D Mitte mit Rinde (mm)],MATCH(Tabelle8[[#This Row],[Rank]],Stammdaten[Rank Verteilung D Mitte mit Rinde],0))</f>
        <v>#N/A</v>
      </c>
      <c r="G506" t="e">
        <f>VLOOKUP(Tabelle8[[#This Row],[Rank]],Stammdaten[[Rank Verteilung D Mitte mit Rinde]:[Verteilung D Mitte mit Rinde]],2,FALSE)</f>
        <v>#N/A</v>
      </c>
      <c r="L506">
        <v>497</v>
      </c>
      <c r="M506" t="e">
        <f>INDEX(Stammdaten[Abholzigkeit (mm/lfm)],MATCH(Tabelle9[[#This Row],[Rank]],Stammdaten[Rank Verteilung Abholzigkeit],0))</f>
        <v>#N/A</v>
      </c>
      <c r="N506" t="e">
        <f>VLOOKUP(Tabelle9[[#This Row],[Rank]],Stammdaten[[Rank Verteilung Abholzigkeit]:[Verteilung Abholzigkeit]],2,FALSE)</f>
        <v>#N/A</v>
      </c>
      <c r="S506">
        <v>497</v>
      </c>
      <c r="T506" t="e">
        <f>INDEX(Stammdaten[Krümmung (mm/lfm)],MATCH(Tabelle10[[#This Row],[Rank]],Stammdaten[Rank Verteilung Krümmung],0))</f>
        <v>#N/A</v>
      </c>
      <c r="U506" t="e">
        <f>VLOOKUP(Tabelle10[[#This Row],[Rank]],Stammdaten[[Rank Verteilung Krümmung]:[Verteilung Krümmung]],2,FALSE)</f>
        <v>#N/A</v>
      </c>
      <c r="Z506">
        <v>497</v>
      </c>
      <c r="AA506" t="e">
        <f>INDEX(Stammdaten[Ovalität (']0,1'])],MATCH(Tabelle1014[[#This Row],[Rank]],Stammdaten[Rank Verteilung Ovalität],0))</f>
        <v>#N/A</v>
      </c>
      <c r="AB506" t="e">
        <f>VLOOKUP(Tabelle1014[[#This Row],[Rank]],Stammdaten[[Rank Verteilung Ovalität]:[Verteilung Ovalität]],2,FALSE)</f>
        <v>#N/A</v>
      </c>
    </row>
    <row r="507" spans="5:28" x14ac:dyDescent="0.35">
      <c r="E507">
        <v>498</v>
      </c>
      <c r="F507" t="e">
        <f>INDEX(Stammdaten[D Mitte mit Rinde (mm)],MATCH(Tabelle8[[#This Row],[Rank]],Stammdaten[Rank Verteilung D Mitte mit Rinde],0))</f>
        <v>#N/A</v>
      </c>
      <c r="G507" t="e">
        <f>VLOOKUP(Tabelle8[[#This Row],[Rank]],Stammdaten[[Rank Verteilung D Mitte mit Rinde]:[Verteilung D Mitte mit Rinde]],2,FALSE)</f>
        <v>#N/A</v>
      </c>
      <c r="L507">
        <v>498</v>
      </c>
      <c r="M507" t="e">
        <f>INDEX(Stammdaten[Abholzigkeit (mm/lfm)],MATCH(Tabelle9[[#This Row],[Rank]],Stammdaten[Rank Verteilung Abholzigkeit],0))</f>
        <v>#N/A</v>
      </c>
      <c r="N507" t="e">
        <f>VLOOKUP(Tabelle9[[#This Row],[Rank]],Stammdaten[[Rank Verteilung Abholzigkeit]:[Verteilung Abholzigkeit]],2,FALSE)</f>
        <v>#N/A</v>
      </c>
      <c r="S507">
        <v>498</v>
      </c>
      <c r="T507" t="e">
        <f>INDEX(Stammdaten[Krümmung (mm/lfm)],MATCH(Tabelle10[[#This Row],[Rank]],Stammdaten[Rank Verteilung Krümmung],0))</f>
        <v>#N/A</v>
      </c>
      <c r="U507" t="e">
        <f>VLOOKUP(Tabelle10[[#This Row],[Rank]],Stammdaten[[Rank Verteilung Krümmung]:[Verteilung Krümmung]],2,FALSE)</f>
        <v>#N/A</v>
      </c>
      <c r="Z507">
        <v>498</v>
      </c>
      <c r="AA507" t="e">
        <f>INDEX(Stammdaten[Ovalität (']0,1'])],MATCH(Tabelle1014[[#This Row],[Rank]],Stammdaten[Rank Verteilung Ovalität],0))</f>
        <v>#N/A</v>
      </c>
      <c r="AB507" t="e">
        <f>VLOOKUP(Tabelle1014[[#This Row],[Rank]],Stammdaten[[Rank Verteilung Ovalität]:[Verteilung Ovalität]],2,FALSE)</f>
        <v>#N/A</v>
      </c>
    </row>
    <row r="508" spans="5:28" x14ac:dyDescent="0.35">
      <c r="E508">
        <v>499</v>
      </c>
      <c r="F508" t="e">
        <f>INDEX(Stammdaten[D Mitte mit Rinde (mm)],MATCH(Tabelle8[[#This Row],[Rank]],Stammdaten[Rank Verteilung D Mitte mit Rinde],0))</f>
        <v>#N/A</v>
      </c>
      <c r="G508" t="e">
        <f>VLOOKUP(Tabelle8[[#This Row],[Rank]],Stammdaten[[Rank Verteilung D Mitte mit Rinde]:[Verteilung D Mitte mit Rinde]],2,FALSE)</f>
        <v>#N/A</v>
      </c>
      <c r="L508">
        <v>499</v>
      </c>
      <c r="M508" t="e">
        <f>INDEX(Stammdaten[Abholzigkeit (mm/lfm)],MATCH(Tabelle9[[#This Row],[Rank]],Stammdaten[Rank Verteilung Abholzigkeit],0))</f>
        <v>#N/A</v>
      </c>
      <c r="N508" t="e">
        <f>VLOOKUP(Tabelle9[[#This Row],[Rank]],Stammdaten[[Rank Verteilung Abholzigkeit]:[Verteilung Abholzigkeit]],2,FALSE)</f>
        <v>#N/A</v>
      </c>
      <c r="S508">
        <v>499</v>
      </c>
      <c r="T508" t="e">
        <f>INDEX(Stammdaten[Krümmung (mm/lfm)],MATCH(Tabelle10[[#This Row],[Rank]],Stammdaten[Rank Verteilung Krümmung],0))</f>
        <v>#N/A</v>
      </c>
      <c r="U508" t="e">
        <f>VLOOKUP(Tabelle10[[#This Row],[Rank]],Stammdaten[[Rank Verteilung Krümmung]:[Verteilung Krümmung]],2,FALSE)</f>
        <v>#N/A</v>
      </c>
      <c r="Z508">
        <v>499</v>
      </c>
      <c r="AA508" t="e">
        <f>INDEX(Stammdaten[Ovalität (']0,1'])],MATCH(Tabelle1014[[#This Row],[Rank]],Stammdaten[Rank Verteilung Ovalität],0))</f>
        <v>#N/A</v>
      </c>
      <c r="AB508" t="e">
        <f>VLOOKUP(Tabelle1014[[#This Row],[Rank]],Stammdaten[[Rank Verteilung Ovalität]:[Verteilung Ovalität]],2,FALSE)</f>
        <v>#N/A</v>
      </c>
    </row>
    <row r="509" spans="5:28" x14ac:dyDescent="0.35">
      <c r="E509">
        <v>500</v>
      </c>
      <c r="F509" t="e">
        <f>INDEX(Stammdaten[D Mitte mit Rinde (mm)],MATCH(Tabelle8[[#This Row],[Rank]],Stammdaten[Rank Verteilung D Mitte mit Rinde],0))</f>
        <v>#N/A</v>
      </c>
      <c r="G509" t="e">
        <f>VLOOKUP(Tabelle8[[#This Row],[Rank]],Stammdaten[[Rank Verteilung D Mitte mit Rinde]:[Verteilung D Mitte mit Rinde]],2,FALSE)</f>
        <v>#N/A</v>
      </c>
      <c r="L509">
        <v>500</v>
      </c>
      <c r="M509" t="e">
        <f>INDEX(Stammdaten[Abholzigkeit (mm/lfm)],MATCH(Tabelle9[[#This Row],[Rank]],Stammdaten[Rank Verteilung Abholzigkeit],0))</f>
        <v>#N/A</v>
      </c>
      <c r="N509" t="e">
        <f>VLOOKUP(Tabelle9[[#This Row],[Rank]],Stammdaten[[Rank Verteilung Abholzigkeit]:[Verteilung Abholzigkeit]],2,FALSE)</f>
        <v>#N/A</v>
      </c>
      <c r="S509">
        <v>500</v>
      </c>
      <c r="T509" t="e">
        <f>INDEX(Stammdaten[Krümmung (mm/lfm)],MATCH(Tabelle10[[#This Row],[Rank]],Stammdaten[Rank Verteilung Krümmung],0))</f>
        <v>#N/A</v>
      </c>
      <c r="U509" t="e">
        <f>VLOOKUP(Tabelle10[[#This Row],[Rank]],Stammdaten[[Rank Verteilung Krümmung]:[Verteilung Krümmung]],2,FALSE)</f>
        <v>#N/A</v>
      </c>
      <c r="Z509">
        <v>500</v>
      </c>
      <c r="AA509" t="e">
        <f>INDEX(Stammdaten[Ovalität (']0,1'])],MATCH(Tabelle1014[[#This Row],[Rank]],Stammdaten[Rank Verteilung Ovalität],0))</f>
        <v>#N/A</v>
      </c>
      <c r="AB509" t="e">
        <f>VLOOKUP(Tabelle1014[[#This Row],[Rank]],Stammdaten[[Rank Verteilung Ovalität]:[Verteilung Ovalität]],2,FALSE)</f>
        <v>#N/A</v>
      </c>
    </row>
    <row r="510" spans="5:28" x14ac:dyDescent="0.35">
      <c r="E510">
        <v>501</v>
      </c>
      <c r="F510" t="e">
        <f>INDEX(Stammdaten[D Mitte mit Rinde (mm)],MATCH(Tabelle8[[#This Row],[Rank]],Stammdaten[Rank Verteilung D Mitte mit Rinde],0))</f>
        <v>#N/A</v>
      </c>
      <c r="G510" t="e">
        <f>VLOOKUP(Tabelle8[[#This Row],[Rank]],Stammdaten[[Rank Verteilung D Mitte mit Rinde]:[Verteilung D Mitte mit Rinde]],2,FALSE)</f>
        <v>#N/A</v>
      </c>
      <c r="L510">
        <v>501</v>
      </c>
      <c r="M510" t="e">
        <f>INDEX(Stammdaten[Abholzigkeit (mm/lfm)],MATCH(Tabelle9[[#This Row],[Rank]],Stammdaten[Rank Verteilung Abholzigkeit],0))</f>
        <v>#N/A</v>
      </c>
      <c r="N510" t="e">
        <f>VLOOKUP(Tabelle9[[#This Row],[Rank]],Stammdaten[[Rank Verteilung Abholzigkeit]:[Verteilung Abholzigkeit]],2,FALSE)</f>
        <v>#N/A</v>
      </c>
      <c r="S510">
        <v>501</v>
      </c>
      <c r="T510" t="e">
        <f>INDEX(Stammdaten[Krümmung (mm/lfm)],MATCH(Tabelle10[[#This Row],[Rank]],Stammdaten[Rank Verteilung Krümmung],0))</f>
        <v>#N/A</v>
      </c>
      <c r="U510" t="e">
        <f>VLOOKUP(Tabelle10[[#This Row],[Rank]],Stammdaten[[Rank Verteilung Krümmung]:[Verteilung Krümmung]],2,FALSE)</f>
        <v>#N/A</v>
      </c>
      <c r="Z510">
        <v>501</v>
      </c>
      <c r="AA510" t="e">
        <f>INDEX(Stammdaten[Ovalität (']0,1'])],MATCH(Tabelle1014[[#This Row],[Rank]],Stammdaten[Rank Verteilung Ovalität],0))</f>
        <v>#N/A</v>
      </c>
      <c r="AB510" t="e">
        <f>VLOOKUP(Tabelle1014[[#This Row],[Rank]],Stammdaten[[Rank Verteilung Ovalität]:[Verteilung Ovalität]],2,FALSE)</f>
        <v>#N/A</v>
      </c>
    </row>
    <row r="511" spans="5:28" x14ac:dyDescent="0.35">
      <c r="E511">
        <v>502</v>
      </c>
      <c r="F511" t="e">
        <f>INDEX(Stammdaten[D Mitte mit Rinde (mm)],MATCH(Tabelle8[[#This Row],[Rank]],Stammdaten[Rank Verteilung D Mitte mit Rinde],0))</f>
        <v>#N/A</v>
      </c>
      <c r="G511" t="e">
        <f>VLOOKUP(Tabelle8[[#This Row],[Rank]],Stammdaten[[Rank Verteilung D Mitte mit Rinde]:[Verteilung D Mitte mit Rinde]],2,FALSE)</f>
        <v>#N/A</v>
      </c>
      <c r="L511">
        <v>502</v>
      </c>
      <c r="M511" t="e">
        <f>INDEX(Stammdaten[Abholzigkeit (mm/lfm)],MATCH(Tabelle9[[#This Row],[Rank]],Stammdaten[Rank Verteilung Abholzigkeit],0))</f>
        <v>#N/A</v>
      </c>
      <c r="N511" t="e">
        <f>VLOOKUP(Tabelle9[[#This Row],[Rank]],Stammdaten[[Rank Verteilung Abholzigkeit]:[Verteilung Abholzigkeit]],2,FALSE)</f>
        <v>#N/A</v>
      </c>
      <c r="S511">
        <v>502</v>
      </c>
      <c r="T511" t="e">
        <f>INDEX(Stammdaten[Krümmung (mm/lfm)],MATCH(Tabelle10[[#This Row],[Rank]],Stammdaten[Rank Verteilung Krümmung],0))</f>
        <v>#N/A</v>
      </c>
      <c r="U511" t="e">
        <f>VLOOKUP(Tabelle10[[#This Row],[Rank]],Stammdaten[[Rank Verteilung Krümmung]:[Verteilung Krümmung]],2,FALSE)</f>
        <v>#N/A</v>
      </c>
      <c r="Z511">
        <v>502</v>
      </c>
      <c r="AA511" t="e">
        <f>INDEX(Stammdaten[Ovalität (']0,1'])],MATCH(Tabelle1014[[#This Row],[Rank]],Stammdaten[Rank Verteilung Ovalität],0))</f>
        <v>#N/A</v>
      </c>
      <c r="AB511" t="e">
        <f>VLOOKUP(Tabelle1014[[#This Row],[Rank]],Stammdaten[[Rank Verteilung Ovalität]:[Verteilung Ovalität]],2,FALSE)</f>
        <v>#N/A</v>
      </c>
    </row>
    <row r="512" spans="5:28" x14ac:dyDescent="0.35">
      <c r="E512">
        <v>503</v>
      </c>
      <c r="F512" t="e">
        <f>INDEX(Stammdaten[D Mitte mit Rinde (mm)],MATCH(Tabelle8[[#This Row],[Rank]],Stammdaten[Rank Verteilung D Mitte mit Rinde],0))</f>
        <v>#N/A</v>
      </c>
      <c r="G512" t="e">
        <f>VLOOKUP(Tabelle8[[#This Row],[Rank]],Stammdaten[[Rank Verteilung D Mitte mit Rinde]:[Verteilung D Mitte mit Rinde]],2,FALSE)</f>
        <v>#N/A</v>
      </c>
      <c r="L512">
        <v>503</v>
      </c>
      <c r="M512" t="e">
        <f>INDEX(Stammdaten[Abholzigkeit (mm/lfm)],MATCH(Tabelle9[[#This Row],[Rank]],Stammdaten[Rank Verteilung Abholzigkeit],0))</f>
        <v>#N/A</v>
      </c>
      <c r="N512" t="e">
        <f>VLOOKUP(Tabelle9[[#This Row],[Rank]],Stammdaten[[Rank Verteilung Abholzigkeit]:[Verteilung Abholzigkeit]],2,FALSE)</f>
        <v>#N/A</v>
      </c>
      <c r="S512">
        <v>503</v>
      </c>
      <c r="T512" t="e">
        <f>INDEX(Stammdaten[Krümmung (mm/lfm)],MATCH(Tabelle10[[#This Row],[Rank]],Stammdaten[Rank Verteilung Krümmung],0))</f>
        <v>#N/A</v>
      </c>
      <c r="U512" t="e">
        <f>VLOOKUP(Tabelle10[[#This Row],[Rank]],Stammdaten[[Rank Verteilung Krümmung]:[Verteilung Krümmung]],2,FALSE)</f>
        <v>#N/A</v>
      </c>
      <c r="Z512">
        <v>503</v>
      </c>
      <c r="AA512" t="e">
        <f>INDEX(Stammdaten[Ovalität (']0,1'])],MATCH(Tabelle1014[[#This Row],[Rank]],Stammdaten[Rank Verteilung Ovalität],0))</f>
        <v>#N/A</v>
      </c>
      <c r="AB512" t="e">
        <f>VLOOKUP(Tabelle1014[[#This Row],[Rank]],Stammdaten[[Rank Verteilung Ovalität]:[Verteilung Ovalität]],2,FALSE)</f>
        <v>#N/A</v>
      </c>
    </row>
    <row r="513" spans="5:28" x14ac:dyDescent="0.35">
      <c r="E513">
        <v>504</v>
      </c>
      <c r="F513" t="e">
        <f>INDEX(Stammdaten[D Mitte mit Rinde (mm)],MATCH(Tabelle8[[#This Row],[Rank]],Stammdaten[Rank Verteilung D Mitte mit Rinde],0))</f>
        <v>#N/A</v>
      </c>
      <c r="G513" t="e">
        <f>VLOOKUP(Tabelle8[[#This Row],[Rank]],Stammdaten[[Rank Verteilung D Mitte mit Rinde]:[Verteilung D Mitte mit Rinde]],2,FALSE)</f>
        <v>#N/A</v>
      </c>
      <c r="L513">
        <v>504</v>
      </c>
      <c r="M513" t="e">
        <f>INDEX(Stammdaten[Abholzigkeit (mm/lfm)],MATCH(Tabelle9[[#This Row],[Rank]],Stammdaten[Rank Verteilung Abholzigkeit],0))</f>
        <v>#N/A</v>
      </c>
      <c r="N513" t="e">
        <f>VLOOKUP(Tabelle9[[#This Row],[Rank]],Stammdaten[[Rank Verteilung Abholzigkeit]:[Verteilung Abholzigkeit]],2,FALSE)</f>
        <v>#N/A</v>
      </c>
      <c r="S513">
        <v>504</v>
      </c>
      <c r="T513" t="e">
        <f>INDEX(Stammdaten[Krümmung (mm/lfm)],MATCH(Tabelle10[[#This Row],[Rank]],Stammdaten[Rank Verteilung Krümmung],0))</f>
        <v>#N/A</v>
      </c>
      <c r="U513" t="e">
        <f>VLOOKUP(Tabelle10[[#This Row],[Rank]],Stammdaten[[Rank Verteilung Krümmung]:[Verteilung Krümmung]],2,FALSE)</f>
        <v>#N/A</v>
      </c>
      <c r="Z513">
        <v>504</v>
      </c>
      <c r="AA513" t="e">
        <f>INDEX(Stammdaten[Ovalität (']0,1'])],MATCH(Tabelle1014[[#This Row],[Rank]],Stammdaten[Rank Verteilung Ovalität],0))</f>
        <v>#N/A</v>
      </c>
      <c r="AB513" t="e">
        <f>VLOOKUP(Tabelle1014[[#This Row],[Rank]],Stammdaten[[Rank Verteilung Ovalität]:[Verteilung Ovalität]],2,FALSE)</f>
        <v>#N/A</v>
      </c>
    </row>
    <row r="514" spans="5:28" x14ac:dyDescent="0.35">
      <c r="E514">
        <v>505</v>
      </c>
      <c r="F514" t="e">
        <f>INDEX(Stammdaten[D Mitte mit Rinde (mm)],MATCH(Tabelle8[[#This Row],[Rank]],Stammdaten[Rank Verteilung D Mitte mit Rinde],0))</f>
        <v>#N/A</v>
      </c>
      <c r="G514" t="e">
        <f>VLOOKUP(Tabelle8[[#This Row],[Rank]],Stammdaten[[Rank Verteilung D Mitte mit Rinde]:[Verteilung D Mitte mit Rinde]],2,FALSE)</f>
        <v>#N/A</v>
      </c>
      <c r="L514">
        <v>505</v>
      </c>
      <c r="M514" t="e">
        <f>INDEX(Stammdaten[Abholzigkeit (mm/lfm)],MATCH(Tabelle9[[#This Row],[Rank]],Stammdaten[Rank Verteilung Abholzigkeit],0))</f>
        <v>#N/A</v>
      </c>
      <c r="N514" t="e">
        <f>VLOOKUP(Tabelle9[[#This Row],[Rank]],Stammdaten[[Rank Verteilung Abholzigkeit]:[Verteilung Abholzigkeit]],2,FALSE)</f>
        <v>#N/A</v>
      </c>
      <c r="S514">
        <v>505</v>
      </c>
      <c r="T514" t="e">
        <f>INDEX(Stammdaten[Krümmung (mm/lfm)],MATCH(Tabelle10[[#This Row],[Rank]],Stammdaten[Rank Verteilung Krümmung],0))</f>
        <v>#N/A</v>
      </c>
      <c r="U514" t="e">
        <f>VLOOKUP(Tabelle10[[#This Row],[Rank]],Stammdaten[[Rank Verteilung Krümmung]:[Verteilung Krümmung]],2,FALSE)</f>
        <v>#N/A</v>
      </c>
      <c r="Z514">
        <v>505</v>
      </c>
      <c r="AA514" t="e">
        <f>INDEX(Stammdaten[Ovalität (']0,1'])],MATCH(Tabelle1014[[#This Row],[Rank]],Stammdaten[Rank Verteilung Ovalität],0))</f>
        <v>#N/A</v>
      </c>
      <c r="AB514" t="e">
        <f>VLOOKUP(Tabelle1014[[#This Row],[Rank]],Stammdaten[[Rank Verteilung Ovalität]:[Verteilung Ovalität]],2,FALSE)</f>
        <v>#N/A</v>
      </c>
    </row>
    <row r="515" spans="5:28" x14ac:dyDescent="0.35">
      <c r="E515">
        <v>506</v>
      </c>
      <c r="F515" t="e">
        <f>INDEX(Stammdaten[D Mitte mit Rinde (mm)],MATCH(Tabelle8[[#This Row],[Rank]],Stammdaten[Rank Verteilung D Mitte mit Rinde],0))</f>
        <v>#N/A</v>
      </c>
      <c r="G515" t="e">
        <f>VLOOKUP(Tabelle8[[#This Row],[Rank]],Stammdaten[[Rank Verteilung D Mitte mit Rinde]:[Verteilung D Mitte mit Rinde]],2,FALSE)</f>
        <v>#N/A</v>
      </c>
      <c r="L515">
        <v>506</v>
      </c>
      <c r="M515" t="e">
        <f>INDEX(Stammdaten[Abholzigkeit (mm/lfm)],MATCH(Tabelle9[[#This Row],[Rank]],Stammdaten[Rank Verteilung Abholzigkeit],0))</f>
        <v>#N/A</v>
      </c>
      <c r="N515" t="e">
        <f>VLOOKUP(Tabelle9[[#This Row],[Rank]],Stammdaten[[Rank Verteilung Abholzigkeit]:[Verteilung Abholzigkeit]],2,FALSE)</f>
        <v>#N/A</v>
      </c>
      <c r="S515">
        <v>506</v>
      </c>
      <c r="T515" t="e">
        <f>INDEX(Stammdaten[Krümmung (mm/lfm)],MATCH(Tabelle10[[#This Row],[Rank]],Stammdaten[Rank Verteilung Krümmung],0))</f>
        <v>#N/A</v>
      </c>
      <c r="U515" t="e">
        <f>VLOOKUP(Tabelle10[[#This Row],[Rank]],Stammdaten[[Rank Verteilung Krümmung]:[Verteilung Krümmung]],2,FALSE)</f>
        <v>#N/A</v>
      </c>
      <c r="Z515">
        <v>506</v>
      </c>
      <c r="AA515" t="e">
        <f>INDEX(Stammdaten[Ovalität (']0,1'])],MATCH(Tabelle1014[[#This Row],[Rank]],Stammdaten[Rank Verteilung Ovalität],0))</f>
        <v>#N/A</v>
      </c>
      <c r="AB515" t="e">
        <f>VLOOKUP(Tabelle1014[[#This Row],[Rank]],Stammdaten[[Rank Verteilung Ovalität]:[Verteilung Ovalität]],2,FALSE)</f>
        <v>#N/A</v>
      </c>
    </row>
    <row r="516" spans="5:28" x14ac:dyDescent="0.35">
      <c r="E516">
        <v>507</v>
      </c>
      <c r="F516" t="e">
        <f>INDEX(Stammdaten[D Mitte mit Rinde (mm)],MATCH(Tabelle8[[#This Row],[Rank]],Stammdaten[Rank Verteilung D Mitte mit Rinde],0))</f>
        <v>#N/A</v>
      </c>
      <c r="G516" t="e">
        <f>VLOOKUP(Tabelle8[[#This Row],[Rank]],Stammdaten[[Rank Verteilung D Mitte mit Rinde]:[Verteilung D Mitte mit Rinde]],2,FALSE)</f>
        <v>#N/A</v>
      </c>
      <c r="L516">
        <v>507</v>
      </c>
      <c r="M516" t="e">
        <f>INDEX(Stammdaten[Abholzigkeit (mm/lfm)],MATCH(Tabelle9[[#This Row],[Rank]],Stammdaten[Rank Verteilung Abholzigkeit],0))</f>
        <v>#N/A</v>
      </c>
      <c r="N516" t="e">
        <f>VLOOKUP(Tabelle9[[#This Row],[Rank]],Stammdaten[[Rank Verteilung Abholzigkeit]:[Verteilung Abholzigkeit]],2,FALSE)</f>
        <v>#N/A</v>
      </c>
      <c r="S516">
        <v>507</v>
      </c>
      <c r="T516" t="e">
        <f>INDEX(Stammdaten[Krümmung (mm/lfm)],MATCH(Tabelle10[[#This Row],[Rank]],Stammdaten[Rank Verteilung Krümmung],0))</f>
        <v>#N/A</v>
      </c>
      <c r="U516" t="e">
        <f>VLOOKUP(Tabelle10[[#This Row],[Rank]],Stammdaten[[Rank Verteilung Krümmung]:[Verteilung Krümmung]],2,FALSE)</f>
        <v>#N/A</v>
      </c>
      <c r="Z516">
        <v>507</v>
      </c>
      <c r="AA516" t="e">
        <f>INDEX(Stammdaten[Ovalität (']0,1'])],MATCH(Tabelle1014[[#This Row],[Rank]],Stammdaten[Rank Verteilung Ovalität],0))</f>
        <v>#N/A</v>
      </c>
      <c r="AB516" t="e">
        <f>VLOOKUP(Tabelle1014[[#This Row],[Rank]],Stammdaten[[Rank Verteilung Ovalität]:[Verteilung Ovalität]],2,FALSE)</f>
        <v>#N/A</v>
      </c>
    </row>
    <row r="517" spans="5:28" x14ac:dyDescent="0.35">
      <c r="E517">
        <v>508</v>
      </c>
      <c r="F517" t="e">
        <f>INDEX(Stammdaten[D Mitte mit Rinde (mm)],MATCH(Tabelle8[[#This Row],[Rank]],Stammdaten[Rank Verteilung D Mitte mit Rinde],0))</f>
        <v>#N/A</v>
      </c>
      <c r="G517" t="e">
        <f>VLOOKUP(Tabelle8[[#This Row],[Rank]],Stammdaten[[Rank Verteilung D Mitte mit Rinde]:[Verteilung D Mitte mit Rinde]],2,FALSE)</f>
        <v>#N/A</v>
      </c>
      <c r="L517">
        <v>508</v>
      </c>
      <c r="M517" t="e">
        <f>INDEX(Stammdaten[Abholzigkeit (mm/lfm)],MATCH(Tabelle9[[#This Row],[Rank]],Stammdaten[Rank Verteilung Abholzigkeit],0))</f>
        <v>#N/A</v>
      </c>
      <c r="N517" t="e">
        <f>VLOOKUP(Tabelle9[[#This Row],[Rank]],Stammdaten[[Rank Verteilung Abholzigkeit]:[Verteilung Abholzigkeit]],2,FALSE)</f>
        <v>#N/A</v>
      </c>
      <c r="S517">
        <v>508</v>
      </c>
      <c r="T517" t="e">
        <f>INDEX(Stammdaten[Krümmung (mm/lfm)],MATCH(Tabelle10[[#This Row],[Rank]],Stammdaten[Rank Verteilung Krümmung],0))</f>
        <v>#N/A</v>
      </c>
      <c r="U517" t="e">
        <f>VLOOKUP(Tabelle10[[#This Row],[Rank]],Stammdaten[[Rank Verteilung Krümmung]:[Verteilung Krümmung]],2,FALSE)</f>
        <v>#N/A</v>
      </c>
      <c r="Z517">
        <v>508</v>
      </c>
      <c r="AA517" t="e">
        <f>INDEX(Stammdaten[Ovalität (']0,1'])],MATCH(Tabelle1014[[#This Row],[Rank]],Stammdaten[Rank Verteilung Ovalität],0))</f>
        <v>#N/A</v>
      </c>
      <c r="AB517" t="e">
        <f>VLOOKUP(Tabelle1014[[#This Row],[Rank]],Stammdaten[[Rank Verteilung Ovalität]:[Verteilung Ovalität]],2,FALSE)</f>
        <v>#N/A</v>
      </c>
    </row>
    <row r="518" spans="5:28" x14ac:dyDescent="0.35">
      <c r="E518">
        <v>509</v>
      </c>
      <c r="F518" t="e">
        <f>INDEX(Stammdaten[D Mitte mit Rinde (mm)],MATCH(Tabelle8[[#This Row],[Rank]],Stammdaten[Rank Verteilung D Mitte mit Rinde],0))</f>
        <v>#N/A</v>
      </c>
      <c r="G518" t="e">
        <f>VLOOKUP(Tabelle8[[#This Row],[Rank]],Stammdaten[[Rank Verteilung D Mitte mit Rinde]:[Verteilung D Mitte mit Rinde]],2,FALSE)</f>
        <v>#N/A</v>
      </c>
      <c r="L518">
        <v>509</v>
      </c>
      <c r="M518" t="e">
        <f>INDEX(Stammdaten[Abholzigkeit (mm/lfm)],MATCH(Tabelle9[[#This Row],[Rank]],Stammdaten[Rank Verteilung Abholzigkeit],0))</f>
        <v>#N/A</v>
      </c>
      <c r="N518" t="e">
        <f>VLOOKUP(Tabelle9[[#This Row],[Rank]],Stammdaten[[Rank Verteilung Abholzigkeit]:[Verteilung Abholzigkeit]],2,FALSE)</f>
        <v>#N/A</v>
      </c>
      <c r="S518">
        <v>509</v>
      </c>
      <c r="T518" t="e">
        <f>INDEX(Stammdaten[Krümmung (mm/lfm)],MATCH(Tabelle10[[#This Row],[Rank]],Stammdaten[Rank Verteilung Krümmung],0))</f>
        <v>#N/A</v>
      </c>
      <c r="U518" t="e">
        <f>VLOOKUP(Tabelle10[[#This Row],[Rank]],Stammdaten[[Rank Verteilung Krümmung]:[Verteilung Krümmung]],2,FALSE)</f>
        <v>#N/A</v>
      </c>
      <c r="Z518">
        <v>509</v>
      </c>
      <c r="AA518" t="e">
        <f>INDEX(Stammdaten[Ovalität (']0,1'])],MATCH(Tabelle1014[[#This Row],[Rank]],Stammdaten[Rank Verteilung Ovalität],0))</f>
        <v>#N/A</v>
      </c>
      <c r="AB518" t="e">
        <f>VLOOKUP(Tabelle1014[[#This Row],[Rank]],Stammdaten[[Rank Verteilung Ovalität]:[Verteilung Ovalität]],2,FALSE)</f>
        <v>#N/A</v>
      </c>
    </row>
    <row r="519" spans="5:28" x14ac:dyDescent="0.35">
      <c r="E519">
        <v>510</v>
      </c>
      <c r="F519" t="e">
        <f>INDEX(Stammdaten[D Mitte mit Rinde (mm)],MATCH(Tabelle8[[#This Row],[Rank]],Stammdaten[Rank Verteilung D Mitte mit Rinde],0))</f>
        <v>#N/A</v>
      </c>
      <c r="G519" t="e">
        <f>VLOOKUP(Tabelle8[[#This Row],[Rank]],Stammdaten[[Rank Verteilung D Mitte mit Rinde]:[Verteilung D Mitte mit Rinde]],2,FALSE)</f>
        <v>#N/A</v>
      </c>
      <c r="L519">
        <v>510</v>
      </c>
      <c r="M519" t="e">
        <f>INDEX(Stammdaten[Abholzigkeit (mm/lfm)],MATCH(Tabelle9[[#This Row],[Rank]],Stammdaten[Rank Verteilung Abholzigkeit],0))</f>
        <v>#N/A</v>
      </c>
      <c r="N519" t="e">
        <f>VLOOKUP(Tabelle9[[#This Row],[Rank]],Stammdaten[[Rank Verteilung Abholzigkeit]:[Verteilung Abholzigkeit]],2,FALSE)</f>
        <v>#N/A</v>
      </c>
      <c r="S519">
        <v>510</v>
      </c>
      <c r="T519" t="e">
        <f>INDEX(Stammdaten[Krümmung (mm/lfm)],MATCH(Tabelle10[[#This Row],[Rank]],Stammdaten[Rank Verteilung Krümmung],0))</f>
        <v>#N/A</v>
      </c>
      <c r="U519" t="e">
        <f>VLOOKUP(Tabelle10[[#This Row],[Rank]],Stammdaten[[Rank Verteilung Krümmung]:[Verteilung Krümmung]],2,FALSE)</f>
        <v>#N/A</v>
      </c>
      <c r="Z519">
        <v>510</v>
      </c>
      <c r="AA519" t="e">
        <f>INDEX(Stammdaten[Ovalität (']0,1'])],MATCH(Tabelle1014[[#This Row],[Rank]],Stammdaten[Rank Verteilung Ovalität],0))</f>
        <v>#N/A</v>
      </c>
      <c r="AB519" t="e">
        <f>VLOOKUP(Tabelle1014[[#This Row],[Rank]],Stammdaten[[Rank Verteilung Ovalität]:[Verteilung Ovalität]],2,FALSE)</f>
        <v>#N/A</v>
      </c>
    </row>
    <row r="520" spans="5:28" x14ac:dyDescent="0.35">
      <c r="E520">
        <v>511</v>
      </c>
      <c r="F520" t="e">
        <f>INDEX(Stammdaten[D Mitte mit Rinde (mm)],MATCH(Tabelle8[[#This Row],[Rank]],Stammdaten[Rank Verteilung D Mitte mit Rinde],0))</f>
        <v>#N/A</v>
      </c>
      <c r="G520" t="e">
        <f>VLOOKUP(Tabelle8[[#This Row],[Rank]],Stammdaten[[Rank Verteilung D Mitte mit Rinde]:[Verteilung D Mitte mit Rinde]],2,FALSE)</f>
        <v>#N/A</v>
      </c>
      <c r="L520">
        <v>511</v>
      </c>
      <c r="M520" t="e">
        <f>INDEX(Stammdaten[Abholzigkeit (mm/lfm)],MATCH(Tabelle9[[#This Row],[Rank]],Stammdaten[Rank Verteilung Abholzigkeit],0))</f>
        <v>#N/A</v>
      </c>
      <c r="N520" t="e">
        <f>VLOOKUP(Tabelle9[[#This Row],[Rank]],Stammdaten[[Rank Verteilung Abholzigkeit]:[Verteilung Abholzigkeit]],2,FALSE)</f>
        <v>#N/A</v>
      </c>
      <c r="S520">
        <v>511</v>
      </c>
      <c r="T520" t="e">
        <f>INDEX(Stammdaten[Krümmung (mm/lfm)],MATCH(Tabelle10[[#This Row],[Rank]],Stammdaten[Rank Verteilung Krümmung],0))</f>
        <v>#N/A</v>
      </c>
      <c r="U520" t="e">
        <f>VLOOKUP(Tabelle10[[#This Row],[Rank]],Stammdaten[[Rank Verteilung Krümmung]:[Verteilung Krümmung]],2,FALSE)</f>
        <v>#N/A</v>
      </c>
      <c r="Z520">
        <v>511</v>
      </c>
      <c r="AA520" t="e">
        <f>INDEX(Stammdaten[Ovalität (']0,1'])],MATCH(Tabelle1014[[#This Row],[Rank]],Stammdaten[Rank Verteilung Ovalität],0))</f>
        <v>#N/A</v>
      </c>
      <c r="AB520" t="e">
        <f>VLOOKUP(Tabelle1014[[#This Row],[Rank]],Stammdaten[[Rank Verteilung Ovalität]:[Verteilung Ovalität]],2,FALSE)</f>
        <v>#N/A</v>
      </c>
    </row>
    <row r="521" spans="5:28" x14ac:dyDescent="0.35">
      <c r="E521">
        <v>512</v>
      </c>
      <c r="F521" t="e">
        <f>INDEX(Stammdaten[D Mitte mit Rinde (mm)],MATCH(Tabelle8[[#This Row],[Rank]],Stammdaten[Rank Verteilung D Mitte mit Rinde],0))</f>
        <v>#N/A</v>
      </c>
      <c r="G521" t="e">
        <f>VLOOKUP(Tabelle8[[#This Row],[Rank]],Stammdaten[[Rank Verteilung D Mitte mit Rinde]:[Verteilung D Mitte mit Rinde]],2,FALSE)</f>
        <v>#N/A</v>
      </c>
      <c r="L521">
        <v>512</v>
      </c>
      <c r="M521" t="e">
        <f>INDEX(Stammdaten[Abholzigkeit (mm/lfm)],MATCH(Tabelle9[[#This Row],[Rank]],Stammdaten[Rank Verteilung Abholzigkeit],0))</f>
        <v>#N/A</v>
      </c>
      <c r="N521" t="e">
        <f>VLOOKUP(Tabelle9[[#This Row],[Rank]],Stammdaten[[Rank Verteilung Abholzigkeit]:[Verteilung Abholzigkeit]],2,FALSE)</f>
        <v>#N/A</v>
      </c>
      <c r="S521">
        <v>512</v>
      </c>
      <c r="T521" t="e">
        <f>INDEX(Stammdaten[Krümmung (mm/lfm)],MATCH(Tabelle10[[#This Row],[Rank]],Stammdaten[Rank Verteilung Krümmung],0))</f>
        <v>#N/A</v>
      </c>
      <c r="U521" t="e">
        <f>VLOOKUP(Tabelle10[[#This Row],[Rank]],Stammdaten[[Rank Verteilung Krümmung]:[Verteilung Krümmung]],2,FALSE)</f>
        <v>#N/A</v>
      </c>
      <c r="Z521">
        <v>512</v>
      </c>
      <c r="AA521" t="e">
        <f>INDEX(Stammdaten[Ovalität (']0,1'])],MATCH(Tabelle1014[[#This Row],[Rank]],Stammdaten[Rank Verteilung Ovalität],0))</f>
        <v>#N/A</v>
      </c>
      <c r="AB521" t="e">
        <f>VLOOKUP(Tabelle1014[[#This Row],[Rank]],Stammdaten[[Rank Verteilung Ovalität]:[Verteilung Ovalität]],2,FALSE)</f>
        <v>#N/A</v>
      </c>
    </row>
    <row r="522" spans="5:28" x14ac:dyDescent="0.35">
      <c r="E522">
        <v>513</v>
      </c>
      <c r="F522" t="e">
        <f>INDEX(Stammdaten[D Mitte mit Rinde (mm)],MATCH(Tabelle8[[#This Row],[Rank]],Stammdaten[Rank Verteilung D Mitte mit Rinde],0))</f>
        <v>#N/A</v>
      </c>
      <c r="G522" t="e">
        <f>VLOOKUP(Tabelle8[[#This Row],[Rank]],Stammdaten[[Rank Verteilung D Mitte mit Rinde]:[Verteilung D Mitte mit Rinde]],2,FALSE)</f>
        <v>#N/A</v>
      </c>
      <c r="L522">
        <v>513</v>
      </c>
      <c r="M522" t="e">
        <f>INDEX(Stammdaten[Abholzigkeit (mm/lfm)],MATCH(Tabelle9[[#This Row],[Rank]],Stammdaten[Rank Verteilung Abholzigkeit],0))</f>
        <v>#N/A</v>
      </c>
      <c r="N522" t="e">
        <f>VLOOKUP(Tabelle9[[#This Row],[Rank]],Stammdaten[[Rank Verteilung Abholzigkeit]:[Verteilung Abholzigkeit]],2,FALSE)</f>
        <v>#N/A</v>
      </c>
      <c r="S522">
        <v>513</v>
      </c>
      <c r="T522" t="e">
        <f>INDEX(Stammdaten[Krümmung (mm/lfm)],MATCH(Tabelle10[[#This Row],[Rank]],Stammdaten[Rank Verteilung Krümmung],0))</f>
        <v>#N/A</v>
      </c>
      <c r="U522" t="e">
        <f>VLOOKUP(Tabelle10[[#This Row],[Rank]],Stammdaten[[Rank Verteilung Krümmung]:[Verteilung Krümmung]],2,FALSE)</f>
        <v>#N/A</v>
      </c>
      <c r="Z522">
        <v>513</v>
      </c>
      <c r="AA522" t="e">
        <f>INDEX(Stammdaten[Ovalität (']0,1'])],MATCH(Tabelle1014[[#This Row],[Rank]],Stammdaten[Rank Verteilung Ovalität],0))</f>
        <v>#N/A</v>
      </c>
      <c r="AB522" t="e">
        <f>VLOOKUP(Tabelle1014[[#This Row],[Rank]],Stammdaten[[Rank Verteilung Ovalität]:[Verteilung Ovalität]],2,FALSE)</f>
        <v>#N/A</v>
      </c>
    </row>
    <row r="523" spans="5:28" x14ac:dyDescent="0.35">
      <c r="E523">
        <v>514</v>
      </c>
      <c r="F523" t="e">
        <f>INDEX(Stammdaten[D Mitte mit Rinde (mm)],MATCH(Tabelle8[[#This Row],[Rank]],Stammdaten[Rank Verteilung D Mitte mit Rinde],0))</f>
        <v>#N/A</v>
      </c>
      <c r="G523" t="e">
        <f>VLOOKUP(Tabelle8[[#This Row],[Rank]],Stammdaten[[Rank Verteilung D Mitte mit Rinde]:[Verteilung D Mitte mit Rinde]],2,FALSE)</f>
        <v>#N/A</v>
      </c>
      <c r="L523">
        <v>514</v>
      </c>
      <c r="M523" t="e">
        <f>INDEX(Stammdaten[Abholzigkeit (mm/lfm)],MATCH(Tabelle9[[#This Row],[Rank]],Stammdaten[Rank Verteilung Abholzigkeit],0))</f>
        <v>#N/A</v>
      </c>
      <c r="N523" t="e">
        <f>VLOOKUP(Tabelle9[[#This Row],[Rank]],Stammdaten[[Rank Verteilung Abholzigkeit]:[Verteilung Abholzigkeit]],2,FALSE)</f>
        <v>#N/A</v>
      </c>
      <c r="S523">
        <v>514</v>
      </c>
      <c r="T523" t="e">
        <f>INDEX(Stammdaten[Krümmung (mm/lfm)],MATCH(Tabelle10[[#This Row],[Rank]],Stammdaten[Rank Verteilung Krümmung],0))</f>
        <v>#N/A</v>
      </c>
      <c r="U523" t="e">
        <f>VLOOKUP(Tabelle10[[#This Row],[Rank]],Stammdaten[[Rank Verteilung Krümmung]:[Verteilung Krümmung]],2,FALSE)</f>
        <v>#N/A</v>
      </c>
      <c r="Z523">
        <v>514</v>
      </c>
      <c r="AA523" t="e">
        <f>INDEX(Stammdaten[Ovalität (']0,1'])],MATCH(Tabelle1014[[#This Row],[Rank]],Stammdaten[Rank Verteilung Ovalität],0))</f>
        <v>#N/A</v>
      </c>
      <c r="AB523" t="e">
        <f>VLOOKUP(Tabelle1014[[#This Row],[Rank]],Stammdaten[[Rank Verteilung Ovalität]:[Verteilung Ovalität]],2,FALSE)</f>
        <v>#N/A</v>
      </c>
    </row>
    <row r="524" spans="5:28" x14ac:dyDescent="0.35">
      <c r="E524">
        <v>515</v>
      </c>
      <c r="F524" t="e">
        <f>INDEX(Stammdaten[D Mitte mit Rinde (mm)],MATCH(Tabelle8[[#This Row],[Rank]],Stammdaten[Rank Verteilung D Mitte mit Rinde],0))</f>
        <v>#N/A</v>
      </c>
      <c r="G524" t="e">
        <f>VLOOKUP(Tabelle8[[#This Row],[Rank]],Stammdaten[[Rank Verteilung D Mitte mit Rinde]:[Verteilung D Mitte mit Rinde]],2,FALSE)</f>
        <v>#N/A</v>
      </c>
      <c r="L524">
        <v>515</v>
      </c>
      <c r="M524" t="e">
        <f>INDEX(Stammdaten[Abholzigkeit (mm/lfm)],MATCH(Tabelle9[[#This Row],[Rank]],Stammdaten[Rank Verteilung Abholzigkeit],0))</f>
        <v>#N/A</v>
      </c>
      <c r="N524" t="e">
        <f>VLOOKUP(Tabelle9[[#This Row],[Rank]],Stammdaten[[Rank Verteilung Abholzigkeit]:[Verteilung Abholzigkeit]],2,FALSE)</f>
        <v>#N/A</v>
      </c>
      <c r="S524">
        <v>515</v>
      </c>
      <c r="T524" t="e">
        <f>INDEX(Stammdaten[Krümmung (mm/lfm)],MATCH(Tabelle10[[#This Row],[Rank]],Stammdaten[Rank Verteilung Krümmung],0))</f>
        <v>#N/A</v>
      </c>
      <c r="U524" t="e">
        <f>VLOOKUP(Tabelle10[[#This Row],[Rank]],Stammdaten[[Rank Verteilung Krümmung]:[Verteilung Krümmung]],2,FALSE)</f>
        <v>#N/A</v>
      </c>
      <c r="Z524">
        <v>515</v>
      </c>
      <c r="AA524" t="e">
        <f>INDEX(Stammdaten[Ovalität (']0,1'])],MATCH(Tabelle1014[[#This Row],[Rank]],Stammdaten[Rank Verteilung Ovalität],0))</f>
        <v>#N/A</v>
      </c>
      <c r="AB524" t="e">
        <f>VLOOKUP(Tabelle1014[[#This Row],[Rank]],Stammdaten[[Rank Verteilung Ovalität]:[Verteilung Ovalität]],2,FALSE)</f>
        <v>#N/A</v>
      </c>
    </row>
    <row r="525" spans="5:28" x14ac:dyDescent="0.35">
      <c r="E525">
        <v>516</v>
      </c>
      <c r="F525" t="e">
        <f>INDEX(Stammdaten[D Mitte mit Rinde (mm)],MATCH(Tabelle8[[#This Row],[Rank]],Stammdaten[Rank Verteilung D Mitte mit Rinde],0))</f>
        <v>#N/A</v>
      </c>
      <c r="G525" t="e">
        <f>VLOOKUP(Tabelle8[[#This Row],[Rank]],Stammdaten[[Rank Verteilung D Mitte mit Rinde]:[Verteilung D Mitte mit Rinde]],2,FALSE)</f>
        <v>#N/A</v>
      </c>
      <c r="L525">
        <v>516</v>
      </c>
      <c r="M525" t="e">
        <f>INDEX(Stammdaten[Abholzigkeit (mm/lfm)],MATCH(Tabelle9[[#This Row],[Rank]],Stammdaten[Rank Verteilung Abholzigkeit],0))</f>
        <v>#N/A</v>
      </c>
      <c r="N525" t="e">
        <f>VLOOKUP(Tabelle9[[#This Row],[Rank]],Stammdaten[[Rank Verteilung Abholzigkeit]:[Verteilung Abholzigkeit]],2,FALSE)</f>
        <v>#N/A</v>
      </c>
      <c r="S525">
        <v>516</v>
      </c>
      <c r="T525" t="e">
        <f>INDEX(Stammdaten[Krümmung (mm/lfm)],MATCH(Tabelle10[[#This Row],[Rank]],Stammdaten[Rank Verteilung Krümmung],0))</f>
        <v>#N/A</v>
      </c>
      <c r="U525" t="e">
        <f>VLOOKUP(Tabelle10[[#This Row],[Rank]],Stammdaten[[Rank Verteilung Krümmung]:[Verteilung Krümmung]],2,FALSE)</f>
        <v>#N/A</v>
      </c>
      <c r="Z525">
        <v>516</v>
      </c>
      <c r="AA525" t="e">
        <f>INDEX(Stammdaten[Ovalität (']0,1'])],MATCH(Tabelle1014[[#This Row],[Rank]],Stammdaten[Rank Verteilung Ovalität],0))</f>
        <v>#N/A</v>
      </c>
      <c r="AB525" t="e">
        <f>VLOOKUP(Tabelle1014[[#This Row],[Rank]],Stammdaten[[Rank Verteilung Ovalität]:[Verteilung Ovalität]],2,FALSE)</f>
        <v>#N/A</v>
      </c>
    </row>
    <row r="526" spans="5:28" x14ac:dyDescent="0.35">
      <c r="E526">
        <v>517</v>
      </c>
      <c r="F526" t="e">
        <f>INDEX(Stammdaten[D Mitte mit Rinde (mm)],MATCH(Tabelle8[[#This Row],[Rank]],Stammdaten[Rank Verteilung D Mitte mit Rinde],0))</f>
        <v>#N/A</v>
      </c>
      <c r="G526" t="e">
        <f>VLOOKUP(Tabelle8[[#This Row],[Rank]],Stammdaten[[Rank Verteilung D Mitte mit Rinde]:[Verteilung D Mitte mit Rinde]],2,FALSE)</f>
        <v>#N/A</v>
      </c>
      <c r="L526">
        <v>517</v>
      </c>
      <c r="M526" t="e">
        <f>INDEX(Stammdaten[Abholzigkeit (mm/lfm)],MATCH(Tabelle9[[#This Row],[Rank]],Stammdaten[Rank Verteilung Abholzigkeit],0))</f>
        <v>#N/A</v>
      </c>
      <c r="N526" t="e">
        <f>VLOOKUP(Tabelle9[[#This Row],[Rank]],Stammdaten[[Rank Verteilung Abholzigkeit]:[Verteilung Abholzigkeit]],2,FALSE)</f>
        <v>#N/A</v>
      </c>
      <c r="S526">
        <v>517</v>
      </c>
      <c r="T526" t="e">
        <f>INDEX(Stammdaten[Krümmung (mm/lfm)],MATCH(Tabelle10[[#This Row],[Rank]],Stammdaten[Rank Verteilung Krümmung],0))</f>
        <v>#N/A</v>
      </c>
      <c r="U526" t="e">
        <f>VLOOKUP(Tabelle10[[#This Row],[Rank]],Stammdaten[[Rank Verteilung Krümmung]:[Verteilung Krümmung]],2,FALSE)</f>
        <v>#N/A</v>
      </c>
      <c r="Z526">
        <v>517</v>
      </c>
      <c r="AA526" t="e">
        <f>INDEX(Stammdaten[Ovalität (']0,1'])],MATCH(Tabelle1014[[#This Row],[Rank]],Stammdaten[Rank Verteilung Ovalität],0))</f>
        <v>#N/A</v>
      </c>
      <c r="AB526" t="e">
        <f>VLOOKUP(Tabelle1014[[#This Row],[Rank]],Stammdaten[[Rank Verteilung Ovalität]:[Verteilung Ovalität]],2,FALSE)</f>
        <v>#N/A</v>
      </c>
    </row>
    <row r="527" spans="5:28" x14ac:dyDescent="0.35">
      <c r="E527">
        <v>518</v>
      </c>
      <c r="F527" t="e">
        <f>INDEX(Stammdaten[D Mitte mit Rinde (mm)],MATCH(Tabelle8[[#This Row],[Rank]],Stammdaten[Rank Verteilung D Mitte mit Rinde],0))</f>
        <v>#N/A</v>
      </c>
      <c r="G527" t="e">
        <f>VLOOKUP(Tabelle8[[#This Row],[Rank]],Stammdaten[[Rank Verteilung D Mitte mit Rinde]:[Verteilung D Mitte mit Rinde]],2,FALSE)</f>
        <v>#N/A</v>
      </c>
      <c r="L527">
        <v>518</v>
      </c>
      <c r="M527" t="e">
        <f>INDEX(Stammdaten[Abholzigkeit (mm/lfm)],MATCH(Tabelle9[[#This Row],[Rank]],Stammdaten[Rank Verteilung Abholzigkeit],0))</f>
        <v>#N/A</v>
      </c>
      <c r="N527" t="e">
        <f>VLOOKUP(Tabelle9[[#This Row],[Rank]],Stammdaten[[Rank Verteilung Abholzigkeit]:[Verteilung Abholzigkeit]],2,FALSE)</f>
        <v>#N/A</v>
      </c>
      <c r="S527">
        <v>518</v>
      </c>
      <c r="T527" t="e">
        <f>INDEX(Stammdaten[Krümmung (mm/lfm)],MATCH(Tabelle10[[#This Row],[Rank]],Stammdaten[Rank Verteilung Krümmung],0))</f>
        <v>#N/A</v>
      </c>
      <c r="U527" t="e">
        <f>VLOOKUP(Tabelle10[[#This Row],[Rank]],Stammdaten[[Rank Verteilung Krümmung]:[Verteilung Krümmung]],2,FALSE)</f>
        <v>#N/A</v>
      </c>
      <c r="Z527">
        <v>518</v>
      </c>
      <c r="AA527" t="e">
        <f>INDEX(Stammdaten[Ovalität (']0,1'])],MATCH(Tabelle1014[[#This Row],[Rank]],Stammdaten[Rank Verteilung Ovalität],0))</f>
        <v>#N/A</v>
      </c>
      <c r="AB527" t="e">
        <f>VLOOKUP(Tabelle1014[[#This Row],[Rank]],Stammdaten[[Rank Verteilung Ovalität]:[Verteilung Ovalität]],2,FALSE)</f>
        <v>#N/A</v>
      </c>
    </row>
    <row r="528" spans="5:28" x14ac:dyDescent="0.35">
      <c r="E528">
        <v>519</v>
      </c>
      <c r="F528" t="e">
        <f>INDEX(Stammdaten[D Mitte mit Rinde (mm)],MATCH(Tabelle8[[#This Row],[Rank]],Stammdaten[Rank Verteilung D Mitte mit Rinde],0))</f>
        <v>#N/A</v>
      </c>
      <c r="G528" t="e">
        <f>VLOOKUP(Tabelle8[[#This Row],[Rank]],Stammdaten[[Rank Verteilung D Mitte mit Rinde]:[Verteilung D Mitte mit Rinde]],2,FALSE)</f>
        <v>#N/A</v>
      </c>
      <c r="L528">
        <v>519</v>
      </c>
      <c r="M528" t="e">
        <f>INDEX(Stammdaten[Abholzigkeit (mm/lfm)],MATCH(Tabelle9[[#This Row],[Rank]],Stammdaten[Rank Verteilung Abholzigkeit],0))</f>
        <v>#N/A</v>
      </c>
      <c r="N528" t="e">
        <f>VLOOKUP(Tabelle9[[#This Row],[Rank]],Stammdaten[[Rank Verteilung Abholzigkeit]:[Verteilung Abholzigkeit]],2,FALSE)</f>
        <v>#N/A</v>
      </c>
      <c r="S528">
        <v>519</v>
      </c>
      <c r="T528" t="e">
        <f>INDEX(Stammdaten[Krümmung (mm/lfm)],MATCH(Tabelle10[[#This Row],[Rank]],Stammdaten[Rank Verteilung Krümmung],0))</f>
        <v>#N/A</v>
      </c>
      <c r="U528" t="e">
        <f>VLOOKUP(Tabelle10[[#This Row],[Rank]],Stammdaten[[Rank Verteilung Krümmung]:[Verteilung Krümmung]],2,FALSE)</f>
        <v>#N/A</v>
      </c>
      <c r="Z528">
        <v>519</v>
      </c>
      <c r="AA528" t="e">
        <f>INDEX(Stammdaten[Ovalität (']0,1'])],MATCH(Tabelle1014[[#This Row],[Rank]],Stammdaten[Rank Verteilung Ovalität],0))</f>
        <v>#N/A</v>
      </c>
      <c r="AB528" t="e">
        <f>VLOOKUP(Tabelle1014[[#This Row],[Rank]],Stammdaten[[Rank Verteilung Ovalität]:[Verteilung Ovalität]],2,FALSE)</f>
        <v>#N/A</v>
      </c>
    </row>
    <row r="529" spans="5:28" x14ac:dyDescent="0.35">
      <c r="E529">
        <v>520</v>
      </c>
      <c r="F529" t="e">
        <f>INDEX(Stammdaten[D Mitte mit Rinde (mm)],MATCH(Tabelle8[[#This Row],[Rank]],Stammdaten[Rank Verteilung D Mitte mit Rinde],0))</f>
        <v>#N/A</v>
      </c>
      <c r="G529" t="e">
        <f>VLOOKUP(Tabelle8[[#This Row],[Rank]],Stammdaten[[Rank Verteilung D Mitte mit Rinde]:[Verteilung D Mitte mit Rinde]],2,FALSE)</f>
        <v>#N/A</v>
      </c>
      <c r="L529">
        <v>520</v>
      </c>
      <c r="M529" t="e">
        <f>INDEX(Stammdaten[Abholzigkeit (mm/lfm)],MATCH(Tabelle9[[#This Row],[Rank]],Stammdaten[Rank Verteilung Abholzigkeit],0))</f>
        <v>#N/A</v>
      </c>
      <c r="N529" t="e">
        <f>VLOOKUP(Tabelle9[[#This Row],[Rank]],Stammdaten[[Rank Verteilung Abholzigkeit]:[Verteilung Abholzigkeit]],2,FALSE)</f>
        <v>#N/A</v>
      </c>
      <c r="S529">
        <v>520</v>
      </c>
      <c r="T529" t="e">
        <f>INDEX(Stammdaten[Krümmung (mm/lfm)],MATCH(Tabelle10[[#This Row],[Rank]],Stammdaten[Rank Verteilung Krümmung],0))</f>
        <v>#N/A</v>
      </c>
      <c r="U529" t="e">
        <f>VLOOKUP(Tabelle10[[#This Row],[Rank]],Stammdaten[[Rank Verteilung Krümmung]:[Verteilung Krümmung]],2,FALSE)</f>
        <v>#N/A</v>
      </c>
      <c r="Z529">
        <v>520</v>
      </c>
      <c r="AA529" t="e">
        <f>INDEX(Stammdaten[Ovalität (']0,1'])],MATCH(Tabelle1014[[#This Row],[Rank]],Stammdaten[Rank Verteilung Ovalität],0))</f>
        <v>#N/A</v>
      </c>
      <c r="AB529" t="e">
        <f>VLOOKUP(Tabelle1014[[#This Row],[Rank]],Stammdaten[[Rank Verteilung Ovalität]:[Verteilung Ovalität]],2,FALSE)</f>
        <v>#N/A</v>
      </c>
    </row>
    <row r="530" spans="5:28" x14ac:dyDescent="0.35">
      <c r="E530">
        <v>521</v>
      </c>
      <c r="F530" t="e">
        <f>INDEX(Stammdaten[D Mitte mit Rinde (mm)],MATCH(Tabelle8[[#This Row],[Rank]],Stammdaten[Rank Verteilung D Mitte mit Rinde],0))</f>
        <v>#N/A</v>
      </c>
      <c r="G530" t="e">
        <f>VLOOKUP(Tabelle8[[#This Row],[Rank]],Stammdaten[[Rank Verteilung D Mitte mit Rinde]:[Verteilung D Mitte mit Rinde]],2,FALSE)</f>
        <v>#N/A</v>
      </c>
      <c r="L530">
        <v>521</v>
      </c>
      <c r="M530" t="e">
        <f>INDEX(Stammdaten[Abholzigkeit (mm/lfm)],MATCH(Tabelle9[[#This Row],[Rank]],Stammdaten[Rank Verteilung Abholzigkeit],0))</f>
        <v>#N/A</v>
      </c>
      <c r="N530" t="e">
        <f>VLOOKUP(Tabelle9[[#This Row],[Rank]],Stammdaten[[Rank Verteilung Abholzigkeit]:[Verteilung Abholzigkeit]],2,FALSE)</f>
        <v>#N/A</v>
      </c>
      <c r="S530">
        <v>521</v>
      </c>
      <c r="T530" t="e">
        <f>INDEX(Stammdaten[Krümmung (mm/lfm)],MATCH(Tabelle10[[#This Row],[Rank]],Stammdaten[Rank Verteilung Krümmung],0))</f>
        <v>#N/A</v>
      </c>
      <c r="U530" t="e">
        <f>VLOOKUP(Tabelle10[[#This Row],[Rank]],Stammdaten[[Rank Verteilung Krümmung]:[Verteilung Krümmung]],2,FALSE)</f>
        <v>#N/A</v>
      </c>
      <c r="Z530">
        <v>521</v>
      </c>
      <c r="AA530" t="e">
        <f>INDEX(Stammdaten[Ovalität (']0,1'])],MATCH(Tabelle1014[[#This Row],[Rank]],Stammdaten[Rank Verteilung Ovalität],0))</f>
        <v>#N/A</v>
      </c>
      <c r="AB530" t="e">
        <f>VLOOKUP(Tabelle1014[[#This Row],[Rank]],Stammdaten[[Rank Verteilung Ovalität]:[Verteilung Ovalität]],2,FALSE)</f>
        <v>#N/A</v>
      </c>
    </row>
    <row r="531" spans="5:28" x14ac:dyDescent="0.35">
      <c r="E531">
        <v>522</v>
      </c>
      <c r="F531" t="e">
        <f>INDEX(Stammdaten[D Mitte mit Rinde (mm)],MATCH(Tabelle8[[#This Row],[Rank]],Stammdaten[Rank Verteilung D Mitte mit Rinde],0))</f>
        <v>#N/A</v>
      </c>
      <c r="G531" t="e">
        <f>VLOOKUP(Tabelle8[[#This Row],[Rank]],Stammdaten[[Rank Verteilung D Mitte mit Rinde]:[Verteilung D Mitte mit Rinde]],2,FALSE)</f>
        <v>#N/A</v>
      </c>
      <c r="L531">
        <v>522</v>
      </c>
      <c r="M531" t="e">
        <f>INDEX(Stammdaten[Abholzigkeit (mm/lfm)],MATCH(Tabelle9[[#This Row],[Rank]],Stammdaten[Rank Verteilung Abholzigkeit],0))</f>
        <v>#N/A</v>
      </c>
      <c r="N531" t="e">
        <f>VLOOKUP(Tabelle9[[#This Row],[Rank]],Stammdaten[[Rank Verteilung Abholzigkeit]:[Verteilung Abholzigkeit]],2,FALSE)</f>
        <v>#N/A</v>
      </c>
      <c r="S531">
        <v>522</v>
      </c>
      <c r="T531" t="e">
        <f>INDEX(Stammdaten[Krümmung (mm/lfm)],MATCH(Tabelle10[[#This Row],[Rank]],Stammdaten[Rank Verteilung Krümmung],0))</f>
        <v>#N/A</v>
      </c>
      <c r="U531" t="e">
        <f>VLOOKUP(Tabelle10[[#This Row],[Rank]],Stammdaten[[Rank Verteilung Krümmung]:[Verteilung Krümmung]],2,FALSE)</f>
        <v>#N/A</v>
      </c>
      <c r="Z531">
        <v>522</v>
      </c>
      <c r="AA531" t="e">
        <f>INDEX(Stammdaten[Ovalität (']0,1'])],MATCH(Tabelle1014[[#This Row],[Rank]],Stammdaten[Rank Verteilung Ovalität],0))</f>
        <v>#N/A</v>
      </c>
      <c r="AB531" t="e">
        <f>VLOOKUP(Tabelle1014[[#This Row],[Rank]],Stammdaten[[Rank Verteilung Ovalität]:[Verteilung Ovalität]],2,FALSE)</f>
        <v>#N/A</v>
      </c>
    </row>
    <row r="532" spans="5:28" x14ac:dyDescent="0.35">
      <c r="E532">
        <v>523</v>
      </c>
      <c r="F532" t="e">
        <f>INDEX(Stammdaten[D Mitte mit Rinde (mm)],MATCH(Tabelle8[[#This Row],[Rank]],Stammdaten[Rank Verteilung D Mitte mit Rinde],0))</f>
        <v>#N/A</v>
      </c>
      <c r="G532" t="e">
        <f>VLOOKUP(Tabelle8[[#This Row],[Rank]],Stammdaten[[Rank Verteilung D Mitte mit Rinde]:[Verteilung D Mitte mit Rinde]],2,FALSE)</f>
        <v>#N/A</v>
      </c>
      <c r="L532">
        <v>523</v>
      </c>
      <c r="M532" t="e">
        <f>INDEX(Stammdaten[Abholzigkeit (mm/lfm)],MATCH(Tabelle9[[#This Row],[Rank]],Stammdaten[Rank Verteilung Abholzigkeit],0))</f>
        <v>#N/A</v>
      </c>
      <c r="N532" t="e">
        <f>VLOOKUP(Tabelle9[[#This Row],[Rank]],Stammdaten[[Rank Verteilung Abholzigkeit]:[Verteilung Abholzigkeit]],2,FALSE)</f>
        <v>#N/A</v>
      </c>
      <c r="S532">
        <v>523</v>
      </c>
      <c r="T532" t="e">
        <f>INDEX(Stammdaten[Krümmung (mm/lfm)],MATCH(Tabelle10[[#This Row],[Rank]],Stammdaten[Rank Verteilung Krümmung],0))</f>
        <v>#N/A</v>
      </c>
      <c r="U532" t="e">
        <f>VLOOKUP(Tabelle10[[#This Row],[Rank]],Stammdaten[[Rank Verteilung Krümmung]:[Verteilung Krümmung]],2,FALSE)</f>
        <v>#N/A</v>
      </c>
      <c r="Z532">
        <v>523</v>
      </c>
      <c r="AA532" t="e">
        <f>INDEX(Stammdaten[Ovalität (']0,1'])],MATCH(Tabelle1014[[#This Row],[Rank]],Stammdaten[Rank Verteilung Ovalität],0))</f>
        <v>#N/A</v>
      </c>
      <c r="AB532" t="e">
        <f>VLOOKUP(Tabelle1014[[#This Row],[Rank]],Stammdaten[[Rank Verteilung Ovalität]:[Verteilung Ovalität]],2,FALSE)</f>
        <v>#N/A</v>
      </c>
    </row>
    <row r="533" spans="5:28" x14ac:dyDescent="0.35">
      <c r="E533">
        <v>524</v>
      </c>
      <c r="F533" t="e">
        <f>INDEX(Stammdaten[D Mitte mit Rinde (mm)],MATCH(Tabelle8[[#This Row],[Rank]],Stammdaten[Rank Verteilung D Mitte mit Rinde],0))</f>
        <v>#N/A</v>
      </c>
      <c r="G533" t="e">
        <f>VLOOKUP(Tabelle8[[#This Row],[Rank]],Stammdaten[[Rank Verteilung D Mitte mit Rinde]:[Verteilung D Mitte mit Rinde]],2,FALSE)</f>
        <v>#N/A</v>
      </c>
      <c r="L533">
        <v>524</v>
      </c>
      <c r="M533" t="e">
        <f>INDEX(Stammdaten[Abholzigkeit (mm/lfm)],MATCH(Tabelle9[[#This Row],[Rank]],Stammdaten[Rank Verteilung Abholzigkeit],0))</f>
        <v>#N/A</v>
      </c>
      <c r="N533" t="e">
        <f>VLOOKUP(Tabelle9[[#This Row],[Rank]],Stammdaten[[Rank Verteilung Abholzigkeit]:[Verteilung Abholzigkeit]],2,FALSE)</f>
        <v>#N/A</v>
      </c>
      <c r="S533">
        <v>524</v>
      </c>
      <c r="T533" t="e">
        <f>INDEX(Stammdaten[Krümmung (mm/lfm)],MATCH(Tabelle10[[#This Row],[Rank]],Stammdaten[Rank Verteilung Krümmung],0))</f>
        <v>#N/A</v>
      </c>
      <c r="U533" t="e">
        <f>VLOOKUP(Tabelle10[[#This Row],[Rank]],Stammdaten[[Rank Verteilung Krümmung]:[Verteilung Krümmung]],2,FALSE)</f>
        <v>#N/A</v>
      </c>
      <c r="Z533">
        <v>524</v>
      </c>
      <c r="AA533" t="e">
        <f>INDEX(Stammdaten[Ovalität (']0,1'])],MATCH(Tabelle1014[[#This Row],[Rank]],Stammdaten[Rank Verteilung Ovalität],0))</f>
        <v>#N/A</v>
      </c>
      <c r="AB533" t="e">
        <f>VLOOKUP(Tabelle1014[[#This Row],[Rank]],Stammdaten[[Rank Verteilung Ovalität]:[Verteilung Ovalität]],2,FALSE)</f>
        <v>#N/A</v>
      </c>
    </row>
    <row r="534" spans="5:28" x14ac:dyDescent="0.35">
      <c r="E534">
        <v>525</v>
      </c>
      <c r="F534" t="e">
        <f>INDEX(Stammdaten[D Mitte mit Rinde (mm)],MATCH(Tabelle8[[#This Row],[Rank]],Stammdaten[Rank Verteilung D Mitte mit Rinde],0))</f>
        <v>#N/A</v>
      </c>
      <c r="G534" t="e">
        <f>VLOOKUP(Tabelle8[[#This Row],[Rank]],Stammdaten[[Rank Verteilung D Mitte mit Rinde]:[Verteilung D Mitte mit Rinde]],2,FALSE)</f>
        <v>#N/A</v>
      </c>
      <c r="L534">
        <v>525</v>
      </c>
      <c r="M534" t="e">
        <f>INDEX(Stammdaten[Abholzigkeit (mm/lfm)],MATCH(Tabelle9[[#This Row],[Rank]],Stammdaten[Rank Verteilung Abholzigkeit],0))</f>
        <v>#N/A</v>
      </c>
      <c r="N534" t="e">
        <f>VLOOKUP(Tabelle9[[#This Row],[Rank]],Stammdaten[[Rank Verteilung Abholzigkeit]:[Verteilung Abholzigkeit]],2,FALSE)</f>
        <v>#N/A</v>
      </c>
      <c r="S534">
        <v>525</v>
      </c>
      <c r="T534" t="e">
        <f>INDEX(Stammdaten[Krümmung (mm/lfm)],MATCH(Tabelle10[[#This Row],[Rank]],Stammdaten[Rank Verteilung Krümmung],0))</f>
        <v>#N/A</v>
      </c>
      <c r="U534" t="e">
        <f>VLOOKUP(Tabelle10[[#This Row],[Rank]],Stammdaten[[Rank Verteilung Krümmung]:[Verteilung Krümmung]],2,FALSE)</f>
        <v>#N/A</v>
      </c>
      <c r="Z534">
        <v>525</v>
      </c>
      <c r="AA534" t="e">
        <f>INDEX(Stammdaten[Ovalität (']0,1'])],MATCH(Tabelle1014[[#This Row],[Rank]],Stammdaten[Rank Verteilung Ovalität],0))</f>
        <v>#N/A</v>
      </c>
      <c r="AB534" t="e">
        <f>VLOOKUP(Tabelle1014[[#This Row],[Rank]],Stammdaten[[Rank Verteilung Ovalität]:[Verteilung Ovalität]],2,FALSE)</f>
        <v>#N/A</v>
      </c>
    </row>
    <row r="535" spans="5:28" x14ac:dyDescent="0.35">
      <c r="E535">
        <v>526</v>
      </c>
      <c r="F535" t="e">
        <f>INDEX(Stammdaten[D Mitte mit Rinde (mm)],MATCH(Tabelle8[[#This Row],[Rank]],Stammdaten[Rank Verteilung D Mitte mit Rinde],0))</f>
        <v>#N/A</v>
      </c>
      <c r="G535" t="e">
        <f>VLOOKUP(Tabelle8[[#This Row],[Rank]],Stammdaten[[Rank Verteilung D Mitte mit Rinde]:[Verteilung D Mitte mit Rinde]],2,FALSE)</f>
        <v>#N/A</v>
      </c>
      <c r="L535">
        <v>526</v>
      </c>
      <c r="M535" t="e">
        <f>INDEX(Stammdaten[Abholzigkeit (mm/lfm)],MATCH(Tabelle9[[#This Row],[Rank]],Stammdaten[Rank Verteilung Abholzigkeit],0))</f>
        <v>#N/A</v>
      </c>
      <c r="N535" t="e">
        <f>VLOOKUP(Tabelle9[[#This Row],[Rank]],Stammdaten[[Rank Verteilung Abholzigkeit]:[Verteilung Abholzigkeit]],2,FALSE)</f>
        <v>#N/A</v>
      </c>
      <c r="S535">
        <v>526</v>
      </c>
      <c r="T535" t="e">
        <f>INDEX(Stammdaten[Krümmung (mm/lfm)],MATCH(Tabelle10[[#This Row],[Rank]],Stammdaten[Rank Verteilung Krümmung],0))</f>
        <v>#N/A</v>
      </c>
      <c r="U535" t="e">
        <f>VLOOKUP(Tabelle10[[#This Row],[Rank]],Stammdaten[[Rank Verteilung Krümmung]:[Verteilung Krümmung]],2,FALSE)</f>
        <v>#N/A</v>
      </c>
      <c r="Z535">
        <v>526</v>
      </c>
      <c r="AA535" t="e">
        <f>INDEX(Stammdaten[Ovalität (']0,1'])],MATCH(Tabelle1014[[#This Row],[Rank]],Stammdaten[Rank Verteilung Ovalität],0))</f>
        <v>#N/A</v>
      </c>
      <c r="AB535" t="e">
        <f>VLOOKUP(Tabelle1014[[#This Row],[Rank]],Stammdaten[[Rank Verteilung Ovalität]:[Verteilung Ovalität]],2,FALSE)</f>
        <v>#N/A</v>
      </c>
    </row>
    <row r="536" spans="5:28" x14ac:dyDescent="0.35">
      <c r="E536">
        <v>527</v>
      </c>
      <c r="F536" t="e">
        <f>INDEX(Stammdaten[D Mitte mit Rinde (mm)],MATCH(Tabelle8[[#This Row],[Rank]],Stammdaten[Rank Verteilung D Mitte mit Rinde],0))</f>
        <v>#N/A</v>
      </c>
      <c r="G536" t="e">
        <f>VLOOKUP(Tabelle8[[#This Row],[Rank]],Stammdaten[[Rank Verteilung D Mitte mit Rinde]:[Verteilung D Mitte mit Rinde]],2,FALSE)</f>
        <v>#N/A</v>
      </c>
      <c r="L536">
        <v>527</v>
      </c>
      <c r="M536" t="e">
        <f>INDEX(Stammdaten[Abholzigkeit (mm/lfm)],MATCH(Tabelle9[[#This Row],[Rank]],Stammdaten[Rank Verteilung Abholzigkeit],0))</f>
        <v>#N/A</v>
      </c>
      <c r="N536" t="e">
        <f>VLOOKUP(Tabelle9[[#This Row],[Rank]],Stammdaten[[Rank Verteilung Abholzigkeit]:[Verteilung Abholzigkeit]],2,FALSE)</f>
        <v>#N/A</v>
      </c>
      <c r="S536">
        <v>527</v>
      </c>
      <c r="T536" t="e">
        <f>INDEX(Stammdaten[Krümmung (mm/lfm)],MATCH(Tabelle10[[#This Row],[Rank]],Stammdaten[Rank Verteilung Krümmung],0))</f>
        <v>#N/A</v>
      </c>
      <c r="U536" t="e">
        <f>VLOOKUP(Tabelle10[[#This Row],[Rank]],Stammdaten[[Rank Verteilung Krümmung]:[Verteilung Krümmung]],2,FALSE)</f>
        <v>#N/A</v>
      </c>
      <c r="Z536">
        <v>527</v>
      </c>
      <c r="AA536" t="e">
        <f>INDEX(Stammdaten[Ovalität (']0,1'])],MATCH(Tabelle1014[[#This Row],[Rank]],Stammdaten[Rank Verteilung Ovalität],0))</f>
        <v>#N/A</v>
      </c>
      <c r="AB536" t="e">
        <f>VLOOKUP(Tabelle1014[[#This Row],[Rank]],Stammdaten[[Rank Verteilung Ovalität]:[Verteilung Ovalität]],2,FALSE)</f>
        <v>#N/A</v>
      </c>
    </row>
    <row r="537" spans="5:28" x14ac:dyDescent="0.35">
      <c r="E537">
        <v>528</v>
      </c>
      <c r="F537" t="e">
        <f>INDEX(Stammdaten[D Mitte mit Rinde (mm)],MATCH(Tabelle8[[#This Row],[Rank]],Stammdaten[Rank Verteilung D Mitte mit Rinde],0))</f>
        <v>#N/A</v>
      </c>
      <c r="G537" t="e">
        <f>VLOOKUP(Tabelle8[[#This Row],[Rank]],Stammdaten[[Rank Verteilung D Mitte mit Rinde]:[Verteilung D Mitte mit Rinde]],2,FALSE)</f>
        <v>#N/A</v>
      </c>
      <c r="L537">
        <v>528</v>
      </c>
      <c r="M537" t="e">
        <f>INDEX(Stammdaten[Abholzigkeit (mm/lfm)],MATCH(Tabelle9[[#This Row],[Rank]],Stammdaten[Rank Verteilung Abholzigkeit],0))</f>
        <v>#N/A</v>
      </c>
      <c r="N537" t="e">
        <f>VLOOKUP(Tabelle9[[#This Row],[Rank]],Stammdaten[[Rank Verteilung Abholzigkeit]:[Verteilung Abholzigkeit]],2,FALSE)</f>
        <v>#N/A</v>
      </c>
      <c r="S537">
        <v>528</v>
      </c>
      <c r="T537" t="e">
        <f>INDEX(Stammdaten[Krümmung (mm/lfm)],MATCH(Tabelle10[[#This Row],[Rank]],Stammdaten[Rank Verteilung Krümmung],0))</f>
        <v>#N/A</v>
      </c>
      <c r="U537" t="e">
        <f>VLOOKUP(Tabelle10[[#This Row],[Rank]],Stammdaten[[Rank Verteilung Krümmung]:[Verteilung Krümmung]],2,FALSE)</f>
        <v>#N/A</v>
      </c>
      <c r="Z537">
        <v>528</v>
      </c>
      <c r="AA537" t="e">
        <f>INDEX(Stammdaten[Ovalität (']0,1'])],MATCH(Tabelle1014[[#This Row],[Rank]],Stammdaten[Rank Verteilung Ovalität],0))</f>
        <v>#N/A</v>
      </c>
      <c r="AB537" t="e">
        <f>VLOOKUP(Tabelle1014[[#This Row],[Rank]],Stammdaten[[Rank Verteilung Ovalität]:[Verteilung Ovalität]],2,FALSE)</f>
        <v>#N/A</v>
      </c>
    </row>
    <row r="538" spans="5:28" x14ac:dyDescent="0.35">
      <c r="E538">
        <v>529</v>
      </c>
      <c r="F538" t="e">
        <f>INDEX(Stammdaten[D Mitte mit Rinde (mm)],MATCH(Tabelle8[[#This Row],[Rank]],Stammdaten[Rank Verteilung D Mitte mit Rinde],0))</f>
        <v>#N/A</v>
      </c>
      <c r="G538" t="e">
        <f>VLOOKUP(Tabelle8[[#This Row],[Rank]],Stammdaten[[Rank Verteilung D Mitte mit Rinde]:[Verteilung D Mitte mit Rinde]],2,FALSE)</f>
        <v>#N/A</v>
      </c>
      <c r="L538">
        <v>529</v>
      </c>
      <c r="M538" t="e">
        <f>INDEX(Stammdaten[Abholzigkeit (mm/lfm)],MATCH(Tabelle9[[#This Row],[Rank]],Stammdaten[Rank Verteilung Abholzigkeit],0))</f>
        <v>#N/A</v>
      </c>
      <c r="N538" t="e">
        <f>VLOOKUP(Tabelle9[[#This Row],[Rank]],Stammdaten[[Rank Verteilung Abholzigkeit]:[Verteilung Abholzigkeit]],2,FALSE)</f>
        <v>#N/A</v>
      </c>
      <c r="S538">
        <v>529</v>
      </c>
      <c r="T538" t="e">
        <f>INDEX(Stammdaten[Krümmung (mm/lfm)],MATCH(Tabelle10[[#This Row],[Rank]],Stammdaten[Rank Verteilung Krümmung],0))</f>
        <v>#N/A</v>
      </c>
      <c r="U538" t="e">
        <f>VLOOKUP(Tabelle10[[#This Row],[Rank]],Stammdaten[[Rank Verteilung Krümmung]:[Verteilung Krümmung]],2,FALSE)</f>
        <v>#N/A</v>
      </c>
      <c r="Z538">
        <v>529</v>
      </c>
      <c r="AA538" t="e">
        <f>INDEX(Stammdaten[Ovalität (']0,1'])],MATCH(Tabelle1014[[#This Row],[Rank]],Stammdaten[Rank Verteilung Ovalität],0))</f>
        <v>#N/A</v>
      </c>
      <c r="AB538" t="e">
        <f>VLOOKUP(Tabelle1014[[#This Row],[Rank]],Stammdaten[[Rank Verteilung Ovalität]:[Verteilung Ovalität]],2,FALSE)</f>
        <v>#N/A</v>
      </c>
    </row>
    <row r="539" spans="5:28" x14ac:dyDescent="0.35">
      <c r="E539">
        <v>530</v>
      </c>
      <c r="F539" t="e">
        <f>INDEX(Stammdaten[D Mitte mit Rinde (mm)],MATCH(Tabelle8[[#This Row],[Rank]],Stammdaten[Rank Verteilung D Mitte mit Rinde],0))</f>
        <v>#N/A</v>
      </c>
      <c r="G539" t="e">
        <f>VLOOKUP(Tabelle8[[#This Row],[Rank]],Stammdaten[[Rank Verteilung D Mitte mit Rinde]:[Verteilung D Mitte mit Rinde]],2,FALSE)</f>
        <v>#N/A</v>
      </c>
      <c r="L539">
        <v>530</v>
      </c>
      <c r="M539" t="e">
        <f>INDEX(Stammdaten[Abholzigkeit (mm/lfm)],MATCH(Tabelle9[[#This Row],[Rank]],Stammdaten[Rank Verteilung Abholzigkeit],0))</f>
        <v>#N/A</v>
      </c>
      <c r="N539" t="e">
        <f>VLOOKUP(Tabelle9[[#This Row],[Rank]],Stammdaten[[Rank Verteilung Abholzigkeit]:[Verteilung Abholzigkeit]],2,FALSE)</f>
        <v>#N/A</v>
      </c>
      <c r="S539">
        <v>530</v>
      </c>
      <c r="T539" t="e">
        <f>INDEX(Stammdaten[Krümmung (mm/lfm)],MATCH(Tabelle10[[#This Row],[Rank]],Stammdaten[Rank Verteilung Krümmung],0))</f>
        <v>#N/A</v>
      </c>
      <c r="U539" t="e">
        <f>VLOOKUP(Tabelle10[[#This Row],[Rank]],Stammdaten[[Rank Verteilung Krümmung]:[Verteilung Krümmung]],2,FALSE)</f>
        <v>#N/A</v>
      </c>
      <c r="Z539">
        <v>530</v>
      </c>
      <c r="AA539" t="e">
        <f>INDEX(Stammdaten[Ovalität (']0,1'])],MATCH(Tabelle1014[[#This Row],[Rank]],Stammdaten[Rank Verteilung Ovalität],0))</f>
        <v>#N/A</v>
      </c>
      <c r="AB539" t="e">
        <f>VLOOKUP(Tabelle1014[[#This Row],[Rank]],Stammdaten[[Rank Verteilung Ovalität]:[Verteilung Ovalität]],2,FALSE)</f>
        <v>#N/A</v>
      </c>
    </row>
    <row r="540" spans="5:28" x14ac:dyDescent="0.35">
      <c r="E540">
        <v>531</v>
      </c>
      <c r="F540" t="e">
        <f>INDEX(Stammdaten[D Mitte mit Rinde (mm)],MATCH(Tabelle8[[#This Row],[Rank]],Stammdaten[Rank Verteilung D Mitte mit Rinde],0))</f>
        <v>#N/A</v>
      </c>
      <c r="G540" t="e">
        <f>VLOOKUP(Tabelle8[[#This Row],[Rank]],Stammdaten[[Rank Verteilung D Mitte mit Rinde]:[Verteilung D Mitte mit Rinde]],2,FALSE)</f>
        <v>#N/A</v>
      </c>
      <c r="L540">
        <v>531</v>
      </c>
      <c r="M540" t="e">
        <f>INDEX(Stammdaten[Abholzigkeit (mm/lfm)],MATCH(Tabelle9[[#This Row],[Rank]],Stammdaten[Rank Verteilung Abholzigkeit],0))</f>
        <v>#N/A</v>
      </c>
      <c r="N540" t="e">
        <f>VLOOKUP(Tabelle9[[#This Row],[Rank]],Stammdaten[[Rank Verteilung Abholzigkeit]:[Verteilung Abholzigkeit]],2,FALSE)</f>
        <v>#N/A</v>
      </c>
      <c r="S540">
        <v>531</v>
      </c>
      <c r="T540" t="e">
        <f>INDEX(Stammdaten[Krümmung (mm/lfm)],MATCH(Tabelle10[[#This Row],[Rank]],Stammdaten[Rank Verteilung Krümmung],0))</f>
        <v>#N/A</v>
      </c>
      <c r="U540" t="e">
        <f>VLOOKUP(Tabelle10[[#This Row],[Rank]],Stammdaten[[Rank Verteilung Krümmung]:[Verteilung Krümmung]],2,FALSE)</f>
        <v>#N/A</v>
      </c>
      <c r="Z540">
        <v>531</v>
      </c>
      <c r="AA540" t="e">
        <f>INDEX(Stammdaten[Ovalität (']0,1'])],MATCH(Tabelle1014[[#This Row],[Rank]],Stammdaten[Rank Verteilung Ovalität],0))</f>
        <v>#N/A</v>
      </c>
      <c r="AB540" t="e">
        <f>VLOOKUP(Tabelle1014[[#This Row],[Rank]],Stammdaten[[Rank Verteilung Ovalität]:[Verteilung Ovalität]],2,FALSE)</f>
        <v>#N/A</v>
      </c>
    </row>
    <row r="541" spans="5:28" x14ac:dyDescent="0.35">
      <c r="E541">
        <v>532</v>
      </c>
      <c r="F541" t="e">
        <f>INDEX(Stammdaten[D Mitte mit Rinde (mm)],MATCH(Tabelle8[[#This Row],[Rank]],Stammdaten[Rank Verteilung D Mitte mit Rinde],0))</f>
        <v>#N/A</v>
      </c>
      <c r="G541" t="e">
        <f>VLOOKUP(Tabelle8[[#This Row],[Rank]],Stammdaten[[Rank Verteilung D Mitte mit Rinde]:[Verteilung D Mitte mit Rinde]],2,FALSE)</f>
        <v>#N/A</v>
      </c>
      <c r="L541">
        <v>532</v>
      </c>
      <c r="M541" t="e">
        <f>INDEX(Stammdaten[Abholzigkeit (mm/lfm)],MATCH(Tabelle9[[#This Row],[Rank]],Stammdaten[Rank Verteilung Abholzigkeit],0))</f>
        <v>#N/A</v>
      </c>
      <c r="N541" t="e">
        <f>VLOOKUP(Tabelle9[[#This Row],[Rank]],Stammdaten[[Rank Verteilung Abholzigkeit]:[Verteilung Abholzigkeit]],2,FALSE)</f>
        <v>#N/A</v>
      </c>
      <c r="S541">
        <v>532</v>
      </c>
      <c r="T541" t="e">
        <f>INDEX(Stammdaten[Krümmung (mm/lfm)],MATCH(Tabelle10[[#This Row],[Rank]],Stammdaten[Rank Verteilung Krümmung],0))</f>
        <v>#N/A</v>
      </c>
      <c r="U541" t="e">
        <f>VLOOKUP(Tabelle10[[#This Row],[Rank]],Stammdaten[[Rank Verteilung Krümmung]:[Verteilung Krümmung]],2,FALSE)</f>
        <v>#N/A</v>
      </c>
      <c r="Z541">
        <v>532</v>
      </c>
      <c r="AA541" t="e">
        <f>INDEX(Stammdaten[Ovalität (']0,1'])],MATCH(Tabelle1014[[#This Row],[Rank]],Stammdaten[Rank Verteilung Ovalität],0))</f>
        <v>#N/A</v>
      </c>
      <c r="AB541" t="e">
        <f>VLOOKUP(Tabelle1014[[#This Row],[Rank]],Stammdaten[[Rank Verteilung Ovalität]:[Verteilung Ovalität]],2,FALSE)</f>
        <v>#N/A</v>
      </c>
    </row>
    <row r="542" spans="5:28" x14ac:dyDescent="0.35">
      <c r="E542">
        <v>533</v>
      </c>
      <c r="F542" t="e">
        <f>INDEX(Stammdaten[D Mitte mit Rinde (mm)],MATCH(Tabelle8[[#This Row],[Rank]],Stammdaten[Rank Verteilung D Mitte mit Rinde],0))</f>
        <v>#N/A</v>
      </c>
      <c r="G542" t="e">
        <f>VLOOKUP(Tabelle8[[#This Row],[Rank]],Stammdaten[[Rank Verteilung D Mitte mit Rinde]:[Verteilung D Mitte mit Rinde]],2,FALSE)</f>
        <v>#N/A</v>
      </c>
      <c r="L542">
        <v>533</v>
      </c>
      <c r="M542" t="e">
        <f>INDEX(Stammdaten[Abholzigkeit (mm/lfm)],MATCH(Tabelle9[[#This Row],[Rank]],Stammdaten[Rank Verteilung Abholzigkeit],0))</f>
        <v>#N/A</v>
      </c>
      <c r="N542" t="e">
        <f>VLOOKUP(Tabelle9[[#This Row],[Rank]],Stammdaten[[Rank Verteilung Abholzigkeit]:[Verteilung Abholzigkeit]],2,FALSE)</f>
        <v>#N/A</v>
      </c>
      <c r="S542">
        <v>533</v>
      </c>
      <c r="T542" t="e">
        <f>INDEX(Stammdaten[Krümmung (mm/lfm)],MATCH(Tabelle10[[#This Row],[Rank]],Stammdaten[Rank Verteilung Krümmung],0))</f>
        <v>#N/A</v>
      </c>
      <c r="U542" t="e">
        <f>VLOOKUP(Tabelle10[[#This Row],[Rank]],Stammdaten[[Rank Verteilung Krümmung]:[Verteilung Krümmung]],2,FALSE)</f>
        <v>#N/A</v>
      </c>
      <c r="Z542">
        <v>533</v>
      </c>
      <c r="AA542" t="e">
        <f>INDEX(Stammdaten[Ovalität (']0,1'])],MATCH(Tabelle1014[[#This Row],[Rank]],Stammdaten[Rank Verteilung Ovalität],0))</f>
        <v>#N/A</v>
      </c>
      <c r="AB542" t="e">
        <f>VLOOKUP(Tabelle1014[[#This Row],[Rank]],Stammdaten[[Rank Verteilung Ovalität]:[Verteilung Ovalität]],2,FALSE)</f>
        <v>#N/A</v>
      </c>
    </row>
    <row r="543" spans="5:28" x14ac:dyDescent="0.35">
      <c r="E543">
        <v>534</v>
      </c>
      <c r="F543" t="e">
        <f>INDEX(Stammdaten[D Mitte mit Rinde (mm)],MATCH(Tabelle8[[#This Row],[Rank]],Stammdaten[Rank Verteilung D Mitte mit Rinde],0))</f>
        <v>#N/A</v>
      </c>
      <c r="G543" t="e">
        <f>VLOOKUP(Tabelle8[[#This Row],[Rank]],Stammdaten[[Rank Verteilung D Mitte mit Rinde]:[Verteilung D Mitte mit Rinde]],2,FALSE)</f>
        <v>#N/A</v>
      </c>
      <c r="L543">
        <v>534</v>
      </c>
      <c r="M543" t="e">
        <f>INDEX(Stammdaten[Abholzigkeit (mm/lfm)],MATCH(Tabelle9[[#This Row],[Rank]],Stammdaten[Rank Verteilung Abholzigkeit],0))</f>
        <v>#N/A</v>
      </c>
      <c r="N543" t="e">
        <f>VLOOKUP(Tabelle9[[#This Row],[Rank]],Stammdaten[[Rank Verteilung Abholzigkeit]:[Verteilung Abholzigkeit]],2,FALSE)</f>
        <v>#N/A</v>
      </c>
      <c r="S543">
        <v>534</v>
      </c>
      <c r="T543" t="e">
        <f>INDEX(Stammdaten[Krümmung (mm/lfm)],MATCH(Tabelle10[[#This Row],[Rank]],Stammdaten[Rank Verteilung Krümmung],0))</f>
        <v>#N/A</v>
      </c>
      <c r="U543" t="e">
        <f>VLOOKUP(Tabelle10[[#This Row],[Rank]],Stammdaten[[Rank Verteilung Krümmung]:[Verteilung Krümmung]],2,FALSE)</f>
        <v>#N/A</v>
      </c>
      <c r="Z543">
        <v>534</v>
      </c>
      <c r="AA543" t="e">
        <f>INDEX(Stammdaten[Ovalität (']0,1'])],MATCH(Tabelle1014[[#This Row],[Rank]],Stammdaten[Rank Verteilung Ovalität],0))</f>
        <v>#N/A</v>
      </c>
      <c r="AB543" t="e">
        <f>VLOOKUP(Tabelle1014[[#This Row],[Rank]],Stammdaten[[Rank Verteilung Ovalität]:[Verteilung Ovalität]],2,FALSE)</f>
        <v>#N/A</v>
      </c>
    </row>
    <row r="544" spans="5:28" x14ac:dyDescent="0.35">
      <c r="E544">
        <v>535</v>
      </c>
      <c r="F544" t="e">
        <f>INDEX(Stammdaten[D Mitte mit Rinde (mm)],MATCH(Tabelle8[[#This Row],[Rank]],Stammdaten[Rank Verteilung D Mitte mit Rinde],0))</f>
        <v>#N/A</v>
      </c>
      <c r="G544" t="e">
        <f>VLOOKUP(Tabelle8[[#This Row],[Rank]],Stammdaten[[Rank Verteilung D Mitte mit Rinde]:[Verteilung D Mitte mit Rinde]],2,FALSE)</f>
        <v>#N/A</v>
      </c>
      <c r="L544">
        <v>535</v>
      </c>
      <c r="M544" t="e">
        <f>INDEX(Stammdaten[Abholzigkeit (mm/lfm)],MATCH(Tabelle9[[#This Row],[Rank]],Stammdaten[Rank Verteilung Abholzigkeit],0))</f>
        <v>#N/A</v>
      </c>
      <c r="N544" t="e">
        <f>VLOOKUP(Tabelle9[[#This Row],[Rank]],Stammdaten[[Rank Verteilung Abholzigkeit]:[Verteilung Abholzigkeit]],2,FALSE)</f>
        <v>#N/A</v>
      </c>
      <c r="S544">
        <v>535</v>
      </c>
      <c r="T544" t="e">
        <f>INDEX(Stammdaten[Krümmung (mm/lfm)],MATCH(Tabelle10[[#This Row],[Rank]],Stammdaten[Rank Verteilung Krümmung],0))</f>
        <v>#N/A</v>
      </c>
      <c r="U544" t="e">
        <f>VLOOKUP(Tabelle10[[#This Row],[Rank]],Stammdaten[[Rank Verteilung Krümmung]:[Verteilung Krümmung]],2,FALSE)</f>
        <v>#N/A</v>
      </c>
      <c r="Z544">
        <v>535</v>
      </c>
      <c r="AA544" t="e">
        <f>INDEX(Stammdaten[Ovalität (']0,1'])],MATCH(Tabelle1014[[#This Row],[Rank]],Stammdaten[Rank Verteilung Ovalität],0))</f>
        <v>#N/A</v>
      </c>
      <c r="AB544" t="e">
        <f>VLOOKUP(Tabelle1014[[#This Row],[Rank]],Stammdaten[[Rank Verteilung Ovalität]:[Verteilung Ovalität]],2,FALSE)</f>
        <v>#N/A</v>
      </c>
    </row>
    <row r="545" spans="5:28" x14ac:dyDescent="0.35">
      <c r="E545">
        <v>536</v>
      </c>
      <c r="F545" t="e">
        <f>INDEX(Stammdaten[D Mitte mit Rinde (mm)],MATCH(Tabelle8[[#This Row],[Rank]],Stammdaten[Rank Verteilung D Mitte mit Rinde],0))</f>
        <v>#N/A</v>
      </c>
      <c r="G545" t="e">
        <f>VLOOKUP(Tabelle8[[#This Row],[Rank]],Stammdaten[[Rank Verteilung D Mitte mit Rinde]:[Verteilung D Mitte mit Rinde]],2,FALSE)</f>
        <v>#N/A</v>
      </c>
      <c r="L545">
        <v>536</v>
      </c>
      <c r="M545" t="e">
        <f>INDEX(Stammdaten[Abholzigkeit (mm/lfm)],MATCH(Tabelle9[[#This Row],[Rank]],Stammdaten[Rank Verteilung Abholzigkeit],0))</f>
        <v>#N/A</v>
      </c>
      <c r="N545" t="e">
        <f>VLOOKUP(Tabelle9[[#This Row],[Rank]],Stammdaten[[Rank Verteilung Abholzigkeit]:[Verteilung Abholzigkeit]],2,FALSE)</f>
        <v>#N/A</v>
      </c>
      <c r="S545">
        <v>536</v>
      </c>
      <c r="T545" t="e">
        <f>INDEX(Stammdaten[Krümmung (mm/lfm)],MATCH(Tabelle10[[#This Row],[Rank]],Stammdaten[Rank Verteilung Krümmung],0))</f>
        <v>#N/A</v>
      </c>
      <c r="U545" t="e">
        <f>VLOOKUP(Tabelle10[[#This Row],[Rank]],Stammdaten[[Rank Verteilung Krümmung]:[Verteilung Krümmung]],2,FALSE)</f>
        <v>#N/A</v>
      </c>
      <c r="Z545">
        <v>536</v>
      </c>
      <c r="AA545" t="e">
        <f>INDEX(Stammdaten[Ovalität (']0,1'])],MATCH(Tabelle1014[[#This Row],[Rank]],Stammdaten[Rank Verteilung Ovalität],0))</f>
        <v>#N/A</v>
      </c>
      <c r="AB545" t="e">
        <f>VLOOKUP(Tabelle1014[[#This Row],[Rank]],Stammdaten[[Rank Verteilung Ovalität]:[Verteilung Ovalität]],2,FALSE)</f>
        <v>#N/A</v>
      </c>
    </row>
    <row r="546" spans="5:28" x14ac:dyDescent="0.35">
      <c r="E546">
        <v>537</v>
      </c>
      <c r="F546" t="e">
        <f>INDEX(Stammdaten[D Mitte mit Rinde (mm)],MATCH(Tabelle8[[#This Row],[Rank]],Stammdaten[Rank Verteilung D Mitte mit Rinde],0))</f>
        <v>#N/A</v>
      </c>
      <c r="G546" t="e">
        <f>VLOOKUP(Tabelle8[[#This Row],[Rank]],Stammdaten[[Rank Verteilung D Mitte mit Rinde]:[Verteilung D Mitte mit Rinde]],2,FALSE)</f>
        <v>#N/A</v>
      </c>
      <c r="L546">
        <v>537</v>
      </c>
      <c r="M546" t="e">
        <f>INDEX(Stammdaten[Abholzigkeit (mm/lfm)],MATCH(Tabelle9[[#This Row],[Rank]],Stammdaten[Rank Verteilung Abholzigkeit],0))</f>
        <v>#N/A</v>
      </c>
      <c r="N546" t="e">
        <f>VLOOKUP(Tabelle9[[#This Row],[Rank]],Stammdaten[[Rank Verteilung Abholzigkeit]:[Verteilung Abholzigkeit]],2,FALSE)</f>
        <v>#N/A</v>
      </c>
      <c r="S546">
        <v>537</v>
      </c>
      <c r="T546" t="e">
        <f>INDEX(Stammdaten[Krümmung (mm/lfm)],MATCH(Tabelle10[[#This Row],[Rank]],Stammdaten[Rank Verteilung Krümmung],0))</f>
        <v>#N/A</v>
      </c>
      <c r="U546" t="e">
        <f>VLOOKUP(Tabelle10[[#This Row],[Rank]],Stammdaten[[Rank Verteilung Krümmung]:[Verteilung Krümmung]],2,FALSE)</f>
        <v>#N/A</v>
      </c>
      <c r="Z546">
        <v>537</v>
      </c>
      <c r="AA546" t="e">
        <f>INDEX(Stammdaten[Ovalität (']0,1'])],MATCH(Tabelle1014[[#This Row],[Rank]],Stammdaten[Rank Verteilung Ovalität],0))</f>
        <v>#N/A</v>
      </c>
      <c r="AB546" t="e">
        <f>VLOOKUP(Tabelle1014[[#This Row],[Rank]],Stammdaten[[Rank Verteilung Ovalität]:[Verteilung Ovalität]],2,FALSE)</f>
        <v>#N/A</v>
      </c>
    </row>
    <row r="547" spans="5:28" x14ac:dyDescent="0.35">
      <c r="E547">
        <v>538</v>
      </c>
      <c r="F547" t="e">
        <f>INDEX(Stammdaten[D Mitte mit Rinde (mm)],MATCH(Tabelle8[[#This Row],[Rank]],Stammdaten[Rank Verteilung D Mitte mit Rinde],0))</f>
        <v>#N/A</v>
      </c>
      <c r="G547" t="e">
        <f>VLOOKUP(Tabelle8[[#This Row],[Rank]],Stammdaten[[Rank Verteilung D Mitte mit Rinde]:[Verteilung D Mitte mit Rinde]],2,FALSE)</f>
        <v>#N/A</v>
      </c>
      <c r="L547">
        <v>538</v>
      </c>
      <c r="M547" t="e">
        <f>INDEX(Stammdaten[Abholzigkeit (mm/lfm)],MATCH(Tabelle9[[#This Row],[Rank]],Stammdaten[Rank Verteilung Abholzigkeit],0))</f>
        <v>#N/A</v>
      </c>
      <c r="N547" t="e">
        <f>VLOOKUP(Tabelle9[[#This Row],[Rank]],Stammdaten[[Rank Verteilung Abholzigkeit]:[Verteilung Abholzigkeit]],2,FALSE)</f>
        <v>#N/A</v>
      </c>
      <c r="S547">
        <v>538</v>
      </c>
      <c r="T547" t="e">
        <f>INDEX(Stammdaten[Krümmung (mm/lfm)],MATCH(Tabelle10[[#This Row],[Rank]],Stammdaten[Rank Verteilung Krümmung],0))</f>
        <v>#N/A</v>
      </c>
      <c r="U547" t="e">
        <f>VLOOKUP(Tabelle10[[#This Row],[Rank]],Stammdaten[[Rank Verteilung Krümmung]:[Verteilung Krümmung]],2,FALSE)</f>
        <v>#N/A</v>
      </c>
      <c r="Z547">
        <v>538</v>
      </c>
      <c r="AA547" t="e">
        <f>INDEX(Stammdaten[Ovalität (']0,1'])],MATCH(Tabelle1014[[#This Row],[Rank]],Stammdaten[Rank Verteilung Ovalität],0))</f>
        <v>#N/A</v>
      </c>
      <c r="AB547" t="e">
        <f>VLOOKUP(Tabelle1014[[#This Row],[Rank]],Stammdaten[[Rank Verteilung Ovalität]:[Verteilung Ovalität]],2,FALSE)</f>
        <v>#N/A</v>
      </c>
    </row>
    <row r="548" spans="5:28" x14ac:dyDescent="0.35">
      <c r="E548">
        <v>539</v>
      </c>
      <c r="F548" t="e">
        <f>INDEX(Stammdaten[D Mitte mit Rinde (mm)],MATCH(Tabelle8[[#This Row],[Rank]],Stammdaten[Rank Verteilung D Mitte mit Rinde],0))</f>
        <v>#N/A</v>
      </c>
      <c r="G548" t="e">
        <f>VLOOKUP(Tabelle8[[#This Row],[Rank]],Stammdaten[[Rank Verteilung D Mitte mit Rinde]:[Verteilung D Mitte mit Rinde]],2,FALSE)</f>
        <v>#N/A</v>
      </c>
      <c r="L548">
        <v>539</v>
      </c>
      <c r="M548" t="e">
        <f>INDEX(Stammdaten[Abholzigkeit (mm/lfm)],MATCH(Tabelle9[[#This Row],[Rank]],Stammdaten[Rank Verteilung Abholzigkeit],0))</f>
        <v>#N/A</v>
      </c>
      <c r="N548" t="e">
        <f>VLOOKUP(Tabelle9[[#This Row],[Rank]],Stammdaten[[Rank Verteilung Abholzigkeit]:[Verteilung Abholzigkeit]],2,FALSE)</f>
        <v>#N/A</v>
      </c>
      <c r="S548">
        <v>539</v>
      </c>
      <c r="T548" t="e">
        <f>INDEX(Stammdaten[Krümmung (mm/lfm)],MATCH(Tabelle10[[#This Row],[Rank]],Stammdaten[Rank Verteilung Krümmung],0))</f>
        <v>#N/A</v>
      </c>
      <c r="U548" t="e">
        <f>VLOOKUP(Tabelle10[[#This Row],[Rank]],Stammdaten[[Rank Verteilung Krümmung]:[Verteilung Krümmung]],2,FALSE)</f>
        <v>#N/A</v>
      </c>
      <c r="Z548">
        <v>539</v>
      </c>
      <c r="AA548" t="e">
        <f>INDEX(Stammdaten[Ovalität (']0,1'])],MATCH(Tabelle1014[[#This Row],[Rank]],Stammdaten[Rank Verteilung Ovalität],0))</f>
        <v>#N/A</v>
      </c>
      <c r="AB548" t="e">
        <f>VLOOKUP(Tabelle1014[[#This Row],[Rank]],Stammdaten[[Rank Verteilung Ovalität]:[Verteilung Ovalität]],2,FALSE)</f>
        <v>#N/A</v>
      </c>
    </row>
    <row r="549" spans="5:28" x14ac:dyDescent="0.35">
      <c r="E549">
        <v>540</v>
      </c>
      <c r="F549" t="e">
        <f>INDEX(Stammdaten[D Mitte mit Rinde (mm)],MATCH(Tabelle8[[#This Row],[Rank]],Stammdaten[Rank Verteilung D Mitte mit Rinde],0))</f>
        <v>#N/A</v>
      </c>
      <c r="G549" t="e">
        <f>VLOOKUP(Tabelle8[[#This Row],[Rank]],Stammdaten[[Rank Verteilung D Mitte mit Rinde]:[Verteilung D Mitte mit Rinde]],2,FALSE)</f>
        <v>#N/A</v>
      </c>
      <c r="L549">
        <v>540</v>
      </c>
      <c r="M549" t="e">
        <f>INDEX(Stammdaten[Abholzigkeit (mm/lfm)],MATCH(Tabelle9[[#This Row],[Rank]],Stammdaten[Rank Verteilung Abholzigkeit],0))</f>
        <v>#N/A</v>
      </c>
      <c r="N549" t="e">
        <f>VLOOKUP(Tabelle9[[#This Row],[Rank]],Stammdaten[[Rank Verteilung Abholzigkeit]:[Verteilung Abholzigkeit]],2,FALSE)</f>
        <v>#N/A</v>
      </c>
      <c r="S549">
        <v>540</v>
      </c>
      <c r="T549" t="e">
        <f>INDEX(Stammdaten[Krümmung (mm/lfm)],MATCH(Tabelle10[[#This Row],[Rank]],Stammdaten[Rank Verteilung Krümmung],0))</f>
        <v>#N/A</v>
      </c>
      <c r="U549" t="e">
        <f>VLOOKUP(Tabelle10[[#This Row],[Rank]],Stammdaten[[Rank Verteilung Krümmung]:[Verteilung Krümmung]],2,FALSE)</f>
        <v>#N/A</v>
      </c>
      <c r="Z549">
        <v>540</v>
      </c>
      <c r="AA549" t="e">
        <f>INDEX(Stammdaten[Ovalität (']0,1'])],MATCH(Tabelle1014[[#This Row],[Rank]],Stammdaten[Rank Verteilung Ovalität],0))</f>
        <v>#N/A</v>
      </c>
      <c r="AB549" t="e">
        <f>VLOOKUP(Tabelle1014[[#This Row],[Rank]],Stammdaten[[Rank Verteilung Ovalität]:[Verteilung Ovalität]],2,FALSE)</f>
        <v>#N/A</v>
      </c>
    </row>
    <row r="550" spans="5:28" x14ac:dyDescent="0.35">
      <c r="E550">
        <v>541</v>
      </c>
      <c r="F550" t="e">
        <f>INDEX(Stammdaten[D Mitte mit Rinde (mm)],MATCH(Tabelle8[[#This Row],[Rank]],Stammdaten[Rank Verteilung D Mitte mit Rinde],0))</f>
        <v>#N/A</v>
      </c>
      <c r="G550" t="e">
        <f>VLOOKUP(Tabelle8[[#This Row],[Rank]],Stammdaten[[Rank Verteilung D Mitte mit Rinde]:[Verteilung D Mitte mit Rinde]],2,FALSE)</f>
        <v>#N/A</v>
      </c>
      <c r="L550">
        <v>541</v>
      </c>
      <c r="M550" t="e">
        <f>INDEX(Stammdaten[Abholzigkeit (mm/lfm)],MATCH(Tabelle9[[#This Row],[Rank]],Stammdaten[Rank Verteilung Abholzigkeit],0))</f>
        <v>#N/A</v>
      </c>
      <c r="N550" t="e">
        <f>VLOOKUP(Tabelle9[[#This Row],[Rank]],Stammdaten[[Rank Verteilung Abholzigkeit]:[Verteilung Abholzigkeit]],2,FALSE)</f>
        <v>#N/A</v>
      </c>
      <c r="S550">
        <v>541</v>
      </c>
      <c r="T550" t="e">
        <f>INDEX(Stammdaten[Krümmung (mm/lfm)],MATCH(Tabelle10[[#This Row],[Rank]],Stammdaten[Rank Verteilung Krümmung],0))</f>
        <v>#N/A</v>
      </c>
      <c r="U550" t="e">
        <f>VLOOKUP(Tabelle10[[#This Row],[Rank]],Stammdaten[[Rank Verteilung Krümmung]:[Verteilung Krümmung]],2,FALSE)</f>
        <v>#N/A</v>
      </c>
      <c r="Z550">
        <v>541</v>
      </c>
      <c r="AA550" t="e">
        <f>INDEX(Stammdaten[Ovalität (']0,1'])],MATCH(Tabelle1014[[#This Row],[Rank]],Stammdaten[Rank Verteilung Ovalität],0))</f>
        <v>#N/A</v>
      </c>
      <c r="AB550" t="e">
        <f>VLOOKUP(Tabelle1014[[#This Row],[Rank]],Stammdaten[[Rank Verteilung Ovalität]:[Verteilung Ovalität]],2,FALSE)</f>
        <v>#N/A</v>
      </c>
    </row>
    <row r="551" spans="5:28" x14ac:dyDescent="0.35">
      <c r="E551">
        <v>542</v>
      </c>
      <c r="F551" t="e">
        <f>INDEX(Stammdaten[D Mitte mit Rinde (mm)],MATCH(Tabelle8[[#This Row],[Rank]],Stammdaten[Rank Verteilung D Mitte mit Rinde],0))</f>
        <v>#N/A</v>
      </c>
      <c r="G551" t="e">
        <f>VLOOKUP(Tabelle8[[#This Row],[Rank]],Stammdaten[[Rank Verteilung D Mitte mit Rinde]:[Verteilung D Mitte mit Rinde]],2,FALSE)</f>
        <v>#N/A</v>
      </c>
      <c r="L551">
        <v>542</v>
      </c>
      <c r="M551" t="e">
        <f>INDEX(Stammdaten[Abholzigkeit (mm/lfm)],MATCH(Tabelle9[[#This Row],[Rank]],Stammdaten[Rank Verteilung Abholzigkeit],0))</f>
        <v>#N/A</v>
      </c>
      <c r="N551" t="e">
        <f>VLOOKUP(Tabelle9[[#This Row],[Rank]],Stammdaten[[Rank Verteilung Abholzigkeit]:[Verteilung Abholzigkeit]],2,FALSE)</f>
        <v>#N/A</v>
      </c>
      <c r="S551">
        <v>542</v>
      </c>
      <c r="T551" t="e">
        <f>INDEX(Stammdaten[Krümmung (mm/lfm)],MATCH(Tabelle10[[#This Row],[Rank]],Stammdaten[Rank Verteilung Krümmung],0))</f>
        <v>#N/A</v>
      </c>
      <c r="U551" t="e">
        <f>VLOOKUP(Tabelle10[[#This Row],[Rank]],Stammdaten[[Rank Verteilung Krümmung]:[Verteilung Krümmung]],2,FALSE)</f>
        <v>#N/A</v>
      </c>
      <c r="Z551">
        <v>542</v>
      </c>
      <c r="AA551" t="e">
        <f>INDEX(Stammdaten[Ovalität (']0,1'])],MATCH(Tabelle1014[[#This Row],[Rank]],Stammdaten[Rank Verteilung Ovalität],0))</f>
        <v>#N/A</v>
      </c>
      <c r="AB551" t="e">
        <f>VLOOKUP(Tabelle1014[[#This Row],[Rank]],Stammdaten[[Rank Verteilung Ovalität]:[Verteilung Ovalität]],2,FALSE)</f>
        <v>#N/A</v>
      </c>
    </row>
    <row r="552" spans="5:28" x14ac:dyDescent="0.35">
      <c r="E552">
        <v>543</v>
      </c>
      <c r="F552" t="e">
        <f>INDEX(Stammdaten[D Mitte mit Rinde (mm)],MATCH(Tabelle8[[#This Row],[Rank]],Stammdaten[Rank Verteilung D Mitte mit Rinde],0))</f>
        <v>#N/A</v>
      </c>
      <c r="G552" t="e">
        <f>VLOOKUP(Tabelle8[[#This Row],[Rank]],Stammdaten[[Rank Verteilung D Mitte mit Rinde]:[Verteilung D Mitte mit Rinde]],2,FALSE)</f>
        <v>#N/A</v>
      </c>
      <c r="L552">
        <v>543</v>
      </c>
      <c r="M552" t="e">
        <f>INDEX(Stammdaten[Abholzigkeit (mm/lfm)],MATCH(Tabelle9[[#This Row],[Rank]],Stammdaten[Rank Verteilung Abholzigkeit],0))</f>
        <v>#N/A</v>
      </c>
      <c r="N552" t="e">
        <f>VLOOKUP(Tabelle9[[#This Row],[Rank]],Stammdaten[[Rank Verteilung Abholzigkeit]:[Verteilung Abholzigkeit]],2,FALSE)</f>
        <v>#N/A</v>
      </c>
      <c r="S552">
        <v>543</v>
      </c>
      <c r="T552" t="e">
        <f>INDEX(Stammdaten[Krümmung (mm/lfm)],MATCH(Tabelle10[[#This Row],[Rank]],Stammdaten[Rank Verteilung Krümmung],0))</f>
        <v>#N/A</v>
      </c>
      <c r="U552" t="e">
        <f>VLOOKUP(Tabelle10[[#This Row],[Rank]],Stammdaten[[Rank Verteilung Krümmung]:[Verteilung Krümmung]],2,FALSE)</f>
        <v>#N/A</v>
      </c>
      <c r="Z552">
        <v>543</v>
      </c>
      <c r="AA552" t="e">
        <f>INDEX(Stammdaten[Ovalität (']0,1'])],MATCH(Tabelle1014[[#This Row],[Rank]],Stammdaten[Rank Verteilung Ovalität],0))</f>
        <v>#N/A</v>
      </c>
      <c r="AB552" t="e">
        <f>VLOOKUP(Tabelle1014[[#This Row],[Rank]],Stammdaten[[Rank Verteilung Ovalität]:[Verteilung Ovalität]],2,FALSE)</f>
        <v>#N/A</v>
      </c>
    </row>
    <row r="553" spans="5:28" x14ac:dyDescent="0.35">
      <c r="E553">
        <v>544</v>
      </c>
      <c r="F553" t="e">
        <f>INDEX(Stammdaten[D Mitte mit Rinde (mm)],MATCH(Tabelle8[[#This Row],[Rank]],Stammdaten[Rank Verteilung D Mitte mit Rinde],0))</f>
        <v>#N/A</v>
      </c>
      <c r="G553" t="e">
        <f>VLOOKUP(Tabelle8[[#This Row],[Rank]],Stammdaten[[Rank Verteilung D Mitte mit Rinde]:[Verteilung D Mitte mit Rinde]],2,FALSE)</f>
        <v>#N/A</v>
      </c>
      <c r="L553">
        <v>544</v>
      </c>
      <c r="M553" t="e">
        <f>INDEX(Stammdaten[Abholzigkeit (mm/lfm)],MATCH(Tabelle9[[#This Row],[Rank]],Stammdaten[Rank Verteilung Abholzigkeit],0))</f>
        <v>#N/A</v>
      </c>
      <c r="N553" t="e">
        <f>VLOOKUP(Tabelle9[[#This Row],[Rank]],Stammdaten[[Rank Verteilung Abholzigkeit]:[Verteilung Abholzigkeit]],2,FALSE)</f>
        <v>#N/A</v>
      </c>
      <c r="S553">
        <v>544</v>
      </c>
      <c r="T553" t="e">
        <f>INDEX(Stammdaten[Krümmung (mm/lfm)],MATCH(Tabelle10[[#This Row],[Rank]],Stammdaten[Rank Verteilung Krümmung],0))</f>
        <v>#N/A</v>
      </c>
      <c r="U553" t="e">
        <f>VLOOKUP(Tabelle10[[#This Row],[Rank]],Stammdaten[[Rank Verteilung Krümmung]:[Verteilung Krümmung]],2,FALSE)</f>
        <v>#N/A</v>
      </c>
      <c r="Z553">
        <v>544</v>
      </c>
      <c r="AA553" t="e">
        <f>INDEX(Stammdaten[Ovalität (']0,1'])],MATCH(Tabelle1014[[#This Row],[Rank]],Stammdaten[Rank Verteilung Ovalität],0))</f>
        <v>#N/A</v>
      </c>
      <c r="AB553" t="e">
        <f>VLOOKUP(Tabelle1014[[#This Row],[Rank]],Stammdaten[[Rank Verteilung Ovalität]:[Verteilung Ovalität]],2,FALSE)</f>
        <v>#N/A</v>
      </c>
    </row>
    <row r="554" spans="5:28" x14ac:dyDescent="0.35">
      <c r="E554">
        <v>545</v>
      </c>
      <c r="F554" t="e">
        <f>INDEX(Stammdaten[D Mitte mit Rinde (mm)],MATCH(Tabelle8[[#This Row],[Rank]],Stammdaten[Rank Verteilung D Mitte mit Rinde],0))</f>
        <v>#N/A</v>
      </c>
      <c r="G554" t="e">
        <f>VLOOKUP(Tabelle8[[#This Row],[Rank]],Stammdaten[[Rank Verteilung D Mitte mit Rinde]:[Verteilung D Mitte mit Rinde]],2,FALSE)</f>
        <v>#N/A</v>
      </c>
      <c r="L554">
        <v>545</v>
      </c>
      <c r="M554" t="e">
        <f>INDEX(Stammdaten[Abholzigkeit (mm/lfm)],MATCH(Tabelle9[[#This Row],[Rank]],Stammdaten[Rank Verteilung Abholzigkeit],0))</f>
        <v>#N/A</v>
      </c>
      <c r="N554" t="e">
        <f>VLOOKUP(Tabelle9[[#This Row],[Rank]],Stammdaten[[Rank Verteilung Abholzigkeit]:[Verteilung Abholzigkeit]],2,FALSE)</f>
        <v>#N/A</v>
      </c>
      <c r="S554">
        <v>545</v>
      </c>
      <c r="T554" t="e">
        <f>INDEX(Stammdaten[Krümmung (mm/lfm)],MATCH(Tabelle10[[#This Row],[Rank]],Stammdaten[Rank Verteilung Krümmung],0))</f>
        <v>#N/A</v>
      </c>
      <c r="U554" t="e">
        <f>VLOOKUP(Tabelle10[[#This Row],[Rank]],Stammdaten[[Rank Verteilung Krümmung]:[Verteilung Krümmung]],2,FALSE)</f>
        <v>#N/A</v>
      </c>
      <c r="Z554">
        <v>545</v>
      </c>
      <c r="AA554" t="e">
        <f>INDEX(Stammdaten[Ovalität (']0,1'])],MATCH(Tabelle1014[[#This Row],[Rank]],Stammdaten[Rank Verteilung Ovalität],0))</f>
        <v>#N/A</v>
      </c>
      <c r="AB554" t="e">
        <f>VLOOKUP(Tabelle1014[[#This Row],[Rank]],Stammdaten[[Rank Verteilung Ovalität]:[Verteilung Ovalität]],2,FALSE)</f>
        <v>#N/A</v>
      </c>
    </row>
    <row r="555" spans="5:28" x14ac:dyDescent="0.35">
      <c r="E555">
        <v>546</v>
      </c>
      <c r="F555" t="e">
        <f>INDEX(Stammdaten[D Mitte mit Rinde (mm)],MATCH(Tabelle8[[#This Row],[Rank]],Stammdaten[Rank Verteilung D Mitte mit Rinde],0))</f>
        <v>#N/A</v>
      </c>
      <c r="G555" t="e">
        <f>VLOOKUP(Tabelle8[[#This Row],[Rank]],Stammdaten[[Rank Verteilung D Mitte mit Rinde]:[Verteilung D Mitte mit Rinde]],2,FALSE)</f>
        <v>#N/A</v>
      </c>
      <c r="L555">
        <v>546</v>
      </c>
      <c r="M555" t="e">
        <f>INDEX(Stammdaten[Abholzigkeit (mm/lfm)],MATCH(Tabelle9[[#This Row],[Rank]],Stammdaten[Rank Verteilung Abholzigkeit],0))</f>
        <v>#N/A</v>
      </c>
      <c r="N555" t="e">
        <f>VLOOKUP(Tabelle9[[#This Row],[Rank]],Stammdaten[[Rank Verteilung Abholzigkeit]:[Verteilung Abholzigkeit]],2,FALSE)</f>
        <v>#N/A</v>
      </c>
      <c r="S555">
        <v>546</v>
      </c>
      <c r="T555" t="e">
        <f>INDEX(Stammdaten[Krümmung (mm/lfm)],MATCH(Tabelle10[[#This Row],[Rank]],Stammdaten[Rank Verteilung Krümmung],0))</f>
        <v>#N/A</v>
      </c>
      <c r="U555" t="e">
        <f>VLOOKUP(Tabelle10[[#This Row],[Rank]],Stammdaten[[Rank Verteilung Krümmung]:[Verteilung Krümmung]],2,FALSE)</f>
        <v>#N/A</v>
      </c>
      <c r="Z555">
        <v>546</v>
      </c>
      <c r="AA555" t="e">
        <f>INDEX(Stammdaten[Ovalität (']0,1'])],MATCH(Tabelle1014[[#This Row],[Rank]],Stammdaten[Rank Verteilung Ovalität],0))</f>
        <v>#N/A</v>
      </c>
      <c r="AB555" t="e">
        <f>VLOOKUP(Tabelle1014[[#This Row],[Rank]],Stammdaten[[Rank Verteilung Ovalität]:[Verteilung Ovalität]],2,FALSE)</f>
        <v>#N/A</v>
      </c>
    </row>
    <row r="556" spans="5:28" x14ac:dyDescent="0.35">
      <c r="E556">
        <v>547</v>
      </c>
      <c r="F556" t="e">
        <f>INDEX(Stammdaten[D Mitte mit Rinde (mm)],MATCH(Tabelle8[[#This Row],[Rank]],Stammdaten[Rank Verteilung D Mitte mit Rinde],0))</f>
        <v>#N/A</v>
      </c>
      <c r="G556" t="e">
        <f>VLOOKUP(Tabelle8[[#This Row],[Rank]],Stammdaten[[Rank Verteilung D Mitte mit Rinde]:[Verteilung D Mitte mit Rinde]],2,FALSE)</f>
        <v>#N/A</v>
      </c>
      <c r="L556">
        <v>547</v>
      </c>
      <c r="M556" t="e">
        <f>INDEX(Stammdaten[Abholzigkeit (mm/lfm)],MATCH(Tabelle9[[#This Row],[Rank]],Stammdaten[Rank Verteilung Abholzigkeit],0))</f>
        <v>#N/A</v>
      </c>
      <c r="N556" t="e">
        <f>VLOOKUP(Tabelle9[[#This Row],[Rank]],Stammdaten[[Rank Verteilung Abholzigkeit]:[Verteilung Abholzigkeit]],2,FALSE)</f>
        <v>#N/A</v>
      </c>
      <c r="S556">
        <v>547</v>
      </c>
      <c r="T556" t="e">
        <f>INDEX(Stammdaten[Krümmung (mm/lfm)],MATCH(Tabelle10[[#This Row],[Rank]],Stammdaten[Rank Verteilung Krümmung],0))</f>
        <v>#N/A</v>
      </c>
      <c r="U556" t="e">
        <f>VLOOKUP(Tabelle10[[#This Row],[Rank]],Stammdaten[[Rank Verteilung Krümmung]:[Verteilung Krümmung]],2,FALSE)</f>
        <v>#N/A</v>
      </c>
      <c r="Z556">
        <v>547</v>
      </c>
      <c r="AA556" t="e">
        <f>INDEX(Stammdaten[Ovalität (']0,1'])],MATCH(Tabelle1014[[#This Row],[Rank]],Stammdaten[Rank Verteilung Ovalität],0))</f>
        <v>#N/A</v>
      </c>
      <c r="AB556" t="e">
        <f>VLOOKUP(Tabelle1014[[#This Row],[Rank]],Stammdaten[[Rank Verteilung Ovalität]:[Verteilung Ovalität]],2,FALSE)</f>
        <v>#N/A</v>
      </c>
    </row>
    <row r="557" spans="5:28" x14ac:dyDescent="0.35">
      <c r="E557">
        <v>548</v>
      </c>
      <c r="F557" t="e">
        <f>INDEX(Stammdaten[D Mitte mit Rinde (mm)],MATCH(Tabelle8[[#This Row],[Rank]],Stammdaten[Rank Verteilung D Mitte mit Rinde],0))</f>
        <v>#N/A</v>
      </c>
      <c r="G557" t="e">
        <f>VLOOKUP(Tabelle8[[#This Row],[Rank]],Stammdaten[[Rank Verteilung D Mitte mit Rinde]:[Verteilung D Mitte mit Rinde]],2,FALSE)</f>
        <v>#N/A</v>
      </c>
      <c r="L557">
        <v>548</v>
      </c>
      <c r="M557" t="e">
        <f>INDEX(Stammdaten[Abholzigkeit (mm/lfm)],MATCH(Tabelle9[[#This Row],[Rank]],Stammdaten[Rank Verteilung Abholzigkeit],0))</f>
        <v>#N/A</v>
      </c>
      <c r="N557" t="e">
        <f>VLOOKUP(Tabelle9[[#This Row],[Rank]],Stammdaten[[Rank Verteilung Abholzigkeit]:[Verteilung Abholzigkeit]],2,FALSE)</f>
        <v>#N/A</v>
      </c>
      <c r="S557">
        <v>548</v>
      </c>
      <c r="T557" t="e">
        <f>INDEX(Stammdaten[Krümmung (mm/lfm)],MATCH(Tabelle10[[#This Row],[Rank]],Stammdaten[Rank Verteilung Krümmung],0))</f>
        <v>#N/A</v>
      </c>
      <c r="U557" t="e">
        <f>VLOOKUP(Tabelle10[[#This Row],[Rank]],Stammdaten[[Rank Verteilung Krümmung]:[Verteilung Krümmung]],2,FALSE)</f>
        <v>#N/A</v>
      </c>
      <c r="Z557">
        <v>548</v>
      </c>
      <c r="AA557" t="e">
        <f>INDEX(Stammdaten[Ovalität (']0,1'])],MATCH(Tabelle1014[[#This Row],[Rank]],Stammdaten[Rank Verteilung Ovalität],0))</f>
        <v>#N/A</v>
      </c>
      <c r="AB557" t="e">
        <f>VLOOKUP(Tabelle1014[[#This Row],[Rank]],Stammdaten[[Rank Verteilung Ovalität]:[Verteilung Ovalität]],2,FALSE)</f>
        <v>#N/A</v>
      </c>
    </row>
    <row r="558" spans="5:28" x14ac:dyDescent="0.35">
      <c r="E558">
        <v>549</v>
      </c>
      <c r="F558" t="e">
        <f>INDEX(Stammdaten[D Mitte mit Rinde (mm)],MATCH(Tabelle8[[#This Row],[Rank]],Stammdaten[Rank Verteilung D Mitte mit Rinde],0))</f>
        <v>#N/A</v>
      </c>
      <c r="G558" t="e">
        <f>VLOOKUP(Tabelle8[[#This Row],[Rank]],Stammdaten[[Rank Verteilung D Mitte mit Rinde]:[Verteilung D Mitte mit Rinde]],2,FALSE)</f>
        <v>#N/A</v>
      </c>
      <c r="L558">
        <v>549</v>
      </c>
      <c r="M558" t="e">
        <f>INDEX(Stammdaten[Abholzigkeit (mm/lfm)],MATCH(Tabelle9[[#This Row],[Rank]],Stammdaten[Rank Verteilung Abholzigkeit],0))</f>
        <v>#N/A</v>
      </c>
      <c r="N558" t="e">
        <f>VLOOKUP(Tabelle9[[#This Row],[Rank]],Stammdaten[[Rank Verteilung Abholzigkeit]:[Verteilung Abholzigkeit]],2,FALSE)</f>
        <v>#N/A</v>
      </c>
      <c r="S558">
        <v>549</v>
      </c>
      <c r="T558" t="e">
        <f>INDEX(Stammdaten[Krümmung (mm/lfm)],MATCH(Tabelle10[[#This Row],[Rank]],Stammdaten[Rank Verteilung Krümmung],0))</f>
        <v>#N/A</v>
      </c>
      <c r="U558" t="e">
        <f>VLOOKUP(Tabelle10[[#This Row],[Rank]],Stammdaten[[Rank Verteilung Krümmung]:[Verteilung Krümmung]],2,FALSE)</f>
        <v>#N/A</v>
      </c>
      <c r="Z558">
        <v>549</v>
      </c>
      <c r="AA558" t="e">
        <f>INDEX(Stammdaten[Ovalität (']0,1'])],MATCH(Tabelle1014[[#This Row],[Rank]],Stammdaten[Rank Verteilung Ovalität],0))</f>
        <v>#N/A</v>
      </c>
      <c r="AB558" t="e">
        <f>VLOOKUP(Tabelle1014[[#This Row],[Rank]],Stammdaten[[Rank Verteilung Ovalität]:[Verteilung Ovalität]],2,FALSE)</f>
        <v>#N/A</v>
      </c>
    </row>
    <row r="559" spans="5:28" x14ac:dyDescent="0.35">
      <c r="E559">
        <v>550</v>
      </c>
      <c r="F559" t="e">
        <f>INDEX(Stammdaten[D Mitte mit Rinde (mm)],MATCH(Tabelle8[[#This Row],[Rank]],Stammdaten[Rank Verteilung D Mitte mit Rinde],0))</f>
        <v>#N/A</v>
      </c>
      <c r="G559" t="e">
        <f>VLOOKUP(Tabelle8[[#This Row],[Rank]],Stammdaten[[Rank Verteilung D Mitte mit Rinde]:[Verteilung D Mitte mit Rinde]],2,FALSE)</f>
        <v>#N/A</v>
      </c>
      <c r="L559">
        <v>550</v>
      </c>
      <c r="M559" t="e">
        <f>INDEX(Stammdaten[Abholzigkeit (mm/lfm)],MATCH(Tabelle9[[#This Row],[Rank]],Stammdaten[Rank Verteilung Abholzigkeit],0))</f>
        <v>#N/A</v>
      </c>
      <c r="N559" t="e">
        <f>VLOOKUP(Tabelle9[[#This Row],[Rank]],Stammdaten[[Rank Verteilung Abholzigkeit]:[Verteilung Abholzigkeit]],2,FALSE)</f>
        <v>#N/A</v>
      </c>
      <c r="S559">
        <v>550</v>
      </c>
      <c r="T559" t="e">
        <f>INDEX(Stammdaten[Krümmung (mm/lfm)],MATCH(Tabelle10[[#This Row],[Rank]],Stammdaten[Rank Verteilung Krümmung],0))</f>
        <v>#N/A</v>
      </c>
      <c r="U559" t="e">
        <f>VLOOKUP(Tabelle10[[#This Row],[Rank]],Stammdaten[[Rank Verteilung Krümmung]:[Verteilung Krümmung]],2,FALSE)</f>
        <v>#N/A</v>
      </c>
      <c r="Z559">
        <v>550</v>
      </c>
      <c r="AA559" t="e">
        <f>INDEX(Stammdaten[Ovalität (']0,1'])],MATCH(Tabelle1014[[#This Row],[Rank]],Stammdaten[Rank Verteilung Ovalität],0))</f>
        <v>#N/A</v>
      </c>
      <c r="AB559" t="e">
        <f>VLOOKUP(Tabelle1014[[#This Row],[Rank]],Stammdaten[[Rank Verteilung Ovalität]:[Verteilung Ovalität]],2,FALSE)</f>
        <v>#N/A</v>
      </c>
    </row>
    <row r="560" spans="5:28" x14ac:dyDescent="0.35">
      <c r="E560">
        <v>551</v>
      </c>
      <c r="F560" t="e">
        <f>INDEX(Stammdaten[D Mitte mit Rinde (mm)],MATCH(Tabelle8[[#This Row],[Rank]],Stammdaten[Rank Verteilung D Mitte mit Rinde],0))</f>
        <v>#N/A</v>
      </c>
      <c r="G560" t="e">
        <f>VLOOKUP(Tabelle8[[#This Row],[Rank]],Stammdaten[[Rank Verteilung D Mitte mit Rinde]:[Verteilung D Mitte mit Rinde]],2,FALSE)</f>
        <v>#N/A</v>
      </c>
      <c r="L560">
        <v>551</v>
      </c>
      <c r="M560" t="e">
        <f>INDEX(Stammdaten[Abholzigkeit (mm/lfm)],MATCH(Tabelle9[[#This Row],[Rank]],Stammdaten[Rank Verteilung Abholzigkeit],0))</f>
        <v>#N/A</v>
      </c>
      <c r="N560" t="e">
        <f>VLOOKUP(Tabelle9[[#This Row],[Rank]],Stammdaten[[Rank Verteilung Abholzigkeit]:[Verteilung Abholzigkeit]],2,FALSE)</f>
        <v>#N/A</v>
      </c>
      <c r="S560">
        <v>551</v>
      </c>
      <c r="T560" t="e">
        <f>INDEX(Stammdaten[Krümmung (mm/lfm)],MATCH(Tabelle10[[#This Row],[Rank]],Stammdaten[Rank Verteilung Krümmung],0))</f>
        <v>#N/A</v>
      </c>
      <c r="U560" t="e">
        <f>VLOOKUP(Tabelle10[[#This Row],[Rank]],Stammdaten[[Rank Verteilung Krümmung]:[Verteilung Krümmung]],2,FALSE)</f>
        <v>#N/A</v>
      </c>
      <c r="Z560">
        <v>551</v>
      </c>
      <c r="AA560" t="e">
        <f>INDEX(Stammdaten[Ovalität (']0,1'])],MATCH(Tabelle1014[[#This Row],[Rank]],Stammdaten[Rank Verteilung Ovalität],0))</f>
        <v>#N/A</v>
      </c>
      <c r="AB560" t="e">
        <f>VLOOKUP(Tabelle1014[[#This Row],[Rank]],Stammdaten[[Rank Verteilung Ovalität]:[Verteilung Ovalität]],2,FALSE)</f>
        <v>#N/A</v>
      </c>
    </row>
    <row r="561" spans="5:28" x14ac:dyDescent="0.35">
      <c r="E561">
        <v>552</v>
      </c>
      <c r="F561" t="e">
        <f>INDEX(Stammdaten[D Mitte mit Rinde (mm)],MATCH(Tabelle8[[#This Row],[Rank]],Stammdaten[Rank Verteilung D Mitte mit Rinde],0))</f>
        <v>#N/A</v>
      </c>
      <c r="G561" t="e">
        <f>VLOOKUP(Tabelle8[[#This Row],[Rank]],Stammdaten[[Rank Verteilung D Mitte mit Rinde]:[Verteilung D Mitte mit Rinde]],2,FALSE)</f>
        <v>#N/A</v>
      </c>
      <c r="L561">
        <v>552</v>
      </c>
      <c r="M561" t="e">
        <f>INDEX(Stammdaten[Abholzigkeit (mm/lfm)],MATCH(Tabelle9[[#This Row],[Rank]],Stammdaten[Rank Verteilung Abholzigkeit],0))</f>
        <v>#N/A</v>
      </c>
      <c r="N561" t="e">
        <f>VLOOKUP(Tabelle9[[#This Row],[Rank]],Stammdaten[[Rank Verteilung Abholzigkeit]:[Verteilung Abholzigkeit]],2,FALSE)</f>
        <v>#N/A</v>
      </c>
      <c r="S561">
        <v>552</v>
      </c>
      <c r="T561" t="e">
        <f>INDEX(Stammdaten[Krümmung (mm/lfm)],MATCH(Tabelle10[[#This Row],[Rank]],Stammdaten[Rank Verteilung Krümmung],0))</f>
        <v>#N/A</v>
      </c>
      <c r="U561" t="e">
        <f>VLOOKUP(Tabelle10[[#This Row],[Rank]],Stammdaten[[Rank Verteilung Krümmung]:[Verteilung Krümmung]],2,FALSE)</f>
        <v>#N/A</v>
      </c>
      <c r="Z561">
        <v>552</v>
      </c>
      <c r="AA561" t="e">
        <f>INDEX(Stammdaten[Ovalität (']0,1'])],MATCH(Tabelle1014[[#This Row],[Rank]],Stammdaten[Rank Verteilung Ovalität],0))</f>
        <v>#N/A</v>
      </c>
      <c r="AB561" t="e">
        <f>VLOOKUP(Tabelle1014[[#This Row],[Rank]],Stammdaten[[Rank Verteilung Ovalität]:[Verteilung Ovalität]],2,FALSE)</f>
        <v>#N/A</v>
      </c>
    </row>
    <row r="562" spans="5:28" x14ac:dyDescent="0.35">
      <c r="E562">
        <v>553</v>
      </c>
      <c r="F562" t="e">
        <f>INDEX(Stammdaten[D Mitte mit Rinde (mm)],MATCH(Tabelle8[[#This Row],[Rank]],Stammdaten[Rank Verteilung D Mitte mit Rinde],0))</f>
        <v>#N/A</v>
      </c>
      <c r="G562" t="e">
        <f>VLOOKUP(Tabelle8[[#This Row],[Rank]],Stammdaten[[Rank Verteilung D Mitte mit Rinde]:[Verteilung D Mitte mit Rinde]],2,FALSE)</f>
        <v>#N/A</v>
      </c>
      <c r="L562">
        <v>553</v>
      </c>
      <c r="M562" t="e">
        <f>INDEX(Stammdaten[Abholzigkeit (mm/lfm)],MATCH(Tabelle9[[#This Row],[Rank]],Stammdaten[Rank Verteilung Abholzigkeit],0))</f>
        <v>#N/A</v>
      </c>
      <c r="N562" t="e">
        <f>VLOOKUP(Tabelle9[[#This Row],[Rank]],Stammdaten[[Rank Verteilung Abholzigkeit]:[Verteilung Abholzigkeit]],2,FALSE)</f>
        <v>#N/A</v>
      </c>
      <c r="S562">
        <v>553</v>
      </c>
      <c r="T562" t="e">
        <f>INDEX(Stammdaten[Krümmung (mm/lfm)],MATCH(Tabelle10[[#This Row],[Rank]],Stammdaten[Rank Verteilung Krümmung],0))</f>
        <v>#N/A</v>
      </c>
      <c r="U562" t="e">
        <f>VLOOKUP(Tabelle10[[#This Row],[Rank]],Stammdaten[[Rank Verteilung Krümmung]:[Verteilung Krümmung]],2,FALSE)</f>
        <v>#N/A</v>
      </c>
      <c r="Z562">
        <v>553</v>
      </c>
      <c r="AA562" t="e">
        <f>INDEX(Stammdaten[Ovalität (']0,1'])],MATCH(Tabelle1014[[#This Row],[Rank]],Stammdaten[Rank Verteilung Ovalität],0))</f>
        <v>#N/A</v>
      </c>
      <c r="AB562" t="e">
        <f>VLOOKUP(Tabelle1014[[#This Row],[Rank]],Stammdaten[[Rank Verteilung Ovalität]:[Verteilung Ovalität]],2,FALSE)</f>
        <v>#N/A</v>
      </c>
    </row>
    <row r="563" spans="5:28" x14ac:dyDescent="0.35">
      <c r="E563">
        <v>554</v>
      </c>
      <c r="F563" t="e">
        <f>INDEX(Stammdaten[D Mitte mit Rinde (mm)],MATCH(Tabelle8[[#This Row],[Rank]],Stammdaten[Rank Verteilung D Mitte mit Rinde],0))</f>
        <v>#N/A</v>
      </c>
      <c r="G563" t="e">
        <f>VLOOKUP(Tabelle8[[#This Row],[Rank]],Stammdaten[[Rank Verteilung D Mitte mit Rinde]:[Verteilung D Mitte mit Rinde]],2,FALSE)</f>
        <v>#N/A</v>
      </c>
      <c r="L563">
        <v>554</v>
      </c>
      <c r="M563" t="e">
        <f>INDEX(Stammdaten[Abholzigkeit (mm/lfm)],MATCH(Tabelle9[[#This Row],[Rank]],Stammdaten[Rank Verteilung Abholzigkeit],0))</f>
        <v>#N/A</v>
      </c>
      <c r="N563" t="e">
        <f>VLOOKUP(Tabelle9[[#This Row],[Rank]],Stammdaten[[Rank Verteilung Abholzigkeit]:[Verteilung Abholzigkeit]],2,FALSE)</f>
        <v>#N/A</v>
      </c>
      <c r="S563">
        <v>554</v>
      </c>
      <c r="T563" t="e">
        <f>INDEX(Stammdaten[Krümmung (mm/lfm)],MATCH(Tabelle10[[#This Row],[Rank]],Stammdaten[Rank Verteilung Krümmung],0))</f>
        <v>#N/A</v>
      </c>
      <c r="U563" t="e">
        <f>VLOOKUP(Tabelle10[[#This Row],[Rank]],Stammdaten[[Rank Verteilung Krümmung]:[Verteilung Krümmung]],2,FALSE)</f>
        <v>#N/A</v>
      </c>
      <c r="Z563">
        <v>554</v>
      </c>
      <c r="AA563" t="e">
        <f>INDEX(Stammdaten[Ovalität (']0,1'])],MATCH(Tabelle1014[[#This Row],[Rank]],Stammdaten[Rank Verteilung Ovalität],0))</f>
        <v>#N/A</v>
      </c>
      <c r="AB563" t="e">
        <f>VLOOKUP(Tabelle1014[[#This Row],[Rank]],Stammdaten[[Rank Verteilung Ovalität]:[Verteilung Ovalität]],2,FALSE)</f>
        <v>#N/A</v>
      </c>
    </row>
    <row r="564" spans="5:28" x14ac:dyDescent="0.35">
      <c r="E564">
        <v>555</v>
      </c>
      <c r="F564" t="e">
        <f>INDEX(Stammdaten[D Mitte mit Rinde (mm)],MATCH(Tabelle8[[#This Row],[Rank]],Stammdaten[Rank Verteilung D Mitte mit Rinde],0))</f>
        <v>#N/A</v>
      </c>
      <c r="G564" t="e">
        <f>VLOOKUP(Tabelle8[[#This Row],[Rank]],Stammdaten[[Rank Verteilung D Mitte mit Rinde]:[Verteilung D Mitte mit Rinde]],2,FALSE)</f>
        <v>#N/A</v>
      </c>
      <c r="L564">
        <v>555</v>
      </c>
      <c r="M564" t="e">
        <f>INDEX(Stammdaten[Abholzigkeit (mm/lfm)],MATCH(Tabelle9[[#This Row],[Rank]],Stammdaten[Rank Verteilung Abholzigkeit],0))</f>
        <v>#N/A</v>
      </c>
      <c r="N564" t="e">
        <f>VLOOKUP(Tabelle9[[#This Row],[Rank]],Stammdaten[[Rank Verteilung Abholzigkeit]:[Verteilung Abholzigkeit]],2,FALSE)</f>
        <v>#N/A</v>
      </c>
      <c r="S564">
        <v>555</v>
      </c>
      <c r="T564" t="e">
        <f>INDEX(Stammdaten[Krümmung (mm/lfm)],MATCH(Tabelle10[[#This Row],[Rank]],Stammdaten[Rank Verteilung Krümmung],0))</f>
        <v>#N/A</v>
      </c>
      <c r="U564" t="e">
        <f>VLOOKUP(Tabelle10[[#This Row],[Rank]],Stammdaten[[Rank Verteilung Krümmung]:[Verteilung Krümmung]],2,FALSE)</f>
        <v>#N/A</v>
      </c>
      <c r="Z564">
        <v>555</v>
      </c>
      <c r="AA564" t="e">
        <f>INDEX(Stammdaten[Ovalität (']0,1'])],MATCH(Tabelle1014[[#This Row],[Rank]],Stammdaten[Rank Verteilung Ovalität],0))</f>
        <v>#N/A</v>
      </c>
      <c r="AB564" t="e">
        <f>VLOOKUP(Tabelle1014[[#This Row],[Rank]],Stammdaten[[Rank Verteilung Ovalität]:[Verteilung Ovalität]],2,FALSE)</f>
        <v>#N/A</v>
      </c>
    </row>
    <row r="565" spans="5:28" x14ac:dyDescent="0.35">
      <c r="E565">
        <v>556</v>
      </c>
      <c r="F565" t="e">
        <f>INDEX(Stammdaten[D Mitte mit Rinde (mm)],MATCH(Tabelle8[[#This Row],[Rank]],Stammdaten[Rank Verteilung D Mitte mit Rinde],0))</f>
        <v>#N/A</v>
      </c>
      <c r="G565" t="e">
        <f>VLOOKUP(Tabelle8[[#This Row],[Rank]],Stammdaten[[Rank Verteilung D Mitte mit Rinde]:[Verteilung D Mitte mit Rinde]],2,FALSE)</f>
        <v>#N/A</v>
      </c>
      <c r="L565">
        <v>556</v>
      </c>
      <c r="M565" t="e">
        <f>INDEX(Stammdaten[Abholzigkeit (mm/lfm)],MATCH(Tabelle9[[#This Row],[Rank]],Stammdaten[Rank Verteilung Abholzigkeit],0))</f>
        <v>#N/A</v>
      </c>
      <c r="N565" t="e">
        <f>VLOOKUP(Tabelle9[[#This Row],[Rank]],Stammdaten[[Rank Verteilung Abholzigkeit]:[Verteilung Abholzigkeit]],2,FALSE)</f>
        <v>#N/A</v>
      </c>
      <c r="S565">
        <v>556</v>
      </c>
      <c r="T565" t="e">
        <f>INDEX(Stammdaten[Krümmung (mm/lfm)],MATCH(Tabelle10[[#This Row],[Rank]],Stammdaten[Rank Verteilung Krümmung],0))</f>
        <v>#N/A</v>
      </c>
      <c r="U565" t="e">
        <f>VLOOKUP(Tabelle10[[#This Row],[Rank]],Stammdaten[[Rank Verteilung Krümmung]:[Verteilung Krümmung]],2,FALSE)</f>
        <v>#N/A</v>
      </c>
      <c r="Z565">
        <v>556</v>
      </c>
      <c r="AA565" t="e">
        <f>INDEX(Stammdaten[Ovalität (']0,1'])],MATCH(Tabelle1014[[#This Row],[Rank]],Stammdaten[Rank Verteilung Ovalität],0))</f>
        <v>#N/A</v>
      </c>
      <c r="AB565" t="e">
        <f>VLOOKUP(Tabelle1014[[#This Row],[Rank]],Stammdaten[[Rank Verteilung Ovalität]:[Verteilung Ovalität]],2,FALSE)</f>
        <v>#N/A</v>
      </c>
    </row>
    <row r="566" spans="5:28" x14ac:dyDescent="0.35">
      <c r="E566">
        <v>557</v>
      </c>
      <c r="F566" t="e">
        <f>INDEX(Stammdaten[D Mitte mit Rinde (mm)],MATCH(Tabelle8[[#This Row],[Rank]],Stammdaten[Rank Verteilung D Mitte mit Rinde],0))</f>
        <v>#N/A</v>
      </c>
      <c r="G566" t="e">
        <f>VLOOKUP(Tabelle8[[#This Row],[Rank]],Stammdaten[[Rank Verteilung D Mitte mit Rinde]:[Verteilung D Mitte mit Rinde]],2,FALSE)</f>
        <v>#N/A</v>
      </c>
      <c r="L566">
        <v>557</v>
      </c>
      <c r="M566" t="e">
        <f>INDEX(Stammdaten[Abholzigkeit (mm/lfm)],MATCH(Tabelle9[[#This Row],[Rank]],Stammdaten[Rank Verteilung Abholzigkeit],0))</f>
        <v>#N/A</v>
      </c>
      <c r="N566" t="e">
        <f>VLOOKUP(Tabelle9[[#This Row],[Rank]],Stammdaten[[Rank Verteilung Abholzigkeit]:[Verteilung Abholzigkeit]],2,FALSE)</f>
        <v>#N/A</v>
      </c>
      <c r="S566">
        <v>557</v>
      </c>
      <c r="T566" t="e">
        <f>INDEX(Stammdaten[Krümmung (mm/lfm)],MATCH(Tabelle10[[#This Row],[Rank]],Stammdaten[Rank Verteilung Krümmung],0))</f>
        <v>#N/A</v>
      </c>
      <c r="U566" t="e">
        <f>VLOOKUP(Tabelle10[[#This Row],[Rank]],Stammdaten[[Rank Verteilung Krümmung]:[Verteilung Krümmung]],2,FALSE)</f>
        <v>#N/A</v>
      </c>
      <c r="Z566">
        <v>557</v>
      </c>
      <c r="AA566" t="e">
        <f>INDEX(Stammdaten[Ovalität (']0,1'])],MATCH(Tabelle1014[[#This Row],[Rank]],Stammdaten[Rank Verteilung Ovalität],0))</f>
        <v>#N/A</v>
      </c>
      <c r="AB566" t="e">
        <f>VLOOKUP(Tabelle1014[[#This Row],[Rank]],Stammdaten[[Rank Verteilung Ovalität]:[Verteilung Ovalität]],2,FALSE)</f>
        <v>#N/A</v>
      </c>
    </row>
    <row r="567" spans="5:28" x14ac:dyDescent="0.35">
      <c r="E567">
        <v>558</v>
      </c>
      <c r="F567" t="e">
        <f>INDEX(Stammdaten[D Mitte mit Rinde (mm)],MATCH(Tabelle8[[#This Row],[Rank]],Stammdaten[Rank Verteilung D Mitte mit Rinde],0))</f>
        <v>#N/A</v>
      </c>
      <c r="G567" t="e">
        <f>VLOOKUP(Tabelle8[[#This Row],[Rank]],Stammdaten[[Rank Verteilung D Mitte mit Rinde]:[Verteilung D Mitte mit Rinde]],2,FALSE)</f>
        <v>#N/A</v>
      </c>
      <c r="L567">
        <v>558</v>
      </c>
      <c r="M567" t="e">
        <f>INDEX(Stammdaten[Abholzigkeit (mm/lfm)],MATCH(Tabelle9[[#This Row],[Rank]],Stammdaten[Rank Verteilung Abholzigkeit],0))</f>
        <v>#N/A</v>
      </c>
      <c r="N567" t="e">
        <f>VLOOKUP(Tabelle9[[#This Row],[Rank]],Stammdaten[[Rank Verteilung Abholzigkeit]:[Verteilung Abholzigkeit]],2,FALSE)</f>
        <v>#N/A</v>
      </c>
      <c r="S567">
        <v>558</v>
      </c>
      <c r="T567" t="e">
        <f>INDEX(Stammdaten[Krümmung (mm/lfm)],MATCH(Tabelle10[[#This Row],[Rank]],Stammdaten[Rank Verteilung Krümmung],0))</f>
        <v>#N/A</v>
      </c>
      <c r="U567" t="e">
        <f>VLOOKUP(Tabelle10[[#This Row],[Rank]],Stammdaten[[Rank Verteilung Krümmung]:[Verteilung Krümmung]],2,FALSE)</f>
        <v>#N/A</v>
      </c>
      <c r="Z567">
        <v>558</v>
      </c>
      <c r="AA567" t="e">
        <f>INDEX(Stammdaten[Ovalität (']0,1'])],MATCH(Tabelle1014[[#This Row],[Rank]],Stammdaten[Rank Verteilung Ovalität],0))</f>
        <v>#N/A</v>
      </c>
      <c r="AB567" t="e">
        <f>VLOOKUP(Tabelle1014[[#This Row],[Rank]],Stammdaten[[Rank Verteilung Ovalität]:[Verteilung Ovalität]],2,FALSE)</f>
        <v>#N/A</v>
      </c>
    </row>
    <row r="568" spans="5:28" x14ac:dyDescent="0.35">
      <c r="E568">
        <v>559</v>
      </c>
      <c r="F568" t="e">
        <f>INDEX(Stammdaten[D Mitte mit Rinde (mm)],MATCH(Tabelle8[[#This Row],[Rank]],Stammdaten[Rank Verteilung D Mitte mit Rinde],0))</f>
        <v>#N/A</v>
      </c>
      <c r="G568" t="e">
        <f>VLOOKUP(Tabelle8[[#This Row],[Rank]],Stammdaten[[Rank Verteilung D Mitte mit Rinde]:[Verteilung D Mitte mit Rinde]],2,FALSE)</f>
        <v>#N/A</v>
      </c>
      <c r="L568">
        <v>559</v>
      </c>
      <c r="M568" t="e">
        <f>INDEX(Stammdaten[Abholzigkeit (mm/lfm)],MATCH(Tabelle9[[#This Row],[Rank]],Stammdaten[Rank Verteilung Abholzigkeit],0))</f>
        <v>#N/A</v>
      </c>
      <c r="N568" t="e">
        <f>VLOOKUP(Tabelle9[[#This Row],[Rank]],Stammdaten[[Rank Verteilung Abholzigkeit]:[Verteilung Abholzigkeit]],2,FALSE)</f>
        <v>#N/A</v>
      </c>
      <c r="S568">
        <v>559</v>
      </c>
      <c r="T568" t="e">
        <f>INDEX(Stammdaten[Krümmung (mm/lfm)],MATCH(Tabelle10[[#This Row],[Rank]],Stammdaten[Rank Verteilung Krümmung],0))</f>
        <v>#N/A</v>
      </c>
      <c r="U568" t="e">
        <f>VLOOKUP(Tabelle10[[#This Row],[Rank]],Stammdaten[[Rank Verteilung Krümmung]:[Verteilung Krümmung]],2,FALSE)</f>
        <v>#N/A</v>
      </c>
      <c r="Z568">
        <v>559</v>
      </c>
      <c r="AA568" t="e">
        <f>INDEX(Stammdaten[Ovalität (']0,1'])],MATCH(Tabelle1014[[#This Row],[Rank]],Stammdaten[Rank Verteilung Ovalität],0))</f>
        <v>#N/A</v>
      </c>
      <c r="AB568" t="e">
        <f>VLOOKUP(Tabelle1014[[#This Row],[Rank]],Stammdaten[[Rank Verteilung Ovalität]:[Verteilung Ovalität]],2,FALSE)</f>
        <v>#N/A</v>
      </c>
    </row>
    <row r="569" spans="5:28" x14ac:dyDescent="0.35">
      <c r="E569">
        <v>560</v>
      </c>
      <c r="F569" t="e">
        <f>INDEX(Stammdaten[D Mitte mit Rinde (mm)],MATCH(Tabelle8[[#This Row],[Rank]],Stammdaten[Rank Verteilung D Mitte mit Rinde],0))</f>
        <v>#N/A</v>
      </c>
      <c r="G569" t="e">
        <f>VLOOKUP(Tabelle8[[#This Row],[Rank]],Stammdaten[[Rank Verteilung D Mitte mit Rinde]:[Verteilung D Mitte mit Rinde]],2,FALSE)</f>
        <v>#N/A</v>
      </c>
      <c r="L569">
        <v>560</v>
      </c>
      <c r="M569" t="e">
        <f>INDEX(Stammdaten[Abholzigkeit (mm/lfm)],MATCH(Tabelle9[[#This Row],[Rank]],Stammdaten[Rank Verteilung Abholzigkeit],0))</f>
        <v>#N/A</v>
      </c>
      <c r="N569" t="e">
        <f>VLOOKUP(Tabelle9[[#This Row],[Rank]],Stammdaten[[Rank Verteilung Abholzigkeit]:[Verteilung Abholzigkeit]],2,FALSE)</f>
        <v>#N/A</v>
      </c>
      <c r="S569">
        <v>560</v>
      </c>
      <c r="T569" t="e">
        <f>INDEX(Stammdaten[Krümmung (mm/lfm)],MATCH(Tabelle10[[#This Row],[Rank]],Stammdaten[Rank Verteilung Krümmung],0))</f>
        <v>#N/A</v>
      </c>
      <c r="U569" t="e">
        <f>VLOOKUP(Tabelle10[[#This Row],[Rank]],Stammdaten[[Rank Verteilung Krümmung]:[Verteilung Krümmung]],2,FALSE)</f>
        <v>#N/A</v>
      </c>
      <c r="Z569">
        <v>560</v>
      </c>
      <c r="AA569" t="e">
        <f>INDEX(Stammdaten[Ovalität (']0,1'])],MATCH(Tabelle1014[[#This Row],[Rank]],Stammdaten[Rank Verteilung Ovalität],0))</f>
        <v>#N/A</v>
      </c>
      <c r="AB569" t="e">
        <f>VLOOKUP(Tabelle1014[[#This Row],[Rank]],Stammdaten[[Rank Verteilung Ovalität]:[Verteilung Ovalität]],2,FALSE)</f>
        <v>#N/A</v>
      </c>
    </row>
    <row r="570" spans="5:28" x14ac:dyDescent="0.35">
      <c r="E570">
        <v>561</v>
      </c>
      <c r="F570" t="e">
        <f>INDEX(Stammdaten[D Mitte mit Rinde (mm)],MATCH(Tabelle8[[#This Row],[Rank]],Stammdaten[Rank Verteilung D Mitte mit Rinde],0))</f>
        <v>#N/A</v>
      </c>
      <c r="G570" t="e">
        <f>VLOOKUP(Tabelle8[[#This Row],[Rank]],Stammdaten[[Rank Verteilung D Mitte mit Rinde]:[Verteilung D Mitte mit Rinde]],2,FALSE)</f>
        <v>#N/A</v>
      </c>
      <c r="L570">
        <v>561</v>
      </c>
      <c r="M570" t="e">
        <f>INDEX(Stammdaten[Abholzigkeit (mm/lfm)],MATCH(Tabelle9[[#This Row],[Rank]],Stammdaten[Rank Verteilung Abholzigkeit],0))</f>
        <v>#N/A</v>
      </c>
      <c r="N570" t="e">
        <f>VLOOKUP(Tabelle9[[#This Row],[Rank]],Stammdaten[[Rank Verteilung Abholzigkeit]:[Verteilung Abholzigkeit]],2,FALSE)</f>
        <v>#N/A</v>
      </c>
      <c r="S570">
        <v>561</v>
      </c>
      <c r="T570" t="e">
        <f>INDEX(Stammdaten[Krümmung (mm/lfm)],MATCH(Tabelle10[[#This Row],[Rank]],Stammdaten[Rank Verteilung Krümmung],0))</f>
        <v>#N/A</v>
      </c>
      <c r="U570" t="e">
        <f>VLOOKUP(Tabelle10[[#This Row],[Rank]],Stammdaten[[Rank Verteilung Krümmung]:[Verteilung Krümmung]],2,FALSE)</f>
        <v>#N/A</v>
      </c>
      <c r="Z570">
        <v>561</v>
      </c>
      <c r="AA570" t="e">
        <f>INDEX(Stammdaten[Ovalität (']0,1'])],MATCH(Tabelle1014[[#This Row],[Rank]],Stammdaten[Rank Verteilung Ovalität],0))</f>
        <v>#N/A</v>
      </c>
      <c r="AB570" t="e">
        <f>VLOOKUP(Tabelle1014[[#This Row],[Rank]],Stammdaten[[Rank Verteilung Ovalität]:[Verteilung Ovalität]],2,FALSE)</f>
        <v>#N/A</v>
      </c>
    </row>
    <row r="571" spans="5:28" x14ac:dyDescent="0.35">
      <c r="E571">
        <v>562</v>
      </c>
      <c r="F571" t="e">
        <f>INDEX(Stammdaten[D Mitte mit Rinde (mm)],MATCH(Tabelle8[[#This Row],[Rank]],Stammdaten[Rank Verteilung D Mitte mit Rinde],0))</f>
        <v>#N/A</v>
      </c>
      <c r="G571" t="e">
        <f>VLOOKUP(Tabelle8[[#This Row],[Rank]],Stammdaten[[Rank Verteilung D Mitte mit Rinde]:[Verteilung D Mitte mit Rinde]],2,FALSE)</f>
        <v>#N/A</v>
      </c>
      <c r="L571">
        <v>562</v>
      </c>
      <c r="M571" t="e">
        <f>INDEX(Stammdaten[Abholzigkeit (mm/lfm)],MATCH(Tabelle9[[#This Row],[Rank]],Stammdaten[Rank Verteilung Abholzigkeit],0))</f>
        <v>#N/A</v>
      </c>
      <c r="N571" t="e">
        <f>VLOOKUP(Tabelle9[[#This Row],[Rank]],Stammdaten[[Rank Verteilung Abholzigkeit]:[Verteilung Abholzigkeit]],2,FALSE)</f>
        <v>#N/A</v>
      </c>
      <c r="S571">
        <v>562</v>
      </c>
      <c r="T571" t="e">
        <f>INDEX(Stammdaten[Krümmung (mm/lfm)],MATCH(Tabelle10[[#This Row],[Rank]],Stammdaten[Rank Verteilung Krümmung],0))</f>
        <v>#N/A</v>
      </c>
      <c r="U571" t="e">
        <f>VLOOKUP(Tabelle10[[#This Row],[Rank]],Stammdaten[[Rank Verteilung Krümmung]:[Verteilung Krümmung]],2,FALSE)</f>
        <v>#N/A</v>
      </c>
      <c r="Z571">
        <v>562</v>
      </c>
      <c r="AA571" t="e">
        <f>INDEX(Stammdaten[Ovalität (']0,1'])],MATCH(Tabelle1014[[#This Row],[Rank]],Stammdaten[Rank Verteilung Ovalität],0))</f>
        <v>#N/A</v>
      </c>
      <c r="AB571" t="e">
        <f>VLOOKUP(Tabelle1014[[#This Row],[Rank]],Stammdaten[[Rank Verteilung Ovalität]:[Verteilung Ovalität]],2,FALSE)</f>
        <v>#N/A</v>
      </c>
    </row>
    <row r="572" spans="5:28" x14ac:dyDescent="0.35">
      <c r="E572">
        <v>563</v>
      </c>
      <c r="F572" t="e">
        <f>INDEX(Stammdaten[D Mitte mit Rinde (mm)],MATCH(Tabelle8[[#This Row],[Rank]],Stammdaten[Rank Verteilung D Mitte mit Rinde],0))</f>
        <v>#N/A</v>
      </c>
      <c r="G572" t="e">
        <f>VLOOKUP(Tabelle8[[#This Row],[Rank]],Stammdaten[[Rank Verteilung D Mitte mit Rinde]:[Verteilung D Mitte mit Rinde]],2,FALSE)</f>
        <v>#N/A</v>
      </c>
      <c r="L572">
        <v>563</v>
      </c>
      <c r="M572" t="e">
        <f>INDEX(Stammdaten[Abholzigkeit (mm/lfm)],MATCH(Tabelle9[[#This Row],[Rank]],Stammdaten[Rank Verteilung Abholzigkeit],0))</f>
        <v>#N/A</v>
      </c>
      <c r="N572" t="e">
        <f>VLOOKUP(Tabelle9[[#This Row],[Rank]],Stammdaten[[Rank Verteilung Abholzigkeit]:[Verteilung Abholzigkeit]],2,FALSE)</f>
        <v>#N/A</v>
      </c>
      <c r="S572">
        <v>563</v>
      </c>
      <c r="T572" t="e">
        <f>INDEX(Stammdaten[Krümmung (mm/lfm)],MATCH(Tabelle10[[#This Row],[Rank]],Stammdaten[Rank Verteilung Krümmung],0))</f>
        <v>#N/A</v>
      </c>
      <c r="U572" t="e">
        <f>VLOOKUP(Tabelle10[[#This Row],[Rank]],Stammdaten[[Rank Verteilung Krümmung]:[Verteilung Krümmung]],2,FALSE)</f>
        <v>#N/A</v>
      </c>
      <c r="Z572">
        <v>563</v>
      </c>
      <c r="AA572" t="e">
        <f>INDEX(Stammdaten[Ovalität (']0,1'])],MATCH(Tabelle1014[[#This Row],[Rank]],Stammdaten[Rank Verteilung Ovalität],0))</f>
        <v>#N/A</v>
      </c>
      <c r="AB572" t="e">
        <f>VLOOKUP(Tabelle1014[[#This Row],[Rank]],Stammdaten[[Rank Verteilung Ovalität]:[Verteilung Ovalität]],2,FALSE)</f>
        <v>#N/A</v>
      </c>
    </row>
    <row r="573" spans="5:28" x14ac:dyDescent="0.35">
      <c r="E573">
        <v>564</v>
      </c>
      <c r="F573" t="e">
        <f>INDEX(Stammdaten[D Mitte mit Rinde (mm)],MATCH(Tabelle8[[#This Row],[Rank]],Stammdaten[Rank Verteilung D Mitte mit Rinde],0))</f>
        <v>#N/A</v>
      </c>
      <c r="G573" t="e">
        <f>VLOOKUP(Tabelle8[[#This Row],[Rank]],Stammdaten[[Rank Verteilung D Mitte mit Rinde]:[Verteilung D Mitte mit Rinde]],2,FALSE)</f>
        <v>#N/A</v>
      </c>
      <c r="L573">
        <v>564</v>
      </c>
      <c r="M573" t="e">
        <f>INDEX(Stammdaten[Abholzigkeit (mm/lfm)],MATCH(Tabelle9[[#This Row],[Rank]],Stammdaten[Rank Verteilung Abholzigkeit],0))</f>
        <v>#N/A</v>
      </c>
      <c r="N573" t="e">
        <f>VLOOKUP(Tabelle9[[#This Row],[Rank]],Stammdaten[[Rank Verteilung Abholzigkeit]:[Verteilung Abholzigkeit]],2,FALSE)</f>
        <v>#N/A</v>
      </c>
      <c r="S573">
        <v>564</v>
      </c>
      <c r="T573" t="e">
        <f>INDEX(Stammdaten[Krümmung (mm/lfm)],MATCH(Tabelle10[[#This Row],[Rank]],Stammdaten[Rank Verteilung Krümmung],0))</f>
        <v>#N/A</v>
      </c>
      <c r="U573" t="e">
        <f>VLOOKUP(Tabelle10[[#This Row],[Rank]],Stammdaten[[Rank Verteilung Krümmung]:[Verteilung Krümmung]],2,FALSE)</f>
        <v>#N/A</v>
      </c>
      <c r="Z573">
        <v>564</v>
      </c>
      <c r="AA573" t="e">
        <f>INDEX(Stammdaten[Ovalität (']0,1'])],MATCH(Tabelle1014[[#This Row],[Rank]],Stammdaten[Rank Verteilung Ovalität],0))</f>
        <v>#N/A</v>
      </c>
      <c r="AB573" t="e">
        <f>VLOOKUP(Tabelle1014[[#This Row],[Rank]],Stammdaten[[Rank Verteilung Ovalität]:[Verteilung Ovalität]],2,FALSE)</f>
        <v>#N/A</v>
      </c>
    </row>
    <row r="574" spans="5:28" x14ac:dyDescent="0.35">
      <c r="E574">
        <v>565</v>
      </c>
      <c r="F574" t="e">
        <f>INDEX(Stammdaten[D Mitte mit Rinde (mm)],MATCH(Tabelle8[[#This Row],[Rank]],Stammdaten[Rank Verteilung D Mitte mit Rinde],0))</f>
        <v>#N/A</v>
      </c>
      <c r="G574" t="e">
        <f>VLOOKUP(Tabelle8[[#This Row],[Rank]],Stammdaten[[Rank Verteilung D Mitte mit Rinde]:[Verteilung D Mitte mit Rinde]],2,FALSE)</f>
        <v>#N/A</v>
      </c>
      <c r="L574">
        <v>565</v>
      </c>
      <c r="M574" t="e">
        <f>INDEX(Stammdaten[Abholzigkeit (mm/lfm)],MATCH(Tabelle9[[#This Row],[Rank]],Stammdaten[Rank Verteilung Abholzigkeit],0))</f>
        <v>#N/A</v>
      </c>
      <c r="N574" t="e">
        <f>VLOOKUP(Tabelle9[[#This Row],[Rank]],Stammdaten[[Rank Verteilung Abholzigkeit]:[Verteilung Abholzigkeit]],2,FALSE)</f>
        <v>#N/A</v>
      </c>
      <c r="S574">
        <v>565</v>
      </c>
      <c r="T574" t="e">
        <f>INDEX(Stammdaten[Krümmung (mm/lfm)],MATCH(Tabelle10[[#This Row],[Rank]],Stammdaten[Rank Verteilung Krümmung],0))</f>
        <v>#N/A</v>
      </c>
      <c r="U574" t="e">
        <f>VLOOKUP(Tabelle10[[#This Row],[Rank]],Stammdaten[[Rank Verteilung Krümmung]:[Verteilung Krümmung]],2,FALSE)</f>
        <v>#N/A</v>
      </c>
      <c r="Z574">
        <v>565</v>
      </c>
      <c r="AA574" t="e">
        <f>INDEX(Stammdaten[Ovalität (']0,1'])],MATCH(Tabelle1014[[#This Row],[Rank]],Stammdaten[Rank Verteilung Ovalität],0))</f>
        <v>#N/A</v>
      </c>
      <c r="AB574" t="e">
        <f>VLOOKUP(Tabelle1014[[#This Row],[Rank]],Stammdaten[[Rank Verteilung Ovalität]:[Verteilung Ovalität]],2,FALSE)</f>
        <v>#N/A</v>
      </c>
    </row>
    <row r="575" spans="5:28" x14ac:dyDescent="0.35">
      <c r="E575">
        <v>566</v>
      </c>
      <c r="F575" t="e">
        <f>INDEX(Stammdaten[D Mitte mit Rinde (mm)],MATCH(Tabelle8[[#This Row],[Rank]],Stammdaten[Rank Verteilung D Mitte mit Rinde],0))</f>
        <v>#N/A</v>
      </c>
      <c r="G575" t="e">
        <f>VLOOKUP(Tabelle8[[#This Row],[Rank]],Stammdaten[[Rank Verteilung D Mitte mit Rinde]:[Verteilung D Mitte mit Rinde]],2,FALSE)</f>
        <v>#N/A</v>
      </c>
      <c r="L575">
        <v>566</v>
      </c>
      <c r="M575" t="e">
        <f>INDEX(Stammdaten[Abholzigkeit (mm/lfm)],MATCH(Tabelle9[[#This Row],[Rank]],Stammdaten[Rank Verteilung Abholzigkeit],0))</f>
        <v>#N/A</v>
      </c>
      <c r="N575" t="e">
        <f>VLOOKUP(Tabelle9[[#This Row],[Rank]],Stammdaten[[Rank Verteilung Abholzigkeit]:[Verteilung Abholzigkeit]],2,FALSE)</f>
        <v>#N/A</v>
      </c>
      <c r="S575">
        <v>566</v>
      </c>
      <c r="T575" t="e">
        <f>INDEX(Stammdaten[Krümmung (mm/lfm)],MATCH(Tabelle10[[#This Row],[Rank]],Stammdaten[Rank Verteilung Krümmung],0))</f>
        <v>#N/A</v>
      </c>
      <c r="U575" t="e">
        <f>VLOOKUP(Tabelle10[[#This Row],[Rank]],Stammdaten[[Rank Verteilung Krümmung]:[Verteilung Krümmung]],2,FALSE)</f>
        <v>#N/A</v>
      </c>
      <c r="Z575">
        <v>566</v>
      </c>
      <c r="AA575" t="e">
        <f>INDEX(Stammdaten[Ovalität (']0,1'])],MATCH(Tabelle1014[[#This Row],[Rank]],Stammdaten[Rank Verteilung Ovalität],0))</f>
        <v>#N/A</v>
      </c>
      <c r="AB575" t="e">
        <f>VLOOKUP(Tabelle1014[[#This Row],[Rank]],Stammdaten[[Rank Verteilung Ovalität]:[Verteilung Ovalität]],2,FALSE)</f>
        <v>#N/A</v>
      </c>
    </row>
    <row r="576" spans="5:28" x14ac:dyDescent="0.35">
      <c r="E576">
        <v>567</v>
      </c>
      <c r="F576" t="e">
        <f>INDEX(Stammdaten[D Mitte mit Rinde (mm)],MATCH(Tabelle8[[#This Row],[Rank]],Stammdaten[Rank Verteilung D Mitte mit Rinde],0))</f>
        <v>#N/A</v>
      </c>
      <c r="G576" t="e">
        <f>VLOOKUP(Tabelle8[[#This Row],[Rank]],Stammdaten[[Rank Verteilung D Mitte mit Rinde]:[Verteilung D Mitte mit Rinde]],2,FALSE)</f>
        <v>#N/A</v>
      </c>
      <c r="L576">
        <v>567</v>
      </c>
      <c r="M576" t="e">
        <f>INDEX(Stammdaten[Abholzigkeit (mm/lfm)],MATCH(Tabelle9[[#This Row],[Rank]],Stammdaten[Rank Verteilung Abholzigkeit],0))</f>
        <v>#N/A</v>
      </c>
      <c r="N576" t="e">
        <f>VLOOKUP(Tabelle9[[#This Row],[Rank]],Stammdaten[[Rank Verteilung Abholzigkeit]:[Verteilung Abholzigkeit]],2,FALSE)</f>
        <v>#N/A</v>
      </c>
      <c r="S576">
        <v>567</v>
      </c>
      <c r="T576" t="e">
        <f>INDEX(Stammdaten[Krümmung (mm/lfm)],MATCH(Tabelle10[[#This Row],[Rank]],Stammdaten[Rank Verteilung Krümmung],0))</f>
        <v>#N/A</v>
      </c>
      <c r="U576" t="e">
        <f>VLOOKUP(Tabelle10[[#This Row],[Rank]],Stammdaten[[Rank Verteilung Krümmung]:[Verteilung Krümmung]],2,FALSE)</f>
        <v>#N/A</v>
      </c>
      <c r="Z576">
        <v>567</v>
      </c>
      <c r="AA576" t="e">
        <f>INDEX(Stammdaten[Ovalität (']0,1'])],MATCH(Tabelle1014[[#This Row],[Rank]],Stammdaten[Rank Verteilung Ovalität],0))</f>
        <v>#N/A</v>
      </c>
      <c r="AB576" t="e">
        <f>VLOOKUP(Tabelle1014[[#This Row],[Rank]],Stammdaten[[Rank Verteilung Ovalität]:[Verteilung Ovalität]],2,FALSE)</f>
        <v>#N/A</v>
      </c>
    </row>
    <row r="577" spans="5:28" x14ac:dyDescent="0.35">
      <c r="E577">
        <v>568</v>
      </c>
      <c r="F577" t="e">
        <f>INDEX(Stammdaten[D Mitte mit Rinde (mm)],MATCH(Tabelle8[[#This Row],[Rank]],Stammdaten[Rank Verteilung D Mitte mit Rinde],0))</f>
        <v>#N/A</v>
      </c>
      <c r="G577" t="e">
        <f>VLOOKUP(Tabelle8[[#This Row],[Rank]],Stammdaten[[Rank Verteilung D Mitte mit Rinde]:[Verteilung D Mitte mit Rinde]],2,FALSE)</f>
        <v>#N/A</v>
      </c>
      <c r="L577">
        <v>568</v>
      </c>
      <c r="M577" t="e">
        <f>INDEX(Stammdaten[Abholzigkeit (mm/lfm)],MATCH(Tabelle9[[#This Row],[Rank]],Stammdaten[Rank Verteilung Abholzigkeit],0))</f>
        <v>#N/A</v>
      </c>
      <c r="N577" t="e">
        <f>VLOOKUP(Tabelle9[[#This Row],[Rank]],Stammdaten[[Rank Verteilung Abholzigkeit]:[Verteilung Abholzigkeit]],2,FALSE)</f>
        <v>#N/A</v>
      </c>
      <c r="S577">
        <v>568</v>
      </c>
      <c r="T577" t="e">
        <f>INDEX(Stammdaten[Krümmung (mm/lfm)],MATCH(Tabelle10[[#This Row],[Rank]],Stammdaten[Rank Verteilung Krümmung],0))</f>
        <v>#N/A</v>
      </c>
      <c r="U577" t="e">
        <f>VLOOKUP(Tabelle10[[#This Row],[Rank]],Stammdaten[[Rank Verteilung Krümmung]:[Verteilung Krümmung]],2,FALSE)</f>
        <v>#N/A</v>
      </c>
      <c r="Z577">
        <v>568</v>
      </c>
      <c r="AA577" t="e">
        <f>INDEX(Stammdaten[Ovalität (']0,1'])],MATCH(Tabelle1014[[#This Row],[Rank]],Stammdaten[Rank Verteilung Ovalität],0))</f>
        <v>#N/A</v>
      </c>
      <c r="AB577" t="e">
        <f>VLOOKUP(Tabelle1014[[#This Row],[Rank]],Stammdaten[[Rank Verteilung Ovalität]:[Verteilung Ovalität]],2,FALSE)</f>
        <v>#N/A</v>
      </c>
    </row>
    <row r="578" spans="5:28" x14ac:dyDescent="0.35">
      <c r="E578">
        <v>569</v>
      </c>
      <c r="F578" t="e">
        <f>INDEX(Stammdaten[D Mitte mit Rinde (mm)],MATCH(Tabelle8[[#This Row],[Rank]],Stammdaten[Rank Verteilung D Mitte mit Rinde],0))</f>
        <v>#N/A</v>
      </c>
      <c r="G578" t="e">
        <f>VLOOKUP(Tabelle8[[#This Row],[Rank]],Stammdaten[[Rank Verteilung D Mitte mit Rinde]:[Verteilung D Mitte mit Rinde]],2,FALSE)</f>
        <v>#N/A</v>
      </c>
      <c r="L578">
        <v>569</v>
      </c>
      <c r="M578" t="e">
        <f>INDEX(Stammdaten[Abholzigkeit (mm/lfm)],MATCH(Tabelle9[[#This Row],[Rank]],Stammdaten[Rank Verteilung Abholzigkeit],0))</f>
        <v>#N/A</v>
      </c>
      <c r="N578" t="e">
        <f>VLOOKUP(Tabelle9[[#This Row],[Rank]],Stammdaten[[Rank Verteilung Abholzigkeit]:[Verteilung Abholzigkeit]],2,FALSE)</f>
        <v>#N/A</v>
      </c>
      <c r="S578">
        <v>569</v>
      </c>
      <c r="T578" t="e">
        <f>INDEX(Stammdaten[Krümmung (mm/lfm)],MATCH(Tabelle10[[#This Row],[Rank]],Stammdaten[Rank Verteilung Krümmung],0))</f>
        <v>#N/A</v>
      </c>
      <c r="U578" t="e">
        <f>VLOOKUP(Tabelle10[[#This Row],[Rank]],Stammdaten[[Rank Verteilung Krümmung]:[Verteilung Krümmung]],2,FALSE)</f>
        <v>#N/A</v>
      </c>
      <c r="Z578">
        <v>569</v>
      </c>
      <c r="AA578" t="e">
        <f>INDEX(Stammdaten[Ovalität (']0,1'])],MATCH(Tabelle1014[[#This Row],[Rank]],Stammdaten[Rank Verteilung Ovalität],0))</f>
        <v>#N/A</v>
      </c>
      <c r="AB578" t="e">
        <f>VLOOKUP(Tabelle1014[[#This Row],[Rank]],Stammdaten[[Rank Verteilung Ovalität]:[Verteilung Ovalität]],2,FALSE)</f>
        <v>#N/A</v>
      </c>
    </row>
    <row r="579" spans="5:28" x14ac:dyDescent="0.35">
      <c r="E579">
        <v>570</v>
      </c>
      <c r="F579" t="e">
        <f>INDEX(Stammdaten[D Mitte mit Rinde (mm)],MATCH(Tabelle8[[#This Row],[Rank]],Stammdaten[Rank Verteilung D Mitte mit Rinde],0))</f>
        <v>#N/A</v>
      </c>
      <c r="G579" t="e">
        <f>VLOOKUP(Tabelle8[[#This Row],[Rank]],Stammdaten[[Rank Verteilung D Mitte mit Rinde]:[Verteilung D Mitte mit Rinde]],2,FALSE)</f>
        <v>#N/A</v>
      </c>
      <c r="L579">
        <v>570</v>
      </c>
      <c r="M579" t="e">
        <f>INDEX(Stammdaten[Abholzigkeit (mm/lfm)],MATCH(Tabelle9[[#This Row],[Rank]],Stammdaten[Rank Verteilung Abholzigkeit],0))</f>
        <v>#N/A</v>
      </c>
      <c r="N579" t="e">
        <f>VLOOKUP(Tabelle9[[#This Row],[Rank]],Stammdaten[[Rank Verteilung Abholzigkeit]:[Verteilung Abholzigkeit]],2,FALSE)</f>
        <v>#N/A</v>
      </c>
      <c r="S579">
        <v>570</v>
      </c>
      <c r="T579" t="e">
        <f>INDEX(Stammdaten[Krümmung (mm/lfm)],MATCH(Tabelle10[[#This Row],[Rank]],Stammdaten[Rank Verteilung Krümmung],0))</f>
        <v>#N/A</v>
      </c>
      <c r="U579" t="e">
        <f>VLOOKUP(Tabelle10[[#This Row],[Rank]],Stammdaten[[Rank Verteilung Krümmung]:[Verteilung Krümmung]],2,FALSE)</f>
        <v>#N/A</v>
      </c>
      <c r="Z579">
        <v>570</v>
      </c>
      <c r="AA579" t="e">
        <f>INDEX(Stammdaten[Ovalität (']0,1'])],MATCH(Tabelle1014[[#This Row],[Rank]],Stammdaten[Rank Verteilung Ovalität],0))</f>
        <v>#N/A</v>
      </c>
      <c r="AB579" t="e">
        <f>VLOOKUP(Tabelle1014[[#This Row],[Rank]],Stammdaten[[Rank Verteilung Ovalität]:[Verteilung Ovalität]],2,FALSE)</f>
        <v>#N/A</v>
      </c>
    </row>
    <row r="580" spans="5:28" x14ac:dyDescent="0.35">
      <c r="E580">
        <v>571</v>
      </c>
      <c r="F580" t="e">
        <f>INDEX(Stammdaten[D Mitte mit Rinde (mm)],MATCH(Tabelle8[[#This Row],[Rank]],Stammdaten[Rank Verteilung D Mitte mit Rinde],0))</f>
        <v>#N/A</v>
      </c>
      <c r="G580" t="e">
        <f>VLOOKUP(Tabelle8[[#This Row],[Rank]],Stammdaten[[Rank Verteilung D Mitte mit Rinde]:[Verteilung D Mitte mit Rinde]],2,FALSE)</f>
        <v>#N/A</v>
      </c>
      <c r="L580">
        <v>571</v>
      </c>
      <c r="M580" t="e">
        <f>INDEX(Stammdaten[Abholzigkeit (mm/lfm)],MATCH(Tabelle9[[#This Row],[Rank]],Stammdaten[Rank Verteilung Abholzigkeit],0))</f>
        <v>#N/A</v>
      </c>
      <c r="N580" t="e">
        <f>VLOOKUP(Tabelle9[[#This Row],[Rank]],Stammdaten[[Rank Verteilung Abholzigkeit]:[Verteilung Abholzigkeit]],2,FALSE)</f>
        <v>#N/A</v>
      </c>
      <c r="S580">
        <v>571</v>
      </c>
      <c r="T580" t="e">
        <f>INDEX(Stammdaten[Krümmung (mm/lfm)],MATCH(Tabelle10[[#This Row],[Rank]],Stammdaten[Rank Verteilung Krümmung],0))</f>
        <v>#N/A</v>
      </c>
      <c r="U580" t="e">
        <f>VLOOKUP(Tabelle10[[#This Row],[Rank]],Stammdaten[[Rank Verteilung Krümmung]:[Verteilung Krümmung]],2,FALSE)</f>
        <v>#N/A</v>
      </c>
      <c r="Z580">
        <v>571</v>
      </c>
      <c r="AA580" t="e">
        <f>INDEX(Stammdaten[Ovalität (']0,1'])],MATCH(Tabelle1014[[#This Row],[Rank]],Stammdaten[Rank Verteilung Ovalität],0))</f>
        <v>#N/A</v>
      </c>
      <c r="AB580" t="e">
        <f>VLOOKUP(Tabelle1014[[#This Row],[Rank]],Stammdaten[[Rank Verteilung Ovalität]:[Verteilung Ovalität]],2,FALSE)</f>
        <v>#N/A</v>
      </c>
    </row>
    <row r="581" spans="5:28" x14ac:dyDescent="0.35">
      <c r="E581">
        <v>572</v>
      </c>
      <c r="F581" t="e">
        <f>INDEX(Stammdaten[D Mitte mit Rinde (mm)],MATCH(Tabelle8[[#This Row],[Rank]],Stammdaten[Rank Verteilung D Mitte mit Rinde],0))</f>
        <v>#N/A</v>
      </c>
      <c r="G581" t="e">
        <f>VLOOKUP(Tabelle8[[#This Row],[Rank]],Stammdaten[[Rank Verteilung D Mitte mit Rinde]:[Verteilung D Mitte mit Rinde]],2,FALSE)</f>
        <v>#N/A</v>
      </c>
      <c r="L581">
        <v>572</v>
      </c>
      <c r="M581" t="e">
        <f>INDEX(Stammdaten[Abholzigkeit (mm/lfm)],MATCH(Tabelle9[[#This Row],[Rank]],Stammdaten[Rank Verteilung Abholzigkeit],0))</f>
        <v>#N/A</v>
      </c>
      <c r="N581" t="e">
        <f>VLOOKUP(Tabelle9[[#This Row],[Rank]],Stammdaten[[Rank Verteilung Abholzigkeit]:[Verteilung Abholzigkeit]],2,FALSE)</f>
        <v>#N/A</v>
      </c>
      <c r="S581">
        <v>572</v>
      </c>
      <c r="T581" t="e">
        <f>INDEX(Stammdaten[Krümmung (mm/lfm)],MATCH(Tabelle10[[#This Row],[Rank]],Stammdaten[Rank Verteilung Krümmung],0))</f>
        <v>#N/A</v>
      </c>
      <c r="U581" t="e">
        <f>VLOOKUP(Tabelle10[[#This Row],[Rank]],Stammdaten[[Rank Verteilung Krümmung]:[Verteilung Krümmung]],2,FALSE)</f>
        <v>#N/A</v>
      </c>
      <c r="Z581">
        <v>572</v>
      </c>
      <c r="AA581" t="e">
        <f>INDEX(Stammdaten[Ovalität (']0,1'])],MATCH(Tabelle1014[[#This Row],[Rank]],Stammdaten[Rank Verteilung Ovalität],0))</f>
        <v>#N/A</v>
      </c>
      <c r="AB581" t="e">
        <f>VLOOKUP(Tabelle1014[[#This Row],[Rank]],Stammdaten[[Rank Verteilung Ovalität]:[Verteilung Ovalität]],2,FALSE)</f>
        <v>#N/A</v>
      </c>
    </row>
    <row r="582" spans="5:28" x14ac:dyDescent="0.35">
      <c r="E582">
        <v>573</v>
      </c>
      <c r="F582" t="e">
        <f>INDEX(Stammdaten[D Mitte mit Rinde (mm)],MATCH(Tabelle8[[#This Row],[Rank]],Stammdaten[Rank Verteilung D Mitte mit Rinde],0))</f>
        <v>#N/A</v>
      </c>
      <c r="G582" t="e">
        <f>VLOOKUP(Tabelle8[[#This Row],[Rank]],Stammdaten[[Rank Verteilung D Mitte mit Rinde]:[Verteilung D Mitte mit Rinde]],2,FALSE)</f>
        <v>#N/A</v>
      </c>
      <c r="L582">
        <v>573</v>
      </c>
      <c r="M582" t="e">
        <f>INDEX(Stammdaten[Abholzigkeit (mm/lfm)],MATCH(Tabelle9[[#This Row],[Rank]],Stammdaten[Rank Verteilung Abholzigkeit],0))</f>
        <v>#N/A</v>
      </c>
      <c r="N582" t="e">
        <f>VLOOKUP(Tabelle9[[#This Row],[Rank]],Stammdaten[[Rank Verteilung Abholzigkeit]:[Verteilung Abholzigkeit]],2,FALSE)</f>
        <v>#N/A</v>
      </c>
      <c r="S582">
        <v>573</v>
      </c>
      <c r="T582" t="e">
        <f>INDEX(Stammdaten[Krümmung (mm/lfm)],MATCH(Tabelle10[[#This Row],[Rank]],Stammdaten[Rank Verteilung Krümmung],0))</f>
        <v>#N/A</v>
      </c>
      <c r="U582" t="e">
        <f>VLOOKUP(Tabelle10[[#This Row],[Rank]],Stammdaten[[Rank Verteilung Krümmung]:[Verteilung Krümmung]],2,FALSE)</f>
        <v>#N/A</v>
      </c>
      <c r="Z582">
        <v>573</v>
      </c>
      <c r="AA582" t="e">
        <f>INDEX(Stammdaten[Ovalität (']0,1'])],MATCH(Tabelle1014[[#This Row],[Rank]],Stammdaten[Rank Verteilung Ovalität],0))</f>
        <v>#N/A</v>
      </c>
      <c r="AB582" t="e">
        <f>VLOOKUP(Tabelle1014[[#This Row],[Rank]],Stammdaten[[Rank Verteilung Ovalität]:[Verteilung Ovalität]],2,FALSE)</f>
        <v>#N/A</v>
      </c>
    </row>
    <row r="583" spans="5:28" x14ac:dyDescent="0.35">
      <c r="E583">
        <v>574</v>
      </c>
      <c r="F583" t="e">
        <f>INDEX(Stammdaten[D Mitte mit Rinde (mm)],MATCH(Tabelle8[[#This Row],[Rank]],Stammdaten[Rank Verteilung D Mitte mit Rinde],0))</f>
        <v>#N/A</v>
      </c>
      <c r="G583" t="e">
        <f>VLOOKUP(Tabelle8[[#This Row],[Rank]],Stammdaten[[Rank Verteilung D Mitte mit Rinde]:[Verteilung D Mitte mit Rinde]],2,FALSE)</f>
        <v>#N/A</v>
      </c>
      <c r="L583">
        <v>574</v>
      </c>
      <c r="M583" t="e">
        <f>INDEX(Stammdaten[Abholzigkeit (mm/lfm)],MATCH(Tabelle9[[#This Row],[Rank]],Stammdaten[Rank Verteilung Abholzigkeit],0))</f>
        <v>#N/A</v>
      </c>
      <c r="N583" t="e">
        <f>VLOOKUP(Tabelle9[[#This Row],[Rank]],Stammdaten[[Rank Verteilung Abholzigkeit]:[Verteilung Abholzigkeit]],2,FALSE)</f>
        <v>#N/A</v>
      </c>
      <c r="S583">
        <v>574</v>
      </c>
      <c r="T583" t="e">
        <f>INDEX(Stammdaten[Krümmung (mm/lfm)],MATCH(Tabelle10[[#This Row],[Rank]],Stammdaten[Rank Verteilung Krümmung],0))</f>
        <v>#N/A</v>
      </c>
      <c r="U583" t="e">
        <f>VLOOKUP(Tabelle10[[#This Row],[Rank]],Stammdaten[[Rank Verteilung Krümmung]:[Verteilung Krümmung]],2,FALSE)</f>
        <v>#N/A</v>
      </c>
      <c r="Z583">
        <v>574</v>
      </c>
      <c r="AA583" t="e">
        <f>INDEX(Stammdaten[Ovalität (']0,1'])],MATCH(Tabelle1014[[#This Row],[Rank]],Stammdaten[Rank Verteilung Ovalität],0))</f>
        <v>#N/A</v>
      </c>
      <c r="AB583" t="e">
        <f>VLOOKUP(Tabelle1014[[#This Row],[Rank]],Stammdaten[[Rank Verteilung Ovalität]:[Verteilung Ovalität]],2,FALSE)</f>
        <v>#N/A</v>
      </c>
    </row>
    <row r="584" spans="5:28" x14ac:dyDescent="0.35">
      <c r="E584">
        <v>575</v>
      </c>
      <c r="F584" t="e">
        <f>INDEX(Stammdaten[D Mitte mit Rinde (mm)],MATCH(Tabelle8[[#This Row],[Rank]],Stammdaten[Rank Verteilung D Mitte mit Rinde],0))</f>
        <v>#N/A</v>
      </c>
      <c r="G584" t="e">
        <f>VLOOKUP(Tabelle8[[#This Row],[Rank]],Stammdaten[[Rank Verteilung D Mitte mit Rinde]:[Verteilung D Mitte mit Rinde]],2,FALSE)</f>
        <v>#N/A</v>
      </c>
      <c r="L584">
        <v>575</v>
      </c>
      <c r="M584" t="e">
        <f>INDEX(Stammdaten[Abholzigkeit (mm/lfm)],MATCH(Tabelle9[[#This Row],[Rank]],Stammdaten[Rank Verteilung Abholzigkeit],0))</f>
        <v>#N/A</v>
      </c>
      <c r="N584" t="e">
        <f>VLOOKUP(Tabelle9[[#This Row],[Rank]],Stammdaten[[Rank Verteilung Abholzigkeit]:[Verteilung Abholzigkeit]],2,FALSE)</f>
        <v>#N/A</v>
      </c>
      <c r="S584">
        <v>575</v>
      </c>
      <c r="T584" t="e">
        <f>INDEX(Stammdaten[Krümmung (mm/lfm)],MATCH(Tabelle10[[#This Row],[Rank]],Stammdaten[Rank Verteilung Krümmung],0))</f>
        <v>#N/A</v>
      </c>
      <c r="U584" t="e">
        <f>VLOOKUP(Tabelle10[[#This Row],[Rank]],Stammdaten[[Rank Verteilung Krümmung]:[Verteilung Krümmung]],2,FALSE)</f>
        <v>#N/A</v>
      </c>
      <c r="Z584">
        <v>575</v>
      </c>
      <c r="AA584" t="e">
        <f>INDEX(Stammdaten[Ovalität (']0,1'])],MATCH(Tabelle1014[[#This Row],[Rank]],Stammdaten[Rank Verteilung Ovalität],0))</f>
        <v>#N/A</v>
      </c>
      <c r="AB584" t="e">
        <f>VLOOKUP(Tabelle1014[[#This Row],[Rank]],Stammdaten[[Rank Verteilung Ovalität]:[Verteilung Ovalität]],2,FALSE)</f>
        <v>#N/A</v>
      </c>
    </row>
    <row r="585" spans="5:28" x14ac:dyDescent="0.35">
      <c r="E585">
        <v>576</v>
      </c>
      <c r="F585" t="e">
        <f>INDEX(Stammdaten[D Mitte mit Rinde (mm)],MATCH(Tabelle8[[#This Row],[Rank]],Stammdaten[Rank Verteilung D Mitte mit Rinde],0))</f>
        <v>#N/A</v>
      </c>
      <c r="G585" t="e">
        <f>VLOOKUP(Tabelle8[[#This Row],[Rank]],Stammdaten[[Rank Verteilung D Mitte mit Rinde]:[Verteilung D Mitte mit Rinde]],2,FALSE)</f>
        <v>#N/A</v>
      </c>
      <c r="L585">
        <v>576</v>
      </c>
      <c r="M585" t="e">
        <f>INDEX(Stammdaten[Abholzigkeit (mm/lfm)],MATCH(Tabelle9[[#This Row],[Rank]],Stammdaten[Rank Verteilung Abholzigkeit],0))</f>
        <v>#N/A</v>
      </c>
      <c r="N585" t="e">
        <f>VLOOKUP(Tabelle9[[#This Row],[Rank]],Stammdaten[[Rank Verteilung Abholzigkeit]:[Verteilung Abholzigkeit]],2,FALSE)</f>
        <v>#N/A</v>
      </c>
      <c r="S585">
        <v>576</v>
      </c>
      <c r="T585" t="e">
        <f>INDEX(Stammdaten[Krümmung (mm/lfm)],MATCH(Tabelle10[[#This Row],[Rank]],Stammdaten[Rank Verteilung Krümmung],0))</f>
        <v>#N/A</v>
      </c>
      <c r="U585" t="e">
        <f>VLOOKUP(Tabelle10[[#This Row],[Rank]],Stammdaten[[Rank Verteilung Krümmung]:[Verteilung Krümmung]],2,FALSE)</f>
        <v>#N/A</v>
      </c>
      <c r="Z585">
        <v>576</v>
      </c>
      <c r="AA585" t="e">
        <f>INDEX(Stammdaten[Ovalität (']0,1'])],MATCH(Tabelle1014[[#This Row],[Rank]],Stammdaten[Rank Verteilung Ovalität],0))</f>
        <v>#N/A</v>
      </c>
      <c r="AB585" t="e">
        <f>VLOOKUP(Tabelle1014[[#This Row],[Rank]],Stammdaten[[Rank Verteilung Ovalität]:[Verteilung Ovalität]],2,FALSE)</f>
        <v>#N/A</v>
      </c>
    </row>
    <row r="586" spans="5:28" x14ac:dyDescent="0.35">
      <c r="E586">
        <v>577</v>
      </c>
      <c r="F586" t="e">
        <f>INDEX(Stammdaten[D Mitte mit Rinde (mm)],MATCH(Tabelle8[[#This Row],[Rank]],Stammdaten[Rank Verteilung D Mitte mit Rinde],0))</f>
        <v>#N/A</v>
      </c>
      <c r="G586" t="e">
        <f>VLOOKUP(Tabelle8[[#This Row],[Rank]],Stammdaten[[Rank Verteilung D Mitte mit Rinde]:[Verteilung D Mitte mit Rinde]],2,FALSE)</f>
        <v>#N/A</v>
      </c>
      <c r="L586">
        <v>577</v>
      </c>
      <c r="M586" t="e">
        <f>INDEX(Stammdaten[Abholzigkeit (mm/lfm)],MATCH(Tabelle9[[#This Row],[Rank]],Stammdaten[Rank Verteilung Abholzigkeit],0))</f>
        <v>#N/A</v>
      </c>
      <c r="N586" t="e">
        <f>VLOOKUP(Tabelle9[[#This Row],[Rank]],Stammdaten[[Rank Verteilung Abholzigkeit]:[Verteilung Abholzigkeit]],2,FALSE)</f>
        <v>#N/A</v>
      </c>
      <c r="S586">
        <v>577</v>
      </c>
      <c r="T586" t="e">
        <f>INDEX(Stammdaten[Krümmung (mm/lfm)],MATCH(Tabelle10[[#This Row],[Rank]],Stammdaten[Rank Verteilung Krümmung],0))</f>
        <v>#N/A</v>
      </c>
      <c r="U586" t="e">
        <f>VLOOKUP(Tabelle10[[#This Row],[Rank]],Stammdaten[[Rank Verteilung Krümmung]:[Verteilung Krümmung]],2,FALSE)</f>
        <v>#N/A</v>
      </c>
      <c r="Z586">
        <v>577</v>
      </c>
      <c r="AA586" t="e">
        <f>INDEX(Stammdaten[Ovalität (']0,1'])],MATCH(Tabelle1014[[#This Row],[Rank]],Stammdaten[Rank Verteilung Ovalität],0))</f>
        <v>#N/A</v>
      </c>
      <c r="AB586" t="e">
        <f>VLOOKUP(Tabelle1014[[#This Row],[Rank]],Stammdaten[[Rank Verteilung Ovalität]:[Verteilung Ovalität]],2,FALSE)</f>
        <v>#N/A</v>
      </c>
    </row>
    <row r="587" spans="5:28" x14ac:dyDescent="0.35">
      <c r="E587">
        <v>578</v>
      </c>
      <c r="F587" t="e">
        <f>INDEX(Stammdaten[D Mitte mit Rinde (mm)],MATCH(Tabelle8[[#This Row],[Rank]],Stammdaten[Rank Verteilung D Mitte mit Rinde],0))</f>
        <v>#N/A</v>
      </c>
      <c r="G587" t="e">
        <f>VLOOKUP(Tabelle8[[#This Row],[Rank]],Stammdaten[[Rank Verteilung D Mitte mit Rinde]:[Verteilung D Mitte mit Rinde]],2,FALSE)</f>
        <v>#N/A</v>
      </c>
      <c r="L587">
        <v>578</v>
      </c>
      <c r="M587" t="e">
        <f>INDEX(Stammdaten[Abholzigkeit (mm/lfm)],MATCH(Tabelle9[[#This Row],[Rank]],Stammdaten[Rank Verteilung Abholzigkeit],0))</f>
        <v>#N/A</v>
      </c>
      <c r="N587" t="e">
        <f>VLOOKUP(Tabelle9[[#This Row],[Rank]],Stammdaten[[Rank Verteilung Abholzigkeit]:[Verteilung Abholzigkeit]],2,FALSE)</f>
        <v>#N/A</v>
      </c>
      <c r="S587">
        <v>578</v>
      </c>
      <c r="T587" t="e">
        <f>INDEX(Stammdaten[Krümmung (mm/lfm)],MATCH(Tabelle10[[#This Row],[Rank]],Stammdaten[Rank Verteilung Krümmung],0))</f>
        <v>#N/A</v>
      </c>
      <c r="U587" t="e">
        <f>VLOOKUP(Tabelle10[[#This Row],[Rank]],Stammdaten[[Rank Verteilung Krümmung]:[Verteilung Krümmung]],2,FALSE)</f>
        <v>#N/A</v>
      </c>
      <c r="Z587">
        <v>578</v>
      </c>
      <c r="AA587" t="e">
        <f>INDEX(Stammdaten[Ovalität (']0,1'])],MATCH(Tabelle1014[[#This Row],[Rank]],Stammdaten[Rank Verteilung Ovalität],0))</f>
        <v>#N/A</v>
      </c>
      <c r="AB587" t="e">
        <f>VLOOKUP(Tabelle1014[[#This Row],[Rank]],Stammdaten[[Rank Verteilung Ovalität]:[Verteilung Ovalität]],2,FALSE)</f>
        <v>#N/A</v>
      </c>
    </row>
    <row r="588" spans="5:28" x14ac:dyDescent="0.35">
      <c r="E588">
        <v>579</v>
      </c>
      <c r="F588" t="e">
        <f>INDEX(Stammdaten[D Mitte mit Rinde (mm)],MATCH(Tabelle8[[#This Row],[Rank]],Stammdaten[Rank Verteilung D Mitte mit Rinde],0))</f>
        <v>#N/A</v>
      </c>
      <c r="G588" t="e">
        <f>VLOOKUP(Tabelle8[[#This Row],[Rank]],Stammdaten[[Rank Verteilung D Mitte mit Rinde]:[Verteilung D Mitte mit Rinde]],2,FALSE)</f>
        <v>#N/A</v>
      </c>
      <c r="L588">
        <v>579</v>
      </c>
      <c r="M588" t="e">
        <f>INDEX(Stammdaten[Abholzigkeit (mm/lfm)],MATCH(Tabelle9[[#This Row],[Rank]],Stammdaten[Rank Verteilung Abholzigkeit],0))</f>
        <v>#N/A</v>
      </c>
      <c r="N588" t="e">
        <f>VLOOKUP(Tabelle9[[#This Row],[Rank]],Stammdaten[[Rank Verteilung Abholzigkeit]:[Verteilung Abholzigkeit]],2,FALSE)</f>
        <v>#N/A</v>
      </c>
      <c r="S588">
        <v>579</v>
      </c>
      <c r="T588" t="e">
        <f>INDEX(Stammdaten[Krümmung (mm/lfm)],MATCH(Tabelle10[[#This Row],[Rank]],Stammdaten[Rank Verteilung Krümmung],0))</f>
        <v>#N/A</v>
      </c>
      <c r="U588" t="e">
        <f>VLOOKUP(Tabelle10[[#This Row],[Rank]],Stammdaten[[Rank Verteilung Krümmung]:[Verteilung Krümmung]],2,FALSE)</f>
        <v>#N/A</v>
      </c>
      <c r="Z588">
        <v>579</v>
      </c>
      <c r="AA588" t="e">
        <f>INDEX(Stammdaten[Ovalität (']0,1'])],MATCH(Tabelle1014[[#This Row],[Rank]],Stammdaten[Rank Verteilung Ovalität],0))</f>
        <v>#N/A</v>
      </c>
      <c r="AB588" t="e">
        <f>VLOOKUP(Tabelle1014[[#This Row],[Rank]],Stammdaten[[Rank Verteilung Ovalität]:[Verteilung Ovalität]],2,FALSE)</f>
        <v>#N/A</v>
      </c>
    </row>
    <row r="589" spans="5:28" x14ac:dyDescent="0.35">
      <c r="E589">
        <v>580</v>
      </c>
      <c r="F589" t="e">
        <f>INDEX(Stammdaten[D Mitte mit Rinde (mm)],MATCH(Tabelle8[[#This Row],[Rank]],Stammdaten[Rank Verteilung D Mitte mit Rinde],0))</f>
        <v>#N/A</v>
      </c>
      <c r="G589" t="e">
        <f>VLOOKUP(Tabelle8[[#This Row],[Rank]],Stammdaten[[Rank Verteilung D Mitte mit Rinde]:[Verteilung D Mitte mit Rinde]],2,FALSE)</f>
        <v>#N/A</v>
      </c>
      <c r="L589">
        <v>580</v>
      </c>
      <c r="M589" t="e">
        <f>INDEX(Stammdaten[Abholzigkeit (mm/lfm)],MATCH(Tabelle9[[#This Row],[Rank]],Stammdaten[Rank Verteilung Abholzigkeit],0))</f>
        <v>#N/A</v>
      </c>
      <c r="N589" t="e">
        <f>VLOOKUP(Tabelle9[[#This Row],[Rank]],Stammdaten[[Rank Verteilung Abholzigkeit]:[Verteilung Abholzigkeit]],2,FALSE)</f>
        <v>#N/A</v>
      </c>
      <c r="S589">
        <v>580</v>
      </c>
      <c r="T589" t="e">
        <f>INDEX(Stammdaten[Krümmung (mm/lfm)],MATCH(Tabelle10[[#This Row],[Rank]],Stammdaten[Rank Verteilung Krümmung],0))</f>
        <v>#N/A</v>
      </c>
      <c r="U589" t="e">
        <f>VLOOKUP(Tabelle10[[#This Row],[Rank]],Stammdaten[[Rank Verteilung Krümmung]:[Verteilung Krümmung]],2,FALSE)</f>
        <v>#N/A</v>
      </c>
      <c r="Z589">
        <v>580</v>
      </c>
      <c r="AA589" t="e">
        <f>INDEX(Stammdaten[Ovalität (']0,1'])],MATCH(Tabelle1014[[#This Row],[Rank]],Stammdaten[Rank Verteilung Ovalität],0))</f>
        <v>#N/A</v>
      </c>
      <c r="AB589" t="e">
        <f>VLOOKUP(Tabelle1014[[#This Row],[Rank]],Stammdaten[[Rank Verteilung Ovalität]:[Verteilung Ovalität]],2,FALSE)</f>
        <v>#N/A</v>
      </c>
    </row>
    <row r="590" spans="5:28" x14ac:dyDescent="0.35">
      <c r="E590">
        <v>581</v>
      </c>
      <c r="F590" t="e">
        <f>INDEX(Stammdaten[D Mitte mit Rinde (mm)],MATCH(Tabelle8[[#This Row],[Rank]],Stammdaten[Rank Verteilung D Mitte mit Rinde],0))</f>
        <v>#N/A</v>
      </c>
      <c r="G590" t="e">
        <f>VLOOKUP(Tabelle8[[#This Row],[Rank]],Stammdaten[[Rank Verteilung D Mitte mit Rinde]:[Verteilung D Mitte mit Rinde]],2,FALSE)</f>
        <v>#N/A</v>
      </c>
      <c r="L590">
        <v>581</v>
      </c>
      <c r="M590" t="e">
        <f>INDEX(Stammdaten[Abholzigkeit (mm/lfm)],MATCH(Tabelle9[[#This Row],[Rank]],Stammdaten[Rank Verteilung Abholzigkeit],0))</f>
        <v>#N/A</v>
      </c>
      <c r="N590" t="e">
        <f>VLOOKUP(Tabelle9[[#This Row],[Rank]],Stammdaten[[Rank Verteilung Abholzigkeit]:[Verteilung Abholzigkeit]],2,FALSE)</f>
        <v>#N/A</v>
      </c>
      <c r="S590">
        <v>581</v>
      </c>
      <c r="T590" t="e">
        <f>INDEX(Stammdaten[Krümmung (mm/lfm)],MATCH(Tabelle10[[#This Row],[Rank]],Stammdaten[Rank Verteilung Krümmung],0))</f>
        <v>#N/A</v>
      </c>
      <c r="U590" t="e">
        <f>VLOOKUP(Tabelle10[[#This Row],[Rank]],Stammdaten[[Rank Verteilung Krümmung]:[Verteilung Krümmung]],2,FALSE)</f>
        <v>#N/A</v>
      </c>
      <c r="Z590">
        <v>581</v>
      </c>
      <c r="AA590" t="e">
        <f>INDEX(Stammdaten[Ovalität (']0,1'])],MATCH(Tabelle1014[[#This Row],[Rank]],Stammdaten[Rank Verteilung Ovalität],0))</f>
        <v>#N/A</v>
      </c>
      <c r="AB590" t="e">
        <f>VLOOKUP(Tabelle1014[[#This Row],[Rank]],Stammdaten[[Rank Verteilung Ovalität]:[Verteilung Ovalität]],2,FALSE)</f>
        <v>#N/A</v>
      </c>
    </row>
    <row r="591" spans="5:28" x14ac:dyDescent="0.35">
      <c r="E591">
        <v>582</v>
      </c>
      <c r="F591" t="e">
        <f>INDEX(Stammdaten[D Mitte mit Rinde (mm)],MATCH(Tabelle8[[#This Row],[Rank]],Stammdaten[Rank Verteilung D Mitte mit Rinde],0))</f>
        <v>#N/A</v>
      </c>
      <c r="G591" t="e">
        <f>VLOOKUP(Tabelle8[[#This Row],[Rank]],Stammdaten[[Rank Verteilung D Mitte mit Rinde]:[Verteilung D Mitte mit Rinde]],2,FALSE)</f>
        <v>#N/A</v>
      </c>
      <c r="L591">
        <v>582</v>
      </c>
      <c r="M591" t="e">
        <f>INDEX(Stammdaten[Abholzigkeit (mm/lfm)],MATCH(Tabelle9[[#This Row],[Rank]],Stammdaten[Rank Verteilung Abholzigkeit],0))</f>
        <v>#N/A</v>
      </c>
      <c r="N591" t="e">
        <f>VLOOKUP(Tabelle9[[#This Row],[Rank]],Stammdaten[[Rank Verteilung Abholzigkeit]:[Verteilung Abholzigkeit]],2,FALSE)</f>
        <v>#N/A</v>
      </c>
      <c r="S591">
        <v>582</v>
      </c>
      <c r="T591" t="e">
        <f>INDEX(Stammdaten[Krümmung (mm/lfm)],MATCH(Tabelle10[[#This Row],[Rank]],Stammdaten[Rank Verteilung Krümmung],0))</f>
        <v>#N/A</v>
      </c>
      <c r="U591" t="e">
        <f>VLOOKUP(Tabelle10[[#This Row],[Rank]],Stammdaten[[Rank Verteilung Krümmung]:[Verteilung Krümmung]],2,FALSE)</f>
        <v>#N/A</v>
      </c>
      <c r="Z591">
        <v>582</v>
      </c>
      <c r="AA591" t="e">
        <f>INDEX(Stammdaten[Ovalität (']0,1'])],MATCH(Tabelle1014[[#This Row],[Rank]],Stammdaten[Rank Verteilung Ovalität],0))</f>
        <v>#N/A</v>
      </c>
      <c r="AB591" t="e">
        <f>VLOOKUP(Tabelle1014[[#This Row],[Rank]],Stammdaten[[Rank Verteilung Ovalität]:[Verteilung Ovalität]],2,FALSE)</f>
        <v>#N/A</v>
      </c>
    </row>
    <row r="592" spans="5:28" x14ac:dyDescent="0.35">
      <c r="E592">
        <v>583</v>
      </c>
      <c r="F592" t="e">
        <f>INDEX(Stammdaten[D Mitte mit Rinde (mm)],MATCH(Tabelle8[[#This Row],[Rank]],Stammdaten[Rank Verteilung D Mitte mit Rinde],0))</f>
        <v>#N/A</v>
      </c>
      <c r="G592" t="e">
        <f>VLOOKUP(Tabelle8[[#This Row],[Rank]],Stammdaten[[Rank Verteilung D Mitte mit Rinde]:[Verteilung D Mitte mit Rinde]],2,FALSE)</f>
        <v>#N/A</v>
      </c>
      <c r="L592">
        <v>583</v>
      </c>
      <c r="M592" t="e">
        <f>INDEX(Stammdaten[Abholzigkeit (mm/lfm)],MATCH(Tabelle9[[#This Row],[Rank]],Stammdaten[Rank Verteilung Abholzigkeit],0))</f>
        <v>#N/A</v>
      </c>
      <c r="N592" t="e">
        <f>VLOOKUP(Tabelle9[[#This Row],[Rank]],Stammdaten[[Rank Verteilung Abholzigkeit]:[Verteilung Abholzigkeit]],2,FALSE)</f>
        <v>#N/A</v>
      </c>
      <c r="S592">
        <v>583</v>
      </c>
      <c r="T592" t="e">
        <f>INDEX(Stammdaten[Krümmung (mm/lfm)],MATCH(Tabelle10[[#This Row],[Rank]],Stammdaten[Rank Verteilung Krümmung],0))</f>
        <v>#N/A</v>
      </c>
      <c r="U592" t="e">
        <f>VLOOKUP(Tabelle10[[#This Row],[Rank]],Stammdaten[[Rank Verteilung Krümmung]:[Verteilung Krümmung]],2,FALSE)</f>
        <v>#N/A</v>
      </c>
      <c r="Z592">
        <v>583</v>
      </c>
      <c r="AA592" t="e">
        <f>INDEX(Stammdaten[Ovalität (']0,1'])],MATCH(Tabelle1014[[#This Row],[Rank]],Stammdaten[Rank Verteilung Ovalität],0))</f>
        <v>#N/A</v>
      </c>
      <c r="AB592" t="e">
        <f>VLOOKUP(Tabelle1014[[#This Row],[Rank]],Stammdaten[[Rank Verteilung Ovalität]:[Verteilung Ovalität]],2,FALSE)</f>
        <v>#N/A</v>
      </c>
    </row>
    <row r="593" spans="5:28" x14ac:dyDescent="0.35">
      <c r="E593">
        <v>584</v>
      </c>
      <c r="F593" t="e">
        <f>INDEX(Stammdaten[D Mitte mit Rinde (mm)],MATCH(Tabelle8[[#This Row],[Rank]],Stammdaten[Rank Verteilung D Mitte mit Rinde],0))</f>
        <v>#N/A</v>
      </c>
      <c r="G593" t="e">
        <f>VLOOKUP(Tabelle8[[#This Row],[Rank]],Stammdaten[[Rank Verteilung D Mitte mit Rinde]:[Verteilung D Mitte mit Rinde]],2,FALSE)</f>
        <v>#N/A</v>
      </c>
      <c r="L593">
        <v>584</v>
      </c>
      <c r="M593" t="e">
        <f>INDEX(Stammdaten[Abholzigkeit (mm/lfm)],MATCH(Tabelle9[[#This Row],[Rank]],Stammdaten[Rank Verteilung Abholzigkeit],0))</f>
        <v>#N/A</v>
      </c>
      <c r="N593" t="e">
        <f>VLOOKUP(Tabelle9[[#This Row],[Rank]],Stammdaten[[Rank Verteilung Abholzigkeit]:[Verteilung Abholzigkeit]],2,FALSE)</f>
        <v>#N/A</v>
      </c>
      <c r="S593">
        <v>584</v>
      </c>
      <c r="T593" t="e">
        <f>INDEX(Stammdaten[Krümmung (mm/lfm)],MATCH(Tabelle10[[#This Row],[Rank]],Stammdaten[Rank Verteilung Krümmung],0))</f>
        <v>#N/A</v>
      </c>
      <c r="U593" t="e">
        <f>VLOOKUP(Tabelle10[[#This Row],[Rank]],Stammdaten[[Rank Verteilung Krümmung]:[Verteilung Krümmung]],2,FALSE)</f>
        <v>#N/A</v>
      </c>
      <c r="Z593">
        <v>584</v>
      </c>
      <c r="AA593" t="e">
        <f>INDEX(Stammdaten[Ovalität (']0,1'])],MATCH(Tabelle1014[[#This Row],[Rank]],Stammdaten[Rank Verteilung Ovalität],0))</f>
        <v>#N/A</v>
      </c>
      <c r="AB593" t="e">
        <f>VLOOKUP(Tabelle1014[[#This Row],[Rank]],Stammdaten[[Rank Verteilung Ovalität]:[Verteilung Ovalität]],2,FALSE)</f>
        <v>#N/A</v>
      </c>
    </row>
    <row r="594" spans="5:28" x14ac:dyDescent="0.35">
      <c r="E594">
        <v>585</v>
      </c>
      <c r="F594" t="e">
        <f>INDEX(Stammdaten[D Mitte mit Rinde (mm)],MATCH(Tabelle8[[#This Row],[Rank]],Stammdaten[Rank Verteilung D Mitte mit Rinde],0))</f>
        <v>#N/A</v>
      </c>
      <c r="G594" t="e">
        <f>VLOOKUP(Tabelle8[[#This Row],[Rank]],Stammdaten[[Rank Verteilung D Mitte mit Rinde]:[Verteilung D Mitte mit Rinde]],2,FALSE)</f>
        <v>#N/A</v>
      </c>
      <c r="L594">
        <v>585</v>
      </c>
      <c r="M594" t="e">
        <f>INDEX(Stammdaten[Abholzigkeit (mm/lfm)],MATCH(Tabelle9[[#This Row],[Rank]],Stammdaten[Rank Verteilung Abholzigkeit],0))</f>
        <v>#N/A</v>
      </c>
      <c r="N594" t="e">
        <f>VLOOKUP(Tabelle9[[#This Row],[Rank]],Stammdaten[[Rank Verteilung Abholzigkeit]:[Verteilung Abholzigkeit]],2,FALSE)</f>
        <v>#N/A</v>
      </c>
      <c r="S594">
        <v>585</v>
      </c>
      <c r="T594" t="e">
        <f>INDEX(Stammdaten[Krümmung (mm/lfm)],MATCH(Tabelle10[[#This Row],[Rank]],Stammdaten[Rank Verteilung Krümmung],0))</f>
        <v>#N/A</v>
      </c>
      <c r="U594" t="e">
        <f>VLOOKUP(Tabelle10[[#This Row],[Rank]],Stammdaten[[Rank Verteilung Krümmung]:[Verteilung Krümmung]],2,FALSE)</f>
        <v>#N/A</v>
      </c>
      <c r="Z594">
        <v>585</v>
      </c>
      <c r="AA594" t="e">
        <f>INDEX(Stammdaten[Ovalität (']0,1'])],MATCH(Tabelle1014[[#This Row],[Rank]],Stammdaten[Rank Verteilung Ovalität],0))</f>
        <v>#N/A</v>
      </c>
      <c r="AB594" t="e">
        <f>VLOOKUP(Tabelle1014[[#This Row],[Rank]],Stammdaten[[Rank Verteilung Ovalität]:[Verteilung Ovalität]],2,FALSE)</f>
        <v>#N/A</v>
      </c>
    </row>
    <row r="595" spans="5:28" x14ac:dyDescent="0.35">
      <c r="E595">
        <v>586</v>
      </c>
      <c r="F595" t="e">
        <f>INDEX(Stammdaten[D Mitte mit Rinde (mm)],MATCH(Tabelle8[[#This Row],[Rank]],Stammdaten[Rank Verteilung D Mitte mit Rinde],0))</f>
        <v>#N/A</v>
      </c>
      <c r="G595" t="e">
        <f>VLOOKUP(Tabelle8[[#This Row],[Rank]],Stammdaten[[Rank Verteilung D Mitte mit Rinde]:[Verteilung D Mitte mit Rinde]],2,FALSE)</f>
        <v>#N/A</v>
      </c>
      <c r="L595">
        <v>586</v>
      </c>
      <c r="M595" t="e">
        <f>INDEX(Stammdaten[Abholzigkeit (mm/lfm)],MATCH(Tabelle9[[#This Row],[Rank]],Stammdaten[Rank Verteilung Abholzigkeit],0))</f>
        <v>#N/A</v>
      </c>
      <c r="N595" t="e">
        <f>VLOOKUP(Tabelle9[[#This Row],[Rank]],Stammdaten[[Rank Verteilung Abholzigkeit]:[Verteilung Abholzigkeit]],2,FALSE)</f>
        <v>#N/A</v>
      </c>
      <c r="S595">
        <v>586</v>
      </c>
      <c r="T595" t="e">
        <f>INDEX(Stammdaten[Krümmung (mm/lfm)],MATCH(Tabelle10[[#This Row],[Rank]],Stammdaten[Rank Verteilung Krümmung],0))</f>
        <v>#N/A</v>
      </c>
      <c r="U595" t="e">
        <f>VLOOKUP(Tabelle10[[#This Row],[Rank]],Stammdaten[[Rank Verteilung Krümmung]:[Verteilung Krümmung]],2,FALSE)</f>
        <v>#N/A</v>
      </c>
      <c r="Z595">
        <v>586</v>
      </c>
      <c r="AA595" t="e">
        <f>INDEX(Stammdaten[Ovalität (']0,1'])],MATCH(Tabelle1014[[#This Row],[Rank]],Stammdaten[Rank Verteilung Ovalität],0))</f>
        <v>#N/A</v>
      </c>
      <c r="AB595" t="e">
        <f>VLOOKUP(Tabelle1014[[#This Row],[Rank]],Stammdaten[[Rank Verteilung Ovalität]:[Verteilung Ovalität]],2,FALSE)</f>
        <v>#N/A</v>
      </c>
    </row>
    <row r="596" spans="5:28" x14ac:dyDescent="0.35">
      <c r="E596">
        <v>587</v>
      </c>
      <c r="F596" t="e">
        <f>INDEX(Stammdaten[D Mitte mit Rinde (mm)],MATCH(Tabelle8[[#This Row],[Rank]],Stammdaten[Rank Verteilung D Mitte mit Rinde],0))</f>
        <v>#N/A</v>
      </c>
      <c r="G596" t="e">
        <f>VLOOKUP(Tabelle8[[#This Row],[Rank]],Stammdaten[[Rank Verteilung D Mitte mit Rinde]:[Verteilung D Mitte mit Rinde]],2,FALSE)</f>
        <v>#N/A</v>
      </c>
      <c r="L596">
        <v>587</v>
      </c>
      <c r="M596" t="e">
        <f>INDEX(Stammdaten[Abholzigkeit (mm/lfm)],MATCH(Tabelle9[[#This Row],[Rank]],Stammdaten[Rank Verteilung Abholzigkeit],0))</f>
        <v>#N/A</v>
      </c>
      <c r="N596" t="e">
        <f>VLOOKUP(Tabelle9[[#This Row],[Rank]],Stammdaten[[Rank Verteilung Abholzigkeit]:[Verteilung Abholzigkeit]],2,FALSE)</f>
        <v>#N/A</v>
      </c>
      <c r="S596">
        <v>587</v>
      </c>
      <c r="T596" t="e">
        <f>INDEX(Stammdaten[Krümmung (mm/lfm)],MATCH(Tabelle10[[#This Row],[Rank]],Stammdaten[Rank Verteilung Krümmung],0))</f>
        <v>#N/A</v>
      </c>
      <c r="U596" t="e">
        <f>VLOOKUP(Tabelle10[[#This Row],[Rank]],Stammdaten[[Rank Verteilung Krümmung]:[Verteilung Krümmung]],2,FALSE)</f>
        <v>#N/A</v>
      </c>
      <c r="Z596">
        <v>587</v>
      </c>
      <c r="AA596" t="e">
        <f>INDEX(Stammdaten[Ovalität (']0,1'])],MATCH(Tabelle1014[[#This Row],[Rank]],Stammdaten[Rank Verteilung Ovalität],0))</f>
        <v>#N/A</v>
      </c>
      <c r="AB596" t="e">
        <f>VLOOKUP(Tabelle1014[[#This Row],[Rank]],Stammdaten[[Rank Verteilung Ovalität]:[Verteilung Ovalität]],2,FALSE)</f>
        <v>#N/A</v>
      </c>
    </row>
    <row r="597" spans="5:28" x14ac:dyDescent="0.35">
      <c r="E597">
        <v>588</v>
      </c>
      <c r="F597" t="e">
        <f>INDEX(Stammdaten[D Mitte mit Rinde (mm)],MATCH(Tabelle8[[#This Row],[Rank]],Stammdaten[Rank Verteilung D Mitte mit Rinde],0))</f>
        <v>#N/A</v>
      </c>
      <c r="G597" t="e">
        <f>VLOOKUP(Tabelle8[[#This Row],[Rank]],Stammdaten[[Rank Verteilung D Mitte mit Rinde]:[Verteilung D Mitte mit Rinde]],2,FALSE)</f>
        <v>#N/A</v>
      </c>
      <c r="L597">
        <v>588</v>
      </c>
      <c r="M597" t="e">
        <f>INDEX(Stammdaten[Abholzigkeit (mm/lfm)],MATCH(Tabelle9[[#This Row],[Rank]],Stammdaten[Rank Verteilung Abholzigkeit],0))</f>
        <v>#N/A</v>
      </c>
      <c r="N597" t="e">
        <f>VLOOKUP(Tabelle9[[#This Row],[Rank]],Stammdaten[[Rank Verteilung Abholzigkeit]:[Verteilung Abholzigkeit]],2,FALSE)</f>
        <v>#N/A</v>
      </c>
      <c r="S597">
        <v>588</v>
      </c>
      <c r="T597" t="e">
        <f>INDEX(Stammdaten[Krümmung (mm/lfm)],MATCH(Tabelle10[[#This Row],[Rank]],Stammdaten[Rank Verteilung Krümmung],0))</f>
        <v>#N/A</v>
      </c>
      <c r="U597" t="e">
        <f>VLOOKUP(Tabelle10[[#This Row],[Rank]],Stammdaten[[Rank Verteilung Krümmung]:[Verteilung Krümmung]],2,FALSE)</f>
        <v>#N/A</v>
      </c>
      <c r="Z597">
        <v>588</v>
      </c>
      <c r="AA597" t="e">
        <f>INDEX(Stammdaten[Ovalität (']0,1'])],MATCH(Tabelle1014[[#This Row],[Rank]],Stammdaten[Rank Verteilung Ovalität],0))</f>
        <v>#N/A</v>
      </c>
      <c r="AB597" t="e">
        <f>VLOOKUP(Tabelle1014[[#This Row],[Rank]],Stammdaten[[Rank Verteilung Ovalität]:[Verteilung Ovalität]],2,FALSE)</f>
        <v>#N/A</v>
      </c>
    </row>
    <row r="598" spans="5:28" x14ac:dyDescent="0.35">
      <c r="E598">
        <v>589</v>
      </c>
      <c r="F598" t="e">
        <f>INDEX(Stammdaten[D Mitte mit Rinde (mm)],MATCH(Tabelle8[[#This Row],[Rank]],Stammdaten[Rank Verteilung D Mitte mit Rinde],0))</f>
        <v>#N/A</v>
      </c>
      <c r="G598" t="e">
        <f>VLOOKUP(Tabelle8[[#This Row],[Rank]],Stammdaten[[Rank Verteilung D Mitte mit Rinde]:[Verteilung D Mitte mit Rinde]],2,FALSE)</f>
        <v>#N/A</v>
      </c>
      <c r="L598">
        <v>589</v>
      </c>
      <c r="M598" t="e">
        <f>INDEX(Stammdaten[Abholzigkeit (mm/lfm)],MATCH(Tabelle9[[#This Row],[Rank]],Stammdaten[Rank Verteilung Abholzigkeit],0))</f>
        <v>#N/A</v>
      </c>
      <c r="N598" t="e">
        <f>VLOOKUP(Tabelle9[[#This Row],[Rank]],Stammdaten[[Rank Verteilung Abholzigkeit]:[Verteilung Abholzigkeit]],2,FALSE)</f>
        <v>#N/A</v>
      </c>
      <c r="S598">
        <v>589</v>
      </c>
      <c r="T598" t="e">
        <f>INDEX(Stammdaten[Krümmung (mm/lfm)],MATCH(Tabelle10[[#This Row],[Rank]],Stammdaten[Rank Verteilung Krümmung],0))</f>
        <v>#N/A</v>
      </c>
      <c r="U598" t="e">
        <f>VLOOKUP(Tabelle10[[#This Row],[Rank]],Stammdaten[[Rank Verteilung Krümmung]:[Verteilung Krümmung]],2,FALSE)</f>
        <v>#N/A</v>
      </c>
      <c r="Z598">
        <v>589</v>
      </c>
      <c r="AA598" t="e">
        <f>INDEX(Stammdaten[Ovalität (']0,1'])],MATCH(Tabelle1014[[#This Row],[Rank]],Stammdaten[Rank Verteilung Ovalität],0))</f>
        <v>#N/A</v>
      </c>
      <c r="AB598" t="e">
        <f>VLOOKUP(Tabelle1014[[#This Row],[Rank]],Stammdaten[[Rank Verteilung Ovalität]:[Verteilung Ovalität]],2,FALSE)</f>
        <v>#N/A</v>
      </c>
    </row>
    <row r="599" spans="5:28" x14ac:dyDescent="0.35">
      <c r="E599">
        <v>590</v>
      </c>
      <c r="F599" t="e">
        <f>INDEX(Stammdaten[D Mitte mit Rinde (mm)],MATCH(Tabelle8[[#This Row],[Rank]],Stammdaten[Rank Verteilung D Mitte mit Rinde],0))</f>
        <v>#N/A</v>
      </c>
      <c r="G599" t="e">
        <f>VLOOKUP(Tabelle8[[#This Row],[Rank]],Stammdaten[[Rank Verteilung D Mitte mit Rinde]:[Verteilung D Mitte mit Rinde]],2,FALSE)</f>
        <v>#N/A</v>
      </c>
      <c r="L599">
        <v>590</v>
      </c>
      <c r="M599" t="e">
        <f>INDEX(Stammdaten[Abholzigkeit (mm/lfm)],MATCH(Tabelle9[[#This Row],[Rank]],Stammdaten[Rank Verteilung Abholzigkeit],0))</f>
        <v>#N/A</v>
      </c>
      <c r="N599" t="e">
        <f>VLOOKUP(Tabelle9[[#This Row],[Rank]],Stammdaten[[Rank Verteilung Abholzigkeit]:[Verteilung Abholzigkeit]],2,FALSE)</f>
        <v>#N/A</v>
      </c>
      <c r="S599">
        <v>590</v>
      </c>
      <c r="T599" t="e">
        <f>INDEX(Stammdaten[Krümmung (mm/lfm)],MATCH(Tabelle10[[#This Row],[Rank]],Stammdaten[Rank Verteilung Krümmung],0))</f>
        <v>#N/A</v>
      </c>
      <c r="U599" t="e">
        <f>VLOOKUP(Tabelle10[[#This Row],[Rank]],Stammdaten[[Rank Verteilung Krümmung]:[Verteilung Krümmung]],2,FALSE)</f>
        <v>#N/A</v>
      </c>
      <c r="Z599">
        <v>590</v>
      </c>
      <c r="AA599" t="e">
        <f>INDEX(Stammdaten[Ovalität (']0,1'])],MATCH(Tabelle1014[[#This Row],[Rank]],Stammdaten[Rank Verteilung Ovalität],0))</f>
        <v>#N/A</v>
      </c>
      <c r="AB599" t="e">
        <f>VLOOKUP(Tabelle1014[[#This Row],[Rank]],Stammdaten[[Rank Verteilung Ovalität]:[Verteilung Ovalität]],2,FALSE)</f>
        <v>#N/A</v>
      </c>
    </row>
    <row r="600" spans="5:28" x14ac:dyDescent="0.35">
      <c r="E600">
        <v>591</v>
      </c>
      <c r="F600" t="e">
        <f>INDEX(Stammdaten[D Mitte mit Rinde (mm)],MATCH(Tabelle8[[#This Row],[Rank]],Stammdaten[Rank Verteilung D Mitte mit Rinde],0))</f>
        <v>#N/A</v>
      </c>
      <c r="G600" t="e">
        <f>VLOOKUP(Tabelle8[[#This Row],[Rank]],Stammdaten[[Rank Verteilung D Mitte mit Rinde]:[Verteilung D Mitte mit Rinde]],2,FALSE)</f>
        <v>#N/A</v>
      </c>
      <c r="L600">
        <v>591</v>
      </c>
      <c r="M600" t="e">
        <f>INDEX(Stammdaten[Abholzigkeit (mm/lfm)],MATCH(Tabelle9[[#This Row],[Rank]],Stammdaten[Rank Verteilung Abholzigkeit],0))</f>
        <v>#N/A</v>
      </c>
      <c r="N600" t="e">
        <f>VLOOKUP(Tabelle9[[#This Row],[Rank]],Stammdaten[[Rank Verteilung Abholzigkeit]:[Verteilung Abholzigkeit]],2,FALSE)</f>
        <v>#N/A</v>
      </c>
      <c r="S600">
        <v>591</v>
      </c>
      <c r="T600" t="e">
        <f>INDEX(Stammdaten[Krümmung (mm/lfm)],MATCH(Tabelle10[[#This Row],[Rank]],Stammdaten[Rank Verteilung Krümmung],0))</f>
        <v>#N/A</v>
      </c>
      <c r="U600" t="e">
        <f>VLOOKUP(Tabelle10[[#This Row],[Rank]],Stammdaten[[Rank Verteilung Krümmung]:[Verteilung Krümmung]],2,FALSE)</f>
        <v>#N/A</v>
      </c>
      <c r="Z600">
        <v>591</v>
      </c>
      <c r="AA600" t="e">
        <f>INDEX(Stammdaten[Ovalität (']0,1'])],MATCH(Tabelle1014[[#This Row],[Rank]],Stammdaten[Rank Verteilung Ovalität],0))</f>
        <v>#N/A</v>
      </c>
      <c r="AB600" t="e">
        <f>VLOOKUP(Tabelle1014[[#This Row],[Rank]],Stammdaten[[Rank Verteilung Ovalität]:[Verteilung Ovalität]],2,FALSE)</f>
        <v>#N/A</v>
      </c>
    </row>
    <row r="601" spans="5:28" x14ac:dyDescent="0.35">
      <c r="E601">
        <v>592</v>
      </c>
      <c r="F601" t="e">
        <f>INDEX(Stammdaten[D Mitte mit Rinde (mm)],MATCH(Tabelle8[[#This Row],[Rank]],Stammdaten[Rank Verteilung D Mitte mit Rinde],0))</f>
        <v>#N/A</v>
      </c>
      <c r="G601" t="e">
        <f>VLOOKUP(Tabelle8[[#This Row],[Rank]],Stammdaten[[Rank Verteilung D Mitte mit Rinde]:[Verteilung D Mitte mit Rinde]],2,FALSE)</f>
        <v>#N/A</v>
      </c>
      <c r="L601">
        <v>592</v>
      </c>
      <c r="M601" t="e">
        <f>INDEX(Stammdaten[Abholzigkeit (mm/lfm)],MATCH(Tabelle9[[#This Row],[Rank]],Stammdaten[Rank Verteilung Abholzigkeit],0))</f>
        <v>#N/A</v>
      </c>
      <c r="N601" t="e">
        <f>VLOOKUP(Tabelle9[[#This Row],[Rank]],Stammdaten[[Rank Verteilung Abholzigkeit]:[Verteilung Abholzigkeit]],2,FALSE)</f>
        <v>#N/A</v>
      </c>
      <c r="S601">
        <v>592</v>
      </c>
      <c r="T601" t="e">
        <f>INDEX(Stammdaten[Krümmung (mm/lfm)],MATCH(Tabelle10[[#This Row],[Rank]],Stammdaten[Rank Verteilung Krümmung],0))</f>
        <v>#N/A</v>
      </c>
      <c r="U601" t="e">
        <f>VLOOKUP(Tabelle10[[#This Row],[Rank]],Stammdaten[[Rank Verteilung Krümmung]:[Verteilung Krümmung]],2,FALSE)</f>
        <v>#N/A</v>
      </c>
      <c r="Z601">
        <v>592</v>
      </c>
      <c r="AA601" t="e">
        <f>INDEX(Stammdaten[Ovalität (']0,1'])],MATCH(Tabelle1014[[#This Row],[Rank]],Stammdaten[Rank Verteilung Ovalität],0))</f>
        <v>#N/A</v>
      </c>
      <c r="AB601" t="e">
        <f>VLOOKUP(Tabelle1014[[#This Row],[Rank]],Stammdaten[[Rank Verteilung Ovalität]:[Verteilung Ovalität]],2,FALSE)</f>
        <v>#N/A</v>
      </c>
    </row>
    <row r="602" spans="5:28" x14ac:dyDescent="0.35">
      <c r="E602">
        <v>593</v>
      </c>
      <c r="F602" t="e">
        <f>INDEX(Stammdaten[D Mitte mit Rinde (mm)],MATCH(Tabelle8[[#This Row],[Rank]],Stammdaten[Rank Verteilung D Mitte mit Rinde],0))</f>
        <v>#N/A</v>
      </c>
      <c r="G602" t="e">
        <f>VLOOKUP(Tabelle8[[#This Row],[Rank]],Stammdaten[[Rank Verteilung D Mitte mit Rinde]:[Verteilung D Mitte mit Rinde]],2,FALSE)</f>
        <v>#N/A</v>
      </c>
      <c r="L602">
        <v>593</v>
      </c>
      <c r="M602" t="e">
        <f>INDEX(Stammdaten[Abholzigkeit (mm/lfm)],MATCH(Tabelle9[[#This Row],[Rank]],Stammdaten[Rank Verteilung Abholzigkeit],0))</f>
        <v>#N/A</v>
      </c>
      <c r="N602" t="e">
        <f>VLOOKUP(Tabelle9[[#This Row],[Rank]],Stammdaten[[Rank Verteilung Abholzigkeit]:[Verteilung Abholzigkeit]],2,FALSE)</f>
        <v>#N/A</v>
      </c>
      <c r="S602">
        <v>593</v>
      </c>
      <c r="T602" t="e">
        <f>INDEX(Stammdaten[Krümmung (mm/lfm)],MATCH(Tabelle10[[#This Row],[Rank]],Stammdaten[Rank Verteilung Krümmung],0))</f>
        <v>#N/A</v>
      </c>
      <c r="U602" t="e">
        <f>VLOOKUP(Tabelle10[[#This Row],[Rank]],Stammdaten[[Rank Verteilung Krümmung]:[Verteilung Krümmung]],2,FALSE)</f>
        <v>#N/A</v>
      </c>
      <c r="Z602">
        <v>593</v>
      </c>
      <c r="AA602" t="e">
        <f>INDEX(Stammdaten[Ovalität (']0,1'])],MATCH(Tabelle1014[[#This Row],[Rank]],Stammdaten[Rank Verteilung Ovalität],0))</f>
        <v>#N/A</v>
      </c>
      <c r="AB602" t="e">
        <f>VLOOKUP(Tabelle1014[[#This Row],[Rank]],Stammdaten[[Rank Verteilung Ovalität]:[Verteilung Ovalität]],2,FALSE)</f>
        <v>#N/A</v>
      </c>
    </row>
    <row r="603" spans="5:28" x14ac:dyDescent="0.35">
      <c r="E603">
        <v>594</v>
      </c>
      <c r="F603" t="e">
        <f>INDEX(Stammdaten[D Mitte mit Rinde (mm)],MATCH(Tabelle8[[#This Row],[Rank]],Stammdaten[Rank Verteilung D Mitte mit Rinde],0))</f>
        <v>#N/A</v>
      </c>
      <c r="G603" t="e">
        <f>VLOOKUP(Tabelle8[[#This Row],[Rank]],Stammdaten[[Rank Verteilung D Mitte mit Rinde]:[Verteilung D Mitte mit Rinde]],2,FALSE)</f>
        <v>#N/A</v>
      </c>
      <c r="L603">
        <v>594</v>
      </c>
      <c r="M603" t="e">
        <f>INDEX(Stammdaten[Abholzigkeit (mm/lfm)],MATCH(Tabelle9[[#This Row],[Rank]],Stammdaten[Rank Verteilung Abholzigkeit],0))</f>
        <v>#N/A</v>
      </c>
      <c r="N603" t="e">
        <f>VLOOKUP(Tabelle9[[#This Row],[Rank]],Stammdaten[[Rank Verteilung Abholzigkeit]:[Verteilung Abholzigkeit]],2,FALSE)</f>
        <v>#N/A</v>
      </c>
      <c r="S603">
        <v>594</v>
      </c>
      <c r="T603" t="e">
        <f>INDEX(Stammdaten[Krümmung (mm/lfm)],MATCH(Tabelle10[[#This Row],[Rank]],Stammdaten[Rank Verteilung Krümmung],0))</f>
        <v>#N/A</v>
      </c>
      <c r="U603" t="e">
        <f>VLOOKUP(Tabelle10[[#This Row],[Rank]],Stammdaten[[Rank Verteilung Krümmung]:[Verteilung Krümmung]],2,FALSE)</f>
        <v>#N/A</v>
      </c>
      <c r="Z603">
        <v>594</v>
      </c>
      <c r="AA603" t="e">
        <f>INDEX(Stammdaten[Ovalität (']0,1'])],MATCH(Tabelle1014[[#This Row],[Rank]],Stammdaten[Rank Verteilung Ovalität],0))</f>
        <v>#N/A</v>
      </c>
      <c r="AB603" t="e">
        <f>VLOOKUP(Tabelle1014[[#This Row],[Rank]],Stammdaten[[Rank Verteilung Ovalität]:[Verteilung Ovalität]],2,FALSE)</f>
        <v>#N/A</v>
      </c>
    </row>
    <row r="604" spans="5:28" x14ac:dyDescent="0.35">
      <c r="E604">
        <v>595</v>
      </c>
      <c r="F604" t="e">
        <f>INDEX(Stammdaten[D Mitte mit Rinde (mm)],MATCH(Tabelle8[[#This Row],[Rank]],Stammdaten[Rank Verteilung D Mitte mit Rinde],0))</f>
        <v>#N/A</v>
      </c>
      <c r="G604" t="e">
        <f>VLOOKUP(Tabelle8[[#This Row],[Rank]],Stammdaten[[Rank Verteilung D Mitte mit Rinde]:[Verteilung D Mitte mit Rinde]],2,FALSE)</f>
        <v>#N/A</v>
      </c>
      <c r="L604">
        <v>595</v>
      </c>
      <c r="M604" t="e">
        <f>INDEX(Stammdaten[Abholzigkeit (mm/lfm)],MATCH(Tabelle9[[#This Row],[Rank]],Stammdaten[Rank Verteilung Abholzigkeit],0))</f>
        <v>#N/A</v>
      </c>
      <c r="N604" t="e">
        <f>VLOOKUP(Tabelle9[[#This Row],[Rank]],Stammdaten[[Rank Verteilung Abholzigkeit]:[Verteilung Abholzigkeit]],2,FALSE)</f>
        <v>#N/A</v>
      </c>
      <c r="S604">
        <v>595</v>
      </c>
      <c r="T604" t="e">
        <f>INDEX(Stammdaten[Krümmung (mm/lfm)],MATCH(Tabelle10[[#This Row],[Rank]],Stammdaten[Rank Verteilung Krümmung],0))</f>
        <v>#N/A</v>
      </c>
      <c r="U604" t="e">
        <f>VLOOKUP(Tabelle10[[#This Row],[Rank]],Stammdaten[[Rank Verteilung Krümmung]:[Verteilung Krümmung]],2,FALSE)</f>
        <v>#N/A</v>
      </c>
      <c r="Z604">
        <v>595</v>
      </c>
      <c r="AA604" t="e">
        <f>INDEX(Stammdaten[Ovalität (']0,1'])],MATCH(Tabelle1014[[#This Row],[Rank]],Stammdaten[Rank Verteilung Ovalität],0))</f>
        <v>#N/A</v>
      </c>
      <c r="AB604" t="e">
        <f>VLOOKUP(Tabelle1014[[#This Row],[Rank]],Stammdaten[[Rank Verteilung Ovalität]:[Verteilung Ovalität]],2,FALSE)</f>
        <v>#N/A</v>
      </c>
    </row>
    <row r="605" spans="5:28" x14ac:dyDescent="0.35">
      <c r="E605">
        <v>596</v>
      </c>
      <c r="F605" t="e">
        <f>INDEX(Stammdaten[D Mitte mit Rinde (mm)],MATCH(Tabelle8[[#This Row],[Rank]],Stammdaten[Rank Verteilung D Mitte mit Rinde],0))</f>
        <v>#N/A</v>
      </c>
      <c r="G605" t="e">
        <f>VLOOKUP(Tabelle8[[#This Row],[Rank]],Stammdaten[[Rank Verteilung D Mitte mit Rinde]:[Verteilung D Mitte mit Rinde]],2,FALSE)</f>
        <v>#N/A</v>
      </c>
      <c r="L605">
        <v>596</v>
      </c>
      <c r="M605" t="e">
        <f>INDEX(Stammdaten[Abholzigkeit (mm/lfm)],MATCH(Tabelle9[[#This Row],[Rank]],Stammdaten[Rank Verteilung Abholzigkeit],0))</f>
        <v>#N/A</v>
      </c>
      <c r="N605" t="e">
        <f>VLOOKUP(Tabelle9[[#This Row],[Rank]],Stammdaten[[Rank Verteilung Abholzigkeit]:[Verteilung Abholzigkeit]],2,FALSE)</f>
        <v>#N/A</v>
      </c>
      <c r="S605">
        <v>596</v>
      </c>
      <c r="T605" t="e">
        <f>INDEX(Stammdaten[Krümmung (mm/lfm)],MATCH(Tabelle10[[#This Row],[Rank]],Stammdaten[Rank Verteilung Krümmung],0))</f>
        <v>#N/A</v>
      </c>
      <c r="U605" t="e">
        <f>VLOOKUP(Tabelle10[[#This Row],[Rank]],Stammdaten[[Rank Verteilung Krümmung]:[Verteilung Krümmung]],2,FALSE)</f>
        <v>#N/A</v>
      </c>
      <c r="Z605">
        <v>596</v>
      </c>
      <c r="AA605" t="e">
        <f>INDEX(Stammdaten[Ovalität (']0,1'])],MATCH(Tabelle1014[[#This Row],[Rank]],Stammdaten[Rank Verteilung Ovalität],0))</f>
        <v>#N/A</v>
      </c>
      <c r="AB605" t="e">
        <f>VLOOKUP(Tabelle1014[[#This Row],[Rank]],Stammdaten[[Rank Verteilung Ovalität]:[Verteilung Ovalität]],2,FALSE)</f>
        <v>#N/A</v>
      </c>
    </row>
    <row r="606" spans="5:28" x14ac:dyDescent="0.35">
      <c r="E606">
        <v>597</v>
      </c>
      <c r="F606" t="e">
        <f>INDEX(Stammdaten[D Mitte mit Rinde (mm)],MATCH(Tabelle8[[#This Row],[Rank]],Stammdaten[Rank Verteilung D Mitte mit Rinde],0))</f>
        <v>#N/A</v>
      </c>
      <c r="G606" t="e">
        <f>VLOOKUP(Tabelle8[[#This Row],[Rank]],Stammdaten[[Rank Verteilung D Mitte mit Rinde]:[Verteilung D Mitte mit Rinde]],2,FALSE)</f>
        <v>#N/A</v>
      </c>
      <c r="L606">
        <v>597</v>
      </c>
      <c r="M606" t="e">
        <f>INDEX(Stammdaten[Abholzigkeit (mm/lfm)],MATCH(Tabelle9[[#This Row],[Rank]],Stammdaten[Rank Verteilung Abholzigkeit],0))</f>
        <v>#N/A</v>
      </c>
      <c r="N606" t="e">
        <f>VLOOKUP(Tabelle9[[#This Row],[Rank]],Stammdaten[[Rank Verteilung Abholzigkeit]:[Verteilung Abholzigkeit]],2,FALSE)</f>
        <v>#N/A</v>
      </c>
      <c r="S606">
        <v>597</v>
      </c>
      <c r="T606" t="e">
        <f>INDEX(Stammdaten[Krümmung (mm/lfm)],MATCH(Tabelle10[[#This Row],[Rank]],Stammdaten[Rank Verteilung Krümmung],0))</f>
        <v>#N/A</v>
      </c>
      <c r="U606" t="e">
        <f>VLOOKUP(Tabelle10[[#This Row],[Rank]],Stammdaten[[Rank Verteilung Krümmung]:[Verteilung Krümmung]],2,FALSE)</f>
        <v>#N/A</v>
      </c>
      <c r="Z606">
        <v>597</v>
      </c>
      <c r="AA606" t="e">
        <f>INDEX(Stammdaten[Ovalität (']0,1'])],MATCH(Tabelle1014[[#This Row],[Rank]],Stammdaten[Rank Verteilung Ovalität],0))</f>
        <v>#N/A</v>
      </c>
      <c r="AB606" t="e">
        <f>VLOOKUP(Tabelle1014[[#This Row],[Rank]],Stammdaten[[Rank Verteilung Ovalität]:[Verteilung Ovalität]],2,FALSE)</f>
        <v>#N/A</v>
      </c>
    </row>
    <row r="607" spans="5:28" x14ac:dyDescent="0.35">
      <c r="E607">
        <v>598</v>
      </c>
      <c r="F607" t="e">
        <f>INDEX(Stammdaten[D Mitte mit Rinde (mm)],MATCH(Tabelle8[[#This Row],[Rank]],Stammdaten[Rank Verteilung D Mitte mit Rinde],0))</f>
        <v>#N/A</v>
      </c>
      <c r="G607" t="e">
        <f>VLOOKUP(Tabelle8[[#This Row],[Rank]],Stammdaten[[Rank Verteilung D Mitte mit Rinde]:[Verteilung D Mitte mit Rinde]],2,FALSE)</f>
        <v>#N/A</v>
      </c>
      <c r="L607">
        <v>598</v>
      </c>
      <c r="M607" t="e">
        <f>INDEX(Stammdaten[Abholzigkeit (mm/lfm)],MATCH(Tabelle9[[#This Row],[Rank]],Stammdaten[Rank Verteilung Abholzigkeit],0))</f>
        <v>#N/A</v>
      </c>
      <c r="N607" t="e">
        <f>VLOOKUP(Tabelle9[[#This Row],[Rank]],Stammdaten[[Rank Verteilung Abholzigkeit]:[Verteilung Abholzigkeit]],2,FALSE)</f>
        <v>#N/A</v>
      </c>
      <c r="S607">
        <v>598</v>
      </c>
      <c r="T607" t="e">
        <f>INDEX(Stammdaten[Krümmung (mm/lfm)],MATCH(Tabelle10[[#This Row],[Rank]],Stammdaten[Rank Verteilung Krümmung],0))</f>
        <v>#N/A</v>
      </c>
      <c r="U607" t="e">
        <f>VLOOKUP(Tabelle10[[#This Row],[Rank]],Stammdaten[[Rank Verteilung Krümmung]:[Verteilung Krümmung]],2,FALSE)</f>
        <v>#N/A</v>
      </c>
      <c r="Z607">
        <v>598</v>
      </c>
      <c r="AA607" t="e">
        <f>INDEX(Stammdaten[Ovalität (']0,1'])],MATCH(Tabelle1014[[#This Row],[Rank]],Stammdaten[Rank Verteilung Ovalität],0))</f>
        <v>#N/A</v>
      </c>
      <c r="AB607" t="e">
        <f>VLOOKUP(Tabelle1014[[#This Row],[Rank]],Stammdaten[[Rank Verteilung Ovalität]:[Verteilung Ovalität]],2,FALSE)</f>
        <v>#N/A</v>
      </c>
    </row>
    <row r="608" spans="5:28" x14ac:dyDescent="0.35">
      <c r="E608">
        <v>599</v>
      </c>
      <c r="F608" t="e">
        <f>INDEX(Stammdaten[D Mitte mit Rinde (mm)],MATCH(Tabelle8[[#This Row],[Rank]],Stammdaten[Rank Verteilung D Mitte mit Rinde],0))</f>
        <v>#N/A</v>
      </c>
      <c r="G608" t="e">
        <f>VLOOKUP(Tabelle8[[#This Row],[Rank]],Stammdaten[[Rank Verteilung D Mitte mit Rinde]:[Verteilung D Mitte mit Rinde]],2,FALSE)</f>
        <v>#N/A</v>
      </c>
      <c r="L608">
        <v>599</v>
      </c>
      <c r="M608" t="e">
        <f>INDEX(Stammdaten[Abholzigkeit (mm/lfm)],MATCH(Tabelle9[[#This Row],[Rank]],Stammdaten[Rank Verteilung Abholzigkeit],0))</f>
        <v>#N/A</v>
      </c>
      <c r="N608" t="e">
        <f>VLOOKUP(Tabelle9[[#This Row],[Rank]],Stammdaten[[Rank Verteilung Abholzigkeit]:[Verteilung Abholzigkeit]],2,FALSE)</f>
        <v>#N/A</v>
      </c>
      <c r="S608">
        <v>599</v>
      </c>
      <c r="T608" t="e">
        <f>INDEX(Stammdaten[Krümmung (mm/lfm)],MATCH(Tabelle10[[#This Row],[Rank]],Stammdaten[Rank Verteilung Krümmung],0))</f>
        <v>#N/A</v>
      </c>
      <c r="U608" t="e">
        <f>VLOOKUP(Tabelle10[[#This Row],[Rank]],Stammdaten[[Rank Verteilung Krümmung]:[Verteilung Krümmung]],2,FALSE)</f>
        <v>#N/A</v>
      </c>
      <c r="Z608">
        <v>599</v>
      </c>
      <c r="AA608" t="e">
        <f>INDEX(Stammdaten[Ovalität (']0,1'])],MATCH(Tabelle1014[[#This Row],[Rank]],Stammdaten[Rank Verteilung Ovalität],0))</f>
        <v>#N/A</v>
      </c>
      <c r="AB608" t="e">
        <f>VLOOKUP(Tabelle1014[[#This Row],[Rank]],Stammdaten[[Rank Verteilung Ovalität]:[Verteilung Ovalität]],2,FALSE)</f>
        <v>#N/A</v>
      </c>
    </row>
    <row r="609" spans="5:28" x14ac:dyDescent="0.35">
      <c r="E609">
        <v>600</v>
      </c>
      <c r="F609" t="e">
        <f>INDEX(Stammdaten[D Mitte mit Rinde (mm)],MATCH(Tabelle8[[#This Row],[Rank]],Stammdaten[Rank Verteilung D Mitte mit Rinde],0))</f>
        <v>#N/A</v>
      </c>
      <c r="G609" t="e">
        <f>VLOOKUP(Tabelle8[[#This Row],[Rank]],Stammdaten[[Rank Verteilung D Mitte mit Rinde]:[Verteilung D Mitte mit Rinde]],2,FALSE)</f>
        <v>#N/A</v>
      </c>
      <c r="L609">
        <v>600</v>
      </c>
      <c r="M609" t="e">
        <f>INDEX(Stammdaten[Abholzigkeit (mm/lfm)],MATCH(Tabelle9[[#This Row],[Rank]],Stammdaten[Rank Verteilung Abholzigkeit],0))</f>
        <v>#N/A</v>
      </c>
      <c r="N609" t="e">
        <f>VLOOKUP(Tabelle9[[#This Row],[Rank]],Stammdaten[[Rank Verteilung Abholzigkeit]:[Verteilung Abholzigkeit]],2,FALSE)</f>
        <v>#N/A</v>
      </c>
      <c r="S609">
        <v>600</v>
      </c>
      <c r="T609" t="e">
        <f>INDEX(Stammdaten[Krümmung (mm/lfm)],MATCH(Tabelle10[[#This Row],[Rank]],Stammdaten[Rank Verteilung Krümmung],0))</f>
        <v>#N/A</v>
      </c>
      <c r="U609" t="e">
        <f>VLOOKUP(Tabelle10[[#This Row],[Rank]],Stammdaten[[Rank Verteilung Krümmung]:[Verteilung Krümmung]],2,FALSE)</f>
        <v>#N/A</v>
      </c>
      <c r="Z609">
        <v>600</v>
      </c>
      <c r="AA609" t="e">
        <f>INDEX(Stammdaten[Ovalität (']0,1'])],MATCH(Tabelle1014[[#This Row],[Rank]],Stammdaten[Rank Verteilung Ovalität],0))</f>
        <v>#N/A</v>
      </c>
      <c r="AB609" t="e">
        <f>VLOOKUP(Tabelle1014[[#This Row],[Rank]],Stammdaten[[Rank Verteilung Ovalität]:[Verteilung Ovalität]],2,FALSE)</f>
        <v>#N/A</v>
      </c>
    </row>
    <row r="610" spans="5:28" x14ac:dyDescent="0.35">
      <c r="E610">
        <v>601</v>
      </c>
      <c r="F610" t="e">
        <f>INDEX(Stammdaten[D Mitte mit Rinde (mm)],MATCH(Tabelle8[[#This Row],[Rank]],Stammdaten[Rank Verteilung D Mitte mit Rinde],0))</f>
        <v>#N/A</v>
      </c>
      <c r="G610" t="e">
        <f>VLOOKUP(Tabelle8[[#This Row],[Rank]],Stammdaten[[Rank Verteilung D Mitte mit Rinde]:[Verteilung D Mitte mit Rinde]],2,FALSE)</f>
        <v>#N/A</v>
      </c>
      <c r="L610">
        <v>601</v>
      </c>
      <c r="M610" t="e">
        <f>INDEX(Stammdaten[Abholzigkeit (mm/lfm)],MATCH(Tabelle9[[#This Row],[Rank]],Stammdaten[Rank Verteilung Abholzigkeit],0))</f>
        <v>#N/A</v>
      </c>
      <c r="N610" t="e">
        <f>VLOOKUP(Tabelle9[[#This Row],[Rank]],Stammdaten[[Rank Verteilung Abholzigkeit]:[Verteilung Abholzigkeit]],2,FALSE)</f>
        <v>#N/A</v>
      </c>
      <c r="S610">
        <v>601</v>
      </c>
      <c r="T610" t="e">
        <f>INDEX(Stammdaten[Krümmung (mm/lfm)],MATCH(Tabelle10[[#This Row],[Rank]],Stammdaten[Rank Verteilung Krümmung],0))</f>
        <v>#N/A</v>
      </c>
      <c r="U610" t="e">
        <f>VLOOKUP(Tabelle10[[#This Row],[Rank]],Stammdaten[[Rank Verteilung Krümmung]:[Verteilung Krümmung]],2,FALSE)</f>
        <v>#N/A</v>
      </c>
      <c r="Z610">
        <v>601</v>
      </c>
      <c r="AA610" t="e">
        <f>INDEX(Stammdaten[Ovalität (']0,1'])],MATCH(Tabelle1014[[#This Row],[Rank]],Stammdaten[Rank Verteilung Ovalität],0))</f>
        <v>#N/A</v>
      </c>
      <c r="AB610" t="e">
        <f>VLOOKUP(Tabelle1014[[#This Row],[Rank]],Stammdaten[[Rank Verteilung Ovalität]:[Verteilung Ovalität]],2,FALSE)</f>
        <v>#N/A</v>
      </c>
    </row>
    <row r="611" spans="5:28" x14ac:dyDescent="0.35">
      <c r="E611">
        <v>602</v>
      </c>
      <c r="F611" t="e">
        <f>INDEX(Stammdaten[D Mitte mit Rinde (mm)],MATCH(Tabelle8[[#This Row],[Rank]],Stammdaten[Rank Verteilung D Mitte mit Rinde],0))</f>
        <v>#N/A</v>
      </c>
      <c r="G611" t="e">
        <f>VLOOKUP(Tabelle8[[#This Row],[Rank]],Stammdaten[[Rank Verteilung D Mitte mit Rinde]:[Verteilung D Mitte mit Rinde]],2,FALSE)</f>
        <v>#N/A</v>
      </c>
      <c r="L611">
        <v>602</v>
      </c>
      <c r="M611" t="e">
        <f>INDEX(Stammdaten[Abholzigkeit (mm/lfm)],MATCH(Tabelle9[[#This Row],[Rank]],Stammdaten[Rank Verteilung Abholzigkeit],0))</f>
        <v>#N/A</v>
      </c>
      <c r="N611" t="e">
        <f>VLOOKUP(Tabelle9[[#This Row],[Rank]],Stammdaten[[Rank Verteilung Abholzigkeit]:[Verteilung Abholzigkeit]],2,FALSE)</f>
        <v>#N/A</v>
      </c>
      <c r="S611">
        <v>602</v>
      </c>
      <c r="T611" t="e">
        <f>INDEX(Stammdaten[Krümmung (mm/lfm)],MATCH(Tabelle10[[#This Row],[Rank]],Stammdaten[Rank Verteilung Krümmung],0))</f>
        <v>#N/A</v>
      </c>
      <c r="U611" t="e">
        <f>VLOOKUP(Tabelle10[[#This Row],[Rank]],Stammdaten[[Rank Verteilung Krümmung]:[Verteilung Krümmung]],2,FALSE)</f>
        <v>#N/A</v>
      </c>
      <c r="Z611">
        <v>602</v>
      </c>
      <c r="AA611" t="e">
        <f>INDEX(Stammdaten[Ovalität (']0,1'])],MATCH(Tabelle1014[[#This Row],[Rank]],Stammdaten[Rank Verteilung Ovalität],0))</f>
        <v>#N/A</v>
      </c>
      <c r="AB611" t="e">
        <f>VLOOKUP(Tabelle1014[[#This Row],[Rank]],Stammdaten[[Rank Verteilung Ovalität]:[Verteilung Ovalität]],2,FALSE)</f>
        <v>#N/A</v>
      </c>
    </row>
    <row r="612" spans="5:28" x14ac:dyDescent="0.35">
      <c r="E612">
        <v>603</v>
      </c>
      <c r="F612" t="e">
        <f>INDEX(Stammdaten[D Mitte mit Rinde (mm)],MATCH(Tabelle8[[#This Row],[Rank]],Stammdaten[Rank Verteilung D Mitte mit Rinde],0))</f>
        <v>#N/A</v>
      </c>
      <c r="G612" t="e">
        <f>VLOOKUP(Tabelle8[[#This Row],[Rank]],Stammdaten[[Rank Verteilung D Mitte mit Rinde]:[Verteilung D Mitte mit Rinde]],2,FALSE)</f>
        <v>#N/A</v>
      </c>
      <c r="L612">
        <v>603</v>
      </c>
      <c r="M612" t="e">
        <f>INDEX(Stammdaten[Abholzigkeit (mm/lfm)],MATCH(Tabelle9[[#This Row],[Rank]],Stammdaten[Rank Verteilung Abholzigkeit],0))</f>
        <v>#N/A</v>
      </c>
      <c r="N612" t="e">
        <f>VLOOKUP(Tabelle9[[#This Row],[Rank]],Stammdaten[[Rank Verteilung Abholzigkeit]:[Verteilung Abholzigkeit]],2,FALSE)</f>
        <v>#N/A</v>
      </c>
      <c r="S612">
        <v>603</v>
      </c>
      <c r="T612" t="e">
        <f>INDEX(Stammdaten[Krümmung (mm/lfm)],MATCH(Tabelle10[[#This Row],[Rank]],Stammdaten[Rank Verteilung Krümmung],0))</f>
        <v>#N/A</v>
      </c>
      <c r="U612" t="e">
        <f>VLOOKUP(Tabelle10[[#This Row],[Rank]],Stammdaten[[Rank Verteilung Krümmung]:[Verteilung Krümmung]],2,FALSE)</f>
        <v>#N/A</v>
      </c>
      <c r="Z612">
        <v>603</v>
      </c>
      <c r="AA612" t="e">
        <f>INDEX(Stammdaten[Ovalität (']0,1'])],MATCH(Tabelle1014[[#This Row],[Rank]],Stammdaten[Rank Verteilung Ovalität],0))</f>
        <v>#N/A</v>
      </c>
      <c r="AB612" t="e">
        <f>VLOOKUP(Tabelle1014[[#This Row],[Rank]],Stammdaten[[Rank Verteilung Ovalität]:[Verteilung Ovalität]],2,FALSE)</f>
        <v>#N/A</v>
      </c>
    </row>
    <row r="613" spans="5:28" x14ac:dyDescent="0.35">
      <c r="E613">
        <v>604</v>
      </c>
      <c r="F613" t="e">
        <f>INDEX(Stammdaten[D Mitte mit Rinde (mm)],MATCH(Tabelle8[[#This Row],[Rank]],Stammdaten[Rank Verteilung D Mitte mit Rinde],0))</f>
        <v>#N/A</v>
      </c>
      <c r="G613" t="e">
        <f>VLOOKUP(Tabelle8[[#This Row],[Rank]],Stammdaten[[Rank Verteilung D Mitte mit Rinde]:[Verteilung D Mitte mit Rinde]],2,FALSE)</f>
        <v>#N/A</v>
      </c>
      <c r="L613">
        <v>604</v>
      </c>
      <c r="M613" t="e">
        <f>INDEX(Stammdaten[Abholzigkeit (mm/lfm)],MATCH(Tabelle9[[#This Row],[Rank]],Stammdaten[Rank Verteilung Abholzigkeit],0))</f>
        <v>#N/A</v>
      </c>
      <c r="N613" t="e">
        <f>VLOOKUP(Tabelle9[[#This Row],[Rank]],Stammdaten[[Rank Verteilung Abholzigkeit]:[Verteilung Abholzigkeit]],2,FALSE)</f>
        <v>#N/A</v>
      </c>
      <c r="S613">
        <v>604</v>
      </c>
      <c r="T613" t="e">
        <f>INDEX(Stammdaten[Krümmung (mm/lfm)],MATCH(Tabelle10[[#This Row],[Rank]],Stammdaten[Rank Verteilung Krümmung],0))</f>
        <v>#N/A</v>
      </c>
      <c r="U613" t="e">
        <f>VLOOKUP(Tabelle10[[#This Row],[Rank]],Stammdaten[[Rank Verteilung Krümmung]:[Verteilung Krümmung]],2,FALSE)</f>
        <v>#N/A</v>
      </c>
      <c r="Z613">
        <v>604</v>
      </c>
      <c r="AA613" t="e">
        <f>INDEX(Stammdaten[Ovalität (']0,1'])],MATCH(Tabelle1014[[#This Row],[Rank]],Stammdaten[Rank Verteilung Ovalität],0))</f>
        <v>#N/A</v>
      </c>
      <c r="AB613" t="e">
        <f>VLOOKUP(Tabelle1014[[#This Row],[Rank]],Stammdaten[[Rank Verteilung Ovalität]:[Verteilung Ovalität]],2,FALSE)</f>
        <v>#N/A</v>
      </c>
    </row>
    <row r="614" spans="5:28" x14ac:dyDescent="0.35">
      <c r="E614">
        <v>605</v>
      </c>
      <c r="F614" t="e">
        <f>INDEX(Stammdaten[D Mitte mit Rinde (mm)],MATCH(Tabelle8[[#This Row],[Rank]],Stammdaten[Rank Verteilung D Mitte mit Rinde],0))</f>
        <v>#N/A</v>
      </c>
      <c r="G614" t="e">
        <f>VLOOKUP(Tabelle8[[#This Row],[Rank]],Stammdaten[[Rank Verteilung D Mitte mit Rinde]:[Verteilung D Mitte mit Rinde]],2,FALSE)</f>
        <v>#N/A</v>
      </c>
      <c r="L614">
        <v>605</v>
      </c>
      <c r="M614" t="e">
        <f>INDEX(Stammdaten[Abholzigkeit (mm/lfm)],MATCH(Tabelle9[[#This Row],[Rank]],Stammdaten[Rank Verteilung Abholzigkeit],0))</f>
        <v>#N/A</v>
      </c>
      <c r="N614" t="e">
        <f>VLOOKUP(Tabelle9[[#This Row],[Rank]],Stammdaten[[Rank Verteilung Abholzigkeit]:[Verteilung Abholzigkeit]],2,FALSE)</f>
        <v>#N/A</v>
      </c>
      <c r="S614">
        <v>605</v>
      </c>
      <c r="T614" t="e">
        <f>INDEX(Stammdaten[Krümmung (mm/lfm)],MATCH(Tabelle10[[#This Row],[Rank]],Stammdaten[Rank Verteilung Krümmung],0))</f>
        <v>#N/A</v>
      </c>
      <c r="U614" t="e">
        <f>VLOOKUP(Tabelle10[[#This Row],[Rank]],Stammdaten[[Rank Verteilung Krümmung]:[Verteilung Krümmung]],2,FALSE)</f>
        <v>#N/A</v>
      </c>
      <c r="Z614">
        <v>605</v>
      </c>
      <c r="AA614" t="e">
        <f>INDEX(Stammdaten[Ovalität (']0,1'])],MATCH(Tabelle1014[[#This Row],[Rank]],Stammdaten[Rank Verteilung Ovalität],0))</f>
        <v>#N/A</v>
      </c>
      <c r="AB614" t="e">
        <f>VLOOKUP(Tabelle1014[[#This Row],[Rank]],Stammdaten[[Rank Verteilung Ovalität]:[Verteilung Ovalität]],2,FALSE)</f>
        <v>#N/A</v>
      </c>
    </row>
    <row r="615" spans="5:28" x14ac:dyDescent="0.35">
      <c r="E615">
        <v>606</v>
      </c>
      <c r="F615" t="e">
        <f>INDEX(Stammdaten[D Mitte mit Rinde (mm)],MATCH(Tabelle8[[#This Row],[Rank]],Stammdaten[Rank Verteilung D Mitte mit Rinde],0))</f>
        <v>#N/A</v>
      </c>
      <c r="G615" t="e">
        <f>VLOOKUP(Tabelle8[[#This Row],[Rank]],Stammdaten[[Rank Verteilung D Mitte mit Rinde]:[Verteilung D Mitte mit Rinde]],2,FALSE)</f>
        <v>#N/A</v>
      </c>
      <c r="L615">
        <v>606</v>
      </c>
      <c r="M615" t="e">
        <f>INDEX(Stammdaten[Abholzigkeit (mm/lfm)],MATCH(Tabelle9[[#This Row],[Rank]],Stammdaten[Rank Verteilung Abholzigkeit],0))</f>
        <v>#N/A</v>
      </c>
      <c r="N615" t="e">
        <f>VLOOKUP(Tabelle9[[#This Row],[Rank]],Stammdaten[[Rank Verteilung Abholzigkeit]:[Verteilung Abholzigkeit]],2,FALSE)</f>
        <v>#N/A</v>
      </c>
      <c r="S615">
        <v>606</v>
      </c>
      <c r="T615" t="e">
        <f>INDEX(Stammdaten[Krümmung (mm/lfm)],MATCH(Tabelle10[[#This Row],[Rank]],Stammdaten[Rank Verteilung Krümmung],0))</f>
        <v>#N/A</v>
      </c>
      <c r="U615" t="e">
        <f>VLOOKUP(Tabelle10[[#This Row],[Rank]],Stammdaten[[Rank Verteilung Krümmung]:[Verteilung Krümmung]],2,FALSE)</f>
        <v>#N/A</v>
      </c>
      <c r="Z615">
        <v>606</v>
      </c>
      <c r="AA615" t="e">
        <f>INDEX(Stammdaten[Ovalität (']0,1'])],MATCH(Tabelle1014[[#This Row],[Rank]],Stammdaten[Rank Verteilung Ovalität],0))</f>
        <v>#N/A</v>
      </c>
      <c r="AB615" t="e">
        <f>VLOOKUP(Tabelle1014[[#This Row],[Rank]],Stammdaten[[Rank Verteilung Ovalität]:[Verteilung Ovalität]],2,FALSE)</f>
        <v>#N/A</v>
      </c>
    </row>
    <row r="616" spans="5:28" x14ac:dyDescent="0.35">
      <c r="E616">
        <v>607</v>
      </c>
      <c r="F616" t="e">
        <f>INDEX(Stammdaten[D Mitte mit Rinde (mm)],MATCH(Tabelle8[[#This Row],[Rank]],Stammdaten[Rank Verteilung D Mitte mit Rinde],0))</f>
        <v>#N/A</v>
      </c>
      <c r="G616" t="e">
        <f>VLOOKUP(Tabelle8[[#This Row],[Rank]],Stammdaten[[Rank Verteilung D Mitte mit Rinde]:[Verteilung D Mitte mit Rinde]],2,FALSE)</f>
        <v>#N/A</v>
      </c>
      <c r="L616">
        <v>607</v>
      </c>
      <c r="M616" t="e">
        <f>INDEX(Stammdaten[Abholzigkeit (mm/lfm)],MATCH(Tabelle9[[#This Row],[Rank]],Stammdaten[Rank Verteilung Abholzigkeit],0))</f>
        <v>#N/A</v>
      </c>
      <c r="N616" t="e">
        <f>VLOOKUP(Tabelle9[[#This Row],[Rank]],Stammdaten[[Rank Verteilung Abholzigkeit]:[Verteilung Abholzigkeit]],2,FALSE)</f>
        <v>#N/A</v>
      </c>
      <c r="S616">
        <v>607</v>
      </c>
      <c r="T616" t="e">
        <f>INDEX(Stammdaten[Krümmung (mm/lfm)],MATCH(Tabelle10[[#This Row],[Rank]],Stammdaten[Rank Verteilung Krümmung],0))</f>
        <v>#N/A</v>
      </c>
      <c r="U616" t="e">
        <f>VLOOKUP(Tabelle10[[#This Row],[Rank]],Stammdaten[[Rank Verteilung Krümmung]:[Verteilung Krümmung]],2,FALSE)</f>
        <v>#N/A</v>
      </c>
      <c r="Z616">
        <v>607</v>
      </c>
      <c r="AA616" t="e">
        <f>INDEX(Stammdaten[Ovalität (']0,1'])],MATCH(Tabelle1014[[#This Row],[Rank]],Stammdaten[Rank Verteilung Ovalität],0))</f>
        <v>#N/A</v>
      </c>
      <c r="AB616" t="e">
        <f>VLOOKUP(Tabelle1014[[#This Row],[Rank]],Stammdaten[[Rank Verteilung Ovalität]:[Verteilung Ovalität]],2,FALSE)</f>
        <v>#N/A</v>
      </c>
    </row>
    <row r="617" spans="5:28" x14ac:dyDescent="0.35">
      <c r="E617">
        <v>608</v>
      </c>
      <c r="F617" t="e">
        <f>INDEX(Stammdaten[D Mitte mit Rinde (mm)],MATCH(Tabelle8[[#This Row],[Rank]],Stammdaten[Rank Verteilung D Mitte mit Rinde],0))</f>
        <v>#N/A</v>
      </c>
      <c r="G617" t="e">
        <f>VLOOKUP(Tabelle8[[#This Row],[Rank]],Stammdaten[[Rank Verteilung D Mitte mit Rinde]:[Verteilung D Mitte mit Rinde]],2,FALSE)</f>
        <v>#N/A</v>
      </c>
      <c r="L617">
        <v>608</v>
      </c>
      <c r="M617" t="e">
        <f>INDEX(Stammdaten[Abholzigkeit (mm/lfm)],MATCH(Tabelle9[[#This Row],[Rank]],Stammdaten[Rank Verteilung Abholzigkeit],0))</f>
        <v>#N/A</v>
      </c>
      <c r="N617" t="e">
        <f>VLOOKUP(Tabelle9[[#This Row],[Rank]],Stammdaten[[Rank Verteilung Abholzigkeit]:[Verteilung Abholzigkeit]],2,FALSE)</f>
        <v>#N/A</v>
      </c>
      <c r="S617">
        <v>608</v>
      </c>
      <c r="T617" t="e">
        <f>INDEX(Stammdaten[Krümmung (mm/lfm)],MATCH(Tabelle10[[#This Row],[Rank]],Stammdaten[Rank Verteilung Krümmung],0))</f>
        <v>#N/A</v>
      </c>
      <c r="U617" t="e">
        <f>VLOOKUP(Tabelle10[[#This Row],[Rank]],Stammdaten[[Rank Verteilung Krümmung]:[Verteilung Krümmung]],2,FALSE)</f>
        <v>#N/A</v>
      </c>
      <c r="Z617">
        <v>608</v>
      </c>
      <c r="AA617" t="e">
        <f>INDEX(Stammdaten[Ovalität (']0,1'])],MATCH(Tabelle1014[[#This Row],[Rank]],Stammdaten[Rank Verteilung Ovalität],0))</f>
        <v>#N/A</v>
      </c>
      <c r="AB617" t="e">
        <f>VLOOKUP(Tabelle1014[[#This Row],[Rank]],Stammdaten[[Rank Verteilung Ovalität]:[Verteilung Ovalität]],2,FALSE)</f>
        <v>#N/A</v>
      </c>
    </row>
    <row r="618" spans="5:28" x14ac:dyDescent="0.35">
      <c r="E618">
        <v>609</v>
      </c>
      <c r="F618" t="e">
        <f>INDEX(Stammdaten[D Mitte mit Rinde (mm)],MATCH(Tabelle8[[#This Row],[Rank]],Stammdaten[Rank Verteilung D Mitte mit Rinde],0))</f>
        <v>#N/A</v>
      </c>
      <c r="G618" t="e">
        <f>VLOOKUP(Tabelle8[[#This Row],[Rank]],Stammdaten[[Rank Verteilung D Mitte mit Rinde]:[Verteilung D Mitte mit Rinde]],2,FALSE)</f>
        <v>#N/A</v>
      </c>
      <c r="L618">
        <v>609</v>
      </c>
      <c r="M618" t="e">
        <f>INDEX(Stammdaten[Abholzigkeit (mm/lfm)],MATCH(Tabelle9[[#This Row],[Rank]],Stammdaten[Rank Verteilung Abholzigkeit],0))</f>
        <v>#N/A</v>
      </c>
      <c r="N618" t="e">
        <f>VLOOKUP(Tabelle9[[#This Row],[Rank]],Stammdaten[[Rank Verteilung Abholzigkeit]:[Verteilung Abholzigkeit]],2,FALSE)</f>
        <v>#N/A</v>
      </c>
      <c r="S618">
        <v>609</v>
      </c>
      <c r="T618" t="e">
        <f>INDEX(Stammdaten[Krümmung (mm/lfm)],MATCH(Tabelle10[[#This Row],[Rank]],Stammdaten[Rank Verteilung Krümmung],0))</f>
        <v>#N/A</v>
      </c>
      <c r="U618" t="e">
        <f>VLOOKUP(Tabelle10[[#This Row],[Rank]],Stammdaten[[Rank Verteilung Krümmung]:[Verteilung Krümmung]],2,FALSE)</f>
        <v>#N/A</v>
      </c>
      <c r="Z618">
        <v>609</v>
      </c>
      <c r="AA618" t="e">
        <f>INDEX(Stammdaten[Ovalität (']0,1'])],MATCH(Tabelle1014[[#This Row],[Rank]],Stammdaten[Rank Verteilung Ovalität],0))</f>
        <v>#N/A</v>
      </c>
      <c r="AB618" t="e">
        <f>VLOOKUP(Tabelle1014[[#This Row],[Rank]],Stammdaten[[Rank Verteilung Ovalität]:[Verteilung Ovalität]],2,FALSE)</f>
        <v>#N/A</v>
      </c>
    </row>
    <row r="619" spans="5:28" x14ac:dyDescent="0.35">
      <c r="E619">
        <v>610</v>
      </c>
      <c r="F619" t="e">
        <f>INDEX(Stammdaten[D Mitte mit Rinde (mm)],MATCH(Tabelle8[[#This Row],[Rank]],Stammdaten[Rank Verteilung D Mitte mit Rinde],0))</f>
        <v>#N/A</v>
      </c>
      <c r="G619" t="e">
        <f>VLOOKUP(Tabelle8[[#This Row],[Rank]],Stammdaten[[Rank Verteilung D Mitte mit Rinde]:[Verteilung D Mitte mit Rinde]],2,FALSE)</f>
        <v>#N/A</v>
      </c>
      <c r="L619">
        <v>610</v>
      </c>
      <c r="M619" t="e">
        <f>INDEX(Stammdaten[Abholzigkeit (mm/lfm)],MATCH(Tabelle9[[#This Row],[Rank]],Stammdaten[Rank Verteilung Abholzigkeit],0))</f>
        <v>#N/A</v>
      </c>
      <c r="N619" t="e">
        <f>VLOOKUP(Tabelle9[[#This Row],[Rank]],Stammdaten[[Rank Verteilung Abholzigkeit]:[Verteilung Abholzigkeit]],2,FALSE)</f>
        <v>#N/A</v>
      </c>
      <c r="S619">
        <v>610</v>
      </c>
      <c r="T619" t="e">
        <f>INDEX(Stammdaten[Krümmung (mm/lfm)],MATCH(Tabelle10[[#This Row],[Rank]],Stammdaten[Rank Verteilung Krümmung],0))</f>
        <v>#N/A</v>
      </c>
      <c r="U619" t="e">
        <f>VLOOKUP(Tabelle10[[#This Row],[Rank]],Stammdaten[[Rank Verteilung Krümmung]:[Verteilung Krümmung]],2,FALSE)</f>
        <v>#N/A</v>
      </c>
      <c r="Z619">
        <v>610</v>
      </c>
      <c r="AA619" t="e">
        <f>INDEX(Stammdaten[Ovalität (']0,1'])],MATCH(Tabelle1014[[#This Row],[Rank]],Stammdaten[Rank Verteilung Ovalität],0))</f>
        <v>#N/A</v>
      </c>
      <c r="AB619" t="e">
        <f>VLOOKUP(Tabelle1014[[#This Row],[Rank]],Stammdaten[[Rank Verteilung Ovalität]:[Verteilung Ovalität]],2,FALSE)</f>
        <v>#N/A</v>
      </c>
    </row>
    <row r="620" spans="5:28" x14ac:dyDescent="0.35">
      <c r="E620">
        <v>611</v>
      </c>
      <c r="F620" t="e">
        <f>INDEX(Stammdaten[D Mitte mit Rinde (mm)],MATCH(Tabelle8[[#This Row],[Rank]],Stammdaten[Rank Verteilung D Mitte mit Rinde],0))</f>
        <v>#N/A</v>
      </c>
      <c r="G620" t="e">
        <f>VLOOKUP(Tabelle8[[#This Row],[Rank]],Stammdaten[[Rank Verteilung D Mitte mit Rinde]:[Verteilung D Mitte mit Rinde]],2,FALSE)</f>
        <v>#N/A</v>
      </c>
      <c r="L620">
        <v>611</v>
      </c>
      <c r="M620" t="e">
        <f>INDEX(Stammdaten[Abholzigkeit (mm/lfm)],MATCH(Tabelle9[[#This Row],[Rank]],Stammdaten[Rank Verteilung Abholzigkeit],0))</f>
        <v>#N/A</v>
      </c>
      <c r="N620" t="e">
        <f>VLOOKUP(Tabelle9[[#This Row],[Rank]],Stammdaten[[Rank Verteilung Abholzigkeit]:[Verteilung Abholzigkeit]],2,FALSE)</f>
        <v>#N/A</v>
      </c>
      <c r="S620">
        <v>611</v>
      </c>
      <c r="T620" t="e">
        <f>INDEX(Stammdaten[Krümmung (mm/lfm)],MATCH(Tabelle10[[#This Row],[Rank]],Stammdaten[Rank Verteilung Krümmung],0))</f>
        <v>#N/A</v>
      </c>
      <c r="U620" t="e">
        <f>VLOOKUP(Tabelle10[[#This Row],[Rank]],Stammdaten[[Rank Verteilung Krümmung]:[Verteilung Krümmung]],2,FALSE)</f>
        <v>#N/A</v>
      </c>
      <c r="Z620">
        <v>611</v>
      </c>
      <c r="AA620" t="e">
        <f>INDEX(Stammdaten[Ovalität (']0,1'])],MATCH(Tabelle1014[[#This Row],[Rank]],Stammdaten[Rank Verteilung Ovalität],0))</f>
        <v>#N/A</v>
      </c>
      <c r="AB620" t="e">
        <f>VLOOKUP(Tabelle1014[[#This Row],[Rank]],Stammdaten[[Rank Verteilung Ovalität]:[Verteilung Ovalität]],2,FALSE)</f>
        <v>#N/A</v>
      </c>
    </row>
    <row r="621" spans="5:28" x14ac:dyDescent="0.35">
      <c r="E621">
        <v>612</v>
      </c>
      <c r="F621" t="e">
        <f>INDEX(Stammdaten[D Mitte mit Rinde (mm)],MATCH(Tabelle8[[#This Row],[Rank]],Stammdaten[Rank Verteilung D Mitte mit Rinde],0))</f>
        <v>#N/A</v>
      </c>
      <c r="G621" t="e">
        <f>VLOOKUP(Tabelle8[[#This Row],[Rank]],Stammdaten[[Rank Verteilung D Mitte mit Rinde]:[Verteilung D Mitte mit Rinde]],2,FALSE)</f>
        <v>#N/A</v>
      </c>
      <c r="L621">
        <v>612</v>
      </c>
      <c r="M621" t="e">
        <f>INDEX(Stammdaten[Abholzigkeit (mm/lfm)],MATCH(Tabelle9[[#This Row],[Rank]],Stammdaten[Rank Verteilung Abholzigkeit],0))</f>
        <v>#N/A</v>
      </c>
      <c r="N621" t="e">
        <f>VLOOKUP(Tabelle9[[#This Row],[Rank]],Stammdaten[[Rank Verteilung Abholzigkeit]:[Verteilung Abholzigkeit]],2,FALSE)</f>
        <v>#N/A</v>
      </c>
      <c r="S621">
        <v>612</v>
      </c>
      <c r="T621" t="e">
        <f>INDEX(Stammdaten[Krümmung (mm/lfm)],MATCH(Tabelle10[[#This Row],[Rank]],Stammdaten[Rank Verteilung Krümmung],0))</f>
        <v>#N/A</v>
      </c>
      <c r="U621" t="e">
        <f>VLOOKUP(Tabelle10[[#This Row],[Rank]],Stammdaten[[Rank Verteilung Krümmung]:[Verteilung Krümmung]],2,FALSE)</f>
        <v>#N/A</v>
      </c>
      <c r="Z621">
        <v>612</v>
      </c>
      <c r="AA621" t="e">
        <f>INDEX(Stammdaten[Ovalität (']0,1'])],MATCH(Tabelle1014[[#This Row],[Rank]],Stammdaten[Rank Verteilung Ovalität],0))</f>
        <v>#N/A</v>
      </c>
      <c r="AB621" t="e">
        <f>VLOOKUP(Tabelle1014[[#This Row],[Rank]],Stammdaten[[Rank Verteilung Ovalität]:[Verteilung Ovalität]],2,FALSE)</f>
        <v>#N/A</v>
      </c>
    </row>
    <row r="622" spans="5:28" x14ac:dyDescent="0.35">
      <c r="E622">
        <v>613</v>
      </c>
      <c r="F622" t="e">
        <f>INDEX(Stammdaten[D Mitte mit Rinde (mm)],MATCH(Tabelle8[[#This Row],[Rank]],Stammdaten[Rank Verteilung D Mitte mit Rinde],0))</f>
        <v>#N/A</v>
      </c>
      <c r="G622" t="e">
        <f>VLOOKUP(Tabelle8[[#This Row],[Rank]],Stammdaten[[Rank Verteilung D Mitte mit Rinde]:[Verteilung D Mitte mit Rinde]],2,FALSE)</f>
        <v>#N/A</v>
      </c>
      <c r="L622">
        <v>613</v>
      </c>
      <c r="M622" t="e">
        <f>INDEX(Stammdaten[Abholzigkeit (mm/lfm)],MATCH(Tabelle9[[#This Row],[Rank]],Stammdaten[Rank Verteilung Abholzigkeit],0))</f>
        <v>#N/A</v>
      </c>
      <c r="N622" t="e">
        <f>VLOOKUP(Tabelle9[[#This Row],[Rank]],Stammdaten[[Rank Verteilung Abholzigkeit]:[Verteilung Abholzigkeit]],2,FALSE)</f>
        <v>#N/A</v>
      </c>
      <c r="S622">
        <v>613</v>
      </c>
      <c r="T622" t="e">
        <f>INDEX(Stammdaten[Krümmung (mm/lfm)],MATCH(Tabelle10[[#This Row],[Rank]],Stammdaten[Rank Verteilung Krümmung],0))</f>
        <v>#N/A</v>
      </c>
      <c r="U622" t="e">
        <f>VLOOKUP(Tabelle10[[#This Row],[Rank]],Stammdaten[[Rank Verteilung Krümmung]:[Verteilung Krümmung]],2,FALSE)</f>
        <v>#N/A</v>
      </c>
      <c r="Z622">
        <v>613</v>
      </c>
      <c r="AA622" t="e">
        <f>INDEX(Stammdaten[Ovalität (']0,1'])],MATCH(Tabelle1014[[#This Row],[Rank]],Stammdaten[Rank Verteilung Ovalität],0))</f>
        <v>#N/A</v>
      </c>
      <c r="AB622" t="e">
        <f>VLOOKUP(Tabelle1014[[#This Row],[Rank]],Stammdaten[[Rank Verteilung Ovalität]:[Verteilung Ovalität]],2,FALSE)</f>
        <v>#N/A</v>
      </c>
    </row>
    <row r="623" spans="5:28" x14ac:dyDescent="0.35">
      <c r="E623">
        <v>614</v>
      </c>
      <c r="F623" t="e">
        <f>INDEX(Stammdaten[D Mitte mit Rinde (mm)],MATCH(Tabelle8[[#This Row],[Rank]],Stammdaten[Rank Verteilung D Mitte mit Rinde],0))</f>
        <v>#N/A</v>
      </c>
      <c r="G623" t="e">
        <f>VLOOKUP(Tabelle8[[#This Row],[Rank]],Stammdaten[[Rank Verteilung D Mitte mit Rinde]:[Verteilung D Mitte mit Rinde]],2,FALSE)</f>
        <v>#N/A</v>
      </c>
      <c r="L623">
        <v>614</v>
      </c>
      <c r="M623" t="e">
        <f>INDEX(Stammdaten[Abholzigkeit (mm/lfm)],MATCH(Tabelle9[[#This Row],[Rank]],Stammdaten[Rank Verteilung Abholzigkeit],0))</f>
        <v>#N/A</v>
      </c>
      <c r="N623" t="e">
        <f>VLOOKUP(Tabelle9[[#This Row],[Rank]],Stammdaten[[Rank Verteilung Abholzigkeit]:[Verteilung Abholzigkeit]],2,FALSE)</f>
        <v>#N/A</v>
      </c>
      <c r="S623">
        <v>614</v>
      </c>
      <c r="T623" t="e">
        <f>INDEX(Stammdaten[Krümmung (mm/lfm)],MATCH(Tabelle10[[#This Row],[Rank]],Stammdaten[Rank Verteilung Krümmung],0))</f>
        <v>#N/A</v>
      </c>
      <c r="U623" t="e">
        <f>VLOOKUP(Tabelle10[[#This Row],[Rank]],Stammdaten[[Rank Verteilung Krümmung]:[Verteilung Krümmung]],2,FALSE)</f>
        <v>#N/A</v>
      </c>
      <c r="Z623">
        <v>614</v>
      </c>
      <c r="AA623" t="e">
        <f>INDEX(Stammdaten[Ovalität (']0,1'])],MATCH(Tabelle1014[[#This Row],[Rank]],Stammdaten[Rank Verteilung Ovalität],0))</f>
        <v>#N/A</v>
      </c>
      <c r="AB623" t="e">
        <f>VLOOKUP(Tabelle1014[[#This Row],[Rank]],Stammdaten[[Rank Verteilung Ovalität]:[Verteilung Ovalität]],2,FALSE)</f>
        <v>#N/A</v>
      </c>
    </row>
    <row r="624" spans="5:28" x14ac:dyDescent="0.35">
      <c r="E624">
        <v>615</v>
      </c>
      <c r="F624" t="e">
        <f>INDEX(Stammdaten[D Mitte mit Rinde (mm)],MATCH(Tabelle8[[#This Row],[Rank]],Stammdaten[Rank Verteilung D Mitte mit Rinde],0))</f>
        <v>#N/A</v>
      </c>
      <c r="G624" t="e">
        <f>VLOOKUP(Tabelle8[[#This Row],[Rank]],Stammdaten[[Rank Verteilung D Mitte mit Rinde]:[Verteilung D Mitte mit Rinde]],2,FALSE)</f>
        <v>#N/A</v>
      </c>
      <c r="L624">
        <v>615</v>
      </c>
      <c r="M624" t="e">
        <f>INDEX(Stammdaten[Abholzigkeit (mm/lfm)],MATCH(Tabelle9[[#This Row],[Rank]],Stammdaten[Rank Verteilung Abholzigkeit],0))</f>
        <v>#N/A</v>
      </c>
      <c r="N624" t="e">
        <f>VLOOKUP(Tabelle9[[#This Row],[Rank]],Stammdaten[[Rank Verteilung Abholzigkeit]:[Verteilung Abholzigkeit]],2,FALSE)</f>
        <v>#N/A</v>
      </c>
      <c r="S624">
        <v>615</v>
      </c>
      <c r="T624" t="e">
        <f>INDEX(Stammdaten[Krümmung (mm/lfm)],MATCH(Tabelle10[[#This Row],[Rank]],Stammdaten[Rank Verteilung Krümmung],0))</f>
        <v>#N/A</v>
      </c>
      <c r="U624" t="e">
        <f>VLOOKUP(Tabelle10[[#This Row],[Rank]],Stammdaten[[Rank Verteilung Krümmung]:[Verteilung Krümmung]],2,FALSE)</f>
        <v>#N/A</v>
      </c>
      <c r="Z624">
        <v>615</v>
      </c>
      <c r="AA624" t="e">
        <f>INDEX(Stammdaten[Ovalität (']0,1'])],MATCH(Tabelle1014[[#This Row],[Rank]],Stammdaten[Rank Verteilung Ovalität],0))</f>
        <v>#N/A</v>
      </c>
      <c r="AB624" t="e">
        <f>VLOOKUP(Tabelle1014[[#This Row],[Rank]],Stammdaten[[Rank Verteilung Ovalität]:[Verteilung Ovalität]],2,FALSE)</f>
        <v>#N/A</v>
      </c>
    </row>
    <row r="625" spans="5:28" x14ac:dyDescent="0.35">
      <c r="E625">
        <v>616</v>
      </c>
      <c r="F625" t="e">
        <f>INDEX(Stammdaten[D Mitte mit Rinde (mm)],MATCH(Tabelle8[[#This Row],[Rank]],Stammdaten[Rank Verteilung D Mitte mit Rinde],0))</f>
        <v>#N/A</v>
      </c>
      <c r="G625" t="e">
        <f>VLOOKUP(Tabelle8[[#This Row],[Rank]],Stammdaten[[Rank Verteilung D Mitte mit Rinde]:[Verteilung D Mitte mit Rinde]],2,FALSE)</f>
        <v>#N/A</v>
      </c>
      <c r="L625">
        <v>616</v>
      </c>
      <c r="M625" t="e">
        <f>INDEX(Stammdaten[Abholzigkeit (mm/lfm)],MATCH(Tabelle9[[#This Row],[Rank]],Stammdaten[Rank Verteilung Abholzigkeit],0))</f>
        <v>#N/A</v>
      </c>
      <c r="N625" t="e">
        <f>VLOOKUP(Tabelle9[[#This Row],[Rank]],Stammdaten[[Rank Verteilung Abholzigkeit]:[Verteilung Abholzigkeit]],2,FALSE)</f>
        <v>#N/A</v>
      </c>
      <c r="S625">
        <v>616</v>
      </c>
      <c r="T625" t="e">
        <f>INDEX(Stammdaten[Krümmung (mm/lfm)],MATCH(Tabelle10[[#This Row],[Rank]],Stammdaten[Rank Verteilung Krümmung],0))</f>
        <v>#N/A</v>
      </c>
      <c r="U625" t="e">
        <f>VLOOKUP(Tabelle10[[#This Row],[Rank]],Stammdaten[[Rank Verteilung Krümmung]:[Verteilung Krümmung]],2,FALSE)</f>
        <v>#N/A</v>
      </c>
      <c r="Z625">
        <v>616</v>
      </c>
      <c r="AA625" t="e">
        <f>INDEX(Stammdaten[Ovalität (']0,1'])],MATCH(Tabelle1014[[#This Row],[Rank]],Stammdaten[Rank Verteilung Ovalität],0))</f>
        <v>#N/A</v>
      </c>
      <c r="AB625" t="e">
        <f>VLOOKUP(Tabelle1014[[#This Row],[Rank]],Stammdaten[[Rank Verteilung Ovalität]:[Verteilung Ovalität]],2,FALSE)</f>
        <v>#N/A</v>
      </c>
    </row>
    <row r="626" spans="5:28" x14ac:dyDescent="0.35">
      <c r="E626">
        <v>617</v>
      </c>
      <c r="F626" t="e">
        <f>INDEX(Stammdaten[D Mitte mit Rinde (mm)],MATCH(Tabelle8[[#This Row],[Rank]],Stammdaten[Rank Verteilung D Mitte mit Rinde],0))</f>
        <v>#N/A</v>
      </c>
      <c r="G626" t="e">
        <f>VLOOKUP(Tabelle8[[#This Row],[Rank]],Stammdaten[[Rank Verteilung D Mitte mit Rinde]:[Verteilung D Mitte mit Rinde]],2,FALSE)</f>
        <v>#N/A</v>
      </c>
      <c r="L626">
        <v>617</v>
      </c>
      <c r="M626" t="e">
        <f>INDEX(Stammdaten[Abholzigkeit (mm/lfm)],MATCH(Tabelle9[[#This Row],[Rank]],Stammdaten[Rank Verteilung Abholzigkeit],0))</f>
        <v>#N/A</v>
      </c>
      <c r="N626" t="e">
        <f>VLOOKUP(Tabelle9[[#This Row],[Rank]],Stammdaten[[Rank Verteilung Abholzigkeit]:[Verteilung Abholzigkeit]],2,FALSE)</f>
        <v>#N/A</v>
      </c>
      <c r="S626">
        <v>617</v>
      </c>
      <c r="T626" t="e">
        <f>INDEX(Stammdaten[Krümmung (mm/lfm)],MATCH(Tabelle10[[#This Row],[Rank]],Stammdaten[Rank Verteilung Krümmung],0))</f>
        <v>#N/A</v>
      </c>
      <c r="U626" t="e">
        <f>VLOOKUP(Tabelle10[[#This Row],[Rank]],Stammdaten[[Rank Verteilung Krümmung]:[Verteilung Krümmung]],2,FALSE)</f>
        <v>#N/A</v>
      </c>
      <c r="Z626">
        <v>617</v>
      </c>
      <c r="AA626" t="e">
        <f>INDEX(Stammdaten[Ovalität (']0,1'])],MATCH(Tabelle1014[[#This Row],[Rank]],Stammdaten[Rank Verteilung Ovalität],0))</f>
        <v>#N/A</v>
      </c>
      <c r="AB626" t="e">
        <f>VLOOKUP(Tabelle1014[[#This Row],[Rank]],Stammdaten[[Rank Verteilung Ovalität]:[Verteilung Ovalität]],2,FALSE)</f>
        <v>#N/A</v>
      </c>
    </row>
    <row r="627" spans="5:28" x14ac:dyDescent="0.35">
      <c r="E627">
        <v>618</v>
      </c>
      <c r="F627" t="e">
        <f>INDEX(Stammdaten[D Mitte mit Rinde (mm)],MATCH(Tabelle8[[#This Row],[Rank]],Stammdaten[Rank Verteilung D Mitte mit Rinde],0))</f>
        <v>#N/A</v>
      </c>
      <c r="G627" t="e">
        <f>VLOOKUP(Tabelle8[[#This Row],[Rank]],Stammdaten[[Rank Verteilung D Mitte mit Rinde]:[Verteilung D Mitte mit Rinde]],2,FALSE)</f>
        <v>#N/A</v>
      </c>
      <c r="L627">
        <v>618</v>
      </c>
      <c r="M627" t="e">
        <f>INDEX(Stammdaten[Abholzigkeit (mm/lfm)],MATCH(Tabelle9[[#This Row],[Rank]],Stammdaten[Rank Verteilung Abholzigkeit],0))</f>
        <v>#N/A</v>
      </c>
      <c r="N627" t="e">
        <f>VLOOKUP(Tabelle9[[#This Row],[Rank]],Stammdaten[[Rank Verteilung Abholzigkeit]:[Verteilung Abholzigkeit]],2,FALSE)</f>
        <v>#N/A</v>
      </c>
      <c r="S627">
        <v>618</v>
      </c>
      <c r="T627" t="e">
        <f>INDEX(Stammdaten[Krümmung (mm/lfm)],MATCH(Tabelle10[[#This Row],[Rank]],Stammdaten[Rank Verteilung Krümmung],0))</f>
        <v>#N/A</v>
      </c>
      <c r="U627" t="e">
        <f>VLOOKUP(Tabelle10[[#This Row],[Rank]],Stammdaten[[Rank Verteilung Krümmung]:[Verteilung Krümmung]],2,FALSE)</f>
        <v>#N/A</v>
      </c>
      <c r="Z627">
        <v>618</v>
      </c>
      <c r="AA627" t="e">
        <f>INDEX(Stammdaten[Ovalität (']0,1'])],MATCH(Tabelle1014[[#This Row],[Rank]],Stammdaten[Rank Verteilung Ovalität],0))</f>
        <v>#N/A</v>
      </c>
      <c r="AB627" t="e">
        <f>VLOOKUP(Tabelle1014[[#This Row],[Rank]],Stammdaten[[Rank Verteilung Ovalität]:[Verteilung Ovalität]],2,FALSE)</f>
        <v>#N/A</v>
      </c>
    </row>
    <row r="628" spans="5:28" x14ac:dyDescent="0.35">
      <c r="E628">
        <v>619</v>
      </c>
      <c r="F628" t="e">
        <f>INDEX(Stammdaten[D Mitte mit Rinde (mm)],MATCH(Tabelle8[[#This Row],[Rank]],Stammdaten[Rank Verteilung D Mitte mit Rinde],0))</f>
        <v>#N/A</v>
      </c>
      <c r="G628" t="e">
        <f>VLOOKUP(Tabelle8[[#This Row],[Rank]],Stammdaten[[Rank Verteilung D Mitte mit Rinde]:[Verteilung D Mitte mit Rinde]],2,FALSE)</f>
        <v>#N/A</v>
      </c>
      <c r="L628">
        <v>619</v>
      </c>
      <c r="M628" t="e">
        <f>INDEX(Stammdaten[Abholzigkeit (mm/lfm)],MATCH(Tabelle9[[#This Row],[Rank]],Stammdaten[Rank Verteilung Abholzigkeit],0))</f>
        <v>#N/A</v>
      </c>
      <c r="N628" t="e">
        <f>VLOOKUP(Tabelle9[[#This Row],[Rank]],Stammdaten[[Rank Verteilung Abholzigkeit]:[Verteilung Abholzigkeit]],2,FALSE)</f>
        <v>#N/A</v>
      </c>
      <c r="S628">
        <v>619</v>
      </c>
      <c r="T628" t="e">
        <f>INDEX(Stammdaten[Krümmung (mm/lfm)],MATCH(Tabelle10[[#This Row],[Rank]],Stammdaten[Rank Verteilung Krümmung],0))</f>
        <v>#N/A</v>
      </c>
      <c r="U628" t="e">
        <f>VLOOKUP(Tabelle10[[#This Row],[Rank]],Stammdaten[[Rank Verteilung Krümmung]:[Verteilung Krümmung]],2,FALSE)</f>
        <v>#N/A</v>
      </c>
      <c r="Z628">
        <v>619</v>
      </c>
      <c r="AA628" t="e">
        <f>INDEX(Stammdaten[Ovalität (']0,1'])],MATCH(Tabelle1014[[#This Row],[Rank]],Stammdaten[Rank Verteilung Ovalität],0))</f>
        <v>#N/A</v>
      </c>
      <c r="AB628" t="e">
        <f>VLOOKUP(Tabelle1014[[#This Row],[Rank]],Stammdaten[[Rank Verteilung Ovalität]:[Verteilung Ovalität]],2,FALSE)</f>
        <v>#N/A</v>
      </c>
    </row>
    <row r="629" spans="5:28" x14ac:dyDescent="0.35">
      <c r="E629">
        <v>620</v>
      </c>
      <c r="F629" t="e">
        <f>INDEX(Stammdaten[D Mitte mit Rinde (mm)],MATCH(Tabelle8[[#This Row],[Rank]],Stammdaten[Rank Verteilung D Mitte mit Rinde],0))</f>
        <v>#N/A</v>
      </c>
      <c r="G629" t="e">
        <f>VLOOKUP(Tabelle8[[#This Row],[Rank]],Stammdaten[[Rank Verteilung D Mitte mit Rinde]:[Verteilung D Mitte mit Rinde]],2,FALSE)</f>
        <v>#N/A</v>
      </c>
      <c r="L629">
        <v>620</v>
      </c>
      <c r="M629" t="e">
        <f>INDEX(Stammdaten[Abholzigkeit (mm/lfm)],MATCH(Tabelle9[[#This Row],[Rank]],Stammdaten[Rank Verteilung Abholzigkeit],0))</f>
        <v>#N/A</v>
      </c>
      <c r="N629" t="e">
        <f>VLOOKUP(Tabelle9[[#This Row],[Rank]],Stammdaten[[Rank Verteilung Abholzigkeit]:[Verteilung Abholzigkeit]],2,FALSE)</f>
        <v>#N/A</v>
      </c>
      <c r="S629">
        <v>620</v>
      </c>
      <c r="T629" t="e">
        <f>INDEX(Stammdaten[Krümmung (mm/lfm)],MATCH(Tabelle10[[#This Row],[Rank]],Stammdaten[Rank Verteilung Krümmung],0))</f>
        <v>#N/A</v>
      </c>
      <c r="U629" t="e">
        <f>VLOOKUP(Tabelle10[[#This Row],[Rank]],Stammdaten[[Rank Verteilung Krümmung]:[Verteilung Krümmung]],2,FALSE)</f>
        <v>#N/A</v>
      </c>
      <c r="Z629">
        <v>620</v>
      </c>
      <c r="AA629" t="e">
        <f>INDEX(Stammdaten[Ovalität (']0,1'])],MATCH(Tabelle1014[[#This Row],[Rank]],Stammdaten[Rank Verteilung Ovalität],0))</f>
        <v>#N/A</v>
      </c>
      <c r="AB629" t="e">
        <f>VLOOKUP(Tabelle1014[[#This Row],[Rank]],Stammdaten[[Rank Verteilung Ovalität]:[Verteilung Ovalität]],2,FALSE)</f>
        <v>#N/A</v>
      </c>
    </row>
    <row r="630" spans="5:28" x14ac:dyDescent="0.35">
      <c r="E630">
        <v>621</v>
      </c>
      <c r="F630" t="e">
        <f>INDEX(Stammdaten[D Mitte mit Rinde (mm)],MATCH(Tabelle8[[#This Row],[Rank]],Stammdaten[Rank Verteilung D Mitte mit Rinde],0))</f>
        <v>#N/A</v>
      </c>
      <c r="G630" t="e">
        <f>VLOOKUP(Tabelle8[[#This Row],[Rank]],Stammdaten[[Rank Verteilung D Mitte mit Rinde]:[Verteilung D Mitte mit Rinde]],2,FALSE)</f>
        <v>#N/A</v>
      </c>
      <c r="L630">
        <v>621</v>
      </c>
      <c r="M630" t="e">
        <f>INDEX(Stammdaten[Abholzigkeit (mm/lfm)],MATCH(Tabelle9[[#This Row],[Rank]],Stammdaten[Rank Verteilung Abholzigkeit],0))</f>
        <v>#N/A</v>
      </c>
      <c r="N630" t="e">
        <f>VLOOKUP(Tabelle9[[#This Row],[Rank]],Stammdaten[[Rank Verteilung Abholzigkeit]:[Verteilung Abholzigkeit]],2,FALSE)</f>
        <v>#N/A</v>
      </c>
      <c r="S630">
        <v>621</v>
      </c>
      <c r="T630" t="e">
        <f>INDEX(Stammdaten[Krümmung (mm/lfm)],MATCH(Tabelle10[[#This Row],[Rank]],Stammdaten[Rank Verteilung Krümmung],0))</f>
        <v>#N/A</v>
      </c>
      <c r="U630" t="e">
        <f>VLOOKUP(Tabelle10[[#This Row],[Rank]],Stammdaten[[Rank Verteilung Krümmung]:[Verteilung Krümmung]],2,FALSE)</f>
        <v>#N/A</v>
      </c>
      <c r="Z630">
        <v>621</v>
      </c>
      <c r="AA630" t="e">
        <f>INDEX(Stammdaten[Ovalität (']0,1'])],MATCH(Tabelle1014[[#This Row],[Rank]],Stammdaten[Rank Verteilung Ovalität],0))</f>
        <v>#N/A</v>
      </c>
      <c r="AB630" t="e">
        <f>VLOOKUP(Tabelle1014[[#This Row],[Rank]],Stammdaten[[Rank Verteilung Ovalität]:[Verteilung Ovalität]],2,FALSE)</f>
        <v>#N/A</v>
      </c>
    </row>
    <row r="631" spans="5:28" x14ac:dyDescent="0.35">
      <c r="E631">
        <v>622</v>
      </c>
      <c r="F631" t="e">
        <f>INDEX(Stammdaten[D Mitte mit Rinde (mm)],MATCH(Tabelle8[[#This Row],[Rank]],Stammdaten[Rank Verteilung D Mitte mit Rinde],0))</f>
        <v>#N/A</v>
      </c>
      <c r="G631" t="e">
        <f>VLOOKUP(Tabelle8[[#This Row],[Rank]],Stammdaten[[Rank Verteilung D Mitte mit Rinde]:[Verteilung D Mitte mit Rinde]],2,FALSE)</f>
        <v>#N/A</v>
      </c>
      <c r="L631">
        <v>622</v>
      </c>
      <c r="M631" t="e">
        <f>INDEX(Stammdaten[Abholzigkeit (mm/lfm)],MATCH(Tabelle9[[#This Row],[Rank]],Stammdaten[Rank Verteilung Abholzigkeit],0))</f>
        <v>#N/A</v>
      </c>
      <c r="N631" t="e">
        <f>VLOOKUP(Tabelle9[[#This Row],[Rank]],Stammdaten[[Rank Verteilung Abholzigkeit]:[Verteilung Abholzigkeit]],2,FALSE)</f>
        <v>#N/A</v>
      </c>
      <c r="S631">
        <v>622</v>
      </c>
      <c r="T631" t="e">
        <f>INDEX(Stammdaten[Krümmung (mm/lfm)],MATCH(Tabelle10[[#This Row],[Rank]],Stammdaten[Rank Verteilung Krümmung],0))</f>
        <v>#N/A</v>
      </c>
      <c r="U631" t="e">
        <f>VLOOKUP(Tabelle10[[#This Row],[Rank]],Stammdaten[[Rank Verteilung Krümmung]:[Verteilung Krümmung]],2,FALSE)</f>
        <v>#N/A</v>
      </c>
      <c r="Z631">
        <v>622</v>
      </c>
      <c r="AA631" t="e">
        <f>INDEX(Stammdaten[Ovalität (']0,1'])],MATCH(Tabelle1014[[#This Row],[Rank]],Stammdaten[Rank Verteilung Ovalität],0))</f>
        <v>#N/A</v>
      </c>
      <c r="AB631" t="e">
        <f>VLOOKUP(Tabelle1014[[#This Row],[Rank]],Stammdaten[[Rank Verteilung Ovalität]:[Verteilung Ovalität]],2,FALSE)</f>
        <v>#N/A</v>
      </c>
    </row>
    <row r="632" spans="5:28" x14ac:dyDescent="0.35">
      <c r="E632">
        <v>623</v>
      </c>
      <c r="F632" t="e">
        <f>INDEX(Stammdaten[D Mitte mit Rinde (mm)],MATCH(Tabelle8[[#This Row],[Rank]],Stammdaten[Rank Verteilung D Mitte mit Rinde],0))</f>
        <v>#N/A</v>
      </c>
      <c r="G632" t="e">
        <f>VLOOKUP(Tabelle8[[#This Row],[Rank]],Stammdaten[[Rank Verteilung D Mitte mit Rinde]:[Verteilung D Mitte mit Rinde]],2,FALSE)</f>
        <v>#N/A</v>
      </c>
      <c r="L632">
        <v>623</v>
      </c>
      <c r="M632" t="e">
        <f>INDEX(Stammdaten[Abholzigkeit (mm/lfm)],MATCH(Tabelle9[[#This Row],[Rank]],Stammdaten[Rank Verteilung Abholzigkeit],0))</f>
        <v>#N/A</v>
      </c>
      <c r="N632" t="e">
        <f>VLOOKUP(Tabelle9[[#This Row],[Rank]],Stammdaten[[Rank Verteilung Abholzigkeit]:[Verteilung Abholzigkeit]],2,FALSE)</f>
        <v>#N/A</v>
      </c>
      <c r="S632">
        <v>623</v>
      </c>
      <c r="T632" t="e">
        <f>INDEX(Stammdaten[Krümmung (mm/lfm)],MATCH(Tabelle10[[#This Row],[Rank]],Stammdaten[Rank Verteilung Krümmung],0))</f>
        <v>#N/A</v>
      </c>
      <c r="U632" t="e">
        <f>VLOOKUP(Tabelle10[[#This Row],[Rank]],Stammdaten[[Rank Verteilung Krümmung]:[Verteilung Krümmung]],2,FALSE)</f>
        <v>#N/A</v>
      </c>
      <c r="Z632">
        <v>623</v>
      </c>
      <c r="AA632" t="e">
        <f>INDEX(Stammdaten[Ovalität (']0,1'])],MATCH(Tabelle1014[[#This Row],[Rank]],Stammdaten[Rank Verteilung Ovalität],0))</f>
        <v>#N/A</v>
      </c>
      <c r="AB632" t="e">
        <f>VLOOKUP(Tabelle1014[[#This Row],[Rank]],Stammdaten[[Rank Verteilung Ovalität]:[Verteilung Ovalität]],2,FALSE)</f>
        <v>#N/A</v>
      </c>
    </row>
    <row r="633" spans="5:28" x14ac:dyDescent="0.35">
      <c r="E633">
        <v>624</v>
      </c>
      <c r="F633" t="e">
        <f>INDEX(Stammdaten[D Mitte mit Rinde (mm)],MATCH(Tabelle8[[#This Row],[Rank]],Stammdaten[Rank Verteilung D Mitte mit Rinde],0))</f>
        <v>#N/A</v>
      </c>
      <c r="G633" t="e">
        <f>VLOOKUP(Tabelle8[[#This Row],[Rank]],Stammdaten[[Rank Verteilung D Mitte mit Rinde]:[Verteilung D Mitte mit Rinde]],2,FALSE)</f>
        <v>#N/A</v>
      </c>
      <c r="L633">
        <v>624</v>
      </c>
      <c r="M633" t="e">
        <f>INDEX(Stammdaten[Abholzigkeit (mm/lfm)],MATCH(Tabelle9[[#This Row],[Rank]],Stammdaten[Rank Verteilung Abholzigkeit],0))</f>
        <v>#N/A</v>
      </c>
      <c r="N633" t="e">
        <f>VLOOKUP(Tabelle9[[#This Row],[Rank]],Stammdaten[[Rank Verteilung Abholzigkeit]:[Verteilung Abholzigkeit]],2,FALSE)</f>
        <v>#N/A</v>
      </c>
      <c r="S633">
        <v>624</v>
      </c>
      <c r="T633" t="e">
        <f>INDEX(Stammdaten[Krümmung (mm/lfm)],MATCH(Tabelle10[[#This Row],[Rank]],Stammdaten[Rank Verteilung Krümmung],0))</f>
        <v>#N/A</v>
      </c>
      <c r="U633" t="e">
        <f>VLOOKUP(Tabelle10[[#This Row],[Rank]],Stammdaten[[Rank Verteilung Krümmung]:[Verteilung Krümmung]],2,FALSE)</f>
        <v>#N/A</v>
      </c>
      <c r="Z633">
        <v>624</v>
      </c>
      <c r="AA633" t="e">
        <f>INDEX(Stammdaten[Ovalität (']0,1'])],MATCH(Tabelle1014[[#This Row],[Rank]],Stammdaten[Rank Verteilung Ovalität],0))</f>
        <v>#N/A</v>
      </c>
      <c r="AB633" t="e">
        <f>VLOOKUP(Tabelle1014[[#This Row],[Rank]],Stammdaten[[Rank Verteilung Ovalität]:[Verteilung Ovalität]],2,FALSE)</f>
        <v>#N/A</v>
      </c>
    </row>
    <row r="634" spans="5:28" x14ac:dyDescent="0.35">
      <c r="E634">
        <v>625</v>
      </c>
      <c r="F634" t="e">
        <f>INDEX(Stammdaten[D Mitte mit Rinde (mm)],MATCH(Tabelle8[[#This Row],[Rank]],Stammdaten[Rank Verteilung D Mitte mit Rinde],0))</f>
        <v>#N/A</v>
      </c>
      <c r="G634" t="e">
        <f>VLOOKUP(Tabelle8[[#This Row],[Rank]],Stammdaten[[Rank Verteilung D Mitte mit Rinde]:[Verteilung D Mitte mit Rinde]],2,FALSE)</f>
        <v>#N/A</v>
      </c>
      <c r="L634">
        <v>625</v>
      </c>
      <c r="M634" t="e">
        <f>INDEX(Stammdaten[Abholzigkeit (mm/lfm)],MATCH(Tabelle9[[#This Row],[Rank]],Stammdaten[Rank Verteilung Abholzigkeit],0))</f>
        <v>#N/A</v>
      </c>
      <c r="N634" t="e">
        <f>VLOOKUP(Tabelle9[[#This Row],[Rank]],Stammdaten[[Rank Verteilung Abholzigkeit]:[Verteilung Abholzigkeit]],2,FALSE)</f>
        <v>#N/A</v>
      </c>
      <c r="S634">
        <v>625</v>
      </c>
      <c r="T634" t="e">
        <f>INDEX(Stammdaten[Krümmung (mm/lfm)],MATCH(Tabelle10[[#This Row],[Rank]],Stammdaten[Rank Verteilung Krümmung],0))</f>
        <v>#N/A</v>
      </c>
      <c r="U634" t="e">
        <f>VLOOKUP(Tabelle10[[#This Row],[Rank]],Stammdaten[[Rank Verteilung Krümmung]:[Verteilung Krümmung]],2,FALSE)</f>
        <v>#N/A</v>
      </c>
      <c r="Z634">
        <v>625</v>
      </c>
      <c r="AA634" t="e">
        <f>INDEX(Stammdaten[Ovalität (']0,1'])],MATCH(Tabelle1014[[#This Row],[Rank]],Stammdaten[Rank Verteilung Ovalität],0))</f>
        <v>#N/A</v>
      </c>
      <c r="AB634" t="e">
        <f>VLOOKUP(Tabelle1014[[#This Row],[Rank]],Stammdaten[[Rank Verteilung Ovalität]:[Verteilung Ovalität]],2,FALSE)</f>
        <v>#N/A</v>
      </c>
    </row>
    <row r="635" spans="5:28" x14ac:dyDescent="0.35">
      <c r="E635">
        <v>626</v>
      </c>
      <c r="F635" t="e">
        <f>INDEX(Stammdaten[D Mitte mit Rinde (mm)],MATCH(Tabelle8[[#This Row],[Rank]],Stammdaten[Rank Verteilung D Mitte mit Rinde],0))</f>
        <v>#N/A</v>
      </c>
      <c r="G635" t="e">
        <f>VLOOKUP(Tabelle8[[#This Row],[Rank]],Stammdaten[[Rank Verteilung D Mitte mit Rinde]:[Verteilung D Mitte mit Rinde]],2,FALSE)</f>
        <v>#N/A</v>
      </c>
      <c r="L635">
        <v>626</v>
      </c>
      <c r="M635" t="e">
        <f>INDEX(Stammdaten[Abholzigkeit (mm/lfm)],MATCH(Tabelle9[[#This Row],[Rank]],Stammdaten[Rank Verteilung Abholzigkeit],0))</f>
        <v>#N/A</v>
      </c>
      <c r="N635" t="e">
        <f>VLOOKUP(Tabelle9[[#This Row],[Rank]],Stammdaten[[Rank Verteilung Abholzigkeit]:[Verteilung Abholzigkeit]],2,FALSE)</f>
        <v>#N/A</v>
      </c>
      <c r="S635">
        <v>626</v>
      </c>
      <c r="T635" t="e">
        <f>INDEX(Stammdaten[Krümmung (mm/lfm)],MATCH(Tabelle10[[#This Row],[Rank]],Stammdaten[Rank Verteilung Krümmung],0))</f>
        <v>#N/A</v>
      </c>
      <c r="U635" t="e">
        <f>VLOOKUP(Tabelle10[[#This Row],[Rank]],Stammdaten[[Rank Verteilung Krümmung]:[Verteilung Krümmung]],2,FALSE)</f>
        <v>#N/A</v>
      </c>
      <c r="Z635">
        <v>626</v>
      </c>
      <c r="AA635" t="e">
        <f>INDEX(Stammdaten[Ovalität (']0,1'])],MATCH(Tabelle1014[[#This Row],[Rank]],Stammdaten[Rank Verteilung Ovalität],0))</f>
        <v>#N/A</v>
      </c>
      <c r="AB635" t="e">
        <f>VLOOKUP(Tabelle1014[[#This Row],[Rank]],Stammdaten[[Rank Verteilung Ovalität]:[Verteilung Ovalität]],2,FALSE)</f>
        <v>#N/A</v>
      </c>
    </row>
    <row r="636" spans="5:28" x14ac:dyDescent="0.35">
      <c r="E636">
        <v>627</v>
      </c>
      <c r="F636" t="e">
        <f>INDEX(Stammdaten[D Mitte mit Rinde (mm)],MATCH(Tabelle8[[#This Row],[Rank]],Stammdaten[Rank Verteilung D Mitte mit Rinde],0))</f>
        <v>#N/A</v>
      </c>
      <c r="G636" t="e">
        <f>VLOOKUP(Tabelle8[[#This Row],[Rank]],Stammdaten[[Rank Verteilung D Mitte mit Rinde]:[Verteilung D Mitte mit Rinde]],2,FALSE)</f>
        <v>#N/A</v>
      </c>
      <c r="L636">
        <v>627</v>
      </c>
      <c r="M636" t="e">
        <f>INDEX(Stammdaten[Abholzigkeit (mm/lfm)],MATCH(Tabelle9[[#This Row],[Rank]],Stammdaten[Rank Verteilung Abholzigkeit],0))</f>
        <v>#N/A</v>
      </c>
      <c r="N636" t="e">
        <f>VLOOKUP(Tabelle9[[#This Row],[Rank]],Stammdaten[[Rank Verteilung Abholzigkeit]:[Verteilung Abholzigkeit]],2,FALSE)</f>
        <v>#N/A</v>
      </c>
      <c r="S636">
        <v>627</v>
      </c>
      <c r="T636" t="e">
        <f>INDEX(Stammdaten[Krümmung (mm/lfm)],MATCH(Tabelle10[[#This Row],[Rank]],Stammdaten[Rank Verteilung Krümmung],0))</f>
        <v>#N/A</v>
      </c>
      <c r="U636" t="e">
        <f>VLOOKUP(Tabelle10[[#This Row],[Rank]],Stammdaten[[Rank Verteilung Krümmung]:[Verteilung Krümmung]],2,FALSE)</f>
        <v>#N/A</v>
      </c>
      <c r="Z636">
        <v>627</v>
      </c>
      <c r="AA636" t="e">
        <f>INDEX(Stammdaten[Ovalität (']0,1'])],MATCH(Tabelle1014[[#This Row],[Rank]],Stammdaten[Rank Verteilung Ovalität],0))</f>
        <v>#N/A</v>
      </c>
      <c r="AB636" t="e">
        <f>VLOOKUP(Tabelle1014[[#This Row],[Rank]],Stammdaten[[Rank Verteilung Ovalität]:[Verteilung Ovalität]],2,FALSE)</f>
        <v>#N/A</v>
      </c>
    </row>
    <row r="637" spans="5:28" x14ac:dyDescent="0.35">
      <c r="E637">
        <v>628</v>
      </c>
      <c r="F637" t="e">
        <f>INDEX(Stammdaten[D Mitte mit Rinde (mm)],MATCH(Tabelle8[[#This Row],[Rank]],Stammdaten[Rank Verteilung D Mitte mit Rinde],0))</f>
        <v>#N/A</v>
      </c>
      <c r="G637" t="e">
        <f>VLOOKUP(Tabelle8[[#This Row],[Rank]],Stammdaten[[Rank Verteilung D Mitte mit Rinde]:[Verteilung D Mitte mit Rinde]],2,FALSE)</f>
        <v>#N/A</v>
      </c>
      <c r="L637">
        <v>628</v>
      </c>
      <c r="M637" t="e">
        <f>INDEX(Stammdaten[Abholzigkeit (mm/lfm)],MATCH(Tabelle9[[#This Row],[Rank]],Stammdaten[Rank Verteilung Abholzigkeit],0))</f>
        <v>#N/A</v>
      </c>
      <c r="N637" t="e">
        <f>VLOOKUP(Tabelle9[[#This Row],[Rank]],Stammdaten[[Rank Verteilung Abholzigkeit]:[Verteilung Abholzigkeit]],2,FALSE)</f>
        <v>#N/A</v>
      </c>
      <c r="S637">
        <v>628</v>
      </c>
      <c r="T637" t="e">
        <f>INDEX(Stammdaten[Krümmung (mm/lfm)],MATCH(Tabelle10[[#This Row],[Rank]],Stammdaten[Rank Verteilung Krümmung],0))</f>
        <v>#N/A</v>
      </c>
      <c r="U637" t="e">
        <f>VLOOKUP(Tabelle10[[#This Row],[Rank]],Stammdaten[[Rank Verteilung Krümmung]:[Verteilung Krümmung]],2,FALSE)</f>
        <v>#N/A</v>
      </c>
      <c r="Z637">
        <v>628</v>
      </c>
      <c r="AA637" t="e">
        <f>INDEX(Stammdaten[Ovalität (']0,1'])],MATCH(Tabelle1014[[#This Row],[Rank]],Stammdaten[Rank Verteilung Ovalität],0))</f>
        <v>#N/A</v>
      </c>
      <c r="AB637" t="e">
        <f>VLOOKUP(Tabelle1014[[#This Row],[Rank]],Stammdaten[[Rank Verteilung Ovalität]:[Verteilung Ovalität]],2,FALSE)</f>
        <v>#N/A</v>
      </c>
    </row>
    <row r="638" spans="5:28" x14ac:dyDescent="0.35">
      <c r="E638">
        <v>629</v>
      </c>
      <c r="F638" t="e">
        <f>INDEX(Stammdaten[D Mitte mit Rinde (mm)],MATCH(Tabelle8[[#This Row],[Rank]],Stammdaten[Rank Verteilung D Mitte mit Rinde],0))</f>
        <v>#N/A</v>
      </c>
      <c r="G638" t="e">
        <f>VLOOKUP(Tabelle8[[#This Row],[Rank]],Stammdaten[[Rank Verteilung D Mitte mit Rinde]:[Verteilung D Mitte mit Rinde]],2,FALSE)</f>
        <v>#N/A</v>
      </c>
      <c r="L638">
        <v>629</v>
      </c>
      <c r="M638" t="e">
        <f>INDEX(Stammdaten[Abholzigkeit (mm/lfm)],MATCH(Tabelle9[[#This Row],[Rank]],Stammdaten[Rank Verteilung Abholzigkeit],0))</f>
        <v>#N/A</v>
      </c>
      <c r="N638" t="e">
        <f>VLOOKUP(Tabelle9[[#This Row],[Rank]],Stammdaten[[Rank Verteilung Abholzigkeit]:[Verteilung Abholzigkeit]],2,FALSE)</f>
        <v>#N/A</v>
      </c>
      <c r="S638">
        <v>629</v>
      </c>
      <c r="T638" t="e">
        <f>INDEX(Stammdaten[Krümmung (mm/lfm)],MATCH(Tabelle10[[#This Row],[Rank]],Stammdaten[Rank Verteilung Krümmung],0))</f>
        <v>#N/A</v>
      </c>
      <c r="U638" t="e">
        <f>VLOOKUP(Tabelle10[[#This Row],[Rank]],Stammdaten[[Rank Verteilung Krümmung]:[Verteilung Krümmung]],2,FALSE)</f>
        <v>#N/A</v>
      </c>
      <c r="Z638">
        <v>629</v>
      </c>
      <c r="AA638" t="e">
        <f>INDEX(Stammdaten[Ovalität (']0,1'])],MATCH(Tabelle1014[[#This Row],[Rank]],Stammdaten[Rank Verteilung Ovalität],0))</f>
        <v>#N/A</v>
      </c>
      <c r="AB638" t="e">
        <f>VLOOKUP(Tabelle1014[[#This Row],[Rank]],Stammdaten[[Rank Verteilung Ovalität]:[Verteilung Ovalität]],2,FALSE)</f>
        <v>#N/A</v>
      </c>
    </row>
    <row r="639" spans="5:28" x14ac:dyDescent="0.35">
      <c r="E639">
        <v>630</v>
      </c>
      <c r="F639" t="e">
        <f>INDEX(Stammdaten[D Mitte mit Rinde (mm)],MATCH(Tabelle8[[#This Row],[Rank]],Stammdaten[Rank Verteilung D Mitte mit Rinde],0))</f>
        <v>#N/A</v>
      </c>
      <c r="G639" t="e">
        <f>VLOOKUP(Tabelle8[[#This Row],[Rank]],Stammdaten[[Rank Verteilung D Mitte mit Rinde]:[Verteilung D Mitte mit Rinde]],2,FALSE)</f>
        <v>#N/A</v>
      </c>
      <c r="L639">
        <v>630</v>
      </c>
      <c r="M639" t="e">
        <f>INDEX(Stammdaten[Abholzigkeit (mm/lfm)],MATCH(Tabelle9[[#This Row],[Rank]],Stammdaten[Rank Verteilung Abholzigkeit],0))</f>
        <v>#N/A</v>
      </c>
      <c r="N639" t="e">
        <f>VLOOKUP(Tabelle9[[#This Row],[Rank]],Stammdaten[[Rank Verteilung Abholzigkeit]:[Verteilung Abholzigkeit]],2,FALSE)</f>
        <v>#N/A</v>
      </c>
      <c r="S639">
        <v>630</v>
      </c>
      <c r="T639" t="e">
        <f>INDEX(Stammdaten[Krümmung (mm/lfm)],MATCH(Tabelle10[[#This Row],[Rank]],Stammdaten[Rank Verteilung Krümmung],0))</f>
        <v>#N/A</v>
      </c>
      <c r="U639" t="e">
        <f>VLOOKUP(Tabelle10[[#This Row],[Rank]],Stammdaten[[Rank Verteilung Krümmung]:[Verteilung Krümmung]],2,FALSE)</f>
        <v>#N/A</v>
      </c>
      <c r="Z639">
        <v>630</v>
      </c>
      <c r="AA639" t="e">
        <f>INDEX(Stammdaten[Ovalität (']0,1'])],MATCH(Tabelle1014[[#This Row],[Rank]],Stammdaten[Rank Verteilung Ovalität],0))</f>
        <v>#N/A</v>
      </c>
      <c r="AB639" t="e">
        <f>VLOOKUP(Tabelle1014[[#This Row],[Rank]],Stammdaten[[Rank Verteilung Ovalität]:[Verteilung Ovalität]],2,FALSE)</f>
        <v>#N/A</v>
      </c>
    </row>
    <row r="640" spans="5:28" x14ac:dyDescent="0.35">
      <c r="E640">
        <v>631</v>
      </c>
      <c r="F640" t="e">
        <f>INDEX(Stammdaten[D Mitte mit Rinde (mm)],MATCH(Tabelle8[[#This Row],[Rank]],Stammdaten[Rank Verteilung D Mitte mit Rinde],0))</f>
        <v>#N/A</v>
      </c>
      <c r="G640" t="e">
        <f>VLOOKUP(Tabelle8[[#This Row],[Rank]],Stammdaten[[Rank Verteilung D Mitte mit Rinde]:[Verteilung D Mitte mit Rinde]],2,FALSE)</f>
        <v>#N/A</v>
      </c>
      <c r="L640">
        <v>631</v>
      </c>
      <c r="M640" t="e">
        <f>INDEX(Stammdaten[Abholzigkeit (mm/lfm)],MATCH(Tabelle9[[#This Row],[Rank]],Stammdaten[Rank Verteilung Abholzigkeit],0))</f>
        <v>#N/A</v>
      </c>
      <c r="N640" t="e">
        <f>VLOOKUP(Tabelle9[[#This Row],[Rank]],Stammdaten[[Rank Verteilung Abholzigkeit]:[Verteilung Abholzigkeit]],2,FALSE)</f>
        <v>#N/A</v>
      </c>
      <c r="S640">
        <v>631</v>
      </c>
      <c r="T640" t="e">
        <f>INDEX(Stammdaten[Krümmung (mm/lfm)],MATCH(Tabelle10[[#This Row],[Rank]],Stammdaten[Rank Verteilung Krümmung],0))</f>
        <v>#N/A</v>
      </c>
      <c r="U640" t="e">
        <f>VLOOKUP(Tabelle10[[#This Row],[Rank]],Stammdaten[[Rank Verteilung Krümmung]:[Verteilung Krümmung]],2,FALSE)</f>
        <v>#N/A</v>
      </c>
      <c r="Z640">
        <v>631</v>
      </c>
      <c r="AA640" t="e">
        <f>INDEX(Stammdaten[Ovalität (']0,1'])],MATCH(Tabelle1014[[#This Row],[Rank]],Stammdaten[Rank Verteilung Ovalität],0))</f>
        <v>#N/A</v>
      </c>
      <c r="AB640" t="e">
        <f>VLOOKUP(Tabelle1014[[#This Row],[Rank]],Stammdaten[[Rank Verteilung Ovalität]:[Verteilung Ovalität]],2,FALSE)</f>
        <v>#N/A</v>
      </c>
    </row>
    <row r="641" spans="5:28" x14ac:dyDescent="0.35">
      <c r="E641">
        <v>632</v>
      </c>
      <c r="F641" t="e">
        <f>INDEX(Stammdaten[D Mitte mit Rinde (mm)],MATCH(Tabelle8[[#This Row],[Rank]],Stammdaten[Rank Verteilung D Mitte mit Rinde],0))</f>
        <v>#N/A</v>
      </c>
      <c r="G641" t="e">
        <f>VLOOKUP(Tabelle8[[#This Row],[Rank]],Stammdaten[[Rank Verteilung D Mitte mit Rinde]:[Verteilung D Mitte mit Rinde]],2,FALSE)</f>
        <v>#N/A</v>
      </c>
      <c r="L641">
        <v>632</v>
      </c>
      <c r="M641" t="e">
        <f>INDEX(Stammdaten[Abholzigkeit (mm/lfm)],MATCH(Tabelle9[[#This Row],[Rank]],Stammdaten[Rank Verteilung Abholzigkeit],0))</f>
        <v>#N/A</v>
      </c>
      <c r="N641" t="e">
        <f>VLOOKUP(Tabelle9[[#This Row],[Rank]],Stammdaten[[Rank Verteilung Abholzigkeit]:[Verteilung Abholzigkeit]],2,FALSE)</f>
        <v>#N/A</v>
      </c>
      <c r="S641">
        <v>632</v>
      </c>
      <c r="T641" t="e">
        <f>INDEX(Stammdaten[Krümmung (mm/lfm)],MATCH(Tabelle10[[#This Row],[Rank]],Stammdaten[Rank Verteilung Krümmung],0))</f>
        <v>#N/A</v>
      </c>
      <c r="U641" t="e">
        <f>VLOOKUP(Tabelle10[[#This Row],[Rank]],Stammdaten[[Rank Verteilung Krümmung]:[Verteilung Krümmung]],2,FALSE)</f>
        <v>#N/A</v>
      </c>
      <c r="Z641">
        <v>632</v>
      </c>
      <c r="AA641" t="e">
        <f>INDEX(Stammdaten[Ovalität (']0,1'])],MATCH(Tabelle1014[[#This Row],[Rank]],Stammdaten[Rank Verteilung Ovalität],0))</f>
        <v>#N/A</v>
      </c>
      <c r="AB641" t="e">
        <f>VLOOKUP(Tabelle1014[[#This Row],[Rank]],Stammdaten[[Rank Verteilung Ovalität]:[Verteilung Ovalität]],2,FALSE)</f>
        <v>#N/A</v>
      </c>
    </row>
    <row r="642" spans="5:28" x14ac:dyDescent="0.35">
      <c r="E642">
        <v>633</v>
      </c>
      <c r="F642" t="e">
        <f>INDEX(Stammdaten[D Mitte mit Rinde (mm)],MATCH(Tabelle8[[#This Row],[Rank]],Stammdaten[Rank Verteilung D Mitte mit Rinde],0))</f>
        <v>#N/A</v>
      </c>
      <c r="G642" t="e">
        <f>VLOOKUP(Tabelle8[[#This Row],[Rank]],Stammdaten[[Rank Verteilung D Mitte mit Rinde]:[Verteilung D Mitte mit Rinde]],2,FALSE)</f>
        <v>#N/A</v>
      </c>
      <c r="L642">
        <v>633</v>
      </c>
      <c r="M642" t="e">
        <f>INDEX(Stammdaten[Abholzigkeit (mm/lfm)],MATCH(Tabelle9[[#This Row],[Rank]],Stammdaten[Rank Verteilung Abholzigkeit],0))</f>
        <v>#N/A</v>
      </c>
      <c r="N642" t="e">
        <f>VLOOKUP(Tabelle9[[#This Row],[Rank]],Stammdaten[[Rank Verteilung Abholzigkeit]:[Verteilung Abholzigkeit]],2,FALSE)</f>
        <v>#N/A</v>
      </c>
      <c r="S642">
        <v>633</v>
      </c>
      <c r="T642" t="e">
        <f>INDEX(Stammdaten[Krümmung (mm/lfm)],MATCH(Tabelle10[[#This Row],[Rank]],Stammdaten[Rank Verteilung Krümmung],0))</f>
        <v>#N/A</v>
      </c>
      <c r="U642" t="e">
        <f>VLOOKUP(Tabelle10[[#This Row],[Rank]],Stammdaten[[Rank Verteilung Krümmung]:[Verteilung Krümmung]],2,FALSE)</f>
        <v>#N/A</v>
      </c>
      <c r="Z642">
        <v>633</v>
      </c>
      <c r="AA642" t="e">
        <f>INDEX(Stammdaten[Ovalität (']0,1'])],MATCH(Tabelle1014[[#This Row],[Rank]],Stammdaten[Rank Verteilung Ovalität],0))</f>
        <v>#N/A</v>
      </c>
      <c r="AB642" t="e">
        <f>VLOOKUP(Tabelle1014[[#This Row],[Rank]],Stammdaten[[Rank Verteilung Ovalität]:[Verteilung Ovalität]],2,FALSE)</f>
        <v>#N/A</v>
      </c>
    </row>
    <row r="643" spans="5:28" x14ac:dyDescent="0.35">
      <c r="E643">
        <v>634</v>
      </c>
      <c r="F643" t="e">
        <f>INDEX(Stammdaten[D Mitte mit Rinde (mm)],MATCH(Tabelle8[[#This Row],[Rank]],Stammdaten[Rank Verteilung D Mitte mit Rinde],0))</f>
        <v>#N/A</v>
      </c>
      <c r="G643" t="e">
        <f>VLOOKUP(Tabelle8[[#This Row],[Rank]],Stammdaten[[Rank Verteilung D Mitte mit Rinde]:[Verteilung D Mitte mit Rinde]],2,FALSE)</f>
        <v>#N/A</v>
      </c>
      <c r="L643">
        <v>634</v>
      </c>
      <c r="M643" t="e">
        <f>INDEX(Stammdaten[Abholzigkeit (mm/lfm)],MATCH(Tabelle9[[#This Row],[Rank]],Stammdaten[Rank Verteilung Abholzigkeit],0))</f>
        <v>#N/A</v>
      </c>
      <c r="N643" t="e">
        <f>VLOOKUP(Tabelle9[[#This Row],[Rank]],Stammdaten[[Rank Verteilung Abholzigkeit]:[Verteilung Abholzigkeit]],2,FALSE)</f>
        <v>#N/A</v>
      </c>
      <c r="S643">
        <v>634</v>
      </c>
      <c r="T643" t="e">
        <f>INDEX(Stammdaten[Krümmung (mm/lfm)],MATCH(Tabelle10[[#This Row],[Rank]],Stammdaten[Rank Verteilung Krümmung],0))</f>
        <v>#N/A</v>
      </c>
      <c r="U643" t="e">
        <f>VLOOKUP(Tabelle10[[#This Row],[Rank]],Stammdaten[[Rank Verteilung Krümmung]:[Verteilung Krümmung]],2,FALSE)</f>
        <v>#N/A</v>
      </c>
      <c r="Z643">
        <v>634</v>
      </c>
      <c r="AA643" t="e">
        <f>INDEX(Stammdaten[Ovalität (']0,1'])],MATCH(Tabelle1014[[#This Row],[Rank]],Stammdaten[Rank Verteilung Ovalität],0))</f>
        <v>#N/A</v>
      </c>
      <c r="AB643" t="e">
        <f>VLOOKUP(Tabelle1014[[#This Row],[Rank]],Stammdaten[[Rank Verteilung Ovalität]:[Verteilung Ovalität]],2,FALSE)</f>
        <v>#N/A</v>
      </c>
    </row>
    <row r="644" spans="5:28" x14ac:dyDescent="0.35">
      <c r="E644">
        <v>635</v>
      </c>
      <c r="F644" t="e">
        <f>INDEX(Stammdaten[D Mitte mit Rinde (mm)],MATCH(Tabelle8[[#This Row],[Rank]],Stammdaten[Rank Verteilung D Mitte mit Rinde],0))</f>
        <v>#N/A</v>
      </c>
      <c r="G644" t="e">
        <f>VLOOKUP(Tabelle8[[#This Row],[Rank]],Stammdaten[[Rank Verteilung D Mitte mit Rinde]:[Verteilung D Mitte mit Rinde]],2,FALSE)</f>
        <v>#N/A</v>
      </c>
      <c r="L644">
        <v>635</v>
      </c>
      <c r="M644" t="e">
        <f>INDEX(Stammdaten[Abholzigkeit (mm/lfm)],MATCH(Tabelle9[[#This Row],[Rank]],Stammdaten[Rank Verteilung Abholzigkeit],0))</f>
        <v>#N/A</v>
      </c>
      <c r="N644" t="e">
        <f>VLOOKUP(Tabelle9[[#This Row],[Rank]],Stammdaten[[Rank Verteilung Abholzigkeit]:[Verteilung Abholzigkeit]],2,FALSE)</f>
        <v>#N/A</v>
      </c>
      <c r="S644">
        <v>635</v>
      </c>
      <c r="T644" t="e">
        <f>INDEX(Stammdaten[Krümmung (mm/lfm)],MATCH(Tabelle10[[#This Row],[Rank]],Stammdaten[Rank Verteilung Krümmung],0))</f>
        <v>#N/A</v>
      </c>
      <c r="U644" t="e">
        <f>VLOOKUP(Tabelle10[[#This Row],[Rank]],Stammdaten[[Rank Verteilung Krümmung]:[Verteilung Krümmung]],2,FALSE)</f>
        <v>#N/A</v>
      </c>
      <c r="Z644">
        <v>635</v>
      </c>
      <c r="AA644" t="e">
        <f>INDEX(Stammdaten[Ovalität (']0,1'])],MATCH(Tabelle1014[[#This Row],[Rank]],Stammdaten[Rank Verteilung Ovalität],0))</f>
        <v>#N/A</v>
      </c>
      <c r="AB644" t="e">
        <f>VLOOKUP(Tabelle1014[[#This Row],[Rank]],Stammdaten[[Rank Verteilung Ovalität]:[Verteilung Ovalität]],2,FALSE)</f>
        <v>#N/A</v>
      </c>
    </row>
    <row r="645" spans="5:28" x14ac:dyDescent="0.35">
      <c r="E645">
        <v>636</v>
      </c>
      <c r="F645" t="e">
        <f>INDEX(Stammdaten[D Mitte mit Rinde (mm)],MATCH(Tabelle8[[#This Row],[Rank]],Stammdaten[Rank Verteilung D Mitte mit Rinde],0))</f>
        <v>#N/A</v>
      </c>
      <c r="G645" t="e">
        <f>VLOOKUP(Tabelle8[[#This Row],[Rank]],Stammdaten[[Rank Verteilung D Mitte mit Rinde]:[Verteilung D Mitte mit Rinde]],2,FALSE)</f>
        <v>#N/A</v>
      </c>
      <c r="L645">
        <v>636</v>
      </c>
      <c r="M645" t="e">
        <f>INDEX(Stammdaten[Abholzigkeit (mm/lfm)],MATCH(Tabelle9[[#This Row],[Rank]],Stammdaten[Rank Verteilung Abholzigkeit],0))</f>
        <v>#N/A</v>
      </c>
      <c r="N645" t="e">
        <f>VLOOKUP(Tabelle9[[#This Row],[Rank]],Stammdaten[[Rank Verteilung Abholzigkeit]:[Verteilung Abholzigkeit]],2,FALSE)</f>
        <v>#N/A</v>
      </c>
      <c r="S645">
        <v>636</v>
      </c>
      <c r="T645" t="e">
        <f>INDEX(Stammdaten[Krümmung (mm/lfm)],MATCH(Tabelle10[[#This Row],[Rank]],Stammdaten[Rank Verteilung Krümmung],0))</f>
        <v>#N/A</v>
      </c>
      <c r="U645" t="e">
        <f>VLOOKUP(Tabelle10[[#This Row],[Rank]],Stammdaten[[Rank Verteilung Krümmung]:[Verteilung Krümmung]],2,FALSE)</f>
        <v>#N/A</v>
      </c>
      <c r="Z645">
        <v>636</v>
      </c>
      <c r="AA645" t="e">
        <f>INDEX(Stammdaten[Ovalität (']0,1'])],MATCH(Tabelle1014[[#This Row],[Rank]],Stammdaten[Rank Verteilung Ovalität],0))</f>
        <v>#N/A</v>
      </c>
      <c r="AB645" t="e">
        <f>VLOOKUP(Tabelle1014[[#This Row],[Rank]],Stammdaten[[Rank Verteilung Ovalität]:[Verteilung Ovalität]],2,FALSE)</f>
        <v>#N/A</v>
      </c>
    </row>
    <row r="646" spans="5:28" x14ac:dyDescent="0.35">
      <c r="E646">
        <v>637</v>
      </c>
      <c r="F646" t="e">
        <f>INDEX(Stammdaten[D Mitte mit Rinde (mm)],MATCH(Tabelle8[[#This Row],[Rank]],Stammdaten[Rank Verteilung D Mitte mit Rinde],0))</f>
        <v>#N/A</v>
      </c>
      <c r="G646" t="e">
        <f>VLOOKUP(Tabelle8[[#This Row],[Rank]],Stammdaten[[Rank Verteilung D Mitte mit Rinde]:[Verteilung D Mitte mit Rinde]],2,FALSE)</f>
        <v>#N/A</v>
      </c>
      <c r="L646">
        <v>637</v>
      </c>
      <c r="M646" t="e">
        <f>INDEX(Stammdaten[Abholzigkeit (mm/lfm)],MATCH(Tabelle9[[#This Row],[Rank]],Stammdaten[Rank Verteilung Abholzigkeit],0))</f>
        <v>#N/A</v>
      </c>
      <c r="N646" t="e">
        <f>VLOOKUP(Tabelle9[[#This Row],[Rank]],Stammdaten[[Rank Verteilung Abholzigkeit]:[Verteilung Abholzigkeit]],2,FALSE)</f>
        <v>#N/A</v>
      </c>
      <c r="S646">
        <v>637</v>
      </c>
      <c r="T646" t="e">
        <f>INDEX(Stammdaten[Krümmung (mm/lfm)],MATCH(Tabelle10[[#This Row],[Rank]],Stammdaten[Rank Verteilung Krümmung],0))</f>
        <v>#N/A</v>
      </c>
      <c r="U646" t="e">
        <f>VLOOKUP(Tabelle10[[#This Row],[Rank]],Stammdaten[[Rank Verteilung Krümmung]:[Verteilung Krümmung]],2,FALSE)</f>
        <v>#N/A</v>
      </c>
      <c r="Z646">
        <v>637</v>
      </c>
      <c r="AA646" t="e">
        <f>INDEX(Stammdaten[Ovalität (']0,1'])],MATCH(Tabelle1014[[#This Row],[Rank]],Stammdaten[Rank Verteilung Ovalität],0))</f>
        <v>#N/A</v>
      </c>
      <c r="AB646" t="e">
        <f>VLOOKUP(Tabelle1014[[#This Row],[Rank]],Stammdaten[[Rank Verteilung Ovalität]:[Verteilung Ovalität]],2,FALSE)</f>
        <v>#N/A</v>
      </c>
    </row>
    <row r="647" spans="5:28" x14ac:dyDescent="0.35">
      <c r="E647">
        <v>638</v>
      </c>
      <c r="F647" t="e">
        <f>INDEX(Stammdaten[D Mitte mit Rinde (mm)],MATCH(Tabelle8[[#This Row],[Rank]],Stammdaten[Rank Verteilung D Mitte mit Rinde],0))</f>
        <v>#N/A</v>
      </c>
      <c r="G647" t="e">
        <f>VLOOKUP(Tabelle8[[#This Row],[Rank]],Stammdaten[[Rank Verteilung D Mitte mit Rinde]:[Verteilung D Mitte mit Rinde]],2,FALSE)</f>
        <v>#N/A</v>
      </c>
      <c r="L647">
        <v>638</v>
      </c>
      <c r="M647" t="e">
        <f>INDEX(Stammdaten[Abholzigkeit (mm/lfm)],MATCH(Tabelle9[[#This Row],[Rank]],Stammdaten[Rank Verteilung Abholzigkeit],0))</f>
        <v>#N/A</v>
      </c>
      <c r="N647" t="e">
        <f>VLOOKUP(Tabelle9[[#This Row],[Rank]],Stammdaten[[Rank Verteilung Abholzigkeit]:[Verteilung Abholzigkeit]],2,FALSE)</f>
        <v>#N/A</v>
      </c>
      <c r="S647">
        <v>638</v>
      </c>
      <c r="T647" t="e">
        <f>INDEX(Stammdaten[Krümmung (mm/lfm)],MATCH(Tabelle10[[#This Row],[Rank]],Stammdaten[Rank Verteilung Krümmung],0))</f>
        <v>#N/A</v>
      </c>
      <c r="U647" t="e">
        <f>VLOOKUP(Tabelle10[[#This Row],[Rank]],Stammdaten[[Rank Verteilung Krümmung]:[Verteilung Krümmung]],2,FALSE)</f>
        <v>#N/A</v>
      </c>
      <c r="Z647">
        <v>638</v>
      </c>
      <c r="AA647" t="e">
        <f>INDEX(Stammdaten[Ovalität (']0,1'])],MATCH(Tabelle1014[[#This Row],[Rank]],Stammdaten[Rank Verteilung Ovalität],0))</f>
        <v>#N/A</v>
      </c>
      <c r="AB647" t="e">
        <f>VLOOKUP(Tabelle1014[[#This Row],[Rank]],Stammdaten[[Rank Verteilung Ovalität]:[Verteilung Ovalität]],2,FALSE)</f>
        <v>#N/A</v>
      </c>
    </row>
    <row r="648" spans="5:28" x14ac:dyDescent="0.35">
      <c r="E648">
        <v>639</v>
      </c>
      <c r="F648" t="e">
        <f>INDEX(Stammdaten[D Mitte mit Rinde (mm)],MATCH(Tabelle8[[#This Row],[Rank]],Stammdaten[Rank Verteilung D Mitte mit Rinde],0))</f>
        <v>#N/A</v>
      </c>
      <c r="G648" t="e">
        <f>VLOOKUP(Tabelle8[[#This Row],[Rank]],Stammdaten[[Rank Verteilung D Mitte mit Rinde]:[Verteilung D Mitte mit Rinde]],2,FALSE)</f>
        <v>#N/A</v>
      </c>
      <c r="L648">
        <v>639</v>
      </c>
      <c r="M648" t="e">
        <f>INDEX(Stammdaten[Abholzigkeit (mm/lfm)],MATCH(Tabelle9[[#This Row],[Rank]],Stammdaten[Rank Verteilung Abholzigkeit],0))</f>
        <v>#N/A</v>
      </c>
      <c r="N648" t="e">
        <f>VLOOKUP(Tabelle9[[#This Row],[Rank]],Stammdaten[[Rank Verteilung Abholzigkeit]:[Verteilung Abholzigkeit]],2,FALSE)</f>
        <v>#N/A</v>
      </c>
      <c r="S648">
        <v>639</v>
      </c>
      <c r="T648" t="e">
        <f>INDEX(Stammdaten[Krümmung (mm/lfm)],MATCH(Tabelle10[[#This Row],[Rank]],Stammdaten[Rank Verteilung Krümmung],0))</f>
        <v>#N/A</v>
      </c>
      <c r="U648" t="e">
        <f>VLOOKUP(Tabelle10[[#This Row],[Rank]],Stammdaten[[Rank Verteilung Krümmung]:[Verteilung Krümmung]],2,FALSE)</f>
        <v>#N/A</v>
      </c>
      <c r="Z648">
        <v>639</v>
      </c>
      <c r="AA648" t="e">
        <f>INDEX(Stammdaten[Ovalität (']0,1'])],MATCH(Tabelle1014[[#This Row],[Rank]],Stammdaten[Rank Verteilung Ovalität],0))</f>
        <v>#N/A</v>
      </c>
      <c r="AB648" t="e">
        <f>VLOOKUP(Tabelle1014[[#This Row],[Rank]],Stammdaten[[Rank Verteilung Ovalität]:[Verteilung Ovalität]],2,FALSE)</f>
        <v>#N/A</v>
      </c>
    </row>
    <row r="649" spans="5:28" x14ac:dyDescent="0.35">
      <c r="E649">
        <v>640</v>
      </c>
      <c r="F649" t="e">
        <f>INDEX(Stammdaten[D Mitte mit Rinde (mm)],MATCH(Tabelle8[[#This Row],[Rank]],Stammdaten[Rank Verteilung D Mitte mit Rinde],0))</f>
        <v>#N/A</v>
      </c>
      <c r="G649" t="e">
        <f>VLOOKUP(Tabelle8[[#This Row],[Rank]],Stammdaten[[Rank Verteilung D Mitte mit Rinde]:[Verteilung D Mitte mit Rinde]],2,FALSE)</f>
        <v>#N/A</v>
      </c>
      <c r="L649">
        <v>640</v>
      </c>
      <c r="M649" t="e">
        <f>INDEX(Stammdaten[Abholzigkeit (mm/lfm)],MATCH(Tabelle9[[#This Row],[Rank]],Stammdaten[Rank Verteilung Abholzigkeit],0))</f>
        <v>#N/A</v>
      </c>
      <c r="N649" t="e">
        <f>VLOOKUP(Tabelle9[[#This Row],[Rank]],Stammdaten[[Rank Verteilung Abholzigkeit]:[Verteilung Abholzigkeit]],2,FALSE)</f>
        <v>#N/A</v>
      </c>
      <c r="S649">
        <v>640</v>
      </c>
      <c r="T649" t="e">
        <f>INDEX(Stammdaten[Krümmung (mm/lfm)],MATCH(Tabelle10[[#This Row],[Rank]],Stammdaten[Rank Verteilung Krümmung],0))</f>
        <v>#N/A</v>
      </c>
      <c r="U649" t="e">
        <f>VLOOKUP(Tabelle10[[#This Row],[Rank]],Stammdaten[[Rank Verteilung Krümmung]:[Verteilung Krümmung]],2,FALSE)</f>
        <v>#N/A</v>
      </c>
      <c r="Z649">
        <v>640</v>
      </c>
      <c r="AA649" t="e">
        <f>INDEX(Stammdaten[Ovalität (']0,1'])],MATCH(Tabelle1014[[#This Row],[Rank]],Stammdaten[Rank Verteilung Ovalität],0))</f>
        <v>#N/A</v>
      </c>
      <c r="AB649" t="e">
        <f>VLOOKUP(Tabelle1014[[#This Row],[Rank]],Stammdaten[[Rank Verteilung Ovalität]:[Verteilung Ovalität]],2,FALSE)</f>
        <v>#N/A</v>
      </c>
    </row>
    <row r="650" spans="5:28" x14ac:dyDescent="0.35">
      <c r="E650">
        <v>641</v>
      </c>
      <c r="F650" t="e">
        <f>INDEX(Stammdaten[D Mitte mit Rinde (mm)],MATCH(Tabelle8[[#This Row],[Rank]],Stammdaten[Rank Verteilung D Mitte mit Rinde],0))</f>
        <v>#N/A</v>
      </c>
      <c r="G650" t="e">
        <f>VLOOKUP(Tabelle8[[#This Row],[Rank]],Stammdaten[[Rank Verteilung D Mitte mit Rinde]:[Verteilung D Mitte mit Rinde]],2,FALSE)</f>
        <v>#N/A</v>
      </c>
      <c r="L650">
        <v>641</v>
      </c>
      <c r="M650" t="e">
        <f>INDEX(Stammdaten[Abholzigkeit (mm/lfm)],MATCH(Tabelle9[[#This Row],[Rank]],Stammdaten[Rank Verteilung Abholzigkeit],0))</f>
        <v>#N/A</v>
      </c>
      <c r="N650" t="e">
        <f>VLOOKUP(Tabelle9[[#This Row],[Rank]],Stammdaten[[Rank Verteilung Abholzigkeit]:[Verteilung Abholzigkeit]],2,FALSE)</f>
        <v>#N/A</v>
      </c>
      <c r="S650">
        <v>641</v>
      </c>
      <c r="T650" t="e">
        <f>INDEX(Stammdaten[Krümmung (mm/lfm)],MATCH(Tabelle10[[#This Row],[Rank]],Stammdaten[Rank Verteilung Krümmung],0))</f>
        <v>#N/A</v>
      </c>
      <c r="U650" t="e">
        <f>VLOOKUP(Tabelle10[[#This Row],[Rank]],Stammdaten[[Rank Verteilung Krümmung]:[Verteilung Krümmung]],2,FALSE)</f>
        <v>#N/A</v>
      </c>
      <c r="Z650">
        <v>641</v>
      </c>
      <c r="AA650" t="e">
        <f>INDEX(Stammdaten[Ovalität (']0,1'])],MATCH(Tabelle1014[[#This Row],[Rank]],Stammdaten[Rank Verteilung Ovalität],0))</f>
        <v>#N/A</v>
      </c>
      <c r="AB650" t="e">
        <f>VLOOKUP(Tabelle1014[[#This Row],[Rank]],Stammdaten[[Rank Verteilung Ovalität]:[Verteilung Ovalität]],2,FALSE)</f>
        <v>#N/A</v>
      </c>
    </row>
    <row r="651" spans="5:28" x14ac:dyDescent="0.35">
      <c r="E651">
        <v>642</v>
      </c>
      <c r="F651" t="e">
        <f>INDEX(Stammdaten[D Mitte mit Rinde (mm)],MATCH(Tabelle8[[#This Row],[Rank]],Stammdaten[Rank Verteilung D Mitte mit Rinde],0))</f>
        <v>#N/A</v>
      </c>
      <c r="G651" t="e">
        <f>VLOOKUP(Tabelle8[[#This Row],[Rank]],Stammdaten[[Rank Verteilung D Mitte mit Rinde]:[Verteilung D Mitte mit Rinde]],2,FALSE)</f>
        <v>#N/A</v>
      </c>
      <c r="L651">
        <v>642</v>
      </c>
      <c r="M651" t="e">
        <f>INDEX(Stammdaten[Abholzigkeit (mm/lfm)],MATCH(Tabelle9[[#This Row],[Rank]],Stammdaten[Rank Verteilung Abholzigkeit],0))</f>
        <v>#N/A</v>
      </c>
      <c r="N651" t="e">
        <f>VLOOKUP(Tabelle9[[#This Row],[Rank]],Stammdaten[[Rank Verteilung Abholzigkeit]:[Verteilung Abholzigkeit]],2,FALSE)</f>
        <v>#N/A</v>
      </c>
      <c r="S651">
        <v>642</v>
      </c>
      <c r="T651" t="e">
        <f>INDEX(Stammdaten[Krümmung (mm/lfm)],MATCH(Tabelle10[[#This Row],[Rank]],Stammdaten[Rank Verteilung Krümmung],0))</f>
        <v>#N/A</v>
      </c>
      <c r="U651" t="e">
        <f>VLOOKUP(Tabelle10[[#This Row],[Rank]],Stammdaten[[Rank Verteilung Krümmung]:[Verteilung Krümmung]],2,FALSE)</f>
        <v>#N/A</v>
      </c>
      <c r="Z651">
        <v>642</v>
      </c>
      <c r="AA651" t="e">
        <f>INDEX(Stammdaten[Ovalität (']0,1'])],MATCH(Tabelle1014[[#This Row],[Rank]],Stammdaten[Rank Verteilung Ovalität],0))</f>
        <v>#N/A</v>
      </c>
      <c r="AB651" t="e">
        <f>VLOOKUP(Tabelle1014[[#This Row],[Rank]],Stammdaten[[Rank Verteilung Ovalität]:[Verteilung Ovalität]],2,FALSE)</f>
        <v>#N/A</v>
      </c>
    </row>
    <row r="652" spans="5:28" x14ac:dyDescent="0.35">
      <c r="E652">
        <v>643</v>
      </c>
      <c r="F652" t="e">
        <f>INDEX(Stammdaten[D Mitte mit Rinde (mm)],MATCH(Tabelle8[[#This Row],[Rank]],Stammdaten[Rank Verteilung D Mitte mit Rinde],0))</f>
        <v>#N/A</v>
      </c>
      <c r="G652" t="e">
        <f>VLOOKUP(Tabelle8[[#This Row],[Rank]],Stammdaten[[Rank Verteilung D Mitte mit Rinde]:[Verteilung D Mitte mit Rinde]],2,FALSE)</f>
        <v>#N/A</v>
      </c>
      <c r="L652">
        <v>643</v>
      </c>
      <c r="M652" t="e">
        <f>INDEX(Stammdaten[Abholzigkeit (mm/lfm)],MATCH(Tabelle9[[#This Row],[Rank]],Stammdaten[Rank Verteilung Abholzigkeit],0))</f>
        <v>#N/A</v>
      </c>
      <c r="N652" t="e">
        <f>VLOOKUP(Tabelle9[[#This Row],[Rank]],Stammdaten[[Rank Verteilung Abholzigkeit]:[Verteilung Abholzigkeit]],2,FALSE)</f>
        <v>#N/A</v>
      </c>
      <c r="S652">
        <v>643</v>
      </c>
      <c r="T652" t="e">
        <f>INDEX(Stammdaten[Krümmung (mm/lfm)],MATCH(Tabelle10[[#This Row],[Rank]],Stammdaten[Rank Verteilung Krümmung],0))</f>
        <v>#N/A</v>
      </c>
      <c r="U652" t="e">
        <f>VLOOKUP(Tabelle10[[#This Row],[Rank]],Stammdaten[[Rank Verteilung Krümmung]:[Verteilung Krümmung]],2,FALSE)</f>
        <v>#N/A</v>
      </c>
      <c r="Z652">
        <v>643</v>
      </c>
      <c r="AA652" t="e">
        <f>INDEX(Stammdaten[Ovalität (']0,1'])],MATCH(Tabelle1014[[#This Row],[Rank]],Stammdaten[Rank Verteilung Ovalität],0))</f>
        <v>#N/A</v>
      </c>
      <c r="AB652" t="e">
        <f>VLOOKUP(Tabelle1014[[#This Row],[Rank]],Stammdaten[[Rank Verteilung Ovalität]:[Verteilung Ovalität]],2,FALSE)</f>
        <v>#N/A</v>
      </c>
    </row>
    <row r="653" spans="5:28" x14ac:dyDescent="0.35">
      <c r="E653">
        <v>644</v>
      </c>
      <c r="F653" t="e">
        <f>INDEX(Stammdaten[D Mitte mit Rinde (mm)],MATCH(Tabelle8[[#This Row],[Rank]],Stammdaten[Rank Verteilung D Mitte mit Rinde],0))</f>
        <v>#N/A</v>
      </c>
      <c r="G653" t="e">
        <f>VLOOKUP(Tabelle8[[#This Row],[Rank]],Stammdaten[[Rank Verteilung D Mitte mit Rinde]:[Verteilung D Mitte mit Rinde]],2,FALSE)</f>
        <v>#N/A</v>
      </c>
      <c r="L653">
        <v>644</v>
      </c>
      <c r="M653" t="e">
        <f>INDEX(Stammdaten[Abholzigkeit (mm/lfm)],MATCH(Tabelle9[[#This Row],[Rank]],Stammdaten[Rank Verteilung Abholzigkeit],0))</f>
        <v>#N/A</v>
      </c>
      <c r="N653" t="e">
        <f>VLOOKUP(Tabelle9[[#This Row],[Rank]],Stammdaten[[Rank Verteilung Abholzigkeit]:[Verteilung Abholzigkeit]],2,FALSE)</f>
        <v>#N/A</v>
      </c>
      <c r="S653">
        <v>644</v>
      </c>
      <c r="T653" t="e">
        <f>INDEX(Stammdaten[Krümmung (mm/lfm)],MATCH(Tabelle10[[#This Row],[Rank]],Stammdaten[Rank Verteilung Krümmung],0))</f>
        <v>#N/A</v>
      </c>
      <c r="U653" t="e">
        <f>VLOOKUP(Tabelle10[[#This Row],[Rank]],Stammdaten[[Rank Verteilung Krümmung]:[Verteilung Krümmung]],2,FALSE)</f>
        <v>#N/A</v>
      </c>
      <c r="Z653">
        <v>644</v>
      </c>
      <c r="AA653" t="e">
        <f>INDEX(Stammdaten[Ovalität (']0,1'])],MATCH(Tabelle1014[[#This Row],[Rank]],Stammdaten[Rank Verteilung Ovalität],0))</f>
        <v>#N/A</v>
      </c>
      <c r="AB653" t="e">
        <f>VLOOKUP(Tabelle1014[[#This Row],[Rank]],Stammdaten[[Rank Verteilung Ovalität]:[Verteilung Ovalität]],2,FALSE)</f>
        <v>#N/A</v>
      </c>
    </row>
    <row r="654" spans="5:28" x14ac:dyDescent="0.35">
      <c r="E654">
        <v>645</v>
      </c>
      <c r="F654" t="e">
        <f>INDEX(Stammdaten[D Mitte mit Rinde (mm)],MATCH(Tabelle8[[#This Row],[Rank]],Stammdaten[Rank Verteilung D Mitte mit Rinde],0))</f>
        <v>#N/A</v>
      </c>
      <c r="G654" t="e">
        <f>VLOOKUP(Tabelle8[[#This Row],[Rank]],Stammdaten[[Rank Verteilung D Mitte mit Rinde]:[Verteilung D Mitte mit Rinde]],2,FALSE)</f>
        <v>#N/A</v>
      </c>
      <c r="L654">
        <v>645</v>
      </c>
      <c r="M654" t="e">
        <f>INDEX(Stammdaten[Abholzigkeit (mm/lfm)],MATCH(Tabelle9[[#This Row],[Rank]],Stammdaten[Rank Verteilung Abholzigkeit],0))</f>
        <v>#N/A</v>
      </c>
      <c r="N654" t="e">
        <f>VLOOKUP(Tabelle9[[#This Row],[Rank]],Stammdaten[[Rank Verteilung Abholzigkeit]:[Verteilung Abholzigkeit]],2,FALSE)</f>
        <v>#N/A</v>
      </c>
      <c r="S654">
        <v>645</v>
      </c>
      <c r="T654" t="e">
        <f>INDEX(Stammdaten[Krümmung (mm/lfm)],MATCH(Tabelle10[[#This Row],[Rank]],Stammdaten[Rank Verteilung Krümmung],0))</f>
        <v>#N/A</v>
      </c>
      <c r="U654" t="e">
        <f>VLOOKUP(Tabelle10[[#This Row],[Rank]],Stammdaten[[Rank Verteilung Krümmung]:[Verteilung Krümmung]],2,FALSE)</f>
        <v>#N/A</v>
      </c>
      <c r="Z654">
        <v>645</v>
      </c>
      <c r="AA654" t="e">
        <f>INDEX(Stammdaten[Ovalität (']0,1'])],MATCH(Tabelle1014[[#This Row],[Rank]],Stammdaten[Rank Verteilung Ovalität],0))</f>
        <v>#N/A</v>
      </c>
      <c r="AB654" t="e">
        <f>VLOOKUP(Tabelle1014[[#This Row],[Rank]],Stammdaten[[Rank Verteilung Ovalität]:[Verteilung Ovalität]],2,FALSE)</f>
        <v>#N/A</v>
      </c>
    </row>
    <row r="655" spans="5:28" x14ac:dyDescent="0.35">
      <c r="E655">
        <v>646</v>
      </c>
      <c r="F655" t="e">
        <f>INDEX(Stammdaten[D Mitte mit Rinde (mm)],MATCH(Tabelle8[[#This Row],[Rank]],Stammdaten[Rank Verteilung D Mitte mit Rinde],0))</f>
        <v>#N/A</v>
      </c>
      <c r="G655" t="e">
        <f>VLOOKUP(Tabelle8[[#This Row],[Rank]],Stammdaten[[Rank Verteilung D Mitte mit Rinde]:[Verteilung D Mitte mit Rinde]],2,FALSE)</f>
        <v>#N/A</v>
      </c>
      <c r="L655">
        <v>646</v>
      </c>
      <c r="M655" t="e">
        <f>INDEX(Stammdaten[Abholzigkeit (mm/lfm)],MATCH(Tabelle9[[#This Row],[Rank]],Stammdaten[Rank Verteilung Abholzigkeit],0))</f>
        <v>#N/A</v>
      </c>
      <c r="N655" t="e">
        <f>VLOOKUP(Tabelle9[[#This Row],[Rank]],Stammdaten[[Rank Verteilung Abholzigkeit]:[Verteilung Abholzigkeit]],2,FALSE)</f>
        <v>#N/A</v>
      </c>
      <c r="S655">
        <v>646</v>
      </c>
      <c r="T655" t="e">
        <f>INDEX(Stammdaten[Krümmung (mm/lfm)],MATCH(Tabelle10[[#This Row],[Rank]],Stammdaten[Rank Verteilung Krümmung],0))</f>
        <v>#N/A</v>
      </c>
      <c r="U655" t="e">
        <f>VLOOKUP(Tabelle10[[#This Row],[Rank]],Stammdaten[[Rank Verteilung Krümmung]:[Verteilung Krümmung]],2,FALSE)</f>
        <v>#N/A</v>
      </c>
      <c r="Z655">
        <v>646</v>
      </c>
      <c r="AA655" t="e">
        <f>INDEX(Stammdaten[Ovalität (']0,1'])],MATCH(Tabelle1014[[#This Row],[Rank]],Stammdaten[Rank Verteilung Ovalität],0))</f>
        <v>#N/A</v>
      </c>
      <c r="AB655" t="e">
        <f>VLOOKUP(Tabelle1014[[#This Row],[Rank]],Stammdaten[[Rank Verteilung Ovalität]:[Verteilung Ovalität]],2,FALSE)</f>
        <v>#N/A</v>
      </c>
    </row>
    <row r="656" spans="5:28" x14ac:dyDescent="0.35">
      <c r="E656">
        <v>647</v>
      </c>
      <c r="F656" t="e">
        <f>INDEX(Stammdaten[D Mitte mit Rinde (mm)],MATCH(Tabelle8[[#This Row],[Rank]],Stammdaten[Rank Verteilung D Mitte mit Rinde],0))</f>
        <v>#N/A</v>
      </c>
      <c r="G656" t="e">
        <f>VLOOKUP(Tabelle8[[#This Row],[Rank]],Stammdaten[[Rank Verteilung D Mitte mit Rinde]:[Verteilung D Mitte mit Rinde]],2,FALSE)</f>
        <v>#N/A</v>
      </c>
      <c r="L656">
        <v>647</v>
      </c>
      <c r="M656" t="e">
        <f>INDEX(Stammdaten[Abholzigkeit (mm/lfm)],MATCH(Tabelle9[[#This Row],[Rank]],Stammdaten[Rank Verteilung Abholzigkeit],0))</f>
        <v>#N/A</v>
      </c>
      <c r="N656" t="e">
        <f>VLOOKUP(Tabelle9[[#This Row],[Rank]],Stammdaten[[Rank Verteilung Abholzigkeit]:[Verteilung Abholzigkeit]],2,FALSE)</f>
        <v>#N/A</v>
      </c>
      <c r="S656">
        <v>647</v>
      </c>
      <c r="T656" t="e">
        <f>INDEX(Stammdaten[Krümmung (mm/lfm)],MATCH(Tabelle10[[#This Row],[Rank]],Stammdaten[Rank Verteilung Krümmung],0))</f>
        <v>#N/A</v>
      </c>
      <c r="U656" t="e">
        <f>VLOOKUP(Tabelle10[[#This Row],[Rank]],Stammdaten[[Rank Verteilung Krümmung]:[Verteilung Krümmung]],2,FALSE)</f>
        <v>#N/A</v>
      </c>
      <c r="Z656">
        <v>647</v>
      </c>
      <c r="AA656" t="e">
        <f>INDEX(Stammdaten[Ovalität (']0,1'])],MATCH(Tabelle1014[[#This Row],[Rank]],Stammdaten[Rank Verteilung Ovalität],0))</f>
        <v>#N/A</v>
      </c>
      <c r="AB656" t="e">
        <f>VLOOKUP(Tabelle1014[[#This Row],[Rank]],Stammdaten[[Rank Verteilung Ovalität]:[Verteilung Ovalität]],2,FALSE)</f>
        <v>#N/A</v>
      </c>
    </row>
    <row r="657" spans="5:28" x14ac:dyDescent="0.35">
      <c r="E657">
        <v>648</v>
      </c>
      <c r="F657" t="e">
        <f>INDEX(Stammdaten[D Mitte mit Rinde (mm)],MATCH(Tabelle8[[#This Row],[Rank]],Stammdaten[Rank Verteilung D Mitte mit Rinde],0))</f>
        <v>#N/A</v>
      </c>
      <c r="G657" t="e">
        <f>VLOOKUP(Tabelle8[[#This Row],[Rank]],Stammdaten[[Rank Verteilung D Mitte mit Rinde]:[Verteilung D Mitte mit Rinde]],2,FALSE)</f>
        <v>#N/A</v>
      </c>
      <c r="L657">
        <v>648</v>
      </c>
      <c r="M657" t="e">
        <f>INDEX(Stammdaten[Abholzigkeit (mm/lfm)],MATCH(Tabelle9[[#This Row],[Rank]],Stammdaten[Rank Verteilung Abholzigkeit],0))</f>
        <v>#N/A</v>
      </c>
      <c r="N657" t="e">
        <f>VLOOKUP(Tabelle9[[#This Row],[Rank]],Stammdaten[[Rank Verteilung Abholzigkeit]:[Verteilung Abholzigkeit]],2,FALSE)</f>
        <v>#N/A</v>
      </c>
      <c r="S657">
        <v>648</v>
      </c>
      <c r="T657" t="e">
        <f>INDEX(Stammdaten[Krümmung (mm/lfm)],MATCH(Tabelle10[[#This Row],[Rank]],Stammdaten[Rank Verteilung Krümmung],0))</f>
        <v>#N/A</v>
      </c>
      <c r="U657" t="e">
        <f>VLOOKUP(Tabelle10[[#This Row],[Rank]],Stammdaten[[Rank Verteilung Krümmung]:[Verteilung Krümmung]],2,FALSE)</f>
        <v>#N/A</v>
      </c>
      <c r="Z657">
        <v>648</v>
      </c>
      <c r="AA657" t="e">
        <f>INDEX(Stammdaten[Ovalität (']0,1'])],MATCH(Tabelle1014[[#This Row],[Rank]],Stammdaten[Rank Verteilung Ovalität],0))</f>
        <v>#N/A</v>
      </c>
      <c r="AB657" t="e">
        <f>VLOOKUP(Tabelle1014[[#This Row],[Rank]],Stammdaten[[Rank Verteilung Ovalität]:[Verteilung Ovalität]],2,FALSE)</f>
        <v>#N/A</v>
      </c>
    </row>
    <row r="658" spans="5:28" x14ac:dyDescent="0.35">
      <c r="E658">
        <v>649</v>
      </c>
      <c r="F658" t="e">
        <f>INDEX(Stammdaten[D Mitte mit Rinde (mm)],MATCH(Tabelle8[[#This Row],[Rank]],Stammdaten[Rank Verteilung D Mitte mit Rinde],0))</f>
        <v>#N/A</v>
      </c>
      <c r="G658" t="e">
        <f>VLOOKUP(Tabelle8[[#This Row],[Rank]],Stammdaten[[Rank Verteilung D Mitte mit Rinde]:[Verteilung D Mitte mit Rinde]],2,FALSE)</f>
        <v>#N/A</v>
      </c>
      <c r="L658">
        <v>649</v>
      </c>
      <c r="M658" t="e">
        <f>INDEX(Stammdaten[Abholzigkeit (mm/lfm)],MATCH(Tabelle9[[#This Row],[Rank]],Stammdaten[Rank Verteilung Abholzigkeit],0))</f>
        <v>#N/A</v>
      </c>
      <c r="N658" t="e">
        <f>VLOOKUP(Tabelle9[[#This Row],[Rank]],Stammdaten[[Rank Verteilung Abholzigkeit]:[Verteilung Abholzigkeit]],2,FALSE)</f>
        <v>#N/A</v>
      </c>
      <c r="S658">
        <v>649</v>
      </c>
      <c r="T658" t="e">
        <f>INDEX(Stammdaten[Krümmung (mm/lfm)],MATCH(Tabelle10[[#This Row],[Rank]],Stammdaten[Rank Verteilung Krümmung],0))</f>
        <v>#N/A</v>
      </c>
      <c r="U658" t="e">
        <f>VLOOKUP(Tabelle10[[#This Row],[Rank]],Stammdaten[[Rank Verteilung Krümmung]:[Verteilung Krümmung]],2,FALSE)</f>
        <v>#N/A</v>
      </c>
      <c r="Z658">
        <v>649</v>
      </c>
      <c r="AA658" t="e">
        <f>INDEX(Stammdaten[Ovalität (']0,1'])],MATCH(Tabelle1014[[#This Row],[Rank]],Stammdaten[Rank Verteilung Ovalität],0))</f>
        <v>#N/A</v>
      </c>
      <c r="AB658" t="e">
        <f>VLOOKUP(Tabelle1014[[#This Row],[Rank]],Stammdaten[[Rank Verteilung Ovalität]:[Verteilung Ovalität]],2,FALSE)</f>
        <v>#N/A</v>
      </c>
    </row>
    <row r="659" spans="5:28" x14ac:dyDescent="0.35">
      <c r="E659">
        <v>650</v>
      </c>
      <c r="F659" t="e">
        <f>INDEX(Stammdaten[D Mitte mit Rinde (mm)],MATCH(Tabelle8[[#This Row],[Rank]],Stammdaten[Rank Verteilung D Mitte mit Rinde],0))</f>
        <v>#N/A</v>
      </c>
      <c r="G659" t="e">
        <f>VLOOKUP(Tabelle8[[#This Row],[Rank]],Stammdaten[[Rank Verteilung D Mitte mit Rinde]:[Verteilung D Mitte mit Rinde]],2,FALSE)</f>
        <v>#N/A</v>
      </c>
      <c r="L659">
        <v>650</v>
      </c>
      <c r="M659" t="e">
        <f>INDEX(Stammdaten[Abholzigkeit (mm/lfm)],MATCH(Tabelle9[[#This Row],[Rank]],Stammdaten[Rank Verteilung Abholzigkeit],0))</f>
        <v>#N/A</v>
      </c>
      <c r="N659" t="e">
        <f>VLOOKUP(Tabelle9[[#This Row],[Rank]],Stammdaten[[Rank Verteilung Abholzigkeit]:[Verteilung Abholzigkeit]],2,FALSE)</f>
        <v>#N/A</v>
      </c>
      <c r="S659">
        <v>650</v>
      </c>
      <c r="T659" t="e">
        <f>INDEX(Stammdaten[Krümmung (mm/lfm)],MATCH(Tabelle10[[#This Row],[Rank]],Stammdaten[Rank Verteilung Krümmung],0))</f>
        <v>#N/A</v>
      </c>
      <c r="U659" t="e">
        <f>VLOOKUP(Tabelle10[[#This Row],[Rank]],Stammdaten[[Rank Verteilung Krümmung]:[Verteilung Krümmung]],2,FALSE)</f>
        <v>#N/A</v>
      </c>
      <c r="Z659">
        <v>650</v>
      </c>
      <c r="AA659" t="e">
        <f>INDEX(Stammdaten[Ovalität (']0,1'])],MATCH(Tabelle1014[[#This Row],[Rank]],Stammdaten[Rank Verteilung Ovalität],0))</f>
        <v>#N/A</v>
      </c>
      <c r="AB659" t="e">
        <f>VLOOKUP(Tabelle1014[[#This Row],[Rank]],Stammdaten[[Rank Verteilung Ovalität]:[Verteilung Ovalität]],2,FALSE)</f>
        <v>#N/A</v>
      </c>
    </row>
    <row r="660" spans="5:28" x14ac:dyDescent="0.35">
      <c r="E660">
        <v>651</v>
      </c>
      <c r="F660" t="e">
        <f>INDEX(Stammdaten[D Mitte mit Rinde (mm)],MATCH(Tabelle8[[#This Row],[Rank]],Stammdaten[Rank Verteilung D Mitte mit Rinde],0))</f>
        <v>#N/A</v>
      </c>
      <c r="G660" t="e">
        <f>VLOOKUP(Tabelle8[[#This Row],[Rank]],Stammdaten[[Rank Verteilung D Mitte mit Rinde]:[Verteilung D Mitte mit Rinde]],2,FALSE)</f>
        <v>#N/A</v>
      </c>
      <c r="L660">
        <v>651</v>
      </c>
      <c r="M660" t="e">
        <f>INDEX(Stammdaten[Abholzigkeit (mm/lfm)],MATCH(Tabelle9[[#This Row],[Rank]],Stammdaten[Rank Verteilung Abholzigkeit],0))</f>
        <v>#N/A</v>
      </c>
      <c r="N660" t="e">
        <f>VLOOKUP(Tabelle9[[#This Row],[Rank]],Stammdaten[[Rank Verteilung Abholzigkeit]:[Verteilung Abholzigkeit]],2,FALSE)</f>
        <v>#N/A</v>
      </c>
      <c r="S660">
        <v>651</v>
      </c>
      <c r="T660" t="e">
        <f>INDEX(Stammdaten[Krümmung (mm/lfm)],MATCH(Tabelle10[[#This Row],[Rank]],Stammdaten[Rank Verteilung Krümmung],0))</f>
        <v>#N/A</v>
      </c>
      <c r="U660" t="e">
        <f>VLOOKUP(Tabelle10[[#This Row],[Rank]],Stammdaten[[Rank Verteilung Krümmung]:[Verteilung Krümmung]],2,FALSE)</f>
        <v>#N/A</v>
      </c>
      <c r="Z660">
        <v>651</v>
      </c>
      <c r="AA660" t="e">
        <f>INDEX(Stammdaten[Ovalität (']0,1'])],MATCH(Tabelle1014[[#This Row],[Rank]],Stammdaten[Rank Verteilung Ovalität],0))</f>
        <v>#N/A</v>
      </c>
      <c r="AB660" t="e">
        <f>VLOOKUP(Tabelle1014[[#This Row],[Rank]],Stammdaten[[Rank Verteilung Ovalität]:[Verteilung Ovalität]],2,FALSE)</f>
        <v>#N/A</v>
      </c>
    </row>
    <row r="661" spans="5:28" x14ac:dyDescent="0.35">
      <c r="E661">
        <v>652</v>
      </c>
      <c r="F661" t="e">
        <f>INDEX(Stammdaten[D Mitte mit Rinde (mm)],MATCH(Tabelle8[[#This Row],[Rank]],Stammdaten[Rank Verteilung D Mitte mit Rinde],0))</f>
        <v>#N/A</v>
      </c>
      <c r="G661" t="e">
        <f>VLOOKUP(Tabelle8[[#This Row],[Rank]],Stammdaten[[Rank Verteilung D Mitte mit Rinde]:[Verteilung D Mitte mit Rinde]],2,FALSE)</f>
        <v>#N/A</v>
      </c>
      <c r="L661">
        <v>652</v>
      </c>
      <c r="M661" t="e">
        <f>INDEX(Stammdaten[Abholzigkeit (mm/lfm)],MATCH(Tabelle9[[#This Row],[Rank]],Stammdaten[Rank Verteilung Abholzigkeit],0))</f>
        <v>#N/A</v>
      </c>
      <c r="N661" t="e">
        <f>VLOOKUP(Tabelle9[[#This Row],[Rank]],Stammdaten[[Rank Verteilung Abholzigkeit]:[Verteilung Abholzigkeit]],2,FALSE)</f>
        <v>#N/A</v>
      </c>
      <c r="S661">
        <v>652</v>
      </c>
      <c r="T661" t="e">
        <f>INDEX(Stammdaten[Krümmung (mm/lfm)],MATCH(Tabelle10[[#This Row],[Rank]],Stammdaten[Rank Verteilung Krümmung],0))</f>
        <v>#N/A</v>
      </c>
      <c r="U661" t="e">
        <f>VLOOKUP(Tabelle10[[#This Row],[Rank]],Stammdaten[[Rank Verteilung Krümmung]:[Verteilung Krümmung]],2,FALSE)</f>
        <v>#N/A</v>
      </c>
      <c r="Z661">
        <v>652</v>
      </c>
      <c r="AA661" t="e">
        <f>INDEX(Stammdaten[Ovalität (']0,1'])],MATCH(Tabelle1014[[#This Row],[Rank]],Stammdaten[Rank Verteilung Ovalität],0))</f>
        <v>#N/A</v>
      </c>
      <c r="AB661" t="e">
        <f>VLOOKUP(Tabelle1014[[#This Row],[Rank]],Stammdaten[[Rank Verteilung Ovalität]:[Verteilung Ovalität]],2,FALSE)</f>
        <v>#N/A</v>
      </c>
    </row>
    <row r="662" spans="5:28" x14ac:dyDescent="0.35">
      <c r="E662">
        <v>653</v>
      </c>
      <c r="F662" t="e">
        <f>INDEX(Stammdaten[D Mitte mit Rinde (mm)],MATCH(Tabelle8[[#This Row],[Rank]],Stammdaten[Rank Verteilung D Mitte mit Rinde],0))</f>
        <v>#N/A</v>
      </c>
      <c r="G662" t="e">
        <f>VLOOKUP(Tabelle8[[#This Row],[Rank]],Stammdaten[[Rank Verteilung D Mitte mit Rinde]:[Verteilung D Mitte mit Rinde]],2,FALSE)</f>
        <v>#N/A</v>
      </c>
      <c r="L662">
        <v>653</v>
      </c>
      <c r="M662" t="e">
        <f>INDEX(Stammdaten[Abholzigkeit (mm/lfm)],MATCH(Tabelle9[[#This Row],[Rank]],Stammdaten[Rank Verteilung Abholzigkeit],0))</f>
        <v>#N/A</v>
      </c>
      <c r="N662" t="e">
        <f>VLOOKUP(Tabelle9[[#This Row],[Rank]],Stammdaten[[Rank Verteilung Abholzigkeit]:[Verteilung Abholzigkeit]],2,FALSE)</f>
        <v>#N/A</v>
      </c>
      <c r="S662">
        <v>653</v>
      </c>
      <c r="T662" t="e">
        <f>INDEX(Stammdaten[Krümmung (mm/lfm)],MATCH(Tabelle10[[#This Row],[Rank]],Stammdaten[Rank Verteilung Krümmung],0))</f>
        <v>#N/A</v>
      </c>
      <c r="U662" t="e">
        <f>VLOOKUP(Tabelle10[[#This Row],[Rank]],Stammdaten[[Rank Verteilung Krümmung]:[Verteilung Krümmung]],2,FALSE)</f>
        <v>#N/A</v>
      </c>
      <c r="Z662">
        <v>653</v>
      </c>
      <c r="AA662" t="e">
        <f>INDEX(Stammdaten[Ovalität (']0,1'])],MATCH(Tabelle1014[[#This Row],[Rank]],Stammdaten[Rank Verteilung Ovalität],0))</f>
        <v>#N/A</v>
      </c>
      <c r="AB662" t="e">
        <f>VLOOKUP(Tabelle1014[[#This Row],[Rank]],Stammdaten[[Rank Verteilung Ovalität]:[Verteilung Ovalität]],2,FALSE)</f>
        <v>#N/A</v>
      </c>
    </row>
    <row r="663" spans="5:28" x14ac:dyDescent="0.35">
      <c r="E663">
        <v>654</v>
      </c>
      <c r="F663" t="e">
        <f>INDEX(Stammdaten[D Mitte mit Rinde (mm)],MATCH(Tabelle8[[#This Row],[Rank]],Stammdaten[Rank Verteilung D Mitte mit Rinde],0))</f>
        <v>#N/A</v>
      </c>
      <c r="G663" t="e">
        <f>VLOOKUP(Tabelle8[[#This Row],[Rank]],Stammdaten[[Rank Verteilung D Mitte mit Rinde]:[Verteilung D Mitte mit Rinde]],2,FALSE)</f>
        <v>#N/A</v>
      </c>
      <c r="L663">
        <v>654</v>
      </c>
      <c r="M663" t="e">
        <f>INDEX(Stammdaten[Abholzigkeit (mm/lfm)],MATCH(Tabelle9[[#This Row],[Rank]],Stammdaten[Rank Verteilung Abholzigkeit],0))</f>
        <v>#N/A</v>
      </c>
      <c r="N663" t="e">
        <f>VLOOKUP(Tabelle9[[#This Row],[Rank]],Stammdaten[[Rank Verteilung Abholzigkeit]:[Verteilung Abholzigkeit]],2,FALSE)</f>
        <v>#N/A</v>
      </c>
      <c r="S663">
        <v>654</v>
      </c>
      <c r="T663" t="e">
        <f>INDEX(Stammdaten[Krümmung (mm/lfm)],MATCH(Tabelle10[[#This Row],[Rank]],Stammdaten[Rank Verteilung Krümmung],0))</f>
        <v>#N/A</v>
      </c>
      <c r="U663" t="e">
        <f>VLOOKUP(Tabelle10[[#This Row],[Rank]],Stammdaten[[Rank Verteilung Krümmung]:[Verteilung Krümmung]],2,FALSE)</f>
        <v>#N/A</v>
      </c>
      <c r="Z663">
        <v>654</v>
      </c>
      <c r="AA663" t="e">
        <f>INDEX(Stammdaten[Ovalität (']0,1'])],MATCH(Tabelle1014[[#This Row],[Rank]],Stammdaten[Rank Verteilung Ovalität],0))</f>
        <v>#N/A</v>
      </c>
      <c r="AB663" t="e">
        <f>VLOOKUP(Tabelle1014[[#This Row],[Rank]],Stammdaten[[Rank Verteilung Ovalität]:[Verteilung Ovalität]],2,FALSE)</f>
        <v>#N/A</v>
      </c>
    </row>
    <row r="664" spans="5:28" x14ac:dyDescent="0.35">
      <c r="E664">
        <v>655</v>
      </c>
      <c r="F664" t="e">
        <f>INDEX(Stammdaten[D Mitte mit Rinde (mm)],MATCH(Tabelle8[[#This Row],[Rank]],Stammdaten[Rank Verteilung D Mitte mit Rinde],0))</f>
        <v>#N/A</v>
      </c>
      <c r="G664" t="e">
        <f>VLOOKUP(Tabelle8[[#This Row],[Rank]],Stammdaten[[Rank Verteilung D Mitte mit Rinde]:[Verteilung D Mitte mit Rinde]],2,FALSE)</f>
        <v>#N/A</v>
      </c>
      <c r="L664">
        <v>655</v>
      </c>
      <c r="M664" t="e">
        <f>INDEX(Stammdaten[Abholzigkeit (mm/lfm)],MATCH(Tabelle9[[#This Row],[Rank]],Stammdaten[Rank Verteilung Abholzigkeit],0))</f>
        <v>#N/A</v>
      </c>
      <c r="N664" t="e">
        <f>VLOOKUP(Tabelle9[[#This Row],[Rank]],Stammdaten[[Rank Verteilung Abholzigkeit]:[Verteilung Abholzigkeit]],2,FALSE)</f>
        <v>#N/A</v>
      </c>
      <c r="S664">
        <v>655</v>
      </c>
      <c r="T664" t="e">
        <f>INDEX(Stammdaten[Krümmung (mm/lfm)],MATCH(Tabelle10[[#This Row],[Rank]],Stammdaten[Rank Verteilung Krümmung],0))</f>
        <v>#N/A</v>
      </c>
      <c r="U664" t="e">
        <f>VLOOKUP(Tabelle10[[#This Row],[Rank]],Stammdaten[[Rank Verteilung Krümmung]:[Verteilung Krümmung]],2,FALSE)</f>
        <v>#N/A</v>
      </c>
      <c r="Z664">
        <v>655</v>
      </c>
      <c r="AA664" t="e">
        <f>INDEX(Stammdaten[Ovalität (']0,1'])],MATCH(Tabelle1014[[#This Row],[Rank]],Stammdaten[Rank Verteilung Ovalität],0))</f>
        <v>#N/A</v>
      </c>
      <c r="AB664" t="e">
        <f>VLOOKUP(Tabelle1014[[#This Row],[Rank]],Stammdaten[[Rank Verteilung Ovalität]:[Verteilung Ovalität]],2,FALSE)</f>
        <v>#N/A</v>
      </c>
    </row>
    <row r="665" spans="5:28" x14ac:dyDescent="0.35">
      <c r="E665">
        <v>656</v>
      </c>
      <c r="F665" t="e">
        <f>INDEX(Stammdaten[D Mitte mit Rinde (mm)],MATCH(Tabelle8[[#This Row],[Rank]],Stammdaten[Rank Verteilung D Mitte mit Rinde],0))</f>
        <v>#N/A</v>
      </c>
      <c r="G665" t="e">
        <f>VLOOKUP(Tabelle8[[#This Row],[Rank]],Stammdaten[[Rank Verteilung D Mitte mit Rinde]:[Verteilung D Mitte mit Rinde]],2,FALSE)</f>
        <v>#N/A</v>
      </c>
      <c r="L665">
        <v>656</v>
      </c>
      <c r="M665" t="e">
        <f>INDEX(Stammdaten[Abholzigkeit (mm/lfm)],MATCH(Tabelle9[[#This Row],[Rank]],Stammdaten[Rank Verteilung Abholzigkeit],0))</f>
        <v>#N/A</v>
      </c>
      <c r="N665" t="e">
        <f>VLOOKUP(Tabelle9[[#This Row],[Rank]],Stammdaten[[Rank Verteilung Abholzigkeit]:[Verteilung Abholzigkeit]],2,FALSE)</f>
        <v>#N/A</v>
      </c>
      <c r="S665">
        <v>656</v>
      </c>
      <c r="T665" t="e">
        <f>INDEX(Stammdaten[Krümmung (mm/lfm)],MATCH(Tabelle10[[#This Row],[Rank]],Stammdaten[Rank Verteilung Krümmung],0))</f>
        <v>#N/A</v>
      </c>
      <c r="U665" t="e">
        <f>VLOOKUP(Tabelle10[[#This Row],[Rank]],Stammdaten[[Rank Verteilung Krümmung]:[Verteilung Krümmung]],2,FALSE)</f>
        <v>#N/A</v>
      </c>
      <c r="Z665">
        <v>656</v>
      </c>
      <c r="AA665" t="e">
        <f>INDEX(Stammdaten[Ovalität (']0,1'])],MATCH(Tabelle1014[[#This Row],[Rank]],Stammdaten[Rank Verteilung Ovalität],0))</f>
        <v>#N/A</v>
      </c>
      <c r="AB665" t="e">
        <f>VLOOKUP(Tabelle1014[[#This Row],[Rank]],Stammdaten[[Rank Verteilung Ovalität]:[Verteilung Ovalität]],2,FALSE)</f>
        <v>#N/A</v>
      </c>
    </row>
    <row r="666" spans="5:28" x14ac:dyDescent="0.35">
      <c r="E666">
        <v>657</v>
      </c>
      <c r="F666" t="e">
        <f>INDEX(Stammdaten[D Mitte mit Rinde (mm)],MATCH(Tabelle8[[#This Row],[Rank]],Stammdaten[Rank Verteilung D Mitte mit Rinde],0))</f>
        <v>#N/A</v>
      </c>
      <c r="G666" t="e">
        <f>VLOOKUP(Tabelle8[[#This Row],[Rank]],Stammdaten[[Rank Verteilung D Mitte mit Rinde]:[Verteilung D Mitte mit Rinde]],2,FALSE)</f>
        <v>#N/A</v>
      </c>
      <c r="L666">
        <v>657</v>
      </c>
      <c r="M666" t="e">
        <f>INDEX(Stammdaten[Abholzigkeit (mm/lfm)],MATCH(Tabelle9[[#This Row],[Rank]],Stammdaten[Rank Verteilung Abholzigkeit],0))</f>
        <v>#N/A</v>
      </c>
      <c r="N666" t="e">
        <f>VLOOKUP(Tabelle9[[#This Row],[Rank]],Stammdaten[[Rank Verteilung Abholzigkeit]:[Verteilung Abholzigkeit]],2,FALSE)</f>
        <v>#N/A</v>
      </c>
      <c r="S666">
        <v>657</v>
      </c>
      <c r="T666" t="e">
        <f>INDEX(Stammdaten[Krümmung (mm/lfm)],MATCH(Tabelle10[[#This Row],[Rank]],Stammdaten[Rank Verteilung Krümmung],0))</f>
        <v>#N/A</v>
      </c>
      <c r="U666" t="e">
        <f>VLOOKUP(Tabelle10[[#This Row],[Rank]],Stammdaten[[Rank Verteilung Krümmung]:[Verteilung Krümmung]],2,FALSE)</f>
        <v>#N/A</v>
      </c>
      <c r="Z666">
        <v>657</v>
      </c>
      <c r="AA666" t="e">
        <f>INDEX(Stammdaten[Ovalität (']0,1'])],MATCH(Tabelle1014[[#This Row],[Rank]],Stammdaten[Rank Verteilung Ovalität],0))</f>
        <v>#N/A</v>
      </c>
      <c r="AB666" t="e">
        <f>VLOOKUP(Tabelle1014[[#This Row],[Rank]],Stammdaten[[Rank Verteilung Ovalität]:[Verteilung Ovalität]],2,FALSE)</f>
        <v>#N/A</v>
      </c>
    </row>
    <row r="667" spans="5:28" x14ac:dyDescent="0.35">
      <c r="E667">
        <v>658</v>
      </c>
      <c r="F667" t="e">
        <f>INDEX(Stammdaten[D Mitte mit Rinde (mm)],MATCH(Tabelle8[[#This Row],[Rank]],Stammdaten[Rank Verteilung D Mitte mit Rinde],0))</f>
        <v>#N/A</v>
      </c>
      <c r="G667" t="e">
        <f>VLOOKUP(Tabelle8[[#This Row],[Rank]],Stammdaten[[Rank Verteilung D Mitte mit Rinde]:[Verteilung D Mitte mit Rinde]],2,FALSE)</f>
        <v>#N/A</v>
      </c>
      <c r="L667">
        <v>658</v>
      </c>
      <c r="M667" t="e">
        <f>INDEX(Stammdaten[Abholzigkeit (mm/lfm)],MATCH(Tabelle9[[#This Row],[Rank]],Stammdaten[Rank Verteilung Abholzigkeit],0))</f>
        <v>#N/A</v>
      </c>
      <c r="N667" t="e">
        <f>VLOOKUP(Tabelle9[[#This Row],[Rank]],Stammdaten[[Rank Verteilung Abholzigkeit]:[Verteilung Abholzigkeit]],2,FALSE)</f>
        <v>#N/A</v>
      </c>
      <c r="S667">
        <v>658</v>
      </c>
      <c r="T667" t="e">
        <f>INDEX(Stammdaten[Krümmung (mm/lfm)],MATCH(Tabelle10[[#This Row],[Rank]],Stammdaten[Rank Verteilung Krümmung],0))</f>
        <v>#N/A</v>
      </c>
      <c r="U667" t="e">
        <f>VLOOKUP(Tabelle10[[#This Row],[Rank]],Stammdaten[[Rank Verteilung Krümmung]:[Verteilung Krümmung]],2,FALSE)</f>
        <v>#N/A</v>
      </c>
      <c r="Z667">
        <v>658</v>
      </c>
      <c r="AA667" t="e">
        <f>INDEX(Stammdaten[Ovalität (']0,1'])],MATCH(Tabelle1014[[#This Row],[Rank]],Stammdaten[Rank Verteilung Ovalität],0))</f>
        <v>#N/A</v>
      </c>
      <c r="AB667" t="e">
        <f>VLOOKUP(Tabelle1014[[#This Row],[Rank]],Stammdaten[[Rank Verteilung Ovalität]:[Verteilung Ovalität]],2,FALSE)</f>
        <v>#N/A</v>
      </c>
    </row>
    <row r="668" spans="5:28" x14ac:dyDescent="0.35">
      <c r="E668">
        <v>659</v>
      </c>
      <c r="F668" t="e">
        <f>INDEX(Stammdaten[D Mitte mit Rinde (mm)],MATCH(Tabelle8[[#This Row],[Rank]],Stammdaten[Rank Verteilung D Mitte mit Rinde],0))</f>
        <v>#N/A</v>
      </c>
      <c r="G668" t="e">
        <f>VLOOKUP(Tabelle8[[#This Row],[Rank]],Stammdaten[[Rank Verteilung D Mitte mit Rinde]:[Verteilung D Mitte mit Rinde]],2,FALSE)</f>
        <v>#N/A</v>
      </c>
      <c r="L668">
        <v>659</v>
      </c>
      <c r="M668" t="e">
        <f>INDEX(Stammdaten[Abholzigkeit (mm/lfm)],MATCH(Tabelle9[[#This Row],[Rank]],Stammdaten[Rank Verteilung Abholzigkeit],0))</f>
        <v>#N/A</v>
      </c>
      <c r="N668" t="e">
        <f>VLOOKUP(Tabelle9[[#This Row],[Rank]],Stammdaten[[Rank Verteilung Abholzigkeit]:[Verteilung Abholzigkeit]],2,FALSE)</f>
        <v>#N/A</v>
      </c>
      <c r="S668">
        <v>659</v>
      </c>
      <c r="T668" t="e">
        <f>INDEX(Stammdaten[Krümmung (mm/lfm)],MATCH(Tabelle10[[#This Row],[Rank]],Stammdaten[Rank Verteilung Krümmung],0))</f>
        <v>#N/A</v>
      </c>
      <c r="U668" t="e">
        <f>VLOOKUP(Tabelle10[[#This Row],[Rank]],Stammdaten[[Rank Verteilung Krümmung]:[Verteilung Krümmung]],2,FALSE)</f>
        <v>#N/A</v>
      </c>
      <c r="Z668">
        <v>659</v>
      </c>
      <c r="AA668" t="e">
        <f>INDEX(Stammdaten[Ovalität (']0,1'])],MATCH(Tabelle1014[[#This Row],[Rank]],Stammdaten[Rank Verteilung Ovalität],0))</f>
        <v>#N/A</v>
      </c>
      <c r="AB668" t="e">
        <f>VLOOKUP(Tabelle1014[[#This Row],[Rank]],Stammdaten[[Rank Verteilung Ovalität]:[Verteilung Ovalität]],2,FALSE)</f>
        <v>#N/A</v>
      </c>
    </row>
    <row r="669" spans="5:28" x14ac:dyDescent="0.35">
      <c r="E669">
        <v>660</v>
      </c>
      <c r="F669" t="e">
        <f>INDEX(Stammdaten[D Mitte mit Rinde (mm)],MATCH(Tabelle8[[#This Row],[Rank]],Stammdaten[Rank Verteilung D Mitte mit Rinde],0))</f>
        <v>#N/A</v>
      </c>
      <c r="G669" t="e">
        <f>VLOOKUP(Tabelle8[[#This Row],[Rank]],Stammdaten[[Rank Verteilung D Mitte mit Rinde]:[Verteilung D Mitte mit Rinde]],2,FALSE)</f>
        <v>#N/A</v>
      </c>
      <c r="L669">
        <v>660</v>
      </c>
      <c r="M669" t="e">
        <f>INDEX(Stammdaten[Abholzigkeit (mm/lfm)],MATCH(Tabelle9[[#This Row],[Rank]],Stammdaten[Rank Verteilung Abholzigkeit],0))</f>
        <v>#N/A</v>
      </c>
      <c r="N669" t="e">
        <f>VLOOKUP(Tabelle9[[#This Row],[Rank]],Stammdaten[[Rank Verteilung Abholzigkeit]:[Verteilung Abholzigkeit]],2,FALSE)</f>
        <v>#N/A</v>
      </c>
      <c r="S669">
        <v>660</v>
      </c>
      <c r="T669" t="e">
        <f>INDEX(Stammdaten[Krümmung (mm/lfm)],MATCH(Tabelle10[[#This Row],[Rank]],Stammdaten[Rank Verteilung Krümmung],0))</f>
        <v>#N/A</v>
      </c>
      <c r="U669" t="e">
        <f>VLOOKUP(Tabelle10[[#This Row],[Rank]],Stammdaten[[Rank Verteilung Krümmung]:[Verteilung Krümmung]],2,FALSE)</f>
        <v>#N/A</v>
      </c>
      <c r="Z669">
        <v>660</v>
      </c>
      <c r="AA669" t="e">
        <f>INDEX(Stammdaten[Ovalität (']0,1'])],MATCH(Tabelle1014[[#This Row],[Rank]],Stammdaten[Rank Verteilung Ovalität],0))</f>
        <v>#N/A</v>
      </c>
      <c r="AB669" t="e">
        <f>VLOOKUP(Tabelle1014[[#This Row],[Rank]],Stammdaten[[Rank Verteilung Ovalität]:[Verteilung Ovalität]],2,FALSE)</f>
        <v>#N/A</v>
      </c>
    </row>
    <row r="670" spans="5:28" x14ac:dyDescent="0.35">
      <c r="E670">
        <v>661</v>
      </c>
      <c r="F670" t="e">
        <f>INDEX(Stammdaten[D Mitte mit Rinde (mm)],MATCH(Tabelle8[[#This Row],[Rank]],Stammdaten[Rank Verteilung D Mitte mit Rinde],0))</f>
        <v>#N/A</v>
      </c>
      <c r="G670" t="e">
        <f>VLOOKUP(Tabelle8[[#This Row],[Rank]],Stammdaten[[Rank Verteilung D Mitte mit Rinde]:[Verteilung D Mitte mit Rinde]],2,FALSE)</f>
        <v>#N/A</v>
      </c>
      <c r="L670">
        <v>661</v>
      </c>
      <c r="M670" t="e">
        <f>INDEX(Stammdaten[Abholzigkeit (mm/lfm)],MATCH(Tabelle9[[#This Row],[Rank]],Stammdaten[Rank Verteilung Abholzigkeit],0))</f>
        <v>#N/A</v>
      </c>
      <c r="N670" t="e">
        <f>VLOOKUP(Tabelle9[[#This Row],[Rank]],Stammdaten[[Rank Verteilung Abholzigkeit]:[Verteilung Abholzigkeit]],2,FALSE)</f>
        <v>#N/A</v>
      </c>
      <c r="S670">
        <v>661</v>
      </c>
      <c r="T670" t="e">
        <f>INDEX(Stammdaten[Krümmung (mm/lfm)],MATCH(Tabelle10[[#This Row],[Rank]],Stammdaten[Rank Verteilung Krümmung],0))</f>
        <v>#N/A</v>
      </c>
      <c r="U670" t="e">
        <f>VLOOKUP(Tabelle10[[#This Row],[Rank]],Stammdaten[[Rank Verteilung Krümmung]:[Verteilung Krümmung]],2,FALSE)</f>
        <v>#N/A</v>
      </c>
      <c r="Z670">
        <v>661</v>
      </c>
      <c r="AA670" t="e">
        <f>INDEX(Stammdaten[Ovalität (']0,1'])],MATCH(Tabelle1014[[#This Row],[Rank]],Stammdaten[Rank Verteilung Ovalität],0))</f>
        <v>#N/A</v>
      </c>
      <c r="AB670" t="e">
        <f>VLOOKUP(Tabelle1014[[#This Row],[Rank]],Stammdaten[[Rank Verteilung Ovalität]:[Verteilung Ovalität]],2,FALSE)</f>
        <v>#N/A</v>
      </c>
    </row>
    <row r="671" spans="5:28" x14ac:dyDescent="0.35">
      <c r="E671">
        <v>662</v>
      </c>
      <c r="F671" t="e">
        <f>INDEX(Stammdaten[D Mitte mit Rinde (mm)],MATCH(Tabelle8[[#This Row],[Rank]],Stammdaten[Rank Verteilung D Mitte mit Rinde],0))</f>
        <v>#N/A</v>
      </c>
      <c r="G671" t="e">
        <f>VLOOKUP(Tabelle8[[#This Row],[Rank]],Stammdaten[[Rank Verteilung D Mitte mit Rinde]:[Verteilung D Mitte mit Rinde]],2,FALSE)</f>
        <v>#N/A</v>
      </c>
      <c r="L671">
        <v>662</v>
      </c>
      <c r="M671" t="e">
        <f>INDEX(Stammdaten[Abholzigkeit (mm/lfm)],MATCH(Tabelle9[[#This Row],[Rank]],Stammdaten[Rank Verteilung Abholzigkeit],0))</f>
        <v>#N/A</v>
      </c>
      <c r="N671" t="e">
        <f>VLOOKUP(Tabelle9[[#This Row],[Rank]],Stammdaten[[Rank Verteilung Abholzigkeit]:[Verteilung Abholzigkeit]],2,FALSE)</f>
        <v>#N/A</v>
      </c>
      <c r="S671">
        <v>662</v>
      </c>
      <c r="T671" t="e">
        <f>INDEX(Stammdaten[Krümmung (mm/lfm)],MATCH(Tabelle10[[#This Row],[Rank]],Stammdaten[Rank Verteilung Krümmung],0))</f>
        <v>#N/A</v>
      </c>
      <c r="U671" t="e">
        <f>VLOOKUP(Tabelle10[[#This Row],[Rank]],Stammdaten[[Rank Verteilung Krümmung]:[Verteilung Krümmung]],2,FALSE)</f>
        <v>#N/A</v>
      </c>
      <c r="Z671">
        <v>662</v>
      </c>
      <c r="AA671" t="e">
        <f>INDEX(Stammdaten[Ovalität (']0,1'])],MATCH(Tabelle1014[[#This Row],[Rank]],Stammdaten[Rank Verteilung Ovalität],0))</f>
        <v>#N/A</v>
      </c>
      <c r="AB671" t="e">
        <f>VLOOKUP(Tabelle1014[[#This Row],[Rank]],Stammdaten[[Rank Verteilung Ovalität]:[Verteilung Ovalität]],2,FALSE)</f>
        <v>#N/A</v>
      </c>
    </row>
    <row r="672" spans="5:28" x14ac:dyDescent="0.35">
      <c r="E672">
        <v>663</v>
      </c>
      <c r="F672" t="e">
        <f>INDEX(Stammdaten[D Mitte mit Rinde (mm)],MATCH(Tabelle8[[#This Row],[Rank]],Stammdaten[Rank Verteilung D Mitte mit Rinde],0))</f>
        <v>#N/A</v>
      </c>
      <c r="G672" t="e">
        <f>VLOOKUP(Tabelle8[[#This Row],[Rank]],Stammdaten[[Rank Verteilung D Mitte mit Rinde]:[Verteilung D Mitte mit Rinde]],2,FALSE)</f>
        <v>#N/A</v>
      </c>
      <c r="L672">
        <v>663</v>
      </c>
      <c r="M672" t="e">
        <f>INDEX(Stammdaten[Abholzigkeit (mm/lfm)],MATCH(Tabelle9[[#This Row],[Rank]],Stammdaten[Rank Verteilung Abholzigkeit],0))</f>
        <v>#N/A</v>
      </c>
      <c r="N672" t="e">
        <f>VLOOKUP(Tabelle9[[#This Row],[Rank]],Stammdaten[[Rank Verteilung Abholzigkeit]:[Verteilung Abholzigkeit]],2,FALSE)</f>
        <v>#N/A</v>
      </c>
      <c r="S672">
        <v>663</v>
      </c>
      <c r="T672" t="e">
        <f>INDEX(Stammdaten[Krümmung (mm/lfm)],MATCH(Tabelle10[[#This Row],[Rank]],Stammdaten[Rank Verteilung Krümmung],0))</f>
        <v>#N/A</v>
      </c>
      <c r="U672" t="e">
        <f>VLOOKUP(Tabelle10[[#This Row],[Rank]],Stammdaten[[Rank Verteilung Krümmung]:[Verteilung Krümmung]],2,FALSE)</f>
        <v>#N/A</v>
      </c>
      <c r="Z672">
        <v>663</v>
      </c>
      <c r="AA672" t="e">
        <f>INDEX(Stammdaten[Ovalität (']0,1'])],MATCH(Tabelle1014[[#This Row],[Rank]],Stammdaten[Rank Verteilung Ovalität],0))</f>
        <v>#N/A</v>
      </c>
      <c r="AB672" t="e">
        <f>VLOOKUP(Tabelle1014[[#This Row],[Rank]],Stammdaten[[Rank Verteilung Ovalität]:[Verteilung Ovalität]],2,FALSE)</f>
        <v>#N/A</v>
      </c>
    </row>
    <row r="673" spans="5:28" x14ac:dyDescent="0.35">
      <c r="E673">
        <v>664</v>
      </c>
      <c r="F673" t="e">
        <f>INDEX(Stammdaten[D Mitte mit Rinde (mm)],MATCH(Tabelle8[[#This Row],[Rank]],Stammdaten[Rank Verteilung D Mitte mit Rinde],0))</f>
        <v>#N/A</v>
      </c>
      <c r="G673" t="e">
        <f>VLOOKUP(Tabelle8[[#This Row],[Rank]],Stammdaten[[Rank Verteilung D Mitte mit Rinde]:[Verteilung D Mitte mit Rinde]],2,FALSE)</f>
        <v>#N/A</v>
      </c>
      <c r="L673">
        <v>664</v>
      </c>
      <c r="M673" t="e">
        <f>INDEX(Stammdaten[Abholzigkeit (mm/lfm)],MATCH(Tabelle9[[#This Row],[Rank]],Stammdaten[Rank Verteilung Abholzigkeit],0))</f>
        <v>#N/A</v>
      </c>
      <c r="N673" t="e">
        <f>VLOOKUP(Tabelle9[[#This Row],[Rank]],Stammdaten[[Rank Verteilung Abholzigkeit]:[Verteilung Abholzigkeit]],2,FALSE)</f>
        <v>#N/A</v>
      </c>
      <c r="S673">
        <v>664</v>
      </c>
      <c r="T673" t="e">
        <f>INDEX(Stammdaten[Krümmung (mm/lfm)],MATCH(Tabelle10[[#This Row],[Rank]],Stammdaten[Rank Verteilung Krümmung],0))</f>
        <v>#N/A</v>
      </c>
      <c r="U673" t="e">
        <f>VLOOKUP(Tabelle10[[#This Row],[Rank]],Stammdaten[[Rank Verteilung Krümmung]:[Verteilung Krümmung]],2,FALSE)</f>
        <v>#N/A</v>
      </c>
      <c r="Z673">
        <v>664</v>
      </c>
      <c r="AA673" t="e">
        <f>INDEX(Stammdaten[Ovalität (']0,1'])],MATCH(Tabelle1014[[#This Row],[Rank]],Stammdaten[Rank Verteilung Ovalität],0))</f>
        <v>#N/A</v>
      </c>
      <c r="AB673" t="e">
        <f>VLOOKUP(Tabelle1014[[#This Row],[Rank]],Stammdaten[[Rank Verteilung Ovalität]:[Verteilung Ovalität]],2,FALSE)</f>
        <v>#N/A</v>
      </c>
    </row>
    <row r="674" spans="5:28" x14ac:dyDescent="0.35">
      <c r="E674">
        <v>665</v>
      </c>
      <c r="F674" t="e">
        <f>INDEX(Stammdaten[D Mitte mit Rinde (mm)],MATCH(Tabelle8[[#This Row],[Rank]],Stammdaten[Rank Verteilung D Mitte mit Rinde],0))</f>
        <v>#N/A</v>
      </c>
      <c r="G674" t="e">
        <f>VLOOKUP(Tabelle8[[#This Row],[Rank]],Stammdaten[[Rank Verteilung D Mitte mit Rinde]:[Verteilung D Mitte mit Rinde]],2,FALSE)</f>
        <v>#N/A</v>
      </c>
      <c r="L674">
        <v>665</v>
      </c>
      <c r="M674" t="e">
        <f>INDEX(Stammdaten[Abholzigkeit (mm/lfm)],MATCH(Tabelle9[[#This Row],[Rank]],Stammdaten[Rank Verteilung Abholzigkeit],0))</f>
        <v>#N/A</v>
      </c>
      <c r="N674" t="e">
        <f>VLOOKUP(Tabelle9[[#This Row],[Rank]],Stammdaten[[Rank Verteilung Abholzigkeit]:[Verteilung Abholzigkeit]],2,FALSE)</f>
        <v>#N/A</v>
      </c>
      <c r="S674">
        <v>665</v>
      </c>
      <c r="T674" t="e">
        <f>INDEX(Stammdaten[Krümmung (mm/lfm)],MATCH(Tabelle10[[#This Row],[Rank]],Stammdaten[Rank Verteilung Krümmung],0))</f>
        <v>#N/A</v>
      </c>
      <c r="U674" t="e">
        <f>VLOOKUP(Tabelle10[[#This Row],[Rank]],Stammdaten[[Rank Verteilung Krümmung]:[Verteilung Krümmung]],2,FALSE)</f>
        <v>#N/A</v>
      </c>
      <c r="Z674">
        <v>665</v>
      </c>
      <c r="AA674" t="e">
        <f>INDEX(Stammdaten[Ovalität (']0,1'])],MATCH(Tabelle1014[[#This Row],[Rank]],Stammdaten[Rank Verteilung Ovalität],0))</f>
        <v>#N/A</v>
      </c>
      <c r="AB674" t="e">
        <f>VLOOKUP(Tabelle1014[[#This Row],[Rank]],Stammdaten[[Rank Verteilung Ovalität]:[Verteilung Ovalität]],2,FALSE)</f>
        <v>#N/A</v>
      </c>
    </row>
    <row r="675" spans="5:28" x14ac:dyDescent="0.35">
      <c r="E675">
        <v>666</v>
      </c>
      <c r="F675" t="e">
        <f>INDEX(Stammdaten[D Mitte mit Rinde (mm)],MATCH(Tabelle8[[#This Row],[Rank]],Stammdaten[Rank Verteilung D Mitte mit Rinde],0))</f>
        <v>#N/A</v>
      </c>
      <c r="G675" t="e">
        <f>VLOOKUP(Tabelle8[[#This Row],[Rank]],Stammdaten[[Rank Verteilung D Mitte mit Rinde]:[Verteilung D Mitte mit Rinde]],2,FALSE)</f>
        <v>#N/A</v>
      </c>
      <c r="L675">
        <v>666</v>
      </c>
      <c r="M675" t="e">
        <f>INDEX(Stammdaten[Abholzigkeit (mm/lfm)],MATCH(Tabelle9[[#This Row],[Rank]],Stammdaten[Rank Verteilung Abholzigkeit],0))</f>
        <v>#N/A</v>
      </c>
      <c r="N675" t="e">
        <f>VLOOKUP(Tabelle9[[#This Row],[Rank]],Stammdaten[[Rank Verteilung Abholzigkeit]:[Verteilung Abholzigkeit]],2,FALSE)</f>
        <v>#N/A</v>
      </c>
      <c r="S675">
        <v>666</v>
      </c>
      <c r="T675" t="e">
        <f>INDEX(Stammdaten[Krümmung (mm/lfm)],MATCH(Tabelle10[[#This Row],[Rank]],Stammdaten[Rank Verteilung Krümmung],0))</f>
        <v>#N/A</v>
      </c>
      <c r="U675" t="e">
        <f>VLOOKUP(Tabelle10[[#This Row],[Rank]],Stammdaten[[Rank Verteilung Krümmung]:[Verteilung Krümmung]],2,FALSE)</f>
        <v>#N/A</v>
      </c>
      <c r="Z675">
        <v>666</v>
      </c>
      <c r="AA675" t="e">
        <f>INDEX(Stammdaten[Ovalität (']0,1'])],MATCH(Tabelle1014[[#This Row],[Rank]],Stammdaten[Rank Verteilung Ovalität],0))</f>
        <v>#N/A</v>
      </c>
      <c r="AB675" t="e">
        <f>VLOOKUP(Tabelle1014[[#This Row],[Rank]],Stammdaten[[Rank Verteilung Ovalität]:[Verteilung Ovalität]],2,FALSE)</f>
        <v>#N/A</v>
      </c>
    </row>
    <row r="676" spans="5:28" x14ac:dyDescent="0.35">
      <c r="E676">
        <v>667</v>
      </c>
      <c r="F676" t="e">
        <f>INDEX(Stammdaten[D Mitte mit Rinde (mm)],MATCH(Tabelle8[[#This Row],[Rank]],Stammdaten[Rank Verteilung D Mitte mit Rinde],0))</f>
        <v>#N/A</v>
      </c>
      <c r="G676" t="e">
        <f>VLOOKUP(Tabelle8[[#This Row],[Rank]],Stammdaten[[Rank Verteilung D Mitte mit Rinde]:[Verteilung D Mitte mit Rinde]],2,FALSE)</f>
        <v>#N/A</v>
      </c>
      <c r="L676">
        <v>667</v>
      </c>
      <c r="M676" t="e">
        <f>INDEX(Stammdaten[Abholzigkeit (mm/lfm)],MATCH(Tabelle9[[#This Row],[Rank]],Stammdaten[Rank Verteilung Abholzigkeit],0))</f>
        <v>#N/A</v>
      </c>
      <c r="N676" t="e">
        <f>VLOOKUP(Tabelle9[[#This Row],[Rank]],Stammdaten[[Rank Verteilung Abholzigkeit]:[Verteilung Abholzigkeit]],2,FALSE)</f>
        <v>#N/A</v>
      </c>
      <c r="S676">
        <v>667</v>
      </c>
      <c r="T676" t="e">
        <f>INDEX(Stammdaten[Krümmung (mm/lfm)],MATCH(Tabelle10[[#This Row],[Rank]],Stammdaten[Rank Verteilung Krümmung],0))</f>
        <v>#N/A</v>
      </c>
      <c r="U676" t="e">
        <f>VLOOKUP(Tabelle10[[#This Row],[Rank]],Stammdaten[[Rank Verteilung Krümmung]:[Verteilung Krümmung]],2,FALSE)</f>
        <v>#N/A</v>
      </c>
      <c r="Z676">
        <v>667</v>
      </c>
      <c r="AA676" t="e">
        <f>INDEX(Stammdaten[Ovalität (']0,1'])],MATCH(Tabelle1014[[#This Row],[Rank]],Stammdaten[Rank Verteilung Ovalität],0))</f>
        <v>#N/A</v>
      </c>
      <c r="AB676" t="e">
        <f>VLOOKUP(Tabelle1014[[#This Row],[Rank]],Stammdaten[[Rank Verteilung Ovalität]:[Verteilung Ovalität]],2,FALSE)</f>
        <v>#N/A</v>
      </c>
    </row>
    <row r="677" spans="5:28" x14ac:dyDescent="0.35">
      <c r="E677">
        <v>668</v>
      </c>
      <c r="F677" t="e">
        <f>INDEX(Stammdaten[D Mitte mit Rinde (mm)],MATCH(Tabelle8[[#This Row],[Rank]],Stammdaten[Rank Verteilung D Mitte mit Rinde],0))</f>
        <v>#N/A</v>
      </c>
      <c r="G677" t="e">
        <f>VLOOKUP(Tabelle8[[#This Row],[Rank]],Stammdaten[[Rank Verteilung D Mitte mit Rinde]:[Verteilung D Mitte mit Rinde]],2,FALSE)</f>
        <v>#N/A</v>
      </c>
      <c r="L677">
        <v>668</v>
      </c>
      <c r="M677" t="e">
        <f>INDEX(Stammdaten[Abholzigkeit (mm/lfm)],MATCH(Tabelle9[[#This Row],[Rank]],Stammdaten[Rank Verteilung Abholzigkeit],0))</f>
        <v>#N/A</v>
      </c>
      <c r="N677" t="e">
        <f>VLOOKUP(Tabelle9[[#This Row],[Rank]],Stammdaten[[Rank Verteilung Abholzigkeit]:[Verteilung Abholzigkeit]],2,FALSE)</f>
        <v>#N/A</v>
      </c>
      <c r="S677">
        <v>668</v>
      </c>
      <c r="T677" t="e">
        <f>INDEX(Stammdaten[Krümmung (mm/lfm)],MATCH(Tabelle10[[#This Row],[Rank]],Stammdaten[Rank Verteilung Krümmung],0))</f>
        <v>#N/A</v>
      </c>
      <c r="U677" t="e">
        <f>VLOOKUP(Tabelle10[[#This Row],[Rank]],Stammdaten[[Rank Verteilung Krümmung]:[Verteilung Krümmung]],2,FALSE)</f>
        <v>#N/A</v>
      </c>
      <c r="Z677">
        <v>668</v>
      </c>
      <c r="AA677" t="e">
        <f>INDEX(Stammdaten[Ovalität (']0,1'])],MATCH(Tabelle1014[[#This Row],[Rank]],Stammdaten[Rank Verteilung Ovalität],0))</f>
        <v>#N/A</v>
      </c>
      <c r="AB677" t="e">
        <f>VLOOKUP(Tabelle1014[[#This Row],[Rank]],Stammdaten[[Rank Verteilung Ovalität]:[Verteilung Ovalität]],2,FALSE)</f>
        <v>#N/A</v>
      </c>
    </row>
    <row r="678" spans="5:28" x14ac:dyDescent="0.35">
      <c r="E678">
        <v>669</v>
      </c>
      <c r="F678" t="e">
        <f>INDEX(Stammdaten[D Mitte mit Rinde (mm)],MATCH(Tabelle8[[#This Row],[Rank]],Stammdaten[Rank Verteilung D Mitte mit Rinde],0))</f>
        <v>#N/A</v>
      </c>
      <c r="G678" t="e">
        <f>VLOOKUP(Tabelle8[[#This Row],[Rank]],Stammdaten[[Rank Verteilung D Mitte mit Rinde]:[Verteilung D Mitte mit Rinde]],2,FALSE)</f>
        <v>#N/A</v>
      </c>
      <c r="L678">
        <v>669</v>
      </c>
      <c r="M678" t="e">
        <f>INDEX(Stammdaten[Abholzigkeit (mm/lfm)],MATCH(Tabelle9[[#This Row],[Rank]],Stammdaten[Rank Verteilung Abholzigkeit],0))</f>
        <v>#N/A</v>
      </c>
      <c r="N678" t="e">
        <f>VLOOKUP(Tabelle9[[#This Row],[Rank]],Stammdaten[[Rank Verteilung Abholzigkeit]:[Verteilung Abholzigkeit]],2,FALSE)</f>
        <v>#N/A</v>
      </c>
      <c r="S678">
        <v>669</v>
      </c>
      <c r="T678" t="e">
        <f>INDEX(Stammdaten[Krümmung (mm/lfm)],MATCH(Tabelle10[[#This Row],[Rank]],Stammdaten[Rank Verteilung Krümmung],0))</f>
        <v>#N/A</v>
      </c>
      <c r="U678" t="e">
        <f>VLOOKUP(Tabelle10[[#This Row],[Rank]],Stammdaten[[Rank Verteilung Krümmung]:[Verteilung Krümmung]],2,FALSE)</f>
        <v>#N/A</v>
      </c>
      <c r="Z678">
        <v>669</v>
      </c>
      <c r="AA678" t="e">
        <f>INDEX(Stammdaten[Ovalität (']0,1'])],MATCH(Tabelle1014[[#This Row],[Rank]],Stammdaten[Rank Verteilung Ovalität],0))</f>
        <v>#N/A</v>
      </c>
      <c r="AB678" t="e">
        <f>VLOOKUP(Tabelle1014[[#This Row],[Rank]],Stammdaten[[Rank Verteilung Ovalität]:[Verteilung Ovalität]],2,FALSE)</f>
        <v>#N/A</v>
      </c>
    </row>
    <row r="679" spans="5:28" x14ac:dyDescent="0.35">
      <c r="E679">
        <v>670</v>
      </c>
      <c r="F679" t="e">
        <f>INDEX(Stammdaten[D Mitte mit Rinde (mm)],MATCH(Tabelle8[[#This Row],[Rank]],Stammdaten[Rank Verteilung D Mitte mit Rinde],0))</f>
        <v>#N/A</v>
      </c>
      <c r="G679" t="e">
        <f>VLOOKUP(Tabelle8[[#This Row],[Rank]],Stammdaten[[Rank Verteilung D Mitte mit Rinde]:[Verteilung D Mitte mit Rinde]],2,FALSE)</f>
        <v>#N/A</v>
      </c>
      <c r="L679">
        <v>670</v>
      </c>
      <c r="M679" t="e">
        <f>INDEX(Stammdaten[Abholzigkeit (mm/lfm)],MATCH(Tabelle9[[#This Row],[Rank]],Stammdaten[Rank Verteilung Abholzigkeit],0))</f>
        <v>#N/A</v>
      </c>
      <c r="N679" t="e">
        <f>VLOOKUP(Tabelle9[[#This Row],[Rank]],Stammdaten[[Rank Verteilung Abholzigkeit]:[Verteilung Abholzigkeit]],2,FALSE)</f>
        <v>#N/A</v>
      </c>
      <c r="S679">
        <v>670</v>
      </c>
      <c r="T679" t="e">
        <f>INDEX(Stammdaten[Krümmung (mm/lfm)],MATCH(Tabelle10[[#This Row],[Rank]],Stammdaten[Rank Verteilung Krümmung],0))</f>
        <v>#N/A</v>
      </c>
      <c r="U679" t="e">
        <f>VLOOKUP(Tabelle10[[#This Row],[Rank]],Stammdaten[[Rank Verteilung Krümmung]:[Verteilung Krümmung]],2,FALSE)</f>
        <v>#N/A</v>
      </c>
      <c r="Z679">
        <v>670</v>
      </c>
      <c r="AA679" t="e">
        <f>INDEX(Stammdaten[Ovalität (']0,1'])],MATCH(Tabelle1014[[#This Row],[Rank]],Stammdaten[Rank Verteilung Ovalität],0))</f>
        <v>#N/A</v>
      </c>
      <c r="AB679" t="e">
        <f>VLOOKUP(Tabelle1014[[#This Row],[Rank]],Stammdaten[[Rank Verteilung Ovalität]:[Verteilung Ovalität]],2,FALSE)</f>
        <v>#N/A</v>
      </c>
    </row>
    <row r="680" spans="5:28" x14ac:dyDescent="0.35">
      <c r="E680">
        <v>671</v>
      </c>
      <c r="F680" t="e">
        <f>INDEX(Stammdaten[D Mitte mit Rinde (mm)],MATCH(Tabelle8[[#This Row],[Rank]],Stammdaten[Rank Verteilung D Mitte mit Rinde],0))</f>
        <v>#N/A</v>
      </c>
      <c r="G680" t="e">
        <f>VLOOKUP(Tabelle8[[#This Row],[Rank]],Stammdaten[[Rank Verteilung D Mitte mit Rinde]:[Verteilung D Mitte mit Rinde]],2,FALSE)</f>
        <v>#N/A</v>
      </c>
      <c r="L680">
        <v>671</v>
      </c>
      <c r="M680" t="e">
        <f>INDEX(Stammdaten[Abholzigkeit (mm/lfm)],MATCH(Tabelle9[[#This Row],[Rank]],Stammdaten[Rank Verteilung Abholzigkeit],0))</f>
        <v>#N/A</v>
      </c>
      <c r="N680" t="e">
        <f>VLOOKUP(Tabelle9[[#This Row],[Rank]],Stammdaten[[Rank Verteilung Abholzigkeit]:[Verteilung Abholzigkeit]],2,FALSE)</f>
        <v>#N/A</v>
      </c>
      <c r="S680">
        <v>671</v>
      </c>
      <c r="T680" t="e">
        <f>INDEX(Stammdaten[Krümmung (mm/lfm)],MATCH(Tabelle10[[#This Row],[Rank]],Stammdaten[Rank Verteilung Krümmung],0))</f>
        <v>#N/A</v>
      </c>
      <c r="U680" t="e">
        <f>VLOOKUP(Tabelle10[[#This Row],[Rank]],Stammdaten[[Rank Verteilung Krümmung]:[Verteilung Krümmung]],2,FALSE)</f>
        <v>#N/A</v>
      </c>
      <c r="Z680">
        <v>671</v>
      </c>
      <c r="AA680" t="e">
        <f>INDEX(Stammdaten[Ovalität (']0,1'])],MATCH(Tabelle1014[[#This Row],[Rank]],Stammdaten[Rank Verteilung Ovalität],0))</f>
        <v>#N/A</v>
      </c>
      <c r="AB680" t="e">
        <f>VLOOKUP(Tabelle1014[[#This Row],[Rank]],Stammdaten[[Rank Verteilung Ovalität]:[Verteilung Ovalität]],2,FALSE)</f>
        <v>#N/A</v>
      </c>
    </row>
    <row r="681" spans="5:28" x14ac:dyDescent="0.35">
      <c r="E681">
        <v>672</v>
      </c>
      <c r="F681" t="e">
        <f>INDEX(Stammdaten[D Mitte mit Rinde (mm)],MATCH(Tabelle8[[#This Row],[Rank]],Stammdaten[Rank Verteilung D Mitte mit Rinde],0))</f>
        <v>#N/A</v>
      </c>
      <c r="G681" t="e">
        <f>VLOOKUP(Tabelle8[[#This Row],[Rank]],Stammdaten[[Rank Verteilung D Mitte mit Rinde]:[Verteilung D Mitte mit Rinde]],2,FALSE)</f>
        <v>#N/A</v>
      </c>
      <c r="L681">
        <v>672</v>
      </c>
      <c r="M681" t="e">
        <f>INDEX(Stammdaten[Abholzigkeit (mm/lfm)],MATCH(Tabelle9[[#This Row],[Rank]],Stammdaten[Rank Verteilung Abholzigkeit],0))</f>
        <v>#N/A</v>
      </c>
      <c r="N681" t="e">
        <f>VLOOKUP(Tabelle9[[#This Row],[Rank]],Stammdaten[[Rank Verteilung Abholzigkeit]:[Verteilung Abholzigkeit]],2,FALSE)</f>
        <v>#N/A</v>
      </c>
      <c r="S681">
        <v>672</v>
      </c>
      <c r="T681" t="e">
        <f>INDEX(Stammdaten[Krümmung (mm/lfm)],MATCH(Tabelle10[[#This Row],[Rank]],Stammdaten[Rank Verteilung Krümmung],0))</f>
        <v>#N/A</v>
      </c>
      <c r="U681" t="e">
        <f>VLOOKUP(Tabelle10[[#This Row],[Rank]],Stammdaten[[Rank Verteilung Krümmung]:[Verteilung Krümmung]],2,FALSE)</f>
        <v>#N/A</v>
      </c>
      <c r="Z681">
        <v>672</v>
      </c>
      <c r="AA681" t="e">
        <f>INDEX(Stammdaten[Ovalität (']0,1'])],MATCH(Tabelle1014[[#This Row],[Rank]],Stammdaten[Rank Verteilung Ovalität],0))</f>
        <v>#N/A</v>
      </c>
      <c r="AB681" t="e">
        <f>VLOOKUP(Tabelle1014[[#This Row],[Rank]],Stammdaten[[Rank Verteilung Ovalität]:[Verteilung Ovalität]],2,FALSE)</f>
        <v>#N/A</v>
      </c>
    </row>
    <row r="682" spans="5:28" x14ac:dyDescent="0.35">
      <c r="E682">
        <v>673</v>
      </c>
      <c r="F682" t="e">
        <f>INDEX(Stammdaten[D Mitte mit Rinde (mm)],MATCH(Tabelle8[[#This Row],[Rank]],Stammdaten[Rank Verteilung D Mitte mit Rinde],0))</f>
        <v>#N/A</v>
      </c>
      <c r="G682" t="e">
        <f>VLOOKUP(Tabelle8[[#This Row],[Rank]],Stammdaten[[Rank Verteilung D Mitte mit Rinde]:[Verteilung D Mitte mit Rinde]],2,FALSE)</f>
        <v>#N/A</v>
      </c>
      <c r="L682">
        <v>673</v>
      </c>
      <c r="M682" t="e">
        <f>INDEX(Stammdaten[Abholzigkeit (mm/lfm)],MATCH(Tabelle9[[#This Row],[Rank]],Stammdaten[Rank Verteilung Abholzigkeit],0))</f>
        <v>#N/A</v>
      </c>
      <c r="N682" t="e">
        <f>VLOOKUP(Tabelle9[[#This Row],[Rank]],Stammdaten[[Rank Verteilung Abholzigkeit]:[Verteilung Abholzigkeit]],2,FALSE)</f>
        <v>#N/A</v>
      </c>
      <c r="S682">
        <v>673</v>
      </c>
      <c r="T682" t="e">
        <f>INDEX(Stammdaten[Krümmung (mm/lfm)],MATCH(Tabelle10[[#This Row],[Rank]],Stammdaten[Rank Verteilung Krümmung],0))</f>
        <v>#N/A</v>
      </c>
      <c r="U682" t="e">
        <f>VLOOKUP(Tabelle10[[#This Row],[Rank]],Stammdaten[[Rank Verteilung Krümmung]:[Verteilung Krümmung]],2,FALSE)</f>
        <v>#N/A</v>
      </c>
      <c r="Z682">
        <v>673</v>
      </c>
      <c r="AA682" t="e">
        <f>INDEX(Stammdaten[Ovalität (']0,1'])],MATCH(Tabelle1014[[#This Row],[Rank]],Stammdaten[Rank Verteilung Ovalität],0))</f>
        <v>#N/A</v>
      </c>
      <c r="AB682" t="e">
        <f>VLOOKUP(Tabelle1014[[#This Row],[Rank]],Stammdaten[[Rank Verteilung Ovalität]:[Verteilung Ovalität]],2,FALSE)</f>
        <v>#N/A</v>
      </c>
    </row>
    <row r="683" spans="5:28" x14ac:dyDescent="0.35">
      <c r="E683">
        <v>674</v>
      </c>
      <c r="F683" t="e">
        <f>INDEX(Stammdaten[D Mitte mit Rinde (mm)],MATCH(Tabelle8[[#This Row],[Rank]],Stammdaten[Rank Verteilung D Mitte mit Rinde],0))</f>
        <v>#N/A</v>
      </c>
      <c r="G683" t="e">
        <f>VLOOKUP(Tabelle8[[#This Row],[Rank]],Stammdaten[[Rank Verteilung D Mitte mit Rinde]:[Verteilung D Mitte mit Rinde]],2,FALSE)</f>
        <v>#N/A</v>
      </c>
      <c r="L683">
        <v>674</v>
      </c>
      <c r="M683" t="e">
        <f>INDEX(Stammdaten[Abholzigkeit (mm/lfm)],MATCH(Tabelle9[[#This Row],[Rank]],Stammdaten[Rank Verteilung Abholzigkeit],0))</f>
        <v>#N/A</v>
      </c>
      <c r="N683" t="e">
        <f>VLOOKUP(Tabelle9[[#This Row],[Rank]],Stammdaten[[Rank Verteilung Abholzigkeit]:[Verteilung Abholzigkeit]],2,FALSE)</f>
        <v>#N/A</v>
      </c>
      <c r="S683">
        <v>674</v>
      </c>
      <c r="T683" t="e">
        <f>INDEX(Stammdaten[Krümmung (mm/lfm)],MATCH(Tabelle10[[#This Row],[Rank]],Stammdaten[Rank Verteilung Krümmung],0))</f>
        <v>#N/A</v>
      </c>
      <c r="U683" t="e">
        <f>VLOOKUP(Tabelle10[[#This Row],[Rank]],Stammdaten[[Rank Verteilung Krümmung]:[Verteilung Krümmung]],2,FALSE)</f>
        <v>#N/A</v>
      </c>
      <c r="Z683">
        <v>674</v>
      </c>
      <c r="AA683" t="e">
        <f>INDEX(Stammdaten[Ovalität (']0,1'])],MATCH(Tabelle1014[[#This Row],[Rank]],Stammdaten[Rank Verteilung Ovalität],0))</f>
        <v>#N/A</v>
      </c>
      <c r="AB683" t="e">
        <f>VLOOKUP(Tabelle1014[[#This Row],[Rank]],Stammdaten[[Rank Verteilung Ovalität]:[Verteilung Ovalität]],2,FALSE)</f>
        <v>#N/A</v>
      </c>
    </row>
    <row r="684" spans="5:28" x14ac:dyDescent="0.35">
      <c r="E684">
        <v>675</v>
      </c>
      <c r="F684" t="e">
        <f>INDEX(Stammdaten[D Mitte mit Rinde (mm)],MATCH(Tabelle8[[#This Row],[Rank]],Stammdaten[Rank Verteilung D Mitte mit Rinde],0))</f>
        <v>#N/A</v>
      </c>
      <c r="G684" t="e">
        <f>VLOOKUP(Tabelle8[[#This Row],[Rank]],Stammdaten[[Rank Verteilung D Mitte mit Rinde]:[Verteilung D Mitte mit Rinde]],2,FALSE)</f>
        <v>#N/A</v>
      </c>
      <c r="L684">
        <v>675</v>
      </c>
      <c r="M684" t="e">
        <f>INDEX(Stammdaten[Abholzigkeit (mm/lfm)],MATCH(Tabelle9[[#This Row],[Rank]],Stammdaten[Rank Verteilung Abholzigkeit],0))</f>
        <v>#N/A</v>
      </c>
      <c r="N684" t="e">
        <f>VLOOKUP(Tabelle9[[#This Row],[Rank]],Stammdaten[[Rank Verteilung Abholzigkeit]:[Verteilung Abholzigkeit]],2,FALSE)</f>
        <v>#N/A</v>
      </c>
      <c r="S684">
        <v>675</v>
      </c>
      <c r="T684" t="e">
        <f>INDEX(Stammdaten[Krümmung (mm/lfm)],MATCH(Tabelle10[[#This Row],[Rank]],Stammdaten[Rank Verteilung Krümmung],0))</f>
        <v>#N/A</v>
      </c>
      <c r="U684" t="e">
        <f>VLOOKUP(Tabelle10[[#This Row],[Rank]],Stammdaten[[Rank Verteilung Krümmung]:[Verteilung Krümmung]],2,FALSE)</f>
        <v>#N/A</v>
      </c>
      <c r="Z684">
        <v>675</v>
      </c>
      <c r="AA684" t="e">
        <f>INDEX(Stammdaten[Ovalität (']0,1'])],MATCH(Tabelle1014[[#This Row],[Rank]],Stammdaten[Rank Verteilung Ovalität],0))</f>
        <v>#N/A</v>
      </c>
      <c r="AB684" t="e">
        <f>VLOOKUP(Tabelle1014[[#This Row],[Rank]],Stammdaten[[Rank Verteilung Ovalität]:[Verteilung Ovalität]],2,FALSE)</f>
        <v>#N/A</v>
      </c>
    </row>
    <row r="685" spans="5:28" x14ac:dyDescent="0.35">
      <c r="E685">
        <v>676</v>
      </c>
      <c r="F685" t="e">
        <f>INDEX(Stammdaten[D Mitte mit Rinde (mm)],MATCH(Tabelle8[[#This Row],[Rank]],Stammdaten[Rank Verteilung D Mitte mit Rinde],0))</f>
        <v>#N/A</v>
      </c>
      <c r="G685" t="e">
        <f>VLOOKUP(Tabelle8[[#This Row],[Rank]],Stammdaten[[Rank Verteilung D Mitte mit Rinde]:[Verteilung D Mitte mit Rinde]],2,FALSE)</f>
        <v>#N/A</v>
      </c>
      <c r="L685">
        <v>676</v>
      </c>
      <c r="M685" t="e">
        <f>INDEX(Stammdaten[Abholzigkeit (mm/lfm)],MATCH(Tabelle9[[#This Row],[Rank]],Stammdaten[Rank Verteilung Abholzigkeit],0))</f>
        <v>#N/A</v>
      </c>
      <c r="N685" t="e">
        <f>VLOOKUP(Tabelle9[[#This Row],[Rank]],Stammdaten[[Rank Verteilung Abholzigkeit]:[Verteilung Abholzigkeit]],2,FALSE)</f>
        <v>#N/A</v>
      </c>
      <c r="S685">
        <v>676</v>
      </c>
      <c r="T685" t="e">
        <f>INDEX(Stammdaten[Krümmung (mm/lfm)],MATCH(Tabelle10[[#This Row],[Rank]],Stammdaten[Rank Verteilung Krümmung],0))</f>
        <v>#N/A</v>
      </c>
      <c r="U685" t="e">
        <f>VLOOKUP(Tabelle10[[#This Row],[Rank]],Stammdaten[[Rank Verteilung Krümmung]:[Verteilung Krümmung]],2,FALSE)</f>
        <v>#N/A</v>
      </c>
      <c r="Z685">
        <v>676</v>
      </c>
      <c r="AA685" t="e">
        <f>INDEX(Stammdaten[Ovalität (']0,1'])],MATCH(Tabelle1014[[#This Row],[Rank]],Stammdaten[Rank Verteilung Ovalität],0))</f>
        <v>#N/A</v>
      </c>
      <c r="AB685" t="e">
        <f>VLOOKUP(Tabelle1014[[#This Row],[Rank]],Stammdaten[[Rank Verteilung Ovalität]:[Verteilung Ovalität]],2,FALSE)</f>
        <v>#N/A</v>
      </c>
    </row>
    <row r="686" spans="5:28" x14ac:dyDescent="0.35">
      <c r="E686">
        <v>677</v>
      </c>
      <c r="F686" t="e">
        <f>INDEX(Stammdaten[D Mitte mit Rinde (mm)],MATCH(Tabelle8[[#This Row],[Rank]],Stammdaten[Rank Verteilung D Mitte mit Rinde],0))</f>
        <v>#N/A</v>
      </c>
      <c r="G686" t="e">
        <f>VLOOKUP(Tabelle8[[#This Row],[Rank]],Stammdaten[[Rank Verteilung D Mitte mit Rinde]:[Verteilung D Mitte mit Rinde]],2,FALSE)</f>
        <v>#N/A</v>
      </c>
      <c r="L686">
        <v>677</v>
      </c>
      <c r="M686" t="e">
        <f>INDEX(Stammdaten[Abholzigkeit (mm/lfm)],MATCH(Tabelle9[[#This Row],[Rank]],Stammdaten[Rank Verteilung Abholzigkeit],0))</f>
        <v>#N/A</v>
      </c>
      <c r="N686" t="e">
        <f>VLOOKUP(Tabelle9[[#This Row],[Rank]],Stammdaten[[Rank Verteilung Abholzigkeit]:[Verteilung Abholzigkeit]],2,FALSE)</f>
        <v>#N/A</v>
      </c>
      <c r="S686">
        <v>677</v>
      </c>
      <c r="T686" t="e">
        <f>INDEX(Stammdaten[Krümmung (mm/lfm)],MATCH(Tabelle10[[#This Row],[Rank]],Stammdaten[Rank Verteilung Krümmung],0))</f>
        <v>#N/A</v>
      </c>
      <c r="U686" t="e">
        <f>VLOOKUP(Tabelle10[[#This Row],[Rank]],Stammdaten[[Rank Verteilung Krümmung]:[Verteilung Krümmung]],2,FALSE)</f>
        <v>#N/A</v>
      </c>
      <c r="Z686">
        <v>677</v>
      </c>
      <c r="AA686" t="e">
        <f>INDEX(Stammdaten[Ovalität (']0,1'])],MATCH(Tabelle1014[[#This Row],[Rank]],Stammdaten[Rank Verteilung Ovalität],0))</f>
        <v>#N/A</v>
      </c>
      <c r="AB686" t="e">
        <f>VLOOKUP(Tabelle1014[[#This Row],[Rank]],Stammdaten[[Rank Verteilung Ovalität]:[Verteilung Ovalität]],2,FALSE)</f>
        <v>#N/A</v>
      </c>
    </row>
    <row r="687" spans="5:28" x14ac:dyDescent="0.35">
      <c r="E687">
        <v>678</v>
      </c>
      <c r="F687" t="e">
        <f>INDEX(Stammdaten[D Mitte mit Rinde (mm)],MATCH(Tabelle8[[#This Row],[Rank]],Stammdaten[Rank Verteilung D Mitte mit Rinde],0))</f>
        <v>#N/A</v>
      </c>
      <c r="G687" t="e">
        <f>VLOOKUP(Tabelle8[[#This Row],[Rank]],Stammdaten[[Rank Verteilung D Mitte mit Rinde]:[Verteilung D Mitte mit Rinde]],2,FALSE)</f>
        <v>#N/A</v>
      </c>
      <c r="L687">
        <v>678</v>
      </c>
      <c r="M687" t="e">
        <f>INDEX(Stammdaten[Abholzigkeit (mm/lfm)],MATCH(Tabelle9[[#This Row],[Rank]],Stammdaten[Rank Verteilung Abholzigkeit],0))</f>
        <v>#N/A</v>
      </c>
      <c r="N687" t="e">
        <f>VLOOKUP(Tabelle9[[#This Row],[Rank]],Stammdaten[[Rank Verteilung Abholzigkeit]:[Verteilung Abholzigkeit]],2,FALSE)</f>
        <v>#N/A</v>
      </c>
      <c r="S687">
        <v>678</v>
      </c>
      <c r="T687" t="e">
        <f>INDEX(Stammdaten[Krümmung (mm/lfm)],MATCH(Tabelle10[[#This Row],[Rank]],Stammdaten[Rank Verteilung Krümmung],0))</f>
        <v>#N/A</v>
      </c>
      <c r="U687" t="e">
        <f>VLOOKUP(Tabelle10[[#This Row],[Rank]],Stammdaten[[Rank Verteilung Krümmung]:[Verteilung Krümmung]],2,FALSE)</f>
        <v>#N/A</v>
      </c>
      <c r="Z687">
        <v>678</v>
      </c>
      <c r="AA687" t="e">
        <f>INDEX(Stammdaten[Ovalität (']0,1'])],MATCH(Tabelle1014[[#This Row],[Rank]],Stammdaten[Rank Verteilung Ovalität],0))</f>
        <v>#N/A</v>
      </c>
      <c r="AB687" t="e">
        <f>VLOOKUP(Tabelle1014[[#This Row],[Rank]],Stammdaten[[Rank Verteilung Ovalität]:[Verteilung Ovalität]],2,FALSE)</f>
        <v>#N/A</v>
      </c>
    </row>
    <row r="688" spans="5:28" x14ac:dyDescent="0.35">
      <c r="E688">
        <v>679</v>
      </c>
      <c r="F688" t="e">
        <f>INDEX(Stammdaten[D Mitte mit Rinde (mm)],MATCH(Tabelle8[[#This Row],[Rank]],Stammdaten[Rank Verteilung D Mitte mit Rinde],0))</f>
        <v>#N/A</v>
      </c>
      <c r="G688" t="e">
        <f>VLOOKUP(Tabelle8[[#This Row],[Rank]],Stammdaten[[Rank Verteilung D Mitte mit Rinde]:[Verteilung D Mitte mit Rinde]],2,FALSE)</f>
        <v>#N/A</v>
      </c>
      <c r="L688">
        <v>679</v>
      </c>
      <c r="M688" t="e">
        <f>INDEX(Stammdaten[Abholzigkeit (mm/lfm)],MATCH(Tabelle9[[#This Row],[Rank]],Stammdaten[Rank Verteilung Abholzigkeit],0))</f>
        <v>#N/A</v>
      </c>
      <c r="N688" t="e">
        <f>VLOOKUP(Tabelle9[[#This Row],[Rank]],Stammdaten[[Rank Verteilung Abholzigkeit]:[Verteilung Abholzigkeit]],2,FALSE)</f>
        <v>#N/A</v>
      </c>
      <c r="S688">
        <v>679</v>
      </c>
      <c r="T688" t="e">
        <f>INDEX(Stammdaten[Krümmung (mm/lfm)],MATCH(Tabelle10[[#This Row],[Rank]],Stammdaten[Rank Verteilung Krümmung],0))</f>
        <v>#N/A</v>
      </c>
      <c r="U688" t="e">
        <f>VLOOKUP(Tabelle10[[#This Row],[Rank]],Stammdaten[[Rank Verteilung Krümmung]:[Verteilung Krümmung]],2,FALSE)</f>
        <v>#N/A</v>
      </c>
      <c r="Z688">
        <v>679</v>
      </c>
      <c r="AA688" t="e">
        <f>INDEX(Stammdaten[Ovalität (']0,1'])],MATCH(Tabelle1014[[#This Row],[Rank]],Stammdaten[Rank Verteilung Ovalität],0))</f>
        <v>#N/A</v>
      </c>
      <c r="AB688" t="e">
        <f>VLOOKUP(Tabelle1014[[#This Row],[Rank]],Stammdaten[[Rank Verteilung Ovalität]:[Verteilung Ovalität]],2,FALSE)</f>
        <v>#N/A</v>
      </c>
    </row>
    <row r="689" spans="5:28" x14ac:dyDescent="0.35">
      <c r="E689">
        <v>680</v>
      </c>
      <c r="F689" t="e">
        <f>INDEX(Stammdaten[D Mitte mit Rinde (mm)],MATCH(Tabelle8[[#This Row],[Rank]],Stammdaten[Rank Verteilung D Mitte mit Rinde],0))</f>
        <v>#N/A</v>
      </c>
      <c r="G689" t="e">
        <f>VLOOKUP(Tabelle8[[#This Row],[Rank]],Stammdaten[[Rank Verteilung D Mitte mit Rinde]:[Verteilung D Mitte mit Rinde]],2,FALSE)</f>
        <v>#N/A</v>
      </c>
      <c r="L689">
        <v>680</v>
      </c>
      <c r="M689" t="e">
        <f>INDEX(Stammdaten[Abholzigkeit (mm/lfm)],MATCH(Tabelle9[[#This Row],[Rank]],Stammdaten[Rank Verteilung Abholzigkeit],0))</f>
        <v>#N/A</v>
      </c>
      <c r="N689" t="e">
        <f>VLOOKUP(Tabelle9[[#This Row],[Rank]],Stammdaten[[Rank Verteilung Abholzigkeit]:[Verteilung Abholzigkeit]],2,FALSE)</f>
        <v>#N/A</v>
      </c>
      <c r="S689">
        <v>680</v>
      </c>
      <c r="T689" t="e">
        <f>INDEX(Stammdaten[Krümmung (mm/lfm)],MATCH(Tabelle10[[#This Row],[Rank]],Stammdaten[Rank Verteilung Krümmung],0))</f>
        <v>#N/A</v>
      </c>
      <c r="U689" t="e">
        <f>VLOOKUP(Tabelle10[[#This Row],[Rank]],Stammdaten[[Rank Verteilung Krümmung]:[Verteilung Krümmung]],2,FALSE)</f>
        <v>#N/A</v>
      </c>
      <c r="Z689">
        <v>680</v>
      </c>
      <c r="AA689" t="e">
        <f>INDEX(Stammdaten[Ovalität (']0,1'])],MATCH(Tabelle1014[[#This Row],[Rank]],Stammdaten[Rank Verteilung Ovalität],0))</f>
        <v>#N/A</v>
      </c>
      <c r="AB689" t="e">
        <f>VLOOKUP(Tabelle1014[[#This Row],[Rank]],Stammdaten[[Rank Verteilung Ovalität]:[Verteilung Ovalität]],2,FALSE)</f>
        <v>#N/A</v>
      </c>
    </row>
    <row r="690" spans="5:28" x14ac:dyDescent="0.35">
      <c r="E690">
        <v>681</v>
      </c>
      <c r="F690" t="e">
        <f>INDEX(Stammdaten[D Mitte mit Rinde (mm)],MATCH(Tabelle8[[#This Row],[Rank]],Stammdaten[Rank Verteilung D Mitte mit Rinde],0))</f>
        <v>#N/A</v>
      </c>
      <c r="G690" t="e">
        <f>VLOOKUP(Tabelle8[[#This Row],[Rank]],Stammdaten[[Rank Verteilung D Mitte mit Rinde]:[Verteilung D Mitte mit Rinde]],2,FALSE)</f>
        <v>#N/A</v>
      </c>
      <c r="L690">
        <v>681</v>
      </c>
      <c r="M690" t="e">
        <f>INDEX(Stammdaten[Abholzigkeit (mm/lfm)],MATCH(Tabelle9[[#This Row],[Rank]],Stammdaten[Rank Verteilung Abholzigkeit],0))</f>
        <v>#N/A</v>
      </c>
      <c r="N690" t="e">
        <f>VLOOKUP(Tabelle9[[#This Row],[Rank]],Stammdaten[[Rank Verteilung Abholzigkeit]:[Verteilung Abholzigkeit]],2,FALSE)</f>
        <v>#N/A</v>
      </c>
      <c r="S690">
        <v>681</v>
      </c>
      <c r="T690" t="e">
        <f>INDEX(Stammdaten[Krümmung (mm/lfm)],MATCH(Tabelle10[[#This Row],[Rank]],Stammdaten[Rank Verteilung Krümmung],0))</f>
        <v>#N/A</v>
      </c>
      <c r="U690" t="e">
        <f>VLOOKUP(Tabelle10[[#This Row],[Rank]],Stammdaten[[Rank Verteilung Krümmung]:[Verteilung Krümmung]],2,FALSE)</f>
        <v>#N/A</v>
      </c>
      <c r="Z690">
        <v>681</v>
      </c>
      <c r="AA690" t="e">
        <f>INDEX(Stammdaten[Ovalität (']0,1'])],MATCH(Tabelle1014[[#This Row],[Rank]],Stammdaten[Rank Verteilung Ovalität],0))</f>
        <v>#N/A</v>
      </c>
      <c r="AB690" t="e">
        <f>VLOOKUP(Tabelle1014[[#This Row],[Rank]],Stammdaten[[Rank Verteilung Ovalität]:[Verteilung Ovalität]],2,FALSE)</f>
        <v>#N/A</v>
      </c>
    </row>
    <row r="691" spans="5:28" x14ac:dyDescent="0.35">
      <c r="E691">
        <v>682</v>
      </c>
      <c r="F691" t="e">
        <f>INDEX(Stammdaten[D Mitte mit Rinde (mm)],MATCH(Tabelle8[[#This Row],[Rank]],Stammdaten[Rank Verteilung D Mitte mit Rinde],0))</f>
        <v>#N/A</v>
      </c>
      <c r="G691" t="e">
        <f>VLOOKUP(Tabelle8[[#This Row],[Rank]],Stammdaten[[Rank Verteilung D Mitte mit Rinde]:[Verteilung D Mitte mit Rinde]],2,FALSE)</f>
        <v>#N/A</v>
      </c>
      <c r="L691">
        <v>682</v>
      </c>
      <c r="M691" t="e">
        <f>INDEX(Stammdaten[Abholzigkeit (mm/lfm)],MATCH(Tabelle9[[#This Row],[Rank]],Stammdaten[Rank Verteilung Abholzigkeit],0))</f>
        <v>#N/A</v>
      </c>
      <c r="N691" t="e">
        <f>VLOOKUP(Tabelle9[[#This Row],[Rank]],Stammdaten[[Rank Verteilung Abholzigkeit]:[Verteilung Abholzigkeit]],2,FALSE)</f>
        <v>#N/A</v>
      </c>
      <c r="S691">
        <v>682</v>
      </c>
      <c r="T691" t="e">
        <f>INDEX(Stammdaten[Krümmung (mm/lfm)],MATCH(Tabelle10[[#This Row],[Rank]],Stammdaten[Rank Verteilung Krümmung],0))</f>
        <v>#N/A</v>
      </c>
      <c r="U691" t="e">
        <f>VLOOKUP(Tabelle10[[#This Row],[Rank]],Stammdaten[[Rank Verteilung Krümmung]:[Verteilung Krümmung]],2,FALSE)</f>
        <v>#N/A</v>
      </c>
      <c r="Z691">
        <v>682</v>
      </c>
      <c r="AA691" t="e">
        <f>INDEX(Stammdaten[Ovalität (']0,1'])],MATCH(Tabelle1014[[#This Row],[Rank]],Stammdaten[Rank Verteilung Ovalität],0))</f>
        <v>#N/A</v>
      </c>
      <c r="AB691" t="e">
        <f>VLOOKUP(Tabelle1014[[#This Row],[Rank]],Stammdaten[[Rank Verteilung Ovalität]:[Verteilung Ovalität]],2,FALSE)</f>
        <v>#N/A</v>
      </c>
    </row>
    <row r="692" spans="5:28" x14ac:dyDescent="0.35">
      <c r="E692">
        <v>683</v>
      </c>
      <c r="F692" t="e">
        <f>INDEX(Stammdaten[D Mitte mit Rinde (mm)],MATCH(Tabelle8[[#This Row],[Rank]],Stammdaten[Rank Verteilung D Mitte mit Rinde],0))</f>
        <v>#N/A</v>
      </c>
      <c r="G692" t="e">
        <f>VLOOKUP(Tabelle8[[#This Row],[Rank]],Stammdaten[[Rank Verteilung D Mitte mit Rinde]:[Verteilung D Mitte mit Rinde]],2,FALSE)</f>
        <v>#N/A</v>
      </c>
      <c r="L692">
        <v>683</v>
      </c>
      <c r="M692" t="e">
        <f>INDEX(Stammdaten[Abholzigkeit (mm/lfm)],MATCH(Tabelle9[[#This Row],[Rank]],Stammdaten[Rank Verteilung Abholzigkeit],0))</f>
        <v>#N/A</v>
      </c>
      <c r="N692" t="e">
        <f>VLOOKUP(Tabelle9[[#This Row],[Rank]],Stammdaten[[Rank Verteilung Abholzigkeit]:[Verteilung Abholzigkeit]],2,FALSE)</f>
        <v>#N/A</v>
      </c>
      <c r="S692">
        <v>683</v>
      </c>
      <c r="T692" t="e">
        <f>INDEX(Stammdaten[Krümmung (mm/lfm)],MATCH(Tabelle10[[#This Row],[Rank]],Stammdaten[Rank Verteilung Krümmung],0))</f>
        <v>#N/A</v>
      </c>
      <c r="U692" t="e">
        <f>VLOOKUP(Tabelle10[[#This Row],[Rank]],Stammdaten[[Rank Verteilung Krümmung]:[Verteilung Krümmung]],2,FALSE)</f>
        <v>#N/A</v>
      </c>
      <c r="Z692">
        <v>683</v>
      </c>
      <c r="AA692" t="e">
        <f>INDEX(Stammdaten[Ovalität (']0,1'])],MATCH(Tabelle1014[[#This Row],[Rank]],Stammdaten[Rank Verteilung Ovalität],0))</f>
        <v>#N/A</v>
      </c>
      <c r="AB692" t="e">
        <f>VLOOKUP(Tabelle1014[[#This Row],[Rank]],Stammdaten[[Rank Verteilung Ovalität]:[Verteilung Ovalität]],2,FALSE)</f>
        <v>#N/A</v>
      </c>
    </row>
    <row r="693" spans="5:28" x14ac:dyDescent="0.35">
      <c r="E693">
        <v>684</v>
      </c>
      <c r="F693" t="e">
        <f>INDEX(Stammdaten[D Mitte mit Rinde (mm)],MATCH(Tabelle8[[#This Row],[Rank]],Stammdaten[Rank Verteilung D Mitte mit Rinde],0))</f>
        <v>#N/A</v>
      </c>
      <c r="G693" t="e">
        <f>VLOOKUP(Tabelle8[[#This Row],[Rank]],Stammdaten[[Rank Verteilung D Mitte mit Rinde]:[Verteilung D Mitte mit Rinde]],2,FALSE)</f>
        <v>#N/A</v>
      </c>
      <c r="L693">
        <v>684</v>
      </c>
      <c r="M693" t="e">
        <f>INDEX(Stammdaten[Abholzigkeit (mm/lfm)],MATCH(Tabelle9[[#This Row],[Rank]],Stammdaten[Rank Verteilung Abholzigkeit],0))</f>
        <v>#N/A</v>
      </c>
      <c r="N693" t="e">
        <f>VLOOKUP(Tabelle9[[#This Row],[Rank]],Stammdaten[[Rank Verteilung Abholzigkeit]:[Verteilung Abholzigkeit]],2,FALSE)</f>
        <v>#N/A</v>
      </c>
      <c r="S693">
        <v>684</v>
      </c>
      <c r="T693" t="e">
        <f>INDEX(Stammdaten[Krümmung (mm/lfm)],MATCH(Tabelle10[[#This Row],[Rank]],Stammdaten[Rank Verteilung Krümmung],0))</f>
        <v>#N/A</v>
      </c>
      <c r="U693" t="e">
        <f>VLOOKUP(Tabelle10[[#This Row],[Rank]],Stammdaten[[Rank Verteilung Krümmung]:[Verteilung Krümmung]],2,FALSE)</f>
        <v>#N/A</v>
      </c>
      <c r="Z693">
        <v>684</v>
      </c>
      <c r="AA693" t="e">
        <f>INDEX(Stammdaten[Ovalität (']0,1'])],MATCH(Tabelle1014[[#This Row],[Rank]],Stammdaten[Rank Verteilung Ovalität],0))</f>
        <v>#N/A</v>
      </c>
      <c r="AB693" t="e">
        <f>VLOOKUP(Tabelle1014[[#This Row],[Rank]],Stammdaten[[Rank Verteilung Ovalität]:[Verteilung Ovalität]],2,FALSE)</f>
        <v>#N/A</v>
      </c>
    </row>
    <row r="694" spans="5:28" x14ac:dyDescent="0.35">
      <c r="E694">
        <v>685</v>
      </c>
      <c r="F694" t="e">
        <f>INDEX(Stammdaten[D Mitte mit Rinde (mm)],MATCH(Tabelle8[[#This Row],[Rank]],Stammdaten[Rank Verteilung D Mitte mit Rinde],0))</f>
        <v>#N/A</v>
      </c>
      <c r="G694" t="e">
        <f>VLOOKUP(Tabelle8[[#This Row],[Rank]],Stammdaten[[Rank Verteilung D Mitte mit Rinde]:[Verteilung D Mitte mit Rinde]],2,FALSE)</f>
        <v>#N/A</v>
      </c>
      <c r="L694">
        <v>685</v>
      </c>
      <c r="M694" t="e">
        <f>INDEX(Stammdaten[Abholzigkeit (mm/lfm)],MATCH(Tabelle9[[#This Row],[Rank]],Stammdaten[Rank Verteilung Abholzigkeit],0))</f>
        <v>#N/A</v>
      </c>
      <c r="N694" t="e">
        <f>VLOOKUP(Tabelle9[[#This Row],[Rank]],Stammdaten[[Rank Verteilung Abholzigkeit]:[Verteilung Abholzigkeit]],2,FALSE)</f>
        <v>#N/A</v>
      </c>
      <c r="S694">
        <v>685</v>
      </c>
      <c r="T694" t="e">
        <f>INDEX(Stammdaten[Krümmung (mm/lfm)],MATCH(Tabelle10[[#This Row],[Rank]],Stammdaten[Rank Verteilung Krümmung],0))</f>
        <v>#N/A</v>
      </c>
      <c r="U694" t="e">
        <f>VLOOKUP(Tabelle10[[#This Row],[Rank]],Stammdaten[[Rank Verteilung Krümmung]:[Verteilung Krümmung]],2,FALSE)</f>
        <v>#N/A</v>
      </c>
      <c r="Z694">
        <v>685</v>
      </c>
      <c r="AA694" t="e">
        <f>INDEX(Stammdaten[Ovalität (']0,1'])],MATCH(Tabelle1014[[#This Row],[Rank]],Stammdaten[Rank Verteilung Ovalität],0))</f>
        <v>#N/A</v>
      </c>
      <c r="AB694" t="e">
        <f>VLOOKUP(Tabelle1014[[#This Row],[Rank]],Stammdaten[[Rank Verteilung Ovalität]:[Verteilung Ovalität]],2,FALSE)</f>
        <v>#N/A</v>
      </c>
    </row>
    <row r="695" spans="5:28" x14ac:dyDescent="0.35">
      <c r="E695">
        <v>686</v>
      </c>
      <c r="F695" t="e">
        <f>INDEX(Stammdaten[D Mitte mit Rinde (mm)],MATCH(Tabelle8[[#This Row],[Rank]],Stammdaten[Rank Verteilung D Mitte mit Rinde],0))</f>
        <v>#N/A</v>
      </c>
      <c r="G695" t="e">
        <f>VLOOKUP(Tabelle8[[#This Row],[Rank]],Stammdaten[[Rank Verteilung D Mitte mit Rinde]:[Verteilung D Mitte mit Rinde]],2,FALSE)</f>
        <v>#N/A</v>
      </c>
      <c r="L695">
        <v>686</v>
      </c>
      <c r="M695" t="e">
        <f>INDEX(Stammdaten[Abholzigkeit (mm/lfm)],MATCH(Tabelle9[[#This Row],[Rank]],Stammdaten[Rank Verteilung Abholzigkeit],0))</f>
        <v>#N/A</v>
      </c>
      <c r="N695" t="e">
        <f>VLOOKUP(Tabelle9[[#This Row],[Rank]],Stammdaten[[Rank Verteilung Abholzigkeit]:[Verteilung Abholzigkeit]],2,FALSE)</f>
        <v>#N/A</v>
      </c>
      <c r="S695">
        <v>686</v>
      </c>
      <c r="T695" t="e">
        <f>INDEX(Stammdaten[Krümmung (mm/lfm)],MATCH(Tabelle10[[#This Row],[Rank]],Stammdaten[Rank Verteilung Krümmung],0))</f>
        <v>#N/A</v>
      </c>
      <c r="U695" t="e">
        <f>VLOOKUP(Tabelle10[[#This Row],[Rank]],Stammdaten[[Rank Verteilung Krümmung]:[Verteilung Krümmung]],2,FALSE)</f>
        <v>#N/A</v>
      </c>
      <c r="Z695">
        <v>686</v>
      </c>
      <c r="AA695" t="e">
        <f>INDEX(Stammdaten[Ovalität (']0,1'])],MATCH(Tabelle1014[[#This Row],[Rank]],Stammdaten[Rank Verteilung Ovalität],0))</f>
        <v>#N/A</v>
      </c>
      <c r="AB695" t="e">
        <f>VLOOKUP(Tabelle1014[[#This Row],[Rank]],Stammdaten[[Rank Verteilung Ovalität]:[Verteilung Ovalität]],2,FALSE)</f>
        <v>#N/A</v>
      </c>
    </row>
    <row r="696" spans="5:28" x14ac:dyDescent="0.35">
      <c r="E696">
        <v>687</v>
      </c>
      <c r="F696" t="e">
        <f>INDEX(Stammdaten[D Mitte mit Rinde (mm)],MATCH(Tabelle8[[#This Row],[Rank]],Stammdaten[Rank Verteilung D Mitte mit Rinde],0))</f>
        <v>#N/A</v>
      </c>
      <c r="G696" t="e">
        <f>VLOOKUP(Tabelle8[[#This Row],[Rank]],Stammdaten[[Rank Verteilung D Mitte mit Rinde]:[Verteilung D Mitte mit Rinde]],2,FALSE)</f>
        <v>#N/A</v>
      </c>
      <c r="L696">
        <v>687</v>
      </c>
      <c r="M696" t="e">
        <f>INDEX(Stammdaten[Abholzigkeit (mm/lfm)],MATCH(Tabelle9[[#This Row],[Rank]],Stammdaten[Rank Verteilung Abholzigkeit],0))</f>
        <v>#N/A</v>
      </c>
      <c r="N696" t="e">
        <f>VLOOKUP(Tabelle9[[#This Row],[Rank]],Stammdaten[[Rank Verteilung Abholzigkeit]:[Verteilung Abholzigkeit]],2,FALSE)</f>
        <v>#N/A</v>
      </c>
      <c r="S696">
        <v>687</v>
      </c>
      <c r="T696" t="e">
        <f>INDEX(Stammdaten[Krümmung (mm/lfm)],MATCH(Tabelle10[[#This Row],[Rank]],Stammdaten[Rank Verteilung Krümmung],0))</f>
        <v>#N/A</v>
      </c>
      <c r="U696" t="e">
        <f>VLOOKUP(Tabelle10[[#This Row],[Rank]],Stammdaten[[Rank Verteilung Krümmung]:[Verteilung Krümmung]],2,FALSE)</f>
        <v>#N/A</v>
      </c>
      <c r="Z696">
        <v>687</v>
      </c>
      <c r="AA696" t="e">
        <f>INDEX(Stammdaten[Ovalität (']0,1'])],MATCH(Tabelle1014[[#This Row],[Rank]],Stammdaten[Rank Verteilung Ovalität],0))</f>
        <v>#N/A</v>
      </c>
      <c r="AB696" t="e">
        <f>VLOOKUP(Tabelle1014[[#This Row],[Rank]],Stammdaten[[Rank Verteilung Ovalität]:[Verteilung Ovalität]],2,FALSE)</f>
        <v>#N/A</v>
      </c>
    </row>
    <row r="697" spans="5:28" x14ac:dyDescent="0.35">
      <c r="E697">
        <v>688</v>
      </c>
      <c r="F697" t="e">
        <f>INDEX(Stammdaten[D Mitte mit Rinde (mm)],MATCH(Tabelle8[[#This Row],[Rank]],Stammdaten[Rank Verteilung D Mitte mit Rinde],0))</f>
        <v>#N/A</v>
      </c>
      <c r="G697" t="e">
        <f>VLOOKUP(Tabelle8[[#This Row],[Rank]],Stammdaten[[Rank Verteilung D Mitte mit Rinde]:[Verteilung D Mitte mit Rinde]],2,FALSE)</f>
        <v>#N/A</v>
      </c>
      <c r="L697">
        <v>688</v>
      </c>
      <c r="M697" t="e">
        <f>INDEX(Stammdaten[Abholzigkeit (mm/lfm)],MATCH(Tabelle9[[#This Row],[Rank]],Stammdaten[Rank Verteilung Abholzigkeit],0))</f>
        <v>#N/A</v>
      </c>
      <c r="N697" t="e">
        <f>VLOOKUP(Tabelle9[[#This Row],[Rank]],Stammdaten[[Rank Verteilung Abholzigkeit]:[Verteilung Abholzigkeit]],2,FALSE)</f>
        <v>#N/A</v>
      </c>
      <c r="S697">
        <v>688</v>
      </c>
      <c r="T697" t="e">
        <f>INDEX(Stammdaten[Krümmung (mm/lfm)],MATCH(Tabelle10[[#This Row],[Rank]],Stammdaten[Rank Verteilung Krümmung],0))</f>
        <v>#N/A</v>
      </c>
      <c r="U697" t="e">
        <f>VLOOKUP(Tabelle10[[#This Row],[Rank]],Stammdaten[[Rank Verteilung Krümmung]:[Verteilung Krümmung]],2,FALSE)</f>
        <v>#N/A</v>
      </c>
      <c r="Z697">
        <v>688</v>
      </c>
      <c r="AA697" t="e">
        <f>INDEX(Stammdaten[Ovalität (']0,1'])],MATCH(Tabelle1014[[#This Row],[Rank]],Stammdaten[Rank Verteilung Ovalität],0))</f>
        <v>#N/A</v>
      </c>
      <c r="AB697" t="e">
        <f>VLOOKUP(Tabelle1014[[#This Row],[Rank]],Stammdaten[[Rank Verteilung Ovalität]:[Verteilung Ovalität]],2,FALSE)</f>
        <v>#N/A</v>
      </c>
    </row>
    <row r="698" spans="5:28" x14ac:dyDescent="0.35">
      <c r="E698">
        <v>689</v>
      </c>
      <c r="F698" t="e">
        <f>INDEX(Stammdaten[D Mitte mit Rinde (mm)],MATCH(Tabelle8[[#This Row],[Rank]],Stammdaten[Rank Verteilung D Mitte mit Rinde],0))</f>
        <v>#N/A</v>
      </c>
      <c r="G698" t="e">
        <f>VLOOKUP(Tabelle8[[#This Row],[Rank]],Stammdaten[[Rank Verteilung D Mitte mit Rinde]:[Verteilung D Mitte mit Rinde]],2,FALSE)</f>
        <v>#N/A</v>
      </c>
      <c r="L698">
        <v>689</v>
      </c>
      <c r="M698" t="e">
        <f>INDEX(Stammdaten[Abholzigkeit (mm/lfm)],MATCH(Tabelle9[[#This Row],[Rank]],Stammdaten[Rank Verteilung Abholzigkeit],0))</f>
        <v>#N/A</v>
      </c>
      <c r="N698" t="e">
        <f>VLOOKUP(Tabelle9[[#This Row],[Rank]],Stammdaten[[Rank Verteilung Abholzigkeit]:[Verteilung Abholzigkeit]],2,FALSE)</f>
        <v>#N/A</v>
      </c>
      <c r="S698">
        <v>689</v>
      </c>
      <c r="T698" t="e">
        <f>INDEX(Stammdaten[Krümmung (mm/lfm)],MATCH(Tabelle10[[#This Row],[Rank]],Stammdaten[Rank Verteilung Krümmung],0))</f>
        <v>#N/A</v>
      </c>
      <c r="U698" t="e">
        <f>VLOOKUP(Tabelle10[[#This Row],[Rank]],Stammdaten[[Rank Verteilung Krümmung]:[Verteilung Krümmung]],2,FALSE)</f>
        <v>#N/A</v>
      </c>
      <c r="Z698">
        <v>689</v>
      </c>
      <c r="AA698" t="e">
        <f>INDEX(Stammdaten[Ovalität (']0,1'])],MATCH(Tabelle1014[[#This Row],[Rank]],Stammdaten[Rank Verteilung Ovalität],0))</f>
        <v>#N/A</v>
      </c>
      <c r="AB698" t="e">
        <f>VLOOKUP(Tabelle1014[[#This Row],[Rank]],Stammdaten[[Rank Verteilung Ovalität]:[Verteilung Ovalität]],2,FALSE)</f>
        <v>#N/A</v>
      </c>
    </row>
    <row r="699" spans="5:28" x14ac:dyDescent="0.35">
      <c r="E699">
        <v>690</v>
      </c>
      <c r="F699" t="e">
        <f>INDEX(Stammdaten[D Mitte mit Rinde (mm)],MATCH(Tabelle8[[#This Row],[Rank]],Stammdaten[Rank Verteilung D Mitte mit Rinde],0))</f>
        <v>#N/A</v>
      </c>
      <c r="G699" t="e">
        <f>VLOOKUP(Tabelle8[[#This Row],[Rank]],Stammdaten[[Rank Verteilung D Mitte mit Rinde]:[Verteilung D Mitte mit Rinde]],2,FALSE)</f>
        <v>#N/A</v>
      </c>
      <c r="L699">
        <v>690</v>
      </c>
      <c r="M699" t="e">
        <f>INDEX(Stammdaten[Abholzigkeit (mm/lfm)],MATCH(Tabelle9[[#This Row],[Rank]],Stammdaten[Rank Verteilung Abholzigkeit],0))</f>
        <v>#N/A</v>
      </c>
      <c r="N699" t="e">
        <f>VLOOKUP(Tabelle9[[#This Row],[Rank]],Stammdaten[[Rank Verteilung Abholzigkeit]:[Verteilung Abholzigkeit]],2,FALSE)</f>
        <v>#N/A</v>
      </c>
      <c r="S699">
        <v>690</v>
      </c>
      <c r="T699" t="e">
        <f>INDEX(Stammdaten[Krümmung (mm/lfm)],MATCH(Tabelle10[[#This Row],[Rank]],Stammdaten[Rank Verteilung Krümmung],0))</f>
        <v>#N/A</v>
      </c>
      <c r="U699" t="e">
        <f>VLOOKUP(Tabelle10[[#This Row],[Rank]],Stammdaten[[Rank Verteilung Krümmung]:[Verteilung Krümmung]],2,FALSE)</f>
        <v>#N/A</v>
      </c>
      <c r="Z699">
        <v>690</v>
      </c>
      <c r="AA699" t="e">
        <f>INDEX(Stammdaten[Ovalität (']0,1'])],MATCH(Tabelle1014[[#This Row],[Rank]],Stammdaten[Rank Verteilung Ovalität],0))</f>
        <v>#N/A</v>
      </c>
      <c r="AB699" t="e">
        <f>VLOOKUP(Tabelle1014[[#This Row],[Rank]],Stammdaten[[Rank Verteilung Ovalität]:[Verteilung Ovalität]],2,FALSE)</f>
        <v>#N/A</v>
      </c>
    </row>
    <row r="700" spans="5:28" x14ac:dyDescent="0.35">
      <c r="E700">
        <v>691</v>
      </c>
      <c r="F700" t="e">
        <f>INDEX(Stammdaten[D Mitte mit Rinde (mm)],MATCH(Tabelle8[[#This Row],[Rank]],Stammdaten[Rank Verteilung D Mitte mit Rinde],0))</f>
        <v>#N/A</v>
      </c>
      <c r="G700" t="e">
        <f>VLOOKUP(Tabelle8[[#This Row],[Rank]],Stammdaten[[Rank Verteilung D Mitte mit Rinde]:[Verteilung D Mitte mit Rinde]],2,FALSE)</f>
        <v>#N/A</v>
      </c>
      <c r="L700">
        <v>691</v>
      </c>
      <c r="M700" t="e">
        <f>INDEX(Stammdaten[Abholzigkeit (mm/lfm)],MATCH(Tabelle9[[#This Row],[Rank]],Stammdaten[Rank Verteilung Abholzigkeit],0))</f>
        <v>#N/A</v>
      </c>
      <c r="N700" t="e">
        <f>VLOOKUP(Tabelle9[[#This Row],[Rank]],Stammdaten[[Rank Verteilung Abholzigkeit]:[Verteilung Abholzigkeit]],2,FALSE)</f>
        <v>#N/A</v>
      </c>
      <c r="S700">
        <v>691</v>
      </c>
      <c r="T700" t="e">
        <f>INDEX(Stammdaten[Krümmung (mm/lfm)],MATCH(Tabelle10[[#This Row],[Rank]],Stammdaten[Rank Verteilung Krümmung],0))</f>
        <v>#N/A</v>
      </c>
      <c r="U700" t="e">
        <f>VLOOKUP(Tabelle10[[#This Row],[Rank]],Stammdaten[[Rank Verteilung Krümmung]:[Verteilung Krümmung]],2,FALSE)</f>
        <v>#N/A</v>
      </c>
      <c r="Z700">
        <v>691</v>
      </c>
      <c r="AA700" t="e">
        <f>INDEX(Stammdaten[Ovalität (']0,1'])],MATCH(Tabelle1014[[#This Row],[Rank]],Stammdaten[Rank Verteilung Ovalität],0))</f>
        <v>#N/A</v>
      </c>
      <c r="AB700" t="e">
        <f>VLOOKUP(Tabelle1014[[#This Row],[Rank]],Stammdaten[[Rank Verteilung Ovalität]:[Verteilung Ovalität]],2,FALSE)</f>
        <v>#N/A</v>
      </c>
    </row>
    <row r="701" spans="5:28" x14ac:dyDescent="0.35">
      <c r="E701">
        <v>692</v>
      </c>
      <c r="F701" t="e">
        <f>INDEX(Stammdaten[D Mitte mit Rinde (mm)],MATCH(Tabelle8[[#This Row],[Rank]],Stammdaten[Rank Verteilung D Mitte mit Rinde],0))</f>
        <v>#N/A</v>
      </c>
      <c r="G701" t="e">
        <f>VLOOKUP(Tabelle8[[#This Row],[Rank]],Stammdaten[[Rank Verteilung D Mitte mit Rinde]:[Verteilung D Mitte mit Rinde]],2,FALSE)</f>
        <v>#N/A</v>
      </c>
      <c r="L701">
        <v>692</v>
      </c>
      <c r="M701" t="e">
        <f>INDEX(Stammdaten[Abholzigkeit (mm/lfm)],MATCH(Tabelle9[[#This Row],[Rank]],Stammdaten[Rank Verteilung Abholzigkeit],0))</f>
        <v>#N/A</v>
      </c>
      <c r="N701" t="e">
        <f>VLOOKUP(Tabelle9[[#This Row],[Rank]],Stammdaten[[Rank Verteilung Abholzigkeit]:[Verteilung Abholzigkeit]],2,FALSE)</f>
        <v>#N/A</v>
      </c>
      <c r="S701">
        <v>692</v>
      </c>
      <c r="T701" t="e">
        <f>INDEX(Stammdaten[Krümmung (mm/lfm)],MATCH(Tabelle10[[#This Row],[Rank]],Stammdaten[Rank Verteilung Krümmung],0))</f>
        <v>#N/A</v>
      </c>
      <c r="U701" t="e">
        <f>VLOOKUP(Tabelle10[[#This Row],[Rank]],Stammdaten[[Rank Verteilung Krümmung]:[Verteilung Krümmung]],2,FALSE)</f>
        <v>#N/A</v>
      </c>
      <c r="Z701">
        <v>692</v>
      </c>
      <c r="AA701" t="e">
        <f>INDEX(Stammdaten[Ovalität (']0,1'])],MATCH(Tabelle1014[[#This Row],[Rank]],Stammdaten[Rank Verteilung Ovalität],0))</f>
        <v>#N/A</v>
      </c>
      <c r="AB701" t="e">
        <f>VLOOKUP(Tabelle1014[[#This Row],[Rank]],Stammdaten[[Rank Verteilung Ovalität]:[Verteilung Ovalität]],2,FALSE)</f>
        <v>#N/A</v>
      </c>
    </row>
    <row r="702" spans="5:28" x14ac:dyDescent="0.35">
      <c r="E702">
        <v>693</v>
      </c>
      <c r="F702" t="e">
        <f>INDEX(Stammdaten[D Mitte mit Rinde (mm)],MATCH(Tabelle8[[#This Row],[Rank]],Stammdaten[Rank Verteilung D Mitte mit Rinde],0))</f>
        <v>#N/A</v>
      </c>
      <c r="G702" t="e">
        <f>VLOOKUP(Tabelle8[[#This Row],[Rank]],Stammdaten[[Rank Verteilung D Mitte mit Rinde]:[Verteilung D Mitte mit Rinde]],2,FALSE)</f>
        <v>#N/A</v>
      </c>
      <c r="L702">
        <v>693</v>
      </c>
      <c r="M702" t="e">
        <f>INDEX(Stammdaten[Abholzigkeit (mm/lfm)],MATCH(Tabelle9[[#This Row],[Rank]],Stammdaten[Rank Verteilung Abholzigkeit],0))</f>
        <v>#N/A</v>
      </c>
      <c r="N702" t="e">
        <f>VLOOKUP(Tabelle9[[#This Row],[Rank]],Stammdaten[[Rank Verteilung Abholzigkeit]:[Verteilung Abholzigkeit]],2,FALSE)</f>
        <v>#N/A</v>
      </c>
      <c r="S702">
        <v>693</v>
      </c>
      <c r="T702" t="e">
        <f>INDEX(Stammdaten[Krümmung (mm/lfm)],MATCH(Tabelle10[[#This Row],[Rank]],Stammdaten[Rank Verteilung Krümmung],0))</f>
        <v>#N/A</v>
      </c>
      <c r="U702" t="e">
        <f>VLOOKUP(Tabelle10[[#This Row],[Rank]],Stammdaten[[Rank Verteilung Krümmung]:[Verteilung Krümmung]],2,FALSE)</f>
        <v>#N/A</v>
      </c>
      <c r="Z702">
        <v>693</v>
      </c>
      <c r="AA702" t="e">
        <f>INDEX(Stammdaten[Ovalität (']0,1'])],MATCH(Tabelle1014[[#This Row],[Rank]],Stammdaten[Rank Verteilung Ovalität],0))</f>
        <v>#N/A</v>
      </c>
      <c r="AB702" t="e">
        <f>VLOOKUP(Tabelle1014[[#This Row],[Rank]],Stammdaten[[Rank Verteilung Ovalität]:[Verteilung Ovalität]],2,FALSE)</f>
        <v>#N/A</v>
      </c>
    </row>
    <row r="703" spans="5:28" x14ac:dyDescent="0.35">
      <c r="E703">
        <v>694</v>
      </c>
      <c r="F703" t="e">
        <f>INDEX(Stammdaten[D Mitte mit Rinde (mm)],MATCH(Tabelle8[[#This Row],[Rank]],Stammdaten[Rank Verteilung D Mitte mit Rinde],0))</f>
        <v>#N/A</v>
      </c>
      <c r="G703" t="e">
        <f>VLOOKUP(Tabelle8[[#This Row],[Rank]],Stammdaten[[Rank Verteilung D Mitte mit Rinde]:[Verteilung D Mitte mit Rinde]],2,FALSE)</f>
        <v>#N/A</v>
      </c>
      <c r="L703">
        <v>694</v>
      </c>
      <c r="M703" t="e">
        <f>INDEX(Stammdaten[Abholzigkeit (mm/lfm)],MATCH(Tabelle9[[#This Row],[Rank]],Stammdaten[Rank Verteilung Abholzigkeit],0))</f>
        <v>#N/A</v>
      </c>
      <c r="N703" t="e">
        <f>VLOOKUP(Tabelle9[[#This Row],[Rank]],Stammdaten[[Rank Verteilung Abholzigkeit]:[Verteilung Abholzigkeit]],2,FALSE)</f>
        <v>#N/A</v>
      </c>
      <c r="S703">
        <v>694</v>
      </c>
      <c r="T703" t="e">
        <f>INDEX(Stammdaten[Krümmung (mm/lfm)],MATCH(Tabelle10[[#This Row],[Rank]],Stammdaten[Rank Verteilung Krümmung],0))</f>
        <v>#N/A</v>
      </c>
      <c r="U703" t="e">
        <f>VLOOKUP(Tabelle10[[#This Row],[Rank]],Stammdaten[[Rank Verteilung Krümmung]:[Verteilung Krümmung]],2,FALSE)</f>
        <v>#N/A</v>
      </c>
      <c r="Z703">
        <v>694</v>
      </c>
      <c r="AA703" t="e">
        <f>INDEX(Stammdaten[Ovalität (']0,1'])],MATCH(Tabelle1014[[#This Row],[Rank]],Stammdaten[Rank Verteilung Ovalität],0))</f>
        <v>#N/A</v>
      </c>
      <c r="AB703" t="e">
        <f>VLOOKUP(Tabelle1014[[#This Row],[Rank]],Stammdaten[[Rank Verteilung Ovalität]:[Verteilung Ovalität]],2,FALSE)</f>
        <v>#N/A</v>
      </c>
    </row>
    <row r="704" spans="5:28" x14ac:dyDescent="0.35">
      <c r="E704">
        <v>695</v>
      </c>
      <c r="F704" t="e">
        <f>INDEX(Stammdaten[D Mitte mit Rinde (mm)],MATCH(Tabelle8[[#This Row],[Rank]],Stammdaten[Rank Verteilung D Mitte mit Rinde],0))</f>
        <v>#N/A</v>
      </c>
      <c r="G704" t="e">
        <f>VLOOKUP(Tabelle8[[#This Row],[Rank]],Stammdaten[[Rank Verteilung D Mitte mit Rinde]:[Verteilung D Mitte mit Rinde]],2,FALSE)</f>
        <v>#N/A</v>
      </c>
      <c r="L704">
        <v>695</v>
      </c>
      <c r="M704" t="e">
        <f>INDEX(Stammdaten[Abholzigkeit (mm/lfm)],MATCH(Tabelle9[[#This Row],[Rank]],Stammdaten[Rank Verteilung Abholzigkeit],0))</f>
        <v>#N/A</v>
      </c>
      <c r="N704" t="e">
        <f>VLOOKUP(Tabelle9[[#This Row],[Rank]],Stammdaten[[Rank Verteilung Abholzigkeit]:[Verteilung Abholzigkeit]],2,FALSE)</f>
        <v>#N/A</v>
      </c>
      <c r="S704">
        <v>695</v>
      </c>
      <c r="T704" t="e">
        <f>INDEX(Stammdaten[Krümmung (mm/lfm)],MATCH(Tabelle10[[#This Row],[Rank]],Stammdaten[Rank Verteilung Krümmung],0))</f>
        <v>#N/A</v>
      </c>
      <c r="U704" t="e">
        <f>VLOOKUP(Tabelle10[[#This Row],[Rank]],Stammdaten[[Rank Verteilung Krümmung]:[Verteilung Krümmung]],2,FALSE)</f>
        <v>#N/A</v>
      </c>
      <c r="Z704">
        <v>695</v>
      </c>
      <c r="AA704" t="e">
        <f>INDEX(Stammdaten[Ovalität (']0,1'])],MATCH(Tabelle1014[[#This Row],[Rank]],Stammdaten[Rank Verteilung Ovalität],0))</f>
        <v>#N/A</v>
      </c>
      <c r="AB704" t="e">
        <f>VLOOKUP(Tabelle1014[[#This Row],[Rank]],Stammdaten[[Rank Verteilung Ovalität]:[Verteilung Ovalität]],2,FALSE)</f>
        <v>#N/A</v>
      </c>
    </row>
    <row r="705" spans="5:28" x14ac:dyDescent="0.35">
      <c r="E705">
        <v>696</v>
      </c>
      <c r="F705" t="e">
        <f>INDEX(Stammdaten[D Mitte mit Rinde (mm)],MATCH(Tabelle8[[#This Row],[Rank]],Stammdaten[Rank Verteilung D Mitte mit Rinde],0))</f>
        <v>#N/A</v>
      </c>
      <c r="G705" t="e">
        <f>VLOOKUP(Tabelle8[[#This Row],[Rank]],Stammdaten[[Rank Verteilung D Mitte mit Rinde]:[Verteilung D Mitte mit Rinde]],2,FALSE)</f>
        <v>#N/A</v>
      </c>
      <c r="L705">
        <v>696</v>
      </c>
      <c r="M705" t="e">
        <f>INDEX(Stammdaten[Abholzigkeit (mm/lfm)],MATCH(Tabelle9[[#This Row],[Rank]],Stammdaten[Rank Verteilung Abholzigkeit],0))</f>
        <v>#N/A</v>
      </c>
      <c r="N705" t="e">
        <f>VLOOKUP(Tabelle9[[#This Row],[Rank]],Stammdaten[[Rank Verteilung Abholzigkeit]:[Verteilung Abholzigkeit]],2,FALSE)</f>
        <v>#N/A</v>
      </c>
      <c r="S705">
        <v>696</v>
      </c>
      <c r="T705" t="e">
        <f>INDEX(Stammdaten[Krümmung (mm/lfm)],MATCH(Tabelle10[[#This Row],[Rank]],Stammdaten[Rank Verteilung Krümmung],0))</f>
        <v>#N/A</v>
      </c>
      <c r="U705" t="e">
        <f>VLOOKUP(Tabelle10[[#This Row],[Rank]],Stammdaten[[Rank Verteilung Krümmung]:[Verteilung Krümmung]],2,FALSE)</f>
        <v>#N/A</v>
      </c>
      <c r="Z705">
        <v>696</v>
      </c>
      <c r="AA705" t="e">
        <f>INDEX(Stammdaten[Ovalität (']0,1'])],MATCH(Tabelle1014[[#This Row],[Rank]],Stammdaten[Rank Verteilung Ovalität],0))</f>
        <v>#N/A</v>
      </c>
      <c r="AB705" t="e">
        <f>VLOOKUP(Tabelle1014[[#This Row],[Rank]],Stammdaten[[Rank Verteilung Ovalität]:[Verteilung Ovalität]],2,FALSE)</f>
        <v>#N/A</v>
      </c>
    </row>
    <row r="706" spans="5:28" x14ac:dyDescent="0.35">
      <c r="E706">
        <v>697</v>
      </c>
      <c r="F706" t="e">
        <f>INDEX(Stammdaten[D Mitte mit Rinde (mm)],MATCH(Tabelle8[[#This Row],[Rank]],Stammdaten[Rank Verteilung D Mitte mit Rinde],0))</f>
        <v>#N/A</v>
      </c>
      <c r="G706" t="e">
        <f>VLOOKUP(Tabelle8[[#This Row],[Rank]],Stammdaten[[Rank Verteilung D Mitte mit Rinde]:[Verteilung D Mitte mit Rinde]],2,FALSE)</f>
        <v>#N/A</v>
      </c>
      <c r="L706">
        <v>697</v>
      </c>
      <c r="M706" t="e">
        <f>INDEX(Stammdaten[Abholzigkeit (mm/lfm)],MATCH(Tabelle9[[#This Row],[Rank]],Stammdaten[Rank Verteilung Abholzigkeit],0))</f>
        <v>#N/A</v>
      </c>
      <c r="N706" t="e">
        <f>VLOOKUP(Tabelle9[[#This Row],[Rank]],Stammdaten[[Rank Verteilung Abholzigkeit]:[Verteilung Abholzigkeit]],2,FALSE)</f>
        <v>#N/A</v>
      </c>
      <c r="S706">
        <v>697</v>
      </c>
      <c r="T706" t="e">
        <f>INDEX(Stammdaten[Krümmung (mm/lfm)],MATCH(Tabelle10[[#This Row],[Rank]],Stammdaten[Rank Verteilung Krümmung],0))</f>
        <v>#N/A</v>
      </c>
      <c r="U706" t="e">
        <f>VLOOKUP(Tabelle10[[#This Row],[Rank]],Stammdaten[[Rank Verteilung Krümmung]:[Verteilung Krümmung]],2,FALSE)</f>
        <v>#N/A</v>
      </c>
      <c r="Z706">
        <v>697</v>
      </c>
      <c r="AA706" t="e">
        <f>INDEX(Stammdaten[Ovalität (']0,1'])],MATCH(Tabelle1014[[#This Row],[Rank]],Stammdaten[Rank Verteilung Ovalität],0))</f>
        <v>#N/A</v>
      </c>
      <c r="AB706" t="e">
        <f>VLOOKUP(Tabelle1014[[#This Row],[Rank]],Stammdaten[[Rank Verteilung Ovalität]:[Verteilung Ovalität]],2,FALSE)</f>
        <v>#N/A</v>
      </c>
    </row>
    <row r="707" spans="5:28" x14ac:dyDescent="0.35">
      <c r="E707">
        <v>698</v>
      </c>
      <c r="F707" t="e">
        <f>INDEX(Stammdaten[D Mitte mit Rinde (mm)],MATCH(Tabelle8[[#This Row],[Rank]],Stammdaten[Rank Verteilung D Mitte mit Rinde],0))</f>
        <v>#N/A</v>
      </c>
      <c r="G707" t="e">
        <f>VLOOKUP(Tabelle8[[#This Row],[Rank]],Stammdaten[[Rank Verteilung D Mitte mit Rinde]:[Verteilung D Mitte mit Rinde]],2,FALSE)</f>
        <v>#N/A</v>
      </c>
      <c r="L707">
        <v>698</v>
      </c>
      <c r="M707" t="e">
        <f>INDEX(Stammdaten[Abholzigkeit (mm/lfm)],MATCH(Tabelle9[[#This Row],[Rank]],Stammdaten[Rank Verteilung Abholzigkeit],0))</f>
        <v>#N/A</v>
      </c>
      <c r="N707" t="e">
        <f>VLOOKUP(Tabelle9[[#This Row],[Rank]],Stammdaten[[Rank Verteilung Abholzigkeit]:[Verteilung Abholzigkeit]],2,FALSE)</f>
        <v>#N/A</v>
      </c>
      <c r="S707">
        <v>698</v>
      </c>
      <c r="T707" t="e">
        <f>INDEX(Stammdaten[Krümmung (mm/lfm)],MATCH(Tabelle10[[#This Row],[Rank]],Stammdaten[Rank Verteilung Krümmung],0))</f>
        <v>#N/A</v>
      </c>
      <c r="U707" t="e">
        <f>VLOOKUP(Tabelle10[[#This Row],[Rank]],Stammdaten[[Rank Verteilung Krümmung]:[Verteilung Krümmung]],2,FALSE)</f>
        <v>#N/A</v>
      </c>
      <c r="Z707">
        <v>698</v>
      </c>
      <c r="AA707" t="e">
        <f>INDEX(Stammdaten[Ovalität (']0,1'])],MATCH(Tabelle1014[[#This Row],[Rank]],Stammdaten[Rank Verteilung Ovalität],0))</f>
        <v>#N/A</v>
      </c>
      <c r="AB707" t="e">
        <f>VLOOKUP(Tabelle1014[[#This Row],[Rank]],Stammdaten[[Rank Verteilung Ovalität]:[Verteilung Ovalität]],2,FALSE)</f>
        <v>#N/A</v>
      </c>
    </row>
    <row r="708" spans="5:28" x14ac:dyDescent="0.35">
      <c r="E708">
        <v>699</v>
      </c>
      <c r="F708" t="e">
        <f>INDEX(Stammdaten[D Mitte mit Rinde (mm)],MATCH(Tabelle8[[#This Row],[Rank]],Stammdaten[Rank Verteilung D Mitte mit Rinde],0))</f>
        <v>#N/A</v>
      </c>
      <c r="G708" t="e">
        <f>VLOOKUP(Tabelle8[[#This Row],[Rank]],Stammdaten[[Rank Verteilung D Mitte mit Rinde]:[Verteilung D Mitte mit Rinde]],2,FALSE)</f>
        <v>#N/A</v>
      </c>
      <c r="L708">
        <v>699</v>
      </c>
      <c r="M708" t="e">
        <f>INDEX(Stammdaten[Abholzigkeit (mm/lfm)],MATCH(Tabelle9[[#This Row],[Rank]],Stammdaten[Rank Verteilung Abholzigkeit],0))</f>
        <v>#N/A</v>
      </c>
      <c r="N708" t="e">
        <f>VLOOKUP(Tabelle9[[#This Row],[Rank]],Stammdaten[[Rank Verteilung Abholzigkeit]:[Verteilung Abholzigkeit]],2,FALSE)</f>
        <v>#N/A</v>
      </c>
      <c r="S708">
        <v>699</v>
      </c>
      <c r="T708" t="e">
        <f>INDEX(Stammdaten[Krümmung (mm/lfm)],MATCH(Tabelle10[[#This Row],[Rank]],Stammdaten[Rank Verteilung Krümmung],0))</f>
        <v>#N/A</v>
      </c>
      <c r="U708" t="e">
        <f>VLOOKUP(Tabelle10[[#This Row],[Rank]],Stammdaten[[Rank Verteilung Krümmung]:[Verteilung Krümmung]],2,FALSE)</f>
        <v>#N/A</v>
      </c>
      <c r="Z708">
        <v>699</v>
      </c>
      <c r="AA708" t="e">
        <f>INDEX(Stammdaten[Ovalität (']0,1'])],MATCH(Tabelle1014[[#This Row],[Rank]],Stammdaten[Rank Verteilung Ovalität],0))</f>
        <v>#N/A</v>
      </c>
      <c r="AB708" t="e">
        <f>VLOOKUP(Tabelle1014[[#This Row],[Rank]],Stammdaten[[Rank Verteilung Ovalität]:[Verteilung Ovalität]],2,FALSE)</f>
        <v>#N/A</v>
      </c>
    </row>
    <row r="709" spans="5:28" x14ac:dyDescent="0.35">
      <c r="E709">
        <v>700</v>
      </c>
      <c r="F709" t="e">
        <f>INDEX(Stammdaten[D Mitte mit Rinde (mm)],MATCH(Tabelle8[[#This Row],[Rank]],Stammdaten[Rank Verteilung D Mitte mit Rinde],0))</f>
        <v>#N/A</v>
      </c>
      <c r="G709" t="e">
        <f>VLOOKUP(Tabelle8[[#This Row],[Rank]],Stammdaten[[Rank Verteilung D Mitte mit Rinde]:[Verteilung D Mitte mit Rinde]],2,FALSE)</f>
        <v>#N/A</v>
      </c>
      <c r="L709">
        <v>700</v>
      </c>
      <c r="M709" t="e">
        <f>INDEX(Stammdaten[Abholzigkeit (mm/lfm)],MATCH(Tabelle9[[#This Row],[Rank]],Stammdaten[Rank Verteilung Abholzigkeit],0))</f>
        <v>#N/A</v>
      </c>
      <c r="N709" t="e">
        <f>VLOOKUP(Tabelle9[[#This Row],[Rank]],Stammdaten[[Rank Verteilung Abholzigkeit]:[Verteilung Abholzigkeit]],2,FALSE)</f>
        <v>#N/A</v>
      </c>
      <c r="S709">
        <v>700</v>
      </c>
      <c r="T709" t="e">
        <f>INDEX(Stammdaten[Krümmung (mm/lfm)],MATCH(Tabelle10[[#This Row],[Rank]],Stammdaten[Rank Verteilung Krümmung],0))</f>
        <v>#N/A</v>
      </c>
      <c r="U709" t="e">
        <f>VLOOKUP(Tabelle10[[#This Row],[Rank]],Stammdaten[[Rank Verteilung Krümmung]:[Verteilung Krümmung]],2,FALSE)</f>
        <v>#N/A</v>
      </c>
      <c r="Z709">
        <v>700</v>
      </c>
      <c r="AA709" t="e">
        <f>INDEX(Stammdaten[Ovalität (']0,1'])],MATCH(Tabelle1014[[#This Row],[Rank]],Stammdaten[Rank Verteilung Ovalität],0))</f>
        <v>#N/A</v>
      </c>
      <c r="AB709" t="e">
        <f>VLOOKUP(Tabelle1014[[#This Row],[Rank]],Stammdaten[[Rank Verteilung Ovalität]:[Verteilung Ovalität]],2,FALSE)</f>
        <v>#N/A</v>
      </c>
    </row>
    <row r="710" spans="5:28" x14ac:dyDescent="0.35">
      <c r="E710">
        <v>701</v>
      </c>
      <c r="F710" t="e">
        <f>INDEX(Stammdaten[D Mitte mit Rinde (mm)],MATCH(Tabelle8[[#This Row],[Rank]],Stammdaten[Rank Verteilung D Mitte mit Rinde],0))</f>
        <v>#N/A</v>
      </c>
      <c r="G710" t="e">
        <f>VLOOKUP(Tabelle8[[#This Row],[Rank]],Stammdaten[[Rank Verteilung D Mitte mit Rinde]:[Verteilung D Mitte mit Rinde]],2,FALSE)</f>
        <v>#N/A</v>
      </c>
      <c r="L710">
        <v>701</v>
      </c>
      <c r="M710" t="e">
        <f>INDEX(Stammdaten[Abholzigkeit (mm/lfm)],MATCH(Tabelle9[[#This Row],[Rank]],Stammdaten[Rank Verteilung Abholzigkeit],0))</f>
        <v>#N/A</v>
      </c>
      <c r="N710" t="e">
        <f>VLOOKUP(Tabelle9[[#This Row],[Rank]],Stammdaten[[Rank Verteilung Abholzigkeit]:[Verteilung Abholzigkeit]],2,FALSE)</f>
        <v>#N/A</v>
      </c>
      <c r="S710">
        <v>701</v>
      </c>
      <c r="T710" t="e">
        <f>INDEX(Stammdaten[Krümmung (mm/lfm)],MATCH(Tabelle10[[#This Row],[Rank]],Stammdaten[Rank Verteilung Krümmung],0))</f>
        <v>#N/A</v>
      </c>
      <c r="U710" t="e">
        <f>VLOOKUP(Tabelle10[[#This Row],[Rank]],Stammdaten[[Rank Verteilung Krümmung]:[Verteilung Krümmung]],2,FALSE)</f>
        <v>#N/A</v>
      </c>
      <c r="Z710">
        <v>701</v>
      </c>
      <c r="AA710" t="e">
        <f>INDEX(Stammdaten[Ovalität (']0,1'])],MATCH(Tabelle1014[[#This Row],[Rank]],Stammdaten[Rank Verteilung Ovalität],0))</f>
        <v>#N/A</v>
      </c>
      <c r="AB710" t="e">
        <f>VLOOKUP(Tabelle1014[[#This Row],[Rank]],Stammdaten[[Rank Verteilung Ovalität]:[Verteilung Ovalität]],2,FALSE)</f>
        <v>#N/A</v>
      </c>
    </row>
    <row r="711" spans="5:28" x14ac:dyDescent="0.35">
      <c r="E711">
        <v>702</v>
      </c>
      <c r="F711" t="e">
        <f>INDEX(Stammdaten[D Mitte mit Rinde (mm)],MATCH(Tabelle8[[#This Row],[Rank]],Stammdaten[Rank Verteilung D Mitte mit Rinde],0))</f>
        <v>#N/A</v>
      </c>
      <c r="G711" t="e">
        <f>VLOOKUP(Tabelle8[[#This Row],[Rank]],Stammdaten[[Rank Verteilung D Mitte mit Rinde]:[Verteilung D Mitte mit Rinde]],2,FALSE)</f>
        <v>#N/A</v>
      </c>
      <c r="L711">
        <v>702</v>
      </c>
      <c r="M711" t="e">
        <f>INDEX(Stammdaten[Abholzigkeit (mm/lfm)],MATCH(Tabelle9[[#This Row],[Rank]],Stammdaten[Rank Verteilung Abholzigkeit],0))</f>
        <v>#N/A</v>
      </c>
      <c r="N711" t="e">
        <f>VLOOKUP(Tabelle9[[#This Row],[Rank]],Stammdaten[[Rank Verteilung Abholzigkeit]:[Verteilung Abholzigkeit]],2,FALSE)</f>
        <v>#N/A</v>
      </c>
      <c r="S711">
        <v>702</v>
      </c>
      <c r="T711" t="e">
        <f>INDEX(Stammdaten[Krümmung (mm/lfm)],MATCH(Tabelle10[[#This Row],[Rank]],Stammdaten[Rank Verteilung Krümmung],0))</f>
        <v>#N/A</v>
      </c>
      <c r="U711" t="e">
        <f>VLOOKUP(Tabelle10[[#This Row],[Rank]],Stammdaten[[Rank Verteilung Krümmung]:[Verteilung Krümmung]],2,FALSE)</f>
        <v>#N/A</v>
      </c>
      <c r="Z711">
        <v>702</v>
      </c>
      <c r="AA711" t="e">
        <f>INDEX(Stammdaten[Ovalität (']0,1'])],MATCH(Tabelle1014[[#This Row],[Rank]],Stammdaten[Rank Verteilung Ovalität],0))</f>
        <v>#N/A</v>
      </c>
      <c r="AB711" t="e">
        <f>VLOOKUP(Tabelle1014[[#This Row],[Rank]],Stammdaten[[Rank Verteilung Ovalität]:[Verteilung Ovalität]],2,FALSE)</f>
        <v>#N/A</v>
      </c>
    </row>
    <row r="712" spans="5:28" x14ac:dyDescent="0.35">
      <c r="E712">
        <v>703</v>
      </c>
      <c r="F712" t="e">
        <f>INDEX(Stammdaten[D Mitte mit Rinde (mm)],MATCH(Tabelle8[[#This Row],[Rank]],Stammdaten[Rank Verteilung D Mitte mit Rinde],0))</f>
        <v>#N/A</v>
      </c>
      <c r="G712" t="e">
        <f>VLOOKUP(Tabelle8[[#This Row],[Rank]],Stammdaten[[Rank Verteilung D Mitte mit Rinde]:[Verteilung D Mitte mit Rinde]],2,FALSE)</f>
        <v>#N/A</v>
      </c>
      <c r="L712">
        <v>703</v>
      </c>
      <c r="M712" t="e">
        <f>INDEX(Stammdaten[Abholzigkeit (mm/lfm)],MATCH(Tabelle9[[#This Row],[Rank]],Stammdaten[Rank Verteilung Abholzigkeit],0))</f>
        <v>#N/A</v>
      </c>
      <c r="N712" t="e">
        <f>VLOOKUP(Tabelle9[[#This Row],[Rank]],Stammdaten[[Rank Verteilung Abholzigkeit]:[Verteilung Abholzigkeit]],2,FALSE)</f>
        <v>#N/A</v>
      </c>
      <c r="S712">
        <v>703</v>
      </c>
      <c r="T712" t="e">
        <f>INDEX(Stammdaten[Krümmung (mm/lfm)],MATCH(Tabelle10[[#This Row],[Rank]],Stammdaten[Rank Verteilung Krümmung],0))</f>
        <v>#N/A</v>
      </c>
      <c r="U712" t="e">
        <f>VLOOKUP(Tabelle10[[#This Row],[Rank]],Stammdaten[[Rank Verteilung Krümmung]:[Verteilung Krümmung]],2,FALSE)</f>
        <v>#N/A</v>
      </c>
      <c r="Z712">
        <v>703</v>
      </c>
      <c r="AA712" t="e">
        <f>INDEX(Stammdaten[Ovalität (']0,1'])],MATCH(Tabelle1014[[#This Row],[Rank]],Stammdaten[Rank Verteilung Ovalität],0))</f>
        <v>#N/A</v>
      </c>
      <c r="AB712" t="e">
        <f>VLOOKUP(Tabelle1014[[#This Row],[Rank]],Stammdaten[[Rank Verteilung Ovalität]:[Verteilung Ovalität]],2,FALSE)</f>
        <v>#N/A</v>
      </c>
    </row>
    <row r="713" spans="5:28" x14ac:dyDescent="0.35">
      <c r="E713">
        <v>704</v>
      </c>
      <c r="F713" t="e">
        <f>INDEX(Stammdaten[D Mitte mit Rinde (mm)],MATCH(Tabelle8[[#This Row],[Rank]],Stammdaten[Rank Verteilung D Mitte mit Rinde],0))</f>
        <v>#N/A</v>
      </c>
      <c r="G713" t="e">
        <f>VLOOKUP(Tabelle8[[#This Row],[Rank]],Stammdaten[[Rank Verteilung D Mitte mit Rinde]:[Verteilung D Mitte mit Rinde]],2,FALSE)</f>
        <v>#N/A</v>
      </c>
      <c r="L713">
        <v>704</v>
      </c>
      <c r="M713" t="e">
        <f>INDEX(Stammdaten[Abholzigkeit (mm/lfm)],MATCH(Tabelle9[[#This Row],[Rank]],Stammdaten[Rank Verteilung Abholzigkeit],0))</f>
        <v>#N/A</v>
      </c>
      <c r="N713" t="e">
        <f>VLOOKUP(Tabelle9[[#This Row],[Rank]],Stammdaten[[Rank Verteilung Abholzigkeit]:[Verteilung Abholzigkeit]],2,FALSE)</f>
        <v>#N/A</v>
      </c>
      <c r="S713">
        <v>704</v>
      </c>
      <c r="T713" t="e">
        <f>INDEX(Stammdaten[Krümmung (mm/lfm)],MATCH(Tabelle10[[#This Row],[Rank]],Stammdaten[Rank Verteilung Krümmung],0))</f>
        <v>#N/A</v>
      </c>
      <c r="U713" t="e">
        <f>VLOOKUP(Tabelle10[[#This Row],[Rank]],Stammdaten[[Rank Verteilung Krümmung]:[Verteilung Krümmung]],2,FALSE)</f>
        <v>#N/A</v>
      </c>
      <c r="Z713">
        <v>704</v>
      </c>
      <c r="AA713" t="e">
        <f>INDEX(Stammdaten[Ovalität (']0,1'])],MATCH(Tabelle1014[[#This Row],[Rank]],Stammdaten[Rank Verteilung Ovalität],0))</f>
        <v>#N/A</v>
      </c>
      <c r="AB713" t="e">
        <f>VLOOKUP(Tabelle1014[[#This Row],[Rank]],Stammdaten[[Rank Verteilung Ovalität]:[Verteilung Ovalität]],2,FALSE)</f>
        <v>#N/A</v>
      </c>
    </row>
    <row r="714" spans="5:28" x14ac:dyDescent="0.35">
      <c r="E714">
        <v>705</v>
      </c>
      <c r="F714" t="e">
        <f>INDEX(Stammdaten[D Mitte mit Rinde (mm)],MATCH(Tabelle8[[#This Row],[Rank]],Stammdaten[Rank Verteilung D Mitte mit Rinde],0))</f>
        <v>#N/A</v>
      </c>
      <c r="G714" t="e">
        <f>VLOOKUP(Tabelle8[[#This Row],[Rank]],Stammdaten[[Rank Verteilung D Mitte mit Rinde]:[Verteilung D Mitte mit Rinde]],2,FALSE)</f>
        <v>#N/A</v>
      </c>
      <c r="L714">
        <v>705</v>
      </c>
      <c r="M714" t="e">
        <f>INDEX(Stammdaten[Abholzigkeit (mm/lfm)],MATCH(Tabelle9[[#This Row],[Rank]],Stammdaten[Rank Verteilung Abholzigkeit],0))</f>
        <v>#N/A</v>
      </c>
      <c r="N714" t="e">
        <f>VLOOKUP(Tabelle9[[#This Row],[Rank]],Stammdaten[[Rank Verteilung Abholzigkeit]:[Verteilung Abholzigkeit]],2,FALSE)</f>
        <v>#N/A</v>
      </c>
      <c r="S714">
        <v>705</v>
      </c>
      <c r="T714" t="e">
        <f>INDEX(Stammdaten[Krümmung (mm/lfm)],MATCH(Tabelle10[[#This Row],[Rank]],Stammdaten[Rank Verteilung Krümmung],0))</f>
        <v>#N/A</v>
      </c>
      <c r="U714" t="e">
        <f>VLOOKUP(Tabelle10[[#This Row],[Rank]],Stammdaten[[Rank Verteilung Krümmung]:[Verteilung Krümmung]],2,FALSE)</f>
        <v>#N/A</v>
      </c>
      <c r="Z714">
        <v>705</v>
      </c>
      <c r="AA714" t="e">
        <f>INDEX(Stammdaten[Ovalität (']0,1'])],MATCH(Tabelle1014[[#This Row],[Rank]],Stammdaten[Rank Verteilung Ovalität],0))</f>
        <v>#N/A</v>
      </c>
      <c r="AB714" t="e">
        <f>VLOOKUP(Tabelle1014[[#This Row],[Rank]],Stammdaten[[Rank Verteilung Ovalität]:[Verteilung Ovalität]],2,FALSE)</f>
        <v>#N/A</v>
      </c>
    </row>
    <row r="715" spans="5:28" x14ac:dyDescent="0.35">
      <c r="E715">
        <v>706</v>
      </c>
      <c r="F715" t="e">
        <f>INDEX(Stammdaten[D Mitte mit Rinde (mm)],MATCH(Tabelle8[[#This Row],[Rank]],Stammdaten[Rank Verteilung D Mitte mit Rinde],0))</f>
        <v>#N/A</v>
      </c>
      <c r="G715" t="e">
        <f>VLOOKUP(Tabelle8[[#This Row],[Rank]],Stammdaten[[Rank Verteilung D Mitte mit Rinde]:[Verteilung D Mitte mit Rinde]],2,FALSE)</f>
        <v>#N/A</v>
      </c>
      <c r="L715">
        <v>706</v>
      </c>
      <c r="M715" t="e">
        <f>INDEX(Stammdaten[Abholzigkeit (mm/lfm)],MATCH(Tabelle9[[#This Row],[Rank]],Stammdaten[Rank Verteilung Abholzigkeit],0))</f>
        <v>#N/A</v>
      </c>
      <c r="N715" t="e">
        <f>VLOOKUP(Tabelle9[[#This Row],[Rank]],Stammdaten[[Rank Verteilung Abholzigkeit]:[Verteilung Abholzigkeit]],2,FALSE)</f>
        <v>#N/A</v>
      </c>
      <c r="S715">
        <v>706</v>
      </c>
      <c r="T715" t="e">
        <f>INDEX(Stammdaten[Krümmung (mm/lfm)],MATCH(Tabelle10[[#This Row],[Rank]],Stammdaten[Rank Verteilung Krümmung],0))</f>
        <v>#N/A</v>
      </c>
      <c r="U715" t="e">
        <f>VLOOKUP(Tabelle10[[#This Row],[Rank]],Stammdaten[[Rank Verteilung Krümmung]:[Verteilung Krümmung]],2,FALSE)</f>
        <v>#N/A</v>
      </c>
      <c r="Z715">
        <v>706</v>
      </c>
      <c r="AA715" t="e">
        <f>INDEX(Stammdaten[Ovalität (']0,1'])],MATCH(Tabelle1014[[#This Row],[Rank]],Stammdaten[Rank Verteilung Ovalität],0))</f>
        <v>#N/A</v>
      </c>
      <c r="AB715" t="e">
        <f>VLOOKUP(Tabelle1014[[#This Row],[Rank]],Stammdaten[[Rank Verteilung Ovalität]:[Verteilung Ovalität]],2,FALSE)</f>
        <v>#N/A</v>
      </c>
    </row>
    <row r="716" spans="5:28" x14ac:dyDescent="0.35">
      <c r="E716">
        <v>707</v>
      </c>
      <c r="F716" t="e">
        <f>INDEX(Stammdaten[D Mitte mit Rinde (mm)],MATCH(Tabelle8[[#This Row],[Rank]],Stammdaten[Rank Verteilung D Mitte mit Rinde],0))</f>
        <v>#N/A</v>
      </c>
      <c r="G716" t="e">
        <f>VLOOKUP(Tabelle8[[#This Row],[Rank]],Stammdaten[[Rank Verteilung D Mitte mit Rinde]:[Verteilung D Mitte mit Rinde]],2,FALSE)</f>
        <v>#N/A</v>
      </c>
      <c r="L716">
        <v>707</v>
      </c>
      <c r="M716" t="e">
        <f>INDEX(Stammdaten[Abholzigkeit (mm/lfm)],MATCH(Tabelle9[[#This Row],[Rank]],Stammdaten[Rank Verteilung Abholzigkeit],0))</f>
        <v>#N/A</v>
      </c>
      <c r="N716" t="e">
        <f>VLOOKUP(Tabelle9[[#This Row],[Rank]],Stammdaten[[Rank Verteilung Abholzigkeit]:[Verteilung Abholzigkeit]],2,FALSE)</f>
        <v>#N/A</v>
      </c>
      <c r="S716">
        <v>707</v>
      </c>
      <c r="T716" t="e">
        <f>INDEX(Stammdaten[Krümmung (mm/lfm)],MATCH(Tabelle10[[#This Row],[Rank]],Stammdaten[Rank Verteilung Krümmung],0))</f>
        <v>#N/A</v>
      </c>
      <c r="U716" t="e">
        <f>VLOOKUP(Tabelle10[[#This Row],[Rank]],Stammdaten[[Rank Verteilung Krümmung]:[Verteilung Krümmung]],2,FALSE)</f>
        <v>#N/A</v>
      </c>
      <c r="Z716">
        <v>707</v>
      </c>
      <c r="AA716" t="e">
        <f>INDEX(Stammdaten[Ovalität (']0,1'])],MATCH(Tabelle1014[[#This Row],[Rank]],Stammdaten[Rank Verteilung Ovalität],0))</f>
        <v>#N/A</v>
      </c>
      <c r="AB716" t="e">
        <f>VLOOKUP(Tabelle1014[[#This Row],[Rank]],Stammdaten[[Rank Verteilung Ovalität]:[Verteilung Ovalität]],2,FALSE)</f>
        <v>#N/A</v>
      </c>
    </row>
    <row r="717" spans="5:28" x14ac:dyDescent="0.35">
      <c r="E717">
        <v>708</v>
      </c>
      <c r="F717" t="e">
        <f>INDEX(Stammdaten[D Mitte mit Rinde (mm)],MATCH(Tabelle8[[#This Row],[Rank]],Stammdaten[Rank Verteilung D Mitte mit Rinde],0))</f>
        <v>#N/A</v>
      </c>
      <c r="G717" t="e">
        <f>VLOOKUP(Tabelle8[[#This Row],[Rank]],Stammdaten[[Rank Verteilung D Mitte mit Rinde]:[Verteilung D Mitte mit Rinde]],2,FALSE)</f>
        <v>#N/A</v>
      </c>
      <c r="L717">
        <v>708</v>
      </c>
      <c r="M717" t="e">
        <f>INDEX(Stammdaten[Abholzigkeit (mm/lfm)],MATCH(Tabelle9[[#This Row],[Rank]],Stammdaten[Rank Verteilung Abholzigkeit],0))</f>
        <v>#N/A</v>
      </c>
      <c r="N717" t="e">
        <f>VLOOKUP(Tabelle9[[#This Row],[Rank]],Stammdaten[[Rank Verteilung Abholzigkeit]:[Verteilung Abholzigkeit]],2,FALSE)</f>
        <v>#N/A</v>
      </c>
      <c r="S717">
        <v>708</v>
      </c>
      <c r="T717" t="e">
        <f>INDEX(Stammdaten[Krümmung (mm/lfm)],MATCH(Tabelle10[[#This Row],[Rank]],Stammdaten[Rank Verteilung Krümmung],0))</f>
        <v>#N/A</v>
      </c>
      <c r="U717" t="e">
        <f>VLOOKUP(Tabelle10[[#This Row],[Rank]],Stammdaten[[Rank Verteilung Krümmung]:[Verteilung Krümmung]],2,FALSE)</f>
        <v>#N/A</v>
      </c>
      <c r="Z717">
        <v>708</v>
      </c>
      <c r="AA717" t="e">
        <f>INDEX(Stammdaten[Ovalität (']0,1'])],MATCH(Tabelle1014[[#This Row],[Rank]],Stammdaten[Rank Verteilung Ovalität],0))</f>
        <v>#N/A</v>
      </c>
      <c r="AB717" t="e">
        <f>VLOOKUP(Tabelle1014[[#This Row],[Rank]],Stammdaten[[Rank Verteilung Ovalität]:[Verteilung Ovalität]],2,FALSE)</f>
        <v>#N/A</v>
      </c>
    </row>
    <row r="718" spans="5:28" x14ac:dyDescent="0.35">
      <c r="E718">
        <v>709</v>
      </c>
      <c r="F718" t="e">
        <f>INDEX(Stammdaten[D Mitte mit Rinde (mm)],MATCH(Tabelle8[[#This Row],[Rank]],Stammdaten[Rank Verteilung D Mitte mit Rinde],0))</f>
        <v>#N/A</v>
      </c>
      <c r="G718" t="e">
        <f>VLOOKUP(Tabelle8[[#This Row],[Rank]],Stammdaten[[Rank Verteilung D Mitte mit Rinde]:[Verteilung D Mitte mit Rinde]],2,FALSE)</f>
        <v>#N/A</v>
      </c>
      <c r="L718">
        <v>709</v>
      </c>
      <c r="M718" t="e">
        <f>INDEX(Stammdaten[Abholzigkeit (mm/lfm)],MATCH(Tabelle9[[#This Row],[Rank]],Stammdaten[Rank Verteilung Abholzigkeit],0))</f>
        <v>#N/A</v>
      </c>
      <c r="N718" t="e">
        <f>VLOOKUP(Tabelle9[[#This Row],[Rank]],Stammdaten[[Rank Verteilung Abholzigkeit]:[Verteilung Abholzigkeit]],2,FALSE)</f>
        <v>#N/A</v>
      </c>
      <c r="S718">
        <v>709</v>
      </c>
      <c r="T718" t="e">
        <f>INDEX(Stammdaten[Krümmung (mm/lfm)],MATCH(Tabelle10[[#This Row],[Rank]],Stammdaten[Rank Verteilung Krümmung],0))</f>
        <v>#N/A</v>
      </c>
      <c r="U718" t="e">
        <f>VLOOKUP(Tabelle10[[#This Row],[Rank]],Stammdaten[[Rank Verteilung Krümmung]:[Verteilung Krümmung]],2,FALSE)</f>
        <v>#N/A</v>
      </c>
      <c r="Z718">
        <v>709</v>
      </c>
      <c r="AA718" t="e">
        <f>INDEX(Stammdaten[Ovalität (']0,1'])],MATCH(Tabelle1014[[#This Row],[Rank]],Stammdaten[Rank Verteilung Ovalität],0))</f>
        <v>#N/A</v>
      </c>
      <c r="AB718" t="e">
        <f>VLOOKUP(Tabelle1014[[#This Row],[Rank]],Stammdaten[[Rank Verteilung Ovalität]:[Verteilung Ovalität]],2,FALSE)</f>
        <v>#N/A</v>
      </c>
    </row>
    <row r="719" spans="5:28" x14ac:dyDescent="0.35">
      <c r="E719">
        <v>710</v>
      </c>
      <c r="F719" t="e">
        <f>INDEX(Stammdaten[D Mitte mit Rinde (mm)],MATCH(Tabelle8[[#This Row],[Rank]],Stammdaten[Rank Verteilung D Mitte mit Rinde],0))</f>
        <v>#N/A</v>
      </c>
      <c r="G719" t="e">
        <f>VLOOKUP(Tabelle8[[#This Row],[Rank]],Stammdaten[[Rank Verteilung D Mitte mit Rinde]:[Verteilung D Mitte mit Rinde]],2,FALSE)</f>
        <v>#N/A</v>
      </c>
      <c r="L719">
        <v>710</v>
      </c>
      <c r="M719" t="e">
        <f>INDEX(Stammdaten[Abholzigkeit (mm/lfm)],MATCH(Tabelle9[[#This Row],[Rank]],Stammdaten[Rank Verteilung Abholzigkeit],0))</f>
        <v>#N/A</v>
      </c>
      <c r="N719" t="e">
        <f>VLOOKUP(Tabelle9[[#This Row],[Rank]],Stammdaten[[Rank Verteilung Abholzigkeit]:[Verteilung Abholzigkeit]],2,FALSE)</f>
        <v>#N/A</v>
      </c>
      <c r="S719">
        <v>710</v>
      </c>
      <c r="T719" t="e">
        <f>INDEX(Stammdaten[Krümmung (mm/lfm)],MATCH(Tabelle10[[#This Row],[Rank]],Stammdaten[Rank Verteilung Krümmung],0))</f>
        <v>#N/A</v>
      </c>
      <c r="U719" t="e">
        <f>VLOOKUP(Tabelle10[[#This Row],[Rank]],Stammdaten[[Rank Verteilung Krümmung]:[Verteilung Krümmung]],2,FALSE)</f>
        <v>#N/A</v>
      </c>
      <c r="Z719">
        <v>710</v>
      </c>
      <c r="AA719" t="e">
        <f>INDEX(Stammdaten[Ovalität (']0,1'])],MATCH(Tabelle1014[[#This Row],[Rank]],Stammdaten[Rank Verteilung Ovalität],0))</f>
        <v>#N/A</v>
      </c>
      <c r="AB719" t="e">
        <f>VLOOKUP(Tabelle1014[[#This Row],[Rank]],Stammdaten[[Rank Verteilung Ovalität]:[Verteilung Ovalität]],2,FALSE)</f>
        <v>#N/A</v>
      </c>
    </row>
    <row r="720" spans="5:28" x14ac:dyDescent="0.35">
      <c r="E720">
        <v>711</v>
      </c>
      <c r="F720" t="e">
        <f>INDEX(Stammdaten[D Mitte mit Rinde (mm)],MATCH(Tabelle8[[#This Row],[Rank]],Stammdaten[Rank Verteilung D Mitte mit Rinde],0))</f>
        <v>#N/A</v>
      </c>
      <c r="G720" t="e">
        <f>VLOOKUP(Tabelle8[[#This Row],[Rank]],Stammdaten[[Rank Verteilung D Mitte mit Rinde]:[Verteilung D Mitte mit Rinde]],2,FALSE)</f>
        <v>#N/A</v>
      </c>
      <c r="L720">
        <v>711</v>
      </c>
      <c r="M720" t="e">
        <f>INDEX(Stammdaten[Abholzigkeit (mm/lfm)],MATCH(Tabelle9[[#This Row],[Rank]],Stammdaten[Rank Verteilung Abholzigkeit],0))</f>
        <v>#N/A</v>
      </c>
      <c r="N720" t="e">
        <f>VLOOKUP(Tabelle9[[#This Row],[Rank]],Stammdaten[[Rank Verteilung Abholzigkeit]:[Verteilung Abholzigkeit]],2,FALSE)</f>
        <v>#N/A</v>
      </c>
      <c r="S720">
        <v>711</v>
      </c>
      <c r="T720" t="e">
        <f>INDEX(Stammdaten[Krümmung (mm/lfm)],MATCH(Tabelle10[[#This Row],[Rank]],Stammdaten[Rank Verteilung Krümmung],0))</f>
        <v>#N/A</v>
      </c>
      <c r="U720" t="e">
        <f>VLOOKUP(Tabelle10[[#This Row],[Rank]],Stammdaten[[Rank Verteilung Krümmung]:[Verteilung Krümmung]],2,FALSE)</f>
        <v>#N/A</v>
      </c>
      <c r="Z720">
        <v>711</v>
      </c>
      <c r="AA720" t="e">
        <f>INDEX(Stammdaten[Ovalität (']0,1'])],MATCH(Tabelle1014[[#This Row],[Rank]],Stammdaten[Rank Verteilung Ovalität],0))</f>
        <v>#N/A</v>
      </c>
      <c r="AB720" t="e">
        <f>VLOOKUP(Tabelle1014[[#This Row],[Rank]],Stammdaten[[Rank Verteilung Ovalität]:[Verteilung Ovalität]],2,FALSE)</f>
        <v>#N/A</v>
      </c>
    </row>
    <row r="721" spans="5:28" x14ac:dyDescent="0.35">
      <c r="E721">
        <v>712</v>
      </c>
      <c r="F721" t="e">
        <f>INDEX(Stammdaten[D Mitte mit Rinde (mm)],MATCH(Tabelle8[[#This Row],[Rank]],Stammdaten[Rank Verteilung D Mitte mit Rinde],0))</f>
        <v>#N/A</v>
      </c>
      <c r="G721" t="e">
        <f>VLOOKUP(Tabelle8[[#This Row],[Rank]],Stammdaten[[Rank Verteilung D Mitte mit Rinde]:[Verteilung D Mitte mit Rinde]],2,FALSE)</f>
        <v>#N/A</v>
      </c>
      <c r="L721">
        <v>712</v>
      </c>
      <c r="M721" t="e">
        <f>INDEX(Stammdaten[Abholzigkeit (mm/lfm)],MATCH(Tabelle9[[#This Row],[Rank]],Stammdaten[Rank Verteilung Abholzigkeit],0))</f>
        <v>#N/A</v>
      </c>
      <c r="N721" t="e">
        <f>VLOOKUP(Tabelle9[[#This Row],[Rank]],Stammdaten[[Rank Verteilung Abholzigkeit]:[Verteilung Abholzigkeit]],2,FALSE)</f>
        <v>#N/A</v>
      </c>
      <c r="S721">
        <v>712</v>
      </c>
      <c r="T721" t="e">
        <f>INDEX(Stammdaten[Krümmung (mm/lfm)],MATCH(Tabelle10[[#This Row],[Rank]],Stammdaten[Rank Verteilung Krümmung],0))</f>
        <v>#N/A</v>
      </c>
      <c r="U721" t="e">
        <f>VLOOKUP(Tabelle10[[#This Row],[Rank]],Stammdaten[[Rank Verteilung Krümmung]:[Verteilung Krümmung]],2,FALSE)</f>
        <v>#N/A</v>
      </c>
      <c r="Z721">
        <v>712</v>
      </c>
      <c r="AA721" t="e">
        <f>INDEX(Stammdaten[Ovalität (']0,1'])],MATCH(Tabelle1014[[#This Row],[Rank]],Stammdaten[Rank Verteilung Ovalität],0))</f>
        <v>#N/A</v>
      </c>
      <c r="AB721" t="e">
        <f>VLOOKUP(Tabelle1014[[#This Row],[Rank]],Stammdaten[[Rank Verteilung Ovalität]:[Verteilung Ovalität]],2,FALSE)</f>
        <v>#N/A</v>
      </c>
    </row>
    <row r="722" spans="5:28" x14ac:dyDescent="0.35">
      <c r="E722">
        <v>713</v>
      </c>
      <c r="F722" t="e">
        <f>INDEX(Stammdaten[D Mitte mit Rinde (mm)],MATCH(Tabelle8[[#This Row],[Rank]],Stammdaten[Rank Verteilung D Mitte mit Rinde],0))</f>
        <v>#N/A</v>
      </c>
      <c r="G722" t="e">
        <f>VLOOKUP(Tabelle8[[#This Row],[Rank]],Stammdaten[[Rank Verteilung D Mitte mit Rinde]:[Verteilung D Mitte mit Rinde]],2,FALSE)</f>
        <v>#N/A</v>
      </c>
      <c r="L722">
        <v>713</v>
      </c>
      <c r="M722" t="e">
        <f>INDEX(Stammdaten[Abholzigkeit (mm/lfm)],MATCH(Tabelle9[[#This Row],[Rank]],Stammdaten[Rank Verteilung Abholzigkeit],0))</f>
        <v>#N/A</v>
      </c>
      <c r="N722" t="e">
        <f>VLOOKUP(Tabelle9[[#This Row],[Rank]],Stammdaten[[Rank Verteilung Abholzigkeit]:[Verteilung Abholzigkeit]],2,FALSE)</f>
        <v>#N/A</v>
      </c>
      <c r="S722">
        <v>713</v>
      </c>
      <c r="T722" t="e">
        <f>INDEX(Stammdaten[Krümmung (mm/lfm)],MATCH(Tabelle10[[#This Row],[Rank]],Stammdaten[Rank Verteilung Krümmung],0))</f>
        <v>#N/A</v>
      </c>
      <c r="U722" t="e">
        <f>VLOOKUP(Tabelle10[[#This Row],[Rank]],Stammdaten[[Rank Verteilung Krümmung]:[Verteilung Krümmung]],2,FALSE)</f>
        <v>#N/A</v>
      </c>
      <c r="Z722">
        <v>713</v>
      </c>
      <c r="AA722" t="e">
        <f>INDEX(Stammdaten[Ovalität (']0,1'])],MATCH(Tabelle1014[[#This Row],[Rank]],Stammdaten[Rank Verteilung Ovalität],0))</f>
        <v>#N/A</v>
      </c>
      <c r="AB722" t="e">
        <f>VLOOKUP(Tabelle1014[[#This Row],[Rank]],Stammdaten[[Rank Verteilung Ovalität]:[Verteilung Ovalität]],2,FALSE)</f>
        <v>#N/A</v>
      </c>
    </row>
    <row r="723" spans="5:28" x14ac:dyDescent="0.35">
      <c r="E723">
        <v>714</v>
      </c>
      <c r="F723" t="e">
        <f>INDEX(Stammdaten[D Mitte mit Rinde (mm)],MATCH(Tabelle8[[#This Row],[Rank]],Stammdaten[Rank Verteilung D Mitte mit Rinde],0))</f>
        <v>#N/A</v>
      </c>
      <c r="G723" t="e">
        <f>VLOOKUP(Tabelle8[[#This Row],[Rank]],Stammdaten[[Rank Verteilung D Mitte mit Rinde]:[Verteilung D Mitte mit Rinde]],2,FALSE)</f>
        <v>#N/A</v>
      </c>
      <c r="L723">
        <v>714</v>
      </c>
      <c r="M723" t="e">
        <f>INDEX(Stammdaten[Abholzigkeit (mm/lfm)],MATCH(Tabelle9[[#This Row],[Rank]],Stammdaten[Rank Verteilung Abholzigkeit],0))</f>
        <v>#N/A</v>
      </c>
      <c r="N723" t="e">
        <f>VLOOKUP(Tabelle9[[#This Row],[Rank]],Stammdaten[[Rank Verteilung Abholzigkeit]:[Verteilung Abholzigkeit]],2,FALSE)</f>
        <v>#N/A</v>
      </c>
      <c r="S723">
        <v>714</v>
      </c>
      <c r="T723" t="e">
        <f>INDEX(Stammdaten[Krümmung (mm/lfm)],MATCH(Tabelle10[[#This Row],[Rank]],Stammdaten[Rank Verteilung Krümmung],0))</f>
        <v>#N/A</v>
      </c>
      <c r="U723" t="e">
        <f>VLOOKUP(Tabelle10[[#This Row],[Rank]],Stammdaten[[Rank Verteilung Krümmung]:[Verteilung Krümmung]],2,FALSE)</f>
        <v>#N/A</v>
      </c>
      <c r="Z723">
        <v>714</v>
      </c>
      <c r="AA723" t="e">
        <f>INDEX(Stammdaten[Ovalität (']0,1'])],MATCH(Tabelle1014[[#This Row],[Rank]],Stammdaten[Rank Verteilung Ovalität],0))</f>
        <v>#N/A</v>
      </c>
      <c r="AB723" t="e">
        <f>VLOOKUP(Tabelle1014[[#This Row],[Rank]],Stammdaten[[Rank Verteilung Ovalität]:[Verteilung Ovalität]],2,FALSE)</f>
        <v>#N/A</v>
      </c>
    </row>
    <row r="724" spans="5:28" x14ac:dyDescent="0.35">
      <c r="E724">
        <v>715</v>
      </c>
      <c r="F724" t="e">
        <f>INDEX(Stammdaten[D Mitte mit Rinde (mm)],MATCH(Tabelle8[[#This Row],[Rank]],Stammdaten[Rank Verteilung D Mitte mit Rinde],0))</f>
        <v>#N/A</v>
      </c>
      <c r="G724" t="e">
        <f>VLOOKUP(Tabelle8[[#This Row],[Rank]],Stammdaten[[Rank Verteilung D Mitte mit Rinde]:[Verteilung D Mitte mit Rinde]],2,FALSE)</f>
        <v>#N/A</v>
      </c>
      <c r="L724">
        <v>715</v>
      </c>
      <c r="M724" t="e">
        <f>INDEX(Stammdaten[Abholzigkeit (mm/lfm)],MATCH(Tabelle9[[#This Row],[Rank]],Stammdaten[Rank Verteilung Abholzigkeit],0))</f>
        <v>#N/A</v>
      </c>
      <c r="N724" t="e">
        <f>VLOOKUP(Tabelle9[[#This Row],[Rank]],Stammdaten[[Rank Verteilung Abholzigkeit]:[Verteilung Abholzigkeit]],2,FALSE)</f>
        <v>#N/A</v>
      </c>
      <c r="S724">
        <v>715</v>
      </c>
      <c r="T724" t="e">
        <f>INDEX(Stammdaten[Krümmung (mm/lfm)],MATCH(Tabelle10[[#This Row],[Rank]],Stammdaten[Rank Verteilung Krümmung],0))</f>
        <v>#N/A</v>
      </c>
      <c r="U724" t="e">
        <f>VLOOKUP(Tabelle10[[#This Row],[Rank]],Stammdaten[[Rank Verteilung Krümmung]:[Verteilung Krümmung]],2,FALSE)</f>
        <v>#N/A</v>
      </c>
      <c r="Z724">
        <v>715</v>
      </c>
      <c r="AA724" t="e">
        <f>INDEX(Stammdaten[Ovalität (']0,1'])],MATCH(Tabelle1014[[#This Row],[Rank]],Stammdaten[Rank Verteilung Ovalität],0))</f>
        <v>#N/A</v>
      </c>
      <c r="AB724" t="e">
        <f>VLOOKUP(Tabelle1014[[#This Row],[Rank]],Stammdaten[[Rank Verteilung Ovalität]:[Verteilung Ovalität]],2,FALSE)</f>
        <v>#N/A</v>
      </c>
    </row>
    <row r="725" spans="5:28" x14ac:dyDescent="0.35">
      <c r="E725">
        <v>716</v>
      </c>
      <c r="F725" t="e">
        <f>INDEX(Stammdaten[D Mitte mit Rinde (mm)],MATCH(Tabelle8[[#This Row],[Rank]],Stammdaten[Rank Verteilung D Mitte mit Rinde],0))</f>
        <v>#N/A</v>
      </c>
      <c r="G725" t="e">
        <f>VLOOKUP(Tabelle8[[#This Row],[Rank]],Stammdaten[[Rank Verteilung D Mitte mit Rinde]:[Verteilung D Mitte mit Rinde]],2,FALSE)</f>
        <v>#N/A</v>
      </c>
      <c r="L725">
        <v>716</v>
      </c>
      <c r="M725" t="e">
        <f>INDEX(Stammdaten[Abholzigkeit (mm/lfm)],MATCH(Tabelle9[[#This Row],[Rank]],Stammdaten[Rank Verteilung Abholzigkeit],0))</f>
        <v>#N/A</v>
      </c>
      <c r="N725" t="e">
        <f>VLOOKUP(Tabelle9[[#This Row],[Rank]],Stammdaten[[Rank Verteilung Abholzigkeit]:[Verteilung Abholzigkeit]],2,FALSE)</f>
        <v>#N/A</v>
      </c>
      <c r="S725">
        <v>716</v>
      </c>
      <c r="T725" t="e">
        <f>INDEX(Stammdaten[Krümmung (mm/lfm)],MATCH(Tabelle10[[#This Row],[Rank]],Stammdaten[Rank Verteilung Krümmung],0))</f>
        <v>#N/A</v>
      </c>
      <c r="U725" t="e">
        <f>VLOOKUP(Tabelle10[[#This Row],[Rank]],Stammdaten[[Rank Verteilung Krümmung]:[Verteilung Krümmung]],2,FALSE)</f>
        <v>#N/A</v>
      </c>
      <c r="Z725">
        <v>716</v>
      </c>
      <c r="AA725" t="e">
        <f>INDEX(Stammdaten[Ovalität (']0,1'])],MATCH(Tabelle1014[[#This Row],[Rank]],Stammdaten[Rank Verteilung Ovalität],0))</f>
        <v>#N/A</v>
      </c>
      <c r="AB725" t="e">
        <f>VLOOKUP(Tabelle1014[[#This Row],[Rank]],Stammdaten[[Rank Verteilung Ovalität]:[Verteilung Ovalität]],2,FALSE)</f>
        <v>#N/A</v>
      </c>
    </row>
    <row r="726" spans="5:28" x14ac:dyDescent="0.35">
      <c r="E726">
        <v>717</v>
      </c>
      <c r="F726" t="e">
        <f>INDEX(Stammdaten[D Mitte mit Rinde (mm)],MATCH(Tabelle8[[#This Row],[Rank]],Stammdaten[Rank Verteilung D Mitte mit Rinde],0))</f>
        <v>#N/A</v>
      </c>
      <c r="G726" t="e">
        <f>VLOOKUP(Tabelle8[[#This Row],[Rank]],Stammdaten[[Rank Verteilung D Mitte mit Rinde]:[Verteilung D Mitte mit Rinde]],2,FALSE)</f>
        <v>#N/A</v>
      </c>
      <c r="L726">
        <v>717</v>
      </c>
      <c r="M726" t="e">
        <f>INDEX(Stammdaten[Abholzigkeit (mm/lfm)],MATCH(Tabelle9[[#This Row],[Rank]],Stammdaten[Rank Verteilung Abholzigkeit],0))</f>
        <v>#N/A</v>
      </c>
      <c r="N726" t="e">
        <f>VLOOKUP(Tabelle9[[#This Row],[Rank]],Stammdaten[[Rank Verteilung Abholzigkeit]:[Verteilung Abholzigkeit]],2,FALSE)</f>
        <v>#N/A</v>
      </c>
      <c r="S726">
        <v>717</v>
      </c>
      <c r="T726" t="e">
        <f>INDEX(Stammdaten[Krümmung (mm/lfm)],MATCH(Tabelle10[[#This Row],[Rank]],Stammdaten[Rank Verteilung Krümmung],0))</f>
        <v>#N/A</v>
      </c>
      <c r="U726" t="e">
        <f>VLOOKUP(Tabelle10[[#This Row],[Rank]],Stammdaten[[Rank Verteilung Krümmung]:[Verteilung Krümmung]],2,FALSE)</f>
        <v>#N/A</v>
      </c>
      <c r="Z726">
        <v>717</v>
      </c>
      <c r="AA726" t="e">
        <f>INDEX(Stammdaten[Ovalität (']0,1'])],MATCH(Tabelle1014[[#This Row],[Rank]],Stammdaten[Rank Verteilung Ovalität],0))</f>
        <v>#N/A</v>
      </c>
      <c r="AB726" t="e">
        <f>VLOOKUP(Tabelle1014[[#This Row],[Rank]],Stammdaten[[Rank Verteilung Ovalität]:[Verteilung Ovalität]],2,FALSE)</f>
        <v>#N/A</v>
      </c>
    </row>
    <row r="727" spans="5:28" x14ac:dyDescent="0.35">
      <c r="E727">
        <v>718</v>
      </c>
      <c r="F727" t="e">
        <f>INDEX(Stammdaten[D Mitte mit Rinde (mm)],MATCH(Tabelle8[[#This Row],[Rank]],Stammdaten[Rank Verteilung D Mitte mit Rinde],0))</f>
        <v>#N/A</v>
      </c>
      <c r="G727" t="e">
        <f>VLOOKUP(Tabelle8[[#This Row],[Rank]],Stammdaten[[Rank Verteilung D Mitte mit Rinde]:[Verteilung D Mitte mit Rinde]],2,FALSE)</f>
        <v>#N/A</v>
      </c>
      <c r="L727">
        <v>718</v>
      </c>
      <c r="M727" t="e">
        <f>INDEX(Stammdaten[Abholzigkeit (mm/lfm)],MATCH(Tabelle9[[#This Row],[Rank]],Stammdaten[Rank Verteilung Abholzigkeit],0))</f>
        <v>#N/A</v>
      </c>
      <c r="N727" t="e">
        <f>VLOOKUP(Tabelle9[[#This Row],[Rank]],Stammdaten[[Rank Verteilung Abholzigkeit]:[Verteilung Abholzigkeit]],2,FALSE)</f>
        <v>#N/A</v>
      </c>
      <c r="S727">
        <v>718</v>
      </c>
      <c r="T727" t="e">
        <f>INDEX(Stammdaten[Krümmung (mm/lfm)],MATCH(Tabelle10[[#This Row],[Rank]],Stammdaten[Rank Verteilung Krümmung],0))</f>
        <v>#N/A</v>
      </c>
      <c r="U727" t="e">
        <f>VLOOKUP(Tabelle10[[#This Row],[Rank]],Stammdaten[[Rank Verteilung Krümmung]:[Verteilung Krümmung]],2,FALSE)</f>
        <v>#N/A</v>
      </c>
      <c r="Z727">
        <v>718</v>
      </c>
      <c r="AA727" t="e">
        <f>INDEX(Stammdaten[Ovalität (']0,1'])],MATCH(Tabelle1014[[#This Row],[Rank]],Stammdaten[Rank Verteilung Ovalität],0))</f>
        <v>#N/A</v>
      </c>
      <c r="AB727" t="e">
        <f>VLOOKUP(Tabelle1014[[#This Row],[Rank]],Stammdaten[[Rank Verteilung Ovalität]:[Verteilung Ovalität]],2,FALSE)</f>
        <v>#N/A</v>
      </c>
    </row>
    <row r="728" spans="5:28" x14ac:dyDescent="0.35">
      <c r="E728">
        <v>719</v>
      </c>
      <c r="F728" t="e">
        <f>INDEX(Stammdaten[D Mitte mit Rinde (mm)],MATCH(Tabelle8[[#This Row],[Rank]],Stammdaten[Rank Verteilung D Mitte mit Rinde],0))</f>
        <v>#N/A</v>
      </c>
      <c r="G728" t="e">
        <f>VLOOKUP(Tabelle8[[#This Row],[Rank]],Stammdaten[[Rank Verteilung D Mitte mit Rinde]:[Verteilung D Mitte mit Rinde]],2,FALSE)</f>
        <v>#N/A</v>
      </c>
      <c r="L728">
        <v>719</v>
      </c>
      <c r="M728" t="e">
        <f>INDEX(Stammdaten[Abholzigkeit (mm/lfm)],MATCH(Tabelle9[[#This Row],[Rank]],Stammdaten[Rank Verteilung Abholzigkeit],0))</f>
        <v>#N/A</v>
      </c>
      <c r="N728" t="e">
        <f>VLOOKUP(Tabelle9[[#This Row],[Rank]],Stammdaten[[Rank Verteilung Abholzigkeit]:[Verteilung Abholzigkeit]],2,FALSE)</f>
        <v>#N/A</v>
      </c>
      <c r="S728">
        <v>719</v>
      </c>
      <c r="T728" t="e">
        <f>INDEX(Stammdaten[Krümmung (mm/lfm)],MATCH(Tabelle10[[#This Row],[Rank]],Stammdaten[Rank Verteilung Krümmung],0))</f>
        <v>#N/A</v>
      </c>
      <c r="U728" t="e">
        <f>VLOOKUP(Tabelle10[[#This Row],[Rank]],Stammdaten[[Rank Verteilung Krümmung]:[Verteilung Krümmung]],2,FALSE)</f>
        <v>#N/A</v>
      </c>
      <c r="Z728">
        <v>719</v>
      </c>
      <c r="AA728" t="e">
        <f>INDEX(Stammdaten[Ovalität (']0,1'])],MATCH(Tabelle1014[[#This Row],[Rank]],Stammdaten[Rank Verteilung Ovalität],0))</f>
        <v>#N/A</v>
      </c>
      <c r="AB728" t="e">
        <f>VLOOKUP(Tabelle1014[[#This Row],[Rank]],Stammdaten[[Rank Verteilung Ovalität]:[Verteilung Ovalität]],2,FALSE)</f>
        <v>#N/A</v>
      </c>
    </row>
    <row r="729" spans="5:28" x14ac:dyDescent="0.35">
      <c r="E729">
        <v>720</v>
      </c>
      <c r="F729" t="e">
        <f>INDEX(Stammdaten[D Mitte mit Rinde (mm)],MATCH(Tabelle8[[#This Row],[Rank]],Stammdaten[Rank Verteilung D Mitte mit Rinde],0))</f>
        <v>#N/A</v>
      </c>
      <c r="G729" t="e">
        <f>VLOOKUP(Tabelle8[[#This Row],[Rank]],Stammdaten[[Rank Verteilung D Mitte mit Rinde]:[Verteilung D Mitte mit Rinde]],2,FALSE)</f>
        <v>#N/A</v>
      </c>
      <c r="L729">
        <v>720</v>
      </c>
      <c r="M729" t="e">
        <f>INDEX(Stammdaten[Abholzigkeit (mm/lfm)],MATCH(Tabelle9[[#This Row],[Rank]],Stammdaten[Rank Verteilung Abholzigkeit],0))</f>
        <v>#N/A</v>
      </c>
      <c r="N729" t="e">
        <f>VLOOKUP(Tabelle9[[#This Row],[Rank]],Stammdaten[[Rank Verteilung Abholzigkeit]:[Verteilung Abholzigkeit]],2,FALSE)</f>
        <v>#N/A</v>
      </c>
      <c r="S729">
        <v>720</v>
      </c>
      <c r="T729" t="e">
        <f>INDEX(Stammdaten[Krümmung (mm/lfm)],MATCH(Tabelle10[[#This Row],[Rank]],Stammdaten[Rank Verteilung Krümmung],0))</f>
        <v>#N/A</v>
      </c>
      <c r="U729" t="e">
        <f>VLOOKUP(Tabelle10[[#This Row],[Rank]],Stammdaten[[Rank Verteilung Krümmung]:[Verteilung Krümmung]],2,FALSE)</f>
        <v>#N/A</v>
      </c>
      <c r="Z729">
        <v>720</v>
      </c>
      <c r="AA729" t="e">
        <f>INDEX(Stammdaten[Ovalität (']0,1'])],MATCH(Tabelle1014[[#This Row],[Rank]],Stammdaten[Rank Verteilung Ovalität],0))</f>
        <v>#N/A</v>
      </c>
      <c r="AB729" t="e">
        <f>VLOOKUP(Tabelle1014[[#This Row],[Rank]],Stammdaten[[Rank Verteilung Ovalität]:[Verteilung Ovalität]],2,FALSE)</f>
        <v>#N/A</v>
      </c>
    </row>
    <row r="730" spans="5:28" x14ac:dyDescent="0.35">
      <c r="E730">
        <v>721</v>
      </c>
      <c r="F730" t="e">
        <f>INDEX(Stammdaten[D Mitte mit Rinde (mm)],MATCH(Tabelle8[[#This Row],[Rank]],Stammdaten[Rank Verteilung D Mitte mit Rinde],0))</f>
        <v>#N/A</v>
      </c>
      <c r="G730" t="e">
        <f>VLOOKUP(Tabelle8[[#This Row],[Rank]],Stammdaten[[Rank Verteilung D Mitte mit Rinde]:[Verteilung D Mitte mit Rinde]],2,FALSE)</f>
        <v>#N/A</v>
      </c>
      <c r="L730">
        <v>721</v>
      </c>
      <c r="M730" t="e">
        <f>INDEX(Stammdaten[Abholzigkeit (mm/lfm)],MATCH(Tabelle9[[#This Row],[Rank]],Stammdaten[Rank Verteilung Abholzigkeit],0))</f>
        <v>#N/A</v>
      </c>
      <c r="N730" t="e">
        <f>VLOOKUP(Tabelle9[[#This Row],[Rank]],Stammdaten[[Rank Verteilung Abholzigkeit]:[Verteilung Abholzigkeit]],2,FALSE)</f>
        <v>#N/A</v>
      </c>
      <c r="S730">
        <v>721</v>
      </c>
      <c r="T730" t="e">
        <f>INDEX(Stammdaten[Krümmung (mm/lfm)],MATCH(Tabelle10[[#This Row],[Rank]],Stammdaten[Rank Verteilung Krümmung],0))</f>
        <v>#N/A</v>
      </c>
      <c r="U730" t="e">
        <f>VLOOKUP(Tabelle10[[#This Row],[Rank]],Stammdaten[[Rank Verteilung Krümmung]:[Verteilung Krümmung]],2,FALSE)</f>
        <v>#N/A</v>
      </c>
      <c r="Z730">
        <v>721</v>
      </c>
      <c r="AA730" t="e">
        <f>INDEX(Stammdaten[Ovalität (']0,1'])],MATCH(Tabelle1014[[#This Row],[Rank]],Stammdaten[Rank Verteilung Ovalität],0))</f>
        <v>#N/A</v>
      </c>
      <c r="AB730" t="e">
        <f>VLOOKUP(Tabelle1014[[#This Row],[Rank]],Stammdaten[[Rank Verteilung Ovalität]:[Verteilung Ovalität]],2,FALSE)</f>
        <v>#N/A</v>
      </c>
    </row>
    <row r="731" spans="5:28" x14ac:dyDescent="0.35">
      <c r="E731">
        <v>722</v>
      </c>
      <c r="F731" t="e">
        <f>INDEX(Stammdaten[D Mitte mit Rinde (mm)],MATCH(Tabelle8[[#This Row],[Rank]],Stammdaten[Rank Verteilung D Mitte mit Rinde],0))</f>
        <v>#N/A</v>
      </c>
      <c r="G731" t="e">
        <f>VLOOKUP(Tabelle8[[#This Row],[Rank]],Stammdaten[[Rank Verteilung D Mitte mit Rinde]:[Verteilung D Mitte mit Rinde]],2,FALSE)</f>
        <v>#N/A</v>
      </c>
      <c r="L731">
        <v>722</v>
      </c>
      <c r="M731" t="e">
        <f>INDEX(Stammdaten[Abholzigkeit (mm/lfm)],MATCH(Tabelle9[[#This Row],[Rank]],Stammdaten[Rank Verteilung Abholzigkeit],0))</f>
        <v>#N/A</v>
      </c>
      <c r="N731" t="e">
        <f>VLOOKUP(Tabelle9[[#This Row],[Rank]],Stammdaten[[Rank Verteilung Abholzigkeit]:[Verteilung Abholzigkeit]],2,FALSE)</f>
        <v>#N/A</v>
      </c>
      <c r="S731">
        <v>722</v>
      </c>
      <c r="T731" t="e">
        <f>INDEX(Stammdaten[Krümmung (mm/lfm)],MATCH(Tabelle10[[#This Row],[Rank]],Stammdaten[Rank Verteilung Krümmung],0))</f>
        <v>#N/A</v>
      </c>
      <c r="U731" t="e">
        <f>VLOOKUP(Tabelle10[[#This Row],[Rank]],Stammdaten[[Rank Verteilung Krümmung]:[Verteilung Krümmung]],2,FALSE)</f>
        <v>#N/A</v>
      </c>
      <c r="Z731">
        <v>722</v>
      </c>
      <c r="AA731" t="e">
        <f>INDEX(Stammdaten[Ovalität (']0,1'])],MATCH(Tabelle1014[[#This Row],[Rank]],Stammdaten[Rank Verteilung Ovalität],0))</f>
        <v>#N/A</v>
      </c>
      <c r="AB731" t="e">
        <f>VLOOKUP(Tabelle1014[[#This Row],[Rank]],Stammdaten[[Rank Verteilung Ovalität]:[Verteilung Ovalität]],2,FALSE)</f>
        <v>#N/A</v>
      </c>
    </row>
    <row r="732" spans="5:28" x14ac:dyDescent="0.35">
      <c r="E732">
        <v>723</v>
      </c>
      <c r="F732" t="e">
        <f>INDEX(Stammdaten[D Mitte mit Rinde (mm)],MATCH(Tabelle8[[#This Row],[Rank]],Stammdaten[Rank Verteilung D Mitte mit Rinde],0))</f>
        <v>#N/A</v>
      </c>
      <c r="G732" t="e">
        <f>VLOOKUP(Tabelle8[[#This Row],[Rank]],Stammdaten[[Rank Verteilung D Mitte mit Rinde]:[Verteilung D Mitte mit Rinde]],2,FALSE)</f>
        <v>#N/A</v>
      </c>
      <c r="L732">
        <v>723</v>
      </c>
      <c r="M732" t="e">
        <f>INDEX(Stammdaten[Abholzigkeit (mm/lfm)],MATCH(Tabelle9[[#This Row],[Rank]],Stammdaten[Rank Verteilung Abholzigkeit],0))</f>
        <v>#N/A</v>
      </c>
      <c r="N732" t="e">
        <f>VLOOKUP(Tabelle9[[#This Row],[Rank]],Stammdaten[[Rank Verteilung Abholzigkeit]:[Verteilung Abholzigkeit]],2,FALSE)</f>
        <v>#N/A</v>
      </c>
      <c r="S732">
        <v>723</v>
      </c>
      <c r="T732" t="e">
        <f>INDEX(Stammdaten[Krümmung (mm/lfm)],MATCH(Tabelle10[[#This Row],[Rank]],Stammdaten[Rank Verteilung Krümmung],0))</f>
        <v>#N/A</v>
      </c>
      <c r="U732" t="e">
        <f>VLOOKUP(Tabelle10[[#This Row],[Rank]],Stammdaten[[Rank Verteilung Krümmung]:[Verteilung Krümmung]],2,FALSE)</f>
        <v>#N/A</v>
      </c>
      <c r="Z732">
        <v>723</v>
      </c>
      <c r="AA732" t="e">
        <f>INDEX(Stammdaten[Ovalität (']0,1'])],MATCH(Tabelle1014[[#This Row],[Rank]],Stammdaten[Rank Verteilung Ovalität],0))</f>
        <v>#N/A</v>
      </c>
      <c r="AB732" t="e">
        <f>VLOOKUP(Tabelle1014[[#This Row],[Rank]],Stammdaten[[Rank Verteilung Ovalität]:[Verteilung Ovalität]],2,FALSE)</f>
        <v>#N/A</v>
      </c>
    </row>
    <row r="733" spans="5:28" x14ac:dyDescent="0.35">
      <c r="E733">
        <v>724</v>
      </c>
      <c r="F733" t="e">
        <f>INDEX(Stammdaten[D Mitte mit Rinde (mm)],MATCH(Tabelle8[[#This Row],[Rank]],Stammdaten[Rank Verteilung D Mitte mit Rinde],0))</f>
        <v>#N/A</v>
      </c>
      <c r="G733" t="e">
        <f>VLOOKUP(Tabelle8[[#This Row],[Rank]],Stammdaten[[Rank Verteilung D Mitte mit Rinde]:[Verteilung D Mitte mit Rinde]],2,FALSE)</f>
        <v>#N/A</v>
      </c>
      <c r="L733">
        <v>724</v>
      </c>
      <c r="M733" t="e">
        <f>INDEX(Stammdaten[Abholzigkeit (mm/lfm)],MATCH(Tabelle9[[#This Row],[Rank]],Stammdaten[Rank Verteilung Abholzigkeit],0))</f>
        <v>#N/A</v>
      </c>
      <c r="N733" t="e">
        <f>VLOOKUP(Tabelle9[[#This Row],[Rank]],Stammdaten[[Rank Verteilung Abholzigkeit]:[Verteilung Abholzigkeit]],2,FALSE)</f>
        <v>#N/A</v>
      </c>
      <c r="S733">
        <v>724</v>
      </c>
      <c r="T733" t="e">
        <f>INDEX(Stammdaten[Krümmung (mm/lfm)],MATCH(Tabelle10[[#This Row],[Rank]],Stammdaten[Rank Verteilung Krümmung],0))</f>
        <v>#N/A</v>
      </c>
      <c r="U733" t="e">
        <f>VLOOKUP(Tabelle10[[#This Row],[Rank]],Stammdaten[[Rank Verteilung Krümmung]:[Verteilung Krümmung]],2,FALSE)</f>
        <v>#N/A</v>
      </c>
      <c r="Z733">
        <v>724</v>
      </c>
      <c r="AA733" t="e">
        <f>INDEX(Stammdaten[Ovalität (']0,1'])],MATCH(Tabelle1014[[#This Row],[Rank]],Stammdaten[Rank Verteilung Ovalität],0))</f>
        <v>#N/A</v>
      </c>
      <c r="AB733" t="e">
        <f>VLOOKUP(Tabelle1014[[#This Row],[Rank]],Stammdaten[[Rank Verteilung Ovalität]:[Verteilung Ovalität]],2,FALSE)</f>
        <v>#N/A</v>
      </c>
    </row>
    <row r="734" spans="5:28" x14ac:dyDescent="0.35">
      <c r="E734">
        <v>725</v>
      </c>
      <c r="F734" t="e">
        <f>INDEX(Stammdaten[D Mitte mit Rinde (mm)],MATCH(Tabelle8[[#This Row],[Rank]],Stammdaten[Rank Verteilung D Mitte mit Rinde],0))</f>
        <v>#N/A</v>
      </c>
      <c r="G734" t="e">
        <f>VLOOKUP(Tabelle8[[#This Row],[Rank]],Stammdaten[[Rank Verteilung D Mitte mit Rinde]:[Verteilung D Mitte mit Rinde]],2,FALSE)</f>
        <v>#N/A</v>
      </c>
      <c r="L734">
        <v>725</v>
      </c>
      <c r="M734" t="e">
        <f>INDEX(Stammdaten[Abholzigkeit (mm/lfm)],MATCH(Tabelle9[[#This Row],[Rank]],Stammdaten[Rank Verteilung Abholzigkeit],0))</f>
        <v>#N/A</v>
      </c>
      <c r="N734" t="e">
        <f>VLOOKUP(Tabelle9[[#This Row],[Rank]],Stammdaten[[Rank Verteilung Abholzigkeit]:[Verteilung Abholzigkeit]],2,FALSE)</f>
        <v>#N/A</v>
      </c>
      <c r="S734">
        <v>725</v>
      </c>
      <c r="T734" t="e">
        <f>INDEX(Stammdaten[Krümmung (mm/lfm)],MATCH(Tabelle10[[#This Row],[Rank]],Stammdaten[Rank Verteilung Krümmung],0))</f>
        <v>#N/A</v>
      </c>
      <c r="U734" t="e">
        <f>VLOOKUP(Tabelle10[[#This Row],[Rank]],Stammdaten[[Rank Verteilung Krümmung]:[Verteilung Krümmung]],2,FALSE)</f>
        <v>#N/A</v>
      </c>
      <c r="Z734">
        <v>725</v>
      </c>
      <c r="AA734" t="e">
        <f>INDEX(Stammdaten[Ovalität (']0,1'])],MATCH(Tabelle1014[[#This Row],[Rank]],Stammdaten[Rank Verteilung Ovalität],0))</f>
        <v>#N/A</v>
      </c>
      <c r="AB734" t="e">
        <f>VLOOKUP(Tabelle1014[[#This Row],[Rank]],Stammdaten[[Rank Verteilung Ovalität]:[Verteilung Ovalität]],2,FALSE)</f>
        <v>#N/A</v>
      </c>
    </row>
    <row r="735" spans="5:28" x14ac:dyDescent="0.35">
      <c r="E735">
        <v>726</v>
      </c>
      <c r="F735" t="e">
        <f>INDEX(Stammdaten[D Mitte mit Rinde (mm)],MATCH(Tabelle8[[#This Row],[Rank]],Stammdaten[Rank Verteilung D Mitte mit Rinde],0))</f>
        <v>#N/A</v>
      </c>
      <c r="G735" t="e">
        <f>VLOOKUP(Tabelle8[[#This Row],[Rank]],Stammdaten[[Rank Verteilung D Mitte mit Rinde]:[Verteilung D Mitte mit Rinde]],2,FALSE)</f>
        <v>#N/A</v>
      </c>
      <c r="L735">
        <v>726</v>
      </c>
      <c r="M735" t="e">
        <f>INDEX(Stammdaten[Abholzigkeit (mm/lfm)],MATCH(Tabelle9[[#This Row],[Rank]],Stammdaten[Rank Verteilung Abholzigkeit],0))</f>
        <v>#N/A</v>
      </c>
      <c r="N735" t="e">
        <f>VLOOKUP(Tabelle9[[#This Row],[Rank]],Stammdaten[[Rank Verteilung Abholzigkeit]:[Verteilung Abholzigkeit]],2,FALSE)</f>
        <v>#N/A</v>
      </c>
      <c r="S735">
        <v>726</v>
      </c>
      <c r="T735" t="e">
        <f>INDEX(Stammdaten[Krümmung (mm/lfm)],MATCH(Tabelle10[[#This Row],[Rank]],Stammdaten[Rank Verteilung Krümmung],0))</f>
        <v>#N/A</v>
      </c>
      <c r="U735" t="e">
        <f>VLOOKUP(Tabelle10[[#This Row],[Rank]],Stammdaten[[Rank Verteilung Krümmung]:[Verteilung Krümmung]],2,FALSE)</f>
        <v>#N/A</v>
      </c>
      <c r="Z735">
        <v>726</v>
      </c>
      <c r="AA735" t="e">
        <f>INDEX(Stammdaten[Ovalität (']0,1'])],MATCH(Tabelle1014[[#This Row],[Rank]],Stammdaten[Rank Verteilung Ovalität],0))</f>
        <v>#N/A</v>
      </c>
      <c r="AB735" t="e">
        <f>VLOOKUP(Tabelle1014[[#This Row],[Rank]],Stammdaten[[Rank Verteilung Ovalität]:[Verteilung Ovalität]],2,FALSE)</f>
        <v>#N/A</v>
      </c>
    </row>
    <row r="736" spans="5:28" x14ac:dyDescent="0.35">
      <c r="E736">
        <v>727</v>
      </c>
      <c r="F736" t="e">
        <f>INDEX(Stammdaten[D Mitte mit Rinde (mm)],MATCH(Tabelle8[[#This Row],[Rank]],Stammdaten[Rank Verteilung D Mitte mit Rinde],0))</f>
        <v>#N/A</v>
      </c>
      <c r="G736" t="e">
        <f>VLOOKUP(Tabelle8[[#This Row],[Rank]],Stammdaten[[Rank Verteilung D Mitte mit Rinde]:[Verteilung D Mitte mit Rinde]],2,FALSE)</f>
        <v>#N/A</v>
      </c>
      <c r="L736">
        <v>727</v>
      </c>
      <c r="M736" t="e">
        <f>INDEX(Stammdaten[Abholzigkeit (mm/lfm)],MATCH(Tabelle9[[#This Row],[Rank]],Stammdaten[Rank Verteilung Abholzigkeit],0))</f>
        <v>#N/A</v>
      </c>
      <c r="N736" t="e">
        <f>VLOOKUP(Tabelle9[[#This Row],[Rank]],Stammdaten[[Rank Verteilung Abholzigkeit]:[Verteilung Abholzigkeit]],2,FALSE)</f>
        <v>#N/A</v>
      </c>
      <c r="S736">
        <v>727</v>
      </c>
      <c r="T736" t="e">
        <f>INDEX(Stammdaten[Krümmung (mm/lfm)],MATCH(Tabelle10[[#This Row],[Rank]],Stammdaten[Rank Verteilung Krümmung],0))</f>
        <v>#N/A</v>
      </c>
      <c r="U736" t="e">
        <f>VLOOKUP(Tabelle10[[#This Row],[Rank]],Stammdaten[[Rank Verteilung Krümmung]:[Verteilung Krümmung]],2,FALSE)</f>
        <v>#N/A</v>
      </c>
      <c r="Z736">
        <v>727</v>
      </c>
      <c r="AA736" t="e">
        <f>INDEX(Stammdaten[Ovalität (']0,1'])],MATCH(Tabelle1014[[#This Row],[Rank]],Stammdaten[Rank Verteilung Ovalität],0))</f>
        <v>#N/A</v>
      </c>
      <c r="AB736" t="e">
        <f>VLOOKUP(Tabelle1014[[#This Row],[Rank]],Stammdaten[[Rank Verteilung Ovalität]:[Verteilung Ovalität]],2,FALSE)</f>
        <v>#N/A</v>
      </c>
    </row>
    <row r="737" spans="5:28" x14ac:dyDescent="0.35">
      <c r="E737">
        <v>728</v>
      </c>
      <c r="F737" t="e">
        <f>INDEX(Stammdaten[D Mitte mit Rinde (mm)],MATCH(Tabelle8[[#This Row],[Rank]],Stammdaten[Rank Verteilung D Mitte mit Rinde],0))</f>
        <v>#N/A</v>
      </c>
      <c r="G737" t="e">
        <f>VLOOKUP(Tabelle8[[#This Row],[Rank]],Stammdaten[[Rank Verteilung D Mitte mit Rinde]:[Verteilung D Mitte mit Rinde]],2,FALSE)</f>
        <v>#N/A</v>
      </c>
      <c r="L737">
        <v>728</v>
      </c>
      <c r="M737" t="e">
        <f>INDEX(Stammdaten[Abholzigkeit (mm/lfm)],MATCH(Tabelle9[[#This Row],[Rank]],Stammdaten[Rank Verteilung Abholzigkeit],0))</f>
        <v>#N/A</v>
      </c>
      <c r="N737" t="e">
        <f>VLOOKUP(Tabelle9[[#This Row],[Rank]],Stammdaten[[Rank Verteilung Abholzigkeit]:[Verteilung Abholzigkeit]],2,FALSE)</f>
        <v>#N/A</v>
      </c>
      <c r="S737">
        <v>728</v>
      </c>
      <c r="T737" t="e">
        <f>INDEX(Stammdaten[Krümmung (mm/lfm)],MATCH(Tabelle10[[#This Row],[Rank]],Stammdaten[Rank Verteilung Krümmung],0))</f>
        <v>#N/A</v>
      </c>
      <c r="U737" t="e">
        <f>VLOOKUP(Tabelle10[[#This Row],[Rank]],Stammdaten[[Rank Verteilung Krümmung]:[Verteilung Krümmung]],2,FALSE)</f>
        <v>#N/A</v>
      </c>
      <c r="Z737">
        <v>728</v>
      </c>
      <c r="AA737" t="e">
        <f>INDEX(Stammdaten[Ovalität (']0,1'])],MATCH(Tabelle1014[[#This Row],[Rank]],Stammdaten[Rank Verteilung Ovalität],0))</f>
        <v>#N/A</v>
      </c>
      <c r="AB737" t="e">
        <f>VLOOKUP(Tabelle1014[[#This Row],[Rank]],Stammdaten[[Rank Verteilung Ovalität]:[Verteilung Ovalität]],2,FALSE)</f>
        <v>#N/A</v>
      </c>
    </row>
    <row r="738" spans="5:28" x14ac:dyDescent="0.35">
      <c r="E738">
        <v>729</v>
      </c>
      <c r="F738" t="e">
        <f>INDEX(Stammdaten[D Mitte mit Rinde (mm)],MATCH(Tabelle8[[#This Row],[Rank]],Stammdaten[Rank Verteilung D Mitte mit Rinde],0))</f>
        <v>#N/A</v>
      </c>
      <c r="G738" t="e">
        <f>VLOOKUP(Tabelle8[[#This Row],[Rank]],Stammdaten[[Rank Verteilung D Mitte mit Rinde]:[Verteilung D Mitte mit Rinde]],2,FALSE)</f>
        <v>#N/A</v>
      </c>
      <c r="L738">
        <v>729</v>
      </c>
      <c r="M738" t="e">
        <f>INDEX(Stammdaten[Abholzigkeit (mm/lfm)],MATCH(Tabelle9[[#This Row],[Rank]],Stammdaten[Rank Verteilung Abholzigkeit],0))</f>
        <v>#N/A</v>
      </c>
      <c r="N738" t="e">
        <f>VLOOKUP(Tabelle9[[#This Row],[Rank]],Stammdaten[[Rank Verteilung Abholzigkeit]:[Verteilung Abholzigkeit]],2,FALSE)</f>
        <v>#N/A</v>
      </c>
      <c r="S738">
        <v>729</v>
      </c>
      <c r="T738" t="e">
        <f>INDEX(Stammdaten[Krümmung (mm/lfm)],MATCH(Tabelle10[[#This Row],[Rank]],Stammdaten[Rank Verteilung Krümmung],0))</f>
        <v>#N/A</v>
      </c>
      <c r="U738" t="e">
        <f>VLOOKUP(Tabelle10[[#This Row],[Rank]],Stammdaten[[Rank Verteilung Krümmung]:[Verteilung Krümmung]],2,FALSE)</f>
        <v>#N/A</v>
      </c>
      <c r="Z738">
        <v>729</v>
      </c>
      <c r="AA738" t="e">
        <f>INDEX(Stammdaten[Ovalität (']0,1'])],MATCH(Tabelle1014[[#This Row],[Rank]],Stammdaten[Rank Verteilung Ovalität],0))</f>
        <v>#N/A</v>
      </c>
      <c r="AB738" t="e">
        <f>VLOOKUP(Tabelle1014[[#This Row],[Rank]],Stammdaten[[Rank Verteilung Ovalität]:[Verteilung Ovalität]],2,FALSE)</f>
        <v>#N/A</v>
      </c>
    </row>
    <row r="739" spans="5:28" x14ac:dyDescent="0.35">
      <c r="E739">
        <v>730</v>
      </c>
      <c r="F739" t="e">
        <f>INDEX(Stammdaten[D Mitte mit Rinde (mm)],MATCH(Tabelle8[[#This Row],[Rank]],Stammdaten[Rank Verteilung D Mitte mit Rinde],0))</f>
        <v>#N/A</v>
      </c>
      <c r="G739" t="e">
        <f>VLOOKUP(Tabelle8[[#This Row],[Rank]],Stammdaten[[Rank Verteilung D Mitte mit Rinde]:[Verteilung D Mitte mit Rinde]],2,FALSE)</f>
        <v>#N/A</v>
      </c>
      <c r="L739">
        <v>730</v>
      </c>
      <c r="M739" t="e">
        <f>INDEX(Stammdaten[Abholzigkeit (mm/lfm)],MATCH(Tabelle9[[#This Row],[Rank]],Stammdaten[Rank Verteilung Abholzigkeit],0))</f>
        <v>#N/A</v>
      </c>
      <c r="N739" t="e">
        <f>VLOOKUP(Tabelle9[[#This Row],[Rank]],Stammdaten[[Rank Verteilung Abholzigkeit]:[Verteilung Abholzigkeit]],2,FALSE)</f>
        <v>#N/A</v>
      </c>
      <c r="S739">
        <v>730</v>
      </c>
      <c r="T739" t="e">
        <f>INDEX(Stammdaten[Krümmung (mm/lfm)],MATCH(Tabelle10[[#This Row],[Rank]],Stammdaten[Rank Verteilung Krümmung],0))</f>
        <v>#N/A</v>
      </c>
      <c r="U739" t="e">
        <f>VLOOKUP(Tabelle10[[#This Row],[Rank]],Stammdaten[[Rank Verteilung Krümmung]:[Verteilung Krümmung]],2,FALSE)</f>
        <v>#N/A</v>
      </c>
      <c r="Z739">
        <v>730</v>
      </c>
      <c r="AA739" t="e">
        <f>INDEX(Stammdaten[Ovalität (']0,1'])],MATCH(Tabelle1014[[#This Row],[Rank]],Stammdaten[Rank Verteilung Ovalität],0))</f>
        <v>#N/A</v>
      </c>
      <c r="AB739" t="e">
        <f>VLOOKUP(Tabelle1014[[#This Row],[Rank]],Stammdaten[[Rank Verteilung Ovalität]:[Verteilung Ovalität]],2,FALSE)</f>
        <v>#N/A</v>
      </c>
    </row>
    <row r="740" spans="5:28" x14ac:dyDescent="0.35">
      <c r="E740">
        <v>731</v>
      </c>
      <c r="F740" t="e">
        <f>INDEX(Stammdaten[D Mitte mit Rinde (mm)],MATCH(Tabelle8[[#This Row],[Rank]],Stammdaten[Rank Verteilung D Mitte mit Rinde],0))</f>
        <v>#N/A</v>
      </c>
      <c r="G740" t="e">
        <f>VLOOKUP(Tabelle8[[#This Row],[Rank]],Stammdaten[[Rank Verteilung D Mitte mit Rinde]:[Verteilung D Mitte mit Rinde]],2,FALSE)</f>
        <v>#N/A</v>
      </c>
      <c r="L740">
        <v>731</v>
      </c>
      <c r="M740" t="e">
        <f>INDEX(Stammdaten[Abholzigkeit (mm/lfm)],MATCH(Tabelle9[[#This Row],[Rank]],Stammdaten[Rank Verteilung Abholzigkeit],0))</f>
        <v>#N/A</v>
      </c>
      <c r="N740" t="e">
        <f>VLOOKUP(Tabelle9[[#This Row],[Rank]],Stammdaten[[Rank Verteilung Abholzigkeit]:[Verteilung Abholzigkeit]],2,FALSE)</f>
        <v>#N/A</v>
      </c>
      <c r="S740">
        <v>731</v>
      </c>
      <c r="T740" t="e">
        <f>INDEX(Stammdaten[Krümmung (mm/lfm)],MATCH(Tabelle10[[#This Row],[Rank]],Stammdaten[Rank Verteilung Krümmung],0))</f>
        <v>#N/A</v>
      </c>
      <c r="U740" t="e">
        <f>VLOOKUP(Tabelle10[[#This Row],[Rank]],Stammdaten[[Rank Verteilung Krümmung]:[Verteilung Krümmung]],2,FALSE)</f>
        <v>#N/A</v>
      </c>
      <c r="Z740">
        <v>731</v>
      </c>
      <c r="AA740" t="e">
        <f>INDEX(Stammdaten[Ovalität (']0,1'])],MATCH(Tabelle1014[[#This Row],[Rank]],Stammdaten[Rank Verteilung Ovalität],0))</f>
        <v>#N/A</v>
      </c>
      <c r="AB740" t="e">
        <f>VLOOKUP(Tabelle1014[[#This Row],[Rank]],Stammdaten[[Rank Verteilung Ovalität]:[Verteilung Ovalität]],2,FALSE)</f>
        <v>#N/A</v>
      </c>
    </row>
    <row r="741" spans="5:28" x14ac:dyDescent="0.35">
      <c r="E741">
        <v>732</v>
      </c>
      <c r="F741" t="e">
        <f>INDEX(Stammdaten[D Mitte mit Rinde (mm)],MATCH(Tabelle8[[#This Row],[Rank]],Stammdaten[Rank Verteilung D Mitte mit Rinde],0))</f>
        <v>#N/A</v>
      </c>
      <c r="G741" t="e">
        <f>VLOOKUP(Tabelle8[[#This Row],[Rank]],Stammdaten[[Rank Verteilung D Mitte mit Rinde]:[Verteilung D Mitte mit Rinde]],2,FALSE)</f>
        <v>#N/A</v>
      </c>
      <c r="L741">
        <v>732</v>
      </c>
      <c r="M741" t="e">
        <f>INDEX(Stammdaten[Abholzigkeit (mm/lfm)],MATCH(Tabelle9[[#This Row],[Rank]],Stammdaten[Rank Verteilung Abholzigkeit],0))</f>
        <v>#N/A</v>
      </c>
      <c r="N741" t="e">
        <f>VLOOKUP(Tabelle9[[#This Row],[Rank]],Stammdaten[[Rank Verteilung Abholzigkeit]:[Verteilung Abholzigkeit]],2,FALSE)</f>
        <v>#N/A</v>
      </c>
      <c r="S741">
        <v>732</v>
      </c>
      <c r="T741" t="e">
        <f>INDEX(Stammdaten[Krümmung (mm/lfm)],MATCH(Tabelle10[[#This Row],[Rank]],Stammdaten[Rank Verteilung Krümmung],0))</f>
        <v>#N/A</v>
      </c>
      <c r="U741" t="e">
        <f>VLOOKUP(Tabelle10[[#This Row],[Rank]],Stammdaten[[Rank Verteilung Krümmung]:[Verteilung Krümmung]],2,FALSE)</f>
        <v>#N/A</v>
      </c>
      <c r="Z741">
        <v>732</v>
      </c>
      <c r="AA741" t="e">
        <f>INDEX(Stammdaten[Ovalität (']0,1'])],MATCH(Tabelle1014[[#This Row],[Rank]],Stammdaten[Rank Verteilung Ovalität],0))</f>
        <v>#N/A</v>
      </c>
      <c r="AB741" t="e">
        <f>VLOOKUP(Tabelle1014[[#This Row],[Rank]],Stammdaten[[Rank Verteilung Ovalität]:[Verteilung Ovalität]],2,FALSE)</f>
        <v>#N/A</v>
      </c>
    </row>
    <row r="742" spans="5:28" x14ac:dyDescent="0.35">
      <c r="E742">
        <v>733</v>
      </c>
      <c r="F742" t="e">
        <f>INDEX(Stammdaten[D Mitte mit Rinde (mm)],MATCH(Tabelle8[[#This Row],[Rank]],Stammdaten[Rank Verteilung D Mitte mit Rinde],0))</f>
        <v>#N/A</v>
      </c>
      <c r="G742" t="e">
        <f>VLOOKUP(Tabelle8[[#This Row],[Rank]],Stammdaten[[Rank Verteilung D Mitte mit Rinde]:[Verteilung D Mitte mit Rinde]],2,FALSE)</f>
        <v>#N/A</v>
      </c>
      <c r="L742">
        <v>733</v>
      </c>
      <c r="M742" t="e">
        <f>INDEX(Stammdaten[Abholzigkeit (mm/lfm)],MATCH(Tabelle9[[#This Row],[Rank]],Stammdaten[Rank Verteilung Abholzigkeit],0))</f>
        <v>#N/A</v>
      </c>
      <c r="N742" t="e">
        <f>VLOOKUP(Tabelle9[[#This Row],[Rank]],Stammdaten[[Rank Verteilung Abholzigkeit]:[Verteilung Abholzigkeit]],2,FALSE)</f>
        <v>#N/A</v>
      </c>
      <c r="S742">
        <v>733</v>
      </c>
      <c r="T742" t="e">
        <f>INDEX(Stammdaten[Krümmung (mm/lfm)],MATCH(Tabelle10[[#This Row],[Rank]],Stammdaten[Rank Verteilung Krümmung],0))</f>
        <v>#N/A</v>
      </c>
      <c r="U742" t="e">
        <f>VLOOKUP(Tabelle10[[#This Row],[Rank]],Stammdaten[[Rank Verteilung Krümmung]:[Verteilung Krümmung]],2,FALSE)</f>
        <v>#N/A</v>
      </c>
      <c r="Z742">
        <v>733</v>
      </c>
      <c r="AA742" t="e">
        <f>INDEX(Stammdaten[Ovalität (']0,1'])],MATCH(Tabelle1014[[#This Row],[Rank]],Stammdaten[Rank Verteilung Ovalität],0))</f>
        <v>#N/A</v>
      </c>
      <c r="AB742" t="e">
        <f>VLOOKUP(Tabelle1014[[#This Row],[Rank]],Stammdaten[[Rank Verteilung Ovalität]:[Verteilung Ovalität]],2,FALSE)</f>
        <v>#N/A</v>
      </c>
    </row>
    <row r="743" spans="5:28" x14ac:dyDescent="0.35">
      <c r="E743">
        <v>734</v>
      </c>
      <c r="F743" t="e">
        <f>INDEX(Stammdaten[D Mitte mit Rinde (mm)],MATCH(Tabelle8[[#This Row],[Rank]],Stammdaten[Rank Verteilung D Mitte mit Rinde],0))</f>
        <v>#N/A</v>
      </c>
      <c r="G743" t="e">
        <f>VLOOKUP(Tabelle8[[#This Row],[Rank]],Stammdaten[[Rank Verteilung D Mitte mit Rinde]:[Verteilung D Mitte mit Rinde]],2,FALSE)</f>
        <v>#N/A</v>
      </c>
      <c r="L743">
        <v>734</v>
      </c>
      <c r="M743" t="e">
        <f>INDEX(Stammdaten[Abholzigkeit (mm/lfm)],MATCH(Tabelle9[[#This Row],[Rank]],Stammdaten[Rank Verteilung Abholzigkeit],0))</f>
        <v>#N/A</v>
      </c>
      <c r="N743" t="e">
        <f>VLOOKUP(Tabelle9[[#This Row],[Rank]],Stammdaten[[Rank Verteilung Abholzigkeit]:[Verteilung Abholzigkeit]],2,FALSE)</f>
        <v>#N/A</v>
      </c>
      <c r="S743">
        <v>734</v>
      </c>
      <c r="T743" t="e">
        <f>INDEX(Stammdaten[Krümmung (mm/lfm)],MATCH(Tabelle10[[#This Row],[Rank]],Stammdaten[Rank Verteilung Krümmung],0))</f>
        <v>#N/A</v>
      </c>
      <c r="U743" t="e">
        <f>VLOOKUP(Tabelle10[[#This Row],[Rank]],Stammdaten[[Rank Verteilung Krümmung]:[Verteilung Krümmung]],2,FALSE)</f>
        <v>#N/A</v>
      </c>
      <c r="Z743">
        <v>734</v>
      </c>
      <c r="AA743" t="e">
        <f>INDEX(Stammdaten[Ovalität (']0,1'])],MATCH(Tabelle1014[[#This Row],[Rank]],Stammdaten[Rank Verteilung Ovalität],0))</f>
        <v>#N/A</v>
      </c>
      <c r="AB743" t="e">
        <f>VLOOKUP(Tabelle1014[[#This Row],[Rank]],Stammdaten[[Rank Verteilung Ovalität]:[Verteilung Ovalität]],2,FALSE)</f>
        <v>#N/A</v>
      </c>
    </row>
    <row r="744" spans="5:28" x14ac:dyDescent="0.35">
      <c r="E744">
        <v>735</v>
      </c>
      <c r="F744" t="e">
        <f>INDEX(Stammdaten[D Mitte mit Rinde (mm)],MATCH(Tabelle8[[#This Row],[Rank]],Stammdaten[Rank Verteilung D Mitte mit Rinde],0))</f>
        <v>#N/A</v>
      </c>
      <c r="G744" t="e">
        <f>VLOOKUP(Tabelle8[[#This Row],[Rank]],Stammdaten[[Rank Verteilung D Mitte mit Rinde]:[Verteilung D Mitte mit Rinde]],2,FALSE)</f>
        <v>#N/A</v>
      </c>
      <c r="L744">
        <v>735</v>
      </c>
      <c r="M744" t="e">
        <f>INDEX(Stammdaten[Abholzigkeit (mm/lfm)],MATCH(Tabelle9[[#This Row],[Rank]],Stammdaten[Rank Verteilung Abholzigkeit],0))</f>
        <v>#N/A</v>
      </c>
      <c r="N744" t="e">
        <f>VLOOKUP(Tabelle9[[#This Row],[Rank]],Stammdaten[[Rank Verteilung Abholzigkeit]:[Verteilung Abholzigkeit]],2,FALSE)</f>
        <v>#N/A</v>
      </c>
      <c r="S744">
        <v>735</v>
      </c>
      <c r="T744" t="e">
        <f>INDEX(Stammdaten[Krümmung (mm/lfm)],MATCH(Tabelle10[[#This Row],[Rank]],Stammdaten[Rank Verteilung Krümmung],0))</f>
        <v>#N/A</v>
      </c>
      <c r="U744" t="e">
        <f>VLOOKUP(Tabelle10[[#This Row],[Rank]],Stammdaten[[Rank Verteilung Krümmung]:[Verteilung Krümmung]],2,FALSE)</f>
        <v>#N/A</v>
      </c>
      <c r="Z744">
        <v>735</v>
      </c>
      <c r="AA744" t="e">
        <f>INDEX(Stammdaten[Ovalität (']0,1'])],MATCH(Tabelle1014[[#This Row],[Rank]],Stammdaten[Rank Verteilung Ovalität],0))</f>
        <v>#N/A</v>
      </c>
      <c r="AB744" t="e">
        <f>VLOOKUP(Tabelle1014[[#This Row],[Rank]],Stammdaten[[Rank Verteilung Ovalität]:[Verteilung Ovalität]],2,FALSE)</f>
        <v>#N/A</v>
      </c>
    </row>
    <row r="745" spans="5:28" x14ac:dyDescent="0.35">
      <c r="E745">
        <v>736</v>
      </c>
      <c r="F745" t="e">
        <f>INDEX(Stammdaten[D Mitte mit Rinde (mm)],MATCH(Tabelle8[[#This Row],[Rank]],Stammdaten[Rank Verteilung D Mitte mit Rinde],0))</f>
        <v>#N/A</v>
      </c>
      <c r="G745" t="e">
        <f>VLOOKUP(Tabelle8[[#This Row],[Rank]],Stammdaten[[Rank Verteilung D Mitte mit Rinde]:[Verteilung D Mitte mit Rinde]],2,FALSE)</f>
        <v>#N/A</v>
      </c>
      <c r="L745">
        <v>736</v>
      </c>
      <c r="M745" t="e">
        <f>INDEX(Stammdaten[Abholzigkeit (mm/lfm)],MATCH(Tabelle9[[#This Row],[Rank]],Stammdaten[Rank Verteilung Abholzigkeit],0))</f>
        <v>#N/A</v>
      </c>
      <c r="N745" t="e">
        <f>VLOOKUP(Tabelle9[[#This Row],[Rank]],Stammdaten[[Rank Verteilung Abholzigkeit]:[Verteilung Abholzigkeit]],2,FALSE)</f>
        <v>#N/A</v>
      </c>
      <c r="S745">
        <v>736</v>
      </c>
      <c r="T745" t="e">
        <f>INDEX(Stammdaten[Krümmung (mm/lfm)],MATCH(Tabelle10[[#This Row],[Rank]],Stammdaten[Rank Verteilung Krümmung],0))</f>
        <v>#N/A</v>
      </c>
      <c r="U745" t="e">
        <f>VLOOKUP(Tabelle10[[#This Row],[Rank]],Stammdaten[[Rank Verteilung Krümmung]:[Verteilung Krümmung]],2,FALSE)</f>
        <v>#N/A</v>
      </c>
      <c r="Z745">
        <v>736</v>
      </c>
      <c r="AA745" t="e">
        <f>INDEX(Stammdaten[Ovalität (']0,1'])],MATCH(Tabelle1014[[#This Row],[Rank]],Stammdaten[Rank Verteilung Ovalität],0))</f>
        <v>#N/A</v>
      </c>
      <c r="AB745" t="e">
        <f>VLOOKUP(Tabelle1014[[#This Row],[Rank]],Stammdaten[[Rank Verteilung Ovalität]:[Verteilung Ovalität]],2,FALSE)</f>
        <v>#N/A</v>
      </c>
    </row>
    <row r="746" spans="5:28" x14ac:dyDescent="0.35">
      <c r="E746">
        <v>737</v>
      </c>
      <c r="F746" t="e">
        <f>INDEX(Stammdaten[D Mitte mit Rinde (mm)],MATCH(Tabelle8[[#This Row],[Rank]],Stammdaten[Rank Verteilung D Mitte mit Rinde],0))</f>
        <v>#N/A</v>
      </c>
      <c r="G746" t="e">
        <f>VLOOKUP(Tabelle8[[#This Row],[Rank]],Stammdaten[[Rank Verteilung D Mitte mit Rinde]:[Verteilung D Mitte mit Rinde]],2,FALSE)</f>
        <v>#N/A</v>
      </c>
      <c r="L746">
        <v>737</v>
      </c>
      <c r="M746" t="e">
        <f>INDEX(Stammdaten[Abholzigkeit (mm/lfm)],MATCH(Tabelle9[[#This Row],[Rank]],Stammdaten[Rank Verteilung Abholzigkeit],0))</f>
        <v>#N/A</v>
      </c>
      <c r="N746" t="e">
        <f>VLOOKUP(Tabelle9[[#This Row],[Rank]],Stammdaten[[Rank Verteilung Abholzigkeit]:[Verteilung Abholzigkeit]],2,FALSE)</f>
        <v>#N/A</v>
      </c>
      <c r="S746">
        <v>737</v>
      </c>
      <c r="T746" t="e">
        <f>INDEX(Stammdaten[Krümmung (mm/lfm)],MATCH(Tabelle10[[#This Row],[Rank]],Stammdaten[Rank Verteilung Krümmung],0))</f>
        <v>#N/A</v>
      </c>
      <c r="U746" t="e">
        <f>VLOOKUP(Tabelle10[[#This Row],[Rank]],Stammdaten[[Rank Verteilung Krümmung]:[Verteilung Krümmung]],2,FALSE)</f>
        <v>#N/A</v>
      </c>
      <c r="Z746">
        <v>737</v>
      </c>
      <c r="AA746" t="e">
        <f>INDEX(Stammdaten[Ovalität (']0,1'])],MATCH(Tabelle1014[[#This Row],[Rank]],Stammdaten[Rank Verteilung Ovalität],0))</f>
        <v>#N/A</v>
      </c>
      <c r="AB746" t="e">
        <f>VLOOKUP(Tabelle1014[[#This Row],[Rank]],Stammdaten[[Rank Verteilung Ovalität]:[Verteilung Ovalität]],2,FALSE)</f>
        <v>#N/A</v>
      </c>
    </row>
    <row r="747" spans="5:28" x14ac:dyDescent="0.35">
      <c r="E747">
        <v>738</v>
      </c>
      <c r="F747" t="e">
        <f>INDEX(Stammdaten[D Mitte mit Rinde (mm)],MATCH(Tabelle8[[#This Row],[Rank]],Stammdaten[Rank Verteilung D Mitte mit Rinde],0))</f>
        <v>#N/A</v>
      </c>
      <c r="G747" t="e">
        <f>VLOOKUP(Tabelle8[[#This Row],[Rank]],Stammdaten[[Rank Verteilung D Mitte mit Rinde]:[Verteilung D Mitte mit Rinde]],2,FALSE)</f>
        <v>#N/A</v>
      </c>
      <c r="L747">
        <v>738</v>
      </c>
      <c r="M747" t="e">
        <f>INDEX(Stammdaten[Abholzigkeit (mm/lfm)],MATCH(Tabelle9[[#This Row],[Rank]],Stammdaten[Rank Verteilung Abholzigkeit],0))</f>
        <v>#N/A</v>
      </c>
      <c r="N747" t="e">
        <f>VLOOKUP(Tabelle9[[#This Row],[Rank]],Stammdaten[[Rank Verteilung Abholzigkeit]:[Verteilung Abholzigkeit]],2,FALSE)</f>
        <v>#N/A</v>
      </c>
      <c r="S747">
        <v>738</v>
      </c>
      <c r="T747" t="e">
        <f>INDEX(Stammdaten[Krümmung (mm/lfm)],MATCH(Tabelle10[[#This Row],[Rank]],Stammdaten[Rank Verteilung Krümmung],0))</f>
        <v>#N/A</v>
      </c>
      <c r="U747" t="e">
        <f>VLOOKUP(Tabelle10[[#This Row],[Rank]],Stammdaten[[Rank Verteilung Krümmung]:[Verteilung Krümmung]],2,FALSE)</f>
        <v>#N/A</v>
      </c>
      <c r="Z747">
        <v>738</v>
      </c>
      <c r="AA747" t="e">
        <f>INDEX(Stammdaten[Ovalität (']0,1'])],MATCH(Tabelle1014[[#This Row],[Rank]],Stammdaten[Rank Verteilung Ovalität],0))</f>
        <v>#N/A</v>
      </c>
      <c r="AB747" t="e">
        <f>VLOOKUP(Tabelle1014[[#This Row],[Rank]],Stammdaten[[Rank Verteilung Ovalität]:[Verteilung Ovalität]],2,FALSE)</f>
        <v>#N/A</v>
      </c>
    </row>
    <row r="748" spans="5:28" x14ac:dyDescent="0.35">
      <c r="E748">
        <v>739</v>
      </c>
      <c r="F748" t="e">
        <f>INDEX(Stammdaten[D Mitte mit Rinde (mm)],MATCH(Tabelle8[[#This Row],[Rank]],Stammdaten[Rank Verteilung D Mitte mit Rinde],0))</f>
        <v>#N/A</v>
      </c>
      <c r="G748" t="e">
        <f>VLOOKUP(Tabelle8[[#This Row],[Rank]],Stammdaten[[Rank Verteilung D Mitte mit Rinde]:[Verteilung D Mitte mit Rinde]],2,FALSE)</f>
        <v>#N/A</v>
      </c>
      <c r="L748">
        <v>739</v>
      </c>
      <c r="M748" t="e">
        <f>INDEX(Stammdaten[Abholzigkeit (mm/lfm)],MATCH(Tabelle9[[#This Row],[Rank]],Stammdaten[Rank Verteilung Abholzigkeit],0))</f>
        <v>#N/A</v>
      </c>
      <c r="N748" t="e">
        <f>VLOOKUP(Tabelle9[[#This Row],[Rank]],Stammdaten[[Rank Verteilung Abholzigkeit]:[Verteilung Abholzigkeit]],2,FALSE)</f>
        <v>#N/A</v>
      </c>
      <c r="S748">
        <v>739</v>
      </c>
      <c r="T748" t="e">
        <f>INDEX(Stammdaten[Krümmung (mm/lfm)],MATCH(Tabelle10[[#This Row],[Rank]],Stammdaten[Rank Verteilung Krümmung],0))</f>
        <v>#N/A</v>
      </c>
      <c r="U748" t="e">
        <f>VLOOKUP(Tabelle10[[#This Row],[Rank]],Stammdaten[[Rank Verteilung Krümmung]:[Verteilung Krümmung]],2,FALSE)</f>
        <v>#N/A</v>
      </c>
      <c r="Z748">
        <v>739</v>
      </c>
      <c r="AA748" t="e">
        <f>INDEX(Stammdaten[Ovalität (']0,1'])],MATCH(Tabelle1014[[#This Row],[Rank]],Stammdaten[Rank Verteilung Ovalität],0))</f>
        <v>#N/A</v>
      </c>
      <c r="AB748" t="e">
        <f>VLOOKUP(Tabelle1014[[#This Row],[Rank]],Stammdaten[[Rank Verteilung Ovalität]:[Verteilung Ovalität]],2,FALSE)</f>
        <v>#N/A</v>
      </c>
    </row>
    <row r="749" spans="5:28" x14ac:dyDescent="0.35">
      <c r="E749">
        <v>740</v>
      </c>
      <c r="F749" t="e">
        <f>INDEX(Stammdaten[D Mitte mit Rinde (mm)],MATCH(Tabelle8[[#This Row],[Rank]],Stammdaten[Rank Verteilung D Mitte mit Rinde],0))</f>
        <v>#N/A</v>
      </c>
      <c r="G749" t="e">
        <f>VLOOKUP(Tabelle8[[#This Row],[Rank]],Stammdaten[[Rank Verteilung D Mitte mit Rinde]:[Verteilung D Mitte mit Rinde]],2,FALSE)</f>
        <v>#N/A</v>
      </c>
      <c r="L749">
        <v>740</v>
      </c>
      <c r="M749" t="e">
        <f>INDEX(Stammdaten[Abholzigkeit (mm/lfm)],MATCH(Tabelle9[[#This Row],[Rank]],Stammdaten[Rank Verteilung Abholzigkeit],0))</f>
        <v>#N/A</v>
      </c>
      <c r="N749" t="e">
        <f>VLOOKUP(Tabelle9[[#This Row],[Rank]],Stammdaten[[Rank Verteilung Abholzigkeit]:[Verteilung Abholzigkeit]],2,FALSE)</f>
        <v>#N/A</v>
      </c>
      <c r="S749">
        <v>740</v>
      </c>
      <c r="T749" t="e">
        <f>INDEX(Stammdaten[Krümmung (mm/lfm)],MATCH(Tabelle10[[#This Row],[Rank]],Stammdaten[Rank Verteilung Krümmung],0))</f>
        <v>#N/A</v>
      </c>
      <c r="U749" t="e">
        <f>VLOOKUP(Tabelle10[[#This Row],[Rank]],Stammdaten[[Rank Verteilung Krümmung]:[Verteilung Krümmung]],2,FALSE)</f>
        <v>#N/A</v>
      </c>
      <c r="Z749">
        <v>740</v>
      </c>
      <c r="AA749" t="e">
        <f>INDEX(Stammdaten[Ovalität (']0,1'])],MATCH(Tabelle1014[[#This Row],[Rank]],Stammdaten[Rank Verteilung Ovalität],0))</f>
        <v>#N/A</v>
      </c>
      <c r="AB749" t="e">
        <f>VLOOKUP(Tabelle1014[[#This Row],[Rank]],Stammdaten[[Rank Verteilung Ovalität]:[Verteilung Ovalität]],2,FALSE)</f>
        <v>#N/A</v>
      </c>
    </row>
    <row r="750" spans="5:28" x14ac:dyDescent="0.35">
      <c r="E750">
        <v>741</v>
      </c>
      <c r="F750" t="e">
        <f>INDEX(Stammdaten[D Mitte mit Rinde (mm)],MATCH(Tabelle8[[#This Row],[Rank]],Stammdaten[Rank Verteilung D Mitte mit Rinde],0))</f>
        <v>#N/A</v>
      </c>
      <c r="G750" t="e">
        <f>VLOOKUP(Tabelle8[[#This Row],[Rank]],Stammdaten[[Rank Verteilung D Mitte mit Rinde]:[Verteilung D Mitte mit Rinde]],2,FALSE)</f>
        <v>#N/A</v>
      </c>
      <c r="L750">
        <v>741</v>
      </c>
      <c r="M750" t="e">
        <f>INDEX(Stammdaten[Abholzigkeit (mm/lfm)],MATCH(Tabelle9[[#This Row],[Rank]],Stammdaten[Rank Verteilung Abholzigkeit],0))</f>
        <v>#N/A</v>
      </c>
      <c r="N750" t="e">
        <f>VLOOKUP(Tabelle9[[#This Row],[Rank]],Stammdaten[[Rank Verteilung Abholzigkeit]:[Verteilung Abholzigkeit]],2,FALSE)</f>
        <v>#N/A</v>
      </c>
      <c r="S750">
        <v>741</v>
      </c>
      <c r="T750" t="e">
        <f>INDEX(Stammdaten[Krümmung (mm/lfm)],MATCH(Tabelle10[[#This Row],[Rank]],Stammdaten[Rank Verteilung Krümmung],0))</f>
        <v>#N/A</v>
      </c>
      <c r="U750" t="e">
        <f>VLOOKUP(Tabelle10[[#This Row],[Rank]],Stammdaten[[Rank Verteilung Krümmung]:[Verteilung Krümmung]],2,FALSE)</f>
        <v>#N/A</v>
      </c>
      <c r="Z750">
        <v>741</v>
      </c>
      <c r="AA750" t="e">
        <f>INDEX(Stammdaten[Ovalität (']0,1'])],MATCH(Tabelle1014[[#This Row],[Rank]],Stammdaten[Rank Verteilung Ovalität],0))</f>
        <v>#N/A</v>
      </c>
      <c r="AB750" t="e">
        <f>VLOOKUP(Tabelle1014[[#This Row],[Rank]],Stammdaten[[Rank Verteilung Ovalität]:[Verteilung Ovalität]],2,FALSE)</f>
        <v>#N/A</v>
      </c>
    </row>
    <row r="751" spans="5:28" x14ac:dyDescent="0.35">
      <c r="E751">
        <v>742</v>
      </c>
      <c r="F751" t="e">
        <f>INDEX(Stammdaten[D Mitte mit Rinde (mm)],MATCH(Tabelle8[[#This Row],[Rank]],Stammdaten[Rank Verteilung D Mitte mit Rinde],0))</f>
        <v>#N/A</v>
      </c>
      <c r="G751" t="e">
        <f>VLOOKUP(Tabelle8[[#This Row],[Rank]],Stammdaten[[Rank Verteilung D Mitte mit Rinde]:[Verteilung D Mitte mit Rinde]],2,FALSE)</f>
        <v>#N/A</v>
      </c>
      <c r="L751">
        <v>742</v>
      </c>
      <c r="M751" t="e">
        <f>INDEX(Stammdaten[Abholzigkeit (mm/lfm)],MATCH(Tabelle9[[#This Row],[Rank]],Stammdaten[Rank Verteilung Abholzigkeit],0))</f>
        <v>#N/A</v>
      </c>
      <c r="N751" t="e">
        <f>VLOOKUP(Tabelle9[[#This Row],[Rank]],Stammdaten[[Rank Verteilung Abholzigkeit]:[Verteilung Abholzigkeit]],2,FALSE)</f>
        <v>#N/A</v>
      </c>
      <c r="S751">
        <v>742</v>
      </c>
      <c r="T751" t="e">
        <f>INDEX(Stammdaten[Krümmung (mm/lfm)],MATCH(Tabelle10[[#This Row],[Rank]],Stammdaten[Rank Verteilung Krümmung],0))</f>
        <v>#N/A</v>
      </c>
      <c r="U751" t="e">
        <f>VLOOKUP(Tabelle10[[#This Row],[Rank]],Stammdaten[[Rank Verteilung Krümmung]:[Verteilung Krümmung]],2,FALSE)</f>
        <v>#N/A</v>
      </c>
      <c r="Z751">
        <v>742</v>
      </c>
      <c r="AA751" t="e">
        <f>INDEX(Stammdaten[Ovalität (']0,1'])],MATCH(Tabelle1014[[#This Row],[Rank]],Stammdaten[Rank Verteilung Ovalität],0))</f>
        <v>#N/A</v>
      </c>
      <c r="AB751" t="e">
        <f>VLOOKUP(Tabelle1014[[#This Row],[Rank]],Stammdaten[[Rank Verteilung Ovalität]:[Verteilung Ovalität]],2,FALSE)</f>
        <v>#N/A</v>
      </c>
    </row>
    <row r="752" spans="5:28" x14ac:dyDescent="0.35">
      <c r="E752">
        <v>743</v>
      </c>
      <c r="F752" t="e">
        <f>INDEX(Stammdaten[D Mitte mit Rinde (mm)],MATCH(Tabelle8[[#This Row],[Rank]],Stammdaten[Rank Verteilung D Mitte mit Rinde],0))</f>
        <v>#N/A</v>
      </c>
      <c r="G752" t="e">
        <f>VLOOKUP(Tabelle8[[#This Row],[Rank]],Stammdaten[[Rank Verteilung D Mitte mit Rinde]:[Verteilung D Mitte mit Rinde]],2,FALSE)</f>
        <v>#N/A</v>
      </c>
      <c r="L752">
        <v>743</v>
      </c>
      <c r="M752" t="e">
        <f>INDEX(Stammdaten[Abholzigkeit (mm/lfm)],MATCH(Tabelle9[[#This Row],[Rank]],Stammdaten[Rank Verteilung Abholzigkeit],0))</f>
        <v>#N/A</v>
      </c>
      <c r="N752" t="e">
        <f>VLOOKUP(Tabelle9[[#This Row],[Rank]],Stammdaten[[Rank Verteilung Abholzigkeit]:[Verteilung Abholzigkeit]],2,FALSE)</f>
        <v>#N/A</v>
      </c>
      <c r="S752">
        <v>743</v>
      </c>
      <c r="T752" t="e">
        <f>INDEX(Stammdaten[Krümmung (mm/lfm)],MATCH(Tabelle10[[#This Row],[Rank]],Stammdaten[Rank Verteilung Krümmung],0))</f>
        <v>#N/A</v>
      </c>
      <c r="U752" t="e">
        <f>VLOOKUP(Tabelle10[[#This Row],[Rank]],Stammdaten[[Rank Verteilung Krümmung]:[Verteilung Krümmung]],2,FALSE)</f>
        <v>#N/A</v>
      </c>
      <c r="Z752">
        <v>743</v>
      </c>
      <c r="AA752" t="e">
        <f>INDEX(Stammdaten[Ovalität (']0,1'])],MATCH(Tabelle1014[[#This Row],[Rank]],Stammdaten[Rank Verteilung Ovalität],0))</f>
        <v>#N/A</v>
      </c>
      <c r="AB752" t="e">
        <f>VLOOKUP(Tabelle1014[[#This Row],[Rank]],Stammdaten[[Rank Verteilung Ovalität]:[Verteilung Ovalität]],2,FALSE)</f>
        <v>#N/A</v>
      </c>
    </row>
    <row r="753" spans="5:28" x14ac:dyDescent="0.35">
      <c r="E753">
        <v>744</v>
      </c>
      <c r="F753" t="e">
        <f>INDEX(Stammdaten[D Mitte mit Rinde (mm)],MATCH(Tabelle8[[#This Row],[Rank]],Stammdaten[Rank Verteilung D Mitte mit Rinde],0))</f>
        <v>#N/A</v>
      </c>
      <c r="G753" t="e">
        <f>VLOOKUP(Tabelle8[[#This Row],[Rank]],Stammdaten[[Rank Verteilung D Mitte mit Rinde]:[Verteilung D Mitte mit Rinde]],2,FALSE)</f>
        <v>#N/A</v>
      </c>
      <c r="L753">
        <v>744</v>
      </c>
      <c r="M753" t="e">
        <f>INDEX(Stammdaten[Abholzigkeit (mm/lfm)],MATCH(Tabelle9[[#This Row],[Rank]],Stammdaten[Rank Verteilung Abholzigkeit],0))</f>
        <v>#N/A</v>
      </c>
      <c r="N753" t="e">
        <f>VLOOKUP(Tabelle9[[#This Row],[Rank]],Stammdaten[[Rank Verteilung Abholzigkeit]:[Verteilung Abholzigkeit]],2,FALSE)</f>
        <v>#N/A</v>
      </c>
      <c r="S753">
        <v>744</v>
      </c>
      <c r="T753" t="e">
        <f>INDEX(Stammdaten[Krümmung (mm/lfm)],MATCH(Tabelle10[[#This Row],[Rank]],Stammdaten[Rank Verteilung Krümmung],0))</f>
        <v>#N/A</v>
      </c>
      <c r="U753" t="e">
        <f>VLOOKUP(Tabelle10[[#This Row],[Rank]],Stammdaten[[Rank Verteilung Krümmung]:[Verteilung Krümmung]],2,FALSE)</f>
        <v>#N/A</v>
      </c>
      <c r="Z753">
        <v>744</v>
      </c>
      <c r="AA753" t="e">
        <f>INDEX(Stammdaten[Ovalität (']0,1'])],MATCH(Tabelle1014[[#This Row],[Rank]],Stammdaten[Rank Verteilung Ovalität],0))</f>
        <v>#N/A</v>
      </c>
      <c r="AB753" t="e">
        <f>VLOOKUP(Tabelle1014[[#This Row],[Rank]],Stammdaten[[Rank Verteilung Ovalität]:[Verteilung Ovalität]],2,FALSE)</f>
        <v>#N/A</v>
      </c>
    </row>
    <row r="754" spans="5:28" x14ac:dyDescent="0.35">
      <c r="E754">
        <v>745</v>
      </c>
      <c r="F754" t="e">
        <f>INDEX(Stammdaten[D Mitte mit Rinde (mm)],MATCH(Tabelle8[[#This Row],[Rank]],Stammdaten[Rank Verteilung D Mitte mit Rinde],0))</f>
        <v>#N/A</v>
      </c>
      <c r="G754" t="e">
        <f>VLOOKUP(Tabelle8[[#This Row],[Rank]],Stammdaten[[Rank Verteilung D Mitte mit Rinde]:[Verteilung D Mitte mit Rinde]],2,FALSE)</f>
        <v>#N/A</v>
      </c>
      <c r="L754">
        <v>745</v>
      </c>
      <c r="M754" t="e">
        <f>INDEX(Stammdaten[Abholzigkeit (mm/lfm)],MATCH(Tabelle9[[#This Row],[Rank]],Stammdaten[Rank Verteilung Abholzigkeit],0))</f>
        <v>#N/A</v>
      </c>
      <c r="N754" t="e">
        <f>VLOOKUP(Tabelle9[[#This Row],[Rank]],Stammdaten[[Rank Verteilung Abholzigkeit]:[Verteilung Abholzigkeit]],2,FALSE)</f>
        <v>#N/A</v>
      </c>
      <c r="S754">
        <v>745</v>
      </c>
      <c r="T754" t="e">
        <f>INDEX(Stammdaten[Krümmung (mm/lfm)],MATCH(Tabelle10[[#This Row],[Rank]],Stammdaten[Rank Verteilung Krümmung],0))</f>
        <v>#N/A</v>
      </c>
      <c r="U754" t="e">
        <f>VLOOKUP(Tabelle10[[#This Row],[Rank]],Stammdaten[[Rank Verteilung Krümmung]:[Verteilung Krümmung]],2,FALSE)</f>
        <v>#N/A</v>
      </c>
      <c r="Z754">
        <v>745</v>
      </c>
      <c r="AA754" t="e">
        <f>INDEX(Stammdaten[Ovalität (']0,1'])],MATCH(Tabelle1014[[#This Row],[Rank]],Stammdaten[Rank Verteilung Ovalität],0))</f>
        <v>#N/A</v>
      </c>
      <c r="AB754" t="e">
        <f>VLOOKUP(Tabelle1014[[#This Row],[Rank]],Stammdaten[[Rank Verteilung Ovalität]:[Verteilung Ovalität]],2,FALSE)</f>
        <v>#N/A</v>
      </c>
    </row>
    <row r="755" spans="5:28" x14ac:dyDescent="0.35">
      <c r="E755">
        <v>746</v>
      </c>
      <c r="F755" t="e">
        <f>INDEX(Stammdaten[D Mitte mit Rinde (mm)],MATCH(Tabelle8[[#This Row],[Rank]],Stammdaten[Rank Verteilung D Mitte mit Rinde],0))</f>
        <v>#N/A</v>
      </c>
      <c r="G755" t="e">
        <f>VLOOKUP(Tabelle8[[#This Row],[Rank]],Stammdaten[[Rank Verteilung D Mitte mit Rinde]:[Verteilung D Mitte mit Rinde]],2,FALSE)</f>
        <v>#N/A</v>
      </c>
      <c r="L755">
        <v>746</v>
      </c>
      <c r="M755" t="e">
        <f>INDEX(Stammdaten[Abholzigkeit (mm/lfm)],MATCH(Tabelle9[[#This Row],[Rank]],Stammdaten[Rank Verteilung Abholzigkeit],0))</f>
        <v>#N/A</v>
      </c>
      <c r="N755" t="e">
        <f>VLOOKUP(Tabelle9[[#This Row],[Rank]],Stammdaten[[Rank Verteilung Abholzigkeit]:[Verteilung Abholzigkeit]],2,FALSE)</f>
        <v>#N/A</v>
      </c>
      <c r="S755">
        <v>746</v>
      </c>
      <c r="T755" t="e">
        <f>INDEX(Stammdaten[Krümmung (mm/lfm)],MATCH(Tabelle10[[#This Row],[Rank]],Stammdaten[Rank Verteilung Krümmung],0))</f>
        <v>#N/A</v>
      </c>
      <c r="U755" t="e">
        <f>VLOOKUP(Tabelle10[[#This Row],[Rank]],Stammdaten[[Rank Verteilung Krümmung]:[Verteilung Krümmung]],2,FALSE)</f>
        <v>#N/A</v>
      </c>
      <c r="Z755">
        <v>746</v>
      </c>
      <c r="AA755" t="e">
        <f>INDEX(Stammdaten[Ovalität (']0,1'])],MATCH(Tabelle1014[[#This Row],[Rank]],Stammdaten[Rank Verteilung Ovalität],0))</f>
        <v>#N/A</v>
      </c>
      <c r="AB755" t="e">
        <f>VLOOKUP(Tabelle1014[[#This Row],[Rank]],Stammdaten[[Rank Verteilung Ovalität]:[Verteilung Ovalität]],2,FALSE)</f>
        <v>#N/A</v>
      </c>
    </row>
    <row r="756" spans="5:28" x14ac:dyDescent="0.35">
      <c r="E756">
        <v>747</v>
      </c>
      <c r="F756" t="e">
        <f>INDEX(Stammdaten[D Mitte mit Rinde (mm)],MATCH(Tabelle8[[#This Row],[Rank]],Stammdaten[Rank Verteilung D Mitte mit Rinde],0))</f>
        <v>#N/A</v>
      </c>
      <c r="G756" t="e">
        <f>VLOOKUP(Tabelle8[[#This Row],[Rank]],Stammdaten[[Rank Verteilung D Mitte mit Rinde]:[Verteilung D Mitte mit Rinde]],2,FALSE)</f>
        <v>#N/A</v>
      </c>
      <c r="L756">
        <v>747</v>
      </c>
      <c r="M756" t="e">
        <f>INDEX(Stammdaten[Abholzigkeit (mm/lfm)],MATCH(Tabelle9[[#This Row],[Rank]],Stammdaten[Rank Verteilung Abholzigkeit],0))</f>
        <v>#N/A</v>
      </c>
      <c r="N756" t="e">
        <f>VLOOKUP(Tabelle9[[#This Row],[Rank]],Stammdaten[[Rank Verteilung Abholzigkeit]:[Verteilung Abholzigkeit]],2,FALSE)</f>
        <v>#N/A</v>
      </c>
      <c r="S756">
        <v>747</v>
      </c>
      <c r="T756" t="e">
        <f>INDEX(Stammdaten[Krümmung (mm/lfm)],MATCH(Tabelle10[[#This Row],[Rank]],Stammdaten[Rank Verteilung Krümmung],0))</f>
        <v>#N/A</v>
      </c>
      <c r="U756" t="e">
        <f>VLOOKUP(Tabelle10[[#This Row],[Rank]],Stammdaten[[Rank Verteilung Krümmung]:[Verteilung Krümmung]],2,FALSE)</f>
        <v>#N/A</v>
      </c>
      <c r="Z756">
        <v>747</v>
      </c>
      <c r="AA756" t="e">
        <f>INDEX(Stammdaten[Ovalität (']0,1'])],MATCH(Tabelle1014[[#This Row],[Rank]],Stammdaten[Rank Verteilung Ovalität],0))</f>
        <v>#N/A</v>
      </c>
      <c r="AB756" t="e">
        <f>VLOOKUP(Tabelle1014[[#This Row],[Rank]],Stammdaten[[Rank Verteilung Ovalität]:[Verteilung Ovalität]],2,FALSE)</f>
        <v>#N/A</v>
      </c>
    </row>
    <row r="757" spans="5:28" x14ac:dyDescent="0.35">
      <c r="E757">
        <v>748</v>
      </c>
      <c r="F757" t="e">
        <f>INDEX(Stammdaten[D Mitte mit Rinde (mm)],MATCH(Tabelle8[[#This Row],[Rank]],Stammdaten[Rank Verteilung D Mitte mit Rinde],0))</f>
        <v>#N/A</v>
      </c>
      <c r="G757" t="e">
        <f>VLOOKUP(Tabelle8[[#This Row],[Rank]],Stammdaten[[Rank Verteilung D Mitte mit Rinde]:[Verteilung D Mitte mit Rinde]],2,FALSE)</f>
        <v>#N/A</v>
      </c>
      <c r="L757">
        <v>748</v>
      </c>
      <c r="M757" t="e">
        <f>INDEX(Stammdaten[Abholzigkeit (mm/lfm)],MATCH(Tabelle9[[#This Row],[Rank]],Stammdaten[Rank Verteilung Abholzigkeit],0))</f>
        <v>#N/A</v>
      </c>
      <c r="N757" t="e">
        <f>VLOOKUP(Tabelle9[[#This Row],[Rank]],Stammdaten[[Rank Verteilung Abholzigkeit]:[Verteilung Abholzigkeit]],2,FALSE)</f>
        <v>#N/A</v>
      </c>
      <c r="S757">
        <v>748</v>
      </c>
      <c r="T757" t="e">
        <f>INDEX(Stammdaten[Krümmung (mm/lfm)],MATCH(Tabelle10[[#This Row],[Rank]],Stammdaten[Rank Verteilung Krümmung],0))</f>
        <v>#N/A</v>
      </c>
      <c r="U757" t="e">
        <f>VLOOKUP(Tabelle10[[#This Row],[Rank]],Stammdaten[[Rank Verteilung Krümmung]:[Verteilung Krümmung]],2,FALSE)</f>
        <v>#N/A</v>
      </c>
      <c r="Z757">
        <v>748</v>
      </c>
      <c r="AA757" t="e">
        <f>INDEX(Stammdaten[Ovalität (']0,1'])],MATCH(Tabelle1014[[#This Row],[Rank]],Stammdaten[Rank Verteilung Ovalität],0))</f>
        <v>#N/A</v>
      </c>
      <c r="AB757" t="e">
        <f>VLOOKUP(Tabelle1014[[#This Row],[Rank]],Stammdaten[[Rank Verteilung Ovalität]:[Verteilung Ovalität]],2,FALSE)</f>
        <v>#N/A</v>
      </c>
    </row>
    <row r="758" spans="5:28" x14ac:dyDescent="0.35">
      <c r="E758">
        <v>749</v>
      </c>
      <c r="F758" t="e">
        <f>INDEX(Stammdaten[D Mitte mit Rinde (mm)],MATCH(Tabelle8[[#This Row],[Rank]],Stammdaten[Rank Verteilung D Mitte mit Rinde],0))</f>
        <v>#N/A</v>
      </c>
      <c r="G758" t="e">
        <f>VLOOKUP(Tabelle8[[#This Row],[Rank]],Stammdaten[[Rank Verteilung D Mitte mit Rinde]:[Verteilung D Mitte mit Rinde]],2,FALSE)</f>
        <v>#N/A</v>
      </c>
      <c r="L758">
        <v>749</v>
      </c>
      <c r="M758" t="e">
        <f>INDEX(Stammdaten[Abholzigkeit (mm/lfm)],MATCH(Tabelle9[[#This Row],[Rank]],Stammdaten[Rank Verteilung Abholzigkeit],0))</f>
        <v>#N/A</v>
      </c>
      <c r="N758" t="e">
        <f>VLOOKUP(Tabelle9[[#This Row],[Rank]],Stammdaten[[Rank Verteilung Abholzigkeit]:[Verteilung Abholzigkeit]],2,FALSE)</f>
        <v>#N/A</v>
      </c>
      <c r="S758">
        <v>749</v>
      </c>
      <c r="T758" t="e">
        <f>INDEX(Stammdaten[Krümmung (mm/lfm)],MATCH(Tabelle10[[#This Row],[Rank]],Stammdaten[Rank Verteilung Krümmung],0))</f>
        <v>#N/A</v>
      </c>
      <c r="U758" t="e">
        <f>VLOOKUP(Tabelle10[[#This Row],[Rank]],Stammdaten[[Rank Verteilung Krümmung]:[Verteilung Krümmung]],2,FALSE)</f>
        <v>#N/A</v>
      </c>
      <c r="Z758">
        <v>749</v>
      </c>
      <c r="AA758" t="e">
        <f>INDEX(Stammdaten[Ovalität (']0,1'])],MATCH(Tabelle1014[[#This Row],[Rank]],Stammdaten[Rank Verteilung Ovalität],0))</f>
        <v>#N/A</v>
      </c>
      <c r="AB758" t="e">
        <f>VLOOKUP(Tabelle1014[[#This Row],[Rank]],Stammdaten[[Rank Verteilung Ovalität]:[Verteilung Ovalität]],2,FALSE)</f>
        <v>#N/A</v>
      </c>
    </row>
    <row r="759" spans="5:28" x14ac:dyDescent="0.35">
      <c r="E759">
        <v>750</v>
      </c>
      <c r="F759" t="e">
        <f>INDEX(Stammdaten[D Mitte mit Rinde (mm)],MATCH(Tabelle8[[#This Row],[Rank]],Stammdaten[Rank Verteilung D Mitte mit Rinde],0))</f>
        <v>#N/A</v>
      </c>
      <c r="G759" t="e">
        <f>VLOOKUP(Tabelle8[[#This Row],[Rank]],Stammdaten[[Rank Verteilung D Mitte mit Rinde]:[Verteilung D Mitte mit Rinde]],2,FALSE)</f>
        <v>#N/A</v>
      </c>
      <c r="L759">
        <v>750</v>
      </c>
      <c r="M759" t="e">
        <f>INDEX(Stammdaten[Abholzigkeit (mm/lfm)],MATCH(Tabelle9[[#This Row],[Rank]],Stammdaten[Rank Verteilung Abholzigkeit],0))</f>
        <v>#N/A</v>
      </c>
      <c r="N759" t="e">
        <f>VLOOKUP(Tabelle9[[#This Row],[Rank]],Stammdaten[[Rank Verteilung Abholzigkeit]:[Verteilung Abholzigkeit]],2,FALSE)</f>
        <v>#N/A</v>
      </c>
      <c r="S759">
        <v>750</v>
      </c>
      <c r="T759" t="e">
        <f>INDEX(Stammdaten[Krümmung (mm/lfm)],MATCH(Tabelle10[[#This Row],[Rank]],Stammdaten[Rank Verteilung Krümmung],0))</f>
        <v>#N/A</v>
      </c>
      <c r="U759" t="e">
        <f>VLOOKUP(Tabelle10[[#This Row],[Rank]],Stammdaten[[Rank Verteilung Krümmung]:[Verteilung Krümmung]],2,FALSE)</f>
        <v>#N/A</v>
      </c>
      <c r="Z759">
        <v>750</v>
      </c>
      <c r="AA759" t="e">
        <f>INDEX(Stammdaten[Ovalität (']0,1'])],MATCH(Tabelle1014[[#This Row],[Rank]],Stammdaten[Rank Verteilung Ovalität],0))</f>
        <v>#N/A</v>
      </c>
      <c r="AB759" t="e">
        <f>VLOOKUP(Tabelle1014[[#This Row],[Rank]],Stammdaten[[Rank Verteilung Ovalität]:[Verteilung Ovalität]],2,FALSE)</f>
        <v>#N/A</v>
      </c>
    </row>
    <row r="760" spans="5:28" x14ac:dyDescent="0.35">
      <c r="E760">
        <v>751</v>
      </c>
      <c r="F760" t="e">
        <f>INDEX(Stammdaten[D Mitte mit Rinde (mm)],MATCH(Tabelle8[[#This Row],[Rank]],Stammdaten[Rank Verteilung D Mitte mit Rinde],0))</f>
        <v>#N/A</v>
      </c>
      <c r="G760" t="e">
        <f>VLOOKUP(Tabelle8[[#This Row],[Rank]],Stammdaten[[Rank Verteilung D Mitte mit Rinde]:[Verteilung D Mitte mit Rinde]],2,FALSE)</f>
        <v>#N/A</v>
      </c>
      <c r="L760">
        <v>751</v>
      </c>
      <c r="M760" t="e">
        <f>INDEX(Stammdaten[Abholzigkeit (mm/lfm)],MATCH(Tabelle9[[#This Row],[Rank]],Stammdaten[Rank Verteilung Abholzigkeit],0))</f>
        <v>#N/A</v>
      </c>
      <c r="N760" t="e">
        <f>VLOOKUP(Tabelle9[[#This Row],[Rank]],Stammdaten[[Rank Verteilung Abholzigkeit]:[Verteilung Abholzigkeit]],2,FALSE)</f>
        <v>#N/A</v>
      </c>
      <c r="S760">
        <v>751</v>
      </c>
      <c r="T760" t="e">
        <f>INDEX(Stammdaten[Krümmung (mm/lfm)],MATCH(Tabelle10[[#This Row],[Rank]],Stammdaten[Rank Verteilung Krümmung],0))</f>
        <v>#N/A</v>
      </c>
      <c r="U760" t="e">
        <f>VLOOKUP(Tabelle10[[#This Row],[Rank]],Stammdaten[[Rank Verteilung Krümmung]:[Verteilung Krümmung]],2,FALSE)</f>
        <v>#N/A</v>
      </c>
      <c r="Z760">
        <v>751</v>
      </c>
      <c r="AA760" t="e">
        <f>INDEX(Stammdaten[Ovalität (']0,1'])],MATCH(Tabelle1014[[#This Row],[Rank]],Stammdaten[Rank Verteilung Ovalität],0))</f>
        <v>#N/A</v>
      </c>
      <c r="AB760" t="e">
        <f>VLOOKUP(Tabelle1014[[#This Row],[Rank]],Stammdaten[[Rank Verteilung Ovalität]:[Verteilung Ovalität]],2,FALSE)</f>
        <v>#N/A</v>
      </c>
    </row>
    <row r="761" spans="5:28" x14ac:dyDescent="0.35">
      <c r="E761">
        <v>752</v>
      </c>
      <c r="F761" t="e">
        <f>INDEX(Stammdaten[D Mitte mit Rinde (mm)],MATCH(Tabelle8[[#This Row],[Rank]],Stammdaten[Rank Verteilung D Mitte mit Rinde],0))</f>
        <v>#N/A</v>
      </c>
      <c r="G761" t="e">
        <f>VLOOKUP(Tabelle8[[#This Row],[Rank]],Stammdaten[[Rank Verteilung D Mitte mit Rinde]:[Verteilung D Mitte mit Rinde]],2,FALSE)</f>
        <v>#N/A</v>
      </c>
      <c r="L761">
        <v>752</v>
      </c>
      <c r="M761" t="e">
        <f>INDEX(Stammdaten[Abholzigkeit (mm/lfm)],MATCH(Tabelle9[[#This Row],[Rank]],Stammdaten[Rank Verteilung Abholzigkeit],0))</f>
        <v>#N/A</v>
      </c>
      <c r="N761" t="e">
        <f>VLOOKUP(Tabelle9[[#This Row],[Rank]],Stammdaten[[Rank Verteilung Abholzigkeit]:[Verteilung Abholzigkeit]],2,FALSE)</f>
        <v>#N/A</v>
      </c>
      <c r="S761">
        <v>752</v>
      </c>
      <c r="T761" t="e">
        <f>INDEX(Stammdaten[Krümmung (mm/lfm)],MATCH(Tabelle10[[#This Row],[Rank]],Stammdaten[Rank Verteilung Krümmung],0))</f>
        <v>#N/A</v>
      </c>
      <c r="U761" t="e">
        <f>VLOOKUP(Tabelle10[[#This Row],[Rank]],Stammdaten[[Rank Verteilung Krümmung]:[Verteilung Krümmung]],2,FALSE)</f>
        <v>#N/A</v>
      </c>
      <c r="Z761">
        <v>752</v>
      </c>
      <c r="AA761" t="e">
        <f>INDEX(Stammdaten[Ovalität (']0,1'])],MATCH(Tabelle1014[[#This Row],[Rank]],Stammdaten[Rank Verteilung Ovalität],0))</f>
        <v>#N/A</v>
      </c>
      <c r="AB761" t="e">
        <f>VLOOKUP(Tabelle1014[[#This Row],[Rank]],Stammdaten[[Rank Verteilung Ovalität]:[Verteilung Ovalität]],2,FALSE)</f>
        <v>#N/A</v>
      </c>
    </row>
    <row r="762" spans="5:28" x14ac:dyDescent="0.35">
      <c r="E762">
        <v>753</v>
      </c>
      <c r="F762" t="e">
        <f>INDEX(Stammdaten[D Mitte mit Rinde (mm)],MATCH(Tabelle8[[#This Row],[Rank]],Stammdaten[Rank Verteilung D Mitte mit Rinde],0))</f>
        <v>#N/A</v>
      </c>
      <c r="G762" t="e">
        <f>VLOOKUP(Tabelle8[[#This Row],[Rank]],Stammdaten[[Rank Verteilung D Mitte mit Rinde]:[Verteilung D Mitte mit Rinde]],2,FALSE)</f>
        <v>#N/A</v>
      </c>
      <c r="L762">
        <v>753</v>
      </c>
      <c r="M762" t="e">
        <f>INDEX(Stammdaten[Abholzigkeit (mm/lfm)],MATCH(Tabelle9[[#This Row],[Rank]],Stammdaten[Rank Verteilung Abholzigkeit],0))</f>
        <v>#N/A</v>
      </c>
      <c r="N762" t="e">
        <f>VLOOKUP(Tabelle9[[#This Row],[Rank]],Stammdaten[[Rank Verteilung Abholzigkeit]:[Verteilung Abholzigkeit]],2,FALSE)</f>
        <v>#N/A</v>
      </c>
      <c r="S762">
        <v>753</v>
      </c>
      <c r="T762" t="e">
        <f>INDEX(Stammdaten[Krümmung (mm/lfm)],MATCH(Tabelle10[[#This Row],[Rank]],Stammdaten[Rank Verteilung Krümmung],0))</f>
        <v>#N/A</v>
      </c>
      <c r="U762" t="e">
        <f>VLOOKUP(Tabelle10[[#This Row],[Rank]],Stammdaten[[Rank Verteilung Krümmung]:[Verteilung Krümmung]],2,FALSE)</f>
        <v>#N/A</v>
      </c>
      <c r="Z762">
        <v>753</v>
      </c>
      <c r="AA762" t="e">
        <f>INDEX(Stammdaten[Ovalität (']0,1'])],MATCH(Tabelle1014[[#This Row],[Rank]],Stammdaten[Rank Verteilung Ovalität],0))</f>
        <v>#N/A</v>
      </c>
      <c r="AB762" t="e">
        <f>VLOOKUP(Tabelle1014[[#This Row],[Rank]],Stammdaten[[Rank Verteilung Ovalität]:[Verteilung Ovalität]],2,FALSE)</f>
        <v>#N/A</v>
      </c>
    </row>
    <row r="763" spans="5:28" x14ac:dyDescent="0.35">
      <c r="E763">
        <v>754</v>
      </c>
      <c r="F763" t="e">
        <f>INDEX(Stammdaten[D Mitte mit Rinde (mm)],MATCH(Tabelle8[[#This Row],[Rank]],Stammdaten[Rank Verteilung D Mitte mit Rinde],0))</f>
        <v>#N/A</v>
      </c>
      <c r="G763" t="e">
        <f>VLOOKUP(Tabelle8[[#This Row],[Rank]],Stammdaten[[Rank Verteilung D Mitte mit Rinde]:[Verteilung D Mitte mit Rinde]],2,FALSE)</f>
        <v>#N/A</v>
      </c>
      <c r="L763">
        <v>754</v>
      </c>
      <c r="M763" t="e">
        <f>INDEX(Stammdaten[Abholzigkeit (mm/lfm)],MATCH(Tabelle9[[#This Row],[Rank]],Stammdaten[Rank Verteilung Abholzigkeit],0))</f>
        <v>#N/A</v>
      </c>
      <c r="N763" t="e">
        <f>VLOOKUP(Tabelle9[[#This Row],[Rank]],Stammdaten[[Rank Verteilung Abholzigkeit]:[Verteilung Abholzigkeit]],2,FALSE)</f>
        <v>#N/A</v>
      </c>
      <c r="S763">
        <v>754</v>
      </c>
      <c r="T763" t="e">
        <f>INDEX(Stammdaten[Krümmung (mm/lfm)],MATCH(Tabelle10[[#This Row],[Rank]],Stammdaten[Rank Verteilung Krümmung],0))</f>
        <v>#N/A</v>
      </c>
      <c r="U763" t="e">
        <f>VLOOKUP(Tabelle10[[#This Row],[Rank]],Stammdaten[[Rank Verteilung Krümmung]:[Verteilung Krümmung]],2,FALSE)</f>
        <v>#N/A</v>
      </c>
      <c r="Z763">
        <v>754</v>
      </c>
      <c r="AA763" t="e">
        <f>INDEX(Stammdaten[Ovalität (']0,1'])],MATCH(Tabelle1014[[#This Row],[Rank]],Stammdaten[Rank Verteilung Ovalität],0))</f>
        <v>#N/A</v>
      </c>
      <c r="AB763" t="e">
        <f>VLOOKUP(Tabelle1014[[#This Row],[Rank]],Stammdaten[[Rank Verteilung Ovalität]:[Verteilung Ovalität]],2,FALSE)</f>
        <v>#N/A</v>
      </c>
    </row>
    <row r="764" spans="5:28" x14ac:dyDescent="0.35">
      <c r="E764">
        <v>755</v>
      </c>
      <c r="F764" t="e">
        <f>INDEX(Stammdaten[D Mitte mit Rinde (mm)],MATCH(Tabelle8[[#This Row],[Rank]],Stammdaten[Rank Verteilung D Mitte mit Rinde],0))</f>
        <v>#N/A</v>
      </c>
      <c r="G764" t="e">
        <f>VLOOKUP(Tabelle8[[#This Row],[Rank]],Stammdaten[[Rank Verteilung D Mitte mit Rinde]:[Verteilung D Mitte mit Rinde]],2,FALSE)</f>
        <v>#N/A</v>
      </c>
      <c r="L764">
        <v>755</v>
      </c>
      <c r="M764" t="e">
        <f>INDEX(Stammdaten[Abholzigkeit (mm/lfm)],MATCH(Tabelle9[[#This Row],[Rank]],Stammdaten[Rank Verteilung Abholzigkeit],0))</f>
        <v>#N/A</v>
      </c>
      <c r="N764" t="e">
        <f>VLOOKUP(Tabelle9[[#This Row],[Rank]],Stammdaten[[Rank Verteilung Abholzigkeit]:[Verteilung Abholzigkeit]],2,FALSE)</f>
        <v>#N/A</v>
      </c>
      <c r="S764">
        <v>755</v>
      </c>
      <c r="T764" t="e">
        <f>INDEX(Stammdaten[Krümmung (mm/lfm)],MATCH(Tabelle10[[#This Row],[Rank]],Stammdaten[Rank Verteilung Krümmung],0))</f>
        <v>#N/A</v>
      </c>
      <c r="U764" t="e">
        <f>VLOOKUP(Tabelle10[[#This Row],[Rank]],Stammdaten[[Rank Verteilung Krümmung]:[Verteilung Krümmung]],2,FALSE)</f>
        <v>#N/A</v>
      </c>
      <c r="Z764">
        <v>755</v>
      </c>
      <c r="AA764" t="e">
        <f>INDEX(Stammdaten[Ovalität (']0,1'])],MATCH(Tabelle1014[[#This Row],[Rank]],Stammdaten[Rank Verteilung Ovalität],0))</f>
        <v>#N/A</v>
      </c>
      <c r="AB764" t="e">
        <f>VLOOKUP(Tabelle1014[[#This Row],[Rank]],Stammdaten[[Rank Verteilung Ovalität]:[Verteilung Ovalität]],2,FALSE)</f>
        <v>#N/A</v>
      </c>
    </row>
    <row r="765" spans="5:28" x14ac:dyDescent="0.35">
      <c r="E765">
        <v>756</v>
      </c>
      <c r="F765" t="e">
        <f>INDEX(Stammdaten[D Mitte mit Rinde (mm)],MATCH(Tabelle8[[#This Row],[Rank]],Stammdaten[Rank Verteilung D Mitte mit Rinde],0))</f>
        <v>#N/A</v>
      </c>
      <c r="G765" t="e">
        <f>VLOOKUP(Tabelle8[[#This Row],[Rank]],Stammdaten[[Rank Verteilung D Mitte mit Rinde]:[Verteilung D Mitte mit Rinde]],2,FALSE)</f>
        <v>#N/A</v>
      </c>
      <c r="L765">
        <v>756</v>
      </c>
      <c r="M765" t="e">
        <f>INDEX(Stammdaten[Abholzigkeit (mm/lfm)],MATCH(Tabelle9[[#This Row],[Rank]],Stammdaten[Rank Verteilung Abholzigkeit],0))</f>
        <v>#N/A</v>
      </c>
      <c r="N765" t="e">
        <f>VLOOKUP(Tabelle9[[#This Row],[Rank]],Stammdaten[[Rank Verteilung Abholzigkeit]:[Verteilung Abholzigkeit]],2,FALSE)</f>
        <v>#N/A</v>
      </c>
      <c r="S765">
        <v>756</v>
      </c>
      <c r="T765" t="e">
        <f>INDEX(Stammdaten[Krümmung (mm/lfm)],MATCH(Tabelle10[[#This Row],[Rank]],Stammdaten[Rank Verteilung Krümmung],0))</f>
        <v>#N/A</v>
      </c>
      <c r="U765" t="e">
        <f>VLOOKUP(Tabelle10[[#This Row],[Rank]],Stammdaten[[Rank Verteilung Krümmung]:[Verteilung Krümmung]],2,FALSE)</f>
        <v>#N/A</v>
      </c>
      <c r="Z765">
        <v>756</v>
      </c>
      <c r="AA765" t="e">
        <f>INDEX(Stammdaten[Ovalität (']0,1'])],MATCH(Tabelle1014[[#This Row],[Rank]],Stammdaten[Rank Verteilung Ovalität],0))</f>
        <v>#N/A</v>
      </c>
      <c r="AB765" t="e">
        <f>VLOOKUP(Tabelle1014[[#This Row],[Rank]],Stammdaten[[Rank Verteilung Ovalität]:[Verteilung Ovalität]],2,FALSE)</f>
        <v>#N/A</v>
      </c>
    </row>
    <row r="766" spans="5:28" x14ac:dyDescent="0.35">
      <c r="E766">
        <v>757</v>
      </c>
      <c r="F766" t="e">
        <f>INDEX(Stammdaten[D Mitte mit Rinde (mm)],MATCH(Tabelle8[[#This Row],[Rank]],Stammdaten[Rank Verteilung D Mitte mit Rinde],0))</f>
        <v>#N/A</v>
      </c>
      <c r="G766" t="e">
        <f>VLOOKUP(Tabelle8[[#This Row],[Rank]],Stammdaten[[Rank Verteilung D Mitte mit Rinde]:[Verteilung D Mitte mit Rinde]],2,FALSE)</f>
        <v>#N/A</v>
      </c>
      <c r="L766">
        <v>757</v>
      </c>
      <c r="M766" t="e">
        <f>INDEX(Stammdaten[Abholzigkeit (mm/lfm)],MATCH(Tabelle9[[#This Row],[Rank]],Stammdaten[Rank Verteilung Abholzigkeit],0))</f>
        <v>#N/A</v>
      </c>
      <c r="N766" t="e">
        <f>VLOOKUP(Tabelle9[[#This Row],[Rank]],Stammdaten[[Rank Verteilung Abholzigkeit]:[Verteilung Abholzigkeit]],2,FALSE)</f>
        <v>#N/A</v>
      </c>
      <c r="S766">
        <v>757</v>
      </c>
      <c r="T766" t="e">
        <f>INDEX(Stammdaten[Krümmung (mm/lfm)],MATCH(Tabelle10[[#This Row],[Rank]],Stammdaten[Rank Verteilung Krümmung],0))</f>
        <v>#N/A</v>
      </c>
      <c r="U766" t="e">
        <f>VLOOKUP(Tabelle10[[#This Row],[Rank]],Stammdaten[[Rank Verteilung Krümmung]:[Verteilung Krümmung]],2,FALSE)</f>
        <v>#N/A</v>
      </c>
      <c r="Z766">
        <v>757</v>
      </c>
      <c r="AA766" t="e">
        <f>INDEX(Stammdaten[Ovalität (']0,1'])],MATCH(Tabelle1014[[#This Row],[Rank]],Stammdaten[Rank Verteilung Ovalität],0))</f>
        <v>#N/A</v>
      </c>
      <c r="AB766" t="e">
        <f>VLOOKUP(Tabelle1014[[#This Row],[Rank]],Stammdaten[[Rank Verteilung Ovalität]:[Verteilung Ovalität]],2,FALSE)</f>
        <v>#N/A</v>
      </c>
    </row>
    <row r="767" spans="5:28" x14ac:dyDescent="0.35">
      <c r="E767">
        <v>758</v>
      </c>
      <c r="F767" t="e">
        <f>INDEX(Stammdaten[D Mitte mit Rinde (mm)],MATCH(Tabelle8[[#This Row],[Rank]],Stammdaten[Rank Verteilung D Mitte mit Rinde],0))</f>
        <v>#N/A</v>
      </c>
      <c r="G767" t="e">
        <f>VLOOKUP(Tabelle8[[#This Row],[Rank]],Stammdaten[[Rank Verteilung D Mitte mit Rinde]:[Verteilung D Mitte mit Rinde]],2,FALSE)</f>
        <v>#N/A</v>
      </c>
      <c r="L767">
        <v>758</v>
      </c>
      <c r="M767" t="e">
        <f>INDEX(Stammdaten[Abholzigkeit (mm/lfm)],MATCH(Tabelle9[[#This Row],[Rank]],Stammdaten[Rank Verteilung Abholzigkeit],0))</f>
        <v>#N/A</v>
      </c>
      <c r="N767" t="e">
        <f>VLOOKUP(Tabelle9[[#This Row],[Rank]],Stammdaten[[Rank Verteilung Abholzigkeit]:[Verteilung Abholzigkeit]],2,FALSE)</f>
        <v>#N/A</v>
      </c>
      <c r="S767">
        <v>758</v>
      </c>
      <c r="T767" t="e">
        <f>INDEX(Stammdaten[Krümmung (mm/lfm)],MATCH(Tabelle10[[#This Row],[Rank]],Stammdaten[Rank Verteilung Krümmung],0))</f>
        <v>#N/A</v>
      </c>
      <c r="U767" t="e">
        <f>VLOOKUP(Tabelle10[[#This Row],[Rank]],Stammdaten[[Rank Verteilung Krümmung]:[Verteilung Krümmung]],2,FALSE)</f>
        <v>#N/A</v>
      </c>
      <c r="Z767">
        <v>758</v>
      </c>
      <c r="AA767" t="e">
        <f>INDEX(Stammdaten[Ovalität (']0,1'])],MATCH(Tabelle1014[[#This Row],[Rank]],Stammdaten[Rank Verteilung Ovalität],0))</f>
        <v>#N/A</v>
      </c>
      <c r="AB767" t="e">
        <f>VLOOKUP(Tabelle1014[[#This Row],[Rank]],Stammdaten[[Rank Verteilung Ovalität]:[Verteilung Ovalität]],2,FALSE)</f>
        <v>#N/A</v>
      </c>
    </row>
    <row r="768" spans="5:28" x14ac:dyDescent="0.35">
      <c r="E768">
        <v>759</v>
      </c>
      <c r="F768" t="e">
        <f>INDEX(Stammdaten[D Mitte mit Rinde (mm)],MATCH(Tabelle8[[#This Row],[Rank]],Stammdaten[Rank Verteilung D Mitte mit Rinde],0))</f>
        <v>#N/A</v>
      </c>
      <c r="G768" t="e">
        <f>VLOOKUP(Tabelle8[[#This Row],[Rank]],Stammdaten[[Rank Verteilung D Mitte mit Rinde]:[Verteilung D Mitte mit Rinde]],2,FALSE)</f>
        <v>#N/A</v>
      </c>
      <c r="L768">
        <v>759</v>
      </c>
      <c r="M768" t="e">
        <f>INDEX(Stammdaten[Abholzigkeit (mm/lfm)],MATCH(Tabelle9[[#This Row],[Rank]],Stammdaten[Rank Verteilung Abholzigkeit],0))</f>
        <v>#N/A</v>
      </c>
      <c r="N768" t="e">
        <f>VLOOKUP(Tabelle9[[#This Row],[Rank]],Stammdaten[[Rank Verteilung Abholzigkeit]:[Verteilung Abholzigkeit]],2,FALSE)</f>
        <v>#N/A</v>
      </c>
      <c r="S768">
        <v>759</v>
      </c>
      <c r="T768" t="e">
        <f>INDEX(Stammdaten[Krümmung (mm/lfm)],MATCH(Tabelle10[[#This Row],[Rank]],Stammdaten[Rank Verteilung Krümmung],0))</f>
        <v>#N/A</v>
      </c>
      <c r="U768" t="e">
        <f>VLOOKUP(Tabelle10[[#This Row],[Rank]],Stammdaten[[Rank Verteilung Krümmung]:[Verteilung Krümmung]],2,FALSE)</f>
        <v>#N/A</v>
      </c>
      <c r="Z768">
        <v>759</v>
      </c>
      <c r="AA768" t="e">
        <f>INDEX(Stammdaten[Ovalität (']0,1'])],MATCH(Tabelle1014[[#This Row],[Rank]],Stammdaten[Rank Verteilung Ovalität],0))</f>
        <v>#N/A</v>
      </c>
      <c r="AB768" t="e">
        <f>VLOOKUP(Tabelle1014[[#This Row],[Rank]],Stammdaten[[Rank Verteilung Ovalität]:[Verteilung Ovalität]],2,FALSE)</f>
        <v>#N/A</v>
      </c>
    </row>
    <row r="769" spans="5:28" x14ac:dyDescent="0.35">
      <c r="E769">
        <v>760</v>
      </c>
      <c r="F769" t="e">
        <f>INDEX(Stammdaten[D Mitte mit Rinde (mm)],MATCH(Tabelle8[[#This Row],[Rank]],Stammdaten[Rank Verteilung D Mitte mit Rinde],0))</f>
        <v>#N/A</v>
      </c>
      <c r="G769" t="e">
        <f>VLOOKUP(Tabelle8[[#This Row],[Rank]],Stammdaten[[Rank Verteilung D Mitte mit Rinde]:[Verteilung D Mitte mit Rinde]],2,FALSE)</f>
        <v>#N/A</v>
      </c>
      <c r="L769">
        <v>760</v>
      </c>
      <c r="M769" t="e">
        <f>INDEX(Stammdaten[Abholzigkeit (mm/lfm)],MATCH(Tabelle9[[#This Row],[Rank]],Stammdaten[Rank Verteilung Abholzigkeit],0))</f>
        <v>#N/A</v>
      </c>
      <c r="N769" t="e">
        <f>VLOOKUP(Tabelle9[[#This Row],[Rank]],Stammdaten[[Rank Verteilung Abholzigkeit]:[Verteilung Abholzigkeit]],2,FALSE)</f>
        <v>#N/A</v>
      </c>
      <c r="S769">
        <v>760</v>
      </c>
      <c r="T769" t="e">
        <f>INDEX(Stammdaten[Krümmung (mm/lfm)],MATCH(Tabelle10[[#This Row],[Rank]],Stammdaten[Rank Verteilung Krümmung],0))</f>
        <v>#N/A</v>
      </c>
      <c r="U769" t="e">
        <f>VLOOKUP(Tabelle10[[#This Row],[Rank]],Stammdaten[[Rank Verteilung Krümmung]:[Verteilung Krümmung]],2,FALSE)</f>
        <v>#N/A</v>
      </c>
      <c r="Z769">
        <v>760</v>
      </c>
      <c r="AA769" t="e">
        <f>INDEX(Stammdaten[Ovalität (']0,1'])],MATCH(Tabelle1014[[#This Row],[Rank]],Stammdaten[Rank Verteilung Ovalität],0))</f>
        <v>#N/A</v>
      </c>
      <c r="AB769" t="e">
        <f>VLOOKUP(Tabelle1014[[#This Row],[Rank]],Stammdaten[[Rank Verteilung Ovalität]:[Verteilung Ovalität]],2,FALSE)</f>
        <v>#N/A</v>
      </c>
    </row>
    <row r="770" spans="5:28" x14ac:dyDescent="0.35">
      <c r="E770">
        <v>761</v>
      </c>
      <c r="F770" t="e">
        <f>INDEX(Stammdaten[D Mitte mit Rinde (mm)],MATCH(Tabelle8[[#This Row],[Rank]],Stammdaten[Rank Verteilung D Mitte mit Rinde],0))</f>
        <v>#N/A</v>
      </c>
      <c r="G770" t="e">
        <f>VLOOKUP(Tabelle8[[#This Row],[Rank]],Stammdaten[[Rank Verteilung D Mitte mit Rinde]:[Verteilung D Mitte mit Rinde]],2,FALSE)</f>
        <v>#N/A</v>
      </c>
      <c r="L770">
        <v>761</v>
      </c>
      <c r="M770" t="e">
        <f>INDEX(Stammdaten[Abholzigkeit (mm/lfm)],MATCH(Tabelle9[[#This Row],[Rank]],Stammdaten[Rank Verteilung Abholzigkeit],0))</f>
        <v>#N/A</v>
      </c>
      <c r="N770" t="e">
        <f>VLOOKUP(Tabelle9[[#This Row],[Rank]],Stammdaten[[Rank Verteilung Abholzigkeit]:[Verteilung Abholzigkeit]],2,FALSE)</f>
        <v>#N/A</v>
      </c>
      <c r="S770">
        <v>761</v>
      </c>
      <c r="T770" t="e">
        <f>INDEX(Stammdaten[Krümmung (mm/lfm)],MATCH(Tabelle10[[#This Row],[Rank]],Stammdaten[Rank Verteilung Krümmung],0))</f>
        <v>#N/A</v>
      </c>
      <c r="U770" t="e">
        <f>VLOOKUP(Tabelle10[[#This Row],[Rank]],Stammdaten[[Rank Verteilung Krümmung]:[Verteilung Krümmung]],2,FALSE)</f>
        <v>#N/A</v>
      </c>
      <c r="Z770">
        <v>761</v>
      </c>
      <c r="AA770" t="e">
        <f>INDEX(Stammdaten[Ovalität (']0,1'])],MATCH(Tabelle1014[[#This Row],[Rank]],Stammdaten[Rank Verteilung Ovalität],0))</f>
        <v>#N/A</v>
      </c>
      <c r="AB770" t="e">
        <f>VLOOKUP(Tabelle1014[[#This Row],[Rank]],Stammdaten[[Rank Verteilung Ovalität]:[Verteilung Ovalität]],2,FALSE)</f>
        <v>#N/A</v>
      </c>
    </row>
    <row r="771" spans="5:28" x14ac:dyDescent="0.35">
      <c r="E771">
        <v>762</v>
      </c>
      <c r="F771" t="e">
        <f>INDEX(Stammdaten[D Mitte mit Rinde (mm)],MATCH(Tabelle8[[#This Row],[Rank]],Stammdaten[Rank Verteilung D Mitte mit Rinde],0))</f>
        <v>#N/A</v>
      </c>
      <c r="G771" t="e">
        <f>VLOOKUP(Tabelle8[[#This Row],[Rank]],Stammdaten[[Rank Verteilung D Mitte mit Rinde]:[Verteilung D Mitte mit Rinde]],2,FALSE)</f>
        <v>#N/A</v>
      </c>
      <c r="L771">
        <v>762</v>
      </c>
      <c r="M771" t="e">
        <f>INDEX(Stammdaten[Abholzigkeit (mm/lfm)],MATCH(Tabelle9[[#This Row],[Rank]],Stammdaten[Rank Verteilung Abholzigkeit],0))</f>
        <v>#N/A</v>
      </c>
      <c r="N771" t="e">
        <f>VLOOKUP(Tabelle9[[#This Row],[Rank]],Stammdaten[[Rank Verteilung Abholzigkeit]:[Verteilung Abholzigkeit]],2,FALSE)</f>
        <v>#N/A</v>
      </c>
      <c r="S771">
        <v>762</v>
      </c>
      <c r="T771" t="e">
        <f>INDEX(Stammdaten[Krümmung (mm/lfm)],MATCH(Tabelle10[[#This Row],[Rank]],Stammdaten[Rank Verteilung Krümmung],0))</f>
        <v>#N/A</v>
      </c>
      <c r="U771" t="e">
        <f>VLOOKUP(Tabelle10[[#This Row],[Rank]],Stammdaten[[Rank Verteilung Krümmung]:[Verteilung Krümmung]],2,FALSE)</f>
        <v>#N/A</v>
      </c>
      <c r="Z771">
        <v>762</v>
      </c>
      <c r="AA771" t="e">
        <f>INDEX(Stammdaten[Ovalität (']0,1'])],MATCH(Tabelle1014[[#This Row],[Rank]],Stammdaten[Rank Verteilung Ovalität],0))</f>
        <v>#N/A</v>
      </c>
      <c r="AB771" t="e">
        <f>VLOOKUP(Tabelle1014[[#This Row],[Rank]],Stammdaten[[Rank Verteilung Ovalität]:[Verteilung Ovalität]],2,FALSE)</f>
        <v>#N/A</v>
      </c>
    </row>
    <row r="772" spans="5:28" x14ac:dyDescent="0.35">
      <c r="E772">
        <v>763</v>
      </c>
      <c r="F772" t="e">
        <f>INDEX(Stammdaten[D Mitte mit Rinde (mm)],MATCH(Tabelle8[[#This Row],[Rank]],Stammdaten[Rank Verteilung D Mitte mit Rinde],0))</f>
        <v>#N/A</v>
      </c>
      <c r="G772" t="e">
        <f>VLOOKUP(Tabelle8[[#This Row],[Rank]],Stammdaten[[Rank Verteilung D Mitte mit Rinde]:[Verteilung D Mitte mit Rinde]],2,FALSE)</f>
        <v>#N/A</v>
      </c>
      <c r="L772">
        <v>763</v>
      </c>
      <c r="M772" t="e">
        <f>INDEX(Stammdaten[Abholzigkeit (mm/lfm)],MATCH(Tabelle9[[#This Row],[Rank]],Stammdaten[Rank Verteilung Abholzigkeit],0))</f>
        <v>#N/A</v>
      </c>
      <c r="N772" t="e">
        <f>VLOOKUP(Tabelle9[[#This Row],[Rank]],Stammdaten[[Rank Verteilung Abholzigkeit]:[Verteilung Abholzigkeit]],2,FALSE)</f>
        <v>#N/A</v>
      </c>
      <c r="S772">
        <v>763</v>
      </c>
      <c r="T772" t="e">
        <f>INDEX(Stammdaten[Krümmung (mm/lfm)],MATCH(Tabelle10[[#This Row],[Rank]],Stammdaten[Rank Verteilung Krümmung],0))</f>
        <v>#N/A</v>
      </c>
      <c r="U772" t="e">
        <f>VLOOKUP(Tabelle10[[#This Row],[Rank]],Stammdaten[[Rank Verteilung Krümmung]:[Verteilung Krümmung]],2,FALSE)</f>
        <v>#N/A</v>
      </c>
      <c r="Z772">
        <v>763</v>
      </c>
      <c r="AA772" t="e">
        <f>INDEX(Stammdaten[Ovalität (']0,1'])],MATCH(Tabelle1014[[#This Row],[Rank]],Stammdaten[Rank Verteilung Ovalität],0))</f>
        <v>#N/A</v>
      </c>
      <c r="AB772" t="e">
        <f>VLOOKUP(Tabelle1014[[#This Row],[Rank]],Stammdaten[[Rank Verteilung Ovalität]:[Verteilung Ovalität]],2,FALSE)</f>
        <v>#N/A</v>
      </c>
    </row>
    <row r="773" spans="5:28" x14ac:dyDescent="0.35">
      <c r="E773">
        <v>764</v>
      </c>
      <c r="F773" t="e">
        <f>INDEX(Stammdaten[D Mitte mit Rinde (mm)],MATCH(Tabelle8[[#This Row],[Rank]],Stammdaten[Rank Verteilung D Mitte mit Rinde],0))</f>
        <v>#N/A</v>
      </c>
      <c r="G773" t="e">
        <f>VLOOKUP(Tabelle8[[#This Row],[Rank]],Stammdaten[[Rank Verteilung D Mitte mit Rinde]:[Verteilung D Mitte mit Rinde]],2,FALSE)</f>
        <v>#N/A</v>
      </c>
      <c r="L773">
        <v>764</v>
      </c>
      <c r="M773" t="e">
        <f>INDEX(Stammdaten[Abholzigkeit (mm/lfm)],MATCH(Tabelle9[[#This Row],[Rank]],Stammdaten[Rank Verteilung Abholzigkeit],0))</f>
        <v>#N/A</v>
      </c>
      <c r="N773" t="e">
        <f>VLOOKUP(Tabelle9[[#This Row],[Rank]],Stammdaten[[Rank Verteilung Abholzigkeit]:[Verteilung Abholzigkeit]],2,FALSE)</f>
        <v>#N/A</v>
      </c>
      <c r="S773">
        <v>764</v>
      </c>
      <c r="T773" t="e">
        <f>INDEX(Stammdaten[Krümmung (mm/lfm)],MATCH(Tabelle10[[#This Row],[Rank]],Stammdaten[Rank Verteilung Krümmung],0))</f>
        <v>#N/A</v>
      </c>
      <c r="U773" t="e">
        <f>VLOOKUP(Tabelle10[[#This Row],[Rank]],Stammdaten[[Rank Verteilung Krümmung]:[Verteilung Krümmung]],2,FALSE)</f>
        <v>#N/A</v>
      </c>
      <c r="Z773">
        <v>764</v>
      </c>
      <c r="AA773" t="e">
        <f>INDEX(Stammdaten[Ovalität (']0,1'])],MATCH(Tabelle1014[[#This Row],[Rank]],Stammdaten[Rank Verteilung Ovalität],0))</f>
        <v>#N/A</v>
      </c>
      <c r="AB773" t="e">
        <f>VLOOKUP(Tabelle1014[[#This Row],[Rank]],Stammdaten[[Rank Verteilung Ovalität]:[Verteilung Ovalität]],2,FALSE)</f>
        <v>#N/A</v>
      </c>
    </row>
    <row r="774" spans="5:28" x14ac:dyDescent="0.35">
      <c r="E774">
        <v>765</v>
      </c>
      <c r="F774" t="e">
        <f>INDEX(Stammdaten[D Mitte mit Rinde (mm)],MATCH(Tabelle8[[#This Row],[Rank]],Stammdaten[Rank Verteilung D Mitte mit Rinde],0))</f>
        <v>#N/A</v>
      </c>
      <c r="G774" t="e">
        <f>VLOOKUP(Tabelle8[[#This Row],[Rank]],Stammdaten[[Rank Verteilung D Mitte mit Rinde]:[Verteilung D Mitte mit Rinde]],2,FALSE)</f>
        <v>#N/A</v>
      </c>
      <c r="L774">
        <v>765</v>
      </c>
      <c r="M774" t="e">
        <f>INDEX(Stammdaten[Abholzigkeit (mm/lfm)],MATCH(Tabelle9[[#This Row],[Rank]],Stammdaten[Rank Verteilung Abholzigkeit],0))</f>
        <v>#N/A</v>
      </c>
      <c r="N774" t="e">
        <f>VLOOKUP(Tabelle9[[#This Row],[Rank]],Stammdaten[[Rank Verteilung Abholzigkeit]:[Verteilung Abholzigkeit]],2,FALSE)</f>
        <v>#N/A</v>
      </c>
      <c r="S774">
        <v>765</v>
      </c>
      <c r="T774" t="e">
        <f>INDEX(Stammdaten[Krümmung (mm/lfm)],MATCH(Tabelle10[[#This Row],[Rank]],Stammdaten[Rank Verteilung Krümmung],0))</f>
        <v>#N/A</v>
      </c>
      <c r="U774" t="e">
        <f>VLOOKUP(Tabelle10[[#This Row],[Rank]],Stammdaten[[Rank Verteilung Krümmung]:[Verteilung Krümmung]],2,FALSE)</f>
        <v>#N/A</v>
      </c>
      <c r="Z774">
        <v>765</v>
      </c>
      <c r="AA774" t="e">
        <f>INDEX(Stammdaten[Ovalität (']0,1'])],MATCH(Tabelle1014[[#This Row],[Rank]],Stammdaten[Rank Verteilung Ovalität],0))</f>
        <v>#N/A</v>
      </c>
      <c r="AB774" t="e">
        <f>VLOOKUP(Tabelle1014[[#This Row],[Rank]],Stammdaten[[Rank Verteilung Ovalität]:[Verteilung Ovalität]],2,FALSE)</f>
        <v>#N/A</v>
      </c>
    </row>
    <row r="775" spans="5:28" x14ac:dyDescent="0.35">
      <c r="E775">
        <v>766</v>
      </c>
      <c r="F775" t="e">
        <f>INDEX(Stammdaten[D Mitte mit Rinde (mm)],MATCH(Tabelle8[[#This Row],[Rank]],Stammdaten[Rank Verteilung D Mitte mit Rinde],0))</f>
        <v>#N/A</v>
      </c>
      <c r="G775" t="e">
        <f>VLOOKUP(Tabelle8[[#This Row],[Rank]],Stammdaten[[Rank Verteilung D Mitte mit Rinde]:[Verteilung D Mitte mit Rinde]],2,FALSE)</f>
        <v>#N/A</v>
      </c>
      <c r="L775">
        <v>766</v>
      </c>
      <c r="M775" t="e">
        <f>INDEX(Stammdaten[Abholzigkeit (mm/lfm)],MATCH(Tabelle9[[#This Row],[Rank]],Stammdaten[Rank Verteilung Abholzigkeit],0))</f>
        <v>#N/A</v>
      </c>
      <c r="N775" t="e">
        <f>VLOOKUP(Tabelle9[[#This Row],[Rank]],Stammdaten[[Rank Verteilung Abholzigkeit]:[Verteilung Abholzigkeit]],2,FALSE)</f>
        <v>#N/A</v>
      </c>
      <c r="S775">
        <v>766</v>
      </c>
      <c r="T775" t="e">
        <f>INDEX(Stammdaten[Krümmung (mm/lfm)],MATCH(Tabelle10[[#This Row],[Rank]],Stammdaten[Rank Verteilung Krümmung],0))</f>
        <v>#N/A</v>
      </c>
      <c r="U775" t="e">
        <f>VLOOKUP(Tabelle10[[#This Row],[Rank]],Stammdaten[[Rank Verteilung Krümmung]:[Verteilung Krümmung]],2,FALSE)</f>
        <v>#N/A</v>
      </c>
      <c r="Z775">
        <v>766</v>
      </c>
      <c r="AA775" t="e">
        <f>INDEX(Stammdaten[Ovalität (']0,1'])],MATCH(Tabelle1014[[#This Row],[Rank]],Stammdaten[Rank Verteilung Ovalität],0))</f>
        <v>#N/A</v>
      </c>
      <c r="AB775" t="e">
        <f>VLOOKUP(Tabelle1014[[#This Row],[Rank]],Stammdaten[[Rank Verteilung Ovalität]:[Verteilung Ovalität]],2,FALSE)</f>
        <v>#N/A</v>
      </c>
    </row>
    <row r="776" spans="5:28" x14ac:dyDescent="0.35">
      <c r="E776">
        <v>767</v>
      </c>
      <c r="F776" t="e">
        <f>INDEX(Stammdaten[D Mitte mit Rinde (mm)],MATCH(Tabelle8[[#This Row],[Rank]],Stammdaten[Rank Verteilung D Mitte mit Rinde],0))</f>
        <v>#N/A</v>
      </c>
      <c r="G776" t="e">
        <f>VLOOKUP(Tabelle8[[#This Row],[Rank]],Stammdaten[[Rank Verteilung D Mitte mit Rinde]:[Verteilung D Mitte mit Rinde]],2,FALSE)</f>
        <v>#N/A</v>
      </c>
      <c r="L776">
        <v>767</v>
      </c>
      <c r="M776" t="e">
        <f>INDEX(Stammdaten[Abholzigkeit (mm/lfm)],MATCH(Tabelle9[[#This Row],[Rank]],Stammdaten[Rank Verteilung Abholzigkeit],0))</f>
        <v>#N/A</v>
      </c>
      <c r="N776" t="e">
        <f>VLOOKUP(Tabelle9[[#This Row],[Rank]],Stammdaten[[Rank Verteilung Abholzigkeit]:[Verteilung Abholzigkeit]],2,FALSE)</f>
        <v>#N/A</v>
      </c>
      <c r="S776">
        <v>767</v>
      </c>
      <c r="T776" t="e">
        <f>INDEX(Stammdaten[Krümmung (mm/lfm)],MATCH(Tabelle10[[#This Row],[Rank]],Stammdaten[Rank Verteilung Krümmung],0))</f>
        <v>#N/A</v>
      </c>
      <c r="U776" t="e">
        <f>VLOOKUP(Tabelle10[[#This Row],[Rank]],Stammdaten[[Rank Verteilung Krümmung]:[Verteilung Krümmung]],2,FALSE)</f>
        <v>#N/A</v>
      </c>
      <c r="Z776">
        <v>767</v>
      </c>
      <c r="AA776" t="e">
        <f>INDEX(Stammdaten[Ovalität (']0,1'])],MATCH(Tabelle1014[[#This Row],[Rank]],Stammdaten[Rank Verteilung Ovalität],0))</f>
        <v>#N/A</v>
      </c>
      <c r="AB776" t="e">
        <f>VLOOKUP(Tabelle1014[[#This Row],[Rank]],Stammdaten[[Rank Verteilung Ovalität]:[Verteilung Ovalität]],2,FALSE)</f>
        <v>#N/A</v>
      </c>
    </row>
    <row r="777" spans="5:28" x14ac:dyDescent="0.35">
      <c r="E777">
        <v>768</v>
      </c>
      <c r="F777" t="e">
        <f>INDEX(Stammdaten[D Mitte mit Rinde (mm)],MATCH(Tabelle8[[#This Row],[Rank]],Stammdaten[Rank Verteilung D Mitte mit Rinde],0))</f>
        <v>#N/A</v>
      </c>
      <c r="G777" t="e">
        <f>VLOOKUP(Tabelle8[[#This Row],[Rank]],Stammdaten[[Rank Verteilung D Mitte mit Rinde]:[Verteilung D Mitte mit Rinde]],2,FALSE)</f>
        <v>#N/A</v>
      </c>
      <c r="L777">
        <v>768</v>
      </c>
      <c r="M777" t="e">
        <f>INDEX(Stammdaten[Abholzigkeit (mm/lfm)],MATCH(Tabelle9[[#This Row],[Rank]],Stammdaten[Rank Verteilung Abholzigkeit],0))</f>
        <v>#N/A</v>
      </c>
      <c r="N777" t="e">
        <f>VLOOKUP(Tabelle9[[#This Row],[Rank]],Stammdaten[[Rank Verteilung Abholzigkeit]:[Verteilung Abholzigkeit]],2,FALSE)</f>
        <v>#N/A</v>
      </c>
      <c r="S777">
        <v>768</v>
      </c>
      <c r="T777" t="e">
        <f>INDEX(Stammdaten[Krümmung (mm/lfm)],MATCH(Tabelle10[[#This Row],[Rank]],Stammdaten[Rank Verteilung Krümmung],0))</f>
        <v>#N/A</v>
      </c>
      <c r="U777" t="e">
        <f>VLOOKUP(Tabelle10[[#This Row],[Rank]],Stammdaten[[Rank Verteilung Krümmung]:[Verteilung Krümmung]],2,FALSE)</f>
        <v>#N/A</v>
      </c>
      <c r="Z777">
        <v>768</v>
      </c>
      <c r="AA777" t="e">
        <f>INDEX(Stammdaten[Ovalität (']0,1'])],MATCH(Tabelle1014[[#This Row],[Rank]],Stammdaten[Rank Verteilung Ovalität],0))</f>
        <v>#N/A</v>
      </c>
      <c r="AB777" t="e">
        <f>VLOOKUP(Tabelle1014[[#This Row],[Rank]],Stammdaten[[Rank Verteilung Ovalität]:[Verteilung Ovalität]],2,FALSE)</f>
        <v>#N/A</v>
      </c>
    </row>
    <row r="778" spans="5:28" x14ac:dyDescent="0.35">
      <c r="E778">
        <v>769</v>
      </c>
      <c r="F778" t="e">
        <f>INDEX(Stammdaten[D Mitte mit Rinde (mm)],MATCH(Tabelle8[[#This Row],[Rank]],Stammdaten[Rank Verteilung D Mitte mit Rinde],0))</f>
        <v>#N/A</v>
      </c>
      <c r="G778" t="e">
        <f>VLOOKUP(Tabelle8[[#This Row],[Rank]],Stammdaten[[Rank Verteilung D Mitte mit Rinde]:[Verteilung D Mitte mit Rinde]],2,FALSE)</f>
        <v>#N/A</v>
      </c>
      <c r="L778">
        <v>769</v>
      </c>
      <c r="M778" t="e">
        <f>INDEX(Stammdaten[Abholzigkeit (mm/lfm)],MATCH(Tabelle9[[#This Row],[Rank]],Stammdaten[Rank Verteilung Abholzigkeit],0))</f>
        <v>#N/A</v>
      </c>
      <c r="N778" t="e">
        <f>VLOOKUP(Tabelle9[[#This Row],[Rank]],Stammdaten[[Rank Verteilung Abholzigkeit]:[Verteilung Abholzigkeit]],2,FALSE)</f>
        <v>#N/A</v>
      </c>
      <c r="S778">
        <v>769</v>
      </c>
      <c r="T778" t="e">
        <f>INDEX(Stammdaten[Krümmung (mm/lfm)],MATCH(Tabelle10[[#This Row],[Rank]],Stammdaten[Rank Verteilung Krümmung],0))</f>
        <v>#N/A</v>
      </c>
      <c r="U778" t="e">
        <f>VLOOKUP(Tabelle10[[#This Row],[Rank]],Stammdaten[[Rank Verteilung Krümmung]:[Verteilung Krümmung]],2,FALSE)</f>
        <v>#N/A</v>
      </c>
      <c r="Z778">
        <v>769</v>
      </c>
      <c r="AA778" t="e">
        <f>INDEX(Stammdaten[Ovalität (']0,1'])],MATCH(Tabelle1014[[#This Row],[Rank]],Stammdaten[Rank Verteilung Ovalität],0))</f>
        <v>#N/A</v>
      </c>
      <c r="AB778" t="e">
        <f>VLOOKUP(Tabelle1014[[#This Row],[Rank]],Stammdaten[[Rank Verteilung Ovalität]:[Verteilung Ovalität]],2,FALSE)</f>
        <v>#N/A</v>
      </c>
    </row>
    <row r="779" spans="5:28" x14ac:dyDescent="0.35">
      <c r="E779">
        <v>770</v>
      </c>
      <c r="F779" t="e">
        <f>INDEX(Stammdaten[D Mitte mit Rinde (mm)],MATCH(Tabelle8[[#This Row],[Rank]],Stammdaten[Rank Verteilung D Mitte mit Rinde],0))</f>
        <v>#N/A</v>
      </c>
      <c r="G779" t="e">
        <f>VLOOKUP(Tabelle8[[#This Row],[Rank]],Stammdaten[[Rank Verteilung D Mitte mit Rinde]:[Verteilung D Mitte mit Rinde]],2,FALSE)</f>
        <v>#N/A</v>
      </c>
      <c r="L779">
        <v>770</v>
      </c>
      <c r="M779" t="e">
        <f>INDEX(Stammdaten[Abholzigkeit (mm/lfm)],MATCH(Tabelle9[[#This Row],[Rank]],Stammdaten[Rank Verteilung Abholzigkeit],0))</f>
        <v>#N/A</v>
      </c>
      <c r="N779" t="e">
        <f>VLOOKUP(Tabelle9[[#This Row],[Rank]],Stammdaten[[Rank Verteilung Abholzigkeit]:[Verteilung Abholzigkeit]],2,FALSE)</f>
        <v>#N/A</v>
      </c>
      <c r="S779">
        <v>770</v>
      </c>
      <c r="T779" t="e">
        <f>INDEX(Stammdaten[Krümmung (mm/lfm)],MATCH(Tabelle10[[#This Row],[Rank]],Stammdaten[Rank Verteilung Krümmung],0))</f>
        <v>#N/A</v>
      </c>
      <c r="U779" t="e">
        <f>VLOOKUP(Tabelle10[[#This Row],[Rank]],Stammdaten[[Rank Verteilung Krümmung]:[Verteilung Krümmung]],2,FALSE)</f>
        <v>#N/A</v>
      </c>
      <c r="Z779">
        <v>770</v>
      </c>
      <c r="AA779" t="e">
        <f>INDEX(Stammdaten[Ovalität (']0,1'])],MATCH(Tabelle1014[[#This Row],[Rank]],Stammdaten[Rank Verteilung Ovalität],0))</f>
        <v>#N/A</v>
      </c>
      <c r="AB779" t="e">
        <f>VLOOKUP(Tabelle1014[[#This Row],[Rank]],Stammdaten[[Rank Verteilung Ovalität]:[Verteilung Ovalität]],2,FALSE)</f>
        <v>#N/A</v>
      </c>
    </row>
    <row r="780" spans="5:28" x14ac:dyDescent="0.35">
      <c r="E780">
        <v>771</v>
      </c>
      <c r="F780" t="e">
        <f>INDEX(Stammdaten[D Mitte mit Rinde (mm)],MATCH(Tabelle8[[#This Row],[Rank]],Stammdaten[Rank Verteilung D Mitte mit Rinde],0))</f>
        <v>#N/A</v>
      </c>
      <c r="G780" t="e">
        <f>VLOOKUP(Tabelle8[[#This Row],[Rank]],Stammdaten[[Rank Verteilung D Mitte mit Rinde]:[Verteilung D Mitte mit Rinde]],2,FALSE)</f>
        <v>#N/A</v>
      </c>
      <c r="L780">
        <v>771</v>
      </c>
      <c r="M780" t="e">
        <f>INDEX(Stammdaten[Abholzigkeit (mm/lfm)],MATCH(Tabelle9[[#This Row],[Rank]],Stammdaten[Rank Verteilung Abholzigkeit],0))</f>
        <v>#N/A</v>
      </c>
      <c r="N780" t="e">
        <f>VLOOKUP(Tabelle9[[#This Row],[Rank]],Stammdaten[[Rank Verteilung Abholzigkeit]:[Verteilung Abholzigkeit]],2,FALSE)</f>
        <v>#N/A</v>
      </c>
      <c r="S780">
        <v>771</v>
      </c>
      <c r="T780" t="e">
        <f>INDEX(Stammdaten[Krümmung (mm/lfm)],MATCH(Tabelle10[[#This Row],[Rank]],Stammdaten[Rank Verteilung Krümmung],0))</f>
        <v>#N/A</v>
      </c>
      <c r="U780" t="e">
        <f>VLOOKUP(Tabelle10[[#This Row],[Rank]],Stammdaten[[Rank Verteilung Krümmung]:[Verteilung Krümmung]],2,FALSE)</f>
        <v>#N/A</v>
      </c>
      <c r="Z780">
        <v>771</v>
      </c>
      <c r="AA780" t="e">
        <f>INDEX(Stammdaten[Ovalität (']0,1'])],MATCH(Tabelle1014[[#This Row],[Rank]],Stammdaten[Rank Verteilung Ovalität],0))</f>
        <v>#N/A</v>
      </c>
      <c r="AB780" t="e">
        <f>VLOOKUP(Tabelle1014[[#This Row],[Rank]],Stammdaten[[Rank Verteilung Ovalität]:[Verteilung Ovalität]],2,FALSE)</f>
        <v>#N/A</v>
      </c>
    </row>
    <row r="781" spans="5:28" x14ac:dyDescent="0.35">
      <c r="E781">
        <v>772</v>
      </c>
      <c r="F781" t="e">
        <f>INDEX(Stammdaten[D Mitte mit Rinde (mm)],MATCH(Tabelle8[[#This Row],[Rank]],Stammdaten[Rank Verteilung D Mitte mit Rinde],0))</f>
        <v>#N/A</v>
      </c>
      <c r="G781" t="e">
        <f>VLOOKUP(Tabelle8[[#This Row],[Rank]],Stammdaten[[Rank Verteilung D Mitte mit Rinde]:[Verteilung D Mitte mit Rinde]],2,FALSE)</f>
        <v>#N/A</v>
      </c>
      <c r="L781">
        <v>772</v>
      </c>
      <c r="M781" t="e">
        <f>INDEX(Stammdaten[Abholzigkeit (mm/lfm)],MATCH(Tabelle9[[#This Row],[Rank]],Stammdaten[Rank Verteilung Abholzigkeit],0))</f>
        <v>#N/A</v>
      </c>
      <c r="N781" t="e">
        <f>VLOOKUP(Tabelle9[[#This Row],[Rank]],Stammdaten[[Rank Verteilung Abholzigkeit]:[Verteilung Abholzigkeit]],2,FALSE)</f>
        <v>#N/A</v>
      </c>
      <c r="S781">
        <v>772</v>
      </c>
      <c r="T781" t="e">
        <f>INDEX(Stammdaten[Krümmung (mm/lfm)],MATCH(Tabelle10[[#This Row],[Rank]],Stammdaten[Rank Verteilung Krümmung],0))</f>
        <v>#N/A</v>
      </c>
      <c r="U781" t="e">
        <f>VLOOKUP(Tabelle10[[#This Row],[Rank]],Stammdaten[[Rank Verteilung Krümmung]:[Verteilung Krümmung]],2,FALSE)</f>
        <v>#N/A</v>
      </c>
      <c r="Z781">
        <v>772</v>
      </c>
      <c r="AA781" t="e">
        <f>INDEX(Stammdaten[Ovalität (']0,1'])],MATCH(Tabelle1014[[#This Row],[Rank]],Stammdaten[Rank Verteilung Ovalität],0))</f>
        <v>#N/A</v>
      </c>
      <c r="AB781" t="e">
        <f>VLOOKUP(Tabelle1014[[#This Row],[Rank]],Stammdaten[[Rank Verteilung Ovalität]:[Verteilung Ovalität]],2,FALSE)</f>
        <v>#N/A</v>
      </c>
    </row>
    <row r="782" spans="5:28" x14ac:dyDescent="0.35">
      <c r="E782">
        <v>773</v>
      </c>
      <c r="F782" t="e">
        <f>INDEX(Stammdaten[D Mitte mit Rinde (mm)],MATCH(Tabelle8[[#This Row],[Rank]],Stammdaten[Rank Verteilung D Mitte mit Rinde],0))</f>
        <v>#N/A</v>
      </c>
      <c r="G782" t="e">
        <f>VLOOKUP(Tabelle8[[#This Row],[Rank]],Stammdaten[[Rank Verteilung D Mitte mit Rinde]:[Verteilung D Mitte mit Rinde]],2,FALSE)</f>
        <v>#N/A</v>
      </c>
      <c r="L782">
        <v>773</v>
      </c>
      <c r="M782" t="e">
        <f>INDEX(Stammdaten[Abholzigkeit (mm/lfm)],MATCH(Tabelle9[[#This Row],[Rank]],Stammdaten[Rank Verteilung Abholzigkeit],0))</f>
        <v>#N/A</v>
      </c>
      <c r="N782" t="e">
        <f>VLOOKUP(Tabelle9[[#This Row],[Rank]],Stammdaten[[Rank Verteilung Abholzigkeit]:[Verteilung Abholzigkeit]],2,FALSE)</f>
        <v>#N/A</v>
      </c>
      <c r="S782">
        <v>773</v>
      </c>
      <c r="T782" t="e">
        <f>INDEX(Stammdaten[Krümmung (mm/lfm)],MATCH(Tabelle10[[#This Row],[Rank]],Stammdaten[Rank Verteilung Krümmung],0))</f>
        <v>#N/A</v>
      </c>
      <c r="U782" t="e">
        <f>VLOOKUP(Tabelle10[[#This Row],[Rank]],Stammdaten[[Rank Verteilung Krümmung]:[Verteilung Krümmung]],2,FALSE)</f>
        <v>#N/A</v>
      </c>
      <c r="Z782">
        <v>773</v>
      </c>
      <c r="AA782" t="e">
        <f>INDEX(Stammdaten[Ovalität (']0,1'])],MATCH(Tabelle1014[[#This Row],[Rank]],Stammdaten[Rank Verteilung Ovalität],0))</f>
        <v>#N/A</v>
      </c>
      <c r="AB782" t="e">
        <f>VLOOKUP(Tabelle1014[[#This Row],[Rank]],Stammdaten[[Rank Verteilung Ovalität]:[Verteilung Ovalität]],2,FALSE)</f>
        <v>#N/A</v>
      </c>
    </row>
    <row r="783" spans="5:28" x14ac:dyDescent="0.35">
      <c r="E783">
        <v>774</v>
      </c>
      <c r="F783" t="e">
        <f>INDEX(Stammdaten[D Mitte mit Rinde (mm)],MATCH(Tabelle8[[#This Row],[Rank]],Stammdaten[Rank Verteilung D Mitte mit Rinde],0))</f>
        <v>#N/A</v>
      </c>
      <c r="G783" t="e">
        <f>VLOOKUP(Tabelle8[[#This Row],[Rank]],Stammdaten[[Rank Verteilung D Mitte mit Rinde]:[Verteilung D Mitte mit Rinde]],2,FALSE)</f>
        <v>#N/A</v>
      </c>
      <c r="L783">
        <v>774</v>
      </c>
      <c r="M783" t="e">
        <f>INDEX(Stammdaten[Abholzigkeit (mm/lfm)],MATCH(Tabelle9[[#This Row],[Rank]],Stammdaten[Rank Verteilung Abholzigkeit],0))</f>
        <v>#N/A</v>
      </c>
      <c r="N783" t="e">
        <f>VLOOKUP(Tabelle9[[#This Row],[Rank]],Stammdaten[[Rank Verteilung Abholzigkeit]:[Verteilung Abholzigkeit]],2,FALSE)</f>
        <v>#N/A</v>
      </c>
      <c r="S783">
        <v>774</v>
      </c>
      <c r="T783" t="e">
        <f>INDEX(Stammdaten[Krümmung (mm/lfm)],MATCH(Tabelle10[[#This Row],[Rank]],Stammdaten[Rank Verteilung Krümmung],0))</f>
        <v>#N/A</v>
      </c>
      <c r="U783" t="e">
        <f>VLOOKUP(Tabelle10[[#This Row],[Rank]],Stammdaten[[Rank Verteilung Krümmung]:[Verteilung Krümmung]],2,FALSE)</f>
        <v>#N/A</v>
      </c>
      <c r="Z783">
        <v>774</v>
      </c>
      <c r="AA783" t="e">
        <f>INDEX(Stammdaten[Ovalität (']0,1'])],MATCH(Tabelle1014[[#This Row],[Rank]],Stammdaten[Rank Verteilung Ovalität],0))</f>
        <v>#N/A</v>
      </c>
      <c r="AB783" t="e">
        <f>VLOOKUP(Tabelle1014[[#This Row],[Rank]],Stammdaten[[Rank Verteilung Ovalität]:[Verteilung Ovalität]],2,FALSE)</f>
        <v>#N/A</v>
      </c>
    </row>
    <row r="784" spans="5:28" x14ac:dyDescent="0.35">
      <c r="E784">
        <v>775</v>
      </c>
      <c r="F784" t="e">
        <f>INDEX(Stammdaten[D Mitte mit Rinde (mm)],MATCH(Tabelle8[[#This Row],[Rank]],Stammdaten[Rank Verteilung D Mitte mit Rinde],0))</f>
        <v>#N/A</v>
      </c>
      <c r="G784" t="e">
        <f>VLOOKUP(Tabelle8[[#This Row],[Rank]],Stammdaten[[Rank Verteilung D Mitte mit Rinde]:[Verteilung D Mitte mit Rinde]],2,FALSE)</f>
        <v>#N/A</v>
      </c>
      <c r="L784">
        <v>775</v>
      </c>
      <c r="M784" t="e">
        <f>INDEX(Stammdaten[Abholzigkeit (mm/lfm)],MATCH(Tabelle9[[#This Row],[Rank]],Stammdaten[Rank Verteilung Abholzigkeit],0))</f>
        <v>#N/A</v>
      </c>
      <c r="N784" t="e">
        <f>VLOOKUP(Tabelle9[[#This Row],[Rank]],Stammdaten[[Rank Verteilung Abholzigkeit]:[Verteilung Abholzigkeit]],2,FALSE)</f>
        <v>#N/A</v>
      </c>
      <c r="S784">
        <v>775</v>
      </c>
      <c r="T784" t="e">
        <f>INDEX(Stammdaten[Krümmung (mm/lfm)],MATCH(Tabelle10[[#This Row],[Rank]],Stammdaten[Rank Verteilung Krümmung],0))</f>
        <v>#N/A</v>
      </c>
      <c r="U784" t="e">
        <f>VLOOKUP(Tabelle10[[#This Row],[Rank]],Stammdaten[[Rank Verteilung Krümmung]:[Verteilung Krümmung]],2,FALSE)</f>
        <v>#N/A</v>
      </c>
      <c r="Z784">
        <v>775</v>
      </c>
      <c r="AA784" t="e">
        <f>INDEX(Stammdaten[Ovalität (']0,1'])],MATCH(Tabelle1014[[#This Row],[Rank]],Stammdaten[Rank Verteilung Ovalität],0))</f>
        <v>#N/A</v>
      </c>
      <c r="AB784" t="e">
        <f>VLOOKUP(Tabelle1014[[#This Row],[Rank]],Stammdaten[[Rank Verteilung Ovalität]:[Verteilung Ovalität]],2,FALSE)</f>
        <v>#N/A</v>
      </c>
    </row>
    <row r="785" spans="5:28" x14ac:dyDescent="0.35">
      <c r="E785">
        <v>776</v>
      </c>
      <c r="F785" t="e">
        <f>INDEX(Stammdaten[D Mitte mit Rinde (mm)],MATCH(Tabelle8[[#This Row],[Rank]],Stammdaten[Rank Verteilung D Mitte mit Rinde],0))</f>
        <v>#N/A</v>
      </c>
      <c r="G785" t="e">
        <f>VLOOKUP(Tabelle8[[#This Row],[Rank]],Stammdaten[[Rank Verteilung D Mitte mit Rinde]:[Verteilung D Mitte mit Rinde]],2,FALSE)</f>
        <v>#N/A</v>
      </c>
      <c r="L785">
        <v>776</v>
      </c>
      <c r="M785" t="e">
        <f>INDEX(Stammdaten[Abholzigkeit (mm/lfm)],MATCH(Tabelle9[[#This Row],[Rank]],Stammdaten[Rank Verteilung Abholzigkeit],0))</f>
        <v>#N/A</v>
      </c>
      <c r="N785" t="e">
        <f>VLOOKUP(Tabelle9[[#This Row],[Rank]],Stammdaten[[Rank Verteilung Abholzigkeit]:[Verteilung Abholzigkeit]],2,FALSE)</f>
        <v>#N/A</v>
      </c>
      <c r="S785">
        <v>776</v>
      </c>
      <c r="T785" t="e">
        <f>INDEX(Stammdaten[Krümmung (mm/lfm)],MATCH(Tabelle10[[#This Row],[Rank]],Stammdaten[Rank Verteilung Krümmung],0))</f>
        <v>#N/A</v>
      </c>
      <c r="U785" t="e">
        <f>VLOOKUP(Tabelle10[[#This Row],[Rank]],Stammdaten[[Rank Verteilung Krümmung]:[Verteilung Krümmung]],2,FALSE)</f>
        <v>#N/A</v>
      </c>
      <c r="Z785">
        <v>776</v>
      </c>
      <c r="AA785" t="e">
        <f>INDEX(Stammdaten[Ovalität (']0,1'])],MATCH(Tabelle1014[[#This Row],[Rank]],Stammdaten[Rank Verteilung Ovalität],0))</f>
        <v>#N/A</v>
      </c>
      <c r="AB785" t="e">
        <f>VLOOKUP(Tabelle1014[[#This Row],[Rank]],Stammdaten[[Rank Verteilung Ovalität]:[Verteilung Ovalität]],2,FALSE)</f>
        <v>#N/A</v>
      </c>
    </row>
    <row r="786" spans="5:28" x14ac:dyDescent="0.35">
      <c r="E786">
        <v>777</v>
      </c>
      <c r="F786" t="e">
        <f>INDEX(Stammdaten[D Mitte mit Rinde (mm)],MATCH(Tabelle8[[#This Row],[Rank]],Stammdaten[Rank Verteilung D Mitte mit Rinde],0))</f>
        <v>#N/A</v>
      </c>
      <c r="G786" t="e">
        <f>VLOOKUP(Tabelle8[[#This Row],[Rank]],Stammdaten[[Rank Verteilung D Mitte mit Rinde]:[Verteilung D Mitte mit Rinde]],2,FALSE)</f>
        <v>#N/A</v>
      </c>
      <c r="L786">
        <v>777</v>
      </c>
      <c r="M786" t="e">
        <f>INDEX(Stammdaten[Abholzigkeit (mm/lfm)],MATCH(Tabelle9[[#This Row],[Rank]],Stammdaten[Rank Verteilung Abholzigkeit],0))</f>
        <v>#N/A</v>
      </c>
      <c r="N786" t="e">
        <f>VLOOKUP(Tabelle9[[#This Row],[Rank]],Stammdaten[[Rank Verteilung Abholzigkeit]:[Verteilung Abholzigkeit]],2,FALSE)</f>
        <v>#N/A</v>
      </c>
      <c r="S786">
        <v>777</v>
      </c>
      <c r="T786" t="e">
        <f>INDEX(Stammdaten[Krümmung (mm/lfm)],MATCH(Tabelle10[[#This Row],[Rank]],Stammdaten[Rank Verteilung Krümmung],0))</f>
        <v>#N/A</v>
      </c>
      <c r="U786" t="e">
        <f>VLOOKUP(Tabelle10[[#This Row],[Rank]],Stammdaten[[Rank Verteilung Krümmung]:[Verteilung Krümmung]],2,FALSE)</f>
        <v>#N/A</v>
      </c>
      <c r="Z786">
        <v>777</v>
      </c>
      <c r="AA786" t="e">
        <f>INDEX(Stammdaten[Ovalität (']0,1'])],MATCH(Tabelle1014[[#This Row],[Rank]],Stammdaten[Rank Verteilung Ovalität],0))</f>
        <v>#N/A</v>
      </c>
      <c r="AB786" t="e">
        <f>VLOOKUP(Tabelle1014[[#This Row],[Rank]],Stammdaten[[Rank Verteilung Ovalität]:[Verteilung Ovalität]],2,FALSE)</f>
        <v>#N/A</v>
      </c>
    </row>
    <row r="787" spans="5:28" x14ac:dyDescent="0.35">
      <c r="E787">
        <v>778</v>
      </c>
      <c r="F787" t="e">
        <f>INDEX(Stammdaten[D Mitte mit Rinde (mm)],MATCH(Tabelle8[[#This Row],[Rank]],Stammdaten[Rank Verteilung D Mitte mit Rinde],0))</f>
        <v>#N/A</v>
      </c>
      <c r="G787" t="e">
        <f>VLOOKUP(Tabelle8[[#This Row],[Rank]],Stammdaten[[Rank Verteilung D Mitte mit Rinde]:[Verteilung D Mitte mit Rinde]],2,FALSE)</f>
        <v>#N/A</v>
      </c>
      <c r="L787">
        <v>778</v>
      </c>
      <c r="M787" t="e">
        <f>INDEX(Stammdaten[Abholzigkeit (mm/lfm)],MATCH(Tabelle9[[#This Row],[Rank]],Stammdaten[Rank Verteilung Abholzigkeit],0))</f>
        <v>#N/A</v>
      </c>
      <c r="N787" t="e">
        <f>VLOOKUP(Tabelle9[[#This Row],[Rank]],Stammdaten[[Rank Verteilung Abholzigkeit]:[Verteilung Abholzigkeit]],2,FALSE)</f>
        <v>#N/A</v>
      </c>
      <c r="S787">
        <v>778</v>
      </c>
      <c r="T787" t="e">
        <f>INDEX(Stammdaten[Krümmung (mm/lfm)],MATCH(Tabelle10[[#This Row],[Rank]],Stammdaten[Rank Verteilung Krümmung],0))</f>
        <v>#N/A</v>
      </c>
      <c r="U787" t="e">
        <f>VLOOKUP(Tabelle10[[#This Row],[Rank]],Stammdaten[[Rank Verteilung Krümmung]:[Verteilung Krümmung]],2,FALSE)</f>
        <v>#N/A</v>
      </c>
      <c r="Z787">
        <v>778</v>
      </c>
      <c r="AA787" t="e">
        <f>INDEX(Stammdaten[Ovalität (']0,1'])],MATCH(Tabelle1014[[#This Row],[Rank]],Stammdaten[Rank Verteilung Ovalität],0))</f>
        <v>#N/A</v>
      </c>
      <c r="AB787" t="e">
        <f>VLOOKUP(Tabelle1014[[#This Row],[Rank]],Stammdaten[[Rank Verteilung Ovalität]:[Verteilung Ovalität]],2,FALSE)</f>
        <v>#N/A</v>
      </c>
    </row>
    <row r="788" spans="5:28" x14ac:dyDescent="0.35">
      <c r="E788">
        <v>779</v>
      </c>
      <c r="F788" t="e">
        <f>INDEX(Stammdaten[D Mitte mit Rinde (mm)],MATCH(Tabelle8[[#This Row],[Rank]],Stammdaten[Rank Verteilung D Mitte mit Rinde],0))</f>
        <v>#N/A</v>
      </c>
      <c r="G788" t="e">
        <f>VLOOKUP(Tabelle8[[#This Row],[Rank]],Stammdaten[[Rank Verteilung D Mitte mit Rinde]:[Verteilung D Mitte mit Rinde]],2,FALSE)</f>
        <v>#N/A</v>
      </c>
      <c r="L788">
        <v>779</v>
      </c>
      <c r="M788" t="e">
        <f>INDEX(Stammdaten[Abholzigkeit (mm/lfm)],MATCH(Tabelle9[[#This Row],[Rank]],Stammdaten[Rank Verteilung Abholzigkeit],0))</f>
        <v>#N/A</v>
      </c>
      <c r="N788" t="e">
        <f>VLOOKUP(Tabelle9[[#This Row],[Rank]],Stammdaten[[Rank Verteilung Abholzigkeit]:[Verteilung Abholzigkeit]],2,FALSE)</f>
        <v>#N/A</v>
      </c>
      <c r="S788">
        <v>779</v>
      </c>
      <c r="T788" t="e">
        <f>INDEX(Stammdaten[Krümmung (mm/lfm)],MATCH(Tabelle10[[#This Row],[Rank]],Stammdaten[Rank Verteilung Krümmung],0))</f>
        <v>#N/A</v>
      </c>
      <c r="U788" t="e">
        <f>VLOOKUP(Tabelle10[[#This Row],[Rank]],Stammdaten[[Rank Verteilung Krümmung]:[Verteilung Krümmung]],2,FALSE)</f>
        <v>#N/A</v>
      </c>
      <c r="Z788">
        <v>779</v>
      </c>
      <c r="AA788" t="e">
        <f>INDEX(Stammdaten[Ovalität (']0,1'])],MATCH(Tabelle1014[[#This Row],[Rank]],Stammdaten[Rank Verteilung Ovalität],0))</f>
        <v>#N/A</v>
      </c>
      <c r="AB788" t="e">
        <f>VLOOKUP(Tabelle1014[[#This Row],[Rank]],Stammdaten[[Rank Verteilung Ovalität]:[Verteilung Ovalität]],2,FALSE)</f>
        <v>#N/A</v>
      </c>
    </row>
    <row r="789" spans="5:28" x14ac:dyDescent="0.35">
      <c r="E789">
        <v>780</v>
      </c>
      <c r="F789" t="e">
        <f>INDEX(Stammdaten[D Mitte mit Rinde (mm)],MATCH(Tabelle8[[#This Row],[Rank]],Stammdaten[Rank Verteilung D Mitte mit Rinde],0))</f>
        <v>#N/A</v>
      </c>
      <c r="G789" t="e">
        <f>VLOOKUP(Tabelle8[[#This Row],[Rank]],Stammdaten[[Rank Verteilung D Mitte mit Rinde]:[Verteilung D Mitte mit Rinde]],2,FALSE)</f>
        <v>#N/A</v>
      </c>
      <c r="L789">
        <v>780</v>
      </c>
      <c r="M789" t="e">
        <f>INDEX(Stammdaten[Abholzigkeit (mm/lfm)],MATCH(Tabelle9[[#This Row],[Rank]],Stammdaten[Rank Verteilung Abholzigkeit],0))</f>
        <v>#N/A</v>
      </c>
      <c r="N789" t="e">
        <f>VLOOKUP(Tabelle9[[#This Row],[Rank]],Stammdaten[[Rank Verteilung Abholzigkeit]:[Verteilung Abholzigkeit]],2,FALSE)</f>
        <v>#N/A</v>
      </c>
      <c r="S789">
        <v>780</v>
      </c>
      <c r="T789" t="e">
        <f>INDEX(Stammdaten[Krümmung (mm/lfm)],MATCH(Tabelle10[[#This Row],[Rank]],Stammdaten[Rank Verteilung Krümmung],0))</f>
        <v>#N/A</v>
      </c>
      <c r="U789" t="e">
        <f>VLOOKUP(Tabelle10[[#This Row],[Rank]],Stammdaten[[Rank Verteilung Krümmung]:[Verteilung Krümmung]],2,FALSE)</f>
        <v>#N/A</v>
      </c>
      <c r="Z789">
        <v>780</v>
      </c>
      <c r="AA789" t="e">
        <f>INDEX(Stammdaten[Ovalität (']0,1'])],MATCH(Tabelle1014[[#This Row],[Rank]],Stammdaten[Rank Verteilung Ovalität],0))</f>
        <v>#N/A</v>
      </c>
      <c r="AB789" t="e">
        <f>VLOOKUP(Tabelle1014[[#This Row],[Rank]],Stammdaten[[Rank Verteilung Ovalität]:[Verteilung Ovalität]],2,FALSE)</f>
        <v>#N/A</v>
      </c>
    </row>
    <row r="790" spans="5:28" x14ac:dyDescent="0.35">
      <c r="E790">
        <v>781</v>
      </c>
      <c r="F790" t="e">
        <f>INDEX(Stammdaten[D Mitte mit Rinde (mm)],MATCH(Tabelle8[[#This Row],[Rank]],Stammdaten[Rank Verteilung D Mitte mit Rinde],0))</f>
        <v>#N/A</v>
      </c>
      <c r="G790" t="e">
        <f>VLOOKUP(Tabelle8[[#This Row],[Rank]],Stammdaten[[Rank Verteilung D Mitte mit Rinde]:[Verteilung D Mitte mit Rinde]],2,FALSE)</f>
        <v>#N/A</v>
      </c>
      <c r="L790">
        <v>781</v>
      </c>
      <c r="M790" t="e">
        <f>INDEX(Stammdaten[Abholzigkeit (mm/lfm)],MATCH(Tabelle9[[#This Row],[Rank]],Stammdaten[Rank Verteilung Abholzigkeit],0))</f>
        <v>#N/A</v>
      </c>
      <c r="N790" t="e">
        <f>VLOOKUP(Tabelle9[[#This Row],[Rank]],Stammdaten[[Rank Verteilung Abholzigkeit]:[Verteilung Abholzigkeit]],2,FALSE)</f>
        <v>#N/A</v>
      </c>
      <c r="S790">
        <v>781</v>
      </c>
      <c r="T790" t="e">
        <f>INDEX(Stammdaten[Krümmung (mm/lfm)],MATCH(Tabelle10[[#This Row],[Rank]],Stammdaten[Rank Verteilung Krümmung],0))</f>
        <v>#N/A</v>
      </c>
      <c r="U790" t="e">
        <f>VLOOKUP(Tabelle10[[#This Row],[Rank]],Stammdaten[[Rank Verteilung Krümmung]:[Verteilung Krümmung]],2,FALSE)</f>
        <v>#N/A</v>
      </c>
      <c r="Z790">
        <v>781</v>
      </c>
      <c r="AA790" t="e">
        <f>INDEX(Stammdaten[Ovalität (']0,1'])],MATCH(Tabelle1014[[#This Row],[Rank]],Stammdaten[Rank Verteilung Ovalität],0))</f>
        <v>#N/A</v>
      </c>
      <c r="AB790" t="e">
        <f>VLOOKUP(Tabelle1014[[#This Row],[Rank]],Stammdaten[[Rank Verteilung Ovalität]:[Verteilung Ovalität]],2,FALSE)</f>
        <v>#N/A</v>
      </c>
    </row>
    <row r="791" spans="5:28" x14ac:dyDescent="0.35">
      <c r="E791">
        <v>782</v>
      </c>
      <c r="F791" t="e">
        <f>INDEX(Stammdaten[D Mitte mit Rinde (mm)],MATCH(Tabelle8[[#This Row],[Rank]],Stammdaten[Rank Verteilung D Mitte mit Rinde],0))</f>
        <v>#N/A</v>
      </c>
      <c r="G791" t="e">
        <f>VLOOKUP(Tabelle8[[#This Row],[Rank]],Stammdaten[[Rank Verteilung D Mitte mit Rinde]:[Verteilung D Mitte mit Rinde]],2,FALSE)</f>
        <v>#N/A</v>
      </c>
      <c r="L791">
        <v>782</v>
      </c>
      <c r="M791" t="e">
        <f>INDEX(Stammdaten[Abholzigkeit (mm/lfm)],MATCH(Tabelle9[[#This Row],[Rank]],Stammdaten[Rank Verteilung Abholzigkeit],0))</f>
        <v>#N/A</v>
      </c>
      <c r="N791" t="e">
        <f>VLOOKUP(Tabelle9[[#This Row],[Rank]],Stammdaten[[Rank Verteilung Abholzigkeit]:[Verteilung Abholzigkeit]],2,FALSE)</f>
        <v>#N/A</v>
      </c>
      <c r="S791">
        <v>782</v>
      </c>
      <c r="T791" t="e">
        <f>INDEX(Stammdaten[Krümmung (mm/lfm)],MATCH(Tabelle10[[#This Row],[Rank]],Stammdaten[Rank Verteilung Krümmung],0))</f>
        <v>#N/A</v>
      </c>
      <c r="U791" t="e">
        <f>VLOOKUP(Tabelle10[[#This Row],[Rank]],Stammdaten[[Rank Verteilung Krümmung]:[Verteilung Krümmung]],2,FALSE)</f>
        <v>#N/A</v>
      </c>
      <c r="Z791">
        <v>782</v>
      </c>
      <c r="AA791" t="e">
        <f>INDEX(Stammdaten[Ovalität (']0,1'])],MATCH(Tabelle1014[[#This Row],[Rank]],Stammdaten[Rank Verteilung Ovalität],0))</f>
        <v>#N/A</v>
      </c>
      <c r="AB791" t="e">
        <f>VLOOKUP(Tabelle1014[[#This Row],[Rank]],Stammdaten[[Rank Verteilung Ovalität]:[Verteilung Ovalität]],2,FALSE)</f>
        <v>#N/A</v>
      </c>
    </row>
    <row r="792" spans="5:28" x14ac:dyDescent="0.35">
      <c r="E792">
        <v>783</v>
      </c>
      <c r="F792" t="e">
        <f>INDEX(Stammdaten[D Mitte mit Rinde (mm)],MATCH(Tabelle8[[#This Row],[Rank]],Stammdaten[Rank Verteilung D Mitte mit Rinde],0))</f>
        <v>#N/A</v>
      </c>
      <c r="G792" t="e">
        <f>VLOOKUP(Tabelle8[[#This Row],[Rank]],Stammdaten[[Rank Verteilung D Mitte mit Rinde]:[Verteilung D Mitte mit Rinde]],2,FALSE)</f>
        <v>#N/A</v>
      </c>
      <c r="L792">
        <v>783</v>
      </c>
      <c r="M792" t="e">
        <f>INDEX(Stammdaten[Abholzigkeit (mm/lfm)],MATCH(Tabelle9[[#This Row],[Rank]],Stammdaten[Rank Verteilung Abholzigkeit],0))</f>
        <v>#N/A</v>
      </c>
      <c r="N792" t="e">
        <f>VLOOKUP(Tabelle9[[#This Row],[Rank]],Stammdaten[[Rank Verteilung Abholzigkeit]:[Verteilung Abholzigkeit]],2,FALSE)</f>
        <v>#N/A</v>
      </c>
      <c r="S792">
        <v>783</v>
      </c>
      <c r="T792" t="e">
        <f>INDEX(Stammdaten[Krümmung (mm/lfm)],MATCH(Tabelle10[[#This Row],[Rank]],Stammdaten[Rank Verteilung Krümmung],0))</f>
        <v>#N/A</v>
      </c>
      <c r="U792" t="e">
        <f>VLOOKUP(Tabelle10[[#This Row],[Rank]],Stammdaten[[Rank Verteilung Krümmung]:[Verteilung Krümmung]],2,FALSE)</f>
        <v>#N/A</v>
      </c>
      <c r="Z792">
        <v>783</v>
      </c>
      <c r="AA792" t="e">
        <f>INDEX(Stammdaten[Ovalität (']0,1'])],MATCH(Tabelle1014[[#This Row],[Rank]],Stammdaten[Rank Verteilung Ovalität],0))</f>
        <v>#N/A</v>
      </c>
      <c r="AB792" t="e">
        <f>VLOOKUP(Tabelle1014[[#This Row],[Rank]],Stammdaten[[Rank Verteilung Ovalität]:[Verteilung Ovalität]],2,FALSE)</f>
        <v>#N/A</v>
      </c>
    </row>
    <row r="793" spans="5:28" x14ac:dyDescent="0.35">
      <c r="E793">
        <v>784</v>
      </c>
      <c r="F793" t="e">
        <f>INDEX(Stammdaten[D Mitte mit Rinde (mm)],MATCH(Tabelle8[[#This Row],[Rank]],Stammdaten[Rank Verteilung D Mitte mit Rinde],0))</f>
        <v>#N/A</v>
      </c>
      <c r="G793" t="e">
        <f>VLOOKUP(Tabelle8[[#This Row],[Rank]],Stammdaten[[Rank Verteilung D Mitte mit Rinde]:[Verteilung D Mitte mit Rinde]],2,FALSE)</f>
        <v>#N/A</v>
      </c>
      <c r="L793">
        <v>784</v>
      </c>
      <c r="M793" t="e">
        <f>INDEX(Stammdaten[Abholzigkeit (mm/lfm)],MATCH(Tabelle9[[#This Row],[Rank]],Stammdaten[Rank Verteilung Abholzigkeit],0))</f>
        <v>#N/A</v>
      </c>
      <c r="N793" t="e">
        <f>VLOOKUP(Tabelle9[[#This Row],[Rank]],Stammdaten[[Rank Verteilung Abholzigkeit]:[Verteilung Abholzigkeit]],2,FALSE)</f>
        <v>#N/A</v>
      </c>
      <c r="S793">
        <v>784</v>
      </c>
      <c r="T793" t="e">
        <f>INDEX(Stammdaten[Krümmung (mm/lfm)],MATCH(Tabelle10[[#This Row],[Rank]],Stammdaten[Rank Verteilung Krümmung],0))</f>
        <v>#N/A</v>
      </c>
      <c r="U793" t="e">
        <f>VLOOKUP(Tabelle10[[#This Row],[Rank]],Stammdaten[[Rank Verteilung Krümmung]:[Verteilung Krümmung]],2,FALSE)</f>
        <v>#N/A</v>
      </c>
      <c r="Z793">
        <v>784</v>
      </c>
      <c r="AA793" t="e">
        <f>INDEX(Stammdaten[Ovalität (']0,1'])],MATCH(Tabelle1014[[#This Row],[Rank]],Stammdaten[Rank Verteilung Ovalität],0))</f>
        <v>#N/A</v>
      </c>
      <c r="AB793" t="e">
        <f>VLOOKUP(Tabelle1014[[#This Row],[Rank]],Stammdaten[[Rank Verteilung Ovalität]:[Verteilung Ovalität]],2,FALSE)</f>
        <v>#N/A</v>
      </c>
    </row>
    <row r="794" spans="5:28" x14ac:dyDescent="0.35">
      <c r="E794">
        <v>785</v>
      </c>
      <c r="F794" t="e">
        <f>INDEX(Stammdaten[D Mitte mit Rinde (mm)],MATCH(Tabelle8[[#This Row],[Rank]],Stammdaten[Rank Verteilung D Mitte mit Rinde],0))</f>
        <v>#N/A</v>
      </c>
      <c r="G794" t="e">
        <f>VLOOKUP(Tabelle8[[#This Row],[Rank]],Stammdaten[[Rank Verteilung D Mitte mit Rinde]:[Verteilung D Mitte mit Rinde]],2,FALSE)</f>
        <v>#N/A</v>
      </c>
      <c r="L794">
        <v>785</v>
      </c>
      <c r="M794" t="e">
        <f>INDEX(Stammdaten[Abholzigkeit (mm/lfm)],MATCH(Tabelle9[[#This Row],[Rank]],Stammdaten[Rank Verteilung Abholzigkeit],0))</f>
        <v>#N/A</v>
      </c>
      <c r="N794" t="e">
        <f>VLOOKUP(Tabelle9[[#This Row],[Rank]],Stammdaten[[Rank Verteilung Abholzigkeit]:[Verteilung Abholzigkeit]],2,FALSE)</f>
        <v>#N/A</v>
      </c>
      <c r="S794">
        <v>785</v>
      </c>
      <c r="T794" t="e">
        <f>INDEX(Stammdaten[Krümmung (mm/lfm)],MATCH(Tabelle10[[#This Row],[Rank]],Stammdaten[Rank Verteilung Krümmung],0))</f>
        <v>#N/A</v>
      </c>
      <c r="U794" t="e">
        <f>VLOOKUP(Tabelle10[[#This Row],[Rank]],Stammdaten[[Rank Verteilung Krümmung]:[Verteilung Krümmung]],2,FALSE)</f>
        <v>#N/A</v>
      </c>
      <c r="Z794">
        <v>785</v>
      </c>
      <c r="AA794" t="e">
        <f>INDEX(Stammdaten[Ovalität (']0,1'])],MATCH(Tabelle1014[[#This Row],[Rank]],Stammdaten[Rank Verteilung Ovalität],0))</f>
        <v>#N/A</v>
      </c>
      <c r="AB794" t="e">
        <f>VLOOKUP(Tabelle1014[[#This Row],[Rank]],Stammdaten[[Rank Verteilung Ovalität]:[Verteilung Ovalität]],2,FALSE)</f>
        <v>#N/A</v>
      </c>
    </row>
    <row r="795" spans="5:28" x14ac:dyDescent="0.35">
      <c r="E795">
        <v>786</v>
      </c>
      <c r="F795" t="e">
        <f>INDEX(Stammdaten[D Mitte mit Rinde (mm)],MATCH(Tabelle8[[#This Row],[Rank]],Stammdaten[Rank Verteilung D Mitte mit Rinde],0))</f>
        <v>#N/A</v>
      </c>
      <c r="G795" t="e">
        <f>VLOOKUP(Tabelle8[[#This Row],[Rank]],Stammdaten[[Rank Verteilung D Mitte mit Rinde]:[Verteilung D Mitte mit Rinde]],2,FALSE)</f>
        <v>#N/A</v>
      </c>
      <c r="L795">
        <v>786</v>
      </c>
      <c r="M795" t="e">
        <f>INDEX(Stammdaten[Abholzigkeit (mm/lfm)],MATCH(Tabelle9[[#This Row],[Rank]],Stammdaten[Rank Verteilung Abholzigkeit],0))</f>
        <v>#N/A</v>
      </c>
      <c r="N795" t="e">
        <f>VLOOKUP(Tabelle9[[#This Row],[Rank]],Stammdaten[[Rank Verteilung Abholzigkeit]:[Verteilung Abholzigkeit]],2,FALSE)</f>
        <v>#N/A</v>
      </c>
      <c r="S795">
        <v>786</v>
      </c>
      <c r="T795" t="e">
        <f>INDEX(Stammdaten[Krümmung (mm/lfm)],MATCH(Tabelle10[[#This Row],[Rank]],Stammdaten[Rank Verteilung Krümmung],0))</f>
        <v>#N/A</v>
      </c>
      <c r="U795" t="e">
        <f>VLOOKUP(Tabelle10[[#This Row],[Rank]],Stammdaten[[Rank Verteilung Krümmung]:[Verteilung Krümmung]],2,FALSE)</f>
        <v>#N/A</v>
      </c>
      <c r="Z795">
        <v>786</v>
      </c>
      <c r="AA795" t="e">
        <f>INDEX(Stammdaten[Ovalität (']0,1'])],MATCH(Tabelle1014[[#This Row],[Rank]],Stammdaten[Rank Verteilung Ovalität],0))</f>
        <v>#N/A</v>
      </c>
      <c r="AB795" t="e">
        <f>VLOOKUP(Tabelle1014[[#This Row],[Rank]],Stammdaten[[Rank Verteilung Ovalität]:[Verteilung Ovalität]],2,FALSE)</f>
        <v>#N/A</v>
      </c>
    </row>
    <row r="796" spans="5:28" x14ac:dyDescent="0.35">
      <c r="E796">
        <v>787</v>
      </c>
      <c r="F796" t="e">
        <f>INDEX(Stammdaten[D Mitte mit Rinde (mm)],MATCH(Tabelle8[[#This Row],[Rank]],Stammdaten[Rank Verteilung D Mitte mit Rinde],0))</f>
        <v>#N/A</v>
      </c>
      <c r="G796" t="e">
        <f>VLOOKUP(Tabelle8[[#This Row],[Rank]],Stammdaten[[Rank Verteilung D Mitte mit Rinde]:[Verteilung D Mitte mit Rinde]],2,FALSE)</f>
        <v>#N/A</v>
      </c>
      <c r="L796">
        <v>787</v>
      </c>
      <c r="M796" t="e">
        <f>INDEX(Stammdaten[Abholzigkeit (mm/lfm)],MATCH(Tabelle9[[#This Row],[Rank]],Stammdaten[Rank Verteilung Abholzigkeit],0))</f>
        <v>#N/A</v>
      </c>
      <c r="N796" t="e">
        <f>VLOOKUP(Tabelle9[[#This Row],[Rank]],Stammdaten[[Rank Verteilung Abholzigkeit]:[Verteilung Abholzigkeit]],2,FALSE)</f>
        <v>#N/A</v>
      </c>
      <c r="S796">
        <v>787</v>
      </c>
      <c r="T796" t="e">
        <f>INDEX(Stammdaten[Krümmung (mm/lfm)],MATCH(Tabelle10[[#This Row],[Rank]],Stammdaten[Rank Verteilung Krümmung],0))</f>
        <v>#N/A</v>
      </c>
      <c r="U796" t="e">
        <f>VLOOKUP(Tabelle10[[#This Row],[Rank]],Stammdaten[[Rank Verteilung Krümmung]:[Verteilung Krümmung]],2,FALSE)</f>
        <v>#N/A</v>
      </c>
      <c r="Z796">
        <v>787</v>
      </c>
      <c r="AA796" t="e">
        <f>INDEX(Stammdaten[Ovalität (']0,1'])],MATCH(Tabelle1014[[#This Row],[Rank]],Stammdaten[Rank Verteilung Ovalität],0))</f>
        <v>#N/A</v>
      </c>
      <c r="AB796" t="e">
        <f>VLOOKUP(Tabelle1014[[#This Row],[Rank]],Stammdaten[[Rank Verteilung Ovalität]:[Verteilung Ovalität]],2,FALSE)</f>
        <v>#N/A</v>
      </c>
    </row>
    <row r="797" spans="5:28" x14ac:dyDescent="0.35">
      <c r="E797">
        <v>788</v>
      </c>
      <c r="F797" t="e">
        <f>INDEX(Stammdaten[D Mitte mit Rinde (mm)],MATCH(Tabelle8[[#This Row],[Rank]],Stammdaten[Rank Verteilung D Mitte mit Rinde],0))</f>
        <v>#N/A</v>
      </c>
      <c r="G797" t="e">
        <f>VLOOKUP(Tabelle8[[#This Row],[Rank]],Stammdaten[[Rank Verteilung D Mitte mit Rinde]:[Verteilung D Mitte mit Rinde]],2,FALSE)</f>
        <v>#N/A</v>
      </c>
      <c r="L797">
        <v>788</v>
      </c>
      <c r="M797" t="e">
        <f>INDEX(Stammdaten[Abholzigkeit (mm/lfm)],MATCH(Tabelle9[[#This Row],[Rank]],Stammdaten[Rank Verteilung Abholzigkeit],0))</f>
        <v>#N/A</v>
      </c>
      <c r="N797" t="e">
        <f>VLOOKUP(Tabelle9[[#This Row],[Rank]],Stammdaten[[Rank Verteilung Abholzigkeit]:[Verteilung Abholzigkeit]],2,FALSE)</f>
        <v>#N/A</v>
      </c>
      <c r="S797">
        <v>788</v>
      </c>
      <c r="T797" t="e">
        <f>INDEX(Stammdaten[Krümmung (mm/lfm)],MATCH(Tabelle10[[#This Row],[Rank]],Stammdaten[Rank Verteilung Krümmung],0))</f>
        <v>#N/A</v>
      </c>
      <c r="U797" t="e">
        <f>VLOOKUP(Tabelle10[[#This Row],[Rank]],Stammdaten[[Rank Verteilung Krümmung]:[Verteilung Krümmung]],2,FALSE)</f>
        <v>#N/A</v>
      </c>
      <c r="Z797">
        <v>788</v>
      </c>
      <c r="AA797" t="e">
        <f>INDEX(Stammdaten[Ovalität (']0,1'])],MATCH(Tabelle1014[[#This Row],[Rank]],Stammdaten[Rank Verteilung Ovalität],0))</f>
        <v>#N/A</v>
      </c>
      <c r="AB797" t="e">
        <f>VLOOKUP(Tabelle1014[[#This Row],[Rank]],Stammdaten[[Rank Verteilung Ovalität]:[Verteilung Ovalität]],2,FALSE)</f>
        <v>#N/A</v>
      </c>
    </row>
    <row r="798" spans="5:28" x14ac:dyDescent="0.35">
      <c r="E798">
        <v>789</v>
      </c>
      <c r="F798" t="e">
        <f>INDEX(Stammdaten[D Mitte mit Rinde (mm)],MATCH(Tabelle8[[#This Row],[Rank]],Stammdaten[Rank Verteilung D Mitte mit Rinde],0))</f>
        <v>#N/A</v>
      </c>
      <c r="G798" t="e">
        <f>VLOOKUP(Tabelle8[[#This Row],[Rank]],Stammdaten[[Rank Verteilung D Mitte mit Rinde]:[Verteilung D Mitte mit Rinde]],2,FALSE)</f>
        <v>#N/A</v>
      </c>
      <c r="L798">
        <v>789</v>
      </c>
      <c r="M798" t="e">
        <f>INDEX(Stammdaten[Abholzigkeit (mm/lfm)],MATCH(Tabelle9[[#This Row],[Rank]],Stammdaten[Rank Verteilung Abholzigkeit],0))</f>
        <v>#N/A</v>
      </c>
      <c r="N798" t="e">
        <f>VLOOKUP(Tabelle9[[#This Row],[Rank]],Stammdaten[[Rank Verteilung Abholzigkeit]:[Verteilung Abholzigkeit]],2,FALSE)</f>
        <v>#N/A</v>
      </c>
      <c r="S798">
        <v>789</v>
      </c>
      <c r="T798" t="e">
        <f>INDEX(Stammdaten[Krümmung (mm/lfm)],MATCH(Tabelle10[[#This Row],[Rank]],Stammdaten[Rank Verteilung Krümmung],0))</f>
        <v>#N/A</v>
      </c>
      <c r="U798" t="e">
        <f>VLOOKUP(Tabelle10[[#This Row],[Rank]],Stammdaten[[Rank Verteilung Krümmung]:[Verteilung Krümmung]],2,FALSE)</f>
        <v>#N/A</v>
      </c>
      <c r="Z798">
        <v>789</v>
      </c>
      <c r="AA798" t="e">
        <f>INDEX(Stammdaten[Ovalität (']0,1'])],MATCH(Tabelle1014[[#This Row],[Rank]],Stammdaten[Rank Verteilung Ovalität],0))</f>
        <v>#N/A</v>
      </c>
      <c r="AB798" t="e">
        <f>VLOOKUP(Tabelle1014[[#This Row],[Rank]],Stammdaten[[Rank Verteilung Ovalität]:[Verteilung Ovalität]],2,FALSE)</f>
        <v>#N/A</v>
      </c>
    </row>
    <row r="799" spans="5:28" x14ac:dyDescent="0.35">
      <c r="E799">
        <v>790</v>
      </c>
      <c r="F799" t="e">
        <f>INDEX(Stammdaten[D Mitte mit Rinde (mm)],MATCH(Tabelle8[[#This Row],[Rank]],Stammdaten[Rank Verteilung D Mitte mit Rinde],0))</f>
        <v>#N/A</v>
      </c>
      <c r="G799" t="e">
        <f>VLOOKUP(Tabelle8[[#This Row],[Rank]],Stammdaten[[Rank Verteilung D Mitte mit Rinde]:[Verteilung D Mitte mit Rinde]],2,FALSE)</f>
        <v>#N/A</v>
      </c>
      <c r="L799">
        <v>790</v>
      </c>
      <c r="M799" t="e">
        <f>INDEX(Stammdaten[Abholzigkeit (mm/lfm)],MATCH(Tabelle9[[#This Row],[Rank]],Stammdaten[Rank Verteilung Abholzigkeit],0))</f>
        <v>#N/A</v>
      </c>
      <c r="N799" t="e">
        <f>VLOOKUP(Tabelle9[[#This Row],[Rank]],Stammdaten[[Rank Verteilung Abholzigkeit]:[Verteilung Abholzigkeit]],2,FALSE)</f>
        <v>#N/A</v>
      </c>
      <c r="S799">
        <v>790</v>
      </c>
      <c r="T799" t="e">
        <f>INDEX(Stammdaten[Krümmung (mm/lfm)],MATCH(Tabelle10[[#This Row],[Rank]],Stammdaten[Rank Verteilung Krümmung],0))</f>
        <v>#N/A</v>
      </c>
      <c r="U799" t="e">
        <f>VLOOKUP(Tabelle10[[#This Row],[Rank]],Stammdaten[[Rank Verteilung Krümmung]:[Verteilung Krümmung]],2,FALSE)</f>
        <v>#N/A</v>
      </c>
      <c r="Z799">
        <v>790</v>
      </c>
      <c r="AA799" t="e">
        <f>INDEX(Stammdaten[Ovalität (']0,1'])],MATCH(Tabelle1014[[#This Row],[Rank]],Stammdaten[Rank Verteilung Ovalität],0))</f>
        <v>#N/A</v>
      </c>
      <c r="AB799" t="e">
        <f>VLOOKUP(Tabelle1014[[#This Row],[Rank]],Stammdaten[[Rank Verteilung Ovalität]:[Verteilung Ovalität]],2,FALSE)</f>
        <v>#N/A</v>
      </c>
    </row>
    <row r="800" spans="5:28" x14ac:dyDescent="0.35">
      <c r="E800">
        <v>791</v>
      </c>
      <c r="F800" t="e">
        <f>INDEX(Stammdaten[D Mitte mit Rinde (mm)],MATCH(Tabelle8[[#This Row],[Rank]],Stammdaten[Rank Verteilung D Mitte mit Rinde],0))</f>
        <v>#N/A</v>
      </c>
      <c r="G800" t="e">
        <f>VLOOKUP(Tabelle8[[#This Row],[Rank]],Stammdaten[[Rank Verteilung D Mitte mit Rinde]:[Verteilung D Mitte mit Rinde]],2,FALSE)</f>
        <v>#N/A</v>
      </c>
      <c r="L800">
        <v>791</v>
      </c>
      <c r="M800" t="e">
        <f>INDEX(Stammdaten[Abholzigkeit (mm/lfm)],MATCH(Tabelle9[[#This Row],[Rank]],Stammdaten[Rank Verteilung Abholzigkeit],0))</f>
        <v>#N/A</v>
      </c>
      <c r="N800" t="e">
        <f>VLOOKUP(Tabelle9[[#This Row],[Rank]],Stammdaten[[Rank Verteilung Abholzigkeit]:[Verteilung Abholzigkeit]],2,FALSE)</f>
        <v>#N/A</v>
      </c>
      <c r="S800">
        <v>791</v>
      </c>
      <c r="T800" t="e">
        <f>INDEX(Stammdaten[Krümmung (mm/lfm)],MATCH(Tabelle10[[#This Row],[Rank]],Stammdaten[Rank Verteilung Krümmung],0))</f>
        <v>#N/A</v>
      </c>
      <c r="U800" t="e">
        <f>VLOOKUP(Tabelle10[[#This Row],[Rank]],Stammdaten[[Rank Verteilung Krümmung]:[Verteilung Krümmung]],2,FALSE)</f>
        <v>#N/A</v>
      </c>
      <c r="Z800">
        <v>791</v>
      </c>
      <c r="AA800" t="e">
        <f>INDEX(Stammdaten[Ovalität (']0,1'])],MATCH(Tabelle1014[[#This Row],[Rank]],Stammdaten[Rank Verteilung Ovalität],0))</f>
        <v>#N/A</v>
      </c>
      <c r="AB800" t="e">
        <f>VLOOKUP(Tabelle1014[[#This Row],[Rank]],Stammdaten[[Rank Verteilung Ovalität]:[Verteilung Ovalität]],2,FALSE)</f>
        <v>#N/A</v>
      </c>
    </row>
    <row r="801" spans="5:28" x14ac:dyDescent="0.35">
      <c r="E801">
        <v>792</v>
      </c>
      <c r="F801" t="e">
        <f>INDEX(Stammdaten[D Mitte mit Rinde (mm)],MATCH(Tabelle8[[#This Row],[Rank]],Stammdaten[Rank Verteilung D Mitte mit Rinde],0))</f>
        <v>#N/A</v>
      </c>
      <c r="G801" t="e">
        <f>VLOOKUP(Tabelle8[[#This Row],[Rank]],Stammdaten[[Rank Verteilung D Mitte mit Rinde]:[Verteilung D Mitte mit Rinde]],2,FALSE)</f>
        <v>#N/A</v>
      </c>
      <c r="L801">
        <v>792</v>
      </c>
      <c r="M801" t="e">
        <f>INDEX(Stammdaten[Abholzigkeit (mm/lfm)],MATCH(Tabelle9[[#This Row],[Rank]],Stammdaten[Rank Verteilung Abholzigkeit],0))</f>
        <v>#N/A</v>
      </c>
      <c r="N801" t="e">
        <f>VLOOKUP(Tabelle9[[#This Row],[Rank]],Stammdaten[[Rank Verteilung Abholzigkeit]:[Verteilung Abholzigkeit]],2,FALSE)</f>
        <v>#N/A</v>
      </c>
      <c r="S801">
        <v>792</v>
      </c>
      <c r="T801" t="e">
        <f>INDEX(Stammdaten[Krümmung (mm/lfm)],MATCH(Tabelle10[[#This Row],[Rank]],Stammdaten[Rank Verteilung Krümmung],0))</f>
        <v>#N/A</v>
      </c>
      <c r="U801" t="e">
        <f>VLOOKUP(Tabelle10[[#This Row],[Rank]],Stammdaten[[Rank Verteilung Krümmung]:[Verteilung Krümmung]],2,FALSE)</f>
        <v>#N/A</v>
      </c>
      <c r="Z801">
        <v>792</v>
      </c>
      <c r="AA801" t="e">
        <f>INDEX(Stammdaten[Ovalität (']0,1'])],MATCH(Tabelle1014[[#This Row],[Rank]],Stammdaten[Rank Verteilung Ovalität],0))</f>
        <v>#N/A</v>
      </c>
      <c r="AB801" t="e">
        <f>VLOOKUP(Tabelle1014[[#This Row],[Rank]],Stammdaten[[Rank Verteilung Ovalität]:[Verteilung Ovalität]],2,FALSE)</f>
        <v>#N/A</v>
      </c>
    </row>
    <row r="802" spans="5:28" x14ac:dyDescent="0.35">
      <c r="E802">
        <v>793</v>
      </c>
      <c r="F802" t="e">
        <f>INDEX(Stammdaten[D Mitte mit Rinde (mm)],MATCH(Tabelle8[[#This Row],[Rank]],Stammdaten[Rank Verteilung D Mitte mit Rinde],0))</f>
        <v>#N/A</v>
      </c>
      <c r="G802" t="e">
        <f>VLOOKUP(Tabelle8[[#This Row],[Rank]],Stammdaten[[Rank Verteilung D Mitte mit Rinde]:[Verteilung D Mitte mit Rinde]],2,FALSE)</f>
        <v>#N/A</v>
      </c>
      <c r="L802">
        <v>793</v>
      </c>
      <c r="M802" t="e">
        <f>INDEX(Stammdaten[Abholzigkeit (mm/lfm)],MATCH(Tabelle9[[#This Row],[Rank]],Stammdaten[Rank Verteilung Abholzigkeit],0))</f>
        <v>#N/A</v>
      </c>
      <c r="N802" t="e">
        <f>VLOOKUP(Tabelle9[[#This Row],[Rank]],Stammdaten[[Rank Verteilung Abholzigkeit]:[Verteilung Abholzigkeit]],2,FALSE)</f>
        <v>#N/A</v>
      </c>
      <c r="S802">
        <v>793</v>
      </c>
      <c r="T802" t="e">
        <f>INDEX(Stammdaten[Krümmung (mm/lfm)],MATCH(Tabelle10[[#This Row],[Rank]],Stammdaten[Rank Verteilung Krümmung],0))</f>
        <v>#N/A</v>
      </c>
      <c r="U802" t="e">
        <f>VLOOKUP(Tabelle10[[#This Row],[Rank]],Stammdaten[[Rank Verteilung Krümmung]:[Verteilung Krümmung]],2,FALSE)</f>
        <v>#N/A</v>
      </c>
      <c r="Z802">
        <v>793</v>
      </c>
      <c r="AA802" t="e">
        <f>INDEX(Stammdaten[Ovalität (']0,1'])],MATCH(Tabelle1014[[#This Row],[Rank]],Stammdaten[Rank Verteilung Ovalität],0))</f>
        <v>#N/A</v>
      </c>
      <c r="AB802" t="e">
        <f>VLOOKUP(Tabelle1014[[#This Row],[Rank]],Stammdaten[[Rank Verteilung Ovalität]:[Verteilung Ovalität]],2,FALSE)</f>
        <v>#N/A</v>
      </c>
    </row>
    <row r="803" spans="5:28" x14ac:dyDescent="0.35">
      <c r="E803">
        <v>794</v>
      </c>
      <c r="F803" t="e">
        <f>INDEX(Stammdaten[D Mitte mit Rinde (mm)],MATCH(Tabelle8[[#This Row],[Rank]],Stammdaten[Rank Verteilung D Mitte mit Rinde],0))</f>
        <v>#N/A</v>
      </c>
      <c r="G803" t="e">
        <f>VLOOKUP(Tabelle8[[#This Row],[Rank]],Stammdaten[[Rank Verteilung D Mitte mit Rinde]:[Verteilung D Mitte mit Rinde]],2,FALSE)</f>
        <v>#N/A</v>
      </c>
      <c r="L803">
        <v>794</v>
      </c>
      <c r="M803" t="e">
        <f>INDEX(Stammdaten[Abholzigkeit (mm/lfm)],MATCH(Tabelle9[[#This Row],[Rank]],Stammdaten[Rank Verteilung Abholzigkeit],0))</f>
        <v>#N/A</v>
      </c>
      <c r="N803" t="e">
        <f>VLOOKUP(Tabelle9[[#This Row],[Rank]],Stammdaten[[Rank Verteilung Abholzigkeit]:[Verteilung Abholzigkeit]],2,FALSE)</f>
        <v>#N/A</v>
      </c>
      <c r="S803">
        <v>794</v>
      </c>
      <c r="T803" t="e">
        <f>INDEX(Stammdaten[Krümmung (mm/lfm)],MATCH(Tabelle10[[#This Row],[Rank]],Stammdaten[Rank Verteilung Krümmung],0))</f>
        <v>#N/A</v>
      </c>
      <c r="U803" t="e">
        <f>VLOOKUP(Tabelle10[[#This Row],[Rank]],Stammdaten[[Rank Verteilung Krümmung]:[Verteilung Krümmung]],2,FALSE)</f>
        <v>#N/A</v>
      </c>
      <c r="Z803">
        <v>794</v>
      </c>
      <c r="AA803" t="e">
        <f>INDEX(Stammdaten[Ovalität (']0,1'])],MATCH(Tabelle1014[[#This Row],[Rank]],Stammdaten[Rank Verteilung Ovalität],0))</f>
        <v>#N/A</v>
      </c>
      <c r="AB803" t="e">
        <f>VLOOKUP(Tabelle1014[[#This Row],[Rank]],Stammdaten[[Rank Verteilung Ovalität]:[Verteilung Ovalität]],2,FALSE)</f>
        <v>#N/A</v>
      </c>
    </row>
    <row r="804" spans="5:28" x14ac:dyDescent="0.35">
      <c r="E804">
        <v>795</v>
      </c>
      <c r="F804" t="e">
        <f>INDEX(Stammdaten[D Mitte mit Rinde (mm)],MATCH(Tabelle8[[#This Row],[Rank]],Stammdaten[Rank Verteilung D Mitte mit Rinde],0))</f>
        <v>#N/A</v>
      </c>
      <c r="G804" t="e">
        <f>VLOOKUP(Tabelle8[[#This Row],[Rank]],Stammdaten[[Rank Verteilung D Mitte mit Rinde]:[Verteilung D Mitte mit Rinde]],2,FALSE)</f>
        <v>#N/A</v>
      </c>
      <c r="L804">
        <v>795</v>
      </c>
      <c r="M804" t="e">
        <f>INDEX(Stammdaten[Abholzigkeit (mm/lfm)],MATCH(Tabelle9[[#This Row],[Rank]],Stammdaten[Rank Verteilung Abholzigkeit],0))</f>
        <v>#N/A</v>
      </c>
      <c r="N804" t="e">
        <f>VLOOKUP(Tabelle9[[#This Row],[Rank]],Stammdaten[[Rank Verteilung Abholzigkeit]:[Verteilung Abholzigkeit]],2,FALSE)</f>
        <v>#N/A</v>
      </c>
      <c r="S804">
        <v>795</v>
      </c>
      <c r="T804" t="e">
        <f>INDEX(Stammdaten[Krümmung (mm/lfm)],MATCH(Tabelle10[[#This Row],[Rank]],Stammdaten[Rank Verteilung Krümmung],0))</f>
        <v>#N/A</v>
      </c>
      <c r="U804" t="e">
        <f>VLOOKUP(Tabelle10[[#This Row],[Rank]],Stammdaten[[Rank Verteilung Krümmung]:[Verteilung Krümmung]],2,FALSE)</f>
        <v>#N/A</v>
      </c>
      <c r="Z804">
        <v>795</v>
      </c>
      <c r="AA804" t="e">
        <f>INDEX(Stammdaten[Ovalität (']0,1'])],MATCH(Tabelle1014[[#This Row],[Rank]],Stammdaten[Rank Verteilung Ovalität],0))</f>
        <v>#N/A</v>
      </c>
      <c r="AB804" t="e">
        <f>VLOOKUP(Tabelle1014[[#This Row],[Rank]],Stammdaten[[Rank Verteilung Ovalität]:[Verteilung Ovalität]],2,FALSE)</f>
        <v>#N/A</v>
      </c>
    </row>
    <row r="805" spans="5:28" x14ac:dyDescent="0.35">
      <c r="E805">
        <v>796</v>
      </c>
      <c r="F805" t="e">
        <f>INDEX(Stammdaten[D Mitte mit Rinde (mm)],MATCH(Tabelle8[[#This Row],[Rank]],Stammdaten[Rank Verteilung D Mitte mit Rinde],0))</f>
        <v>#N/A</v>
      </c>
      <c r="G805" t="e">
        <f>VLOOKUP(Tabelle8[[#This Row],[Rank]],Stammdaten[[Rank Verteilung D Mitte mit Rinde]:[Verteilung D Mitte mit Rinde]],2,FALSE)</f>
        <v>#N/A</v>
      </c>
      <c r="L805">
        <v>796</v>
      </c>
      <c r="M805" t="e">
        <f>INDEX(Stammdaten[Abholzigkeit (mm/lfm)],MATCH(Tabelle9[[#This Row],[Rank]],Stammdaten[Rank Verteilung Abholzigkeit],0))</f>
        <v>#N/A</v>
      </c>
      <c r="N805" t="e">
        <f>VLOOKUP(Tabelle9[[#This Row],[Rank]],Stammdaten[[Rank Verteilung Abholzigkeit]:[Verteilung Abholzigkeit]],2,FALSE)</f>
        <v>#N/A</v>
      </c>
      <c r="S805">
        <v>796</v>
      </c>
      <c r="T805" t="e">
        <f>INDEX(Stammdaten[Krümmung (mm/lfm)],MATCH(Tabelle10[[#This Row],[Rank]],Stammdaten[Rank Verteilung Krümmung],0))</f>
        <v>#N/A</v>
      </c>
      <c r="U805" t="e">
        <f>VLOOKUP(Tabelle10[[#This Row],[Rank]],Stammdaten[[Rank Verteilung Krümmung]:[Verteilung Krümmung]],2,FALSE)</f>
        <v>#N/A</v>
      </c>
      <c r="Z805">
        <v>796</v>
      </c>
      <c r="AA805" t="e">
        <f>INDEX(Stammdaten[Ovalität (']0,1'])],MATCH(Tabelle1014[[#This Row],[Rank]],Stammdaten[Rank Verteilung Ovalität],0))</f>
        <v>#N/A</v>
      </c>
      <c r="AB805" t="e">
        <f>VLOOKUP(Tabelle1014[[#This Row],[Rank]],Stammdaten[[Rank Verteilung Ovalität]:[Verteilung Ovalität]],2,FALSE)</f>
        <v>#N/A</v>
      </c>
    </row>
    <row r="806" spans="5:28" x14ac:dyDescent="0.35">
      <c r="E806">
        <v>797</v>
      </c>
      <c r="F806" t="e">
        <f>INDEX(Stammdaten[D Mitte mit Rinde (mm)],MATCH(Tabelle8[[#This Row],[Rank]],Stammdaten[Rank Verteilung D Mitte mit Rinde],0))</f>
        <v>#N/A</v>
      </c>
      <c r="G806" t="e">
        <f>VLOOKUP(Tabelle8[[#This Row],[Rank]],Stammdaten[[Rank Verteilung D Mitte mit Rinde]:[Verteilung D Mitte mit Rinde]],2,FALSE)</f>
        <v>#N/A</v>
      </c>
      <c r="L806">
        <v>797</v>
      </c>
      <c r="M806" t="e">
        <f>INDEX(Stammdaten[Abholzigkeit (mm/lfm)],MATCH(Tabelle9[[#This Row],[Rank]],Stammdaten[Rank Verteilung Abholzigkeit],0))</f>
        <v>#N/A</v>
      </c>
      <c r="N806" t="e">
        <f>VLOOKUP(Tabelle9[[#This Row],[Rank]],Stammdaten[[Rank Verteilung Abholzigkeit]:[Verteilung Abholzigkeit]],2,FALSE)</f>
        <v>#N/A</v>
      </c>
      <c r="S806">
        <v>797</v>
      </c>
      <c r="T806" t="e">
        <f>INDEX(Stammdaten[Krümmung (mm/lfm)],MATCH(Tabelle10[[#This Row],[Rank]],Stammdaten[Rank Verteilung Krümmung],0))</f>
        <v>#N/A</v>
      </c>
      <c r="U806" t="e">
        <f>VLOOKUP(Tabelle10[[#This Row],[Rank]],Stammdaten[[Rank Verteilung Krümmung]:[Verteilung Krümmung]],2,FALSE)</f>
        <v>#N/A</v>
      </c>
      <c r="Z806">
        <v>797</v>
      </c>
      <c r="AA806" t="e">
        <f>INDEX(Stammdaten[Ovalität (']0,1'])],MATCH(Tabelle1014[[#This Row],[Rank]],Stammdaten[Rank Verteilung Ovalität],0))</f>
        <v>#N/A</v>
      </c>
      <c r="AB806" t="e">
        <f>VLOOKUP(Tabelle1014[[#This Row],[Rank]],Stammdaten[[Rank Verteilung Ovalität]:[Verteilung Ovalität]],2,FALSE)</f>
        <v>#N/A</v>
      </c>
    </row>
    <row r="807" spans="5:28" x14ac:dyDescent="0.35">
      <c r="E807">
        <v>798</v>
      </c>
      <c r="F807" t="e">
        <f>INDEX(Stammdaten[D Mitte mit Rinde (mm)],MATCH(Tabelle8[[#This Row],[Rank]],Stammdaten[Rank Verteilung D Mitte mit Rinde],0))</f>
        <v>#N/A</v>
      </c>
      <c r="G807" t="e">
        <f>VLOOKUP(Tabelle8[[#This Row],[Rank]],Stammdaten[[Rank Verteilung D Mitte mit Rinde]:[Verteilung D Mitte mit Rinde]],2,FALSE)</f>
        <v>#N/A</v>
      </c>
      <c r="L807">
        <v>798</v>
      </c>
      <c r="M807" t="e">
        <f>INDEX(Stammdaten[Abholzigkeit (mm/lfm)],MATCH(Tabelle9[[#This Row],[Rank]],Stammdaten[Rank Verteilung Abholzigkeit],0))</f>
        <v>#N/A</v>
      </c>
      <c r="N807" t="e">
        <f>VLOOKUP(Tabelle9[[#This Row],[Rank]],Stammdaten[[Rank Verteilung Abholzigkeit]:[Verteilung Abholzigkeit]],2,FALSE)</f>
        <v>#N/A</v>
      </c>
      <c r="S807">
        <v>798</v>
      </c>
      <c r="T807" t="e">
        <f>INDEX(Stammdaten[Krümmung (mm/lfm)],MATCH(Tabelle10[[#This Row],[Rank]],Stammdaten[Rank Verteilung Krümmung],0))</f>
        <v>#N/A</v>
      </c>
      <c r="U807" t="e">
        <f>VLOOKUP(Tabelle10[[#This Row],[Rank]],Stammdaten[[Rank Verteilung Krümmung]:[Verteilung Krümmung]],2,FALSE)</f>
        <v>#N/A</v>
      </c>
      <c r="Z807">
        <v>798</v>
      </c>
      <c r="AA807" t="e">
        <f>INDEX(Stammdaten[Ovalität (']0,1'])],MATCH(Tabelle1014[[#This Row],[Rank]],Stammdaten[Rank Verteilung Ovalität],0))</f>
        <v>#N/A</v>
      </c>
      <c r="AB807" t="e">
        <f>VLOOKUP(Tabelle1014[[#This Row],[Rank]],Stammdaten[[Rank Verteilung Ovalität]:[Verteilung Ovalität]],2,FALSE)</f>
        <v>#N/A</v>
      </c>
    </row>
    <row r="808" spans="5:28" x14ac:dyDescent="0.35">
      <c r="E808">
        <v>799</v>
      </c>
      <c r="F808" t="e">
        <f>INDEX(Stammdaten[D Mitte mit Rinde (mm)],MATCH(Tabelle8[[#This Row],[Rank]],Stammdaten[Rank Verteilung D Mitte mit Rinde],0))</f>
        <v>#N/A</v>
      </c>
      <c r="G808" t="e">
        <f>VLOOKUP(Tabelle8[[#This Row],[Rank]],Stammdaten[[Rank Verteilung D Mitte mit Rinde]:[Verteilung D Mitte mit Rinde]],2,FALSE)</f>
        <v>#N/A</v>
      </c>
      <c r="L808">
        <v>799</v>
      </c>
      <c r="M808" t="e">
        <f>INDEX(Stammdaten[Abholzigkeit (mm/lfm)],MATCH(Tabelle9[[#This Row],[Rank]],Stammdaten[Rank Verteilung Abholzigkeit],0))</f>
        <v>#N/A</v>
      </c>
      <c r="N808" t="e">
        <f>VLOOKUP(Tabelle9[[#This Row],[Rank]],Stammdaten[[Rank Verteilung Abholzigkeit]:[Verteilung Abholzigkeit]],2,FALSE)</f>
        <v>#N/A</v>
      </c>
      <c r="S808">
        <v>799</v>
      </c>
      <c r="T808" t="e">
        <f>INDEX(Stammdaten[Krümmung (mm/lfm)],MATCH(Tabelle10[[#This Row],[Rank]],Stammdaten[Rank Verteilung Krümmung],0))</f>
        <v>#N/A</v>
      </c>
      <c r="U808" t="e">
        <f>VLOOKUP(Tabelle10[[#This Row],[Rank]],Stammdaten[[Rank Verteilung Krümmung]:[Verteilung Krümmung]],2,FALSE)</f>
        <v>#N/A</v>
      </c>
      <c r="Z808">
        <v>799</v>
      </c>
      <c r="AA808" t="e">
        <f>INDEX(Stammdaten[Ovalität (']0,1'])],MATCH(Tabelle1014[[#This Row],[Rank]],Stammdaten[Rank Verteilung Ovalität],0))</f>
        <v>#N/A</v>
      </c>
      <c r="AB808" t="e">
        <f>VLOOKUP(Tabelle1014[[#This Row],[Rank]],Stammdaten[[Rank Verteilung Ovalität]:[Verteilung Ovalität]],2,FALSE)</f>
        <v>#N/A</v>
      </c>
    </row>
    <row r="809" spans="5:28" x14ac:dyDescent="0.35">
      <c r="E809">
        <v>800</v>
      </c>
      <c r="F809" t="e">
        <f>INDEX(Stammdaten[D Mitte mit Rinde (mm)],MATCH(Tabelle8[[#This Row],[Rank]],Stammdaten[Rank Verteilung D Mitte mit Rinde],0))</f>
        <v>#N/A</v>
      </c>
      <c r="G809" t="e">
        <f>VLOOKUP(Tabelle8[[#This Row],[Rank]],Stammdaten[[Rank Verteilung D Mitte mit Rinde]:[Verteilung D Mitte mit Rinde]],2,FALSE)</f>
        <v>#N/A</v>
      </c>
      <c r="L809">
        <v>800</v>
      </c>
      <c r="M809" t="e">
        <f>INDEX(Stammdaten[Abholzigkeit (mm/lfm)],MATCH(Tabelle9[[#This Row],[Rank]],Stammdaten[Rank Verteilung Abholzigkeit],0))</f>
        <v>#N/A</v>
      </c>
      <c r="N809" t="e">
        <f>VLOOKUP(Tabelle9[[#This Row],[Rank]],Stammdaten[[Rank Verteilung Abholzigkeit]:[Verteilung Abholzigkeit]],2,FALSE)</f>
        <v>#N/A</v>
      </c>
      <c r="S809">
        <v>800</v>
      </c>
      <c r="T809" t="e">
        <f>INDEX(Stammdaten[Krümmung (mm/lfm)],MATCH(Tabelle10[[#This Row],[Rank]],Stammdaten[Rank Verteilung Krümmung],0))</f>
        <v>#N/A</v>
      </c>
      <c r="U809" t="e">
        <f>VLOOKUP(Tabelle10[[#This Row],[Rank]],Stammdaten[[Rank Verteilung Krümmung]:[Verteilung Krümmung]],2,FALSE)</f>
        <v>#N/A</v>
      </c>
      <c r="Z809">
        <v>800</v>
      </c>
      <c r="AA809" t="e">
        <f>INDEX(Stammdaten[Ovalität (']0,1'])],MATCH(Tabelle1014[[#This Row],[Rank]],Stammdaten[Rank Verteilung Ovalität],0))</f>
        <v>#N/A</v>
      </c>
      <c r="AB809" t="e">
        <f>VLOOKUP(Tabelle1014[[#This Row],[Rank]],Stammdaten[[Rank Verteilung Ovalität]:[Verteilung Ovalität]],2,FALSE)</f>
        <v>#N/A</v>
      </c>
    </row>
    <row r="810" spans="5:28" x14ac:dyDescent="0.35">
      <c r="E810">
        <v>801</v>
      </c>
      <c r="F810" t="e">
        <f>INDEX(Stammdaten[D Mitte mit Rinde (mm)],MATCH(Tabelle8[[#This Row],[Rank]],Stammdaten[Rank Verteilung D Mitte mit Rinde],0))</f>
        <v>#N/A</v>
      </c>
      <c r="G810" t="e">
        <f>VLOOKUP(Tabelle8[[#This Row],[Rank]],Stammdaten[[Rank Verteilung D Mitte mit Rinde]:[Verteilung D Mitte mit Rinde]],2,FALSE)</f>
        <v>#N/A</v>
      </c>
      <c r="L810">
        <v>801</v>
      </c>
      <c r="M810" t="e">
        <f>INDEX(Stammdaten[Abholzigkeit (mm/lfm)],MATCH(Tabelle9[[#This Row],[Rank]],Stammdaten[Rank Verteilung Abholzigkeit],0))</f>
        <v>#N/A</v>
      </c>
      <c r="N810" t="e">
        <f>VLOOKUP(Tabelle9[[#This Row],[Rank]],Stammdaten[[Rank Verteilung Abholzigkeit]:[Verteilung Abholzigkeit]],2,FALSE)</f>
        <v>#N/A</v>
      </c>
      <c r="S810">
        <v>801</v>
      </c>
      <c r="T810" t="e">
        <f>INDEX(Stammdaten[Krümmung (mm/lfm)],MATCH(Tabelle10[[#This Row],[Rank]],Stammdaten[Rank Verteilung Krümmung],0))</f>
        <v>#N/A</v>
      </c>
      <c r="U810" t="e">
        <f>VLOOKUP(Tabelle10[[#This Row],[Rank]],Stammdaten[[Rank Verteilung Krümmung]:[Verteilung Krümmung]],2,FALSE)</f>
        <v>#N/A</v>
      </c>
      <c r="Z810">
        <v>801</v>
      </c>
      <c r="AA810" t="e">
        <f>INDEX(Stammdaten[Ovalität (']0,1'])],MATCH(Tabelle1014[[#This Row],[Rank]],Stammdaten[Rank Verteilung Ovalität],0))</f>
        <v>#N/A</v>
      </c>
      <c r="AB810" t="e">
        <f>VLOOKUP(Tabelle1014[[#This Row],[Rank]],Stammdaten[[Rank Verteilung Ovalität]:[Verteilung Ovalität]],2,FALSE)</f>
        <v>#N/A</v>
      </c>
    </row>
    <row r="811" spans="5:28" x14ac:dyDescent="0.35">
      <c r="E811">
        <v>802</v>
      </c>
      <c r="F811" t="e">
        <f>INDEX(Stammdaten[D Mitte mit Rinde (mm)],MATCH(Tabelle8[[#This Row],[Rank]],Stammdaten[Rank Verteilung D Mitte mit Rinde],0))</f>
        <v>#N/A</v>
      </c>
      <c r="G811" t="e">
        <f>VLOOKUP(Tabelle8[[#This Row],[Rank]],Stammdaten[[Rank Verteilung D Mitte mit Rinde]:[Verteilung D Mitte mit Rinde]],2,FALSE)</f>
        <v>#N/A</v>
      </c>
      <c r="L811">
        <v>802</v>
      </c>
      <c r="M811" t="e">
        <f>INDEX(Stammdaten[Abholzigkeit (mm/lfm)],MATCH(Tabelle9[[#This Row],[Rank]],Stammdaten[Rank Verteilung Abholzigkeit],0))</f>
        <v>#N/A</v>
      </c>
      <c r="N811" t="e">
        <f>VLOOKUP(Tabelle9[[#This Row],[Rank]],Stammdaten[[Rank Verteilung Abholzigkeit]:[Verteilung Abholzigkeit]],2,FALSE)</f>
        <v>#N/A</v>
      </c>
      <c r="S811">
        <v>802</v>
      </c>
      <c r="T811" t="e">
        <f>INDEX(Stammdaten[Krümmung (mm/lfm)],MATCH(Tabelle10[[#This Row],[Rank]],Stammdaten[Rank Verteilung Krümmung],0))</f>
        <v>#N/A</v>
      </c>
      <c r="U811" t="e">
        <f>VLOOKUP(Tabelle10[[#This Row],[Rank]],Stammdaten[[Rank Verteilung Krümmung]:[Verteilung Krümmung]],2,FALSE)</f>
        <v>#N/A</v>
      </c>
      <c r="Z811">
        <v>802</v>
      </c>
      <c r="AA811" t="e">
        <f>INDEX(Stammdaten[Ovalität (']0,1'])],MATCH(Tabelle1014[[#This Row],[Rank]],Stammdaten[Rank Verteilung Ovalität],0))</f>
        <v>#N/A</v>
      </c>
      <c r="AB811" t="e">
        <f>VLOOKUP(Tabelle1014[[#This Row],[Rank]],Stammdaten[[Rank Verteilung Ovalität]:[Verteilung Ovalität]],2,FALSE)</f>
        <v>#N/A</v>
      </c>
    </row>
    <row r="812" spans="5:28" x14ac:dyDescent="0.35">
      <c r="E812">
        <v>803</v>
      </c>
      <c r="F812" t="e">
        <f>INDEX(Stammdaten[D Mitte mit Rinde (mm)],MATCH(Tabelle8[[#This Row],[Rank]],Stammdaten[Rank Verteilung D Mitte mit Rinde],0))</f>
        <v>#N/A</v>
      </c>
      <c r="G812" t="e">
        <f>VLOOKUP(Tabelle8[[#This Row],[Rank]],Stammdaten[[Rank Verteilung D Mitte mit Rinde]:[Verteilung D Mitte mit Rinde]],2,FALSE)</f>
        <v>#N/A</v>
      </c>
      <c r="L812">
        <v>803</v>
      </c>
      <c r="M812" t="e">
        <f>INDEX(Stammdaten[Abholzigkeit (mm/lfm)],MATCH(Tabelle9[[#This Row],[Rank]],Stammdaten[Rank Verteilung Abholzigkeit],0))</f>
        <v>#N/A</v>
      </c>
      <c r="N812" t="e">
        <f>VLOOKUP(Tabelle9[[#This Row],[Rank]],Stammdaten[[Rank Verteilung Abholzigkeit]:[Verteilung Abholzigkeit]],2,FALSE)</f>
        <v>#N/A</v>
      </c>
      <c r="S812">
        <v>803</v>
      </c>
      <c r="T812" t="e">
        <f>INDEX(Stammdaten[Krümmung (mm/lfm)],MATCH(Tabelle10[[#This Row],[Rank]],Stammdaten[Rank Verteilung Krümmung],0))</f>
        <v>#N/A</v>
      </c>
      <c r="U812" t="e">
        <f>VLOOKUP(Tabelle10[[#This Row],[Rank]],Stammdaten[[Rank Verteilung Krümmung]:[Verteilung Krümmung]],2,FALSE)</f>
        <v>#N/A</v>
      </c>
      <c r="Z812">
        <v>803</v>
      </c>
      <c r="AA812" t="e">
        <f>INDEX(Stammdaten[Ovalität (']0,1'])],MATCH(Tabelle1014[[#This Row],[Rank]],Stammdaten[Rank Verteilung Ovalität],0))</f>
        <v>#N/A</v>
      </c>
      <c r="AB812" t="e">
        <f>VLOOKUP(Tabelle1014[[#This Row],[Rank]],Stammdaten[[Rank Verteilung Ovalität]:[Verteilung Ovalität]],2,FALSE)</f>
        <v>#N/A</v>
      </c>
    </row>
    <row r="813" spans="5:28" x14ac:dyDescent="0.35">
      <c r="E813">
        <v>804</v>
      </c>
      <c r="F813" t="e">
        <f>INDEX(Stammdaten[D Mitte mit Rinde (mm)],MATCH(Tabelle8[[#This Row],[Rank]],Stammdaten[Rank Verteilung D Mitte mit Rinde],0))</f>
        <v>#N/A</v>
      </c>
      <c r="G813" t="e">
        <f>VLOOKUP(Tabelle8[[#This Row],[Rank]],Stammdaten[[Rank Verteilung D Mitte mit Rinde]:[Verteilung D Mitte mit Rinde]],2,FALSE)</f>
        <v>#N/A</v>
      </c>
      <c r="L813">
        <v>804</v>
      </c>
      <c r="M813" t="e">
        <f>INDEX(Stammdaten[Abholzigkeit (mm/lfm)],MATCH(Tabelle9[[#This Row],[Rank]],Stammdaten[Rank Verteilung Abholzigkeit],0))</f>
        <v>#N/A</v>
      </c>
      <c r="N813" t="e">
        <f>VLOOKUP(Tabelle9[[#This Row],[Rank]],Stammdaten[[Rank Verteilung Abholzigkeit]:[Verteilung Abholzigkeit]],2,FALSE)</f>
        <v>#N/A</v>
      </c>
      <c r="S813">
        <v>804</v>
      </c>
      <c r="T813" t="e">
        <f>INDEX(Stammdaten[Krümmung (mm/lfm)],MATCH(Tabelle10[[#This Row],[Rank]],Stammdaten[Rank Verteilung Krümmung],0))</f>
        <v>#N/A</v>
      </c>
      <c r="U813" t="e">
        <f>VLOOKUP(Tabelle10[[#This Row],[Rank]],Stammdaten[[Rank Verteilung Krümmung]:[Verteilung Krümmung]],2,FALSE)</f>
        <v>#N/A</v>
      </c>
      <c r="Z813">
        <v>804</v>
      </c>
      <c r="AA813" t="e">
        <f>INDEX(Stammdaten[Ovalität (']0,1'])],MATCH(Tabelle1014[[#This Row],[Rank]],Stammdaten[Rank Verteilung Ovalität],0))</f>
        <v>#N/A</v>
      </c>
      <c r="AB813" t="e">
        <f>VLOOKUP(Tabelle1014[[#This Row],[Rank]],Stammdaten[[Rank Verteilung Ovalität]:[Verteilung Ovalität]],2,FALSE)</f>
        <v>#N/A</v>
      </c>
    </row>
    <row r="814" spans="5:28" x14ac:dyDescent="0.35">
      <c r="E814">
        <v>805</v>
      </c>
      <c r="F814" t="e">
        <f>INDEX(Stammdaten[D Mitte mit Rinde (mm)],MATCH(Tabelle8[[#This Row],[Rank]],Stammdaten[Rank Verteilung D Mitte mit Rinde],0))</f>
        <v>#N/A</v>
      </c>
      <c r="G814" t="e">
        <f>VLOOKUP(Tabelle8[[#This Row],[Rank]],Stammdaten[[Rank Verteilung D Mitte mit Rinde]:[Verteilung D Mitte mit Rinde]],2,FALSE)</f>
        <v>#N/A</v>
      </c>
      <c r="L814">
        <v>805</v>
      </c>
      <c r="M814" t="e">
        <f>INDEX(Stammdaten[Abholzigkeit (mm/lfm)],MATCH(Tabelle9[[#This Row],[Rank]],Stammdaten[Rank Verteilung Abholzigkeit],0))</f>
        <v>#N/A</v>
      </c>
      <c r="N814" t="e">
        <f>VLOOKUP(Tabelle9[[#This Row],[Rank]],Stammdaten[[Rank Verteilung Abholzigkeit]:[Verteilung Abholzigkeit]],2,FALSE)</f>
        <v>#N/A</v>
      </c>
      <c r="S814">
        <v>805</v>
      </c>
      <c r="T814" t="e">
        <f>INDEX(Stammdaten[Krümmung (mm/lfm)],MATCH(Tabelle10[[#This Row],[Rank]],Stammdaten[Rank Verteilung Krümmung],0))</f>
        <v>#N/A</v>
      </c>
      <c r="U814" t="e">
        <f>VLOOKUP(Tabelle10[[#This Row],[Rank]],Stammdaten[[Rank Verteilung Krümmung]:[Verteilung Krümmung]],2,FALSE)</f>
        <v>#N/A</v>
      </c>
      <c r="Z814">
        <v>805</v>
      </c>
      <c r="AA814" t="e">
        <f>INDEX(Stammdaten[Ovalität (']0,1'])],MATCH(Tabelle1014[[#This Row],[Rank]],Stammdaten[Rank Verteilung Ovalität],0))</f>
        <v>#N/A</v>
      </c>
      <c r="AB814" t="e">
        <f>VLOOKUP(Tabelle1014[[#This Row],[Rank]],Stammdaten[[Rank Verteilung Ovalität]:[Verteilung Ovalität]],2,FALSE)</f>
        <v>#N/A</v>
      </c>
    </row>
    <row r="815" spans="5:28" x14ac:dyDescent="0.35">
      <c r="E815">
        <v>806</v>
      </c>
      <c r="F815" t="e">
        <f>INDEX(Stammdaten[D Mitte mit Rinde (mm)],MATCH(Tabelle8[[#This Row],[Rank]],Stammdaten[Rank Verteilung D Mitte mit Rinde],0))</f>
        <v>#N/A</v>
      </c>
      <c r="G815" t="e">
        <f>VLOOKUP(Tabelle8[[#This Row],[Rank]],Stammdaten[[Rank Verteilung D Mitte mit Rinde]:[Verteilung D Mitte mit Rinde]],2,FALSE)</f>
        <v>#N/A</v>
      </c>
      <c r="L815">
        <v>806</v>
      </c>
      <c r="M815" t="e">
        <f>INDEX(Stammdaten[Abholzigkeit (mm/lfm)],MATCH(Tabelle9[[#This Row],[Rank]],Stammdaten[Rank Verteilung Abholzigkeit],0))</f>
        <v>#N/A</v>
      </c>
      <c r="N815" t="e">
        <f>VLOOKUP(Tabelle9[[#This Row],[Rank]],Stammdaten[[Rank Verteilung Abholzigkeit]:[Verteilung Abholzigkeit]],2,FALSE)</f>
        <v>#N/A</v>
      </c>
      <c r="S815">
        <v>806</v>
      </c>
      <c r="T815" t="e">
        <f>INDEX(Stammdaten[Krümmung (mm/lfm)],MATCH(Tabelle10[[#This Row],[Rank]],Stammdaten[Rank Verteilung Krümmung],0))</f>
        <v>#N/A</v>
      </c>
      <c r="U815" t="e">
        <f>VLOOKUP(Tabelle10[[#This Row],[Rank]],Stammdaten[[Rank Verteilung Krümmung]:[Verteilung Krümmung]],2,FALSE)</f>
        <v>#N/A</v>
      </c>
      <c r="Z815">
        <v>806</v>
      </c>
      <c r="AA815" t="e">
        <f>INDEX(Stammdaten[Ovalität (']0,1'])],MATCH(Tabelle1014[[#This Row],[Rank]],Stammdaten[Rank Verteilung Ovalität],0))</f>
        <v>#N/A</v>
      </c>
      <c r="AB815" t="e">
        <f>VLOOKUP(Tabelle1014[[#This Row],[Rank]],Stammdaten[[Rank Verteilung Ovalität]:[Verteilung Ovalität]],2,FALSE)</f>
        <v>#N/A</v>
      </c>
    </row>
    <row r="816" spans="5:28" x14ac:dyDescent="0.35">
      <c r="E816">
        <v>807</v>
      </c>
      <c r="F816" t="e">
        <f>INDEX(Stammdaten[D Mitte mit Rinde (mm)],MATCH(Tabelle8[[#This Row],[Rank]],Stammdaten[Rank Verteilung D Mitte mit Rinde],0))</f>
        <v>#N/A</v>
      </c>
      <c r="G816" t="e">
        <f>VLOOKUP(Tabelle8[[#This Row],[Rank]],Stammdaten[[Rank Verteilung D Mitte mit Rinde]:[Verteilung D Mitte mit Rinde]],2,FALSE)</f>
        <v>#N/A</v>
      </c>
      <c r="L816">
        <v>807</v>
      </c>
      <c r="M816" t="e">
        <f>INDEX(Stammdaten[Abholzigkeit (mm/lfm)],MATCH(Tabelle9[[#This Row],[Rank]],Stammdaten[Rank Verteilung Abholzigkeit],0))</f>
        <v>#N/A</v>
      </c>
      <c r="N816" t="e">
        <f>VLOOKUP(Tabelle9[[#This Row],[Rank]],Stammdaten[[Rank Verteilung Abholzigkeit]:[Verteilung Abholzigkeit]],2,FALSE)</f>
        <v>#N/A</v>
      </c>
      <c r="S816">
        <v>807</v>
      </c>
      <c r="T816" t="e">
        <f>INDEX(Stammdaten[Krümmung (mm/lfm)],MATCH(Tabelle10[[#This Row],[Rank]],Stammdaten[Rank Verteilung Krümmung],0))</f>
        <v>#N/A</v>
      </c>
      <c r="U816" t="e">
        <f>VLOOKUP(Tabelle10[[#This Row],[Rank]],Stammdaten[[Rank Verteilung Krümmung]:[Verteilung Krümmung]],2,FALSE)</f>
        <v>#N/A</v>
      </c>
      <c r="Z816">
        <v>807</v>
      </c>
      <c r="AA816" t="e">
        <f>INDEX(Stammdaten[Ovalität (']0,1'])],MATCH(Tabelle1014[[#This Row],[Rank]],Stammdaten[Rank Verteilung Ovalität],0))</f>
        <v>#N/A</v>
      </c>
      <c r="AB816" t="e">
        <f>VLOOKUP(Tabelle1014[[#This Row],[Rank]],Stammdaten[[Rank Verteilung Ovalität]:[Verteilung Ovalität]],2,FALSE)</f>
        <v>#N/A</v>
      </c>
    </row>
    <row r="817" spans="5:28" x14ac:dyDescent="0.35">
      <c r="E817">
        <v>808</v>
      </c>
      <c r="F817" t="e">
        <f>INDEX(Stammdaten[D Mitte mit Rinde (mm)],MATCH(Tabelle8[[#This Row],[Rank]],Stammdaten[Rank Verteilung D Mitte mit Rinde],0))</f>
        <v>#N/A</v>
      </c>
      <c r="G817" t="e">
        <f>VLOOKUP(Tabelle8[[#This Row],[Rank]],Stammdaten[[Rank Verteilung D Mitte mit Rinde]:[Verteilung D Mitte mit Rinde]],2,FALSE)</f>
        <v>#N/A</v>
      </c>
      <c r="L817">
        <v>808</v>
      </c>
      <c r="M817" t="e">
        <f>INDEX(Stammdaten[Abholzigkeit (mm/lfm)],MATCH(Tabelle9[[#This Row],[Rank]],Stammdaten[Rank Verteilung Abholzigkeit],0))</f>
        <v>#N/A</v>
      </c>
      <c r="N817" t="e">
        <f>VLOOKUP(Tabelle9[[#This Row],[Rank]],Stammdaten[[Rank Verteilung Abholzigkeit]:[Verteilung Abholzigkeit]],2,FALSE)</f>
        <v>#N/A</v>
      </c>
      <c r="S817">
        <v>808</v>
      </c>
      <c r="T817" t="e">
        <f>INDEX(Stammdaten[Krümmung (mm/lfm)],MATCH(Tabelle10[[#This Row],[Rank]],Stammdaten[Rank Verteilung Krümmung],0))</f>
        <v>#N/A</v>
      </c>
      <c r="U817" t="e">
        <f>VLOOKUP(Tabelle10[[#This Row],[Rank]],Stammdaten[[Rank Verteilung Krümmung]:[Verteilung Krümmung]],2,FALSE)</f>
        <v>#N/A</v>
      </c>
      <c r="Z817">
        <v>808</v>
      </c>
      <c r="AA817" t="e">
        <f>INDEX(Stammdaten[Ovalität (']0,1'])],MATCH(Tabelle1014[[#This Row],[Rank]],Stammdaten[Rank Verteilung Ovalität],0))</f>
        <v>#N/A</v>
      </c>
      <c r="AB817" t="e">
        <f>VLOOKUP(Tabelle1014[[#This Row],[Rank]],Stammdaten[[Rank Verteilung Ovalität]:[Verteilung Ovalität]],2,FALSE)</f>
        <v>#N/A</v>
      </c>
    </row>
    <row r="818" spans="5:28" x14ac:dyDescent="0.35">
      <c r="E818">
        <v>809</v>
      </c>
      <c r="F818" t="e">
        <f>INDEX(Stammdaten[D Mitte mit Rinde (mm)],MATCH(Tabelle8[[#This Row],[Rank]],Stammdaten[Rank Verteilung D Mitte mit Rinde],0))</f>
        <v>#N/A</v>
      </c>
      <c r="G818" t="e">
        <f>VLOOKUP(Tabelle8[[#This Row],[Rank]],Stammdaten[[Rank Verteilung D Mitte mit Rinde]:[Verteilung D Mitte mit Rinde]],2,FALSE)</f>
        <v>#N/A</v>
      </c>
      <c r="L818">
        <v>809</v>
      </c>
      <c r="M818" t="e">
        <f>INDEX(Stammdaten[Abholzigkeit (mm/lfm)],MATCH(Tabelle9[[#This Row],[Rank]],Stammdaten[Rank Verteilung Abholzigkeit],0))</f>
        <v>#N/A</v>
      </c>
      <c r="N818" t="e">
        <f>VLOOKUP(Tabelle9[[#This Row],[Rank]],Stammdaten[[Rank Verteilung Abholzigkeit]:[Verteilung Abholzigkeit]],2,FALSE)</f>
        <v>#N/A</v>
      </c>
      <c r="S818">
        <v>809</v>
      </c>
      <c r="T818" t="e">
        <f>INDEX(Stammdaten[Krümmung (mm/lfm)],MATCH(Tabelle10[[#This Row],[Rank]],Stammdaten[Rank Verteilung Krümmung],0))</f>
        <v>#N/A</v>
      </c>
      <c r="U818" t="e">
        <f>VLOOKUP(Tabelle10[[#This Row],[Rank]],Stammdaten[[Rank Verteilung Krümmung]:[Verteilung Krümmung]],2,FALSE)</f>
        <v>#N/A</v>
      </c>
      <c r="Z818">
        <v>809</v>
      </c>
      <c r="AA818" t="e">
        <f>INDEX(Stammdaten[Ovalität (']0,1'])],MATCH(Tabelle1014[[#This Row],[Rank]],Stammdaten[Rank Verteilung Ovalität],0))</f>
        <v>#N/A</v>
      </c>
      <c r="AB818" t="e">
        <f>VLOOKUP(Tabelle1014[[#This Row],[Rank]],Stammdaten[[Rank Verteilung Ovalität]:[Verteilung Ovalität]],2,FALSE)</f>
        <v>#N/A</v>
      </c>
    </row>
    <row r="819" spans="5:28" x14ac:dyDescent="0.35">
      <c r="E819">
        <v>810</v>
      </c>
      <c r="F819" t="e">
        <f>INDEX(Stammdaten[D Mitte mit Rinde (mm)],MATCH(Tabelle8[[#This Row],[Rank]],Stammdaten[Rank Verteilung D Mitte mit Rinde],0))</f>
        <v>#N/A</v>
      </c>
      <c r="G819" t="e">
        <f>VLOOKUP(Tabelle8[[#This Row],[Rank]],Stammdaten[[Rank Verteilung D Mitte mit Rinde]:[Verteilung D Mitte mit Rinde]],2,FALSE)</f>
        <v>#N/A</v>
      </c>
      <c r="L819">
        <v>810</v>
      </c>
      <c r="M819" t="e">
        <f>INDEX(Stammdaten[Abholzigkeit (mm/lfm)],MATCH(Tabelle9[[#This Row],[Rank]],Stammdaten[Rank Verteilung Abholzigkeit],0))</f>
        <v>#N/A</v>
      </c>
      <c r="N819" t="e">
        <f>VLOOKUP(Tabelle9[[#This Row],[Rank]],Stammdaten[[Rank Verteilung Abholzigkeit]:[Verteilung Abholzigkeit]],2,FALSE)</f>
        <v>#N/A</v>
      </c>
      <c r="S819">
        <v>810</v>
      </c>
      <c r="T819" t="e">
        <f>INDEX(Stammdaten[Krümmung (mm/lfm)],MATCH(Tabelle10[[#This Row],[Rank]],Stammdaten[Rank Verteilung Krümmung],0))</f>
        <v>#N/A</v>
      </c>
      <c r="U819" t="e">
        <f>VLOOKUP(Tabelle10[[#This Row],[Rank]],Stammdaten[[Rank Verteilung Krümmung]:[Verteilung Krümmung]],2,FALSE)</f>
        <v>#N/A</v>
      </c>
      <c r="Z819">
        <v>810</v>
      </c>
      <c r="AA819" t="e">
        <f>INDEX(Stammdaten[Ovalität (']0,1'])],MATCH(Tabelle1014[[#This Row],[Rank]],Stammdaten[Rank Verteilung Ovalität],0))</f>
        <v>#N/A</v>
      </c>
      <c r="AB819" t="e">
        <f>VLOOKUP(Tabelle1014[[#This Row],[Rank]],Stammdaten[[Rank Verteilung Ovalität]:[Verteilung Ovalität]],2,FALSE)</f>
        <v>#N/A</v>
      </c>
    </row>
    <row r="820" spans="5:28" x14ac:dyDescent="0.35">
      <c r="E820">
        <v>811</v>
      </c>
      <c r="F820" t="e">
        <f>INDEX(Stammdaten[D Mitte mit Rinde (mm)],MATCH(Tabelle8[[#This Row],[Rank]],Stammdaten[Rank Verteilung D Mitte mit Rinde],0))</f>
        <v>#N/A</v>
      </c>
      <c r="G820" t="e">
        <f>VLOOKUP(Tabelle8[[#This Row],[Rank]],Stammdaten[[Rank Verteilung D Mitte mit Rinde]:[Verteilung D Mitte mit Rinde]],2,FALSE)</f>
        <v>#N/A</v>
      </c>
      <c r="L820">
        <v>811</v>
      </c>
      <c r="M820" t="e">
        <f>INDEX(Stammdaten[Abholzigkeit (mm/lfm)],MATCH(Tabelle9[[#This Row],[Rank]],Stammdaten[Rank Verteilung Abholzigkeit],0))</f>
        <v>#N/A</v>
      </c>
      <c r="N820" t="e">
        <f>VLOOKUP(Tabelle9[[#This Row],[Rank]],Stammdaten[[Rank Verteilung Abholzigkeit]:[Verteilung Abholzigkeit]],2,FALSE)</f>
        <v>#N/A</v>
      </c>
      <c r="S820">
        <v>811</v>
      </c>
      <c r="T820" t="e">
        <f>INDEX(Stammdaten[Krümmung (mm/lfm)],MATCH(Tabelle10[[#This Row],[Rank]],Stammdaten[Rank Verteilung Krümmung],0))</f>
        <v>#N/A</v>
      </c>
      <c r="U820" t="e">
        <f>VLOOKUP(Tabelle10[[#This Row],[Rank]],Stammdaten[[Rank Verteilung Krümmung]:[Verteilung Krümmung]],2,FALSE)</f>
        <v>#N/A</v>
      </c>
      <c r="Z820">
        <v>811</v>
      </c>
      <c r="AA820" t="e">
        <f>INDEX(Stammdaten[Ovalität (']0,1'])],MATCH(Tabelle1014[[#This Row],[Rank]],Stammdaten[Rank Verteilung Ovalität],0))</f>
        <v>#N/A</v>
      </c>
      <c r="AB820" t="e">
        <f>VLOOKUP(Tabelle1014[[#This Row],[Rank]],Stammdaten[[Rank Verteilung Ovalität]:[Verteilung Ovalität]],2,FALSE)</f>
        <v>#N/A</v>
      </c>
    </row>
    <row r="821" spans="5:28" x14ac:dyDescent="0.35">
      <c r="E821">
        <v>812</v>
      </c>
      <c r="F821" t="e">
        <f>INDEX(Stammdaten[D Mitte mit Rinde (mm)],MATCH(Tabelle8[[#This Row],[Rank]],Stammdaten[Rank Verteilung D Mitte mit Rinde],0))</f>
        <v>#N/A</v>
      </c>
      <c r="G821" t="e">
        <f>VLOOKUP(Tabelle8[[#This Row],[Rank]],Stammdaten[[Rank Verteilung D Mitte mit Rinde]:[Verteilung D Mitte mit Rinde]],2,FALSE)</f>
        <v>#N/A</v>
      </c>
      <c r="L821">
        <v>812</v>
      </c>
      <c r="M821" t="e">
        <f>INDEX(Stammdaten[Abholzigkeit (mm/lfm)],MATCH(Tabelle9[[#This Row],[Rank]],Stammdaten[Rank Verteilung Abholzigkeit],0))</f>
        <v>#N/A</v>
      </c>
      <c r="N821" t="e">
        <f>VLOOKUP(Tabelle9[[#This Row],[Rank]],Stammdaten[[Rank Verteilung Abholzigkeit]:[Verteilung Abholzigkeit]],2,FALSE)</f>
        <v>#N/A</v>
      </c>
      <c r="S821">
        <v>812</v>
      </c>
      <c r="T821" t="e">
        <f>INDEX(Stammdaten[Krümmung (mm/lfm)],MATCH(Tabelle10[[#This Row],[Rank]],Stammdaten[Rank Verteilung Krümmung],0))</f>
        <v>#N/A</v>
      </c>
      <c r="U821" t="e">
        <f>VLOOKUP(Tabelle10[[#This Row],[Rank]],Stammdaten[[Rank Verteilung Krümmung]:[Verteilung Krümmung]],2,FALSE)</f>
        <v>#N/A</v>
      </c>
      <c r="Z821">
        <v>812</v>
      </c>
      <c r="AA821" t="e">
        <f>INDEX(Stammdaten[Ovalität (']0,1'])],MATCH(Tabelle1014[[#This Row],[Rank]],Stammdaten[Rank Verteilung Ovalität],0))</f>
        <v>#N/A</v>
      </c>
      <c r="AB821" t="e">
        <f>VLOOKUP(Tabelle1014[[#This Row],[Rank]],Stammdaten[[Rank Verteilung Ovalität]:[Verteilung Ovalität]],2,FALSE)</f>
        <v>#N/A</v>
      </c>
    </row>
    <row r="822" spans="5:28" x14ac:dyDescent="0.35">
      <c r="E822">
        <v>813</v>
      </c>
      <c r="F822" t="e">
        <f>INDEX(Stammdaten[D Mitte mit Rinde (mm)],MATCH(Tabelle8[[#This Row],[Rank]],Stammdaten[Rank Verteilung D Mitte mit Rinde],0))</f>
        <v>#N/A</v>
      </c>
      <c r="G822" t="e">
        <f>VLOOKUP(Tabelle8[[#This Row],[Rank]],Stammdaten[[Rank Verteilung D Mitte mit Rinde]:[Verteilung D Mitte mit Rinde]],2,FALSE)</f>
        <v>#N/A</v>
      </c>
      <c r="L822">
        <v>813</v>
      </c>
      <c r="M822" t="e">
        <f>INDEX(Stammdaten[Abholzigkeit (mm/lfm)],MATCH(Tabelle9[[#This Row],[Rank]],Stammdaten[Rank Verteilung Abholzigkeit],0))</f>
        <v>#N/A</v>
      </c>
      <c r="N822" t="e">
        <f>VLOOKUP(Tabelle9[[#This Row],[Rank]],Stammdaten[[Rank Verteilung Abholzigkeit]:[Verteilung Abholzigkeit]],2,FALSE)</f>
        <v>#N/A</v>
      </c>
      <c r="S822">
        <v>813</v>
      </c>
      <c r="T822" t="e">
        <f>INDEX(Stammdaten[Krümmung (mm/lfm)],MATCH(Tabelle10[[#This Row],[Rank]],Stammdaten[Rank Verteilung Krümmung],0))</f>
        <v>#N/A</v>
      </c>
      <c r="U822" t="e">
        <f>VLOOKUP(Tabelle10[[#This Row],[Rank]],Stammdaten[[Rank Verteilung Krümmung]:[Verteilung Krümmung]],2,FALSE)</f>
        <v>#N/A</v>
      </c>
      <c r="Z822">
        <v>813</v>
      </c>
      <c r="AA822" t="e">
        <f>INDEX(Stammdaten[Ovalität (']0,1'])],MATCH(Tabelle1014[[#This Row],[Rank]],Stammdaten[Rank Verteilung Ovalität],0))</f>
        <v>#N/A</v>
      </c>
      <c r="AB822" t="e">
        <f>VLOOKUP(Tabelle1014[[#This Row],[Rank]],Stammdaten[[Rank Verteilung Ovalität]:[Verteilung Ovalität]],2,FALSE)</f>
        <v>#N/A</v>
      </c>
    </row>
    <row r="823" spans="5:28" x14ac:dyDescent="0.35">
      <c r="E823">
        <v>814</v>
      </c>
      <c r="F823" t="e">
        <f>INDEX(Stammdaten[D Mitte mit Rinde (mm)],MATCH(Tabelle8[[#This Row],[Rank]],Stammdaten[Rank Verteilung D Mitte mit Rinde],0))</f>
        <v>#N/A</v>
      </c>
      <c r="G823" t="e">
        <f>VLOOKUP(Tabelle8[[#This Row],[Rank]],Stammdaten[[Rank Verteilung D Mitte mit Rinde]:[Verteilung D Mitte mit Rinde]],2,FALSE)</f>
        <v>#N/A</v>
      </c>
      <c r="L823">
        <v>814</v>
      </c>
      <c r="M823" t="e">
        <f>INDEX(Stammdaten[Abholzigkeit (mm/lfm)],MATCH(Tabelle9[[#This Row],[Rank]],Stammdaten[Rank Verteilung Abholzigkeit],0))</f>
        <v>#N/A</v>
      </c>
      <c r="N823" t="e">
        <f>VLOOKUP(Tabelle9[[#This Row],[Rank]],Stammdaten[[Rank Verteilung Abholzigkeit]:[Verteilung Abholzigkeit]],2,FALSE)</f>
        <v>#N/A</v>
      </c>
      <c r="S823">
        <v>814</v>
      </c>
      <c r="T823" t="e">
        <f>INDEX(Stammdaten[Krümmung (mm/lfm)],MATCH(Tabelle10[[#This Row],[Rank]],Stammdaten[Rank Verteilung Krümmung],0))</f>
        <v>#N/A</v>
      </c>
      <c r="U823" t="e">
        <f>VLOOKUP(Tabelle10[[#This Row],[Rank]],Stammdaten[[Rank Verteilung Krümmung]:[Verteilung Krümmung]],2,FALSE)</f>
        <v>#N/A</v>
      </c>
      <c r="Z823">
        <v>814</v>
      </c>
      <c r="AA823" t="e">
        <f>INDEX(Stammdaten[Ovalität (']0,1'])],MATCH(Tabelle1014[[#This Row],[Rank]],Stammdaten[Rank Verteilung Ovalität],0))</f>
        <v>#N/A</v>
      </c>
      <c r="AB823" t="e">
        <f>VLOOKUP(Tabelle1014[[#This Row],[Rank]],Stammdaten[[Rank Verteilung Ovalität]:[Verteilung Ovalität]],2,FALSE)</f>
        <v>#N/A</v>
      </c>
    </row>
    <row r="824" spans="5:28" x14ac:dyDescent="0.35">
      <c r="E824">
        <v>815</v>
      </c>
      <c r="F824" t="e">
        <f>INDEX(Stammdaten[D Mitte mit Rinde (mm)],MATCH(Tabelle8[[#This Row],[Rank]],Stammdaten[Rank Verteilung D Mitte mit Rinde],0))</f>
        <v>#N/A</v>
      </c>
      <c r="G824" t="e">
        <f>VLOOKUP(Tabelle8[[#This Row],[Rank]],Stammdaten[[Rank Verteilung D Mitte mit Rinde]:[Verteilung D Mitte mit Rinde]],2,FALSE)</f>
        <v>#N/A</v>
      </c>
      <c r="L824">
        <v>815</v>
      </c>
      <c r="M824" t="e">
        <f>INDEX(Stammdaten[Abholzigkeit (mm/lfm)],MATCH(Tabelle9[[#This Row],[Rank]],Stammdaten[Rank Verteilung Abholzigkeit],0))</f>
        <v>#N/A</v>
      </c>
      <c r="N824" t="e">
        <f>VLOOKUP(Tabelle9[[#This Row],[Rank]],Stammdaten[[Rank Verteilung Abholzigkeit]:[Verteilung Abholzigkeit]],2,FALSE)</f>
        <v>#N/A</v>
      </c>
      <c r="S824">
        <v>815</v>
      </c>
      <c r="T824" t="e">
        <f>INDEX(Stammdaten[Krümmung (mm/lfm)],MATCH(Tabelle10[[#This Row],[Rank]],Stammdaten[Rank Verteilung Krümmung],0))</f>
        <v>#N/A</v>
      </c>
      <c r="U824" t="e">
        <f>VLOOKUP(Tabelle10[[#This Row],[Rank]],Stammdaten[[Rank Verteilung Krümmung]:[Verteilung Krümmung]],2,FALSE)</f>
        <v>#N/A</v>
      </c>
      <c r="Z824">
        <v>815</v>
      </c>
      <c r="AA824" t="e">
        <f>INDEX(Stammdaten[Ovalität (']0,1'])],MATCH(Tabelle1014[[#This Row],[Rank]],Stammdaten[Rank Verteilung Ovalität],0))</f>
        <v>#N/A</v>
      </c>
      <c r="AB824" t="e">
        <f>VLOOKUP(Tabelle1014[[#This Row],[Rank]],Stammdaten[[Rank Verteilung Ovalität]:[Verteilung Ovalität]],2,FALSE)</f>
        <v>#N/A</v>
      </c>
    </row>
    <row r="825" spans="5:28" x14ac:dyDescent="0.35">
      <c r="E825">
        <v>816</v>
      </c>
      <c r="F825" t="e">
        <f>INDEX(Stammdaten[D Mitte mit Rinde (mm)],MATCH(Tabelle8[[#This Row],[Rank]],Stammdaten[Rank Verteilung D Mitte mit Rinde],0))</f>
        <v>#N/A</v>
      </c>
      <c r="G825" t="e">
        <f>VLOOKUP(Tabelle8[[#This Row],[Rank]],Stammdaten[[Rank Verteilung D Mitte mit Rinde]:[Verteilung D Mitte mit Rinde]],2,FALSE)</f>
        <v>#N/A</v>
      </c>
      <c r="L825">
        <v>816</v>
      </c>
      <c r="M825" t="e">
        <f>INDEX(Stammdaten[Abholzigkeit (mm/lfm)],MATCH(Tabelle9[[#This Row],[Rank]],Stammdaten[Rank Verteilung Abholzigkeit],0))</f>
        <v>#N/A</v>
      </c>
      <c r="N825" t="e">
        <f>VLOOKUP(Tabelle9[[#This Row],[Rank]],Stammdaten[[Rank Verteilung Abholzigkeit]:[Verteilung Abholzigkeit]],2,FALSE)</f>
        <v>#N/A</v>
      </c>
      <c r="S825">
        <v>816</v>
      </c>
      <c r="T825" t="e">
        <f>INDEX(Stammdaten[Krümmung (mm/lfm)],MATCH(Tabelle10[[#This Row],[Rank]],Stammdaten[Rank Verteilung Krümmung],0))</f>
        <v>#N/A</v>
      </c>
      <c r="U825" t="e">
        <f>VLOOKUP(Tabelle10[[#This Row],[Rank]],Stammdaten[[Rank Verteilung Krümmung]:[Verteilung Krümmung]],2,FALSE)</f>
        <v>#N/A</v>
      </c>
      <c r="Z825">
        <v>816</v>
      </c>
      <c r="AA825" t="e">
        <f>INDEX(Stammdaten[Ovalität (']0,1'])],MATCH(Tabelle1014[[#This Row],[Rank]],Stammdaten[Rank Verteilung Ovalität],0))</f>
        <v>#N/A</v>
      </c>
      <c r="AB825" t="e">
        <f>VLOOKUP(Tabelle1014[[#This Row],[Rank]],Stammdaten[[Rank Verteilung Ovalität]:[Verteilung Ovalität]],2,FALSE)</f>
        <v>#N/A</v>
      </c>
    </row>
    <row r="826" spans="5:28" x14ac:dyDescent="0.35">
      <c r="E826">
        <v>817</v>
      </c>
      <c r="F826" t="e">
        <f>INDEX(Stammdaten[D Mitte mit Rinde (mm)],MATCH(Tabelle8[[#This Row],[Rank]],Stammdaten[Rank Verteilung D Mitte mit Rinde],0))</f>
        <v>#N/A</v>
      </c>
      <c r="G826" t="e">
        <f>VLOOKUP(Tabelle8[[#This Row],[Rank]],Stammdaten[[Rank Verteilung D Mitte mit Rinde]:[Verteilung D Mitte mit Rinde]],2,FALSE)</f>
        <v>#N/A</v>
      </c>
      <c r="L826">
        <v>817</v>
      </c>
      <c r="M826" t="e">
        <f>INDEX(Stammdaten[Abholzigkeit (mm/lfm)],MATCH(Tabelle9[[#This Row],[Rank]],Stammdaten[Rank Verteilung Abholzigkeit],0))</f>
        <v>#N/A</v>
      </c>
      <c r="N826" t="e">
        <f>VLOOKUP(Tabelle9[[#This Row],[Rank]],Stammdaten[[Rank Verteilung Abholzigkeit]:[Verteilung Abholzigkeit]],2,FALSE)</f>
        <v>#N/A</v>
      </c>
      <c r="S826">
        <v>817</v>
      </c>
      <c r="T826" t="e">
        <f>INDEX(Stammdaten[Krümmung (mm/lfm)],MATCH(Tabelle10[[#This Row],[Rank]],Stammdaten[Rank Verteilung Krümmung],0))</f>
        <v>#N/A</v>
      </c>
      <c r="U826" t="e">
        <f>VLOOKUP(Tabelle10[[#This Row],[Rank]],Stammdaten[[Rank Verteilung Krümmung]:[Verteilung Krümmung]],2,FALSE)</f>
        <v>#N/A</v>
      </c>
      <c r="Z826">
        <v>817</v>
      </c>
      <c r="AA826" t="e">
        <f>INDEX(Stammdaten[Ovalität (']0,1'])],MATCH(Tabelle1014[[#This Row],[Rank]],Stammdaten[Rank Verteilung Ovalität],0))</f>
        <v>#N/A</v>
      </c>
      <c r="AB826" t="e">
        <f>VLOOKUP(Tabelle1014[[#This Row],[Rank]],Stammdaten[[Rank Verteilung Ovalität]:[Verteilung Ovalität]],2,FALSE)</f>
        <v>#N/A</v>
      </c>
    </row>
    <row r="827" spans="5:28" x14ac:dyDescent="0.35">
      <c r="E827">
        <v>818</v>
      </c>
      <c r="F827" t="e">
        <f>INDEX(Stammdaten[D Mitte mit Rinde (mm)],MATCH(Tabelle8[[#This Row],[Rank]],Stammdaten[Rank Verteilung D Mitte mit Rinde],0))</f>
        <v>#N/A</v>
      </c>
      <c r="G827" t="e">
        <f>VLOOKUP(Tabelle8[[#This Row],[Rank]],Stammdaten[[Rank Verteilung D Mitte mit Rinde]:[Verteilung D Mitte mit Rinde]],2,FALSE)</f>
        <v>#N/A</v>
      </c>
      <c r="L827">
        <v>818</v>
      </c>
      <c r="M827" t="e">
        <f>INDEX(Stammdaten[Abholzigkeit (mm/lfm)],MATCH(Tabelle9[[#This Row],[Rank]],Stammdaten[Rank Verteilung Abholzigkeit],0))</f>
        <v>#N/A</v>
      </c>
      <c r="N827" t="e">
        <f>VLOOKUP(Tabelle9[[#This Row],[Rank]],Stammdaten[[Rank Verteilung Abholzigkeit]:[Verteilung Abholzigkeit]],2,FALSE)</f>
        <v>#N/A</v>
      </c>
      <c r="S827">
        <v>818</v>
      </c>
      <c r="T827" t="e">
        <f>INDEX(Stammdaten[Krümmung (mm/lfm)],MATCH(Tabelle10[[#This Row],[Rank]],Stammdaten[Rank Verteilung Krümmung],0))</f>
        <v>#N/A</v>
      </c>
      <c r="U827" t="e">
        <f>VLOOKUP(Tabelle10[[#This Row],[Rank]],Stammdaten[[Rank Verteilung Krümmung]:[Verteilung Krümmung]],2,FALSE)</f>
        <v>#N/A</v>
      </c>
      <c r="Z827">
        <v>818</v>
      </c>
      <c r="AA827" t="e">
        <f>INDEX(Stammdaten[Ovalität (']0,1'])],MATCH(Tabelle1014[[#This Row],[Rank]],Stammdaten[Rank Verteilung Ovalität],0))</f>
        <v>#N/A</v>
      </c>
      <c r="AB827" t="e">
        <f>VLOOKUP(Tabelle1014[[#This Row],[Rank]],Stammdaten[[Rank Verteilung Ovalität]:[Verteilung Ovalität]],2,FALSE)</f>
        <v>#N/A</v>
      </c>
    </row>
    <row r="828" spans="5:28" x14ac:dyDescent="0.35">
      <c r="E828">
        <v>819</v>
      </c>
      <c r="F828" t="e">
        <f>INDEX(Stammdaten[D Mitte mit Rinde (mm)],MATCH(Tabelle8[[#This Row],[Rank]],Stammdaten[Rank Verteilung D Mitte mit Rinde],0))</f>
        <v>#N/A</v>
      </c>
      <c r="G828" t="e">
        <f>VLOOKUP(Tabelle8[[#This Row],[Rank]],Stammdaten[[Rank Verteilung D Mitte mit Rinde]:[Verteilung D Mitte mit Rinde]],2,FALSE)</f>
        <v>#N/A</v>
      </c>
      <c r="L828">
        <v>819</v>
      </c>
      <c r="M828" t="e">
        <f>INDEX(Stammdaten[Abholzigkeit (mm/lfm)],MATCH(Tabelle9[[#This Row],[Rank]],Stammdaten[Rank Verteilung Abholzigkeit],0))</f>
        <v>#N/A</v>
      </c>
      <c r="N828" t="e">
        <f>VLOOKUP(Tabelle9[[#This Row],[Rank]],Stammdaten[[Rank Verteilung Abholzigkeit]:[Verteilung Abholzigkeit]],2,FALSE)</f>
        <v>#N/A</v>
      </c>
      <c r="S828">
        <v>819</v>
      </c>
      <c r="T828" t="e">
        <f>INDEX(Stammdaten[Krümmung (mm/lfm)],MATCH(Tabelle10[[#This Row],[Rank]],Stammdaten[Rank Verteilung Krümmung],0))</f>
        <v>#N/A</v>
      </c>
      <c r="U828" t="e">
        <f>VLOOKUP(Tabelle10[[#This Row],[Rank]],Stammdaten[[Rank Verteilung Krümmung]:[Verteilung Krümmung]],2,FALSE)</f>
        <v>#N/A</v>
      </c>
      <c r="Z828">
        <v>819</v>
      </c>
      <c r="AA828" t="e">
        <f>INDEX(Stammdaten[Ovalität (']0,1'])],MATCH(Tabelle1014[[#This Row],[Rank]],Stammdaten[Rank Verteilung Ovalität],0))</f>
        <v>#N/A</v>
      </c>
      <c r="AB828" t="e">
        <f>VLOOKUP(Tabelle1014[[#This Row],[Rank]],Stammdaten[[Rank Verteilung Ovalität]:[Verteilung Ovalität]],2,FALSE)</f>
        <v>#N/A</v>
      </c>
    </row>
    <row r="829" spans="5:28" x14ac:dyDescent="0.35">
      <c r="E829">
        <v>820</v>
      </c>
      <c r="F829" t="e">
        <f>INDEX(Stammdaten[D Mitte mit Rinde (mm)],MATCH(Tabelle8[[#This Row],[Rank]],Stammdaten[Rank Verteilung D Mitte mit Rinde],0))</f>
        <v>#N/A</v>
      </c>
      <c r="G829" t="e">
        <f>VLOOKUP(Tabelle8[[#This Row],[Rank]],Stammdaten[[Rank Verteilung D Mitte mit Rinde]:[Verteilung D Mitte mit Rinde]],2,FALSE)</f>
        <v>#N/A</v>
      </c>
      <c r="L829">
        <v>820</v>
      </c>
      <c r="M829" t="e">
        <f>INDEX(Stammdaten[Abholzigkeit (mm/lfm)],MATCH(Tabelle9[[#This Row],[Rank]],Stammdaten[Rank Verteilung Abholzigkeit],0))</f>
        <v>#N/A</v>
      </c>
      <c r="N829" t="e">
        <f>VLOOKUP(Tabelle9[[#This Row],[Rank]],Stammdaten[[Rank Verteilung Abholzigkeit]:[Verteilung Abholzigkeit]],2,FALSE)</f>
        <v>#N/A</v>
      </c>
      <c r="S829">
        <v>820</v>
      </c>
      <c r="T829" t="e">
        <f>INDEX(Stammdaten[Krümmung (mm/lfm)],MATCH(Tabelle10[[#This Row],[Rank]],Stammdaten[Rank Verteilung Krümmung],0))</f>
        <v>#N/A</v>
      </c>
      <c r="U829" t="e">
        <f>VLOOKUP(Tabelle10[[#This Row],[Rank]],Stammdaten[[Rank Verteilung Krümmung]:[Verteilung Krümmung]],2,FALSE)</f>
        <v>#N/A</v>
      </c>
      <c r="Z829">
        <v>820</v>
      </c>
      <c r="AA829" t="e">
        <f>INDEX(Stammdaten[Ovalität (']0,1'])],MATCH(Tabelle1014[[#This Row],[Rank]],Stammdaten[Rank Verteilung Ovalität],0))</f>
        <v>#N/A</v>
      </c>
      <c r="AB829" t="e">
        <f>VLOOKUP(Tabelle1014[[#This Row],[Rank]],Stammdaten[[Rank Verteilung Ovalität]:[Verteilung Ovalität]],2,FALSE)</f>
        <v>#N/A</v>
      </c>
    </row>
    <row r="830" spans="5:28" x14ac:dyDescent="0.35">
      <c r="E830">
        <v>821</v>
      </c>
      <c r="F830" t="e">
        <f>INDEX(Stammdaten[D Mitte mit Rinde (mm)],MATCH(Tabelle8[[#This Row],[Rank]],Stammdaten[Rank Verteilung D Mitte mit Rinde],0))</f>
        <v>#N/A</v>
      </c>
      <c r="G830" t="e">
        <f>VLOOKUP(Tabelle8[[#This Row],[Rank]],Stammdaten[[Rank Verteilung D Mitte mit Rinde]:[Verteilung D Mitte mit Rinde]],2,FALSE)</f>
        <v>#N/A</v>
      </c>
      <c r="L830">
        <v>821</v>
      </c>
      <c r="M830" t="e">
        <f>INDEX(Stammdaten[Abholzigkeit (mm/lfm)],MATCH(Tabelle9[[#This Row],[Rank]],Stammdaten[Rank Verteilung Abholzigkeit],0))</f>
        <v>#N/A</v>
      </c>
      <c r="N830" t="e">
        <f>VLOOKUP(Tabelle9[[#This Row],[Rank]],Stammdaten[[Rank Verteilung Abholzigkeit]:[Verteilung Abholzigkeit]],2,FALSE)</f>
        <v>#N/A</v>
      </c>
      <c r="S830">
        <v>821</v>
      </c>
      <c r="T830" t="e">
        <f>INDEX(Stammdaten[Krümmung (mm/lfm)],MATCH(Tabelle10[[#This Row],[Rank]],Stammdaten[Rank Verteilung Krümmung],0))</f>
        <v>#N/A</v>
      </c>
      <c r="U830" t="e">
        <f>VLOOKUP(Tabelle10[[#This Row],[Rank]],Stammdaten[[Rank Verteilung Krümmung]:[Verteilung Krümmung]],2,FALSE)</f>
        <v>#N/A</v>
      </c>
      <c r="Z830">
        <v>821</v>
      </c>
      <c r="AA830" t="e">
        <f>INDEX(Stammdaten[Ovalität (']0,1'])],MATCH(Tabelle1014[[#This Row],[Rank]],Stammdaten[Rank Verteilung Ovalität],0))</f>
        <v>#N/A</v>
      </c>
      <c r="AB830" t="e">
        <f>VLOOKUP(Tabelle1014[[#This Row],[Rank]],Stammdaten[[Rank Verteilung Ovalität]:[Verteilung Ovalität]],2,FALSE)</f>
        <v>#N/A</v>
      </c>
    </row>
    <row r="831" spans="5:28" x14ac:dyDescent="0.35">
      <c r="E831">
        <v>822</v>
      </c>
      <c r="F831" t="e">
        <f>INDEX(Stammdaten[D Mitte mit Rinde (mm)],MATCH(Tabelle8[[#This Row],[Rank]],Stammdaten[Rank Verteilung D Mitte mit Rinde],0))</f>
        <v>#N/A</v>
      </c>
      <c r="G831" t="e">
        <f>VLOOKUP(Tabelle8[[#This Row],[Rank]],Stammdaten[[Rank Verteilung D Mitte mit Rinde]:[Verteilung D Mitte mit Rinde]],2,FALSE)</f>
        <v>#N/A</v>
      </c>
      <c r="L831">
        <v>822</v>
      </c>
      <c r="M831" t="e">
        <f>INDEX(Stammdaten[Abholzigkeit (mm/lfm)],MATCH(Tabelle9[[#This Row],[Rank]],Stammdaten[Rank Verteilung Abholzigkeit],0))</f>
        <v>#N/A</v>
      </c>
      <c r="N831" t="e">
        <f>VLOOKUP(Tabelle9[[#This Row],[Rank]],Stammdaten[[Rank Verteilung Abholzigkeit]:[Verteilung Abholzigkeit]],2,FALSE)</f>
        <v>#N/A</v>
      </c>
      <c r="S831">
        <v>822</v>
      </c>
      <c r="T831" t="e">
        <f>INDEX(Stammdaten[Krümmung (mm/lfm)],MATCH(Tabelle10[[#This Row],[Rank]],Stammdaten[Rank Verteilung Krümmung],0))</f>
        <v>#N/A</v>
      </c>
      <c r="U831" t="e">
        <f>VLOOKUP(Tabelle10[[#This Row],[Rank]],Stammdaten[[Rank Verteilung Krümmung]:[Verteilung Krümmung]],2,FALSE)</f>
        <v>#N/A</v>
      </c>
      <c r="Z831">
        <v>822</v>
      </c>
      <c r="AA831" t="e">
        <f>INDEX(Stammdaten[Ovalität (']0,1'])],MATCH(Tabelle1014[[#This Row],[Rank]],Stammdaten[Rank Verteilung Ovalität],0))</f>
        <v>#N/A</v>
      </c>
      <c r="AB831" t="e">
        <f>VLOOKUP(Tabelle1014[[#This Row],[Rank]],Stammdaten[[Rank Verteilung Ovalität]:[Verteilung Ovalität]],2,FALSE)</f>
        <v>#N/A</v>
      </c>
    </row>
    <row r="832" spans="5:28" x14ac:dyDescent="0.35">
      <c r="E832">
        <v>823</v>
      </c>
      <c r="F832" t="e">
        <f>INDEX(Stammdaten[D Mitte mit Rinde (mm)],MATCH(Tabelle8[[#This Row],[Rank]],Stammdaten[Rank Verteilung D Mitte mit Rinde],0))</f>
        <v>#N/A</v>
      </c>
      <c r="G832" t="e">
        <f>VLOOKUP(Tabelle8[[#This Row],[Rank]],Stammdaten[[Rank Verteilung D Mitte mit Rinde]:[Verteilung D Mitte mit Rinde]],2,FALSE)</f>
        <v>#N/A</v>
      </c>
      <c r="L832">
        <v>823</v>
      </c>
      <c r="M832" t="e">
        <f>INDEX(Stammdaten[Abholzigkeit (mm/lfm)],MATCH(Tabelle9[[#This Row],[Rank]],Stammdaten[Rank Verteilung Abholzigkeit],0))</f>
        <v>#N/A</v>
      </c>
      <c r="N832" t="e">
        <f>VLOOKUP(Tabelle9[[#This Row],[Rank]],Stammdaten[[Rank Verteilung Abholzigkeit]:[Verteilung Abholzigkeit]],2,FALSE)</f>
        <v>#N/A</v>
      </c>
      <c r="S832">
        <v>823</v>
      </c>
      <c r="T832" t="e">
        <f>INDEX(Stammdaten[Krümmung (mm/lfm)],MATCH(Tabelle10[[#This Row],[Rank]],Stammdaten[Rank Verteilung Krümmung],0))</f>
        <v>#N/A</v>
      </c>
      <c r="U832" t="e">
        <f>VLOOKUP(Tabelle10[[#This Row],[Rank]],Stammdaten[[Rank Verteilung Krümmung]:[Verteilung Krümmung]],2,FALSE)</f>
        <v>#N/A</v>
      </c>
      <c r="Z832">
        <v>823</v>
      </c>
      <c r="AA832" t="e">
        <f>INDEX(Stammdaten[Ovalität (']0,1'])],MATCH(Tabelle1014[[#This Row],[Rank]],Stammdaten[Rank Verteilung Ovalität],0))</f>
        <v>#N/A</v>
      </c>
      <c r="AB832" t="e">
        <f>VLOOKUP(Tabelle1014[[#This Row],[Rank]],Stammdaten[[Rank Verteilung Ovalität]:[Verteilung Ovalität]],2,FALSE)</f>
        <v>#N/A</v>
      </c>
    </row>
    <row r="833" spans="5:28" x14ac:dyDescent="0.35">
      <c r="E833">
        <v>824</v>
      </c>
      <c r="F833" t="e">
        <f>INDEX(Stammdaten[D Mitte mit Rinde (mm)],MATCH(Tabelle8[[#This Row],[Rank]],Stammdaten[Rank Verteilung D Mitte mit Rinde],0))</f>
        <v>#N/A</v>
      </c>
      <c r="G833" t="e">
        <f>VLOOKUP(Tabelle8[[#This Row],[Rank]],Stammdaten[[Rank Verteilung D Mitte mit Rinde]:[Verteilung D Mitte mit Rinde]],2,FALSE)</f>
        <v>#N/A</v>
      </c>
      <c r="L833">
        <v>824</v>
      </c>
      <c r="M833" t="e">
        <f>INDEX(Stammdaten[Abholzigkeit (mm/lfm)],MATCH(Tabelle9[[#This Row],[Rank]],Stammdaten[Rank Verteilung Abholzigkeit],0))</f>
        <v>#N/A</v>
      </c>
      <c r="N833" t="e">
        <f>VLOOKUP(Tabelle9[[#This Row],[Rank]],Stammdaten[[Rank Verteilung Abholzigkeit]:[Verteilung Abholzigkeit]],2,FALSE)</f>
        <v>#N/A</v>
      </c>
      <c r="S833">
        <v>824</v>
      </c>
      <c r="T833" t="e">
        <f>INDEX(Stammdaten[Krümmung (mm/lfm)],MATCH(Tabelle10[[#This Row],[Rank]],Stammdaten[Rank Verteilung Krümmung],0))</f>
        <v>#N/A</v>
      </c>
      <c r="U833" t="e">
        <f>VLOOKUP(Tabelle10[[#This Row],[Rank]],Stammdaten[[Rank Verteilung Krümmung]:[Verteilung Krümmung]],2,FALSE)</f>
        <v>#N/A</v>
      </c>
      <c r="Z833">
        <v>824</v>
      </c>
      <c r="AA833" t="e">
        <f>INDEX(Stammdaten[Ovalität (']0,1'])],MATCH(Tabelle1014[[#This Row],[Rank]],Stammdaten[Rank Verteilung Ovalität],0))</f>
        <v>#N/A</v>
      </c>
      <c r="AB833" t="e">
        <f>VLOOKUP(Tabelle1014[[#This Row],[Rank]],Stammdaten[[Rank Verteilung Ovalität]:[Verteilung Ovalität]],2,FALSE)</f>
        <v>#N/A</v>
      </c>
    </row>
    <row r="834" spans="5:28" x14ac:dyDescent="0.35">
      <c r="E834">
        <v>825</v>
      </c>
      <c r="F834" t="e">
        <f>INDEX(Stammdaten[D Mitte mit Rinde (mm)],MATCH(Tabelle8[[#This Row],[Rank]],Stammdaten[Rank Verteilung D Mitte mit Rinde],0))</f>
        <v>#N/A</v>
      </c>
      <c r="G834" t="e">
        <f>VLOOKUP(Tabelle8[[#This Row],[Rank]],Stammdaten[[Rank Verteilung D Mitte mit Rinde]:[Verteilung D Mitte mit Rinde]],2,FALSE)</f>
        <v>#N/A</v>
      </c>
      <c r="L834">
        <v>825</v>
      </c>
      <c r="M834" t="e">
        <f>INDEX(Stammdaten[Abholzigkeit (mm/lfm)],MATCH(Tabelle9[[#This Row],[Rank]],Stammdaten[Rank Verteilung Abholzigkeit],0))</f>
        <v>#N/A</v>
      </c>
      <c r="N834" t="e">
        <f>VLOOKUP(Tabelle9[[#This Row],[Rank]],Stammdaten[[Rank Verteilung Abholzigkeit]:[Verteilung Abholzigkeit]],2,FALSE)</f>
        <v>#N/A</v>
      </c>
      <c r="S834">
        <v>825</v>
      </c>
      <c r="T834" t="e">
        <f>INDEX(Stammdaten[Krümmung (mm/lfm)],MATCH(Tabelle10[[#This Row],[Rank]],Stammdaten[Rank Verteilung Krümmung],0))</f>
        <v>#N/A</v>
      </c>
      <c r="U834" t="e">
        <f>VLOOKUP(Tabelle10[[#This Row],[Rank]],Stammdaten[[Rank Verteilung Krümmung]:[Verteilung Krümmung]],2,FALSE)</f>
        <v>#N/A</v>
      </c>
      <c r="Z834">
        <v>825</v>
      </c>
      <c r="AA834" t="e">
        <f>INDEX(Stammdaten[Ovalität (']0,1'])],MATCH(Tabelle1014[[#This Row],[Rank]],Stammdaten[Rank Verteilung Ovalität],0))</f>
        <v>#N/A</v>
      </c>
      <c r="AB834" t="e">
        <f>VLOOKUP(Tabelle1014[[#This Row],[Rank]],Stammdaten[[Rank Verteilung Ovalität]:[Verteilung Ovalität]],2,FALSE)</f>
        <v>#N/A</v>
      </c>
    </row>
    <row r="835" spans="5:28" x14ac:dyDescent="0.35">
      <c r="E835">
        <v>826</v>
      </c>
      <c r="F835" t="e">
        <f>INDEX(Stammdaten[D Mitte mit Rinde (mm)],MATCH(Tabelle8[[#This Row],[Rank]],Stammdaten[Rank Verteilung D Mitte mit Rinde],0))</f>
        <v>#N/A</v>
      </c>
      <c r="G835" t="e">
        <f>VLOOKUP(Tabelle8[[#This Row],[Rank]],Stammdaten[[Rank Verteilung D Mitte mit Rinde]:[Verteilung D Mitte mit Rinde]],2,FALSE)</f>
        <v>#N/A</v>
      </c>
      <c r="L835">
        <v>826</v>
      </c>
      <c r="M835" t="e">
        <f>INDEX(Stammdaten[Abholzigkeit (mm/lfm)],MATCH(Tabelle9[[#This Row],[Rank]],Stammdaten[Rank Verteilung Abholzigkeit],0))</f>
        <v>#N/A</v>
      </c>
      <c r="N835" t="e">
        <f>VLOOKUP(Tabelle9[[#This Row],[Rank]],Stammdaten[[Rank Verteilung Abholzigkeit]:[Verteilung Abholzigkeit]],2,FALSE)</f>
        <v>#N/A</v>
      </c>
      <c r="S835">
        <v>826</v>
      </c>
      <c r="T835" t="e">
        <f>INDEX(Stammdaten[Krümmung (mm/lfm)],MATCH(Tabelle10[[#This Row],[Rank]],Stammdaten[Rank Verteilung Krümmung],0))</f>
        <v>#N/A</v>
      </c>
      <c r="U835" t="e">
        <f>VLOOKUP(Tabelle10[[#This Row],[Rank]],Stammdaten[[Rank Verteilung Krümmung]:[Verteilung Krümmung]],2,FALSE)</f>
        <v>#N/A</v>
      </c>
      <c r="Z835">
        <v>826</v>
      </c>
      <c r="AA835" t="e">
        <f>INDEX(Stammdaten[Ovalität (']0,1'])],MATCH(Tabelle1014[[#This Row],[Rank]],Stammdaten[Rank Verteilung Ovalität],0))</f>
        <v>#N/A</v>
      </c>
      <c r="AB835" t="e">
        <f>VLOOKUP(Tabelle1014[[#This Row],[Rank]],Stammdaten[[Rank Verteilung Ovalität]:[Verteilung Ovalität]],2,FALSE)</f>
        <v>#N/A</v>
      </c>
    </row>
    <row r="836" spans="5:28" x14ac:dyDescent="0.35">
      <c r="E836">
        <v>827</v>
      </c>
      <c r="F836" t="e">
        <f>INDEX(Stammdaten[D Mitte mit Rinde (mm)],MATCH(Tabelle8[[#This Row],[Rank]],Stammdaten[Rank Verteilung D Mitte mit Rinde],0))</f>
        <v>#N/A</v>
      </c>
      <c r="G836" t="e">
        <f>VLOOKUP(Tabelle8[[#This Row],[Rank]],Stammdaten[[Rank Verteilung D Mitte mit Rinde]:[Verteilung D Mitte mit Rinde]],2,FALSE)</f>
        <v>#N/A</v>
      </c>
      <c r="L836">
        <v>827</v>
      </c>
      <c r="M836" t="e">
        <f>INDEX(Stammdaten[Abholzigkeit (mm/lfm)],MATCH(Tabelle9[[#This Row],[Rank]],Stammdaten[Rank Verteilung Abholzigkeit],0))</f>
        <v>#N/A</v>
      </c>
      <c r="N836" t="e">
        <f>VLOOKUP(Tabelle9[[#This Row],[Rank]],Stammdaten[[Rank Verteilung Abholzigkeit]:[Verteilung Abholzigkeit]],2,FALSE)</f>
        <v>#N/A</v>
      </c>
      <c r="S836">
        <v>827</v>
      </c>
      <c r="T836" t="e">
        <f>INDEX(Stammdaten[Krümmung (mm/lfm)],MATCH(Tabelle10[[#This Row],[Rank]],Stammdaten[Rank Verteilung Krümmung],0))</f>
        <v>#N/A</v>
      </c>
      <c r="U836" t="e">
        <f>VLOOKUP(Tabelle10[[#This Row],[Rank]],Stammdaten[[Rank Verteilung Krümmung]:[Verteilung Krümmung]],2,FALSE)</f>
        <v>#N/A</v>
      </c>
      <c r="Z836">
        <v>827</v>
      </c>
      <c r="AA836" t="e">
        <f>INDEX(Stammdaten[Ovalität (']0,1'])],MATCH(Tabelle1014[[#This Row],[Rank]],Stammdaten[Rank Verteilung Ovalität],0))</f>
        <v>#N/A</v>
      </c>
      <c r="AB836" t="e">
        <f>VLOOKUP(Tabelle1014[[#This Row],[Rank]],Stammdaten[[Rank Verteilung Ovalität]:[Verteilung Ovalität]],2,FALSE)</f>
        <v>#N/A</v>
      </c>
    </row>
    <row r="837" spans="5:28" x14ac:dyDescent="0.35">
      <c r="E837">
        <v>828</v>
      </c>
      <c r="F837" t="e">
        <f>INDEX(Stammdaten[D Mitte mit Rinde (mm)],MATCH(Tabelle8[[#This Row],[Rank]],Stammdaten[Rank Verteilung D Mitte mit Rinde],0))</f>
        <v>#N/A</v>
      </c>
      <c r="G837" t="e">
        <f>VLOOKUP(Tabelle8[[#This Row],[Rank]],Stammdaten[[Rank Verteilung D Mitte mit Rinde]:[Verteilung D Mitte mit Rinde]],2,FALSE)</f>
        <v>#N/A</v>
      </c>
      <c r="L837">
        <v>828</v>
      </c>
      <c r="M837" t="e">
        <f>INDEX(Stammdaten[Abholzigkeit (mm/lfm)],MATCH(Tabelle9[[#This Row],[Rank]],Stammdaten[Rank Verteilung Abholzigkeit],0))</f>
        <v>#N/A</v>
      </c>
      <c r="N837" t="e">
        <f>VLOOKUP(Tabelle9[[#This Row],[Rank]],Stammdaten[[Rank Verteilung Abholzigkeit]:[Verteilung Abholzigkeit]],2,FALSE)</f>
        <v>#N/A</v>
      </c>
      <c r="S837">
        <v>828</v>
      </c>
      <c r="T837" t="e">
        <f>INDEX(Stammdaten[Krümmung (mm/lfm)],MATCH(Tabelle10[[#This Row],[Rank]],Stammdaten[Rank Verteilung Krümmung],0))</f>
        <v>#N/A</v>
      </c>
      <c r="U837" t="e">
        <f>VLOOKUP(Tabelle10[[#This Row],[Rank]],Stammdaten[[Rank Verteilung Krümmung]:[Verteilung Krümmung]],2,FALSE)</f>
        <v>#N/A</v>
      </c>
      <c r="Z837">
        <v>828</v>
      </c>
      <c r="AA837" t="e">
        <f>INDEX(Stammdaten[Ovalität (']0,1'])],MATCH(Tabelle1014[[#This Row],[Rank]],Stammdaten[Rank Verteilung Ovalität],0))</f>
        <v>#N/A</v>
      </c>
      <c r="AB837" t="e">
        <f>VLOOKUP(Tabelle1014[[#This Row],[Rank]],Stammdaten[[Rank Verteilung Ovalität]:[Verteilung Ovalität]],2,FALSE)</f>
        <v>#N/A</v>
      </c>
    </row>
    <row r="838" spans="5:28" x14ac:dyDescent="0.35">
      <c r="E838">
        <v>829</v>
      </c>
      <c r="F838" t="e">
        <f>INDEX(Stammdaten[D Mitte mit Rinde (mm)],MATCH(Tabelle8[[#This Row],[Rank]],Stammdaten[Rank Verteilung D Mitte mit Rinde],0))</f>
        <v>#N/A</v>
      </c>
      <c r="G838" t="e">
        <f>VLOOKUP(Tabelle8[[#This Row],[Rank]],Stammdaten[[Rank Verteilung D Mitte mit Rinde]:[Verteilung D Mitte mit Rinde]],2,FALSE)</f>
        <v>#N/A</v>
      </c>
      <c r="L838">
        <v>829</v>
      </c>
      <c r="M838" t="e">
        <f>INDEX(Stammdaten[Abholzigkeit (mm/lfm)],MATCH(Tabelle9[[#This Row],[Rank]],Stammdaten[Rank Verteilung Abholzigkeit],0))</f>
        <v>#N/A</v>
      </c>
      <c r="N838" t="e">
        <f>VLOOKUP(Tabelle9[[#This Row],[Rank]],Stammdaten[[Rank Verteilung Abholzigkeit]:[Verteilung Abholzigkeit]],2,FALSE)</f>
        <v>#N/A</v>
      </c>
      <c r="S838">
        <v>829</v>
      </c>
      <c r="T838" t="e">
        <f>INDEX(Stammdaten[Krümmung (mm/lfm)],MATCH(Tabelle10[[#This Row],[Rank]],Stammdaten[Rank Verteilung Krümmung],0))</f>
        <v>#N/A</v>
      </c>
      <c r="U838" t="e">
        <f>VLOOKUP(Tabelle10[[#This Row],[Rank]],Stammdaten[[Rank Verteilung Krümmung]:[Verteilung Krümmung]],2,FALSE)</f>
        <v>#N/A</v>
      </c>
      <c r="Z838">
        <v>829</v>
      </c>
      <c r="AA838" t="e">
        <f>INDEX(Stammdaten[Ovalität (']0,1'])],MATCH(Tabelle1014[[#This Row],[Rank]],Stammdaten[Rank Verteilung Ovalität],0))</f>
        <v>#N/A</v>
      </c>
      <c r="AB838" t="e">
        <f>VLOOKUP(Tabelle1014[[#This Row],[Rank]],Stammdaten[[Rank Verteilung Ovalität]:[Verteilung Ovalität]],2,FALSE)</f>
        <v>#N/A</v>
      </c>
    </row>
    <row r="839" spans="5:28" x14ac:dyDescent="0.35">
      <c r="E839">
        <v>830</v>
      </c>
      <c r="F839" t="e">
        <f>INDEX(Stammdaten[D Mitte mit Rinde (mm)],MATCH(Tabelle8[[#This Row],[Rank]],Stammdaten[Rank Verteilung D Mitte mit Rinde],0))</f>
        <v>#N/A</v>
      </c>
      <c r="G839" t="e">
        <f>VLOOKUP(Tabelle8[[#This Row],[Rank]],Stammdaten[[Rank Verteilung D Mitte mit Rinde]:[Verteilung D Mitte mit Rinde]],2,FALSE)</f>
        <v>#N/A</v>
      </c>
      <c r="L839">
        <v>830</v>
      </c>
      <c r="M839" t="e">
        <f>INDEX(Stammdaten[Abholzigkeit (mm/lfm)],MATCH(Tabelle9[[#This Row],[Rank]],Stammdaten[Rank Verteilung Abholzigkeit],0))</f>
        <v>#N/A</v>
      </c>
      <c r="N839" t="e">
        <f>VLOOKUP(Tabelle9[[#This Row],[Rank]],Stammdaten[[Rank Verteilung Abholzigkeit]:[Verteilung Abholzigkeit]],2,FALSE)</f>
        <v>#N/A</v>
      </c>
      <c r="S839">
        <v>830</v>
      </c>
      <c r="T839" t="e">
        <f>INDEX(Stammdaten[Krümmung (mm/lfm)],MATCH(Tabelle10[[#This Row],[Rank]],Stammdaten[Rank Verteilung Krümmung],0))</f>
        <v>#N/A</v>
      </c>
      <c r="U839" t="e">
        <f>VLOOKUP(Tabelle10[[#This Row],[Rank]],Stammdaten[[Rank Verteilung Krümmung]:[Verteilung Krümmung]],2,FALSE)</f>
        <v>#N/A</v>
      </c>
      <c r="Z839">
        <v>830</v>
      </c>
      <c r="AA839" t="e">
        <f>INDEX(Stammdaten[Ovalität (']0,1'])],MATCH(Tabelle1014[[#This Row],[Rank]],Stammdaten[Rank Verteilung Ovalität],0))</f>
        <v>#N/A</v>
      </c>
      <c r="AB839" t="e">
        <f>VLOOKUP(Tabelle1014[[#This Row],[Rank]],Stammdaten[[Rank Verteilung Ovalität]:[Verteilung Ovalität]],2,FALSE)</f>
        <v>#N/A</v>
      </c>
    </row>
    <row r="840" spans="5:28" x14ac:dyDescent="0.35">
      <c r="E840">
        <v>831</v>
      </c>
      <c r="F840" t="e">
        <f>INDEX(Stammdaten[D Mitte mit Rinde (mm)],MATCH(Tabelle8[[#This Row],[Rank]],Stammdaten[Rank Verteilung D Mitte mit Rinde],0))</f>
        <v>#N/A</v>
      </c>
      <c r="G840" t="e">
        <f>VLOOKUP(Tabelle8[[#This Row],[Rank]],Stammdaten[[Rank Verteilung D Mitte mit Rinde]:[Verteilung D Mitte mit Rinde]],2,FALSE)</f>
        <v>#N/A</v>
      </c>
      <c r="L840">
        <v>831</v>
      </c>
      <c r="M840" t="e">
        <f>INDEX(Stammdaten[Abholzigkeit (mm/lfm)],MATCH(Tabelle9[[#This Row],[Rank]],Stammdaten[Rank Verteilung Abholzigkeit],0))</f>
        <v>#N/A</v>
      </c>
      <c r="N840" t="e">
        <f>VLOOKUP(Tabelle9[[#This Row],[Rank]],Stammdaten[[Rank Verteilung Abholzigkeit]:[Verteilung Abholzigkeit]],2,FALSE)</f>
        <v>#N/A</v>
      </c>
      <c r="S840">
        <v>831</v>
      </c>
      <c r="T840" t="e">
        <f>INDEX(Stammdaten[Krümmung (mm/lfm)],MATCH(Tabelle10[[#This Row],[Rank]],Stammdaten[Rank Verteilung Krümmung],0))</f>
        <v>#N/A</v>
      </c>
      <c r="U840" t="e">
        <f>VLOOKUP(Tabelle10[[#This Row],[Rank]],Stammdaten[[Rank Verteilung Krümmung]:[Verteilung Krümmung]],2,FALSE)</f>
        <v>#N/A</v>
      </c>
      <c r="Z840">
        <v>831</v>
      </c>
      <c r="AA840" t="e">
        <f>INDEX(Stammdaten[Ovalität (']0,1'])],MATCH(Tabelle1014[[#This Row],[Rank]],Stammdaten[Rank Verteilung Ovalität],0))</f>
        <v>#N/A</v>
      </c>
      <c r="AB840" t="e">
        <f>VLOOKUP(Tabelle1014[[#This Row],[Rank]],Stammdaten[[Rank Verteilung Ovalität]:[Verteilung Ovalität]],2,FALSE)</f>
        <v>#N/A</v>
      </c>
    </row>
    <row r="841" spans="5:28" x14ac:dyDescent="0.35">
      <c r="E841">
        <v>832</v>
      </c>
      <c r="F841" t="e">
        <f>INDEX(Stammdaten[D Mitte mit Rinde (mm)],MATCH(Tabelle8[[#This Row],[Rank]],Stammdaten[Rank Verteilung D Mitte mit Rinde],0))</f>
        <v>#N/A</v>
      </c>
      <c r="G841" t="e">
        <f>VLOOKUP(Tabelle8[[#This Row],[Rank]],Stammdaten[[Rank Verteilung D Mitte mit Rinde]:[Verteilung D Mitte mit Rinde]],2,FALSE)</f>
        <v>#N/A</v>
      </c>
      <c r="L841">
        <v>832</v>
      </c>
      <c r="M841" t="e">
        <f>INDEX(Stammdaten[Abholzigkeit (mm/lfm)],MATCH(Tabelle9[[#This Row],[Rank]],Stammdaten[Rank Verteilung Abholzigkeit],0))</f>
        <v>#N/A</v>
      </c>
      <c r="N841" t="e">
        <f>VLOOKUP(Tabelle9[[#This Row],[Rank]],Stammdaten[[Rank Verteilung Abholzigkeit]:[Verteilung Abholzigkeit]],2,FALSE)</f>
        <v>#N/A</v>
      </c>
      <c r="S841">
        <v>832</v>
      </c>
      <c r="T841" t="e">
        <f>INDEX(Stammdaten[Krümmung (mm/lfm)],MATCH(Tabelle10[[#This Row],[Rank]],Stammdaten[Rank Verteilung Krümmung],0))</f>
        <v>#N/A</v>
      </c>
      <c r="U841" t="e">
        <f>VLOOKUP(Tabelle10[[#This Row],[Rank]],Stammdaten[[Rank Verteilung Krümmung]:[Verteilung Krümmung]],2,FALSE)</f>
        <v>#N/A</v>
      </c>
      <c r="Z841">
        <v>832</v>
      </c>
      <c r="AA841" t="e">
        <f>INDEX(Stammdaten[Ovalität (']0,1'])],MATCH(Tabelle1014[[#This Row],[Rank]],Stammdaten[Rank Verteilung Ovalität],0))</f>
        <v>#N/A</v>
      </c>
      <c r="AB841" t="e">
        <f>VLOOKUP(Tabelle1014[[#This Row],[Rank]],Stammdaten[[Rank Verteilung Ovalität]:[Verteilung Ovalität]],2,FALSE)</f>
        <v>#N/A</v>
      </c>
    </row>
    <row r="842" spans="5:28" x14ac:dyDescent="0.35">
      <c r="E842">
        <v>833</v>
      </c>
      <c r="F842" t="e">
        <f>INDEX(Stammdaten[D Mitte mit Rinde (mm)],MATCH(Tabelle8[[#This Row],[Rank]],Stammdaten[Rank Verteilung D Mitte mit Rinde],0))</f>
        <v>#N/A</v>
      </c>
      <c r="G842" t="e">
        <f>VLOOKUP(Tabelle8[[#This Row],[Rank]],Stammdaten[[Rank Verteilung D Mitte mit Rinde]:[Verteilung D Mitte mit Rinde]],2,FALSE)</f>
        <v>#N/A</v>
      </c>
      <c r="L842">
        <v>833</v>
      </c>
      <c r="M842" t="e">
        <f>INDEX(Stammdaten[Abholzigkeit (mm/lfm)],MATCH(Tabelle9[[#This Row],[Rank]],Stammdaten[Rank Verteilung Abholzigkeit],0))</f>
        <v>#N/A</v>
      </c>
      <c r="N842" t="e">
        <f>VLOOKUP(Tabelle9[[#This Row],[Rank]],Stammdaten[[Rank Verteilung Abholzigkeit]:[Verteilung Abholzigkeit]],2,FALSE)</f>
        <v>#N/A</v>
      </c>
      <c r="S842">
        <v>833</v>
      </c>
      <c r="T842" t="e">
        <f>INDEX(Stammdaten[Krümmung (mm/lfm)],MATCH(Tabelle10[[#This Row],[Rank]],Stammdaten[Rank Verteilung Krümmung],0))</f>
        <v>#N/A</v>
      </c>
      <c r="U842" t="e">
        <f>VLOOKUP(Tabelle10[[#This Row],[Rank]],Stammdaten[[Rank Verteilung Krümmung]:[Verteilung Krümmung]],2,FALSE)</f>
        <v>#N/A</v>
      </c>
      <c r="Z842">
        <v>833</v>
      </c>
      <c r="AA842" t="e">
        <f>INDEX(Stammdaten[Ovalität (']0,1'])],MATCH(Tabelle1014[[#This Row],[Rank]],Stammdaten[Rank Verteilung Ovalität],0))</f>
        <v>#N/A</v>
      </c>
      <c r="AB842" t="e">
        <f>VLOOKUP(Tabelle1014[[#This Row],[Rank]],Stammdaten[[Rank Verteilung Ovalität]:[Verteilung Ovalität]],2,FALSE)</f>
        <v>#N/A</v>
      </c>
    </row>
    <row r="843" spans="5:28" x14ac:dyDescent="0.35">
      <c r="E843">
        <v>834</v>
      </c>
      <c r="F843" t="e">
        <f>INDEX(Stammdaten[D Mitte mit Rinde (mm)],MATCH(Tabelle8[[#This Row],[Rank]],Stammdaten[Rank Verteilung D Mitte mit Rinde],0))</f>
        <v>#N/A</v>
      </c>
      <c r="G843" t="e">
        <f>VLOOKUP(Tabelle8[[#This Row],[Rank]],Stammdaten[[Rank Verteilung D Mitte mit Rinde]:[Verteilung D Mitte mit Rinde]],2,FALSE)</f>
        <v>#N/A</v>
      </c>
      <c r="L843">
        <v>834</v>
      </c>
      <c r="M843" t="e">
        <f>INDEX(Stammdaten[Abholzigkeit (mm/lfm)],MATCH(Tabelle9[[#This Row],[Rank]],Stammdaten[Rank Verteilung Abholzigkeit],0))</f>
        <v>#N/A</v>
      </c>
      <c r="N843" t="e">
        <f>VLOOKUP(Tabelle9[[#This Row],[Rank]],Stammdaten[[Rank Verteilung Abholzigkeit]:[Verteilung Abholzigkeit]],2,FALSE)</f>
        <v>#N/A</v>
      </c>
      <c r="S843">
        <v>834</v>
      </c>
      <c r="T843" t="e">
        <f>INDEX(Stammdaten[Krümmung (mm/lfm)],MATCH(Tabelle10[[#This Row],[Rank]],Stammdaten[Rank Verteilung Krümmung],0))</f>
        <v>#N/A</v>
      </c>
      <c r="U843" t="e">
        <f>VLOOKUP(Tabelle10[[#This Row],[Rank]],Stammdaten[[Rank Verteilung Krümmung]:[Verteilung Krümmung]],2,FALSE)</f>
        <v>#N/A</v>
      </c>
      <c r="Z843">
        <v>834</v>
      </c>
      <c r="AA843" t="e">
        <f>INDEX(Stammdaten[Ovalität (']0,1'])],MATCH(Tabelle1014[[#This Row],[Rank]],Stammdaten[Rank Verteilung Ovalität],0))</f>
        <v>#N/A</v>
      </c>
      <c r="AB843" t="e">
        <f>VLOOKUP(Tabelle1014[[#This Row],[Rank]],Stammdaten[[Rank Verteilung Ovalität]:[Verteilung Ovalität]],2,FALSE)</f>
        <v>#N/A</v>
      </c>
    </row>
    <row r="844" spans="5:28" x14ac:dyDescent="0.35">
      <c r="E844">
        <v>835</v>
      </c>
      <c r="F844" t="e">
        <f>INDEX(Stammdaten[D Mitte mit Rinde (mm)],MATCH(Tabelle8[[#This Row],[Rank]],Stammdaten[Rank Verteilung D Mitte mit Rinde],0))</f>
        <v>#N/A</v>
      </c>
      <c r="G844" t="e">
        <f>VLOOKUP(Tabelle8[[#This Row],[Rank]],Stammdaten[[Rank Verteilung D Mitte mit Rinde]:[Verteilung D Mitte mit Rinde]],2,FALSE)</f>
        <v>#N/A</v>
      </c>
      <c r="L844">
        <v>835</v>
      </c>
      <c r="M844" t="e">
        <f>INDEX(Stammdaten[Abholzigkeit (mm/lfm)],MATCH(Tabelle9[[#This Row],[Rank]],Stammdaten[Rank Verteilung Abholzigkeit],0))</f>
        <v>#N/A</v>
      </c>
      <c r="N844" t="e">
        <f>VLOOKUP(Tabelle9[[#This Row],[Rank]],Stammdaten[[Rank Verteilung Abholzigkeit]:[Verteilung Abholzigkeit]],2,FALSE)</f>
        <v>#N/A</v>
      </c>
      <c r="S844">
        <v>835</v>
      </c>
      <c r="T844" t="e">
        <f>INDEX(Stammdaten[Krümmung (mm/lfm)],MATCH(Tabelle10[[#This Row],[Rank]],Stammdaten[Rank Verteilung Krümmung],0))</f>
        <v>#N/A</v>
      </c>
      <c r="U844" t="e">
        <f>VLOOKUP(Tabelle10[[#This Row],[Rank]],Stammdaten[[Rank Verteilung Krümmung]:[Verteilung Krümmung]],2,FALSE)</f>
        <v>#N/A</v>
      </c>
      <c r="Z844">
        <v>835</v>
      </c>
      <c r="AA844" t="e">
        <f>INDEX(Stammdaten[Ovalität (']0,1'])],MATCH(Tabelle1014[[#This Row],[Rank]],Stammdaten[Rank Verteilung Ovalität],0))</f>
        <v>#N/A</v>
      </c>
      <c r="AB844" t="e">
        <f>VLOOKUP(Tabelle1014[[#This Row],[Rank]],Stammdaten[[Rank Verteilung Ovalität]:[Verteilung Ovalität]],2,FALSE)</f>
        <v>#N/A</v>
      </c>
    </row>
    <row r="845" spans="5:28" x14ac:dyDescent="0.35">
      <c r="E845">
        <v>836</v>
      </c>
      <c r="F845" t="e">
        <f>INDEX(Stammdaten[D Mitte mit Rinde (mm)],MATCH(Tabelle8[[#This Row],[Rank]],Stammdaten[Rank Verteilung D Mitte mit Rinde],0))</f>
        <v>#N/A</v>
      </c>
      <c r="G845" t="e">
        <f>VLOOKUP(Tabelle8[[#This Row],[Rank]],Stammdaten[[Rank Verteilung D Mitte mit Rinde]:[Verteilung D Mitte mit Rinde]],2,FALSE)</f>
        <v>#N/A</v>
      </c>
      <c r="L845">
        <v>836</v>
      </c>
      <c r="M845" t="e">
        <f>INDEX(Stammdaten[Abholzigkeit (mm/lfm)],MATCH(Tabelle9[[#This Row],[Rank]],Stammdaten[Rank Verteilung Abholzigkeit],0))</f>
        <v>#N/A</v>
      </c>
      <c r="N845" t="e">
        <f>VLOOKUP(Tabelle9[[#This Row],[Rank]],Stammdaten[[Rank Verteilung Abholzigkeit]:[Verteilung Abholzigkeit]],2,FALSE)</f>
        <v>#N/A</v>
      </c>
      <c r="S845">
        <v>836</v>
      </c>
      <c r="T845" t="e">
        <f>INDEX(Stammdaten[Krümmung (mm/lfm)],MATCH(Tabelle10[[#This Row],[Rank]],Stammdaten[Rank Verteilung Krümmung],0))</f>
        <v>#N/A</v>
      </c>
      <c r="U845" t="e">
        <f>VLOOKUP(Tabelle10[[#This Row],[Rank]],Stammdaten[[Rank Verteilung Krümmung]:[Verteilung Krümmung]],2,FALSE)</f>
        <v>#N/A</v>
      </c>
      <c r="Z845">
        <v>836</v>
      </c>
      <c r="AA845" t="e">
        <f>INDEX(Stammdaten[Ovalität (']0,1'])],MATCH(Tabelle1014[[#This Row],[Rank]],Stammdaten[Rank Verteilung Ovalität],0))</f>
        <v>#N/A</v>
      </c>
      <c r="AB845" t="e">
        <f>VLOOKUP(Tabelle1014[[#This Row],[Rank]],Stammdaten[[Rank Verteilung Ovalität]:[Verteilung Ovalität]],2,FALSE)</f>
        <v>#N/A</v>
      </c>
    </row>
    <row r="846" spans="5:28" x14ac:dyDescent="0.35">
      <c r="E846">
        <v>837</v>
      </c>
      <c r="F846" t="e">
        <f>INDEX(Stammdaten[D Mitte mit Rinde (mm)],MATCH(Tabelle8[[#This Row],[Rank]],Stammdaten[Rank Verteilung D Mitte mit Rinde],0))</f>
        <v>#N/A</v>
      </c>
      <c r="G846" t="e">
        <f>VLOOKUP(Tabelle8[[#This Row],[Rank]],Stammdaten[[Rank Verteilung D Mitte mit Rinde]:[Verteilung D Mitte mit Rinde]],2,FALSE)</f>
        <v>#N/A</v>
      </c>
      <c r="L846">
        <v>837</v>
      </c>
      <c r="M846" t="e">
        <f>INDEX(Stammdaten[Abholzigkeit (mm/lfm)],MATCH(Tabelle9[[#This Row],[Rank]],Stammdaten[Rank Verteilung Abholzigkeit],0))</f>
        <v>#N/A</v>
      </c>
      <c r="N846" t="e">
        <f>VLOOKUP(Tabelle9[[#This Row],[Rank]],Stammdaten[[Rank Verteilung Abholzigkeit]:[Verteilung Abholzigkeit]],2,FALSE)</f>
        <v>#N/A</v>
      </c>
      <c r="S846">
        <v>837</v>
      </c>
      <c r="T846" t="e">
        <f>INDEX(Stammdaten[Krümmung (mm/lfm)],MATCH(Tabelle10[[#This Row],[Rank]],Stammdaten[Rank Verteilung Krümmung],0))</f>
        <v>#N/A</v>
      </c>
      <c r="U846" t="e">
        <f>VLOOKUP(Tabelle10[[#This Row],[Rank]],Stammdaten[[Rank Verteilung Krümmung]:[Verteilung Krümmung]],2,FALSE)</f>
        <v>#N/A</v>
      </c>
      <c r="Z846">
        <v>837</v>
      </c>
      <c r="AA846" t="e">
        <f>INDEX(Stammdaten[Ovalität (']0,1'])],MATCH(Tabelle1014[[#This Row],[Rank]],Stammdaten[Rank Verteilung Ovalität],0))</f>
        <v>#N/A</v>
      </c>
      <c r="AB846" t="e">
        <f>VLOOKUP(Tabelle1014[[#This Row],[Rank]],Stammdaten[[Rank Verteilung Ovalität]:[Verteilung Ovalität]],2,FALSE)</f>
        <v>#N/A</v>
      </c>
    </row>
    <row r="847" spans="5:28" x14ac:dyDescent="0.35">
      <c r="E847">
        <v>838</v>
      </c>
      <c r="F847" t="e">
        <f>INDEX(Stammdaten[D Mitte mit Rinde (mm)],MATCH(Tabelle8[[#This Row],[Rank]],Stammdaten[Rank Verteilung D Mitte mit Rinde],0))</f>
        <v>#N/A</v>
      </c>
      <c r="G847" t="e">
        <f>VLOOKUP(Tabelle8[[#This Row],[Rank]],Stammdaten[[Rank Verteilung D Mitte mit Rinde]:[Verteilung D Mitte mit Rinde]],2,FALSE)</f>
        <v>#N/A</v>
      </c>
      <c r="L847">
        <v>838</v>
      </c>
      <c r="M847" t="e">
        <f>INDEX(Stammdaten[Abholzigkeit (mm/lfm)],MATCH(Tabelle9[[#This Row],[Rank]],Stammdaten[Rank Verteilung Abholzigkeit],0))</f>
        <v>#N/A</v>
      </c>
      <c r="N847" t="e">
        <f>VLOOKUP(Tabelle9[[#This Row],[Rank]],Stammdaten[[Rank Verteilung Abholzigkeit]:[Verteilung Abholzigkeit]],2,FALSE)</f>
        <v>#N/A</v>
      </c>
      <c r="S847">
        <v>838</v>
      </c>
      <c r="T847" t="e">
        <f>INDEX(Stammdaten[Krümmung (mm/lfm)],MATCH(Tabelle10[[#This Row],[Rank]],Stammdaten[Rank Verteilung Krümmung],0))</f>
        <v>#N/A</v>
      </c>
      <c r="U847" t="e">
        <f>VLOOKUP(Tabelle10[[#This Row],[Rank]],Stammdaten[[Rank Verteilung Krümmung]:[Verteilung Krümmung]],2,FALSE)</f>
        <v>#N/A</v>
      </c>
      <c r="Z847">
        <v>838</v>
      </c>
      <c r="AA847" t="e">
        <f>INDEX(Stammdaten[Ovalität (']0,1'])],MATCH(Tabelle1014[[#This Row],[Rank]],Stammdaten[Rank Verteilung Ovalität],0))</f>
        <v>#N/A</v>
      </c>
      <c r="AB847" t="e">
        <f>VLOOKUP(Tabelle1014[[#This Row],[Rank]],Stammdaten[[Rank Verteilung Ovalität]:[Verteilung Ovalität]],2,FALSE)</f>
        <v>#N/A</v>
      </c>
    </row>
    <row r="848" spans="5:28" x14ac:dyDescent="0.35">
      <c r="E848">
        <v>839</v>
      </c>
      <c r="F848" t="e">
        <f>INDEX(Stammdaten[D Mitte mit Rinde (mm)],MATCH(Tabelle8[[#This Row],[Rank]],Stammdaten[Rank Verteilung D Mitte mit Rinde],0))</f>
        <v>#N/A</v>
      </c>
      <c r="G848" t="e">
        <f>VLOOKUP(Tabelle8[[#This Row],[Rank]],Stammdaten[[Rank Verteilung D Mitte mit Rinde]:[Verteilung D Mitte mit Rinde]],2,FALSE)</f>
        <v>#N/A</v>
      </c>
      <c r="L848">
        <v>839</v>
      </c>
      <c r="M848" t="e">
        <f>INDEX(Stammdaten[Abholzigkeit (mm/lfm)],MATCH(Tabelle9[[#This Row],[Rank]],Stammdaten[Rank Verteilung Abholzigkeit],0))</f>
        <v>#N/A</v>
      </c>
      <c r="N848" t="e">
        <f>VLOOKUP(Tabelle9[[#This Row],[Rank]],Stammdaten[[Rank Verteilung Abholzigkeit]:[Verteilung Abholzigkeit]],2,FALSE)</f>
        <v>#N/A</v>
      </c>
      <c r="S848">
        <v>839</v>
      </c>
      <c r="T848" t="e">
        <f>INDEX(Stammdaten[Krümmung (mm/lfm)],MATCH(Tabelle10[[#This Row],[Rank]],Stammdaten[Rank Verteilung Krümmung],0))</f>
        <v>#N/A</v>
      </c>
      <c r="U848" t="e">
        <f>VLOOKUP(Tabelle10[[#This Row],[Rank]],Stammdaten[[Rank Verteilung Krümmung]:[Verteilung Krümmung]],2,FALSE)</f>
        <v>#N/A</v>
      </c>
      <c r="Z848">
        <v>839</v>
      </c>
      <c r="AA848" t="e">
        <f>INDEX(Stammdaten[Ovalität (']0,1'])],MATCH(Tabelle1014[[#This Row],[Rank]],Stammdaten[Rank Verteilung Ovalität],0))</f>
        <v>#N/A</v>
      </c>
      <c r="AB848" t="e">
        <f>VLOOKUP(Tabelle1014[[#This Row],[Rank]],Stammdaten[[Rank Verteilung Ovalität]:[Verteilung Ovalität]],2,FALSE)</f>
        <v>#N/A</v>
      </c>
    </row>
    <row r="849" spans="5:28" x14ac:dyDescent="0.35">
      <c r="E849">
        <v>840</v>
      </c>
      <c r="F849" t="e">
        <f>INDEX(Stammdaten[D Mitte mit Rinde (mm)],MATCH(Tabelle8[[#This Row],[Rank]],Stammdaten[Rank Verteilung D Mitte mit Rinde],0))</f>
        <v>#N/A</v>
      </c>
      <c r="G849" t="e">
        <f>VLOOKUP(Tabelle8[[#This Row],[Rank]],Stammdaten[[Rank Verteilung D Mitte mit Rinde]:[Verteilung D Mitte mit Rinde]],2,FALSE)</f>
        <v>#N/A</v>
      </c>
      <c r="L849">
        <v>840</v>
      </c>
      <c r="M849" t="e">
        <f>INDEX(Stammdaten[Abholzigkeit (mm/lfm)],MATCH(Tabelle9[[#This Row],[Rank]],Stammdaten[Rank Verteilung Abholzigkeit],0))</f>
        <v>#N/A</v>
      </c>
      <c r="N849" t="e">
        <f>VLOOKUP(Tabelle9[[#This Row],[Rank]],Stammdaten[[Rank Verteilung Abholzigkeit]:[Verteilung Abholzigkeit]],2,FALSE)</f>
        <v>#N/A</v>
      </c>
      <c r="S849">
        <v>840</v>
      </c>
      <c r="T849" t="e">
        <f>INDEX(Stammdaten[Krümmung (mm/lfm)],MATCH(Tabelle10[[#This Row],[Rank]],Stammdaten[Rank Verteilung Krümmung],0))</f>
        <v>#N/A</v>
      </c>
      <c r="U849" t="e">
        <f>VLOOKUP(Tabelle10[[#This Row],[Rank]],Stammdaten[[Rank Verteilung Krümmung]:[Verteilung Krümmung]],2,FALSE)</f>
        <v>#N/A</v>
      </c>
      <c r="Z849">
        <v>840</v>
      </c>
      <c r="AA849" t="e">
        <f>INDEX(Stammdaten[Ovalität (']0,1'])],MATCH(Tabelle1014[[#This Row],[Rank]],Stammdaten[Rank Verteilung Ovalität],0))</f>
        <v>#N/A</v>
      </c>
      <c r="AB849" t="e">
        <f>VLOOKUP(Tabelle1014[[#This Row],[Rank]],Stammdaten[[Rank Verteilung Ovalität]:[Verteilung Ovalität]],2,FALSE)</f>
        <v>#N/A</v>
      </c>
    </row>
    <row r="850" spans="5:28" x14ac:dyDescent="0.35">
      <c r="E850">
        <v>841</v>
      </c>
      <c r="F850" t="e">
        <f>INDEX(Stammdaten[D Mitte mit Rinde (mm)],MATCH(Tabelle8[[#This Row],[Rank]],Stammdaten[Rank Verteilung D Mitte mit Rinde],0))</f>
        <v>#N/A</v>
      </c>
      <c r="G850" t="e">
        <f>VLOOKUP(Tabelle8[[#This Row],[Rank]],Stammdaten[[Rank Verteilung D Mitte mit Rinde]:[Verteilung D Mitte mit Rinde]],2,FALSE)</f>
        <v>#N/A</v>
      </c>
      <c r="L850">
        <v>841</v>
      </c>
      <c r="M850" t="e">
        <f>INDEX(Stammdaten[Abholzigkeit (mm/lfm)],MATCH(Tabelle9[[#This Row],[Rank]],Stammdaten[Rank Verteilung Abholzigkeit],0))</f>
        <v>#N/A</v>
      </c>
      <c r="N850" t="e">
        <f>VLOOKUP(Tabelle9[[#This Row],[Rank]],Stammdaten[[Rank Verteilung Abholzigkeit]:[Verteilung Abholzigkeit]],2,FALSE)</f>
        <v>#N/A</v>
      </c>
      <c r="S850">
        <v>841</v>
      </c>
      <c r="T850" t="e">
        <f>INDEX(Stammdaten[Krümmung (mm/lfm)],MATCH(Tabelle10[[#This Row],[Rank]],Stammdaten[Rank Verteilung Krümmung],0))</f>
        <v>#N/A</v>
      </c>
      <c r="U850" t="e">
        <f>VLOOKUP(Tabelle10[[#This Row],[Rank]],Stammdaten[[Rank Verteilung Krümmung]:[Verteilung Krümmung]],2,FALSE)</f>
        <v>#N/A</v>
      </c>
      <c r="Z850">
        <v>841</v>
      </c>
      <c r="AA850" t="e">
        <f>INDEX(Stammdaten[Ovalität (']0,1'])],MATCH(Tabelle1014[[#This Row],[Rank]],Stammdaten[Rank Verteilung Ovalität],0))</f>
        <v>#N/A</v>
      </c>
      <c r="AB850" t="e">
        <f>VLOOKUP(Tabelle1014[[#This Row],[Rank]],Stammdaten[[Rank Verteilung Ovalität]:[Verteilung Ovalität]],2,FALSE)</f>
        <v>#N/A</v>
      </c>
    </row>
    <row r="851" spans="5:28" x14ac:dyDescent="0.35">
      <c r="E851">
        <v>842</v>
      </c>
      <c r="F851" t="e">
        <f>INDEX(Stammdaten[D Mitte mit Rinde (mm)],MATCH(Tabelle8[[#This Row],[Rank]],Stammdaten[Rank Verteilung D Mitte mit Rinde],0))</f>
        <v>#N/A</v>
      </c>
      <c r="G851" t="e">
        <f>VLOOKUP(Tabelle8[[#This Row],[Rank]],Stammdaten[[Rank Verteilung D Mitte mit Rinde]:[Verteilung D Mitte mit Rinde]],2,FALSE)</f>
        <v>#N/A</v>
      </c>
      <c r="L851">
        <v>842</v>
      </c>
      <c r="M851" t="e">
        <f>INDEX(Stammdaten[Abholzigkeit (mm/lfm)],MATCH(Tabelle9[[#This Row],[Rank]],Stammdaten[Rank Verteilung Abholzigkeit],0))</f>
        <v>#N/A</v>
      </c>
      <c r="N851" t="e">
        <f>VLOOKUP(Tabelle9[[#This Row],[Rank]],Stammdaten[[Rank Verteilung Abholzigkeit]:[Verteilung Abholzigkeit]],2,FALSE)</f>
        <v>#N/A</v>
      </c>
      <c r="S851">
        <v>842</v>
      </c>
      <c r="T851" t="e">
        <f>INDEX(Stammdaten[Krümmung (mm/lfm)],MATCH(Tabelle10[[#This Row],[Rank]],Stammdaten[Rank Verteilung Krümmung],0))</f>
        <v>#N/A</v>
      </c>
      <c r="U851" t="e">
        <f>VLOOKUP(Tabelle10[[#This Row],[Rank]],Stammdaten[[Rank Verteilung Krümmung]:[Verteilung Krümmung]],2,FALSE)</f>
        <v>#N/A</v>
      </c>
      <c r="Z851">
        <v>842</v>
      </c>
      <c r="AA851" t="e">
        <f>INDEX(Stammdaten[Ovalität (']0,1'])],MATCH(Tabelle1014[[#This Row],[Rank]],Stammdaten[Rank Verteilung Ovalität],0))</f>
        <v>#N/A</v>
      </c>
      <c r="AB851" t="e">
        <f>VLOOKUP(Tabelle1014[[#This Row],[Rank]],Stammdaten[[Rank Verteilung Ovalität]:[Verteilung Ovalität]],2,FALSE)</f>
        <v>#N/A</v>
      </c>
    </row>
    <row r="852" spans="5:28" x14ac:dyDescent="0.35">
      <c r="E852">
        <v>843</v>
      </c>
      <c r="F852" t="e">
        <f>INDEX(Stammdaten[D Mitte mit Rinde (mm)],MATCH(Tabelle8[[#This Row],[Rank]],Stammdaten[Rank Verteilung D Mitte mit Rinde],0))</f>
        <v>#N/A</v>
      </c>
      <c r="G852" t="e">
        <f>VLOOKUP(Tabelle8[[#This Row],[Rank]],Stammdaten[[Rank Verteilung D Mitte mit Rinde]:[Verteilung D Mitte mit Rinde]],2,FALSE)</f>
        <v>#N/A</v>
      </c>
      <c r="L852">
        <v>843</v>
      </c>
      <c r="M852" t="e">
        <f>INDEX(Stammdaten[Abholzigkeit (mm/lfm)],MATCH(Tabelle9[[#This Row],[Rank]],Stammdaten[Rank Verteilung Abholzigkeit],0))</f>
        <v>#N/A</v>
      </c>
      <c r="N852" t="e">
        <f>VLOOKUP(Tabelle9[[#This Row],[Rank]],Stammdaten[[Rank Verteilung Abholzigkeit]:[Verteilung Abholzigkeit]],2,FALSE)</f>
        <v>#N/A</v>
      </c>
      <c r="S852">
        <v>843</v>
      </c>
      <c r="T852" t="e">
        <f>INDEX(Stammdaten[Krümmung (mm/lfm)],MATCH(Tabelle10[[#This Row],[Rank]],Stammdaten[Rank Verteilung Krümmung],0))</f>
        <v>#N/A</v>
      </c>
      <c r="U852" t="e">
        <f>VLOOKUP(Tabelle10[[#This Row],[Rank]],Stammdaten[[Rank Verteilung Krümmung]:[Verteilung Krümmung]],2,FALSE)</f>
        <v>#N/A</v>
      </c>
      <c r="Z852">
        <v>843</v>
      </c>
      <c r="AA852" t="e">
        <f>INDEX(Stammdaten[Ovalität (']0,1'])],MATCH(Tabelle1014[[#This Row],[Rank]],Stammdaten[Rank Verteilung Ovalität],0))</f>
        <v>#N/A</v>
      </c>
      <c r="AB852" t="e">
        <f>VLOOKUP(Tabelle1014[[#This Row],[Rank]],Stammdaten[[Rank Verteilung Ovalität]:[Verteilung Ovalität]],2,FALSE)</f>
        <v>#N/A</v>
      </c>
    </row>
    <row r="853" spans="5:28" x14ac:dyDescent="0.35">
      <c r="E853">
        <v>844</v>
      </c>
      <c r="F853" t="e">
        <f>INDEX(Stammdaten[D Mitte mit Rinde (mm)],MATCH(Tabelle8[[#This Row],[Rank]],Stammdaten[Rank Verteilung D Mitte mit Rinde],0))</f>
        <v>#N/A</v>
      </c>
      <c r="G853" t="e">
        <f>VLOOKUP(Tabelle8[[#This Row],[Rank]],Stammdaten[[Rank Verteilung D Mitte mit Rinde]:[Verteilung D Mitte mit Rinde]],2,FALSE)</f>
        <v>#N/A</v>
      </c>
      <c r="L853">
        <v>844</v>
      </c>
      <c r="M853" t="e">
        <f>INDEX(Stammdaten[Abholzigkeit (mm/lfm)],MATCH(Tabelle9[[#This Row],[Rank]],Stammdaten[Rank Verteilung Abholzigkeit],0))</f>
        <v>#N/A</v>
      </c>
      <c r="N853" t="e">
        <f>VLOOKUP(Tabelle9[[#This Row],[Rank]],Stammdaten[[Rank Verteilung Abholzigkeit]:[Verteilung Abholzigkeit]],2,FALSE)</f>
        <v>#N/A</v>
      </c>
      <c r="S853">
        <v>844</v>
      </c>
      <c r="T853" t="e">
        <f>INDEX(Stammdaten[Krümmung (mm/lfm)],MATCH(Tabelle10[[#This Row],[Rank]],Stammdaten[Rank Verteilung Krümmung],0))</f>
        <v>#N/A</v>
      </c>
      <c r="U853" t="e">
        <f>VLOOKUP(Tabelle10[[#This Row],[Rank]],Stammdaten[[Rank Verteilung Krümmung]:[Verteilung Krümmung]],2,FALSE)</f>
        <v>#N/A</v>
      </c>
      <c r="Z853">
        <v>844</v>
      </c>
      <c r="AA853" t="e">
        <f>INDEX(Stammdaten[Ovalität (']0,1'])],MATCH(Tabelle1014[[#This Row],[Rank]],Stammdaten[Rank Verteilung Ovalität],0))</f>
        <v>#N/A</v>
      </c>
      <c r="AB853" t="e">
        <f>VLOOKUP(Tabelle1014[[#This Row],[Rank]],Stammdaten[[Rank Verteilung Ovalität]:[Verteilung Ovalität]],2,FALSE)</f>
        <v>#N/A</v>
      </c>
    </row>
    <row r="854" spans="5:28" x14ac:dyDescent="0.35">
      <c r="E854">
        <v>845</v>
      </c>
      <c r="F854" t="e">
        <f>INDEX(Stammdaten[D Mitte mit Rinde (mm)],MATCH(Tabelle8[[#This Row],[Rank]],Stammdaten[Rank Verteilung D Mitte mit Rinde],0))</f>
        <v>#N/A</v>
      </c>
      <c r="G854" t="e">
        <f>VLOOKUP(Tabelle8[[#This Row],[Rank]],Stammdaten[[Rank Verteilung D Mitte mit Rinde]:[Verteilung D Mitte mit Rinde]],2,FALSE)</f>
        <v>#N/A</v>
      </c>
      <c r="L854">
        <v>845</v>
      </c>
      <c r="M854" t="e">
        <f>INDEX(Stammdaten[Abholzigkeit (mm/lfm)],MATCH(Tabelle9[[#This Row],[Rank]],Stammdaten[Rank Verteilung Abholzigkeit],0))</f>
        <v>#N/A</v>
      </c>
      <c r="N854" t="e">
        <f>VLOOKUP(Tabelle9[[#This Row],[Rank]],Stammdaten[[Rank Verteilung Abholzigkeit]:[Verteilung Abholzigkeit]],2,FALSE)</f>
        <v>#N/A</v>
      </c>
      <c r="S854">
        <v>845</v>
      </c>
      <c r="T854" t="e">
        <f>INDEX(Stammdaten[Krümmung (mm/lfm)],MATCH(Tabelle10[[#This Row],[Rank]],Stammdaten[Rank Verteilung Krümmung],0))</f>
        <v>#N/A</v>
      </c>
      <c r="U854" t="e">
        <f>VLOOKUP(Tabelle10[[#This Row],[Rank]],Stammdaten[[Rank Verteilung Krümmung]:[Verteilung Krümmung]],2,FALSE)</f>
        <v>#N/A</v>
      </c>
      <c r="Z854">
        <v>845</v>
      </c>
      <c r="AA854" t="e">
        <f>INDEX(Stammdaten[Ovalität (']0,1'])],MATCH(Tabelle1014[[#This Row],[Rank]],Stammdaten[Rank Verteilung Ovalität],0))</f>
        <v>#N/A</v>
      </c>
      <c r="AB854" t="e">
        <f>VLOOKUP(Tabelle1014[[#This Row],[Rank]],Stammdaten[[Rank Verteilung Ovalität]:[Verteilung Ovalität]],2,FALSE)</f>
        <v>#N/A</v>
      </c>
    </row>
    <row r="855" spans="5:28" x14ac:dyDescent="0.35">
      <c r="E855">
        <v>846</v>
      </c>
      <c r="F855" t="e">
        <f>INDEX(Stammdaten[D Mitte mit Rinde (mm)],MATCH(Tabelle8[[#This Row],[Rank]],Stammdaten[Rank Verteilung D Mitte mit Rinde],0))</f>
        <v>#N/A</v>
      </c>
      <c r="G855" t="e">
        <f>VLOOKUP(Tabelle8[[#This Row],[Rank]],Stammdaten[[Rank Verteilung D Mitte mit Rinde]:[Verteilung D Mitte mit Rinde]],2,FALSE)</f>
        <v>#N/A</v>
      </c>
      <c r="L855">
        <v>846</v>
      </c>
      <c r="M855" t="e">
        <f>INDEX(Stammdaten[Abholzigkeit (mm/lfm)],MATCH(Tabelle9[[#This Row],[Rank]],Stammdaten[Rank Verteilung Abholzigkeit],0))</f>
        <v>#N/A</v>
      </c>
      <c r="N855" t="e">
        <f>VLOOKUP(Tabelle9[[#This Row],[Rank]],Stammdaten[[Rank Verteilung Abholzigkeit]:[Verteilung Abholzigkeit]],2,FALSE)</f>
        <v>#N/A</v>
      </c>
      <c r="S855">
        <v>846</v>
      </c>
      <c r="T855" t="e">
        <f>INDEX(Stammdaten[Krümmung (mm/lfm)],MATCH(Tabelle10[[#This Row],[Rank]],Stammdaten[Rank Verteilung Krümmung],0))</f>
        <v>#N/A</v>
      </c>
      <c r="U855" t="e">
        <f>VLOOKUP(Tabelle10[[#This Row],[Rank]],Stammdaten[[Rank Verteilung Krümmung]:[Verteilung Krümmung]],2,FALSE)</f>
        <v>#N/A</v>
      </c>
      <c r="Z855">
        <v>846</v>
      </c>
      <c r="AA855" t="e">
        <f>INDEX(Stammdaten[Ovalität (']0,1'])],MATCH(Tabelle1014[[#This Row],[Rank]],Stammdaten[Rank Verteilung Ovalität],0))</f>
        <v>#N/A</v>
      </c>
      <c r="AB855" t="e">
        <f>VLOOKUP(Tabelle1014[[#This Row],[Rank]],Stammdaten[[Rank Verteilung Ovalität]:[Verteilung Ovalität]],2,FALSE)</f>
        <v>#N/A</v>
      </c>
    </row>
    <row r="856" spans="5:28" x14ac:dyDescent="0.35">
      <c r="E856">
        <v>847</v>
      </c>
      <c r="F856" t="e">
        <f>INDEX(Stammdaten[D Mitte mit Rinde (mm)],MATCH(Tabelle8[[#This Row],[Rank]],Stammdaten[Rank Verteilung D Mitte mit Rinde],0))</f>
        <v>#N/A</v>
      </c>
      <c r="G856" t="e">
        <f>VLOOKUP(Tabelle8[[#This Row],[Rank]],Stammdaten[[Rank Verteilung D Mitte mit Rinde]:[Verteilung D Mitte mit Rinde]],2,FALSE)</f>
        <v>#N/A</v>
      </c>
      <c r="L856">
        <v>847</v>
      </c>
      <c r="M856" t="e">
        <f>INDEX(Stammdaten[Abholzigkeit (mm/lfm)],MATCH(Tabelle9[[#This Row],[Rank]],Stammdaten[Rank Verteilung Abholzigkeit],0))</f>
        <v>#N/A</v>
      </c>
      <c r="N856" t="e">
        <f>VLOOKUP(Tabelle9[[#This Row],[Rank]],Stammdaten[[Rank Verteilung Abholzigkeit]:[Verteilung Abholzigkeit]],2,FALSE)</f>
        <v>#N/A</v>
      </c>
      <c r="S856">
        <v>847</v>
      </c>
      <c r="T856" t="e">
        <f>INDEX(Stammdaten[Krümmung (mm/lfm)],MATCH(Tabelle10[[#This Row],[Rank]],Stammdaten[Rank Verteilung Krümmung],0))</f>
        <v>#N/A</v>
      </c>
      <c r="U856" t="e">
        <f>VLOOKUP(Tabelle10[[#This Row],[Rank]],Stammdaten[[Rank Verteilung Krümmung]:[Verteilung Krümmung]],2,FALSE)</f>
        <v>#N/A</v>
      </c>
      <c r="Z856">
        <v>847</v>
      </c>
      <c r="AA856" t="e">
        <f>INDEX(Stammdaten[Ovalität (']0,1'])],MATCH(Tabelle1014[[#This Row],[Rank]],Stammdaten[Rank Verteilung Ovalität],0))</f>
        <v>#N/A</v>
      </c>
      <c r="AB856" t="e">
        <f>VLOOKUP(Tabelle1014[[#This Row],[Rank]],Stammdaten[[Rank Verteilung Ovalität]:[Verteilung Ovalität]],2,FALSE)</f>
        <v>#N/A</v>
      </c>
    </row>
    <row r="857" spans="5:28" x14ac:dyDescent="0.35">
      <c r="E857">
        <v>848</v>
      </c>
      <c r="F857" t="e">
        <f>INDEX(Stammdaten[D Mitte mit Rinde (mm)],MATCH(Tabelle8[[#This Row],[Rank]],Stammdaten[Rank Verteilung D Mitte mit Rinde],0))</f>
        <v>#N/A</v>
      </c>
      <c r="G857" t="e">
        <f>VLOOKUP(Tabelle8[[#This Row],[Rank]],Stammdaten[[Rank Verteilung D Mitte mit Rinde]:[Verteilung D Mitte mit Rinde]],2,FALSE)</f>
        <v>#N/A</v>
      </c>
      <c r="L857">
        <v>848</v>
      </c>
      <c r="M857" t="e">
        <f>INDEX(Stammdaten[Abholzigkeit (mm/lfm)],MATCH(Tabelle9[[#This Row],[Rank]],Stammdaten[Rank Verteilung Abholzigkeit],0))</f>
        <v>#N/A</v>
      </c>
      <c r="N857" t="e">
        <f>VLOOKUP(Tabelle9[[#This Row],[Rank]],Stammdaten[[Rank Verteilung Abholzigkeit]:[Verteilung Abholzigkeit]],2,FALSE)</f>
        <v>#N/A</v>
      </c>
      <c r="S857">
        <v>848</v>
      </c>
      <c r="T857" t="e">
        <f>INDEX(Stammdaten[Krümmung (mm/lfm)],MATCH(Tabelle10[[#This Row],[Rank]],Stammdaten[Rank Verteilung Krümmung],0))</f>
        <v>#N/A</v>
      </c>
      <c r="U857" t="e">
        <f>VLOOKUP(Tabelle10[[#This Row],[Rank]],Stammdaten[[Rank Verteilung Krümmung]:[Verteilung Krümmung]],2,FALSE)</f>
        <v>#N/A</v>
      </c>
      <c r="Z857">
        <v>848</v>
      </c>
      <c r="AA857" t="e">
        <f>INDEX(Stammdaten[Ovalität (']0,1'])],MATCH(Tabelle1014[[#This Row],[Rank]],Stammdaten[Rank Verteilung Ovalität],0))</f>
        <v>#N/A</v>
      </c>
      <c r="AB857" t="e">
        <f>VLOOKUP(Tabelle1014[[#This Row],[Rank]],Stammdaten[[Rank Verteilung Ovalität]:[Verteilung Ovalität]],2,FALSE)</f>
        <v>#N/A</v>
      </c>
    </row>
    <row r="858" spans="5:28" x14ac:dyDescent="0.35">
      <c r="E858">
        <v>849</v>
      </c>
      <c r="F858" t="e">
        <f>INDEX(Stammdaten[D Mitte mit Rinde (mm)],MATCH(Tabelle8[[#This Row],[Rank]],Stammdaten[Rank Verteilung D Mitte mit Rinde],0))</f>
        <v>#N/A</v>
      </c>
      <c r="G858" t="e">
        <f>VLOOKUP(Tabelle8[[#This Row],[Rank]],Stammdaten[[Rank Verteilung D Mitte mit Rinde]:[Verteilung D Mitte mit Rinde]],2,FALSE)</f>
        <v>#N/A</v>
      </c>
      <c r="L858">
        <v>849</v>
      </c>
      <c r="M858" t="e">
        <f>INDEX(Stammdaten[Abholzigkeit (mm/lfm)],MATCH(Tabelle9[[#This Row],[Rank]],Stammdaten[Rank Verteilung Abholzigkeit],0))</f>
        <v>#N/A</v>
      </c>
      <c r="N858" t="e">
        <f>VLOOKUP(Tabelle9[[#This Row],[Rank]],Stammdaten[[Rank Verteilung Abholzigkeit]:[Verteilung Abholzigkeit]],2,FALSE)</f>
        <v>#N/A</v>
      </c>
      <c r="S858">
        <v>849</v>
      </c>
      <c r="T858" t="e">
        <f>INDEX(Stammdaten[Krümmung (mm/lfm)],MATCH(Tabelle10[[#This Row],[Rank]],Stammdaten[Rank Verteilung Krümmung],0))</f>
        <v>#N/A</v>
      </c>
      <c r="U858" t="e">
        <f>VLOOKUP(Tabelle10[[#This Row],[Rank]],Stammdaten[[Rank Verteilung Krümmung]:[Verteilung Krümmung]],2,FALSE)</f>
        <v>#N/A</v>
      </c>
      <c r="Z858">
        <v>849</v>
      </c>
      <c r="AA858" t="e">
        <f>INDEX(Stammdaten[Ovalität (']0,1'])],MATCH(Tabelle1014[[#This Row],[Rank]],Stammdaten[Rank Verteilung Ovalität],0))</f>
        <v>#N/A</v>
      </c>
      <c r="AB858" t="e">
        <f>VLOOKUP(Tabelle1014[[#This Row],[Rank]],Stammdaten[[Rank Verteilung Ovalität]:[Verteilung Ovalität]],2,FALSE)</f>
        <v>#N/A</v>
      </c>
    </row>
    <row r="859" spans="5:28" x14ac:dyDescent="0.35">
      <c r="E859">
        <v>850</v>
      </c>
      <c r="F859" t="e">
        <f>INDEX(Stammdaten[D Mitte mit Rinde (mm)],MATCH(Tabelle8[[#This Row],[Rank]],Stammdaten[Rank Verteilung D Mitte mit Rinde],0))</f>
        <v>#N/A</v>
      </c>
      <c r="G859" t="e">
        <f>VLOOKUP(Tabelle8[[#This Row],[Rank]],Stammdaten[[Rank Verteilung D Mitte mit Rinde]:[Verteilung D Mitte mit Rinde]],2,FALSE)</f>
        <v>#N/A</v>
      </c>
      <c r="L859">
        <v>850</v>
      </c>
      <c r="M859" t="e">
        <f>INDEX(Stammdaten[Abholzigkeit (mm/lfm)],MATCH(Tabelle9[[#This Row],[Rank]],Stammdaten[Rank Verteilung Abholzigkeit],0))</f>
        <v>#N/A</v>
      </c>
      <c r="N859" t="e">
        <f>VLOOKUP(Tabelle9[[#This Row],[Rank]],Stammdaten[[Rank Verteilung Abholzigkeit]:[Verteilung Abholzigkeit]],2,FALSE)</f>
        <v>#N/A</v>
      </c>
      <c r="S859">
        <v>850</v>
      </c>
      <c r="T859" t="e">
        <f>INDEX(Stammdaten[Krümmung (mm/lfm)],MATCH(Tabelle10[[#This Row],[Rank]],Stammdaten[Rank Verteilung Krümmung],0))</f>
        <v>#N/A</v>
      </c>
      <c r="U859" t="e">
        <f>VLOOKUP(Tabelle10[[#This Row],[Rank]],Stammdaten[[Rank Verteilung Krümmung]:[Verteilung Krümmung]],2,FALSE)</f>
        <v>#N/A</v>
      </c>
      <c r="Z859">
        <v>850</v>
      </c>
      <c r="AA859" t="e">
        <f>INDEX(Stammdaten[Ovalität (']0,1'])],MATCH(Tabelle1014[[#This Row],[Rank]],Stammdaten[Rank Verteilung Ovalität],0))</f>
        <v>#N/A</v>
      </c>
      <c r="AB859" t="e">
        <f>VLOOKUP(Tabelle1014[[#This Row],[Rank]],Stammdaten[[Rank Verteilung Ovalität]:[Verteilung Ovalität]],2,FALSE)</f>
        <v>#N/A</v>
      </c>
    </row>
    <row r="860" spans="5:28" x14ac:dyDescent="0.35">
      <c r="E860">
        <v>851</v>
      </c>
      <c r="F860" t="e">
        <f>INDEX(Stammdaten[D Mitte mit Rinde (mm)],MATCH(Tabelle8[[#This Row],[Rank]],Stammdaten[Rank Verteilung D Mitte mit Rinde],0))</f>
        <v>#N/A</v>
      </c>
      <c r="G860" t="e">
        <f>VLOOKUP(Tabelle8[[#This Row],[Rank]],Stammdaten[[Rank Verteilung D Mitte mit Rinde]:[Verteilung D Mitte mit Rinde]],2,FALSE)</f>
        <v>#N/A</v>
      </c>
      <c r="L860">
        <v>851</v>
      </c>
      <c r="M860" t="e">
        <f>INDEX(Stammdaten[Abholzigkeit (mm/lfm)],MATCH(Tabelle9[[#This Row],[Rank]],Stammdaten[Rank Verteilung Abholzigkeit],0))</f>
        <v>#N/A</v>
      </c>
      <c r="N860" t="e">
        <f>VLOOKUP(Tabelle9[[#This Row],[Rank]],Stammdaten[[Rank Verteilung Abholzigkeit]:[Verteilung Abholzigkeit]],2,FALSE)</f>
        <v>#N/A</v>
      </c>
      <c r="S860">
        <v>851</v>
      </c>
      <c r="T860" t="e">
        <f>INDEX(Stammdaten[Krümmung (mm/lfm)],MATCH(Tabelle10[[#This Row],[Rank]],Stammdaten[Rank Verteilung Krümmung],0))</f>
        <v>#N/A</v>
      </c>
      <c r="U860" t="e">
        <f>VLOOKUP(Tabelle10[[#This Row],[Rank]],Stammdaten[[Rank Verteilung Krümmung]:[Verteilung Krümmung]],2,FALSE)</f>
        <v>#N/A</v>
      </c>
      <c r="Z860">
        <v>851</v>
      </c>
      <c r="AA860" t="e">
        <f>INDEX(Stammdaten[Ovalität (']0,1'])],MATCH(Tabelle1014[[#This Row],[Rank]],Stammdaten[Rank Verteilung Ovalität],0))</f>
        <v>#N/A</v>
      </c>
      <c r="AB860" t="e">
        <f>VLOOKUP(Tabelle1014[[#This Row],[Rank]],Stammdaten[[Rank Verteilung Ovalität]:[Verteilung Ovalität]],2,FALSE)</f>
        <v>#N/A</v>
      </c>
    </row>
    <row r="861" spans="5:28" x14ac:dyDescent="0.35">
      <c r="E861">
        <v>852</v>
      </c>
      <c r="F861" t="e">
        <f>INDEX(Stammdaten[D Mitte mit Rinde (mm)],MATCH(Tabelle8[[#This Row],[Rank]],Stammdaten[Rank Verteilung D Mitte mit Rinde],0))</f>
        <v>#N/A</v>
      </c>
      <c r="G861" t="e">
        <f>VLOOKUP(Tabelle8[[#This Row],[Rank]],Stammdaten[[Rank Verteilung D Mitte mit Rinde]:[Verteilung D Mitte mit Rinde]],2,FALSE)</f>
        <v>#N/A</v>
      </c>
      <c r="L861">
        <v>852</v>
      </c>
      <c r="M861" t="e">
        <f>INDEX(Stammdaten[Abholzigkeit (mm/lfm)],MATCH(Tabelle9[[#This Row],[Rank]],Stammdaten[Rank Verteilung Abholzigkeit],0))</f>
        <v>#N/A</v>
      </c>
      <c r="N861" t="e">
        <f>VLOOKUP(Tabelle9[[#This Row],[Rank]],Stammdaten[[Rank Verteilung Abholzigkeit]:[Verteilung Abholzigkeit]],2,FALSE)</f>
        <v>#N/A</v>
      </c>
      <c r="S861">
        <v>852</v>
      </c>
      <c r="T861" t="e">
        <f>INDEX(Stammdaten[Krümmung (mm/lfm)],MATCH(Tabelle10[[#This Row],[Rank]],Stammdaten[Rank Verteilung Krümmung],0))</f>
        <v>#N/A</v>
      </c>
      <c r="U861" t="e">
        <f>VLOOKUP(Tabelle10[[#This Row],[Rank]],Stammdaten[[Rank Verteilung Krümmung]:[Verteilung Krümmung]],2,FALSE)</f>
        <v>#N/A</v>
      </c>
      <c r="Z861">
        <v>852</v>
      </c>
      <c r="AA861" t="e">
        <f>INDEX(Stammdaten[Ovalität (']0,1'])],MATCH(Tabelle1014[[#This Row],[Rank]],Stammdaten[Rank Verteilung Ovalität],0))</f>
        <v>#N/A</v>
      </c>
      <c r="AB861" t="e">
        <f>VLOOKUP(Tabelle1014[[#This Row],[Rank]],Stammdaten[[Rank Verteilung Ovalität]:[Verteilung Ovalität]],2,FALSE)</f>
        <v>#N/A</v>
      </c>
    </row>
    <row r="862" spans="5:28" x14ac:dyDescent="0.35">
      <c r="E862">
        <v>853</v>
      </c>
      <c r="F862" t="e">
        <f>INDEX(Stammdaten[D Mitte mit Rinde (mm)],MATCH(Tabelle8[[#This Row],[Rank]],Stammdaten[Rank Verteilung D Mitte mit Rinde],0))</f>
        <v>#N/A</v>
      </c>
      <c r="G862" t="e">
        <f>VLOOKUP(Tabelle8[[#This Row],[Rank]],Stammdaten[[Rank Verteilung D Mitte mit Rinde]:[Verteilung D Mitte mit Rinde]],2,FALSE)</f>
        <v>#N/A</v>
      </c>
      <c r="L862">
        <v>853</v>
      </c>
      <c r="M862" t="e">
        <f>INDEX(Stammdaten[Abholzigkeit (mm/lfm)],MATCH(Tabelle9[[#This Row],[Rank]],Stammdaten[Rank Verteilung Abholzigkeit],0))</f>
        <v>#N/A</v>
      </c>
      <c r="N862" t="e">
        <f>VLOOKUP(Tabelle9[[#This Row],[Rank]],Stammdaten[[Rank Verteilung Abholzigkeit]:[Verteilung Abholzigkeit]],2,FALSE)</f>
        <v>#N/A</v>
      </c>
      <c r="S862">
        <v>853</v>
      </c>
      <c r="T862" t="e">
        <f>INDEX(Stammdaten[Krümmung (mm/lfm)],MATCH(Tabelle10[[#This Row],[Rank]],Stammdaten[Rank Verteilung Krümmung],0))</f>
        <v>#N/A</v>
      </c>
      <c r="U862" t="e">
        <f>VLOOKUP(Tabelle10[[#This Row],[Rank]],Stammdaten[[Rank Verteilung Krümmung]:[Verteilung Krümmung]],2,FALSE)</f>
        <v>#N/A</v>
      </c>
      <c r="Z862">
        <v>853</v>
      </c>
      <c r="AA862" t="e">
        <f>INDEX(Stammdaten[Ovalität (']0,1'])],MATCH(Tabelle1014[[#This Row],[Rank]],Stammdaten[Rank Verteilung Ovalität],0))</f>
        <v>#N/A</v>
      </c>
      <c r="AB862" t="e">
        <f>VLOOKUP(Tabelle1014[[#This Row],[Rank]],Stammdaten[[Rank Verteilung Ovalität]:[Verteilung Ovalität]],2,FALSE)</f>
        <v>#N/A</v>
      </c>
    </row>
    <row r="863" spans="5:28" x14ac:dyDescent="0.35">
      <c r="E863">
        <v>854</v>
      </c>
      <c r="F863" t="e">
        <f>INDEX(Stammdaten[D Mitte mit Rinde (mm)],MATCH(Tabelle8[[#This Row],[Rank]],Stammdaten[Rank Verteilung D Mitte mit Rinde],0))</f>
        <v>#N/A</v>
      </c>
      <c r="G863" t="e">
        <f>VLOOKUP(Tabelle8[[#This Row],[Rank]],Stammdaten[[Rank Verteilung D Mitte mit Rinde]:[Verteilung D Mitte mit Rinde]],2,FALSE)</f>
        <v>#N/A</v>
      </c>
      <c r="L863">
        <v>854</v>
      </c>
      <c r="M863" t="e">
        <f>INDEX(Stammdaten[Abholzigkeit (mm/lfm)],MATCH(Tabelle9[[#This Row],[Rank]],Stammdaten[Rank Verteilung Abholzigkeit],0))</f>
        <v>#N/A</v>
      </c>
      <c r="N863" t="e">
        <f>VLOOKUP(Tabelle9[[#This Row],[Rank]],Stammdaten[[Rank Verteilung Abholzigkeit]:[Verteilung Abholzigkeit]],2,FALSE)</f>
        <v>#N/A</v>
      </c>
      <c r="S863">
        <v>854</v>
      </c>
      <c r="T863" t="e">
        <f>INDEX(Stammdaten[Krümmung (mm/lfm)],MATCH(Tabelle10[[#This Row],[Rank]],Stammdaten[Rank Verteilung Krümmung],0))</f>
        <v>#N/A</v>
      </c>
      <c r="U863" t="e">
        <f>VLOOKUP(Tabelle10[[#This Row],[Rank]],Stammdaten[[Rank Verteilung Krümmung]:[Verteilung Krümmung]],2,FALSE)</f>
        <v>#N/A</v>
      </c>
      <c r="Z863">
        <v>854</v>
      </c>
      <c r="AA863" t="e">
        <f>INDEX(Stammdaten[Ovalität (']0,1'])],MATCH(Tabelle1014[[#This Row],[Rank]],Stammdaten[Rank Verteilung Ovalität],0))</f>
        <v>#N/A</v>
      </c>
      <c r="AB863" t="e">
        <f>VLOOKUP(Tabelle1014[[#This Row],[Rank]],Stammdaten[[Rank Verteilung Ovalität]:[Verteilung Ovalität]],2,FALSE)</f>
        <v>#N/A</v>
      </c>
    </row>
    <row r="864" spans="5:28" x14ac:dyDescent="0.35">
      <c r="E864">
        <v>855</v>
      </c>
      <c r="F864" t="e">
        <f>INDEX(Stammdaten[D Mitte mit Rinde (mm)],MATCH(Tabelle8[[#This Row],[Rank]],Stammdaten[Rank Verteilung D Mitte mit Rinde],0))</f>
        <v>#N/A</v>
      </c>
      <c r="G864" t="e">
        <f>VLOOKUP(Tabelle8[[#This Row],[Rank]],Stammdaten[[Rank Verteilung D Mitte mit Rinde]:[Verteilung D Mitte mit Rinde]],2,FALSE)</f>
        <v>#N/A</v>
      </c>
      <c r="L864">
        <v>855</v>
      </c>
      <c r="M864" t="e">
        <f>INDEX(Stammdaten[Abholzigkeit (mm/lfm)],MATCH(Tabelle9[[#This Row],[Rank]],Stammdaten[Rank Verteilung Abholzigkeit],0))</f>
        <v>#N/A</v>
      </c>
      <c r="N864" t="e">
        <f>VLOOKUP(Tabelle9[[#This Row],[Rank]],Stammdaten[[Rank Verteilung Abholzigkeit]:[Verteilung Abholzigkeit]],2,FALSE)</f>
        <v>#N/A</v>
      </c>
      <c r="S864">
        <v>855</v>
      </c>
      <c r="T864" t="e">
        <f>INDEX(Stammdaten[Krümmung (mm/lfm)],MATCH(Tabelle10[[#This Row],[Rank]],Stammdaten[Rank Verteilung Krümmung],0))</f>
        <v>#N/A</v>
      </c>
      <c r="U864" t="e">
        <f>VLOOKUP(Tabelle10[[#This Row],[Rank]],Stammdaten[[Rank Verteilung Krümmung]:[Verteilung Krümmung]],2,FALSE)</f>
        <v>#N/A</v>
      </c>
      <c r="Z864">
        <v>855</v>
      </c>
      <c r="AA864" t="e">
        <f>INDEX(Stammdaten[Ovalität (']0,1'])],MATCH(Tabelle1014[[#This Row],[Rank]],Stammdaten[Rank Verteilung Ovalität],0))</f>
        <v>#N/A</v>
      </c>
      <c r="AB864" t="e">
        <f>VLOOKUP(Tabelle1014[[#This Row],[Rank]],Stammdaten[[Rank Verteilung Ovalität]:[Verteilung Ovalität]],2,FALSE)</f>
        <v>#N/A</v>
      </c>
    </row>
    <row r="865" spans="5:28" x14ac:dyDescent="0.35">
      <c r="E865">
        <v>856</v>
      </c>
      <c r="F865" t="e">
        <f>INDEX(Stammdaten[D Mitte mit Rinde (mm)],MATCH(Tabelle8[[#This Row],[Rank]],Stammdaten[Rank Verteilung D Mitte mit Rinde],0))</f>
        <v>#N/A</v>
      </c>
      <c r="G865" t="e">
        <f>VLOOKUP(Tabelle8[[#This Row],[Rank]],Stammdaten[[Rank Verteilung D Mitte mit Rinde]:[Verteilung D Mitte mit Rinde]],2,FALSE)</f>
        <v>#N/A</v>
      </c>
      <c r="L865">
        <v>856</v>
      </c>
      <c r="M865" t="e">
        <f>INDEX(Stammdaten[Abholzigkeit (mm/lfm)],MATCH(Tabelle9[[#This Row],[Rank]],Stammdaten[Rank Verteilung Abholzigkeit],0))</f>
        <v>#N/A</v>
      </c>
      <c r="N865" t="e">
        <f>VLOOKUP(Tabelle9[[#This Row],[Rank]],Stammdaten[[Rank Verteilung Abholzigkeit]:[Verteilung Abholzigkeit]],2,FALSE)</f>
        <v>#N/A</v>
      </c>
      <c r="S865">
        <v>856</v>
      </c>
      <c r="T865" t="e">
        <f>INDEX(Stammdaten[Krümmung (mm/lfm)],MATCH(Tabelle10[[#This Row],[Rank]],Stammdaten[Rank Verteilung Krümmung],0))</f>
        <v>#N/A</v>
      </c>
      <c r="U865" t="e">
        <f>VLOOKUP(Tabelle10[[#This Row],[Rank]],Stammdaten[[Rank Verteilung Krümmung]:[Verteilung Krümmung]],2,FALSE)</f>
        <v>#N/A</v>
      </c>
      <c r="Z865">
        <v>856</v>
      </c>
      <c r="AA865" t="e">
        <f>INDEX(Stammdaten[Ovalität (']0,1'])],MATCH(Tabelle1014[[#This Row],[Rank]],Stammdaten[Rank Verteilung Ovalität],0))</f>
        <v>#N/A</v>
      </c>
      <c r="AB865" t="e">
        <f>VLOOKUP(Tabelle1014[[#This Row],[Rank]],Stammdaten[[Rank Verteilung Ovalität]:[Verteilung Ovalität]],2,FALSE)</f>
        <v>#N/A</v>
      </c>
    </row>
    <row r="866" spans="5:28" x14ac:dyDescent="0.35">
      <c r="E866">
        <v>857</v>
      </c>
      <c r="F866" t="e">
        <f>INDEX(Stammdaten[D Mitte mit Rinde (mm)],MATCH(Tabelle8[[#This Row],[Rank]],Stammdaten[Rank Verteilung D Mitte mit Rinde],0))</f>
        <v>#N/A</v>
      </c>
      <c r="G866" t="e">
        <f>VLOOKUP(Tabelle8[[#This Row],[Rank]],Stammdaten[[Rank Verteilung D Mitte mit Rinde]:[Verteilung D Mitte mit Rinde]],2,FALSE)</f>
        <v>#N/A</v>
      </c>
      <c r="L866">
        <v>857</v>
      </c>
      <c r="M866" t="e">
        <f>INDEX(Stammdaten[Abholzigkeit (mm/lfm)],MATCH(Tabelle9[[#This Row],[Rank]],Stammdaten[Rank Verteilung Abholzigkeit],0))</f>
        <v>#N/A</v>
      </c>
      <c r="N866" t="e">
        <f>VLOOKUP(Tabelle9[[#This Row],[Rank]],Stammdaten[[Rank Verteilung Abholzigkeit]:[Verteilung Abholzigkeit]],2,FALSE)</f>
        <v>#N/A</v>
      </c>
      <c r="S866">
        <v>857</v>
      </c>
      <c r="T866" t="e">
        <f>INDEX(Stammdaten[Krümmung (mm/lfm)],MATCH(Tabelle10[[#This Row],[Rank]],Stammdaten[Rank Verteilung Krümmung],0))</f>
        <v>#N/A</v>
      </c>
      <c r="U866" t="e">
        <f>VLOOKUP(Tabelle10[[#This Row],[Rank]],Stammdaten[[Rank Verteilung Krümmung]:[Verteilung Krümmung]],2,FALSE)</f>
        <v>#N/A</v>
      </c>
      <c r="Z866">
        <v>857</v>
      </c>
      <c r="AA866" t="e">
        <f>INDEX(Stammdaten[Ovalität (']0,1'])],MATCH(Tabelle1014[[#This Row],[Rank]],Stammdaten[Rank Verteilung Ovalität],0))</f>
        <v>#N/A</v>
      </c>
      <c r="AB866" t="e">
        <f>VLOOKUP(Tabelle1014[[#This Row],[Rank]],Stammdaten[[Rank Verteilung Ovalität]:[Verteilung Ovalität]],2,FALSE)</f>
        <v>#N/A</v>
      </c>
    </row>
    <row r="867" spans="5:28" x14ac:dyDescent="0.35">
      <c r="E867">
        <v>858</v>
      </c>
      <c r="F867" t="e">
        <f>INDEX(Stammdaten[D Mitte mit Rinde (mm)],MATCH(Tabelle8[[#This Row],[Rank]],Stammdaten[Rank Verteilung D Mitte mit Rinde],0))</f>
        <v>#N/A</v>
      </c>
      <c r="G867" t="e">
        <f>VLOOKUP(Tabelle8[[#This Row],[Rank]],Stammdaten[[Rank Verteilung D Mitte mit Rinde]:[Verteilung D Mitte mit Rinde]],2,FALSE)</f>
        <v>#N/A</v>
      </c>
      <c r="L867">
        <v>858</v>
      </c>
      <c r="M867" t="e">
        <f>INDEX(Stammdaten[Abholzigkeit (mm/lfm)],MATCH(Tabelle9[[#This Row],[Rank]],Stammdaten[Rank Verteilung Abholzigkeit],0))</f>
        <v>#N/A</v>
      </c>
      <c r="N867" t="e">
        <f>VLOOKUP(Tabelle9[[#This Row],[Rank]],Stammdaten[[Rank Verteilung Abholzigkeit]:[Verteilung Abholzigkeit]],2,FALSE)</f>
        <v>#N/A</v>
      </c>
      <c r="S867">
        <v>858</v>
      </c>
      <c r="T867" t="e">
        <f>INDEX(Stammdaten[Krümmung (mm/lfm)],MATCH(Tabelle10[[#This Row],[Rank]],Stammdaten[Rank Verteilung Krümmung],0))</f>
        <v>#N/A</v>
      </c>
      <c r="U867" t="e">
        <f>VLOOKUP(Tabelle10[[#This Row],[Rank]],Stammdaten[[Rank Verteilung Krümmung]:[Verteilung Krümmung]],2,FALSE)</f>
        <v>#N/A</v>
      </c>
      <c r="Z867">
        <v>858</v>
      </c>
      <c r="AA867" t="e">
        <f>INDEX(Stammdaten[Ovalität (']0,1'])],MATCH(Tabelle1014[[#This Row],[Rank]],Stammdaten[Rank Verteilung Ovalität],0))</f>
        <v>#N/A</v>
      </c>
      <c r="AB867" t="e">
        <f>VLOOKUP(Tabelle1014[[#This Row],[Rank]],Stammdaten[[Rank Verteilung Ovalität]:[Verteilung Ovalität]],2,FALSE)</f>
        <v>#N/A</v>
      </c>
    </row>
    <row r="868" spans="5:28" x14ac:dyDescent="0.35">
      <c r="E868">
        <v>859</v>
      </c>
      <c r="F868" t="e">
        <f>INDEX(Stammdaten[D Mitte mit Rinde (mm)],MATCH(Tabelle8[[#This Row],[Rank]],Stammdaten[Rank Verteilung D Mitte mit Rinde],0))</f>
        <v>#N/A</v>
      </c>
      <c r="G868" t="e">
        <f>VLOOKUP(Tabelle8[[#This Row],[Rank]],Stammdaten[[Rank Verteilung D Mitte mit Rinde]:[Verteilung D Mitte mit Rinde]],2,FALSE)</f>
        <v>#N/A</v>
      </c>
      <c r="L868">
        <v>859</v>
      </c>
      <c r="M868" t="e">
        <f>INDEX(Stammdaten[Abholzigkeit (mm/lfm)],MATCH(Tabelle9[[#This Row],[Rank]],Stammdaten[Rank Verteilung Abholzigkeit],0))</f>
        <v>#N/A</v>
      </c>
      <c r="N868" t="e">
        <f>VLOOKUP(Tabelle9[[#This Row],[Rank]],Stammdaten[[Rank Verteilung Abholzigkeit]:[Verteilung Abholzigkeit]],2,FALSE)</f>
        <v>#N/A</v>
      </c>
      <c r="S868">
        <v>859</v>
      </c>
      <c r="T868" t="e">
        <f>INDEX(Stammdaten[Krümmung (mm/lfm)],MATCH(Tabelle10[[#This Row],[Rank]],Stammdaten[Rank Verteilung Krümmung],0))</f>
        <v>#N/A</v>
      </c>
      <c r="U868" t="e">
        <f>VLOOKUP(Tabelle10[[#This Row],[Rank]],Stammdaten[[Rank Verteilung Krümmung]:[Verteilung Krümmung]],2,FALSE)</f>
        <v>#N/A</v>
      </c>
      <c r="Z868">
        <v>859</v>
      </c>
      <c r="AA868" t="e">
        <f>INDEX(Stammdaten[Ovalität (']0,1'])],MATCH(Tabelle1014[[#This Row],[Rank]],Stammdaten[Rank Verteilung Ovalität],0))</f>
        <v>#N/A</v>
      </c>
      <c r="AB868" t="e">
        <f>VLOOKUP(Tabelle1014[[#This Row],[Rank]],Stammdaten[[Rank Verteilung Ovalität]:[Verteilung Ovalität]],2,FALSE)</f>
        <v>#N/A</v>
      </c>
    </row>
    <row r="869" spans="5:28" x14ac:dyDescent="0.35">
      <c r="E869">
        <v>860</v>
      </c>
      <c r="F869" t="e">
        <f>INDEX(Stammdaten[D Mitte mit Rinde (mm)],MATCH(Tabelle8[[#This Row],[Rank]],Stammdaten[Rank Verteilung D Mitte mit Rinde],0))</f>
        <v>#N/A</v>
      </c>
      <c r="G869" t="e">
        <f>VLOOKUP(Tabelle8[[#This Row],[Rank]],Stammdaten[[Rank Verteilung D Mitte mit Rinde]:[Verteilung D Mitte mit Rinde]],2,FALSE)</f>
        <v>#N/A</v>
      </c>
      <c r="L869">
        <v>860</v>
      </c>
      <c r="M869" t="e">
        <f>INDEX(Stammdaten[Abholzigkeit (mm/lfm)],MATCH(Tabelle9[[#This Row],[Rank]],Stammdaten[Rank Verteilung Abholzigkeit],0))</f>
        <v>#N/A</v>
      </c>
      <c r="N869" t="e">
        <f>VLOOKUP(Tabelle9[[#This Row],[Rank]],Stammdaten[[Rank Verteilung Abholzigkeit]:[Verteilung Abholzigkeit]],2,FALSE)</f>
        <v>#N/A</v>
      </c>
      <c r="S869">
        <v>860</v>
      </c>
      <c r="T869" t="e">
        <f>INDEX(Stammdaten[Krümmung (mm/lfm)],MATCH(Tabelle10[[#This Row],[Rank]],Stammdaten[Rank Verteilung Krümmung],0))</f>
        <v>#N/A</v>
      </c>
      <c r="U869" t="e">
        <f>VLOOKUP(Tabelle10[[#This Row],[Rank]],Stammdaten[[Rank Verteilung Krümmung]:[Verteilung Krümmung]],2,FALSE)</f>
        <v>#N/A</v>
      </c>
      <c r="Z869">
        <v>860</v>
      </c>
      <c r="AA869" t="e">
        <f>INDEX(Stammdaten[Ovalität (']0,1'])],MATCH(Tabelle1014[[#This Row],[Rank]],Stammdaten[Rank Verteilung Ovalität],0))</f>
        <v>#N/A</v>
      </c>
      <c r="AB869" t="e">
        <f>VLOOKUP(Tabelle1014[[#This Row],[Rank]],Stammdaten[[Rank Verteilung Ovalität]:[Verteilung Ovalität]],2,FALSE)</f>
        <v>#N/A</v>
      </c>
    </row>
    <row r="870" spans="5:28" x14ac:dyDescent="0.35">
      <c r="E870">
        <v>861</v>
      </c>
      <c r="F870" t="e">
        <f>INDEX(Stammdaten[D Mitte mit Rinde (mm)],MATCH(Tabelle8[[#This Row],[Rank]],Stammdaten[Rank Verteilung D Mitte mit Rinde],0))</f>
        <v>#N/A</v>
      </c>
      <c r="G870" t="e">
        <f>VLOOKUP(Tabelle8[[#This Row],[Rank]],Stammdaten[[Rank Verteilung D Mitte mit Rinde]:[Verteilung D Mitte mit Rinde]],2,FALSE)</f>
        <v>#N/A</v>
      </c>
      <c r="L870">
        <v>861</v>
      </c>
      <c r="M870" t="e">
        <f>INDEX(Stammdaten[Abholzigkeit (mm/lfm)],MATCH(Tabelle9[[#This Row],[Rank]],Stammdaten[Rank Verteilung Abholzigkeit],0))</f>
        <v>#N/A</v>
      </c>
      <c r="N870" t="e">
        <f>VLOOKUP(Tabelle9[[#This Row],[Rank]],Stammdaten[[Rank Verteilung Abholzigkeit]:[Verteilung Abholzigkeit]],2,FALSE)</f>
        <v>#N/A</v>
      </c>
      <c r="S870">
        <v>861</v>
      </c>
      <c r="T870" t="e">
        <f>INDEX(Stammdaten[Krümmung (mm/lfm)],MATCH(Tabelle10[[#This Row],[Rank]],Stammdaten[Rank Verteilung Krümmung],0))</f>
        <v>#N/A</v>
      </c>
      <c r="U870" t="e">
        <f>VLOOKUP(Tabelle10[[#This Row],[Rank]],Stammdaten[[Rank Verteilung Krümmung]:[Verteilung Krümmung]],2,FALSE)</f>
        <v>#N/A</v>
      </c>
      <c r="Z870">
        <v>861</v>
      </c>
      <c r="AA870" t="e">
        <f>INDEX(Stammdaten[Ovalität (']0,1'])],MATCH(Tabelle1014[[#This Row],[Rank]],Stammdaten[Rank Verteilung Ovalität],0))</f>
        <v>#N/A</v>
      </c>
      <c r="AB870" t="e">
        <f>VLOOKUP(Tabelle1014[[#This Row],[Rank]],Stammdaten[[Rank Verteilung Ovalität]:[Verteilung Ovalität]],2,FALSE)</f>
        <v>#N/A</v>
      </c>
    </row>
    <row r="871" spans="5:28" x14ac:dyDescent="0.35">
      <c r="E871">
        <v>862</v>
      </c>
      <c r="F871" t="e">
        <f>INDEX(Stammdaten[D Mitte mit Rinde (mm)],MATCH(Tabelle8[[#This Row],[Rank]],Stammdaten[Rank Verteilung D Mitte mit Rinde],0))</f>
        <v>#N/A</v>
      </c>
      <c r="G871" t="e">
        <f>VLOOKUP(Tabelle8[[#This Row],[Rank]],Stammdaten[[Rank Verteilung D Mitte mit Rinde]:[Verteilung D Mitte mit Rinde]],2,FALSE)</f>
        <v>#N/A</v>
      </c>
      <c r="L871">
        <v>862</v>
      </c>
      <c r="M871" t="e">
        <f>INDEX(Stammdaten[Abholzigkeit (mm/lfm)],MATCH(Tabelle9[[#This Row],[Rank]],Stammdaten[Rank Verteilung Abholzigkeit],0))</f>
        <v>#N/A</v>
      </c>
      <c r="N871" t="e">
        <f>VLOOKUP(Tabelle9[[#This Row],[Rank]],Stammdaten[[Rank Verteilung Abholzigkeit]:[Verteilung Abholzigkeit]],2,FALSE)</f>
        <v>#N/A</v>
      </c>
      <c r="S871">
        <v>862</v>
      </c>
      <c r="T871" t="e">
        <f>INDEX(Stammdaten[Krümmung (mm/lfm)],MATCH(Tabelle10[[#This Row],[Rank]],Stammdaten[Rank Verteilung Krümmung],0))</f>
        <v>#N/A</v>
      </c>
      <c r="U871" t="e">
        <f>VLOOKUP(Tabelle10[[#This Row],[Rank]],Stammdaten[[Rank Verteilung Krümmung]:[Verteilung Krümmung]],2,FALSE)</f>
        <v>#N/A</v>
      </c>
      <c r="Z871">
        <v>862</v>
      </c>
      <c r="AA871" t="e">
        <f>INDEX(Stammdaten[Ovalität (']0,1'])],MATCH(Tabelle1014[[#This Row],[Rank]],Stammdaten[Rank Verteilung Ovalität],0))</f>
        <v>#N/A</v>
      </c>
      <c r="AB871" t="e">
        <f>VLOOKUP(Tabelle1014[[#This Row],[Rank]],Stammdaten[[Rank Verteilung Ovalität]:[Verteilung Ovalität]],2,FALSE)</f>
        <v>#N/A</v>
      </c>
    </row>
    <row r="872" spans="5:28" x14ac:dyDescent="0.35">
      <c r="E872">
        <v>863</v>
      </c>
      <c r="F872" t="e">
        <f>INDEX(Stammdaten[D Mitte mit Rinde (mm)],MATCH(Tabelle8[[#This Row],[Rank]],Stammdaten[Rank Verteilung D Mitte mit Rinde],0))</f>
        <v>#N/A</v>
      </c>
      <c r="G872" t="e">
        <f>VLOOKUP(Tabelle8[[#This Row],[Rank]],Stammdaten[[Rank Verteilung D Mitte mit Rinde]:[Verteilung D Mitte mit Rinde]],2,FALSE)</f>
        <v>#N/A</v>
      </c>
      <c r="L872">
        <v>863</v>
      </c>
      <c r="M872" t="e">
        <f>INDEX(Stammdaten[Abholzigkeit (mm/lfm)],MATCH(Tabelle9[[#This Row],[Rank]],Stammdaten[Rank Verteilung Abholzigkeit],0))</f>
        <v>#N/A</v>
      </c>
      <c r="N872" t="e">
        <f>VLOOKUP(Tabelle9[[#This Row],[Rank]],Stammdaten[[Rank Verteilung Abholzigkeit]:[Verteilung Abholzigkeit]],2,FALSE)</f>
        <v>#N/A</v>
      </c>
      <c r="S872">
        <v>863</v>
      </c>
      <c r="T872" t="e">
        <f>INDEX(Stammdaten[Krümmung (mm/lfm)],MATCH(Tabelle10[[#This Row],[Rank]],Stammdaten[Rank Verteilung Krümmung],0))</f>
        <v>#N/A</v>
      </c>
      <c r="U872" t="e">
        <f>VLOOKUP(Tabelle10[[#This Row],[Rank]],Stammdaten[[Rank Verteilung Krümmung]:[Verteilung Krümmung]],2,FALSE)</f>
        <v>#N/A</v>
      </c>
      <c r="Z872">
        <v>863</v>
      </c>
      <c r="AA872" t="e">
        <f>INDEX(Stammdaten[Ovalität (']0,1'])],MATCH(Tabelle1014[[#This Row],[Rank]],Stammdaten[Rank Verteilung Ovalität],0))</f>
        <v>#N/A</v>
      </c>
      <c r="AB872" t="e">
        <f>VLOOKUP(Tabelle1014[[#This Row],[Rank]],Stammdaten[[Rank Verteilung Ovalität]:[Verteilung Ovalität]],2,FALSE)</f>
        <v>#N/A</v>
      </c>
    </row>
    <row r="873" spans="5:28" x14ac:dyDescent="0.35">
      <c r="E873">
        <v>864</v>
      </c>
      <c r="F873" t="e">
        <f>INDEX(Stammdaten[D Mitte mit Rinde (mm)],MATCH(Tabelle8[[#This Row],[Rank]],Stammdaten[Rank Verteilung D Mitte mit Rinde],0))</f>
        <v>#N/A</v>
      </c>
      <c r="G873" t="e">
        <f>VLOOKUP(Tabelle8[[#This Row],[Rank]],Stammdaten[[Rank Verteilung D Mitte mit Rinde]:[Verteilung D Mitte mit Rinde]],2,FALSE)</f>
        <v>#N/A</v>
      </c>
      <c r="L873">
        <v>864</v>
      </c>
      <c r="M873" t="e">
        <f>INDEX(Stammdaten[Abholzigkeit (mm/lfm)],MATCH(Tabelle9[[#This Row],[Rank]],Stammdaten[Rank Verteilung Abholzigkeit],0))</f>
        <v>#N/A</v>
      </c>
      <c r="N873" t="e">
        <f>VLOOKUP(Tabelle9[[#This Row],[Rank]],Stammdaten[[Rank Verteilung Abholzigkeit]:[Verteilung Abholzigkeit]],2,FALSE)</f>
        <v>#N/A</v>
      </c>
      <c r="S873">
        <v>864</v>
      </c>
      <c r="T873" t="e">
        <f>INDEX(Stammdaten[Krümmung (mm/lfm)],MATCH(Tabelle10[[#This Row],[Rank]],Stammdaten[Rank Verteilung Krümmung],0))</f>
        <v>#N/A</v>
      </c>
      <c r="U873" t="e">
        <f>VLOOKUP(Tabelle10[[#This Row],[Rank]],Stammdaten[[Rank Verteilung Krümmung]:[Verteilung Krümmung]],2,FALSE)</f>
        <v>#N/A</v>
      </c>
      <c r="Z873">
        <v>864</v>
      </c>
      <c r="AA873" t="e">
        <f>INDEX(Stammdaten[Ovalität (']0,1'])],MATCH(Tabelle1014[[#This Row],[Rank]],Stammdaten[Rank Verteilung Ovalität],0))</f>
        <v>#N/A</v>
      </c>
      <c r="AB873" t="e">
        <f>VLOOKUP(Tabelle1014[[#This Row],[Rank]],Stammdaten[[Rank Verteilung Ovalität]:[Verteilung Ovalität]],2,FALSE)</f>
        <v>#N/A</v>
      </c>
    </row>
    <row r="874" spans="5:28" x14ac:dyDescent="0.35">
      <c r="E874">
        <v>865</v>
      </c>
      <c r="F874" t="e">
        <f>INDEX(Stammdaten[D Mitte mit Rinde (mm)],MATCH(Tabelle8[[#This Row],[Rank]],Stammdaten[Rank Verteilung D Mitte mit Rinde],0))</f>
        <v>#N/A</v>
      </c>
      <c r="G874" t="e">
        <f>VLOOKUP(Tabelle8[[#This Row],[Rank]],Stammdaten[[Rank Verteilung D Mitte mit Rinde]:[Verteilung D Mitte mit Rinde]],2,FALSE)</f>
        <v>#N/A</v>
      </c>
      <c r="L874">
        <v>865</v>
      </c>
      <c r="M874" t="e">
        <f>INDEX(Stammdaten[Abholzigkeit (mm/lfm)],MATCH(Tabelle9[[#This Row],[Rank]],Stammdaten[Rank Verteilung Abholzigkeit],0))</f>
        <v>#N/A</v>
      </c>
      <c r="N874" t="e">
        <f>VLOOKUP(Tabelle9[[#This Row],[Rank]],Stammdaten[[Rank Verteilung Abholzigkeit]:[Verteilung Abholzigkeit]],2,FALSE)</f>
        <v>#N/A</v>
      </c>
      <c r="S874">
        <v>865</v>
      </c>
      <c r="T874" t="e">
        <f>INDEX(Stammdaten[Krümmung (mm/lfm)],MATCH(Tabelle10[[#This Row],[Rank]],Stammdaten[Rank Verteilung Krümmung],0))</f>
        <v>#N/A</v>
      </c>
      <c r="U874" t="e">
        <f>VLOOKUP(Tabelle10[[#This Row],[Rank]],Stammdaten[[Rank Verteilung Krümmung]:[Verteilung Krümmung]],2,FALSE)</f>
        <v>#N/A</v>
      </c>
      <c r="Z874">
        <v>865</v>
      </c>
      <c r="AA874" t="e">
        <f>INDEX(Stammdaten[Ovalität (']0,1'])],MATCH(Tabelle1014[[#This Row],[Rank]],Stammdaten[Rank Verteilung Ovalität],0))</f>
        <v>#N/A</v>
      </c>
      <c r="AB874" t="e">
        <f>VLOOKUP(Tabelle1014[[#This Row],[Rank]],Stammdaten[[Rank Verteilung Ovalität]:[Verteilung Ovalität]],2,FALSE)</f>
        <v>#N/A</v>
      </c>
    </row>
    <row r="875" spans="5:28" x14ac:dyDescent="0.35">
      <c r="E875">
        <v>866</v>
      </c>
      <c r="F875" t="e">
        <f>INDEX(Stammdaten[D Mitte mit Rinde (mm)],MATCH(Tabelle8[[#This Row],[Rank]],Stammdaten[Rank Verteilung D Mitte mit Rinde],0))</f>
        <v>#N/A</v>
      </c>
      <c r="G875" t="e">
        <f>VLOOKUP(Tabelle8[[#This Row],[Rank]],Stammdaten[[Rank Verteilung D Mitte mit Rinde]:[Verteilung D Mitte mit Rinde]],2,FALSE)</f>
        <v>#N/A</v>
      </c>
      <c r="L875">
        <v>866</v>
      </c>
      <c r="M875" t="e">
        <f>INDEX(Stammdaten[Abholzigkeit (mm/lfm)],MATCH(Tabelle9[[#This Row],[Rank]],Stammdaten[Rank Verteilung Abholzigkeit],0))</f>
        <v>#N/A</v>
      </c>
      <c r="N875" t="e">
        <f>VLOOKUP(Tabelle9[[#This Row],[Rank]],Stammdaten[[Rank Verteilung Abholzigkeit]:[Verteilung Abholzigkeit]],2,FALSE)</f>
        <v>#N/A</v>
      </c>
      <c r="S875">
        <v>866</v>
      </c>
      <c r="T875" t="e">
        <f>INDEX(Stammdaten[Krümmung (mm/lfm)],MATCH(Tabelle10[[#This Row],[Rank]],Stammdaten[Rank Verteilung Krümmung],0))</f>
        <v>#N/A</v>
      </c>
      <c r="U875" t="e">
        <f>VLOOKUP(Tabelle10[[#This Row],[Rank]],Stammdaten[[Rank Verteilung Krümmung]:[Verteilung Krümmung]],2,FALSE)</f>
        <v>#N/A</v>
      </c>
      <c r="Z875">
        <v>866</v>
      </c>
      <c r="AA875" t="e">
        <f>INDEX(Stammdaten[Ovalität (']0,1'])],MATCH(Tabelle1014[[#This Row],[Rank]],Stammdaten[Rank Verteilung Ovalität],0))</f>
        <v>#N/A</v>
      </c>
      <c r="AB875" t="e">
        <f>VLOOKUP(Tabelle1014[[#This Row],[Rank]],Stammdaten[[Rank Verteilung Ovalität]:[Verteilung Ovalität]],2,FALSE)</f>
        <v>#N/A</v>
      </c>
    </row>
    <row r="876" spans="5:28" x14ac:dyDescent="0.35">
      <c r="E876">
        <v>867</v>
      </c>
      <c r="F876" t="e">
        <f>INDEX(Stammdaten[D Mitte mit Rinde (mm)],MATCH(Tabelle8[[#This Row],[Rank]],Stammdaten[Rank Verteilung D Mitte mit Rinde],0))</f>
        <v>#N/A</v>
      </c>
      <c r="G876" t="e">
        <f>VLOOKUP(Tabelle8[[#This Row],[Rank]],Stammdaten[[Rank Verteilung D Mitte mit Rinde]:[Verteilung D Mitte mit Rinde]],2,FALSE)</f>
        <v>#N/A</v>
      </c>
      <c r="L876">
        <v>867</v>
      </c>
      <c r="M876" t="e">
        <f>INDEX(Stammdaten[Abholzigkeit (mm/lfm)],MATCH(Tabelle9[[#This Row],[Rank]],Stammdaten[Rank Verteilung Abholzigkeit],0))</f>
        <v>#N/A</v>
      </c>
      <c r="N876" t="e">
        <f>VLOOKUP(Tabelle9[[#This Row],[Rank]],Stammdaten[[Rank Verteilung Abholzigkeit]:[Verteilung Abholzigkeit]],2,FALSE)</f>
        <v>#N/A</v>
      </c>
      <c r="S876">
        <v>867</v>
      </c>
      <c r="T876" t="e">
        <f>INDEX(Stammdaten[Krümmung (mm/lfm)],MATCH(Tabelle10[[#This Row],[Rank]],Stammdaten[Rank Verteilung Krümmung],0))</f>
        <v>#N/A</v>
      </c>
      <c r="U876" t="e">
        <f>VLOOKUP(Tabelle10[[#This Row],[Rank]],Stammdaten[[Rank Verteilung Krümmung]:[Verteilung Krümmung]],2,FALSE)</f>
        <v>#N/A</v>
      </c>
      <c r="Z876">
        <v>867</v>
      </c>
      <c r="AA876" t="e">
        <f>INDEX(Stammdaten[Ovalität (']0,1'])],MATCH(Tabelle1014[[#This Row],[Rank]],Stammdaten[Rank Verteilung Ovalität],0))</f>
        <v>#N/A</v>
      </c>
      <c r="AB876" t="e">
        <f>VLOOKUP(Tabelle1014[[#This Row],[Rank]],Stammdaten[[Rank Verteilung Ovalität]:[Verteilung Ovalität]],2,FALSE)</f>
        <v>#N/A</v>
      </c>
    </row>
    <row r="877" spans="5:28" x14ac:dyDescent="0.35">
      <c r="E877">
        <v>868</v>
      </c>
      <c r="F877" t="e">
        <f>INDEX(Stammdaten[D Mitte mit Rinde (mm)],MATCH(Tabelle8[[#This Row],[Rank]],Stammdaten[Rank Verteilung D Mitte mit Rinde],0))</f>
        <v>#N/A</v>
      </c>
      <c r="G877" t="e">
        <f>VLOOKUP(Tabelle8[[#This Row],[Rank]],Stammdaten[[Rank Verteilung D Mitte mit Rinde]:[Verteilung D Mitte mit Rinde]],2,FALSE)</f>
        <v>#N/A</v>
      </c>
      <c r="L877">
        <v>868</v>
      </c>
      <c r="M877" t="e">
        <f>INDEX(Stammdaten[Abholzigkeit (mm/lfm)],MATCH(Tabelle9[[#This Row],[Rank]],Stammdaten[Rank Verteilung Abholzigkeit],0))</f>
        <v>#N/A</v>
      </c>
      <c r="N877" t="e">
        <f>VLOOKUP(Tabelle9[[#This Row],[Rank]],Stammdaten[[Rank Verteilung Abholzigkeit]:[Verteilung Abholzigkeit]],2,FALSE)</f>
        <v>#N/A</v>
      </c>
      <c r="S877">
        <v>868</v>
      </c>
      <c r="T877" t="e">
        <f>INDEX(Stammdaten[Krümmung (mm/lfm)],MATCH(Tabelle10[[#This Row],[Rank]],Stammdaten[Rank Verteilung Krümmung],0))</f>
        <v>#N/A</v>
      </c>
      <c r="U877" t="e">
        <f>VLOOKUP(Tabelle10[[#This Row],[Rank]],Stammdaten[[Rank Verteilung Krümmung]:[Verteilung Krümmung]],2,FALSE)</f>
        <v>#N/A</v>
      </c>
      <c r="Z877">
        <v>868</v>
      </c>
      <c r="AA877" t="e">
        <f>INDEX(Stammdaten[Ovalität (']0,1'])],MATCH(Tabelle1014[[#This Row],[Rank]],Stammdaten[Rank Verteilung Ovalität],0))</f>
        <v>#N/A</v>
      </c>
      <c r="AB877" t="e">
        <f>VLOOKUP(Tabelle1014[[#This Row],[Rank]],Stammdaten[[Rank Verteilung Ovalität]:[Verteilung Ovalität]],2,FALSE)</f>
        <v>#N/A</v>
      </c>
    </row>
    <row r="878" spans="5:28" x14ac:dyDescent="0.35">
      <c r="E878">
        <v>869</v>
      </c>
      <c r="F878" t="e">
        <f>INDEX(Stammdaten[D Mitte mit Rinde (mm)],MATCH(Tabelle8[[#This Row],[Rank]],Stammdaten[Rank Verteilung D Mitte mit Rinde],0))</f>
        <v>#N/A</v>
      </c>
      <c r="G878" t="e">
        <f>VLOOKUP(Tabelle8[[#This Row],[Rank]],Stammdaten[[Rank Verteilung D Mitte mit Rinde]:[Verteilung D Mitte mit Rinde]],2,FALSE)</f>
        <v>#N/A</v>
      </c>
      <c r="L878">
        <v>869</v>
      </c>
      <c r="M878" t="e">
        <f>INDEX(Stammdaten[Abholzigkeit (mm/lfm)],MATCH(Tabelle9[[#This Row],[Rank]],Stammdaten[Rank Verteilung Abholzigkeit],0))</f>
        <v>#N/A</v>
      </c>
      <c r="N878" t="e">
        <f>VLOOKUP(Tabelle9[[#This Row],[Rank]],Stammdaten[[Rank Verteilung Abholzigkeit]:[Verteilung Abholzigkeit]],2,FALSE)</f>
        <v>#N/A</v>
      </c>
      <c r="S878">
        <v>869</v>
      </c>
      <c r="T878" t="e">
        <f>INDEX(Stammdaten[Krümmung (mm/lfm)],MATCH(Tabelle10[[#This Row],[Rank]],Stammdaten[Rank Verteilung Krümmung],0))</f>
        <v>#N/A</v>
      </c>
      <c r="U878" t="e">
        <f>VLOOKUP(Tabelle10[[#This Row],[Rank]],Stammdaten[[Rank Verteilung Krümmung]:[Verteilung Krümmung]],2,FALSE)</f>
        <v>#N/A</v>
      </c>
      <c r="Z878">
        <v>869</v>
      </c>
      <c r="AA878" t="e">
        <f>INDEX(Stammdaten[Ovalität (']0,1'])],MATCH(Tabelle1014[[#This Row],[Rank]],Stammdaten[Rank Verteilung Ovalität],0))</f>
        <v>#N/A</v>
      </c>
      <c r="AB878" t="e">
        <f>VLOOKUP(Tabelle1014[[#This Row],[Rank]],Stammdaten[[Rank Verteilung Ovalität]:[Verteilung Ovalität]],2,FALSE)</f>
        <v>#N/A</v>
      </c>
    </row>
    <row r="879" spans="5:28" x14ac:dyDescent="0.35">
      <c r="E879">
        <v>870</v>
      </c>
      <c r="F879" t="e">
        <f>INDEX(Stammdaten[D Mitte mit Rinde (mm)],MATCH(Tabelle8[[#This Row],[Rank]],Stammdaten[Rank Verteilung D Mitte mit Rinde],0))</f>
        <v>#N/A</v>
      </c>
      <c r="G879" t="e">
        <f>VLOOKUP(Tabelle8[[#This Row],[Rank]],Stammdaten[[Rank Verteilung D Mitte mit Rinde]:[Verteilung D Mitte mit Rinde]],2,FALSE)</f>
        <v>#N/A</v>
      </c>
      <c r="L879">
        <v>870</v>
      </c>
      <c r="M879" t="e">
        <f>INDEX(Stammdaten[Abholzigkeit (mm/lfm)],MATCH(Tabelle9[[#This Row],[Rank]],Stammdaten[Rank Verteilung Abholzigkeit],0))</f>
        <v>#N/A</v>
      </c>
      <c r="N879" t="e">
        <f>VLOOKUP(Tabelle9[[#This Row],[Rank]],Stammdaten[[Rank Verteilung Abholzigkeit]:[Verteilung Abholzigkeit]],2,FALSE)</f>
        <v>#N/A</v>
      </c>
      <c r="S879">
        <v>870</v>
      </c>
      <c r="T879" t="e">
        <f>INDEX(Stammdaten[Krümmung (mm/lfm)],MATCH(Tabelle10[[#This Row],[Rank]],Stammdaten[Rank Verteilung Krümmung],0))</f>
        <v>#N/A</v>
      </c>
      <c r="U879" t="e">
        <f>VLOOKUP(Tabelle10[[#This Row],[Rank]],Stammdaten[[Rank Verteilung Krümmung]:[Verteilung Krümmung]],2,FALSE)</f>
        <v>#N/A</v>
      </c>
      <c r="Z879">
        <v>870</v>
      </c>
      <c r="AA879" t="e">
        <f>INDEX(Stammdaten[Ovalität (']0,1'])],MATCH(Tabelle1014[[#This Row],[Rank]],Stammdaten[Rank Verteilung Ovalität],0))</f>
        <v>#N/A</v>
      </c>
      <c r="AB879" t="e">
        <f>VLOOKUP(Tabelle1014[[#This Row],[Rank]],Stammdaten[[Rank Verteilung Ovalität]:[Verteilung Ovalität]],2,FALSE)</f>
        <v>#N/A</v>
      </c>
    </row>
    <row r="880" spans="5:28" x14ac:dyDescent="0.35">
      <c r="E880">
        <v>871</v>
      </c>
      <c r="F880" t="e">
        <f>INDEX(Stammdaten[D Mitte mit Rinde (mm)],MATCH(Tabelle8[[#This Row],[Rank]],Stammdaten[Rank Verteilung D Mitte mit Rinde],0))</f>
        <v>#N/A</v>
      </c>
      <c r="G880" t="e">
        <f>VLOOKUP(Tabelle8[[#This Row],[Rank]],Stammdaten[[Rank Verteilung D Mitte mit Rinde]:[Verteilung D Mitte mit Rinde]],2,FALSE)</f>
        <v>#N/A</v>
      </c>
      <c r="L880">
        <v>871</v>
      </c>
      <c r="M880" t="e">
        <f>INDEX(Stammdaten[Abholzigkeit (mm/lfm)],MATCH(Tabelle9[[#This Row],[Rank]],Stammdaten[Rank Verteilung Abholzigkeit],0))</f>
        <v>#N/A</v>
      </c>
      <c r="N880" t="e">
        <f>VLOOKUP(Tabelle9[[#This Row],[Rank]],Stammdaten[[Rank Verteilung Abholzigkeit]:[Verteilung Abholzigkeit]],2,FALSE)</f>
        <v>#N/A</v>
      </c>
      <c r="S880">
        <v>871</v>
      </c>
      <c r="T880" t="e">
        <f>INDEX(Stammdaten[Krümmung (mm/lfm)],MATCH(Tabelle10[[#This Row],[Rank]],Stammdaten[Rank Verteilung Krümmung],0))</f>
        <v>#N/A</v>
      </c>
      <c r="U880" t="e">
        <f>VLOOKUP(Tabelle10[[#This Row],[Rank]],Stammdaten[[Rank Verteilung Krümmung]:[Verteilung Krümmung]],2,FALSE)</f>
        <v>#N/A</v>
      </c>
      <c r="Z880">
        <v>871</v>
      </c>
      <c r="AA880" t="e">
        <f>INDEX(Stammdaten[Ovalität (']0,1'])],MATCH(Tabelle1014[[#This Row],[Rank]],Stammdaten[Rank Verteilung Ovalität],0))</f>
        <v>#N/A</v>
      </c>
      <c r="AB880" t="e">
        <f>VLOOKUP(Tabelle1014[[#This Row],[Rank]],Stammdaten[[Rank Verteilung Ovalität]:[Verteilung Ovalität]],2,FALSE)</f>
        <v>#N/A</v>
      </c>
    </row>
    <row r="881" spans="5:28" x14ac:dyDescent="0.35">
      <c r="E881">
        <v>872</v>
      </c>
      <c r="F881" t="e">
        <f>INDEX(Stammdaten[D Mitte mit Rinde (mm)],MATCH(Tabelle8[[#This Row],[Rank]],Stammdaten[Rank Verteilung D Mitte mit Rinde],0))</f>
        <v>#N/A</v>
      </c>
      <c r="G881" t="e">
        <f>VLOOKUP(Tabelle8[[#This Row],[Rank]],Stammdaten[[Rank Verteilung D Mitte mit Rinde]:[Verteilung D Mitte mit Rinde]],2,FALSE)</f>
        <v>#N/A</v>
      </c>
      <c r="L881">
        <v>872</v>
      </c>
      <c r="M881" t="e">
        <f>INDEX(Stammdaten[Abholzigkeit (mm/lfm)],MATCH(Tabelle9[[#This Row],[Rank]],Stammdaten[Rank Verteilung Abholzigkeit],0))</f>
        <v>#N/A</v>
      </c>
      <c r="N881" t="e">
        <f>VLOOKUP(Tabelle9[[#This Row],[Rank]],Stammdaten[[Rank Verteilung Abholzigkeit]:[Verteilung Abholzigkeit]],2,FALSE)</f>
        <v>#N/A</v>
      </c>
      <c r="S881">
        <v>872</v>
      </c>
      <c r="T881" t="e">
        <f>INDEX(Stammdaten[Krümmung (mm/lfm)],MATCH(Tabelle10[[#This Row],[Rank]],Stammdaten[Rank Verteilung Krümmung],0))</f>
        <v>#N/A</v>
      </c>
      <c r="U881" t="e">
        <f>VLOOKUP(Tabelle10[[#This Row],[Rank]],Stammdaten[[Rank Verteilung Krümmung]:[Verteilung Krümmung]],2,FALSE)</f>
        <v>#N/A</v>
      </c>
      <c r="Z881">
        <v>872</v>
      </c>
      <c r="AA881" t="e">
        <f>INDEX(Stammdaten[Ovalität (']0,1'])],MATCH(Tabelle1014[[#This Row],[Rank]],Stammdaten[Rank Verteilung Ovalität],0))</f>
        <v>#N/A</v>
      </c>
      <c r="AB881" t="e">
        <f>VLOOKUP(Tabelle1014[[#This Row],[Rank]],Stammdaten[[Rank Verteilung Ovalität]:[Verteilung Ovalität]],2,FALSE)</f>
        <v>#N/A</v>
      </c>
    </row>
    <row r="882" spans="5:28" x14ac:dyDescent="0.35">
      <c r="E882">
        <v>873</v>
      </c>
      <c r="F882" t="e">
        <f>INDEX(Stammdaten[D Mitte mit Rinde (mm)],MATCH(Tabelle8[[#This Row],[Rank]],Stammdaten[Rank Verteilung D Mitte mit Rinde],0))</f>
        <v>#N/A</v>
      </c>
      <c r="G882" t="e">
        <f>VLOOKUP(Tabelle8[[#This Row],[Rank]],Stammdaten[[Rank Verteilung D Mitte mit Rinde]:[Verteilung D Mitte mit Rinde]],2,FALSE)</f>
        <v>#N/A</v>
      </c>
      <c r="L882">
        <v>873</v>
      </c>
      <c r="M882" t="e">
        <f>INDEX(Stammdaten[Abholzigkeit (mm/lfm)],MATCH(Tabelle9[[#This Row],[Rank]],Stammdaten[Rank Verteilung Abholzigkeit],0))</f>
        <v>#N/A</v>
      </c>
      <c r="N882" t="e">
        <f>VLOOKUP(Tabelle9[[#This Row],[Rank]],Stammdaten[[Rank Verteilung Abholzigkeit]:[Verteilung Abholzigkeit]],2,FALSE)</f>
        <v>#N/A</v>
      </c>
      <c r="S882">
        <v>873</v>
      </c>
      <c r="T882" t="e">
        <f>INDEX(Stammdaten[Krümmung (mm/lfm)],MATCH(Tabelle10[[#This Row],[Rank]],Stammdaten[Rank Verteilung Krümmung],0))</f>
        <v>#N/A</v>
      </c>
      <c r="U882" t="e">
        <f>VLOOKUP(Tabelle10[[#This Row],[Rank]],Stammdaten[[Rank Verteilung Krümmung]:[Verteilung Krümmung]],2,FALSE)</f>
        <v>#N/A</v>
      </c>
      <c r="Z882">
        <v>873</v>
      </c>
      <c r="AA882" t="e">
        <f>INDEX(Stammdaten[Ovalität (']0,1'])],MATCH(Tabelle1014[[#This Row],[Rank]],Stammdaten[Rank Verteilung Ovalität],0))</f>
        <v>#N/A</v>
      </c>
      <c r="AB882" t="e">
        <f>VLOOKUP(Tabelle1014[[#This Row],[Rank]],Stammdaten[[Rank Verteilung Ovalität]:[Verteilung Ovalität]],2,FALSE)</f>
        <v>#N/A</v>
      </c>
    </row>
    <row r="883" spans="5:28" x14ac:dyDescent="0.35">
      <c r="E883">
        <v>874</v>
      </c>
      <c r="F883" t="e">
        <f>INDEX(Stammdaten[D Mitte mit Rinde (mm)],MATCH(Tabelle8[[#This Row],[Rank]],Stammdaten[Rank Verteilung D Mitte mit Rinde],0))</f>
        <v>#N/A</v>
      </c>
      <c r="G883" t="e">
        <f>VLOOKUP(Tabelle8[[#This Row],[Rank]],Stammdaten[[Rank Verteilung D Mitte mit Rinde]:[Verteilung D Mitte mit Rinde]],2,FALSE)</f>
        <v>#N/A</v>
      </c>
      <c r="L883">
        <v>874</v>
      </c>
      <c r="M883" t="e">
        <f>INDEX(Stammdaten[Abholzigkeit (mm/lfm)],MATCH(Tabelle9[[#This Row],[Rank]],Stammdaten[Rank Verteilung Abholzigkeit],0))</f>
        <v>#N/A</v>
      </c>
      <c r="N883" t="e">
        <f>VLOOKUP(Tabelle9[[#This Row],[Rank]],Stammdaten[[Rank Verteilung Abholzigkeit]:[Verteilung Abholzigkeit]],2,FALSE)</f>
        <v>#N/A</v>
      </c>
      <c r="S883">
        <v>874</v>
      </c>
      <c r="T883" t="e">
        <f>INDEX(Stammdaten[Krümmung (mm/lfm)],MATCH(Tabelle10[[#This Row],[Rank]],Stammdaten[Rank Verteilung Krümmung],0))</f>
        <v>#N/A</v>
      </c>
      <c r="U883" t="e">
        <f>VLOOKUP(Tabelle10[[#This Row],[Rank]],Stammdaten[[Rank Verteilung Krümmung]:[Verteilung Krümmung]],2,FALSE)</f>
        <v>#N/A</v>
      </c>
      <c r="Z883">
        <v>874</v>
      </c>
      <c r="AA883" t="e">
        <f>INDEX(Stammdaten[Ovalität (']0,1'])],MATCH(Tabelle1014[[#This Row],[Rank]],Stammdaten[Rank Verteilung Ovalität],0))</f>
        <v>#N/A</v>
      </c>
      <c r="AB883" t="e">
        <f>VLOOKUP(Tabelle1014[[#This Row],[Rank]],Stammdaten[[Rank Verteilung Ovalität]:[Verteilung Ovalität]],2,FALSE)</f>
        <v>#N/A</v>
      </c>
    </row>
    <row r="884" spans="5:28" x14ac:dyDescent="0.35">
      <c r="E884">
        <v>875</v>
      </c>
      <c r="F884" t="e">
        <f>INDEX(Stammdaten[D Mitte mit Rinde (mm)],MATCH(Tabelle8[[#This Row],[Rank]],Stammdaten[Rank Verteilung D Mitte mit Rinde],0))</f>
        <v>#N/A</v>
      </c>
      <c r="G884" t="e">
        <f>VLOOKUP(Tabelle8[[#This Row],[Rank]],Stammdaten[[Rank Verteilung D Mitte mit Rinde]:[Verteilung D Mitte mit Rinde]],2,FALSE)</f>
        <v>#N/A</v>
      </c>
      <c r="L884">
        <v>875</v>
      </c>
      <c r="M884" t="e">
        <f>INDEX(Stammdaten[Abholzigkeit (mm/lfm)],MATCH(Tabelle9[[#This Row],[Rank]],Stammdaten[Rank Verteilung Abholzigkeit],0))</f>
        <v>#N/A</v>
      </c>
      <c r="N884" t="e">
        <f>VLOOKUP(Tabelle9[[#This Row],[Rank]],Stammdaten[[Rank Verteilung Abholzigkeit]:[Verteilung Abholzigkeit]],2,FALSE)</f>
        <v>#N/A</v>
      </c>
      <c r="S884">
        <v>875</v>
      </c>
      <c r="T884" t="e">
        <f>INDEX(Stammdaten[Krümmung (mm/lfm)],MATCH(Tabelle10[[#This Row],[Rank]],Stammdaten[Rank Verteilung Krümmung],0))</f>
        <v>#N/A</v>
      </c>
      <c r="U884" t="e">
        <f>VLOOKUP(Tabelle10[[#This Row],[Rank]],Stammdaten[[Rank Verteilung Krümmung]:[Verteilung Krümmung]],2,FALSE)</f>
        <v>#N/A</v>
      </c>
      <c r="Z884">
        <v>875</v>
      </c>
      <c r="AA884" t="e">
        <f>INDEX(Stammdaten[Ovalität (']0,1'])],MATCH(Tabelle1014[[#This Row],[Rank]],Stammdaten[Rank Verteilung Ovalität],0))</f>
        <v>#N/A</v>
      </c>
      <c r="AB884" t="e">
        <f>VLOOKUP(Tabelle1014[[#This Row],[Rank]],Stammdaten[[Rank Verteilung Ovalität]:[Verteilung Ovalität]],2,FALSE)</f>
        <v>#N/A</v>
      </c>
    </row>
    <row r="885" spans="5:28" x14ac:dyDescent="0.35">
      <c r="E885">
        <v>876</v>
      </c>
      <c r="F885" t="e">
        <f>INDEX(Stammdaten[D Mitte mit Rinde (mm)],MATCH(Tabelle8[[#This Row],[Rank]],Stammdaten[Rank Verteilung D Mitte mit Rinde],0))</f>
        <v>#N/A</v>
      </c>
      <c r="G885" t="e">
        <f>VLOOKUP(Tabelle8[[#This Row],[Rank]],Stammdaten[[Rank Verteilung D Mitte mit Rinde]:[Verteilung D Mitte mit Rinde]],2,FALSE)</f>
        <v>#N/A</v>
      </c>
      <c r="L885">
        <v>876</v>
      </c>
      <c r="M885" t="e">
        <f>INDEX(Stammdaten[Abholzigkeit (mm/lfm)],MATCH(Tabelle9[[#This Row],[Rank]],Stammdaten[Rank Verteilung Abholzigkeit],0))</f>
        <v>#N/A</v>
      </c>
      <c r="N885" t="e">
        <f>VLOOKUP(Tabelle9[[#This Row],[Rank]],Stammdaten[[Rank Verteilung Abholzigkeit]:[Verteilung Abholzigkeit]],2,FALSE)</f>
        <v>#N/A</v>
      </c>
      <c r="S885">
        <v>876</v>
      </c>
      <c r="T885" t="e">
        <f>INDEX(Stammdaten[Krümmung (mm/lfm)],MATCH(Tabelle10[[#This Row],[Rank]],Stammdaten[Rank Verteilung Krümmung],0))</f>
        <v>#N/A</v>
      </c>
      <c r="U885" t="e">
        <f>VLOOKUP(Tabelle10[[#This Row],[Rank]],Stammdaten[[Rank Verteilung Krümmung]:[Verteilung Krümmung]],2,FALSE)</f>
        <v>#N/A</v>
      </c>
      <c r="Z885">
        <v>876</v>
      </c>
      <c r="AA885" t="e">
        <f>INDEX(Stammdaten[Ovalität (']0,1'])],MATCH(Tabelle1014[[#This Row],[Rank]],Stammdaten[Rank Verteilung Ovalität],0))</f>
        <v>#N/A</v>
      </c>
      <c r="AB885" t="e">
        <f>VLOOKUP(Tabelle1014[[#This Row],[Rank]],Stammdaten[[Rank Verteilung Ovalität]:[Verteilung Ovalität]],2,FALSE)</f>
        <v>#N/A</v>
      </c>
    </row>
    <row r="886" spans="5:28" x14ac:dyDescent="0.35">
      <c r="E886">
        <v>877</v>
      </c>
      <c r="F886" t="e">
        <f>INDEX(Stammdaten[D Mitte mit Rinde (mm)],MATCH(Tabelle8[[#This Row],[Rank]],Stammdaten[Rank Verteilung D Mitte mit Rinde],0))</f>
        <v>#N/A</v>
      </c>
      <c r="G886" t="e">
        <f>VLOOKUP(Tabelle8[[#This Row],[Rank]],Stammdaten[[Rank Verteilung D Mitte mit Rinde]:[Verteilung D Mitte mit Rinde]],2,FALSE)</f>
        <v>#N/A</v>
      </c>
      <c r="L886">
        <v>877</v>
      </c>
      <c r="M886" t="e">
        <f>INDEX(Stammdaten[Abholzigkeit (mm/lfm)],MATCH(Tabelle9[[#This Row],[Rank]],Stammdaten[Rank Verteilung Abholzigkeit],0))</f>
        <v>#N/A</v>
      </c>
      <c r="N886" t="e">
        <f>VLOOKUP(Tabelle9[[#This Row],[Rank]],Stammdaten[[Rank Verteilung Abholzigkeit]:[Verteilung Abholzigkeit]],2,FALSE)</f>
        <v>#N/A</v>
      </c>
      <c r="S886">
        <v>877</v>
      </c>
      <c r="T886" t="e">
        <f>INDEX(Stammdaten[Krümmung (mm/lfm)],MATCH(Tabelle10[[#This Row],[Rank]],Stammdaten[Rank Verteilung Krümmung],0))</f>
        <v>#N/A</v>
      </c>
      <c r="U886" t="e">
        <f>VLOOKUP(Tabelle10[[#This Row],[Rank]],Stammdaten[[Rank Verteilung Krümmung]:[Verteilung Krümmung]],2,FALSE)</f>
        <v>#N/A</v>
      </c>
      <c r="Z886">
        <v>877</v>
      </c>
      <c r="AA886" t="e">
        <f>INDEX(Stammdaten[Ovalität (']0,1'])],MATCH(Tabelle1014[[#This Row],[Rank]],Stammdaten[Rank Verteilung Ovalität],0))</f>
        <v>#N/A</v>
      </c>
      <c r="AB886" t="e">
        <f>VLOOKUP(Tabelle1014[[#This Row],[Rank]],Stammdaten[[Rank Verteilung Ovalität]:[Verteilung Ovalität]],2,FALSE)</f>
        <v>#N/A</v>
      </c>
    </row>
    <row r="887" spans="5:28" x14ac:dyDescent="0.35">
      <c r="E887">
        <v>878</v>
      </c>
      <c r="F887" t="e">
        <f>INDEX(Stammdaten[D Mitte mit Rinde (mm)],MATCH(Tabelle8[[#This Row],[Rank]],Stammdaten[Rank Verteilung D Mitte mit Rinde],0))</f>
        <v>#N/A</v>
      </c>
      <c r="G887" t="e">
        <f>VLOOKUP(Tabelle8[[#This Row],[Rank]],Stammdaten[[Rank Verteilung D Mitte mit Rinde]:[Verteilung D Mitte mit Rinde]],2,FALSE)</f>
        <v>#N/A</v>
      </c>
      <c r="L887">
        <v>878</v>
      </c>
      <c r="M887" t="e">
        <f>INDEX(Stammdaten[Abholzigkeit (mm/lfm)],MATCH(Tabelle9[[#This Row],[Rank]],Stammdaten[Rank Verteilung Abholzigkeit],0))</f>
        <v>#N/A</v>
      </c>
      <c r="N887" t="e">
        <f>VLOOKUP(Tabelle9[[#This Row],[Rank]],Stammdaten[[Rank Verteilung Abholzigkeit]:[Verteilung Abholzigkeit]],2,FALSE)</f>
        <v>#N/A</v>
      </c>
      <c r="S887">
        <v>878</v>
      </c>
      <c r="T887" t="e">
        <f>INDEX(Stammdaten[Krümmung (mm/lfm)],MATCH(Tabelle10[[#This Row],[Rank]],Stammdaten[Rank Verteilung Krümmung],0))</f>
        <v>#N/A</v>
      </c>
      <c r="U887" t="e">
        <f>VLOOKUP(Tabelle10[[#This Row],[Rank]],Stammdaten[[Rank Verteilung Krümmung]:[Verteilung Krümmung]],2,FALSE)</f>
        <v>#N/A</v>
      </c>
      <c r="Z887">
        <v>878</v>
      </c>
      <c r="AA887" t="e">
        <f>INDEX(Stammdaten[Ovalität (']0,1'])],MATCH(Tabelle1014[[#This Row],[Rank]],Stammdaten[Rank Verteilung Ovalität],0))</f>
        <v>#N/A</v>
      </c>
      <c r="AB887" t="e">
        <f>VLOOKUP(Tabelle1014[[#This Row],[Rank]],Stammdaten[[Rank Verteilung Ovalität]:[Verteilung Ovalität]],2,FALSE)</f>
        <v>#N/A</v>
      </c>
    </row>
    <row r="888" spans="5:28" x14ac:dyDescent="0.35">
      <c r="E888">
        <v>879</v>
      </c>
      <c r="F888" t="e">
        <f>INDEX(Stammdaten[D Mitte mit Rinde (mm)],MATCH(Tabelle8[[#This Row],[Rank]],Stammdaten[Rank Verteilung D Mitte mit Rinde],0))</f>
        <v>#N/A</v>
      </c>
      <c r="G888" t="e">
        <f>VLOOKUP(Tabelle8[[#This Row],[Rank]],Stammdaten[[Rank Verteilung D Mitte mit Rinde]:[Verteilung D Mitte mit Rinde]],2,FALSE)</f>
        <v>#N/A</v>
      </c>
      <c r="L888">
        <v>879</v>
      </c>
      <c r="M888" t="e">
        <f>INDEX(Stammdaten[Abholzigkeit (mm/lfm)],MATCH(Tabelle9[[#This Row],[Rank]],Stammdaten[Rank Verteilung Abholzigkeit],0))</f>
        <v>#N/A</v>
      </c>
      <c r="N888" t="e">
        <f>VLOOKUP(Tabelle9[[#This Row],[Rank]],Stammdaten[[Rank Verteilung Abholzigkeit]:[Verteilung Abholzigkeit]],2,FALSE)</f>
        <v>#N/A</v>
      </c>
      <c r="S888">
        <v>879</v>
      </c>
      <c r="T888" t="e">
        <f>INDEX(Stammdaten[Krümmung (mm/lfm)],MATCH(Tabelle10[[#This Row],[Rank]],Stammdaten[Rank Verteilung Krümmung],0))</f>
        <v>#N/A</v>
      </c>
      <c r="U888" t="e">
        <f>VLOOKUP(Tabelle10[[#This Row],[Rank]],Stammdaten[[Rank Verteilung Krümmung]:[Verteilung Krümmung]],2,FALSE)</f>
        <v>#N/A</v>
      </c>
      <c r="Z888">
        <v>879</v>
      </c>
      <c r="AA888" t="e">
        <f>INDEX(Stammdaten[Ovalität (']0,1'])],MATCH(Tabelle1014[[#This Row],[Rank]],Stammdaten[Rank Verteilung Ovalität],0))</f>
        <v>#N/A</v>
      </c>
      <c r="AB888" t="e">
        <f>VLOOKUP(Tabelle1014[[#This Row],[Rank]],Stammdaten[[Rank Verteilung Ovalität]:[Verteilung Ovalität]],2,FALSE)</f>
        <v>#N/A</v>
      </c>
    </row>
    <row r="889" spans="5:28" x14ac:dyDescent="0.35">
      <c r="E889">
        <v>880</v>
      </c>
      <c r="F889" t="e">
        <f>INDEX(Stammdaten[D Mitte mit Rinde (mm)],MATCH(Tabelle8[[#This Row],[Rank]],Stammdaten[Rank Verteilung D Mitte mit Rinde],0))</f>
        <v>#N/A</v>
      </c>
      <c r="G889" t="e">
        <f>VLOOKUP(Tabelle8[[#This Row],[Rank]],Stammdaten[[Rank Verteilung D Mitte mit Rinde]:[Verteilung D Mitte mit Rinde]],2,FALSE)</f>
        <v>#N/A</v>
      </c>
      <c r="L889">
        <v>880</v>
      </c>
      <c r="M889" t="e">
        <f>INDEX(Stammdaten[Abholzigkeit (mm/lfm)],MATCH(Tabelle9[[#This Row],[Rank]],Stammdaten[Rank Verteilung Abholzigkeit],0))</f>
        <v>#N/A</v>
      </c>
      <c r="N889" t="e">
        <f>VLOOKUP(Tabelle9[[#This Row],[Rank]],Stammdaten[[Rank Verteilung Abholzigkeit]:[Verteilung Abholzigkeit]],2,FALSE)</f>
        <v>#N/A</v>
      </c>
      <c r="S889">
        <v>880</v>
      </c>
      <c r="T889" t="e">
        <f>INDEX(Stammdaten[Krümmung (mm/lfm)],MATCH(Tabelle10[[#This Row],[Rank]],Stammdaten[Rank Verteilung Krümmung],0))</f>
        <v>#N/A</v>
      </c>
      <c r="U889" t="e">
        <f>VLOOKUP(Tabelle10[[#This Row],[Rank]],Stammdaten[[Rank Verteilung Krümmung]:[Verteilung Krümmung]],2,FALSE)</f>
        <v>#N/A</v>
      </c>
      <c r="Z889">
        <v>880</v>
      </c>
      <c r="AA889" t="e">
        <f>INDEX(Stammdaten[Ovalität (']0,1'])],MATCH(Tabelle1014[[#This Row],[Rank]],Stammdaten[Rank Verteilung Ovalität],0))</f>
        <v>#N/A</v>
      </c>
      <c r="AB889" t="e">
        <f>VLOOKUP(Tabelle1014[[#This Row],[Rank]],Stammdaten[[Rank Verteilung Ovalität]:[Verteilung Ovalität]],2,FALSE)</f>
        <v>#N/A</v>
      </c>
    </row>
    <row r="890" spans="5:28" x14ac:dyDescent="0.35">
      <c r="E890">
        <v>881</v>
      </c>
      <c r="F890" t="e">
        <f>INDEX(Stammdaten[D Mitte mit Rinde (mm)],MATCH(Tabelle8[[#This Row],[Rank]],Stammdaten[Rank Verteilung D Mitte mit Rinde],0))</f>
        <v>#N/A</v>
      </c>
      <c r="G890" t="e">
        <f>VLOOKUP(Tabelle8[[#This Row],[Rank]],Stammdaten[[Rank Verteilung D Mitte mit Rinde]:[Verteilung D Mitte mit Rinde]],2,FALSE)</f>
        <v>#N/A</v>
      </c>
      <c r="L890">
        <v>881</v>
      </c>
      <c r="M890" t="e">
        <f>INDEX(Stammdaten[Abholzigkeit (mm/lfm)],MATCH(Tabelle9[[#This Row],[Rank]],Stammdaten[Rank Verteilung Abholzigkeit],0))</f>
        <v>#N/A</v>
      </c>
      <c r="N890" t="e">
        <f>VLOOKUP(Tabelle9[[#This Row],[Rank]],Stammdaten[[Rank Verteilung Abholzigkeit]:[Verteilung Abholzigkeit]],2,FALSE)</f>
        <v>#N/A</v>
      </c>
      <c r="S890">
        <v>881</v>
      </c>
      <c r="T890" t="e">
        <f>INDEX(Stammdaten[Krümmung (mm/lfm)],MATCH(Tabelle10[[#This Row],[Rank]],Stammdaten[Rank Verteilung Krümmung],0))</f>
        <v>#N/A</v>
      </c>
      <c r="U890" t="e">
        <f>VLOOKUP(Tabelle10[[#This Row],[Rank]],Stammdaten[[Rank Verteilung Krümmung]:[Verteilung Krümmung]],2,FALSE)</f>
        <v>#N/A</v>
      </c>
      <c r="Z890">
        <v>881</v>
      </c>
      <c r="AA890" t="e">
        <f>INDEX(Stammdaten[Ovalität (']0,1'])],MATCH(Tabelle1014[[#This Row],[Rank]],Stammdaten[Rank Verteilung Ovalität],0))</f>
        <v>#N/A</v>
      </c>
      <c r="AB890" t="e">
        <f>VLOOKUP(Tabelle1014[[#This Row],[Rank]],Stammdaten[[Rank Verteilung Ovalität]:[Verteilung Ovalität]],2,FALSE)</f>
        <v>#N/A</v>
      </c>
    </row>
    <row r="891" spans="5:28" x14ac:dyDescent="0.35">
      <c r="E891">
        <v>882</v>
      </c>
      <c r="F891" t="e">
        <f>INDEX(Stammdaten[D Mitte mit Rinde (mm)],MATCH(Tabelle8[[#This Row],[Rank]],Stammdaten[Rank Verteilung D Mitte mit Rinde],0))</f>
        <v>#N/A</v>
      </c>
      <c r="G891" t="e">
        <f>VLOOKUP(Tabelle8[[#This Row],[Rank]],Stammdaten[[Rank Verteilung D Mitte mit Rinde]:[Verteilung D Mitte mit Rinde]],2,FALSE)</f>
        <v>#N/A</v>
      </c>
      <c r="L891">
        <v>882</v>
      </c>
      <c r="M891" t="e">
        <f>INDEX(Stammdaten[Abholzigkeit (mm/lfm)],MATCH(Tabelle9[[#This Row],[Rank]],Stammdaten[Rank Verteilung Abholzigkeit],0))</f>
        <v>#N/A</v>
      </c>
      <c r="N891" t="e">
        <f>VLOOKUP(Tabelle9[[#This Row],[Rank]],Stammdaten[[Rank Verteilung Abholzigkeit]:[Verteilung Abholzigkeit]],2,FALSE)</f>
        <v>#N/A</v>
      </c>
      <c r="S891">
        <v>882</v>
      </c>
      <c r="T891" t="e">
        <f>INDEX(Stammdaten[Krümmung (mm/lfm)],MATCH(Tabelle10[[#This Row],[Rank]],Stammdaten[Rank Verteilung Krümmung],0))</f>
        <v>#N/A</v>
      </c>
      <c r="U891" t="e">
        <f>VLOOKUP(Tabelle10[[#This Row],[Rank]],Stammdaten[[Rank Verteilung Krümmung]:[Verteilung Krümmung]],2,FALSE)</f>
        <v>#N/A</v>
      </c>
      <c r="Z891">
        <v>882</v>
      </c>
      <c r="AA891" t="e">
        <f>INDEX(Stammdaten[Ovalität (']0,1'])],MATCH(Tabelle1014[[#This Row],[Rank]],Stammdaten[Rank Verteilung Ovalität],0))</f>
        <v>#N/A</v>
      </c>
      <c r="AB891" t="e">
        <f>VLOOKUP(Tabelle1014[[#This Row],[Rank]],Stammdaten[[Rank Verteilung Ovalität]:[Verteilung Ovalität]],2,FALSE)</f>
        <v>#N/A</v>
      </c>
    </row>
    <row r="892" spans="5:28" x14ac:dyDescent="0.35">
      <c r="E892">
        <v>883</v>
      </c>
      <c r="F892" t="e">
        <f>INDEX(Stammdaten[D Mitte mit Rinde (mm)],MATCH(Tabelle8[[#This Row],[Rank]],Stammdaten[Rank Verteilung D Mitte mit Rinde],0))</f>
        <v>#N/A</v>
      </c>
      <c r="G892" t="e">
        <f>VLOOKUP(Tabelle8[[#This Row],[Rank]],Stammdaten[[Rank Verteilung D Mitte mit Rinde]:[Verteilung D Mitte mit Rinde]],2,FALSE)</f>
        <v>#N/A</v>
      </c>
      <c r="L892">
        <v>883</v>
      </c>
      <c r="M892" t="e">
        <f>INDEX(Stammdaten[Abholzigkeit (mm/lfm)],MATCH(Tabelle9[[#This Row],[Rank]],Stammdaten[Rank Verteilung Abholzigkeit],0))</f>
        <v>#N/A</v>
      </c>
      <c r="N892" t="e">
        <f>VLOOKUP(Tabelle9[[#This Row],[Rank]],Stammdaten[[Rank Verteilung Abholzigkeit]:[Verteilung Abholzigkeit]],2,FALSE)</f>
        <v>#N/A</v>
      </c>
      <c r="S892">
        <v>883</v>
      </c>
      <c r="T892" t="e">
        <f>INDEX(Stammdaten[Krümmung (mm/lfm)],MATCH(Tabelle10[[#This Row],[Rank]],Stammdaten[Rank Verteilung Krümmung],0))</f>
        <v>#N/A</v>
      </c>
      <c r="U892" t="e">
        <f>VLOOKUP(Tabelle10[[#This Row],[Rank]],Stammdaten[[Rank Verteilung Krümmung]:[Verteilung Krümmung]],2,FALSE)</f>
        <v>#N/A</v>
      </c>
      <c r="Z892">
        <v>883</v>
      </c>
      <c r="AA892" t="e">
        <f>INDEX(Stammdaten[Ovalität (']0,1'])],MATCH(Tabelle1014[[#This Row],[Rank]],Stammdaten[Rank Verteilung Ovalität],0))</f>
        <v>#N/A</v>
      </c>
      <c r="AB892" t="e">
        <f>VLOOKUP(Tabelle1014[[#This Row],[Rank]],Stammdaten[[Rank Verteilung Ovalität]:[Verteilung Ovalität]],2,FALSE)</f>
        <v>#N/A</v>
      </c>
    </row>
    <row r="893" spans="5:28" x14ac:dyDescent="0.35">
      <c r="E893">
        <v>884</v>
      </c>
      <c r="F893" t="e">
        <f>INDEX(Stammdaten[D Mitte mit Rinde (mm)],MATCH(Tabelle8[[#This Row],[Rank]],Stammdaten[Rank Verteilung D Mitte mit Rinde],0))</f>
        <v>#N/A</v>
      </c>
      <c r="G893" t="e">
        <f>VLOOKUP(Tabelle8[[#This Row],[Rank]],Stammdaten[[Rank Verteilung D Mitte mit Rinde]:[Verteilung D Mitte mit Rinde]],2,FALSE)</f>
        <v>#N/A</v>
      </c>
      <c r="L893">
        <v>884</v>
      </c>
      <c r="M893" t="e">
        <f>INDEX(Stammdaten[Abholzigkeit (mm/lfm)],MATCH(Tabelle9[[#This Row],[Rank]],Stammdaten[Rank Verteilung Abholzigkeit],0))</f>
        <v>#N/A</v>
      </c>
      <c r="N893" t="e">
        <f>VLOOKUP(Tabelle9[[#This Row],[Rank]],Stammdaten[[Rank Verteilung Abholzigkeit]:[Verteilung Abholzigkeit]],2,FALSE)</f>
        <v>#N/A</v>
      </c>
      <c r="S893">
        <v>884</v>
      </c>
      <c r="T893" t="e">
        <f>INDEX(Stammdaten[Krümmung (mm/lfm)],MATCH(Tabelle10[[#This Row],[Rank]],Stammdaten[Rank Verteilung Krümmung],0))</f>
        <v>#N/A</v>
      </c>
      <c r="U893" t="e">
        <f>VLOOKUP(Tabelle10[[#This Row],[Rank]],Stammdaten[[Rank Verteilung Krümmung]:[Verteilung Krümmung]],2,FALSE)</f>
        <v>#N/A</v>
      </c>
      <c r="Z893">
        <v>884</v>
      </c>
      <c r="AA893" t="e">
        <f>INDEX(Stammdaten[Ovalität (']0,1'])],MATCH(Tabelle1014[[#This Row],[Rank]],Stammdaten[Rank Verteilung Ovalität],0))</f>
        <v>#N/A</v>
      </c>
      <c r="AB893" t="e">
        <f>VLOOKUP(Tabelle1014[[#This Row],[Rank]],Stammdaten[[Rank Verteilung Ovalität]:[Verteilung Ovalität]],2,FALSE)</f>
        <v>#N/A</v>
      </c>
    </row>
    <row r="894" spans="5:28" x14ac:dyDescent="0.35">
      <c r="E894">
        <v>885</v>
      </c>
      <c r="F894" t="e">
        <f>INDEX(Stammdaten[D Mitte mit Rinde (mm)],MATCH(Tabelle8[[#This Row],[Rank]],Stammdaten[Rank Verteilung D Mitte mit Rinde],0))</f>
        <v>#N/A</v>
      </c>
      <c r="G894" t="e">
        <f>VLOOKUP(Tabelle8[[#This Row],[Rank]],Stammdaten[[Rank Verteilung D Mitte mit Rinde]:[Verteilung D Mitte mit Rinde]],2,FALSE)</f>
        <v>#N/A</v>
      </c>
      <c r="L894">
        <v>885</v>
      </c>
      <c r="M894" t="e">
        <f>INDEX(Stammdaten[Abholzigkeit (mm/lfm)],MATCH(Tabelle9[[#This Row],[Rank]],Stammdaten[Rank Verteilung Abholzigkeit],0))</f>
        <v>#N/A</v>
      </c>
      <c r="N894" t="e">
        <f>VLOOKUP(Tabelle9[[#This Row],[Rank]],Stammdaten[[Rank Verteilung Abholzigkeit]:[Verteilung Abholzigkeit]],2,FALSE)</f>
        <v>#N/A</v>
      </c>
      <c r="S894">
        <v>885</v>
      </c>
      <c r="T894" t="e">
        <f>INDEX(Stammdaten[Krümmung (mm/lfm)],MATCH(Tabelle10[[#This Row],[Rank]],Stammdaten[Rank Verteilung Krümmung],0))</f>
        <v>#N/A</v>
      </c>
      <c r="U894" t="e">
        <f>VLOOKUP(Tabelle10[[#This Row],[Rank]],Stammdaten[[Rank Verteilung Krümmung]:[Verteilung Krümmung]],2,FALSE)</f>
        <v>#N/A</v>
      </c>
      <c r="Z894">
        <v>885</v>
      </c>
      <c r="AA894" t="e">
        <f>INDEX(Stammdaten[Ovalität (']0,1'])],MATCH(Tabelle1014[[#This Row],[Rank]],Stammdaten[Rank Verteilung Ovalität],0))</f>
        <v>#N/A</v>
      </c>
      <c r="AB894" t="e">
        <f>VLOOKUP(Tabelle1014[[#This Row],[Rank]],Stammdaten[[Rank Verteilung Ovalität]:[Verteilung Ovalität]],2,FALSE)</f>
        <v>#N/A</v>
      </c>
    </row>
    <row r="895" spans="5:28" x14ac:dyDescent="0.35">
      <c r="E895">
        <v>886</v>
      </c>
      <c r="F895" t="e">
        <f>INDEX(Stammdaten[D Mitte mit Rinde (mm)],MATCH(Tabelle8[[#This Row],[Rank]],Stammdaten[Rank Verteilung D Mitte mit Rinde],0))</f>
        <v>#N/A</v>
      </c>
      <c r="G895" t="e">
        <f>VLOOKUP(Tabelle8[[#This Row],[Rank]],Stammdaten[[Rank Verteilung D Mitte mit Rinde]:[Verteilung D Mitte mit Rinde]],2,FALSE)</f>
        <v>#N/A</v>
      </c>
      <c r="L895">
        <v>886</v>
      </c>
      <c r="M895" t="e">
        <f>INDEX(Stammdaten[Abholzigkeit (mm/lfm)],MATCH(Tabelle9[[#This Row],[Rank]],Stammdaten[Rank Verteilung Abholzigkeit],0))</f>
        <v>#N/A</v>
      </c>
      <c r="N895" t="e">
        <f>VLOOKUP(Tabelle9[[#This Row],[Rank]],Stammdaten[[Rank Verteilung Abholzigkeit]:[Verteilung Abholzigkeit]],2,FALSE)</f>
        <v>#N/A</v>
      </c>
      <c r="S895">
        <v>886</v>
      </c>
      <c r="T895" t="e">
        <f>INDEX(Stammdaten[Krümmung (mm/lfm)],MATCH(Tabelle10[[#This Row],[Rank]],Stammdaten[Rank Verteilung Krümmung],0))</f>
        <v>#N/A</v>
      </c>
      <c r="U895" t="e">
        <f>VLOOKUP(Tabelle10[[#This Row],[Rank]],Stammdaten[[Rank Verteilung Krümmung]:[Verteilung Krümmung]],2,FALSE)</f>
        <v>#N/A</v>
      </c>
      <c r="Z895">
        <v>886</v>
      </c>
      <c r="AA895" t="e">
        <f>INDEX(Stammdaten[Ovalität (']0,1'])],MATCH(Tabelle1014[[#This Row],[Rank]],Stammdaten[Rank Verteilung Ovalität],0))</f>
        <v>#N/A</v>
      </c>
      <c r="AB895" t="e">
        <f>VLOOKUP(Tabelle1014[[#This Row],[Rank]],Stammdaten[[Rank Verteilung Ovalität]:[Verteilung Ovalität]],2,FALSE)</f>
        <v>#N/A</v>
      </c>
    </row>
    <row r="896" spans="5:28" x14ac:dyDescent="0.35">
      <c r="E896">
        <v>887</v>
      </c>
      <c r="F896" t="e">
        <f>INDEX(Stammdaten[D Mitte mit Rinde (mm)],MATCH(Tabelle8[[#This Row],[Rank]],Stammdaten[Rank Verteilung D Mitte mit Rinde],0))</f>
        <v>#N/A</v>
      </c>
      <c r="G896" t="e">
        <f>VLOOKUP(Tabelle8[[#This Row],[Rank]],Stammdaten[[Rank Verteilung D Mitte mit Rinde]:[Verteilung D Mitte mit Rinde]],2,FALSE)</f>
        <v>#N/A</v>
      </c>
      <c r="L896">
        <v>887</v>
      </c>
      <c r="M896" t="e">
        <f>INDEX(Stammdaten[Abholzigkeit (mm/lfm)],MATCH(Tabelle9[[#This Row],[Rank]],Stammdaten[Rank Verteilung Abholzigkeit],0))</f>
        <v>#N/A</v>
      </c>
      <c r="N896" t="e">
        <f>VLOOKUP(Tabelle9[[#This Row],[Rank]],Stammdaten[[Rank Verteilung Abholzigkeit]:[Verteilung Abholzigkeit]],2,FALSE)</f>
        <v>#N/A</v>
      </c>
      <c r="S896">
        <v>887</v>
      </c>
      <c r="T896" t="e">
        <f>INDEX(Stammdaten[Krümmung (mm/lfm)],MATCH(Tabelle10[[#This Row],[Rank]],Stammdaten[Rank Verteilung Krümmung],0))</f>
        <v>#N/A</v>
      </c>
      <c r="U896" t="e">
        <f>VLOOKUP(Tabelle10[[#This Row],[Rank]],Stammdaten[[Rank Verteilung Krümmung]:[Verteilung Krümmung]],2,FALSE)</f>
        <v>#N/A</v>
      </c>
      <c r="Z896">
        <v>887</v>
      </c>
      <c r="AA896" t="e">
        <f>INDEX(Stammdaten[Ovalität (']0,1'])],MATCH(Tabelle1014[[#This Row],[Rank]],Stammdaten[Rank Verteilung Ovalität],0))</f>
        <v>#N/A</v>
      </c>
      <c r="AB896" t="e">
        <f>VLOOKUP(Tabelle1014[[#This Row],[Rank]],Stammdaten[[Rank Verteilung Ovalität]:[Verteilung Ovalität]],2,FALSE)</f>
        <v>#N/A</v>
      </c>
    </row>
    <row r="897" spans="5:28" x14ac:dyDescent="0.35">
      <c r="E897">
        <v>888</v>
      </c>
      <c r="F897" t="e">
        <f>INDEX(Stammdaten[D Mitte mit Rinde (mm)],MATCH(Tabelle8[[#This Row],[Rank]],Stammdaten[Rank Verteilung D Mitte mit Rinde],0))</f>
        <v>#N/A</v>
      </c>
      <c r="G897" t="e">
        <f>VLOOKUP(Tabelle8[[#This Row],[Rank]],Stammdaten[[Rank Verteilung D Mitte mit Rinde]:[Verteilung D Mitte mit Rinde]],2,FALSE)</f>
        <v>#N/A</v>
      </c>
      <c r="L897">
        <v>888</v>
      </c>
      <c r="M897" t="e">
        <f>INDEX(Stammdaten[Abholzigkeit (mm/lfm)],MATCH(Tabelle9[[#This Row],[Rank]],Stammdaten[Rank Verteilung Abholzigkeit],0))</f>
        <v>#N/A</v>
      </c>
      <c r="N897" t="e">
        <f>VLOOKUP(Tabelle9[[#This Row],[Rank]],Stammdaten[[Rank Verteilung Abholzigkeit]:[Verteilung Abholzigkeit]],2,FALSE)</f>
        <v>#N/A</v>
      </c>
      <c r="S897">
        <v>888</v>
      </c>
      <c r="T897" t="e">
        <f>INDEX(Stammdaten[Krümmung (mm/lfm)],MATCH(Tabelle10[[#This Row],[Rank]],Stammdaten[Rank Verteilung Krümmung],0))</f>
        <v>#N/A</v>
      </c>
      <c r="U897" t="e">
        <f>VLOOKUP(Tabelle10[[#This Row],[Rank]],Stammdaten[[Rank Verteilung Krümmung]:[Verteilung Krümmung]],2,FALSE)</f>
        <v>#N/A</v>
      </c>
      <c r="Z897">
        <v>888</v>
      </c>
      <c r="AA897" t="e">
        <f>INDEX(Stammdaten[Ovalität (']0,1'])],MATCH(Tabelle1014[[#This Row],[Rank]],Stammdaten[Rank Verteilung Ovalität],0))</f>
        <v>#N/A</v>
      </c>
      <c r="AB897" t="e">
        <f>VLOOKUP(Tabelle1014[[#This Row],[Rank]],Stammdaten[[Rank Verteilung Ovalität]:[Verteilung Ovalität]],2,FALSE)</f>
        <v>#N/A</v>
      </c>
    </row>
    <row r="898" spans="5:28" x14ac:dyDescent="0.35">
      <c r="E898">
        <v>889</v>
      </c>
      <c r="F898" t="e">
        <f>INDEX(Stammdaten[D Mitte mit Rinde (mm)],MATCH(Tabelle8[[#This Row],[Rank]],Stammdaten[Rank Verteilung D Mitte mit Rinde],0))</f>
        <v>#N/A</v>
      </c>
      <c r="G898" t="e">
        <f>VLOOKUP(Tabelle8[[#This Row],[Rank]],Stammdaten[[Rank Verteilung D Mitte mit Rinde]:[Verteilung D Mitte mit Rinde]],2,FALSE)</f>
        <v>#N/A</v>
      </c>
      <c r="L898">
        <v>889</v>
      </c>
      <c r="M898" t="e">
        <f>INDEX(Stammdaten[Abholzigkeit (mm/lfm)],MATCH(Tabelle9[[#This Row],[Rank]],Stammdaten[Rank Verteilung Abholzigkeit],0))</f>
        <v>#N/A</v>
      </c>
      <c r="N898" t="e">
        <f>VLOOKUP(Tabelle9[[#This Row],[Rank]],Stammdaten[[Rank Verteilung Abholzigkeit]:[Verteilung Abholzigkeit]],2,FALSE)</f>
        <v>#N/A</v>
      </c>
      <c r="S898">
        <v>889</v>
      </c>
      <c r="T898" t="e">
        <f>INDEX(Stammdaten[Krümmung (mm/lfm)],MATCH(Tabelle10[[#This Row],[Rank]],Stammdaten[Rank Verteilung Krümmung],0))</f>
        <v>#N/A</v>
      </c>
      <c r="U898" t="e">
        <f>VLOOKUP(Tabelle10[[#This Row],[Rank]],Stammdaten[[Rank Verteilung Krümmung]:[Verteilung Krümmung]],2,FALSE)</f>
        <v>#N/A</v>
      </c>
      <c r="Z898">
        <v>889</v>
      </c>
      <c r="AA898" t="e">
        <f>INDEX(Stammdaten[Ovalität (']0,1'])],MATCH(Tabelle1014[[#This Row],[Rank]],Stammdaten[Rank Verteilung Ovalität],0))</f>
        <v>#N/A</v>
      </c>
      <c r="AB898" t="e">
        <f>VLOOKUP(Tabelle1014[[#This Row],[Rank]],Stammdaten[[Rank Verteilung Ovalität]:[Verteilung Ovalität]],2,FALSE)</f>
        <v>#N/A</v>
      </c>
    </row>
    <row r="899" spans="5:28" x14ac:dyDescent="0.35">
      <c r="E899">
        <v>890</v>
      </c>
      <c r="F899" t="e">
        <f>INDEX(Stammdaten[D Mitte mit Rinde (mm)],MATCH(Tabelle8[[#This Row],[Rank]],Stammdaten[Rank Verteilung D Mitte mit Rinde],0))</f>
        <v>#N/A</v>
      </c>
      <c r="G899" t="e">
        <f>VLOOKUP(Tabelle8[[#This Row],[Rank]],Stammdaten[[Rank Verteilung D Mitte mit Rinde]:[Verteilung D Mitte mit Rinde]],2,FALSE)</f>
        <v>#N/A</v>
      </c>
      <c r="L899">
        <v>890</v>
      </c>
      <c r="M899" t="e">
        <f>INDEX(Stammdaten[Abholzigkeit (mm/lfm)],MATCH(Tabelle9[[#This Row],[Rank]],Stammdaten[Rank Verteilung Abholzigkeit],0))</f>
        <v>#N/A</v>
      </c>
      <c r="N899" t="e">
        <f>VLOOKUP(Tabelle9[[#This Row],[Rank]],Stammdaten[[Rank Verteilung Abholzigkeit]:[Verteilung Abholzigkeit]],2,FALSE)</f>
        <v>#N/A</v>
      </c>
      <c r="S899">
        <v>890</v>
      </c>
      <c r="T899" t="e">
        <f>INDEX(Stammdaten[Krümmung (mm/lfm)],MATCH(Tabelle10[[#This Row],[Rank]],Stammdaten[Rank Verteilung Krümmung],0))</f>
        <v>#N/A</v>
      </c>
      <c r="U899" t="e">
        <f>VLOOKUP(Tabelle10[[#This Row],[Rank]],Stammdaten[[Rank Verteilung Krümmung]:[Verteilung Krümmung]],2,FALSE)</f>
        <v>#N/A</v>
      </c>
      <c r="Z899">
        <v>890</v>
      </c>
      <c r="AA899" t="e">
        <f>INDEX(Stammdaten[Ovalität (']0,1'])],MATCH(Tabelle1014[[#This Row],[Rank]],Stammdaten[Rank Verteilung Ovalität],0))</f>
        <v>#N/A</v>
      </c>
      <c r="AB899" t="e">
        <f>VLOOKUP(Tabelle1014[[#This Row],[Rank]],Stammdaten[[Rank Verteilung Ovalität]:[Verteilung Ovalität]],2,FALSE)</f>
        <v>#N/A</v>
      </c>
    </row>
    <row r="900" spans="5:28" x14ac:dyDescent="0.35">
      <c r="E900">
        <v>891</v>
      </c>
      <c r="F900" t="e">
        <f>INDEX(Stammdaten[D Mitte mit Rinde (mm)],MATCH(Tabelle8[[#This Row],[Rank]],Stammdaten[Rank Verteilung D Mitte mit Rinde],0))</f>
        <v>#N/A</v>
      </c>
      <c r="G900" t="e">
        <f>VLOOKUP(Tabelle8[[#This Row],[Rank]],Stammdaten[[Rank Verteilung D Mitte mit Rinde]:[Verteilung D Mitte mit Rinde]],2,FALSE)</f>
        <v>#N/A</v>
      </c>
      <c r="L900">
        <v>891</v>
      </c>
      <c r="M900" t="e">
        <f>INDEX(Stammdaten[Abholzigkeit (mm/lfm)],MATCH(Tabelle9[[#This Row],[Rank]],Stammdaten[Rank Verteilung Abholzigkeit],0))</f>
        <v>#N/A</v>
      </c>
      <c r="N900" t="e">
        <f>VLOOKUP(Tabelle9[[#This Row],[Rank]],Stammdaten[[Rank Verteilung Abholzigkeit]:[Verteilung Abholzigkeit]],2,FALSE)</f>
        <v>#N/A</v>
      </c>
      <c r="S900">
        <v>891</v>
      </c>
      <c r="T900" t="e">
        <f>INDEX(Stammdaten[Krümmung (mm/lfm)],MATCH(Tabelle10[[#This Row],[Rank]],Stammdaten[Rank Verteilung Krümmung],0))</f>
        <v>#N/A</v>
      </c>
      <c r="U900" t="e">
        <f>VLOOKUP(Tabelle10[[#This Row],[Rank]],Stammdaten[[Rank Verteilung Krümmung]:[Verteilung Krümmung]],2,FALSE)</f>
        <v>#N/A</v>
      </c>
      <c r="Z900">
        <v>891</v>
      </c>
      <c r="AA900" t="e">
        <f>INDEX(Stammdaten[Ovalität (']0,1'])],MATCH(Tabelle1014[[#This Row],[Rank]],Stammdaten[Rank Verteilung Ovalität],0))</f>
        <v>#N/A</v>
      </c>
      <c r="AB900" t="e">
        <f>VLOOKUP(Tabelle1014[[#This Row],[Rank]],Stammdaten[[Rank Verteilung Ovalität]:[Verteilung Ovalität]],2,FALSE)</f>
        <v>#N/A</v>
      </c>
    </row>
    <row r="901" spans="5:28" x14ac:dyDescent="0.35">
      <c r="E901">
        <v>892</v>
      </c>
      <c r="F901" t="e">
        <f>INDEX(Stammdaten[D Mitte mit Rinde (mm)],MATCH(Tabelle8[[#This Row],[Rank]],Stammdaten[Rank Verteilung D Mitte mit Rinde],0))</f>
        <v>#N/A</v>
      </c>
      <c r="G901" t="e">
        <f>VLOOKUP(Tabelle8[[#This Row],[Rank]],Stammdaten[[Rank Verteilung D Mitte mit Rinde]:[Verteilung D Mitte mit Rinde]],2,FALSE)</f>
        <v>#N/A</v>
      </c>
      <c r="L901">
        <v>892</v>
      </c>
      <c r="M901" t="e">
        <f>INDEX(Stammdaten[Abholzigkeit (mm/lfm)],MATCH(Tabelle9[[#This Row],[Rank]],Stammdaten[Rank Verteilung Abholzigkeit],0))</f>
        <v>#N/A</v>
      </c>
      <c r="N901" t="e">
        <f>VLOOKUP(Tabelle9[[#This Row],[Rank]],Stammdaten[[Rank Verteilung Abholzigkeit]:[Verteilung Abholzigkeit]],2,FALSE)</f>
        <v>#N/A</v>
      </c>
      <c r="S901">
        <v>892</v>
      </c>
      <c r="T901" t="e">
        <f>INDEX(Stammdaten[Krümmung (mm/lfm)],MATCH(Tabelle10[[#This Row],[Rank]],Stammdaten[Rank Verteilung Krümmung],0))</f>
        <v>#N/A</v>
      </c>
      <c r="U901" t="e">
        <f>VLOOKUP(Tabelle10[[#This Row],[Rank]],Stammdaten[[Rank Verteilung Krümmung]:[Verteilung Krümmung]],2,FALSE)</f>
        <v>#N/A</v>
      </c>
      <c r="Z901">
        <v>892</v>
      </c>
      <c r="AA901" t="e">
        <f>INDEX(Stammdaten[Ovalität (']0,1'])],MATCH(Tabelle1014[[#This Row],[Rank]],Stammdaten[Rank Verteilung Ovalität],0))</f>
        <v>#N/A</v>
      </c>
      <c r="AB901" t="e">
        <f>VLOOKUP(Tabelle1014[[#This Row],[Rank]],Stammdaten[[Rank Verteilung Ovalität]:[Verteilung Ovalität]],2,FALSE)</f>
        <v>#N/A</v>
      </c>
    </row>
    <row r="902" spans="5:28" x14ac:dyDescent="0.35">
      <c r="E902">
        <v>893</v>
      </c>
      <c r="F902" t="e">
        <f>INDEX(Stammdaten[D Mitte mit Rinde (mm)],MATCH(Tabelle8[[#This Row],[Rank]],Stammdaten[Rank Verteilung D Mitte mit Rinde],0))</f>
        <v>#N/A</v>
      </c>
      <c r="G902" t="e">
        <f>VLOOKUP(Tabelle8[[#This Row],[Rank]],Stammdaten[[Rank Verteilung D Mitte mit Rinde]:[Verteilung D Mitte mit Rinde]],2,FALSE)</f>
        <v>#N/A</v>
      </c>
      <c r="L902">
        <v>893</v>
      </c>
      <c r="M902" t="e">
        <f>INDEX(Stammdaten[Abholzigkeit (mm/lfm)],MATCH(Tabelle9[[#This Row],[Rank]],Stammdaten[Rank Verteilung Abholzigkeit],0))</f>
        <v>#N/A</v>
      </c>
      <c r="N902" t="e">
        <f>VLOOKUP(Tabelle9[[#This Row],[Rank]],Stammdaten[[Rank Verteilung Abholzigkeit]:[Verteilung Abholzigkeit]],2,FALSE)</f>
        <v>#N/A</v>
      </c>
      <c r="S902">
        <v>893</v>
      </c>
      <c r="T902" t="e">
        <f>INDEX(Stammdaten[Krümmung (mm/lfm)],MATCH(Tabelle10[[#This Row],[Rank]],Stammdaten[Rank Verteilung Krümmung],0))</f>
        <v>#N/A</v>
      </c>
      <c r="U902" t="e">
        <f>VLOOKUP(Tabelle10[[#This Row],[Rank]],Stammdaten[[Rank Verteilung Krümmung]:[Verteilung Krümmung]],2,FALSE)</f>
        <v>#N/A</v>
      </c>
      <c r="Z902">
        <v>893</v>
      </c>
      <c r="AA902" t="e">
        <f>INDEX(Stammdaten[Ovalität (']0,1'])],MATCH(Tabelle1014[[#This Row],[Rank]],Stammdaten[Rank Verteilung Ovalität],0))</f>
        <v>#N/A</v>
      </c>
      <c r="AB902" t="e">
        <f>VLOOKUP(Tabelle1014[[#This Row],[Rank]],Stammdaten[[Rank Verteilung Ovalität]:[Verteilung Ovalität]],2,FALSE)</f>
        <v>#N/A</v>
      </c>
    </row>
    <row r="903" spans="5:28" x14ac:dyDescent="0.35">
      <c r="E903">
        <v>894</v>
      </c>
      <c r="F903" t="e">
        <f>INDEX(Stammdaten[D Mitte mit Rinde (mm)],MATCH(Tabelle8[[#This Row],[Rank]],Stammdaten[Rank Verteilung D Mitte mit Rinde],0))</f>
        <v>#N/A</v>
      </c>
      <c r="G903" t="e">
        <f>VLOOKUP(Tabelle8[[#This Row],[Rank]],Stammdaten[[Rank Verteilung D Mitte mit Rinde]:[Verteilung D Mitte mit Rinde]],2,FALSE)</f>
        <v>#N/A</v>
      </c>
      <c r="L903">
        <v>894</v>
      </c>
      <c r="M903" t="e">
        <f>INDEX(Stammdaten[Abholzigkeit (mm/lfm)],MATCH(Tabelle9[[#This Row],[Rank]],Stammdaten[Rank Verteilung Abholzigkeit],0))</f>
        <v>#N/A</v>
      </c>
      <c r="N903" t="e">
        <f>VLOOKUP(Tabelle9[[#This Row],[Rank]],Stammdaten[[Rank Verteilung Abholzigkeit]:[Verteilung Abholzigkeit]],2,FALSE)</f>
        <v>#N/A</v>
      </c>
      <c r="S903">
        <v>894</v>
      </c>
      <c r="T903" t="e">
        <f>INDEX(Stammdaten[Krümmung (mm/lfm)],MATCH(Tabelle10[[#This Row],[Rank]],Stammdaten[Rank Verteilung Krümmung],0))</f>
        <v>#N/A</v>
      </c>
      <c r="U903" t="e">
        <f>VLOOKUP(Tabelle10[[#This Row],[Rank]],Stammdaten[[Rank Verteilung Krümmung]:[Verteilung Krümmung]],2,FALSE)</f>
        <v>#N/A</v>
      </c>
      <c r="Z903">
        <v>894</v>
      </c>
      <c r="AA903" t="e">
        <f>INDEX(Stammdaten[Ovalität (']0,1'])],MATCH(Tabelle1014[[#This Row],[Rank]],Stammdaten[Rank Verteilung Ovalität],0))</f>
        <v>#N/A</v>
      </c>
      <c r="AB903" t="e">
        <f>VLOOKUP(Tabelle1014[[#This Row],[Rank]],Stammdaten[[Rank Verteilung Ovalität]:[Verteilung Ovalität]],2,FALSE)</f>
        <v>#N/A</v>
      </c>
    </row>
    <row r="904" spans="5:28" x14ac:dyDescent="0.35">
      <c r="E904">
        <v>895</v>
      </c>
      <c r="F904" t="e">
        <f>INDEX(Stammdaten[D Mitte mit Rinde (mm)],MATCH(Tabelle8[[#This Row],[Rank]],Stammdaten[Rank Verteilung D Mitte mit Rinde],0))</f>
        <v>#N/A</v>
      </c>
      <c r="G904" t="e">
        <f>VLOOKUP(Tabelle8[[#This Row],[Rank]],Stammdaten[[Rank Verteilung D Mitte mit Rinde]:[Verteilung D Mitte mit Rinde]],2,FALSE)</f>
        <v>#N/A</v>
      </c>
      <c r="L904">
        <v>895</v>
      </c>
      <c r="M904" t="e">
        <f>INDEX(Stammdaten[Abholzigkeit (mm/lfm)],MATCH(Tabelle9[[#This Row],[Rank]],Stammdaten[Rank Verteilung Abholzigkeit],0))</f>
        <v>#N/A</v>
      </c>
      <c r="N904" t="e">
        <f>VLOOKUP(Tabelle9[[#This Row],[Rank]],Stammdaten[[Rank Verteilung Abholzigkeit]:[Verteilung Abholzigkeit]],2,FALSE)</f>
        <v>#N/A</v>
      </c>
      <c r="S904">
        <v>895</v>
      </c>
      <c r="T904" t="e">
        <f>INDEX(Stammdaten[Krümmung (mm/lfm)],MATCH(Tabelle10[[#This Row],[Rank]],Stammdaten[Rank Verteilung Krümmung],0))</f>
        <v>#N/A</v>
      </c>
      <c r="U904" t="e">
        <f>VLOOKUP(Tabelle10[[#This Row],[Rank]],Stammdaten[[Rank Verteilung Krümmung]:[Verteilung Krümmung]],2,FALSE)</f>
        <v>#N/A</v>
      </c>
      <c r="Z904">
        <v>895</v>
      </c>
      <c r="AA904" t="e">
        <f>INDEX(Stammdaten[Ovalität (']0,1'])],MATCH(Tabelle1014[[#This Row],[Rank]],Stammdaten[Rank Verteilung Ovalität],0))</f>
        <v>#N/A</v>
      </c>
      <c r="AB904" t="e">
        <f>VLOOKUP(Tabelle1014[[#This Row],[Rank]],Stammdaten[[Rank Verteilung Ovalität]:[Verteilung Ovalität]],2,FALSE)</f>
        <v>#N/A</v>
      </c>
    </row>
    <row r="905" spans="5:28" x14ac:dyDescent="0.35">
      <c r="E905">
        <v>896</v>
      </c>
      <c r="F905" t="e">
        <f>INDEX(Stammdaten[D Mitte mit Rinde (mm)],MATCH(Tabelle8[[#This Row],[Rank]],Stammdaten[Rank Verteilung D Mitte mit Rinde],0))</f>
        <v>#N/A</v>
      </c>
      <c r="G905" t="e">
        <f>VLOOKUP(Tabelle8[[#This Row],[Rank]],Stammdaten[[Rank Verteilung D Mitte mit Rinde]:[Verteilung D Mitte mit Rinde]],2,FALSE)</f>
        <v>#N/A</v>
      </c>
      <c r="L905">
        <v>896</v>
      </c>
      <c r="M905" t="e">
        <f>INDEX(Stammdaten[Abholzigkeit (mm/lfm)],MATCH(Tabelle9[[#This Row],[Rank]],Stammdaten[Rank Verteilung Abholzigkeit],0))</f>
        <v>#N/A</v>
      </c>
      <c r="N905" t="e">
        <f>VLOOKUP(Tabelle9[[#This Row],[Rank]],Stammdaten[[Rank Verteilung Abholzigkeit]:[Verteilung Abholzigkeit]],2,FALSE)</f>
        <v>#N/A</v>
      </c>
      <c r="S905">
        <v>896</v>
      </c>
      <c r="T905" t="e">
        <f>INDEX(Stammdaten[Krümmung (mm/lfm)],MATCH(Tabelle10[[#This Row],[Rank]],Stammdaten[Rank Verteilung Krümmung],0))</f>
        <v>#N/A</v>
      </c>
      <c r="U905" t="e">
        <f>VLOOKUP(Tabelle10[[#This Row],[Rank]],Stammdaten[[Rank Verteilung Krümmung]:[Verteilung Krümmung]],2,FALSE)</f>
        <v>#N/A</v>
      </c>
      <c r="Z905">
        <v>896</v>
      </c>
      <c r="AA905" t="e">
        <f>INDEX(Stammdaten[Ovalität (']0,1'])],MATCH(Tabelle1014[[#This Row],[Rank]],Stammdaten[Rank Verteilung Ovalität],0))</f>
        <v>#N/A</v>
      </c>
      <c r="AB905" t="e">
        <f>VLOOKUP(Tabelle1014[[#This Row],[Rank]],Stammdaten[[Rank Verteilung Ovalität]:[Verteilung Ovalität]],2,FALSE)</f>
        <v>#N/A</v>
      </c>
    </row>
    <row r="906" spans="5:28" x14ac:dyDescent="0.35">
      <c r="E906">
        <v>897</v>
      </c>
      <c r="F906" t="e">
        <f>INDEX(Stammdaten[D Mitte mit Rinde (mm)],MATCH(Tabelle8[[#This Row],[Rank]],Stammdaten[Rank Verteilung D Mitte mit Rinde],0))</f>
        <v>#N/A</v>
      </c>
      <c r="G906" t="e">
        <f>VLOOKUP(Tabelle8[[#This Row],[Rank]],Stammdaten[[Rank Verteilung D Mitte mit Rinde]:[Verteilung D Mitte mit Rinde]],2,FALSE)</f>
        <v>#N/A</v>
      </c>
      <c r="L906">
        <v>897</v>
      </c>
      <c r="M906" t="e">
        <f>INDEX(Stammdaten[Abholzigkeit (mm/lfm)],MATCH(Tabelle9[[#This Row],[Rank]],Stammdaten[Rank Verteilung Abholzigkeit],0))</f>
        <v>#N/A</v>
      </c>
      <c r="N906" t="e">
        <f>VLOOKUP(Tabelle9[[#This Row],[Rank]],Stammdaten[[Rank Verteilung Abholzigkeit]:[Verteilung Abholzigkeit]],2,FALSE)</f>
        <v>#N/A</v>
      </c>
      <c r="S906">
        <v>897</v>
      </c>
      <c r="T906" t="e">
        <f>INDEX(Stammdaten[Krümmung (mm/lfm)],MATCH(Tabelle10[[#This Row],[Rank]],Stammdaten[Rank Verteilung Krümmung],0))</f>
        <v>#N/A</v>
      </c>
      <c r="U906" t="e">
        <f>VLOOKUP(Tabelle10[[#This Row],[Rank]],Stammdaten[[Rank Verteilung Krümmung]:[Verteilung Krümmung]],2,FALSE)</f>
        <v>#N/A</v>
      </c>
      <c r="Z906">
        <v>897</v>
      </c>
      <c r="AA906" t="e">
        <f>INDEX(Stammdaten[Ovalität (']0,1'])],MATCH(Tabelle1014[[#This Row],[Rank]],Stammdaten[Rank Verteilung Ovalität],0))</f>
        <v>#N/A</v>
      </c>
      <c r="AB906" t="e">
        <f>VLOOKUP(Tabelle1014[[#This Row],[Rank]],Stammdaten[[Rank Verteilung Ovalität]:[Verteilung Ovalität]],2,FALSE)</f>
        <v>#N/A</v>
      </c>
    </row>
    <row r="907" spans="5:28" x14ac:dyDescent="0.35">
      <c r="E907">
        <v>898</v>
      </c>
      <c r="F907" t="e">
        <f>INDEX(Stammdaten[D Mitte mit Rinde (mm)],MATCH(Tabelle8[[#This Row],[Rank]],Stammdaten[Rank Verteilung D Mitte mit Rinde],0))</f>
        <v>#N/A</v>
      </c>
      <c r="G907" t="e">
        <f>VLOOKUP(Tabelle8[[#This Row],[Rank]],Stammdaten[[Rank Verteilung D Mitte mit Rinde]:[Verteilung D Mitte mit Rinde]],2,FALSE)</f>
        <v>#N/A</v>
      </c>
      <c r="L907">
        <v>898</v>
      </c>
      <c r="M907" t="e">
        <f>INDEX(Stammdaten[Abholzigkeit (mm/lfm)],MATCH(Tabelle9[[#This Row],[Rank]],Stammdaten[Rank Verteilung Abholzigkeit],0))</f>
        <v>#N/A</v>
      </c>
      <c r="N907" t="e">
        <f>VLOOKUP(Tabelle9[[#This Row],[Rank]],Stammdaten[[Rank Verteilung Abholzigkeit]:[Verteilung Abholzigkeit]],2,FALSE)</f>
        <v>#N/A</v>
      </c>
      <c r="S907">
        <v>898</v>
      </c>
      <c r="T907" t="e">
        <f>INDEX(Stammdaten[Krümmung (mm/lfm)],MATCH(Tabelle10[[#This Row],[Rank]],Stammdaten[Rank Verteilung Krümmung],0))</f>
        <v>#N/A</v>
      </c>
      <c r="U907" t="e">
        <f>VLOOKUP(Tabelle10[[#This Row],[Rank]],Stammdaten[[Rank Verteilung Krümmung]:[Verteilung Krümmung]],2,FALSE)</f>
        <v>#N/A</v>
      </c>
      <c r="Z907">
        <v>898</v>
      </c>
      <c r="AA907" t="e">
        <f>INDEX(Stammdaten[Ovalität (']0,1'])],MATCH(Tabelle1014[[#This Row],[Rank]],Stammdaten[Rank Verteilung Ovalität],0))</f>
        <v>#N/A</v>
      </c>
      <c r="AB907" t="e">
        <f>VLOOKUP(Tabelle1014[[#This Row],[Rank]],Stammdaten[[Rank Verteilung Ovalität]:[Verteilung Ovalität]],2,FALSE)</f>
        <v>#N/A</v>
      </c>
    </row>
    <row r="908" spans="5:28" x14ac:dyDescent="0.35">
      <c r="E908">
        <v>899</v>
      </c>
      <c r="F908" t="e">
        <f>INDEX(Stammdaten[D Mitte mit Rinde (mm)],MATCH(Tabelle8[[#This Row],[Rank]],Stammdaten[Rank Verteilung D Mitte mit Rinde],0))</f>
        <v>#N/A</v>
      </c>
      <c r="G908" t="e">
        <f>VLOOKUP(Tabelle8[[#This Row],[Rank]],Stammdaten[[Rank Verteilung D Mitte mit Rinde]:[Verteilung D Mitte mit Rinde]],2,FALSE)</f>
        <v>#N/A</v>
      </c>
      <c r="L908">
        <v>899</v>
      </c>
      <c r="M908" t="e">
        <f>INDEX(Stammdaten[Abholzigkeit (mm/lfm)],MATCH(Tabelle9[[#This Row],[Rank]],Stammdaten[Rank Verteilung Abholzigkeit],0))</f>
        <v>#N/A</v>
      </c>
      <c r="N908" t="e">
        <f>VLOOKUP(Tabelle9[[#This Row],[Rank]],Stammdaten[[Rank Verteilung Abholzigkeit]:[Verteilung Abholzigkeit]],2,FALSE)</f>
        <v>#N/A</v>
      </c>
      <c r="S908">
        <v>899</v>
      </c>
      <c r="T908" t="e">
        <f>INDEX(Stammdaten[Krümmung (mm/lfm)],MATCH(Tabelle10[[#This Row],[Rank]],Stammdaten[Rank Verteilung Krümmung],0))</f>
        <v>#N/A</v>
      </c>
      <c r="U908" t="e">
        <f>VLOOKUP(Tabelle10[[#This Row],[Rank]],Stammdaten[[Rank Verteilung Krümmung]:[Verteilung Krümmung]],2,FALSE)</f>
        <v>#N/A</v>
      </c>
      <c r="Z908">
        <v>899</v>
      </c>
      <c r="AA908" t="e">
        <f>INDEX(Stammdaten[Ovalität (']0,1'])],MATCH(Tabelle1014[[#This Row],[Rank]],Stammdaten[Rank Verteilung Ovalität],0))</f>
        <v>#N/A</v>
      </c>
      <c r="AB908" t="e">
        <f>VLOOKUP(Tabelle1014[[#This Row],[Rank]],Stammdaten[[Rank Verteilung Ovalität]:[Verteilung Ovalität]],2,FALSE)</f>
        <v>#N/A</v>
      </c>
    </row>
    <row r="909" spans="5:28" x14ac:dyDescent="0.35">
      <c r="E909">
        <v>900</v>
      </c>
      <c r="F909" t="e">
        <f>INDEX(Stammdaten[D Mitte mit Rinde (mm)],MATCH(Tabelle8[[#This Row],[Rank]],Stammdaten[Rank Verteilung D Mitte mit Rinde],0))</f>
        <v>#N/A</v>
      </c>
      <c r="G909" t="e">
        <f>VLOOKUP(Tabelle8[[#This Row],[Rank]],Stammdaten[[Rank Verteilung D Mitte mit Rinde]:[Verteilung D Mitte mit Rinde]],2,FALSE)</f>
        <v>#N/A</v>
      </c>
      <c r="L909">
        <v>900</v>
      </c>
      <c r="M909" t="e">
        <f>INDEX(Stammdaten[Abholzigkeit (mm/lfm)],MATCH(Tabelle9[[#This Row],[Rank]],Stammdaten[Rank Verteilung Abholzigkeit],0))</f>
        <v>#N/A</v>
      </c>
      <c r="N909" t="e">
        <f>VLOOKUP(Tabelle9[[#This Row],[Rank]],Stammdaten[[Rank Verteilung Abholzigkeit]:[Verteilung Abholzigkeit]],2,FALSE)</f>
        <v>#N/A</v>
      </c>
      <c r="S909">
        <v>900</v>
      </c>
      <c r="T909" t="e">
        <f>INDEX(Stammdaten[Krümmung (mm/lfm)],MATCH(Tabelle10[[#This Row],[Rank]],Stammdaten[Rank Verteilung Krümmung],0))</f>
        <v>#N/A</v>
      </c>
      <c r="U909" t="e">
        <f>VLOOKUP(Tabelle10[[#This Row],[Rank]],Stammdaten[[Rank Verteilung Krümmung]:[Verteilung Krümmung]],2,FALSE)</f>
        <v>#N/A</v>
      </c>
      <c r="Z909">
        <v>900</v>
      </c>
      <c r="AA909" t="e">
        <f>INDEX(Stammdaten[Ovalität (']0,1'])],MATCH(Tabelle1014[[#This Row],[Rank]],Stammdaten[Rank Verteilung Ovalität],0))</f>
        <v>#N/A</v>
      </c>
      <c r="AB909" t="e">
        <f>VLOOKUP(Tabelle1014[[#This Row],[Rank]],Stammdaten[[Rank Verteilung Ovalität]:[Verteilung Ovalität]],2,FALSE)</f>
        <v>#N/A</v>
      </c>
    </row>
    <row r="910" spans="5:28" x14ac:dyDescent="0.35">
      <c r="E910">
        <v>901</v>
      </c>
      <c r="F910" t="e">
        <f>INDEX(Stammdaten[D Mitte mit Rinde (mm)],MATCH(Tabelle8[[#This Row],[Rank]],Stammdaten[Rank Verteilung D Mitte mit Rinde],0))</f>
        <v>#N/A</v>
      </c>
      <c r="G910" t="e">
        <f>VLOOKUP(Tabelle8[[#This Row],[Rank]],Stammdaten[[Rank Verteilung D Mitte mit Rinde]:[Verteilung D Mitte mit Rinde]],2,FALSE)</f>
        <v>#N/A</v>
      </c>
      <c r="L910">
        <v>901</v>
      </c>
      <c r="M910" t="e">
        <f>INDEX(Stammdaten[Abholzigkeit (mm/lfm)],MATCH(Tabelle9[[#This Row],[Rank]],Stammdaten[Rank Verteilung Abholzigkeit],0))</f>
        <v>#N/A</v>
      </c>
      <c r="N910" t="e">
        <f>VLOOKUP(Tabelle9[[#This Row],[Rank]],Stammdaten[[Rank Verteilung Abholzigkeit]:[Verteilung Abholzigkeit]],2,FALSE)</f>
        <v>#N/A</v>
      </c>
      <c r="S910">
        <v>901</v>
      </c>
      <c r="T910" t="e">
        <f>INDEX(Stammdaten[Krümmung (mm/lfm)],MATCH(Tabelle10[[#This Row],[Rank]],Stammdaten[Rank Verteilung Krümmung],0))</f>
        <v>#N/A</v>
      </c>
      <c r="U910" t="e">
        <f>VLOOKUP(Tabelle10[[#This Row],[Rank]],Stammdaten[[Rank Verteilung Krümmung]:[Verteilung Krümmung]],2,FALSE)</f>
        <v>#N/A</v>
      </c>
      <c r="Z910">
        <v>901</v>
      </c>
      <c r="AA910" t="e">
        <f>INDEX(Stammdaten[Ovalität (']0,1'])],MATCH(Tabelle1014[[#This Row],[Rank]],Stammdaten[Rank Verteilung Ovalität],0))</f>
        <v>#N/A</v>
      </c>
      <c r="AB910" t="e">
        <f>VLOOKUP(Tabelle1014[[#This Row],[Rank]],Stammdaten[[Rank Verteilung Ovalität]:[Verteilung Ovalität]],2,FALSE)</f>
        <v>#N/A</v>
      </c>
    </row>
    <row r="911" spans="5:28" x14ac:dyDescent="0.35">
      <c r="E911">
        <v>902</v>
      </c>
      <c r="F911" t="e">
        <f>INDEX(Stammdaten[D Mitte mit Rinde (mm)],MATCH(Tabelle8[[#This Row],[Rank]],Stammdaten[Rank Verteilung D Mitte mit Rinde],0))</f>
        <v>#N/A</v>
      </c>
      <c r="G911" t="e">
        <f>VLOOKUP(Tabelle8[[#This Row],[Rank]],Stammdaten[[Rank Verteilung D Mitte mit Rinde]:[Verteilung D Mitte mit Rinde]],2,FALSE)</f>
        <v>#N/A</v>
      </c>
      <c r="L911">
        <v>902</v>
      </c>
      <c r="M911" t="e">
        <f>INDEX(Stammdaten[Abholzigkeit (mm/lfm)],MATCH(Tabelle9[[#This Row],[Rank]],Stammdaten[Rank Verteilung Abholzigkeit],0))</f>
        <v>#N/A</v>
      </c>
      <c r="N911" t="e">
        <f>VLOOKUP(Tabelle9[[#This Row],[Rank]],Stammdaten[[Rank Verteilung Abholzigkeit]:[Verteilung Abholzigkeit]],2,FALSE)</f>
        <v>#N/A</v>
      </c>
      <c r="S911">
        <v>902</v>
      </c>
      <c r="T911" t="e">
        <f>INDEX(Stammdaten[Krümmung (mm/lfm)],MATCH(Tabelle10[[#This Row],[Rank]],Stammdaten[Rank Verteilung Krümmung],0))</f>
        <v>#N/A</v>
      </c>
      <c r="U911" t="e">
        <f>VLOOKUP(Tabelle10[[#This Row],[Rank]],Stammdaten[[Rank Verteilung Krümmung]:[Verteilung Krümmung]],2,FALSE)</f>
        <v>#N/A</v>
      </c>
      <c r="Z911">
        <v>902</v>
      </c>
      <c r="AA911" t="e">
        <f>INDEX(Stammdaten[Ovalität (']0,1'])],MATCH(Tabelle1014[[#This Row],[Rank]],Stammdaten[Rank Verteilung Ovalität],0))</f>
        <v>#N/A</v>
      </c>
      <c r="AB911" t="e">
        <f>VLOOKUP(Tabelle1014[[#This Row],[Rank]],Stammdaten[[Rank Verteilung Ovalität]:[Verteilung Ovalität]],2,FALSE)</f>
        <v>#N/A</v>
      </c>
    </row>
    <row r="912" spans="5:28" x14ac:dyDescent="0.35">
      <c r="E912">
        <v>903</v>
      </c>
      <c r="F912" t="e">
        <f>INDEX(Stammdaten[D Mitte mit Rinde (mm)],MATCH(Tabelle8[[#This Row],[Rank]],Stammdaten[Rank Verteilung D Mitte mit Rinde],0))</f>
        <v>#N/A</v>
      </c>
      <c r="G912" t="e">
        <f>VLOOKUP(Tabelle8[[#This Row],[Rank]],Stammdaten[[Rank Verteilung D Mitte mit Rinde]:[Verteilung D Mitte mit Rinde]],2,FALSE)</f>
        <v>#N/A</v>
      </c>
      <c r="L912">
        <v>903</v>
      </c>
      <c r="M912" t="e">
        <f>INDEX(Stammdaten[Abholzigkeit (mm/lfm)],MATCH(Tabelle9[[#This Row],[Rank]],Stammdaten[Rank Verteilung Abholzigkeit],0))</f>
        <v>#N/A</v>
      </c>
      <c r="N912" t="e">
        <f>VLOOKUP(Tabelle9[[#This Row],[Rank]],Stammdaten[[Rank Verteilung Abholzigkeit]:[Verteilung Abholzigkeit]],2,FALSE)</f>
        <v>#N/A</v>
      </c>
      <c r="S912">
        <v>903</v>
      </c>
      <c r="T912" t="e">
        <f>INDEX(Stammdaten[Krümmung (mm/lfm)],MATCH(Tabelle10[[#This Row],[Rank]],Stammdaten[Rank Verteilung Krümmung],0))</f>
        <v>#N/A</v>
      </c>
      <c r="U912" t="e">
        <f>VLOOKUP(Tabelle10[[#This Row],[Rank]],Stammdaten[[Rank Verteilung Krümmung]:[Verteilung Krümmung]],2,FALSE)</f>
        <v>#N/A</v>
      </c>
      <c r="Z912">
        <v>903</v>
      </c>
      <c r="AA912" t="e">
        <f>INDEX(Stammdaten[Ovalität (']0,1'])],MATCH(Tabelle1014[[#This Row],[Rank]],Stammdaten[Rank Verteilung Ovalität],0))</f>
        <v>#N/A</v>
      </c>
      <c r="AB912" t="e">
        <f>VLOOKUP(Tabelle1014[[#This Row],[Rank]],Stammdaten[[Rank Verteilung Ovalität]:[Verteilung Ovalität]],2,FALSE)</f>
        <v>#N/A</v>
      </c>
    </row>
    <row r="913" spans="5:28" x14ac:dyDescent="0.35">
      <c r="E913">
        <v>904</v>
      </c>
      <c r="F913" t="e">
        <f>INDEX(Stammdaten[D Mitte mit Rinde (mm)],MATCH(Tabelle8[[#This Row],[Rank]],Stammdaten[Rank Verteilung D Mitte mit Rinde],0))</f>
        <v>#N/A</v>
      </c>
      <c r="G913" t="e">
        <f>VLOOKUP(Tabelle8[[#This Row],[Rank]],Stammdaten[[Rank Verteilung D Mitte mit Rinde]:[Verteilung D Mitte mit Rinde]],2,FALSE)</f>
        <v>#N/A</v>
      </c>
      <c r="L913">
        <v>904</v>
      </c>
      <c r="M913" t="e">
        <f>INDEX(Stammdaten[Abholzigkeit (mm/lfm)],MATCH(Tabelle9[[#This Row],[Rank]],Stammdaten[Rank Verteilung Abholzigkeit],0))</f>
        <v>#N/A</v>
      </c>
      <c r="N913" t="e">
        <f>VLOOKUP(Tabelle9[[#This Row],[Rank]],Stammdaten[[Rank Verteilung Abholzigkeit]:[Verteilung Abholzigkeit]],2,FALSE)</f>
        <v>#N/A</v>
      </c>
      <c r="S913">
        <v>904</v>
      </c>
      <c r="T913" t="e">
        <f>INDEX(Stammdaten[Krümmung (mm/lfm)],MATCH(Tabelle10[[#This Row],[Rank]],Stammdaten[Rank Verteilung Krümmung],0))</f>
        <v>#N/A</v>
      </c>
      <c r="U913" t="e">
        <f>VLOOKUP(Tabelle10[[#This Row],[Rank]],Stammdaten[[Rank Verteilung Krümmung]:[Verteilung Krümmung]],2,FALSE)</f>
        <v>#N/A</v>
      </c>
      <c r="Z913">
        <v>904</v>
      </c>
      <c r="AA913" t="e">
        <f>INDEX(Stammdaten[Ovalität (']0,1'])],MATCH(Tabelle1014[[#This Row],[Rank]],Stammdaten[Rank Verteilung Ovalität],0))</f>
        <v>#N/A</v>
      </c>
      <c r="AB913" t="e">
        <f>VLOOKUP(Tabelle1014[[#This Row],[Rank]],Stammdaten[[Rank Verteilung Ovalität]:[Verteilung Ovalität]],2,FALSE)</f>
        <v>#N/A</v>
      </c>
    </row>
    <row r="914" spans="5:28" x14ac:dyDescent="0.35">
      <c r="E914">
        <v>905</v>
      </c>
      <c r="F914" t="e">
        <f>INDEX(Stammdaten[D Mitte mit Rinde (mm)],MATCH(Tabelle8[[#This Row],[Rank]],Stammdaten[Rank Verteilung D Mitte mit Rinde],0))</f>
        <v>#N/A</v>
      </c>
      <c r="G914" t="e">
        <f>VLOOKUP(Tabelle8[[#This Row],[Rank]],Stammdaten[[Rank Verteilung D Mitte mit Rinde]:[Verteilung D Mitte mit Rinde]],2,FALSE)</f>
        <v>#N/A</v>
      </c>
      <c r="L914">
        <v>905</v>
      </c>
      <c r="M914" t="e">
        <f>INDEX(Stammdaten[Abholzigkeit (mm/lfm)],MATCH(Tabelle9[[#This Row],[Rank]],Stammdaten[Rank Verteilung Abholzigkeit],0))</f>
        <v>#N/A</v>
      </c>
      <c r="N914" t="e">
        <f>VLOOKUP(Tabelle9[[#This Row],[Rank]],Stammdaten[[Rank Verteilung Abholzigkeit]:[Verteilung Abholzigkeit]],2,FALSE)</f>
        <v>#N/A</v>
      </c>
      <c r="S914">
        <v>905</v>
      </c>
      <c r="T914" t="e">
        <f>INDEX(Stammdaten[Krümmung (mm/lfm)],MATCH(Tabelle10[[#This Row],[Rank]],Stammdaten[Rank Verteilung Krümmung],0))</f>
        <v>#N/A</v>
      </c>
      <c r="U914" t="e">
        <f>VLOOKUP(Tabelle10[[#This Row],[Rank]],Stammdaten[[Rank Verteilung Krümmung]:[Verteilung Krümmung]],2,FALSE)</f>
        <v>#N/A</v>
      </c>
      <c r="Z914">
        <v>905</v>
      </c>
      <c r="AA914" t="e">
        <f>INDEX(Stammdaten[Ovalität (']0,1'])],MATCH(Tabelle1014[[#This Row],[Rank]],Stammdaten[Rank Verteilung Ovalität],0))</f>
        <v>#N/A</v>
      </c>
      <c r="AB914" t="e">
        <f>VLOOKUP(Tabelle1014[[#This Row],[Rank]],Stammdaten[[Rank Verteilung Ovalität]:[Verteilung Ovalität]],2,FALSE)</f>
        <v>#N/A</v>
      </c>
    </row>
    <row r="915" spans="5:28" x14ac:dyDescent="0.35">
      <c r="E915">
        <v>906</v>
      </c>
      <c r="F915" t="e">
        <f>INDEX(Stammdaten[D Mitte mit Rinde (mm)],MATCH(Tabelle8[[#This Row],[Rank]],Stammdaten[Rank Verteilung D Mitte mit Rinde],0))</f>
        <v>#N/A</v>
      </c>
      <c r="G915" t="e">
        <f>VLOOKUP(Tabelle8[[#This Row],[Rank]],Stammdaten[[Rank Verteilung D Mitte mit Rinde]:[Verteilung D Mitte mit Rinde]],2,FALSE)</f>
        <v>#N/A</v>
      </c>
      <c r="L915">
        <v>906</v>
      </c>
      <c r="M915" t="e">
        <f>INDEX(Stammdaten[Abholzigkeit (mm/lfm)],MATCH(Tabelle9[[#This Row],[Rank]],Stammdaten[Rank Verteilung Abholzigkeit],0))</f>
        <v>#N/A</v>
      </c>
      <c r="N915" t="e">
        <f>VLOOKUP(Tabelle9[[#This Row],[Rank]],Stammdaten[[Rank Verteilung Abholzigkeit]:[Verteilung Abholzigkeit]],2,FALSE)</f>
        <v>#N/A</v>
      </c>
      <c r="S915">
        <v>906</v>
      </c>
      <c r="T915" t="e">
        <f>INDEX(Stammdaten[Krümmung (mm/lfm)],MATCH(Tabelle10[[#This Row],[Rank]],Stammdaten[Rank Verteilung Krümmung],0))</f>
        <v>#N/A</v>
      </c>
      <c r="U915" t="e">
        <f>VLOOKUP(Tabelle10[[#This Row],[Rank]],Stammdaten[[Rank Verteilung Krümmung]:[Verteilung Krümmung]],2,FALSE)</f>
        <v>#N/A</v>
      </c>
      <c r="Z915">
        <v>906</v>
      </c>
      <c r="AA915" t="e">
        <f>INDEX(Stammdaten[Ovalität (']0,1'])],MATCH(Tabelle1014[[#This Row],[Rank]],Stammdaten[Rank Verteilung Ovalität],0))</f>
        <v>#N/A</v>
      </c>
      <c r="AB915" t="e">
        <f>VLOOKUP(Tabelle1014[[#This Row],[Rank]],Stammdaten[[Rank Verteilung Ovalität]:[Verteilung Ovalität]],2,FALSE)</f>
        <v>#N/A</v>
      </c>
    </row>
    <row r="916" spans="5:28" x14ac:dyDescent="0.35">
      <c r="E916">
        <v>907</v>
      </c>
      <c r="F916" t="e">
        <f>INDEX(Stammdaten[D Mitte mit Rinde (mm)],MATCH(Tabelle8[[#This Row],[Rank]],Stammdaten[Rank Verteilung D Mitte mit Rinde],0))</f>
        <v>#N/A</v>
      </c>
      <c r="G916" t="e">
        <f>VLOOKUP(Tabelle8[[#This Row],[Rank]],Stammdaten[[Rank Verteilung D Mitte mit Rinde]:[Verteilung D Mitte mit Rinde]],2,FALSE)</f>
        <v>#N/A</v>
      </c>
      <c r="L916">
        <v>907</v>
      </c>
      <c r="M916" t="e">
        <f>INDEX(Stammdaten[Abholzigkeit (mm/lfm)],MATCH(Tabelle9[[#This Row],[Rank]],Stammdaten[Rank Verteilung Abholzigkeit],0))</f>
        <v>#N/A</v>
      </c>
      <c r="N916" t="e">
        <f>VLOOKUP(Tabelle9[[#This Row],[Rank]],Stammdaten[[Rank Verteilung Abholzigkeit]:[Verteilung Abholzigkeit]],2,FALSE)</f>
        <v>#N/A</v>
      </c>
      <c r="S916">
        <v>907</v>
      </c>
      <c r="T916" t="e">
        <f>INDEX(Stammdaten[Krümmung (mm/lfm)],MATCH(Tabelle10[[#This Row],[Rank]],Stammdaten[Rank Verteilung Krümmung],0))</f>
        <v>#N/A</v>
      </c>
      <c r="U916" t="e">
        <f>VLOOKUP(Tabelle10[[#This Row],[Rank]],Stammdaten[[Rank Verteilung Krümmung]:[Verteilung Krümmung]],2,FALSE)</f>
        <v>#N/A</v>
      </c>
      <c r="Z916">
        <v>907</v>
      </c>
      <c r="AA916" t="e">
        <f>INDEX(Stammdaten[Ovalität (']0,1'])],MATCH(Tabelle1014[[#This Row],[Rank]],Stammdaten[Rank Verteilung Ovalität],0))</f>
        <v>#N/A</v>
      </c>
      <c r="AB916" t="e">
        <f>VLOOKUP(Tabelle1014[[#This Row],[Rank]],Stammdaten[[Rank Verteilung Ovalität]:[Verteilung Ovalität]],2,FALSE)</f>
        <v>#N/A</v>
      </c>
    </row>
    <row r="917" spans="5:28" x14ac:dyDescent="0.35">
      <c r="E917">
        <v>908</v>
      </c>
      <c r="F917" t="e">
        <f>INDEX(Stammdaten[D Mitte mit Rinde (mm)],MATCH(Tabelle8[[#This Row],[Rank]],Stammdaten[Rank Verteilung D Mitte mit Rinde],0))</f>
        <v>#N/A</v>
      </c>
      <c r="G917" t="e">
        <f>VLOOKUP(Tabelle8[[#This Row],[Rank]],Stammdaten[[Rank Verteilung D Mitte mit Rinde]:[Verteilung D Mitte mit Rinde]],2,FALSE)</f>
        <v>#N/A</v>
      </c>
      <c r="L917">
        <v>908</v>
      </c>
      <c r="M917" t="e">
        <f>INDEX(Stammdaten[Abholzigkeit (mm/lfm)],MATCH(Tabelle9[[#This Row],[Rank]],Stammdaten[Rank Verteilung Abholzigkeit],0))</f>
        <v>#N/A</v>
      </c>
      <c r="N917" t="e">
        <f>VLOOKUP(Tabelle9[[#This Row],[Rank]],Stammdaten[[Rank Verteilung Abholzigkeit]:[Verteilung Abholzigkeit]],2,FALSE)</f>
        <v>#N/A</v>
      </c>
      <c r="S917">
        <v>908</v>
      </c>
      <c r="T917" t="e">
        <f>INDEX(Stammdaten[Krümmung (mm/lfm)],MATCH(Tabelle10[[#This Row],[Rank]],Stammdaten[Rank Verteilung Krümmung],0))</f>
        <v>#N/A</v>
      </c>
      <c r="U917" t="e">
        <f>VLOOKUP(Tabelle10[[#This Row],[Rank]],Stammdaten[[Rank Verteilung Krümmung]:[Verteilung Krümmung]],2,FALSE)</f>
        <v>#N/A</v>
      </c>
      <c r="Z917">
        <v>908</v>
      </c>
      <c r="AA917" t="e">
        <f>INDEX(Stammdaten[Ovalität (']0,1'])],MATCH(Tabelle1014[[#This Row],[Rank]],Stammdaten[Rank Verteilung Ovalität],0))</f>
        <v>#N/A</v>
      </c>
      <c r="AB917" t="e">
        <f>VLOOKUP(Tabelle1014[[#This Row],[Rank]],Stammdaten[[Rank Verteilung Ovalität]:[Verteilung Ovalität]],2,FALSE)</f>
        <v>#N/A</v>
      </c>
    </row>
    <row r="918" spans="5:28" x14ac:dyDescent="0.35">
      <c r="E918">
        <v>909</v>
      </c>
      <c r="F918" t="e">
        <f>INDEX(Stammdaten[D Mitte mit Rinde (mm)],MATCH(Tabelle8[[#This Row],[Rank]],Stammdaten[Rank Verteilung D Mitte mit Rinde],0))</f>
        <v>#N/A</v>
      </c>
      <c r="G918" t="e">
        <f>VLOOKUP(Tabelle8[[#This Row],[Rank]],Stammdaten[[Rank Verteilung D Mitte mit Rinde]:[Verteilung D Mitte mit Rinde]],2,FALSE)</f>
        <v>#N/A</v>
      </c>
      <c r="L918">
        <v>909</v>
      </c>
      <c r="M918" t="e">
        <f>INDEX(Stammdaten[Abholzigkeit (mm/lfm)],MATCH(Tabelle9[[#This Row],[Rank]],Stammdaten[Rank Verteilung Abholzigkeit],0))</f>
        <v>#N/A</v>
      </c>
      <c r="N918" t="e">
        <f>VLOOKUP(Tabelle9[[#This Row],[Rank]],Stammdaten[[Rank Verteilung Abholzigkeit]:[Verteilung Abholzigkeit]],2,FALSE)</f>
        <v>#N/A</v>
      </c>
      <c r="S918">
        <v>909</v>
      </c>
      <c r="T918" t="e">
        <f>INDEX(Stammdaten[Krümmung (mm/lfm)],MATCH(Tabelle10[[#This Row],[Rank]],Stammdaten[Rank Verteilung Krümmung],0))</f>
        <v>#N/A</v>
      </c>
      <c r="U918" t="e">
        <f>VLOOKUP(Tabelle10[[#This Row],[Rank]],Stammdaten[[Rank Verteilung Krümmung]:[Verteilung Krümmung]],2,FALSE)</f>
        <v>#N/A</v>
      </c>
      <c r="Z918">
        <v>909</v>
      </c>
      <c r="AA918" t="e">
        <f>INDEX(Stammdaten[Ovalität (']0,1'])],MATCH(Tabelle1014[[#This Row],[Rank]],Stammdaten[Rank Verteilung Ovalität],0))</f>
        <v>#N/A</v>
      </c>
      <c r="AB918" t="e">
        <f>VLOOKUP(Tabelle1014[[#This Row],[Rank]],Stammdaten[[Rank Verteilung Ovalität]:[Verteilung Ovalität]],2,FALSE)</f>
        <v>#N/A</v>
      </c>
    </row>
    <row r="919" spans="5:28" x14ac:dyDescent="0.35">
      <c r="E919">
        <v>910</v>
      </c>
      <c r="F919" t="e">
        <f>INDEX(Stammdaten[D Mitte mit Rinde (mm)],MATCH(Tabelle8[[#This Row],[Rank]],Stammdaten[Rank Verteilung D Mitte mit Rinde],0))</f>
        <v>#N/A</v>
      </c>
      <c r="G919" t="e">
        <f>VLOOKUP(Tabelle8[[#This Row],[Rank]],Stammdaten[[Rank Verteilung D Mitte mit Rinde]:[Verteilung D Mitte mit Rinde]],2,FALSE)</f>
        <v>#N/A</v>
      </c>
      <c r="L919">
        <v>910</v>
      </c>
      <c r="M919" t="e">
        <f>INDEX(Stammdaten[Abholzigkeit (mm/lfm)],MATCH(Tabelle9[[#This Row],[Rank]],Stammdaten[Rank Verteilung Abholzigkeit],0))</f>
        <v>#N/A</v>
      </c>
      <c r="N919" t="e">
        <f>VLOOKUP(Tabelle9[[#This Row],[Rank]],Stammdaten[[Rank Verteilung Abholzigkeit]:[Verteilung Abholzigkeit]],2,FALSE)</f>
        <v>#N/A</v>
      </c>
      <c r="S919">
        <v>910</v>
      </c>
      <c r="T919" t="e">
        <f>INDEX(Stammdaten[Krümmung (mm/lfm)],MATCH(Tabelle10[[#This Row],[Rank]],Stammdaten[Rank Verteilung Krümmung],0))</f>
        <v>#N/A</v>
      </c>
      <c r="U919" t="e">
        <f>VLOOKUP(Tabelle10[[#This Row],[Rank]],Stammdaten[[Rank Verteilung Krümmung]:[Verteilung Krümmung]],2,FALSE)</f>
        <v>#N/A</v>
      </c>
      <c r="Z919">
        <v>910</v>
      </c>
      <c r="AA919" t="e">
        <f>INDEX(Stammdaten[Ovalität (']0,1'])],MATCH(Tabelle1014[[#This Row],[Rank]],Stammdaten[Rank Verteilung Ovalität],0))</f>
        <v>#N/A</v>
      </c>
      <c r="AB919" t="e">
        <f>VLOOKUP(Tabelle1014[[#This Row],[Rank]],Stammdaten[[Rank Verteilung Ovalität]:[Verteilung Ovalität]],2,FALSE)</f>
        <v>#N/A</v>
      </c>
    </row>
    <row r="920" spans="5:28" x14ac:dyDescent="0.35">
      <c r="E920">
        <v>911</v>
      </c>
      <c r="F920" t="e">
        <f>INDEX(Stammdaten[D Mitte mit Rinde (mm)],MATCH(Tabelle8[[#This Row],[Rank]],Stammdaten[Rank Verteilung D Mitte mit Rinde],0))</f>
        <v>#N/A</v>
      </c>
      <c r="G920" t="e">
        <f>VLOOKUP(Tabelle8[[#This Row],[Rank]],Stammdaten[[Rank Verteilung D Mitte mit Rinde]:[Verteilung D Mitte mit Rinde]],2,FALSE)</f>
        <v>#N/A</v>
      </c>
      <c r="L920">
        <v>911</v>
      </c>
      <c r="M920" t="e">
        <f>INDEX(Stammdaten[Abholzigkeit (mm/lfm)],MATCH(Tabelle9[[#This Row],[Rank]],Stammdaten[Rank Verteilung Abholzigkeit],0))</f>
        <v>#N/A</v>
      </c>
      <c r="N920" t="e">
        <f>VLOOKUP(Tabelle9[[#This Row],[Rank]],Stammdaten[[Rank Verteilung Abholzigkeit]:[Verteilung Abholzigkeit]],2,FALSE)</f>
        <v>#N/A</v>
      </c>
      <c r="S920">
        <v>911</v>
      </c>
      <c r="T920" t="e">
        <f>INDEX(Stammdaten[Krümmung (mm/lfm)],MATCH(Tabelle10[[#This Row],[Rank]],Stammdaten[Rank Verteilung Krümmung],0))</f>
        <v>#N/A</v>
      </c>
      <c r="U920" t="e">
        <f>VLOOKUP(Tabelle10[[#This Row],[Rank]],Stammdaten[[Rank Verteilung Krümmung]:[Verteilung Krümmung]],2,FALSE)</f>
        <v>#N/A</v>
      </c>
      <c r="Z920">
        <v>911</v>
      </c>
      <c r="AA920" t="e">
        <f>INDEX(Stammdaten[Ovalität (']0,1'])],MATCH(Tabelle1014[[#This Row],[Rank]],Stammdaten[Rank Verteilung Ovalität],0))</f>
        <v>#N/A</v>
      </c>
      <c r="AB920" t="e">
        <f>VLOOKUP(Tabelle1014[[#This Row],[Rank]],Stammdaten[[Rank Verteilung Ovalität]:[Verteilung Ovalität]],2,FALSE)</f>
        <v>#N/A</v>
      </c>
    </row>
    <row r="921" spans="5:28" x14ac:dyDescent="0.35">
      <c r="E921">
        <v>912</v>
      </c>
      <c r="F921" t="e">
        <f>INDEX(Stammdaten[D Mitte mit Rinde (mm)],MATCH(Tabelle8[[#This Row],[Rank]],Stammdaten[Rank Verteilung D Mitte mit Rinde],0))</f>
        <v>#N/A</v>
      </c>
      <c r="G921" t="e">
        <f>VLOOKUP(Tabelle8[[#This Row],[Rank]],Stammdaten[[Rank Verteilung D Mitte mit Rinde]:[Verteilung D Mitte mit Rinde]],2,FALSE)</f>
        <v>#N/A</v>
      </c>
      <c r="L921">
        <v>912</v>
      </c>
      <c r="M921" t="e">
        <f>INDEX(Stammdaten[Abholzigkeit (mm/lfm)],MATCH(Tabelle9[[#This Row],[Rank]],Stammdaten[Rank Verteilung Abholzigkeit],0))</f>
        <v>#N/A</v>
      </c>
      <c r="N921" t="e">
        <f>VLOOKUP(Tabelle9[[#This Row],[Rank]],Stammdaten[[Rank Verteilung Abholzigkeit]:[Verteilung Abholzigkeit]],2,FALSE)</f>
        <v>#N/A</v>
      </c>
      <c r="S921">
        <v>912</v>
      </c>
      <c r="T921" t="e">
        <f>INDEX(Stammdaten[Krümmung (mm/lfm)],MATCH(Tabelle10[[#This Row],[Rank]],Stammdaten[Rank Verteilung Krümmung],0))</f>
        <v>#N/A</v>
      </c>
      <c r="U921" t="e">
        <f>VLOOKUP(Tabelle10[[#This Row],[Rank]],Stammdaten[[Rank Verteilung Krümmung]:[Verteilung Krümmung]],2,FALSE)</f>
        <v>#N/A</v>
      </c>
      <c r="Z921">
        <v>912</v>
      </c>
      <c r="AA921" t="e">
        <f>INDEX(Stammdaten[Ovalität (']0,1'])],MATCH(Tabelle1014[[#This Row],[Rank]],Stammdaten[Rank Verteilung Ovalität],0))</f>
        <v>#N/A</v>
      </c>
      <c r="AB921" t="e">
        <f>VLOOKUP(Tabelle1014[[#This Row],[Rank]],Stammdaten[[Rank Verteilung Ovalität]:[Verteilung Ovalität]],2,FALSE)</f>
        <v>#N/A</v>
      </c>
    </row>
    <row r="922" spans="5:28" x14ac:dyDescent="0.35">
      <c r="E922">
        <v>913</v>
      </c>
      <c r="F922" t="e">
        <f>INDEX(Stammdaten[D Mitte mit Rinde (mm)],MATCH(Tabelle8[[#This Row],[Rank]],Stammdaten[Rank Verteilung D Mitte mit Rinde],0))</f>
        <v>#N/A</v>
      </c>
      <c r="G922" t="e">
        <f>VLOOKUP(Tabelle8[[#This Row],[Rank]],Stammdaten[[Rank Verteilung D Mitte mit Rinde]:[Verteilung D Mitte mit Rinde]],2,FALSE)</f>
        <v>#N/A</v>
      </c>
      <c r="L922">
        <v>913</v>
      </c>
      <c r="M922" t="e">
        <f>INDEX(Stammdaten[Abholzigkeit (mm/lfm)],MATCH(Tabelle9[[#This Row],[Rank]],Stammdaten[Rank Verteilung Abholzigkeit],0))</f>
        <v>#N/A</v>
      </c>
      <c r="N922" t="e">
        <f>VLOOKUP(Tabelle9[[#This Row],[Rank]],Stammdaten[[Rank Verteilung Abholzigkeit]:[Verteilung Abholzigkeit]],2,FALSE)</f>
        <v>#N/A</v>
      </c>
      <c r="S922">
        <v>913</v>
      </c>
      <c r="T922" t="e">
        <f>INDEX(Stammdaten[Krümmung (mm/lfm)],MATCH(Tabelle10[[#This Row],[Rank]],Stammdaten[Rank Verteilung Krümmung],0))</f>
        <v>#N/A</v>
      </c>
      <c r="U922" t="e">
        <f>VLOOKUP(Tabelle10[[#This Row],[Rank]],Stammdaten[[Rank Verteilung Krümmung]:[Verteilung Krümmung]],2,FALSE)</f>
        <v>#N/A</v>
      </c>
      <c r="Z922">
        <v>913</v>
      </c>
      <c r="AA922" t="e">
        <f>INDEX(Stammdaten[Ovalität (']0,1'])],MATCH(Tabelle1014[[#This Row],[Rank]],Stammdaten[Rank Verteilung Ovalität],0))</f>
        <v>#N/A</v>
      </c>
      <c r="AB922" t="e">
        <f>VLOOKUP(Tabelle1014[[#This Row],[Rank]],Stammdaten[[Rank Verteilung Ovalität]:[Verteilung Ovalität]],2,FALSE)</f>
        <v>#N/A</v>
      </c>
    </row>
    <row r="923" spans="5:28" x14ac:dyDescent="0.35">
      <c r="E923">
        <v>914</v>
      </c>
      <c r="F923" t="e">
        <f>INDEX(Stammdaten[D Mitte mit Rinde (mm)],MATCH(Tabelle8[[#This Row],[Rank]],Stammdaten[Rank Verteilung D Mitte mit Rinde],0))</f>
        <v>#N/A</v>
      </c>
      <c r="G923" t="e">
        <f>VLOOKUP(Tabelle8[[#This Row],[Rank]],Stammdaten[[Rank Verteilung D Mitte mit Rinde]:[Verteilung D Mitte mit Rinde]],2,FALSE)</f>
        <v>#N/A</v>
      </c>
      <c r="L923">
        <v>914</v>
      </c>
      <c r="M923" t="e">
        <f>INDEX(Stammdaten[Abholzigkeit (mm/lfm)],MATCH(Tabelle9[[#This Row],[Rank]],Stammdaten[Rank Verteilung Abholzigkeit],0))</f>
        <v>#N/A</v>
      </c>
      <c r="N923" t="e">
        <f>VLOOKUP(Tabelle9[[#This Row],[Rank]],Stammdaten[[Rank Verteilung Abholzigkeit]:[Verteilung Abholzigkeit]],2,FALSE)</f>
        <v>#N/A</v>
      </c>
      <c r="S923">
        <v>914</v>
      </c>
      <c r="T923" t="e">
        <f>INDEX(Stammdaten[Krümmung (mm/lfm)],MATCH(Tabelle10[[#This Row],[Rank]],Stammdaten[Rank Verteilung Krümmung],0))</f>
        <v>#N/A</v>
      </c>
      <c r="U923" t="e">
        <f>VLOOKUP(Tabelle10[[#This Row],[Rank]],Stammdaten[[Rank Verteilung Krümmung]:[Verteilung Krümmung]],2,FALSE)</f>
        <v>#N/A</v>
      </c>
      <c r="Z923">
        <v>914</v>
      </c>
      <c r="AA923" t="e">
        <f>INDEX(Stammdaten[Ovalität (']0,1'])],MATCH(Tabelle1014[[#This Row],[Rank]],Stammdaten[Rank Verteilung Ovalität],0))</f>
        <v>#N/A</v>
      </c>
      <c r="AB923" t="e">
        <f>VLOOKUP(Tabelle1014[[#This Row],[Rank]],Stammdaten[[Rank Verteilung Ovalität]:[Verteilung Ovalität]],2,FALSE)</f>
        <v>#N/A</v>
      </c>
    </row>
    <row r="924" spans="5:28" x14ac:dyDescent="0.35">
      <c r="E924">
        <v>915</v>
      </c>
      <c r="F924" t="e">
        <f>INDEX(Stammdaten[D Mitte mit Rinde (mm)],MATCH(Tabelle8[[#This Row],[Rank]],Stammdaten[Rank Verteilung D Mitte mit Rinde],0))</f>
        <v>#N/A</v>
      </c>
      <c r="G924" t="e">
        <f>VLOOKUP(Tabelle8[[#This Row],[Rank]],Stammdaten[[Rank Verteilung D Mitte mit Rinde]:[Verteilung D Mitte mit Rinde]],2,FALSE)</f>
        <v>#N/A</v>
      </c>
      <c r="L924">
        <v>915</v>
      </c>
      <c r="M924" t="e">
        <f>INDEX(Stammdaten[Abholzigkeit (mm/lfm)],MATCH(Tabelle9[[#This Row],[Rank]],Stammdaten[Rank Verteilung Abholzigkeit],0))</f>
        <v>#N/A</v>
      </c>
      <c r="N924" t="e">
        <f>VLOOKUP(Tabelle9[[#This Row],[Rank]],Stammdaten[[Rank Verteilung Abholzigkeit]:[Verteilung Abholzigkeit]],2,FALSE)</f>
        <v>#N/A</v>
      </c>
      <c r="S924">
        <v>915</v>
      </c>
      <c r="T924" t="e">
        <f>INDEX(Stammdaten[Krümmung (mm/lfm)],MATCH(Tabelle10[[#This Row],[Rank]],Stammdaten[Rank Verteilung Krümmung],0))</f>
        <v>#N/A</v>
      </c>
      <c r="U924" t="e">
        <f>VLOOKUP(Tabelle10[[#This Row],[Rank]],Stammdaten[[Rank Verteilung Krümmung]:[Verteilung Krümmung]],2,FALSE)</f>
        <v>#N/A</v>
      </c>
      <c r="Z924">
        <v>915</v>
      </c>
      <c r="AA924" t="e">
        <f>INDEX(Stammdaten[Ovalität (']0,1'])],MATCH(Tabelle1014[[#This Row],[Rank]],Stammdaten[Rank Verteilung Ovalität],0))</f>
        <v>#N/A</v>
      </c>
      <c r="AB924" t="e">
        <f>VLOOKUP(Tabelle1014[[#This Row],[Rank]],Stammdaten[[Rank Verteilung Ovalität]:[Verteilung Ovalität]],2,FALSE)</f>
        <v>#N/A</v>
      </c>
    </row>
    <row r="925" spans="5:28" x14ac:dyDescent="0.35">
      <c r="E925">
        <v>916</v>
      </c>
      <c r="F925" t="e">
        <f>INDEX(Stammdaten[D Mitte mit Rinde (mm)],MATCH(Tabelle8[[#This Row],[Rank]],Stammdaten[Rank Verteilung D Mitte mit Rinde],0))</f>
        <v>#N/A</v>
      </c>
      <c r="G925" t="e">
        <f>VLOOKUP(Tabelle8[[#This Row],[Rank]],Stammdaten[[Rank Verteilung D Mitte mit Rinde]:[Verteilung D Mitte mit Rinde]],2,FALSE)</f>
        <v>#N/A</v>
      </c>
      <c r="L925">
        <v>916</v>
      </c>
      <c r="M925" t="e">
        <f>INDEX(Stammdaten[Abholzigkeit (mm/lfm)],MATCH(Tabelle9[[#This Row],[Rank]],Stammdaten[Rank Verteilung Abholzigkeit],0))</f>
        <v>#N/A</v>
      </c>
      <c r="N925" t="e">
        <f>VLOOKUP(Tabelle9[[#This Row],[Rank]],Stammdaten[[Rank Verteilung Abholzigkeit]:[Verteilung Abholzigkeit]],2,FALSE)</f>
        <v>#N/A</v>
      </c>
      <c r="S925">
        <v>916</v>
      </c>
      <c r="T925" t="e">
        <f>INDEX(Stammdaten[Krümmung (mm/lfm)],MATCH(Tabelle10[[#This Row],[Rank]],Stammdaten[Rank Verteilung Krümmung],0))</f>
        <v>#N/A</v>
      </c>
      <c r="U925" t="e">
        <f>VLOOKUP(Tabelle10[[#This Row],[Rank]],Stammdaten[[Rank Verteilung Krümmung]:[Verteilung Krümmung]],2,FALSE)</f>
        <v>#N/A</v>
      </c>
      <c r="Z925">
        <v>916</v>
      </c>
      <c r="AA925" t="e">
        <f>INDEX(Stammdaten[Ovalität (']0,1'])],MATCH(Tabelle1014[[#This Row],[Rank]],Stammdaten[Rank Verteilung Ovalität],0))</f>
        <v>#N/A</v>
      </c>
      <c r="AB925" t="e">
        <f>VLOOKUP(Tabelle1014[[#This Row],[Rank]],Stammdaten[[Rank Verteilung Ovalität]:[Verteilung Ovalität]],2,FALSE)</f>
        <v>#N/A</v>
      </c>
    </row>
    <row r="926" spans="5:28" x14ac:dyDescent="0.35">
      <c r="E926">
        <v>917</v>
      </c>
      <c r="F926" t="e">
        <f>INDEX(Stammdaten[D Mitte mit Rinde (mm)],MATCH(Tabelle8[[#This Row],[Rank]],Stammdaten[Rank Verteilung D Mitte mit Rinde],0))</f>
        <v>#N/A</v>
      </c>
      <c r="G926" t="e">
        <f>VLOOKUP(Tabelle8[[#This Row],[Rank]],Stammdaten[[Rank Verteilung D Mitte mit Rinde]:[Verteilung D Mitte mit Rinde]],2,FALSE)</f>
        <v>#N/A</v>
      </c>
      <c r="L926">
        <v>917</v>
      </c>
      <c r="M926" t="e">
        <f>INDEX(Stammdaten[Abholzigkeit (mm/lfm)],MATCH(Tabelle9[[#This Row],[Rank]],Stammdaten[Rank Verteilung Abholzigkeit],0))</f>
        <v>#N/A</v>
      </c>
      <c r="N926" t="e">
        <f>VLOOKUP(Tabelle9[[#This Row],[Rank]],Stammdaten[[Rank Verteilung Abholzigkeit]:[Verteilung Abholzigkeit]],2,FALSE)</f>
        <v>#N/A</v>
      </c>
      <c r="S926">
        <v>917</v>
      </c>
      <c r="T926" t="e">
        <f>INDEX(Stammdaten[Krümmung (mm/lfm)],MATCH(Tabelle10[[#This Row],[Rank]],Stammdaten[Rank Verteilung Krümmung],0))</f>
        <v>#N/A</v>
      </c>
      <c r="U926" t="e">
        <f>VLOOKUP(Tabelle10[[#This Row],[Rank]],Stammdaten[[Rank Verteilung Krümmung]:[Verteilung Krümmung]],2,FALSE)</f>
        <v>#N/A</v>
      </c>
      <c r="Z926">
        <v>917</v>
      </c>
      <c r="AA926" t="e">
        <f>INDEX(Stammdaten[Ovalität (']0,1'])],MATCH(Tabelle1014[[#This Row],[Rank]],Stammdaten[Rank Verteilung Ovalität],0))</f>
        <v>#N/A</v>
      </c>
      <c r="AB926" t="e">
        <f>VLOOKUP(Tabelle1014[[#This Row],[Rank]],Stammdaten[[Rank Verteilung Ovalität]:[Verteilung Ovalität]],2,FALSE)</f>
        <v>#N/A</v>
      </c>
    </row>
    <row r="927" spans="5:28" x14ac:dyDescent="0.35">
      <c r="E927">
        <v>918</v>
      </c>
      <c r="F927" t="e">
        <f>INDEX(Stammdaten[D Mitte mit Rinde (mm)],MATCH(Tabelle8[[#This Row],[Rank]],Stammdaten[Rank Verteilung D Mitte mit Rinde],0))</f>
        <v>#N/A</v>
      </c>
      <c r="G927" t="e">
        <f>VLOOKUP(Tabelle8[[#This Row],[Rank]],Stammdaten[[Rank Verteilung D Mitte mit Rinde]:[Verteilung D Mitte mit Rinde]],2,FALSE)</f>
        <v>#N/A</v>
      </c>
      <c r="L927">
        <v>918</v>
      </c>
      <c r="M927" t="e">
        <f>INDEX(Stammdaten[Abholzigkeit (mm/lfm)],MATCH(Tabelle9[[#This Row],[Rank]],Stammdaten[Rank Verteilung Abholzigkeit],0))</f>
        <v>#N/A</v>
      </c>
      <c r="N927" t="e">
        <f>VLOOKUP(Tabelle9[[#This Row],[Rank]],Stammdaten[[Rank Verteilung Abholzigkeit]:[Verteilung Abholzigkeit]],2,FALSE)</f>
        <v>#N/A</v>
      </c>
      <c r="S927">
        <v>918</v>
      </c>
      <c r="T927" t="e">
        <f>INDEX(Stammdaten[Krümmung (mm/lfm)],MATCH(Tabelle10[[#This Row],[Rank]],Stammdaten[Rank Verteilung Krümmung],0))</f>
        <v>#N/A</v>
      </c>
      <c r="U927" t="e">
        <f>VLOOKUP(Tabelle10[[#This Row],[Rank]],Stammdaten[[Rank Verteilung Krümmung]:[Verteilung Krümmung]],2,FALSE)</f>
        <v>#N/A</v>
      </c>
      <c r="Z927">
        <v>918</v>
      </c>
      <c r="AA927" t="e">
        <f>INDEX(Stammdaten[Ovalität (']0,1'])],MATCH(Tabelle1014[[#This Row],[Rank]],Stammdaten[Rank Verteilung Ovalität],0))</f>
        <v>#N/A</v>
      </c>
      <c r="AB927" t="e">
        <f>VLOOKUP(Tabelle1014[[#This Row],[Rank]],Stammdaten[[Rank Verteilung Ovalität]:[Verteilung Ovalität]],2,FALSE)</f>
        <v>#N/A</v>
      </c>
    </row>
    <row r="928" spans="5:28" x14ac:dyDescent="0.35">
      <c r="E928">
        <v>919</v>
      </c>
      <c r="F928" t="e">
        <f>INDEX(Stammdaten[D Mitte mit Rinde (mm)],MATCH(Tabelle8[[#This Row],[Rank]],Stammdaten[Rank Verteilung D Mitte mit Rinde],0))</f>
        <v>#N/A</v>
      </c>
      <c r="G928" t="e">
        <f>VLOOKUP(Tabelle8[[#This Row],[Rank]],Stammdaten[[Rank Verteilung D Mitte mit Rinde]:[Verteilung D Mitte mit Rinde]],2,FALSE)</f>
        <v>#N/A</v>
      </c>
      <c r="L928">
        <v>919</v>
      </c>
      <c r="M928" t="e">
        <f>INDEX(Stammdaten[Abholzigkeit (mm/lfm)],MATCH(Tabelle9[[#This Row],[Rank]],Stammdaten[Rank Verteilung Abholzigkeit],0))</f>
        <v>#N/A</v>
      </c>
      <c r="N928" t="e">
        <f>VLOOKUP(Tabelle9[[#This Row],[Rank]],Stammdaten[[Rank Verteilung Abholzigkeit]:[Verteilung Abholzigkeit]],2,FALSE)</f>
        <v>#N/A</v>
      </c>
      <c r="S928">
        <v>919</v>
      </c>
      <c r="T928" t="e">
        <f>INDEX(Stammdaten[Krümmung (mm/lfm)],MATCH(Tabelle10[[#This Row],[Rank]],Stammdaten[Rank Verteilung Krümmung],0))</f>
        <v>#N/A</v>
      </c>
      <c r="U928" t="e">
        <f>VLOOKUP(Tabelle10[[#This Row],[Rank]],Stammdaten[[Rank Verteilung Krümmung]:[Verteilung Krümmung]],2,FALSE)</f>
        <v>#N/A</v>
      </c>
      <c r="Z928">
        <v>919</v>
      </c>
      <c r="AA928" t="e">
        <f>INDEX(Stammdaten[Ovalität (']0,1'])],MATCH(Tabelle1014[[#This Row],[Rank]],Stammdaten[Rank Verteilung Ovalität],0))</f>
        <v>#N/A</v>
      </c>
      <c r="AB928" t="e">
        <f>VLOOKUP(Tabelle1014[[#This Row],[Rank]],Stammdaten[[Rank Verteilung Ovalität]:[Verteilung Ovalität]],2,FALSE)</f>
        <v>#N/A</v>
      </c>
    </row>
    <row r="929" spans="5:28" x14ac:dyDescent="0.35">
      <c r="E929">
        <v>920</v>
      </c>
      <c r="F929" t="e">
        <f>INDEX(Stammdaten[D Mitte mit Rinde (mm)],MATCH(Tabelle8[[#This Row],[Rank]],Stammdaten[Rank Verteilung D Mitte mit Rinde],0))</f>
        <v>#N/A</v>
      </c>
      <c r="G929" t="e">
        <f>VLOOKUP(Tabelle8[[#This Row],[Rank]],Stammdaten[[Rank Verteilung D Mitte mit Rinde]:[Verteilung D Mitte mit Rinde]],2,FALSE)</f>
        <v>#N/A</v>
      </c>
      <c r="L929">
        <v>920</v>
      </c>
      <c r="M929" t="e">
        <f>INDEX(Stammdaten[Abholzigkeit (mm/lfm)],MATCH(Tabelle9[[#This Row],[Rank]],Stammdaten[Rank Verteilung Abholzigkeit],0))</f>
        <v>#N/A</v>
      </c>
      <c r="N929" t="e">
        <f>VLOOKUP(Tabelle9[[#This Row],[Rank]],Stammdaten[[Rank Verteilung Abholzigkeit]:[Verteilung Abholzigkeit]],2,FALSE)</f>
        <v>#N/A</v>
      </c>
      <c r="S929">
        <v>920</v>
      </c>
      <c r="T929" t="e">
        <f>INDEX(Stammdaten[Krümmung (mm/lfm)],MATCH(Tabelle10[[#This Row],[Rank]],Stammdaten[Rank Verteilung Krümmung],0))</f>
        <v>#N/A</v>
      </c>
      <c r="U929" t="e">
        <f>VLOOKUP(Tabelle10[[#This Row],[Rank]],Stammdaten[[Rank Verteilung Krümmung]:[Verteilung Krümmung]],2,FALSE)</f>
        <v>#N/A</v>
      </c>
      <c r="Z929">
        <v>920</v>
      </c>
      <c r="AA929" t="e">
        <f>INDEX(Stammdaten[Ovalität (']0,1'])],MATCH(Tabelle1014[[#This Row],[Rank]],Stammdaten[Rank Verteilung Ovalität],0))</f>
        <v>#N/A</v>
      </c>
      <c r="AB929" t="e">
        <f>VLOOKUP(Tabelle1014[[#This Row],[Rank]],Stammdaten[[Rank Verteilung Ovalität]:[Verteilung Ovalität]],2,FALSE)</f>
        <v>#N/A</v>
      </c>
    </row>
    <row r="930" spans="5:28" x14ac:dyDescent="0.35">
      <c r="E930">
        <v>921</v>
      </c>
      <c r="F930" t="e">
        <f>INDEX(Stammdaten[D Mitte mit Rinde (mm)],MATCH(Tabelle8[[#This Row],[Rank]],Stammdaten[Rank Verteilung D Mitte mit Rinde],0))</f>
        <v>#N/A</v>
      </c>
      <c r="G930" t="e">
        <f>VLOOKUP(Tabelle8[[#This Row],[Rank]],Stammdaten[[Rank Verteilung D Mitte mit Rinde]:[Verteilung D Mitte mit Rinde]],2,FALSE)</f>
        <v>#N/A</v>
      </c>
      <c r="L930">
        <v>921</v>
      </c>
      <c r="M930" t="e">
        <f>INDEX(Stammdaten[Abholzigkeit (mm/lfm)],MATCH(Tabelle9[[#This Row],[Rank]],Stammdaten[Rank Verteilung Abholzigkeit],0))</f>
        <v>#N/A</v>
      </c>
      <c r="N930" t="e">
        <f>VLOOKUP(Tabelle9[[#This Row],[Rank]],Stammdaten[[Rank Verteilung Abholzigkeit]:[Verteilung Abholzigkeit]],2,FALSE)</f>
        <v>#N/A</v>
      </c>
      <c r="S930">
        <v>921</v>
      </c>
      <c r="T930" t="e">
        <f>INDEX(Stammdaten[Krümmung (mm/lfm)],MATCH(Tabelle10[[#This Row],[Rank]],Stammdaten[Rank Verteilung Krümmung],0))</f>
        <v>#N/A</v>
      </c>
      <c r="U930" t="e">
        <f>VLOOKUP(Tabelle10[[#This Row],[Rank]],Stammdaten[[Rank Verteilung Krümmung]:[Verteilung Krümmung]],2,FALSE)</f>
        <v>#N/A</v>
      </c>
      <c r="Z930">
        <v>921</v>
      </c>
      <c r="AA930" t="e">
        <f>INDEX(Stammdaten[Ovalität (']0,1'])],MATCH(Tabelle1014[[#This Row],[Rank]],Stammdaten[Rank Verteilung Ovalität],0))</f>
        <v>#N/A</v>
      </c>
      <c r="AB930" t="e">
        <f>VLOOKUP(Tabelle1014[[#This Row],[Rank]],Stammdaten[[Rank Verteilung Ovalität]:[Verteilung Ovalität]],2,FALSE)</f>
        <v>#N/A</v>
      </c>
    </row>
    <row r="931" spans="5:28" x14ac:dyDescent="0.35">
      <c r="E931">
        <v>922</v>
      </c>
      <c r="F931" t="e">
        <f>INDEX(Stammdaten[D Mitte mit Rinde (mm)],MATCH(Tabelle8[[#This Row],[Rank]],Stammdaten[Rank Verteilung D Mitte mit Rinde],0))</f>
        <v>#N/A</v>
      </c>
      <c r="G931" t="e">
        <f>VLOOKUP(Tabelle8[[#This Row],[Rank]],Stammdaten[[Rank Verteilung D Mitte mit Rinde]:[Verteilung D Mitte mit Rinde]],2,FALSE)</f>
        <v>#N/A</v>
      </c>
      <c r="L931">
        <v>922</v>
      </c>
      <c r="M931" t="e">
        <f>INDEX(Stammdaten[Abholzigkeit (mm/lfm)],MATCH(Tabelle9[[#This Row],[Rank]],Stammdaten[Rank Verteilung Abholzigkeit],0))</f>
        <v>#N/A</v>
      </c>
      <c r="N931" t="e">
        <f>VLOOKUP(Tabelle9[[#This Row],[Rank]],Stammdaten[[Rank Verteilung Abholzigkeit]:[Verteilung Abholzigkeit]],2,FALSE)</f>
        <v>#N/A</v>
      </c>
      <c r="S931">
        <v>922</v>
      </c>
      <c r="T931" t="e">
        <f>INDEX(Stammdaten[Krümmung (mm/lfm)],MATCH(Tabelle10[[#This Row],[Rank]],Stammdaten[Rank Verteilung Krümmung],0))</f>
        <v>#N/A</v>
      </c>
      <c r="U931" t="e">
        <f>VLOOKUP(Tabelle10[[#This Row],[Rank]],Stammdaten[[Rank Verteilung Krümmung]:[Verteilung Krümmung]],2,FALSE)</f>
        <v>#N/A</v>
      </c>
      <c r="Z931">
        <v>922</v>
      </c>
      <c r="AA931" t="e">
        <f>INDEX(Stammdaten[Ovalität (']0,1'])],MATCH(Tabelle1014[[#This Row],[Rank]],Stammdaten[Rank Verteilung Ovalität],0))</f>
        <v>#N/A</v>
      </c>
      <c r="AB931" t="e">
        <f>VLOOKUP(Tabelle1014[[#This Row],[Rank]],Stammdaten[[Rank Verteilung Ovalität]:[Verteilung Ovalität]],2,FALSE)</f>
        <v>#N/A</v>
      </c>
    </row>
    <row r="932" spans="5:28" x14ac:dyDescent="0.35">
      <c r="E932">
        <v>923</v>
      </c>
      <c r="F932" t="e">
        <f>INDEX(Stammdaten[D Mitte mit Rinde (mm)],MATCH(Tabelle8[[#This Row],[Rank]],Stammdaten[Rank Verteilung D Mitte mit Rinde],0))</f>
        <v>#N/A</v>
      </c>
      <c r="G932" t="e">
        <f>VLOOKUP(Tabelle8[[#This Row],[Rank]],Stammdaten[[Rank Verteilung D Mitte mit Rinde]:[Verteilung D Mitte mit Rinde]],2,FALSE)</f>
        <v>#N/A</v>
      </c>
      <c r="L932">
        <v>923</v>
      </c>
      <c r="M932" t="e">
        <f>INDEX(Stammdaten[Abholzigkeit (mm/lfm)],MATCH(Tabelle9[[#This Row],[Rank]],Stammdaten[Rank Verteilung Abholzigkeit],0))</f>
        <v>#N/A</v>
      </c>
      <c r="N932" t="e">
        <f>VLOOKUP(Tabelle9[[#This Row],[Rank]],Stammdaten[[Rank Verteilung Abholzigkeit]:[Verteilung Abholzigkeit]],2,FALSE)</f>
        <v>#N/A</v>
      </c>
      <c r="S932">
        <v>923</v>
      </c>
      <c r="T932" t="e">
        <f>INDEX(Stammdaten[Krümmung (mm/lfm)],MATCH(Tabelle10[[#This Row],[Rank]],Stammdaten[Rank Verteilung Krümmung],0))</f>
        <v>#N/A</v>
      </c>
      <c r="U932" t="e">
        <f>VLOOKUP(Tabelle10[[#This Row],[Rank]],Stammdaten[[Rank Verteilung Krümmung]:[Verteilung Krümmung]],2,FALSE)</f>
        <v>#N/A</v>
      </c>
      <c r="Z932">
        <v>923</v>
      </c>
      <c r="AA932" t="e">
        <f>INDEX(Stammdaten[Ovalität (']0,1'])],MATCH(Tabelle1014[[#This Row],[Rank]],Stammdaten[Rank Verteilung Ovalität],0))</f>
        <v>#N/A</v>
      </c>
      <c r="AB932" t="e">
        <f>VLOOKUP(Tabelle1014[[#This Row],[Rank]],Stammdaten[[Rank Verteilung Ovalität]:[Verteilung Ovalität]],2,FALSE)</f>
        <v>#N/A</v>
      </c>
    </row>
    <row r="933" spans="5:28" x14ac:dyDescent="0.35">
      <c r="E933">
        <v>924</v>
      </c>
      <c r="F933" t="e">
        <f>INDEX(Stammdaten[D Mitte mit Rinde (mm)],MATCH(Tabelle8[[#This Row],[Rank]],Stammdaten[Rank Verteilung D Mitte mit Rinde],0))</f>
        <v>#N/A</v>
      </c>
      <c r="G933" t="e">
        <f>VLOOKUP(Tabelle8[[#This Row],[Rank]],Stammdaten[[Rank Verteilung D Mitte mit Rinde]:[Verteilung D Mitte mit Rinde]],2,FALSE)</f>
        <v>#N/A</v>
      </c>
      <c r="L933">
        <v>924</v>
      </c>
      <c r="M933" t="e">
        <f>INDEX(Stammdaten[Abholzigkeit (mm/lfm)],MATCH(Tabelle9[[#This Row],[Rank]],Stammdaten[Rank Verteilung Abholzigkeit],0))</f>
        <v>#N/A</v>
      </c>
      <c r="N933" t="e">
        <f>VLOOKUP(Tabelle9[[#This Row],[Rank]],Stammdaten[[Rank Verteilung Abholzigkeit]:[Verteilung Abholzigkeit]],2,FALSE)</f>
        <v>#N/A</v>
      </c>
      <c r="S933">
        <v>924</v>
      </c>
      <c r="T933" t="e">
        <f>INDEX(Stammdaten[Krümmung (mm/lfm)],MATCH(Tabelle10[[#This Row],[Rank]],Stammdaten[Rank Verteilung Krümmung],0))</f>
        <v>#N/A</v>
      </c>
      <c r="U933" t="e">
        <f>VLOOKUP(Tabelle10[[#This Row],[Rank]],Stammdaten[[Rank Verteilung Krümmung]:[Verteilung Krümmung]],2,FALSE)</f>
        <v>#N/A</v>
      </c>
      <c r="Z933">
        <v>924</v>
      </c>
      <c r="AA933" t="e">
        <f>INDEX(Stammdaten[Ovalität (']0,1'])],MATCH(Tabelle1014[[#This Row],[Rank]],Stammdaten[Rank Verteilung Ovalität],0))</f>
        <v>#N/A</v>
      </c>
      <c r="AB933" t="e">
        <f>VLOOKUP(Tabelle1014[[#This Row],[Rank]],Stammdaten[[Rank Verteilung Ovalität]:[Verteilung Ovalität]],2,FALSE)</f>
        <v>#N/A</v>
      </c>
    </row>
    <row r="934" spans="5:28" x14ac:dyDescent="0.35">
      <c r="E934">
        <v>925</v>
      </c>
      <c r="F934" t="e">
        <f>INDEX(Stammdaten[D Mitte mit Rinde (mm)],MATCH(Tabelle8[[#This Row],[Rank]],Stammdaten[Rank Verteilung D Mitte mit Rinde],0))</f>
        <v>#N/A</v>
      </c>
      <c r="G934" t="e">
        <f>VLOOKUP(Tabelle8[[#This Row],[Rank]],Stammdaten[[Rank Verteilung D Mitte mit Rinde]:[Verteilung D Mitte mit Rinde]],2,FALSE)</f>
        <v>#N/A</v>
      </c>
      <c r="L934">
        <v>925</v>
      </c>
      <c r="M934" t="e">
        <f>INDEX(Stammdaten[Abholzigkeit (mm/lfm)],MATCH(Tabelle9[[#This Row],[Rank]],Stammdaten[Rank Verteilung Abholzigkeit],0))</f>
        <v>#N/A</v>
      </c>
      <c r="N934" t="e">
        <f>VLOOKUP(Tabelle9[[#This Row],[Rank]],Stammdaten[[Rank Verteilung Abholzigkeit]:[Verteilung Abholzigkeit]],2,FALSE)</f>
        <v>#N/A</v>
      </c>
      <c r="S934">
        <v>925</v>
      </c>
      <c r="T934" t="e">
        <f>INDEX(Stammdaten[Krümmung (mm/lfm)],MATCH(Tabelle10[[#This Row],[Rank]],Stammdaten[Rank Verteilung Krümmung],0))</f>
        <v>#N/A</v>
      </c>
      <c r="U934" t="e">
        <f>VLOOKUP(Tabelle10[[#This Row],[Rank]],Stammdaten[[Rank Verteilung Krümmung]:[Verteilung Krümmung]],2,FALSE)</f>
        <v>#N/A</v>
      </c>
      <c r="Z934">
        <v>925</v>
      </c>
      <c r="AA934" t="e">
        <f>INDEX(Stammdaten[Ovalität (']0,1'])],MATCH(Tabelle1014[[#This Row],[Rank]],Stammdaten[Rank Verteilung Ovalität],0))</f>
        <v>#N/A</v>
      </c>
      <c r="AB934" t="e">
        <f>VLOOKUP(Tabelle1014[[#This Row],[Rank]],Stammdaten[[Rank Verteilung Ovalität]:[Verteilung Ovalität]],2,FALSE)</f>
        <v>#N/A</v>
      </c>
    </row>
    <row r="935" spans="5:28" x14ac:dyDescent="0.35">
      <c r="E935">
        <v>926</v>
      </c>
      <c r="F935" t="e">
        <f>INDEX(Stammdaten[D Mitte mit Rinde (mm)],MATCH(Tabelle8[[#This Row],[Rank]],Stammdaten[Rank Verteilung D Mitte mit Rinde],0))</f>
        <v>#N/A</v>
      </c>
      <c r="G935" t="e">
        <f>VLOOKUP(Tabelle8[[#This Row],[Rank]],Stammdaten[[Rank Verteilung D Mitte mit Rinde]:[Verteilung D Mitte mit Rinde]],2,FALSE)</f>
        <v>#N/A</v>
      </c>
      <c r="L935">
        <v>926</v>
      </c>
      <c r="M935" t="e">
        <f>INDEX(Stammdaten[Abholzigkeit (mm/lfm)],MATCH(Tabelle9[[#This Row],[Rank]],Stammdaten[Rank Verteilung Abholzigkeit],0))</f>
        <v>#N/A</v>
      </c>
      <c r="N935" t="e">
        <f>VLOOKUP(Tabelle9[[#This Row],[Rank]],Stammdaten[[Rank Verteilung Abholzigkeit]:[Verteilung Abholzigkeit]],2,FALSE)</f>
        <v>#N/A</v>
      </c>
      <c r="S935">
        <v>926</v>
      </c>
      <c r="T935" t="e">
        <f>INDEX(Stammdaten[Krümmung (mm/lfm)],MATCH(Tabelle10[[#This Row],[Rank]],Stammdaten[Rank Verteilung Krümmung],0))</f>
        <v>#N/A</v>
      </c>
      <c r="U935" t="e">
        <f>VLOOKUP(Tabelle10[[#This Row],[Rank]],Stammdaten[[Rank Verteilung Krümmung]:[Verteilung Krümmung]],2,FALSE)</f>
        <v>#N/A</v>
      </c>
      <c r="Z935">
        <v>926</v>
      </c>
      <c r="AA935" t="e">
        <f>INDEX(Stammdaten[Ovalität (']0,1'])],MATCH(Tabelle1014[[#This Row],[Rank]],Stammdaten[Rank Verteilung Ovalität],0))</f>
        <v>#N/A</v>
      </c>
      <c r="AB935" t="e">
        <f>VLOOKUP(Tabelle1014[[#This Row],[Rank]],Stammdaten[[Rank Verteilung Ovalität]:[Verteilung Ovalität]],2,FALSE)</f>
        <v>#N/A</v>
      </c>
    </row>
    <row r="936" spans="5:28" x14ac:dyDescent="0.35">
      <c r="E936">
        <v>927</v>
      </c>
      <c r="F936" t="e">
        <f>INDEX(Stammdaten[D Mitte mit Rinde (mm)],MATCH(Tabelle8[[#This Row],[Rank]],Stammdaten[Rank Verteilung D Mitte mit Rinde],0))</f>
        <v>#N/A</v>
      </c>
      <c r="G936" t="e">
        <f>VLOOKUP(Tabelle8[[#This Row],[Rank]],Stammdaten[[Rank Verteilung D Mitte mit Rinde]:[Verteilung D Mitte mit Rinde]],2,FALSE)</f>
        <v>#N/A</v>
      </c>
      <c r="L936">
        <v>927</v>
      </c>
      <c r="M936" t="e">
        <f>INDEX(Stammdaten[Abholzigkeit (mm/lfm)],MATCH(Tabelle9[[#This Row],[Rank]],Stammdaten[Rank Verteilung Abholzigkeit],0))</f>
        <v>#N/A</v>
      </c>
      <c r="N936" t="e">
        <f>VLOOKUP(Tabelle9[[#This Row],[Rank]],Stammdaten[[Rank Verteilung Abholzigkeit]:[Verteilung Abholzigkeit]],2,FALSE)</f>
        <v>#N/A</v>
      </c>
      <c r="S936">
        <v>927</v>
      </c>
      <c r="T936" t="e">
        <f>INDEX(Stammdaten[Krümmung (mm/lfm)],MATCH(Tabelle10[[#This Row],[Rank]],Stammdaten[Rank Verteilung Krümmung],0))</f>
        <v>#N/A</v>
      </c>
      <c r="U936" t="e">
        <f>VLOOKUP(Tabelle10[[#This Row],[Rank]],Stammdaten[[Rank Verteilung Krümmung]:[Verteilung Krümmung]],2,FALSE)</f>
        <v>#N/A</v>
      </c>
      <c r="Z936">
        <v>927</v>
      </c>
      <c r="AA936" t="e">
        <f>INDEX(Stammdaten[Ovalität (']0,1'])],MATCH(Tabelle1014[[#This Row],[Rank]],Stammdaten[Rank Verteilung Ovalität],0))</f>
        <v>#N/A</v>
      </c>
      <c r="AB936" t="e">
        <f>VLOOKUP(Tabelle1014[[#This Row],[Rank]],Stammdaten[[Rank Verteilung Ovalität]:[Verteilung Ovalität]],2,FALSE)</f>
        <v>#N/A</v>
      </c>
    </row>
    <row r="937" spans="5:28" x14ac:dyDescent="0.35">
      <c r="E937">
        <v>928</v>
      </c>
      <c r="F937" t="e">
        <f>INDEX(Stammdaten[D Mitte mit Rinde (mm)],MATCH(Tabelle8[[#This Row],[Rank]],Stammdaten[Rank Verteilung D Mitte mit Rinde],0))</f>
        <v>#N/A</v>
      </c>
      <c r="G937" t="e">
        <f>VLOOKUP(Tabelle8[[#This Row],[Rank]],Stammdaten[[Rank Verteilung D Mitte mit Rinde]:[Verteilung D Mitte mit Rinde]],2,FALSE)</f>
        <v>#N/A</v>
      </c>
      <c r="L937">
        <v>928</v>
      </c>
      <c r="M937" t="e">
        <f>INDEX(Stammdaten[Abholzigkeit (mm/lfm)],MATCH(Tabelle9[[#This Row],[Rank]],Stammdaten[Rank Verteilung Abholzigkeit],0))</f>
        <v>#N/A</v>
      </c>
      <c r="N937" t="e">
        <f>VLOOKUP(Tabelle9[[#This Row],[Rank]],Stammdaten[[Rank Verteilung Abholzigkeit]:[Verteilung Abholzigkeit]],2,FALSE)</f>
        <v>#N/A</v>
      </c>
      <c r="S937">
        <v>928</v>
      </c>
      <c r="T937" t="e">
        <f>INDEX(Stammdaten[Krümmung (mm/lfm)],MATCH(Tabelle10[[#This Row],[Rank]],Stammdaten[Rank Verteilung Krümmung],0))</f>
        <v>#N/A</v>
      </c>
      <c r="U937" t="e">
        <f>VLOOKUP(Tabelle10[[#This Row],[Rank]],Stammdaten[[Rank Verteilung Krümmung]:[Verteilung Krümmung]],2,FALSE)</f>
        <v>#N/A</v>
      </c>
      <c r="Z937">
        <v>928</v>
      </c>
      <c r="AA937" t="e">
        <f>INDEX(Stammdaten[Ovalität (']0,1'])],MATCH(Tabelle1014[[#This Row],[Rank]],Stammdaten[Rank Verteilung Ovalität],0))</f>
        <v>#N/A</v>
      </c>
      <c r="AB937" t="e">
        <f>VLOOKUP(Tabelle1014[[#This Row],[Rank]],Stammdaten[[Rank Verteilung Ovalität]:[Verteilung Ovalität]],2,FALSE)</f>
        <v>#N/A</v>
      </c>
    </row>
    <row r="938" spans="5:28" x14ac:dyDescent="0.35">
      <c r="E938">
        <v>929</v>
      </c>
      <c r="F938" t="e">
        <f>INDEX(Stammdaten[D Mitte mit Rinde (mm)],MATCH(Tabelle8[[#This Row],[Rank]],Stammdaten[Rank Verteilung D Mitte mit Rinde],0))</f>
        <v>#N/A</v>
      </c>
      <c r="G938" t="e">
        <f>VLOOKUP(Tabelle8[[#This Row],[Rank]],Stammdaten[[Rank Verteilung D Mitte mit Rinde]:[Verteilung D Mitte mit Rinde]],2,FALSE)</f>
        <v>#N/A</v>
      </c>
      <c r="L938">
        <v>929</v>
      </c>
      <c r="M938" t="e">
        <f>INDEX(Stammdaten[Abholzigkeit (mm/lfm)],MATCH(Tabelle9[[#This Row],[Rank]],Stammdaten[Rank Verteilung Abholzigkeit],0))</f>
        <v>#N/A</v>
      </c>
      <c r="N938" t="e">
        <f>VLOOKUP(Tabelle9[[#This Row],[Rank]],Stammdaten[[Rank Verteilung Abholzigkeit]:[Verteilung Abholzigkeit]],2,FALSE)</f>
        <v>#N/A</v>
      </c>
      <c r="S938">
        <v>929</v>
      </c>
      <c r="T938" t="e">
        <f>INDEX(Stammdaten[Krümmung (mm/lfm)],MATCH(Tabelle10[[#This Row],[Rank]],Stammdaten[Rank Verteilung Krümmung],0))</f>
        <v>#N/A</v>
      </c>
      <c r="U938" t="e">
        <f>VLOOKUP(Tabelle10[[#This Row],[Rank]],Stammdaten[[Rank Verteilung Krümmung]:[Verteilung Krümmung]],2,FALSE)</f>
        <v>#N/A</v>
      </c>
      <c r="Z938">
        <v>929</v>
      </c>
      <c r="AA938" t="e">
        <f>INDEX(Stammdaten[Ovalität (']0,1'])],MATCH(Tabelle1014[[#This Row],[Rank]],Stammdaten[Rank Verteilung Ovalität],0))</f>
        <v>#N/A</v>
      </c>
      <c r="AB938" t="e">
        <f>VLOOKUP(Tabelle1014[[#This Row],[Rank]],Stammdaten[[Rank Verteilung Ovalität]:[Verteilung Ovalität]],2,FALSE)</f>
        <v>#N/A</v>
      </c>
    </row>
    <row r="939" spans="5:28" x14ac:dyDescent="0.35">
      <c r="E939">
        <v>930</v>
      </c>
      <c r="F939" t="e">
        <f>INDEX(Stammdaten[D Mitte mit Rinde (mm)],MATCH(Tabelle8[[#This Row],[Rank]],Stammdaten[Rank Verteilung D Mitte mit Rinde],0))</f>
        <v>#N/A</v>
      </c>
      <c r="G939" t="e">
        <f>VLOOKUP(Tabelle8[[#This Row],[Rank]],Stammdaten[[Rank Verteilung D Mitte mit Rinde]:[Verteilung D Mitte mit Rinde]],2,FALSE)</f>
        <v>#N/A</v>
      </c>
      <c r="L939">
        <v>930</v>
      </c>
      <c r="M939" t="e">
        <f>INDEX(Stammdaten[Abholzigkeit (mm/lfm)],MATCH(Tabelle9[[#This Row],[Rank]],Stammdaten[Rank Verteilung Abholzigkeit],0))</f>
        <v>#N/A</v>
      </c>
      <c r="N939" t="e">
        <f>VLOOKUP(Tabelle9[[#This Row],[Rank]],Stammdaten[[Rank Verteilung Abholzigkeit]:[Verteilung Abholzigkeit]],2,FALSE)</f>
        <v>#N/A</v>
      </c>
      <c r="S939">
        <v>930</v>
      </c>
      <c r="T939" t="e">
        <f>INDEX(Stammdaten[Krümmung (mm/lfm)],MATCH(Tabelle10[[#This Row],[Rank]],Stammdaten[Rank Verteilung Krümmung],0))</f>
        <v>#N/A</v>
      </c>
      <c r="U939" t="e">
        <f>VLOOKUP(Tabelle10[[#This Row],[Rank]],Stammdaten[[Rank Verteilung Krümmung]:[Verteilung Krümmung]],2,FALSE)</f>
        <v>#N/A</v>
      </c>
      <c r="Z939">
        <v>930</v>
      </c>
      <c r="AA939" t="e">
        <f>INDEX(Stammdaten[Ovalität (']0,1'])],MATCH(Tabelle1014[[#This Row],[Rank]],Stammdaten[Rank Verteilung Ovalität],0))</f>
        <v>#N/A</v>
      </c>
      <c r="AB939" t="e">
        <f>VLOOKUP(Tabelle1014[[#This Row],[Rank]],Stammdaten[[Rank Verteilung Ovalität]:[Verteilung Ovalität]],2,FALSE)</f>
        <v>#N/A</v>
      </c>
    </row>
    <row r="940" spans="5:28" x14ac:dyDescent="0.35">
      <c r="E940">
        <v>931</v>
      </c>
      <c r="F940" t="e">
        <f>INDEX(Stammdaten[D Mitte mit Rinde (mm)],MATCH(Tabelle8[[#This Row],[Rank]],Stammdaten[Rank Verteilung D Mitte mit Rinde],0))</f>
        <v>#N/A</v>
      </c>
      <c r="G940" t="e">
        <f>VLOOKUP(Tabelle8[[#This Row],[Rank]],Stammdaten[[Rank Verteilung D Mitte mit Rinde]:[Verteilung D Mitte mit Rinde]],2,FALSE)</f>
        <v>#N/A</v>
      </c>
      <c r="L940">
        <v>931</v>
      </c>
      <c r="M940" t="e">
        <f>INDEX(Stammdaten[Abholzigkeit (mm/lfm)],MATCH(Tabelle9[[#This Row],[Rank]],Stammdaten[Rank Verteilung Abholzigkeit],0))</f>
        <v>#N/A</v>
      </c>
      <c r="N940" t="e">
        <f>VLOOKUP(Tabelle9[[#This Row],[Rank]],Stammdaten[[Rank Verteilung Abholzigkeit]:[Verteilung Abholzigkeit]],2,FALSE)</f>
        <v>#N/A</v>
      </c>
      <c r="S940">
        <v>931</v>
      </c>
      <c r="T940" t="e">
        <f>INDEX(Stammdaten[Krümmung (mm/lfm)],MATCH(Tabelle10[[#This Row],[Rank]],Stammdaten[Rank Verteilung Krümmung],0))</f>
        <v>#N/A</v>
      </c>
      <c r="U940" t="e">
        <f>VLOOKUP(Tabelle10[[#This Row],[Rank]],Stammdaten[[Rank Verteilung Krümmung]:[Verteilung Krümmung]],2,FALSE)</f>
        <v>#N/A</v>
      </c>
      <c r="Z940">
        <v>931</v>
      </c>
      <c r="AA940" t="e">
        <f>INDEX(Stammdaten[Ovalität (']0,1'])],MATCH(Tabelle1014[[#This Row],[Rank]],Stammdaten[Rank Verteilung Ovalität],0))</f>
        <v>#N/A</v>
      </c>
      <c r="AB940" t="e">
        <f>VLOOKUP(Tabelle1014[[#This Row],[Rank]],Stammdaten[[Rank Verteilung Ovalität]:[Verteilung Ovalität]],2,FALSE)</f>
        <v>#N/A</v>
      </c>
    </row>
    <row r="941" spans="5:28" x14ac:dyDescent="0.35">
      <c r="E941">
        <v>932</v>
      </c>
      <c r="F941" t="e">
        <f>INDEX(Stammdaten[D Mitte mit Rinde (mm)],MATCH(Tabelle8[[#This Row],[Rank]],Stammdaten[Rank Verteilung D Mitte mit Rinde],0))</f>
        <v>#N/A</v>
      </c>
      <c r="G941" t="e">
        <f>VLOOKUP(Tabelle8[[#This Row],[Rank]],Stammdaten[[Rank Verteilung D Mitte mit Rinde]:[Verteilung D Mitte mit Rinde]],2,FALSE)</f>
        <v>#N/A</v>
      </c>
      <c r="L941">
        <v>932</v>
      </c>
      <c r="M941" t="e">
        <f>INDEX(Stammdaten[Abholzigkeit (mm/lfm)],MATCH(Tabelle9[[#This Row],[Rank]],Stammdaten[Rank Verteilung Abholzigkeit],0))</f>
        <v>#N/A</v>
      </c>
      <c r="N941" t="e">
        <f>VLOOKUP(Tabelle9[[#This Row],[Rank]],Stammdaten[[Rank Verteilung Abholzigkeit]:[Verteilung Abholzigkeit]],2,FALSE)</f>
        <v>#N/A</v>
      </c>
      <c r="S941">
        <v>932</v>
      </c>
      <c r="T941" t="e">
        <f>INDEX(Stammdaten[Krümmung (mm/lfm)],MATCH(Tabelle10[[#This Row],[Rank]],Stammdaten[Rank Verteilung Krümmung],0))</f>
        <v>#N/A</v>
      </c>
      <c r="U941" t="e">
        <f>VLOOKUP(Tabelle10[[#This Row],[Rank]],Stammdaten[[Rank Verteilung Krümmung]:[Verteilung Krümmung]],2,FALSE)</f>
        <v>#N/A</v>
      </c>
      <c r="Z941">
        <v>932</v>
      </c>
      <c r="AA941" t="e">
        <f>INDEX(Stammdaten[Ovalität (']0,1'])],MATCH(Tabelle1014[[#This Row],[Rank]],Stammdaten[Rank Verteilung Ovalität],0))</f>
        <v>#N/A</v>
      </c>
      <c r="AB941" t="e">
        <f>VLOOKUP(Tabelle1014[[#This Row],[Rank]],Stammdaten[[Rank Verteilung Ovalität]:[Verteilung Ovalität]],2,FALSE)</f>
        <v>#N/A</v>
      </c>
    </row>
    <row r="942" spans="5:28" x14ac:dyDescent="0.35">
      <c r="E942">
        <v>933</v>
      </c>
      <c r="F942" t="e">
        <f>INDEX(Stammdaten[D Mitte mit Rinde (mm)],MATCH(Tabelle8[[#This Row],[Rank]],Stammdaten[Rank Verteilung D Mitte mit Rinde],0))</f>
        <v>#N/A</v>
      </c>
      <c r="G942" t="e">
        <f>VLOOKUP(Tabelle8[[#This Row],[Rank]],Stammdaten[[Rank Verteilung D Mitte mit Rinde]:[Verteilung D Mitte mit Rinde]],2,FALSE)</f>
        <v>#N/A</v>
      </c>
      <c r="L942">
        <v>933</v>
      </c>
      <c r="M942" t="e">
        <f>INDEX(Stammdaten[Abholzigkeit (mm/lfm)],MATCH(Tabelle9[[#This Row],[Rank]],Stammdaten[Rank Verteilung Abholzigkeit],0))</f>
        <v>#N/A</v>
      </c>
      <c r="N942" t="e">
        <f>VLOOKUP(Tabelle9[[#This Row],[Rank]],Stammdaten[[Rank Verteilung Abholzigkeit]:[Verteilung Abholzigkeit]],2,FALSE)</f>
        <v>#N/A</v>
      </c>
      <c r="S942">
        <v>933</v>
      </c>
      <c r="T942" t="e">
        <f>INDEX(Stammdaten[Krümmung (mm/lfm)],MATCH(Tabelle10[[#This Row],[Rank]],Stammdaten[Rank Verteilung Krümmung],0))</f>
        <v>#N/A</v>
      </c>
      <c r="U942" t="e">
        <f>VLOOKUP(Tabelle10[[#This Row],[Rank]],Stammdaten[[Rank Verteilung Krümmung]:[Verteilung Krümmung]],2,FALSE)</f>
        <v>#N/A</v>
      </c>
      <c r="Z942">
        <v>933</v>
      </c>
      <c r="AA942" t="e">
        <f>INDEX(Stammdaten[Ovalität (']0,1'])],MATCH(Tabelle1014[[#This Row],[Rank]],Stammdaten[Rank Verteilung Ovalität],0))</f>
        <v>#N/A</v>
      </c>
      <c r="AB942" t="e">
        <f>VLOOKUP(Tabelle1014[[#This Row],[Rank]],Stammdaten[[Rank Verteilung Ovalität]:[Verteilung Ovalität]],2,FALSE)</f>
        <v>#N/A</v>
      </c>
    </row>
    <row r="943" spans="5:28" x14ac:dyDescent="0.35">
      <c r="E943">
        <v>934</v>
      </c>
      <c r="F943" t="e">
        <f>INDEX(Stammdaten[D Mitte mit Rinde (mm)],MATCH(Tabelle8[[#This Row],[Rank]],Stammdaten[Rank Verteilung D Mitte mit Rinde],0))</f>
        <v>#N/A</v>
      </c>
      <c r="G943" t="e">
        <f>VLOOKUP(Tabelle8[[#This Row],[Rank]],Stammdaten[[Rank Verteilung D Mitte mit Rinde]:[Verteilung D Mitte mit Rinde]],2,FALSE)</f>
        <v>#N/A</v>
      </c>
      <c r="L943">
        <v>934</v>
      </c>
      <c r="M943" t="e">
        <f>INDEX(Stammdaten[Abholzigkeit (mm/lfm)],MATCH(Tabelle9[[#This Row],[Rank]],Stammdaten[Rank Verteilung Abholzigkeit],0))</f>
        <v>#N/A</v>
      </c>
      <c r="N943" t="e">
        <f>VLOOKUP(Tabelle9[[#This Row],[Rank]],Stammdaten[[Rank Verteilung Abholzigkeit]:[Verteilung Abholzigkeit]],2,FALSE)</f>
        <v>#N/A</v>
      </c>
      <c r="S943">
        <v>934</v>
      </c>
      <c r="T943" t="e">
        <f>INDEX(Stammdaten[Krümmung (mm/lfm)],MATCH(Tabelle10[[#This Row],[Rank]],Stammdaten[Rank Verteilung Krümmung],0))</f>
        <v>#N/A</v>
      </c>
      <c r="U943" t="e">
        <f>VLOOKUP(Tabelle10[[#This Row],[Rank]],Stammdaten[[Rank Verteilung Krümmung]:[Verteilung Krümmung]],2,FALSE)</f>
        <v>#N/A</v>
      </c>
      <c r="Z943">
        <v>934</v>
      </c>
      <c r="AA943" t="e">
        <f>INDEX(Stammdaten[Ovalität (']0,1'])],MATCH(Tabelle1014[[#This Row],[Rank]],Stammdaten[Rank Verteilung Ovalität],0))</f>
        <v>#N/A</v>
      </c>
      <c r="AB943" t="e">
        <f>VLOOKUP(Tabelle1014[[#This Row],[Rank]],Stammdaten[[Rank Verteilung Ovalität]:[Verteilung Ovalität]],2,FALSE)</f>
        <v>#N/A</v>
      </c>
    </row>
    <row r="944" spans="5:28" x14ac:dyDescent="0.35">
      <c r="E944">
        <v>935</v>
      </c>
      <c r="F944" t="e">
        <f>INDEX(Stammdaten[D Mitte mit Rinde (mm)],MATCH(Tabelle8[[#This Row],[Rank]],Stammdaten[Rank Verteilung D Mitte mit Rinde],0))</f>
        <v>#N/A</v>
      </c>
      <c r="G944" t="e">
        <f>VLOOKUP(Tabelle8[[#This Row],[Rank]],Stammdaten[[Rank Verteilung D Mitte mit Rinde]:[Verteilung D Mitte mit Rinde]],2,FALSE)</f>
        <v>#N/A</v>
      </c>
      <c r="L944">
        <v>935</v>
      </c>
      <c r="M944" t="e">
        <f>INDEX(Stammdaten[Abholzigkeit (mm/lfm)],MATCH(Tabelle9[[#This Row],[Rank]],Stammdaten[Rank Verteilung Abholzigkeit],0))</f>
        <v>#N/A</v>
      </c>
      <c r="N944" t="e">
        <f>VLOOKUP(Tabelle9[[#This Row],[Rank]],Stammdaten[[Rank Verteilung Abholzigkeit]:[Verteilung Abholzigkeit]],2,FALSE)</f>
        <v>#N/A</v>
      </c>
      <c r="S944">
        <v>935</v>
      </c>
      <c r="T944" t="e">
        <f>INDEX(Stammdaten[Krümmung (mm/lfm)],MATCH(Tabelle10[[#This Row],[Rank]],Stammdaten[Rank Verteilung Krümmung],0))</f>
        <v>#N/A</v>
      </c>
      <c r="U944" t="e">
        <f>VLOOKUP(Tabelle10[[#This Row],[Rank]],Stammdaten[[Rank Verteilung Krümmung]:[Verteilung Krümmung]],2,FALSE)</f>
        <v>#N/A</v>
      </c>
      <c r="Z944">
        <v>935</v>
      </c>
      <c r="AA944" t="e">
        <f>INDEX(Stammdaten[Ovalität (']0,1'])],MATCH(Tabelle1014[[#This Row],[Rank]],Stammdaten[Rank Verteilung Ovalität],0))</f>
        <v>#N/A</v>
      </c>
      <c r="AB944" t="e">
        <f>VLOOKUP(Tabelle1014[[#This Row],[Rank]],Stammdaten[[Rank Verteilung Ovalität]:[Verteilung Ovalität]],2,FALSE)</f>
        <v>#N/A</v>
      </c>
    </row>
    <row r="945" spans="5:28" x14ac:dyDescent="0.35">
      <c r="E945">
        <v>936</v>
      </c>
      <c r="F945" t="e">
        <f>INDEX(Stammdaten[D Mitte mit Rinde (mm)],MATCH(Tabelle8[[#This Row],[Rank]],Stammdaten[Rank Verteilung D Mitte mit Rinde],0))</f>
        <v>#N/A</v>
      </c>
      <c r="G945" t="e">
        <f>VLOOKUP(Tabelle8[[#This Row],[Rank]],Stammdaten[[Rank Verteilung D Mitte mit Rinde]:[Verteilung D Mitte mit Rinde]],2,FALSE)</f>
        <v>#N/A</v>
      </c>
      <c r="L945">
        <v>936</v>
      </c>
      <c r="M945" t="e">
        <f>INDEX(Stammdaten[Abholzigkeit (mm/lfm)],MATCH(Tabelle9[[#This Row],[Rank]],Stammdaten[Rank Verteilung Abholzigkeit],0))</f>
        <v>#N/A</v>
      </c>
      <c r="N945" t="e">
        <f>VLOOKUP(Tabelle9[[#This Row],[Rank]],Stammdaten[[Rank Verteilung Abholzigkeit]:[Verteilung Abholzigkeit]],2,FALSE)</f>
        <v>#N/A</v>
      </c>
      <c r="S945">
        <v>936</v>
      </c>
      <c r="T945" t="e">
        <f>INDEX(Stammdaten[Krümmung (mm/lfm)],MATCH(Tabelle10[[#This Row],[Rank]],Stammdaten[Rank Verteilung Krümmung],0))</f>
        <v>#N/A</v>
      </c>
      <c r="U945" t="e">
        <f>VLOOKUP(Tabelle10[[#This Row],[Rank]],Stammdaten[[Rank Verteilung Krümmung]:[Verteilung Krümmung]],2,FALSE)</f>
        <v>#N/A</v>
      </c>
      <c r="Z945">
        <v>936</v>
      </c>
      <c r="AA945" t="e">
        <f>INDEX(Stammdaten[Ovalität (']0,1'])],MATCH(Tabelle1014[[#This Row],[Rank]],Stammdaten[Rank Verteilung Ovalität],0))</f>
        <v>#N/A</v>
      </c>
      <c r="AB945" t="e">
        <f>VLOOKUP(Tabelle1014[[#This Row],[Rank]],Stammdaten[[Rank Verteilung Ovalität]:[Verteilung Ovalität]],2,FALSE)</f>
        <v>#N/A</v>
      </c>
    </row>
    <row r="946" spans="5:28" x14ac:dyDescent="0.35">
      <c r="E946">
        <v>937</v>
      </c>
      <c r="F946" t="e">
        <f>INDEX(Stammdaten[D Mitte mit Rinde (mm)],MATCH(Tabelle8[[#This Row],[Rank]],Stammdaten[Rank Verteilung D Mitte mit Rinde],0))</f>
        <v>#N/A</v>
      </c>
      <c r="G946" t="e">
        <f>VLOOKUP(Tabelle8[[#This Row],[Rank]],Stammdaten[[Rank Verteilung D Mitte mit Rinde]:[Verteilung D Mitte mit Rinde]],2,FALSE)</f>
        <v>#N/A</v>
      </c>
      <c r="L946">
        <v>937</v>
      </c>
      <c r="M946" t="e">
        <f>INDEX(Stammdaten[Abholzigkeit (mm/lfm)],MATCH(Tabelle9[[#This Row],[Rank]],Stammdaten[Rank Verteilung Abholzigkeit],0))</f>
        <v>#N/A</v>
      </c>
      <c r="N946" t="e">
        <f>VLOOKUP(Tabelle9[[#This Row],[Rank]],Stammdaten[[Rank Verteilung Abholzigkeit]:[Verteilung Abholzigkeit]],2,FALSE)</f>
        <v>#N/A</v>
      </c>
      <c r="S946">
        <v>937</v>
      </c>
      <c r="T946" t="e">
        <f>INDEX(Stammdaten[Krümmung (mm/lfm)],MATCH(Tabelle10[[#This Row],[Rank]],Stammdaten[Rank Verteilung Krümmung],0))</f>
        <v>#N/A</v>
      </c>
      <c r="U946" t="e">
        <f>VLOOKUP(Tabelle10[[#This Row],[Rank]],Stammdaten[[Rank Verteilung Krümmung]:[Verteilung Krümmung]],2,FALSE)</f>
        <v>#N/A</v>
      </c>
      <c r="Z946">
        <v>937</v>
      </c>
      <c r="AA946" t="e">
        <f>INDEX(Stammdaten[Ovalität (']0,1'])],MATCH(Tabelle1014[[#This Row],[Rank]],Stammdaten[Rank Verteilung Ovalität],0))</f>
        <v>#N/A</v>
      </c>
      <c r="AB946" t="e">
        <f>VLOOKUP(Tabelle1014[[#This Row],[Rank]],Stammdaten[[Rank Verteilung Ovalität]:[Verteilung Ovalität]],2,FALSE)</f>
        <v>#N/A</v>
      </c>
    </row>
    <row r="947" spans="5:28" x14ac:dyDescent="0.35">
      <c r="E947">
        <v>938</v>
      </c>
      <c r="F947" t="e">
        <f>INDEX(Stammdaten[D Mitte mit Rinde (mm)],MATCH(Tabelle8[[#This Row],[Rank]],Stammdaten[Rank Verteilung D Mitte mit Rinde],0))</f>
        <v>#N/A</v>
      </c>
      <c r="G947" t="e">
        <f>VLOOKUP(Tabelle8[[#This Row],[Rank]],Stammdaten[[Rank Verteilung D Mitte mit Rinde]:[Verteilung D Mitte mit Rinde]],2,FALSE)</f>
        <v>#N/A</v>
      </c>
      <c r="L947">
        <v>938</v>
      </c>
      <c r="M947" t="e">
        <f>INDEX(Stammdaten[Abholzigkeit (mm/lfm)],MATCH(Tabelle9[[#This Row],[Rank]],Stammdaten[Rank Verteilung Abholzigkeit],0))</f>
        <v>#N/A</v>
      </c>
      <c r="N947" t="e">
        <f>VLOOKUP(Tabelle9[[#This Row],[Rank]],Stammdaten[[Rank Verteilung Abholzigkeit]:[Verteilung Abholzigkeit]],2,FALSE)</f>
        <v>#N/A</v>
      </c>
      <c r="S947">
        <v>938</v>
      </c>
      <c r="T947" t="e">
        <f>INDEX(Stammdaten[Krümmung (mm/lfm)],MATCH(Tabelle10[[#This Row],[Rank]],Stammdaten[Rank Verteilung Krümmung],0))</f>
        <v>#N/A</v>
      </c>
      <c r="U947" t="e">
        <f>VLOOKUP(Tabelle10[[#This Row],[Rank]],Stammdaten[[Rank Verteilung Krümmung]:[Verteilung Krümmung]],2,FALSE)</f>
        <v>#N/A</v>
      </c>
      <c r="Z947">
        <v>938</v>
      </c>
      <c r="AA947" t="e">
        <f>INDEX(Stammdaten[Ovalität (']0,1'])],MATCH(Tabelle1014[[#This Row],[Rank]],Stammdaten[Rank Verteilung Ovalität],0))</f>
        <v>#N/A</v>
      </c>
      <c r="AB947" t="e">
        <f>VLOOKUP(Tabelle1014[[#This Row],[Rank]],Stammdaten[[Rank Verteilung Ovalität]:[Verteilung Ovalität]],2,FALSE)</f>
        <v>#N/A</v>
      </c>
    </row>
    <row r="948" spans="5:28" x14ac:dyDescent="0.35">
      <c r="E948">
        <v>939</v>
      </c>
      <c r="F948" t="e">
        <f>INDEX(Stammdaten[D Mitte mit Rinde (mm)],MATCH(Tabelle8[[#This Row],[Rank]],Stammdaten[Rank Verteilung D Mitte mit Rinde],0))</f>
        <v>#N/A</v>
      </c>
      <c r="G948" t="e">
        <f>VLOOKUP(Tabelle8[[#This Row],[Rank]],Stammdaten[[Rank Verteilung D Mitte mit Rinde]:[Verteilung D Mitte mit Rinde]],2,FALSE)</f>
        <v>#N/A</v>
      </c>
      <c r="L948">
        <v>939</v>
      </c>
      <c r="M948" t="e">
        <f>INDEX(Stammdaten[Abholzigkeit (mm/lfm)],MATCH(Tabelle9[[#This Row],[Rank]],Stammdaten[Rank Verteilung Abholzigkeit],0))</f>
        <v>#N/A</v>
      </c>
      <c r="N948" t="e">
        <f>VLOOKUP(Tabelle9[[#This Row],[Rank]],Stammdaten[[Rank Verteilung Abholzigkeit]:[Verteilung Abholzigkeit]],2,FALSE)</f>
        <v>#N/A</v>
      </c>
      <c r="S948">
        <v>939</v>
      </c>
      <c r="T948" t="e">
        <f>INDEX(Stammdaten[Krümmung (mm/lfm)],MATCH(Tabelle10[[#This Row],[Rank]],Stammdaten[Rank Verteilung Krümmung],0))</f>
        <v>#N/A</v>
      </c>
      <c r="U948" t="e">
        <f>VLOOKUP(Tabelle10[[#This Row],[Rank]],Stammdaten[[Rank Verteilung Krümmung]:[Verteilung Krümmung]],2,FALSE)</f>
        <v>#N/A</v>
      </c>
      <c r="Z948">
        <v>939</v>
      </c>
      <c r="AA948" t="e">
        <f>INDEX(Stammdaten[Ovalität (']0,1'])],MATCH(Tabelle1014[[#This Row],[Rank]],Stammdaten[Rank Verteilung Ovalität],0))</f>
        <v>#N/A</v>
      </c>
      <c r="AB948" t="e">
        <f>VLOOKUP(Tabelle1014[[#This Row],[Rank]],Stammdaten[[Rank Verteilung Ovalität]:[Verteilung Ovalität]],2,FALSE)</f>
        <v>#N/A</v>
      </c>
    </row>
    <row r="949" spans="5:28" x14ac:dyDescent="0.35">
      <c r="E949">
        <v>940</v>
      </c>
      <c r="F949" t="e">
        <f>INDEX(Stammdaten[D Mitte mit Rinde (mm)],MATCH(Tabelle8[[#This Row],[Rank]],Stammdaten[Rank Verteilung D Mitte mit Rinde],0))</f>
        <v>#N/A</v>
      </c>
      <c r="G949" t="e">
        <f>VLOOKUP(Tabelle8[[#This Row],[Rank]],Stammdaten[[Rank Verteilung D Mitte mit Rinde]:[Verteilung D Mitte mit Rinde]],2,FALSE)</f>
        <v>#N/A</v>
      </c>
      <c r="L949">
        <v>940</v>
      </c>
      <c r="M949" t="e">
        <f>INDEX(Stammdaten[Abholzigkeit (mm/lfm)],MATCH(Tabelle9[[#This Row],[Rank]],Stammdaten[Rank Verteilung Abholzigkeit],0))</f>
        <v>#N/A</v>
      </c>
      <c r="N949" t="e">
        <f>VLOOKUP(Tabelle9[[#This Row],[Rank]],Stammdaten[[Rank Verteilung Abholzigkeit]:[Verteilung Abholzigkeit]],2,FALSE)</f>
        <v>#N/A</v>
      </c>
      <c r="S949">
        <v>940</v>
      </c>
      <c r="T949" t="e">
        <f>INDEX(Stammdaten[Krümmung (mm/lfm)],MATCH(Tabelle10[[#This Row],[Rank]],Stammdaten[Rank Verteilung Krümmung],0))</f>
        <v>#N/A</v>
      </c>
      <c r="U949" t="e">
        <f>VLOOKUP(Tabelle10[[#This Row],[Rank]],Stammdaten[[Rank Verteilung Krümmung]:[Verteilung Krümmung]],2,FALSE)</f>
        <v>#N/A</v>
      </c>
      <c r="Z949">
        <v>940</v>
      </c>
      <c r="AA949" t="e">
        <f>INDEX(Stammdaten[Ovalität (']0,1'])],MATCH(Tabelle1014[[#This Row],[Rank]],Stammdaten[Rank Verteilung Ovalität],0))</f>
        <v>#N/A</v>
      </c>
      <c r="AB949" t="e">
        <f>VLOOKUP(Tabelle1014[[#This Row],[Rank]],Stammdaten[[Rank Verteilung Ovalität]:[Verteilung Ovalität]],2,FALSE)</f>
        <v>#N/A</v>
      </c>
    </row>
    <row r="950" spans="5:28" x14ac:dyDescent="0.35">
      <c r="E950">
        <v>941</v>
      </c>
      <c r="F950" t="e">
        <f>INDEX(Stammdaten[D Mitte mit Rinde (mm)],MATCH(Tabelle8[[#This Row],[Rank]],Stammdaten[Rank Verteilung D Mitte mit Rinde],0))</f>
        <v>#N/A</v>
      </c>
      <c r="G950" t="e">
        <f>VLOOKUP(Tabelle8[[#This Row],[Rank]],Stammdaten[[Rank Verteilung D Mitte mit Rinde]:[Verteilung D Mitte mit Rinde]],2,FALSE)</f>
        <v>#N/A</v>
      </c>
      <c r="L950">
        <v>941</v>
      </c>
      <c r="M950" t="e">
        <f>INDEX(Stammdaten[Abholzigkeit (mm/lfm)],MATCH(Tabelle9[[#This Row],[Rank]],Stammdaten[Rank Verteilung Abholzigkeit],0))</f>
        <v>#N/A</v>
      </c>
      <c r="N950" t="e">
        <f>VLOOKUP(Tabelle9[[#This Row],[Rank]],Stammdaten[[Rank Verteilung Abholzigkeit]:[Verteilung Abholzigkeit]],2,FALSE)</f>
        <v>#N/A</v>
      </c>
      <c r="S950">
        <v>941</v>
      </c>
      <c r="T950" t="e">
        <f>INDEX(Stammdaten[Krümmung (mm/lfm)],MATCH(Tabelle10[[#This Row],[Rank]],Stammdaten[Rank Verteilung Krümmung],0))</f>
        <v>#N/A</v>
      </c>
      <c r="U950" t="e">
        <f>VLOOKUP(Tabelle10[[#This Row],[Rank]],Stammdaten[[Rank Verteilung Krümmung]:[Verteilung Krümmung]],2,FALSE)</f>
        <v>#N/A</v>
      </c>
      <c r="Z950">
        <v>941</v>
      </c>
      <c r="AA950" t="e">
        <f>INDEX(Stammdaten[Ovalität (']0,1'])],MATCH(Tabelle1014[[#This Row],[Rank]],Stammdaten[Rank Verteilung Ovalität],0))</f>
        <v>#N/A</v>
      </c>
      <c r="AB950" t="e">
        <f>VLOOKUP(Tabelle1014[[#This Row],[Rank]],Stammdaten[[Rank Verteilung Ovalität]:[Verteilung Ovalität]],2,FALSE)</f>
        <v>#N/A</v>
      </c>
    </row>
    <row r="951" spans="5:28" x14ac:dyDescent="0.35">
      <c r="E951">
        <v>942</v>
      </c>
      <c r="F951" t="e">
        <f>INDEX(Stammdaten[D Mitte mit Rinde (mm)],MATCH(Tabelle8[[#This Row],[Rank]],Stammdaten[Rank Verteilung D Mitte mit Rinde],0))</f>
        <v>#N/A</v>
      </c>
      <c r="G951" t="e">
        <f>VLOOKUP(Tabelle8[[#This Row],[Rank]],Stammdaten[[Rank Verteilung D Mitte mit Rinde]:[Verteilung D Mitte mit Rinde]],2,FALSE)</f>
        <v>#N/A</v>
      </c>
      <c r="L951">
        <v>942</v>
      </c>
      <c r="M951" t="e">
        <f>INDEX(Stammdaten[Abholzigkeit (mm/lfm)],MATCH(Tabelle9[[#This Row],[Rank]],Stammdaten[Rank Verteilung Abholzigkeit],0))</f>
        <v>#N/A</v>
      </c>
      <c r="N951" t="e">
        <f>VLOOKUP(Tabelle9[[#This Row],[Rank]],Stammdaten[[Rank Verteilung Abholzigkeit]:[Verteilung Abholzigkeit]],2,FALSE)</f>
        <v>#N/A</v>
      </c>
      <c r="S951">
        <v>942</v>
      </c>
      <c r="T951" t="e">
        <f>INDEX(Stammdaten[Krümmung (mm/lfm)],MATCH(Tabelle10[[#This Row],[Rank]],Stammdaten[Rank Verteilung Krümmung],0))</f>
        <v>#N/A</v>
      </c>
      <c r="U951" t="e">
        <f>VLOOKUP(Tabelle10[[#This Row],[Rank]],Stammdaten[[Rank Verteilung Krümmung]:[Verteilung Krümmung]],2,FALSE)</f>
        <v>#N/A</v>
      </c>
      <c r="Z951">
        <v>942</v>
      </c>
      <c r="AA951" t="e">
        <f>INDEX(Stammdaten[Ovalität (']0,1'])],MATCH(Tabelle1014[[#This Row],[Rank]],Stammdaten[Rank Verteilung Ovalität],0))</f>
        <v>#N/A</v>
      </c>
      <c r="AB951" t="e">
        <f>VLOOKUP(Tabelle1014[[#This Row],[Rank]],Stammdaten[[Rank Verteilung Ovalität]:[Verteilung Ovalität]],2,FALSE)</f>
        <v>#N/A</v>
      </c>
    </row>
    <row r="952" spans="5:28" x14ac:dyDescent="0.35">
      <c r="E952">
        <v>943</v>
      </c>
      <c r="F952" t="e">
        <f>INDEX(Stammdaten[D Mitte mit Rinde (mm)],MATCH(Tabelle8[[#This Row],[Rank]],Stammdaten[Rank Verteilung D Mitte mit Rinde],0))</f>
        <v>#N/A</v>
      </c>
      <c r="G952" t="e">
        <f>VLOOKUP(Tabelle8[[#This Row],[Rank]],Stammdaten[[Rank Verteilung D Mitte mit Rinde]:[Verteilung D Mitte mit Rinde]],2,FALSE)</f>
        <v>#N/A</v>
      </c>
      <c r="L952">
        <v>943</v>
      </c>
      <c r="M952" t="e">
        <f>INDEX(Stammdaten[Abholzigkeit (mm/lfm)],MATCH(Tabelle9[[#This Row],[Rank]],Stammdaten[Rank Verteilung Abholzigkeit],0))</f>
        <v>#N/A</v>
      </c>
      <c r="N952" t="e">
        <f>VLOOKUP(Tabelle9[[#This Row],[Rank]],Stammdaten[[Rank Verteilung Abholzigkeit]:[Verteilung Abholzigkeit]],2,FALSE)</f>
        <v>#N/A</v>
      </c>
      <c r="S952">
        <v>943</v>
      </c>
      <c r="T952" t="e">
        <f>INDEX(Stammdaten[Krümmung (mm/lfm)],MATCH(Tabelle10[[#This Row],[Rank]],Stammdaten[Rank Verteilung Krümmung],0))</f>
        <v>#N/A</v>
      </c>
      <c r="U952" t="e">
        <f>VLOOKUP(Tabelle10[[#This Row],[Rank]],Stammdaten[[Rank Verteilung Krümmung]:[Verteilung Krümmung]],2,FALSE)</f>
        <v>#N/A</v>
      </c>
      <c r="Z952">
        <v>943</v>
      </c>
      <c r="AA952" t="e">
        <f>INDEX(Stammdaten[Ovalität (']0,1'])],MATCH(Tabelle1014[[#This Row],[Rank]],Stammdaten[Rank Verteilung Ovalität],0))</f>
        <v>#N/A</v>
      </c>
      <c r="AB952" t="e">
        <f>VLOOKUP(Tabelle1014[[#This Row],[Rank]],Stammdaten[[Rank Verteilung Ovalität]:[Verteilung Ovalität]],2,FALSE)</f>
        <v>#N/A</v>
      </c>
    </row>
    <row r="953" spans="5:28" x14ac:dyDescent="0.35">
      <c r="E953">
        <v>944</v>
      </c>
      <c r="F953" t="e">
        <f>INDEX(Stammdaten[D Mitte mit Rinde (mm)],MATCH(Tabelle8[[#This Row],[Rank]],Stammdaten[Rank Verteilung D Mitte mit Rinde],0))</f>
        <v>#N/A</v>
      </c>
      <c r="G953" t="e">
        <f>VLOOKUP(Tabelle8[[#This Row],[Rank]],Stammdaten[[Rank Verteilung D Mitte mit Rinde]:[Verteilung D Mitte mit Rinde]],2,FALSE)</f>
        <v>#N/A</v>
      </c>
      <c r="L953">
        <v>944</v>
      </c>
      <c r="M953" t="e">
        <f>INDEX(Stammdaten[Abholzigkeit (mm/lfm)],MATCH(Tabelle9[[#This Row],[Rank]],Stammdaten[Rank Verteilung Abholzigkeit],0))</f>
        <v>#N/A</v>
      </c>
      <c r="N953" t="e">
        <f>VLOOKUP(Tabelle9[[#This Row],[Rank]],Stammdaten[[Rank Verteilung Abholzigkeit]:[Verteilung Abholzigkeit]],2,FALSE)</f>
        <v>#N/A</v>
      </c>
      <c r="S953">
        <v>944</v>
      </c>
      <c r="T953" t="e">
        <f>INDEX(Stammdaten[Krümmung (mm/lfm)],MATCH(Tabelle10[[#This Row],[Rank]],Stammdaten[Rank Verteilung Krümmung],0))</f>
        <v>#N/A</v>
      </c>
      <c r="U953" t="e">
        <f>VLOOKUP(Tabelle10[[#This Row],[Rank]],Stammdaten[[Rank Verteilung Krümmung]:[Verteilung Krümmung]],2,FALSE)</f>
        <v>#N/A</v>
      </c>
      <c r="Z953">
        <v>944</v>
      </c>
      <c r="AA953" t="e">
        <f>INDEX(Stammdaten[Ovalität (']0,1'])],MATCH(Tabelle1014[[#This Row],[Rank]],Stammdaten[Rank Verteilung Ovalität],0))</f>
        <v>#N/A</v>
      </c>
      <c r="AB953" t="e">
        <f>VLOOKUP(Tabelle1014[[#This Row],[Rank]],Stammdaten[[Rank Verteilung Ovalität]:[Verteilung Ovalität]],2,FALSE)</f>
        <v>#N/A</v>
      </c>
    </row>
    <row r="954" spans="5:28" x14ac:dyDescent="0.35">
      <c r="E954">
        <v>945</v>
      </c>
      <c r="F954" t="e">
        <f>INDEX(Stammdaten[D Mitte mit Rinde (mm)],MATCH(Tabelle8[[#This Row],[Rank]],Stammdaten[Rank Verteilung D Mitte mit Rinde],0))</f>
        <v>#N/A</v>
      </c>
      <c r="G954" t="e">
        <f>VLOOKUP(Tabelle8[[#This Row],[Rank]],Stammdaten[[Rank Verteilung D Mitte mit Rinde]:[Verteilung D Mitte mit Rinde]],2,FALSE)</f>
        <v>#N/A</v>
      </c>
      <c r="L954">
        <v>945</v>
      </c>
      <c r="M954" t="e">
        <f>INDEX(Stammdaten[Abholzigkeit (mm/lfm)],MATCH(Tabelle9[[#This Row],[Rank]],Stammdaten[Rank Verteilung Abholzigkeit],0))</f>
        <v>#N/A</v>
      </c>
      <c r="N954" t="e">
        <f>VLOOKUP(Tabelle9[[#This Row],[Rank]],Stammdaten[[Rank Verteilung Abholzigkeit]:[Verteilung Abholzigkeit]],2,FALSE)</f>
        <v>#N/A</v>
      </c>
      <c r="S954">
        <v>945</v>
      </c>
      <c r="T954" t="e">
        <f>INDEX(Stammdaten[Krümmung (mm/lfm)],MATCH(Tabelle10[[#This Row],[Rank]],Stammdaten[Rank Verteilung Krümmung],0))</f>
        <v>#N/A</v>
      </c>
      <c r="U954" t="e">
        <f>VLOOKUP(Tabelle10[[#This Row],[Rank]],Stammdaten[[Rank Verteilung Krümmung]:[Verteilung Krümmung]],2,FALSE)</f>
        <v>#N/A</v>
      </c>
      <c r="Z954">
        <v>945</v>
      </c>
      <c r="AA954" t="e">
        <f>INDEX(Stammdaten[Ovalität (']0,1'])],MATCH(Tabelle1014[[#This Row],[Rank]],Stammdaten[Rank Verteilung Ovalität],0))</f>
        <v>#N/A</v>
      </c>
      <c r="AB954" t="e">
        <f>VLOOKUP(Tabelle1014[[#This Row],[Rank]],Stammdaten[[Rank Verteilung Ovalität]:[Verteilung Ovalität]],2,FALSE)</f>
        <v>#N/A</v>
      </c>
    </row>
    <row r="955" spans="5:28" x14ac:dyDescent="0.35">
      <c r="E955">
        <v>946</v>
      </c>
      <c r="F955" t="e">
        <f>INDEX(Stammdaten[D Mitte mit Rinde (mm)],MATCH(Tabelle8[[#This Row],[Rank]],Stammdaten[Rank Verteilung D Mitte mit Rinde],0))</f>
        <v>#N/A</v>
      </c>
      <c r="G955" t="e">
        <f>VLOOKUP(Tabelle8[[#This Row],[Rank]],Stammdaten[[Rank Verteilung D Mitte mit Rinde]:[Verteilung D Mitte mit Rinde]],2,FALSE)</f>
        <v>#N/A</v>
      </c>
      <c r="L955">
        <v>946</v>
      </c>
      <c r="M955" t="e">
        <f>INDEX(Stammdaten[Abholzigkeit (mm/lfm)],MATCH(Tabelle9[[#This Row],[Rank]],Stammdaten[Rank Verteilung Abholzigkeit],0))</f>
        <v>#N/A</v>
      </c>
      <c r="N955" t="e">
        <f>VLOOKUP(Tabelle9[[#This Row],[Rank]],Stammdaten[[Rank Verteilung Abholzigkeit]:[Verteilung Abholzigkeit]],2,FALSE)</f>
        <v>#N/A</v>
      </c>
      <c r="S955">
        <v>946</v>
      </c>
      <c r="T955" t="e">
        <f>INDEX(Stammdaten[Krümmung (mm/lfm)],MATCH(Tabelle10[[#This Row],[Rank]],Stammdaten[Rank Verteilung Krümmung],0))</f>
        <v>#N/A</v>
      </c>
      <c r="U955" t="e">
        <f>VLOOKUP(Tabelle10[[#This Row],[Rank]],Stammdaten[[Rank Verteilung Krümmung]:[Verteilung Krümmung]],2,FALSE)</f>
        <v>#N/A</v>
      </c>
      <c r="Z955">
        <v>946</v>
      </c>
      <c r="AA955" t="e">
        <f>INDEX(Stammdaten[Ovalität (']0,1'])],MATCH(Tabelle1014[[#This Row],[Rank]],Stammdaten[Rank Verteilung Ovalität],0))</f>
        <v>#N/A</v>
      </c>
      <c r="AB955" t="e">
        <f>VLOOKUP(Tabelle1014[[#This Row],[Rank]],Stammdaten[[Rank Verteilung Ovalität]:[Verteilung Ovalität]],2,FALSE)</f>
        <v>#N/A</v>
      </c>
    </row>
    <row r="956" spans="5:28" x14ac:dyDescent="0.35">
      <c r="E956">
        <v>947</v>
      </c>
      <c r="F956" t="e">
        <f>INDEX(Stammdaten[D Mitte mit Rinde (mm)],MATCH(Tabelle8[[#This Row],[Rank]],Stammdaten[Rank Verteilung D Mitte mit Rinde],0))</f>
        <v>#N/A</v>
      </c>
      <c r="G956" t="e">
        <f>VLOOKUP(Tabelle8[[#This Row],[Rank]],Stammdaten[[Rank Verteilung D Mitte mit Rinde]:[Verteilung D Mitte mit Rinde]],2,FALSE)</f>
        <v>#N/A</v>
      </c>
      <c r="L956">
        <v>947</v>
      </c>
      <c r="M956" t="e">
        <f>INDEX(Stammdaten[Abholzigkeit (mm/lfm)],MATCH(Tabelle9[[#This Row],[Rank]],Stammdaten[Rank Verteilung Abholzigkeit],0))</f>
        <v>#N/A</v>
      </c>
      <c r="N956" t="e">
        <f>VLOOKUP(Tabelle9[[#This Row],[Rank]],Stammdaten[[Rank Verteilung Abholzigkeit]:[Verteilung Abholzigkeit]],2,FALSE)</f>
        <v>#N/A</v>
      </c>
      <c r="S956">
        <v>947</v>
      </c>
      <c r="T956" t="e">
        <f>INDEX(Stammdaten[Krümmung (mm/lfm)],MATCH(Tabelle10[[#This Row],[Rank]],Stammdaten[Rank Verteilung Krümmung],0))</f>
        <v>#N/A</v>
      </c>
      <c r="U956" t="e">
        <f>VLOOKUP(Tabelle10[[#This Row],[Rank]],Stammdaten[[Rank Verteilung Krümmung]:[Verteilung Krümmung]],2,FALSE)</f>
        <v>#N/A</v>
      </c>
      <c r="Z956">
        <v>947</v>
      </c>
      <c r="AA956" t="e">
        <f>INDEX(Stammdaten[Ovalität (']0,1'])],MATCH(Tabelle1014[[#This Row],[Rank]],Stammdaten[Rank Verteilung Ovalität],0))</f>
        <v>#N/A</v>
      </c>
      <c r="AB956" t="e">
        <f>VLOOKUP(Tabelle1014[[#This Row],[Rank]],Stammdaten[[Rank Verteilung Ovalität]:[Verteilung Ovalität]],2,FALSE)</f>
        <v>#N/A</v>
      </c>
    </row>
    <row r="957" spans="5:28" x14ac:dyDescent="0.35">
      <c r="E957">
        <v>948</v>
      </c>
      <c r="F957" t="e">
        <f>INDEX(Stammdaten[D Mitte mit Rinde (mm)],MATCH(Tabelle8[[#This Row],[Rank]],Stammdaten[Rank Verteilung D Mitte mit Rinde],0))</f>
        <v>#N/A</v>
      </c>
      <c r="G957" t="e">
        <f>VLOOKUP(Tabelle8[[#This Row],[Rank]],Stammdaten[[Rank Verteilung D Mitte mit Rinde]:[Verteilung D Mitte mit Rinde]],2,FALSE)</f>
        <v>#N/A</v>
      </c>
      <c r="L957">
        <v>948</v>
      </c>
      <c r="M957" t="e">
        <f>INDEX(Stammdaten[Abholzigkeit (mm/lfm)],MATCH(Tabelle9[[#This Row],[Rank]],Stammdaten[Rank Verteilung Abholzigkeit],0))</f>
        <v>#N/A</v>
      </c>
      <c r="N957" t="e">
        <f>VLOOKUP(Tabelle9[[#This Row],[Rank]],Stammdaten[[Rank Verteilung Abholzigkeit]:[Verteilung Abholzigkeit]],2,FALSE)</f>
        <v>#N/A</v>
      </c>
      <c r="S957">
        <v>948</v>
      </c>
      <c r="T957" t="e">
        <f>INDEX(Stammdaten[Krümmung (mm/lfm)],MATCH(Tabelle10[[#This Row],[Rank]],Stammdaten[Rank Verteilung Krümmung],0))</f>
        <v>#N/A</v>
      </c>
      <c r="U957" t="e">
        <f>VLOOKUP(Tabelle10[[#This Row],[Rank]],Stammdaten[[Rank Verteilung Krümmung]:[Verteilung Krümmung]],2,FALSE)</f>
        <v>#N/A</v>
      </c>
      <c r="Z957">
        <v>948</v>
      </c>
      <c r="AA957" t="e">
        <f>INDEX(Stammdaten[Ovalität (']0,1'])],MATCH(Tabelle1014[[#This Row],[Rank]],Stammdaten[Rank Verteilung Ovalität],0))</f>
        <v>#N/A</v>
      </c>
      <c r="AB957" t="e">
        <f>VLOOKUP(Tabelle1014[[#This Row],[Rank]],Stammdaten[[Rank Verteilung Ovalität]:[Verteilung Ovalität]],2,FALSE)</f>
        <v>#N/A</v>
      </c>
    </row>
    <row r="958" spans="5:28" x14ac:dyDescent="0.35">
      <c r="E958">
        <v>949</v>
      </c>
      <c r="F958" t="e">
        <f>INDEX(Stammdaten[D Mitte mit Rinde (mm)],MATCH(Tabelle8[[#This Row],[Rank]],Stammdaten[Rank Verteilung D Mitte mit Rinde],0))</f>
        <v>#N/A</v>
      </c>
      <c r="G958" t="e">
        <f>VLOOKUP(Tabelle8[[#This Row],[Rank]],Stammdaten[[Rank Verteilung D Mitte mit Rinde]:[Verteilung D Mitte mit Rinde]],2,FALSE)</f>
        <v>#N/A</v>
      </c>
      <c r="L958">
        <v>949</v>
      </c>
      <c r="M958" t="e">
        <f>INDEX(Stammdaten[Abholzigkeit (mm/lfm)],MATCH(Tabelle9[[#This Row],[Rank]],Stammdaten[Rank Verteilung Abholzigkeit],0))</f>
        <v>#N/A</v>
      </c>
      <c r="N958" t="e">
        <f>VLOOKUP(Tabelle9[[#This Row],[Rank]],Stammdaten[[Rank Verteilung Abholzigkeit]:[Verteilung Abholzigkeit]],2,FALSE)</f>
        <v>#N/A</v>
      </c>
      <c r="S958">
        <v>949</v>
      </c>
      <c r="T958" t="e">
        <f>INDEX(Stammdaten[Krümmung (mm/lfm)],MATCH(Tabelle10[[#This Row],[Rank]],Stammdaten[Rank Verteilung Krümmung],0))</f>
        <v>#N/A</v>
      </c>
      <c r="U958" t="e">
        <f>VLOOKUP(Tabelle10[[#This Row],[Rank]],Stammdaten[[Rank Verteilung Krümmung]:[Verteilung Krümmung]],2,FALSE)</f>
        <v>#N/A</v>
      </c>
      <c r="Z958">
        <v>949</v>
      </c>
      <c r="AA958" t="e">
        <f>INDEX(Stammdaten[Ovalität (']0,1'])],MATCH(Tabelle1014[[#This Row],[Rank]],Stammdaten[Rank Verteilung Ovalität],0))</f>
        <v>#N/A</v>
      </c>
      <c r="AB958" t="e">
        <f>VLOOKUP(Tabelle1014[[#This Row],[Rank]],Stammdaten[[Rank Verteilung Ovalität]:[Verteilung Ovalität]],2,FALSE)</f>
        <v>#N/A</v>
      </c>
    </row>
    <row r="959" spans="5:28" x14ac:dyDescent="0.35">
      <c r="E959">
        <v>950</v>
      </c>
      <c r="F959" t="e">
        <f>INDEX(Stammdaten[D Mitte mit Rinde (mm)],MATCH(Tabelle8[[#This Row],[Rank]],Stammdaten[Rank Verteilung D Mitte mit Rinde],0))</f>
        <v>#N/A</v>
      </c>
      <c r="G959" t="e">
        <f>VLOOKUP(Tabelle8[[#This Row],[Rank]],Stammdaten[[Rank Verteilung D Mitte mit Rinde]:[Verteilung D Mitte mit Rinde]],2,FALSE)</f>
        <v>#N/A</v>
      </c>
      <c r="L959">
        <v>950</v>
      </c>
      <c r="M959" t="e">
        <f>INDEX(Stammdaten[Abholzigkeit (mm/lfm)],MATCH(Tabelle9[[#This Row],[Rank]],Stammdaten[Rank Verteilung Abholzigkeit],0))</f>
        <v>#N/A</v>
      </c>
      <c r="N959" t="e">
        <f>VLOOKUP(Tabelle9[[#This Row],[Rank]],Stammdaten[[Rank Verteilung Abholzigkeit]:[Verteilung Abholzigkeit]],2,FALSE)</f>
        <v>#N/A</v>
      </c>
      <c r="S959">
        <v>950</v>
      </c>
      <c r="T959" t="e">
        <f>INDEX(Stammdaten[Krümmung (mm/lfm)],MATCH(Tabelle10[[#This Row],[Rank]],Stammdaten[Rank Verteilung Krümmung],0))</f>
        <v>#N/A</v>
      </c>
      <c r="U959" t="e">
        <f>VLOOKUP(Tabelle10[[#This Row],[Rank]],Stammdaten[[Rank Verteilung Krümmung]:[Verteilung Krümmung]],2,FALSE)</f>
        <v>#N/A</v>
      </c>
      <c r="Z959">
        <v>950</v>
      </c>
      <c r="AA959" t="e">
        <f>INDEX(Stammdaten[Ovalität (']0,1'])],MATCH(Tabelle1014[[#This Row],[Rank]],Stammdaten[Rank Verteilung Ovalität],0))</f>
        <v>#N/A</v>
      </c>
      <c r="AB959" t="e">
        <f>VLOOKUP(Tabelle1014[[#This Row],[Rank]],Stammdaten[[Rank Verteilung Ovalität]:[Verteilung Ovalität]],2,FALSE)</f>
        <v>#N/A</v>
      </c>
    </row>
    <row r="960" spans="5:28" x14ac:dyDescent="0.35">
      <c r="E960">
        <v>951</v>
      </c>
      <c r="F960" t="e">
        <f>INDEX(Stammdaten[D Mitte mit Rinde (mm)],MATCH(Tabelle8[[#This Row],[Rank]],Stammdaten[Rank Verteilung D Mitte mit Rinde],0))</f>
        <v>#N/A</v>
      </c>
      <c r="G960" t="e">
        <f>VLOOKUP(Tabelle8[[#This Row],[Rank]],Stammdaten[[Rank Verteilung D Mitte mit Rinde]:[Verteilung D Mitte mit Rinde]],2,FALSE)</f>
        <v>#N/A</v>
      </c>
      <c r="L960">
        <v>951</v>
      </c>
      <c r="M960" t="e">
        <f>INDEX(Stammdaten[Abholzigkeit (mm/lfm)],MATCH(Tabelle9[[#This Row],[Rank]],Stammdaten[Rank Verteilung Abholzigkeit],0))</f>
        <v>#N/A</v>
      </c>
      <c r="N960" t="e">
        <f>VLOOKUP(Tabelle9[[#This Row],[Rank]],Stammdaten[[Rank Verteilung Abholzigkeit]:[Verteilung Abholzigkeit]],2,FALSE)</f>
        <v>#N/A</v>
      </c>
      <c r="S960">
        <v>951</v>
      </c>
      <c r="T960" t="e">
        <f>INDEX(Stammdaten[Krümmung (mm/lfm)],MATCH(Tabelle10[[#This Row],[Rank]],Stammdaten[Rank Verteilung Krümmung],0))</f>
        <v>#N/A</v>
      </c>
      <c r="U960" t="e">
        <f>VLOOKUP(Tabelle10[[#This Row],[Rank]],Stammdaten[[Rank Verteilung Krümmung]:[Verteilung Krümmung]],2,FALSE)</f>
        <v>#N/A</v>
      </c>
      <c r="Z960">
        <v>951</v>
      </c>
      <c r="AA960" t="e">
        <f>INDEX(Stammdaten[Ovalität (']0,1'])],MATCH(Tabelle1014[[#This Row],[Rank]],Stammdaten[Rank Verteilung Ovalität],0))</f>
        <v>#N/A</v>
      </c>
      <c r="AB960" t="e">
        <f>VLOOKUP(Tabelle1014[[#This Row],[Rank]],Stammdaten[[Rank Verteilung Ovalität]:[Verteilung Ovalität]],2,FALSE)</f>
        <v>#N/A</v>
      </c>
    </row>
    <row r="961" spans="5:28" x14ac:dyDescent="0.35">
      <c r="E961">
        <v>952</v>
      </c>
      <c r="F961" t="e">
        <f>INDEX(Stammdaten[D Mitte mit Rinde (mm)],MATCH(Tabelle8[[#This Row],[Rank]],Stammdaten[Rank Verteilung D Mitte mit Rinde],0))</f>
        <v>#N/A</v>
      </c>
      <c r="G961" t="e">
        <f>VLOOKUP(Tabelle8[[#This Row],[Rank]],Stammdaten[[Rank Verteilung D Mitte mit Rinde]:[Verteilung D Mitte mit Rinde]],2,FALSE)</f>
        <v>#N/A</v>
      </c>
      <c r="L961">
        <v>952</v>
      </c>
      <c r="M961" t="e">
        <f>INDEX(Stammdaten[Abholzigkeit (mm/lfm)],MATCH(Tabelle9[[#This Row],[Rank]],Stammdaten[Rank Verteilung Abholzigkeit],0))</f>
        <v>#N/A</v>
      </c>
      <c r="N961" t="e">
        <f>VLOOKUP(Tabelle9[[#This Row],[Rank]],Stammdaten[[Rank Verteilung Abholzigkeit]:[Verteilung Abholzigkeit]],2,FALSE)</f>
        <v>#N/A</v>
      </c>
      <c r="S961">
        <v>952</v>
      </c>
      <c r="T961" t="e">
        <f>INDEX(Stammdaten[Krümmung (mm/lfm)],MATCH(Tabelle10[[#This Row],[Rank]],Stammdaten[Rank Verteilung Krümmung],0))</f>
        <v>#N/A</v>
      </c>
      <c r="U961" t="e">
        <f>VLOOKUP(Tabelle10[[#This Row],[Rank]],Stammdaten[[Rank Verteilung Krümmung]:[Verteilung Krümmung]],2,FALSE)</f>
        <v>#N/A</v>
      </c>
      <c r="Z961">
        <v>952</v>
      </c>
      <c r="AA961" t="e">
        <f>INDEX(Stammdaten[Ovalität (']0,1'])],MATCH(Tabelle1014[[#This Row],[Rank]],Stammdaten[Rank Verteilung Ovalität],0))</f>
        <v>#N/A</v>
      </c>
      <c r="AB961" t="e">
        <f>VLOOKUP(Tabelle1014[[#This Row],[Rank]],Stammdaten[[Rank Verteilung Ovalität]:[Verteilung Ovalität]],2,FALSE)</f>
        <v>#N/A</v>
      </c>
    </row>
    <row r="962" spans="5:28" x14ac:dyDescent="0.35">
      <c r="E962">
        <v>953</v>
      </c>
      <c r="F962" t="e">
        <f>INDEX(Stammdaten[D Mitte mit Rinde (mm)],MATCH(Tabelle8[[#This Row],[Rank]],Stammdaten[Rank Verteilung D Mitte mit Rinde],0))</f>
        <v>#N/A</v>
      </c>
      <c r="G962" t="e">
        <f>VLOOKUP(Tabelle8[[#This Row],[Rank]],Stammdaten[[Rank Verteilung D Mitte mit Rinde]:[Verteilung D Mitte mit Rinde]],2,FALSE)</f>
        <v>#N/A</v>
      </c>
      <c r="L962">
        <v>953</v>
      </c>
      <c r="M962" t="e">
        <f>INDEX(Stammdaten[Abholzigkeit (mm/lfm)],MATCH(Tabelle9[[#This Row],[Rank]],Stammdaten[Rank Verteilung Abholzigkeit],0))</f>
        <v>#N/A</v>
      </c>
      <c r="N962" t="e">
        <f>VLOOKUP(Tabelle9[[#This Row],[Rank]],Stammdaten[[Rank Verteilung Abholzigkeit]:[Verteilung Abholzigkeit]],2,FALSE)</f>
        <v>#N/A</v>
      </c>
      <c r="S962">
        <v>953</v>
      </c>
      <c r="T962" t="e">
        <f>INDEX(Stammdaten[Krümmung (mm/lfm)],MATCH(Tabelle10[[#This Row],[Rank]],Stammdaten[Rank Verteilung Krümmung],0))</f>
        <v>#N/A</v>
      </c>
      <c r="U962" t="e">
        <f>VLOOKUP(Tabelle10[[#This Row],[Rank]],Stammdaten[[Rank Verteilung Krümmung]:[Verteilung Krümmung]],2,FALSE)</f>
        <v>#N/A</v>
      </c>
      <c r="Z962">
        <v>953</v>
      </c>
      <c r="AA962" t="e">
        <f>INDEX(Stammdaten[Ovalität (']0,1'])],MATCH(Tabelle1014[[#This Row],[Rank]],Stammdaten[Rank Verteilung Ovalität],0))</f>
        <v>#N/A</v>
      </c>
      <c r="AB962" t="e">
        <f>VLOOKUP(Tabelle1014[[#This Row],[Rank]],Stammdaten[[Rank Verteilung Ovalität]:[Verteilung Ovalität]],2,FALSE)</f>
        <v>#N/A</v>
      </c>
    </row>
    <row r="963" spans="5:28" x14ac:dyDescent="0.35">
      <c r="E963">
        <v>954</v>
      </c>
      <c r="F963" t="e">
        <f>INDEX(Stammdaten[D Mitte mit Rinde (mm)],MATCH(Tabelle8[[#This Row],[Rank]],Stammdaten[Rank Verteilung D Mitte mit Rinde],0))</f>
        <v>#N/A</v>
      </c>
      <c r="G963" t="e">
        <f>VLOOKUP(Tabelle8[[#This Row],[Rank]],Stammdaten[[Rank Verteilung D Mitte mit Rinde]:[Verteilung D Mitte mit Rinde]],2,FALSE)</f>
        <v>#N/A</v>
      </c>
      <c r="L963">
        <v>954</v>
      </c>
      <c r="M963" t="e">
        <f>INDEX(Stammdaten[Abholzigkeit (mm/lfm)],MATCH(Tabelle9[[#This Row],[Rank]],Stammdaten[Rank Verteilung Abholzigkeit],0))</f>
        <v>#N/A</v>
      </c>
      <c r="N963" t="e">
        <f>VLOOKUP(Tabelle9[[#This Row],[Rank]],Stammdaten[[Rank Verteilung Abholzigkeit]:[Verteilung Abholzigkeit]],2,FALSE)</f>
        <v>#N/A</v>
      </c>
      <c r="S963">
        <v>954</v>
      </c>
      <c r="T963" t="e">
        <f>INDEX(Stammdaten[Krümmung (mm/lfm)],MATCH(Tabelle10[[#This Row],[Rank]],Stammdaten[Rank Verteilung Krümmung],0))</f>
        <v>#N/A</v>
      </c>
      <c r="U963" t="e">
        <f>VLOOKUP(Tabelle10[[#This Row],[Rank]],Stammdaten[[Rank Verteilung Krümmung]:[Verteilung Krümmung]],2,FALSE)</f>
        <v>#N/A</v>
      </c>
      <c r="Z963">
        <v>954</v>
      </c>
      <c r="AA963" t="e">
        <f>INDEX(Stammdaten[Ovalität (']0,1'])],MATCH(Tabelle1014[[#This Row],[Rank]],Stammdaten[Rank Verteilung Ovalität],0))</f>
        <v>#N/A</v>
      </c>
      <c r="AB963" t="e">
        <f>VLOOKUP(Tabelle1014[[#This Row],[Rank]],Stammdaten[[Rank Verteilung Ovalität]:[Verteilung Ovalität]],2,FALSE)</f>
        <v>#N/A</v>
      </c>
    </row>
    <row r="964" spans="5:28" x14ac:dyDescent="0.35">
      <c r="E964">
        <v>955</v>
      </c>
      <c r="F964" t="e">
        <f>INDEX(Stammdaten[D Mitte mit Rinde (mm)],MATCH(Tabelle8[[#This Row],[Rank]],Stammdaten[Rank Verteilung D Mitte mit Rinde],0))</f>
        <v>#N/A</v>
      </c>
      <c r="G964" t="e">
        <f>VLOOKUP(Tabelle8[[#This Row],[Rank]],Stammdaten[[Rank Verteilung D Mitte mit Rinde]:[Verteilung D Mitte mit Rinde]],2,FALSE)</f>
        <v>#N/A</v>
      </c>
      <c r="L964">
        <v>955</v>
      </c>
      <c r="M964" t="e">
        <f>INDEX(Stammdaten[Abholzigkeit (mm/lfm)],MATCH(Tabelle9[[#This Row],[Rank]],Stammdaten[Rank Verteilung Abholzigkeit],0))</f>
        <v>#N/A</v>
      </c>
      <c r="N964" t="e">
        <f>VLOOKUP(Tabelle9[[#This Row],[Rank]],Stammdaten[[Rank Verteilung Abholzigkeit]:[Verteilung Abholzigkeit]],2,FALSE)</f>
        <v>#N/A</v>
      </c>
      <c r="S964">
        <v>955</v>
      </c>
      <c r="T964" t="e">
        <f>INDEX(Stammdaten[Krümmung (mm/lfm)],MATCH(Tabelle10[[#This Row],[Rank]],Stammdaten[Rank Verteilung Krümmung],0))</f>
        <v>#N/A</v>
      </c>
      <c r="U964" t="e">
        <f>VLOOKUP(Tabelle10[[#This Row],[Rank]],Stammdaten[[Rank Verteilung Krümmung]:[Verteilung Krümmung]],2,FALSE)</f>
        <v>#N/A</v>
      </c>
      <c r="Z964">
        <v>955</v>
      </c>
      <c r="AA964" t="e">
        <f>INDEX(Stammdaten[Ovalität (']0,1'])],MATCH(Tabelle1014[[#This Row],[Rank]],Stammdaten[Rank Verteilung Ovalität],0))</f>
        <v>#N/A</v>
      </c>
      <c r="AB964" t="e">
        <f>VLOOKUP(Tabelle1014[[#This Row],[Rank]],Stammdaten[[Rank Verteilung Ovalität]:[Verteilung Ovalität]],2,FALSE)</f>
        <v>#N/A</v>
      </c>
    </row>
    <row r="965" spans="5:28" x14ac:dyDescent="0.35">
      <c r="E965">
        <v>956</v>
      </c>
      <c r="F965" t="e">
        <f>INDEX(Stammdaten[D Mitte mit Rinde (mm)],MATCH(Tabelle8[[#This Row],[Rank]],Stammdaten[Rank Verteilung D Mitte mit Rinde],0))</f>
        <v>#N/A</v>
      </c>
      <c r="G965" t="e">
        <f>VLOOKUP(Tabelle8[[#This Row],[Rank]],Stammdaten[[Rank Verteilung D Mitte mit Rinde]:[Verteilung D Mitte mit Rinde]],2,FALSE)</f>
        <v>#N/A</v>
      </c>
      <c r="L965">
        <v>956</v>
      </c>
      <c r="M965" t="e">
        <f>INDEX(Stammdaten[Abholzigkeit (mm/lfm)],MATCH(Tabelle9[[#This Row],[Rank]],Stammdaten[Rank Verteilung Abholzigkeit],0))</f>
        <v>#N/A</v>
      </c>
      <c r="N965" t="e">
        <f>VLOOKUP(Tabelle9[[#This Row],[Rank]],Stammdaten[[Rank Verteilung Abholzigkeit]:[Verteilung Abholzigkeit]],2,FALSE)</f>
        <v>#N/A</v>
      </c>
      <c r="S965">
        <v>956</v>
      </c>
      <c r="T965" t="e">
        <f>INDEX(Stammdaten[Krümmung (mm/lfm)],MATCH(Tabelle10[[#This Row],[Rank]],Stammdaten[Rank Verteilung Krümmung],0))</f>
        <v>#N/A</v>
      </c>
      <c r="U965" t="e">
        <f>VLOOKUP(Tabelle10[[#This Row],[Rank]],Stammdaten[[Rank Verteilung Krümmung]:[Verteilung Krümmung]],2,FALSE)</f>
        <v>#N/A</v>
      </c>
      <c r="Z965">
        <v>956</v>
      </c>
      <c r="AA965" t="e">
        <f>INDEX(Stammdaten[Ovalität (']0,1'])],MATCH(Tabelle1014[[#This Row],[Rank]],Stammdaten[Rank Verteilung Ovalität],0))</f>
        <v>#N/A</v>
      </c>
      <c r="AB965" t="e">
        <f>VLOOKUP(Tabelle1014[[#This Row],[Rank]],Stammdaten[[Rank Verteilung Ovalität]:[Verteilung Ovalität]],2,FALSE)</f>
        <v>#N/A</v>
      </c>
    </row>
    <row r="966" spans="5:28" x14ac:dyDescent="0.35">
      <c r="E966">
        <v>957</v>
      </c>
      <c r="F966" t="e">
        <f>INDEX(Stammdaten[D Mitte mit Rinde (mm)],MATCH(Tabelle8[[#This Row],[Rank]],Stammdaten[Rank Verteilung D Mitte mit Rinde],0))</f>
        <v>#N/A</v>
      </c>
      <c r="G966" t="e">
        <f>VLOOKUP(Tabelle8[[#This Row],[Rank]],Stammdaten[[Rank Verteilung D Mitte mit Rinde]:[Verteilung D Mitte mit Rinde]],2,FALSE)</f>
        <v>#N/A</v>
      </c>
      <c r="L966">
        <v>957</v>
      </c>
      <c r="M966" t="e">
        <f>INDEX(Stammdaten[Abholzigkeit (mm/lfm)],MATCH(Tabelle9[[#This Row],[Rank]],Stammdaten[Rank Verteilung Abholzigkeit],0))</f>
        <v>#N/A</v>
      </c>
      <c r="N966" t="e">
        <f>VLOOKUP(Tabelle9[[#This Row],[Rank]],Stammdaten[[Rank Verteilung Abholzigkeit]:[Verteilung Abholzigkeit]],2,FALSE)</f>
        <v>#N/A</v>
      </c>
      <c r="S966">
        <v>957</v>
      </c>
      <c r="T966" t="e">
        <f>INDEX(Stammdaten[Krümmung (mm/lfm)],MATCH(Tabelle10[[#This Row],[Rank]],Stammdaten[Rank Verteilung Krümmung],0))</f>
        <v>#N/A</v>
      </c>
      <c r="U966" t="e">
        <f>VLOOKUP(Tabelle10[[#This Row],[Rank]],Stammdaten[[Rank Verteilung Krümmung]:[Verteilung Krümmung]],2,FALSE)</f>
        <v>#N/A</v>
      </c>
      <c r="Z966">
        <v>957</v>
      </c>
      <c r="AA966" t="e">
        <f>INDEX(Stammdaten[Ovalität (']0,1'])],MATCH(Tabelle1014[[#This Row],[Rank]],Stammdaten[Rank Verteilung Ovalität],0))</f>
        <v>#N/A</v>
      </c>
      <c r="AB966" t="e">
        <f>VLOOKUP(Tabelle1014[[#This Row],[Rank]],Stammdaten[[Rank Verteilung Ovalität]:[Verteilung Ovalität]],2,FALSE)</f>
        <v>#N/A</v>
      </c>
    </row>
    <row r="967" spans="5:28" x14ac:dyDescent="0.35">
      <c r="E967">
        <v>958</v>
      </c>
      <c r="F967" t="e">
        <f>INDEX(Stammdaten[D Mitte mit Rinde (mm)],MATCH(Tabelle8[[#This Row],[Rank]],Stammdaten[Rank Verteilung D Mitte mit Rinde],0))</f>
        <v>#N/A</v>
      </c>
      <c r="G967" t="e">
        <f>VLOOKUP(Tabelle8[[#This Row],[Rank]],Stammdaten[[Rank Verteilung D Mitte mit Rinde]:[Verteilung D Mitte mit Rinde]],2,FALSE)</f>
        <v>#N/A</v>
      </c>
      <c r="L967">
        <v>958</v>
      </c>
      <c r="M967" t="e">
        <f>INDEX(Stammdaten[Abholzigkeit (mm/lfm)],MATCH(Tabelle9[[#This Row],[Rank]],Stammdaten[Rank Verteilung Abholzigkeit],0))</f>
        <v>#N/A</v>
      </c>
      <c r="N967" t="e">
        <f>VLOOKUP(Tabelle9[[#This Row],[Rank]],Stammdaten[[Rank Verteilung Abholzigkeit]:[Verteilung Abholzigkeit]],2,FALSE)</f>
        <v>#N/A</v>
      </c>
      <c r="S967">
        <v>958</v>
      </c>
      <c r="T967" t="e">
        <f>INDEX(Stammdaten[Krümmung (mm/lfm)],MATCH(Tabelle10[[#This Row],[Rank]],Stammdaten[Rank Verteilung Krümmung],0))</f>
        <v>#N/A</v>
      </c>
      <c r="U967" t="e">
        <f>VLOOKUP(Tabelle10[[#This Row],[Rank]],Stammdaten[[Rank Verteilung Krümmung]:[Verteilung Krümmung]],2,FALSE)</f>
        <v>#N/A</v>
      </c>
      <c r="Z967">
        <v>958</v>
      </c>
      <c r="AA967" t="e">
        <f>INDEX(Stammdaten[Ovalität (']0,1'])],MATCH(Tabelle1014[[#This Row],[Rank]],Stammdaten[Rank Verteilung Ovalität],0))</f>
        <v>#N/A</v>
      </c>
      <c r="AB967" t="e">
        <f>VLOOKUP(Tabelle1014[[#This Row],[Rank]],Stammdaten[[Rank Verteilung Ovalität]:[Verteilung Ovalität]],2,FALSE)</f>
        <v>#N/A</v>
      </c>
    </row>
    <row r="968" spans="5:28" x14ac:dyDescent="0.35">
      <c r="E968">
        <v>959</v>
      </c>
      <c r="F968" t="e">
        <f>INDEX(Stammdaten[D Mitte mit Rinde (mm)],MATCH(Tabelle8[[#This Row],[Rank]],Stammdaten[Rank Verteilung D Mitte mit Rinde],0))</f>
        <v>#N/A</v>
      </c>
      <c r="G968" t="e">
        <f>VLOOKUP(Tabelle8[[#This Row],[Rank]],Stammdaten[[Rank Verteilung D Mitte mit Rinde]:[Verteilung D Mitte mit Rinde]],2,FALSE)</f>
        <v>#N/A</v>
      </c>
      <c r="L968">
        <v>959</v>
      </c>
      <c r="M968" t="e">
        <f>INDEX(Stammdaten[Abholzigkeit (mm/lfm)],MATCH(Tabelle9[[#This Row],[Rank]],Stammdaten[Rank Verteilung Abholzigkeit],0))</f>
        <v>#N/A</v>
      </c>
      <c r="N968" t="e">
        <f>VLOOKUP(Tabelle9[[#This Row],[Rank]],Stammdaten[[Rank Verteilung Abholzigkeit]:[Verteilung Abholzigkeit]],2,FALSE)</f>
        <v>#N/A</v>
      </c>
      <c r="S968">
        <v>959</v>
      </c>
      <c r="T968" t="e">
        <f>INDEX(Stammdaten[Krümmung (mm/lfm)],MATCH(Tabelle10[[#This Row],[Rank]],Stammdaten[Rank Verteilung Krümmung],0))</f>
        <v>#N/A</v>
      </c>
      <c r="U968" t="e">
        <f>VLOOKUP(Tabelle10[[#This Row],[Rank]],Stammdaten[[Rank Verteilung Krümmung]:[Verteilung Krümmung]],2,FALSE)</f>
        <v>#N/A</v>
      </c>
      <c r="Z968">
        <v>959</v>
      </c>
      <c r="AA968" t="e">
        <f>INDEX(Stammdaten[Ovalität (']0,1'])],MATCH(Tabelle1014[[#This Row],[Rank]],Stammdaten[Rank Verteilung Ovalität],0))</f>
        <v>#N/A</v>
      </c>
      <c r="AB968" t="e">
        <f>VLOOKUP(Tabelle1014[[#This Row],[Rank]],Stammdaten[[Rank Verteilung Ovalität]:[Verteilung Ovalität]],2,FALSE)</f>
        <v>#N/A</v>
      </c>
    </row>
    <row r="969" spans="5:28" x14ac:dyDescent="0.35">
      <c r="E969">
        <v>960</v>
      </c>
      <c r="F969" t="e">
        <f>INDEX(Stammdaten[D Mitte mit Rinde (mm)],MATCH(Tabelle8[[#This Row],[Rank]],Stammdaten[Rank Verteilung D Mitte mit Rinde],0))</f>
        <v>#N/A</v>
      </c>
      <c r="G969" t="e">
        <f>VLOOKUP(Tabelle8[[#This Row],[Rank]],Stammdaten[[Rank Verteilung D Mitte mit Rinde]:[Verteilung D Mitte mit Rinde]],2,FALSE)</f>
        <v>#N/A</v>
      </c>
      <c r="L969">
        <v>960</v>
      </c>
      <c r="M969" t="e">
        <f>INDEX(Stammdaten[Abholzigkeit (mm/lfm)],MATCH(Tabelle9[[#This Row],[Rank]],Stammdaten[Rank Verteilung Abholzigkeit],0))</f>
        <v>#N/A</v>
      </c>
      <c r="N969" t="e">
        <f>VLOOKUP(Tabelle9[[#This Row],[Rank]],Stammdaten[[Rank Verteilung Abholzigkeit]:[Verteilung Abholzigkeit]],2,FALSE)</f>
        <v>#N/A</v>
      </c>
      <c r="S969">
        <v>960</v>
      </c>
      <c r="T969" t="e">
        <f>INDEX(Stammdaten[Krümmung (mm/lfm)],MATCH(Tabelle10[[#This Row],[Rank]],Stammdaten[Rank Verteilung Krümmung],0))</f>
        <v>#N/A</v>
      </c>
      <c r="U969" t="e">
        <f>VLOOKUP(Tabelle10[[#This Row],[Rank]],Stammdaten[[Rank Verteilung Krümmung]:[Verteilung Krümmung]],2,FALSE)</f>
        <v>#N/A</v>
      </c>
      <c r="Z969">
        <v>960</v>
      </c>
      <c r="AA969" t="e">
        <f>INDEX(Stammdaten[Ovalität (']0,1'])],MATCH(Tabelle1014[[#This Row],[Rank]],Stammdaten[Rank Verteilung Ovalität],0))</f>
        <v>#N/A</v>
      </c>
      <c r="AB969" t="e">
        <f>VLOOKUP(Tabelle1014[[#This Row],[Rank]],Stammdaten[[Rank Verteilung Ovalität]:[Verteilung Ovalität]],2,FALSE)</f>
        <v>#N/A</v>
      </c>
    </row>
    <row r="970" spans="5:28" x14ac:dyDescent="0.35">
      <c r="E970">
        <v>961</v>
      </c>
      <c r="F970" t="e">
        <f>INDEX(Stammdaten[D Mitte mit Rinde (mm)],MATCH(Tabelle8[[#This Row],[Rank]],Stammdaten[Rank Verteilung D Mitte mit Rinde],0))</f>
        <v>#N/A</v>
      </c>
      <c r="G970" t="e">
        <f>VLOOKUP(Tabelle8[[#This Row],[Rank]],Stammdaten[[Rank Verteilung D Mitte mit Rinde]:[Verteilung D Mitte mit Rinde]],2,FALSE)</f>
        <v>#N/A</v>
      </c>
      <c r="L970">
        <v>961</v>
      </c>
      <c r="M970" t="e">
        <f>INDEX(Stammdaten[Abholzigkeit (mm/lfm)],MATCH(Tabelle9[[#This Row],[Rank]],Stammdaten[Rank Verteilung Abholzigkeit],0))</f>
        <v>#N/A</v>
      </c>
      <c r="N970" t="e">
        <f>VLOOKUP(Tabelle9[[#This Row],[Rank]],Stammdaten[[Rank Verteilung Abholzigkeit]:[Verteilung Abholzigkeit]],2,FALSE)</f>
        <v>#N/A</v>
      </c>
      <c r="S970">
        <v>961</v>
      </c>
      <c r="T970" t="e">
        <f>INDEX(Stammdaten[Krümmung (mm/lfm)],MATCH(Tabelle10[[#This Row],[Rank]],Stammdaten[Rank Verteilung Krümmung],0))</f>
        <v>#N/A</v>
      </c>
      <c r="U970" t="e">
        <f>VLOOKUP(Tabelle10[[#This Row],[Rank]],Stammdaten[[Rank Verteilung Krümmung]:[Verteilung Krümmung]],2,FALSE)</f>
        <v>#N/A</v>
      </c>
      <c r="Z970">
        <v>961</v>
      </c>
      <c r="AA970" t="e">
        <f>INDEX(Stammdaten[Ovalität (']0,1'])],MATCH(Tabelle1014[[#This Row],[Rank]],Stammdaten[Rank Verteilung Ovalität],0))</f>
        <v>#N/A</v>
      </c>
      <c r="AB970" t="e">
        <f>VLOOKUP(Tabelle1014[[#This Row],[Rank]],Stammdaten[[Rank Verteilung Ovalität]:[Verteilung Ovalität]],2,FALSE)</f>
        <v>#N/A</v>
      </c>
    </row>
    <row r="971" spans="5:28" x14ac:dyDescent="0.35">
      <c r="E971">
        <v>962</v>
      </c>
      <c r="F971" t="e">
        <f>INDEX(Stammdaten[D Mitte mit Rinde (mm)],MATCH(Tabelle8[[#This Row],[Rank]],Stammdaten[Rank Verteilung D Mitte mit Rinde],0))</f>
        <v>#N/A</v>
      </c>
      <c r="G971" t="e">
        <f>VLOOKUP(Tabelle8[[#This Row],[Rank]],Stammdaten[[Rank Verteilung D Mitte mit Rinde]:[Verteilung D Mitte mit Rinde]],2,FALSE)</f>
        <v>#N/A</v>
      </c>
      <c r="L971">
        <v>962</v>
      </c>
      <c r="M971" t="e">
        <f>INDEX(Stammdaten[Abholzigkeit (mm/lfm)],MATCH(Tabelle9[[#This Row],[Rank]],Stammdaten[Rank Verteilung Abholzigkeit],0))</f>
        <v>#N/A</v>
      </c>
      <c r="N971" t="e">
        <f>VLOOKUP(Tabelle9[[#This Row],[Rank]],Stammdaten[[Rank Verteilung Abholzigkeit]:[Verteilung Abholzigkeit]],2,FALSE)</f>
        <v>#N/A</v>
      </c>
      <c r="S971">
        <v>962</v>
      </c>
      <c r="T971" t="e">
        <f>INDEX(Stammdaten[Krümmung (mm/lfm)],MATCH(Tabelle10[[#This Row],[Rank]],Stammdaten[Rank Verteilung Krümmung],0))</f>
        <v>#N/A</v>
      </c>
      <c r="U971" t="e">
        <f>VLOOKUP(Tabelle10[[#This Row],[Rank]],Stammdaten[[Rank Verteilung Krümmung]:[Verteilung Krümmung]],2,FALSE)</f>
        <v>#N/A</v>
      </c>
      <c r="Z971">
        <v>962</v>
      </c>
      <c r="AA971" t="e">
        <f>INDEX(Stammdaten[Ovalität (']0,1'])],MATCH(Tabelle1014[[#This Row],[Rank]],Stammdaten[Rank Verteilung Ovalität],0))</f>
        <v>#N/A</v>
      </c>
      <c r="AB971" t="e">
        <f>VLOOKUP(Tabelle1014[[#This Row],[Rank]],Stammdaten[[Rank Verteilung Ovalität]:[Verteilung Ovalität]],2,FALSE)</f>
        <v>#N/A</v>
      </c>
    </row>
    <row r="972" spans="5:28" x14ac:dyDescent="0.35">
      <c r="E972">
        <v>963</v>
      </c>
      <c r="F972" t="e">
        <f>INDEX(Stammdaten[D Mitte mit Rinde (mm)],MATCH(Tabelle8[[#This Row],[Rank]],Stammdaten[Rank Verteilung D Mitte mit Rinde],0))</f>
        <v>#N/A</v>
      </c>
      <c r="G972" t="e">
        <f>VLOOKUP(Tabelle8[[#This Row],[Rank]],Stammdaten[[Rank Verteilung D Mitte mit Rinde]:[Verteilung D Mitte mit Rinde]],2,FALSE)</f>
        <v>#N/A</v>
      </c>
      <c r="L972">
        <v>963</v>
      </c>
      <c r="M972" t="e">
        <f>INDEX(Stammdaten[Abholzigkeit (mm/lfm)],MATCH(Tabelle9[[#This Row],[Rank]],Stammdaten[Rank Verteilung Abholzigkeit],0))</f>
        <v>#N/A</v>
      </c>
      <c r="N972" t="e">
        <f>VLOOKUP(Tabelle9[[#This Row],[Rank]],Stammdaten[[Rank Verteilung Abholzigkeit]:[Verteilung Abholzigkeit]],2,FALSE)</f>
        <v>#N/A</v>
      </c>
      <c r="S972">
        <v>963</v>
      </c>
      <c r="T972" t="e">
        <f>INDEX(Stammdaten[Krümmung (mm/lfm)],MATCH(Tabelle10[[#This Row],[Rank]],Stammdaten[Rank Verteilung Krümmung],0))</f>
        <v>#N/A</v>
      </c>
      <c r="U972" t="e">
        <f>VLOOKUP(Tabelle10[[#This Row],[Rank]],Stammdaten[[Rank Verteilung Krümmung]:[Verteilung Krümmung]],2,FALSE)</f>
        <v>#N/A</v>
      </c>
      <c r="Z972">
        <v>963</v>
      </c>
      <c r="AA972" t="e">
        <f>INDEX(Stammdaten[Ovalität (']0,1'])],MATCH(Tabelle1014[[#This Row],[Rank]],Stammdaten[Rank Verteilung Ovalität],0))</f>
        <v>#N/A</v>
      </c>
      <c r="AB972" t="e">
        <f>VLOOKUP(Tabelle1014[[#This Row],[Rank]],Stammdaten[[Rank Verteilung Ovalität]:[Verteilung Ovalität]],2,FALSE)</f>
        <v>#N/A</v>
      </c>
    </row>
    <row r="973" spans="5:28" x14ac:dyDescent="0.35">
      <c r="E973">
        <v>964</v>
      </c>
      <c r="F973" t="e">
        <f>INDEX(Stammdaten[D Mitte mit Rinde (mm)],MATCH(Tabelle8[[#This Row],[Rank]],Stammdaten[Rank Verteilung D Mitte mit Rinde],0))</f>
        <v>#N/A</v>
      </c>
      <c r="G973" t="e">
        <f>VLOOKUP(Tabelle8[[#This Row],[Rank]],Stammdaten[[Rank Verteilung D Mitte mit Rinde]:[Verteilung D Mitte mit Rinde]],2,FALSE)</f>
        <v>#N/A</v>
      </c>
      <c r="L973">
        <v>964</v>
      </c>
      <c r="M973" t="e">
        <f>INDEX(Stammdaten[Abholzigkeit (mm/lfm)],MATCH(Tabelle9[[#This Row],[Rank]],Stammdaten[Rank Verteilung Abholzigkeit],0))</f>
        <v>#N/A</v>
      </c>
      <c r="N973" t="e">
        <f>VLOOKUP(Tabelle9[[#This Row],[Rank]],Stammdaten[[Rank Verteilung Abholzigkeit]:[Verteilung Abholzigkeit]],2,FALSE)</f>
        <v>#N/A</v>
      </c>
      <c r="S973">
        <v>964</v>
      </c>
      <c r="T973" t="e">
        <f>INDEX(Stammdaten[Krümmung (mm/lfm)],MATCH(Tabelle10[[#This Row],[Rank]],Stammdaten[Rank Verteilung Krümmung],0))</f>
        <v>#N/A</v>
      </c>
      <c r="U973" t="e">
        <f>VLOOKUP(Tabelle10[[#This Row],[Rank]],Stammdaten[[Rank Verteilung Krümmung]:[Verteilung Krümmung]],2,FALSE)</f>
        <v>#N/A</v>
      </c>
      <c r="Z973">
        <v>964</v>
      </c>
      <c r="AA973" t="e">
        <f>INDEX(Stammdaten[Ovalität (']0,1'])],MATCH(Tabelle1014[[#This Row],[Rank]],Stammdaten[Rank Verteilung Ovalität],0))</f>
        <v>#N/A</v>
      </c>
      <c r="AB973" t="e">
        <f>VLOOKUP(Tabelle1014[[#This Row],[Rank]],Stammdaten[[Rank Verteilung Ovalität]:[Verteilung Ovalität]],2,FALSE)</f>
        <v>#N/A</v>
      </c>
    </row>
    <row r="974" spans="5:28" x14ac:dyDescent="0.35">
      <c r="E974">
        <v>965</v>
      </c>
      <c r="F974" t="e">
        <f>INDEX(Stammdaten[D Mitte mit Rinde (mm)],MATCH(Tabelle8[[#This Row],[Rank]],Stammdaten[Rank Verteilung D Mitte mit Rinde],0))</f>
        <v>#N/A</v>
      </c>
      <c r="G974" t="e">
        <f>VLOOKUP(Tabelle8[[#This Row],[Rank]],Stammdaten[[Rank Verteilung D Mitte mit Rinde]:[Verteilung D Mitte mit Rinde]],2,FALSE)</f>
        <v>#N/A</v>
      </c>
      <c r="L974">
        <v>965</v>
      </c>
      <c r="M974" t="e">
        <f>INDEX(Stammdaten[Abholzigkeit (mm/lfm)],MATCH(Tabelle9[[#This Row],[Rank]],Stammdaten[Rank Verteilung Abholzigkeit],0))</f>
        <v>#N/A</v>
      </c>
      <c r="N974" t="e">
        <f>VLOOKUP(Tabelle9[[#This Row],[Rank]],Stammdaten[[Rank Verteilung Abholzigkeit]:[Verteilung Abholzigkeit]],2,FALSE)</f>
        <v>#N/A</v>
      </c>
      <c r="S974">
        <v>965</v>
      </c>
      <c r="T974" t="e">
        <f>INDEX(Stammdaten[Krümmung (mm/lfm)],MATCH(Tabelle10[[#This Row],[Rank]],Stammdaten[Rank Verteilung Krümmung],0))</f>
        <v>#N/A</v>
      </c>
      <c r="U974" t="e">
        <f>VLOOKUP(Tabelle10[[#This Row],[Rank]],Stammdaten[[Rank Verteilung Krümmung]:[Verteilung Krümmung]],2,FALSE)</f>
        <v>#N/A</v>
      </c>
      <c r="Z974">
        <v>965</v>
      </c>
      <c r="AA974" t="e">
        <f>INDEX(Stammdaten[Ovalität (']0,1'])],MATCH(Tabelle1014[[#This Row],[Rank]],Stammdaten[Rank Verteilung Ovalität],0))</f>
        <v>#N/A</v>
      </c>
      <c r="AB974" t="e">
        <f>VLOOKUP(Tabelle1014[[#This Row],[Rank]],Stammdaten[[Rank Verteilung Ovalität]:[Verteilung Ovalität]],2,FALSE)</f>
        <v>#N/A</v>
      </c>
    </row>
    <row r="975" spans="5:28" x14ac:dyDescent="0.35">
      <c r="E975">
        <v>966</v>
      </c>
      <c r="F975" t="e">
        <f>INDEX(Stammdaten[D Mitte mit Rinde (mm)],MATCH(Tabelle8[[#This Row],[Rank]],Stammdaten[Rank Verteilung D Mitte mit Rinde],0))</f>
        <v>#N/A</v>
      </c>
      <c r="G975" t="e">
        <f>VLOOKUP(Tabelle8[[#This Row],[Rank]],Stammdaten[[Rank Verteilung D Mitte mit Rinde]:[Verteilung D Mitte mit Rinde]],2,FALSE)</f>
        <v>#N/A</v>
      </c>
      <c r="L975">
        <v>966</v>
      </c>
      <c r="M975" t="e">
        <f>INDEX(Stammdaten[Abholzigkeit (mm/lfm)],MATCH(Tabelle9[[#This Row],[Rank]],Stammdaten[Rank Verteilung Abholzigkeit],0))</f>
        <v>#N/A</v>
      </c>
      <c r="N975" t="e">
        <f>VLOOKUP(Tabelle9[[#This Row],[Rank]],Stammdaten[[Rank Verteilung Abholzigkeit]:[Verteilung Abholzigkeit]],2,FALSE)</f>
        <v>#N/A</v>
      </c>
      <c r="S975">
        <v>966</v>
      </c>
      <c r="T975" t="e">
        <f>INDEX(Stammdaten[Krümmung (mm/lfm)],MATCH(Tabelle10[[#This Row],[Rank]],Stammdaten[Rank Verteilung Krümmung],0))</f>
        <v>#N/A</v>
      </c>
      <c r="U975" t="e">
        <f>VLOOKUP(Tabelle10[[#This Row],[Rank]],Stammdaten[[Rank Verteilung Krümmung]:[Verteilung Krümmung]],2,FALSE)</f>
        <v>#N/A</v>
      </c>
      <c r="Z975">
        <v>966</v>
      </c>
      <c r="AA975" t="e">
        <f>INDEX(Stammdaten[Ovalität (']0,1'])],MATCH(Tabelle1014[[#This Row],[Rank]],Stammdaten[Rank Verteilung Ovalität],0))</f>
        <v>#N/A</v>
      </c>
      <c r="AB975" t="e">
        <f>VLOOKUP(Tabelle1014[[#This Row],[Rank]],Stammdaten[[Rank Verteilung Ovalität]:[Verteilung Ovalität]],2,FALSE)</f>
        <v>#N/A</v>
      </c>
    </row>
    <row r="976" spans="5:28" x14ac:dyDescent="0.35">
      <c r="E976">
        <v>967</v>
      </c>
      <c r="F976" t="e">
        <f>INDEX(Stammdaten[D Mitte mit Rinde (mm)],MATCH(Tabelle8[[#This Row],[Rank]],Stammdaten[Rank Verteilung D Mitte mit Rinde],0))</f>
        <v>#N/A</v>
      </c>
      <c r="G976" t="e">
        <f>VLOOKUP(Tabelle8[[#This Row],[Rank]],Stammdaten[[Rank Verteilung D Mitte mit Rinde]:[Verteilung D Mitte mit Rinde]],2,FALSE)</f>
        <v>#N/A</v>
      </c>
      <c r="L976">
        <v>967</v>
      </c>
      <c r="M976" t="e">
        <f>INDEX(Stammdaten[Abholzigkeit (mm/lfm)],MATCH(Tabelle9[[#This Row],[Rank]],Stammdaten[Rank Verteilung Abholzigkeit],0))</f>
        <v>#N/A</v>
      </c>
      <c r="N976" t="e">
        <f>VLOOKUP(Tabelle9[[#This Row],[Rank]],Stammdaten[[Rank Verteilung Abholzigkeit]:[Verteilung Abholzigkeit]],2,FALSE)</f>
        <v>#N/A</v>
      </c>
      <c r="S976">
        <v>967</v>
      </c>
      <c r="T976" t="e">
        <f>INDEX(Stammdaten[Krümmung (mm/lfm)],MATCH(Tabelle10[[#This Row],[Rank]],Stammdaten[Rank Verteilung Krümmung],0))</f>
        <v>#N/A</v>
      </c>
      <c r="U976" t="e">
        <f>VLOOKUP(Tabelle10[[#This Row],[Rank]],Stammdaten[[Rank Verteilung Krümmung]:[Verteilung Krümmung]],2,FALSE)</f>
        <v>#N/A</v>
      </c>
      <c r="Z976">
        <v>967</v>
      </c>
      <c r="AA976" t="e">
        <f>INDEX(Stammdaten[Ovalität (']0,1'])],MATCH(Tabelle1014[[#This Row],[Rank]],Stammdaten[Rank Verteilung Ovalität],0))</f>
        <v>#N/A</v>
      </c>
      <c r="AB976" t="e">
        <f>VLOOKUP(Tabelle1014[[#This Row],[Rank]],Stammdaten[[Rank Verteilung Ovalität]:[Verteilung Ovalität]],2,FALSE)</f>
        <v>#N/A</v>
      </c>
    </row>
    <row r="977" spans="5:28" x14ac:dyDescent="0.35">
      <c r="E977">
        <v>968</v>
      </c>
      <c r="F977" t="e">
        <f>INDEX(Stammdaten[D Mitte mit Rinde (mm)],MATCH(Tabelle8[[#This Row],[Rank]],Stammdaten[Rank Verteilung D Mitte mit Rinde],0))</f>
        <v>#N/A</v>
      </c>
      <c r="G977" t="e">
        <f>VLOOKUP(Tabelle8[[#This Row],[Rank]],Stammdaten[[Rank Verteilung D Mitte mit Rinde]:[Verteilung D Mitte mit Rinde]],2,FALSE)</f>
        <v>#N/A</v>
      </c>
      <c r="L977">
        <v>968</v>
      </c>
      <c r="M977" t="e">
        <f>INDEX(Stammdaten[Abholzigkeit (mm/lfm)],MATCH(Tabelle9[[#This Row],[Rank]],Stammdaten[Rank Verteilung Abholzigkeit],0))</f>
        <v>#N/A</v>
      </c>
      <c r="N977" t="e">
        <f>VLOOKUP(Tabelle9[[#This Row],[Rank]],Stammdaten[[Rank Verteilung Abholzigkeit]:[Verteilung Abholzigkeit]],2,FALSE)</f>
        <v>#N/A</v>
      </c>
      <c r="S977">
        <v>968</v>
      </c>
      <c r="T977" t="e">
        <f>INDEX(Stammdaten[Krümmung (mm/lfm)],MATCH(Tabelle10[[#This Row],[Rank]],Stammdaten[Rank Verteilung Krümmung],0))</f>
        <v>#N/A</v>
      </c>
      <c r="U977" t="e">
        <f>VLOOKUP(Tabelle10[[#This Row],[Rank]],Stammdaten[[Rank Verteilung Krümmung]:[Verteilung Krümmung]],2,FALSE)</f>
        <v>#N/A</v>
      </c>
      <c r="Z977">
        <v>968</v>
      </c>
      <c r="AA977" t="e">
        <f>INDEX(Stammdaten[Ovalität (']0,1'])],MATCH(Tabelle1014[[#This Row],[Rank]],Stammdaten[Rank Verteilung Ovalität],0))</f>
        <v>#N/A</v>
      </c>
      <c r="AB977" t="e">
        <f>VLOOKUP(Tabelle1014[[#This Row],[Rank]],Stammdaten[[Rank Verteilung Ovalität]:[Verteilung Ovalität]],2,FALSE)</f>
        <v>#N/A</v>
      </c>
    </row>
    <row r="978" spans="5:28" x14ac:dyDescent="0.35">
      <c r="E978">
        <v>969</v>
      </c>
      <c r="F978" t="e">
        <f>INDEX(Stammdaten[D Mitte mit Rinde (mm)],MATCH(Tabelle8[[#This Row],[Rank]],Stammdaten[Rank Verteilung D Mitte mit Rinde],0))</f>
        <v>#N/A</v>
      </c>
      <c r="G978" t="e">
        <f>VLOOKUP(Tabelle8[[#This Row],[Rank]],Stammdaten[[Rank Verteilung D Mitte mit Rinde]:[Verteilung D Mitte mit Rinde]],2,FALSE)</f>
        <v>#N/A</v>
      </c>
      <c r="L978">
        <v>969</v>
      </c>
      <c r="M978" t="e">
        <f>INDEX(Stammdaten[Abholzigkeit (mm/lfm)],MATCH(Tabelle9[[#This Row],[Rank]],Stammdaten[Rank Verteilung Abholzigkeit],0))</f>
        <v>#N/A</v>
      </c>
      <c r="N978" t="e">
        <f>VLOOKUP(Tabelle9[[#This Row],[Rank]],Stammdaten[[Rank Verteilung Abholzigkeit]:[Verteilung Abholzigkeit]],2,FALSE)</f>
        <v>#N/A</v>
      </c>
      <c r="S978">
        <v>969</v>
      </c>
      <c r="T978" t="e">
        <f>INDEX(Stammdaten[Krümmung (mm/lfm)],MATCH(Tabelle10[[#This Row],[Rank]],Stammdaten[Rank Verteilung Krümmung],0))</f>
        <v>#N/A</v>
      </c>
      <c r="U978" t="e">
        <f>VLOOKUP(Tabelle10[[#This Row],[Rank]],Stammdaten[[Rank Verteilung Krümmung]:[Verteilung Krümmung]],2,FALSE)</f>
        <v>#N/A</v>
      </c>
      <c r="Z978">
        <v>969</v>
      </c>
      <c r="AA978" t="e">
        <f>INDEX(Stammdaten[Ovalität (']0,1'])],MATCH(Tabelle1014[[#This Row],[Rank]],Stammdaten[Rank Verteilung Ovalität],0))</f>
        <v>#N/A</v>
      </c>
      <c r="AB978" t="e">
        <f>VLOOKUP(Tabelle1014[[#This Row],[Rank]],Stammdaten[[Rank Verteilung Ovalität]:[Verteilung Ovalität]],2,FALSE)</f>
        <v>#N/A</v>
      </c>
    </row>
    <row r="979" spans="5:28" x14ac:dyDescent="0.35">
      <c r="E979">
        <v>970</v>
      </c>
      <c r="F979" t="e">
        <f>INDEX(Stammdaten[D Mitte mit Rinde (mm)],MATCH(Tabelle8[[#This Row],[Rank]],Stammdaten[Rank Verteilung D Mitte mit Rinde],0))</f>
        <v>#N/A</v>
      </c>
      <c r="G979" t="e">
        <f>VLOOKUP(Tabelle8[[#This Row],[Rank]],Stammdaten[[Rank Verteilung D Mitte mit Rinde]:[Verteilung D Mitte mit Rinde]],2,FALSE)</f>
        <v>#N/A</v>
      </c>
      <c r="L979">
        <v>970</v>
      </c>
      <c r="M979" t="e">
        <f>INDEX(Stammdaten[Abholzigkeit (mm/lfm)],MATCH(Tabelle9[[#This Row],[Rank]],Stammdaten[Rank Verteilung Abholzigkeit],0))</f>
        <v>#N/A</v>
      </c>
      <c r="N979" t="e">
        <f>VLOOKUP(Tabelle9[[#This Row],[Rank]],Stammdaten[[Rank Verteilung Abholzigkeit]:[Verteilung Abholzigkeit]],2,FALSE)</f>
        <v>#N/A</v>
      </c>
      <c r="S979">
        <v>970</v>
      </c>
      <c r="T979" t="e">
        <f>INDEX(Stammdaten[Krümmung (mm/lfm)],MATCH(Tabelle10[[#This Row],[Rank]],Stammdaten[Rank Verteilung Krümmung],0))</f>
        <v>#N/A</v>
      </c>
      <c r="U979" t="e">
        <f>VLOOKUP(Tabelle10[[#This Row],[Rank]],Stammdaten[[Rank Verteilung Krümmung]:[Verteilung Krümmung]],2,FALSE)</f>
        <v>#N/A</v>
      </c>
      <c r="Z979">
        <v>970</v>
      </c>
      <c r="AA979" t="e">
        <f>INDEX(Stammdaten[Ovalität (']0,1'])],MATCH(Tabelle1014[[#This Row],[Rank]],Stammdaten[Rank Verteilung Ovalität],0))</f>
        <v>#N/A</v>
      </c>
      <c r="AB979" t="e">
        <f>VLOOKUP(Tabelle1014[[#This Row],[Rank]],Stammdaten[[Rank Verteilung Ovalität]:[Verteilung Ovalität]],2,FALSE)</f>
        <v>#N/A</v>
      </c>
    </row>
    <row r="980" spans="5:28" x14ac:dyDescent="0.35">
      <c r="E980">
        <v>971</v>
      </c>
      <c r="F980" t="e">
        <f>INDEX(Stammdaten[D Mitte mit Rinde (mm)],MATCH(Tabelle8[[#This Row],[Rank]],Stammdaten[Rank Verteilung D Mitte mit Rinde],0))</f>
        <v>#N/A</v>
      </c>
      <c r="G980" t="e">
        <f>VLOOKUP(Tabelle8[[#This Row],[Rank]],Stammdaten[[Rank Verteilung D Mitte mit Rinde]:[Verteilung D Mitte mit Rinde]],2,FALSE)</f>
        <v>#N/A</v>
      </c>
      <c r="L980">
        <v>971</v>
      </c>
      <c r="M980" t="e">
        <f>INDEX(Stammdaten[Abholzigkeit (mm/lfm)],MATCH(Tabelle9[[#This Row],[Rank]],Stammdaten[Rank Verteilung Abholzigkeit],0))</f>
        <v>#N/A</v>
      </c>
      <c r="N980" t="e">
        <f>VLOOKUP(Tabelle9[[#This Row],[Rank]],Stammdaten[[Rank Verteilung Abholzigkeit]:[Verteilung Abholzigkeit]],2,FALSE)</f>
        <v>#N/A</v>
      </c>
      <c r="S980">
        <v>971</v>
      </c>
      <c r="T980" t="e">
        <f>INDEX(Stammdaten[Krümmung (mm/lfm)],MATCH(Tabelle10[[#This Row],[Rank]],Stammdaten[Rank Verteilung Krümmung],0))</f>
        <v>#N/A</v>
      </c>
      <c r="U980" t="e">
        <f>VLOOKUP(Tabelle10[[#This Row],[Rank]],Stammdaten[[Rank Verteilung Krümmung]:[Verteilung Krümmung]],2,FALSE)</f>
        <v>#N/A</v>
      </c>
      <c r="Z980">
        <v>971</v>
      </c>
      <c r="AA980" t="e">
        <f>INDEX(Stammdaten[Ovalität (']0,1'])],MATCH(Tabelle1014[[#This Row],[Rank]],Stammdaten[Rank Verteilung Ovalität],0))</f>
        <v>#N/A</v>
      </c>
      <c r="AB980" t="e">
        <f>VLOOKUP(Tabelle1014[[#This Row],[Rank]],Stammdaten[[Rank Verteilung Ovalität]:[Verteilung Ovalität]],2,FALSE)</f>
        <v>#N/A</v>
      </c>
    </row>
    <row r="981" spans="5:28" x14ac:dyDescent="0.35">
      <c r="E981">
        <v>972</v>
      </c>
      <c r="F981" t="e">
        <f>INDEX(Stammdaten[D Mitte mit Rinde (mm)],MATCH(Tabelle8[[#This Row],[Rank]],Stammdaten[Rank Verteilung D Mitte mit Rinde],0))</f>
        <v>#N/A</v>
      </c>
      <c r="G981" t="e">
        <f>VLOOKUP(Tabelle8[[#This Row],[Rank]],Stammdaten[[Rank Verteilung D Mitte mit Rinde]:[Verteilung D Mitte mit Rinde]],2,FALSE)</f>
        <v>#N/A</v>
      </c>
      <c r="L981">
        <v>972</v>
      </c>
      <c r="M981" t="e">
        <f>INDEX(Stammdaten[Abholzigkeit (mm/lfm)],MATCH(Tabelle9[[#This Row],[Rank]],Stammdaten[Rank Verteilung Abholzigkeit],0))</f>
        <v>#N/A</v>
      </c>
      <c r="N981" t="e">
        <f>VLOOKUP(Tabelle9[[#This Row],[Rank]],Stammdaten[[Rank Verteilung Abholzigkeit]:[Verteilung Abholzigkeit]],2,FALSE)</f>
        <v>#N/A</v>
      </c>
      <c r="S981">
        <v>972</v>
      </c>
      <c r="T981" t="e">
        <f>INDEX(Stammdaten[Krümmung (mm/lfm)],MATCH(Tabelle10[[#This Row],[Rank]],Stammdaten[Rank Verteilung Krümmung],0))</f>
        <v>#N/A</v>
      </c>
      <c r="U981" t="e">
        <f>VLOOKUP(Tabelle10[[#This Row],[Rank]],Stammdaten[[Rank Verteilung Krümmung]:[Verteilung Krümmung]],2,FALSE)</f>
        <v>#N/A</v>
      </c>
      <c r="Z981">
        <v>972</v>
      </c>
      <c r="AA981" t="e">
        <f>INDEX(Stammdaten[Ovalität (']0,1'])],MATCH(Tabelle1014[[#This Row],[Rank]],Stammdaten[Rank Verteilung Ovalität],0))</f>
        <v>#N/A</v>
      </c>
      <c r="AB981" t="e">
        <f>VLOOKUP(Tabelle1014[[#This Row],[Rank]],Stammdaten[[Rank Verteilung Ovalität]:[Verteilung Ovalität]],2,FALSE)</f>
        <v>#N/A</v>
      </c>
    </row>
    <row r="982" spans="5:28" x14ac:dyDescent="0.35">
      <c r="E982">
        <v>973</v>
      </c>
      <c r="F982" t="e">
        <f>INDEX(Stammdaten[D Mitte mit Rinde (mm)],MATCH(Tabelle8[[#This Row],[Rank]],Stammdaten[Rank Verteilung D Mitte mit Rinde],0))</f>
        <v>#N/A</v>
      </c>
      <c r="G982" t="e">
        <f>VLOOKUP(Tabelle8[[#This Row],[Rank]],Stammdaten[[Rank Verteilung D Mitte mit Rinde]:[Verteilung D Mitte mit Rinde]],2,FALSE)</f>
        <v>#N/A</v>
      </c>
      <c r="L982">
        <v>973</v>
      </c>
      <c r="M982" t="e">
        <f>INDEX(Stammdaten[Abholzigkeit (mm/lfm)],MATCH(Tabelle9[[#This Row],[Rank]],Stammdaten[Rank Verteilung Abholzigkeit],0))</f>
        <v>#N/A</v>
      </c>
      <c r="N982" t="e">
        <f>VLOOKUP(Tabelle9[[#This Row],[Rank]],Stammdaten[[Rank Verteilung Abholzigkeit]:[Verteilung Abholzigkeit]],2,FALSE)</f>
        <v>#N/A</v>
      </c>
      <c r="S982">
        <v>973</v>
      </c>
      <c r="T982" t="e">
        <f>INDEX(Stammdaten[Krümmung (mm/lfm)],MATCH(Tabelle10[[#This Row],[Rank]],Stammdaten[Rank Verteilung Krümmung],0))</f>
        <v>#N/A</v>
      </c>
      <c r="U982" t="e">
        <f>VLOOKUP(Tabelle10[[#This Row],[Rank]],Stammdaten[[Rank Verteilung Krümmung]:[Verteilung Krümmung]],2,FALSE)</f>
        <v>#N/A</v>
      </c>
      <c r="Z982">
        <v>973</v>
      </c>
      <c r="AA982" t="e">
        <f>INDEX(Stammdaten[Ovalität (']0,1'])],MATCH(Tabelle1014[[#This Row],[Rank]],Stammdaten[Rank Verteilung Ovalität],0))</f>
        <v>#N/A</v>
      </c>
      <c r="AB982" t="e">
        <f>VLOOKUP(Tabelle1014[[#This Row],[Rank]],Stammdaten[[Rank Verteilung Ovalität]:[Verteilung Ovalität]],2,FALSE)</f>
        <v>#N/A</v>
      </c>
    </row>
    <row r="983" spans="5:28" x14ac:dyDescent="0.35">
      <c r="E983">
        <v>974</v>
      </c>
      <c r="F983" t="e">
        <f>INDEX(Stammdaten[D Mitte mit Rinde (mm)],MATCH(Tabelle8[[#This Row],[Rank]],Stammdaten[Rank Verteilung D Mitte mit Rinde],0))</f>
        <v>#N/A</v>
      </c>
      <c r="G983" t="e">
        <f>VLOOKUP(Tabelle8[[#This Row],[Rank]],Stammdaten[[Rank Verteilung D Mitte mit Rinde]:[Verteilung D Mitte mit Rinde]],2,FALSE)</f>
        <v>#N/A</v>
      </c>
      <c r="L983">
        <v>974</v>
      </c>
      <c r="M983" t="e">
        <f>INDEX(Stammdaten[Abholzigkeit (mm/lfm)],MATCH(Tabelle9[[#This Row],[Rank]],Stammdaten[Rank Verteilung Abholzigkeit],0))</f>
        <v>#N/A</v>
      </c>
      <c r="N983" t="e">
        <f>VLOOKUP(Tabelle9[[#This Row],[Rank]],Stammdaten[[Rank Verteilung Abholzigkeit]:[Verteilung Abholzigkeit]],2,FALSE)</f>
        <v>#N/A</v>
      </c>
      <c r="S983">
        <v>974</v>
      </c>
      <c r="T983" t="e">
        <f>INDEX(Stammdaten[Krümmung (mm/lfm)],MATCH(Tabelle10[[#This Row],[Rank]],Stammdaten[Rank Verteilung Krümmung],0))</f>
        <v>#N/A</v>
      </c>
      <c r="U983" t="e">
        <f>VLOOKUP(Tabelle10[[#This Row],[Rank]],Stammdaten[[Rank Verteilung Krümmung]:[Verteilung Krümmung]],2,FALSE)</f>
        <v>#N/A</v>
      </c>
      <c r="Z983">
        <v>974</v>
      </c>
      <c r="AA983" t="e">
        <f>INDEX(Stammdaten[Ovalität (']0,1'])],MATCH(Tabelle1014[[#This Row],[Rank]],Stammdaten[Rank Verteilung Ovalität],0))</f>
        <v>#N/A</v>
      </c>
      <c r="AB983" t="e">
        <f>VLOOKUP(Tabelle1014[[#This Row],[Rank]],Stammdaten[[Rank Verteilung Ovalität]:[Verteilung Ovalität]],2,FALSE)</f>
        <v>#N/A</v>
      </c>
    </row>
    <row r="984" spans="5:28" x14ac:dyDescent="0.35">
      <c r="E984">
        <v>975</v>
      </c>
      <c r="F984" t="e">
        <f>INDEX(Stammdaten[D Mitte mit Rinde (mm)],MATCH(Tabelle8[[#This Row],[Rank]],Stammdaten[Rank Verteilung D Mitte mit Rinde],0))</f>
        <v>#N/A</v>
      </c>
      <c r="G984" t="e">
        <f>VLOOKUP(Tabelle8[[#This Row],[Rank]],Stammdaten[[Rank Verteilung D Mitte mit Rinde]:[Verteilung D Mitte mit Rinde]],2,FALSE)</f>
        <v>#N/A</v>
      </c>
      <c r="L984">
        <v>975</v>
      </c>
      <c r="M984" t="e">
        <f>INDEX(Stammdaten[Abholzigkeit (mm/lfm)],MATCH(Tabelle9[[#This Row],[Rank]],Stammdaten[Rank Verteilung Abholzigkeit],0))</f>
        <v>#N/A</v>
      </c>
      <c r="N984" t="e">
        <f>VLOOKUP(Tabelle9[[#This Row],[Rank]],Stammdaten[[Rank Verteilung Abholzigkeit]:[Verteilung Abholzigkeit]],2,FALSE)</f>
        <v>#N/A</v>
      </c>
      <c r="S984">
        <v>975</v>
      </c>
      <c r="T984" t="e">
        <f>INDEX(Stammdaten[Krümmung (mm/lfm)],MATCH(Tabelle10[[#This Row],[Rank]],Stammdaten[Rank Verteilung Krümmung],0))</f>
        <v>#N/A</v>
      </c>
      <c r="U984" t="e">
        <f>VLOOKUP(Tabelle10[[#This Row],[Rank]],Stammdaten[[Rank Verteilung Krümmung]:[Verteilung Krümmung]],2,FALSE)</f>
        <v>#N/A</v>
      </c>
      <c r="Z984">
        <v>975</v>
      </c>
      <c r="AA984" t="e">
        <f>INDEX(Stammdaten[Ovalität (']0,1'])],MATCH(Tabelle1014[[#This Row],[Rank]],Stammdaten[Rank Verteilung Ovalität],0))</f>
        <v>#N/A</v>
      </c>
      <c r="AB984" t="e">
        <f>VLOOKUP(Tabelle1014[[#This Row],[Rank]],Stammdaten[[Rank Verteilung Ovalität]:[Verteilung Ovalität]],2,FALSE)</f>
        <v>#N/A</v>
      </c>
    </row>
    <row r="985" spans="5:28" x14ac:dyDescent="0.35">
      <c r="E985">
        <v>976</v>
      </c>
      <c r="F985" t="e">
        <f>INDEX(Stammdaten[D Mitte mit Rinde (mm)],MATCH(Tabelle8[[#This Row],[Rank]],Stammdaten[Rank Verteilung D Mitte mit Rinde],0))</f>
        <v>#N/A</v>
      </c>
      <c r="G985" t="e">
        <f>VLOOKUP(Tabelle8[[#This Row],[Rank]],Stammdaten[[Rank Verteilung D Mitte mit Rinde]:[Verteilung D Mitte mit Rinde]],2,FALSE)</f>
        <v>#N/A</v>
      </c>
      <c r="L985">
        <v>976</v>
      </c>
      <c r="M985" t="e">
        <f>INDEX(Stammdaten[Abholzigkeit (mm/lfm)],MATCH(Tabelle9[[#This Row],[Rank]],Stammdaten[Rank Verteilung Abholzigkeit],0))</f>
        <v>#N/A</v>
      </c>
      <c r="N985" t="e">
        <f>VLOOKUP(Tabelle9[[#This Row],[Rank]],Stammdaten[[Rank Verteilung Abholzigkeit]:[Verteilung Abholzigkeit]],2,FALSE)</f>
        <v>#N/A</v>
      </c>
      <c r="S985">
        <v>976</v>
      </c>
      <c r="T985" t="e">
        <f>INDEX(Stammdaten[Krümmung (mm/lfm)],MATCH(Tabelle10[[#This Row],[Rank]],Stammdaten[Rank Verteilung Krümmung],0))</f>
        <v>#N/A</v>
      </c>
      <c r="U985" t="e">
        <f>VLOOKUP(Tabelle10[[#This Row],[Rank]],Stammdaten[[Rank Verteilung Krümmung]:[Verteilung Krümmung]],2,FALSE)</f>
        <v>#N/A</v>
      </c>
      <c r="Z985">
        <v>976</v>
      </c>
      <c r="AA985" t="e">
        <f>INDEX(Stammdaten[Ovalität (']0,1'])],MATCH(Tabelle1014[[#This Row],[Rank]],Stammdaten[Rank Verteilung Ovalität],0))</f>
        <v>#N/A</v>
      </c>
      <c r="AB985" t="e">
        <f>VLOOKUP(Tabelle1014[[#This Row],[Rank]],Stammdaten[[Rank Verteilung Ovalität]:[Verteilung Ovalität]],2,FALSE)</f>
        <v>#N/A</v>
      </c>
    </row>
    <row r="986" spans="5:28" x14ac:dyDescent="0.35">
      <c r="E986">
        <v>977</v>
      </c>
      <c r="F986" t="e">
        <f>INDEX(Stammdaten[D Mitte mit Rinde (mm)],MATCH(Tabelle8[[#This Row],[Rank]],Stammdaten[Rank Verteilung D Mitte mit Rinde],0))</f>
        <v>#N/A</v>
      </c>
      <c r="G986" t="e">
        <f>VLOOKUP(Tabelle8[[#This Row],[Rank]],Stammdaten[[Rank Verteilung D Mitte mit Rinde]:[Verteilung D Mitte mit Rinde]],2,FALSE)</f>
        <v>#N/A</v>
      </c>
      <c r="L986">
        <v>977</v>
      </c>
      <c r="M986" t="e">
        <f>INDEX(Stammdaten[Abholzigkeit (mm/lfm)],MATCH(Tabelle9[[#This Row],[Rank]],Stammdaten[Rank Verteilung Abholzigkeit],0))</f>
        <v>#N/A</v>
      </c>
      <c r="N986" t="e">
        <f>VLOOKUP(Tabelle9[[#This Row],[Rank]],Stammdaten[[Rank Verteilung Abholzigkeit]:[Verteilung Abholzigkeit]],2,FALSE)</f>
        <v>#N/A</v>
      </c>
      <c r="S986">
        <v>977</v>
      </c>
      <c r="T986" t="e">
        <f>INDEX(Stammdaten[Krümmung (mm/lfm)],MATCH(Tabelle10[[#This Row],[Rank]],Stammdaten[Rank Verteilung Krümmung],0))</f>
        <v>#N/A</v>
      </c>
      <c r="U986" t="e">
        <f>VLOOKUP(Tabelle10[[#This Row],[Rank]],Stammdaten[[Rank Verteilung Krümmung]:[Verteilung Krümmung]],2,FALSE)</f>
        <v>#N/A</v>
      </c>
      <c r="Z986">
        <v>977</v>
      </c>
      <c r="AA986" t="e">
        <f>INDEX(Stammdaten[Ovalität (']0,1'])],MATCH(Tabelle1014[[#This Row],[Rank]],Stammdaten[Rank Verteilung Ovalität],0))</f>
        <v>#N/A</v>
      </c>
      <c r="AB986" t="e">
        <f>VLOOKUP(Tabelle1014[[#This Row],[Rank]],Stammdaten[[Rank Verteilung Ovalität]:[Verteilung Ovalität]],2,FALSE)</f>
        <v>#N/A</v>
      </c>
    </row>
    <row r="987" spans="5:28" x14ac:dyDescent="0.35">
      <c r="E987">
        <v>978</v>
      </c>
      <c r="F987" t="e">
        <f>INDEX(Stammdaten[D Mitte mit Rinde (mm)],MATCH(Tabelle8[[#This Row],[Rank]],Stammdaten[Rank Verteilung D Mitte mit Rinde],0))</f>
        <v>#N/A</v>
      </c>
      <c r="G987" t="e">
        <f>VLOOKUP(Tabelle8[[#This Row],[Rank]],Stammdaten[[Rank Verteilung D Mitte mit Rinde]:[Verteilung D Mitte mit Rinde]],2,FALSE)</f>
        <v>#N/A</v>
      </c>
      <c r="L987">
        <v>978</v>
      </c>
      <c r="M987" t="e">
        <f>INDEX(Stammdaten[Abholzigkeit (mm/lfm)],MATCH(Tabelle9[[#This Row],[Rank]],Stammdaten[Rank Verteilung Abholzigkeit],0))</f>
        <v>#N/A</v>
      </c>
      <c r="N987" t="e">
        <f>VLOOKUP(Tabelle9[[#This Row],[Rank]],Stammdaten[[Rank Verteilung Abholzigkeit]:[Verteilung Abholzigkeit]],2,FALSE)</f>
        <v>#N/A</v>
      </c>
      <c r="S987">
        <v>978</v>
      </c>
      <c r="T987" t="e">
        <f>INDEX(Stammdaten[Krümmung (mm/lfm)],MATCH(Tabelle10[[#This Row],[Rank]],Stammdaten[Rank Verteilung Krümmung],0))</f>
        <v>#N/A</v>
      </c>
      <c r="U987" t="e">
        <f>VLOOKUP(Tabelle10[[#This Row],[Rank]],Stammdaten[[Rank Verteilung Krümmung]:[Verteilung Krümmung]],2,FALSE)</f>
        <v>#N/A</v>
      </c>
      <c r="Z987">
        <v>978</v>
      </c>
      <c r="AA987" t="e">
        <f>INDEX(Stammdaten[Ovalität (']0,1'])],MATCH(Tabelle1014[[#This Row],[Rank]],Stammdaten[Rank Verteilung Ovalität],0))</f>
        <v>#N/A</v>
      </c>
      <c r="AB987" t="e">
        <f>VLOOKUP(Tabelle1014[[#This Row],[Rank]],Stammdaten[[Rank Verteilung Ovalität]:[Verteilung Ovalität]],2,FALSE)</f>
        <v>#N/A</v>
      </c>
    </row>
    <row r="988" spans="5:28" x14ac:dyDescent="0.35">
      <c r="E988">
        <v>979</v>
      </c>
      <c r="F988" t="e">
        <f>INDEX(Stammdaten[D Mitte mit Rinde (mm)],MATCH(Tabelle8[[#This Row],[Rank]],Stammdaten[Rank Verteilung D Mitte mit Rinde],0))</f>
        <v>#N/A</v>
      </c>
      <c r="G988" t="e">
        <f>VLOOKUP(Tabelle8[[#This Row],[Rank]],Stammdaten[[Rank Verteilung D Mitte mit Rinde]:[Verteilung D Mitte mit Rinde]],2,FALSE)</f>
        <v>#N/A</v>
      </c>
      <c r="L988">
        <v>979</v>
      </c>
      <c r="M988" t="e">
        <f>INDEX(Stammdaten[Abholzigkeit (mm/lfm)],MATCH(Tabelle9[[#This Row],[Rank]],Stammdaten[Rank Verteilung Abholzigkeit],0))</f>
        <v>#N/A</v>
      </c>
      <c r="N988" t="e">
        <f>VLOOKUP(Tabelle9[[#This Row],[Rank]],Stammdaten[[Rank Verteilung Abholzigkeit]:[Verteilung Abholzigkeit]],2,FALSE)</f>
        <v>#N/A</v>
      </c>
      <c r="S988">
        <v>979</v>
      </c>
      <c r="T988" t="e">
        <f>INDEX(Stammdaten[Krümmung (mm/lfm)],MATCH(Tabelle10[[#This Row],[Rank]],Stammdaten[Rank Verteilung Krümmung],0))</f>
        <v>#N/A</v>
      </c>
      <c r="U988" t="e">
        <f>VLOOKUP(Tabelle10[[#This Row],[Rank]],Stammdaten[[Rank Verteilung Krümmung]:[Verteilung Krümmung]],2,FALSE)</f>
        <v>#N/A</v>
      </c>
      <c r="Z988">
        <v>979</v>
      </c>
      <c r="AA988" t="e">
        <f>INDEX(Stammdaten[Ovalität (']0,1'])],MATCH(Tabelle1014[[#This Row],[Rank]],Stammdaten[Rank Verteilung Ovalität],0))</f>
        <v>#N/A</v>
      </c>
      <c r="AB988" t="e">
        <f>VLOOKUP(Tabelle1014[[#This Row],[Rank]],Stammdaten[[Rank Verteilung Ovalität]:[Verteilung Ovalität]],2,FALSE)</f>
        <v>#N/A</v>
      </c>
    </row>
    <row r="989" spans="5:28" x14ac:dyDescent="0.35">
      <c r="E989">
        <v>980</v>
      </c>
      <c r="F989" t="e">
        <f>INDEX(Stammdaten[D Mitte mit Rinde (mm)],MATCH(Tabelle8[[#This Row],[Rank]],Stammdaten[Rank Verteilung D Mitte mit Rinde],0))</f>
        <v>#N/A</v>
      </c>
      <c r="G989" t="e">
        <f>VLOOKUP(Tabelle8[[#This Row],[Rank]],Stammdaten[[Rank Verteilung D Mitte mit Rinde]:[Verteilung D Mitte mit Rinde]],2,FALSE)</f>
        <v>#N/A</v>
      </c>
      <c r="L989">
        <v>980</v>
      </c>
      <c r="M989" t="e">
        <f>INDEX(Stammdaten[Abholzigkeit (mm/lfm)],MATCH(Tabelle9[[#This Row],[Rank]],Stammdaten[Rank Verteilung Abholzigkeit],0))</f>
        <v>#N/A</v>
      </c>
      <c r="N989" t="e">
        <f>VLOOKUP(Tabelle9[[#This Row],[Rank]],Stammdaten[[Rank Verteilung Abholzigkeit]:[Verteilung Abholzigkeit]],2,FALSE)</f>
        <v>#N/A</v>
      </c>
      <c r="S989">
        <v>980</v>
      </c>
      <c r="T989" t="e">
        <f>INDEX(Stammdaten[Krümmung (mm/lfm)],MATCH(Tabelle10[[#This Row],[Rank]],Stammdaten[Rank Verteilung Krümmung],0))</f>
        <v>#N/A</v>
      </c>
      <c r="U989" t="e">
        <f>VLOOKUP(Tabelle10[[#This Row],[Rank]],Stammdaten[[Rank Verteilung Krümmung]:[Verteilung Krümmung]],2,FALSE)</f>
        <v>#N/A</v>
      </c>
      <c r="Z989">
        <v>980</v>
      </c>
      <c r="AA989" t="e">
        <f>INDEX(Stammdaten[Ovalität (']0,1'])],MATCH(Tabelle1014[[#This Row],[Rank]],Stammdaten[Rank Verteilung Ovalität],0))</f>
        <v>#N/A</v>
      </c>
      <c r="AB989" t="e">
        <f>VLOOKUP(Tabelle1014[[#This Row],[Rank]],Stammdaten[[Rank Verteilung Ovalität]:[Verteilung Ovalität]],2,FALSE)</f>
        <v>#N/A</v>
      </c>
    </row>
    <row r="990" spans="5:28" x14ac:dyDescent="0.35">
      <c r="E990">
        <v>981</v>
      </c>
      <c r="F990" t="e">
        <f>INDEX(Stammdaten[D Mitte mit Rinde (mm)],MATCH(Tabelle8[[#This Row],[Rank]],Stammdaten[Rank Verteilung D Mitte mit Rinde],0))</f>
        <v>#N/A</v>
      </c>
      <c r="G990" t="e">
        <f>VLOOKUP(Tabelle8[[#This Row],[Rank]],Stammdaten[[Rank Verteilung D Mitte mit Rinde]:[Verteilung D Mitte mit Rinde]],2,FALSE)</f>
        <v>#N/A</v>
      </c>
      <c r="L990">
        <v>981</v>
      </c>
      <c r="M990" t="e">
        <f>INDEX(Stammdaten[Abholzigkeit (mm/lfm)],MATCH(Tabelle9[[#This Row],[Rank]],Stammdaten[Rank Verteilung Abholzigkeit],0))</f>
        <v>#N/A</v>
      </c>
      <c r="N990" t="e">
        <f>VLOOKUP(Tabelle9[[#This Row],[Rank]],Stammdaten[[Rank Verteilung Abholzigkeit]:[Verteilung Abholzigkeit]],2,FALSE)</f>
        <v>#N/A</v>
      </c>
      <c r="S990">
        <v>981</v>
      </c>
      <c r="T990" t="e">
        <f>INDEX(Stammdaten[Krümmung (mm/lfm)],MATCH(Tabelle10[[#This Row],[Rank]],Stammdaten[Rank Verteilung Krümmung],0))</f>
        <v>#N/A</v>
      </c>
      <c r="U990" t="e">
        <f>VLOOKUP(Tabelle10[[#This Row],[Rank]],Stammdaten[[Rank Verteilung Krümmung]:[Verteilung Krümmung]],2,FALSE)</f>
        <v>#N/A</v>
      </c>
      <c r="Z990">
        <v>981</v>
      </c>
      <c r="AA990" t="e">
        <f>INDEX(Stammdaten[Ovalität (']0,1'])],MATCH(Tabelle1014[[#This Row],[Rank]],Stammdaten[Rank Verteilung Ovalität],0))</f>
        <v>#N/A</v>
      </c>
      <c r="AB990" t="e">
        <f>VLOOKUP(Tabelle1014[[#This Row],[Rank]],Stammdaten[[Rank Verteilung Ovalität]:[Verteilung Ovalität]],2,FALSE)</f>
        <v>#N/A</v>
      </c>
    </row>
    <row r="991" spans="5:28" x14ac:dyDescent="0.35">
      <c r="E991">
        <v>982</v>
      </c>
      <c r="F991" t="e">
        <f>INDEX(Stammdaten[D Mitte mit Rinde (mm)],MATCH(Tabelle8[[#This Row],[Rank]],Stammdaten[Rank Verteilung D Mitte mit Rinde],0))</f>
        <v>#N/A</v>
      </c>
      <c r="G991" t="e">
        <f>VLOOKUP(Tabelle8[[#This Row],[Rank]],Stammdaten[[Rank Verteilung D Mitte mit Rinde]:[Verteilung D Mitte mit Rinde]],2,FALSE)</f>
        <v>#N/A</v>
      </c>
      <c r="L991">
        <v>982</v>
      </c>
      <c r="M991" t="e">
        <f>INDEX(Stammdaten[Abholzigkeit (mm/lfm)],MATCH(Tabelle9[[#This Row],[Rank]],Stammdaten[Rank Verteilung Abholzigkeit],0))</f>
        <v>#N/A</v>
      </c>
      <c r="N991" t="e">
        <f>VLOOKUP(Tabelle9[[#This Row],[Rank]],Stammdaten[[Rank Verteilung Abholzigkeit]:[Verteilung Abholzigkeit]],2,FALSE)</f>
        <v>#N/A</v>
      </c>
      <c r="S991">
        <v>982</v>
      </c>
      <c r="T991" t="e">
        <f>INDEX(Stammdaten[Krümmung (mm/lfm)],MATCH(Tabelle10[[#This Row],[Rank]],Stammdaten[Rank Verteilung Krümmung],0))</f>
        <v>#N/A</v>
      </c>
      <c r="U991" t="e">
        <f>VLOOKUP(Tabelle10[[#This Row],[Rank]],Stammdaten[[Rank Verteilung Krümmung]:[Verteilung Krümmung]],2,FALSE)</f>
        <v>#N/A</v>
      </c>
      <c r="Z991">
        <v>982</v>
      </c>
      <c r="AA991" t="e">
        <f>INDEX(Stammdaten[Ovalität (']0,1'])],MATCH(Tabelle1014[[#This Row],[Rank]],Stammdaten[Rank Verteilung Ovalität],0))</f>
        <v>#N/A</v>
      </c>
      <c r="AB991" t="e">
        <f>VLOOKUP(Tabelle1014[[#This Row],[Rank]],Stammdaten[[Rank Verteilung Ovalität]:[Verteilung Ovalität]],2,FALSE)</f>
        <v>#N/A</v>
      </c>
    </row>
    <row r="992" spans="5:28" x14ac:dyDescent="0.35">
      <c r="E992">
        <v>983</v>
      </c>
      <c r="F992" t="e">
        <f>INDEX(Stammdaten[D Mitte mit Rinde (mm)],MATCH(Tabelle8[[#This Row],[Rank]],Stammdaten[Rank Verteilung D Mitte mit Rinde],0))</f>
        <v>#N/A</v>
      </c>
      <c r="G992" t="e">
        <f>VLOOKUP(Tabelle8[[#This Row],[Rank]],Stammdaten[[Rank Verteilung D Mitte mit Rinde]:[Verteilung D Mitte mit Rinde]],2,FALSE)</f>
        <v>#N/A</v>
      </c>
      <c r="L992">
        <v>983</v>
      </c>
      <c r="M992" t="e">
        <f>INDEX(Stammdaten[Abholzigkeit (mm/lfm)],MATCH(Tabelle9[[#This Row],[Rank]],Stammdaten[Rank Verteilung Abholzigkeit],0))</f>
        <v>#N/A</v>
      </c>
      <c r="N992" t="e">
        <f>VLOOKUP(Tabelle9[[#This Row],[Rank]],Stammdaten[[Rank Verteilung Abholzigkeit]:[Verteilung Abholzigkeit]],2,FALSE)</f>
        <v>#N/A</v>
      </c>
      <c r="S992">
        <v>983</v>
      </c>
      <c r="T992" t="e">
        <f>INDEX(Stammdaten[Krümmung (mm/lfm)],MATCH(Tabelle10[[#This Row],[Rank]],Stammdaten[Rank Verteilung Krümmung],0))</f>
        <v>#N/A</v>
      </c>
      <c r="U992" t="e">
        <f>VLOOKUP(Tabelle10[[#This Row],[Rank]],Stammdaten[[Rank Verteilung Krümmung]:[Verteilung Krümmung]],2,FALSE)</f>
        <v>#N/A</v>
      </c>
      <c r="Z992">
        <v>983</v>
      </c>
      <c r="AA992" t="e">
        <f>INDEX(Stammdaten[Ovalität (']0,1'])],MATCH(Tabelle1014[[#This Row],[Rank]],Stammdaten[Rank Verteilung Ovalität],0))</f>
        <v>#N/A</v>
      </c>
      <c r="AB992" t="e">
        <f>VLOOKUP(Tabelle1014[[#This Row],[Rank]],Stammdaten[[Rank Verteilung Ovalität]:[Verteilung Ovalität]],2,FALSE)</f>
        <v>#N/A</v>
      </c>
    </row>
    <row r="993" spans="5:28" x14ac:dyDescent="0.35">
      <c r="E993">
        <v>984</v>
      </c>
      <c r="F993" t="e">
        <f>INDEX(Stammdaten[D Mitte mit Rinde (mm)],MATCH(Tabelle8[[#This Row],[Rank]],Stammdaten[Rank Verteilung D Mitte mit Rinde],0))</f>
        <v>#N/A</v>
      </c>
      <c r="G993" t="e">
        <f>VLOOKUP(Tabelle8[[#This Row],[Rank]],Stammdaten[[Rank Verteilung D Mitte mit Rinde]:[Verteilung D Mitte mit Rinde]],2,FALSE)</f>
        <v>#N/A</v>
      </c>
      <c r="L993">
        <v>984</v>
      </c>
      <c r="M993" t="e">
        <f>INDEX(Stammdaten[Abholzigkeit (mm/lfm)],MATCH(Tabelle9[[#This Row],[Rank]],Stammdaten[Rank Verteilung Abholzigkeit],0))</f>
        <v>#N/A</v>
      </c>
      <c r="N993" t="e">
        <f>VLOOKUP(Tabelle9[[#This Row],[Rank]],Stammdaten[[Rank Verteilung Abholzigkeit]:[Verteilung Abholzigkeit]],2,FALSE)</f>
        <v>#N/A</v>
      </c>
      <c r="S993">
        <v>984</v>
      </c>
      <c r="T993" t="e">
        <f>INDEX(Stammdaten[Krümmung (mm/lfm)],MATCH(Tabelle10[[#This Row],[Rank]],Stammdaten[Rank Verteilung Krümmung],0))</f>
        <v>#N/A</v>
      </c>
      <c r="U993" t="e">
        <f>VLOOKUP(Tabelle10[[#This Row],[Rank]],Stammdaten[[Rank Verteilung Krümmung]:[Verteilung Krümmung]],2,FALSE)</f>
        <v>#N/A</v>
      </c>
      <c r="Z993">
        <v>984</v>
      </c>
      <c r="AA993" t="e">
        <f>INDEX(Stammdaten[Ovalität (']0,1'])],MATCH(Tabelle1014[[#This Row],[Rank]],Stammdaten[Rank Verteilung Ovalität],0))</f>
        <v>#N/A</v>
      </c>
      <c r="AB993" t="e">
        <f>VLOOKUP(Tabelle1014[[#This Row],[Rank]],Stammdaten[[Rank Verteilung Ovalität]:[Verteilung Ovalität]],2,FALSE)</f>
        <v>#N/A</v>
      </c>
    </row>
    <row r="994" spans="5:28" x14ac:dyDescent="0.35">
      <c r="E994">
        <v>985</v>
      </c>
      <c r="F994" t="e">
        <f>INDEX(Stammdaten[D Mitte mit Rinde (mm)],MATCH(Tabelle8[[#This Row],[Rank]],Stammdaten[Rank Verteilung D Mitte mit Rinde],0))</f>
        <v>#N/A</v>
      </c>
      <c r="G994" t="e">
        <f>VLOOKUP(Tabelle8[[#This Row],[Rank]],Stammdaten[[Rank Verteilung D Mitte mit Rinde]:[Verteilung D Mitte mit Rinde]],2,FALSE)</f>
        <v>#N/A</v>
      </c>
      <c r="L994">
        <v>985</v>
      </c>
      <c r="M994" t="e">
        <f>INDEX(Stammdaten[Abholzigkeit (mm/lfm)],MATCH(Tabelle9[[#This Row],[Rank]],Stammdaten[Rank Verteilung Abholzigkeit],0))</f>
        <v>#N/A</v>
      </c>
      <c r="N994" t="e">
        <f>VLOOKUP(Tabelle9[[#This Row],[Rank]],Stammdaten[[Rank Verteilung Abholzigkeit]:[Verteilung Abholzigkeit]],2,FALSE)</f>
        <v>#N/A</v>
      </c>
      <c r="S994">
        <v>985</v>
      </c>
      <c r="T994" t="e">
        <f>INDEX(Stammdaten[Krümmung (mm/lfm)],MATCH(Tabelle10[[#This Row],[Rank]],Stammdaten[Rank Verteilung Krümmung],0))</f>
        <v>#N/A</v>
      </c>
      <c r="U994" t="e">
        <f>VLOOKUP(Tabelle10[[#This Row],[Rank]],Stammdaten[[Rank Verteilung Krümmung]:[Verteilung Krümmung]],2,FALSE)</f>
        <v>#N/A</v>
      </c>
      <c r="Z994">
        <v>985</v>
      </c>
      <c r="AA994" t="e">
        <f>INDEX(Stammdaten[Ovalität (']0,1'])],MATCH(Tabelle1014[[#This Row],[Rank]],Stammdaten[Rank Verteilung Ovalität],0))</f>
        <v>#N/A</v>
      </c>
      <c r="AB994" t="e">
        <f>VLOOKUP(Tabelle1014[[#This Row],[Rank]],Stammdaten[[Rank Verteilung Ovalität]:[Verteilung Ovalität]],2,FALSE)</f>
        <v>#N/A</v>
      </c>
    </row>
    <row r="995" spans="5:28" x14ac:dyDescent="0.35">
      <c r="E995">
        <v>986</v>
      </c>
      <c r="F995" t="e">
        <f>INDEX(Stammdaten[D Mitte mit Rinde (mm)],MATCH(Tabelle8[[#This Row],[Rank]],Stammdaten[Rank Verteilung D Mitte mit Rinde],0))</f>
        <v>#N/A</v>
      </c>
      <c r="G995" t="e">
        <f>VLOOKUP(Tabelle8[[#This Row],[Rank]],Stammdaten[[Rank Verteilung D Mitte mit Rinde]:[Verteilung D Mitte mit Rinde]],2,FALSE)</f>
        <v>#N/A</v>
      </c>
      <c r="L995">
        <v>986</v>
      </c>
      <c r="M995" t="e">
        <f>INDEX(Stammdaten[Abholzigkeit (mm/lfm)],MATCH(Tabelle9[[#This Row],[Rank]],Stammdaten[Rank Verteilung Abholzigkeit],0))</f>
        <v>#N/A</v>
      </c>
      <c r="N995" t="e">
        <f>VLOOKUP(Tabelle9[[#This Row],[Rank]],Stammdaten[[Rank Verteilung Abholzigkeit]:[Verteilung Abholzigkeit]],2,FALSE)</f>
        <v>#N/A</v>
      </c>
      <c r="S995">
        <v>986</v>
      </c>
      <c r="T995" t="e">
        <f>INDEX(Stammdaten[Krümmung (mm/lfm)],MATCH(Tabelle10[[#This Row],[Rank]],Stammdaten[Rank Verteilung Krümmung],0))</f>
        <v>#N/A</v>
      </c>
      <c r="U995" t="e">
        <f>VLOOKUP(Tabelle10[[#This Row],[Rank]],Stammdaten[[Rank Verteilung Krümmung]:[Verteilung Krümmung]],2,FALSE)</f>
        <v>#N/A</v>
      </c>
      <c r="Z995">
        <v>986</v>
      </c>
      <c r="AA995" t="e">
        <f>INDEX(Stammdaten[Ovalität (']0,1'])],MATCH(Tabelle1014[[#This Row],[Rank]],Stammdaten[Rank Verteilung Ovalität],0))</f>
        <v>#N/A</v>
      </c>
      <c r="AB995" t="e">
        <f>VLOOKUP(Tabelle1014[[#This Row],[Rank]],Stammdaten[[Rank Verteilung Ovalität]:[Verteilung Ovalität]],2,FALSE)</f>
        <v>#N/A</v>
      </c>
    </row>
    <row r="996" spans="5:28" x14ac:dyDescent="0.35">
      <c r="E996">
        <v>987</v>
      </c>
      <c r="F996" t="e">
        <f>INDEX(Stammdaten[D Mitte mit Rinde (mm)],MATCH(Tabelle8[[#This Row],[Rank]],Stammdaten[Rank Verteilung D Mitte mit Rinde],0))</f>
        <v>#N/A</v>
      </c>
      <c r="G996" t="e">
        <f>VLOOKUP(Tabelle8[[#This Row],[Rank]],Stammdaten[[Rank Verteilung D Mitte mit Rinde]:[Verteilung D Mitte mit Rinde]],2,FALSE)</f>
        <v>#N/A</v>
      </c>
      <c r="L996">
        <v>987</v>
      </c>
      <c r="M996" t="e">
        <f>INDEX(Stammdaten[Abholzigkeit (mm/lfm)],MATCH(Tabelle9[[#This Row],[Rank]],Stammdaten[Rank Verteilung Abholzigkeit],0))</f>
        <v>#N/A</v>
      </c>
      <c r="N996" t="e">
        <f>VLOOKUP(Tabelle9[[#This Row],[Rank]],Stammdaten[[Rank Verteilung Abholzigkeit]:[Verteilung Abholzigkeit]],2,FALSE)</f>
        <v>#N/A</v>
      </c>
      <c r="S996">
        <v>987</v>
      </c>
      <c r="T996" t="e">
        <f>INDEX(Stammdaten[Krümmung (mm/lfm)],MATCH(Tabelle10[[#This Row],[Rank]],Stammdaten[Rank Verteilung Krümmung],0))</f>
        <v>#N/A</v>
      </c>
      <c r="U996" t="e">
        <f>VLOOKUP(Tabelle10[[#This Row],[Rank]],Stammdaten[[Rank Verteilung Krümmung]:[Verteilung Krümmung]],2,FALSE)</f>
        <v>#N/A</v>
      </c>
      <c r="Z996">
        <v>987</v>
      </c>
      <c r="AA996" t="e">
        <f>INDEX(Stammdaten[Ovalität (']0,1'])],MATCH(Tabelle1014[[#This Row],[Rank]],Stammdaten[Rank Verteilung Ovalität],0))</f>
        <v>#N/A</v>
      </c>
      <c r="AB996" t="e">
        <f>VLOOKUP(Tabelle1014[[#This Row],[Rank]],Stammdaten[[Rank Verteilung Ovalität]:[Verteilung Ovalität]],2,FALSE)</f>
        <v>#N/A</v>
      </c>
    </row>
    <row r="997" spans="5:28" x14ac:dyDescent="0.35">
      <c r="E997">
        <v>988</v>
      </c>
      <c r="F997" t="e">
        <f>INDEX(Stammdaten[D Mitte mit Rinde (mm)],MATCH(Tabelle8[[#This Row],[Rank]],Stammdaten[Rank Verteilung D Mitte mit Rinde],0))</f>
        <v>#N/A</v>
      </c>
      <c r="G997" t="e">
        <f>VLOOKUP(Tabelle8[[#This Row],[Rank]],Stammdaten[[Rank Verteilung D Mitte mit Rinde]:[Verteilung D Mitte mit Rinde]],2,FALSE)</f>
        <v>#N/A</v>
      </c>
      <c r="L997">
        <v>988</v>
      </c>
      <c r="M997" t="e">
        <f>INDEX(Stammdaten[Abholzigkeit (mm/lfm)],MATCH(Tabelle9[[#This Row],[Rank]],Stammdaten[Rank Verteilung Abholzigkeit],0))</f>
        <v>#N/A</v>
      </c>
      <c r="N997" t="e">
        <f>VLOOKUP(Tabelle9[[#This Row],[Rank]],Stammdaten[[Rank Verteilung Abholzigkeit]:[Verteilung Abholzigkeit]],2,FALSE)</f>
        <v>#N/A</v>
      </c>
      <c r="S997">
        <v>988</v>
      </c>
      <c r="T997" t="e">
        <f>INDEX(Stammdaten[Krümmung (mm/lfm)],MATCH(Tabelle10[[#This Row],[Rank]],Stammdaten[Rank Verteilung Krümmung],0))</f>
        <v>#N/A</v>
      </c>
      <c r="U997" t="e">
        <f>VLOOKUP(Tabelle10[[#This Row],[Rank]],Stammdaten[[Rank Verteilung Krümmung]:[Verteilung Krümmung]],2,FALSE)</f>
        <v>#N/A</v>
      </c>
      <c r="Z997">
        <v>988</v>
      </c>
      <c r="AA997" t="e">
        <f>INDEX(Stammdaten[Ovalität (']0,1'])],MATCH(Tabelle1014[[#This Row],[Rank]],Stammdaten[Rank Verteilung Ovalität],0))</f>
        <v>#N/A</v>
      </c>
      <c r="AB997" t="e">
        <f>VLOOKUP(Tabelle1014[[#This Row],[Rank]],Stammdaten[[Rank Verteilung Ovalität]:[Verteilung Ovalität]],2,FALSE)</f>
        <v>#N/A</v>
      </c>
    </row>
    <row r="998" spans="5:28" x14ac:dyDescent="0.35">
      <c r="E998">
        <v>989</v>
      </c>
      <c r="F998" t="e">
        <f>INDEX(Stammdaten[D Mitte mit Rinde (mm)],MATCH(Tabelle8[[#This Row],[Rank]],Stammdaten[Rank Verteilung D Mitte mit Rinde],0))</f>
        <v>#N/A</v>
      </c>
      <c r="G998" t="e">
        <f>VLOOKUP(Tabelle8[[#This Row],[Rank]],Stammdaten[[Rank Verteilung D Mitte mit Rinde]:[Verteilung D Mitte mit Rinde]],2,FALSE)</f>
        <v>#N/A</v>
      </c>
      <c r="L998">
        <v>989</v>
      </c>
      <c r="M998" t="e">
        <f>INDEX(Stammdaten[Abholzigkeit (mm/lfm)],MATCH(Tabelle9[[#This Row],[Rank]],Stammdaten[Rank Verteilung Abholzigkeit],0))</f>
        <v>#N/A</v>
      </c>
      <c r="N998" t="e">
        <f>VLOOKUP(Tabelle9[[#This Row],[Rank]],Stammdaten[[Rank Verteilung Abholzigkeit]:[Verteilung Abholzigkeit]],2,FALSE)</f>
        <v>#N/A</v>
      </c>
      <c r="S998">
        <v>989</v>
      </c>
      <c r="T998" t="e">
        <f>INDEX(Stammdaten[Krümmung (mm/lfm)],MATCH(Tabelle10[[#This Row],[Rank]],Stammdaten[Rank Verteilung Krümmung],0))</f>
        <v>#N/A</v>
      </c>
      <c r="U998" t="e">
        <f>VLOOKUP(Tabelle10[[#This Row],[Rank]],Stammdaten[[Rank Verteilung Krümmung]:[Verteilung Krümmung]],2,FALSE)</f>
        <v>#N/A</v>
      </c>
      <c r="Z998">
        <v>989</v>
      </c>
      <c r="AA998" t="e">
        <f>INDEX(Stammdaten[Ovalität (']0,1'])],MATCH(Tabelle1014[[#This Row],[Rank]],Stammdaten[Rank Verteilung Ovalität],0))</f>
        <v>#N/A</v>
      </c>
      <c r="AB998" t="e">
        <f>VLOOKUP(Tabelle1014[[#This Row],[Rank]],Stammdaten[[Rank Verteilung Ovalität]:[Verteilung Ovalität]],2,FALSE)</f>
        <v>#N/A</v>
      </c>
    </row>
    <row r="999" spans="5:28" x14ac:dyDescent="0.35">
      <c r="E999">
        <v>990</v>
      </c>
      <c r="F999" t="e">
        <f>INDEX(Stammdaten[D Mitte mit Rinde (mm)],MATCH(Tabelle8[[#This Row],[Rank]],Stammdaten[Rank Verteilung D Mitte mit Rinde],0))</f>
        <v>#N/A</v>
      </c>
      <c r="G999" t="e">
        <f>VLOOKUP(Tabelle8[[#This Row],[Rank]],Stammdaten[[Rank Verteilung D Mitte mit Rinde]:[Verteilung D Mitte mit Rinde]],2,FALSE)</f>
        <v>#N/A</v>
      </c>
      <c r="L999">
        <v>990</v>
      </c>
      <c r="M999" t="e">
        <f>INDEX(Stammdaten[Abholzigkeit (mm/lfm)],MATCH(Tabelle9[[#This Row],[Rank]],Stammdaten[Rank Verteilung Abholzigkeit],0))</f>
        <v>#N/A</v>
      </c>
      <c r="N999" t="e">
        <f>VLOOKUP(Tabelle9[[#This Row],[Rank]],Stammdaten[[Rank Verteilung Abholzigkeit]:[Verteilung Abholzigkeit]],2,FALSE)</f>
        <v>#N/A</v>
      </c>
      <c r="S999">
        <v>990</v>
      </c>
      <c r="T999" t="e">
        <f>INDEX(Stammdaten[Krümmung (mm/lfm)],MATCH(Tabelle10[[#This Row],[Rank]],Stammdaten[Rank Verteilung Krümmung],0))</f>
        <v>#N/A</v>
      </c>
      <c r="U999" t="e">
        <f>VLOOKUP(Tabelle10[[#This Row],[Rank]],Stammdaten[[Rank Verteilung Krümmung]:[Verteilung Krümmung]],2,FALSE)</f>
        <v>#N/A</v>
      </c>
      <c r="Z999">
        <v>990</v>
      </c>
      <c r="AA999" t="e">
        <f>INDEX(Stammdaten[Ovalität (']0,1'])],MATCH(Tabelle1014[[#This Row],[Rank]],Stammdaten[Rank Verteilung Ovalität],0))</f>
        <v>#N/A</v>
      </c>
      <c r="AB999" t="e">
        <f>VLOOKUP(Tabelle1014[[#This Row],[Rank]],Stammdaten[[Rank Verteilung Ovalität]:[Verteilung Ovalität]],2,FALSE)</f>
        <v>#N/A</v>
      </c>
    </row>
    <row r="1000" spans="5:28" x14ac:dyDescent="0.35">
      <c r="E1000">
        <v>991</v>
      </c>
      <c r="F1000" t="e">
        <f>INDEX(Stammdaten[D Mitte mit Rinde (mm)],MATCH(Tabelle8[[#This Row],[Rank]],Stammdaten[Rank Verteilung D Mitte mit Rinde],0))</f>
        <v>#N/A</v>
      </c>
      <c r="G1000" t="e">
        <f>VLOOKUP(Tabelle8[[#This Row],[Rank]],Stammdaten[[Rank Verteilung D Mitte mit Rinde]:[Verteilung D Mitte mit Rinde]],2,FALSE)</f>
        <v>#N/A</v>
      </c>
      <c r="L1000">
        <v>991</v>
      </c>
      <c r="M1000" t="e">
        <f>INDEX(Stammdaten[Abholzigkeit (mm/lfm)],MATCH(Tabelle9[[#This Row],[Rank]],Stammdaten[Rank Verteilung Abholzigkeit],0))</f>
        <v>#N/A</v>
      </c>
      <c r="N1000" t="e">
        <f>VLOOKUP(Tabelle9[[#This Row],[Rank]],Stammdaten[[Rank Verteilung Abholzigkeit]:[Verteilung Abholzigkeit]],2,FALSE)</f>
        <v>#N/A</v>
      </c>
      <c r="S1000">
        <v>991</v>
      </c>
      <c r="T1000" t="e">
        <f>INDEX(Stammdaten[Krümmung (mm/lfm)],MATCH(Tabelle10[[#This Row],[Rank]],Stammdaten[Rank Verteilung Krümmung],0))</f>
        <v>#N/A</v>
      </c>
      <c r="U1000" t="e">
        <f>VLOOKUP(Tabelle10[[#This Row],[Rank]],Stammdaten[[Rank Verteilung Krümmung]:[Verteilung Krümmung]],2,FALSE)</f>
        <v>#N/A</v>
      </c>
      <c r="Z1000">
        <v>991</v>
      </c>
      <c r="AA1000" t="e">
        <f>INDEX(Stammdaten[Ovalität (']0,1'])],MATCH(Tabelle1014[[#This Row],[Rank]],Stammdaten[Rank Verteilung Ovalität],0))</f>
        <v>#N/A</v>
      </c>
      <c r="AB1000" t="e">
        <f>VLOOKUP(Tabelle1014[[#This Row],[Rank]],Stammdaten[[Rank Verteilung Ovalität]:[Verteilung Ovalität]],2,FALSE)</f>
        <v>#N/A</v>
      </c>
    </row>
    <row r="1001" spans="5:28" x14ac:dyDescent="0.35">
      <c r="E1001">
        <v>992</v>
      </c>
      <c r="F1001" t="e">
        <f>INDEX(Stammdaten[D Mitte mit Rinde (mm)],MATCH(Tabelle8[[#This Row],[Rank]],Stammdaten[Rank Verteilung D Mitte mit Rinde],0))</f>
        <v>#N/A</v>
      </c>
      <c r="G1001" t="e">
        <f>VLOOKUP(Tabelle8[[#This Row],[Rank]],Stammdaten[[Rank Verteilung D Mitte mit Rinde]:[Verteilung D Mitte mit Rinde]],2,FALSE)</f>
        <v>#N/A</v>
      </c>
      <c r="L1001">
        <v>992</v>
      </c>
      <c r="M1001" t="e">
        <f>INDEX(Stammdaten[Abholzigkeit (mm/lfm)],MATCH(Tabelle9[[#This Row],[Rank]],Stammdaten[Rank Verteilung Abholzigkeit],0))</f>
        <v>#N/A</v>
      </c>
      <c r="N1001" t="e">
        <f>VLOOKUP(Tabelle9[[#This Row],[Rank]],Stammdaten[[Rank Verteilung Abholzigkeit]:[Verteilung Abholzigkeit]],2,FALSE)</f>
        <v>#N/A</v>
      </c>
      <c r="S1001">
        <v>992</v>
      </c>
      <c r="T1001" t="e">
        <f>INDEX(Stammdaten[Krümmung (mm/lfm)],MATCH(Tabelle10[[#This Row],[Rank]],Stammdaten[Rank Verteilung Krümmung],0))</f>
        <v>#N/A</v>
      </c>
      <c r="U1001" t="e">
        <f>VLOOKUP(Tabelle10[[#This Row],[Rank]],Stammdaten[[Rank Verteilung Krümmung]:[Verteilung Krümmung]],2,FALSE)</f>
        <v>#N/A</v>
      </c>
      <c r="Z1001">
        <v>992</v>
      </c>
      <c r="AA1001" t="e">
        <f>INDEX(Stammdaten[Ovalität (']0,1'])],MATCH(Tabelle1014[[#This Row],[Rank]],Stammdaten[Rank Verteilung Ovalität],0))</f>
        <v>#N/A</v>
      </c>
      <c r="AB1001" t="e">
        <f>VLOOKUP(Tabelle1014[[#This Row],[Rank]],Stammdaten[[Rank Verteilung Ovalität]:[Verteilung Ovalität]],2,FALSE)</f>
        <v>#N/A</v>
      </c>
    </row>
    <row r="1002" spans="5:28" x14ac:dyDescent="0.35">
      <c r="E1002">
        <v>993</v>
      </c>
      <c r="F1002" t="e">
        <f>INDEX(Stammdaten[D Mitte mit Rinde (mm)],MATCH(Tabelle8[[#This Row],[Rank]],Stammdaten[Rank Verteilung D Mitte mit Rinde],0))</f>
        <v>#N/A</v>
      </c>
      <c r="G1002" t="e">
        <f>VLOOKUP(Tabelle8[[#This Row],[Rank]],Stammdaten[[Rank Verteilung D Mitte mit Rinde]:[Verteilung D Mitte mit Rinde]],2,FALSE)</f>
        <v>#N/A</v>
      </c>
      <c r="L1002">
        <v>993</v>
      </c>
      <c r="M1002" t="e">
        <f>INDEX(Stammdaten[Abholzigkeit (mm/lfm)],MATCH(Tabelle9[[#This Row],[Rank]],Stammdaten[Rank Verteilung Abholzigkeit],0))</f>
        <v>#N/A</v>
      </c>
      <c r="N1002" t="e">
        <f>VLOOKUP(Tabelle9[[#This Row],[Rank]],Stammdaten[[Rank Verteilung Abholzigkeit]:[Verteilung Abholzigkeit]],2,FALSE)</f>
        <v>#N/A</v>
      </c>
      <c r="S1002">
        <v>993</v>
      </c>
      <c r="T1002" t="e">
        <f>INDEX(Stammdaten[Krümmung (mm/lfm)],MATCH(Tabelle10[[#This Row],[Rank]],Stammdaten[Rank Verteilung Krümmung],0))</f>
        <v>#N/A</v>
      </c>
      <c r="U1002" t="e">
        <f>VLOOKUP(Tabelle10[[#This Row],[Rank]],Stammdaten[[Rank Verteilung Krümmung]:[Verteilung Krümmung]],2,FALSE)</f>
        <v>#N/A</v>
      </c>
      <c r="Z1002">
        <v>993</v>
      </c>
      <c r="AA1002" t="e">
        <f>INDEX(Stammdaten[Ovalität (']0,1'])],MATCH(Tabelle1014[[#This Row],[Rank]],Stammdaten[Rank Verteilung Ovalität],0))</f>
        <v>#N/A</v>
      </c>
      <c r="AB1002" t="e">
        <f>VLOOKUP(Tabelle1014[[#This Row],[Rank]],Stammdaten[[Rank Verteilung Ovalität]:[Verteilung Ovalität]],2,FALSE)</f>
        <v>#N/A</v>
      </c>
    </row>
    <row r="1003" spans="5:28" x14ac:dyDescent="0.35">
      <c r="E1003">
        <v>994</v>
      </c>
      <c r="F1003" t="e">
        <f>INDEX(Stammdaten[D Mitte mit Rinde (mm)],MATCH(Tabelle8[[#This Row],[Rank]],Stammdaten[Rank Verteilung D Mitte mit Rinde],0))</f>
        <v>#N/A</v>
      </c>
      <c r="G1003" t="e">
        <f>VLOOKUP(Tabelle8[[#This Row],[Rank]],Stammdaten[[Rank Verteilung D Mitte mit Rinde]:[Verteilung D Mitte mit Rinde]],2,FALSE)</f>
        <v>#N/A</v>
      </c>
      <c r="L1003">
        <v>994</v>
      </c>
      <c r="M1003" t="e">
        <f>INDEX(Stammdaten[Abholzigkeit (mm/lfm)],MATCH(Tabelle9[[#This Row],[Rank]],Stammdaten[Rank Verteilung Abholzigkeit],0))</f>
        <v>#N/A</v>
      </c>
      <c r="N1003" t="e">
        <f>VLOOKUP(Tabelle9[[#This Row],[Rank]],Stammdaten[[Rank Verteilung Abholzigkeit]:[Verteilung Abholzigkeit]],2,FALSE)</f>
        <v>#N/A</v>
      </c>
      <c r="S1003">
        <v>994</v>
      </c>
      <c r="T1003" t="e">
        <f>INDEX(Stammdaten[Krümmung (mm/lfm)],MATCH(Tabelle10[[#This Row],[Rank]],Stammdaten[Rank Verteilung Krümmung],0))</f>
        <v>#N/A</v>
      </c>
      <c r="U1003" t="e">
        <f>VLOOKUP(Tabelle10[[#This Row],[Rank]],Stammdaten[[Rank Verteilung Krümmung]:[Verteilung Krümmung]],2,FALSE)</f>
        <v>#N/A</v>
      </c>
      <c r="Z1003">
        <v>994</v>
      </c>
      <c r="AA1003" t="e">
        <f>INDEX(Stammdaten[Ovalität (']0,1'])],MATCH(Tabelle1014[[#This Row],[Rank]],Stammdaten[Rank Verteilung Ovalität],0))</f>
        <v>#N/A</v>
      </c>
      <c r="AB1003" t="e">
        <f>VLOOKUP(Tabelle1014[[#This Row],[Rank]],Stammdaten[[Rank Verteilung Ovalität]:[Verteilung Ovalität]],2,FALSE)</f>
        <v>#N/A</v>
      </c>
    </row>
    <row r="1004" spans="5:28" x14ac:dyDescent="0.35">
      <c r="E1004">
        <v>995</v>
      </c>
      <c r="F1004" t="e">
        <f>INDEX(Stammdaten[D Mitte mit Rinde (mm)],MATCH(Tabelle8[[#This Row],[Rank]],Stammdaten[Rank Verteilung D Mitte mit Rinde],0))</f>
        <v>#N/A</v>
      </c>
      <c r="G1004" t="e">
        <f>VLOOKUP(Tabelle8[[#This Row],[Rank]],Stammdaten[[Rank Verteilung D Mitte mit Rinde]:[Verteilung D Mitte mit Rinde]],2,FALSE)</f>
        <v>#N/A</v>
      </c>
      <c r="L1004">
        <v>995</v>
      </c>
      <c r="M1004" t="e">
        <f>INDEX(Stammdaten[Abholzigkeit (mm/lfm)],MATCH(Tabelle9[[#This Row],[Rank]],Stammdaten[Rank Verteilung Abholzigkeit],0))</f>
        <v>#N/A</v>
      </c>
      <c r="N1004" t="e">
        <f>VLOOKUP(Tabelle9[[#This Row],[Rank]],Stammdaten[[Rank Verteilung Abholzigkeit]:[Verteilung Abholzigkeit]],2,FALSE)</f>
        <v>#N/A</v>
      </c>
      <c r="S1004">
        <v>995</v>
      </c>
      <c r="T1004" t="e">
        <f>INDEX(Stammdaten[Krümmung (mm/lfm)],MATCH(Tabelle10[[#This Row],[Rank]],Stammdaten[Rank Verteilung Krümmung],0))</f>
        <v>#N/A</v>
      </c>
      <c r="U1004" t="e">
        <f>VLOOKUP(Tabelle10[[#This Row],[Rank]],Stammdaten[[Rank Verteilung Krümmung]:[Verteilung Krümmung]],2,FALSE)</f>
        <v>#N/A</v>
      </c>
      <c r="Z1004">
        <v>995</v>
      </c>
      <c r="AA1004" t="e">
        <f>INDEX(Stammdaten[Ovalität (']0,1'])],MATCH(Tabelle1014[[#This Row],[Rank]],Stammdaten[Rank Verteilung Ovalität],0))</f>
        <v>#N/A</v>
      </c>
      <c r="AB1004" t="e">
        <f>VLOOKUP(Tabelle1014[[#This Row],[Rank]],Stammdaten[[Rank Verteilung Ovalität]:[Verteilung Ovalität]],2,FALSE)</f>
        <v>#N/A</v>
      </c>
    </row>
    <row r="1005" spans="5:28" x14ac:dyDescent="0.35">
      <c r="E1005">
        <v>996</v>
      </c>
      <c r="F1005" t="e">
        <f>INDEX(Stammdaten[D Mitte mit Rinde (mm)],MATCH(Tabelle8[[#This Row],[Rank]],Stammdaten[Rank Verteilung D Mitte mit Rinde],0))</f>
        <v>#N/A</v>
      </c>
      <c r="G1005" t="e">
        <f>VLOOKUP(Tabelle8[[#This Row],[Rank]],Stammdaten[[Rank Verteilung D Mitte mit Rinde]:[Verteilung D Mitte mit Rinde]],2,FALSE)</f>
        <v>#N/A</v>
      </c>
      <c r="L1005">
        <v>996</v>
      </c>
      <c r="M1005" t="e">
        <f>INDEX(Stammdaten[Abholzigkeit (mm/lfm)],MATCH(Tabelle9[[#This Row],[Rank]],Stammdaten[Rank Verteilung Abholzigkeit],0))</f>
        <v>#N/A</v>
      </c>
      <c r="N1005" t="e">
        <f>VLOOKUP(Tabelle9[[#This Row],[Rank]],Stammdaten[[Rank Verteilung Abholzigkeit]:[Verteilung Abholzigkeit]],2,FALSE)</f>
        <v>#N/A</v>
      </c>
      <c r="S1005">
        <v>996</v>
      </c>
      <c r="T1005" t="e">
        <f>INDEX(Stammdaten[Krümmung (mm/lfm)],MATCH(Tabelle10[[#This Row],[Rank]],Stammdaten[Rank Verteilung Krümmung],0))</f>
        <v>#N/A</v>
      </c>
      <c r="U1005" t="e">
        <f>VLOOKUP(Tabelle10[[#This Row],[Rank]],Stammdaten[[Rank Verteilung Krümmung]:[Verteilung Krümmung]],2,FALSE)</f>
        <v>#N/A</v>
      </c>
      <c r="Z1005">
        <v>996</v>
      </c>
      <c r="AA1005" t="e">
        <f>INDEX(Stammdaten[Ovalität (']0,1'])],MATCH(Tabelle1014[[#This Row],[Rank]],Stammdaten[Rank Verteilung Ovalität],0))</f>
        <v>#N/A</v>
      </c>
      <c r="AB1005" t="e">
        <f>VLOOKUP(Tabelle1014[[#This Row],[Rank]],Stammdaten[[Rank Verteilung Ovalität]:[Verteilung Ovalität]],2,FALSE)</f>
        <v>#N/A</v>
      </c>
    </row>
    <row r="1006" spans="5:28" x14ac:dyDescent="0.35">
      <c r="E1006">
        <v>997</v>
      </c>
      <c r="F1006" t="e">
        <f>INDEX(Stammdaten[D Mitte mit Rinde (mm)],MATCH(Tabelle8[[#This Row],[Rank]],Stammdaten[Rank Verteilung D Mitte mit Rinde],0))</f>
        <v>#N/A</v>
      </c>
      <c r="G1006" t="e">
        <f>VLOOKUP(Tabelle8[[#This Row],[Rank]],Stammdaten[[Rank Verteilung D Mitte mit Rinde]:[Verteilung D Mitte mit Rinde]],2,FALSE)</f>
        <v>#N/A</v>
      </c>
      <c r="L1006">
        <v>997</v>
      </c>
      <c r="M1006" t="e">
        <f>INDEX(Stammdaten[Abholzigkeit (mm/lfm)],MATCH(Tabelle9[[#This Row],[Rank]],Stammdaten[Rank Verteilung Abholzigkeit],0))</f>
        <v>#N/A</v>
      </c>
      <c r="N1006" t="e">
        <f>VLOOKUP(Tabelle9[[#This Row],[Rank]],Stammdaten[[Rank Verteilung Abholzigkeit]:[Verteilung Abholzigkeit]],2,FALSE)</f>
        <v>#N/A</v>
      </c>
      <c r="S1006">
        <v>997</v>
      </c>
      <c r="T1006" t="e">
        <f>INDEX(Stammdaten[Krümmung (mm/lfm)],MATCH(Tabelle10[[#This Row],[Rank]],Stammdaten[Rank Verteilung Krümmung],0))</f>
        <v>#N/A</v>
      </c>
      <c r="U1006" t="e">
        <f>VLOOKUP(Tabelle10[[#This Row],[Rank]],Stammdaten[[Rank Verteilung Krümmung]:[Verteilung Krümmung]],2,FALSE)</f>
        <v>#N/A</v>
      </c>
      <c r="Z1006">
        <v>997</v>
      </c>
      <c r="AA1006" t="e">
        <f>INDEX(Stammdaten[Ovalität (']0,1'])],MATCH(Tabelle1014[[#This Row],[Rank]],Stammdaten[Rank Verteilung Ovalität],0))</f>
        <v>#N/A</v>
      </c>
      <c r="AB1006" t="e">
        <f>VLOOKUP(Tabelle1014[[#This Row],[Rank]],Stammdaten[[Rank Verteilung Ovalität]:[Verteilung Ovalität]],2,FALSE)</f>
        <v>#N/A</v>
      </c>
    </row>
    <row r="1007" spans="5:28" x14ac:dyDescent="0.35">
      <c r="E1007">
        <v>998</v>
      </c>
      <c r="F1007" t="e">
        <f>INDEX(Stammdaten[D Mitte mit Rinde (mm)],MATCH(Tabelle8[[#This Row],[Rank]],Stammdaten[Rank Verteilung D Mitte mit Rinde],0))</f>
        <v>#N/A</v>
      </c>
      <c r="G1007" t="e">
        <f>VLOOKUP(Tabelle8[[#This Row],[Rank]],Stammdaten[[Rank Verteilung D Mitte mit Rinde]:[Verteilung D Mitte mit Rinde]],2,FALSE)</f>
        <v>#N/A</v>
      </c>
      <c r="L1007">
        <v>998</v>
      </c>
      <c r="M1007" t="e">
        <f>INDEX(Stammdaten[Abholzigkeit (mm/lfm)],MATCH(Tabelle9[[#This Row],[Rank]],Stammdaten[Rank Verteilung Abholzigkeit],0))</f>
        <v>#N/A</v>
      </c>
      <c r="N1007" t="e">
        <f>VLOOKUP(Tabelle9[[#This Row],[Rank]],Stammdaten[[Rank Verteilung Abholzigkeit]:[Verteilung Abholzigkeit]],2,FALSE)</f>
        <v>#N/A</v>
      </c>
      <c r="S1007">
        <v>998</v>
      </c>
      <c r="T1007" t="e">
        <f>INDEX(Stammdaten[Krümmung (mm/lfm)],MATCH(Tabelle10[[#This Row],[Rank]],Stammdaten[Rank Verteilung Krümmung],0))</f>
        <v>#N/A</v>
      </c>
      <c r="U1007" t="e">
        <f>VLOOKUP(Tabelle10[[#This Row],[Rank]],Stammdaten[[Rank Verteilung Krümmung]:[Verteilung Krümmung]],2,FALSE)</f>
        <v>#N/A</v>
      </c>
      <c r="Z1007">
        <v>998</v>
      </c>
      <c r="AA1007" t="e">
        <f>INDEX(Stammdaten[Ovalität (']0,1'])],MATCH(Tabelle1014[[#This Row],[Rank]],Stammdaten[Rank Verteilung Ovalität],0))</f>
        <v>#N/A</v>
      </c>
      <c r="AB1007" t="e">
        <f>VLOOKUP(Tabelle1014[[#This Row],[Rank]],Stammdaten[[Rank Verteilung Ovalität]:[Verteilung Ovalität]],2,FALSE)</f>
        <v>#N/A</v>
      </c>
    </row>
    <row r="1008" spans="5:28" x14ac:dyDescent="0.35">
      <c r="E1008">
        <v>999</v>
      </c>
      <c r="F1008" t="e">
        <f>INDEX(Stammdaten[D Mitte mit Rinde (mm)],MATCH(Tabelle8[[#This Row],[Rank]],Stammdaten[Rank Verteilung D Mitte mit Rinde],0))</f>
        <v>#N/A</v>
      </c>
      <c r="G1008" t="e">
        <f>VLOOKUP(Tabelle8[[#This Row],[Rank]],Stammdaten[[Rank Verteilung D Mitte mit Rinde]:[Verteilung D Mitte mit Rinde]],2,FALSE)</f>
        <v>#N/A</v>
      </c>
      <c r="L1008">
        <v>999</v>
      </c>
      <c r="M1008" t="e">
        <f>INDEX(Stammdaten[Abholzigkeit (mm/lfm)],MATCH(Tabelle9[[#This Row],[Rank]],Stammdaten[Rank Verteilung Abholzigkeit],0))</f>
        <v>#N/A</v>
      </c>
      <c r="N1008" t="e">
        <f>VLOOKUP(Tabelle9[[#This Row],[Rank]],Stammdaten[[Rank Verteilung Abholzigkeit]:[Verteilung Abholzigkeit]],2,FALSE)</f>
        <v>#N/A</v>
      </c>
      <c r="S1008">
        <v>999</v>
      </c>
      <c r="T1008" t="e">
        <f>INDEX(Stammdaten[Krümmung (mm/lfm)],MATCH(Tabelle10[[#This Row],[Rank]],Stammdaten[Rank Verteilung Krümmung],0))</f>
        <v>#N/A</v>
      </c>
      <c r="U1008" t="e">
        <f>VLOOKUP(Tabelle10[[#This Row],[Rank]],Stammdaten[[Rank Verteilung Krümmung]:[Verteilung Krümmung]],2,FALSE)</f>
        <v>#N/A</v>
      </c>
      <c r="Z1008">
        <v>999</v>
      </c>
      <c r="AA1008" t="e">
        <f>INDEX(Stammdaten[Ovalität (']0,1'])],MATCH(Tabelle1014[[#This Row],[Rank]],Stammdaten[Rank Verteilung Ovalität],0))</f>
        <v>#N/A</v>
      </c>
      <c r="AB1008" t="e">
        <f>VLOOKUP(Tabelle1014[[#This Row],[Rank]],Stammdaten[[Rank Verteilung Ovalität]:[Verteilung Ovalität]],2,FALSE)</f>
        <v>#N/A</v>
      </c>
    </row>
    <row r="1009" spans="5:28" x14ac:dyDescent="0.35">
      <c r="E1009">
        <v>1000</v>
      </c>
      <c r="F1009" t="e">
        <f>INDEX(Stammdaten[D Mitte mit Rinde (mm)],MATCH(Tabelle8[[#This Row],[Rank]],Stammdaten[Rank Verteilung D Mitte mit Rinde],0))</f>
        <v>#N/A</v>
      </c>
      <c r="G1009" t="e">
        <f>VLOOKUP(Tabelle8[[#This Row],[Rank]],Stammdaten[[Rank Verteilung D Mitte mit Rinde]:[Verteilung D Mitte mit Rinde]],2,FALSE)</f>
        <v>#N/A</v>
      </c>
      <c r="L1009">
        <v>1000</v>
      </c>
      <c r="M1009" t="e">
        <f>INDEX(Stammdaten[Abholzigkeit (mm/lfm)],MATCH(Tabelle9[[#This Row],[Rank]],Stammdaten[Rank Verteilung Abholzigkeit],0))</f>
        <v>#N/A</v>
      </c>
      <c r="N1009" t="e">
        <f>VLOOKUP(Tabelle9[[#This Row],[Rank]],Stammdaten[[Rank Verteilung Abholzigkeit]:[Verteilung Abholzigkeit]],2,FALSE)</f>
        <v>#N/A</v>
      </c>
      <c r="S1009">
        <v>1000</v>
      </c>
      <c r="T1009" t="e">
        <f>INDEX(Stammdaten[Krümmung (mm/lfm)],MATCH(Tabelle10[[#This Row],[Rank]],Stammdaten[Rank Verteilung Krümmung],0))</f>
        <v>#N/A</v>
      </c>
      <c r="U1009" t="e">
        <f>VLOOKUP(Tabelle10[[#This Row],[Rank]],Stammdaten[[Rank Verteilung Krümmung]:[Verteilung Krümmung]],2,FALSE)</f>
        <v>#N/A</v>
      </c>
      <c r="Z1009">
        <v>1000</v>
      </c>
      <c r="AA1009" t="e">
        <f>INDEX(Stammdaten[Ovalität (']0,1'])],MATCH(Tabelle1014[[#This Row],[Rank]],Stammdaten[Rank Verteilung Ovalität],0))</f>
        <v>#N/A</v>
      </c>
      <c r="AB1009" t="e">
        <f>VLOOKUP(Tabelle1014[[#This Row],[Rank]],Stammdaten[[Rank Verteilung Ovalität]:[Verteilung Ovalität]],2,FALSE)</f>
        <v>#N/A</v>
      </c>
    </row>
    <row r="1010" spans="5:28" x14ac:dyDescent="0.35">
      <c r="E1010">
        <v>1001</v>
      </c>
      <c r="F1010" t="e">
        <f>INDEX(Stammdaten[D Mitte mit Rinde (mm)],MATCH(Tabelle8[[#This Row],[Rank]],Stammdaten[Rank Verteilung D Mitte mit Rinde],0))</f>
        <v>#N/A</v>
      </c>
      <c r="G1010" t="e">
        <f>VLOOKUP(Tabelle8[[#This Row],[Rank]],Stammdaten[[Rank Verteilung D Mitte mit Rinde]:[Verteilung D Mitte mit Rinde]],2,FALSE)</f>
        <v>#N/A</v>
      </c>
      <c r="L1010">
        <v>1001</v>
      </c>
      <c r="M1010" t="e">
        <f>INDEX(Stammdaten[Abholzigkeit (mm/lfm)],MATCH(Tabelle9[[#This Row],[Rank]],Stammdaten[Rank Verteilung Abholzigkeit],0))</f>
        <v>#N/A</v>
      </c>
      <c r="N1010" t="e">
        <f>VLOOKUP(Tabelle9[[#This Row],[Rank]],Stammdaten[[Rank Verteilung Abholzigkeit]:[Verteilung Abholzigkeit]],2,FALSE)</f>
        <v>#N/A</v>
      </c>
      <c r="S1010">
        <v>1001</v>
      </c>
      <c r="T1010" t="e">
        <f>INDEX(Stammdaten[Krümmung (mm/lfm)],MATCH(Tabelle10[[#This Row],[Rank]],Stammdaten[Rank Verteilung Krümmung],0))</f>
        <v>#N/A</v>
      </c>
      <c r="U1010" t="e">
        <f>VLOOKUP(Tabelle10[[#This Row],[Rank]],Stammdaten[[Rank Verteilung Krümmung]:[Verteilung Krümmung]],2,FALSE)</f>
        <v>#N/A</v>
      </c>
      <c r="Z1010">
        <v>1001</v>
      </c>
      <c r="AA1010" t="e">
        <f>INDEX(Stammdaten[Ovalität (']0,1'])],MATCH(Tabelle1014[[#This Row],[Rank]],Stammdaten[Rank Verteilung Ovalität],0))</f>
        <v>#N/A</v>
      </c>
      <c r="AB1010" t="e">
        <f>VLOOKUP(Tabelle1014[[#This Row],[Rank]],Stammdaten[[Rank Verteilung Ovalität]:[Verteilung Ovalität]],2,FALSE)</f>
        <v>#N/A</v>
      </c>
    </row>
    <row r="1011" spans="5:28" x14ac:dyDescent="0.35">
      <c r="E1011">
        <v>1002</v>
      </c>
      <c r="F1011" t="e">
        <f>INDEX(Stammdaten[D Mitte mit Rinde (mm)],MATCH(Tabelle8[[#This Row],[Rank]],Stammdaten[Rank Verteilung D Mitte mit Rinde],0))</f>
        <v>#N/A</v>
      </c>
      <c r="G1011" t="e">
        <f>VLOOKUP(Tabelle8[[#This Row],[Rank]],Stammdaten[[Rank Verteilung D Mitte mit Rinde]:[Verteilung D Mitte mit Rinde]],2,FALSE)</f>
        <v>#N/A</v>
      </c>
      <c r="L1011">
        <v>1002</v>
      </c>
      <c r="M1011" t="e">
        <f>INDEX(Stammdaten[Abholzigkeit (mm/lfm)],MATCH(Tabelle9[[#This Row],[Rank]],Stammdaten[Rank Verteilung Abholzigkeit],0))</f>
        <v>#N/A</v>
      </c>
      <c r="N1011" t="e">
        <f>VLOOKUP(Tabelle9[[#This Row],[Rank]],Stammdaten[[Rank Verteilung Abholzigkeit]:[Verteilung Abholzigkeit]],2,FALSE)</f>
        <v>#N/A</v>
      </c>
      <c r="S1011">
        <v>1002</v>
      </c>
      <c r="T1011" t="e">
        <f>INDEX(Stammdaten[Krümmung (mm/lfm)],MATCH(Tabelle10[[#This Row],[Rank]],Stammdaten[Rank Verteilung Krümmung],0))</f>
        <v>#N/A</v>
      </c>
      <c r="U1011" t="e">
        <f>VLOOKUP(Tabelle10[[#This Row],[Rank]],Stammdaten[[Rank Verteilung Krümmung]:[Verteilung Krümmung]],2,FALSE)</f>
        <v>#N/A</v>
      </c>
      <c r="Z1011">
        <v>1002</v>
      </c>
      <c r="AA1011" t="e">
        <f>INDEX(Stammdaten[Ovalität (']0,1'])],MATCH(Tabelle1014[[#This Row],[Rank]],Stammdaten[Rank Verteilung Ovalität],0))</f>
        <v>#N/A</v>
      </c>
      <c r="AB1011" t="e">
        <f>VLOOKUP(Tabelle1014[[#This Row],[Rank]],Stammdaten[[Rank Verteilung Ovalität]:[Verteilung Ovalität]],2,FALSE)</f>
        <v>#N/A</v>
      </c>
    </row>
    <row r="1012" spans="5:28" x14ac:dyDescent="0.35">
      <c r="E1012">
        <v>1003</v>
      </c>
      <c r="F1012" t="e">
        <f>INDEX(Stammdaten[D Mitte mit Rinde (mm)],MATCH(Tabelle8[[#This Row],[Rank]],Stammdaten[Rank Verteilung D Mitte mit Rinde],0))</f>
        <v>#N/A</v>
      </c>
      <c r="G1012" t="e">
        <f>VLOOKUP(Tabelle8[[#This Row],[Rank]],Stammdaten[[Rank Verteilung D Mitte mit Rinde]:[Verteilung D Mitte mit Rinde]],2,FALSE)</f>
        <v>#N/A</v>
      </c>
      <c r="L1012">
        <v>1003</v>
      </c>
      <c r="M1012" t="e">
        <f>INDEX(Stammdaten[Abholzigkeit (mm/lfm)],MATCH(Tabelle9[[#This Row],[Rank]],Stammdaten[Rank Verteilung Abholzigkeit],0))</f>
        <v>#N/A</v>
      </c>
      <c r="N1012" t="e">
        <f>VLOOKUP(Tabelle9[[#This Row],[Rank]],Stammdaten[[Rank Verteilung Abholzigkeit]:[Verteilung Abholzigkeit]],2,FALSE)</f>
        <v>#N/A</v>
      </c>
      <c r="S1012">
        <v>1003</v>
      </c>
      <c r="T1012" t="e">
        <f>INDEX(Stammdaten[Krümmung (mm/lfm)],MATCH(Tabelle10[[#This Row],[Rank]],Stammdaten[Rank Verteilung Krümmung],0))</f>
        <v>#N/A</v>
      </c>
      <c r="U1012" t="e">
        <f>VLOOKUP(Tabelle10[[#This Row],[Rank]],Stammdaten[[Rank Verteilung Krümmung]:[Verteilung Krümmung]],2,FALSE)</f>
        <v>#N/A</v>
      </c>
      <c r="Z1012">
        <v>1003</v>
      </c>
      <c r="AA1012" t="e">
        <f>INDEX(Stammdaten[Ovalität (']0,1'])],MATCH(Tabelle1014[[#This Row],[Rank]],Stammdaten[Rank Verteilung Ovalität],0))</f>
        <v>#N/A</v>
      </c>
      <c r="AB1012" t="e">
        <f>VLOOKUP(Tabelle1014[[#This Row],[Rank]],Stammdaten[[Rank Verteilung Ovalität]:[Verteilung Ovalität]],2,FALSE)</f>
        <v>#N/A</v>
      </c>
    </row>
    <row r="1013" spans="5:28" x14ac:dyDescent="0.35">
      <c r="E1013">
        <v>1004</v>
      </c>
      <c r="F1013" t="e">
        <f>INDEX(Stammdaten[D Mitte mit Rinde (mm)],MATCH(Tabelle8[[#This Row],[Rank]],Stammdaten[Rank Verteilung D Mitte mit Rinde],0))</f>
        <v>#N/A</v>
      </c>
      <c r="G1013" t="e">
        <f>VLOOKUP(Tabelle8[[#This Row],[Rank]],Stammdaten[[Rank Verteilung D Mitte mit Rinde]:[Verteilung D Mitte mit Rinde]],2,FALSE)</f>
        <v>#N/A</v>
      </c>
      <c r="L1013">
        <v>1004</v>
      </c>
      <c r="M1013" t="e">
        <f>INDEX(Stammdaten[Abholzigkeit (mm/lfm)],MATCH(Tabelle9[[#This Row],[Rank]],Stammdaten[Rank Verteilung Abholzigkeit],0))</f>
        <v>#N/A</v>
      </c>
      <c r="N1013" t="e">
        <f>VLOOKUP(Tabelle9[[#This Row],[Rank]],Stammdaten[[Rank Verteilung Abholzigkeit]:[Verteilung Abholzigkeit]],2,FALSE)</f>
        <v>#N/A</v>
      </c>
      <c r="S1013">
        <v>1004</v>
      </c>
      <c r="T1013" t="e">
        <f>INDEX(Stammdaten[Krümmung (mm/lfm)],MATCH(Tabelle10[[#This Row],[Rank]],Stammdaten[Rank Verteilung Krümmung],0))</f>
        <v>#N/A</v>
      </c>
      <c r="U1013" t="e">
        <f>VLOOKUP(Tabelle10[[#This Row],[Rank]],Stammdaten[[Rank Verteilung Krümmung]:[Verteilung Krümmung]],2,FALSE)</f>
        <v>#N/A</v>
      </c>
      <c r="Z1013">
        <v>1004</v>
      </c>
      <c r="AA1013" t="e">
        <f>INDEX(Stammdaten[Ovalität (']0,1'])],MATCH(Tabelle1014[[#This Row],[Rank]],Stammdaten[Rank Verteilung Ovalität],0))</f>
        <v>#N/A</v>
      </c>
      <c r="AB1013" t="e">
        <f>VLOOKUP(Tabelle1014[[#This Row],[Rank]],Stammdaten[[Rank Verteilung Ovalität]:[Verteilung Ovalität]],2,FALSE)</f>
        <v>#N/A</v>
      </c>
    </row>
    <row r="1014" spans="5:28" x14ac:dyDescent="0.35">
      <c r="E1014">
        <v>1005</v>
      </c>
      <c r="F1014" t="e">
        <f>INDEX(Stammdaten[D Mitte mit Rinde (mm)],MATCH(Tabelle8[[#This Row],[Rank]],Stammdaten[Rank Verteilung D Mitte mit Rinde],0))</f>
        <v>#N/A</v>
      </c>
      <c r="G1014" t="e">
        <f>VLOOKUP(Tabelle8[[#This Row],[Rank]],Stammdaten[[Rank Verteilung D Mitte mit Rinde]:[Verteilung D Mitte mit Rinde]],2,FALSE)</f>
        <v>#N/A</v>
      </c>
      <c r="L1014">
        <v>1005</v>
      </c>
      <c r="M1014" t="e">
        <f>INDEX(Stammdaten[Abholzigkeit (mm/lfm)],MATCH(Tabelle9[[#This Row],[Rank]],Stammdaten[Rank Verteilung Abholzigkeit],0))</f>
        <v>#N/A</v>
      </c>
      <c r="N1014" t="e">
        <f>VLOOKUP(Tabelle9[[#This Row],[Rank]],Stammdaten[[Rank Verteilung Abholzigkeit]:[Verteilung Abholzigkeit]],2,FALSE)</f>
        <v>#N/A</v>
      </c>
      <c r="S1014">
        <v>1005</v>
      </c>
      <c r="T1014" t="e">
        <f>INDEX(Stammdaten[Krümmung (mm/lfm)],MATCH(Tabelle10[[#This Row],[Rank]],Stammdaten[Rank Verteilung Krümmung],0))</f>
        <v>#N/A</v>
      </c>
      <c r="U1014" t="e">
        <f>VLOOKUP(Tabelle10[[#This Row],[Rank]],Stammdaten[[Rank Verteilung Krümmung]:[Verteilung Krümmung]],2,FALSE)</f>
        <v>#N/A</v>
      </c>
      <c r="Z1014">
        <v>1005</v>
      </c>
      <c r="AA1014" t="e">
        <f>INDEX(Stammdaten[Ovalität (']0,1'])],MATCH(Tabelle1014[[#This Row],[Rank]],Stammdaten[Rank Verteilung Ovalität],0))</f>
        <v>#N/A</v>
      </c>
      <c r="AB1014" t="e">
        <f>VLOOKUP(Tabelle1014[[#This Row],[Rank]],Stammdaten[[Rank Verteilung Ovalität]:[Verteilung Ovalität]],2,FALSE)</f>
        <v>#N/A</v>
      </c>
    </row>
    <row r="1015" spans="5:28" x14ac:dyDescent="0.35">
      <c r="E1015">
        <v>1006</v>
      </c>
      <c r="F1015" t="e">
        <f>INDEX(Stammdaten[D Mitte mit Rinde (mm)],MATCH(Tabelle8[[#This Row],[Rank]],Stammdaten[Rank Verteilung D Mitte mit Rinde],0))</f>
        <v>#N/A</v>
      </c>
      <c r="G1015" t="e">
        <f>VLOOKUP(Tabelle8[[#This Row],[Rank]],Stammdaten[[Rank Verteilung D Mitte mit Rinde]:[Verteilung D Mitte mit Rinde]],2,FALSE)</f>
        <v>#N/A</v>
      </c>
      <c r="L1015">
        <v>1006</v>
      </c>
      <c r="M1015" t="e">
        <f>INDEX(Stammdaten[Abholzigkeit (mm/lfm)],MATCH(Tabelle9[[#This Row],[Rank]],Stammdaten[Rank Verteilung Abholzigkeit],0))</f>
        <v>#N/A</v>
      </c>
      <c r="N1015" t="e">
        <f>VLOOKUP(Tabelle9[[#This Row],[Rank]],Stammdaten[[Rank Verteilung Abholzigkeit]:[Verteilung Abholzigkeit]],2,FALSE)</f>
        <v>#N/A</v>
      </c>
      <c r="S1015">
        <v>1006</v>
      </c>
      <c r="T1015" t="e">
        <f>INDEX(Stammdaten[Krümmung (mm/lfm)],MATCH(Tabelle10[[#This Row],[Rank]],Stammdaten[Rank Verteilung Krümmung],0))</f>
        <v>#N/A</v>
      </c>
      <c r="U1015" t="e">
        <f>VLOOKUP(Tabelle10[[#This Row],[Rank]],Stammdaten[[Rank Verteilung Krümmung]:[Verteilung Krümmung]],2,FALSE)</f>
        <v>#N/A</v>
      </c>
      <c r="Z1015">
        <v>1006</v>
      </c>
      <c r="AA1015" t="e">
        <f>INDEX(Stammdaten[Ovalität (']0,1'])],MATCH(Tabelle1014[[#This Row],[Rank]],Stammdaten[Rank Verteilung Ovalität],0))</f>
        <v>#N/A</v>
      </c>
      <c r="AB1015" t="e">
        <f>VLOOKUP(Tabelle1014[[#This Row],[Rank]],Stammdaten[[Rank Verteilung Ovalität]:[Verteilung Ovalität]],2,FALSE)</f>
        <v>#N/A</v>
      </c>
    </row>
    <row r="1016" spans="5:28" x14ac:dyDescent="0.35">
      <c r="E1016">
        <v>1007</v>
      </c>
      <c r="F1016" t="e">
        <f>INDEX(Stammdaten[D Mitte mit Rinde (mm)],MATCH(Tabelle8[[#This Row],[Rank]],Stammdaten[Rank Verteilung D Mitte mit Rinde],0))</f>
        <v>#N/A</v>
      </c>
      <c r="G1016" t="e">
        <f>VLOOKUP(Tabelle8[[#This Row],[Rank]],Stammdaten[[Rank Verteilung D Mitte mit Rinde]:[Verteilung D Mitte mit Rinde]],2,FALSE)</f>
        <v>#N/A</v>
      </c>
      <c r="L1016">
        <v>1007</v>
      </c>
      <c r="M1016" t="e">
        <f>INDEX(Stammdaten[Abholzigkeit (mm/lfm)],MATCH(Tabelle9[[#This Row],[Rank]],Stammdaten[Rank Verteilung Abholzigkeit],0))</f>
        <v>#N/A</v>
      </c>
      <c r="N1016" t="e">
        <f>VLOOKUP(Tabelle9[[#This Row],[Rank]],Stammdaten[[Rank Verteilung Abholzigkeit]:[Verteilung Abholzigkeit]],2,FALSE)</f>
        <v>#N/A</v>
      </c>
      <c r="S1016">
        <v>1007</v>
      </c>
      <c r="T1016" t="e">
        <f>INDEX(Stammdaten[Krümmung (mm/lfm)],MATCH(Tabelle10[[#This Row],[Rank]],Stammdaten[Rank Verteilung Krümmung],0))</f>
        <v>#N/A</v>
      </c>
      <c r="U1016" t="e">
        <f>VLOOKUP(Tabelle10[[#This Row],[Rank]],Stammdaten[[Rank Verteilung Krümmung]:[Verteilung Krümmung]],2,FALSE)</f>
        <v>#N/A</v>
      </c>
      <c r="Z1016">
        <v>1007</v>
      </c>
      <c r="AA1016" t="e">
        <f>INDEX(Stammdaten[Ovalität (']0,1'])],MATCH(Tabelle1014[[#This Row],[Rank]],Stammdaten[Rank Verteilung Ovalität],0))</f>
        <v>#N/A</v>
      </c>
      <c r="AB1016" t="e">
        <f>VLOOKUP(Tabelle1014[[#This Row],[Rank]],Stammdaten[[Rank Verteilung Ovalität]:[Verteilung Ovalität]],2,FALSE)</f>
        <v>#N/A</v>
      </c>
    </row>
    <row r="1017" spans="5:28" x14ac:dyDescent="0.35">
      <c r="E1017">
        <v>1008</v>
      </c>
      <c r="F1017" t="e">
        <f>INDEX(Stammdaten[D Mitte mit Rinde (mm)],MATCH(Tabelle8[[#This Row],[Rank]],Stammdaten[Rank Verteilung D Mitte mit Rinde],0))</f>
        <v>#N/A</v>
      </c>
      <c r="G1017" t="e">
        <f>VLOOKUP(Tabelle8[[#This Row],[Rank]],Stammdaten[[Rank Verteilung D Mitte mit Rinde]:[Verteilung D Mitte mit Rinde]],2,FALSE)</f>
        <v>#N/A</v>
      </c>
      <c r="L1017">
        <v>1008</v>
      </c>
      <c r="M1017" t="e">
        <f>INDEX(Stammdaten[Abholzigkeit (mm/lfm)],MATCH(Tabelle9[[#This Row],[Rank]],Stammdaten[Rank Verteilung Abholzigkeit],0))</f>
        <v>#N/A</v>
      </c>
      <c r="N1017" t="e">
        <f>VLOOKUP(Tabelle9[[#This Row],[Rank]],Stammdaten[[Rank Verteilung Abholzigkeit]:[Verteilung Abholzigkeit]],2,FALSE)</f>
        <v>#N/A</v>
      </c>
      <c r="S1017">
        <v>1008</v>
      </c>
      <c r="T1017" t="e">
        <f>INDEX(Stammdaten[Krümmung (mm/lfm)],MATCH(Tabelle10[[#This Row],[Rank]],Stammdaten[Rank Verteilung Krümmung],0))</f>
        <v>#N/A</v>
      </c>
      <c r="U1017" t="e">
        <f>VLOOKUP(Tabelle10[[#This Row],[Rank]],Stammdaten[[Rank Verteilung Krümmung]:[Verteilung Krümmung]],2,FALSE)</f>
        <v>#N/A</v>
      </c>
      <c r="Z1017">
        <v>1008</v>
      </c>
      <c r="AA1017" t="e">
        <f>INDEX(Stammdaten[Ovalität (']0,1'])],MATCH(Tabelle1014[[#This Row],[Rank]],Stammdaten[Rank Verteilung Ovalität],0))</f>
        <v>#N/A</v>
      </c>
      <c r="AB1017" t="e">
        <f>VLOOKUP(Tabelle1014[[#This Row],[Rank]],Stammdaten[[Rank Verteilung Ovalität]:[Verteilung Ovalität]],2,FALSE)</f>
        <v>#N/A</v>
      </c>
    </row>
    <row r="1018" spans="5:28" x14ac:dyDescent="0.35">
      <c r="E1018">
        <v>1009</v>
      </c>
      <c r="F1018" t="e">
        <f>INDEX(Stammdaten[D Mitte mit Rinde (mm)],MATCH(Tabelle8[[#This Row],[Rank]],Stammdaten[Rank Verteilung D Mitte mit Rinde],0))</f>
        <v>#N/A</v>
      </c>
      <c r="G1018" t="e">
        <f>VLOOKUP(Tabelle8[[#This Row],[Rank]],Stammdaten[[Rank Verteilung D Mitte mit Rinde]:[Verteilung D Mitte mit Rinde]],2,FALSE)</f>
        <v>#N/A</v>
      </c>
      <c r="L1018">
        <v>1009</v>
      </c>
      <c r="M1018" t="e">
        <f>INDEX(Stammdaten[Abholzigkeit (mm/lfm)],MATCH(Tabelle9[[#This Row],[Rank]],Stammdaten[Rank Verteilung Abholzigkeit],0))</f>
        <v>#N/A</v>
      </c>
      <c r="N1018" t="e">
        <f>VLOOKUP(Tabelle9[[#This Row],[Rank]],Stammdaten[[Rank Verteilung Abholzigkeit]:[Verteilung Abholzigkeit]],2,FALSE)</f>
        <v>#N/A</v>
      </c>
      <c r="S1018">
        <v>1009</v>
      </c>
      <c r="T1018" t="e">
        <f>INDEX(Stammdaten[Krümmung (mm/lfm)],MATCH(Tabelle10[[#This Row],[Rank]],Stammdaten[Rank Verteilung Krümmung],0))</f>
        <v>#N/A</v>
      </c>
      <c r="U1018" t="e">
        <f>VLOOKUP(Tabelle10[[#This Row],[Rank]],Stammdaten[[Rank Verteilung Krümmung]:[Verteilung Krümmung]],2,FALSE)</f>
        <v>#N/A</v>
      </c>
      <c r="Z1018">
        <v>1009</v>
      </c>
      <c r="AA1018" t="e">
        <f>INDEX(Stammdaten[Ovalität (']0,1'])],MATCH(Tabelle1014[[#This Row],[Rank]],Stammdaten[Rank Verteilung Ovalität],0))</f>
        <v>#N/A</v>
      </c>
      <c r="AB1018" t="e">
        <f>VLOOKUP(Tabelle1014[[#This Row],[Rank]],Stammdaten[[Rank Verteilung Ovalität]:[Verteilung Ovalität]],2,FALSE)</f>
        <v>#N/A</v>
      </c>
    </row>
    <row r="1019" spans="5:28" x14ac:dyDescent="0.35">
      <c r="E1019">
        <v>1010</v>
      </c>
      <c r="F1019" t="e">
        <f>INDEX(Stammdaten[D Mitte mit Rinde (mm)],MATCH(Tabelle8[[#This Row],[Rank]],Stammdaten[Rank Verteilung D Mitte mit Rinde],0))</f>
        <v>#N/A</v>
      </c>
      <c r="G1019" t="e">
        <f>VLOOKUP(Tabelle8[[#This Row],[Rank]],Stammdaten[[Rank Verteilung D Mitte mit Rinde]:[Verteilung D Mitte mit Rinde]],2,FALSE)</f>
        <v>#N/A</v>
      </c>
      <c r="L1019">
        <v>1010</v>
      </c>
      <c r="M1019" t="e">
        <f>INDEX(Stammdaten[Abholzigkeit (mm/lfm)],MATCH(Tabelle9[[#This Row],[Rank]],Stammdaten[Rank Verteilung Abholzigkeit],0))</f>
        <v>#N/A</v>
      </c>
      <c r="N1019" t="e">
        <f>VLOOKUP(Tabelle9[[#This Row],[Rank]],Stammdaten[[Rank Verteilung Abholzigkeit]:[Verteilung Abholzigkeit]],2,FALSE)</f>
        <v>#N/A</v>
      </c>
      <c r="S1019">
        <v>1010</v>
      </c>
      <c r="T1019" t="e">
        <f>INDEX(Stammdaten[Krümmung (mm/lfm)],MATCH(Tabelle10[[#This Row],[Rank]],Stammdaten[Rank Verteilung Krümmung],0))</f>
        <v>#N/A</v>
      </c>
      <c r="U1019" t="e">
        <f>VLOOKUP(Tabelle10[[#This Row],[Rank]],Stammdaten[[Rank Verteilung Krümmung]:[Verteilung Krümmung]],2,FALSE)</f>
        <v>#N/A</v>
      </c>
      <c r="Z1019">
        <v>1010</v>
      </c>
      <c r="AA1019" t="e">
        <f>INDEX(Stammdaten[Ovalität (']0,1'])],MATCH(Tabelle1014[[#This Row],[Rank]],Stammdaten[Rank Verteilung Ovalität],0))</f>
        <v>#N/A</v>
      </c>
      <c r="AB1019" t="e">
        <f>VLOOKUP(Tabelle1014[[#This Row],[Rank]],Stammdaten[[Rank Verteilung Ovalität]:[Verteilung Ovalität]],2,FALSE)</f>
        <v>#N/A</v>
      </c>
    </row>
    <row r="1020" spans="5:28" x14ac:dyDescent="0.35">
      <c r="E1020">
        <v>1011</v>
      </c>
      <c r="F1020" t="e">
        <f>INDEX(Stammdaten[D Mitte mit Rinde (mm)],MATCH(Tabelle8[[#This Row],[Rank]],Stammdaten[Rank Verteilung D Mitte mit Rinde],0))</f>
        <v>#N/A</v>
      </c>
      <c r="G1020" t="e">
        <f>VLOOKUP(Tabelle8[[#This Row],[Rank]],Stammdaten[[Rank Verteilung D Mitte mit Rinde]:[Verteilung D Mitte mit Rinde]],2,FALSE)</f>
        <v>#N/A</v>
      </c>
      <c r="L1020">
        <v>1011</v>
      </c>
      <c r="M1020" t="e">
        <f>INDEX(Stammdaten[Abholzigkeit (mm/lfm)],MATCH(Tabelle9[[#This Row],[Rank]],Stammdaten[Rank Verteilung Abholzigkeit],0))</f>
        <v>#N/A</v>
      </c>
      <c r="N1020" t="e">
        <f>VLOOKUP(Tabelle9[[#This Row],[Rank]],Stammdaten[[Rank Verteilung Abholzigkeit]:[Verteilung Abholzigkeit]],2,FALSE)</f>
        <v>#N/A</v>
      </c>
      <c r="S1020">
        <v>1011</v>
      </c>
      <c r="T1020" t="e">
        <f>INDEX(Stammdaten[Krümmung (mm/lfm)],MATCH(Tabelle10[[#This Row],[Rank]],Stammdaten[Rank Verteilung Krümmung],0))</f>
        <v>#N/A</v>
      </c>
      <c r="U1020" t="e">
        <f>VLOOKUP(Tabelle10[[#This Row],[Rank]],Stammdaten[[Rank Verteilung Krümmung]:[Verteilung Krümmung]],2,FALSE)</f>
        <v>#N/A</v>
      </c>
      <c r="Z1020">
        <v>1011</v>
      </c>
      <c r="AA1020" t="e">
        <f>INDEX(Stammdaten[Ovalität (']0,1'])],MATCH(Tabelle1014[[#This Row],[Rank]],Stammdaten[Rank Verteilung Ovalität],0))</f>
        <v>#N/A</v>
      </c>
      <c r="AB1020" t="e">
        <f>VLOOKUP(Tabelle1014[[#This Row],[Rank]],Stammdaten[[Rank Verteilung Ovalität]:[Verteilung Ovalität]],2,FALSE)</f>
        <v>#N/A</v>
      </c>
    </row>
    <row r="1021" spans="5:28" x14ac:dyDescent="0.35">
      <c r="E1021">
        <v>1012</v>
      </c>
      <c r="F1021" t="e">
        <f>INDEX(Stammdaten[D Mitte mit Rinde (mm)],MATCH(Tabelle8[[#This Row],[Rank]],Stammdaten[Rank Verteilung D Mitte mit Rinde],0))</f>
        <v>#N/A</v>
      </c>
      <c r="G1021" t="e">
        <f>VLOOKUP(Tabelle8[[#This Row],[Rank]],Stammdaten[[Rank Verteilung D Mitte mit Rinde]:[Verteilung D Mitte mit Rinde]],2,FALSE)</f>
        <v>#N/A</v>
      </c>
      <c r="L1021">
        <v>1012</v>
      </c>
      <c r="M1021" t="e">
        <f>INDEX(Stammdaten[Abholzigkeit (mm/lfm)],MATCH(Tabelle9[[#This Row],[Rank]],Stammdaten[Rank Verteilung Abholzigkeit],0))</f>
        <v>#N/A</v>
      </c>
      <c r="N1021" t="e">
        <f>VLOOKUP(Tabelle9[[#This Row],[Rank]],Stammdaten[[Rank Verteilung Abholzigkeit]:[Verteilung Abholzigkeit]],2,FALSE)</f>
        <v>#N/A</v>
      </c>
      <c r="S1021">
        <v>1012</v>
      </c>
      <c r="T1021" t="e">
        <f>INDEX(Stammdaten[Krümmung (mm/lfm)],MATCH(Tabelle10[[#This Row],[Rank]],Stammdaten[Rank Verteilung Krümmung],0))</f>
        <v>#N/A</v>
      </c>
      <c r="U1021" t="e">
        <f>VLOOKUP(Tabelle10[[#This Row],[Rank]],Stammdaten[[Rank Verteilung Krümmung]:[Verteilung Krümmung]],2,FALSE)</f>
        <v>#N/A</v>
      </c>
      <c r="Z1021">
        <v>1012</v>
      </c>
      <c r="AA1021" t="e">
        <f>INDEX(Stammdaten[Ovalität (']0,1'])],MATCH(Tabelle1014[[#This Row],[Rank]],Stammdaten[Rank Verteilung Ovalität],0))</f>
        <v>#N/A</v>
      </c>
      <c r="AB1021" t="e">
        <f>VLOOKUP(Tabelle1014[[#This Row],[Rank]],Stammdaten[[Rank Verteilung Ovalität]:[Verteilung Ovalität]],2,FALSE)</f>
        <v>#N/A</v>
      </c>
    </row>
    <row r="1022" spans="5:28" x14ac:dyDescent="0.35">
      <c r="E1022">
        <v>1013</v>
      </c>
      <c r="F1022" t="e">
        <f>INDEX(Stammdaten[D Mitte mit Rinde (mm)],MATCH(Tabelle8[[#This Row],[Rank]],Stammdaten[Rank Verteilung D Mitte mit Rinde],0))</f>
        <v>#N/A</v>
      </c>
      <c r="G1022" t="e">
        <f>VLOOKUP(Tabelle8[[#This Row],[Rank]],Stammdaten[[Rank Verteilung D Mitte mit Rinde]:[Verteilung D Mitte mit Rinde]],2,FALSE)</f>
        <v>#N/A</v>
      </c>
      <c r="L1022">
        <v>1013</v>
      </c>
      <c r="M1022" t="e">
        <f>INDEX(Stammdaten[Abholzigkeit (mm/lfm)],MATCH(Tabelle9[[#This Row],[Rank]],Stammdaten[Rank Verteilung Abholzigkeit],0))</f>
        <v>#N/A</v>
      </c>
      <c r="N1022" t="e">
        <f>VLOOKUP(Tabelle9[[#This Row],[Rank]],Stammdaten[[Rank Verteilung Abholzigkeit]:[Verteilung Abholzigkeit]],2,FALSE)</f>
        <v>#N/A</v>
      </c>
      <c r="S1022">
        <v>1013</v>
      </c>
      <c r="T1022" t="e">
        <f>INDEX(Stammdaten[Krümmung (mm/lfm)],MATCH(Tabelle10[[#This Row],[Rank]],Stammdaten[Rank Verteilung Krümmung],0))</f>
        <v>#N/A</v>
      </c>
      <c r="U1022" t="e">
        <f>VLOOKUP(Tabelle10[[#This Row],[Rank]],Stammdaten[[Rank Verteilung Krümmung]:[Verteilung Krümmung]],2,FALSE)</f>
        <v>#N/A</v>
      </c>
      <c r="Z1022">
        <v>1013</v>
      </c>
      <c r="AA1022" t="e">
        <f>INDEX(Stammdaten[Ovalität (']0,1'])],MATCH(Tabelle1014[[#This Row],[Rank]],Stammdaten[Rank Verteilung Ovalität],0))</f>
        <v>#N/A</v>
      </c>
      <c r="AB1022" t="e">
        <f>VLOOKUP(Tabelle1014[[#This Row],[Rank]],Stammdaten[[Rank Verteilung Ovalität]:[Verteilung Ovalität]],2,FALSE)</f>
        <v>#N/A</v>
      </c>
    </row>
    <row r="1023" spans="5:28" x14ac:dyDescent="0.35">
      <c r="E1023">
        <v>1014</v>
      </c>
      <c r="F1023" t="e">
        <f>INDEX(Stammdaten[D Mitte mit Rinde (mm)],MATCH(Tabelle8[[#This Row],[Rank]],Stammdaten[Rank Verteilung D Mitte mit Rinde],0))</f>
        <v>#N/A</v>
      </c>
      <c r="G1023" t="e">
        <f>VLOOKUP(Tabelle8[[#This Row],[Rank]],Stammdaten[[Rank Verteilung D Mitte mit Rinde]:[Verteilung D Mitte mit Rinde]],2,FALSE)</f>
        <v>#N/A</v>
      </c>
      <c r="L1023">
        <v>1014</v>
      </c>
      <c r="M1023" t="e">
        <f>INDEX(Stammdaten[Abholzigkeit (mm/lfm)],MATCH(Tabelle9[[#This Row],[Rank]],Stammdaten[Rank Verteilung Abholzigkeit],0))</f>
        <v>#N/A</v>
      </c>
      <c r="N1023" t="e">
        <f>VLOOKUP(Tabelle9[[#This Row],[Rank]],Stammdaten[[Rank Verteilung Abholzigkeit]:[Verteilung Abholzigkeit]],2,FALSE)</f>
        <v>#N/A</v>
      </c>
      <c r="S1023">
        <v>1014</v>
      </c>
      <c r="T1023" t="e">
        <f>INDEX(Stammdaten[Krümmung (mm/lfm)],MATCH(Tabelle10[[#This Row],[Rank]],Stammdaten[Rank Verteilung Krümmung],0))</f>
        <v>#N/A</v>
      </c>
      <c r="U1023" t="e">
        <f>VLOOKUP(Tabelle10[[#This Row],[Rank]],Stammdaten[[Rank Verteilung Krümmung]:[Verteilung Krümmung]],2,FALSE)</f>
        <v>#N/A</v>
      </c>
      <c r="Z1023">
        <v>1014</v>
      </c>
      <c r="AA1023" t="e">
        <f>INDEX(Stammdaten[Ovalität (']0,1'])],MATCH(Tabelle1014[[#This Row],[Rank]],Stammdaten[Rank Verteilung Ovalität],0))</f>
        <v>#N/A</v>
      </c>
      <c r="AB1023" t="e">
        <f>VLOOKUP(Tabelle1014[[#This Row],[Rank]],Stammdaten[[Rank Verteilung Ovalität]:[Verteilung Ovalität]],2,FALSE)</f>
        <v>#N/A</v>
      </c>
    </row>
    <row r="1024" spans="5:28" x14ac:dyDescent="0.35">
      <c r="E1024">
        <v>1015</v>
      </c>
      <c r="F1024" t="e">
        <f>INDEX(Stammdaten[D Mitte mit Rinde (mm)],MATCH(Tabelle8[[#This Row],[Rank]],Stammdaten[Rank Verteilung D Mitte mit Rinde],0))</f>
        <v>#N/A</v>
      </c>
      <c r="G1024" t="e">
        <f>VLOOKUP(Tabelle8[[#This Row],[Rank]],Stammdaten[[Rank Verteilung D Mitte mit Rinde]:[Verteilung D Mitte mit Rinde]],2,FALSE)</f>
        <v>#N/A</v>
      </c>
      <c r="L1024">
        <v>1015</v>
      </c>
      <c r="M1024" t="e">
        <f>INDEX(Stammdaten[Abholzigkeit (mm/lfm)],MATCH(Tabelle9[[#This Row],[Rank]],Stammdaten[Rank Verteilung Abholzigkeit],0))</f>
        <v>#N/A</v>
      </c>
      <c r="N1024" t="e">
        <f>VLOOKUP(Tabelle9[[#This Row],[Rank]],Stammdaten[[Rank Verteilung Abholzigkeit]:[Verteilung Abholzigkeit]],2,FALSE)</f>
        <v>#N/A</v>
      </c>
      <c r="S1024">
        <v>1015</v>
      </c>
      <c r="T1024" t="e">
        <f>INDEX(Stammdaten[Krümmung (mm/lfm)],MATCH(Tabelle10[[#This Row],[Rank]],Stammdaten[Rank Verteilung Krümmung],0))</f>
        <v>#N/A</v>
      </c>
      <c r="U1024" t="e">
        <f>VLOOKUP(Tabelle10[[#This Row],[Rank]],Stammdaten[[Rank Verteilung Krümmung]:[Verteilung Krümmung]],2,FALSE)</f>
        <v>#N/A</v>
      </c>
      <c r="Z1024">
        <v>1015</v>
      </c>
      <c r="AA1024" t="e">
        <f>INDEX(Stammdaten[Ovalität (']0,1'])],MATCH(Tabelle1014[[#This Row],[Rank]],Stammdaten[Rank Verteilung Ovalität],0))</f>
        <v>#N/A</v>
      </c>
      <c r="AB1024" t="e">
        <f>VLOOKUP(Tabelle1014[[#This Row],[Rank]],Stammdaten[[Rank Verteilung Ovalität]:[Verteilung Ovalität]],2,FALSE)</f>
        <v>#N/A</v>
      </c>
    </row>
    <row r="1025" spans="5:28" x14ac:dyDescent="0.35">
      <c r="E1025">
        <v>1016</v>
      </c>
      <c r="F1025" t="e">
        <f>INDEX(Stammdaten[D Mitte mit Rinde (mm)],MATCH(Tabelle8[[#This Row],[Rank]],Stammdaten[Rank Verteilung D Mitte mit Rinde],0))</f>
        <v>#N/A</v>
      </c>
      <c r="G1025" t="e">
        <f>VLOOKUP(Tabelle8[[#This Row],[Rank]],Stammdaten[[Rank Verteilung D Mitte mit Rinde]:[Verteilung D Mitte mit Rinde]],2,FALSE)</f>
        <v>#N/A</v>
      </c>
      <c r="L1025">
        <v>1016</v>
      </c>
      <c r="M1025" t="e">
        <f>INDEX(Stammdaten[Abholzigkeit (mm/lfm)],MATCH(Tabelle9[[#This Row],[Rank]],Stammdaten[Rank Verteilung Abholzigkeit],0))</f>
        <v>#N/A</v>
      </c>
      <c r="N1025" t="e">
        <f>VLOOKUP(Tabelle9[[#This Row],[Rank]],Stammdaten[[Rank Verteilung Abholzigkeit]:[Verteilung Abholzigkeit]],2,FALSE)</f>
        <v>#N/A</v>
      </c>
      <c r="S1025">
        <v>1016</v>
      </c>
      <c r="T1025" t="e">
        <f>INDEX(Stammdaten[Krümmung (mm/lfm)],MATCH(Tabelle10[[#This Row],[Rank]],Stammdaten[Rank Verteilung Krümmung],0))</f>
        <v>#N/A</v>
      </c>
      <c r="U1025" t="e">
        <f>VLOOKUP(Tabelle10[[#This Row],[Rank]],Stammdaten[[Rank Verteilung Krümmung]:[Verteilung Krümmung]],2,FALSE)</f>
        <v>#N/A</v>
      </c>
      <c r="Z1025">
        <v>1016</v>
      </c>
      <c r="AA1025" t="e">
        <f>INDEX(Stammdaten[Ovalität (']0,1'])],MATCH(Tabelle1014[[#This Row],[Rank]],Stammdaten[Rank Verteilung Ovalität],0))</f>
        <v>#N/A</v>
      </c>
      <c r="AB1025" t="e">
        <f>VLOOKUP(Tabelle1014[[#This Row],[Rank]],Stammdaten[[Rank Verteilung Ovalität]:[Verteilung Ovalität]],2,FALSE)</f>
        <v>#N/A</v>
      </c>
    </row>
    <row r="1026" spans="5:28" x14ac:dyDescent="0.35">
      <c r="E1026">
        <v>1017</v>
      </c>
      <c r="F1026" t="e">
        <f>INDEX(Stammdaten[D Mitte mit Rinde (mm)],MATCH(Tabelle8[[#This Row],[Rank]],Stammdaten[Rank Verteilung D Mitte mit Rinde],0))</f>
        <v>#N/A</v>
      </c>
      <c r="G1026" t="e">
        <f>VLOOKUP(Tabelle8[[#This Row],[Rank]],Stammdaten[[Rank Verteilung D Mitte mit Rinde]:[Verteilung D Mitte mit Rinde]],2,FALSE)</f>
        <v>#N/A</v>
      </c>
      <c r="L1026">
        <v>1017</v>
      </c>
      <c r="M1026" t="e">
        <f>INDEX(Stammdaten[Abholzigkeit (mm/lfm)],MATCH(Tabelle9[[#This Row],[Rank]],Stammdaten[Rank Verteilung Abholzigkeit],0))</f>
        <v>#N/A</v>
      </c>
      <c r="N1026" t="e">
        <f>VLOOKUP(Tabelle9[[#This Row],[Rank]],Stammdaten[[Rank Verteilung Abholzigkeit]:[Verteilung Abholzigkeit]],2,FALSE)</f>
        <v>#N/A</v>
      </c>
      <c r="S1026">
        <v>1017</v>
      </c>
      <c r="T1026" t="e">
        <f>INDEX(Stammdaten[Krümmung (mm/lfm)],MATCH(Tabelle10[[#This Row],[Rank]],Stammdaten[Rank Verteilung Krümmung],0))</f>
        <v>#N/A</v>
      </c>
      <c r="U1026" t="e">
        <f>VLOOKUP(Tabelle10[[#This Row],[Rank]],Stammdaten[[Rank Verteilung Krümmung]:[Verteilung Krümmung]],2,FALSE)</f>
        <v>#N/A</v>
      </c>
      <c r="Z1026">
        <v>1017</v>
      </c>
      <c r="AA1026" t="e">
        <f>INDEX(Stammdaten[Ovalität (']0,1'])],MATCH(Tabelle1014[[#This Row],[Rank]],Stammdaten[Rank Verteilung Ovalität],0))</f>
        <v>#N/A</v>
      </c>
      <c r="AB1026" t="e">
        <f>VLOOKUP(Tabelle1014[[#This Row],[Rank]],Stammdaten[[Rank Verteilung Ovalität]:[Verteilung Ovalität]],2,FALSE)</f>
        <v>#N/A</v>
      </c>
    </row>
    <row r="1027" spans="5:28" x14ac:dyDescent="0.35">
      <c r="E1027">
        <v>1018</v>
      </c>
      <c r="F1027" t="e">
        <f>INDEX(Stammdaten[D Mitte mit Rinde (mm)],MATCH(Tabelle8[[#This Row],[Rank]],Stammdaten[Rank Verteilung D Mitte mit Rinde],0))</f>
        <v>#N/A</v>
      </c>
      <c r="G1027" t="e">
        <f>VLOOKUP(Tabelle8[[#This Row],[Rank]],Stammdaten[[Rank Verteilung D Mitte mit Rinde]:[Verteilung D Mitte mit Rinde]],2,FALSE)</f>
        <v>#N/A</v>
      </c>
      <c r="L1027">
        <v>1018</v>
      </c>
      <c r="M1027" t="e">
        <f>INDEX(Stammdaten[Abholzigkeit (mm/lfm)],MATCH(Tabelle9[[#This Row],[Rank]],Stammdaten[Rank Verteilung Abholzigkeit],0))</f>
        <v>#N/A</v>
      </c>
      <c r="N1027" t="e">
        <f>VLOOKUP(Tabelle9[[#This Row],[Rank]],Stammdaten[[Rank Verteilung Abholzigkeit]:[Verteilung Abholzigkeit]],2,FALSE)</f>
        <v>#N/A</v>
      </c>
      <c r="S1027">
        <v>1018</v>
      </c>
      <c r="T1027" t="e">
        <f>INDEX(Stammdaten[Krümmung (mm/lfm)],MATCH(Tabelle10[[#This Row],[Rank]],Stammdaten[Rank Verteilung Krümmung],0))</f>
        <v>#N/A</v>
      </c>
      <c r="U1027" t="e">
        <f>VLOOKUP(Tabelle10[[#This Row],[Rank]],Stammdaten[[Rank Verteilung Krümmung]:[Verteilung Krümmung]],2,FALSE)</f>
        <v>#N/A</v>
      </c>
      <c r="Z1027">
        <v>1018</v>
      </c>
      <c r="AA1027" t="e">
        <f>INDEX(Stammdaten[Ovalität (']0,1'])],MATCH(Tabelle1014[[#This Row],[Rank]],Stammdaten[Rank Verteilung Ovalität],0))</f>
        <v>#N/A</v>
      </c>
      <c r="AB1027" t="e">
        <f>VLOOKUP(Tabelle1014[[#This Row],[Rank]],Stammdaten[[Rank Verteilung Ovalität]:[Verteilung Ovalität]],2,FALSE)</f>
        <v>#N/A</v>
      </c>
    </row>
    <row r="1028" spans="5:28" x14ac:dyDescent="0.35">
      <c r="E1028">
        <v>1019</v>
      </c>
      <c r="F1028" t="e">
        <f>INDEX(Stammdaten[D Mitte mit Rinde (mm)],MATCH(Tabelle8[[#This Row],[Rank]],Stammdaten[Rank Verteilung D Mitte mit Rinde],0))</f>
        <v>#N/A</v>
      </c>
      <c r="G1028" t="e">
        <f>VLOOKUP(Tabelle8[[#This Row],[Rank]],Stammdaten[[Rank Verteilung D Mitte mit Rinde]:[Verteilung D Mitte mit Rinde]],2,FALSE)</f>
        <v>#N/A</v>
      </c>
      <c r="L1028">
        <v>1019</v>
      </c>
      <c r="M1028" t="e">
        <f>INDEX(Stammdaten[Abholzigkeit (mm/lfm)],MATCH(Tabelle9[[#This Row],[Rank]],Stammdaten[Rank Verteilung Abholzigkeit],0))</f>
        <v>#N/A</v>
      </c>
      <c r="N1028" t="e">
        <f>VLOOKUP(Tabelle9[[#This Row],[Rank]],Stammdaten[[Rank Verteilung Abholzigkeit]:[Verteilung Abholzigkeit]],2,FALSE)</f>
        <v>#N/A</v>
      </c>
      <c r="S1028">
        <v>1019</v>
      </c>
      <c r="T1028" t="e">
        <f>INDEX(Stammdaten[Krümmung (mm/lfm)],MATCH(Tabelle10[[#This Row],[Rank]],Stammdaten[Rank Verteilung Krümmung],0))</f>
        <v>#N/A</v>
      </c>
      <c r="U1028" t="e">
        <f>VLOOKUP(Tabelle10[[#This Row],[Rank]],Stammdaten[[Rank Verteilung Krümmung]:[Verteilung Krümmung]],2,FALSE)</f>
        <v>#N/A</v>
      </c>
      <c r="Z1028">
        <v>1019</v>
      </c>
      <c r="AA1028" t="e">
        <f>INDEX(Stammdaten[Ovalität (']0,1'])],MATCH(Tabelle1014[[#This Row],[Rank]],Stammdaten[Rank Verteilung Ovalität],0))</f>
        <v>#N/A</v>
      </c>
      <c r="AB1028" t="e">
        <f>VLOOKUP(Tabelle1014[[#This Row],[Rank]],Stammdaten[[Rank Verteilung Ovalität]:[Verteilung Ovalität]],2,FALSE)</f>
        <v>#N/A</v>
      </c>
    </row>
    <row r="1029" spans="5:28" x14ac:dyDescent="0.35">
      <c r="E1029">
        <v>1020</v>
      </c>
      <c r="F1029" t="e">
        <f>INDEX(Stammdaten[D Mitte mit Rinde (mm)],MATCH(Tabelle8[[#This Row],[Rank]],Stammdaten[Rank Verteilung D Mitte mit Rinde],0))</f>
        <v>#N/A</v>
      </c>
      <c r="G1029" t="e">
        <f>VLOOKUP(Tabelle8[[#This Row],[Rank]],Stammdaten[[Rank Verteilung D Mitte mit Rinde]:[Verteilung D Mitte mit Rinde]],2,FALSE)</f>
        <v>#N/A</v>
      </c>
      <c r="L1029">
        <v>1020</v>
      </c>
      <c r="M1029" t="e">
        <f>INDEX(Stammdaten[Abholzigkeit (mm/lfm)],MATCH(Tabelle9[[#This Row],[Rank]],Stammdaten[Rank Verteilung Abholzigkeit],0))</f>
        <v>#N/A</v>
      </c>
      <c r="N1029" t="e">
        <f>VLOOKUP(Tabelle9[[#This Row],[Rank]],Stammdaten[[Rank Verteilung Abholzigkeit]:[Verteilung Abholzigkeit]],2,FALSE)</f>
        <v>#N/A</v>
      </c>
      <c r="S1029">
        <v>1020</v>
      </c>
      <c r="T1029" t="e">
        <f>INDEX(Stammdaten[Krümmung (mm/lfm)],MATCH(Tabelle10[[#This Row],[Rank]],Stammdaten[Rank Verteilung Krümmung],0))</f>
        <v>#N/A</v>
      </c>
      <c r="U1029" t="e">
        <f>VLOOKUP(Tabelle10[[#This Row],[Rank]],Stammdaten[[Rank Verteilung Krümmung]:[Verteilung Krümmung]],2,FALSE)</f>
        <v>#N/A</v>
      </c>
      <c r="Z1029">
        <v>1020</v>
      </c>
      <c r="AA1029" t="e">
        <f>INDEX(Stammdaten[Ovalität (']0,1'])],MATCH(Tabelle1014[[#This Row],[Rank]],Stammdaten[Rank Verteilung Ovalität],0))</f>
        <v>#N/A</v>
      </c>
      <c r="AB1029" t="e">
        <f>VLOOKUP(Tabelle1014[[#This Row],[Rank]],Stammdaten[[Rank Verteilung Ovalität]:[Verteilung Ovalität]],2,FALSE)</f>
        <v>#N/A</v>
      </c>
    </row>
    <row r="1030" spans="5:28" x14ac:dyDescent="0.35">
      <c r="E1030">
        <v>1021</v>
      </c>
      <c r="F1030" t="e">
        <f>INDEX(Stammdaten[D Mitte mit Rinde (mm)],MATCH(Tabelle8[[#This Row],[Rank]],Stammdaten[Rank Verteilung D Mitte mit Rinde],0))</f>
        <v>#N/A</v>
      </c>
      <c r="G1030" t="e">
        <f>VLOOKUP(Tabelle8[[#This Row],[Rank]],Stammdaten[[Rank Verteilung D Mitte mit Rinde]:[Verteilung D Mitte mit Rinde]],2,FALSE)</f>
        <v>#N/A</v>
      </c>
      <c r="L1030">
        <v>1021</v>
      </c>
      <c r="M1030" t="e">
        <f>INDEX(Stammdaten[Abholzigkeit (mm/lfm)],MATCH(Tabelle9[[#This Row],[Rank]],Stammdaten[Rank Verteilung Abholzigkeit],0))</f>
        <v>#N/A</v>
      </c>
      <c r="N1030" t="e">
        <f>VLOOKUP(Tabelle9[[#This Row],[Rank]],Stammdaten[[Rank Verteilung Abholzigkeit]:[Verteilung Abholzigkeit]],2,FALSE)</f>
        <v>#N/A</v>
      </c>
      <c r="S1030">
        <v>1021</v>
      </c>
      <c r="T1030" t="e">
        <f>INDEX(Stammdaten[Krümmung (mm/lfm)],MATCH(Tabelle10[[#This Row],[Rank]],Stammdaten[Rank Verteilung Krümmung],0))</f>
        <v>#N/A</v>
      </c>
      <c r="U1030" t="e">
        <f>VLOOKUP(Tabelle10[[#This Row],[Rank]],Stammdaten[[Rank Verteilung Krümmung]:[Verteilung Krümmung]],2,FALSE)</f>
        <v>#N/A</v>
      </c>
      <c r="Z1030">
        <v>1021</v>
      </c>
      <c r="AA1030" t="e">
        <f>INDEX(Stammdaten[Ovalität (']0,1'])],MATCH(Tabelle1014[[#This Row],[Rank]],Stammdaten[Rank Verteilung Ovalität],0))</f>
        <v>#N/A</v>
      </c>
      <c r="AB1030" t="e">
        <f>VLOOKUP(Tabelle1014[[#This Row],[Rank]],Stammdaten[[Rank Verteilung Ovalität]:[Verteilung Ovalität]],2,FALSE)</f>
        <v>#N/A</v>
      </c>
    </row>
    <row r="1031" spans="5:28" x14ac:dyDescent="0.35">
      <c r="E1031">
        <v>1022</v>
      </c>
      <c r="F1031" t="e">
        <f>INDEX(Stammdaten[D Mitte mit Rinde (mm)],MATCH(Tabelle8[[#This Row],[Rank]],Stammdaten[Rank Verteilung D Mitte mit Rinde],0))</f>
        <v>#N/A</v>
      </c>
      <c r="G1031" t="e">
        <f>VLOOKUP(Tabelle8[[#This Row],[Rank]],Stammdaten[[Rank Verteilung D Mitte mit Rinde]:[Verteilung D Mitte mit Rinde]],2,FALSE)</f>
        <v>#N/A</v>
      </c>
      <c r="L1031">
        <v>1022</v>
      </c>
      <c r="M1031" t="e">
        <f>INDEX(Stammdaten[Abholzigkeit (mm/lfm)],MATCH(Tabelle9[[#This Row],[Rank]],Stammdaten[Rank Verteilung Abholzigkeit],0))</f>
        <v>#N/A</v>
      </c>
      <c r="N1031" t="e">
        <f>VLOOKUP(Tabelle9[[#This Row],[Rank]],Stammdaten[[Rank Verteilung Abholzigkeit]:[Verteilung Abholzigkeit]],2,FALSE)</f>
        <v>#N/A</v>
      </c>
      <c r="S1031">
        <v>1022</v>
      </c>
      <c r="T1031" t="e">
        <f>INDEX(Stammdaten[Krümmung (mm/lfm)],MATCH(Tabelle10[[#This Row],[Rank]],Stammdaten[Rank Verteilung Krümmung],0))</f>
        <v>#N/A</v>
      </c>
      <c r="U1031" t="e">
        <f>VLOOKUP(Tabelle10[[#This Row],[Rank]],Stammdaten[[Rank Verteilung Krümmung]:[Verteilung Krümmung]],2,FALSE)</f>
        <v>#N/A</v>
      </c>
      <c r="Z1031">
        <v>1022</v>
      </c>
      <c r="AA1031" t="e">
        <f>INDEX(Stammdaten[Ovalität (']0,1'])],MATCH(Tabelle1014[[#This Row],[Rank]],Stammdaten[Rank Verteilung Ovalität],0))</f>
        <v>#N/A</v>
      </c>
      <c r="AB1031" t="e">
        <f>VLOOKUP(Tabelle1014[[#This Row],[Rank]],Stammdaten[[Rank Verteilung Ovalität]:[Verteilung Ovalität]],2,FALSE)</f>
        <v>#N/A</v>
      </c>
    </row>
    <row r="1032" spans="5:28" x14ac:dyDescent="0.35">
      <c r="E1032">
        <v>1023</v>
      </c>
      <c r="F1032" t="e">
        <f>INDEX(Stammdaten[D Mitte mit Rinde (mm)],MATCH(Tabelle8[[#This Row],[Rank]],Stammdaten[Rank Verteilung D Mitte mit Rinde],0))</f>
        <v>#N/A</v>
      </c>
      <c r="G1032" t="e">
        <f>VLOOKUP(Tabelle8[[#This Row],[Rank]],Stammdaten[[Rank Verteilung D Mitte mit Rinde]:[Verteilung D Mitte mit Rinde]],2,FALSE)</f>
        <v>#N/A</v>
      </c>
      <c r="L1032">
        <v>1023</v>
      </c>
      <c r="M1032" t="e">
        <f>INDEX(Stammdaten[Abholzigkeit (mm/lfm)],MATCH(Tabelle9[[#This Row],[Rank]],Stammdaten[Rank Verteilung Abholzigkeit],0))</f>
        <v>#N/A</v>
      </c>
      <c r="N1032" t="e">
        <f>VLOOKUP(Tabelle9[[#This Row],[Rank]],Stammdaten[[Rank Verteilung Abholzigkeit]:[Verteilung Abholzigkeit]],2,FALSE)</f>
        <v>#N/A</v>
      </c>
      <c r="S1032">
        <v>1023</v>
      </c>
      <c r="T1032" t="e">
        <f>INDEX(Stammdaten[Krümmung (mm/lfm)],MATCH(Tabelle10[[#This Row],[Rank]],Stammdaten[Rank Verteilung Krümmung],0))</f>
        <v>#N/A</v>
      </c>
      <c r="U1032" t="e">
        <f>VLOOKUP(Tabelle10[[#This Row],[Rank]],Stammdaten[[Rank Verteilung Krümmung]:[Verteilung Krümmung]],2,FALSE)</f>
        <v>#N/A</v>
      </c>
      <c r="Z1032">
        <v>1023</v>
      </c>
      <c r="AA1032" t="e">
        <f>INDEX(Stammdaten[Ovalität (']0,1'])],MATCH(Tabelle1014[[#This Row],[Rank]],Stammdaten[Rank Verteilung Ovalität],0))</f>
        <v>#N/A</v>
      </c>
      <c r="AB1032" t="e">
        <f>VLOOKUP(Tabelle1014[[#This Row],[Rank]],Stammdaten[[Rank Verteilung Ovalität]:[Verteilung Ovalität]],2,FALSE)</f>
        <v>#N/A</v>
      </c>
    </row>
    <row r="1033" spans="5:28" x14ac:dyDescent="0.35">
      <c r="E1033">
        <v>1024</v>
      </c>
      <c r="F1033" t="e">
        <f>INDEX(Stammdaten[D Mitte mit Rinde (mm)],MATCH(Tabelle8[[#This Row],[Rank]],Stammdaten[Rank Verteilung D Mitte mit Rinde],0))</f>
        <v>#N/A</v>
      </c>
      <c r="G1033" t="e">
        <f>VLOOKUP(Tabelle8[[#This Row],[Rank]],Stammdaten[[Rank Verteilung D Mitte mit Rinde]:[Verteilung D Mitte mit Rinde]],2,FALSE)</f>
        <v>#N/A</v>
      </c>
      <c r="L1033">
        <v>1024</v>
      </c>
      <c r="M1033" t="e">
        <f>INDEX(Stammdaten[Abholzigkeit (mm/lfm)],MATCH(Tabelle9[[#This Row],[Rank]],Stammdaten[Rank Verteilung Abholzigkeit],0))</f>
        <v>#N/A</v>
      </c>
      <c r="N1033" t="e">
        <f>VLOOKUP(Tabelle9[[#This Row],[Rank]],Stammdaten[[Rank Verteilung Abholzigkeit]:[Verteilung Abholzigkeit]],2,FALSE)</f>
        <v>#N/A</v>
      </c>
      <c r="S1033">
        <v>1024</v>
      </c>
      <c r="T1033" t="e">
        <f>INDEX(Stammdaten[Krümmung (mm/lfm)],MATCH(Tabelle10[[#This Row],[Rank]],Stammdaten[Rank Verteilung Krümmung],0))</f>
        <v>#N/A</v>
      </c>
      <c r="U1033" t="e">
        <f>VLOOKUP(Tabelle10[[#This Row],[Rank]],Stammdaten[[Rank Verteilung Krümmung]:[Verteilung Krümmung]],2,FALSE)</f>
        <v>#N/A</v>
      </c>
      <c r="Z1033">
        <v>1024</v>
      </c>
      <c r="AA1033" t="e">
        <f>INDEX(Stammdaten[Ovalität (']0,1'])],MATCH(Tabelle1014[[#This Row],[Rank]],Stammdaten[Rank Verteilung Ovalität],0))</f>
        <v>#N/A</v>
      </c>
      <c r="AB1033" t="e">
        <f>VLOOKUP(Tabelle1014[[#This Row],[Rank]],Stammdaten[[Rank Verteilung Ovalität]:[Verteilung Ovalität]],2,FALSE)</f>
        <v>#N/A</v>
      </c>
    </row>
    <row r="1034" spans="5:28" x14ac:dyDescent="0.35">
      <c r="E1034">
        <v>1025</v>
      </c>
      <c r="F1034" t="e">
        <f>INDEX(Stammdaten[D Mitte mit Rinde (mm)],MATCH(Tabelle8[[#This Row],[Rank]],Stammdaten[Rank Verteilung D Mitte mit Rinde],0))</f>
        <v>#N/A</v>
      </c>
      <c r="G1034" t="e">
        <f>VLOOKUP(Tabelle8[[#This Row],[Rank]],Stammdaten[[Rank Verteilung D Mitte mit Rinde]:[Verteilung D Mitte mit Rinde]],2,FALSE)</f>
        <v>#N/A</v>
      </c>
      <c r="L1034">
        <v>1025</v>
      </c>
      <c r="M1034" t="e">
        <f>INDEX(Stammdaten[Abholzigkeit (mm/lfm)],MATCH(Tabelle9[[#This Row],[Rank]],Stammdaten[Rank Verteilung Abholzigkeit],0))</f>
        <v>#N/A</v>
      </c>
      <c r="N1034" t="e">
        <f>VLOOKUP(Tabelle9[[#This Row],[Rank]],Stammdaten[[Rank Verteilung Abholzigkeit]:[Verteilung Abholzigkeit]],2,FALSE)</f>
        <v>#N/A</v>
      </c>
      <c r="S1034">
        <v>1025</v>
      </c>
      <c r="T1034" t="e">
        <f>INDEX(Stammdaten[Krümmung (mm/lfm)],MATCH(Tabelle10[[#This Row],[Rank]],Stammdaten[Rank Verteilung Krümmung],0))</f>
        <v>#N/A</v>
      </c>
      <c r="U1034" t="e">
        <f>VLOOKUP(Tabelle10[[#This Row],[Rank]],Stammdaten[[Rank Verteilung Krümmung]:[Verteilung Krümmung]],2,FALSE)</f>
        <v>#N/A</v>
      </c>
      <c r="Z1034">
        <v>1025</v>
      </c>
      <c r="AA1034" t="e">
        <f>INDEX(Stammdaten[Ovalität (']0,1'])],MATCH(Tabelle1014[[#This Row],[Rank]],Stammdaten[Rank Verteilung Ovalität],0))</f>
        <v>#N/A</v>
      </c>
      <c r="AB1034" t="e">
        <f>VLOOKUP(Tabelle1014[[#This Row],[Rank]],Stammdaten[[Rank Verteilung Ovalität]:[Verteilung Ovalität]],2,FALSE)</f>
        <v>#N/A</v>
      </c>
    </row>
    <row r="1035" spans="5:28" x14ac:dyDescent="0.35">
      <c r="E1035">
        <v>1026</v>
      </c>
      <c r="F1035" t="e">
        <f>INDEX(Stammdaten[D Mitte mit Rinde (mm)],MATCH(Tabelle8[[#This Row],[Rank]],Stammdaten[Rank Verteilung D Mitte mit Rinde],0))</f>
        <v>#N/A</v>
      </c>
      <c r="G1035" t="e">
        <f>VLOOKUP(Tabelle8[[#This Row],[Rank]],Stammdaten[[Rank Verteilung D Mitte mit Rinde]:[Verteilung D Mitte mit Rinde]],2,FALSE)</f>
        <v>#N/A</v>
      </c>
      <c r="L1035">
        <v>1026</v>
      </c>
      <c r="M1035" t="e">
        <f>INDEX(Stammdaten[Abholzigkeit (mm/lfm)],MATCH(Tabelle9[[#This Row],[Rank]],Stammdaten[Rank Verteilung Abholzigkeit],0))</f>
        <v>#N/A</v>
      </c>
      <c r="N1035" t="e">
        <f>VLOOKUP(Tabelle9[[#This Row],[Rank]],Stammdaten[[Rank Verteilung Abholzigkeit]:[Verteilung Abholzigkeit]],2,FALSE)</f>
        <v>#N/A</v>
      </c>
      <c r="S1035">
        <v>1026</v>
      </c>
      <c r="T1035" t="e">
        <f>INDEX(Stammdaten[Krümmung (mm/lfm)],MATCH(Tabelle10[[#This Row],[Rank]],Stammdaten[Rank Verteilung Krümmung],0))</f>
        <v>#N/A</v>
      </c>
      <c r="U1035" t="e">
        <f>VLOOKUP(Tabelle10[[#This Row],[Rank]],Stammdaten[[Rank Verteilung Krümmung]:[Verteilung Krümmung]],2,FALSE)</f>
        <v>#N/A</v>
      </c>
      <c r="Z1035">
        <v>1026</v>
      </c>
      <c r="AA1035" t="e">
        <f>INDEX(Stammdaten[Ovalität (']0,1'])],MATCH(Tabelle1014[[#This Row],[Rank]],Stammdaten[Rank Verteilung Ovalität],0))</f>
        <v>#N/A</v>
      </c>
      <c r="AB1035" t="e">
        <f>VLOOKUP(Tabelle1014[[#This Row],[Rank]],Stammdaten[[Rank Verteilung Ovalität]:[Verteilung Ovalität]],2,FALSE)</f>
        <v>#N/A</v>
      </c>
    </row>
    <row r="1036" spans="5:28" x14ac:dyDescent="0.35">
      <c r="E1036">
        <v>1027</v>
      </c>
      <c r="F1036" t="e">
        <f>INDEX(Stammdaten[D Mitte mit Rinde (mm)],MATCH(Tabelle8[[#This Row],[Rank]],Stammdaten[Rank Verteilung D Mitte mit Rinde],0))</f>
        <v>#N/A</v>
      </c>
      <c r="G1036" t="e">
        <f>VLOOKUP(Tabelle8[[#This Row],[Rank]],Stammdaten[[Rank Verteilung D Mitte mit Rinde]:[Verteilung D Mitte mit Rinde]],2,FALSE)</f>
        <v>#N/A</v>
      </c>
      <c r="L1036">
        <v>1027</v>
      </c>
      <c r="M1036" t="e">
        <f>INDEX(Stammdaten[Abholzigkeit (mm/lfm)],MATCH(Tabelle9[[#This Row],[Rank]],Stammdaten[Rank Verteilung Abholzigkeit],0))</f>
        <v>#N/A</v>
      </c>
      <c r="N1036" t="e">
        <f>VLOOKUP(Tabelle9[[#This Row],[Rank]],Stammdaten[[Rank Verteilung Abholzigkeit]:[Verteilung Abholzigkeit]],2,FALSE)</f>
        <v>#N/A</v>
      </c>
      <c r="S1036">
        <v>1027</v>
      </c>
      <c r="T1036" t="e">
        <f>INDEX(Stammdaten[Krümmung (mm/lfm)],MATCH(Tabelle10[[#This Row],[Rank]],Stammdaten[Rank Verteilung Krümmung],0))</f>
        <v>#N/A</v>
      </c>
      <c r="U1036" t="e">
        <f>VLOOKUP(Tabelle10[[#This Row],[Rank]],Stammdaten[[Rank Verteilung Krümmung]:[Verteilung Krümmung]],2,FALSE)</f>
        <v>#N/A</v>
      </c>
      <c r="Z1036">
        <v>1027</v>
      </c>
      <c r="AA1036" t="e">
        <f>INDEX(Stammdaten[Ovalität (']0,1'])],MATCH(Tabelle1014[[#This Row],[Rank]],Stammdaten[Rank Verteilung Ovalität],0))</f>
        <v>#N/A</v>
      </c>
      <c r="AB1036" t="e">
        <f>VLOOKUP(Tabelle1014[[#This Row],[Rank]],Stammdaten[[Rank Verteilung Ovalität]:[Verteilung Ovalität]],2,FALSE)</f>
        <v>#N/A</v>
      </c>
    </row>
    <row r="1037" spans="5:28" x14ac:dyDescent="0.35">
      <c r="E1037">
        <v>1028</v>
      </c>
      <c r="F1037" t="e">
        <f>INDEX(Stammdaten[D Mitte mit Rinde (mm)],MATCH(Tabelle8[[#This Row],[Rank]],Stammdaten[Rank Verteilung D Mitte mit Rinde],0))</f>
        <v>#N/A</v>
      </c>
      <c r="G1037" t="e">
        <f>VLOOKUP(Tabelle8[[#This Row],[Rank]],Stammdaten[[Rank Verteilung D Mitte mit Rinde]:[Verteilung D Mitte mit Rinde]],2,FALSE)</f>
        <v>#N/A</v>
      </c>
      <c r="L1037">
        <v>1028</v>
      </c>
      <c r="M1037" t="e">
        <f>INDEX(Stammdaten[Abholzigkeit (mm/lfm)],MATCH(Tabelle9[[#This Row],[Rank]],Stammdaten[Rank Verteilung Abholzigkeit],0))</f>
        <v>#N/A</v>
      </c>
      <c r="N1037" t="e">
        <f>VLOOKUP(Tabelle9[[#This Row],[Rank]],Stammdaten[[Rank Verteilung Abholzigkeit]:[Verteilung Abholzigkeit]],2,FALSE)</f>
        <v>#N/A</v>
      </c>
      <c r="S1037">
        <v>1028</v>
      </c>
      <c r="T1037" t="e">
        <f>INDEX(Stammdaten[Krümmung (mm/lfm)],MATCH(Tabelle10[[#This Row],[Rank]],Stammdaten[Rank Verteilung Krümmung],0))</f>
        <v>#N/A</v>
      </c>
      <c r="U1037" t="e">
        <f>VLOOKUP(Tabelle10[[#This Row],[Rank]],Stammdaten[[Rank Verteilung Krümmung]:[Verteilung Krümmung]],2,FALSE)</f>
        <v>#N/A</v>
      </c>
      <c r="Z1037">
        <v>1028</v>
      </c>
      <c r="AA1037" t="e">
        <f>INDEX(Stammdaten[Ovalität (']0,1'])],MATCH(Tabelle1014[[#This Row],[Rank]],Stammdaten[Rank Verteilung Ovalität],0))</f>
        <v>#N/A</v>
      </c>
      <c r="AB1037" t="e">
        <f>VLOOKUP(Tabelle1014[[#This Row],[Rank]],Stammdaten[[Rank Verteilung Ovalität]:[Verteilung Ovalität]],2,FALSE)</f>
        <v>#N/A</v>
      </c>
    </row>
    <row r="1038" spans="5:28" x14ac:dyDescent="0.35">
      <c r="E1038">
        <v>1029</v>
      </c>
      <c r="F1038" t="e">
        <f>INDEX(Stammdaten[D Mitte mit Rinde (mm)],MATCH(Tabelle8[[#This Row],[Rank]],Stammdaten[Rank Verteilung D Mitte mit Rinde],0))</f>
        <v>#N/A</v>
      </c>
      <c r="G1038" t="e">
        <f>VLOOKUP(Tabelle8[[#This Row],[Rank]],Stammdaten[[Rank Verteilung D Mitte mit Rinde]:[Verteilung D Mitte mit Rinde]],2,FALSE)</f>
        <v>#N/A</v>
      </c>
      <c r="L1038">
        <v>1029</v>
      </c>
      <c r="M1038" t="e">
        <f>INDEX(Stammdaten[Abholzigkeit (mm/lfm)],MATCH(Tabelle9[[#This Row],[Rank]],Stammdaten[Rank Verteilung Abholzigkeit],0))</f>
        <v>#N/A</v>
      </c>
      <c r="N1038" t="e">
        <f>VLOOKUP(Tabelle9[[#This Row],[Rank]],Stammdaten[[Rank Verteilung Abholzigkeit]:[Verteilung Abholzigkeit]],2,FALSE)</f>
        <v>#N/A</v>
      </c>
      <c r="S1038">
        <v>1029</v>
      </c>
      <c r="T1038" t="e">
        <f>INDEX(Stammdaten[Krümmung (mm/lfm)],MATCH(Tabelle10[[#This Row],[Rank]],Stammdaten[Rank Verteilung Krümmung],0))</f>
        <v>#N/A</v>
      </c>
      <c r="U1038" t="e">
        <f>VLOOKUP(Tabelle10[[#This Row],[Rank]],Stammdaten[[Rank Verteilung Krümmung]:[Verteilung Krümmung]],2,FALSE)</f>
        <v>#N/A</v>
      </c>
      <c r="Z1038">
        <v>1029</v>
      </c>
      <c r="AA1038" t="e">
        <f>INDEX(Stammdaten[Ovalität (']0,1'])],MATCH(Tabelle1014[[#This Row],[Rank]],Stammdaten[Rank Verteilung Ovalität],0))</f>
        <v>#N/A</v>
      </c>
      <c r="AB1038" t="e">
        <f>VLOOKUP(Tabelle1014[[#This Row],[Rank]],Stammdaten[[Rank Verteilung Ovalität]:[Verteilung Ovalität]],2,FALSE)</f>
        <v>#N/A</v>
      </c>
    </row>
    <row r="1039" spans="5:28" x14ac:dyDescent="0.35">
      <c r="E1039">
        <v>1030</v>
      </c>
      <c r="F1039" t="e">
        <f>INDEX(Stammdaten[D Mitte mit Rinde (mm)],MATCH(Tabelle8[[#This Row],[Rank]],Stammdaten[Rank Verteilung D Mitte mit Rinde],0))</f>
        <v>#N/A</v>
      </c>
      <c r="G1039" t="e">
        <f>VLOOKUP(Tabelle8[[#This Row],[Rank]],Stammdaten[[Rank Verteilung D Mitte mit Rinde]:[Verteilung D Mitte mit Rinde]],2,FALSE)</f>
        <v>#N/A</v>
      </c>
      <c r="L1039">
        <v>1030</v>
      </c>
      <c r="M1039" t="e">
        <f>INDEX(Stammdaten[Abholzigkeit (mm/lfm)],MATCH(Tabelle9[[#This Row],[Rank]],Stammdaten[Rank Verteilung Abholzigkeit],0))</f>
        <v>#N/A</v>
      </c>
      <c r="N1039" t="e">
        <f>VLOOKUP(Tabelle9[[#This Row],[Rank]],Stammdaten[[Rank Verteilung Abholzigkeit]:[Verteilung Abholzigkeit]],2,FALSE)</f>
        <v>#N/A</v>
      </c>
      <c r="S1039">
        <v>1030</v>
      </c>
      <c r="T1039" t="e">
        <f>INDEX(Stammdaten[Krümmung (mm/lfm)],MATCH(Tabelle10[[#This Row],[Rank]],Stammdaten[Rank Verteilung Krümmung],0))</f>
        <v>#N/A</v>
      </c>
      <c r="U1039" t="e">
        <f>VLOOKUP(Tabelle10[[#This Row],[Rank]],Stammdaten[[Rank Verteilung Krümmung]:[Verteilung Krümmung]],2,FALSE)</f>
        <v>#N/A</v>
      </c>
      <c r="Z1039">
        <v>1030</v>
      </c>
      <c r="AA1039" t="e">
        <f>INDEX(Stammdaten[Ovalität (']0,1'])],MATCH(Tabelle1014[[#This Row],[Rank]],Stammdaten[Rank Verteilung Ovalität],0))</f>
        <v>#N/A</v>
      </c>
      <c r="AB1039" t="e">
        <f>VLOOKUP(Tabelle1014[[#This Row],[Rank]],Stammdaten[[Rank Verteilung Ovalität]:[Verteilung Ovalität]],2,FALSE)</f>
        <v>#N/A</v>
      </c>
    </row>
    <row r="1040" spans="5:28" x14ac:dyDescent="0.35">
      <c r="E1040">
        <v>1031</v>
      </c>
      <c r="F1040" t="e">
        <f>INDEX(Stammdaten[D Mitte mit Rinde (mm)],MATCH(Tabelle8[[#This Row],[Rank]],Stammdaten[Rank Verteilung D Mitte mit Rinde],0))</f>
        <v>#N/A</v>
      </c>
      <c r="G1040" t="e">
        <f>VLOOKUP(Tabelle8[[#This Row],[Rank]],Stammdaten[[Rank Verteilung D Mitte mit Rinde]:[Verteilung D Mitte mit Rinde]],2,FALSE)</f>
        <v>#N/A</v>
      </c>
      <c r="L1040">
        <v>1031</v>
      </c>
      <c r="M1040" t="e">
        <f>INDEX(Stammdaten[Abholzigkeit (mm/lfm)],MATCH(Tabelle9[[#This Row],[Rank]],Stammdaten[Rank Verteilung Abholzigkeit],0))</f>
        <v>#N/A</v>
      </c>
      <c r="N1040" t="e">
        <f>VLOOKUP(Tabelle9[[#This Row],[Rank]],Stammdaten[[Rank Verteilung Abholzigkeit]:[Verteilung Abholzigkeit]],2,FALSE)</f>
        <v>#N/A</v>
      </c>
      <c r="S1040">
        <v>1031</v>
      </c>
      <c r="T1040" t="e">
        <f>INDEX(Stammdaten[Krümmung (mm/lfm)],MATCH(Tabelle10[[#This Row],[Rank]],Stammdaten[Rank Verteilung Krümmung],0))</f>
        <v>#N/A</v>
      </c>
      <c r="U1040" t="e">
        <f>VLOOKUP(Tabelle10[[#This Row],[Rank]],Stammdaten[[Rank Verteilung Krümmung]:[Verteilung Krümmung]],2,FALSE)</f>
        <v>#N/A</v>
      </c>
      <c r="Z1040">
        <v>1031</v>
      </c>
      <c r="AA1040" t="e">
        <f>INDEX(Stammdaten[Ovalität (']0,1'])],MATCH(Tabelle1014[[#This Row],[Rank]],Stammdaten[Rank Verteilung Ovalität],0))</f>
        <v>#N/A</v>
      </c>
      <c r="AB1040" t="e">
        <f>VLOOKUP(Tabelle1014[[#This Row],[Rank]],Stammdaten[[Rank Verteilung Ovalität]:[Verteilung Ovalität]],2,FALSE)</f>
        <v>#N/A</v>
      </c>
    </row>
    <row r="1041" spans="5:28" x14ac:dyDescent="0.35">
      <c r="E1041">
        <v>1032</v>
      </c>
      <c r="F1041" t="e">
        <f>INDEX(Stammdaten[D Mitte mit Rinde (mm)],MATCH(Tabelle8[[#This Row],[Rank]],Stammdaten[Rank Verteilung D Mitte mit Rinde],0))</f>
        <v>#N/A</v>
      </c>
      <c r="G1041" t="e">
        <f>VLOOKUP(Tabelle8[[#This Row],[Rank]],Stammdaten[[Rank Verteilung D Mitte mit Rinde]:[Verteilung D Mitte mit Rinde]],2,FALSE)</f>
        <v>#N/A</v>
      </c>
      <c r="L1041">
        <v>1032</v>
      </c>
      <c r="M1041" t="e">
        <f>INDEX(Stammdaten[Abholzigkeit (mm/lfm)],MATCH(Tabelle9[[#This Row],[Rank]],Stammdaten[Rank Verteilung Abholzigkeit],0))</f>
        <v>#N/A</v>
      </c>
      <c r="N1041" t="e">
        <f>VLOOKUP(Tabelle9[[#This Row],[Rank]],Stammdaten[[Rank Verteilung Abholzigkeit]:[Verteilung Abholzigkeit]],2,FALSE)</f>
        <v>#N/A</v>
      </c>
      <c r="S1041">
        <v>1032</v>
      </c>
      <c r="T1041" t="e">
        <f>INDEX(Stammdaten[Krümmung (mm/lfm)],MATCH(Tabelle10[[#This Row],[Rank]],Stammdaten[Rank Verteilung Krümmung],0))</f>
        <v>#N/A</v>
      </c>
      <c r="U1041" t="e">
        <f>VLOOKUP(Tabelle10[[#This Row],[Rank]],Stammdaten[[Rank Verteilung Krümmung]:[Verteilung Krümmung]],2,FALSE)</f>
        <v>#N/A</v>
      </c>
      <c r="Z1041">
        <v>1032</v>
      </c>
      <c r="AA1041" t="e">
        <f>INDEX(Stammdaten[Ovalität (']0,1'])],MATCH(Tabelle1014[[#This Row],[Rank]],Stammdaten[Rank Verteilung Ovalität],0))</f>
        <v>#N/A</v>
      </c>
      <c r="AB1041" t="e">
        <f>VLOOKUP(Tabelle1014[[#This Row],[Rank]],Stammdaten[[Rank Verteilung Ovalität]:[Verteilung Ovalität]],2,FALSE)</f>
        <v>#N/A</v>
      </c>
    </row>
    <row r="1042" spans="5:28" x14ac:dyDescent="0.35">
      <c r="E1042">
        <v>1033</v>
      </c>
      <c r="F1042" t="e">
        <f>INDEX(Stammdaten[D Mitte mit Rinde (mm)],MATCH(Tabelle8[[#This Row],[Rank]],Stammdaten[Rank Verteilung D Mitte mit Rinde],0))</f>
        <v>#N/A</v>
      </c>
      <c r="G1042" t="e">
        <f>VLOOKUP(Tabelle8[[#This Row],[Rank]],Stammdaten[[Rank Verteilung D Mitte mit Rinde]:[Verteilung D Mitte mit Rinde]],2,FALSE)</f>
        <v>#N/A</v>
      </c>
      <c r="L1042">
        <v>1033</v>
      </c>
      <c r="M1042" t="e">
        <f>INDEX(Stammdaten[Abholzigkeit (mm/lfm)],MATCH(Tabelle9[[#This Row],[Rank]],Stammdaten[Rank Verteilung Abholzigkeit],0))</f>
        <v>#N/A</v>
      </c>
      <c r="N1042" t="e">
        <f>VLOOKUP(Tabelle9[[#This Row],[Rank]],Stammdaten[[Rank Verteilung Abholzigkeit]:[Verteilung Abholzigkeit]],2,FALSE)</f>
        <v>#N/A</v>
      </c>
      <c r="S1042">
        <v>1033</v>
      </c>
      <c r="T1042" t="e">
        <f>INDEX(Stammdaten[Krümmung (mm/lfm)],MATCH(Tabelle10[[#This Row],[Rank]],Stammdaten[Rank Verteilung Krümmung],0))</f>
        <v>#N/A</v>
      </c>
      <c r="U1042" t="e">
        <f>VLOOKUP(Tabelle10[[#This Row],[Rank]],Stammdaten[[Rank Verteilung Krümmung]:[Verteilung Krümmung]],2,FALSE)</f>
        <v>#N/A</v>
      </c>
      <c r="Z1042">
        <v>1033</v>
      </c>
      <c r="AA1042" t="e">
        <f>INDEX(Stammdaten[Ovalität (']0,1'])],MATCH(Tabelle1014[[#This Row],[Rank]],Stammdaten[Rank Verteilung Ovalität],0))</f>
        <v>#N/A</v>
      </c>
      <c r="AB1042" t="e">
        <f>VLOOKUP(Tabelle1014[[#This Row],[Rank]],Stammdaten[[Rank Verteilung Ovalität]:[Verteilung Ovalität]],2,FALSE)</f>
        <v>#N/A</v>
      </c>
    </row>
    <row r="1043" spans="5:28" x14ac:dyDescent="0.35">
      <c r="E1043">
        <v>1034</v>
      </c>
      <c r="F1043" t="e">
        <f>INDEX(Stammdaten[D Mitte mit Rinde (mm)],MATCH(Tabelle8[[#This Row],[Rank]],Stammdaten[Rank Verteilung D Mitte mit Rinde],0))</f>
        <v>#N/A</v>
      </c>
      <c r="G1043" t="e">
        <f>VLOOKUP(Tabelle8[[#This Row],[Rank]],Stammdaten[[Rank Verteilung D Mitte mit Rinde]:[Verteilung D Mitte mit Rinde]],2,FALSE)</f>
        <v>#N/A</v>
      </c>
      <c r="L1043">
        <v>1034</v>
      </c>
      <c r="M1043" t="e">
        <f>INDEX(Stammdaten[Abholzigkeit (mm/lfm)],MATCH(Tabelle9[[#This Row],[Rank]],Stammdaten[Rank Verteilung Abholzigkeit],0))</f>
        <v>#N/A</v>
      </c>
      <c r="N1043" t="e">
        <f>VLOOKUP(Tabelle9[[#This Row],[Rank]],Stammdaten[[Rank Verteilung Abholzigkeit]:[Verteilung Abholzigkeit]],2,FALSE)</f>
        <v>#N/A</v>
      </c>
      <c r="S1043">
        <v>1034</v>
      </c>
      <c r="T1043" t="e">
        <f>INDEX(Stammdaten[Krümmung (mm/lfm)],MATCH(Tabelle10[[#This Row],[Rank]],Stammdaten[Rank Verteilung Krümmung],0))</f>
        <v>#N/A</v>
      </c>
      <c r="U1043" t="e">
        <f>VLOOKUP(Tabelle10[[#This Row],[Rank]],Stammdaten[[Rank Verteilung Krümmung]:[Verteilung Krümmung]],2,FALSE)</f>
        <v>#N/A</v>
      </c>
      <c r="Z1043">
        <v>1034</v>
      </c>
      <c r="AA1043" t="e">
        <f>INDEX(Stammdaten[Ovalität (']0,1'])],MATCH(Tabelle1014[[#This Row],[Rank]],Stammdaten[Rank Verteilung Ovalität],0))</f>
        <v>#N/A</v>
      </c>
      <c r="AB1043" t="e">
        <f>VLOOKUP(Tabelle1014[[#This Row],[Rank]],Stammdaten[[Rank Verteilung Ovalität]:[Verteilung Ovalität]],2,FALSE)</f>
        <v>#N/A</v>
      </c>
    </row>
    <row r="1044" spans="5:28" x14ac:dyDescent="0.35">
      <c r="E1044">
        <v>1035</v>
      </c>
      <c r="F1044" t="e">
        <f>INDEX(Stammdaten[D Mitte mit Rinde (mm)],MATCH(Tabelle8[[#This Row],[Rank]],Stammdaten[Rank Verteilung D Mitte mit Rinde],0))</f>
        <v>#N/A</v>
      </c>
      <c r="G1044" t="e">
        <f>VLOOKUP(Tabelle8[[#This Row],[Rank]],Stammdaten[[Rank Verteilung D Mitte mit Rinde]:[Verteilung D Mitte mit Rinde]],2,FALSE)</f>
        <v>#N/A</v>
      </c>
      <c r="L1044">
        <v>1035</v>
      </c>
      <c r="M1044" t="e">
        <f>INDEX(Stammdaten[Abholzigkeit (mm/lfm)],MATCH(Tabelle9[[#This Row],[Rank]],Stammdaten[Rank Verteilung Abholzigkeit],0))</f>
        <v>#N/A</v>
      </c>
      <c r="N1044" t="e">
        <f>VLOOKUP(Tabelle9[[#This Row],[Rank]],Stammdaten[[Rank Verteilung Abholzigkeit]:[Verteilung Abholzigkeit]],2,FALSE)</f>
        <v>#N/A</v>
      </c>
      <c r="S1044">
        <v>1035</v>
      </c>
      <c r="T1044" t="e">
        <f>INDEX(Stammdaten[Krümmung (mm/lfm)],MATCH(Tabelle10[[#This Row],[Rank]],Stammdaten[Rank Verteilung Krümmung],0))</f>
        <v>#N/A</v>
      </c>
      <c r="U1044" t="e">
        <f>VLOOKUP(Tabelle10[[#This Row],[Rank]],Stammdaten[[Rank Verteilung Krümmung]:[Verteilung Krümmung]],2,FALSE)</f>
        <v>#N/A</v>
      </c>
      <c r="Z1044">
        <v>1035</v>
      </c>
      <c r="AA1044" t="e">
        <f>INDEX(Stammdaten[Ovalität (']0,1'])],MATCH(Tabelle1014[[#This Row],[Rank]],Stammdaten[Rank Verteilung Ovalität],0))</f>
        <v>#N/A</v>
      </c>
      <c r="AB1044" t="e">
        <f>VLOOKUP(Tabelle1014[[#This Row],[Rank]],Stammdaten[[Rank Verteilung Ovalität]:[Verteilung Ovalität]],2,FALSE)</f>
        <v>#N/A</v>
      </c>
    </row>
    <row r="1045" spans="5:28" x14ac:dyDescent="0.35">
      <c r="E1045">
        <v>1036</v>
      </c>
      <c r="F1045" t="e">
        <f>INDEX(Stammdaten[D Mitte mit Rinde (mm)],MATCH(Tabelle8[[#This Row],[Rank]],Stammdaten[Rank Verteilung D Mitte mit Rinde],0))</f>
        <v>#N/A</v>
      </c>
      <c r="G1045" t="e">
        <f>VLOOKUP(Tabelle8[[#This Row],[Rank]],Stammdaten[[Rank Verteilung D Mitte mit Rinde]:[Verteilung D Mitte mit Rinde]],2,FALSE)</f>
        <v>#N/A</v>
      </c>
      <c r="L1045">
        <v>1036</v>
      </c>
      <c r="M1045" t="e">
        <f>INDEX(Stammdaten[Abholzigkeit (mm/lfm)],MATCH(Tabelle9[[#This Row],[Rank]],Stammdaten[Rank Verteilung Abholzigkeit],0))</f>
        <v>#N/A</v>
      </c>
      <c r="N1045" t="e">
        <f>VLOOKUP(Tabelle9[[#This Row],[Rank]],Stammdaten[[Rank Verteilung Abholzigkeit]:[Verteilung Abholzigkeit]],2,FALSE)</f>
        <v>#N/A</v>
      </c>
      <c r="S1045">
        <v>1036</v>
      </c>
      <c r="T1045" t="e">
        <f>INDEX(Stammdaten[Krümmung (mm/lfm)],MATCH(Tabelle10[[#This Row],[Rank]],Stammdaten[Rank Verteilung Krümmung],0))</f>
        <v>#N/A</v>
      </c>
      <c r="U1045" t="e">
        <f>VLOOKUP(Tabelle10[[#This Row],[Rank]],Stammdaten[[Rank Verteilung Krümmung]:[Verteilung Krümmung]],2,FALSE)</f>
        <v>#N/A</v>
      </c>
      <c r="Z1045">
        <v>1036</v>
      </c>
      <c r="AA1045" t="e">
        <f>INDEX(Stammdaten[Ovalität (']0,1'])],MATCH(Tabelle1014[[#This Row],[Rank]],Stammdaten[Rank Verteilung Ovalität],0))</f>
        <v>#N/A</v>
      </c>
      <c r="AB1045" t="e">
        <f>VLOOKUP(Tabelle1014[[#This Row],[Rank]],Stammdaten[[Rank Verteilung Ovalität]:[Verteilung Ovalität]],2,FALSE)</f>
        <v>#N/A</v>
      </c>
    </row>
    <row r="1046" spans="5:28" x14ac:dyDescent="0.35">
      <c r="E1046">
        <v>1037</v>
      </c>
      <c r="F1046" t="e">
        <f>INDEX(Stammdaten[D Mitte mit Rinde (mm)],MATCH(Tabelle8[[#This Row],[Rank]],Stammdaten[Rank Verteilung D Mitte mit Rinde],0))</f>
        <v>#N/A</v>
      </c>
      <c r="G1046" t="e">
        <f>VLOOKUP(Tabelle8[[#This Row],[Rank]],Stammdaten[[Rank Verteilung D Mitte mit Rinde]:[Verteilung D Mitte mit Rinde]],2,FALSE)</f>
        <v>#N/A</v>
      </c>
      <c r="L1046">
        <v>1037</v>
      </c>
      <c r="M1046" t="e">
        <f>INDEX(Stammdaten[Abholzigkeit (mm/lfm)],MATCH(Tabelle9[[#This Row],[Rank]],Stammdaten[Rank Verteilung Abholzigkeit],0))</f>
        <v>#N/A</v>
      </c>
      <c r="N1046" t="e">
        <f>VLOOKUP(Tabelle9[[#This Row],[Rank]],Stammdaten[[Rank Verteilung Abholzigkeit]:[Verteilung Abholzigkeit]],2,FALSE)</f>
        <v>#N/A</v>
      </c>
      <c r="S1046">
        <v>1037</v>
      </c>
      <c r="T1046" t="e">
        <f>INDEX(Stammdaten[Krümmung (mm/lfm)],MATCH(Tabelle10[[#This Row],[Rank]],Stammdaten[Rank Verteilung Krümmung],0))</f>
        <v>#N/A</v>
      </c>
      <c r="U1046" t="e">
        <f>VLOOKUP(Tabelle10[[#This Row],[Rank]],Stammdaten[[Rank Verteilung Krümmung]:[Verteilung Krümmung]],2,FALSE)</f>
        <v>#N/A</v>
      </c>
      <c r="Z1046">
        <v>1037</v>
      </c>
      <c r="AA1046" t="e">
        <f>INDEX(Stammdaten[Ovalität (']0,1'])],MATCH(Tabelle1014[[#This Row],[Rank]],Stammdaten[Rank Verteilung Ovalität],0))</f>
        <v>#N/A</v>
      </c>
      <c r="AB1046" t="e">
        <f>VLOOKUP(Tabelle1014[[#This Row],[Rank]],Stammdaten[[Rank Verteilung Ovalität]:[Verteilung Ovalität]],2,FALSE)</f>
        <v>#N/A</v>
      </c>
    </row>
    <row r="1047" spans="5:28" x14ac:dyDescent="0.35">
      <c r="E1047">
        <v>1038</v>
      </c>
      <c r="F1047" t="e">
        <f>INDEX(Stammdaten[D Mitte mit Rinde (mm)],MATCH(Tabelle8[[#This Row],[Rank]],Stammdaten[Rank Verteilung D Mitte mit Rinde],0))</f>
        <v>#N/A</v>
      </c>
      <c r="G1047" t="e">
        <f>VLOOKUP(Tabelle8[[#This Row],[Rank]],Stammdaten[[Rank Verteilung D Mitte mit Rinde]:[Verteilung D Mitte mit Rinde]],2,FALSE)</f>
        <v>#N/A</v>
      </c>
      <c r="L1047">
        <v>1038</v>
      </c>
      <c r="M1047" t="e">
        <f>INDEX(Stammdaten[Abholzigkeit (mm/lfm)],MATCH(Tabelle9[[#This Row],[Rank]],Stammdaten[Rank Verteilung Abholzigkeit],0))</f>
        <v>#N/A</v>
      </c>
      <c r="N1047" t="e">
        <f>VLOOKUP(Tabelle9[[#This Row],[Rank]],Stammdaten[[Rank Verteilung Abholzigkeit]:[Verteilung Abholzigkeit]],2,FALSE)</f>
        <v>#N/A</v>
      </c>
      <c r="S1047">
        <v>1038</v>
      </c>
      <c r="T1047" t="e">
        <f>INDEX(Stammdaten[Krümmung (mm/lfm)],MATCH(Tabelle10[[#This Row],[Rank]],Stammdaten[Rank Verteilung Krümmung],0))</f>
        <v>#N/A</v>
      </c>
      <c r="U1047" t="e">
        <f>VLOOKUP(Tabelle10[[#This Row],[Rank]],Stammdaten[[Rank Verteilung Krümmung]:[Verteilung Krümmung]],2,FALSE)</f>
        <v>#N/A</v>
      </c>
      <c r="Z1047">
        <v>1038</v>
      </c>
      <c r="AA1047" t="e">
        <f>INDEX(Stammdaten[Ovalität (']0,1'])],MATCH(Tabelle1014[[#This Row],[Rank]],Stammdaten[Rank Verteilung Ovalität],0))</f>
        <v>#N/A</v>
      </c>
      <c r="AB1047" t="e">
        <f>VLOOKUP(Tabelle1014[[#This Row],[Rank]],Stammdaten[[Rank Verteilung Ovalität]:[Verteilung Ovalität]],2,FALSE)</f>
        <v>#N/A</v>
      </c>
    </row>
    <row r="1048" spans="5:28" x14ac:dyDescent="0.35">
      <c r="E1048">
        <v>1039</v>
      </c>
      <c r="F1048" t="e">
        <f>INDEX(Stammdaten[D Mitte mit Rinde (mm)],MATCH(Tabelle8[[#This Row],[Rank]],Stammdaten[Rank Verteilung D Mitte mit Rinde],0))</f>
        <v>#N/A</v>
      </c>
      <c r="G1048" t="e">
        <f>VLOOKUP(Tabelle8[[#This Row],[Rank]],Stammdaten[[Rank Verteilung D Mitte mit Rinde]:[Verteilung D Mitte mit Rinde]],2,FALSE)</f>
        <v>#N/A</v>
      </c>
      <c r="L1048">
        <v>1039</v>
      </c>
      <c r="M1048" t="e">
        <f>INDEX(Stammdaten[Abholzigkeit (mm/lfm)],MATCH(Tabelle9[[#This Row],[Rank]],Stammdaten[Rank Verteilung Abholzigkeit],0))</f>
        <v>#N/A</v>
      </c>
      <c r="N1048" t="e">
        <f>VLOOKUP(Tabelle9[[#This Row],[Rank]],Stammdaten[[Rank Verteilung Abholzigkeit]:[Verteilung Abholzigkeit]],2,FALSE)</f>
        <v>#N/A</v>
      </c>
      <c r="S1048">
        <v>1039</v>
      </c>
      <c r="T1048" t="e">
        <f>INDEX(Stammdaten[Krümmung (mm/lfm)],MATCH(Tabelle10[[#This Row],[Rank]],Stammdaten[Rank Verteilung Krümmung],0))</f>
        <v>#N/A</v>
      </c>
      <c r="U1048" t="e">
        <f>VLOOKUP(Tabelle10[[#This Row],[Rank]],Stammdaten[[Rank Verteilung Krümmung]:[Verteilung Krümmung]],2,FALSE)</f>
        <v>#N/A</v>
      </c>
      <c r="Z1048">
        <v>1039</v>
      </c>
      <c r="AA1048" t="e">
        <f>INDEX(Stammdaten[Ovalität (']0,1'])],MATCH(Tabelle1014[[#This Row],[Rank]],Stammdaten[Rank Verteilung Ovalität],0))</f>
        <v>#N/A</v>
      </c>
      <c r="AB1048" t="e">
        <f>VLOOKUP(Tabelle1014[[#This Row],[Rank]],Stammdaten[[Rank Verteilung Ovalität]:[Verteilung Ovalität]],2,FALSE)</f>
        <v>#N/A</v>
      </c>
    </row>
    <row r="1049" spans="5:28" x14ac:dyDescent="0.35">
      <c r="E1049">
        <v>1040</v>
      </c>
      <c r="F1049" t="e">
        <f>INDEX(Stammdaten[D Mitte mit Rinde (mm)],MATCH(Tabelle8[[#This Row],[Rank]],Stammdaten[Rank Verteilung D Mitte mit Rinde],0))</f>
        <v>#N/A</v>
      </c>
      <c r="G1049" t="e">
        <f>VLOOKUP(Tabelle8[[#This Row],[Rank]],Stammdaten[[Rank Verteilung D Mitte mit Rinde]:[Verteilung D Mitte mit Rinde]],2,FALSE)</f>
        <v>#N/A</v>
      </c>
      <c r="L1049">
        <v>1040</v>
      </c>
      <c r="M1049" t="e">
        <f>INDEX(Stammdaten[Abholzigkeit (mm/lfm)],MATCH(Tabelle9[[#This Row],[Rank]],Stammdaten[Rank Verteilung Abholzigkeit],0))</f>
        <v>#N/A</v>
      </c>
      <c r="N1049" t="e">
        <f>VLOOKUP(Tabelle9[[#This Row],[Rank]],Stammdaten[[Rank Verteilung Abholzigkeit]:[Verteilung Abholzigkeit]],2,FALSE)</f>
        <v>#N/A</v>
      </c>
      <c r="S1049">
        <v>1040</v>
      </c>
      <c r="T1049" t="e">
        <f>INDEX(Stammdaten[Krümmung (mm/lfm)],MATCH(Tabelle10[[#This Row],[Rank]],Stammdaten[Rank Verteilung Krümmung],0))</f>
        <v>#N/A</v>
      </c>
      <c r="U1049" t="e">
        <f>VLOOKUP(Tabelle10[[#This Row],[Rank]],Stammdaten[[Rank Verteilung Krümmung]:[Verteilung Krümmung]],2,FALSE)</f>
        <v>#N/A</v>
      </c>
      <c r="Z1049">
        <v>1040</v>
      </c>
      <c r="AA1049" t="e">
        <f>INDEX(Stammdaten[Ovalität (']0,1'])],MATCH(Tabelle1014[[#This Row],[Rank]],Stammdaten[Rank Verteilung Ovalität],0))</f>
        <v>#N/A</v>
      </c>
      <c r="AB1049" t="e">
        <f>VLOOKUP(Tabelle1014[[#This Row],[Rank]],Stammdaten[[Rank Verteilung Ovalität]:[Verteilung Ovalität]],2,FALSE)</f>
        <v>#N/A</v>
      </c>
    </row>
    <row r="1050" spans="5:28" x14ac:dyDescent="0.35">
      <c r="E1050">
        <v>1041</v>
      </c>
      <c r="F1050" t="e">
        <f>INDEX(Stammdaten[D Mitte mit Rinde (mm)],MATCH(Tabelle8[[#This Row],[Rank]],Stammdaten[Rank Verteilung D Mitte mit Rinde],0))</f>
        <v>#N/A</v>
      </c>
      <c r="G1050" t="e">
        <f>VLOOKUP(Tabelle8[[#This Row],[Rank]],Stammdaten[[Rank Verteilung D Mitte mit Rinde]:[Verteilung D Mitte mit Rinde]],2,FALSE)</f>
        <v>#N/A</v>
      </c>
      <c r="L1050">
        <v>1041</v>
      </c>
      <c r="M1050" t="e">
        <f>INDEX(Stammdaten[Abholzigkeit (mm/lfm)],MATCH(Tabelle9[[#This Row],[Rank]],Stammdaten[Rank Verteilung Abholzigkeit],0))</f>
        <v>#N/A</v>
      </c>
      <c r="N1050" t="e">
        <f>VLOOKUP(Tabelle9[[#This Row],[Rank]],Stammdaten[[Rank Verteilung Abholzigkeit]:[Verteilung Abholzigkeit]],2,FALSE)</f>
        <v>#N/A</v>
      </c>
      <c r="S1050">
        <v>1041</v>
      </c>
      <c r="T1050" t="e">
        <f>INDEX(Stammdaten[Krümmung (mm/lfm)],MATCH(Tabelle10[[#This Row],[Rank]],Stammdaten[Rank Verteilung Krümmung],0))</f>
        <v>#N/A</v>
      </c>
      <c r="U1050" t="e">
        <f>VLOOKUP(Tabelle10[[#This Row],[Rank]],Stammdaten[[Rank Verteilung Krümmung]:[Verteilung Krümmung]],2,FALSE)</f>
        <v>#N/A</v>
      </c>
      <c r="Z1050">
        <v>1041</v>
      </c>
      <c r="AA1050" t="e">
        <f>INDEX(Stammdaten[Ovalität (']0,1'])],MATCH(Tabelle1014[[#This Row],[Rank]],Stammdaten[Rank Verteilung Ovalität],0))</f>
        <v>#N/A</v>
      </c>
      <c r="AB1050" t="e">
        <f>VLOOKUP(Tabelle1014[[#This Row],[Rank]],Stammdaten[[Rank Verteilung Ovalität]:[Verteilung Ovalität]],2,FALSE)</f>
        <v>#N/A</v>
      </c>
    </row>
    <row r="1051" spans="5:28" x14ac:dyDescent="0.35">
      <c r="E1051">
        <v>1042</v>
      </c>
      <c r="F1051" t="e">
        <f>INDEX(Stammdaten[D Mitte mit Rinde (mm)],MATCH(Tabelle8[[#This Row],[Rank]],Stammdaten[Rank Verteilung D Mitte mit Rinde],0))</f>
        <v>#N/A</v>
      </c>
      <c r="G1051" t="e">
        <f>VLOOKUP(Tabelle8[[#This Row],[Rank]],Stammdaten[[Rank Verteilung D Mitte mit Rinde]:[Verteilung D Mitte mit Rinde]],2,FALSE)</f>
        <v>#N/A</v>
      </c>
      <c r="L1051">
        <v>1042</v>
      </c>
      <c r="M1051" t="e">
        <f>INDEX(Stammdaten[Abholzigkeit (mm/lfm)],MATCH(Tabelle9[[#This Row],[Rank]],Stammdaten[Rank Verteilung Abholzigkeit],0))</f>
        <v>#N/A</v>
      </c>
      <c r="N1051" t="e">
        <f>VLOOKUP(Tabelle9[[#This Row],[Rank]],Stammdaten[[Rank Verteilung Abholzigkeit]:[Verteilung Abholzigkeit]],2,FALSE)</f>
        <v>#N/A</v>
      </c>
      <c r="S1051">
        <v>1042</v>
      </c>
      <c r="T1051" t="e">
        <f>INDEX(Stammdaten[Krümmung (mm/lfm)],MATCH(Tabelle10[[#This Row],[Rank]],Stammdaten[Rank Verteilung Krümmung],0))</f>
        <v>#N/A</v>
      </c>
      <c r="U1051" t="e">
        <f>VLOOKUP(Tabelle10[[#This Row],[Rank]],Stammdaten[[Rank Verteilung Krümmung]:[Verteilung Krümmung]],2,FALSE)</f>
        <v>#N/A</v>
      </c>
      <c r="Z1051">
        <v>1042</v>
      </c>
      <c r="AA1051" t="e">
        <f>INDEX(Stammdaten[Ovalität (']0,1'])],MATCH(Tabelle1014[[#This Row],[Rank]],Stammdaten[Rank Verteilung Ovalität],0))</f>
        <v>#N/A</v>
      </c>
      <c r="AB1051" t="e">
        <f>VLOOKUP(Tabelle1014[[#This Row],[Rank]],Stammdaten[[Rank Verteilung Ovalität]:[Verteilung Ovalität]],2,FALSE)</f>
        <v>#N/A</v>
      </c>
    </row>
    <row r="1052" spans="5:28" x14ac:dyDescent="0.35">
      <c r="E1052">
        <v>1043</v>
      </c>
      <c r="F1052" t="e">
        <f>INDEX(Stammdaten[D Mitte mit Rinde (mm)],MATCH(Tabelle8[[#This Row],[Rank]],Stammdaten[Rank Verteilung D Mitte mit Rinde],0))</f>
        <v>#N/A</v>
      </c>
      <c r="G1052" t="e">
        <f>VLOOKUP(Tabelle8[[#This Row],[Rank]],Stammdaten[[Rank Verteilung D Mitte mit Rinde]:[Verteilung D Mitte mit Rinde]],2,FALSE)</f>
        <v>#N/A</v>
      </c>
      <c r="L1052">
        <v>1043</v>
      </c>
      <c r="M1052" t="e">
        <f>INDEX(Stammdaten[Abholzigkeit (mm/lfm)],MATCH(Tabelle9[[#This Row],[Rank]],Stammdaten[Rank Verteilung Abholzigkeit],0))</f>
        <v>#N/A</v>
      </c>
      <c r="N1052" t="e">
        <f>VLOOKUP(Tabelle9[[#This Row],[Rank]],Stammdaten[[Rank Verteilung Abholzigkeit]:[Verteilung Abholzigkeit]],2,FALSE)</f>
        <v>#N/A</v>
      </c>
      <c r="S1052">
        <v>1043</v>
      </c>
      <c r="T1052" t="e">
        <f>INDEX(Stammdaten[Krümmung (mm/lfm)],MATCH(Tabelle10[[#This Row],[Rank]],Stammdaten[Rank Verteilung Krümmung],0))</f>
        <v>#N/A</v>
      </c>
      <c r="U1052" t="e">
        <f>VLOOKUP(Tabelle10[[#This Row],[Rank]],Stammdaten[[Rank Verteilung Krümmung]:[Verteilung Krümmung]],2,FALSE)</f>
        <v>#N/A</v>
      </c>
      <c r="Z1052">
        <v>1043</v>
      </c>
      <c r="AA1052" t="e">
        <f>INDEX(Stammdaten[Ovalität (']0,1'])],MATCH(Tabelle1014[[#This Row],[Rank]],Stammdaten[Rank Verteilung Ovalität],0))</f>
        <v>#N/A</v>
      </c>
      <c r="AB1052" t="e">
        <f>VLOOKUP(Tabelle1014[[#This Row],[Rank]],Stammdaten[[Rank Verteilung Ovalität]:[Verteilung Ovalität]],2,FALSE)</f>
        <v>#N/A</v>
      </c>
    </row>
    <row r="1053" spans="5:28" x14ac:dyDescent="0.35">
      <c r="E1053">
        <v>1044</v>
      </c>
      <c r="F1053" t="e">
        <f>INDEX(Stammdaten[D Mitte mit Rinde (mm)],MATCH(Tabelle8[[#This Row],[Rank]],Stammdaten[Rank Verteilung D Mitte mit Rinde],0))</f>
        <v>#N/A</v>
      </c>
      <c r="G1053" t="e">
        <f>VLOOKUP(Tabelle8[[#This Row],[Rank]],Stammdaten[[Rank Verteilung D Mitte mit Rinde]:[Verteilung D Mitte mit Rinde]],2,FALSE)</f>
        <v>#N/A</v>
      </c>
      <c r="L1053">
        <v>1044</v>
      </c>
      <c r="M1053" t="e">
        <f>INDEX(Stammdaten[Abholzigkeit (mm/lfm)],MATCH(Tabelle9[[#This Row],[Rank]],Stammdaten[Rank Verteilung Abholzigkeit],0))</f>
        <v>#N/A</v>
      </c>
      <c r="N1053" t="e">
        <f>VLOOKUP(Tabelle9[[#This Row],[Rank]],Stammdaten[[Rank Verteilung Abholzigkeit]:[Verteilung Abholzigkeit]],2,FALSE)</f>
        <v>#N/A</v>
      </c>
      <c r="S1053">
        <v>1044</v>
      </c>
      <c r="T1053" t="e">
        <f>INDEX(Stammdaten[Krümmung (mm/lfm)],MATCH(Tabelle10[[#This Row],[Rank]],Stammdaten[Rank Verteilung Krümmung],0))</f>
        <v>#N/A</v>
      </c>
      <c r="U1053" t="e">
        <f>VLOOKUP(Tabelle10[[#This Row],[Rank]],Stammdaten[[Rank Verteilung Krümmung]:[Verteilung Krümmung]],2,FALSE)</f>
        <v>#N/A</v>
      </c>
      <c r="Z1053">
        <v>1044</v>
      </c>
      <c r="AA1053" t="e">
        <f>INDEX(Stammdaten[Ovalität (']0,1'])],MATCH(Tabelle1014[[#This Row],[Rank]],Stammdaten[Rank Verteilung Ovalität],0))</f>
        <v>#N/A</v>
      </c>
      <c r="AB1053" t="e">
        <f>VLOOKUP(Tabelle1014[[#This Row],[Rank]],Stammdaten[[Rank Verteilung Ovalität]:[Verteilung Ovalität]],2,FALSE)</f>
        <v>#N/A</v>
      </c>
    </row>
    <row r="1054" spans="5:28" x14ac:dyDescent="0.35">
      <c r="E1054">
        <v>1045</v>
      </c>
      <c r="F1054" t="e">
        <f>INDEX(Stammdaten[D Mitte mit Rinde (mm)],MATCH(Tabelle8[[#This Row],[Rank]],Stammdaten[Rank Verteilung D Mitte mit Rinde],0))</f>
        <v>#N/A</v>
      </c>
      <c r="G1054" t="e">
        <f>VLOOKUP(Tabelle8[[#This Row],[Rank]],Stammdaten[[Rank Verteilung D Mitte mit Rinde]:[Verteilung D Mitte mit Rinde]],2,FALSE)</f>
        <v>#N/A</v>
      </c>
      <c r="L1054">
        <v>1045</v>
      </c>
      <c r="M1054" t="e">
        <f>INDEX(Stammdaten[Abholzigkeit (mm/lfm)],MATCH(Tabelle9[[#This Row],[Rank]],Stammdaten[Rank Verteilung Abholzigkeit],0))</f>
        <v>#N/A</v>
      </c>
      <c r="N1054" t="e">
        <f>VLOOKUP(Tabelle9[[#This Row],[Rank]],Stammdaten[[Rank Verteilung Abholzigkeit]:[Verteilung Abholzigkeit]],2,FALSE)</f>
        <v>#N/A</v>
      </c>
      <c r="S1054">
        <v>1045</v>
      </c>
      <c r="T1054" t="e">
        <f>INDEX(Stammdaten[Krümmung (mm/lfm)],MATCH(Tabelle10[[#This Row],[Rank]],Stammdaten[Rank Verteilung Krümmung],0))</f>
        <v>#N/A</v>
      </c>
      <c r="U1054" t="e">
        <f>VLOOKUP(Tabelle10[[#This Row],[Rank]],Stammdaten[[Rank Verteilung Krümmung]:[Verteilung Krümmung]],2,FALSE)</f>
        <v>#N/A</v>
      </c>
      <c r="Z1054">
        <v>1045</v>
      </c>
      <c r="AA1054" t="e">
        <f>INDEX(Stammdaten[Ovalität (']0,1'])],MATCH(Tabelle1014[[#This Row],[Rank]],Stammdaten[Rank Verteilung Ovalität],0))</f>
        <v>#N/A</v>
      </c>
      <c r="AB1054" t="e">
        <f>VLOOKUP(Tabelle1014[[#This Row],[Rank]],Stammdaten[[Rank Verteilung Ovalität]:[Verteilung Ovalität]],2,FALSE)</f>
        <v>#N/A</v>
      </c>
    </row>
    <row r="1055" spans="5:28" x14ac:dyDescent="0.35">
      <c r="E1055">
        <v>1046</v>
      </c>
      <c r="F1055" t="e">
        <f>INDEX(Stammdaten[D Mitte mit Rinde (mm)],MATCH(Tabelle8[[#This Row],[Rank]],Stammdaten[Rank Verteilung D Mitte mit Rinde],0))</f>
        <v>#N/A</v>
      </c>
      <c r="G1055" t="e">
        <f>VLOOKUP(Tabelle8[[#This Row],[Rank]],Stammdaten[[Rank Verteilung D Mitte mit Rinde]:[Verteilung D Mitte mit Rinde]],2,FALSE)</f>
        <v>#N/A</v>
      </c>
      <c r="L1055">
        <v>1046</v>
      </c>
      <c r="M1055" t="e">
        <f>INDEX(Stammdaten[Abholzigkeit (mm/lfm)],MATCH(Tabelle9[[#This Row],[Rank]],Stammdaten[Rank Verteilung Abholzigkeit],0))</f>
        <v>#N/A</v>
      </c>
      <c r="N1055" t="e">
        <f>VLOOKUP(Tabelle9[[#This Row],[Rank]],Stammdaten[[Rank Verteilung Abholzigkeit]:[Verteilung Abholzigkeit]],2,FALSE)</f>
        <v>#N/A</v>
      </c>
      <c r="S1055">
        <v>1046</v>
      </c>
      <c r="T1055" t="e">
        <f>INDEX(Stammdaten[Krümmung (mm/lfm)],MATCH(Tabelle10[[#This Row],[Rank]],Stammdaten[Rank Verteilung Krümmung],0))</f>
        <v>#N/A</v>
      </c>
      <c r="U1055" t="e">
        <f>VLOOKUP(Tabelle10[[#This Row],[Rank]],Stammdaten[[Rank Verteilung Krümmung]:[Verteilung Krümmung]],2,FALSE)</f>
        <v>#N/A</v>
      </c>
      <c r="Z1055">
        <v>1046</v>
      </c>
      <c r="AA1055" t="e">
        <f>INDEX(Stammdaten[Ovalität (']0,1'])],MATCH(Tabelle1014[[#This Row],[Rank]],Stammdaten[Rank Verteilung Ovalität],0))</f>
        <v>#N/A</v>
      </c>
      <c r="AB1055" t="e">
        <f>VLOOKUP(Tabelle1014[[#This Row],[Rank]],Stammdaten[[Rank Verteilung Ovalität]:[Verteilung Ovalität]],2,FALSE)</f>
        <v>#N/A</v>
      </c>
    </row>
    <row r="1056" spans="5:28" x14ac:dyDescent="0.35">
      <c r="E1056">
        <v>1047</v>
      </c>
      <c r="F1056" t="e">
        <f>INDEX(Stammdaten[D Mitte mit Rinde (mm)],MATCH(Tabelle8[[#This Row],[Rank]],Stammdaten[Rank Verteilung D Mitte mit Rinde],0))</f>
        <v>#N/A</v>
      </c>
      <c r="G1056" t="e">
        <f>VLOOKUP(Tabelle8[[#This Row],[Rank]],Stammdaten[[Rank Verteilung D Mitte mit Rinde]:[Verteilung D Mitte mit Rinde]],2,FALSE)</f>
        <v>#N/A</v>
      </c>
      <c r="L1056">
        <v>1047</v>
      </c>
      <c r="M1056" t="e">
        <f>INDEX(Stammdaten[Abholzigkeit (mm/lfm)],MATCH(Tabelle9[[#This Row],[Rank]],Stammdaten[Rank Verteilung Abholzigkeit],0))</f>
        <v>#N/A</v>
      </c>
      <c r="N1056" t="e">
        <f>VLOOKUP(Tabelle9[[#This Row],[Rank]],Stammdaten[[Rank Verteilung Abholzigkeit]:[Verteilung Abholzigkeit]],2,FALSE)</f>
        <v>#N/A</v>
      </c>
      <c r="S1056">
        <v>1047</v>
      </c>
      <c r="T1056" t="e">
        <f>INDEX(Stammdaten[Krümmung (mm/lfm)],MATCH(Tabelle10[[#This Row],[Rank]],Stammdaten[Rank Verteilung Krümmung],0))</f>
        <v>#N/A</v>
      </c>
      <c r="U1056" t="e">
        <f>VLOOKUP(Tabelle10[[#This Row],[Rank]],Stammdaten[[Rank Verteilung Krümmung]:[Verteilung Krümmung]],2,FALSE)</f>
        <v>#N/A</v>
      </c>
      <c r="Z1056">
        <v>1047</v>
      </c>
      <c r="AA1056" t="e">
        <f>INDEX(Stammdaten[Ovalität (']0,1'])],MATCH(Tabelle1014[[#This Row],[Rank]],Stammdaten[Rank Verteilung Ovalität],0))</f>
        <v>#N/A</v>
      </c>
      <c r="AB1056" t="e">
        <f>VLOOKUP(Tabelle1014[[#This Row],[Rank]],Stammdaten[[Rank Verteilung Ovalität]:[Verteilung Ovalität]],2,FALSE)</f>
        <v>#N/A</v>
      </c>
    </row>
    <row r="1057" spans="5:28" x14ac:dyDescent="0.35">
      <c r="E1057">
        <v>1048</v>
      </c>
      <c r="F1057" t="e">
        <f>INDEX(Stammdaten[D Mitte mit Rinde (mm)],MATCH(Tabelle8[[#This Row],[Rank]],Stammdaten[Rank Verteilung D Mitte mit Rinde],0))</f>
        <v>#N/A</v>
      </c>
      <c r="G1057" t="e">
        <f>VLOOKUP(Tabelle8[[#This Row],[Rank]],Stammdaten[[Rank Verteilung D Mitte mit Rinde]:[Verteilung D Mitte mit Rinde]],2,FALSE)</f>
        <v>#N/A</v>
      </c>
      <c r="L1057">
        <v>1048</v>
      </c>
      <c r="M1057" t="e">
        <f>INDEX(Stammdaten[Abholzigkeit (mm/lfm)],MATCH(Tabelle9[[#This Row],[Rank]],Stammdaten[Rank Verteilung Abholzigkeit],0))</f>
        <v>#N/A</v>
      </c>
      <c r="N1057" t="e">
        <f>VLOOKUP(Tabelle9[[#This Row],[Rank]],Stammdaten[[Rank Verteilung Abholzigkeit]:[Verteilung Abholzigkeit]],2,FALSE)</f>
        <v>#N/A</v>
      </c>
      <c r="S1057">
        <v>1048</v>
      </c>
      <c r="T1057" t="e">
        <f>INDEX(Stammdaten[Krümmung (mm/lfm)],MATCH(Tabelle10[[#This Row],[Rank]],Stammdaten[Rank Verteilung Krümmung],0))</f>
        <v>#N/A</v>
      </c>
      <c r="U1057" t="e">
        <f>VLOOKUP(Tabelle10[[#This Row],[Rank]],Stammdaten[[Rank Verteilung Krümmung]:[Verteilung Krümmung]],2,FALSE)</f>
        <v>#N/A</v>
      </c>
      <c r="Z1057">
        <v>1048</v>
      </c>
      <c r="AA1057" t="e">
        <f>INDEX(Stammdaten[Ovalität (']0,1'])],MATCH(Tabelle1014[[#This Row],[Rank]],Stammdaten[Rank Verteilung Ovalität],0))</f>
        <v>#N/A</v>
      </c>
      <c r="AB1057" t="e">
        <f>VLOOKUP(Tabelle1014[[#This Row],[Rank]],Stammdaten[[Rank Verteilung Ovalität]:[Verteilung Ovalität]],2,FALSE)</f>
        <v>#N/A</v>
      </c>
    </row>
    <row r="1058" spans="5:28" x14ac:dyDescent="0.35">
      <c r="E1058">
        <v>1049</v>
      </c>
      <c r="F1058" t="e">
        <f>INDEX(Stammdaten[D Mitte mit Rinde (mm)],MATCH(Tabelle8[[#This Row],[Rank]],Stammdaten[Rank Verteilung D Mitte mit Rinde],0))</f>
        <v>#N/A</v>
      </c>
      <c r="G1058" t="e">
        <f>VLOOKUP(Tabelle8[[#This Row],[Rank]],Stammdaten[[Rank Verteilung D Mitte mit Rinde]:[Verteilung D Mitte mit Rinde]],2,FALSE)</f>
        <v>#N/A</v>
      </c>
      <c r="L1058">
        <v>1049</v>
      </c>
      <c r="M1058" t="e">
        <f>INDEX(Stammdaten[Abholzigkeit (mm/lfm)],MATCH(Tabelle9[[#This Row],[Rank]],Stammdaten[Rank Verteilung Abholzigkeit],0))</f>
        <v>#N/A</v>
      </c>
      <c r="N1058" t="e">
        <f>VLOOKUP(Tabelle9[[#This Row],[Rank]],Stammdaten[[Rank Verteilung Abholzigkeit]:[Verteilung Abholzigkeit]],2,FALSE)</f>
        <v>#N/A</v>
      </c>
      <c r="S1058">
        <v>1049</v>
      </c>
      <c r="T1058" t="e">
        <f>INDEX(Stammdaten[Krümmung (mm/lfm)],MATCH(Tabelle10[[#This Row],[Rank]],Stammdaten[Rank Verteilung Krümmung],0))</f>
        <v>#N/A</v>
      </c>
      <c r="U1058" t="e">
        <f>VLOOKUP(Tabelle10[[#This Row],[Rank]],Stammdaten[[Rank Verteilung Krümmung]:[Verteilung Krümmung]],2,FALSE)</f>
        <v>#N/A</v>
      </c>
      <c r="Z1058">
        <v>1049</v>
      </c>
      <c r="AA1058" t="e">
        <f>INDEX(Stammdaten[Ovalität (']0,1'])],MATCH(Tabelle1014[[#This Row],[Rank]],Stammdaten[Rank Verteilung Ovalität],0))</f>
        <v>#N/A</v>
      </c>
      <c r="AB1058" t="e">
        <f>VLOOKUP(Tabelle1014[[#This Row],[Rank]],Stammdaten[[Rank Verteilung Ovalität]:[Verteilung Ovalität]],2,FALSE)</f>
        <v>#N/A</v>
      </c>
    </row>
    <row r="1059" spans="5:28" x14ac:dyDescent="0.35">
      <c r="E1059">
        <v>1050</v>
      </c>
      <c r="F1059" t="e">
        <f>INDEX(Stammdaten[D Mitte mit Rinde (mm)],MATCH(Tabelle8[[#This Row],[Rank]],Stammdaten[Rank Verteilung D Mitte mit Rinde],0))</f>
        <v>#N/A</v>
      </c>
      <c r="G1059" t="e">
        <f>VLOOKUP(Tabelle8[[#This Row],[Rank]],Stammdaten[[Rank Verteilung D Mitte mit Rinde]:[Verteilung D Mitte mit Rinde]],2,FALSE)</f>
        <v>#N/A</v>
      </c>
      <c r="L1059">
        <v>1050</v>
      </c>
      <c r="M1059" t="e">
        <f>INDEX(Stammdaten[Abholzigkeit (mm/lfm)],MATCH(Tabelle9[[#This Row],[Rank]],Stammdaten[Rank Verteilung Abholzigkeit],0))</f>
        <v>#N/A</v>
      </c>
      <c r="N1059" t="e">
        <f>VLOOKUP(Tabelle9[[#This Row],[Rank]],Stammdaten[[Rank Verteilung Abholzigkeit]:[Verteilung Abholzigkeit]],2,FALSE)</f>
        <v>#N/A</v>
      </c>
      <c r="S1059">
        <v>1050</v>
      </c>
      <c r="T1059" t="e">
        <f>INDEX(Stammdaten[Krümmung (mm/lfm)],MATCH(Tabelle10[[#This Row],[Rank]],Stammdaten[Rank Verteilung Krümmung],0))</f>
        <v>#N/A</v>
      </c>
      <c r="U1059" t="e">
        <f>VLOOKUP(Tabelle10[[#This Row],[Rank]],Stammdaten[[Rank Verteilung Krümmung]:[Verteilung Krümmung]],2,FALSE)</f>
        <v>#N/A</v>
      </c>
      <c r="Z1059">
        <v>1050</v>
      </c>
      <c r="AA1059" t="e">
        <f>INDEX(Stammdaten[Ovalität (']0,1'])],MATCH(Tabelle1014[[#This Row],[Rank]],Stammdaten[Rank Verteilung Ovalität],0))</f>
        <v>#N/A</v>
      </c>
      <c r="AB1059" t="e">
        <f>VLOOKUP(Tabelle1014[[#This Row],[Rank]],Stammdaten[[Rank Verteilung Ovalität]:[Verteilung Ovalität]],2,FALSE)</f>
        <v>#N/A</v>
      </c>
    </row>
    <row r="1060" spans="5:28" x14ac:dyDescent="0.35">
      <c r="E1060">
        <v>1051</v>
      </c>
      <c r="F1060" t="e">
        <f>INDEX(Stammdaten[D Mitte mit Rinde (mm)],MATCH(Tabelle8[[#This Row],[Rank]],Stammdaten[Rank Verteilung D Mitte mit Rinde],0))</f>
        <v>#N/A</v>
      </c>
      <c r="G1060" t="e">
        <f>VLOOKUP(Tabelle8[[#This Row],[Rank]],Stammdaten[[Rank Verteilung D Mitte mit Rinde]:[Verteilung D Mitte mit Rinde]],2,FALSE)</f>
        <v>#N/A</v>
      </c>
      <c r="L1060">
        <v>1051</v>
      </c>
      <c r="M1060" t="e">
        <f>INDEX(Stammdaten[Abholzigkeit (mm/lfm)],MATCH(Tabelle9[[#This Row],[Rank]],Stammdaten[Rank Verteilung Abholzigkeit],0))</f>
        <v>#N/A</v>
      </c>
      <c r="N1060" t="e">
        <f>VLOOKUP(Tabelle9[[#This Row],[Rank]],Stammdaten[[Rank Verteilung Abholzigkeit]:[Verteilung Abholzigkeit]],2,FALSE)</f>
        <v>#N/A</v>
      </c>
      <c r="S1060">
        <v>1051</v>
      </c>
      <c r="T1060" t="e">
        <f>INDEX(Stammdaten[Krümmung (mm/lfm)],MATCH(Tabelle10[[#This Row],[Rank]],Stammdaten[Rank Verteilung Krümmung],0))</f>
        <v>#N/A</v>
      </c>
      <c r="U1060" t="e">
        <f>VLOOKUP(Tabelle10[[#This Row],[Rank]],Stammdaten[[Rank Verteilung Krümmung]:[Verteilung Krümmung]],2,FALSE)</f>
        <v>#N/A</v>
      </c>
      <c r="Z1060">
        <v>1051</v>
      </c>
      <c r="AA1060" t="e">
        <f>INDEX(Stammdaten[Ovalität (']0,1'])],MATCH(Tabelle1014[[#This Row],[Rank]],Stammdaten[Rank Verteilung Ovalität],0))</f>
        <v>#N/A</v>
      </c>
      <c r="AB1060" t="e">
        <f>VLOOKUP(Tabelle1014[[#This Row],[Rank]],Stammdaten[[Rank Verteilung Ovalität]:[Verteilung Ovalität]],2,FALSE)</f>
        <v>#N/A</v>
      </c>
    </row>
    <row r="1061" spans="5:28" x14ac:dyDescent="0.35">
      <c r="E1061">
        <v>1052</v>
      </c>
      <c r="F1061" t="e">
        <f>INDEX(Stammdaten[D Mitte mit Rinde (mm)],MATCH(Tabelle8[[#This Row],[Rank]],Stammdaten[Rank Verteilung D Mitte mit Rinde],0))</f>
        <v>#N/A</v>
      </c>
      <c r="G1061" t="e">
        <f>VLOOKUP(Tabelle8[[#This Row],[Rank]],Stammdaten[[Rank Verteilung D Mitte mit Rinde]:[Verteilung D Mitte mit Rinde]],2,FALSE)</f>
        <v>#N/A</v>
      </c>
      <c r="L1061">
        <v>1052</v>
      </c>
      <c r="M1061" t="e">
        <f>INDEX(Stammdaten[Abholzigkeit (mm/lfm)],MATCH(Tabelle9[[#This Row],[Rank]],Stammdaten[Rank Verteilung Abholzigkeit],0))</f>
        <v>#N/A</v>
      </c>
      <c r="N1061" t="e">
        <f>VLOOKUP(Tabelle9[[#This Row],[Rank]],Stammdaten[[Rank Verteilung Abholzigkeit]:[Verteilung Abholzigkeit]],2,FALSE)</f>
        <v>#N/A</v>
      </c>
      <c r="S1061">
        <v>1052</v>
      </c>
      <c r="T1061" t="e">
        <f>INDEX(Stammdaten[Krümmung (mm/lfm)],MATCH(Tabelle10[[#This Row],[Rank]],Stammdaten[Rank Verteilung Krümmung],0))</f>
        <v>#N/A</v>
      </c>
      <c r="U1061" t="e">
        <f>VLOOKUP(Tabelle10[[#This Row],[Rank]],Stammdaten[[Rank Verteilung Krümmung]:[Verteilung Krümmung]],2,FALSE)</f>
        <v>#N/A</v>
      </c>
      <c r="Z1061">
        <v>1052</v>
      </c>
      <c r="AA1061" t="e">
        <f>INDEX(Stammdaten[Ovalität (']0,1'])],MATCH(Tabelle1014[[#This Row],[Rank]],Stammdaten[Rank Verteilung Ovalität],0))</f>
        <v>#N/A</v>
      </c>
      <c r="AB1061" t="e">
        <f>VLOOKUP(Tabelle1014[[#This Row],[Rank]],Stammdaten[[Rank Verteilung Ovalität]:[Verteilung Ovalität]],2,FALSE)</f>
        <v>#N/A</v>
      </c>
    </row>
    <row r="1062" spans="5:28" x14ac:dyDescent="0.35">
      <c r="E1062">
        <v>1053</v>
      </c>
      <c r="F1062" t="e">
        <f>INDEX(Stammdaten[D Mitte mit Rinde (mm)],MATCH(Tabelle8[[#This Row],[Rank]],Stammdaten[Rank Verteilung D Mitte mit Rinde],0))</f>
        <v>#N/A</v>
      </c>
      <c r="G1062" t="e">
        <f>VLOOKUP(Tabelle8[[#This Row],[Rank]],Stammdaten[[Rank Verteilung D Mitte mit Rinde]:[Verteilung D Mitte mit Rinde]],2,FALSE)</f>
        <v>#N/A</v>
      </c>
      <c r="L1062">
        <v>1053</v>
      </c>
      <c r="M1062" t="e">
        <f>INDEX(Stammdaten[Abholzigkeit (mm/lfm)],MATCH(Tabelle9[[#This Row],[Rank]],Stammdaten[Rank Verteilung Abholzigkeit],0))</f>
        <v>#N/A</v>
      </c>
      <c r="N1062" t="e">
        <f>VLOOKUP(Tabelle9[[#This Row],[Rank]],Stammdaten[[Rank Verteilung Abholzigkeit]:[Verteilung Abholzigkeit]],2,FALSE)</f>
        <v>#N/A</v>
      </c>
      <c r="S1062">
        <v>1053</v>
      </c>
      <c r="T1062" t="e">
        <f>INDEX(Stammdaten[Krümmung (mm/lfm)],MATCH(Tabelle10[[#This Row],[Rank]],Stammdaten[Rank Verteilung Krümmung],0))</f>
        <v>#N/A</v>
      </c>
      <c r="U1062" t="e">
        <f>VLOOKUP(Tabelle10[[#This Row],[Rank]],Stammdaten[[Rank Verteilung Krümmung]:[Verteilung Krümmung]],2,FALSE)</f>
        <v>#N/A</v>
      </c>
      <c r="Z1062">
        <v>1053</v>
      </c>
      <c r="AA1062" t="e">
        <f>INDEX(Stammdaten[Ovalität (']0,1'])],MATCH(Tabelle1014[[#This Row],[Rank]],Stammdaten[Rank Verteilung Ovalität],0))</f>
        <v>#N/A</v>
      </c>
      <c r="AB1062" t="e">
        <f>VLOOKUP(Tabelle1014[[#This Row],[Rank]],Stammdaten[[Rank Verteilung Ovalität]:[Verteilung Ovalität]],2,FALSE)</f>
        <v>#N/A</v>
      </c>
    </row>
    <row r="1063" spans="5:28" x14ac:dyDescent="0.35">
      <c r="E1063">
        <v>1054</v>
      </c>
      <c r="F1063" t="e">
        <f>INDEX(Stammdaten[D Mitte mit Rinde (mm)],MATCH(Tabelle8[[#This Row],[Rank]],Stammdaten[Rank Verteilung D Mitte mit Rinde],0))</f>
        <v>#N/A</v>
      </c>
      <c r="G1063" t="e">
        <f>VLOOKUP(Tabelle8[[#This Row],[Rank]],Stammdaten[[Rank Verteilung D Mitte mit Rinde]:[Verteilung D Mitte mit Rinde]],2,FALSE)</f>
        <v>#N/A</v>
      </c>
      <c r="L1063">
        <v>1054</v>
      </c>
      <c r="M1063" t="e">
        <f>INDEX(Stammdaten[Abholzigkeit (mm/lfm)],MATCH(Tabelle9[[#This Row],[Rank]],Stammdaten[Rank Verteilung Abholzigkeit],0))</f>
        <v>#N/A</v>
      </c>
      <c r="N1063" t="e">
        <f>VLOOKUP(Tabelle9[[#This Row],[Rank]],Stammdaten[[Rank Verteilung Abholzigkeit]:[Verteilung Abholzigkeit]],2,FALSE)</f>
        <v>#N/A</v>
      </c>
      <c r="S1063">
        <v>1054</v>
      </c>
      <c r="T1063" t="e">
        <f>INDEX(Stammdaten[Krümmung (mm/lfm)],MATCH(Tabelle10[[#This Row],[Rank]],Stammdaten[Rank Verteilung Krümmung],0))</f>
        <v>#N/A</v>
      </c>
      <c r="U1063" t="e">
        <f>VLOOKUP(Tabelle10[[#This Row],[Rank]],Stammdaten[[Rank Verteilung Krümmung]:[Verteilung Krümmung]],2,FALSE)</f>
        <v>#N/A</v>
      </c>
      <c r="Z1063">
        <v>1054</v>
      </c>
      <c r="AA1063" t="e">
        <f>INDEX(Stammdaten[Ovalität (']0,1'])],MATCH(Tabelle1014[[#This Row],[Rank]],Stammdaten[Rank Verteilung Ovalität],0))</f>
        <v>#N/A</v>
      </c>
      <c r="AB1063" t="e">
        <f>VLOOKUP(Tabelle1014[[#This Row],[Rank]],Stammdaten[[Rank Verteilung Ovalität]:[Verteilung Ovalität]],2,FALSE)</f>
        <v>#N/A</v>
      </c>
    </row>
    <row r="1064" spans="5:28" x14ac:dyDescent="0.35">
      <c r="E1064">
        <v>1055</v>
      </c>
      <c r="F1064" t="e">
        <f>INDEX(Stammdaten[D Mitte mit Rinde (mm)],MATCH(Tabelle8[[#This Row],[Rank]],Stammdaten[Rank Verteilung D Mitte mit Rinde],0))</f>
        <v>#N/A</v>
      </c>
      <c r="G1064" t="e">
        <f>VLOOKUP(Tabelle8[[#This Row],[Rank]],Stammdaten[[Rank Verteilung D Mitte mit Rinde]:[Verteilung D Mitte mit Rinde]],2,FALSE)</f>
        <v>#N/A</v>
      </c>
      <c r="L1064">
        <v>1055</v>
      </c>
      <c r="M1064" t="e">
        <f>INDEX(Stammdaten[Abholzigkeit (mm/lfm)],MATCH(Tabelle9[[#This Row],[Rank]],Stammdaten[Rank Verteilung Abholzigkeit],0))</f>
        <v>#N/A</v>
      </c>
      <c r="N1064" t="e">
        <f>VLOOKUP(Tabelle9[[#This Row],[Rank]],Stammdaten[[Rank Verteilung Abholzigkeit]:[Verteilung Abholzigkeit]],2,FALSE)</f>
        <v>#N/A</v>
      </c>
      <c r="S1064">
        <v>1055</v>
      </c>
      <c r="T1064" t="e">
        <f>INDEX(Stammdaten[Krümmung (mm/lfm)],MATCH(Tabelle10[[#This Row],[Rank]],Stammdaten[Rank Verteilung Krümmung],0))</f>
        <v>#N/A</v>
      </c>
      <c r="U1064" t="e">
        <f>VLOOKUP(Tabelle10[[#This Row],[Rank]],Stammdaten[[Rank Verteilung Krümmung]:[Verteilung Krümmung]],2,FALSE)</f>
        <v>#N/A</v>
      </c>
      <c r="Z1064">
        <v>1055</v>
      </c>
      <c r="AA1064" t="e">
        <f>INDEX(Stammdaten[Ovalität (']0,1'])],MATCH(Tabelle1014[[#This Row],[Rank]],Stammdaten[Rank Verteilung Ovalität],0))</f>
        <v>#N/A</v>
      </c>
      <c r="AB1064" t="e">
        <f>VLOOKUP(Tabelle1014[[#This Row],[Rank]],Stammdaten[[Rank Verteilung Ovalität]:[Verteilung Ovalität]],2,FALSE)</f>
        <v>#N/A</v>
      </c>
    </row>
    <row r="1065" spans="5:28" x14ac:dyDescent="0.35">
      <c r="E1065">
        <v>1056</v>
      </c>
      <c r="F1065" t="e">
        <f>INDEX(Stammdaten[D Mitte mit Rinde (mm)],MATCH(Tabelle8[[#This Row],[Rank]],Stammdaten[Rank Verteilung D Mitte mit Rinde],0))</f>
        <v>#N/A</v>
      </c>
      <c r="G1065" t="e">
        <f>VLOOKUP(Tabelle8[[#This Row],[Rank]],Stammdaten[[Rank Verteilung D Mitte mit Rinde]:[Verteilung D Mitte mit Rinde]],2,FALSE)</f>
        <v>#N/A</v>
      </c>
      <c r="L1065">
        <v>1056</v>
      </c>
      <c r="M1065" t="e">
        <f>INDEX(Stammdaten[Abholzigkeit (mm/lfm)],MATCH(Tabelle9[[#This Row],[Rank]],Stammdaten[Rank Verteilung Abholzigkeit],0))</f>
        <v>#N/A</v>
      </c>
      <c r="N1065" t="e">
        <f>VLOOKUP(Tabelle9[[#This Row],[Rank]],Stammdaten[[Rank Verteilung Abholzigkeit]:[Verteilung Abholzigkeit]],2,FALSE)</f>
        <v>#N/A</v>
      </c>
      <c r="S1065">
        <v>1056</v>
      </c>
      <c r="T1065" t="e">
        <f>INDEX(Stammdaten[Krümmung (mm/lfm)],MATCH(Tabelle10[[#This Row],[Rank]],Stammdaten[Rank Verteilung Krümmung],0))</f>
        <v>#N/A</v>
      </c>
      <c r="U1065" t="e">
        <f>VLOOKUP(Tabelle10[[#This Row],[Rank]],Stammdaten[[Rank Verteilung Krümmung]:[Verteilung Krümmung]],2,FALSE)</f>
        <v>#N/A</v>
      </c>
      <c r="Z1065">
        <v>1056</v>
      </c>
      <c r="AA1065" t="e">
        <f>INDEX(Stammdaten[Ovalität (']0,1'])],MATCH(Tabelle1014[[#This Row],[Rank]],Stammdaten[Rank Verteilung Ovalität],0))</f>
        <v>#N/A</v>
      </c>
      <c r="AB1065" t="e">
        <f>VLOOKUP(Tabelle1014[[#This Row],[Rank]],Stammdaten[[Rank Verteilung Ovalität]:[Verteilung Ovalität]],2,FALSE)</f>
        <v>#N/A</v>
      </c>
    </row>
    <row r="1066" spans="5:28" x14ac:dyDescent="0.35">
      <c r="E1066">
        <v>1057</v>
      </c>
      <c r="F1066" t="e">
        <f>INDEX(Stammdaten[D Mitte mit Rinde (mm)],MATCH(Tabelle8[[#This Row],[Rank]],Stammdaten[Rank Verteilung D Mitte mit Rinde],0))</f>
        <v>#N/A</v>
      </c>
      <c r="G1066" t="e">
        <f>VLOOKUP(Tabelle8[[#This Row],[Rank]],Stammdaten[[Rank Verteilung D Mitte mit Rinde]:[Verteilung D Mitte mit Rinde]],2,FALSE)</f>
        <v>#N/A</v>
      </c>
      <c r="L1066">
        <v>1057</v>
      </c>
      <c r="M1066" t="e">
        <f>INDEX(Stammdaten[Abholzigkeit (mm/lfm)],MATCH(Tabelle9[[#This Row],[Rank]],Stammdaten[Rank Verteilung Abholzigkeit],0))</f>
        <v>#N/A</v>
      </c>
      <c r="N1066" t="e">
        <f>VLOOKUP(Tabelle9[[#This Row],[Rank]],Stammdaten[[Rank Verteilung Abholzigkeit]:[Verteilung Abholzigkeit]],2,FALSE)</f>
        <v>#N/A</v>
      </c>
      <c r="S1066">
        <v>1057</v>
      </c>
      <c r="T1066" t="e">
        <f>INDEX(Stammdaten[Krümmung (mm/lfm)],MATCH(Tabelle10[[#This Row],[Rank]],Stammdaten[Rank Verteilung Krümmung],0))</f>
        <v>#N/A</v>
      </c>
      <c r="U1066" t="e">
        <f>VLOOKUP(Tabelle10[[#This Row],[Rank]],Stammdaten[[Rank Verteilung Krümmung]:[Verteilung Krümmung]],2,FALSE)</f>
        <v>#N/A</v>
      </c>
      <c r="Z1066">
        <v>1057</v>
      </c>
      <c r="AA1066" t="e">
        <f>INDEX(Stammdaten[Ovalität (']0,1'])],MATCH(Tabelle1014[[#This Row],[Rank]],Stammdaten[Rank Verteilung Ovalität],0))</f>
        <v>#N/A</v>
      </c>
      <c r="AB1066" t="e">
        <f>VLOOKUP(Tabelle1014[[#This Row],[Rank]],Stammdaten[[Rank Verteilung Ovalität]:[Verteilung Ovalität]],2,FALSE)</f>
        <v>#N/A</v>
      </c>
    </row>
    <row r="1067" spans="5:28" x14ac:dyDescent="0.35">
      <c r="E1067">
        <v>1058</v>
      </c>
      <c r="F1067" t="e">
        <f>INDEX(Stammdaten[D Mitte mit Rinde (mm)],MATCH(Tabelle8[[#This Row],[Rank]],Stammdaten[Rank Verteilung D Mitte mit Rinde],0))</f>
        <v>#N/A</v>
      </c>
      <c r="G1067" t="e">
        <f>VLOOKUP(Tabelle8[[#This Row],[Rank]],Stammdaten[[Rank Verteilung D Mitte mit Rinde]:[Verteilung D Mitte mit Rinde]],2,FALSE)</f>
        <v>#N/A</v>
      </c>
      <c r="L1067">
        <v>1058</v>
      </c>
      <c r="M1067" t="e">
        <f>INDEX(Stammdaten[Abholzigkeit (mm/lfm)],MATCH(Tabelle9[[#This Row],[Rank]],Stammdaten[Rank Verteilung Abholzigkeit],0))</f>
        <v>#N/A</v>
      </c>
      <c r="N1067" t="e">
        <f>VLOOKUP(Tabelle9[[#This Row],[Rank]],Stammdaten[[Rank Verteilung Abholzigkeit]:[Verteilung Abholzigkeit]],2,FALSE)</f>
        <v>#N/A</v>
      </c>
      <c r="S1067">
        <v>1058</v>
      </c>
      <c r="T1067" t="e">
        <f>INDEX(Stammdaten[Krümmung (mm/lfm)],MATCH(Tabelle10[[#This Row],[Rank]],Stammdaten[Rank Verteilung Krümmung],0))</f>
        <v>#N/A</v>
      </c>
      <c r="U1067" t="e">
        <f>VLOOKUP(Tabelle10[[#This Row],[Rank]],Stammdaten[[Rank Verteilung Krümmung]:[Verteilung Krümmung]],2,FALSE)</f>
        <v>#N/A</v>
      </c>
      <c r="Z1067">
        <v>1058</v>
      </c>
      <c r="AA1067" t="e">
        <f>INDEX(Stammdaten[Ovalität (']0,1'])],MATCH(Tabelle1014[[#This Row],[Rank]],Stammdaten[Rank Verteilung Ovalität],0))</f>
        <v>#N/A</v>
      </c>
      <c r="AB1067" t="e">
        <f>VLOOKUP(Tabelle1014[[#This Row],[Rank]],Stammdaten[[Rank Verteilung Ovalität]:[Verteilung Ovalität]],2,FALSE)</f>
        <v>#N/A</v>
      </c>
    </row>
    <row r="1068" spans="5:28" x14ac:dyDescent="0.35">
      <c r="E1068">
        <v>1059</v>
      </c>
      <c r="F1068" t="e">
        <f>INDEX(Stammdaten[D Mitte mit Rinde (mm)],MATCH(Tabelle8[[#This Row],[Rank]],Stammdaten[Rank Verteilung D Mitte mit Rinde],0))</f>
        <v>#N/A</v>
      </c>
      <c r="G1068" t="e">
        <f>VLOOKUP(Tabelle8[[#This Row],[Rank]],Stammdaten[[Rank Verteilung D Mitte mit Rinde]:[Verteilung D Mitte mit Rinde]],2,FALSE)</f>
        <v>#N/A</v>
      </c>
      <c r="L1068">
        <v>1059</v>
      </c>
      <c r="M1068" t="e">
        <f>INDEX(Stammdaten[Abholzigkeit (mm/lfm)],MATCH(Tabelle9[[#This Row],[Rank]],Stammdaten[Rank Verteilung Abholzigkeit],0))</f>
        <v>#N/A</v>
      </c>
      <c r="N1068" t="e">
        <f>VLOOKUP(Tabelle9[[#This Row],[Rank]],Stammdaten[[Rank Verteilung Abholzigkeit]:[Verteilung Abholzigkeit]],2,FALSE)</f>
        <v>#N/A</v>
      </c>
      <c r="S1068">
        <v>1059</v>
      </c>
      <c r="T1068" t="e">
        <f>INDEX(Stammdaten[Krümmung (mm/lfm)],MATCH(Tabelle10[[#This Row],[Rank]],Stammdaten[Rank Verteilung Krümmung],0))</f>
        <v>#N/A</v>
      </c>
      <c r="U1068" t="e">
        <f>VLOOKUP(Tabelle10[[#This Row],[Rank]],Stammdaten[[Rank Verteilung Krümmung]:[Verteilung Krümmung]],2,FALSE)</f>
        <v>#N/A</v>
      </c>
      <c r="Z1068">
        <v>1059</v>
      </c>
      <c r="AA1068" t="e">
        <f>INDEX(Stammdaten[Ovalität (']0,1'])],MATCH(Tabelle1014[[#This Row],[Rank]],Stammdaten[Rank Verteilung Ovalität],0))</f>
        <v>#N/A</v>
      </c>
      <c r="AB1068" t="e">
        <f>VLOOKUP(Tabelle1014[[#This Row],[Rank]],Stammdaten[[Rank Verteilung Ovalität]:[Verteilung Ovalität]],2,FALSE)</f>
        <v>#N/A</v>
      </c>
    </row>
    <row r="1069" spans="5:28" x14ac:dyDescent="0.35">
      <c r="E1069">
        <v>1060</v>
      </c>
      <c r="F1069" t="e">
        <f>INDEX(Stammdaten[D Mitte mit Rinde (mm)],MATCH(Tabelle8[[#This Row],[Rank]],Stammdaten[Rank Verteilung D Mitte mit Rinde],0))</f>
        <v>#N/A</v>
      </c>
      <c r="G1069" t="e">
        <f>VLOOKUP(Tabelle8[[#This Row],[Rank]],Stammdaten[[Rank Verteilung D Mitte mit Rinde]:[Verteilung D Mitte mit Rinde]],2,FALSE)</f>
        <v>#N/A</v>
      </c>
      <c r="L1069">
        <v>1060</v>
      </c>
      <c r="M1069" t="e">
        <f>INDEX(Stammdaten[Abholzigkeit (mm/lfm)],MATCH(Tabelle9[[#This Row],[Rank]],Stammdaten[Rank Verteilung Abholzigkeit],0))</f>
        <v>#N/A</v>
      </c>
      <c r="N1069" t="e">
        <f>VLOOKUP(Tabelle9[[#This Row],[Rank]],Stammdaten[[Rank Verteilung Abholzigkeit]:[Verteilung Abholzigkeit]],2,FALSE)</f>
        <v>#N/A</v>
      </c>
      <c r="S1069">
        <v>1060</v>
      </c>
      <c r="T1069" t="e">
        <f>INDEX(Stammdaten[Krümmung (mm/lfm)],MATCH(Tabelle10[[#This Row],[Rank]],Stammdaten[Rank Verteilung Krümmung],0))</f>
        <v>#N/A</v>
      </c>
      <c r="U1069" t="e">
        <f>VLOOKUP(Tabelle10[[#This Row],[Rank]],Stammdaten[[Rank Verteilung Krümmung]:[Verteilung Krümmung]],2,FALSE)</f>
        <v>#N/A</v>
      </c>
      <c r="Z1069">
        <v>1060</v>
      </c>
      <c r="AA1069" t="e">
        <f>INDEX(Stammdaten[Ovalität (']0,1'])],MATCH(Tabelle1014[[#This Row],[Rank]],Stammdaten[Rank Verteilung Ovalität],0))</f>
        <v>#N/A</v>
      </c>
      <c r="AB1069" t="e">
        <f>VLOOKUP(Tabelle1014[[#This Row],[Rank]],Stammdaten[[Rank Verteilung Ovalität]:[Verteilung Ovalität]],2,FALSE)</f>
        <v>#N/A</v>
      </c>
    </row>
    <row r="1070" spans="5:28" x14ac:dyDescent="0.35">
      <c r="E1070">
        <v>1061</v>
      </c>
      <c r="F1070" t="e">
        <f>INDEX(Stammdaten[D Mitte mit Rinde (mm)],MATCH(Tabelle8[[#This Row],[Rank]],Stammdaten[Rank Verteilung D Mitte mit Rinde],0))</f>
        <v>#N/A</v>
      </c>
      <c r="G1070" t="e">
        <f>VLOOKUP(Tabelle8[[#This Row],[Rank]],Stammdaten[[Rank Verteilung D Mitte mit Rinde]:[Verteilung D Mitte mit Rinde]],2,FALSE)</f>
        <v>#N/A</v>
      </c>
      <c r="L1070">
        <v>1061</v>
      </c>
      <c r="M1070" t="e">
        <f>INDEX(Stammdaten[Abholzigkeit (mm/lfm)],MATCH(Tabelle9[[#This Row],[Rank]],Stammdaten[Rank Verteilung Abholzigkeit],0))</f>
        <v>#N/A</v>
      </c>
      <c r="N1070" t="e">
        <f>VLOOKUP(Tabelle9[[#This Row],[Rank]],Stammdaten[[Rank Verteilung Abholzigkeit]:[Verteilung Abholzigkeit]],2,FALSE)</f>
        <v>#N/A</v>
      </c>
      <c r="S1070">
        <v>1061</v>
      </c>
      <c r="T1070" t="e">
        <f>INDEX(Stammdaten[Krümmung (mm/lfm)],MATCH(Tabelle10[[#This Row],[Rank]],Stammdaten[Rank Verteilung Krümmung],0))</f>
        <v>#N/A</v>
      </c>
      <c r="U1070" t="e">
        <f>VLOOKUP(Tabelle10[[#This Row],[Rank]],Stammdaten[[Rank Verteilung Krümmung]:[Verteilung Krümmung]],2,FALSE)</f>
        <v>#N/A</v>
      </c>
      <c r="Z1070">
        <v>1061</v>
      </c>
      <c r="AA1070" t="e">
        <f>INDEX(Stammdaten[Ovalität (']0,1'])],MATCH(Tabelle1014[[#This Row],[Rank]],Stammdaten[Rank Verteilung Ovalität],0))</f>
        <v>#N/A</v>
      </c>
      <c r="AB1070" t="e">
        <f>VLOOKUP(Tabelle1014[[#This Row],[Rank]],Stammdaten[[Rank Verteilung Ovalität]:[Verteilung Ovalität]],2,FALSE)</f>
        <v>#N/A</v>
      </c>
    </row>
    <row r="1071" spans="5:28" x14ac:dyDescent="0.35">
      <c r="E1071">
        <v>1062</v>
      </c>
      <c r="F1071" t="e">
        <f>INDEX(Stammdaten[D Mitte mit Rinde (mm)],MATCH(Tabelle8[[#This Row],[Rank]],Stammdaten[Rank Verteilung D Mitte mit Rinde],0))</f>
        <v>#N/A</v>
      </c>
      <c r="G1071" t="e">
        <f>VLOOKUP(Tabelle8[[#This Row],[Rank]],Stammdaten[[Rank Verteilung D Mitte mit Rinde]:[Verteilung D Mitte mit Rinde]],2,FALSE)</f>
        <v>#N/A</v>
      </c>
      <c r="L1071">
        <v>1062</v>
      </c>
      <c r="M1071" t="e">
        <f>INDEX(Stammdaten[Abholzigkeit (mm/lfm)],MATCH(Tabelle9[[#This Row],[Rank]],Stammdaten[Rank Verteilung Abholzigkeit],0))</f>
        <v>#N/A</v>
      </c>
      <c r="N1071" t="e">
        <f>VLOOKUP(Tabelle9[[#This Row],[Rank]],Stammdaten[[Rank Verteilung Abholzigkeit]:[Verteilung Abholzigkeit]],2,FALSE)</f>
        <v>#N/A</v>
      </c>
      <c r="S1071">
        <v>1062</v>
      </c>
      <c r="T1071" t="e">
        <f>INDEX(Stammdaten[Krümmung (mm/lfm)],MATCH(Tabelle10[[#This Row],[Rank]],Stammdaten[Rank Verteilung Krümmung],0))</f>
        <v>#N/A</v>
      </c>
      <c r="U1071" t="e">
        <f>VLOOKUP(Tabelle10[[#This Row],[Rank]],Stammdaten[[Rank Verteilung Krümmung]:[Verteilung Krümmung]],2,FALSE)</f>
        <v>#N/A</v>
      </c>
      <c r="Z1071">
        <v>1062</v>
      </c>
      <c r="AA1071" t="e">
        <f>INDEX(Stammdaten[Ovalität (']0,1'])],MATCH(Tabelle1014[[#This Row],[Rank]],Stammdaten[Rank Verteilung Ovalität],0))</f>
        <v>#N/A</v>
      </c>
      <c r="AB1071" t="e">
        <f>VLOOKUP(Tabelle1014[[#This Row],[Rank]],Stammdaten[[Rank Verteilung Ovalität]:[Verteilung Ovalität]],2,FALSE)</f>
        <v>#N/A</v>
      </c>
    </row>
    <row r="1072" spans="5:28" x14ac:dyDescent="0.35">
      <c r="E1072">
        <v>1063</v>
      </c>
      <c r="F1072" t="e">
        <f>INDEX(Stammdaten[D Mitte mit Rinde (mm)],MATCH(Tabelle8[[#This Row],[Rank]],Stammdaten[Rank Verteilung D Mitte mit Rinde],0))</f>
        <v>#N/A</v>
      </c>
      <c r="G1072" t="e">
        <f>VLOOKUP(Tabelle8[[#This Row],[Rank]],Stammdaten[[Rank Verteilung D Mitte mit Rinde]:[Verteilung D Mitte mit Rinde]],2,FALSE)</f>
        <v>#N/A</v>
      </c>
      <c r="L1072">
        <v>1063</v>
      </c>
      <c r="M1072" t="e">
        <f>INDEX(Stammdaten[Abholzigkeit (mm/lfm)],MATCH(Tabelle9[[#This Row],[Rank]],Stammdaten[Rank Verteilung Abholzigkeit],0))</f>
        <v>#N/A</v>
      </c>
      <c r="N1072" t="e">
        <f>VLOOKUP(Tabelle9[[#This Row],[Rank]],Stammdaten[[Rank Verteilung Abholzigkeit]:[Verteilung Abholzigkeit]],2,FALSE)</f>
        <v>#N/A</v>
      </c>
      <c r="S1072">
        <v>1063</v>
      </c>
      <c r="T1072" t="e">
        <f>INDEX(Stammdaten[Krümmung (mm/lfm)],MATCH(Tabelle10[[#This Row],[Rank]],Stammdaten[Rank Verteilung Krümmung],0))</f>
        <v>#N/A</v>
      </c>
      <c r="U1072" t="e">
        <f>VLOOKUP(Tabelle10[[#This Row],[Rank]],Stammdaten[[Rank Verteilung Krümmung]:[Verteilung Krümmung]],2,FALSE)</f>
        <v>#N/A</v>
      </c>
      <c r="Z1072">
        <v>1063</v>
      </c>
      <c r="AA1072" t="e">
        <f>INDEX(Stammdaten[Ovalität (']0,1'])],MATCH(Tabelle1014[[#This Row],[Rank]],Stammdaten[Rank Verteilung Ovalität],0))</f>
        <v>#N/A</v>
      </c>
      <c r="AB1072" t="e">
        <f>VLOOKUP(Tabelle1014[[#This Row],[Rank]],Stammdaten[[Rank Verteilung Ovalität]:[Verteilung Ovalität]],2,FALSE)</f>
        <v>#N/A</v>
      </c>
    </row>
    <row r="1073" spans="5:28" x14ac:dyDescent="0.35">
      <c r="E1073">
        <v>1064</v>
      </c>
      <c r="F1073" t="e">
        <f>INDEX(Stammdaten[D Mitte mit Rinde (mm)],MATCH(Tabelle8[[#This Row],[Rank]],Stammdaten[Rank Verteilung D Mitte mit Rinde],0))</f>
        <v>#N/A</v>
      </c>
      <c r="G1073" t="e">
        <f>VLOOKUP(Tabelle8[[#This Row],[Rank]],Stammdaten[[Rank Verteilung D Mitte mit Rinde]:[Verteilung D Mitte mit Rinde]],2,FALSE)</f>
        <v>#N/A</v>
      </c>
      <c r="L1073">
        <v>1064</v>
      </c>
      <c r="M1073" t="e">
        <f>INDEX(Stammdaten[Abholzigkeit (mm/lfm)],MATCH(Tabelle9[[#This Row],[Rank]],Stammdaten[Rank Verteilung Abholzigkeit],0))</f>
        <v>#N/A</v>
      </c>
      <c r="N1073" t="e">
        <f>VLOOKUP(Tabelle9[[#This Row],[Rank]],Stammdaten[[Rank Verteilung Abholzigkeit]:[Verteilung Abholzigkeit]],2,FALSE)</f>
        <v>#N/A</v>
      </c>
      <c r="S1073">
        <v>1064</v>
      </c>
      <c r="T1073" t="e">
        <f>INDEX(Stammdaten[Krümmung (mm/lfm)],MATCH(Tabelle10[[#This Row],[Rank]],Stammdaten[Rank Verteilung Krümmung],0))</f>
        <v>#N/A</v>
      </c>
      <c r="U1073" t="e">
        <f>VLOOKUP(Tabelle10[[#This Row],[Rank]],Stammdaten[[Rank Verteilung Krümmung]:[Verteilung Krümmung]],2,FALSE)</f>
        <v>#N/A</v>
      </c>
      <c r="Z1073">
        <v>1064</v>
      </c>
      <c r="AA1073" t="e">
        <f>INDEX(Stammdaten[Ovalität (']0,1'])],MATCH(Tabelle1014[[#This Row],[Rank]],Stammdaten[Rank Verteilung Ovalität],0))</f>
        <v>#N/A</v>
      </c>
      <c r="AB1073" t="e">
        <f>VLOOKUP(Tabelle1014[[#This Row],[Rank]],Stammdaten[[Rank Verteilung Ovalität]:[Verteilung Ovalität]],2,FALSE)</f>
        <v>#N/A</v>
      </c>
    </row>
    <row r="1074" spans="5:28" x14ac:dyDescent="0.35">
      <c r="E1074">
        <v>1065</v>
      </c>
      <c r="F1074" t="e">
        <f>INDEX(Stammdaten[D Mitte mit Rinde (mm)],MATCH(Tabelle8[[#This Row],[Rank]],Stammdaten[Rank Verteilung D Mitte mit Rinde],0))</f>
        <v>#N/A</v>
      </c>
      <c r="G1074" t="e">
        <f>VLOOKUP(Tabelle8[[#This Row],[Rank]],Stammdaten[[Rank Verteilung D Mitte mit Rinde]:[Verteilung D Mitte mit Rinde]],2,FALSE)</f>
        <v>#N/A</v>
      </c>
      <c r="L1074">
        <v>1065</v>
      </c>
      <c r="M1074" t="e">
        <f>INDEX(Stammdaten[Abholzigkeit (mm/lfm)],MATCH(Tabelle9[[#This Row],[Rank]],Stammdaten[Rank Verteilung Abholzigkeit],0))</f>
        <v>#N/A</v>
      </c>
      <c r="N1074" t="e">
        <f>VLOOKUP(Tabelle9[[#This Row],[Rank]],Stammdaten[[Rank Verteilung Abholzigkeit]:[Verteilung Abholzigkeit]],2,FALSE)</f>
        <v>#N/A</v>
      </c>
      <c r="S1074">
        <v>1065</v>
      </c>
      <c r="T1074" t="e">
        <f>INDEX(Stammdaten[Krümmung (mm/lfm)],MATCH(Tabelle10[[#This Row],[Rank]],Stammdaten[Rank Verteilung Krümmung],0))</f>
        <v>#N/A</v>
      </c>
      <c r="U1074" t="e">
        <f>VLOOKUP(Tabelle10[[#This Row],[Rank]],Stammdaten[[Rank Verteilung Krümmung]:[Verteilung Krümmung]],2,FALSE)</f>
        <v>#N/A</v>
      </c>
      <c r="Z1074">
        <v>1065</v>
      </c>
      <c r="AA1074" t="e">
        <f>INDEX(Stammdaten[Ovalität (']0,1'])],MATCH(Tabelle1014[[#This Row],[Rank]],Stammdaten[Rank Verteilung Ovalität],0))</f>
        <v>#N/A</v>
      </c>
      <c r="AB1074" t="e">
        <f>VLOOKUP(Tabelle1014[[#This Row],[Rank]],Stammdaten[[Rank Verteilung Ovalität]:[Verteilung Ovalität]],2,FALSE)</f>
        <v>#N/A</v>
      </c>
    </row>
    <row r="1075" spans="5:28" x14ac:dyDescent="0.35">
      <c r="E1075">
        <v>1066</v>
      </c>
      <c r="F1075" t="e">
        <f>INDEX(Stammdaten[D Mitte mit Rinde (mm)],MATCH(Tabelle8[[#This Row],[Rank]],Stammdaten[Rank Verteilung D Mitte mit Rinde],0))</f>
        <v>#N/A</v>
      </c>
      <c r="G1075" t="e">
        <f>VLOOKUP(Tabelle8[[#This Row],[Rank]],Stammdaten[[Rank Verteilung D Mitte mit Rinde]:[Verteilung D Mitte mit Rinde]],2,FALSE)</f>
        <v>#N/A</v>
      </c>
      <c r="L1075">
        <v>1066</v>
      </c>
      <c r="M1075" t="e">
        <f>INDEX(Stammdaten[Abholzigkeit (mm/lfm)],MATCH(Tabelle9[[#This Row],[Rank]],Stammdaten[Rank Verteilung Abholzigkeit],0))</f>
        <v>#N/A</v>
      </c>
      <c r="N1075" t="e">
        <f>VLOOKUP(Tabelle9[[#This Row],[Rank]],Stammdaten[[Rank Verteilung Abholzigkeit]:[Verteilung Abholzigkeit]],2,FALSE)</f>
        <v>#N/A</v>
      </c>
      <c r="S1075">
        <v>1066</v>
      </c>
      <c r="T1075" t="e">
        <f>INDEX(Stammdaten[Krümmung (mm/lfm)],MATCH(Tabelle10[[#This Row],[Rank]],Stammdaten[Rank Verteilung Krümmung],0))</f>
        <v>#N/A</v>
      </c>
      <c r="U1075" t="e">
        <f>VLOOKUP(Tabelle10[[#This Row],[Rank]],Stammdaten[[Rank Verteilung Krümmung]:[Verteilung Krümmung]],2,FALSE)</f>
        <v>#N/A</v>
      </c>
      <c r="Z1075">
        <v>1066</v>
      </c>
      <c r="AA1075" t="e">
        <f>INDEX(Stammdaten[Ovalität (']0,1'])],MATCH(Tabelle1014[[#This Row],[Rank]],Stammdaten[Rank Verteilung Ovalität],0))</f>
        <v>#N/A</v>
      </c>
      <c r="AB1075" t="e">
        <f>VLOOKUP(Tabelle1014[[#This Row],[Rank]],Stammdaten[[Rank Verteilung Ovalität]:[Verteilung Ovalität]],2,FALSE)</f>
        <v>#N/A</v>
      </c>
    </row>
    <row r="1076" spans="5:28" x14ac:dyDescent="0.35">
      <c r="E1076">
        <v>1067</v>
      </c>
      <c r="F1076" t="e">
        <f>INDEX(Stammdaten[D Mitte mit Rinde (mm)],MATCH(Tabelle8[[#This Row],[Rank]],Stammdaten[Rank Verteilung D Mitte mit Rinde],0))</f>
        <v>#N/A</v>
      </c>
      <c r="G1076" t="e">
        <f>VLOOKUP(Tabelle8[[#This Row],[Rank]],Stammdaten[[Rank Verteilung D Mitte mit Rinde]:[Verteilung D Mitte mit Rinde]],2,FALSE)</f>
        <v>#N/A</v>
      </c>
      <c r="L1076">
        <v>1067</v>
      </c>
      <c r="M1076" t="e">
        <f>INDEX(Stammdaten[Abholzigkeit (mm/lfm)],MATCH(Tabelle9[[#This Row],[Rank]],Stammdaten[Rank Verteilung Abholzigkeit],0))</f>
        <v>#N/A</v>
      </c>
      <c r="N1076" t="e">
        <f>VLOOKUP(Tabelle9[[#This Row],[Rank]],Stammdaten[[Rank Verteilung Abholzigkeit]:[Verteilung Abholzigkeit]],2,FALSE)</f>
        <v>#N/A</v>
      </c>
      <c r="S1076">
        <v>1067</v>
      </c>
      <c r="T1076" t="e">
        <f>INDEX(Stammdaten[Krümmung (mm/lfm)],MATCH(Tabelle10[[#This Row],[Rank]],Stammdaten[Rank Verteilung Krümmung],0))</f>
        <v>#N/A</v>
      </c>
      <c r="U1076" t="e">
        <f>VLOOKUP(Tabelle10[[#This Row],[Rank]],Stammdaten[[Rank Verteilung Krümmung]:[Verteilung Krümmung]],2,FALSE)</f>
        <v>#N/A</v>
      </c>
      <c r="Z1076">
        <v>1067</v>
      </c>
      <c r="AA1076" t="e">
        <f>INDEX(Stammdaten[Ovalität (']0,1'])],MATCH(Tabelle1014[[#This Row],[Rank]],Stammdaten[Rank Verteilung Ovalität],0))</f>
        <v>#N/A</v>
      </c>
      <c r="AB1076" t="e">
        <f>VLOOKUP(Tabelle1014[[#This Row],[Rank]],Stammdaten[[Rank Verteilung Ovalität]:[Verteilung Ovalität]],2,FALSE)</f>
        <v>#N/A</v>
      </c>
    </row>
    <row r="1077" spans="5:28" x14ac:dyDescent="0.35">
      <c r="E1077">
        <v>1068</v>
      </c>
      <c r="F1077" t="e">
        <f>INDEX(Stammdaten[D Mitte mit Rinde (mm)],MATCH(Tabelle8[[#This Row],[Rank]],Stammdaten[Rank Verteilung D Mitte mit Rinde],0))</f>
        <v>#N/A</v>
      </c>
      <c r="G1077" t="e">
        <f>VLOOKUP(Tabelle8[[#This Row],[Rank]],Stammdaten[[Rank Verteilung D Mitte mit Rinde]:[Verteilung D Mitte mit Rinde]],2,FALSE)</f>
        <v>#N/A</v>
      </c>
      <c r="L1077">
        <v>1068</v>
      </c>
      <c r="M1077" t="e">
        <f>INDEX(Stammdaten[Abholzigkeit (mm/lfm)],MATCH(Tabelle9[[#This Row],[Rank]],Stammdaten[Rank Verteilung Abholzigkeit],0))</f>
        <v>#N/A</v>
      </c>
      <c r="N1077" t="e">
        <f>VLOOKUP(Tabelle9[[#This Row],[Rank]],Stammdaten[[Rank Verteilung Abholzigkeit]:[Verteilung Abholzigkeit]],2,FALSE)</f>
        <v>#N/A</v>
      </c>
      <c r="S1077">
        <v>1068</v>
      </c>
      <c r="T1077" t="e">
        <f>INDEX(Stammdaten[Krümmung (mm/lfm)],MATCH(Tabelle10[[#This Row],[Rank]],Stammdaten[Rank Verteilung Krümmung],0))</f>
        <v>#N/A</v>
      </c>
      <c r="U1077" t="e">
        <f>VLOOKUP(Tabelle10[[#This Row],[Rank]],Stammdaten[[Rank Verteilung Krümmung]:[Verteilung Krümmung]],2,FALSE)</f>
        <v>#N/A</v>
      </c>
      <c r="Z1077">
        <v>1068</v>
      </c>
      <c r="AA1077" t="e">
        <f>INDEX(Stammdaten[Ovalität (']0,1'])],MATCH(Tabelle1014[[#This Row],[Rank]],Stammdaten[Rank Verteilung Ovalität],0))</f>
        <v>#N/A</v>
      </c>
      <c r="AB1077" t="e">
        <f>VLOOKUP(Tabelle1014[[#This Row],[Rank]],Stammdaten[[Rank Verteilung Ovalität]:[Verteilung Ovalität]],2,FALSE)</f>
        <v>#N/A</v>
      </c>
    </row>
    <row r="1078" spans="5:28" x14ac:dyDescent="0.35">
      <c r="E1078">
        <v>1069</v>
      </c>
      <c r="F1078" t="e">
        <f>INDEX(Stammdaten[D Mitte mit Rinde (mm)],MATCH(Tabelle8[[#This Row],[Rank]],Stammdaten[Rank Verteilung D Mitte mit Rinde],0))</f>
        <v>#N/A</v>
      </c>
      <c r="G1078" t="e">
        <f>VLOOKUP(Tabelle8[[#This Row],[Rank]],Stammdaten[[Rank Verteilung D Mitte mit Rinde]:[Verteilung D Mitte mit Rinde]],2,FALSE)</f>
        <v>#N/A</v>
      </c>
      <c r="L1078">
        <v>1069</v>
      </c>
      <c r="M1078" t="e">
        <f>INDEX(Stammdaten[Abholzigkeit (mm/lfm)],MATCH(Tabelle9[[#This Row],[Rank]],Stammdaten[Rank Verteilung Abholzigkeit],0))</f>
        <v>#N/A</v>
      </c>
      <c r="N1078" t="e">
        <f>VLOOKUP(Tabelle9[[#This Row],[Rank]],Stammdaten[[Rank Verteilung Abholzigkeit]:[Verteilung Abholzigkeit]],2,FALSE)</f>
        <v>#N/A</v>
      </c>
      <c r="S1078">
        <v>1069</v>
      </c>
      <c r="T1078" t="e">
        <f>INDEX(Stammdaten[Krümmung (mm/lfm)],MATCH(Tabelle10[[#This Row],[Rank]],Stammdaten[Rank Verteilung Krümmung],0))</f>
        <v>#N/A</v>
      </c>
      <c r="U1078" t="e">
        <f>VLOOKUP(Tabelle10[[#This Row],[Rank]],Stammdaten[[Rank Verteilung Krümmung]:[Verteilung Krümmung]],2,FALSE)</f>
        <v>#N/A</v>
      </c>
      <c r="Z1078">
        <v>1069</v>
      </c>
      <c r="AA1078" t="e">
        <f>INDEX(Stammdaten[Ovalität (']0,1'])],MATCH(Tabelle1014[[#This Row],[Rank]],Stammdaten[Rank Verteilung Ovalität],0))</f>
        <v>#N/A</v>
      </c>
      <c r="AB1078" t="e">
        <f>VLOOKUP(Tabelle1014[[#This Row],[Rank]],Stammdaten[[Rank Verteilung Ovalität]:[Verteilung Ovalität]],2,FALSE)</f>
        <v>#N/A</v>
      </c>
    </row>
    <row r="1079" spans="5:28" x14ac:dyDescent="0.35">
      <c r="E1079">
        <v>1070</v>
      </c>
      <c r="F1079" t="e">
        <f>INDEX(Stammdaten[D Mitte mit Rinde (mm)],MATCH(Tabelle8[[#This Row],[Rank]],Stammdaten[Rank Verteilung D Mitte mit Rinde],0))</f>
        <v>#N/A</v>
      </c>
      <c r="G1079" t="e">
        <f>VLOOKUP(Tabelle8[[#This Row],[Rank]],Stammdaten[[Rank Verteilung D Mitte mit Rinde]:[Verteilung D Mitte mit Rinde]],2,FALSE)</f>
        <v>#N/A</v>
      </c>
      <c r="L1079">
        <v>1070</v>
      </c>
      <c r="M1079" t="e">
        <f>INDEX(Stammdaten[Abholzigkeit (mm/lfm)],MATCH(Tabelle9[[#This Row],[Rank]],Stammdaten[Rank Verteilung Abholzigkeit],0))</f>
        <v>#N/A</v>
      </c>
      <c r="N1079" t="e">
        <f>VLOOKUP(Tabelle9[[#This Row],[Rank]],Stammdaten[[Rank Verteilung Abholzigkeit]:[Verteilung Abholzigkeit]],2,FALSE)</f>
        <v>#N/A</v>
      </c>
      <c r="S1079">
        <v>1070</v>
      </c>
      <c r="T1079" t="e">
        <f>INDEX(Stammdaten[Krümmung (mm/lfm)],MATCH(Tabelle10[[#This Row],[Rank]],Stammdaten[Rank Verteilung Krümmung],0))</f>
        <v>#N/A</v>
      </c>
      <c r="U1079" t="e">
        <f>VLOOKUP(Tabelle10[[#This Row],[Rank]],Stammdaten[[Rank Verteilung Krümmung]:[Verteilung Krümmung]],2,FALSE)</f>
        <v>#N/A</v>
      </c>
      <c r="Z1079">
        <v>1070</v>
      </c>
      <c r="AA1079" t="e">
        <f>INDEX(Stammdaten[Ovalität (']0,1'])],MATCH(Tabelle1014[[#This Row],[Rank]],Stammdaten[Rank Verteilung Ovalität],0))</f>
        <v>#N/A</v>
      </c>
      <c r="AB1079" t="e">
        <f>VLOOKUP(Tabelle1014[[#This Row],[Rank]],Stammdaten[[Rank Verteilung Ovalität]:[Verteilung Ovalität]],2,FALSE)</f>
        <v>#N/A</v>
      </c>
    </row>
    <row r="1080" spans="5:28" x14ac:dyDescent="0.35">
      <c r="E1080">
        <v>1071</v>
      </c>
      <c r="F1080" t="e">
        <f>INDEX(Stammdaten[D Mitte mit Rinde (mm)],MATCH(Tabelle8[[#This Row],[Rank]],Stammdaten[Rank Verteilung D Mitte mit Rinde],0))</f>
        <v>#N/A</v>
      </c>
      <c r="G1080" t="e">
        <f>VLOOKUP(Tabelle8[[#This Row],[Rank]],Stammdaten[[Rank Verteilung D Mitte mit Rinde]:[Verteilung D Mitte mit Rinde]],2,FALSE)</f>
        <v>#N/A</v>
      </c>
      <c r="L1080">
        <v>1071</v>
      </c>
      <c r="M1080" t="e">
        <f>INDEX(Stammdaten[Abholzigkeit (mm/lfm)],MATCH(Tabelle9[[#This Row],[Rank]],Stammdaten[Rank Verteilung Abholzigkeit],0))</f>
        <v>#N/A</v>
      </c>
      <c r="N1080" t="e">
        <f>VLOOKUP(Tabelle9[[#This Row],[Rank]],Stammdaten[[Rank Verteilung Abholzigkeit]:[Verteilung Abholzigkeit]],2,FALSE)</f>
        <v>#N/A</v>
      </c>
      <c r="S1080">
        <v>1071</v>
      </c>
      <c r="T1080" t="e">
        <f>INDEX(Stammdaten[Krümmung (mm/lfm)],MATCH(Tabelle10[[#This Row],[Rank]],Stammdaten[Rank Verteilung Krümmung],0))</f>
        <v>#N/A</v>
      </c>
      <c r="U1080" t="e">
        <f>VLOOKUP(Tabelle10[[#This Row],[Rank]],Stammdaten[[Rank Verteilung Krümmung]:[Verteilung Krümmung]],2,FALSE)</f>
        <v>#N/A</v>
      </c>
      <c r="Z1080">
        <v>1071</v>
      </c>
      <c r="AA1080" t="e">
        <f>INDEX(Stammdaten[Ovalität (']0,1'])],MATCH(Tabelle1014[[#This Row],[Rank]],Stammdaten[Rank Verteilung Ovalität],0))</f>
        <v>#N/A</v>
      </c>
      <c r="AB1080" t="e">
        <f>VLOOKUP(Tabelle1014[[#This Row],[Rank]],Stammdaten[[Rank Verteilung Ovalität]:[Verteilung Ovalität]],2,FALSE)</f>
        <v>#N/A</v>
      </c>
    </row>
    <row r="1081" spans="5:28" x14ac:dyDescent="0.35">
      <c r="E1081">
        <v>1072</v>
      </c>
      <c r="F1081" t="e">
        <f>INDEX(Stammdaten[D Mitte mit Rinde (mm)],MATCH(Tabelle8[[#This Row],[Rank]],Stammdaten[Rank Verteilung D Mitte mit Rinde],0))</f>
        <v>#N/A</v>
      </c>
      <c r="G1081" t="e">
        <f>VLOOKUP(Tabelle8[[#This Row],[Rank]],Stammdaten[[Rank Verteilung D Mitte mit Rinde]:[Verteilung D Mitte mit Rinde]],2,FALSE)</f>
        <v>#N/A</v>
      </c>
      <c r="L1081">
        <v>1072</v>
      </c>
      <c r="M1081" t="e">
        <f>INDEX(Stammdaten[Abholzigkeit (mm/lfm)],MATCH(Tabelle9[[#This Row],[Rank]],Stammdaten[Rank Verteilung Abholzigkeit],0))</f>
        <v>#N/A</v>
      </c>
      <c r="N1081" t="e">
        <f>VLOOKUP(Tabelle9[[#This Row],[Rank]],Stammdaten[[Rank Verteilung Abholzigkeit]:[Verteilung Abholzigkeit]],2,FALSE)</f>
        <v>#N/A</v>
      </c>
      <c r="S1081">
        <v>1072</v>
      </c>
      <c r="T1081" t="e">
        <f>INDEX(Stammdaten[Krümmung (mm/lfm)],MATCH(Tabelle10[[#This Row],[Rank]],Stammdaten[Rank Verteilung Krümmung],0))</f>
        <v>#N/A</v>
      </c>
      <c r="U1081" t="e">
        <f>VLOOKUP(Tabelle10[[#This Row],[Rank]],Stammdaten[[Rank Verteilung Krümmung]:[Verteilung Krümmung]],2,FALSE)</f>
        <v>#N/A</v>
      </c>
      <c r="Z1081">
        <v>1072</v>
      </c>
      <c r="AA1081" t="e">
        <f>INDEX(Stammdaten[Ovalität (']0,1'])],MATCH(Tabelle1014[[#This Row],[Rank]],Stammdaten[Rank Verteilung Ovalität],0))</f>
        <v>#N/A</v>
      </c>
      <c r="AB1081" t="e">
        <f>VLOOKUP(Tabelle1014[[#This Row],[Rank]],Stammdaten[[Rank Verteilung Ovalität]:[Verteilung Ovalität]],2,FALSE)</f>
        <v>#N/A</v>
      </c>
    </row>
    <row r="1082" spans="5:28" x14ac:dyDescent="0.35">
      <c r="E1082">
        <v>1073</v>
      </c>
      <c r="F1082" t="e">
        <f>INDEX(Stammdaten[D Mitte mit Rinde (mm)],MATCH(Tabelle8[[#This Row],[Rank]],Stammdaten[Rank Verteilung D Mitte mit Rinde],0))</f>
        <v>#N/A</v>
      </c>
      <c r="G1082" t="e">
        <f>VLOOKUP(Tabelle8[[#This Row],[Rank]],Stammdaten[[Rank Verteilung D Mitte mit Rinde]:[Verteilung D Mitte mit Rinde]],2,FALSE)</f>
        <v>#N/A</v>
      </c>
      <c r="L1082">
        <v>1073</v>
      </c>
      <c r="M1082" t="e">
        <f>INDEX(Stammdaten[Abholzigkeit (mm/lfm)],MATCH(Tabelle9[[#This Row],[Rank]],Stammdaten[Rank Verteilung Abholzigkeit],0))</f>
        <v>#N/A</v>
      </c>
      <c r="N1082" t="e">
        <f>VLOOKUP(Tabelle9[[#This Row],[Rank]],Stammdaten[[Rank Verteilung Abholzigkeit]:[Verteilung Abholzigkeit]],2,FALSE)</f>
        <v>#N/A</v>
      </c>
      <c r="S1082">
        <v>1073</v>
      </c>
      <c r="T1082" t="e">
        <f>INDEX(Stammdaten[Krümmung (mm/lfm)],MATCH(Tabelle10[[#This Row],[Rank]],Stammdaten[Rank Verteilung Krümmung],0))</f>
        <v>#N/A</v>
      </c>
      <c r="U1082" t="e">
        <f>VLOOKUP(Tabelle10[[#This Row],[Rank]],Stammdaten[[Rank Verteilung Krümmung]:[Verteilung Krümmung]],2,FALSE)</f>
        <v>#N/A</v>
      </c>
      <c r="Z1082">
        <v>1073</v>
      </c>
      <c r="AA1082" t="e">
        <f>INDEX(Stammdaten[Ovalität (']0,1'])],MATCH(Tabelle1014[[#This Row],[Rank]],Stammdaten[Rank Verteilung Ovalität],0))</f>
        <v>#N/A</v>
      </c>
      <c r="AB1082" t="e">
        <f>VLOOKUP(Tabelle1014[[#This Row],[Rank]],Stammdaten[[Rank Verteilung Ovalität]:[Verteilung Ovalität]],2,FALSE)</f>
        <v>#N/A</v>
      </c>
    </row>
    <row r="1083" spans="5:28" x14ac:dyDescent="0.35">
      <c r="E1083">
        <v>1074</v>
      </c>
      <c r="F1083" t="e">
        <f>INDEX(Stammdaten[D Mitte mit Rinde (mm)],MATCH(Tabelle8[[#This Row],[Rank]],Stammdaten[Rank Verteilung D Mitte mit Rinde],0))</f>
        <v>#N/A</v>
      </c>
      <c r="G1083" t="e">
        <f>VLOOKUP(Tabelle8[[#This Row],[Rank]],Stammdaten[[Rank Verteilung D Mitte mit Rinde]:[Verteilung D Mitte mit Rinde]],2,FALSE)</f>
        <v>#N/A</v>
      </c>
      <c r="L1083">
        <v>1074</v>
      </c>
      <c r="M1083" t="e">
        <f>INDEX(Stammdaten[Abholzigkeit (mm/lfm)],MATCH(Tabelle9[[#This Row],[Rank]],Stammdaten[Rank Verteilung Abholzigkeit],0))</f>
        <v>#N/A</v>
      </c>
      <c r="N1083" t="e">
        <f>VLOOKUP(Tabelle9[[#This Row],[Rank]],Stammdaten[[Rank Verteilung Abholzigkeit]:[Verteilung Abholzigkeit]],2,FALSE)</f>
        <v>#N/A</v>
      </c>
      <c r="S1083">
        <v>1074</v>
      </c>
      <c r="T1083" t="e">
        <f>INDEX(Stammdaten[Krümmung (mm/lfm)],MATCH(Tabelle10[[#This Row],[Rank]],Stammdaten[Rank Verteilung Krümmung],0))</f>
        <v>#N/A</v>
      </c>
      <c r="U1083" t="e">
        <f>VLOOKUP(Tabelle10[[#This Row],[Rank]],Stammdaten[[Rank Verteilung Krümmung]:[Verteilung Krümmung]],2,FALSE)</f>
        <v>#N/A</v>
      </c>
      <c r="Z1083">
        <v>1074</v>
      </c>
      <c r="AA1083" t="e">
        <f>INDEX(Stammdaten[Ovalität (']0,1'])],MATCH(Tabelle1014[[#This Row],[Rank]],Stammdaten[Rank Verteilung Ovalität],0))</f>
        <v>#N/A</v>
      </c>
      <c r="AB1083" t="e">
        <f>VLOOKUP(Tabelle1014[[#This Row],[Rank]],Stammdaten[[Rank Verteilung Ovalität]:[Verteilung Ovalität]],2,FALSE)</f>
        <v>#N/A</v>
      </c>
    </row>
    <row r="1084" spans="5:28" x14ac:dyDescent="0.35">
      <c r="E1084">
        <v>1075</v>
      </c>
      <c r="F1084" t="e">
        <f>INDEX(Stammdaten[D Mitte mit Rinde (mm)],MATCH(Tabelle8[[#This Row],[Rank]],Stammdaten[Rank Verteilung D Mitte mit Rinde],0))</f>
        <v>#N/A</v>
      </c>
      <c r="G1084" t="e">
        <f>VLOOKUP(Tabelle8[[#This Row],[Rank]],Stammdaten[[Rank Verteilung D Mitte mit Rinde]:[Verteilung D Mitte mit Rinde]],2,FALSE)</f>
        <v>#N/A</v>
      </c>
      <c r="L1084">
        <v>1075</v>
      </c>
      <c r="M1084" t="e">
        <f>INDEX(Stammdaten[Abholzigkeit (mm/lfm)],MATCH(Tabelle9[[#This Row],[Rank]],Stammdaten[Rank Verteilung Abholzigkeit],0))</f>
        <v>#N/A</v>
      </c>
      <c r="N1084" t="e">
        <f>VLOOKUP(Tabelle9[[#This Row],[Rank]],Stammdaten[[Rank Verteilung Abholzigkeit]:[Verteilung Abholzigkeit]],2,FALSE)</f>
        <v>#N/A</v>
      </c>
      <c r="S1084">
        <v>1075</v>
      </c>
      <c r="T1084" t="e">
        <f>INDEX(Stammdaten[Krümmung (mm/lfm)],MATCH(Tabelle10[[#This Row],[Rank]],Stammdaten[Rank Verteilung Krümmung],0))</f>
        <v>#N/A</v>
      </c>
      <c r="U1084" t="e">
        <f>VLOOKUP(Tabelle10[[#This Row],[Rank]],Stammdaten[[Rank Verteilung Krümmung]:[Verteilung Krümmung]],2,FALSE)</f>
        <v>#N/A</v>
      </c>
      <c r="Z1084">
        <v>1075</v>
      </c>
      <c r="AA1084" t="e">
        <f>INDEX(Stammdaten[Ovalität (']0,1'])],MATCH(Tabelle1014[[#This Row],[Rank]],Stammdaten[Rank Verteilung Ovalität],0))</f>
        <v>#N/A</v>
      </c>
      <c r="AB1084" t="e">
        <f>VLOOKUP(Tabelle1014[[#This Row],[Rank]],Stammdaten[[Rank Verteilung Ovalität]:[Verteilung Ovalität]],2,FALSE)</f>
        <v>#N/A</v>
      </c>
    </row>
    <row r="1085" spans="5:28" x14ac:dyDescent="0.35">
      <c r="E1085">
        <v>1076</v>
      </c>
      <c r="F1085" t="e">
        <f>INDEX(Stammdaten[D Mitte mit Rinde (mm)],MATCH(Tabelle8[[#This Row],[Rank]],Stammdaten[Rank Verteilung D Mitte mit Rinde],0))</f>
        <v>#N/A</v>
      </c>
      <c r="G1085" t="e">
        <f>VLOOKUP(Tabelle8[[#This Row],[Rank]],Stammdaten[[Rank Verteilung D Mitte mit Rinde]:[Verteilung D Mitte mit Rinde]],2,FALSE)</f>
        <v>#N/A</v>
      </c>
      <c r="L1085">
        <v>1076</v>
      </c>
      <c r="M1085" t="e">
        <f>INDEX(Stammdaten[Abholzigkeit (mm/lfm)],MATCH(Tabelle9[[#This Row],[Rank]],Stammdaten[Rank Verteilung Abholzigkeit],0))</f>
        <v>#N/A</v>
      </c>
      <c r="N1085" t="e">
        <f>VLOOKUP(Tabelle9[[#This Row],[Rank]],Stammdaten[[Rank Verteilung Abholzigkeit]:[Verteilung Abholzigkeit]],2,FALSE)</f>
        <v>#N/A</v>
      </c>
      <c r="S1085">
        <v>1076</v>
      </c>
      <c r="T1085" t="e">
        <f>INDEX(Stammdaten[Krümmung (mm/lfm)],MATCH(Tabelle10[[#This Row],[Rank]],Stammdaten[Rank Verteilung Krümmung],0))</f>
        <v>#N/A</v>
      </c>
      <c r="U1085" t="e">
        <f>VLOOKUP(Tabelle10[[#This Row],[Rank]],Stammdaten[[Rank Verteilung Krümmung]:[Verteilung Krümmung]],2,FALSE)</f>
        <v>#N/A</v>
      </c>
      <c r="Z1085">
        <v>1076</v>
      </c>
      <c r="AA1085" t="e">
        <f>INDEX(Stammdaten[Ovalität (']0,1'])],MATCH(Tabelle1014[[#This Row],[Rank]],Stammdaten[Rank Verteilung Ovalität],0))</f>
        <v>#N/A</v>
      </c>
      <c r="AB1085" t="e">
        <f>VLOOKUP(Tabelle1014[[#This Row],[Rank]],Stammdaten[[Rank Verteilung Ovalität]:[Verteilung Ovalität]],2,FALSE)</f>
        <v>#N/A</v>
      </c>
    </row>
    <row r="1086" spans="5:28" x14ac:dyDescent="0.35">
      <c r="E1086">
        <v>1077</v>
      </c>
      <c r="F1086" t="e">
        <f>INDEX(Stammdaten[D Mitte mit Rinde (mm)],MATCH(Tabelle8[[#This Row],[Rank]],Stammdaten[Rank Verteilung D Mitte mit Rinde],0))</f>
        <v>#N/A</v>
      </c>
      <c r="G1086" t="e">
        <f>VLOOKUP(Tabelle8[[#This Row],[Rank]],Stammdaten[[Rank Verteilung D Mitte mit Rinde]:[Verteilung D Mitte mit Rinde]],2,FALSE)</f>
        <v>#N/A</v>
      </c>
      <c r="L1086">
        <v>1077</v>
      </c>
      <c r="M1086" t="e">
        <f>INDEX(Stammdaten[Abholzigkeit (mm/lfm)],MATCH(Tabelle9[[#This Row],[Rank]],Stammdaten[Rank Verteilung Abholzigkeit],0))</f>
        <v>#N/A</v>
      </c>
      <c r="N1086" t="e">
        <f>VLOOKUP(Tabelle9[[#This Row],[Rank]],Stammdaten[[Rank Verteilung Abholzigkeit]:[Verteilung Abholzigkeit]],2,FALSE)</f>
        <v>#N/A</v>
      </c>
      <c r="S1086">
        <v>1077</v>
      </c>
      <c r="T1086" t="e">
        <f>INDEX(Stammdaten[Krümmung (mm/lfm)],MATCH(Tabelle10[[#This Row],[Rank]],Stammdaten[Rank Verteilung Krümmung],0))</f>
        <v>#N/A</v>
      </c>
      <c r="U1086" t="e">
        <f>VLOOKUP(Tabelle10[[#This Row],[Rank]],Stammdaten[[Rank Verteilung Krümmung]:[Verteilung Krümmung]],2,FALSE)</f>
        <v>#N/A</v>
      </c>
      <c r="Z1086">
        <v>1077</v>
      </c>
      <c r="AA1086" t="e">
        <f>INDEX(Stammdaten[Ovalität (']0,1'])],MATCH(Tabelle1014[[#This Row],[Rank]],Stammdaten[Rank Verteilung Ovalität],0))</f>
        <v>#N/A</v>
      </c>
      <c r="AB1086" t="e">
        <f>VLOOKUP(Tabelle1014[[#This Row],[Rank]],Stammdaten[[Rank Verteilung Ovalität]:[Verteilung Ovalität]],2,FALSE)</f>
        <v>#N/A</v>
      </c>
    </row>
    <row r="1087" spans="5:28" x14ac:dyDescent="0.35">
      <c r="E1087">
        <v>1078</v>
      </c>
      <c r="F1087" t="e">
        <f>INDEX(Stammdaten[D Mitte mit Rinde (mm)],MATCH(Tabelle8[[#This Row],[Rank]],Stammdaten[Rank Verteilung D Mitte mit Rinde],0))</f>
        <v>#N/A</v>
      </c>
      <c r="G1087" t="e">
        <f>VLOOKUP(Tabelle8[[#This Row],[Rank]],Stammdaten[[Rank Verteilung D Mitte mit Rinde]:[Verteilung D Mitte mit Rinde]],2,FALSE)</f>
        <v>#N/A</v>
      </c>
      <c r="L1087">
        <v>1078</v>
      </c>
      <c r="M1087" t="e">
        <f>INDEX(Stammdaten[Abholzigkeit (mm/lfm)],MATCH(Tabelle9[[#This Row],[Rank]],Stammdaten[Rank Verteilung Abholzigkeit],0))</f>
        <v>#N/A</v>
      </c>
      <c r="N1087" t="e">
        <f>VLOOKUP(Tabelle9[[#This Row],[Rank]],Stammdaten[[Rank Verteilung Abholzigkeit]:[Verteilung Abholzigkeit]],2,FALSE)</f>
        <v>#N/A</v>
      </c>
      <c r="S1087">
        <v>1078</v>
      </c>
      <c r="T1087" t="e">
        <f>INDEX(Stammdaten[Krümmung (mm/lfm)],MATCH(Tabelle10[[#This Row],[Rank]],Stammdaten[Rank Verteilung Krümmung],0))</f>
        <v>#N/A</v>
      </c>
      <c r="U1087" t="e">
        <f>VLOOKUP(Tabelle10[[#This Row],[Rank]],Stammdaten[[Rank Verteilung Krümmung]:[Verteilung Krümmung]],2,FALSE)</f>
        <v>#N/A</v>
      </c>
      <c r="Z1087">
        <v>1078</v>
      </c>
      <c r="AA1087" t="e">
        <f>INDEX(Stammdaten[Ovalität (']0,1'])],MATCH(Tabelle1014[[#This Row],[Rank]],Stammdaten[Rank Verteilung Ovalität],0))</f>
        <v>#N/A</v>
      </c>
      <c r="AB1087" t="e">
        <f>VLOOKUP(Tabelle1014[[#This Row],[Rank]],Stammdaten[[Rank Verteilung Ovalität]:[Verteilung Ovalität]],2,FALSE)</f>
        <v>#N/A</v>
      </c>
    </row>
    <row r="1088" spans="5:28" x14ac:dyDescent="0.35">
      <c r="E1088">
        <v>1079</v>
      </c>
      <c r="F1088" t="e">
        <f>INDEX(Stammdaten[D Mitte mit Rinde (mm)],MATCH(Tabelle8[[#This Row],[Rank]],Stammdaten[Rank Verteilung D Mitte mit Rinde],0))</f>
        <v>#N/A</v>
      </c>
      <c r="G1088" t="e">
        <f>VLOOKUP(Tabelle8[[#This Row],[Rank]],Stammdaten[[Rank Verteilung D Mitte mit Rinde]:[Verteilung D Mitte mit Rinde]],2,FALSE)</f>
        <v>#N/A</v>
      </c>
      <c r="L1088">
        <v>1079</v>
      </c>
      <c r="M1088" t="e">
        <f>INDEX(Stammdaten[Abholzigkeit (mm/lfm)],MATCH(Tabelle9[[#This Row],[Rank]],Stammdaten[Rank Verteilung Abholzigkeit],0))</f>
        <v>#N/A</v>
      </c>
      <c r="N1088" t="e">
        <f>VLOOKUP(Tabelle9[[#This Row],[Rank]],Stammdaten[[Rank Verteilung Abholzigkeit]:[Verteilung Abholzigkeit]],2,FALSE)</f>
        <v>#N/A</v>
      </c>
      <c r="S1088">
        <v>1079</v>
      </c>
      <c r="T1088" t="e">
        <f>INDEX(Stammdaten[Krümmung (mm/lfm)],MATCH(Tabelle10[[#This Row],[Rank]],Stammdaten[Rank Verteilung Krümmung],0))</f>
        <v>#N/A</v>
      </c>
      <c r="U1088" t="e">
        <f>VLOOKUP(Tabelle10[[#This Row],[Rank]],Stammdaten[[Rank Verteilung Krümmung]:[Verteilung Krümmung]],2,FALSE)</f>
        <v>#N/A</v>
      </c>
      <c r="Z1088">
        <v>1079</v>
      </c>
      <c r="AA1088" t="e">
        <f>INDEX(Stammdaten[Ovalität (']0,1'])],MATCH(Tabelle1014[[#This Row],[Rank]],Stammdaten[Rank Verteilung Ovalität],0))</f>
        <v>#N/A</v>
      </c>
      <c r="AB1088" t="e">
        <f>VLOOKUP(Tabelle1014[[#This Row],[Rank]],Stammdaten[[Rank Verteilung Ovalität]:[Verteilung Ovalität]],2,FALSE)</f>
        <v>#N/A</v>
      </c>
    </row>
    <row r="1089" spans="5:28" x14ac:dyDescent="0.35">
      <c r="E1089">
        <v>1080</v>
      </c>
      <c r="F1089" t="e">
        <f>INDEX(Stammdaten[D Mitte mit Rinde (mm)],MATCH(Tabelle8[[#This Row],[Rank]],Stammdaten[Rank Verteilung D Mitte mit Rinde],0))</f>
        <v>#N/A</v>
      </c>
      <c r="G1089" t="e">
        <f>VLOOKUP(Tabelle8[[#This Row],[Rank]],Stammdaten[[Rank Verteilung D Mitte mit Rinde]:[Verteilung D Mitte mit Rinde]],2,FALSE)</f>
        <v>#N/A</v>
      </c>
      <c r="L1089">
        <v>1080</v>
      </c>
      <c r="M1089" t="e">
        <f>INDEX(Stammdaten[Abholzigkeit (mm/lfm)],MATCH(Tabelle9[[#This Row],[Rank]],Stammdaten[Rank Verteilung Abholzigkeit],0))</f>
        <v>#N/A</v>
      </c>
      <c r="N1089" t="e">
        <f>VLOOKUP(Tabelle9[[#This Row],[Rank]],Stammdaten[[Rank Verteilung Abholzigkeit]:[Verteilung Abholzigkeit]],2,FALSE)</f>
        <v>#N/A</v>
      </c>
      <c r="S1089">
        <v>1080</v>
      </c>
      <c r="T1089" t="e">
        <f>INDEX(Stammdaten[Krümmung (mm/lfm)],MATCH(Tabelle10[[#This Row],[Rank]],Stammdaten[Rank Verteilung Krümmung],0))</f>
        <v>#N/A</v>
      </c>
      <c r="U1089" t="e">
        <f>VLOOKUP(Tabelle10[[#This Row],[Rank]],Stammdaten[[Rank Verteilung Krümmung]:[Verteilung Krümmung]],2,FALSE)</f>
        <v>#N/A</v>
      </c>
      <c r="Z1089">
        <v>1080</v>
      </c>
      <c r="AA1089" t="e">
        <f>INDEX(Stammdaten[Ovalität (']0,1'])],MATCH(Tabelle1014[[#This Row],[Rank]],Stammdaten[Rank Verteilung Ovalität],0))</f>
        <v>#N/A</v>
      </c>
      <c r="AB1089" t="e">
        <f>VLOOKUP(Tabelle1014[[#This Row],[Rank]],Stammdaten[[Rank Verteilung Ovalität]:[Verteilung Ovalität]],2,FALSE)</f>
        <v>#N/A</v>
      </c>
    </row>
    <row r="1090" spans="5:28" x14ac:dyDescent="0.35">
      <c r="E1090">
        <v>1081</v>
      </c>
      <c r="F1090" t="e">
        <f>INDEX(Stammdaten[D Mitte mit Rinde (mm)],MATCH(Tabelle8[[#This Row],[Rank]],Stammdaten[Rank Verteilung D Mitte mit Rinde],0))</f>
        <v>#N/A</v>
      </c>
      <c r="G1090" t="e">
        <f>VLOOKUP(Tabelle8[[#This Row],[Rank]],Stammdaten[[Rank Verteilung D Mitte mit Rinde]:[Verteilung D Mitte mit Rinde]],2,FALSE)</f>
        <v>#N/A</v>
      </c>
      <c r="L1090">
        <v>1081</v>
      </c>
      <c r="M1090" t="e">
        <f>INDEX(Stammdaten[Abholzigkeit (mm/lfm)],MATCH(Tabelle9[[#This Row],[Rank]],Stammdaten[Rank Verteilung Abholzigkeit],0))</f>
        <v>#N/A</v>
      </c>
      <c r="N1090" t="e">
        <f>VLOOKUP(Tabelle9[[#This Row],[Rank]],Stammdaten[[Rank Verteilung Abholzigkeit]:[Verteilung Abholzigkeit]],2,FALSE)</f>
        <v>#N/A</v>
      </c>
      <c r="S1090">
        <v>1081</v>
      </c>
      <c r="T1090" t="e">
        <f>INDEX(Stammdaten[Krümmung (mm/lfm)],MATCH(Tabelle10[[#This Row],[Rank]],Stammdaten[Rank Verteilung Krümmung],0))</f>
        <v>#N/A</v>
      </c>
      <c r="U1090" t="e">
        <f>VLOOKUP(Tabelle10[[#This Row],[Rank]],Stammdaten[[Rank Verteilung Krümmung]:[Verteilung Krümmung]],2,FALSE)</f>
        <v>#N/A</v>
      </c>
      <c r="Z1090">
        <v>1081</v>
      </c>
      <c r="AA1090" t="e">
        <f>INDEX(Stammdaten[Ovalität (']0,1'])],MATCH(Tabelle1014[[#This Row],[Rank]],Stammdaten[Rank Verteilung Ovalität],0))</f>
        <v>#N/A</v>
      </c>
      <c r="AB1090" t="e">
        <f>VLOOKUP(Tabelle1014[[#This Row],[Rank]],Stammdaten[[Rank Verteilung Ovalität]:[Verteilung Ovalität]],2,FALSE)</f>
        <v>#N/A</v>
      </c>
    </row>
    <row r="1091" spans="5:28" x14ac:dyDescent="0.35">
      <c r="E1091">
        <v>1082</v>
      </c>
      <c r="F1091" t="e">
        <f>INDEX(Stammdaten[D Mitte mit Rinde (mm)],MATCH(Tabelle8[[#This Row],[Rank]],Stammdaten[Rank Verteilung D Mitte mit Rinde],0))</f>
        <v>#N/A</v>
      </c>
      <c r="G1091" t="e">
        <f>VLOOKUP(Tabelle8[[#This Row],[Rank]],Stammdaten[[Rank Verteilung D Mitte mit Rinde]:[Verteilung D Mitte mit Rinde]],2,FALSE)</f>
        <v>#N/A</v>
      </c>
      <c r="L1091">
        <v>1082</v>
      </c>
      <c r="M1091" t="e">
        <f>INDEX(Stammdaten[Abholzigkeit (mm/lfm)],MATCH(Tabelle9[[#This Row],[Rank]],Stammdaten[Rank Verteilung Abholzigkeit],0))</f>
        <v>#N/A</v>
      </c>
      <c r="N1091" t="e">
        <f>VLOOKUP(Tabelle9[[#This Row],[Rank]],Stammdaten[[Rank Verteilung Abholzigkeit]:[Verteilung Abholzigkeit]],2,FALSE)</f>
        <v>#N/A</v>
      </c>
      <c r="S1091">
        <v>1082</v>
      </c>
      <c r="T1091" t="e">
        <f>INDEX(Stammdaten[Krümmung (mm/lfm)],MATCH(Tabelle10[[#This Row],[Rank]],Stammdaten[Rank Verteilung Krümmung],0))</f>
        <v>#N/A</v>
      </c>
      <c r="U1091" t="e">
        <f>VLOOKUP(Tabelle10[[#This Row],[Rank]],Stammdaten[[Rank Verteilung Krümmung]:[Verteilung Krümmung]],2,FALSE)</f>
        <v>#N/A</v>
      </c>
      <c r="Z1091">
        <v>1082</v>
      </c>
      <c r="AA1091" t="e">
        <f>INDEX(Stammdaten[Ovalität (']0,1'])],MATCH(Tabelle1014[[#This Row],[Rank]],Stammdaten[Rank Verteilung Ovalität],0))</f>
        <v>#N/A</v>
      </c>
      <c r="AB1091" t="e">
        <f>VLOOKUP(Tabelle1014[[#This Row],[Rank]],Stammdaten[[Rank Verteilung Ovalität]:[Verteilung Ovalität]],2,FALSE)</f>
        <v>#N/A</v>
      </c>
    </row>
    <row r="1092" spans="5:28" x14ac:dyDescent="0.35">
      <c r="E1092">
        <v>1083</v>
      </c>
      <c r="F1092" t="e">
        <f>INDEX(Stammdaten[D Mitte mit Rinde (mm)],MATCH(Tabelle8[[#This Row],[Rank]],Stammdaten[Rank Verteilung D Mitte mit Rinde],0))</f>
        <v>#N/A</v>
      </c>
      <c r="G1092" t="e">
        <f>VLOOKUP(Tabelle8[[#This Row],[Rank]],Stammdaten[[Rank Verteilung D Mitte mit Rinde]:[Verteilung D Mitte mit Rinde]],2,FALSE)</f>
        <v>#N/A</v>
      </c>
      <c r="L1092">
        <v>1083</v>
      </c>
      <c r="M1092" t="e">
        <f>INDEX(Stammdaten[Abholzigkeit (mm/lfm)],MATCH(Tabelle9[[#This Row],[Rank]],Stammdaten[Rank Verteilung Abholzigkeit],0))</f>
        <v>#N/A</v>
      </c>
      <c r="N1092" t="e">
        <f>VLOOKUP(Tabelle9[[#This Row],[Rank]],Stammdaten[[Rank Verteilung Abholzigkeit]:[Verteilung Abholzigkeit]],2,FALSE)</f>
        <v>#N/A</v>
      </c>
      <c r="S1092">
        <v>1083</v>
      </c>
      <c r="T1092" t="e">
        <f>INDEX(Stammdaten[Krümmung (mm/lfm)],MATCH(Tabelle10[[#This Row],[Rank]],Stammdaten[Rank Verteilung Krümmung],0))</f>
        <v>#N/A</v>
      </c>
      <c r="U1092" t="e">
        <f>VLOOKUP(Tabelle10[[#This Row],[Rank]],Stammdaten[[Rank Verteilung Krümmung]:[Verteilung Krümmung]],2,FALSE)</f>
        <v>#N/A</v>
      </c>
      <c r="Z1092">
        <v>1083</v>
      </c>
      <c r="AA1092" t="e">
        <f>INDEX(Stammdaten[Ovalität (']0,1'])],MATCH(Tabelle1014[[#This Row],[Rank]],Stammdaten[Rank Verteilung Ovalität],0))</f>
        <v>#N/A</v>
      </c>
      <c r="AB1092" t="e">
        <f>VLOOKUP(Tabelle1014[[#This Row],[Rank]],Stammdaten[[Rank Verteilung Ovalität]:[Verteilung Ovalität]],2,FALSE)</f>
        <v>#N/A</v>
      </c>
    </row>
    <row r="1093" spans="5:28" x14ac:dyDescent="0.35">
      <c r="E1093">
        <v>1084</v>
      </c>
      <c r="F1093" t="e">
        <f>INDEX(Stammdaten[D Mitte mit Rinde (mm)],MATCH(Tabelle8[[#This Row],[Rank]],Stammdaten[Rank Verteilung D Mitte mit Rinde],0))</f>
        <v>#N/A</v>
      </c>
      <c r="G1093" t="e">
        <f>VLOOKUP(Tabelle8[[#This Row],[Rank]],Stammdaten[[Rank Verteilung D Mitte mit Rinde]:[Verteilung D Mitte mit Rinde]],2,FALSE)</f>
        <v>#N/A</v>
      </c>
      <c r="L1093">
        <v>1084</v>
      </c>
      <c r="M1093" t="e">
        <f>INDEX(Stammdaten[Abholzigkeit (mm/lfm)],MATCH(Tabelle9[[#This Row],[Rank]],Stammdaten[Rank Verteilung Abholzigkeit],0))</f>
        <v>#N/A</v>
      </c>
      <c r="N1093" t="e">
        <f>VLOOKUP(Tabelle9[[#This Row],[Rank]],Stammdaten[[Rank Verteilung Abholzigkeit]:[Verteilung Abholzigkeit]],2,FALSE)</f>
        <v>#N/A</v>
      </c>
      <c r="S1093">
        <v>1084</v>
      </c>
      <c r="T1093" t="e">
        <f>INDEX(Stammdaten[Krümmung (mm/lfm)],MATCH(Tabelle10[[#This Row],[Rank]],Stammdaten[Rank Verteilung Krümmung],0))</f>
        <v>#N/A</v>
      </c>
      <c r="U1093" t="e">
        <f>VLOOKUP(Tabelle10[[#This Row],[Rank]],Stammdaten[[Rank Verteilung Krümmung]:[Verteilung Krümmung]],2,FALSE)</f>
        <v>#N/A</v>
      </c>
      <c r="Z1093">
        <v>1084</v>
      </c>
      <c r="AA1093" t="e">
        <f>INDEX(Stammdaten[Ovalität (']0,1'])],MATCH(Tabelle1014[[#This Row],[Rank]],Stammdaten[Rank Verteilung Ovalität],0))</f>
        <v>#N/A</v>
      </c>
      <c r="AB1093" t="e">
        <f>VLOOKUP(Tabelle1014[[#This Row],[Rank]],Stammdaten[[Rank Verteilung Ovalität]:[Verteilung Ovalität]],2,FALSE)</f>
        <v>#N/A</v>
      </c>
    </row>
    <row r="1094" spans="5:28" x14ac:dyDescent="0.35">
      <c r="E1094">
        <v>1085</v>
      </c>
      <c r="F1094" t="e">
        <f>INDEX(Stammdaten[D Mitte mit Rinde (mm)],MATCH(Tabelle8[[#This Row],[Rank]],Stammdaten[Rank Verteilung D Mitte mit Rinde],0))</f>
        <v>#N/A</v>
      </c>
      <c r="G1094" t="e">
        <f>VLOOKUP(Tabelle8[[#This Row],[Rank]],Stammdaten[[Rank Verteilung D Mitte mit Rinde]:[Verteilung D Mitte mit Rinde]],2,FALSE)</f>
        <v>#N/A</v>
      </c>
      <c r="L1094">
        <v>1085</v>
      </c>
      <c r="M1094" t="e">
        <f>INDEX(Stammdaten[Abholzigkeit (mm/lfm)],MATCH(Tabelle9[[#This Row],[Rank]],Stammdaten[Rank Verteilung Abholzigkeit],0))</f>
        <v>#N/A</v>
      </c>
      <c r="N1094" t="e">
        <f>VLOOKUP(Tabelle9[[#This Row],[Rank]],Stammdaten[[Rank Verteilung Abholzigkeit]:[Verteilung Abholzigkeit]],2,FALSE)</f>
        <v>#N/A</v>
      </c>
      <c r="S1094">
        <v>1085</v>
      </c>
      <c r="T1094" t="e">
        <f>INDEX(Stammdaten[Krümmung (mm/lfm)],MATCH(Tabelle10[[#This Row],[Rank]],Stammdaten[Rank Verteilung Krümmung],0))</f>
        <v>#N/A</v>
      </c>
      <c r="U1094" t="e">
        <f>VLOOKUP(Tabelle10[[#This Row],[Rank]],Stammdaten[[Rank Verteilung Krümmung]:[Verteilung Krümmung]],2,FALSE)</f>
        <v>#N/A</v>
      </c>
      <c r="Z1094">
        <v>1085</v>
      </c>
      <c r="AA1094" t="e">
        <f>INDEX(Stammdaten[Ovalität (']0,1'])],MATCH(Tabelle1014[[#This Row],[Rank]],Stammdaten[Rank Verteilung Ovalität],0))</f>
        <v>#N/A</v>
      </c>
      <c r="AB1094" t="e">
        <f>VLOOKUP(Tabelle1014[[#This Row],[Rank]],Stammdaten[[Rank Verteilung Ovalität]:[Verteilung Ovalität]],2,FALSE)</f>
        <v>#N/A</v>
      </c>
    </row>
    <row r="1095" spans="5:28" x14ac:dyDescent="0.35">
      <c r="E1095">
        <v>1086</v>
      </c>
      <c r="F1095" t="e">
        <f>INDEX(Stammdaten[D Mitte mit Rinde (mm)],MATCH(Tabelle8[[#This Row],[Rank]],Stammdaten[Rank Verteilung D Mitte mit Rinde],0))</f>
        <v>#N/A</v>
      </c>
      <c r="G1095" t="e">
        <f>VLOOKUP(Tabelle8[[#This Row],[Rank]],Stammdaten[[Rank Verteilung D Mitte mit Rinde]:[Verteilung D Mitte mit Rinde]],2,FALSE)</f>
        <v>#N/A</v>
      </c>
      <c r="L1095">
        <v>1086</v>
      </c>
      <c r="M1095" t="e">
        <f>INDEX(Stammdaten[Abholzigkeit (mm/lfm)],MATCH(Tabelle9[[#This Row],[Rank]],Stammdaten[Rank Verteilung Abholzigkeit],0))</f>
        <v>#N/A</v>
      </c>
      <c r="N1095" t="e">
        <f>VLOOKUP(Tabelle9[[#This Row],[Rank]],Stammdaten[[Rank Verteilung Abholzigkeit]:[Verteilung Abholzigkeit]],2,FALSE)</f>
        <v>#N/A</v>
      </c>
      <c r="S1095">
        <v>1086</v>
      </c>
      <c r="T1095" t="e">
        <f>INDEX(Stammdaten[Krümmung (mm/lfm)],MATCH(Tabelle10[[#This Row],[Rank]],Stammdaten[Rank Verteilung Krümmung],0))</f>
        <v>#N/A</v>
      </c>
      <c r="U1095" t="e">
        <f>VLOOKUP(Tabelle10[[#This Row],[Rank]],Stammdaten[[Rank Verteilung Krümmung]:[Verteilung Krümmung]],2,FALSE)</f>
        <v>#N/A</v>
      </c>
      <c r="Z1095">
        <v>1086</v>
      </c>
      <c r="AA1095" t="e">
        <f>INDEX(Stammdaten[Ovalität (']0,1'])],MATCH(Tabelle1014[[#This Row],[Rank]],Stammdaten[Rank Verteilung Ovalität],0))</f>
        <v>#N/A</v>
      </c>
      <c r="AB1095" t="e">
        <f>VLOOKUP(Tabelle1014[[#This Row],[Rank]],Stammdaten[[Rank Verteilung Ovalität]:[Verteilung Ovalität]],2,FALSE)</f>
        <v>#N/A</v>
      </c>
    </row>
    <row r="1096" spans="5:28" x14ac:dyDescent="0.35">
      <c r="E1096">
        <v>1087</v>
      </c>
      <c r="F1096" t="e">
        <f>INDEX(Stammdaten[D Mitte mit Rinde (mm)],MATCH(Tabelle8[[#This Row],[Rank]],Stammdaten[Rank Verteilung D Mitte mit Rinde],0))</f>
        <v>#N/A</v>
      </c>
      <c r="G1096" t="e">
        <f>VLOOKUP(Tabelle8[[#This Row],[Rank]],Stammdaten[[Rank Verteilung D Mitte mit Rinde]:[Verteilung D Mitte mit Rinde]],2,FALSE)</f>
        <v>#N/A</v>
      </c>
      <c r="L1096">
        <v>1087</v>
      </c>
      <c r="M1096" t="e">
        <f>INDEX(Stammdaten[Abholzigkeit (mm/lfm)],MATCH(Tabelle9[[#This Row],[Rank]],Stammdaten[Rank Verteilung Abholzigkeit],0))</f>
        <v>#N/A</v>
      </c>
      <c r="N1096" t="e">
        <f>VLOOKUP(Tabelle9[[#This Row],[Rank]],Stammdaten[[Rank Verteilung Abholzigkeit]:[Verteilung Abholzigkeit]],2,FALSE)</f>
        <v>#N/A</v>
      </c>
      <c r="S1096">
        <v>1087</v>
      </c>
      <c r="T1096" t="e">
        <f>INDEX(Stammdaten[Krümmung (mm/lfm)],MATCH(Tabelle10[[#This Row],[Rank]],Stammdaten[Rank Verteilung Krümmung],0))</f>
        <v>#N/A</v>
      </c>
      <c r="U1096" t="e">
        <f>VLOOKUP(Tabelle10[[#This Row],[Rank]],Stammdaten[[Rank Verteilung Krümmung]:[Verteilung Krümmung]],2,FALSE)</f>
        <v>#N/A</v>
      </c>
      <c r="Z1096">
        <v>1087</v>
      </c>
      <c r="AA1096" t="e">
        <f>INDEX(Stammdaten[Ovalität (']0,1'])],MATCH(Tabelle1014[[#This Row],[Rank]],Stammdaten[Rank Verteilung Ovalität],0))</f>
        <v>#N/A</v>
      </c>
      <c r="AB1096" t="e">
        <f>VLOOKUP(Tabelle1014[[#This Row],[Rank]],Stammdaten[[Rank Verteilung Ovalität]:[Verteilung Ovalität]],2,FALSE)</f>
        <v>#N/A</v>
      </c>
    </row>
    <row r="1097" spans="5:28" x14ac:dyDescent="0.35">
      <c r="E1097">
        <v>1088</v>
      </c>
      <c r="F1097" t="e">
        <f>INDEX(Stammdaten[D Mitte mit Rinde (mm)],MATCH(Tabelle8[[#This Row],[Rank]],Stammdaten[Rank Verteilung D Mitte mit Rinde],0))</f>
        <v>#N/A</v>
      </c>
      <c r="G1097" t="e">
        <f>VLOOKUP(Tabelle8[[#This Row],[Rank]],Stammdaten[[Rank Verteilung D Mitte mit Rinde]:[Verteilung D Mitte mit Rinde]],2,FALSE)</f>
        <v>#N/A</v>
      </c>
      <c r="L1097">
        <v>1088</v>
      </c>
      <c r="M1097" t="e">
        <f>INDEX(Stammdaten[Abholzigkeit (mm/lfm)],MATCH(Tabelle9[[#This Row],[Rank]],Stammdaten[Rank Verteilung Abholzigkeit],0))</f>
        <v>#N/A</v>
      </c>
      <c r="N1097" t="e">
        <f>VLOOKUP(Tabelle9[[#This Row],[Rank]],Stammdaten[[Rank Verteilung Abholzigkeit]:[Verteilung Abholzigkeit]],2,FALSE)</f>
        <v>#N/A</v>
      </c>
      <c r="S1097">
        <v>1088</v>
      </c>
      <c r="T1097" t="e">
        <f>INDEX(Stammdaten[Krümmung (mm/lfm)],MATCH(Tabelle10[[#This Row],[Rank]],Stammdaten[Rank Verteilung Krümmung],0))</f>
        <v>#N/A</v>
      </c>
      <c r="U1097" t="e">
        <f>VLOOKUP(Tabelle10[[#This Row],[Rank]],Stammdaten[[Rank Verteilung Krümmung]:[Verteilung Krümmung]],2,FALSE)</f>
        <v>#N/A</v>
      </c>
      <c r="Z1097">
        <v>1088</v>
      </c>
      <c r="AA1097" t="e">
        <f>INDEX(Stammdaten[Ovalität (']0,1'])],MATCH(Tabelle1014[[#This Row],[Rank]],Stammdaten[Rank Verteilung Ovalität],0))</f>
        <v>#N/A</v>
      </c>
      <c r="AB1097" t="e">
        <f>VLOOKUP(Tabelle1014[[#This Row],[Rank]],Stammdaten[[Rank Verteilung Ovalität]:[Verteilung Ovalität]],2,FALSE)</f>
        <v>#N/A</v>
      </c>
    </row>
    <row r="1098" spans="5:28" x14ac:dyDescent="0.35">
      <c r="E1098">
        <v>1089</v>
      </c>
      <c r="F1098" t="e">
        <f>INDEX(Stammdaten[D Mitte mit Rinde (mm)],MATCH(Tabelle8[[#This Row],[Rank]],Stammdaten[Rank Verteilung D Mitte mit Rinde],0))</f>
        <v>#N/A</v>
      </c>
      <c r="G1098" t="e">
        <f>VLOOKUP(Tabelle8[[#This Row],[Rank]],Stammdaten[[Rank Verteilung D Mitte mit Rinde]:[Verteilung D Mitte mit Rinde]],2,FALSE)</f>
        <v>#N/A</v>
      </c>
      <c r="L1098">
        <v>1089</v>
      </c>
      <c r="M1098" t="e">
        <f>INDEX(Stammdaten[Abholzigkeit (mm/lfm)],MATCH(Tabelle9[[#This Row],[Rank]],Stammdaten[Rank Verteilung Abholzigkeit],0))</f>
        <v>#N/A</v>
      </c>
      <c r="N1098" t="e">
        <f>VLOOKUP(Tabelle9[[#This Row],[Rank]],Stammdaten[[Rank Verteilung Abholzigkeit]:[Verteilung Abholzigkeit]],2,FALSE)</f>
        <v>#N/A</v>
      </c>
      <c r="S1098">
        <v>1089</v>
      </c>
      <c r="T1098" t="e">
        <f>INDEX(Stammdaten[Krümmung (mm/lfm)],MATCH(Tabelle10[[#This Row],[Rank]],Stammdaten[Rank Verteilung Krümmung],0))</f>
        <v>#N/A</v>
      </c>
      <c r="U1098" t="e">
        <f>VLOOKUP(Tabelle10[[#This Row],[Rank]],Stammdaten[[Rank Verteilung Krümmung]:[Verteilung Krümmung]],2,FALSE)</f>
        <v>#N/A</v>
      </c>
      <c r="Z1098">
        <v>1089</v>
      </c>
      <c r="AA1098" t="e">
        <f>INDEX(Stammdaten[Ovalität (']0,1'])],MATCH(Tabelle1014[[#This Row],[Rank]],Stammdaten[Rank Verteilung Ovalität],0))</f>
        <v>#N/A</v>
      </c>
      <c r="AB1098" t="e">
        <f>VLOOKUP(Tabelle1014[[#This Row],[Rank]],Stammdaten[[Rank Verteilung Ovalität]:[Verteilung Ovalität]],2,FALSE)</f>
        <v>#N/A</v>
      </c>
    </row>
    <row r="1099" spans="5:28" x14ac:dyDescent="0.35">
      <c r="E1099">
        <v>1090</v>
      </c>
      <c r="F1099" t="e">
        <f>INDEX(Stammdaten[D Mitte mit Rinde (mm)],MATCH(Tabelle8[[#This Row],[Rank]],Stammdaten[Rank Verteilung D Mitte mit Rinde],0))</f>
        <v>#N/A</v>
      </c>
      <c r="G1099" t="e">
        <f>VLOOKUP(Tabelle8[[#This Row],[Rank]],Stammdaten[[Rank Verteilung D Mitte mit Rinde]:[Verteilung D Mitte mit Rinde]],2,FALSE)</f>
        <v>#N/A</v>
      </c>
      <c r="L1099">
        <v>1090</v>
      </c>
      <c r="M1099" t="e">
        <f>INDEX(Stammdaten[Abholzigkeit (mm/lfm)],MATCH(Tabelle9[[#This Row],[Rank]],Stammdaten[Rank Verteilung Abholzigkeit],0))</f>
        <v>#N/A</v>
      </c>
      <c r="N1099" t="e">
        <f>VLOOKUP(Tabelle9[[#This Row],[Rank]],Stammdaten[[Rank Verteilung Abholzigkeit]:[Verteilung Abholzigkeit]],2,FALSE)</f>
        <v>#N/A</v>
      </c>
      <c r="S1099">
        <v>1090</v>
      </c>
      <c r="T1099" t="e">
        <f>INDEX(Stammdaten[Krümmung (mm/lfm)],MATCH(Tabelle10[[#This Row],[Rank]],Stammdaten[Rank Verteilung Krümmung],0))</f>
        <v>#N/A</v>
      </c>
      <c r="U1099" t="e">
        <f>VLOOKUP(Tabelle10[[#This Row],[Rank]],Stammdaten[[Rank Verteilung Krümmung]:[Verteilung Krümmung]],2,FALSE)</f>
        <v>#N/A</v>
      </c>
      <c r="Z1099">
        <v>1090</v>
      </c>
      <c r="AA1099" t="e">
        <f>INDEX(Stammdaten[Ovalität (']0,1'])],MATCH(Tabelle1014[[#This Row],[Rank]],Stammdaten[Rank Verteilung Ovalität],0))</f>
        <v>#N/A</v>
      </c>
      <c r="AB1099" t="e">
        <f>VLOOKUP(Tabelle1014[[#This Row],[Rank]],Stammdaten[[Rank Verteilung Ovalität]:[Verteilung Ovalität]],2,FALSE)</f>
        <v>#N/A</v>
      </c>
    </row>
    <row r="1100" spans="5:28" x14ac:dyDescent="0.35">
      <c r="E1100">
        <v>1091</v>
      </c>
      <c r="F1100" t="e">
        <f>INDEX(Stammdaten[D Mitte mit Rinde (mm)],MATCH(Tabelle8[[#This Row],[Rank]],Stammdaten[Rank Verteilung D Mitte mit Rinde],0))</f>
        <v>#N/A</v>
      </c>
      <c r="G1100" t="e">
        <f>VLOOKUP(Tabelle8[[#This Row],[Rank]],Stammdaten[[Rank Verteilung D Mitte mit Rinde]:[Verteilung D Mitte mit Rinde]],2,FALSE)</f>
        <v>#N/A</v>
      </c>
      <c r="L1100">
        <v>1091</v>
      </c>
      <c r="M1100" t="e">
        <f>INDEX(Stammdaten[Abholzigkeit (mm/lfm)],MATCH(Tabelle9[[#This Row],[Rank]],Stammdaten[Rank Verteilung Abholzigkeit],0))</f>
        <v>#N/A</v>
      </c>
      <c r="N1100" t="e">
        <f>VLOOKUP(Tabelle9[[#This Row],[Rank]],Stammdaten[[Rank Verteilung Abholzigkeit]:[Verteilung Abholzigkeit]],2,FALSE)</f>
        <v>#N/A</v>
      </c>
      <c r="S1100">
        <v>1091</v>
      </c>
      <c r="T1100" t="e">
        <f>INDEX(Stammdaten[Krümmung (mm/lfm)],MATCH(Tabelle10[[#This Row],[Rank]],Stammdaten[Rank Verteilung Krümmung],0))</f>
        <v>#N/A</v>
      </c>
      <c r="U1100" t="e">
        <f>VLOOKUP(Tabelle10[[#This Row],[Rank]],Stammdaten[[Rank Verteilung Krümmung]:[Verteilung Krümmung]],2,FALSE)</f>
        <v>#N/A</v>
      </c>
      <c r="Z1100">
        <v>1091</v>
      </c>
      <c r="AA1100" t="e">
        <f>INDEX(Stammdaten[Ovalität (']0,1'])],MATCH(Tabelle1014[[#This Row],[Rank]],Stammdaten[Rank Verteilung Ovalität],0))</f>
        <v>#N/A</v>
      </c>
      <c r="AB1100" t="e">
        <f>VLOOKUP(Tabelle1014[[#This Row],[Rank]],Stammdaten[[Rank Verteilung Ovalität]:[Verteilung Ovalität]],2,FALSE)</f>
        <v>#N/A</v>
      </c>
    </row>
    <row r="1101" spans="5:28" x14ac:dyDescent="0.35">
      <c r="E1101">
        <v>1092</v>
      </c>
      <c r="F1101" t="e">
        <f>INDEX(Stammdaten[D Mitte mit Rinde (mm)],MATCH(Tabelle8[[#This Row],[Rank]],Stammdaten[Rank Verteilung D Mitte mit Rinde],0))</f>
        <v>#N/A</v>
      </c>
      <c r="G1101" t="e">
        <f>VLOOKUP(Tabelle8[[#This Row],[Rank]],Stammdaten[[Rank Verteilung D Mitte mit Rinde]:[Verteilung D Mitte mit Rinde]],2,FALSE)</f>
        <v>#N/A</v>
      </c>
      <c r="L1101">
        <v>1092</v>
      </c>
      <c r="M1101" t="e">
        <f>INDEX(Stammdaten[Abholzigkeit (mm/lfm)],MATCH(Tabelle9[[#This Row],[Rank]],Stammdaten[Rank Verteilung Abholzigkeit],0))</f>
        <v>#N/A</v>
      </c>
      <c r="N1101" t="e">
        <f>VLOOKUP(Tabelle9[[#This Row],[Rank]],Stammdaten[[Rank Verteilung Abholzigkeit]:[Verteilung Abholzigkeit]],2,FALSE)</f>
        <v>#N/A</v>
      </c>
      <c r="S1101">
        <v>1092</v>
      </c>
      <c r="T1101" t="e">
        <f>INDEX(Stammdaten[Krümmung (mm/lfm)],MATCH(Tabelle10[[#This Row],[Rank]],Stammdaten[Rank Verteilung Krümmung],0))</f>
        <v>#N/A</v>
      </c>
      <c r="U1101" t="e">
        <f>VLOOKUP(Tabelle10[[#This Row],[Rank]],Stammdaten[[Rank Verteilung Krümmung]:[Verteilung Krümmung]],2,FALSE)</f>
        <v>#N/A</v>
      </c>
      <c r="Z1101">
        <v>1092</v>
      </c>
      <c r="AA1101" t="e">
        <f>INDEX(Stammdaten[Ovalität (']0,1'])],MATCH(Tabelle1014[[#This Row],[Rank]],Stammdaten[Rank Verteilung Ovalität],0))</f>
        <v>#N/A</v>
      </c>
      <c r="AB1101" t="e">
        <f>VLOOKUP(Tabelle1014[[#This Row],[Rank]],Stammdaten[[Rank Verteilung Ovalität]:[Verteilung Ovalität]],2,FALSE)</f>
        <v>#N/A</v>
      </c>
    </row>
    <row r="1102" spans="5:28" x14ac:dyDescent="0.35">
      <c r="E1102">
        <v>1093</v>
      </c>
      <c r="F1102" t="e">
        <f>INDEX(Stammdaten[D Mitte mit Rinde (mm)],MATCH(Tabelle8[[#This Row],[Rank]],Stammdaten[Rank Verteilung D Mitte mit Rinde],0))</f>
        <v>#N/A</v>
      </c>
      <c r="G1102" t="e">
        <f>VLOOKUP(Tabelle8[[#This Row],[Rank]],Stammdaten[[Rank Verteilung D Mitte mit Rinde]:[Verteilung D Mitte mit Rinde]],2,FALSE)</f>
        <v>#N/A</v>
      </c>
      <c r="L1102">
        <v>1093</v>
      </c>
      <c r="M1102" t="e">
        <f>INDEX(Stammdaten[Abholzigkeit (mm/lfm)],MATCH(Tabelle9[[#This Row],[Rank]],Stammdaten[Rank Verteilung Abholzigkeit],0))</f>
        <v>#N/A</v>
      </c>
      <c r="N1102" t="e">
        <f>VLOOKUP(Tabelle9[[#This Row],[Rank]],Stammdaten[[Rank Verteilung Abholzigkeit]:[Verteilung Abholzigkeit]],2,FALSE)</f>
        <v>#N/A</v>
      </c>
      <c r="S1102">
        <v>1093</v>
      </c>
      <c r="T1102" t="e">
        <f>INDEX(Stammdaten[Krümmung (mm/lfm)],MATCH(Tabelle10[[#This Row],[Rank]],Stammdaten[Rank Verteilung Krümmung],0))</f>
        <v>#N/A</v>
      </c>
      <c r="U1102" t="e">
        <f>VLOOKUP(Tabelle10[[#This Row],[Rank]],Stammdaten[[Rank Verteilung Krümmung]:[Verteilung Krümmung]],2,FALSE)</f>
        <v>#N/A</v>
      </c>
      <c r="Z1102">
        <v>1093</v>
      </c>
      <c r="AA1102" t="e">
        <f>INDEX(Stammdaten[Ovalität (']0,1'])],MATCH(Tabelle1014[[#This Row],[Rank]],Stammdaten[Rank Verteilung Ovalität],0))</f>
        <v>#N/A</v>
      </c>
      <c r="AB1102" t="e">
        <f>VLOOKUP(Tabelle1014[[#This Row],[Rank]],Stammdaten[[Rank Verteilung Ovalität]:[Verteilung Ovalität]],2,FALSE)</f>
        <v>#N/A</v>
      </c>
    </row>
    <row r="1103" spans="5:28" x14ac:dyDescent="0.35">
      <c r="E1103">
        <v>1094</v>
      </c>
      <c r="F1103" t="e">
        <f>INDEX(Stammdaten[D Mitte mit Rinde (mm)],MATCH(Tabelle8[[#This Row],[Rank]],Stammdaten[Rank Verteilung D Mitte mit Rinde],0))</f>
        <v>#N/A</v>
      </c>
      <c r="G1103" t="e">
        <f>VLOOKUP(Tabelle8[[#This Row],[Rank]],Stammdaten[[Rank Verteilung D Mitte mit Rinde]:[Verteilung D Mitte mit Rinde]],2,FALSE)</f>
        <v>#N/A</v>
      </c>
      <c r="L1103">
        <v>1094</v>
      </c>
      <c r="M1103" t="e">
        <f>INDEX(Stammdaten[Abholzigkeit (mm/lfm)],MATCH(Tabelle9[[#This Row],[Rank]],Stammdaten[Rank Verteilung Abholzigkeit],0))</f>
        <v>#N/A</v>
      </c>
      <c r="N1103" t="e">
        <f>VLOOKUP(Tabelle9[[#This Row],[Rank]],Stammdaten[[Rank Verteilung Abholzigkeit]:[Verteilung Abholzigkeit]],2,FALSE)</f>
        <v>#N/A</v>
      </c>
      <c r="S1103">
        <v>1094</v>
      </c>
      <c r="T1103" t="e">
        <f>INDEX(Stammdaten[Krümmung (mm/lfm)],MATCH(Tabelle10[[#This Row],[Rank]],Stammdaten[Rank Verteilung Krümmung],0))</f>
        <v>#N/A</v>
      </c>
      <c r="U1103" t="e">
        <f>VLOOKUP(Tabelle10[[#This Row],[Rank]],Stammdaten[[Rank Verteilung Krümmung]:[Verteilung Krümmung]],2,FALSE)</f>
        <v>#N/A</v>
      </c>
      <c r="Z1103">
        <v>1094</v>
      </c>
      <c r="AA1103" t="e">
        <f>INDEX(Stammdaten[Ovalität (']0,1'])],MATCH(Tabelle1014[[#This Row],[Rank]],Stammdaten[Rank Verteilung Ovalität],0))</f>
        <v>#N/A</v>
      </c>
      <c r="AB1103" t="e">
        <f>VLOOKUP(Tabelle1014[[#This Row],[Rank]],Stammdaten[[Rank Verteilung Ovalität]:[Verteilung Ovalität]],2,FALSE)</f>
        <v>#N/A</v>
      </c>
    </row>
    <row r="1104" spans="5:28" x14ac:dyDescent="0.35">
      <c r="E1104">
        <v>1095</v>
      </c>
      <c r="F1104" t="e">
        <f>INDEX(Stammdaten[D Mitte mit Rinde (mm)],MATCH(Tabelle8[[#This Row],[Rank]],Stammdaten[Rank Verteilung D Mitte mit Rinde],0))</f>
        <v>#N/A</v>
      </c>
      <c r="G1104" t="e">
        <f>VLOOKUP(Tabelle8[[#This Row],[Rank]],Stammdaten[[Rank Verteilung D Mitte mit Rinde]:[Verteilung D Mitte mit Rinde]],2,FALSE)</f>
        <v>#N/A</v>
      </c>
      <c r="L1104">
        <v>1095</v>
      </c>
      <c r="M1104" t="e">
        <f>INDEX(Stammdaten[Abholzigkeit (mm/lfm)],MATCH(Tabelle9[[#This Row],[Rank]],Stammdaten[Rank Verteilung Abholzigkeit],0))</f>
        <v>#N/A</v>
      </c>
      <c r="N1104" t="e">
        <f>VLOOKUP(Tabelle9[[#This Row],[Rank]],Stammdaten[[Rank Verteilung Abholzigkeit]:[Verteilung Abholzigkeit]],2,FALSE)</f>
        <v>#N/A</v>
      </c>
      <c r="S1104">
        <v>1095</v>
      </c>
      <c r="T1104" t="e">
        <f>INDEX(Stammdaten[Krümmung (mm/lfm)],MATCH(Tabelle10[[#This Row],[Rank]],Stammdaten[Rank Verteilung Krümmung],0))</f>
        <v>#N/A</v>
      </c>
      <c r="U1104" t="e">
        <f>VLOOKUP(Tabelle10[[#This Row],[Rank]],Stammdaten[[Rank Verteilung Krümmung]:[Verteilung Krümmung]],2,FALSE)</f>
        <v>#N/A</v>
      </c>
      <c r="Z1104">
        <v>1095</v>
      </c>
      <c r="AA1104" t="e">
        <f>INDEX(Stammdaten[Ovalität (']0,1'])],MATCH(Tabelle1014[[#This Row],[Rank]],Stammdaten[Rank Verteilung Ovalität],0))</f>
        <v>#N/A</v>
      </c>
      <c r="AB1104" t="e">
        <f>VLOOKUP(Tabelle1014[[#This Row],[Rank]],Stammdaten[[Rank Verteilung Ovalität]:[Verteilung Ovalität]],2,FALSE)</f>
        <v>#N/A</v>
      </c>
    </row>
    <row r="1105" spans="5:28" x14ac:dyDescent="0.35">
      <c r="E1105">
        <v>1096</v>
      </c>
      <c r="F1105" t="e">
        <f>INDEX(Stammdaten[D Mitte mit Rinde (mm)],MATCH(Tabelle8[[#This Row],[Rank]],Stammdaten[Rank Verteilung D Mitte mit Rinde],0))</f>
        <v>#N/A</v>
      </c>
      <c r="G1105" t="e">
        <f>VLOOKUP(Tabelle8[[#This Row],[Rank]],Stammdaten[[Rank Verteilung D Mitte mit Rinde]:[Verteilung D Mitte mit Rinde]],2,FALSE)</f>
        <v>#N/A</v>
      </c>
      <c r="L1105">
        <v>1096</v>
      </c>
      <c r="M1105" t="e">
        <f>INDEX(Stammdaten[Abholzigkeit (mm/lfm)],MATCH(Tabelle9[[#This Row],[Rank]],Stammdaten[Rank Verteilung Abholzigkeit],0))</f>
        <v>#N/A</v>
      </c>
      <c r="N1105" t="e">
        <f>VLOOKUP(Tabelle9[[#This Row],[Rank]],Stammdaten[[Rank Verteilung Abholzigkeit]:[Verteilung Abholzigkeit]],2,FALSE)</f>
        <v>#N/A</v>
      </c>
      <c r="S1105">
        <v>1096</v>
      </c>
      <c r="T1105" t="e">
        <f>INDEX(Stammdaten[Krümmung (mm/lfm)],MATCH(Tabelle10[[#This Row],[Rank]],Stammdaten[Rank Verteilung Krümmung],0))</f>
        <v>#N/A</v>
      </c>
      <c r="U1105" t="e">
        <f>VLOOKUP(Tabelle10[[#This Row],[Rank]],Stammdaten[[Rank Verteilung Krümmung]:[Verteilung Krümmung]],2,FALSE)</f>
        <v>#N/A</v>
      </c>
      <c r="Z1105">
        <v>1096</v>
      </c>
      <c r="AA1105" t="e">
        <f>INDEX(Stammdaten[Ovalität (']0,1'])],MATCH(Tabelle1014[[#This Row],[Rank]],Stammdaten[Rank Verteilung Ovalität],0))</f>
        <v>#N/A</v>
      </c>
      <c r="AB1105" t="e">
        <f>VLOOKUP(Tabelle1014[[#This Row],[Rank]],Stammdaten[[Rank Verteilung Ovalität]:[Verteilung Ovalität]],2,FALSE)</f>
        <v>#N/A</v>
      </c>
    </row>
    <row r="1106" spans="5:28" x14ac:dyDescent="0.35">
      <c r="E1106">
        <v>1097</v>
      </c>
      <c r="F1106" t="e">
        <f>INDEX(Stammdaten[D Mitte mit Rinde (mm)],MATCH(Tabelle8[[#This Row],[Rank]],Stammdaten[Rank Verteilung D Mitte mit Rinde],0))</f>
        <v>#N/A</v>
      </c>
      <c r="G1106" t="e">
        <f>VLOOKUP(Tabelle8[[#This Row],[Rank]],Stammdaten[[Rank Verteilung D Mitte mit Rinde]:[Verteilung D Mitte mit Rinde]],2,FALSE)</f>
        <v>#N/A</v>
      </c>
      <c r="L1106">
        <v>1097</v>
      </c>
      <c r="M1106" t="e">
        <f>INDEX(Stammdaten[Abholzigkeit (mm/lfm)],MATCH(Tabelle9[[#This Row],[Rank]],Stammdaten[Rank Verteilung Abholzigkeit],0))</f>
        <v>#N/A</v>
      </c>
      <c r="N1106" t="e">
        <f>VLOOKUP(Tabelle9[[#This Row],[Rank]],Stammdaten[[Rank Verteilung Abholzigkeit]:[Verteilung Abholzigkeit]],2,FALSE)</f>
        <v>#N/A</v>
      </c>
      <c r="S1106">
        <v>1097</v>
      </c>
      <c r="T1106" t="e">
        <f>INDEX(Stammdaten[Krümmung (mm/lfm)],MATCH(Tabelle10[[#This Row],[Rank]],Stammdaten[Rank Verteilung Krümmung],0))</f>
        <v>#N/A</v>
      </c>
      <c r="U1106" t="e">
        <f>VLOOKUP(Tabelle10[[#This Row],[Rank]],Stammdaten[[Rank Verteilung Krümmung]:[Verteilung Krümmung]],2,FALSE)</f>
        <v>#N/A</v>
      </c>
      <c r="Z1106">
        <v>1097</v>
      </c>
      <c r="AA1106" t="e">
        <f>INDEX(Stammdaten[Ovalität (']0,1'])],MATCH(Tabelle1014[[#This Row],[Rank]],Stammdaten[Rank Verteilung Ovalität],0))</f>
        <v>#N/A</v>
      </c>
      <c r="AB1106" t="e">
        <f>VLOOKUP(Tabelle1014[[#This Row],[Rank]],Stammdaten[[Rank Verteilung Ovalität]:[Verteilung Ovalität]],2,FALSE)</f>
        <v>#N/A</v>
      </c>
    </row>
    <row r="1107" spans="5:28" x14ac:dyDescent="0.35">
      <c r="E1107">
        <v>1098</v>
      </c>
      <c r="F1107" t="e">
        <f>INDEX(Stammdaten[D Mitte mit Rinde (mm)],MATCH(Tabelle8[[#This Row],[Rank]],Stammdaten[Rank Verteilung D Mitte mit Rinde],0))</f>
        <v>#N/A</v>
      </c>
      <c r="G1107" t="e">
        <f>VLOOKUP(Tabelle8[[#This Row],[Rank]],Stammdaten[[Rank Verteilung D Mitte mit Rinde]:[Verteilung D Mitte mit Rinde]],2,FALSE)</f>
        <v>#N/A</v>
      </c>
      <c r="L1107">
        <v>1098</v>
      </c>
      <c r="M1107" t="e">
        <f>INDEX(Stammdaten[Abholzigkeit (mm/lfm)],MATCH(Tabelle9[[#This Row],[Rank]],Stammdaten[Rank Verteilung Abholzigkeit],0))</f>
        <v>#N/A</v>
      </c>
      <c r="N1107" t="e">
        <f>VLOOKUP(Tabelle9[[#This Row],[Rank]],Stammdaten[[Rank Verteilung Abholzigkeit]:[Verteilung Abholzigkeit]],2,FALSE)</f>
        <v>#N/A</v>
      </c>
      <c r="S1107">
        <v>1098</v>
      </c>
      <c r="T1107" t="e">
        <f>INDEX(Stammdaten[Krümmung (mm/lfm)],MATCH(Tabelle10[[#This Row],[Rank]],Stammdaten[Rank Verteilung Krümmung],0))</f>
        <v>#N/A</v>
      </c>
      <c r="U1107" t="e">
        <f>VLOOKUP(Tabelle10[[#This Row],[Rank]],Stammdaten[[Rank Verteilung Krümmung]:[Verteilung Krümmung]],2,FALSE)</f>
        <v>#N/A</v>
      </c>
      <c r="Z1107">
        <v>1098</v>
      </c>
      <c r="AA1107" t="e">
        <f>INDEX(Stammdaten[Ovalität (']0,1'])],MATCH(Tabelle1014[[#This Row],[Rank]],Stammdaten[Rank Verteilung Ovalität],0))</f>
        <v>#N/A</v>
      </c>
      <c r="AB1107" t="e">
        <f>VLOOKUP(Tabelle1014[[#This Row],[Rank]],Stammdaten[[Rank Verteilung Ovalität]:[Verteilung Ovalität]],2,FALSE)</f>
        <v>#N/A</v>
      </c>
    </row>
    <row r="1108" spans="5:28" x14ac:dyDescent="0.35">
      <c r="E1108">
        <v>1099</v>
      </c>
      <c r="F1108" t="e">
        <f>INDEX(Stammdaten[D Mitte mit Rinde (mm)],MATCH(Tabelle8[[#This Row],[Rank]],Stammdaten[Rank Verteilung D Mitte mit Rinde],0))</f>
        <v>#N/A</v>
      </c>
      <c r="G1108" t="e">
        <f>VLOOKUP(Tabelle8[[#This Row],[Rank]],Stammdaten[[Rank Verteilung D Mitte mit Rinde]:[Verteilung D Mitte mit Rinde]],2,FALSE)</f>
        <v>#N/A</v>
      </c>
      <c r="L1108">
        <v>1099</v>
      </c>
      <c r="M1108" t="e">
        <f>INDEX(Stammdaten[Abholzigkeit (mm/lfm)],MATCH(Tabelle9[[#This Row],[Rank]],Stammdaten[Rank Verteilung Abholzigkeit],0))</f>
        <v>#N/A</v>
      </c>
      <c r="N1108" t="e">
        <f>VLOOKUP(Tabelle9[[#This Row],[Rank]],Stammdaten[[Rank Verteilung Abholzigkeit]:[Verteilung Abholzigkeit]],2,FALSE)</f>
        <v>#N/A</v>
      </c>
      <c r="S1108">
        <v>1099</v>
      </c>
      <c r="T1108" t="e">
        <f>INDEX(Stammdaten[Krümmung (mm/lfm)],MATCH(Tabelle10[[#This Row],[Rank]],Stammdaten[Rank Verteilung Krümmung],0))</f>
        <v>#N/A</v>
      </c>
      <c r="U1108" t="e">
        <f>VLOOKUP(Tabelle10[[#This Row],[Rank]],Stammdaten[[Rank Verteilung Krümmung]:[Verteilung Krümmung]],2,FALSE)</f>
        <v>#N/A</v>
      </c>
      <c r="Z1108">
        <v>1099</v>
      </c>
      <c r="AA1108" t="e">
        <f>INDEX(Stammdaten[Ovalität (']0,1'])],MATCH(Tabelle1014[[#This Row],[Rank]],Stammdaten[Rank Verteilung Ovalität],0))</f>
        <v>#N/A</v>
      </c>
      <c r="AB1108" t="e">
        <f>VLOOKUP(Tabelle1014[[#This Row],[Rank]],Stammdaten[[Rank Verteilung Ovalität]:[Verteilung Ovalität]],2,FALSE)</f>
        <v>#N/A</v>
      </c>
    </row>
    <row r="1109" spans="5:28" x14ac:dyDescent="0.35">
      <c r="E1109">
        <v>1100</v>
      </c>
      <c r="F1109" t="e">
        <f>INDEX(Stammdaten[D Mitte mit Rinde (mm)],MATCH(Tabelle8[[#This Row],[Rank]],Stammdaten[Rank Verteilung D Mitte mit Rinde],0))</f>
        <v>#N/A</v>
      </c>
      <c r="G1109" t="e">
        <f>VLOOKUP(Tabelle8[[#This Row],[Rank]],Stammdaten[[Rank Verteilung D Mitte mit Rinde]:[Verteilung D Mitte mit Rinde]],2,FALSE)</f>
        <v>#N/A</v>
      </c>
      <c r="L1109">
        <v>1100</v>
      </c>
      <c r="M1109" t="e">
        <f>INDEX(Stammdaten[Abholzigkeit (mm/lfm)],MATCH(Tabelle9[[#This Row],[Rank]],Stammdaten[Rank Verteilung Abholzigkeit],0))</f>
        <v>#N/A</v>
      </c>
      <c r="N1109" t="e">
        <f>VLOOKUP(Tabelle9[[#This Row],[Rank]],Stammdaten[[Rank Verteilung Abholzigkeit]:[Verteilung Abholzigkeit]],2,FALSE)</f>
        <v>#N/A</v>
      </c>
      <c r="S1109">
        <v>1100</v>
      </c>
      <c r="T1109" t="e">
        <f>INDEX(Stammdaten[Krümmung (mm/lfm)],MATCH(Tabelle10[[#This Row],[Rank]],Stammdaten[Rank Verteilung Krümmung],0))</f>
        <v>#N/A</v>
      </c>
      <c r="U1109" t="e">
        <f>VLOOKUP(Tabelle10[[#This Row],[Rank]],Stammdaten[[Rank Verteilung Krümmung]:[Verteilung Krümmung]],2,FALSE)</f>
        <v>#N/A</v>
      </c>
      <c r="Z1109">
        <v>1100</v>
      </c>
      <c r="AA1109" t="e">
        <f>INDEX(Stammdaten[Ovalität (']0,1'])],MATCH(Tabelle1014[[#This Row],[Rank]],Stammdaten[Rank Verteilung Ovalität],0))</f>
        <v>#N/A</v>
      </c>
      <c r="AB1109" t="e">
        <f>VLOOKUP(Tabelle1014[[#This Row],[Rank]],Stammdaten[[Rank Verteilung Ovalität]:[Verteilung Ovalität]],2,FALSE)</f>
        <v>#N/A</v>
      </c>
    </row>
    <row r="1110" spans="5:28" x14ac:dyDescent="0.35">
      <c r="E1110">
        <v>1101</v>
      </c>
      <c r="F1110" t="e">
        <f>INDEX(Stammdaten[D Mitte mit Rinde (mm)],MATCH(Tabelle8[[#This Row],[Rank]],Stammdaten[Rank Verteilung D Mitte mit Rinde],0))</f>
        <v>#N/A</v>
      </c>
      <c r="G1110" t="e">
        <f>VLOOKUP(Tabelle8[[#This Row],[Rank]],Stammdaten[[Rank Verteilung D Mitte mit Rinde]:[Verteilung D Mitte mit Rinde]],2,FALSE)</f>
        <v>#N/A</v>
      </c>
      <c r="L1110">
        <v>1101</v>
      </c>
      <c r="M1110" t="e">
        <f>INDEX(Stammdaten[Abholzigkeit (mm/lfm)],MATCH(Tabelle9[[#This Row],[Rank]],Stammdaten[Rank Verteilung Abholzigkeit],0))</f>
        <v>#N/A</v>
      </c>
      <c r="N1110" t="e">
        <f>VLOOKUP(Tabelle9[[#This Row],[Rank]],Stammdaten[[Rank Verteilung Abholzigkeit]:[Verteilung Abholzigkeit]],2,FALSE)</f>
        <v>#N/A</v>
      </c>
      <c r="S1110">
        <v>1101</v>
      </c>
      <c r="T1110" t="e">
        <f>INDEX(Stammdaten[Krümmung (mm/lfm)],MATCH(Tabelle10[[#This Row],[Rank]],Stammdaten[Rank Verteilung Krümmung],0))</f>
        <v>#N/A</v>
      </c>
      <c r="U1110" t="e">
        <f>VLOOKUP(Tabelle10[[#This Row],[Rank]],Stammdaten[[Rank Verteilung Krümmung]:[Verteilung Krümmung]],2,FALSE)</f>
        <v>#N/A</v>
      </c>
      <c r="Z1110">
        <v>1101</v>
      </c>
      <c r="AA1110" t="e">
        <f>INDEX(Stammdaten[Ovalität (']0,1'])],MATCH(Tabelle1014[[#This Row],[Rank]],Stammdaten[Rank Verteilung Ovalität],0))</f>
        <v>#N/A</v>
      </c>
      <c r="AB1110" t="e">
        <f>VLOOKUP(Tabelle1014[[#This Row],[Rank]],Stammdaten[[Rank Verteilung Ovalität]:[Verteilung Ovalität]],2,FALSE)</f>
        <v>#N/A</v>
      </c>
    </row>
    <row r="1111" spans="5:28" x14ac:dyDescent="0.35">
      <c r="E1111">
        <v>1102</v>
      </c>
      <c r="F1111" t="e">
        <f>INDEX(Stammdaten[D Mitte mit Rinde (mm)],MATCH(Tabelle8[[#This Row],[Rank]],Stammdaten[Rank Verteilung D Mitte mit Rinde],0))</f>
        <v>#N/A</v>
      </c>
      <c r="G1111" t="e">
        <f>VLOOKUP(Tabelle8[[#This Row],[Rank]],Stammdaten[[Rank Verteilung D Mitte mit Rinde]:[Verteilung D Mitte mit Rinde]],2,FALSE)</f>
        <v>#N/A</v>
      </c>
      <c r="L1111">
        <v>1102</v>
      </c>
      <c r="M1111" t="e">
        <f>INDEX(Stammdaten[Abholzigkeit (mm/lfm)],MATCH(Tabelle9[[#This Row],[Rank]],Stammdaten[Rank Verteilung Abholzigkeit],0))</f>
        <v>#N/A</v>
      </c>
      <c r="N1111" t="e">
        <f>VLOOKUP(Tabelle9[[#This Row],[Rank]],Stammdaten[[Rank Verteilung Abholzigkeit]:[Verteilung Abholzigkeit]],2,FALSE)</f>
        <v>#N/A</v>
      </c>
      <c r="S1111">
        <v>1102</v>
      </c>
      <c r="T1111" t="e">
        <f>INDEX(Stammdaten[Krümmung (mm/lfm)],MATCH(Tabelle10[[#This Row],[Rank]],Stammdaten[Rank Verteilung Krümmung],0))</f>
        <v>#N/A</v>
      </c>
      <c r="U1111" t="e">
        <f>VLOOKUP(Tabelle10[[#This Row],[Rank]],Stammdaten[[Rank Verteilung Krümmung]:[Verteilung Krümmung]],2,FALSE)</f>
        <v>#N/A</v>
      </c>
      <c r="Z1111">
        <v>1102</v>
      </c>
      <c r="AA1111" t="e">
        <f>INDEX(Stammdaten[Ovalität (']0,1'])],MATCH(Tabelle1014[[#This Row],[Rank]],Stammdaten[Rank Verteilung Ovalität],0))</f>
        <v>#N/A</v>
      </c>
      <c r="AB1111" t="e">
        <f>VLOOKUP(Tabelle1014[[#This Row],[Rank]],Stammdaten[[Rank Verteilung Ovalität]:[Verteilung Ovalität]],2,FALSE)</f>
        <v>#N/A</v>
      </c>
    </row>
    <row r="1112" spans="5:28" x14ac:dyDescent="0.35">
      <c r="E1112">
        <v>1103</v>
      </c>
      <c r="F1112" t="e">
        <f>INDEX(Stammdaten[D Mitte mit Rinde (mm)],MATCH(Tabelle8[[#This Row],[Rank]],Stammdaten[Rank Verteilung D Mitte mit Rinde],0))</f>
        <v>#N/A</v>
      </c>
      <c r="G1112" t="e">
        <f>VLOOKUP(Tabelle8[[#This Row],[Rank]],Stammdaten[[Rank Verteilung D Mitte mit Rinde]:[Verteilung D Mitte mit Rinde]],2,FALSE)</f>
        <v>#N/A</v>
      </c>
      <c r="L1112">
        <v>1103</v>
      </c>
      <c r="M1112" t="e">
        <f>INDEX(Stammdaten[Abholzigkeit (mm/lfm)],MATCH(Tabelle9[[#This Row],[Rank]],Stammdaten[Rank Verteilung Abholzigkeit],0))</f>
        <v>#N/A</v>
      </c>
      <c r="N1112" t="e">
        <f>VLOOKUP(Tabelle9[[#This Row],[Rank]],Stammdaten[[Rank Verteilung Abholzigkeit]:[Verteilung Abholzigkeit]],2,FALSE)</f>
        <v>#N/A</v>
      </c>
      <c r="S1112">
        <v>1103</v>
      </c>
      <c r="T1112" t="e">
        <f>INDEX(Stammdaten[Krümmung (mm/lfm)],MATCH(Tabelle10[[#This Row],[Rank]],Stammdaten[Rank Verteilung Krümmung],0))</f>
        <v>#N/A</v>
      </c>
      <c r="U1112" t="e">
        <f>VLOOKUP(Tabelle10[[#This Row],[Rank]],Stammdaten[[Rank Verteilung Krümmung]:[Verteilung Krümmung]],2,FALSE)</f>
        <v>#N/A</v>
      </c>
      <c r="Z1112">
        <v>1103</v>
      </c>
      <c r="AA1112" t="e">
        <f>INDEX(Stammdaten[Ovalität (']0,1'])],MATCH(Tabelle1014[[#This Row],[Rank]],Stammdaten[Rank Verteilung Ovalität],0))</f>
        <v>#N/A</v>
      </c>
      <c r="AB1112" t="e">
        <f>VLOOKUP(Tabelle1014[[#This Row],[Rank]],Stammdaten[[Rank Verteilung Ovalität]:[Verteilung Ovalität]],2,FALSE)</f>
        <v>#N/A</v>
      </c>
    </row>
    <row r="1113" spans="5:28" x14ac:dyDescent="0.35">
      <c r="E1113">
        <v>1104</v>
      </c>
      <c r="F1113" t="e">
        <f>INDEX(Stammdaten[D Mitte mit Rinde (mm)],MATCH(Tabelle8[[#This Row],[Rank]],Stammdaten[Rank Verteilung D Mitte mit Rinde],0))</f>
        <v>#N/A</v>
      </c>
      <c r="G1113" t="e">
        <f>VLOOKUP(Tabelle8[[#This Row],[Rank]],Stammdaten[[Rank Verteilung D Mitte mit Rinde]:[Verteilung D Mitte mit Rinde]],2,FALSE)</f>
        <v>#N/A</v>
      </c>
      <c r="L1113">
        <v>1104</v>
      </c>
      <c r="M1113" t="e">
        <f>INDEX(Stammdaten[Abholzigkeit (mm/lfm)],MATCH(Tabelle9[[#This Row],[Rank]],Stammdaten[Rank Verteilung Abholzigkeit],0))</f>
        <v>#N/A</v>
      </c>
      <c r="N1113" t="e">
        <f>VLOOKUP(Tabelle9[[#This Row],[Rank]],Stammdaten[[Rank Verteilung Abholzigkeit]:[Verteilung Abholzigkeit]],2,FALSE)</f>
        <v>#N/A</v>
      </c>
      <c r="S1113">
        <v>1104</v>
      </c>
      <c r="T1113" t="e">
        <f>INDEX(Stammdaten[Krümmung (mm/lfm)],MATCH(Tabelle10[[#This Row],[Rank]],Stammdaten[Rank Verteilung Krümmung],0))</f>
        <v>#N/A</v>
      </c>
      <c r="U1113" t="e">
        <f>VLOOKUP(Tabelle10[[#This Row],[Rank]],Stammdaten[[Rank Verteilung Krümmung]:[Verteilung Krümmung]],2,FALSE)</f>
        <v>#N/A</v>
      </c>
      <c r="Z1113">
        <v>1104</v>
      </c>
      <c r="AA1113" t="e">
        <f>INDEX(Stammdaten[Ovalität (']0,1'])],MATCH(Tabelle1014[[#This Row],[Rank]],Stammdaten[Rank Verteilung Ovalität],0))</f>
        <v>#N/A</v>
      </c>
      <c r="AB1113" t="e">
        <f>VLOOKUP(Tabelle1014[[#This Row],[Rank]],Stammdaten[[Rank Verteilung Ovalität]:[Verteilung Ovalität]],2,FALSE)</f>
        <v>#N/A</v>
      </c>
    </row>
    <row r="1114" spans="5:28" x14ac:dyDescent="0.35">
      <c r="E1114">
        <v>1105</v>
      </c>
      <c r="F1114" t="e">
        <f>INDEX(Stammdaten[D Mitte mit Rinde (mm)],MATCH(Tabelle8[[#This Row],[Rank]],Stammdaten[Rank Verteilung D Mitte mit Rinde],0))</f>
        <v>#N/A</v>
      </c>
      <c r="G1114" t="e">
        <f>VLOOKUP(Tabelle8[[#This Row],[Rank]],Stammdaten[[Rank Verteilung D Mitte mit Rinde]:[Verteilung D Mitte mit Rinde]],2,FALSE)</f>
        <v>#N/A</v>
      </c>
      <c r="L1114">
        <v>1105</v>
      </c>
      <c r="M1114" t="e">
        <f>INDEX(Stammdaten[Abholzigkeit (mm/lfm)],MATCH(Tabelle9[[#This Row],[Rank]],Stammdaten[Rank Verteilung Abholzigkeit],0))</f>
        <v>#N/A</v>
      </c>
      <c r="N1114" t="e">
        <f>VLOOKUP(Tabelle9[[#This Row],[Rank]],Stammdaten[[Rank Verteilung Abholzigkeit]:[Verteilung Abholzigkeit]],2,FALSE)</f>
        <v>#N/A</v>
      </c>
      <c r="S1114">
        <v>1105</v>
      </c>
      <c r="T1114" t="e">
        <f>INDEX(Stammdaten[Krümmung (mm/lfm)],MATCH(Tabelle10[[#This Row],[Rank]],Stammdaten[Rank Verteilung Krümmung],0))</f>
        <v>#N/A</v>
      </c>
      <c r="U1114" t="e">
        <f>VLOOKUP(Tabelle10[[#This Row],[Rank]],Stammdaten[[Rank Verteilung Krümmung]:[Verteilung Krümmung]],2,FALSE)</f>
        <v>#N/A</v>
      </c>
      <c r="Z1114">
        <v>1105</v>
      </c>
      <c r="AA1114" t="e">
        <f>INDEX(Stammdaten[Ovalität (']0,1'])],MATCH(Tabelle1014[[#This Row],[Rank]],Stammdaten[Rank Verteilung Ovalität],0))</f>
        <v>#N/A</v>
      </c>
      <c r="AB1114" t="e">
        <f>VLOOKUP(Tabelle1014[[#This Row],[Rank]],Stammdaten[[Rank Verteilung Ovalität]:[Verteilung Ovalität]],2,FALSE)</f>
        <v>#N/A</v>
      </c>
    </row>
    <row r="1115" spans="5:28" x14ac:dyDescent="0.35">
      <c r="E1115">
        <v>1106</v>
      </c>
      <c r="F1115" t="e">
        <f>INDEX(Stammdaten[D Mitte mit Rinde (mm)],MATCH(Tabelle8[[#This Row],[Rank]],Stammdaten[Rank Verteilung D Mitte mit Rinde],0))</f>
        <v>#N/A</v>
      </c>
      <c r="G1115" t="e">
        <f>VLOOKUP(Tabelle8[[#This Row],[Rank]],Stammdaten[[Rank Verteilung D Mitte mit Rinde]:[Verteilung D Mitte mit Rinde]],2,FALSE)</f>
        <v>#N/A</v>
      </c>
      <c r="L1115">
        <v>1106</v>
      </c>
      <c r="M1115" t="e">
        <f>INDEX(Stammdaten[Abholzigkeit (mm/lfm)],MATCH(Tabelle9[[#This Row],[Rank]],Stammdaten[Rank Verteilung Abholzigkeit],0))</f>
        <v>#N/A</v>
      </c>
      <c r="N1115" t="e">
        <f>VLOOKUP(Tabelle9[[#This Row],[Rank]],Stammdaten[[Rank Verteilung Abholzigkeit]:[Verteilung Abholzigkeit]],2,FALSE)</f>
        <v>#N/A</v>
      </c>
      <c r="S1115">
        <v>1106</v>
      </c>
      <c r="T1115" t="e">
        <f>INDEX(Stammdaten[Krümmung (mm/lfm)],MATCH(Tabelle10[[#This Row],[Rank]],Stammdaten[Rank Verteilung Krümmung],0))</f>
        <v>#N/A</v>
      </c>
      <c r="U1115" t="e">
        <f>VLOOKUP(Tabelle10[[#This Row],[Rank]],Stammdaten[[Rank Verteilung Krümmung]:[Verteilung Krümmung]],2,FALSE)</f>
        <v>#N/A</v>
      </c>
      <c r="Z1115">
        <v>1106</v>
      </c>
      <c r="AA1115" t="e">
        <f>INDEX(Stammdaten[Ovalität (']0,1'])],MATCH(Tabelle1014[[#This Row],[Rank]],Stammdaten[Rank Verteilung Ovalität],0))</f>
        <v>#N/A</v>
      </c>
      <c r="AB1115" t="e">
        <f>VLOOKUP(Tabelle1014[[#This Row],[Rank]],Stammdaten[[Rank Verteilung Ovalität]:[Verteilung Ovalität]],2,FALSE)</f>
        <v>#N/A</v>
      </c>
    </row>
    <row r="1116" spans="5:28" x14ac:dyDescent="0.35">
      <c r="E1116">
        <v>1107</v>
      </c>
      <c r="F1116" t="e">
        <f>INDEX(Stammdaten[D Mitte mit Rinde (mm)],MATCH(Tabelle8[[#This Row],[Rank]],Stammdaten[Rank Verteilung D Mitte mit Rinde],0))</f>
        <v>#N/A</v>
      </c>
      <c r="G1116" t="e">
        <f>VLOOKUP(Tabelle8[[#This Row],[Rank]],Stammdaten[[Rank Verteilung D Mitte mit Rinde]:[Verteilung D Mitte mit Rinde]],2,FALSE)</f>
        <v>#N/A</v>
      </c>
      <c r="L1116">
        <v>1107</v>
      </c>
      <c r="M1116" t="e">
        <f>INDEX(Stammdaten[Abholzigkeit (mm/lfm)],MATCH(Tabelle9[[#This Row],[Rank]],Stammdaten[Rank Verteilung Abholzigkeit],0))</f>
        <v>#N/A</v>
      </c>
      <c r="N1116" t="e">
        <f>VLOOKUP(Tabelle9[[#This Row],[Rank]],Stammdaten[[Rank Verteilung Abholzigkeit]:[Verteilung Abholzigkeit]],2,FALSE)</f>
        <v>#N/A</v>
      </c>
      <c r="S1116">
        <v>1107</v>
      </c>
      <c r="T1116" t="e">
        <f>INDEX(Stammdaten[Krümmung (mm/lfm)],MATCH(Tabelle10[[#This Row],[Rank]],Stammdaten[Rank Verteilung Krümmung],0))</f>
        <v>#N/A</v>
      </c>
      <c r="U1116" t="e">
        <f>VLOOKUP(Tabelle10[[#This Row],[Rank]],Stammdaten[[Rank Verteilung Krümmung]:[Verteilung Krümmung]],2,FALSE)</f>
        <v>#N/A</v>
      </c>
      <c r="Z1116">
        <v>1107</v>
      </c>
      <c r="AA1116" t="e">
        <f>INDEX(Stammdaten[Ovalität (']0,1'])],MATCH(Tabelle1014[[#This Row],[Rank]],Stammdaten[Rank Verteilung Ovalität],0))</f>
        <v>#N/A</v>
      </c>
      <c r="AB1116" t="e">
        <f>VLOOKUP(Tabelle1014[[#This Row],[Rank]],Stammdaten[[Rank Verteilung Ovalität]:[Verteilung Ovalität]],2,FALSE)</f>
        <v>#N/A</v>
      </c>
    </row>
    <row r="1117" spans="5:28" x14ac:dyDescent="0.35">
      <c r="E1117">
        <v>1108</v>
      </c>
      <c r="F1117" t="e">
        <f>INDEX(Stammdaten[D Mitte mit Rinde (mm)],MATCH(Tabelle8[[#This Row],[Rank]],Stammdaten[Rank Verteilung D Mitte mit Rinde],0))</f>
        <v>#N/A</v>
      </c>
      <c r="G1117" t="e">
        <f>VLOOKUP(Tabelle8[[#This Row],[Rank]],Stammdaten[[Rank Verteilung D Mitte mit Rinde]:[Verteilung D Mitte mit Rinde]],2,FALSE)</f>
        <v>#N/A</v>
      </c>
      <c r="L1117">
        <v>1108</v>
      </c>
      <c r="M1117" t="e">
        <f>INDEX(Stammdaten[Abholzigkeit (mm/lfm)],MATCH(Tabelle9[[#This Row],[Rank]],Stammdaten[Rank Verteilung Abholzigkeit],0))</f>
        <v>#N/A</v>
      </c>
      <c r="N1117" t="e">
        <f>VLOOKUP(Tabelle9[[#This Row],[Rank]],Stammdaten[[Rank Verteilung Abholzigkeit]:[Verteilung Abholzigkeit]],2,FALSE)</f>
        <v>#N/A</v>
      </c>
      <c r="S1117">
        <v>1108</v>
      </c>
      <c r="T1117" t="e">
        <f>INDEX(Stammdaten[Krümmung (mm/lfm)],MATCH(Tabelle10[[#This Row],[Rank]],Stammdaten[Rank Verteilung Krümmung],0))</f>
        <v>#N/A</v>
      </c>
      <c r="U1117" t="e">
        <f>VLOOKUP(Tabelle10[[#This Row],[Rank]],Stammdaten[[Rank Verteilung Krümmung]:[Verteilung Krümmung]],2,FALSE)</f>
        <v>#N/A</v>
      </c>
      <c r="Z1117">
        <v>1108</v>
      </c>
      <c r="AA1117" t="e">
        <f>INDEX(Stammdaten[Ovalität (']0,1'])],MATCH(Tabelle1014[[#This Row],[Rank]],Stammdaten[Rank Verteilung Ovalität],0))</f>
        <v>#N/A</v>
      </c>
      <c r="AB1117" t="e">
        <f>VLOOKUP(Tabelle1014[[#This Row],[Rank]],Stammdaten[[Rank Verteilung Ovalität]:[Verteilung Ovalität]],2,FALSE)</f>
        <v>#N/A</v>
      </c>
    </row>
    <row r="1118" spans="5:28" x14ac:dyDescent="0.35">
      <c r="E1118">
        <v>1109</v>
      </c>
      <c r="F1118" t="e">
        <f>INDEX(Stammdaten[D Mitte mit Rinde (mm)],MATCH(Tabelle8[[#This Row],[Rank]],Stammdaten[Rank Verteilung D Mitte mit Rinde],0))</f>
        <v>#N/A</v>
      </c>
      <c r="G1118" t="e">
        <f>VLOOKUP(Tabelle8[[#This Row],[Rank]],Stammdaten[[Rank Verteilung D Mitte mit Rinde]:[Verteilung D Mitte mit Rinde]],2,FALSE)</f>
        <v>#N/A</v>
      </c>
      <c r="L1118">
        <v>1109</v>
      </c>
      <c r="M1118" t="e">
        <f>INDEX(Stammdaten[Abholzigkeit (mm/lfm)],MATCH(Tabelle9[[#This Row],[Rank]],Stammdaten[Rank Verteilung Abholzigkeit],0))</f>
        <v>#N/A</v>
      </c>
      <c r="N1118" t="e">
        <f>VLOOKUP(Tabelle9[[#This Row],[Rank]],Stammdaten[[Rank Verteilung Abholzigkeit]:[Verteilung Abholzigkeit]],2,FALSE)</f>
        <v>#N/A</v>
      </c>
      <c r="S1118">
        <v>1109</v>
      </c>
      <c r="T1118" t="e">
        <f>INDEX(Stammdaten[Krümmung (mm/lfm)],MATCH(Tabelle10[[#This Row],[Rank]],Stammdaten[Rank Verteilung Krümmung],0))</f>
        <v>#N/A</v>
      </c>
      <c r="U1118" t="e">
        <f>VLOOKUP(Tabelle10[[#This Row],[Rank]],Stammdaten[[Rank Verteilung Krümmung]:[Verteilung Krümmung]],2,FALSE)</f>
        <v>#N/A</v>
      </c>
      <c r="Z1118">
        <v>1109</v>
      </c>
      <c r="AA1118" t="e">
        <f>INDEX(Stammdaten[Ovalität (']0,1'])],MATCH(Tabelle1014[[#This Row],[Rank]],Stammdaten[Rank Verteilung Ovalität],0))</f>
        <v>#N/A</v>
      </c>
      <c r="AB1118" t="e">
        <f>VLOOKUP(Tabelle1014[[#This Row],[Rank]],Stammdaten[[Rank Verteilung Ovalität]:[Verteilung Ovalität]],2,FALSE)</f>
        <v>#N/A</v>
      </c>
    </row>
    <row r="1119" spans="5:28" x14ac:dyDescent="0.35">
      <c r="E1119">
        <v>1110</v>
      </c>
      <c r="F1119" t="e">
        <f>INDEX(Stammdaten[D Mitte mit Rinde (mm)],MATCH(Tabelle8[[#This Row],[Rank]],Stammdaten[Rank Verteilung D Mitte mit Rinde],0))</f>
        <v>#N/A</v>
      </c>
      <c r="G1119" t="e">
        <f>VLOOKUP(Tabelle8[[#This Row],[Rank]],Stammdaten[[Rank Verteilung D Mitte mit Rinde]:[Verteilung D Mitte mit Rinde]],2,FALSE)</f>
        <v>#N/A</v>
      </c>
      <c r="L1119">
        <v>1110</v>
      </c>
      <c r="M1119" t="e">
        <f>INDEX(Stammdaten[Abholzigkeit (mm/lfm)],MATCH(Tabelle9[[#This Row],[Rank]],Stammdaten[Rank Verteilung Abholzigkeit],0))</f>
        <v>#N/A</v>
      </c>
      <c r="N1119" t="e">
        <f>VLOOKUP(Tabelle9[[#This Row],[Rank]],Stammdaten[[Rank Verteilung Abholzigkeit]:[Verteilung Abholzigkeit]],2,FALSE)</f>
        <v>#N/A</v>
      </c>
      <c r="S1119">
        <v>1110</v>
      </c>
      <c r="T1119" t="e">
        <f>INDEX(Stammdaten[Krümmung (mm/lfm)],MATCH(Tabelle10[[#This Row],[Rank]],Stammdaten[Rank Verteilung Krümmung],0))</f>
        <v>#N/A</v>
      </c>
      <c r="U1119" t="e">
        <f>VLOOKUP(Tabelle10[[#This Row],[Rank]],Stammdaten[[Rank Verteilung Krümmung]:[Verteilung Krümmung]],2,FALSE)</f>
        <v>#N/A</v>
      </c>
      <c r="Z1119">
        <v>1110</v>
      </c>
      <c r="AA1119" t="e">
        <f>INDEX(Stammdaten[Ovalität (']0,1'])],MATCH(Tabelle1014[[#This Row],[Rank]],Stammdaten[Rank Verteilung Ovalität],0))</f>
        <v>#N/A</v>
      </c>
      <c r="AB1119" t="e">
        <f>VLOOKUP(Tabelle1014[[#This Row],[Rank]],Stammdaten[[Rank Verteilung Ovalität]:[Verteilung Ovalität]],2,FALSE)</f>
        <v>#N/A</v>
      </c>
    </row>
    <row r="1120" spans="5:28" x14ac:dyDescent="0.35">
      <c r="E1120">
        <v>1111</v>
      </c>
      <c r="F1120" t="e">
        <f>INDEX(Stammdaten[D Mitte mit Rinde (mm)],MATCH(Tabelle8[[#This Row],[Rank]],Stammdaten[Rank Verteilung D Mitte mit Rinde],0))</f>
        <v>#N/A</v>
      </c>
      <c r="G1120" t="e">
        <f>VLOOKUP(Tabelle8[[#This Row],[Rank]],Stammdaten[[Rank Verteilung D Mitte mit Rinde]:[Verteilung D Mitte mit Rinde]],2,FALSE)</f>
        <v>#N/A</v>
      </c>
      <c r="L1120">
        <v>1111</v>
      </c>
      <c r="M1120" t="e">
        <f>INDEX(Stammdaten[Abholzigkeit (mm/lfm)],MATCH(Tabelle9[[#This Row],[Rank]],Stammdaten[Rank Verteilung Abholzigkeit],0))</f>
        <v>#N/A</v>
      </c>
      <c r="N1120" t="e">
        <f>VLOOKUP(Tabelle9[[#This Row],[Rank]],Stammdaten[[Rank Verteilung Abholzigkeit]:[Verteilung Abholzigkeit]],2,FALSE)</f>
        <v>#N/A</v>
      </c>
      <c r="S1120">
        <v>1111</v>
      </c>
      <c r="T1120" t="e">
        <f>INDEX(Stammdaten[Krümmung (mm/lfm)],MATCH(Tabelle10[[#This Row],[Rank]],Stammdaten[Rank Verteilung Krümmung],0))</f>
        <v>#N/A</v>
      </c>
      <c r="U1120" t="e">
        <f>VLOOKUP(Tabelle10[[#This Row],[Rank]],Stammdaten[[Rank Verteilung Krümmung]:[Verteilung Krümmung]],2,FALSE)</f>
        <v>#N/A</v>
      </c>
      <c r="Z1120">
        <v>1111</v>
      </c>
      <c r="AA1120" t="e">
        <f>INDEX(Stammdaten[Ovalität (']0,1'])],MATCH(Tabelle1014[[#This Row],[Rank]],Stammdaten[Rank Verteilung Ovalität],0))</f>
        <v>#N/A</v>
      </c>
      <c r="AB1120" t="e">
        <f>VLOOKUP(Tabelle1014[[#This Row],[Rank]],Stammdaten[[Rank Verteilung Ovalität]:[Verteilung Ovalität]],2,FALSE)</f>
        <v>#N/A</v>
      </c>
    </row>
    <row r="1121" spans="5:28" x14ac:dyDescent="0.35">
      <c r="E1121">
        <v>1112</v>
      </c>
      <c r="F1121" t="e">
        <f>INDEX(Stammdaten[D Mitte mit Rinde (mm)],MATCH(Tabelle8[[#This Row],[Rank]],Stammdaten[Rank Verteilung D Mitte mit Rinde],0))</f>
        <v>#N/A</v>
      </c>
      <c r="G1121" t="e">
        <f>VLOOKUP(Tabelle8[[#This Row],[Rank]],Stammdaten[[Rank Verteilung D Mitte mit Rinde]:[Verteilung D Mitte mit Rinde]],2,FALSE)</f>
        <v>#N/A</v>
      </c>
      <c r="L1121">
        <v>1112</v>
      </c>
      <c r="M1121" t="e">
        <f>INDEX(Stammdaten[Abholzigkeit (mm/lfm)],MATCH(Tabelle9[[#This Row],[Rank]],Stammdaten[Rank Verteilung Abholzigkeit],0))</f>
        <v>#N/A</v>
      </c>
      <c r="N1121" t="e">
        <f>VLOOKUP(Tabelle9[[#This Row],[Rank]],Stammdaten[[Rank Verteilung Abholzigkeit]:[Verteilung Abholzigkeit]],2,FALSE)</f>
        <v>#N/A</v>
      </c>
      <c r="S1121">
        <v>1112</v>
      </c>
      <c r="T1121" t="e">
        <f>INDEX(Stammdaten[Krümmung (mm/lfm)],MATCH(Tabelle10[[#This Row],[Rank]],Stammdaten[Rank Verteilung Krümmung],0))</f>
        <v>#N/A</v>
      </c>
      <c r="U1121" t="e">
        <f>VLOOKUP(Tabelle10[[#This Row],[Rank]],Stammdaten[[Rank Verteilung Krümmung]:[Verteilung Krümmung]],2,FALSE)</f>
        <v>#N/A</v>
      </c>
      <c r="Z1121">
        <v>1112</v>
      </c>
      <c r="AA1121" t="e">
        <f>INDEX(Stammdaten[Ovalität (']0,1'])],MATCH(Tabelle1014[[#This Row],[Rank]],Stammdaten[Rank Verteilung Ovalität],0))</f>
        <v>#N/A</v>
      </c>
      <c r="AB1121" t="e">
        <f>VLOOKUP(Tabelle1014[[#This Row],[Rank]],Stammdaten[[Rank Verteilung Ovalität]:[Verteilung Ovalität]],2,FALSE)</f>
        <v>#N/A</v>
      </c>
    </row>
    <row r="1122" spans="5:28" x14ac:dyDescent="0.35">
      <c r="E1122">
        <v>1113</v>
      </c>
      <c r="F1122" t="e">
        <f>INDEX(Stammdaten[D Mitte mit Rinde (mm)],MATCH(Tabelle8[[#This Row],[Rank]],Stammdaten[Rank Verteilung D Mitte mit Rinde],0))</f>
        <v>#N/A</v>
      </c>
      <c r="G1122" t="e">
        <f>VLOOKUP(Tabelle8[[#This Row],[Rank]],Stammdaten[[Rank Verteilung D Mitte mit Rinde]:[Verteilung D Mitte mit Rinde]],2,FALSE)</f>
        <v>#N/A</v>
      </c>
      <c r="L1122">
        <v>1113</v>
      </c>
      <c r="M1122" t="e">
        <f>INDEX(Stammdaten[Abholzigkeit (mm/lfm)],MATCH(Tabelle9[[#This Row],[Rank]],Stammdaten[Rank Verteilung Abholzigkeit],0))</f>
        <v>#N/A</v>
      </c>
      <c r="N1122" t="e">
        <f>VLOOKUP(Tabelle9[[#This Row],[Rank]],Stammdaten[[Rank Verteilung Abholzigkeit]:[Verteilung Abholzigkeit]],2,FALSE)</f>
        <v>#N/A</v>
      </c>
      <c r="S1122">
        <v>1113</v>
      </c>
      <c r="T1122" t="e">
        <f>INDEX(Stammdaten[Krümmung (mm/lfm)],MATCH(Tabelle10[[#This Row],[Rank]],Stammdaten[Rank Verteilung Krümmung],0))</f>
        <v>#N/A</v>
      </c>
      <c r="U1122" t="e">
        <f>VLOOKUP(Tabelle10[[#This Row],[Rank]],Stammdaten[[Rank Verteilung Krümmung]:[Verteilung Krümmung]],2,FALSE)</f>
        <v>#N/A</v>
      </c>
      <c r="Z1122">
        <v>1113</v>
      </c>
      <c r="AA1122" t="e">
        <f>INDEX(Stammdaten[Ovalität (']0,1'])],MATCH(Tabelle1014[[#This Row],[Rank]],Stammdaten[Rank Verteilung Ovalität],0))</f>
        <v>#N/A</v>
      </c>
      <c r="AB1122" t="e">
        <f>VLOOKUP(Tabelle1014[[#This Row],[Rank]],Stammdaten[[Rank Verteilung Ovalität]:[Verteilung Ovalität]],2,FALSE)</f>
        <v>#N/A</v>
      </c>
    </row>
    <row r="1123" spans="5:28" x14ac:dyDescent="0.35">
      <c r="E1123">
        <v>1114</v>
      </c>
      <c r="F1123" t="e">
        <f>INDEX(Stammdaten[D Mitte mit Rinde (mm)],MATCH(Tabelle8[[#This Row],[Rank]],Stammdaten[Rank Verteilung D Mitte mit Rinde],0))</f>
        <v>#N/A</v>
      </c>
      <c r="G1123" t="e">
        <f>VLOOKUP(Tabelle8[[#This Row],[Rank]],Stammdaten[[Rank Verteilung D Mitte mit Rinde]:[Verteilung D Mitte mit Rinde]],2,FALSE)</f>
        <v>#N/A</v>
      </c>
      <c r="L1123">
        <v>1114</v>
      </c>
      <c r="M1123" t="e">
        <f>INDEX(Stammdaten[Abholzigkeit (mm/lfm)],MATCH(Tabelle9[[#This Row],[Rank]],Stammdaten[Rank Verteilung Abholzigkeit],0))</f>
        <v>#N/A</v>
      </c>
      <c r="N1123" t="e">
        <f>VLOOKUP(Tabelle9[[#This Row],[Rank]],Stammdaten[[Rank Verteilung Abholzigkeit]:[Verteilung Abholzigkeit]],2,FALSE)</f>
        <v>#N/A</v>
      </c>
      <c r="S1123">
        <v>1114</v>
      </c>
      <c r="T1123" t="e">
        <f>INDEX(Stammdaten[Krümmung (mm/lfm)],MATCH(Tabelle10[[#This Row],[Rank]],Stammdaten[Rank Verteilung Krümmung],0))</f>
        <v>#N/A</v>
      </c>
      <c r="U1123" t="e">
        <f>VLOOKUP(Tabelle10[[#This Row],[Rank]],Stammdaten[[Rank Verteilung Krümmung]:[Verteilung Krümmung]],2,FALSE)</f>
        <v>#N/A</v>
      </c>
      <c r="Z1123">
        <v>1114</v>
      </c>
      <c r="AA1123" t="e">
        <f>INDEX(Stammdaten[Ovalität (']0,1'])],MATCH(Tabelle1014[[#This Row],[Rank]],Stammdaten[Rank Verteilung Ovalität],0))</f>
        <v>#N/A</v>
      </c>
      <c r="AB1123" t="e">
        <f>VLOOKUP(Tabelle1014[[#This Row],[Rank]],Stammdaten[[Rank Verteilung Ovalität]:[Verteilung Ovalität]],2,FALSE)</f>
        <v>#N/A</v>
      </c>
    </row>
    <row r="1124" spans="5:28" x14ac:dyDescent="0.35">
      <c r="E1124">
        <v>1115</v>
      </c>
      <c r="F1124" t="e">
        <f>INDEX(Stammdaten[D Mitte mit Rinde (mm)],MATCH(Tabelle8[[#This Row],[Rank]],Stammdaten[Rank Verteilung D Mitte mit Rinde],0))</f>
        <v>#N/A</v>
      </c>
      <c r="G1124" t="e">
        <f>VLOOKUP(Tabelle8[[#This Row],[Rank]],Stammdaten[[Rank Verteilung D Mitte mit Rinde]:[Verteilung D Mitte mit Rinde]],2,FALSE)</f>
        <v>#N/A</v>
      </c>
      <c r="L1124">
        <v>1115</v>
      </c>
      <c r="M1124" t="e">
        <f>INDEX(Stammdaten[Abholzigkeit (mm/lfm)],MATCH(Tabelle9[[#This Row],[Rank]],Stammdaten[Rank Verteilung Abholzigkeit],0))</f>
        <v>#N/A</v>
      </c>
      <c r="N1124" t="e">
        <f>VLOOKUP(Tabelle9[[#This Row],[Rank]],Stammdaten[[Rank Verteilung Abholzigkeit]:[Verteilung Abholzigkeit]],2,FALSE)</f>
        <v>#N/A</v>
      </c>
      <c r="S1124">
        <v>1115</v>
      </c>
      <c r="T1124" t="e">
        <f>INDEX(Stammdaten[Krümmung (mm/lfm)],MATCH(Tabelle10[[#This Row],[Rank]],Stammdaten[Rank Verteilung Krümmung],0))</f>
        <v>#N/A</v>
      </c>
      <c r="U1124" t="e">
        <f>VLOOKUP(Tabelle10[[#This Row],[Rank]],Stammdaten[[Rank Verteilung Krümmung]:[Verteilung Krümmung]],2,FALSE)</f>
        <v>#N/A</v>
      </c>
      <c r="Z1124">
        <v>1115</v>
      </c>
      <c r="AA1124" t="e">
        <f>INDEX(Stammdaten[Ovalität (']0,1'])],MATCH(Tabelle1014[[#This Row],[Rank]],Stammdaten[Rank Verteilung Ovalität],0))</f>
        <v>#N/A</v>
      </c>
      <c r="AB1124" t="e">
        <f>VLOOKUP(Tabelle1014[[#This Row],[Rank]],Stammdaten[[Rank Verteilung Ovalität]:[Verteilung Ovalität]],2,FALSE)</f>
        <v>#N/A</v>
      </c>
    </row>
    <row r="1125" spans="5:28" x14ac:dyDescent="0.35">
      <c r="E1125">
        <v>1116</v>
      </c>
      <c r="F1125" t="e">
        <f>INDEX(Stammdaten[D Mitte mit Rinde (mm)],MATCH(Tabelle8[[#This Row],[Rank]],Stammdaten[Rank Verteilung D Mitte mit Rinde],0))</f>
        <v>#N/A</v>
      </c>
      <c r="G1125" t="e">
        <f>VLOOKUP(Tabelle8[[#This Row],[Rank]],Stammdaten[[Rank Verteilung D Mitte mit Rinde]:[Verteilung D Mitte mit Rinde]],2,FALSE)</f>
        <v>#N/A</v>
      </c>
      <c r="L1125">
        <v>1116</v>
      </c>
      <c r="M1125" t="e">
        <f>INDEX(Stammdaten[Abholzigkeit (mm/lfm)],MATCH(Tabelle9[[#This Row],[Rank]],Stammdaten[Rank Verteilung Abholzigkeit],0))</f>
        <v>#N/A</v>
      </c>
      <c r="N1125" t="e">
        <f>VLOOKUP(Tabelle9[[#This Row],[Rank]],Stammdaten[[Rank Verteilung Abholzigkeit]:[Verteilung Abholzigkeit]],2,FALSE)</f>
        <v>#N/A</v>
      </c>
      <c r="S1125">
        <v>1116</v>
      </c>
      <c r="T1125" t="e">
        <f>INDEX(Stammdaten[Krümmung (mm/lfm)],MATCH(Tabelle10[[#This Row],[Rank]],Stammdaten[Rank Verteilung Krümmung],0))</f>
        <v>#N/A</v>
      </c>
      <c r="U1125" t="e">
        <f>VLOOKUP(Tabelle10[[#This Row],[Rank]],Stammdaten[[Rank Verteilung Krümmung]:[Verteilung Krümmung]],2,FALSE)</f>
        <v>#N/A</v>
      </c>
      <c r="Z1125">
        <v>1116</v>
      </c>
      <c r="AA1125" t="e">
        <f>INDEX(Stammdaten[Ovalität (']0,1'])],MATCH(Tabelle1014[[#This Row],[Rank]],Stammdaten[Rank Verteilung Ovalität],0))</f>
        <v>#N/A</v>
      </c>
      <c r="AB1125" t="e">
        <f>VLOOKUP(Tabelle1014[[#This Row],[Rank]],Stammdaten[[Rank Verteilung Ovalität]:[Verteilung Ovalität]],2,FALSE)</f>
        <v>#N/A</v>
      </c>
    </row>
    <row r="1126" spans="5:28" x14ac:dyDescent="0.35">
      <c r="E1126">
        <v>1117</v>
      </c>
      <c r="F1126" t="e">
        <f>INDEX(Stammdaten[D Mitte mit Rinde (mm)],MATCH(Tabelle8[[#This Row],[Rank]],Stammdaten[Rank Verteilung D Mitte mit Rinde],0))</f>
        <v>#N/A</v>
      </c>
      <c r="G1126" t="e">
        <f>VLOOKUP(Tabelle8[[#This Row],[Rank]],Stammdaten[[Rank Verteilung D Mitte mit Rinde]:[Verteilung D Mitte mit Rinde]],2,FALSE)</f>
        <v>#N/A</v>
      </c>
      <c r="L1126">
        <v>1117</v>
      </c>
      <c r="M1126" t="e">
        <f>INDEX(Stammdaten[Abholzigkeit (mm/lfm)],MATCH(Tabelle9[[#This Row],[Rank]],Stammdaten[Rank Verteilung Abholzigkeit],0))</f>
        <v>#N/A</v>
      </c>
      <c r="N1126" t="e">
        <f>VLOOKUP(Tabelle9[[#This Row],[Rank]],Stammdaten[[Rank Verteilung Abholzigkeit]:[Verteilung Abholzigkeit]],2,FALSE)</f>
        <v>#N/A</v>
      </c>
      <c r="S1126">
        <v>1117</v>
      </c>
      <c r="T1126" t="e">
        <f>INDEX(Stammdaten[Krümmung (mm/lfm)],MATCH(Tabelle10[[#This Row],[Rank]],Stammdaten[Rank Verteilung Krümmung],0))</f>
        <v>#N/A</v>
      </c>
      <c r="U1126" t="e">
        <f>VLOOKUP(Tabelle10[[#This Row],[Rank]],Stammdaten[[Rank Verteilung Krümmung]:[Verteilung Krümmung]],2,FALSE)</f>
        <v>#N/A</v>
      </c>
      <c r="Z1126">
        <v>1117</v>
      </c>
      <c r="AA1126" t="e">
        <f>INDEX(Stammdaten[Ovalität (']0,1'])],MATCH(Tabelle1014[[#This Row],[Rank]],Stammdaten[Rank Verteilung Ovalität],0))</f>
        <v>#N/A</v>
      </c>
      <c r="AB1126" t="e">
        <f>VLOOKUP(Tabelle1014[[#This Row],[Rank]],Stammdaten[[Rank Verteilung Ovalität]:[Verteilung Ovalität]],2,FALSE)</f>
        <v>#N/A</v>
      </c>
    </row>
    <row r="1127" spans="5:28" x14ac:dyDescent="0.35">
      <c r="E1127">
        <v>1118</v>
      </c>
      <c r="F1127" t="e">
        <f>INDEX(Stammdaten[D Mitte mit Rinde (mm)],MATCH(Tabelle8[[#This Row],[Rank]],Stammdaten[Rank Verteilung D Mitte mit Rinde],0))</f>
        <v>#N/A</v>
      </c>
      <c r="G1127" t="e">
        <f>VLOOKUP(Tabelle8[[#This Row],[Rank]],Stammdaten[[Rank Verteilung D Mitte mit Rinde]:[Verteilung D Mitte mit Rinde]],2,FALSE)</f>
        <v>#N/A</v>
      </c>
      <c r="L1127">
        <v>1118</v>
      </c>
      <c r="M1127" t="e">
        <f>INDEX(Stammdaten[Abholzigkeit (mm/lfm)],MATCH(Tabelle9[[#This Row],[Rank]],Stammdaten[Rank Verteilung Abholzigkeit],0))</f>
        <v>#N/A</v>
      </c>
      <c r="N1127" t="e">
        <f>VLOOKUP(Tabelle9[[#This Row],[Rank]],Stammdaten[[Rank Verteilung Abholzigkeit]:[Verteilung Abholzigkeit]],2,FALSE)</f>
        <v>#N/A</v>
      </c>
      <c r="S1127">
        <v>1118</v>
      </c>
      <c r="T1127" t="e">
        <f>INDEX(Stammdaten[Krümmung (mm/lfm)],MATCH(Tabelle10[[#This Row],[Rank]],Stammdaten[Rank Verteilung Krümmung],0))</f>
        <v>#N/A</v>
      </c>
      <c r="U1127" t="e">
        <f>VLOOKUP(Tabelle10[[#This Row],[Rank]],Stammdaten[[Rank Verteilung Krümmung]:[Verteilung Krümmung]],2,FALSE)</f>
        <v>#N/A</v>
      </c>
      <c r="Z1127">
        <v>1118</v>
      </c>
      <c r="AA1127" t="e">
        <f>INDEX(Stammdaten[Ovalität (']0,1'])],MATCH(Tabelle1014[[#This Row],[Rank]],Stammdaten[Rank Verteilung Ovalität],0))</f>
        <v>#N/A</v>
      </c>
      <c r="AB1127" t="e">
        <f>VLOOKUP(Tabelle1014[[#This Row],[Rank]],Stammdaten[[Rank Verteilung Ovalität]:[Verteilung Ovalität]],2,FALSE)</f>
        <v>#N/A</v>
      </c>
    </row>
    <row r="1128" spans="5:28" x14ac:dyDescent="0.35">
      <c r="E1128">
        <v>1119</v>
      </c>
      <c r="F1128" t="e">
        <f>INDEX(Stammdaten[D Mitte mit Rinde (mm)],MATCH(Tabelle8[[#This Row],[Rank]],Stammdaten[Rank Verteilung D Mitte mit Rinde],0))</f>
        <v>#N/A</v>
      </c>
      <c r="G1128" t="e">
        <f>VLOOKUP(Tabelle8[[#This Row],[Rank]],Stammdaten[[Rank Verteilung D Mitte mit Rinde]:[Verteilung D Mitte mit Rinde]],2,FALSE)</f>
        <v>#N/A</v>
      </c>
      <c r="L1128">
        <v>1119</v>
      </c>
      <c r="M1128" t="e">
        <f>INDEX(Stammdaten[Abholzigkeit (mm/lfm)],MATCH(Tabelle9[[#This Row],[Rank]],Stammdaten[Rank Verteilung Abholzigkeit],0))</f>
        <v>#N/A</v>
      </c>
      <c r="N1128" t="e">
        <f>VLOOKUP(Tabelle9[[#This Row],[Rank]],Stammdaten[[Rank Verteilung Abholzigkeit]:[Verteilung Abholzigkeit]],2,FALSE)</f>
        <v>#N/A</v>
      </c>
      <c r="S1128">
        <v>1119</v>
      </c>
      <c r="T1128" t="e">
        <f>INDEX(Stammdaten[Krümmung (mm/lfm)],MATCH(Tabelle10[[#This Row],[Rank]],Stammdaten[Rank Verteilung Krümmung],0))</f>
        <v>#N/A</v>
      </c>
      <c r="U1128" t="e">
        <f>VLOOKUP(Tabelle10[[#This Row],[Rank]],Stammdaten[[Rank Verteilung Krümmung]:[Verteilung Krümmung]],2,FALSE)</f>
        <v>#N/A</v>
      </c>
      <c r="Z1128">
        <v>1119</v>
      </c>
      <c r="AA1128" t="e">
        <f>INDEX(Stammdaten[Ovalität (']0,1'])],MATCH(Tabelle1014[[#This Row],[Rank]],Stammdaten[Rank Verteilung Ovalität],0))</f>
        <v>#N/A</v>
      </c>
      <c r="AB1128" t="e">
        <f>VLOOKUP(Tabelle1014[[#This Row],[Rank]],Stammdaten[[Rank Verteilung Ovalität]:[Verteilung Ovalität]],2,FALSE)</f>
        <v>#N/A</v>
      </c>
    </row>
    <row r="1129" spans="5:28" x14ac:dyDescent="0.35">
      <c r="E1129">
        <v>1120</v>
      </c>
      <c r="F1129" t="e">
        <f>INDEX(Stammdaten[D Mitte mit Rinde (mm)],MATCH(Tabelle8[[#This Row],[Rank]],Stammdaten[Rank Verteilung D Mitte mit Rinde],0))</f>
        <v>#N/A</v>
      </c>
      <c r="G1129" t="e">
        <f>VLOOKUP(Tabelle8[[#This Row],[Rank]],Stammdaten[[Rank Verteilung D Mitte mit Rinde]:[Verteilung D Mitte mit Rinde]],2,FALSE)</f>
        <v>#N/A</v>
      </c>
      <c r="L1129">
        <v>1120</v>
      </c>
      <c r="M1129" t="e">
        <f>INDEX(Stammdaten[Abholzigkeit (mm/lfm)],MATCH(Tabelle9[[#This Row],[Rank]],Stammdaten[Rank Verteilung Abholzigkeit],0))</f>
        <v>#N/A</v>
      </c>
      <c r="N1129" t="e">
        <f>VLOOKUP(Tabelle9[[#This Row],[Rank]],Stammdaten[[Rank Verteilung Abholzigkeit]:[Verteilung Abholzigkeit]],2,FALSE)</f>
        <v>#N/A</v>
      </c>
      <c r="S1129">
        <v>1120</v>
      </c>
      <c r="T1129" t="e">
        <f>INDEX(Stammdaten[Krümmung (mm/lfm)],MATCH(Tabelle10[[#This Row],[Rank]],Stammdaten[Rank Verteilung Krümmung],0))</f>
        <v>#N/A</v>
      </c>
      <c r="U1129" t="e">
        <f>VLOOKUP(Tabelle10[[#This Row],[Rank]],Stammdaten[[Rank Verteilung Krümmung]:[Verteilung Krümmung]],2,FALSE)</f>
        <v>#N/A</v>
      </c>
      <c r="Z1129">
        <v>1120</v>
      </c>
      <c r="AA1129" t="e">
        <f>INDEX(Stammdaten[Ovalität (']0,1'])],MATCH(Tabelle1014[[#This Row],[Rank]],Stammdaten[Rank Verteilung Ovalität],0))</f>
        <v>#N/A</v>
      </c>
      <c r="AB1129" t="e">
        <f>VLOOKUP(Tabelle1014[[#This Row],[Rank]],Stammdaten[[Rank Verteilung Ovalität]:[Verteilung Ovalität]],2,FALSE)</f>
        <v>#N/A</v>
      </c>
    </row>
    <row r="1130" spans="5:28" x14ac:dyDescent="0.35">
      <c r="E1130">
        <v>1121</v>
      </c>
      <c r="F1130" t="e">
        <f>INDEX(Stammdaten[D Mitte mit Rinde (mm)],MATCH(Tabelle8[[#This Row],[Rank]],Stammdaten[Rank Verteilung D Mitte mit Rinde],0))</f>
        <v>#N/A</v>
      </c>
      <c r="G1130" t="e">
        <f>VLOOKUP(Tabelle8[[#This Row],[Rank]],Stammdaten[[Rank Verteilung D Mitte mit Rinde]:[Verteilung D Mitte mit Rinde]],2,FALSE)</f>
        <v>#N/A</v>
      </c>
      <c r="L1130">
        <v>1121</v>
      </c>
      <c r="M1130" t="e">
        <f>INDEX(Stammdaten[Abholzigkeit (mm/lfm)],MATCH(Tabelle9[[#This Row],[Rank]],Stammdaten[Rank Verteilung Abholzigkeit],0))</f>
        <v>#N/A</v>
      </c>
      <c r="N1130" t="e">
        <f>VLOOKUP(Tabelle9[[#This Row],[Rank]],Stammdaten[[Rank Verteilung Abholzigkeit]:[Verteilung Abholzigkeit]],2,FALSE)</f>
        <v>#N/A</v>
      </c>
      <c r="S1130">
        <v>1121</v>
      </c>
      <c r="T1130" t="e">
        <f>INDEX(Stammdaten[Krümmung (mm/lfm)],MATCH(Tabelle10[[#This Row],[Rank]],Stammdaten[Rank Verteilung Krümmung],0))</f>
        <v>#N/A</v>
      </c>
      <c r="U1130" t="e">
        <f>VLOOKUP(Tabelle10[[#This Row],[Rank]],Stammdaten[[Rank Verteilung Krümmung]:[Verteilung Krümmung]],2,FALSE)</f>
        <v>#N/A</v>
      </c>
      <c r="Z1130">
        <v>1121</v>
      </c>
      <c r="AA1130" t="e">
        <f>INDEX(Stammdaten[Ovalität (']0,1'])],MATCH(Tabelle1014[[#This Row],[Rank]],Stammdaten[Rank Verteilung Ovalität],0))</f>
        <v>#N/A</v>
      </c>
      <c r="AB1130" t="e">
        <f>VLOOKUP(Tabelle1014[[#This Row],[Rank]],Stammdaten[[Rank Verteilung Ovalität]:[Verteilung Ovalität]],2,FALSE)</f>
        <v>#N/A</v>
      </c>
    </row>
    <row r="1131" spans="5:28" x14ac:dyDescent="0.35">
      <c r="E1131">
        <v>1122</v>
      </c>
      <c r="F1131" t="e">
        <f>INDEX(Stammdaten[D Mitte mit Rinde (mm)],MATCH(Tabelle8[[#This Row],[Rank]],Stammdaten[Rank Verteilung D Mitte mit Rinde],0))</f>
        <v>#N/A</v>
      </c>
      <c r="G1131" t="e">
        <f>VLOOKUP(Tabelle8[[#This Row],[Rank]],Stammdaten[[Rank Verteilung D Mitte mit Rinde]:[Verteilung D Mitte mit Rinde]],2,FALSE)</f>
        <v>#N/A</v>
      </c>
      <c r="L1131">
        <v>1122</v>
      </c>
      <c r="M1131" t="e">
        <f>INDEX(Stammdaten[Abholzigkeit (mm/lfm)],MATCH(Tabelle9[[#This Row],[Rank]],Stammdaten[Rank Verteilung Abholzigkeit],0))</f>
        <v>#N/A</v>
      </c>
      <c r="N1131" t="e">
        <f>VLOOKUP(Tabelle9[[#This Row],[Rank]],Stammdaten[[Rank Verteilung Abholzigkeit]:[Verteilung Abholzigkeit]],2,FALSE)</f>
        <v>#N/A</v>
      </c>
      <c r="S1131">
        <v>1122</v>
      </c>
      <c r="T1131" t="e">
        <f>INDEX(Stammdaten[Krümmung (mm/lfm)],MATCH(Tabelle10[[#This Row],[Rank]],Stammdaten[Rank Verteilung Krümmung],0))</f>
        <v>#N/A</v>
      </c>
      <c r="U1131" t="e">
        <f>VLOOKUP(Tabelle10[[#This Row],[Rank]],Stammdaten[[Rank Verteilung Krümmung]:[Verteilung Krümmung]],2,FALSE)</f>
        <v>#N/A</v>
      </c>
      <c r="Z1131">
        <v>1122</v>
      </c>
      <c r="AA1131" t="e">
        <f>INDEX(Stammdaten[Ovalität (']0,1'])],MATCH(Tabelle1014[[#This Row],[Rank]],Stammdaten[Rank Verteilung Ovalität],0))</f>
        <v>#N/A</v>
      </c>
      <c r="AB1131" t="e">
        <f>VLOOKUP(Tabelle1014[[#This Row],[Rank]],Stammdaten[[Rank Verteilung Ovalität]:[Verteilung Ovalität]],2,FALSE)</f>
        <v>#N/A</v>
      </c>
    </row>
    <row r="1132" spans="5:28" x14ac:dyDescent="0.35">
      <c r="E1132">
        <v>1123</v>
      </c>
      <c r="F1132" t="e">
        <f>INDEX(Stammdaten[D Mitte mit Rinde (mm)],MATCH(Tabelle8[[#This Row],[Rank]],Stammdaten[Rank Verteilung D Mitte mit Rinde],0))</f>
        <v>#N/A</v>
      </c>
      <c r="G1132" t="e">
        <f>VLOOKUP(Tabelle8[[#This Row],[Rank]],Stammdaten[[Rank Verteilung D Mitte mit Rinde]:[Verteilung D Mitte mit Rinde]],2,FALSE)</f>
        <v>#N/A</v>
      </c>
      <c r="L1132">
        <v>1123</v>
      </c>
      <c r="M1132" t="e">
        <f>INDEX(Stammdaten[Abholzigkeit (mm/lfm)],MATCH(Tabelle9[[#This Row],[Rank]],Stammdaten[Rank Verteilung Abholzigkeit],0))</f>
        <v>#N/A</v>
      </c>
      <c r="N1132" t="e">
        <f>VLOOKUP(Tabelle9[[#This Row],[Rank]],Stammdaten[[Rank Verteilung Abholzigkeit]:[Verteilung Abholzigkeit]],2,FALSE)</f>
        <v>#N/A</v>
      </c>
      <c r="S1132">
        <v>1123</v>
      </c>
      <c r="T1132" t="e">
        <f>INDEX(Stammdaten[Krümmung (mm/lfm)],MATCH(Tabelle10[[#This Row],[Rank]],Stammdaten[Rank Verteilung Krümmung],0))</f>
        <v>#N/A</v>
      </c>
      <c r="U1132" t="e">
        <f>VLOOKUP(Tabelle10[[#This Row],[Rank]],Stammdaten[[Rank Verteilung Krümmung]:[Verteilung Krümmung]],2,FALSE)</f>
        <v>#N/A</v>
      </c>
      <c r="Z1132">
        <v>1123</v>
      </c>
      <c r="AA1132" t="e">
        <f>INDEX(Stammdaten[Ovalität (']0,1'])],MATCH(Tabelle1014[[#This Row],[Rank]],Stammdaten[Rank Verteilung Ovalität],0))</f>
        <v>#N/A</v>
      </c>
      <c r="AB1132" t="e">
        <f>VLOOKUP(Tabelle1014[[#This Row],[Rank]],Stammdaten[[Rank Verteilung Ovalität]:[Verteilung Ovalität]],2,FALSE)</f>
        <v>#N/A</v>
      </c>
    </row>
    <row r="1133" spans="5:28" x14ac:dyDescent="0.35">
      <c r="E1133">
        <v>1124</v>
      </c>
      <c r="F1133" t="e">
        <f>INDEX(Stammdaten[D Mitte mit Rinde (mm)],MATCH(Tabelle8[[#This Row],[Rank]],Stammdaten[Rank Verteilung D Mitte mit Rinde],0))</f>
        <v>#N/A</v>
      </c>
      <c r="G1133" t="e">
        <f>VLOOKUP(Tabelle8[[#This Row],[Rank]],Stammdaten[[Rank Verteilung D Mitte mit Rinde]:[Verteilung D Mitte mit Rinde]],2,FALSE)</f>
        <v>#N/A</v>
      </c>
      <c r="L1133">
        <v>1124</v>
      </c>
      <c r="M1133" t="e">
        <f>INDEX(Stammdaten[Abholzigkeit (mm/lfm)],MATCH(Tabelle9[[#This Row],[Rank]],Stammdaten[Rank Verteilung Abholzigkeit],0))</f>
        <v>#N/A</v>
      </c>
      <c r="N1133" t="e">
        <f>VLOOKUP(Tabelle9[[#This Row],[Rank]],Stammdaten[[Rank Verteilung Abholzigkeit]:[Verteilung Abholzigkeit]],2,FALSE)</f>
        <v>#N/A</v>
      </c>
      <c r="S1133">
        <v>1124</v>
      </c>
      <c r="T1133" t="e">
        <f>INDEX(Stammdaten[Krümmung (mm/lfm)],MATCH(Tabelle10[[#This Row],[Rank]],Stammdaten[Rank Verteilung Krümmung],0))</f>
        <v>#N/A</v>
      </c>
      <c r="U1133" t="e">
        <f>VLOOKUP(Tabelle10[[#This Row],[Rank]],Stammdaten[[Rank Verteilung Krümmung]:[Verteilung Krümmung]],2,FALSE)</f>
        <v>#N/A</v>
      </c>
      <c r="Z1133">
        <v>1124</v>
      </c>
      <c r="AA1133" t="e">
        <f>INDEX(Stammdaten[Ovalität (']0,1'])],MATCH(Tabelle1014[[#This Row],[Rank]],Stammdaten[Rank Verteilung Ovalität],0))</f>
        <v>#N/A</v>
      </c>
      <c r="AB1133" t="e">
        <f>VLOOKUP(Tabelle1014[[#This Row],[Rank]],Stammdaten[[Rank Verteilung Ovalität]:[Verteilung Ovalität]],2,FALSE)</f>
        <v>#N/A</v>
      </c>
    </row>
    <row r="1134" spans="5:28" x14ac:dyDescent="0.35">
      <c r="E1134">
        <v>1125</v>
      </c>
      <c r="F1134" t="e">
        <f>INDEX(Stammdaten[D Mitte mit Rinde (mm)],MATCH(Tabelle8[[#This Row],[Rank]],Stammdaten[Rank Verteilung D Mitte mit Rinde],0))</f>
        <v>#N/A</v>
      </c>
      <c r="G1134" t="e">
        <f>VLOOKUP(Tabelle8[[#This Row],[Rank]],Stammdaten[[Rank Verteilung D Mitte mit Rinde]:[Verteilung D Mitte mit Rinde]],2,FALSE)</f>
        <v>#N/A</v>
      </c>
      <c r="L1134">
        <v>1125</v>
      </c>
      <c r="M1134" t="e">
        <f>INDEX(Stammdaten[Abholzigkeit (mm/lfm)],MATCH(Tabelle9[[#This Row],[Rank]],Stammdaten[Rank Verteilung Abholzigkeit],0))</f>
        <v>#N/A</v>
      </c>
      <c r="N1134" t="e">
        <f>VLOOKUP(Tabelle9[[#This Row],[Rank]],Stammdaten[[Rank Verteilung Abholzigkeit]:[Verteilung Abholzigkeit]],2,FALSE)</f>
        <v>#N/A</v>
      </c>
      <c r="S1134">
        <v>1125</v>
      </c>
      <c r="T1134" t="e">
        <f>INDEX(Stammdaten[Krümmung (mm/lfm)],MATCH(Tabelle10[[#This Row],[Rank]],Stammdaten[Rank Verteilung Krümmung],0))</f>
        <v>#N/A</v>
      </c>
      <c r="U1134" t="e">
        <f>VLOOKUP(Tabelle10[[#This Row],[Rank]],Stammdaten[[Rank Verteilung Krümmung]:[Verteilung Krümmung]],2,FALSE)</f>
        <v>#N/A</v>
      </c>
      <c r="Z1134">
        <v>1125</v>
      </c>
      <c r="AA1134" t="e">
        <f>INDEX(Stammdaten[Ovalität (']0,1'])],MATCH(Tabelle1014[[#This Row],[Rank]],Stammdaten[Rank Verteilung Ovalität],0))</f>
        <v>#N/A</v>
      </c>
      <c r="AB1134" t="e">
        <f>VLOOKUP(Tabelle1014[[#This Row],[Rank]],Stammdaten[[Rank Verteilung Ovalität]:[Verteilung Ovalität]],2,FALSE)</f>
        <v>#N/A</v>
      </c>
    </row>
    <row r="1135" spans="5:28" x14ac:dyDescent="0.35">
      <c r="E1135">
        <v>1126</v>
      </c>
      <c r="F1135" t="e">
        <f>INDEX(Stammdaten[D Mitte mit Rinde (mm)],MATCH(Tabelle8[[#This Row],[Rank]],Stammdaten[Rank Verteilung D Mitte mit Rinde],0))</f>
        <v>#N/A</v>
      </c>
      <c r="G1135" t="e">
        <f>VLOOKUP(Tabelle8[[#This Row],[Rank]],Stammdaten[[Rank Verteilung D Mitte mit Rinde]:[Verteilung D Mitte mit Rinde]],2,FALSE)</f>
        <v>#N/A</v>
      </c>
      <c r="L1135">
        <v>1126</v>
      </c>
      <c r="M1135" t="e">
        <f>INDEX(Stammdaten[Abholzigkeit (mm/lfm)],MATCH(Tabelle9[[#This Row],[Rank]],Stammdaten[Rank Verteilung Abholzigkeit],0))</f>
        <v>#N/A</v>
      </c>
      <c r="N1135" t="e">
        <f>VLOOKUP(Tabelle9[[#This Row],[Rank]],Stammdaten[[Rank Verteilung Abholzigkeit]:[Verteilung Abholzigkeit]],2,FALSE)</f>
        <v>#N/A</v>
      </c>
      <c r="S1135">
        <v>1126</v>
      </c>
      <c r="T1135" t="e">
        <f>INDEX(Stammdaten[Krümmung (mm/lfm)],MATCH(Tabelle10[[#This Row],[Rank]],Stammdaten[Rank Verteilung Krümmung],0))</f>
        <v>#N/A</v>
      </c>
      <c r="U1135" t="e">
        <f>VLOOKUP(Tabelle10[[#This Row],[Rank]],Stammdaten[[Rank Verteilung Krümmung]:[Verteilung Krümmung]],2,FALSE)</f>
        <v>#N/A</v>
      </c>
      <c r="Z1135">
        <v>1126</v>
      </c>
      <c r="AA1135" t="e">
        <f>INDEX(Stammdaten[Ovalität (']0,1'])],MATCH(Tabelle1014[[#This Row],[Rank]],Stammdaten[Rank Verteilung Ovalität],0))</f>
        <v>#N/A</v>
      </c>
      <c r="AB1135" t="e">
        <f>VLOOKUP(Tabelle1014[[#This Row],[Rank]],Stammdaten[[Rank Verteilung Ovalität]:[Verteilung Ovalität]],2,FALSE)</f>
        <v>#N/A</v>
      </c>
    </row>
    <row r="1136" spans="5:28" x14ac:dyDescent="0.35">
      <c r="E1136">
        <v>1127</v>
      </c>
      <c r="F1136" t="e">
        <f>INDEX(Stammdaten[D Mitte mit Rinde (mm)],MATCH(Tabelle8[[#This Row],[Rank]],Stammdaten[Rank Verteilung D Mitte mit Rinde],0))</f>
        <v>#N/A</v>
      </c>
      <c r="G1136" t="e">
        <f>VLOOKUP(Tabelle8[[#This Row],[Rank]],Stammdaten[[Rank Verteilung D Mitte mit Rinde]:[Verteilung D Mitte mit Rinde]],2,FALSE)</f>
        <v>#N/A</v>
      </c>
      <c r="L1136">
        <v>1127</v>
      </c>
      <c r="M1136" t="e">
        <f>INDEX(Stammdaten[Abholzigkeit (mm/lfm)],MATCH(Tabelle9[[#This Row],[Rank]],Stammdaten[Rank Verteilung Abholzigkeit],0))</f>
        <v>#N/A</v>
      </c>
      <c r="N1136" t="e">
        <f>VLOOKUP(Tabelle9[[#This Row],[Rank]],Stammdaten[[Rank Verteilung Abholzigkeit]:[Verteilung Abholzigkeit]],2,FALSE)</f>
        <v>#N/A</v>
      </c>
      <c r="S1136">
        <v>1127</v>
      </c>
      <c r="T1136" t="e">
        <f>INDEX(Stammdaten[Krümmung (mm/lfm)],MATCH(Tabelle10[[#This Row],[Rank]],Stammdaten[Rank Verteilung Krümmung],0))</f>
        <v>#N/A</v>
      </c>
      <c r="U1136" t="e">
        <f>VLOOKUP(Tabelle10[[#This Row],[Rank]],Stammdaten[[Rank Verteilung Krümmung]:[Verteilung Krümmung]],2,FALSE)</f>
        <v>#N/A</v>
      </c>
      <c r="Z1136">
        <v>1127</v>
      </c>
      <c r="AA1136" t="e">
        <f>INDEX(Stammdaten[Ovalität (']0,1'])],MATCH(Tabelle1014[[#This Row],[Rank]],Stammdaten[Rank Verteilung Ovalität],0))</f>
        <v>#N/A</v>
      </c>
      <c r="AB1136" t="e">
        <f>VLOOKUP(Tabelle1014[[#This Row],[Rank]],Stammdaten[[Rank Verteilung Ovalität]:[Verteilung Ovalität]],2,FALSE)</f>
        <v>#N/A</v>
      </c>
    </row>
    <row r="1137" spans="5:28" x14ac:dyDescent="0.35">
      <c r="E1137">
        <v>1128</v>
      </c>
      <c r="F1137" t="e">
        <f>INDEX(Stammdaten[D Mitte mit Rinde (mm)],MATCH(Tabelle8[[#This Row],[Rank]],Stammdaten[Rank Verteilung D Mitte mit Rinde],0))</f>
        <v>#N/A</v>
      </c>
      <c r="G1137" t="e">
        <f>VLOOKUP(Tabelle8[[#This Row],[Rank]],Stammdaten[[Rank Verteilung D Mitte mit Rinde]:[Verteilung D Mitte mit Rinde]],2,FALSE)</f>
        <v>#N/A</v>
      </c>
      <c r="L1137">
        <v>1128</v>
      </c>
      <c r="M1137" t="e">
        <f>INDEX(Stammdaten[Abholzigkeit (mm/lfm)],MATCH(Tabelle9[[#This Row],[Rank]],Stammdaten[Rank Verteilung Abholzigkeit],0))</f>
        <v>#N/A</v>
      </c>
      <c r="N1137" t="e">
        <f>VLOOKUP(Tabelle9[[#This Row],[Rank]],Stammdaten[[Rank Verteilung Abholzigkeit]:[Verteilung Abholzigkeit]],2,FALSE)</f>
        <v>#N/A</v>
      </c>
      <c r="S1137">
        <v>1128</v>
      </c>
      <c r="T1137" t="e">
        <f>INDEX(Stammdaten[Krümmung (mm/lfm)],MATCH(Tabelle10[[#This Row],[Rank]],Stammdaten[Rank Verteilung Krümmung],0))</f>
        <v>#N/A</v>
      </c>
      <c r="U1137" t="e">
        <f>VLOOKUP(Tabelle10[[#This Row],[Rank]],Stammdaten[[Rank Verteilung Krümmung]:[Verteilung Krümmung]],2,FALSE)</f>
        <v>#N/A</v>
      </c>
      <c r="Z1137">
        <v>1128</v>
      </c>
      <c r="AA1137" t="e">
        <f>INDEX(Stammdaten[Ovalität (']0,1'])],MATCH(Tabelle1014[[#This Row],[Rank]],Stammdaten[Rank Verteilung Ovalität],0))</f>
        <v>#N/A</v>
      </c>
      <c r="AB1137" t="e">
        <f>VLOOKUP(Tabelle1014[[#This Row],[Rank]],Stammdaten[[Rank Verteilung Ovalität]:[Verteilung Ovalität]],2,FALSE)</f>
        <v>#N/A</v>
      </c>
    </row>
    <row r="1138" spans="5:28" x14ac:dyDescent="0.35">
      <c r="E1138">
        <v>1129</v>
      </c>
      <c r="F1138" t="e">
        <f>INDEX(Stammdaten[D Mitte mit Rinde (mm)],MATCH(Tabelle8[[#This Row],[Rank]],Stammdaten[Rank Verteilung D Mitte mit Rinde],0))</f>
        <v>#N/A</v>
      </c>
      <c r="G1138" t="e">
        <f>VLOOKUP(Tabelle8[[#This Row],[Rank]],Stammdaten[[Rank Verteilung D Mitte mit Rinde]:[Verteilung D Mitte mit Rinde]],2,FALSE)</f>
        <v>#N/A</v>
      </c>
      <c r="L1138">
        <v>1129</v>
      </c>
      <c r="M1138" t="e">
        <f>INDEX(Stammdaten[Abholzigkeit (mm/lfm)],MATCH(Tabelle9[[#This Row],[Rank]],Stammdaten[Rank Verteilung Abholzigkeit],0))</f>
        <v>#N/A</v>
      </c>
      <c r="N1138" t="e">
        <f>VLOOKUP(Tabelle9[[#This Row],[Rank]],Stammdaten[[Rank Verteilung Abholzigkeit]:[Verteilung Abholzigkeit]],2,FALSE)</f>
        <v>#N/A</v>
      </c>
      <c r="S1138">
        <v>1129</v>
      </c>
      <c r="T1138" t="e">
        <f>INDEX(Stammdaten[Krümmung (mm/lfm)],MATCH(Tabelle10[[#This Row],[Rank]],Stammdaten[Rank Verteilung Krümmung],0))</f>
        <v>#N/A</v>
      </c>
      <c r="U1138" t="e">
        <f>VLOOKUP(Tabelle10[[#This Row],[Rank]],Stammdaten[[Rank Verteilung Krümmung]:[Verteilung Krümmung]],2,FALSE)</f>
        <v>#N/A</v>
      </c>
      <c r="Z1138">
        <v>1129</v>
      </c>
      <c r="AA1138" t="e">
        <f>INDEX(Stammdaten[Ovalität (']0,1'])],MATCH(Tabelle1014[[#This Row],[Rank]],Stammdaten[Rank Verteilung Ovalität],0))</f>
        <v>#N/A</v>
      </c>
      <c r="AB1138" t="e">
        <f>VLOOKUP(Tabelle1014[[#This Row],[Rank]],Stammdaten[[Rank Verteilung Ovalität]:[Verteilung Ovalität]],2,FALSE)</f>
        <v>#N/A</v>
      </c>
    </row>
    <row r="1139" spans="5:28" x14ac:dyDescent="0.35">
      <c r="E1139">
        <v>1130</v>
      </c>
      <c r="F1139" t="e">
        <f>INDEX(Stammdaten[D Mitte mit Rinde (mm)],MATCH(Tabelle8[[#This Row],[Rank]],Stammdaten[Rank Verteilung D Mitte mit Rinde],0))</f>
        <v>#N/A</v>
      </c>
      <c r="G1139" t="e">
        <f>VLOOKUP(Tabelle8[[#This Row],[Rank]],Stammdaten[[Rank Verteilung D Mitte mit Rinde]:[Verteilung D Mitte mit Rinde]],2,FALSE)</f>
        <v>#N/A</v>
      </c>
      <c r="L1139">
        <v>1130</v>
      </c>
      <c r="M1139" t="e">
        <f>INDEX(Stammdaten[Abholzigkeit (mm/lfm)],MATCH(Tabelle9[[#This Row],[Rank]],Stammdaten[Rank Verteilung Abholzigkeit],0))</f>
        <v>#N/A</v>
      </c>
      <c r="N1139" t="e">
        <f>VLOOKUP(Tabelle9[[#This Row],[Rank]],Stammdaten[[Rank Verteilung Abholzigkeit]:[Verteilung Abholzigkeit]],2,FALSE)</f>
        <v>#N/A</v>
      </c>
      <c r="S1139">
        <v>1130</v>
      </c>
      <c r="T1139" t="e">
        <f>INDEX(Stammdaten[Krümmung (mm/lfm)],MATCH(Tabelle10[[#This Row],[Rank]],Stammdaten[Rank Verteilung Krümmung],0))</f>
        <v>#N/A</v>
      </c>
      <c r="U1139" t="e">
        <f>VLOOKUP(Tabelle10[[#This Row],[Rank]],Stammdaten[[Rank Verteilung Krümmung]:[Verteilung Krümmung]],2,FALSE)</f>
        <v>#N/A</v>
      </c>
      <c r="Z1139">
        <v>1130</v>
      </c>
      <c r="AA1139" t="e">
        <f>INDEX(Stammdaten[Ovalität (']0,1'])],MATCH(Tabelle1014[[#This Row],[Rank]],Stammdaten[Rank Verteilung Ovalität],0))</f>
        <v>#N/A</v>
      </c>
      <c r="AB1139" t="e">
        <f>VLOOKUP(Tabelle1014[[#This Row],[Rank]],Stammdaten[[Rank Verteilung Ovalität]:[Verteilung Ovalität]],2,FALSE)</f>
        <v>#N/A</v>
      </c>
    </row>
    <row r="1140" spans="5:28" x14ac:dyDescent="0.35">
      <c r="E1140">
        <v>1131</v>
      </c>
      <c r="F1140" t="e">
        <f>INDEX(Stammdaten[D Mitte mit Rinde (mm)],MATCH(Tabelle8[[#This Row],[Rank]],Stammdaten[Rank Verteilung D Mitte mit Rinde],0))</f>
        <v>#N/A</v>
      </c>
      <c r="G1140" t="e">
        <f>VLOOKUP(Tabelle8[[#This Row],[Rank]],Stammdaten[[Rank Verteilung D Mitte mit Rinde]:[Verteilung D Mitte mit Rinde]],2,FALSE)</f>
        <v>#N/A</v>
      </c>
      <c r="L1140">
        <v>1131</v>
      </c>
      <c r="M1140" t="e">
        <f>INDEX(Stammdaten[Abholzigkeit (mm/lfm)],MATCH(Tabelle9[[#This Row],[Rank]],Stammdaten[Rank Verteilung Abholzigkeit],0))</f>
        <v>#N/A</v>
      </c>
      <c r="N1140" t="e">
        <f>VLOOKUP(Tabelle9[[#This Row],[Rank]],Stammdaten[[Rank Verteilung Abholzigkeit]:[Verteilung Abholzigkeit]],2,FALSE)</f>
        <v>#N/A</v>
      </c>
      <c r="S1140">
        <v>1131</v>
      </c>
      <c r="T1140" t="e">
        <f>INDEX(Stammdaten[Krümmung (mm/lfm)],MATCH(Tabelle10[[#This Row],[Rank]],Stammdaten[Rank Verteilung Krümmung],0))</f>
        <v>#N/A</v>
      </c>
      <c r="U1140" t="e">
        <f>VLOOKUP(Tabelle10[[#This Row],[Rank]],Stammdaten[[Rank Verteilung Krümmung]:[Verteilung Krümmung]],2,FALSE)</f>
        <v>#N/A</v>
      </c>
      <c r="Z1140">
        <v>1131</v>
      </c>
      <c r="AA1140" t="e">
        <f>INDEX(Stammdaten[Ovalität (']0,1'])],MATCH(Tabelle1014[[#This Row],[Rank]],Stammdaten[Rank Verteilung Ovalität],0))</f>
        <v>#N/A</v>
      </c>
      <c r="AB1140" t="e">
        <f>VLOOKUP(Tabelle1014[[#This Row],[Rank]],Stammdaten[[Rank Verteilung Ovalität]:[Verteilung Ovalität]],2,FALSE)</f>
        <v>#N/A</v>
      </c>
    </row>
    <row r="1141" spans="5:28" x14ac:dyDescent="0.35">
      <c r="E1141">
        <v>1132</v>
      </c>
      <c r="F1141" t="e">
        <f>INDEX(Stammdaten[D Mitte mit Rinde (mm)],MATCH(Tabelle8[[#This Row],[Rank]],Stammdaten[Rank Verteilung D Mitte mit Rinde],0))</f>
        <v>#N/A</v>
      </c>
      <c r="G1141" t="e">
        <f>VLOOKUP(Tabelle8[[#This Row],[Rank]],Stammdaten[[Rank Verteilung D Mitte mit Rinde]:[Verteilung D Mitte mit Rinde]],2,FALSE)</f>
        <v>#N/A</v>
      </c>
      <c r="L1141">
        <v>1132</v>
      </c>
      <c r="M1141" t="e">
        <f>INDEX(Stammdaten[Abholzigkeit (mm/lfm)],MATCH(Tabelle9[[#This Row],[Rank]],Stammdaten[Rank Verteilung Abholzigkeit],0))</f>
        <v>#N/A</v>
      </c>
      <c r="N1141" t="e">
        <f>VLOOKUP(Tabelle9[[#This Row],[Rank]],Stammdaten[[Rank Verteilung Abholzigkeit]:[Verteilung Abholzigkeit]],2,FALSE)</f>
        <v>#N/A</v>
      </c>
      <c r="S1141">
        <v>1132</v>
      </c>
      <c r="T1141" t="e">
        <f>INDEX(Stammdaten[Krümmung (mm/lfm)],MATCH(Tabelle10[[#This Row],[Rank]],Stammdaten[Rank Verteilung Krümmung],0))</f>
        <v>#N/A</v>
      </c>
      <c r="U1141" t="e">
        <f>VLOOKUP(Tabelle10[[#This Row],[Rank]],Stammdaten[[Rank Verteilung Krümmung]:[Verteilung Krümmung]],2,FALSE)</f>
        <v>#N/A</v>
      </c>
      <c r="Z1141">
        <v>1132</v>
      </c>
      <c r="AA1141" t="e">
        <f>INDEX(Stammdaten[Ovalität (']0,1'])],MATCH(Tabelle1014[[#This Row],[Rank]],Stammdaten[Rank Verteilung Ovalität],0))</f>
        <v>#N/A</v>
      </c>
      <c r="AB1141" t="e">
        <f>VLOOKUP(Tabelle1014[[#This Row],[Rank]],Stammdaten[[Rank Verteilung Ovalität]:[Verteilung Ovalität]],2,FALSE)</f>
        <v>#N/A</v>
      </c>
    </row>
    <row r="1142" spans="5:28" x14ac:dyDescent="0.35">
      <c r="E1142">
        <v>1133</v>
      </c>
      <c r="F1142" t="e">
        <f>INDEX(Stammdaten[D Mitte mit Rinde (mm)],MATCH(Tabelle8[[#This Row],[Rank]],Stammdaten[Rank Verteilung D Mitte mit Rinde],0))</f>
        <v>#N/A</v>
      </c>
      <c r="G1142" t="e">
        <f>VLOOKUP(Tabelle8[[#This Row],[Rank]],Stammdaten[[Rank Verteilung D Mitte mit Rinde]:[Verteilung D Mitte mit Rinde]],2,FALSE)</f>
        <v>#N/A</v>
      </c>
      <c r="L1142">
        <v>1133</v>
      </c>
      <c r="M1142" t="e">
        <f>INDEX(Stammdaten[Abholzigkeit (mm/lfm)],MATCH(Tabelle9[[#This Row],[Rank]],Stammdaten[Rank Verteilung Abholzigkeit],0))</f>
        <v>#N/A</v>
      </c>
      <c r="N1142" t="e">
        <f>VLOOKUP(Tabelle9[[#This Row],[Rank]],Stammdaten[[Rank Verteilung Abholzigkeit]:[Verteilung Abholzigkeit]],2,FALSE)</f>
        <v>#N/A</v>
      </c>
      <c r="S1142">
        <v>1133</v>
      </c>
      <c r="T1142" t="e">
        <f>INDEX(Stammdaten[Krümmung (mm/lfm)],MATCH(Tabelle10[[#This Row],[Rank]],Stammdaten[Rank Verteilung Krümmung],0))</f>
        <v>#N/A</v>
      </c>
      <c r="U1142" t="e">
        <f>VLOOKUP(Tabelle10[[#This Row],[Rank]],Stammdaten[[Rank Verteilung Krümmung]:[Verteilung Krümmung]],2,FALSE)</f>
        <v>#N/A</v>
      </c>
      <c r="Z1142">
        <v>1133</v>
      </c>
      <c r="AA1142" t="e">
        <f>INDEX(Stammdaten[Ovalität (']0,1'])],MATCH(Tabelle1014[[#This Row],[Rank]],Stammdaten[Rank Verteilung Ovalität],0))</f>
        <v>#N/A</v>
      </c>
      <c r="AB1142" t="e">
        <f>VLOOKUP(Tabelle1014[[#This Row],[Rank]],Stammdaten[[Rank Verteilung Ovalität]:[Verteilung Ovalität]],2,FALSE)</f>
        <v>#N/A</v>
      </c>
    </row>
    <row r="1143" spans="5:28" x14ac:dyDescent="0.35">
      <c r="E1143">
        <v>1134</v>
      </c>
      <c r="F1143" t="e">
        <f>INDEX(Stammdaten[D Mitte mit Rinde (mm)],MATCH(Tabelle8[[#This Row],[Rank]],Stammdaten[Rank Verteilung D Mitte mit Rinde],0))</f>
        <v>#N/A</v>
      </c>
      <c r="G1143" t="e">
        <f>VLOOKUP(Tabelle8[[#This Row],[Rank]],Stammdaten[[Rank Verteilung D Mitte mit Rinde]:[Verteilung D Mitte mit Rinde]],2,FALSE)</f>
        <v>#N/A</v>
      </c>
      <c r="L1143">
        <v>1134</v>
      </c>
      <c r="M1143" t="e">
        <f>INDEX(Stammdaten[Abholzigkeit (mm/lfm)],MATCH(Tabelle9[[#This Row],[Rank]],Stammdaten[Rank Verteilung Abholzigkeit],0))</f>
        <v>#N/A</v>
      </c>
      <c r="N1143" t="e">
        <f>VLOOKUP(Tabelle9[[#This Row],[Rank]],Stammdaten[[Rank Verteilung Abholzigkeit]:[Verteilung Abholzigkeit]],2,FALSE)</f>
        <v>#N/A</v>
      </c>
      <c r="S1143">
        <v>1134</v>
      </c>
      <c r="T1143" t="e">
        <f>INDEX(Stammdaten[Krümmung (mm/lfm)],MATCH(Tabelle10[[#This Row],[Rank]],Stammdaten[Rank Verteilung Krümmung],0))</f>
        <v>#N/A</v>
      </c>
      <c r="U1143" t="e">
        <f>VLOOKUP(Tabelle10[[#This Row],[Rank]],Stammdaten[[Rank Verteilung Krümmung]:[Verteilung Krümmung]],2,FALSE)</f>
        <v>#N/A</v>
      </c>
      <c r="Z1143">
        <v>1134</v>
      </c>
      <c r="AA1143" t="e">
        <f>INDEX(Stammdaten[Ovalität (']0,1'])],MATCH(Tabelle1014[[#This Row],[Rank]],Stammdaten[Rank Verteilung Ovalität],0))</f>
        <v>#N/A</v>
      </c>
      <c r="AB1143" t="e">
        <f>VLOOKUP(Tabelle1014[[#This Row],[Rank]],Stammdaten[[Rank Verteilung Ovalität]:[Verteilung Ovalität]],2,FALSE)</f>
        <v>#N/A</v>
      </c>
    </row>
    <row r="1144" spans="5:28" x14ac:dyDescent="0.35">
      <c r="E1144">
        <v>1135</v>
      </c>
      <c r="F1144" t="e">
        <f>INDEX(Stammdaten[D Mitte mit Rinde (mm)],MATCH(Tabelle8[[#This Row],[Rank]],Stammdaten[Rank Verteilung D Mitte mit Rinde],0))</f>
        <v>#N/A</v>
      </c>
      <c r="G1144" t="e">
        <f>VLOOKUP(Tabelle8[[#This Row],[Rank]],Stammdaten[[Rank Verteilung D Mitte mit Rinde]:[Verteilung D Mitte mit Rinde]],2,FALSE)</f>
        <v>#N/A</v>
      </c>
      <c r="L1144">
        <v>1135</v>
      </c>
      <c r="M1144" t="e">
        <f>INDEX(Stammdaten[Abholzigkeit (mm/lfm)],MATCH(Tabelle9[[#This Row],[Rank]],Stammdaten[Rank Verteilung Abholzigkeit],0))</f>
        <v>#N/A</v>
      </c>
      <c r="N1144" t="e">
        <f>VLOOKUP(Tabelle9[[#This Row],[Rank]],Stammdaten[[Rank Verteilung Abholzigkeit]:[Verteilung Abholzigkeit]],2,FALSE)</f>
        <v>#N/A</v>
      </c>
      <c r="S1144">
        <v>1135</v>
      </c>
      <c r="T1144" t="e">
        <f>INDEX(Stammdaten[Krümmung (mm/lfm)],MATCH(Tabelle10[[#This Row],[Rank]],Stammdaten[Rank Verteilung Krümmung],0))</f>
        <v>#N/A</v>
      </c>
      <c r="U1144" t="e">
        <f>VLOOKUP(Tabelle10[[#This Row],[Rank]],Stammdaten[[Rank Verteilung Krümmung]:[Verteilung Krümmung]],2,FALSE)</f>
        <v>#N/A</v>
      </c>
      <c r="Z1144">
        <v>1135</v>
      </c>
      <c r="AA1144" t="e">
        <f>INDEX(Stammdaten[Ovalität (']0,1'])],MATCH(Tabelle1014[[#This Row],[Rank]],Stammdaten[Rank Verteilung Ovalität],0))</f>
        <v>#N/A</v>
      </c>
      <c r="AB1144" t="e">
        <f>VLOOKUP(Tabelle1014[[#This Row],[Rank]],Stammdaten[[Rank Verteilung Ovalität]:[Verteilung Ovalität]],2,FALSE)</f>
        <v>#N/A</v>
      </c>
    </row>
    <row r="1145" spans="5:28" x14ac:dyDescent="0.35">
      <c r="E1145">
        <v>1136</v>
      </c>
      <c r="F1145" t="e">
        <f>INDEX(Stammdaten[D Mitte mit Rinde (mm)],MATCH(Tabelle8[[#This Row],[Rank]],Stammdaten[Rank Verteilung D Mitte mit Rinde],0))</f>
        <v>#N/A</v>
      </c>
      <c r="G1145" t="e">
        <f>VLOOKUP(Tabelle8[[#This Row],[Rank]],Stammdaten[[Rank Verteilung D Mitte mit Rinde]:[Verteilung D Mitte mit Rinde]],2,FALSE)</f>
        <v>#N/A</v>
      </c>
      <c r="L1145">
        <v>1136</v>
      </c>
      <c r="M1145" t="e">
        <f>INDEX(Stammdaten[Abholzigkeit (mm/lfm)],MATCH(Tabelle9[[#This Row],[Rank]],Stammdaten[Rank Verteilung Abholzigkeit],0))</f>
        <v>#N/A</v>
      </c>
      <c r="N1145" t="e">
        <f>VLOOKUP(Tabelle9[[#This Row],[Rank]],Stammdaten[[Rank Verteilung Abholzigkeit]:[Verteilung Abholzigkeit]],2,FALSE)</f>
        <v>#N/A</v>
      </c>
      <c r="S1145">
        <v>1136</v>
      </c>
      <c r="T1145" t="e">
        <f>INDEX(Stammdaten[Krümmung (mm/lfm)],MATCH(Tabelle10[[#This Row],[Rank]],Stammdaten[Rank Verteilung Krümmung],0))</f>
        <v>#N/A</v>
      </c>
      <c r="U1145" t="e">
        <f>VLOOKUP(Tabelle10[[#This Row],[Rank]],Stammdaten[[Rank Verteilung Krümmung]:[Verteilung Krümmung]],2,FALSE)</f>
        <v>#N/A</v>
      </c>
      <c r="Z1145">
        <v>1136</v>
      </c>
      <c r="AA1145" t="e">
        <f>INDEX(Stammdaten[Ovalität (']0,1'])],MATCH(Tabelle1014[[#This Row],[Rank]],Stammdaten[Rank Verteilung Ovalität],0))</f>
        <v>#N/A</v>
      </c>
      <c r="AB1145" t="e">
        <f>VLOOKUP(Tabelle1014[[#This Row],[Rank]],Stammdaten[[Rank Verteilung Ovalität]:[Verteilung Ovalität]],2,FALSE)</f>
        <v>#N/A</v>
      </c>
    </row>
    <row r="1146" spans="5:28" x14ac:dyDescent="0.35">
      <c r="E1146">
        <v>1137</v>
      </c>
      <c r="F1146" t="e">
        <f>INDEX(Stammdaten[D Mitte mit Rinde (mm)],MATCH(Tabelle8[[#This Row],[Rank]],Stammdaten[Rank Verteilung D Mitte mit Rinde],0))</f>
        <v>#N/A</v>
      </c>
      <c r="G1146" t="e">
        <f>VLOOKUP(Tabelle8[[#This Row],[Rank]],Stammdaten[[Rank Verteilung D Mitte mit Rinde]:[Verteilung D Mitte mit Rinde]],2,FALSE)</f>
        <v>#N/A</v>
      </c>
      <c r="L1146">
        <v>1137</v>
      </c>
      <c r="M1146" t="e">
        <f>INDEX(Stammdaten[Abholzigkeit (mm/lfm)],MATCH(Tabelle9[[#This Row],[Rank]],Stammdaten[Rank Verteilung Abholzigkeit],0))</f>
        <v>#N/A</v>
      </c>
      <c r="N1146" t="e">
        <f>VLOOKUP(Tabelle9[[#This Row],[Rank]],Stammdaten[[Rank Verteilung Abholzigkeit]:[Verteilung Abholzigkeit]],2,FALSE)</f>
        <v>#N/A</v>
      </c>
      <c r="S1146">
        <v>1137</v>
      </c>
      <c r="T1146" t="e">
        <f>INDEX(Stammdaten[Krümmung (mm/lfm)],MATCH(Tabelle10[[#This Row],[Rank]],Stammdaten[Rank Verteilung Krümmung],0))</f>
        <v>#N/A</v>
      </c>
      <c r="U1146" t="e">
        <f>VLOOKUP(Tabelle10[[#This Row],[Rank]],Stammdaten[[Rank Verteilung Krümmung]:[Verteilung Krümmung]],2,FALSE)</f>
        <v>#N/A</v>
      </c>
      <c r="Z1146">
        <v>1137</v>
      </c>
      <c r="AA1146" t="e">
        <f>INDEX(Stammdaten[Ovalität (']0,1'])],MATCH(Tabelle1014[[#This Row],[Rank]],Stammdaten[Rank Verteilung Ovalität],0))</f>
        <v>#N/A</v>
      </c>
      <c r="AB1146" t="e">
        <f>VLOOKUP(Tabelle1014[[#This Row],[Rank]],Stammdaten[[Rank Verteilung Ovalität]:[Verteilung Ovalität]],2,FALSE)</f>
        <v>#N/A</v>
      </c>
    </row>
    <row r="1147" spans="5:28" x14ac:dyDescent="0.35">
      <c r="E1147">
        <v>1138</v>
      </c>
      <c r="F1147" t="e">
        <f>INDEX(Stammdaten[D Mitte mit Rinde (mm)],MATCH(Tabelle8[[#This Row],[Rank]],Stammdaten[Rank Verteilung D Mitte mit Rinde],0))</f>
        <v>#N/A</v>
      </c>
      <c r="G1147" t="e">
        <f>VLOOKUP(Tabelle8[[#This Row],[Rank]],Stammdaten[[Rank Verteilung D Mitte mit Rinde]:[Verteilung D Mitte mit Rinde]],2,FALSE)</f>
        <v>#N/A</v>
      </c>
      <c r="L1147">
        <v>1138</v>
      </c>
      <c r="M1147" t="e">
        <f>INDEX(Stammdaten[Abholzigkeit (mm/lfm)],MATCH(Tabelle9[[#This Row],[Rank]],Stammdaten[Rank Verteilung Abholzigkeit],0))</f>
        <v>#N/A</v>
      </c>
      <c r="N1147" t="e">
        <f>VLOOKUP(Tabelle9[[#This Row],[Rank]],Stammdaten[[Rank Verteilung Abholzigkeit]:[Verteilung Abholzigkeit]],2,FALSE)</f>
        <v>#N/A</v>
      </c>
      <c r="S1147">
        <v>1138</v>
      </c>
      <c r="T1147" t="e">
        <f>INDEX(Stammdaten[Krümmung (mm/lfm)],MATCH(Tabelle10[[#This Row],[Rank]],Stammdaten[Rank Verteilung Krümmung],0))</f>
        <v>#N/A</v>
      </c>
      <c r="U1147" t="e">
        <f>VLOOKUP(Tabelle10[[#This Row],[Rank]],Stammdaten[[Rank Verteilung Krümmung]:[Verteilung Krümmung]],2,FALSE)</f>
        <v>#N/A</v>
      </c>
      <c r="Z1147">
        <v>1138</v>
      </c>
      <c r="AA1147" t="e">
        <f>INDEX(Stammdaten[Ovalität (']0,1'])],MATCH(Tabelle1014[[#This Row],[Rank]],Stammdaten[Rank Verteilung Ovalität],0))</f>
        <v>#N/A</v>
      </c>
      <c r="AB1147" t="e">
        <f>VLOOKUP(Tabelle1014[[#This Row],[Rank]],Stammdaten[[Rank Verteilung Ovalität]:[Verteilung Ovalität]],2,FALSE)</f>
        <v>#N/A</v>
      </c>
    </row>
    <row r="1148" spans="5:28" x14ac:dyDescent="0.35">
      <c r="E1148">
        <v>1139</v>
      </c>
      <c r="F1148" t="e">
        <f>INDEX(Stammdaten[D Mitte mit Rinde (mm)],MATCH(Tabelle8[[#This Row],[Rank]],Stammdaten[Rank Verteilung D Mitte mit Rinde],0))</f>
        <v>#N/A</v>
      </c>
      <c r="G1148" t="e">
        <f>VLOOKUP(Tabelle8[[#This Row],[Rank]],Stammdaten[[Rank Verteilung D Mitte mit Rinde]:[Verteilung D Mitte mit Rinde]],2,FALSE)</f>
        <v>#N/A</v>
      </c>
      <c r="L1148">
        <v>1139</v>
      </c>
      <c r="M1148" t="e">
        <f>INDEX(Stammdaten[Abholzigkeit (mm/lfm)],MATCH(Tabelle9[[#This Row],[Rank]],Stammdaten[Rank Verteilung Abholzigkeit],0))</f>
        <v>#N/A</v>
      </c>
      <c r="N1148" t="e">
        <f>VLOOKUP(Tabelle9[[#This Row],[Rank]],Stammdaten[[Rank Verteilung Abholzigkeit]:[Verteilung Abholzigkeit]],2,FALSE)</f>
        <v>#N/A</v>
      </c>
      <c r="S1148">
        <v>1139</v>
      </c>
      <c r="T1148" t="e">
        <f>INDEX(Stammdaten[Krümmung (mm/lfm)],MATCH(Tabelle10[[#This Row],[Rank]],Stammdaten[Rank Verteilung Krümmung],0))</f>
        <v>#N/A</v>
      </c>
      <c r="U1148" t="e">
        <f>VLOOKUP(Tabelle10[[#This Row],[Rank]],Stammdaten[[Rank Verteilung Krümmung]:[Verteilung Krümmung]],2,FALSE)</f>
        <v>#N/A</v>
      </c>
      <c r="Z1148">
        <v>1139</v>
      </c>
      <c r="AA1148" t="e">
        <f>INDEX(Stammdaten[Ovalität (']0,1'])],MATCH(Tabelle1014[[#This Row],[Rank]],Stammdaten[Rank Verteilung Ovalität],0))</f>
        <v>#N/A</v>
      </c>
      <c r="AB1148" t="e">
        <f>VLOOKUP(Tabelle1014[[#This Row],[Rank]],Stammdaten[[Rank Verteilung Ovalität]:[Verteilung Ovalität]],2,FALSE)</f>
        <v>#N/A</v>
      </c>
    </row>
    <row r="1149" spans="5:28" x14ac:dyDescent="0.35">
      <c r="E1149">
        <v>1140</v>
      </c>
      <c r="F1149" t="e">
        <f>INDEX(Stammdaten[D Mitte mit Rinde (mm)],MATCH(Tabelle8[[#This Row],[Rank]],Stammdaten[Rank Verteilung D Mitte mit Rinde],0))</f>
        <v>#N/A</v>
      </c>
      <c r="G1149" t="e">
        <f>VLOOKUP(Tabelle8[[#This Row],[Rank]],Stammdaten[[Rank Verteilung D Mitte mit Rinde]:[Verteilung D Mitte mit Rinde]],2,FALSE)</f>
        <v>#N/A</v>
      </c>
      <c r="L1149">
        <v>1140</v>
      </c>
      <c r="M1149" t="e">
        <f>INDEX(Stammdaten[Abholzigkeit (mm/lfm)],MATCH(Tabelle9[[#This Row],[Rank]],Stammdaten[Rank Verteilung Abholzigkeit],0))</f>
        <v>#N/A</v>
      </c>
      <c r="N1149" t="e">
        <f>VLOOKUP(Tabelle9[[#This Row],[Rank]],Stammdaten[[Rank Verteilung Abholzigkeit]:[Verteilung Abholzigkeit]],2,FALSE)</f>
        <v>#N/A</v>
      </c>
      <c r="S1149">
        <v>1140</v>
      </c>
      <c r="T1149" t="e">
        <f>INDEX(Stammdaten[Krümmung (mm/lfm)],MATCH(Tabelle10[[#This Row],[Rank]],Stammdaten[Rank Verteilung Krümmung],0))</f>
        <v>#N/A</v>
      </c>
      <c r="U1149" t="e">
        <f>VLOOKUP(Tabelle10[[#This Row],[Rank]],Stammdaten[[Rank Verteilung Krümmung]:[Verteilung Krümmung]],2,FALSE)</f>
        <v>#N/A</v>
      </c>
      <c r="Z1149">
        <v>1140</v>
      </c>
      <c r="AA1149" t="e">
        <f>INDEX(Stammdaten[Ovalität (']0,1'])],MATCH(Tabelle1014[[#This Row],[Rank]],Stammdaten[Rank Verteilung Ovalität],0))</f>
        <v>#N/A</v>
      </c>
      <c r="AB1149" t="e">
        <f>VLOOKUP(Tabelle1014[[#This Row],[Rank]],Stammdaten[[Rank Verteilung Ovalität]:[Verteilung Ovalität]],2,FALSE)</f>
        <v>#N/A</v>
      </c>
    </row>
    <row r="1150" spans="5:28" x14ac:dyDescent="0.35">
      <c r="E1150">
        <v>1141</v>
      </c>
      <c r="F1150" t="e">
        <f>INDEX(Stammdaten[D Mitte mit Rinde (mm)],MATCH(Tabelle8[[#This Row],[Rank]],Stammdaten[Rank Verteilung D Mitte mit Rinde],0))</f>
        <v>#N/A</v>
      </c>
      <c r="G1150" t="e">
        <f>VLOOKUP(Tabelle8[[#This Row],[Rank]],Stammdaten[[Rank Verteilung D Mitte mit Rinde]:[Verteilung D Mitte mit Rinde]],2,FALSE)</f>
        <v>#N/A</v>
      </c>
      <c r="L1150">
        <v>1141</v>
      </c>
      <c r="M1150" t="e">
        <f>INDEX(Stammdaten[Abholzigkeit (mm/lfm)],MATCH(Tabelle9[[#This Row],[Rank]],Stammdaten[Rank Verteilung Abholzigkeit],0))</f>
        <v>#N/A</v>
      </c>
      <c r="N1150" t="e">
        <f>VLOOKUP(Tabelle9[[#This Row],[Rank]],Stammdaten[[Rank Verteilung Abholzigkeit]:[Verteilung Abholzigkeit]],2,FALSE)</f>
        <v>#N/A</v>
      </c>
      <c r="S1150">
        <v>1141</v>
      </c>
      <c r="T1150" t="e">
        <f>INDEX(Stammdaten[Krümmung (mm/lfm)],MATCH(Tabelle10[[#This Row],[Rank]],Stammdaten[Rank Verteilung Krümmung],0))</f>
        <v>#N/A</v>
      </c>
      <c r="U1150" t="e">
        <f>VLOOKUP(Tabelle10[[#This Row],[Rank]],Stammdaten[[Rank Verteilung Krümmung]:[Verteilung Krümmung]],2,FALSE)</f>
        <v>#N/A</v>
      </c>
      <c r="Z1150">
        <v>1141</v>
      </c>
      <c r="AA1150" t="e">
        <f>INDEX(Stammdaten[Ovalität (']0,1'])],MATCH(Tabelle1014[[#This Row],[Rank]],Stammdaten[Rank Verteilung Ovalität],0))</f>
        <v>#N/A</v>
      </c>
      <c r="AB1150" t="e">
        <f>VLOOKUP(Tabelle1014[[#This Row],[Rank]],Stammdaten[[Rank Verteilung Ovalität]:[Verteilung Ovalität]],2,FALSE)</f>
        <v>#N/A</v>
      </c>
    </row>
    <row r="1151" spans="5:28" x14ac:dyDescent="0.35">
      <c r="E1151">
        <v>1142</v>
      </c>
      <c r="F1151" t="e">
        <f>INDEX(Stammdaten[D Mitte mit Rinde (mm)],MATCH(Tabelle8[[#This Row],[Rank]],Stammdaten[Rank Verteilung D Mitte mit Rinde],0))</f>
        <v>#N/A</v>
      </c>
      <c r="G1151" t="e">
        <f>VLOOKUP(Tabelle8[[#This Row],[Rank]],Stammdaten[[Rank Verteilung D Mitte mit Rinde]:[Verteilung D Mitte mit Rinde]],2,FALSE)</f>
        <v>#N/A</v>
      </c>
      <c r="L1151">
        <v>1142</v>
      </c>
      <c r="M1151" t="e">
        <f>INDEX(Stammdaten[Abholzigkeit (mm/lfm)],MATCH(Tabelle9[[#This Row],[Rank]],Stammdaten[Rank Verteilung Abholzigkeit],0))</f>
        <v>#N/A</v>
      </c>
      <c r="N1151" t="e">
        <f>VLOOKUP(Tabelle9[[#This Row],[Rank]],Stammdaten[[Rank Verteilung Abholzigkeit]:[Verteilung Abholzigkeit]],2,FALSE)</f>
        <v>#N/A</v>
      </c>
      <c r="S1151">
        <v>1142</v>
      </c>
      <c r="T1151" t="e">
        <f>INDEX(Stammdaten[Krümmung (mm/lfm)],MATCH(Tabelle10[[#This Row],[Rank]],Stammdaten[Rank Verteilung Krümmung],0))</f>
        <v>#N/A</v>
      </c>
      <c r="U1151" t="e">
        <f>VLOOKUP(Tabelle10[[#This Row],[Rank]],Stammdaten[[Rank Verteilung Krümmung]:[Verteilung Krümmung]],2,FALSE)</f>
        <v>#N/A</v>
      </c>
      <c r="Z1151">
        <v>1142</v>
      </c>
      <c r="AA1151" t="e">
        <f>INDEX(Stammdaten[Ovalität (']0,1'])],MATCH(Tabelle1014[[#This Row],[Rank]],Stammdaten[Rank Verteilung Ovalität],0))</f>
        <v>#N/A</v>
      </c>
      <c r="AB1151" t="e">
        <f>VLOOKUP(Tabelle1014[[#This Row],[Rank]],Stammdaten[[Rank Verteilung Ovalität]:[Verteilung Ovalität]],2,FALSE)</f>
        <v>#N/A</v>
      </c>
    </row>
    <row r="1152" spans="5:28" x14ac:dyDescent="0.35">
      <c r="E1152">
        <v>1143</v>
      </c>
      <c r="F1152" t="e">
        <f>INDEX(Stammdaten[D Mitte mit Rinde (mm)],MATCH(Tabelle8[[#This Row],[Rank]],Stammdaten[Rank Verteilung D Mitte mit Rinde],0))</f>
        <v>#N/A</v>
      </c>
      <c r="G1152" t="e">
        <f>VLOOKUP(Tabelle8[[#This Row],[Rank]],Stammdaten[[Rank Verteilung D Mitte mit Rinde]:[Verteilung D Mitte mit Rinde]],2,FALSE)</f>
        <v>#N/A</v>
      </c>
      <c r="L1152">
        <v>1143</v>
      </c>
      <c r="M1152" t="e">
        <f>INDEX(Stammdaten[Abholzigkeit (mm/lfm)],MATCH(Tabelle9[[#This Row],[Rank]],Stammdaten[Rank Verteilung Abholzigkeit],0))</f>
        <v>#N/A</v>
      </c>
      <c r="N1152" t="e">
        <f>VLOOKUP(Tabelle9[[#This Row],[Rank]],Stammdaten[[Rank Verteilung Abholzigkeit]:[Verteilung Abholzigkeit]],2,FALSE)</f>
        <v>#N/A</v>
      </c>
      <c r="S1152">
        <v>1143</v>
      </c>
      <c r="T1152" t="e">
        <f>INDEX(Stammdaten[Krümmung (mm/lfm)],MATCH(Tabelle10[[#This Row],[Rank]],Stammdaten[Rank Verteilung Krümmung],0))</f>
        <v>#N/A</v>
      </c>
      <c r="U1152" t="e">
        <f>VLOOKUP(Tabelle10[[#This Row],[Rank]],Stammdaten[[Rank Verteilung Krümmung]:[Verteilung Krümmung]],2,FALSE)</f>
        <v>#N/A</v>
      </c>
      <c r="Z1152">
        <v>1143</v>
      </c>
      <c r="AA1152" t="e">
        <f>INDEX(Stammdaten[Ovalität (']0,1'])],MATCH(Tabelle1014[[#This Row],[Rank]],Stammdaten[Rank Verteilung Ovalität],0))</f>
        <v>#N/A</v>
      </c>
      <c r="AB1152" t="e">
        <f>VLOOKUP(Tabelle1014[[#This Row],[Rank]],Stammdaten[[Rank Verteilung Ovalität]:[Verteilung Ovalität]],2,FALSE)</f>
        <v>#N/A</v>
      </c>
    </row>
    <row r="1153" spans="5:28" x14ac:dyDescent="0.35">
      <c r="E1153">
        <v>1144</v>
      </c>
      <c r="F1153" t="e">
        <f>INDEX(Stammdaten[D Mitte mit Rinde (mm)],MATCH(Tabelle8[[#This Row],[Rank]],Stammdaten[Rank Verteilung D Mitte mit Rinde],0))</f>
        <v>#N/A</v>
      </c>
      <c r="G1153" t="e">
        <f>VLOOKUP(Tabelle8[[#This Row],[Rank]],Stammdaten[[Rank Verteilung D Mitte mit Rinde]:[Verteilung D Mitte mit Rinde]],2,FALSE)</f>
        <v>#N/A</v>
      </c>
      <c r="L1153">
        <v>1144</v>
      </c>
      <c r="M1153" t="e">
        <f>INDEX(Stammdaten[Abholzigkeit (mm/lfm)],MATCH(Tabelle9[[#This Row],[Rank]],Stammdaten[Rank Verteilung Abholzigkeit],0))</f>
        <v>#N/A</v>
      </c>
      <c r="N1153" t="e">
        <f>VLOOKUP(Tabelle9[[#This Row],[Rank]],Stammdaten[[Rank Verteilung Abholzigkeit]:[Verteilung Abholzigkeit]],2,FALSE)</f>
        <v>#N/A</v>
      </c>
      <c r="S1153">
        <v>1144</v>
      </c>
      <c r="T1153" t="e">
        <f>INDEX(Stammdaten[Krümmung (mm/lfm)],MATCH(Tabelle10[[#This Row],[Rank]],Stammdaten[Rank Verteilung Krümmung],0))</f>
        <v>#N/A</v>
      </c>
      <c r="U1153" t="e">
        <f>VLOOKUP(Tabelle10[[#This Row],[Rank]],Stammdaten[[Rank Verteilung Krümmung]:[Verteilung Krümmung]],2,FALSE)</f>
        <v>#N/A</v>
      </c>
      <c r="Z1153">
        <v>1144</v>
      </c>
      <c r="AA1153" t="e">
        <f>INDEX(Stammdaten[Ovalität (']0,1'])],MATCH(Tabelle1014[[#This Row],[Rank]],Stammdaten[Rank Verteilung Ovalität],0))</f>
        <v>#N/A</v>
      </c>
      <c r="AB1153" t="e">
        <f>VLOOKUP(Tabelle1014[[#This Row],[Rank]],Stammdaten[[Rank Verteilung Ovalität]:[Verteilung Ovalität]],2,FALSE)</f>
        <v>#N/A</v>
      </c>
    </row>
    <row r="1154" spans="5:28" x14ac:dyDescent="0.35">
      <c r="E1154">
        <v>1145</v>
      </c>
      <c r="F1154" t="e">
        <f>INDEX(Stammdaten[D Mitte mit Rinde (mm)],MATCH(Tabelle8[[#This Row],[Rank]],Stammdaten[Rank Verteilung D Mitte mit Rinde],0))</f>
        <v>#N/A</v>
      </c>
      <c r="G1154" t="e">
        <f>VLOOKUP(Tabelle8[[#This Row],[Rank]],Stammdaten[[Rank Verteilung D Mitte mit Rinde]:[Verteilung D Mitte mit Rinde]],2,FALSE)</f>
        <v>#N/A</v>
      </c>
      <c r="L1154">
        <v>1145</v>
      </c>
      <c r="M1154" t="e">
        <f>INDEX(Stammdaten[Abholzigkeit (mm/lfm)],MATCH(Tabelle9[[#This Row],[Rank]],Stammdaten[Rank Verteilung Abholzigkeit],0))</f>
        <v>#N/A</v>
      </c>
      <c r="N1154" t="e">
        <f>VLOOKUP(Tabelle9[[#This Row],[Rank]],Stammdaten[[Rank Verteilung Abholzigkeit]:[Verteilung Abholzigkeit]],2,FALSE)</f>
        <v>#N/A</v>
      </c>
      <c r="S1154">
        <v>1145</v>
      </c>
      <c r="T1154" t="e">
        <f>INDEX(Stammdaten[Krümmung (mm/lfm)],MATCH(Tabelle10[[#This Row],[Rank]],Stammdaten[Rank Verteilung Krümmung],0))</f>
        <v>#N/A</v>
      </c>
      <c r="U1154" t="e">
        <f>VLOOKUP(Tabelle10[[#This Row],[Rank]],Stammdaten[[Rank Verteilung Krümmung]:[Verteilung Krümmung]],2,FALSE)</f>
        <v>#N/A</v>
      </c>
      <c r="Z1154">
        <v>1145</v>
      </c>
      <c r="AA1154" t="e">
        <f>INDEX(Stammdaten[Ovalität (']0,1'])],MATCH(Tabelle1014[[#This Row],[Rank]],Stammdaten[Rank Verteilung Ovalität],0))</f>
        <v>#N/A</v>
      </c>
      <c r="AB1154" t="e">
        <f>VLOOKUP(Tabelle1014[[#This Row],[Rank]],Stammdaten[[Rank Verteilung Ovalität]:[Verteilung Ovalität]],2,FALSE)</f>
        <v>#N/A</v>
      </c>
    </row>
    <row r="1155" spans="5:28" x14ac:dyDescent="0.35">
      <c r="E1155">
        <v>1146</v>
      </c>
      <c r="F1155" t="e">
        <f>INDEX(Stammdaten[D Mitte mit Rinde (mm)],MATCH(Tabelle8[[#This Row],[Rank]],Stammdaten[Rank Verteilung D Mitte mit Rinde],0))</f>
        <v>#N/A</v>
      </c>
      <c r="G1155" t="e">
        <f>VLOOKUP(Tabelle8[[#This Row],[Rank]],Stammdaten[[Rank Verteilung D Mitte mit Rinde]:[Verteilung D Mitte mit Rinde]],2,FALSE)</f>
        <v>#N/A</v>
      </c>
      <c r="L1155">
        <v>1146</v>
      </c>
      <c r="M1155" t="e">
        <f>INDEX(Stammdaten[Abholzigkeit (mm/lfm)],MATCH(Tabelle9[[#This Row],[Rank]],Stammdaten[Rank Verteilung Abholzigkeit],0))</f>
        <v>#N/A</v>
      </c>
      <c r="N1155" t="e">
        <f>VLOOKUP(Tabelle9[[#This Row],[Rank]],Stammdaten[[Rank Verteilung Abholzigkeit]:[Verteilung Abholzigkeit]],2,FALSE)</f>
        <v>#N/A</v>
      </c>
      <c r="S1155">
        <v>1146</v>
      </c>
      <c r="T1155" t="e">
        <f>INDEX(Stammdaten[Krümmung (mm/lfm)],MATCH(Tabelle10[[#This Row],[Rank]],Stammdaten[Rank Verteilung Krümmung],0))</f>
        <v>#N/A</v>
      </c>
      <c r="U1155" t="e">
        <f>VLOOKUP(Tabelle10[[#This Row],[Rank]],Stammdaten[[Rank Verteilung Krümmung]:[Verteilung Krümmung]],2,FALSE)</f>
        <v>#N/A</v>
      </c>
      <c r="Z1155">
        <v>1146</v>
      </c>
      <c r="AA1155" t="e">
        <f>INDEX(Stammdaten[Ovalität (']0,1'])],MATCH(Tabelle1014[[#This Row],[Rank]],Stammdaten[Rank Verteilung Ovalität],0))</f>
        <v>#N/A</v>
      </c>
      <c r="AB1155" t="e">
        <f>VLOOKUP(Tabelle1014[[#This Row],[Rank]],Stammdaten[[Rank Verteilung Ovalität]:[Verteilung Ovalität]],2,FALSE)</f>
        <v>#N/A</v>
      </c>
    </row>
    <row r="1156" spans="5:28" x14ac:dyDescent="0.35">
      <c r="E1156">
        <v>1147</v>
      </c>
      <c r="F1156" t="e">
        <f>INDEX(Stammdaten[D Mitte mit Rinde (mm)],MATCH(Tabelle8[[#This Row],[Rank]],Stammdaten[Rank Verteilung D Mitte mit Rinde],0))</f>
        <v>#N/A</v>
      </c>
      <c r="G1156" t="e">
        <f>VLOOKUP(Tabelle8[[#This Row],[Rank]],Stammdaten[[Rank Verteilung D Mitte mit Rinde]:[Verteilung D Mitte mit Rinde]],2,FALSE)</f>
        <v>#N/A</v>
      </c>
      <c r="L1156">
        <v>1147</v>
      </c>
      <c r="M1156" t="e">
        <f>INDEX(Stammdaten[Abholzigkeit (mm/lfm)],MATCH(Tabelle9[[#This Row],[Rank]],Stammdaten[Rank Verteilung Abholzigkeit],0))</f>
        <v>#N/A</v>
      </c>
      <c r="N1156" t="e">
        <f>VLOOKUP(Tabelle9[[#This Row],[Rank]],Stammdaten[[Rank Verteilung Abholzigkeit]:[Verteilung Abholzigkeit]],2,FALSE)</f>
        <v>#N/A</v>
      </c>
      <c r="S1156">
        <v>1147</v>
      </c>
      <c r="T1156" t="e">
        <f>INDEX(Stammdaten[Krümmung (mm/lfm)],MATCH(Tabelle10[[#This Row],[Rank]],Stammdaten[Rank Verteilung Krümmung],0))</f>
        <v>#N/A</v>
      </c>
      <c r="U1156" t="e">
        <f>VLOOKUP(Tabelle10[[#This Row],[Rank]],Stammdaten[[Rank Verteilung Krümmung]:[Verteilung Krümmung]],2,FALSE)</f>
        <v>#N/A</v>
      </c>
      <c r="Z1156">
        <v>1147</v>
      </c>
      <c r="AA1156" t="e">
        <f>INDEX(Stammdaten[Ovalität (']0,1'])],MATCH(Tabelle1014[[#This Row],[Rank]],Stammdaten[Rank Verteilung Ovalität],0))</f>
        <v>#N/A</v>
      </c>
      <c r="AB1156" t="e">
        <f>VLOOKUP(Tabelle1014[[#This Row],[Rank]],Stammdaten[[Rank Verteilung Ovalität]:[Verteilung Ovalität]],2,FALSE)</f>
        <v>#N/A</v>
      </c>
    </row>
    <row r="1157" spans="5:28" x14ac:dyDescent="0.35">
      <c r="E1157">
        <v>1148</v>
      </c>
      <c r="F1157" t="e">
        <f>INDEX(Stammdaten[D Mitte mit Rinde (mm)],MATCH(Tabelle8[[#This Row],[Rank]],Stammdaten[Rank Verteilung D Mitte mit Rinde],0))</f>
        <v>#N/A</v>
      </c>
      <c r="G1157" t="e">
        <f>VLOOKUP(Tabelle8[[#This Row],[Rank]],Stammdaten[[Rank Verteilung D Mitte mit Rinde]:[Verteilung D Mitte mit Rinde]],2,FALSE)</f>
        <v>#N/A</v>
      </c>
      <c r="L1157">
        <v>1148</v>
      </c>
      <c r="M1157" t="e">
        <f>INDEX(Stammdaten[Abholzigkeit (mm/lfm)],MATCH(Tabelle9[[#This Row],[Rank]],Stammdaten[Rank Verteilung Abholzigkeit],0))</f>
        <v>#N/A</v>
      </c>
      <c r="N1157" t="e">
        <f>VLOOKUP(Tabelle9[[#This Row],[Rank]],Stammdaten[[Rank Verteilung Abholzigkeit]:[Verteilung Abholzigkeit]],2,FALSE)</f>
        <v>#N/A</v>
      </c>
      <c r="S1157">
        <v>1148</v>
      </c>
      <c r="T1157" t="e">
        <f>INDEX(Stammdaten[Krümmung (mm/lfm)],MATCH(Tabelle10[[#This Row],[Rank]],Stammdaten[Rank Verteilung Krümmung],0))</f>
        <v>#N/A</v>
      </c>
      <c r="U1157" t="e">
        <f>VLOOKUP(Tabelle10[[#This Row],[Rank]],Stammdaten[[Rank Verteilung Krümmung]:[Verteilung Krümmung]],2,FALSE)</f>
        <v>#N/A</v>
      </c>
      <c r="Z1157">
        <v>1148</v>
      </c>
      <c r="AA1157" t="e">
        <f>INDEX(Stammdaten[Ovalität (']0,1'])],MATCH(Tabelle1014[[#This Row],[Rank]],Stammdaten[Rank Verteilung Ovalität],0))</f>
        <v>#N/A</v>
      </c>
      <c r="AB1157" t="e">
        <f>VLOOKUP(Tabelle1014[[#This Row],[Rank]],Stammdaten[[Rank Verteilung Ovalität]:[Verteilung Ovalität]],2,FALSE)</f>
        <v>#N/A</v>
      </c>
    </row>
    <row r="1158" spans="5:28" x14ac:dyDescent="0.35">
      <c r="E1158">
        <v>1149</v>
      </c>
      <c r="F1158" t="e">
        <f>INDEX(Stammdaten[D Mitte mit Rinde (mm)],MATCH(Tabelle8[[#This Row],[Rank]],Stammdaten[Rank Verteilung D Mitte mit Rinde],0))</f>
        <v>#N/A</v>
      </c>
      <c r="G1158" t="e">
        <f>VLOOKUP(Tabelle8[[#This Row],[Rank]],Stammdaten[[Rank Verteilung D Mitte mit Rinde]:[Verteilung D Mitte mit Rinde]],2,FALSE)</f>
        <v>#N/A</v>
      </c>
      <c r="L1158">
        <v>1149</v>
      </c>
      <c r="M1158" t="e">
        <f>INDEX(Stammdaten[Abholzigkeit (mm/lfm)],MATCH(Tabelle9[[#This Row],[Rank]],Stammdaten[Rank Verteilung Abholzigkeit],0))</f>
        <v>#N/A</v>
      </c>
      <c r="N1158" t="e">
        <f>VLOOKUP(Tabelle9[[#This Row],[Rank]],Stammdaten[[Rank Verteilung Abholzigkeit]:[Verteilung Abholzigkeit]],2,FALSE)</f>
        <v>#N/A</v>
      </c>
      <c r="S1158">
        <v>1149</v>
      </c>
      <c r="T1158" t="e">
        <f>INDEX(Stammdaten[Krümmung (mm/lfm)],MATCH(Tabelle10[[#This Row],[Rank]],Stammdaten[Rank Verteilung Krümmung],0))</f>
        <v>#N/A</v>
      </c>
      <c r="U1158" t="e">
        <f>VLOOKUP(Tabelle10[[#This Row],[Rank]],Stammdaten[[Rank Verteilung Krümmung]:[Verteilung Krümmung]],2,FALSE)</f>
        <v>#N/A</v>
      </c>
      <c r="Z1158">
        <v>1149</v>
      </c>
      <c r="AA1158" t="e">
        <f>INDEX(Stammdaten[Ovalität (']0,1'])],MATCH(Tabelle1014[[#This Row],[Rank]],Stammdaten[Rank Verteilung Ovalität],0))</f>
        <v>#N/A</v>
      </c>
      <c r="AB1158" t="e">
        <f>VLOOKUP(Tabelle1014[[#This Row],[Rank]],Stammdaten[[Rank Verteilung Ovalität]:[Verteilung Ovalität]],2,FALSE)</f>
        <v>#N/A</v>
      </c>
    </row>
    <row r="1159" spans="5:28" x14ac:dyDescent="0.35">
      <c r="E1159">
        <v>1150</v>
      </c>
      <c r="F1159" t="e">
        <f>INDEX(Stammdaten[D Mitte mit Rinde (mm)],MATCH(Tabelle8[[#This Row],[Rank]],Stammdaten[Rank Verteilung D Mitte mit Rinde],0))</f>
        <v>#N/A</v>
      </c>
      <c r="G1159" t="e">
        <f>VLOOKUP(Tabelle8[[#This Row],[Rank]],Stammdaten[[Rank Verteilung D Mitte mit Rinde]:[Verteilung D Mitte mit Rinde]],2,FALSE)</f>
        <v>#N/A</v>
      </c>
      <c r="L1159">
        <v>1150</v>
      </c>
      <c r="M1159" t="e">
        <f>INDEX(Stammdaten[Abholzigkeit (mm/lfm)],MATCH(Tabelle9[[#This Row],[Rank]],Stammdaten[Rank Verteilung Abholzigkeit],0))</f>
        <v>#N/A</v>
      </c>
      <c r="N1159" t="e">
        <f>VLOOKUP(Tabelle9[[#This Row],[Rank]],Stammdaten[[Rank Verteilung Abholzigkeit]:[Verteilung Abholzigkeit]],2,FALSE)</f>
        <v>#N/A</v>
      </c>
      <c r="S1159">
        <v>1150</v>
      </c>
      <c r="T1159" t="e">
        <f>INDEX(Stammdaten[Krümmung (mm/lfm)],MATCH(Tabelle10[[#This Row],[Rank]],Stammdaten[Rank Verteilung Krümmung],0))</f>
        <v>#N/A</v>
      </c>
      <c r="U1159" t="e">
        <f>VLOOKUP(Tabelle10[[#This Row],[Rank]],Stammdaten[[Rank Verteilung Krümmung]:[Verteilung Krümmung]],2,FALSE)</f>
        <v>#N/A</v>
      </c>
      <c r="Z1159">
        <v>1150</v>
      </c>
      <c r="AA1159" t="e">
        <f>INDEX(Stammdaten[Ovalität (']0,1'])],MATCH(Tabelle1014[[#This Row],[Rank]],Stammdaten[Rank Verteilung Ovalität],0))</f>
        <v>#N/A</v>
      </c>
      <c r="AB1159" t="e">
        <f>VLOOKUP(Tabelle1014[[#This Row],[Rank]],Stammdaten[[Rank Verteilung Ovalität]:[Verteilung Ovalität]],2,FALSE)</f>
        <v>#N/A</v>
      </c>
    </row>
    <row r="1160" spans="5:28" x14ac:dyDescent="0.35">
      <c r="E1160">
        <v>1151</v>
      </c>
      <c r="F1160" t="e">
        <f>INDEX(Stammdaten[D Mitte mit Rinde (mm)],MATCH(Tabelle8[[#This Row],[Rank]],Stammdaten[Rank Verteilung D Mitte mit Rinde],0))</f>
        <v>#N/A</v>
      </c>
      <c r="G1160" t="e">
        <f>VLOOKUP(Tabelle8[[#This Row],[Rank]],Stammdaten[[Rank Verteilung D Mitte mit Rinde]:[Verteilung D Mitte mit Rinde]],2,FALSE)</f>
        <v>#N/A</v>
      </c>
      <c r="L1160">
        <v>1151</v>
      </c>
      <c r="M1160" t="e">
        <f>INDEX(Stammdaten[Abholzigkeit (mm/lfm)],MATCH(Tabelle9[[#This Row],[Rank]],Stammdaten[Rank Verteilung Abholzigkeit],0))</f>
        <v>#N/A</v>
      </c>
      <c r="N1160" t="e">
        <f>VLOOKUP(Tabelle9[[#This Row],[Rank]],Stammdaten[[Rank Verteilung Abholzigkeit]:[Verteilung Abholzigkeit]],2,FALSE)</f>
        <v>#N/A</v>
      </c>
      <c r="S1160">
        <v>1151</v>
      </c>
      <c r="T1160" t="e">
        <f>INDEX(Stammdaten[Krümmung (mm/lfm)],MATCH(Tabelle10[[#This Row],[Rank]],Stammdaten[Rank Verteilung Krümmung],0))</f>
        <v>#N/A</v>
      </c>
      <c r="U1160" t="e">
        <f>VLOOKUP(Tabelle10[[#This Row],[Rank]],Stammdaten[[Rank Verteilung Krümmung]:[Verteilung Krümmung]],2,FALSE)</f>
        <v>#N/A</v>
      </c>
      <c r="Z1160">
        <v>1151</v>
      </c>
      <c r="AA1160" t="e">
        <f>INDEX(Stammdaten[Ovalität (']0,1'])],MATCH(Tabelle1014[[#This Row],[Rank]],Stammdaten[Rank Verteilung Ovalität],0))</f>
        <v>#N/A</v>
      </c>
      <c r="AB1160" t="e">
        <f>VLOOKUP(Tabelle1014[[#This Row],[Rank]],Stammdaten[[Rank Verteilung Ovalität]:[Verteilung Ovalität]],2,FALSE)</f>
        <v>#N/A</v>
      </c>
    </row>
    <row r="1161" spans="5:28" x14ac:dyDescent="0.35">
      <c r="E1161">
        <v>1152</v>
      </c>
      <c r="F1161" t="e">
        <f>INDEX(Stammdaten[D Mitte mit Rinde (mm)],MATCH(Tabelle8[[#This Row],[Rank]],Stammdaten[Rank Verteilung D Mitte mit Rinde],0))</f>
        <v>#N/A</v>
      </c>
      <c r="G1161" t="e">
        <f>VLOOKUP(Tabelle8[[#This Row],[Rank]],Stammdaten[[Rank Verteilung D Mitte mit Rinde]:[Verteilung D Mitte mit Rinde]],2,FALSE)</f>
        <v>#N/A</v>
      </c>
      <c r="L1161">
        <v>1152</v>
      </c>
      <c r="M1161" t="e">
        <f>INDEX(Stammdaten[Abholzigkeit (mm/lfm)],MATCH(Tabelle9[[#This Row],[Rank]],Stammdaten[Rank Verteilung Abholzigkeit],0))</f>
        <v>#N/A</v>
      </c>
      <c r="N1161" t="e">
        <f>VLOOKUP(Tabelle9[[#This Row],[Rank]],Stammdaten[[Rank Verteilung Abholzigkeit]:[Verteilung Abholzigkeit]],2,FALSE)</f>
        <v>#N/A</v>
      </c>
      <c r="S1161">
        <v>1152</v>
      </c>
      <c r="T1161" t="e">
        <f>INDEX(Stammdaten[Krümmung (mm/lfm)],MATCH(Tabelle10[[#This Row],[Rank]],Stammdaten[Rank Verteilung Krümmung],0))</f>
        <v>#N/A</v>
      </c>
      <c r="U1161" t="e">
        <f>VLOOKUP(Tabelle10[[#This Row],[Rank]],Stammdaten[[Rank Verteilung Krümmung]:[Verteilung Krümmung]],2,FALSE)</f>
        <v>#N/A</v>
      </c>
      <c r="Z1161">
        <v>1152</v>
      </c>
      <c r="AA1161" t="e">
        <f>INDEX(Stammdaten[Ovalität (']0,1'])],MATCH(Tabelle1014[[#This Row],[Rank]],Stammdaten[Rank Verteilung Ovalität],0))</f>
        <v>#N/A</v>
      </c>
      <c r="AB1161" t="e">
        <f>VLOOKUP(Tabelle1014[[#This Row],[Rank]],Stammdaten[[Rank Verteilung Ovalität]:[Verteilung Ovalität]],2,FALSE)</f>
        <v>#N/A</v>
      </c>
    </row>
    <row r="1162" spans="5:28" x14ac:dyDescent="0.35">
      <c r="E1162">
        <v>1153</v>
      </c>
      <c r="F1162" t="e">
        <f>INDEX(Stammdaten[D Mitte mit Rinde (mm)],MATCH(Tabelle8[[#This Row],[Rank]],Stammdaten[Rank Verteilung D Mitte mit Rinde],0))</f>
        <v>#N/A</v>
      </c>
      <c r="G1162" t="e">
        <f>VLOOKUP(Tabelle8[[#This Row],[Rank]],Stammdaten[[Rank Verteilung D Mitte mit Rinde]:[Verteilung D Mitte mit Rinde]],2,FALSE)</f>
        <v>#N/A</v>
      </c>
      <c r="L1162">
        <v>1153</v>
      </c>
      <c r="M1162" t="e">
        <f>INDEX(Stammdaten[Abholzigkeit (mm/lfm)],MATCH(Tabelle9[[#This Row],[Rank]],Stammdaten[Rank Verteilung Abholzigkeit],0))</f>
        <v>#N/A</v>
      </c>
      <c r="N1162" t="e">
        <f>VLOOKUP(Tabelle9[[#This Row],[Rank]],Stammdaten[[Rank Verteilung Abholzigkeit]:[Verteilung Abholzigkeit]],2,FALSE)</f>
        <v>#N/A</v>
      </c>
      <c r="S1162">
        <v>1153</v>
      </c>
      <c r="T1162" t="e">
        <f>INDEX(Stammdaten[Krümmung (mm/lfm)],MATCH(Tabelle10[[#This Row],[Rank]],Stammdaten[Rank Verteilung Krümmung],0))</f>
        <v>#N/A</v>
      </c>
      <c r="U1162" t="e">
        <f>VLOOKUP(Tabelle10[[#This Row],[Rank]],Stammdaten[[Rank Verteilung Krümmung]:[Verteilung Krümmung]],2,FALSE)</f>
        <v>#N/A</v>
      </c>
      <c r="Z1162">
        <v>1153</v>
      </c>
      <c r="AA1162" t="e">
        <f>INDEX(Stammdaten[Ovalität (']0,1'])],MATCH(Tabelle1014[[#This Row],[Rank]],Stammdaten[Rank Verteilung Ovalität],0))</f>
        <v>#N/A</v>
      </c>
      <c r="AB1162" t="e">
        <f>VLOOKUP(Tabelle1014[[#This Row],[Rank]],Stammdaten[[Rank Verteilung Ovalität]:[Verteilung Ovalität]],2,FALSE)</f>
        <v>#N/A</v>
      </c>
    </row>
    <row r="1163" spans="5:28" x14ac:dyDescent="0.35">
      <c r="E1163">
        <v>1154</v>
      </c>
      <c r="F1163" t="e">
        <f>INDEX(Stammdaten[D Mitte mit Rinde (mm)],MATCH(Tabelle8[[#This Row],[Rank]],Stammdaten[Rank Verteilung D Mitte mit Rinde],0))</f>
        <v>#N/A</v>
      </c>
      <c r="G1163" t="e">
        <f>VLOOKUP(Tabelle8[[#This Row],[Rank]],Stammdaten[[Rank Verteilung D Mitte mit Rinde]:[Verteilung D Mitte mit Rinde]],2,FALSE)</f>
        <v>#N/A</v>
      </c>
      <c r="L1163">
        <v>1154</v>
      </c>
      <c r="M1163" t="e">
        <f>INDEX(Stammdaten[Abholzigkeit (mm/lfm)],MATCH(Tabelle9[[#This Row],[Rank]],Stammdaten[Rank Verteilung Abholzigkeit],0))</f>
        <v>#N/A</v>
      </c>
      <c r="N1163" t="e">
        <f>VLOOKUP(Tabelle9[[#This Row],[Rank]],Stammdaten[[Rank Verteilung Abholzigkeit]:[Verteilung Abholzigkeit]],2,FALSE)</f>
        <v>#N/A</v>
      </c>
      <c r="S1163">
        <v>1154</v>
      </c>
      <c r="T1163" t="e">
        <f>INDEX(Stammdaten[Krümmung (mm/lfm)],MATCH(Tabelle10[[#This Row],[Rank]],Stammdaten[Rank Verteilung Krümmung],0))</f>
        <v>#N/A</v>
      </c>
      <c r="U1163" t="e">
        <f>VLOOKUP(Tabelle10[[#This Row],[Rank]],Stammdaten[[Rank Verteilung Krümmung]:[Verteilung Krümmung]],2,FALSE)</f>
        <v>#N/A</v>
      </c>
      <c r="Z1163">
        <v>1154</v>
      </c>
      <c r="AA1163" t="e">
        <f>INDEX(Stammdaten[Ovalität (']0,1'])],MATCH(Tabelle1014[[#This Row],[Rank]],Stammdaten[Rank Verteilung Ovalität],0))</f>
        <v>#N/A</v>
      </c>
      <c r="AB1163" t="e">
        <f>VLOOKUP(Tabelle1014[[#This Row],[Rank]],Stammdaten[[Rank Verteilung Ovalität]:[Verteilung Ovalität]],2,FALSE)</f>
        <v>#N/A</v>
      </c>
    </row>
    <row r="1164" spans="5:28" x14ac:dyDescent="0.35">
      <c r="E1164">
        <v>1155</v>
      </c>
      <c r="F1164" t="e">
        <f>INDEX(Stammdaten[D Mitte mit Rinde (mm)],MATCH(Tabelle8[[#This Row],[Rank]],Stammdaten[Rank Verteilung D Mitte mit Rinde],0))</f>
        <v>#N/A</v>
      </c>
      <c r="G1164" t="e">
        <f>VLOOKUP(Tabelle8[[#This Row],[Rank]],Stammdaten[[Rank Verteilung D Mitte mit Rinde]:[Verteilung D Mitte mit Rinde]],2,FALSE)</f>
        <v>#N/A</v>
      </c>
      <c r="L1164">
        <v>1155</v>
      </c>
      <c r="M1164" t="e">
        <f>INDEX(Stammdaten[Abholzigkeit (mm/lfm)],MATCH(Tabelle9[[#This Row],[Rank]],Stammdaten[Rank Verteilung Abholzigkeit],0))</f>
        <v>#N/A</v>
      </c>
      <c r="N1164" t="e">
        <f>VLOOKUP(Tabelle9[[#This Row],[Rank]],Stammdaten[[Rank Verteilung Abholzigkeit]:[Verteilung Abholzigkeit]],2,FALSE)</f>
        <v>#N/A</v>
      </c>
      <c r="S1164">
        <v>1155</v>
      </c>
      <c r="T1164" t="e">
        <f>INDEX(Stammdaten[Krümmung (mm/lfm)],MATCH(Tabelle10[[#This Row],[Rank]],Stammdaten[Rank Verteilung Krümmung],0))</f>
        <v>#N/A</v>
      </c>
      <c r="U1164" t="e">
        <f>VLOOKUP(Tabelle10[[#This Row],[Rank]],Stammdaten[[Rank Verteilung Krümmung]:[Verteilung Krümmung]],2,FALSE)</f>
        <v>#N/A</v>
      </c>
      <c r="Z1164">
        <v>1155</v>
      </c>
      <c r="AA1164" t="e">
        <f>INDEX(Stammdaten[Ovalität (']0,1'])],MATCH(Tabelle1014[[#This Row],[Rank]],Stammdaten[Rank Verteilung Ovalität],0))</f>
        <v>#N/A</v>
      </c>
      <c r="AB1164" t="e">
        <f>VLOOKUP(Tabelle1014[[#This Row],[Rank]],Stammdaten[[Rank Verteilung Ovalität]:[Verteilung Ovalität]],2,FALSE)</f>
        <v>#N/A</v>
      </c>
    </row>
    <row r="1165" spans="5:28" x14ac:dyDescent="0.35">
      <c r="E1165">
        <v>1156</v>
      </c>
      <c r="F1165" t="e">
        <f>INDEX(Stammdaten[D Mitte mit Rinde (mm)],MATCH(Tabelle8[[#This Row],[Rank]],Stammdaten[Rank Verteilung D Mitte mit Rinde],0))</f>
        <v>#N/A</v>
      </c>
      <c r="G1165" t="e">
        <f>VLOOKUP(Tabelle8[[#This Row],[Rank]],Stammdaten[[Rank Verteilung D Mitte mit Rinde]:[Verteilung D Mitte mit Rinde]],2,FALSE)</f>
        <v>#N/A</v>
      </c>
      <c r="L1165">
        <v>1156</v>
      </c>
      <c r="M1165" t="e">
        <f>INDEX(Stammdaten[Abholzigkeit (mm/lfm)],MATCH(Tabelle9[[#This Row],[Rank]],Stammdaten[Rank Verteilung Abholzigkeit],0))</f>
        <v>#N/A</v>
      </c>
      <c r="N1165" t="e">
        <f>VLOOKUP(Tabelle9[[#This Row],[Rank]],Stammdaten[[Rank Verteilung Abholzigkeit]:[Verteilung Abholzigkeit]],2,FALSE)</f>
        <v>#N/A</v>
      </c>
      <c r="S1165">
        <v>1156</v>
      </c>
      <c r="T1165" t="e">
        <f>INDEX(Stammdaten[Krümmung (mm/lfm)],MATCH(Tabelle10[[#This Row],[Rank]],Stammdaten[Rank Verteilung Krümmung],0))</f>
        <v>#N/A</v>
      </c>
      <c r="U1165" t="e">
        <f>VLOOKUP(Tabelle10[[#This Row],[Rank]],Stammdaten[[Rank Verteilung Krümmung]:[Verteilung Krümmung]],2,FALSE)</f>
        <v>#N/A</v>
      </c>
      <c r="Z1165">
        <v>1156</v>
      </c>
      <c r="AA1165" t="e">
        <f>INDEX(Stammdaten[Ovalität (']0,1'])],MATCH(Tabelle1014[[#This Row],[Rank]],Stammdaten[Rank Verteilung Ovalität],0))</f>
        <v>#N/A</v>
      </c>
      <c r="AB1165" t="e">
        <f>VLOOKUP(Tabelle1014[[#This Row],[Rank]],Stammdaten[[Rank Verteilung Ovalität]:[Verteilung Ovalität]],2,FALSE)</f>
        <v>#N/A</v>
      </c>
    </row>
    <row r="1166" spans="5:28" x14ac:dyDescent="0.35">
      <c r="E1166">
        <v>1157</v>
      </c>
      <c r="F1166" t="e">
        <f>INDEX(Stammdaten[D Mitte mit Rinde (mm)],MATCH(Tabelle8[[#This Row],[Rank]],Stammdaten[Rank Verteilung D Mitte mit Rinde],0))</f>
        <v>#N/A</v>
      </c>
      <c r="G1166" t="e">
        <f>VLOOKUP(Tabelle8[[#This Row],[Rank]],Stammdaten[[Rank Verteilung D Mitte mit Rinde]:[Verteilung D Mitte mit Rinde]],2,FALSE)</f>
        <v>#N/A</v>
      </c>
      <c r="L1166">
        <v>1157</v>
      </c>
      <c r="M1166" t="e">
        <f>INDEX(Stammdaten[Abholzigkeit (mm/lfm)],MATCH(Tabelle9[[#This Row],[Rank]],Stammdaten[Rank Verteilung Abholzigkeit],0))</f>
        <v>#N/A</v>
      </c>
      <c r="N1166" t="e">
        <f>VLOOKUP(Tabelle9[[#This Row],[Rank]],Stammdaten[[Rank Verteilung Abholzigkeit]:[Verteilung Abholzigkeit]],2,FALSE)</f>
        <v>#N/A</v>
      </c>
      <c r="S1166">
        <v>1157</v>
      </c>
      <c r="T1166" t="e">
        <f>INDEX(Stammdaten[Krümmung (mm/lfm)],MATCH(Tabelle10[[#This Row],[Rank]],Stammdaten[Rank Verteilung Krümmung],0))</f>
        <v>#N/A</v>
      </c>
      <c r="U1166" t="e">
        <f>VLOOKUP(Tabelle10[[#This Row],[Rank]],Stammdaten[[Rank Verteilung Krümmung]:[Verteilung Krümmung]],2,FALSE)</f>
        <v>#N/A</v>
      </c>
      <c r="Z1166">
        <v>1157</v>
      </c>
      <c r="AA1166" t="e">
        <f>INDEX(Stammdaten[Ovalität (']0,1'])],MATCH(Tabelle1014[[#This Row],[Rank]],Stammdaten[Rank Verteilung Ovalität],0))</f>
        <v>#N/A</v>
      </c>
      <c r="AB1166" t="e">
        <f>VLOOKUP(Tabelle1014[[#This Row],[Rank]],Stammdaten[[Rank Verteilung Ovalität]:[Verteilung Ovalität]],2,FALSE)</f>
        <v>#N/A</v>
      </c>
    </row>
    <row r="1167" spans="5:28" x14ac:dyDescent="0.35">
      <c r="E1167">
        <v>1158</v>
      </c>
      <c r="F1167" t="e">
        <f>INDEX(Stammdaten[D Mitte mit Rinde (mm)],MATCH(Tabelle8[[#This Row],[Rank]],Stammdaten[Rank Verteilung D Mitte mit Rinde],0))</f>
        <v>#N/A</v>
      </c>
      <c r="G1167" t="e">
        <f>VLOOKUP(Tabelle8[[#This Row],[Rank]],Stammdaten[[Rank Verteilung D Mitte mit Rinde]:[Verteilung D Mitte mit Rinde]],2,FALSE)</f>
        <v>#N/A</v>
      </c>
      <c r="L1167">
        <v>1158</v>
      </c>
      <c r="M1167" t="e">
        <f>INDEX(Stammdaten[Abholzigkeit (mm/lfm)],MATCH(Tabelle9[[#This Row],[Rank]],Stammdaten[Rank Verteilung Abholzigkeit],0))</f>
        <v>#N/A</v>
      </c>
      <c r="N1167" t="e">
        <f>VLOOKUP(Tabelle9[[#This Row],[Rank]],Stammdaten[[Rank Verteilung Abholzigkeit]:[Verteilung Abholzigkeit]],2,FALSE)</f>
        <v>#N/A</v>
      </c>
      <c r="S1167">
        <v>1158</v>
      </c>
      <c r="T1167" t="e">
        <f>INDEX(Stammdaten[Krümmung (mm/lfm)],MATCH(Tabelle10[[#This Row],[Rank]],Stammdaten[Rank Verteilung Krümmung],0))</f>
        <v>#N/A</v>
      </c>
      <c r="U1167" t="e">
        <f>VLOOKUP(Tabelle10[[#This Row],[Rank]],Stammdaten[[Rank Verteilung Krümmung]:[Verteilung Krümmung]],2,FALSE)</f>
        <v>#N/A</v>
      </c>
      <c r="Z1167">
        <v>1158</v>
      </c>
      <c r="AA1167" t="e">
        <f>INDEX(Stammdaten[Ovalität (']0,1'])],MATCH(Tabelle1014[[#This Row],[Rank]],Stammdaten[Rank Verteilung Ovalität],0))</f>
        <v>#N/A</v>
      </c>
      <c r="AB1167" t="e">
        <f>VLOOKUP(Tabelle1014[[#This Row],[Rank]],Stammdaten[[Rank Verteilung Ovalität]:[Verteilung Ovalität]],2,FALSE)</f>
        <v>#N/A</v>
      </c>
    </row>
    <row r="1168" spans="5:28" x14ac:dyDescent="0.35">
      <c r="E1168">
        <v>1159</v>
      </c>
      <c r="F1168" t="e">
        <f>INDEX(Stammdaten[D Mitte mit Rinde (mm)],MATCH(Tabelle8[[#This Row],[Rank]],Stammdaten[Rank Verteilung D Mitte mit Rinde],0))</f>
        <v>#N/A</v>
      </c>
      <c r="G1168" t="e">
        <f>VLOOKUP(Tabelle8[[#This Row],[Rank]],Stammdaten[[Rank Verteilung D Mitte mit Rinde]:[Verteilung D Mitte mit Rinde]],2,FALSE)</f>
        <v>#N/A</v>
      </c>
      <c r="L1168">
        <v>1159</v>
      </c>
      <c r="M1168" t="e">
        <f>INDEX(Stammdaten[Abholzigkeit (mm/lfm)],MATCH(Tabelle9[[#This Row],[Rank]],Stammdaten[Rank Verteilung Abholzigkeit],0))</f>
        <v>#N/A</v>
      </c>
      <c r="N1168" t="e">
        <f>VLOOKUP(Tabelle9[[#This Row],[Rank]],Stammdaten[[Rank Verteilung Abholzigkeit]:[Verteilung Abholzigkeit]],2,FALSE)</f>
        <v>#N/A</v>
      </c>
      <c r="S1168">
        <v>1159</v>
      </c>
      <c r="T1168" t="e">
        <f>INDEX(Stammdaten[Krümmung (mm/lfm)],MATCH(Tabelle10[[#This Row],[Rank]],Stammdaten[Rank Verteilung Krümmung],0))</f>
        <v>#N/A</v>
      </c>
      <c r="U1168" t="e">
        <f>VLOOKUP(Tabelle10[[#This Row],[Rank]],Stammdaten[[Rank Verteilung Krümmung]:[Verteilung Krümmung]],2,FALSE)</f>
        <v>#N/A</v>
      </c>
      <c r="Z1168">
        <v>1159</v>
      </c>
      <c r="AA1168" t="e">
        <f>INDEX(Stammdaten[Ovalität (']0,1'])],MATCH(Tabelle1014[[#This Row],[Rank]],Stammdaten[Rank Verteilung Ovalität],0))</f>
        <v>#N/A</v>
      </c>
      <c r="AB1168" t="e">
        <f>VLOOKUP(Tabelle1014[[#This Row],[Rank]],Stammdaten[[Rank Verteilung Ovalität]:[Verteilung Ovalität]],2,FALSE)</f>
        <v>#N/A</v>
      </c>
    </row>
    <row r="1169" spans="5:28" x14ac:dyDescent="0.35">
      <c r="E1169">
        <v>1160</v>
      </c>
      <c r="F1169" t="e">
        <f>INDEX(Stammdaten[D Mitte mit Rinde (mm)],MATCH(Tabelle8[[#This Row],[Rank]],Stammdaten[Rank Verteilung D Mitte mit Rinde],0))</f>
        <v>#N/A</v>
      </c>
      <c r="G1169" t="e">
        <f>VLOOKUP(Tabelle8[[#This Row],[Rank]],Stammdaten[[Rank Verteilung D Mitte mit Rinde]:[Verteilung D Mitte mit Rinde]],2,FALSE)</f>
        <v>#N/A</v>
      </c>
      <c r="L1169">
        <v>1160</v>
      </c>
      <c r="M1169" t="e">
        <f>INDEX(Stammdaten[Abholzigkeit (mm/lfm)],MATCH(Tabelle9[[#This Row],[Rank]],Stammdaten[Rank Verteilung Abholzigkeit],0))</f>
        <v>#N/A</v>
      </c>
      <c r="N1169" t="e">
        <f>VLOOKUP(Tabelle9[[#This Row],[Rank]],Stammdaten[[Rank Verteilung Abholzigkeit]:[Verteilung Abholzigkeit]],2,FALSE)</f>
        <v>#N/A</v>
      </c>
      <c r="S1169">
        <v>1160</v>
      </c>
      <c r="T1169" t="e">
        <f>INDEX(Stammdaten[Krümmung (mm/lfm)],MATCH(Tabelle10[[#This Row],[Rank]],Stammdaten[Rank Verteilung Krümmung],0))</f>
        <v>#N/A</v>
      </c>
      <c r="U1169" t="e">
        <f>VLOOKUP(Tabelle10[[#This Row],[Rank]],Stammdaten[[Rank Verteilung Krümmung]:[Verteilung Krümmung]],2,FALSE)</f>
        <v>#N/A</v>
      </c>
      <c r="Z1169">
        <v>1160</v>
      </c>
      <c r="AA1169" t="e">
        <f>INDEX(Stammdaten[Ovalität (']0,1'])],MATCH(Tabelle1014[[#This Row],[Rank]],Stammdaten[Rank Verteilung Ovalität],0))</f>
        <v>#N/A</v>
      </c>
      <c r="AB1169" t="e">
        <f>VLOOKUP(Tabelle1014[[#This Row],[Rank]],Stammdaten[[Rank Verteilung Ovalität]:[Verteilung Ovalität]],2,FALSE)</f>
        <v>#N/A</v>
      </c>
    </row>
    <row r="1170" spans="5:28" x14ac:dyDescent="0.35">
      <c r="E1170">
        <v>1161</v>
      </c>
      <c r="F1170" t="e">
        <f>INDEX(Stammdaten[D Mitte mit Rinde (mm)],MATCH(Tabelle8[[#This Row],[Rank]],Stammdaten[Rank Verteilung D Mitte mit Rinde],0))</f>
        <v>#N/A</v>
      </c>
      <c r="G1170" t="e">
        <f>VLOOKUP(Tabelle8[[#This Row],[Rank]],Stammdaten[[Rank Verteilung D Mitte mit Rinde]:[Verteilung D Mitte mit Rinde]],2,FALSE)</f>
        <v>#N/A</v>
      </c>
      <c r="L1170">
        <v>1161</v>
      </c>
      <c r="M1170" t="e">
        <f>INDEX(Stammdaten[Abholzigkeit (mm/lfm)],MATCH(Tabelle9[[#This Row],[Rank]],Stammdaten[Rank Verteilung Abholzigkeit],0))</f>
        <v>#N/A</v>
      </c>
      <c r="N1170" t="e">
        <f>VLOOKUP(Tabelle9[[#This Row],[Rank]],Stammdaten[[Rank Verteilung Abholzigkeit]:[Verteilung Abholzigkeit]],2,FALSE)</f>
        <v>#N/A</v>
      </c>
      <c r="S1170">
        <v>1161</v>
      </c>
      <c r="T1170" t="e">
        <f>INDEX(Stammdaten[Krümmung (mm/lfm)],MATCH(Tabelle10[[#This Row],[Rank]],Stammdaten[Rank Verteilung Krümmung],0))</f>
        <v>#N/A</v>
      </c>
      <c r="U1170" t="e">
        <f>VLOOKUP(Tabelle10[[#This Row],[Rank]],Stammdaten[[Rank Verteilung Krümmung]:[Verteilung Krümmung]],2,FALSE)</f>
        <v>#N/A</v>
      </c>
      <c r="Z1170">
        <v>1161</v>
      </c>
      <c r="AA1170" t="e">
        <f>INDEX(Stammdaten[Ovalität (']0,1'])],MATCH(Tabelle1014[[#This Row],[Rank]],Stammdaten[Rank Verteilung Ovalität],0))</f>
        <v>#N/A</v>
      </c>
      <c r="AB1170" t="e">
        <f>VLOOKUP(Tabelle1014[[#This Row],[Rank]],Stammdaten[[Rank Verteilung Ovalität]:[Verteilung Ovalität]],2,FALSE)</f>
        <v>#N/A</v>
      </c>
    </row>
    <row r="1171" spans="5:28" x14ac:dyDescent="0.35">
      <c r="E1171">
        <v>1162</v>
      </c>
      <c r="F1171" t="e">
        <f>INDEX(Stammdaten[D Mitte mit Rinde (mm)],MATCH(Tabelle8[[#This Row],[Rank]],Stammdaten[Rank Verteilung D Mitte mit Rinde],0))</f>
        <v>#N/A</v>
      </c>
      <c r="G1171" t="e">
        <f>VLOOKUP(Tabelle8[[#This Row],[Rank]],Stammdaten[[Rank Verteilung D Mitte mit Rinde]:[Verteilung D Mitte mit Rinde]],2,FALSE)</f>
        <v>#N/A</v>
      </c>
      <c r="L1171">
        <v>1162</v>
      </c>
      <c r="M1171" t="e">
        <f>INDEX(Stammdaten[Abholzigkeit (mm/lfm)],MATCH(Tabelle9[[#This Row],[Rank]],Stammdaten[Rank Verteilung Abholzigkeit],0))</f>
        <v>#N/A</v>
      </c>
      <c r="N1171" t="e">
        <f>VLOOKUP(Tabelle9[[#This Row],[Rank]],Stammdaten[[Rank Verteilung Abholzigkeit]:[Verteilung Abholzigkeit]],2,FALSE)</f>
        <v>#N/A</v>
      </c>
      <c r="S1171">
        <v>1162</v>
      </c>
      <c r="T1171" t="e">
        <f>INDEX(Stammdaten[Krümmung (mm/lfm)],MATCH(Tabelle10[[#This Row],[Rank]],Stammdaten[Rank Verteilung Krümmung],0))</f>
        <v>#N/A</v>
      </c>
      <c r="U1171" t="e">
        <f>VLOOKUP(Tabelle10[[#This Row],[Rank]],Stammdaten[[Rank Verteilung Krümmung]:[Verteilung Krümmung]],2,FALSE)</f>
        <v>#N/A</v>
      </c>
      <c r="Z1171">
        <v>1162</v>
      </c>
      <c r="AA1171" t="e">
        <f>INDEX(Stammdaten[Ovalität (']0,1'])],MATCH(Tabelle1014[[#This Row],[Rank]],Stammdaten[Rank Verteilung Ovalität],0))</f>
        <v>#N/A</v>
      </c>
      <c r="AB1171" t="e">
        <f>VLOOKUP(Tabelle1014[[#This Row],[Rank]],Stammdaten[[Rank Verteilung Ovalität]:[Verteilung Ovalität]],2,FALSE)</f>
        <v>#N/A</v>
      </c>
    </row>
    <row r="1172" spans="5:28" x14ac:dyDescent="0.35">
      <c r="E1172">
        <v>1163</v>
      </c>
      <c r="F1172" t="e">
        <f>INDEX(Stammdaten[D Mitte mit Rinde (mm)],MATCH(Tabelle8[[#This Row],[Rank]],Stammdaten[Rank Verteilung D Mitte mit Rinde],0))</f>
        <v>#N/A</v>
      </c>
      <c r="G1172" t="e">
        <f>VLOOKUP(Tabelle8[[#This Row],[Rank]],Stammdaten[[Rank Verteilung D Mitte mit Rinde]:[Verteilung D Mitte mit Rinde]],2,FALSE)</f>
        <v>#N/A</v>
      </c>
      <c r="L1172">
        <v>1163</v>
      </c>
      <c r="M1172" t="e">
        <f>INDEX(Stammdaten[Abholzigkeit (mm/lfm)],MATCH(Tabelle9[[#This Row],[Rank]],Stammdaten[Rank Verteilung Abholzigkeit],0))</f>
        <v>#N/A</v>
      </c>
      <c r="N1172" t="e">
        <f>VLOOKUP(Tabelle9[[#This Row],[Rank]],Stammdaten[[Rank Verteilung Abholzigkeit]:[Verteilung Abholzigkeit]],2,FALSE)</f>
        <v>#N/A</v>
      </c>
      <c r="S1172">
        <v>1163</v>
      </c>
      <c r="T1172" t="e">
        <f>INDEX(Stammdaten[Krümmung (mm/lfm)],MATCH(Tabelle10[[#This Row],[Rank]],Stammdaten[Rank Verteilung Krümmung],0))</f>
        <v>#N/A</v>
      </c>
      <c r="U1172" t="e">
        <f>VLOOKUP(Tabelle10[[#This Row],[Rank]],Stammdaten[[Rank Verteilung Krümmung]:[Verteilung Krümmung]],2,FALSE)</f>
        <v>#N/A</v>
      </c>
      <c r="Z1172">
        <v>1163</v>
      </c>
      <c r="AA1172" t="e">
        <f>INDEX(Stammdaten[Ovalität (']0,1'])],MATCH(Tabelle1014[[#This Row],[Rank]],Stammdaten[Rank Verteilung Ovalität],0))</f>
        <v>#N/A</v>
      </c>
      <c r="AB1172" t="e">
        <f>VLOOKUP(Tabelle1014[[#This Row],[Rank]],Stammdaten[[Rank Verteilung Ovalität]:[Verteilung Ovalität]],2,FALSE)</f>
        <v>#N/A</v>
      </c>
    </row>
    <row r="1173" spans="5:28" x14ac:dyDescent="0.35">
      <c r="E1173">
        <v>1164</v>
      </c>
      <c r="F1173" t="e">
        <f>INDEX(Stammdaten[D Mitte mit Rinde (mm)],MATCH(Tabelle8[[#This Row],[Rank]],Stammdaten[Rank Verteilung D Mitte mit Rinde],0))</f>
        <v>#N/A</v>
      </c>
      <c r="G1173" t="e">
        <f>VLOOKUP(Tabelle8[[#This Row],[Rank]],Stammdaten[[Rank Verteilung D Mitte mit Rinde]:[Verteilung D Mitte mit Rinde]],2,FALSE)</f>
        <v>#N/A</v>
      </c>
      <c r="L1173">
        <v>1164</v>
      </c>
      <c r="M1173" t="e">
        <f>INDEX(Stammdaten[Abholzigkeit (mm/lfm)],MATCH(Tabelle9[[#This Row],[Rank]],Stammdaten[Rank Verteilung Abholzigkeit],0))</f>
        <v>#N/A</v>
      </c>
      <c r="N1173" t="e">
        <f>VLOOKUP(Tabelle9[[#This Row],[Rank]],Stammdaten[[Rank Verteilung Abholzigkeit]:[Verteilung Abholzigkeit]],2,FALSE)</f>
        <v>#N/A</v>
      </c>
      <c r="S1173">
        <v>1164</v>
      </c>
      <c r="T1173" t="e">
        <f>INDEX(Stammdaten[Krümmung (mm/lfm)],MATCH(Tabelle10[[#This Row],[Rank]],Stammdaten[Rank Verteilung Krümmung],0))</f>
        <v>#N/A</v>
      </c>
      <c r="U1173" t="e">
        <f>VLOOKUP(Tabelle10[[#This Row],[Rank]],Stammdaten[[Rank Verteilung Krümmung]:[Verteilung Krümmung]],2,FALSE)</f>
        <v>#N/A</v>
      </c>
      <c r="Z1173">
        <v>1164</v>
      </c>
      <c r="AA1173" t="e">
        <f>INDEX(Stammdaten[Ovalität (']0,1'])],MATCH(Tabelle1014[[#This Row],[Rank]],Stammdaten[Rank Verteilung Ovalität],0))</f>
        <v>#N/A</v>
      </c>
      <c r="AB1173" t="e">
        <f>VLOOKUP(Tabelle1014[[#This Row],[Rank]],Stammdaten[[Rank Verteilung Ovalität]:[Verteilung Ovalität]],2,FALSE)</f>
        <v>#N/A</v>
      </c>
    </row>
    <row r="1174" spans="5:28" x14ac:dyDescent="0.35">
      <c r="E1174">
        <v>1165</v>
      </c>
      <c r="F1174" t="e">
        <f>INDEX(Stammdaten[D Mitte mit Rinde (mm)],MATCH(Tabelle8[[#This Row],[Rank]],Stammdaten[Rank Verteilung D Mitte mit Rinde],0))</f>
        <v>#N/A</v>
      </c>
      <c r="G1174" t="e">
        <f>VLOOKUP(Tabelle8[[#This Row],[Rank]],Stammdaten[[Rank Verteilung D Mitte mit Rinde]:[Verteilung D Mitte mit Rinde]],2,FALSE)</f>
        <v>#N/A</v>
      </c>
      <c r="L1174">
        <v>1165</v>
      </c>
      <c r="M1174" t="e">
        <f>INDEX(Stammdaten[Abholzigkeit (mm/lfm)],MATCH(Tabelle9[[#This Row],[Rank]],Stammdaten[Rank Verteilung Abholzigkeit],0))</f>
        <v>#N/A</v>
      </c>
      <c r="N1174" t="e">
        <f>VLOOKUP(Tabelle9[[#This Row],[Rank]],Stammdaten[[Rank Verteilung Abholzigkeit]:[Verteilung Abholzigkeit]],2,FALSE)</f>
        <v>#N/A</v>
      </c>
      <c r="S1174">
        <v>1165</v>
      </c>
      <c r="T1174" t="e">
        <f>INDEX(Stammdaten[Krümmung (mm/lfm)],MATCH(Tabelle10[[#This Row],[Rank]],Stammdaten[Rank Verteilung Krümmung],0))</f>
        <v>#N/A</v>
      </c>
      <c r="U1174" t="e">
        <f>VLOOKUP(Tabelle10[[#This Row],[Rank]],Stammdaten[[Rank Verteilung Krümmung]:[Verteilung Krümmung]],2,FALSE)</f>
        <v>#N/A</v>
      </c>
      <c r="Z1174">
        <v>1165</v>
      </c>
      <c r="AA1174" t="e">
        <f>INDEX(Stammdaten[Ovalität (']0,1'])],MATCH(Tabelle1014[[#This Row],[Rank]],Stammdaten[Rank Verteilung Ovalität],0))</f>
        <v>#N/A</v>
      </c>
      <c r="AB1174" t="e">
        <f>VLOOKUP(Tabelle1014[[#This Row],[Rank]],Stammdaten[[Rank Verteilung Ovalität]:[Verteilung Ovalität]],2,FALSE)</f>
        <v>#N/A</v>
      </c>
    </row>
    <row r="1175" spans="5:28" x14ac:dyDescent="0.35">
      <c r="E1175">
        <v>1166</v>
      </c>
      <c r="F1175" t="e">
        <f>INDEX(Stammdaten[D Mitte mit Rinde (mm)],MATCH(Tabelle8[[#This Row],[Rank]],Stammdaten[Rank Verteilung D Mitte mit Rinde],0))</f>
        <v>#N/A</v>
      </c>
      <c r="G1175" t="e">
        <f>VLOOKUP(Tabelle8[[#This Row],[Rank]],Stammdaten[[Rank Verteilung D Mitte mit Rinde]:[Verteilung D Mitte mit Rinde]],2,FALSE)</f>
        <v>#N/A</v>
      </c>
      <c r="L1175">
        <v>1166</v>
      </c>
      <c r="M1175" t="e">
        <f>INDEX(Stammdaten[Abholzigkeit (mm/lfm)],MATCH(Tabelle9[[#This Row],[Rank]],Stammdaten[Rank Verteilung Abholzigkeit],0))</f>
        <v>#N/A</v>
      </c>
      <c r="N1175" t="e">
        <f>VLOOKUP(Tabelle9[[#This Row],[Rank]],Stammdaten[[Rank Verteilung Abholzigkeit]:[Verteilung Abholzigkeit]],2,FALSE)</f>
        <v>#N/A</v>
      </c>
      <c r="S1175">
        <v>1166</v>
      </c>
      <c r="T1175" t="e">
        <f>INDEX(Stammdaten[Krümmung (mm/lfm)],MATCH(Tabelle10[[#This Row],[Rank]],Stammdaten[Rank Verteilung Krümmung],0))</f>
        <v>#N/A</v>
      </c>
      <c r="U1175" t="e">
        <f>VLOOKUP(Tabelle10[[#This Row],[Rank]],Stammdaten[[Rank Verteilung Krümmung]:[Verteilung Krümmung]],2,FALSE)</f>
        <v>#N/A</v>
      </c>
      <c r="Z1175">
        <v>1166</v>
      </c>
      <c r="AA1175" t="e">
        <f>INDEX(Stammdaten[Ovalität (']0,1'])],MATCH(Tabelle1014[[#This Row],[Rank]],Stammdaten[Rank Verteilung Ovalität],0))</f>
        <v>#N/A</v>
      </c>
      <c r="AB1175" t="e">
        <f>VLOOKUP(Tabelle1014[[#This Row],[Rank]],Stammdaten[[Rank Verteilung Ovalität]:[Verteilung Ovalität]],2,FALSE)</f>
        <v>#N/A</v>
      </c>
    </row>
    <row r="1176" spans="5:28" x14ac:dyDescent="0.35">
      <c r="E1176">
        <v>1167</v>
      </c>
      <c r="F1176" t="e">
        <f>INDEX(Stammdaten[D Mitte mit Rinde (mm)],MATCH(Tabelle8[[#This Row],[Rank]],Stammdaten[Rank Verteilung D Mitte mit Rinde],0))</f>
        <v>#N/A</v>
      </c>
      <c r="G1176" t="e">
        <f>VLOOKUP(Tabelle8[[#This Row],[Rank]],Stammdaten[[Rank Verteilung D Mitte mit Rinde]:[Verteilung D Mitte mit Rinde]],2,FALSE)</f>
        <v>#N/A</v>
      </c>
      <c r="L1176">
        <v>1167</v>
      </c>
      <c r="M1176" t="e">
        <f>INDEX(Stammdaten[Abholzigkeit (mm/lfm)],MATCH(Tabelle9[[#This Row],[Rank]],Stammdaten[Rank Verteilung Abholzigkeit],0))</f>
        <v>#N/A</v>
      </c>
      <c r="N1176" t="e">
        <f>VLOOKUP(Tabelle9[[#This Row],[Rank]],Stammdaten[[Rank Verteilung Abholzigkeit]:[Verteilung Abholzigkeit]],2,FALSE)</f>
        <v>#N/A</v>
      </c>
      <c r="S1176">
        <v>1167</v>
      </c>
      <c r="T1176" t="e">
        <f>INDEX(Stammdaten[Krümmung (mm/lfm)],MATCH(Tabelle10[[#This Row],[Rank]],Stammdaten[Rank Verteilung Krümmung],0))</f>
        <v>#N/A</v>
      </c>
      <c r="U1176" t="e">
        <f>VLOOKUP(Tabelle10[[#This Row],[Rank]],Stammdaten[[Rank Verteilung Krümmung]:[Verteilung Krümmung]],2,FALSE)</f>
        <v>#N/A</v>
      </c>
      <c r="Z1176">
        <v>1167</v>
      </c>
      <c r="AA1176" t="e">
        <f>INDEX(Stammdaten[Ovalität (']0,1'])],MATCH(Tabelle1014[[#This Row],[Rank]],Stammdaten[Rank Verteilung Ovalität],0))</f>
        <v>#N/A</v>
      </c>
      <c r="AB1176" t="e">
        <f>VLOOKUP(Tabelle1014[[#This Row],[Rank]],Stammdaten[[Rank Verteilung Ovalität]:[Verteilung Ovalität]],2,FALSE)</f>
        <v>#N/A</v>
      </c>
    </row>
    <row r="1177" spans="5:28" x14ac:dyDescent="0.35">
      <c r="E1177">
        <v>1168</v>
      </c>
      <c r="F1177" t="e">
        <f>INDEX(Stammdaten[D Mitte mit Rinde (mm)],MATCH(Tabelle8[[#This Row],[Rank]],Stammdaten[Rank Verteilung D Mitte mit Rinde],0))</f>
        <v>#N/A</v>
      </c>
      <c r="G1177" t="e">
        <f>VLOOKUP(Tabelle8[[#This Row],[Rank]],Stammdaten[[Rank Verteilung D Mitte mit Rinde]:[Verteilung D Mitte mit Rinde]],2,FALSE)</f>
        <v>#N/A</v>
      </c>
      <c r="L1177">
        <v>1168</v>
      </c>
      <c r="M1177" t="e">
        <f>INDEX(Stammdaten[Abholzigkeit (mm/lfm)],MATCH(Tabelle9[[#This Row],[Rank]],Stammdaten[Rank Verteilung Abholzigkeit],0))</f>
        <v>#N/A</v>
      </c>
      <c r="N1177" t="e">
        <f>VLOOKUP(Tabelle9[[#This Row],[Rank]],Stammdaten[[Rank Verteilung Abholzigkeit]:[Verteilung Abholzigkeit]],2,FALSE)</f>
        <v>#N/A</v>
      </c>
      <c r="S1177">
        <v>1168</v>
      </c>
      <c r="T1177" t="e">
        <f>INDEX(Stammdaten[Krümmung (mm/lfm)],MATCH(Tabelle10[[#This Row],[Rank]],Stammdaten[Rank Verteilung Krümmung],0))</f>
        <v>#N/A</v>
      </c>
      <c r="U1177" t="e">
        <f>VLOOKUP(Tabelle10[[#This Row],[Rank]],Stammdaten[[Rank Verteilung Krümmung]:[Verteilung Krümmung]],2,FALSE)</f>
        <v>#N/A</v>
      </c>
      <c r="Z1177">
        <v>1168</v>
      </c>
      <c r="AA1177" t="e">
        <f>INDEX(Stammdaten[Ovalität (']0,1'])],MATCH(Tabelle1014[[#This Row],[Rank]],Stammdaten[Rank Verteilung Ovalität],0))</f>
        <v>#N/A</v>
      </c>
      <c r="AB1177" t="e">
        <f>VLOOKUP(Tabelle1014[[#This Row],[Rank]],Stammdaten[[Rank Verteilung Ovalität]:[Verteilung Ovalität]],2,FALSE)</f>
        <v>#N/A</v>
      </c>
    </row>
    <row r="1178" spans="5:28" x14ac:dyDescent="0.35">
      <c r="E1178">
        <v>1169</v>
      </c>
      <c r="F1178" t="e">
        <f>INDEX(Stammdaten[D Mitte mit Rinde (mm)],MATCH(Tabelle8[[#This Row],[Rank]],Stammdaten[Rank Verteilung D Mitte mit Rinde],0))</f>
        <v>#N/A</v>
      </c>
      <c r="G1178" t="e">
        <f>VLOOKUP(Tabelle8[[#This Row],[Rank]],Stammdaten[[Rank Verteilung D Mitte mit Rinde]:[Verteilung D Mitte mit Rinde]],2,FALSE)</f>
        <v>#N/A</v>
      </c>
      <c r="L1178">
        <v>1169</v>
      </c>
      <c r="M1178" t="e">
        <f>INDEX(Stammdaten[Abholzigkeit (mm/lfm)],MATCH(Tabelle9[[#This Row],[Rank]],Stammdaten[Rank Verteilung Abholzigkeit],0))</f>
        <v>#N/A</v>
      </c>
      <c r="N1178" t="e">
        <f>VLOOKUP(Tabelle9[[#This Row],[Rank]],Stammdaten[[Rank Verteilung Abholzigkeit]:[Verteilung Abholzigkeit]],2,FALSE)</f>
        <v>#N/A</v>
      </c>
      <c r="S1178">
        <v>1169</v>
      </c>
      <c r="T1178" t="e">
        <f>INDEX(Stammdaten[Krümmung (mm/lfm)],MATCH(Tabelle10[[#This Row],[Rank]],Stammdaten[Rank Verteilung Krümmung],0))</f>
        <v>#N/A</v>
      </c>
      <c r="U1178" t="e">
        <f>VLOOKUP(Tabelle10[[#This Row],[Rank]],Stammdaten[[Rank Verteilung Krümmung]:[Verteilung Krümmung]],2,FALSE)</f>
        <v>#N/A</v>
      </c>
      <c r="Z1178">
        <v>1169</v>
      </c>
      <c r="AA1178" t="e">
        <f>INDEX(Stammdaten[Ovalität (']0,1'])],MATCH(Tabelle1014[[#This Row],[Rank]],Stammdaten[Rank Verteilung Ovalität],0))</f>
        <v>#N/A</v>
      </c>
      <c r="AB1178" t="e">
        <f>VLOOKUP(Tabelle1014[[#This Row],[Rank]],Stammdaten[[Rank Verteilung Ovalität]:[Verteilung Ovalität]],2,FALSE)</f>
        <v>#N/A</v>
      </c>
    </row>
    <row r="1179" spans="5:28" x14ac:dyDescent="0.35">
      <c r="E1179">
        <v>1170</v>
      </c>
      <c r="F1179" t="e">
        <f>INDEX(Stammdaten[D Mitte mit Rinde (mm)],MATCH(Tabelle8[[#This Row],[Rank]],Stammdaten[Rank Verteilung D Mitte mit Rinde],0))</f>
        <v>#N/A</v>
      </c>
      <c r="G1179" t="e">
        <f>VLOOKUP(Tabelle8[[#This Row],[Rank]],Stammdaten[[Rank Verteilung D Mitte mit Rinde]:[Verteilung D Mitte mit Rinde]],2,FALSE)</f>
        <v>#N/A</v>
      </c>
      <c r="L1179">
        <v>1170</v>
      </c>
      <c r="M1179" t="e">
        <f>INDEX(Stammdaten[Abholzigkeit (mm/lfm)],MATCH(Tabelle9[[#This Row],[Rank]],Stammdaten[Rank Verteilung Abholzigkeit],0))</f>
        <v>#N/A</v>
      </c>
      <c r="N1179" t="e">
        <f>VLOOKUP(Tabelle9[[#This Row],[Rank]],Stammdaten[[Rank Verteilung Abholzigkeit]:[Verteilung Abholzigkeit]],2,FALSE)</f>
        <v>#N/A</v>
      </c>
      <c r="S1179">
        <v>1170</v>
      </c>
      <c r="T1179" t="e">
        <f>INDEX(Stammdaten[Krümmung (mm/lfm)],MATCH(Tabelle10[[#This Row],[Rank]],Stammdaten[Rank Verteilung Krümmung],0))</f>
        <v>#N/A</v>
      </c>
      <c r="U1179" t="e">
        <f>VLOOKUP(Tabelle10[[#This Row],[Rank]],Stammdaten[[Rank Verteilung Krümmung]:[Verteilung Krümmung]],2,FALSE)</f>
        <v>#N/A</v>
      </c>
      <c r="Z1179">
        <v>1170</v>
      </c>
      <c r="AA1179" t="e">
        <f>INDEX(Stammdaten[Ovalität (']0,1'])],MATCH(Tabelle1014[[#This Row],[Rank]],Stammdaten[Rank Verteilung Ovalität],0))</f>
        <v>#N/A</v>
      </c>
      <c r="AB1179" t="e">
        <f>VLOOKUP(Tabelle1014[[#This Row],[Rank]],Stammdaten[[Rank Verteilung Ovalität]:[Verteilung Ovalität]],2,FALSE)</f>
        <v>#N/A</v>
      </c>
    </row>
    <row r="1180" spans="5:28" x14ac:dyDescent="0.35">
      <c r="E1180">
        <v>1171</v>
      </c>
      <c r="F1180" t="e">
        <f>INDEX(Stammdaten[D Mitte mit Rinde (mm)],MATCH(Tabelle8[[#This Row],[Rank]],Stammdaten[Rank Verteilung D Mitte mit Rinde],0))</f>
        <v>#N/A</v>
      </c>
      <c r="G1180" t="e">
        <f>VLOOKUP(Tabelle8[[#This Row],[Rank]],Stammdaten[[Rank Verteilung D Mitte mit Rinde]:[Verteilung D Mitte mit Rinde]],2,FALSE)</f>
        <v>#N/A</v>
      </c>
      <c r="L1180">
        <v>1171</v>
      </c>
      <c r="M1180" t="e">
        <f>INDEX(Stammdaten[Abholzigkeit (mm/lfm)],MATCH(Tabelle9[[#This Row],[Rank]],Stammdaten[Rank Verteilung Abholzigkeit],0))</f>
        <v>#N/A</v>
      </c>
      <c r="N1180" t="e">
        <f>VLOOKUP(Tabelle9[[#This Row],[Rank]],Stammdaten[[Rank Verteilung Abholzigkeit]:[Verteilung Abholzigkeit]],2,FALSE)</f>
        <v>#N/A</v>
      </c>
      <c r="S1180">
        <v>1171</v>
      </c>
      <c r="T1180" t="e">
        <f>INDEX(Stammdaten[Krümmung (mm/lfm)],MATCH(Tabelle10[[#This Row],[Rank]],Stammdaten[Rank Verteilung Krümmung],0))</f>
        <v>#N/A</v>
      </c>
      <c r="U1180" t="e">
        <f>VLOOKUP(Tabelle10[[#This Row],[Rank]],Stammdaten[[Rank Verteilung Krümmung]:[Verteilung Krümmung]],2,FALSE)</f>
        <v>#N/A</v>
      </c>
      <c r="Z1180">
        <v>1171</v>
      </c>
      <c r="AA1180" t="e">
        <f>INDEX(Stammdaten[Ovalität (']0,1'])],MATCH(Tabelle1014[[#This Row],[Rank]],Stammdaten[Rank Verteilung Ovalität],0))</f>
        <v>#N/A</v>
      </c>
      <c r="AB1180" t="e">
        <f>VLOOKUP(Tabelle1014[[#This Row],[Rank]],Stammdaten[[Rank Verteilung Ovalität]:[Verteilung Ovalität]],2,FALSE)</f>
        <v>#N/A</v>
      </c>
    </row>
    <row r="1181" spans="5:28" x14ac:dyDescent="0.35">
      <c r="E1181">
        <v>1172</v>
      </c>
      <c r="F1181" t="e">
        <f>INDEX(Stammdaten[D Mitte mit Rinde (mm)],MATCH(Tabelle8[[#This Row],[Rank]],Stammdaten[Rank Verteilung D Mitte mit Rinde],0))</f>
        <v>#N/A</v>
      </c>
      <c r="G1181" t="e">
        <f>VLOOKUP(Tabelle8[[#This Row],[Rank]],Stammdaten[[Rank Verteilung D Mitte mit Rinde]:[Verteilung D Mitte mit Rinde]],2,FALSE)</f>
        <v>#N/A</v>
      </c>
      <c r="L1181">
        <v>1172</v>
      </c>
      <c r="M1181" t="e">
        <f>INDEX(Stammdaten[Abholzigkeit (mm/lfm)],MATCH(Tabelle9[[#This Row],[Rank]],Stammdaten[Rank Verteilung Abholzigkeit],0))</f>
        <v>#N/A</v>
      </c>
      <c r="N1181" t="e">
        <f>VLOOKUP(Tabelle9[[#This Row],[Rank]],Stammdaten[[Rank Verteilung Abholzigkeit]:[Verteilung Abholzigkeit]],2,FALSE)</f>
        <v>#N/A</v>
      </c>
      <c r="S1181">
        <v>1172</v>
      </c>
      <c r="T1181" t="e">
        <f>INDEX(Stammdaten[Krümmung (mm/lfm)],MATCH(Tabelle10[[#This Row],[Rank]],Stammdaten[Rank Verteilung Krümmung],0))</f>
        <v>#N/A</v>
      </c>
      <c r="U1181" t="e">
        <f>VLOOKUP(Tabelle10[[#This Row],[Rank]],Stammdaten[[Rank Verteilung Krümmung]:[Verteilung Krümmung]],2,FALSE)</f>
        <v>#N/A</v>
      </c>
      <c r="Z1181">
        <v>1172</v>
      </c>
      <c r="AA1181" t="e">
        <f>INDEX(Stammdaten[Ovalität (']0,1'])],MATCH(Tabelle1014[[#This Row],[Rank]],Stammdaten[Rank Verteilung Ovalität],0))</f>
        <v>#N/A</v>
      </c>
      <c r="AB1181" t="e">
        <f>VLOOKUP(Tabelle1014[[#This Row],[Rank]],Stammdaten[[Rank Verteilung Ovalität]:[Verteilung Ovalität]],2,FALSE)</f>
        <v>#N/A</v>
      </c>
    </row>
    <row r="1182" spans="5:28" x14ac:dyDescent="0.35">
      <c r="E1182">
        <v>1173</v>
      </c>
      <c r="F1182" t="e">
        <f>INDEX(Stammdaten[D Mitte mit Rinde (mm)],MATCH(Tabelle8[[#This Row],[Rank]],Stammdaten[Rank Verteilung D Mitte mit Rinde],0))</f>
        <v>#N/A</v>
      </c>
      <c r="G1182" t="e">
        <f>VLOOKUP(Tabelle8[[#This Row],[Rank]],Stammdaten[[Rank Verteilung D Mitte mit Rinde]:[Verteilung D Mitte mit Rinde]],2,FALSE)</f>
        <v>#N/A</v>
      </c>
      <c r="L1182">
        <v>1173</v>
      </c>
      <c r="M1182" t="e">
        <f>INDEX(Stammdaten[Abholzigkeit (mm/lfm)],MATCH(Tabelle9[[#This Row],[Rank]],Stammdaten[Rank Verteilung Abholzigkeit],0))</f>
        <v>#N/A</v>
      </c>
      <c r="N1182" t="e">
        <f>VLOOKUP(Tabelle9[[#This Row],[Rank]],Stammdaten[[Rank Verteilung Abholzigkeit]:[Verteilung Abholzigkeit]],2,FALSE)</f>
        <v>#N/A</v>
      </c>
      <c r="S1182">
        <v>1173</v>
      </c>
      <c r="T1182" t="e">
        <f>INDEX(Stammdaten[Krümmung (mm/lfm)],MATCH(Tabelle10[[#This Row],[Rank]],Stammdaten[Rank Verteilung Krümmung],0))</f>
        <v>#N/A</v>
      </c>
      <c r="U1182" t="e">
        <f>VLOOKUP(Tabelle10[[#This Row],[Rank]],Stammdaten[[Rank Verteilung Krümmung]:[Verteilung Krümmung]],2,FALSE)</f>
        <v>#N/A</v>
      </c>
      <c r="Z1182">
        <v>1173</v>
      </c>
      <c r="AA1182" t="e">
        <f>INDEX(Stammdaten[Ovalität (']0,1'])],MATCH(Tabelle1014[[#This Row],[Rank]],Stammdaten[Rank Verteilung Ovalität],0))</f>
        <v>#N/A</v>
      </c>
      <c r="AB1182" t="e">
        <f>VLOOKUP(Tabelle1014[[#This Row],[Rank]],Stammdaten[[Rank Verteilung Ovalität]:[Verteilung Ovalität]],2,FALSE)</f>
        <v>#N/A</v>
      </c>
    </row>
    <row r="1183" spans="5:28" x14ac:dyDescent="0.35">
      <c r="E1183">
        <v>1174</v>
      </c>
      <c r="F1183" t="e">
        <f>INDEX(Stammdaten[D Mitte mit Rinde (mm)],MATCH(Tabelle8[[#This Row],[Rank]],Stammdaten[Rank Verteilung D Mitte mit Rinde],0))</f>
        <v>#N/A</v>
      </c>
      <c r="G1183" t="e">
        <f>VLOOKUP(Tabelle8[[#This Row],[Rank]],Stammdaten[[Rank Verteilung D Mitte mit Rinde]:[Verteilung D Mitte mit Rinde]],2,FALSE)</f>
        <v>#N/A</v>
      </c>
      <c r="L1183">
        <v>1174</v>
      </c>
      <c r="M1183" t="e">
        <f>INDEX(Stammdaten[Abholzigkeit (mm/lfm)],MATCH(Tabelle9[[#This Row],[Rank]],Stammdaten[Rank Verteilung Abholzigkeit],0))</f>
        <v>#N/A</v>
      </c>
      <c r="N1183" t="e">
        <f>VLOOKUP(Tabelle9[[#This Row],[Rank]],Stammdaten[[Rank Verteilung Abholzigkeit]:[Verteilung Abholzigkeit]],2,FALSE)</f>
        <v>#N/A</v>
      </c>
      <c r="S1183">
        <v>1174</v>
      </c>
      <c r="T1183" t="e">
        <f>INDEX(Stammdaten[Krümmung (mm/lfm)],MATCH(Tabelle10[[#This Row],[Rank]],Stammdaten[Rank Verteilung Krümmung],0))</f>
        <v>#N/A</v>
      </c>
      <c r="U1183" t="e">
        <f>VLOOKUP(Tabelle10[[#This Row],[Rank]],Stammdaten[[Rank Verteilung Krümmung]:[Verteilung Krümmung]],2,FALSE)</f>
        <v>#N/A</v>
      </c>
      <c r="Z1183">
        <v>1174</v>
      </c>
      <c r="AA1183" t="e">
        <f>INDEX(Stammdaten[Ovalität (']0,1'])],MATCH(Tabelle1014[[#This Row],[Rank]],Stammdaten[Rank Verteilung Ovalität],0))</f>
        <v>#N/A</v>
      </c>
      <c r="AB1183" t="e">
        <f>VLOOKUP(Tabelle1014[[#This Row],[Rank]],Stammdaten[[Rank Verteilung Ovalität]:[Verteilung Ovalität]],2,FALSE)</f>
        <v>#N/A</v>
      </c>
    </row>
    <row r="1184" spans="5:28" x14ac:dyDescent="0.35">
      <c r="E1184">
        <v>1175</v>
      </c>
      <c r="F1184" t="e">
        <f>INDEX(Stammdaten[D Mitte mit Rinde (mm)],MATCH(Tabelle8[[#This Row],[Rank]],Stammdaten[Rank Verteilung D Mitte mit Rinde],0))</f>
        <v>#N/A</v>
      </c>
      <c r="G1184" t="e">
        <f>VLOOKUP(Tabelle8[[#This Row],[Rank]],Stammdaten[[Rank Verteilung D Mitte mit Rinde]:[Verteilung D Mitte mit Rinde]],2,FALSE)</f>
        <v>#N/A</v>
      </c>
      <c r="L1184">
        <v>1175</v>
      </c>
      <c r="M1184" t="e">
        <f>INDEX(Stammdaten[Abholzigkeit (mm/lfm)],MATCH(Tabelle9[[#This Row],[Rank]],Stammdaten[Rank Verteilung Abholzigkeit],0))</f>
        <v>#N/A</v>
      </c>
      <c r="N1184" t="e">
        <f>VLOOKUP(Tabelle9[[#This Row],[Rank]],Stammdaten[[Rank Verteilung Abholzigkeit]:[Verteilung Abholzigkeit]],2,FALSE)</f>
        <v>#N/A</v>
      </c>
      <c r="S1184">
        <v>1175</v>
      </c>
      <c r="T1184" t="e">
        <f>INDEX(Stammdaten[Krümmung (mm/lfm)],MATCH(Tabelle10[[#This Row],[Rank]],Stammdaten[Rank Verteilung Krümmung],0))</f>
        <v>#N/A</v>
      </c>
      <c r="U1184" t="e">
        <f>VLOOKUP(Tabelle10[[#This Row],[Rank]],Stammdaten[[Rank Verteilung Krümmung]:[Verteilung Krümmung]],2,FALSE)</f>
        <v>#N/A</v>
      </c>
      <c r="Z1184">
        <v>1175</v>
      </c>
      <c r="AA1184" t="e">
        <f>INDEX(Stammdaten[Ovalität (']0,1'])],MATCH(Tabelle1014[[#This Row],[Rank]],Stammdaten[Rank Verteilung Ovalität],0))</f>
        <v>#N/A</v>
      </c>
      <c r="AB1184" t="e">
        <f>VLOOKUP(Tabelle1014[[#This Row],[Rank]],Stammdaten[[Rank Verteilung Ovalität]:[Verteilung Ovalität]],2,FALSE)</f>
        <v>#N/A</v>
      </c>
    </row>
    <row r="1185" spans="5:28" x14ac:dyDescent="0.35">
      <c r="E1185">
        <v>1176</v>
      </c>
      <c r="F1185" t="e">
        <f>INDEX(Stammdaten[D Mitte mit Rinde (mm)],MATCH(Tabelle8[[#This Row],[Rank]],Stammdaten[Rank Verteilung D Mitte mit Rinde],0))</f>
        <v>#N/A</v>
      </c>
      <c r="G1185" t="e">
        <f>VLOOKUP(Tabelle8[[#This Row],[Rank]],Stammdaten[[Rank Verteilung D Mitte mit Rinde]:[Verteilung D Mitte mit Rinde]],2,FALSE)</f>
        <v>#N/A</v>
      </c>
      <c r="L1185">
        <v>1176</v>
      </c>
      <c r="M1185" t="e">
        <f>INDEX(Stammdaten[Abholzigkeit (mm/lfm)],MATCH(Tabelle9[[#This Row],[Rank]],Stammdaten[Rank Verteilung Abholzigkeit],0))</f>
        <v>#N/A</v>
      </c>
      <c r="N1185" t="e">
        <f>VLOOKUP(Tabelle9[[#This Row],[Rank]],Stammdaten[[Rank Verteilung Abholzigkeit]:[Verteilung Abholzigkeit]],2,FALSE)</f>
        <v>#N/A</v>
      </c>
      <c r="S1185">
        <v>1176</v>
      </c>
      <c r="T1185" t="e">
        <f>INDEX(Stammdaten[Krümmung (mm/lfm)],MATCH(Tabelle10[[#This Row],[Rank]],Stammdaten[Rank Verteilung Krümmung],0))</f>
        <v>#N/A</v>
      </c>
      <c r="U1185" t="e">
        <f>VLOOKUP(Tabelle10[[#This Row],[Rank]],Stammdaten[[Rank Verteilung Krümmung]:[Verteilung Krümmung]],2,FALSE)</f>
        <v>#N/A</v>
      </c>
      <c r="Z1185">
        <v>1176</v>
      </c>
      <c r="AA1185" t="e">
        <f>INDEX(Stammdaten[Ovalität (']0,1'])],MATCH(Tabelle1014[[#This Row],[Rank]],Stammdaten[Rank Verteilung Ovalität],0))</f>
        <v>#N/A</v>
      </c>
      <c r="AB1185" t="e">
        <f>VLOOKUP(Tabelle1014[[#This Row],[Rank]],Stammdaten[[Rank Verteilung Ovalität]:[Verteilung Ovalität]],2,FALSE)</f>
        <v>#N/A</v>
      </c>
    </row>
    <row r="1186" spans="5:28" x14ac:dyDescent="0.35">
      <c r="E1186">
        <v>1177</v>
      </c>
      <c r="F1186" t="e">
        <f>INDEX(Stammdaten[D Mitte mit Rinde (mm)],MATCH(Tabelle8[[#This Row],[Rank]],Stammdaten[Rank Verteilung D Mitte mit Rinde],0))</f>
        <v>#N/A</v>
      </c>
      <c r="G1186" t="e">
        <f>VLOOKUP(Tabelle8[[#This Row],[Rank]],Stammdaten[[Rank Verteilung D Mitte mit Rinde]:[Verteilung D Mitte mit Rinde]],2,FALSE)</f>
        <v>#N/A</v>
      </c>
      <c r="L1186">
        <v>1177</v>
      </c>
      <c r="M1186" t="e">
        <f>INDEX(Stammdaten[Abholzigkeit (mm/lfm)],MATCH(Tabelle9[[#This Row],[Rank]],Stammdaten[Rank Verteilung Abholzigkeit],0))</f>
        <v>#N/A</v>
      </c>
      <c r="N1186" t="e">
        <f>VLOOKUP(Tabelle9[[#This Row],[Rank]],Stammdaten[[Rank Verteilung Abholzigkeit]:[Verteilung Abholzigkeit]],2,FALSE)</f>
        <v>#N/A</v>
      </c>
      <c r="S1186">
        <v>1177</v>
      </c>
      <c r="T1186" t="e">
        <f>INDEX(Stammdaten[Krümmung (mm/lfm)],MATCH(Tabelle10[[#This Row],[Rank]],Stammdaten[Rank Verteilung Krümmung],0))</f>
        <v>#N/A</v>
      </c>
      <c r="U1186" t="e">
        <f>VLOOKUP(Tabelle10[[#This Row],[Rank]],Stammdaten[[Rank Verteilung Krümmung]:[Verteilung Krümmung]],2,FALSE)</f>
        <v>#N/A</v>
      </c>
      <c r="Z1186">
        <v>1177</v>
      </c>
      <c r="AA1186" t="e">
        <f>INDEX(Stammdaten[Ovalität (']0,1'])],MATCH(Tabelle1014[[#This Row],[Rank]],Stammdaten[Rank Verteilung Ovalität],0))</f>
        <v>#N/A</v>
      </c>
      <c r="AB1186" t="e">
        <f>VLOOKUP(Tabelle1014[[#This Row],[Rank]],Stammdaten[[Rank Verteilung Ovalität]:[Verteilung Ovalität]],2,FALSE)</f>
        <v>#N/A</v>
      </c>
    </row>
    <row r="1187" spans="5:28" x14ac:dyDescent="0.35">
      <c r="E1187">
        <v>1178</v>
      </c>
      <c r="F1187" t="e">
        <f>INDEX(Stammdaten[D Mitte mit Rinde (mm)],MATCH(Tabelle8[[#This Row],[Rank]],Stammdaten[Rank Verteilung D Mitte mit Rinde],0))</f>
        <v>#N/A</v>
      </c>
      <c r="G1187" t="e">
        <f>VLOOKUP(Tabelle8[[#This Row],[Rank]],Stammdaten[[Rank Verteilung D Mitte mit Rinde]:[Verteilung D Mitte mit Rinde]],2,FALSE)</f>
        <v>#N/A</v>
      </c>
      <c r="L1187">
        <v>1178</v>
      </c>
      <c r="M1187" t="e">
        <f>INDEX(Stammdaten[Abholzigkeit (mm/lfm)],MATCH(Tabelle9[[#This Row],[Rank]],Stammdaten[Rank Verteilung Abholzigkeit],0))</f>
        <v>#N/A</v>
      </c>
      <c r="N1187" t="e">
        <f>VLOOKUP(Tabelle9[[#This Row],[Rank]],Stammdaten[[Rank Verteilung Abholzigkeit]:[Verteilung Abholzigkeit]],2,FALSE)</f>
        <v>#N/A</v>
      </c>
      <c r="S1187">
        <v>1178</v>
      </c>
      <c r="T1187" t="e">
        <f>INDEX(Stammdaten[Krümmung (mm/lfm)],MATCH(Tabelle10[[#This Row],[Rank]],Stammdaten[Rank Verteilung Krümmung],0))</f>
        <v>#N/A</v>
      </c>
      <c r="U1187" t="e">
        <f>VLOOKUP(Tabelle10[[#This Row],[Rank]],Stammdaten[[Rank Verteilung Krümmung]:[Verteilung Krümmung]],2,FALSE)</f>
        <v>#N/A</v>
      </c>
      <c r="Z1187">
        <v>1178</v>
      </c>
      <c r="AA1187" t="e">
        <f>INDEX(Stammdaten[Ovalität (']0,1'])],MATCH(Tabelle1014[[#This Row],[Rank]],Stammdaten[Rank Verteilung Ovalität],0))</f>
        <v>#N/A</v>
      </c>
      <c r="AB1187" t="e">
        <f>VLOOKUP(Tabelle1014[[#This Row],[Rank]],Stammdaten[[Rank Verteilung Ovalität]:[Verteilung Ovalität]],2,FALSE)</f>
        <v>#N/A</v>
      </c>
    </row>
    <row r="1188" spans="5:28" x14ac:dyDescent="0.35">
      <c r="E1188">
        <v>1179</v>
      </c>
      <c r="F1188" t="e">
        <f>INDEX(Stammdaten[D Mitte mit Rinde (mm)],MATCH(Tabelle8[[#This Row],[Rank]],Stammdaten[Rank Verteilung D Mitte mit Rinde],0))</f>
        <v>#N/A</v>
      </c>
      <c r="G1188" t="e">
        <f>VLOOKUP(Tabelle8[[#This Row],[Rank]],Stammdaten[[Rank Verteilung D Mitte mit Rinde]:[Verteilung D Mitte mit Rinde]],2,FALSE)</f>
        <v>#N/A</v>
      </c>
      <c r="L1188">
        <v>1179</v>
      </c>
      <c r="M1188" t="e">
        <f>INDEX(Stammdaten[Abholzigkeit (mm/lfm)],MATCH(Tabelle9[[#This Row],[Rank]],Stammdaten[Rank Verteilung Abholzigkeit],0))</f>
        <v>#N/A</v>
      </c>
      <c r="N1188" t="e">
        <f>VLOOKUP(Tabelle9[[#This Row],[Rank]],Stammdaten[[Rank Verteilung Abholzigkeit]:[Verteilung Abholzigkeit]],2,FALSE)</f>
        <v>#N/A</v>
      </c>
      <c r="S1188">
        <v>1179</v>
      </c>
      <c r="T1188" t="e">
        <f>INDEX(Stammdaten[Krümmung (mm/lfm)],MATCH(Tabelle10[[#This Row],[Rank]],Stammdaten[Rank Verteilung Krümmung],0))</f>
        <v>#N/A</v>
      </c>
      <c r="U1188" t="e">
        <f>VLOOKUP(Tabelle10[[#This Row],[Rank]],Stammdaten[[Rank Verteilung Krümmung]:[Verteilung Krümmung]],2,FALSE)</f>
        <v>#N/A</v>
      </c>
      <c r="Z1188">
        <v>1179</v>
      </c>
      <c r="AA1188" t="e">
        <f>INDEX(Stammdaten[Ovalität (']0,1'])],MATCH(Tabelle1014[[#This Row],[Rank]],Stammdaten[Rank Verteilung Ovalität],0))</f>
        <v>#N/A</v>
      </c>
      <c r="AB1188" t="e">
        <f>VLOOKUP(Tabelle1014[[#This Row],[Rank]],Stammdaten[[Rank Verteilung Ovalität]:[Verteilung Ovalität]],2,FALSE)</f>
        <v>#N/A</v>
      </c>
    </row>
    <row r="1189" spans="5:28" x14ac:dyDescent="0.35">
      <c r="E1189">
        <v>1180</v>
      </c>
      <c r="F1189" t="e">
        <f>INDEX(Stammdaten[D Mitte mit Rinde (mm)],MATCH(Tabelle8[[#This Row],[Rank]],Stammdaten[Rank Verteilung D Mitte mit Rinde],0))</f>
        <v>#N/A</v>
      </c>
      <c r="G1189" t="e">
        <f>VLOOKUP(Tabelle8[[#This Row],[Rank]],Stammdaten[[Rank Verteilung D Mitte mit Rinde]:[Verteilung D Mitte mit Rinde]],2,FALSE)</f>
        <v>#N/A</v>
      </c>
      <c r="L1189">
        <v>1180</v>
      </c>
      <c r="M1189" t="e">
        <f>INDEX(Stammdaten[Abholzigkeit (mm/lfm)],MATCH(Tabelle9[[#This Row],[Rank]],Stammdaten[Rank Verteilung Abholzigkeit],0))</f>
        <v>#N/A</v>
      </c>
      <c r="N1189" t="e">
        <f>VLOOKUP(Tabelle9[[#This Row],[Rank]],Stammdaten[[Rank Verteilung Abholzigkeit]:[Verteilung Abholzigkeit]],2,FALSE)</f>
        <v>#N/A</v>
      </c>
      <c r="S1189">
        <v>1180</v>
      </c>
      <c r="T1189" t="e">
        <f>INDEX(Stammdaten[Krümmung (mm/lfm)],MATCH(Tabelle10[[#This Row],[Rank]],Stammdaten[Rank Verteilung Krümmung],0))</f>
        <v>#N/A</v>
      </c>
      <c r="U1189" t="e">
        <f>VLOOKUP(Tabelle10[[#This Row],[Rank]],Stammdaten[[Rank Verteilung Krümmung]:[Verteilung Krümmung]],2,FALSE)</f>
        <v>#N/A</v>
      </c>
      <c r="Z1189">
        <v>1180</v>
      </c>
      <c r="AA1189" t="e">
        <f>INDEX(Stammdaten[Ovalität (']0,1'])],MATCH(Tabelle1014[[#This Row],[Rank]],Stammdaten[Rank Verteilung Ovalität],0))</f>
        <v>#N/A</v>
      </c>
      <c r="AB1189" t="e">
        <f>VLOOKUP(Tabelle1014[[#This Row],[Rank]],Stammdaten[[Rank Verteilung Ovalität]:[Verteilung Ovalität]],2,FALSE)</f>
        <v>#N/A</v>
      </c>
    </row>
    <row r="1190" spans="5:28" x14ac:dyDescent="0.35">
      <c r="E1190">
        <v>1181</v>
      </c>
      <c r="F1190" t="e">
        <f>INDEX(Stammdaten[D Mitte mit Rinde (mm)],MATCH(Tabelle8[[#This Row],[Rank]],Stammdaten[Rank Verteilung D Mitte mit Rinde],0))</f>
        <v>#N/A</v>
      </c>
      <c r="G1190" t="e">
        <f>VLOOKUP(Tabelle8[[#This Row],[Rank]],Stammdaten[[Rank Verteilung D Mitte mit Rinde]:[Verteilung D Mitte mit Rinde]],2,FALSE)</f>
        <v>#N/A</v>
      </c>
      <c r="L1190">
        <v>1181</v>
      </c>
      <c r="M1190" t="e">
        <f>INDEX(Stammdaten[Abholzigkeit (mm/lfm)],MATCH(Tabelle9[[#This Row],[Rank]],Stammdaten[Rank Verteilung Abholzigkeit],0))</f>
        <v>#N/A</v>
      </c>
      <c r="N1190" t="e">
        <f>VLOOKUP(Tabelle9[[#This Row],[Rank]],Stammdaten[[Rank Verteilung Abholzigkeit]:[Verteilung Abholzigkeit]],2,FALSE)</f>
        <v>#N/A</v>
      </c>
      <c r="S1190">
        <v>1181</v>
      </c>
      <c r="T1190" t="e">
        <f>INDEX(Stammdaten[Krümmung (mm/lfm)],MATCH(Tabelle10[[#This Row],[Rank]],Stammdaten[Rank Verteilung Krümmung],0))</f>
        <v>#N/A</v>
      </c>
      <c r="U1190" t="e">
        <f>VLOOKUP(Tabelle10[[#This Row],[Rank]],Stammdaten[[Rank Verteilung Krümmung]:[Verteilung Krümmung]],2,FALSE)</f>
        <v>#N/A</v>
      </c>
      <c r="Z1190">
        <v>1181</v>
      </c>
      <c r="AA1190" t="e">
        <f>INDEX(Stammdaten[Ovalität (']0,1'])],MATCH(Tabelle1014[[#This Row],[Rank]],Stammdaten[Rank Verteilung Ovalität],0))</f>
        <v>#N/A</v>
      </c>
      <c r="AB1190" t="e">
        <f>VLOOKUP(Tabelle1014[[#This Row],[Rank]],Stammdaten[[Rank Verteilung Ovalität]:[Verteilung Ovalität]],2,FALSE)</f>
        <v>#N/A</v>
      </c>
    </row>
    <row r="1191" spans="5:28" x14ac:dyDescent="0.35">
      <c r="E1191">
        <v>1182</v>
      </c>
      <c r="F1191" t="e">
        <f>INDEX(Stammdaten[D Mitte mit Rinde (mm)],MATCH(Tabelle8[[#This Row],[Rank]],Stammdaten[Rank Verteilung D Mitte mit Rinde],0))</f>
        <v>#N/A</v>
      </c>
      <c r="G1191" t="e">
        <f>VLOOKUP(Tabelle8[[#This Row],[Rank]],Stammdaten[[Rank Verteilung D Mitte mit Rinde]:[Verteilung D Mitte mit Rinde]],2,FALSE)</f>
        <v>#N/A</v>
      </c>
      <c r="L1191">
        <v>1182</v>
      </c>
      <c r="M1191" t="e">
        <f>INDEX(Stammdaten[Abholzigkeit (mm/lfm)],MATCH(Tabelle9[[#This Row],[Rank]],Stammdaten[Rank Verteilung Abholzigkeit],0))</f>
        <v>#N/A</v>
      </c>
      <c r="N1191" t="e">
        <f>VLOOKUP(Tabelle9[[#This Row],[Rank]],Stammdaten[[Rank Verteilung Abholzigkeit]:[Verteilung Abholzigkeit]],2,FALSE)</f>
        <v>#N/A</v>
      </c>
      <c r="S1191">
        <v>1182</v>
      </c>
      <c r="T1191" t="e">
        <f>INDEX(Stammdaten[Krümmung (mm/lfm)],MATCH(Tabelle10[[#This Row],[Rank]],Stammdaten[Rank Verteilung Krümmung],0))</f>
        <v>#N/A</v>
      </c>
      <c r="U1191" t="e">
        <f>VLOOKUP(Tabelle10[[#This Row],[Rank]],Stammdaten[[Rank Verteilung Krümmung]:[Verteilung Krümmung]],2,FALSE)</f>
        <v>#N/A</v>
      </c>
      <c r="Z1191">
        <v>1182</v>
      </c>
      <c r="AA1191" t="e">
        <f>INDEX(Stammdaten[Ovalität (']0,1'])],MATCH(Tabelle1014[[#This Row],[Rank]],Stammdaten[Rank Verteilung Ovalität],0))</f>
        <v>#N/A</v>
      </c>
      <c r="AB1191" t="e">
        <f>VLOOKUP(Tabelle1014[[#This Row],[Rank]],Stammdaten[[Rank Verteilung Ovalität]:[Verteilung Ovalität]],2,FALSE)</f>
        <v>#N/A</v>
      </c>
    </row>
    <row r="1192" spans="5:28" x14ac:dyDescent="0.35">
      <c r="E1192">
        <v>1183</v>
      </c>
      <c r="F1192" t="e">
        <f>INDEX(Stammdaten[D Mitte mit Rinde (mm)],MATCH(Tabelle8[[#This Row],[Rank]],Stammdaten[Rank Verteilung D Mitte mit Rinde],0))</f>
        <v>#N/A</v>
      </c>
      <c r="G1192" t="e">
        <f>VLOOKUP(Tabelle8[[#This Row],[Rank]],Stammdaten[[Rank Verteilung D Mitte mit Rinde]:[Verteilung D Mitte mit Rinde]],2,FALSE)</f>
        <v>#N/A</v>
      </c>
      <c r="L1192">
        <v>1183</v>
      </c>
      <c r="M1192" t="e">
        <f>INDEX(Stammdaten[Abholzigkeit (mm/lfm)],MATCH(Tabelle9[[#This Row],[Rank]],Stammdaten[Rank Verteilung Abholzigkeit],0))</f>
        <v>#N/A</v>
      </c>
      <c r="N1192" t="e">
        <f>VLOOKUP(Tabelle9[[#This Row],[Rank]],Stammdaten[[Rank Verteilung Abholzigkeit]:[Verteilung Abholzigkeit]],2,FALSE)</f>
        <v>#N/A</v>
      </c>
      <c r="S1192">
        <v>1183</v>
      </c>
      <c r="T1192" t="e">
        <f>INDEX(Stammdaten[Krümmung (mm/lfm)],MATCH(Tabelle10[[#This Row],[Rank]],Stammdaten[Rank Verteilung Krümmung],0))</f>
        <v>#N/A</v>
      </c>
      <c r="U1192" t="e">
        <f>VLOOKUP(Tabelle10[[#This Row],[Rank]],Stammdaten[[Rank Verteilung Krümmung]:[Verteilung Krümmung]],2,FALSE)</f>
        <v>#N/A</v>
      </c>
      <c r="Z1192">
        <v>1183</v>
      </c>
      <c r="AA1192" t="e">
        <f>INDEX(Stammdaten[Ovalität (']0,1'])],MATCH(Tabelle1014[[#This Row],[Rank]],Stammdaten[Rank Verteilung Ovalität],0))</f>
        <v>#N/A</v>
      </c>
      <c r="AB1192" t="e">
        <f>VLOOKUP(Tabelle1014[[#This Row],[Rank]],Stammdaten[[Rank Verteilung Ovalität]:[Verteilung Ovalität]],2,FALSE)</f>
        <v>#N/A</v>
      </c>
    </row>
    <row r="1193" spans="5:28" x14ac:dyDescent="0.35">
      <c r="E1193">
        <v>1184</v>
      </c>
      <c r="F1193" t="e">
        <f>INDEX(Stammdaten[D Mitte mit Rinde (mm)],MATCH(Tabelle8[[#This Row],[Rank]],Stammdaten[Rank Verteilung D Mitte mit Rinde],0))</f>
        <v>#N/A</v>
      </c>
      <c r="G1193" t="e">
        <f>VLOOKUP(Tabelle8[[#This Row],[Rank]],Stammdaten[[Rank Verteilung D Mitte mit Rinde]:[Verteilung D Mitte mit Rinde]],2,FALSE)</f>
        <v>#N/A</v>
      </c>
      <c r="L1193">
        <v>1184</v>
      </c>
      <c r="M1193" t="e">
        <f>INDEX(Stammdaten[Abholzigkeit (mm/lfm)],MATCH(Tabelle9[[#This Row],[Rank]],Stammdaten[Rank Verteilung Abholzigkeit],0))</f>
        <v>#N/A</v>
      </c>
      <c r="N1193" t="e">
        <f>VLOOKUP(Tabelle9[[#This Row],[Rank]],Stammdaten[[Rank Verteilung Abholzigkeit]:[Verteilung Abholzigkeit]],2,FALSE)</f>
        <v>#N/A</v>
      </c>
      <c r="S1193">
        <v>1184</v>
      </c>
      <c r="T1193" t="e">
        <f>INDEX(Stammdaten[Krümmung (mm/lfm)],MATCH(Tabelle10[[#This Row],[Rank]],Stammdaten[Rank Verteilung Krümmung],0))</f>
        <v>#N/A</v>
      </c>
      <c r="U1193" t="e">
        <f>VLOOKUP(Tabelle10[[#This Row],[Rank]],Stammdaten[[Rank Verteilung Krümmung]:[Verteilung Krümmung]],2,FALSE)</f>
        <v>#N/A</v>
      </c>
      <c r="Z1193">
        <v>1184</v>
      </c>
      <c r="AA1193" t="e">
        <f>INDEX(Stammdaten[Ovalität (']0,1'])],MATCH(Tabelle1014[[#This Row],[Rank]],Stammdaten[Rank Verteilung Ovalität],0))</f>
        <v>#N/A</v>
      </c>
      <c r="AB1193" t="e">
        <f>VLOOKUP(Tabelle1014[[#This Row],[Rank]],Stammdaten[[Rank Verteilung Ovalität]:[Verteilung Ovalität]],2,FALSE)</f>
        <v>#N/A</v>
      </c>
    </row>
    <row r="1194" spans="5:28" x14ac:dyDescent="0.35">
      <c r="E1194">
        <v>1185</v>
      </c>
      <c r="F1194" t="e">
        <f>INDEX(Stammdaten[D Mitte mit Rinde (mm)],MATCH(Tabelle8[[#This Row],[Rank]],Stammdaten[Rank Verteilung D Mitte mit Rinde],0))</f>
        <v>#N/A</v>
      </c>
      <c r="G1194" t="e">
        <f>VLOOKUP(Tabelle8[[#This Row],[Rank]],Stammdaten[[Rank Verteilung D Mitte mit Rinde]:[Verteilung D Mitte mit Rinde]],2,FALSE)</f>
        <v>#N/A</v>
      </c>
      <c r="L1194">
        <v>1185</v>
      </c>
      <c r="M1194" t="e">
        <f>INDEX(Stammdaten[Abholzigkeit (mm/lfm)],MATCH(Tabelle9[[#This Row],[Rank]],Stammdaten[Rank Verteilung Abholzigkeit],0))</f>
        <v>#N/A</v>
      </c>
      <c r="N1194" t="e">
        <f>VLOOKUP(Tabelle9[[#This Row],[Rank]],Stammdaten[[Rank Verteilung Abholzigkeit]:[Verteilung Abholzigkeit]],2,FALSE)</f>
        <v>#N/A</v>
      </c>
      <c r="S1194">
        <v>1185</v>
      </c>
      <c r="T1194" t="e">
        <f>INDEX(Stammdaten[Krümmung (mm/lfm)],MATCH(Tabelle10[[#This Row],[Rank]],Stammdaten[Rank Verteilung Krümmung],0))</f>
        <v>#N/A</v>
      </c>
      <c r="U1194" t="e">
        <f>VLOOKUP(Tabelle10[[#This Row],[Rank]],Stammdaten[[Rank Verteilung Krümmung]:[Verteilung Krümmung]],2,FALSE)</f>
        <v>#N/A</v>
      </c>
      <c r="Z1194">
        <v>1185</v>
      </c>
      <c r="AA1194" t="e">
        <f>INDEX(Stammdaten[Ovalität (']0,1'])],MATCH(Tabelle1014[[#This Row],[Rank]],Stammdaten[Rank Verteilung Ovalität],0))</f>
        <v>#N/A</v>
      </c>
      <c r="AB1194" t="e">
        <f>VLOOKUP(Tabelle1014[[#This Row],[Rank]],Stammdaten[[Rank Verteilung Ovalität]:[Verteilung Ovalität]],2,FALSE)</f>
        <v>#N/A</v>
      </c>
    </row>
    <row r="1195" spans="5:28" x14ac:dyDescent="0.35">
      <c r="E1195">
        <v>1186</v>
      </c>
      <c r="F1195" t="e">
        <f>INDEX(Stammdaten[D Mitte mit Rinde (mm)],MATCH(Tabelle8[[#This Row],[Rank]],Stammdaten[Rank Verteilung D Mitte mit Rinde],0))</f>
        <v>#N/A</v>
      </c>
      <c r="G1195" t="e">
        <f>VLOOKUP(Tabelle8[[#This Row],[Rank]],Stammdaten[[Rank Verteilung D Mitte mit Rinde]:[Verteilung D Mitte mit Rinde]],2,FALSE)</f>
        <v>#N/A</v>
      </c>
      <c r="L1195">
        <v>1186</v>
      </c>
      <c r="M1195" t="e">
        <f>INDEX(Stammdaten[Abholzigkeit (mm/lfm)],MATCH(Tabelle9[[#This Row],[Rank]],Stammdaten[Rank Verteilung Abholzigkeit],0))</f>
        <v>#N/A</v>
      </c>
      <c r="N1195" t="e">
        <f>VLOOKUP(Tabelle9[[#This Row],[Rank]],Stammdaten[[Rank Verteilung Abholzigkeit]:[Verteilung Abholzigkeit]],2,FALSE)</f>
        <v>#N/A</v>
      </c>
      <c r="S1195">
        <v>1186</v>
      </c>
      <c r="T1195" t="e">
        <f>INDEX(Stammdaten[Krümmung (mm/lfm)],MATCH(Tabelle10[[#This Row],[Rank]],Stammdaten[Rank Verteilung Krümmung],0))</f>
        <v>#N/A</v>
      </c>
      <c r="U1195" t="e">
        <f>VLOOKUP(Tabelle10[[#This Row],[Rank]],Stammdaten[[Rank Verteilung Krümmung]:[Verteilung Krümmung]],2,FALSE)</f>
        <v>#N/A</v>
      </c>
      <c r="Z1195">
        <v>1186</v>
      </c>
      <c r="AA1195" t="e">
        <f>INDEX(Stammdaten[Ovalität (']0,1'])],MATCH(Tabelle1014[[#This Row],[Rank]],Stammdaten[Rank Verteilung Ovalität],0))</f>
        <v>#N/A</v>
      </c>
      <c r="AB1195" t="e">
        <f>VLOOKUP(Tabelle1014[[#This Row],[Rank]],Stammdaten[[Rank Verteilung Ovalität]:[Verteilung Ovalität]],2,FALSE)</f>
        <v>#N/A</v>
      </c>
    </row>
    <row r="1196" spans="5:28" x14ac:dyDescent="0.35">
      <c r="E1196">
        <v>1187</v>
      </c>
      <c r="F1196" t="e">
        <f>INDEX(Stammdaten[D Mitte mit Rinde (mm)],MATCH(Tabelle8[[#This Row],[Rank]],Stammdaten[Rank Verteilung D Mitte mit Rinde],0))</f>
        <v>#N/A</v>
      </c>
      <c r="G1196" t="e">
        <f>VLOOKUP(Tabelle8[[#This Row],[Rank]],Stammdaten[[Rank Verteilung D Mitte mit Rinde]:[Verteilung D Mitte mit Rinde]],2,FALSE)</f>
        <v>#N/A</v>
      </c>
      <c r="L1196">
        <v>1187</v>
      </c>
      <c r="M1196" t="e">
        <f>INDEX(Stammdaten[Abholzigkeit (mm/lfm)],MATCH(Tabelle9[[#This Row],[Rank]],Stammdaten[Rank Verteilung Abholzigkeit],0))</f>
        <v>#N/A</v>
      </c>
      <c r="N1196" t="e">
        <f>VLOOKUP(Tabelle9[[#This Row],[Rank]],Stammdaten[[Rank Verteilung Abholzigkeit]:[Verteilung Abholzigkeit]],2,FALSE)</f>
        <v>#N/A</v>
      </c>
      <c r="S1196">
        <v>1187</v>
      </c>
      <c r="T1196" t="e">
        <f>INDEX(Stammdaten[Krümmung (mm/lfm)],MATCH(Tabelle10[[#This Row],[Rank]],Stammdaten[Rank Verteilung Krümmung],0))</f>
        <v>#N/A</v>
      </c>
      <c r="U1196" t="e">
        <f>VLOOKUP(Tabelle10[[#This Row],[Rank]],Stammdaten[[Rank Verteilung Krümmung]:[Verteilung Krümmung]],2,FALSE)</f>
        <v>#N/A</v>
      </c>
      <c r="Z1196">
        <v>1187</v>
      </c>
      <c r="AA1196" t="e">
        <f>INDEX(Stammdaten[Ovalität (']0,1'])],MATCH(Tabelle1014[[#This Row],[Rank]],Stammdaten[Rank Verteilung Ovalität],0))</f>
        <v>#N/A</v>
      </c>
      <c r="AB1196" t="e">
        <f>VLOOKUP(Tabelle1014[[#This Row],[Rank]],Stammdaten[[Rank Verteilung Ovalität]:[Verteilung Ovalität]],2,FALSE)</f>
        <v>#N/A</v>
      </c>
    </row>
    <row r="1197" spans="5:28" x14ac:dyDescent="0.35">
      <c r="E1197">
        <v>1188</v>
      </c>
      <c r="F1197" t="e">
        <f>INDEX(Stammdaten[D Mitte mit Rinde (mm)],MATCH(Tabelle8[[#This Row],[Rank]],Stammdaten[Rank Verteilung D Mitte mit Rinde],0))</f>
        <v>#N/A</v>
      </c>
      <c r="G1197" t="e">
        <f>VLOOKUP(Tabelle8[[#This Row],[Rank]],Stammdaten[[Rank Verteilung D Mitte mit Rinde]:[Verteilung D Mitte mit Rinde]],2,FALSE)</f>
        <v>#N/A</v>
      </c>
      <c r="L1197">
        <v>1188</v>
      </c>
      <c r="M1197" t="e">
        <f>INDEX(Stammdaten[Abholzigkeit (mm/lfm)],MATCH(Tabelle9[[#This Row],[Rank]],Stammdaten[Rank Verteilung Abholzigkeit],0))</f>
        <v>#N/A</v>
      </c>
      <c r="N1197" t="e">
        <f>VLOOKUP(Tabelle9[[#This Row],[Rank]],Stammdaten[[Rank Verteilung Abholzigkeit]:[Verteilung Abholzigkeit]],2,FALSE)</f>
        <v>#N/A</v>
      </c>
      <c r="S1197">
        <v>1188</v>
      </c>
      <c r="T1197" t="e">
        <f>INDEX(Stammdaten[Krümmung (mm/lfm)],MATCH(Tabelle10[[#This Row],[Rank]],Stammdaten[Rank Verteilung Krümmung],0))</f>
        <v>#N/A</v>
      </c>
      <c r="U1197" t="e">
        <f>VLOOKUP(Tabelle10[[#This Row],[Rank]],Stammdaten[[Rank Verteilung Krümmung]:[Verteilung Krümmung]],2,FALSE)</f>
        <v>#N/A</v>
      </c>
      <c r="Z1197">
        <v>1188</v>
      </c>
      <c r="AA1197" t="e">
        <f>INDEX(Stammdaten[Ovalität (']0,1'])],MATCH(Tabelle1014[[#This Row],[Rank]],Stammdaten[Rank Verteilung Ovalität],0))</f>
        <v>#N/A</v>
      </c>
      <c r="AB1197" t="e">
        <f>VLOOKUP(Tabelle1014[[#This Row],[Rank]],Stammdaten[[Rank Verteilung Ovalität]:[Verteilung Ovalität]],2,FALSE)</f>
        <v>#N/A</v>
      </c>
    </row>
    <row r="1198" spans="5:28" x14ac:dyDescent="0.35">
      <c r="E1198">
        <v>1189</v>
      </c>
      <c r="F1198" t="e">
        <f>INDEX(Stammdaten[D Mitte mit Rinde (mm)],MATCH(Tabelle8[[#This Row],[Rank]],Stammdaten[Rank Verteilung D Mitte mit Rinde],0))</f>
        <v>#N/A</v>
      </c>
      <c r="G1198" t="e">
        <f>VLOOKUP(Tabelle8[[#This Row],[Rank]],Stammdaten[[Rank Verteilung D Mitte mit Rinde]:[Verteilung D Mitte mit Rinde]],2,FALSE)</f>
        <v>#N/A</v>
      </c>
      <c r="L1198">
        <v>1189</v>
      </c>
      <c r="M1198" t="e">
        <f>INDEX(Stammdaten[Abholzigkeit (mm/lfm)],MATCH(Tabelle9[[#This Row],[Rank]],Stammdaten[Rank Verteilung Abholzigkeit],0))</f>
        <v>#N/A</v>
      </c>
      <c r="N1198" t="e">
        <f>VLOOKUP(Tabelle9[[#This Row],[Rank]],Stammdaten[[Rank Verteilung Abholzigkeit]:[Verteilung Abholzigkeit]],2,FALSE)</f>
        <v>#N/A</v>
      </c>
      <c r="S1198">
        <v>1189</v>
      </c>
      <c r="T1198" t="e">
        <f>INDEX(Stammdaten[Krümmung (mm/lfm)],MATCH(Tabelle10[[#This Row],[Rank]],Stammdaten[Rank Verteilung Krümmung],0))</f>
        <v>#N/A</v>
      </c>
      <c r="U1198" t="e">
        <f>VLOOKUP(Tabelle10[[#This Row],[Rank]],Stammdaten[[Rank Verteilung Krümmung]:[Verteilung Krümmung]],2,FALSE)</f>
        <v>#N/A</v>
      </c>
      <c r="Z1198">
        <v>1189</v>
      </c>
      <c r="AA1198" t="e">
        <f>INDEX(Stammdaten[Ovalität (']0,1'])],MATCH(Tabelle1014[[#This Row],[Rank]],Stammdaten[Rank Verteilung Ovalität],0))</f>
        <v>#N/A</v>
      </c>
      <c r="AB1198" t="e">
        <f>VLOOKUP(Tabelle1014[[#This Row],[Rank]],Stammdaten[[Rank Verteilung Ovalität]:[Verteilung Ovalität]],2,FALSE)</f>
        <v>#N/A</v>
      </c>
    </row>
    <row r="1199" spans="5:28" x14ac:dyDescent="0.35">
      <c r="E1199">
        <v>1190</v>
      </c>
      <c r="F1199" t="e">
        <f>INDEX(Stammdaten[D Mitte mit Rinde (mm)],MATCH(Tabelle8[[#This Row],[Rank]],Stammdaten[Rank Verteilung D Mitte mit Rinde],0))</f>
        <v>#N/A</v>
      </c>
      <c r="G1199" t="e">
        <f>VLOOKUP(Tabelle8[[#This Row],[Rank]],Stammdaten[[Rank Verteilung D Mitte mit Rinde]:[Verteilung D Mitte mit Rinde]],2,FALSE)</f>
        <v>#N/A</v>
      </c>
      <c r="L1199">
        <v>1190</v>
      </c>
      <c r="M1199" t="e">
        <f>INDEX(Stammdaten[Abholzigkeit (mm/lfm)],MATCH(Tabelle9[[#This Row],[Rank]],Stammdaten[Rank Verteilung Abholzigkeit],0))</f>
        <v>#N/A</v>
      </c>
      <c r="N1199" t="e">
        <f>VLOOKUP(Tabelle9[[#This Row],[Rank]],Stammdaten[[Rank Verteilung Abholzigkeit]:[Verteilung Abholzigkeit]],2,FALSE)</f>
        <v>#N/A</v>
      </c>
      <c r="S1199">
        <v>1190</v>
      </c>
      <c r="T1199" t="e">
        <f>INDEX(Stammdaten[Krümmung (mm/lfm)],MATCH(Tabelle10[[#This Row],[Rank]],Stammdaten[Rank Verteilung Krümmung],0))</f>
        <v>#N/A</v>
      </c>
      <c r="U1199" t="e">
        <f>VLOOKUP(Tabelle10[[#This Row],[Rank]],Stammdaten[[Rank Verteilung Krümmung]:[Verteilung Krümmung]],2,FALSE)</f>
        <v>#N/A</v>
      </c>
      <c r="Z1199">
        <v>1190</v>
      </c>
      <c r="AA1199" t="e">
        <f>INDEX(Stammdaten[Ovalität (']0,1'])],MATCH(Tabelle1014[[#This Row],[Rank]],Stammdaten[Rank Verteilung Ovalität],0))</f>
        <v>#N/A</v>
      </c>
      <c r="AB1199" t="e">
        <f>VLOOKUP(Tabelle1014[[#This Row],[Rank]],Stammdaten[[Rank Verteilung Ovalität]:[Verteilung Ovalität]],2,FALSE)</f>
        <v>#N/A</v>
      </c>
    </row>
    <row r="1200" spans="5:28" x14ac:dyDescent="0.35">
      <c r="E1200">
        <v>1191</v>
      </c>
      <c r="F1200" t="e">
        <f>INDEX(Stammdaten[D Mitte mit Rinde (mm)],MATCH(Tabelle8[[#This Row],[Rank]],Stammdaten[Rank Verteilung D Mitte mit Rinde],0))</f>
        <v>#N/A</v>
      </c>
      <c r="G1200" t="e">
        <f>VLOOKUP(Tabelle8[[#This Row],[Rank]],Stammdaten[[Rank Verteilung D Mitte mit Rinde]:[Verteilung D Mitte mit Rinde]],2,FALSE)</f>
        <v>#N/A</v>
      </c>
      <c r="L1200">
        <v>1191</v>
      </c>
      <c r="M1200" t="e">
        <f>INDEX(Stammdaten[Abholzigkeit (mm/lfm)],MATCH(Tabelle9[[#This Row],[Rank]],Stammdaten[Rank Verteilung Abholzigkeit],0))</f>
        <v>#N/A</v>
      </c>
      <c r="N1200" t="e">
        <f>VLOOKUP(Tabelle9[[#This Row],[Rank]],Stammdaten[[Rank Verteilung Abholzigkeit]:[Verteilung Abholzigkeit]],2,FALSE)</f>
        <v>#N/A</v>
      </c>
      <c r="S1200">
        <v>1191</v>
      </c>
      <c r="T1200" t="e">
        <f>INDEX(Stammdaten[Krümmung (mm/lfm)],MATCH(Tabelle10[[#This Row],[Rank]],Stammdaten[Rank Verteilung Krümmung],0))</f>
        <v>#N/A</v>
      </c>
      <c r="U1200" t="e">
        <f>VLOOKUP(Tabelle10[[#This Row],[Rank]],Stammdaten[[Rank Verteilung Krümmung]:[Verteilung Krümmung]],2,FALSE)</f>
        <v>#N/A</v>
      </c>
      <c r="Z1200">
        <v>1191</v>
      </c>
      <c r="AA1200" t="e">
        <f>INDEX(Stammdaten[Ovalität (']0,1'])],MATCH(Tabelle1014[[#This Row],[Rank]],Stammdaten[Rank Verteilung Ovalität],0))</f>
        <v>#N/A</v>
      </c>
      <c r="AB1200" t="e">
        <f>VLOOKUP(Tabelle1014[[#This Row],[Rank]],Stammdaten[[Rank Verteilung Ovalität]:[Verteilung Ovalität]],2,FALSE)</f>
        <v>#N/A</v>
      </c>
    </row>
    <row r="1201" spans="5:28" x14ac:dyDescent="0.35">
      <c r="E1201">
        <v>1192</v>
      </c>
      <c r="F1201" t="e">
        <f>INDEX(Stammdaten[D Mitte mit Rinde (mm)],MATCH(Tabelle8[[#This Row],[Rank]],Stammdaten[Rank Verteilung D Mitte mit Rinde],0))</f>
        <v>#N/A</v>
      </c>
      <c r="G1201" t="e">
        <f>VLOOKUP(Tabelle8[[#This Row],[Rank]],Stammdaten[[Rank Verteilung D Mitte mit Rinde]:[Verteilung D Mitte mit Rinde]],2,FALSE)</f>
        <v>#N/A</v>
      </c>
      <c r="L1201">
        <v>1192</v>
      </c>
      <c r="M1201" t="e">
        <f>INDEX(Stammdaten[Abholzigkeit (mm/lfm)],MATCH(Tabelle9[[#This Row],[Rank]],Stammdaten[Rank Verteilung Abholzigkeit],0))</f>
        <v>#N/A</v>
      </c>
      <c r="N1201" t="e">
        <f>VLOOKUP(Tabelle9[[#This Row],[Rank]],Stammdaten[[Rank Verteilung Abholzigkeit]:[Verteilung Abholzigkeit]],2,FALSE)</f>
        <v>#N/A</v>
      </c>
      <c r="S1201">
        <v>1192</v>
      </c>
      <c r="T1201" t="e">
        <f>INDEX(Stammdaten[Krümmung (mm/lfm)],MATCH(Tabelle10[[#This Row],[Rank]],Stammdaten[Rank Verteilung Krümmung],0))</f>
        <v>#N/A</v>
      </c>
      <c r="U1201" t="e">
        <f>VLOOKUP(Tabelle10[[#This Row],[Rank]],Stammdaten[[Rank Verteilung Krümmung]:[Verteilung Krümmung]],2,FALSE)</f>
        <v>#N/A</v>
      </c>
      <c r="Z1201">
        <v>1192</v>
      </c>
      <c r="AA1201" t="e">
        <f>INDEX(Stammdaten[Ovalität (']0,1'])],MATCH(Tabelle1014[[#This Row],[Rank]],Stammdaten[Rank Verteilung Ovalität],0))</f>
        <v>#N/A</v>
      </c>
      <c r="AB1201" t="e">
        <f>VLOOKUP(Tabelle1014[[#This Row],[Rank]],Stammdaten[[Rank Verteilung Ovalität]:[Verteilung Ovalität]],2,FALSE)</f>
        <v>#N/A</v>
      </c>
    </row>
    <row r="1202" spans="5:28" x14ac:dyDescent="0.35">
      <c r="E1202">
        <v>1193</v>
      </c>
      <c r="F1202" t="e">
        <f>INDEX(Stammdaten[D Mitte mit Rinde (mm)],MATCH(Tabelle8[[#This Row],[Rank]],Stammdaten[Rank Verteilung D Mitte mit Rinde],0))</f>
        <v>#N/A</v>
      </c>
      <c r="G1202" t="e">
        <f>VLOOKUP(Tabelle8[[#This Row],[Rank]],Stammdaten[[Rank Verteilung D Mitte mit Rinde]:[Verteilung D Mitte mit Rinde]],2,FALSE)</f>
        <v>#N/A</v>
      </c>
      <c r="L1202">
        <v>1193</v>
      </c>
      <c r="M1202" t="e">
        <f>INDEX(Stammdaten[Abholzigkeit (mm/lfm)],MATCH(Tabelle9[[#This Row],[Rank]],Stammdaten[Rank Verteilung Abholzigkeit],0))</f>
        <v>#N/A</v>
      </c>
      <c r="N1202" t="e">
        <f>VLOOKUP(Tabelle9[[#This Row],[Rank]],Stammdaten[[Rank Verteilung Abholzigkeit]:[Verteilung Abholzigkeit]],2,FALSE)</f>
        <v>#N/A</v>
      </c>
      <c r="S1202">
        <v>1193</v>
      </c>
      <c r="T1202" t="e">
        <f>INDEX(Stammdaten[Krümmung (mm/lfm)],MATCH(Tabelle10[[#This Row],[Rank]],Stammdaten[Rank Verteilung Krümmung],0))</f>
        <v>#N/A</v>
      </c>
      <c r="U1202" t="e">
        <f>VLOOKUP(Tabelle10[[#This Row],[Rank]],Stammdaten[[Rank Verteilung Krümmung]:[Verteilung Krümmung]],2,FALSE)</f>
        <v>#N/A</v>
      </c>
      <c r="Z1202">
        <v>1193</v>
      </c>
      <c r="AA1202" t="e">
        <f>INDEX(Stammdaten[Ovalität (']0,1'])],MATCH(Tabelle1014[[#This Row],[Rank]],Stammdaten[Rank Verteilung Ovalität],0))</f>
        <v>#N/A</v>
      </c>
      <c r="AB1202" t="e">
        <f>VLOOKUP(Tabelle1014[[#This Row],[Rank]],Stammdaten[[Rank Verteilung Ovalität]:[Verteilung Ovalität]],2,FALSE)</f>
        <v>#N/A</v>
      </c>
    </row>
    <row r="1203" spans="5:28" x14ac:dyDescent="0.35">
      <c r="E1203">
        <v>1194</v>
      </c>
      <c r="F1203" t="e">
        <f>INDEX(Stammdaten[D Mitte mit Rinde (mm)],MATCH(Tabelle8[[#This Row],[Rank]],Stammdaten[Rank Verteilung D Mitte mit Rinde],0))</f>
        <v>#N/A</v>
      </c>
      <c r="G1203" t="e">
        <f>VLOOKUP(Tabelle8[[#This Row],[Rank]],Stammdaten[[Rank Verteilung D Mitte mit Rinde]:[Verteilung D Mitte mit Rinde]],2,FALSE)</f>
        <v>#N/A</v>
      </c>
      <c r="L1203">
        <v>1194</v>
      </c>
      <c r="M1203" t="e">
        <f>INDEX(Stammdaten[Abholzigkeit (mm/lfm)],MATCH(Tabelle9[[#This Row],[Rank]],Stammdaten[Rank Verteilung Abholzigkeit],0))</f>
        <v>#N/A</v>
      </c>
      <c r="N1203" t="e">
        <f>VLOOKUP(Tabelle9[[#This Row],[Rank]],Stammdaten[[Rank Verteilung Abholzigkeit]:[Verteilung Abholzigkeit]],2,FALSE)</f>
        <v>#N/A</v>
      </c>
      <c r="S1203">
        <v>1194</v>
      </c>
      <c r="T1203" t="e">
        <f>INDEX(Stammdaten[Krümmung (mm/lfm)],MATCH(Tabelle10[[#This Row],[Rank]],Stammdaten[Rank Verteilung Krümmung],0))</f>
        <v>#N/A</v>
      </c>
      <c r="U1203" t="e">
        <f>VLOOKUP(Tabelle10[[#This Row],[Rank]],Stammdaten[[Rank Verteilung Krümmung]:[Verteilung Krümmung]],2,FALSE)</f>
        <v>#N/A</v>
      </c>
      <c r="Z1203">
        <v>1194</v>
      </c>
      <c r="AA1203" t="e">
        <f>INDEX(Stammdaten[Ovalität (']0,1'])],MATCH(Tabelle1014[[#This Row],[Rank]],Stammdaten[Rank Verteilung Ovalität],0))</f>
        <v>#N/A</v>
      </c>
      <c r="AB1203" t="e">
        <f>VLOOKUP(Tabelle1014[[#This Row],[Rank]],Stammdaten[[Rank Verteilung Ovalität]:[Verteilung Ovalität]],2,FALSE)</f>
        <v>#N/A</v>
      </c>
    </row>
    <row r="1204" spans="5:28" x14ac:dyDescent="0.35">
      <c r="E1204">
        <v>1195</v>
      </c>
      <c r="F1204" t="e">
        <f>INDEX(Stammdaten[D Mitte mit Rinde (mm)],MATCH(Tabelle8[[#This Row],[Rank]],Stammdaten[Rank Verteilung D Mitte mit Rinde],0))</f>
        <v>#N/A</v>
      </c>
      <c r="G1204" t="e">
        <f>VLOOKUP(Tabelle8[[#This Row],[Rank]],Stammdaten[[Rank Verteilung D Mitte mit Rinde]:[Verteilung D Mitte mit Rinde]],2,FALSE)</f>
        <v>#N/A</v>
      </c>
      <c r="L1204">
        <v>1195</v>
      </c>
      <c r="M1204" t="e">
        <f>INDEX(Stammdaten[Abholzigkeit (mm/lfm)],MATCH(Tabelle9[[#This Row],[Rank]],Stammdaten[Rank Verteilung Abholzigkeit],0))</f>
        <v>#N/A</v>
      </c>
      <c r="N1204" t="e">
        <f>VLOOKUP(Tabelle9[[#This Row],[Rank]],Stammdaten[[Rank Verteilung Abholzigkeit]:[Verteilung Abholzigkeit]],2,FALSE)</f>
        <v>#N/A</v>
      </c>
      <c r="S1204">
        <v>1195</v>
      </c>
      <c r="T1204" t="e">
        <f>INDEX(Stammdaten[Krümmung (mm/lfm)],MATCH(Tabelle10[[#This Row],[Rank]],Stammdaten[Rank Verteilung Krümmung],0))</f>
        <v>#N/A</v>
      </c>
      <c r="U1204" t="e">
        <f>VLOOKUP(Tabelle10[[#This Row],[Rank]],Stammdaten[[Rank Verteilung Krümmung]:[Verteilung Krümmung]],2,FALSE)</f>
        <v>#N/A</v>
      </c>
      <c r="Z1204">
        <v>1195</v>
      </c>
      <c r="AA1204" t="e">
        <f>INDEX(Stammdaten[Ovalität (']0,1'])],MATCH(Tabelle1014[[#This Row],[Rank]],Stammdaten[Rank Verteilung Ovalität],0))</f>
        <v>#N/A</v>
      </c>
      <c r="AB1204" t="e">
        <f>VLOOKUP(Tabelle1014[[#This Row],[Rank]],Stammdaten[[Rank Verteilung Ovalität]:[Verteilung Ovalität]],2,FALSE)</f>
        <v>#N/A</v>
      </c>
    </row>
    <row r="1205" spans="5:28" x14ac:dyDescent="0.35">
      <c r="E1205">
        <v>1196</v>
      </c>
      <c r="F1205" t="e">
        <f>INDEX(Stammdaten[D Mitte mit Rinde (mm)],MATCH(Tabelle8[[#This Row],[Rank]],Stammdaten[Rank Verteilung D Mitte mit Rinde],0))</f>
        <v>#N/A</v>
      </c>
      <c r="G1205" t="e">
        <f>VLOOKUP(Tabelle8[[#This Row],[Rank]],Stammdaten[[Rank Verteilung D Mitte mit Rinde]:[Verteilung D Mitte mit Rinde]],2,FALSE)</f>
        <v>#N/A</v>
      </c>
      <c r="L1205">
        <v>1196</v>
      </c>
      <c r="M1205" t="e">
        <f>INDEX(Stammdaten[Abholzigkeit (mm/lfm)],MATCH(Tabelle9[[#This Row],[Rank]],Stammdaten[Rank Verteilung Abholzigkeit],0))</f>
        <v>#N/A</v>
      </c>
      <c r="N1205" t="e">
        <f>VLOOKUP(Tabelle9[[#This Row],[Rank]],Stammdaten[[Rank Verteilung Abholzigkeit]:[Verteilung Abholzigkeit]],2,FALSE)</f>
        <v>#N/A</v>
      </c>
      <c r="S1205">
        <v>1196</v>
      </c>
      <c r="T1205" t="e">
        <f>INDEX(Stammdaten[Krümmung (mm/lfm)],MATCH(Tabelle10[[#This Row],[Rank]],Stammdaten[Rank Verteilung Krümmung],0))</f>
        <v>#N/A</v>
      </c>
      <c r="U1205" t="e">
        <f>VLOOKUP(Tabelle10[[#This Row],[Rank]],Stammdaten[[Rank Verteilung Krümmung]:[Verteilung Krümmung]],2,FALSE)</f>
        <v>#N/A</v>
      </c>
      <c r="Z1205">
        <v>1196</v>
      </c>
      <c r="AA1205" t="e">
        <f>INDEX(Stammdaten[Ovalität (']0,1'])],MATCH(Tabelle1014[[#This Row],[Rank]],Stammdaten[Rank Verteilung Ovalität],0))</f>
        <v>#N/A</v>
      </c>
      <c r="AB1205" t="e">
        <f>VLOOKUP(Tabelle1014[[#This Row],[Rank]],Stammdaten[[Rank Verteilung Ovalität]:[Verteilung Ovalität]],2,FALSE)</f>
        <v>#N/A</v>
      </c>
    </row>
    <row r="1206" spans="5:28" x14ac:dyDescent="0.35">
      <c r="E1206">
        <v>1197</v>
      </c>
      <c r="F1206" t="e">
        <f>INDEX(Stammdaten[D Mitte mit Rinde (mm)],MATCH(Tabelle8[[#This Row],[Rank]],Stammdaten[Rank Verteilung D Mitte mit Rinde],0))</f>
        <v>#N/A</v>
      </c>
      <c r="G1206" t="e">
        <f>VLOOKUP(Tabelle8[[#This Row],[Rank]],Stammdaten[[Rank Verteilung D Mitte mit Rinde]:[Verteilung D Mitte mit Rinde]],2,FALSE)</f>
        <v>#N/A</v>
      </c>
      <c r="L1206">
        <v>1197</v>
      </c>
      <c r="M1206" t="e">
        <f>INDEX(Stammdaten[Abholzigkeit (mm/lfm)],MATCH(Tabelle9[[#This Row],[Rank]],Stammdaten[Rank Verteilung Abholzigkeit],0))</f>
        <v>#N/A</v>
      </c>
      <c r="N1206" t="e">
        <f>VLOOKUP(Tabelle9[[#This Row],[Rank]],Stammdaten[[Rank Verteilung Abholzigkeit]:[Verteilung Abholzigkeit]],2,FALSE)</f>
        <v>#N/A</v>
      </c>
      <c r="S1206">
        <v>1197</v>
      </c>
      <c r="T1206" t="e">
        <f>INDEX(Stammdaten[Krümmung (mm/lfm)],MATCH(Tabelle10[[#This Row],[Rank]],Stammdaten[Rank Verteilung Krümmung],0))</f>
        <v>#N/A</v>
      </c>
      <c r="U1206" t="e">
        <f>VLOOKUP(Tabelle10[[#This Row],[Rank]],Stammdaten[[Rank Verteilung Krümmung]:[Verteilung Krümmung]],2,FALSE)</f>
        <v>#N/A</v>
      </c>
      <c r="Z1206">
        <v>1197</v>
      </c>
      <c r="AA1206" t="e">
        <f>INDEX(Stammdaten[Ovalität (']0,1'])],MATCH(Tabelle1014[[#This Row],[Rank]],Stammdaten[Rank Verteilung Ovalität],0))</f>
        <v>#N/A</v>
      </c>
      <c r="AB1206" t="e">
        <f>VLOOKUP(Tabelle1014[[#This Row],[Rank]],Stammdaten[[Rank Verteilung Ovalität]:[Verteilung Ovalität]],2,FALSE)</f>
        <v>#N/A</v>
      </c>
    </row>
    <row r="1207" spans="5:28" x14ac:dyDescent="0.35">
      <c r="E1207">
        <v>1198</v>
      </c>
      <c r="F1207" t="e">
        <f>INDEX(Stammdaten[D Mitte mit Rinde (mm)],MATCH(Tabelle8[[#This Row],[Rank]],Stammdaten[Rank Verteilung D Mitte mit Rinde],0))</f>
        <v>#N/A</v>
      </c>
      <c r="G1207" t="e">
        <f>VLOOKUP(Tabelle8[[#This Row],[Rank]],Stammdaten[[Rank Verteilung D Mitte mit Rinde]:[Verteilung D Mitte mit Rinde]],2,FALSE)</f>
        <v>#N/A</v>
      </c>
      <c r="L1207">
        <v>1198</v>
      </c>
      <c r="M1207" t="e">
        <f>INDEX(Stammdaten[Abholzigkeit (mm/lfm)],MATCH(Tabelle9[[#This Row],[Rank]],Stammdaten[Rank Verteilung Abholzigkeit],0))</f>
        <v>#N/A</v>
      </c>
      <c r="N1207" t="e">
        <f>VLOOKUP(Tabelle9[[#This Row],[Rank]],Stammdaten[[Rank Verteilung Abholzigkeit]:[Verteilung Abholzigkeit]],2,FALSE)</f>
        <v>#N/A</v>
      </c>
      <c r="S1207">
        <v>1198</v>
      </c>
      <c r="T1207" t="e">
        <f>INDEX(Stammdaten[Krümmung (mm/lfm)],MATCH(Tabelle10[[#This Row],[Rank]],Stammdaten[Rank Verteilung Krümmung],0))</f>
        <v>#N/A</v>
      </c>
      <c r="U1207" t="e">
        <f>VLOOKUP(Tabelle10[[#This Row],[Rank]],Stammdaten[[Rank Verteilung Krümmung]:[Verteilung Krümmung]],2,FALSE)</f>
        <v>#N/A</v>
      </c>
      <c r="Z1207">
        <v>1198</v>
      </c>
      <c r="AA1207" t="e">
        <f>INDEX(Stammdaten[Ovalität (']0,1'])],MATCH(Tabelle1014[[#This Row],[Rank]],Stammdaten[Rank Verteilung Ovalität],0))</f>
        <v>#N/A</v>
      </c>
      <c r="AB1207" t="e">
        <f>VLOOKUP(Tabelle1014[[#This Row],[Rank]],Stammdaten[[Rank Verteilung Ovalität]:[Verteilung Ovalität]],2,FALSE)</f>
        <v>#N/A</v>
      </c>
    </row>
    <row r="1208" spans="5:28" x14ac:dyDescent="0.35">
      <c r="E1208">
        <v>1199</v>
      </c>
      <c r="F1208" t="e">
        <f>INDEX(Stammdaten[D Mitte mit Rinde (mm)],MATCH(Tabelle8[[#This Row],[Rank]],Stammdaten[Rank Verteilung D Mitte mit Rinde],0))</f>
        <v>#N/A</v>
      </c>
      <c r="G1208" t="e">
        <f>VLOOKUP(Tabelle8[[#This Row],[Rank]],Stammdaten[[Rank Verteilung D Mitte mit Rinde]:[Verteilung D Mitte mit Rinde]],2,FALSE)</f>
        <v>#N/A</v>
      </c>
      <c r="L1208">
        <v>1199</v>
      </c>
      <c r="M1208" t="e">
        <f>INDEX(Stammdaten[Abholzigkeit (mm/lfm)],MATCH(Tabelle9[[#This Row],[Rank]],Stammdaten[Rank Verteilung Abholzigkeit],0))</f>
        <v>#N/A</v>
      </c>
      <c r="N1208" t="e">
        <f>VLOOKUP(Tabelle9[[#This Row],[Rank]],Stammdaten[[Rank Verteilung Abholzigkeit]:[Verteilung Abholzigkeit]],2,FALSE)</f>
        <v>#N/A</v>
      </c>
      <c r="S1208">
        <v>1199</v>
      </c>
      <c r="T1208" t="e">
        <f>INDEX(Stammdaten[Krümmung (mm/lfm)],MATCH(Tabelle10[[#This Row],[Rank]],Stammdaten[Rank Verteilung Krümmung],0))</f>
        <v>#N/A</v>
      </c>
      <c r="U1208" t="e">
        <f>VLOOKUP(Tabelle10[[#This Row],[Rank]],Stammdaten[[Rank Verteilung Krümmung]:[Verteilung Krümmung]],2,FALSE)</f>
        <v>#N/A</v>
      </c>
      <c r="Z1208">
        <v>1199</v>
      </c>
      <c r="AA1208" t="e">
        <f>INDEX(Stammdaten[Ovalität (']0,1'])],MATCH(Tabelle1014[[#This Row],[Rank]],Stammdaten[Rank Verteilung Ovalität],0))</f>
        <v>#N/A</v>
      </c>
      <c r="AB1208" t="e">
        <f>VLOOKUP(Tabelle1014[[#This Row],[Rank]],Stammdaten[[Rank Verteilung Ovalität]:[Verteilung Ovalität]],2,FALSE)</f>
        <v>#N/A</v>
      </c>
    </row>
    <row r="1209" spans="5:28" x14ac:dyDescent="0.35">
      <c r="E1209">
        <v>1200</v>
      </c>
      <c r="F1209" t="e">
        <f>INDEX(Stammdaten[D Mitte mit Rinde (mm)],MATCH(Tabelle8[[#This Row],[Rank]],Stammdaten[Rank Verteilung D Mitte mit Rinde],0))</f>
        <v>#N/A</v>
      </c>
      <c r="G1209" t="e">
        <f>VLOOKUP(Tabelle8[[#This Row],[Rank]],Stammdaten[[Rank Verteilung D Mitte mit Rinde]:[Verteilung D Mitte mit Rinde]],2,FALSE)</f>
        <v>#N/A</v>
      </c>
      <c r="L1209">
        <v>1200</v>
      </c>
      <c r="M1209" t="e">
        <f>INDEX(Stammdaten[Abholzigkeit (mm/lfm)],MATCH(Tabelle9[[#This Row],[Rank]],Stammdaten[Rank Verteilung Abholzigkeit],0))</f>
        <v>#N/A</v>
      </c>
      <c r="N1209" t="e">
        <f>VLOOKUP(Tabelle9[[#This Row],[Rank]],Stammdaten[[Rank Verteilung Abholzigkeit]:[Verteilung Abholzigkeit]],2,FALSE)</f>
        <v>#N/A</v>
      </c>
      <c r="S1209">
        <v>1200</v>
      </c>
      <c r="T1209" t="e">
        <f>INDEX(Stammdaten[Krümmung (mm/lfm)],MATCH(Tabelle10[[#This Row],[Rank]],Stammdaten[Rank Verteilung Krümmung],0))</f>
        <v>#N/A</v>
      </c>
      <c r="U1209" t="e">
        <f>VLOOKUP(Tabelle10[[#This Row],[Rank]],Stammdaten[[Rank Verteilung Krümmung]:[Verteilung Krümmung]],2,FALSE)</f>
        <v>#N/A</v>
      </c>
      <c r="Z1209">
        <v>1200</v>
      </c>
      <c r="AA1209" t="e">
        <f>INDEX(Stammdaten[Ovalität (']0,1'])],MATCH(Tabelle1014[[#This Row],[Rank]],Stammdaten[Rank Verteilung Ovalität],0))</f>
        <v>#N/A</v>
      </c>
      <c r="AB1209" t="e">
        <f>VLOOKUP(Tabelle1014[[#This Row],[Rank]],Stammdaten[[Rank Verteilung Ovalität]:[Verteilung Ovalität]],2,FALSE)</f>
        <v>#N/A</v>
      </c>
    </row>
    <row r="1210" spans="5:28" x14ac:dyDescent="0.35">
      <c r="E1210">
        <v>1201</v>
      </c>
      <c r="F1210" t="e">
        <f>INDEX(Stammdaten[D Mitte mit Rinde (mm)],MATCH(Tabelle8[[#This Row],[Rank]],Stammdaten[Rank Verteilung D Mitte mit Rinde],0))</f>
        <v>#N/A</v>
      </c>
      <c r="G1210" t="e">
        <f>VLOOKUP(Tabelle8[[#This Row],[Rank]],Stammdaten[[Rank Verteilung D Mitte mit Rinde]:[Verteilung D Mitte mit Rinde]],2,FALSE)</f>
        <v>#N/A</v>
      </c>
      <c r="L1210">
        <v>1201</v>
      </c>
      <c r="M1210" t="e">
        <f>INDEX(Stammdaten[Abholzigkeit (mm/lfm)],MATCH(Tabelle9[[#This Row],[Rank]],Stammdaten[Rank Verteilung Abholzigkeit],0))</f>
        <v>#N/A</v>
      </c>
      <c r="N1210" t="e">
        <f>VLOOKUP(Tabelle9[[#This Row],[Rank]],Stammdaten[[Rank Verteilung Abholzigkeit]:[Verteilung Abholzigkeit]],2,FALSE)</f>
        <v>#N/A</v>
      </c>
      <c r="S1210">
        <v>1201</v>
      </c>
      <c r="T1210" t="e">
        <f>INDEX(Stammdaten[Krümmung (mm/lfm)],MATCH(Tabelle10[[#This Row],[Rank]],Stammdaten[Rank Verteilung Krümmung],0))</f>
        <v>#N/A</v>
      </c>
      <c r="U1210" t="e">
        <f>VLOOKUP(Tabelle10[[#This Row],[Rank]],Stammdaten[[Rank Verteilung Krümmung]:[Verteilung Krümmung]],2,FALSE)</f>
        <v>#N/A</v>
      </c>
      <c r="Z1210">
        <v>1201</v>
      </c>
      <c r="AA1210" t="e">
        <f>INDEX(Stammdaten[Ovalität (']0,1'])],MATCH(Tabelle1014[[#This Row],[Rank]],Stammdaten[Rank Verteilung Ovalität],0))</f>
        <v>#N/A</v>
      </c>
      <c r="AB1210" t="e">
        <f>VLOOKUP(Tabelle1014[[#This Row],[Rank]],Stammdaten[[Rank Verteilung Ovalität]:[Verteilung Ovalität]],2,FALSE)</f>
        <v>#N/A</v>
      </c>
    </row>
    <row r="1211" spans="5:28" x14ac:dyDescent="0.35">
      <c r="E1211">
        <v>1202</v>
      </c>
      <c r="F1211" t="e">
        <f>INDEX(Stammdaten[D Mitte mit Rinde (mm)],MATCH(Tabelle8[[#This Row],[Rank]],Stammdaten[Rank Verteilung D Mitte mit Rinde],0))</f>
        <v>#N/A</v>
      </c>
      <c r="G1211" t="e">
        <f>VLOOKUP(Tabelle8[[#This Row],[Rank]],Stammdaten[[Rank Verteilung D Mitte mit Rinde]:[Verteilung D Mitte mit Rinde]],2,FALSE)</f>
        <v>#N/A</v>
      </c>
      <c r="L1211">
        <v>1202</v>
      </c>
      <c r="M1211" t="e">
        <f>INDEX(Stammdaten[Abholzigkeit (mm/lfm)],MATCH(Tabelle9[[#This Row],[Rank]],Stammdaten[Rank Verteilung Abholzigkeit],0))</f>
        <v>#N/A</v>
      </c>
      <c r="N1211" t="e">
        <f>VLOOKUP(Tabelle9[[#This Row],[Rank]],Stammdaten[[Rank Verteilung Abholzigkeit]:[Verteilung Abholzigkeit]],2,FALSE)</f>
        <v>#N/A</v>
      </c>
      <c r="S1211">
        <v>1202</v>
      </c>
      <c r="T1211" t="e">
        <f>INDEX(Stammdaten[Krümmung (mm/lfm)],MATCH(Tabelle10[[#This Row],[Rank]],Stammdaten[Rank Verteilung Krümmung],0))</f>
        <v>#N/A</v>
      </c>
      <c r="U1211" t="e">
        <f>VLOOKUP(Tabelle10[[#This Row],[Rank]],Stammdaten[[Rank Verteilung Krümmung]:[Verteilung Krümmung]],2,FALSE)</f>
        <v>#N/A</v>
      </c>
      <c r="Z1211">
        <v>1202</v>
      </c>
      <c r="AA1211" t="e">
        <f>INDEX(Stammdaten[Ovalität (']0,1'])],MATCH(Tabelle1014[[#This Row],[Rank]],Stammdaten[Rank Verteilung Ovalität],0))</f>
        <v>#N/A</v>
      </c>
      <c r="AB1211" t="e">
        <f>VLOOKUP(Tabelle1014[[#This Row],[Rank]],Stammdaten[[Rank Verteilung Ovalität]:[Verteilung Ovalität]],2,FALSE)</f>
        <v>#N/A</v>
      </c>
    </row>
    <row r="1212" spans="5:28" x14ac:dyDescent="0.35">
      <c r="E1212">
        <v>1203</v>
      </c>
      <c r="F1212" t="e">
        <f>INDEX(Stammdaten[D Mitte mit Rinde (mm)],MATCH(Tabelle8[[#This Row],[Rank]],Stammdaten[Rank Verteilung D Mitte mit Rinde],0))</f>
        <v>#N/A</v>
      </c>
      <c r="G1212" t="e">
        <f>VLOOKUP(Tabelle8[[#This Row],[Rank]],Stammdaten[[Rank Verteilung D Mitte mit Rinde]:[Verteilung D Mitte mit Rinde]],2,FALSE)</f>
        <v>#N/A</v>
      </c>
      <c r="L1212">
        <v>1203</v>
      </c>
      <c r="M1212" t="e">
        <f>INDEX(Stammdaten[Abholzigkeit (mm/lfm)],MATCH(Tabelle9[[#This Row],[Rank]],Stammdaten[Rank Verteilung Abholzigkeit],0))</f>
        <v>#N/A</v>
      </c>
      <c r="N1212" t="e">
        <f>VLOOKUP(Tabelle9[[#This Row],[Rank]],Stammdaten[[Rank Verteilung Abholzigkeit]:[Verteilung Abholzigkeit]],2,FALSE)</f>
        <v>#N/A</v>
      </c>
      <c r="S1212">
        <v>1203</v>
      </c>
      <c r="T1212" t="e">
        <f>INDEX(Stammdaten[Krümmung (mm/lfm)],MATCH(Tabelle10[[#This Row],[Rank]],Stammdaten[Rank Verteilung Krümmung],0))</f>
        <v>#N/A</v>
      </c>
      <c r="U1212" t="e">
        <f>VLOOKUP(Tabelle10[[#This Row],[Rank]],Stammdaten[[Rank Verteilung Krümmung]:[Verteilung Krümmung]],2,FALSE)</f>
        <v>#N/A</v>
      </c>
      <c r="Z1212">
        <v>1203</v>
      </c>
      <c r="AA1212" t="e">
        <f>INDEX(Stammdaten[Ovalität (']0,1'])],MATCH(Tabelle1014[[#This Row],[Rank]],Stammdaten[Rank Verteilung Ovalität],0))</f>
        <v>#N/A</v>
      </c>
      <c r="AB1212" t="e">
        <f>VLOOKUP(Tabelle1014[[#This Row],[Rank]],Stammdaten[[Rank Verteilung Ovalität]:[Verteilung Ovalität]],2,FALSE)</f>
        <v>#N/A</v>
      </c>
    </row>
    <row r="1213" spans="5:28" x14ac:dyDescent="0.35">
      <c r="E1213">
        <v>1204</v>
      </c>
      <c r="F1213" t="e">
        <f>INDEX(Stammdaten[D Mitte mit Rinde (mm)],MATCH(Tabelle8[[#This Row],[Rank]],Stammdaten[Rank Verteilung D Mitte mit Rinde],0))</f>
        <v>#N/A</v>
      </c>
      <c r="G1213" t="e">
        <f>VLOOKUP(Tabelle8[[#This Row],[Rank]],Stammdaten[[Rank Verteilung D Mitte mit Rinde]:[Verteilung D Mitte mit Rinde]],2,FALSE)</f>
        <v>#N/A</v>
      </c>
      <c r="L1213">
        <v>1204</v>
      </c>
      <c r="M1213" t="e">
        <f>INDEX(Stammdaten[Abholzigkeit (mm/lfm)],MATCH(Tabelle9[[#This Row],[Rank]],Stammdaten[Rank Verteilung Abholzigkeit],0))</f>
        <v>#N/A</v>
      </c>
      <c r="N1213" t="e">
        <f>VLOOKUP(Tabelle9[[#This Row],[Rank]],Stammdaten[[Rank Verteilung Abholzigkeit]:[Verteilung Abholzigkeit]],2,FALSE)</f>
        <v>#N/A</v>
      </c>
      <c r="S1213">
        <v>1204</v>
      </c>
      <c r="T1213" t="e">
        <f>INDEX(Stammdaten[Krümmung (mm/lfm)],MATCH(Tabelle10[[#This Row],[Rank]],Stammdaten[Rank Verteilung Krümmung],0))</f>
        <v>#N/A</v>
      </c>
      <c r="U1213" t="e">
        <f>VLOOKUP(Tabelle10[[#This Row],[Rank]],Stammdaten[[Rank Verteilung Krümmung]:[Verteilung Krümmung]],2,FALSE)</f>
        <v>#N/A</v>
      </c>
      <c r="Z1213">
        <v>1204</v>
      </c>
      <c r="AA1213" t="e">
        <f>INDEX(Stammdaten[Ovalität (']0,1'])],MATCH(Tabelle1014[[#This Row],[Rank]],Stammdaten[Rank Verteilung Ovalität],0))</f>
        <v>#N/A</v>
      </c>
      <c r="AB1213" t="e">
        <f>VLOOKUP(Tabelle1014[[#This Row],[Rank]],Stammdaten[[Rank Verteilung Ovalität]:[Verteilung Ovalität]],2,FALSE)</f>
        <v>#N/A</v>
      </c>
    </row>
    <row r="1214" spans="5:28" x14ac:dyDescent="0.35">
      <c r="E1214">
        <v>1205</v>
      </c>
      <c r="F1214" t="e">
        <f>INDEX(Stammdaten[D Mitte mit Rinde (mm)],MATCH(Tabelle8[[#This Row],[Rank]],Stammdaten[Rank Verteilung D Mitte mit Rinde],0))</f>
        <v>#N/A</v>
      </c>
      <c r="G1214" t="e">
        <f>VLOOKUP(Tabelle8[[#This Row],[Rank]],Stammdaten[[Rank Verteilung D Mitte mit Rinde]:[Verteilung D Mitte mit Rinde]],2,FALSE)</f>
        <v>#N/A</v>
      </c>
      <c r="L1214">
        <v>1205</v>
      </c>
      <c r="M1214" t="e">
        <f>INDEX(Stammdaten[Abholzigkeit (mm/lfm)],MATCH(Tabelle9[[#This Row],[Rank]],Stammdaten[Rank Verteilung Abholzigkeit],0))</f>
        <v>#N/A</v>
      </c>
      <c r="N1214" t="e">
        <f>VLOOKUP(Tabelle9[[#This Row],[Rank]],Stammdaten[[Rank Verteilung Abholzigkeit]:[Verteilung Abholzigkeit]],2,FALSE)</f>
        <v>#N/A</v>
      </c>
      <c r="S1214">
        <v>1205</v>
      </c>
      <c r="T1214" t="e">
        <f>INDEX(Stammdaten[Krümmung (mm/lfm)],MATCH(Tabelle10[[#This Row],[Rank]],Stammdaten[Rank Verteilung Krümmung],0))</f>
        <v>#N/A</v>
      </c>
      <c r="U1214" t="e">
        <f>VLOOKUP(Tabelle10[[#This Row],[Rank]],Stammdaten[[Rank Verteilung Krümmung]:[Verteilung Krümmung]],2,FALSE)</f>
        <v>#N/A</v>
      </c>
      <c r="Z1214">
        <v>1205</v>
      </c>
      <c r="AA1214" t="e">
        <f>INDEX(Stammdaten[Ovalität (']0,1'])],MATCH(Tabelle1014[[#This Row],[Rank]],Stammdaten[Rank Verteilung Ovalität],0))</f>
        <v>#N/A</v>
      </c>
      <c r="AB1214" t="e">
        <f>VLOOKUP(Tabelle1014[[#This Row],[Rank]],Stammdaten[[Rank Verteilung Ovalität]:[Verteilung Ovalität]],2,FALSE)</f>
        <v>#N/A</v>
      </c>
    </row>
    <row r="1215" spans="5:28" x14ac:dyDescent="0.35">
      <c r="E1215">
        <v>1206</v>
      </c>
      <c r="F1215" t="e">
        <f>INDEX(Stammdaten[D Mitte mit Rinde (mm)],MATCH(Tabelle8[[#This Row],[Rank]],Stammdaten[Rank Verteilung D Mitte mit Rinde],0))</f>
        <v>#N/A</v>
      </c>
      <c r="G1215" t="e">
        <f>VLOOKUP(Tabelle8[[#This Row],[Rank]],Stammdaten[[Rank Verteilung D Mitte mit Rinde]:[Verteilung D Mitte mit Rinde]],2,FALSE)</f>
        <v>#N/A</v>
      </c>
      <c r="L1215">
        <v>1206</v>
      </c>
      <c r="M1215" t="e">
        <f>INDEX(Stammdaten[Abholzigkeit (mm/lfm)],MATCH(Tabelle9[[#This Row],[Rank]],Stammdaten[Rank Verteilung Abholzigkeit],0))</f>
        <v>#N/A</v>
      </c>
      <c r="N1215" t="e">
        <f>VLOOKUP(Tabelle9[[#This Row],[Rank]],Stammdaten[[Rank Verteilung Abholzigkeit]:[Verteilung Abholzigkeit]],2,FALSE)</f>
        <v>#N/A</v>
      </c>
      <c r="S1215">
        <v>1206</v>
      </c>
      <c r="T1215" t="e">
        <f>INDEX(Stammdaten[Krümmung (mm/lfm)],MATCH(Tabelle10[[#This Row],[Rank]],Stammdaten[Rank Verteilung Krümmung],0))</f>
        <v>#N/A</v>
      </c>
      <c r="U1215" t="e">
        <f>VLOOKUP(Tabelle10[[#This Row],[Rank]],Stammdaten[[Rank Verteilung Krümmung]:[Verteilung Krümmung]],2,FALSE)</f>
        <v>#N/A</v>
      </c>
      <c r="Z1215">
        <v>1206</v>
      </c>
      <c r="AA1215" t="e">
        <f>INDEX(Stammdaten[Ovalität (']0,1'])],MATCH(Tabelle1014[[#This Row],[Rank]],Stammdaten[Rank Verteilung Ovalität],0))</f>
        <v>#N/A</v>
      </c>
      <c r="AB1215" t="e">
        <f>VLOOKUP(Tabelle1014[[#This Row],[Rank]],Stammdaten[[Rank Verteilung Ovalität]:[Verteilung Ovalität]],2,FALSE)</f>
        <v>#N/A</v>
      </c>
    </row>
    <row r="1216" spans="5:28" x14ac:dyDescent="0.35">
      <c r="E1216">
        <v>1207</v>
      </c>
      <c r="F1216" t="e">
        <f>INDEX(Stammdaten[D Mitte mit Rinde (mm)],MATCH(Tabelle8[[#This Row],[Rank]],Stammdaten[Rank Verteilung D Mitte mit Rinde],0))</f>
        <v>#N/A</v>
      </c>
      <c r="G1216" t="e">
        <f>VLOOKUP(Tabelle8[[#This Row],[Rank]],Stammdaten[[Rank Verteilung D Mitte mit Rinde]:[Verteilung D Mitte mit Rinde]],2,FALSE)</f>
        <v>#N/A</v>
      </c>
      <c r="L1216">
        <v>1207</v>
      </c>
      <c r="M1216" t="e">
        <f>INDEX(Stammdaten[Abholzigkeit (mm/lfm)],MATCH(Tabelle9[[#This Row],[Rank]],Stammdaten[Rank Verteilung Abholzigkeit],0))</f>
        <v>#N/A</v>
      </c>
      <c r="N1216" t="e">
        <f>VLOOKUP(Tabelle9[[#This Row],[Rank]],Stammdaten[[Rank Verteilung Abholzigkeit]:[Verteilung Abholzigkeit]],2,FALSE)</f>
        <v>#N/A</v>
      </c>
      <c r="S1216">
        <v>1207</v>
      </c>
      <c r="T1216" t="e">
        <f>INDEX(Stammdaten[Krümmung (mm/lfm)],MATCH(Tabelle10[[#This Row],[Rank]],Stammdaten[Rank Verteilung Krümmung],0))</f>
        <v>#N/A</v>
      </c>
      <c r="U1216" t="e">
        <f>VLOOKUP(Tabelle10[[#This Row],[Rank]],Stammdaten[[Rank Verteilung Krümmung]:[Verteilung Krümmung]],2,FALSE)</f>
        <v>#N/A</v>
      </c>
      <c r="Z1216">
        <v>1207</v>
      </c>
      <c r="AA1216" t="e">
        <f>INDEX(Stammdaten[Ovalität (']0,1'])],MATCH(Tabelle1014[[#This Row],[Rank]],Stammdaten[Rank Verteilung Ovalität],0))</f>
        <v>#N/A</v>
      </c>
      <c r="AB1216" t="e">
        <f>VLOOKUP(Tabelle1014[[#This Row],[Rank]],Stammdaten[[Rank Verteilung Ovalität]:[Verteilung Ovalität]],2,FALSE)</f>
        <v>#N/A</v>
      </c>
    </row>
    <row r="1217" spans="5:28" x14ac:dyDescent="0.35">
      <c r="E1217">
        <v>1208</v>
      </c>
      <c r="F1217" t="e">
        <f>INDEX(Stammdaten[D Mitte mit Rinde (mm)],MATCH(Tabelle8[[#This Row],[Rank]],Stammdaten[Rank Verteilung D Mitte mit Rinde],0))</f>
        <v>#N/A</v>
      </c>
      <c r="G1217" t="e">
        <f>VLOOKUP(Tabelle8[[#This Row],[Rank]],Stammdaten[[Rank Verteilung D Mitte mit Rinde]:[Verteilung D Mitte mit Rinde]],2,FALSE)</f>
        <v>#N/A</v>
      </c>
      <c r="L1217">
        <v>1208</v>
      </c>
      <c r="M1217" t="e">
        <f>INDEX(Stammdaten[Abholzigkeit (mm/lfm)],MATCH(Tabelle9[[#This Row],[Rank]],Stammdaten[Rank Verteilung Abholzigkeit],0))</f>
        <v>#N/A</v>
      </c>
      <c r="N1217" t="e">
        <f>VLOOKUP(Tabelle9[[#This Row],[Rank]],Stammdaten[[Rank Verteilung Abholzigkeit]:[Verteilung Abholzigkeit]],2,FALSE)</f>
        <v>#N/A</v>
      </c>
      <c r="S1217">
        <v>1208</v>
      </c>
      <c r="T1217" t="e">
        <f>INDEX(Stammdaten[Krümmung (mm/lfm)],MATCH(Tabelle10[[#This Row],[Rank]],Stammdaten[Rank Verteilung Krümmung],0))</f>
        <v>#N/A</v>
      </c>
      <c r="U1217" t="e">
        <f>VLOOKUP(Tabelle10[[#This Row],[Rank]],Stammdaten[[Rank Verteilung Krümmung]:[Verteilung Krümmung]],2,FALSE)</f>
        <v>#N/A</v>
      </c>
      <c r="Z1217">
        <v>1208</v>
      </c>
      <c r="AA1217" t="e">
        <f>INDEX(Stammdaten[Ovalität (']0,1'])],MATCH(Tabelle1014[[#This Row],[Rank]],Stammdaten[Rank Verteilung Ovalität],0))</f>
        <v>#N/A</v>
      </c>
      <c r="AB1217" t="e">
        <f>VLOOKUP(Tabelle1014[[#This Row],[Rank]],Stammdaten[[Rank Verteilung Ovalität]:[Verteilung Ovalität]],2,FALSE)</f>
        <v>#N/A</v>
      </c>
    </row>
    <row r="1218" spans="5:28" x14ac:dyDescent="0.35">
      <c r="E1218">
        <v>1209</v>
      </c>
      <c r="F1218" t="e">
        <f>INDEX(Stammdaten[D Mitte mit Rinde (mm)],MATCH(Tabelle8[[#This Row],[Rank]],Stammdaten[Rank Verteilung D Mitte mit Rinde],0))</f>
        <v>#N/A</v>
      </c>
      <c r="G1218" t="e">
        <f>VLOOKUP(Tabelle8[[#This Row],[Rank]],Stammdaten[[Rank Verteilung D Mitte mit Rinde]:[Verteilung D Mitte mit Rinde]],2,FALSE)</f>
        <v>#N/A</v>
      </c>
      <c r="L1218">
        <v>1209</v>
      </c>
      <c r="M1218" t="e">
        <f>INDEX(Stammdaten[Abholzigkeit (mm/lfm)],MATCH(Tabelle9[[#This Row],[Rank]],Stammdaten[Rank Verteilung Abholzigkeit],0))</f>
        <v>#N/A</v>
      </c>
      <c r="N1218" t="e">
        <f>VLOOKUP(Tabelle9[[#This Row],[Rank]],Stammdaten[[Rank Verteilung Abholzigkeit]:[Verteilung Abholzigkeit]],2,FALSE)</f>
        <v>#N/A</v>
      </c>
      <c r="S1218">
        <v>1209</v>
      </c>
      <c r="T1218" t="e">
        <f>INDEX(Stammdaten[Krümmung (mm/lfm)],MATCH(Tabelle10[[#This Row],[Rank]],Stammdaten[Rank Verteilung Krümmung],0))</f>
        <v>#N/A</v>
      </c>
      <c r="U1218" t="e">
        <f>VLOOKUP(Tabelle10[[#This Row],[Rank]],Stammdaten[[Rank Verteilung Krümmung]:[Verteilung Krümmung]],2,FALSE)</f>
        <v>#N/A</v>
      </c>
      <c r="Z1218">
        <v>1209</v>
      </c>
      <c r="AA1218" t="e">
        <f>INDEX(Stammdaten[Ovalität (']0,1'])],MATCH(Tabelle1014[[#This Row],[Rank]],Stammdaten[Rank Verteilung Ovalität],0))</f>
        <v>#N/A</v>
      </c>
      <c r="AB1218" t="e">
        <f>VLOOKUP(Tabelle1014[[#This Row],[Rank]],Stammdaten[[Rank Verteilung Ovalität]:[Verteilung Ovalität]],2,FALSE)</f>
        <v>#N/A</v>
      </c>
    </row>
    <row r="1219" spans="5:28" x14ac:dyDescent="0.35">
      <c r="E1219">
        <v>1210</v>
      </c>
      <c r="F1219" t="e">
        <f>INDEX(Stammdaten[D Mitte mit Rinde (mm)],MATCH(Tabelle8[[#This Row],[Rank]],Stammdaten[Rank Verteilung D Mitte mit Rinde],0))</f>
        <v>#N/A</v>
      </c>
      <c r="G1219" t="e">
        <f>VLOOKUP(Tabelle8[[#This Row],[Rank]],Stammdaten[[Rank Verteilung D Mitte mit Rinde]:[Verteilung D Mitte mit Rinde]],2,FALSE)</f>
        <v>#N/A</v>
      </c>
      <c r="L1219">
        <v>1210</v>
      </c>
      <c r="M1219" t="e">
        <f>INDEX(Stammdaten[Abholzigkeit (mm/lfm)],MATCH(Tabelle9[[#This Row],[Rank]],Stammdaten[Rank Verteilung Abholzigkeit],0))</f>
        <v>#N/A</v>
      </c>
      <c r="N1219" t="e">
        <f>VLOOKUP(Tabelle9[[#This Row],[Rank]],Stammdaten[[Rank Verteilung Abholzigkeit]:[Verteilung Abholzigkeit]],2,FALSE)</f>
        <v>#N/A</v>
      </c>
      <c r="S1219">
        <v>1210</v>
      </c>
      <c r="T1219" t="e">
        <f>INDEX(Stammdaten[Krümmung (mm/lfm)],MATCH(Tabelle10[[#This Row],[Rank]],Stammdaten[Rank Verteilung Krümmung],0))</f>
        <v>#N/A</v>
      </c>
      <c r="U1219" t="e">
        <f>VLOOKUP(Tabelle10[[#This Row],[Rank]],Stammdaten[[Rank Verteilung Krümmung]:[Verteilung Krümmung]],2,FALSE)</f>
        <v>#N/A</v>
      </c>
      <c r="Z1219">
        <v>1210</v>
      </c>
      <c r="AA1219" t="e">
        <f>INDEX(Stammdaten[Ovalität (']0,1'])],MATCH(Tabelle1014[[#This Row],[Rank]],Stammdaten[Rank Verteilung Ovalität],0))</f>
        <v>#N/A</v>
      </c>
      <c r="AB1219" t="e">
        <f>VLOOKUP(Tabelle1014[[#This Row],[Rank]],Stammdaten[[Rank Verteilung Ovalität]:[Verteilung Ovalität]],2,FALSE)</f>
        <v>#N/A</v>
      </c>
    </row>
    <row r="1220" spans="5:28" x14ac:dyDescent="0.35">
      <c r="E1220">
        <v>1211</v>
      </c>
      <c r="F1220" t="e">
        <f>INDEX(Stammdaten[D Mitte mit Rinde (mm)],MATCH(Tabelle8[[#This Row],[Rank]],Stammdaten[Rank Verteilung D Mitte mit Rinde],0))</f>
        <v>#N/A</v>
      </c>
      <c r="G1220" t="e">
        <f>VLOOKUP(Tabelle8[[#This Row],[Rank]],Stammdaten[[Rank Verteilung D Mitte mit Rinde]:[Verteilung D Mitte mit Rinde]],2,FALSE)</f>
        <v>#N/A</v>
      </c>
      <c r="L1220">
        <v>1211</v>
      </c>
      <c r="M1220" t="e">
        <f>INDEX(Stammdaten[Abholzigkeit (mm/lfm)],MATCH(Tabelle9[[#This Row],[Rank]],Stammdaten[Rank Verteilung Abholzigkeit],0))</f>
        <v>#N/A</v>
      </c>
      <c r="N1220" t="e">
        <f>VLOOKUP(Tabelle9[[#This Row],[Rank]],Stammdaten[[Rank Verteilung Abholzigkeit]:[Verteilung Abholzigkeit]],2,FALSE)</f>
        <v>#N/A</v>
      </c>
      <c r="S1220">
        <v>1211</v>
      </c>
      <c r="T1220" t="e">
        <f>INDEX(Stammdaten[Krümmung (mm/lfm)],MATCH(Tabelle10[[#This Row],[Rank]],Stammdaten[Rank Verteilung Krümmung],0))</f>
        <v>#N/A</v>
      </c>
      <c r="U1220" t="e">
        <f>VLOOKUP(Tabelle10[[#This Row],[Rank]],Stammdaten[[Rank Verteilung Krümmung]:[Verteilung Krümmung]],2,FALSE)</f>
        <v>#N/A</v>
      </c>
      <c r="Z1220">
        <v>1211</v>
      </c>
      <c r="AA1220" t="e">
        <f>INDEX(Stammdaten[Ovalität (']0,1'])],MATCH(Tabelle1014[[#This Row],[Rank]],Stammdaten[Rank Verteilung Ovalität],0))</f>
        <v>#N/A</v>
      </c>
      <c r="AB1220" t="e">
        <f>VLOOKUP(Tabelle1014[[#This Row],[Rank]],Stammdaten[[Rank Verteilung Ovalität]:[Verteilung Ovalität]],2,FALSE)</f>
        <v>#N/A</v>
      </c>
    </row>
    <row r="1221" spans="5:28" x14ac:dyDescent="0.35">
      <c r="E1221">
        <v>1212</v>
      </c>
      <c r="F1221" t="e">
        <f>INDEX(Stammdaten[D Mitte mit Rinde (mm)],MATCH(Tabelle8[[#This Row],[Rank]],Stammdaten[Rank Verteilung D Mitte mit Rinde],0))</f>
        <v>#N/A</v>
      </c>
      <c r="G1221" t="e">
        <f>VLOOKUP(Tabelle8[[#This Row],[Rank]],Stammdaten[[Rank Verteilung D Mitte mit Rinde]:[Verteilung D Mitte mit Rinde]],2,FALSE)</f>
        <v>#N/A</v>
      </c>
      <c r="L1221">
        <v>1212</v>
      </c>
      <c r="M1221" t="e">
        <f>INDEX(Stammdaten[Abholzigkeit (mm/lfm)],MATCH(Tabelle9[[#This Row],[Rank]],Stammdaten[Rank Verteilung Abholzigkeit],0))</f>
        <v>#N/A</v>
      </c>
      <c r="N1221" t="e">
        <f>VLOOKUP(Tabelle9[[#This Row],[Rank]],Stammdaten[[Rank Verteilung Abholzigkeit]:[Verteilung Abholzigkeit]],2,FALSE)</f>
        <v>#N/A</v>
      </c>
      <c r="S1221">
        <v>1212</v>
      </c>
      <c r="T1221" t="e">
        <f>INDEX(Stammdaten[Krümmung (mm/lfm)],MATCH(Tabelle10[[#This Row],[Rank]],Stammdaten[Rank Verteilung Krümmung],0))</f>
        <v>#N/A</v>
      </c>
      <c r="U1221" t="e">
        <f>VLOOKUP(Tabelle10[[#This Row],[Rank]],Stammdaten[[Rank Verteilung Krümmung]:[Verteilung Krümmung]],2,FALSE)</f>
        <v>#N/A</v>
      </c>
      <c r="Z1221">
        <v>1212</v>
      </c>
      <c r="AA1221" t="e">
        <f>INDEX(Stammdaten[Ovalität (']0,1'])],MATCH(Tabelle1014[[#This Row],[Rank]],Stammdaten[Rank Verteilung Ovalität],0))</f>
        <v>#N/A</v>
      </c>
      <c r="AB1221" t="e">
        <f>VLOOKUP(Tabelle1014[[#This Row],[Rank]],Stammdaten[[Rank Verteilung Ovalität]:[Verteilung Ovalität]],2,FALSE)</f>
        <v>#N/A</v>
      </c>
    </row>
    <row r="1222" spans="5:28" x14ac:dyDescent="0.35">
      <c r="E1222">
        <v>1213</v>
      </c>
      <c r="F1222" t="e">
        <f>INDEX(Stammdaten[D Mitte mit Rinde (mm)],MATCH(Tabelle8[[#This Row],[Rank]],Stammdaten[Rank Verteilung D Mitte mit Rinde],0))</f>
        <v>#N/A</v>
      </c>
      <c r="G1222" t="e">
        <f>VLOOKUP(Tabelle8[[#This Row],[Rank]],Stammdaten[[Rank Verteilung D Mitte mit Rinde]:[Verteilung D Mitte mit Rinde]],2,FALSE)</f>
        <v>#N/A</v>
      </c>
      <c r="L1222">
        <v>1213</v>
      </c>
      <c r="M1222" t="e">
        <f>INDEX(Stammdaten[Abholzigkeit (mm/lfm)],MATCH(Tabelle9[[#This Row],[Rank]],Stammdaten[Rank Verteilung Abholzigkeit],0))</f>
        <v>#N/A</v>
      </c>
      <c r="N1222" t="e">
        <f>VLOOKUP(Tabelle9[[#This Row],[Rank]],Stammdaten[[Rank Verteilung Abholzigkeit]:[Verteilung Abholzigkeit]],2,FALSE)</f>
        <v>#N/A</v>
      </c>
      <c r="S1222">
        <v>1213</v>
      </c>
      <c r="T1222" t="e">
        <f>INDEX(Stammdaten[Krümmung (mm/lfm)],MATCH(Tabelle10[[#This Row],[Rank]],Stammdaten[Rank Verteilung Krümmung],0))</f>
        <v>#N/A</v>
      </c>
      <c r="U1222" t="e">
        <f>VLOOKUP(Tabelle10[[#This Row],[Rank]],Stammdaten[[Rank Verteilung Krümmung]:[Verteilung Krümmung]],2,FALSE)</f>
        <v>#N/A</v>
      </c>
      <c r="Z1222">
        <v>1213</v>
      </c>
      <c r="AA1222" t="e">
        <f>INDEX(Stammdaten[Ovalität (']0,1'])],MATCH(Tabelle1014[[#This Row],[Rank]],Stammdaten[Rank Verteilung Ovalität],0))</f>
        <v>#N/A</v>
      </c>
      <c r="AB1222" t="e">
        <f>VLOOKUP(Tabelle1014[[#This Row],[Rank]],Stammdaten[[Rank Verteilung Ovalität]:[Verteilung Ovalität]],2,FALSE)</f>
        <v>#N/A</v>
      </c>
    </row>
    <row r="1223" spans="5:28" x14ac:dyDescent="0.35">
      <c r="E1223">
        <v>1214</v>
      </c>
      <c r="F1223" t="e">
        <f>INDEX(Stammdaten[D Mitte mit Rinde (mm)],MATCH(Tabelle8[[#This Row],[Rank]],Stammdaten[Rank Verteilung D Mitte mit Rinde],0))</f>
        <v>#N/A</v>
      </c>
      <c r="G1223" t="e">
        <f>VLOOKUP(Tabelle8[[#This Row],[Rank]],Stammdaten[[Rank Verteilung D Mitte mit Rinde]:[Verteilung D Mitte mit Rinde]],2,FALSE)</f>
        <v>#N/A</v>
      </c>
      <c r="L1223">
        <v>1214</v>
      </c>
      <c r="M1223" t="e">
        <f>INDEX(Stammdaten[Abholzigkeit (mm/lfm)],MATCH(Tabelle9[[#This Row],[Rank]],Stammdaten[Rank Verteilung Abholzigkeit],0))</f>
        <v>#N/A</v>
      </c>
      <c r="N1223" t="e">
        <f>VLOOKUP(Tabelle9[[#This Row],[Rank]],Stammdaten[[Rank Verteilung Abholzigkeit]:[Verteilung Abholzigkeit]],2,FALSE)</f>
        <v>#N/A</v>
      </c>
      <c r="S1223">
        <v>1214</v>
      </c>
      <c r="T1223" t="e">
        <f>INDEX(Stammdaten[Krümmung (mm/lfm)],MATCH(Tabelle10[[#This Row],[Rank]],Stammdaten[Rank Verteilung Krümmung],0))</f>
        <v>#N/A</v>
      </c>
      <c r="U1223" t="e">
        <f>VLOOKUP(Tabelle10[[#This Row],[Rank]],Stammdaten[[Rank Verteilung Krümmung]:[Verteilung Krümmung]],2,FALSE)</f>
        <v>#N/A</v>
      </c>
      <c r="Z1223">
        <v>1214</v>
      </c>
      <c r="AA1223" t="e">
        <f>INDEX(Stammdaten[Ovalität (']0,1'])],MATCH(Tabelle1014[[#This Row],[Rank]],Stammdaten[Rank Verteilung Ovalität],0))</f>
        <v>#N/A</v>
      </c>
      <c r="AB1223" t="e">
        <f>VLOOKUP(Tabelle1014[[#This Row],[Rank]],Stammdaten[[Rank Verteilung Ovalität]:[Verteilung Ovalität]],2,FALSE)</f>
        <v>#N/A</v>
      </c>
    </row>
    <row r="1224" spans="5:28" x14ac:dyDescent="0.35">
      <c r="E1224">
        <v>1215</v>
      </c>
      <c r="F1224" t="e">
        <f>INDEX(Stammdaten[D Mitte mit Rinde (mm)],MATCH(Tabelle8[[#This Row],[Rank]],Stammdaten[Rank Verteilung D Mitte mit Rinde],0))</f>
        <v>#N/A</v>
      </c>
      <c r="G1224" t="e">
        <f>VLOOKUP(Tabelle8[[#This Row],[Rank]],Stammdaten[[Rank Verteilung D Mitte mit Rinde]:[Verteilung D Mitte mit Rinde]],2,FALSE)</f>
        <v>#N/A</v>
      </c>
      <c r="L1224">
        <v>1215</v>
      </c>
      <c r="M1224" t="e">
        <f>INDEX(Stammdaten[Abholzigkeit (mm/lfm)],MATCH(Tabelle9[[#This Row],[Rank]],Stammdaten[Rank Verteilung Abholzigkeit],0))</f>
        <v>#N/A</v>
      </c>
      <c r="N1224" t="e">
        <f>VLOOKUP(Tabelle9[[#This Row],[Rank]],Stammdaten[[Rank Verteilung Abholzigkeit]:[Verteilung Abholzigkeit]],2,FALSE)</f>
        <v>#N/A</v>
      </c>
      <c r="S1224">
        <v>1215</v>
      </c>
      <c r="T1224" t="e">
        <f>INDEX(Stammdaten[Krümmung (mm/lfm)],MATCH(Tabelle10[[#This Row],[Rank]],Stammdaten[Rank Verteilung Krümmung],0))</f>
        <v>#N/A</v>
      </c>
      <c r="U1224" t="e">
        <f>VLOOKUP(Tabelle10[[#This Row],[Rank]],Stammdaten[[Rank Verteilung Krümmung]:[Verteilung Krümmung]],2,FALSE)</f>
        <v>#N/A</v>
      </c>
      <c r="Z1224">
        <v>1215</v>
      </c>
      <c r="AA1224" t="e">
        <f>INDEX(Stammdaten[Ovalität (']0,1'])],MATCH(Tabelle1014[[#This Row],[Rank]],Stammdaten[Rank Verteilung Ovalität],0))</f>
        <v>#N/A</v>
      </c>
      <c r="AB1224" t="e">
        <f>VLOOKUP(Tabelle1014[[#This Row],[Rank]],Stammdaten[[Rank Verteilung Ovalität]:[Verteilung Ovalität]],2,FALSE)</f>
        <v>#N/A</v>
      </c>
    </row>
    <row r="1225" spans="5:28" x14ac:dyDescent="0.35">
      <c r="E1225">
        <v>1216</v>
      </c>
      <c r="F1225" t="e">
        <f>INDEX(Stammdaten[D Mitte mit Rinde (mm)],MATCH(Tabelle8[[#This Row],[Rank]],Stammdaten[Rank Verteilung D Mitte mit Rinde],0))</f>
        <v>#N/A</v>
      </c>
      <c r="G1225" t="e">
        <f>VLOOKUP(Tabelle8[[#This Row],[Rank]],Stammdaten[[Rank Verteilung D Mitte mit Rinde]:[Verteilung D Mitte mit Rinde]],2,FALSE)</f>
        <v>#N/A</v>
      </c>
      <c r="L1225">
        <v>1216</v>
      </c>
      <c r="M1225" t="e">
        <f>INDEX(Stammdaten[Abholzigkeit (mm/lfm)],MATCH(Tabelle9[[#This Row],[Rank]],Stammdaten[Rank Verteilung Abholzigkeit],0))</f>
        <v>#N/A</v>
      </c>
      <c r="N1225" t="e">
        <f>VLOOKUP(Tabelle9[[#This Row],[Rank]],Stammdaten[[Rank Verteilung Abholzigkeit]:[Verteilung Abholzigkeit]],2,FALSE)</f>
        <v>#N/A</v>
      </c>
      <c r="S1225">
        <v>1216</v>
      </c>
      <c r="T1225" t="e">
        <f>INDEX(Stammdaten[Krümmung (mm/lfm)],MATCH(Tabelle10[[#This Row],[Rank]],Stammdaten[Rank Verteilung Krümmung],0))</f>
        <v>#N/A</v>
      </c>
      <c r="U1225" t="e">
        <f>VLOOKUP(Tabelle10[[#This Row],[Rank]],Stammdaten[[Rank Verteilung Krümmung]:[Verteilung Krümmung]],2,FALSE)</f>
        <v>#N/A</v>
      </c>
      <c r="Z1225">
        <v>1216</v>
      </c>
      <c r="AA1225" t="e">
        <f>INDEX(Stammdaten[Ovalität (']0,1'])],MATCH(Tabelle1014[[#This Row],[Rank]],Stammdaten[Rank Verteilung Ovalität],0))</f>
        <v>#N/A</v>
      </c>
      <c r="AB1225" t="e">
        <f>VLOOKUP(Tabelle1014[[#This Row],[Rank]],Stammdaten[[Rank Verteilung Ovalität]:[Verteilung Ovalität]],2,FALSE)</f>
        <v>#N/A</v>
      </c>
    </row>
    <row r="1226" spans="5:28" x14ac:dyDescent="0.35">
      <c r="E1226">
        <v>1217</v>
      </c>
      <c r="F1226" t="e">
        <f>INDEX(Stammdaten[D Mitte mit Rinde (mm)],MATCH(Tabelle8[[#This Row],[Rank]],Stammdaten[Rank Verteilung D Mitte mit Rinde],0))</f>
        <v>#N/A</v>
      </c>
      <c r="G1226" t="e">
        <f>VLOOKUP(Tabelle8[[#This Row],[Rank]],Stammdaten[[Rank Verteilung D Mitte mit Rinde]:[Verteilung D Mitte mit Rinde]],2,FALSE)</f>
        <v>#N/A</v>
      </c>
      <c r="L1226">
        <v>1217</v>
      </c>
      <c r="M1226" t="e">
        <f>INDEX(Stammdaten[Abholzigkeit (mm/lfm)],MATCH(Tabelle9[[#This Row],[Rank]],Stammdaten[Rank Verteilung Abholzigkeit],0))</f>
        <v>#N/A</v>
      </c>
      <c r="N1226" t="e">
        <f>VLOOKUP(Tabelle9[[#This Row],[Rank]],Stammdaten[[Rank Verteilung Abholzigkeit]:[Verteilung Abholzigkeit]],2,FALSE)</f>
        <v>#N/A</v>
      </c>
      <c r="S1226">
        <v>1217</v>
      </c>
      <c r="T1226" t="e">
        <f>INDEX(Stammdaten[Krümmung (mm/lfm)],MATCH(Tabelle10[[#This Row],[Rank]],Stammdaten[Rank Verteilung Krümmung],0))</f>
        <v>#N/A</v>
      </c>
      <c r="U1226" t="e">
        <f>VLOOKUP(Tabelle10[[#This Row],[Rank]],Stammdaten[[Rank Verteilung Krümmung]:[Verteilung Krümmung]],2,FALSE)</f>
        <v>#N/A</v>
      </c>
      <c r="Z1226">
        <v>1217</v>
      </c>
      <c r="AA1226" t="e">
        <f>INDEX(Stammdaten[Ovalität (']0,1'])],MATCH(Tabelle1014[[#This Row],[Rank]],Stammdaten[Rank Verteilung Ovalität],0))</f>
        <v>#N/A</v>
      </c>
      <c r="AB1226" t="e">
        <f>VLOOKUP(Tabelle1014[[#This Row],[Rank]],Stammdaten[[Rank Verteilung Ovalität]:[Verteilung Ovalität]],2,FALSE)</f>
        <v>#N/A</v>
      </c>
    </row>
    <row r="1227" spans="5:28" x14ac:dyDescent="0.35">
      <c r="E1227">
        <v>1218</v>
      </c>
      <c r="F1227" t="e">
        <f>INDEX(Stammdaten[D Mitte mit Rinde (mm)],MATCH(Tabelle8[[#This Row],[Rank]],Stammdaten[Rank Verteilung D Mitte mit Rinde],0))</f>
        <v>#N/A</v>
      </c>
      <c r="G1227" t="e">
        <f>VLOOKUP(Tabelle8[[#This Row],[Rank]],Stammdaten[[Rank Verteilung D Mitte mit Rinde]:[Verteilung D Mitte mit Rinde]],2,FALSE)</f>
        <v>#N/A</v>
      </c>
      <c r="L1227">
        <v>1218</v>
      </c>
      <c r="M1227" t="e">
        <f>INDEX(Stammdaten[Abholzigkeit (mm/lfm)],MATCH(Tabelle9[[#This Row],[Rank]],Stammdaten[Rank Verteilung Abholzigkeit],0))</f>
        <v>#N/A</v>
      </c>
      <c r="N1227" t="e">
        <f>VLOOKUP(Tabelle9[[#This Row],[Rank]],Stammdaten[[Rank Verteilung Abholzigkeit]:[Verteilung Abholzigkeit]],2,FALSE)</f>
        <v>#N/A</v>
      </c>
      <c r="S1227">
        <v>1218</v>
      </c>
      <c r="T1227" t="e">
        <f>INDEX(Stammdaten[Krümmung (mm/lfm)],MATCH(Tabelle10[[#This Row],[Rank]],Stammdaten[Rank Verteilung Krümmung],0))</f>
        <v>#N/A</v>
      </c>
      <c r="U1227" t="e">
        <f>VLOOKUP(Tabelle10[[#This Row],[Rank]],Stammdaten[[Rank Verteilung Krümmung]:[Verteilung Krümmung]],2,FALSE)</f>
        <v>#N/A</v>
      </c>
      <c r="Z1227">
        <v>1218</v>
      </c>
      <c r="AA1227" t="e">
        <f>INDEX(Stammdaten[Ovalität (']0,1'])],MATCH(Tabelle1014[[#This Row],[Rank]],Stammdaten[Rank Verteilung Ovalität],0))</f>
        <v>#N/A</v>
      </c>
      <c r="AB1227" t="e">
        <f>VLOOKUP(Tabelle1014[[#This Row],[Rank]],Stammdaten[[Rank Verteilung Ovalität]:[Verteilung Ovalität]],2,FALSE)</f>
        <v>#N/A</v>
      </c>
    </row>
    <row r="1228" spans="5:28" x14ac:dyDescent="0.35">
      <c r="E1228">
        <v>1219</v>
      </c>
      <c r="F1228" t="e">
        <f>INDEX(Stammdaten[D Mitte mit Rinde (mm)],MATCH(Tabelle8[[#This Row],[Rank]],Stammdaten[Rank Verteilung D Mitte mit Rinde],0))</f>
        <v>#N/A</v>
      </c>
      <c r="G1228" t="e">
        <f>VLOOKUP(Tabelle8[[#This Row],[Rank]],Stammdaten[[Rank Verteilung D Mitte mit Rinde]:[Verteilung D Mitte mit Rinde]],2,FALSE)</f>
        <v>#N/A</v>
      </c>
      <c r="L1228">
        <v>1219</v>
      </c>
      <c r="M1228" t="e">
        <f>INDEX(Stammdaten[Abholzigkeit (mm/lfm)],MATCH(Tabelle9[[#This Row],[Rank]],Stammdaten[Rank Verteilung Abholzigkeit],0))</f>
        <v>#N/A</v>
      </c>
      <c r="N1228" t="e">
        <f>VLOOKUP(Tabelle9[[#This Row],[Rank]],Stammdaten[[Rank Verteilung Abholzigkeit]:[Verteilung Abholzigkeit]],2,FALSE)</f>
        <v>#N/A</v>
      </c>
      <c r="S1228">
        <v>1219</v>
      </c>
      <c r="T1228" t="e">
        <f>INDEX(Stammdaten[Krümmung (mm/lfm)],MATCH(Tabelle10[[#This Row],[Rank]],Stammdaten[Rank Verteilung Krümmung],0))</f>
        <v>#N/A</v>
      </c>
      <c r="U1228" t="e">
        <f>VLOOKUP(Tabelle10[[#This Row],[Rank]],Stammdaten[[Rank Verteilung Krümmung]:[Verteilung Krümmung]],2,FALSE)</f>
        <v>#N/A</v>
      </c>
      <c r="Z1228">
        <v>1219</v>
      </c>
      <c r="AA1228" t="e">
        <f>INDEX(Stammdaten[Ovalität (']0,1'])],MATCH(Tabelle1014[[#This Row],[Rank]],Stammdaten[Rank Verteilung Ovalität],0))</f>
        <v>#N/A</v>
      </c>
      <c r="AB1228" t="e">
        <f>VLOOKUP(Tabelle1014[[#This Row],[Rank]],Stammdaten[[Rank Verteilung Ovalität]:[Verteilung Ovalität]],2,FALSE)</f>
        <v>#N/A</v>
      </c>
    </row>
    <row r="1229" spans="5:28" x14ac:dyDescent="0.35">
      <c r="E1229">
        <v>1220</v>
      </c>
      <c r="F1229" t="e">
        <f>INDEX(Stammdaten[D Mitte mit Rinde (mm)],MATCH(Tabelle8[[#This Row],[Rank]],Stammdaten[Rank Verteilung D Mitte mit Rinde],0))</f>
        <v>#N/A</v>
      </c>
      <c r="G1229" t="e">
        <f>VLOOKUP(Tabelle8[[#This Row],[Rank]],Stammdaten[[Rank Verteilung D Mitte mit Rinde]:[Verteilung D Mitte mit Rinde]],2,FALSE)</f>
        <v>#N/A</v>
      </c>
      <c r="L1229">
        <v>1220</v>
      </c>
      <c r="M1229" t="e">
        <f>INDEX(Stammdaten[Abholzigkeit (mm/lfm)],MATCH(Tabelle9[[#This Row],[Rank]],Stammdaten[Rank Verteilung Abholzigkeit],0))</f>
        <v>#N/A</v>
      </c>
      <c r="N1229" t="e">
        <f>VLOOKUP(Tabelle9[[#This Row],[Rank]],Stammdaten[[Rank Verteilung Abholzigkeit]:[Verteilung Abholzigkeit]],2,FALSE)</f>
        <v>#N/A</v>
      </c>
      <c r="S1229">
        <v>1220</v>
      </c>
      <c r="T1229" t="e">
        <f>INDEX(Stammdaten[Krümmung (mm/lfm)],MATCH(Tabelle10[[#This Row],[Rank]],Stammdaten[Rank Verteilung Krümmung],0))</f>
        <v>#N/A</v>
      </c>
      <c r="U1229" t="e">
        <f>VLOOKUP(Tabelle10[[#This Row],[Rank]],Stammdaten[[Rank Verteilung Krümmung]:[Verteilung Krümmung]],2,FALSE)</f>
        <v>#N/A</v>
      </c>
      <c r="Z1229">
        <v>1220</v>
      </c>
      <c r="AA1229" t="e">
        <f>INDEX(Stammdaten[Ovalität (']0,1'])],MATCH(Tabelle1014[[#This Row],[Rank]],Stammdaten[Rank Verteilung Ovalität],0))</f>
        <v>#N/A</v>
      </c>
      <c r="AB1229" t="e">
        <f>VLOOKUP(Tabelle1014[[#This Row],[Rank]],Stammdaten[[Rank Verteilung Ovalität]:[Verteilung Ovalität]],2,FALSE)</f>
        <v>#N/A</v>
      </c>
    </row>
    <row r="1230" spans="5:28" x14ac:dyDescent="0.35">
      <c r="E1230">
        <v>1221</v>
      </c>
      <c r="F1230" t="e">
        <f>INDEX(Stammdaten[D Mitte mit Rinde (mm)],MATCH(Tabelle8[[#This Row],[Rank]],Stammdaten[Rank Verteilung D Mitte mit Rinde],0))</f>
        <v>#N/A</v>
      </c>
      <c r="G1230" t="e">
        <f>VLOOKUP(Tabelle8[[#This Row],[Rank]],Stammdaten[[Rank Verteilung D Mitte mit Rinde]:[Verteilung D Mitte mit Rinde]],2,FALSE)</f>
        <v>#N/A</v>
      </c>
      <c r="L1230">
        <v>1221</v>
      </c>
      <c r="M1230" t="e">
        <f>INDEX(Stammdaten[Abholzigkeit (mm/lfm)],MATCH(Tabelle9[[#This Row],[Rank]],Stammdaten[Rank Verteilung Abholzigkeit],0))</f>
        <v>#N/A</v>
      </c>
      <c r="N1230" t="e">
        <f>VLOOKUP(Tabelle9[[#This Row],[Rank]],Stammdaten[[Rank Verteilung Abholzigkeit]:[Verteilung Abholzigkeit]],2,FALSE)</f>
        <v>#N/A</v>
      </c>
      <c r="S1230">
        <v>1221</v>
      </c>
      <c r="T1230" t="e">
        <f>INDEX(Stammdaten[Krümmung (mm/lfm)],MATCH(Tabelle10[[#This Row],[Rank]],Stammdaten[Rank Verteilung Krümmung],0))</f>
        <v>#N/A</v>
      </c>
      <c r="U1230" t="e">
        <f>VLOOKUP(Tabelle10[[#This Row],[Rank]],Stammdaten[[Rank Verteilung Krümmung]:[Verteilung Krümmung]],2,FALSE)</f>
        <v>#N/A</v>
      </c>
      <c r="Z1230">
        <v>1221</v>
      </c>
      <c r="AA1230" t="e">
        <f>INDEX(Stammdaten[Ovalität (']0,1'])],MATCH(Tabelle1014[[#This Row],[Rank]],Stammdaten[Rank Verteilung Ovalität],0))</f>
        <v>#N/A</v>
      </c>
      <c r="AB1230" t="e">
        <f>VLOOKUP(Tabelle1014[[#This Row],[Rank]],Stammdaten[[Rank Verteilung Ovalität]:[Verteilung Ovalität]],2,FALSE)</f>
        <v>#N/A</v>
      </c>
    </row>
    <row r="1231" spans="5:28" x14ac:dyDescent="0.35">
      <c r="E1231">
        <v>1222</v>
      </c>
      <c r="F1231" t="e">
        <f>INDEX(Stammdaten[D Mitte mit Rinde (mm)],MATCH(Tabelle8[[#This Row],[Rank]],Stammdaten[Rank Verteilung D Mitte mit Rinde],0))</f>
        <v>#N/A</v>
      </c>
      <c r="G1231" t="e">
        <f>VLOOKUP(Tabelle8[[#This Row],[Rank]],Stammdaten[[Rank Verteilung D Mitte mit Rinde]:[Verteilung D Mitte mit Rinde]],2,FALSE)</f>
        <v>#N/A</v>
      </c>
      <c r="L1231">
        <v>1222</v>
      </c>
      <c r="M1231" t="e">
        <f>INDEX(Stammdaten[Abholzigkeit (mm/lfm)],MATCH(Tabelle9[[#This Row],[Rank]],Stammdaten[Rank Verteilung Abholzigkeit],0))</f>
        <v>#N/A</v>
      </c>
      <c r="N1231" t="e">
        <f>VLOOKUP(Tabelle9[[#This Row],[Rank]],Stammdaten[[Rank Verteilung Abholzigkeit]:[Verteilung Abholzigkeit]],2,FALSE)</f>
        <v>#N/A</v>
      </c>
      <c r="S1231">
        <v>1222</v>
      </c>
      <c r="T1231" t="e">
        <f>INDEX(Stammdaten[Krümmung (mm/lfm)],MATCH(Tabelle10[[#This Row],[Rank]],Stammdaten[Rank Verteilung Krümmung],0))</f>
        <v>#N/A</v>
      </c>
      <c r="U1231" t="e">
        <f>VLOOKUP(Tabelle10[[#This Row],[Rank]],Stammdaten[[Rank Verteilung Krümmung]:[Verteilung Krümmung]],2,FALSE)</f>
        <v>#N/A</v>
      </c>
      <c r="Z1231">
        <v>1222</v>
      </c>
      <c r="AA1231" t="e">
        <f>INDEX(Stammdaten[Ovalität (']0,1'])],MATCH(Tabelle1014[[#This Row],[Rank]],Stammdaten[Rank Verteilung Ovalität],0))</f>
        <v>#N/A</v>
      </c>
      <c r="AB1231" t="e">
        <f>VLOOKUP(Tabelle1014[[#This Row],[Rank]],Stammdaten[[Rank Verteilung Ovalität]:[Verteilung Ovalität]],2,FALSE)</f>
        <v>#N/A</v>
      </c>
    </row>
    <row r="1232" spans="5:28" x14ac:dyDescent="0.35">
      <c r="E1232">
        <v>1223</v>
      </c>
      <c r="F1232" t="e">
        <f>INDEX(Stammdaten[D Mitte mit Rinde (mm)],MATCH(Tabelle8[[#This Row],[Rank]],Stammdaten[Rank Verteilung D Mitte mit Rinde],0))</f>
        <v>#N/A</v>
      </c>
      <c r="G1232" t="e">
        <f>VLOOKUP(Tabelle8[[#This Row],[Rank]],Stammdaten[[Rank Verteilung D Mitte mit Rinde]:[Verteilung D Mitte mit Rinde]],2,FALSE)</f>
        <v>#N/A</v>
      </c>
      <c r="L1232">
        <v>1223</v>
      </c>
      <c r="M1232" t="e">
        <f>INDEX(Stammdaten[Abholzigkeit (mm/lfm)],MATCH(Tabelle9[[#This Row],[Rank]],Stammdaten[Rank Verteilung Abholzigkeit],0))</f>
        <v>#N/A</v>
      </c>
      <c r="N1232" t="e">
        <f>VLOOKUP(Tabelle9[[#This Row],[Rank]],Stammdaten[[Rank Verteilung Abholzigkeit]:[Verteilung Abholzigkeit]],2,FALSE)</f>
        <v>#N/A</v>
      </c>
      <c r="S1232">
        <v>1223</v>
      </c>
      <c r="T1232" t="e">
        <f>INDEX(Stammdaten[Krümmung (mm/lfm)],MATCH(Tabelle10[[#This Row],[Rank]],Stammdaten[Rank Verteilung Krümmung],0))</f>
        <v>#N/A</v>
      </c>
      <c r="U1232" t="e">
        <f>VLOOKUP(Tabelle10[[#This Row],[Rank]],Stammdaten[[Rank Verteilung Krümmung]:[Verteilung Krümmung]],2,FALSE)</f>
        <v>#N/A</v>
      </c>
      <c r="Z1232">
        <v>1223</v>
      </c>
      <c r="AA1232" t="e">
        <f>INDEX(Stammdaten[Ovalität (']0,1'])],MATCH(Tabelle1014[[#This Row],[Rank]],Stammdaten[Rank Verteilung Ovalität],0))</f>
        <v>#N/A</v>
      </c>
      <c r="AB1232" t="e">
        <f>VLOOKUP(Tabelle1014[[#This Row],[Rank]],Stammdaten[[Rank Verteilung Ovalität]:[Verteilung Ovalität]],2,FALSE)</f>
        <v>#N/A</v>
      </c>
    </row>
    <row r="1233" spans="5:28" x14ac:dyDescent="0.35">
      <c r="E1233">
        <v>1224</v>
      </c>
      <c r="F1233" t="e">
        <f>INDEX(Stammdaten[D Mitte mit Rinde (mm)],MATCH(Tabelle8[[#This Row],[Rank]],Stammdaten[Rank Verteilung D Mitte mit Rinde],0))</f>
        <v>#N/A</v>
      </c>
      <c r="G1233" t="e">
        <f>VLOOKUP(Tabelle8[[#This Row],[Rank]],Stammdaten[[Rank Verteilung D Mitte mit Rinde]:[Verteilung D Mitte mit Rinde]],2,FALSE)</f>
        <v>#N/A</v>
      </c>
      <c r="L1233">
        <v>1224</v>
      </c>
      <c r="M1233" t="e">
        <f>INDEX(Stammdaten[Abholzigkeit (mm/lfm)],MATCH(Tabelle9[[#This Row],[Rank]],Stammdaten[Rank Verteilung Abholzigkeit],0))</f>
        <v>#N/A</v>
      </c>
      <c r="N1233" t="e">
        <f>VLOOKUP(Tabelle9[[#This Row],[Rank]],Stammdaten[[Rank Verteilung Abholzigkeit]:[Verteilung Abholzigkeit]],2,FALSE)</f>
        <v>#N/A</v>
      </c>
      <c r="S1233">
        <v>1224</v>
      </c>
      <c r="T1233" t="e">
        <f>INDEX(Stammdaten[Krümmung (mm/lfm)],MATCH(Tabelle10[[#This Row],[Rank]],Stammdaten[Rank Verteilung Krümmung],0))</f>
        <v>#N/A</v>
      </c>
      <c r="U1233" t="e">
        <f>VLOOKUP(Tabelle10[[#This Row],[Rank]],Stammdaten[[Rank Verteilung Krümmung]:[Verteilung Krümmung]],2,FALSE)</f>
        <v>#N/A</v>
      </c>
      <c r="Z1233">
        <v>1224</v>
      </c>
      <c r="AA1233" t="e">
        <f>INDEX(Stammdaten[Ovalität (']0,1'])],MATCH(Tabelle1014[[#This Row],[Rank]],Stammdaten[Rank Verteilung Ovalität],0))</f>
        <v>#N/A</v>
      </c>
      <c r="AB1233" t="e">
        <f>VLOOKUP(Tabelle1014[[#This Row],[Rank]],Stammdaten[[Rank Verteilung Ovalität]:[Verteilung Ovalität]],2,FALSE)</f>
        <v>#N/A</v>
      </c>
    </row>
    <row r="1234" spans="5:28" x14ac:dyDescent="0.35">
      <c r="E1234">
        <v>1225</v>
      </c>
      <c r="F1234" t="e">
        <f>INDEX(Stammdaten[D Mitte mit Rinde (mm)],MATCH(Tabelle8[[#This Row],[Rank]],Stammdaten[Rank Verteilung D Mitte mit Rinde],0))</f>
        <v>#N/A</v>
      </c>
      <c r="G1234" t="e">
        <f>VLOOKUP(Tabelle8[[#This Row],[Rank]],Stammdaten[[Rank Verteilung D Mitte mit Rinde]:[Verteilung D Mitte mit Rinde]],2,FALSE)</f>
        <v>#N/A</v>
      </c>
      <c r="L1234">
        <v>1225</v>
      </c>
      <c r="M1234" t="e">
        <f>INDEX(Stammdaten[Abholzigkeit (mm/lfm)],MATCH(Tabelle9[[#This Row],[Rank]],Stammdaten[Rank Verteilung Abholzigkeit],0))</f>
        <v>#N/A</v>
      </c>
      <c r="N1234" t="e">
        <f>VLOOKUP(Tabelle9[[#This Row],[Rank]],Stammdaten[[Rank Verteilung Abholzigkeit]:[Verteilung Abholzigkeit]],2,FALSE)</f>
        <v>#N/A</v>
      </c>
      <c r="S1234">
        <v>1225</v>
      </c>
      <c r="T1234" t="e">
        <f>INDEX(Stammdaten[Krümmung (mm/lfm)],MATCH(Tabelle10[[#This Row],[Rank]],Stammdaten[Rank Verteilung Krümmung],0))</f>
        <v>#N/A</v>
      </c>
      <c r="U1234" t="e">
        <f>VLOOKUP(Tabelle10[[#This Row],[Rank]],Stammdaten[[Rank Verteilung Krümmung]:[Verteilung Krümmung]],2,FALSE)</f>
        <v>#N/A</v>
      </c>
      <c r="Z1234">
        <v>1225</v>
      </c>
      <c r="AA1234" t="e">
        <f>INDEX(Stammdaten[Ovalität (']0,1'])],MATCH(Tabelle1014[[#This Row],[Rank]],Stammdaten[Rank Verteilung Ovalität],0))</f>
        <v>#N/A</v>
      </c>
      <c r="AB1234" t="e">
        <f>VLOOKUP(Tabelle1014[[#This Row],[Rank]],Stammdaten[[Rank Verteilung Ovalität]:[Verteilung Ovalität]],2,FALSE)</f>
        <v>#N/A</v>
      </c>
    </row>
    <row r="1235" spans="5:28" x14ac:dyDescent="0.35">
      <c r="E1235">
        <v>1226</v>
      </c>
      <c r="F1235" t="e">
        <f>INDEX(Stammdaten[D Mitte mit Rinde (mm)],MATCH(Tabelle8[[#This Row],[Rank]],Stammdaten[Rank Verteilung D Mitte mit Rinde],0))</f>
        <v>#N/A</v>
      </c>
      <c r="G1235" t="e">
        <f>VLOOKUP(Tabelle8[[#This Row],[Rank]],Stammdaten[[Rank Verteilung D Mitte mit Rinde]:[Verteilung D Mitte mit Rinde]],2,FALSE)</f>
        <v>#N/A</v>
      </c>
      <c r="L1235">
        <v>1226</v>
      </c>
      <c r="M1235" t="e">
        <f>INDEX(Stammdaten[Abholzigkeit (mm/lfm)],MATCH(Tabelle9[[#This Row],[Rank]],Stammdaten[Rank Verteilung Abholzigkeit],0))</f>
        <v>#N/A</v>
      </c>
      <c r="N1235" t="e">
        <f>VLOOKUP(Tabelle9[[#This Row],[Rank]],Stammdaten[[Rank Verteilung Abholzigkeit]:[Verteilung Abholzigkeit]],2,FALSE)</f>
        <v>#N/A</v>
      </c>
      <c r="S1235">
        <v>1226</v>
      </c>
      <c r="T1235" t="e">
        <f>INDEX(Stammdaten[Krümmung (mm/lfm)],MATCH(Tabelle10[[#This Row],[Rank]],Stammdaten[Rank Verteilung Krümmung],0))</f>
        <v>#N/A</v>
      </c>
      <c r="U1235" t="e">
        <f>VLOOKUP(Tabelle10[[#This Row],[Rank]],Stammdaten[[Rank Verteilung Krümmung]:[Verteilung Krümmung]],2,FALSE)</f>
        <v>#N/A</v>
      </c>
      <c r="Z1235">
        <v>1226</v>
      </c>
      <c r="AA1235" t="e">
        <f>INDEX(Stammdaten[Ovalität (']0,1'])],MATCH(Tabelle1014[[#This Row],[Rank]],Stammdaten[Rank Verteilung Ovalität],0))</f>
        <v>#N/A</v>
      </c>
      <c r="AB1235" t="e">
        <f>VLOOKUP(Tabelle1014[[#This Row],[Rank]],Stammdaten[[Rank Verteilung Ovalität]:[Verteilung Ovalität]],2,FALSE)</f>
        <v>#N/A</v>
      </c>
    </row>
    <row r="1236" spans="5:28" x14ac:dyDescent="0.35">
      <c r="E1236">
        <v>1227</v>
      </c>
      <c r="F1236" t="e">
        <f>INDEX(Stammdaten[D Mitte mit Rinde (mm)],MATCH(Tabelle8[[#This Row],[Rank]],Stammdaten[Rank Verteilung D Mitte mit Rinde],0))</f>
        <v>#N/A</v>
      </c>
      <c r="G1236" t="e">
        <f>VLOOKUP(Tabelle8[[#This Row],[Rank]],Stammdaten[[Rank Verteilung D Mitte mit Rinde]:[Verteilung D Mitte mit Rinde]],2,FALSE)</f>
        <v>#N/A</v>
      </c>
      <c r="L1236">
        <v>1227</v>
      </c>
      <c r="M1236" t="e">
        <f>INDEX(Stammdaten[Abholzigkeit (mm/lfm)],MATCH(Tabelle9[[#This Row],[Rank]],Stammdaten[Rank Verteilung Abholzigkeit],0))</f>
        <v>#N/A</v>
      </c>
      <c r="N1236" t="e">
        <f>VLOOKUP(Tabelle9[[#This Row],[Rank]],Stammdaten[[Rank Verteilung Abholzigkeit]:[Verteilung Abholzigkeit]],2,FALSE)</f>
        <v>#N/A</v>
      </c>
      <c r="S1236">
        <v>1227</v>
      </c>
      <c r="T1236" t="e">
        <f>INDEX(Stammdaten[Krümmung (mm/lfm)],MATCH(Tabelle10[[#This Row],[Rank]],Stammdaten[Rank Verteilung Krümmung],0))</f>
        <v>#N/A</v>
      </c>
      <c r="U1236" t="e">
        <f>VLOOKUP(Tabelle10[[#This Row],[Rank]],Stammdaten[[Rank Verteilung Krümmung]:[Verteilung Krümmung]],2,FALSE)</f>
        <v>#N/A</v>
      </c>
      <c r="Z1236">
        <v>1227</v>
      </c>
      <c r="AA1236" t="e">
        <f>INDEX(Stammdaten[Ovalität (']0,1'])],MATCH(Tabelle1014[[#This Row],[Rank]],Stammdaten[Rank Verteilung Ovalität],0))</f>
        <v>#N/A</v>
      </c>
      <c r="AB1236" t="e">
        <f>VLOOKUP(Tabelle1014[[#This Row],[Rank]],Stammdaten[[Rank Verteilung Ovalität]:[Verteilung Ovalität]],2,FALSE)</f>
        <v>#N/A</v>
      </c>
    </row>
    <row r="1237" spans="5:28" x14ac:dyDescent="0.35">
      <c r="E1237">
        <v>1228</v>
      </c>
      <c r="F1237" t="e">
        <f>INDEX(Stammdaten[D Mitte mit Rinde (mm)],MATCH(Tabelle8[[#This Row],[Rank]],Stammdaten[Rank Verteilung D Mitte mit Rinde],0))</f>
        <v>#N/A</v>
      </c>
      <c r="G1237" t="e">
        <f>VLOOKUP(Tabelle8[[#This Row],[Rank]],Stammdaten[[Rank Verteilung D Mitte mit Rinde]:[Verteilung D Mitte mit Rinde]],2,FALSE)</f>
        <v>#N/A</v>
      </c>
      <c r="L1237">
        <v>1228</v>
      </c>
      <c r="M1237" t="e">
        <f>INDEX(Stammdaten[Abholzigkeit (mm/lfm)],MATCH(Tabelle9[[#This Row],[Rank]],Stammdaten[Rank Verteilung Abholzigkeit],0))</f>
        <v>#N/A</v>
      </c>
      <c r="N1237" t="e">
        <f>VLOOKUP(Tabelle9[[#This Row],[Rank]],Stammdaten[[Rank Verteilung Abholzigkeit]:[Verteilung Abholzigkeit]],2,FALSE)</f>
        <v>#N/A</v>
      </c>
      <c r="S1237">
        <v>1228</v>
      </c>
      <c r="T1237" t="e">
        <f>INDEX(Stammdaten[Krümmung (mm/lfm)],MATCH(Tabelle10[[#This Row],[Rank]],Stammdaten[Rank Verteilung Krümmung],0))</f>
        <v>#N/A</v>
      </c>
      <c r="U1237" t="e">
        <f>VLOOKUP(Tabelle10[[#This Row],[Rank]],Stammdaten[[Rank Verteilung Krümmung]:[Verteilung Krümmung]],2,FALSE)</f>
        <v>#N/A</v>
      </c>
      <c r="Z1237">
        <v>1228</v>
      </c>
      <c r="AA1237" t="e">
        <f>INDEX(Stammdaten[Ovalität (']0,1'])],MATCH(Tabelle1014[[#This Row],[Rank]],Stammdaten[Rank Verteilung Ovalität],0))</f>
        <v>#N/A</v>
      </c>
      <c r="AB1237" t="e">
        <f>VLOOKUP(Tabelle1014[[#This Row],[Rank]],Stammdaten[[Rank Verteilung Ovalität]:[Verteilung Ovalität]],2,FALSE)</f>
        <v>#N/A</v>
      </c>
    </row>
    <row r="1238" spans="5:28" x14ac:dyDescent="0.35">
      <c r="E1238">
        <v>1229</v>
      </c>
      <c r="F1238" t="e">
        <f>INDEX(Stammdaten[D Mitte mit Rinde (mm)],MATCH(Tabelle8[[#This Row],[Rank]],Stammdaten[Rank Verteilung D Mitte mit Rinde],0))</f>
        <v>#N/A</v>
      </c>
      <c r="G1238" t="e">
        <f>VLOOKUP(Tabelle8[[#This Row],[Rank]],Stammdaten[[Rank Verteilung D Mitte mit Rinde]:[Verteilung D Mitte mit Rinde]],2,FALSE)</f>
        <v>#N/A</v>
      </c>
      <c r="L1238">
        <v>1229</v>
      </c>
      <c r="M1238" t="e">
        <f>INDEX(Stammdaten[Abholzigkeit (mm/lfm)],MATCH(Tabelle9[[#This Row],[Rank]],Stammdaten[Rank Verteilung Abholzigkeit],0))</f>
        <v>#N/A</v>
      </c>
      <c r="N1238" t="e">
        <f>VLOOKUP(Tabelle9[[#This Row],[Rank]],Stammdaten[[Rank Verteilung Abholzigkeit]:[Verteilung Abholzigkeit]],2,FALSE)</f>
        <v>#N/A</v>
      </c>
      <c r="S1238">
        <v>1229</v>
      </c>
      <c r="T1238" t="e">
        <f>INDEX(Stammdaten[Krümmung (mm/lfm)],MATCH(Tabelle10[[#This Row],[Rank]],Stammdaten[Rank Verteilung Krümmung],0))</f>
        <v>#N/A</v>
      </c>
      <c r="U1238" t="e">
        <f>VLOOKUP(Tabelle10[[#This Row],[Rank]],Stammdaten[[Rank Verteilung Krümmung]:[Verteilung Krümmung]],2,FALSE)</f>
        <v>#N/A</v>
      </c>
      <c r="Z1238">
        <v>1229</v>
      </c>
      <c r="AA1238" t="e">
        <f>INDEX(Stammdaten[Ovalität (']0,1'])],MATCH(Tabelle1014[[#This Row],[Rank]],Stammdaten[Rank Verteilung Ovalität],0))</f>
        <v>#N/A</v>
      </c>
      <c r="AB1238" t="e">
        <f>VLOOKUP(Tabelle1014[[#This Row],[Rank]],Stammdaten[[Rank Verteilung Ovalität]:[Verteilung Ovalität]],2,FALSE)</f>
        <v>#N/A</v>
      </c>
    </row>
    <row r="1239" spans="5:28" x14ac:dyDescent="0.35">
      <c r="E1239">
        <v>1230</v>
      </c>
      <c r="F1239" t="e">
        <f>INDEX(Stammdaten[D Mitte mit Rinde (mm)],MATCH(Tabelle8[[#This Row],[Rank]],Stammdaten[Rank Verteilung D Mitte mit Rinde],0))</f>
        <v>#N/A</v>
      </c>
      <c r="G1239" t="e">
        <f>VLOOKUP(Tabelle8[[#This Row],[Rank]],Stammdaten[[Rank Verteilung D Mitte mit Rinde]:[Verteilung D Mitte mit Rinde]],2,FALSE)</f>
        <v>#N/A</v>
      </c>
      <c r="L1239">
        <v>1230</v>
      </c>
      <c r="M1239" t="e">
        <f>INDEX(Stammdaten[Abholzigkeit (mm/lfm)],MATCH(Tabelle9[[#This Row],[Rank]],Stammdaten[Rank Verteilung Abholzigkeit],0))</f>
        <v>#N/A</v>
      </c>
      <c r="N1239" t="e">
        <f>VLOOKUP(Tabelle9[[#This Row],[Rank]],Stammdaten[[Rank Verteilung Abholzigkeit]:[Verteilung Abholzigkeit]],2,FALSE)</f>
        <v>#N/A</v>
      </c>
      <c r="S1239">
        <v>1230</v>
      </c>
      <c r="T1239" t="e">
        <f>INDEX(Stammdaten[Krümmung (mm/lfm)],MATCH(Tabelle10[[#This Row],[Rank]],Stammdaten[Rank Verteilung Krümmung],0))</f>
        <v>#N/A</v>
      </c>
      <c r="U1239" t="e">
        <f>VLOOKUP(Tabelle10[[#This Row],[Rank]],Stammdaten[[Rank Verteilung Krümmung]:[Verteilung Krümmung]],2,FALSE)</f>
        <v>#N/A</v>
      </c>
      <c r="Z1239">
        <v>1230</v>
      </c>
      <c r="AA1239" t="e">
        <f>INDEX(Stammdaten[Ovalität (']0,1'])],MATCH(Tabelle1014[[#This Row],[Rank]],Stammdaten[Rank Verteilung Ovalität],0))</f>
        <v>#N/A</v>
      </c>
      <c r="AB1239" t="e">
        <f>VLOOKUP(Tabelle1014[[#This Row],[Rank]],Stammdaten[[Rank Verteilung Ovalität]:[Verteilung Ovalität]],2,FALSE)</f>
        <v>#N/A</v>
      </c>
    </row>
    <row r="1240" spans="5:28" x14ac:dyDescent="0.35">
      <c r="E1240">
        <v>1231</v>
      </c>
      <c r="F1240" t="e">
        <f>INDEX(Stammdaten[D Mitte mit Rinde (mm)],MATCH(Tabelle8[[#This Row],[Rank]],Stammdaten[Rank Verteilung D Mitte mit Rinde],0))</f>
        <v>#N/A</v>
      </c>
      <c r="G1240" t="e">
        <f>VLOOKUP(Tabelle8[[#This Row],[Rank]],Stammdaten[[Rank Verteilung D Mitte mit Rinde]:[Verteilung D Mitte mit Rinde]],2,FALSE)</f>
        <v>#N/A</v>
      </c>
      <c r="L1240">
        <v>1231</v>
      </c>
      <c r="M1240" t="e">
        <f>INDEX(Stammdaten[Abholzigkeit (mm/lfm)],MATCH(Tabelle9[[#This Row],[Rank]],Stammdaten[Rank Verteilung Abholzigkeit],0))</f>
        <v>#N/A</v>
      </c>
      <c r="N1240" t="e">
        <f>VLOOKUP(Tabelle9[[#This Row],[Rank]],Stammdaten[[Rank Verteilung Abholzigkeit]:[Verteilung Abholzigkeit]],2,FALSE)</f>
        <v>#N/A</v>
      </c>
      <c r="S1240">
        <v>1231</v>
      </c>
      <c r="T1240" t="e">
        <f>INDEX(Stammdaten[Krümmung (mm/lfm)],MATCH(Tabelle10[[#This Row],[Rank]],Stammdaten[Rank Verteilung Krümmung],0))</f>
        <v>#N/A</v>
      </c>
      <c r="U1240" t="e">
        <f>VLOOKUP(Tabelle10[[#This Row],[Rank]],Stammdaten[[Rank Verteilung Krümmung]:[Verteilung Krümmung]],2,FALSE)</f>
        <v>#N/A</v>
      </c>
      <c r="Z1240">
        <v>1231</v>
      </c>
      <c r="AA1240" t="e">
        <f>INDEX(Stammdaten[Ovalität (']0,1'])],MATCH(Tabelle1014[[#This Row],[Rank]],Stammdaten[Rank Verteilung Ovalität],0))</f>
        <v>#N/A</v>
      </c>
      <c r="AB1240" t="e">
        <f>VLOOKUP(Tabelle1014[[#This Row],[Rank]],Stammdaten[[Rank Verteilung Ovalität]:[Verteilung Ovalität]],2,FALSE)</f>
        <v>#N/A</v>
      </c>
    </row>
    <row r="1241" spans="5:28" x14ac:dyDescent="0.35">
      <c r="E1241">
        <v>1232</v>
      </c>
      <c r="F1241" t="e">
        <f>INDEX(Stammdaten[D Mitte mit Rinde (mm)],MATCH(Tabelle8[[#This Row],[Rank]],Stammdaten[Rank Verteilung D Mitte mit Rinde],0))</f>
        <v>#N/A</v>
      </c>
      <c r="G1241" t="e">
        <f>VLOOKUP(Tabelle8[[#This Row],[Rank]],Stammdaten[[Rank Verteilung D Mitte mit Rinde]:[Verteilung D Mitte mit Rinde]],2,FALSE)</f>
        <v>#N/A</v>
      </c>
      <c r="L1241">
        <v>1232</v>
      </c>
      <c r="M1241" t="e">
        <f>INDEX(Stammdaten[Abholzigkeit (mm/lfm)],MATCH(Tabelle9[[#This Row],[Rank]],Stammdaten[Rank Verteilung Abholzigkeit],0))</f>
        <v>#N/A</v>
      </c>
      <c r="N1241" t="e">
        <f>VLOOKUP(Tabelle9[[#This Row],[Rank]],Stammdaten[[Rank Verteilung Abholzigkeit]:[Verteilung Abholzigkeit]],2,FALSE)</f>
        <v>#N/A</v>
      </c>
      <c r="S1241">
        <v>1232</v>
      </c>
      <c r="T1241" t="e">
        <f>INDEX(Stammdaten[Krümmung (mm/lfm)],MATCH(Tabelle10[[#This Row],[Rank]],Stammdaten[Rank Verteilung Krümmung],0))</f>
        <v>#N/A</v>
      </c>
      <c r="U1241" t="e">
        <f>VLOOKUP(Tabelle10[[#This Row],[Rank]],Stammdaten[[Rank Verteilung Krümmung]:[Verteilung Krümmung]],2,FALSE)</f>
        <v>#N/A</v>
      </c>
      <c r="Z1241">
        <v>1232</v>
      </c>
      <c r="AA1241" t="e">
        <f>INDEX(Stammdaten[Ovalität (']0,1'])],MATCH(Tabelle1014[[#This Row],[Rank]],Stammdaten[Rank Verteilung Ovalität],0))</f>
        <v>#N/A</v>
      </c>
      <c r="AB1241" t="e">
        <f>VLOOKUP(Tabelle1014[[#This Row],[Rank]],Stammdaten[[Rank Verteilung Ovalität]:[Verteilung Ovalität]],2,FALSE)</f>
        <v>#N/A</v>
      </c>
    </row>
    <row r="1242" spans="5:28" x14ac:dyDescent="0.35">
      <c r="E1242">
        <v>1233</v>
      </c>
      <c r="F1242" t="e">
        <f>INDEX(Stammdaten[D Mitte mit Rinde (mm)],MATCH(Tabelle8[[#This Row],[Rank]],Stammdaten[Rank Verteilung D Mitte mit Rinde],0))</f>
        <v>#N/A</v>
      </c>
      <c r="G1242" t="e">
        <f>VLOOKUP(Tabelle8[[#This Row],[Rank]],Stammdaten[[Rank Verteilung D Mitte mit Rinde]:[Verteilung D Mitte mit Rinde]],2,FALSE)</f>
        <v>#N/A</v>
      </c>
      <c r="L1242">
        <v>1233</v>
      </c>
      <c r="M1242" t="e">
        <f>INDEX(Stammdaten[Abholzigkeit (mm/lfm)],MATCH(Tabelle9[[#This Row],[Rank]],Stammdaten[Rank Verteilung Abholzigkeit],0))</f>
        <v>#N/A</v>
      </c>
      <c r="N1242" t="e">
        <f>VLOOKUP(Tabelle9[[#This Row],[Rank]],Stammdaten[[Rank Verteilung Abholzigkeit]:[Verteilung Abholzigkeit]],2,FALSE)</f>
        <v>#N/A</v>
      </c>
      <c r="S1242">
        <v>1233</v>
      </c>
      <c r="T1242" t="e">
        <f>INDEX(Stammdaten[Krümmung (mm/lfm)],MATCH(Tabelle10[[#This Row],[Rank]],Stammdaten[Rank Verteilung Krümmung],0))</f>
        <v>#N/A</v>
      </c>
      <c r="U1242" t="e">
        <f>VLOOKUP(Tabelle10[[#This Row],[Rank]],Stammdaten[[Rank Verteilung Krümmung]:[Verteilung Krümmung]],2,FALSE)</f>
        <v>#N/A</v>
      </c>
      <c r="Z1242">
        <v>1233</v>
      </c>
      <c r="AA1242" t="e">
        <f>INDEX(Stammdaten[Ovalität (']0,1'])],MATCH(Tabelle1014[[#This Row],[Rank]],Stammdaten[Rank Verteilung Ovalität],0))</f>
        <v>#N/A</v>
      </c>
      <c r="AB1242" t="e">
        <f>VLOOKUP(Tabelle1014[[#This Row],[Rank]],Stammdaten[[Rank Verteilung Ovalität]:[Verteilung Ovalität]],2,FALSE)</f>
        <v>#N/A</v>
      </c>
    </row>
    <row r="1243" spans="5:28" x14ac:dyDescent="0.35">
      <c r="E1243">
        <v>1234</v>
      </c>
      <c r="F1243" t="e">
        <f>INDEX(Stammdaten[D Mitte mit Rinde (mm)],MATCH(Tabelle8[[#This Row],[Rank]],Stammdaten[Rank Verteilung D Mitte mit Rinde],0))</f>
        <v>#N/A</v>
      </c>
      <c r="G1243" t="e">
        <f>VLOOKUP(Tabelle8[[#This Row],[Rank]],Stammdaten[[Rank Verteilung D Mitte mit Rinde]:[Verteilung D Mitte mit Rinde]],2,FALSE)</f>
        <v>#N/A</v>
      </c>
      <c r="L1243">
        <v>1234</v>
      </c>
      <c r="M1243" t="e">
        <f>INDEX(Stammdaten[Abholzigkeit (mm/lfm)],MATCH(Tabelle9[[#This Row],[Rank]],Stammdaten[Rank Verteilung Abholzigkeit],0))</f>
        <v>#N/A</v>
      </c>
      <c r="N1243" t="e">
        <f>VLOOKUP(Tabelle9[[#This Row],[Rank]],Stammdaten[[Rank Verteilung Abholzigkeit]:[Verteilung Abholzigkeit]],2,FALSE)</f>
        <v>#N/A</v>
      </c>
      <c r="S1243">
        <v>1234</v>
      </c>
      <c r="T1243" t="e">
        <f>INDEX(Stammdaten[Krümmung (mm/lfm)],MATCH(Tabelle10[[#This Row],[Rank]],Stammdaten[Rank Verteilung Krümmung],0))</f>
        <v>#N/A</v>
      </c>
      <c r="U1243" t="e">
        <f>VLOOKUP(Tabelle10[[#This Row],[Rank]],Stammdaten[[Rank Verteilung Krümmung]:[Verteilung Krümmung]],2,FALSE)</f>
        <v>#N/A</v>
      </c>
      <c r="Z1243">
        <v>1234</v>
      </c>
      <c r="AA1243" t="e">
        <f>INDEX(Stammdaten[Ovalität (']0,1'])],MATCH(Tabelle1014[[#This Row],[Rank]],Stammdaten[Rank Verteilung Ovalität],0))</f>
        <v>#N/A</v>
      </c>
      <c r="AB1243" t="e">
        <f>VLOOKUP(Tabelle1014[[#This Row],[Rank]],Stammdaten[[Rank Verteilung Ovalität]:[Verteilung Ovalität]],2,FALSE)</f>
        <v>#N/A</v>
      </c>
    </row>
    <row r="1244" spans="5:28" x14ac:dyDescent="0.35">
      <c r="E1244">
        <v>1235</v>
      </c>
      <c r="F1244" t="e">
        <f>INDEX(Stammdaten[D Mitte mit Rinde (mm)],MATCH(Tabelle8[[#This Row],[Rank]],Stammdaten[Rank Verteilung D Mitte mit Rinde],0))</f>
        <v>#N/A</v>
      </c>
      <c r="G1244" t="e">
        <f>VLOOKUP(Tabelle8[[#This Row],[Rank]],Stammdaten[[Rank Verteilung D Mitte mit Rinde]:[Verteilung D Mitte mit Rinde]],2,FALSE)</f>
        <v>#N/A</v>
      </c>
      <c r="L1244">
        <v>1235</v>
      </c>
      <c r="M1244" t="e">
        <f>INDEX(Stammdaten[Abholzigkeit (mm/lfm)],MATCH(Tabelle9[[#This Row],[Rank]],Stammdaten[Rank Verteilung Abholzigkeit],0))</f>
        <v>#N/A</v>
      </c>
      <c r="N1244" t="e">
        <f>VLOOKUP(Tabelle9[[#This Row],[Rank]],Stammdaten[[Rank Verteilung Abholzigkeit]:[Verteilung Abholzigkeit]],2,FALSE)</f>
        <v>#N/A</v>
      </c>
      <c r="S1244">
        <v>1235</v>
      </c>
      <c r="T1244" t="e">
        <f>INDEX(Stammdaten[Krümmung (mm/lfm)],MATCH(Tabelle10[[#This Row],[Rank]],Stammdaten[Rank Verteilung Krümmung],0))</f>
        <v>#N/A</v>
      </c>
      <c r="U1244" t="e">
        <f>VLOOKUP(Tabelle10[[#This Row],[Rank]],Stammdaten[[Rank Verteilung Krümmung]:[Verteilung Krümmung]],2,FALSE)</f>
        <v>#N/A</v>
      </c>
      <c r="Z1244">
        <v>1235</v>
      </c>
      <c r="AA1244" t="e">
        <f>INDEX(Stammdaten[Ovalität (']0,1'])],MATCH(Tabelle1014[[#This Row],[Rank]],Stammdaten[Rank Verteilung Ovalität],0))</f>
        <v>#N/A</v>
      </c>
      <c r="AB1244" t="e">
        <f>VLOOKUP(Tabelle1014[[#This Row],[Rank]],Stammdaten[[Rank Verteilung Ovalität]:[Verteilung Ovalität]],2,FALSE)</f>
        <v>#N/A</v>
      </c>
    </row>
    <row r="1245" spans="5:28" x14ac:dyDescent="0.35">
      <c r="E1245">
        <v>1236</v>
      </c>
      <c r="F1245" t="e">
        <f>INDEX(Stammdaten[D Mitte mit Rinde (mm)],MATCH(Tabelle8[[#This Row],[Rank]],Stammdaten[Rank Verteilung D Mitte mit Rinde],0))</f>
        <v>#N/A</v>
      </c>
      <c r="G1245" t="e">
        <f>VLOOKUP(Tabelle8[[#This Row],[Rank]],Stammdaten[[Rank Verteilung D Mitte mit Rinde]:[Verteilung D Mitte mit Rinde]],2,FALSE)</f>
        <v>#N/A</v>
      </c>
      <c r="L1245">
        <v>1236</v>
      </c>
      <c r="M1245" t="e">
        <f>INDEX(Stammdaten[Abholzigkeit (mm/lfm)],MATCH(Tabelle9[[#This Row],[Rank]],Stammdaten[Rank Verteilung Abholzigkeit],0))</f>
        <v>#N/A</v>
      </c>
      <c r="N1245" t="e">
        <f>VLOOKUP(Tabelle9[[#This Row],[Rank]],Stammdaten[[Rank Verteilung Abholzigkeit]:[Verteilung Abholzigkeit]],2,FALSE)</f>
        <v>#N/A</v>
      </c>
      <c r="S1245">
        <v>1236</v>
      </c>
      <c r="T1245" t="e">
        <f>INDEX(Stammdaten[Krümmung (mm/lfm)],MATCH(Tabelle10[[#This Row],[Rank]],Stammdaten[Rank Verteilung Krümmung],0))</f>
        <v>#N/A</v>
      </c>
      <c r="U1245" t="e">
        <f>VLOOKUP(Tabelle10[[#This Row],[Rank]],Stammdaten[[Rank Verteilung Krümmung]:[Verteilung Krümmung]],2,FALSE)</f>
        <v>#N/A</v>
      </c>
      <c r="Z1245">
        <v>1236</v>
      </c>
      <c r="AA1245" t="e">
        <f>INDEX(Stammdaten[Ovalität (']0,1'])],MATCH(Tabelle1014[[#This Row],[Rank]],Stammdaten[Rank Verteilung Ovalität],0))</f>
        <v>#N/A</v>
      </c>
      <c r="AB1245" t="e">
        <f>VLOOKUP(Tabelle1014[[#This Row],[Rank]],Stammdaten[[Rank Verteilung Ovalität]:[Verteilung Ovalität]],2,FALSE)</f>
        <v>#N/A</v>
      </c>
    </row>
    <row r="1246" spans="5:28" x14ac:dyDescent="0.35">
      <c r="E1246">
        <v>1237</v>
      </c>
      <c r="F1246" t="e">
        <f>INDEX(Stammdaten[D Mitte mit Rinde (mm)],MATCH(Tabelle8[[#This Row],[Rank]],Stammdaten[Rank Verteilung D Mitte mit Rinde],0))</f>
        <v>#N/A</v>
      </c>
      <c r="G1246" t="e">
        <f>VLOOKUP(Tabelle8[[#This Row],[Rank]],Stammdaten[[Rank Verteilung D Mitte mit Rinde]:[Verteilung D Mitte mit Rinde]],2,FALSE)</f>
        <v>#N/A</v>
      </c>
      <c r="L1246">
        <v>1237</v>
      </c>
      <c r="M1246" t="e">
        <f>INDEX(Stammdaten[Abholzigkeit (mm/lfm)],MATCH(Tabelle9[[#This Row],[Rank]],Stammdaten[Rank Verteilung Abholzigkeit],0))</f>
        <v>#N/A</v>
      </c>
      <c r="N1246" t="e">
        <f>VLOOKUP(Tabelle9[[#This Row],[Rank]],Stammdaten[[Rank Verteilung Abholzigkeit]:[Verteilung Abholzigkeit]],2,FALSE)</f>
        <v>#N/A</v>
      </c>
      <c r="S1246">
        <v>1237</v>
      </c>
      <c r="T1246" t="e">
        <f>INDEX(Stammdaten[Krümmung (mm/lfm)],MATCH(Tabelle10[[#This Row],[Rank]],Stammdaten[Rank Verteilung Krümmung],0))</f>
        <v>#N/A</v>
      </c>
      <c r="U1246" t="e">
        <f>VLOOKUP(Tabelle10[[#This Row],[Rank]],Stammdaten[[Rank Verteilung Krümmung]:[Verteilung Krümmung]],2,FALSE)</f>
        <v>#N/A</v>
      </c>
      <c r="Z1246">
        <v>1237</v>
      </c>
      <c r="AA1246" t="e">
        <f>INDEX(Stammdaten[Ovalität (']0,1'])],MATCH(Tabelle1014[[#This Row],[Rank]],Stammdaten[Rank Verteilung Ovalität],0))</f>
        <v>#N/A</v>
      </c>
      <c r="AB1246" t="e">
        <f>VLOOKUP(Tabelle1014[[#This Row],[Rank]],Stammdaten[[Rank Verteilung Ovalität]:[Verteilung Ovalität]],2,FALSE)</f>
        <v>#N/A</v>
      </c>
    </row>
    <row r="1247" spans="5:28" x14ac:dyDescent="0.35">
      <c r="E1247">
        <v>1238</v>
      </c>
      <c r="F1247" t="e">
        <f>INDEX(Stammdaten[D Mitte mit Rinde (mm)],MATCH(Tabelle8[[#This Row],[Rank]],Stammdaten[Rank Verteilung D Mitte mit Rinde],0))</f>
        <v>#N/A</v>
      </c>
      <c r="G1247" t="e">
        <f>VLOOKUP(Tabelle8[[#This Row],[Rank]],Stammdaten[[Rank Verteilung D Mitte mit Rinde]:[Verteilung D Mitte mit Rinde]],2,FALSE)</f>
        <v>#N/A</v>
      </c>
      <c r="L1247">
        <v>1238</v>
      </c>
      <c r="M1247" t="e">
        <f>INDEX(Stammdaten[Abholzigkeit (mm/lfm)],MATCH(Tabelle9[[#This Row],[Rank]],Stammdaten[Rank Verteilung Abholzigkeit],0))</f>
        <v>#N/A</v>
      </c>
      <c r="N1247" t="e">
        <f>VLOOKUP(Tabelle9[[#This Row],[Rank]],Stammdaten[[Rank Verteilung Abholzigkeit]:[Verteilung Abholzigkeit]],2,FALSE)</f>
        <v>#N/A</v>
      </c>
      <c r="S1247">
        <v>1238</v>
      </c>
      <c r="T1247" t="e">
        <f>INDEX(Stammdaten[Krümmung (mm/lfm)],MATCH(Tabelle10[[#This Row],[Rank]],Stammdaten[Rank Verteilung Krümmung],0))</f>
        <v>#N/A</v>
      </c>
      <c r="U1247" t="e">
        <f>VLOOKUP(Tabelle10[[#This Row],[Rank]],Stammdaten[[Rank Verteilung Krümmung]:[Verteilung Krümmung]],2,FALSE)</f>
        <v>#N/A</v>
      </c>
      <c r="Z1247">
        <v>1238</v>
      </c>
      <c r="AA1247" t="e">
        <f>INDEX(Stammdaten[Ovalität (']0,1'])],MATCH(Tabelle1014[[#This Row],[Rank]],Stammdaten[Rank Verteilung Ovalität],0))</f>
        <v>#N/A</v>
      </c>
      <c r="AB1247" t="e">
        <f>VLOOKUP(Tabelle1014[[#This Row],[Rank]],Stammdaten[[Rank Verteilung Ovalität]:[Verteilung Ovalität]],2,FALSE)</f>
        <v>#N/A</v>
      </c>
    </row>
    <row r="1248" spans="5:28" x14ac:dyDescent="0.35">
      <c r="E1248">
        <v>1239</v>
      </c>
      <c r="F1248" t="e">
        <f>INDEX(Stammdaten[D Mitte mit Rinde (mm)],MATCH(Tabelle8[[#This Row],[Rank]],Stammdaten[Rank Verteilung D Mitte mit Rinde],0))</f>
        <v>#N/A</v>
      </c>
      <c r="G1248" t="e">
        <f>VLOOKUP(Tabelle8[[#This Row],[Rank]],Stammdaten[[Rank Verteilung D Mitte mit Rinde]:[Verteilung D Mitte mit Rinde]],2,FALSE)</f>
        <v>#N/A</v>
      </c>
      <c r="L1248">
        <v>1239</v>
      </c>
      <c r="M1248" t="e">
        <f>INDEX(Stammdaten[Abholzigkeit (mm/lfm)],MATCH(Tabelle9[[#This Row],[Rank]],Stammdaten[Rank Verteilung Abholzigkeit],0))</f>
        <v>#N/A</v>
      </c>
      <c r="N1248" t="e">
        <f>VLOOKUP(Tabelle9[[#This Row],[Rank]],Stammdaten[[Rank Verteilung Abholzigkeit]:[Verteilung Abholzigkeit]],2,FALSE)</f>
        <v>#N/A</v>
      </c>
      <c r="S1248">
        <v>1239</v>
      </c>
      <c r="T1248" t="e">
        <f>INDEX(Stammdaten[Krümmung (mm/lfm)],MATCH(Tabelle10[[#This Row],[Rank]],Stammdaten[Rank Verteilung Krümmung],0))</f>
        <v>#N/A</v>
      </c>
      <c r="U1248" t="e">
        <f>VLOOKUP(Tabelle10[[#This Row],[Rank]],Stammdaten[[Rank Verteilung Krümmung]:[Verteilung Krümmung]],2,FALSE)</f>
        <v>#N/A</v>
      </c>
      <c r="Z1248">
        <v>1239</v>
      </c>
      <c r="AA1248" t="e">
        <f>INDEX(Stammdaten[Ovalität (']0,1'])],MATCH(Tabelle1014[[#This Row],[Rank]],Stammdaten[Rank Verteilung Ovalität],0))</f>
        <v>#N/A</v>
      </c>
      <c r="AB1248" t="e">
        <f>VLOOKUP(Tabelle1014[[#This Row],[Rank]],Stammdaten[[Rank Verteilung Ovalität]:[Verteilung Ovalität]],2,FALSE)</f>
        <v>#N/A</v>
      </c>
    </row>
    <row r="1249" spans="5:28" x14ac:dyDescent="0.35">
      <c r="E1249">
        <v>1240</v>
      </c>
      <c r="F1249" t="e">
        <f>INDEX(Stammdaten[D Mitte mit Rinde (mm)],MATCH(Tabelle8[[#This Row],[Rank]],Stammdaten[Rank Verteilung D Mitte mit Rinde],0))</f>
        <v>#N/A</v>
      </c>
      <c r="G1249" t="e">
        <f>VLOOKUP(Tabelle8[[#This Row],[Rank]],Stammdaten[[Rank Verteilung D Mitte mit Rinde]:[Verteilung D Mitte mit Rinde]],2,FALSE)</f>
        <v>#N/A</v>
      </c>
      <c r="L1249">
        <v>1240</v>
      </c>
      <c r="M1249" t="e">
        <f>INDEX(Stammdaten[Abholzigkeit (mm/lfm)],MATCH(Tabelle9[[#This Row],[Rank]],Stammdaten[Rank Verteilung Abholzigkeit],0))</f>
        <v>#N/A</v>
      </c>
      <c r="N1249" t="e">
        <f>VLOOKUP(Tabelle9[[#This Row],[Rank]],Stammdaten[[Rank Verteilung Abholzigkeit]:[Verteilung Abholzigkeit]],2,FALSE)</f>
        <v>#N/A</v>
      </c>
      <c r="S1249">
        <v>1240</v>
      </c>
      <c r="T1249" t="e">
        <f>INDEX(Stammdaten[Krümmung (mm/lfm)],MATCH(Tabelle10[[#This Row],[Rank]],Stammdaten[Rank Verteilung Krümmung],0))</f>
        <v>#N/A</v>
      </c>
      <c r="U1249" t="e">
        <f>VLOOKUP(Tabelle10[[#This Row],[Rank]],Stammdaten[[Rank Verteilung Krümmung]:[Verteilung Krümmung]],2,FALSE)</f>
        <v>#N/A</v>
      </c>
      <c r="Z1249">
        <v>1240</v>
      </c>
      <c r="AA1249" t="e">
        <f>INDEX(Stammdaten[Ovalität (']0,1'])],MATCH(Tabelle1014[[#This Row],[Rank]],Stammdaten[Rank Verteilung Ovalität],0))</f>
        <v>#N/A</v>
      </c>
      <c r="AB1249" t="e">
        <f>VLOOKUP(Tabelle1014[[#This Row],[Rank]],Stammdaten[[Rank Verteilung Ovalität]:[Verteilung Ovalität]],2,FALSE)</f>
        <v>#N/A</v>
      </c>
    </row>
    <row r="1250" spans="5:28" x14ac:dyDescent="0.35">
      <c r="E1250">
        <v>1241</v>
      </c>
      <c r="F1250" t="e">
        <f>INDEX(Stammdaten[D Mitte mit Rinde (mm)],MATCH(Tabelle8[[#This Row],[Rank]],Stammdaten[Rank Verteilung D Mitte mit Rinde],0))</f>
        <v>#N/A</v>
      </c>
      <c r="G1250" t="e">
        <f>VLOOKUP(Tabelle8[[#This Row],[Rank]],Stammdaten[[Rank Verteilung D Mitte mit Rinde]:[Verteilung D Mitte mit Rinde]],2,FALSE)</f>
        <v>#N/A</v>
      </c>
      <c r="L1250">
        <v>1241</v>
      </c>
      <c r="M1250" t="e">
        <f>INDEX(Stammdaten[Abholzigkeit (mm/lfm)],MATCH(Tabelle9[[#This Row],[Rank]],Stammdaten[Rank Verteilung Abholzigkeit],0))</f>
        <v>#N/A</v>
      </c>
      <c r="N1250" t="e">
        <f>VLOOKUP(Tabelle9[[#This Row],[Rank]],Stammdaten[[Rank Verteilung Abholzigkeit]:[Verteilung Abholzigkeit]],2,FALSE)</f>
        <v>#N/A</v>
      </c>
      <c r="S1250">
        <v>1241</v>
      </c>
      <c r="T1250" t="e">
        <f>INDEX(Stammdaten[Krümmung (mm/lfm)],MATCH(Tabelle10[[#This Row],[Rank]],Stammdaten[Rank Verteilung Krümmung],0))</f>
        <v>#N/A</v>
      </c>
      <c r="U1250" t="e">
        <f>VLOOKUP(Tabelle10[[#This Row],[Rank]],Stammdaten[[Rank Verteilung Krümmung]:[Verteilung Krümmung]],2,FALSE)</f>
        <v>#N/A</v>
      </c>
      <c r="Z1250">
        <v>1241</v>
      </c>
      <c r="AA1250" t="e">
        <f>INDEX(Stammdaten[Ovalität (']0,1'])],MATCH(Tabelle1014[[#This Row],[Rank]],Stammdaten[Rank Verteilung Ovalität],0))</f>
        <v>#N/A</v>
      </c>
      <c r="AB1250" t="e">
        <f>VLOOKUP(Tabelle1014[[#This Row],[Rank]],Stammdaten[[Rank Verteilung Ovalität]:[Verteilung Ovalität]],2,FALSE)</f>
        <v>#N/A</v>
      </c>
    </row>
    <row r="1251" spans="5:28" x14ac:dyDescent="0.35">
      <c r="E1251">
        <v>1242</v>
      </c>
      <c r="F1251" t="e">
        <f>INDEX(Stammdaten[D Mitte mit Rinde (mm)],MATCH(Tabelle8[[#This Row],[Rank]],Stammdaten[Rank Verteilung D Mitte mit Rinde],0))</f>
        <v>#N/A</v>
      </c>
      <c r="G1251" t="e">
        <f>VLOOKUP(Tabelle8[[#This Row],[Rank]],Stammdaten[[Rank Verteilung D Mitte mit Rinde]:[Verteilung D Mitte mit Rinde]],2,FALSE)</f>
        <v>#N/A</v>
      </c>
      <c r="L1251">
        <v>1242</v>
      </c>
      <c r="M1251" t="e">
        <f>INDEX(Stammdaten[Abholzigkeit (mm/lfm)],MATCH(Tabelle9[[#This Row],[Rank]],Stammdaten[Rank Verteilung Abholzigkeit],0))</f>
        <v>#N/A</v>
      </c>
      <c r="N1251" t="e">
        <f>VLOOKUP(Tabelle9[[#This Row],[Rank]],Stammdaten[[Rank Verteilung Abholzigkeit]:[Verteilung Abholzigkeit]],2,FALSE)</f>
        <v>#N/A</v>
      </c>
      <c r="S1251">
        <v>1242</v>
      </c>
      <c r="T1251" t="e">
        <f>INDEX(Stammdaten[Krümmung (mm/lfm)],MATCH(Tabelle10[[#This Row],[Rank]],Stammdaten[Rank Verteilung Krümmung],0))</f>
        <v>#N/A</v>
      </c>
      <c r="U1251" t="e">
        <f>VLOOKUP(Tabelle10[[#This Row],[Rank]],Stammdaten[[Rank Verteilung Krümmung]:[Verteilung Krümmung]],2,FALSE)</f>
        <v>#N/A</v>
      </c>
      <c r="Z1251">
        <v>1242</v>
      </c>
      <c r="AA1251" t="e">
        <f>INDEX(Stammdaten[Ovalität (']0,1'])],MATCH(Tabelle1014[[#This Row],[Rank]],Stammdaten[Rank Verteilung Ovalität],0))</f>
        <v>#N/A</v>
      </c>
      <c r="AB1251" t="e">
        <f>VLOOKUP(Tabelle1014[[#This Row],[Rank]],Stammdaten[[Rank Verteilung Ovalität]:[Verteilung Ovalität]],2,FALSE)</f>
        <v>#N/A</v>
      </c>
    </row>
    <row r="1252" spans="5:28" x14ac:dyDescent="0.35">
      <c r="E1252">
        <v>1243</v>
      </c>
      <c r="F1252" t="e">
        <f>INDEX(Stammdaten[D Mitte mit Rinde (mm)],MATCH(Tabelle8[[#This Row],[Rank]],Stammdaten[Rank Verteilung D Mitte mit Rinde],0))</f>
        <v>#N/A</v>
      </c>
      <c r="G1252" t="e">
        <f>VLOOKUP(Tabelle8[[#This Row],[Rank]],Stammdaten[[Rank Verteilung D Mitte mit Rinde]:[Verteilung D Mitte mit Rinde]],2,FALSE)</f>
        <v>#N/A</v>
      </c>
      <c r="L1252">
        <v>1243</v>
      </c>
      <c r="M1252" t="e">
        <f>INDEX(Stammdaten[Abholzigkeit (mm/lfm)],MATCH(Tabelle9[[#This Row],[Rank]],Stammdaten[Rank Verteilung Abholzigkeit],0))</f>
        <v>#N/A</v>
      </c>
      <c r="N1252" t="e">
        <f>VLOOKUP(Tabelle9[[#This Row],[Rank]],Stammdaten[[Rank Verteilung Abholzigkeit]:[Verteilung Abholzigkeit]],2,FALSE)</f>
        <v>#N/A</v>
      </c>
      <c r="S1252">
        <v>1243</v>
      </c>
      <c r="T1252" t="e">
        <f>INDEX(Stammdaten[Krümmung (mm/lfm)],MATCH(Tabelle10[[#This Row],[Rank]],Stammdaten[Rank Verteilung Krümmung],0))</f>
        <v>#N/A</v>
      </c>
      <c r="U1252" t="e">
        <f>VLOOKUP(Tabelle10[[#This Row],[Rank]],Stammdaten[[Rank Verteilung Krümmung]:[Verteilung Krümmung]],2,FALSE)</f>
        <v>#N/A</v>
      </c>
      <c r="Z1252">
        <v>1243</v>
      </c>
      <c r="AA1252" t="e">
        <f>INDEX(Stammdaten[Ovalität (']0,1'])],MATCH(Tabelle1014[[#This Row],[Rank]],Stammdaten[Rank Verteilung Ovalität],0))</f>
        <v>#N/A</v>
      </c>
      <c r="AB1252" t="e">
        <f>VLOOKUP(Tabelle1014[[#This Row],[Rank]],Stammdaten[[Rank Verteilung Ovalität]:[Verteilung Ovalität]],2,FALSE)</f>
        <v>#N/A</v>
      </c>
    </row>
    <row r="1253" spans="5:28" x14ac:dyDescent="0.35">
      <c r="E1253">
        <v>1244</v>
      </c>
      <c r="F1253" t="e">
        <f>INDEX(Stammdaten[D Mitte mit Rinde (mm)],MATCH(Tabelle8[[#This Row],[Rank]],Stammdaten[Rank Verteilung D Mitte mit Rinde],0))</f>
        <v>#N/A</v>
      </c>
      <c r="G1253" t="e">
        <f>VLOOKUP(Tabelle8[[#This Row],[Rank]],Stammdaten[[Rank Verteilung D Mitte mit Rinde]:[Verteilung D Mitte mit Rinde]],2,FALSE)</f>
        <v>#N/A</v>
      </c>
      <c r="L1253">
        <v>1244</v>
      </c>
      <c r="M1253" t="e">
        <f>INDEX(Stammdaten[Abholzigkeit (mm/lfm)],MATCH(Tabelle9[[#This Row],[Rank]],Stammdaten[Rank Verteilung Abholzigkeit],0))</f>
        <v>#N/A</v>
      </c>
      <c r="N1253" t="e">
        <f>VLOOKUP(Tabelle9[[#This Row],[Rank]],Stammdaten[[Rank Verteilung Abholzigkeit]:[Verteilung Abholzigkeit]],2,FALSE)</f>
        <v>#N/A</v>
      </c>
      <c r="S1253">
        <v>1244</v>
      </c>
      <c r="T1253" t="e">
        <f>INDEX(Stammdaten[Krümmung (mm/lfm)],MATCH(Tabelle10[[#This Row],[Rank]],Stammdaten[Rank Verteilung Krümmung],0))</f>
        <v>#N/A</v>
      </c>
      <c r="U1253" t="e">
        <f>VLOOKUP(Tabelle10[[#This Row],[Rank]],Stammdaten[[Rank Verteilung Krümmung]:[Verteilung Krümmung]],2,FALSE)</f>
        <v>#N/A</v>
      </c>
      <c r="Z1253">
        <v>1244</v>
      </c>
      <c r="AA1253" t="e">
        <f>INDEX(Stammdaten[Ovalität (']0,1'])],MATCH(Tabelle1014[[#This Row],[Rank]],Stammdaten[Rank Verteilung Ovalität],0))</f>
        <v>#N/A</v>
      </c>
      <c r="AB1253" t="e">
        <f>VLOOKUP(Tabelle1014[[#This Row],[Rank]],Stammdaten[[Rank Verteilung Ovalität]:[Verteilung Ovalität]],2,FALSE)</f>
        <v>#N/A</v>
      </c>
    </row>
    <row r="1254" spans="5:28" x14ac:dyDescent="0.35">
      <c r="E1254">
        <v>1245</v>
      </c>
      <c r="F1254" t="e">
        <f>INDEX(Stammdaten[D Mitte mit Rinde (mm)],MATCH(Tabelle8[[#This Row],[Rank]],Stammdaten[Rank Verteilung D Mitte mit Rinde],0))</f>
        <v>#N/A</v>
      </c>
      <c r="G1254" t="e">
        <f>VLOOKUP(Tabelle8[[#This Row],[Rank]],Stammdaten[[Rank Verteilung D Mitte mit Rinde]:[Verteilung D Mitte mit Rinde]],2,FALSE)</f>
        <v>#N/A</v>
      </c>
      <c r="L1254">
        <v>1245</v>
      </c>
      <c r="M1254" t="e">
        <f>INDEX(Stammdaten[Abholzigkeit (mm/lfm)],MATCH(Tabelle9[[#This Row],[Rank]],Stammdaten[Rank Verteilung Abholzigkeit],0))</f>
        <v>#N/A</v>
      </c>
      <c r="N1254" t="e">
        <f>VLOOKUP(Tabelle9[[#This Row],[Rank]],Stammdaten[[Rank Verteilung Abholzigkeit]:[Verteilung Abholzigkeit]],2,FALSE)</f>
        <v>#N/A</v>
      </c>
      <c r="S1254">
        <v>1245</v>
      </c>
      <c r="T1254" t="e">
        <f>INDEX(Stammdaten[Krümmung (mm/lfm)],MATCH(Tabelle10[[#This Row],[Rank]],Stammdaten[Rank Verteilung Krümmung],0))</f>
        <v>#N/A</v>
      </c>
      <c r="U1254" t="e">
        <f>VLOOKUP(Tabelle10[[#This Row],[Rank]],Stammdaten[[Rank Verteilung Krümmung]:[Verteilung Krümmung]],2,FALSE)</f>
        <v>#N/A</v>
      </c>
      <c r="Z1254">
        <v>1245</v>
      </c>
      <c r="AA1254" t="e">
        <f>INDEX(Stammdaten[Ovalität (']0,1'])],MATCH(Tabelle1014[[#This Row],[Rank]],Stammdaten[Rank Verteilung Ovalität],0))</f>
        <v>#N/A</v>
      </c>
      <c r="AB1254" t="e">
        <f>VLOOKUP(Tabelle1014[[#This Row],[Rank]],Stammdaten[[Rank Verteilung Ovalität]:[Verteilung Ovalität]],2,FALSE)</f>
        <v>#N/A</v>
      </c>
    </row>
    <row r="1255" spans="5:28" x14ac:dyDescent="0.35">
      <c r="E1255">
        <v>1246</v>
      </c>
      <c r="F1255" t="e">
        <f>INDEX(Stammdaten[D Mitte mit Rinde (mm)],MATCH(Tabelle8[[#This Row],[Rank]],Stammdaten[Rank Verteilung D Mitte mit Rinde],0))</f>
        <v>#N/A</v>
      </c>
      <c r="G1255" t="e">
        <f>VLOOKUP(Tabelle8[[#This Row],[Rank]],Stammdaten[[Rank Verteilung D Mitte mit Rinde]:[Verteilung D Mitte mit Rinde]],2,FALSE)</f>
        <v>#N/A</v>
      </c>
      <c r="L1255">
        <v>1246</v>
      </c>
      <c r="M1255" t="e">
        <f>INDEX(Stammdaten[Abholzigkeit (mm/lfm)],MATCH(Tabelle9[[#This Row],[Rank]],Stammdaten[Rank Verteilung Abholzigkeit],0))</f>
        <v>#N/A</v>
      </c>
      <c r="N1255" t="e">
        <f>VLOOKUP(Tabelle9[[#This Row],[Rank]],Stammdaten[[Rank Verteilung Abholzigkeit]:[Verteilung Abholzigkeit]],2,FALSE)</f>
        <v>#N/A</v>
      </c>
      <c r="S1255">
        <v>1246</v>
      </c>
      <c r="T1255" t="e">
        <f>INDEX(Stammdaten[Krümmung (mm/lfm)],MATCH(Tabelle10[[#This Row],[Rank]],Stammdaten[Rank Verteilung Krümmung],0))</f>
        <v>#N/A</v>
      </c>
      <c r="U1255" t="e">
        <f>VLOOKUP(Tabelle10[[#This Row],[Rank]],Stammdaten[[Rank Verteilung Krümmung]:[Verteilung Krümmung]],2,FALSE)</f>
        <v>#N/A</v>
      </c>
      <c r="Z1255">
        <v>1246</v>
      </c>
      <c r="AA1255" t="e">
        <f>INDEX(Stammdaten[Ovalität (']0,1'])],MATCH(Tabelle1014[[#This Row],[Rank]],Stammdaten[Rank Verteilung Ovalität],0))</f>
        <v>#N/A</v>
      </c>
      <c r="AB1255" t="e">
        <f>VLOOKUP(Tabelle1014[[#This Row],[Rank]],Stammdaten[[Rank Verteilung Ovalität]:[Verteilung Ovalität]],2,FALSE)</f>
        <v>#N/A</v>
      </c>
    </row>
    <row r="1256" spans="5:28" x14ac:dyDescent="0.35">
      <c r="E1256">
        <v>1247</v>
      </c>
      <c r="F1256" t="e">
        <f>INDEX(Stammdaten[D Mitte mit Rinde (mm)],MATCH(Tabelle8[[#This Row],[Rank]],Stammdaten[Rank Verteilung D Mitte mit Rinde],0))</f>
        <v>#N/A</v>
      </c>
      <c r="G1256" t="e">
        <f>VLOOKUP(Tabelle8[[#This Row],[Rank]],Stammdaten[[Rank Verteilung D Mitte mit Rinde]:[Verteilung D Mitte mit Rinde]],2,FALSE)</f>
        <v>#N/A</v>
      </c>
      <c r="L1256">
        <v>1247</v>
      </c>
      <c r="M1256" t="e">
        <f>INDEX(Stammdaten[Abholzigkeit (mm/lfm)],MATCH(Tabelle9[[#This Row],[Rank]],Stammdaten[Rank Verteilung Abholzigkeit],0))</f>
        <v>#N/A</v>
      </c>
      <c r="N1256" t="e">
        <f>VLOOKUP(Tabelle9[[#This Row],[Rank]],Stammdaten[[Rank Verteilung Abholzigkeit]:[Verteilung Abholzigkeit]],2,FALSE)</f>
        <v>#N/A</v>
      </c>
      <c r="S1256">
        <v>1247</v>
      </c>
      <c r="T1256" t="e">
        <f>INDEX(Stammdaten[Krümmung (mm/lfm)],MATCH(Tabelle10[[#This Row],[Rank]],Stammdaten[Rank Verteilung Krümmung],0))</f>
        <v>#N/A</v>
      </c>
      <c r="U1256" t="e">
        <f>VLOOKUP(Tabelle10[[#This Row],[Rank]],Stammdaten[[Rank Verteilung Krümmung]:[Verteilung Krümmung]],2,FALSE)</f>
        <v>#N/A</v>
      </c>
      <c r="Z1256">
        <v>1247</v>
      </c>
      <c r="AA1256" t="e">
        <f>INDEX(Stammdaten[Ovalität (']0,1'])],MATCH(Tabelle1014[[#This Row],[Rank]],Stammdaten[Rank Verteilung Ovalität],0))</f>
        <v>#N/A</v>
      </c>
      <c r="AB1256" t="e">
        <f>VLOOKUP(Tabelle1014[[#This Row],[Rank]],Stammdaten[[Rank Verteilung Ovalität]:[Verteilung Ovalität]],2,FALSE)</f>
        <v>#N/A</v>
      </c>
    </row>
    <row r="1257" spans="5:28" x14ac:dyDescent="0.35">
      <c r="E1257">
        <v>1248</v>
      </c>
      <c r="F1257" t="e">
        <f>INDEX(Stammdaten[D Mitte mit Rinde (mm)],MATCH(Tabelle8[[#This Row],[Rank]],Stammdaten[Rank Verteilung D Mitte mit Rinde],0))</f>
        <v>#N/A</v>
      </c>
      <c r="G1257" t="e">
        <f>VLOOKUP(Tabelle8[[#This Row],[Rank]],Stammdaten[[Rank Verteilung D Mitte mit Rinde]:[Verteilung D Mitte mit Rinde]],2,FALSE)</f>
        <v>#N/A</v>
      </c>
      <c r="L1257">
        <v>1248</v>
      </c>
      <c r="M1257" t="e">
        <f>INDEX(Stammdaten[Abholzigkeit (mm/lfm)],MATCH(Tabelle9[[#This Row],[Rank]],Stammdaten[Rank Verteilung Abholzigkeit],0))</f>
        <v>#N/A</v>
      </c>
      <c r="N1257" t="e">
        <f>VLOOKUP(Tabelle9[[#This Row],[Rank]],Stammdaten[[Rank Verteilung Abholzigkeit]:[Verteilung Abholzigkeit]],2,FALSE)</f>
        <v>#N/A</v>
      </c>
      <c r="S1257">
        <v>1248</v>
      </c>
      <c r="T1257" t="e">
        <f>INDEX(Stammdaten[Krümmung (mm/lfm)],MATCH(Tabelle10[[#This Row],[Rank]],Stammdaten[Rank Verteilung Krümmung],0))</f>
        <v>#N/A</v>
      </c>
      <c r="U1257" t="e">
        <f>VLOOKUP(Tabelle10[[#This Row],[Rank]],Stammdaten[[Rank Verteilung Krümmung]:[Verteilung Krümmung]],2,FALSE)</f>
        <v>#N/A</v>
      </c>
      <c r="Z1257">
        <v>1248</v>
      </c>
      <c r="AA1257" t="e">
        <f>INDEX(Stammdaten[Ovalität (']0,1'])],MATCH(Tabelle1014[[#This Row],[Rank]],Stammdaten[Rank Verteilung Ovalität],0))</f>
        <v>#N/A</v>
      </c>
      <c r="AB1257" t="e">
        <f>VLOOKUP(Tabelle1014[[#This Row],[Rank]],Stammdaten[[Rank Verteilung Ovalität]:[Verteilung Ovalität]],2,FALSE)</f>
        <v>#N/A</v>
      </c>
    </row>
    <row r="1258" spans="5:28" x14ac:dyDescent="0.35">
      <c r="E1258">
        <v>1249</v>
      </c>
      <c r="F1258" t="e">
        <f>INDEX(Stammdaten[D Mitte mit Rinde (mm)],MATCH(Tabelle8[[#This Row],[Rank]],Stammdaten[Rank Verteilung D Mitte mit Rinde],0))</f>
        <v>#N/A</v>
      </c>
      <c r="G1258" t="e">
        <f>VLOOKUP(Tabelle8[[#This Row],[Rank]],Stammdaten[[Rank Verteilung D Mitte mit Rinde]:[Verteilung D Mitte mit Rinde]],2,FALSE)</f>
        <v>#N/A</v>
      </c>
      <c r="L1258">
        <v>1249</v>
      </c>
      <c r="M1258" t="e">
        <f>INDEX(Stammdaten[Abholzigkeit (mm/lfm)],MATCH(Tabelle9[[#This Row],[Rank]],Stammdaten[Rank Verteilung Abholzigkeit],0))</f>
        <v>#N/A</v>
      </c>
      <c r="N1258" t="e">
        <f>VLOOKUP(Tabelle9[[#This Row],[Rank]],Stammdaten[[Rank Verteilung Abholzigkeit]:[Verteilung Abholzigkeit]],2,FALSE)</f>
        <v>#N/A</v>
      </c>
      <c r="S1258">
        <v>1249</v>
      </c>
      <c r="T1258" t="e">
        <f>INDEX(Stammdaten[Krümmung (mm/lfm)],MATCH(Tabelle10[[#This Row],[Rank]],Stammdaten[Rank Verteilung Krümmung],0))</f>
        <v>#N/A</v>
      </c>
      <c r="U1258" t="e">
        <f>VLOOKUP(Tabelle10[[#This Row],[Rank]],Stammdaten[[Rank Verteilung Krümmung]:[Verteilung Krümmung]],2,FALSE)</f>
        <v>#N/A</v>
      </c>
      <c r="Z1258">
        <v>1249</v>
      </c>
      <c r="AA1258" t="e">
        <f>INDEX(Stammdaten[Ovalität (']0,1'])],MATCH(Tabelle1014[[#This Row],[Rank]],Stammdaten[Rank Verteilung Ovalität],0))</f>
        <v>#N/A</v>
      </c>
      <c r="AB1258" t="e">
        <f>VLOOKUP(Tabelle1014[[#This Row],[Rank]],Stammdaten[[Rank Verteilung Ovalität]:[Verteilung Ovalität]],2,FALSE)</f>
        <v>#N/A</v>
      </c>
    </row>
    <row r="1259" spans="5:28" x14ac:dyDescent="0.35">
      <c r="E1259">
        <v>1250</v>
      </c>
      <c r="F1259" t="e">
        <f>INDEX(Stammdaten[D Mitte mit Rinde (mm)],MATCH(Tabelle8[[#This Row],[Rank]],Stammdaten[Rank Verteilung D Mitte mit Rinde],0))</f>
        <v>#N/A</v>
      </c>
      <c r="G1259" t="e">
        <f>VLOOKUP(Tabelle8[[#This Row],[Rank]],Stammdaten[[Rank Verteilung D Mitte mit Rinde]:[Verteilung D Mitte mit Rinde]],2,FALSE)</f>
        <v>#N/A</v>
      </c>
      <c r="L1259">
        <v>1250</v>
      </c>
      <c r="M1259" t="e">
        <f>INDEX(Stammdaten[Abholzigkeit (mm/lfm)],MATCH(Tabelle9[[#This Row],[Rank]],Stammdaten[Rank Verteilung Abholzigkeit],0))</f>
        <v>#N/A</v>
      </c>
      <c r="N1259" t="e">
        <f>VLOOKUP(Tabelle9[[#This Row],[Rank]],Stammdaten[[Rank Verteilung Abholzigkeit]:[Verteilung Abholzigkeit]],2,FALSE)</f>
        <v>#N/A</v>
      </c>
      <c r="S1259">
        <v>1250</v>
      </c>
      <c r="T1259" t="e">
        <f>INDEX(Stammdaten[Krümmung (mm/lfm)],MATCH(Tabelle10[[#This Row],[Rank]],Stammdaten[Rank Verteilung Krümmung],0))</f>
        <v>#N/A</v>
      </c>
      <c r="U1259" t="e">
        <f>VLOOKUP(Tabelle10[[#This Row],[Rank]],Stammdaten[[Rank Verteilung Krümmung]:[Verteilung Krümmung]],2,FALSE)</f>
        <v>#N/A</v>
      </c>
      <c r="Z1259">
        <v>1250</v>
      </c>
      <c r="AA1259" t="e">
        <f>INDEX(Stammdaten[Ovalität (']0,1'])],MATCH(Tabelle1014[[#This Row],[Rank]],Stammdaten[Rank Verteilung Ovalität],0))</f>
        <v>#N/A</v>
      </c>
      <c r="AB1259" t="e">
        <f>VLOOKUP(Tabelle1014[[#This Row],[Rank]],Stammdaten[[Rank Verteilung Ovalität]:[Verteilung Ovalität]],2,FALSE)</f>
        <v>#N/A</v>
      </c>
    </row>
    <row r="1260" spans="5:28" x14ac:dyDescent="0.35">
      <c r="E1260">
        <v>1251</v>
      </c>
      <c r="F1260" t="e">
        <f>INDEX(Stammdaten[D Mitte mit Rinde (mm)],MATCH(Tabelle8[[#This Row],[Rank]],Stammdaten[Rank Verteilung D Mitte mit Rinde],0))</f>
        <v>#N/A</v>
      </c>
      <c r="G1260" t="e">
        <f>VLOOKUP(Tabelle8[[#This Row],[Rank]],Stammdaten[[Rank Verteilung D Mitte mit Rinde]:[Verteilung D Mitte mit Rinde]],2,FALSE)</f>
        <v>#N/A</v>
      </c>
      <c r="L1260">
        <v>1251</v>
      </c>
      <c r="M1260" t="e">
        <f>INDEX(Stammdaten[Abholzigkeit (mm/lfm)],MATCH(Tabelle9[[#This Row],[Rank]],Stammdaten[Rank Verteilung Abholzigkeit],0))</f>
        <v>#N/A</v>
      </c>
      <c r="N1260" t="e">
        <f>VLOOKUP(Tabelle9[[#This Row],[Rank]],Stammdaten[[Rank Verteilung Abholzigkeit]:[Verteilung Abholzigkeit]],2,FALSE)</f>
        <v>#N/A</v>
      </c>
      <c r="S1260">
        <v>1251</v>
      </c>
      <c r="T1260" t="e">
        <f>INDEX(Stammdaten[Krümmung (mm/lfm)],MATCH(Tabelle10[[#This Row],[Rank]],Stammdaten[Rank Verteilung Krümmung],0))</f>
        <v>#N/A</v>
      </c>
      <c r="U1260" t="e">
        <f>VLOOKUP(Tabelle10[[#This Row],[Rank]],Stammdaten[[Rank Verteilung Krümmung]:[Verteilung Krümmung]],2,FALSE)</f>
        <v>#N/A</v>
      </c>
      <c r="Z1260">
        <v>1251</v>
      </c>
      <c r="AA1260" t="e">
        <f>INDEX(Stammdaten[Ovalität (']0,1'])],MATCH(Tabelle1014[[#This Row],[Rank]],Stammdaten[Rank Verteilung Ovalität],0))</f>
        <v>#N/A</v>
      </c>
      <c r="AB1260" t="e">
        <f>VLOOKUP(Tabelle1014[[#This Row],[Rank]],Stammdaten[[Rank Verteilung Ovalität]:[Verteilung Ovalität]],2,FALSE)</f>
        <v>#N/A</v>
      </c>
    </row>
    <row r="1261" spans="5:28" x14ac:dyDescent="0.35">
      <c r="E1261">
        <v>1252</v>
      </c>
      <c r="F1261" t="e">
        <f>INDEX(Stammdaten[D Mitte mit Rinde (mm)],MATCH(Tabelle8[[#This Row],[Rank]],Stammdaten[Rank Verteilung D Mitte mit Rinde],0))</f>
        <v>#N/A</v>
      </c>
      <c r="G1261" t="e">
        <f>VLOOKUP(Tabelle8[[#This Row],[Rank]],Stammdaten[[Rank Verteilung D Mitte mit Rinde]:[Verteilung D Mitte mit Rinde]],2,FALSE)</f>
        <v>#N/A</v>
      </c>
      <c r="L1261">
        <v>1252</v>
      </c>
      <c r="M1261" t="e">
        <f>INDEX(Stammdaten[Abholzigkeit (mm/lfm)],MATCH(Tabelle9[[#This Row],[Rank]],Stammdaten[Rank Verteilung Abholzigkeit],0))</f>
        <v>#N/A</v>
      </c>
      <c r="N1261" t="e">
        <f>VLOOKUP(Tabelle9[[#This Row],[Rank]],Stammdaten[[Rank Verteilung Abholzigkeit]:[Verteilung Abholzigkeit]],2,FALSE)</f>
        <v>#N/A</v>
      </c>
      <c r="S1261">
        <v>1252</v>
      </c>
      <c r="T1261" t="e">
        <f>INDEX(Stammdaten[Krümmung (mm/lfm)],MATCH(Tabelle10[[#This Row],[Rank]],Stammdaten[Rank Verteilung Krümmung],0))</f>
        <v>#N/A</v>
      </c>
      <c r="U1261" t="e">
        <f>VLOOKUP(Tabelle10[[#This Row],[Rank]],Stammdaten[[Rank Verteilung Krümmung]:[Verteilung Krümmung]],2,FALSE)</f>
        <v>#N/A</v>
      </c>
      <c r="Z1261">
        <v>1252</v>
      </c>
      <c r="AA1261" t="e">
        <f>INDEX(Stammdaten[Ovalität (']0,1'])],MATCH(Tabelle1014[[#This Row],[Rank]],Stammdaten[Rank Verteilung Ovalität],0))</f>
        <v>#N/A</v>
      </c>
      <c r="AB1261" t="e">
        <f>VLOOKUP(Tabelle1014[[#This Row],[Rank]],Stammdaten[[Rank Verteilung Ovalität]:[Verteilung Ovalität]],2,FALSE)</f>
        <v>#N/A</v>
      </c>
    </row>
    <row r="1262" spans="5:28" x14ac:dyDescent="0.35">
      <c r="E1262">
        <v>1253</v>
      </c>
      <c r="F1262" t="e">
        <f>INDEX(Stammdaten[D Mitte mit Rinde (mm)],MATCH(Tabelle8[[#This Row],[Rank]],Stammdaten[Rank Verteilung D Mitte mit Rinde],0))</f>
        <v>#N/A</v>
      </c>
      <c r="G1262" t="e">
        <f>VLOOKUP(Tabelle8[[#This Row],[Rank]],Stammdaten[[Rank Verteilung D Mitte mit Rinde]:[Verteilung D Mitte mit Rinde]],2,FALSE)</f>
        <v>#N/A</v>
      </c>
      <c r="L1262">
        <v>1253</v>
      </c>
      <c r="M1262" t="e">
        <f>INDEX(Stammdaten[Abholzigkeit (mm/lfm)],MATCH(Tabelle9[[#This Row],[Rank]],Stammdaten[Rank Verteilung Abholzigkeit],0))</f>
        <v>#N/A</v>
      </c>
      <c r="N1262" t="e">
        <f>VLOOKUP(Tabelle9[[#This Row],[Rank]],Stammdaten[[Rank Verteilung Abholzigkeit]:[Verteilung Abholzigkeit]],2,FALSE)</f>
        <v>#N/A</v>
      </c>
      <c r="S1262">
        <v>1253</v>
      </c>
      <c r="T1262" t="e">
        <f>INDEX(Stammdaten[Krümmung (mm/lfm)],MATCH(Tabelle10[[#This Row],[Rank]],Stammdaten[Rank Verteilung Krümmung],0))</f>
        <v>#N/A</v>
      </c>
      <c r="U1262" t="e">
        <f>VLOOKUP(Tabelle10[[#This Row],[Rank]],Stammdaten[[Rank Verteilung Krümmung]:[Verteilung Krümmung]],2,FALSE)</f>
        <v>#N/A</v>
      </c>
      <c r="Z1262">
        <v>1253</v>
      </c>
      <c r="AA1262" t="e">
        <f>INDEX(Stammdaten[Ovalität (']0,1'])],MATCH(Tabelle1014[[#This Row],[Rank]],Stammdaten[Rank Verteilung Ovalität],0))</f>
        <v>#N/A</v>
      </c>
      <c r="AB1262" t="e">
        <f>VLOOKUP(Tabelle1014[[#This Row],[Rank]],Stammdaten[[Rank Verteilung Ovalität]:[Verteilung Ovalität]],2,FALSE)</f>
        <v>#N/A</v>
      </c>
    </row>
    <row r="1263" spans="5:28" x14ac:dyDescent="0.35">
      <c r="E1263">
        <v>1254</v>
      </c>
      <c r="F1263" t="e">
        <f>INDEX(Stammdaten[D Mitte mit Rinde (mm)],MATCH(Tabelle8[[#This Row],[Rank]],Stammdaten[Rank Verteilung D Mitte mit Rinde],0))</f>
        <v>#N/A</v>
      </c>
      <c r="G1263" t="e">
        <f>VLOOKUP(Tabelle8[[#This Row],[Rank]],Stammdaten[[Rank Verteilung D Mitte mit Rinde]:[Verteilung D Mitte mit Rinde]],2,FALSE)</f>
        <v>#N/A</v>
      </c>
      <c r="L1263">
        <v>1254</v>
      </c>
      <c r="M1263" t="e">
        <f>INDEX(Stammdaten[Abholzigkeit (mm/lfm)],MATCH(Tabelle9[[#This Row],[Rank]],Stammdaten[Rank Verteilung Abholzigkeit],0))</f>
        <v>#N/A</v>
      </c>
      <c r="N1263" t="e">
        <f>VLOOKUP(Tabelle9[[#This Row],[Rank]],Stammdaten[[Rank Verteilung Abholzigkeit]:[Verteilung Abholzigkeit]],2,FALSE)</f>
        <v>#N/A</v>
      </c>
      <c r="S1263">
        <v>1254</v>
      </c>
      <c r="T1263" t="e">
        <f>INDEX(Stammdaten[Krümmung (mm/lfm)],MATCH(Tabelle10[[#This Row],[Rank]],Stammdaten[Rank Verteilung Krümmung],0))</f>
        <v>#N/A</v>
      </c>
      <c r="U1263" t="e">
        <f>VLOOKUP(Tabelle10[[#This Row],[Rank]],Stammdaten[[Rank Verteilung Krümmung]:[Verteilung Krümmung]],2,FALSE)</f>
        <v>#N/A</v>
      </c>
      <c r="Z1263">
        <v>1254</v>
      </c>
      <c r="AA1263" t="e">
        <f>INDEX(Stammdaten[Ovalität (']0,1'])],MATCH(Tabelle1014[[#This Row],[Rank]],Stammdaten[Rank Verteilung Ovalität],0))</f>
        <v>#N/A</v>
      </c>
      <c r="AB1263" t="e">
        <f>VLOOKUP(Tabelle1014[[#This Row],[Rank]],Stammdaten[[Rank Verteilung Ovalität]:[Verteilung Ovalität]],2,FALSE)</f>
        <v>#N/A</v>
      </c>
    </row>
    <row r="1264" spans="5:28" x14ac:dyDescent="0.35">
      <c r="E1264">
        <v>1255</v>
      </c>
      <c r="F1264" t="e">
        <f>INDEX(Stammdaten[D Mitte mit Rinde (mm)],MATCH(Tabelle8[[#This Row],[Rank]],Stammdaten[Rank Verteilung D Mitte mit Rinde],0))</f>
        <v>#N/A</v>
      </c>
      <c r="G1264" t="e">
        <f>VLOOKUP(Tabelle8[[#This Row],[Rank]],Stammdaten[[Rank Verteilung D Mitte mit Rinde]:[Verteilung D Mitte mit Rinde]],2,FALSE)</f>
        <v>#N/A</v>
      </c>
      <c r="L1264">
        <v>1255</v>
      </c>
      <c r="M1264" t="e">
        <f>INDEX(Stammdaten[Abholzigkeit (mm/lfm)],MATCH(Tabelle9[[#This Row],[Rank]],Stammdaten[Rank Verteilung Abholzigkeit],0))</f>
        <v>#N/A</v>
      </c>
      <c r="N1264" t="e">
        <f>VLOOKUP(Tabelle9[[#This Row],[Rank]],Stammdaten[[Rank Verteilung Abholzigkeit]:[Verteilung Abholzigkeit]],2,FALSE)</f>
        <v>#N/A</v>
      </c>
      <c r="S1264">
        <v>1255</v>
      </c>
      <c r="T1264" t="e">
        <f>INDEX(Stammdaten[Krümmung (mm/lfm)],MATCH(Tabelle10[[#This Row],[Rank]],Stammdaten[Rank Verteilung Krümmung],0))</f>
        <v>#N/A</v>
      </c>
      <c r="U1264" t="e">
        <f>VLOOKUP(Tabelle10[[#This Row],[Rank]],Stammdaten[[Rank Verteilung Krümmung]:[Verteilung Krümmung]],2,FALSE)</f>
        <v>#N/A</v>
      </c>
      <c r="Z1264">
        <v>1255</v>
      </c>
      <c r="AA1264" t="e">
        <f>INDEX(Stammdaten[Ovalität (']0,1'])],MATCH(Tabelle1014[[#This Row],[Rank]],Stammdaten[Rank Verteilung Ovalität],0))</f>
        <v>#N/A</v>
      </c>
      <c r="AB1264" t="e">
        <f>VLOOKUP(Tabelle1014[[#This Row],[Rank]],Stammdaten[[Rank Verteilung Ovalität]:[Verteilung Ovalität]],2,FALSE)</f>
        <v>#N/A</v>
      </c>
    </row>
    <row r="1265" spans="5:28" x14ac:dyDescent="0.35">
      <c r="E1265">
        <v>1256</v>
      </c>
      <c r="F1265" t="e">
        <f>INDEX(Stammdaten[D Mitte mit Rinde (mm)],MATCH(Tabelle8[[#This Row],[Rank]],Stammdaten[Rank Verteilung D Mitte mit Rinde],0))</f>
        <v>#N/A</v>
      </c>
      <c r="G1265" t="e">
        <f>VLOOKUP(Tabelle8[[#This Row],[Rank]],Stammdaten[[Rank Verteilung D Mitte mit Rinde]:[Verteilung D Mitte mit Rinde]],2,FALSE)</f>
        <v>#N/A</v>
      </c>
      <c r="L1265">
        <v>1256</v>
      </c>
      <c r="M1265" t="e">
        <f>INDEX(Stammdaten[Abholzigkeit (mm/lfm)],MATCH(Tabelle9[[#This Row],[Rank]],Stammdaten[Rank Verteilung Abholzigkeit],0))</f>
        <v>#N/A</v>
      </c>
      <c r="N1265" t="e">
        <f>VLOOKUP(Tabelle9[[#This Row],[Rank]],Stammdaten[[Rank Verteilung Abholzigkeit]:[Verteilung Abholzigkeit]],2,FALSE)</f>
        <v>#N/A</v>
      </c>
      <c r="S1265">
        <v>1256</v>
      </c>
      <c r="T1265" t="e">
        <f>INDEX(Stammdaten[Krümmung (mm/lfm)],MATCH(Tabelle10[[#This Row],[Rank]],Stammdaten[Rank Verteilung Krümmung],0))</f>
        <v>#N/A</v>
      </c>
      <c r="U1265" t="e">
        <f>VLOOKUP(Tabelle10[[#This Row],[Rank]],Stammdaten[[Rank Verteilung Krümmung]:[Verteilung Krümmung]],2,FALSE)</f>
        <v>#N/A</v>
      </c>
      <c r="Z1265">
        <v>1256</v>
      </c>
      <c r="AA1265" t="e">
        <f>INDEX(Stammdaten[Ovalität (']0,1'])],MATCH(Tabelle1014[[#This Row],[Rank]],Stammdaten[Rank Verteilung Ovalität],0))</f>
        <v>#N/A</v>
      </c>
      <c r="AB1265" t="e">
        <f>VLOOKUP(Tabelle1014[[#This Row],[Rank]],Stammdaten[[Rank Verteilung Ovalität]:[Verteilung Ovalität]],2,FALSE)</f>
        <v>#N/A</v>
      </c>
    </row>
    <row r="1266" spans="5:28" x14ac:dyDescent="0.35">
      <c r="E1266">
        <v>1257</v>
      </c>
      <c r="F1266" t="e">
        <f>INDEX(Stammdaten[D Mitte mit Rinde (mm)],MATCH(Tabelle8[[#This Row],[Rank]],Stammdaten[Rank Verteilung D Mitte mit Rinde],0))</f>
        <v>#N/A</v>
      </c>
      <c r="G1266" t="e">
        <f>VLOOKUP(Tabelle8[[#This Row],[Rank]],Stammdaten[[Rank Verteilung D Mitte mit Rinde]:[Verteilung D Mitte mit Rinde]],2,FALSE)</f>
        <v>#N/A</v>
      </c>
      <c r="L1266">
        <v>1257</v>
      </c>
      <c r="M1266" t="e">
        <f>INDEX(Stammdaten[Abholzigkeit (mm/lfm)],MATCH(Tabelle9[[#This Row],[Rank]],Stammdaten[Rank Verteilung Abholzigkeit],0))</f>
        <v>#N/A</v>
      </c>
      <c r="N1266" t="e">
        <f>VLOOKUP(Tabelle9[[#This Row],[Rank]],Stammdaten[[Rank Verteilung Abholzigkeit]:[Verteilung Abholzigkeit]],2,FALSE)</f>
        <v>#N/A</v>
      </c>
      <c r="S1266">
        <v>1257</v>
      </c>
      <c r="T1266" t="e">
        <f>INDEX(Stammdaten[Krümmung (mm/lfm)],MATCH(Tabelle10[[#This Row],[Rank]],Stammdaten[Rank Verteilung Krümmung],0))</f>
        <v>#N/A</v>
      </c>
      <c r="U1266" t="e">
        <f>VLOOKUP(Tabelle10[[#This Row],[Rank]],Stammdaten[[Rank Verteilung Krümmung]:[Verteilung Krümmung]],2,FALSE)</f>
        <v>#N/A</v>
      </c>
      <c r="Z1266">
        <v>1257</v>
      </c>
      <c r="AA1266" t="e">
        <f>INDEX(Stammdaten[Ovalität (']0,1'])],MATCH(Tabelle1014[[#This Row],[Rank]],Stammdaten[Rank Verteilung Ovalität],0))</f>
        <v>#N/A</v>
      </c>
      <c r="AB1266" t="e">
        <f>VLOOKUP(Tabelle1014[[#This Row],[Rank]],Stammdaten[[Rank Verteilung Ovalität]:[Verteilung Ovalität]],2,FALSE)</f>
        <v>#N/A</v>
      </c>
    </row>
    <row r="1267" spans="5:28" x14ac:dyDescent="0.35">
      <c r="E1267">
        <v>1258</v>
      </c>
      <c r="F1267" t="e">
        <f>INDEX(Stammdaten[D Mitte mit Rinde (mm)],MATCH(Tabelle8[[#This Row],[Rank]],Stammdaten[Rank Verteilung D Mitte mit Rinde],0))</f>
        <v>#N/A</v>
      </c>
      <c r="G1267" t="e">
        <f>VLOOKUP(Tabelle8[[#This Row],[Rank]],Stammdaten[[Rank Verteilung D Mitte mit Rinde]:[Verteilung D Mitte mit Rinde]],2,FALSE)</f>
        <v>#N/A</v>
      </c>
      <c r="L1267">
        <v>1258</v>
      </c>
      <c r="M1267" t="e">
        <f>INDEX(Stammdaten[Abholzigkeit (mm/lfm)],MATCH(Tabelle9[[#This Row],[Rank]],Stammdaten[Rank Verteilung Abholzigkeit],0))</f>
        <v>#N/A</v>
      </c>
      <c r="N1267" t="e">
        <f>VLOOKUP(Tabelle9[[#This Row],[Rank]],Stammdaten[[Rank Verteilung Abholzigkeit]:[Verteilung Abholzigkeit]],2,FALSE)</f>
        <v>#N/A</v>
      </c>
      <c r="S1267">
        <v>1258</v>
      </c>
      <c r="T1267" t="e">
        <f>INDEX(Stammdaten[Krümmung (mm/lfm)],MATCH(Tabelle10[[#This Row],[Rank]],Stammdaten[Rank Verteilung Krümmung],0))</f>
        <v>#N/A</v>
      </c>
      <c r="U1267" t="e">
        <f>VLOOKUP(Tabelle10[[#This Row],[Rank]],Stammdaten[[Rank Verteilung Krümmung]:[Verteilung Krümmung]],2,FALSE)</f>
        <v>#N/A</v>
      </c>
      <c r="Z1267">
        <v>1258</v>
      </c>
      <c r="AA1267" t="e">
        <f>INDEX(Stammdaten[Ovalität (']0,1'])],MATCH(Tabelle1014[[#This Row],[Rank]],Stammdaten[Rank Verteilung Ovalität],0))</f>
        <v>#N/A</v>
      </c>
      <c r="AB1267" t="e">
        <f>VLOOKUP(Tabelle1014[[#This Row],[Rank]],Stammdaten[[Rank Verteilung Ovalität]:[Verteilung Ovalität]],2,FALSE)</f>
        <v>#N/A</v>
      </c>
    </row>
    <row r="1268" spans="5:28" x14ac:dyDescent="0.35">
      <c r="E1268">
        <v>1259</v>
      </c>
      <c r="F1268" t="e">
        <f>INDEX(Stammdaten[D Mitte mit Rinde (mm)],MATCH(Tabelle8[[#This Row],[Rank]],Stammdaten[Rank Verteilung D Mitte mit Rinde],0))</f>
        <v>#N/A</v>
      </c>
      <c r="G1268" t="e">
        <f>VLOOKUP(Tabelle8[[#This Row],[Rank]],Stammdaten[[Rank Verteilung D Mitte mit Rinde]:[Verteilung D Mitte mit Rinde]],2,FALSE)</f>
        <v>#N/A</v>
      </c>
      <c r="L1268">
        <v>1259</v>
      </c>
      <c r="M1268" t="e">
        <f>INDEX(Stammdaten[Abholzigkeit (mm/lfm)],MATCH(Tabelle9[[#This Row],[Rank]],Stammdaten[Rank Verteilung Abholzigkeit],0))</f>
        <v>#N/A</v>
      </c>
      <c r="N1268" t="e">
        <f>VLOOKUP(Tabelle9[[#This Row],[Rank]],Stammdaten[[Rank Verteilung Abholzigkeit]:[Verteilung Abholzigkeit]],2,FALSE)</f>
        <v>#N/A</v>
      </c>
      <c r="S1268">
        <v>1259</v>
      </c>
      <c r="T1268" t="e">
        <f>INDEX(Stammdaten[Krümmung (mm/lfm)],MATCH(Tabelle10[[#This Row],[Rank]],Stammdaten[Rank Verteilung Krümmung],0))</f>
        <v>#N/A</v>
      </c>
      <c r="U1268" t="e">
        <f>VLOOKUP(Tabelle10[[#This Row],[Rank]],Stammdaten[[Rank Verteilung Krümmung]:[Verteilung Krümmung]],2,FALSE)</f>
        <v>#N/A</v>
      </c>
      <c r="Z1268">
        <v>1259</v>
      </c>
      <c r="AA1268" t="e">
        <f>INDEX(Stammdaten[Ovalität (']0,1'])],MATCH(Tabelle1014[[#This Row],[Rank]],Stammdaten[Rank Verteilung Ovalität],0))</f>
        <v>#N/A</v>
      </c>
      <c r="AB1268" t="e">
        <f>VLOOKUP(Tabelle1014[[#This Row],[Rank]],Stammdaten[[Rank Verteilung Ovalität]:[Verteilung Ovalität]],2,FALSE)</f>
        <v>#N/A</v>
      </c>
    </row>
    <row r="1269" spans="5:28" x14ac:dyDescent="0.35">
      <c r="E1269">
        <v>1260</v>
      </c>
      <c r="F1269" t="e">
        <f>INDEX(Stammdaten[D Mitte mit Rinde (mm)],MATCH(Tabelle8[[#This Row],[Rank]],Stammdaten[Rank Verteilung D Mitte mit Rinde],0))</f>
        <v>#N/A</v>
      </c>
      <c r="G1269" t="e">
        <f>VLOOKUP(Tabelle8[[#This Row],[Rank]],Stammdaten[[Rank Verteilung D Mitte mit Rinde]:[Verteilung D Mitte mit Rinde]],2,FALSE)</f>
        <v>#N/A</v>
      </c>
      <c r="L1269">
        <v>1260</v>
      </c>
      <c r="M1269" t="e">
        <f>INDEX(Stammdaten[Abholzigkeit (mm/lfm)],MATCH(Tabelle9[[#This Row],[Rank]],Stammdaten[Rank Verteilung Abholzigkeit],0))</f>
        <v>#N/A</v>
      </c>
      <c r="N1269" t="e">
        <f>VLOOKUP(Tabelle9[[#This Row],[Rank]],Stammdaten[[Rank Verteilung Abholzigkeit]:[Verteilung Abholzigkeit]],2,FALSE)</f>
        <v>#N/A</v>
      </c>
      <c r="S1269">
        <v>1260</v>
      </c>
      <c r="T1269" t="e">
        <f>INDEX(Stammdaten[Krümmung (mm/lfm)],MATCH(Tabelle10[[#This Row],[Rank]],Stammdaten[Rank Verteilung Krümmung],0))</f>
        <v>#N/A</v>
      </c>
      <c r="U1269" t="e">
        <f>VLOOKUP(Tabelle10[[#This Row],[Rank]],Stammdaten[[Rank Verteilung Krümmung]:[Verteilung Krümmung]],2,FALSE)</f>
        <v>#N/A</v>
      </c>
      <c r="Z1269">
        <v>1260</v>
      </c>
      <c r="AA1269" t="e">
        <f>INDEX(Stammdaten[Ovalität (']0,1'])],MATCH(Tabelle1014[[#This Row],[Rank]],Stammdaten[Rank Verteilung Ovalität],0))</f>
        <v>#N/A</v>
      </c>
      <c r="AB1269" t="e">
        <f>VLOOKUP(Tabelle1014[[#This Row],[Rank]],Stammdaten[[Rank Verteilung Ovalität]:[Verteilung Ovalität]],2,FALSE)</f>
        <v>#N/A</v>
      </c>
    </row>
    <row r="1270" spans="5:28" x14ac:dyDescent="0.35">
      <c r="E1270">
        <v>1261</v>
      </c>
      <c r="F1270" t="e">
        <f>INDEX(Stammdaten[D Mitte mit Rinde (mm)],MATCH(Tabelle8[[#This Row],[Rank]],Stammdaten[Rank Verteilung D Mitte mit Rinde],0))</f>
        <v>#N/A</v>
      </c>
      <c r="G1270" t="e">
        <f>VLOOKUP(Tabelle8[[#This Row],[Rank]],Stammdaten[[Rank Verteilung D Mitte mit Rinde]:[Verteilung D Mitte mit Rinde]],2,FALSE)</f>
        <v>#N/A</v>
      </c>
      <c r="L1270">
        <v>1261</v>
      </c>
      <c r="M1270" t="e">
        <f>INDEX(Stammdaten[Abholzigkeit (mm/lfm)],MATCH(Tabelle9[[#This Row],[Rank]],Stammdaten[Rank Verteilung Abholzigkeit],0))</f>
        <v>#N/A</v>
      </c>
      <c r="N1270" t="e">
        <f>VLOOKUP(Tabelle9[[#This Row],[Rank]],Stammdaten[[Rank Verteilung Abholzigkeit]:[Verteilung Abholzigkeit]],2,FALSE)</f>
        <v>#N/A</v>
      </c>
      <c r="S1270">
        <v>1261</v>
      </c>
      <c r="T1270" t="e">
        <f>INDEX(Stammdaten[Krümmung (mm/lfm)],MATCH(Tabelle10[[#This Row],[Rank]],Stammdaten[Rank Verteilung Krümmung],0))</f>
        <v>#N/A</v>
      </c>
      <c r="U1270" t="e">
        <f>VLOOKUP(Tabelle10[[#This Row],[Rank]],Stammdaten[[Rank Verteilung Krümmung]:[Verteilung Krümmung]],2,FALSE)</f>
        <v>#N/A</v>
      </c>
      <c r="Z1270">
        <v>1261</v>
      </c>
      <c r="AA1270" t="e">
        <f>INDEX(Stammdaten[Ovalität (']0,1'])],MATCH(Tabelle1014[[#This Row],[Rank]],Stammdaten[Rank Verteilung Ovalität],0))</f>
        <v>#N/A</v>
      </c>
      <c r="AB1270" t="e">
        <f>VLOOKUP(Tabelle1014[[#This Row],[Rank]],Stammdaten[[Rank Verteilung Ovalität]:[Verteilung Ovalität]],2,FALSE)</f>
        <v>#N/A</v>
      </c>
    </row>
    <row r="1271" spans="5:28" x14ac:dyDescent="0.35">
      <c r="E1271">
        <v>1262</v>
      </c>
      <c r="F1271" t="e">
        <f>INDEX(Stammdaten[D Mitte mit Rinde (mm)],MATCH(Tabelle8[[#This Row],[Rank]],Stammdaten[Rank Verteilung D Mitte mit Rinde],0))</f>
        <v>#N/A</v>
      </c>
      <c r="G1271" t="e">
        <f>VLOOKUP(Tabelle8[[#This Row],[Rank]],Stammdaten[[Rank Verteilung D Mitte mit Rinde]:[Verteilung D Mitte mit Rinde]],2,FALSE)</f>
        <v>#N/A</v>
      </c>
      <c r="L1271">
        <v>1262</v>
      </c>
      <c r="M1271" t="e">
        <f>INDEX(Stammdaten[Abholzigkeit (mm/lfm)],MATCH(Tabelle9[[#This Row],[Rank]],Stammdaten[Rank Verteilung Abholzigkeit],0))</f>
        <v>#N/A</v>
      </c>
      <c r="N1271" t="e">
        <f>VLOOKUP(Tabelle9[[#This Row],[Rank]],Stammdaten[[Rank Verteilung Abholzigkeit]:[Verteilung Abholzigkeit]],2,FALSE)</f>
        <v>#N/A</v>
      </c>
      <c r="S1271">
        <v>1262</v>
      </c>
      <c r="T1271" t="e">
        <f>INDEX(Stammdaten[Krümmung (mm/lfm)],MATCH(Tabelle10[[#This Row],[Rank]],Stammdaten[Rank Verteilung Krümmung],0))</f>
        <v>#N/A</v>
      </c>
      <c r="U1271" t="e">
        <f>VLOOKUP(Tabelle10[[#This Row],[Rank]],Stammdaten[[Rank Verteilung Krümmung]:[Verteilung Krümmung]],2,FALSE)</f>
        <v>#N/A</v>
      </c>
      <c r="Z1271">
        <v>1262</v>
      </c>
      <c r="AA1271" t="e">
        <f>INDEX(Stammdaten[Ovalität (']0,1'])],MATCH(Tabelle1014[[#This Row],[Rank]],Stammdaten[Rank Verteilung Ovalität],0))</f>
        <v>#N/A</v>
      </c>
      <c r="AB1271" t="e">
        <f>VLOOKUP(Tabelle1014[[#This Row],[Rank]],Stammdaten[[Rank Verteilung Ovalität]:[Verteilung Ovalität]],2,FALSE)</f>
        <v>#N/A</v>
      </c>
    </row>
    <row r="1272" spans="5:28" x14ac:dyDescent="0.35">
      <c r="E1272">
        <v>1263</v>
      </c>
      <c r="F1272" t="e">
        <f>INDEX(Stammdaten[D Mitte mit Rinde (mm)],MATCH(Tabelle8[[#This Row],[Rank]],Stammdaten[Rank Verteilung D Mitte mit Rinde],0))</f>
        <v>#N/A</v>
      </c>
      <c r="G1272" t="e">
        <f>VLOOKUP(Tabelle8[[#This Row],[Rank]],Stammdaten[[Rank Verteilung D Mitte mit Rinde]:[Verteilung D Mitte mit Rinde]],2,FALSE)</f>
        <v>#N/A</v>
      </c>
      <c r="L1272">
        <v>1263</v>
      </c>
      <c r="M1272" t="e">
        <f>INDEX(Stammdaten[Abholzigkeit (mm/lfm)],MATCH(Tabelle9[[#This Row],[Rank]],Stammdaten[Rank Verteilung Abholzigkeit],0))</f>
        <v>#N/A</v>
      </c>
      <c r="N1272" t="e">
        <f>VLOOKUP(Tabelle9[[#This Row],[Rank]],Stammdaten[[Rank Verteilung Abholzigkeit]:[Verteilung Abholzigkeit]],2,FALSE)</f>
        <v>#N/A</v>
      </c>
      <c r="S1272">
        <v>1263</v>
      </c>
      <c r="T1272" t="e">
        <f>INDEX(Stammdaten[Krümmung (mm/lfm)],MATCH(Tabelle10[[#This Row],[Rank]],Stammdaten[Rank Verteilung Krümmung],0))</f>
        <v>#N/A</v>
      </c>
      <c r="U1272" t="e">
        <f>VLOOKUP(Tabelle10[[#This Row],[Rank]],Stammdaten[[Rank Verteilung Krümmung]:[Verteilung Krümmung]],2,FALSE)</f>
        <v>#N/A</v>
      </c>
      <c r="Z1272">
        <v>1263</v>
      </c>
      <c r="AA1272" t="e">
        <f>INDEX(Stammdaten[Ovalität (']0,1'])],MATCH(Tabelle1014[[#This Row],[Rank]],Stammdaten[Rank Verteilung Ovalität],0))</f>
        <v>#N/A</v>
      </c>
      <c r="AB1272" t="e">
        <f>VLOOKUP(Tabelle1014[[#This Row],[Rank]],Stammdaten[[Rank Verteilung Ovalität]:[Verteilung Ovalität]],2,FALSE)</f>
        <v>#N/A</v>
      </c>
    </row>
    <row r="1273" spans="5:28" x14ac:dyDescent="0.35">
      <c r="E1273">
        <v>1264</v>
      </c>
      <c r="F1273" t="e">
        <f>INDEX(Stammdaten[D Mitte mit Rinde (mm)],MATCH(Tabelle8[[#This Row],[Rank]],Stammdaten[Rank Verteilung D Mitte mit Rinde],0))</f>
        <v>#N/A</v>
      </c>
      <c r="G1273" t="e">
        <f>VLOOKUP(Tabelle8[[#This Row],[Rank]],Stammdaten[[Rank Verteilung D Mitte mit Rinde]:[Verteilung D Mitte mit Rinde]],2,FALSE)</f>
        <v>#N/A</v>
      </c>
      <c r="L1273">
        <v>1264</v>
      </c>
      <c r="M1273" t="e">
        <f>INDEX(Stammdaten[Abholzigkeit (mm/lfm)],MATCH(Tabelle9[[#This Row],[Rank]],Stammdaten[Rank Verteilung Abholzigkeit],0))</f>
        <v>#N/A</v>
      </c>
      <c r="N1273" t="e">
        <f>VLOOKUP(Tabelle9[[#This Row],[Rank]],Stammdaten[[Rank Verteilung Abholzigkeit]:[Verteilung Abholzigkeit]],2,FALSE)</f>
        <v>#N/A</v>
      </c>
      <c r="S1273">
        <v>1264</v>
      </c>
      <c r="T1273" t="e">
        <f>INDEX(Stammdaten[Krümmung (mm/lfm)],MATCH(Tabelle10[[#This Row],[Rank]],Stammdaten[Rank Verteilung Krümmung],0))</f>
        <v>#N/A</v>
      </c>
      <c r="U1273" t="e">
        <f>VLOOKUP(Tabelle10[[#This Row],[Rank]],Stammdaten[[Rank Verteilung Krümmung]:[Verteilung Krümmung]],2,FALSE)</f>
        <v>#N/A</v>
      </c>
      <c r="Z1273">
        <v>1264</v>
      </c>
      <c r="AA1273" t="e">
        <f>INDEX(Stammdaten[Ovalität (']0,1'])],MATCH(Tabelle1014[[#This Row],[Rank]],Stammdaten[Rank Verteilung Ovalität],0))</f>
        <v>#N/A</v>
      </c>
      <c r="AB1273" t="e">
        <f>VLOOKUP(Tabelle1014[[#This Row],[Rank]],Stammdaten[[Rank Verteilung Ovalität]:[Verteilung Ovalität]],2,FALSE)</f>
        <v>#N/A</v>
      </c>
    </row>
    <row r="1274" spans="5:28" x14ac:dyDescent="0.35">
      <c r="E1274">
        <v>1265</v>
      </c>
      <c r="F1274" t="e">
        <f>INDEX(Stammdaten[D Mitte mit Rinde (mm)],MATCH(Tabelle8[[#This Row],[Rank]],Stammdaten[Rank Verteilung D Mitte mit Rinde],0))</f>
        <v>#N/A</v>
      </c>
      <c r="G1274" t="e">
        <f>VLOOKUP(Tabelle8[[#This Row],[Rank]],Stammdaten[[Rank Verteilung D Mitte mit Rinde]:[Verteilung D Mitte mit Rinde]],2,FALSE)</f>
        <v>#N/A</v>
      </c>
      <c r="L1274">
        <v>1265</v>
      </c>
      <c r="M1274" t="e">
        <f>INDEX(Stammdaten[Abholzigkeit (mm/lfm)],MATCH(Tabelle9[[#This Row],[Rank]],Stammdaten[Rank Verteilung Abholzigkeit],0))</f>
        <v>#N/A</v>
      </c>
      <c r="N1274" t="e">
        <f>VLOOKUP(Tabelle9[[#This Row],[Rank]],Stammdaten[[Rank Verteilung Abholzigkeit]:[Verteilung Abholzigkeit]],2,FALSE)</f>
        <v>#N/A</v>
      </c>
      <c r="S1274">
        <v>1265</v>
      </c>
      <c r="T1274" t="e">
        <f>INDEX(Stammdaten[Krümmung (mm/lfm)],MATCH(Tabelle10[[#This Row],[Rank]],Stammdaten[Rank Verteilung Krümmung],0))</f>
        <v>#N/A</v>
      </c>
      <c r="U1274" t="e">
        <f>VLOOKUP(Tabelle10[[#This Row],[Rank]],Stammdaten[[Rank Verteilung Krümmung]:[Verteilung Krümmung]],2,FALSE)</f>
        <v>#N/A</v>
      </c>
      <c r="Z1274">
        <v>1265</v>
      </c>
      <c r="AA1274" t="e">
        <f>INDEX(Stammdaten[Ovalität (']0,1'])],MATCH(Tabelle1014[[#This Row],[Rank]],Stammdaten[Rank Verteilung Ovalität],0))</f>
        <v>#N/A</v>
      </c>
      <c r="AB1274" t="e">
        <f>VLOOKUP(Tabelle1014[[#This Row],[Rank]],Stammdaten[[Rank Verteilung Ovalität]:[Verteilung Ovalität]],2,FALSE)</f>
        <v>#N/A</v>
      </c>
    </row>
    <row r="1275" spans="5:28" x14ac:dyDescent="0.35">
      <c r="E1275">
        <v>1266</v>
      </c>
      <c r="F1275" t="e">
        <f>INDEX(Stammdaten[D Mitte mit Rinde (mm)],MATCH(Tabelle8[[#This Row],[Rank]],Stammdaten[Rank Verteilung D Mitte mit Rinde],0))</f>
        <v>#N/A</v>
      </c>
      <c r="G1275" t="e">
        <f>VLOOKUP(Tabelle8[[#This Row],[Rank]],Stammdaten[[Rank Verteilung D Mitte mit Rinde]:[Verteilung D Mitte mit Rinde]],2,FALSE)</f>
        <v>#N/A</v>
      </c>
      <c r="L1275">
        <v>1266</v>
      </c>
      <c r="M1275" t="e">
        <f>INDEX(Stammdaten[Abholzigkeit (mm/lfm)],MATCH(Tabelle9[[#This Row],[Rank]],Stammdaten[Rank Verteilung Abholzigkeit],0))</f>
        <v>#N/A</v>
      </c>
      <c r="N1275" t="e">
        <f>VLOOKUP(Tabelle9[[#This Row],[Rank]],Stammdaten[[Rank Verteilung Abholzigkeit]:[Verteilung Abholzigkeit]],2,FALSE)</f>
        <v>#N/A</v>
      </c>
      <c r="S1275">
        <v>1266</v>
      </c>
      <c r="T1275" t="e">
        <f>INDEX(Stammdaten[Krümmung (mm/lfm)],MATCH(Tabelle10[[#This Row],[Rank]],Stammdaten[Rank Verteilung Krümmung],0))</f>
        <v>#N/A</v>
      </c>
      <c r="U1275" t="e">
        <f>VLOOKUP(Tabelle10[[#This Row],[Rank]],Stammdaten[[Rank Verteilung Krümmung]:[Verteilung Krümmung]],2,FALSE)</f>
        <v>#N/A</v>
      </c>
      <c r="Z1275">
        <v>1266</v>
      </c>
      <c r="AA1275" t="e">
        <f>INDEX(Stammdaten[Ovalität (']0,1'])],MATCH(Tabelle1014[[#This Row],[Rank]],Stammdaten[Rank Verteilung Ovalität],0))</f>
        <v>#N/A</v>
      </c>
      <c r="AB1275" t="e">
        <f>VLOOKUP(Tabelle1014[[#This Row],[Rank]],Stammdaten[[Rank Verteilung Ovalität]:[Verteilung Ovalität]],2,FALSE)</f>
        <v>#N/A</v>
      </c>
    </row>
    <row r="1276" spans="5:28" x14ac:dyDescent="0.35">
      <c r="E1276">
        <v>1267</v>
      </c>
      <c r="F1276" t="e">
        <f>INDEX(Stammdaten[D Mitte mit Rinde (mm)],MATCH(Tabelle8[[#This Row],[Rank]],Stammdaten[Rank Verteilung D Mitte mit Rinde],0))</f>
        <v>#N/A</v>
      </c>
      <c r="G1276" t="e">
        <f>VLOOKUP(Tabelle8[[#This Row],[Rank]],Stammdaten[[Rank Verteilung D Mitte mit Rinde]:[Verteilung D Mitte mit Rinde]],2,FALSE)</f>
        <v>#N/A</v>
      </c>
      <c r="L1276">
        <v>1267</v>
      </c>
      <c r="M1276" t="e">
        <f>INDEX(Stammdaten[Abholzigkeit (mm/lfm)],MATCH(Tabelle9[[#This Row],[Rank]],Stammdaten[Rank Verteilung Abholzigkeit],0))</f>
        <v>#N/A</v>
      </c>
      <c r="N1276" t="e">
        <f>VLOOKUP(Tabelle9[[#This Row],[Rank]],Stammdaten[[Rank Verteilung Abholzigkeit]:[Verteilung Abholzigkeit]],2,FALSE)</f>
        <v>#N/A</v>
      </c>
      <c r="S1276">
        <v>1267</v>
      </c>
      <c r="T1276" t="e">
        <f>INDEX(Stammdaten[Krümmung (mm/lfm)],MATCH(Tabelle10[[#This Row],[Rank]],Stammdaten[Rank Verteilung Krümmung],0))</f>
        <v>#N/A</v>
      </c>
      <c r="U1276" t="e">
        <f>VLOOKUP(Tabelle10[[#This Row],[Rank]],Stammdaten[[Rank Verteilung Krümmung]:[Verteilung Krümmung]],2,FALSE)</f>
        <v>#N/A</v>
      </c>
      <c r="Z1276">
        <v>1267</v>
      </c>
      <c r="AA1276" t="e">
        <f>INDEX(Stammdaten[Ovalität (']0,1'])],MATCH(Tabelle1014[[#This Row],[Rank]],Stammdaten[Rank Verteilung Ovalität],0))</f>
        <v>#N/A</v>
      </c>
      <c r="AB1276" t="e">
        <f>VLOOKUP(Tabelle1014[[#This Row],[Rank]],Stammdaten[[Rank Verteilung Ovalität]:[Verteilung Ovalität]],2,FALSE)</f>
        <v>#N/A</v>
      </c>
    </row>
    <row r="1277" spans="5:28" x14ac:dyDescent="0.35">
      <c r="E1277">
        <v>1268</v>
      </c>
      <c r="F1277" t="e">
        <f>INDEX(Stammdaten[D Mitte mit Rinde (mm)],MATCH(Tabelle8[[#This Row],[Rank]],Stammdaten[Rank Verteilung D Mitte mit Rinde],0))</f>
        <v>#N/A</v>
      </c>
      <c r="G1277" t="e">
        <f>VLOOKUP(Tabelle8[[#This Row],[Rank]],Stammdaten[[Rank Verteilung D Mitte mit Rinde]:[Verteilung D Mitte mit Rinde]],2,FALSE)</f>
        <v>#N/A</v>
      </c>
      <c r="L1277">
        <v>1268</v>
      </c>
      <c r="M1277" t="e">
        <f>INDEX(Stammdaten[Abholzigkeit (mm/lfm)],MATCH(Tabelle9[[#This Row],[Rank]],Stammdaten[Rank Verteilung Abholzigkeit],0))</f>
        <v>#N/A</v>
      </c>
      <c r="N1277" t="e">
        <f>VLOOKUP(Tabelle9[[#This Row],[Rank]],Stammdaten[[Rank Verteilung Abholzigkeit]:[Verteilung Abholzigkeit]],2,FALSE)</f>
        <v>#N/A</v>
      </c>
      <c r="S1277">
        <v>1268</v>
      </c>
      <c r="T1277" t="e">
        <f>INDEX(Stammdaten[Krümmung (mm/lfm)],MATCH(Tabelle10[[#This Row],[Rank]],Stammdaten[Rank Verteilung Krümmung],0))</f>
        <v>#N/A</v>
      </c>
      <c r="U1277" t="e">
        <f>VLOOKUP(Tabelle10[[#This Row],[Rank]],Stammdaten[[Rank Verteilung Krümmung]:[Verteilung Krümmung]],2,FALSE)</f>
        <v>#N/A</v>
      </c>
      <c r="Z1277">
        <v>1268</v>
      </c>
      <c r="AA1277" t="e">
        <f>INDEX(Stammdaten[Ovalität (']0,1'])],MATCH(Tabelle1014[[#This Row],[Rank]],Stammdaten[Rank Verteilung Ovalität],0))</f>
        <v>#N/A</v>
      </c>
      <c r="AB1277" t="e">
        <f>VLOOKUP(Tabelle1014[[#This Row],[Rank]],Stammdaten[[Rank Verteilung Ovalität]:[Verteilung Ovalität]],2,FALSE)</f>
        <v>#N/A</v>
      </c>
    </row>
    <row r="1278" spans="5:28" x14ac:dyDescent="0.35">
      <c r="E1278">
        <v>1269</v>
      </c>
      <c r="F1278" t="e">
        <f>INDEX(Stammdaten[D Mitte mit Rinde (mm)],MATCH(Tabelle8[[#This Row],[Rank]],Stammdaten[Rank Verteilung D Mitte mit Rinde],0))</f>
        <v>#N/A</v>
      </c>
      <c r="G1278" t="e">
        <f>VLOOKUP(Tabelle8[[#This Row],[Rank]],Stammdaten[[Rank Verteilung D Mitte mit Rinde]:[Verteilung D Mitte mit Rinde]],2,FALSE)</f>
        <v>#N/A</v>
      </c>
      <c r="L1278">
        <v>1269</v>
      </c>
      <c r="M1278" t="e">
        <f>INDEX(Stammdaten[Abholzigkeit (mm/lfm)],MATCH(Tabelle9[[#This Row],[Rank]],Stammdaten[Rank Verteilung Abholzigkeit],0))</f>
        <v>#N/A</v>
      </c>
      <c r="N1278" t="e">
        <f>VLOOKUP(Tabelle9[[#This Row],[Rank]],Stammdaten[[Rank Verteilung Abholzigkeit]:[Verteilung Abholzigkeit]],2,FALSE)</f>
        <v>#N/A</v>
      </c>
      <c r="S1278">
        <v>1269</v>
      </c>
      <c r="T1278" t="e">
        <f>INDEX(Stammdaten[Krümmung (mm/lfm)],MATCH(Tabelle10[[#This Row],[Rank]],Stammdaten[Rank Verteilung Krümmung],0))</f>
        <v>#N/A</v>
      </c>
      <c r="U1278" t="e">
        <f>VLOOKUP(Tabelle10[[#This Row],[Rank]],Stammdaten[[Rank Verteilung Krümmung]:[Verteilung Krümmung]],2,FALSE)</f>
        <v>#N/A</v>
      </c>
      <c r="Z1278">
        <v>1269</v>
      </c>
      <c r="AA1278" t="e">
        <f>INDEX(Stammdaten[Ovalität (']0,1'])],MATCH(Tabelle1014[[#This Row],[Rank]],Stammdaten[Rank Verteilung Ovalität],0))</f>
        <v>#N/A</v>
      </c>
      <c r="AB1278" t="e">
        <f>VLOOKUP(Tabelle1014[[#This Row],[Rank]],Stammdaten[[Rank Verteilung Ovalität]:[Verteilung Ovalität]],2,FALSE)</f>
        <v>#N/A</v>
      </c>
    </row>
    <row r="1279" spans="5:28" x14ac:dyDescent="0.35">
      <c r="E1279">
        <v>1270</v>
      </c>
      <c r="F1279" t="e">
        <f>INDEX(Stammdaten[D Mitte mit Rinde (mm)],MATCH(Tabelle8[[#This Row],[Rank]],Stammdaten[Rank Verteilung D Mitte mit Rinde],0))</f>
        <v>#N/A</v>
      </c>
      <c r="G1279" t="e">
        <f>VLOOKUP(Tabelle8[[#This Row],[Rank]],Stammdaten[[Rank Verteilung D Mitte mit Rinde]:[Verteilung D Mitte mit Rinde]],2,FALSE)</f>
        <v>#N/A</v>
      </c>
      <c r="L1279">
        <v>1270</v>
      </c>
      <c r="M1279" t="e">
        <f>INDEX(Stammdaten[Abholzigkeit (mm/lfm)],MATCH(Tabelle9[[#This Row],[Rank]],Stammdaten[Rank Verteilung Abholzigkeit],0))</f>
        <v>#N/A</v>
      </c>
      <c r="N1279" t="e">
        <f>VLOOKUP(Tabelle9[[#This Row],[Rank]],Stammdaten[[Rank Verteilung Abholzigkeit]:[Verteilung Abholzigkeit]],2,FALSE)</f>
        <v>#N/A</v>
      </c>
      <c r="S1279">
        <v>1270</v>
      </c>
      <c r="T1279" t="e">
        <f>INDEX(Stammdaten[Krümmung (mm/lfm)],MATCH(Tabelle10[[#This Row],[Rank]],Stammdaten[Rank Verteilung Krümmung],0))</f>
        <v>#N/A</v>
      </c>
      <c r="U1279" t="e">
        <f>VLOOKUP(Tabelle10[[#This Row],[Rank]],Stammdaten[[Rank Verteilung Krümmung]:[Verteilung Krümmung]],2,FALSE)</f>
        <v>#N/A</v>
      </c>
      <c r="Z1279">
        <v>1270</v>
      </c>
      <c r="AA1279" t="e">
        <f>INDEX(Stammdaten[Ovalität (']0,1'])],MATCH(Tabelle1014[[#This Row],[Rank]],Stammdaten[Rank Verteilung Ovalität],0))</f>
        <v>#N/A</v>
      </c>
      <c r="AB1279" t="e">
        <f>VLOOKUP(Tabelle1014[[#This Row],[Rank]],Stammdaten[[Rank Verteilung Ovalität]:[Verteilung Ovalität]],2,FALSE)</f>
        <v>#N/A</v>
      </c>
    </row>
    <row r="1280" spans="5:28" x14ac:dyDescent="0.35">
      <c r="E1280">
        <v>1271</v>
      </c>
      <c r="F1280" t="e">
        <f>INDEX(Stammdaten[D Mitte mit Rinde (mm)],MATCH(Tabelle8[[#This Row],[Rank]],Stammdaten[Rank Verteilung D Mitte mit Rinde],0))</f>
        <v>#N/A</v>
      </c>
      <c r="G1280" t="e">
        <f>VLOOKUP(Tabelle8[[#This Row],[Rank]],Stammdaten[[Rank Verteilung D Mitte mit Rinde]:[Verteilung D Mitte mit Rinde]],2,FALSE)</f>
        <v>#N/A</v>
      </c>
      <c r="L1280">
        <v>1271</v>
      </c>
      <c r="M1280" t="e">
        <f>INDEX(Stammdaten[Abholzigkeit (mm/lfm)],MATCH(Tabelle9[[#This Row],[Rank]],Stammdaten[Rank Verteilung Abholzigkeit],0))</f>
        <v>#N/A</v>
      </c>
      <c r="N1280" t="e">
        <f>VLOOKUP(Tabelle9[[#This Row],[Rank]],Stammdaten[[Rank Verteilung Abholzigkeit]:[Verteilung Abholzigkeit]],2,FALSE)</f>
        <v>#N/A</v>
      </c>
      <c r="S1280">
        <v>1271</v>
      </c>
      <c r="T1280" t="e">
        <f>INDEX(Stammdaten[Krümmung (mm/lfm)],MATCH(Tabelle10[[#This Row],[Rank]],Stammdaten[Rank Verteilung Krümmung],0))</f>
        <v>#N/A</v>
      </c>
      <c r="U1280" t="e">
        <f>VLOOKUP(Tabelle10[[#This Row],[Rank]],Stammdaten[[Rank Verteilung Krümmung]:[Verteilung Krümmung]],2,FALSE)</f>
        <v>#N/A</v>
      </c>
      <c r="Z1280">
        <v>1271</v>
      </c>
      <c r="AA1280" t="e">
        <f>INDEX(Stammdaten[Ovalität (']0,1'])],MATCH(Tabelle1014[[#This Row],[Rank]],Stammdaten[Rank Verteilung Ovalität],0))</f>
        <v>#N/A</v>
      </c>
      <c r="AB1280" t="e">
        <f>VLOOKUP(Tabelle1014[[#This Row],[Rank]],Stammdaten[[Rank Verteilung Ovalität]:[Verteilung Ovalität]],2,FALSE)</f>
        <v>#N/A</v>
      </c>
    </row>
    <row r="1281" spans="5:28" x14ac:dyDescent="0.35">
      <c r="E1281">
        <v>1272</v>
      </c>
      <c r="F1281" t="e">
        <f>INDEX(Stammdaten[D Mitte mit Rinde (mm)],MATCH(Tabelle8[[#This Row],[Rank]],Stammdaten[Rank Verteilung D Mitte mit Rinde],0))</f>
        <v>#N/A</v>
      </c>
      <c r="G1281" t="e">
        <f>VLOOKUP(Tabelle8[[#This Row],[Rank]],Stammdaten[[Rank Verteilung D Mitte mit Rinde]:[Verteilung D Mitte mit Rinde]],2,FALSE)</f>
        <v>#N/A</v>
      </c>
      <c r="L1281">
        <v>1272</v>
      </c>
      <c r="M1281" t="e">
        <f>INDEX(Stammdaten[Abholzigkeit (mm/lfm)],MATCH(Tabelle9[[#This Row],[Rank]],Stammdaten[Rank Verteilung Abholzigkeit],0))</f>
        <v>#N/A</v>
      </c>
      <c r="N1281" t="e">
        <f>VLOOKUP(Tabelle9[[#This Row],[Rank]],Stammdaten[[Rank Verteilung Abholzigkeit]:[Verteilung Abholzigkeit]],2,FALSE)</f>
        <v>#N/A</v>
      </c>
      <c r="S1281">
        <v>1272</v>
      </c>
      <c r="T1281" t="e">
        <f>INDEX(Stammdaten[Krümmung (mm/lfm)],MATCH(Tabelle10[[#This Row],[Rank]],Stammdaten[Rank Verteilung Krümmung],0))</f>
        <v>#N/A</v>
      </c>
      <c r="U1281" t="e">
        <f>VLOOKUP(Tabelle10[[#This Row],[Rank]],Stammdaten[[Rank Verteilung Krümmung]:[Verteilung Krümmung]],2,FALSE)</f>
        <v>#N/A</v>
      </c>
      <c r="Z1281">
        <v>1272</v>
      </c>
      <c r="AA1281" t="e">
        <f>INDEX(Stammdaten[Ovalität (']0,1'])],MATCH(Tabelle1014[[#This Row],[Rank]],Stammdaten[Rank Verteilung Ovalität],0))</f>
        <v>#N/A</v>
      </c>
      <c r="AB1281" t="e">
        <f>VLOOKUP(Tabelle1014[[#This Row],[Rank]],Stammdaten[[Rank Verteilung Ovalität]:[Verteilung Ovalität]],2,FALSE)</f>
        <v>#N/A</v>
      </c>
    </row>
    <row r="1282" spans="5:28" x14ac:dyDescent="0.35">
      <c r="E1282">
        <v>1273</v>
      </c>
      <c r="F1282" t="e">
        <f>INDEX(Stammdaten[D Mitte mit Rinde (mm)],MATCH(Tabelle8[[#This Row],[Rank]],Stammdaten[Rank Verteilung D Mitte mit Rinde],0))</f>
        <v>#N/A</v>
      </c>
      <c r="G1282" t="e">
        <f>VLOOKUP(Tabelle8[[#This Row],[Rank]],Stammdaten[[Rank Verteilung D Mitte mit Rinde]:[Verteilung D Mitte mit Rinde]],2,FALSE)</f>
        <v>#N/A</v>
      </c>
      <c r="L1282">
        <v>1273</v>
      </c>
      <c r="M1282" t="e">
        <f>INDEX(Stammdaten[Abholzigkeit (mm/lfm)],MATCH(Tabelle9[[#This Row],[Rank]],Stammdaten[Rank Verteilung Abholzigkeit],0))</f>
        <v>#N/A</v>
      </c>
      <c r="N1282" t="e">
        <f>VLOOKUP(Tabelle9[[#This Row],[Rank]],Stammdaten[[Rank Verteilung Abholzigkeit]:[Verteilung Abholzigkeit]],2,FALSE)</f>
        <v>#N/A</v>
      </c>
      <c r="S1282">
        <v>1273</v>
      </c>
      <c r="T1282" t="e">
        <f>INDEX(Stammdaten[Krümmung (mm/lfm)],MATCH(Tabelle10[[#This Row],[Rank]],Stammdaten[Rank Verteilung Krümmung],0))</f>
        <v>#N/A</v>
      </c>
      <c r="U1282" t="e">
        <f>VLOOKUP(Tabelle10[[#This Row],[Rank]],Stammdaten[[Rank Verteilung Krümmung]:[Verteilung Krümmung]],2,FALSE)</f>
        <v>#N/A</v>
      </c>
      <c r="Z1282">
        <v>1273</v>
      </c>
      <c r="AA1282" t="e">
        <f>INDEX(Stammdaten[Ovalität (']0,1'])],MATCH(Tabelle1014[[#This Row],[Rank]],Stammdaten[Rank Verteilung Ovalität],0))</f>
        <v>#N/A</v>
      </c>
      <c r="AB1282" t="e">
        <f>VLOOKUP(Tabelle1014[[#This Row],[Rank]],Stammdaten[[Rank Verteilung Ovalität]:[Verteilung Ovalität]],2,FALSE)</f>
        <v>#N/A</v>
      </c>
    </row>
    <row r="1283" spans="5:28" x14ac:dyDescent="0.35">
      <c r="E1283">
        <v>1274</v>
      </c>
      <c r="F1283" t="e">
        <f>INDEX(Stammdaten[D Mitte mit Rinde (mm)],MATCH(Tabelle8[[#This Row],[Rank]],Stammdaten[Rank Verteilung D Mitte mit Rinde],0))</f>
        <v>#N/A</v>
      </c>
      <c r="G1283" t="e">
        <f>VLOOKUP(Tabelle8[[#This Row],[Rank]],Stammdaten[[Rank Verteilung D Mitte mit Rinde]:[Verteilung D Mitte mit Rinde]],2,FALSE)</f>
        <v>#N/A</v>
      </c>
      <c r="L1283">
        <v>1274</v>
      </c>
      <c r="M1283" t="e">
        <f>INDEX(Stammdaten[Abholzigkeit (mm/lfm)],MATCH(Tabelle9[[#This Row],[Rank]],Stammdaten[Rank Verteilung Abholzigkeit],0))</f>
        <v>#N/A</v>
      </c>
      <c r="N1283" t="e">
        <f>VLOOKUP(Tabelle9[[#This Row],[Rank]],Stammdaten[[Rank Verteilung Abholzigkeit]:[Verteilung Abholzigkeit]],2,FALSE)</f>
        <v>#N/A</v>
      </c>
      <c r="S1283">
        <v>1274</v>
      </c>
      <c r="T1283" t="e">
        <f>INDEX(Stammdaten[Krümmung (mm/lfm)],MATCH(Tabelle10[[#This Row],[Rank]],Stammdaten[Rank Verteilung Krümmung],0))</f>
        <v>#N/A</v>
      </c>
      <c r="U1283" t="e">
        <f>VLOOKUP(Tabelle10[[#This Row],[Rank]],Stammdaten[[Rank Verteilung Krümmung]:[Verteilung Krümmung]],2,FALSE)</f>
        <v>#N/A</v>
      </c>
      <c r="Z1283">
        <v>1274</v>
      </c>
      <c r="AA1283" t="e">
        <f>INDEX(Stammdaten[Ovalität (']0,1'])],MATCH(Tabelle1014[[#This Row],[Rank]],Stammdaten[Rank Verteilung Ovalität],0))</f>
        <v>#N/A</v>
      </c>
      <c r="AB1283" t="e">
        <f>VLOOKUP(Tabelle1014[[#This Row],[Rank]],Stammdaten[[Rank Verteilung Ovalität]:[Verteilung Ovalität]],2,FALSE)</f>
        <v>#N/A</v>
      </c>
    </row>
    <row r="1284" spans="5:28" x14ac:dyDescent="0.35">
      <c r="E1284">
        <v>1275</v>
      </c>
      <c r="F1284" t="e">
        <f>INDEX(Stammdaten[D Mitte mit Rinde (mm)],MATCH(Tabelle8[[#This Row],[Rank]],Stammdaten[Rank Verteilung D Mitte mit Rinde],0))</f>
        <v>#N/A</v>
      </c>
      <c r="G1284" t="e">
        <f>VLOOKUP(Tabelle8[[#This Row],[Rank]],Stammdaten[[Rank Verteilung D Mitte mit Rinde]:[Verteilung D Mitte mit Rinde]],2,FALSE)</f>
        <v>#N/A</v>
      </c>
      <c r="L1284">
        <v>1275</v>
      </c>
      <c r="M1284" t="e">
        <f>INDEX(Stammdaten[Abholzigkeit (mm/lfm)],MATCH(Tabelle9[[#This Row],[Rank]],Stammdaten[Rank Verteilung Abholzigkeit],0))</f>
        <v>#N/A</v>
      </c>
      <c r="N1284" t="e">
        <f>VLOOKUP(Tabelle9[[#This Row],[Rank]],Stammdaten[[Rank Verteilung Abholzigkeit]:[Verteilung Abholzigkeit]],2,FALSE)</f>
        <v>#N/A</v>
      </c>
      <c r="S1284">
        <v>1275</v>
      </c>
      <c r="T1284" t="e">
        <f>INDEX(Stammdaten[Krümmung (mm/lfm)],MATCH(Tabelle10[[#This Row],[Rank]],Stammdaten[Rank Verteilung Krümmung],0))</f>
        <v>#N/A</v>
      </c>
      <c r="U1284" t="e">
        <f>VLOOKUP(Tabelle10[[#This Row],[Rank]],Stammdaten[[Rank Verteilung Krümmung]:[Verteilung Krümmung]],2,FALSE)</f>
        <v>#N/A</v>
      </c>
      <c r="Z1284">
        <v>1275</v>
      </c>
      <c r="AA1284" t="e">
        <f>INDEX(Stammdaten[Ovalität (']0,1'])],MATCH(Tabelle1014[[#This Row],[Rank]],Stammdaten[Rank Verteilung Ovalität],0))</f>
        <v>#N/A</v>
      </c>
      <c r="AB1284" t="e">
        <f>VLOOKUP(Tabelle1014[[#This Row],[Rank]],Stammdaten[[Rank Verteilung Ovalität]:[Verteilung Ovalität]],2,FALSE)</f>
        <v>#N/A</v>
      </c>
    </row>
    <row r="1285" spans="5:28" x14ac:dyDescent="0.35">
      <c r="E1285">
        <v>1276</v>
      </c>
      <c r="F1285" t="e">
        <f>INDEX(Stammdaten[D Mitte mit Rinde (mm)],MATCH(Tabelle8[[#This Row],[Rank]],Stammdaten[Rank Verteilung D Mitte mit Rinde],0))</f>
        <v>#N/A</v>
      </c>
      <c r="G1285" t="e">
        <f>VLOOKUP(Tabelle8[[#This Row],[Rank]],Stammdaten[[Rank Verteilung D Mitte mit Rinde]:[Verteilung D Mitte mit Rinde]],2,FALSE)</f>
        <v>#N/A</v>
      </c>
      <c r="L1285">
        <v>1276</v>
      </c>
      <c r="M1285" t="e">
        <f>INDEX(Stammdaten[Abholzigkeit (mm/lfm)],MATCH(Tabelle9[[#This Row],[Rank]],Stammdaten[Rank Verteilung Abholzigkeit],0))</f>
        <v>#N/A</v>
      </c>
      <c r="N1285" t="e">
        <f>VLOOKUP(Tabelle9[[#This Row],[Rank]],Stammdaten[[Rank Verteilung Abholzigkeit]:[Verteilung Abholzigkeit]],2,FALSE)</f>
        <v>#N/A</v>
      </c>
      <c r="S1285">
        <v>1276</v>
      </c>
      <c r="T1285" t="e">
        <f>INDEX(Stammdaten[Krümmung (mm/lfm)],MATCH(Tabelle10[[#This Row],[Rank]],Stammdaten[Rank Verteilung Krümmung],0))</f>
        <v>#N/A</v>
      </c>
      <c r="U1285" t="e">
        <f>VLOOKUP(Tabelle10[[#This Row],[Rank]],Stammdaten[[Rank Verteilung Krümmung]:[Verteilung Krümmung]],2,FALSE)</f>
        <v>#N/A</v>
      </c>
      <c r="Z1285">
        <v>1276</v>
      </c>
      <c r="AA1285" t="e">
        <f>INDEX(Stammdaten[Ovalität (']0,1'])],MATCH(Tabelle1014[[#This Row],[Rank]],Stammdaten[Rank Verteilung Ovalität],0))</f>
        <v>#N/A</v>
      </c>
      <c r="AB1285" t="e">
        <f>VLOOKUP(Tabelle1014[[#This Row],[Rank]],Stammdaten[[Rank Verteilung Ovalität]:[Verteilung Ovalität]],2,FALSE)</f>
        <v>#N/A</v>
      </c>
    </row>
    <row r="1286" spans="5:28" x14ac:dyDescent="0.35">
      <c r="E1286">
        <v>1277</v>
      </c>
      <c r="F1286" t="e">
        <f>INDEX(Stammdaten[D Mitte mit Rinde (mm)],MATCH(Tabelle8[[#This Row],[Rank]],Stammdaten[Rank Verteilung D Mitte mit Rinde],0))</f>
        <v>#N/A</v>
      </c>
      <c r="G1286" t="e">
        <f>VLOOKUP(Tabelle8[[#This Row],[Rank]],Stammdaten[[Rank Verteilung D Mitte mit Rinde]:[Verteilung D Mitte mit Rinde]],2,FALSE)</f>
        <v>#N/A</v>
      </c>
      <c r="L1286">
        <v>1277</v>
      </c>
      <c r="M1286" t="e">
        <f>INDEX(Stammdaten[Abholzigkeit (mm/lfm)],MATCH(Tabelle9[[#This Row],[Rank]],Stammdaten[Rank Verteilung Abholzigkeit],0))</f>
        <v>#N/A</v>
      </c>
      <c r="N1286" t="e">
        <f>VLOOKUP(Tabelle9[[#This Row],[Rank]],Stammdaten[[Rank Verteilung Abholzigkeit]:[Verteilung Abholzigkeit]],2,FALSE)</f>
        <v>#N/A</v>
      </c>
      <c r="S1286">
        <v>1277</v>
      </c>
      <c r="T1286" t="e">
        <f>INDEX(Stammdaten[Krümmung (mm/lfm)],MATCH(Tabelle10[[#This Row],[Rank]],Stammdaten[Rank Verteilung Krümmung],0))</f>
        <v>#N/A</v>
      </c>
      <c r="U1286" t="e">
        <f>VLOOKUP(Tabelle10[[#This Row],[Rank]],Stammdaten[[Rank Verteilung Krümmung]:[Verteilung Krümmung]],2,FALSE)</f>
        <v>#N/A</v>
      </c>
      <c r="Z1286">
        <v>1277</v>
      </c>
      <c r="AA1286" t="e">
        <f>INDEX(Stammdaten[Ovalität (']0,1'])],MATCH(Tabelle1014[[#This Row],[Rank]],Stammdaten[Rank Verteilung Ovalität],0))</f>
        <v>#N/A</v>
      </c>
      <c r="AB1286" t="e">
        <f>VLOOKUP(Tabelle1014[[#This Row],[Rank]],Stammdaten[[Rank Verteilung Ovalität]:[Verteilung Ovalität]],2,FALSE)</f>
        <v>#N/A</v>
      </c>
    </row>
    <row r="1287" spans="5:28" x14ac:dyDescent="0.35">
      <c r="E1287">
        <v>1278</v>
      </c>
      <c r="F1287" t="e">
        <f>INDEX(Stammdaten[D Mitte mit Rinde (mm)],MATCH(Tabelle8[[#This Row],[Rank]],Stammdaten[Rank Verteilung D Mitte mit Rinde],0))</f>
        <v>#N/A</v>
      </c>
      <c r="G1287" t="e">
        <f>VLOOKUP(Tabelle8[[#This Row],[Rank]],Stammdaten[[Rank Verteilung D Mitte mit Rinde]:[Verteilung D Mitte mit Rinde]],2,FALSE)</f>
        <v>#N/A</v>
      </c>
      <c r="L1287">
        <v>1278</v>
      </c>
      <c r="M1287" t="e">
        <f>INDEX(Stammdaten[Abholzigkeit (mm/lfm)],MATCH(Tabelle9[[#This Row],[Rank]],Stammdaten[Rank Verteilung Abholzigkeit],0))</f>
        <v>#N/A</v>
      </c>
      <c r="N1287" t="e">
        <f>VLOOKUP(Tabelle9[[#This Row],[Rank]],Stammdaten[[Rank Verteilung Abholzigkeit]:[Verteilung Abholzigkeit]],2,FALSE)</f>
        <v>#N/A</v>
      </c>
      <c r="S1287">
        <v>1278</v>
      </c>
      <c r="T1287" t="e">
        <f>INDEX(Stammdaten[Krümmung (mm/lfm)],MATCH(Tabelle10[[#This Row],[Rank]],Stammdaten[Rank Verteilung Krümmung],0))</f>
        <v>#N/A</v>
      </c>
      <c r="U1287" t="e">
        <f>VLOOKUP(Tabelle10[[#This Row],[Rank]],Stammdaten[[Rank Verteilung Krümmung]:[Verteilung Krümmung]],2,FALSE)</f>
        <v>#N/A</v>
      </c>
      <c r="Z1287">
        <v>1278</v>
      </c>
      <c r="AA1287" t="e">
        <f>INDEX(Stammdaten[Ovalität (']0,1'])],MATCH(Tabelle1014[[#This Row],[Rank]],Stammdaten[Rank Verteilung Ovalität],0))</f>
        <v>#N/A</v>
      </c>
      <c r="AB1287" t="e">
        <f>VLOOKUP(Tabelle1014[[#This Row],[Rank]],Stammdaten[[Rank Verteilung Ovalität]:[Verteilung Ovalität]],2,FALSE)</f>
        <v>#N/A</v>
      </c>
    </row>
    <row r="1288" spans="5:28" x14ac:dyDescent="0.35">
      <c r="E1288">
        <v>1279</v>
      </c>
      <c r="F1288" t="e">
        <f>INDEX(Stammdaten[D Mitte mit Rinde (mm)],MATCH(Tabelle8[[#This Row],[Rank]],Stammdaten[Rank Verteilung D Mitte mit Rinde],0))</f>
        <v>#N/A</v>
      </c>
      <c r="G1288" t="e">
        <f>VLOOKUP(Tabelle8[[#This Row],[Rank]],Stammdaten[[Rank Verteilung D Mitte mit Rinde]:[Verteilung D Mitte mit Rinde]],2,FALSE)</f>
        <v>#N/A</v>
      </c>
      <c r="L1288">
        <v>1279</v>
      </c>
      <c r="M1288" t="e">
        <f>INDEX(Stammdaten[Abholzigkeit (mm/lfm)],MATCH(Tabelle9[[#This Row],[Rank]],Stammdaten[Rank Verteilung Abholzigkeit],0))</f>
        <v>#N/A</v>
      </c>
      <c r="N1288" t="e">
        <f>VLOOKUP(Tabelle9[[#This Row],[Rank]],Stammdaten[[Rank Verteilung Abholzigkeit]:[Verteilung Abholzigkeit]],2,FALSE)</f>
        <v>#N/A</v>
      </c>
      <c r="S1288">
        <v>1279</v>
      </c>
      <c r="T1288" t="e">
        <f>INDEX(Stammdaten[Krümmung (mm/lfm)],MATCH(Tabelle10[[#This Row],[Rank]],Stammdaten[Rank Verteilung Krümmung],0))</f>
        <v>#N/A</v>
      </c>
      <c r="U1288" t="e">
        <f>VLOOKUP(Tabelle10[[#This Row],[Rank]],Stammdaten[[Rank Verteilung Krümmung]:[Verteilung Krümmung]],2,FALSE)</f>
        <v>#N/A</v>
      </c>
      <c r="Z1288">
        <v>1279</v>
      </c>
      <c r="AA1288" t="e">
        <f>INDEX(Stammdaten[Ovalität (']0,1'])],MATCH(Tabelle1014[[#This Row],[Rank]],Stammdaten[Rank Verteilung Ovalität],0))</f>
        <v>#N/A</v>
      </c>
      <c r="AB1288" t="e">
        <f>VLOOKUP(Tabelle1014[[#This Row],[Rank]],Stammdaten[[Rank Verteilung Ovalität]:[Verteilung Ovalität]],2,FALSE)</f>
        <v>#N/A</v>
      </c>
    </row>
    <row r="1289" spans="5:28" x14ac:dyDescent="0.35">
      <c r="E1289">
        <v>1280</v>
      </c>
      <c r="F1289" t="e">
        <f>INDEX(Stammdaten[D Mitte mit Rinde (mm)],MATCH(Tabelle8[[#This Row],[Rank]],Stammdaten[Rank Verteilung D Mitte mit Rinde],0))</f>
        <v>#N/A</v>
      </c>
      <c r="G1289" t="e">
        <f>VLOOKUP(Tabelle8[[#This Row],[Rank]],Stammdaten[[Rank Verteilung D Mitte mit Rinde]:[Verteilung D Mitte mit Rinde]],2,FALSE)</f>
        <v>#N/A</v>
      </c>
      <c r="L1289">
        <v>1280</v>
      </c>
      <c r="M1289" t="e">
        <f>INDEX(Stammdaten[Abholzigkeit (mm/lfm)],MATCH(Tabelle9[[#This Row],[Rank]],Stammdaten[Rank Verteilung Abholzigkeit],0))</f>
        <v>#N/A</v>
      </c>
      <c r="N1289" t="e">
        <f>VLOOKUP(Tabelle9[[#This Row],[Rank]],Stammdaten[[Rank Verteilung Abholzigkeit]:[Verteilung Abholzigkeit]],2,FALSE)</f>
        <v>#N/A</v>
      </c>
      <c r="S1289">
        <v>1280</v>
      </c>
      <c r="T1289" t="e">
        <f>INDEX(Stammdaten[Krümmung (mm/lfm)],MATCH(Tabelle10[[#This Row],[Rank]],Stammdaten[Rank Verteilung Krümmung],0))</f>
        <v>#N/A</v>
      </c>
      <c r="U1289" t="e">
        <f>VLOOKUP(Tabelle10[[#This Row],[Rank]],Stammdaten[[Rank Verteilung Krümmung]:[Verteilung Krümmung]],2,FALSE)</f>
        <v>#N/A</v>
      </c>
      <c r="Z1289">
        <v>1280</v>
      </c>
      <c r="AA1289" t="e">
        <f>INDEX(Stammdaten[Ovalität (']0,1'])],MATCH(Tabelle1014[[#This Row],[Rank]],Stammdaten[Rank Verteilung Ovalität],0))</f>
        <v>#N/A</v>
      </c>
      <c r="AB1289" t="e">
        <f>VLOOKUP(Tabelle1014[[#This Row],[Rank]],Stammdaten[[Rank Verteilung Ovalität]:[Verteilung Ovalität]],2,FALSE)</f>
        <v>#N/A</v>
      </c>
    </row>
    <row r="1290" spans="5:28" x14ac:dyDescent="0.35">
      <c r="E1290">
        <v>1281</v>
      </c>
      <c r="F1290" t="e">
        <f>INDEX(Stammdaten[D Mitte mit Rinde (mm)],MATCH(Tabelle8[[#This Row],[Rank]],Stammdaten[Rank Verteilung D Mitte mit Rinde],0))</f>
        <v>#N/A</v>
      </c>
      <c r="G1290" t="e">
        <f>VLOOKUP(Tabelle8[[#This Row],[Rank]],Stammdaten[[Rank Verteilung D Mitte mit Rinde]:[Verteilung D Mitte mit Rinde]],2,FALSE)</f>
        <v>#N/A</v>
      </c>
      <c r="L1290">
        <v>1281</v>
      </c>
      <c r="M1290" t="e">
        <f>INDEX(Stammdaten[Abholzigkeit (mm/lfm)],MATCH(Tabelle9[[#This Row],[Rank]],Stammdaten[Rank Verteilung Abholzigkeit],0))</f>
        <v>#N/A</v>
      </c>
      <c r="N1290" t="e">
        <f>VLOOKUP(Tabelle9[[#This Row],[Rank]],Stammdaten[[Rank Verteilung Abholzigkeit]:[Verteilung Abholzigkeit]],2,FALSE)</f>
        <v>#N/A</v>
      </c>
      <c r="S1290">
        <v>1281</v>
      </c>
      <c r="T1290" t="e">
        <f>INDEX(Stammdaten[Krümmung (mm/lfm)],MATCH(Tabelle10[[#This Row],[Rank]],Stammdaten[Rank Verteilung Krümmung],0))</f>
        <v>#N/A</v>
      </c>
      <c r="U1290" t="e">
        <f>VLOOKUP(Tabelle10[[#This Row],[Rank]],Stammdaten[[Rank Verteilung Krümmung]:[Verteilung Krümmung]],2,FALSE)</f>
        <v>#N/A</v>
      </c>
      <c r="Z1290">
        <v>1281</v>
      </c>
      <c r="AA1290" t="e">
        <f>INDEX(Stammdaten[Ovalität (']0,1'])],MATCH(Tabelle1014[[#This Row],[Rank]],Stammdaten[Rank Verteilung Ovalität],0))</f>
        <v>#N/A</v>
      </c>
      <c r="AB1290" t="e">
        <f>VLOOKUP(Tabelle1014[[#This Row],[Rank]],Stammdaten[[Rank Verteilung Ovalität]:[Verteilung Ovalität]],2,FALSE)</f>
        <v>#N/A</v>
      </c>
    </row>
    <row r="1291" spans="5:28" x14ac:dyDescent="0.35">
      <c r="E1291">
        <v>1282</v>
      </c>
      <c r="F1291" t="e">
        <f>INDEX(Stammdaten[D Mitte mit Rinde (mm)],MATCH(Tabelle8[[#This Row],[Rank]],Stammdaten[Rank Verteilung D Mitte mit Rinde],0))</f>
        <v>#N/A</v>
      </c>
      <c r="G1291" t="e">
        <f>VLOOKUP(Tabelle8[[#This Row],[Rank]],Stammdaten[[Rank Verteilung D Mitte mit Rinde]:[Verteilung D Mitte mit Rinde]],2,FALSE)</f>
        <v>#N/A</v>
      </c>
      <c r="L1291">
        <v>1282</v>
      </c>
      <c r="M1291" t="e">
        <f>INDEX(Stammdaten[Abholzigkeit (mm/lfm)],MATCH(Tabelle9[[#This Row],[Rank]],Stammdaten[Rank Verteilung Abholzigkeit],0))</f>
        <v>#N/A</v>
      </c>
      <c r="N1291" t="e">
        <f>VLOOKUP(Tabelle9[[#This Row],[Rank]],Stammdaten[[Rank Verteilung Abholzigkeit]:[Verteilung Abholzigkeit]],2,FALSE)</f>
        <v>#N/A</v>
      </c>
      <c r="S1291">
        <v>1282</v>
      </c>
      <c r="T1291" t="e">
        <f>INDEX(Stammdaten[Krümmung (mm/lfm)],MATCH(Tabelle10[[#This Row],[Rank]],Stammdaten[Rank Verteilung Krümmung],0))</f>
        <v>#N/A</v>
      </c>
      <c r="U1291" t="e">
        <f>VLOOKUP(Tabelle10[[#This Row],[Rank]],Stammdaten[[Rank Verteilung Krümmung]:[Verteilung Krümmung]],2,FALSE)</f>
        <v>#N/A</v>
      </c>
      <c r="Z1291">
        <v>1282</v>
      </c>
      <c r="AA1291" t="e">
        <f>INDEX(Stammdaten[Ovalität (']0,1'])],MATCH(Tabelle1014[[#This Row],[Rank]],Stammdaten[Rank Verteilung Ovalität],0))</f>
        <v>#N/A</v>
      </c>
      <c r="AB1291" t="e">
        <f>VLOOKUP(Tabelle1014[[#This Row],[Rank]],Stammdaten[[Rank Verteilung Ovalität]:[Verteilung Ovalität]],2,FALSE)</f>
        <v>#N/A</v>
      </c>
    </row>
    <row r="1292" spans="5:28" x14ac:dyDescent="0.35">
      <c r="E1292">
        <v>1283</v>
      </c>
      <c r="F1292" t="e">
        <f>INDEX(Stammdaten[D Mitte mit Rinde (mm)],MATCH(Tabelle8[[#This Row],[Rank]],Stammdaten[Rank Verteilung D Mitte mit Rinde],0))</f>
        <v>#N/A</v>
      </c>
      <c r="G1292" t="e">
        <f>VLOOKUP(Tabelle8[[#This Row],[Rank]],Stammdaten[[Rank Verteilung D Mitte mit Rinde]:[Verteilung D Mitte mit Rinde]],2,FALSE)</f>
        <v>#N/A</v>
      </c>
      <c r="L1292">
        <v>1283</v>
      </c>
      <c r="M1292" t="e">
        <f>INDEX(Stammdaten[Abholzigkeit (mm/lfm)],MATCH(Tabelle9[[#This Row],[Rank]],Stammdaten[Rank Verteilung Abholzigkeit],0))</f>
        <v>#N/A</v>
      </c>
      <c r="N1292" t="e">
        <f>VLOOKUP(Tabelle9[[#This Row],[Rank]],Stammdaten[[Rank Verteilung Abholzigkeit]:[Verteilung Abholzigkeit]],2,FALSE)</f>
        <v>#N/A</v>
      </c>
      <c r="S1292">
        <v>1283</v>
      </c>
      <c r="T1292" t="e">
        <f>INDEX(Stammdaten[Krümmung (mm/lfm)],MATCH(Tabelle10[[#This Row],[Rank]],Stammdaten[Rank Verteilung Krümmung],0))</f>
        <v>#N/A</v>
      </c>
      <c r="U1292" t="e">
        <f>VLOOKUP(Tabelle10[[#This Row],[Rank]],Stammdaten[[Rank Verteilung Krümmung]:[Verteilung Krümmung]],2,FALSE)</f>
        <v>#N/A</v>
      </c>
      <c r="Z1292">
        <v>1283</v>
      </c>
      <c r="AA1292" t="e">
        <f>INDEX(Stammdaten[Ovalität (']0,1'])],MATCH(Tabelle1014[[#This Row],[Rank]],Stammdaten[Rank Verteilung Ovalität],0))</f>
        <v>#N/A</v>
      </c>
      <c r="AB1292" t="e">
        <f>VLOOKUP(Tabelle1014[[#This Row],[Rank]],Stammdaten[[Rank Verteilung Ovalität]:[Verteilung Ovalität]],2,FALSE)</f>
        <v>#N/A</v>
      </c>
    </row>
    <row r="1293" spans="5:28" x14ac:dyDescent="0.35">
      <c r="E1293">
        <v>1284</v>
      </c>
      <c r="F1293" t="e">
        <f>INDEX(Stammdaten[D Mitte mit Rinde (mm)],MATCH(Tabelle8[[#This Row],[Rank]],Stammdaten[Rank Verteilung D Mitte mit Rinde],0))</f>
        <v>#N/A</v>
      </c>
      <c r="G1293" t="e">
        <f>VLOOKUP(Tabelle8[[#This Row],[Rank]],Stammdaten[[Rank Verteilung D Mitte mit Rinde]:[Verteilung D Mitte mit Rinde]],2,FALSE)</f>
        <v>#N/A</v>
      </c>
      <c r="L1293">
        <v>1284</v>
      </c>
      <c r="M1293" t="e">
        <f>INDEX(Stammdaten[Abholzigkeit (mm/lfm)],MATCH(Tabelle9[[#This Row],[Rank]],Stammdaten[Rank Verteilung Abholzigkeit],0))</f>
        <v>#N/A</v>
      </c>
      <c r="N1293" t="e">
        <f>VLOOKUP(Tabelle9[[#This Row],[Rank]],Stammdaten[[Rank Verteilung Abholzigkeit]:[Verteilung Abholzigkeit]],2,FALSE)</f>
        <v>#N/A</v>
      </c>
      <c r="S1293">
        <v>1284</v>
      </c>
      <c r="T1293" t="e">
        <f>INDEX(Stammdaten[Krümmung (mm/lfm)],MATCH(Tabelle10[[#This Row],[Rank]],Stammdaten[Rank Verteilung Krümmung],0))</f>
        <v>#N/A</v>
      </c>
      <c r="U1293" t="e">
        <f>VLOOKUP(Tabelle10[[#This Row],[Rank]],Stammdaten[[Rank Verteilung Krümmung]:[Verteilung Krümmung]],2,FALSE)</f>
        <v>#N/A</v>
      </c>
      <c r="Z1293">
        <v>1284</v>
      </c>
      <c r="AA1293" t="e">
        <f>INDEX(Stammdaten[Ovalität (']0,1'])],MATCH(Tabelle1014[[#This Row],[Rank]],Stammdaten[Rank Verteilung Ovalität],0))</f>
        <v>#N/A</v>
      </c>
      <c r="AB1293" t="e">
        <f>VLOOKUP(Tabelle1014[[#This Row],[Rank]],Stammdaten[[Rank Verteilung Ovalität]:[Verteilung Ovalität]],2,FALSE)</f>
        <v>#N/A</v>
      </c>
    </row>
    <row r="1294" spans="5:28" x14ac:dyDescent="0.35">
      <c r="E1294">
        <v>1285</v>
      </c>
      <c r="F1294" t="e">
        <f>INDEX(Stammdaten[D Mitte mit Rinde (mm)],MATCH(Tabelle8[[#This Row],[Rank]],Stammdaten[Rank Verteilung D Mitte mit Rinde],0))</f>
        <v>#N/A</v>
      </c>
      <c r="G1294" t="e">
        <f>VLOOKUP(Tabelle8[[#This Row],[Rank]],Stammdaten[[Rank Verteilung D Mitte mit Rinde]:[Verteilung D Mitte mit Rinde]],2,FALSE)</f>
        <v>#N/A</v>
      </c>
      <c r="L1294">
        <v>1285</v>
      </c>
      <c r="M1294" t="e">
        <f>INDEX(Stammdaten[Abholzigkeit (mm/lfm)],MATCH(Tabelle9[[#This Row],[Rank]],Stammdaten[Rank Verteilung Abholzigkeit],0))</f>
        <v>#N/A</v>
      </c>
      <c r="N1294" t="e">
        <f>VLOOKUP(Tabelle9[[#This Row],[Rank]],Stammdaten[[Rank Verteilung Abholzigkeit]:[Verteilung Abholzigkeit]],2,FALSE)</f>
        <v>#N/A</v>
      </c>
      <c r="S1294">
        <v>1285</v>
      </c>
      <c r="T1294" t="e">
        <f>INDEX(Stammdaten[Krümmung (mm/lfm)],MATCH(Tabelle10[[#This Row],[Rank]],Stammdaten[Rank Verteilung Krümmung],0))</f>
        <v>#N/A</v>
      </c>
      <c r="U1294" t="e">
        <f>VLOOKUP(Tabelle10[[#This Row],[Rank]],Stammdaten[[Rank Verteilung Krümmung]:[Verteilung Krümmung]],2,FALSE)</f>
        <v>#N/A</v>
      </c>
      <c r="Z1294">
        <v>1285</v>
      </c>
      <c r="AA1294" t="e">
        <f>INDEX(Stammdaten[Ovalität (']0,1'])],MATCH(Tabelle1014[[#This Row],[Rank]],Stammdaten[Rank Verteilung Ovalität],0))</f>
        <v>#N/A</v>
      </c>
      <c r="AB1294" t="e">
        <f>VLOOKUP(Tabelle1014[[#This Row],[Rank]],Stammdaten[[Rank Verteilung Ovalität]:[Verteilung Ovalität]],2,FALSE)</f>
        <v>#N/A</v>
      </c>
    </row>
    <row r="1295" spans="5:28" x14ac:dyDescent="0.35">
      <c r="E1295">
        <v>1286</v>
      </c>
      <c r="F1295" t="e">
        <f>INDEX(Stammdaten[D Mitte mit Rinde (mm)],MATCH(Tabelle8[[#This Row],[Rank]],Stammdaten[Rank Verteilung D Mitte mit Rinde],0))</f>
        <v>#N/A</v>
      </c>
      <c r="G1295" t="e">
        <f>VLOOKUP(Tabelle8[[#This Row],[Rank]],Stammdaten[[Rank Verteilung D Mitte mit Rinde]:[Verteilung D Mitte mit Rinde]],2,FALSE)</f>
        <v>#N/A</v>
      </c>
      <c r="L1295">
        <v>1286</v>
      </c>
      <c r="M1295" t="e">
        <f>INDEX(Stammdaten[Abholzigkeit (mm/lfm)],MATCH(Tabelle9[[#This Row],[Rank]],Stammdaten[Rank Verteilung Abholzigkeit],0))</f>
        <v>#N/A</v>
      </c>
      <c r="N1295" t="e">
        <f>VLOOKUP(Tabelle9[[#This Row],[Rank]],Stammdaten[[Rank Verteilung Abholzigkeit]:[Verteilung Abholzigkeit]],2,FALSE)</f>
        <v>#N/A</v>
      </c>
      <c r="S1295">
        <v>1286</v>
      </c>
      <c r="T1295" t="e">
        <f>INDEX(Stammdaten[Krümmung (mm/lfm)],MATCH(Tabelle10[[#This Row],[Rank]],Stammdaten[Rank Verteilung Krümmung],0))</f>
        <v>#N/A</v>
      </c>
      <c r="U1295" t="e">
        <f>VLOOKUP(Tabelle10[[#This Row],[Rank]],Stammdaten[[Rank Verteilung Krümmung]:[Verteilung Krümmung]],2,FALSE)</f>
        <v>#N/A</v>
      </c>
      <c r="Z1295">
        <v>1286</v>
      </c>
      <c r="AA1295" t="e">
        <f>INDEX(Stammdaten[Ovalität (']0,1'])],MATCH(Tabelle1014[[#This Row],[Rank]],Stammdaten[Rank Verteilung Ovalität],0))</f>
        <v>#N/A</v>
      </c>
      <c r="AB1295" t="e">
        <f>VLOOKUP(Tabelle1014[[#This Row],[Rank]],Stammdaten[[Rank Verteilung Ovalität]:[Verteilung Ovalität]],2,FALSE)</f>
        <v>#N/A</v>
      </c>
    </row>
    <row r="1296" spans="5:28" x14ac:dyDescent="0.35">
      <c r="E1296">
        <v>1287</v>
      </c>
      <c r="F1296" t="e">
        <f>INDEX(Stammdaten[D Mitte mit Rinde (mm)],MATCH(Tabelle8[[#This Row],[Rank]],Stammdaten[Rank Verteilung D Mitte mit Rinde],0))</f>
        <v>#N/A</v>
      </c>
      <c r="G1296" t="e">
        <f>VLOOKUP(Tabelle8[[#This Row],[Rank]],Stammdaten[[Rank Verteilung D Mitte mit Rinde]:[Verteilung D Mitte mit Rinde]],2,FALSE)</f>
        <v>#N/A</v>
      </c>
      <c r="L1296">
        <v>1287</v>
      </c>
      <c r="M1296" t="e">
        <f>INDEX(Stammdaten[Abholzigkeit (mm/lfm)],MATCH(Tabelle9[[#This Row],[Rank]],Stammdaten[Rank Verteilung Abholzigkeit],0))</f>
        <v>#N/A</v>
      </c>
      <c r="N1296" t="e">
        <f>VLOOKUP(Tabelle9[[#This Row],[Rank]],Stammdaten[[Rank Verteilung Abholzigkeit]:[Verteilung Abholzigkeit]],2,FALSE)</f>
        <v>#N/A</v>
      </c>
      <c r="S1296">
        <v>1287</v>
      </c>
      <c r="T1296" t="e">
        <f>INDEX(Stammdaten[Krümmung (mm/lfm)],MATCH(Tabelle10[[#This Row],[Rank]],Stammdaten[Rank Verteilung Krümmung],0))</f>
        <v>#N/A</v>
      </c>
      <c r="U1296" t="e">
        <f>VLOOKUP(Tabelle10[[#This Row],[Rank]],Stammdaten[[Rank Verteilung Krümmung]:[Verteilung Krümmung]],2,FALSE)</f>
        <v>#N/A</v>
      </c>
      <c r="Z1296">
        <v>1287</v>
      </c>
      <c r="AA1296" t="e">
        <f>INDEX(Stammdaten[Ovalität (']0,1'])],MATCH(Tabelle1014[[#This Row],[Rank]],Stammdaten[Rank Verteilung Ovalität],0))</f>
        <v>#N/A</v>
      </c>
      <c r="AB1296" t="e">
        <f>VLOOKUP(Tabelle1014[[#This Row],[Rank]],Stammdaten[[Rank Verteilung Ovalität]:[Verteilung Ovalität]],2,FALSE)</f>
        <v>#N/A</v>
      </c>
    </row>
    <row r="1297" spans="5:28" x14ac:dyDescent="0.35">
      <c r="E1297">
        <v>1288</v>
      </c>
      <c r="F1297" t="e">
        <f>INDEX(Stammdaten[D Mitte mit Rinde (mm)],MATCH(Tabelle8[[#This Row],[Rank]],Stammdaten[Rank Verteilung D Mitte mit Rinde],0))</f>
        <v>#N/A</v>
      </c>
      <c r="G1297" t="e">
        <f>VLOOKUP(Tabelle8[[#This Row],[Rank]],Stammdaten[[Rank Verteilung D Mitte mit Rinde]:[Verteilung D Mitte mit Rinde]],2,FALSE)</f>
        <v>#N/A</v>
      </c>
      <c r="L1297">
        <v>1288</v>
      </c>
      <c r="M1297" t="e">
        <f>INDEX(Stammdaten[Abholzigkeit (mm/lfm)],MATCH(Tabelle9[[#This Row],[Rank]],Stammdaten[Rank Verteilung Abholzigkeit],0))</f>
        <v>#N/A</v>
      </c>
      <c r="N1297" t="e">
        <f>VLOOKUP(Tabelle9[[#This Row],[Rank]],Stammdaten[[Rank Verteilung Abholzigkeit]:[Verteilung Abholzigkeit]],2,FALSE)</f>
        <v>#N/A</v>
      </c>
      <c r="S1297">
        <v>1288</v>
      </c>
      <c r="T1297" t="e">
        <f>INDEX(Stammdaten[Krümmung (mm/lfm)],MATCH(Tabelle10[[#This Row],[Rank]],Stammdaten[Rank Verteilung Krümmung],0))</f>
        <v>#N/A</v>
      </c>
      <c r="U1297" t="e">
        <f>VLOOKUP(Tabelle10[[#This Row],[Rank]],Stammdaten[[Rank Verteilung Krümmung]:[Verteilung Krümmung]],2,FALSE)</f>
        <v>#N/A</v>
      </c>
      <c r="Z1297">
        <v>1288</v>
      </c>
      <c r="AA1297" t="e">
        <f>INDEX(Stammdaten[Ovalität (']0,1'])],MATCH(Tabelle1014[[#This Row],[Rank]],Stammdaten[Rank Verteilung Ovalität],0))</f>
        <v>#N/A</v>
      </c>
      <c r="AB1297" t="e">
        <f>VLOOKUP(Tabelle1014[[#This Row],[Rank]],Stammdaten[[Rank Verteilung Ovalität]:[Verteilung Ovalität]],2,FALSE)</f>
        <v>#N/A</v>
      </c>
    </row>
    <row r="1298" spans="5:28" x14ac:dyDescent="0.35">
      <c r="E1298">
        <v>1289</v>
      </c>
      <c r="F1298" t="e">
        <f>INDEX(Stammdaten[D Mitte mit Rinde (mm)],MATCH(Tabelle8[[#This Row],[Rank]],Stammdaten[Rank Verteilung D Mitte mit Rinde],0))</f>
        <v>#N/A</v>
      </c>
      <c r="G1298" t="e">
        <f>VLOOKUP(Tabelle8[[#This Row],[Rank]],Stammdaten[[Rank Verteilung D Mitte mit Rinde]:[Verteilung D Mitte mit Rinde]],2,FALSE)</f>
        <v>#N/A</v>
      </c>
      <c r="L1298">
        <v>1289</v>
      </c>
      <c r="M1298" t="e">
        <f>INDEX(Stammdaten[Abholzigkeit (mm/lfm)],MATCH(Tabelle9[[#This Row],[Rank]],Stammdaten[Rank Verteilung Abholzigkeit],0))</f>
        <v>#N/A</v>
      </c>
      <c r="N1298" t="e">
        <f>VLOOKUP(Tabelle9[[#This Row],[Rank]],Stammdaten[[Rank Verteilung Abholzigkeit]:[Verteilung Abholzigkeit]],2,FALSE)</f>
        <v>#N/A</v>
      </c>
      <c r="S1298">
        <v>1289</v>
      </c>
      <c r="T1298" t="e">
        <f>INDEX(Stammdaten[Krümmung (mm/lfm)],MATCH(Tabelle10[[#This Row],[Rank]],Stammdaten[Rank Verteilung Krümmung],0))</f>
        <v>#N/A</v>
      </c>
      <c r="U1298" t="e">
        <f>VLOOKUP(Tabelle10[[#This Row],[Rank]],Stammdaten[[Rank Verteilung Krümmung]:[Verteilung Krümmung]],2,FALSE)</f>
        <v>#N/A</v>
      </c>
      <c r="Z1298">
        <v>1289</v>
      </c>
      <c r="AA1298" t="e">
        <f>INDEX(Stammdaten[Ovalität (']0,1'])],MATCH(Tabelle1014[[#This Row],[Rank]],Stammdaten[Rank Verteilung Ovalität],0))</f>
        <v>#N/A</v>
      </c>
      <c r="AB1298" t="e">
        <f>VLOOKUP(Tabelle1014[[#This Row],[Rank]],Stammdaten[[Rank Verteilung Ovalität]:[Verteilung Ovalität]],2,FALSE)</f>
        <v>#N/A</v>
      </c>
    </row>
    <row r="1299" spans="5:28" x14ac:dyDescent="0.35">
      <c r="E1299">
        <v>1290</v>
      </c>
      <c r="F1299" t="e">
        <f>INDEX(Stammdaten[D Mitte mit Rinde (mm)],MATCH(Tabelle8[[#This Row],[Rank]],Stammdaten[Rank Verteilung D Mitte mit Rinde],0))</f>
        <v>#N/A</v>
      </c>
      <c r="G1299" t="e">
        <f>VLOOKUP(Tabelle8[[#This Row],[Rank]],Stammdaten[[Rank Verteilung D Mitte mit Rinde]:[Verteilung D Mitte mit Rinde]],2,FALSE)</f>
        <v>#N/A</v>
      </c>
      <c r="L1299">
        <v>1290</v>
      </c>
      <c r="M1299" t="e">
        <f>INDEX(Stammdaten[Abholzigkeit (mm/lfm)],MATCH(Tabelle9[[#This Row],[Rank]],Stammdaten[Rank Verteilung Abholzigkeit],0))</f>
        <v>#N/A</v>
      </c>
      <c r="N1299" t="e">
        <f>VLOOKUP(Tabelle9[[#This Row],[Rank]],Stammdaten[[Rank Verteilung Abholzigkeit]:[Verteilung Abholzigkeit]],2,FALSE)</f>
        <v>#N/A</v>
      </c>
      <c r="S1299">
        <v>1290</v>
      </c>
      <c r="T1299" t="e">
        <f>INDEX(Stammdaten[Krümmung (mm/lfm)],MATCH(Tabelle10[[#This Row],[Rank]],Stammdaten[Rank Verteilung Krümmung],0))</f>
        <v>#N/A</v>
      </c>
      <c r="U1299" t="e">
        <f>VLOOKUP(Tabelle10[[#This Row],[Rank]],Stammdaten[[Rank Verteilung Krümmung]:[Verteilung Krümmung]],2,FALSE)</f>
        <v>#N/A</v>
      </c>
      <c r="Z1299">
        <v>1290</v>
      </c>
      <c r="AA1299" t="e">
        <f>INDEX(Stammdaten[Ovalität (']0,1'])],MATCH(Tabelle1014[[#This Row],[Rank]],Stammdaten[Rank Verteilung Ovalität],0))</f>
        <v>#N/A</v>
      </c>
      <c r="AB1299" t="e">
        <f>VLOOKUP(Tabelle1014[[#This Row],[Rank]],Stammdaten[[Rank Verteilung Ovalität]:[Verteilung Ovalität]],2,FALSE)</f>
        <v>#N/A</v>
      </c>
    </row>
    <row r="1300" spans="5:28" x14ac:dyDescent="0.35">
      <c r="E1300">
        <v>1291</v>
      </c>
      <c r="F1300" t="e">
        <f>INDEX(Stammdaten[D Mitte mit Rinde (mm)],MATCH(Tabelle8[[#This Row],[Rank]],Stammdaten[Rank Verteilung D Mitte mit Rinde],0))</f>
        <v>#N/A</v>
      </c>
      <c r="G1300" t="e">
        <f>VLOOKUP(Tabelle8[[#This Row],[Rank]],Stammdaten[[Rank Verteilung D Mitte mit Rinde]:[Verteilung D Mitte mit Rinde]],2,FALSE)</f>
        <v>#N/A</v>
      </c>
      <c r="L1300">
        <v>1291</v>
      </c>
      <c r="M1300" t="e">
        <f>INDEX(Stammdaten[Abholzigkeit (mm/lfm)],MATCH(Tabelle9[[#This Row],[Rank]],Stammdaten[Rank Verteilung Abholzigkeit],0))</f>
        <v>#N/A</v>
      </c>
      <c r="N1300" t="e">
        <f>VLOOKUP(Tabelle9[[#This Row],[Rank]],Stammdaten[[Rank Verteilung Abholzigkeit]:[Verteilung Abholzigkeit]],2,FALSE)</f>
        <v>#N/A</v>
      </c>
      <c r="S1300">
        <v>1291</v>
      </c>
      <c r="T1300" t="e">
        <f>INDEX(Stammdaten[Krümmung (mm/lfm)],MATCH(Tabelle10[[#This Row],[Rank]],Stammdaten[Rank Verteilung Krümmung],0))</f>
        <v>#N/A</v>
      </c>
      <c r="U1300" t="e">
        <f>VLOOKUP(Tabelle10[[#This Row],[Rank]],Stammdaten[[Rank Verteilung Krümmung]:[Verteilung Krümmung]],2,FALSE)</f>
        <v>#N/A</v>
      </c>
      <c r="Z1300">
        <v>1291</v>
      </c>
      <c r="AA1300" t="e">
        <f>INDEX(Stammdaten[Ovalität (']0,1'])],MATCH(Tabelle1014[[#This Row],[Rank]],Stammdaten[Rank Verteilung Ovalität],0))</f>
        <v>#N/A</v>
      </c>
      <c r="AB1300" t="e">
        <f>VLOOKUP(Tabelle1014[[#This Row],[Rank]],Stammdaten[[Rank Verteilung Ovalität]:[Verteilung Ovalität]],2,FALSE)</f>
        <v>#N/A</v>
      </c>
    </row>
    <row r="1301" spans="5:28" x14ac:dyDescent="0.35">
      <c r="E1301">
        <v>1292</v>
      </c>
      <c r="F1301" t="e">
        <f>INDEX(Stammdaten[D Mitte mit Rinde (mm)],MATCH(Tabelle8[[#This Row],[Rank]],Stammdaten[Rank Verteilung D Mitte mit Rinde],0))</f>
        <v>#N/A</v>
      </c>
      <c r="G1301" t="e">
        <f>VLOOKUP(Tabelle8[[#This Row],[Rank]],Stammdaten[[Rank Verteilung D Mitte mit Rinde]:[Verteilung D Mitte mit Rinde]],2,FALSE)</f>
        <v>#N/A</v>
      </c>
      <c r="L1301">
        <v>1292</v>
      </c>
      <c r="M1301" t="e">
        <f>INDEX(Stammdaten[Abholzigkeit (mm/lfm)],MATCH(Tabelle9[[#This Row],[Rank]],Stammdaten[Rank Verteilung Abholzigkeit],0))</f>
        <v>#N/A</v>
      </c>
      <c r="N1301" t="e">
        <f>VLOOKUP(Tabelle9[[#This Row],[Rank]],Stammdaten[[Rank Verteilung Abholzigkeit]:[Verteilung Abholzigkeit]],2,FALSE)</f>
        <v>#N/A</v>
      </c>
      <c r="S1301">
        <v>1292</v>
      </c>
      <c r="T1301" t="e">
        <f>INDEX(Stammdaten[Krümmung (mm/lfm)],MATCH(Tabelle10[[#This Row],[Rank]],Stammdaten[Rank Verteilung Krümmung],0))</f>
        <v>#N/A</v>
      </c>
      <c r="U1301" t="e">
        <f>VLOOKUP(Tabelle10[[#This Row],[Rank]],Stammdaten[[Rank Verteilung Krümmung]:[Verteilung Krümmung]],2,FALSE)</f>
        <v>#N/A</v>
      </c>
      <c r="Z1301">
        <v>1292</v>
      </c>
      <c r="AA1301" t="e">
        <f>INDEX(Stammdaten[Ovalität (']0,1'])],MATCH(Tabelle1014[[#This Row],[Rank]],Stammdaten[Rank Verteilung Ovalität],0))</f>
        <v>#N/A</v>
      </c>
      <c r="AB1301" t="e">
        <f>VLOOKUP(Tabelle1014[[#This Row],[Rank]],Stammdaten[[Rank Verteilung Ovalität]:[Verteilung Ovalität]],2,FALSE)</f>
        <v>#N/A</v>
      </c>
    </row>
    <row r="1302" spans="5:28" x14ac:dyDescent="0.35">
      <c r="E1302">
        <v>1293</v>
      </c>
      <c r="F1302" t="e">
        <f>INDEX(Stammdaten[D Mitte mit Rinde (mm)],MATCH(Tabelle8[[#This Row],[Rank]],Stammdaten[Rank Verteilung D Mitte mit Rinde],0))</f>
        <v>#N/A</v>
      </c>
      <c r="G1302" t="e">
        <f>VLOOKUP(Tabelle8[[#This Row],[Rank]],Stammdaten[[Rank Verteilung D Mitte mit Rinde]:[Verteilung D Mitte mit Rinde]],2,FALSE)</f>
        <v>#N/A</v>
      </c>
      <c r="L1302">
        <v>1293</v>
      </c>
      <c r="M1302" t="e">
        <f>INDEX(Stammdaten[Abholzigkeit (mm/lfm)],MATCH(Tabelle9[[#This Row],[Rank]],Stammdaten[Rank Verteilung Abholzigkeit],0))</f>
        <v>#N/A</v>
      </c>
      <c r="N1302" t="e">
        <f>VLOOKUP(Tabelle9[[#This Row],[Rank]],Stammdaten[[Rank Verteilung Abholzigkeit]:[Verteilung Abholzigkeit]],2,FALSE)</f>
        <v>#N/A</v>
      </c>
      <c r="S1302">
        <v>1293</v>
      </c>
      <c r="T1302" t="e">
        <f>INDEX(Stammdaten[Krümmung (mm/lfm)],MATCH(Tabelle10[[#This Row],[Rank]],Stammdaten[Rank Verteilung Krümmung],0))</f>
        <v>#N/A</v>
      </c>
      <c r="U1302" t="e">
        <f>VLOOKUP(Tabelle10[[#This Row],[Rank]],Stammdaten[[Rank Verteilung Krümmung]:[Verteilung Krümmung]],2,FALSE)</f>
        <v>#N/A</v>
      </c>
      <c r="Z1302">
        <v>1293</v>
      </c>
      <c r="AA1302" t="e">
        <f>INDEX(Stammdaten[Ovalität (']0,1'])],MATCH(Tabelle1014[[#This Row],[Rank]],Stammdaten[Rank Verteilung Ovalität],0))</f>
        <v>#N/A</v>
      </c>
      <c r="AB1302" t="e">
        <f>VLOOKUP(Tabelle1014[[#This Row],[Rank]],Stammdaten[[Rank Verteilung Ovalität]:[Verteilung Ovalität]],2,FALSE)</f>
        <v>#N/A</v>
      </c>
    </row>
    <row r="1303" spans="5:28" x14ac:dyDescent="0.35">
      <c r="E1303">
        <v>1294</v>
      </c>
      <c r="F1303" t="e">
        <f>INDEX(Stammdaten[D Mitte mit Rinde (mm)],MATCH(Tabelle8[[#This Row],[Rank]],Stammdaten[Rank Verteilung D Mitte mit Rinde],0))</f>
        <v>#N/A</v>
      </c>
      <c r="G1303" t="e">
        <f>VLOOKUP(Tabelle8[[#This Row],[Rank]],Stammdaten[[Rank Verteilung D Mitte mit Rinde]:[Verteilung D Mitte mit Rinde]],2,FALSE)</f>
        <v>#N/A</v>
      </c>
      <c r="L1303">
        <v>1294</v>
      </c>
      <c r="M1303" t="e">
        <f>INDEX(Stammdaten[Abholzigkeit (mm/lfm)],MATCH(Tabelle9[[#This Row],[Rank]],Stammdaten[Rank Verteilung Abholzigkeit],0))</f>
        <v>#N/A</v>
      </c>
      <c r="N1303" t="e">
        <f>VLOOKUP(Tabelle9[[#This Row],[Rank]],Stammdaten[[Rank Verteilung Abholzigkeit]:[Verteilung Abholzigkeit]],2,FALSE)</f>
        <v>#N/A</v>
      </c>
      <c r="S1303">
        <v>1294</v>
      </c>
      <c r="T1303" t="e">
        <f>INDEX(Stammdaten[Krümmung (mm/lfm)],MATCH(Tabelle10[[#This Row],[Rank]],Stammdaten[Rank Verteilung Krümmung],0))</f>
        <v>#N/A</v>
      </c>
      <c r="U1303" t="e">
        <f>VLOOKUP(Tabelle10[[#This Row],[Rank]],Stammdaten[[Rank Verteilung Krümmung]:[Verteilung Krümmung]],2,FALSE)</f>
        <v>#N/A</v>
      </c>
      <c r="Z1303">
        <v>1294</v>
      </c>
      <c r="AA1303" t="e">
        <f>INDEX(Stammdaten[Ovalität (']0,1'])],MATCH(Tabelle1014[[#This Row],[Rank]],Stammdaten[Rank Verteilung Ovalität],0))</f>
        <v>#N/A</v>
      </c>
      <c r="AB1303" t="e">
        <f>VLOOKUP(Tabelle1014[[#This Row],[Rank]],Stammdaten[[Rank Verteilung Ovalität]:[Verteilung Ovalität]],2,FALSE)</f>
        <v>#N/A</v>
      </c>
    </row>
    <row r="1304" spans="5:28" x14ac:dyDescent="0.35">
      <c r="E1304">
        <v>1295</v>
      </c>
      <c r="F1304" t="e">
        <f>INDEX(Stammdaten[D Mitte mit Rinde (mm)],MATCH(Tabelle8[[#This Row],[Rank]],Stammdaten[Rank Verteilung D Mitte mit Rinde],0))</f>
        <v>#N/A</v>
      </c>
      <c r="G1304" t="e">
        <f>VLOOKUP(Tabelle8[[#This Row],[Rank]],Stammdaten[[Rank Verteilung D Mitte mit Rinde]:[Verteilung D Mitte mit Rinde]],2,FALSE)</f>
        <v>#N/A</v>
      </c>
      <c r="L1304">
        <v>1295</v>
      </c>
      <c r="M1304" t="e">
        <f>INDEX(Stammdaten[Abholzigkeit (mm/lfm)],MATCH(Tabelle9[[#This Row],[Rank]],Stammdaten[Rank Verteilung Abholzigkeit],0))</f>
        <v>#N/A</v>
      </c>
      <c r="N1304" t="e">
        <f>VLOOKUP(Tabelle9[[#This Row],[Rank]],Stammdaten[[Rank Verteilung Abholzigkeit]:[Verteilung Abholzigkeit]],2,FALSE)</f>
        <v>#N/A</v>
      </c>
      <c r="S1304">
        <v>1295</v>
      </c>
      <c r="T1304" t="e">
        <f>INDEX(Stammdaten[Krümmung (mm/lfm)],MATCH(Tabelle10[[#This Row],[Rank]],Stammdaten[Rank Verteilung Krümmung],0))</f>
        <v>#N/A</v>
      </c>
      <c r="U1304" t="e">
        <f>VLOOKUP(Tabelle10[[#This Row],[Rank]],Stammdaten[[Rank Verteilung Krümmung]:[Verteilung Krümmung]],2,FALSE)</f>
        <v>#N/A</v>
      </c>
      <c r="Z1304">
        <v>1295</v>
      </c>
      <c r="AA1304" t="e">
        <f>INDEX(Stammdaten[Ovalität (']0,1'])],MATCH(Tabelle1014[[#This Row],[Rank]],Stammdaten[Rank Verteilung Ovalität],0))</f>
        <v>#N/A</v>
      </c>
      <c r="AB1304" t="e">
        <f>VLOOKUP(Tabelle1014[[#This Row],[Rank]],Stammdaten[[Rank Verteilung Ovalität]:[Verteilung Ovalität]],2,FALSE)</f>
        <v>#N/A</v>
      </c>
    </row>
    <row r="1305" spans="5:28" x14ac:dyDescent="0.35">
      <c r="E1305">
        <v>1296</v>
      </c>
      <c r="F1305" t="e">
        <f>INDEX(Stammdaten[D Mitte mit Rinde (mm)],MATCH(Tabelle8[[#This Row],[Rank]],Stammdaten[Rank Verteilung D Mitte mit Rinde],0))</f>
        <v>#N/A</v>
      </c>
      <c r="G1305" t="e">
        <f>VLOOKUP(Tabelle8[[#This Row],[Rank]],Stammdaten[[Rank Verteilung D Mitte mit Rinde]:[Verteilung D Mitte mit Rinde]],2,FALSE)</f>
        <v>#N/A</v>
      </c>
      <c r="L1305">
        <v>1296</v>
      </c>
      <c r="M1305" t="e">
        <f>INDEX(Stammdaten[Abholzigkeit (mm/lfm)],MATCH(Tabelle9[[#This Row],[Rank]],Stammdaten[Rank Verteilung Abholzigkeit],0))</f>
        <v>#N/A</v>
      </c>
      <c r="N1305" t="e">
        <f>VLOOKUP(Tabelle9[[#This Row],[Rank]],Stammdaten[[Rank Verteilung Abholzigkeit]:[Verteilung Abholzigkeit]],2,FALSE)</f>
        <v>#N/A</v>
      </c>
      <c r="S1305">
        <v>1296</v>
      </c>
      <c r="T1305" t="e">
        <f>INDEX(Stammdaten[Krümmung (mm/lfm)],MATCH(Tabelle10[[#This Row],[Rank]],Stammdaten[Rank Verteilung Krümmung],0))</f>
        <v>#N/A</v>
      </c>
      <c r="U1305" t="e">
        <f>VLOOKUP(Tabelle10[[#This Row],[Rank]],Stammdaten[[Rank Verteilung Krümmung]:[Verteilung Krümmung]],2,FALSE)</f>
        <v>#N/A</v>
      </c>
      <c r="Z1305">
        <v>1296</v>
      </c>
      <c r="AA1305" t="e">
        <f>INDEX(Stammdaten[Ovalität (']0,1'])],MATCH(Tabelle1014[[#This Row],[Rank]],Stammdaten[Rank Verteilung Ovalität],0))</f>
        <v>#N/A</v>
      </c>
      <c r="AB1305" t="e">
        <f>VLOOKUP(Tabelle1014[[#This Row],[Rank]],Stammdaten[[Rank Verteilung Ovalität]:[Verteilung Ovalität]],2,FALSE)</f>
        <v>#N/A</v>
      </c>
    </row>
    <row r="1306" spans="5:28" x14ac:dyDescent="0.35">
      <c r="E1306">
        <v>1297</v>
      </c>
      <c r="F1306" t="e">
        <f>INDEX(Stammdaten[D Mitte mit Rinde (mm)],MATCH(Tabelle8[[#This Row],[Rank]],Stammdaten[Rank Verteilung D Mitte mit Rinde],0))</f>
        <v>#N/A</v>
      </c>
      <c r="G1306" t="e">
        <f>VLOOKUP(Tabelle8[[#This Row],[Rank]],Stammdaten[[Rank Verteilung D Mitte mit Rinde]:[Verteilung D Mitte mit Rinde]],2,FALSE)</f>
        <v>#N/A</v>
      </c>
      <c r="L1306">
        <v>1297</v>
      </c>
      <c r="M1306" t="e">
        <f>INDEX(Stammdaten[Abholzigkeit (mm/lfm)],MATCH(Tabelle9[[#This Row],[Rank]],Stammdaten[Rank Verteilung Abholzigkeit],0))</f>
        <v>#N/A</v>
      </c>
      <c r="N1306" t="e">
        <f>VLOOKUP(Tabelle9[[#This Row],[Rank]],Stammdaten[[Rank Verteilung Abholzigkeit]:[Verteilung Abholzigkeit]],2,FALSE)</f>
        <v>#N/A</v>
      </c>
      <c r="S1306">
        <v>1297</v>
      </c>
      <c r="T1306" t="e">
        <f>INDEX(Stammdaten[Krümmung (mm/lfm)],MATCH(Tabelle10[[#This Row],[Rank]],Stammdaten[Rank Verteilung Krümmung],0))</f>
        <v>#N/A</v>
      </c>
      <c r="U1306" t="e">
        <f>VLOOKUP(Tabelle10[[#This Row],[Rank]],Stammdaten[[Rank Verteilung Krümmung]:[Verteilung Krümmung]],2,FALSE)</f>
        <v>#N/A</v>
      </c>
      <c r="Z1306">
        <v>1297</v>
      </c>
      <c r="AA1306" t="e">
        <f>INDEX(Stammdaten[Ovalität (']0,1'])],MATCH(Tabelle1014[[#This Row],[Rank]],Stammdaten[Rank Verteilung Ovalität],0))</f>
        <v>#N/A</v>
      </c>
      <c r="AB1306" t="e">
        <f>VLOOKUP(Tabelle1014[[#This Row],[Rank]],Stammdaten[[Rank Verteilung Ovalität]:[Verteilung Ovalität]],2,FALSE)</f>
        <v>#N/A</v>
      </c>
    </row>
    <row r="1307" spans="5:28" x14ac:dyDescent="0.35">
      <c r="E1307">
        <v>1298</v>
      </c>
      <c r="F1307" t="e">
        <f>INDEX(Stammdaten[D Mitte mit Rinde (mm)],MATCH(Tabelle8[[#This Row],[Rank]],Stammdaten[Rank Verteilung D Mitte mit Rinde],0))</f>
        <v>#N/A</v>
      </c>
      <c r="G1307" t="e">
        <f>VLOOKUP(Tabelle8[[#This Row],[Rank]],Stammdaten[[Rank Verteilung D Mitte mit Rinde]:[Verteilung D Mitte mit Rinde]],2,FALSE)</f>
        <v>#N/A</v>
      </c>
      <c r="L1307">
        <v>1298</v>
      </c>
      <c r="M1307" t="e">
        <f>INDEX(Stammdaten[Abholzigkeit (mm/lfm)],MATCH(Tabelle9[[#This Row],[Rank]],Stammdaten[Rank Verteilung Abholzigkeit],0))</f>
        <v>#N/A</v>
      </c>
      <c r="N1307" t="e">
        <f>VLOOKUP(Tabelle9[[#This Row],[Rank]],Stammdaten[[Rank Verteilung Abholzigkeit]:[Verteilung Abholzigkeit]],2,FALSE)</f>
        <v>#N/A</v>
      </c>
      <c r="S1307">
        <v>1298</v>
      </c>
      <c r="T1307" t="e">
        <f>INDEX(Stammdaten[Krümmung (mm/lfm)],MATCH(Tabelle10[[#This Row],[Rank]],Stammdaten[Rank Verteilung Krümmung],0))</f>
        <v>#N/A</v>
      </c>
      <c r="U1307" t="e">
        <f>VLOOKUP(Tabelle10[[#This Row],[Rank]],Stammdaten[[Rank Verteilung Krümmung]:[Verteilung Krümmung]],2,FALSE)</f>
        <v>#N/A</v>
      </c>
      <c r="Z1307">
        <v>1298</v>
      </c>
      <c r="AA1307" t="e">
        <f>INDEX(Stammdaten[Ovalität (']0,1'])],MATCH(Tabelle1014[[#This Row],[Rank]],Stammdaten[Rank Verteilung Ovalität],0))</f>
        <v>#N/A</v>
      </c>
      <c r="AB1307" t="e">
        <f>VLOOKUP(Tabelle1014[[#This Row],[Rank]],Stammdaten[[Rank Verteilung Ovalität]:[Verteilung Ovalität]],2,FALSE)</f>
        <v>#N/A</v>
      </c>
    </row>
    <row r="1308" spans="5:28" x14ac:dyDescent="0.35">
      <c r="E1308">
        <v>1299</v>
      </c>
      <c r="F1308" t="e">
        <f>INDEX(Stammdaten[D Mitte mit Rinde (mm)],MATCH(Tabelle8[[#This Row],[Rank]],Stammdaten[Rank Verteilung D Mitte mit Rinde],0))</f>
        <v>#N/A</v>
      </c>
      <c r="G1308" t="e">
        <f>VLOOKUP(Tabelle8[[#This Row],[Rank]],Stammdaten[[Rank Verteilung D Mitte mit Rinde]:[Verteilung D Mitte mit Rinde]],2,FALSE)</f>
        <v>#N/A</v>
      </c>
      <c r="L1308">
        <v>1299</v>
      </c>
      <c r="M1308" t="e">
        <f>INDEX(Stammdaten[Abholzigkeit (mm/lfm)],MATCH(Tabelle9[[#This Row],[Rank]],Stammdaten[Rank Verteilung Abholzigkeit],0))</f>
        <v>#N/A</v>
      </c>
      <c r="N1308" t="e">
        <f>VLOOKUP(Tabelle9[[#This Row],[Rank]],Stammdaten[[Rank Verteilung Abholzigkeit]:[Verteilung Abholzigkeit]],2,FALSE)</f>
        <v>#N/A</v>
      </c>
      <c r="S1308">
        <v>1299</v>
      </c>
      <c r="T1308" t="e">
        <f>INDEX(Stammdaten[Krümmung (mm/lfm)],MATCH(Tabelle10[[#This Row],[Rank]],Stammdaten[Rank Verteilung Krümmung],0))</f>
        <v>#N/A</v>
      </c>
      <c r="U1308" t="e">
        <f>VLOOKUP(Tabelle10[[#This Row],[Rank]],Stammdaten[[Rank Verteilung Krümmung]:[Verteilung Krümmung]],2,FALSE)</f>
        <v>#N/A</v>
      </c>
      <c r="Z1308">
        <v>1299</v>
      </c>
      <c r="AA1308" t="e">
        <f>INDEX(Stammdaten[Ovalität (']0,1'])],MATCH(Tabelle1014[[#This Row],[Rank]],Stammdaten[Rank Verteilung Ovalität],0))</f>
        <v>#N/A</v>
      </c>
      <c r="AB1308" t="e">
        <f>VLOOKUP(Tabelle1014[[#This Row],[Rank]],Stammdaten[[Rank Verteilung Ovalität]:[Verteilung Ovalität]],2,FALSE)</f>
        <v>#N/A</v>
      </c>
    </row>
    <row r="1309" spans="5:28" x14ac:dyDescent="0.35">
      <c r="E1309">
        <v>1300</v>
      </c>
      <c r="F1309" t="e">
        <f>INDEX(Stammdaten[D Mitte mit Rinde (mm)],MATCH(Tabelle8[[#This Row],[Rank]],Stammdaten[Rank Verteilung D Mitte mit Rinde],0))</f>
        <v>#N/A</v>
      </c>
      <c r="G1309" t="e">
        <f>VLOOKUP(Tabelle8[[#This Row],[Rank]],Stammdaten[[Rank Verteilung D Mitte mit Rinde]:[Verteilung D Mitte mit Rinde]],2,FALSE)</f>
        <v>#N/A</v>
      </c>
      <c r="L1309">
        <v>1300</v>
      </c>
      <c r="M1309" t="e">
        <f>INDEX(Stammdaten[Abholzigkeit (mm/lfm)],MATCH(Tabelle9[[#This Row],[Rank]],Stammdaten[Rank Verteilung Abholzigkeit],0))</f>
        <v>#N/A</v>
      </c>
      <c r="N1309" t="e">
        <f>VLOOKUP(Tabelle9[[#This Row],[Rank]],Stammdaten[[Rank Verteilung Abholzigkeit]:[Verteilung Abholzigkeit]],2,FALSE)</f>
        <v>#N/A</v>
      </c>
      <c r="S1309">
        <v>1300</v>
      </c>
      <c r="T1309" t="e">
        <f>INDEX(Stammdaten[Krümmung (mm/lfm)],MATCH(Tabelle10[[#This Row],[Rank]],Stammdaten[Rank Verteilung Krümmung],0))</f>
        <v>#N/A</v>
      </c>
      <c r="U1309" t="e">
        <f>VLOOKUP(Tabelle10[[#This Row],[Rank]],Stammdaten[[Rank Verteilung Krümmung]:[Verteilung Krümmung]],2,FALSE)</f>
        <v>#N/A</v>
      </c>
      <c r="Z1309">
        <v>1300</v>
      </c>
      <c r="AA1309" t="e">
        <f>INDEX(Stammdaten[Ovalität (']0,1'])],MATCH(Tabelle1014[[#This Row],[Rank]],Stammdaten[Rank Verteilung Ovalität],0))</f>
        <v>#N/A</v>
      </c>
      <c r="AB1309" t="e">
        <f>VLOOKUP(Tabelle1014[[#This Row],[Rank]],Stammdaten[[Rank Verteilung Ovalität]:[Verteilung Ovalität]],2,FALSE)</f>
        <v>#N/A</v>
      </c>
    </row>
    <row r="1310" spans="5:28" x14ac:dyDescent="0.35">
      <c r="E1310">
        <v>1301</v>
      </c>
      <c r="F1310" t="e">
        <f>INDEX(Stammdaten[D Mitte mit Rinde (mm)],MATCH(Tabelle8[[#This Row],[Rank]],Stammdaten[Rank Verteilung D Mitte mit Rinde],0))</f>
        <v>#N/A</v>
      </c>
      <c r="G1310" t="e">
        <f>VLOOKUP(Tabelle8[[#This Row],[Rank]],Stammdaten[[Rank Verteilung D Mitte mit Rinde]:[Verteilung D Mitte mit Rinde]],2,FALSE)</f>
        <v>#N/A</v>
      </c>
      <c r="L1310">
        <v>1301</v>
      </c>
      <c r="M1310" t="e">
        <f>INDEX(Stammdaten[Abholzigkeit (mm/lfm)],MATCH(Tabelle9[[#This Row],[Rank]],Stammdaten[Rank Verteilung Abholzigkeit],0))</f>
        <v>#N/A</v>
      </c>
      <c r="N1310" t="e">
        <f>VLOOKUP(Tabelle9[[#This Row],[Rank]],Stammdaten[[Rank Verteilung Abholzigkeit]:[Verteilung Abholzigkeit]],2,FALSE)</f>
        <v>#N/A</v>
      </c>
      <c r="S1310">
        <v>1301</v>
      </c>
      <c r="T1310" t="e">
        <f>INDEX(Stammdaten[Krümmung (mm/lfm)],MATCH(Tabelle10[[#This Row],[Rank]],Stammdaten[Rank Verteilung Krümmung],0))</f>
        <v>#N/A</v>
      </c>
      <c r="U1310" t="e">
        <f>VLOOKUP(Tabelle10[[#This Row],[Rank]],Stammdaten[[Rank Verteilung Krümmung]:[Verteilung Krümmung]],2,FALSE)</f>
        <v>#N/A</v>
      </c>
      <c r="Z1310">
        <v>1301</v>
      </c>
      <c r="AA1310" t="e">
        <f>INDEX(Stammdaten[Ovalität (']0,1'])],MATCH(Tabelle1014[[#This Row],[Rank]],Stammdaten[Rank Verteilung Ovalität],0))</f>
        <v>#N/A</v>
      </c>
      <c r="AB1310" t="e">
        <f>VLOOKUP(Tabelle1014[[#This Row],[Rank]],Stammdaten[[Rank Verteilung Ovalität]:[Verteilung Ovalität]],2,FALSE)</f>
        <v>#N/A</v>
      </c>
    </row>
    <row r="1311" spans="5:28" x14ac:dyDescent="0.35">
      <c r="E1311">
        <v>1302</v>
      </c>
      <c r="F1311" t="e">
        <f>INDEX(Stammdaten[D Mitte mit Rinde (mm)],MATCH(Tabelle8[[#This Row],[Rank]],Stammdaten[Rank Verteilung D Mitte mit Rinde],0))</f>
        <v>#N/A</v>
      </c>
      <c r="G1311" t="e">
        <f>VLOOKUP(Tabelle8[[#This Row],[Rank]],Stammdaten[[Rank Verteilung D Mitte mit Rinde]:[Verteilung D Mitte mit Rinde]],2,FALSE)</f>
        <v>#N/A</v>
      </c>
      <c r="L1311">
        <v>1302</v>
      </c>
      <c r="M1311" t="e">
        <f>INDEX(Stammdaten[Abholzigkeit (mm/lfm)],MATCH(Tabelle9[[#This Row],[Rank]],Stammdaten[Rank Verteilung Abholzigkeit],0))</f>
        <v>#N/A</v>
      </c>
      <c r="N1311" t="e">
        <f>VLOOKUP(Tabelle9[[#This Row],[Rank]],Stammdaten[[Rank Verteilung Abholzigkeit]:[Verteilung Abholzigkeit]],2,FALSE)</f>
        <v>#N/A</v>
      </c>
      <c r="S1311">
        <v>1302</v>
      </c>
      <c r="T1311" t="e">
        <f>INDEX(Stammdaten[Krümmung (mm/lfm)],MATCH(Tabelle10[[#This Row],[Rank]],Stammdaten[Rank Verteilung Krümmung],0))</f>
        <v>#N/A</v>
      </c>
      <c r="U1311" t="e">
        <f>VLOOKUP(Tabelle10[[#This Row],[Rank]],Stammdaten[[Rank Verteilung Krümmung]:[Verteilung Krümmung]],2,FALSE)</f>
        <v>#N/A</v>
      </c>
      <c r="Z1311">
        <v>1302</v>
      </c>
      <c r="AA1311" t="e">
        <f>INDEX(Stammdaten[Ovalität (']0,1'])],MATCH(Tabelle1014[[#This Row],[Rank]],Stammdaten[Rank Verteilung Ovalität],0))</f>
        <v>#N/A</v>
      </c>
      <c r="AB1311" t="e">
        <f>VLOOKUP(Tabelle1014[[#This Row],[Rank]],Stammdaten[[Rank Verteilung Ovalität]:[Verteilung Ovalität]],2,FALSE)</f>
        <v>#N/A</v>
      </c>
    </row>
    <row r="1312" spans="5:28" x14ac:dyDescent="0.35">
      <c r="E1312">
        <v>1303</v>
      </c>
      <c r="F1312" t="e">
        <f>INDEX(Stammdaten[D Mitte mit Rinde (mm)],MATCH(Tabelle8[[#This Row],[Rank]],Stammdaten[Rank Verteilung D Mitte mit Rinde],0))</f>
        <v>#N/A</v>
      </c>
      <c r="G1312" t="e">
        <f>VLOOKUP(Tabelle8[[#This Row],[Rank]],Stammdaten[[Rank Verteilung D Mitte mit Rinde]:[Verteilung D Mitte mit Rinde]],2,FALSE)</f>
        <v>#N/A</v>
      </c>
      <c r="L1312">
        <v>1303</v>
      </c>
      <c r="M1312" t="e">
        <f>INDEX(Stammdaten[Abholzigkeit (mm/lfm)],MATCH(Tabelle9[[#This Row],[Rank]],Stammdaten[Rank Verteilung Abholzigkeit],0))</f>
        <v>#N/A</v>
      </c>
      <c r="N1312" t="e">
        <f>VLOOKUP(Tabelle9[[#This Row],[Rank]],Stammdaten[[Rank Verteilung Abholzigkeit]:[Verteilung Abholzigkeit]],2,FALSE)</f>
        <v>#N/A</v>
      </c>
      <c r="S1312">
        <v>1303</v>
      </c>
      <c r="T1312" t="e">
        <f>INDEX(Stammdaten[Krümmung (mm/lfm)],MATCH(Tabelle10[[#This Row],[Rank]],Stammdaten[Rank Verteilung Krümmung],0))</f>
        <v>#N/A</v>
      </c>
      <c r="U1312" t="e">
        <f>VLOOKUP(Tabelle10[[#This Row],[Rank]],Stammdaten[[Rank Verteilung Krümmung]:[Verteilung Krümmung]],2,FALSE)</f>
        <v>#N/A</v>
      </c>
      <c r="Z1312">
        <v>1303</v>
      </c>
      <c r="AA1312" t="e">
        <f>INDEX(Stammdaten[Ovalität (']0,1'])],MATCH(Tabelle1014[[#This Row],[Rank]],Stammdaten[Rank Verteilung Ovalität],0))</f>
        <v>#N/A</v>
      </c>
      <c r="AB1312" t="e">
        <f>VLOOKUP(Tabelle1014[[#This Row],[Rank]],Stammdaten[[Rank Verteilung Ovalität]:[Verteilung Ovalität]],2,FALSE)</f>
        <v>#N/A</v>
      </c>
    </row>
    <row r="1313" spans="5:28" x14ac:dyDescent="0.35">
      <c r="E1313">
        <v>1304</v>
      </c>
      <c r="F1313" t="e">
        <f>INDEX(Stammdaten[D Mitte mit Rinde (mm)],MATCH(Tabelle8[[#This Row],[Rank]],Stammdaten[Rank Verteilung D Mitte mit Rinde],0))</f>
        <v>#N/A</v>
      </c>
      <c r="G1313" t="e">
        <f>VLOOKUP(Tabelle8[[#This Row],[Rank]],Stammdaten[[Rank Verteilung D Mitte mit Rinde]:[Verteilung D Mitte mit Rinde]],2,FALSE)</f>
        <v>#N/A</v>
      </c>
      <c r="L1313">
        <v>1304</v>
      </c>
      <c r="M1313" t="e">
        <f>INDEX(Stammdaten[Abholzigkeit (mm/lfm)],MATCH(Tabelle9[[#This Row],[Rank]],Stammdaten[Rank Verteilung Abholzigkeit],0))</f>
        <v>#N/A</v>
      </c>
      <c r="N1313" t="e">
        <f>VLOOKUP(Tabelle9[[#This Row],[Rank]],Stammdaten[[Rank Verteilung Abholzigkeit]:[Verteilung Abholzigkeit]],2,FALSE)</f>
        <v>#N/A</v>
      </c>
      <c r="S1313">
        <v>1304</v>
      </c>
      <c r="T1313" t="e">
        <f>INDEX(Stammdaten[Krümmung (mm/lfm)],MATCH(Tabelle10[[#This Row],[Rank]],Stammdaten[Rank Verteilung Krümmung],0))</f>
        <v>#N/A</v>
      </c>
      <c r="U1313" t="e">
        <f>VLOOKUP(Tabelle10[[#This Row],[Rank]],Stammdaten[[Rank Verteilung Krümmung]:[Verteilung Krümmung]],2,FALSE)</f>
        <v>#N/A</v>
      </c>
      <c r="Z1313">
        <v>1304</v>
      </c>
      <c r="AA1313" t="e">
        <f>INDEX(Stammdaten[Ovalität (']0,1'])],MATCH(Tabelle1014[[#This Row],[Rank]],Stammdaten[Rank Verteilung Ovalität],0))</f>
        <v>#N/A</v>
      </c>
      <c r="AB1313" t="e">
        <f>VLOOKUP(Tabelle1014[[#This Row],[Rank]],Stammdaten[[Rank Verteilung Ovalität]:[Verteilung Ovalität]],2,FALSE)</f>
        <v>#N/A</v>
      </c>
    </row>
    <row r="1314" spans="5:28" x14ac:dyDescent="0.35">
      <c r="E1314">
        <v>1305</v>
      </c>
      <c r="F1314" t="e">
        <f>INDEX(Stammdaten[D Mitte mit Rinde (mm)],MATCH(Tabelle8[[#This Row],[Rank]],Stammdaten[Rank Verteilung D Mitte mit Rinde],0))</f>
        <v>#N/A</v>
      </c>
      <c r="G1314" t="e">
        <f>VLOOKUP(Tabelle8[[#This Row],[Rank]],Stammdaten[[Rank Verteilung D Mitte mit Rinde]:[Verteilung D Mitte mit Rinde]],2,FALSE)</f>
        <v>#N/A</v>
      </c>
      <c r="L1314">
        <v>1305</v>
      </c>
      <c r="M1314" t="e">
        <f>INDEX(Stammdaten[Abholzigkeit (mm/lfm)],MATCH(Tabelle9[[#This Row],[Rank]],Stammdaten[Rank Verteilung Abholzigkeit],0))</f>
        <v>#N/A</v>
      </c>
      <c r="N1314" t="e">
        <f>VLOOKUP(Tabelle9[[#This Row],[Rank]],Stammdaten[[Rank Verteilung Abholzigkeit]:[Verteilung Abholzigkeit]],2,FALSE)</f>
        <v>#N/A</v>
      </c>
      <c r="S1314">
        <v>1305</v>
      </c>
      <c r="T1314" t="e">
        <f>INDEX(Stammdaten[Krümmung (mm/lfm)],MATCH(Tabelle10[[#This Row],[Rank]],Stammdaten[Rank Verteilung Krümmung],0))</f>
        <v>#N/A</v>
      </c>
      <c r="U1314" t="e">
        <f>VLOOKUP(Tabelle10[[#This Row],[Rank]],Stammdaten[[Rank Verteilung Krümmung]:[Verteilung Krümmung]],2,FALSE)</f>
        <v>#N/A</v>
      </c>
      <c r="Z1314">
        <v>1305</v>
      </c>
      <c r="AA1314" t="e">
        <f>INDEX(Stammdaten[Ovalität (']0,1'])],MATCH(Tabelle1014[[#This Row],[Rank]],Stammdaten[Rank Verteilung Ovalität],0))</f>
        <v>#N/A</v>
      </c>
      <c r="AB1314" t="e">
        <f>VLOOKUP(Tabelle1014[[#This Row],[Rank]],Stammdaten[[Rank Verteilung Ovalität]:[Verteilung Ovalität]],2,FALSE)</f>
        <v>#N/A</v>
      </c>
    </row>
    <row r="1315" spans="5:28" x14ac:dyDescent="0.35">
      <c r="E1315">
        <v>1306</v>
      </c>
      <c r="F1315" t="e">
        <f>INDEX(Stammdaten[D Mitte mit Rinde (mm)],MATCH(Tabelle8[[#This Row],[Rank]],Stammdaten[Rank Verteilung D Mitte mit Rinde],0))</f>
        <v>#N/A</v>
      </c>
      <c r="G1315" t="e">
        <f>VLOOKUP(Tabelle8[[#This Row],[Rank]],Stammdaten[[Rank Verteilung D Mitte mit Rinde]:[Verteilung D Mitte mit Rinde]],2,FALSE)</f>
        <v>#N/A</v>
      </c>
      <c r="L1315">
        <v>1306</v>
      </c>
      <c r="M1315" t="e">
        <f>INDEX(Stammdaten[Abholzigkeit (mm/lfm)],MATCH(Tabelle9[[#This Row],[Rank]],Stammdaten[Rank Verteilung Abholzigkeit],0))</f>
        <v>#N/A</v>
      </c>
      <c r="N1315" t="e">
        <f>VLOOKUP(Tabelle9[[#This Row],[Rank]],Stammdaten[[Rank Verteilung Abholzigkeit]:[Verteilung Abholzigkeit]],2,FALSE)</f>
        <v>#N/A</v>
      </c>
      <c r="S1315">
        <v>1306</v>
      </c>
      <c r="T1315" t="e">
        <f>INDEX(Stammdaten[Krümmung (mm/lfm)],MATCH(Tabelle10[[#This Row],[Rank]],Stammdaten[Rank Verteilung Krümmung],0))</f>
        <v>#N/A</v>
      </c>
      <c r="U1315" t="e">
        <f>VLOOKUP(Tabelle10[[#This Row],[Rank]],Stammdaten[[Rank Verteilung Krümmung]:[Verteilung Krümmung]],2,FALSE)</f>
        <v>#N/A</v>
      </c>
      <c r="Z1315">
        <v>1306</v>
      </c>
      <c r="AA1315" t="e">
        <f>INDEX(Stammdaten[Ovalität (']0,1'])],MATCH(Tabelle1014[[#This Row],[Rank]],Stammdaten[Rank Verteilung Ovalität],0))</f>
        <v>#N/A</v>
      </c>
      <c r="AB1315" t="e">
        <f>VLOOKUP(Tabelle1014[[#This Row],[Rank]],Stammdaten[[Rank Verteilung Ovalität]:[Verteilung Ovalität]],2,FALSE)</f>
        <v>#N/A</v>
      </c>
    </row>
    <row r="1316" spans="5:28" x14ac:dyDescent="0.35">
      <c r="E1316">
        <v>1307</v>
      </c>
      <c r="F1316" t="e">
        <f>INDEX(Stammdaten[D Mitte mit Rinde (mm)],MATCH(Tabelle8[[#This Row],[Rank]],Stammdaten[Rank Verteilung D Mitte mit Rinde],0))</f>
        <v>#N/A</v>
      </c>
      <c r="G1316" t="e">
        <f>VLOOKUP(Tabelle8[[#This Row],[Rank]],Stammdaten[[Rank Verteilung D Mitte mit Rinde]:[Verteilung D Mitte mit Rinde]],2,FALSE)</f>
        <v>#N/A</v>
      </c>
      <c r="L1316">
        <v>1307</v>
      </c>
      <c r="M1316" t="e">
        <f>INDEX(Stammdaten[Abholzigkeit (mm/lfm)],MATCH(Tabelle9[[#This Row],[Rank]],Stammdaten[Rank Verteilung Abholzigkeit],0))</f>
        <v>#N/A</v>
      </c>
      <c r="N1316" t="e">
        <f>VLOOKUP(Tabelle9[[#This Row],[Rank]],Stammdaten[[Rank Verteilung Abholzigkeit]:[Verteilung Abholzigkeit]],2,FALSE)</f>
        <v>#N/A</v>
      </c>
      <c r="S1316">
        <v>1307</v>
      </c>
      <c r="T1316" t="e">
        <f>INDEX(Stammdaten[Krümmung (mm/lfm)],MATCH(Tabelle10[[#This Row],[Rank]],Stammdaten[Rank Verteilung Krümmung],0))</f>
        <v>#N/A</v>
      </c>
      <c r="U1316" t="e">
        <f>VLOOKUP(Tabelle10[[#This Row],[Rank]],Stammdaten[[Rank Verteilung Krümmung]:[Verteilung Krümmung]],2,FALSE)</f>
        <v>#N/A</v>
      </c>
      <c r="Z1316">
        <v>1307</v>
      </c>
      <c r="AA1316" t="e">
        <f>INDEX(Stammdaten[Ovalität (']0,1'])],MATCH(Tabelle1014[[#This Row],[Rank]],Stammdaten[Rank Verteilung Ovalität],0))</f>
        <v>#N/A</v>
      </c>
      <c r="AB1316" t="e">
        <f>VLOOKUP(Tabelle1014[[#This Row],[Rank]],Stammdaten[[Rank Verteilung Ovalität]:[Verteilung Ovalität]],2,FALSE)</f>
        <v>#N/A</v>
      </c>
    </row>
    <row r="1317" spans="5:28" x14ac:dyDescent="0.35">
      <c r="E1317">
        <v>1308</v>
      </c>
      <c r="F1317" t="e">
        <f>INDEX(Stammdaten[D Mitte mit Rinde (mm)],MATCH(Tabelle8[[#This Row],[Rank]],Stammdaten[Rank Verteilung D Mitte mit Rinde],0))</f>
        <v>#N/A</v>
      </c>
      <c r="G1317" t="e">
        <f>VLOOKUP(Tabelle8[[#This Row],[Rank]],Stammdaten[[Rank Verteilung D Mitte mit Rinde]:[Verteilung D Mitte mit Rinde]],2,FALSE)</f>
        <v>#N/A</v>
      </c>
      <c r="L1317">
        <v>1308</v>
      </c>
      <c r="M1317" t="e">
        <f>INDEX(Stammdaten[Abholzigkeit (mm/lfm)],MATCH(Tabelle9[[#This Row],[Rank]],Stammdaten[Rank Verteilung Abholzigkeit],0))</f>
        <v>#N/A</v>
      </c>
      <c r="N1317" t="e">
        <f>VLOOKUP(Tabelle9[[#This Row],[Rank]],Stammdaten[[Rank Verteilung Abholzigkeit]:[Verteilung Abholzigkeit]],2,FALSE)</f>
        <v>#N/A</v>
      </c>
      <c r="S1317">
        <v>1308</v>
      </c>
      <c r="T1317" t="e">
        <f>INDEX(Stammdaten[Krümmung (mm/lfm)],MATCH(Tabelle10[[#This Row],[Rank]],Stammdaten[Rank Verteilung Krümmung],0))</f>
        <v>#N/A</v>
      </c>
      <c r="U1317" t="e">
        <f>VLOOKUP(Tabelle10[[#This Row],[Rank]],Stammdaten[[Rank Verteilung Krümmung]:[Verteilung Krümmung]],2,FALSE)</f>
        <v>#N/A</v>
      </c>
      <c r="Z1317">
        <v>1308</v>
      </c>
      <c r="AA1317" t="e">
        <f>INDEX(Stammdaten[Ovalität (']0,1'])],MATCH(Tabelle1014[[#This Row],[Rank]],Stammdaten[Rank Verteilung Ovalität],0))</f>
        <v>#N/A</v>
      </c>
      <c r="AB1317" t="e">
        <f>VLOOKUP(Tabelle1014[[#This Row],[Rank]],Stammdaten[[Rank Verteilung Ovalität]:[Verteilung Ovalität]],2,FALSE)</f>
        <v>#N/A</v>
      </c>
    </row>
    <row r="1318" spans="5:28" x14ac:dyDescent="0.35">
      <c r="E1318">
        <v>1309</v>
      </c>
      <c r="F1318" t="e">
        <f>INDEX(Stammdaten[D Mitte mit Rinde (mm)],MATCH(Tabelle8[[#This Row],[Rank]],Stammdaten[Rank Verteilung D Mitte mit Rinde],0))</f>
        <v>#N/A</v>
      </c>
      <c r="G1318" t="e">
        <f>VLOOKUP(Tabelle8[[#This Row],[Rank]],Stammdaten[[Rank Verteilung D Mitte mit Rinde]:[Verteilung D Mitte mit Rinde]],2,FALSE)</f>
        <v>#N/A</v>
      </c>
      <c r="L1318">
        <v>1309</v>
      </c>
      <c r="M1318" t="e">
        <f>INDEX(Stammdaten[Abholzigkeit (mm/lfm)],MATCH(Tabelle9[[#This Row],[Rank]],Stammdaten[Rank Verteilung Abholzigkeit],0))</f>
        <v>#N/A</v>
      </c>
      <c r="N1318" t="e">
        <f>VLOOKUP(Tabelle9[[#This Row],[Rank]],Stammdaten[[Rank Verteilung Abholzigkeit]:[Verteilung Abholzigkeit]],2,FALSE)</f>
        <v>#N/A</v>
      </c>
      <c r="S1318">
        <v>1309</v>
      </c>
      <c r="T1318" t="e">
        <f>INDEX(Stammdaten[Krümmung (mm/lfm)],MATCH(Tabelle10[[#This Row],[Rank]],Stammdaten[Rank Verteilung Krümmung],0))</f>
        <v>#N/A</v>
      </c>
      <c r="U1318" t="e">
        <f>VLOOKUP(Tabelle10[[#This Row],[Rank]],Stammdaten[[Rank Verteilung Krümmung]:[Verteilung Krümmung]],2,FALSE)</f>
        <v>#N/A</v>
      </c>
      <c r="Z1318">
        <v>1309</v>
      </c>
      <c r="AA1318" t="e">
        <f>INDEX(Stammdaten[Ovalität (']0,1'])],MATCH(Tabelle1014[[#This Row],[Rank]],Stammdaten[Rank Verteilung Ovalität],0))</f>
        <v>#N/A</v>
      </c>
      <c r="AB1318" t="e">
        <f>VLOOKUP(Tabelle1014[[#This Row],[Rank]],Stammdaten[[Rank Verteilung Ovalität]:[Verteilung Ovalität]],2,FALSE)</f>
        <v>#N/A</v>
      </c>
    </row>
    <row r="1319" spans="5:28" x14ac:dyDescent="0.35">
      <c r="E1319">
        <v>1310</v>
      </c>
      <c r="F1319" t="e">
        <f>INDEX(Stammdaten[D Mitte mit Rinde (mm)],MATCH(Tabelle8[[#This Row],[Rank]],Stammdaten[Rank Verteilung D Mitte mit Rinde],0))</f>
        <v>#N/A</v>
      </c>
      <c r="G1319" t="e">
        <f>VLOOKUP(Tabelle8[[#This Row],[Rank]],Stammdaten[[Rank Verteilung D Mitte mit Rinde]:[Verteilung D Mitte mit Rinde]],2,FALSE)</f>
        <v>#N/A</v>
      </c>
      <c r="L1319">
        <v>1310</v>
      </c>
      <c r="M1319" t="e">
        <f>INDEX(Stammdaten[Abholzigkeit (mm/lfm)],MATCH(Tabelle9[[#This Row],[Rank]],Stammdaten[Rank Verteilung Abholzigkeit],0))</f>
        <v>#N/A</v>
      </c>
      <c r="N1319" t="e">
        <f>VLOOKUP(Tabelle9[[#This Row],[Rank]],Stammdaten[[Rank Verteilung Abholzigkeit]:[Verteilung Abholzigkeit]],2,FALSE)</f>
        <v>#N/A</v>
      </c>
      <c r="S1319">
        <v>1310</v>
      </c>
      <c r="T1319" t="e">
        <f>INDEX(Stammdaten[Krümmung (mm/lfm)],MATCH(Tabelle10[[#This Row],[Rank]],Stammdaten[Rank Verteilung Krümmung],0))</f>
        <v>#N/A</v>
      </c>
      <c r="U1319" t="e">
        <f>VLOOKUP(Tabelle10[[#This Row],[Rank]],Stammdaten[[Rank Verteilung Krümmung]:[Verteilung Krümmung]],2,FALSE)</f>
        <v>#N/A</v>
      </c>
      <c r="Z1319">
        <v>1310</v>
      </c>
      <c r="AA1319" t="e">
        <f>INDEX(Stammdaten[Ovalität (']0,1'])],MATCH(Tabelle1014[[#This Row],[Rank]],Stammdaten[Rank Verteilung Ovalität],0))</f>
        <v>#N/A</v>
      </c>
      <c r="AB1319" t="e">
        <f>VLOOKUP(Tabelle1014[[#This Row],[Rank]],Stammdaten[[Rank Verteilung Ovalität]:[Verteilung Ovalität]],2,FALSE)</f>
        <v>#N/A</v>
      </c>
    </row>
    <row r="1320" spans="5:28" x14ac:dyDescent="0.35">
      <c r="E1320">
        <v>1311</v>
      </c>
      <c r="F1320" t="e">
        <f>INDEX(Stammdaten[D Mitte mit Rinde (mm)],MATCH(Tabelle8[[#This Row],[Rank]],Stammdaten[Rank Verteilung D Mitte mit Rinde],0))</f>
        <v>#N/A</v>
      </c>
      <c r="G1320" t="e">
        <f>VLOOKUP(Tabelle8[[#This Row],[Rank]],Stammdaten[[Rank Verteilung D Mitte mit Rinde]:[Verteilung D Mitte mit Rinde]],2,FALSE)</f>
        <v>#N/A</v>
      </c>
      <c r="L1320">
        <v>1311</v>
      </c>
      <c r="M1320" t="e">
        <f>INDEX(Stammdaten[Abholzigkeit (mm/lfm)],MATCH(Tabelle9[[#This Row],[Rank]],Stammdaten[Rank Verteilung Abholzigkeit],0))</f>
        <v>#N/A</v>
      </c>
      <c r="N1320" t="e">
        <f>VLOOKUP(Tabelle9[[#This Row],[Rank]],Stammdaten[[Rank Verteilung Abholzigkeit]:[Verteilung Abholzigkeit]],2,FALSE)</f>
        <v>#N/A</v>
      </c>
      <c r="S1320">
        <v>1311</v>
      </c>
      <c r="T1320" t="e">
        <f>INDEX(Stammdaten[Krümmung (mm/lfm)],MATCH(Tabelle10[[#This Row],[Rank]],Stammdaten[Rank Verteilung Krümmung],0))</f>
        <v>#N/A</v>
      </c>
      <c r="U1320" t="e">
        <f>VLOOKUP(Tabelle10[[#This Row],[Rank]],Stammdaten[[Rank Verteilung Krümmung]:[Verteilung Krümmung]],2,FALSE)</f>
        <v>#N/A</v>
      </c>
      <c r="Z1320">
        <v>1311</v>
      </c>
      <c r="AA1320" t="e">
        <f>INDEX(Stammdaten[Ovalität (']0,1'])],MATCH(Tabelle1014[[#This Row],[Rank]],Stammdaten[Rank Verteilung Ovalität],0))</f>
        <v>#N/A</v>
      </c>
      <c r="AB1320" t="e">
        <f>VLOOKUP(Tabelle1014[[#This Row],[Rank]],Stammdaten[[Rank Verteilung Ovalität]:[Verteilung Ovalität]],2,FALSE)</f>
        <v>#N/A</v>
      </c>
    </row>
    <row r="1321" spans="5:28" x14ac:dyDescent="0.35">
      <c r="E1321">
        <v>1312</v>
      </c>
      <c r="F1321" t="e">
        <f>INDEX(Stammdaten[D Mitte mit Rinde (mm)],MATCH(Tabelle8[[#This Row],[Rank]],Stammdaten[Rank Verteilung D Mitte mit Rinde],0))</f>
        <v>#N/A</v>
      </c>
      <c r="G1321" t="e">
        <f>VLOOKUP(Tabelle8[[#This Row],[Rank]],Stammdaten[[Rank Verteilung D Mitte mit Rinde]:[Verteilung D Mitte mit Rinde]],2,FALSE)</f>
        <v>#N/A</v>
      </c>
      <c r="L1321">
        <v>1312</v>
      </c>
      <c r="M1321" t="e">
        <f>INDEX(Stammdaten[Abholzigkeit (mm/lfm)],MATCH(Tabelle9[[#This Row],[Rank]],Stammdaten[Rank Verteilung Abholzigkeit],0))</f>
        <v>#N/A</v>
      </c>
      <c r="N1321" t="e">
        <f>VLOOKUP(Tabelle9[[#This Row],[Rank]],Stammdaten[[Rank Verteilung Abholzigkeit]:[Verteilung Abholzigkeit]],2,FALSE)</f>
        <v>#N/A</v>
      </c>
      <c r="S1321">
        <v>1312</v>
      </c>
      <c r="T1321" t="e">
        <f>INDEX(Stammdaten[Krümmung (mm/lfm)],MATCH(Tabelle10[[#This Row],[Rank]],Stammdaten[Rank Verteilung Krümmung],0))</f>
        <v>#N/A</v>
      </c>
      <c r="U1321" t="e">
        <f>VLOOKUP(Tabelle10[[#This Row],[Rank]],Stammdaten[[Rank Verteilung Krümmung]:[Verteilung Krümmung]],2,FALSE)</f>
        <v>#N/A</v>
      </c>
      <c r="Z1321">
        <v>1312</v>
      </c>
      <c r="AA1321" t="e">
        <f>INDEX(Stammdaten[Ovalität (']0,1'])],MATCH(Tabelle1014[[#This Row],[Rank]],Stammdaten[Rank Verteilung Ovalität],0))</f>
        <v>#N/A</v>
      </c>
      <c r="AB1321" t="e">
        <f>VLOOKUP(Tabelle1014[[#This Row],[Rank]],Stammdaten[[Rank Verteilung Ovalität]:[Verteilung Ovalität]],2,FALSE)</f>
        <v>#N/A</v>
      </c>
    </row>
    <row r="1322" spans="5:28" x14ac:dyDescent="0.35">
      <c r="E1322">
        <v>1313</v>
      </c>
      <c r="F1322" t="e">
        <f>INDEX(Stammdaten[D Mitte mit Rinde (mm)],MATCH(Tabelle8[[#This Row],[Rank]],Stammdaten[Rank Verteilung D Mitte mit Rinde],0))</f>
        <v>#N/A</v>
      </c>
      <c r="G1322" t="e">
        <f>VLOOKUP(Tabelle8[[#This Row],[Rank]],Stammdaten[[Rank Verteilung D Mitte mit Rinde]:[Verteilung D Mitte mit Rinde]],2,FALSE)</f>
        <v>#N/A</v>
      </c>
      <c r="L1322">
        <v>1313</v>
      </c>
      <c r="M1322" t="e">
        <f>INDEX(Stammdaten[Abholzigkeit (mm/lfm)],MATCH(Tabelle9[[#This Row],[Rank]],Stammdaten[Rank Verteilung Abholzigkeit],0))</f>
        <v>#N/A</v>
      </c>
      <c r="N1322" t="e">
        <f>VLOOKUP(Tabelle9[[#This Row],[Rank]],Stammdaten[[Rank Verteilung Abholzigkeit]:[Verteilung Abholzigkeit]],2,FALSE)</f>
        <v>#N/A</v>
      </c>
      <c r="S1322">
        <v>1313</v>
      </c>
      <c r="T1322" t="e">
        <f>INDEX(Stammdaten[Krümmung (mm/lfm)],MATCH(Tabelle10[[#This Row],[Rank]],Stammdaten[Rank Verteilung Krümmung],0))</f>
        <v>#N/A</v>
      </c>
      <c r="U1322" t="e">
        <f>VLOOKUP(Tabelle10[[#This Row],[Rank]],Stammdaten[[Rank Verteilung Krümmung]:[Verteilung Krümmung]],2,FALSE)</f>
        <v>#N/A</v>
      </c>
      <c r="Z1322">
        <v>1313</v>
      </c>
      <c r="AA1322" t="e">
        <f>INDEX(Stammdaten[Ovalität (']0,1'])],MATCH(Tabelle1014[[#This Row],[Rank]],Stammdaten[Rank Verteilung Ovalität],0))</f>
        <v>#N/A</v>
      </c>
      <c r="AB1322" t="e">
        <f>VLOOKUP(Tabelle1014[[#This Row],[Rank]],Stammdaten[[Rank Verteilung Ovalität]:[Verteilung Ovalität]],2,FALSE)</f>
        <v>#N/A</v>
      </c>
    </row>
    <row r="1323" spans="5:28" x14ac:dyDescent="0.35">
      <c r="E1323">
        <v>1314</v>
      </c>
      <c r="F1323" t="e">
        <f>INDEX(Stammdaten[D Mitte mit Rinde (mm)],MATCH(Tabelle8[[#This Row],[Rank]],Stammdaten[Rank Verteilung D Mitte mit Rinde],0))</f>
        <v>#N/A</v>
      </c>
      <c r="G1323" t="e">
        <f>VLOOKUP(Tabelle8[[#This Row],[Rank]],Stammdaten[[Rank Verteilung D Mitte mit Rinde]:[Verteilung D Mitte mit Rinde]],2,FALSE)</f>
        <v>#N/A</v>
      </c>
      <c r="L1323">
        <v>1314</v>
      </c>
      <c r="M1323" t="e">
        <f>INDEX(Stammdaten[Abholzigkeit (mm/lfm)],MATCH(Tabelle9[[#This Row],[Rank]],Stammdaten[Rank Verteilung Abholzigkeit],0))</f>
        <v>#N/A</v>
      </c>
      <c r="N1323" t="e">
        <f>VLOOKUP(Tabelle9[[#This Row],[Rank]],Stammdaten[[Rank Verteilung Abholzigkeit]:[Verteilung Abholzigkeit]],2,FALSE)</f>
        <v>#N/A</v>
      </c>
      <c r="S1323">
        <v>1314</v>
      </c>
      <c r="T1323" t="e">
        <f>INDEX(Stammdaten[Krümmung (mm/lfm)],MATCH(Tabelle10[[#This Row],[Rank]],Stammdaten[Rank Verteilung Krümmung],0))</f>
        <v>#N/A</v>
      </c>
      <c r="U1323" t="e">
        <f>VLOOKUP(Tabelle10[[#This Row],[Rank]],Stammdaten[[Rank Verteilung Krümmung]:[Verteilung Krümmung]],2,FALSE)</f>
        <v>#N/A</v>
      </c>
      <c r="Z1323">
        <v>1314</v>
      </c>
      <c r="AA1323" t="e">
        <f>INDEX(Stammdaten[Ovalität (']0,1'])],MATCH(Tabelle1014[[#This Row],[Rank]],Stammdaten[Rank Verteilung Ovalität],0))</f>
        <v>#N/A</v>
      </c>
      <c r="AB1323" t="e">
        <f>VLOOKUP(Tabelle1014[[#This Row],[Rank]],Stammdaten[[Rank Verteilung Ovalität]:[Verteilung Ovalität]],2,FALSE)</f>
        <v>#N/A</v>
      </c>
    </row>
    <row r="1324" spans="5:28" x14ac:dyDescent="0.35">
      <c r="E1324">
        <v>1315</v>
      </c>
      <c r="F1324" t="e">
        <f>INDEX(Stammdaten[D Mitte mit Rinde (mm)],MATCH(Tabelle8[[#This Row],[Rank]],Stammdaten[Rank Verteilung D Mitte mit Rinde],0))</f>
        <v>#N/A</v>
      </c>
      <c r="G1324" t="e">
        <f>VLOOKUP(Tabelle8[[#This Row],[Rank]],Stammdaten[[Rank Verteilung D Mitte mit Rinde]:[Verteilung D Mitte mit Rinde]],2,FALSE)</f>
        <v>#N/A</v>
      </c>
      <c r="L1324">
        <v>1315</v>
      </c>
      <c r="M1324" t="e">
        <f>INDEX(Stammdaten[Abholzigkeit (mm/lfm)],MATCH(Tabelle9[[#This Row],[Rank]],Stammdaten[Rank Verteilung Abholzigkeit],0))</f>
        <v>#N/A</v>
      </c>
      <c r="N1324" t="e">
        <f>VLOOKUP(Tabelle9[[#This Row],[Rank]],Stammdaten[[Rank Verteilung Abholzigkeit]:[Verteilung Abholzigkeit]],2,FALSE)</f>
        <v>#N/A</v>
      </c>
      <c r="S1324">
        <v>1315</v>
      </c>
      <c r="T1324" t="e">
        <f>INDEX(Stammdaten[Krümmung (mm/lfm)],MATCH(Tabelle10[[#This Row],[Rank]],Stammdaten[Rank Verteilung Krümmung],0))</f>
        <v>#N/A</v>
      </c>
      <c r="U1324" t="e">
        <f>VLOOKUP(Tabelle10[[#This Row],[Rank]],Stammdaten[[Rank Verteilung Krümmung]:[Verteilung Krümmung]],2,FALSE)</f>
        <v>#N/A</v>
      </c>
      <c r="Z1324">
        <v>1315</v>
      </c>
      <c r="AA1324" t="e">
        <f>INDEX(Stammdaten[Ovalität (']0,1'])],MATCH(Tabelle1014[[#This Row],[Rank]],Stammdaten[Rank Verteilung Ovalität],0))</f>
        <v>#N/A</v>
      </c>
      <c r="AB1324" t="e">
        <f>VLOOKUP(Tabelle1014[[#This Row],[Rank]],Stammdaten[[Rank Verteilung Ovalität]:[Verteilung Ovalität]],2,FALSE)</f>
        <v>#N/A</v>
      </c>
    </row>
    <row r="1325" spans="5:28" x14ac:dyDescent="0.35">
      <c r="E1325">
        <v>1316</v>
      </c>
      <c r="F1325" t="e">
        <f>INDEX(Stammdaten[D Mitte mit Rinde (mm)],MATCH(Tabelle8[[#This Row],[Rank]],Stammdaten[Rank Verteilung D Mitte mit Rinde],0))</f>
        <v>#N/A</v>
      </c>
      <c r="G1325" t="e">
        <f>VLOOKUP(Tabelle8[[#This Row],[Rank]],Stammdaten[[Rank Verteilung D Mitte mit Rinde]:[Verteilung D Mitte mit Rinde]],2,FALSE)</f>
        <v>#N/A</v>
      </c>
      <c r="L1325">
        <v>1316</v>
      </c>
      <c r="M1325" t="e">
        <f>INDEX(Stammdaten[Abholzigkeit (mm/lfm)],MATCH(Tabelle9[[#This Row],[Rank]],Stammdaten[Rank Verteilung Abholzigkeit],0))</f>
        <v>#N/A</v>
      </c>
      <c r="N1325" t="e">
        <f>VLOOKUP(Tabelle9[[#This Row],[Rank]],Stammdaten[[Rank Verteilung Abholzigkeit]:[Verteilung Abholzigkeit]],2,FALSE)</f>
        <v>#N/A</v>
      </c>
      <c r="S1325">
        <v>1316</v>
      </c>
      <c r="T1325" t="e">
        <f>INDEX(Stammdaten[Krümmung (mm/lfm)],MATCH(Tabelle10[[#This Row],[Rank]],Stammdaten[Rank Verteilung Krümmung],0))</f>
        <v>#N/A</v>
      </c>
      <c r="U1325" t="e">
        <f>VLOOKUP(Tabelle10[[#This Row],[Rank]],Stammdaten[[Rank Verteilung Krümmung]:[Verteilung Krümmung]],2,FALSE)</f>
        <v>#N/A</v>
      </c>
      <c r="Z1325">
        <v>1316</v>
      </c>
      <c r="AA1325" t="e">
        <f>INDEX(Stammdaten[Ovalität (']0,1'])],MATCH(Tabelle1014[[#This Row],[Rank]],Stammdaten[Rank Verteilung Ovalität],0))</f>
        <v>#N/A</v>
      </c>
      <c r="AB1325" t="e">
        <f>VLOOKUP(Tabelle1014[[#This Row],[Rank]],Stammdaten[[Rank Verteilung Ovalität]:[Verteilung Ovalität]],2,FALSE)</f>
        <v>#N/A</v>
      </c>
    </row>
    <row r="1326" spans="5:28" x14ac:dyDescent="0.35">
      <c r="E1326">
        <v>1317</v>
      </c>
      <c r="F1326" t="e">
        <f>INDEX(Stammdaten[D Mitte mit Rinde (mm)],MATCH(Tabelle8[[#This Row],[Rank]],Stammdaten[Rank Verteilung D Mitte mit Rinde],0))</f>
        <v>#N/A</v>
      </c>
      <c r="G1326" t="e">
        <f>VLOOKUP(Tabelle8[[#This Row],[Rank]],Stammdaten[[Rank Verteilung D Mitte mit Rinde]:[Verteilung D Mitte mit Rinde]],2,FALSE)</f>
        <v>#N/A</v>
      </c>
      <c r="L1326">
        <v>1317</v>
      </c>
      <c r="M1326" t="e">
        <f>INDEX(Stammdaten[Abholzigkeit (mm/lfm)],MATCH(Tabelle9[[#This Row],[Rank]],Stammdaten[Rank Verteilung Abholzigkeit],0))</f>
        <v>#N/A</v>
      </c>
      <c r="N1326" t="e">
        <f>VLOOKUP(Tabelle9[[#This Row],[Rank]],Stammdaten[[Rank Verteilung Abholzigkeit]:[Verteilung Abholzigkeit]],2,FALSE)</f>
        <v>#N/A</v>
      </c>
      <c r="S1326">
        <v>1317</v>
      </c>
      <c r="T1326" t="e">
        <f>INDEX(Stammdaten[Krümmung (mm/lfm)],MATCH(Tabelle10[[#This Row],[Rank]],Stammdaten[Rank Verteilung Krümmung],0))</f>
        <v>#N/A</v>
      </c>
      <c r="U1326" t="e">
        <f>VLOOKUP(Tabelle10[[#This Row],[Rank]],Stammdaten[[Rank Verteilung Krümmung]:[Verteilung Krümmung]],2,FALSE)</f>
        <v>#N/A</v>
      </c>
      <c r="Z1326">
        <v>1317</v>
      </c>
      <c r="AA1326" t="e">
        <f>INDEX(Stammdaten[Ovalität (']0,1'])],MATCH(Tabelle1014[[#This Row],[Rank]],Stammdaten[Rank Verteilung Ovalität],0))</f>
        <v>#N/A</v>
      </c>
      <c r="AB1326" t="e">
        <f>VLOOKUP(Tabelle1014[[#This Row],[Rank]],Stammdaten[[Rank Verteilung Ovalität]:[Verteilung Ovalität]],2,FALSE)</f>
        <v>#N/A</v>
      </c>
    </row>
    <row r="1327" spans="5:28" x14ac:dyDescent="0.35">
      <c r="E1327">
        <v>1318</v>
      </c>
      <c r="F1327" t="e">
        <f>INDEX(Stammdaten[D Mitte mit Rinde (mm)],MATCH(Tabelle8[[#This Row],[Rank]],Stammdaten[Rank Verteilung D Mitte mit Rinde],0))</f>
        <v>#N/A</v>
      </c>
      <c r="G1327" t="e">
        <f>VLOOKUP(Tabelle8[[#This Row],[Rank]],Stammdaten[[Rank Verteilung D Mitte mit Rinde]:[Verteilung D Mitte mit Rinde]],2,FALSE)</f>
        <v>#N/A</v>
      </c>
      <c r="L1327">
        <v>1318</v>
      </c>
      <c r="M1327" t="e">
        <f>INDEX(Stammdaten[Abholzigkeit (mm/lfm)],MATCH(Tabelle9[[#This Row],[Rank]],Stammdaten[Rank Verteilung Abholzigkeit],0))</f>
        <v>#N/A</v>
      </c>
      <c r="N1327" t="e">
        <f>VLOOKUP(Tabelle9[[#This Row],[Rank]],Stammdaten[[Rank Verteilung Abholzigkeit]:[Verteilung Abholzigkeit]],2,FALSE)</f>
        <v>#N/A</v>
      </c>
      <c r="S1327">
        <v>1318</v>
      </c>
      <c r="T1327" t="e">
        <f>INDEX(Stammdaten[Krümmung (mm/lfm)],MATCH(Tabelle10[[#This Row],[Rank]],Stammdaten[Rank Verteilung Krümmung],0))</f>
        <v>#N/A</v>
      </c>
      <c r="U1327" t="e">
        <f>VLOOKUP(Tabelle10[[#This Row],[Rank]],Stammdaten[[Rank Verteilung Krümmung]:[Verteilung Krümmung]],2,FALSE)</f>
        <v>#N/A</v>
      </c>
      <c r="Z1327">
        <v>1318</v>
      </c>
      <c r="AA1327" t="e">
        <f>INDEX(Stammdaten[Ovalität (']0,1'])],MATCH(Tabelle1014[[#This Row],[Rank]],Stammdaten[Rank Verteilung Ovalität],0))</f>
        <v>#N/A</v>
      </c>
      <c r="AB1327" t="e">
        <f>VLOOKUP(Tabelle1014[[#This Row],[Rank]],Stammdaten[[Rank Verteilung Ovalität]:[Verteilung Ovalität]],2,FALSE)</f>
        <v>#N/A</v>
      </c>
    </row>
    <row r="1328" spans="5:28" x14ac:dyDescent="0.35">
      <c r="E1328">
        <v>1319</v>
      </c>
      <c r="F1328" t="e">
        <f>INDEX(Stammdaten[D Mitte mit Rinde (mm)],MATCH(Tabelle8[[#This Row],[Rank]],Stammdaten[Rank Verteilung D Mitte mit Rinde],0))</f>
        <v>#N/A</v>
      </c>
      <c r="G1328" t="e">
        <f>VLOOKUP(Tabelle8[[#This Row],[Rank]],Stammdaten[[Rank Verteilung D Mitte mit Rinde]:[Verteilung D Mitte mit Rinde]],2,FALSE)</f>
        <v>#N/A</v>
      </c>
      <c r="L1328">
        <v>1319</v>
      </c>
      <c r="M1328" t="e">
        <f>INDEX(Stammdaten[Abholzigkeit (mm/lfm)],MATCH(Tabelle9[[#This Row],[Rank]],Stammdaten[Rank Verteilung Abholzigkeit],0))</f>
        <v>#N/A</v>
      </c>
      <c r="N1328" t="e">
        <f>VLOOKUP(Tabelle9[[#This Row],[Rank]],Stammdaten[[Rank Verteilung Abholzigkeit]:[Verteilung Abholzigkeit]],2,FALSE)</f>
        <v>#N/A</v>
      </c>
      <c r="S1328">
        <v>1319</v>
      </c>
      <c r="T1328" t="e">
        <f>INDEX(Stammdaten[Krümmung (mm/lfm)],MATCH(Tabelle10[[#This Row],[Rank]],Stammdaten[Rank Verteilung Krümmung],0))</f>
        <v>#N/A</v>
      </c>
      <c r="U1328" t="e">
        <f>VLOOKUP(Tabelle10[[#This Row],[Rank]],Stammdaten[[Rank Verteilung Krümmung]:[Verteilung Krümmung]],2,FALSE)</f>
        <v>#N/A</v>
      </c>
      <c r="Z1328">
        <v>1319</v>
      </c>
      <c r="AA1328" t="e">
        <f>INDEX(Stammdaten[Ovalität (']0,1'])],MATCH(Tabelle1014[[#This Row],[Rank]],Stammdaten[Rank Verteilung Ovalität],0))</f>
        <v>#N/A</v>
      </c>
      <c r="AB1328" t="e">
        <f>VLOOKUP(Tabelle1014[[#This Row],[Rank]],Stammdaten[[Rank Verteilung Ovalität]:[Verteilung Ovalität]],2,FALSE)</f>
        <v>#N/A</v>
      </c>
    </row>
    <row r="1329" spans="5:28" x14ac:dyDescent="0.35">
      <c r="E1329">
        <v>1320</v>
      </c>
      <c r="F1329" t="e">
        <f>INDEX(Stammdaten[D Mitte mit Rinde (mm)],MATCH(Tabelle8[[#This Row],[Rank]],Stammdaten[Rank Verteilung D Mitte mit Rinde],0))</f>
        <v>#N/A</v>
      </c>
      <c r="G1329" t="e">
        <f>VLOOKUP(Tabelle8[[#This Row],[Rank]],Stammdaten[[Rank Verteilung D Mitte mit Rinde]:[Verteilung D Mitte mit Rinde]],2,FALSE)</f>
        <v>#N/A</v>
      </c>
      <c r="L1329">
        <v>1320</v>
      </c>
      <c r="M1329" t="e">
        <f>INDEX(Stammdaten[Abholzigkeit (mm/lfm)],MATCH(Tabelle9[[#This Row],[Rank]],Stammdaten[Rank Verteilung Abholzigkeit],0))</f>
        <v>#N/A</v>
      </c>
      <c r="N1329" t="e">
        <f>VLOOKUP(Tabelle9[[#This Row],[Rank]],Stammdaten[[Rank Verteilung Abholzigkeit]:[Verteilung Abholzigkeit]],2,FALSE)</f>
        <v>#N/A</v>
      </c>
      <c r="S1329">
        <v>1320</v>
      </c>
      <c r="T1329" t="e">
        <f>INDEX(Stammdaten[Krümmung (mm/lfm)],MATCH(Tabelle10[[#This Row],[Rank]],Stammdaten[Rank Verteilung Krümmung],0))</f>
        <v>#N/A</v>
      </c>
      <c r="U1329" t="e">
        <f>VLOOKUP(Tabelle10[[#This Row],[Rank]],Stammdaten[[Rank Verteilung Krümmung]:[Verteilung Krümmung]],2,FALSE)</f>
        <v>#N/A</v>
      </c>
      <c r="Z1329">
        <v>1320</v>
      </c>
      <c r="AA1329" t="e">
        <f>INDEX(Stammdaten[Ovalität (']0,1'])],MATCH(Tabelle1014[[#This Row],[Rank]],Stammdaten[Rank Verteilung Ovalität],0))</f>
        <v>#N/A</v>
      </c>
      <c r="AB1329" t="e">
        <f>VLOOKUP(Tabelle1014[[#This Row],[Rank]],Stammdaten[[Rank Verteilung Ovalität]:[Verteilung Ovalität]],2,FALSE)</f>
        <v>#N/A</v>
      </c>
    </row>
    <row r="1330" spans="5:28" x14ac:dyDescent="0.35">
      <c r="E1330">
        <v>1321</v>
      </c>
      <c r="F1330" t="e">
        <f>INDEX(Stammdaten[D Mitte mit Rinde (mm)],MATCH(Tabelle8[[#This Row],[Rank]],Stammdaten[Rank Verteilung D Mitte mit Rinde],0))</f>
        <v>#N/A</v>
      </c>
      <c r="G1330" t="e">
        <f>VLOOKUP(Tabelle8[[#This Row],[Rank]],Stammdaten[[Rank Verteilung D Mitte mit Rinde]:[Verteilung D Mitte mit Rinde]],2,FALSE)</f>
        <v>#N/A</v>
      </c>
      <c r="L1330">
        <v>1321</v>
      </c>
      <c r="M1330" t="e">
        <f>INDEX(Stammdaten[Abholzigkeit (mm/lfm)],MATCH(Tabelle9[[#This Row],[Rank]],Stammdaten[Rank Verteilung Abholzigkeit],0))</f>
        <v>#N/A</v>
      </c>
      <c r="N1330" t="e">
        <f>VLOOKUP(Tabelle9[[#This Row],[Rank]],Stammdaten[[Rank Verteilung Abholzigkeit]:[Verteilung Abholzigkeit]],2,FALSE)</f>
        <v>#N/A</v>
      </c>
      <c r="S1330">
        <v>1321</v>
      </c>
      <c r="T1330" t="e">
        <f>INDEX(Stammdaten[Krümmung (mm/lfm)],MATCH(Tabelle10[[#This Row],[Rank]],Stammdaten[Rank Verteilung Krümmung],0))</f>
        <v>#N/A</v>
      </c>
      <c r="U1330" t="e">
        <f>VLOOKUP(Tabelle10[[#This Row],[Rank]],Stammdaten[[Rank Verteilung Krümmung]:[Verteilung Krümmung]],2,FALSE)</f>
        <v>#N/A</v>
      </c>
      <c r="Z1330">
        <v>1321</v>
      </c>
      <c r="AA1330" t="e">
        <f>INDEX(Stammdaten[Ovalität (']0,1'])],MATCH(Tabelle1014[[#This Row],[Rank]],Stammdaten[Rank Verteilung Ovalität],0))</f>
        <v>#N/A</v>
      </c>
      <c r="AB1330" t="e">
        <f>VLOOKUP(Tabelle1014[[#This Row],[Rank]],Stammdaten[[Rank Verteilung Ovalität]:[Verteilung Ovalität]],2,FALSE)</f>
        <v>#N/A</v>
      </c>
    </row>
    <row r="1331" spans="5:28" x14ac:dyDescent="0.35">
      <c r="E1331">
        <v>1322</v>
      </c>
      <c r="F1331" t="e">
        <f>INDEX(Stammdaten[D Mitte mit Rinde (mm)],MATCH(Tabelle8[[#This Row],[Rank]],Stammdaten[Rank Verteilung D Mitte mit Rinde],0))</f>
        <v>#N/A</v>
      </c>
      <c r="G1331" t="e">
        <f>VLOOKUP(Tabelle8[[#This Row],[Rank]],Stammdaten[[Rank Verteilung D Mitte mit Rinde]:[Verteilung D Mitte mit Rinde]],2,FALSE)</f>
        <v>#N/A</v>
      </c>
      <c r="L1331">
        <v>1322</v>
      </c>
      <c r="M1331" t="e">
        <f>INDEX(Stammdaten[Abholzigkeit (mm/lfm)],MATCH(Tabelle9[[#This Row],[Rank]],Stammdaten[Rank Verteilung Abholzigkeit],0))</f>
        <v>#N/A</v>
      </c>
      <c r="N1331" t="e">
        <f>VLOOKUP(Tabelle9[[#This Row],[Rank]],Stammdaten[[Rank Verteilung Abholzigkeit]:[Verteilung Abholzigkeit]],2,FALSE)</f>
        <v>#N/A</v>
      </c>
      <c r="S1331">
        <v>1322</v>
      </c>
      <c r="T1331" t="e">
        <f>INDEX(Stammdaten[Krümmung (mm/lfm)],MATCH(Tabelle10[[#This Row],[Rank]],Stammdaten[Rank Verteilung Krümmung],0))</f>
        <v>#N/A</v>
      </c>
      <c r="U1331" t="e">
        <f>VLOOKUP(Tabelle10[[#This Row],[Rank]],Stammdaten[[Rank Verteilung Krümmung]:[Verteilung Krümmung]],2,FALSE)</f>
        <v>#N/A</v>
      </c>
      <c r="Z1331">
        <v>1322</v>
      </c>
      <c r="AA1331" t="e">
        <f>INDEX(Stammdaten[Ovalität (']0,1'])],MATCH(Tabelle1014[[#This Row],[Rank]],Stammdaten[Rank Verteilung Ovalität],0))</f>
        <v>#N/A</v>
      </c>
      <c r="AB1331" t="e">
        <f>VLOOKUP(Tabelle1014[[#This Row],[Rank]],Stammdaten[[Rank Verteilung Ovalität]:[Verteilung Ovalität]],2,FALSE)</f>
        <v>#N/A</v>
      </c>
    </row>
    <row r="1332" spans="5:28" x14ac:dyDescent="0.35">
      <c r="E1332">
        <v>1323</v>
      </c>
      <c r="F1332" t="e">
        <f>INDEX(Stammdaten[D Mitte mit Rinde (mm)],MATCH(Tabelle8[[#This Row],[Rank]],Stammdaten[Rank Verteilung D Mitte mit Rinde],0))</f>
        <v>#N/A</v>
      </c>
      <c r="G1332" t="e">
        <f>VLOOKUP(Tabelle8[[#This Row],[Rank]],Stammdaten[[Rank Verteilung D Mitte mit Rinde]:[Verteilung D Mitte mit Rinde]],2,FALSE)</f>
        <v>#N/A</v>
      </c>
      <c r="L1332">
        <v>1323</v>
      </c>
      <c r="M1332" t="e">
        <f>INDEX(Stammdaten[Abholzigkeit (mm/lfm)],MATCH(Tabelle9[[#This Row],[Rank]],Stammdaten[Rank Verteilung Abholzigkeit],0))</f>
        <v>#N/A</v>
      </c>
      <c r="N1332" t="e">
        <f>VLOOKUP(Tabelle9[[#This Row],[Rank]],Stammdaten[[Rank Verteilung Abholzigkeit]:[Verteilung Abholzigkeit]],2,FALSE)</f>
        <v>#N/A</v>
      </c>
      <c r="S1332">
        <v>1323</v>
      </c>
      <c r="T1332" t="e">
        <f>INDEX(Stammdaten[Krümmung (mm/lfm)],MATCH(Tabelle10[[#This Row],[Rank]],Stammdaten[Rank Verteilung Krümmung],0))</f>
        <v>#N/A</v>
      </c>
      <c r="U1332" t="e">
        <f>VLOOKUP(Tabelle10[[#This Row],[Rank]],Stammdaten[[Rank Verteilung Krümmung]:[Verteilung Krümmung]],2,FALSE)</f>
        <v>#N/A</v>
      </c>
      <c r="Z1332">
        <v>1323</v>
      </c>
      <c r="AA1332" t="e">
        <f>INDEX(Stammdaten[Ovalität (']0,1'])],MATCH(Tabelle1014[[#This Row],[Rank]],Stammdaten[Rank Verteilung Ovalität],0))</f>
        <v>#N/A</v>
      </c>
      <c r="AB1332" t="e">
        <f>VLOOKUP(Tabelle1014[[#This Row],[Rank]],Stammdaten[[Rank Verteilung Ovalität]:[Verteilung Ovalität]],2,FALSE)</f>
        <v>#N/A</v>
      </c>
    </row>
    <row r="1333" spans="5:28" x14ac:dyDescent="0.35">
      <c r="E1333">
        <v>1324</v>
      </c>
      <c r="F1333" t="e">
        <f>INDEX(Stammdaten[D Mitte mit Rinde (mm)],MATCH(Tabelle8[[#This Row],[Rank]],Stammdaten[Rank Verteilung D Mitte mit Rinde],0))</f>
        <v>#N/A</v>
      </c>
      <c r="G1333" t="e">
        <f>VLOOKUP(Tabelle8[[#This Row],[Rank]],Stammdaten[[Rank Verteilung D Mitte mit Rinde]:[Verteilung D Mitte mit Rinde]],2,FALSE)</f>
        <v>#N/A</v>
      </c>
      <c r="L1333">
        <v>1324</v>
      </c>
      <c r="M1333" t="e">
        <f>INDEX(Stammdaten[Abholzigkeit (mm/lfm)],MATCH(Tabelle9[[#This Row],[Rank]],Stammdaten[Rank Verteilung Abholzigkeit],0))</f>
        <v>#N/A</v>
      </c>
      <c r="N1333" t="e">
        <f>VLOOKUP(Tabelle9[[#This Row],[Rank]],Stammdaten[[Rank Verteilung Abholzigkeit]:[Verteilung Abholzigkeit]],2,FALSE)</f>
        <v>#N/A</v>
      </c>
      <c r="S1333">
        <v>1324</v>
      </c>
      <c r="T1333" t="e">
        <f>INDEX(Stammdaten[Krümmung (mm/lfm)],MATCH(Tabelle10[[#This Row],[Rank]],Stammdaten[Rank Verteilung Krümmung],0))</f>
        <v>#N/A</v>
      </c>
      <c r="U1333" t="e">
        <f>VLOOKUP(Tabelle10[[#This Row],[Rank]],Stammdaten[[Rank Verteilung Krümmung]:[Verteilung Krümmung]],2,FALSE)</f>
        <v>#N/A</v>
      </c>
      <c r="Z1333">
        <v>1324</v>
      </c>
      <c r="AA1333" t="e">
        <f>INDEX(Stammdaten[Ovalität (']0,1'])],MATCH(Tabelle1014[[#This Row],[Rank]],Stammdaten[Rank Verteilung Ovalität],0))</f>
        <v>#N/A</v>
      </c>
      <c r="AB1333" t="e">
        <f>VLOOKUP(Tabelle1014[[#This Row],[Rank]],Stammdaten[[Rank Verteilung Ovalität]:[Verteilung Ovalität]],2,FALSE)</f>
        <v>#N/A</v>
      </c>
    </row>
    <row r="1334" spans="5:28" x14ac:dyDescent="0.35">
      <c r="E1334">
        <v>1325</v>
      </c>
      <c r="F1334" t="e">
        <f>INDEX(Stammdaten[D Mitte mit Rinde (mm)],MATCH(Tabelle8[[#This Row],[Rank]],Stammdaten[Rank Verteilung D Mitte mit Rinde],0))</f>
        <v>#N/A</v>
      </c>
      <c r="G1334" t="e">
        <f>VLOOKUP(Tabelle8[[#This Row],[Rank]],Stammdaten[[Rank Verteilung D Mitte mit Rinde]:[Verteilung D Mitte mit Rinde]],2,FALSE)</f>
        <v>#N/A</v>
      </c>
      <c r="L1334">
        <v>1325</v>
      </c>
      <c r="M1334" t="e">
        <f>INDEX(Stammdaten[Abholzigkeit (mm/lfm)],MATCH(Tabelle9[[#This Row],[Rank]],Stammdaten[Rank Verteilung Abholzigkeit],0))</f>
        <v>#N/A</v>
      </c>
      <c r="N1334" t="e">
        <f>VLOOKUP(Tabelle9[[#This Row],[Rank]],Stammdaten[[Rank Verteilung Abholzigkeit]:[Verteilung Abholzigkeit]],2,FALSE)</f>
        <v>#N/A</v>
      </c>
      <c r="S1334">
        <v>1325</v>
      </c>
      <c r="T1334" t="e">
        <f>INDEX(Stammdaten[Krümmung (mm/lfm)],MATCH(Tabelle10[[#This Row],[Rank]],Stammdaten[Rank Verteilung Krümmung],0))</f>
        <v>#N/A</v>
      </c>
      <c r="U1334" t="e">
        <f>VLOOKUP(Tabelle10[[#This Row],[Rank]],Stammdaten[[Rank Verteilung Krümmung]:[Verteilung Krümmung]],2,FALSE)</f>
        <v>#N/A</v>
      </c>
      <c r="Z1334">
        <v>1325</v>
      </c>
      <c r="AA1334" t="e">
        <f>INDEX(Stammdaten[Ovalität (']0,1'])],MATCH(Tabelle1014[[#This Row],[Rank]],Stammdaten[Rank Verteilung Ovalität],0))</f>
        <v>#N/A</v>
      </c>
      <c r="AB1334" t="e">
        <f>VLOOKUP(Tabelle1014[[#This Row],[Rank]],Stammdaten[[Rank Verteilung Ovalität]:[Verteilung Ovalität]],2,FALSE)</f>
        <v>#N/A</v>
      </c>
    </row>
    <row r="1335" spans="5:28" x14ac:dyDescent="0.35">
      <c r="E1335">
        <v>1326</v>
      </c>
      <c r="F1335" t="e">
        <f>INDEX(Stammdaten[D Mitte mit Rinde (mm)],MATCH(Tabelle8[[#This Row],[Rank]],Stammdaten[Rank Verteilung D Mitte mit Rinde],0))</f>
        <v>#N/A</v>
      </c>
      <c r="G1335" t="e">
        <f>VLOOKUP(Tabelle8[[#This Row],[Rank]],Stammdaten[[Rank Verteilung D Mitte mit Rinde]:[Verteilung D Mitte mit Rinde]],2,FALSE)</f>
        <v>#N/A</v>
      </c>
      <c r="L1335">
        <v>1326</v>
      </c>
      <c r="M1335" t="e">
        <f>INDEX(Stammdaten[Abholzigkeit (mm/lfm)],MATCH(Tabelle9[[#This Row],[Rank]],Stammdaten[Rank Verteilung Abholzigkeit],0))</f>
        <v>#N/A</v>
      </c>
      <c r="N1335" t="e">
        <f>VLOOKUP(Tabelle9[[#This Row],[Rank]],Stammdaten[[Rank Verteilung Abholzigkeit]:[Verteilung Abholzigkeit]],2,FALSE)</f>
        <v>#N/A</v>
      </c>
      <c r="S1335">
        <v>1326</v>
      </c>
      <c r="T1335" t="e">
        <f>INDEX(Stammdaten[Krümmung (mm/lfm)],MATCH(Tabelle10[[#This Row],[Rank]],Stammdaten[Rank Verteilung Krümmung],0))</f>
        <v>#N/A</v>
      </c>
      <c r="U1335" t="e">
        <f>VLOOKUP(Tabelle10[[#This Row],[Rank]],Stammdaten[[Rank Verteilung Krümmung]:[Verteilung Krümmung]],2,FALSE)</f>
        <v>#N/A</v>
      </c>
      <c r="Z1335">
        <v>1326</v>
      </c>
      <c r="AA1335" t="e">
        <f>INDEX(Stammdaten[Ovalität (']0,1'])],MATCH(Tabelle1014[[#This Row],[Rank]],Stammdaten[Rank Verteilung Ovalität],0))</f>
        <v>#N/A</v>
      </c>
      <c r="AB1335" t="e">
        <f>VLOOKUP(Tabelle1014[[#This Row],[Rank]],Stammdaten[[Rank Verteilung Ovalität]:[Verteilung Ovalität]],2,FALSE)</f>
        <v>#N/A</v>
      </c>
    </row>
    <row r="1336" spans="5:28" x14ac:dyDescent="0.35">
      <c r="E1336">
        <v>1327</v>
      </c>
      <c r="F1336" t="e">
        <f>INDEX(Stammdaten[D Mitte mit Rinde (mm)],MATCH(Tabelle8[[#This Row],[Rank]],Stammdaten[Rank Verteilung D Mitte mit Rinde],0))</f>
        <v>#N/A</v>
      </c>
      <c r="G1336" t="e">
        <f>VLOOKUP(Tabelle8[[#This Row],[Rank]],Stammdaten[[Rank Verteilung D Mitte mit Rinde]:[Verteilung D Mitte mit Rinde]],2,FALSE)</f>
        <v>#N/A</v>
      </c>
      <c r="L1336">
        <v>1327</v>
      </c>
      <c r="M1336" t="e">
        <f>INDEX(Stammdaten[Abholzigkeit (mm/lfm)],MATCH(Tabelle9[[#This Row],[Rank]],Stammdaten[Rank Verteilung Abholzigkeit],0))</f>
        <v>#N/A</v>
      </c>
      <c r="N1336" t="e">
        <f>VLOOKUP(Tabelle9[[#This Row],[Rank]],Stammdaten[[Rank Verteilung Abholzigkeit]:[Verteilung Abholzigkeit]],2,FALSE)</f>
        <v>#N/A</v>
      </c>
      <c r="S1336">
        <v>1327</v>
      </c>
      <c r="T1336" t="e">
        <f>INDEX(Stammdaten[Krümmung (mm/lfm)],MATCH(Tabelle10[[#This Row],[Rank]],Stammdaten[Rank Verteilung Krümmung],0))</f>
        <v>#N/A</v>
      </c>
      <c r="U1336" t="e">
        <f>VLOOKUP(Tabelle10[[#This Row],[Rank]],Stammdaten[[Rank Verteilung Krümmung]:[Verteilung Krümmung]],2,FALSE)</f>
        <v>#N/A</v>
      </c>
      <c r="Z1336">
        <v>1327</v>
      </c>
      <c r="AA1336" t="e">
        <f>INDEX(Stammdaten[Ovalität (']0,1'])],MATCH(Tabelle1014[[#This Row],[Rank]],Stammdaten[Rank Verteilung Ovalität],0))</f>
        <v>#N/A</v>
      </c>
      <c r="AB1336" t="e">
        <f>VLOOKUP(Tabelle1014[[#This Row],[Rank]],Stammdaten[[Rank Verteilung Ovalität]:[Verteilung Ovalität]],2,FALSE)</f>
        <v>#N/A</v>
      </c>
    </row>
    <row r="1337" spans="5:28" x14ac:dyDescent="0.35">
      <c r="E1337">
        <v>1328</v>
      </c>
      <c r="F1337" t="e">
        <f>INDEX(Stammdaten[D Mitte mit Rinde (mm)],MATCH(Tabelle8[[#This Row],[Rank]],Stammdaten[Rank Verteilung D Mitte mit Rinde],0))</f>
        <v>#N/A</v>
      </c>
      <c r="G1337" t="e">
        <f>VLOOKUP(Tabelle8[[#This Row],[Rank]],Stammdaten[[Rank Verteilung D Mitte mit Rinde]:[Verteilung D Mitte mit Rinde]],2,FALSE)</f>
        <v>#N/A</v>
      </c>
      <c r="L1337">
        <v>1328</v>
      </c>
      <c r="M1337" t="e">
        <f>INDEX(Stammdaten[Abholzigkeit (mm/lfm)],MATCH(Tabelle9[[#This Row],[Rank]],Stammdaten[Rank Verteilung Abholzigkeit],0))</f>
        <v>#N/A</v>
      </c>
      <c r="N1337" t="e">
        <f>VLOOKUP(Tabelle9[[#This Row],[Rank]],Stammdaten[[Rank Verteilung Abholzigkeit]:[Verteilung Abholzigkeit]],2,FALSE)</f>
        <v>#N/A</v>
      </c>
      <c r="S1337">
        <v>1328</v>
      </c>
      <c r="T1337" t="e">
        <f>INDEX(Stammdaten[Krümmung (mm/lfm)],MATCH(Tabelle10[[#This Row],[Rank]],Stammdaten[Rank Verteilung Krümmung],0))</f>
        <v>#N/A</v>
      </c>
      <c r="U1337" t="e">
        <f>VLOOKUP(Tabelle10[[#This Row],[Rank]],Stammdaten[[Rank Verteilung Krümmung]:[Verteilung Krümmung]],2,FALSE)</f>
        <v>#N/A</v>
      </c>
      <c r="Z1337">
        <v>1328</v>
      </c>
      <c r="AA1337" t="e">
        <f>INDEX(Stammdaten[Ovalität (']0,1'])],MATCH(Tabelle1014[[#This Row],[Rank]],Stammdaten[Rank Verteilung Ovalität],0))</f>
        <v>#N/A</v>
      </c>
      <c r="AB1337" t="e">
        <f>VLOOKUP(Tabelle1014[[#This Row],[Rank]],Stammdaten[[Rank Verteilung Ovalität]:[Verteilung Ovalität]],2,FALSE)</f>
        <v>#N/A</v>
      </c>
    </row>
    <row r="1338" spans="5:28" x14ac:dyDescent="0.35">
      <c r="E1338">
        <v>1329</v>
      </c>
      <c r="F1338" t="e">
        <f>INDEX(Stammdaten[D Mitte mit Rinde (mm)],MATCH(Tabelle8[[#This Row],[Rank]],Stammdaten[Rank Verteilung D Mitte mit Rinde],0))</f>
        <v>#N/A</v>
      </c>
      <c r="G1338" t="e">
        <f>VLOOKUP(Tabelle8[[#This Row],[Rank]],Stammdaten[[Rank Verteilung D Mitte mit Rinde]:[Verteilung D Mitte mit Rinde]],2,FALSE)</f>
        <v>#N/A</v>
      </c>
      <c r="L1338">
        <v>1329</v>
      </c>
      <c r="M1338" t="e">
        <f>INDEX(Stammdaten[Abholzigkeit (mm/lfm)],MATCH(Tabelle9[[#This Row],[Rank]],Stammdaten[Rank Verteilung Abholzigkeit],0))</f>
        <v>#N/A</v>
      </c>
      <c r="N1338" t="e">
        <f>VLOOKUP(Tabelle9[[#This Row],[Rank]],Stammdaten[[Rank Verteilung Abholzigkeit]:[Verteilung Abholzigkeit]],2,FALSE)</f>
        <v>#N/A</v>
      </c>
      <c r="S1338">
        <v>1329</v>
      </c>
      <c r="T1338" t="e">
        <f>INDEX(Stammdaten[Krümmung (mm/lfm)],MATCH(Tabelle10[[#This Row],[Rank]],Stammdaten[Rank Verteilung Krümmung],0))</f>
        <v>#N/A</v>
      </c>
      <c r="U1338" t="e">
        <f>VLOOKUP(Tabelle10[[#This Row],[Rank]],Stammdaten[[Rank Verteilung Krümmung]:[Verteilung Krümmung]],2,FALSE)</f>
        <v>#N/A</v>
      </c>
      <c r="Z1338">
        <v>1329</v>
      </c>
      <c r="AA1338" t="e">
        <f>INDEX(Stammdaten[Ovalität (']0,1'])],MATCH(Tabelle1014[[#This Row],[Rank]],Stammdaten[Rank Verteilung Ovalität],0))</f>
        <v>#N/A</v>
      </c>
      <c r="AB1338" t="e">
        <f>VLOOKUP(Tabelle1014[[#This Row],[Rank]],Stammdaten[[Rank Verteilung Ovalität]:[Verteilung Ovalität]],2,FALSE)</f>
        <v>#N/A</v>
      </c>
    </row>
    <row r="1339" spans="5:28" x14ac:dyDescent="0.35">
      <c r="E1339">
        <v>1330</v>
      </c>
      <c r="F1339" t="e">
        <f>INDEX(Stammdaten[D Mitte mit Rinde (mm)],MATCH(Tabelle8[[#This Row],[Rank]],Stammdaten[Rank Verteilung D Mitte mit Rinde],0))</f>
        <v>#N/A</v>
      </c>
      <c r="G1339" t="e">
        <f>VLOOKUP(Tabelle8[[#This Row],[Rank]],Stammdaten[[Rank Verteilung D Mitte mit Rinde]:[Verteilung D Mitte mit Rinde]],2,FALSE)</f>
        <v>#N/A</v>
      </c>
      <c r="L1339">
        <v>1330</v>
      </c>
      <c r="M1339" t="e">
        <f>INDEX(Stammdaten[Abholzigkeit (mm/lfm)],MATCH(Tabelle9[[#This Row],[Rank]],Stammdaten[Rank Verteilung Abholzigkeit],0))</f>
        <v>#N/A</v>
      </c>
      <c r="N1339" t="e">
        <f>VLOOKUP(Tabelle9[[#This Row],[Rank]],Stammdaten[[Rank Verteilung Abholzigkeit]:[Verteilung Abholzigkeit]],2,FALSE)</f>
        <v>#N/A</v>
      </c>
      <c r="S1339">
        <v>1330</v>
      </c>
      <c r="T1339" t="e">
        <f>INDEX(Stammdaten[Krümmung (mm/lfm)],MATCH(Tabelle10[[#This Row],[Rank]],Stammdaten[Rank Verteilung Krümmung],0))</f>
        <v>#N/A</v>
      </c>
      <c r="U1339" t="e">
        <f>VLOOKUP(Tabelle10[[#This Row],[Rank]],Stammdaten[[Rank Verteilung Krümmung]:[Verteilung Krümmung]],2,FALSE)</f>
        <v>#N/A</v>
      </c>
      <c r="Z1339">
        <v>1330</v>
      </c>
      <c r="AA1339" t="e">
        <f>INDEX(Stammdaten[Ovalität (']0,1'])],MATCH(Tabelle1014[[#This Row],[Rank]],Stammdaten[Rank Verteilung Ovalität],0))</f>
        <v>#N/A</v>
      </c>
      <c r="AB1339" t="e">
        <f>VLOOKUP(Tabelle1014[[#This Row],[Rank]],Stammdaten[[Rank Verteilung Ovalität]:[Verteilung Ovalität]],2,FALSE)</f>
        <v>#N/A</v>
      </c>
    </row>
    <row r="1340" spans="5:28" x14ac:dyDescent="0.35">
      <c r="E1340">
        <v>1331</v>
      </c>
      <c r="F1340" t="e">
        <f>INDEX(Stammdaten[D Mitte mit Rinde (mm)],MATCH(Tabelle8[[#This Row],[Rank]],Stammdaten[Rank Verteilung D Mitte mit Rinde],0))</f>
        <v>#N/A</v>
      </c>
      <c r="G1340" t="e">
        <f>VLOOKUP(Tabelle8[[#This Row],[Rank]],Stammdaten[[Rank Verteilung D Mitte mit Rinde]:[Verteilung D Mitte mit Rinde]],2,FALSE)</f>
        <v>#N/A</v>
      </c>
      <c r="L1340">
        <v>1331</v>
      </c>
      <c r="M1340" t="e">
        <f>INDEX(Stammdaten[Abholzigkeit (mm/lfm)],MATCH(Tabelle9[[#This Row],[Rank]],Stammdaten[Rank Verteilung Abholzigkeit],0))</f>
        <v>#N/A</v>
      </c>
      <c r="N1340" t="e">
        <f>VLOOKUP(Tabelle9[[#This Row],[Rank]],Stammdaten[[Rank Verteilung Abholzigkeit]:[Verteilung Abholzigkeit]],2,FALSE)</f>
        <v>#N/A</v>
      </c>
      <c r="S1340">
        <v>1331</v>
      </c>
      <c r="T1340" t="e">
        <f>INDEX(Stammdaten[Krümmung (mm/lfm)],MATCH(Tabelle10[[#This Row],[Rank]],Stammdaten[Rank Verteilung Krümmung],0))</f>
        <v>#N/A</v>
      </c>
      <c r="U1340" t="e">
        <f>VLOOKUP(Tabelle10[[#This Row],[Rank]],Stammdaten[[Rank Verteilung Krümmung]:[Verteilung Krümmung]],2,FALSE)</f>
        <v>#N/A</v>
      </c>
      <c r="Z1340">
        <v>1331</v>
      </c>
      <c r="AA1340" t="e">
        <f>INDEX(Stammdaten[Ovalität (']0,1'])],MATCH(Tabelle1014[[#This Row],[Rank]],Stammdaten[Rank Verteilung Ovalität],0))</f>
        <v>#N/A</v>
      </c>
      <c r="AB1340" t="e">
        <f>VLOOKUP(Tabelle1014[[#This Row],[Rank]],Stammdaten[[Rank Verteilung Ovalität]:[Verteilung Ovalität]],2,FALSE)</f>
        <v>#N/A</v>
      </c>
    </row>
    <row r="1341" spans="5:28" x14ac:dyDescent="0.35">
      <c r="E1341">
        <v>1332</v>
      </c>
      <c r="F1341" t="e">
        <f>INDEX(Stammdaten[D Mitte mit Rinde (mm)],MATCH(Tabelle8[[#This Row],[Rank]],Stammdaten[Rank Verteilung D Mitte mit Rinde],0))</f>
        <v>#N/A</v>
      </c>
      <c r="G1341" t="e">
        <f>VLOOKUP(Tabelle8[[#This Row],[Rank]],Stammdaten[[Rank Verteilung D Mitte mit Rinde]:[Verteilung D Mitte mit Rinde]],2,FALSE)</f>
        <v>#N/A</v>
      </c>
      <c r="L1341">
        <v>1332</v>
      </c>
      <c r="M1341" t="e">
        <f>INDEX(Stammdaten[Abholzigkeit (mm/lfm)],MATCH(Tabelle9[[#This Row],[Rank]],Stammdaten[Rank Verteilung Abholzigkeit],0))</f>
        <v>#N/A</v>
      </c>
      <c r="N1341" t="e">
        <f>VLOOKUP(Tabelle9[[#This Row],[Rank]],Stammdaten[[Rank Verteilung Abholzigkeit]:[Verteilung Abholzigkeit]],2,FALSE)</f>
        <v>#N/A</v>
      </c>
      <c r="S1341">
        <v>1332</v>
      </c>
      <c r="T1341" t="e">
        <f>INDEX(Stammdaten[Krümmung (mm/lfm)],MATCH(Tabelle10[[#This Row],[Rank]],Stammdaten[Rank Verteilung Krümmung],0))</f>
        <v>#N/A</v>
      </c>
      <c r="U1341" t="e">
        <f>VLOOKUP(Tabelle10[[#This Row],[Rank]],Stammdaten[[Rank Verteilung Krümmung]:[Verteilung Krümmung]],2,FALSE)</f>
        <v>#N/A</v>
      </c>
      <c r="Z1341">
        <v>1332</v>
      </c>
      <c r="AA1341" t="e">
        <f>INDEX(Stammdaten[Ovalität (']0,1'])],MATCH(Tabelle1014[[#This Row],[Rank]],Stammdaten[Rank Verteilung Ovalität],0))</f>
        <v>#N/A</v>
      </c>
      <c r="AB1341" t="e">
        <f>VLOOKUP(Tabelle1014[[#This Row],[Rank]],Stammdaten[[Rank Verteilung Ovalität]:[Verteilung Ovalität]],2,FALSE)</f>
        <v>#N/A</v>
      </c>
    </row>
    <row r="1342" spans="5:28" x14ac:dyDescent="0.35">
      <c r="E1342">
        <v>1333</v>
      </c>
      <c r="F1342" t="e">
        <f>INDEX(Stammdaten[D Mitte mit Rinde (mm)],MATCH(Tabelle8[[#This Row],[Rank]],Stammdaten[Rank Verteilung D Mitte mit Rinde],0))</f>
        <v>#N/A</v>
      </c>
      <c r="G1342" t="e">
        <f>VLOOKUP(Tabelle8[[#This Row],[Rank]],Stammdaten[[Rank Verteilung D Mitte mit Rinde]:[Verteilung D Mitte mit Rinde]],2,FALSE)</f>
        <v>#N/A</v>
      </c>
      <c r="L1342">
        <v>1333</v>
      </c>
      <c r="M1342" t="e">
        <f>INDEX(Stammdaten[Abholzigkeit (mm/lfm)],MATCH(Tabelle9[[#This Row],[Rank]],Stammdaten[Rank Verteilung Abholzigkeit],0))</f>
        <v>#N/A</v>
      </c>
      <c r="N1342" t="e">
        <f>VLOOKUP(Tabelle9[[#This Row],[Rank]],Stammdaten[[Rank Verteilung Abholzigkeit]:[Verteilung Abholzigkeit]],2,FALSE)</f>
        <v>#N/A</v>
      </c>
      <c r="S1342">
        <v>1333</v>
      </c>
      <c r="T1342" t="e">
        <f>INDEX(Stammdaten[Krümmung (mm/lfm)],MATCH(Tabelle10[[#This Row],[Rank]],Stammdaten[Rank Verteilung Krümmung],0))</f>
        <v>#N/A</v>
      </c>
      <c r="U1342" t="e">
        <f>VLOOKUP(Tabelle10[[#This Row],[Rank]],Stammdaten[[Rank Verteilung Krümmung]:[Verteilung Krümmung]],2,FALSE)</f>
        <v>#N/A</v>
      </c>
      <c r="Z1342">
        <v>1333</v>
      </c>
      <c r="AA1342" t="e">
        <f>INDEX(Stammdaten[Ovalität (']0,1'])],MATCH(Tabelle1014[[#This Row],[Rank]],Stammdaten[Rank Verteilung Ovalität],0))</f>
        <v>#N/A</v>
      </c>
      <c r="AB1342" t="e">
        <f>VLOOKUP(Tabelle1014[[#This Row],[Rank]],Stammdaten[[Rank Verteilung Ovalität]:[Verteilung Ovalität]],2,FALSE)</f>
        <v>#N/A</v>
      </c>
    </row>
    <row r="1343" spans="5:28" x14ac:dyDescent="0.35">
      <c r="E1343">
        <v>1334</v>
      </c>
      <c r="F1343" t="e">
        <f>INDEX(Stammdaten[D Mitte mit Rinde (mm)],MATCH(Tabelle8[[#This Row],[Rank]],Stammdaten[Rank Verteilung D Mitte mit Rinde],0))</f>
        <v>#N/A</v>
      </c>
      <c r="G1343" t="e">
        <f>VLOOKUP(Tabelle8[[#This Row],[Rank]],Stammdaten[[Rank Verteilung D Mitte mit Rinde]:[Verteilung D Mitte mit Rinde]],2,FALSE)</f>
        <v>#N/A</v>
      </c>
      <c r="L1343">
        <v>1334</v>
      </c>
      <c r="M1343" t="e">
        <f>INDEX(Stammdaten[Abholzigkeit (mm/lfm)],MATCH(Tabelle9[[#This Row],[Rank]],Stammdaten[Rank Verteilung Abholzigkeit],0))</f>
        <v>#N/A</v>
      </c>
      <c r="N1343" t="e">
        <f>VLOOKUP(Tabelle9[[#This Row],[Rank]],Stammdaten[[Rank Verteilung Abholzigkeit]:[Verteilung Abholzigkeit]],2,FALSE)</f>
        <v>#N/A</v>
      </c>
      <c r="S1343">
        <v>1334</v>
      </c>
      <c r="T1343" t="e">
        <f>INDEX(Stammdaten[Krümmung (mm/lfm)],MATCH(Tabelle10[[#This Row],[Rank]],Stammdaten[Rank Verteilung Krümmung],0))</f>
        <v>#N/A</v>
      </c>
      <c r="U1343" t="e">
        <f>VLOOKUP(Tabelle10[[#This Row],[Rank]],Stammdaten[[Rank Verteilung Krümmung]:[Verteilung Krümmung]],2,FALSE)</f>
        <v>#N/A</v>
      </c>
      <c r="Z1343">
        <v>1334</v>
      </c>
      <c r="AA1343" t="e">
        <f>INDEX(Stammdaten[Ovalität (']0,1'])],MATCH(Tabelle1014[[#This Row],[Rank]],Stammdaten[Rank Verteilung Ovalität],0))</f>
        <v>#N/A</v>
      </c>
      <c r="AB1343" t="e">
        <f>VLOOKUP(Tabelle1014[[#This Row],[Rank]],Stammdaten[[Rank Verteilung Ovalität]:[Verteilung Ovalität]],2,FALSE)</f>
        <v>#N/A</v>
      </c>
    </row>
    <row r="1344" spans="5:28" x14ac:dyDescent="0.35">
      <c r="E1344">
        <v>1335</v>
      </c>
      <c r="F1344" t="e">
        <f>INDEX(Stammdaten[D Mitte mit Rinde (mm)],MATCH(Tabelle8[[#This Row],[Rank]],Stammdaten[Rank Verteilung D Mitte mit Rinde],0))</f>
        <v>#N/A</v>
      </c>
      <c r="G1344" t="e">
        <f>VLOOKUP(Tabelle8[[#This Row],[Rank]],Stammdaten[[Rank Verteilung D Mitte mit Rinde]:[Verteilung D Mitte mit Rinde]],2,FALSE)</f>
        <v>#N/A</v>
      </c>
      <c r="L1344">
        <v>1335</v>
      </c>
      <c r="M1344" t="e">
        <f>INDEX(Stammdaten[Abholzigkeit (mm/lfm)],MATCH(Tabelle9[[#This Row],[Rank]],Stammdaten[Rank Verteilung Abholzigkeit],0))</f>
        <v>#N/A</v>
      </c>
      <c r="N1344" t="e">
        <f>VLOOKUP(Tabelle9[[#This Row],[Rank]],Stammdaten[[Rank Verteilung Abholzigkeit]:[Verteilung Abholzigkeit]],2,FALSE)</f>
        <v>#N/A</v>
      </c>
      <c r="S1344">
        <v>1335</v>
      </c>
      <c r="T1344" t="e">
        <f>INDEX(Stammdaten[Krümmung (mm/lfm)],MATCH(Tabelle10[[#This Row],[Rank]],Stammdaten[Rank Verteilung Krümmung],0))</f>
        <v>#N/A</v>
      </c>
      <c r="U1344" t="e">
        <f>VLOOKUP(Tabelle10[[#This Row],[Rank]],Stammdaten[[Rank Verteilung Krümmung]:[Verteilung Krümmung]],2,FALSE)</f>
        <v>#N/A</v>
      </c>
      <c r="Z1344">
        <v>1335</v>
      </c>
      <c r="AA1344" t="e">
        <f>INDEX(Stammdaten[Ovalität (']0,1'])],MATCH(Tabelle1014[[#This Row],[Rank]],Stammdaten[Rank Verteilung Ovalität],0))</f>
        <v>#N/A</v>
      </c>
      <c r="AB1344" t="e">
        <f>VLOOKUP(Tabelle1014[[#This Row],[Rank]],Stammdaten[[Rank Verteilung Ovalität]:[Verteilung Ovalität]],2,FALSE)</f>
        <v>#N/A</v>
      </c>
    </row>
    <row r="1345" spans="5:28" x14ac:dyDescent="0.35">
      <c r="E1345">
        <v>1336</v>
      </c>
      <c r="F1345" t="e">
        <f>INDEX(Stammdaten[D Mitte mit Rinde (mm)],MATCH(Tabelle8[[#This Row],[Rank]],Stammdaten[Rank Verteilung D Mitte mit Rinde],0))</f>
        <v>#N/A</v>
      </c>
      <c r="G1345" t="e">
        <f>VLOOKUP(Tabelle8[[#This Row],[Rank]],Stammdaten[[Rank Verteilung D Mitte mit Rinde]:[Verteilung D Mitte mit Rinde]],2,FALSE)</f>
        <v>#N/A</v>
      </c>
      <c r="L1345">
        <v>1336</v>
      </c>
      <c r="M1345" t="e">
        <f>INDEX(Stammdaten[Abholzigkeit (mm/lfm)],MATCH(Tabelle9[[#This Row],[Rank]],Stammdaten[Rank Verteilung Abholzigkeit],0))</f>
        <v>#N/A</v>
      </c>
      <c r="N1345" t="e">
        <f>VLOOKUP(Tabelle9[[#This Row],[Rank]],Stammdaten[[Rank Verteilung Abholzigkeit]:[Verteilung Abholzigkeit]],2,FALSE)</f>
        <v>#N/A</v>
      </c>
      <c r="S1345">
        <v>1336</v>
      </c>
      <c r="T1345" t="e">
        <f>INDEX(Stammdaten[Krümmung (mm/lfm)],MATCH(Tabelle10[[#This Row],[Rank]],Stammdaten[Rank Verteilung Krümmung],0))</f>
        <v>#N/A</v>
      </c>
      <c r="U1345" t="e">
        <f>VLOOKUP(Tabelle10[[#This Row],[Rank]],Stammdaten[[Rank Verteilung Krümmung]:[Verteilung Krümmung]],2,FALSE)</f>
        <v>#N/A</v>
      </c>
      <c r="Z1345">
        <v>1336</v>
      </c>
      <c r="AA1345" t="e">
        <f>INDEX(Stammdaten[Ovalität (']0,1'])],MATCH(Tabelle1014[[#This Row],[Rank]],Stammdaten[Rank Verteilung Ovalität],0))</f>
        <v>#N/A</v>
      </c>
      <c r="AB1345" t="e">
        <f>VLOOKUP(Tabelle1014[[#This Row],[Rank]],Stammdaten[[Rank Verteilung Ovalität]:[Verteilung Ovalität]],2,FALSE)</f>
        <v>#N/A</v>
      </c>
    </row>
    <row r="1346" spans="5:28" x14ac:dyDescent="0.35">
      <c r="E1346">
        <v>1337</v>
      </c>
      <c r="F1346" t="e">
        <f>INDEX(Stammdaten[D Mitte mit Rinde (mm)],MATCH(Tabelle8[[#This Row],[Rank]],Stammdaten[Rank Verteilung D Mitte mit Rinde],0))</f>
        <v>#N/A</v>
      </c>
      <c r="G1346" t="e">
        <f>VLOOKUP(Tabelle8[[#This Row],[Rank]],Stammdaten[[Rank Verteilung D Mitte mit Rinde]:[Verteilung D Mitte mit Rinde]],2,FALSE)</f>
        <v>#N/A</v>
      </c>
      <c r="L1346">
        <v>1337</v>
      </c>
      <c r="M1346" t="e">
        <f>INDEX(Stammdaten[Abholzigkeit (mm/lfm)],MATCH(Tabelle9[[#This Row],[Rank]],Stammdaten[Rank Verteilung Abholzigkeit],0))</f>
        <v>#N/A</v>
      </c>
      <c r="N1346" t="e">
        <f>VLOOKUP(Tabelle9[[#This Row],[Rank]],Stammdaten[[Rank Verteilung Abholzigkeit]:[Verteilung Abholzigkeit]],2,FALSE)</f>
        <v>#N/A</v>
      </c>
      <c r="S1346">
        <v>1337</v>
      </c>
      <c r="T1346" t="e">
        <f>INDEX(Stammdaten[Krümmung (mm/lfm)],MATCH(Tabelle10[[#This Row],[Rank]],Stammdaten[Rank Verteilung Krümmung],0))</f>
        <v>#N/A</v>
      </c>
      <c r="U1346" t="e">
        <f>VLOOKUP(Tabelle10[[#This Row],[Rank]],Stammdaten[[Rank Verteilung Krümmung]:[Verteilung Krümmung]],2,FALSE)</f>
        <v>#N/A</v>
      </c>
      <c r="Z1346">
        <v>1337</v>
      </c>
      <c r="AA1346" t="e">
        <f>INDEX(Stammdaten[Ovalität (']0,1'])],MATCH(Tabelle1014[[#This Row],[Rank]],Stammdaten[Rank Verteilung Ovalität],0))</f>
        <v>#N/A</v>
      </c>
      <c r="AB1346" t="e">
        <f>VLOOKUP(Tabelle1014[[#This Row],[Rank]],Stammdaten[[Rank Verteilung Ovalität]:[Verteilung Ovalität]],2,FALSE)</f>
        <v>#N/A</v>
      </c>
    </row>
    <row r="1347" spans="5:28" x14ac:dyDescent="0.35">
      <c r="E1347">
        <v>1338</v>
      </c>
      <c r="F1347" t="e">
        <f>INDEX(Stammdaten[D Mitte mit Rinde (mm)],MATCH(Tabelle8[[#This Row],[Rank]],Stammdaten[Rank Verteilung D Mitte mit Rinde],0))</f>
        <v>#N/A</v>
      </c>
      <c r="G1347" t="e">
        <f>VLOOKUP(Tabelle8[[#This Row],[Rank]],Stammdaten[[Rank Verteilung D Mitte mit Rinde]:[Verteilung D Mitte mit Rinde]],2,FALSE)</f>
        <v>#N/A</v>
      </c>
      <c r="L1347">
        <v>1338</v>
      </c>
      <c r="M1347" t="e">
        <f>INDEX(Stammdaten[Abholzigkeit (mm/lfm)],MATCH(Tabelle9[[#This Row],[Rank]],Stammdaten[Rank Verteilung Abholzigkeit],0))</f>
        <v>#N/A</v>
      </c>
      <c r="N1347" t="e">
        <f>VLOOKUP(Tabelle9[[#This Row],[Rank]],Stammdaten[[Rank Verteilung Abholzigkeit]:[Verteilung Abholzigkeit]],2,FALSE)</f>
        <v>#N/A</v>
      </c>
      <c r="S1347">
        <v>1338</v>
      </c>
      <c r="T1347" t="e">
        <f>INDEX(Stammdaten[Krümmung (mm/lfm)],MATCH(Tabelle10[[#This Row],[Rank]],Stammdaten[Rank Verteilung Krümmung],0))</f>
        <v>#N/A</v>
      </c>
      <c r="U1347" t="e">
        <f>VLOOKUP(Tabelle10[[#This Row],[Rank]],Stammdaten[[Rank Verteilung Krümmung]:[Verteilung Krümmung]],2,FALSE)</f>
        <v>#N/A</v>
      </c>
      <c r="Z1347">
        <v>1338</v>
      </c>
      <c r="AA1347" t="e">
        <f>INDEX(Stammdaten[Ovalität (']0,1'])],MATCH(Tabelle1014[[#This Row],[Rank]],Stammdaten[Rank Verteilung Ovalität],0))</f>
        <v>#N/A</v>
      </c>
      <c r="AB1347" t="e">
        <f>VLOOKUP(Tabelle1014[[#This Row],[Rank]],Stammdaten[[Rank Verteilung Ovalität]:[Verteilung Ovalität]],2,FALSE)</f>
        <v>#N/A</v>
      </c>
    </row>
    <row r="1348" spans="5:28" x14ac:dyDescent="0.35">
      <c r="E1348">
        <v>1339</v>
      </c>
      <c r="F1348" t="e">
        <f>INDEX(Stammdaten[D Mitte mit Rinde (mm)],MATCH(Tabelle8[[#This Row],[Rank]],Stammdaten[Rank Verteilung D Mitte mit Rinde],0))</f>
        <v>#N/A</v>
      </c>
      <c r="G1348" t="e">
        <f>VLOOKUP(Tabelle8[[#This Row],[Rank]],Stammdaten[[Rank Verteilung D Mitte mit Rinde]:[Verteilung D Mitte mit Rinde]],2,FALSE)</f>
        <v>#N/A</v>
      </c>
      <c r="L1348">
        <v>1339</v>
      </c>
      <c r="M1348" t="e">
        <f>INDEX(Stammdaten[Abholzigkeit (mm/lfm)],MATCH(Tabelle9[[#This Row],[Rank]],Stammdaten[Rank Verteilung Abholzigkeit],0))</f>
        <v>#N/A</v>
      </c>
      <c r="N1348" t="e">
        <f>VLOOKUP(Tabelle9[[#This Row],[Rank]],Stammdaten[[Rank Verteilung Abholzigkeit]:[Verteilung Abholzigkeit]],2,FALSE)</f>
        <v>#N/A</v>
      </c>
      <c r="S1348">
        <v>1339</v>
      </c>
      <c r="T1348" t="e">
        <f>INDEX(Stammdaten[Krümmung (mm/lfm)],MATCH(Tabelle10[[#This Row],[Rank]],Stammdaten[Rank Verteilung Krümmung],0))</f>
        <v>#N/A</v>
      </c>
      <c r="U1348" t="e">
        <f>VLOOKUP(Tabelle10[[#This Row],[Rank]],Stammdaten[[Rank Verteilung Krümmung]:[Verteilung Krümmung]],2,FALSE)</f>
        <v>#N/A</v>
      </c>
      <c r="Z1348">
        <v>1339</v>
      </c>
      <c r="AA1348" t="e">
        <f>INDEX(Stammdaten[Ovalität (']0,1'])],MATCH(Tabelle1014[[#This Row],[Rank]],Stammdaten[Rank Verteilung Ovalität],0))</f>
        <v>#N/A</v>
      </c>
      <c r="AB1348" t="e">
        <f>VLOOKUP(Tabelle1014[[#This Row],[Rank]],Stammdaten[[Rank Verteilung Ovalität]:[Verteilung Ovalität]],2,FALSE)</f>
        <v>#N/A</v>
      </c>
    </row>
    <row r="1349" spans="5:28" x14ac:dyDescent="0.35">
      <c r="E1349">
        <v>1340</v>
      </c>
      <c r="F1349" t="e">
        <f>INDEX(Stammdaten[D Mitte mit Rinde (mm)],MATCH(Tabelle8[[#This Row],[Rank]],Stammdaten[Rank Verteilung D Mitte mit Rinde],0))</f>
        <v>#N/A</v>
      </c>
      <c r="G1349" t="e">
        <f>VLOOKUP(Tabelle8[[#This Row],[Rank]],Stammdaten[[Rank Verteilung D Mitte mit Rinde]:[Verteilung D Mitte mit Rinde]],2,FALSE)</f>
        <v>#N/A</v>
      </c>
      <c r="L1349">
        <v>1340</v>
      </c>
      <c r="M1349" t="e">
        <f>INDEX(Stammdaten[Abholzigkeit (mm/lfm)],MATCH(Tabelle9[[#This Row],[Rank]],Stammdaten[Rank Verteilung Abholzigkeit],0))</f>
        <v>#N/A</v>
      </c>
      <c r="N1349" t="e">
        <f>VLOOKUP(Tabelle9[[#This Row],[Rank]],Stammdaten[[Rank Verteilung Abholzigkeit]:[Verteilung Abholzigkeit]],2,FALSE)</f>
        <v>#N/A</v>
      </c>
      <c r="S1349">
        <v>1340</v>
      </c>
      <c r="T1349" t="e">
        <f>INDEX(Stammdaten[Krümmung (mm/lfm)],MATCH(Tabelle10[[#This Row],[Rank]],Stammdaten[Rank Verteilung Krümmung],0))</f>
        <v>#N/A</v>
      </c>
      <c r="U1349" t="e">
        <f>VLOOKUP(Tabelle10[[#This Row],[Rank]],Stammdaten[[Rank Verteilung Krümmung]:[Verteilung Krümmung]],2,FALSE)</f>
        <v>#N/A</v>
      </c>
      <c r="Z1349">
        <v>1340</v>
      </c>
      <c r="AA1349" t="e">
        <f>INDEX(Stammdaten[Ovalität (']0,1'])],MATCH(Tabelle1014[[#This Row],[Rank]],Stammdaten[Rank Verteilung Ovalität],0))</f>
        <v>#N/A</v>
      </c>
      <c r="AB1349" t="e">
        <f>VLOOKUP(Tabelle1014[[#This Row],[Rank]],Stammdaten[[Rank Verteilung Ovalität]:[Verteilung Ovalität]],2,FALSE)</f>
        <v>#N/A</v>
      </c>
    </row>
    <row r="1350" spans="5:28" x14ac:dyDescent="0.35">
      <c r="E1350">
        <v>1341</v>
      </c>
      <c r="F1350" t="e">
        <f>INDEX(Stammdaten[D Mitte mit Rinde (mm)],MATCH(Tabelle8[[#This Row],[Rank]],Stammdaten[Rank Verteilung D Mitte mit Rinde],0))</f>
        <v>#N/A</v>
      </c>
      <c r="G1350" t="e">
        <f>VLOOKUP(Tabelle8[[#This Row],[Rank]],Stammdaten[[Rank Verteilung D Mitte mit Rinde]:[Verteilung D Mitte mit Rinde]],2,FALSE)</f>
        <v>#N/A</v>
      </c>
      <c r="L1350">
        <v>1341</v>
      </c>
      <c r="M1350" t="e">
        <f>INDEX(Stammdaten[Abholzigkeit (mm/lfm)],MATCH(Tabelle9[[#This Row],[Rank]],Stammdaten[Rank Verteilung Abholzigkeit],0))</f>
        <v>#N/A</v>
      </c>
      <c r="N1350" t="e">
        <f>VLOOKUP(Tabelle9[[#This Row],[Rank]],Stammdaten[[Rank Verteilung Abholzigkeit]:[Verteilung Abholzigkeit]],2,FALSE)</f>
        <v>#N/A</v>
      </c>
      <c r="S1350">
        <v>1341</v>
      </c>
      <c r="T1350" t="e">
        <f>INDEX(Stammdaten[Krümmung (mm/lfm)],MATCH(Tabelle10[[#This Row],[Rank]],Stammdaten[Rank Verteilung Krümmung],0))</f>
        <v>#N/A</v>
      </c>
      <c r="U1350" t="e">
        <f>VLOOKUP(Tabelle10[[#This Row],[Rank]],Stammdaten[[Rank Verteilung Krümmung]:[Verteilung Krümmung]],2,FALSE)</f>
        <v>#N/A</v>
      </c>
      <c r="Z1350">
        <v>1341</v>
      </c>
      <c r="AA1350" t="e">
        <f>INDEX(Stammdaten[Ovalität (']0,1'])],MATCH(Tabelle1014[[#This Row],[Rank]],Stammdaten[Rank Verteilung Ovalität],0))</f>
        <v>#N/A</v>
      </c>
      <c r="AB1350" t="e">
        <f>VLOOKUP(Tabelle1014[[#This Row],[Rank]],Stammdaten[[Rank Verteilung Ovalität]:[Verteilung Ovalität]],2,FALSE)</f>
        <v>#N/A</v>
      </c>
    </row>
    <row r="1351" spans="5:28" x14ac:dyDescent="0.35">
      <c r="E1351">
        <v>1342</v>
      </c>
      <c r="F1351" t="e">
        <f>INDEX(Stammdaten[D Mitte mit Rinde (mm)],MATCH(Tabelle8[[#This Row],[Rank]],Stammdaten[Rank Verteilung D Mitte mit Rinde],0))</f>
        <v>#N/A</v>
      </c>
      <c r="G1351" t="e">
        <f>VLOOKUP(Tabelle8[[#This Row],[Rank]],Stammdaten[[Rank Verteilung D Mitte mit Rinde]:[Verteilung D Mitte mit Rinde]],2,FALSE)</f>
        <v>#N/A</v>
      </c>
      <c r="L1351">
        <v>1342</v>
      </c>
      <c r="M1351" t="e">
        <f>INDEX(Stammdaten[Abholzigkeit (mm/lfm)],MATCH(Tabelle9[[#This Row],[Rank]],Stammdaten[Rank Verteilung Abholzigkeit],0))</f>
        <v>#N/A</v>
      </c>
      <c r="N1351" t="e">
        <f>VLOOKUP(Tabelle9[[#This Row],[Rank]],Stammdaten[[Rank Verteilung Abholzigkeit]:[Verteilung Abholzigkeit]],2,FALSE)</f>
        <v>#N/A</v>
      </c>
      <c r="S1351">
        <v>1342</v>
      </c>
      <c r="T1351" t="e">
        <f>INDEX(Stammdaten[Krümmung (mm/lfm)],MATCH(Tabelle10[[#This Row],[Rank]],Stammdaten[Rank Verteilung Krümmung],0))</f>
        <v>#N/A</v>
      </c>
      <c r="U1351" t="e">
        <f>VLOOKUP(Tabelle10[[#This Row],[Rank]],Stammdaten[[Rank Verteilung Krümmung]:[Verteilung Krümmung]],2,FALSE)</f>
        <v>#N/A</v>
      </c>
      <c r="Z1351">
        <v>1342</v>
      </c>
      <c r="AA1351" t="e">
        <f>INDEX(Stammdaten[Ovalität (']0,1'])],MATCH(Tabelle1014[[#This Row],[Rank]],Stammdaten[Rank Verteilung Ovalität],0))</f>
        <v>#N/A</v>
      </c>
      <c r="AB1351" t="e">
        <f>VLOOKUP(Tabelle1014[[#This Row],[Rank]],Stammdaten[[Rank Verteilung Ovalität]:[Verteilung Ovalität]],2,FALSE)</f>
        <v>#N/A</v>
      </c>
    </row>
    <row r="1352" spans="5:28" x14ac:dyDescent="0.35">
      <c r="E1352">
        <v>1343</v>
      </c>
      <c r="F1352" t="e">
        <f>INDEX(Stammdaten[D Mitte mit Rinde (mm)],MATCH(Tabelle8[[#This Row],[Rank]],Stammdaten[Rank Verteilung D Mitte mit Rinde],0))</f>
        <v>#N/A</v>
      </c>
      <c r="G1352" t="e">
        <f>VLOOKUP(Tabelle8[[#This Row],[Rank]],Stammdaten[[Rank Verteilung D Mitte mit Rinde]:[Verteilung D Mitte mit Rinde]],2,FALSE)</f>
        <v>#N/A</v>
      </c>
      <c r="L1352">
        <v>1343</v>
      </c>
      <c r="M1352" t="e">
        <f>INDEX(Stammdaten[Abholzigkeit (mm/lfm)],MATCH(Tabelle9[[#This Row],[Rank]],Stammdaten[Rank Verteilung Abholzigkeit],0))</f>
        <v>#N/A</v>
      </c>
      <c r="N1352" t="e">
        <f>VLOOKUP(Tabelle9[[#This Row],[Rank]],Stammdaten[[Rank Verteilung Abholzigkeit]:[Verteilung Abholzigkeit]],2,FALSE)</f>
        <v>#N/A</v>
      </c>
      <c r="S1352">
        <v>1343</v>
      </c>
      <c r="T1352" t="e">
        <f>INDEX(Stammdaten[Krümmung (mm/lfm)],MATCH(Tabelle10[[#This Row],[Rank]],Stammdaten[Rank Verteilung Krümmung],0))</f>
        <v>#N/A</v>
      </c>
      <c r="U1352" t="e">
        <f>VLOOKUP(Tabelle10[[#This Row],[Rank]],Stammdaten[[Rank Verteilung Krümmung]:[Verteilung Krümmung]],2,FALSE)</f>
        <v>#N/A</v>
      </c>
      <c r="Z1352">
        <v>1343</v>
      </c>
      <c r="AA1352" t="e">
        <f>INDEX(Stammdaten[Ovalität (']0,1'])],MATCH(Tabelle1014[[#This Row],[Rank]],Stammdaten[Rank Verteilung Ovalität],0))</f>
        <v>#N/A</v>
      </c>
      <c r="AB1352" t="e">
        <f>VLOOKUP(Tabelle1014[[#This Row],[Rank]],Stammdaten[[Rank Verteilung Ovalität]:[Verteilung Ovalität]],2,FALSE)</f>
        <v>#N/A</v>
      </c>
    </row>
    <row r="1353" spans="5:28" x14ac:dyDescent="0.35">
      <c r="E1353">
        <v>1344</v>
      </c>
      <c r="F1353" t="e">
        <f>INDEX(Stammdaten[D Mitte mit Rinde (mm)],MATCH(Tabelle8[[#This Row],[Rank]],Stammdaten[Rank Verteilung D Mitte mit Rinde],0))</f>
        <v>#N/A</v>
      </c>
      <c r="G1353" t="e">
        <f>VLOOKUP(Tabelle8[[#This Row],[Rank]],Stammdaten[[Rank Verteilung D Mitte mit Rinde]:[Verteilung D Mitte mit Rinde]],2,FALSE)</f>
        <v>#N/A</v>
      </c>
      <c r="L1353">
        <v>1344</v>
      </c>
      <c r="M1353" t="e">
        <f>INDEX(Stammdaten[Abholzigkeit (mm/lfm)],MATCH(Tabelle9[[#This Row],[Rank]],Stammdaten[Rank Verteilung Abholzigkeit],0))</f>
        <v>#N/A</v>
      </c>
      <c r="N1353" t="e">
        <f>VLOOKUP(Tabelle9[[#This Row],[Rank]],Stammdaten[[Rank Verteilung Abholzigkeit]:[Verteilung Abholzigkeit]],2,FALSE)</f>
        <v>#N/A</v>
      </c>
      <c r="S1353">
        <v>1344</v>
      </c>
      <c r="T1353" t="e">
        <f>INDEX(Stammdaten[Krümmung (mm/lfm)],MATCH(Tabelle10[[#This Row],[Rank]],Stammdaten[Rank Verteilung Krümmung],0))</f>
        <v>#N/A</v>
      </c>
      <c r="U1353" t="e">
        <f>VLOOKUP(Tabelle10[[#This Row],[Rank]],Stammdaten[[Rank Verteilung Krümmung]:[Verteilung Krümmung]],2,FALSE)</f>
        <v>#N/A</v>
      </c>
      <c r="Z1353">
        <v>1344</v>
      </c>
      <c r="AA1353" t="e">
        <f>INDEX(Stammdaten[Ovalität (']0,1'])],MATCH(Tabelle1014[[#This Row],[Rank]],Stammdaten[Rank Verteilung Ovalität],0))</f>
        <v>#N/A</v>
      </c>
      <c r="AB1353" t="e">
        <f>VLOOKUP(Tabelle1014[[#This Row],[Rank]],Stammdaten[[Rank Verteilung Ovalität]:[Verteilung Ovalität]],2,FALSE)</f>
        <v>#N/A</v>
      </c>
    </row>
    <row r="1354" spans="5:28" x14ac:dyDescent="0.35">
      <c r="E1354">
        <v>1345</v>
      </c>
      <c r="F1354" t="e">
        <f>INDEX(Stammdaten[D Mitte mit Rinde (mm)],MATCH(Tabelle8[[#This Row],[Rank]],Stammdaten[Rank Verteilung D Mitte mit Rinde],0))</f>
        <v>#N/A</v>
      </c>
      <c r="G1354" t="e">
        <f>VLOOKUP(Tabelle8[[#This Row],[Rank]],Stammdaten[[Rank Verteilung D Mitte mit Rinde]:[Verteilung D Mitte mit Rinde]],2,FALSE)</f>
        <v>#N/A</v>
      </c>
      <c r="L1354">
        <v>1345</v>
      </c>
      <c r="M1354" t="e">
        <f>INDEX(Stammdaten[Abholzigkeit (mm/lfm)],MATCH(Tabelle9[[#This Row],[Rank]],Stammdaten[Rank Verteilung Abholzigkeit],0))</f>
        <v>#N/A</v>
      </c>
      <c r="N1354" t="e">
        <f>VLOOKUP(Tabelle9[[#This Row],[Rank]],Stammdaten[[Rank Verteilung Abholzigkeit]:[Verteilung Abholzigkeit]],2,FALSE)</f>
        <v>#N/A</v>
      </c>
      <c r="S1354">
        <v>1345</v>
      </c>
      <c r="T1354" t="e">
        <f>INDEX(Stammdaten[Krümmung (mm/lfm)],MATCH(Tabelle10[[#This Row],[Rank]],Stammdaten[Rank Verteilung Krümmung],0))</f>
        <v>#N/A</v>
      </c>
      <c r="U1354" t="e">
        <f>VLOOKUP(Tabelle10[[#This Row],[Rank]],Stammdaten[[Rank Verteilung Krümmung]:[Verteilung Krümmung]],2,FALSE)</f>
        <v>#N/A</v>
      </c>
      <c r="Z1354">
        <v>1345</v>
      </c>
      <c r="AA1354" t="e">
        <f>INDEX(Stammdaten[Ovalität (']0,1'])],MATCH(Tabelle1014[[#This Row],[Rank]],Stammdaten[Rank Verteilung Ovalität],0))</f>
        <v>#N/A</v>
      </c>
      <c r="AB1354" t="e">
        <f>VLOOKUP(Tabelle1014[[#This Row],[Rank]],Stammdaten[[Rank Verteilung Ovalität]:[Verteilung Ovalität]],2,FALSE)</f>
        <v>#N/A</v>
      </c>
    </row>
    <row r="1355" spans="5:28" x14ac:dyDescent="0.35">
      <c r="E1355">
        <v>1346</v>
      </c>
      <c r="F1355" t="e">
        <f>INDEX(Stammdaten[D Mitte mit Rinde (mm)],MATCH(Tabelle8[[#This Row],[Rank]],Stammdaten[Rank Verteilung D Mitte mit Rinde],0))</f>
        <v>#N/A</v>
      </c>
      <c r="G1355" t="e">
        <f>VLOOKUP(Tabelle8[[#This Row],[Rank]],Stammdaten[[Rank Verteilung D Mitte mit Rinde]:[Verteilung D Mitte mit Rinde]],2,FALSE)</f>
        <v>#N/A</v>
      </c>
      <c r="L1355">
        <v>1346</v>
      </c>
      <c r="M1355" t="e">
        <f>INDEX(Stammdaten[Abholzigkeit (mm/lfm)],MATCH(Tabelle9[[#This Row],[Rank]],Stammdaten[Rank Verteilung Abholzigkeit],0))</f>
        <v>#N/A</v>
      </c>
      <c r="N1355" t="e">
        <f>VLOOKUP(Tabelle9[[#This Row],[Rank]],Stammdaten[[Rank Verteilung Abholzigkeit]:[Verteilung Abholzigkeit]],2,FALSE)</f>
        <v>#N/A</v>
      </c>
      <c r="S1355">
        <v>1346</v>
      </c>
      <c r="T1355" t="e">
        <f>INDEX(Stammdaten[Krümmung (mm/lfm)],MATCH(Tabelle10[[#This Row],[Rank]],Stammdaten[Rank Verteilung Krümmung],0))</f>
        <v>#N/A</v>
      </c>
      <c r="U1355" t="e">
        <f>VLOOKUP(Tabelle10[[#This Row],[Rank]],Stammdaten[[Rank Verteilung Krümmung]:[Verteilung Krümmung]],2,FALSE)</f>
        <v>#N/A</v>
      </c>
      <c r="Z1355">
        <v>1346</v>
      </c>
      <c r="AA1355" t="e">
        <f>INDEX(Stammdaten[Ovalität (']0,1'])],MATCH(Tabelle1014[[#This Row],[Rank]],Stammdaten[Rank Verteilung Ovalität],0))</f>
        <v>#N/A</v>
      </c>
      <c r="AB1355" t="e">
        <f>VLOOKUP(Tabelle1014[[#This Row],[Rank]],Stammdaten[[Rank Verteilung Ovalität]:[Verteilung Ovalität]],2,FALSE)</f>
        <v>#N/A</v>
      </c>
    </row>
    <row r="1356" spans="5:28" x14ac:dyDescent="0.35">
      <c r="E1356">
        <v>1347</v>
      </c>
      <c r="F1356" t="e">
        <f>INDEX(Stammdaten[D Mitte mit Rinde (mm)],MATCH(Tabelle8[[#This Row],[Rank]],Stammdaten[Rank Verteilung D Mitte mit Rinde],0))</f>
        <v>#N/A</v>
      </c>
      <c r="G1356" t="e">
        <f>VLOOKUP(Tabelle8[[#This Row],[Rank]],Stammdaten[[Rank Verteilung D Mitte mit Rinde]:[Verteilung D Mitte mit Rinde]],2,FALSE)</f>
        <v>#N/A</v>
      </c>
      <c r="L1356">
        <v>1347</v>
      </c>
      <c r="M1356" t="e">
        <f>INDEX(Stammdaten[Abholzigkeit (mm/lfm)],MATCH(Tabelle9[[#This Row],[Rank]],Stammdaten[Rank Verteilung Abholzigkeit],0))</f>
        <v>#N/A</v>
      </c>
      <c r="N1356" t="e">
        <f>VLOOKUP(Tabelle9[[#This Row],[Rank]],Stammdaten[[Rank Verteilung Abholzigkeit]:[Verteilung Abholzigkeit]],2,FALSE)</f>
        <v>#N/A</v>
      </c>
      <c r="S1356">
        <v>1347</v>
      </c>
      <c r="T1356" t="e">
        <f>INDEX(Stammdaten[Krümmung (mm/lfm)],MATCH(Tabelle10[[#This Row],[Rank]],Stammdaten[Rank Verteilung Krümmung],0))</f>
        <v>#N/A</v>
      </c>
      <c r="U1356" t="e">
        <f>VLOOKUP(Tabelle10[[#This Row],[Rank]],Stammdaten[[Rank Verteilung Krümmung]:[Verteilung Krümmung]],2,FALSE)</f>
        <v>#N/A</v>
      </c>
      <c r="Z1356">
        <v>1347</v>
      </c>
      <c r="AA1356" t="e">
        <f>INDEX(Stammdaten[Ovalität (']0,1'])],MATCH(Tabelle1014[[#This Row],[Rank]],Stammdaten[Rank Verteilung Ovalität],0))</f>
        <v>#N/A</v>
      </c>
      <c r="AB1356" t="e">
        <f>VLOOKUP(Tabelle1014[[#This Row],[Rank]],Stammdaten[[Rank Verteilung Ovalität]:[Verteilung Ovalität]],2,FALSE)</f>
        <v>#N/A</v>
      </c>
    </row>
    <row r="1357" spans="5:28" x14ac:dyDescent="0.35">
      <c r="E1357">
        <v>1348</v>
      </c>
      <c r="F1357" t="e">
        <f>INDEX(Stammdaten[D Mitte mit Rinde (mm)],MATCH(Tabelle8[[#This Row],[Rank]],Stammdaten[Rank Verteilung D Mitte mit Rinde],0))</f>
        <v>#N/A</v>
      </c>
      <c r="G1357" t="e">
        <f>VLOOKUP(Tabelle8[[#This Row],[Rank]],Stammdaten[[Rank Verteilung D Mitte mit Rinde]:[Verteilung D Mitte mit Rinde]],2,FALSE)</f>
        <v>#N/A</v>
      </c>
      <c r="L1357">
        <v>1348</v>
      </c>
      <c r="M1357" t="e">
        <f>INDEX(Stammdaten[Abholzigkeit (mm/lfm)],MATCH(Tabelle9[[#This Row],[Rank]],Stammdaten[Rank Verteilung Abholzigkeit],0))</f>
        <v>#N/A</v>
      </c>
      <c r="N1357" t="e">
        <f>VLOOKUP(Tabelle9[[#This Row],[Rank]],Stammdaten[[Rank Verteilung Abholzigkeit]:[Verteilung Abholzigkeit]],2,FALSE)</f>
        <v>#N/A</v>
      </c>
      <c r="S1357">
        <v>1348</v>
      </c>
      <c r="T1357" t="e">
        <f>INDEX(Stammdaten[Krümmung (mm/lfm)],MATCH(Tabelle10[[#This Row],[Rank]],Stammdaten[Rank Verteilung Krümmung],0))</f>
        <v>#N/A</v>
      </c>
      <c r="U1357" t="e">
        <f>VLOOKUP(Tabelle10[[#This Row],[Rank]],Stammdaten[[Rank Verteilung Krümmung]:[Verteilung Krümmung]],2,FALSE)</f>
        <v>#N/A</v>
      </c>
      <c r="Z1357">
        <v>1348</v>
      </c>
      <c r="AA1357" t="e">
        <f>INDEX(Stammdaten[Ovalität (']0,1'])],MATCH(Tabelle1014[[#This Row],[Rank]],Stammdaten[Rank Verteilung Ovalität],0))</f>
        <v>#N/A</v>
      </c>
      <c r="AB1357" t="e">
        <f>VLOOKUP(Tabelle1014[[#This Row],[Rank]],Stammdaten[[Rank Verteilung Ovalität]:[Verteilung Ovalität]],2,FALSE)</f>
        <v>#N/A</v>
      </c>
    </row>
    <row r="1358" spans="5:28" x14ac:dyDescent="0.35">
      <c r="E1358">
        <v>1349</v>
      </c>
      <c r="F1358" t="e">
        <f>INDEX(Stammdaten[D Mitte mit Rinde (mm)],MATCH(Tabelle8[[#This Row],[Rank]],Stammdaten[Rank Verteilung D Mitte mit Rinde],0))</f>
        <v>#N/A</v>
      </c>
      <c r="G1358" t="e">
        <f>VLOOKUP(Tabelle8[[#This Row],[Rank]],Stammdaten[[Rank Verteilung D Mitte mit Rinde]:[Verteilung D Mitte mit Rinde]],2,FALSE)</f>
        <v>#N/A</v>
      </c>
      <c r="L1358">
        <v>1349</v>
      </c>
      <c r="M1358" t="e">
        <f>INDEX(Stammdaten[Abholzigkeit (mm/lfm)],MATCH(Tabelle9[[#This Row],[Rank]],Stammdaten[Rank Verteilung Abholzigkeit],0))</f>
        <v>#N/A</v>
      </c>
      <c r="N1358" t="e">
        <f>VLOOKUP(Tabelle9[[#This Row],[Rank]],Stammdaten[[Rank Verteilung Abholzigkeit]:[Verteilung Abholzigkeit]],2,FALSE)</f>
        <v>#N/A</v>
      </c>
      <c r="S1358">
        <v>1349</v>
      </c>
      <c r="T1358" t="e">
        <f>INDEX(Stammdaten[Krümmung (mm/lfm)],MATCH(Tabelle10[[#This Row],[Rank]],Stammdaten[Rank Verteilung Krümmung],0))</f>
        <v>#N/A</v>
      </c>
      <c r="U1358" t="e">
        <f>VLOOKUP(Tabelle10[[#This Row],[Rank]],Stammdaten[[Rank Verteilung Krümmung]:[Verteilung Krümmung]],2,FALSE)</f>
        <v>#N/A</v>
      </c>
      <c r="Z1358">
        <v>1349</v>
      </c>
      <c r="AA1358" t="e">
        <f>INDEX(Stammdaten[Ovalität (']0,1'])],MATCH(Tabelle1014[[#This Row],[Rank]],Stammdaten[Rank Verteilung Ovalität],0))</f>
        <v>#N/A</v>
      </c>
      <c r="AB1358" t="e">
        <f>VLOOKUP(Tabelle1014[[#This Row],[Rank]],Stammdaten[[Rank Verteilung Ovalität]:[Verteilung Ovalität]],2,FALSE)</f>
        <v>#N/A</v>
      </c>
    </row>
    <row r="1359" spans="5:28" x14ac:dyDescent="0.35">
      <c r="E1359">
        <v>1350</v>
      </c>
      <c r="F1359" t="e">
        <f>INDEX(Stammdaten[D Mitte mit Rinde (mm)],MATCH(Tabelle8[[#This Row],[Rank]],Stammdaten[Rank Verteilung D Mitte mit Rinde],0))</f>
        <v>#N/A</v>
      </c>
      <c r="G1359" t="e">
        <f>VLOOKUP(Tabelle8[[#This Row],[Rank]],Stammdaten[[Rank Verteilung D Mitte mit Rinde]:[Verteilung D Mitte mit Rinde]],2,FALSE)</f>
        <v>#N/A</v>
      </c>
      <c r="L1359">
        <v>1350</v>
      </c>
      <c r="M1359" t="e">
        <f>INDEX(Stammdaten[Abholzigkeit (mm/lfm)],MATCH(Tabelle9[[#This Row],[Rank]],Stammdaten[Rank Verteilung Abholzigkeit],0))</f>
        <v>#N/A</v>
      </c>
      <c r="N1359" t="e">
        <f>VLOOKUP(Tabelle9[[#This Row],[Rank]],Stammdaten[[Rank Verteilung Abholzigkeit]:[Verteilung Abholzigkeit]],2,FALSE)</f>
        <v>#N/A</v>
      </c>
      <c r="S1359">
        <v>1350</v>
      </c>
      <c r="T1359" t="e">
        <f>INDEX(Stammdaten[Krümmung (mm/lfm)],MATCH(Tabelle10[[#This Row],[Rank]],Stammdaten[Rank Verteilung Krümmung],0))</f>
        <v>#N/A</v>
      </c>
      <c r="U1359" t="e">
        <f>VLOOKUP(Tabelle10[[#This Row],[Rank]],Stammdaten[[Rank Verteilung Krümmung]:[Verteilung Krümmung]],2,FALSE)</f>
        <v>#N/A</v>
      </c>
      <c r="Z1359">
        <v>1350</v>
      </c>
      <c r="AA1359" t="e">
        <f>INDEX(Stammdaten[Ovalität (']0,1'])],MATCH(Tabelle1014[[#This Row],[Rank]],Stammdaten[Rank Verteilung Ovalität],0))</f>
        <v>#N/A</v>
      </c>
      <c r="AB1359" t="e">
        <f>VLOOKUP(Tabelle1014[[#This Row],[Rank]],Stammdaten[[Rank Verteilung Ovalität]:[Verteilung Ovalität]],2,FALSE)</f>
        <v>#N/A</v>
      </c>
    </row>
    <row r="1360" spans="5:28" x14ac:dyDescent="0.35">
      <c r="E1360">
        <v>1351</v>
      </c>
      <c r="F1360" t="e">
        <f>INDEX(Stammdaten[D Mitte mit Rinde (mm)],MATCH(Tabelle8[[#This Row],[Rank]],Stammdaten[Rank Verteilung D Mitte mit Rinde],0))</f>
        <v>#N/A</v>
      </c>
      <c r="G1360" t="e">
        <f>VLOOKUP(Tabelle8[[#This Row],[Rank]],Stammdaten[[Rank Verteilung D Mitte mit Rinde]:[Verteilung D Mitte mit Rinde]],2,FALSE)</f>
        <v>#N/A</v>
      </c>
      <c r="L1360">
        <v>1351</v>
      </c>
      <c r="M1360" t="e">
        <f>INDEX(Stammdaten[Abholzigkeit (mm/lfm)],MATCH(Tabelle9[[#This Row],[Rank]],Stammdaten[Rank Verteilung Abholzigkeit],0))</f>
        <v>#N/A</v>
      </c>
      <c r="N1360" t="e">
        <f>VLOOKUP(Tabelle9[[#This Row],[Rank]],Stammdaten[[Rank Verteilung Abholzigkeit]:[Verteilung Abholzigkeit]],2,FALSE)</f>
        <v>#N/A</v>
      </c>
      <c r="S1360">
        <v>1351</v>
      </c>
      <c r="T1360" t="e">
        <f>INDEX(Stammdaten[Krümmung (mm/lfm)],MATCH(Tabelle10[[#This Row],[Rank]],Stammdaten[Rank Verteilung Krümmung],0))</f>
        <v>#N/A</v>
      </c>
      <c r="U1360" t="e">
        <f>VLOOKUP(Tabelle10[[#This Row],[Rank]],Stammdaten[[Rank Verteilung Krümmung]:[Verteilung Krümmung]],2,FALSE)</f>
        <v>#N/A</v>
      </c>
      <c r="Z1360">
        <v>1351</v>
      </c>
      <c r="AA1360" t="e">
        <f>INDEX(Stammdaten[Ovalität (']0,1'])],MATCH(Tabelle1014[[#This Row],[Rank]],Stammdaten[Rank Verteilung Ovalität],0))</f>
        <v>#N/A</v>
      </c>
      <c r="AB1360" t="e">
        <f>VLOOKUP(Tabelle1014[[#This Row],[Rank]],Stammdaten[[Rank Verteilung Ovalität]:[Verteilung Ovalität]],2,FALSE)</f>
        <v>#N/A</v>
      </c>
    </row>
    <row r="1361" spans="5:28" x14ac:dyDescent="0.35">
      <c r="E1361">
        <v>1352</v>
      </c>
      <c r="F1361" t="e">
        <f>INDEX(Stammdaten[D Mitte mit Rinde (mm)],MATCH(Tabelle8[[#This Row],[Rank]],Stammdaten[Rank Verteilung D Mitte mit Rinde],0))</f>
        <v>#N/A</v>
      </c>
      <c r="G1361" t="e">
        <f>VLOOKUP(Tabelle8[[#This Row],[Rank]],Stammdaten[[Rank Verteilung D Mitte mit Rinde]:[Verteilung D Mitte mit Rinde]],2,FALSE)</f>
        <v>#N/A</v>
      </c>
      <c r="L1361">
        <v>1352</v>
      </c>
      <c r="M1361" t="e">
        <f>INDEX(Stammdaten[Abholzigkeit (mm/lfm)],MATCH(Tabelle9[[#This Row],[Rank]],Stammdaten[Rank Verteilung Abholzigkeit],0))</f>
        <v>#N/A</v>
      </c>
      <c r="N1361" t="e">
        <f>VLOOKUP(Tabelle9[[#This Row],[Rank]],Stammdaten[[Rank Verteilung Abholzigkeit]:[Verteilung Abholzigkeit]],2,FALSE)</f>
        <v>#N/A</v>
      </c>
      <c r="S1361">
        <v>1352</v>
      </c>
      <c r="T1361" t="e">
        <f>INDEX(Stammdaten[Krümmung (mm/lfm)],MATCH(Tabelle10[[#This Row],[Rank]],Stammdaten[Rank Verteilung Krümmung],0))</f>
        <v>#N/A</v>
      </c>
      <c r="U1361" t="e">
        <f>VLOOKUP(Tabelle10[[#This Row],[Rank]],Stammdaten[[Rank Verteilung Krümmung]:[Verteilung Krümmung]],2,FALSE)</f>
        <v>#N/A</v>
      </c>
      <c r="Z1361">
        <v>1352</v>
      </c>
      <c r="AA1361" t="e">
        <f>INDEX(Stammdaten[Ovalität (']0,1'])],MATCH(Tabelle1014[[#This Row],[Rank]],Stammdaten[Rank Verteilung Ovalität],0))</f>
        <v>#N/A</v>
      </c>
      <c r="AB1361" t="e">
        <f>VLOOKUP(Tabelle1014[[#This Row],[Rank]],Stammdaten[[Rank Verteilung Ovalität]:[Verteilung Ovalität]],2,FALSE)</f>
        <v>#N/A</v>
      </c>
    </row>
    <row r="1362" spans="5:28" x14ac:dyDescent="0.35">
      <c r="E1362">
        <v>1353</v>
      </c>
      <c r="F1362" t="e">
        <f>INDEX(Stammdaten[D Mitte mit Rinde (mm)],MATCH(Tabelle8[[#This Row],[Rank]],Stammdaten[Rank Verteilung D Mitte mit Rinde],0))</f>
        <v>#N/A</v>
      </c>
      <c r="G1362" t="e">
        <f>VLOOKUP(Tabelle8[[#This Row],[Rank]],Stammdaten[[Rank Verteilung D Mitte mit Rinde]:[Verteilung D Mitte mit Rinde]],2,FALSE)</f>
        <v>#N/A</v>
      </c>
      <c r="L1362">
        <v>1353</v>
      </c>
      <c r="M1362" t="e">
        <f>INDEX(Stammdaten[Abholzigkeit (mm/lfm)],MATCH(Tabelle9[[#This Row],[Rank]],Stammdaten[Rank Verteilung Abholzigkeit],0))</f>
        <v>#N/A</v>
      </c>
      <c r="N1362" t="e">
        <f>VLOOKUP(Tabelle9[[#This Row],[Rank]],Stammdaten[[Rank Verteilung Abholzigkeit]:[Verteilung Abholzigkeit]],2,FALSE)</f>
        <v>#N/A</v>
      </c>
      <c r="S1362">
        <v>1353</v>
      </c>
      <c r="T1362" t="e">
        <f>INDEX(Stammdaten[Krümmung (mm/lfm)],MATCH(Tabelle10[[#This Row],[Rank]],Stammdaten[Rank Verteilung Krümmung],0))</f>
        <v>#N/A</v>
      </c>
      <c r="U1362" t="e">
        <f>VLOOKUP(Tabelle10[[#This Row],[Rank]],Stammdaten[[Rank Verteilung Krümmung]:[Verteilung Krümmung]],2,FALSE)</f>
        <v>#N/A</v>
      </c>
      <c r="Z1362">
        <v>1353</v>
      </c>
      <c r="AA1362" t="e">
        <f>INDEX(Stammdaten[Ovalität (']0,1'])],MATCH(Tabelle1014[[#This Row],[Rank]],Stammdaten[Rank Verteilung Ovalität],0))</f>
        <v>#N/A</v>
      </c>
      <c r="AB1362" t="e">
        <f>VLOOKUP(Tabelle1014[[#This Row],[Rank]],Stammdaten[[Rank Verteilung Ovalität]:[Verteilung Ovalität]],2,FALSE)</f>
        <v>#N/A</v>
      </c>
    </row>
    <row r="1363" spans="5:28" x14ac:dyDescent="0.35">
      <c r="E1363">
        <v>1354</v>
      </c>
      <c r="F1363" t="e">
        <f>INDEX(Stammdaten[D Mitte mit Rinde (mm)],MATCH(Tabelle8[[#This Row],[Rank]],Stammdaten[Rank Verteilung D Mitte mit Rinde],0))</f>
        <v>#N/A</v>
      </c>
      <c r="G1363" t="e">
        <f>VLOOKUP(Tabelle8[[#This Row],[Rank]],Stammdaten[[Rank Verteilung D Mitte mit Rinde]:[Verteilung D Mitte mit Rinde]],2,FALSE)</f>
        <v>#N/A</v>
      </c>
      <c r="L1363">
        <v>1354</v>
      </c>
      <c r="M1363" t="e">
        <f>INDEX(Stammdaten[Abholzigkeit (mm/lfm)],MATCH(Tabelle9[[#This Row],[Rank]],Stammdaten[Rank Verteilung Abholzigkeit],0))</f>
        <v>#N/A</v>
      </c>
      <c r="N1363" t="e">
        <f>VLOOKUP(Tabelle9[[#This Row],[Rank]],Stammdaten[[Rank Verteilung Abholzigkeit]:[Verteilung Abholzigkeit]],2,FALSE)</f>
        <v>#N/A</v>
      </c>
      <c r="S1363">
        <v>1354</v>
      </c>
      <c r="T1363" t="e">
        <f>INDEX(Stammdaten[Krümmung (mm/lfm)],MATCH(Tabelle10[[#This Row],[Rank]],Stammdaten[Rank Verteilung Krümmung],0))</f>
        <v>#N/A</v>
      </c>
      <c r="U1363" t="e">
        <f>VLOOKUP(Tabelle10[[#This Row],[Rank]],Stammdaten[[Rank Verteilung Krümmung]:[Verteilung Krümmung]],2,FALSE)</f>
        <v>#N/A</v>
      </c>
      <c r="Z1363">
        <v>1354</v>
      </c>
      <c r="AA1363" t="e">
        <f>INDEX(Stammdaten[Ovalität (']0,1'])],MATCH(Tabelle1014[[#This Row],[Rank]],Stammdaten[Rank Verteilung Ovalität],0))</f>
        <v>#N/A</v>
      </c>
      <c r="AB1363" t="e">
        <f>VLOOKUP(Tabelle1014[[#This Row],[Rank]],Stammdaten[[Rank Verteilung Ovalität]:[Verteilung Ovalität]],2,FALSE)</f>
        <v>#N/A</v>
      </c>
    </row>
    <row r="1364" spans="5:28" x14ac:dyDescent="0.35">
      <c r="E1364">
        <v>1355</v>
      </c>
      <c r="F1364" t="e">
        <f>INDEX(Stammdaten[D Mitte mit Rinde (mm)],MATCH(Tabelle8[[#This Row],[Rank]],Stammdaten[Rank Verteilung D Mitte mit Rinde],0))</f>
        <v>#N/A</v>
      </c>
      <c r="G1364" t="e">
        <f>VLOOKUP(Tabelle8[[#This Row],[Rank]],Stammdaten[[Rank Verteilung D Mitte mit Rinde]:[Verteilung D Mitte mit Rinde]],2,FALSE)</f>
        <v>#N/A</v>
      </c>
      <c r="L1364">
        <v>1355</v>
      </c>
      <c r="M1364" t="e">
        <f>INDEX(Stammdaten[Abholzigkeit (mm/lfm)],MATCH(Tabelle9[[#This Row],[Rank]],Stammdaten[Rank Verteilung Abholzigkeit],0))</f>
        <v>#N/A</v>
      </c>
      <c r="N1364" t="e">
        <f>VLOOKUP(Tabelle9[[#This Row],[Rank]],Stammdaten[[Rank Verteilung Abholzigkeit]:[Verteilung Abholzigkeit]],2,FALSE)</f>
        <v>#N/A</v>
      </c>
      <c r="S1364">
        <v>1355</v>
      </c>
      <c r="T1364" t="e">
        <f>INDEX(Stammdaten[Krümmung (mm/lfm)],MATCH(Tabelle10[[#This Row],[Rank]],Stammdaten[Rank Verteilung Krümmung],0))</f>
        <v>#N/A</v>
      </c>
      <c r="U1364" t="e">
        <f>VLOOKUP(Tabelle10[[#This Row],[Rank]],Stammdaten[[Rank Verteilung Krümmung]:[Verteilung Krümmung]],2,FALSE)</f>
        <v>#N/A</v>
      </c>
      <c r="Z1364">
        <v>1355</v>
      </c>
      <c r="AA1364" t="e">
        <f>INDEX(Stammdaten[Ovalität (']0,1'])],MATCH(Tabelle1014[[#This Row],[Rank]],Stammdaten[Rank Verteilung Ovalität],0))</f>
        <v>#N/A</v>
      </c>
      <c r="AB1364" t="e">
        <f>VLOOKUP(Tabelle1014[[#This Row],[Rank]],Stammdaten[[Rank Verteilung Ovalität]:[Verteilung Ovalität]],2,FALSE)</f>
        <v>#N/A</v>
      </c>
    </row>
    <row r="1365" spans="5:28" x14ac:dyDescent="0.35">
      <c r="E1365">
        <v>1356</v>
      </c>
      <c r="F1365" t="e">
        <f>INDEX(Stammdaten[D Mitte mit Rinde (mm)],MATCH(Tabelle8[[#This Row],[Rank]],Stammdaten[Rank Verteilung D Mitte mit Rinde],0))</f>
        <v>#N/A</v>
      </c>
      <c r="G1365" t="e">
        <f>VLOOKUP(Tabelle8[[#This Row],[Rank]],Stammdaten[[Rank Verteilung D Mitte mit Rinde]:[Verteilung D Mitte mit Rinde]],2,FALSE)</f>
        <v>#N/A</v>
      </c>
      <c r="L1365">
        <v>1356</v>
      </c>
      <c r="M1365" t="e">
        <f>INDEX(Stammdaten[Abholzigkeit (mm/lfm)],MATCH(Tabelle9[[#This Row],[Rank]],Stammdaten[Rank Verteilung Abholzigkeit],0))</f>
        <v>#N/A</v>
      </c>
      <c r="N1365" t="e">
        <f>VLOOKUP(Tabelle9[[#This Row],[Rank]],Stammdaten[[Rank Verteilung Abholzigkeit]:[Verteilung Abholzigkeit]],2,FALSE)</f>
        <v>#N/A</v>
      </c>
      <c r="S1365">
        <v>1356</v>
      </c>
      <c r="T1365" t="e">
        <f>INDEX(Stammdaten[Krümmung (mm/lfm)],MATCH(Tabelle10[[#This Row],[Rank]],Stammdaten[Rank Verteilung Krümmung],0))</f>
        <v>#N/A</v>
      </c>
      <c r="U1365" t="e">
        <f>VLOOKUP(Tabelle10[[#This Row],[Rank]],Stammdaten[[Rank Verteilung Krümmung]:[Verteilung Krümmung]],2,FALSE)</f>
        <v>#N/A</v>
      </c>
      <c r="Z1365">
        <v>1356</v>
      </c>
      <c r="AA1365" t="e">
        <f>INDEX(Stammdaten[Ovalität (']0,1'])],MATCH(Tabelle1014[[#This Row],[Rank]],Stammdaten[Rank Verteilung Ovalität],0))</f>
        <v>#N/A</v>
      </c>
      <c r="AB1365" t="e">
        <f>VLOOKUP(Tabelle1014[[#This Row],[Rank]],Stammdaten[[Rank Verteilung Ovalität]:[Verteilung Ovalität]],2,FALSE)</f>
        <v>#N/A</v>
      </c>
    </row>
    <row r="1366" spans="5:28" x14ac:dyDescent="0.35">
      <c r="E1366">
        <v>1357</v>
      </c>
      <c r="F1366" t="e">
        <f>INDEX(Stammdaten[D Mitte mit Rinde (mm)],MATCH(Tabelle8[[#This Row],[Rank]],Stammdaten[Rank Verteilung D Mitte mit Rinde],0))</f>
        <v>#N/A</v>
      </c>
      <c r="G1366" t="e">
        <f>VLOOKUP(Tabelle8[[#This Row],[Rank]],Stammdaten[[Rank Verteilung D Mitte mit Rinde]:[Verteilung D Mitte mit Rinde]],2,FALSE)</f>
        <v>#N/A</v>
      </c>
      <c r="L1366">
        <v>1357</v>
      </c>
      <c r="M1366" t="e">
        <f>INDEX(Stammdaten[Abholzigkeit (mm/lfm)],MATCH(Tabelle9[[#This Row],[Rank]],Stammdaten[Rank Verteilung Abholzigkeit],0))</f>
        <v>#N/A</v>
      </c>
      <c r="N1366" t="e">
        <f>VLOOKUP(Tabelle9[[#This Row],[Rank]],Stammdaten[[Rank Verteilung Abholzigkeit]:[Verteilung Abholzigkeit]],2,FALSE)</f>
        <v>#N/A</v>
      </c>
      <c r="S1366">
        <v>1357</v>
      </c>
      <c r="T1366" t="e">
        <f>INDEX(Stammdaten[Krümmung (mm/lfm)],MATCH(Tabelle10[[#This Row],[Rank]],Stammdaten[Rank Verteilung Krümmung],0))</f>
        <v>#N/A</v>
      </c>
      <c r="U1366" t="e">
        <f>VLOOKUP(Tabelle10[[#This Row],[Rank]],Stammdaten[[Rank Verteilung Krümmung]:[Verteilung Krümmung]],2,FALSE)</f>
        <v>#N/A</v>
      </c>
      <c r="Z1366">
        <v>1357</v>
      </c>
      <c r="AA1366" t="e">
        <f>INDEX(Stammdaten[Ovalität (']0,1'])],MATCH(Tabelle1014[[#This Row],[Rank]],Stammdaten[Rank Verteilung Ovalität],0))</f>
        <v>#N/A</v>
      </c>
      <c r="AB1366" t="e">
        <f>VLOOKUP(Tabelle1014[[#This Row],[Rank]],Stammdaten[[Rank Verteilung Ovalität]:[Verteilung Ovalität]],2,FALSE)</f>
        <v>#N/A</v>
      </c>
    </row>
    <row r="1367" spans="5:28" x14ac:dyDescent="0.35">
      <c r="E1367">
        <v>1358</v>
      </c>
      <c r="F1367" t="e">
        <f>INDEX(Stammdaten[D Mitte mit Rinde (mm)],MATCH(Tabelle8[[#This Row],[Rank]],Stammdaten[Rank Verteilung D Mitte mit Rinde],0))</f>
        <v>#N/A</v>
      </c>
      <c r="G1367" t="e">
        <f>VLOOKUP(Tabelle8[[#This Row],[Rank]],Stammdaten[[Rank Verteilung D Mitte mit Rinde]:[Verteilung D Mitte mit Rinde]],2,FALSE)</f>
        <v>#N/A</v>
      </c>
      <c r="L1367">
        <v>1358</v>
      </c>
      <c r="M1367" t="e">
        <f>INDEX(Stammdaten[Abholzigkeit (mm/lfm)],MATCH(Tabelle9[[#This Row],[Rank]],Stammdaten[Rank Verteilung Abholzigkeit],0))</f>
        <v>#N/A</v>
      </c>
      <c r="N1367" t="e">
        <f>VLOOKUP(Tabelle9[[#This Row],[Rank]],Stammdaten[[Rank Verteilung Abholzigkeit]:[Verteilung Abholzigkeit]],2,FALSE)</f>
        <v>#N/A</v>
      </c>
      <c r="S1367">
        <v>1358</v>
      </c>
      <c r="T1367" t="e">
        <f>INDEX(Stammdaten[Krümmung (mm/lfm)],MATCH(Tabelle10[[#This Row],[Rank]],Stammdaten[Rank Verteilung Krümmung],0))</f>
        <v>#N/A</v>
      </c>
      <c r="U1367" t="e">
        <f>VLOOKUP(Tabelle10[[#This Row],[Rank]],Stammdaten[[Rank Verteilung Krümmung]:[Verteilung Krümmung]],2,FALSE)</f>
        <v>#N/A</v>
      </c>
      <c r="Z1367">
        <v>1358</v>
      </c>
      <c r="AA1367" t="e">
        <f>INDEX(Stammdaten[Ovalität (']0,1'])],MATCH(Tabelle1014[[#This Row],[Rank]],Stammdaten[Rank Verteilung Ovalität],0))</f>
        <v>#N/A</v>
      </c>
      <c r="AB1367" t="e">
        <f>VLOOKUP(Tabelle1014[[#This Row],[Rank]],Stammdaten[[Rank Verteilung Ovalität]:[Verteilung Ovalität]],2,FALSE)</f>
        <v>#N/A</v>
      </c>
    </row>
    <row r="1368" spans="5:28" x14ac:dyDescent="0.35">
      <c r="E1368">
        <v>1359</v>
      </c>
      <c r="F1368" t="e">
        <f>INDEX(Stammdaten[D Mitte mit Rinde (mm)],MATCH(Tabelle8[[#This Row],[Rank]],Stammdaten[Rank Verteilung D Mitte mit Rinde],0))</f>
        <v>#N/A</v>
      </c>
      <c r="G1368" t="e">
        <f>VLOOKUP(Tabelle8[[#This Row],[Rank]],Stammdaten[[Rank Verteilung D Mitte mit Rinde]:[Verteilung D Mitte mit Rinde]],2,FALSE)</f>
        <v>#N/A</v>
      </c>
      <c r="L1368">
        <v>1359</v>
      </c>
      <c r="M1368" t="e">
        <f>INDEX(Stammdaten[Abholzigkeit (mm/lfm)],MATCH(Tabelle9[[#This Row],[Rank]],Stammdaten[Rank Verteilung Abholzigkeit],0))</f>
        <v>#N/A</v>
      </c>
      <c r="N1368" t="e">
        <f>VLOOKUP(Tabelle9[[#This Row],[Rank]],Stammdaten[[Rank Verteilung Abholzigkeit]:[Verteilung Abholzigkeit]],2,FALSE)</f>
        <v>#N/A</v>
      </c>
      <c r="S1368">
        <v>1359</v>
      </c>
      <c r="T1368" t="e">
        <f>INDEX(Stammdaten[Krümmung (mm/lfm)],MATCH(Tabelle10[[#This Row],[Rank]],Stammdaten[Rank Verteilung Krümmung],0))</f>
        <v>#N/A</v>
      </c>
      <c r="U1368" t="e">
        <f>VLOOKUP(Tabelle10[[#This Row],[Rank]],Stammdaten[[Rank Verteilung Krümmung]:[Verteilung Krümmung]],2,FALSE)</f>
        <v>#N/A</v>
      </c>
      <c r="Z1368">
        <v>1359</v>
      </c>
      <c r="AA1368" t="e">
        <f>INDEX(Stammdaten[Ovalität (']0,1'])],MATCH(Tabelle1014[[#This Row],[Rank]],Stammdaten[Rank Verteilung Ovalität],0))</f>
        <v>#N/A</v>
      </c>
      <c r="AB1368" t="e">
        <f>VLOOKUP(Tabelle1014[[#This Row],[Rank]],Stammdaten[[Rank Verteilung Ovalität]:[Verteilung Ovalität]],2,FALSE)</f>
        <v>#N/A</v>
      </c>
    </row>
    <row r="1369" spans="5:28" x14ac:dyDescent="0.35">
      <c r="E1369">
        <v>1360</v>
      </c>
      <c r="F1369" t="e">
        <f>INDEX(Stammdaten[D Mitte mit Rinde (mm)],MATCH(Tabelle8[[#This Row],[Rank]],Stammdaten[Rank Verteilung D Mitte mit Rinde],0))</f>
        <v>#N/A</v>
      </c>
      <c r="G1369" t="e">
        <f>VLOOKUP(Tabelle8[[#This Row],[Rank]],Stammdaten[[Rank Verteilung D Mitte mit Rinde]:[Verteilung D Mitte mit Rinde]],2,FALSE)</f>
        <v>#N/A</v>
      </c>
      <c r="L1369">
        <v>1360</v>
      </c>
      <c r="M1369" t="e">
        <f>INDEX(Stammdaten[Abholzigkeit (mm/lfm)],MATCH(Tabelle9[[#This Row],[Rank]],Stammdaten[Rank Verteilung Abholzigkeit],0))</f>
        <v>#N/A</v>
      </c>
      <c r="N1369" t="e">
        <f>VLOOKUP(Tabelle9[[#This Row],[Rank]],Stammdaten[[Rank Verteilung Abholzigkeit]:[Verteilung Abholzigkeit]],2,FALSE)</f>
        <v>#N/A</v>
      </c>
      <c r="S1369">
        <v>1360</v>
      </c>
      <c r="T1369" t="e">
        <f>INDEX(Stammdaten[Krümmung (mm/lfm)],MATCH(Tabelle10[[#This Row],[Rank]],Stammdaten[Rank Verteilung Krümmung],0))</f>
        <v>#N/A</v>
      </c>
      <c r="U1369" t="e">
        <f>VLOOKUP(Tabelle10[[#This Row],[Rank]],Stammdaten[[Rank Verteilung Krümmung]:[Verteilung Krümmung]],2,FALSE)</f>
        <v>#N/A</v>
      </c>
      <c r="Z1369">
        <v>1360</v>
      </c>
      <c r="AA1369" t="e">
        <f>INDEX(Stammdaten[Ovalität (']0,1'])],MATCH(Tabelle1014[[#This Row],[Rank]],Stammdaten[Rank Verteilung Ovalität],0))</f>
        <v>#N/A</v>
      </c>
      <c r="AB1369" t="e">
        <f>VLOOKUP(Tabelle1014[[#This Row],[Rank]],Stammdaten[[Rank Verteilung Ovalität]:[Verteilung Ovalität]],2,FALSE)</f>
        <v>#N/A</v>
      </c>
    </row>
    <row r="1370" spans="5:28" x14ac:dyDescent="0.35">
      <c r="E1370">
        <v>1361</v>
      </c>
      <c r="F1370" t="e">
        <f>INDEX(Stammdaten[D Mitte mit Rinde (mm)],MATCH(Tabelle8[[#This Row],[Rank]],Stammdaten[Rank Verteilung D Mitte mit Rinde],0))</f>
        <v>#N/A</v>
      </c>
      <c r="G1370" t="e">
        <f>VLOOKUP(Tabelle8[[#This Row],[Rank]],Stammdaten[[Rank Verteilung D Mitte mit Rinde]:[Verteilung D Mitte mit Rinde]],2,FALSE)</f>
        <v>#N/A</v>
      </c>
      <c r="L1370">
        <v>1361</v>
      </c>
      <c r="M1370" t="e">
        <f>INDEX(Stammdaten[Abholzigkeit (mm/lfm)],MATCH(Tabelle9[[#This Row],[Rank]],Stammdaten[Rank Verteilung Abholzigkeit],0))</f>
        <v>#N/A</v>
      </c>
      <c r="N1370" t="e">
        <f>VLOOKUP(Tabelle9[[#This Row],[Rank]],Stammdaten[[Rank Verteilung Abholzigkeit]:[Verteilung Abholzigkeit]],2,FALSE)</f>
        <v>#N/A</v>
      </c>
      <c r="S1370">
        <v>1361</v>
      </c>
      <c r="T1370" t="e">
        <f>INDEX(Stammdaten[Krümmung (mm/lfm)],MATCH(Tabelle10[[#This Row],[Rank]],Stammdaten[Rank Verteilung Krümmung],0))</f>
        <v>#N/A</v>
      </c>
      <c r="U1370" t="e">
        <f>VLOOKUP(Tabelle10[[#This Row],[Rank]],Stammdaten[[Rank Verteilung Krümmung]:[Verteilung Krümmung]],2,FALSE)</f>
        <v>#N/A</v>
      </c>
      <c r="Z1370">
        <v>1361</v>
      </c>
      <c r="AA1370" t="e">
        <f>INDEX(Stammdaten[Ovalität (']0,1'])],MATCH(Tabelle1014[[#This Row],[Rank]],Stammdaten[Rank Verteilung Ovalität],0))</f>
        <v>#N/A</v>
      </c>
      <c r="AB1370" t="e">
        <f>VLOOKUP(Tabelle1014[[#This Row],[Rank]],Stammdaten[[Rank Verteilung Ovalität]:[Verteilung Ovalität]],2,FALSE)</f>
        <v>#N/A</v>
      </c>
    </row>
    <row r="1371" spans="5:28" x14ac:dyDescent="0.35">
      <c r="E1371">
        <v>1362</v>
      </c>
      <c r="F1371" t="e">
        <f>INDEX(Stammdaten[D Mitte mit Rinde (mm)],MATCH(Tabelle8[[#This Row],[Rank]],Stammdaten[Rank Verteilung D Mitte mit Rinde],0))</f>
        <v>#N/A</v>
      </c>
      <c r="G1371" t="e">
        <f>VLOOKUP(Tabelle8[[#This Row],[Rank]],Stammdaten[[Rank Verteilung D Mitte mit Rinde]:[Verteilung D Mitte mit Rinde]],2,FALSE)</f>
        <v>#N/A</v>
      </c>
      <c r="L1371">
        <v>1362</v>
      </c>
      <c r="M1371" t="e">
        <f>INDEX(Stammdaten[Abholzigkeit (mm/lfm)],MATCH(Tabelle9[[#This Row],[Rank]],Stammdaten[Rank Verteilung Abholzigkeit],0))</f>
        <v>#N/A</v>
      </c>
      <c r="N1371" t="e">
        <f>VLOOKUP(Tabelle9[[#This Row],[Rank]],Stammdaten[[Rank Verteilung Abholzigkeit]:[Verteilung Abholzigkeit]],2,FALSE)</f>
        <v>#N/A</v>
      </c>
      <c r="S1371">
        <v>1362</v>
      </c>
      <c r="T1371" t="e">
        <f>INDEX(Stammdaten[Krümmung (mm/lfm)],MATCH(Tabelle10[[#This Row],[Rank]],Stammdaten[Rank Verteilung Krümmung],0))</f>
        <v>#N/A</v>
      </c>
      <c r="U1371" t="e">
        <f>VLOOKUP(Tabelle10[[#This Row],[Rank]],Stammdaten[[Rank Verteilung Krümmung]:[Verteilung Krümmung]],2,FALSE)</f>
        <v>#N/A</v>
      </c>
      <c r="Z1371">
        <v>1362</v>
      </c>
      <c r="AA1371" t="e">
        <f>INDEX(Stammdaten[Ovalität (']0,1'])],MATCH(Tabelle1014[[#This Row],[Rank]],Stammdaten[Rank Verteilung Ovalität],0))</f>
        <v>#N/A</v>
      </c>
      <c r="AB1371" t="e">
        <f>VLOOKUP(Tabelle1014[[#This Row],[Rank]],Stammdaten[[Rank Verteilung Ovalität]:[Verteilung Ovalität]],2,FALSE)</f>
        <v>#N/A</v>
      </c>
    </row>
    <row r="1372" spans="5:28" x14ac:dyDescent="0.35">
      <c r="E1372">
        <v>1363</v>
      </c>
      <c r="F1372" t="e">
        <f>INDEX(Stammdaten[D Mitte mit Rinde (mm)],MATCH(Tabelle8[[#This Row],[Rank]],Stammdaten[Rank Verteilung D Mitte mit Rinde],0))</f>
        <v>#N/A</v>
      </c>
      <c r="G1372" t="e">
        <f>VLOOKUP(Tabelle8[[#This Row],[Rank]],Stammdaten[[Rank Verteilung D Mitte mit Rinde]:[Verteilung D Mitte mit Rinde]],2,FALSE)</f>
        <v>#N/A</v>
      </c>
      <c r="L1372">
        <v>1363</v>
      </c>
      <c r="M1372" t="e">
        <f>INDEX(Stammdaten[Abholzigkeit (mm/lfm)],MATCH(Tabelle9[[#This Row],[Rank]],Stammdaten[Rank Verteilung Abholzigkeit],0))</f>
        <v>#N/A</v>
      </c>
      <c r="N1372" t="e">
        <f>VLOOKUP(Tabelle9[[#This Row],[Rank]],Stammdaten[[Rank Verteilung Abholzigkeit]:[Verteilung Abholzigkeit]],2,FALSE)</f>
        <v>#N/A</v>
      </c>
      <c r="S1372">
        <v>1363</v>
      </c>
      <c r="T1372" t="e">
        <f>INDEX(Stammdaten[Krümmung (mm/lfm)],MATCH(Tabelle10[[#This Row],[Rank]],Stammdaten[Rank Verteilung Krümmung],0))</f>
        <v>#N/A</v>
      </c>
      <c r="U1372" t="e">
        <f>VLOOKUP(Tabelle10[[#This Row],[Rank]],Stammdaten[[Rank Verteilung Krümmung]:[Verteilung Krümmung]],2,FALSE)</f>
        <v>#N/A</v>
      </c>
      <c r="Z1372">
        <v>1363</v>
      </c>
      <c r="AA1372" t="e">
        <f>INDEX(Stammdaten[Ovalität (']0,1'])],MATCH(Tabelle1014[[#This Row],[Rank]],Stammdaten[Rank Verteilung Ovalität],0))</f>
        <v>#N/A</v>
      </c>
      <c r="AB1372" t="e">
        <f>VLOOKUP(Tabelle1014[[#This Row],[Rank]],Stammdaten[[Rank Verteilung Ovalität]:[Verteilung Ovalität]],2,FALSE)</f>
        <v>#N/A</v>
      </c>
    </row>
    <row r="1373" spans="5:28" x14ac:dyDescent="0.35">
      <c r="E1373">
        <v>1364</v>
      </c>
      <c r="F1373" t="e">
        <f>INDEX(Stammdaten[D Mitte mit Rinde (mm)],MATCH(Tabelle8[[#This Row],[Rank]],Stammdaten[Rank Verteilung D Mitte mit Rinde],0))</f>
        <v>#N/A</v>
      </c>
      <c r="G1373" t="e">
        <f>VLOOKUP(Tabelle8[[#This Row],[Rank]],Stammdaten[[Rank Verteilung D Mitte mit Rinde]:[Verteilung D Mitte mit Rinde]],2,FALSE)</f>
        <v>#N/A</v>
      </c>
      <c r="L1373">
        <v>1364</v>
      </c>
      <c r="M1373" t="e">
        <f>INDEX(Stammdaten[Abholzigkeit (mm/lfm)],MATCH(Tabelle9[[#This Row],[Rank]],Stammdaten[Rank Verteilung Abholzigkeit],0))</f>
        <v>#N/A</v>
      </c>
      <c r="N1373" t="e">
        <f>VLOOKUP(Tabelle9[[#This Row],[Rank]],Stammdaten[[Rank Verteilung Abholzigkeit]:[Verteilung Abholzigkeit]],2,FALSE)</f>
        <v>#N/A</v>
      </c>
      <c r="S1373">
        <v>1364</v>
      </c>
      <c r="T1373" t="e">
        <f>INDEX(Stammdaten[Krümmung (mm/lfm)],MATCH(Tabelle10[[#This Row],[Rank]],Stammdaten[Rank Verteilung Krümmung],0))</f>
        <v>#N/A</v>
      </c>
      <c r="U1373" t="e">
        <f>VLOOKUP(Tabelle10[[#This Row],[Rank]],Stammdaten[[Rank Verteilung Krümmung]:[Verteilung Krümmung]],2,FALSE)</f>
        <v>#N/A</v>
      </c>
      <c r="Z1373">
        <v>1364</v>
      </c>
      <c r="AA1373" t="e">
        <f>INDEX(Stammdaten[Ovalität (']0,1'])],MATCH(Tabelle1014[[#This Row],[Rank]],Stammdaten[Rank Verteilung Ovalität],0))</f>
        <v>#N/A</v>
      </c>
      <c r="AB1373" t="e">
        <f>VLOOKUP(Tabelle1014[[#This Row],[Rank]],Stammdaten[[Rank Verteilung Ovalität]:[Verteilung Ovalität]],2,FALSE)</f>
        <v>#N/A</v>
      </c>
    </row>
    <row r="1374" spans="5:28" x14ac:dyDescent="0.35">
      <c r="E1374">
        <v>1365</v>
      </c>
      <c r="F1374" t="e">
        <f>INDEX(Stammdaten[D Mitte mit Rinde (mm)],MATCH(Tabelle8[[#This Row],[Rank]],Stammdaten[Rank Verteilung D Mitte mit Rinde],0))</f>
        <v>#N/A</v>
      </c>
      <c r="G1374" t="e">
        <f>VLOOKUP(Tabelle8[[#This Row],[Rank]],Stammdaten[[Rank Verteilung D Mitte mit Rinde]:[Verteilung D Mitte mit Rinde]],2,FALSE)</f>
        <v>#N/A</v>
      </c>
      <c r="L1374">
        <v>1365</v>
      </c>
      <c r="M1374" t="e">
        <f>INDEX(Stammdaten[Abholzigkeit (mm/lfm)],MATCH(Tabelle9[[#This Row],[Rank]],Stammdaten[Rank Verteilung Abholzigkeit],0))</f>
        <v>#N/A</v>
      </c>
      <c r="N1374" t="e">
        <f>VLOOKUP(Tabelle9[[#This Row],[Rank]],Stammdaten[[Rank Verteilung Abholzigkeit]:[Verteilung Abholzigkeit]],2,FALSE)</f>
        <v>#N/A</v>
      </c>
      <c r="S1374">
        <v>1365</v>
      </c>
      <c r="T1374" t="e">
        <f>INDEX(Stammdaten[Krümmung (mm/lfm)],MATCH(Tabelle10[[#This Row],[Rank]],Stammdaten[Rank Verteilung Krümmung],0))</f>
        <v>#N/A</v>
      </c>
      <c r="U1374" t="e">
        <f>VLOOKUP(Tabelle10[[#This Row],[Rank]],Stammdaten[[Rank Verteilung Krümmung]:[Verteilung Krümmung]],2,FALSE)</f>
        <v>#N/A</v>
      </c>
      <c r="Z1374">
        <v>1365</v>
      </c>
      <c r="AA1374" t="e">
        <f>INDEX(Stammdaten[Ovalität (']0,1'])],MATCH(Tabelle1014[[#This Row],[Rank]],Stammdaten[Rank Verteilung Ovalität],0))</f>
        <v>#N/A</v>
      </c>
      <c r="AB1374" t="e">
        <f>VLOOKUP(Tabelle1014[[#This Row],[Rank]],Stammdaten[[Rank Verteilung Ovalität]:[Verteilung Ovalität]],2,FALSE)</f>
        <v>#N/A</v>
      </c>
    </row>
    <row r="1375" spans="5:28" x14ac:dyDescent="0.35">
      <c r="E1375">
        <v>1366</v>
      </c>
      <c r="F1375" t="e">
        <f>INDEX(Stammdaten[D Mitte mit Rinde (mm)],MATCH(Tabelle8[[#This Row],[Rank]],Stammdaten[Rank Verteilung D Mitte mit Rinde],0))</f>
        <v>#N/A</v>
      </c>
      <c r="G1375" t="e">
        <f>VLOOKUP(Tabelle8[[#This Row],[Rank]],Stammdaten[[Rank Verteilung D Mitte mit Rinde]:[Verteilung D Mitte mit Rinde]],2,FALSE)</f>
        <v>#N/A</v>
      </c>
      <c r="L1375">
        <v>1366</v>
      </c>
      <c r="M1375" t="e">
        <f>INDEX(Stammdaten[Abholzigkeit (mm/lfm)],MATCH(Tabelle9[[#This Row],[Rank]],Stammdaten[Rank Verteilung Abholzigkeit],0))</f>
        <v>#N/A</v>
      </c>
      <c r="N1375" t="e">
        <f>VLOOKUP(Tabelle9[[#This Row],[Rank]],Stammdaten[[Rank Verteilung Abholzigkeit]:[Verteilung Abholzigkeit]],2,FALSE)</f>
        <v>#N/A</v>
      </c>
      <c r="S1375">
        <v>1366</v>
      </c>
      <c r="T1375" t="e">
        <f>INDEX(Stammdaten[Krümmung (mm/lfm)],MATCH(Tabelle10[[#This Row],[Rank]],Stammdaten[Rank Verteilung Krümmung],0))</f>
        <v>#N/A</v>
      </c>
      <c r="U1375" t="e">
        <f>VLOOKUP(Tabelle10[[#This Row],[Rank]],Stammdaten[[Rank Verteilung Krümmung]:[Verteilung Krümmung]],2,FALSE)</f>
        <v>#N/A</v>
      </c>
      <c r="Z1375">
        <v>1366</v>
      </c>
      <c r="AA1375" t="e">
        <f>INDEX(Stammdaten[Ovalität (']0,1'])],MATCH(Tabelle1014[[#This Row],[Rank]],Stammdaten[Rank Verteilung Ovalität],0))</f>
        <v>#N/A</v>
      </c>
      <c r="AB1375" t="e">
        <f>VLOOKUP(Tabelle1014[[#This Row],[Rank]],Stammdaten[[Rank Verteilung Ovalität]:[Verteilung Ovalität]],2,FALSE)</f>
        <v>#N/A</v>
      </c>
    </row>
    <row r="1376" spans="5:28" x14ac:dyDescent="0.35">
      <c r="E1376">
        <v>1367</v>
      </c>
      <c r="F1376" t="e">
        <f>INDEX(Stammdaten[D Mitte mit Rinde (mm)],MATCH(Tabelle8[[#This Row],[Rank]],Stammdaten[Rank Verteilung D Mitte mit Rinde],0))</f>
        <v>#N/A</v>
      </c>
      <c r="G1376" t="e">
        <f>VLOOKUP(Tabelle8[[#This Row],[Rank]],Stammdaten[[Rank Verteilung D Mitte mit Rinde]:[Verteilung D Mitte mit Rinde]],2,FALSE)</f>
        <v>#N/A</v>
      </c>
      <c r="L1376">
        <v>1367</v>
      </c>
      <c r="M1376" t="e">
        <f>INDEX(Stammdaten[Abholzigkeit (mm/lfm)],MATCH(Tabelle9[[#This Row],[Rank]],Stammdaten[Rank Verteilung Abholzigkeit],0))</f>
        <v>#N/A</v>
      </c>
      <c r="N1376" t="e">
        <f>VLOOKUP(Tabelle9[[#This Row],[Rank]],Stammdaten[[Rank Verteilung Abholzigkeit]:[Verteilung Abholzigkeit]],2,FALSE)</f>
        <v>#N/A</v>
      </c>
      <c r="S1376">
        <v>1367</v>
      </c>
      <c r="T1376" t="e">
        <f>INDEX(Stammdaten[Krümmung (mm/lfm)],MATCH(Tabelle10[[#This Row],[Rank]],Stammdaten[Rank Verteilung Krümmung],0))</f>
        <v>#N/A</v>
      </c>
      <c r="U1376" t="e">
        <f>VLOOKUP(Tabelle10[[#This Row],[Rank]],Stammdaten[[Rank Verteilung Krümmung]:[Verteilung Krümmung]],2,FALSE)</f>
        <v>#N/A</v>
      </c>
      <c r="Z1376">
        <v>1367</v>
      </c>
      <c r="AA1376" t="e">
        <f>INDEX(Stammdaten[Ovalität (']0,1'])],MATCH(Tabelle1014[[#This Row],[Rank]],Stammdaten[Rank Verteilung Ovalität],0))</f>
        <v>#N/A</v>
      </c>
      <c r="AB1376" t="e">
        <f>VLOOKUP(Tabelle1014[[#This Row],[Rank]],Stammdaten[[Rank Verteilung Ovalität]:[Verteilung Ovalität]],2,FALSE)</f>
        <v>#N/A</v>
      </c>
    </row>
    <row r="1377" spans="5:28" x14ac:dyDescent="0.35">
      <c r="E1377">
        <v>1368</v>
      </c>
      <c r="F1377" t="e">
        <f>INDEX(Stammdaten[D Mitte mit Rinde (mm)],MATCH(Tabelle8[[#This Row],[Rank]],Stammdaten[Rank Verteilung D Mitte mit Rinde],0))</f>
        <v>#N/A</v>
      </c>
      <c r="G1377" t="e">
        <f>VLOOKUP(Tabelle8[[#This Row],[Rank]],Stammdaten[[Rank Verteilung D Mitte mit Rinde]:[Verteilung D Mitte mit Rinde]],2,FALSE)</f>
        <v>#N/A</v>
      </c>
      <c r="L1377">
        <v>1368</v>
      </c>
      <c r="M1377" t="e">
        <f>INDEX(Stammdaten[Abholzigkeit (mm/lfm)],MATCH(Tabelle9[[#This Row],[Rank]],Stammdaten[Rank Verteilung Abholzigkeit],0))</f>
        <v>#N/A</v>
      </c>
      <c r="N1377" t="e">
        <f>VLOOKUP(Tabelle9[[#This Row],[Rank]],Stammdaten[[Rank Verteilung Abholzigkeit]:[Verteilung Abholzigkeit]],2,FALSE)</f>
        <v>#N/A</v>
      </c>
      <c r="S1377">
        <v>1368</v>
      </c>
      <c r="T1377" t="e">
        <f>INDEX(Stammdaten[Krümmung (mm/lfm)],MATCH(Tabelle10[[#This Row],[Rank]],Stammdaten[Rank Verteilung Krümmung],0))</f>
        <v>#N/A</v>
      </c>
      <c r="U1377" t="e">
        <f>VLOOKUP(Tabelle10[[#This Row],[Rank]],Stammdaten[[Rank Verteilung Krümmung]:[Verteilung Krümmung]],2,FALSE)</f>
        <v>#N/A</v>
      </c>
      <c r="Z1377">
        <v>1368</v>
      </c>
      <c r="AA1377" t="e">
        <f>INDEX(Stammdaten[Ovalität (']0,1'])],MATCH(Tabelle1014[[#This Row],[Rank]],Stammdaten[Rank Verteilung Ovalität],0))</f>
        <v>#N/A</v>
      </c>
      <c r="AB1377" t="e">
        <f>VLOOKUP(Tabelle1014[[#This Row],[Rank]],Stammdaten[[Rank Verteilung Ovalität]:[Verteilung Ovalität]],2,FALSE)</f>
        <v>#N/A</v>
      </c>
    </row>
    <row r="1378" spans="5:28" x14ac:dyDescent="0.35">
      <c r="E1378">
        <v>1369</v>
      </c>
      <c r="F1378" t="e">
        <f>INDEX(Stammdaten[D Mitte mit Rinde (mm)],MATCH(Tabelle8[[#This Row],[Rank]],Stammdaten[Rank Verteilung D Mitte mit Rinde],0))</f>
        <v>#N/A</v>
      </c>
      <c r="G1378" t="e">
        <f>VLOOKUP(Tabelle8[[#This Row],[Rank]],Stammdaten[[Rank Verteilung D Mitte mit Rinde]:[Verteilung D Mitte mit Rinde]],2,FALSE)</f>
        <v>#N/A</v>
      </c>
      <c r="L1378">
        <v>1369</v>
      </c>
      <c r="M1378" t="e">
        <f>INDEX(Stammdaten[Abholzigkeit (mm/lfm)],MATCH(Tabelle9[[#This Row],[Rank]],Stammdaten[Rank Verteilung Abholzigkeit],0))</f>
        <v>#N/A</v>
      </c>
      <c r="N1378" t="e">
        <f>VLOOKUP(Tabelle9[[#This Row],[Rank]],Stammdaten[[Rank Verteilung Abholzigkeit]:[Verteilung Abholzigkeit]],2,FALSE)</f>
        <v>#N/A</v>
      </c>
      <c r="S1378">
        <v>1369</v>
      </c>
      <c r="T1378" t="e">
        <f>INDEX(Stammdaten[Krümmung (mm/lfm)],MATCH(Tabelle10[[#This Row],[Rank]],Stammdaten[Rank Verteilung Krümmung],0))</f>
        <v>#N/A</v>
      </c>
      <c r="U1378" t="e">
        <f>VLOOKUP(Tabelle10[[#This Row],[Rank]],Stammdaten[[Rank Verteilung Krümmung]:[Verteilung Krümmung]],2,FALSE)</f>
        <v>#N/A</v>
      </c>
      <c r="Z1378">
        <v>1369</v>
      </c>
      <c r="AA1378" t="e">
        <f>INDEX(Stammdaten[Ovalität (']0,1'])],MATCH(Tabelle1014[[#This Row],[Rank]],Stammdaten[Rank Verteilung Ovalität],0))</f>
        <v>#N/A</v>
      </c>
      <c r="AB1378" t="e">
        <f>VLOOKUP(Tabelle1014[[#This Row],[Rank]],Stammdaten[[Rank Verteilung Ovalität]:[Verteilung Ovalität]],2,FALSE)</f>
        <v>#N/A</v>
      </c>
    </row>
    <row r="1379" spans="5:28" x14ac:dyDescent="0.35">
      <c r="E1379">
        <v>1370</v>
      </c>
      <c r="F1379" t="e">
        <f>INDEX(Stammdaten[D Mitte mit Rinde (mm)],MATCH(Tabelle8[[#This Row],[Rank]],Stammdaten[Rank Verteilung D Mitte mit Rinde],0))</f>
        <v>#N/A</v>
      </c>
      <c r="G1379" t="e">
        <f>VLOOKUP(Tabelle8[[#This Row],[Rank]],Stammdaten[[Rank Verteilung D Mitte mit Rinde]:[Verteilung D Mitte mit Rinde]],2,FALSE)</f>
        <v>#N/A</v>
      </c>
      <c r="L1379">
        <v>1370</v>
      </c>
      <c r="M1379" t="e">
        <f>INDEX(Stammdaten[Abholzigkeit (mm/lfm)],MATCH(Tabelle9[[#This Row],[Rank]],Stammdaten[Rank Verteilung Abholzigkeit],0))</f>
        <v>#N/A</v>
      </c>
      <c r="N1379" t="e">
        <f>VLOOKUP(Tabelle9[[#This Row],[Rank]],Stammdaten[[Rank Verteilung Abholzigkeit]:[Verteilung Abholzigkeit]],2,FALSE)</f>
        <v>#N/A</v>
      </c>
      <c r="S1379">
        <v>1370</v>
      </c>
      <c r="T1379" t="e">
        <f>INDEX(Stammdaten[Krümmung (mm/lfm)],MATCH(Tabelle10[[#This Row],[Rank]],Stammdaten[Rank Verteilung Krümmung],0))</f>
        <v>#N/A</v>
      </c>
      <c r="U1379" t="e">
        <f>VLOOKUP(Tabelle10[[#This Row],[Rank]],Stammdaten[[Rank Verteilung Krümmung]:[Verteilung Krümmung]],2,FALSE)</f>
        <v>#N/A</v>
      </c>
      <c r="Z1379">
        <v>1370</v>
      </c>
      <c r="AA1379" t="e">
        <f>INDEX(Stammdaten[Ovalität (']0,1'])],MATCH(Tabelle1014[[#This Row],[Rank]],Stammdaten[Rank Verteilung Ovalität],0))</f>
        <v>#N/A</v>
      </c>
      <c r="AB1379" t="e">
        <f>VLOOKUP(Tabelle1014[[#This Row],[Rank]],Stammdaten[[Rank Verteilung Ovalität]:[Verteilung Ovalität]],2,FALSE)</f>
        <v>#N/A</v>
      </c>
    </row>
    <row r="1380" spans="5:28" x14ac:dyDescent="0.35">
      <c r="E1380">
        <v>1371</v>
      </c>
      <c r="F1380" t="e">
        <f>INDEX(Stammdaten[D Mitte mit Rinde (mm)],MATCH(Tabelle8[[#This Row],[Rank]],Stammdaten[Rank Verteilung D Mitte mit Rinde],0))</f>
        <v>#N/A</v>
      </c>
      <c r="G1380" t="e">
        <f>VLOOKUP(Tabelle8[[#This Row],[Rank]],Stammdaten[[Rank Verteilung D Mitte mit Rinde]:[Verteilung D Mitte mit Rinde]],2,FALSE)</f>
        <v>#N/A</v>
      </c>
      <c r="L1380">
        <v>1371</v>
      </c>
      <c r="M1380" t="e">
        <f>INDEX(Stammdaten[Abholzigkeit (mm/lfm)],MATCH(Tabelle9[[#This Row],[Rank]],Stammdaten[Rank Verteilung Abholzigkeit],0))</f>
        <v>#N/A</v>
      </c>
      <c r="N1380" t="e">
        <f>VLOOKUP(Tabelle9[[#This Row],[Rank]],Stammdaten[[Rank Verteilung Abholzigkeit]:[Verteilung Abholzigkeit]],2,FALSE)</f>
        <v>#N/A</v>
      </c>
      <c r="S1380">
        <v>1371</v>
      </c>
      <c r="T1380" t="e">
        <f>INDEX(Stammdaten[Krümmung (mm/lfm)],MATCH(Tabelle10[[#This Row],[Rank]],Stammdaten[Rank Verteilung Krümmung],0))</f>
        <v>#N/A</v>
      </c>
      <c r="U1380" t="e">
        <f>VLOOKUP(Tabelle10[[#This Row],[Rank]],Stammdaten[[Rank Verteilung Krümmung]:[Verteilung Krümmung]],2,FALSE)</f>
        <v>#N/A</v>
      </c>
      <c r="Z1380">
        <v>1371</v>
      </c>
      <c r="AA1380" t="e">
        <f>INDEX(Stammdaten[Ovalität (']0,1'])],MATCH(Tabelle1014[[#This Row],[Rank]],Stammdaten[Rank Verteilung Ovalität],0))</f>
        <v>#N/A</v>
      </c>
      <c r="AB1380" t="e">
        <f>VLOOKUP(Tabelle1014[[#This Row],[Rank]],Stammdaten[[Rank Verteilung Ovalität]:[Verteilung Ovalität]],2,FALSE)</f>
        <v>#N/A</v>
      </c>
    </row>
    <row r="1381" spans="5:28" x14ac:dyDescent="0.35">
      <c r="E1381">
        <v>1372</v>
      </c>
      <c r="F1381" t="e">
        <f>INDEX(Stammdaten[D Mitte mit Rinde (mm)],MATCH(Tabelle8[[#This Row],[Rank]],Stammdaten[Rank Verteilung D Mitte mit Rinde],0))</f>
        <v>#N/A</v>
      </c>
      <c r="G1381" t="e">
        <f>VLOOKUP(Tabelle8[[#This Row],[Rank]],Stammdaten[[Rank Verteilung D Mitte mit Rinde]:[Verteilung D Mitte mit Rinde]],2,FALSE)</f>
        <v>#N/A</v>
      </c>
      <c r="L1381">
        <v>1372</v>
      </c>
      <c r="M1381" t="e">
        <f>INDEX(Stammdaten[Abholzigkeit (mm/lfm)],MATCH(Tabelle9[[#This Row],[Rank]],Stammdaten[Rank Verteilung Abholzigkeit],0))</f>
        <v>#N/A</v>
      </c>
      <c r="N1381" t="e">
        <f>VLOOKUP(Tabelle9[[#This Row],[Rank]],Stammdaten[[Rank Verteilung Abholzigkeit]:[Verteilung Abholzigkeit]],2,FALSE)</f>
        <v>#N/A</v>
      </c>
      <c r="S1381">
        <v>1372</v>
      </c>
      <c r="T1381" t="e">
        <f>INDEX(Stammdaten[Krümmung (mm/lfm)],MATCH(Tabelle10[[#This Row],[Rank]],Stammdaten[Rank Verteilung Krümmung],0))</f>
        <v>#N/A</v>
      </c>
      <c r="U1381" t="e">
        <f>VLOOKUP(Tabelle10[[#This Row],[Rank]],Stammdaten[[Rank Verteilung Krümmung]:[Verteilung Krümmung]],2,FALSE)</f>
        <v>#N/A</v>
      </c>
      <c r="Z1381">
        <v>1372</v>
      </c>
      <c r="AA1381" t="e">
        <f>INDEX(Stammdaten[Ovalität (']0,1'])],MATCH(Tabelle1014[[#This Row],[Rank]],Stammdaten[Rank Verteilung Ovalität],0))</f>
        <v>#N/A</v>
      </c>
      <c r="AB1381" t="e">
        <f>VLOOKUP(Tabelle1014[[#This Row],[Rank]],Stammdaten[[Rank Verteilung Ovalität]:[Verteilung Ovalität]],2,FALSE)</f>
        <v>#N/A</v>
      </c>
    </row>
    <row r="1382" spans="5:28" x14ac:dyDescent="0.35">
      <c r="E1382">
        <v>1373</v>
      </c>
      <c r="F1382" t="e">
        <f>INDEX(Stammdaten[D Mitte mit Rinde (mm)],MATCH(Tabelle8[[#This Row],[Rank]],Stammdaten[Rank Verteilung D Mitte mit Rinde],0))</f>
        <v>#N/A</v>
      </c>
      <c r="G1382" t="e">
        <f>VLOOKUP(Tabelle8[[#This Row],[Rank]],Stammdaten[[Rank Verteilung D Mitte mit Rinde]:[Verteilung D Mitte mit Rinde]],2,FALSE)</f>
        <v>#N/A</v>
      </c>
      <c r="L1382">
        <v>1373</v>
      </c>
      <c r="M1382" t="e">
        <f>INDEX(Stammdaten[Abholzigkeit (mm/lfm)],MATCH(Tabelle9[[#This Row],[Rank]],Stammdaten[Rank Verteilung Abholzigkeit],0))</f>
        <v>#N/A</v>
      </c>
      <c r="N1382" t="e">
        <f>VLOOKUP(Tabelle9[[#This Row],[Rank]],Stammdaten[[Rank Verteilung Abholzigkeit]:[Verteilung Abholzigkeit]],2,FALSE)</f>
        <v>#N/A</v>
      </c>
      <c r="S1382">
        <v>1373</v>
      </c>
      <c r="T1382" t="e">
        <f>INDEX(Stammdaten[Krümmung (mm/lfm)],MATCH(Tabelle10[[#This Row],[Rank]],Stammdaten[Rank Verteilung Krümmung],0))</f>
        <v>#N/A</v>
      </c>
      <c r="U1382" t="e">
        <f>VLOOKUP(Tabelle10[[#This Row],[Rank]],Stammdaten[[Rank Verteilung Krümmung]:[Verteilung Krümmung]],2,FALSE)</f>
        <v>#N/A</v>
      </c>
      <c r="Z1382">
        <v>1373</v>
      </c>
      <c r="AA1382" t="e">
        <f>INDEX(Stammdaten[Ovalität (']0,1'])],MATCH(Tabelle1014[[#This Row],[Rank]],Stammdaten[Rank Verteilung Ovalität],0))</f>
        <v>#N/A</v>
      </c>
      <c r="AB1382" t="e">
        <f>VLOOKUP(Tabelle1014[[#This Row],[Rank]],Stammdaten[[Rank Verteilung Ovalität]:[Verteilung Ovalität]],2,FALSE)</f>
        <v>#N/A</v>
      </c>
    </row>
    <row r="1383" spans="5:28" x14ac:dyDescent="0.35">
      <c r="E1383">
        <v>1374</v>
      </c>
      <c r="F1383" t="e">
        <f>INDEX(Stammdaten[D Mitte mit Rinde (mm)],MATCH(Tabelle8[[#This Row],[Rank]],Stammdaten[Rank Verteilung D Mitte mit Rinde],0))</f>
        <v>#N/A</v>
      </c>
      <c r="G1383" t="e">
        <f>VLOOKUP(Tabelle8[[#This Row],[Rank]],Stammdaten[[Rank Verteilung D Mitte mit Rinde]:[Verteilung D Mitte mit Rinde]],2,FALSE)</f>
        <v>#N/A</v>
      </c>
      <c r="L1383">
        <v>1374</v>
      </c>
      <c r="M1383" t="e">
        <f>INDEX(Stammdaten[Abholzigkeit (mm/lfm)],MATCH(Tabelle9[[#This Row],[Rank]],Stammdaten[Rank Verteilung Abholzigkeit],0))</f>
        <v>#N/A</v>
      </c>
      <c r="N1383" t="e">
        <f>VLOOKUP(Tabelle9[[#This Row],[Rank]],Stammdaten[[Rank Verteilung Abholzigkeit]:[Verteilung Abholzigkeit]],2,FALSE)</f>
        <v>#N/A</v>
      </c>
      <c r="S1383">
        <v>1374</v>
      </c>
      <c r="T1383" t="e">
        <f>INDEX(Stammdaten[Krümmung (mm/lfm)],MATCH(Tabelle10[[#This Row],[Rank]],Stammdaten[Rank Verteilung Krümmung],0))</f>
        <v>#N/A</v>
      </c>
      <c r="U1383" t="e">
        <f>VLOOKUP(Tabelle10[[#This Row],[Rank]],Stammdaten[[Rank Verteilung Krümmung]:[Verteilung Krümmung]],2,FALSE)</f>
        <v>#N/A</v>
      </c>
      <c r="Z1383">
        <v>1374</v>
      </c>
      <c r="AA1383" t="e">
        <f>INDEX(Stammdaten[Ovalität (']0,1'])],MATCH(Tabelle1014[[#This Row],[Rank]],Stammdaten[Rank Verteilung Ovalität],0))</f>
        <v>#N/A</v>
      </c>
      <c r="AB1383" t="e">
        <f>VLOOKUP(Tabelle1014[[#This Row],[Rank]],Stammdaten[[Rank Verteilung Ovalität]:[Verteilung Ovalität]],2,FALSE)</f>
        <v>#N/A</v>
      </c>
    </row>
    <row r="1384" spans="5:28" x14ac:dyDescent="0.35">
      <c r="E1384">
        <v>1375</v>
      </c>
      <c r="F1384" t="e">
        <f>INDEX(Stammdaten[D Mitte mit Rinde (mm)],MATCH(Tabelle8[[#This Row],[Rank]],Stammdaten[Rank Verteilung D Mitte mit Rinde],0))</f>
        <v>#N/A</v>
      </c>
      <c r="G1384" t="e">
        <f>VLOOKUP(Tabelle8[[#This Row],[Rank]],Stammdaten[[Rank Verteilung D Mitte mit Rinde]:[Verteilung D Mitte mit Rinde]],2,FALSE)</f>
        <v>#N/A</v>
      </c>
      <c r="L1384">
        <v>1375</v>
      </c>
      <c r="M1384" t="e">
        <f>INDEX(Stammdaten[Abholzigkeit (mm/lfm)],MATCH(Tabelle9[[#This Row],[Rank]],Stammdaten[Rank Verteilung Abholzigkeit],0))</f>
        <v>#N/A</v>
      </c>
      <c r="N1384" t="e">
        <f>VLOOKUP(Tabelle9[[#This Row],[Rank]],Stammdaten[[Rank Verteilung Abholzigkeit]:[Verteilung Abholzigkeit]],2,FALSE)</f>
        <v>#N/A</v>
      </c>
      <c r="S1384">
        <v>1375</v>
      </c>
      <c r="T1384" t="e">
        <f>INDEX(Stammdaten[Krümmung (mm/lfm)],MATCH(Tabelle10[[#This Row],[Rank]],Stammdaten[Rank Verteilung Krümmung],0))</f>
        <v>#N/A</v>
      </c>
      <c r="U1384" t="e">
        <f>VLOOKUP(Tabelle10[[#This Row],[Rank]],Stammdaten[[Rank Verteilung Krümmung]:[Verteilung Krümmung]],2,FALSE)</f>
        <v>#N/A</v>
      </c>
      <c r="Z1384">
        <v>1375</v>
      </c>
      <c r="AA1384" t="e">
        <f>INDEX(Stammdaten[Ovalität (']0,1'])],MATCH(Tabelle1014[[#This Row],[Rank]],Stammdaten[Rank Verteilung Ovalität],0))</f>
        <v>#N/A</v>
      </c>
      <c r="AB1384" t="e">
        <f>VLOOKUP(Tabelle1014[[#This Row],[Rank]],Stammdaten[[Rank Verteilung Ovalität]:[Verteilung Ovalität]],2,FALSE)</f>
        <v>#N/A</v>
      </c>
    </row>
    <row r="1385" spans="5:28" x14ac:dyDescent="0.35">
      <c r="E1385">
        <v>1376</v>
      </c>
      <c r="F1385" t="e">
        <f>INDEX(Stammdaten[D Mitte mit Rinde (mm)],MATCH(Tabelle8[[#This Row],[Rank]],Stammdaten[Rank Verteilung D Mitte mit Rinde],0))</f>
        <v>#N/A</v>
      </c>
      <c r="G1385" t="e">
        <f>VLOOKUP(Tabelle8[[#This Row],[Rank]],Stammdaten[[Rank Verteilung D Mitte mit Rinde]:[Verteilung D Mitte mit Rinde]],2,FALSE)</f>
        <v>#N/A</v>
      </c>
      <c r="L1385">
        <v>1376</v>
      </c>
      <c r="M1385" t="e">
        <f>INDEX(Stammdaten[Abholzigkeit (mm/lfm)],MATCH(Tabelle9[[#This Row],[Rank]],Stammdaten[Rank Verteilung Abholzigkeit],0))</f>
        <v>#N/A</v>
      </c>
      <c r="N1385" t="e">
        <f>VLOOKUP(Tabelle9[[#This Row],[Rank]],Stammdaten[[Rank Verteilung Abholzigkeit]:[Verteilung Abholzigkeit]],2,FALSE)</f>
        <v>#N/A</v>
      </c>
      <c r="S1385">
        <v>1376</v>
      </c>
      <c r="T1385" t="e">
        <f>INDEX(Stammdaten[Krümmung (mm/lfm)],MATCH(Tabelle10[[#This Row],[Rank]],Stammdaten[Rank Verteilung Krümmung],0))</f>
        <v>#N/A</v>
      </c>
      <c r="U1385" t="e">
        <f>VLOOKUP(Tabelle10[[#This Row],[Rank]],Stammdaten[[Rank Verteilung Krümmung]:[Verteilung Krümmung]],2,FALSE)</f>
        <v>#N/A</v>
      </c>
      <c r="Z1385">
        <v>1376</v>
      </c>
      <c r="AA1385" t="e">
        <f>INDEX(Stammdaten[Ovalität (']0,1'])],MATCH(Tabelle1014[[#This Row],[Rank]],Stammdaten[Rank Verteilung Ovalität],0))</f>
        <v>#N/A</v>
      </c>
      <c r="AB1385" t="e">
        <f>VLOOKUP(Tabelle1014[[#This Row],[Rank]],Stammdaten[[Rank Verteilung Ovalität]:[Verteilung Ovalität]],2,FALSE)</f>
        <v>#N/A</v>
      </c>
    </row>
    <row r="1386" spans="5:28" x14ac:dyDescent="0.35">
      <c r="E1386">
        <v>1377</v>
      </c>
      <c r="F1386" t="e">
        <f>INDEX(Stammdaten[D Mitte mit Rinde (mm)],MATCH(Tabelle8[[#This Row],[Rank]],Stammdaten[Rank Verteilung D Mitte mit Rinde],0))</f>
        <v>#N/A</v>
      </c>
      <c r="G1386" t="e">
        <f>VLOOKUP(Tabelle8[[#This Row],[Rank]],Stammdaten[[Rank Verteilung D Mitte mit Rinde]:[Verteilung D Mitte mit Rinde]],2,FALSE)</f>
        <v>#N/A</v>
      </c>
      <c r="L1386">
        <v>1377</v>
      </c>
      <c r="M1386" t="e">
        <f>INDEX(Stammdaten[Abholzigkeit (mm/lfm)],MATCH(Tabelle9[[#This Row],[Rank]],Stammdaten[Rank Verteilung Abholzigkeit],0))</f>
        <v>#N/A</v>
      </c>
      <c r="N1386" t="e">
        <f>VLOOKUP(Tabelle9[[#This Row],[Rank]],Stammdaten[[Rank Verteilung Abholzigkeit]:[Verteilung Abholzigkeit]],2,FALSE)</f>
        <v>#N/A</v>
      </c>
      <c r="S1386">
        <v>1377</v>
      </c>
      <c r="T1386" t="e">
        <f>INDEX(Stammdaten[Krümmung (mm/lfm)],MATCH(Tabelle10[[#This Row],[Rank]],Stammdaten[Rank Verteilung Krümmung],0))</f>
        <v>#N/A</v>
      </c>
      <c r="U1386" t="e">
        <f>VLOOKUP(Tabelle10[[#This Row],[Rank]],Stammdaten[[Rank Verteilung Krümmung]:[Verteilung Krümmung]],2,FALSE)</f>
        <v>#N/A</v>
      </c>
      <c r="Z1386">
        <v>1377</v>
      </c>
      <c r="AA1386" t="e">
        <f>INDEX(Stammdaten[Ovalität (']0,1'])],MATCH(Tabelle1014[[#This Row],[Rank]],Stammdaten[Rank Verteilung Ovalität],0))</f>
        <v>#N/A</v>
      </c>
      <c r="AB1386" t="e">
        <f>VLOOKUP(Tabelle1014[[#This Row],[Rank]],Stammdaten[[Rank Verteilung Ovalität]:[Verteilung Ovalität]],2,FALSE)</f>
        <v>#N/A</v>
      </c>
    </row>
    <row r="1387" spans="5:28" x14ac:dyDescent="0.35">
      <c r="E1387">
        <v>1378</v>
      </c>
      <c r="F1387" t="e">
        <f>INDEX(Stammdaten[D Mitte mit Rinde (mm)],MATCH(Tabelle8[[#This Row],[Rank]],Stammdaten[Rank Verteilung D Mitte mit Rinde],0))</f>
        <v>#N/A</v>
      </c>
      <c r="G1387" t="e">
        <f>VLOOKUP(Tabelle8[[#This Row],[Rank]],Stammdaten[[Rank Verteilung D Mitte mit Rinde]:[Verteilung D Mitte mit Rinde]],2,FALSE)</f>
        <v>#N/A</v>
      </c>
      <c r="L1387">
        <v>1378</v>
      </c>
      <c r="M1387" t="e">
        <f>INDEX(Stammdaten[Abholzigkeit (mm/lfm)],MATCH(Tabelle9[[#This Row],[Rank]],Stammdaten[Rank Verteilung Abholzigkeit],0))</f>
        <v>#N/A</v>
      </c>
      <c r="N1387" t="e">
        <f>VLOOKUP(Tabelle9[[#This Row],[Rank]],Stammdaten[[Rank Verteilung Abholzigkeit]:[Verteilung Abholzigkeit]],2,FALSE)</f>
        <v>#N/A</v>
      </c>
      <c r="S1387">
        <v>1378</v>
      </c>
      <c r="T1387" t="e">
        <f>INDEX(Stammdaten[Krümmung (mm/lfm)],MATCH(Tabelle10[[#This Row],[Rank]],Stammdaten[Rank Verteilung Krümmung],0))</f>
        <v>#N/A</v>
      </c>
      <c r="U1387" t="e">
        <f>VLOOKUP(Tabelle10[[#This Row],[Rank]],Stammdaten[[Rank Verteilung Krümmung]:[Verteilung Krümmung]],2,FALSE)</f>
        <v>#N/A</v>
      </c>
      <c r="Z1387">
        <v>1378</v>
      </c>
      <c r="AA1387" t="e">
        <f>INDEX(Stammdaten[Ovalität (']0,1'])],MATCH(Tabelle1014[[#This Row],[Rank]],Stammdaten[Rank Verteilung Ovalität],0))</f>
        <v>#N/A</v>
      </c>
      <c r="AB1387" t="e">
        <f>VLOOKUP(Tabelle1014[[#This Row],[Rank]],Stammdaten[[Rank Verteilung Ovalität]:[Verteilung Ovalität]],2,FALSE)</f>
        <v>#N/A</v>
      </c>
    </row>
    <row r="1388" spans="5:28" x14ac:dyDescent="0.35">
      <c r="E1388">
        <v>1379</v>
      </c>
      <c r="F1388" t="e">
        <f>INDEX(Stammdaten[D Mitte mit Rinde (mm)],MATCH(Tabelle8[[#This Row],[Rank]],Stammdaten[Rank Verteilung D Mitte mit Rinde],0))</f>
        <v>#N/A</v>
      </c>
      <c r="G1388" t="e">
        <f>VLOOKUP(Tabelle8[[#This Row],[Rank]],Stammdaten[[Rank Verteilung D Mitte mit Rinde]:[Verteilung D Mitte mit Rinde]],2,FALSE)</f>
        <v>#N/A</v>
      </c>
      <c r="L1388">
        <v>1379</v>
      </c>
      <c r="M1388" t="e">
        <f>INDEX(Stammdaten[Abholzigkeit (mm/lfm)],MATCH(Tabelle9[[#This Row],[Rank]],Stammdaten[Rank Verteilung Abholzigkeit],0))</f>
        <v>#N/A</v>
      </c>
      <c r="N1388" t="e">
        <f>VLOOKUP(Tabelle9[[#This Row],[Rank]],Stammdaten[[Rank Verteilung Abholzigkeit]:[Verteilung Abholzigkeit]],2,FALSE)</f>
        <v>#N/A</v>
      </c>
      <c r="S1388">
        <v>1379</v>
      </c>
      <c r="T1388" t="e">
        <f>INDEX(Stammdaten[Krümmung (mm/lfm)],MATCH(Tabelle10[[#This Row],[Rank]],Stammdaten[Rank Verteilung Krümmung],0))</f>
        <v>#N/A</v>
      </c>
      <c r="U1388" t="e">
        <f>VLOOKUP(Tabelle10[[#This Row],[Rank]],Stammdaten[[Rank Verteilung Krümmung]:[Verteilung Krümmung]],2,FALSE)</f>
        <v>#N/A</v>
      </c>
      <c r="Z1388">
        <v>1379</v>
      </c>
      <c r="AA1388" t="e">
        <f>INDEX(Stammdaten[Ovalität (']0,1'])],MATCH(Tabelle1014[[#This Row],[Rank]],Stammdaten[Rank Verteilung Ovalität],0))</f>
        <v>#N/A</v>
      </c>
      <c r="AB1388" t="e">
        <f>VLOOKUP(Tabelle1014[[#This Row],[Rank]],Stammdaten[[Rank Verteilung Ovalität]:[Verteilung Ovalität]],2,FALSE)</f>
        <v>#N/A</v>
      </c>
    </row>
    <row r="1389" spans="5:28" x14ac:dyDescent="0.35">
      <c r="E1389">
        <v>1380</v>
      </c>
      <c r="F1389" t="e">
        <f>INDEX(Stammdaten[D Mitte mit Rinde (mm)],MATCH(Tabelle8[[#This Row],[Rank]],Stammdaten[Rank Verteilung D Mitte mit Rinde],0))</f>
        <v>#N/A</v>
      </c>
      <c r="G1389" t="e">
        <f>VLOOKUP(Tabelle8[[#This Row],[Rank]],Stammdaten[[Rank Verteilung D Mitte mit Rinde]:[Verteilung D Mitte mit Rinde]],2,FALSE)</f>
        <v>#N/A</v>
      </c>
      <c r="L1389">
        <v>1380</v>
      </c>
      <c r="M1389" t="e">
        <f>INDEX(Stammdaten[Abholzigkeit (mm/lfm)],MATCH(Tabelle9[[#This Row],[Rank]],Stammdaten[Rank Verteilung Abholzigkeit],0))</f>
        <v>#N/A</v>
      </c>
      <c r="N1389" t="e">
        <f>VLOOKUP(Tabelle9[[#This Row],[Rank]],Stammdaten[[Rank Verteilung Abholzigkeit]:[Verteilung Abholzigkeit]],2,FALSE)</f>
        <v>#N/A</v>
      </c>
      <c r="S1389">
        <v>1380</v>
      </c>
      <c r="T1389" t="e">
        <f>INDEX(Stammdaten[Krümmung (mm/lfm)],MATCH(Tabelle10[[#This Row],[Rank]],Stammdaten[Rank Verteilung Krümmung],0))</f>
        <v>#N/A</v>
      </c>
      <c r="U1389" t="e">
        <f>VLOOKUP(Tabelle10[[#This Row],[Rank]],Stammdaten[[Rank Verteilung Krümmung]:[Verteilung Krümmung]],2,FALSE)</f>
        <v>#N/A</v>
      </c>
      <c r="Z1389">
        <v>1380</v>
      </c>
      <c r="AA1389" t="e">
        <f>INDEX(Stammdaten[Ovalität (']0,1'])],MATCH(Tabelle1014[[#This Row],[Rank]],Stammdaten[Rank Verteilung Ovalität],0))</f>
        <v>#N/A</v>
      </c>
      <c r="AB1389" t="e">
        <f>VLOOKUP(Tabelle1014[[#This Row],[Rank]],Stammdaten[[Rank Verteilung Ovalität]:[Verteilung Ovalität]],2,FALSE)</f>
        <v>#N/A</v>
      </c>
    </row>
    <row r="1390" spans="5:28" x14ac:dyDescent="0.35">
      <c r="E1390">
        <v>1381</v>
      </c>
      <c r="F1390" t="e">
        <f>INDEX(Stammdaten[D Mitte mit Rinde (mm)],MATCH(Tabelle8[[#This Row],[Rank]],Stammdaten[Rank Verteilung D Mitte mit Rinde],0))</f>
        <v>#N/A</v>
      </c>
      <c r="G1390" t="e">
        <f>VLOOKUP(Tabelle8[[#This Row],[Rank]],Stammdaten[[Rank Verteilung D Mitte mit Rinde]:[Verteilung D Mitte mit Rinde]],2,FALSE)</f>
        <v>#N/A</v>
      </c>
      <c r="L1390">
        <v>1381</v>
      </c>
      <c r="M1390" t="e">
        <f>INDEX(Stammdaten[Abholzigkeit (mm/lfm)],MATCH(Tabelle9[[#This Row],[Rank]],Stammdaten[Rank Verteilung Abholzigkeit],0))</f>
        <v>#N/A</v>
      </c>
      <c r="N1390" t="e">
        <f>VLOOKUP(Tabelle9[[#This Row],[Rank]],Stammdaten[[Rank Verteilung Abholzigkeit]:[Verteilung Abholzigkeit]],2,FALSE)</f>
        <v>#N/A</v>
      </c>
      <c r="S1390">
        <v>1381</v>
      </c>
      <c r="T1390" t="e">
        <f>INDEX(Stammdaten[Krümmung (mm/lfm)],MATCH(Tabelle10[[#This Row],[Rank]],Stammdaten[Rank Verteilung Krümmung],0))</f>
        <v>#N/A</v>
      </c>
      <c r="U1390" t="e">
        <f>VLOOKUP(Tabelle10[[#This Row],[Rank]],Stammdaten[[Rank Verteilung Krümmung]:[Verteilung Krümmung]],2,FALSE)</f>
        <v>#N/A</v>
      </c>
      <c r="Z1390">
        <v>1381</v>
      </c>
      <c r="AA1390" t="e">
        <f>INDEX(Stammdaten[Ovalität (']0,1'])],MATCH(Tabelle1014[[#This Row],[Rank]],Stammdaten[Rank Verteilung Ovalität],0))</f>
        <v>#N/A</v>
      </c>
      <c r="AB1390" t="e">
        <f>VLOOKUP(Tabelle1014[[#This Row],[Rank]],Stammdaten[[Rank Verteilung Ovalität]:[Verteilung Ovalität]],2,FALSE)</f>
        <v>#N/A</v>
      </c>
    </row>
    <row r="1391" spans="5:28" x14ac:dyDescent="0.35">
      <c r="E1391">
        <v>1382</v>
      </c>
      <c r="F1391" t="e">
        <f>INDEX(Stammdaten[D Mitte mit Rinde (mm)],MATCH(Tabelle8[[#This Row],[Rank]],Stammdaten[Rank Verteilung D Mitte mit Rinde],0))</f>
        <v>#N/A</v>
      </c>
      <c r="G1391" t="e">
        <f>VLOOKUP(Tabelle8[[#This Row],[Rank]],Stammdaten[[Rank Verteilung D Mitte mit Rinde]:[Verteilung D Mitte mit Rinde]],2,FALSE)</f>
        <v>#N/A</v>
      </c>
      <c r="L1391">
        <v>1382</v>
      </c>
      <c r="M1391" t="e">
        <f>INDEX(Stammdaten[Abholzigkeit (mm/lfm)],MATCH(Tabelle9[[#This Row],[Rank]],Stammdaten[Rank Verteilung Abholzigkeit],0))</f>
        <v>#N/A</v>
      </c>
      <c r="N1391" t="e">
        <f>VLOOKUP(Tabelle9[[#This Row],[Rank]],Stammdaten[[Rank Verteilung Abholzigkeit]:[Verteilung Abholzigkeit]],2,FALSE)</f>
        <v>#N/A</v>
      </c>
      <c r="S1391">
        <v>1382</v>
      </c>
      <c r="T1391" t="e">
        <f>INDEX(Stammdaten[Krümmung (mm/lfm)],MATCH(Tabelle10[[#This Row],[Rank]],Stammdaten[Rank Verteilung Krümmung],0))</f>
        <v>#N/A</v>
      </c>
      <c r="U1391" t="e">
        <f>VLOOKUP(Tabelle10[[#This Row],[Rank]],Stammdaten[[Rank Verteilung Krümmung]:[Verteilung Krümmung]],2,FALSE)</f>
        <v>#N/A</v>
      </c>
      <c r="Z1391">
        <v>1382</v>
      </c>
      <c r="AA1391" t="e">
        <f>INDEX(Stammdaten[Ovalität (']0,1'])],MATCH(Tabelle1014[[#This Row],[Rank]],Stammdaten[Rank Verteilung Ovalität],0))</f>
        <v>#N/A</v>
      </c>
      <c r="AB1391" t="e">
        <f>VLOOKUP(Tabelle1014[[#This Row],[Rank]],Stammdaten[[Rank Verteilung Ovalität]:[Verteilung Ovalität]],2,FALSE)</f>
        <v>#N/A</v>
      </c>
    </row>
    <row r="1392" spans="5:28" x14ac:dyDescent="0.35">
      <c r="E1392">
        <v>1383</v>
      </c>
      <c r="F1392" t="e">
        <f>INDEX(Stammdaten[D Mitte mit Rinde (mm)],MATCH(Tabelle8[[#This Row],[Rank]],Stammdaten[Rank Verteilung D Mitte mit Rinde],0))</f>
        <v>#N/A</v>
      </c>
      <c r="G1392" t="e">
        <f>VLOOKUP(Tabelle8[[#This Row],[Rank]],Stammdaten[[Rank Verteilung D Mitte mit Rinde]:[Verteilung D Mitte mit Rinde]],2,FALSE)</f>
        <v>#N/A</v>
      </c>
      <c r="L1392">
        <v>1383</v>
      </c>
      <c r="M1392" t="e">
        <f>INDEX(Stammdaten[Abholzigkeit (mm/lfm)],MATCH(Tabelle9[[#This Row],[Rank]],Stammdaten[Rank Verteilung Abholzigkeit],0))</f>
        <v>#N/A</v>
      </c>
      <c r="N1392" t="e">
        <f>VLOOKUP(Tabelle9[[#This Row],[Rank]],Stammdaten[[Rank Verteilung Abholzigkeit]:[Verteilung Abholzigkeit]],2,FALSE)</f>
        <v>#N/A</v>
      </c>
      <c r="S1392">
        <v>1383</v>
      </c>
      <c r="T1392" t="e">
        <f>INDEX(Stammdaten[Krümmung (mm/lfm)],MATCH(Tabelle10[[#This Row],[Rank]],Stammdaten[Rank Verteilung Krümmung],0))</f>
        <v>#N/A</v>
      </c>
      <c r="U1392" t="e">
        <f>VLOOKUP(Tabelle10[[#This Row],[Rank]],Stammdaten[[Rank Verteilung Krümmung]:[Verteilung Krümmung]],2,FALSE)</f>
        <v>#N/A</v>
      </c>
      <c r="Z1392">
        <v>1383</v>
      </c>
      <c r="AA1392" t="e">
        <f>INDEX(Stammdaten[Ovalität (']0,1'])],MATCH(Tabelle1014[[#This Row],[Rank]],Stammdaten[Rank Verteilung Ovalität],0))</f>
        <v>#N/A</v>
      </c>
      <c r="AB1392" t="e">
        <f>VLOOKUP(Tabelle1014[[#This Row],[Rank]],Stammdaten[[Rank Verteilung Ovalität]:[Verteilung Ovalität]],2,FALSE)</f>
        <v>#N/A</v>
      </c>
    </row>
    <row r="1393" spans="5:28" x14ac:dyDescent="0.35">
      <c r="E1393">
        <v>1384</v>
      </c>
      <c r="F1393" t="e">
        <f>INDEX(Stammdaten[D Mitte mit Rinde (mm)],MATCH(Tabelle8[[#This Row],[Rank]],Stammdaten[Rank Verteilung D Mitte mit Rinde],0))</f>
        <v>#N/A</v>
      </c>
      <c r="G1393" t="e">
        <f>VLOOKUP(Tabelle8[[#This Row],[Rank]],Stammdaten[[Rank Verteilung D Mitte mit Rinde]:[Verteilung D Mitte mit Rinde]],2,FALSE)</f>
        <v>#N/A</v>
      </c>
      <c r="L1393">
        <v>1384</v>
      </c>
      <c r="M1393" t="e">
        <f>INDEX(Stammdaten[Abholzigkeit (mm/lfm)],MATCH(Tabelle9[[#This Row],[Rank]],Stammdaten[Rank Verteilung Abholzigkeit],0))</f>
        <v>#N/A</v>
      </c>
      <c r="N1393" t="e">
        <f>VLOOKUP(Tabelle9[[#This Row],[Rank]],Stammdaten[[Rank Verteilung Abholzigkeit]:[Verteilung Abholzigkeit]],2,FALSE)</f>
        <v>#N/A</v>
      </c>
      <c r="S1393">
        <v>1384</v>
      </c>
      <c r="T1393" t="e">
        <f>INDEX(Stammdaten[Krümmung (mm/lfm)],MATCH(Tabelle10[[#This Row],[Rank]],Stammdaten[Rank Verteilung Krümmung],0))</f>
        <v>#N/A</v>
      </c>
      <c r="U1393" t="e">
        <f>VLOOKUP(Tabelle10[[#This Row],[Rank]],Stammdaten[[Rank Verteilung Krümmung]:[Verteilung Krümmung]],2,FALSE)</f>
        <v>#N/A</v>
      </c>
      <c r="Z1393">
        <v>1384</v>
      </c>
      <c r="AA1393" t="e">
        <f>INDEX(Stammdaten[Ovalität (']0,1'])],MATCH(Tabelle1014[[#This Row],[Rank]],Stammdaten[Rank Verteilung Ovalität],0))</f>
        <v>#N/A</v>
      </c>
      <c r="AB1393" t="e">
        <f>VLOOKUP(Tabelle1014[[#This Row],[Rank]],Stammdaten[[Rank Verteilung Ovalität]:[Verteilung Ovalität]],2,FALSE)</f>
        <v>#N/A</v>
      </c>
    </row>
    <row r="1394" spans="5:28" x14ac:dyDescent="0.35">
      <c r="E1394">
        <v>1385</v>
      </c>
      <c r="F1394" t="e">
        <f>INDEX(Stammdaten[D Mitte mit Rinde (mm)],MATCH(Tabelle8[[#This Row],[Rank]],Stammdaten[Rank Verteilung D Mitte mit Rinde],0))</f>
        <v>#N/A</v>
      </c>
      <c r="G1394" t="e">
        <f>VLOOKUP(Tabelle8[[#This Row],[Rank]],Stammdaten[[Rank Verteilung D Mitte mit Rinde]:[Verteilung D Mitte mit Rinde]],2,FALSE)</f>
        <v>#N/A</v>
      </c>
      <c r="L1394">
        <v>1385</v>
      </c>
      <c r="M1394" t="e">
        <f>INDEX(Stammdaten[Abholzigkeit (mm/lfm)],MATCH(Tabelle9[[#This Row],[Rank]],Stammdaten[Rank Verteilung Abholzigkeit],0))</f>
        <v>#N/A</v>
      </c>
      <c r="N1394" t="e">
        <f>VLOOKUP(Tabelle9[[#This Row],[Rank]],Stammdaten[[Rank Verteilung Abholzigkeit]:[Verteilung Abholzigkeit]],2,FALSE)</f>
        <v>#N/A</v>
      </c>
      <c r="S1394">
        <v>1385</v>
      </c>
      <c r="T1394" t="e">
        <f>INDEX(Stammdaten[Krümmung (mm/lfm)],MATCH(Tabelle10[[#This Row],[Rank]],Stammdaten[Rank Verteilung Krümmung],0))</f>
        <v>#N/A</v>
      </c>
      <c r="U1394" t="e">
        <f>VLOOKUP(Tabelle10[[#This Row],[Rank]],Stammdaten[[Rank Verteilung Krümmung]:[Verteilung Krümmung]],2,FALSE)</f>
        <v>#N/A</v>
      </c>
      <c r="Z1394">
        <v>1385</v>
      </c>
      <c r="AA1394" t="e">
        <f>INDEX(Stammdaten[Ovalität (']0,1'])],MATCH(Tabelle1014[[#This Row],[Rank]],Stammdaten[Rank Verteilung Ovalität],0))</f>
        <v>#N/A</v>
      </c>
      <c r="AB1394" t="e">
        <f>VLOOKUP(Tabelle1014[[#This Row],[Rank]],Stammdaten[[Rank Verteilung Ovalität]:[Verteilung Ovalität]],2,FALSE)</f>
        <v>#N/A</v>
      </c>
    </row>
    <row r="1395" spans="5:28" x14ac:dyDescent="0.35">
      <c r="E1395">
        <v>1386</v>
      </c>
      <c r="F1395" t="e">
        <f>INDEX(Stammdaten[D Mitte mit Rinde (mm)],MATCH(Tabelle8[[#This Row],[Rank]],Stammdaten[Rank Verteilung D Mitte mit Rinde],0))</f>
        <v>#N/A</v>
      </c>
      <c r="G1395" t="e">
        <f>VLOOKUP(Tabelle8[[#This Row],[Rank]],Stammdaten[[Rank Verteilung D Mitte mit Rinde]:[Verteilung D Mitte mit Rinde]],2,FALSE)</f>
        <v>#N/A</v>
      </c>
      <c r="L1395">
        <v>1386</v>
      </c>
      <c r="M1395" t="e">
        <f>INDEX(Stammdaten[Abholzigkeit (mm/lfm)],MATCH(Tabelle9[[#This Row],[Rank]],Stammdaten[Rank Verteilung Abholzigkeit],0))</f>
        <v>#N/A</v>
      </c>
      <c r="N1395" t="e">
        <f>VLOOKUP(Tabelle9[[#This Row],[Rank]],Stammdaten[[Rank Verteilung Abholzigkeit]:[Verteilung Abholzigkeit]],2,FALSE)</f>
        <v>#N/A</v>
      </c>
      <c r="S1395">
        <v>1386</v>
      </c>
      <c r="T1395" t="e">
        <f>INDEX(Stammdaten[Krümmung (mm/lfm)],MATCH(Tabelle10[[#This Row],[Rank]],Stammdaten[Rank Verteilung Krümmung],0))</f>
        <v>#N/A</v>
      </c>
      <c r="U1395" t="e">
        <f>VLOOKUP(Tabelle10[[#This Row],[Rank]],Stammdaten[[Rank Verteilung Krümmung]:[Verteilung Krümmung]],2,FALSE)</f>
        <v>#N/A</v>
      </c>
      <c r="Z1395">
        <v>1386</v>
      </c>
      <c r="AA1395" t="e">
        <f>INDEX(Stammdaten[Ovalität (']0,1'])],MATCH(Tabelle1014[[#This Row],[Rank]],Stammdaten[Rank Verteilung Ovalität],0))</f>
        <v>#N/A</v>
      </c>
      <c r="AB1395" t="e">
        <f>VLOOKUP(Tabelle1014[[#This Row],[Rank]],Stammdaten[[Rank Verteilung Ovalität]:[Verteilung Ovalität]],2,FALSE)</f>
        <v>#N/A</v>
      </c>
    </row>
    <row r="1396" spans="5:28" x14ac:dyDescent="0.35">
      <c r="E1396">
        <v>1387</v>
      </c>
      <c r="F1396" t="e">
        <f>INDEX(Stammdaten[D Mitte mit Rinde (mm)],MATCH(Tabelle8[[#This Row],[Rank]],Stammdaten[Rank Verteilung D Mitte mit Rinde],0))</f>
        <v>#N/A</v>
      </c>
      <c r="G1396" t="e">
        <f>VLOOKUP(Tabelle8[[#This Row],[Rank]],Stammdaten[[Rank Verteilung D Mitte mit Rinde]:[Verteilung D Mitte mit Rinde]],2,FALSE)</f>
        <v>#N/A</v>
      </c>
      <c r="L1396">
        <v>1387</v>
      </c>
      <c r="M1396" t="e">
        <f>INDEX(Stammdaten[Abholzigkeit (mm/lfm)],MATCH(Tabelle9[[#This Row],[Rank]],Stammdaten[Rank Verteilung Abholzigkeit],0))</f>
        <v>#N/A</v>
      </c>
      <c r="N1396" t="e">
        <f>VLOOKUP(Tabelle9[[#This Row],[Rank]],Stammdaten[[Rank Verteilung Abholzigkeit]:[Verteilung Abholzigkeit]],2,FALSE)</f>
        <v>#N/A</v>
      </c>
      <c r="S1396">
        <v>1387</v>
      </c>
      <c r="T1396" t="e">
        <f>INDEX(Stammdaten[Krümmung (mm/lfm)],MATCH(Tabelle10[[#This Row],[Rank]],Stammdaten[Rank Verteilung Krümmung],0))</f>
        <v>#N/A</v>
      </c>
      <c r="U1396" t="e">
        <f>VLOOKUP(Tabelle10[[#This Row],[Rank]],Stammdaten[[Rank Verteilung Krümmung]:[Verteilung Krümmung]],2,FALSE)</f>
        <v>#N/A</v>
      </c>
      <c r="Z1396">
        <v>1387</v>
      </c>
      <c r="AA1396" t="e">
        <f>INDEX(Stammdaten[Ovalität (']0,1'])],MATCH(Tabelle1014[[#This Row],[Rank]],Stammdaten[Rank Verteilung Ovalität],0))</f>
        <v>#N/A</v>
      </c>
      <c r="AB1396" t="e">
        <f>VLOOKUP(Tabelle1014[[#This Row],[Rank]],Stammdaten[[Rank Verteilung Ovalität]:[Verteilung Ovalität]],2,FALSE)</f>
        <v>#N/A</v>
      </c>
    </row>
    <row r="1397" spans="5:28" x14ac:dyDescent="0.35">
      <c r="E1397">
        <v>1388</v>
      </c>
      <c r="F1397" t="e">
        <f>INDEX(Stammdaten[D Mitte mit Rinde (mm)],MATCH(Tabelle8[[#This Row],[Rank]],Stammdaten[Rank Verteilung D Mitte mit Rinde],0))</f>
        <v>#N/A</v>
      </c>
      <c r="G1397" t="e">
        <f>VLOOKUP(Tabelle8[[#This Row],[Rank]],Stammdaten[[Rank Verteilung D Mitte mit Rinde]:[Verteilung D Mitte mit Rinde]],2,FALSE)</f>
        <v>#N/A</v>
      </c>
      <c r="L1397">
        <v>1388</v>
      </c>
      <c r="M1397" t="e">
        <f>INDEX(Stammdaten[Abholzigkeit (mm/lfm)],MATCH(Tabelle9[[#This Row],[Rank]],Stammdaten[Rank Verteilung Abholzigkeit],0))</f>
        <v>#N/A</v>
      </c>
      <c r="N1397" t="e">
        <f>VLOOKUP(Tabelle9[[#This Row],[Rank]],Stammdaten[[Rank Verteilung Abholzigkeit]:[Verteilung Abholzigkeit]],2,FALSE)</f>
        <v>#N/A</v>
      </c>
      <c r="S1397">
        <v>1388</v>
      </c>
      <c r="T1397" t="e">
        <f>INDEX(Stammdaten[Krümmung (mm/lfm)],MATCH(Tabelle10[[#This Row],[Rank]],Stammdaten[Rank Verteilung Krümmung],0))</f>
        <v>#N/A</v>
      </c>
      <c r="U1397" t="e">
        <f>VLOOKUP(Tabelle10[[#This Row],[Rank]],Stammdaten[[Rank Verteilung Krümmung]:[Verteilung Krümmung]],2,FALSE)</f>
        <v>#N/A</v>
      </c>
      <c r="Z1397">
        <v>1388</v>
      </c>
      <c r="AA1397" t="e">
        <f>INDEX(Stammdaten[Ovalität (']0,1'])],MATCH(Tabelle1014[[#This Row],[Rank]],Stammdaten[Rank Verteilung Ovalität],0))</f>
        <v>#N/A</v>
      </c>
      <c r="AB1397" t="e">
        <f>VLOOKUP(Tabelle1014[[#This Row],[Rank]],Stammdaten[[Rank Verteilung Ovalität]:[Verteilung Ovalität]],2,FALSE)</f>
        <v>#N/A</v>
      </c>
    </row>
    <row r="1398" spans="5:28" x14ac:dyDescent="0.35">
      <c r="E1398">
        <v>1389</v>
      </c>
      <c r="F1398" t="e">
        <f>INDEX(Stammdaten[D Mitte mit Rinde (mm)],MATCH(Tabelle8[[#This Row],[Rank]],Stammdaten[Rank Verteilung D Mitte mit Rinde],0))</f>
        <v>#N/A</v>
      </c>
      <c r="G1398" t="e">
        <f>VLOOKUP(Tabelle8[[#This Row],[Rank]],Stammdaten[[Rank Verteilung D Mitte mit Rinde]:[Verteilung D Mitte mit Rinde]],2,FALSE)</f>
        <v>#N/A</v>
      </c>
      <c r="L1398">
        <v>1389</v>
      </c>
      <c r="M1398" t="e">
        <f>INDEX(Stammdaten[Abholzigkeit (mm/lfm)],MATCH(Tabelle9[[#This Row],[Rank]],Stammdaten[Rank Verteilung Abholzigkeit],0))</f>
        <v>#N/A</v>
      </c>
      <c r="N1398" t="e">
        <f>VLOOKUP(Tabelle9[[#This Row],[Rank]],Stammdaten[[Rank Verteilung Abholzigkeit]:[Verteilung Abholzigkeit]],2,FALSE)</f>
        <v>#N/A</v>
      </c>
      <c r="S1398">
        <v>1389</v>
      </c>
      <c r="T1398" t="e">
        <f>INDEX(Stammdaten[Krümmung (mm/lfm)],MATCH(Tabelle10[[#This Row],[Rank]],Stammdaten[Rank Verteilung Krümmung],0))</f>
        <v>#N/A</v>
      </c>
      <c r="U1398" t="e">
        <f>VLOOKUP(Tabelle10[[#This Row],[Rank]],Stammdaten[[Rank Verteilung Krümmung]:[Verteilung Krümmung]],2,FALSE)</f>
        <v>#N/A</v>
      </c>
      <c r="Z1398">
        <v>1389</v>
      </c>
      <c r="AA1398" t="e">
        <f>INDEX(Stammdaten[Ovalität (']0,1'])],MATCH(Tabelle1014[[#This Row],[Rank]],Stammdaten[Rank Verteilung Ovalität],0))</f>
        <v>#N/A</v>
      </c>
      <c r="AB1398" t="e">
        <f>VLOOKUP(Tabelle1014[[#This Row],[Rank]],Stammdaten[[Rank Verteilung Ovalität]:[Verteilung Ovalität]],2,FALSE)</f>
        <v>#N/A</v>
      </c>
    </row>
    <row r="1399" spans="5:28" x14ac:dyDescent="0.35">
      <c r="E1399">
        <v>1390</v>
      </c>
      <c r="F1399" t="e">
        <f>INDEX(Stammdaten[D Mitte mit Rinde (mm)],MATCH(Tabelle8[[#This Row],[Rank]],Stammdaten[Rank Verteilung D Mitte mit Rinde],0))</f>
        <v>#N/A</v>
      </c>
      <c r="G1399" t="e">
        <f>VLOOKUP(Tabelle8[[#This Row],[Rank]],Stammdaten[[Rank Verteilung D Mitte mit Rinde]:[Verteilung D Mitte mit Rinde]],2,FALSE)</f>
        <v>#N/A</v>
      </c>
      <c r="L1399">
        <v>1390</v>
      </c>
      <c r="M1399" t="e">
        <f>INDEX(Stammdaten[Abholzigkeit (mm/lfm)],MATCH(Tabelle9[[#This Row],[Rank]],Stammdaten[Rank Verteilung Abholzigkeit],0))</f>
        <v>#N/A</v>
      </c>
      <c r="N1399" t="e">
        <f>VLOOKUP(Tabelle9[[#This Row],[Rank]],Stammdaten[[Rank Verteilung Abholzigkeit]:[Verteilung Abholzigkeit]],2,FALSE)</f>
        <v>#N/A</v>
      </c>
      <c r="S1399">
        <v>1390</v>
      </c>
      <c r="T1399" t="e">
        <f>INDEX(Stammdaten[Krümmung (mm/lfm)],MATCH(Tabelle10[[#This Row],[Rank]],Stammdaten[Rank Verteilung Krümmung],0))</f>
        <v>#N/A</v>
      </c>
      <c r="U1399" t="e">
        <f>VLOOKUP(Tabelle10[[#This Row],[Rank]],Stammdaten[[Rank Verteilung Krümmung]:[Verteilung Krümmung]],2,FALSE)</f>
        <v>#N/A</v>
      </c>
      <c r="Z1399">
        <v>1390</v>
      </c>
      <c r="AA1399" t="e">
        <f>INDEX(Stammdaten[Ovalität (']0,1'])],MATCH(Tabelle1014[[#This Row],[Rank]],Stammdaten[Rank Verteilung Ovalität],0))</f>
        <v>#N/A</v>
      </c>
      <c r="AB1399" t="e">
        <f>VLOOKUP(Tabelle1014[[#This Row],[Rank]],Stammdaten[[Rank Verteilung Ovalität]:[Verteilung Ovalität]],2,FALSE)</f>
        <v>#N/A</v>
      </c>
    </row>
    <row r="1400" spans="5:28" x14ac:dyDescent="0.35">
      <c r="E1400">
        <v>1391</v>
      </c>
      <c r="F1400" t="e">
        <f>INDEX(Stammdaten[D Mitte mit Rinde (mm)],MATCH(Tabelle8[[#This Row],[Rank]],Stammdaten[Rank Verteilung D Mitte mit Rinde],0))</f>
        <v>#N/A</v>
      </c>
      <c r="G1400" t="e">
        <f>VLOOKUP(Tabelle8[[#This Row],[Rank]],Stammdaten[[Rank Verteilung D Mitte mit Rinde]:[Verteilung D Mitte mit Rinde]],2,FALSE)</f>
        <v>#N/A</v>
      </c>
      <c r="L1400">
        <v>1391</v>
      </c>
      <c r="M1400" t="e">
        <f>INDEX(Stammdaten[Abholzigkeit (mm/lfm)],MATCH(Tabelle9[[#This Row],[Rank]],Stammdaten[Rank Verteilung Abholzigkeit],0))</f>
        <v>#N/A</v>
      </c>
      <c r="N1400" t="e">
        <f>VLOOKUP(Tabelle9[[#This Row],[Rank]],Stammdaten[[Rank Verteilung Abholzigkeit]:[Verteilung Abholzigkeit]],2,FALSE)</f>
        <v>#N/A</v>
      </c>
      <c r="S1400">
        <v>1391</v>
      </c>
      <c r="T1400" t="e">
        <f>INDEX(Stammdaten[Krümmung (mm/lfm)],MATCH(Tabelle10[[#This Row],[Rank]],Stammdaten[Rank Verteilung Krümmung],0))</f>
        <v>#N/A</v>
      </c>
      <c r="U1400" t="e">
        <f>VLOOKUP(Tabelle10[[#This Row],[Rank]],Stammdaten[[Rank Verteilung Krümmung]:[Verteilung Krümmung]],2,FALSE)</f>
        <v>#N/A</v>
      </c>
      <c r="Z1400">
        <v>1391</v>
      </c>
      <c r="AA1400" t="e">
        <f>INDEX(Stammdaten[Ovalität (']0,1'])],MATCH(Tabelle1014[[#This Row],[Rank]],Stammdaten[Rank Verteilung Ovalität],0))</f>
        <v>#N/A</v>
      </c>
      <c r="AB1400" t="e">
        <f>VLOOKUP(Tabelle1014[[#This Row],[Rank]],Stammdaten[[Rank Verteilung Ovalität]:[Verteilung Ovalität]],2,FALSE)</f>
        <v>#N/A</v>
      </c>
    </row>
    <row r="1401" spans="5:28" x14ac:dyDescent="0.35">
      <c r="E1401">
        <v>1392</v>
      </c>
      <c r="F1401" t="e">
        <f>INDEX(Stammdaten[D Mitte mit Rinde (mm)],MATCH(Tabelle8[[#This Row],[Rank]],Stammdaten[Rank Verteilung D Mitte mit Rinde],0))</f>
        <v>#N/A</v>
      </c>
      <c r="G1401" t="e">
        <f>VLOOKUP(Tabelle8[[#This Row],[Rank]],Stammdaten[[Rank Verteilung D Mitte mit Rinde]:[Verteilung D Mitte mit Rinde]],2,FALSE)</f>
        <v>#N/A</v>
      </c>
      <c r="L1401">
        <v>1392</v>
      </c>
      <c r="M1401" t="e">
        <f>INDEX(Stammdaten[Abholzigkeit (mm/lfm)],MATCH(Tabelle9[[#This Row],[Rank]],Stammdaten[Rank Verteilung Abholzigkeit],0))</f>
        <v>#N/A</v>
      </c>
      <c r="N1401" t="e">
        <f>VLOOKUP(Tabelle9[[#This Row],[Rank]],Stammdaten[[Rank Verteilung Abholzigkeit]:[Verteilung Abholzigkeit]],2,FALSE)</f>
        <v>#N/A</v>
      </c>
      <c r="S1401">
        <v>1392</v>
      </c>
      <c r="T1401" t="e">
        <f>INDEX(Stammdaten[Krümmung (mm/lfm)],MATCH(Tabelle10[[#This Row],[Rank]],Stammdaten[Rank Verteilung Krümmung],0))</f>
        <v>#N/A</v>
      </c>
      <c r="U1401" t="e">
        <f>VLOOKUP(Tabelle10[[#This Row],[Rank]],Stammdaten[[Rank Verteilung Krümmung]:[Verteilung Krümmung]],2,FALSE)</f>
        <v>#N/A</v>
      </c>
      <c r="Z1401">
        <v>1392</v>
      </c>
      <c r="AA1401" t="e">
        <f>INDEX(Stammdaten[Ovalität (']0,1'])],MATCH(Tabelle1014[[#This Row],[Rank]],Stammdaten[Rank Verteilung Ovalität],0))</f>
        <v>#N/A</v>
      </c>
      <c r="AB1401" t="e">
        <f>VLOOKUP(Tabelle1014[[#This Row],[Rank]],Stammdaten[[Rank Verteilung Ovalität]:[Verteilung Ovalität]],2,FALSE)</f>
        <v>#N/A</v>
      </c>
    </row>
    <row r="1402" spans="5:28" x14ac:dyDescent="0.35">
      <c r="E1402">
        <v>1393</v>
      </c>
      <c r="F1402" t="e">
        <f>INDEX(Stammdaten[D Mitte mit Rinde (mm)],MATCH(Tabelle8[[#This Row],[Rank]],Stammdaten[Rank Verteilung D Mitte mit Rinde],0))</f>
        <v>#N/A</v>
      </c>
      <c r="G1402" t="e">
        <f>VLOOKUP(Tabelle8[[#This Row],[Rank]],Stammdaten[[Rank Verteilung D Mitte mit Rinde]:[Verteilung D Mitte mit Rinde]],2,FALSE)</f>
        <v>#N/A</v>
      </c>
      <c r="L1402">
        <v>1393</v>
      </c>
      <c r="M1402" t="e">
        <f>INDEX(Stammdaten[Abholzigkeit (mm/lfm)],MATCH(Tabelle9[[#This Row],[Rank]],Stammdaten[Rank Verteilung Abholzigkeit],0))</f>
        <v>#N/A</v>
      </c>
      <c r="N1402" t="e">
        <f>VLOOKUP(Tabelle9[[#This Row],[Rank]],Stammdaten[[Rank Verteilung Abholzigkeit]:[Verteilung Abholzigkeit]],2,FALSE)</f>
        <v>#N/A</v>
      </c>
      <c r="S1402">
        <v>1393</v>
      </c>
      <c r="T1402" t="e">
        <f>INDEX(Stammdaten[Krümmung (mm/lfm)],MATCH(Tabelle10[[#This Row],[Rank]],Stammdaten[Rank Verteilung Krümmung],0))</f>
        <v>#N/A</v>
      </c>
      <c r="U1402" t="e">
        <f>VLOOKUP(Tabelle10[[#This Row],[Rank]],Stammdaten[[Rank Verteilung Krümmung]:[Verteilung Krümmung]],2,FALSE)</f>
        <v>#N/A</v>
      </c>
      <c r="Z1402">
        <v>1393</v>
      </c>
      <c r="AA1402" t="e">
        <f>INDEX(Stammdaten[Ovalität (']0,1'])],MATCH(Tabelle1014[[#This Row],[Rank]],Stammdaten[Rank Verteilung Ovalität],0))</f>
        <v>#N/A</v>
      </c>
      <c r="AB1402" t="e">
        <f>VLOOKUP(Tabelle1014[[#This Row],[Rank]],Stammdaten[[Rank Verteilung Ovalität]:[Verteilung Ovalität]],2,FALSE)</f>
        <v>#N/A</v>
      </c>
    </row>
    <row r="1403" spans="5:28" x14ac:dyDescent="0.35">
      <c r="E1403">
        <v>1394</v>
      </c>
      <c r="F1403" t="e">
        <f>INDEX(Stammdaten[D Mitte mit Rinde (mm)],MATCH(Tabelle8[[#This Row],[Rank]],Stammdaten[Rank Verteilung D Mitte mit Rinde],0))</f>
        <v>#N/A</v>
      </c>
      <c r="G1403" t="e">
        <f>VLOOKUP(Tabelle8[[#This Row],[Rank]],Stammdaten[[Rank Verteilung D Mitte mit Rinde]:[Verteilung D Mitte mit Rinde]],2,FALSE)</f>
        <v>#N/A</v>
      </c>
      <c r="L1403">
        <v>1394</v>
      </c>
      <c r="M1403" t="e">
        <f>INDEX(Stammdaten[Abholzigkeit (mm/lfm)],MATCH(Tabelle9[[#This Row],[Rank]],Stammdaten[Rank Verteilung Abholzigkeit],0))</f>
        <v>#N/A</v>
      </c>
      <c r="N1403" t="e">
        <f>VLOOKUP(Tabelle9[[#This Row],[Rank]],Stammdaten[[Rank Verteilung Abholzigkeit]:[Verteilung Abholzigkeit]],2,FALSE)</f>
        <v>#N/A</v>
      </c>
      <c r="S1403">
        <v>1394</v>
      </c>
      <c r="T1403" t="e">
        <f>INDEX(Stammdaten[Krümmung (mm/lfm)],MATCH(Tabelle10[[#This Row],[Rank]],Stammdaten[Rank Verteilung Krümmung],0))</f>
        <v>#N/A</v>
      </c>
      <c r="U1403" t="e">
        <f>VLOOKUP(Tabelle10[[#This Row],[Rank]],Stammdaten[[Rank Verteilung Krümmung]:[Verteilung Krümmung]],2,FALSE)</f>
        <v>#N/A</v>
      </c>
      <c r="Z1403">
        <v>1394</v>
      </c>
      <c r="AA1403" t="e">
        <f>INDEX(Stammdaten[Ovalität (']0,1'])],MATCH(Tabelle1014[[#This Row],[Rank]],Stammdaten[Rank Verteilung Ovalität],0))</f>
        <v>#N/A</v>
      </c>
      <c r="AB1403" t="e">
        <f>VLOOKUP(Tabelle1014[[#This Row],[Rank]],Stammdaten[[Rank Verteilung Ovalität]:[Verteilung Ovalität]],2,FALSE)</f>
        <v>#N/A</v>
      </c>
    </row>
    <row r="1404" spans="5:28" x14ac:dyDescent="0.35">
      <c r="E1404">
        <v>1395</v>
      </c>
      <c r="F1404" t="e">
        <f>INDEX(Stammdaten[D Mitte mit Rinde (mm)],MATCH(Tabelle8[[#This Row],[Rank]],Stammdaten[Rank Verteilung D Mitte mit Rinde],0))</f>
        <v>#N/A</v>
      </c>
      <c r="G1404" t="e">
        <f>VLOOKUP(Tabelle8[[#This Row],[Rank]],Stammdaten[[Rank Verteilung D Mitte mit Rinde]:[Verteilung D Mitte mit Rinde]],2,FALSE)</f>
        <v>#N/A</v>
      </c>
      <c r="L1404">
        <v>1395</v>
      </c>
      <c r="M1404" t="e">
        <f>INDEX(Stammdaten[Abholzigkeit (mm/lfm)],MATCH(Tabelle9[[#This Row],[Rank]],Stammdaten[Rank Verteilung Abholzigkeit],0))</f>
        <v>#N/A</v>
      </c>
      <c r="N1404" t="e">
        <f>VLOOKUP(Tabelle9[[#This Row],[Rank]],Stammdaten[[Rank Verteilung Abholzigkeit]:[Verteilung Abholzigkeit]],2,FALSE)</f>
        <v>#N/A</v>
      </c>
      <c r="S1404">
        <v>1395</v>
      </c>
      <c r="T1404" t="e">
        <f>INDEX(Stammdaten[Krümmung (mm/lfm)],MATCH(Tabelle10[[#This Row],[Rank]],Stammdaten[Rank Verteilung Krümmung],0))</f>
        <v>#N/A</v>
      </c>
      <c r="U1404" t="e">
        <f>VLOOKUP(Tabelle10[[#This Row],[Rank]],Stammdaten[[Rank Verteilung Krümmung]:[Verteilung Krümmung]],2,FALSE)</f>
        <v>#N/A</v>
      </c>
      <c r="Z1404">
        <v>1395</v>
      </c>
      <c r="AA1404" t="e">
        <f>INDEX(Stammdaten[Ovalität (']0,1'])],MATCH(Tabelle1014[[#This Row],[Rank]],Stammdaten[Rank Verteilung Ovalität],0))</f>
        <v>#N/A</v>
      </c>
      <c r="AB1404" t="e">
        <f>VLOOKUP(Tabelle1014[[#This Row],[Rank]],Stammdaten[[Rank Verteilung Ovalität]:[Verteilung Ovalität]],2,FALSE)</f>
        <v>#N/A</v>
      </c>
    </row>
    <row r="1405" spans="5:28" x14ac:dyDescent="0.35">
      <c r="E1405">
        <v>1396</v>
      </c>
      <c r="F1405" t="e">
        <f>INDEX(Stammdaten[D Mitte mit Rinde (mm)],MATCH(Tabelle8[[#This Row],[Rank]],Stammdaten[Rank Verteilung D Mitte mit Rinde],0))</f>
        <v>#N/A</v>
      </c>
      <c r="G1405" t="e">
        <f>VLOOKUP(Tabelle8[[#This Row],[Rank]],Stammdaten[[Rank Verteilung D Mitte mit Rinde]:[Verteilung D Mitte mit Rinde]],2,FALSE)</f>
        <v>#N/A</v>
      </c>
      <c r="L1405">
        <v>1396</v>
      </c>
      <c r="M1405" t="e">
        <f>INDEX(Stammdaten[Abholzigkeit (mm/lfm)],MATCH(Tabelle9[[#This Row],[Rank]],Stammdaten[Rank Verteilung Abholzigkeit],0))</f>
        <v>#N/A</v>
      </c>
      <c r="N1405" t="e">
        <f>VLOOKUP(Tabelle9[[#This Row],[Rank]],Stammdaten[[Rank Verteilung Abholzigkeit]:[Verteilung Abholzigkeit]],2,FALSE)</f>
        <v>#N/A</v>
      </c>
      <c r="S1405">
        <v>1396</v>
      </c>
      <c r="T1405" t="e">
        <f>INDEX(Stammdaten[Krümmung (mm/lfm)],MATCH(Tabelle10[[#This Row],[Rank]],Stammdaten[Rank Verteilung Krümmung],0))</f>
        <v>#N/A</v>
      </c>
      <c r="U1405" t="e">
        <f>VLOOKUP(Tabelle10[[#This Row],[Rank]],Stammdaten[[Rank Verteilung Krümmung]:[Verteilung Krümmung]],2,FALSE)</f>
        <v>#N/A</v>
      </c>
      <c r="Z1405">
        <v>1396</v>
      </c>
      <c r="AA1405" t="e">
        <f>INDEX(Stammdaten[Ovalität (']0,1'])],MATCH(Tabelle1014[[#This Row],[Rank]],Stammdaten[Rank Verteilung Ovalität],0))</f>
        <v>#N/A</v>
      </c>
      <c r="AB1405" t="e">
        <f>VLOOKUP(Tabelle1014[[#This Row],[Rank]],Stammdaten[[Rank Verteilung Ovalität]:[Verteilung Ovalität]],2,FALSE)</f>
        <v>#N/A</v>
      </c>
    </row>
    <row r="1406" spans="5:28" x14ac:dyDescent="0.35">
      <c r="E1406">
        <v>1397</v>
      </c>
      <c r="F1406" t="e">
        <f>INDEX(Stammdaten[D Mitte mit Rinde (mm)],MATCH(Tabelle8[[#This Row],[Rank]],Stammdaten[Rank Verteilung D Mitte mit Rinde],0))</f>
        <v>#N/A</v>
      </c>
      <c r="G1406" t="e">
        <f>VLOOKUP(Tabelle8[[#This Row],[Rank]],Stammdaten[[Rank Verteilung D Mitte mit Rinde]:[Verteilung D Mitte mit Rinde]],2,FALSE)</f>
        <v>#N/A</v>
      </c>
      <c r="L1406">
        <v>1397</v>
      </c>
      <c r="M1406" t="e">
        <f>INDEX(Stammdaten[Abholzigkeit (mm/lfm)],MATCH(Tabelle9[[#This Row],[Rank]],Stammdaten[Rank Verteilung Abholzigkeit],0))</f>
        <v>#N/A</v>
      </c>
      <c r="N1406" t="e">
        <f>VLOOKUP(Tabelle9[[#This Row],[Rank]],Stammdaten[[Rank Verteilung Abholzigkeit]:[Verteilung Abholzigkeit]],2,FALSE)</f>
        <v>#N/A</v>
      </c>
      <c r="S1406">
        <v>1397</v>
      </c>
      <c r="T1406" t="e">
        <f>INDEX(Stammdaten[Krümmung (mm/lfm)],MATCH(Tabelle10[[#This Row],[Rank]],Stammdaten[Rank Verteilung Krümmung],0))</f>
        <v>#N/A</v>
      </c>
      <c r="U1406" t="e">
        <f>VLOOKUP(Tabelle10[[#This Row],[Rank]],Stammdaten[[Rank Verteilung Krümmung]:[Verteilung Krümmung]],2,FALSE)</f>
        <v>#N/A</v>
      </c>
      <c r="Z1406">
        <v>1397</v>
      </c>
      <c r="AA1406" t="e">
        <f>INDEX(Stammdaten[Ovalität (']0,1'])],MATCH(Tabelle1014[[#This Row],[Rank]],Stammdaten[Rank Verteilung Ovalität],0))</f>
        <v>#N/A</v>
      </c>
      <c r="AB1406" t="e">
        <f>VLOOKUP(Tabelle1014[[#This Row],[Rank]],Stammdaten[[Rank Verteilung Ovalität]:[Verteilung Ovalität]],2,FALSE)</f>
        <v>#N/A</v>
      </c>
    </row>
    <row r="1407" spans="5:28" x14ac:dyDescent="0.35">
      <c r="E1407">
        <v>1398</v>
      </c>
      <c r="F1407" t="e">
        <f>INDEX(Stammdaten[D Mitte mit Rinde (mm)],MATCH(Tabelle8[[#This Row],[Rank]],Stammdaten[Rank Verteilung D Mitte mit Rinde],0))</f>
        <v>#N/A</v>
      </c>
      <c r="G1407" t="e">
        <f>VLOOKUP(Tabelle8[[#This Row],[Rank]],Stammdaten[[Rank Verteilung D Mitte mit Rinde]:[Verteilung D Mitte mit Rinde]],2,FALSE)</f>
        <v>#N/A</v>
      </c>
      <c r="L1407">
        <v>1398</v>
      </c>
      <c r="M1407" t="e">
        <f>INDEX(Stammdaten[Abholzigkeit (mm/lfm)],MATCH(Tabelle9[[#This Row],[Rank]],Stammdaten[Rank Verteilung Abholzigkeit],0))</f>
        <v>#N/A</v>
      </c>
      <c r="N1407" t="e">
        <f>VLOOKUP(Tabelle9[[#This Row],[Rank]],Stammdaten[[Rank Verteilung Abholzigkeit]:[Verteilung Abholzigkeit]],2,FALSE)</f>
        <v>#N/A</v>
      </c>
      <c r="S1407">
        <v>1398</v>
      </c>
      <c r="T1407" t="e">
        <f>INDEX(Stammdaten[Krümmung (mm/lfm)],MATCH(Tabelle10[[#This Row],[Rank]],Stammdaten[Rank Verteilung Krümmung],0))</f>
        <v>#N/A</v>
      </c>
      <c r="U1407" t="e">
        <f>VLOOKUP(Tabelle10[[#This Row],[Rank]],Stammdaten[[Rank Verteilung Krümmung]:[Verteilung Krümmung]],2,FALSE)</f>
        <v>#N/A</v>
      </c>
      <c r="Z1407">
        <v>1398</v>
      </c>
      <c r="AA1407" t="e">
        <f>INDEX(Stammdaten[Ovalität (']0,1'])],MATCH(Tabelle1014[[#This Row],[Rank]],Stammdaten[Rank Verteilung Ovalität],0))</f>
        <v>#N/A</v>
      </c>
      <c r="AB1407" t="e">
        <f>VLOOKUP(Tabelle1014[[#This Row],[Rank]],Stammdaten[[Rank Verteilung Ovalität]:[Verteilung Ovalität]],2,FALSE)</f>
        <v>#N/A</v>
      </c>
    </row>
    <row r="1408" spans="5:28" x14ac:dyDescent="0.35">
      <c r="E1408">
        <v>1399</v>
      </c>
      <c r="F1408" t="e">
        <f>INDEX(Stammdaten[D Mitte mit Rinde (mm)],MATCH(Tabelle8[[#This Row],[Rank]],Stammdaten[Rank Verteilung D Mitte mit Rinde],0))</f>
        <v>#N/A</v>
      </c>
      <c r="G1408" t="e">
        <f>VLOOKUP(Tabelle8[[#This Row],[Rank]],Stammdaten[[Rank Verteilung D Mitte mit Rinde]:[Verteilung D Mitte mit Rinde]],2,FALSE)</f>
        <v>#N/A</v>
      </c>
      <c r="L1408">
        <v>1399</v>
      </c>
      <c r="M1408" t="e">
        <f>INDEX(Stammdaten[Abholzigkeit (mm/lfm)],MATCH(Tabelle9[[#This Row],[Rank]],Stammdaten[Rank Verteilung Abholzigkeit],0))</f>
        <v>#N/A</v>
      </c>
      <c r="N1408" t="e">
        <f>VLOOKUP(Tabelle9[[#This Row],[Rank]],Stammdaten[[Rank Verteilung Abholzigkeit]:[Verteilung Abholzigkeit]],2,FALSE)</f>
        <v>#N/A</v>
      </c>
      <c r="S1408">
        <v>1399</v>
      </c>
      <c r="T1408" t="e">
        <f>INDEX(Stammdaten[Krümmung (mm/lfm)],MATCH(Tabelle10[[#This Row],[Rank]],Stammdaten[Rank Verteilung Krümmung],0))</f>
        <v>#N/A</v>
      </c>
      <c r="U1408" t="e">
        <f>VLOOKUP(Tabelle10[[#This Row],[Rank]],Stammdaten[[Rank Verteilung Krümmung]:[Verteilung Krümmung]],2,FALSE)</f>
        <v>#N/A</v>
      </c>
      <c r="Z1408">
        <v>1399</v>
      </c>
      <c r="AA1408" t="e">
        <f>INDEX(Stammdaten[Ovalität (']0,1'])],MATCH(Tabelle1014[[#This Row],[Rank]],Stammdaten[Rank Verteilung Ovalität],0))</f>
        <v>#N/A</v>
      </c>
      <c r="AB1408" t="e">
        <f>VLOOKUP(Tabelle1014[[#This Row],[Rank]],Stammdaten[[Rank Verteilung Ovalität]:[Verteilung Ovalität]],2,FALSE)</f>
        <v>#N/A</v>
      </c>
    </row>
    <row r="1409" spans="5:28" x14ac:dyDescent="0.35">
      <c r="E1409">
        <v>1400</v>
      </c>
      <c r="F1409" t="e">
        <f>INDEX(Stammdaten[D Mitte mit Rinde (mm)],MATCH(Tabelle8[[#This Row],[Rank]],Stammdaten[Rank Verteilung D Mitte mit Rinde],0))</f>
        <v>#N/A</v>
      </c>
      <c r="G1409" t="e">
        <f>VLOOKUP(Tabelle8[[#This Row],[Rank]],Stammdaten[[Rank Verteilung D Mitte mit Rinde]:[Verteilung D Mitte mit Rinde]],2,FALSE)</f>
        <v>#N/A</v>
      </c>
      <c r="L1409">
        <v>1400</v>
      </c>
      <c r="M1409" t="e">
        <f>INDEX(Stammdaten[Abholzigkeit (mm/lfm)],MATCH(Tabelle9[[#This Row],[Rank]],Stammdaten[Rank Verteilung Abholzigkeit],0))</f>
        <v>#N/A</v>
      </c>
      <c r="N1409" t="e">
        <f>VLOOKUP(Tabelle9[[#This Row],[Rank]],Stammdaten[[Rank Verteilung Abholzigkeit]:[Verteilung Abholzigkeit]],2,FALSE)</f>
        <v>#N/A</v>
      </c>
      <c r="S1409">
        <v>1400</v>
      </c>
      <c r="T1409" t="e">
        <f>INDEX(Stammdaten[Krümmung (mm/lfm)],MATCH(Tabelle10[[#This Row],[Rank]],Stammdaten[Rank Verteilung Krümmung],0))</f>
        <v>#N/A</v>
      </c>
      <c r="U1409" t="e">
        <f>VLOOKUP(Tabelle10[[#This Row],[Rank]],Stammdaten[[Rank Verteilung Krümmung]:[Verteilung Krümmung]],2,FALSE)</f>
        <v>#N/A</v>
      </c>
      <c r="Z1409">
        <v>1400</v>
      </c>
      <c r="AA1409" t="e">
        <f>INDEX(Stammdaten[Ovalität (']0,1'])],MATCH(Tabelle1014[[#This Row],[Rank]],Stammdaten[Rank Verteilung Ovalität],0))</f>
        <v>#N/A</v>
      </c>
      <c r="AB1409" t="e">
        <f>VLOOKUP(Tabelle1014[[#This Row],[Rank]],Stammdaten[[Rank Verteilung Ovalität]:[Verteilung Ovalität]],2,FALSE)</f>
        <v>#N/A</v>
      </c>
    </row>
    <row r="1410" spans="5:28" x14ac:dyDescent="0.35">
      <c r="E1410">
        <v>1401</v>
      </c>
      <c r="F1410" t="e">
        <f>INDEX(Stammdaten[D Mitte mit Rinde (mm)],MATCH(Tabelle8[[#This Row],[Rank]],Stammdaten[Rank Verteilung D Mitte mit Rinde],0))</f>
        <v>#N/A</v>
      </c>
      <c r="G1410" t="e">
        <f>VLOOKUP(Tabelle8[[#This Row],[Rank]],Stammdaten[[Rank Verteilung D Mitte mit Rinde]:[Verteilung D Mitte mit Rinde]],2,FALSE)</f>
        <v>#N/A</v>
      </c>
      <c r="L1410">
        <v>1401</v>
      </c>
      <c r="M1410" t="e">
        <f>INDEX(Stammdaten[Abholzigkeit (mm/lfm)],MATCH(Tabelle9[[#This Row],[Rank]],Stammdaten[Rank Verteilung Abholzigkeit],0))</f>
        <v>#N/A</v>
      </c>
      <c r="N1410" t="e">
        <f>VLOOKUP(Tabelle9[[#This Row],[Rank]],Stammdaten[[Rank Verteilung Abholzigkeit]:[Verteilung Abholzigkeit]],2,FALSE)</f>
        <v>#N/A</v>
      </c>
      <c r="S1410">
        <v>1401</v>
      </c>
      <c r="T1410" t="e">
        <f>INDEX(Stammdaten[Krümmung (mm/lfm)],MATCH(Tabelle10[[#This Row],[Rank]],Stammdaten[Rank Verteilung Krümmung],0))</f>
        <v>#N/A</v>
      </c>
      <c r="U1410" t="e">
        <f>VLOOKUP(Tabelle10[[#This Row],[Rank]],Stammdaten[[Rank Verteilung Krümmung]:[Verteilung Krümmung]],2,FALSE)</f>
        <v>#N/A</v>
      </c>
      <c r="Z1410">
        <v>1401</v>
      </c>
      <c r="AA1410" t="e">
        <f>INDEX(Stammdaten[Ovalität (']0,1'])],MATCH(Tabelle1014[[#This Row],[Rank]],Stammdaten[Rank Verteilung Ovalität],0))</f>
        <v>#N/A</v>
      </c>
      <c r="AB1410" t="e">
        <f>VLOOKUP(Tabelle1014[[#This Row],[Rank]],Stammdaten[[Rank Verteilung Ovalität]:[Verteilung Ovalität]],2,FALSE)</f>
        <v>#N/A</v>
      </c>
    </row>
    <row r="1411" spans="5:28" x14ac:dyDescent="0.35">
      <c r="E1411">
        <v>1402</v>
      </c>
      <c r="F1411" t="e">
        <f>INDEX(Stammdaten[D Mitte mit Rinde (mm)],MATCH(Tabelle8[[#This Row],[Rank]],Stammdaten[Rank Verteilung D Mitte mit Rinde],0))</f>
        <v>#N/A</v>
      </c>
      <c r="G1411" t="e">
        <f>VLOOKUP(Tabelle8[[#This Row],[Rank]],Stammdaten[[Rank Verteilung D Mitte mit Rinde]:[Verteilung D Mitte mit Rinde]],2,FALSE)</f>
        <v>#N/A</v>
      </c>
      <c r="L1411">
        <v>1402</v>
      </c>
      <c r="M1411" t="e">
        <f>INDEX(Stammdaten[Abholzigkeit (mm/lfm)],MATCH(Tabelle9[[#This Row],[Rank]],Stammdaten[Rank Verteilung Abholzigkeit],0))</f>
        <v>#N/A</v>
      </c>
      <c r="N1411" t="e">
        <f>VLOOKUP(Tabelle9[[#This Row],[Rank]],Stammdaten[[Rank Verteilung Abholzigkeit]:[Verteilung Abholzigkeit]],2,FALSE)</f>
        <v>#N/A</v>
      </c>
      <c r="S1411">
        <v>1402</v>
      </c>
      <c r="T1411" t="e">
        <f>INDEX(Stammdaten[Krümmung (mm/lfm)],MATCH(Tabelle10[[#This Row],[Rank]],Stammdaten[Rank Verteilung Krümmung],0))</f>
        <v>#N/A</v>
      </c>
      <c r="U1411" t="e">
        <f>VLOOKUP(Tabelle10[[#This Row],[Rank]],Stammdaten[[Rank Verteilung Krümmung]:[Verteilung Krümmung]],2,FALSE)</f>
        <v>#N/A</v>
      </c>
      <c r="Z1411">
        <v>1402</v>
      </c>
      <c r="AA1411" t="e">
        <f>INDEX(Stammdaten[Ovalität (']0,1'])],MATCH(Tabelle1014[[#This Row],[Rank]],Stammdaten[Rank Verteilung Ovalität],0))</f>
        <v>#N/A</v>
      </c>
      <c r="AB1411" t="e">
        <f>VLOOKUP(Tabelle1014[[#This Row],[Rank]],Stammdaten[[Rank Verteilung Ovalität]:[Verteilung Ovalität]],2,FALSE)</f>
        <v>#N/A</v>
      </c>
    </row>
    <row r="1412" spans="5:28" x14ac:dyDescent="0.35">
      <c r="E1412">
        <v>1403</v>
      </c>
      <c r="F1412" t="e">
        <f>INDEX(Stammdaten[D Mitte mit Rinde (mm)],MATCH(Tabelle8[[#This Row],[Rank]],Stammdaten[Rank Verteilung D Mitte mit Rinde],0))</f>
        <v>#N/A</v>
      </c>
      <c r="G1412" t="e">
        <f>VLOOKUP(Tabelle8[[#This Row],[Rank]],Stammdaten[[Rank Verteilung D Mitte mit Rinde]:[Verteilung D Mitte mit Rinde]],2,FALSE)</f>
        <v>#N/A</v>
      </c>
      <c r="L1412">
        <v>1403</v>
      </c>
      <c r="M1412" t="e">
        <f>INDEX(Stammdaten[Abholzigkeit (mm/lfm)],MATCH(Tabelle9[[#This Row],[Rank]],Stammdaten[Rank Verteilung Abholzigkeit],0))</f>
        <v>#N/A</v>
      </c>
      <c r="N1412" t="e">
        <f>VLOOKUP(Tabelle9[[#This Row],[Rank]],Stammdaten[[Rank Verteilung Abholzigkeit]:[Verteilung Abholzigkeit]],2,FALSE)</f>
        <v>#N/A</v>
      </c>
      <c r="S1412">
        <v>1403</v>
      </c>
      <c r="T1412" t="e">
        <f>INDEX(Stammdaten[Krümmung (mm/lfm)],MATCH(Tabelle10[[#This Row],[Rank]],Stammdaten[Rank Verteilung Krümmung],0))</f>
        <v>#N/A</v>
      </c>
      <c r="U1412" t="e">
        <f>VLOOKUP(Tabelle10[[#This Row],[Rank]],Stammdaten[[Rank Verteilung Krümmung]:[Verteilung Krümmung]],2,FALSE)</f>
        <v>#N/A</v>
      </c>
      <c r="Z1412">
        <v>1403</v>
      </c>
      <c r="AA1412" t="e">
        <f>INDEX(Stammdaten[Ovalität (']0,1'])],MATCH(Tabelle1014[[#This Row],[Rank]],Stammdaten[Rank Verteilung Ovalität],0))</f>
        <v>#N/A</v>
      </c>
      <c r="AB1412" t="e">
        <f>VLOOKUP(Tabelle1014[[#This Row],[Rank]],Stammdaten[[Rank Verteilung Ovalität]:[Verteilung Ovalität]],2,FALSE)</f>
        <v>#N/A</v>
      </c>
    </row>
    <row r="1413" spans="5:28" x14ac:dyDescent="0.35">
      <c r="E1413">
        <v>1404</v>
      </c>
      <c r="F1413" t="e">
        <f>INDEX(Stammdaten[D Mitte mit Rinde (mm)],MATCH(Tabelle8[[#This Row],[Rank]],Stammdaten[Rank Verteilung D Mitte mit Rinde],0))</f>
        <v>#N/A</v>
      </c>
      <c r="G1413" t="e">
        <f>VLOOKUP(Tabelle8[[#This Row],[Rank]],Stammdaten[[Rank Verteilung D Mitte mit Rinde]:[Verteilung D Mitte mit Rinde]],2,FALSE)</f>
        <v>#N/A</v>
      </c>
      <c r="L1413">
        <v>1404</v>
      </c>
      <c r="M1413" t="e">
        <f>INDEX(Stammdaten[Abholzigkeit (mm/lfm)],MATCH(Tabelle9[[#This Row],[Rank]],Stammdaten[Rank Verteilung Abholzigkeit],0))</f>
        <v>#N/A</v>
      </c>
      <c r="N1413" t="e">
        <f>VLOOKUP(Tabelle9[[#This Row],[Rank]],Stammdaten[[Rank Verteilung Abholzigkeit]:[Verteilung Abholzigkeit]],2,FALSE)</f>
        <v>#N/A</v>
      </c>
      <c r="S1413">
        <v>1404</v>
      </c>
      <c r="T1413" t="e">
        <f>INDEX(Stammdaten[Krümmung (mm/lfm)],MATCH(Tabelle10[[#This Row],[Rank]],Stammdaten[Rank Verteilung Krümmung],0))</f>
        <v>#N/A</v>
      </c>
      <c r="U1413" t="e">
        <f>VLOOKUP(Tabelle10[[#This Row],[Rank]],Stammdaten[[Rank Verteilung Krümmung]:[Verteilung Krümmung]],2,FALSE)</f>
        <v>#N/A</v>
      </c>
      <c r="Z1413">
        <v>1404</v>
      </c>
      <c r="AA1413" t="e">
        <f>INDEX(Stammdaten[Ovalität (']0,1'])],MATCH(Tabelle1014[[#This Row],[Rank]],Stammdaten[Rank Verteilung Ovalität],0))</f>
        <v>#N/A</v>
      </c>
      <c r="AB1413" t="e">
        <f>VLOOKUP(Tabelle1014[[#This Row],[Rank]],Stammdaten[[Rank Verteilung Ovalität]:[Verteilung Ovalität]],2,FALSE)</f>
        <v>#N/A</v>
      </c>
    </row>
    <row r="1414" spans="5:28" x14ac:dyDescent="0.35">
      <c r="E1414">
        <v>1405</v>
      </c>
      <c r="F1414" t="e">
        <f>INDEX(Stammdaten[D Mitte mit Rinde (mm)],MATCH(Tabelle8[[#This Row],[Rank]],Stammdaten[Rank Verteilung D Mitte mit Rinde],0))</f>
        <v>#N/A</v>
      </c>
      <c r="G1414" t="e">
        <f>VLOOKUP(Tabelle8[[#This Row],[Rank]],Stammdaten[[Rank Verteilung D Mitte mit Rinde]:[Verteilung D Mitte mit Rinde]],2,FALSE)</f>
        <v>#N/A</v>
      </c>
      <c r="L1414">
        <v>1405</v>
      </c>
      <c r="M1414" t="e">
        <f>INDEX(Stammdaten[Abholzigkeit (mm/lfm)],MATCH(Tabelle9[[#This Row],[Rank]],Stammdaten[Rank Verteilung Abholzigkeit],0))</f>
        <v>#N/A</v>
      </c>
      <c r="N1414" t="e">
        <f>VLOOKUP(Tabelle9[[#This Row],[Rank]],Stammdaten[[Rank Verteilung Abholzigkeit]:[Verteilung Abholzigkeit]],2,FALSE)</f>
        <v>#N/A</v>
      </c>
      <c r="S1414">
        <v>1405</v>
      </c>
      <c r="T1414" t="e">
        <f>INDEX(Stammdaten[Krümmung (mm/lfm)],MATCH(Tabelle10[[#This Row],[Rank]],Stammdaten[Rank Verteilung Krümmung],0))</f>
        <v>#N/A</v>
      </c>
      <c r="U1414" t="e">
        <f>VLOOKUP(Tabelle10[[#This Row],[Rank]],Stammdaten[[Rank Verteilung Krümmung]:[Verteilung Krümmung]],2,FALSE)</f>
        <v>#N/A</v>
      </c>
      <c r="Z1414">
        <v>1405</v>
      </c>
      <c r="AA1414" t="e">
        <f>INDEX(Stammdaten[Ovalität (']0,1'])],MATCH(Tabelle1014[[#This Row],[Rank]],Stammdaten[Rank Verteilung Ovalität],0))</f>
        <v>#N/A</v>
      </c>
      <c r="AB1414" t="e">
        <f>VLOOKUP(Tabelle1014[[#This Row],[Rank]],Stammdaten[[Rank Verteilung Ovalität]:[Verteilung Ovalität]],2,FALSE)</f>
        <v>#N/A</v>
      </c>
    </row>
    <row r="1415" spans="5:28" x14ac:dyDescent="0.35">
      <c r="E1415">
        <v>1406</v>
      </c>
      <c r="F1415" t="e">
        <f>INDEX(Stammdaten[D Mitte mit Rinde (mm)],MATCH(Tabelle8[[#This Row],[Rank]],Stammdaten[Rank Verteilung D Mitte mit Rinde],0))</f>
        <v>#N/A</v>
      </c>
      <c r="G1415" t="e">
        <f>VLOOKUP(Tabelle8[[#This Row],[Rank]],Stammdaten[[Rank Verteilung D Mitte mit Rinde]:[Verteilung D Mitte mit Rinde]],2,FALSE)</f>
        <v>#N/A</v>
      </c>
      <c r="L1415">
        <v>1406</v>
      </c>
      <c r="M1415" t="e">
        <f>INDEX(Stammdaten[Abholzigkeit (mm/lfm)],MATCH(Tabelle9[[#This Row],[Rank]],Stammdaten[Rank Verteilung Abholzigkeit],0))</f>
        <v>#N/A</v>
      </c>
      <c r="N1415" t="e">
        <f>VLOOKUP(Tabelle9[[#This Row],[Rank]],Stammdaten[[Rank Verteilung Abholzigkeit]:[Verteilung Abholzigkeit]],2,FALSE)</f>
        <v>#N/A</v>
      </c>
      <c r="S1415">
        <v>1406</v>
      </c>
      <c r="T1415" t="e">
        <f>INDEX(Stammdaten[Krümmung (mm/lfm)],MATCH(Tabelle10[[#This Row],[Rank]],Stammdaten[Rank Verteilung Krümmung],0))</f>
        <v>#N/A</v>
      </c>
      <c r="U1415" t="e">
        <f>VLOOKUP(Tabelle10[[#This Row],[Rank]],Stammdaten[[Rank Verteilung Krümmung]:[Verteilung Krümmung]],2,FALSE)</f>
        <v>#N/A</v>
      </c>
      <c r="Z1415">
        <v>1406</v>
      </c>
      <c r="AA1415" t="e">
        <f>INDEX(Stammdaten[Ovalität (']0,1'])],MATCH(Tabelle1014[[#This Row],[Rank]],Stammdaten[Rank Verteilung Ovalität],0))</f>
        <v>#N/A</v>
      </c>
      <c r="AB1415" t="e">
        <f>VLOOKUP(Tabelle1014[[#This Row],[Rank]],Stammdaten[[Rank Verteilung Ovalität]:[Verteilung Ovalität]],2,FALSE)</f>
        <v>#N/A</v>
      </c>
    </row>
    <row r="1416" spans="5:28" x14ac:dyDescent="0.35">
      <c r="E1416">
        <v>1407</v>
      </c>
      <c r="F1416" t="e">
        <f>INDEX(Stammdaten[D Mitte mit Rinde (mm)],MATCH(Tabelle8[[#This Row],[Rank]],Stammdaten[Rank Verteilung D Mitte mit Rinde],0))</f>
        <v>#N/A</v>
      </c>
      <c r="G1416" t="e">
        <f>VLOOKUP(Tabelle8[[#This Row],[Rank]],Stammdaten[[Rank Verteilung D Mitte mit Rinde]:[Verteilung D Mitte mit Rinde]],2,FALSE)</f>
        <v>#N/A</v>
      </c>
      <c r="L1416">
        <v>1407</v>
      </c>
      <c r="M1416" t="e">
        <f>INDEX(Stammdaten[Abholzigkeit (mm/lfm)],MATCH(Tabelle9[[#This Row],[Rank]],Stammdaten[Rank Verteilung Abholzigkeit],0))</f>
        <v>#N/A</v>
      </c>
      <c r="N1416" t="e">
        <f>VLOOKUP(Tabelle9[[#This Row],[Rank]],Stammdaten[[Rank Verteilung Abholzigkeit]:[Verteilung Abholzigkeit]],2,FALSE)</f>
        <v>#N/A</v>
      </c>
      <c r="S1416">
        <v>1407</v>
      </c>
      <c r="T1416" t="e">
        <f>INDEX(Stammdaten[Krümmung (mm/lfm)],MATCH(Tabelle10[[#This Row],[Rank]],Stammdaten[Rank Verteilung Krümmung],0))</f>
        <v>#N/A</v>
      </c>
      <c r="U1416" t="e">
        <f>VLOOKUP(Tabelle10[[#This Row],[Rank]],Stammdaten[[Rank Verteilung Krümmung]:[Verteilung Krümmung]],2,FALSE)</f>
        <v>#N/A</v>
      </c>
      <c r="Z1416">
        <v>1407</v>
      </c>
      <c r="AA1416" t="e">
        <f>INDEX(Stammdaten[Ovalität (']0,1'])],MATCH(Tabelle1014[[#This Row],[Rank]],Stammdaten[Rank Verteilung Ovalität],0))</f>
        <v>#N/A</v>
      </c>
      <c r="AB1416" t="e">
        <f>VLOOKUP(Tabelle1014[[#This Row],[Rank]],Stammdaten[[Rank Verteilung Ovalität]:[Verteilung Ovalität]],2,FALSE)</f>
        <v>#N/A</v>
      </c>
    </row>
    <row r="1417" spans="5:28" x14ac:dyDescent="0.35">
      <c r="E1417">
        <v>1408</v>
      </c>
      <c r="F1417" t="e">
        <f>INDEX(Stammdaten[D Mitte mit Rinde (mm)],MATCH(Tabelle8[[#This Row],[Rank]],Stammdaten[Rank Verteilung D Mitte mit Rinde],0))</f>
        <v>#N/A</v>
      </c>
      <c r="G1417" t="e">
        <f>VLOOKUP(Tabelle8[[#This Row],[Rank]],Stammdaten[[Rank Verteilung D Mitte mit Rinde]:[Verteilung D Mitte mit Rinde]],2,FALSE)</f>
        <v>#N/A</v>
      </c>
      <c r="L1417">
        <v>1408</v>
      </c>
      <c r="M1417" t="e">
        <f>INDEX(Stammdaten[Abholzigkeit (mm/lfm)],MATCH(Tabelle9[[#This Row],[Rank]],Stammdaten[Rank Verteilung Abholzigkeit],0))</f>
        <v>#N/A</v>
      </c>
      <c r="N1417" t="e">
        <f>VLOOKUP(Tabelle9[[#This Row],[Rank]],Stammdaten[[Rank Verteilung Abholzigkeit]:[Verteilung Abholzigkeit]],2,FALSE)</f>
        <v>#N/A</v>
      </c>
      <c r="S1417">
        <v>1408</v>
      </c>
      <c r="T1417" t="e">
        <f>INDEX(Stammdaten[Krümmung (mm/lfm)],MATCH(Tabelle10[[#This Row],[Rank]],Stammdaten[Rank Verteilung Krümmung],0))</f>
        <v>#N/A</v>
      </c>
      <c r="U1417" t="e">
        <f>VLOOKUP(Tabelle10[[#This Row],[Rank]],Stammdaten[[Rank Verteilung Krümmung]:[Verteilung Krümmung]],2,FALSE)</f>
        <v>#N/A</v>
      </c>
      <c r="Z1417">
        <v>1408</v>
      </c>
      <c r="AA1417" t="e">
        <f>INDEX(Stammdaten[Ovalität (']0,1'])],MATCH(Tabelle1014[[#This Row],[Rank]],Stammdaten[Rank Verteilung Ovalität],0))</f>
        <v>#N/A</v>
      </c>
      <c r="AB1417" t="e">
        <f>VLOOKUP(Tabelle1014[[#This Row],[Rank]],Stammdaten[[Rank Verteilung Ovalität]:[Verteilung Ovalität]],2,FALSE)</f>
        <v>#N/A</v>
      </c>
    </row>
    <row r="1418" spans="5:28" x14ac:dyDescent="0.35">
      <c r="E1418">
        <v>1409</v>
      </c>
      <c r="F1418" t="e">
        <f>INDEX(Stammdaten[D Mitte mit Rinde (mm)],MATCH(Tabelle8[[#This Row],[Rank]],Stammdaten[Rank Verteilung D Mitte mit Rinde],0))</f>
        <v>#N/A</v>
      </c>
      <c r="G1418" t="e">
        <f>VLOOKUP(Tabelle8[[#This Row],[Rank]],Stammdaten[[Rank Verteilung D Mitte mit Rinde]:[Verteilung D Mitte mit Rinde]],2,FALSE)</f>
        <v>#N/A</v>
      </c>
      <c r="L1418">
        <v>1409</v>
      </c>
      <c r="M1418" t="e">
        <f>INDEX(Stammdaten[Abholzigkeit (mm/lfm)],MATCH(Tabelle9[[#This Row],[Rank]],Stammdaten[Rank Verteilung Abholzigkeit],0))</f>
        <v>#N/A</v>
      </c>
      <c r="N1418" t="e">
        <f>VLOOKUP(Tabelle9[[#This Row],[Rank]],Stammdaten[[Rank Verteilung Abholzigkeit]:[Verteilung Abholzigkeit]],2,FALSE)</f>
        <v>#N/A</v>
      </c>
      <c r="S1418">
        <v>1409</v>
      </c>
      <c r="T1418" t="e">
        <f>INDEX(Stammdaten[Krümmung (mm/lfm)],MATCH(Tabelle10[[#This Row],[Rank]],Stammdaten[Rank Verteilung Krümmung],0))</f>
        <v>#N/A</v>
      </c>
      <c r="U1418" t="e">
        <f>VLOOKUP(Tabelle10[[#This Row],[Rank]],Stammdaten[[Rank Verteilung Krümmung]:[Verteilung Krümmung]],2,FALSE)</f>
        <v>#N/A</v>
      </c>
      <c r="Z1418">
        <v>1409</v>
      </c>
      <c r="AA1418" t="e">
        <f>INDEX(Stammdaten[Ovalität (']0,1'])],MATCH(Tabelle1014[[#This Row],[Rank]],Stammdaten[Rank Verteilung Ovalität],0))</f>
        <v>#N/A</v>
      </c>
      <c r="AB1418" t="e">
        <f>VLOOKUP(Tabelle1014[[#This Row],[Rank]],Stammdaten[[Rank Verteilung Ovalität]:[Verteilung Ovalität]],2,FALSE)</f>
        <v>#N/A</v>
      </c>
    </row>
    <row r="1419" spans="5:28" x14ac:dyDescent="0.35">
      <c r="E1419">
        <v>1410</v>
      </c>
      <c r="F1419" t="e">
        <f>INDEX(Stammdaten[D Mitte mit Rinde (mm)],MATCH(Tabelle8[[#This Row],[Rank]],Stammdaten[Rank Verteilung D Mitte mit Rinde],0))</f>
        <v>#N/A</v>
      </c>
      <c r="G1419" t="e">
        <f>VLOOKUP(Tabelle8[[#This Row],[Rank]],Stammdaten[[Rank Verteilung D Mitte mit Rinde]:[Verteilung D Mitte mit Rinde]],2,FALSE)</f>
        <v>#N/A</v>
      </c>
      <c r="L1419">
        <v>1410</v>
      </c>
      <c r="M1419" t="e">
        <f>INDEX(Stammdaten[Abholzigkeit (mm/lfm)],MATCH(Tabelle9[[#This Row],[Rank]],Stammdaten[Rank Verteilung Abholzigkeit],0))</f>
        <v>#N/A</v>
      </c>
      <c r="N1419" t="e">
        <f>VLOOKUP(Tabelle9[[#This Row],[Rank]],Stammdaten[[Rank Verteilung Abholzigkeit]:[Verteilung Abholzigkeit]],2,FALSE)</f>
        <v>#N/A</v>
      </c>
      <c r="S1419">
        <v>1410</v>
      </c>
      <c r="T1419" t="e">
        <f>INDEX(Stammdaten[Krümmung (mm/lfm)],MATCH(Tabelle10[[#This Row],[Rank]],Stammdaten[Rank Verteilung Krümmung],0))</f>
        <v>#N/A</v>
      </c>
      <c r="U1419" t="e">
        <f>VLOOKUP(Tabelle10[[#This Row],[Rank]],Stammdaten[[Rank Verteilung Krümmung]:[Verteilung Krümmung]],2,FALSE)</f>
        <v>#N/A</v>
      </c>
      <c r="Z1419">
        <v>1410</v>
      </c>
      <c r="AA1419" t="e">
        <f>INDEX(Stammdaten[Ovalität (']0,1'])],MATCH(Tabelle1014[[#This Row],[Rank]],Stammdaten[Rank Verteilung Ovalität],0))</f>
        <v>#N/A</v>
      </c>
      <c r="AB1419" t="e">
        <f>VLOOKUP(Tabelle1014[[#This Row],[Rank]],Stammdaten[[Rank Verteilung Ovalität]:[Verteilung Ovalität]],2,FALSE)</f>
        <v>#N/A</v>
      </c>
    </row>
    <row r="1420" spans="5:28" x14ac:dyDescent="0.35">
      <c r="E1420">
        <v>1411</v>
      </c>
      <c r="F1420" t="e">
        <f>INDEX(Stammdaten[D Mitte mit Rinde (mm)],MATCH(Tabelle8[[#This Row],[Rank]],Stammdaten[Rank Verteilung D Mitte mit Rinde],0))</f>
        <v>#N/A</v>
      </c>
      <c r="G1420" t="e">
        <f>VLOOKUP(Tabelle8[[#This Row],[Rank]],Stammdaten[[Rank Verteilung D Mitte mit Rinde]:[Verteilung D Mitte mit Rinde]],2,FALSE)</f>
        <v>#N/A</v>
      </c>
      <c r="L1420">
        <v>1411</v>
      </c>
      <c r="M1420" t="e">
        <f>INDEX(Stammdaten[Abholzigkeit (mm/lfm)],MATCH(Tabelle9[[#This Row],[Rank]],Stammdaten[Rank Verteilung Abholzigkeit],0))</f>
        <v>#N/A</v>
      </c>
      <c r="N1420" t="e">
        <f>VLOOKUP(Tabelle9[[#This Row],[Rank]],Stammdaten[[Rank Verteilung Abholzigkeit]:[Verteilung Abholzigkeit]],2,FALSE)</f>
        <v>#N/A</v>
      </c>
      <c r="S1420">
        <v>1411</v>
      </c>
      <c r="T1420" t="e">
        <f>INDEX(Stammdaten[Krümmung (mm/lfm)],MATCH(Tabelle10[[#This Row],[Rank]],Stammdaten[Rank Verteilung Krümmung],0))</f>
        <v>#N/A</v>
      </c>
      <c r="U1420" t="e">
        <f>VLOOKUP(Tabelle10[[#This Row],[Rank]],Stammdaten[[Rank Verteilung Krümmung]:[Verteilung Krümmung]],2,FALSE)</f>
        <v>#N/A</v>
      </c>
      <c r="Z1420">
        <v>1411</v>
      </c>
      <c r="AA1420" t="e">
        <f>INDEX(Stammdaten[Ovalität (']0,1'])],MATCH(Tabelle1014[[#This Row],[Rank]],Stammdaten[Rank Verteilung Ovalität],0))</f>
        <v>#N/A</v>
      </c>
      <c r="AB1420" t="e">
        <f>VLOOKUP(Tabelle1014[[#This Row],[Rank]],Stammdaten[[Rank Verteilung Ovalität]:[Verteilung Ovalität]],2,FALSE)</f>
        <v>#N/A</v>
      </c>
    </row>
    <row r="1421" spans="5:28" x14ac:dyDescent="0.35">
      <c r="E1421">
        <v>1412</v>
      </c>
      <c r="F1421" t="e">
        <f>INDEX(Stammdaten[D Mitte mit Rinde (mm)],MATCH(Tabelle8[[#This Row],[Rank]],Stammdaten[Rank Verteilung D Mitte mit Rinde],0))</f>
        <v>#N/A</v>
      </c>
      <c r="G1421" t="e">
        <f>VLOOKUP(Tabelle8[[#This Row],[Rank]],Stammdaten[[Rank Verteilung D Mitte mit Rinde]:[Verteilung D Mitte mit Rinde]],2,FALSE)</f>
        <v>#N/A</v>
      </c>
      <c r="L1421">
        <v>1412</v>
      </c>
      <c r="M1421" t="e">
        <f>INDEX(Stammdaten[Abholzigkeit (mm/lfm)],MATCH(Tabelle9[[#This Row],[Rank]],Stammdaten[Rank Verteilung Abholzigkeit],0))</f>
        <v>#N/A</v>
      </c>
      <c r="N1421" t="e">
        <f>VLOOKUP(Tabelle9[[#This Row],[Rank]],Stammdaten[[Rank Verteilung Abholzigkeit]:[Verteilung Abholzigkeit]],2,FALSE)</f>
        <v>#N/A</v>
      </c>
      <c r="S1421">
        <v>1412</v>
      </c>
      <c r="T1421" t="e">
        <f>INDEX(Stammdaten[Krümmung (mm/lfm)],MATCH(Tabelle10[[#This Row],[Rank]],Stammdaten[Rank Verteilung Krümmung],0))</f>
        <v>#N/A</v>
      </c>
      <c r="U1421" t="e">
        <f>VLOOKUP(Tabelle10[[#This Row],[Rank]],Stammdaten[[Rank Verteilung Krümmung]:[Verteilung Krümmung]],2,FALSE)</f>
        <v>#N/A</v>
      </c>
      <c r="Z1421">
        <v>1412</v>
      </c>
      <c r="AA1421" t="e">
        <f>INDEX(Stammdaten[Ovalität (']0,1'])],MATCH(Tabelle1014[[#This Row],[Rank]],Stammdaten[Rank Verteilung Ovalität],0))</f>
        <v>#N/A</v>
      </c>
      <c r="AB1421" t="e">
        <f>VLOOKUP(Tabelle1014[[#This Row],[Rank]],Stammdaten[[Rank Verteilung Ovalität]:[Verteilung Ovalität]],2,FALSE)</f>
        <v>#N/A</v>
      </c>
    </row>
    <row r="1422" spans="5:28" x14ac:dyDescent="0.35">
      <c r="E1422">
        <v>1413</v>
      </c>
      <c r="F1422" t="e">
        <f>INDEX(Stammdaten[D Mitte mit Rinde (mm)],MATCH(Tabelle8[[#This Row],[Rank]],Stammdaten[Rank Verteilung D Mitte mit Rinde],0))</f>
        <v>#N/A</v>
      </c>
      <c r="G1422" t="e">
        <f>VLOOKUP(Tabelle8[[#This Row],[Rank]],Stammdaten[[Rank Verteilung D Mitte mit Rinde]:[Verteilung D Mitte mit Rinde]],2,FALSE)</f>
        <v>#N/A</v>
      </c>
      <c r="L1422">
        <v>1413</v>
      </c>
      <c r="M1422" t="e">
        <f>INDEX(Stammdaten[Abholzigkeit (mm/lfm)],MATCH(Tabelle9[[#This Row],[Rank]],Stammdaten[Rank Verteilung Abholzigkeit],0))</f>
        <v>#N/A</v>
      </c>
      <c r="N1422" t="e">
        <f>VLOOKUP(Tabelle9[[#This Row],[Rank]],Stammdaten[[Rank Verteilung Abholzigkeit]:[Verteilung Abholzigkeit]],2,FALSE)</f>
        <v>#N/A</v>
      </c>
      <c r="S1422">
        <v>1413</v>
      </c>
      <c r="T1422" t="e">
        <f>INDEX(Stammdaten[Krümmung (mm/lfm)],MATCH(Tabelle10[[#This Row],[Rank]],Stammdaten[Rank Verteilung Krümmung],0))</f>
        <v>#N/A</v>
      </c>
      <c r="U1422" t="e">
        <f>VLOOKUP(Tabelle10[[#This Row],[Rank]],Stammdaten[[Rank Verteilung Krümmung]:[Verteilung Krümmung]],2,FALSE)</f>
        <v>#N/A</v>
      </c>
      <c r="Z1422">
        <v>1413</v>
      </c>
      <c r="AA1422" t="e">
        <f>INDEX(Stammdaten[Ovalität (']0,1'])],MATCH(Tabelle1014[[#This Row],[Rank]],Stammdaten[Rank Verteilung Ovalität],0))</f>
        <v>#N/A</v>
      </c>
      <c r="AB1422" t="e">
        <f>VLOOKUP(Tabelle1014[[#This Row],[Rank]],Stammdaten[[Rank Verteilung Ovalität]:[Verteilung Ovalität]],2,FALSE)</f>
        <v>#N/A</v>
      </c>
    </row>
    <row r="1423" spans="5:28" x14ac:dyDescent="0.35">
      <c r="E1423">
        <v>1414</v>
      </c>
      <c r="F1423" t="e">
        <f>INDEX(Stammdaten[D Mitte mit Rinde (mm)],MATCH(Tabelle8[[#This Row],[Rank]],Stammdaten[Rank Verteilung D Mitte mit Rinde],0))</f>
        <v>#N/A</v>
      </c>
      <c r="G1423" t="e">
        <f>VLOOKUP(Tabelle8[[#This Row],[Rank]],Stammdaten[[Rank Verteilung D Mitte mit Rinde]:[Verteilung D Mitte mit Rinde]],2,FALSE)</f>
        <v>#N/A</v>
      </c>
      <c r="L1423">
        <v>1414</v>
      </c>
      <c r="M1423" t="e">
        <f>INDEX(Stammdaten[Abholzigkeit (mm/lfm)],MATCH(Tabelle9[[#This Row],[Rank]],Stammdaten[Rank Verteilung Abholzigkeit],0))</f>
        <v>#N/A</v>
      </c>
      <c r="N1423" t="e">
        <f>VLOOKUP(Tabelle9[[#This Row],[Rank]],Stammdaten[[Rank Verteilung Abholzigkeit]:[Verteilung Abholzigkeit]],2,FALSE)</f>
        <v>#N/A</v>
      </c>
      <c r="S1423">
        <v>1414</v>
      </c>
      <c r="T1423" t="e">
        <f>INDEX(Stammdaten[Krümmung (mm/lfm)],MATCH(Tabelle10[[#This Row],[Rank]],Stammdaten[Rank Verteilung Krümmung],0))</f>
        <v>#N/A</v>
      </c>
      <c r="U1423" t="e">
        <f>VLOOKUP(Tabelle10[[#This Row],[Rank]],Stammdaten[[Rank Verteilung Krümmung]:[Verteilung Krümmung]],2,FALSE)</f>
        <v>#N/A</v>
      </c>
      <c r="Z1423">
        <v>1414</v>
      </c>
      <c r="AA1423" t="e">
        <f>INDEX(Stammdaten[Ovalität (']0,1'])],MATCH(Tabelle1014[[#This Row],[Rank]],Stammdaten[Rank Verteilung Ovalität],0))</f>
        <v>#N/A</v>
      </c>
      <c r="AB1423" t="e">
        <f>VLOOKUP(Tabelle1014[[#This Row],[Rank]],Stammdaten[[Rank Verteilung Ovalität]:[Verteilung Ovalität]],2,FALSE)</f>
        <v>#N/A</v>
      </c>
    </row>
    <row r="1424" spans="5:28" x14ac:dyDescent="0.35">
      <c r="E1424">
        <v>1415</v>
      </c>
      <c r="F1424" t="e">
        <f>INDEX(Stammdaten[D Mitte mit Rinde (mm)],MATCH(Tabelle8[[#This Row],[Rank]],Stammdaten[Rank Verteilung D Mitte mit Rinde],0))</f>
        <v>#N/A</v>
      </c>
      <c r="G1424" t="e">
        <f>VLOOKUP(Tabelle8[[#This Row],[Rank]],Stammdaten[[Rank Verteilung D Mitte mit Rinde]:[Verteilung D Mitte mit Rinde]],2,FALSE)</f>
        <v>#N/A</v>
      </c>
      <c r="L1424">
        <v>1415</v>
      </c>
      <c r="M1424" t="e">
        <f>INDEX(Stammdaten[Abholzigkeit (mm/lfm)],MATCH(Tabelle9[[#This Row],[Rank]],Stammdaten[Rank Verteilung Abholzigkeit],0))</f>
        <v>#N/A</v>
      </c>
      <c r="N1424" t="e">
        <f>VLOOKUP(Tabelle9[[#This Row],[Rank]],Stammdaten[[Rank Verteilung Abholzigkeit]:[Verteilung Abholzigkeit]],2,FALSE)</f>
        <v>#N/A</v>
      </c>
      <c r="S1424">
        <v>1415</v>
      </c>
      <c r="T1424" t="e">
        <f>INDEX(Stammdaten[Krümmung (mm/lfm)],MATCH(Tabelle10[[#This Row],[Rank]],Stammdaten[Rank Verteilung Krümmung],0))</f>
        <v>#N/A</v>
      </c>
      <c r="U1424" t="e">
        <f>VLOOKUP(Tabelle10[[#This Row],[Rank]],Stammdaten[[Rank Verteilung Krümmung]:[Verteilung Krümmung]],2,FALSE)</f>
        <v>#N/A</v>
      </c>
      <c r="Z1424">
        <v>1415</v>
      </c>
      <c r="AA1424" t="e">
        <f>INDEX(Stammdaten[Ovalität (']0,1'])],MATCH(Tabelle1014[[#This Row],[Rank]],Stammdaten[Rank Verteilung Ovalität],0))</f>
        <v>#N/A</v>
      </c>
      <c r="AB1424" t="e">
        <f>VLOOKUP(Tabelle1014[[#This Row],[Rank]],Stammdaten[[Rank Verteilung Ovalität]:[Verteilung Ovalität]],2,FALSE)</f>
        <v>#N/A</v>
      </c>
    </row>
    <row r="1425" spans="5:28" x14ac:dyDescent="0.35">
      <c r="E1425">
        <v>1416</v>
      </c>
      <c r="F1425" t="e">
        <f>INDEX(Stammdaten[D Mitte mit Rinde (mm)],MATCH(Tabelle8[[#This Row],[Rank]],Stammdaten[Rank Verteilung D Mitte mit Rinde],0))</f>
        <v>#N/A</v>
      </c>
      <c r="G1425" t="e">
        <f>VLOOKUP(Tabelle8[[#This Row],[Rank]],Stammdaten[[Rank Verteilung D Mitte mit Rinde]:[Verteilung D Mitte mit Rinde]],2,FALSE)</f>
        <v>#N/A</v>
      </c>
      <c r="L1425">
        <v>1416</v>
      </c>
      <c r="M1425" t="e">
        <f>INDEX(Stammdaten[Abholzigkeit (mm/lfm)],MATCH(Tabelle9[[#This Row],[Rank]],Stammdaten[Rank Verteilung Abholzigkeit],0))</f>
        <v>#N/A</v>
      </c>
      <c r="N1425" t="e">
        <f>VLOOKUP(Tabelle9[[#This Row],[Rank]],Stammdaten[[Rank Verteilung Abholzigkeit]:[Verteilung Abholzigkeit]],2,FALSE)</f>
        <v>#N/A</v>
      </c>
      <c r="S1425">
        <v>1416</v>
      </c>
      <c r="T1425" t="e">
        <f>INDEX(Stammdaten[Krümmung (mm/lfm)],MATCH(Tabelle10[[#This Row],[Rank]],Stammdaten[Rank Verteilung Krümmung],0))</f>
        <v>#N/A</v>
      </c>
      <c r="U1425" t="e">
        <f>VLOOKUP(Tabelle10[[#This Row],[Rank]],Stammdaten[[Rank Verteilung Krümmung]:[Verteilung Krümmung]],2,FALSE)</f>
        <v>#N/A</v>
      </c>
      <c r="Z1425">
        <v>1416</v>
      </c>
      <c r="AA1425" t="e">
        <f>INDEX(Stammdaten[Ovalität (']0,1'])],MATCH(Tabelle1014[[#This Row],[Rank]],Stammdaten[Rank Verteilung Ovalität],0))</f>
        <v>#N/A</v>
      </c>
      <c r="AB1425" t="e">
        <f>VLOOKUP(Tabelle1014[[#This Row],[Rank]],Stammdaten[[Rank Verteilung Ovalität]:[Verteilung Ovalität]],2,FALSE)</f>
        <v>#N/A</v>
      </c>
    </row>
    <row r="1426" spans="5:28" x14ac:dyDescent="0.35">
      <c r="E1426">
        <v>1417</v>
      </c>
      <c r="F1426" t="e">
        <f>INDEX(Stammdaten[D Mitte mit Rinde (mm)],MATCH(Tabelle8[[#This Row],[Rank]],Stammdaten[Rank Verteilung D Mitte mit Rinde],0))</f>
        <v>#N/A</v>
      </c>
      <c r="G1426" t="e">
        <f>VLOOKUP(Tabelle8[[#This Row],[Rank]],Stammdaten[[Rank Verteilung D Mitte mit Rinde]:[Verteilung D Mitte mit Rinde]],2,FALSE)</f>
        <v>#N/A</v>
      </c>
      <c r="L1426">
        <v>1417</v>
      </c>
      <c r="M1426" t="e">
        <f>INDEX(Stammdaten[Abholzigkeit (mm/lfm)],MATCH(Tabelle9[[#This Row],[Rank]],Stammdaten[Rank Verteilung Abholzigkeit],0))</f>
        <v>#N/A</v>
      </c>
      <c r="N1426" t="e">
        <f>VLOOKUP(Tabelle9[[#This Row],[Rank]],Stammdaten[[Rank Verteilung Abholzigkeit]:[Verteilung Abholzigkeit]],2,FALSE)</f>
        <v>#N/A</v>
      </c>
      <c r="S1426">
        <v>1417</v>
      </c>
      <c r="T1426" t="e">
        <f>INDEX(Stammdaten[Krümmung (mm/lfm)],MATCH(Tabelle10[[#This Row],[Rank]],Stammdaten[Rank Verteilung Krümmung],0))</f>
        <v>#N/A</v>
      </c>
      <c r="U1426" t="e">
        <f>VLOOKUP(Tabelle10[[#This Row],[Rank]],Stammdaten[[Rank Verteilung Krümmung]:[Verteilung Krümmung]],2,FALSE)</f>
        <v>#N/A</v>
      </c>
      <c r="Z1426">
        <v>1417</v>
      </c>
      <c r="AA1426" t="e">
        <f>INDEX(Stammdaten[Ovalität (']0,1'])],MATCH(Tabelle1014[[#This Row],[Rank]],Stammdaten[Rank Verteilung Ovalität],0))</f>
        <v>#N/A</v>
      </c>
      <c r="AB1426" t="e">
        <f>VLOOKUP(Tabelle1014[[#This Row],[Rank]],Stammdaten[[Rank Verteilung Ovalität]:[Verteilung Ovalität]],2,FALSE)</f>
        <v>#N/A</v>
      </c>
    </row>
    <row r="1427" spans="5:28" x14ac:dyDescent="0.35">
      <c r="E1427">
        <v>1418</v>
      </c>
      <c r="F1427" t="e">
        <f>INDEX(Stammdaten[D Mitte mit Rinde (mm)],MATCH(Tabelle8[[#This Row],[Rank]],Stammdaten[Rank Verteilung D Mitte mit Rinde],0))</f>
        <v>#N/A</v>
      </c>
      <c r="G1427" t="e">
        <f>VLOOKUP(Tabelle8[[#This Row],[Rank]],Stammdaten[[Rank Verteilung D Mitte mit Rinde]:[Verteilung D Mitte mit Rinde]],2,FALSE)</f>
        <v>#N/A</v>
      </c>
      <c r="L1427">
        <v>1418</v>
      </c>
      <c r="M1427" t="e">
        <f>INDEX(Stammdaten[Abholzigkeit (mm/lfm)],MATCH(Tabelle9[[#This Row],[Rank]],Stammdaten[Rank Verteilung Abholzigkeit],0))</f>
        <v>#N/A</v>
      </c>
      <c r="N1427" t="e">
        <f>VLOOKUP(Tabelle9[[#This Row],[Rank]],Stammdaten[[Rank Verteilung Abholzigkeit]:[Verteilung Abholzigkeit]],2,FALSE)</f>
        <v>#N/A</v>
      </c>
      <c r="S1427">
        <v>1418</v>
      </c>
      <c r="T1427" t="e">
        <f>INDEX(Stammdaten[Krümmung (mm/lfm)],MATCH(Tabelle10[[#This Row],[Rank]],Stammdaten[Rank Verteilung Krümmung],0))</f>
        <v>#N/A</v>
      </c>
      <c r="U1427" t="e">
        <f>VLOOKUP(Tabelle10[[#This Row],[Rank]],Stammdaten[[Rank Verteilung Krümmung]:[Verteilung Krümmung]],2,FALSE)</f>
        <v>#N/A</v>
      </c>
      <c r="Z1427">
        <v>1418</v>
      </c>
      <c r="AA1427" t="e">
        <f>INDEX(Stammdaten[Ovalität (']0,1'])],MATCH(Tabelle1014[[#This Row],[Rank]],Stammdaten[Rank Verteilung Ovalität],0))</f>
        <v>#N/A</v>
      </c>
      <c r="AB1427" t="e">
        <f>VLOOKUP(Tabelle1014[[#This Row],[Rank]],Stammdaten[[Rank Verteilung Ovalität]:[Verteilung Ovalität]],2,FALSE)</f>
        <v>#N/A</v>
      </c>
    </row>
    <row r="1428" spans="5:28" x14ac:dyDescent="0.35">
      <c r="E1428">
        <v>1419</v>
      </c>
      <c r="F1428" t="e">
        <f>INDEX(Stammdaten[D Mitte mit Rinde (mm)],MATCH(Tabelle8[[#This Row],[Rank]],Stammdaten[Rank Verteilung D Mitte mit Rinde],0))</f>
        <v>#N/A</v>
      </c>
      <c r="G1428" t="e">
        <f>VLOOKUP(Tabelle8[[#This Row],[Rank]],Stammdaten[[Rank Verteilung D Mitte mit Rinde]:[Verteilung D Mitte mit Rinde]],2,FALSE)</f>
        <v>#N/A</v>
      </c>
      <c r="L1428">
        <v>1419</v>
      </c>
      <c r="M1428" t="e">
        <f>INDEX(Stammdaten[Abholzigkeit (mm/lfm)],MATCH(Tabelle9[[#This Row],[Rank]],Stammdaten[Rank Verteilung Abholzigkeit],0))</f>
        <v>#N/A</v>
      </c>
      <c r="N1428" t="e">
        <f>VLOOKUP(Tabelle9[[#This Row],[Rank]],Stammdaten[[Rank Verteilung Abholzigkeit]:[Verteilung Abholzigkeit]],2,FALSE)</f>
        <v>#N/A</v>
      </c>
      <c r="S1428">
        <v>1419</v>
      </c>
      <c r="T1428" t="e">
        <f>INDEX(Stammdaten[Krümmung (mm/lfm)],MATCH(Tabelle10[[#This Row],[Rank]],Stammdaten[Rank Verteilung Krümmung],0))</f>
        <v>#N/A</v>
      </c>
      <c r="U1428" t="e">
        <f>VLOOKUP(Tabelle10[[#This Row],[Rank]],Stammdaten[[Rank Verteilung Krümmung]:[Verteilung Krümmung]],2,FALSE)</f>
        <v>#N/A</v>
      </c>
      <c r="Z1428">
        <v>1419</v>
      </c>
      <c r="AA1428" t="e">
        <f>INDEX(Stammdaten[Ovalität (']0,1'])],MATCH(Tabelle1014[[#This Row],[Rank]],Stammdaten[Rank Verteilung Ovalität],0))</f>
        <v>#N/A</v>
      </c>
      <c r="AB1428" t="e">
        <f>VLOOKUP(Tabelle1014[[#This Row],[Rank]],Stammdaten[[Rank Verteilung Ovalität]:[Verteilung Ovalität]],2,FALSE)</f>
        <v>#N/A</v>
      </c>
    </row>
    <row r="1429" spans="5:28" x14ac:dyDescent="0.35">
      <c r="E1429">
        <v>1420</v>
      </c>
      <c r="F1429" t="e">
        <f>INDEX(Stammdaten[D Mitte mit Rinde (mm)],MATCH(Tabelle8[[#This Row],[Rank]],Stammdaten[Rank Verteilung D Mitte mit Rinde],0))</f>
        <v>#N/A</v>
      </c>
      <c r="G1429" t="e">
        <f>VLOOKUP(Tabelle8[[#This Row],[Rank]],Stammdaten[[Rank Verteilung D Mitte mit Rinde]:[Verteilung D Mitte mit Rinde]],2,FALSE)</f>
        <v>#N/A</v>
      </c>
      <c r="L1429">
        <v>1420</v>
      </c>
      <c r="M1429" t="e">
        <f>INDEX(Stammdaten[Abholzigkeit (mm/lfm)],MATCH(Tabelle9[[#This Row],[Rank]],Stammdaten[Rank Verteilung Abholzigkeit],0))</f>
        <v>#N/A</v>
      </c>
      <c r="N1429" t="e">
        <f>VLOOKUP(Tabelle9[[#This Row],[Rank]],Stammdaten[[Rank Verteilung Abholzigkeit]:[Verteilung Abholzigkeit]],2,FALSE)</f>
        <v>#N/A</v>
      </c>
      <c r="S1429">
        <v>1420</v>
      </c>
      <c r="T1429" t="e">
        <f>INDEX(Stammdaten[Krümmung (mm/lfm)],MATCH(Tabelle10[[#This Row],[Rank]],Stammdaten[Rank Verteilung Krümmung],0))</f>
        <v>#N/A</v>
      </c>
      <c r="U1429" t="e">
        <f>VLOOKUP(Tabelle10[[#This Row],[Rank]],Stammdaten[[Rank Verteilung Krümmung]:[Verteilung Krümmung]],2,FALSE)</f>
        <v>#N/A</v>
      </c>
      <c r="Z1429">
        <v>1420</v>
      </c>
      <c r="AA1429" t="e">
        <f>INDEX(Stammdaten[Ovalität (']0,1'])],MATCH(Tabelle1014[[#This Row],[Rank]],Stammdaten[Rank Verteilung Ovalität],0))</f>
        <v>#N/A</v>
      </c>
      <c r="AB1429" t="e">
        <f>VLOOKUP(Tabelle1014[[#This Row],[Rank]],Stammdaten[[Rank Verteilung Ovalität]:[Verteilung Ovalität]],2,FALSE)</f>
        <v>#N/A</v>
      </c>
    </row>
    <row r="1430" spans="5:28" x14ac:dyDescent="0.35">
      <c r="E1430">
        <v>1421</v>
      </c>
      <c r="F1430" t="e">
        <f>INDEX(Stammdaten[D Mitte mit Rinde (mm)],MATCH(Tabelle8[[#This Row],[Rank]],Stammdaten[Rank Verteilung D Mitte mit Rinde],0))</f>
        <v>#N/A</v>
      </c>
      <c r="G1430" t="e">
        <f>VLOOKUP(Tabelle8[[#This Row],[Rank]],Stammdaten[[Rank Verteilung D Mitte mit Rinde]:[Verteilung D Mitte mit Rinde]],2,FALSE)</f>
        <v>#N/A</v>
      </c>
      <c r="L1430">
        <v>1421</v>
      </c>
      <c r="M1430" t="e">
        <f>INDEX(Stammdaten[Abholzigkeit (mm/lfm)],MATCH(Tabelle9[[#This Row],[Rank]],Stammdaten[Rank Verteilung Abholzigkeit],0))</f>
        <v>#N/A</v>
      </c>
      <c r="N1430" t="e">
        <f>VLOOKUP(Tabelle9[[#This Row],[Rank]],Stammdaten[[Rank Verteilung Abholzigkeit]:[Verteilung Abholzigkeit]],2,FALSE)</f>
        <v>#N/A</v>
      </c>
      <c r="S1430">
        <v>1421</v>
      </c>
      <c r="T1430" t="e">
        <f>INDEX(Stammdaten[Krümmung (mm/lfm)],MATCH(Tabelle10[[#This Row],[Rank]],Stammdaten[Rank Verteilung Krümmung],0))</f>
        <v>#N/A</v>
      </c>
      <c r="U1430" t="e">
        <f>VLOOKUP(Tabelle10[[#This Row],[Rank]],Stammdaten[[Rank Verteilung Krümmung]:[Verteilung Krümmung]],2,FALSE)</f>
        <v>#N/A</v>
      </c>
      <c r="Z1430">
        <v>1421</v>
      </c>
      <c r="AA1430" t="e">
        <f>INDEX(Stammdaten[Ovalität (']0,1'])],MATCH(Tabelle1014[[#This Row],[Rank]],Stammdaten[Rank Verteilung Ovalität],0))</f>
        <v>#N/A</v>
      </c>
      <c r="AB1430" t="e">
        <f>VLOOKUP(Tabelle1014[[#This Row],[Rank]],Stammdaten[[Rank Verteilung Ovalität]:[Verteilung Ovalität]],2,FALSE)</f>
        <v>#N/A</v>
      </c>
    </row>
    <row r="1431" spans="5:28" x14ac:dyDescent="0.35">
      <c r="E1431">
        <v>1422</v>
      </c>
      <c r="F1431" t="e">
        <f>INDEX(Stammdaten[D Mitte mit Rinde (mm)],MATCH(Tabelle8[[#This Row],[Rank]],Stammdaten[Rank Verteilung D Mitte mit Rinde],0))</f>
        <v>#N/A</v>
      </c>
      <c r="G1431" t="e">
        <f>VLOOKUP(Tabelle8[[#This Row],[Rank]],Stammdaten[[Rank Verteilung D Mitte mit Rinde]:[Verteilung D Mitte mit Rinde]],2,FALSE)</f>
        <v>#N/A</v>
      </c>
      <c r="L1431">
        <v>1422</v>
      </c>
      <c r="M1431" t="e">
        <f>INDEX(Stammdaten[Abholzigkeit (mm/lfm)],MATCH(Tabelle9[[#This Row],[Rank]],Stammdaten[Rank Verteilung Abholzigkeit],0))</f>
        <v>#N/A</v>
      </c>
      <c r="N1431" t="e">
        <f>VLOOKUP(Tabelle9[[#This Row],[Rank]],Stammdaten[[Rank Verteilung Abholzigkeit]:[Verteilung Abholzigkeit]],2,FALSE)</f>
        <v>#N/A</v>
      </c>
      <c r="S1431">
        <v>1422</v>
      </c>
      <c r="T1431" t="e">
        <f>INDEX(Stammdaten[Krümmung (mm/lfm)],MATCH(Tabelle10[[#This Row],[Rank]],Stammdaten[Rank Verteilung Krümmung],0))</f>
        <v>#N/A</v>
      </c>
      <c r="U1431" t="e">
        <f>VLOOKUP(Tabelle10[[#This Row],[Rank]],Stammdaten[[Rank Verteilung Krümmung]:[Verteilung Krümmung]],2,FALSE)</f>
        <v>#N/A</v>
      </c>
      <c r="Z1431">
        <v>1422</v>
      </c>
      <c r="AA1431" t="e">
        <f>INDEX(Stammdaten[Ovalität (']0,1'])],MATCH(Tabelle1014[[#This Row],[Rank]],Stammdaten[Rank Verteilung Ovalität],0))</f>
        <v>#N/A</v>
      </c>
      <c r="AB1431" t="e">
        <f>VLOOKUP(Tabelle1014[[#This Row],[Rank]],Stammdaten[[Rank Verteilung Ovalität]:[Verteilung Ovalität]],2,FALSE)</f>
        <v>#N/A</v>
      </c>
    </row>
    <row r="1432" spans="5:28" x14ac:dyDescent="0.35">
      <c r="E1432">
        <v>1423</v>
      </c>
      <c r="F1432" t="e">
        <f>INDEX(Stammdaten[D Mitte mit Rinde (mm)],MATCH(Tabelle8[[#This Row],[Rank]],Stammdaten[Rank Verteilung D Mitte mit Rinde],0))</f>
        <v>#N/A</v>
      </c>
      <c r="G1432" t="e">
        <f>VLOOKUP(Tabelle8[[#This Row],[Rank]],Stammdaten[[Rank Verteilung D Mitte mit Rinde]:[Verteilung D Mitte mit Rinde]],2,FALSE)</f>
        <v>#N/A</v>
      </c>
      <c r="L1432">
        <v>1423</v>
      </c>
      <c r="M1432" t="e">
        <f>INDEX(Stammdaten[Abholzigkeit (mm/lfm)],MATCH(Tabelle9[[#This Row],[Rank]],Stammdaten[Rank Verteilung Abholzigkeit],0))</f>
        <v>#N/A</v>
      </c>
      <c r="N1432" t="e">
        <f>VLOOKUP(Tabelle9[[#This Row],[Rank]],Stammdaten[[Rank Verteilung Abholzigkeit]:[Verteilung Abholzigkeit]],2,FALSE)</f>
        <v>#N/A</v>
      </c>
      <c r="S1432">
        <v>1423</v>
      </c>
      <c r="T1432" t="e">
        <f>INDEX(Stammdaten[Krümmung (mm/lfm)],MATCH(Tabelle10[[#This Row],[Rank]],Stammdaten[Rank Verteilung Krümmung],0))</f>
        <v>#N/A</v>
      </c>
      <c r="U1432" t="e">
        <f>VLOOKUP(Tabelle10[[#This Row],[Rank]],Stammdaten[[Rank Verteilung Krümmung]:[Verteilung Krümmung]],2,FALSE)</f>
        <v>#N/A</v>
      </c>
      <c r="Z1432">
        <v>1423</v>
      </c>
      <c r="AA1432" t="e">
        <f>INDEX(Stammdaten[Ovalität (']0,1'])],MATCH(Tabelle1014[[#This Row],[Rank]],Stammdaten[Rank Verteilung Ovalität],0))</f>
        <v>#N/A</v>
      </c>
      <c r="AB1432" t="e">
        <f>VLOOKUP(Tabelle1014[[#This Row],[Rank]],Stammdaten[[Rank Verteilung Ovalität]:[Verteilung Ovalität]],2,FALSE)</f>
        <v>#N/A</v>
      </c>
    </row>
    <row r="1433" spans="5:28" x14ac:dyDescent="0.35">
      <c r="E1433">
        <v>1424</v>
      </c>
      <c r="F1433" t="e">
        <f>INDEX(Stammdaten[D Mitte mit Rinde (mm)],MATCH(Tabelle8[[#This Row],[Rank]],Stammdaten[Rank Verteilung D Mitte mit Rinde],0))</f>
        <v>#N/A</v>
      </c>
      <c r="G1433" t="e">
        <f>VLOOKUP(Tabelle8[[#This Row],[Rank]],Stammdaten[[Rank Verteilung D Mitte mit Rinde]:[Verteilung D Mitte mit Rinde]],2,FALSE)</f>
        <v>#N/A</v>
      </c>
      <c r="L1433">
        <v>1424</v>
      </c>
      <c r="M1433" t="e">
        <f>INDEX(Stammdaten[Abholzigkeit (mm/lfm)],MATCH(Tabelle9[[#This Row],[Rank]],Stammdaten[Rank Verteilung Abholzigkeit],0))</f>
        <v>#N/A</v>
      </c>
      <c r="N1433" t="e">
        <f>VLOOKUP(Tabelle9[[#This Row],[Rank]],Stammdaten[[Rank Verteilung Abholzigkeit]:[Verteilung Abholzigkeit]],2,FALSE)</f>
        <v>#N/A</v>
      </c>
      <c r="S1433">
        <v>1424</v>
      </c>
      <c r="T1433" t="e">
        <f>INDEX(Stammdaten[Krümmung (mm/lfm)],MATCH(Tabelle10[[#This Row],[Rank]],Stammdaten[Rank Verteilung Krümmung],0))</f>
        <v>#N/A</v>
      </c>
      <c r="U1433" t="e">
        <f>VLOOKUP(Tabelle10[[#This Row],[Rank]],Stammdaten[[Rank Verteilung Krümmung]:[Verteilung Krümmung]],2,FALSE)</f>
        <v>#N/A</v>
      </c>
      <c r="Z1433">
        <v>1424</v>
      </c>
      <c r="AA1433" t="e">
        <f>INDEX(Stammdaten[Ovalität (']0,1'])],MATCH(Tabelle1014[[#This Row],[Rank]],Stammdaten[Rank Verteilung Ovalität],0))</f>
        <v>#N/A</v>
      </c>
      <c r="AB1433" t="e">
        <f>VLOOKUP(Tabelle1014[[#This Row],[Rank]],Stammdaten[[Rank Verteilung Ovalität]:[Verteilung Ovalität]],2,FALSE)</f>
        <v>#N/A</v>
      </c>
    </row>
    <row r="1434" spans="5:28" x14ac:dyDescent="0.35">
      <c r="E1434">
        <v>1425</v>
      </c>
      <c r="F1434" t="e">
        <f>INDEX(Stammdaten[D Mitte mit Rinde (mm)],MATCH(Tabelle8[[#This Row],[Rank]],Stammdaten[Rank Verteilung D Mitte mit Rinde],0))</f>
        <v>#N/A</v>
      </c>
      <c r="G1434" t="e">
        <f>VLOOKUP(Tabelle8[[#This Row],[Rank]],Stammdaten[[Rank Verteilung D Mitte mit Rinde]:[Verteilung D Mitte mit Rinde]],2,FALSE)</f>
        <v>#N/A</v>
      </c>
      <c r="L1434">
        <v>1425</v>
      </c>
      <c r="M1434" t="e">
        <f>INDEX(Stammdaten[Abholzigkeit (mm/lfm)],MATCH(Tabelle9[[#This Row],[Rank]],Stammdaten[Rank Verteilung Abholzigkeit],0))</f>
        <v>#N/A</v>
      </c>
      <c r="N1434" t="e">
        <f>VLOOKUP(Tabelle9[[#This Row],[Rank]],Stammdaten[[Rank Verteilung Abholzigkeit]:[Verteilung Abholzigkeit]],2,FALSE)</f>
        <v>#N/A</v>
      </c>
      <c r="S1434">
        <v>1425</v>
      </c>
      <c r="T1434" t="e">
        <f>INDEX(Stammdaten[Krümmung (mm/lfm)],MATCH(Tabelle10[[#This Row],[Rank]],Stammdaten[Rank Verteilung Krümmung],0))</f>
        <v>#N/A</v>
      </c>
      <c r="U1434" t="e">
        <f>VLOOKUP(Tabelle10[[#This Row],[Rank]],Stammdaten[[Rank Verteilung Krümmung]:[Verteilung Krümmung]],2,FALSE)</f>
        <v>#N/A</v>
      </c>
      <c r="Z1434">
        <v>1425</v>
      </c>
      <c r="AA1434" t="e">
        <f>INDEX(Stammdaten[Ovalität (']0,1'])],MATCH(Tabelle1014[[#This Row],[Rank]],Stammdaten[Rank Verteilung Ovalität],0))</f>
        <v>#N/A</v>
      </c>
      <c r="AB1434" t="e">
        <f>VLOOKUP(Tabelle1014[[#This Row],[Rank]],Stammdaten[[Rank Verteilung Ovalität]:[Verteilung Ovalität]],2,FALSE)</f>
        <v>#N/A</v>
      </c>
    </row>
    <row r="1435" spans="5:28" x14ac:dyDescent="0.35">
      <c r="E1435">
        <v>1426</v>
      </c>
      <c r="F1435" t="e">
        <f>INDEX(Stammdaten[D Mitte mit Rinde (mm)],MATCH(Tabelle8[[#This Row],[Rank]],Stammdaten[Rank Verteilung D Mitte mit Rinde],0))</f>
        <v>#N/A</v>
      </c>
      <c r="G1435" t="e">
        <f>VLOOKUP(Tabelle8[[#This Row],[Rank]],Stammdaten[[Rank Verteilung D Mitte mit Rinde]:[Verteilung D Mitte mit Rinde]],2,FALSE)</f>
        <v>#N/A</v>
      </c>
      <c r="L1435">
        <v>1426</v>
      </c>
      <c r="M1435" t="e">
        <f>INDEX(Stammdaten[Abholzigkeit (mm/lfm)],MATCH(Tabelle9[[#This Row],[Rank]],Stammdaten[Rank Verteilung Abholzigkeit],0))</f>
        <v>#N/A</v>
      </c>
      <c r="N1435" t="e">
        <f>VLOOKUP(Tabelle9[[#This Row],[Rank]],Stammdaten[[Rank Verteilung Abholzigkeit]:[Verteilung Abholzigkeit]],2,FALSE)</f>
        <v>#N/A</v>
      </c>
      <c r="S1435">
        <v>1426</v>
      </c>
      <c r="T1435" t="e">
        <f>INDEX(Stammdaten[Krümmung (mm/lfm)],MATCH(Tabelle10[[#This Row],[Rank]],Stammdaten[Rank Verteilung Krümmung],0))</f>
        <v>#N/A</v>
      </c>
      <c r="U1435" t="e">
        <f>VLOOKUP(Tabelle10[[#This Row],[Rank]],Stammdaten[[Rank Verteilung Krümmung]:[Verteilung Krümmung]],2,FALSE)</f>
        <v>#N/A</v>
      </c>
      <c r="Z1435">
        <v>1426</v>
      </c>
      <c r="AA1435" t="e">
        <f>INDEX(Stammdaten[Ovalität (']0,1'])],MATCH(Tabelle1014[[#This Row],[Rank]],Stammdaten[Rank Verteilung Ovalität],0))</f>
        <v>#N/A</v>
      </c>
      <c r="AB1435" t="e">
        <f>VLOOKUP(Tabelle1014[[#This Row],[Rank]],Stammdaten[[Rank Verteilung Ovalität]:[Verteilung Ovalität]],2,FALSE)</f>
        <v>#N/A</v>
      </c>
    </row>
    <row r="1436" spans="5:28" x14ac:dyDescent="0.35">
      <c r="E1436">
        <v>1427</v>
      </c>
      <c r="F1436" t="e">
        <f>INDEX(Stammdaten[D Mitte mit Rinde (mm)],MATCH(Tabelle8[[#This Row],[Rank]],Stammdaten[Rank Verteilung D Mitte mit Rinde],0))</f>
        <v>#N/A</v>
      </c>
      <c r="G1436" t="e">
        <f>VLOOKUP(Tabelle8[[#This Row],[Rank]],Stammdaten[[Rank Verteilung D Mitte mit Rinde]:[Verteilung D Mitte mit Rinde]],2,FALSE)</f>
        <v>#N/A</v>
      </c>
      <c r="L1436">
        <v>1427</v>
      </c>
      <c r="M1436" t="e">
        <f>INDEX(Stammdaten[Abholzigkeit (mm/lfm)],MATCH(Tabelle9[[#This Row],[Rank]],Stammdaten[Rank Verteilung Abholzigkeit],0))</f>
        <v>#N/A</v>
      </c>
      <c r="N1436" t="e">
        <f>VLOOKUP(Tabelle9[[#This Row],[Rank]],Stammdaten[[Rank Verteilung Abholzigkeit]:[Verteilung Abholzigkeit]],2,FALSE)</f>
        <v>#N/A</v>
      </c>
      <c r="S1436">
        <v>1427</v>
      </c>
      <c r="T1436" t="e">
        <f>INDEX(Stammdaten[Krümmung (mm/lfm)],MATCH(Tabelle10[[#This Row],[Rank]],Stammdaten[Rank Verteilung Krümmung],0))</f>
        <v>#N/A</v>
      </c>
      <c r="U1436" t="e">
        <f>VLOOKUP(Tabelle10[[#This Row],[Rank]],Stammdaten[[Rank Verteilung Krümmung]:[Verteilung Krümmung]],2,FALSE)</f>
        <v>#N/A</v>
      </c>
      <c r="Z1436">
        <v>1427</v>
      </c>
      <c r="AA1436" t="e">
        <f>INDEX(Stammdaten[Ovalität (']0,1'])],MATCH(Tabelle1014[[#This Row],[Rank]],Stammdaten[Rank Verteilung Ovalität],0))</f>
        <v>#N/A</v>
      </c>
      <c r="AB1436" t="e">
        <f>VLOOKUP(Tabelle1014[[#This Row],[Rank]],Stammdaten[[Rank Verteilung Ovalität]:[Verteilung Ovalität]],2,FALSE)</f>
        <v>#N/A</v>
      </c>
    </row>
    <row r="1437" spans="5:28" x14ac:dyDescent="0.35">
      <c r="E1437">
        <v>1428</v>
      </c>
      <c r="F1437" t="e">
        <f>INDEX(Stammdaten[D Mitte mit Rinde (mm)],MATCH(Tabelle8[[#This Row],[Rank]],Stammdaten[Rank Verteilung D Mitte mit Rinde],0))</f>
        <v>#N/A</v>
      </c>
      <c r="G1437" t="e">
        <f>VLOOKUP(Tabelle8[[#This Row],[Rank]],Stammdaten[[Rank Verteilung D Mitte mit Rinde]:[Verteilung D Mitte mit Rinde]],2,FALSE)</f>
        <v>#N/A</v>
      </c>
      <c r="L1437">
        <v>1428</v>
      </c>
      <c r="M1437" t="e">
        <f>INDEX(Stammdaten[Abholzigkeit (mm/lfm)],MATCH(Tabelle9[[#This Row],[Rank]],Stammdaten[Rank Verteilung Abholzigkeit],0))</f>
        <v>#N/A</v>
      </c>
      <c r="N1437" t="e">
        <f>VLOOKUP(Tabelle9[[#This Row],[Rank]],Stammdaten[[Rank Verteilung Abholzigkeit]:[Verteilung Abholzigkeit]],2,FALSE)</f>
        <v>#N/A</v>
      </c>
      <c r="S1437">
        <v>1428</v>
      </c>
      <c r="T1437" t="e">
        <f>INDEX(Stammdaten[Krümmung (mm/lfm)],MATCH(Tabelle10[[#This Row],[Rank]],Stammdaten[Rank Verteilung Krümmung],0))</f>
        <v>#N/A</v>
      </c>
      <c r="U1437" t="e">
        <f>VLOOKUP(Tabelle10[[#This Row],[Rank]],Stammdaten[[Rank Verteilung Krümmung]:[Verteilung Krümmung]],2,FALSE)</f>
        <v>#N/A</v>
      </c>
      <c r="Z1437">
        <v>1428</v>
      </c>
      <c r="AA1437" t="e">
        <f>INDEX(Stammdaten[Ovalität (']0,1'])],MATCH(Tabelle1014[[#This Row],[Rank]],Stammdaten[Rank Verteilung Ovalität],0))</f>
        <v>#N/A</v>
      </c>
      <c r="AB1437" t="e">
        <f>VLOOKUP(Tabelle1014[[#This Row],[Rank]],Stammdaten[[Rank Verteilung Ovalität]:[Verteilung Ovalität]],2,FALSE)</f>
        <v>#N/A</v>
      </c>
    </row>
    <row r="1438" spans="5:28" x14ac:dyDescent="0.35">
      <c r="E1438">
        <v>1429</v>
      </c>
      <c r="F1438" t="e">
        <f>INDEX(Stammdaten[D Mitte mit Rinde (mm)],MATCH(Tabelle8[[#This Row],[Rank]],Stammdaten[Rank Verteilung D Mitte mit Rinde],0))</f>
        <v>#N/A</v>
      </c>
      <c r="G1438" t="e">
        <f>VLOOKUP(Tabelle8[[#This Row],[Rank]],Stammdaten[[Rank Verteilung D Mitte mit Rinde]:[Verteilung D Mitte mit Rinde]],2,FALSE)</f>
        <v>#N/A</v>
      </c>
      <c r="L1438">
        <v>1429</v>
      </c>
      <c r="M1438" t="e">
        <f>INDEX(Stammdaten[Abholzigkeit (mm/lfm)],MATCH(Tabelle9[[#This Row],[Rank]],Stammdaten[Rank Verteilung Abholzigkeit],0))</f>
        <v>#N/A</v>
      </c>
      <c r="N1438" t="e">
        <f>VLOOKUP(Tabelle9[[#This Row],[Rank]],Stammdaten[[Rank Verteilung Abholzigkeit]:[Verteilung Abholzigkeit]],2,FALSE)</f>
        <v>#N/A</v>
      </c>
      <c r="S1438">
        <v>1429</v>
      </c>
      <c r="T1438" t="e">
        <f>INDEX(Stammdaten[Krümmung (mm/lfm)],MATCH(Tabelle10[[#This Row],[Rank]],Stammdaten[Rank Verteilung Krümmung],0))</f>
        <v>#N/A</v>
      </c>
      <c r="U1438" t="e">
        <f>VLOOKUP(Tabelle10[[#This Row],[Rank]],Stammdaten[[Rank Verteilung Krümmung]:[Verteilung Krümmung]],2,FALSE)</f>
        <v>#N/A</v>
      </c>
      <c r="Z1438">
        <v>1429</v>
      </c>
      <c r="AA1438" t="e">
        <f>INDEX(Stammdaten[Ovalität (']0,1'])],MATCH(Tabelle1014[[#This Row],[Rank]],Stammdaten[Rank Verteilung Ovalität],0))</f>
        <v>#N/A</v>
      </c>
      <c r="AB1438" t="e">
        <f>VLOOKUP(Tabelle1014[[#This Row],[Rank]],Stammdaten[[Rank Verteilung Ovalität]:[Verteilung Ovalität]],2,FALSE)</f>
        <v>#N/A</v>
      </c>
    </row>
    <row r="1439" spans="5:28" x14ac:dyDescent="0.35">
      <c r="E1439">
        <v>1430</v>
      </c>
      <c r="F1439" t="e">
        <f>INDEX(Stammdaten[D Mitte mit Rinde (mm)],MATCH(Tabelle8[[#This Row],[Rank]],Stammdaten[Rank Verteilung D Mitte mit Rinde],0))</f>
        <v>#N/A</v>
      </c>
      <c r="G1439" t="e">
        <f>VLOOKUP(Tabelle8[[#This Row],[Rank]],Stammdaten[[Rank Verteilung D Mitte mit Rinde]:[Verteilung D Mitte mit Rinde]],2,FALSE)</f>
        <v>#N/A</v>
      </c>
      <c r="L1439">
        <v>1430</v>
      </c>
      <c r="M1439" t="e">
        <f>INDEX(Stammdaten[Abholzigkeit (mm/lfm)],MATCH(Tabelle9[[#This Row],[Rank]],Stammdaten[Rank Verteilung Abholzigkeit],0))</f>
        <v>#N/A</v>
      </c>
      <c r="N1439" t="e">
        <f>VLOOKUP(Tabelle9[[#This Row],[Rank]],Stammdaten[[Rank Verteilung Abholzigkeit]:[Verteilung Abholzigkeit]],2,FALSE)</f>
        <v>#N/A</v>
      </c>
      <c r="S1439">
        <v>1430</v>
      </c>
      <c r="T1439" t="e">
        <f>INDEX(Stammdaten[Krümmung (mm/lfm)],MATCH(Tabelle10[[#This Row],[Rank]],Stammdaten[Rank Verteilung Krümmung],0))</f>
        <v>#N/A</v>
      </c>
      <c r="U1439" t="e">
        <f>VLOOKUP(Tabelle10[[#This Row],[Rank]],Stammdaten[[Rank Verteilung Krümmung]:[Verteilung Krümmung]],2,FALSE)</f>
        <v>#N/A</v>
      </c>
      <c r="Z1439">
        <v>1430</v>
      </c>
      <c r="AA1439" t="e">
        <f>INDEX(Stammdaten[Ovalität (']0,1'])],MATCH(Tabelle1014[[#This Row],[Rank]],Stammdaten[Rank Verteilung Ovalität],0))</f>
        <v>#N/A</v>
      </c>
      <c r="AB1439" t="e">
        <f>VLOOKUP(Tabelle1014[[#This Row],[Rank]],Stammdaten[[Rank Verteilung Ovalität]:[Verteilung Ovalität]],2,FALSE)</f>
        <v>#N/A</v>
      </c>
    </row>
    <row r="1440" spans="5:28" x14ac:dyDescent="0.35">
      <c r="E1440">
        <v>1431</v>
      </c>
      <c r="F1440" t="e">
        <f>INDEX(Stammdaten[D Mitte mit Rinde (mm)],MATCH(Tabelle8[[#This Row],[Rank]],Stammdaten[Rank Verteilung D Mitte mit Rinde],0))</f>
        <v>#N/A</v>
      </c>
      <c r="G1440" t="e">
        <f>VLOOKUP(Tabelle8[[#This Row],[Rank]],Stammdaten[[Rank Verteilung D Mitte mit Rinde]:[Verteilung D Mitte mit Rinde]],2,FALSE)</f>
        <v>#N/A</v>
      </c>
      <c r="L1440">
        <v>1431</v>
      </c>
      <c r="M1440" t="e">
        <f>INDEX(Stammdaten[Abholzigkeit (mm/lfm)],MATCH(Tabelle9[[#This Row],[Rank]],Stammdaten[Rank Verteilung Abholzigkeit],0))</f>
        <v>#N/A</v>
      </c>
      <c r="N1440" t="e">
        <f>VLOOKUP(Tabelle9[[#This Row],[Rank]],Stammdaten[[Rank Verteilung Abholzigkeit]:[Verteilung Abholzigkeit]],2,FALSE)</f>
        <v>#N/A</v>
      </c>
      <c r="S1440">
        <v>1431</v>
      </c>
      <c r="T1440" t="e">
        <f>INDEX(Stammdaten[Krümmung (mm/lfm)],MATCH(Tabelle10[[#This Row],[Rank]],Stammdaten[Rank Verteilung Krümmung],0))</f>
        <v>#N/A</v>
      </c>
      <c r="U1440" t="e">
        <f>VLOOKUP(Tabelle10[[#This Row],[Rank]],Stammdaten[[Rank Verteilung Krümmung]:[Verteilung Krümmung]],2,FALSE)</f>
        <v>#N/A</v>
      </c>
      <c r="Z1440">
        <v>1431</v>
      </c>
      <c r="AA1440" t="e">
        <f>INDEX(Stammdaten[Ovalität (']0,1'])],MATCH(Tabelle1014[[#This Row],[Rank]],Stammdaten[Rank Verteilung Ovalität],0))</f>
        <v>#N/A</v>
      </c>
      <c r="AB1440" t="e">
        <f>VLOOKUP(Tabelle1014[[#This Row],[Rank]],Stammdaten[[Rank Verteilung Ovalität]:[Verteilung Ovalität]],2,FALSE)</f>
        <v>#N/A</v>
      </c>
    </row>
    <row r="1441" spans="5:28" x14ac:dyDescent="0.35">
      <c r="E1441">
        <v>1432</v>
      </c>
      <c r="F1441" t="e">
        <f>INDEX(Stammdaten[D Mitte mit Rinde (mm)],MATCH(Tabelle8[[#This Row],[Rank]],Stammdaten[Rank Verteilung D Mitte mit Rinde],0))</f>
        <v>#N/A</v>
      </c>
      <c r="G1441" t="e">
        <f>VLOOKUP(Tabelle8[[#This Row],[Rank]],Stammdaten[[Rank Verteilung D Mitte mit Rinde]:[Verteilung D Mitte mit Rinde]],2,FALSE)</f>
        <v>#N/A</v>
      </c>
      <c r="L1441">
        <v>1432</v>
      </c>
      <c r="M1441" t="e">
        <f>INDEX(Stammdaten[Abholzigkeit (mm/lfm)],MATCH(Tabelle9[[#This Row],[Rank]],Stammdaten[Rank Verteilung Abholzigkeit],0))</f>
        <v>#N/A</v>
      </c>
      <c r="N1441" t="e">
        <f>VLOOKUP(Tabelle9[[#This Row],[Rank]],Stammdaten[[Rank Verteilung Abholzigkeit]:[Verteilung Abholzigkeit]],2,FALSE)</f>
        <v>#N/A</v>
      </c>
      <c r="S1441">
        <v>1432</v>
      </c>
      <c r="T1441" t="e">
        <f>INDEX(Stammdaten[Krümmung (mm/lfm)],MATCH(Tabelle10[[#This Row],[Rank]],Stammdaten[Rank Verteilung Krümmung],0))</f>
        <v>#N/A</v>
      </c>
      <c r="U1441" t="e">
        <f>VLOOKUP(Tabelle10[[#This Row],[Rank]],Stammdaten[[Rank Verteilung Krümmung]:[Verteilung Krümmung]],2,FALSE)</f>
        <v>#N/A</v>
      </c>
      <c r="Z1441">
        <v>1432</v>
      </c>
      <c r="AA1441" t="e">
        <f>INDEX(Stammdaten[Ovalität (']0,1'])],MATCH(Tabelle1014[[#This Row],[Rank]],Stammdaten[Rank Verteilung Ovalität],0))</f>
        <v>#N/A</v>
      </c>
      <c r="AB1441" t="e">
        <f>VLOOKUP(Tabelle1014[[#This Row],[Rank]],Stammdaten[[Rank Verteilung Ovalität]:[Verteilung Ovalität]],2,FALSE)</f>
        <v>#N/A</v>
      </c>
    </row>
    <row r="1442" spans="5:28" x14ac:dyDescent="0.35">
      <c r="E1442">
        <v>1433</v>
      </c>
      <c r="F1442" t="e">
        <f>INDEX(Stammdaten[D Mitte mit Rinde (mm)],MATCH(Tabelle8[[#This Row],[Rank]],Stammdaten[Rank Verteilung D Mitte mit Rinde],0))</f>
        <v>#N/A</v>
      </c>
      <c r="G1442" t="e">
        <f>VLOOKUP(Tabelle8[[#This Row],[Rank]],Stammdaten[[Rank Verteilung D Mitte mit Rinde]:[Verteilung D Mitte mit Rinde]],2,FALSE)</f>
        <v>#N/A</v>
      </c>
      <c r="L1442">
        <v>1433</v>
      </c>
      <c r="M1442" t="e">
        <f>INDEX(Stammdaten[Abholzigkeit (mm/lfm)],MATCH(Tabelle9[[#This Row],[Rank]],Stammdaten[Rank Verteilung Abholzigkeit],0))</f>
        <v>#N/A</v>
      </c>
      <c r="N1442" t="e">
        <f>VLOOKUP(Tabelle9[[#This Row],[Rank]],Stammdaten[[Rank Verteilung Abholzigkeit]:[Verteilung Abholzigkeit]],2,FALSE)</f>
        <v>#N/A</v>
      </c>
      <c r="S1442">
        <v>1433</v>
      </c>
      <c r="T1442" t="e">
        <f>INDEX(Stammdaten[Krümmung (mm/lfm)],MATCH(Tabelle10[[#This Row],[Rank]],Stammdaten[Rank Verteilung Krümmung],0))</f>
        <v>#N/A</v>
      </c>
      <c r="U1442" t="e">
        <f>VLOOKUP(Tabelle10[[#This Row],[Rank]],Stammdaten[[Rank Verteilung Krümmung]:[Verteilung Krümmung]],2,FALSE)</f>
        <v>#N/A</v>
      </c>
      <c r="Z1442">
        <v>1433</v>
      </c>
      <c r="AA1442" t="e">
        <f>INDEX(Stammdaten[Ovalität (']0,1'])],MATCH(Tabelle1014[[#This Row],[Rank]],Stammdaten[Rank Verteilung Ovalität],0))</f>
        <v>#N/A</v>
      </c>
      <c r="AB1442" t="e">
        <f>VLOOKUP(Tabelle1014[[#This Row],[Rank]],Stammdaten[[Rank Verteilung Ovalität]:[Verteilung Ovalität]],2,FALSE)</f>
        <v>#N/A</v>
      </c>
    </row>
    <row r="1443" spans="5:28" x14ac:dyDescent="0.35">
      <c r="E1443">
        <v>1434</v>
      </c>
      <c r="F1443" t="e">
        <f>INDEX(Stammdaten[D Mitte mit Rinde (mm)],MATCH(Tabelle8[[#This Row],[Rank]],Stammdaten[Rank Verteilung D Mitte mit Rinde],0))</f>
        <v>#N/A</v>
      </c>
      <c r="G1443" t="e">
        <f>VLOOKUP(Tabelle8[[#This Row],[Rank]],Stammdaten[[Rank Verteilung D Mitte mit Rinde]:[Verteilung D Mitte mit Rinde]],2,FALSE)</f>
        <v>#N/A</v>
      </c>
      <c r="L1443">
        <v>1434</v>
      </c>
      <c r="M1443" t="e">
        <f>INDEX(Stammdaten[Abholzigkeit (mm/lfm)],MATCH(Tabelle9[[#This Row],[Rank]],Stammdaten[Rank Verteilung Abholzigkeit],0))</f>
        <v>#N/A</v>
      </c>
      <c r="N1443" t="e">
        <f>VLOOKUP(Tabelle9[[#This Row],[Rank]],Stammdaten[[Rank Verteilung Abholzigkeit]:[Verteilung Abholzigkeit]],2,FALSE)</f>
        <v>#N/A</v>
      </c>
      <c r="S1443">
        <v>1434</v>
      </c>
      <c r="T1443" t="e">
        <f>INDEX(Stammdaten[Krümmung (mm/lfm)],MATCH(Tabelle10[[#This Row],[Rank]],Stammdaten[Rank Verteilung Krümmung],0))</f>
        <v>#N/A</v>
      </c>
      <c r="U1443" t="e">
        <f>VLOOKUP(Tabelle10[[#This Row],[Rank]],Stammdaten[[Rank Verteilung Krümmung]:[Verteilung Krümmung]],2,FALSE)</f>
        <v>#N/A</v>
      </c>
      <c r="Z1443">
        <v>1434</v>
      </c>
      <c r="AA1443" t="e">
        <f>INDEX(Stammdaten[Ovalität (']0,1'])],MATCH(Tabelle1014[[#This Row],[Rank]],Stammdaten[Rank Verteilung Ovalität],0))</f>
        <v>#N/A</v>
      </c>
      <c r="AB1443" t="e">
        <f>VLOOKUP(Tabelle1014[[#This Row],[Rank]],Stammdaten[[Rank Verteilung Ovalität]:[Verteilung Ovalität]],2,FALSE)</f>
        <v>#N/A</v>
      </c>
    </row>
    <row r="1444" spans="5:28" x14ac:dyDescent="0.35">
      <c r="E1444">
        <v>1435</v>
      </c>
      <c r="F1444" t="e">
        <f>INDEX(Stammdaten[D Mitte mit Rinde (mm)],MATCH(Tabelle8[[#This Row],[Rank]],Stammdaten[Rank Verteilung D Mitte mit Rinde],0))</f>
        <v>#N/A</v>
      </c>
      <c r="G1444" t="e">
        <f>VLOOKUP(Tabelle8[[#This Row],[Rank]],Stammdaten[[Rank Verteilung D Mitte mit Rinde]:[Verteilung D Mitte mit Rinde]],2,FALSE)</f>
        <v>#N/A</v>
      </c>
      <c r="L1444">
        <v>1435</v>
      </c>
      <c r="M1444" t="e">
        <f>INDEX(Stammdaten[Abholzigkeit (mm/lfm)],MATCH(Tabelle9[[#This Row],[Rank]],Stammdaten[Rank Verteilung Abholzigkeit],0))</f>
        <v>#N/A</v>
      </c>
      <c r="N1444" t="e">
        <f>VLOOKUP(Tabelle9[[#This Row],[Rank]],Stammdaten[[Rank Verteilung Abholzigkeit]:[Verteilung Abholzigkeit]],2,FALSE)</f>
        <v>#N/A</v>
      </c>
      <c r="S1444">
        <v>1435</v>
      </c>
      <c r="T1444" t="e">
        <f>INDEX(Stammdaten[Krümmung (mm/lfm)],MATCH(Tabelle10[[#This Row],[Rank]],Stammdaten[Rank Verteilung Krümmung],0))</f>
        <v>#N/A</v>
      </c>
      <c r="U1444" t="e">
        <f>VLOOKUP(Tabelle10[[#This Row],[Rank]],Stammdaten[[Rank Verteilung Krümmung]:[Verteilung Krümmung]],2,FALSE)</f>
        <v>#N/A</v>
      </c>
      <c r="Z1444">
        <v>1435</v>
      </c>
      <c r="AA1444" t="e">
        <f>INDEX(Stammdaten[Ovalität (']0,1'])],MATCH(Tabelle1014[[#This Row],[Rank]],Stammdaten[Rank Verteilung Ovalität],0))</f>
        <v>#N/A</v>
      </c>
      <c r="AB1444" t="e">
        <f>VLOOKUP(Tabelle1014[[#This Row],[Rank]],Stammdaten[[Rank Verteilung Ovalität]:[Verteilung Ovalität]],2,FALSE)</f>
        <v>#N/A</v>
      </c>
    </row>
    <row r="1445" spans="5:28" x14ac:dyDescent="0.35">
      <c r="E1445">
        <v>1436</v>
      </c>
      <c r="F1445" t="e">
        <f>INDEX(Stammdaten[D Mitte mit Rinde (mm)],MATCH(Tabelle8[[#This Row],[Rank]],Stammdaten[Rank Verteilung D Mitte mit Rinde],0))</f>
        <v>#N/A</v>
      </c>
      <c r="G1445" t="e">
        <f>VLOOKUP(Tabelle8[[#This Row],[Rank]],Stammdaten[[Rank Verteilung D Mitte mit Rinde]:[Verteilung D Mitte mit Rinde]],2,FALSE)</f>
        <v>#N/A</v>
      </c>
      <c r="L1445">
        <v>1436</v>
      </c>
      <c r="M1445" t="e">
        <f>INDEX(Stammdaten[Abholzigkeit (mm/lfm)],MATCH(Tabelle9[[#This Row],[Rank]],Stammdaten[Rank Verteilung Abholzigkeit],0))</f>
        <v>#N/A</v>
      </c>
      <c r="N1445" t="e">
        <f>VLOOKUP(Tabelle9[[#This Row],[Rank]],Stammdaten[[Rank Verteilung Abholzigkeit]:[Verteilung Abholzigkeit]],2,FALSE)</f>
        <v>#N/A</v>
      </c>
      <c r="S1445">
        <v>1436</v>
      </c>
      <c r="T1445" t="e">
        <f>INDEX(Stammdaten[Krümmung (mm/lfm)],MATCH(Tabelle10[[#This Row],[Rank]],Stammdaten[Rank Verteilung Krümmung],0))</f>
        <v>#N/A</v>
      </c>
      <c r="U1445" t="e">
        <f>VLOOKUP(Tabelle10[[#This Row],[Rank]],Stammdaten[[Rank Verteilung Krümmung]:[Verteilung Krümmung]],2,FALSE)</f>
        <v>#N/A</v>
      </c>
      <c r="Z1445">
        <v>1436</v>
      </c>
      <c r="AA1445" t="e">
        <f>INDEX(Stammdaten[Ovalität (']0,1'])],MATCH(Tabelle1014[[#This Row],[Rank]],Stammdaten[Rank Verteilung Ovalität],0))</f>
        <v>#N/A</v>
      </c>
      <c r="AB1445" t="e">
        <f>VLOOKUP(Tabelle1014[[#This Row],[Rank]],Stammdaten[[Rank Verteilung Ovalität]:[Verteilung Ovalität]],2,FALSE)</f>
        <v>#N/A</v>
      </c>
    </row>
    <row r="1446" spans="5:28" x14ac:dyDescent="0.35">
      <c r="E1446">
        <v>1437</v>
      </c>
      <c r="F1446" t="e">
        <f>INDEX(Stammdaten[D Mitte mit Rinde (mm)],MATCH(Tabelle8[[#This Row],[Rank]],Stammdaten[Rank Verteilung D Mitte mit Rinde],0))</f>
        <v>#N/A</v>
      </c>
      <c r="G1446" t="e">
        <f>VLOOKUP(Tabelle8[[#This Row],[Rank]],Stammdaten[[Rank Verteilung D Mitte mit Rinde]:[Verteilung D Mitte mit Rinde]],2,FALSE)</f>
        <v>#N/A</v>
      </c>
      <c r="L1446">
        <v>1437</v>
      </c>
      <c r="M1446" t="e">
        <f>INDEX(Stammdaten[Abholzigkeit (mm/lfm)],MATCH(Tabelle9[[#This Row],[Rank]],Stammdaten[Rank Verteilung Abholzigkeit],0))</f>
        <v>#N/A</v>
      </c>
      <c r="N1446" t="e">
        <f>VLOOKUP(Tabelle9[[#This Row],[Rank]],Stammdaten[[Rank Verteilung Abholzigkeit]:[Verteilung Abholzigkeit]],2,FALSE)</f>
        <v>#N/A</v>
      </c>
      <c r="S1446">
        <v>1437</v>
      </c>
      <c r="T1446" t="e">
        <f>INDEX(Stammdaten[Krümmung (mm/lfm)],MATCH(Tabelle10[[#This Row],[Rank]],Stammdaten[Rank Verteilung Krümmung],0))</f>
        <v>#N/A</v>
      </c>
      <c r="U1446" t="e">
        <f>VLOOKUP(Tabelle10[[#This Row],[Rank]],Stammdaten[[Rank Verteilung Krümmung]:[Verteilung Krümmung]],2,FALSE)</f>
        <v>#N/A</v>
      </c>
      <c r="Z1446">
        <v>1437</v>
      </c>
      <c r="AA1446" t="e">
        <f>INDEX(Stammdaten[Ovalität (']0,1'])],MATCH(Tabelle1014[[#This Row],[Rank]],Stammdaten[Rank Verteilung Ovalität],0))</f>
        <v>#N/A</v>
      </c>
      <c r="AB1446" t="e">
        <f>VLOOKUP(Tabelle1014[[#This Row],[Rank]],Stammdaten[[Rank Verteilung Ovalität]:[Verteilung Ovalität]],2,FALSE)</f>
        <v>#N/A</v>
      </c>
    </row>
    <row r="1447" spans="5:28" x14ac:dyDescent="0.35">
      <c r="E1447">
        <v>1438</v>
      </c>
      <c r="F1447" t="e">
        <f>INDEX(Stammdaten[D Mitte mit Rinde (mm)],MATCH(Tabelle8[[#This Row],[Rank]],Stammdaten[Rank Verteilung D Mitte mit Rinde],0))</f>
        <v>#N/A</v>
      </c>
      <c r="G1447" t="e">
        <f>VLOOKUP(Tabelle8[[#This Row],[Rank]],Stammdaten[[Rank Verteilung D Mitte mit Rinde]:[Verteilung D Mitte mit Rinde]],2,FALSE)</f>
        <v>#N/A</v>
      </c>
      <c r="L1447">
        <v>1438</v>
      </c>
      <c r="M1447" t="e">
        <f>INDEX(Stammdaten[Abholzigkeit (mm/lfm)],MATCH(Tabelle9[[#This Row],[Rank]],Stammdaten[Rank Verteilung Abholzigkeit],0))</f>
        <v>#N/A</v>
      </c>
      <c r="N1447" t="e">
        <f>VLOOKUP(Tabelle9[[#This Row],[Rank]],Stammdaten[[Rank Verteilung Abholzigkeit]:[Verteilung Abholzigkeit]],2,FALSE)</f>
        <v>#N/A</v>
      </c>
      <c r="S1447">
        <v>1438</v>
      </c>
      <c r="T1447" t="e">
        <f>INDEX(Stammdaten[Krümmung (mm/lfm)],MATCH(Tabelle10[[#This Row],[Rank]],Stammdaten[Rank Verteilung Krümmung],0))</f>
        <v>#N/A</v>
      </c>
      <c r="U1447" t="e">
        <f>VLOOKUP(Tabelle10[[#This Row],[Rank]],Stammdaten[[Rank Verteilung Krümmung]:[Verteilung Krümmung]],2,FALSE)</f>
        <v>#N/A</v>
      </c>
      <c r="Z1447">
        <v>1438</v>
      </c>
      <c r="AA1447" t="e">
        <f>INDEX(Stammdaten[Ovalität (']0,1'])],MATCH(Tabelle1014[[#This Row],[Rank]],Stammdaten[Rank Verteilung Ovalität],0))</f>
        <v>#N/A</v>
      </c>
      <c r="AB1447" t="e">
        <f>VLOOKUP(Tabelle1014[[#This Row],[Rank]],Stammdaten[[Rank Verteilung Ovalität]:[Verteilung Ovalität]],2,FALSE)</f>
        <v>#N/A</v>
      </c>
    </row>
    <row r="1448" spans="5:28" x14ac:dyDescent="0.35">
      <c r="E1448">
        <v>1439</v>
      </c>
      <c r="F1448" t="e">
        <f>INDEX(Stammdaten[D Mitte mit Rinde (mm)],MATCH(Tabelle8[[#This Row],[Rank]],Stammdaten[Rank Verteilung D Mitte mit Rinde],0))</f>
        <v>#N/A</v>
      </c>
      <c r="G1448" t="e">
        <f>VLOOKUP(Tabelle8[[#This Row],[Rank]],Stammdaten[[Rank Verteilung D Mitte mit Rinde]:[Verteilung D Mitte mit Rinde]],2,FALSE)</f>
        <v>#N/A</v>
      </c>
      <c r="L1448">
        <v>1439</v>
      </c>
      <c r="M1448" t="e">
        <f>INDEX(Stammdaten[Abholzigkeit (mm/lfm)],MATCH(Tabelle9[[#This Row],[Rank]],Stammdaten[Rank Verteilung Abholzigkeit],0))</f>
        <v>#N/A</v>
      </c>
      <c r="N1448" t="e">
        <f>VLOOKUP(Tabelle9[[#This Row],[Rank]],Stammdaten[[Rank Verteilung Abholzigkeit]:[Verteilung Abholzigkeit]],2,FALSE)</f>
        <v>#N/A</v>
      </c>
      <c r="S1448">
        <v>1439</v>
      </c>
      <c r="T1448" t="e">
        <f>INDEX(Stammdaten[Krümmung (mm/lfm)],MATCH(Tabelle10[[#This Row],[Rank]],Stammdaten[Rank Verteilung Krümmung],0))</f>
        <v>#N/A</v>
      </c>
      <c r="U1448" t="e">
        <f>VLOOKUP(Tabelle10[[#This Row],[Rank]],Stammdaten[[Rank Verteilung Krümmung]:[Verteilung Krümmung]],2,FALSE)</f>
        <v>#N/A</v>
      </c>
      <c r="Z1448">
        <v>1439</v>
      </c>
      <c r="AA1448" t="e">
        <f>INDEX(Stammdaten[Ovalität (']0,1'])],MATCH(Tabelle1014[[#This Row],[Rank]],Stammdaten[Rank Verteilung Ovalität],0))</f>
        <v>#N/A</v>
      </c>
      <c r="AB1448" t="e">
        <f>VLOOKUP(Tabelle1014[[#This Row],[Rank]],Stammdaten[[Rank Verteilung Ovalität]:[Verteilung Ovalität]],2,FALSE)</f>
        <v>#N/A</v>
      </c>
    </row>
    <row r="1449" spans="5:28" x14ac:dyDescent="0.35">
      <c r="E1449">
        <v>1440</v>
      </c>
      <c r="F1449" t="e">
        <f>INDEX(Stammdaten[D Mitte mit Rinde (mm)],MATCH(Tabelle8[[#This Row],[Rank]],Stammdaten[Rank Verteilung D Mitte mit Rinde],0))</f>
        <v>#N/A</v>
      </c>
      <c r="G1449" t="e">
        <f>VLOOKUP(Tabelle8[[#This Row],[Rank]],Stammdaten[[Rank Verteilung D Mitte mit Rinde]:[Verteilung D Mitte mit Rinde]],2,FALSE)</f>
        <v>#N/A</v>
      </c>
      <c r="L1449">
        <v>1440</v>
      </c>
      <c r="M1449" t="e">
        <f>INDEX(Stammdaten[Abholzigkeit (mm/lfm)],MATCH(Tabelle9[[#This Row],[Rank]],Stammdaten[Rank Verteilung Abholzigkeit],0))</f>
        <v>#N/A</v>
      </c>
      <c r="N1449" t="e">
        <f>VLOOKUP(Tabelle9[[#This Row],[Rank]],Stammdaten[[Rank Verteilung Abholzigkeit]:[Verteilung Abholzigkeit]],2,FALSE)</f>
        <v>#N/A</v>
      </c>
      <c r="S1449">
        <v>1440</v>
      </c>
      <c r="T1449" t="e">
        <f>INDEX(Stammdaten[Krümmung (mm/lfm)],MATCH(Tabelle10[[#This Row],[Rank]],Stammdaten[Rank Verteilung Krümmung],0))</f>
        <v>#N/A</v>
      </c>
      <c r="U1449" t="e">
        <f>VLOOKUP(Tabelle10[[#This Row],[Rank]],Stammdaten[[Rank Verteilung Krümmung]:[Verteilung Krümmung]],2,FALSE)</f>
        <v>#N/A</v>
      </c>
      <c r="Z1449">
        <v>1440</v>
      </c>
      <c r="AA1449" t="e">
        <f>INDEX(Stammdaten[Ovalität (']0,1'])],MATCH(Tabelle1014[[#This Row],[Rank]],Stammdaten[Rank Verteilung Ovalität],0))</f>
        <v>#N/A</v>
      </c>
      <c r="AB1449" t="e">
        <f>VLOOKUP(Tabelle1014[[#This Row],[Rank]],Stammdaten[[Rank Verteilung Ovalität]:[Verteilung Ovalität]],2,FALSE)</f>
        <v>#N/A</v>
      </c>
    </row>
    <row r="1450" spans="5:28" x14ac:dyDescent="0.35">
      <c r="E1450">
        <v>1441</v>
      </c>
      <c r="F1450" t="e">
        <f>INDEX(Stammdaten[D Mitte mit Rinde (mm)],MATCH(Tabelle8[[#This Row],[Rank]],Stammdaten[Rank Verteilung D Mitte mit Rinde],0))</f>
        <v>#N/A</v>
      </c>
      <c r="G1450" t="e">
        <f>VLOOKUP(Tabelle8[[#This Row],[Rank]],Stammdaten[[Rank Verteilung D Mitte mit Rinde]:[Verteilung D Mitte mit Rinde]],2,FALSE)</f>
        <v>#N/A</v>
      </c>
      <c r="L1450">
        <v>1441</v>
      </c>
      <c r="M1450" t="e">
        <f>INDEX(Stammdaten[Abholzigkeit (mm/lfm)],MATCH(Tabelle9[[#This Row],[Rank]],Stammdaten[Rank Verteilung Abholzigkeit],0))</f>
        <v>#N/A</v>
      </c>
      <c r="N1450" t="e">
        <f>VLOOKUP(Tabelle9[[#This Row],[Rank]],Stammdaten[[Rank Verteilung Abholzigkeit]:[Verteilung Abholzigkeit]],2,FALSE)</f>
        <v>#N/A</v>
      </c>
      <c r="S1450">
        <v>1441</v>
      </c>
      <c r="T1450" t="e">
        <f>INDEX(Stammdaten[Krümmung (mm/lfm)],MATCH(Tabelle10[[#This Row],[Rank]],Stammdaten[Rank Verteilung Krümmung],0))</f>
        <v>#N/A</v>
      </c>
      <c r="U1450" t="e">
        <f>VLOOKUP(Tabelle10[[#This Row],[Rank]],Stammdaten[[Rank Verteilung Krümmung]:[Verteilung Krümmung]],2,FALSE)</f>
        <v>#N/A</v>
      </c>
      <c r="Z1450">
        <v>1441</v>
      </c>
      <c r="AA1450" t="e">
        <f>INDEX(Stammdaten[Ovalität (']0,1'])],MATCH(Tabelle1014[[#This Row],[Rank]],Stammdaten[Rank Verteilung Ovalität],0))</f>
        <v>#N/A</v>
      </c>
      <c r="AB1450" t="e">
        <f>VLOOKUP(Tabelle1014[[#This Row],[Rank]],Stammdaten[[Rank Verteilung Ovalität]:[Verteilung Ovalität]],2,FALSE)</f>
        <v>#N/A</v>
      </c>
    </row>
    <row r="1451" spans="5:28" x14ac:dyDescent="0.35">
      <c r="E1451">
        <v>1442</v>
      </c>
      <c r="F1451" t="e">
        <f>INDEX(Stammdaten[D Mitte mit Rinde (mm)],MATCH(Tabelle8[[#This Row],[Rank]],Stammdaten[Rank Verteilung D Mitte mit Rinde],0))</f>
        <v>#N/A</v>
      </c>
      <c r="G1451" t="e">
        <f>VLOOKUP(Tabelle8[[#This Row],[Rank]],Stammdaten[[Rank Verteilung D Mitte mit Rinde]:[Verteilung D Mitte mit Rinde]],2,FALSE)</f>
        <v>#N/A</v>
      </c>
      <c r="L1451">
        <v>1442</v>
      </c>
      <c r="M1451" t="e">
        <f>INDEX(Stammdaten[Abholzigkeit (mm/lfm)],MATCH(Tabelle9[[#This Row],[Rank]],Stammdaten[Rank Verteilung Abholzigkeit],0))</f>
        <v>#N/A</v>
      </c>
      <c r="N1451" t="e">
        <f>VLOOKUP(Tabelle9[[#This Row],[Rank]],Stammdaten[[Rank Verteilung Abholzigkeit]:[Verteilung Abholzigkeit]],2,FALSE)</f>
        <v>#N/A</v>
      </c>
      <c r="S1451">
        <v>1442</v>
      </c>
      <c r="T1451" t="e">
        <f>INDEX(Stammdaten[Krümmung (mm/lfm)],MATCH(Tabelle10[[#This Row],[Rank]],Stammdaten[Rank Verteilung Krümmung],0))</f>
        <v>#N/A</v>
      </c>
      <c r="U1451" t="e">
        <f>VLOOKUP(Tabelle10[[#This Row],[Rank]],Stammdaten[[Rank Verteilung Krümmung]:[Verteilung Krümmung]],2,FALSE)</f>
        <v>#N/A</v>
      </c>
      <c r="Z1451">
        <v>1442</v>
      </c>
      <c r="AA1451" t="e">
        <f>INDEX(Stammdaten[Ovalität (']0,1'])],MATCH(Tabelle1014[[#This Row],[Rank]],Stammdaten[Rank Verteilung Ovalität],0))</f>
        <v>#N/A</v>
      </c>
      <c r="AB1451" t="e">
        <f>VLOOKUP(Tabelle1014[[#This Row],[Rank]],Stammdaten[[Rank Verteilung Ovalität]:[Verteilung Ovalität]],2,FALSE)</f>
        <v>#N/A</v>
      </c>
    </row>
    <row r="1452" spans="5:28" x14ac:dyDescent="0.35">
      <c r="E1452">
        <v>1443</v>
      </c>
      <c r="F1452" t="e">
        <f>INDEX(Stammdaten[D Mitte mit Rinde (mm)],MATCH(Tabelle8[[#This Row],[Rank]],Stammdaten[Rank Verteilung D Mitte mit Rinde],0))</f>
        <v>#N/A</v>
      </c>
      <c r="G1452" t="e">
        <f>VLOOKUP(Tabelle8[[#This Row],[Rank]],Stammdaten[[Rank Verteilung D Mitte mit Rinde]:[Verteilung D Mitte mit Rinde]],2,FALSE)</f>
        <v>#N/A</v>
      </c>
      <c r="L1452">
        <v>1443</v>
      </c>
      <c r="M1452" t="e">
        <f>INDEX(Stammdaten[Abholzigkeit (mm/lfm)],MATCH(Tabelle9[[#This Row],[Rank]],Stammdaten[Rank Verteilung Abholzigkeit],0))</f>
        <v>#N/A</v>
      </c>
      <c r="N1452" t="e">
        <f>VLOOKUP(Tabelle9[[#This Row],[Rank]],Stammdaten[[Rank Verteilung Abholzigkeit]:[Verteilung Abholzigkeit]],2,FALSE)</f>
        <v>#N/A</v>
      </c>
      <c r="S1452">
        <v>1443</v>
      </c>
      <c r="T1452" t="e">
        <f>INDEX(Stammdaten[Krümmung (mm/lfm)],MATCH(Tabelle10[[#This Row],[Rank]],Stammdaten[Rank Verteilung Krümmung],0))</f>
        <v>#N/A</v>
      </c>
      <c r="U1452" t="e">
        <f>VLOOKUP(Tabelle10[[#This Row],[Rank]],Stammdaten[[Rank Verteilung Krümmung]:[Verteilung Krümmung]],2,FALSE)</f>
        <v>#N/A</v>
      </c>
      <c r="Z1452">
        <v>1443</v>
      </c>
      <c r="AA1452" t="e">
        <f>INDEX(Stammdaten[Ovalität (']0,1'])],MATCH(Tabelle1014[[#This Row],[Rank]],Stammdaten[Rank Verteilung Ovalität],0))</f>
        <v>#N/A</v>
      </c>
      <c r="AB1452" t="e">
        <f>VLOOKUP(Tabelle1014[[#This Row],[Rank]],Stammdaten[[Rank Verteilung Ovalität]:[Verteilung Ovalität]],2,FALSE)</f>
        <v>#N/A</v>
      </c>
    </row>
    <row r="1453" spans="5:28" x14ac:dyDescent="0.35">
      <c r="E1453">
        <v>1444</v>
      </c>
      <c r="F1453" t="e">
        <f>INDEX(Stammdaten[D Mitte mit Rinde (mm)],MATCH(Tabelle8[[#This Row],[Rank]],Stammdaten[Rank Verteilung D Mitte mit Rinde],0))</f>
        <v>#N/A</v>
      </c>
      <c r="G1453" t="e">
        <f>VLOOKUP(Tabelle8[[#This Row],[Rank]],Stammdaten[[Rank Verteilung D Mitte mit Rinde]:[Verteilung D Mitte mit Rinde]],2,FALSE)</f>
        <v>#N/A</v>
      </c>
      <c r="L1453">
        <v>1444</v>
      </c>
      <c r="M1453" t="e">
        <f>INDEX(Stammdaten[Abholzigkeit (mm/lfm)],MATCH(Tabelle9[[#This Row],[Rank]],Stammdaten[Rank Verteilung Abholzigkeit],0))</f>
        <v>#N/A</v>
      </c>
      <c r="N1453" t="e">
        <f>VLOOKUP(Tabelle9[[#This Row],[Rank]],Stammdaten[[Rank Verteilung Abholzigkeit]:[Verteilung Abholzigkeit]],2,FALSE)</f>
        <v>#N/A</v>
      </c>
      <c r="S1453">
        <v>1444</v>
      </c>
      <c r="T1453" t="e">
        <f>INDEX(Stammdaten[Krümmung (mm/lfm)],MATCH(Tabelle10[[#This Row],[Rank]],Stammdaten[Rank Verteilung Krümmung],0))</f>
        <v>#N/A</v>
      </c>
      <c r="U1453" t="e">
        <f>VLOOKUP(Tabelle10[[#This Row],[Rank]],Stammdaten[[Rank Verteilung Krümmung]:[Verteilung Krümmung]],2,FALSE)</f>
        <v>#N/A</v>
      </c>
      <c r="Z1453">
        <v>1444</v>
      </c>
      <c r="AA1453" t="e">
        <f>INDEX(Stammdaten[Ovalität (']0,1'])],MATCH(Tabelle1014[[#This Row],[Rank]],Stammdaten[Rank Verteilung Ovalität],0))</f>
        <v>#N/A</v>
      </c>
      <c r="AB1453" t="e">
        <f>VLOOKUP(Tabelle1014[[#This Row],[Rank]],Stammdaten[[Rank Verteilung Ovalität]:[Verteilung Ovalität]],2,FALSE)</f>
        <v>#N/A</v>
      </c>
    </row>
    <row r="1454" spans="5:28" x14ac:dyDescent="0.35">
      <c r="E1454">
        <v>1445</v>
      </c>
      <c r="F1454" t="e">
        <f>INDEX(Stammdaten[D Mitte mit Rinde (mm)],MATCH(Tabelle8[[#This Row],[Rank]],Stammdaten[Rank Verteilung D Mitte mit Rinde],0))</f>
        <v>#N/A</v>
      </c>
      <c r="G1454" t="e">
        <f>VLOOKUP(Tabelle8[[#This Row],[Rank]],Stammdaten[[Rank Verteilung D Mitte mit Rinde]:[Verteilung D Mitte mit Rinde]],2,FALSE)</f>
        <v>#N/A</v>
      </c>
      <c r="L1454">
        <v>1445</v>
      </c>
      <c r="M1454" t="e">
        <f>INDEX(Stammdaten[Abholzigkeit (mm/lfm)],MATCH(Tabelle9[[#This Row],[Rank]],Stammdaten[Rank Verteilung Abholzigkeit],0))</f>
        <v>#N/A</v>
      </c>
      <c r="N1454" t="e">
        <f>VLOOKUP(Tabelle9[[#This Row],[Rank]],Stammdaten[[Rank Verteilung Abholzigkeit]:[Verteilung Abholzigkeit]],2,FALSE)</f>
        <v>#N/A</v>
      </c>
      <c r="S1454">
        <v>1445</v>
      </c>
      <c r="T1454" t="e">
        <f>INDEX(Stammdaten[Krümmung (mm/lfm)],MATCH(Tabelle10[[#This Row],[Rank]],Stammdaten[Rank Verteilung Krümmung],0))</f>
        <v>#N/A</v>
      </c>
      <c r="U1454" t="e">
        <f>VLOOKUP(Tabelle10[[#This Row],[Rank]],Stammdaten[[Rank Verteilung Krümmung]:[Verteilung Krümmung]],2,FALSE)</f>
        <v>#N/A</v>
      </c>
      <c r="Z1454">
        <v>1445</v>
      </c>
      <c r="AA1454" t="e">
        <f>INDEX(Stammdaten[Ovalität (']0,1'])],MATCH(Tabelle1014[[#This Row],[Rank]],Stammdaten[Rank Verteilung Ovalität],0))</f>
        <v>#N/A</v>
      </c>
      <c r="AB1454" t="e">
        <f>VLOOKUP(Tabelle1014[[#This Row],[Rank]],Stammdaten[[Rank Verteilung Ovalität]:[Verteilung Ovalität]],2,FALSE)</f>
        <v>#N/A</v>
      </c>
    </row>
    <row r="1455" spans="5:28" x14ac:dyDescent="0.35">
      <c r="E1455">
        <v>1446</v>
      </c>
      <c r="F1455" t="e">
        <f>INDEX(Stammdaten[D Mitte mit Rinde (mm)],MATCH(Tabelle8[[#This Row],[Rank]],Stammdaten[Rank Verteilung D Mitte mit Rinde],0))</f>
        <v>#N/A</v>
      </c>
      <c r="G1455" t="e">
        <f>VLOOKUP(Tabelle8[[#This Row],[Rank]],Stammdaten[[Rank Verteilung D Mitte mit Rinde]:[Verteilung D Mitte mit Rinde]],2,FALSE)</f>
        <v>#N/A</v>
      </c>
      <c r="L1455">
        <v>1446</v>
      </c>
      <c r="M1455" t="e">
        <f>INDEX(Stammdaten[Abholzigkeit (mm/lfm)],MATCH(Tabelle9[[#This Row],[Rank]],Stammdaten[Rank Verteilung Abholzigkeit],0))</f>
        <v>#N/A</v>
      </c>
      <c r="N1455" t="e">
        <f>VLOOKUP(Tabelle9[[#This Row],[Rank]],Stammdaten[[Rank Verteilung Abholzigkeit]:[Verteilung Abholzigkeit]],2,FALSE)</f>
        <v>#N/A</v>
      </c>
      <c r="S1455">
        <v>1446</v>
      </c>
      <c r="T1455" t="e">
        <f>INDEX(Stammdaten[Krümmung (mm/lfm)],MATCH(Tabelle10[[#This Row],[Rank]],Stammdaten[Rank Verteilung Krümmung],0))</f>
        <v>#N/A</v>
      </c>
      <c r="U1455" t="e">
        <f>VLOOKUP(Tabelle10[[#This Row],[Rank]],Stammdaten[[Rank Verteilung Krümmung]:[Verteilung Krümmung]],2,FALSE)</f>
        <v>#N/A</v>
      </c>
      <c r="Z1455">
        <v>1446</v>
      </c>
      <c r="AA1455" t="e">
        <f>INDEX(Stammdaten[Ovalität (']0,1'])],MATCH(Tabelle1014[[#This Row],[Rank]],Stammdaten[Rank Verteilung Ovalität],0))</f>
        <v>#N/A</v>
      </c>
      <c r="AB1455" t="e">
        <f>VLOOKUP(Tabelle1014[[#This Row],[Rank]],Stammdaten[[Rank Verteilung Ovalität]:[Verteilung Ovalität]],2,FALSE)</f>
        <v>#N/A</v>
      </c>
    </row>
    <row r="1456" spans="5:28" x14ac:dyDescent="0.35">
      <c r="E1456">
        <v>1447</v>
      </c>
      <c r="F1456" t="e">
        <f>INDEX(Stammdaten[D Mitte mit Rinde (mm)],MATCH(Tabelle8[[#This Row],[Rank]],Stammdaten[Rank Verteilung D Mitte mit Rinde],0))</f>
        <v>#N/A</v>
      </c>
      <c r="G1456" t="e">
        <f>VLOOKUP(Tabelle8[[#This Row],[Rank]],Stammdaten[[Rank Verteilung D Mitte mit Rinde]:[Verteilung D Mitte mit Rinde]],2,FALSE)</f>
        <v>#N/A</v>
      </c>
      <c r="L1456">
        <v>1447</v>
      </c>
      <c r="M1456" t="e">
        <f>INDEX(Stammdaten[Abholzigkeit (mm/lfm)],MATCH(Tabelle9[[#This Row],[Rank]],Stammdaten[Rank Verteilung Abholzigkeit],0))</f>
        <v>#N/A</v>
      </c>
      <c r="N1456" t="e">
        <f>VLOOKUP(Tabelle9[[#This Row],[Rank]],Stammdaten[[Rank Verteilung Abholzigkeit]:[Verteilung Abholzigkeit]],2,FALSE)</f>
        <v>#N/A</v>
      </c>
      <c r="S1456">
        <v>1447</v>
      </c>
      <c r="T1456" t="e">
        <f>INDEX(Stammdaten[Krümmung (mm/lfm)],MATCH(Tabelle10[[#This Row],[Rank]],Stammdaten[Rank Verteilung Krümmung],0))</f>
        <v>#N/A</v>
      </c>
      <c r="U1456" t="e">
        <f>VLOOKUP(Tabelle10[[#This Row],[Rank]],Stammdaten[[Rank Verteilung Krümmung]:[Verteilung Krümmung]],2,FALSE)</f>
        <v>#N/A</v>
      </c>
      <c r="Z1456">
        <v>1447</v>
      </c>
      <c r="AA1456" t="e">
        <f>INDEX(Stammdaten[Ovalität (']0,1'])],MATCH(Tabelle1014[[#This Row],[Rank]],Stammdaten[Rank Verteilung Ovalität],0))</f>
        <v>#N/A</v>
      </c>
      <c r="AB1456" t="e">
        <f>VLOOKUP(Tabelle1014[[#This Row],[Rank]],Stammdaten[[Rank Verteilung Ovalität]:[Verteilung Ovalität]],2,FALSE)</f>
        <v>#N/A</v>
      </c>
    </row>
    <row r="1457" spans="5:28" x14ac:dyDescent="0.35">
      <c r="E1457">
        <v>1448</v>
      </c>
      <c r="F1457" t="e">
        <f>INDEX(Stammdaten[D Mitte mit Rinde (mm)],MATCH(Tabelle8[[#This Row],[Rank]],Stammdaten[Rank Verteilung D Mitte mit Rinde],0))</f>
        <v>#N/A</v>
      </c>
      <c r="G1457" t="e">
        <f>VLOOKUP(Tabelle8[[#This Row],[Rank]],Stammdaten[[Rank Verteilung D Mitte mit Rinde]:[Verteilung D Mitte mit Rinde]],2,FALSE)</f>
        <v>#N/A</v>
      </c>
      <c r="L1457">
        <v>1448</v>
      </c>
      <c r="M1457" t="e">
        <f>INDEX(Stammdaten[Abholzigkeit (mm/lfm)],MATCH(Tabelle9[[#This Row],[Rank]],Stammdaten[Rank Verteilung Abholzigkeit],0))</f>
        <v>#N/A</v>
      </c>
      <c r="N1457" t="e">
        <f>VLOOKUP(Tabelle9[[#This Row],[Rank]],Stammdaten[[Rank Verteilung Abholzigkeit]:[Verteilung Abholzigkeit]],2,FALSE)</f>
        <v>#N/A</v>
      </c>
      <c r="S1457">
        <v>1448</v>
      </c>
      <c r="T1457" t="e">
        <f>INDEX(Stammdaten[Krümmung (mm/lfm)],MATCH(Tabelle10[[#This Row],[Rank]],Stammdaten[Rank Verteilung Krümmung],0))</f>
        <v>#N/A</v>
      </c>
      <c r="U1457" t="e">
        <f>VLOOKUP(Tabelle10[[#This Row],[Rank]],Stammdaten[[Rank Verteilung Krümmung]:[Verteilung Krümmung]],2,FALSE)</f>
        <v>#N/A</v>
      </c>
      <c r="Z1457">
        <v>1448</v>
      </c>
      <c r="AA1457" t="e">
        <f>INDEX(Stammdaten[Ovalität (']0,1'])],MATCH(Tabelle1014[[#This Row],[Rank]],Stammdaten[Rank Verteilung Ovalität],0))</f>
        <v>#N/A</v>
      </c>
      <c r="AB1457" t="e">
        <f>VLOOKUP(Tabelle1014[[#This Row],[Rank]],Stammdaten[[Rank Verteilung Ovalität]:[Verteilung Ovalität]],2,FALSE)</f>
        <v>#N/A</v>
      </c>
    </row>
    <row r="1458" spans="5:28" x14ac:dyDescent="0.35">
      <c r="E1458">
        <v>1449</v>
      </c>
      <c r="F1458" t="e">
        <f>INDEX(Stammdaten[D Mitte mit Rinde (mm)],MATCH(Tabelle8[[#This Row],[Rank]],Stammdaten[Rank Verteilung D Mitte mit Rinde],0))</f>
        <v>#N/A</v>
      </c>
      <c r="G1458" t="e">
        <f>VLOOKUP(Tabelle8[[#This Row],[Rank]],Stammdaten[[Rank Verteilung D Mitte mit Rinde]:[Verteilung D Mitte mit Rinde]],2,FALSE)</f>
        <v>#N/A</v>
      </c>
      <c r="L1458">
        <v>1449</v>
      </c>
      <c r="M1458" t="e">
        <f>INDEX(Stammdaten[Abholzigkeit (mm/lfm)],MATCH(Tabelle9[[#This Row],[Rank]],Stammdaten[Rank Verteilung Abholzigkeit],0))</f>
        <v>#N/A</v>
      </c>
      <c r="N1458" t="e">
        <f>VLOOKUP(Tabelle9[[#This Row],[Rank]],Stammdaten[[Rank Verteilung Abholzigkeit]:[Verteilung Abholzigkeit]],2,FALSE)</f>
        <v>#N/A</v>
      </c>
      <c r="S1458">
        <v>1449</v>
      </c>
      <c r="T1458" t="e">
        <f>INDEX(Stammdaten[Krümmung (mm/lfm)],MATCH(Tabelle10[[#This Row],[Rank]],Stammdaten[Rank Verteilung Krümmung],0))</f>
        <v>#N/A</v>
      </c>
      <c r="U1458" t="e">
        <f>VLOOKUP(Tabelle10[[#This Row],[Rank]],Stammdaten[[Rank Verteilung Krümmung]:[Verteilung Krümmung]],2,FALSE)</f>
        <v>#N/A</v>
      </c>
      <c r="Z1458">
        <v>1449</v>
      </c>
      <c r="AA1458" t="e">
        <f>INDEX(Stammdaten[Ovalität (']0,1'])],MATCH(Tabelle1014[[#This Row],[Rank]],Stammdaten[Rank Verteilung Ovalität],0))</f>
        <v>#N/A</v>
      </c>
      <c r="AB1458" t="e">
        <f>VLOOKUP(Tabelle1014[[#This Row],[Rank]],Stammdaten[[Rank Verteilung Ovalität]:[Verteilung Ovalität]],2,FALSE)</f>
        <v>#N/A</v>
      </c>
    </row>
    <row r="1459" spans="5:28" x14ac:dyDescent="0.35">
      <c r="E1459">
        <v>1450</v>
      </c>
      <c r="F1459" t="e">
        <f>INDEX(Stammdaten[D Mitte mit Rinde (mm)],MATCH(Tabelle8[[#This Row],[Rank]],Stammdaten[Rank Verteilung D Mitte mit Rinde],0))</f>
        <v>#N/A</v>
      </c>
      <c r="G1459" t="e">
        <f>VLOOKUP(Tabelle8[[#This Row],[Rank]],Stammdaten[[Rank Verteilung D Mitte mit Rinde]:[Verteilung D Mitte mit Rinde]],2,FALSE)</f>
        <v>#N/A</v>
      </c>
      <c r="L1459">
        <v>1450</v>
      </c>
      <c r="M1459" t="e">
        <f>INDEX(Stammdaten[Abholzigkeit (mm/lfm)],MATCH(Tabelle9[[#This Row],[Rank]],Stammdaten[Rank Verteilung Abholzigkeit],0))</f>
        <v>#N/A</v>
      </c>
      <c r="N1459" t="e">
        <f>VLOOKUP(Tabelle9[[#This Row],[Rank]],Stammdaten[[Rank Verteilung Abholzigkeit]:[Verteilung Abholzigkeit]],2,FALSE)</f>
        <v>#N/A</v>
      </c>
      <c r="S1459">
        <v>1450</v>
      </c>
      <c r="T1459" t="e">
        <f>INDEX(Stammdaten[Krümmung (mm/lfm)],MATCH(Tabelle10[[#This Row],[Rank]],Stammdaten[Rank Verteilung Krümmung],0))</f>
        <v>#N/A</v>
      </c>
      <c r="U1459" t="e">
        <f>VLOOKUP(Tabelle10[[#This Row],[Rank]],Stammdaten[[Rank Verteilung Krümmung]:[Verteilung Krümmung]],2,FALSE)</f>
        <v>#N/A</v>
      </c>
      <c r="Z1459">
        <v>1450</v>
      </c>
      <c r="AA1459" t="e">
        <f>INDEX(Stammdaten[Ovalität (']0,1'])],MATCH(Tabelle1014[[#This Row],[Rank]],Stammdaten[Rank Verteilung Ovalität],0))</f>
        <v>#N/A</v>
      </c>
      <c r="AB1459" t="e">
        <f>VLOOKUP(Tabelle1014[[#This Row],[Rank]],Stammdaten[[Rank Verteilung Ovalität]:[Verteilung Ovalität]],2,FALSE)</f>
        <v>#N/A</v>
      </c>
    </row>
    <row r="1460" spans="5:28" x14ac:dyDescent="0.35">
      <c r="E1460">
        <v>1451</v>
      </c>
      <c r="F1460" t="e">
        <f>INDEX(Stammdaten[D Mitte mit Rinde (mm)],MATCH(Tabelle8[[#This Row],[Rank]],Stammdaten[Rank Verteilung D Mitte mit Rinde],0))</f>
        <v>#N/A</v>
      </c>
      <c r="G1460" t="e">
        <f>VLOOKUP(Tabelle8[[#This Row],[Rank]],Stammdaten[[Rank Verteilung D Mitte mit Rinde]:[Verteilung D Mitte mit Rinde]],2,FALSE)</f>
        <v>#N/A</v>
      </c>
      <c r="L1460">
        <v>1451</v>
      </c>
      <c r="M1460" t="e">
        <f>INDEX(Stammdaten[Abholzigkeit (mm/lfm)],MATCH(Tabelle9[[#This Row],[Rank]],Stammdaten[Rank Verteilung Abholzigkeit],0))</f>
        <v>#N/A</v>
      </c>
      <c r="N1460" t="e">
        <f>VLOOKUP(Tabelle9[[#This Row],[Rank]],Stammdaten[[Rank Verteilung Abholzigkeit]:[Verteilung Abholzigkeit]],2,FALSE)</f>
        <v>#N/A</v>
      </c>
      <c r="S1460">
        <v>1451</v>
      </c>
      <c r="T1460" t="e">
        <f>INDEX(Stammdaten[Krümmung (mm/lfm)],MATCH(Tabelle10[[#This Row],[Rank]],Stammdaten[Rank Verteilung Krümmung],0))</f>
        <v>#N/A</v>
      </c>
      <c r="U1460" t="e">
        <f>VLOOKUP(Tabelle10[[#This Row],[Rank]],Stammdaten[[Rank Verteilung Krümmung]:[Verteilung Krümmung]],2,FALSE)</f>
        <v>#N/A</v>
      </c>
      <c r="Z1460">
        <v>1451</v>
      </c>
      <c r="AA1460" t="e">
        <f>INDEX(Stammdaten[Ovalität (']0,1'])],MATCH(Tabelle1014[[#This Row],[Rank]],Stammdaten[Rank Verteilung Ovalität],0))</f>
        <v>#N/A</v>
      </c>
      <c r="AB1460" t="e">
        <f>VLOOKUP(Tabelle1014[[#This Row],[Rank]],Stammdaten[[Rank Verteilung Ovalität]:[Verteilung Ovalität]],2,FALSE)</f>
        <v>#N/A</v>
      </c>
    </row>
    <row r="1461" spans="5:28" x14ac:dyDescent="0.35">
      <c r="E1461">
        <v>1452</v>
      </c>
      <c r="F1461" t="e">
        <f>INDEX(Stammdaten[D Mitte mit Rinde (mm)],MATCH(Tabelle8[[#This Row],[Rank]],Stammdaten[Rank Verteilung D Mitte mit Rinde],0))</f>
        <v>#N/A</v>
      </c>
      <c r="G1461" t="e">
        <f>VLOOKUP(Tabelle8[[#This Row],[Rank]],Stammdaten[[Rank Verteilung D Mitte mit Rinde]:[Verteilung D Mitte mit Rinde]],2,FALSE)</f>
        <v>#N/A</v>
      </c>
      <c r="L1461">
        <v>1452</v>
      </c>
      <c r="M1461" t="e">
        <f>INDEX(Stammdaten[Abholzigkeit (mm/lfm)],MATCH(Tabelle9[[#This Row],[Rank]],Stammdaten[Rank Verteilung Abholzigkeit],0))</f>
        <v>#N/A</v>
      </c>
      <c r="N1461" t="e">
        <f>VLOOKUP(Tabelle9[[#This Row],[Rank]],Stammdaten[[Rank Verteilung Abholzigkeit]:[Verteilung Abholzigkeit]],2,FALSE)</f>
        <v>#N/A</v>
      </c>
      <c r="S1461">
        <v>1452</v>
      </c>
      <c r="T1461" t="e">
        <f>INDEX(Stammdaten[Krümmung (mm/lfm)],MATCH(Tabelle10[[#This Row],[Rank]],Stammdaten[Rank Verteilung Krümmung],0))</f>
        <v>#N/A</v>
      </c>
      <c r="U1461" t="e">
        <f>VLOOKUP(Tabelle10[[#This Row],[Rank]],Stammdaten[[Rank Verteilung Krümmung]:[Verteilung Krümmung]],2,FALSE)</f>
        <v>#N/A</v>
      </c>
      <c r="Z1461">
        <v>1452</v>
      </c>
      <c r="AA1461" t="e">
        <f>INDEX(Stammdaten[Ovalität (']0,1'])],MATCH(Tabelle1014[[#This Row],[Rank]],Stammdaten[Rank Verteilung Ovalität],0))</f>
        <v>#N/A</v>
      </c>
      <c r="AB1461" t="e">
        <f>VLOOKUP(Tabelle1014[[#This Row],[Rank]],Stammdaten[[Rank Verteilung Ovalität]:[Verteilung Ovalität]],2,FALSE)</f>
        <v>#N/A</v>
      </c>
    </row>
    <row r="1462" spans="5:28" x14ac:dyDescent="0.35">
      <c r="E1462">
        <v>1453</v>
      </c>
      <c r="F1462" t="e">
        <f>INDEX(Stammdaten[D Mitte mit Rinde (mm)],MATCH(Tabelle8[[#This Row],[Rank]],Stammdaten[Rank Verteilung D Mitte mit Rinde],0))</f>
        <v>#N/A</v>
      </c>
      <c r="G1462" t="e">
        <f>VLOOKUP(Tabelle8[[#This Row],[Rank]],Stammdaten[[Rank Verteilung D Mitte mit Rinde]:[Verteilung D Mitte mit Rinde]],2,FALSE)</f>
        <v>#N/A</v>
      </c>
      <c r="L1462">
        <v>1453</v>
      </c>
      <c r="M1462" t="e">
        <f>INDEX(Stammdaten[Abholzigkeit (mm/lfm)],MATCH(Tabelle9[[#This Row],[Rank]],Stammdaten[Rank Verteilung Abholzigkeit],0))</f>
        <v>#N/A</v>
      </c>
      <c r="N1462" t="e">
        <f>VLOOKUP(Tabelle9[[#This Row],[Rank]],Stammdaten[[Rank Verteilung Abholzigkeit]:[Verteilung Abholzigkeit]],2,FALSE)</f>
        <v>#N/A</v>
      </c>
      <c r="S1462">
        <v>1453</v>
      </c>
      <c r="T1462" t="e">
        <f>INDEX(Stammdaten[Krümmung (mm/lfm)],MATCH(Tabelle10[[#This Row],[Rank]],Stammdaten[Rank Verteilung Krümmung],0))</f>
        <v>#N/A</v>
      </c>
      <c r="U1462" t="e">
        <f>VLOOKUP(Tabelle10[[#This Row],[Rank]],Stammdaten[[Rank Verteilung Krümmung]:[Verteilung Krümmung]],2,FALSE)</f>
        <v>#N/A</v>
      </c>
      <c r="Z1462">
        <v>1453</v>
      </c>
      <c r="AA1462" t="e">
        <f>INDEX(Stammdaten[Ovalität (']0,1'])],MATCH(Tabelle1014[[#This Row],[Rank]],Stammdaten[Rank Verteilung Ovalität],0))</f>
        <v>#N/A</v>
      </c>
      <c r="AB1462" t="e">
        <f>VLOOKUP(Tabelle1014[[#This Row],[Rank]],Stammdaten[[Rank Verteilung Ovalität]:[Verteilung Ovalität]],2,FALSE)</f>
        <v>#N/A</v>
      </c>
    </row>
    <row r="1463" spans="5:28" x14ac:dyDescent="0.35">
      <c r="E1463">
        <v>1454</v>
      </c>
      <c r="F1463" t="e">
        <f>INDEX(Stammdaten[D Mitte mit Rinde (mm)],MATCH(Tabelle8[[#This Row],[Rank]],Stammdaten[Rank Verteilung D Mitte mit Rinde],0))</f>
        <v>#N/A</v>
      </c>
      <c r="G1463" t="e">
        <f>VLOOKUP(Tabelle8[[#This Row],[Rank]],Stammdaten[[Rank Verteilung D Mitte mit Rinde]:[Verteilung D Mitte mit Rinde]],2,FALSE)</f>
        <v>#N/A</v>
      </c>
      <c r="L1463">
        <v>1454</v>
      </c>
      <c r="M1463" t="e">
        <f>INDEX(Stammdaten[Abholzigkeit (mm/lfm)],MATCH(Tabelle9[[#This Row],[Rank]],Stammdaten[Rank Verteilung Abholzigkeit],0))</f>
        <v>#N/A</v>
      </c>
      <c r="N1463" t="e">
        <f>VLOOKUP(Tabelle9[[#This Row],[Rank]],Stammdaten[[Rank Verteilung Abholzigkeit]:[Verteilung Abholzigkeit]],2,FALSE)</f>
        <v>#N/A</v>
      </c>
      <c r="S1463">
        <v>1454</v>
      </c>
      <c r="T1463" t="e">
        <f>INDEX(Stammdaten[Krümmung (mm/lfm)],MATCH(Tabelle10[[#This Row],[Rank]],Stammdaten[Rank Verteilung Krümmung],0))</f>
        <v>#N/A</v>
      </c>
      <c r="U1463" t="e">
        <f>VLOOKUP(Tabelle10[[#This Row],[Rank]],Stammdaten[[Rank Verteilung Krümmung]:[Verteilung Krümmung]],2,FALSE)</f>
        <v>#N/A</v>
      </c>
      <c r="Z1463">
        <v>1454</v>
      </c>
      <c r="AA1463" t="e">
        <f>INDEX(Stammdaten[Ovalität (']0,1'])],MATCH(Tabelle1014[[#This Row],[Rank]],Stammdaten[Rank Verteilung Ovalität],0))</f>
        <v>#N/A</v>
      </c>
      <c r="AB1463" t="e">
        <f>VLOOKUP(Tabelle1014[[#This Row],[Rank]],Stammdaten[[Rank Verteilung Ovalität]:[Verteilung Ovalität]],2,FALSE)</f>
        <v>#N/A</v>
      </c>
    </row>
    <row r="1464" spans="5:28" x14ac:dyDescent="0.35">
      <c r="E1464">
        <v>1455</v>
      </c>
      <c r="F1464" t="e">
        <f>INDEX(Stammdaten[D Mitte mit Rinde (mm)],MATCH(Tabelle8[[#This Row],[Rank]],Stammdaten[Rank Verteilung D Mitte mit Rinde],0))</f>
        <v>#N/A</v>
      </c>
      <c r="G1464" t="e">
        <f>VLOOKUP(Tabelle8[[#This Row],[Rank]],Stammdaten[[Rank Verteilung D Mitte mit Rinde]:[Verteilung D Mitte mit Rinde]],2,FALSE)</f>
        <v>#N/A</v>
      </c>
      <c r="L1464">
        <v>1455</v>
      </c>
      <c r="M1464" t="e">
        <f>INDEX(Stammdaten[Abholzigkeit (mm/lfm)],MATCH(Tabelle9[[#This Row],[Rank]],Stammdaten[Rank Verteilung Abholzigkeit],0))</f>
        <v>#N/A</v>
      </c>
      <c r="N1464" t="e">
        <f>VLOOKUP(Tabelle9[[#This Row],[Rank]],Stammdaten[[Rank Verteilung Abholzigkeit]:[Verteilung Abholzigkeit]],2,FALSE)</f>
        <v>#N/A</v>
      </c>
      <c r="S1464">
        <v>1455</v>
      </c>
      <c r="T1464" t="e">
        <f>INDEX(Stammdaten[Krümmung (mm/lfm)],MATCH(Tabelle10[[#This Row],[Rank]],Stammdaten[Rank Verteilung Krümmung],0))</f>
        <v>#N/A</v>
      </c>
      <c r="U1464" t="e">
        <f>VLOOKUP(Tabelle10[[#This Row],[Rank]],Stammdaten[[Rank Verteilung Krümmung]:[Verteilung Krümmung]],2,FALSE)</f>
        <v>#N/A</v>
      </c>
      <c r="Z1464">
        <v>1455</v>
      </c>
      <c r="AA1464" t="e">
        <f>INDEX(Stammdaten[Ovalität (']0,1'])],MATCH(Tabelle1014[[#This Row],[Rank]],Stammdaten[Rank Verteilung Ovalität],0))</f>
        <v>#N/A</v>
      </c>
      <c r="AB1464" t="e">
        <f>VLOOKUP(Tabelle1014[[#This Row],[Rank]],Stammdaten[[Rank Verteilung Ovalität]:[Verteilung Ovalität]],2,FALSE)</f>
        <v>#N/A</v>
      </c>
    </row>
    <row r="1465" spans="5:28" x14ac:dyDescent="0.35">
      <c r="E1465">
        <v>1456</v>
      </c>
      <c r="F1465" t="e">
        <f>INDEX(Stammdaten[D Mitte mit Rinde (mm)],MATCH(Tabelle8[[#This Row],[Rank]],Stammdaten[Rank Verteilung D Mitte mit Rinde],0))</f>
        <v>#N/A</v>
      </c>
      <c r="G1465" t="e">
        <f>VLOOKUP(Tabelle8[[#This Row],[Rank]],Stammdaten[[Rank Verteilung D Mitte mit Rinde]:[Verteilung D Mitte mit Rinde]],2,FALSE)</f>
        <v>#N/A</v>
      </c>
      <c r="L1465">
        <v>1456</v>
      </c>
      <c r="M1465" t="e">
        <f>INDEX(Stammdaten[Abholzigkeit (mm/lfm)],MATCH(Tabelle9[[#This Row],[Rank]],Stammdaten[Rank Verteilung Abholzigkeit],0))</f>
        <v>#N/A</v>
      </c>
      <c r="N1465" t="e">
        <f>VLOOKUP(Tabelle9[[#This Row],[Rank]],Stammdaten[[Rank Verteilung Abholzigkeit]:[Verteilung Abholzigkeit]],2,FALSE)</f>
        <v>#N/A</v>
      </c>
      <c r="S1465">
        <v>1456</v>
      </c>
      <c r="T1465" t="e">
        <f>INDEX(Stammdaten[Krümmung (mm/lfm)],MATCH(Tabelle10[[#This Row],[Rank]],Stammdaten[Rank Verteilung Krümmung],0))</f>
        <v>#N/A</v>
      </c>
      <c r="U1465" t="e">
        <f>VLOOKUP(Tabelle10[[#This Row],[Rank]],Stammdaten[[Rank Verteilung Krümmung]:[Verteilung Krümmung]],2,FALSE)</f>
        <v>#N/A</v>
      </c>
      <c r="Z1465">
        <v>1456</v>
      </c>
      <c r="AA1465" t="e">
        <f>INDEX(Stammdaten[Ovalität (']0,1'])],MATCH(Tabelle1014[[#This Row],[Rank]],Stammdaten[Rank Verteilung Ovalität],0))</f>
        <v>#N/A</v>
      </c>
      <c r="AB1465" t="e">
        <f>VLOOKUP(Tabelle1014[[#This Row],[Rank]],Stammdaten[[Rank Verteilung Ovalität]:[Verteilung Ovalität]],2,FALSE)</f>
        <v>#N/A</v>
      </c>
    </row>
    <row r="1466" spans="5:28" x14ac:dyDescent="0.35">
      <c r="E1466">
        <v>1457</v>
      </c>
      <c r="F1466" t="e">
        <f>INDEX(Stammdaten[D Mitte mit Rinde (mm)],MATCH(Tabelle8[[#This Row],[Rank]],Stammdaten[Rank Verteilung D Mitte mit Rinde],0))</f>
        <v>#N/A</v>
      </c>
      <c r="G1466" t="e">
        <f>VLOOKUP(Tabelle8[[#This Row],[Rank]],Stammdaten[[Rank Verteilung D Mitte mit Rinde]:[Verteilung D Mitte mit Rinde]],2,FALSE)</f>
        <v>#N/A</v>
      </c>
      <c r="L1466">
        <v>1457</v>
      </c>
      <c r="M1466" t="e">
        <f>INDEX(Stammdaten[Abholzigkeit (mm/lfm)],MATCH(Tabelle9[[#This Row],[Rank]],Stammdaten[Rank Verteilung Abholzigkeit],0))</f>
        <v>#N/A</v>
      </c>
      <c r="N1466" t="e">
        <f>VLOOKUP(Tabelle9[[#This Row],[Rank]],Stammdaten[[Rank Verteilung Abholzigkeit]:[Verteilung Abholzigkeit]],2,FALSE)</f>
        <v>#N/A</v>
      </c>
      <c r="S1466">
        <v>1457</v>
      </c>
      <c r="T1466" t="e">
        <f>INDEX(Stammdaten[Krümmung (mm/lfm)],MATCH(Tabelle10[[#This Row],[Rank]],Stammdaten[Rank Verteilung Krümmung],0))</f>
        <v>#N/A</v>
      </c>
      <c r="U1466" t="e">
        <f>VLOOKUP(Tabelle10[[#This Row],[Rank]],Stammdaten[[Rank Verteilung Krümmung]:[Verteilung Krümmung]],2,FALSE)</f>
        <v>#N/A</v>
      </c>
      <c r="Z1466">
        <v>1457</v>
      </c>
      <c r="AA1466" t="e">
        <f>INDEX(Stammdaten[Ovalität (']0,1'])],MATCH(Tabelle1014[[#This Row],[Rank]],Stammdaten[Rank Verteilung Ovalität],0))</f>
        <v>#N/A</v>
      </c>
      <c r="AB1466" t="e">
        <f>VLOOKUP(Tabelle1014[[#This Row],[Rank]],Stammdaten[[Rank Verteilung Ovalität]:[Verteilung Ovalität]],2,FALSE)</f>
        <v>#N/A</v>
      </c>
    </row>
    <row r="1467" spans="5:28" x14ac:dyDescent="0.35">
      <c r="E1467">
        <v>1458</v>
      </c>
      <c r="F1467" t="e">
        <f>INDEX(Stammdaten[D Mitte mit Rinde (mm)],MATCH(Tabelle8[[#This Row],[Rank]],Stammdaten[Rank Verteilung D Mitte mit Rinde],0))</f>
        <v>#N/A</v>
      </c>
      <c r="G1467" t="e">
        <f>VLOOKUP(Tabelle8[[#This Row],[Rank]],Stammdaten[[Rank Verteilung D Mitte mit Rinde]:[Verteilung D Mitte mit Rinde]],2,FALSE)</f>
        <v>#N/A</v>
      </c>
      <c r="L1467">
        <v>1458</v>
      </c>
      <c r="M1467" t="e">
        <f>INDEX(Stammdaten[Abholzigkeit (mm/lfm)],MATCH(Tabelle9[[#This Row],[Rank]],Stammdaten[Rank Verteilung Abholzigkeit],0))</f>
        <v>#N/A</v>
      </c>
      <c r="N1467" t="e">
        <f>VLOOKUP(Tabelle9[[#This Row],[Rank]],Stammdaten[[Rank Verteilung Abholzigkeit]:[Verteilung Abholzigkeit]],2,FALSE)</f>
        <v>#N/A</v>
      </c>
      <c r="S1467">
        <v>1458</v>
      </c>
      <c r="T1467" t="e">
        <f>INDEX(Stammdaten[Krümmung (mm/lfm)],MATCH(Tabelle10[[#This Row],[Rank]],Stammdaten[Rank Verteilung Krümmung],0))</f>
        <v>#N/A</v>
      </c>
      <c r="U1467" t="e">
        <f>VLOOKUP(Tabelle10[[#This Row],[Rank]],Stammdaten[[Rank Verteilung Krümmung]:[Verteilung Krümmung]],2,FALSE)</f>
        <v>#N/A</v>
      </c>
      <c r="Z1467">
        <v>1458</v>
      </c>
      <c r="AA1467" t="e">
        <f>INDEX(Stammdaten[Ovalität (']0,1'])],MATCH(Tabelle1014[[#This Row],[Rank]],Stammdaten[Rank Verteilung Ovalität],0))</f>
        <v>#N/A</v>
      </c>
      <c r="AB1467" t="e">
        <f>VLOOKUP(Tabelle1014[[#This Row],[Rank]],Stammdaten[[Rank Verteilung Ovalität]:[Verteilung Ovalität]],2,FALSE)</f>
        <v>#N/A</v>
      </c>
    </row>
    <row r="1468" spans="5:28" x14ac:dyDescent="0.35">
      <c r="E1468">
        <v>1459</v>
      </c>
      <c r="F1468" t="e">
        <f>INDEX(Stammdaten[D Mitte mit Rinde (mm)],MATCH(Tabelle8[[#This Row],[Rank]],Stammdaten[Rank Verteilung D Mitte mit Rinde],0))</f>
        <v>#N/A</v>
      </c>
      <c r="G1468" t="e">
        <f>VLOOKUP(Tabelle8[[#This Row],[Rank]],Stammdaten[[Rank Verteilung D Mitte mit Rinde]:[Verteilung D Mitte mit Rinde]],2,FALSE)</f>
        <v>#N/A</v>
      </c>
      <c r="L1468">
        <v>1459</v>
      </c>
      <c r="M1468" t="e">
        <f>INDEX(Stammdaten[Abholzigkeit (mm/lfm)],MATCH(Tabelle9[[#This Row],[Rank]],Stammdaten[Rank Verteilung Abholzigkeit],0))</f>
        <v>#N/A</v>
      </c>
      <c r="N1468" t="e">
        <f>VLOOKUP(Tabelle9[[#This Row],[Rank]],Stammdaten[[Rank Verteilung Abholzigkeit]:[Verteilung Abholzigkeit]],2,FALSE)</f>
        <v>#N/A</v>
      </c>
      <c r="S1468">
        <v>1459</v>
      </c>
      <c r="T1468" t="e">
        <f>INDEX(Stammdaten[Krümmung (mm/lfm)],MATCH(Tabelle10[[#This Row],[Rank]],Stammdaten[Rank Verteilung Krümmung],0))</f>
        <v>#N/A</v>
      </c>
      <c r="U1468" t="e">
        <f>VLOOKUP(Tabelle10[[#This Row],[Rank]],Stammdaten[[Rank Verteilung Krümmung]:[Verteilung Krümmung]],2,FALSE)</f>
        <v>#N/A</v>
      </c>
      <c r="Z1468">
        <v>1459</v>
      </c>
      <c r="AA1468" t="e">
        <f>INDEX(Stammdaten[Ovalität (']0,1'])],MATCH(Tabelle1014[[#This Row],[Rank]],Stammdaten[Rank Verteilung Ovalität],0))</f>
        <v>#N/A</v>
      </c>
      <c r="AB1468" t="e">
        <f>VLOOKUP(Tabelle1014[[#This Row],[Rank]],Stammdaten[[Rank Verteilung Ovalität]:[Verteilung Ovalität]],2,FALSE)</f>
        <v>#N/A</v>
      </c>
    </row>
    <row r="1469" spans="5:28" x14ac:dyDescent="0.35">
      <c r="E1469">
        <v>1460</v>
      </c>
      <c r="F1469" t="e">
        <f>INDEX(Stammdaten[D Mitte mit Rinde (mm)],MATCH(Tabelle8[[#This Row],[Rank]],Stammdaten[Rank Verteilung D Mitte mit Rinde],0))</f>
        <v>#N/A</v>
      </c>
      <c r="G1469" t="e">
        <f>VLOOKUP(Tabelle8[[#This Row],[Rank]],Stammdaten[[Rank Verteilung D Mitte mit Rinde]:[Verteilung D Mitte mit Rinde]],2,FALSE)</f>
        <v>#N/A</v>
      </c>
      <c r="L1469">
        <v>1460</v>
      </c>
      <c r="M1469" t="e">
        <f>INDEX(Stammdaten[Abholzigkeit (mm/lfm)],MATCH(Tabelle9[[#This Row],[Rank]],Stammdaten[Rank Verteilung Abholzigkeit],0))</f>
        <v>#N/A</v>
      </c>
      <c r="N1469" t="e">
        <f>VLOOKUP(Tabelle9[[#This Row],[Rank]],Stammdaten[[Rank Verteilung Abholzigkeit]:[Verteilung Abholzigkeit]],2,FALSE)</f>
        <v>#N/A</v>
      </c>
      <c r="S1469">
        <v>1460</v>
      </c>
      <c r="T1469" t="e">
        <f>INDEX(Stammdaten[Krümmung (mm/lfm)],MATCH(Tabelle10[[#This Row],[Rank]],Stammdaten[Rank Verteilung Krümmung],0))</f>
        <v>#N/A</v>
      </c>
      <c r="U1469" t="e">
        <f>VLOOKUP(Tabelle10[[#This Row],[Rank]],Stammdaten[[Rank Verteilung Krümmung]:[Verteilung Krümmung]],2,FALSE)</f>
        <v>#N/A</v>
      </c>
      <c r="Z1469">
        <v>1460</v>
      </c>
      <c r="AA1469" t="e">
        <f>INDEX(Stammdaten[Ovalität (']0,1'])],MATCH(Tabelle1014[[#This Row],[Rank]],Stammdaten[Rank Verteilung Ovalität],0))</f>
        <v>#N/A</v>
      </c>
      <c r="AB1469" t="e">
        <f>VLOOKUP(Tabelle1014[[#This Row],[Rank]],Stammdaten[[Rank Verteilung Ovalität]:[Verteilung Ovalität]],2,FALSE)</f>
        <v>#N/A</v>
      </c>
    </row>
    <row r="1470" spans="5:28" x14ac:dyDescent="0.35">
      <c r="E1470">
        <v>1461</v>
      </c>
      <c r="F1470" t="e">
        <f>INDEX(Stammdaten[D Mitte mit Rinde (mm)],MATCH(Tabelle8[[#This Row],[Rank]],Stammdaten[Rank Verteilung D Mitte mit Rinde],0))</f>
        <v>#N/A</v>
      </c>
      <c r="G1470" t="e">
        <f>VLOOKUP(Tabelle8[[#This Row],[Rank]],Stammdaten[[Rank Verteilung D Mitte mit Rinde]:[Verteilung D Mitte mit Rinde]],2,FALSE)</f>
        <v>#N/A</v>
      </c>
      <c r="L1470">
        <v>1461</v>
      </c>
      <c r="M1470" t="e">
        <f>INDEX(Stammdaten[Abholzigkeit (mm/lfm)],MATCH(Tabelle9[[#This Row],[Rank]],Stammdaten[Rank Verteilung Abholzigkeit],0))</f>
        <v>#N/A</v>
      </c>
      <c r="N1470" t="e">
        <f>VLOOKUP(Tabelle9[[#This Row],[Rank]],Stammdaten[[Rank Verteilung Abholzigkeit]:[Verteilung Abholzigkeit]],2,FALSE)</f>
        <v>#N/A</v>
      </c>
      <c r="S1470">
        <v>1461</v>
      </c>
      <c r="T1470" t="e">
        <f>INDEX(Stammdaten[Krümmung (mm/lfm)],MATCH(Tabelle10[[#This Row],[Rank]],Stammdaten[Rank Verteilung Krümmung],0))</f>
        <v>#N/A</v>
      </c>
      <c r="U1470" t="e">
        <f>VLOOKUP(Tabelle10[[#This Row],[Rank]],Stammdaten[[Rank Verteilung Krümmung]:[Verteilung Krümmung]],2,FALSE)</f>
        <v>#N/A</v>
      </c>
      <c r="Z1470">
        <v>1461</v>
      </c>
      <c r="AA1470" t="e">
        <f>INDEX(Stammdaten[Ovalität (']0,1'])],MATCH(Tabelle1014[[#This Row],[Rank]],Stammdaten[Rank Verteilung Ovalität],0))</f>
        <v>#N/A</v>
      </c>
      <c r="AB1470" t="e">
        <f>VLOOKUP(Tabelle1014[[#This Row],[Rank]],Stammdaten[[Rank Verteilung Ovalität]:[Verteilung Ovalität]],2,FALSE)</f>
        <v>#N/A</v>
      </c>
    </row>
    <row r="1471" spans="5:28" x14ac:dyDescent="0.35">
      <c r="E1471">
        <v>1462</v>
      </c>
      <c r="F1471" t="e">
        <f>INDEX(Stammdaten[D Mitte mit Rinde (mm)],MATCH(Tabelle8[[#This Row],[Rank]],Stammdaten[Rank Verteilung D Mitte mit Rinde],0))</f>
        <v>#N/A</v>
      </c>
      <c r="G1471" t="e">
        <f>VLOOKUP(Tabelle8[[#This Row],[Rank]],Stammdaten[[Rank Verteilung D Mitte mit Rinde]:[Verteilung D Mitte mit Rinde]],2,FALSE)</f>
        <v>#N/A</v>
      </c>
      <c r="L1471">
        <v>1462</v>
      </c>
      <c r="M1471" t="e">
        <f>INDEX(Stammdaten[Abholzigkeit (mm/lfm)],MATCH(Tabelle9[[#This Row],[Rank]],Stammdaten[Rank Verteilung Abholzigkeit],0))</f>
        <v>#N/A</v>
      </c>
      <c r="N1471" t="e">
        <f>VLOOKUP(Tabelle9[[#This Row],[Rank]],Stammdaten[[Rank Verteilung Abholzigkeit]:[Verteilung Abholzigkeit]],2,FALSE)</f>
        <v>#N/A</v>
      </c>
      <c r="S1471">
        <v>1462</v>
      </c>
      <c r="T1471" t="e">
        <f>INDEX(Stammdaten[Krümmung (mm/lfm)],MATCH(Tabelle10[[#This Row],[Rank]],Stammdaten[Rank Verteilung Krümmung],0))</f>
        <v>#N/A</v>
      </c>
      <c r="U1471" t="e">
        <f>VLOOKUP(Tabelle10[[#This Row],[Rank]],Stammdaten[[Rank Verteilung Krümmung]:[Verteilung Krümmung]],2,FALSE)</f>
        <v>#N/A</v>
      </c>
      <c r="Z1471">
        <v>1462</v>
      </c>
      <c r="AA1471" t="e">
        <f>INDEX(Stammdaten[Ovalität (']0,1'])],MATCH(Tabelle1014[[#This Row],[Rank]],Stammdaten[Rank Verteilung Ovalität],0))</f>
        <v>#N/A</v>
      </c>
      <c r="AB1471" t="e">
        <f>VLOOKUP(Tabelle1014[[#This Row],[Rank]],Stammdaten[[Rank Verteilung Ovalität]:[Verteilung Ovalität]],2,FALSE)</f>
        <v>#N/A</v>
      </c>
    </row>
    <row r="1472" spans="5:28" x14ac:dyDescent="0.35">
      <c r="E1472">
        <v>1463</v>
      </c>
      <c r="F1472" t="e">
        <f>INDEX(Stammdaten[D Mitte mit Rinde (mm)],MATCH(Tabelle8[[#This Row],[Rank]],Stammdaten[Rank Verteilung D Mitte mit Rinde],0))</f>
        <v>#N/A</v>
      </c>
      <c r="G1472" t="e">
        <f>VLOOKUP(Tabelle8[[#This Row],[Rank]],Stammdaten[[Rank Verteilung D Mitte mit Rinde]:[Verteilung D Mitte mit Rinde]],2,FALSE)</f>
        <v>#N/A</v>
      </c>
      <c r="L1472">
        <v>1463</v>
      </c>
      <c r="M1472" t="e">
        <f>INDEX(Stammdaten[Abholzigkeit (mm/lfm)],MATCH(Tabelle9[[#This Row],[Rank]],Stammdaten[Rank Verteilung Abholzigkeit],0))</f>
        <v>#N/A</v>
      </c>
      <c r="N1472" t="e">
        <f>VLOOKUP(Tabelle9[[#This Row],[Rank]],Stammdaten[[Rank Verteilung Abholzigkeit]:[Verteilung Abholzigkeit]],2,FALSE)</f>
        <v>#N/A</v>
      </c>
      <c r="S1472">
        <v>1463</v>
      </c>
      <c r="T1472" t="e">
        <f>INDEX(Stammdaten[Krümmung (mm/lfm)],MATCH(Tabelle10[[#This Row],[Rank]],Stammdaten[Rank Verteilung Krümmung],0))</f>
        <v>#N/A</v>
      </c>
      <c r="U1472" t="e">
        <f>VLOOKUP(Tabelle10[[#This Row],[Rank]],Stammdaten[[Rank Verteilung Krümmung]:[Verteilung Krümmung]],2,FALSE)</f>
        <v>#N/A</v>
      </c>
      <c r="Z1472">
        <v>1463</v>
      </c>
      <c r="AA1472" t="e">
        <f>INDEX(Stammdaten[Ovalität (']0,1'])],MATCH(Tabelle1014[[#This Row],[Rank]],Stammdaten[Rank Verteilung Ovalität],0))</f>
        <v>#N/A</v>
      </c>
      <c r="AB1472" t="e">
        <f>VLOOKUP(Tabelle1014[[#This Row],[Rank]],Stammdaten[[Rank Verteilung Ovalität]:[Verteilung Ovalität]],2,FALSE)</f>
        <v>#N/A</v>
      </c>
    </row>
    <row r="1473" spans="5:28" x14ac:dyDescent="0.35">
      <c r="E1473">
        <v>1464</v>
      </c>
      <c r="F1473" t="e">
        <f>INDEX(Stammdaten[D Mitte mit Rinde (mm)],MATCH(Tabelle8[[#This Row],[Rank]],Stammdaten[Rank Verteilung D Mitte mit Rinde],0))</f>
        <v>#N/A</v>
      </c>
      <c r="G1473" t="e">
        <f>VLOOKUP(Tabelle8[[#This Row],[Rank]],Stammdaten[[Rank Verteilung D Mitte mit Rinde]:[Verteilung D Mitte mit Rinde]],2,FALSE)</f>
        <v>#N/A</v>
      </c>
      <c r="L1473">
        <v>1464</v>
      </c>
      <c r="M1473" t="e">
        <f>INDEX(Stammdaten[Abholzigkeit (mm/lfm)],MATCH(Tabelle9[[#This Row],[Rank]],Stammdaten[Rank Verteilung Abholzigkeit],0))</f>
        <v>#N/A</v>
      </c>
      <c r="N1473" t="e">
        <f>VLOOKUP(Tabelle9[[#This Row],[Rank]],Stammdaten[[Rank Verteilung Abholzigkeit]:[Verteilung Abholzigkeit]],2,FALSE)</f>
        <v>#N/A</v>
      </c>
      <c r="S1473">
        <v>1464</v>
      </c>
      <c r="T1473" t="e">
        <f>INDEX(Stammdaten[Krümmung (mm/lfm)],MATCH(Tabelle10[[#This Row],[Rank]],Stammdaten[Rank Verteilung Krümmung],0))</f>
        <v>#N/A</v>
      </c>
      <c r="U1473" t="e">
        <f>VLOOKUP(Tabelle10[[#This Row],[Rank]],Stammdaten[[Rank Verteilung Krümmung]:[Verteilung Krümmung]],2,FALSE)</f>
        <v>#N/A</v>
      </c>
      <c r="Z1473">
        <v>1464</v>
      </c>
      <c r="AA1473" t="e">
        <f>INDEX(Stammdaten[Ovalität (']0,1'])],MATCH(Tabelle1014[[#This Row],[Rank]],Stammdaten[Rank Verteilung Ovalität],0))</f>
        <v>#N/A</v>
      </c>
      <c r="AB1473" t="e">
        <f>VLOOKUP(Tabelle1014[[#This Row],[Rank]],Stammdaten[[Rank Verteilung Ovalität]:[Verteilung Ovalität]],2,FALSE)</f>
        <v>#N/A</v>
      </c>
    </row>
    <row r="1474" spans="5:28" x14ac:dyDescent="0.35">
      <c r="E1474">
        <v>1465</v>
      </c>
      <c r="F1474" t="e">
        <f>INDEX(Stammdaten[D Mitte mit Rinde (mm)],MATCH(Tabelle8[[#This Row],[Rank]],Stammdaten[Rank Verteilung D Mitte mit Rinde],0))</f>
        <v>#N/A</v>
      </c>
      <c r="G1474" t="e">
        <f>VLOOKUP(Tabelle8[[#This Row],[Rank]],Stammdaten[[Rank Verteilung D Mitte mit Rinde]:[Verteilung D Mitte mit Rinde]],2,FALSE)</f>
        <v>#N/A</v>
      </c>
      <c r="L1474">
        <v>1465</v>
      </c>
      <c r="M1474" t="e">
        <f>INDEX(Stammdaten[Abholzigkeit (mm/lfm)],MATCH(Tabelle9[[#This Row],[Rank]],Stammdaten[Rank Verteilung Abholzigkeit],0))</f>
        <v>#N/A</v>
      </c>
      <c r="N1474" t="e">
        <f>VLOOKUP(Tabelle9[[#This Row],[Rank]],Stammdaten[[Rank Verteilung Abholzigkeit]:[Verteilung Abholzigkeit]],2,FALSE)</f>
        <v>#N/A</v>
      </c>
      <c r="S1474">
        <v>1465</v>
      </c>
      <c r="T1474" t="e">
        <f>INDEX(Stammdaten[Krümmung (mm/lfm)],MATCH(Tabelle10[[#This Row],[Rank]],Stammdaten[Rank Verteilung Krümmung],0))</f>
        <v>#N/A</v>
      </c>
      <c r="U1474" t="e">
        <f>VLOOKUP(Tabelle10[[#This Row],[Rank]],Stammdaten[[Rank Verteilung Krümmung]:[Verteilung Krümmung]],2,FALSE)</f>
        <v>#N/A</v>
      </c>
      <c r="Z1474">
        <v>1465</v>
      </c>
      <c r="AA1474" t="e">
        <f>INDEX(Stammdaten[Ovalität (']0,1'])],MATCH(Tabelle1014[[#This Row],[Rank]],Stammdaten[Rank Verteilung Ovalität],0))</f>
        <v>#N/A</v>
      </c>
      <c r="AB1474" t="e">
        <f>VLOOKUP(Tabelle1014[[#This Row],[Rank]],Stammdaten[[Rank Verteilung Ovalität]:[Verteilung Ovalität]],2,FALSE)</f>
        <v>#N/A</v>
      </c>
    </row>
    <row r="1475" spans="5:28" x14ac:dyDescent="0.35">
      <c r="E1475">
        <v>1466</v>
      </c>
      <c r="F1475" t="e">
        <f>INDEX(Stammdaten[D Mitte mit Rinde (mm)],MATCH(Tabelle8[[#This Row],[Rank]],Stammdaten[Rank Verteilung D Mitte mit Rinde],0))</f>
        <v>#N/A</v>
      </c>
      <c r="G1475" t="e">
        <f>VLOOKUP(Tabelle8[[#This Row],[Rank]],Stammdaten[[Rank Verteilung D Mitte mit Rinde]:[Verteilung D Mitte mit Rinde]],2,FALSE)</f>
        <v>#N/A</v>
      </c>
      <c r="L1475">
        <v>1466</v>
      </c>
      <c r="M1475" t="e">
        <f>INDEX(Stammdaten[Abholzigkeit (mm/lfm)],MATCH(Tabelle9[[#This Row],[Rank]],Stammdaten[Rank Verteilung Abholzigkeit],0))</f>
        <v>#N/A</v>
      </c>
      <c r="N1475" t="e">
        <f>VLOOKUP(Tabelle9[[#This Row],[Rank]],Stammdaten[[Rank Verteilung Abholzigkeit]:[Verteilung Abholzigkeit]],2,FALSE)</f>
        <v>#N/A</v>
      </c>
      <c r="S1475">
        <v>1466</v>
      </c>
      <c r="T1475" t="e">
        <f>INDEX(Stammdaten[Krümmung (mm/lfm)],MATCH(Tabelle10[[#This Row],[Rank]],Stammdaten[Rank Verteilung Krümmung],0))</f>
        <v>#N/A</v>
      </c>
      <c r="U1475" t="e">
        <f>VLOOKUP(Tabelle10[[#This Row],[Rank]],Stammdaten[[Rank Verteilung Krümmung]:[Verteilung Krümmung]],2,FALSE)</f>
        <v>#N/A</v>
      </c>
      <c r="Z1475">
        <v>1466</v>
      </c>
      <c r="AA1475" t="e">
        <f>INDEX(Stammdaten[Ovalität (']0,1'])],MATCH(Tabelle1014[[#This Row],[Rank]],Stammdaten[Rank Verteilung Ovalität],0))</f>
        <v>#N/A</v>
      </c>
      <c r="AB1475" t="e">
        <f>VLOOKUP(Tabelle1014[[#This Row],[Rank]],Stammdaten[[Rank Verteilung Ovalität]:[Verteilung Ovalität]],2,FALSE)</f>
        <v>#N/A</v>
      </c>
    </row>
    <row r="1476" spans="5:28" x14ac:dyDescent="0.35">
      <c r="E1476">
        <v>1467</v>
      </c>
      <c r="F1476" t="e">
        <f>INDEX(Stammdaten[D Mitte mit Rinde (mm)],MATCH(Tabelle8[[#This Row],[Rank]],Stammdaten[Rank Verteilung D Mitte mit Rinde],0))</f>
        <v>#N/A</v>
      </c>
      <c r="G1476" t="e">
        <f>VLOOKUP(Tabelle8[[#This Row],[Rank]],Stammdaten[[Rank Verteilung D Mitte mit Rinde]:[Verteilung D Mitte mit Rinde]],2,FALSE)</f>
        <v>#N/A</v>
      </c>
      <c r="L1476">
        <v>1467</v>
      </c>
      <c r="M1476" t="e">
        <f>INDEX(Stammdaten[Abholzigkeit (mm/lfm)],MATCH(Tabelle9[[#This Row],[Rank]],Stammdaten[Rank Verteilung Abholzigkeit],0))</f>
        <v>#N/A</v>
      </c>
      <c r="N1476" t="e">
        <f>VLOOKUP(Tabelle9[[#This Row],[Rank]],Stammdaten[[Rank Verteilung Abholzigkeit]:[Verteilung Abholzigkeit]],2,FALSE)</f>
        <v>#N/A</v>
      </c>
      <c r="S1476">
        <v>1467</v>
      </c>
      <c r="T1476" t="e">
        <f>INDEX(Stammdaten[Krümmung (mm/lfm)],MATCH(Tabelle10[[#This Row],[Rank]],Stammdaten[Rank Verteilung Krümmung],0))</f>
        <v>#N/A</v>
      </c>
      <c r="U1476" t="e">
        <f>VLOOKUP(Tabelle10[[#This Row],[Rank]],Stammdaten[[Rank Verteilung Krümmung]:[Verteilung Krümmung]],2,FALSE)</f>
        <v>#N/A</v>
      </c>
      <c r="Z1476">
        <v>1467</v>
      </c>
      <c r="AA1476" t="e">
        <f>INDEX(Stammdaten[Ovalität (']0,1'])],MATCH(Tabelle1014[[#This Row],[Rank]],Stammdaten[Rank Verteilung Ovalität],0))</f>
        <v>#N/A</v>
      </c>
      <c r="AB1476" t="e">
        <f>VLOOKUP(Tabelle1014[[#This Row],[Rank]],Stammdaten[[Rank Verteilung Ovalität]:[Verteilung Ovalität]],2,FALSE)</f>
        <v>#N/A</v>
      </c>
    </row>
    <row r="1477" spans="5:28" x14ac:dyDescent="0.35">
      <c r="E1477">
        <v>1468</v>
      </c>
      <c r="F1477" t="e">
        <f>INDEX(Stammdaten[D Mitte mit Rinde (mm)],MATCH(Tabelle8[[#This Row],[Rank]],Stammdaten[Rank Verteilung D Mitte mit Rinde],0))</f>
        <v>#N/A</v>
      </c>
      <c r="G1477" t="e">
        <f>VLOOKUP(Tabelle8[[#This Row],[Rank]],Stammdaten[[Rank Verteilung D Mitte mit Rinde]:[Verteilung D Mitte mit Rinde]],2,FALSE)</f>
        <v>#N/A</v>
      </c>
      <c r="L1477">
        <v>1468</v>
      </c>
      <c r="M1477" t="e">
        <f>INDEX(Stammdaten[Abholzigkeit (mm/lfm)],MATCH(Tabelle9[[#This Row],[Rank]],Stammdaten[Rank Verteilung Abholzigkeit],0))</f>
        <v>#N/A</v>
      </c>
      <c r="N1477" t="e">
        <f>VLOOKUP(Tabelle9[[#This Row],[Rank]],Stammdaten[[Rank Verteilung Abholzigkeit]:[Verteilung Abholzigkeit]],2,FALSE)</f>
        <v>#N/A</v>
      </c>
      <c r="S1477">
        <v>1468</v>
      </c>
      <c r="T1477" t="e">
        <f>INDEX(Stammdaten[Krümmung (mm/lfm)],MATCH(Tabelle10[[#This Row],[Rank]],Stammdaten[Rank Verteilung Krümmung],0))</f>
        <v>#N/A</v>
      </c>
      <c r="U1477" t="e">
        <f>VLOOKUP(Tabelle10[[#This Row],[Rank]],Stammdaten[[Rank Verteilung Krümmung]:[Verteilung Krümmung]],2,FALSE)</f>
        <v>#N/A</v>
      </c>
      <c r="Z1477">
        <v>1468</v>
      </c>
      <c r="AA1477" t="e">
        <f>INDEX(Stammdaten[Ovalität (']0,1'])],MATCH(Tabelle1014[[#This Row],[Rank]],Stammdaten[Rank Verteilung Ovalität],0))</f>
        <v>#N/A</v>
      </c>
      <c r="AB1477" t="e">
        <f>VLOOKUP(Tabelle1014[[#This Row],[Rank]],Stammdaten[[Rank Verteilung Ovalität]:[Verteilung Ovalität]],2,FALSE)</f>
        <v>#N/A</v>
      </c>
    </row>
    <row r="1478" spans="5:28" x14ac:dyDescent="0.35">
      <c r="E1478">
        <v>1469</v>
      </c>
      <c r="F1478" t="e">
        <f>INDEX(Stammdaten[D Mitte mit Rinde (mm)],MATCH(Tabelle8[[#This Row],[Rank]],Stammdaten[Rank Verteilung D Mitte mit Rinde],0))</f>
        <v>#N/A</v>
      </c>
      <c r="G1478" t="e">
        <f>VLOOKUP(Tabelle8[[#This Row],[Rank]],Stammdaten[[Rank Verteilung D Mitte mit Rinde]:[Verteilung D Mitte mit Rinde]],2,FALSE)</f>
        <v>#N/A</v>
      </c>
      <c r="L1478">
        <v>1469</v>
      </c>
      <c r="M1478" t="e">
        <f>INDEX(Stammdaten[Abholzigkeit (mm/lfm)],MATCH(Tabelle9[[#This Row],[Rank]],Stammdaten[Rank Verteilung Abholzigkeit],0))</f>
        <v>#N/A</v>
      </c>
      <c r="N1478" t="e">
        <f>VLOOKUP(Tabelle9[[#This Row],[Rank]],Stammdaten[[Rank Verteilung Abholzigkeit]:[Verteilung Abholzigkeit]],2,FALSE)</f>
        <v>#N/A</v>
      </c>
      <c r="S1478">
        <v>1469</v>
      </c>
      <c r="T1478" t="e">
        <f>INDEX(Stammdaten[Krümmung (mm/lfm)],MATCH(Tabelle10[[#This Row],[Rank]],Stammdaten[Rank Verteilung Krümmung],0))</f>
        <v>#N/A</v>
      </c>
      <c r="U1478" t="e">
        <f>VLOOKUP(Tabelle10[[#This Row],[Rank]],Stammdaten[[Rank Verteilung Krümmung]:[Verteilung Krümmung]],2,FALSE)</f>
        <v>#N/A</v>
      </c>
      <c r="Z1478">
        <v>1469</v>
      </c>
      <c r="AA1478" t="e">
        <f>INDEX(Stammdaten[Ovalität (']0,1'])],MATCH(Tabelle1014[[#This Row],[Rank]],Stammdaten[Rank Verteilung Ovalität],0))</f>
        <v>#N/A</v>
      </c>
      <c r="AB1478" t="e">
        <f>VLOOKUP(Tabelle1014[[#This Row],[Rank]],Stammdaten[[Rank Verteilung Ovalität]:[Verteilung Ovalität]],2,FALSE)</f>
        <v>#N/A</v>
      </c>
    </row>
    <row r="1479" spans="5:28" x14ac:dyDescent="0.35">
      <c r="E1479">
        <v>1470</v>
      </c>
      <c r="F1479" t="e">
        <f>INDEX(Stammdaten[D Mitte mit Rinde (mm)],MATCH(Tabelle8[[#This Row],[Rank]],Stammdaten[Rank Verteilung D Mitte mit Rinde],0))</f>
        <v>#N/A</v>
      </c>
      <c r="G1479" t="e">
        <f>VLOOKUP(Tabelle8[[#This Row],[Rank]],Stammdaten[[Rank Verteilung D Mitte mit Rinde]:[Verteilung D Mitte mit Rinde]],2,FALSE)</f>
        <v>#N/A</v>
      </c>
      <c r="L1479">
        <v>1470</v>
      </c>
      <c r="M1479" t="e">
        <f>INDEX(Stammdaten[Abholzigkeit (mm/lfm)],MATCH(Tabelle9[[#This Row],[Rank]],Stammdaten[Rank Verteilung Abholzigkeit],0))</f>
        <v>#N/A</v>
      </c>
      <c r="N1479" t="e">
        <f>VLOOKUP(Tabelle9[[#This Row],[Rank]],Stammdaten[[Rank Verteilung Abholzigkeit]:[Verteilung Abholzigkeit]],2,FALSE)</f>
        <v>#N/A</v>
      </c>
      <c r="S1479">
        <v>1470</v>
      </c>
      <c r="T1479" t="e">
        <f>INDEX(Stammdaten[Krümmung (mm/lfm)],MATCH(Tabelle10[[#This Row],[Rank]],Stammdaten[Rank Verteilung Krümmung],0))</f>
        <v>#N/A</v>
      </c>
      <c r="U1479" t="e">
        <f>VLOOKUP(Tabelle10[[#This Row],[Rank]],Stammdaten[[Rank Verteilung Krümmung]:[Verteilung Krümmung]],2,FALSE)</f>
        <v>#N/A</v>
      </c>
      <c r="Z1479">
        <v>1470</v>
      </c>
      <c r="AA1479" t="e">
        <f>INDEX(Stammdaten[Ovalität (']0,1'])],MATCH(Tabelle1014[[#This Row],[Rank]],Stammdaten[Rank Verteilung Ovalität],0))</f>
        <v>#N/A</v>
      </c>
      <c r="AB1479" t="e">
        <f>VLOOKUP(Tabelle1014[[#This Row],[Rank]],Stammdaten[[Rank Verteilung Ovalität]:[Verteilung Ovalität]],2,FALSE)</f>
        <v>#N/A</v>
      </c>
    </row>
    <row r="1480" spans="5:28" x14ac:dyDescent="0.35">
      <c r="E1480">
        <v>1471</v>
      </c>
      <c r="F1480" t="e">
        <f>INDEX(Stammdaten[D Mitte mit Rinde (mm)],MATCH(Tabelle8[[#This Row],[Rank]],Stammdaten[Rank Verteilung D Mitte mit Rinde],0))</f>
        <v>#N/A</v>
      </c>
      <c r="G1480" t="e">
        <f>VLOOKUP(Tabelle8[[#This Row],[Rank]],Stammdaten[[Rank Verteilung D Mitte mit Rinde]:[Verteilung D Mitte mit Rinde]],2,FALSE)</f>
        <v>#N/A</v>
      </c>
      <c r="L1480">
        <v>1471</v>
      </c>
      <c r="M1480" t="e">
        <f>INDEX(Stammdaten[Abholzigkeit (mm/lfm)],MATCH(Tabelle9[[#This Row],[Rank]],Stammdaten[Rank Verteilung Abholzigkeit],0))</f>
        <v>#N/A</v>
      </c>
      <c r="N1480" t="e">
        <f>VLOOKUP(Tabelle9[[#This Row],[Rank]],Stammdaten[[Rank Verteilung Abholzigkeit]:[Verteilung Abholzigkeit]],2,FALSE)</f>
        <v>#N/A</v>
      </c>
      <c r="S1480">
        <v>1471</v>
      </c>
      <c r="T1480" t="e">
        <f>INDEX(Stammdaten[Krümmung (mm/lfm)],MATCH(Tabelle10[[#This Row],[Rank]],Stammdaten[Rank Verteilung Krümmung],0))</f>
        <v>#N/A</v>
      </c>
      <c r="U1480" t="e">
        <f>VLOOKUP(Tabelle10[[#This Row],[Rank]],Stammdaten[[Rank Verteilung Krümmung]:[Verteilung Krümmung]],2,FALSE)</f>
        <v>#N/A</v>
      </c>
      <c r="Z1480">
        <v>1471</v>
      </c>
      <c r="AA1480" t="e">
        <f>INDEX(Stammdaten[Ovalität (']0,1'])],MATCH(Tabelle1014[[#This Row],[Rank]],Stammdaten[Rank Verteilung Ovalität],0))</f>
        <v>#N/A</v>
      </c>
      <c r="AB1480" t="e">
        <f>VLOOKUP(Tabelle1014[[#This Row],[Rank]],Stammdaten[[Rank Verteilung Ovalität]:[Verteilung Ovalität]],2,FALSE)</f>
        <v>#N/A</v>
      </c>
    </row>
    <row r="1481" spans="5:28" x14ac:dyDescent="0.35">
      <c r="E1481">
        <v>1472</v>
      </c>
      <c r="F1481" t="e">
        <f>INDEX(Stammdaten[D Mitte mit Rinde (mm)],MATCH(Tabelle8[[#This Row],[Rank]],Stammdaten[Rank Verteilung D Mitte mit Rinde],0))</f>
        <v>#N/A</v>
      </c>
      <c r="G1481" t="e">
        <f>VLOOKUP(Tabelle8[[#This Row],[Rank]],Stammdaten[[Rank Verteilung D Mitte mit Rinde]:[Verteilung D Mitte mit Rinde]],2,FALSE)</f>
        <v>#N/A</v>
      </c>
      <c r="L1481">
        <v>1472</v>
      </c>
      <c r="M1481" t="e">
        <f>INDEX(Stammdaten[Abholzigkeit (mm/lfm)],MATCH(Tabelle9[[#This Row],[Rank]],Stammdaten[Rank Verteilung Abholzigkeit],0))</f>
        <v>#N/A</v>
      </c>
      <c r="N1481" t="e">
        <f>VLOOKUP(Tabelle9[[#This Row],[Rank]],Stammdaten[[Rank Verteilung Abholzigkeit]:[Verteilung Abholzigkeit]],2,FALSE)</f>
        <v>#N/A</v>
      </c>
      <c r="S1481">
        <v>1472</v>
      </c>
      <c r="T1481" t="e">
        <f>INDEX(Stammdaten[Krümmung (mm/lfm)],MATCH(Tabelle10[[#This Row],[Rank]],Stammdaten[Rank Verteilung Krümmung],0))</f>
        <v>#N/A</v>
      </c>
      <c r="U1481" t="e">
        <f>VLOOKUP(Tabelle10[[#This Row],[Rank]],Stammdaten[[Rank Verteilung Krümmung]:[Verteilung Krümmung]],2,FALSE)</f>
        <v>#N/A</v>
      </c>
      <c r="Z1481">
        <v>1472</v>
      </c>
      <c r="AA1481" t="e">
        <f>INDEX(Stammdaten[Ovalität (']0,1'])],MATCH(Tabelle1014[[#This Row],[Rank]],Stammdaten[Rank Verteilung Ovalität],0))</f>
        <v>#N/A</v>
      </c>
      <c r="AB1481" t="e">
        <f>VLOOKUP(Tabelle1014[[#This Row],[Rank]],Stammdaten[[Rank Verteilung Ovalität]:[Verteilung Ovalität]],2,FALSE)</f>
        <v>#N/A</v>
      </c>
    </row>
    <row r="1482" spans="5:28" x14ac:dyDescent="0.35">
      <c r="E1482">
        <v>1473</v>
      </c>
      <c r="F1482" t="e">
        <f>INDEX(Stammdaten[D Mitte mit Rinde (mm)],MATCH(Tabelle8[[#This Row],[Rank]],Stammdaten[Rank Verteilung D Mitte mit Rinde],0))</f>
        <v>#N/A</v>
      </c>
      <c r="G1482" t="e">
        <f>VLOOKUP(Tabelle8[[#This Row],[Rank]],Stammdaten[[Rank Verteilung D Mitte mit Rinde]:[Verteilung D Mitte mit Rinde]],2,FALSE)</f>
        <v>#N/A</v>
      </c>
      <c r="L1482">
        <v>1473</v>
      </c>
      <c r="M1482" t="e">
        <f>INDEX(Stammdaten[Abholzigkeit (mm/lfm)],MATCH(Tabelle9[[#This Row],[Rank]],Stammdaten[Rank Verteilung Abholzigkeit],0))</f>
        <v>#N/A</v>
      </c>
      <c r="N1482" t="e">
        <f>VLOOKUP(Tabelle9[[#This Row],[Rank]],Stammdaten[[Rank Verteilung Abholzigkeit]:[Verteilung Abholzigkeit]],2,FALSE)</f>
        <v>#N/A</v>
      </c>
      <c r="S1482">
        <v>1473</v>
      </c>
      <c r="T1482" t="e">
        <f>INDEX(Stammdaten[Krümmung (mm/lfm)],MATCH(Tabelle10[[#This Row],[Rank]],Stammdaten[Rank Verteilung Krümmung],0))</f>
        <v>#N/A</v>
      </c>
      <c r="U1482" t="e">
        <f>VLOOKUP(Tabelle10[[#This Row],[Rank]],Stammdaten[[Rank Verteilung Krümmung]:[Verteilung Krümmung]],2,FALSE)</f>
        <v>#N/A</v>
      </c>
      <c r="Z1482">
        <v>1473</v>
      </c>
      <c r="AA1482" t="e">
        <f>INDEX(Stammdaten[Ovalität (']0,1'])],MATCH(Tabelle1014[[#This Row],[Rank]],Stammdaten[Rank Verteilung Ovalität],0))</f>
        <v>#N/A</v>
      </c>
      <c r="AB1482" t="e">
        <f>VLOOKUP(Tabelle1014[[#This Row],[Rank]],Stammdaten[[Rank Verteilung Ovalität]:[Verteilung Ovalität]],2,FALSE)</f>
        <v>#N/A</v>
      </c>
    </row>
    <row r="1483" spans="5:28" x14ac:dyDescent="0.35">
      <c r="E1483">
        <v>1474</v>
      </c>
      <c r="F1483" t="e">
        <f>INDEX(Stammdaten[D Mitte mit Rinde (mm)],MATCH(Tabelle8[[#This Row],[Rank]],Stammdaten[Rank Verteilung D Mitte mit Rinde],0))</f>
        <v>#N/A</v>
      </c>
      <c r="G1483" t="e">
        <f>VLOOKUP(Tabelle8[[#This Row],[Rank]],Stammdaten[[Rank Verteilung D Mitte mit Rinde]:[Verteilung D Mitte mit Rinde]],2,FALSE)</f>
        <v>#N/A</v>
      </c>
      <c r="L1483">
        <v>1474</v>
      </c>
      <c r="M1483" t="e">
        <f>INDEX(Stammdaten[Abholzigkeit (mm/lfm)],MATCH(Tabelle9[[#This Row],[Rank]],Stammdaten[Rank Verteilung Abholzigkeit],0))</f>
        <v>#N/A</v>
      </c>
      <c r="N1483" t="e">
        <f>VLOOKUP(Tabelle9[[#This Row],[Rank]],Stammdaten[[Rank Verteilung Abholzigkeit]:[Verteilung Abholzigkeit]],2,FALSE)</f>
        <v>#N/A</v>
      </c>
      <c r="S1483">
        <v>1474</v>
      </c>
      <c r="T1483" t="e">
        <f>INDEX(Stammdaten[Krümmung (mm/lfm)],MATCH(Tabelle10[[#This Row],[Rank]],Stammdaten[Rank Verteilung Krümmung],0))</f>
        <v>#N/A</v>
      </c>
      <c r="U1483" t="e">
        <f>VLOOKUP(Tabelle10[[#This Row],[Rank]],Stammdaten[[Rank Verteilung Krümmung]:[Verteilung Krümmung]],2,FALSE)</f>
        <v>#N/A</v>
      </c>
      <c r="Z1483">
        <v>1474</v>
      </c>
      <c r="AA1483" t="e">
        <f>INDEX(Stammdaten[Ovalität (']0,1'])],MATCH(Tabelle1014[[#This Row],[Rank]],Stammdaten[Rank Verteilung Ovalität],0))</f>
        <v>#N/A</v>
      </c>
      <c r="AB1483" t="e">
        <f>VLOOKUP(Tabelle1014[[#This Row],[Rank]],Stammdaten[[Rank Verteilung Ovalität]:[Verteilung Ovalität]],2,FALSE)</f>
        <v>#N/A</v>
      </c>
    </row>
    <row r="1484" spans="5:28" x14ac:dyDescent="0.35">
      <c r="E1484">
        <v>1475</v>
      </c>
      <c r="F1484" t="e">
        <f>INDEX(Stammdaten[D Mitte mit Rinde (mm)],MATCH(Tabelle8[[#This Row],[Rank]],Stammdaten[Rank Verteilung D Mitte mit Rinde],0))</f>
        <v>#N/A</v>
      </c>
      <c r="G1484" t="e">
        <f>VLOOKUP(Tabelle8[[#This Row],[Rank]],Stammdaten[[Rank Verteilung D Mitte mit Rinde]:[Verteilung D Mitte mit Rinde]],2,FALSE)</f>
        <v>#N/A</v>
      </c>
      <c r="L1484">
        <v>1475</v>
      </c>
      <c r="M1484" t="e">
        <f>INDEX(Stammdaten[Abholzigkeit (mm/lfm)],MATCH(Tabelle9[[#This Row],[Rank]],Stammdaten[Rank Verteilung Abholzigkeit],0))</f>
        <v>#N/A</v>
      </c>
      <c r="N1484" t="e">
        <f>VLOOKUP(Tabelle9[[#This Row],[Rank]],Stammdaten[[Rank Verteilung Abholzigkeit]:[Verteilung Abholzigkeit]],2,FALSE)</f>
        <v>#N/A</v>
      </c>
      <c r="S1484">
        <v>1475</v>
      </c>
      <c r="T1484" t="e">
        <f>INDEX(Stammdaten[Krümmung (mm/lfm)],MATCH(Tabelle10[[#This Row],[Rank]],Stammdaten[Rank Verteilung Krümmung],0))</f>
        <v>#N/A</v>
      </c>
      <c r="U1484" t="e">
        <f>VLOOKUP(Tabelle10[[#This Row],[Rank]],Stammdaten[[Rank Verteilung Krümmung]:[Verteilung Krümmung]],2,FALSE)</f>
        <v>#N/A</v>
      </c>
      <c r="Z1484">
        <v>1475</v>
      </c>
      <c r="AA1484" t="e">
        <f>INDEX(Stammdaten[Ovalität (']0,1'])],MATCH(Tabelle1014[[#This Row],[Rank]],Stammdaten[Rank Verteilung Ovalität],0))</f>
        <v>#N/A</v>
      </c>
      <c r="AB1484" t="e">
        <f>VLOOKUP(Tabelle1014[[#This Row],[Rank]],Stammdaten[[Rank Verteilung Ovalität]:[Verteilung Ovalität]],2,FALSE)</f>
        <v>#N/A</v>
      </c>
    </row>
    <row r="1485" spans="5:28" x14ac:dyDescent="0.35">
      <c r="E1485">
        <v>1476</v>
      </c>
      <c r="F1485" t="e">
        <f>INDEX(Stammdaten[D Mitte mit Rinde (mm)],MATCH(Tabelle8[[#This Row],[Rank]],Stammdaten[Rank Verteilung D Mitte mit Rinde],0))</f>
        <v>#N/A</v>
      </c>
      <c r="G1485" t="e">
        <f>VLOOKUP(Tabelle8[[#This Row],[Rank]],Stammdaten[[Rank Verteilung D Mitte mit Rinde]:[Verteilung D Mitte mit Rinde]],2,FALSE)</f>
        <v>#N/A</v>
      </c>
      <c r="L1485">
        <v>1476</v>
      </c>
      <c r="M1485" t="e">
        <f>INDEX(Stammdaten[Abholzigkeit (mm/lfm)],MATCH(Tabelle9[[#This Row],[Rank]],Stammdaten[Rank Verteilung Abholzigkeit],0))</f>
        <v>#N/A</v>
      </c>
      <c r="N1485" t="e">
        <f>VLOOKUP(Tabelle9[[#This Row],[Rank]],Stammdaten[[Rank Verteilung Abholzigkeit]:[Verteilung Abholzigkeit]],2,FALSE)</f>
        <v>#N/A</v>
      </c>
      <c r="S1485">
        <v>1476</v>
      </c>
      <c r="T1485" t="e">
        <f>INDEX(Stammdaten[Krümmung (mm/lfm)],MATCH(Tabelle10[[#This Row],[Rank]],Stammdaten[Rank Verteilung Krümmung],0))</f>
        <v>#N/A</v>
      </c>
      <c r="U1485" t="e">
        <f>VLOOKUP(Tabelle10[[#This Row],[Rank]],Stammdaten[[Rank Verteilung Krümmung]:[Verteilung Krümmung]],2,FALSE)</f>
        <v>#N/A</v>
      </c>
      <c r="Z1485">
        <v>1476</v>
      </c>
      <c r="AA1485" t="e">
        <f>INDEX(Stammdaten[Ovalität (']0,1'])],MATCH(Tabelle1014[[#This Row],[Rank]],Stammdaten[Rank Verteilung Ovalität],0))</f>
        <v>#N/A</v>
      </c>
      <c r="AB1485" t="e">
        <f>VLOOKUP(Tabelle1014[[#This Row],[Rank]],Stammdaten[[Rank Verteilung Ovalität]:[Verteilung Ovalität]],2,FALSE)</f>
        <v>#N/A</v>
      </c>
    </row>
    <row r="1486" spans="5:28" x14ac:dyDescent="0.35">
      <c r="E1486">
        <v>1477</v>
      </c>
      <c r="F1486" t="e">
        <f>INDEX(Stammdaten[D Mitte mit Rinde (mm)],MATCH(Tabelle8[[#This Row],[Rank]],Stammdaten[Rank Verteilung D Mitte mit Rinde],0))</f>
        <v>#N/A</v>
      </c>
      <c r="G1486" t="e">
        <f>VLOOKUP(Tabelle8[[#This Row],[Rank]],Stammdaten[[Rank Verteilung D Mitte mit Rinde]:[Verteilung D Mitte mit Rinde]],2,FALSE)</f>
        <v>#N/A</v>
      </c>
      <c r="L1486">
        <v>1477</v>
      </c>
      <c r="M1486" t="e">
        <f>INDEX(Stammdaten[Abholzigkeit (mm/lfm)],MATCH(Tabelle9[[#This Row],[Rank]],Stammdaten[Rank Verteilung Abholzigkeit],0))</f>
        <v>#N/A</v>
      </c>
      <c r="N1486" t="e">
        <f>VLOOKUP(Tabelle9[[#This Row],[Rank]],Stammdaten[[Rank Verteilung Abholzigkeit]:[Verteilung Abholzigkeit]],2,FALSE)</f>
        <v>#N/A</v>
      </c>
      <c r="S1486">
        <v>1477</v>
      </c>
      <c r="T1486" t="e">
        <f>INDEX(Stammdaten[Krümmung (mm/lfm)],MATCH(Tabelle10[[#This Row],[Rank]],Stammdaten[Rank Verteilung Krümmung],0))</f>
        <v>#N/A</v>
      </c>
      <c r="U1486" t="e">
        <f>VLOOKUP(Tabelle10[[#This Row],[Rank]],Stammdaten[[Rank Verteilung Krümmung]:[Verteilung Krümmung]],2,FALSE)</f>
        <v>#N/A</v>
      </c>
      <c r="Z1486">
        <v>1477</v>
      </c>
      <c r="AA1486" t="e">
        <f>INDEX(Stammdaten[Ovalität (']0,1'])],MATCH(Tabelle1014[[#This Row],[Rank]],Stammdaten[Rank Verteilung Ovalität],0))</f>
        <v>#N/A</v>
      </c>
      <c r="AB1486" t="e">
        <f>VLOOKUP(Tabelle1014[[#This Row],[Rank]],Stammdaten[[Rank Verteilung Ovalität]:[Verteilung Ovalität]],2,FALSE)</f>
        <v>#N/A</v>
      </c>
    </row>
    <row r="1487" spans="5:28" x14ac:dyDescent="0.35">
      <c r="E1487">
        <v>1478</v>
      </c>
      <c r="F1487" t="e">
        <f>INDEX(Stammdaten[D Mitte mit Rinde (mm)],MATCH(Tabelle8[[#This Row],[Rank]],Stammdaten[Rank Verteilung D Mitte mit Rinde],0))</f>
        <v>#N/A</v>
      </c>
      <c r="G1487" t="e">
        <f>VLOOKUP(Tabelle8[[#This Row],[Rank]],Stammdaten[[Rank Verteilung D Mitte mit Rinde]:[Verteilung D Mitte mit Rinde]],2,FALSE)</f>
        <v>#N/A</v>
      </c>
      <c r="L1487">
        <v>1478</v>
      </c>
      <c r="M1487" t="e">
        <f>INDEX(Stammdaten[Abholzigkeit (mm/lfm)],MATCH(Tabelle9[[#This Row],[Rank]],Stammdaten[Rank Verteilung Abholzigkeit],0))</f>
        <v>#N/A</v>
      </c>
      <c r="N1487" t="e">
        <f>VLOOKUP(Tabelle9[[#This Row],[Rank]],Stammdaten[[Rank Verteilung Abholzigkeit]:[Verteilung Abholzigkeit]],2,FALSE)</f>
        <v>#N/A</v>
      </c>
      <c r="S1487">
        <v>1478</v>
      </c>
      <c r="T1487" t="e">
        <f>INDEX(Stammdaten[Krümmung (mm/lfm)],MATCH(Tabelle10[[#This Row],[Rank]],Stammdaten[Rank Verteilung Krümmung],0))</f>
        <v>#N/A</v>
      </c>
      <c r="U1487" t="e">
        <f>VLOOKUP(Tabelle10[[#This Row],[Rank]],Stammdaten[[Rank Verteilung Krümmung]:[Verteilung Krümmung]],2,FALSE)</f>
        <v>#N/A</v>
      </c>
      <c r="Z1487">
        <v>1478</v>
      </c>
      <c r="AA1487" t="e">
        <f>INDEX(Stammdaten[Ovalität (']0,1'])],MATCH(Tabelle1014[[#This Row],[Rank]],Stammdaten[Rank Verteilung Ovalität],0))</f>
        <v>#N/A</v>
      </c>
      <c r="AB1487" t="e">
        <f>VLOOKUP(Tabelle1014[[#This Row],[Rank]],Stammdaten[[Rank Verteilung Ovalität]:[Verteilung Ovalität]],2,FALSE)</f>
        <v>#N/A</v>
      </c>
    </row>
    <row r="1488" spans="5:28" x14ac:dyDescent="0.35">
      <c r="E1488">
        <v>1479</v>
      </c>
      <c r="F1488" t="e">
        <f>INDEX(Stammdaten[D Mitte mit Rinde (mm)],MATCH(Tabelle8[[#This Row],[Rank]],Stammdaten[Rank Verteilung D Mitte mit Rinde],0))</f>
        <v>#N/A</v>
      </c>
      <c r="G1488" t="e">
        <f>VLOOKUP(Tabelle8[[#This Row],[Rank]],Stammdaten[[Rank Verteilung D Mitte mit Rinde]:[Verteilung D Mitte mit Rinde]],2,FALSE)</f>
        <v>#N/A</v>
      </c>
      <c r="L1488">
        <v>1479</v>
      </c>
      <c r="M1488" t="e">
        <f>INDEX(Stammdaten[Abholzigkeit (mm/lfm)],MATCH(Tabelle9[[#This Row],[Rank]],Stammdaten[Rank Verteilung Abholzigkeit],0))</f>
        <v>#N/A</v>
      </c>
      <c r="N1488" t="e">
        <f>VLOOKUP(Tabelle9[[#This Row],[Rank]],Stammdaten[[Rank Verteilung Abholzigkeit]:[Verteilung Abholzigkeit]],2,FALSE)</f>
        <v>#N/A</v>
      </c>
      <c r="S1488">
        <v>1479</v>
      </c>
      <c r="T1488" t="e">
        <f>INDEX(Stammdaten[Krümmung (mm/lfm)],MATCH(Tabelle10[[#This Row],[Rank]],Stammdaten[Rank Verteilung Krümmung],0))</f>
        <v>#N/A</v>
      </c>
      <c r="U1488" t="e">
        <f>VLOOKUP(Tabelle10[[#This Row],[Rank]],Stammdaten[[Rank Verteilung Krümmung]:[Verteilung Krümmung]],2,FALSE)</f>
        <v>#N/A</v>
      </c>
      <c r="Z1488">
        <v>1479</v>
      </c>
      <c r="AA1488" t="e">
        <f>INDEX(Stammdaten[Ovalität (']0,1'])],MATCH(Tabelle1014[[#This Row],[Rank]],Stammdaten[Rank Verteilung Ovalität],0))</f>
        <v>#N/A</v>
      </c>
      <c r="AB1488" t="e">
        <f>VLOOKUP(Tabelle1014[[#This Row],[Rank]],Stammdaten[[Rank Verteilung Ovalität]:[Verteilung Ovalität]],2,FALSE)</f>
        <v>#N/A</v>
      </c>
    </row>
    <row r="1489" spans="5:28" x14ac:dyDescent="0.35">
      <c r="E1489">
        <v>1480</v>
      </c>
      <c r="F1489" t="e">
        <f>INDEX(Stammdaten[D Mitte mit Rinde (mm)],MATCH(Tabelle8[[#This Row],[Rank]],Stammdaten[Rank Verteilung D Mitte mit Rinde],0))</f>
        <v>#N/A</v>
      </c>
      <c r="G1489" t="e">
        <f>VLOOKUP(Tabelle8[[#This Row],[Rank]],Stammdaten[[Rank Verteilung D Mitte mit Rinde]:[Verteilung D Mitte mit Rinde]],2,FALSE)</f>
        <v>#N/A</v>
      </c>
      <c r="L1489">
        <v>1480</v>
      </c>
      <c r="M1489" t="e">
        <f>INDEX(Stammdaten[Abholzigkeit (mm/lfm)],MATCH(Tabelle9[[#This Row],[Rank]],Stammdaten[Rank Verteilung Abholzigkeit],0))</f>
        <v>#N/A</v>
      </c>
      <c r="N1489" t="e">
        <f>VLOOKUP(Tabelle9[[#This Row],[Rank]],Stammdaten[[Rank Verteilung Abholzigkeit]:[Verteilung Abholzigkeit]],2,FALSE)</f>
        <v>#N/A</v>
      </c>
      <c r="S1489">
        <v>1480</v>
      </c>
      <c r="T1489" t="e">
        <f>INDEX(Stammdaten[Krümmung (mm/lfm)],MATCH(Tabelle10[[#This Row],[Rank]],Stammdaten[Rank Verteilung Krümmung],0))</f>
        <v>#N/A</v>
      </c>
      <c r="U1489" t="e">
        <f>VLOOKUP(Tabelle10[[#This Row],[Rank]],Stammdaten[[Rank Verteilung Krümmung]:[Verteilung Krümmung]],2,FALSE)</f>
        <v>#N/A</v>
      </c>
      <c r="Z1489">
        <v>1480</v>
      </c>
      <c r="AA1489" t="e">
        <f>INDEX(Stammdaten[Ovalität (']0,1'])],MATCH(Tabelle1014[[#This Row],[Rank]],Stammdaten[Rank Verteilung Ovalität],0))</f>
        <v>#N/A</v>
      </c>
      <c r="AB1489" t="e">
        <f>VLOOKUP(Tabelle1014[[#This Row],[Rank]],Stammdaten[[Rank Verteilung Ovalität]:[Verteilung Ovalität]],2,FALSE)</f>
        <v>#N/A</v>
      </c>
    </row>
    <row r="1490" spans="5:28" x14ac:dyDescent="0.35">
      <c r="E1490">
        <v>1481</v>
      </c>
      <c r="F1490" t="e">
        <f>INDEX(Stammdaten[D Mitte mit Rinde (mm)],MATCH(Tabelle8[[#This Row],[Rank]],Stammdaten[Rank Verteilung D Mitte mit Rinde],0))</f>
        <v>#N/A</v>
      </c>
      <c r="G1490" t="e">
        <f>VLOOKUP(Tabelle8[[#This Row],[Rank]],Stammdaten[[Rank Verteilung D Mitte mit Rinde]:[Verteilung D Mitte mit Rinde]],2,FALSE)</f>
        <v>#N/A</v>
      </c>
      <c r="L1490">
        <v>1481</v>
      </c>
      <c r="M1490" t="e">
        <f>INDEX(Stammdaten[Abholzigkeit (mm/lfm)],MATCH(Tabelle9[[#This Row],[Rank]],Stammdaten[Rank Verteilung Abholzigkeit],0))</f>
        <v>#N/A</v>
      </c>
      <c r="N1490" t="e">
        <f>VLOOKUP(Tabelle9[[#This Row],[Rank]],Stammdaten[[Rank Verteilung Abholzigkeit]:[Verteilung Abholzigkeit]],2,FALSE)</f>
        <v>#N/A</v>
      </c>
      <c r="S1490">
        <v>1481</v>
      </c>
      <c r="T1490" t="e">
        <f>INDEX(Stammdaten[Krümmung (mm/lfm)],MATCH(Tabelle10[[#This Row],[Rank]],Stammdaten[Rank Verteilung Krümmung],0))</f>
        <v>#N/A</v>
      </c>
      <c r="U1490" t="e">
        <f>VLOOKUP(Tabelle10[[#This Row],[Rank]],Stammdaten[[Rank Verteilung Krümmung]:[Verteilung Krümmung]],2,FALSE)</f>
        <v>#N/A</v>
      </c>
      <c r="Z1490">
        <v>1481</v>
      </c>
      <c r="AA1490" t="e">
        <f>INDEX(Stammdaten[Ovalität (']0,1'])],MATCH(Tabelle1014[[#This Row],[Rank]],Stammdaten[Rank Verteilung Ovalität],0))</f>
        <v>#N/A</v>
      </c>
      <c r="AB1490" t="e">
        <f>VLOOKUP(Tabelle1014[[#This Row],[Rank]],Stammdaten[[Rank Verteilung Ovalität]:[Verteilung Ovalität]],2,FALSE)</f>
        <v>#N/A</v>
      </c>
    </row>
    <row r="1491" spans="5:28" x14ac:dyDescent="0.35">
      <c r="E1491">
        <v>1482</v>
      </c>
      <c r="F1491" t="e">
        <f>INDEX(Stammdaten[D Mitte mit Rinde (mm)],MATCH(Tabelle8[[#This Row],[Rank]],Stammdaten[Rank Verteilung D Mitte mit Rinde],0))</f>
        <v>#N/A</v>
      </c>
      <c r="G1491" t="e">
        <f>VLOOKUP(Tabelle8[[#This Row],[Rank]],Stammdaten[[Rank Verteilung D Mitte mit Rinde]:[Verteilung D Mitte mit Rinde]],2,FALSE)</f>
        <v>#N/A</v>
      </c>
      <c r="L1491">
        <v>1482</v>
      </c>
      <c r="M1491" t="e">
        <f>INDEX(Stammdaten[Abholzigkeit (mm/lfm)],MATCH(Tabelle9[[#This Row],[Rank]],Stammdaten[Rank Verteilung Abholzigkeit],0))</f>
        <v>#N/A</v>
      </c>
      <c r="N1491" t="e">
        <f>VLOOKUP(Tabelle9[[#This Row],[Rank]],Stammdaten[[Rank Verteilung Abholzigkeit]:[Verteilung Abholzigkeit]],2,FALSE)</f>
        <v>#N/A</v>
      </c>
      <c r="S1491">
        <v>1482</v>
      </c>
      <c r="T1491" t="e">
        <f>INDEX(Stammdaten[Krümmung (mm/lfm)],MATCH(Tabelle10[[#This Row],[Rank]],Stammdaten[Rank Verteilung Krümmung],0))</f>
        <v>#N/A</v>
      </c>
      <c r="U1491" t="e">
        <f>VLOOKUP(Tabelle10[[#This Row],[Rank]],Stammdaten[[Rank Verteilung Krümmung]:[Verteilung Krümmung]],2,FALSE)</f>
        <v>#N/A</v>
      </c>
      <c r="Z1491">
        <v>1482</v>
      </c>
      <c r="AA1491" t="e">
        <f>INDEX(Stammdaten[Ovalität (']0,1'])],MATCH(Tabelle1014[[#This Row],[Rank]],Stammdaten[Rank Verteilung Ovalität],0))</f>
        <v>#N/A</v>
      </c>
      <c r="AB1491" t="e">
        <f>VLOOKUP(Tabelle1014[[#This Row],[Rank]],Stammdaten[[Rank Verteilung Ovalität]:[Verteilung Ovalität]],2,FALSE)</f>
        <v>#N/A</v>
      </c>
    </row>
    <row r="1492" spans="5:28" x14ac:dyDescent="0.35">
      <c r="E1492">
        <v>1483</v>
      </c>
      <c r="F1492" t="e">
        <f>INDEX(Stammdaten[D Mitte mit Rinde (mm)],MATCH(Tabelle8[[#This Row],[Rank]],Stammdaten[Rank Verteilung D Mitte mit Rinde],0))</f>
        <v>#N/A</v>
      </c>
      <c r="G1492" t="e">
        <f>VLOOKUP(Tabelle8[[#This Row],[Rank]],Stammdaten[[Rank Verteilung D Mitte mit Rinde]:[Verteilung D Mitte mit Rinde]],2,FALSE)</f>
        <v>#N/A</v>
      </c>
      <c r="L1492">
        <v>1483</v>
      </c>
      <c r="M1492" t="e">
        <f>INDEX(Stammdaten[Abholzigkeit (mm/lfm)],MATCH(Tabelle9[[#This Row],[Rank]],Stammdaten[Rank Verteilung Abholzigkeit],0))</f>
        <v>#N/A</v>
      </c>
      <c r="N1492" t="e">
        <f>VLOOKUP(Tabelle9[[#This Row],[Rank]],Stammdaten[[Rank Verteilung Abholzigkeit]:[Verteilung Abholzigkeit]],2,FALSE)</f>
        <v>#N/A</v>
      </c>
      <c r="S1492">
        <v>1483</v>
      </c>
      <c r="T1492" t="e">
        <f>INDEX(Stammdaten[Krümmung (mm/lfm)],MATCH(Tabelle10[[#This Row],[Rank]],Stammdaten[Rank Verteilung Krümmung],0))</f>
        <v>#N/A</v>
      </c>
      <c r="U1492" t="e">
        <f>VLOOKUP(Tabelle10[[#This Row],[Rank]],Stammdaten[[Rank Verteilung Krümmung]:[Verteilung Krümmung]],2,FALSE)</f>
        <v>#N/A</v>
      </c>
      <c r="Z1492">
        <v>1483</v>
      </c>
      <c r="AA1492" t="e">
        <f>INDEX(Stammdaten[Ovalität (']0,1'])],MATCH(Tabelle1014[[#This Row],[Rank]],Stammdaten[Rank Verteilung Ovalität],0))</f>
        <v>#N/A</v>
      </c>
      <c r="AB1492" t="e">
        <f>VLOOKUP(Tabelle1014[[#This Row],[Rank]],Stammdaten[[Rank Verteilung Ovalität]:[Verteilung Ovalität]],2,FALSE)</f>
        <v>#N/A</v>
      </c>
    </row>
    <row r="1493" spans="5:28" x14ac:dyDescent="0.35">
      <c r="E1493">
        <v>1484</v>
      </c>
      <c r="F1493" t="e">
        <f>INDEX(Stammdaten[D Mitte mit Rinde (mm)],MATCH(Tabelle8[[#This Row],[Rank]],Stammdaten[Rank Verteilung D Mitte mit Rinde],0))</f>
        <v>#N/A</v>
      </c>
      <c r="G1493" t="e">
        <f>VLOOKUP(Tabelle8[[#This Row],[Rank]],Stammdaten[[Rank Verteilung D Mitte mit Rinde]:[Verteilung D Mitte mit Rinde]],2,FALSE)</f>
        <v>#N/A</v>
      </c>
      <c r="L1493">
        <v>1484</v>
      </c>
      <c r="M1493" t="e">
        <f>INDEX(Stammdaten[Abholzigkeit (mm/lfm)],MATCH(Tabelle9[[#This Row],[Rank]],Stammdaten[Rank Verteilung Abholzigkeit],0))</f>
        <v>#N/A</v>
      </c>
      <c r="N1493" t="e">
        <f>VLOOKUP(Tabelle9[[#This Row],[Rank]],Stammdaten[[Rank Verteilung Abholzigkeit]:[Verteilung Abholzigkeit]],2,FALSE)</f>
        <v>#N/A</v>
      </c>
      <c r="S1493">
        <v>1484</v>
      </c>
      <c r="T1493" t="e">
        <f>INDEX(Stammdaten[Krümmung (mm/lfm)],MATCH(Tabelle10[[#This Row],[Rank]],Stammdaten[Rank Verteilung Krümmung],0))</f>
        <v>#N/A</v>
      </c>
      <c r="U1493" t="e">
        <f>VLOOKUP(Tabelle10[[#This Row],[Rank]],Stammdaten[[Rank Verteilung Krümmung]:[Verteilung Krümmung]],2,FALSE)</f>
        <v>#N/A</v>
      </c>
      <c r="Z1493">
        <v>1484</v>
      </c>
      <c r="AA1493" t="e">
        <f>INDEX(Stammdaten[Ovalität (']0,1'])],MATCH(Tabelle1014[[#This Row],[Rank]],Stammdaten[Rank Verteilung Ovalität],0))</f>
        <v>#N/A</v>
      </c>
      <c r="AB1493" t="e">
        <f>VLOOKUP(Tabelle1014[[#This Row],[Rank]],Stammdaten[[Rank Verteilung Ovalität]:[Verteilung Ovalität]],2,FALSE)</f>
        <v>#N/A</v>
      </c>
    </row>
    <row r="1494" spans="5:28" x14ac:dyDescent="0.35">
      <c r="E1494">
        <v>1485</v>
      </c>
      <c r="F1494" t="e">
        <f>INDEX(Stammdaten[D Mitte mit Rinde (mm)],MATCH(Tabelle8[[#This Row],[Rank]],Stammdaten[Rank Verteilung D Mitte mit Rinde],0))</f>
        <v>#N/A</v>
      </c>
      <c r="G1494" t="e">
        <f>VLOOKUP(Tabelle8[[#This Row],[Rank]],Stammdaten[[Rank Verteilung D Mitte mit Rinde]:[Verteilung D Mitte mit Rinde]],2,FALSE)</f>
        <v>#N/A</v>
      </c>
      <c r="L1494">
        <v>1485</v>
      </c>
      <c r="M1494" t="e">
        <f>INDEX(Stammdaten[Abholzigkeit (mm/lfm)],MATCH(Tabelle9[[#This Row],[Rank]],Stammdaten[Rank Verteilung Abholzigkeit],0))</f>
        <v>#N/A</v>
      </c>
      <c r="N1494" t="e">
        <f>VLOOKUP(Tabelle9[[#This Row],[Rank]],Stammdaten[[Rank Verteilung Abholzigkeit]:[Verteilung Abholzigkeit]],2,FALSE)</f>
        <v>#N/A</v>
      </c>
      <c r="S1494">
        <v>1485</v>
      </c>
      <c r="T1494" t="e">
        <f>INDEX(Stammdaten[Krümmung (mm/lfm)],MATCH(Tabelle10[[#This Row],[Rank]],Stammdaten[Rank Verteilung Krümmung],0))</f>
        <v>#N/A</v>
      </c>
      <c r="U1494" t="e">
        <f>VLOOKUP(Tabelle10[[#This Row],[Rank]],Stammdaten[[Rank Verteilung Krümmung]:[Verteilung Krümmung]],2,FALSE)</f>
        <v>#N/A</v>
      </c>
      <c r="Z1494">
        <v>1485</v>
      </c>
      <c r="AA1494" t="e">
        <f>INDEX(Stammdaten[Ovalität (']0,1'])],MATCH(Tabelle1014[[#This Row],[Rank]],Stammdaten[Rank Verteilung Ovalität],0))</f>
        <v>#N/A</v>
      </c>
      <c r="AB1494" t="e">
        <f>VLOOKUP(Tabelle1014[[#This Row],[Rank]],Stammdaten[[Rank Verteilung Ovalität]:[Verteilung Ovalität]],2,FALSE)</f>
        <v>#N/A</v>
      </c>
    </row>
    <row r="1495" spans="5:28" x14ac:dyDescent="0.35">
      <c r="E1495">
        <v>1486</v>
      </c>
      <c r="F1495" t="e">
        <f>INDEX(Stammdaten[D Mitte mit Rinde (mm)],MATCH(Tabelle8[[#This Row],[Rank]],Stammdaten[Rank Verteilung D Mitte mit Rinde],0))</f>
        <v>#N/A</v>
      </c>
      <c r="G1495" t="e">
        <f>VLOOKUP(Tabelle8[[#This Row],[Rank]],Stammdaten[[Rank Verteilung D Mitte mit Rinde]:[Verteilung D Mitte mit Rinde]],2,FALSE)</f>
        <v>#N/A</v>
      </c>
      <c r="L1495">
        <v>1486</v>
      </c>
      <c r="M1495" t="e">
        <f>INDEX(Stammdaten[Abholzigkeit (mm/lfm)],MATCH(Tabelle9[[#This Row],[Rank]],Stammdaten[Rank Verteilung Abholzigkeit],0))</f>
        <v>#N/A</v>
      </c>
      <c r="N1495" t="e">
        <f>VLOOKUP(Tabelle9[[#This Row],[Rank]],Stammdaten[[Rank Verteilung Abholzigkeit]:[Verteilung Abholzigkeit]],2,FALSE)</f>
        <v>#N/A</v>
      </c>
      <c r="S1495">
        <v>1486</v>
      </c>
      <c r="T1495" t="e">
        <f>INDEX(Stammdaten[Krümmung (mm/lfm)],MATCH(Tabelle10[[#This Row],[Rank]],Stammdaten[Rank Verteilung Krümmung],0))</f>
        <v>#N/A</v>
      </c>
      <c r="U1495" t="e">
        <f>VLOOKUP(Tabelle10[[#This Row],[Rank]],Stammdaten[[Rank Verteilung Krümmung]:[Verteilung Krümmung]],2,FALSE)</f>
        <v>#N/A</v>
      </c>
      <c r="Z1495">
        <v>1486</v>
      </c>
      <c r="AA1495" t="e">
        <f>INDEX(Stammdaten[Ovalität (']0,1'])],MATCH(Tabelle1014[[#This Row],[Rank]],Stammdaten[Rank Verteilung Ovalität],0))</f>
        <v>#N/A</v>
      </c>
      <c r="AB1495" t="e">
        <f>VLOOKUP(Tabelle1014[[#This Row],[Rank]],Stammdaten[[Rank Verteilung Ovalität]:[Verteilung Ovalität]],2,FALSE)</f>
        <v>#N/A</v>
      </c>
    </row>
    <row r="1496" spans="5:28" x14ac:dyDescent="0.35">
      <c r="E1496">
        <v>1487</v>
      </c>
      <c r="F1496" t="e">
        <f>INDEX(Stammdaten[D Mitte mit Rinde (mm)],MATCH(Tabelle8[[#This Row],[Rank]],Stammdaten[Rank Verteilung D Mitte mit Rinde],0))</f>
        <v>#N/A</v>
      </c>
      <c r="G1496" t="e">
        <f>VLOOKUP(Tabelle8[[#This Row],[Rank]],Stammdaten[[Rank Verteilung D Mitte mit Rinde]:[Verteilung D Mitte mit Rinde]],2,FALSE)</f>
        <v>#N/A</v>
      </c>
      <c r="L1496">
        <v>1487</v>
      </c>
      <c r="M1496" t="e">
        <f>INDEX(Stammdaten[Abholzigkeit (mm/lfm)],MATCH(Tabelle9[[#This Row],[Rank]],Stammdaten[Rank Verteilung Abholzigkeit],0))</f>
        <v>#N/A</v>
      </c>
      <c r="N1496" t="e">
        <f>VLOOKUP(Tabelle9[[#This Row],[Rank]],Stammdaten[[Rank Verteilung Abholzigkeit]:[Verteilung Abholzigkeit]],2,FALSE)</f>
        <v>#N/A</v>
      </c>
      <c r="S1496">
        <v>1487</v>
      </c>
      <c r="T1496" t="e">
        <f>INDEX(Stammdaten[Krümmung (mm/lfm)],MATCH(Tabelle10[[#This Row],[Rank]],Stammdaten[Rank Verteilung Krümmung],0))</f>
        <v>#N/A</v>
      </c>
      <c r="U1496" t="e">
        <f>VLOOKUP(Tabelle10[[#This Row],[Rank]],Stammdaten[[Rank Verteilung Krümmung]:[Verteilung Krümmung]],2,FALSE)</f>
        <v>#N/A</v>
      </c>
      <c r="Z1496">
        <v>1487</v>
      </c>
      <c r="AA1496" t="e">
        <f>INDEX(Stammdaten[Ovalität (']0,1'])],MATCH(Tabelle1014[[#This Row],[Rank]],Stammdaten[Rank Verteilung Ovalität],0))</f>
        <v>#N/A</v>
      </c>
      <c r="AB1496" t="e">
        <f>VLOOKUP(Tabelle1014[[#This Row],[Rank]],Stammdaten[[Rank Verteilung Ovalität]:[Verteilung Ovalität]],2,FALSE)</f>
        <v>#N/A</v>
      </c>
    </row>
    <row r="1497" spans="5:28" x14ac:dyDescent="0.35">
      <c r="E1497">
        <v>1488</v>
      </c>
      <c r="F1497" t="e">
        <f>INDEX(Stammdaten[D Mitte mit Rinde (mm)],MATCH(Tabelle8[[#This Row],[Rank]],Stammdaten[Rank Verteilung D Mitte mit Rinde],0))</f>
        <v>#N/A</v>
      </c>
      <c r="G1497" t="e">
        <f>VLOOKUP(Tabelle8[[#This Row],[Rank]],Stammdaten[[Rank Verteilung D Mitte mit Rinde]:[Verteilung D Mitte mit Rinde]],2,FALSE)</f>
        <v>#N/A</v>
      </c>
      <c r="L1497">
        <v>1488</v>
      </c>
      <c r="M1497" t="e">
        <f>INDEX(Stammdaten[Abholzigkeit (mm/lfm)],MATCH(Tabelle9[[#This Row],[Rank]],Stammdaten[Rank Verteilung Abholzigkeit],0))</f>
        <v>#N/A</v>
      </c>
      <c r="N1497" t="e">
        <f>VLOOKUP(Tabelle9[[#This Row],[Rank]],Stammdaten[[Rank Verteilung Abholzigkeit]:[Verteilung Abholzigkeit]],2,FALSE)</f>
        <v>#N/A</v>
      </c>
      <c r="S1497">
        <v>1488</v>
      </c>
      <c r="T1497" t="e">
        <f>INDEX(Stammdaten[Krümmung (mm/lfm)],MATCH(Tabelle10[[#This Row],[Rank]],Stammdaten[Rank Verteilung Krümmung],0))</f>
        <v>#N/A</v>
      </c>
      <c r="U1497" t="e">
        <f>VLOOKUP(Tabelle10[[#This Row],[Rank]],Stammdaten[[Rank Verteilung Krümmung]:[Verteilung Krümmung]],2,FALSE)</f>
        <v>#N/A</v>
      </c>
      <c r="Z1497">
        <v>1488</v>
      </c>
      <c r="AA1497" t="e">
        <f>INDEX(Stammdaten[Ovalität (']0,1'])],MATCH(Tabelle1014[[#This Row],[Rank]],Stammdaten[Rank Verteilung Ovalität],0))</f>
        <v>#N/A</v>
      </c>
      <c r="AB1497" t="e">
        <f>VLOOKUP(Tabelle1014[[#This Row],[Rank]],Stammdaten[[Rank Verteilung Ovalität]:[Verteilung Ovalität]],2,FALSE)</f>
        <v>#N/A</v>
      </c>
    </row>
    <row r="1498" spans="5:28" x14ac:dyDescent="0.35">
      <c r="E1498">
        <v>1489</v>
      </c>
      <c r="F1498" t="e">
        <f>INDEX(Stammdaten[D Mitte mit Rinde (mm)],MATCH(Tabelle8[[#This Row],[Rank]],Stammdaten[Rank Verteilung D Mitte mit Rinde],0))</f>
        <v>#N/A</v>
      </c>
      <c r="G1498" t="e">
        <f>VLOOKUP(Tabelle8[[#This Row],[Rank]],Stammdaten[[Rank Verteilung D Mitte mit Rinde]:[Verteilung D Mitte mit Rinde]],2,FALSE)</f>
        <v>#N/A</v>
      </c>
      <c r="L1498">
        <v>1489</v>
      </c>
      <c r="M1498" t="e">
        <f>INDEX(Stammdaten[Abholzigkeit (mm/lfm)],MATCH(Tabelle9[[#This Row],[Rank]],Stammdaten[Rank Verteilung Abholzigkeit],0))</f>
        <v>#N/A</v>
      </c>
      <c r="N1498" t="e">
        <f>VLOOKUP(Tabelle9[[#This Row],[Rank]],Stammdaten[[Rank Verteilung Abholzigkeit]:[Verteilung Abholzigkeit]],2,FALSE)</f>
        <v>#N/A</v>
      </c>
      <c r="S1498">
        <v>1489</v>
      </c>
      <c r="T1498" t="e">
        <f>INDEX(Stammdaten[Krümmung (mm/lfm)],MATCH(Tabelle10[[#This Row],[Rank]],Stammdaten[Rank Verteilung Krümmung],0))</f>
        <v>#N/A</v>
      </c>
      <c r="U1498" t="e">
        <f>VLOOKUP(Tabelle10[[#This Row],[Rank]],Stammdaten[[Rank Verteilung Krümmung]:[Verteilung Krümmung]],2,FALSE)</f>
        <v>#N/A</v>
      </c>
      <c r="Z1498">
        <v>1489</v>
      </c>
      <c r="AA1498" t="e">
        <f>INDEX(Stammdaten[Ovalität (']0,1'])],MATCH(Tabelle1014[[#This Row],[Rank]],Stammdaten[Rank Verteilung Ovalität],0))</f>
        <v>#N/A</v>
      </c>
      <c r="AB1498" t="e">
        <f>VLOOKUP(Tabelle1014[[#This Row],[Rank]],Stammdaten[[Rank Verteilung Ovalität]:[Verteilung Ovalität]],2,FALSE)</f>
        <v>#N/A</v>
      </c>
    </row>
    <row r="1499" spans="5:28" x14ac:dyDescent="0.35">
      <c r="E1499">
        <v>1490</v>
      </c>
      <c r="F1499" t="e">
        <f>INDEX(Stammdaten[D Mitte mit Rinde (mm)],MATCH(Tabelle8[[#This Row],[Rank]],Stammdaten[Rank Verteilung D Mitte mit Rinde],0))</f>
        <v>#N/A</v>
      </c>
      <c r="G1499" t="e">
        <f>VLOOKUP(Tabelle8[[#This Row],[Rank]],Stammdaten[[Rank Verteilung D Mitte mit Rinde]:[Verteilung D Mitte mit Rinde]],2,FALSE)</f>
        <v>#N/A</v>
      </c>
      <c r="L1499">
        <v>1490</v>
      </c>
      <c r="M1499" t="e">
        <f>INDEX(Stammdaten[Abholzigkeit (mm/lfm)],MATCH(Tabelle9[[#This Row],[Rank]],Stammdaten[Rank Verteilung Abholzigkeit],0))</f>
        <v>#N/A</v>
      </c>
      <c r="N1499" t="e">
        <f>VLOOKUP(Tabelle9[[#This Row],[Rank]],Stammdaten[[Rank Verteilung Abholzigkeit]:[Verteilung Abholzigkeit]],2,FALSE)</f>
        <v>#N/A</v>
      </c>
      <c r="S1499">
        <v>1490</v>
      </c>
      <c r="T1499" t="e">
        <f>INDEX(Stammdaten[Krümmung (mm/lfm)],MATCH(Tabelle10[[#This Row],[Rank]],Stammdaten[Rank Verteilung Krümmung],0))</f>
        <v>#N/A</v>
      </c>
      <c r="U1499" t="e">
        <f>VLOOKUP(Tabelle10[[#This Row],[Rank]],Stammdaten[[Rank Verteilung Krümmung]:[Verteilung Krümmung]],2,FALSE)</f>
        <v>#N/A</v>
      </c>
      <c r="Z1499">
        <v>1490</v>
      </c>
      <c r="AA1499" t="e">
        <f>INDEX(Stammdaten[Ovalität (']0,1'])],MATCH(Tabelle1014[[#This Row],[Rank]],Stammdaten[Rank Verteilung Ovalität],0))</f>
        <v>#N/A</v>
      </c>
      <c r="AB1499" t="e">
        <f>VLOOKUP(Tabelle1014[[#This Row],[Rank]],Stammdaten[[Rank Verteilung Ovalität]:[Verteilung Ovalität]],2,FALSE)</f>
        <v>#N/A</v>
      </c>
    </row>
    <row r="1500" spans="5:28" x14ac:dyDescent="0.35">
      <c r="E1500">
        <v>1491</v>
      </c>
      <c r="F1500" t="e">
        <f>INDEX(Stammdaten[D Mitte mit Rinde (mm)],MATCH(Tabelle8[[#This Row],[Rank]],Stammdaten[Rank Verteilung D Mitte mit Rinde],0))</f>
        <v>#N/A</v>
      </c>
      <c r="G1500" t="e">
        <f>VLOOKUP(Tabelle8[[#This Row],[Rank]],Stammdaten[[Rank Verteilung D Mitte mit Rinde]:[Verteilung D Mitte mit Rinde]],2,FALSE)</f>
        <v>#N/A</v>
      </c>
      <c r="L1500">
        <v>1491</v>
      </c>
      <c r="M1500" t="e">
        <f>INDEX(Stammdaten[Abholzigkeit (mm/lfm)],MATCH(Tabelle9[[#This Row],[Rank]],Stammdaten[Rank Verteilung Abholzigkeit],0))</f>
        <v>#N/A</v>
      </c>
      <c r="N1500" t="e">
        <f>VLOOKUP(Tabelle9[[#This Row],[Rank]],Stammdaten[[Rank Verteilung Abholzigkeit]:[Verteilung Abholzigkeit]],2,FALSE)</f>
        <v>#N/A</v>
      </c>
      <c r="S1500">
        <v>1491</v>
      </c>
      <c r="T1500" t="e">
        <f>INDEX(Stammdaten[Krümmung (mm/lfm)],MATCH(Tabelle10[[#This Row],[Rank]],Stammdaten[Rank Verteilung Krümmung],0))</f>
        <v>#N/A</v>
      </c>
      <c r="U1500" t="e">
        <f>VLOOKUP(Tabelle10[[#This Row],[Rank]],Stammdaten[[Rank Verteilung Krümmung]:[Verteilung Krümmung]],2,FALSE)</f>
        <v>#N/A</v>
      </c>
      <c r="Z1500">
        <v>1491</v>
      </c>
      <c r="AA1500" t="e">
        <f>INDEX(Stammdaten[Ovalität (']0,1'])],MATCH(Tabelle1014[[#This Row],[Rank]],Stammdaten[Rank Verteilung Ovalität],0))</f>
        <v>#N/A</v>
      </c>
      <c r="AB1500" t="e">
        <f>VLOOKUP(Tabelle1014[[#This Row],[Rank]],Stammdaten[[Rank Verteilung Ovalität]:[Verteilung Ovalität]],2,FALSE)</f>
        <v>#N/A</v>
      </c>
    </row>
    <row r="1501" spans="5:28" x14ac:dyDescent="0.35">
      <c r="E1501">
        <v>1492</v>
      </c>
      <c r="F1501" t="e">
        <f>INDEX(Stammdaten[D Mitte mit Rinde (mm)],MATCH(Tabelle8[[#This Row],[Rank]],Stammdaten[Rank Verteilung D Mitte mit Rinde],0))</f>
        <v>#N/A</v>
      </c>
      <c r="G1501" t="e">
        <f>VLOOKUP(Tabelle8[[#This Row],[Rank]],Stammdaten[[Rank Verteilung D Mitte mit Rinde]:[Verteilung D Mitte mit Rinde]],2,FALSE)</f>
        <v>#N/A</v>
      </c>
      <c r="L1501">
        <v>1492</v>
      </c>
      <c r="M1501" t="e">
        <f>INDEX(Stammdaten[Abholzigkeit (mm/lfm)],MATCH(Tabelle9[[#This Row],[Rank]],Stammdaten[Rank Verteilung Abholzigkeit],0))</f>
        <v>#N/A</v>
      </c>
      <c r="N1501" t="e">
        <f>VLOOKUP(Tabelle9[[#This Row],[Rank]],Stammdaten[[Rank Verteilung Abholzigkeit]:[Verteilung Abholzigkeit]],2,FALSE)</f>
        <v>#N/A</v>
      </c>
      <c r="S1501">
        <v>1492</v>
      </c>
      <c r="T1501" t="e">
        <f>INDEX(Stammdaten[Krümmung (mm/lfm)],MATCH(Tabelle10[[#This Row],[Rank]],Stammdaten[Rank Verteilung Krümmung],0))</f>
        <v>#N/A</v>
      </c>
      <c r="U1501" t="e">
        <f>VLOOKUP(Tabelle10[[#This Row],[Rank]],Stammdaten[[Rank Verteilung Krümmung]:[Verteilung Krümmung]],2,FALSE)</f>
        <v>#N/A</v>
      </c>
      <c r="Z1501">
        <v>1492</v>
      </c>
      <c r="AA1501" t="e">
        <f>INDEX(Stammdaten[Ovalität (']0,1'])],MATCH(Tabelle1014[[#This Row],[Rank]],Stammdaten[Rank Verteilung Ovalität],0))</f>
        <v>#N/A</v>
      </c>
      <c r="AB1501" t="e">
        <f>VLOOKUP(Tabelle1014[[#This Row],[Rank]],Stammdaten[[Rank Verteilung Ovalität]:[Verteilung Ovalität]],2,FALSE)</f>
        <v>#N/A</v>
      </c>
    </row>
    <row r="1502" spans="5:28" x14ac:dyDescent="0.35">
      <c r="E1502">
        <v>1493</v>
      </c>
      <c r="F1502" t="e">
        <f>INDEX(Stammdaten[D Mitte mit Rinde (mm)],MATCH(Tabelle8[[#This Row],[Rank]],Stammdaten[Rank Verteilung D Mitte mit Rinde],0))</f>
        <v>#N/A</v>
      </c>
      <c r="G1502" t="e">
        <f>VLOOKUP(Tabelle8[[#This Row],[Rank]],Stammdaten[[Rank Verteilung D Mitte mit Rinde]:[Verteilung D Mitte mit Rinde]],2,FALSE)</f>
        <v>#N/A</v>
      </c>
      <c r="L1502">
        <v>1493</v>
      </c>
      <c r="M1502" t="e">
        <f>INDEX(Stammdaten[Abholzigkeit (mm/lfm)],MATCH(Tabelle9[[#This Row],[Rank]],Stammdaten[Rank Verteilung Abholzigkeit],0))</f>
        <v>#N/A</v>
      </c>
      <c r="N1502" t="e">
        <f>VLOOKUP(Tabelle9[[#This Row],[Rank]],Stammdaten[[Rank Verteilung Abholzigkeit]:[Verteilung Abholzigkeit]],2,FALSE)</f>
        <v>#N/A</v>
      </c>
      <c r="S1502">
        <v>1493</v>
      </c>
      <c r="T1502" t="e">
        <f>INDEX(Stammdaten[Krümmung (mm/lfm)],MATCH(Tabelle10[[#This Row],[Rank]],Stammdaten[Rank Verteilung Krümmung],0))</f>
        <v>#N/A</v>
      </c>
      <c r="U1502" t="e">
        <f>VLOOKUP(Tabelle10[[#This Row],[Rank]],Stammdaten[[Rank Verteilung Krümmung]:[Verteilung Krümmung]],2,FALSE)</f>
        <v>#N/A</v>
      </c>
      <c r="Z1502">
        <v>1493</v>
      </c>
      <c r="AA1502" t="e">
        <f>INDEX(Stammdaten[Ovalität (']0,1'])],MATCH(Tabelle1014[[#This Row],[Rank]],Stammdaten[Rank Verteilung Ovalität],0))</f>
        <v>#N/A</v>
      </c>
      <c r="AB1502" t="e">
        <f>VLOOKUP(Tabelle1014[[#This Row],[Rank]],Stammdaten[[Rank Verteilung Ovalität]:[Verteilung Ovalität]],2,FALSE)</f>
        <v>#N/A</v>
      </c>
    </row>
    <row r="1503" spans="5:28" x14ac:dyDescent="0.35">
      <c r="E1503">
        <v>1494</v>
      </c>
      <c r="F1503" t="e">
        <f>INDEX(Stammdaten[D Mitte mit Rinde (mm)],MATCH(Tabelle8[[#This Row],[Rank]],Stammdaten[Rank Verteilung D Mitte mit Rinde],0))</f>
        <v>#N/A</v>
      </c>
      <c r="G1503" t="e">
        <f>VLOOKUP(Tabelle8[[#This Row],[Rank]],Stammdaten[[Rank Verteilung D Mitte mit Rinde]:[Verteilung D Mitte mit Rinde]],2,FALSE)</f>
        <v>#N/A</v>
      </c>
      <c r="L1503">
        <v>1494</v>
      </c>
      <c r="M1503" t="e">
        <f>INDEX(Stammdaten[Abholzigkeit (mm/lfm)],MATCH(Tabelle9[[#This Row],[Rank]],Stammdaten[Rank Verteilung Abholzigkeit],0))</f>
        <v>#N/A</v>
      </c>
      <c r="N1503" t="e">
        <f>VLOOKUP(Tabelle9[[#This Row],[Rank]],Stammdaten[[Rank Verteilung Abholzigkeit]:[Verteilung Abholzigkeit]],2,FALSE)</f>
        <v>#N/A</v>
      </c>
      <c r="S1503">
        <v>1494</v>
      </c>
      <c r="T1503" t="e">
        <f>INDEX(Stammdaten[Krümmung (mm/lfm)],MATCH(Tabelle10[[#This Row],[Rank]],Stammdaten[Rank Verteilung Krümmung],0))</f>
        <v>#N/A</v>
      </c>
      <c r="U1503" t="e">
        <f>VLOOKUP(Tabelle10[[#This Row],[Rank]],Stammdaten[[Rank Verteilung Krümmung]:[Verteilung Krümmung]],2,FALSE)</f>
        <v>#N/A</v>
      </c>
      <c r="Z1503">
        <v>1494</v>
      </c>
      <c r="AA1503" t="e">
        <f>INDEX(Stammdaten[Ovalität (']0,1'])],MATCH(Tabelle1014[[#This Row],[Rank]],Stammdaten[Rank Verteilung Ovalität],0))</f>
        <v>#N/A</v>
      </c>
      <c r="AB1503" t="e">
        <f>VLOOKUP(Tabelle1014[[#This Row],[Rank]],Stammdaten[[Rank Verteilung Ovalität]:[Verteilung Ovalität]],2,FALSE)</f>
        <v>#N/A</v>
      </c>
    </row>
    <row r="1504" spans="5:28" x14ac:dyDescent="0.35">
      <c r="E1504">
        <v>1495</v>
      </c>
      <c r="F1504" t="e">
        <f>INDEX(Stammdaten[D Mitte mit Rinde (mm)],MATCH(Tabelle8[[#This Row],[Rank]],Stammdaten[Rank Verteilung D Mitte mit Rinde],0))</f>
        <v>#N/A</v>
      </c>
      <c r="G1504" t="e">
        <f>VLOOKUP(Tabelle8[[#This Row],[Rank]],Stammdaten[[Rank Verteilung D Mitte mit Rinde]:[Verteilung D Mitte mit Rinde]],2,FALSE)</f>
        <v>#N/A</v>
      </c>
      <c r="L1504">
        <v>1495</v>
      </c>
      <c r="M1504" t="e">
        <f>INDEX(Stammdaten[Abholzigkeit (mm/lfm)],MATCH(Tabelle9[[#This Row],[Rank]],Stammdaten[Rank Verteilung Abholzigkeit],0))</f>
        <v>#N/A</v>
      </c>
      <c r="N1504" t="e">
        <f>VLOOKUP(Tabelle9[[#This Row],[Rank]],Stammdaten[[Rank Verteilung Abholzigkeit]:[Verteilung Abholzigkeit]],2,FALSE)</f>
        <v>#N/A</v>
      </c>
      <c r="S1504">
        <v>1495</v>
      </c>
      <c r="T1504" t="e">
        <f>INDEX(Stammdaten[Krümmung (mm/lfm)],MATCH(Tabelle10[[#This Row],[Rank]],Stammdaten[Rank Verteilung Krümmung],0))</f>
        <v>#N/A</v>
      </c>
      <c r="U1504" t="e">
        <f>VLOOKUP(Tabelle10[[#This Row],[Rank]],Stammdaten[[Rank Verteilung Krümmung]:[Verteilung Krümmung]],2,FALSE)</f>
        <v>#N/A</v>
      </c>
      <c r="Z1504">
        <v>1495</v>
      </c>
      <c r="AA1504" t="e">
        <f>INDEX(Stammdaten[Ovalität (']0,1'])],MATCH(Tabelle1014[[#This Row],[Rank]],Stammdaten[Rank Verteilung Ovalität],0))</f>
        <v>#N/A</v>
      </c>
      <c r="AB1504" t="e">
        <f>VLOOKUP(Tabelle1014[[#This Row],[Rank]],Stammdaten[[Rank Verteilung Ovalität]:[Verteilung Ovalität]],2,FALSE)</f>
        <v>#N/A</v>
      </c>
    </row>
    <row r="1505" spans="5:28" x14ac:dyDescent="0.35">
      <c r="E1505">
        <v>1496</v>
      </c>
      <c r="F1505" t="e">
        <f>INDEX(Stammdaten[D Mitte mit Rinde (mm)],MATCH(Tabelle8[[#This Row],[Rank]],Stammdaten[Rank Verteilung D Mitte mit Rinde],0))</f>
        <v>#N/A</v>
      </c>
      <c r="G1505" t="e">
        <f>VLOOKUP(Tabelle8[[#This Row],[Rank]],Stammdaten[[Rank Verteilung D Mitte mit Rinde]:[Verteilung D Mitte mit Rinde]],2,FALSE)</f>
        <v>#N/A</v>
      </c>
      <c r="L1505">
        <v>1496</v>
      </c>
      <c r="M1505" t="e">
        <f>INDEX(Stammdaten[Abholzigkeit (mm/lfm)],MATCH(Tabelle9[[#This Row],[Rank]],Stammdaten[Rank Verteilung Abholzigkeit],0))</f>
        <v>#N/A</v>
      </c>
      <c r="N1505" t="e">
        <f>VLOOKUP(Tabelle9[[#This Row],[Rank]],Stammdaten[[Rank Verteilung Abholzigkeit]:[Verteilung Abholzigkeit]],2,FALSE)</f>
        <v>#N/A</v>
      </c>
      <c r="S1505">
        <v>1496</v>
      </c>
      <c r="T1505" t="e">
        <f>INDEX(Stammdaten[Krümmung (mm/lfm)],MATCH(Tabelle10[[#This Row],[Rank]],Stammdaten[Rank Verteilung Krümmung],0))</f>
        <v>#N/A</v>
      </c>
      <c r="U1505" t="e">
        <f>VLOOKUP(Tabelle10[[#This Row],[Rank]],Stammdaten[[Rank Verteilung Krümmung]:[Verteilung Krümmung]],2,FALSE)</f>
        <v>#N/A</v>
      </c>
      <c r="Z1505">
        <v>1496</v>
      </c>
      <c r="AA1505" t="e">
        <f>INDEX(Stammdaten[Ovalität (']0,1'])],MATCH(Tabelle1014[[#This Row],[Rank]],Stammdaten[Rank Verteilung Ovalität],0))</f>
        <v>#N/A</v>
      </c>
      <c r="AB1505" t="e">
        <f>VLOOKUP(Tabelle1014[[#This Row],[Rank]],Stammdaten[[Rank Verteilung Ovalität]:[Verteilung Ovalität]],2,FALSE)</f>
        <v>#N/A</v>
      </c>
    </row>
    <row r="1506" spans="5:28" x14ac:dyDescent="0.35">
      <c r="E1506">
        <v>1497</v>
      </c>
      <c r="F1506" t="e">
        <f>INDEX(Stammdaten[D Mitte mit Rinde (mm)],MATCH(Tabelle8[[#This Row],[Rank]],Stammdaten[Rank Verteilung D Mitte mit Rinde],0))</f>
        <v>#N/A</v>
      </c>
      <c r="G1506" t="e">
        <f>VLOOKUP(Tabelle8[[#This Row],[Rank]],Stammdaten[[Rank Verteilung D Mitte mit Rinde]:[Verteilung D Mitte mit Rinde]],2,FALSE)</f>
        <v>#N/A</v>
      </c>
      <c r="L1506">
        <v>1497</v>
      </c>
      <c r="M1506" t="e">
        <f>INDEX(Stammdaten[Abholzigkeit (mm/lfm)],MATCH(Tabelle9[[#This Row],[Rank]],Stammdaten[Rank Verteilung Abholzigkeit],0))</f>
        <v>#N/A</v>
      </c>
      <c r="N1506" t="e">
        <f>VLOOKUP(Tabelle9[[#This Row],[Rank]],Stammdaten[[Rank Verteilung Abholzigkeit]:[Verteilung Abholzigkeit]],2,FALSE)</f>
        <v>#N/A</v>
      </c>
      <c r="S1506">
        <v>1497</v>
      </c>
      <c r="T1506" t="e">
        <f>INDEX(Stammdaten[Krümmung (mm/lfm)],MATCH(Tabelle10[[#This Row],[Rank]],Stammdaten[Rank Verteilung Krümmung],0))</f>
        <v>#N/A</v>
      </c>
      <c r="U1506" t="e">
        <f>VLOOKUP(Tabelle10[[#This Row],[Rank]],Stammdaten[[Rank Verteilung Krümmung]:[Verteilung Krümmung]],2,FALSE)</f>
        <v>#N/A</v>
      </c>
      <c r="Z1506">
        <v>1497</v>
      </c>
      <c r="AA1506" t="e">
        <f>INDEX(Stammdaten[Ovalität (']0,1'])],MATCH(Tabelle1014[[#This Row],[Rank]],Stammdaten[Rank Verteilung Ovalität],0))</f>
        <v>#N/A</v>
      </c>
      <c r="AB1506" t="e">
        <f>VLOOKUP(Tabelle1014[[#This Row],[Rank]],Stammdaten[[Rank Verteilung Ovalität]:[Verteilung Ovalität]],2,FALSE)</f>
        <v>#N/A</v>
      </c>
    </row>
    <row r="1507" spans="5:28" x14ac:dyDescent="0.35">
      <c r="E1507">
        <v>1498</v>
      </c>
      <c r="F1507" t="e">
        <f>INDEX(Stammdaten[D Mitte mit Rinde (mm)],MATCH(Tabelle8[[#This Row],[Rank]],Stammdaten[Rank Verteilung D Mitte mit Rinde],0))</f>
        <v>#N/A</v>
      </c>
      <c r="G1507" t="e">
        <f>VLOOKUP(Tabelle8[[#This Row],[Rank]],Stammdaten[[Rank Verteilung D Mitte mit Rinde]:[Verteilung D Mitte mit Rinde]],2,FALSE)</f>
        <v>#N/A</v>
      </c>
      <c r="L1507">
        <v>1498</v>
      </c>
      <c r="M1507" t="e">
        <f>INDEX(Stammdaten[Abholzigkeit (mm/lfm)],MATCH(Tabelle9[[#This Row],[Rank]],Stammdaten[Rank Verteilung Abholzigkeit],0))</f>
        <v>#N/A</v>
      </c>
      <c r="N1507" t="e">
        <f>VLOOKUP(Tabelle9[[#This Row],[Rank]],Stammdaten[[Rank Verteilung Abholzigkeit]:[Verteilung Abholzigkeit]],2,FALSE)</f>
        <v>#N/A</v>
      </c>
      <c r="S1507">
        <v>1498</v>
      </c>
      <c r="T1507" t="e">
        <f>INDEX(Stammdaten[Krümmung (mm/lfm)],MATCH(Tabelle10[[#This Row],[Rank]],Stammdaten[Rank Verteilung Krümmung],0))</f>
        <v>#N/A</v>
      </c>
      <c r="U1507" t="e">
        <f>VLOOKUP(Tabelle10[[#This Row],[Rank]],Stammdaten[[Rank Verteilung Krümmung]:[Verteilung Krümmung]],2,FALSE)</f>
        <v>#N/A</v>
      </c>
      <c r="Z1507">
        <v>1498</v>
      </c>
      <c r="AA1507" t="e">
        <f>INDEX(Stammdaten[Ovalität (']0,1'])],MATCH(Tabelle1014[[#This Row],[Rank]],Stammdaten[Rank Verteilung Ovalität],0))</f>
        <v>#N/A</v>
      </c>
      <c r="AB1507" t="e">
        <f>VLOOKUP(Tabelle1014[[#This Row],[Rank]],Stammdaten[[Rank Verteilung Ovalität]:[Verteilung Ovalität]],2,FALSE)</f>
        <v>#N/A</v>
      </c>
    </row>
    <row r="1508" spans="5:28" x14ac:dyDescent="0.35">
      <c r="E1508">
        <v>1499</v>
      </c>
      <c r="F1508" t="e">
        <f>INDEX(Stammdaten[D Mitte mit Rinde (mm)],MATCH(Tabelle8[[#This Row],[Rank]],Stammdaten[Rank Verteilung D Mitte mit Rinde],0))</f>
        <v>#N/A</v>
      </c>
      <c r="G1508" t="e">
        <f>VLOOKUP(Tabelle8[[#This Row],[Rank]],Stammdaten[[Rank Verteilung D Mitte mit Rinde]:[Verteilung D Mitte mit Rinde]],2,FALSE)</f>
        <v>#N/A</v>
      </c>
      <c r="L1508">
        <v>1499</v>
      </c>
      <c r="M1508" t="e">
        <f>INDEX(Stammdaten[Abholzigkeit (mm/lfm)],MATCH(Tabelle9[[#This Row],[Rank]],Stammdaten[Rank Verteilung Abholzigkeit],0))</f>
        <v>#N/A</v>
      </c>
      <c r="N1508" t="e">
        <f>VLOOKUP(Tabelle9[[#This Row],[Rank]],Stammdaten[[Rank Verteilung Abholzigkeit]:[Verteilung Abholzigkeit]],2,FALSE)</f>
        <v>#N/A</v>
      </c>
      <c r="S1508">
        <v>1499</v>
      </c>
      <c r="T1508" t="e">
        <f>INDEX(Stammdaten[Krümmung (mm/lfm)],MATCH(Tabelle10[[#This Row],[Rank]],Stammdaten[Rank Verteilung Krümmung],0))</f>
        <v>#N/A</v>
      </c>
      <c r="U1508" t="e">
        <f>VLOOKUP(Tabelle10[[#This Row],[Rank]],Stammdaten[[Rank Verteilung Krümmung]:[Verteilung Krümmung]],2,FALSE)</f>
        <v>#N/A</v>
      </c>
      <c r="Z1508">
        <v>1499</v>
      </c>
      <c r="AA1508" t="e">
        <f>INDEX(Stammdaten[Ovalität (']0,1'])],MATCH(Tabelle1014[[#This Row],[Rank]],Stammdaten[Rank Verteilung Ovalität],0))</f>
        <v>#N/A</v>
      </c>
      <c r="AB1508" t="e">
        <f>VLOOKUP(Tabelle1014[[#This Row],[Rank]],Stammdaten[[Rank Verteilung Ovalität]:[Verteilung Ovalität]],2,FALSE)</f>
        <v>#N/A</v>
      </c>
    </row>
    <row r="1509" spans="5:28" x14ac:dyDescent="0.35">
      <c r="E1509">
        <v>1500</v>
      </c>
      <c r="F1509" t="e">
        <f>INDEX(Stammdaten[D Mitte mit Rinde (mm)],MATCH(Tabelle8[[#This Row],[Rank]],Stammdaten[Rank Verteilung D Mitte mit Rinde],0))</f>
        <v>#N/A</v>
      </c>
      <c r="G1509" t="e">
        <f>VLOOKUP(Tabelle8[[#This Row],[Rank]],Stammdaten[[Rank Verteilung D Mitte mit Rinde]:[Verteilung D Mitte mit Rinde]],2,FALSE)</f>
        <v>#N/A</v>
      </c>
      <c r="L1509">
        <v>1500</v>
      </c>
      <c r="M1509" t="e">
        <f>INDEX(Stammdaten[Abholzigkeit (mm/lfm)],MATCH(Tabelle9[[#This Row],[Rank]],Stammdaten[Rank Verteilung Abholzigkeit],0))</f>
        <v>#N/A</v>
      </c>
      <c r="N1509" t="e">
        <f>VLOOKUP(Tabelle9[[#This Row],[Rank]],Stammdaten[[Rank Verteilung Abholzigkeit]:[Verteilung Abholzigkeit]],2,FALSE)</f>
        <v>#N/A</v>
      </c>
      <c r="S1509">
        <v>1500</v>
      </c>
      <c r="T1509" t="e">
        <f>INDEX(Stammdaten[Krümmung (mm/lfm)],MATCH(Tabelle10[[#This Row],[Rank]],Stammdaten[Rank Verteilung Krümmung],0))</f>
        <v>#N/A</v>
      </c>
      <c r="U1509" t="e">
        <f>VLOOKUP(Tabelle10[[#This Row],[Rank]],Stammdaten[[Rank Verteilung Krümmung]:[Verteilung Krümmung]],2,FALSE)</f>
        <v>#N/A</v>
      </c>
      <c r="Z1509">
        <v>1500</v>
      </c>
      <c r="AA1509" t="e">
        <f>INDEX(Stammdaten[Ovalität (']0,1'])],MATCH(Tabelle1014[[#This Row],[Rank]],Stammdaten[Rank Verteilung Ovalität],0))</f>
        <v>#N/A</v>
      </c>
      <c r="AB1509" t="e">
        <f>VLOOKUP(Tabelle1014[[#This Row],[Rank]],Stammdaten[[Rank Verteilung Ovalität]:[Verteilung Ovalität]],2,FALSE)</f>
        <v>#N/A</v>
      </c>
    </row>
    <row r="1510" spans="5:28" x14ac:dyDescent="0.35">
      <c r="E1510">
        <v>1501</v>
      </c>
      <c r="F1510" t="e">
        <f>INDEX(Stammdaten[D Mitte mit Rinde (mm)],MATCH(Tabelle8[[#This Row],[Rank]],Stammdaten[Rank Verteilung D Mitte mit Rinde],0))</f>
        <v>#N/A</v>
      </c>
      <c r="G1510" t="e">
        <f>VLOOKUP(Tabelle8[[#This Row],[Rank]],Stammdaten[[Rank Verteilung D Mitte mit Rinde]:[Verteilung D Mitte mit Rinde]],2,FALSE)</f>
        <v>#N/A</v>
      </c>
      <c r="L1510">
        <v>1501</v>
      </c>
      <c r="M1510" t="e">
        <f>INDEX(Stammdaten[Abholzigkeit (mm/lfm)],MATCH(Tabelle9[[#This Row],[Rank]],Stammdaten[Rank Verteilung Abholzigkeit],0))</f>
        <v>#N/A</v>
      </c>
      <c r="N1510" t="e">
        <f>VLOOKUP(Tabelle9[[#This Row],[Rank]],Stammdaten[[Rank Verteilung Abholzigkeit]:[Verteilung Abholzigkeit]],2,FALSE)</f>
        <v>#N/A</v>
      </c>
      <c r="S1510">
        <v>1501</v>
      </c>
      <c r="T1510" t="e">
        <f>INDEX(Stammdaten[Krümmung (mm/lfm)],MATCH(Tabelle10[[#This Row],[Rank]],Stammdaten[Rank Verteilung Krümmung],0))</f>
        <v>#N/A</v>
      </c>
      <c r="U1510" t="e">
        <f>VLOOKUP(Tabelle10[[#This Row],[Rank]],Stammdaten[[Rank Verteilung Krümmung]:[Verteilung Krümmung]],2,FALSE)</f>
        <v>#N/A</v>
      </c>
      <c r="Z1510">
        <v>1501</v>
      </c>
      <c r="AA1510" t="e">
        <f>INDEX(Stammdaten[Ovalität (']0,1'])],MATCH(Tabelle1014[[#This Row],[Rank]],Stammdaten[Rank Verteilung Ovalität],0))</f>
        <v>#N/A</v>
      </c>
      <c r="AB1510" t="e">
        <f>VLOOKUP(Tabelle1014[[#This Row],[Rank]],Stammdaten[[Rank Verteilung Ovalität]:[Verteilung Ovalität]],2,FALSE)</f>
        <v>#N/A</v>
      </c>
    </row>
    <row r="1511" spans="5:28" x14ac:dyDescent="0.35">
      <c r="E1511">
        <v>1502</v>
      </c>
      <c r="F1511" t="e">
        <f>INDEX(Stammdaten[D Mitte mit Rinde (mm)],MATCH(Tabelle8[[#This Row],[Rank]],Stammdaten[Rank Verteilung D Mitte mit Rinde],0))</f>
        <v>#N/A</v>
      </c>
      <c r="G1511" t="e">
        <f>VLOOKUP(Tabelle8[[#This Row],[Rank]],Stammdaten[[Rank Verteilung D Mitte mit Rinde]:[Verteilung D Mitte mit Rinde]],2,FALSE)</f>
        <v>#N/A</v>
      </c>
      <c r="L1511">
        <v>1502</v>
      </c>
      <c r="M1511" t="e">
        <f>INDEX(Stammdaten[Abholzigkeit (mm/lfm)],MATCH(Tabelle9[[#This Row],[Rank]],Stammdaten[Rank Verteilung Abholzigkeit],0))</f>
        <v>#N/A</v>
      </c>
      <c r="N1511" t="e">
        <f>VLOOKUP(Tabelle9[[#This Row],[Rank]],Stammdaten[[Rank Verteilung Abholzigkeit]:[Verteilung Abholzigkeit]],2,FALSE)</f>
        <v>#N/A</v>
      </c>
      <c r="S1511">
        <v>1502</v>
      </c>
      <c r="T1511" t="e">
        <f>INDEX(Stammdaten[Krümmung (mm/lfm)],MATCH(Tabelle10[[#This Row],[Rank]],Stammdaten[Rank Verteilung Krümmung],0))</f>
        <v>#N/A</v>
      </c>
      <c r="U1511" t="e">
        <f>VLOOKUP(Tabelle10[[#This Row],[Rank]],Stammdaten[[Rank Verteilung Krümmung]:[Verteilung Krümmung]],2,FALSE)</f>
        <v>#N/A</v>
      </c>
      <c r="Z1511">
        <v>1502</v>
      </c>
      <c r="AA1511" t="e">
        <f>INDEX(Stammdaten[Ovalität (']0,1'])],MATCH(Tabelle1014[[#This Row],[Rank]],Stammdaten[Rank Verteilung Ovalität],0))</f>
        <v>#N/A</v>
      </c>
      <c r="AB1511" t="e">
        <f>VLOOKUP(Tabelle1014[[#This Row],[Rank]],Stammdaten[[Rank Verteilung Ovalität]:[Verteilung Ovalität]],2,FALSE)</f>
        <v>#N/A</v>
      </c>
    </row>
    <row r="1512" spans="5:28" x14ac:dyDescent="0.35">
      <c r="E1512">
        <v>1503</v>
      </c>
      <c r="F1512" t="e">
        <f>INDEX(Stammdaten[D Mitte mit Rinde (mm)],MATCH(Tabelle8[[#This Row],[Rank]],Stammdaten[Rank Verteilung D Mitte mit Rinde],0))</f>
        <v>#N/A</v>
      </c>
      <c r="G1512" t="e">
        <f>VLOOKUP(Tabelle8[[#This Row],[Rank]],Stammdaten[[Rank Verteilung D Mitte mit Rinde]:[Verteilung D Mitte mit Rinde]],2,FALSE)</f>
        <v>#N/A</v>
      </c>
      <c r="L1512">
        <v>1503</v>
      </c>
      <c r="M1512" t="e">
        <f>INDEX(Stammdaten[Abholzigkeit (mm/lfm)],MATCH(Tabelle9[[#This Row],[Rank]],Stammdaten[Rank Verteilung Abholzigkeit],0))</f>
        <v>#N/A</v>
      </c>
      <c r="N1512" t="e">
        <f>VLOOKUP(Tabelle9[[#This Row],[Rank]],Stammdaten[[Rank Verteilung Abholzigkeit]:[Verteilung Abholzigkeit]],2,FALSE)</f>
        <v>#N/A</v>
      </c>
      <c r="S1512">
        <v>1503</v>
      </c>
      <c r="T1512" t="e">
        <f>INDEX(Stammdaten[Krümmung (mm/lfm)],MATCH(Tabelle10[[#This Row],[Rank]],Stammdaten[Rank Verteilung Krümmung],0))</f>
        <v>#N/A</v>
      </c>
      <c r="U1512" t="e">
        <f>VLOOKUP(Tabelle10[[#This Row],[Rank]],Stammdaten[[Rank Verteilung Krümmung]:[Verteilung Krümmung]],2,FALSE)</f>
        <v>#N/A</v>
      </c>
      <c r="Z1512">
        <v>1503</v>
      </c>
      <c r="AA1512" t="e">
        <f>INDEX(Stammdaten[Ovalität (']0,1'])],MATCH(Tabelle1014[[#This Row],[Rank]],Stammdaten[Rank Verteilung Ovalität],0))</f>
        <v>#N/A</v>
      </c>
      <c r="AB1512" t="e">
        <f>VLOOKUP(Tabelle1014[[#This Row],[Rank]],Stammdaten[[Rank Verteilung Ovalität]:[Verteilung Ovalität]],2,FALSE)</f>
        <v>#N/A</v>
      </c>
    </row>
    <row r="1513" spans="5:28" x14ac:dyDescent="0.35">
      <c r="E1513">
        <v>1504</v>
      </c>
      <c r="F1513" t="e">
        <f>INDEX(Stammdaten[D Mitte mit Rinde (mm)],MATCH(Tabelle8[[#This Row],[Rank]],Stammdaten[Rank Verteilung D Mitte mit Rinde],0))</f>
        <v>#N/A</v>
      </c>
      <c r="G1513" t="e">
        <f>VLOOKUP(Tabelle8[[#This Row],[Rank]],Stammdaten[[Rank Verteilung D Mitte mit Rinde]:[Verteilung D Mitte mit Rinde]],2,FALSE)</f>
        <v>#N/A</v>
      </c>
      <c r="L1513">
        <v>1504</v>
      </c>
      <c r="M1513" t="e">
        <f>INDEX(Stammdaten[Abholzigkeit (mm/lfm)],MATCH(Tabelle9[[#This Row],[Rank]],Stammdaten[Rank Verteilung Abholzigkeit],0))</f>
        <v>#N/A</v>
      </c>
      <c r="N1513" t="e">
        <f>VLOOKUP(Tabelle9[[#This Row],[Rank]],Stammdaten[[Rank Verteilung Abholzigkeit]:[Verteilung Abholzigkeit]],2,FALSE)</f>
        <v>#N/A</v>
      </c>
      <c r="S1513">
        <v>1504</v>
      </c>
      <c r="T1513" t="e">
        <f>INDEX(Stammdaten[Krümmung (mm/lfm)],MATCH(Tabelle10[[#This Row],[Rank]],Stammdaten[Rank Verteilung Krümmung],0))</f>
        <v>#N/A</v>
      </c>
      <c r="U1513" t="e">
        <f>VLOOKUP(Tabelle10[[#This Row],[Rank]],Stammdaten[[Rank Verteilung Krümmung]:[Verteilung Krümmung]],2,FALSE)</f>
        <v>#N/A</v>
      </c>
      <c r="Z1513">
        <v>1504</v>
      </c>
      <c r="AA1513" t="e">
        <f>INDEX(Stammdaten[Ovalität (']0,1'])],MATCH(Tabelle1014[[#This Row],[Rank]],Stammdaten[Rank Verteilung Ovalität],0))</f>
        <v>#N/A</v>
      </c>
      <c r="AB1513" t="e">
        <f>VLOOKUP(Tabelle1014[[#This Row],[Rank]],Stammdaten[[Rank Verteilung Ovalität]:[Verteilung Ovalität]],2,FALSE)</f>
        <v>#N/A</v>
      </c>
    </row>
    <row r="1514" spans="5:28" x14ac:dyDescent="0.35">
      <c r="E1514">
        <v>1505</v>
      </c>
      <c r="F1514" t="e">
        <f>INDEX(Stammdaten[D Mitte mit Rinde (mm)],MATCH(Tabelle8[[#This Row],[Rank]],Stammdaten[Rank Verteilung D Mitte mit Rinde],0))</f>
        <v>#N/A</v>
      </c>
      <c r="G1514" t="e">
        <f>VLOOKUP(Tabelle8[[#This Row],[Rank]],Stammdaten[[Rank Verteilung D Mitte mit Rinde]:[Verteilung D Mitte mit Rinde]],2,FALSE)</f>
        <v>#N/A</v>
      </c>
      <c r="L1514">
        <v>1505</v>
      </c>
      <c r="M1514" t="e">
        <f>INDEX(Stammdaten[Abholzigkeit (mm/lfm)],MATCH(Tabelle9[[#This Row],[Rank]],Stammdaten[Rank Verteilung Abholzigkeit],0))</f>
        <v>#N/A</v>
      </c>
      <c r="N1514" t="e">
        <f>VLOOKUP(Tabelle9[[#This Row],[Rank]],Stammdaten[[Rank Verteilung Abholzigkeit]:[Verteilung Abholzigkeit]],2,FALSE)</f>
        <v>#N/A</v>
      </c>
      <c r="S1514">
        <v>1505</v>
      </c>
      <c r="T1514" t="e">
        <f>INDEX(Stammdaten[Krümmung (mm/lfm)],MATCH(Tabelle10[[#This Row],[Rank]],Stammdaten[Rank Verteilung Krümmung],0))</f>
        <v>#N/A</v>
      </c>
      <c r="U1514" t="e">
        <f>VLOOKUP(Tabelle10[[#This Row],[Rank]],Stammdaten[[Rank Verteilung Krümmung]:[Verteilung Krümmung]],2,FALSE)</f>
        <v>#N/A</v>
      </c>
      <c r="Z1514">
        <v>1505</v>
      </c>
      <c r="AA1514" t="e">
        <f>INDEX(Stammdaten[Ovalität (']0,1'])],MATCH(Tabelle1014[[#This Row],[Rank]],Stammdaten[Rank Verteilung Ovalität],0))</f>
        <v>#N/A</v>
      </c>
      <c r="AB1514" t="e">
        <f>VLOOKUP(Tabelle1014[[#This Row],[Rank]],Stammdaten[[Rank Verteilung Ovalität]:[Verteilung Ovalität]],2,FALSE)</f>
        <v>#N/A</v>
      </c>
    </row>
    <row r="1515" spans="5:28" x14ac:dyDescent="0.35">
      <c r="E1515">
        <v>1506</v>
      </c>
      <c r="F1515" t="e">
        <f>INDEX(Stammdaten[D Mitte mit Rinde (mm)],MATCH(Tabelle8[[#This Row],[Rank]],Stammdaten[Rank Verteilung D Mitte mit Rinde],0))</f>
        <v>#N/A</v>
      </c>
      <c r="G1515" t="e">
        <f>VLOOKUP(Tabelle8[[#This Row],[Rank]],Stammdaten[[Rank Verteilung D Mitte mit Rinde]:[Verteilung D Mitte mit Rinde]],2,FALSE)</f>
        <v>#N/A</v>
      </c>
      <c r="L1515">
        <v>1506</v>
      </c>
      <c r="M1515" t="e">
        <f>INDEX(Stammdaten[Abholzigkeit (mm/lfm)],MATCH(Tabelle9[[#This Row],[Rank]],Stammdaten[Rank Verteilung Abholzigkeit],0))</f>
        <v>#N/A</v>
      </c>
      <c r="N1515" t="e">
        <f>VLOOKUP(Tabelle9[[#This Row],[Rank]],Stammdaten[[Rank Verteilung Abholzigkeit]:[Verteilung Abholzigkeit]],2,FALSE)</f>
        <v>#N/A</v>
      </c>
      <c r="S1515">
        <v>1506</v>
      </c>
      <c r="T1515" t="e">
        <f>INDEX(Stammdaten[Krümmung (mm/lfm)],MATCH(Tabelle10[[#This Row],[Rank]],Stammdaten[Rank Verteilung Krümmung],0))</f>
        <v>#N/A</v>
      </c>
      <c r="U1515" t="e">
        <f>VLOOKUP(Tabelle10[[#This Row],[Rank]],Stammdaten[[Rank Verteilung Krümmung]:[Verteilung Krümmung]],2,FALSE)</f>
        <v>#N/A</v>
      </c>
      <c r="Z1515">
        <v>1506</v>
      </c>
      <c r="AA1515" t="e">
        <f>INDEX(Stammdaten[Ovalität (']0,1'])],MATCH(Tabelle1014[[#This Row],[Rank]],Stammdaten[Rank Verteilung Ovalität],0))</f>
        <v>#N/A</v>
      </c>
      <c r="AB1515" t="e">
        <f>VLOOKUP(Tabelle1014[[#This Row],[Rank]],Stammdaten[[Rank Verteilung Ovalität]:[Verteilung Ovalität]],2,FALSE)</f>
        <v>#N/A</v>
      </c>
    </row>
    <row r="1516" spans="5:28" x14ac:dyDescent="0.35">
      <c r="E1516">
        <v>1507</v>
      </c>
      <c r="F1516" t="e">
        <f>INDEX(Stammdaten[D Mitte mit Rinde (mm)],MATCH(Tabelle8[[#This Row],[Rank]],Stammdaten[Rank Verteilung D Mitte mit Rinde],0))</f>
        <v>#N/A</v>
      </c>
      <c r="G1516" t="e">
        <f>VLOOKUP(Tabelle8[[#This Row],[Rank]],Stammdaten[[Rank Verteilung D Mitte mit Rinde]:[Verteilung D Mitte mit Rinde]],2,FALSE)</f>
        <v>#N/A</v>
      </c>
      <c r="L1516">
        <v>1507</v>
      </c>
      <c r="M1516" t="e">
        <f>INDEX(Stammdaten[Abholzigkeit (mm/lfm)],MATCH(Tabelle9[[#This Row],[Rank]],Stammdaten[Rank Verteilung Abholzigkeit],0))</f>
        <v>#N/A</v>
      </c>
      <c r="N1516" t="e">
        <f>VLOOKUP(Tabelle9[[#This Row],[Rank]],Stammdaten[[Rank Verteilung Abholzigkeit]:[Verteilung Abholzigkeit]],2,FALSE)</f>
        <v>#N/A</v>
      </c>
      <c r="S1516">
        <v>1507</v>
      </c>
      <c r="T1516" t="e">
        <f>INDEX(Stammdaten[Krümmung (mm/lfm)],MATCH(Tabelle10[[#This Row],[Rank]],Stammdaten[Rank Verteilung Krümmung],0))</f>
        <v>#N/A</v>
      </c>
      <c r="U1516" t="e">
        <f>VLOOKUP(Tabelle10[[#This Row],[Rank]],Stammdaten[[Rank Verteilung Krümmung]:[Verteilung Krümmung]],2,FALSE)</f>
        <v>#N/A</v>
      </c>
      <c r="Z1516">
        <v>1507</v>
      </c>
      <c r="AA1516" t="e">
        <f>INDEX(Stammdaten[Ovalität (']0,1'])],MATCH(Tabelle1014[[#This Row],[Rank]],Stammdaten[Rank Verteilung Ovalität],0))</f>
        <v>#N/A</v>
      </c>
      <c r="AB1516" t="e">
        <f>VLOOKUP(Tabelle1014[[#This Row],[Rank]],Stammdaten[[Rank Verteilung Ovalität]:[Verteilung Ovalität]],2,FALSE)</f>
        <v>#N/A</v>
      </c>
    </row>
    <row r="1517" spans="5:28" x14ac:dyDescent="0.35">
      <c r="E1517">
        <v>1508</v>
      </c>
      <c r="F1517" t="e">
        <f>INDEX(Stammdaten[D Mitte mit Rinde (mm)],MATCH(Tabelle8[[#This Row],[Rank]],Stammdaten[Rank Verteilung D Mitte mit Rinde],0))</f>
        <v>#N/A</v>
      </c>
      <c r="G1517" t="e">
        <f>VLOOKUP(Tabelle8[[#This Row],[Rank]],Stammdaten[[Rank Verteilung D Mitte mit Rinde]:[Verteilung D Mitte mit Rinde]],2,FALSE)</f>
        <v>#N/A</v>
      </c>
      <c r="L1517">
        <v>1508</v>
      </c>
      <c r="M1517" t="e">
        <f>INDEX(Stammdaten[Abholzigkeit (mm/lfm)],MATCH(Tabelle9[[#This Row],[Rank]],Stammdaten[Rank Verteilung Abholzigkeit],0))</f>
        <v>#N/A</v>
      </c>
      <c r="N1517" t="e">
        <f>VLOOKUP(Tabelle9[[#This Row],[Rank]],Stammdaten[[Rank Verteilung Abholzigkeit]:[Verteilung Abholzigkeit]],2,FALSE)</f>
        <v>#N/A</v>
      </c>
      <c r="S1517">
        <v>1508</v>
      </c>
      <c r="T1517" t="e">
        <f>INDEX(Stammdaten[Krümmung (mm/lfm)],MATCH(Tabelle10[[#This Row],[Rank]],Stammdaten[Rank Verteilung Krümmung],0))</f>
        <v>#N/A</v>
      </c>
      <c r="U1517" t="e">
        <f>VLOOKUP(Tabelle10[[#This Row],[Rank]],Stammdaten[[Rank Verteilung Krümmung]:[Verteilung Krümmung]],2,FALSE)</f>
        <v>#N/A</v>
      </c>
      <c r="Z1517">
        <v>1508</v>
      </c>
      <c r="AA1517" t="e">
        <f>INDEX(Stammdaten[Ovalität (']0,1'])],MATCH(Tabelle1014[[#This Row],[Rank]],Stammdaten[Rank Verteilung Ovalität],0))</f>
        <v>#N/A</v>
      </c>
      <c r="AB1517" t="e">
        <f>VLOOKUP(Tabelle1014[[#This Row],[Rank]],Stammdaten[[Rank Verteilung Ovalität]:[Verteilung Ovalität]],2,FALSE)</f>
        <v>#N/A</v>
      </c>
    </row>
    <row r="1518" spans="5:28" x14ac:dyDescent="0.35">
      <c r="E1518">
        <v>1509</v>
      </c>
      <c r="F1518" t="e">
        <f>INDEX(Stammdaten[D Mitte mit Rinde (mm)],MATCH(Tabelle8[[#This Row],[Rank]],Stammdaten[Rank Verteilung D Mitte mit Rinde],0))</f>
        <v>#N/A</v>
      </c>
      <c r="G1518" t="e">
        <f>VLOOKUP(Tabelle8[[#This Row],[Rank]],Stammdaten[[Rank Verteilung D Mitte mit Rinde]:[Verteilung D Mitte mit Rinde]],2,FALSE)</f>
        <v>#N/A</v>
      </c>
      <c r="L1518">
        <v>1509</v>
      </c>
      <c r="M1518" t="e">
        <f>INDEX(Stammdaten[Abholzigkeit (mm/lfm)],MATCH(Tabelle9[[#This Row],[Rank]],Stammdaten[Rank Verteilung Abholzigkeit],0))</f>
        <v>#N/A</v>
      </c>
      <c r="N1518" t="e">
        <f>VLOOKUP(Tabelle9[[#This Row],[Rank]],Stammdaten[[Rank Verteilung Abholzigkeit]:[Verteilung Abholzigkeit]],2,FALSE)</f>
        <v>#N/A</v>
      </c>
      <c r="S1518">
        <v>1509</v>
      </c>
      <c r="T1518" t="e">
        <f>INDEX(Stammdaten[Krümmung (mm/lfm)],MATCH(Tabelle10[[#This Row],[Rank]],Stammdaten[Rank Verteilung Krümmung],0))</f>
        <v>#N/A</v>
      </c>
      <c r="U1518" t="e">
        <f>VLOOKUP(Tabelle10[[#This Row],[Rank]],Stammdaten[[Rank Verteilung Krümmung]:[Verteilung Krümmung]],2,FALSE)</f>
        <v>#N/A</v>
      </c>
      <c r="Z1518">
        <v>1509</v>
      </c>
      <c r="AA1518" t="e">
        <f>INDEX(Stammdaten[Ovalität (']0,1'])],MATCH(Tabelle1014[[#This Row],[Rank]],Stammdaten[Rank Verteilung Ovalität],0))</f>
        <v>#N/A</v>
      </c>
      <c r="AB1518" t="e">
        <f>VLOOKUP(Tabelle1014[[#This Row],[Rank]],Stammdaten[[Rank Verteilung Ovalität]:[Verteilung Ovalität]],2,FALSE)</f>
        <v>#N/A</v>
      </c>
    </row>
    <row r="1519" spans="5:28" x14ac:dyDescent="0.35">
      <c r="E1519">
        <v>1510</v>
      </c>
      <c r="F1519" t="e">
        <f>INDEX(Stammdaten[D Mitte mit Rinde (mm)],MATCH(Tabelle8[[#This Row],[Rank]],Stammdaten[Rank Verteilung D Mitte mit Rinde],0))</f>
        <v>#N/A</v>
      </c>
      <c r="G1519" t="e">
        <f>VLOOKUP(Tabelle8[[#This Row],[Rank]],Stammdaten[[Rank Verteilung D Mitte mit Rinde]:[Verteilung D Mitte mit Rinde]],2,FALSE)</f>
        <v>#N/A</v>
      </c>
      <c r="L1519">
        <v>1510</v>
      </c>
      <c r="M1519" t="e">
        <f>INDEX(Stammdaten[Abholzigkeit (mm/lfm)],MATCH(Tabelle9[[#This Row],[Rank]],Stammdaten[Rank Verteilung Abholzigkeit],0))</f>
        <v>#N/A</v>
      </c>
      <c r="N1519" t="e">
        <f>VLOOKUP(Tabelle9[[#This Row],[Rank]],Stammdaten[[Rank Verteilung Abholzigkeit]:[Verteilung Abholzigkeit]],2,FALSE)</f>
        <v>#N/A</v>
      </c>
      <c r="S1519">
        <v>1510</v>
      </c>
      <c r="T1519" t="e">
        <f>INDEX(Stammdaten[Krümmung (mm/lfm)],MATCH(Tabelle10[[#This Row],[Rank]],Stammdaten[Rank Verteilung Krümmung],0))</f>
        <v>#N/A</v>
      </c>
      <c r="U1519" t="e">
        <f>VLOOKUP(Tabelle10[[#This Row],[Rank]],Stammdaten[[Rank Verteilung Krümmung]:[Verteilung Krümmung]],2,FALSE)</f>
        <v>#N/A</v>
      </c>
      <c r="Z1519">
        <v>1510</v>
      </c>
      <c r="AA1519" t="e">
        <f>INDEX(Stammdaten[Ovalität (']0,1'])],MATCH(Tabelle1014[[#This Row],[Rank]],Stammdaten[Rank Verteilung Ovalität],0))</f>
        <v>#N/A</v>
      </c>
      <c r="AB1519" t="e">
        <f>VLOOKUP(Tabelle1014[[#This Row],[Rank]],Stammdaten[[Rank Verteilung Ovalität]:[Verteilung Ovalität]],2,FALSE)</f>
        <v>#N/A</v>
      </c>
    </row>
    <row r="1520" spans="5:28" x14ac:dyDescent="0.35">
      <c r="E1520">
        <v>1511</v>
      </c>
      <c r="F1520" t="e">
        <f>INDEX(Stammdaten[D Mitte mit Rinde (mm)],MATCH(Tabelle8[[#This Row],[Rank]],Stammdaten[Rank Verteilung D Mitte mit Rinde],0))</f>
        <v>#N/A</v>
      </c>
      <c r="G1520" t="e">
        <f>VLOOKUP(Tabelle8[[#This Row],[Rank]],Stammdaten[[Rank Verteilung D Mitte mit Rinde]:[Verteilung D Mitte mit Rinde]],2,FALSE)</f>
        <v>#N/A</v>
      </c>
      <c r="L1520">
        <v>1511</v>
      </c>
      <c r="M1520" t="e">
        <f>INDEX(Stammdaten[Abholzigkeit (mm/lfm)],MATCH(Tabelle9[[#This Row],[Rank]],Stammdaten[Rank Verteilung Abholzigkeit],0))</f>
        <v>#N/A</v>
      </c>
      <c r="N1520" t="e">
        <f>VLOOKUP(Tabelle9[[#This Row],[Rank]],Stammdaten[[Rank Verteilung Abholzigkeit]:[Verteilung Abholzigkeit]],2,FALSE)</f>
        <v>#N/A</v>
      </c>
      <c r="S1520">
        <v>1511</v>
      </c>
      <c r="T1520" t="e">
        <f>INDEX(Stammdaten[Krümmung (mm/lfm)],MATCH(Tabelle10[[#This Row],[Rank]],Stammdaten[Rank Verteilung Krümmung],0))</f>
        <v>#N/A</v>
      </c>
      <c r="U1520" t="e">
        <f>VLOOKUP(Tabelle10[[#This Row],[Rank]],Stammdaten[[Rank Verteilung Krümmung]:[Verteilung Krümmung]],2,FALSE)</f>
        <v>#N/A</v>
      </c>
      <c r="Z1520">
        <v>1511</v>
      </c>
      <c r="AA1520" t="e">
        <f>INDEX(Stammdaten[Ovalität (']0,1'])],MATCH(Tabelle1014[[#This Row],[Rank]],Stammdaten[Rank Verteilung Ovalität],0))</f>
        <v>#N/A</v>
      </c>
      <c r="AB1520" t="e">
        <f>VLOOKUP(Tabelle1014[[#This Row],[Rank]],Stammdaten[[Rank Verteilung Ovalität]:[Verteilung Ovalität]],2,FALSE)</f>
        <v>#N/A</v>
      </c>
    </row>
    <row r="1521" spans="5:28" x14ac:dyDescent="0.35">
      <c r="E1521">
        <v>1512</v>
      </c>
      <c r="F1521" t="e">
        <f>INDEX(Stammdaten[D Mitte mit Rinde (mm)],MATCH(Tabelle8[[#This Row],[Rank]],Stammdaten[Rank Verteilung D Mitte mit Rinde],0))</f>
        <v>#N/A</v>
      </c>
      <c r="G1521" t="e">
        <f>VLOOKUP(Tabelle8[[#This Row],[Rank]],Stammdaten[[Rank Verteilung D Mitte mit Rinde]:[Verteilung D Mitte mit Rinde]],2,FALSE)</f>
        <v>#N/A</v>
      </c>
      <c r="L1521">
        <v>1512</v>
      </c>
      <c r="M1521" t="e">
        <f>INDEX(Stammdaten[Abholzigkeit (mm/lfm)],MATCH(Tabelle9[[#This Row],[Rank]],Stammdaten[Rank Verteilung Abholzigkeit],0))</f>
        <v>#N/A</v>
      </c>
      <c r="N1521" t="e">
        <f>VLOOKUP(Tabelle9[[#This Row],[Rank]],Stammdaten[[Rank Verteilung Abholzigkeit]:[Verteilung Abholzigkeit]],2,FALSE)</f>
        <v>#N/A</v>
      </c>
      <c r="S1521">
        <v>1512</v>
      </c>
      <c r="T1521" t="e">
        <f>INDEX(Stammdaten[Krümmung (mm/lfm)],MATCH(Tabelle10[[#This Row],[Rank]],Stammdaten[Rank Verteilung Krümmung],0))</f>
        <v>#N/A</v>
      </c>
      <c r="U1521" t="e">
        <f>VLOOKUP(Tabelle10[[#This Row],[Rank]],Stammdaten[[Rank Verteilung Krümmung]:[Verteilung Krümmung]],2,FALSE)</f>
        <v>#N/A</v>
      </c>
      <c r="Z1521">
        <v>1512</v>
      </c>
      <c r="AA1521" t="e">
        <f>INDEX(Stammdaten[Ovalität (']0,1'])],MATCH(Tabelle1014[[#This Row],[Rank]],Stammdaten[Rank Verteilung Ovalität],0))</f>
        <v>#N/A</v>
      </c>
      <c r="AB1521" t="e">
        <f>VLOOKUP(Tabelle1014[[#This Row],[Rank]],Stammdaten[[Rank Verteilung Ovalität]:[Verteilung Ovalität]],2,FALSE)</f>
        <v>#N/A</v>
      </c>
    </row>
    <row r="1522" spans="5:28" x14ac:dyDescent="0.35">
      <c r="E1522">
        <v>1513</v>
      </c>
      <c r="F1522" t="e">
        <f>INDEX(Stammdaten[D Mitte mit Rinde (mm)],MATCH(Tabelle8[[#This Row],[Rank]],Stammdaten[Rank Verteilung D Mitte mit Rinde],0))</f>
        <v>#N/A</v>
      </c>
      <c r="G1522" t="e">
        <f>VLOOKUP(Tabelle8[[#This Row],[Rank]],Stammdaten[[Rank Verteilung D Mitte mit Rinde]:[Verteilung D Mitte mit Rinde]],2,FALSE)</f>
        <v>#N/A</v>
      </c>
      <c r="L1522">
        <v>1513</v>
      </c>
      <c r="M1522" t="e">
        <f>INDEX(Stammdaten[Abholzigkeit (mm/lfm)],MATCH(Tabelle9[[#This Row],[Rank]],Stammdaten[Rank Verteilung Abholzigkeit],0))</f>
        <v>#N/A</v>
      </c>
      <c r="N1522" t="e">
        <f>VLOOKUP(Tabelle9[[#This Row],[Rank]],Stammdaten[[Rank Verteilung Abholzigkeit]:[Verteilung Abholzigkeit]],2,FALSE)</f>
        <v>#N/A</v>
      </c>
      <c r="S1522">
        <v>1513</v>
      </c>
      <c r="T1522" t="e">
        <f>INDEX(Stammdaten[Krümmung (mm/lfm)],MATCH(Tabelle10[[#This Row],[Rank]],Stammdaten[Rank Verteilung Krümmung],0))</f>
        <v>#N/A</v>
      </c>
      <c r="U1522" t="e">
        <f>VLOOKUP(Tabelle10[[#This Row],[Rank]],Stammdaten[[Rank Verteilung Krümmung]:[Verteilung Krümmung]],2,FALSE)</f>
        <v>#N/A</v>
      </c>
      <c r="Z1522">
        <v>1513</v>
      </c>
      <c r="AA1522" t="e">
        <f>INDEX(Stammdaten[Ovalität (']0,1'])],MATCH(Tabelle1014[[#This Row],[Rank]],Stammdaten[Rank Verteilung Ovalität],0))</f>
        <v>#N/A</v>
      </c>
      <c r="AB1522" t="e">
        <f>VLOOKUP(Tabelle1014[[#This Row],[Rank]],Stammdaten[[Rank Verteilung Ovalität]:[Verteilung Ovalität]],2,FALSE)</f>
        <v>#N/A</v>
      </c>
    </row>
    <row r="1523" spans="5:28" x14ac:dyDescent="0.35">
      <c r="E1523">
        <v>1514</v>
      </c>
      <c r="F1523" t="e">
        <f>INDEX(Stammdaten[D Mitte mit Rinde (mm)],MATCH(Tabelle8[[#This Row],[Rank]],Stammdaten[Rank Verteilung D Mitte mit Rinde],0))</f>
        <v>#N/A</v>
      </c>
      <c r="G1523" t="e">
        <f>VLOOKUP(Tabelle8[[#This Row],[Rank]],Stammdaten[[Rank Verteilung D Mitte mit Rinde]:[Verteilung D Mitte mit Rinde]],2,FALSE)</f>
        <v>#N/A</v>
      </c>
      <c r="L1523">
        <v>1514</v>
      </c>
      <c r="M1523" t="e">
        <f>INDEX(Stammdaten[Abholzigkeit (mm/lfm)],MATCH(Tabelle9[[#This Row],[Rank]],Stammdaten[Rank Verteilung Abholzigkeit],0))</f>
        <v>#N/A</v>
      </c>
      <c r="N1523" t="e">
        <f>VLOOKUP(Tabelle9[[#This Row],[Rank]],Stammdaten[[Rank Verteilung Abholzigkeit]:[Verteilung Abholzigkeit]],2,FALSE)</f>
        <v>#N/A</v>
      </c>
      <c r="S1523">
        <v>1514</v>
      </c>
      <c r="T1523" t="e">
        <f>INDEX(Stammdaten[Krümmung (mm/lfm)],MATCH(Tabelle10[[#This Row],[Rank]],Stammdaten[Rank Verteilung Krümmung],0))</f>
        <v>#N/A</v>
      </c>
      <c r="U1523" t="e">
        <f>VLOOKUP(Tabelle10[[#This Row],[Rank]],Stammdaten[[Rank Verteilung Krümmung]:[Verteilung Krümmung]],2,FALSE)</f>
        <v>#N/A</v>
      </c>
      <c r="Z1523">
        <v>1514</v>
      </c>
      <c r="AA1523" t="e">
        <f>INDEX(Stammdaten[Ovalität (']0,1'])],MATCH(Tabelle1014[[#This Row],[Rank]],Stammdaten[Rank Verteilung Ovalität],0))</f>
        <v>#N/A</v>
      </c>
      <c r="AB1523" t="e">
        <f>VLOOKUP(Tabelle1014[[#This Row],[Rank]],Stammdaten[[Rank Verteilung Ovalität]:[Verteilung Ovalität]],2,FALSE)</f>
        <v>#N/A</v>
      </c>
    </row>
    <row r="1524" spans="5:28" x14ac:dyDescent="0.35">
      <c r="E1524">
        <v>1515</v>
      </c>
      <c r="F1524" t="e">
        <f>INDEX(Stammdaten[D Mitte mit Rinde (mm)],MATCH(Tabelle8[[#This Row],[Rank]],Stammdaten[Rank Verteilung D Mitte mit Rinde],0))</f>
        <v>#N/A</v>
      </c>
      <c r="G1524" t="e">
        <f>VLOOKUP(Tabelle8[[#This Row],[Rank]],Stammdaten[[Rank Verteilung D Mitte mit Rinde]:[Verteilung D Mitte mit Rinde]],2,FALSE)</f>
        <v>#N/A</v>
      </c>
      <c r="L1524">
        <v>1515</v>
      </c>
      <c r="M1524" t="e">
        <f>INDEX(Stammdaten[Abholzigkeit (mm/lfm)],MATCH(Tabelle9[[#This Row],[Rank]],Stammdaten[Rank Verteilung Abholzigkeit],0))</f>
        <v>#N/A</v>
      </c>
      <c r="N1524" t="e">
        <f>VLOOKUP(Tabelle9[[#This Row],[Rank]],Stammdaten[[Rank Verteilung Abholzigkeit]:[Verteilung Abholzigkeit]],2,FALSE)</f>
        <v>#N/A</v>
      </c>
      <c r="S1524">
        <v>1515</v>
      </c>
      <c r="T1524" t="e">
        <f>INDEX(Stammdaten[Krümmung (mm/lfm)],MATCH(Tabelle10[[#This Row],[Rank]],Stammdaten[Rank Verteilung Krümmung],0))</f>
        <v>#N/A</v>
      </c>
      <c r="U1524" t="e">
        <f>VLOOKUP(Tabelle10[[#This Row],[Rank]],Stammdaten[[Rank Verteilung Krümmung]:[Verteilung Krümmung]],2,FALSE)</f>
        <v>#N/A</v>
      </c>
      <c r="Z1524">
        <v>1515</v>
      </c>
      <c r="AA1524" t="e">
        <f>INDEX(Stammdaten[Ovalität (']0,1'])],MATCH(Tabelle1014[[#This Row],[Rank]],Stammdaten[Rank Verteilung Ovalität],0))</f>
        <v>#N/A</v>
      </c>
      <c r="AB1524" t="e">
        <f>VLOOKUP(Tabelle1014[[#This Row],[Rank]],Stammdaten[[Rank Verteilung Ovalität]:[Verteilung Ovalität]],2,FALSE)</f>
        <v>#N/A</v>
      </c>
    </row>
    <row r="1525" spans="5:28" x14ac:dyDescent="0.35">
      <c r="E1525">
        <v>1516</v>
      </c>
      <c r="F1525" t="e">
        <f>INDEX(Stammdaten[D Mitte mit Rinde (mm)],MATCH(Tabelle8[[#This Row],[Rank]],Stammdaten[Rank Verteilung D Mitte mit Rinde],0))</f>
        <v>#N/A</v>
      </c>
      <c r="G1525" t="e">
        <f>VLOOKUP(Tabelle8[[#This Row],[Rank]],Stammdaten[[Rank Verteilung D Mitte mit Rinde]:[Verteilung D Mitte mit Rinde]],2,FALSE)</f>
        <v>#N/A</v>
      </c>
      <c r="L1525">
        <v>1516</v>
      </c>
      <c r="M1525" t="e">
        <f>INDEX(Stammdaten[Abholzigkeit (mm/lfm)],MATCH(Tabelle9[[#This Row],[Rank]],Stammdaten[Rank Verteilung Abholzigkeit],0))</f>
        <v>#N/A</v>
      </c>
      <c r="N1525" t="e">
        <f>VLOOKUP(Tabelle9[[#This Row],[Rank]],Stammdaten[[Rank Verteilung Abholzigkeit]:[Verteilung Abholzigkeit]],2,FALSE)</f>
        <v>#N/A</v>
      </c>
      <c r="S1525">
        <v>1516</v>
      </c>
      <c r="T1525" t="e">
        <f>INDEX(Stammdaten[Krümmung (mm/lfm)],MATCH(Tabelle10[[#This Row],[Rank]],Stammdaten[Rank Verteilung Krümmung],0))</f>
        <v>#N/A</v>
      </c>
      <c r="U1525" t="e">
        <f>VLOOKUP(Tabelle10[[#This Row],[Rank]],Stammdaten[[Rank Verteilung Krümmung]:[Verteilung Krümmung]],2,FALSE)</f>
        <v>#N/A</v>
      </c>
      <c r="Z1525">
        <v>1516</v>
      </c>
      <c r="AA1525" t="e">
        <f>INDEX(Stammdaten[Ovalität (']0,1'])],MATCH(Tabelle1014[[#This Row],[Rank]],Stammdaten[Rank Verteilung Ovalität],0))</f>
        <v>#N/A</v>
      </c>
      <c r="AB1525" t="e">
        <f>VLOOKUP(Tabelle1014[[#This Row],[Rank]],Stammdaten[[Rank Verteilung Ovalität]:[Verteilung Ovalität]],2,FALSE)</f>
        <v>#N/A</v>
      </c>
    </row>
    <row r="1526" spans="5:28" x14ac:dyDescent="0.35">
      <c r="E1526">
        <v>1517</v>
      </c>
      <c r="F1526" t="e">
        <f>INDEX(Stammdaten[D Mitte mit Rinde (mm)],MATCH(Tabelle8[[#This Row],[Rank]],Stammdaten[Rank Verteilung D Mitte mit Rinde],0))</f>
        <v>#N/A</v>
      </c>
      <c r="G1526" t="e">
        <f>VLOOKUP(Tabelle8[[#This Row],[Rank]],Stammdaten[[Rank Verteilung D Mitte mit Rinde]:[Verteilung D Mitte mit Rinde]],2,FALSE)</f>
        <v>#N/A</v>
      </c>
      <c r="L1526">
        <v>1517</v>
      </c>
      <c r="M1526" t="e">
        <f>INDEX(Stammdaten[Abholzigkeit (mm/lfm)],MATCH(Tabelle9[[#This Row],[Rank]],Stammdaten[Rank Verteilung Abholzigkeit],0))</f>
        <v>#N/A</v>
      </c>
      <c r="N1526" t="e">
        <f>VLOOKUP(Tabelle9[[#This Row],[Rank]],Stammdaten[[Rank Verteilung Abholzigkeit]:[Verteilung Abholzigkeit]],2,FALSE)</f>
        <v>#N/A</v>
      </c>
      <c r="S1526">
        <v>1517</v>
      </c>
      <c r="T1526" t="e">
        <f>INDEX(Stammdaten[Krümmung (mm/lfm)],MATCH(Tabelle10[[#This Row],[Rank]],Stammdaten[Rank Verteilung Krümmung],0))</f>
        <v>#N/A</v>
      </c>
      <c r="U1526" t="e">
        <f>VLOOKUP(Tabelle10[[#This Row],[Rank]],Stammdaten[[Rank Verteilung Krümmung]:[Verteilung Krümmung]],2,FALSE)</f>
        <v>#N/A</v>
      </c>
      <c r="Z1526">
        <v>1517</v>
      </c>
      <c r="AA1526" t="e">
        <f>INDEX(Stammdaten[Ovalität (']0,1'])],MATCH(Tabelle1014[[#This Row],[Rank]],Stammdaten[Rank Verteilung Ovalität],0))</f>
        <v>#N/A</v>
      </c>
      <c r="AB1526" t="e">
        <f>VLOOKUP(Tabelle1014[[#This Row],[Rank]],Stammdaten[[Rank Verteilung Ovalität]:[Verteilung Ovalität]],2,FALSE)</f>
        <v>#N/A</v>
      </c>
    </row>
    <row r="1527" spans="5:28" x14ac:dyDescent="0.35">
      <c r="E1527">
        <v>1518</v>
      </c>
      <c r="F1527" t="e">
        <f>INDEX(Stammdaten[D Mitte mit Rinde (mm)],MATCH(Tabelle8[[#This Row],[Rank]],Stammdaten[Rank Verteilung D Mitte mit Rinde],0))</f>
        <v>#N/A</v>
      </c>
      <c r="G1527" t="e">
        <f>VLOOKUP(Tabelle8[[#This Row],[Rank]],Stammdaten[[Rank Verteilung D Mitte mit Rinde]:[Verteilung D Mitte mit Rinde]],2,FALSE)</f>
        <v>#N/A</v>
      </c>
      <c r="L1527">
        <v>1518</v>
      </c>
      <c r="M1527" t="e">
        <f>INDEX(Stammdaten[Abholzigkeit (mm/lfm)],MATCH(Tabelle9[[#This Row],[Rank]],Stammdaten[Rank Verteilung Abholzigkeit],0))</f>
        <v>#N/A</v>
      </c>
      <c r="N1527" t="e">
        <f>VLOOKUP(Tabelle9[[#This Row],[Rank]],Stammdaten[[Rank Verteilung Abholzigkeit]:[Verteilung Abholzigkeit]],2,FALSE)</f>
        <v>#N/A</v>
      </c>
      <c r="S1527">
        <v>1518</v>
      </c>
      <c r="T1527" t="e">
        <f>INDEX(Stammdaten[Krümmung (mm/lfm)],MATCH(Tabelle10[[#This Row],[Rank]],Stammdaten[Rank Verteilung Krümmung],0))</f>
        <v>#N/A</v>
      </c>
      <c r="U1527" t="e">
        <f>VLOOKUP(Tabelle10[[#This Row],[Rank]],Stammdaten[[Rank Verteilung Krümmung]:[Verteilung Krümmung]],2,FALSE)</f>
        <v>#N/A</v>
      </c>
      <c r="Z1527">
        <v>1518</v>
      </c>
      <c r="AA1527" t="e">
        <f>INDEX(Stammdaten[Ovalität (']0,1'])],MATCH(Tabelle1014[[#This Row],[Rank]],Stammdaten[Rank Verteilung Ovalität],0))</f>
        <v>#N/A</v>
      </c>
      <c r="AB1527" t="e">
        <f>VLOOKUP(Tabelle1014[[#This Row],[Rank]],Stammdaten[[Rank Verteilung Ovalität]:[Verteilung Ovalität]],2,FALSE)</f>
        <v>#N/A</v>
      </c>
    </row>
    <row r="1528" spans="5:28" x14ac:dyDescent="0.35">
      <c r="E1528">
        <v>1519</v>
      </c>
      <c r="F1528" t="e">
        <f>INDEX(Stammdaten[D Mitte mit Rinde (mm)],MATCH(Tabelle8[[#This Row],[Rank]],Stammdaten[Rank Verteilung D Mitte mit Rinde],0))</f>
        <v>#N/A</v>
      </c>
      <c r="G1528" t="e">
        <f>VLOOKUP(Tabelle8[[#This Row],[Rank]],Stammdaten[[Rank Verteilung D Mitte mit Rinde]:[Verteilung D Mitte mit Rinde]],2,FALSE)</f>
        <v>#N/A</v>
      </c>
      <c r="L1528">
        <v>1519</v>
      </c>
      <c r="M1528" t="e">
        <f>INDEX(Stammdaten[Abholzigkeit (mm/lfm)],MATCH(Tabelle9[[#This Row],[Rank]],Stammdaten[Rank Verteilung Abholzigkeit],0))</f>
        <v>#N/A</v>
      </c>
      <c r="N1528" t="e">
        <f>VLOOKUP(Tabelle9[[#This Row],[Rank]],Stammdaten[[Rank Verteilung Abholzigkeit]:[Verteilung Abholzigkeit]],2,FALSE)</f>
        <v>#N/A</v>
      </c>
      <c r="S1528">
        <v>1519</v>
      </c>
      <c r="T1528" t="e">
        <f>INDEX(Stammdaten[Krümmung (mm/lfm)],MATCH(Tabelle10[[#This Row],[Rank]],Stammdaten[Rank Verteilung Krümmung],0))</f>
        <v>#N/A</v>
      </c>
      <c r="U1528" t="e">
        <f>VLOOKUP(Tabelle10[[#This Row],[Rank]],Stammdaten[[Rank Verteilung Krümmung]:[Verteilung Krümmung]],2,FALSE)</f>
        <v>#N/A</v>
      </c>
      <c r="Z1528">
        <v>1519</v>
      </c>
      <c r="AA1528" t="e">
        <f>INDEX(Stammdaten[Ovalität (']0,1'])],MATCH(Tabelle1014[[#This Row],[Rank]],Stammdaten[Rank Verteilung Ovalität],0))</f>
        <v>#N/A</v>
      </c>
      <c r="AB1528" t="e">
        <f>VLOOKUP(Tabelle1014[[#This Row],[Rank]],Stammdaten[[Rank Verteilung Ovalität]:[Verteilung Ovalität]],2,FALSE)</f>
        <v>#N/A</v>
      </c>
    </row>
    <row r="1529" spans="5:28" x14ac:dyDescent="0.35">
      <c r="E1529">
        <v>1520</v>
      </c>
      <c r="F1529" t="e">
        <f>INDEX(Stammdaten[D Mitte mit Rinde (mm)],MATCH(Tabelle8[[#This Row],[Rank]],Stammdaten[Rank Verteilung D Mitte mit Rinde],0))</f>
        <v>#N/A</v>
      </c>
      <c r="G1529" t="e">
        <f>VLOOKUP(Tabelle8[[#This Row],[Rank]],Stammdaten[[Rank Verteilung D Mitte mit Rinde]:[Verteilung D Mitte mit Rinde]],2,FALSE)</f>
        <v>#N/A</v>
      </c>
      <c r="L1529">
        <v>1520</v>
      </c>
      <c r="M1529" t="e">
        <f>INDEX(Stammdaten[Abholzigkeit (mm/lfm)],MATCH(Tabelle9[[#This Row],[Rank]],Stammdaten[Rank Verteilung Abholzigkeit],0))</f>
        <v>#N/A</v>
      </c>
      <c r="N1529" t="e">
        <f>VLOOKUP(Tabelle9[[#This Row],[Rank]],Stammdaten[[Rank Verteilung Abholzigkeit]:[Verteilung Abholzigkeit]],2,FALSE)</f>
        <v>#N/A</v>
      </c>
      <c r="S1529">
        <v>1520</v>
      </c>
      <c r="T1529" t="e">
        <f>INDEX(Stammdaten[Krümmung (mm/lfm)],MATCH(Tabelle10[[#This Row],[Rank]],Stammdaten[Rank Verteilung Krümmung],0))</f>
        <v>#N/A</v>
      </c>
      <c r="U1529" t="e">
        <f>VLOOKUP(Tabelle10[[#This Row],[Rank]],Stammdaten[[Rank Verteilung Krümmung]:[Verteilung Krümmung]],2,FALSE)</f>
        <v>#N/A</v>
      </c>
      <c r="Z1529">
        <v>1520</v>
      </c>
      <c r="AA1529" t="e">
        <f>INDEX(Stammdaten[Ovalität (']0,1'])],MATCH(Tabelle1014[[#This Row],[Rank]],Stammdaten[Rank Verteilung Ovalität],0))</f>
        <v>#N/A</v>
      </c>
      <c r="AB1529" t="e">
        <f>VLOOKUP(Tabelle1014[[#This Row],[Rank]],Stammdaten[[Rank Verteilung Ovalität]:[Verteilung Ovalität]],2,FALSE)</f>
        <v>#N/A</v>
      </c>
    </row>
    <row r="1530" spans="5:28" x14ac:dyDescent="0.35">
      <c r="E1530">
        <v>1521</v>
      </c>
      <c r="F1530" t="e">
        <f>INDEX(Stammdaten[D Mitte mit Rinde (mm)],MATCH(Tabelle8[[#This Row],[Rank]],Stammdaten[Rank Verteilung D Mitte mit Rinde],0))</f>
        <v>#N/A</v>
      </c>
      <c r="G1530" t="e">
        <f>VLOOKUP(Tabelle8[[#This Row],[Rank]],Stammdaten[[Rank Verteilung D Mitte mit Rinde]:[Verteilung D Mitte mit Rinde]],2,FALSE)</f>
        <v>#N/A</v>
      </c>
      <c r="L1530">
        <v>1521</v>
      </c>
      <c r="M1530" t="e">
        <f>INDEX(Stammdaten[Abholzigkeit (mm/lfm)],MATCH(Tabelle9[[#This Row],[Rank]],Stammdaten[Rank Verteilung Abholzigkeit],0))</f>
        <v>#N/A</v>
      </c>
      <c r="N1530" t="e">
        <f>VLOOKUP(Tabelle9[[#This Row],[Rank]],Stammdaten[[Rank Verteilung Abholzigkeit]:[Verteilung Abholzigkeit]],2,FALSE)</f>
        <v>#N/A</v>
      </c>
      <c r="S1530">
        <v>1521</v>
      </c>
      <c r="T1530" t="e">
        <f>INDEX(Stammdaten[Krümmung (mm/lfm)],MATCH(Tabelle10[[#This Row],[Rank]],Stammdaten[Rank Verteilung Krümmung],0))</f>
        <v>#N/A</v>
      </c>
      <c r="U1530" t="e">
        <f>VLOOKUP(Tabelle10[[#This Row],[Rank]],Stammdaten[[Rank Verteilung Krümmung]:[Verteilung Krümmung]],2,FALSE)</f>
        <v>#N/A</v>
      </c>
      <c r="Z1530">
        <v>1521</v>
      </c>
      <c r="AA1530" t="e">
        <f>INDEX(Stammdaten[Ovalität (']0,1'])],MATCH(Tabelle1014[[#This Row],[Rank]],Stammdaten[Rank Verteilung Ovalität],0))</f>
        <v>#N/A</v>
      </c>
      <c r="AB1530" t="e">
        <f>VLOOKUP(Tabelle1014[[#This Row],[Rank]],Stammdaten[[Rank Verteilung Ovalität]:[Verteilung Ovalität]],2,FALSE)</f>
        <v>#N/A</v>
      </c>
    </row>
    <row r="1531" spans="5:28" x14ac:dyDescent="0.35">
      <c r="E1531">
        <v>1522</v>
      </c>
      <c r="F1531" t="e">
        <f>INDEX(Stammdaten[D Mitte mit Rinde (mm)],MATCH(Tabelle8[[#This Row],[Rank]],Stammdaten[Rank Verteilung D Mitte mit Rinde],0))</f>
        <v>#N/A</v>
      </c>
      <c r="G1531" t="e">
        <f>VLOOKUP(Tabelle8[[#This Row],[Rank]],Stammdaten[[Rank Verteilung D Mitte mit Rinde]:[Verteilung D Mitte mit Rinde]],2,FALSE)</f>
        <v>#N/A</v>
      </c>
      <c r="L1531">
        <v>1522</v>
      </c>
      <c r="M1531" t="e">
        <f>INDEX(Stammdaten[Abholzigkeit (mm/lfm)],MATCH(Tabelle9[[#This Row],[Rank]],Stammdaten[Rank Verteilung Abholzigkeit],0))</f>
        <v>#N/A</v>
      </c>
      <c r="N1531" t="e">
        <f>VLOOKUP(Tabelle9[[#This Row],[Rank]],Stammdaten[[Rank Verteilung Abholzigkeit]:[Verteilung Abholzigkeit]],2,FALSE)</f>
        <v>#N/A</v>
      </c>
      <c r="S1531">
        <v>1522</v>
      </c>
      <c r="T1531" t="e">
        <f>INDEX(Stammdaten[Krümmung (mm/lfm)],MATCH(Tabelle10[[#This Row],[Rank]],Stammdaten[Rank Verteilung Krümmung],0))</f>
        <v>#N/A</v>
      </c>
      <c r="U1531" t="e">
        <f>VLOOKUP(Tabelle10[[#This Row],[Rank]],Stammdaten[[Rank Verteilung Krümmung]:[Verteilung Krümmung]],2,FALSE)</f>
        <v>#N/A</v>
      </c>
      <c r="Z1531">
        <v>1522</v>
      </c>
      <c r="AA1531" t="e">
        <f>INDEX(Stammdaten[Ovalität (']0,1'])],MATCH(Tabelle1014[[#This Row],[Rank]],Stammdaten[Rank Verteilung Ovalität],0))</f>
        <v>#N/A</v>
      </c>
      <c r="AB1531" t="e">
        <f>VLOOKUP(Tabelle1014[[#This Row],[Rank]],Stammdaten[[Rank Verteilung Ovalität]:[Verteilung Ovalität]],2,FALSE)</f>
        <v>#N/A</v>
      </c>
    </row>
    <row r="1532" spans="5:28" x14ac:dyDescent="0.35">
      <c r="E1532">
        <v>1523</v>
      </c>
      <c r="F1532" t="e">
        <f>INDEX(Stammdaten[D Mitte mit Rinde (mm)],MATCH(Tabelle8[[#This Row],[Rank]],Stammdaten[Rank Verteilung D Mitte mit Rinde],0))</f>
        <v>#N/A</v>
      </c>
      <c r="G1532" t="e">
        <f>VLOOKUP(Tabelle8[[#This Row],[Rank]],Stammdaten[[Rank Verteilung D Mitte mit Rinde]:[Verteilung D Mitte mit Rinde]],2,FALSE)</f>
        <v>#N/A</v>
      </c>
      <c r="L1532">
        <v>1523</v>
      </c>
      <c r="M1532" t="e">
        <f>INDEX(Stammdaten[Abholzigkeit (mm/lfm)],MATCH(Tabelle9[[#This Row],[Rank]],Stammdaten[Rank Verteilung Abholzigkeit],0))</f>
        <v>#N/A</v>
      </c>
      <c r="N1532" t="e">
        <f>VLOOKUP(Tabelle9[[#This Row],[Rank]],Stammdaten[[Rank Verteilung Abholzigkeit]:[Verteilung Abholzigkeit]],2,FALSE)</f>
        <v>#N/A</v>
      </c>
      <c r="S1532">
        <v>1523</v>
      </c>
      <c r="T1532" t="e">
        <f>INDEX(Stammdaten[Krümmung (mm/lfm)],MATCH(Tabelle10[[#This Row],[Rank]],Stammdaten[Rank Verteilung Krümmung],0))</f>
        <v>#N/A</v>
      </c>
      <c r="U1532" t="e">
        <f>VLOOKUP(Tabelle10[[#This Row],[Rank]],Stammdaten[[Rank Verteilung Krümmung]:[Verteilung Krümmung]],2,FALSE)</f>
        <v>#N/A</v>
      </c>
      <c r="Z1532">
        <v>1523</v>
      </c>
      <c r="AA1532" t="e">
        <f>INDEX(Stammdaten[Ovalität (']0,1'])],MATCH(Tabelle1014[[#This Row],[Rank]],Stammdaten[Rank Verteilung Ovalität],0))</f>
        <v>#N/A</v>
      </c>
      <c r="AB1532" t="e">
        <f>VLOOKUP(Tabelle1014[[#This Row],[Rank]],Stammdaten[[Rank Verteilung Ovalität]:[Verteilung Ovalität]],2,FALSE)</f>
        <v>#N/A</v>
      </c>
    </row>
    <row r="1533" spans="5:28" x14ac:dyDescent="0.35">
      <c r="E1533">
        <v>1524</v>
      </c>
      <c r="F1533" t="e">
        <f>INDEX(Stammdaten[D Mitte mit Rinde (mm)],MATCH(Tabelle8[[#This Row],[Rank]],Stammdaten[Rank Verteilung D Mitte mit Rinde],0))</f>
        <v>#N/A</v>
      </c>
      <c r="G1533" t="e">
        <f>VLOOKUP(Tabelle8[[#This Row],[Rank]],Stammdaten[[Rank Verteilung D Mitte mit Rinde]:[Verteilung D Mitte mit Rinde]],2,FALSE)</f>
        <v>#N/A</v>
      </c>
      <c r="L1533">
        <v>1524</v>
      </c>
      <c r="M1533" t="e">
        <f>INDEX(Stammdaten[Abholzigkeit (mm/lfm)],MATCH(Tabelle9[[#This Row],[Rank]],Stammdaten[Rank Verteilung Abholzigkeit],0))</f>
        <v>#N/A</v>
      </c>
      <c r="N1533" t="e">
        <f>VLOOKUP(Tabelle9[[#This Row],[Rank]],Stammdaten[[Rank Verteilung Abholzigkeit]:[Verteilung Abholzigkeit]],2,FALSE)</f>
        <v>#N/A</v>
      </c>
      <c r="S1533">
        <v>1524</v>
      </c>
      <c r="T1533" t="e">
        <f>INDEX(Stammdaten[Krümmung (mm/lfm)],MATCH(Tabelle10[[#This Row],[Rank]],Stammdaten[Rank Verteilung Krümmung],0))</f>
        <v>#N/A</v>
      </c>
      <c r="U1533" t="e">
        <f>VLOOKUP(Tabelle10[[#This Row],[Rank]],Stammdaten[[Rank Verteilung Krümmung]:[Verteilung Krümmung]],2,FALSE)</f>
        <v>#N/A</v>
      </c>
      <c r="Z1533">
        <v>1524</v>
      </c>
      <c r="AA1533" t="e">
        <f>INDEX(Stammdaten[Ovalität (']0,1'])],MATCH(Tabelle1014[[#This Row],[Rank]],Stammdaten[Rank Verteilung Ovalität],0))</f>
        <v>#N/A</v>
      </c>
      <c r="AB1533" t="e">
        <f>VLOOKUP(Tabelle1014[[#This Row],[Rank]],Stammdaten[[Rank Verteilung Ovalität]:[Verteilung Ovalität]],2,FALSE)</f>
        <v>#N/A</v>
      </c>
    </row>
    <row r="1534" spans="5:28" x14ac:dyDescent="0.35">
      <c r="E1534">
        <v>1525</v>
      </c>
      <c r="F1534" t="e">
        <f>INDEX(Stammdaten[D Mitte mit Rinde (mm)],MATCH(Tabelle8[[#This Row],[Rank]],Stammdaten[Rank Verteilung D Mitte mit Rinde],0))</f>
        <v>#N/A</v>
      </c>
      <c r="G1534" t="e">
        <f>VLOOKUP(Tabelle8[[#This Row],[Rank]],Stammdaten[[Rank Verteilung D Mitte mit Rinde]:[Verteilung D Mitte mit Rinde]],2,FALSE)</f>
        <v>#N/A</v>
      </c>
      <c r="L1534">
        <v>1525</v>
      </c>
      <c r="M1534" t="e">
        <f>INDEX(Stammdaten[Abholzigkeit (mm/lfm)],MATCH(Tabelle9[[#This Row],[Rank]],Stammdaten[Rank Verteilung Abholzigkeit],0))</f>
        <v>#N/A</v>
      </c>
      <c r="N1534" t="e">
        <f>VLOOKUP(Tabelle9[[#This Row],[Rank]],Stammdaten[[Rank Verteilung Abholzigkeit]:[Verteilung Abholzigkeit]],2,FALSE)</f>
        <v>#N/A</v>
      </c>
      <c r="S1534">
        <v>1525</v>
      </c>
      <c r="T1534" t="e">
        <f>INDEX(Stammdaten[Krümmung (mm/lfm)],MATCH(Tabelle10[[#This Row],[Rank]],Stammdaten[Rank Verteilung Krümmung],0))</f>
        <v>#N/A</v>
      </c>
      <c r="U1534" t="e">
        <f>VLOOKUP(Tabelle10[[#This Row],[Rank]],Stammdaten[[Rank Verteilung Krümmung]:[Verteilung Krümmung]],2,FALSE)</f>
        <v>#N/A</v>
      </c>
      <c r="Z1534">
        <v>1525</v>
      </c>
      <c r="AA1534" t="e">
        <f>INDEX(Stammdaten[Ovalität (']0,1'])],MATCH(Tabelle1014[[#This Row],[Rank]],Stammdaten[Rank Verteilung Ovalität],0))</f>
        <v>#N/A</v>
      </c>
      <c r="AB1534" t="e">
        <f>VLOOKUP(Tabelle1014[[#This Row],[Rank]],Stammdaten[[Rank Verteilung Ovalität]:[Verteilung Ovalität]],2,FALSE)</f>
        <v>#N/A</v>
      </c>
    </row>
    <row r="1535" spans="5:28" x14ac:dyDescent="0.35">
      <c r="E1535">
        <v>1526</v>
      </c>
      <c r="F1535" t="e">
        <f>INDEX(Stammdaten[D Mitte mit Rinde (mm)],MATCH(Tabelle8[[#This Row],[Rank]],Stammdaten[Rank Verteilung D Mitte mit Rinde],0))</f>
        <v>#N/A</v>
      </c>
      <c r="G1535" t="e">
        <f>VLOOKUP(Tabelle8[[#This Row],[Rank]],Stammdaten[[Rank Verteilung D Mitte mit Rinde]:[Verteilung D Mitte mit Rinde]],2,FALSE)</f>
        <v>#N/A</v>
      </c>
      <c r="L1535">
        <v>1526</v>
      </c>
      <c r="M1535" t="e">
        <f>INDEX(Stammdaten[Abholzigkeit (mm/lfm)],MATCH(Tabelle9[[#This Row],[Rank]],Stammdaten[Rank Verteilung Abholzigkeit],0))</f>
        <v>#N/A</v>
      </c>
      <c r="N1535" t="e">
        <f>VLOOKUP(Tabelle9[[#This Row],[Rank]],Stammdaten[[Rank Verteilung Abholzigkeit]:[Verteilung Abholzigkeit]],2,FALSE)</f>
        <v>#N/A</v>
      </c>
      <c r="S1535">
        <v>1526</v>
      </c>
      <c r="T1535" t="e">
        <f>INDEX(Stammdaten[Krümmung (mm/lfm)],MATCH(Tabelle10[[#This Row],[Rank]],Stammdaten[Rank Verteilung Krümmung],0))</f>
        <v>#N/A</v>
      </c>
      <c r="U1535" t="e">
        <f>VLOOKUP(Tabelle10[[#This Row],[Rank]],Stammdaten[[Rank Verteilung Krümmung]:[Verteilung Krümmung]],2,FALSE)</f>
        <v>#N/A</v>
      </c>
      <c r="Z1535">
        <v>1526</v>
      </c>
      <c r="AA1535" t="e">
        <f>INDEX(Stammdaten[Ovalität (']0,1'])],MATCH(Tabelle1014[[#This Row],[Rank]],Stammdaten[Rank Verteilung Ovalität],0))</f>
        <v>#N/A</v>
      </c>
      <c r="AB1535" t="e">
        <f>VLOOKUP(Tabelle1014[[#This Row],[Rank]],Stammdaten[[Rank Verteilung Ovalität]:[Verteilung Ovalität]],2,FALSE)</f>
        <v>#N/A</v>
      </c>
    </row>
    <row r="1536" spans="5:28" x14ac:dyDescent="0.35">
      <c r="E1536">
        <v>1527</v>
      </c>
      <c r="F1536" t="e">
        <f>INDEX(Stammdaten[D Mitte mit Rinde (mm)],MATCH(Tabelle8[[#This Row],[Rank]],Stammdaten[Rank Verteilung D Mitte mit Rinde],0))</f>
        <v>#N/A</v>
      </c>
      <c r="G1536" t="e">
        <f>VLOOKUP(Tabelle8[[#This Row],[Rank]],Stammdaten[[Rank Verteilung D Mitte mit Rinde]:[Verteilung D Mitte mit Rinde]],2,FALSE)</f>
        <v>#N/A</v>
      </c>
      <c r="L1536">
        <v>1527</v>
      </c>
      <c r="M1536" t="e">
        <f>INDEX(Stammdaten[Abholzigkeit (mm/lfm)],MATCH(Tabelle9[[#This Row],[Rank]],Stammdaten[Rank Verteilung Abholzigkeit],0))</f>
        <v>#N/A</v>
      </c>
      <c r="N1536" t="e">
        <f>VLOOKUP(Tabelle9[[#This Row],[Rank]],Stammdaten[[Rank Verteilung Abholzigkeit]:[Verteilung Abholzigkeit]],2,FALSE)</f>
        <v>#N/A</v>
      </c>
      <c r="S1536">
        <v>1527</v>
      </c>
      <c r="T1536" t="e">
        <f>INDEX(Stammdaten[Krümmung (mm/lfm)],MATCH(Tabelle10[[#This Row],[Rank]],Stammdaten[Rank Verteilung Krümmung],0))</f>
        <v>#N/A</v>
      </c>
      <c r="U1536" t="e">
        <f>VLOOKUP(Tabelle10[[#This Row],[Rank]],Stammdaten[[Rank Verteilung Krümmung]:[Verteilung Krümmung]],2,FALSE)</f>
        <v>#N/A</v>
      </c>
      <c r="Z1536">
        <v>1527</v>
      </c>
      <c r="AA1536" t="e">
        <f>INDEX(Stammdaten[Ovalität (']0,1'])],MATCH(Tabelle1014[[#This Row],[Rank]],Stammdaten[Rank Verteilung Ovalität],0))</f>
        <v>#N/A</v>
      </c>
      <c r="AB1536" t="e">
        <f>VLOOKUP(Tabelle1014[[#This Row],[Rank]],Stammdaten[[Rank Verteilung Ovalität]:[Verteilung Ovalität]],2,FALSE)</f>
        <v>#N/A</v>
      </c>
    </row>
    <row r="1537" spans="5:28" x14ac:dyDescent="0.35">
      <c r="E1537">
        <v>1528</v>
      </c>
      <c r="F1537" t="e">
        <f>INDEX(Stammdaten[D Mitte mit Rinde (mm)],MATCH(Tabelle8[[#This Row],[Rank]],Stammdaten[Rank Verteilung D Mitte mit Rinde],0))</f>
        <v>#N/A</v>
      </c>
      <c r="G1537" t="e">
        <f>VLOOKUP(Tabelle8[[#This Row],[Rank]],Stammdaten[[Rank Verteilung D Mitte mit Rinde]:[Verteilung D Mitte mit Rinde]],2,FALSE)</f>
        <v>#N/A</v>
      </c>
      <c r="L1537">
        <v>1528</v>
      </c>
      <c r="M1537" t="e">
        <f>INDEX(Stammdaten[Abholzigkeit (mm/lfm)],MATCH(Tabelle9[[#This Row],[Rank]],Stammdaten[Rank Verteilung Abholzigkeit],0))</f>
        <v>#N/A</v>
      </c>
      <c r="N1537" t="e">
        <f>VLOOKUP(Tabelle9[[#This Row],[Rank]],Stammdaten[[Rank Verteilung Abholzigkeit]:[Verteilung Abholzigkeit]],2,FALSE)</f>
        <v>#N/A</v>
      </c>
      <c r="S1537">
        <v>1528</v>
      </c>
      <c r="T1537" t="e">
        <f>INDEX(Stammdaten[Krümmung (mm/lfm)],MATCH(Tabelle10[[#This Row],[Rank]],Stammdaten[Rank Verteilung Krümmung],0))</f>
        <v>#N/A</v>
      </c>
      <c r="U1537" t="e">
        <f>VLOOKUP(Tabelle10[[#This Row],[Rank]],Stammdaten[[Rank Verteilung Krümmung]:[Verteilung Krümmung]],2,FALSE)</f>
        <v>#N/A</v>
      </c>
      <c r="Z1537">
        <v>1528</v>
      </c>
      <c r="AA1537" t="e">
        <f>INDEX(Stammdaten[Ovalität (']0,1'])],MATCH(Tabelle1014[[#This Row],[Rank]],Stammdaten[Rank Verteilung Ovalität],0))</f>
        <v>#N/A</v>
      </c>
      <c r="AB1537" t="e">
        <f>VLOOKUP(Tabelle1014[[#This Row],[Rank]],Stammdaten[[Rank Verteilung Ovalität]:[Verteilung Ovalität]],2,FALSE)</f>
        <v>#N/A</v>
      </c>
    </row>
    <row r="1538" spans="5:28" x14ac:dyDescent="0.35">
      <c r="E1538">
        <v>1529</v>
      </c>
      <c r="F1538" t="e">
        <f>INDEX(Stammdaten[D Mitte mit Rinde (mm)],MATCH(Tabelle8[[#This Row],[Rank]],Stammdaten[Rank Verteilung D Mitte mit Rinde],0))</f>
        <v>#N/A</v>
      </c>
      <c r="G1538" t="e">
        <f>VLOOKUP(Tabelle8[[#This Row],[Rank]],Stammdaten[[Rank Verteilung D Mitte mit Rinde]:[Verteilung D Mitte mit Rinde]],2,FALSE)</f>
        <v>#N/A</v>
      </c>
      <c r="L1538">
        <v>1529</v>
      </c>
      <c r="M1538" t="e">
        <f>INDEX(Stammdaten[Abholzigkeit (mm/lfm)],MATCH(Tabelle9[[#This Row],[Rank]],Stammdaten[Rank Verteilung Abholzigkeit],0))</f>
        <v>#N/A</v>
      </c>
      <c r="N1538" t="e">
        <f>VLOOKUP(Tabelle9[[#This Row],[Rank]],Stammdaten[[Rank Verteilung Abholzigkeit]:[Verteilung Abholzigkeit]],2,FALSE)</f>
        <v>#N/A</v>
      </c>
      <c r="S1538">
        <v>1529</v>
      </c>
      <c r="T1538" t="e">
        <f>INDEX(Stammdaten[Krümmung (mm/lfm)],MATCH(Tabelle10[[#This Row],[Rank]],Stammdaten[Rank Verteilung Krümmung],0))</f>
        <v>#N/A</v>
      </c>
      <c r="U1538" t="e">
        <f>VLOOKUP(Tabelle10[[#This Row],[Rank]],Stammdaten[[Rank Verteilung Krümmung]:[Verteilung Krümmung]],2,FALSE)</f>
        <v>#N/A</v>
      </c>
      <c r="Z1538">
        <v>1529</v>
      </c>
      <c r="AA1538" t="e">
        <f>INDEX(Stammdaten[Ovalität (']0,1'])],MATCH(Tabelle1014[[#This Row],[Rank]],Stammdaten[Rank Verteilung Ovalität],0))</f>
        <v>#N/A</v>
      </c>
      <c r="AB1538" t="e">
        <f>VLOOKUP(Tabelle1014[[#This Row],[Rank]],Stammdaten[[Rank Verteilung Ovalität]:[Verteilung Ovalität]],2,FALSE)</f>
        <v>#N/A</v>
      </c>
    </row>
    <row r="1539" spans="5:28" x14ac:dyDescent="0.35">
      <c r="E1539">
        <v>1530</v>
      </c>
      <c r="F1539" t="e">
        <f>INDEX(Stammdaten[D Mitte mit Rinde (mm)],MATCH(Tabelle8[[#This Row],[Rank]],Stammdaten[Rank Verteilung D Mitte mit Rinde],0))</f>
        <v>#N/A</v>
      </c>
      <c r="G1539" t="e">
        <f>VLOOKUP(Tabelle8[[#This Row],[Rank]],Stammdaten[[Rank Verteilung D Mitte mit Rinde]:[Verteilung D Mitte mit Rinde]],2,FALSE)</f>
        <v>#N/A</v>
      </c>
      <c r="L1539">
        <v>1530</v>
      </c>
      <c r="M1539" t="e">
        <f>INDEX(Stammdaten[Abholzigkeit (mm/lfm)],MATCH(Tabelle9[[#This Row],[Rank]],Stammdaten[Rank Verteilung Abholzigkeit],0))</f>
        <v>#N/A</v>
      </c>
      <c r="N1539" t="e">
        <f>VLOOKUP(Tabelle9[[#This Row],[Rank]],Stammdaten[[Rank Verteilung Abholzigkeit]:[Verteilung Abholzigkeit]],2,FALSE)</f>
        <v>#N/A</v>
      </c>
      <c r="S1539">
        <v>1530</v>
      </c>
      <c r="T1539" t="e">
        <f>INDEX(Stammdaten[Krümmung (mm/lfm)],MATCH(Tabelle10[[#This Row],[Rank]],Stammdaten[Rank Verteilung Krümmung],0))</f>
        <v>#N/A</v>
      </c>
      <c r="U1539" t="e">
        <f>VLOOKUP(Tabelle10[[#This Row],[Rank]],Stammdaten[[Rank Verteilung Krümmung]:[Verteilung Krümmung]],2,FALSE)</f>
        <v>#N/A</v>
      </c>
      <c r="Z1539">
        <v>1530</v>
      </c>
      <c r="AA1539" t="e">
        <f>INDEX(Stammdaten[Ovalität (']0,1'])],MATCH(Tabelle1014[[#This Row],[Rank]],Stammdaten[Rank Verteilung Ovalität],0))</f>
        <v>#N/A</v>
      </c>
      <c r="AB1539" t="e">
        <f>VLOOKUP(Tabelle1014[[#This Row],[Rank]],Stammdaten[[Rank Verteilung Ovalität]:[Verteilung Ovalität]],2,FALSE)</f>
        <v>#N/A</v>
      </c>
    </row>
    <row r="1540" spans="5:28" x14ac:dyDescent="0.35">
      <c r="E1540">
        <v>1531</v>
      </c>
      <c r="F1540" t="e">
        <f>INDEX(Stammdaten[D Mitte mit Rinde (mm)],MATCH(Tabelle8[[#This Row],[Rank]],Stammdaten[Rank Verteilung D Mitte mit Rinde],0))</f>
        <v>#N/A</v>
      </c>
      <c r="G1540" t="e">
        <f>VLOOKUP(Tabelle8[[#This Row],[Rank]],Stammdaten[[Rank Verteilung D Mitte mit Rinde]:[Verteilung D Mitte mit Rinde]],2,FALSE)</f>
        <v>#N/A</v>
      </c>
      <c r="L1540">
        <v>1531</v>
      </c>
      <c r="M1540" t="e">
        <f>INDEX(Stammdaten[Abholzigkeit (mm/lfm)],MATCH(Tabelle9[[#This Row],[Rank]],Stammdaten[Rank Verteilung Abholzigkeit],0))</f>
        <v>#N/A</v>
      </c>
      <c r="N1540" t="e">
        <f>VLOOKUP(Tabelle9[[#This Row],[Rank]],Stammdaten[[Rank Verteilung Abholzigkeit]:[Verteilung Abholzigkeit]],2,FALSE)</f>
        <v>#N/A</v>
      </c>
      <c r="S1540">
        <v>1531</v>
      </c>
      <c r="T1540" t="e">
        <f>INDEX(Stammdaten[Krümmung (mm/lfm)],MATCH(Tabelle10[[#This Row],[Rank]],Stammdaten[Rank Verteilung Krümmung],0))</f>
        <v>#N/A</v>
      </c>
      <c r="U1540" t="e">
        <f>VLOOKUP(Tabelle10[[#This Row],[Rank]],Stammdaten[[Rank Verteilung Krümmung]:[Verteilung Krümmung]],2,FALSE)</f>
        <v>#N/A</v>
      </c>
      <c r="Z1540">
        <v>1531</v>
      </c>
      <c r="AA1540" t="e">
        <f>INDEX(Stammdaten[Ovalität (']0,1'])],MATCH(Tabelle1014[[#This Row],[Rank]],Stammdaten[Rank Verteilung Ovalität],0))</f>
        <v>#N/A</v>
      </c>
      <c r="AB1540" t="e">
        <f>VLOOKUP(Tabelle1014[[#This Row],[Rank]],Stammdaten[[Rank Verteilung Ovalität]:[Verteilung Ovalität]],2,FALSE)</f>
        <v>#N/A</v>
      </c>
    </row>
    <row r="1541" spans="5:28" x14ac:dyDescent="0.35">
      <c r="E1541">
        <v>1532</v>
      </c>
      <c r="F1541" t="e">
        <f>INDEX(Stammdaten[D Mitte mit Rinde (mm)],MATCH(Tabelle8[[#This Row],[Rank]],Stammdaten[Rank Verteilung D Mitte mit Rinde],0))</f>
        <v>#N/A</v>
      </c>
      <c r="G1541" t="e">
        <f>VLOOKUP(Tabelle8[[#This Row],[Rank]],Stammdaten[[Rank Verteilung D Mitte mit Rinde]:[Verteilung D Mitte mit Rinde]],2,FALSE)</f>
        <v>#N/A</v>
      </c>
      <c r="L1541">
        <v>1532</v>
      </c>
      <c r="M1541" t="e">
        <f>INDEX(Stammdaten[Abholzigkeit (mm/lfm)],MATCH(Tabelle9[[#This Row],[Rank]],Stammdaten[Rank Verteilung Abholzigkeit],0))</f>
        <v>#N/A</v>
      </c>
      <c r="N1541" t="e">
        <f>VLOOKUP(Tabelle9[[#This Row],[Rank]],Stammdaten[[Rank Verteilung Abholzigkeit]:[Verteilung Abholzigkeit]],2,FALSE)</f>
        <v>#N/A</v>
      </c>
      <c r="S1541">
        <v>1532</v>
      </c>
      <c r="T1541" t="e">
        <f>INDEX(Stammdaten[Krümmung (mm/lfm)],MATCH(Tabelle10[[#This Row],[Rank]],Stammdaten[Rank Verteilung Krümmung],0))</f>
        <v>#N/A</v>
      </c>
      <c r="U1541" t="e">
        <f>VLOOKUP(Tabelle10[[#This Row],[Rank]],Stammdaten[[Rank Verteilung Krümmung]:[Verteilung Krümmung]],2,FALSE)</f>
        <v>#N/A</v>
      </c>
      <c r="Z1541">
        <v>1532</v>
      </c>
      <c r="AA1541" t="e">
        <f>INDEX(Stammdaten[Ovalität (']0,1'])],MATCH(Tabelle1014[[#This Row],[Rank]],Stammdaten[Rank Verteilung Ovalität],0))</f>
        <v>#N/A</v>
      </c>
      <c r="AB1541" t="e">
        <f>VLOOKUP(Tabelle1014[[#This Row],[Rank]],Stammdaten[[Rank Verteilung Ovalität]:[Verteilung Ovalität]],2,FALSE)</f>
        <v>#N/A</v>
      </c>
    </row>
    <row r="1542" spans="5:28" x14ac:dyDescent="0.35">
      <c r="E1542">
        <v>1533</v>
      </c>
      <c r="F1542" t="e">
        <f>INDEX(Stammdaten[D Mitte mit Rinde (mm)],MATCH(Tabelle8[[#This Row],[Rank]],Stammdaten[Rank Verteilung D Mitte mit Rinde],0))</f>
        <v>#N/A</v>
      </c>
      <c r="G1542" t="e">
        <f>VLOOKUP(Tabelle8[[#This Row],[Rank]],Stammdaten[[Rank Verteilung D Mitte mit Rinde]:[Verteilung D Mitte mit Rinde]],2,FALSE)</f>
        <v>#N/A</v>
      </c>
      <c r="L1542">
        <v>1533</v>
      </c>
      <c r="M1542" t="e">
        <f>INDEX(Stammdaten[Abholzigkeit (mm/lfm)],MATCH(Tabelle9[[#This Row],[Rank]],Stammdaten[Rank Verteilung Abholzigkeit],0))</f>
        <v>#N/A</v>
      </c>
      <c r="N1542" t="e">
        <f>VLOOKUP(Tabelle9[[#This Row],[Rank]],Stammdaten[[Rank Verteilung Abholzigkeit]:[Verteilung Abholzigkeit]],2,FALSE)</f>
        <v>#N/A</v>
      </c>
      <c r="S1542">
        <v>1533</v>
      </c>
      <c r="T1542" t="e">
        <f>INDEX(Stammdaten[Krümmung (mm/lfm)],MATCH(Tabelle10[[#This Row],[Rank]],Stammdaten[Rank Verteilung Krümmung],0))</f>
        <v>#N/A</v>
      </c>
      <c r="U1542" t="e">
        <f>VLOOKUP(Tabelle10[[#This Row],[Rank]],Stammdaten[[Rank Verteilung Krümmung]:[Verteilung Krümmung]],2,FALSE)</f>
        <v>#N/A</v>
      </c>
      <c r="Z1542">
        <v>1533</v>
      </c>
      <c r="AA1542" t="e">
        <f>INDEX(Stammdaten[Ovalität (']0,1'])],MATCH(Tabelle1014[[#This Row],[Rank]],Stammdaten[Rank Verteilung Ovalität],0))</f>
        <v>#N/A</v>
      </c>
      <c r="AB1542" t="e">
        <f>VLOOKUP(Tabelle1014[[#This Row],[Rank]],Stammdaten[[Rank Verteilung Ovalität]:[Verteilung Ovalität]],2,FALSE)</f>
        <v>#N/A</v>
      </c>
    </row>
    <row r="1543" spans="5:28" x14ac:dyDescent="0.35">
      <c r="E1543">
        <v>1534</v>
      </c>
      <c r="F1543" t="e">
        <f>INDEX(Stammdaten[D Mitte mit Rinde (mm)],MATCH(Tabelle8[[#This Row],[Rank]],Stammdaten[Rank Verteilung D Mitte mit Rinde],0))</f>
        <v>#N/A</v>
      </c>
      <c r="G1543" t="e">
        <f>VLOOKUP(Tabelle8[[#This Row],[Rank]],Stammdaten[[Rank Verteilung D Mitte mit Rinde]:[Verteilung D Mitte mit Rinde]],2,FALSE)</f>
        <v>#N/A</v>
      </c>
      <c r="L1543">
        <v>1534</v>
      </c>
      <c r="M1543" t="e">
        <f>INDEX(Stammdaten[Abholzigkeit (mm/lfm)],MATCH(Tabelle9[[#This Row],[Rank]],Stammdaten[Rank Verteilung Abholzigkeit],0))</f>
        <v>#N/A</v>
      </c>
      <c r="N1543" t="e">
        <f>VLOOKUP(Tabelle9[[#This Row],[Rank]],Stammdaten[[Rank Verteilung Abholzigkeit]:[Verteilung Abholzigkeit]],2,FALSE)</f>
        <v>#N/A</v>
      </c>
      <c r="S1543">
        <v>1534</v>
      </c>
      <c r="T1543" t="e">
        <f>INDEX(Stammdaten[Krümmung (mm/lfm)],MATCH(Tabelle10[[#This Row],[Rank]],Stammdaten[Rank Verteilung Krümmung],0))</f>
        <v>#N/A</v>
      </c>
      <c r="U1543" t="e">
        <f>VLOOKUP(Tabelle10[[#This Row],[Rank]],Stammdaten[[Rank Verteilung Krümmung]:[Verteilung Krümmung]],2,FALSE)</f>
        <v>#N/A</v>
      </c>
      <c r="Z1543">
        <v>1534</v>
      </c>
      <c r="AA1543" t="e">
        <f>INDEX(Stammdaten[Ovalität (']0,1'])],MATCH(Tabelle1014[[#This Row],[Rank]],Stammdaten[Rank Verteilung Ovalität],0))</f>
        <v>#N/A</v>
      </c>
      <c r="AB1543" t="e">
        <f>VLOOKUP(Tabelle1014[[#This Row],[Rank]],Stammdaten[[Rank Verteilung Ovalität]:[Verteilung Ovalität]],2,FALSE)</f>
        <v>#N/A</v>
      </c>
    </row>
    <row r="1544" spans="5:28" x14ac:dyDescent="0.35">
      <c r="E1544">
        <v>1535</v>
      </c>
      <c r="F1544" t="e">
        <f>INDEX(Stammdaten[D Mitte mit Rinde (mm)],MATCH(Tabelle8[[#This Row],[Rank]],Stammdaten[Rank Verteilung D Mitte mit Rinde],0))</f>
        <v>#N/A</v>
      </c>
      <c r="G1544" t="e">
        <f>VLOOKUP(Tabelle8[[#This Row],[Rank]],Stammdaten[[Rank Verteilung D Mitte mit Rinde]:[Verteilung D Mitte mit Rinde]],2,FALSE)</f>
        <v>#N/A</v>
      </c>
      <c r="L1544">
        <v>1535</v>
      </c>
      <c r="M1544" t="e">
        <f>INDEX(Stammdaten[Abholzigkeit (mm/lfm)],MATCH(Tabelle9[[#This Row],[Rank]],Stammdaten[Rank Verteilung Abholzigkeit],0))</f>
        <v>#N/A</v>
      </c>
      <c r="N1544" t="e">
        <f>VLOOKUP(Tabelle9[[#This Row],[Rank]],Stammdaten[[Rank Verteilung Abholzigkeit]:[Verteilung Abholzigkeit]],2,FALSE)</f>
        <v>#N/A</v>
      </c>
      <c r="S1544">
        <v>1535</v>
      </c>
      <c r="T1544" t="e">
        <f>INDEX(Stammdaten[Krümmung (mm/lfm)],MATCH(Tabelle10[[#This Row],[Rank]],Stammdaten[Rank Verteilung Krümmung],0))</f>
        <v>#N/A</v>
      </c>
      <c r="U1544" t="e">
        <f>VLOOKUP(Tabelle10[[#This Row],[Rank]],Stammdaten[[Rank Verteilung Krümmung]:[Verteilung Krümmung]],2,FALSE)</f>
        <v>#N/A</v>
      </c>
      <c r="Z1544">
        <v>1535</v>
      </c>
      <c r="AA1544" t="e">
        <f>INDEX(Stammdaten[Ovalität (']0,1'])],MATCH(Tabelle1014[[#This Row],[Rank]],Stammdaten[Rank Verteilung Ovalität],0))</f>
        <v>#N/A</v>
      </c>
      <c r="AB1544" t="e">
        <f>VLOOKUP(Tabelle1014[[#This Row],[Rank]],Stammdaten[[Rank Verteilung Ovalität]:[Verteilung Ovalität]],2,FALSE)</f>
        <v>#N/A</v>
      </c>
    </row>
    <row r="1545" spans="5:28" x14ac:dyDescent="0.35">
      <c r="E1545">
        <v>1536</v>
      </c>
      <c r="F1545" t="e">
        <f>INDEX(Stammdaten[D Mitte mit Rinde (mm)],MATCH(Tabelle8[[#This Row],[Rank]],Stammdaten[Rank Verteilung D Mitte mit Rinde],0))</f>
        <v>#N/A</v>
      </c>
      <c r="G1545" t="e">
        <f>VLOOKUP(Tabelle8[[#This Row],[Rank]],Stammdaten[[Rank Verteilung D Mitte mit Rinde]:[Verteilung D Mitte mit Rinde]],2,FALSE)</f>
        <v>#N/A</v>
      </c>
      <c r="L1545">
        <v>1536</v>
      </c>
      <c r="M1545" t="e">
        <f>INDEX(Stammdaten[Abholzigkeit (mm/lfm)],MATCH(Tabelle9[[#This Row],[Rank]],Stammdaten[Rank Verteilung Abholzigkeit],0))</f>
        <v>#N/A</v>
      </c>
      <c r="N1545" t="e">
        <f>VLOOKUP(Tabelle9[[#This Row],[Rank]],Stammdaten[[Rank Verteilung Abholzigkeit]:[Verteilung Abholzigkeit]],2,FALSE)</f>
        <v>#N/A</v>
      </c>
      <c r="S1545">
        <v>1536</v>
      </c>
      <c r="T1545" t="e">
        <f>INDEX(Stammdaten[Krümmung (mm/lfm)],MATCH(Tabelle10[[#This Row],[Rank]],Stammdaten[Rank Verteilung Krümmung],0))</f>
        <v>#N/A</v>
      </c>
      <c r="U1545" t="e">
        <f>VLOOKUP(Tabelle10[[#This Row],[Rank]],Stammdaten[[Rank Verteilung Krümmung]:[Verteilung Krümmung]],2,FALSE)</f>
        <v>#N/A</v>
      </c>
      <c r="Z1545">
        <v>1536</v>
      </c>
      <c r="AA1545" t="e">
        <f>INDEX(Stammdaten[Ovalität (']0,1'])],MATCH(Tabelle1014[[#This Row],[Rank]],Stammdaten[Rank Verteilung Ovalität],0))</f>
        <v>#N/A</v>
      </c>
      <c r="AB1545" t="e">
        <f>VLOOKUP(Tabelle1014[[#This Row],[Rank]],Stammdaten[[Rank Verteilung Ovalität]:[Verteilung Ovalität]],2,FALSE)</f>
        <v>#N/A</v>
      </c>
    </row>
    <row r="1546" spans="5:28" x14ac:dyDescent="0.35">
      <c r="E1546">
        <v>1537</v>
      </c>
      <c r="F1546" t="e">
        <f>INDEX(Stammdaten[D Mitte mit Rinde (mm)],MATCH(Tabelle8[[#This Row],[Rank]],Stammdaten[Rank Verteilung D Mitte mit Rinde],0))</f>
        <v>#N/A</v>
      </c>
      <c r="G1546" t="e">
        <f>VLOOKUP(Tabelle8[[#This Row],[Rank]],Stammdaten[[Rank Verteilung D Mitte mit Rinde]:[Verteilung D Mitte mit Rinde]],2,FALSE)</f>
        <v>#N/A</v>
      </c>
      <c r="L1546">
        <v>1537</v>
      </c>
      <c r="M1546" t="e">
        <f>INDEX(Stammdaten[Abholzigkeit (mm/lfm)],MATCH(Tabelle9[[#This Row],[Rank]],Stammdaten[Rank Verteilung Abholzigkeit],0))</f>
        <v>#N/A</v>
      </c>
      <c r="N1546" t="e">
        <f>VLOOKUP(Tabelle9[[#This Row],[Rank]],Stammdaten[[Rank Verteilung Abholzigkeit]:[Verteilung Abholzigkeit]],2,FALSE)</f>
        <v>#N/A</v>
      </c>
      <c r="S1546">
        <v>1537</v>
      </c>
      <c r="T1546" t="e">
        <f>INDEX(Stammdaten[Krümmung (mm/lfm)],MATCH(Tabelle10[[#This Row],[Rank]],Stammdaten[Rank Verteilung Krümmung],0))</f>
        <v>#N/A</v>
      </c>
      <c r="U1546" t="e">
        <f>VLOOKUP(Tabelle10[[#This Row],[Rank]],Stammdaten[[Rank Verteilung Krümmung]:[Verteilung Krümmung]],2,FALSE)</f>
        <v>#N/A</v>
      </c>
      <c r="Z1546">
        <v>1537</v>
      </c>
      <c r="AA1546" t="e">
        <f>INDEX(Stammdaten[Ovalität (']0,1'])],MATCH(Tabelle1014[[#This Row],[Rank]],Stammdaten[Rank Verteilung Ovalität],0))</f>
        <v>#N/A</v>
      </c>
      <c r="AB1546" t="e">
        <f>VLOOKUP(Tabelle1014[[#This Row],[Rank]],Stammdaten[[Rank Verteilung Ovalität]:[Verteilung Ovalität]],2,FALSE)</f>
        <v>#N/A</v>
      </c>
    </row>
    <row r="1547" spans="5:28" x14ac:dyDescent="0.35">
      <c r="E1547">
        <v>1538</v>
      </c>
      <c r="F1547" t="e">
        <f>INDEX(Stammdaten[D Mitte mit Rinde (mm)],MATCH(Tabelle8[[#This Row],[Rank]],Stammdaten[Rank Verteilung D Mitte mit Rinde],0))</f>
        <v>#N/A</v>
      </c>
      <c r="G1547" t="e">
        <f>VLOOKUP(Tabelle8[[#This Row],[Rank]],Stammdaten[[Rank Verteilung D Mitte mit Rinde]:[Verteilung D Mitte mit Rinde]],2,FALSE)</f>
        <v>#N/A</v>
      </c>
      <c r="L1547">
        <v>1538</v>
      </c>
      <c r="M1547" t="e">
        <f>INDEX(Stammdaten[Abholzigkeit (mm/lfm)],MATCH(Tabelle9[[#This Row],[Rank]],Stammdaten[Rank Verteilung Abholzigkeit],0))</f>
        <v>#N/A</v>
      </c>
      <c r="N1547" t="e">
        <f>VLOOKUP(Tabelle9[[#This Row],[Rank]],Stammdaten[[Rank Verteilung Abholzigkeit]:[Verteilung Abholzigkeit]],2,FALSE)</f>
        <v>#N/A</v>
      </c>
      <c r="S1547">
        <v>1538</v>
      </c>
      <c r="T1547" t="e">
        <f>INDEX(Stammdaten[Krümmung (mm/lfm)],MATCH(Tabelle10[[#This Row],[Rank]],Stammdaten[Rank Verteilung Krümmung],0))</f>
        <v>#N/A</v>
      </c>
      <c r="U1547" t="e">
        <f>VLOOKUP(Tabelle10[[#This Row],[Rank]],Stammdaten[[Rank Verteilung Krümmung]:[Verteilung Krümmung]],2,FALSE)</f>
        <v>#N/A</v>
      </c>
      <c r="Z1547">
        <v>1538</v>
      </c>
      <c r="AA1547" t="e">
        <f>INDEX(Stammdaten[Ovalität (']0,1'])],MATCH(Tabelle1014[[#This Row],[Rank]],Stammdaten[Rank Verteilung Ovalität],0))</f>
        <v>#N/A</v>
      </c>
      <c r="AB1547" t="e">
        <f>VLOOKUP(Tabelle1014[[#This Row],[Rank]],Stammdaten[[Rank Verteilung Ovalität]:[Verteilung Ovalität]],2,FALSE)</f>
        <v>#N/A</v>
      </c>
    </row>
    <row r="1548" spans="5:28" x14ac:dyDescent="0.35">
      <c r="E1548">
        <v>1539</v>
      </c>
      <c r="F1548" t="e">
        <f>INDEX(Stammdaten[D Mitte mit Rinde (mm)],MATCH(Tabelle8[[#This Row],[Rank]],Stammdaten[Rank Verteilung D Mitte mit Rinde],0))</f>
        <v>#N/A</v>
      </c>
      <c r="G1548" t="e">
        <f>VLOOKUP(Tabelle8[[#This Row],[Rank]],Stammdaten[[Rank Verteilung D Mitte mit Rinde]:[Verteilung D Mitte mit Rinde]],2,FALSE)</f>
        <v>#N/A</v>
      </c>
      <c r="L1548">
        <v>1539</v>
      </c>
      <c r="M1548" t="e">
        <f>INDEX(Stammdaten[Abholzigkeit (mm/lfm)],MATCH(Tabelle9[[#This Row],[Rank]],Stammdaten[Rank Verteilung Abholzigkeit],0))</f>
        <v>#N/A</v>
      </c>
      <c r="N1548" t="e">
        <f>VLOOKUP(Tabelle9[[#This Row],[Rank]],Stammdaten[[Rank Verteilung Abholzigkeit]:[Verteilung Abholzigkeit]],2,FALSE)</f>
        <v>#N/A</v>
      </c>
      <c r="S1548">
        <v>1539</v>
      </c>
      <c r="T1548" t="e">
        <f>INDEX(Stammdaten[Krümmung (mm/lfm)],MATCH(Tabelle10[[#This Row],[Rank]],Stammdaten[Rank Verteilung Krümmung],0))</f>
        <v>#N/A</v>
      </c>
      <c r="U1548" t="e">
        <f>VLOOKUP(Tabelle10[[#This Row],[Rank]],Stammdaten[[Rank Verteilung Krümmung]:[Verteilung Krümmung]],2,FALSE)</f>
        <v>#N/A</v>
      </c>
      <c r="Z1548">
        <v>1539</v>
      </c>
      <c r="AA1548" t="e">
        <f>INDEX(Stammdaten[Ovalität (']0,1'])],MATCH(Tabelle1014[[#This Row],[Rank]],Stammdaten[Rank Verteilung Ovalität],0))</f>
        <v>#N/A</v>
      </c>
      <c r="AB1548" t="e">
        <f>VLOOKUP(Tabelle1014[[#This Row],[Rank]],Stammdaten[[Rank Verteilung Ovalität]:[Verteilung Ovalität]],2,FALSE)</f>
        <v>#N/A</v>
      </c>
    </row>
    <row r="1549" spans="5:28" x14ac:dyDescent="0.35">
      <c r="E1549">
        <v>1540</v>
      </c>
      <c r="F1549" t="e">
        <f>INDEX(Stammdaten[D Mitte mit Rinde (mm)],MATCH(Tabelle8[[#This Row],[Rank]],Stammdaten[Rank Verteilung D Mitte mit Rinde],0))</f>
        <v>#N/A</v>
      </c>
      <c r="G1549" t="e">
        <f>VLOOKUP(Tabelle8[[#This Row],[Rank]],Stammdaten[[Rank Verteilung D Mitte mit Rinde]:[Verteilung D Mitte mit Rinde]],2,FALSE)</f>
        <v>#N/A</v>
      </c>
      <c r="L1549">
        <v>1540</v>
      </c>
      <c r="M1549" t="e">
        <f>INDEX(Stammdaten[Abholzigkeit (mm/lfm)],MATCH(Tabelle9[[#This Row],[Rank]],Stammdaten[Rank Verteilung Abholzigkeit],0))</f>
        <v>#N/A</v>
      </c>
      <c r="N1549" t="e">
        <f>VLOOKUP(Tabelle9[[#This Row],[Rank]],Stammdaten[[Rank Verteilung Abholzigkeit]:[Verteilung Abholzigkeit]],2,FALSE)</f>
        <v>#N/A</v>
      </c>
      <c r="S1549">
        <v>1540</v>
      </c>
      <c r="T1549" t="e">
        <f>INDEX(Stammdaten[Krümmung (mm/lfm)],MATCH(Tabelle10[[#This Row],[Rank]],Stammdaten[Rank Verteilung Krümmung],0))</f>
        <v>#N/A</v>
      </c>
      <c r="U1549" t="e">
        <f>VLOOKUP(Tabelle10[[#This Row],[Rank]],Stammdaten[[Rank Verteilung Krümmung]:[Verteilung Krümmung]],2,FALSE)</f>
        <v>#N/A</v>
      </c>
      <c r="Z1549">
        <v>1540</v>
      </c>
      <c r="AA1549" t="e">
        <f>INDEX(Stammdaten[Ovalität (']0,1'])],MATCH(Tabelle1014[[#This Row],[Rank]],Stammdaten[Rank Verteilung Ovalität],0))</f>
        <v>#N/A</v>
      </c>
      <c r="AB1549" t="e">
        <f>VLOOKUP(Tabelle1014[[#This Row],[Rank]],Stammdaten[[Rank Verteilung Ovalität]:[Verteilung Ovalität]],2,FALSE)</f>
        <v>#N/A</v>
      </c>
    </row>
    <row r="1550" spans="5:28" x14ac:dyDescent="0.35">
      <c r="E1550">
        <v>1541</v>
      </c>
      <c r="F1550" t="e">
        <f>INDEX(Stammdaten[D Mitte mit Rinde (mm)],MATCH(Tabelle8[[#This Row],[Rank]],Stammdaten[Rank Verteilung D Mitte mit Rinde],0))</f>
        <v>#N/A</v>
      </c>
      <c r="G1550" t="e">
        <f>VLOOKUP(Tabelle8[[#This Row],[Rank]],Stammdaten[[Rank Verteilung D Mitte mit Rinde]:[Verteilung D Mitte mit Rinde]],2,FALSE)</f>
        <v>#N/A</v>
      </c>
      <c r="L1550">
        <v>1541</v>
      </c>
      <c r="M1550" t="e">
        <f>INDEX(Stammdaten[Abholzigkeit (mm/lfm)],MATCH(Tabelle9[[#This Row],[Rank]],Stammdaten[Rank Verteilung Abholzigkeit],0))</f>
        <v>#N/A</v>
      </c>
      <c r="N1550" t="e">
        <f>VLOOKUP(Tabelle9[[#This Row],[Rank]],Stammdaten[[Rank Verteilung Abholzigkeit]:[Verteilung Abholzigkeit]],2,FALSE)</f>
        <v>#N/A</v>
      </c>
      <c r="S1550">
        <v>1541</v>
      </c>
      <c r="T1550" t="e">
        <f>INDEX(Stammdaten[Krümmung (mm/lfm)],MATCH(Tabelle10[[#This Row],[Rank]],Stammdaten[Rank Verteilung Krümmung],0))</f>
        <v>#N/A</v>
      </c>
      <c r="U1550" t="e">
        <f>VLOOKUP(Tabelle10[[#This Row],[Rank]],Stammdaten[[Rank Verteilung Krümmung]:[Verteilung Krümmung]],2,FALSE)</f>
        <v>#N/A</v>
      </c>
      <c r="Z1550">
        <v>1541</v>
      </c>
      <c r="AA1550" t="e">
        <f>INDEX(Stammdaten[Ovalität (']0,1'])],MATCH(Tabelle1014[[#This Row],[Rank]],Stammdaten[Rank Verteilung Ovalität],0))</f>
        <v>#N/A</v>
      </c>
      <c r="AB1550" t="e">
        <f>VLOOKUP(Tabelle1014[[#This Row],[Rank]],Stammdaten[[Rank Verteilung Ovalität]:[Verteilung Ovalität]],2,FALSE)</f>
        <v>#N/A</v>
      </c>
    </row>
    <row r="1551" spans="5:28" x14ac:dyDescent="0.35">
      <c r="E1551">
        <v>1542</v>
      </c>
      <c r="F1551" t="e">
        <f>INDEX(Stammdaten[D Mitte mit Rinde (mm)],MATCH(Tabelle8[[#This Row],[Rank]],Stammdaten[Rank Verteilung D Mitte mit Rinde],0))</f>
        <v>#N/A</v>
      </c>
      <c r="G1551" t="e">
        <f>VLOOKUP(Tabelle8[[#This Row],[Rank]],Stammdaten[[Rank Verteilung D Mitte mit Rinde]:[Verteilung D Mitte mit Rinde]],2,FALSE)</f>
        <v>#N/A</v>
      </c>
      <c r="L1551">
        <v>1542</v>
      </c>
      <c r="M1551" t="e">
        <f>INDEX(Stammdaten[Abholzigkeit (mm/lfm)],MATCH(Tabelle9[[#This Row],[Rank]],Stammdaten[Rank Verteilung Abholzigkeit],0))</f>
        <v>#N/A</v>
      </c>
      <c r="N1551" t="e">
        <f>VLOOKUP(Tabelle9[[#This Row],[Rank]],Stammdaten[[Rank Verteilung Abholzigkeit]:[Verteilung Abholzigkeit]],2,FALSE)</f>
        <v>#N/A</v>
      </c>
      <c r="S1551">
        <v>1542</v>
      </c>
      <c r="T1551" t="e">
        <f>INDEX(Stammdaten[Krümmung (mm/lfm)],MATCH(Tabelle10[[#This Row],[Rank]],Stammdaten[Rank Verteilung Krümmung],0))</f>
        <v>#N/A</v>
      </c>
      <c r="U1551" t="e">
        <f>VLOOKUP(Tabelle10[[#This Row],[Rank]],Stammdaten[[Rank Verteilung Krümmung]:[Verteilung Krümmung]],2,FALSE)</f>
        <v>#N/A</v>
      </c>
      <c r="Z1551">
        <v>1542</v>
      </c>
      <c r="AA1551" t="e">
        <f>INDEX(Stammdaten[Ovalität (']0,1'])],MATCH(Tabelle1014[[#This Row],[Rank]],Stammdaten[Rank Verteilung Ovalität],0))</f>
        <v>#N/A</v>
      </c>
      <c r="AB1551" t="e">
        <f>VLOOKUP(Tabelle1014[[#This Row],[Rank]],Stammdaten[[Rank Verteilung Ovalität]:[Verteilung Ovalität]],2,FALSE)</f>
        <v>#N/A</v>
      </c>
    </row>
    <row r="1552" spans="5:28" x14ac:dyDescent="0.35">
      <c r="E1552">
        <v>1543</v>
      </c>
      <c r="F1552" t="e">
        <f>INDEX(Stammdaten[D Mitte mit Rinde (mm)],MATCH(Tabelle8[[#This Row],[Rank]],Stammdaten[Rank Verteilung D Mitte mit Rinde],0))</f>
        <v>#N/A</v>
      </c>
      <c r="G1552" t="e">
        <f>VLOOKUP(Tabelle8[[#This Row],[Rank]],Stammdaten[[Rank Verteilung D Mitte mit Rinde]:[Verteilung D Mitte mit Rinde]],2,FALSE)</f>
        <v>#N/A</v>
      </c>
      <c r="L1552">
        <v>1543</v>
      </c>
      <c r="M1552" t="e">
        <f>INDEX(Stammdaten[Abholzigkeit (mm/lfm)],MATCH(Tabelle9[[#This Row],[Rank]],Stammdaten[Rank Verteilung Abholzigkeit],0))</f>
        <v>#N/A</v>
      </c>
      <c r="N1552" t="e">
        <f>VLOOKUP(Tabelle9[[#This Row],[Rank]],Stammdaten[[Rank Verteilung Abholzigkeit]:[Verteilung Abholzigkeit]],2,FALSE)</f>
        <v>#N/A</v>
      </c>
      <c r="S1552">
        <v>1543</v>
      </c>
      <c r="T1552" t="e">
        <f>INDEX(Stammdaten[Krümmung (mm/lfm)],MATCH(Tabelle10[[#This Row],[Rank]],Stammdaten[Rank Verteilung Krümmung],0))</f>
        <v>#N/A</v>
      </c>
      <c r="U1552" t="e">
        <f>VLOOKUP(Tabelle10[[#This Row],[Rank]],Stammdaten[[Rank Verteilung Krümmung]:[Verteilung Krümmung]],2,FALSE)</f>
        <v>#N/A</v>
      </c>
      <c r="Z1552">
        <v>1543</v>
      </c>
      <c r="AA1552" t="e">
        <f>INDEX(Stammdaten[Ovalität (']0,1'])],MATCH(Tabelle1014[[#This Row],[Rank]],Stammdaten[Rank Verteilung Ovalität],0))</f>
        <v>#N/A</v>
      </c>
      <c r="AB1552" t="e">
        <f>VLOOKUP(Tabelle1014[[#This Row],[Rank]],Stammdaten[[Rank Verteilung Ovalität]:[Verteilung Ovalität]],2,FALSE)</f>
        <v>#N/A</v>
      </c>
    </row>
    <row r="1553" spans="5:28" x14ac:dyDescent="0.35">
      <c r="E1553">
        <v>1544</v>
      </c>
      <c r="F1553" t="e">
        <f>INDEX(Stammdaten[D Mitte mit Rinde (mm)],MATCH(Tabelle8[[#This Row],[Rank]],Stammdaten[Rank Verteilung D Mitte mit Rinde],0))</f>
        <v>#N/A</v>
      </c>
      <c r="G1553" t="e">
        <f>VLOOKUP(Tabelle8[[#This Row],[Rank]],Stammdaten[[Rank Verteilung D Mitte mit Rinde]:[Verteilung D Mitte mit Rinde]],2,FALSE)</f>
        <v>#N/A</v>
      </c>
      <c r="L1553">
        <v>1544</v>
      </c>
      <c r="M1553" t="e">
        <f>INDEX(Stammdaten[Abholzigkeit (mm/lfm)],MATCH(Tabelle9[[#This Row],[Rank]],Stammdaten[Rank Verteilung Abholzigkeit],0))</f>
        <v>#N/A</v>
      </c>
      <c r="N1553" t="e">
        <f>VLOOKUP(Tabelle9[[#This Row],[Rank]],Stammdaten[[Rank Verteilung Abholzigkeit]:[Verteilung Abholzigkeit]],2,FALSE)</f>
        <v>#N/A</v>
      </c>
      <c r="S1553">
        <v>1544</v>
      </c>
      <c r="T1553" t="e">
        <f>INDEX(Stammdaten[Krümmung (mm/lfm)],MATCH(Tabelle10[[#This Row],[Rank]],Stammdaten[Rank Verteilung Krümmung],0))</f>
        <v>#N/A</v>
      </c>
      <c r="U1553" t="e">
        <f>VLOOKUP(Tabelle10[[#This Row],[Rank]],Stammdaten[[Rank Verteilung Krümmung]:[Verteilung Krümmung]],2,FALSE)</f>
        <v>#N/A</v>
      </c>
      <c r="Z1553">
        <v>1544</v>
      </c>
      <c r="AA1553" t="e">
        <f>INDEX(Stammdaten[Ovalität (']0,1'])],MATCH(Tabelle1014[[#This Row],[Rank]],Stammdaten[Rank Verteilung Ovalität],0))</f>
        <v>#N/A</v>
      </c>
      <c r="AB1553" t="e">
        <f>VLOOKUP(Tabelle1014[[#This Row],[Rank]],Stammdaten[[Rank Verteilung Ovalität]:[Verteilung Ovalität]],2,FALSE)</f>
        <v>#N/A</v>
      </c>
    </row>
    <row r="1554" spans="5:28" x14ac:dyDescent="0.35">
      <c r="E1554">
        <v>1545</v>
      </c>
      <c r="F1554" t="e">
        <f>INDEX(Stammdaten[D Mitte mit Rinde (mm)],MATCH(Tabelle8[[#This Row],[Rank]],Stammdaten[Rank Verteilung D Mitte mit Rinde],0))</f>
        <v>#N/A</v>
      </c>
      <c r="G1554" t="e">
        <f>VLOOKUP(Tabelle8[[#This Row],[Rank]],Stammdaten[[Rank Verteilung D Mitte mit Rinde]:[Verteilung D Mitte mit Rinde]],2,FALSE)</f>
        <v>#N/A</v>
      </c>
      <c r="L1554">
        <v>1545</v>
      </c>
      <c r="M1554" t="e">
        <f>INDEX(Stammdaten[Abholzigkeit (mm/lfm)],MATCH(Tabelle9[[#This Row],[Rank]],Stammdaten[Rank Verteilung Abholzigkeit],0))</f>
        <v>#N/A</v>
      </c>
      <c r="N1554" t="e">
        <f>VLOOKUP(Tabelle9[[#This Row],[Rank]],Stammdaten[[Rank Verteilung Abholzigkeit]:[Verteilung Abholzigkeit]],2,FALSE)</f>
        <v>#N/A</v>
      </c>
      <c r="S1554">
        <v>1545</v>
      </c>
      <c r="T1554" t="e">
        <f>INDEX(Stammdaten[Krümmung (mm/lfm)],MATCH(Tabelle10[[#This Row],[Rank]],Stammdaten[Rank Verteilung Krümmung],0))</f>
        <v>#N/A</v>
      </c>
      <c r="U1554" t="e">
        <f>VLOOKUP(Tabelle10[[#This Row],[Rank]],Stammdaten[[Rank Verteilung Krümmung]:[Verteilung Krümmung]],2,FALSE)</f>
        <v>#N/A</v>
      </c>
      <c r="Z1554">
        <v>1545</v>
      </c>
      <c r="AA1554" t="e">
        <f>INDEX(Stammdaten[Ovalität (']0,1'])],MATCH(Tabelle1014[[#This Row],[Rank]],Stammdaten[Rank Verteilung Ovalität],0))</f>
        <v>#N/A</v>
      </c>
      <c r="AB1554" t="e">
        <f>VLOOKUP(Tabelle1014[[#This Row],[Rank]],Stammdaten[[Rank Verteilung Ovalität]:[Verteilung Ovalität]],2,FALSE)</f>
        <v>#N/A</v>
      </c>
    </row>
    <row r="1555" spans="5:28" x14ac:dyDescent="0.35">
      <c r="E1555">
        <v>1546</v>
      </c>
      <c r="F1555" t="e">
        <f>INDEX(Stammdaten[D Mitte mit Rinde (mm)],MATCH(Tabelle8[[#This Row],[Rank]],Stammdaten[Rank Verteilung D Mitte mit Rinde],0))</f>
        <v>#N/A</v>
      </c>
      <c r="G1555" t="e">
        <f>VLOOKUP(Tabelle8[[#This Row],[Rank]],Stammdaten[[Rank Verteilung D Mitte mit Rinde]:[Verteilung D Mitte mit Rinde]],2,FALSE)</f>
        <v>#N/A</v>
      </c>
      <c r="L1555">
        <v>1546</v>
      </c>
      <c r="M1555" t="e">
        <f>INDEX(Stammdaten[Abholzigkeit (mm/lfm)],MATCH(Tabelle9[[#This Row],[Rank]],Stammdaten[Rank Verteilung Abholzigkeit],0))</f>
        <v>#N/A</v>
      </c>
      <c r="N1555" t="e">
        <f>VLOOKUP(Tabelle9[[#This Row],[Rank]],Stammdaten[[Rank Verteilung Abholzigkeit]:[Verteilung Abholzigkeit]],2,FALSE)</f>
        <v>#N/A</v>
      </c>
      <c r="S1555">
        <v>1546</v>
      </c>
      <c r="T1555" t="e">
        <f>INDEX(Stammdaten[Krümmung (mm/lfm)],MATCH(Tabelle10[[#This Row],[Rank]],Stammdaten[Rank Verteilung Krümmung],0))</f>
        <v>#N/A</v>
      </c>
      <c r="U1555" t="e">
        <f>VLOOKUP(Tabelle10[[#This Row],[Rank]],Stammdaten[[Rank Verteilung Krümmung]:[Verteilung Krümmung]],2,FALSE)</f>
        <v>#N/A</v>
      </c>
      <c r="Z1555">
        <v>1546</v>
      </c>
      <c r="AA1555" t="e">
        <f>INDEX(Stammdaten[Ovalität (']0,1'])],MATCH(Tabelle1014[[#This Row],[Rank]],Stammdaten[Rank Verteilung Ovalität],0))</f>
        <v>#N/A</v>
      </c>
      <c r="AB1555" t="e">
        <f>VLOOKUP(Tabelle1014[[#This Row],[Rank]],Stammdaten[[Rank Verteilung Ovalität]:[Verteilung Ovalität]],2,FALSE)</f>
        <v>#N/A</v>
      </c>
    </row>
    <row r="1556" spans="5:28" x14ac:dyDescent="0.35">
      <c r="E1556">
        <v>1547</v>
      </c>
      <c r="F1556" t="e">
        <f>INDEX(Stammdaten[D Mitte mit Rinde (mm)],MATCH(Tabelle8[[#This Row],[Rank]],Stammdaten[Rank Verteilung D Mitte mit Rinde],0))</f>
        <v>#N/A</v>
      </c>
      <c r="G1556" t="e">
        <f>VLOOKUP(Tabelle8[[#This Row],[Rank]],Stammdaten[[Rank Verteilung D Mitte mit Rinde]:[Verteilung D Mitte mit Rinde]],2,FALSE)</f>
        <v>#N/A</v>
      </c>
      <c r="L1556">
        <v>1547</v>
      </c>
      <c r="M1556" t="e">
        <f>INDEX(Stammdaten[Abholzigkeit (mm/lfm)],MATCH(Tabelle9[[#This Row],[Rank]],Stammdaten[Rank Verteilung Abholzigkeit],0))</f>
        <v>#N/A</v>
      </c>
      <c r="N1556" t="e">
        <f>VLOOKUP(Tabelle9[[#This Row],[Rank]],Stammdaten[[Rank Verteilung Abholzigkeit]:[Verteilung Abholzigkeit]],2,FALSE)</f>
        <v>#N/A</v>
      </c>
      <c r="S1556">
        <v>1547</v>
      </c>
      <c r="T1556" t="e">
        <f>INDEX(Stammdaten[Krümmung (mm/lfm)],MATCH(Tabelle10[[#This Row],[Rank]],Stammdaten[Rank Verteilung Krümmung],0))</f>
        <v>#N/A</v>
      </c>
      <c r="U1556" t="e">
        <f>VLOOKUP(Tabelle10[[#This Row],[Rank]],Stammdaten[[Rank Verteilung Krümmung]:[Verteilung Krümmung]],2,FALSE)</f>
        <v>#N/A</v>
      </c>
      <c r="Z1556">
        <v>1547</v>
      </c>
      <c r="AA1556" t="e">
        <f>INDEX(Stammdaten[Ovalität (']0,1'])],MATCH(Tabelle1014[[#This Row],[Rank]],Stammdaten[Rank Verteilung Ovalität],0))</f>
        <v>#N/A</v>
      </c>
      <c r="AB1556" t="e">
        <f>VLOOKUP(Tabelle1014[[#This Row],[Rank]],Stammdaten[[Rank Verteilung Ovalität]:[Verteilung Ovalität]],2,FALSE)</f>
        <v>#N/A</v>
      </c>
    </row>
    <row r="1557" spans="5:28" x14ac:dyDescent="0.35">
      <c r="E1557">
        <v>1548</v>
      </c>
      <c r="F1557" t="e">
        <f>INDEX(Stammdaten[D Mitte mit Rinde (mm)],MATCH(Tabelle8[[#This Row],[Rank]],Stammdaten[Rank Verteilung D Mitte mit Rinde],0))</f>
        <v>#N/A</v>
      </c>
      <c r="G1557" t="e">
        <f>VLOOKUP(Tabelle8[[#This Row],[Rank]],Stammdaten[[Rank Verteilung D Mitte mit Rinde]:[Verteilung D Mitte mit Rinde]],2,FALSE)</f>
        <v>#N/A</v>
      </c>
      <c r="L1557">
        <v>1548</v>
      </c>
      <c r="M1557" t="e">
        <f>INDEX(Stammdaten[Abholzigkeit (mm/lfm)],MATCH(Tabelle9[[#This Row],[Rank]],Stammdaten[Rank Verteilung Abholzigkeit],0))</f>
        <v>#N/A</v>
      </c>
      <c r="N1557" t="e">
        <f>VLOOKUP(Tabelle9[[#This Row],[Rank]],Stammdaten[[Rank Verteilung Abholzigkeit]:[Verteilung Abholzigkeit]],2,FALSE)</f>
        <v>#N/A</v>
      </c>
      <c r="S1557">
        <v>1548</v>
      </c>
      <c r="T1557" t="e">
        <f>INDEX(Stammdaten[Krümmung (mm/lfm)],MATCH(Tabelle10[[#This Row],[Rank]],Stammdaten[Rank Verteilung Krümmung],0))</f>
        <v>#N/A</v>
      </c>
      <c r="U1557" t="e">
        <f>VLOOKUP(Tabelle10[[#This Row],[Rank]],Stammdaten[[Rank Verteilung Krümmung]:[Verteilung Krümmung]],2,FALSE)</f>
        <v>#N/A</v>
      </c>
      <c r="Z1557">
        <v>1548</v>
      </c>
      <c r="AA1557" t="e">
        <f>INDEX(Stammdaten[Ovalität (']0,1'])],MATCH(Tabelle1014[[#This Row],[Rank]],Stammdaten[Rank Verteilung Ovalität],0))</f>
        <v>#N/A</v>
      </c>
      <c r="AB1557" t="e">
        <f>VLOOKUP(Tabelle1014[[#This Row],[Rank]],Stammdaten[[Rank Verteilung Ovalität]:[Verteilung Ovalität]],2,FALSE)</f>
        <v>#N/A</v>
      </c>
    </row>
    <row r="1558" spans="5:28" x14ac:dyDescent="0.35">
      <c r="E1558">
        <v>1549</v>
      </c>
      <c r="F1558" t="e">
        <f>INDEX(Stammdaten[D Mitte mit Rinde (mm)],MATCH(Tabelle8[[#This Row],[Rank]],Stammdaten[Rank Verteilung D Mitte mit Rinde],0))</f>
        <v>#N/A</v>
      </c>
      <c r="G1558" t="e">
        <f>VLOOKUP(Tabelle8[[#This Row],[Rank]],Stammdaten[[Rank Verteilung D Mitte mit Rinde]:[Verteilung D Mitte mit Rinde]],2,FALSE)</f>
        <v>#N/A</v>
      </c>
      <c r="L1558">
        <v>1549</v>
      </c>
      <c r="M1558" t="e">
        <f>INDEX(Stammdaten[Abholzigkeit (mm/lfm)],MATCH(Tabelle9[[#This Row],[Rank]],Stammdaten[Rank Verteilung Abholzigkeit],0))</f>
        <v>#N/A</v>
      </c>
      <c r="N1558" t="e">
        <f>VLOOKUP(Tabelle9[[#This Row],[Rank]],Stammdaten[[Rank Verteilung Abholzigkeit]:[Verteilung Abholzigkeit]],2,FALSE)</f>
        <v>#N/A</v>
      </c>
      <c r="S1558">
        <v>1549</v>
      </c>
      <c r="T1558" t="e">
        <f>INDEX(Stammdaten[Krümmung (mm/lfm)],MATCH(Tabelle10[[#This Row],[Rank]],Stammdaten[Rank Verteilung Krümmung],0))</f>
        <v>#N/A</v>
      </c>
      <c r="U1558" t="e">
        <f>VLOOKUP(Tabelle10[[#This Row],[Rank]],Stammdaten[[Rank Verteilung Krümmung]:[Verteilung Krümmung]],2,FALSE)</f>
        <v>#N/A</v>
      </c>
      <c r="Z1558">
        <v>1549</v>
      </c>
      <c r="AA1558" t="e">
        <f>INDEX(Stammdaten[Ovalität (']0,1'])],MATCH(Tabelle1014[[#This Row],[Rank]],Stammdaten[Rank Verteilung Ovalität],0))</f>
        <v>#N/A</v>
      </c>
      <c r="AB1558" t="e">
        <f>VLOOKUP(Tabelle1014[[#This Row],[Rank]],Stammdaten[[Rank Verteilung Ovalität]:[Verteilung Ovalität]],2,FALSE)</f>
        <v>#N/A</v>
      </c>
    </row>
    <row r="1559" spans="5:28" x14ac:dyDescent="0.35">
      <c r="E1559">
        <v>1550</v>
      </c>
      <c r="F1559" t="e">
        <f>INDEX(Stammdaten[D Mitte mit Rinde (mm)],MATCH(Tabelle8[[#This Row],[Rank]],Stammdaten[Rank Verteilung D Mitte mit Rinde],0))</f>
        <v>#N/A</v>
      </c>
      <c r="G1559" t="e">
        <f>VLOOKUP(Tabelle8[[#This Row],[Rank]],Stammdaten[[Rank Verteilung D Mitte mit Rinde]:[Verteilung D Mitte mit Rinde]],2,FALSE)</f>
        <v>#N/A</v>
      </c>
      <c r="L1559">
        <v>1550</v>
      </c>
      <c r="M1559" t="e">
        <f>INDEX(Stammdaten[Abholzigkeit (mm/lfm)],MATCH(Tabelle9[[#This Row],[Rank]],Stammdaten[Rank Verteilung Abholzigkeit],0))</f>
        <v>#N/A</v>
      </c>
      <c r="N1559" t="e">
        <f>VLOOKUP(Tabelle9[[#This Row],[Rank]],Stammdaten[[Rank Verteilung Abholzigkeit]:[Verteilung Abholzigkeit]],2,FALSE)</f>
        <v>#N/A</v>
      </c>
      <c r="S1559">
        <v>1550</v>
      </c>
      <c r="T1559" t="e">
        <f>INDEX(Stammdaten[Krümmung (mm/lfm)],MATCH(Tabelle10[[#This Row],[Rank]],Stammdaten[Rank Verteilung Krümmung],0))</f>
        <v>#N/A</v>
      </c>
      <c r="U1559" t="e">
        <f>VLOOKUP(Tabelle10[[#This Row],[Rank]],Stammdaten[[Rank Verteilung Krümmung]:[Verteilung Krümmung]],2,FALSE)</f>
        <v>#N/A</v>
      </c>
      <c r="Z1559">
        <v>1550</v>
      </c>
      <c r="AA1559" t="e">
        <f>INDEX(Stammdaten[Ovalität (']0,1'])],MATCH(Tabelle1014[[#This Row],[Rank]],Stammdaten[Rank Verteilung Ovalität],0))</f>
        <v>#N/A</v>
      </c>
      <c r="AB1559" t="e">
        <f>VLOOKUP(Tabelle1014[[#This Row],[Rank]],Stammdaten[[Rank Verteilung Ovalität]:[Verteilung Ovalität]],2,FALSE)</f>
        <v>#N/A</v>
      </c>
    </row>
    <row r="1560" spans="5:28" x14ac:dyDescent="0.35">
      <c r="E1560">
        <v>1551</v>
      </c>
      <c r="F1560" t="e">
        <f>INDEX(Stammdaten[D Mitte mit Rinde (mm)],MATCH(Tabelle8[[#This Row],[Rank]],Stammdaten[Rank Verteilung D Mitte mit Rinde],0))</f>
        <v>#N/A</v>
      </c>
      <c r="G1560" t="e">
        <f>VLOOKUP(Tabelle8[[#This Row],[Rank]],Stammdaten[[Rank Verteilung D Mitte mit Rinde]:[Verteilung D Mitte mit Rinde]],2,FALSE)</f>
        <v>#N/A</v>
      </c>
      <c r="L1560">
        <v>1551</v>
      </c>
      <c r="M1560" t="e">
        <f>INDEX(Stammdaten[Abholzigkeit (mm/lfm)],MATCH(Tabelle9[[#This Row],[Rank]],Stammdaten[Rank Verteilung Abholzigkeit],0))</f>
        <v>#N/A</v>
      </c>
      <c r="N1560" t="e">
        <f>VLOOKUP(Tabelle9[[#This Row],[Rank]],Stammdaten[[Rank Verteilung Abholzigkeit]:[Verteilung Abholzigkeit]],2,FALSE)</f>
        <v>#N/A</v>
      </c>
      <c r="S1560">
        <v>1551</v>
      </c>
      <c r="T1560" t="e">
        <f>INDEX(Stammdaten[Krümmung (mm/lfm)],MATCH(Tabelle10[[#This Row],[Rank]],Stammdaten[Rank Verteilung Krümmung],0))</f>
        <v>#N/A</v>
      </c>
      <c r="U1560" t="e">
        <f>VLOOKUP(Tabelle10[[#This Row],[Rank]],Stammdaten[[Rank Verteilung Krümmung]:[Verteilung Krümmung]],2,FALSE)</f>
        <v>#N/A</v>
      </c>
      <c r="Z1560">
        <v>1551</v>
      </c>
      <c r="AA1560" t="e">
        <f>INDEX(Stammdaten[Ovalität (']0,1'])],MATCH(Tabelle1014[[#This Row],[Rank]],Stammdaten[Rank Verteilung Ovalität],0))</f>
        <v>#N/A</v>
      </c>
      <c r="AB1560" t="e">
        <f>VLOOKUP(Tabelle1014[[#This Row],[Rank]],Stammdaten[[Rank Verteilung Ovalität]:[Verteilung Ovalität]],2,FALSE)</f>
        <v>#N/A</v>
      </c>
    </row>
    <row r="1561" spans="5:28" x14ac:dyDescent="0.35">
      <c r="E1561">
        <v>1552</v>
      </c>
      <c r="F1561" t="e">
        <f>INDEX(Stammdaten[D Mitte mit Rinde (mm)],MATCH(Tabelle8[[#This Row],[Rank]],Stammdaten[Rank Verteilung D Mitte mit Rinde],0))</f>
        <v>#N/A</v>
      </c>
      <c r="G1561" t="e">
        <f>VLOOKUP(Tabelle8[[#This Row],[Rank]],Stammdaten[[Rank Verteilung D Mitte mit Rinde]:[Verteilung D Mitte mit Rinde]],2,FALSE)</f>
        <v>#N/A</v>
      </c>
      <c r="L1561">
        <v>1552</v>
      </c>
      <c r="M1561" t="e">
        <f>INDEX(Stammdaten[Abholzigkeit (mm/lfm)],MATCH(Tabelle9[[#This Row],[Rank]],Stammdaten[Rank Verteilung Abholzigkeit],0))</f>
        <v>#N/A</v>
      </c>
      <c r="N1561" t="e">
        <f>VLOOKUP(Tabelle9[[#This Row],[Rank]],Stammdaten[[Rank Verteilung Abholzigkeit]:[Verteilung Abholzigkeit]],2,FALSE)</f>
        <v>#N/A</v>
      </c>
      <c r="S1561">
        <v>1552</v>
      </c>
      <c r="T1561" t="e">
        <f>INDEX(Stammdaten[Krümmung (mm/lfm)],MATCH(Tabelle10[[#This Row],[Rank]],Stammdaten[Rank Verteilung Krümmung],0))</f>
        <v>#N/A</v>
      </c>
      <c r="U1561" t="e">
        <f>VLOOKUP(Tabelle10[[#This Row],[Rank]],Stammdaten[[Rank Verteilung Krümmung]:[Verteilung Krümmung]],2,FALSE)</f>
        <v>#N/A</v>
      </c>
      <c r="Z1561">
        <v>1552</v>
      </c>
      <c r="AA1561" t="e">
        <f>INDEX(Stammdaten[Ovalität (']0,1'])],MATCH(Tabelle1014[[#This Row],[Rank]],Stammdaten[Rank Verteilung Ovalität],0))</f>
        <v>#N/A</v>
      </c>
      <c r="AB1561" t="e">
        <f>VLOOKUP(Tabelle1014[[#This Row],[Rank]],Stammdaten[[Rank Verteilung Ovalität]:[Verteilung Ovalität]],2,FALSE)</f>
        <v>#N/A</v>
      </c>
    </row>
    <row r="1562" spans="5:28" x14ac:dyDescent="0.35">
      <c r="E1562">
        <v>1553</v>
      </c>
      <c r="F1562" t="e">
        <f>INDEX(Stammdaten[D Mitte mit Rinde (mm)],MATCH(Tabelle8[[#This Row],[Rank]],Stammdaten[Rank Verteilung D Mitte mit Rinde],0))</f>
        <v>#N/A</v>
      </c>
      <c r="G1562" t="e">
        <f>VLOOKUP(Tabelle8[[#This Row],[Rank]],Stammdaten[[Rank Verteilung D Mitte mit Rinde]:[Verteilung D Mitte mit Rinde]],2,FALSE)</f>
        <v>#N/A</v>
      </c>
      <c r="L1562">
        <v>1553</v>
      </c>
      <c r="M1562" t="e">
        <f>INDEX(Stammdaten[Abholzigkeit (mm/lfm)],MATCH(Tabelle9[[#This Row],[Rank]],Stammdaten[Rank Verteilung Abholzigkeit],0))</f>
        <v>#N/A</v>
      </c>
      <c r="N1562" t="e">
        <f>VLOOKUP(Tabelle9[[#This Row],[Rank]],Stammdaten[[Rank Verteilung Abholzigkeit]:[Verteilung Abholzigkeit]],2,FALSE)</f>
        <v>#N/A</v>
      </c>
      <c r="S1562">
        <v>1553</v>
      </c>
      <c r="T1562" t="e">
        <f>INDEX(Stammdaten[Krümmung (mm/lfm)],MATCH(Tabelle10[[#This Row],[Rank]],Stammdaten[Rank Verteilung Krümmung],0))</f>
        <v>#N/A</v>
      </c>
      <c r="U1562" t="e">
        <f>VLOOKUP(Tabelle10[[#This Row],[Rank]],Stammdaten[[Rank Verteilung Krümmung]:[Verteilung Krümmung]],2,FALSE)</f>
        <v>#N/A</v>
      </c>
      <c r="Z1562">
        <v>1553</v>
      </c>
      <c r="AA1562" t="e">
        <f>INDEX(Stammdaten[Ovalität (']0,1'])],MATCH(Tabelle1014[[#This Row],[Rank]],Stammdaten[Rank Verteilung Ovalität],0))</f>
        <v>#N/A</v>
      </c>
      <c r="AB1562" t="e">
        <f>VLOOKUP(Tabelle1014[[#This Row],[Rank]],Stammdaten[[Rank Verteilung Ovalität]:[Verteilung Ovalität]],2,FALSE)</f>
        <v>#N/A</v>
      </c>
    </row>
    <row r="1563" spans="5:28" x14ac:dyDescent="0.35">
      <c r="E1563">
        <v>1554</v>
      </c>
      <c r="F1563" t="e">
        <f>INDEX(Stammdaten[D Mitte mit Rinde (mm)],MATCH(Tabelle8[[#This Row],[Rank]],Stammdaten[Rank Verteilung D Mitte mit Rinde],0))</f>
        <v>#N/A</v>
      </c>
      <c r="G1563" t="e">
        <f>VLOOKUP(Tabelle8[[#This Row],[Rank]],Stammdaten[[Rank Verteilung D Mitte mit Rinde]:[Verteilung D Mitte mit Rinde]],2,FALSE)</f>
        <v>#N/A</v>
      </c>
      <c r="L1563">
        <v>1554</v>
      </c>
      <c r="M1563" t="e">
        <f>INDEX(Stammdaten[Abholzigkeit (mm/lfm)],MATCH(Tabelle9[[#This Row],[Rank]],Stammdaten[Rank Verteilung Abholzigkeit],0))</f>
        <v>#N/A</v>
      </c>
      <c r="N1563" t="e">
        <f>VLOOKUP(Tabelle9[[#This Row],[Rank]],Stammdaten[[Rank Verteilung Abholzigkeit]:[Verteilung Abholzigkeit]],2,FALSE)</f>
        <v>#N/A</v>
      </c>
      <c r="S1563">
        <v>1554</v>
      </c>
      <c r="T1563" t="e">
        <f>INDEX(Stammdaten[Krümmung (mm/lfm)],MATCH(Tabelle10[[#This Row],[Rank]],Stammdaten[Rank Verteilung Krümmung],0))</f>
        <v>#N/A</v>
      </c>
      <c r="U1563" t="e">
        <f>VLOOKUP(Tabelle10[[#This Row],[Rank]],Stammdaten[[Rank Verteilung Krümmung]:[Verteilung Krümmung]],2,FALSE)</f>
        <v>#N/A</v>
      </c>
      <c r="Z1563">
        <v>1554</v>
      </c>
      <c r="AA1563" t="e">
        <f>INDEX(Stammdaten[Ovalität (']0,1'])],MATCH(Tabelle1014[[#This Row],[Rank]],Stammdaten[Rank Verteilung Ovalität],0))</f>
        <v>#N/A</v>
      </c>
      <c r="AB1563" t="e">
        <f>VLOOKUP(Tabelle1014[[#This Row],[Rank]],Stammdaten[[Rank Verteilung Ovalität]:[Verteilung Ovalität]],2,FALSE)</f>
        <v>#N/A</v>
      </c>
    </row>
    <row r="1564" spans="5:28" x14ac:dyDescent="0.35">
      <c r="E1564">
        <v>1555</v>
      </c>
      <c r="F1564" t="e">
        <f>INDEX(Stammdaten[D Mitte mit Rinde (mm)],MATCH(Tabelle8[[#This Row],[Rank]],Stammdaten[Rank Verteilung D Mitte mit Rinde],0))</f>
        <v>#N/A</v>
      </c>
      <c r="G1564" t="e">
        <f>VLOOKUP(Tabelle8[[#This Row],[Rank]],Stammdaten[[Rank Verteilung D Mitte mit Rinde]:[Verteilung D Mitte mit Rinde]],2,FALSE)</f>
        <v>#N/A</v>
      </c>
      <c r="L1564">
        <v>1555</v>
      </c>
      <c r="M1564" t="e">
        <f>INDEX(Stammdaten[Abholzigkeit (mm/lfm)],MATCH(Tabelle9[[#This Row],[Rank]],Stammdaten[Rank Verteilung Abholzigkeit],0))</f>
        <v>#N/A</v>
      </c>
      <c r="N1564" t="e">
        <f>VLOOKUP(Tabelle9[[#This Row],[Rank]],Stammdaten[[Rank Verteilung Abholzigkeit]:[Verteilung Abholzigkeit]],2,FALSE)</f>
        <v>#N/A</v>
      </c>
      <c r="S1564">
        <v>1555</v>
      </c>
      <c r="T1564" t="e">
        <f>INDEX(Stammdaten[Krümmung (mm/lfm)],MATCH(Tabelle10[[#This Row],[Rank]],Stammdaten[Rank Verteilung Krümmung],0))</f>
        <v>#N/A</v>
      </c>
      <c r="U1564" t="e">
        <f>VLOOKUP(Tabelle10[[#This Row],[Rank]],Stammdaten[[Rank Verteilung Krümmung]:[Verteilung Krümmung]],2,FALSE)</f>
        <v>#N/A</v>
      </c>
      <c r="Z1564">
        <v>1555</v>
      </c>
      <c r="AA1564" t="e">
        <f>INDEX(Stammdaten[Ovalität (']0,1'])],MATCH(Tabelle1014[[#This Row],[Rank]],Stammdaten[Rank Verteilung Ovalität],0))</f>
        <v>#N/A</v>
      </c>
      <c r="AB1564" t="e">
        <f>VLOOKUP(Tabelle1014[[#This Row],[Rank]],Stammdaten[[Rank Verteilung Ovalität]:[Verteilung Ovalität]],2,FALSE)</f>
        <v>#N/A</v>
      </c>
    </row>
    <row r="1565" spans="5:28" x14ac:dyDescent="0.35">
      <c r="E1565">
        <v>1556</v>
      </c>
      <c r="F1565" t="e">
        <f>INDEX(Stammdaten[D Mitte mit Rinde (mm)],MATCH(Tabelle8[[#This Row],[Rank]],Stammdaten[Rank Verteilung D Mitte mit Rinde],0))</f>
        <v>#N/A</v>
      </c>
      <c r="G1565" t="e">
        <f>VLOOKUP(Tabelle8[[#This Row],[Rank]],Stammdaten[[Rank Verteilung D Mitte mit Rinde]:[Verteilung D Mitte mit Rinde]],2,FALSE)</f>
        <v>#N/A</v>
      </c>
      <c r="L1565">
        <v>1556</v>
      </c>
      <c r="M1565" t="e">
        <f>INDEX(Stammdaten[Abholzigkeit (mm/lfm)],MATCH(Tabelle9[[#This Row],[Rank]],Stammdaten[Rank Verteilung Abholzigkeit],0))</f>
        <v>#N/A</v>
      </c>
      <c r="N1565" t="e">
        <f>VLOOKUP(Tabelle9[[#This Row],[Rank]],Stammdaten[[Rank Verteilung Abholzigkeit]:[Verteilung Abholzigkeit]],2,FALSE)</f>
        <v>#N/A</v>
      </c>
      <c r="S1565">
        <v>1556</v>
      </c>
      <c r="T1565" t="e">
        <f>INDEX(Stammdaten[Krümmung (mm/lfm)],MATCH(Tabelle10[[#This Row],[Rank]],Stammdaten[Rank Verteilung Krümmung],0))</f>
        <v>#N/A</v>
      </c>
      <c r="U1565" t="e">
        <f>VLOOKUP(Tabelle10[[#This Row],[Rank]],Stammdaten[[Rank Verteilung Krümmung]:[Verteilung Krümmung]],2,FALSE)</f>
        <v>#N/A</v>
      </c>
      <c r="Z1565">
        <v>1556</v>
      </c>
      <c r="AA1565" t="e">
        <f>INDEX(Stammdaten[Ovalität (']0,1'])],MATCH(Tabelle1014[[#This Row],[Rank]],Stammdaten[Rank Verteilung Ovalität],0))</f>
        <v>#N/A</v>
      </c>
      <c r="AB1565" t="e">
        <f>VLOOKUP(Tabelle1014[[#This Row],[Rank]],Stammdaten[[Rank Verteilung Ovalität]:[Verteilung Ovalität]],2,FALSE)</f>
        <v>#N/A</v>
      </c>
    </row>
    <row r="1566" spans="5:28" x14ac:dyDescent="0.35">
      <c r="E1566">
        <v>1557</v>
      </c>
      <c r="F1566" t="e">
        <f>INDEX(Stammdaten[D Mitte mit Rinde (mm)],MATCH(Tabelle8[[#This Row],[Rank]],Stammdaten[Rank Verteilung D Mitte mit Rinde],0))</f>
        <v>#N/A</v>
      </c>
      <c r="G1566" t="e">
        <f>VLOOKUP(Tabelle8[[#This Row],[Rank]],Stammdaten[[Rank Verteilung D Mitte mit Rinde]:[Verteilung D Mitte mit Rinde]],2,FALSE)</f>
        <v>#N/A</v>
      </c>
      <c r="L1566">
        <v>1557</v>
      </c>
      <c r="M1566" t="e">
        <f>INDEX(Stammdaten[Abholzigkeit (mm/lfm)],MATCH(Tabelle9[[#This Row],[Rank]],Stammdaten[Rank Verteilung Abholzigkeit],0))</f>
        <v>#N/A</v>
      </c>
      <c r="N1566" t="e">
        <f>VLOOKUP(Tabelle9[[#This Row],[Rank]],Stammdaten[[Rank Verteilung Abholzigkeit]:[Verteilung Abholzigkeit]],2,FALSE)</f>
        <v>#N/A</v>
      </c>
      <c r="S1566">
        <v>1557</v>
      </c>
      <c r="T1566" t="e">
        <f>INDEX(Stammdaten[Krümmung (mm/lfm)],MATCH(Tabelle10[[#This Row],[Rank]],Stammdaten[Rank Verteilung Krümmung],0))</f>
        <v>#N/A</v>
      </c>
      <c r="U1566" t="e">
        <f>VLOOKUP(Tabelle10[[#This Row],[Rank]],Stammdaten[[Rank Verteilung Krümmung]:[Verteilung Krümmung]],2,FALSE)</f>
        <v>#N/A</v>
      </c>
      <c r="Z1566">
        <v>1557</v>
      </c>
      <c r="AA1566" t="e">
        <f>INDEX(Stammdaten[Ovalität (']0,1'])],MATCH(Tabelle1014[[#This Row],[Rank]],Stammdaten[Rank Verteilung Ovalität],0))</f>
        <v>#N/A</v>
      </c>
      <c r="AB1566" t="e">
        <f>VLOOKUP(Tabelle1014[[#This Row],[Rank]],Stammdaten[[Rank Verteilung Ovalität]:[Verteilung Ovalität]],2,FALSE)</f>
        <v>#N/A</v>
      </c>
    </row>
    <row r="1567" spans="5:28" x14ac:dyDescent="0.35">
      <c r="E1567">
        <v>1558</v>
      </c>
      <c r="F1567" t="e">
        <f>INDEX(Stammdaten[D Mitte mit Rinde (mm)],MATCH(Tabelle8[[#This Row],[Rank]],Stammdaten[Rank Verteilung D Mitte mit Rinde],0))</f>
        <v>#N/A</v>
      </c>
      <c r="G1567" t="e">
        <f>VLOOKUP(Tabelle8[[#This Row],[Rank]],Stammdaten[[Rank Verteilung D Mitte mit Rinde]:[Verteilung D Mitte mit Rinde]],2,FALSE)</f>
        <v>#N/A</v>
      </c>
      <c r="L1567">
        <v>1558</v>
      </c>
      <c r="M1567" t="e">
        <f>INDEX(Stammdaten[Abholzigkeit (mm/lfm)],MATCH(Tabelle9[[#This Row],[Rank]],Stammdaten[Rank Verteilung Abholzigkeit],0))</f>
        <v>#N/A</v>
      </c>
      <c r="N1567" t="e">
        <f>VLOOKUP(Tabelle9[[#This Row],[Rank]],Stammdaten[[Rank Verteilung Abholzigkeit]:[Verteilung Abholzigkeit]],2,FALSE)</f>
        <v>#N/A</v>
      </c>
      <c r="S1567">
        <v>1558</v>
      </c>
      <c r="T1567" t="e">
        <f>INDEX(Stammdaten[Krümmung (mm/lfm)],MATCH(Tabelle10[[#This Row],[Rank]],Stammdaten[Rank Verteilung Krümmung],0))</f>
        <v>#N/A</v>
      </c>
      <c r="U1567" t="e">
        <f>VLOOKUP(Tabelle10[[#This Row],[Rank]],Stammdaten[[Rank Verteilung Krümmung]:[Verteilung Krümmung]],2,FALSE)</f>
        <v>#N/A</v>
      </c>
      <c r="Z1567">
        <v>1558</v>
      </c>
      <c r="AA1567" t="e">
        <f>INDEX(Stammdaten[Ovalität (']0,1'])],MATCH(Tabelle1014[[#This Row],[Rank]],Stammdaten[Rank Verteilung Ovalität],0))</f>
        <v>#N/A</v>
      </c>
      <c r="AB1567" t="e">
        <f>VLOOKUP(Tabelle1014[[#This Row],[Rank]],Stammdaten[[Rank Verteilung Ovalität]:[Verteilung Ovalität]],2,FALSE)</f>
        <v>#N/A</v>
      </c>
    </row>
    <row r="1568" spans="5:28" x14ac:dyDescent="0.35">
      <c r="E1568">
        <v>1559</v>
      </c>
      <c r="F1568" t="e">
        <f>INDEX(Stammdaten[D Mitte mit Rinde (mm)],MATCH(Tabelle8[[#This Row],[Rank]],Stammdaten[Rank Verteilung D Mitte mit Rinde],0))</f>
        <v>#N/A</v>
      </c>
      <c r="G1568" t="e">
        <f>VLOOKUP(Tabelle8[[#This Row],[Rank]],Stammdaten[[Rank Verteilung D Mitte mit Rinde]:[Verteilung D Mitte mit Rinde]],2,FALSE)</f>
        <v>#N/A</v>
      </c>
      <c r="L1568">
        <v>1559</v>
      </c>
      <c r="M1568" t="e">
        <f>INDEX(Stammdaten[Abholzigkeit (mm/lfm)],MATCH(Tabelle9[[#This Row],[Rank]],Stammdaten[Rank Verteilung Abholzigkeit],0))</f>
        <v>#N/A</v>
      </c>
      <c r="N1568" t="e">
        <f>VLOOKUP(Tabelle9[[#This Row],[Rank]],Stammdaten[[Rank Verteilung Abholzigkeit]:[Verteilung Abholzigkeit]],2,FALSE)</f>
        <v>#N/A</v>
      </c>
      <c r="S1568">
        <v>1559</v>
      </c>
      <c r="T1568" t="e">
        <f>INDEX(Stammdaten[Krümmung (mm/lfm)],MATCH(Tabelle10[[#This Row],[Rank]],Stammdaten[Rank Verteilung Krümmung],0))</f>
        <v>#N/A</v>
      </c>
      <c r="U1568" t="e">
        <f>VLOOKUP(Tabelle10[[#This Row],[Rank]],Stammdaten[[Rank Verteilung Krümmung]:[Verteilung Krümmung]],2,FALSE)</f>
        <v>#N/A</v>
      </c>
      <c r="Z1568">
        <v>1559</v>
      </c>
      <c r="AA1568" t="e">
        <f>INDEX(Stammdaten[Ovalität (']0,1'])],MATCH(Tabelle1014[[#This Row],[Rank]],Stammdaten[Rank Verteilung Ovalität],0))</f>
        <v>#N/A</v>
      </c>
      <c r="AB1568" t="e">
        <f>VLOOKUP(Tabelle1014[[#This Row],[Rank]],Stammdaten[[Rank Verteilung Ovalität]:[Verteilung Ovalität]],2,FALSE)</f>
        <v>#N/A</v>
      </c>
    </row>
    <row r="1569" spans="5:28" x14ac:dyDescent="0.35">
      <c r="E1569">
        <v>1560</v>
      </c>
      <c r="F1569" t="e">
        <f>INDEX(Stammdaten[D Mitte mit Rinde (mm)],MATCH(Tabelle8[[#This Row],[Rank]],Stammdaten[Rank Verteilung D Mitte mit Rinde],0))</f>
        <v>#N/A</v>
      </c>
      <c r="G1569" t="e">
        <f>VLOOKUP(Tabelle8[[#This Row],[Rank]],Stammdaten[[Rank Verteilung D Mitte mit Rinde]:[Verteilung D Mitte mit Rinde]],2,FALSE)</f>
        <v>#N/A</v>
      </c>
      <c r="L1569">
        <v>1560</v>
      </c>
      <c r="M1569" t="e">
        <f>INDEX(Stammdaten[Abholzigkeit (mm/lfm)],MATCH(Tabelle9[[#This Row],[Rank]],Stammdaten[Rank Verteilung Abholzigkeit],0))</f>
        <v>#N/A</v>
      </c>
      <c r="N1569" t="e">
        <f>VLOOKUP(Tabelle9[[#This Row],[Rank]],Stammdaten[[Rank Verteilung Abholzigkeit]:[Verteilung Abholzigkeit]],2,FALSE)</f>
        <v>#N/A</v>
      </c>
      <c r="S1569">
        <v>1560</v>
      </c>
      <c r="T1569" t="e">
        <f>INDEX(Stammdaten[Krümmung (mm/lfm)],MATCH(Tabelle10[[#This Row],[Rank]],Stammdaten[Rank Verteilung Krümmung],0))</f>
        <v>#N/A</v>
      </c>
      <c r="U1569" t="e">
        <f>VLOOKUP(Tabelle10[[#This Row],[Rank]],Stammdaten[[Rank Verteilung Krümmung]:[Verteilung Krümmung]],2,FALSE)</f>
        <v>#N/A</v>
      </c>
      <c r="Z1569">
        <v>1560</v>
      </c>
      <c r="AA1569" t="e">
        <f>INDEX(Stammdaten[Ovalität (']0,1'])],MATCH(Tabelle1014[[#This Row],[Rank]],Stammdaten[Rank Verteilung Ovalität],0))</f>
        <v>#N/A</v>
      </c>
      <c r="AB1569" t="e">
        <f>VLOOKUP(Tabelle1014[[#This Row],[Rank]],Stammdaten[[Rank Verteilung Ovalität]:[Verteilung Ovalität]],2,FALSE)</f>
        <v>#N/A</v>
      </c>
    </row>
    <row r="1570" spans="5:28" x14ac:dyDescent="0.35">
      <c r="E1570">
        <v>1561</v>
      </c>
      <c r="F1570" t="e">
        <f>INDEX(Stammdaten[D Mitte mit Rinde (mm)],MATCH(Tabelle8[[#This Row],[Rank]],Stammdaten[Rank Verteilung D Mitte mit Rinde],0))</f>
        <v>#N/A</v>
      </c>
      <c r="G1570" t="e">
        <f>VLOOKUP(Tabelle8[[#This Row],[Rank]],Stammdaten[[Rank Verteilung D Mitte mit Rinde]:[Verteilung D Mitte mit Rinde]],2,FALSE)</f>
        <v>#N/A</v>
      </c>
      <c r="L1570">
        <v>1561</v>
      </c>
      <c r="M1570" t="e">
        <f>INDEX(Stammdaten[Abholzigkeit (mm/lfm)],MATCH(Tabelle9[[#This Row],[Rank]],Stammdaten[Rank Verteilung Abholzigkeit],0))</f>
        <v>#N/A</v>
      </c>
      <c r="N1570" t="e">
        <f>VLOOKUP(Tabelle9[[#This Row],[Rank]],Stammdaten[[Rank Verteilung Abholzigkeit]:[Verteilung Abholzigkeit]],2,FALSE)</f>
        <v>#N/A</v>
      </c>
      <c r="S1570">
        <v>1561</v>
      </c>
      <c r="T1570" t="e">
        <f>INDEX(Stammdaten[Krümmung (mm/lfm)],MATCH(Tabelle10[[#This Row],[Rank]],Stammdaten[Rank Verteilung Krümmung],0))</f>
        <v>#N/A</v>
      </c>
      <c r="U1570" t="e">
        <f>VLOOKUP(Tabelle10[[#This Row],[Rank]],Stammdaten[[Rank Verteilung Krümmung]:[Verteilung Krümmung]],2,FALSE)</f>
        <v>#N/A</v>
      </c>
      <c r="Z1570">
        <v>1561</v>
      </c>
      <c r="AA1570" t="e">
        <f>INDEX(Stammdaten[Ovalität (']0,1'])],MATCH(Tabelle1014[[#This Row],[Rank]],Stammdaten[Rank Verteilung Ovalität],0))</f>
        <v>#N/A</v>
      </c>
      <c r="AB1570" t="e">
        <f>VLOOKUP(Tabelle1014[[#This Row],[Rank]],Stammdaten[[Rank Verteilung Ovalität]:[Verteilung Ovalität]],2,FALSE)</f>
        <v>#N/A</v>
      </c>
    </row>
    <row r="1571" spans="5:28" x14ac:dyDescent="0.35">
      <c r="E1571">
        <v>1562</v>
      </c>
      <c r="F1571" t="e">
        <f>INDEX(Stammdaten[D Mitte mit Rinde (mm)],MATCH(Tabelle8[[#This Row],[Rank]],Stammdaten[Rank Verteilung D Mitte mit Rinde],0))</f>
        <v>#N/A</v>
      </c>
      <c r="G1571" t="e">
        <f>VLOOKUP(Tabelle8[[#This Row],[Rank]],Stammdaten[[Rank Verteilung D Mitte mit Rinde]:[Verteilung D Mitte mit Rinde]],2,FALSE)</f>
        <v>#N/A</v>
      </c>
      <c r="L1571">
        <v>1562</v>
      </c>
      <c r="M1571" t="e">
        <f>INDEX(Stammdaten[Abholzigkeit (mm/lfm)],MATCH(Tabelle9[[#This Row],[Rank]],Stammdaten[Rank Verteilung Abholzigkeit],0))</f>
        <v>#N/A</v>
      </c>
      <c r="N1571" t="e">
        <f>VLOOKUP(Tabelle9[[#This Row],[Rank]],Stammdaten[[Rank Verteilung Abholzigkeit]:[Verteilung Abholzigkeit]],2,FALSE)</f>
        <v>#N/A</v>
      </c>
      <c r="S1571">
        <v>1562</v>
      </c>
      <c r="T1571" t="e">
        <f>INDEX(Stammdaten[Krümmung (mm/lfm)],MATCH(Tabelle10[[#This Row],[Rank]],Stammdaten[Rank Verteilung Krümmung],0))</f>
        <v>#N/A</v>
      </c>
      <c r="U1571" t="e">
        <f>VLOOKUP(Tabelle10[[#This Row],[Rank]],Stammdaten[[Rank Verteilung Krümmung]:[Verteilung Krümmung]],2,FALSE)</f>
        <v>#N/A</v>
      </c>
      <c r="Z1571">
        <v>1562</v>
      </c>
      <c r="AA1571" t="e">
        <f>INDEX(Stammdaten[Ovalität (']0,1'])],MATCH(Tabelle1014[[#This Row],[Rank]],Stammdaten[Rank Verteilung Ovalität],0))</f>
        <v>#N/A</v>
      </c>
      <c r="AB1571" t="e">
        <f>VLOOKUP(Tabelle1014[[#This Row],[Rank]],Stammdaten[[Rank Verteilung Ovalität]:[Verteilung Ovalität]],2,FALSE)</f>
        <v>#N/A</v>
      </c>
    </row>
    <row r="1572" spans="5:28" x14ac:dyDescent="0.35">
      <c r="E1572">
        <v>1563</v>
      </c>
      <c r="F1572" t="e">
        <f>INDEX(Stammdaten[D Mitte mit Rinde (mm)],MATCH(Tabelle8[[#This Row],[Rank]],Stammdaten[Rank Verteilung D Mitte mit Rinde],0))</f>
        <v>#N/A</v>
      </c>
      <c r="G1572" t="e">
        <f>VLOOKUP(Tabelle8[[#This Row],[Rank]],Stammdaten[[Rank Verteilung D Mitte mit Rinde]:[Verteilung D Mitte mit Rinde]],2,FALSE)</f>
        <v>#N/A</v>
      </c>
      <c r="L1572">
        <v>1563</v>
      </c>
      <c r="M1572" t="e">
        <f>INDEX(Stammdaten[Abholzigkeit (mm/lfm)],MATCH(Tabelle9[[#This Row],[Rank]],Stammdaten[Rank Verteilung Abholzigkeit],0))</f>
        <v>#N/A</v>
      </c>
      <c r="N1572" t="e">
        <f>VLOOKUP(Tabelle9[[#This Row],[Rank]],Stammdaten[[Rank Verteilung Abholzigkeit]:[Verteilung Abholzigkeit]],2,FALSE)</f>
        <v>#N/A</v>
      </c>
      <c r="S1572">
        <v>1563</v>
      </c>
      <c r="T1572" t="e">
        <f>INDEX(Stammdaten[Krümmung (mm/lfm)],MATCH(Tabelle10[[#This Row],[Rank]],Stammdaten[Rank Verteilung Krümmung],0))</f>
        <v>#N/A</v>
      </c>
      <c r="U1572" t="e">
        <f>VLOOKUP(Tabelle10[[#This Row],[Rank]],Stammdaten[[Rank Verteilung Krümmung]:[Verteilung Krümmung]],2,FALSE)</f>
        <v>#N/A</v>
      </c>
      <c r="Z1572">
        <v>1563</v>
      </c>
      <c r="AA1572" t="e">
        <f>INDEX(Stammdaten[Ovalität (']0,1'])],MATCH(Tabelle1014[[#This Row],[Rank]],Stammdaten[Rank Verteilung Ovalität],0))</f>
        <v>#N/A</v>
      </c>
      <c r="AB1572" t="e">
        <f>VLOOKUP(Tabelle1014[[#This Row],[Rank]],Stammdaten[[Rank Verteilung Ovalität]:[Verteilung Ovalität]],2,FALSE)</f>
        <v>#N/A</v>
      </c>
    </row>
    <row r="1573" spans="5:28" x14ac:dyDescent="0.35">
      <c r="E1573">
        <v>1564</v>
      </c>
      <c r="F1573" t="e">
        <f>INDEX(Stammdaten[D Mitte mit Rinde (mm)],MATCH(Tabelle8[[#This Row],[Rank]],Stammdaten[Rank Verteilung D Mitte mit Rinde],0))</f>
        <v>#N/A</v>
      </c>
      <c r="G1573" t="e">
        <f>VLOOKUP(Tabelle8[[#This Row],[Rank]],Stammdaten[[Rank Verteilung D Mitte mit Rinde]:[Verteilung D Mitte mit Rinde]],2,FALSE)</f>
        <v>#N/A</v>
      </c>
      <c r="L1573">
        <v>1564</v>
      </c>
      <c r="M1573" t="e">
        <f>INDEX(Stammdaten[Abholzigkeit (mm/lfm)],MATCH(Tabelle9[[#This Row],[Rank]],Stammdaten[Rank Verteilung Abholzigkeit],0))</f>
        <v>#N/A</v>
      </c>
      <c r="N1573" t="e">
        <f>VLOOKUP(Tabelle9[[#This Row],[Rank]],Stammdaten[[Rank Verteilung Abholzigkeit]:[Verteilung Abholzigkeit]],2,FALSE)</f>
        <v>#N/A</v>
      </c>
      <c r="S1573">
        <v>1564</v>
      </c>
      <c r="T1573" t="e">
        <f>INDEX(Stammdaten[Krümmung (mm/lfm)],MATCH(Tabelle10[[#This Row],[Rank]],Stammdaten[Rank Verteilung Krümmung],0))</f>
        <v>#N/A</v>
      </c>
      <c r="U1573" t="e">
        <f>VLOOKUP(Tabelle10[[#This Row],[Rank]],Stammdaten[[Rank Verteilung Krümmung]:[Verteilung Krümmung]],2,FALSE)</f>
        <v>#N/A</v>
      </c>
      <c r="Z1573">
        <v>1564</v>
      </c>
      <c r="AA1573" t="e">
        <f>INDEX(Stammdaten[Ovalität (']0,1'])],MATCH(Tabelle1014[[#This Row],[Rank]],Stammdaten[Rank Verteilung Ovalität],0))</f>
        <v>#N/A</v>
      </c>
      <c r="AB1573" t="e">
        <f>VLOOKUP(Tabelle1014[[#This Row],[Rank]],Stammdaten[[Rank Verteilung Ovalität]:[Verteilung Ovalität]],2,FALSE)</f>
        <v>#N/A</v>
      </c>
    </row>
    <row r="1574" spans="5:28" x14ac:dyDescent="0.35">
      <c r="E1574">
        <v>1565</v>
      </c>
      <c r="F1574" t="e">
        <f>INDEX(Stammdaten[D Mitte mit Rinde (mm)],MATCH(Tabelle8[[#This Row],[Rank]],Stammdaten[Rank Verteilung D Mitte mit Rinde],0))</f>
        <v>#N/A</v>
      </c>
      <c r="G1574" t="e">
        <f>VLOOKUP(Tabelle8[[#This Row],[Rank]],Stammdaten[[Rank Verteilung D Mitte mit Rinde]:[Verteilung D Mitte mit Rinde]],2,FALSE)</f>
        <v>#N/A</v>
      </c>
      <c r="L1574">
        <v>1565</v>
      </c>
      <c r="M1574" t="e">
        <f>INDEX(Stammdaten[Abholzigkeit (mm/lfm)],MATCH(Tabelle9[[#This Row],[Rank]],Stammdaten[Rank Verteilung Abholzigkeit],0))</f>
        <v>#N/A</v>
      </c>
      <c r="N1574" t="e">
        <f>VLOOKUP(Tabelle9[[#This Row],[Rank]],Stammdaten[[Rank Verteilung Abholzigkeit]:[Verteilung Abholzigkeit]],2,FALSE)</f>
        <v>#N/A</v>
      </c>
      <c r="S1574">
        <v>1565</v>
      </c>
      <c r="T1574" t="e">
        <f>INDEX(Stammdaten[Krümmung (mm/lfm)],MATCH(Tabelle10[[#This Row],[Rank]],Stammdaten[Rank Verteilung Krümmung],0))</f>
        <v>#N/A</v>
      </c>
      <c r="U1574" t="e">
        <f>VLOOKUP(Tabelle10[[#This Row],[Rank]],Stammdaten[[Rank Verteilung Krümmung]:[Verteilung Krümmung]],2,FALSE)</f>
        <v>#N/A</v>
      </c>
      <c r="Z1574">
        <v>1565</v>
      </c>
      <c r="AA1574" t="e">
        <f>INDEX(Stammdaten[Ovalität (']0,1'])],MATCH(Tabelle1014[[#This Row],[Rank]],Stammdaten[Rank Verteilung Ovalität],0))</f>
        <v>#N/A</v>
      </c>
      <c r="AB1574" t="e">
        <f>VLOOKUP(Tabelle1014[[#This Row],[Rank]],Stammdaten[[Rank Verteilung Ovalität]:[Verteilung Ovalität]],2,FALSE)</f>
        <v>#N/A</v>
      </c>
    </row>
    <row r="1575" spans="5:28" x14ac:dyDescent="0.35">
      <c r="E1575">
        <v>1566</v>
      </c>
      <c r="F1575" t="e">
        <f>INDEX(Stammdaten[D Mitte mit Rinde (mm)],MATCH(Tabelle8[[#This Row],[Rank]],Stammdaten[Rank Verteilung D Mitte mit Rinde],0))</f>
        <v>#N/A</v>
      </c>
      <c r="G1575" t="e">
        <f>VLOOKUP(Tabelle8[[#This Row],[Rank]],Stammdaten[[Rank Verteilung D Mitte mit Rinde]:[Verteilung D Mitte mit Rinde]],2,FALSE)</f>
        <v>#N/A</v>
      </c>
      <c r="L1575">
        <v>1566</v>
      </c>
      <c r="M1575" t="e">
        <f>INDEX(Stammdaten[Abholzigkeit (mm/lfm)],MATCH(Tabelle9[[#This Row],[Rank]],Stammdaten[Rank Verteilung Abholzigkeit],0))</f>
        <v>#N/A</v>
      </c>
      <c r="N1575" t="e">
        <f>VLOOKUP(Tabelle9[[#This Row],[Rank]],Stammdaten[[Rank Verteilung Abholzigkeit]:[Verteilung Abholzigkeit]],2,FALSE)</f>
        <v>#N/A</v>
      </c>
      <c r="S1575">
        <v>1566</v>
      </c>
      <c r="T1575" t="e">
        <f>INDEX(Stammdaten[Krümmung (mm/lfm)],MATCH(Tabelle10[[#This Row],[Rank]],Stammdaten[Rank Verteilung Krümmung],0))</f>
        <v>#N/A</v>
      </c>
      <c r="U1575" t="e">
        <f>VLOOKUP(Tabelle10[[#This Row],[Rank]],Stammdaten[[Rank Verteilung Krümmung]:[Verteilung Krümmung]],2,FALSE)</f>
        <v>#N/A</v>
      </c>
      <c r="Z1575">
        <v>1566</v>
      </c>
      <c r="AA1575" t="e">
        <f>INDEX(Stammdaten[Ovalität (']0,1'])],MATCH(Tabelle1014[[#This Row],[Rank]],Stammdaten[Rank Verteilung Ovalität],0))</f>
        <v>#N/A</v>
      </c>
      <c r="AB1575" t="e">
        <f>VLOOKUP(Tabelle1014[[#This Row],[Rank]],Stammdaten[[Rank Verteilung Ovalität]:[Verteilung Ovalität]],2,FALSE)</f>
        <v>#N/A</v>
      </c>
    </row>
    <row r="1576" spans="5:28" x14ac:dyDescent="0.35">
      <c r="E1576">
        <v>1567</v>
      </c>
      <c r="F1576" t="e">
        <f>INDEX(Stammdaten[D Mitte mit Rinde (mm)],MATCH(Tabelle8[[#This Row],[Rank]],Stammdaten[Rank Verteilung D Mitte mit Rinde],0))</f>
        <v>#N/A</v>
      </c>
      <c r="G1576" t="e">
        <f>VLOOKUP(Tabelle8[[#This Row],[Rank]],Stammdaten[[Rank Verteilung D Mitte mit Rinde]:[Verteilung D Mitte mit Rinde]],2,FALSE)</f>
        <v>#N/A</v>
      </c>
      <c r="L1576">
        <v>1567</v>
      </c>
      <c r="M1576" t="e">
        <f>INDEX(Stammdaten[Abholzigkeit (mm/lfm)],MATCH(Tabelle9[[#This Row],[Rank]],Stammdaten[Rank Verteilung Abholzigkeit],0))</f>
        <v>#N/A</v>
      </c>
      <c r="N1576" t="e">
        <f>VLOOKUP(Tabelle9[[#This Row],[Rank]],Stammdaten[[Rank Verteilung Abholzigkeit]:[Verteilung Abholzigkeit]],2,FALSE)</f>
        <v>#N/A</v>
      </c>
      <c r="S1576">
        <v>1567</v>
      </c>
      <c r="T1576" t="e">
        <f>INDEX(Stammdaten[Krümmung (mm/lfm)],MATCH(Tabelle10[[#This Row],[Rank]],Stammdaten[Rank Verteilung Krümmung],0))</f>
        <v>#N/A</v>
      </c>
      <c r="U1576" t="e">
        <f>VLOOKUP(Tabelle10[[#This Row],[Rank]],Stammdaten[[Rank Verteilung Krümmung]:[Verteilung Krümmung]],2,FALSE)</f>
        <v>#N/A</v>
      </c>
      <c r="Z1576">
        <v>1567</v>
      </c>
      <c r="AA1576" t="e">
        <f>INDEX(Stammdaten[Ovalität (']0,1'])],MATCH(Tabelle1014[[#This Row],[Rank]],Stammdaten[Rank Verteilung Ovalität],0))</f>
        <v>#N/A</v>
      </c>
      <c r="AB1576" t="e">
        <f>VLOOKUP(Tabelle1014[[#This Row],[Rank]],Stammdaten[[Rank Verteilung Ovalität]:[Verteilung Ovalität]],2,FALSE)</f>
        <v>#N/A</v>
      </c>
    </row>
    <row r="1577" spans="5:28" x14ac:dyDescent="0.35">
      <c r="E1577">
        <v>1568</v>
      </c>
      <c r="F1577" t="e">
        <f>INDEX(Stammdaten[D Mitte mit Rinde (mm)],MATCH(Tabelle8[[#This Row],[Rank]],Stammdaten[Rank Verteilung D Mitte mit Rinde],0))</f>
        <v>#N/A</v>
      </c>
      <c r="G1577" t="e">
        <f>VLOOKUP(Tabelle8[[#This Row],[Rank]],Stammdaten[[Rank Verteilung D Mitte mit Rinde]:[Verteilung D Mitte mit Rinde]],2,FALSE)</f>
        <v>#N/A</v>
      </c>
      <c r="L1577">
        <v>1568</v>
      </c>
      <c r="M1577" t="e">
        <f>INDEX(Stammdaten[Abholzigkeit (mm/lfm)],MATCH(Tabelle9[[#This Row],[Rank]],Stammdaten[Rank Verteilung Abholzigkeit],0))</f>
        <v>#N/A</v>
      </c>
      <c r="N1577" t="e">
        <f>VLOOKUP(Tabelle9[[#This Row],[Rank]],Stammdaten[[Rank Verteilung Abholzigkeit]:[Verteilung Abholzigkeit]],2,FALSE)</f>
        <v>#N/A</v>
      </c>
      <c r="S1577">
        <v>1568</v>
      </c>
      <c r="T1577" t="e">
        <f>INDEX(Stammdaten[Krümmung (mm/lfm)],MATCH(Tabelle10[[#This Row],[Rank]],Stammdaten[Rank Verteilung Krümmung],0))</f>
        <v>#N/A</v>
      </c>
      <c r="U1577" t="e">
        <f>VLOOKUP(Tabelle10[[#This Row],[Rank]],Stammdaten[[Rank Verteilung Krümmung]:[Verteilung Krümmung]],2,FALSE)</f>
        <v>#N/A</v>
      </c>
      <c r="Z1577">
        <v>1568</v>
      </c>
      <c r="AA1577" t="e">
        <f>INDEX(Stammdaten[Ovalität (']0,1'])],MATCH(Tabelle1014[[#This Row],[Rank]],Stammdaten[Rank Verteilung Ovalität],0))</f>
        <v>#N/A</v>
      </c>
      <c r="AB1577" t="e">
        <f>VLOOKUP(Tabelle1014[[#This Row],[Rank]],Stammdaten[[Rank Verteilung Ovalität]:[Verteilung Ovalität]],2,FALSE)</f>
        <v>#N/A</v>
      </c>
    </row>
    <row r="1578" spans="5:28" x14ac:dyDescent="0.35">
      <c r="E1578">
        <v>1569</v>
      </c>
      <c r="F1578" t="e">
        <f>INDEX(Stammdaten[D Mitte mit Rinde (mm)],MATCH(Tabelle8[[#This Row],[Rank]],Stammdaten[Rank Verteilung D Mitte mit Rinde],0))</f>
        <v>#N/A</v>
      </c>
      <c r="G1578" t="e">
        <f>VLOOKUP(Tabelle8[[#This Row],[Rank]],Stammdaten[[Rank Verteilung D Mitte mit Rinde]:[Verteilung D Mitte mit Rinde]],2,FALSE)</f>
        <v>#N/A</v>
      </c>
      <c r="L1578">
        <v>1569</v>
      </c>
      <c r="M1578" t="e">
        <f>INDEX(Stammdaten[Abholzigkeit (mm/lfm)],MATCH(Tabelle9[[#This Row],[Rank]],Stammdaten[Rank Verteilung Abholzigkeit],0))</f>
        <v>#N/A</v>
      </c>
      <c r="N1578" t="e">
        <f>VLOOKUP(Tabelle9[[#This Row],[Rank]],Stammdaten[[Rank Verteilung Abholzigkeit]:[Verteilung Abholzigkeit]],2,FALSE)</f>
        <v>#N/A</v>
      </c>
      <c r="S1578">
        <v>1569</v>
      </c>
      <c r="T1578" t="e">
        <f>INDEX(Stammdaten[Krümmung (mm/lfm)],MATCH(Tabelle10[[#This Row],[Rank]],Stammdaten[Rank Verteilung Krümmung],0))</f>
        <v>#N/A</v>
      </c>
      <c r="U1578" t="e">
        <f>VLOOKUP(Tabelle10[[#This Row],[Rank]],Stammdaten[[Rank Verteilung Krümmung]:[Verteilung Krümmung]],2,FALSE)</f>
        <v>#N/A</v>
      </c>
      <c r="Z1578">
        <v>1569</v>
      </c>
      <c r="AA1578" t="e">
        <f>INDEX(Stammdaten[Ovalität (']0,1'])],MATCH(Tabelle1014[[#This Row],[Rank]],Stammdaten[Rank Verteilung Ovalität],0))</f>
        <v>#N/A</v>
      </c>
      <c r="AB1578" t="e">
        <f>VLOOKUP(Tabelle1014[[#This Row],[Rank]],Stammdaten[[Rank Verteilung Ovalität]:[Verteilung Ovalität]],2,FALSE)</f>
        <v>#N/A</v>
      </c>
    </row>
    <row r="1579" spans="5:28" x14ac:dyDescent="0.35">
      <c r="E1579">
        <v>1570</v>
      </c>
      <c r="F1579" t="e">
        <f>INDEX(Stammdaten[D Mitte mit Rinde (mm)],MATCH(Tabelle8[[#This Row],[Rank]],Stammdaten[Rank Verteilung D Mitte mit Rinde],0))</f>
        <v>#N/A</v>
      </c>
      <c r="G1579" t="e">
        <f>VLOOKUP(Tabelle8[[#This Row],[Rank]],Stammdaten[[Rank Verteilung D Mitte mit Rinde]:[Verteilung D Mitte mit Rinde]],2,FALSE)</f>
        <v>#N/A</v>
      </c>
      <c r="L1579">
        <v>1570</v>
      </c>
      <c r="M1579" t="e">
        <f>INDEX(Stammdaten[Abholzigkeit (mm/lfm)],MATCH(Tabelle9[[#This Row],[Rank]],Stammdaten[Rank Verteilung Abholzigkeit],0))</f>
        <v>#N/A</v>
      </c>
      <c r="N1579" t="e">
        <f>VLOOKUP(Tabelle9[[#This Row],[Rank]],Stammdaten[[Rank Verteilung Abholzigkeit]:[Verteilung Abholzigkeit]],2,FALSE)</f>
        <v>#N/A</v>
      </c>
      <c r="S1579">
        <v>1570</v>
      </c>
      <c r="T1579" t="e">
        <f>INDEX(Stammdaten[Krümmung (mm/lfm)],MATCH(Tabelle10[[#This Row],[Rank]],Stammdaten[Rank Verteilung Krümmung],0))</f>
        <v>#N/A</v>
      </c>
      <c r="U1579" t="e">
        <f>VLOOKUP(Tabelle10[[#This Row],[Rank]],Stammdaten[[Rank Verteilung Krümmung]:[Verteilung Krümmung]],2,FALSE)</f>
        <v>#N/A</v>
      </c>
      <c r="Z1579">
        <v>1570</v>
      </c>
      <c r="AA1579" t="e">
        <f>INDEX(Stammdaten[Ovalität (']0,1'])],MATCH(Tabelle1014[[#This Row],[Rank]],Stammdaten[Rank Verteilung Ovalität],0))</f>
        <v>#N/A</v>
      </c>
      <c r="AB1579" t="e">
        <f>VLOOKUP(Tabelle1014[[#This Row],[Rank]],Stammdaten[[Rank Verteilung Ovalität]:[Verteilung Ovalität]],2,FALSE)</f>
        <v>#N/A</v>
      </c>
    </row>
    <row r="1580" spans="5:28" x14ac:dyDescent="0.35">
      <c r="E1580">
        <v>1571</v>
      </c>
      <c r="F1580" t="e">
        <f>INDEX(Stammdaten[D Mitte mit Rinde (mm)],MATCH(Tabelle8[[#This Row],[Rank]],Stammdaten[Rank Verteilung D Mitte mit Rinde],0))</f>
        <v>#N/A</v>
      </c>
      <c r="G1580" t="e">
        <f>VLOOKUP(Tabelle8[[#This Row],[Rank]],Stammdaten[[Rank Verteilung D Mitte mit Rinde]:[Verteilung D Mitte mit Rinde]],2,FALSE)</f>
        <v>#N/A</v>
      </c>
      <c r="L1580">
        <v>1571</v>
      </c>
      <c r="M1580" t="e">
        <f>INDEX(Stammdaten[Abholzigkeit (mm/lfm)],MATCH(Tabelle9[[#This Row],[Rank]],Stammdaten[Rank Verteilung Abholzigkeit],0))</f>
        <v>#N/A</v>
      </c>
      <c r="N1580" t="e">
        <f>VLOOKUP(Tabelle9[[#This Row],[Rank]],Stammdaten[[Rank Verteilung Abholzigkeit]:[Verteilung Abholzigkeit]],2,FALSE)</f>
        <v>#N/A</v>
      </c>
      <c r="S1580">
        <v>1571</v>
      </c>
      <c r="T1580" t="e">
        <f>INDEX(Stammdaten[Krümmung (mm/lfm)],MATCH(Tabelle10[[#This Row],[Rank]],Stammdaten[Rank Verteilung Krümmung],0))</f>
        <v>#N/A</v>
      </c>
      <c r="U1580" t="e">
        <f>VLOOKUP(Tabelle10[[#This Row],[Rank]],Stammdaten[[Rank Verteilung Krümmung]:[Verteilung Krümmung]],2,FALSE)</f>
        <v>#N/A</v>
      </c>
      <c r="Z1580">
        <v>1571</v>
      </c>
      <c r="AA1580" t="e">
        <f>INDEX(Stammdaten[Ovalität (']0,1'])],MATCH(Tabelle1014[[#This Row],[Rank]],Stammdaten[Rank Verteilung Ovalität],0))</f>
        <v>#N/A</v>
      </c>
      <c r="AB1580" t="e">
        <f>VLOOKUP(Tabelle1014[[#This Row],[Rank]],Stammdaten[[Rank Verteilung Ovalität]:[Verteilung Ovalität]],2,FALSE)</f>
        <v>#N/A</v>
      </c>
    </row>
    <row r="1581" spans="5:28" x14ac:dyDescent="0.35">
      <c r="E1581">
        <v>1572</v>
      </c>
      <c r="F1581" t="e">
        <f>INDEX(Stammdaten[D Mitte mit Rinde (mm)],MATCH(Tabelle8[[#This Row],[Rank]],Stammdaten[Rank Verteilung D Mitte mit Rinde],0))</f>
        <v>#N/A</v>
      </c>
      <c r="G1581" t="e">
        <f>VLOOKUP(Tabelle8[[#This Row],[Rank]],Stammdaten[[Rank Verteilung D Mitte mit Rinde]:[Verteilung D Mitte mit Rinde]],2,FALSE)</f>
        <v>#N/A</v>
      </c>
      <c r="L1581">
        <v>1572</v>
      </c>
      <c r="M1581" t="e">
        <f>INDEX(Stammdaten[Abholzigkeit (mm/lfm)],MATCH(Tabelle9[[#This Row],[Rank]],Stammdaten[Rank Verteilung Abholzigkeit],0))</f>
        <v>#N/A</v>
      </c>
      <c r="N1581" t="e">
        <f>VLOOKUP(Tabelle9[[#This Row],[Rank]],Stammdaten[[Rank Verteilung Abholzigkeit]:[Verteilung Abholzigkeit]],2,FALSE)</f>
        <v>#N/A</v>
      </c>
      <c r="S1581">
        <v>1572</v>
      </c>
      <c r="T1581" t="e">
        <f>INDEX(Stammdaten[Krümmung (mm/lfm)],MATCH(Tabelle10[[#This Row],[Rank]],Stammdaten[Rank Verteilung Krümmung],0))</f>
        <v>#N/A</v>
      </c>
      <c r="U1581" t="e">
        <f>VLOOKUP(Tabelle10[[#This Row],[Rank]],Stammdaten[[Rank Verteilung Krümmung]:[Verteilung Krümmung]],2,FALSE)</f>
        <v>#N/A</v>
      </c>
      <c r="Z1581">
        <v>1572</v>
      </c>
      <c r="AA1581" t="e">
        <f>INDEX(Stammdaten[Ovalität (']0,1'])],MATCH(Tabelle1014[[#This Row],[Rank]],Stammdaten[Rank Verteilung Ovalität],0))</f>
        <v>#N/A</v>
      </c>
      <c r="AB1581" t="e">
        <f>VLOOKUP(Tabelle1014[[#This Row],[Rank]],Stammdaten[[Rank Verteilung Ovalität]:[Verteilung Ovalität]],2,FALSE)</f>
        <v>#N/A</v>
      </c>
    </row>
    <row r="1582" spans="5:28" x14ac:dyDescent="0.35">
      <c r="E1582">
        <v>1573</v>
      </c>
      <c r="F1582" t="e">
        <f>INDEX(Stammdaten[D Mitte mit Rinde (mm)],MATCH(Tabelle8[[#This Row],[Rank]],Stammdaten[Rank Verteilung D Mitte mit Rinde],0))</f>
        <v>#N/A</v>
      </c>
      <c r="G1582" t="e">
        <f>VLOOKUP(Tabelle8[[#This Row],[Rank]],Stammdaten[[Rank Verteilung D Mitte mit Rinde]:[Verteilung D Mitte mit Rinde]],2,FALSE)</f>
        <v>#N/A</v>
      </c>
      <c r="L1582">
        <v>1573</v>
      </c>
      <c r="M1582" t="e">
        <f>INDEX(Stammdaten[Abholzigkeit (mm/lfm)],MATCH(Tabelle9[[#This Row],[Rank]],Stammdaten[Rank Verteilung Abholzigkeit],0))</f>
        <v>#N/A</v>
      </c>
      <c r="N1582" t="e">
        <f>VLOOKUP(Tabelle9[[#This Row],[Rank]],Stammdaten[[Rank Verteilung Abholzigkeit]:[Verteilung Abholzigkeit]],2,FALSE)</f>
        <v>#N/A</v>
      </c>
      <c r="S1582">
        <v>1573</v>
      </c>
      <c r="T1582" t="e">
        <f>INDEX(Stammdaten[Krümmung (mm/lfm)],MATCH(Tabelle10[[#This Row],[Rank]],Stammdaten[Rank Verteilung Krümmung],0))</f>
        <v>#N/A</v>
      </c>
      <c r="U1582" t="e">
        <f>VLOOKUP(Tabelle10[[#This Row],[Rank]],Stammdaten[[Rank Verteilung Krümmung]:[Verteilung Krümmung]],2,FALSE)</f>
        <v>#N/A</v>
      </c>
      <c r="Z1582">
        <v>1573</v>
      </c>
      <c r="AA1582" t="e">
        <f>INDEX(Stammdaten[Ovalität (']0,1'])],MATCH(Tabelle1014[[#This Row],[Rank]],Stammdaten[Rank Verteilung Ovalität],0))</f>
        <v>#N/A</v>
      </c>
      <c r="AB1582" t="e">
        <f>VLOOKUP(Tabelle1014[[#This Row],[Rank]],Stammdaten[[Rank Verteilung Ovalität]:[Verteilung Ovalität]],2,FALSE)</f>
        <v>#N/A</v>
      </c>
    </row>
    <row r="1583" spans="5:28" x14ac:dyDescent="0.35">
      <c r="E1583">
        <v>1574</v>
      </c>
      <c r="F1583" t="e">
        <f>INDEX(Stammdaten[D Mitte mit Rinde (mm)],MATCH(Tabelle8[[#This Row],[Rank]],Stammdaten[Rank Verteilung D Mitte mit Rinde],0))</f>
        <v>#N/A</v>
      </c>
      <c r="G1583" t="e">
        <f>VLOOKUP(Tabelle8[[#This Row],[Rank]],Stammdaten[[Rank Verteilung D Mitte mit Rinde]:[Verteilung D Mitte mit Rinde]],2,FALSE)</f>
        <v>#N/A</v>
      </c>
      <c r="L1583">
        <v>1574</v>
      </c>
      <c r="M1583" t="e">
        <f>INDEX(Stammdaten[Abholzigkeit (mm/lfm)],MATCH(Tabelle9[[#This Row],[Rank]],Stammdaten[Rank Verteilung Abholzigkeit],0))</f>
        <v>#N/A</v>
      </c>
      <c r="N1583" t="e">
        <f>VLOOKUP(Tabelle9[[#This Row],[Rank]],Stammdaten[[Rank Verteilung Abholzigkeit]:[Verteilung Abholzigkeit]],2,FALSE)</f>
        <v>#N/A</v>
      </c>
      <c r="S1583">
        <v>1574</v>
      </c>
      <c r="T1583" t="e">
        <f>INDEX(Stammdaten[Krümmung (mm/lfm)],MATCH(Tabelle10[[#This Row],[Rank]],Stammdaten[Rank Verteilung Krümmung],0))</f>
        <v>#N/A</v>
      </c>
      <c r="U1583" t="e">
        <f>VLOOKUP(Tabelle10[[#This Row],[Rank]],Stammdaten[[Rank Verteilung Krümmung]:[Verteilung Krümmung]],2,FALSE)</f>
        <v>#N/A</v>
      </c>
      <c r="Z1583">
        <v>1574</v>
      </c>
      <c r="AA1583" t="e">
        <f>INDEX(Stammdaten[Ovalität (']0,1'])],MATCH(Tabelle1014[[#This Row],[Rank]],Stammdaten[Rank Verteilung Ovalität],0))</f>
        <v>#N/A</v>
      </c>
      <c r="AB1583" t="e">
        <f>VLOOKUP(Tabelle1014[[#This Row],[Rank]],Stammdaten[[Rank Verteilung Ovalität]:[Verteilung Ovalität]],2,FALSE)</f>
        <v>#N/A</v>
      </c>
    </row>
    <row r="1584" spans="5:28" x14ac:dyDescent="0.35">
      <c r="E1584">
        <v>1575</v>
      </c>
      <c r="F1584" t="e">
        <f>INDEX(Stammdaten[D Mitte mit Rinde (mm)],MATCH(Tabelle8[[#This Row],[Rank]],Stammdaten[Rank Verteilung D Mitte mit Rinde],0))</f>
        <v>#N/A</v>
      </c>
      <c r="G1584" t="e">
        <f>VLOOKUP(Tabelle8[[#This Row],[Rank]],Stammdaten[[Rank Verteilung D Mitte mit Rinde]:[Verteilung D Mitte mit Rinde]],2,FALSE)</f>
        <v>#N/A</v>
      </c>
      <c r="L1584">
        <v>1575</v>
      </c>
      <c r="M1584" t="e">
        <f>INDEX(Stammdaten[Abholzigkeit (mm/lfm)],MATCH(Tabelle9[[#This Row],[Rank]],Stammdaten[Rank Verteilung Abholzigkeit],0))</f>
        <v>#N/A</v>
      </c>
      <c r="N1584" t="e">
        <f>VLOOKUP(Tabelle9[[#This Row],[Rank]],Stammdaten[[Rank Verteilung Abholzigkeit]:[Verteilung Abholzigkeit]],2,FALSE)</f>
        <v>#N/A</v>
      </c>
      <c r="S1584">
        <v>1575</v>
      </c>
      <c r="T1584" t="e">
        <f>INDEX(Stammdaten[Krümmung (mm/lfm)],MATCH(Tabelle10[[#This Row],[Rank]],Stammdaten[Rank Verteilung Krümmung],0))</f>
        <v>#N/A</v>
      </c>
      <c r="U1584" t="e">
        <f>VLOOKUP(Tabelle10[[#This Row],[Rank]],Stammdaten[[Rank Verteilung Krümmung]:[Verteilung Krümmung]],2,FALSE)</f>
        <v>#N/A</v>
      </c>
      <c r="Z1584">
        <v>1575</v>
      </c>
      <c r="AA1584" t="e">
        <f>INDEX(Stammdaten[Ovalität (']0,1'])],MATCH(Tabelle1014[[#This Row],[Rank]],Stammdaten[Rank Verteilung Ovalität],0))</f>
        <v>#N/A</v>
      </c>
      <c r="AB1584" t="e">
        <f>VLOOKUP(Tabelle1014[[#This Row],[Rank]],Stammdaten[[Rank Verteilung Ovalität]:[Verteilung Ovalität]],2,FALSE)</f>
        <v>#N/A</v>
      </c>
    </row>
    <row r="1585" spans="5:28" x14ac:dyDescent="0.35">
      <c r="E1585">
        <v>1576</v>
      </c>
      <c r="F1585" t="e">
        <f>INDEX(Stammdaten[D Mitte mit Rinde (mm)],MATCH(Tabelle8[[#This Row],[Rank]],Stammdaten[Rank Verteilung D Mitte mit Rinde],0))</f>
        <v>#N/A</v>
      </c>
      <c r="G1585" t="e">
        <f>VLOOKUP(Tabelle8[[#This Row],[Rank]],Stammdaten[[Rank Verteilung D Mitte mit Rinde]:[Verteilung D Mitte mit Rinde]],2,FALSE)</f>
        <v>#N/A</v>
      </c>
      <c r="L1585">
        <v>1576</v>
      </c>
      <c r="M1585" t="e">
        <f>INDEX(Stammdaten[Abholzigkeit (mm/lfm)],MATCH(Tabelle9[[#This Row],[Rank]],Stammdaten[Rank Verteilung Abholzigkeit],0))</f>
        <v>#N/A</v>
      </c>
      <c r="N1585" t="e">
        <f>VLOOKUP(Tabelle9[[#This Row],[Rank]],Stammdaten[[Rank Verteilung Abholzigkeit]:[Verteilung Abholzigkeit]],2,FALSE)</f>
        <v>#N/A</v>
      </c>
      <c r="S1585">
        <v>1576</v>
      </c>
      <c r="T1585" t="e">
        <f>INDEX(Stammdaten[Krümmung (mm/lfm)],MATCH(Tabelle10[[#This Row],[Rank]],Stammdaten[Rank Verteilung Krümmung],0))</f>
        <v>#N/A</v>
      </c>
      <c r="U1585" t="e">
        <f>VLOOKUP(Tabelle10[[#This Row],[Rank]],Stammdaten[[Rank Verteilung Krümmung]:[Verteilung Krümmung]],2,FALSE)</f>
        <v>#N/A</v>
      </c>
      <c r="Z1585">
        <v>1576</v>
      </c>
      <c r="AA1585" t="e">
        <f>INDEX(Stammdaten[Ovalität (']0,1'])],MATCH(Tabelle1014[[#This Row],[Rank]],Stammdaten[Rank Verteilung Ovalität],0))</f>
        <v>#N/A</v>
      </c>
      <c r="AB1585" t="e">
        <f>VLOOKUP(Tabelle1014[[#This Row],[Rank]],Stammdaten[[Rank Verteilung Ovalität]:[Verteilung Ovalität]],2,FALSE)</f>
        <v>#N/A</v>
      </c>
    </row>
    <row r="1586" spans="5:28" x14ac:dyDescent="0.35">
      <c r="E1586">
        <v>1577</v>
      </c>
      <c r="F1586" t="e">
        <f>INDEX(Stammdaten[D Mitte mit Rinde (mm)],MATCH(Tabelle8[[#This Row],[Rank]],Stammdaten[Rank Verteilung D Mitte mit Rinde],0))</f>
        <v>#N/A</v>
      </c>
      <c r="G1586" t="e">
        <f>VLOOKUP(Tabelle8[[#This Row],[Rank]],Stammdaten[[Rank Verteilung D Mitte mit Rinde]:[Verteilung D Mitte mit Rinde]],2,FALSE)</f>
        <v>#N/A</v>
      </c>
      <c r="L1586">
        <v>1577</v>
      </c>
      <c r="M1586" t="e">
        <f>INDEX(Stammdaten[Abholzigkeit (mm/lfm)],MATCH(Tabelle9[[#This Row],[Rank]],Stammdaten[Rank Verteilung Abholzigkeit],0))</f>
        <v>#N/A</v>
      </c>
      <c r="N1586" t="e">
        <f>VLOOKUP(Tabelle9[[#This Row],[Rank]],Stammdaten[[Rank Verteilung Abholzigkeit]:[Verteilung Abholzigkeit]],2,FALSE)</f>
        <v>#N/A</v>
      </c>
      <c r="S1586">
        <v>1577</v>
      </c>
      <c r="T1586" t="e">
        <f>INDEX(Stammdaten[Krümmung (mm/lfm)],MATCH(Tabelle10[[#This Row],[Rank]],Stammdaten[Rank Verteilung Krümmung],0))</f>
        <v>#N/A</v>
      </c>
      <c r="U1586" t="e">
        <f>VLOOKUP(Tabelle10[[#This Row],[Rank]],Stammdaten[[Rank Verteilung Krümmung]:[Verteilung Krümmung]],2,FALSE)</f>
        <v>#N/A</v>
      </c>
      <c r="Z1586">
        <v>1577</v>
      </c>
      <c r="AA1586" t="e">
        <f>INDEX(Stammdaten[Ovalität (']0,1'])],MATCH(Tabelle1014[[#This Row],[Rank]],Stammdaten[Rank Verteilung Ovalität],0))</f>
        <v>#N/A</v>
      </c>
      <c r="AB1586" t="e">
        <f>VLOOKUP(Tabelle1014[[#This Row],[Rank]],Stammdaten[[Rank Verteilung Ovalität]:[Verteilung Ovalität]],2,FALSE)</f>
        <v>#N/A</v>
      </c>
    </row>
    <row r="1587" spans="5:28" x14ac:dyDescent="0.35">
      <c r="E1587">
        <v>1578</v>
      </c>
      <c r="F1587" t="e">
        <f>INDEX(Stammdaten[D Mitte mit Rinde (mm)],MATCH(Tabelle8[[#This Row],[Rank]],Stammdaten[Rank Verteilung D Mitte mit Rinde],0))</f>
        <v>#N/A</v>
      </c>
      <c r="G1587" t="e">
        <f>VLOOKUP(Tabelle8[[#This Row],[Rank]],Stammdaten[[Rank Verteilung D Mitte mit Rinde]:[Verteilung D Mitte mit Rinde]],2,FALSE)</f>
        <v>#N/A</v>
      </c>
      <c r="L1587">
        <v>1578</v>
      </c>
      <c r="M1587" t="e">
        <f>INDEX(Stammdaten[Abholzigkeit (mm/lfm)],MATCH(Tabelle9[[#This Row],[Rank]],Stammdaten[Rank Verteilung Abholzigkeit],0))</f>
        <v>#N/A</v>
      </c>
      <c r="N1587" t="e">
        <f>VLOOKUP(Tabelle9[[#This Row],[Rank]],Stammdaten[[Rank Verteilung Abholzigkeit]:[Verteilung Abholzigkeit]],2,FALSE)</f>
        <v>#N/A</v>
      </c>
      <c r="S1587">
        <v>1578</v>
      </c>
      <c r="T1587" t="e">
        <f>INDEX(Stammdaten[Krümmung (mm/lfm)],MATCH(Tabelle10[[#This Row],[Rank]],Stammdaten[Rank Verteilung Krümmung],0))</f>
        <v>#N/A</v>
      </c>
      <c r="U1587" t="e">
        <f>VLOOKUP(Tabelle10[[#This Row],[Rank]],Stammdaten[[Rank Verteilung Krümmung]:[Verteilung Krümmung]],2,FALSE)</f>
        <v>#N/A</v>
      </c>
      <c r="Z1587">
        <v>1578</v>
      </c>
      <c r="AA1587" t="e">
        <f>INDEX(Stammdaten[Ovalität (']0,1'])],MATCH(Tabelle1014[[#This Row],[Rank]],Stammdaten[Rank Verteilung Ovalität],0))</f>
        <v>#N/A</v>
      </c>
      <c r="AB1587" t="e">
        <f>VLOOKUP(Tabelle1014[[#This Row],[Rank]],Stammdaten[[Rank Verteilung Ovalität]:[Verteilung Ovalität]],2,FALSE)</f>
        <v>#N/A</v>
      </c>
    </row>
    <row r="1588" spans="5:28" x14ac:dyDescent="0.35">
      <c r="E1588">
        <v>1579</v>
      </c>
      <c r="F1588" t="e">
        <f>INDEX(Stammdaten[D Mitte mit Rinde (mm)],MATCH(Tabelle8[[#This Row],[Rank]],Stammdaten[Rank Verteilung D Mitte mit Rinde],0))</f>
        <v>#N/A</v>
      </c>
      <c r="G1588" t="e">
        <f>VLOOKUP(Tabelle8[[#This Row],[Rank]],Stammdaten[[Rank Verteilung D Mitte mit Rinde]:[Verteilung D Mitte mit Rinde]],2,FALSE)</f>
        <v>#N/A</v>
      </c>
      <c r="L1588">
        <v>1579</v>
      </c>
      <c r="M1588" t="e">
        <f>INDEX(Stammdaten[Abholzigkeit (mm/lfm)],MATCH(Tabelle9[[#This Row],[Rank]],Stammdaten[Rank Verteilung Abholzigkeit],0))</f>
        <v>#N/A</v>
      </c>
      <c r="N1588" t="e">
        <f>VLOOKUP(Tabelle9[[#This Row],[Rank]],Stammdaten[[Rank Verteilung Abholzigkeit]:[Verteilung Abholzigkeit]],2,FALSE)</f>
        <v>#N/A</v>
      </c>
      <c r="S1588">
        <v>1579</v>
      </c>
      <c r="T1588" t="e">
        <f>INDEX(Stammdaten[Krümmung (mm/lfm)],MATCH(Tabelle10[[#This Row],[Rank]],Stammdaten[Rank Verteilung Krümmung],0))</f>
        <v>#N/A</v>
      </c>
      <c r="U1588" t="e">
        <f>VLOOKUP(Tabelle10[[#This Row],[Rank]],Stammdaten[[Rank Verteilung Krümmung]:[Verteilung Krümmung]],2,FALSE)</f>
        <v>#N/A</v>
      </c>
      <c r="Z1588">
        <v>1579</v>
      </c>
      <c r="AA1588" t="e">
        <f>INDEX(Stammdaten[Ovalität (']0,1'])],MATCH(Tabelle1014[[#This Row],[Rank]],Stammdaten[Rank Verteilung Ovalität],0))</f>
        <v>#N/A</v>
      </c>
      <c r="AB1588" t="e">
        <f>VLOOKUP(Tabelle1014[[#This Row],[Rank]],Stammdaten[[Rank Verteilung Ovalität]:[Verteilung Ovalität]],2,FALSE)</f>
        <v>#N/A</v>
      </c>
    </row>
    <row r="1589" spans="5:28" x14ac:dyDescent="0.35">
      <c r="E1589">
        <v>1580</v>
      </c>
      <c r="F1589" t="e">
        <f>INDEX(Stammdaten[D Mitte mit Rinde (mm)],MATCH(Tabelle8[[#This Row],[Rank]],Stammdaten[Rank Verteilung D Mitte mit Rinde],0))</f>
        <v>#N/A</v>
      </c>
      <c r="G1589" t="e">
        <f>VLOOKUP(Tabelle8[[#This Row],[Rank]],Stammdaten[[Rank Verteilung D Mitte mit Rinde]:[Verteilung D Mitte mit Rinde]],2,FALSE)</f>
        <v>#N/A</v>
      </c>
      <c r="L1589">
        <v>1580</v>
      </c>
      <c r="M1589" t="e">
        <f>INDEX(Stammdaten[Abholzigkeit (mm/lfm)],MATCH(Tabelle9[[#This Row],[Rank]],Stammdaten[Rank Verteilung Abholzigkeit],0))</f>
        <v>#N/A</v>
      </c>
      <c r="N1589" t="e">
        <f>VLOOKUP(Tabelle9[[#This Row],[Rank]],Stammdaten[[Rank Verteilung Abholzigkeit]:[Verteilung Abholzigkeit]],2,FALSE)</f>
        <v>#N/A</v>
      </c>
      <c r="S1589">
        <v>1580</v>
      </c>
      <c r="T1589" t="e">
        <f>INDEX(Stammdaten[Krümmung (mm/lfm)],MATCH(Tabelle10[[#This Row],[Rank]],Stammdaten[Rank Verteilung Krümmung],0))</f>
        <v>#N/A</v>
      </c>
      <c r="U1589" t="e">
        <f>VLOOKUP(Tabelle10[[#This Row],[Rank]],Stammdaten[[Rank Verteilung Krümmung]:[Verteilung Krümmung]],2,FALSE)</f>
        <v>#N/A</v>
      </c>
      <c r="Z1589">
        <v>1580</v>
      </c>
      <c r="AA1589" t="e">
        <f>INDEX(Stammdaten[Ovalität (']0,1'])],MATCH(Tabelle1014[[#This Row],[Rank]],Stammdaten[Rank Verteilung Ovalität],0))</f>
        <v>#N/A</v>
      </c>
      <c r="AB1589" t="e">
        <f>VLOOKUP(Tabelle1014[[#This Row],[Rank]],Stammdaten[[Rank Verteilung Ovalität]:[Verteilung Ovalität]],2,FALSE)</f>
        <v>#N/A</v>
      </c>
    </row>
    <row r="1590" spans="5:28" x14ac:dyDescent="0.35">
      <c r="E1590">
        <v>1581</v>
      </c>
      <c r="F1590" t="e">
        <f>INDEX(Stammdaten[D Mitte mit Rinde (mm)],MATCH(Tabelle8[[#This Row],[Rank]],Stammdaten[Rank Verteilung D Mitte mit Rinde],0))</f>
        <v>#N/A</v>
      </c>
      <c r="G1590" t="e">
        <f>VLOOKUP(Tabelle8[[#This Row],[Rank]],Stammdaten[[Rank Verteilung D Mitte mit Rinde]:[Verteilung D Mitte mit Rinde]],2,FALSE)</f>
        <v>#N/A</v>
      </c>
      <c r="L1590">
        <v>1581</v>
      </c>
      <c r="M1590" t="e">
        <f>INDEX(Stammdaten[Abholzigkeit (mm/lfm)],MATCH(Tabelle9[[#This Row],[Rank]],Stammdaten[Rank Verteilung Abholzigkeit],0))</f>
        <v>#N/A</v>
      </c>
      <c r="N1590" t="e">
        <f>VLOOKUP(Tabelle9[[#This Row],[Rank]],Stammdaten[[Rank Verteilung Abholzigkeit]:[Verteilung Abholzigkeit]],2,FALSE)</f>
        <v>#N/A</v>
      </c>
      <c r="S1590">
        <v>1581</v>
      </c>
      <c r="T1590" t="e">
        <f>INDEX(Stammdaten[Krümmung (mm/lfm)],MATCH(Tabelle10[[#This Row],[Rank]],Stammdaten[Rank Verteilung Krümmung],0))</f>
        <v>#N/A</v>
      </c>
      <c r="U1590" t="e">
        <f>VLOOKUP(Tabelle10[[#This Row],[Rank]],Stammdaten[[Rank Verteilung Krümmung]:[Verteilung Krümmung]],2,FALSE)</f>
        <v>#N/A</v>
      </c>
      <c r="Z1590">
        <v>1581</v>
      </c>
      <c r="AA1590" t="e">
        <f>INDEX(Stammdaten[Ovalität (']0,1'])],MATCH(Tabelle1014[[#This Row],[Rank]],Stammdaten[Rank Verteilung Ovalität],0))</f>
        <v>#N/A</v>
      </c>
      <c r="AB1590" t="e">
        <f>VLOOKUP(Tabelle1014[[#This Row],[Rank]],Stammdaten[[Rank Verteilung Ovalität]:[Verteilung Ovalität]],2,FALSE)</f>
        <v>#N/A</v>
      </c>
    </row>
    <row r="1591" spans="5:28" x14ac:dyDescent="0.35">
      <c r="E1591">
        <v>1582</v>
      </c>
      <c r="F1591" t="e">
        <f>INDEX(Stammdaten[D Mitte mit Rinde (mm)],MATCH(Tabelle8[[#This Row],[Rank]],Stammdaten[Rank Verteilung D Mitte mit Rinde],0))</f>
        <v>#N/A</v>
      </c>
      <c r="G1591" t="e">
        <f>VLOOKUP(Tabelle8[[#This Row],[Rank]],Stammdaten[[Rank Verteilung D Mitte mit Rinde]:[Verteilung D Mitte mit Rinde]],2,FALSE)</f>
        <v>#N/A</v>
      </c>
      <c r="L1591">
        <v>1582</v>
      </c>
      <c r="M1591" t="e">
        <f>INDEX(Stammdaten[Abholzigkeit (mm/lfm)],MATCH(Tabelle9[[#This Row],[Rank]],Stammdaten[Rank Verteilung Abholzigkeit],0))</f>
        <v>#N/A</v>
      </c>
      <c r="N1591" t="e">
        <f>VLOOKUP(Tabelle9[[#This Row],[Rank]],Stammdaten[[Rank Verteilung Abholzigkeit]:[Verteilung Abholzigkeit]],2,FALSE)</f>
        <v>#N/A</v>
      </c>
      <c r="S1591">
        <v>1582</v>
      </c>
      <c r="T1591" t="e">
        <f>INDEX(Stammdaten[Krümmung (mm/lfm)],MATCH(Tabelle10[[#This Row],[Rank]],Stammdaten[Rank Verteilung Krümmung],0))</f>
        <v>#N/A</v>
      </c>
      <c r="U1591" t="e">
        <f>VLOOKUP(Tabelle10[[#This Row],[Rank]],Stammdaten[[Rank Verteilung Krümmung]:[Verteilung Krümmung]],2,FALSE)</f>
        <v>#N/A</v>
      </c>
      <c r="Z1591">
        <v>1582</v>
      </c>
      <c r="AA1591" t="e">
        <f>INDEX(Stammdaten[Ovalität (']0,1'])],MATCH(Tabelle1014[[#This Row],[Rank]],Stammdaten[Rank Verteilung Ovalität],0))</f>
        <v>#N/A</v>
      </c>
      <c r="AB1591" t="e">
        <f>VLOOKUP(Tabelle1014[[#This Row],[Rank]],Stammdaten[[Rank Verteilung Ovalität]:[Verteilung Ovalität]],2,FALSE)</f>
        <v>#N/A</v>
      </c>
    </row>
    <row r="1592" spans="5:28" x14ac:dyDescent="0.35">
      <c r="E1592">
        <v>1583</v>
      </c>
      <c r="F1592" t="e">
        <f>INDEX(Stammdaten[D Mitte mit Rinde (mm)],MATCH(Tabelle8[[#This Row],[Rank]],Stammdaten[Rank Verteilung D Mitte mit Rinde],0))</f>
        <v>#N/A</v>
      </c>
      <c r="G1592" t="e">
        <f>VLOOKUP(Tabelle8[[#This Row],[Rank]],Stammdaten[[Rank Verteilung D Mitte mit Rinde]:[Verteilung D Mitte mit Rinde]],2,FALSE)</f>
        <v>#N/A</v>
      </c>
      <c r="L1592">
        <v>1583</v>
      </c>
      <c r="M1592" t="e">
        <f>INDEX(Stammdaten[Abholzigkeit (mm/lfm)],MATCH(Tabelle9[[#This Row],[Rank]],Stammdaten[Rank Verteilung Abholzigkeit],0))</f>
        <v>#N/A</v>
      </c>
      <c r="N1592" t="e">
        <f>VLOOKUP(Tabelle9[[#This Row],[Rank]],Stammdaten[[Rank Verteilung Abholzigkeit]:[Verteilung Abholzigkeit]],2,FALSE)</f>
        <v>#N/A</v>
      </c>
      <c r="S1592">
        <v>1583</v>
      </c>
      <c r="T1592" t="e">
        <f>INDEX(Stammdaten[Krümmung (mm/lfm)],MATCH(Tabelle10[[#This Row],[Rank]],Stammdaten[Rank Verteilung Krümmung],0))</f>
        <v>#N/A</v>
      </c>
      <c r="U1592" t="e">
        <f>VLOOKUP(Tabelle10[[#This Row],[Rank]],Stammdaten[[Rank Verteilung Krümmung]:[Verteilung Krümmung]],2,FALSE)</f>
        <v>#N/A</v>
      </c>
      <c r="Z1592">
        <v>1583</v>
      </c>
      <c r="AA1592" t="e">
        <f>INDEX(Stammdaten[Ovalität (']0,1'])],MATCH(Tabelle1014[[#This Row],[Rank]],Stammdaten[Rank Verteilung Ovalität],0))</f>
        <v>#N/A</v>
      </c>
      <c r="AB1592" t="e">
        <f>VLOOKUP(Tabelle1014[[#This Row],[Rank]],Stammdaten[[Rank Verteilung Ovalität]:[Verteilung Ovalität]],2,FALSE)</f>
        <v>#N/A</v>
      </c>
    </row>
    <row r="1593" spans="5:28" x14ac:dyDescent="0.35">
      <c r="E1593">
        <v>1584</v>
      </c>
      <c r="F1593" t="e">
        <f>INDEX(Stammdaten[D Mitte mit Rinde (mm)],MATCH(Tabelle8[[#This Row],[Rank]],Stammdaten[Rank Verteilung D Mitte mit Rinde],0))</f>
        <v>#N/A</v>
      </c>
      <c r="G1593" t="e">
        <f>VLOOKUP(Tabelle8[[#This Row],[Rank]],Stammdaten[[Rank Verteilung D Mitte mit Rinde]:[Verteilung D Mitte mit Rinde]],2,FALSE)</f>
        <v>#N/A</v>
      </c>
      <c r="L1593">
        <v>1584</v>
      </c>
      <c r="M1593" t="e">
        <f>INDEX(Stammdaten[Abholzigkeit (mm/lfm)],MATCH(Tabelle9[[#This Row],[Rank]],Stammdaten[Rank Verteilung Abholzigkeit],0))</f>
        <v>#N/A</v>
      </c>
      <c r="N1593" t="e">
        <f>VLOOKUP(Tabelle9[[#This Row],[Rank]],Stammdaten[[Rank Verteilung Abholzigkeit]:[Verteilung Abholzigkeit]],2,FALSE)</f>
        <v>#N/A</v>
      </c>
      <c r="S1593">
        <v>1584</v>
      </c>
      <c r="T1593" t="e">
        <f>INDEX(Stammdaten[Krümmung (mm/lfm)],MATCH(Tabelle10[[#This Row],[Rank]],Stammdaten[Rank Verteilung Krümmung],0))</f>
        <v>#N/A</v>
      </c>
      <c r="U1593" t="e">
        <f>VLOOKUP(Tabelle10[[#This Row],[Rank]],Stammdaten[[Rank Verteilung Krümmung]:[Verteilung Krümmung]],2,FALSE)</f>
        <v>#N/A</v>
      </c>
      <c r="Z1593">
        <v>1584</v>
      </c>
      <c r="AA1593" t="e">
        <f>INDEX(Stammdaten[Ovalität (']0,1'])],MATCH(Tabelle1014[[#This Row],[Rank]],Stammdaten[Rank Verteilung Ovalität],0))</f>
        <v>#N/A</v>
      </c>
      <c r="AB1593" t="e">
        <f>VLOOKUP(Tabelle1014[[#This Row],[Rank]],Stammdaten[[Rank Verteilung Ovalität]:[Verteilung Ovalität]],2,FALSE)</f>
        <v>#N/A</v>
      </c>
    </row>
    <row r="1594" spans="5:28" x14ac:dyDescent="0.35">
      <c r="E1594">
        <v>1585</v>
      </c>
      <c r="F1594" t="e">
        <f>INDEX(Stammdaten[D Mitte mit Rinde (mm)],MATCH(Tabelle8[[#This Row],[Rank]],Stammdaten[Rank Verteilung D Mitte mit Rinde],0))</f>
        <v>#N/A</v>
      </c>
      <c r="G1594" t="e">
        <f>VLOOKUP(Tabelle8[[#This Row],[Rank]],Stammdaten[[Rank Verteilung D Mitte mit Rinde]:[Verteilung D Mitte mit Rinde]],2,FALSE)</f>
        <v>#N/A</v>
      </c>
      <c r="L1594">
        <v>1585</v>
      </c>
      <c r="M1594" t="e">
        <f>INDEX(Stammdaten[Abholzigkeit (mm/lfm)],MATCH(Tabelle9[[#This Row],[Rank]],Stammdaten[Rank Verteilung Abholzigkeit],0))</f>
        <v>#N/A</v>
      </c>
      <c r="N1594" t="e">
        <f>VLOOKUP(Tabelle9[[#This Row],[Rank]],Stammdaten[[Rank Verteilung Abholzigkeit]:[Verteilung Abholzigkeit]],2,FALSE)</f>
        <v>#N/A</v>
      </c>
      <c r="S1594">
        <v>1585</v>
      </c>
      <c r="T1594" t="e">
        <f>INDEX(Stammdaten[Krümmung (mm/lfm)],MATCH(Tabelle10[[#This Row],[Rank]],Stammdaten[Rank Verteilung Krümmung],0))</f>
        <v>#N/A</v>
      </c>
      <c r="U1594" t="e">
        <f>VLOOKUP(Tabelle10[[#This Row],[Rank]],Stammdaten[[Rank Verteilung Krümmung]:[Verteilung Krümmung]],2,FALSE)</f>
        <v>#N/A</v>
      </c>
      <c r="Z1594">
        <v>1585</v>
      </c>
      <c r="AA1594" t="e">
        <f>INDEX(Stammdaten[Ovalität (']0,1'])],MATCH(Tabelle1014[[#This Row],[Rank]],Stammdaten[Rank Verteilung Ovalität],0))</f>
        <v>#N/A</v>
      </c>
      <c r="AB1594" t="e">
        <f>VLOOKUP(Tabelle1014[[#This Row],[Rank]],Stammdaten[[Rank Verteilung Ovalität]:[Verteilung Ovalität]],2,FALSE)</f>
        <v>#N/A</v>
      </c>
    </row>
    <row r="1595" spans="5:28" x14ac:dyDescent="0.35">
      <c r="E1595">
        <v>1586</v>
      </c>
      <c r="F1595" t="e">
        <f>INDEX(Stammdaten[D Mitte mit Rinde (mm)],MATCH(Tabelle8[[#This Row],[Rank]],Stammdaten[Rank Verteilung D Mitte mit Rinde],0))</f>
        <v>#N/A</v>
      </c>
      <c r="G1595" t="e">
        <f>VLOOKUP(Tabelle8[[#This Row],[Rank]],Stammdaten[[Rank Verteilung D Mitte mit Rinde]:[Verteilung D Mitte mit Rinde]],2,FALSE)</f>
        <v>#N/A</v>
      </c>
      <c r="L1595">
        <v>1586</v>
      </c>
      <c r="M1595" t="e">
        <f>INDEX(Stammdaten[Abholzigkeit (mm/lfm)],MATCH(Tabelle9[[#This Row],[Rank]],Stammdaten[Rank Verteilung Abholzigkeit],0))</f>
        <v>#N/A</v>
      </c>
      <c r="N1595" t="e">
        <f>VLOOKUP(Tabelle9[[#This Row],[Rank]],Stammdaten[[Rank Verteilung Abholzigkeit]:[Verteilung Abholzigkeit]],2,FALSE)</f>
        <v>#N/A</v>
      </c>
      <c r="S1595">
        <v>1586</v>
      </c>
      <c r="T1595" t="e">
        <f>INDEX(Stammdaten[Krümmung (mm/lfm)],MATCH(Tabelle10[[#This Row],[Rank]],Stammdaten[Rank Verteilung Krümmung],0))</f>
        <v>#N/A</v>
      </c>
      <c r="U1595" t="e">
        <f>VLOOKUP(Tabelle10[[#This Row],[Rank]],Stammdaten[[Rank Verteilung Krümmung]:[Verteilung Krümmung]],2,FALSE)</f>
        <v>#N/A</v>
      </c>
      <c r="Z1595">
        <v>1586</v>
      </c>
      <c r="AA1595" t="e">
        <f>INDEX(Stammdaten[Ovalität (']0,1'])],MATCH(Tabelle1014[[#This Row],[Rank]],Stammdaten[Rank Verteilung Ovalität],0))</f>
        <v>#N/A</v>
      </c>
      <c r="AB1595" t="e">
        <f>VLOOKUP(Tabelle1014[[#This Row],[Rank]],Stammdaten[[Rank Verteilung Ovalität]:[Verteilung Ovalität]],2,FALSE)</f>
        <v>#N/A</v>
      </c>
    </row>
    <row r="1596" spans="5:28" x14ac:dyDescent="0.35">
      <c r="E1596">
        <v>1587</v>
      </c>
      <c r="F1596" t="e">
        <f>INDEX(Stammdaten[D Mitte mit Rinde (mm)],MATCH(Tabelle8[[#This Row],[Rank]],Stammdaten[Rank Verteilung D Mitte mit Rinde],0))</f>
        <v>#N/A</v>
      </c>
      <c r="G1596" t="e">
        <f>VLOOKUP(Tabelle8[[#This Row],[Rank]],Stammdaten[[Rank Verteilung D Mitte mit Rinde]:[Verteilung D Mitte mit Rinde]],2,FALSE)</f>
        <v>#N/A</v>
      </c>
      <c r="L1596">
        <v>1587</v>
      </c>
      <c r="M1596" t="e">
        <f>INDEX(Stammdaten[Abholzigkeit (mm/lfm)],MATCH(Tabelle9[[#This Row],[Rank]],Stammdaten[Rank Verteilung Abholzigkeit],0))</f>
        <v>#N/A</v>
      </c>
      <c r="N1596" t="e">
        <f>VLOOKUP(Tabelle9[[#This Row],[Rank]],Stammdaten[[Rank Verteilung Abholzigkeit]:[Verteilung Abholzigkeit]],2,FALSE)</f>
        <v>#N/A</v>
      </c>
      <c r="S1596">
        <v>1587</v>
      </c>
      <c r="T1596" t="e">
        <f>INDEX(Stammdaten[Krümmung (mm/lfm)],MATCH(Tabelle10[[#This Row],[Rank]],Stammdaten[Rank Verteilung Krümmung],0))</f>
        <v>#N/A</v>
      </c>
      <c r="U1596" t="e">
        <f>VLOOKUP(Tabelle10[[#This Row],[Rank]],Stammdaten[[Rank Verteilung Krümmung]:[Verteilung Krümmung]],2,FALSE)</f>
        <v>#N/A</v>
      </c>
      <c r="Z1596">
        <v>1587</v>
      </c>
      <c r="AA1596" t="e">
        <f>INDEX(Stammdaten[Ovalität (']0,1'])],MATCH(Tabelle1014[[#This Row],[Rank]],Stammdaten[Rank Verteilung Ovalität],0))</f>
        <v>#N/A</v>
      </c>
      <c r="AB1596" t="e">
        <f>VLOOKUP(Tabelle1014[[#This Row],[Rank]],Stammdaten[[Rank Verteilung Ovalität]:[Verteilung Ovalität]],2,FALSE)</f>
        <v>#N/A</v>
      </c>
    </row>
    <row r="1597" spans="5:28" x14ac:dyDescent="0.35">
      <c r="E1597">
        <v>1588</v>
      </c>
      <c r="F1597" t="e">
        <f>INDEX(Stammdaten[D Mitte mit Rinde (mm)],MATCH(Tabelle8[[#This Row],[Rank]],Stammdaten[Rank Verteilung D Mitte mit Rinde],0))</f>
        <v>#N/A</v>
      </c>
      <c r="G1597" t="e">
        <f>VLOOKUP(Tabelle8[[#This Row],[Rank]],Stammdaten[[Rank Verteilung D Mitte mit Rinde]:[Verteilung D Mitte mit Rinde]],2,FALSE)</f>
        <v>#N/A</v>
      </c>
      <c r="L1597">
        <v>1588</v>
      </c>
      <c r="M1597" t="e">
        <f>INDEX(Stammdaten[Abholzigkeit (mm/lfm)],MATCH(Tabelle9[[#This Row],[Rank]],Stammdaten[Rank Verteilung Abholzigkeit],0))</f>
        <v>#N/A</v>
      </c>
      <c r="N1597" t="e">
        <f>VLOOKUP(Tabelle9[[#This Row],[Rank]],Stammdaten[[Rank Verteilung Abholzigkeit]:[Verteilung Abholzigkeit]],2,FALSE)</f>
        <v>#N/A</v>
      </c>
      <c r="S1597">
        <v>1588</v>
      </c>
      <c r="T1597" t="e">
        <f>INDEX(Stammdaten[Krümmung (mm/lfm)],MATCH(Tabelle10[[#This Row],[Rank]],Stammdaten[Rank Verteilung Krümmung],0))</f>
        <v>#N/A</v>
      </c>
      <c r="U1597" t="e">
        <f>VLOOKUP(Tabelle10[[#This Row],[Rank]],Stammdaten[[Rank Verteilung Krümmung]:[Verteilung Krümmung]],2,FALSE)</f>
        <v>#N/A</v>
      </c>
      <c r="Z1597">
        <v>1588</v>
      </c>
      <c r="AA1597" t="e">
        <f>INDEX(Stammdaten[Ovalität (']0,1'])],MATCH(Tabelle1014[[#This Row],[Rank]],Stammdaten[Rank Verteilung Ovalität],0))</f>
        <v>#N/A</v>
      </c>
      <c r="AB1597" t="e">
        <f>VLOOKUP(Tabelle1014[[#This Row],[Rank]],Stammdaten[[Rank Verteilung Ovalität]:[Verteilung Ovalität]],2,FALSE)</f>
        <v>#N/A</v>
      </c>
    </row>
    <row r="1598" spans="5:28" x14ac:dyDescent="0.35">
      <c r="E1598">
        <v>1589</v>
      </c>
      <c r="F1598" t="e">
        <f>INDEX(Stammdaten[D Mitte mit Rinde (mm)],MATCH(Tabelle8[[#This Row],[Rank]],Stammdaten[Rank Verteilung D Mitte mit Rinde],0))</f>
        <v>#N/A</v>
      </c>
      <c r="G1598" t="e">
        <f>VLOOKUP(Tabelle8[[#This Row],[Rank]],Stammdaten[[Rank Verteilung D Mitte mit Rinde]:[Verteilung D Mitte mit Rinde]],2,FALSE)</f>
        <v>#N/A</v>
      </c>
      <c r="L1598">
        <v>1589</v>
      </c>
      <c r="M1598" t="e">
        <f>INDEX(Stammdaten[Abholzigkeit (mm/lfm)],MATCH(Tabelle9[[#This Row],[Rank]],Stammdaten[Rank Verteilung Abholzigkeit],0))</f>
        <v>#N/A</v>
      </c>
      <c r="N1598" t="e">
        <f>VLOOKUP(Tabelle9[[#This Row],[Rank]],Stammdaten[[Rank Verteilung Abholzigkeit]:[Verteilung Abholzigkeit]],2,FALSE)</f>
        <v>#N/A</v>
      </c>
      <c r="S1598">
        <v>1589</v>
      </c>
      <c r="T1598" t="e">
        <f>INDEX(Stammdaten[Krümmung (mm/lfm)],MATCH(Tabelle10[[#This Row],[Rank]],Stammdaten[Rank Verteilung Krümmung],0))</f>
        <v>#N/A</v>
      </c>
      <c r="U1598" t="e">
        <f>VLOOKUP(Tabelle10[[#This Row],[Rank]],Stammdaten[[Rank Verteilung Krümmung]:[Verteilung Krümmung]],2,FALSE)</f>
        <v>#N/A</v>
      </c>
      <c r="Z1598">
        <v>1589</v>
      </c>
      <c r="AA1598" t="e">
        <f>INDEX(Stammdaten[Ovalität (']0,1'])],MATCH(Tabelle1014[[#This Row],[Rank]],Stammdaten[Rank Verteilung Ovalität],0))</f>
        <v>#N/A</v>
      </c>
      <c r="AB1598" t="e">
        <f>VLOOKUP(Tabelle1014[[#This Row],[Rank]],Stammdaten[[Rank Verteilung Ovalität]:[Verteilung Ovalität]],2,FALSE)</f>
        <v>#N/A</v>
      </c>
    </row>
    <row r="1599" spans="5:28" x14ac:dyDescent="0.35">
      <c r="E1599">
        <v>1590</v>
      </c>
      <c r="F1599" t="e">
        <f>INDEX(Stammdaten[D Mitte mit Rinde (mm)],MATCH(Tabelle8[[#This Row],[Rank]],Stammdaten[Rank Verteilung D Mitte mit Rinde],0))</f>
        <v>#N/A</v>
      </c>
      <c r="G1599" t="e">
        <f>VLOOKUP(Tabelle8[[#This Row],[Rank]],Stammdaten[[Rank Verteilung D Mitte mit Rinde]:[Verteilung D Mitte mit Rinde]],2,FALSE)</f>
        <v>#N/A</v>
      </c>
      <c r="L1599">
        <v>1590</v>
      </c>
      <c r="M1599" t="e">
        <f>INDEX(Stammdaten[Abholzigkeit (mm/lfm)],MATCH(Tabelle9[[#This Row],[Rank]],Stammdaten[Rank Verteilung Abholzigkeit],0))</f>
        <v>#N/A</v>
      </c>
      <c r="N1599" t="e">
        <f>VLOOKUP(Tabelle9[[#This Row],[Rank]],Stammdaten[[Rank Verteilung Abholzigkeit]:[Verteilung Abholzigkeit]],2,FALSE)</f>
        <v>#N/A</v>
      </c>
      <c r="S1599">
        <v>1590</v>
      </c>
      <c r="T1599" t="e">
        <f>INDEX(Stammdaten[Krümmung (mm/lfm)],MATCH(Tabelle10[[#This Row],[Rank]],Stammdaten[Rank Verteilung Krümmung],0))</f>
        <v>#N/A</v>
      </c>
      <c r="U1599" t="e">
        <f>VLOOKUP(Tabelle10[[#This Row],[Rank]],Stammdaten[[Rank Verteilung Krümmung]:[Verteilung Krümmung]],2,FALSE)</f>
        <v>#N/A</v>
      </c>
      <c r="Z1599">
        <v>1590</v>
      </c>
      <c r="AA1599" t="e">
        <f>INDEX(Stammdaten[Ovalität (']0,1'])],MATCH(Tabelle1014[[#This Row],[Rank]],Stammdaten[Rank Verteilung Ovalität],0))</f>
        <v>#N/A</v>
      </c>
      <c r="AB1599" t="e">
        <f>VLOOKUP(Tabelle1014[[#This Row],[Rank]],Stammdaten[[Rank Verteilung Ovalität]:[Verteilung Ovalität]],2,FALSE)</f>
        <v>#N/A</v>
      </c>
    </row>
    <row r="1600" spans="5:28" x14ac:dyDescent="0.35">
      <c r="E1600">
        <v>1591</v>
      </c>
      <c r="F1600" t="e">
        <f>INDEX(Stammdaten[D Mitte mit Rinde (mm)],MATCH(Tabelle8[[#This Row],[Rank]],Stammdaten[Rank Verteilung D Mitte mit Rinde],0))</f>
        <v>#N/A</v>
      </c>
      <c r="G1600" t="e">
        <f>VLOOKUP(Tabelle8[[#This Row],[Rank]],Stammdaten[[Rank Verteilung D Mitte mit Rinde]:[Verteilung D Mitte mit Rinde]],2,FALSE)</f>
        <v>#N/A</v>
      </c>
      <c r="L1600">
        <v>1591</v>
      </c>
      <c r="M1600" t="e">
        <f>INDEX(Stammdaten[Abholzigkeit (mm/lfm)],MATCH(Tabelle9[[#This Row],[Rank]],Stammdaten[Rank Verteilung Abholzigkeit],0))</f>
        <v>#N/A</v>
      </c>
      <c r="N1600" t="e">
        <f>VLOOKUP(Tabelle9[[#This Row],[Rank]],Stammdaten[[Rank Verteilung Abholzigkeit]:[Verteilung Abholzigkeit]],2,FALSE)</f>
        <v>#N/A</v>
      </c>
      <c r="S1600">
        <v>1591</v>
      </c>
      <c r="T1600" t="e">
        <f>INDEX(Stammdaten[Krümmung (mm/lfm)],MATCH(Tabelle10[[#This Row],[Rank]],Stammdaten[Rank Verteilung Krümmung],0))</f>
        <v>#N/A</v>
      </c>
      <c r="U1600" t="e">
        <f>VLOOKUP(Tabelle10[[#This Row],[Rank]],Stammdaten[[Rank Verteilung Krümmung]:[Verteilung Krümmung]],2,FALSE)</f>
        <v>#N/A</v>
      </c>
      <c r="Z1600">
        <v>1591</v>
      </c>
      <c r="AA1600" t="e">
        <f>INDEX(Stammdaten[Ovalität (']0,1'])],MATCH(Tabelle1014[[#This Row],[Rank]],Stammdaten[Rank Verteilung Ovalität],0))</f>
        <v>#N/A</v>
      </c>
      <c r="AB1600" t="e">
        <f>VLOOKUP(Tabelle1014[[#This Row],[Rank]],Stammdaten[[Rank Verteilung Ovalität]:[Verteilung Ovalität]],2,FALSE)</f>
        <v>#N/A</v>
      </c>
    </row>
    <row r="1601" spans="5:28" x14ac:dyDescent="0.35">
      <c r="E1601">
        <v>1592</v>
      </c>
      <c r="F1601" t="e">
        <f>INDEX(Stammdaten[D Mitte mit Rinde (mm)],MATCH(Tabelle8[[#This Row],[Rank]],Stammdaten[Rank Verteilung D Mitte mit Rinde],0))</f>
        <v>#N/A</v>
      </c>
      <c r="G1601" t="e">
        <f>VLOOKUP(Tabelle8[[#This Row],[Rank]],Stammdaten[[Rank Verteilung D Mitte mit Rinde]:[Verteilung D Mitte mit Rinde]],2,FALSE)</f>
        <v>#N/A</v>
      </c>
      <c r="L1601">
        <v>1592</v>
      </c>
      <c r="M1601" t="e">
        <f>INDEX(Stammdaten[Abholzigkeit (mm/lfm)],MATCH(Tabelle9[[#This Row],[Rank]],Stammdaten[Rank Verteilung Abholzigkeit],0))</f>
        <v>#N/A</v>
      </c>
      <c r="N1601" t="e">
        <f>VLOOKUP(Tabelle9[[#This Row],[Rank]],Stammdaten[[Rank Verteilung Abholzigkeit]:[Verteilung Abholzigkeit]],2,FALSE)</f>
        <v>#N/A</v>
      </c>
      <c r="S1601">
        <v>1592</v>
      </c>
      <c r="T1601" t="e">
        <f>INDEX(Stammdaten[Krümmung (mm/lfm)],MATCH(Tabelle10[[#This Row],[Rank]],Stammdaten[Rank Verteilung Krümmung],0))</f>
        <v>#N/A</v>
      </c>
      <c r="U1601" t="e">
        <f>VLOOKUP(Tabelle10[[#This Row],[Rank]],Stammdaten[[Rank Verteilung Krümmung]:[Verteilung Krümmung]],2,FALSE)</f>
        <v>#N/A</v>
      </c>
      <c r="Z1601">
        <v>1592</v>
      </c>
      <c r="AA1601" t="e">
        <f>INDEX(Stammdaten[Ovalität (']0,1'])],MATCH(Tabelle1014[[#This Row],[Rank]],Stammdaten[Rank Verteilung Ovalität],0))</f>
        <v>#N/A</v>
      </c>
      <c r="AB1601" t="e">
        <f>VLOOKUP(Tabelle1014[[#This Row],[Rank]],Stammdaten[[Rank Verteilung Ovalität]:[Verteilung Ovalität]],2,FALSE)</f>
        <v>#N/A</v>
      </c>
    </row>
    <row r="1602" spans="5:28" x14ac:dyDescent="0.35">
      <c r="E1602">
        <v>1593</v>
      </c>
      <c r="F1602" t="e">
        <f>INDEX(Stammdaten[D Mitte mit Rinde (mm)],MATCH(Tabelle8[[#This Row],[Rank]],Stammdaten[Rank Verteilung D Mitte mit Rinde],0))</f>
        <v>#N/A</v>
      </c>
      <c r="G1602" t="e">
        <f>VLOOKUP(Tabelle8[[#This Row],[Rank]],Stammdaten[[Rank Verteilung D Mitte mit Rinde]:[Verteilung D Mitte mit Rinde]],2,FALSE)</f>
        <v>#N/A</v>
      </c>
      <c r="L1602">
        <v>1593</v>
      </c>
      <c r="M1602" t="e">
        <f>INDEX(Stammdaten[Abholzigkeit (mm/lfm)],MATCH(Tabelle9[[#This Row],[Rank]],Stammdaten[Rank Verteilung Abholzigkeit],0))</f>
        <v>#N/A</v>
      </c>
      <c r="N1602" t="e">
        <f>VLOOKUP(Tabelle9[[#This Row],[Rank]],Stammdaten[[Rank Verteilung Abholzigkeit]:[Verteilung Abholzigkeit]],2,FALSE)</f>
        <v>#N/A</v>
      </c>
      <c r="S1602">
        <v>1593</v>
      </c>
      <c r="T1602" t="e">
        <f>INDEX(Stammdaten[Krümmung (mm/lfm)],MATCH(Tabelle10[[#This Row],[Rank]],Stammdaten[Rank Verteilung Krümmung],0))</f>
        <v>#N/A</v>
      </c>
      <c r="U1602" t="e">
        <f>VLOOKUP(Tabelle10[[#This Row],[Rank]],Stammdaten[[Rank Verteilung Krümmung]:[Verteilung Krümmung]],2,FALSE)</f>
        <v>#N/A</v>
      </c>
      <c r="Z1602">
        <v>1593</v>
      </c>
      <c r="AA1602" t="e">
        <f>INDEX(Stammdaten[Ovalität (']0,1'])],MATCH(Tabelle1014[[#This Row],[Rank]],Stammdaten[Rank Verteilung Ovalität],0))</f>
        <v>#N/A</v>
      </c>
      <c r="AB1602" t="e">
        <f>VLOOKUP(Tabelle1014[[#This Row],[Rank]],Stammdaten[[Rank Verteilung Ovalität]:[Verteilung Ovalität]],2,FALSE)</f>
        <v>#N/A</v>
      </c>
    </row>
    <row r="1603" spans="5:28" x14ac:dyDescent="0.35">
      <c r="E1603">
        <v>1594</v>
      </c>
      <c r="F1603" t="e">
        <f>INDEX(Stammdaten[D Mitte mit Rinde (mm)],MATCH(Tabelle8[[#This Row],[Rank]],Stammdaten[Rank Verteilung D Mitte mit Rinde],0))</f>
        <v>#N/A</v>
      </c>
      <c r="G1603" t="e">
        <f>VLOOKUP(Tabelle8[[#This Row],[Rank]],Stammdaten[[Rank Verteilung D Mitte mit Rinde]:[Verteilung D Mitte mit Rinde]],2,FALSE)</f>
        <v>#N/A</v>
      </c>
      <c r="L1603">
        <v>1594</v>
      </c>
      <c r="M1603" t="e">
        <f>INDEX(Stammdaten[Abholzigkeit (mm/lfm)],MATCH(Tabelle9[[#This Row],[Rank]],Stammdaten[Rank Verteilung Abholzigkeit],0))</f>
        <v>#N/A</v>
      </c>
      <c r="N1603" t="e">
        <f>VLOOKUP(Tabelle9[[#This Row],[Rank]],Stammdaten[[Rank Verteilung Abholzigkeit]:[Verteilung Abholzigkeit]],2,FALSE)</f>
        <v>#N/A</v>
      </c>
      <c r="S1603">
        <v>1594</v>
      </c>
      <c r="T1603" t="e">
        <f>INDEX(Stammdaten[Krümmung (mm/lfm)],MATCH(Tabelle10[[#This Row],[Rank]],Stammdaten[Rank Verteilung Krümmung],0))</f>
        <v>#N/A</v>
      </c>
      <c r="U1603" t="e">
        <f>VLOOKUP(Tabelle10[[#This Row],[Rank]],Stammdaten[[Rank Verteilung Krümmung]:[Verteilung Krümmung]],2,FALSE)</f>
        <v>#N/A</v>
      </c>
      <c r="Z1603">
        <v>1594</v>
      </c>
      <c r="AA1603" t="e">
        <f>INDEX(Stammdaten[Ovalität (']0,1'])],MATCH(Tabelle1014[[#This Row],[Rank]],Stammdaten[Rank Verteilung Ovalität],0))</f>
        <v>#N/A</v>
      </c>
      <c r="AB1603" t="e">
        <f>VLOOKUP(Tabelle1014[[#This Row],[Rank]],Stammdaten[[Rank Verteilung Ovalität]:[Verteilung Ovalität]],2,FALSE)</f>
        <v>#N/A</v>
      </c>
    </row>
    <row r="1604" spans="5:28" x14ac:dyDescent="0.35">
      <c r="E1604">
        <v>1595</v>
      </c>
      <c r="F1604" t="e">
        <f>INDEX(Stammdaten[D Mitte mit Rinde (mm)],MATCH(Tabelle8[[#This Row],[Rank]],Stammdaten[Rank Verteilung D Mitte mit Rinde],0))</f>
        <v>#N/A</v>
      </c>
      <c r="G1604" t="e">
        <f>VLOOKUP(Tabelle8[[#This Row],[Rank]],Stammdaten[[Rank Verteilung D Mitte mit Rinde]:[Verteilung D Mitte mit Rinde]],2,FALSE)</f>
        <v>#N/A</v>
      </c>
      <c r="L1604">
        <v>1595</v>
      </c>
      <c r="M1604" t="e">
        <f>INDEX(Stammdaten[Abholzigkeit (mm/lfm)],MATCH(Tabelle9[[#This Row],[Rank]],Stammdaten[Rank Verteilung Abholzigkeit],0))</f>
        <v>#N/A</v>
      </c>
      <c r="N1604" t="e">
        <f>VLOOKUP(Tabelle9[[#This Row],[Rank]],Stammdaten[[Rank Verteilung Abholzigkeit]:[Verteilung Abholzigkeit]],2,FALSE)</f>
        <v>#N/A</v>
      </c>
      <c r="S1604">
        <v>1595</v>
      </c>
      <c r="T1604" t="e">
        <f>INDEX(Stammdaten[Krümmung (mm/lfm)],MATCH(Tabelle10[[#This Row],[Rank]],Stammdaten[Rank Verteilung Krümmung],0))</f>
        <v>#N/A</v>
      </c>
      <c r="U1604" t="e">
        <f>VLOOKUP(Tabelle10[[#This Row],[Rank]],Stammdaten[[Rank Verteilung Krümmung]:[Verteilung Krümmung]],2,FALSE)</f>
        <v>#N/A</v>
      </c>
      <c r="Z1604">
        <v>1595</v>
      </c>
      <c r="AA1604" t="e">
        <f>INDEX(Stammdaten[Ovalität (']0,1'])],MATCH(Tabelle1014[[#This Row],[Rank]],Stammdaten[Rank Verteilung Ovalität],0))</f>
        <v>#N/A</v>
      </c>
      <c r="AB1604" t="e">
        <f>VLOOKUP(Tabelle1014[[#This Row],[Rank]],Stammdaten[[Rank Verteilung Ovalität]:[Verteilung Ovalität]],2,FALSE)</f>
        <v>#N/A</v>
      </c>
    </row>
    <row r="1605" spans="5:28" x14ac:dyDescent="0.35">
      <c r="E1605">
        <v>1596</v>
      </c>
      <c r="F1605" t="e">
        <f>INDEX(Stammdaten[D Mitte mit Rinde (mm)],MATCH(Tabelle8[[#This Row],[Rank]],Stammdaten[Rank Verteilung D Mitte mit Rinde],0))</f>
        <v>#N/A</v>
      </c>
      <c r="G1605" t="e">
        <f>VLOOKUP(Tabelle8[[#This Row],[Rank]],Stammdaten[[Rank Verteilung D Mitte mit Rinde]:[Verteilung D Mitte mit Rinde]],2,FALSE)</f>
        <v>#N/A</v>
      </c>
      <c r="L1605">
        <v>1596</v>
      </c>
      <c r="M1605" t="e">
        <f>INDEX(Stammdaten[Abholzigkeit (mm/lfm)],MATCH(Tabelle9[[#This Row],[Rank]],Stammdaten[Rank Verteilung Abholzigkeit],0))</f>
        <v>#N/A</v>
      </c>
      <c r="N1605" t="e">
        <f>VLOOKUP(Tabelle9[[#This Row],[Rank]],Stammdaten[[Rank Verteilung Abholzigkeit]:[Verteilung Abholzigkeit]],2,FALSE)</f>
        <v>#N/A</v>
      </c>
      <c r="S1605">
        <v>1596</v>
      </c>
      <c r="T1605" t="e">
        <f>INDEX(Stammdaten[Krümmung (mm/lfm)],MATCH(Tabelle10[[#This Row],[Rank]],Stammdaten[Rank Verteilung Krümmung],0))</f>
        <v>#N/A</v>
      </c>
      <c r="U1605" t="e">
        <f>VLOOKUP(Tabelle10[[#This Row],[Rank]],Stammdaten[[Rank Verteilung Krümmung]:[Verteilung Krümmung]],2,FALSE)</f>
        <v>#N/A</v>
      </c>
      <c r="Z1605">
        <v>1596</v>
      </c>
      <c r="AA1605" t="e">
        <f>INDEX(Stammdaten[Ovalität (']0,1'])],MATCH(Tabelle1014[[#This Row],[Rank]],Stammdaten[Rank Verteilung Ovalität],0))</f>
        <v>#N/A</v>
      </c>
      <c r="AB1605" t="e">
        <f>VLOOKUP(Tabelle1014[[#This Row],[Rank]],Stammdaten[[Rank Verteilung Ovalität]:[Verteilung Ovalität]],2,FALSE)</f>
        <v>#N/A</v>
      </c>
    </row>
    <row r="1606" spans="5:28" x14ac:dyDescent="0.35">
      <c r="E1606">
        <v>1597</v>
      </c>
      <c r="F1606" t="e">
        <f>INDEX(Stammdaten[D Mitte mit Rinde (mm)],MATCH(Tabelle8[[#This Row],[Rank]],Stammdaten[Rank Verteilung D Mitte mit Rinde],0))</f>
        <v>#N/A</v>
      </c>
      <c r="G1606" t="e">
        <f>VLOOKUP(Tabelle8[[#This Row],[Rank]],Stammdaten[[Rank Verteilung D Mitte mit Rinde]:[Verteilung D Mitte mit Rinde]],2,FALSE)</f>
        <v>#N/A</v>
      </c>
      <c r="L1606">
        <v>1597</v>
      </c>
      <c r="M1606" t="e">
        <f>INDEX(Stammdaten[Abholzigkeit (mm/lfm)],MATCH(Tabelle9[[#This Row],[Rank]],Stammdaten[Rank Verteilung Abholzigkeit],0))</f>
        <v>#N/A</v>
      </c>
      <c r="N1606" t="e">
        <f>VLOOKUP(Tabelle9[[#This Row],[Rank]],Stammdaten[[Rank Verteilung Abholzigkeit]:[Verteilung Abholzigkeit]],2,FALSE)</f>
        <v>#N/A</v>
      </c>
      <c r="S1606">
        <v>1597</v>
      </c>
      <c r="T1606" t="e">
        <f>INDEX(Stammdaten[Krümmung (mm/lfm)],MATCH(Tabelle10[[#This Row],[Rank]],Stammdaten[Rank Verteilung Krümmung],0))</f>
        <v>#N/A</v>
      </c>
      <c r="U1606" t="e">
        <f>VLOOKUP(Tabelle10[[#This Row],[Rank]],Stammdaten[[Rank Verteilung Krümmung]:[Verteilung Krümmung]],2,FALSE)</f>
        <v>#N/A</v>
      </c>
      <c r="Z1606">
        <v>1597</v>
      </c>
      <c r="AA1606" t="e">
        <f>INDEX(Stammdaten[Ovalität (']0,1'])],MATCH(Tabelle1014[[#This Row],[Rank]],Stammdaten[Rank Verteilung Ovalität],0))</f>
        <v>#N/A</v>
      </c>
      <c r="AB1606" t="e">
        <f>VLOOKUP(Tabelle1014[[#This Row],[Rank]],Stammdaten[[Rank Verteilung Ovalität]:[Verteilung Ovalität]],2,FALSE)</f>
        <v>#N/A</v>
      </c>
    </row>
    <row r="1607" spans="5:28" x14ac:dyDescent="0.35">
      <c r="E1607">
        <v>1598</v>
      </c>
      <c r="F1607" t="e">
        <f>INDEX(Stammdaten[D Mitte mit Rinde (mm)],MATCH(Tabelle8[[#This Row],[Rank]],Stammdaten[Rank Verteilung D Mitte mit Rinde],0))</f>
        <v>#N/A</v>
      </c>
      <c r="G1607" t="e">
        <f>VLOOKUP(Tabelle8[[#This Row],[Rank]],Stammdaten[[Rank Verteilung D Mitte mit Rinde]:[Verteilung D Mitte mit Rinde]],2,FALSE)</f>
        <v>#N/A</v>
      </c>
      <c r="L1607">
        <v>1598</v>
      </c>
      <c r="M1607" t="e">
        <f>INDEX(Stammdaten[Abholzigkeit (mm/lfm)],MATCH(Tabelle9[[#This Row],[Rank]],Stammdaten[Rank Verteilung Abholzigkeit],0))</f>
        <v>#N/A</v>
      </c>
      <c r="N1607" t="e">
        <f>VLOOKUP(Tabelle9[[#This Row],[Rank]],Stammdaten[[Rank Verteilung Abholzigkeit]:[Verteilung Abholzigkeit]],2,FALSE)</f>
        <v>#N/A</v>
      </c>
      <c r="S1607">
        <v>1598</v>
      </c>
      <c r="T1607" t="e">
        <f>INDEX(Stammdaten[Krümmung (mm/lfm)],MATCH(Tabelle10[[#This Row],[Rank]],Stammdaten[Rank Verteilung Krümmung],0))</f>
        <v>#N/A</v>
      </c>
      <c r="U1607" t="e">
        <f>VLOOKUP(Tabelle10[[#This Row],[Rank]],Stammdaten[[Rank Verteilung Krümmung]:[Verteilung Krümmung]],2,FALSE)</f>
        <v>#N/A</v>
      </c>
      <c r="Z1607">
        <v>1598</v>
      </c>
      <c r="AA1607" t="e">
        <f>INDEX(Stammdaten[Ovalität (']0,1'])],MATCH(Tabelle1014[[#This Row],[Rank]],Stammdaten[Rank Verteilung Ovalität],0))</f>
        <v>#N/A</v>
      </c>
      <c r="AB1607" t="e">
        <f>VLOOKUP(Tabelle1014[[#This Row],[Rank]],Stammdaten[[Rank Verteilung Ovalität]:[Verteilung Ovalität]],2,FALSE)</f>
        <v>#N/A</v>
      </c>
    </row>
    <row r="1608" spans="5:28" x14ac:dyDescent="0.35">
      <c r="E1608">
        <v>1599</v>
      </c>
      <c r="F1608" t="e">
        <f>INDEX(Stammdaten[D Mitte mit Rinde (mm)],MATCH(Tabelle8[[#This Row],[Rank]],Stammdaten[Rank Verteilung D Mitte mit Rinde],0))</f>
        <v>#N/A</v>
      </c>
      <c r="G1608" t="e">
        <f>VLOOKUP(Tabelle8[[#This Row],[Rank]],Stammdaten[[Rank Verteilung D Mitte mit Rinde]:[Verteilung D Mitte mit Rinde]],2,FALSE)</f>
        <v>#N/A</v>
      </c>
      <c r="L1608">
        <v>1599</v>
      </c>
      <c r="M1608" t="e">
        <f>INDEX(Stammdaten[Abholzigkeit (mm/lfm)],MATCH(Tabelle9[[#This Row],[Rank]],Stammdaten[Rank Verteilung Abholzigkeit],0))</f>
        <v>#N/A</v>
      </c>
      <c r="N1608" t="e">
        <f>VLOOKUP(Tabelle9[[#This Row],[Rank]],Stammdaten[[Rank Verteilung Abholzigkeit]:[Verteilung Abholzigkeit]],2,FALSE)</f>
        <v>#N/A</v>
      </c>
      <c r="S1608">
        <v>1599</v>
      </c>
      <c r="T1608" t="e">
        <f>INDEX(Stammdaten[Krümmung (mm/lfm)],MATCH(Tabelle10[[#This Row],[Rank]],Stammdaten[Rank Verteilung Krümmung],0))</f>
        <v>#N/A</v>
      </c>
      <c r="U1608" t="e">
        <f>VLOOKUP(Tabelle10[[#This Row],[Rank]],Stammdaten[[Rank Verteilung Krümmung]:[Verteilung Krümmung]],2,FALSE)</f>
        <v>#N/A</v>
      </c>
      <c r="Z1608">
        <v>1599</v>
      </c>
      <c r="AA1608" t="e">
        <f>INDEX(Stammdaten[Ovalität (']0,1'])],MATCH(Tabelle1014[[#This Row],[Rank]],Stammdaten[Rank Verteilung Ovalität],0))</f>
        <v>#N/A</v>
      </c>
      <c r="AB1608" t="e">
        <f>VLOOKUP(Tabelle1014[[#This Row],[Rank]],Stammdaten[[Rank Verteilung Ovalität]:[Verteilung Ovalität]],2,FALSE)</f>
        <v>#N/A</v>
      </c>
    </row>
    <row r="1609" spans="5:28" x14ac:dyDescent="0.35">
      <c r="E1609">
        <v>1600</v>
      </c>
      <c r="F1609" t="e">
        <f>INDEX(Stammdaten[D Mitte mit Rinde (mm)],MATCH(Tabelle8[[#This Row],[Rank]],Stammdaten[Rank Verteilung D Mitte mit Rinde],0))</f>
        <v>#N/A</v>
      </c>
      <c r="G1609" t="e">
        <f>VLOOKUP(Tabelle8[[#This Row],[Rank]],Stammdaten[[Rank Verteilung D Mitte mit Rinde]:[Verteilung D Mitte mit Rinde]],2,FALSE)</f>
        <v>#N/A</v>
      </c>
      <c r="L1609">
        <v>1600</v>
      </c>
      <c r="M1609" t="e">
        <f>INDEX(Stammdaten[Abholzigkeit (mm/lfm)],MATCH(Tabelle9[[#This Row],[Rank]],Stammdaten[Rank Verteilung Abholzigkeit],0))</f>
        <v>#N/A</v>
      </c>
      <c r="N1609" t="e">
        <f>VLOOKUP(Tabelle9[[#This Row],[Rank]],Stammdaten[[Rank Verteilung Abholzigkeit]:[Verteilung Abholzigkeit]],2,FALSE)</f>
        <v>#N/A</v>
      </c>
      <c r="S1609">
        <v>1600</v>
      </c>
      <c r="T1609" t="e">
        <f>INDEX(Stammdaten[Krümmung (mm/lfm)],MATCH(Tabelle10[[#This Row],[Rank]],Stammdaten[Rank Verteilung Krümmung],0))</f>
        <v>#N/A</v>
      </c>
      <c r="U1609" t="e">
        <f>VLOOKUP(Tabelle10[[#This Row],[Rank]],Stammdaten[[Rank Verteilung Krümmung]:[Verteilung Krümmung]],2,FALSE)</f>
        <v>#N/A</v>
      </c>
      <c r="Z1609">
        <v>1600</v>
      </c>
      <c r="AA1609" t="e">
        <f>INDEX(Stammdaten[Ovalität (']0,1'])],MATCH(Tabelle1014[[#This Row],[Rank]],Stammdaten[Rank Verteilung Ovalität],0))</f>
        <v>#N/A</v>
      </c>
      <c r="AB1609" t="e">
        <f>VLOOKUP(Tabelle1014[[#This Row],[Rank]],Stammdaten[[Rank Verteilung Ovalität]:[Verteilung Ovalität]],2,FALSE)</f>
        <v>#N/A</v>
      </c>
    </row>
    <row r="1610" spans="5:28" x14ac:dyDescent="0.35">
      <c r="E1610">
        <v>1601</v>
      </c>
      <c r="F1610" t="e">
        <f>INDEX(Stammdaten[D Mitte mit Rinde (mm)],MATCH(Tabelle8[[#This Row],[Rank]],Stammdaten[Rank Verteilung D Mitte mit Rinde],0))</f>
        <v>#N/A</v>
      </c>
      <c r="G1610" t="e">
        <f>VLOOKUP(Tabelle8[[#This Row],[Rank]],Stammdaten[[Rank Verteilung D Mitte mit Rinde]:[Verteilung D Mitte mit Rinde]],2,FALSE)</f>
        <v>#N/A</v>
      </c>
      <c r="L1610">
        <v>1601</v>
      </c>
      <c r="M1610" t="e">
        <f>INDEX(Stammdaten[Abholzigkeit (mm/lfm)],MATCH(Tabelle9[[#This Row],[Rank]],Stammdaten[Rank Verteilung Abholzigkeit],0))</f>
        <v>#N/A</v>
      </c>
      <c r="N1610" t="e">
        <f>VLOOKUP(Tabelle9[[#This Row],[Rank]],Stammdaten[[Rank Verteilung Abholzigkeit]:[Verteilung Abholzigkeit]],2,FALSE)</f>
        <v>#N/A</v>
      </c>
      <c r="S1610">
        <v>1601</v>
      </c>
      <c r="T1610" t="e">
        <f>INDEX(Stammdaten[Krümmung (mm/lfm)],MATCH(Tabelle10[[#This Row],[Rank]],Stammdaten[Rank Verteilung Krümmung],0))</f>
        <v>#N/A</v>
      </c>
      <c r="U1610" t="e">
        <f>VLOOKUP(Tabelle10[[#This Row],[Rank]],Stammdaten[[Rank Verteilung Krümmung]:[Verteilung Krümmung]],2,FALSE)</f>
        <v>#N/A</v>
      </c>
      <c r="Z1610">
        <v>1601</v>
      </c>
      <c r="AA1610" t="e">
        <f>INDEX(Stammdaten[Ovalität (']0,1'])],MATCH(Tabelle1014[[#This Row],[Rank]],Stammdaten[Rank Verteilung Ovalität],0))</f>
        <v>#N/A</v>
      </c>
      <c r="AB1610" t="e">
        <f>VLOOKUP(Tabelle1014[[#This Row],[Rank]],Stammdaten[[Rank Verteilung Ovalität]:[Verteilung Ovalität]],2,FALSE)</f>
        <v>#N/A</v>
      </c>
    </row>
    <row r="1611" spans="5:28" x14ac:dyDescent="0.35">
      <c r="E1611">
        <v>1602</v>
      </c>
      <c r="F1611" t="e">
        <f>INDEX(Stammdaten[D Mitte mit Rinde (mm)],MATCH(Tabelle8[[#This Row],[Rank]],Stammdaten[Rank Verteilung D Mitte mit Rinde],0))</f>
        <v>#N/A</v>
      </c>
      <c r="G1611" t="e">
        <f>VLOOKUP(Tabelle8[[#This Row],[Rank]],Stammdaten[[Rank Verteilung D Mitte mit Rinde]:[Verteilung D Mitte mit Rinde]],2,FALSE)</f>
        <v>#N/A</v>
      </c>
      <c r="L1611">
        <v>1602</v>
      </c>
      <c r="M1611" t="e">
        <f>INDEX(Stammdaten[Abholzigkeit (mm/lfm)],MATCH(Tabelle9[[#This Row],[Rank]],Stammdaten[Rank Verteilung Abholzigkeit],0))</f>
        <v>#N/A</v>
      </c>
      <c r="N1611" t="e">
        <f>VLOOKUP(Tabelle9[[#This Row],[Rank]],Stammdaten[[Rank Verteilung Abholzigkeit]:[Verteilung Abholzigkeit]],2,FALSE)</f>
        <v>#N/A</v>
      </c>
      <c r="S1611">
        <v>1602</v>
      </c>
      <c r="T1611" t="e">
        <f>INDEX(Stammdaten[Krümmung (mm/lfm)],MATCH(Tabelle10[[#This Row],[Rank]],Stammdaten[Rank Verteilung Krümmung],0))</f>
        <v>#N/A</v>
      </c>
      <c r="U1611" t="e">
        <f>VLOOKUP(Tabelle10[[#This Row],[Rank]],Stammdaten[[Rank Verteilung Krümmung]:[Verteilung Krümmung]],2,FALSE)</f>
        <v>#N/A</v>
      </c>
      <c r="Z1611">
        <v>1602</v>
      </c>
      <c r="AA1611" t="e">
        <f>INDEX(Stammdaten[Ovalität (']0,1'])],MATCH(Tabelle1014[[#This Row],[Rank]],Stammdaten[Rank Verteilung Ovalität],0))</f>
        <v>#N/A</v>
      </c>
      <c r="AB1611" t="e">
        <f>VLOOKUP(Tabelle1014[[#This Row],[Rank]],Stammdaten[[Rank Verteilung Ovalität]:[Verteilung Ovalität]],2,FALSE)</f>
        <v>#N/A</v>
      </c>
    </row>
    <row r="1612" spans="5:28" x14ac:dyDescent="0.35">
      <c r="E1612">
        <v>1603</v>
      </c>
      <c r="F1612" t="e">
        <f>INDEX(Stammdaten[D Mitte mit Rinde (mm)],MATCH(Tabelle8[[#This Row],[Rank]],Stammdaten[Rank Verteilung D Mitte mit Rinde],0))</f>
        <v>#N/A</v>
      </c>
      <c r="G1612" t="e">
        <f>VLOOKUP(Tabelle8[[#This Row],[Rank]],Stammdaten[[Rank Verteilung D Mitte mit Rinde]:[Verteilung D Mitte mit Rinde]],2,FALSE)</f>
        <v>#N/A</v>
      </c>
      <c r="L1612">
        <v>1603</v>
      </c>
      <c r="M1612" t="e">
        <f>INDEX(Stammdaten[Abholzigkeit (mm/lfm)],MATCH(Tabelle9[[#This Row],[Rank]],Stammdaten[Rank Verteilung Abholzigkeit],0))</f>
        <v>#N/A</v>
      </c>
      <c r="N1612" t="e">
        <f>VLOOKUP(Tabelle9[[#This Row],[Rank]],Stammdaten[[Rank Verteilung Abholzigkeit]:[Verteilung Abholzigkeit]],2,FALSE)</f>
        <v>#N/A</v>
      </c>
      <c r="S1612">
        <v>1603</v>
      </c>
      <c r="T1612" t="e">
        <f>INDEX(Stammdaten[Krümmung (mm/lfm)],MATCH(Tabelle10[[#This Row],[Rank]],Stammdaten[Rank Verteilung Krümmung],0))</f>
        <v>#N/A</v>
      </c>
      <c r="U1612" t="e">
        <f>VLOOKUP(Tabelle10[[#This Row],[Rank]],Stammdaten[[Rank Verteilung Krümmung]:[Verteilung Krümmung]],2,FALSE)</f>
        <v>#N/A</v>
      </c>
      <c r="Z1612">
        <v>1603</v>
      </c>
      <c r="AA1612" t="e">
        <f>INDEX(Stammdaten[Ovalität (']0,1'])],MATCH(Tabelle1014[[#This Row],[Rank]],Stammdaten[Rank Verteilung Ovalität],0))</f>
        <v>#N/A</v>
      </c>
      <c r="AB1612" t="e">
        <f>VLOOKUP(Tabelle1014[[#This Row],[Rank]],Stammdaten[[Rank Verteilung Ovalität]:[Verteilung Ovalität]],2,FALSE)</f>
        <v>#N/A</v>
      </c>
    </row>
    <row r="1613" spans="5:28" x14ac:dyDescent="0.35">
      <c r="E1613">
        <v>1604</v>
      </c>
      <c r="F1613" t="e">
        <f>INDEX(Stammdaten[D Mitte mit Rinde (mm)],MATCH(Tabelle8[[#This Row],[Rank]],Stammdaten[Rank Verteilung D Mitte mit Rinde],0))</f>
        <v>#N/A</v>
      </c>
      <c r="G1613" t="e">
        <f>VLOOKUP(Tabelle8[[#This Row],[Rank]],Stammdaten[[Rank Verteilung D Mitte mit Rinde]:[Verteilung D Mitte mit Rinde]],2,FALSE)</f>
        <v>#N/A</v>
      </c>
      <c r="L1613">
        <v>1604</v>
      </c>
      <c r="M1613" t="e">
        <f>INDEX(Stammdaten[Abholzigkeit (mm/lfm)],MATCH(Tabelle9[[#This Row],[Rank]],Stammdaten[Rank Verteilung Abholzigkeit],0))</f>
        <v>#N/A</v>
      </c>
      <c r="N1613" t="e">
        <f>VLOOKUP(Tabelle9[[#This Row],[Rank]],Stammdaten[[Rank Verteilung Abholzigkeit]:[Verteilung Abholzigkeit]],2,FALSE)</f>
        <v>#N/A</v>
      </c>
      <c r="S1613">
        <v>1604</v>
      </c>
      <c r="T1613" t="e">
        <f>INDEX(Stammdaten[Krümmung (mm/lfm)],MATCH(Tabelle10[[#This Row],[Rank]],Stammdaten[Rank Verteilung Krümmung],0))</f>
        <v>#N/A</v>
      </c>
      <c r="U1613" t="e">
        <f>VLOOKUP(Tabelle10[[#This Row],[Rank]],Stammdaten[[Rank Verteilung Krümmung]:[Verteilung Krümmung]],2,FALSE)</f>
        <v>#N/A</v>
      </c>
      <c r="Z1613">
        <v>1604</v>
      </c>
      <c r="AA1613" t="e">
        <f>INDEX(Stammdaten[Ovalität (']0,1'])],MATCH(Tabelle1014[[#This Row],[Rank]],Stammdaten[Rank Verteilung Ovalität],0))</f>
        <v>#N/A</v>
      </c>
      <c r="AB1613" t="e">
        <f>VLOOKUP(Tabelle1014[[#This Row],[Rank]],Stammdaten[[Rank Verteilung Ovalität]:[Verteilung Ovalität]],2,FALSE)</f>
        <v>#N/A</v>
      </c>
    </row>
    <row r="1614" spans="5:28" x14ac:dyDescent="0.35">
      <c r="E1614">
        <v>1605</v>
      </c>
      <c r="F1614" t="e">
        <f>INDEX(Stammdaten[D Mitte mit Rinde (mm)],MATCH(Tabelle8[[#This Row],[Rank]],Stammdaten[Rank Verteilung D Mitte mit Rinde],0))</f>
        <v>#N/A</v>
      </c>
      <c r="G1614" t="e">
        <f>VLOOKUP(Tabelle8[[#This Row],[Rank]],Stammdaten[[Rank Verteilung D Mitte mit Rinde]:[Verteilung D Mitte mit Rinde]],2,FALSE)</f>
        <v>#N/A</v>
      </c>
      <c r="L1614">
        <v>1605</v>
      </c>
      <c r="M1614" t="e">
        <f>INDEX(Stammdaten[Abholzigkeit (mm/lfm)],MATCH(Tabelle9[[#This Row],[Rank]],Stammdaten[Rank Verteilung Abholzigkeit],0))</f>
        <v>#N/A</v>
      </c>
      <c r="N1614" t="e">
        <f>VLOOKUP(Tabelle9[[#This Row],[Rank]],Stammdaten[[Rank Verteilung Abholzigkeit]:[Verteilung Abholzigkeit]],2,FALSE)</f>
        <v>#N/A</v>
      </c>
      <c r="S1614">
        <v>1605</v>
      </c>
      <c r="T1614" t="e">
        <f>INDEX(Stammdaten[Krümmung (mm/lfm)],MATCH(Tabelle10[[#This Row],[Rank]],Stammdaten[Rank Verteilung Krümmung],0))</f>
        <v>#N/A</v>
      </c>
      <c r="U1614" t="e">
        <f>VLOOKUP(Tabelle10[[#This Row],[Rank]],Stammdaten[[Rank Verteilung Krümmung]:[Verteilung Krümmung]],2,FALSE)</f>
        <v>#N/A</v>
      </c>
      <c r="Z1614">
        <v>1605</v>
      </c>
      <c r="AA1614" t="e">
        <f>INDEX(Stammdaten[Ovalität (']0,1'])],MATCH(Tabelle1014[[#This Row],[Rank]],Stammdaten[Rank Verteilung Ovalität],0))</f>
        <v>#N/A</v>
      </c>
      <c r="AB1614" t="e">
        <f>VLOOKUP(Tabelle1014[[#This Row],[Rank]],Stammdaten[[Rank Verteilung Ovalität]:[Verteilung Ovalität]],2,FALSE)</f>
        <v>#N/A</v>
      </c>
    </row>
    <row r="1615" spans="5:28" x14ac:dyDescent="0.35">
      <c r="E1615">
        <v>1606</v>
      </c>
      <c r="F1615" t="e">
        <f>INDEX(Stammdaten[D Mitte mit Rinde (mm)],MATCH(Tabelle8[[#This Row],[Rank]],Stammdaten[Rank Verteilung D Mitte mit Rinde],0))</f>
        <v>#N/A</v>
      </c>
      <c r="G1615" t="e">
        <f>VLOOKUP(Tabelle8[[#This Row],[Rank]],Stammdaten[[Rank Verteilung D Mitte mit Rinde]:[Verteilung D Mitte mit Rinde]],2,FALSE)</f>
        <v>#N/A</v>
      </c>
      <c r="L1615">
        <v>1606</v>
      </c>
      <c r="M1615" t="e">
        <f>INDEX(Stammdaten[Abholzigkeit (mm/lfm)],MATCH(Tabelle9[[#This Row],[Rank]],Stammdaten[Rank Verteilung Abholzigkeit],0))</f>
        <v>#N/A</v>
      </c>
      <c r="N1615" t="e">
        <f>VLOOKUP(Tabelle9[[#This Row],[Rank]],Stammdaten[[Rank Verteilung Abholzigkeit]:[Verteilung Abholzigkeit]],2,FALSE)</f>
        <v>#N/A</v>
      </c>
      <c r="S1615">
        <v>1606</v>
      </c>
      <c r="T1615" t="e">
        <f>INDEX(Stammdaten[Krümmung (mm/lfm)],MATCH(Tabelle10[[#This Row],[Rank]],Stammdaten[Rank Verteilung Krümmung],0))</f>
        <v>#N/A</v>
      </c>
      <c r="U1615" t="e">
        <f>VLOOKUP(Tabelle10[[#This Row],[Rank]],Stammdaten[[Rank Verteilung Krümmung]:[Verteilung Krümmung]],2,FALSE)</f>
        <v>#N/A</v>
      </c>
      <c r="Z1615">
        <v>1606</v>
      </c>
      <c r="AA1615" t="e">
        <f>INDEX(Stammdaten[Ovalität (']0,1'])],MATCH(Tabelle1014[[#This Row],[Rank]],Stammdaten[Rank Verteilung Ovalität],0))</f>
        <v>#N/A</v>
      </c>
      <c r="AB1615" t="e">
        <f>VLOOKUP(Tabelle1014[[#This Row],[Rank]],Stammdaten[[Rank Verteilung Ovalität]:[Verteilung Ovalität]],2,FALSE)</f>
        <v>#N/A</v>
      </c>
    </row>
    <row r="1616" spans="5:28" x14ac:dyDescent="0.35">
      <c r="E1616">
        <v>1607</v>
      </c>
      <c r="F1616" t="e">
        <f>INDEX(Stammdaten[D Mitte mit Rinde (mm)],MATCH(Tabelle8[[#This Row],[Rank]],Stammdaten[Rank Verteilung D Mitte mit Rinde],0))</f>
        <v>#N/A</v>
      </c>
      <c r="G1616" t="e">
        <f>VLOOKUP(Tabelle8[[#This Row],[Rank]],Stammdaten[[Rank Verteilung D Mitte mit Rinde]:[Verteilung D Mitte mit Rinde]],2,FALSE)</f>
        <v>#N/A</v>
      </c>
      <c r="L1616">
        <v>1607</v>
      </c>
      <c r="M1616" t="e">
        <f>INDEX(Stammdaten[Abholzigkeit (mm/lfm)],MATCH(Tabelle9[[#This Row],[Rank]],Stammdaten[Rank Verteilung Abholzigkeit],0))</f>
        <v>#N/A</v>
      </c>
      <c r="N1616" t="e">
        <f>VLOOKUP(Tabelle9[[#This Row],[Rank]],Stammdaten[[Rank Verteilung Abholzigkeit]:[Verteilung Abholzigkeit]],2,FALSE)</f>
        <v>#N/A</v>
      </c>
      <c r="S1616">
        <v>1607</v>
      </c>
      <c r="T1616" t="e">
        <f>INDEX(Stammdaten[Krümmung (mm/lfm)],MATCH(Tabelle10[[#This Row],[Rank]],Stammdaten[Rank Verteilung Krümmung],0))</f>
        <v>#N/A</v>
      </c>
      <c r="U1616" t="e">
        <f>VLOOKUP(Tabelle10[[#This Row],[Rank]],Stammdaten[[Rank Verteilung Krümmung]:[Verteilung Krümmung]],2,FALSE)</f>
        <v>#N/A</v>
      </c>
      <c r="Z1616">
        <v>1607</v>
      </c>
      <c r="AA1616" t="e">
        <f>INDEX(Stammdaten[Ovalität (']0,1'])],MATCH(Tabelle1014[[#This Row],[Rank]],Stammdaten[Rank Verteilung Ovalität],0))</f>
        <v>#N/A</v>
      </c>
      <c r="AB1616" t="e">
        <f>VLOOKUP(Tabelle1014[[#This Row],[Rank]],Stammdaten[[Rank Verteilung Ovalität]:[Verteilung Ovalität]],2,FALSE)</f>
        <v>#N/A</v>
      </c>
    </row>
    <row r="1617" spans="5:28" x14ac:dyDescent="0.35">
      <c r="E1617">
        <v>1608</v>
      </c>
      <c r="F1617" t="e">
        <f>INDEX(Stammdaten[D Mitte mit Rinde (mm)],MATCH(Tabelle8[[#This Row],[Rank]],Stammdaten[Rank Verteilung D Mitte mit Rinde],0))</f>
        <v>#N/A</v>
      </c>
      <c r="G1617" t="e">
        <f>VLOOKUP(Tabelle8[[#This Row],[Rank]],Stammdaten[[Rank Verteilung D Mitte mit Rinde]:[Verteilung D Mitte mit Rinde]],2,FALSE)</f>
        <v>#N/A</v>
      </c>
      <c r="L1617">
        <v>1608</v>
      </c>
      <c r="M1617" t="e">
        <f>INDEX(Stammdaten[Abholzigkeit (mm/lfm)],MATCH(Tabelle9[[#This Row],[Rank]],Stammdaten[Rank Verteilung Abholzigkeit],0))</f>
        <v>#N/A</v>
      </c>
      <c r="N1617" t="e">
        <f>VLOOKUP(Tabelle9[[#This Row],[Rank]],Stammdaten[[Rank Verteilung Abholzigkeit]:[Verteilung Abholzigkeit]],2,FALSE)</f>
        <v>#N/A</v>
      </c>
      <c r="S1617">
        <v>1608</v>
      </c>
      <c r="T1617" t="e">
        <f>INDEX(Stammdaten[Krümmung (mm/lfm)],MATCH(Tabelle10[[#This Row],[Rank]],Stammdaten[Rank Verteilung Krümmung],0))</f>
        <v>#N/A</v>
      </c>
      <c r="U1617" t="e">
        <f>VLOOKUP(Tabelle10[[#This Row],[Rank]],Stammdaten[[Rank Verteilung Krümmung]:[Verteilung Krümmung]],2,FALSE)</f>
        <v>#N/A</v>
      </c>
      <c r="Z1617">
        <v>1608</v>
      </c>
      <c r="AA1617" t="e">
        <f>INDEX(Stammdaten[Ovalität (']0,1'])],MATCH(Tabelle1014[[#This Row],[Rank]],Stammdaten[Rank Verteilung Ovalität],0))</f>
        <v>#N/A</v>
      </c>
      <c r="AB1617" t="e">
        <f>VLOOKUP(Tabelle1014[[#This Row],[Rank]],Stammdaten[[Rank Verteilung Ovalität]:[Verteilung Ovalität]],2,FALSE)</f>
        <v>#N/A</v>
      </c>
    </row>
    <row r="1618" spans="5:28" x14ac:dyDescent="0.35">
      <c r="E1618">
        <v>1609</v>
      </c>
      <c r="F1618" t="e">
        <f>INDEX(Stammdaten[D Mitte mit Rinde (mm)],MATCH(Tabelle8[[#This Row],[Rank]],Stammdaten[Rank Verteilung D Mitte mit Rinde],0))</f>
        <v>#N/A</v>
      </c>
      <c r="G1618" t="e">
        <f>VLOOKUP(Tabelle8[[#This Row],[Rank]],Stammdaten[[Rank Verteilung D Mitte mit Rinde]:[Verteilung D Mitte mit Rinde]],2,FALSE)</f>
        <v>#N/A</v>
      </c>
      <c r="L1618">
        <v>1609</v>
      </c>
      <c r="M1618" t="e">
        <f>INDEX(Stammdaten[Abholzigkeit (mm/lfm)],MATCH(Tabelle9[[#This Row],[Rank]],Stammdaten[Rank Verteilung Abholzigkeit],0))</f>
        <v>#N/A</v>
      </c>
      <c r="N1618" t="e">
        <f>VLOOKUP(Tabelle9[[#This Row],[Rank]],Stammdaten[[Rank Verteilung Abholzigkeit]:[Verteilung Abholzigkeit]],2,FALSE)</f>
        <v>#N/A</v>
      </c>
      <c r="S1618">
        <v>1609</v>
      </c>
      <c r="T1618" t="e">
        <f>INDEX(Stammdaten[Krümmung (mm/lfm)],MATCH(Tabelle10[[#This Row],[Rank]],Stammdaten[Rank Verteilung Krümmung],0))</f>
        <v>#N/A</v>
      </c>
      <c r="U1618" t="e">
        <f>VLOOKUP(Tabelle10[[#This Row],[Rank]],Stammdaten[[Rank Verteilung Krümmung]:[Verteilung Krümmung]],2,FALSE)</f>
        <v>#N/A</v>
      </c>
      <c r="Z1618">
        <v>1609</v>
      </c>
      <c r="AA1618" t="e">
        <f>INDEX(Stammdaten[Ovalität (']0,1'])],MATCH(Tabelle1014[[#This Row],[Rank]],Stammdaten[Rank Verteilung Ovalität],0))</f>
        <v>#N/A</v>
      </c>
      <c r="AB1618" t="e">
        <f>VLOOKUP(Tabelle1014[[#This Row],[Rank]],Stammdaten[[Rank Verteilung Ovalität]:[Verteilung Ovalität]],2,FALSE)</f>
        <v>#N/A</v>
      </c>
    </row>
    <row r="1619" spans="5:28" x14ac:dyDescent="0.35">
      <c r="E1619">
        <v>1610</v>
      </c>
      <c r="F1619" t="e">
        <f>INDEX(Stammdaten[D Mitte mit Rinde (mm)],MATCH(Tabelle8[[#This Row],[Rank]],Stammdaten[Rank Verteilung D Mitte mit Rinde],0))</f>
        <v>#N/A</v>
      </c>
      <c r="G1619" t="e">
        <f>VLOOKUP(Tabelle8[[#This Row],[Rank]],Stammdaten[[Rank Verteilung D Mitte mit Rinde]:[Verteilung D Mitte mit Rinde]],2,FALSE)</f>
        <v>#N/A</v>
      </c>
      <c r="L1619">
        <v>1610</v>
      </c>
      <c r="M1619" t="e">
        <f>INDEX(Stammdaten[Abholzigkeit (mm/lfm)],MATCH(Tabelle9[[#This Row],[Rank]],Stammdaten[Rank Verteilung Abholzigkeit],0))</f>
        <v>#N/A</v>
      </c>
      <c r="N1619" t="e">
        <f>VLOOKUP(Tabelle9[[#This Row],[Rank]],Stammdaten[[Rank Verteilung Abholzigkeit]:[Verteilung Abholzigkeit]],2,FALSE)</f>
        <v>#N/A</v>
      </c>
      <c r="S1619">
        <v>1610</v>
      </c>
      <c r="T1619" t="e">
        <f>INDEX(Stammdaten[Krümmung (mm/lfm)],MATCH(Tabelle10[[#This Row],[Rank]],Stammdaten[Rank Verteilung Krümmung],0))</f>
        <v>#N/A</v>
      </c>
      <c r="U1619" t="e">
        <f>VLOOKUP(Tabelle10[[#This Row],[Rank]],Stammdaten[[Rank Verteilung Krümmung]:[Verteilung Krümmung]],2,FALSE)</f>
        <v>#N/A</v>
      </c>
      <c r="Z1619">
        <v>1610</v>
      </c>
      <c r="AA1619" t="e">
        <f>INDEX(Stammdaten[Ovalität (']0,1'])],MATCH(Tabelle1014[[#This Row],[Rank]],Stammdaten[Rank Verteilung Ovalität],0))</f>
        <v>#N/A</v>
      </c>
      <c r="AB1619" t="e">
        <f>VLOOKUP(Tabelle1014[[#This Row],[Rank]],Stammdaten[[Rank Verteilung Ovalität]:[Verteilung Ovalität]],2,FALSE)</f>
        <v>#N/A</v>
      </c>
    </row>
    <row r="1620" spans="5:28" x14ac:dyDescent="0.35">
      <c r="E1620">
        <v>1611</v>
      </c>
      <c r="F1620" t="e">
        <f>INDEX(Stammdaten[D Mitte mit Rinde (mm)],MATCH(Tabelle8[[#This Row],[Rank]],Stammdaten[Rank Verteilung D Mitte mit Rinde],0))</f>
        <v>#N/A</v>
      </c>
      <c r="G1620" t="e">
        <f>VLOOKUP(Tabelle8[[#This Row],[Rank]],Stammdaten[[Rank Verteilung D Mitte mit Rinde]:[Verteilung D Mitte mit Rinde]],2,FALSE)</f>
        <v>#N/A</v>
      </c>
      <c r="L1620">
        <v>1611</v>
      </c>
      <c r="M1620" t="e">
        <f>INDEX(Stammdaten[Abholzigkeit (mm/lfm)],MATCH(Tabelle9[[#This Row],[Rank]],Stammdaten[Rank Verteilung Abholzigkeit],0))</f>
        <v>#N/A</v>
      </c>
      <c r="N1620" t="e">
        <f>VLOOKUP(Tabelle9[[#This Row],[Rank]],Stammdaten[[Rank Verteilung Abholzigkeit]:[Verteilung Abholzigkeit]],2,FALSE)</f>
        <v>#N/A</v>
      </c>
      <c r="S1620">
        <v>1611</v>
      </c>
      <c r="T1620" t="e">
        <f>INDEX(Stammdaten[Krümmung (mm/lfm)],MATCH(Tabelle10[[#This Row],[Rank]],Stammdaten[Rank Verteilung Krümmung],0))</f>
        <v>#N/A</v>
      </c>
      <c r="U1620" t="e">
        <f>VLOOKUP(Tabelle10[[#This Row],[Rank]],Stammdaten[[Rank Verteilung Krümmung]:[Verteilung Krümmung]],2,FALSE)</f>
        <v>#N/A</v>
      </c>
      <c r="Z1620">
        <v>1611</v>
      </c>
      <c r="AA1620" t="e">
        <f>INDEX(Stammdaten[Ovalität (']0,1'])],MATCH(Tabelle1014[[#This Row],[Rank]],Stammdaten[Rank Verteilung Ovalität],0))</f>
        <v>#N/A</v>
      </c>
      <c r="AB1620" t="e">
        <f>VLOOKUP(Tabelle1014[[#This Row],[Rank]],Stammdaten[[Rank Verteilung Ovalität]:[Verteilung Ovalität]],2,FALSE)</f>
        <v>#N/A</v>
      </c>
    </row>
    <row r="1621" spans="5:28" x14ac:dyDescent="0.35">
      <c r="E1621">
        <v>1612</v>
      </c>
      <c r="F1621" t="e">
        <f>INDEX(Stammdaten[D Mitte mit Rinde (mm)],MATCH(Tabelle8[[#This Row],[Rank]],Stammdaten[Rank Verteilung D Mitte mit Rinde],0))</f>
        <v>#N/A</v>
      </c>
      <c r="G1621" t="e">
        <f>VLOOKUP(Tabelle8[[#This Row],[Rank]],Stammdaten[[Rank Verteilung D Mitte mit Rinde]:[Verteilung D Mitte mit Rinde]],2,FALSE)</f>
        <v>#N/A</v>
      </c>
      <c r="L1621">
        <v>1612</v>
      </c>
      <c r="M1621" t="e">
        <f>INDEX(Stammdaten[Abholzigkeit (mm/lfm)],MATCH(Tabelle9[[#This Row],[Rank]],Stammdaten[Rank Verteilung Abholzigkeit],0))</f>
        <v>#N/A</v>
      </c>
      <c r="N1621" t="e">
        <f>VLOOKUP(Tabelle9[[#This Row],[Rank]],Stammdaten[[Rank Verteilung Abholzigkeit]:[Verteilung Abholzigkeit]],2,FALSE)</f>
        <v>#N/A</v>
      </c>
      <c r="S1621">
        <v>1612</v>
      </c>
      <c r="T1621" t="e">
        <f>INDEX(Stammdaten[Krümmung (mm/lfm)],MATCH(Tabelle10[[#This Row],[Rank]],Stammdaten[Rank Verteilung Krümmung],0))</f>
        <v>#N/A</v>
      </c>
      <c r="U1621" t="e">
        <f>VLOOKUP(Tabelle10[[#This Row],[Rank]],Stammdaten[[Rank Verteilung Krümmung]:[Verteilung Krümmung]],2,FALSE)</f>
        <v>#N/A</v>
      </c>
      <c r="Z1621">
        <v>1612</v>
      </c>
      <c r="AA1621" t="e">
        <f>INDEX(Stammdaten[Ovalität (']0,1'])],MATCH(Tabelle1014[[#This Row],[Rank]],Stammdaten[Rank Verteilung Ovalität],0))</f>
        <v>#N/A</v>
      </c>
      <c r="AB1621" t="e">
        <f>VLOOKUP(Tabelle1014[[#This Row],[Rank]],Stammdaten[[Rank Verteilung Ovalität]:[Verteilung Ovalität]],2,FALSE)</f>
        <v>#N/A</v>
      </c>
    </row>
    <row r="1622" spans="5:28" x14ac:dyDescent="0.35">
      <c r="E1622">
        <v>1613</v>
      </c>
      <c r="F1622" t="e">
        <f>INDEX(Stammdaten[D Mitte mit Rinde (mm)],MATCH(Tabelle8[[#This Row],[Rank]],Stammdaten[Rank Verteilung D Mitte mit Rinde],0))</f>
        <v>#N/A</v>
      </c>
      <c r="G1622" t="e">
        <f>VLOOKUP(Tabelle8[[#This Row],[Rank]],Stammdaten[[Rank Verteilung D Mitte mit Rinde]:[Verteilung D Mitte mit Rinde]],2,FALSE)</f>
        <v>#N/A</v>
      </c>
      <c r="L1622">
        <v>1613</v>
      </c>
      <c r="M1622" t="e">
        <f>INDEX(Stammdaten[Abholzigkeit (mm/lfm)],MATCH(Tabelle9[[#This Row],[Rank]],Stammdaten[Rank Verteilung Abholzigkeit],0))</f>
        <v>#N/A</v>
      </c>
      <c r="N1622" t="e">
        <f>VLOOKUP(Tabelle9[[#This Row],[Rank]],Stammdaten[[Rank Verteilung Abholzigkeit]:[Verteilung Abholzigkeit]],2,FALSE)</f>
        <v>#N/A</v>
      </c>
      <c r="S1622">
        <v>1613</v>
      </c>
      <c r="T1622" t="e">
        <f>INDEX(Stammdaten[Krümmung (mm/lfm)],MATCH(Tabelle10[[#This Row],[Rank]],Stammdaten[Rank Verteilung Krümmung],0))</f>
        <v>#N/A</v>
      </c>
      <c r="U1622" t="e">
        <f>VLOOKUP(Tabelle10[[#This Row],[Rank]],Stammdaten[[Rank Verteilung Krümmung]:[Verteilung Krümmung]],2,FALSE)</f>
        <v>#N/A</v>
      </c>
      <c r="Z1622">
        <v>1613</v>
      </c>
      <c r="AA1622" t="e">
        <f>INDEX(Stammdaten[Ovalität (']0,1'])],MATCH(Tabelle1014[[#This Row],[Rank]],Stammdaten[Rank Verteilung Ovalität],0))</f>
        <v>#N/A</v>
      </c>
      <c r="AB1622" t="e">
        <f>VLOOKUP(Tabelle1014[[#This Row],[Rank]],Stammdaten[[Rank Verteilung Ovalität]:[Verteilung Ovalität]],2,FALSE)</f>
        <v>#N/A</v>
      </c>
    </row>
    <row r="1623" spans="5:28" x14ac:dyDescent="0.35">
      <c r="E1623">
        <v>1614</v>
      </c>
      <c r="F1623" t="e">
        <f>INDEX(Stammdaten[D Mitte mit Rinde (mm)],MATCH(Tabelle8[[#This Row],[Rank]],Stammdaten[Rank Verteilung D Mitte mit Rinde],0))</f>
        <v>#N/A</v>
      </c>
      <c r="G1623" t="e">
        <f>VLOOKUP(Tabelle8[[#This Row],[Rank]],Stammdaten[[Rank Verteilung D Mitte mit Rinde]:[Verteilung D Mitte mit Rinde]],2,FALSE)</f>
        <v>#N/A</v>
      </c>
      <c r="L1623">
        <v>1614</v>
      </c>
      <c r="M1623" t="e">
        <f>INDEX(Stammdaten[Abholzigkeit (mm/lfm)],MATCH(Tabelle9[[#This Row],[Rank]],Stammdaten[Rank Verteilung Abholzigkeit],0))</f>
        <v>#N/A</v>
      </c>
      <c r="N1623" t="e">
        <f>VLOOKUP(Tabelle9[[#This Row],[Rank]],Stammdaten[[Rank Verteilung Abholzigkeit]:[Verteilung Abholzigkeit]],2,FALSE)</f>
        <v>#N/A</v>
      </c>
      <c r="S1623">
        <v>1614</v>
      </c>
      <c r="T1623" t="e">
        <f>INDEX(Stammdaten[Krümmung (mm/lfm)],MATCH(Tabelle10[[#This Row],[Rank]],Stammdaten[Rank Verteilung Krümmung],0))</f>
        <v>#N/A</v>
      </c>
      <c r="U1623" t="e">
        <f>VLOOKUP(Tabelle10[[#This Row],[Rank]],Stammdaten[[Rank Verteilung Krümmung]:[Verteilung Krümmung]],2,FALSE)</f>
        <v>#N/A</v>
      </c>
      <c r="Z1623">
        <v>1614</v>
      </c>
      <c r="AA1623" t="e">
        <f>INDEX(Stammdaten[Ovalität (']0,1'])],MATCH(Tabelle1014[[#This Row],[Rank]],Stammdaten[Rank Verteilung Ovalität],0))</f>
        <v>#N/A</v>
      </c>
      <c r="AB1623" t="e">
        <f>VLOOKUP(Tabelle1014[[#This Row],[Rank]],Stammdaten[[Rank Verteilung Ovalität]:[Verteilung Ovalität]],2,FALSE)</f>
        <v>#N/A</v>
      </c>
    </row>
    <row r="1624" spans="5:28" x14ac:dyDescent="0.35">
      <c r="E1624">
        <v>1615</v>
      </c>
      <c r="F1624" t="e">
        <f>INDEX(Stammdaten[D Mitte mit Rinde (mm)],MATCH(Tabelle8[[#This Row],[Rank]],Stammdaten[Rank Verteilung D Mitte mit Rinde],0))</f>
        <v>#N/A</v>
      </c>
      <c r="G1624" t="e">
        <f>VLOOKUP(Tabelle8[[#This Row],[Rank]],Stammdaten[[Rank Verteilung D Mitte mit Rinde]:[Verteilung D Mitte mit Rinde]],2,FALSE)</f>
        <v>#N/A</v>
      </c>
      <c r="L1624">
        <v>1615</v>
      </c>
      <c r="M1624" t="e">
        <f>INDEX(Stammdaten[Abholzigkeit (mm/lfm)],MATCH(Tabelle9[[#This Row],[Rank]],Stammdaten[Rank Verteilung Abholzigkeit],0))</f>
        <v>#N/A</v>
      </c>
      <c r="N1624" t="e">
        <f>VLOOKUP(Tabelle9[[#This Row],[Rank]],Stammdaten[[Rank Verteilung Abholzigkeit]:[Verteilung Abholzigkeit]],2,FALSE)</f>
        <v>#N/A</v>
      </c>
      <c r="S1624">
        <v>1615</v>
      </c>
      <c r="T1624" t="e">
        <f>INDEX(Stammdaten[Krümmung (mm/lfm)],MATCH(Tabelle10[[#This Row],[Rank]],Stammdaten[Rank Verteilung Krümmung],0))</f>
        <v>#N/A</v>
      </c>
      <c r="U1624" t="e">
        <f>VLOOKUP(Tabelle10[[#This Row],[Rank]],Stammdaten[[Rank Verteilung Krümmung]:[Verteilung Krümmung]],2,FALSE)</f>
        <v>#N/A</v>
      </c>
      <c r="Z1624">
        <v>1615</v>
      </c>
      <c r="AA1624" t="e">
        <f>INDEX(Stammdaten[Ovalität (']0,1'])],MATCH(Tabelle1014[[#This Row],[Rank]],Stammdaten[Rank Verteilung Ovalität],0))</f>
        <v>#N/A</v>
      </c>
      <c r="AB1624" t="e">
        <f>VLOOKUP(Tabelle1014[[#This Row],[Rank]],Stammdaten[[Rank Verteilung Ovalität]:[Verteilung Ovalität]],2,FALSE)</f>
        <v>#N/A</v>
      </c>
    </row>
    <row r="1625" spans="5:28" x14ac:dyDescent="0.35">
      <c r="E1625">
        <v>1616</v>
      </c>
      <c r="F1625" t="e">
        <f>INDEX(Stammdaten[D Mitte mit Rinde (mm)],MATCH(Tabelle8[[#This Row],[Rank]],Stammdaten[Rank Verteilung D Mitte mit Rinde],0))</f>
        <v>#N/A</v>
      </c>
      <c r="G1625" t="e">
        <f>VLOOKUP(Tabelle8[[#This Row],[Rank]],Stammdaten[[Rank Verteilung D Mitte mit Rinde]:[Verteilung D Mitte mit Rinde]],2,FALSE)</f>
        <v>#N/A</v>
      </c>
      <c r="L1625">
        <v>1616</v>
      </c>
      <c r="M1625" t="e">
        <f>INDEX(Stammdaten[Abholzigkeit (mm/lfm)],MATCH(Tabelle9[[#This Row],[Rank]],Stammdaten[Rank Verteilung Abholzigkeit],0))</f>
        <v>#N/A</v>
      </c>
      <c r="N1625" t="e">
        <f>VLOOKUP(Tabelle9[[#This Row],[Rank]],Stammdaten[[Rank Verteilung Abholzigkeit]:[Verteilung Abholzigkeit]],2,FALSE)</f>
        <v>#N/A</v>
      </c>
      <c r="S1625">
        <v>1616</v>
      </c>
      <c r="T1625" t="e">
        <f>INDEX(Stammdaten[Krümmung (mm/lfm)],MATCH(Tabelle10[[#This Row],[Rank]],Stammdaten[Rank Verteilung Krümmung],0))</f>
        <v>#N/A</v>
      </c>
      <c r="U1625" t="e">
        <f>VLOOKUP(Tabelle10[[#This Row],[Rank]],Stammdaten[[Rank Verteilung Krümmung]:[Verteilung Krümmung]],2,FALSE)</f>
        <v>#N/A</v>
      </c>
      <c r="Z1625">
        <v>1616</v>
      </c>
      <c r="AA1625" t="e">
        <f>INDEX(Stammdaten[Ovalität (']0,1'])],MATCH(Tabelle1014[[#This Row],[Rank]],Stammdaten[Rank Verteilung Ovalität],0))</f>
        <v>#N/A</v>
      </c>
      <c r="AB1625" t="e">
        <f>VLOOKUP(Tabelle1014[[#This Row],[Rank]],Stammdaten[[Rank Verteilung Ovalität]:[Verteilung Ovalität]],2,FALSE)</f>
        <v>#N/A</v>
      </c>
    </row>
    <row r="1626" spans="5:28" x14ac:dyDescent="0.35">
      <c r="E1626">
        <v>1617</v>
      </c>
      <c r="F1626" t="e">
        <f>INDEX(Stammdaten[D Mitte mit Rinde (mm)],MATCH(Tabelle8[[#This Row],[Rank]],Stammdaten[Rank Verteilung D Mitte mit Rinde],0))</f>
        <v>#N/A</v>
      </c>
      <c r="G1626" t="e">
        <f>VLOOKUP(Tabelle8[[#This Row],[Rank]],Stammdaten[[Rank Verteilung D Mitte mit Rinde]:[Verteilung D Mitte mit Rinde]],2,FALSE)</f>
        <v>#N/A</v>
      </c>
      <c r="L1626">
        <v>1617</v>
      </c>
      <c r="M1626" t="e">
        <f>INDEX(Stammdaten[Abholzigkeit (mm/lfm)],MATCH(Tabelle9[[#This Row],[Rank]],Stammdaten[Rank Verteilung Abholzigkeit],0))</f>
        <v>#N/A</v>
      </c>
      <c r="N1626" t="e">
        <f>VLOOKUP(Tabelle9[[#This Row],[Rank]],Stammdaten[[Rank Verteilung Abholzigkeit]:[Verteilung Abholzigkeit]],2,FALSE)</f>
        <v>#N/A</v>
      </c>
      <c r="S1626">
        <v>1617</v>
      </c>
      <c r="T1626" t="e">
        <f>INDEX(Stammdaten[Krümmung (mm/lfm)],MATCH(Tabelle10[[#This Row],[Rank]],Stammdaten[Rank Verteilung Krümmung],0))</f>
        <v>#N/A</v>
      </c>
      <c r="U1626" t="e">
        <f>VLOOKUP(Tabelle10[[#This Row],[Rank]],Stammdaten[[Rank Verteilung Krümmung]:[Verteilung Krümmung]],2,FALSE)</f>
        <v>#N/A</v>
      </c>
      <c r="Z1626">
        <v>1617</v>
      </c>
      <c r="AA1626" t="e">
        <f>INDEX(Stammdaten[Ovalität (']0,1'])],MATCH(Tabelle1014[[#This Row],[Rank]],Stammdaten[Rank Verteilung Ovalität],0))</f>
        <v>#N/A</v>
      </c>
      <c r="AB1626" t="e">
        <f>VLOOKUP(Tabelle1014[[#This Row],[Rank]],Stammdaten[[Rank Verteilung Ovalität]:[Verteilung Ovalität]],2,FALSE)</f>
        <v>#N/A</v>
      </c>
    </row>
    <row r="1627" spans="5:28" x14ac:dyDescent="0.35">
      <c r="E1627">
        <v>1618</v>
      </c>
      <c r="F1627" t="e">
        <f>INDEX(Stammdaten[D Mitte mit Rinde (mm)],MATCH(Tabelle8[[#This Row],[Rank]],Stammdaten[Rank Verteilung D Mitte mit Rinde],0))</f>
        <v>#N/A</v>
      </c>
      <c r="G1627" t="e">
        <f>VLOOKUP(Tabelle8[[#This Row],[Rank]],Stammdaten[[Rank Verteilung D Mitte mit Rinde]:[Verteilung D Mitte mit Rinde]],2,FALSE)</f>
        <v>#N/A</v>
      </c>
      <c r="L1627">
        <v>1618</v>
      </c>
      <c r="M1627" t="e">
        <f>INDEX(Stammdaten[Abholzigkeit (mm/lfm)],MATCH(Tabelle9[[#This Row],[Rank]],Stammdaten[Rank Verteilung Abholzigkeit],0))</f>
        <v>#N/A</v>
      </c>
      <c r="N1627" t="e">
        <f>VLOOKUP(Tabelle9[[#This Row],[Rank]],Stammdaten[[Rank Verteilung Abholzigkeit]:[Verteilung Abholzigkeit]],2,FALSE)</f>
        <v>#N/A</v>
      </c>
      <c r="S1627">
        <v>1618</v>
      </c>
      <c r="T1627" t="e">
        <f>INDEX(Stammdaten[Krümmung (mm/lfm)],MATCH(Tabelle10[[#This Row],[Rank]],Stammdaten[Rank Verteilung Krümmung],0))</f>
        <v>#N/A</v>
      </c>
      <c r="U1627" t="e">
        <f>VLOOKUP(Tabelle10[[#This Row],[Rank]],Stammdaten[[Rank Verteilung Krümmung]:[Verteilung Krümmung]],2,FALSE)</f>
        <v>#N/A</v>
      </c>
      <c r="Z1627">
        <v>1618</v>
      </c>
      <c r="AA1627" t="e">
        <f>INDEX(Stammdaten[Ovalität (']0,1'])],MATCH(Tabelle1014[[#This Row],[Rank]],Stammdaten[Rank Verteilung Ovalität],0))</f>
        <v>#N/A</v>
      </c>
      <c r="AB1627" t="e">
        <f>VLOOKUP(Tabelle1014[[#This Row],[Rank]],Stammdaten[[Rank Verteilung Ovalität]:[Verteilung Ovalität]],2,FALSE)</f>
        <v>#N/A</v>
      </c>
    </row>
    <row r="1628" spans="5:28" x14ac:dyDescent="0.35">
      <c r="E1628">
        <v>1619</v>
      </c>
      <c r="F1628" t="e">
        <f>INDEX(Stammdaten[D Mitte mit Rinde (mm)],MATCH(Tabelle8[[#This Row],[Rank]],Stammdaten[Rank Verteilung D Mitte mit Rinde],0))</f>
        <v>#N/A</v>
      </c>
      <c r="G1628" t="e">
        <f>VLOOKUP(Tabelle8[[#This Row],[Rank]],Stammdaten[[Rank Verteilung D Mitte mit Rinde]:[Verteilung D Mitte mit Rinde]],2,FALSE)</f>
        <v>#N/A</v>
      </c>
      <c r="L1628">
        <v>1619</v>
      </c>
      <c r="M1628" t="e">
        <f>INDEX(Stammdaten[Abholzigkeit (mm/lfm)],MATCH(Tabelle9[[#This Row],[Rank]],Stammdaten[Rank Verteilung Abholzigkeit],0))</f>
        <v>#N/A</v>
      </c>
      <c r="N1628" t="e">
        <f>VLOOKUP(Tabelle9[[#This Row],[Rank]],Stammdaten[[Rank Verteilung Abholzigkeit]:[Verteilung Abholzigkeit]],2,FALSE)</f>
        <v>#N/A</v>
      </c>
      <c r="S1628">
        <v>1619</v>
      </c>
      <c r="T1628" t="e">
        <f>INDEX(Stammdaten[Krümmung (mm/lfm)],MATCH(Tabelle10[[#This Row],[Rank]],Stammdaten[Rank Verteilung Krümmung],0))</f>
        <v>#N/A</v>
      </c>
      <c r="U1628" t="e">
        <f>VLOOKUP(Tabelle10[[#This Row],[Rank]],Stammdaten[[Rank Verteilung Krümmung]:[Verteilung Krümmung]],2,FALSE)</f>
        <v>#N/A</v>
      </c>
      <c r="Z1628">
        <v>1619</v>
      </c>
      <c r="AA1628" t="e">
        <f>INDEX(Stammdaten[Ovalität (']0,1'])],MATCH(Tabelle1014[[#This Row],[Rank]],Stammdaten[Rank Verteilung Ovalität],0))</f>
        <v>#N/A</v>
      </c>
      <c r="AB1628" t="e">
        <f>VLOOKUP(Tabelle1014[[#This Row],[Rank]],Stammdaten[[Rank Verteilung Ovalität]:[Verteilung Ovalität]],2,FALSE)</f>
        <v>#N/A</v>
      </c>
    </row>
    <row r="1629" spans="5:28" x14ac:dyDescent="0.35">
      <c r="E1629">
        <v>1620</v>
      </c>
      <c r="F1629" t="e">
        <f>INDEX(Stammdaten[D Mitte mit Rinde (mm)],MATCH(Tabelle8[[#This Row],[Rank]],Stammdaten[Rank Verteilung D Mitte mit Rinde],0))</f>
        <v>#N/A</v>
      </c>
      <c r="G1629" t="e">
        <f>VLOOKUP(Tabelle8[[#This Row],[Rank]],Stammdaten[[Rank Verteilung D Mitte mit Rinde]:[Verteilung D Mitte mit Rinde]],2,FALSE)</f>
        <v>#N/A</v>
      </c>
      <c r="L1629">
        <v>1620</v>
      </c>
      <c r="M1629" t="e">
        <f>INDEX(Stammdaten[Abholzigkeit (mm/lfm)],MATCH(Tabelle9[[#This Row],[Rank]],Stammdaten[Rank Verteilung Abholzigkeit],0))</f>
        <v>#N/A</v>
      </c>
      <c r="N1629" t="e">
        <f>VLOOKUP(Tabelle9[[#This Row],[Rank]],Stammdaten[[Rank Verteilung Abholzigkeit]:[Verteilung Abholzigkeit]],2,FALSE)</f>
        <v>#N/A</v>
      </c>
      <c r="S1629">
        <v>1620</v>
      </c>
      <c r="T1629" t="e">
        <f>INDEX(Stammdaten[Krümmung (mm/lfm)],MATCH(Tabelle10[[#This Row],[Rank]],Stammdaten[Rank Verteilung Krümmung],0))</f>
        <v>#N/A</v>
      </c>
      <c r="U1629" t="e">
        <f>VLOOKUP(Tabelle10[[#This Row],[Rank]],Stammdaten[[Rank Verteilung Krümmung]:[Verteilung Krümmung]],2,FALSE)</f>
        <v>#N/A</v>
      </c>
      <c r="Z1629">
        <v>1620</v>
      </c>
      <c r="AA1629" t="e">
        <f>INDEX(Stammdaten[Ovalität (']0,1'])],MATCH(Tabelle1014[[#This Row],[Rank]],Stammdaten[Rank Verteilung Ovalität],0))</f>
        <v>#N/A</v>
      </c>
      <c r="AB1629" t="e">
        <f>VLOOKUP(Tabelle1014[[#This Row],[Rank]],Stammdaten[[Rank Verteilung Ovalität]:[Verteilung Ovalität]],2,FALSE)</f>
        <v>#N/A</v>
      </c>
    </row>
    <row r="1630" spans="5:28" x14ac:dyDescent="0.35">
      <c r="E1630">
        <v>1621</v>
      </c>
      <c r="F1630" t="e">
        <f>INDEX(Stammdaten[D Mitte mit Rinde (mm)],MATCH(Tabelle8[[#This Row],[Rank]],Stammdaten[Rank Verteilung D Mitte mit Rinde],0))</f>
        <v>#N/A</v>
      </c>
      <c r="G1630" t="e">
        <f>VLOOKUP(Tabelle8[[#This Row],[Rank]],Stammdaten[[Rank Verteilung D Mitte mit Rinde]:[Verteilung D Mitte mit Rinde]],2,FALSE)</f>
        <v>#N/A</v>
      </c>
      <c r="L1630">
        <v>1621</v>
      </c>
      <c r="M1630" t="e">
        <f>INDEX(Stammdaten[Abholzigkeit (mm/lfm)],MATCH(Tabelle9[[#This Row],[Rank]],Stammdaten[Rank Verteilung Abholzigkeit],0))</f>
        <v>#N/A</v>
      </c>
      <c r="N1630" t="e">
        <f>VLOOKUP(Tabelle9[[#This Row],[Rank]],Stammdaten[[Rank Verteilung Abholzigkeit]:[Verteilung Abholzigkeit]],2,FALSE)</f>
        <v>#N/A</v>
      </c>
      <c r="S1630">
        <v>1621</v>
      </c>
      <c r="T1630" t="e">
        <f>INDEX(Stammdaten[Krümmung (mm/lfm)],MATCH(Tabelle10[[#This Row],[Rank]],Stammdaten[Rank Verteilung Krümmung],0))</f>
        <v>#N/A</v>
      </c>
      <c r="U1630" t="e">
        <f>VLOOKUP(Tabelle10[[#This Row],[Rank]],Stammdaten[[Rank Verteilung Krümmung]:[Verteilung Krümmung]],2,FALSE)</f>
        <v>#N/A</v>
      </c>
      <c r="Z1630">
        <v>1621</v>
      </c>
      <c r="AA1630" t="e">
        <f>INDEX(Stammdaten[Ovalität (']0,1'])],MATCH(Tabelle1014[[#This Row],[Rank]],Stammdaten[Rank Verteilung Ovalität],0))</f>
        <v>#N/A</v>
      </c>
      <c r="AB1630" t="e">
        <f>VLOOKUP(Tabelle1014[[#This Row],[Rank]],Stammdaten[[Rank Verteilung Ovalität]:[Verteilung Ovalität]],2,FALSE)</f>
        <v>#N/A</v>
      </c>
    </row>
    <row r="1631" spans="5:28" x14ac:dyDescent="0.35">
      <c r="E1631">
        <v>1622</v>
      </c>
      <c r="F1631" t="e">
        <f>INDEX(Stammdaten[D Mitte mit Rinde (mm)],MATCH(Tabelle8[[#This Row],[Rank]],Stammdaten[Rank Verteilung D Mitte mit Rinde],0))</f>
        <v>#N/A</v>
      </c>
      <c r="G1631" t="e">
        <f>VLOOKUP(Tabelle8[[#This Row],[Rank]],Stammdaten[[Rank Verteilung D Mitte mit Rinde]:[Verteilung D Mitte mit Rinde]],2,FALSE)</f>
        <v>#N/A</v>
      </c>
      <c r="L1631">
        <v>1622</v>
      </c>
      <c r="M1631" t="e">
        <f>INDEX(Stammdaten[Abholzigkeit (mm/lfm)],MATCH(Tabelle9[[#This Row],[Rank]],Stammdaten[Rank Verteilung Abholzigkeit],0))</f>
        <v>#N/A</v>
      </c>
      <c r="N1631" t="e">
        <f>VLOOKUP(Tabelle9[[#This Row],[Rank]],Stammdaten[[Rank Verteilung Abholzigkeit]:[Verteilung Abholzigkeit]],2,FALSE)</f>
        <v>#N/A</v>
      </c>
      <c r="S1631">
        <v>1622</v>
      </c>
      <c r="T1631" t="e">
        <f>INDEX(Stammdaten[Krümmung (mm/lfm)],MATCH(Tabelle10[[#This Row],[Rank]],Stammdaten[Rank Verteilung Krümmung],0))</f>
        <v>#N/A</v>
      </c>
      <c r="U1631" t="e">
        <f>VLOOKUP(Tabelle10[[#This Row],[Rank]],Stammdaten[[Rank Verteilung Krümmung]:[Verteilung Krümmung]],2,FALSE)</f>
        <v>#N/A</v>
      </c>
      <c r="Z1631">
        <v>1622</v>
      </c>
      <c r="AA1631" t="e">
        <f>INDEX(Stammdaten[Ovalität (']0,1'])],MATCH(Tabelle1014[[#This Row],[Rank]],Stammdaten[Rank Verteilung Ovalität],0))</f>
        <v>#N/A</v>
      </c>
      <c r="AB1631" t="e">
        <f>VLOOKUP(Tabelle1014[[#This Row],[Rank]],Stammdaten[[Rank Verteilung Ovalität]:[Verteilung Ovalität]],2,FALSE)</f>
        <v>#N/A</v>
      </c>
    </row>
    <row r="1632" spans="5:28" x14ac:dyDescent="0.35">
      <c r="E1632">
        <v>1623</v>
      </c>
      <c r="F1632" t="e">
        <f>INDEX(Stammdaten[D Mitte mit Rinde (mm)],MATCH(Tabelle8[[#This Row],[Rank]],Stammdaten[Rank Verteilung D Mitte mit Rinde],0))</f>
        <v>#N/A</v>
      </c>
      <c r="G1632" t="e">
        <f>VLOOKUP(Tabelle8[[#This Row],[Rank]],Stammdaten[[Rank Verteilung D Mitte mit Rinde]:[Verteilung D Mitte mit Rinde]],2,FALSE)</f>
        <v>#N/A</v>
      </c>
      <c r="L1632">
        <v>1623</v>
      </c>
      <c r="M1632" t="e">
        <f>INDEX(Stammdaten[Abholzigkeit (mm/lfm)],MATCH(Tabelle9[[#This Row],[Rank]],Stammdaten[Rank Verteilung Abholzigkeit],0))</f>
        <v>#N/A</v>
      </c>
      <c r="N1632" t="e">
        <f>VLOOKUP(Tabelle9[[#This Row],[Rank]],Stammdaten[[Rank Verteilung Abholzigkeit]:[Verteilung Abholzigkeit]],2,FALSE)</f>
        <v>#N/A</v>
      </c>
      <c r="S1632">
        <v>1623</v>
      </c>
      <c r="T1632" t="e">
        <f>INDEX(Stammdaten[Krümmung (mm/lfm)],MATCH(Tabelle10[[#This Row],[Rank]],Stammdaten[Rank Verteilung Krümmung],0))</f>
        <v>#N/A</v>
      </c>
      <c r="U1632" t="e">
        <f>VLOOKUP(Tabelle10[[#This Row],[Rank]],Stammdaten[[Rank Verteilung Krümmung]:[Verteilung Krümmung]],2,FALSE)</f>
        <v>#N/A</v>
      </c>
      <c r="Z1632">
        <v>1623</v>
      </c>
      <c r="AA1632" t="e">
        <f>INDEX(Stammdaten[Ovalität (']0,1'])],MATCH(Tabelle1014[[#This Row],[Rank]],Stammdaten[Rank Verteilung Ovalität],0))</f>
        <v>#N/A</v>
      </c>
      <c r="AB1632" t="e">
        <f>VLOOKUP(Tabelle1014[[#This Row],[Rank]],Stammdaten[[Rank Verteilung Ovalität]:[Verteilung Ovalität]],2,FALSE)</f>
        <v>#N/A</v>
      </c>
    </row>
    <row r="1633" spans="5:28" x14ac:dyDescent="0.35">
      <c r="E1633">
        <v>1624</v>
      </c>
      <c r="F1633" t="e">
        <f>INDEX(Stammdaten[D Mitte mit Rinde (mm)],MATCH(Tabelle8[[#This Row],[Rank]],Stammdaten[Rank Verteilung D Mitte mit Rinde],0))</f>
        <v>#N/A</v>
      </c>
      <c r="G1633" t="e">
        <f>VLOOKUP(Tabelle8[[#This Row],[Rank]],Stammdaten[[Rank Verteilung D Mitte mit Rinde]:[Verteilung D Mitte mit Rinde]],2,FALSE)</f>
        <v>#N/A</v>
      </c>
      <c r="L1633">
        <v>1624</v>
      </c>
      <c r="M1633" t="e">
        <f>INDEX(Stammdaten[Abholzigkeit (mm/lfm)],MATCH(Tabelle9[[#This Row],[Rank]],Stammdaten[Rank Verteilung Abholzigkeit],0))</f>
        <v>#N/A</v>
      </c>
      <c r="N1633" t="e">
        <f>VLOOKUP(Tabelle9[[#This Row],[Rank]],Stammdaten[[Rank Verteilung Abholzigkeit]:[Verteilung Abholzigkeit]],2,FALSE)</f>
        <v>#N/A</v>
      </c>
      <c r="S1633">
        <v>1624</v>
      </c>
      <c r="T1633" t="e">
        <f>INDEX(Stammdaten[Krümmung (mm/lfm)],MATCH(Tabelle10[[#This Row],[Rank]],Stammdaten[Rank Verteilung Krümmung],0))</f>
        <v>#N/A</v>
      </c>
      <c r="U1633" t="e">
        <f>VLOOKUP(Tabelle10[[#This Row],[Rank]],Stammdaten[[Rank Verteilung Krümmung]:[Verteilung Krümmung]],2,FALSE)</f>
        <v>#N/A</v>
      </c>
      <c r="Z1633">
        <v>1624</v>
      </c>
      <c r="AA1633" t="e">
        <f>INDEX(Stammdaten[Ovalität (']0,1'])],MATCH(Tabelle1014[[#This Row],[Rank]],Stammdaten[Rank Verteilung Ovalität],0))</f>
        <v>#N/A</v>
      </c>
      <c r="AB1633" t="e">
        <f>VLOOKUP(Tabelle1014[[#This Row],[Rank]],Stammdaten[[Rank Verteilung Ovalität]:[Verteilung Ovalität]],2,FALSE)</f>
        <v>#N/A</v>
      </c>
    </row>
    <row r="1634" spans="5:28" x14ac:dyDescent="0.35">
      <c r="E1634">
        <v>1625</v>
      </c>
      <c r="F1634" t="e">
        <f>INDEX(Stammdaten[D Mitte mit Rinde (mm)],MATCH(Tabelle8[[#This Row],[Rank]],Stammdaten[Rank Verteilung D Mitte mit Rinde],0))</f>
        <v>#N/A</v>
      </c>
      <c r="G1634" t="e">
        <f>VLOOKUP(Tabelle8[[#This Row],[Rank]],Stammdaten[[Rank Verteilung D Mitte mit Rinde]:[Verteilung D Mitte mit Rinde]],2,FALSE)</f>
        <v>#N/A</v>
      </c>
      <c r="L1634">
        <v>1625</v>
      </c>
      <c r="M1634" t="e">
        <f>INDEX(Stammdaten[Abholzigkeit (mm/lfm)],MATCH(Tabelle9[[#This Row],[Rank]],Stammdaten[Rank Verteilung Abholzigkeit],0))</f>
        <v>#N/A</v>
      </c>
      <c r="N1634" t="e">
        <f>VLOOKUP(Tabelle9[[#This Row],[Rank]],Stammdaten[[Rank Verteilung Abholzigkeit]:[Verteilung Abholzigkeit]],2,FALSE)</f>
        <v>#N/A</v>
      </c>
      <c r="S1634">
        <v>1625</v>
      </c>
      <c r="T1634" t="e">
        <f>INDEX(Stammdaten[Krümmung (mm/lfm)],MATCH(Tabelle10[[#This Row],[Rank]],Stammdaten[Rank Verteilung Krümmung],0))</f>
        <v>#N/A</v>
      </c>
      <c r="U1634" t="e">
        <f>VLOOKUP(Tabelle10[[#This Row],[Rank]],Stammdaten[[Rank Verteilung Krümmung]:[Verteilung Krümmung]],2,FALSE)</f>
        <v>#N/A</v>
      </c>
      <c r="Z1634">
        <v>1625</v>
      </c>
      <c r="AA1634" t="e">
        <f>INDEX(Stammdaten[Ovalität (']0,1'])],MATCH(Tabelle1014[[#This Row],[Rank]],Stammdaten[Rank Verteilung Ovalität],0))</f>
        <v>#N/A</v>
      </c>
      <c r="AB1634" t="e">
        <f>VLOOKUP(Tabelle1014[[#This Row],[Rank]],Stammdaten[[Rank Verteilung Ovalität]:[Verteilung Ovalität]],2,FALSE)</f>
        <v>#N/A</v>
      </c>
    </row>
    <row r="1635" spans="5:28" x14ac:dyDescent="0.35">
      <c r="E1635">
        <v>1626</v>
      </c>
      <c r="F1635" t="e">
        <f>INDEX(Stammdaten[D Mitte mit Rinde (mm)],MATCH(Tabelle8[[#This Row],[Rank]],Stammdaten[Rank Verteilung D Mitte mit Rinde],0))</f>
        <v>#N/A</v>
      </c>
      <c r="G1635" t="e">
        <f>VLOOKUP(Tabelle8[[#This Row],[Rank]],Stammdaten[[Rank Verteilung D Mitte mit Rinde]:[Verteilung D Mitte mit Rinde]],2,FALSE)</f>
        <v>#N/A</v>
      </c>
      <c r="L1635">
        <v>1626</v>
      </c>
      <c r="M1635" t="e">
        <f>INDEX(Stammdaten[Abholzigkeit (mm/lfm)],MATCH(Tabelle9[[#This Row],[Rank]],Stammdaten[Rank Verteilung Abholzigkeit],0))</f>
        <v>#N/A</v>
      </c>
      <c r="N1635" t="e">
        <f>VLOOKUP(Tabelle9[[#This Row],[Rank]],Stammdaten[[Rank Verteilung Abholzigkeit]:[Verteilung Abholzigkeit]],2,FALSE)</f>
        <v>#N/A</v>
      </c>
      <c r="S1635">
        <v>1626</v>
      </c>
      <c r="T1635" t="e">
        <f>INDEX(Stammdaten[Krümmung (mm/lfm)],MATCH(Tabelle10[[#This Row],[Rank]],Stammdaten[Rank Verteilung Krümmung],0))</f>
        <v>#N/A</v>
      </c>
      <c r="U1635" t="e">
        <f>VLOOKUP(Tabelle10[[#This Row],[Rank]],Stammdaten[[Rank Verteilung Krümmung]:[Verteilung Krümmung]],2,FALSE)</f>
        <v>#N/A</v>
      </c>
      <c r="Z1635">
        <v>1626</v>
      </c>
      <c r="AA1635" t="e">
        <f>INDEX(Stammdaten[Ovalität (']0,1'])],MATCH(Tabelle1014[[#This Row],[Rank]],Stammdaten[Rank Verteilung Ovalität],0))</f>
        <v>#N/A</v>
      </c>
      <c r="AB1635" t="e">
        <f>VLOOKUP(Tabelle1014[[#This Row],[Rank]],Stammdaten[[Rank Verteilung Ovalität]:[Verteilung Ovalität]],2,FALSE)</f>
        <v>#N/A</v>
      </c>
    </row>
    <row r="1636" spans="5:28" x14ac:dyDescent="0.35">
      <c r="E1636">
        <v>1627</v>
      </c>
      <c r="F1636" t="e">
        <f>INDEX(Stammdaten[D Mitte mit Rinde (mm)],MATCH(Tabelle8[[#This Row],[Rank]],Stammdaten[Rank Verteilung D Mitte mit Rinde],0))</f>
        <v>#N/A</v>
      </c>
      <c r="G1636" t="e">
        <f>VLOOKUP(Tabelle8[[#This Row],[Rank]],Stammdaten[[Rank Verteilung D Mitte mit Rinde]:[Verteilung D Mitte mit Rinde]],2,FALSE)</f>
        <v>#N/A</v>
      </c>
      <c r="L1636">
        <v>1627</v>
      </c>
      <c r="M1636" t="e">
        <f>INDEX(Stammdaten[Abholzigkeit (mm/lfm)],MATCH(Tabelle9[[#This Row],[Rank]],Stammdaten[Rank Verteilung Abholzigkeit],0))</f>
        <v>#N/A</v>
      </c>
      <c r="N1636" t="e">
        <f>VLOOKUP(Tabelle9[[#This Row],[Rank]],Stammdaten[[Rank Verteilung Abholzigkeit]:[Verteilung Abholzigkeit]],2,FALSE)</f>
        <v>#N/A</v>
      </c>
      <c r="S1636">
        <v>1627</v>
      </c>
      <c r="T1636" t="e">
        <f>INDEX(Stammdaten[Krümmung (mm/lfm)],MATCH(Tabelle10[[#This Row],[Rank]],Stammdaten[Rank Verteilung Krümmung],0))</f>
        <v>#N/A</v>
      </c>
      <c r="U1636" t="e">
        <f>VLOOKUP(Tabelle10[[#This Row],[Rank]],Stammdaten[[Rank Verteilung Krümmung]:[Verteilung Krümmung]],2,FALSE)</f>
        <v>#N/A</v>
      </c>
      <c r="Z1636">
        <v>1627</v>
      </c>
      <c r="AA1636" t="e">
        <f>INDEX(Stammdaten[Ovalität (']0,1'])],MATCH(Tabelle1014[[#This Row],[Rank]],Stammdaten[Rank Verteilung Ovalität],0))</f>
        <v>#N/A</v>
      </c>
      <c r="AB1636" t="e">
        <f>VLOOKUP(Tabelle1014[[#This Row],[Rank]],Stammdaten[[Rank Verteilung Ovalität]:[Verteilung Ovalität]],2,FALSE)</f>
        <v>#N/A</v>
      </c>
    </row>
    <row r="1637" spans="5:28" x14ac:dyDescent="0.35">
      <c r="E1637">
        <v>1628</v>
      </c>
      <c r="F1637" t="e">
        <f>INDEX(Stammdaten[D Mitte mit Rinde (mm)],MATCH(Tabelle8[[#This Row],[Rank]],Stammdaten[Rank Verteilung D Mitte mit Rinde],0))</f>
        <v>#N/A</v>
      </c>
      <c r="G1637" t="e">
        <f>VLOOKUP(Tabelle8[[#This Row],[Rank]],Stammdaten[[Rank Verteilung D Mitte mit Rinde]:[Verteilung D Mitte mit Rinde]],2,FALSE)</f>
        <v>#N/A</v>
      </c>
      <c r="L1637">
        <v>1628</v>
      </c>
      <c r="M1637" t="e">
        <f>INDEX(Stammdaten[Abholzigkeit (mm/lfm)],MATCH(Tabelle9[[#This Row],[Rank]],Stammdaten[Rank Verteilung Abholzigkeit],0))</f>
        <v>#N/A</v>
      </c>
      <c r="N1637" t="e">
        <f>VLOOKUP(Tabelle9[[#This Row],[Rank]],Stammdaten[[Rank Verteilung Abholzigkeit]:[Verteilung Abholzigkeit]],2,FALSE)</f>
        <v>#N/A</v>
      </c>
      <c r="S1637">
        <v>1628</v>
      </c>
      <c r="T1637" t="e">
        <f>INDEX(Stammdaten[Krümmung (mm/lfm)],MATCH(Tabelle10[[#This Row],[Rank]],Stammdaten[Rank Verteilung Krümmung],0))</f>
        <v>#N/A</v>
      </c>
      <c r="U1637" t="e">
        <f>VLOOKUP(Tabelle10[[#This Row],[Rank]],Stammdaten[[Rank Verteilung Krümmung]:[Verteilung Krümmung]],2,FALSE)</f>
        <v>#N/A</v>
      </c>
      <c r="Z1637">
        <v>1628</v>
      </c>
      <c r="AA1637" t="e">
        <f>INDEX(Stammdaten[Ovalität (']0,1'])],MATCH(Tabelle1014[[#This Row],[Rank]],Stammdaten[Rank Verteilung Ovalität],0))</f>
        <v>#N/A</v>
      </c>
      <c r="AB1637" t="e">
        <f>VLOOKUP(Tabelle1014[[#This Row],[Rank]],Stammdaten[[Rank Verteilung Ovalität]:[Verteilung Ovalität]],2,FALSE)</f>
        <v>#N/A</v>
      </c>
    </row>
    <row r="1638" spans="5:28" x14ac:dyDescent="0.35">
      <c r="E1638">
        <v>1629</v>
      </c>
      <c r="F1638" t="e">
        <f>INDEX(Stammdaten[D Mitte mit Rinde (mm)],MATCH(Tabelle8[[#This Row],[Rank]],Stammdaten[Rank Verteilung D Mitte mit Rinde],0))</f>
        <v>#N/A</v>
      </c>
      <c r="G1638" t="e">
        <f>VLOOKUP(Tabelle8[[#This Row],[Rank]],Stammdaten[[Rank Verteilung D Mitte mit Rinde]:[Verteilung D Mitte mit Rinde]],2,FALSE)</f>
        <v>#N/A</v>
      </c>
      <c r="L1638">
        <v>1629</v>
      </c>
      <c r="M1638" t="e">
        <f>INDEX(Stammdaten[Abholzigkeit (mm/lfm)],MATCH(Tabelle9[[#This Row],[Rank]],Stammdaten[Rank Verteilung Abholzigkeit],0))</f>
        <v>#N/A</v>
      </c>
      <c r="N1638" t="e">
        <f>VLOOKUP(Tabelle9[[#This Row],[Rank]],Stammdaten[[Rank Verteilung Abholzigkeit]:[Verteilung Abholzigkeit]],2,FALSE)</f>
        <v>#N/A</v>
      </c>
      <c r="S1638">
        <v>1629</v>
      </c>
      <c r="T1638" t="e">
        <f>INDEX(Stammdaten[Krümmung (mm/lfm)],MATCH(Tabelle10[[#This Row],[Rank]],Stammdaten[Rank Verteilung Krümmung],0))</f>
        <v>#N/A</v>
      </c>
      <c r="U1638" t="e">
        <f>VLOOKUP(Tabelle10[[#This Row],[Rank]],Stammdaten[[Rank Verteilung Krümmung]:[Verteilung Krümmung]],2,FALSE)</f>
        <v>#N/A</v>
      </c>
      <c r="Z1638">
        <v>1629</v>
      </c>
      <c r="AA1638" t="e">
        <f>INDEX(Stammdaten[Ovalität (']0,1'])],MATCH(Tabelle1014[[#This Row],[Rank]],Stammdaten[Rank Verteilung Ovalität],0))</f>
        <v>#N/A</v>
      </c>
      <c r="AB1638" t="e">
        <f>VLOOKUP(Tabelle1014[[#This Row],[Rank]],Stammdaten[[Rank Verteilung Ovalität]:[Verteilung Ovalität]],2,FALSE)</f>
        <v>#N/A</v>
      </c>
    </row>
    <row r="1639" spans="5:28" x14ac:dyDescent="0.35">
      <c r="E1639">
        <v>1630</v>
      </c>
      <c r="F1639" t="e">
        <f>INDEX(Stammdaten[D Mitte mit Rinde (mm)],MATCH(Tabelle8[[#This Row],[Rank]],Stammdaten[Rank Verteilung D Mitte mit Rinde],0))</f>
        <v>#N/A</v>
      </c>
      <c r="G1639" t="e">
        <f>VLOOKUP(Tabelle8[[#This Row],[Rank]],Stammdaten[[Rank Verteilung D Mitte mit Rinde]:[Verteilung D Mitte mit Rinde]],2,FALSE)</f>
        <v>#N/A</v>
      </c>
      <c r="L1639">
        <v>1630</v>
      </c>
      <c r="M1639" t="e">
        <f>INDEX(Stammdaten[Abholzigkeit (mm/lfm)],MATCH(Tabelle9[[#This Row],[Rank]],Stammdaten[Rank Verteilung Abholzigkeit],0))</f>
        <v>#N/A</v>
      </c>
      <c r="N1639" t="e">
        <f>VLOOKUP(Tabelle9[[#This Row],[Rank]],Stammdaten[[Rank Verteilung Abholzigkeit]:[Verteilung Abholzigkeit]],2,FALSE)</f>
        <v>#N/A</v>
      </c>
      <c r="S1639">
        <v>1630</v>
      </c>
      <c r="T1639" t="e">
        <f>INDEX(Stammdaten[Krümmung (mm/lfm)],MATCH(Tabelle10[[#This Row],[Rank]],Stammdaten[Rank Verteilung Krümmung],0))</f>
        <v>#N/A</v>
      </c>
      <c r="U1639" t="e">
        <f>VLOOKUP(Tabelle10[[#This Row],[Rank]],Stammdaten[[Rank Verteilung Krümmung]:[Verteilung Krümmung]],2,FALSE)</f>
        <v>#N/A</v>
      </c>
      <c r="Z1639">
        <v>1630</v>
      </c>
      <c r="AA1639" t="e">
        <f>INDEX(Stammdaten[Ovalität (']0,1'])],MATCH(Tabelle1014[[#This Row],[Rank]],Stammdaten[Rank Verteilung Ovalität],0))</f>
        <v>#N/A</v>
      </c>
      <c r="AB1639" t="e">
        <f>VLOOKUP(Tabelle1014[[#This Row],[Rank]],Stammdaten[[Rank Verteilung Ovalität]:[Verteilung Ovalität]],2,FALSE)</f>
        <v>#N/A</v>
      </c>
    </row>
    <row r="1640" spans="5:28" x14ac:dyDescent="0.35">
      <c r="E1640">
        <v>1631</v>
      </c>
      <c r="F1640" t="e">
        <f>INDEX(Stammdaten[D Mitte mit Rinde (mm)],MATCH(Tabelle8[[#This Row],[Rank]],Stammdaten[Rank Verteilung D Mitte mit Rinde],0))</f>
        <v>#N/A</v>
      </c>
      <c r="G1640" t="e">
        <f>VLOOKUP(Tabelle8[[#This Row],[Rank]],Stammdaten[[Rank Verteilung D Mitte mit Rinde]:[Verteilung D Mitte mit Rinde]],2,FALSE)</f>
        <v>#N/A</v>
      </c>
      <c r="L1640">
        <v>1631</v>
      </c>
      <c r="M1640" t="e">
        <f>INDEX(Stammdaten[Abholzigkeit (mm/lfm)],MATCH(Tabelle9[[#This Row],[Rank]],Stammdaten[Rank Verteilung Abholzigkeit],0))</f>
        <v>#N/A</v>
      </c>
      <c r="N1640" t="e">
        <f>VLOOKUP(Tabelle9[[#This Row],[Rank]],Stammdaten[[Rank Verteilung Abholzigkeit]:[Verteilung Abholzigkeit]],2,FALSE)</f>
        <v>#N/A</v>
      </c>
      <c r="S1640">
        <v>1631</v>
      </c>
      <c r="T1640" t="e">
        <f>INDEX(Stammdaten[Krümmung (mm/lfm)],MATCH(Tabelle10[[#This Row],[Rank]],Stammdaten[Rank Verteilung Krümmung],0))</f>
        <v>#N/A</v>
      </c>
      <c r="U1640" t="e">
        <f>VLOOKUP(Tabelle10[[#This Row],[Rank]],Stammdaten[[Rank Verteilung Krümmung]:[Verteilung Krümmung]],2,FALSE)</f>
        <v>#N/A</v>
      </c>
      <c r="Z1640">
        <v>1631</v>
      </c>
      <c r="AA1640" t="e">
        <f>INDEX(Stammdaten[Ovalität (']0,1'])],MATCH(Tabelle1014[[#This Row],[Rank]],Stammdaten[Rank Verteilung Ovalität],0))</f>
        <v>#N/A</v>
      </c>
      <c r="AB1640" t="e">
        <f>VLOOKUP(Tabelle1014[[#This Row],[Rank]],Stammdaten[[Rank Verteilung Ovalität]:[Verteilung Ovalität]],2,FALSE)</f>
        <v>#N/A</v>
      </c>
    </row>
    <row r="1641" spans="5:28" x14ac:dyDescent="0.35">
      <c r="E1641">
        <v>1632</v>
      </c>
      <c r="F1641" t="e">
        <f>INDEX(Stammdaten[D Mitte mit Rinde (mm)],MATCH(Tabelle8[[#This Row],[Rank]],Stammdaten[Rank Verteilung D Mitte mit Rinde],0))</f>
        <v>#N/A</v>
      </c>
      <c r="G1641" t="e">
        <f>VLOOKUP(Tabelle8[[#This Row],[Rank]],Stammdaten[[Rank Verteilung D Mitte mit Rinde]:[Verteilung D Mitte mit Rinde]],2,FALSE)</f>
        <v>#N/A</v>
      </c>
      <c r="L1641">
        <v>1632</v>
      </c>
      <c r="M1641" t="e">
        <f>INDEX(Stammdaten[Abholzigkeit (mm/lfm)],MATCH(Tabelle9[[#This Row],[Rank]],Stammdaten[Rank Verteilung Abholzigkeit],0))</f>
        <v>#N/A</v>
      </c>
      <c r="N1641" t="e">
        <f>VLOOKUP(Tabelle9[[#This Row],[Rank]],Stammdaten[[Rank Verteilung Abholzigkeit]:[Verteilung Abholzigkeit]],2,FALSE)</f>
        <v>#N/A</v>
      </c>
      <c r="S1641">
        <v>1632</v>
      </c>
      <c r="T1641" t="e">
        <f>INDEX(Stammdaten[Krümmung (mm/lfm)],MATCH(Tabelle10[[#This Row],[Rank]],Stammdaten[Rank Verteilung Krümmung],0))</f>
        <v>#N/A</v>
      </c>
      <c r="U1641" t="e">
        <f>VLOOKUP(Tabelle10[[#This Row],[Rank]],Stammdaten[[Rank Verteilung Krümmung]:[Verteilung Krümmung]],2,FALSE)</f>
        <v>#N/A</v>
      </c>
      <c r="Z1641">
        <v>1632</v>
      </c>
      <c r="AA1641" t="e">
        <f>INDEX(Stammdaten[Ovalität (']0,1'])],MATCH(Tabelle1014[[#This Row],[Rank]],Stammdaten[Rank Verteilung Ovalität],0))</f>
        <v>#N/A</v>
      </c>
      <c r="AB1641" t="e">
        <f>VLOOKUP(Tabelle1014[[#This Row],[Rank]],Stammdaten[[Rank Verteilung Ovalität]:[Verteilung Ovalität]],2,FALSE)</f>
        <v>#N/A</v>
      </c>
    </row>
    <row r="1642" spans="5:28" x14ac:dyDescent="0.35">
      <c r="E1642">
        <v>1633</v>
      </c>
      <c r="F1642" t="e">
        <f>INDEX(Stammdaten[D Mitte mit Rinde (mm)],MATCH(Tabelle8[[#This Row],[Rank]],Stammdaten[Rank Verteilung D Mitte mit Rinde],0))</f>
        <v>#N/A</v>
      </c>
      <c r="G1642" t="e">
        <f>VLOOKUP(Tabelle8[[#This Row],[Rank]],Stammdaten[[Rank Verteilung D Mitte mit Rinde]:[Verteilung D Mitte mit Rinde]],2,FALSE)</f>
        <v>#N/A</v>
      </c>
      <c r="L1642">
        <v>1633</v>
      </c>
      <c r="M1642" t="e">
        <f>INDEX(Stammdaten[Abholzigkeit (mm/lfm)],MATCH(Tabelle9[[#This Row],[Rank]],Stammdaten[Rank Verteilung Abholzigkeit],0))</f>
        <v>#N/A</v>
      </c>
      <c r="N1642" t="e">
        <f>VLOOKUP(Tabelle9[[#This Row],[Rank]],Stammdaten[[Rank Verteilung Abholzigkeit]:[Verteilung Abholzigkeit]],2,FALSE)</f>
        <v>#N/A</v>
      </c>
      <c r="S1642">
        <v>1633</v>
      </c>
      <c r="T1642" t="e">
        <f>INDEX(Stammdaten[Krümmung (mm/lfm)],MATCH(Tabelle10[[#This Row],[Rank]],Stammdaten[Rank Verteilung Krümmung],0))</f>
        <v>#N/A</v>
      </c>
      <c r="U1642" t="e">
        <f>VLOOKUP(Tabelle10[[#This Row],[Rank]],Stammdaten[[Rank Verteilung Krümmung]:[Verteilung Krümmung]],2,FALSE)</f>
        <v>#N/A</v>
      </c>
      <c r="Z1642">
        <v>1633</v>
      </c>
      <c r="AA1642" t="e">
        <f>INDEX(Stammdaten[Ovalität (']0,1'])],MATCH(Tabelle1014[[#This Row],[Rank]],Stammdaten[Rank Verteilung Ovalität],0))</f>
        <v>#N/A</v>
      </c>
      <c r="AB1642" t="e">
        <f>VLOOKUP(Tabelle1014[[#This Row],[Rank]],Stammdaten[[Rank Verteilung Ovalität]:[Verteilung Ovalität]],2,FALSE)</f>
        <v>#N/A</v>
      </c>
    </row>
    <row r="1643" spans="5:28" x14ac:dyDescent="0.35">
      <c r="E1643">
        <v>1634</v>
      </c>
      <c r="F1643" t="e">
        <f>INDEX(Stammdaten[D Mitte mit Rinde (mm)],MATCH(Tabelle8[[#This Row],[Rank]],Stammdaten[Rank Verteilung D Mitte mit Rinde],0))</f>
        <v>#N/A</v>
      </c>
      <c r="G1643" t="e">
        <f>VLOOKUP(Tabelle8[[#This Row],[Rank]],Stammdaten[[Rank Verteilung D Mitte mit Rinde]:[Verteilung D Mitte mit Rinde]],2,FALSE)</f>
        <v>#N/A</v>
      </c>
      <c r="L1643">
        <v>1634</v>
      </c>
      <c r="M1643" t="e">
        <f>INDEX(Stammdaten[Abholzigkeit (mm/lfm)],MATCH(Tabelle9[[#This Row],[Rank]],Stammdaten[Rank Verteilung Abholzigkeit],0))</f>
        <v>#N/A</v>
      </c>
      <c r="N1643" t="e">
        <f>VLOOKUP(Tabelle9[[#This Row],[Rank]],Stammdaten[[Rank Verteilung Abholzigkeit]:[Verteilung Abholzigkeit]],2,FALSE)</f>
        <v>#N/A</v>
      </c>
      <c r="S1643">
        <v>1634</v>
      </c>
      <c r="T1643" t="e">
        <f>INDEX(Stammdaten[Krümmung (mm/lfm)],MATCH(Tabelle10[[#This Row],[Rank]],Stammdaten[Rank Verteilung Krümmung],0))</f>
        <v>#N/A</v>
      </c>
      <c r="U1643" t="e">
        <f>VLOOKUP(Tabelle10[[#This Row],[Rank]],Stammdaten[[Rank Verteilung Krümmung]:[Verteilung Krümmung]],2,FALSE)</f>
        <v>#N/A</v>
      </c>
      <c r="Z1643">
        <v>1634</v>
      </c>
      <c r="AA1643" t="e">
        <f>INDEX(Stammdaten[Ovalität (']0,1'])],MATCH(Tabelle1014[[#This Row],[Rank]],Stammdaten[Rank Verteilung Ovalität],0))</f>
        <v>#N/A</v>
      </c>
      <c r="AB1643" t="e">
        <f>VLOOKUP(Tabelle1014[[#This Row],[Rank]],Stammdaten[[Rank Verteilung Ovalität]:[Verteilung Ovalität]],2,FALSE)</f>
        <v>#N/A</v>
      </c>
    </row>
    <row r="1644" spans="5:28" x14ac:dyDescent="0.35">
      <c r="E1644">
        <v>1635</v>
      </c>
      <c r="F1644" t="e">
        <f>INDEX(Stammdaten[D Mitte mit Rinde (mm)],MATCH(Tabelle8[[#This Row],[Rank]],Stammdaten[Rank Verteilung D Mitte mit Rinde],0))</f>
        <v>#N/A</v>
      </c>
      <c r="G1644" t="e">
        <f>VLOOKUP(Tabelle8[[#This Row],[Rank]],Stammdaten[[Rank Verteilung D Mitte mit Rinde]:[Verteilung D Mitte mit Rinde]],2,FALSE)</f>
        <v>#N/A</v>
      </c>
      <c r="L1644">
        <v>1635</v>
      </c>
      <c r="M1644" t="e">
        <f>INDEX(Stammdaten[Abholzigkeit (mm/lfm)],MATCH(Tabelle9[[#This Row],[Rank]],Stammdaten[Rank Verteilung Abholzigkeit],0))</f>
        <v>#N/A</v>
      </c>
      <c r="N1644" t="e">
        <f>VLOOKUP(Tabelle9[[#This Row],[Rank]],Stammdaten[[Rank Verteilung Abholzigkeit]:[Verteilung Abholzigkeit]],2,FALSE)</f>
        <v>#N/A</v>
      </c>
      <c r="S1644">
        <v>1635</v>
      </c>
      <c r="T1644" t="e">
        <f>INDEX(Stammdaten[Krümmung (mm/lfm)],MATCH(Tabelle10[[#This Row],[Rank]],Stammdaten[Rank Verteilung Krümmung],0))</f>
        <v>#N/A</v>
      </c>
      <c r="U1644" t="e">
        <f>VLOOKUP(Tabelle10[[#This Row],[Rank]],Stammdaten[[Rank Verteilung Krümmung]:[Verteilung Krümmung]],2,FALSE)</f>
        <v>#N/A</v>
      </c>
      <c r="Z1644">
        <v>1635</v>
      </c>
      <c r="AA1644" t="e">
        <f>INDEX(Stammdaten[Ovalität (']0,1'])],MATCH(Tabelle1014[[#This Row],[Rank]],Stammdaten[Rank Verteilung Ovalität],0))</f>
        <v>#N/A</v>
      </c>
      <c r="AB1644" t="e">
        <f>VLOOKUP(Tabelle1014[[#This Row],[Rank]],Stammdaten[[Rank Verteilung Ovalität]:[Verteilung Ovalität]],2,FALSE)</f>
        <v>#N/A</v>
      </c>
    </row>
    <row r="1645" spans="5:28" x14ac:dyDescent="0.35">
      <c r="E1645">
        <v>1636</v>
      </c>
      <c r="F1645" t="e">
        <f>INDEX(Stammdaten[D Mitte mit Rinde (mm)],MATCH(Tabelle8[[#This Row],[Rank]],Stammdaten[Rank Verteilung D Mitte mit Rinde],0))</f>
        <v>#N/A</v>
      </c>
      <c r="G1645" t="e">
        <f>VLOOKUP(Tabelle8[[#This Row],[Rank]],Stammdaten[[Rank Verteilung D Mitte mit Rinde]:[Verteilung D Mitte mit Rinde]],2,FALSE)</f>
        <v>#N/A</v>
      </c>
      <c r="L1645">
        <v>1636</v>
      </c>
      <c r="M1645" t="e">
        <f>INDEX(Stammdaten[Abholzigkeit (mm/lfm)],MATCH(Tabelle9[[#This Row],[Rank]],Stammdaten[Rank Verteilung Abholzigkeit],0))</f>
        <v>#N/A</v>
      </c>
      <c r="N1645" t="e">
        <f>VLOOKUP(Tabelle9[[#This Row],[Rank]],Stammdaten[[Rank Verteilung Abholzigkeit]:[Verteilung Abholzigkeit]],2,FALSE)</f>
        <v>#N/A</v>
      </c>
      <c r="S1645">
        <v>1636</v>
      </c>
      <c r="T1645" t="e">
        <f>INDEX(Stammdaten[Krümmung (mm/lfm)],MATCH(Tabelle10[[#This Row],[Rank]],Stammdaten[Rank Verteilung Krümmung],0))</f>
        <v>#N/A</v>
      </c>
      <c r="U1645" t="e">
        <f>VLOOKUP(Tabelle10[[#This Row],[Rank]],Stammdaten[[Rank Verteilung Krümmung]:[Verteilung Krümmung]],2,FALSE)</f>
        <v>#N/A</v>
      </c>
      <c r="Z1645">
        <v>1636</v>
      </c>
      <c r="AA1645" t="e">
        <f>INDEX(Stammdaten[Ovalität (']0,1'])],MATCH(Tabelle1014[[#This Row],[Rank]],Stammdaten[Rank Verteilung Ovalität],0))</f>
        <v>#N/A</v>
      </c>
      <c r="AB1645" t="e">
        <f>VLOOKUP(Tabelle1014[[#This Row],[Rank]],Stammdaten[[Rank Verteilung Ovalität]:[Verteilung Ovalität]],2,FALSE)</f>
        <v>#N/A</v>
      </c>
    </row>
    <row r="1646" spans="5:28" x14ac:dyDescent="0.35">
      <c r="E1646">
        <v>1637</v>
      </c>
      <c r="F1646" t="e">
        <f>INDEX(Stammdaten[D Mitte mit Rinde (mm)],MATCH(Tabelle8[[#This Row],[Rank]],Stammdaten[Rank Verteilung D Mitte mit Rinde],0))</f>
        <v>#N/A</v>
      </c>
      <c r="G1646" t="e">
        <f>VLOOKUP(Tabelle8[[#This Row],[Rank]],Stammdaten[[Rank Verteilung D Mitte mit Rinde]:[Verteilung D Mitte mit Rinde]],2,FALSE)</f>
        <v>#N/A</v>
      </c>
      <c r="L1646">
        <v>1637</v>
      </c>
      <c r="M1646" t="e">
        <f>INDEX(Stammdaten[Abholzigkeit (mm/lfm)],MATCH(Tabelle9[[#This Row],[Rank]],Stammdaten[Rank Verteilung Abholzigkeit],0))</f>
        <v>#N/A</v>
      </c>
      <c r="N1646" t="e">
        <f>VLOOKUP(Tabelle9[[#This Row],[Rank]],Stammdaten[[Rank Verteilung Abholzigkeit]:[Verteilung Abholzigkeit]],2,FALSE)</f>
        <v>#N/A</v>
      </c>
      <c r="S1646">
        <v>1637</v>
      </c>
      <c r="T1646" t="e">
        <f>INDEX(Stammdaten[Krümmung (mm/lfm)],MATCH(Tabelle10[[#This Row],[Rank]],Stammdaten[Rank Verteilung Krümmung],0))</f>
        <v>#N/A</v>
      </c>
      <c r="U1646" t="e">
        <f>VLOOKUP(Tabelle10[[#This Row],[Rank]],Stammdaten[[Rank Verteilung Krümmung]:[Verteilung Krümmung]],2,FALSE)</f>
        <v>#N/A</v>
      </c>
      <c r="Z1646">
        <v>1637</v>
      </c>
      <c r="AA1646" t="e">
        <f>INDEX(Stammdaten[Ovalität (']0,1'])],MATCH(Tabelle1014[[#This Row],[Rank]],Stammdaten[Rank Verteilung Ovalität],0))</f>
        <v>#N/A</v>
      </c>
      <c r="AB1646" t="e">
        <f>VLOOKUP(Tabelle1014[[#This Row],[Rank]],Stammdaten[[Rank Verteilung Ovalität]:[Verteilung Ovalität]],2,FALSE)</f>
        <v>#N/A</v>
      </c>
    </row>
    <row r="1647" spans="5:28" x14ac:dyDescent="0.35">
      <c r="E1647">
        <v>1638</v>
      </c>
      <c r="F1647" t="e">
        <f>INDEX(Stammdaten[D Mitte mit Rinde (mm)],MATCH(Tabelle8[[#This Row],[Rank]],Stammdaten[Rank Verteilung D Mitte mit Rinde],0))</f>
        <v>#N/A</v>
      </c>
      <c r="G1647" t="e">
        <f>VLOOKUP(Tabelle8[[#This Row],[Rank]],Stammdaten[[Rank Verteilung D Mitte mit Rinde]:[Verteilung D Mitte mit Rinde]],2,FALSE)</f>
        <v>#N/A</v>
      </c>
      <c r="L1647">
        <v>1638</v>
      </c>
      <c r="M1647" t="e">
        <f>INDEX(Stammdaten[Abholzigkeit (mm/lfm)],MATCH(Tabelle9[[#This Row],[Rank]],Stammdaten[Rank Verteilung Abholzigkeit],0))</f>
        <v>#N/A</v>
      </c>
      <c r="N1647" t="e">
        <f>VLOOKUP(Tabelle9[[#This Row],[Rank]],Stammdaten[[Rank Verteilung Abholzigkeit]:[Verteilung Abholzigkeit]],2,FALSE)</f>
        <v>#N/A</v>
      </c>
      <c r="S1647">
        <v>1638</v>
      </c>
      <c r="T1647" t="e">
        <f>INDEX(Stammdaten[Krümmung (mm/lfm)],MATCH(Tabelle10[[#This Row],[Rank]],Stammdaten[Rank Verteilung Krümmung],0))</f>
        <v>#N/A</v>
      </c>
      <c r="U1647" t="e">
        <f>VLOOKUP(Tabelle10[[#This Row],[Rank]],Stammdaten[[Rank Verteilung Krümmung]:[Verteilung Krümmung]],2,FALSE)</f>
        <v>#N/A</v>
      </c>
      <c r="Z1647">
        <v>1638</v>
      </c>
      <c r="AA1647" t="e">
        <f>INDEX(Stammdaten[Ovalität (']0,1'])],MATCH(Tabelle1014[[#This Row],[Rank]],Stammdaten[Rank Verteilung Ovalität],0))</f>
        <v>#N/A</v>
      </c>
      <c r="AB1647" t="e">
        <f>VLOOKUP(Tabelle1014[[#This Row],[Rank]],Stammdaten[[Rank Verteilung Ovalität]:[Verteilung Ovalität]],2,FALSE)</f>
        <v>#N/A</v>
      </c>
    </row>
    <row r="1648" spans="5:28" x14ac:dyDescent="0.35">
      <c r="E1648">
        <v>1639</v>
      </c>
      <c r="F1648" t="e">
        <f>INDEX(Stammdaten[D Mitte mit Rinde (mm)],MATCH(Tabelle8[[#This Row],[Rank]],Stammdaten[Rank Verteilung D Mitte mit Rinde],0))</f>
        <v>#N/A</v>
      </c>
      <c r="G1648" t="e">
        <f>VLOOKUP(Tabelle8[[#This Row],[Rank]],Stammdaten[[Rank Verteilung D Mitte mit Rinde]:[Verteilung D Mitte mit Rinde]],2,FALSE)</f>
        <v>#N/A</v>
      </c>
      <c r="L1648">
        <v>1639</v>
      </c>
      <c r="M1648" t="e">
        <f>INDEX(Stammdaten[Abholzigkeit (mm/lfm)],MATCH(Tabelle9[[#This Row],[Rank]],Stammdaten[Rank Verteilung Abholzigkeit],0))</f>
        <v>#N/A</v>
      </c>
      <c r="N1648" t="e">
        <f>VLOOKUP(Tabelle9[[#This Row],[Rank]],Stammdaten[[Rank Verteilung Abholzigkeit]:[Verteilung Abholzigkeit]],2,FALSE)</f>
        <v>#N/A</v>
      </c>
      <c r="S1648">
        <v>1639</v>
      </c>
      <c r="T1648" t="e">
        <f>INDEX(Stammdaten[Krümmung (mm/lfm)],MATCH(Tabelle10[[#This Row],[Rank]],Stammdaten[Rank Verteilung Krümmung],0))</f>
        <v>#N/A</v>
      </c>
      <c r="U1648" t="e">
        <f>VLOOKUP(Tabelle10[[#This Row],[Rank]],Stammdaten[[Rank Verteilung Krümmung]:[Verteilung Krümmung]],2,FALSE)</f>
        <v>#N/A</v>
      </c>
      <c r="Z1648">
        <v>1639</v>
      </c>
      <c r="AA1648" t="e">
        <f>INDEX(Stammdaten[Ovalität (']0,1'])],MATCH(Tabelle1014[[#This Row],[Rank]],Stammdaten[Rank Verteilung Ovalität],0))</f>
        <v>#N/A</v>
      </c>
      <c r="AB1648" t="e">
        <f>VLOOKUP(Tabelle1014[[#This Row],[Rank]],Stammdaten[[Rank Verteilung Ovalität]:[Verteilung Ovalität]],2,FALSE)</f>
        <v>#N/A</v>
      </c>
    </row>
    <row r="1649" spans="5:28" x14ac:dyDescent="0.35">
      <c r="E1649">
        <v>1640</v>
      </c>
      <c r="F1649" t="e">
        <f>INDEX(Stammdaten[D Mitte mit Rinde (mm)],MATCH(Tabelle8[[#This Row],[Rank]],Stammdaten[Rank Verteilung D Mitte mit Rinde],0))</f>
        <v>#N/A</v>
      </c>
      <c r="G1649" t="e">
        <f>VLOOKUP(Tabelle8[[#This Row],[Rank]],Stammdaten[[Rank Verteilung D Mitte mit Rinde]:[Verteilung D Mitte mit Rinde]],2,FALSE)</f>
        <v>#N/A</v>
      </c>
      <c r="L1649">
        <v>1640</v>
      </c>
      <c r="M1649" t="e">
        <f>INDEX(Stammdaten[Abholzigkeit (mm/lfm)],MATCH(Tabelle9[[#This Row],[Rank]],Stammdaten[Rank Verteilung Abholzigkeit],0))</f>
        <v>#N/A</v>
      </c>
      <c r="N1649" t="e">
        <f>VLOOKUP(Tabelle9[[#This Row],[Rank]],Stammdaten[[Rank Verteilung Abholzigkeit]:[Verteilung Abholzigkeit]],2,FALSE)</f>
        <v>#N/A</v>
      </c>
      <c r="S1649">
        <v>1640</v>
      </c>
      <c r="T1649" t="e">
        <f>INDEX(Stammdaten[Krümmung (mm/lfm)],MATCH(Tabelle10[[#This Row],[Rank]],Stammdaten[Rank Verteilung Krümmung],0))</f>
        <v>#N/A</v>
      </c>
      <c r="U1649" t="e">
        <f>VLOOKUP(Tabelle10[[#This Row],[Rank]],Stammdaten[[Rank Verteilung Krümmung]:[Verteilung Krümmung]],2,FALSE)</f>
        <v>#N/A</v>
      </c>
      <c r="Z1649">
        <v>1640</v>
      </c>
      <c r="AA1649" t="e">
        <f>INDEX(Stammdaten[Ovalität (']0,1'])],MATCH(Tabelle1014[[#This Row],[Rank]],Stammdaten[Rank Verteilung Ovalität],0))</f>
        <v>#N/A</v>
      </c>
      <c r="AB1649" t="e">
        <f>VLOOKUP(Tabelle1014[[#This Row],[Rank]],Stammdaten[[Rank Verteilung Ovalität]:[Verteilung Ovalität]],2,FALSE)</f>
        <v>#N/A</v>
      </c>
    </row>
    <row r="1650" spans="5:28" x14ac:dyDescent="0.35">
      <c r="E1650">
        <v>1641</v>
      </c>
      <c r="F1650" t="e">
        <f>INDEX(Stammdaten[D Mitte mit Rinde (mm)],MATCH(Tabelle8[[#This Row],[Rank]],Stammdaten[Rank Verteilung D Mitte mit Rinde],0))</f>
        <v>#N/A</v>
      </c>
      <c r="G1650" t="e">
        <f>VLOOKUP(Tabelle8[[#This Row],[Rank]],Stammdaten[[Rank Verteilung D Mitte mit Rinde]:[Verteilung D Mitte mit Rinde]],2,FALSE)</f>
        <v>#N/A</v>
      </c>
      <c r="L1650">
        <v>1641</v>
      </c>
      <c r="M1650" t="e">
        <f>INDEX(Stammdaten[Abholzigkeit (mm/lfm)],MATCH(Tabelle9[[#This Row],[Rank]],Stammdaten[Rank Verteilung Abholzigkeit],0))</f>
        <v>#N/A</v>
      </c>
      <c r="N1650" t="e">
        <f>VLOOKUP(Tabelle9[[#This Row],[Rank]],Stammdaten[[Rank Verteilung Abholzigkeit]:[Verteilung Abholzigkeit]],2,FALSE)</f>
        <v>#N/A</v>
      </c>
      <c r="S1650">
        <v>1641</v>
      </c>
      <c r="T1650" t="e">
        <f>INDEX(Stammdaten[Krümmung (mm/lfm)],MATCH(Tabelle10[[#This Row],[Rank]],Stammdaten[Rank Verteilung Krümmung],0))</f>
        <v>#N/A</v>
      </c>
      <c r="U1650" t="e">
        <f>VLOOKUP(Tabelle10[[#This Row],[Rank]],Stammdaten[[Rank Verteilung Krümmung]:[Verteilung Krümmung]],2,FALSE)</f>
        <v>#N/A</v>
      </c>
      <c r="Z1650">
        <v>1641</v>
      </c>
      <c r="AA1650" t="e">
        <f>INDEX(Stammdaten[Ovalität (']0,1'])],MATCH(Tabelle1014[[#This Row],[Rank]],Stammdaten[Rank Verteilung Ovalität],0))</f>
        <v>#N/A</v>
      </c>
      <c r="AB1650" t="e">
        <f>VLOOKUP(Tabelle1014[[#This Row],[Rank]],Stammdaten[[Rank Verteilung Ovalität]:[Verteilung Ovalität]],2,FALSE)</f>
        <v>#N/A</v>
      </c>
    </row>
    <row r="1651" spans="5:28" x14ac:dyDescent="0.35">
      <c r="E1651">
        <v>1642</v>
      </c>
      <c r="F1651" t="e">
        <f>INDEX(Stammdaten[D Mitte mit Rinde (mm)],MATCH(Tabelle8[[#This Row],[Rank]],Stammdaten[Rank Verteilung D Mitte mit Rinde],0))</f>
        <v>#N/A</v>
      </c>
      <c r="G1651" t="e">
        <f>VLOOKUP(Tabelle8[[#This Row],[Rank]],Stammdaten[[Rank Verteilung D Mitte mit Rinde]:[Verteilung D Mitte mit Rinde]],2,FALSE)</f>
        <v>#N/A</v>
      </c>
      <c r="L1651">
        <v>1642</v>
      </c>
      <c r="M1651" t="e">
        <f>INDEX(Stammdaten[Abholzigkeit (mm/lfm)],MATCH(Tabelle9[[#This Row],[Rank]],Stammdaten[Rank Verteilung Abholzigkeit],0))</f>
        <v>#N/A</v>
      </c>
      <c r="N1651" t="e">
        <f>VLOOKUP(Tabelle9[[#This Row],[Rank]],Stammdaten[[Rank Verteilung Abholzigkeit]:[Verteilung Abholzigkeit]],2,FALSE)</f>
        <v>#N/A</v>
      </c>
      <c r="S1651">
        <v>1642</v>
      </c>
      <c r="T1651" t="e">
        <f>INDEX(Stammdaten[Krümmung (mm/lfm)],MATCH(Tabelle10[[#This Row],[Rank]],Stammdaten[Rank Verteilung Krümmung],0))</f>
        <v>#N/A</v>
      </c>
      <c r="U1651" t="e">
        <f>VLOOKUP(Tabelle10[[#This Row],[Rank]],Stammdaten[[Rank Verteilung Krümmung]:[Verteilung Krümmung]],2,FALSE)</f>
        <v>#N/A</v>
      </c>
      <c r="Z1651">
        <v>1642</v>
      </c>
      <c r="AA1651" t="e">
        <f>INDEX(Stammdaten[Ovalität (']0,1'])],MATCH(Tabelle1014[[#This Row],[Rank]],Stammdaten[Rank Verteilung Ovalität],0))</f>
        <v>#N/A</v>
      </c>
      <c r="AB1651" t="e">
        <f>VLOOKUP(Tabelle1014[[#This Row],[Rank]],Stammdaten[[Rank Verteilung Ovalität]:[Verteilung Ovalität]],2,FALSE)</f>
        <v>#N/A</v>
      </c>
    </row>
    <row r="1652" spans="5:28" x14ac:dyDescent="0.35">
      <c r="E1652">
        <v>1643</v>
      </c>
      <c r="F1652" t="e">
        <f>INDEX(Stammdaten[D Mitte mit Rinde (mm)],MATCH(Tabelle8[[#This Row],[Rank]],Stammdaten[Rank Verteilung D Mitte mit Rinde],0))</f>
        <v>#N/A</v>
      </c>
      <c r="G1652" t="e">
        <f>VLOOKUP(Tabelle8[[#This Row],[Rank]],Stammdaten[[Rank Verteilung D Mitte mit Rinde]:[Verteilung D Mitte mit Rinde]],2,FALSE)</f>
        <v>#N/A</v>
      </c>
      <c r="L1652">
        <v>1643</v>
      </c>
      <c r="M1652" t="e">
        <f>INDEX(Stammdaten[Abholzigkeit (mm/lfm)],MATCH(Tabelle9[[#This Row],[Rank]],Stammdaten[Rank Verteilung Abholzigkeit],0))</f>
        <v>#N/A</v>
      </c>
      <c r="N1652" t="e">
        <f>VLOOKUP(Tabelle9[[#This Row],[Rank]],Stammdaten[[Rank Verteilung Abholzigkeit]:[Verteilung Abholzigkeit]],2,FALSE)</f>
        <v>#N/A</v>
      </c>
      <c r="S1652">
        <v>1643</v>
      </c>
      <c r="T1652" t="e">
        <f>INDEX(Stammdaten[Krümmung (mm/lfm)],MATCH(Tabelle10[[#This Row],[Rank]],Stammdaten[Rank Verteilung Krümmung],0))</f>
        <v>#N/A</v>
      </c>
      <c r="U1652" t="e">
        <f>VLOOKUP(Tabelle10[[#This Row],[Rank]],Stammdaten[[Rank Verteilung Krümmung]:[Verteilung Krümmung]],2,FALSE)</f>
        <v>#N/A</v>
      </c>
      <c r="Z1652">
        <v>1643</v>
      </c>
      <c r="AA1652" t="e">
        <f>INDEX(Stammdaten[Ovalität (']0,1'])],MATCH(Tabelle1014[[#This Row],[Rank]],Stammdaten[Rank Verteilung Ovalität],0))</f>
        <v>#N/A</v>
      </c>
      <c r="AB1652" t="e">
        <f>VLOOKUP(Tabelle1014[[#This Row],[Rank]],Stammdaten[[Rank Verteilung Ovalität]:[Verteilung Ovalität]],2,FALSE)</f>
        <v>#N/A</v>
      </c>
    </row>
    <row r="1653" spans="5:28" x14ac:dyDescent="0.35">
      <c r="E1653">
        <v>1644</v>
      </c>
      <c r="F1653" t="e">
        <f>INDEX(Stammdaten[D Mitte mit Rinde (mm)],MATCH(Tabelle8[[#This Row],[Rank]],Stammdaten[Rank Verteilung D Mitte mit Rinde],0))</f>
        <v>#N/A</v>
      </c>
      <c r="G1653" t="e">
        <f>VLOOKUP(Tabelle8[[#This Row],[Rank]],Stammdaten[[Rank Verteilung D Mitte mit Rinde]:[Verteilung D Mitte mit Rinde]],2,FALSE)</f>
        <v>#N/A</v>
      </c>
      <c r="L1653">
        <v>1644</v>
      </c>
      <c r="M1653" t="e">
        <f>INDEX(Stammdaten[Abholzigkeit (mm/lfm)],MATCH(Tabelle9[[#This Row],[Rank]],Stammdaten[Rank Verteilung Abholzigkeit],0))</f>
        <v>#N/A</v>
      </c>
      <c r="N1653" t="e">
        <f>VLOOKUP(Tabelle9[[#This Row],[Rank]],Stammdaten[[Rank Verteilung Abholzigkeit]:[Verteilung Abholzigkeit]],2,FALSE)</f>
        <v>#N/A</v>
      </c>
      <c r="S1653">
        <v>1644</v>
      </c>
      <c r="T1653" t="e">
        <f>INDEX(Stammdaten[Krümmung (mm/lfm)],MATCH(Tabelle10[[#This Row],[Rank]],Stammdaten[Rank Verteilung Krümmung],0))</f>
        <v>#N/A</v>
      </c>
      <c r="U1653" t="e">
        <f>VLOOKUP(Tabelle10[[#This Row],[Rank]],Stammdaten[[Rank Verteilung Krümmung]:[Verteilung Krümmung]],2,FALSE)</f>
        <v>#N/A</v>
      </c>
      <c r="Z1653">
        <v>1644</v>
      </c>
      <c r="AA1653" t="e">
        <f>INDEX(Stammdaten[Ovalität (']0,1'])],MATCH(Tabelle1014[[#This Row],[Rank]],Stammdaten[Rank Verteilung Ovalität],0))</f>
        <v>#N/A</v>
      </c>
      <c r="AB1653" t="e">
        <f>VLOOKUP(Tabelle1014[[#This Row],[Rank]],Stammdaten[[Rank Verteilung Ovalität]:[Verteilung Ovalität]],2,FALSE)</f>
        <v>#N/A</v>
      </c>
    </row>
    <row r="1654" spans="5:28" x14ac:dyDescent="0.35">
      <c r="E1654">
        <v>1645</v>
      </c>
      <c r="F1654" t="e">
        <f>INDEX(Stammdaten[D Mitte mit Rinde (mm)],MATCH(Tabelle8[[#This Row],[Rank]],Stammdaten[Rank Verteilung D Mitte mit Rinde],0))</f>
        <v>#N/A</v>
      </c>
      <c r="G1654" t="e">
        <f>VLOOKUP(Tabelle8[[#This Row],[Rank]],Stammdaten[[Rank Verteilung D Mitte mit Rinde]:[Verteilung D Mitte mit Rinde]],2,FALSE)</f>
        <v>#N/A</v>
      </c>
      <c r="L1654">
        <v>1645</v>
      </c>
      <c r="M1654" t="e">
        <f>INDEX(Stammdaten[Abholzigkeit (mm/lfm)],MATCH(Tabelle9[[#This Row],[Rank]],Stammdaten[Rank Verteilung Abholzigkeit],0))</f>
        <v>#N/A</v>
      </c>
      <c r="N1654" t="e">
        <f>VLOOKUP(Tabelle9[[#This Row],[Rank]],Stammdaten[[Rank Verteilung Abholzigkeit]:[Verteilung Abholzigkeit]],2,FALSE)</f>
        <v>#N/A</v>
      </c>
      <c r="S1654">
        <v>1645</v>
      </c>
      <c r="T1654" t="e">
        <f>INDEX(Stammdaten[Krümmung (mm/lfm)],MATCH(Tabelle10[[#This Row],[Rank]],Stammdaten[Rank Verteilung Krümmung],0))</f>
        <v>#N/A</v>
      </c>
      <c r="U1654" t="e">
        <f>VLOOKUP(Tabelle10[[#This Row],[Rank]],Stammdaten[[Rank Verteilung Krümmung]:[Verteilung Krümmung]],2,FALSE)</f>
        <v>#N/A</v>
      </c>
      <c r="Z1654">
        <v>1645</v>
      </c>
      <c r="AA1654" t="e">
        <f>INDEX(Stammdaten[Ovalität (']0,1'])],MATCH(Tabelle1014[[#This Row],[Rank]],Stammdaten[Rank Verteilung Ovalität],0))</f>
        <v>#N/A</v>
      </c>
      <c r="AB1654" t="e">
        <f>VLOOKUP(Tabelle1014[[#This Row],[Rank]],Stammdaten[[Rank Verteilung Ovalität]:[Verteilung Ovalität]],2,FALSE)</f>
        <v>#N/A</v>
      </c>
    </row>
    <row r="1655" spans="5:28" x14ac:dyDescent="0.35">
      <c r="E1655">
        <v>1646</v>
      </c>
      <c r="F1655" t="e">
        <f>INDEX(Stammdaten[D Mitte mit Rinde (mm)],MATCH(Tabelle8[[#This Row],[Rank]],Stammdaten[Rank Verteilung D Mitte mit Rinde],0))</f>
        <v>#N/A</v>
      </c>
      <c r="G1655" t="e">
        <f>VLOOKUP(Tabelle8[[#This Row],[Rank]],Stammdaten[[Rank Verteilung D Mitte mit Rinde]:[Verteilung D Mitte mit Rinde]],2,FALSE)</f>
        <v>#N/A</v>
      </c>
      <c r="L1655">
        <v>1646</v>
      </c>
      <c r="M1655" t="e">
        <f>INDEX(Stammdaten[Abholzigkeit (mm/lfm)],MATCH(Tabelle9[[#This Row],[Rank]],Stammdaten[Rank Verteilung Abholzigkeit],0))</f>
        <v>#N/A</v>
      </c>
      <c r="N1655" t="e">
        <f>VLOOKUP(Tabelle9[[#This Row],[Rank]],Stammdaten[[Rank Verteilung Abholzigkeit]:[Verteilung Abholzigkeit]],2,FALSE)</f>
        <v>#N/A</v>
      </c>
      <c r="S1655">
        <v>1646</v>
      </c>
      <c r="T1655" t="e">
        <f>INDEX(Stammdaten[Krümmung (mm/lfm)],MATCH(Tabelle10[[#This Row],[Rank]],Stammdaten[Rank Verteilung Krümmung],0))</f>
        <v>#N/A</v>
      </c>
      <c r="U1655" t="e">
        <f>VLOOKUP(Tabelle10[[#This Row],[Rank]],Stammdaten[[Rank Verteilung Krümmung]:[Verteilung Krümmung]],2,FALSE)</f>
        <v>#N/A</v>
      </c>
      <c r="Z1655">
        <v>1646</v>
      </c>
      <c r="AA1655" t="e">
        <f>INDEX(Stammdaten[Ovalität (']0,1'])],MATCH(Tabelle1014[[#This Row],[Rank]],Stammdaten[Rank Verteilung Ovalität],0))</f>
        <v>#N/A</v>
      </c>
      <c r="AB1655" t="e">
        <f>VLOOKUP(Tabelle1014[[#This Row],[Rank]],Stammdaten[[Rank Verteilung Ovalität]:[Verteilung Ovalität]],2,FALSE)</f>
        <v>#N/A</v>
      </c>
    </row>
    <row r="1656" spans="5:28" x14ac:dyDescent="0.35">
      <c r="E1656">
        <v>1647</v>
      </c>
      <c r="F1656" t="e">
        <f>INDEX(Stammdaten[D Mitte mit Rinde (mm)],MATCH(Tabelle8[[#This Row],[Rank]],Stammdaten[Rank Verteilung D Mitte mit Rinde],0))</f>
        <v>#N/A</v>
      </c>
      <c r="G1656" t="e">
        <f>VLOOKUP(Tabelle8[[#This Row],[Rank]],Stammdaten[[Rank Verteilung D Mitte mit Rinde]:[Verteilung D Mitte mit Rinde]],2,FALSE)</f>
        <v>#N/A</v>
      </c>
      <c r="L1656">
        <v>1647</v>
      </c>
      <c r="M1656" t="e">
        <f>INDEX(Stammdaten[Abholzigkeit (mm/lfm)],MATCH(Tabelle9[[#This Row],[Rank]],Stammdaten[Rank Verteilung Abholzigkeit],0))</f>
        <v>#N/A</v>
      </c>
      <c r="N1656" t="e">
        <f>VLOOKUP(Tabelle9[[#This Row],[Rank]],Stammdaten[[Rank Verteilung Abholzigkeit]:[Verteilung Abholzigkeit]],2,FALSE)</f>
        <v>#N/A</v>
      </c>
      <c r="S1656">
        <v>1647</v>
      </c>
      <c r="T1656" t="e">
        <f>INDEX(Stammdaten[Krümmung (mm/lfm)],MATCH(Tabelle10[[#This Row],[Rank]],Stammdaten[Rank Verteilung Krümmung],0))</f>
        <v>#N/A</v>
      </c>
      <c r="U1656" t="e">
        <f>VLOOKUP(Tabelle10[[#This Row],[Rank]],Stammdaten[[Rank Verteilung Krümmung]:[Verteilung Krümmung]],2,FALSE)</f>
        <v>#N/A</v>
      </c>
      <c r="Z1656">
        <v>1647</v>
      </c>
      <c r="AA1656" t="e">
        <f>INDEX(Stammdaten[Ovalität (']0,1'])],MATCH(Tabelle1014[[#This Row],[Rank]],Stammdaten[Rank Verteilung Ovalität],0))</f>
        <v>#N/A</v>
      </c>
      <c r="AB1656" t="e">
        <f>VLOOKUP(Tabelle1014[[#This Row],[Rank]],Stammdaten[[Rank Verteilung Ovalität]:[Verteilung Ovalität]],2,FALSE)</f>
        <v>#N/A</v>
      </c>
    </row>
    <row r="1657" spans="5:28" x14ac:dyDescent="0.35">
      <c r="E1657">
        <v>1648</v>
      </c>
      <c r="F1657" t="e">
        <f>INDEX(Stammdaten[D Mitte mit Rinde (mm)],MATCH(Tabelle8[[#This Row],[Rank]],Stammdaten[Rank Verteilung D Mitte mit Rinde],0))</f>
        <v>#N/A</v>
      </c>
      <c r="G1657" t="e">
        <f>VLOOKUP(Tabelle8[[#This Row],[Rank]],Stammdaten[[Rank Verteilung D Mitte mit Rinde]:[Verteilung D Mitte mit Rinde]],2,FALSE)</f>
        <v>#N/A</v>
      </c>
      <c r="L1657">
        <v>1648</v>
      </c>
      <c r="M1657" t="e">
        <f>INDEX(Stammdaten[Abholzigkeit (mm/lfm)],MATCH(Tabelle9[[#This Row],[Rank]],Stammdaten[Rank Verteilung Abholzigkeit],0))</f>
        <v>#N/A</v>
      </c>
      <c r="N1657" t="e">
        <f>VLOOKUP(Tabelle9[[#This Row],[Rank]],Stammdaten[[Rank Verteilung Abholzigkeit]:[Verteilung Abholzigkeit]],2,FALSE)</f>
        <v>#N/A</v>
      </c>
      <c r="S1657">
        <v>1648</v>
      </c>
      <c r="T1657" t="e">
        <f>INDEX(Stammdaten[Krümmung (mm/lfm)],MATCH(Tabelle10[[#This Row],[Rank]],Stammdaten[Rank Verteilung Krümmung],0))</f>
        <v>#N/A</v>
      </c>
      <c r="U1657" t="e">
        <f>VLOOKUP(Tabelle10[[#This Row],[Rank]],Stammdaten[[Rank Verteilung Krümmung]:[Verteilung Krümmung]],2,FALSE)</f>
        <v>#N/A</v>
      </c>
      <c r="Z1657">
        <v>1648</v>
      </c>
      <c r="AA1657" t="e">
        <f>INDEX(Stammdaten[Ovalität (']0,1'])],MATCH(Tabelle1014[[#This Row],[Rank]],Stammdaten[Rank Verteilung Ovalität],0))</f>
        <v>#N/A</v>
      </c>
      <c r="AB1657" t="e">
        <f>VLOOKUP(Tabelle1014[[#This Row],[Rank]],Stammdaten[[Rank Verteilung Ovalität]:[Verteilung Ovalität]],2,FALSE)</f>
        <v>#N/A</v>
      </c>
    </row>
    <row r="1658" spans="5:28" x14ac:dyDescent="0.35">
      <c r="E1658">
        <v>1649</v>
      </c>
      <c r="F1658" t="e">
        <f>INDEX(Stammdaten[D Mitte mit Rinde (mm)],MATCH(Tabelle8[[#This Row],[Rank]],Stammdaten[Rank Verteilung D Mitte mit Rinde],0))</f>
        <v>#N/A</v>
      </c>
      <c r="G1658" t="e">
        <f>VLOOKUP(Tabelle8[[#This Row],[Rank]],Stammdaten[[Rank Verteilung D Mitte mit Rinde]:[Verteilung D Mitte mit Rinde]],2,FALSE)</f>
        <v>#N/A</v>
      </c>
      <c r="L1658">
        <v>1649</v>
      </c>
      <c r="M1658" t="e">
        <f>INDEX(Stammdaten[Abholzigkeit (mm/lfm)],MATCH(Tabelle9[[#This Row],[Rank]],Stammdaten[Rank Verteilung Abholzigkeit],0))</f>
        <v>#N/A</v>
      </c>
      <c r="N1658" t="e">
        <f>VLOOKUP(Tabelle9[[#This Row],[Rank]],Stammdaten[[Rank Verteilung Abholzigkeit]:[Verteilung Abholzigkeit]],2,FALSE)</f>
        <v>#N/A</v>
      </c>
      <c r="S1658">
        <v>1649</v>
      </c>
      <c r="T1658" t="e">
        <f>INDEX(Stammdaten[Krümmung (mm/lfm)],MATCH(Tabelle10[[#This Row],[Rank]],Stammdaten[Rank Verteilung Krümmung],0))</f>
        <v>#N/A</v>
      </c>
      <c r="U1658" t="e">
        <f>VLOOKUP(Tabelle10[[#This Row],[Rank]],Stammdaten[[Rank Verteilung Krümmung]:[Verteilung Krümmung]],2,FALSE)</f>
        <v>#N/A</v>
      </c>
      <c r="Z1658">
        <v>1649</v>
      </c>
      <c r="AA1658" t="e">
        <f>INDEX(Stammdaten[Ovalität (']0,1'])],MATCH(Tabelle1014[[#This Row],[Rank]],Stammdaten[Rank Verteilung Ovalität],0))</f>
        <v>#N/A</v>
      </c>
      <c r="AB1658" t="e">
        <f>VLOOKUP(Tabelle1014[[#This Row],[Rank]],Stammdaten[[Rank Verteilung Ovalität]:[Verteilung Ovalität]],2,FALSE)</f>
        <v>#N/A</v>
      </c>
    </row>
    <row r="1659" spans="5:28" x14ac:dyDescent="0.35">
      <c r="E1659">
        <v>1650</v>
      </c>
      <c r="F1659" t="e">
        <f>INDEX(Stammdaten[D Mitte mit Rinde (mm)],MATCH(Tabelle8[[#This Row],[Rank]],Stammdaten[Rank Verteilung D Mitte mit Rinde],0))</f>
        <v>#N/A</v>
      </c>
      <c r="G1659" t="e">
        <f>VLOOKUP(Tabelle8[[#This Row],[Rank]],Stammdaten[[Rank Verteilung D Mitte mit Rinde]:[Verteilung D Mitte mit Rinde]],2,FALSE)</f>
        <v>#N/A</v>
      </c>
      <c r="L1659">
        <v>1650</v>
      </c>
      <c r="M1659" t="e">
        <f>INDEX(Stammdaten[Abholzigkeit (mm/lfm)],MATCH(Tabelle9[[#This Row],[Rank]],Stammdaten[Rank Verteilung Abholzigkeit],0))</f>
        <v>#N/A</v>
      </c>
      <c r="N1659" t="e">
        <f>VLOOKUP(Tabelle9[[#This Row],[Rank]],Stammdaten[[Rank Verteilung Abholzigkeit]:[Verteilung Abholzigkeit]],2,FALSE)</f>
        <v>#N/A</v>
      </c>
      <c r="S1659">
        <v>1650</v>
      </c>
      <c r="T1659" t="e">
        <f>INDEX(Stammdaten[Krümmung (mm/lfm)],MATCH(Tabelle10[[#This Row],[Rank]],Stammdaten[Rank Verteilung Krümmung],0))</f>
        <v>#N/A</v>
      </c>
      <c r="U1659" t="e">
        <f>VLOOKUP(Tabelle10[[#This Row],[Rank]],Stammdaten[[Rank Verteilung Krümmung]:[Verteilung Krümmung]],2,FALSE)</f>
        <v>#N/A</v>
      </c>
      <c r="Z1659">
        <v>1650</v>
      </c>
      <c r="AA1659" t="e">
        <f>INDEX(Stammdaten[Ovalität (']0,1'])],MATCH(Tabelle1014[[#This Row],[Rank]],Stammdaten[Rank Verteilung Ovalität],0))</f>
        <v>#N/A</v>
      </c>
      <c r="AB1659" t="e">
        <f>VLOOKUP(Tabelle1014[[#This Row],[Rank]],Stammdaten[[Rank Verteilung Ovalität]:[Verteilung Ovalität]],2,FALSE)</f>
        <v>#N/A</v>
      </c>
    </row>
    <row r="1660" spans="5:28" x14ac:dyDescent="0.35">
      <c r="E1660">
        <v>1651</v>
      </c>
      <c r="F1660" t="e">
        <f>INDEX(Stammdaten[D Mitte mit Rinde (mm)],MATCH(Tabelle8[[#This Row],[Rank]],Stammdaten[Rank Verteilung D Mitte mit Rinde],0))</f>
        <v>#N/A</v>
      </c>
      <c r="G1660" t="e">
        <f>VLOOKUP(Tabelle8[[#This Row],[Rank]],Stammdaten[[Rank Verteilung D Mitte mit Rinde]:[Verteilung D Mitte mit Rinde]],2,FALSE)</f>
        <v>#N/A</v>
      </c>
      <c r="L1660">
        <v>1651</v>
      </c>
      <c r="M1660" t="e">
        <f>INDEX(Stammdaten[Abholzigkeit (mm/lfm)],MATCH(Tabelle9[[#This Row],[Rank]],Stammdaten[Rank Verteilung Abholzigkeit],0))</f>
        <v>#N/A</v>
      </c>
      <c r="N1660" t="e">
        <f>VLOOKUP(Tabelle9[[#This Row],[Rank]],Stammdaten[[Rank Verteilung Abholzigkeit]:[Verteilung Abholzigkeit]],2,FALSE)</f>
        <v>#N/A</v>
      </c>
      <c r="S1660">
        <v>1651</v>
      </c>
      <c r="T1660" t="e">
        <f>INDEX(Stammdaten[Krümmung (mm/lfm)],MATCH(Tabelle10[[#This Row],[Rank]],Stammdaten[Rank Verteilung Krümmung],0))</f>
        <v>#N/A</v>
      </c>
      <c r="U1660" t="e">
        <f>VLOOKUP(Tabelle10[[#This Row],[Rank]],Stammdaten[[Rank Verteilung Krümmung]:[Verteilung Krümmung]],2,FALSE)</f>
        <v>#N/A</v>
      </c>
      <c r="Z1660">
        <v>1651</v>
      </c>
      <c r="AA1660" t="e">
        <f>INDEX(Stammdaten[Ovalität (']0,1'])],MATCH(Tabelle1014[[#This Row],[Rank]],Stammdaten[Rank Verteilung Ovalität],0))</f>
        <v>#N/A</v>
      </c>
      <c r="AB1660" t="e">
        <f>VLOOKUP(Tabelle1014[[#This Row],[Rank]],Stammdaten[[Rank Verteilung Ovalität]:[Verteilung Ovalität]],2,FALSE)</f>
        <v>#N/A</v>
      </c>
    </row>
    <row r="1661" spans="5:28" x14ac:dyDescent="0.35">
      <c r="E1661">
        <v>1652</v>
      </c>
      <c r="F1661" t="e">
        <f>INDEX(Stammdaten[D Mitte mit Rinde (mm)],MATCH(Tabelle8[[#This Row],[Rank]],Stammdaten[Rank Verteilung D Mitte mit Rinde],0))</f>
        <v>#N/A</v>
      </c>
      <c r="G1661" t="e">
        <f>VLOOKUP(Tabelle8[[#This Row],[Rank]],Stammdaten[[Rank Verteilung D Mitte mit Rinde]:[Verteilung D Mitte mit Rinde]],2,FALSE)</f>
        <v>#N/A</v>
      </c>
      <c r="L1661">
        <v>1652</v>
      </c>
      <c r="M1661" t="e">
        <f>INDEX(Stammdaten[Abholzigkeit (mm/lfm)],MATCH(Tabelle9[[#This Row],[Rank]],Stammdaten[Rank Verteilung Abholzigkeit],0))</f>
        <v>#N/A</v>
      </c>
      <c r="N1661" t="e">
        <f>VLOOKUP(Tabelle9[[#This Row],[Rank]],Stammdaten[[Rank Verteilung Abholzigkeit]:[Verteilung Abholzigkeit]],2,FALSE)</f>
        <v>#N/A</v>
      </c>
      <c r="S1661">
        <v>1652</v>
      </c>
      <c r="T1661" t="e">
        <f>INDEX(Stammdaten[Krümmung (mm/lfm)],MATCH(Tabelle10[[#This Row],[Rank]],Stammdaten[Rank Verteilung Krümmung],0))</f>
        <v>#N/A</v>
      </c>
      <c r="U1661" t="e">
        <f>VLOOKUP(Tabelle10[[#This Row],[Rank]],Stammdaten[[Rank Verteilung Krümmung]:[Verteilung Krümmung]],2,FALSE)</f>
        <v>#N/A</v>
      </c>
      <c r="Z1661">
        <v>1652</v>
      </c>
      <c r="AA1661" t="e">
        <f>INDEX(Stammdaten[Ovalität (']0,1'])],MATCH(Tabelle1014[[#This Row],[Rank]],Stammdaten[Rank Verteilung Ovalität],0))</f>
        <v>#N/A</v>
      </c>
      <c r="AB1661" t="e">
        <f>VLOOKUP(Tabelle1014[[#This Row],[Rank]],Stammdaten[[Rank Verteilung Ovalität]:[Verteilung Ovalität]],2,FALSE)</f>
        <v>#N/A</v>
      </c>
    </row>
    <row r="1662" spans="5:28" x14ac:dyDescent="0.35">
      <c r="E1662">
        <v>1653</v>
      </c>
      <c r="F1662" t="e">
        <f>INDEX(Stammdaten[D Mitte mit Rinde (mm)],MATCH(Tabelle8[[#This Row],[Rank]],Stammdaten[Rank Verteilung D Mitte mit Rinde],0))</f>
        <v>#N/A</v>
      </c>
      <c r="G1662" t="e">
        <f>VLOOKUP(Tabelle8[[#This Row],[Rank]],Stammdaten[[Rank Verteilung D Mitte mit Rinde]:[Verteilung D Mitte mit Rinde]],2,FALSE)</f>
        <v>#N/A</v>
      </c>
      <c r="L1662">
        <v>1653</v>
      </c>
      <c r="M1662" t="e">
        <f>INDEX(Stammdaten[Abholzigkeit (mm/lfm)],MATCH(Tabelle9[[#This Row],[Rank]],Stammdaten[Rank Verteilung Abholzigkeit],0))</f>
        <v>#N/A</v>
      </c>
      <c r="N1662" t="e">
        <f>VLOOKUP(Tabelle9[[#This Row],[Rank]],Stammdaten[[Rank Verteilung Abholzigkeit]:[Verteilung Abholzigkeit]],2,FALSE)</f>
        <v>#N/A</v>
      </c>
      <c r="S1662">
        <v>1653</v>
      </c>
      <c r="T1662" t="e">
        <f>INDEX(Stammdaten[Krümmung (mm/lfm)],MATCH(Tabelle10[[#This Row],[Rank]],Stammdaten[Rank Verteilung Krümmung],0))</f>
        <v>#N/A</v>
      </c>
      <c r="U1662" t="e">
        <f>VLOOKUP(Tabelle10[[#This Row],[Rank]],Stammdaten[[Rank Verteilung Krümmung]:[Verteilung Krümmung]],2,FALSE)</f>
        <v>#N/A</v>
      </c>
      <c r="Z1662">
        <v>1653</v>
      </c>
      <c r="AA1662" t="e">
        <f>INDEX(Stammdaten[Ovalität (']0,1'])],MATCH(Tabelle1014[[#This Row],[Rank]],Stammdaten[Rank Verteilung Ovalität],0))</f>
        <v>#N/A</v>
      </c>
      <c r="AB1662" t="e">
        <f>VLOOKUP(Tabelle1014[[#This Row],[Rank]],Stammdaten[[Rank Verteilung Ovalität]:[Verteilung Ovalität]],2,FALSE)</f>
        <v>#N/A</v>
      </c>
    </row>
    <row r="1663" spans="5:28" x14ac:dyDescent="0.35">
      <c r="E1663">
        <v>1654</v>
      </c>
      <c r="F1663" t="e">
        <f>INDEX(Stammdaten[D Mitte mit Rinde (mm)],MATCH(Tabelle8[[#This Row],[Rank]],Stammdaten[Rank Verteilung D Mitte mit Rinde],0))</f>
        <v>#N/A</v>
      </c>
      <c r="G1663" t="e">
        <f>VLOOKUP(Tabelle8[[#This Row],[Rank]],Stammdaten[[Rank Verteilung D Mitte mit Rinde]:[Verteilung D Mitte mit Rinde]],2,FALSE)</f>
        <v>#N/A</v>
      </c>
      <c r="L1663">
        <v>1654</v>
      </c>
      <c r="M1663" t="e">
        <f>INDEX(Stammdaten[Abholzigkeit (mm/lfm)],MATCH(Tabelle9[[#This Row],[Rank]],Stammdaten[Rank Verteilung Abholzigkeit],0))</f>
        <v>#N/A</v>
      </c>
      <c r="N1663" t="e">
        <f>VLOOKUP(Tabelle9[[#This Row],[Rank]],Stammdaten[[Rank Verteilung Abholzigkeit]:[Verteilung Abholzigkeit]],2,FALSE)</f>
        <v>#N/A</v>
      </c>
      <c r="S1663">
        <v>1654</v>
      </c>
      <c r="T1663" t="e">
        <f>INDEX(Stammdaten[Krümmung (mm/lfm)],MATCH(Tabelle10[[#This Row],[Rank]],Stammdaten[Rank Verteilung Krümmung],0))</f>
        <v>#N/A</v>
      </c>
      <c r="U1663" t="e">
        <f>VLOOKUP(Tabelle10[[#This Row],[Rank]],Stammdaten[[Rank Verteilung Krümmung]:[Verteilung Krümmung]],2,FALSE)</f>
        <v>#N/A</v>
      </c>
      <c r="Z1663">
        <v>1654</v>
      </c>
      <c r="AA1663" t="e">
        <f>INDEX(Stammdaten[Ovalität (']0,1'])],MATCH(Tabelle1014[[#This Row],[Rank]],Stammdaten[Rank Verteilung Ovalität],0))</f>
        <v>#N/A</v>
      </c>
      <c r="AB1663" t="e">
        <f>VLOOKUP(Tabelle1014[[#This Row],[Rank]],Stammdaten[[Rank Verteilung Ovalität]:[Verteilung Ovalität]],2,FALSE)</f>
        <v>#N/A</v>
      </c>
    </row>
    <row r="1664" spans="5:28" x14ac:dyDescent="0.35">
      <c r="E1664">
        <v>1655</v>
      </c>
      <c r="F1664" t="e">
        <f>INDEX(Stammdaten[D Mitte mit Rinde (mm)],MATCH(Tabelle8[[#This Row],[Rank]],Stammdaten[Rank Verteilung D Mitte mit Rinde],0))</f>
        <v>#N/A</v>
      </c>
      <c r="G1664" t="e">
        <f>VLOOKUP(Tabelle8[[#This Row],[Rank]],Stammdaten[[Rank Verteilung D Mitte mit Rinde]:[Verteilung D Mitte mit Rinde]],2,FALSE)</f>
        <v>#N/A</v>
      </c>
      <c r="L1664">
        <v>1655</v>
      </c>
      <c r="M1664" t="e">
        <f>INDEX(Stammdaten[Abholzigkeit (mm/lfm)],MATCH(Tabelle9[[#This Row],[Rank]],Stammdaten[Rank Verteilung Abholzigkeit],0))</f>
        <v>#N/A</v>
      </c>
      <c r="N1664" t="e">
        <f>VLOOKUP(Tabelle9[[#This Row],[Rank]],Stammdaten[[Rank Verteilung Abholzigkeit]:[Verteilung Abholzigkeit]],2,FALSE)</f>
        <v>#N/A</v>
      </c>
      <c r="S1664">
        <v>1655</v>
      </c>
      <c r="T1664" t="e">
        <f>INDEX(Stammdaten[Krümmung (mm/lfm)],MATCH(Tabelle10[[#This Row],[Rank]],Stammdaten[Rank Verteilung Krümmung],0))</f>
        <v>#N/A</v>
      </c>
      <c r="U1664" t="e">
        <f>VLOOKUP(Tabelle10[[#This Row],[Rank]],Stammdaten[[Rank Verteilung Krümmung]:[Verteilung Krümmung]],2,FALSE)</f>
        <v>#N/A</v>
      </c>
      <c r="Z1664">
        <v>1655</v>
      </c>
      <c r="AA1664" t="e">
        <f>INDEX(Stammdaten[Ovalität (']0,1'])],MATCH(Tabelle1014[[#This Row],[Rank]],Stammdaten[Rank Verteilung Ovalität],0))</f>
        <v>#N/A</v>
      </c>
      <c r="AB1664" t="e">
        <f>VLOOKUP(Tabelle1014[[#This Row],[Rank]],Stammdaten[[Rank Verteilung Ovalität]:[Verteilung Ovalität]],2,FALSE)</f>
        <v>#N/A</v>
      </c>
    </row>
    <row r="1665" spans="5:28" x14ac:dyDescent="0.35">
      <c r="E1665">
        <v>1656</v>
      </c>
      <c r="F1665" t="e">
        <f>INDEX(Stammdaten[D Mitte mit Rinde (mm)],MATCH(Tabelle8[[#This Row],[Rank]],Stammdaten[Rank Verteilung D Mitte mit Rinde],0))</f>
        <v>#N/A</v>
      </c>
      <c r="G1665" t="e">
        <f>VLOOKUP(Tabelle8[[#This Row],[Rank]],Stammdaten[[Rank Verteilung D Mitte mit Rinde]:[Verteilung D Mitte mit Rinde]],2,FALSE)</f>
        <v>#N/A</v>
      </c>
      <c r="L1665">
        <v>1656</v>
      </c>
      <c r="M1665" t="e">
        <f>INDEX(Stammdaten[Abholzigkeit (mm/lfm)],MATCH(Tabelle9[[#This Row],[Rank]],Stammdaten[Rank Verteilung Abholzigkeit],0))</f>
        <v>#N/A</v>
      </c>
      <c r="N1665" t="e">
        <f>VLOOKUP(Tabelle9[[#This Row],[Rank]],Stammdaten[[Rank Verteilung Abholzigkeit]:[Verteilung Abholzigkeit]],2,FALSE)</f>
        <v>#N/A</v>
      </c>
      <c r="S1665">
        <v>1656</v>
      </c>
      <c r="T1665" t="e">
        <f>INDEX(Stammdaten[Krümmung (mm/lfm)],MATCH(Tabelle10[[#This Row],[Rank]],Stammdaten[Rank Verteilung Krümmung],0))</f>
        <v>#N/A</v>
      </c>
      <c r="U1665" t="e">
        <f>VLOOKUP(Tabelle10[[#This Row],[Rank]],Stammdaten[[Rank Verteilung Krümmung]:[Verteilung Krümmung]],2,FALSE)</f>
        <v>#N/A</v>
      </c>
      <c r="Z1665">
        <v>1656</v>
      </c>
      <c r="AA1665" t="e">
        <f>INDEX(Stammdaten[Ovalität (']0,1'])],MATCH(Tabelle1014[[#This Row],[Rank]],Stammdaten[Rank Verteilung Ovalität],0))</f>
        <v>#N/A</v>
      </c>
      <c r="AB1665" t="e">
        <f>VLOOKUP(Tabelle1014[[#This Row],[Rank]],Stammdaten[[Rank Verteilung Ovalität]:[Verteilung Ovalität]],2,FALSE)</f>
        <v>#N/A</v>
      </c>
    </row>
    <row r="1666" spans="5:28" x14ac:dyDescent="0.35">
      <c r="E1666">
        <v>1657</v>
      </c>
      <c r="F1666" t="e">
        <f>INDEX(Stammdaten[D Mitte mit Rinde (mm)],MATCH(Tabelle8[[#This Row],[Rank]],Stammdaten[Rank Verteilung D Mitte mit Rinde],0))</f>
        <v>#N/A</v>
      </c>
      <c r="G1666" t="e">
        <f>VLOOKUP(Tabelle8[[#This Row],[Rank]],Stammdaten[[Rank Verteilung D Mitte mit Rinde]:[Verteilung D Mitte mit Rinde]],2,FALSE)</f>
        <v>#N/A</v>
      </c>
      <c r="L1666">
        <v>1657</v>
      </c>
      <c r="M1666" t="e">
        <f>INDEX(Stammdaten[Abholzigkeit (mm/lfm)],MATCH(Tabelle9[[#This Row],[Rank]],Stammdaten[Rank Verteilung Abholzigkeit],0))</f>
        <v>#N/A</v>
      </c>
      <c r="N1666" t="e">
        <f>VLOOKUP(Tabelle9[[#This Row],[Rank]],Stammdaten[[Rank Verteilung Abholzigkeit]:[Verteilung Abholzigkeit]],2,FALSE)</f>
        <v>#N/A</v>
      </c>
      <c r="S1666">
        <v>1657</v>
      </c>
      <c r="T1666" t="e">
        <f>INDEX(Stammdaten[Krümmung (mm/lfm)],MATCH(Tabelle10[[#This Row],[Rank]],Stammdaten[Rank Verteilung Krümmung],0))</f>
        <v>#N/A</v>
      </c>
      <c r="U1666" t="e">
        <f>VLOOKUP(Tabelle10[[#This Row],[Rank]],Stammdaten[[Rank Verteilung Krümmung]:[Verteilung Krümmung]],2,FALSE)</f>
        <v>#N/A</v>
      </c>
      <c r="Z1666">
        <v>1657</v>
      </c>
      <c r="AA1666" t="e">
        <f>INDEX(Stammdaten[Ovalität (']0,1'])],MATCH(Tabelle1014[[#This Row],[Rank]],Stammdaten[Rank Verteilung Ovalität],0))</f>
        <v>#N/A</v>
      </c>
      <c r="AB1666" t="e">
        <f>VLOOKUP(Tabelle1014[[#This Row],[Rank]],Stammdaten[[Rank Verteilung Ovalität]:[Verteilung Ovalität]],2,FALSE)</f>
        <v>#N/A</v>
      </c>
    </row>
    <row r="1667" spans="5:28" x14ac:dyDescent="0.35">
      <c r="E1667">
        <v>1658</v>
      </c>
      <c r="F1667" t="e">
        <f>INDEX(Stammdaten[D Mitte mit Rinde (mm)],MATCH(Tabelle8[[#This Row],[Rank]],Stammdaten[Rank Verteilung D Mitte mit Rinde],0))</f>
        <v>#N/A</v>
      </c>
      <c r="G1667" t="e">
        <f>VLOOKUP(Tabelle8[[#This Row],[Rank]],Stammdaten[[Rank Verteilung D Mitte mit Rinde]:[Verteilung D Mitte mit Rinde]],2,FALSE)</f>
        <v>#N/A</v>
      </c>
      <c r="L1667">
        <v>1658</v>
      </c>
      <c r="M1667" t="e">
        <f>INDEX(Stammdaten[Abholzigkeit (mm/lfm)],MATCH(Tabelle9[[#This Row],[Rank]],Stammdaten[Rank Verteilung Abholzigkeit],0))</f>
        <v>#N/A</v>
      </c>
      <c r="N1667" t="e">
        <f>VLOOKUP(Tabelle9[[#This Row],[Rank]],Stammdaten[[Rank Verteilung Abholzigkeit]:[Verteilung Abholzigkeit]],2,FALSE)</f>
        <v>#N/A</v>
      </c>
      <c r="S1667">
        <v>1658</v>
      </c>
      <c r="T1667" t="e">
        <f>INDEX(Stammdaten[Krümmung (mm/lfm)],MATCH(Tabelle10[[#This Row],[Rank]],Stammdaten[Rank Verteilung Krümmung],0))</f>
        <v>#N/A</v>
      </c>
      <c r="U1667" t="e">
        <f>VLOOKUP(Tabelle10[[#This Row],[Rank]],Stammdaten[[Rank Verteilung Krümmung]:[Verteilung Krümmung]],2,FALSE)</f>
        <v>#N/A</v>
      </c>
      <c r="Z1667">
        <v>1658</v>
      </c>
      <c r="AA1667" t="e">
        <f>INDEX(Stammdaten[Ovalität (']0,1'])],MATCH(Tabelle1014[[#This Row],[Rank]],Stammdaten[Rank Verteilung Ovalität],0))</f>
        <v>#N/A</v>
      </c>
      <c r="AB1667" t="e">
        <f>VLOOKUP(Tabelle1014[[#This Row],[Rank]],Stammdaten[[Rank Verteilung Ovalität]:[Verteilung Ovalität]],2,FALSE)</f>
        <v>#N/A</v>
      </c>
    </row>
    <row r="1668" spans="5:28" x14ac:dyDescent="0.35">
      <c r="E1668">
        <v>1659</v>
      </c>
      <c r="F1668" t="e">
        <f>INDEX(Stammdaten[D Mitte mit Rinde (mm)],MATCH(Tabelle8[[#This Row],[Rank]],Stammdaten[Rank Verteilung D Mitte mit Rinde],0))</f>
        <v>#N/A</v>
      </c>
      <c r="G1668" t="e">
        <f>VLOOKUP(Tabelle8[[#This Row],[Rank]],Stammdaten[[Rank Verteilung D Mitte mit Rinde]:[Verteilung D Mitte mit Rinde]],2,FALSE)</f>
        <v>#N/A</v>
      </c>
      <c r="L1668">
        <v>1659</v>
      </c>
      <c r="M1668" t="e">
        <f>INDEX(Stammdaten[Abholzigkeit (mm/lfm)],MATCH(Tabelle9[[#This Row],[Rank]],Stammdaten[Rank Verteilung Abholzigkeit],0))</f>
        <v>#N/A</v>
      </c>
      <c r="N1668" t="e">
        <f>VLOOKUP(Tabelle9[[#This Row],[Rank]],Stammdaten[[Rank Verteilung Abholzigkeit]:[Verteilung Abholzigkeit]],2,FALSE)</f>
        <v>#N/A</v>
      </c>
      <c r="S1668">
        <v>1659</v>
      </c>
      <c r="T1668" t="e">
        <f>INDEX(Stammdaten[Krümmung (mm/lfm)],MATCH(Tabelle10[[#This Row],[Rank]],Stammdaten[Rank Verteilung Krümmung],0))</f>
        <v>#N/A</v>
      </c>
      <c r="U1668" t="e">
        <f>VLOOKUP(Tabelle10[[#This Row],[Rank]],Stammdaten[[Rank Verteilung Krümmung]:[Verteilung Krümmung]],2,FALSE)</f>
        <v>#N/A</v>
      </c>
      <c r="Z1668">
        <v>1659</v>
      </c>
      <c r="AA1668" t="e">
        <f>INDEX(Stammdaten[Ovalität (']0,1'])],MATCH(Tabelle1014[[#This Row],[Rank]],Stammdaten[Rank Verteilung Ovalität],0))</f>
        <v>#N/A</v>
      </c>
      <c r="AB1668" t="e">
        <f>VLOOKUP(Tabelle1014[[#This Row],[Rank]],Stammdaten[[Rank Verteilung Ovalität]:[Verteilung Ovalität]],2,FALSE)</f>
        <v>#N/A</v>
      </c>
    </row>
    <row r="1669" spans="5:28" x14ac:dyDescent="0.35">
      <c r="E1669">
        <v>1660</v>
      </c>
      <c r="F1669" t="e">
        <f>INDEX(Stammdaten[D Mitte mit Rinde (mm)],MATCH(Tabelle8[[#This Row],[Rank]],Stammdaten[Rank Verteilung D Mitte mit Rinde],0))</f>
        <v>#N/A</v>
      </c>
      <c r="G1669" t="e">
        <f>VLOOKUP(Tabelle8[[#This Row],[Rank]],Stammdaten[[Rank Verteilung D Mitte mit Rinde]:[Verteilung D Mitte mit Rinde]],2,FALSE)</f>
        <v>#N/A</v>
      </c>
      <c r="L1669">
        <v>1660</v>
      </c>
      <c r="M1669" t="e">
        <f>INDEX(Stammdaten[Abholzigkeit (mm/lfm)],MATCH(Tabelle9[[#This Row],[Rank]],Stammdaten[Rank Verteilung Abholzigkeit],0))</f>
        <v>#N/A</v>
      </c>
      <c r="N1669" t="e">
        <f>VLOOKUP(Tabelle9[[#This Row],[Rank]],Stammdaten[[Rank Verteilung Abholzigkeit]:[Verteilung Abholzigkeit]],2,FALSE)</f>
        <v>#N/A</v>
      </c>
      <c r="S1669">
        <v>1660</v>
      </c>
      <c r="T1669" t="e">
        <f>INDEX(Stammdaten[Krümmung (mm/lfm)],MATCH(Tabelle10[[#This Row],[Rank]],Stammdaten[Rank Verteilung Krümmung],0))</f>
        <v>#N/A</v>
      </c>
      <c r="U1669" t="e">
        <f>VLOOKUP(Tabelle10[[#This Row],[Rank]],Stammdaten[[Rank Verteilung Krümmung]:[Verteilung Krümmung]],2,FALSE)</f>
        <v>#N/A</v>
      </c>
      <c r="Z1669">
        <v>1660</v>
      </c>
      <c r="AA1669" t="e">
        <f>INDEX(Stammdaten[Ovalität (']0,1'])],MATCH(Tabelle1014[[#This Row],[Rank]],Stammdaten[Rank Verteilung Ovalität],0))</f>
        <v>#N/A</v>
      </c>
      <c r="AB1669" t="e">
        <f>VLOOKUP(Tabelle1014[[#This Row],[Rank]],Stammdaten[[Rank Verteilung Ovalität]:[Verteilung Ovalität]],2,FALSE)</f>
        <v>#N/A</v>
      </c>
    </row>
    <row r="1670" spans="5:28" x14ac:dyDescent="0.35">
      <c r="E1670">
        <v>1661</v>
      </c>
      <c r="F1670" t="e">
        <f>INDEX(Stammdaten[D Mitte mit Rinde (mm)],MATCH(Tabelle8[[#This Row],[Rank]],Stammdaten[Rank Verteilung D Mitte mit Rinde],0))</f>
        <v>#N/A</v>
      </c>
      <c r="G1670" t="e">
        <f>VLOOKUP(Tabelle8[[#This Row],[Rank]],Stammdaten[[Rank Verteilung D Mitte mit Rinde]:[Verteilung D Mitte mit Rinde]],2,FALSE)</f>
        <v>#N/A</v>
      </c>
      <c r="L1670">
        <v>1661</v>
      </c>
      <c r="M1670" t="e">
        <f>INDEX(Stammdaten[Abholzigkeit (mm/lfm)],MATCH(Tabelle9[[#This Row],[Rank]],Stammdaten[Rank Verteilung Abholzigkeit],0))</f>
        <v>#N/A</v>
      </c>
      <c r="N1670" t="e">
        <f>VLOOKUP(Tabelle9[[#This Row],[Rank]],Stammdaten[[Rank Verteilung Abholzigkeit]:[Verteilung Abholzigkeit]],2,FALSE)</f>
        <v>#N/A</v>
      </c>
      <c r="S1670">
        <v>1661</v>
      </c>
      <c r="T1670" t="e">
        <f>INDEX(Stammdaten[Krümmung (mm/lfm)],MATCH(Tabelle10[[#This Row],[Rank]],Stammdaten[Rank Verteilung Krümmung],0))</f>
        <v>#N/A</v>
      </c>
      <c r="U1670" t="e">
        <f>VLOOKUP(Tabelle10[[#This Row],[Rank]],Stammdaten[[Rank Verteilung Krümmung]:[Verteilung Krümmung]],2,FALSE)</f>
        <v>#N/A</v>
      </c>
      <c r="Z1670">
        <v>1661</v>
      </c>
      <c r="AA1670" t="e">
        <f>INDEX(Stammdaten[Ovalität (']0,1'])],MATCH(Tabelle1014[[#This Row],[Rank]],Stammdaten[Rank Verteilung Ovalität],0))</f>
        <v>#N/A</v>
      </c>
      <c r="AB1670" t="e">
        <f>VLOOKUP(Tabelle1014[[#This Row],[Rank]],Stammdaten[[Rank Verteilung Ovalität]:[Verteilung Ovalität]],2,FALSE)</f>
        <v>#N/A</v>
      </c>
    </row>
    <row r="1671" spans="5:28" x14ac:dyDescent="0.35">
      <c r="E1671">
        <v>1662</v>
      </c>
      <c r="F1671" t="e">
        <f>INDEX(Stammdaten[D Mitte mit Rinde (mm)],MATCH(Tabelle8[[#This Row],[Rank]],Stammdaten[Rank Verteilung D Mitte mit Rinde],0))</f>
        <v>#N/A</v>
      </c>
      <c r="G1671" t="e">
        <f>VLOOKUP(Tabelle8[[#This Row],[Rank]],Stammdaten[[Rank Verteilung D Mitte mit Rinde]:[Verteilung D Mitte mit Rinde]],2,FALSE)</f>
        <v>#N/A</v>
      </c>
      <c r="L1671">
        <v>1662</v>
      </c>
      <c r="M1671" t="e">
        <f>INDEX(Stammdaten[Abholzigkeit (mm/lfm)],MATCH(Tabelle9[[#This Row],[Rank]],Stammdaten[Rank Verteilung Abholzigkeit],0))</f>
        <v>#N/A</v>
      </c>
      <c r="N1671" t="e">
        <f>VLOOKUP(Tabelle9[[#This Row],[Rank]],Stammdaten[[Rank Verteilung Abholzigkeit]:[Verteilung Abholzigkeit]],2,FALSE)</f>
        <v>#N/A</v>
      </c>
      <c r="S1671">
        <v>1662</v>
      </c>
      <c r="T1671" t="e">
        <f>INDEX(Stammdaten[Krümmung (mm/lfm)],MATCH(Tabelle10[[#This Row],[Rank]],Stammdaten[Rank Verteilung Krümmung],0))</f>
        <v>#N/A</v>
      </c>
      <c r="U1671" t="e">
        <f>VLOOKUP(Tabelle10[[#This Row],[Rank]],Stammdaten[[Rank Verteilung Krümmung]:[Verteilung Krümmung]],2,FALSE)</f>
        <v>#N/A</v>
      </c>
      <c r="Z1671">
        <v>1662</v>
      </c>
      <c r="AA1671" t="e">
        <f>INDEX(Stammdaten[Ovalität (']0,1'])],MATCH(Tabelle1014[[#This Row],[Rank]],Stammdaten[Rank Verteilung Ovalität],0))</f>
        <v>#N/A</v>
      </c>
      <c r="AB1671" t="e">
        <f>VLOOKUP(Tabelle1014[[#This Row],[Rank]],Stammdaten[[Rank Verteilung Ovalität]:[Verteilung Ovalität]],2,FALSE)</f>
        <v>#N/A</v>
      </c>
    </row>
    <row r="1672" spans="5:28" x14ac:dyDescent="0.35">
      <c r="E1672">
        <v>1663</v>
      </c>
      <c r="F1672" t="e">
        <f>INDEX(Stammdaten[D Mitte mit Rinde (mm)],MATCH(Tabelle8[[#This Row],[Rank]],Stammdaten[Rank Verteilung D Mitte mit Rinde],0))</f>
        <v>#N/A</v>
      </c>
      <c r="G1672" t="e">
        <f>VLOOKUP(Tabelle8[[#This Row],[Rank]],Stammdaten[[Rank Verteilung D Mitte mit Rinde]:[Verteilung D Mitte mit Rinde]],2,FALSE)</f>
        <v>#N/A</v>
      </c>
      <c r="L1672">
        <v>1663</v>
      </c>
      <c r="M1672" t="e">
        <f>INDEX(Stammdaten[Abholzigkeit (mm/lfm)],MATCH(Tabelle9[[#This Row],[Rank]],Stammdaten[Rank Verteilung Abholzigkeit],0))</f>
        <v>#N/A</v>
      </c>
      <c r="N1672" t="e">
        <f>VLOOKUP(Tabelle9[[#This Row],[Rank]],Stammdaten[[Rank Verteilung Abholzigkeit]:[Verteilung Abholzigkeit]],2,FALSE)</f>
        <v>#N/A</v>
      </c>
      <c r="S1672">
        <v>1663</v>
      </c>
      <c r="T1672" t="e">
        <f>INDEX(Stammdaten[Krümmung (mm/lfm)],MATCH(Tabelle10[[#This Row],[Rank]],Stammdaten[Rank Verteilung Krümmung],0))</f>
        <v>#N/A</v>
      </c>
      <c r="U1672" t="e">
        <f>VLOOKUP(Tabelle10[[#This Row],[Rank]],Stammdaten[[Rank Verteilung Krümmung]:[Verteilung Krümmung]],2,FALSE)</f>
        <v>#N/A</v>
      </c>
      <c r="Z1672">
        <v>1663</v>
      </c>
      <c r="AA1672" t="e">
        <f>INDEX(Stammdaten[Ovalität (']0,1'])],MATCH(Tabelle1014[[#This Row],[Rank]],Stammdaten[Rank Verteilung Ovalität],0))</f>
        <v>#N/A</v>
      </c>
      <c r="AB1672" t="e">
        <f>VLOOKUP(Tabelle1014[[#This Row],[Rank]],Stammdaten[[Rank Verteilung Ovalität]:[Verteilung Ovalität]],2,FALSE)</f>
        <v>#N/A</v>
      </c>
    </row>
    <row r="1673" spans="5:28" x14ac:dyDescent="0.35">
      <c r="E1673">
        <v>1664</v>
      </c>
      <c r="F1673" t="e">
        <f>INDEX(Stammdaten[D Mitte mit Rinde (mm)],MATCH(Tabelle8[[#This Row],[Rank]],Stammdaten[Rank Verteilung D Mitte mit Rinde],0))</f>
        <v>#N/A</v>
      </c>
      <c r="G1673" t="e">
        <f>VLOOKUP(Tabelle8[[#This Row],[Rank]],Stammdaten[[Rank Verteilung D Mitte mit Rinde]:[Verteilung D Mitte mit Rinde]],2,FALSE)</f>
        <v>#N/A</v>
      </c>
      <c r="L1673">
        <v>1664</v>
      </c>
      <c r="M1673" t="e">
        <f>INDEX(Stammdaten[Abholzigkeit (mm/lfm)],MATCH(Tabelle9[[#This Row],[Rank]],Stammdaten[Rank Verteilung Abholzigkeit],0))</f>
        <v>#N/A</v>
      </c>
      <c r="N1673" t="e">
        <f>VLOOKUP(Tabelle9[[#This Row],[Rank]],Stammdaten[[Rank Verteilung Abholzigkeit]:[Verteilung Abholzigkeit]],2,FALSE)</f>
        <v>#N/A</v>
      </c>
      <c r="S1673">
        <v>1664</v>
      </c>
      <c r="T1673" t="e">
        <f>INDEX(Stammdaten[Krümmung (mm/lfm)],MATCH(Tabelle10[[#This Row],[Rank]],Stammdaten[Rank Verteilung Krümmung],0))</f>
        <v>#N/A</v>
      </c>
      <c r="U1673" t="e">
        <f>VLOOKUP(Tabelle10[[#This Row],[Rank]],Stammdaten[[Rank Verteilung Krümmung]:[Verteilung Krümmung]],2,FALSE)</f>
        <v>#N/A</v>
      </c>
      <c r="Z1673">
        <v>1664</v>
      </c>
      <c r="AA1673" t="e">
        <f>INDEX(Stammdaten[Ovalität (']0,1'])],MATCH(Tabelle1014[[#This Row],[Rank]],Stammdaten[Rank Verteilung Ovalität],0))</f>
        <v>#N/A</v>
      </c>
      <c r="AB1673" t="e">
        <f>VLOOKUP(Tabelle1014[[#This Row],[Rank]],Stammdaten[[Rank Verteilung Ovalität]:[Verteilung Ovalität]],2,FALSE)</f>
        <v>#N/A</v>
      </c>
    </row>
    <row r="1674" spans="5:28" x14ac:dyDescent="0.35">
      <c r="E1674">
        <v>1665</v>
      </c>
      <c r="F1674" t="e">
        <f>INDEX(Stammdaten[D Mitte mit Rinde (mm)],MATCH(Tabelle8[[#This Row],[Rank]],Stammdaten[Rank Verteilung D Mitte mit Rinde],0))</f>
        <v>#N/A</v>
      </c>
      <c r="G1674" t="e">
        <f>VLOOKUP(Tabelle8[[#This Row],[Rank]],Stammdaten[[Rank Verteilung D Mitte mit Rinde]:[Verteilung D Mitte mit Rinde]],2,FALSE)</f>
        <v>#N/A</v>
      </c>
      <c r="L1674">
        <v>1665</v>
      </c>
      <c r="M1674" t="e">
        <f>INDEX(Stammdaten[Abholzigkeit (mm/lfm)],MATCH(Tabelle9[[#This Row],[Rank]],Stammdaten[Rank Verteilung Abholzigkeit],0))</f>
        <v>#N/A</v>
      </c>
      <c r="N1674" t="e">
        <f>VLOOKUP(Tabelle9[[#This Row],[Rank]],Stammdaten[[Rank Verteilung Abholzigkeit]:[Verteilung Abholzigkeit]],2,FALSE)</f>
        <v>#N/A</v>
      </c>
      <c r="S1674">
        <v>1665</v>
      </c>
      <c r="T1674" t="e">
        <f>INDEX(Stammdaten[Krümmung (mm/lfm)],MATCH(Tabelle10[[#This Row],[Rank]],Stammdaten[Rank Verteilung Krümmung],0))</f>
        <v>#N/A</v>
      </c>
      <c r="U1674" t="e">
        <f>VLOOKUP(Tabelle10[[#This Row],[Rank]],Stammdaten[[Rank Verteilung Krümmung]:[Verteilung Krümmung]],2,FALSE)</f>
        <v>#N/A</v>
      </c>
      <c r="Z1674">
        <v>1665</v>
      </c>
      <c r="AA1674" t="e">
        <f>INDEX(Stammdaten[Ovalität (']0,1'])],MATCH(Tabelle1014[[#This Row],[Rank]],Stammdaten[Rank Verteilung Ovalität],0))</f>
        <v>#N/A</v>
      </c>
      <c r="AB1674" t="e">
        <f>VLOOKUP(Tabelle1014[[#This Row],[Rank]],Stammdaten[[Rank Verteilung Ovalität]:[Verteilung Ovalität]],2,FALSE)</f>
        <v>#N/A</v>
      </c>
    </row>
    <row r="1675" spans="5:28" x14ac:dyDescent="0.35">
      <c r="E1675">
        <v>1666</v>
      </c>
      <c r="F1675" t="e">
        <f>INDEX(Stammdaten[D Mitte mit Rinde (mm)],MATCH(Tabelle8[[#This Row],[Rank]],Stammdaten[Rank Verteilung D Mitte mit Rinde],0))</f>
        <v>#N/A</v>
      </c>
      <c r="G1675" t="e">
        <f>VLOOKUP(Tabelle8[[#This Row],[Rank]],Stammdaten[[Rank Verteilung D Mitte mit Rinde]:[Verteilung D Mitte mit Rinde]],2,FALSE)</f>
        <v>#N/A</v>
      </c>
      <c r="L1675">
        <v>1666</v>
      </c>
      <c r="M1675" t="e">
        <f>INDEX(Stammdaten[Abholzigkeit (mm/lfm)],MATCH(Tabelle9[[#This Row],[Rank]],Stammdaten[Rank Verteilung Abholzigkeit],0))</f>
        <v>#N/A</v>
      </c>
      <c r="N1675" t="e">
        <f>VLOOKUP(Tabelle9[[#This Row],[Rank]],Stammdaten[[Rank Verteilung Abholzigkeit]:[Verteilung Abholzigkeit]],2,FALSE)</f>
        <v>#N/A</v>
      </c>
      <c r="S1675">
        <v>1666</v>
      </c>
      <c r="T1675" t="e">
        <f>INDEX(Stammdaten[Krümmung (mm/lfm)],MATCH(Tabelle10[[#This Row],[Rank]],Stammdaten[Rank Verteilung Krümmung],0))</f>
        <v>#N/A</v>
      </c>
      <c r="U1675" t="e">
        <f>VLOOKUP(Tabelle10[[#This Row],[Rank]],Stammdaten[[Rank Verteilung Krümmung]:[Verteilung Krümmung]],2,FALSE)</f>
        <v>#N/A</v>
      </c>
      <c r="Z1675">
        <v>1666</v>
      </c>
      <c r="AA1675" t="e">
        <f>INDEX(Stammdaten[Ovalität (']0,1'])],MATCH(Tabelle1014[[#This Row],[Rank]],Stammdaten[Rank Verteilung Ovalität],0))</f>
        <v>#N/A</v>
      </c>
      <c r="AB1675" t="e">
        <f>VLOOKUP(Tabelle1014[[#This Row],[Rank]],Stammdaten[[Rank Verteilung Ovalität]:[Verteilung Ovalität]],2,FALSE)</f>
        <v>#N/A</v>
      </c>
    </row>
    <row r="1676" spans="5:28" x14ac:dyDescent="0.35">
      <c r="E1676">
        <v>1667</v>
      </c>
      <c r="F1676" t="e">
        <f>INDEX(Stammdaten[D Mitte mit Rinde (mm)],MATCH(Tabelle8[[#This Row],[Rank]],Stammdaten[Rank Verteilung D Mitte mit Rinde],0))</f>
        <v>#N/A</v>
      </c>
      <c r="G1676" t="e">
        <f>VLOOKUP(Tabelle8[[#This Row],[Rank]],Stammdaten[[Rank Verteilung D Mitte mit Rinde]:[Verteilung D Mitte mit Rinde]],2,FALSE)</f>
        <v>#N/A</v>
      </c>
      <c r="L1676">
        <v>1667</v>
      </c>
      <c r="M1676" t="e">
        <f>INDEX(Stammdaten[Abholzigkeit (mm/lfm)],MATCH(Tabelle9[[#This Row],[Rank]],Stammdaten[Rank Verteilung Abholzigkeit],0))</f>
        <v>#N/A</v>
      </c>
      <c r="N1676" t="e">
        <f>VLOOKUP(Tabelle9[[#This Row],[Rank]],Stammdaten[[Rank Verteilung Abholzigkeit]:[Verteilung Abholzigkeit]],2,FALSE)</f>
        <v>#N/A</v>
      </c>
      <c r="S1676">
        <v>1667</v>
      </c>
      <c r="T1676" t="e">
        <f>INDEX(Stammdaten[Krümmung (mm/lfm)],MATCH(Tabelle10[[#This Row],[Rank]],Stammdaten[Rank Verteilung Krümmung],0))</f>
        <v>#N/A</v>
      </c>
      <c r="U1676" t="e">
        <f>VLOOKUP(Tabelle10[[#This Row],[Rank]],Stammdaten[[Rank Verteilung Krümmung]:[Verteilung Krümmung]],2,FALSE)</f>
        <v>#N/A</v>
      </c>
      <c r="Z1676">
        <v>1667</v>
      </c>
      <c r="AA1676" t="e">
        <f>INDEX(Stammdaten[Ovalität (']0,1'])],MATCH(Tabelle1014[[#This Row],[Rank]],Stammdaten[Rank Verteilung Ovalität],0))</f>
        <v>#N/A</v>
      </c>
      <c r="AB1676" t="e">
        <f>VLOOKUP(Tabelle1014[[#This Row],[Rank]],Stammdaten[[Rank Verteilung Ovalität]:[Verteilung Ovalität]],2,FALSE)</f>
        <v>#N/A</v>
      </c>
    </row>
    <row r="1677" spans="5:28" x14ac:dyDescent="0.35">
      <c r="E1677">
        <v>1668</v>
      </c>
      <c r="F1677" t="e">
        <f>INDEX(Stammdaten[D Mitte mit Rinde (mm)],MATCH(Tabelle8[[#This Row],[Rank]],Stammdaten[Rank Verteilung D Mitte mit Rinde],0))</f>
        <v>#N/A</v>
      </c>
      <c r="G1677" t="e">
        <f>VLOOKUP(Tabelle8[[#This Row],[Rank]],Stammdaten[[Rank Verteilung D Mitte mit Rinde]:[Verteilung D Mitte mit Rinde]],2,FALSE)</f>
        <v>#N/A</v>
      </c>
      <c r="L1677">
        <v>1668</v>
      </c>
      <c r="M1677" t="e">
        <f>INDEX(Stammdaten[Abholzigkeit (mm/lfm)],MATCH(Tabelle9[[#This Row],[Rank]],Stammdaten[Rank Verteilung Abholzigkeit],0))</f>
        <v>#N/A</v>
      </c>
      <c r="N1677" t="e">
        <f>VLOOKUP(Tabelle9[[#This Row],[Rank]],Stammdaten[[Rank Verteilung Abholzigkeit]:[Verteilung Abholzigkeit]],2,FALSE)</f>
        <v>#N/A</v>
      </c>
      <c r="S1677">
        <v>1668</v>
      </c>
      <c r="T1677" t="e">
        <f>INDEX(Stammdaten[Krümmung (mm/lfm)],MATCH(Tabelle10[[#This Row],[Rank]],Stammdaten[Rank Verteilung Krümmung],0))</f>
        <v>#N/A</v>
      </c>
      <c r="U1677" t="e">
        <f>VLOOKUP(Tabelle10[[#This Row],[Rank]],Stammdaten[[Rank Verteilung Krümmung]:[Verteilung Krümmung]],2,FALSE)</f>
        <v>#N/A</v>
      </c>
      <c r="Z1677">
        <v>1668</v>
      </c>
      <c r="AA1677" t="e">
        <f>INDEX(Stammdaten[Ovalität (']0,1'])],MATCH(Tabelle1014[[#This Row],[Rank]],Stammdaten[Rank Verteilung Ovalität],0))</f>
        <v>#N/A</v>
      </c>
      <c r="AB1677" t="e">
        <f>VLOOKUP(Tabelle1014[[#This Row],[Rank]],Stammdaten[[Rank Verteilung Ovalität]:[Verteilung Ovalität]],2,FALSE)</f>
        <v>#N/A</v>
      </c>
    </row>
    <row r="1678" spans="5:28" x14ac:dyDescent="0.35">
      <c r="E1678">
        <v>1669</v>
      </c>
      <c r="F1678" t="e">
        <f>INDEX(Stammdaten[D Mitte mit Rinde (mm)],MATCH(Tabelle8[[#This Row],[Rank]],Stammdaten[Rank Verteilung D Mitte mit Rinde],0))</f>
        <v>#N/A</v>
      </c>
      <c r="G1678" t="e">
        <f>VLOOKUP(Tabelle8[[#This Row],[Rank]],Stammdaten[[Rank Verteilung D Mitte mit Rinde]:[Verteilung D Mitte mit Rinde]],2,FALSE)</f>
        <v>#N/A</v>
      </c>
      <c r="L1678">
        <v>1669</v>
      </c>
      <c r="M1678" t="e">
        <f>INDEX(Stammdaten[Abholzigkeit (mm/lfm)],MATCH(Tabelle9[[#This Row],[Rank]],Stammdaten[Rank Verteilung Abholzigkeit],0))</f>
        <v>#N/A</v>
      </c>
      <c r="N1678" t="e">
        <f>VLOOKUP(Tabelle9[[#This Row],[Rank]],Stammdaten[[Rank Verteilung Abholzigkeit]:[Verteilung Abholzigkeit]],2,FALSE)</f>
        <v>#N/A</v>
      </c>
      <c r="S1678">
        <v>1669</v>
      </c>
      <c r="T1678" t="e">
        <f>INDEX(Stammdaten[Krümmung (mm/lfm)],MATCH(Tabelle10[[#This Row],[Rank]],Stammdaten[Rank Verteilung Krümmung],0))</f>
        <v>#N/A</v>
      </c>
      <c r="U1678" t="e">
        <f>VLOOKUP(Tabelle10[[#This Row],[Rank]],Stammdaten[[Rank Verteilung Krümmung]:[Verteilung Krümmung]],2,FALSE)</f>
        <v>#N/A</v>
      </c>
      <c r="Z1678">
        <v>1669</v>
      </c>
      <c r="AA1678" t="e">
        <f>INDEX(Stammdaten[Ovalität (']0,1'])],MATCH(Tabelle1014[[#This Row],[Rank]],Stammdaten[Rank Verteilung Ovalität],0))</f>
        <v>#N/A</v>
      </c>
      <c r="AB1678" t="e">
        <f>VLOOKUP(Tabelle1014[[#This Row],[Rank]],Stammdaten[[Rank Verteilung Ovalität]:[Verteilung Ovalität]],2,FALSE)</f>
        <v>#N/A</v>
      </c>
    </row>
    <row r="1679" spans="5:28" x14ac:dyDescent="0.35">
      <c r="E1679">
        <v>1670</v>
      </c>
      <c r="F1679" t="e">
        <f>INDEX(Stammdaten[D Mitte mit Rinde (mm)],MATCH(Tabelle8[[#This Row],[Rank]],Stammdaten[Rank Verteilung D Mitte mit Rinde],0))</f>
        <v>#N/A</v>
      </c>
      <c r="G1679" t="e">
        <f>VLOOKUP(Tabelle8[[#This Row],[Rank]],Stammdaten[[Rank Verteilung D Mitte mit Rinde]:[Verteilung D Mitte mit Rinde]],2,FALSE)</f>
        <v>#N/A</v>
      </c>
      <c r="L1679">
        <v>1670</v>
      </c>
      <c r="M1679" t="e">
        <f>INDEX(Stammdaten[Abholzigkeit (mm/lfm)],MATCH(Tabelle9[[#This Row],[Rank]],Stammdaten[Rank Verteilung Abholzigkeit],0))</f>
        <v>#N/A</v>
      </c>
      <c r="N1679" t="e">
        <f>VLOOKUP(Tabelle9[[#This Row],[Rank]],Stammdaten[[Rank Verteilung Abholzigkeit]:[Verteilung Abholzigkeit]],2,FALSE)</f>
        <v>#N/A</v>
      </c>
      <c r="S1679">
        <v>1670</v>
      </c>
      <c r="T1679" t="e">
        <f>INDEX(Stammdaten[Krümmung (mm/lfm)],MATCH(Tabelle10[[#This Row],[Rank]],Stammdaten[Rank Verteilung Krümmung],0))</f>
        <v>#N/A</v>
      </c>
      <c r="U1679" t="e">
        <f>VLOOKUP(Tabelle10[[#This Row],[Rank]],Stammdaten[[Rank Verteilung Krümmung]:[Verteilung Krümmung]],2,FALSE)</f>
        <v>#N/A</v>
      </c>
      <c r="Z1679">
        <v>1670</v>
      </c>
      <c r="AA1679" t="e">
        <f>INDEX(Stammdaten[Ovalität (']0,1'])],MATCH(Tabelle1014[[#This Row],[Rank]],Stammdaten[Rank Verteilung Ovalität],0))</f>
        <v>#N/A</v>
      </c>
      <c r="AB1679" t="e">
        <f>VLOOKUP(Tabelle1014[[#This Row],[Rank]],Stammdaten[[Rank Verteilung Ovalität]:[Verteilung Ovalität]],2,FALSE)</f>
        <v>#N/A</v>
      </c>
    </row>
    <row r="1680" spans="5:28" x14ac:dyDescent="0.35">
      <c r="E1680">
        <v>1671</v>
      </c>
      <c r="F1680" t="e">
        <f>INDEX(Stammdaten[D Mitte mit Rinde (mm)],MATCH(Tabelle8[[#This Row],[Rank]],Stammdaten[Rank Verteilung D Mitte mit Rinde],0))</f>
        <v>#N/A</v>
      </c>
      <c r="G1680" t="e">
        <f>VLOOKUP(Tabelle8[[#This Row],[Rank]],Stammdaten[[Rank Verteilung D Mitte mit Rinde]:[Verteilung D Mitte mit Rinde]],2,FALSE)</f>
        <v>#N/A</v>
      </c>
      <c r="L1680">
        <v>1671</v>
      </c>
      <c r="M1680" t="e">
        <f>INDEX(Stammdaten[Abholzigkeit (mm/lfm)],MATCH(Tabelle9[[#This Row],[Rank]],Stammdaten[Rank Verteilung Abholzigkeit],0))</f>
        <v>#N/A</v>
      </c>
      <c r="N1680" t="e">
        <f>VLOOKUP(Tabelle9[[#This Row],[Rank]],Stammdaten[[Rank Verteilung Abholzigkeit]:[Verteilung Abholzigkeit]],2,FALSE)</f>
        <v>#N/A</v>
      </c>
      <c r="S1680">
        <v>1671</v>
      </c>
      <c r="T1680" t="e">
        <f>INDEX(Stammdaten[Krümmung (mm/lfm)],MATCH(Tabelle10[[#This Row],[Rank]],Stammdaten[Rank Verteilung Krümmung],0))</f>
        <v>#N/A</v>
      </c>
      <c r="U1680" t="e">
        <f>VLOOKUP(Tabelle10[[#This Row],[Rank]],Stammdaten[[Rank Verteilung Krümmung]:[Verteilung Krümmung]],2,FALSE)</f>
        <v>#N/A</v>
      </c>
      <c r="Z1680">
        <v>1671</v>
      </c>
      <c r="AA1680" t="e">
        <f>INDEX(Stammdaten[Ovalität (']0,1'])],MATCH(Tabelle1014[[#This Row],[Rank]],Stammdaten[Rank Verteilung Ovalität],0))</f>
        <v>#N/A</v>
      </c>
      <c r="AB1680" t="e">
        <f>VLOOKUP(Tabelle1014[[#This Row],[Rank]],Stammdaten[[Rank Verteilung Ovalität]:[Verteilung Ovalität]],2,FALSE)</f>
        <v>#N/A</v>
      </c>
    </row>
    <row r="1681" spans="5:28" x14ac:dyDescent="0.35">
      <c r="E1681">
        <v>1672</v>
      </c>
      <c r="F1681" t="e">
        <f>INDEX(Stammdaten[D Mitte mit Rinde (mm)],MATCH(Tabelle8[[#This Row],[Rank]],Stammdaten[Rank Verteilung D Mitte mit Rinde],0))</f>
        <v>#N/A</v>
      </c>
      <c r="G1681" t="e">
        <f>VLOOKUP(Tabelle8[[#This Row],[Rank]],Stammdaten[[Rank Verteilung D Mitte mit Rinde]:[Verteilung D Mitte mit Rinde]],2,FALSE)</f>
        <v>#N/A</v>
      </c>
      <c r="L1681">
        <v>1672</v>
      </c>
      <c r="M1681" t="e">
        <f>INDEX(Stammdaten[Abholzigkeit (mm/lfm)],MATCH(Tabelle9[[#This Row],[Rank]],Stammdaten[Rank Verteilung Abholzigkeit],0))</f>
        <v>#N/A</v>
      </c>
      <c r="N1681" t="e">
        <f>VLOOKUP(Tabelle9[[#This Row],[Rank]],Stammdaten[[Rank Verteilung Abholzigkeit]:[Verteilung Abholzigkeit]],2,FALSE)</f>
        <v>#N/A</v>
      </c>
      <c r="S1681">
        <v>1672</v>
      </c>
      <c r="T1681" t="e">
        <f>INDEX(Stammdaten[Krümmung (mm/lfm)],MATCH(Tabelle10[[#This Row],[Rank]],Stammdaten[Rank Verteilung Krümmung],0))</f>
        <v>#N/A</v>
      </c>
      <c r="U1681" t="e">
        <f>VLOOKUP(Tabelle10[[#This Row],[Rank]],Stammdaten[[Rank Verteilung Krümmung]:[Verteilung Krümmung]],2,FALSE)</f>
        <v>#N/A</v>
      </c>
      <c r="Z1681">
        <v>1672</v>
      </c>
      <c r="AA1681" t="e">
        <f>INDEX(Stammdaten[Ovalität (']0,1'])],MATCH(Tabelle1014[[#This Row],[Rank]],Stammdaten[Rank Verteilung Ovalität],0))</f>
        <v>#N/A</v>
      </c>
      <c r="AB1681" t="e">
        <f>VLOOKUP(Tabelle1014[[#This Row],[Rank]],Stammdaten[[Rank Verteilung Ovalität]:[Verteilung Ovalität]],2,FALSE)</f>
        <v>#N/A</v>
      </c>
    </row>
    <row r="1682" spans="5:28" x14ac:dyDescent="0.35">
      <c r="E1682">
        <v>1673</v>
      </c>
      <c r="F1682" t="e">
        <f>INDEX(Stammdaten[D Mitte mit Rinde (mm)],MATCH(Tabelle8[[#This Row],[Rank]],Stammdaten[Rank Verteilung D Mitte mit Rinde],0))</f>
        <v>#N/A</v>
      </c>
      <c r="G1682" t="e">
        <f>VLOOKUP(Tabelle8[[#This Row],[Rank]],Stammdaten[[Rank Verteilung D Mitte mit Rinde]:[Verteilung D Mitte mit Rinde]],2,FALSE)</f>
        <v>#N/A</v>
      </c>
      <c r="L1682">
        <v>1673</v>
      </c>
      <c r="M1682" t="e">
        <f>INDEX(Stammdaten[Abholzigkeit (mm/lfm)],MATCH(Tabelle9[[#This Row],[Rank]],Stammdaten[Rank Verteilung Abholzigkeit],0))</f>
        <v>#N/A</v>
      </c>
      <c r="N1682" t="e">
        <f>VLOOKUP(Tabelle9[[#This Row],[Rank]],Stammdaten[[Rank Verteilung Abholzigkeit]:[Verteilung Abholzigkeit]],2,FALSE)</f>
        <v>#N/A</v>
      </c>
      <c r="S1682">
        <v>1673</v>
      </c>
      <c r="T1682" t="e">
        <f>INDEX(Stammdaten[Krümmung (mm/lfm)],MATCH(Tabelle10[[#This Row],[Rank]],Stammdaten[Rank Verteilung Krümmung],0))</f>
        <v>#N/A</v>
      </c>
      <c r="U1682" t="e">
        <f>VLOOKUP(Tabelle10[[#This Row],[Rank]],Stammdaten[[Rank Verteilung Krümmung]:[Verteilung Krümmung]],2,FALSE)</f>
        <v>#N/A</v>
      </c>
      <c r="Z1682">
        <v>1673</v>
      </c>
      <c r="AA1682" t="e">
        <f>INDEX(Stammdaten[Ovalität (']0,1'])],MATCH(Tabelle1014[[#This Row],[Rank]],Stammdaten[Rank Verteilung Ovalität],0))</f>
        <v>#N/A</v>
      </c>
      <c r="AB1682" t="e">
        <f>VLOOKUP(Tabelle1014[[#This Row],[Rank]],Stammdaten[[Rank Verteilung Ovalität]:[Verteilung Ovalität]],2,FALSE)</f>
        <v>#N/A</v>
      </c>
    </row>
    <row r="1683" spans="5:28" x14ac:dyDescent="0.35">
      <c r="E1683">
        <v>1674</v>
      </c>
      <c r="F1683" t="e">
        <f>INDEX(Stammdaten[D Mitte mit Rinde (mm)],MATCH(Tabelle8[[#This Row],[Rank]],Stammdaten[Rank Verteilung D Mitte mit Rinde],0))</f>
        <v>#N/A</v>
      </c>
      <c r="G1683" t="e">
        <f>VLOOKUP(Tabelle8[[#This Row],[Rank]],Stammdaten[[Rank Verteilung D Mitte mit Rinde]:[Verteilung D Mitte mit Rinde]],2,FALSE)</f>
        <v>#N/A</v>
      </c>
      <c r="L1683">
        <v>1674</v>
      </c>
      <c r="M1683" t="e">
        <f>INDEX(Stammdaten[Abholzigkeit (mm/lfm)],MATCH(Tabelle9[[#This Row],[Rank]],Stammdaten[Rank Verteilung Abholzigkeit],0))</f>
        <v>#N/A</v>
      </c>
      <c r="N1683" t="e">
        <f>VLOOKUP(Tabelle9[[#This Row],[Rank]],Stammdaten[[Rank Verteilung Abholzigkeit]:[Verteilung Abholzigkeit]],2,FALSE)</f>
        <v>#N/A</v>
      </c>
      <c r="S1683">
        <v>1674</v>
      </c>
      <c r="T1683" t="e">
        <f>INDEX(Stammdaten[Krümmung (mm/lfm)],MATCH(Tabelle10[[#This Row],[Rank]],Stammdaten[Rank Verteilung Krümmung],0))</f>
        <v>#N/A</v>
      </c>
      <c r="U1683" t="e">
        <f>VLOOKUP(Tabelle10[[#This Row],[Rank]],Stammdaten[[Rank Verteilung Krümmung]:[Verteilung Krümmung]],2,FALSE)</f>
        <v>#N/A</v>
      </c>
      <c r="Z1683">
        <v>1674</v>
      </c>
      <c r="AA1683" t="e">
        <f>INDEX(Stammdaten[Ovalität (']0,1'])],MATCH(Tabelle1014[[#This Row],[Rank]],Stammdaten[Rank Verteilung Ovalität],0))</f>
        <v>#N/A</v>
      </c>
      <c r="AB1683" t="e">
        <f>VLOOKUP(Tabelle1014[[#This Row],[Rank]],Stammdaten[[Rank Verteilung Ovalität]:[Verteilung Ovalität]],2,FALSE)</f>
        <v>#N/A</v>
      </c>
    </row>
    <row r="1684" spans="5:28" x14ac:dyDescent="0.35">
      <c r="E1684">
        <v>1675</v>
      </c>
      <c r="F1684" t="e">
        <f>INDEX(Stammdaten[D Mitte mit Rinde (mm)],MATCH(Tabelle8[[#This Row],[Rank]],Stammdaten[Rank Verteilung D Mitte mit Rinde],0))</f>
        <v>#N/A</v>
      </c>
      <c r="G1684" t="e">
        <f>VLOOKUP(Tabelle8[[#This Row],[Rank]],Stammdaten[[Rank Verteilung D Mitte mit Rinde]:[Verteilung D Mitte mit Rinde]],2,FALSE)</f>
        <v>#N/A</v>
      </c>
      <c r="L1684">
        <v>1675</v>
      </c>
      <c r="M1684" t="e">
        <f>INDEX(Stammdaten[Abholzigkeit (mm/lfm)],MATCH(Tabelle9[[#This Row],[Rank]],Stammdaten[Rank Verteilung Abholzigkeit],0))</f>
        <v>#N/A</v>
      </c>
      <c r="N1684" t="e">
        <f>VLOOKUP(Tabelle9[[#This Row],[Rank]],Stammdaten[[Rank Verteilung Abholzigkeit]:[Verteilung Abholzigkeit]],2,FALSE)</f>
        <v>#N/A</v>
      </c>
      <c r="S1684">
        <v>1675</v>
      </c>
      <c r="T1684" t="e">
        <f>INDEX(Stammdaten[Krümmung (mm/lfm)],MATCH(Tabelle10[[#This Row],[Rank]],Stammdaten[Rank Verteilung Krümmung],0))</f>
        <v>#N/A</v>
      </c>
      <c r="U1684" t="e">
        <f>VLOOKUP(Tabelle10[[#This Row],[Rank]],Stammdaten[[Rank Verteilung Krümmung]:[Verteilung Krümmung]],2,FALSE)</f>
        <v>#N/A</v>
      </c>
      <c r="Z1684">
        <v>1675</v>
      </c>
      <c r="AA1684" t="e">
        <f>INDEX(Stammdaten[Ovalität (']0,1'])],MATCH(Tabelle1014[[#This Row],[Rank]],Stammdaten[Rank Verteilung Ovalität],0))</f>
        <v>#N/A</v>
      </c>
      <c r="AB1684" t="e">
        <f>VLOOKUP(Tabelle1014[[#This Row],[Rank]],Stammdaten[[Rank Verteilung Ovalität]:[Verteilung Ovalität]],2,FALSE)</f>
        <v>#N/A</v>
      </c>
    </row>
    <row r="1685" spans="5:28" x14ac:dyDescent="0.35">
      <c r="E1685">
        <v>1676</v>
      </c>
      <c r="F1685" t="e">
        <f>INDEX(Stammdaten[D Mitte mit Rinde (mm)],MATCH(Tabelle8[[#This Row],[Rank]],Stammdaten[Rank Verteilung D Mitte mit Rinde],0))</f>
        <v>#N/A</v>
      </c>
      <c r="G1685" t="e">
        <f>VLOOKUP(Tabelle8[[#This Row],[Rank]],Stammdaten[[Rank Verteilung D Mitte mit Rinde]:[Verteilung D Mitte mit Rinde]],2,FALSE)</f>
        <v>#N/A</v>
      </c>
      <c r="L1685">
        <v>1676</v>
      </c>
      <c r="M1685" t="e">
        <f>INDEX(Stammdaten[Abholzigkeit (mm/lfm)],MATCH(Tabelle9[[#This Row],[Rank]],Stammdaten[Rank Verteilung Abholzigkeit],0))</f>
        <v>#N/A</v>
      </c>
      <c r="N1685" t="e">
        <f>VLOOKUP(Tabelle9[[#This Row],[Rank]],Stammdaten[[Rank Verteilung Abholzigkeit]:[Verteilung Abholzigkeit]],2,FALSE)</f>
        <v>#N/A</v>
      </c>
      <c r="S1685">
        <v>1676</v>
      </c>
      <c r="T1685" t="e">
        <f>INDEX(Stammdaten[Krümmung (mm/lfm)],MATCH(Tabelle10[[#This Row],[Rank]],Stammdaten[Rank Verteilung Krümmung],0))</f>
        <v>#N/A</v>
      </c>
      <c r="U1685" t="e">
        <f>VLOOKUP(Tabelle10[[#This Row],[Rank]],Stammdaten[[Rank Verteilung Krümmung]:[Verteilung Krümmung]],2,FALSE)</f>
        <v>#N/A</v>
      </c>
      <c r="Z1685">
        <v>1676</v>
      </c>
      <c r="AA1685" t="e">
        <f>INDEX(Stammdaten[Ovalität (']0,1'])],MATCH(Tabelle1014[[#This Row],[Rank]],Stammdaten[Rank Verteilung Ovalität],0))</f>
        <v>#N/A</v>
      </c>
      <c r="AB1685" t="e">
        <f>VLOOKUP(Tabelle1014[[#This Row],[Rank]],Stammdaten[[Rank Verteilung Ovalität]:[Verteilung Ovalität]],2,FALSE)</f>
        <v>#N/A</v>
      </c>
    </row>
    <row r="1686" spans="5:28" x14ac:dyDescent="0.35">
      <c r="E1686">
        <v>1677</v>
      </c>
      <c r="F1686" t="e">
        <f>INDEX(Stammdaten[D Mitte mit Rinde (mm)],MATCH(Tabelle8[[#This Row],[Rank]],Stammdaten[Rank Verteilung D Mitte mit Rinde],0))</f>
        <v>#N/A</v>
      </c>
      <c r="G1686" t="e">
        <f>VLOOKUP(Tabelle8[[#This Row],[Rank]],Stammdaten[[Rank Verteilung D Mitte mit Rinde]:[Verteilung D Mitte mit Rinde]],2,FALSE)</f>
        <v>#N/A</v>
      </c>
      <c r="L1686">
        <v>1677</v>
      </c>
      <c r="M1686" t="e">
        <f>INDEX(Stammdaten[Abholzigkeit (mm/lfm)],MATCH(Tabelle9[[#This Row],[Rank]],Stammdaten[Rank Verteilung Abholzigkeit],0))</f>
        <v>#N/A</v>
      </c>
      <c r="N1686" t="e">
        <f>VLOOKUP(Tabelle9[[#This Row],[Rank]],Stammdaten[[Rank Verteilung Abholzigkeit]:[Verteilung Abholzigkeit]],2,FALSE)</f>
        <v>#N/A</v>
      </c>
      <c r="S1686">
        <v>1677</v>
      </c>
      <c r="T1686" t="e">
        <f>INDEX(Stammdaten[Krümmung (mm/lfm)],MATCH(Tabelle10[[#This Row],[Rank]],Stammdaten[Rank Verteilung Krümmung],0))</f>
        <v>#N/A</v>
      </c>
      <c r="U1686" t="e">
        <f>VLOOKUP(Tabelle10[[#This Row],[Rank]],Stammdaten[[Rank Verteilung Krümmung]:[Verteilung Krümmung]],2,FALSE)</f>
        <v>#N/A</v>
      </c>
      <c r="Z1686">
        <v>1677</v>
      </c>
      <c r="AA1686" t="e">
        <f>INDEX(Stammdaten[Ovalität (']0,1'])],MATCH(Tabelle1014[[#This Row],[Rank]],Stammdaten[Rank Verteilung Ovalität],0))</f>
        <v>#N/A</v>
      </c>
      <c r="AB1686" t="e">
        <f>VLOOKUP(Tabelle1014[[#This Row],[Rank]],Stammdaten[[Rank Verteilung Ovalität]:[Verteilung Ovalität]],2,FALSE)</f>
        <v>#N/A</v>
      </c>
    </row>
    <row r="1687" spans="5:28" x14ac:dyDescent="0.35">
      <c r="E1687">
        <v>1678</v>
      </c>
      <c r="F1687" t="e">
        <f>INDEX(Stammdaten[D Mitte mit Rinde (mm)],MATCH(Tabelle8[[#This Row],[Rank]],Stammdaten[Rank Verteilung D Mitte mit Rinde],0))</f>
        <v>#N/A</v>
      </c>
      <c r="G1687" t="e">
        <f>VLOOKUP(Tabelle8[[#This Row],[Rank]],Stammdaten[[Rank Verteilung D Mitte mit Rinde]:[Verteilung D Mitte mit Rinde]],2,FALSE)</f>
        <v>#N/A</v>
      </c>
      <c r="L1687">
        <v>1678</v>
      </c>
      <c r="M1687" t="e">
        <f>INDEX(Stammdaten[Abholzigkeit (mm/lfm)],MATCH(Tabelle9[[#This Row],[Rank]],Stammdaten[Rank Verteilung Abholzigkeit],0))</f>
        <v>#N/A</v>
      </c>
      <c r="N1687" t="e">
        <f>VLOOKUP(Tabelle9[[#This Row],[Rank]],Stammdaten[[Rank Verteilung Abholzigkeit]:[Verteilung Abholzigkeit]],2,FALSE)</f>
        <v>#N/A</v>
      </c>
      <c r="S1687">
        <v>1678</v>
      </c>
      <c r="T1687" t="e">
        <f>INDEX(Stammdaten[Krümmung (mm/lfm)],MATCH(Tabelle10[[#This Row],[Rank]],Stammdaten[Rank Verteilung Krümmung],0))</f>
        <v>#N/A</v>
      </c>
      <c r="U1687" t="e">
        <f>VLOOKUP(Tabelle10[[#This Row],[Rank]],Stammdaten[[Rank Verteilung Krümmung]:[Verteilung Krümmung]],2,FALSE)</f>
        <v>#N/A</v>
      </c>
      <c r="Z1687">
        <v>1678</v>
      </c>
      <c r="AA1687" t="e">
        <f>INDEX(Stammdaten[Ovalität (']0,1'])],MATCH(Tabelle1014[[#This Row],[Rank]],Stammdaten[Rank Verteilung Ovalität],0))</f>
        <v>#N/A</v>
      </c>
      <c r="AB1687" t="e">
        <f>VLOOKUP(Tabelle1014[[#This Row],[Rank]],Stammdaten[[Rank Verteilung Ovalität]:[Verteilung Ovalität]],2,FALSE)</f>
        <v>#N/A</v>
      </c>
    </row>
    <row r="1688" spans="5:28" x14ac:dyDescent="0.35">
      <c r="E1688">
        <v>1679</v>
      </c>
      <c r="F1688" t="e">
        <f>INDEX(Stammdaten[D Mitte mit Rinde (mm)],MATCH(Tabelle8[[#This Row],[Rank]],Stammdaten[Rank Verteilung D Mitte mit Rinde],0))</f>
        <v>#N/A</v>
      </c>
      <c r="G1688" t="e">
        <f>VLOOKUP(Tabelle8[[#This Row],[Rank]],Stammdaten[[Rank Verteilung D Mitte mit Rinde]:[Verteilung D Mitte mit Rinde]],2,FALSE)</f>
        <v>#N/A</v>
      </c>
      <c r="L1688">
        <v>1679</v>
      </c>
      <c r="M1688" t="e">
        <f>INDEX(Stammdaten[Abholzigkeit (mm/lfm)],MATCH(Tabelle9[[#This Row],[Rank]],Stammdaten[Rank Verteilung Abholzigkeit],0))</f>
        <v>#N/A</v>
      </c>
      <c r="N1688" t="e">
        <f>VLOOKUP(Tabelle9[[#This Row],[Rank]],Stammdaten[[Rank Verteilung Abholzigkeit]:[Verteilung Abholzigkeit]],2,FALSE)</f>
        <v>#N/A</v>
      </c>
      <c r="S1688">
        <v>1679</v>
      </c>
      <c r="T1688" t="e">
        <f>INDEX(Stammdaten[Krümmung (mm/lfm)],MATCH(Tabelle10[[#This Row],[Rank]],Stammdaten[Rank Verteilung Krümmung],0))</f>
        <v>#N/A</v>
      </c>
      <c r="U1688" t="e">
        <f>VLOOKUP(Tabelle10[[#This Row],[Rank]],Stammdaten[[Rank Verteilung Krümmung]:[Verteilung Krümmung]],2,FALSE)</f>
        <v>#N/A</v>
      </c>
      <c r="Z1688">
        <v>1679</v>
      </c>
      <c r="AA1688" t="e">
        <f>INDEX(Stammdaten[Ovalität (']0,1'])],MATCH(Tabelle1014[[#This Row],[Rank]],Stammdaten[Rank Verteilung Ovalität],0))</f>
        <v>#N/A</v>
      </c>
      <c r="AB1688" t="e">
        <f>VLOOKUP(Tabelle1014[[#This Row],[Rank]],Stammdaten[[Rank Verteilung Ovalität]:[Verteilung Ovalität]],2,FALSE)</f>
        <v>#N/A</v>
      </c>
    </row>
    <row r="1689" spans="5:28" x14ac:dyDescent="0.35">
      <c r="E1689">
        <v>1680</v>
      </c>
      <c r="F1689" t="e">
        <f>INDEX(Stammdaten[D Mitte mit Rinde (mm)],MATCH(Tabelle8[[#This Row],[Rank]],Stammdaten[Rank Verteilung D Mitte mit Rinde],0))</f>
        <v>#N/A</v>
      </c>
      <c r="G1689" t="e">
        <f>VLOOKUP(Tabelle8[[#This Row],[Rank]],Stammdaten[[Rank Verteilung D Mitte mit Rinde]:[Verteilung D Mitte mit Rinde]],2,FALSE)</f>
        <v>#N/A</v>
      </c>
      <c r="L1689">
        <v>1680</v>
      </c>
      <c r="M1689" t="e">
        <f>INDEX(Stammdaten[Abholzigkeit (mm/lfm)],MATCH(Tabelle9[[#This Row],[Rank]],Stammdaten[Rank Verteilung Abholzigkeit],0))</f>
        <v>#N/A</v>
      </c>
      <c r="N1689" t="e">
        <f>VLOOKUP(Tabelle9[[#This Row],[Rank]],Stammdaten[[Rank Verteilung Abholzigkeit]:[Verteilung Abholzigkeit]],2,FALSE)</f>
        <v>#N/A</v>
      </c>
      <c r="S1689">
        <v>1680</v>
      </c>
      <c r="T1689" t="e">
        <f>INDEX(Stammdaten[Krümmung (mm/lfm)],MATCH(Tabelle10[[#This Row],[Rank]],Stammdaten[Rank Verteilung Krümmung],0))</f>
        <v>#N/A</v>
      </c>
      <c r="U1689" t="e">
        <f>VLOOKUP(Tabelle10[[#This Row],[Rank]],Stammdaten[[Rank Verteilung Krümmung]:[Verteilung Krümmung]],2,FALSE)</f>
        <v>#N/A</v>
      </c>
      <c r="Z1689">
        <v>1680</v>
      </c>
      <c r="AA1689" t="e">
        <f>INDEX(Stammdaten[Ovalität (']0,1'])],MATCH(Tabelle1014[[#This Row],[Rank]],Stammdaten[Rank Verteilung Ovalität],0))</f>
        <v>#N/A</v>
      </c>
      <c r="AB1689" t="e">
        <f>VLOOKUP(Tabelle1014[[#This Row],[Rank]],Stammdaten[[Rank Verteilung Ovalität]:[Verteilung Ovalität]],2,FALSE)</f>
        <v>#N/A</v>
      </c>
    </row>
    <row r="1690" spans="5:28" x14ac:dyDescent="0.35">
      <c r="E1690">
        <v>1681</v>
      </c>
      <c r="F1690" t="e">
        <f>INDEX(Stammdaten[D Mitte mit Rinde (mm)],MATCH(Tabelle8[[#This Row],[Rank]],Stammdaten[Rank Verteilung D Mitte mit Rinde],0))</f>
        <v>#N/A</v>
      </c>
      <c r="G1690" t="e">
        <f>VLOOKUP(Tabelle8[[#This Row],[Rank]],Stammdaten[[Rank Verteilung D Mitte mit Rinde]:[Verteilung D Mitte mit Rinde]],2,FALSE)</f>
        <v>#N/A</v>
      </c>
      <c r="L1690">
        <v>1681</v>
      </c>
      <c r="M1690" t="e">
        <f>INDEX(Stammdaten[Abholzigkeit (mm/lfm)],MATCH(Tabelle9[[#This Row],[Rank]],Stammdaten[Rank Verteilung Abholzigkeit],0))</f>
        <v>#N/A</v>
      </c>
      <c r="N1690" t="e">
        <f>VLOOKUP(Tabelle9[[#This Row],[Rank]],Stammdaten[[Rank Verteilung Abholzigkeit]:[Verteilung Abholzigkeit]],2,FALSE)</f>
        <v>#N/A</v>
      </c>
      <c r="S1690">
        <v>1681</v>
      </c>
      <c r="T1690" t="e">
        <f>INDEX(Stammdaten[Krümmung (mm/lfm)],MATCH(Tabelle10[[#This Row],[Rank]],Stammdaten[Rank Verteilung Krümmung],0))</f>
        <v>#N/A</v>
      </c>
      <c r="U1690" t="e">
        <f>VLOOKUP(Tabelle10[[#This Row],[Rank]],Stammdaten[[Rank Verteilung Krümmung]:[Verteilung Krümmung]],2,FALSE)</f>
        <v>#N/A</v>
      </c>
      <c r="Z1690">
        <v>1681</v>
      </c>
      <c r="AA1690" t="e">
        <f>INDEX(Stammdaten[Ovalität (']0,1'])],MATCH(Tabelle1014[[#This Row],[Rank]],Stammdaten[Rank Verteilung Ovalität],0))</f>
        <v>#N/A</v>
      </c>
      <c r="AB1690" t="e">
        <f>VLOOKUP(Tabelle1014[[#This Row],[Rank]],Stammdaten[[Rank Verteilung Ovalität]:[Verteilung Ovalität]],2,FALSE)</f>
        <v>#N/A</v>
      </c>
    </row>
    <row r="1691" spans="5:28" x14ac:dyDescent="0.35">
      <c r="E1691">
        <v>1682</v>
      </c>
      <c r="F1691" t="e">
        <f>INDEX(Stammdaten[D Mitte mit Rinde (mm)],MATCH(Tabelle8[[#This Row],[Rank]],Stammdaten[Rank Verteilung D Mitte mit Rinde],0))</f>
        <v>#N/A</v>
      </c>
      <c r="G1691" t="e">
        <f>VLOOKUP(Tabelle8[[#This Row],[Rank]],Stammdaten[[Rank Verteilung D Mitte mit Rinde]:[Verteilung D Mitte mit Rinde]],2,FALSE)</f>
        <v>#N/A</v>
      </c>
      <c r="L1691">
        <v>1682</v>
      </c>
      <c r="M1691" t="e">
        <f>INDEX(Stammdaten[Abholzigkeit (mm/lfm)],MATCH(Tabelle9[[#This Row],[Rank]],Stammdaten[Rank Verteilung Abholzigkeit],0))</f>
        <v>#N/A</v>
      </c>
      <c r="N1691" t="e">
        <f>VLOOKUP(Tabelle9[[#This Row],[Rank]],Stammdaten[[Rank Verteilung Abholzigkeit]:[Verteilung Abholzigkeit]],2,FALSE)</f>
        <v>#N/A</v>
      </c>
      <c r="S1691">
        <v>1682</v>
      </c>
      <c r="T1691" t="e">
        <f>INDEX(Stammdaten[Krümmung (mm/lfm)],MATCH(Tabelle10[[#This Row],[Rank]],Stammdaten[Rank Verteilung Krümmung],0))</f>
        <v>#N/A</v>
      </c>
      <c r="U1691" t="e">
        <f>VLOOKUP(Tabelle10[[#This Row],[Rank]],Stammdaten[[Rank Verteilung Krümmung]:[Verteilung Krümmung]],2,FALSE)</f>
        <v>#N/A</v>
      </c>
      <c r="Z1691">
        <v>1682</v>
      </c>
      <c r="AA1691" t="e">
        <f>INDEX(Stammdaten[Ovalität (']0,1'])],MATCH(Tabelle1014[[#This Row],[Rank]],Stammdaten[Rank Verteilung Ovalität],0))</f>
        <v>#N/A</v>
      </c>
      <c r="AB1691" t="e">
        <f>VLOOKUP(Tabelle1014[[#This Row],[Rank]],Stammdaten[[Rank Verteilung Ovalität]:[Verteilung Ovalität]],2,FALSE)</f>
        <v>#N/A</v>
      </c>
    </row>
    <row r="1692" spans="5:28" x14ac:dyDescent="0.35">
      <c r="E1692">
        <v>1683</v>
      </c>
      <c r="F1692" t="e">
        <f>INDEX(Stammdaten[D Mitte mit Rinde (mm)],MATCH(Tabelle8[[#This Row],[Rank]],Stammdaten[Rank Verteilung D Mitte mit Rinde],0))</f>
        <v>#N/A</v>
      </c>
      <c r="G1692" t="e">
        <f>VLOOKUP(Tabelle8[[#This Row],[Rank]],Stammdaten[[Rank Verteilung D Mitte mit Rinde]:[Verteilung D Mitte mit Rinde]],2,FALSE)</f>
        <v>#N/A</v>
      </c>
      <c r="L1692">
        <v>1683</v>
      </c>
      <c r="M1692" t="e">
        <f>INDEX(Stammdaten[Abholzigkeit (mm/lfm)],MATCH(Tabelle9[[#This Row],[Rank]],Stammdaten[Rank Verteilung Abholzigkeit],0))</f>
        <v>#N/A</v>
      </c>
      <c r="N1692" t="e">
        <f>VLOOKUP(Tabelle9[[#This Row],[Rank]],Stammdaten[[Rank Verteilung Abholzigkeit]:[Verteilung Abholzigkeit]],2,FALSE)</f>
        <v>#N/A</v>
      </c>
      <c r="S1692">
        <v>1683</v>
      </c>
      <c r="T1692" t="e">
        <f>INDEX(Stammdaten[Krümmung (mm/lfm)],MATCH(Tabelle10[[#This Row],[Rank]],Stammdaten[Rank Verteilung Krümmung],0))</f>
        <v>#N/A</v>
      </c>
      <c r="U1692" t="e">
        <f>VLOOKUP(Tabelle10[[#This Row],[Rank]],Stammdaten[[Rank Verteilung Krümmung]:[Verteilung Krümmung]],2,FALSE)</f>
        <v>#N/A</v>
      </c>
      <c r="Z1692">
        <v>1683</v>
      </c>
      <c r="AA1692" t="e">
        <f>INDEX(Stammdaten[Ovalität (']0,1'])],MATCH(Tabelle1014[[#This Row],[Rank]],Stammdaten[Rank Verteilung Ovalität],0))</f>
        <v>#N/A</v>
      </c>
      <c r="AB1692" t="e">
        <f>VLOOKUP(Tabelle1014[[#This Row],[Rank]],Stammdaten[[Rank Verteilung Ovalität]:[Verteilung Ovalität]],2,FALSE)</f>
        <v>#N/A</v>
      </c>
    </row>
    <row r="1693" spans="5:28" x14ac:dyDescent="0.35">
      <c r="E1693">
        <v>1684</v>
      </c>
      <c r="F1693" t="e">
        <f>INDEX(Stammdaten[D Mitte mit Rinde (mm)],MATCH(Tabelle8[[#This Row],[Rank]],Stammdaten[Rank Verteilung D Mitte mit Rinde],0))</f>
        <v>#N/A</v>
      </c>
      <c r="G1693" t="e">
        <f>VLOOKUP(Tabelle8[[#This Row],[Rank]],Stammdaten[[Rank Verteilung D Mitte mit Rinde]:[Verteilung D Mitte mit Rinde]],2,FALSE)</f>
        <v>#N/A</v>
      </c>
      <c r="L1693">
        <v>1684</v>
      </c>
      <c r="M1693" t="e">
        <f>INDEX(Stammdaten[Abholzigkeit (mm/lfm)],MATCH(Tabelle9[[#This Row],[Rank]],Stammdaten[Rank Verteilung Abholzigkeit],0))</f>
        <v>#N/A</v>
      </c>
      <c r="N1693" t="e">
        <f>VLOOKUP(Tabelle9[[#This Row],[Rank]],Stammdaten[[Rank Verteilung Abholzigkeit]:[Verteilung Abholzigkeit]],2,FALSE)</f>
        <v>#N/A</v>
      </c>
      <c r="S1693">
        <v>1684</v>
      </c>
      <c r="T1693" t="e">
        <f>INDEX(Stammdaten[Krümmung (mm/lfm)],MATCH(Tabelle10[[#This Row],[Rank]],Stammdaten[Rank Verteilung Krümmung],0))</f>
        <v>#N/A</v>
      </c>
      <c r="U1693" t="e">
        <f>VLOOKUP(Tabelle10[[#This Row],[Rank]],Stammdaten[[Rank Verteilung Krümmung]:[Verteilung Krümmung]],2,FALSE)</f>
        <v>#N/A</v>
      </c>
      <c r="Z1693">
        <v>1684</v>
      </c>
      <c r="AA1693" t="e">
        <f>INDEX(Stammdaten[Ovalität (']0,1'])],MATCH(Tabelle1014[[#This Row],[Rank]],Stammdaten[Rank Verteilung Ovalität],0))</f>
        <v>#N/A</v>
      </c>
      <c r="AB1693" t="e">
        <f>VLOOKUP(Tabelle1014[[#This Row],[Rank]],Stammdaten[[Rank Verteilung Ovalität]:[Verteilung Ovalität]],2,FALSE)</f>
        <v>#N/A</v>
      </c>
    </row>
    <row r="1694" spans="5:28" x14ac:dyDescent="0.35">
      <c r="E1694">
        <v>1685</v>
      </c>
      <c r="F1694" t="e">
        <f>INDEX(Stammdaten[D Mitte mit Rinde (mm)],MATCH(Tabelle8[[#This Row],[Rank]],Stammdaten[Rank Verteilung D Mitte mit Rinde],0))</f>
        <v>#N/A</v>
      </c>
      <c r="G1694" t="e">
        <f>VLOOKUP(Tabelle8[[#This Row],[Rank]],Stammdaten[[Rank Verteilung D Mitte mit Rinde]:[Verteilung D Mitte mit Rinde]],2,FALSE)</f>
        <v>#N/A</v>
      </c>
      <c r="L1694">
        <v>1685</v>
      </c>
      <c r="M1694" t="e">
        <f>INDEX(Stammdaten[Abholzigkeit (mm/lfm)],MATCH(Tabelle9[[#This Row],[Rank]],Stammdaten[Rank Verteilung Abholzigkeit],0))</f>
        <v>#N/A</v>
      </c>
      <c r="N1694" t="e">
        <f>VLOOKUP(Tabelle9[[#This Row],[Rank]],Stammdaten[[Rank Verteilung Abholzigkeit]:[Verteilung Abholzigkeit]],2,FALSE)</f>
        <v>#N/A</v>
      </c>
      <c r="S1694">
        <v>1685</v>
      </c>
      <c r="T1694" t="e">
        <f>INDEX(Stammdaten[Krümmung (mm/lfm)],MATCH(Tabelle10[[#This Row],[Rank]],Stammdaten[Rank Verteilung Krümmung],0))</f>
        <v>#N/A</v>
      </c>
      <c r="U1694" t="e">
        <f>VLOOKUP(Tabelle10[[#This Row],[Rank]],Stammdaten[[Rank Verteilung Krümmung]:[Verteilung Krümmung]],2,FALSE)</f>
        <v>#N/A</v>
      </c>
      <c r="Z1694">
        <v>1685</v>
      </c>
      <c r="AA1694" t="e">
        <f>INDEX(Stammdaten[Ovalität (']0,1'])],MATCH(Tabelle1014[[#This Row],[Rank]],Stammdaten[Rank Verteilung Ovalität],0))</f>
        <v>#N/A</v>
      </c>
      <c r="AB1694" t="e">
        <f>VLOOKUP(Tabelle1014[[#This Row],[Rank]],Stammdaten[[Rank Verteilung Ovalität]:[Verteilung Ovalität]],2,FALSE)</f>
        <v>#N/A</v>
      </c>
    </row>
    <row r="1695" spans="5:28" x14ac:dyDescent="0.35">
      <c r="E1695">
        <v>1686</v>
      </c>
      <c r="F1695" t="e">
        <f>INDEX(Stammdaten[D Mitte mit Rinde (mm)],MATCH(Tabelle8[[#This Row],[Rank]],Stammdaten[Rank Verteilung D Mitte mit Rinde],0))</f>
        <v>#N/A</v>
      </c>
      <c r="G1695" t="e">
        <f>VLOOKUP(Tabelle8[[#This Row],[Rank]],Stammdaten[[Rank Verteilung D Mitte mit Rinde]:[Verteilung D Mitte mit Rinde]],2,FALSE)</f>
        <v>#N/A</v>
      </c>
      <c r="L1695">
        <v>1686</v>
      </c>
      <c r="M1695" t="e">
        <f>INDEX(Stammdaten[Abholzigkeit (mm/lfm)],MATCH(Tabelle9[[#This Row],[Rank]],Stammdaten[Rank Verteilung Abholzigkeit],0))</f>
        <v>#N/A</v>
      </c>
      <c r="N1695" t="e">
        <f>VLOOKUP(Tabelle9[[#This Row],[Rank]],Stammdaten[[Rank Verteilung Abholzigkeit]:[Verteilung Abholzigkeit]],2,FALSE)</f>
        <v>#N/A</v>
      </c>
      <c r="S1695">
        <v>1686</v>
      </c>
      <c r="T1695" t="e">
        <f>INDEX(Stammdaten[Krümmung (mm/lfm)],MATCH(Tabelle10[[#This Row],[Rank]],Stammdaten[Rank Verteilung Krümmung],0))</f>
        <v>#N/A</v>
      </c>
      <c r="U1695" t="e">
        <f>VLOOKUP(Tabelle10[[#This Row],[Rank]],Stammdaten[[Rank Verteilung Krümmung]:[Verteilung Krümmung]],2,FALSE)</f>
        <v>#N/A</v>
      </c>
      <c r="Z1695">
        <v>1686</v>
      </c>
      <c r="AA1695" t="e">
        <f>INDEX(Stammdaten[Ovalität (']0,1'])],MATCH(Tabelle1014[[#This Row],[Rank]],Stammdaten[Rank Verteilung Ovalität],0))</f>
        <v>#N/A</v>
      </c>
      <c r="AB1695" t="e">
        <f>VLOOKUP(Tabelle1014[[#This Row],[Rank]],Stammdaten[[Rank Verteilung Ovalität]:[Verteilung Ovalität]],2,FALSE)</f>
        <v>#N/A</v>
      </c>
    </row>
    <row r="1696" spans="5:28" x14ac:dyDescent="0.35">
      <c r="E1696">
        <v>1687</v>
      </c>
      <c r="F1696" t="e">
        <f>INDEX(Stammdaten[D Mitte mit Rinde (mm)],MATCH(Tabelle8[[#This Row],[Rank]],Stammdaten[Rank Verteilung D Mitte mit Rinde],0))</f>
        <v>#N/A</v>
      </c>
      <c r="G1696" t="e">
        <f>VLOOKUP(Tabelle8[[#This Row],[Rank]],Stammdaten[[Rank Verteilung D Mitte mit Rinde]:[Verteilung D Mitte mit Rinde]],2,FALSE)</f>
        <v>#N/A</v>
      </c>
      <c r="L1696">
        <v>1687</v>
      </c>
      <c r="M1696" t="e">
        <f>INDEX(Stammdaten[Abholzigkeit (mm/lfm)],MATCH(Tabelle9[[#This Row],[Rank]],Stammdaten[Rank Verteilung Abholzigkeit],0))</f>
        <v>#N/A</v>
      </c>
      <c r="N1696" t="e">
        <f>VLOOKUP(Tabelle9[[#This Row],[Rank]],Stammdaten[[Rank Verteilung Abholzigkeit]:[Verteilung Abholzigkeit]],2,FALSE)</f>
        <v>#N/A</v>
      </c>
      <c r="S1696">
        <v>1687</v>
      </c>
      <c r="T1696" t="e">
        <f>INDEX(Stammdaten[Krümmung (mm/lfm)],MATCH(Tabelle10[[#This Row],[Rank]],Stammdaten[Rank Verteilung Krümmung],0))</f>
        <v>#N/A</v>
      </c>
      <c r="U1696" t="e">
        <f>VLOOKUP(Tabelle10[[#This Row],[Rank]],Stammdaten[[Rank Verteilung Krümmung]:[Verteilung Krümmung]],2,FALSE)</f>
        <v>#N/A</v>
      </c>
      <c r="Z1696">
        <v>1687</v>
      </c>
      <c r="AA1696" t="e">
        <f>INDEX(Stammdaten[Ovalität (']0,1'])],MATCH(Tabelle1014[[#This Row],[Rank]],Stammdaten[Rank Verteilung Ovalität],0))</f>
        <v>#N/A</v>
      </c>
      <c r="AB1696" t="e">
        <f>VLOOKUP(Tabelle1014[[#This Row],[Rank]],Stammdaten[[Rank Verteilung Ovalität]:[Verteilung Ovalität]],2,FALSE)</f>
        <v>#N/A</v>
      </c>
    </row>
    <row r="1697" spans="5:28" x14ac:dyDescent="0.35">
      <c r="E1697">
        <v>1688</v>
      </c>
      <c r="F1697" t="e">
        <f>INDEX(Stammdaten[D Mitte mit Rinde (mm)],MATCH(Tabelle8[[#This Row],[Rank]],Stammdaten[Rank Verteilung D Mitte mit Rinde],0))</f>
        <v>#N/A</v>
      </c>
      <c r="G1697" t="e">
        <f>VLOOKUP(Tabelle8[[#This Row],[Rank]],Stammdaten[[Rank Verteilung D Mitte mit Rinde]:[Verteilung D Mitte mit Rinde]],2,FALSE)</f>
        <v>#N/A</v>
      </c>
      <c r="L1697">
        <v>1688</v>
      </c>
      <c r="M1697" t="e">
        <f>INDEX(Stammdaten[Abholzigkeit (mm/lfm)],MATCH(Tabelle9[[#This Row],[Rank]],Stammdaten[Rank Verteilung Abholzigkeit],0))</f>
        <v>#N/A</v>
      </c>
      <c r="N1697" t="e">
        <f>VLOOKUP(Tabelle9[[#This Row],[Rank]],Stammdaten[[Rank Verteilung Abholzigkeit]:[Verteilung Abholzigkeit]],2,FALSE)</f>
        <v>#N/A</v>
      </c>
      <c r="S1697">
        <v>1688</v>
      </c>
      <c r="T1697" t="e">
        <f>INDEX(Stammdaten[Krümmung (mm/lfm)],MATCH(Tabelle10[[#This Row],[Rank]],Stammdaten[Rank Verteilung Krümmung],0))</f>
        <v>#N/A</v>
      </c>
      <c r="U1697" t="e">
        <f>VLOOKUP(Tabelle10[[#This Row],[Rank]],Stammdaten[[Rank Verteilung Krümmung]:[Verteilung Krümmung]],2,FALSE)</f>
        <v>#N/A</v>
      </c>
      <c r="Z1697">
        <v>1688</v>
      </c>
      <c r="AA1697" t="e">
        <f>INDEX(Stammdaten[Ovalität (']0,1'])],MATCH(Tabelle1014[[#This Row],[Rank]],Stammdaten[Rank Verteilung Ovalität],0))</f>
        <v>#N/A</v>
      </c>
      <c r="AB1697" t="e">
        <f>VLOOKUP(Tabelle1014[[#This Row],[Rank]],Stammdaten[[Rank Verteilung Ovalität]:[Verteilung Ovalität]],2,FALSE)</f>
        <v>#N/A</v>
      </c>
    </row>
    <row r="1698" spans="5:28" x14ac:dyDescent="0.35">
      <c r="E1698">
        <v>1689</v>
      </c>
      <c r="F1698" t="e">
        <f>INDEX(Stammdaten[D Mitte mit Rinde (mm)],MATCH(Tabelle8[[#This Row],[Rank]],Stammdaten[Rank Verteilung D Mitte mit Rinde],0))</f>
        <v>#N/A</v>
      </c>
      <c r="G1698" t="e">
        <f>VLOOKUP(Tabelle8[[#This Row],[Rank]],Stammdaten[[Rank Verteilung D Mitte mit Rinde]:[Verteilung D Mitte mit Rinde]],2,FALSE)</f>
        <v>#N/A</v>
      </c>
      <c r="L1698">
        <v>1689</v>
      </c>
      <c r="M1698" t="e">
        <f>INDEX(Stammdaten[Abholzigkeit (mm/lfm)],MATCH(Tabelle9[[#This Row],[Rank]],Stammdaten[Rank Verteilung Abholzigkeit],0))</f>
        <v>#N/A</v>
      </c>
      <c r="N1698" t="e">
        <f>VLOOKUP(Tabelle9[[#This Row],[Rank]],Stammdaten[[Rank Verteilung Abholzigkeit]:[Verteilung Abholzigkeit]],2,FALSE)</f>
        <v>#N/A</v>
      </c>
      <c r="S1698">
        <v>1689</v>
      </c>
      <c r="T1698" t="e">
        <f>INDEX(Stammdaten[Krümmung (mm/lfm)],MATCH(Tabelle10[[#This Row],[Rank]],Stammdaten[Rank Verteilung Krümmung],0))</f>
        <v>#N/A</v>
      </c>
      <c r="U1698" t="e">
        <f>VLOOKUP(Tabelle10[[#This Row],[Rank]],Stammdaten[[Rank Verteilung Krümmung]:[Verteilung Krümmung]],2,FALSE)</f>
        <v>#N/A</v>
      </c>
      <c r="Z1698">
        <v>1689</v>
      </c>
      <c r="AA1698" t="e">
        <f>INDEX(Stammdaten[Ovalität (']0,1'])],MATCH(Tabelle1014[[#This Row],[Rank]],Stammdaten[Rank Verteilung Ovalität],0))</f>
        <v>#N/A</v>
      </c>
      <c r="AB1698" t="e">
        <f>VLOOKUP(Tabelle1014[[#This Row],[Rank]],Stammdaten[[Rank Verteilung Ovalität]:[Verteilung Ovalität]],2,FALSE)</f>
        <v>#N/A</v>
      </c>
    </row>
    <row r="1699" spans="5:28" x14ac:dyDescent="0.35">
      <c r="E1699">
        <v>1690</v>
      </c>
      <c r="F1699" t="e">
        <f>INDEX(Stammdaten[D Mitte mit Rinde (mm)],MATCH(Tabelle8[[#This Row],[Rank]],Stammdaten[Rank Verteilung D Mitte mit Rinde],0))</f>
        <v>#N/A</v>
      </c>
      <c r="G1699" t="e">
        <f>VLOOKUP(Tabelle8[[#This Row],[Rank]],Stammdaten[[Rank Verteilung D Mitte mit Rinde]:[Verteilung D Mitte mit Rinde]],2,FALSE)</f>
        <v>#N/A</v>
      </c>
      <c r="L1699">
        <v>1690</v>
      </c>
      <c r="M1699" t="e">
        <f>INDEX(Stammdaten[Abholzigkeit (mm/lfm)],MATCH(Tabelle9[[#This Row],[Rank]],Stammdaten[Rank Verteilung Abholzigkeit],0))</f>
        <v>#N/A</v>
      </c>
      <c r="N1699" t="e">
        <f>VLOOKUP(Tabelle9[[#This Row],[Rank]],Stammdaten[[Rank Verteilung Abholzigkeit]:[Verteilung Abholzigkeit]],2,FALSE)</f>
        <v>#N/A</v>
      </c>
      <c r="S1699">
        <v>1690</v>
      </c>
      <c r="T1699" t="e">
        <f>INDEX(Stammdaten[Krümmung (mm/lfm)],MATCH(Tabelle10[[#This Row],[Rank]],Stammdaten[Rank Verteilung Krümmung],0))</f>
        <v>#N/A</v>
      </c>
      <c r="U1699" t="e">
        <f>VLOOKUP(Tabelle10[[#This Row],[Rank]],Stammdaten[[Rank Verteilung Krümmung]:[Verteilung Krümmung]],2,FALSE)</f>
        <v>#N/A</v>
      </c>
      <c r="Z1699">
        <v>1690</v>
      </c>
      <c r="AA1699" t="e">
        <f>INDEX(Stammdaten[Ovalität (']0,1'])],MATCH(Tabelle1014[[#This Row],[Rank]],Stammdaten[Rank Verteilung Ovalität],0))</f>
        <v>#N/A</v>
      </c>
      <c r="AB1699" t="e">
        <f>VLOOKUP(Tabelle1014[[#This Row],[Rank]],Stammdaten[[Rank Verteilung Ovalität]:[Verteilung Ovalität]],2,FALSE)</f>
        <v>#N/A</v>
      </c>
    </row>
    <row r="1700" spans="5:28" x14ac:dyDescent="0.35">
      <c r="E1700">
        <v>1691</v>
      </c>
      <c r="F1700" t="e">
        <f>INDEX(Stammdaten[D Mitte mit Rinde (mm)],MATCH(Tabelle8[[#This Row],[Rank]],Stammdaten[Rank Verteilung D Mitte mit Rinde],0))</f>
        <v>#N/A</v>
      </c>
      <c r="G1700" t="e">
        <f>VLOOKUP(Tabelle8[[#This Row],[Rank]],Stammdaten[[Rank Verteilung D Mitte mit Rinde]:[Verteilung D Mitte mit Rinde]],2,FALSE)</f>
        <v>#N/A</v>
      </c>
      <c r="L1700">
        <v>1691</v>
      </c>
      <c r="M1700" t="e">
        <f>INDEX(Stammdaten[Abholzigkeit (mm/lfm)],MATCH(Tabelle9[[#This Row],[Rank]],Stammdaten[Rank Verteilung Abholzigkeit],0))</f>
        <v>#N/A</v>
      </c>
      <c r="N1700" t="e">
        <f>VLOOKUP(Tabelle9[[#This Row],[Rank]],Stammdaten[[Rank Verteilung Abholzigkeit]:[Verteilung Abholzigkeit]],2,FALSE)</f>
        <v>#N/A</v>
      </c>
      <c r="S1700">
        <v>1691</v>
      </c>
      <c r="T1700" t="e">
        <f>INDEX(Stammdaten[Krümmung (mm/lfm)],MATCH(Tabelle10[[#This Row],[Rank]],Stammdaten[Rank Verteilung Krümmung],0))</f>
        <v>#N/A</v>
      </c>
      <c r="U1700" t="e">
        <f>VLOOKUP(Tabelle10[[#This Row],[Rank]],Stammdaten[[Rank Verteilung Krümmung]:[Verteilung Krümmung]],2,FALSE)</f>
        <v>#N/A</v>
      </c>
      <c r="Z1700">
        <v>1691</v>
      </c>
      <c r="AA1700" t="e">
        <f>INDEX(Stammdaten[Ovalität (']0,1'])],MATCH(Tabelle1014[[#This Row],[Rank]],Stammdaten[Rank Verteilung Ovalität],0))</f>
        <v>#N/A</v>
      </c>
      <c r="AB1700" t="e">
        <f>VLOOKUP(Tabelle1014[[#This Row],[Rank]],Stammdaten[[Rank Verteilung Ovalität]:[Verteilung Ovalität]],2,FALSE)</f>
        <v>#N/A</v>
      </c>
    </row>
    <row r="1701" spans="5:28" x14ac:dyDescent="0.35">
      <c r="E1701">
        <v>1692</v>
      </c>
      <c r="F1701" t="e">
        <f>INDEX(Stammdaten[D Mitte mit Rinde (mm)],MATCH(Tabelle8[[#This Row],[Rank]],Stammdaten[Rank Verteilung D Mitte mit Rinde],0))</f>
        <v>#N/A</v>
      </c>
      <c r="G1701" t="e">
        <f>VLOOKUP(Tabelle8[[#This Row],[Rank]],Stammdaten[[Rank Verteilung D Mitte mit Rinde]:[Verteilung D Mitte mit Rinde]],2,FALSE)</f>
        <v>#N/A</v>
      </c>
      <c r="L1701">
        <v>1692</v>
      </c>
      <c r="M1701" t="e">
        <f>INDEX(Stammdaten[Abholzigkeit (mm/lfm)],MATCH(Tabelle9[[#This Row],[Rank]],Stammdaten[Rank Verteilung Abholzigkeit],0))</f>
        <v>#N/A</v>
      </c>
      <c r="N1701" t="e">
        <f>VLOOKUP(Tabelle9[[#This Row],[Rank]],Stammdaten[[Rank Verteilung Abholzigkeit]:[Verteilung Abholzigkeit]],2,FALSE)</f>
        <v>#N/A</v>
      </c>
      <c r="S1701">
        <v>1692</v>
      </c>
      <c r="T1701" t="e">
        <f>INDEX(Stammdaten[Krümmung (mm/lfm)],MATCH(Tabelle10[[#This Row],[Rank]],Stammdaten[Rank Verteilung Krümmung],0))</f>
        <v>#N/A</v>
      </c>
      <c r="U1701" t="e">
        <f>VLOOKUP(Tabelle10[[#This Row],[Rank]],Stammdaten[[Rank Verteilung Krümmung]:[Verteilung Krümmung]],2,FALSE)</f>
        <v>#N/A</v>
      </c>
      <c r="Z1701">
        <v>1692</v>
      </c>
      <c r="AA1701" t="e">
        <f>INDEX(Stammdaten[Ovalität (']0,1'])],MATCH(Tabelle1014[[#This Row],[Rank]],Stammdaten[Rank Verteilung Ovalität],0))</f>
        <v>#N/A</v>
      </c>
      <c r="AB1701" t="e">
        <f>VLOOKUP(Tabelle1014[[#This Row],[Rank]],Stammdaten[[Rank Verteilung Ovalität]:[Verteilung Ovalität]],2,FALSE)</f>
        <v>#N/A</v>
      </c>
    </row>
    <row r="1702" spans="5:28" x14ac:dyDescent="0.35">
      <c r="E1702">
        <v>1693</v>
      </c>
      <c r="F1702" t="e">
        <f>INDEX(Stammdaten[D Mitte mit Rinde (mm)],MATCH(Tabelle8[[#This Row],[Rank]],Stammdaten[Rank Verteilung D Mitte mit Rinde],0))</f>
        <v>#N/A</v>
      </c>
      <c r="G1702" t="e">
        <f>VLOOKUP(Tabelle8[[#This Row],[Rank]],Stammdaten[[Rank Verteilung D Mitte mit Rinde]:[Verteilung D Mitte mit Rinde]],2,FALSE)</f>
        <v>#N/A</v>
      </c>
      <c r="L1702">
        <v>1693</v>
      </c>
      <c r="M1702" t="e">
        <f>INDEX(Stammdaten[Abholzigkeit (mm/lfm)],MATCH(Tabelle9[[#This Row],[Rank]],Stammdaten[Rank Verteilung Abholzigkeit],0))</f>
        <v>#N/A</v>
      </c>
      <c r="N1702" t="e">
        <f>VLOOKUP(Tabelle9[[#This Row],[Rank]],Stammdaten[[Rank Verteilung Abholzigkeit]:[Verteilung Abholzigkeit]],2,FALSE)</f>
        <v>#N/A</v>
      </c>
      <c r="S1702">
        <v>1693</v>
      </c>
      <c r="T1702" t="e">
        <f>INDEX(Stammdaten[Krümmung (mm/lfm)],MATCH(Tabelle10[[#This Row],[Rank]],Stammdaten[Rank Verteilung Krümmung],0))</f>
        <v>#N/A</v>
      </c>
      <c r="U1702" t="e">
        <f>VLOOKUP(Tabelle10[[#This Row],[Rank]],Stammdaten[[Rank Verteilung Krümmung]:[Verteilung Krümmung]],2,FALSE)</f>
        <v>#N/A</v>
      </c>
      <c r="Z1702">
        <v>1693</v>
      </c>
      <c r="AA1702" t="e">
        <f>INDEX(Stammdaten[Ovalität (']0,1'])],MATCH(Tabelle1014[[#This Row],[Rank]],Stammdaten[Rank Verteilung Ovalität],0))</f>
        <v>#N/A</v>
      </c>
      <c r="AB1702" t="e">
        <f>VLOOKUP(Tabelle1014[[#This Row],[Rank]],Stammdaten[[Rank Verteilung Ovalität]:[Verteilung Ovalität]],2,FALSE)</f>
        <v>#N/A</v>
      </c>
    </row>
    <row r="1703" spans="5:28" x14ac:dyDescent="0.35">
      <c r="E1703">
        <v>1694</v>
      </c>
      <c r="F1703" t="e">
        <f>INDEX(Stammdaten[D Mitte mit Rinde (mm)],MATCH(Tabelle8[[#This Row],[Rank]],Stammdaten[Rank Verteilung D Mitte mit Rinde],0))</f>
        <v>#N/A</v>
      </c>
      <c r="G1703" t="e">
        <f>VLOOKUP(Tabelle8[[#This Row],[Rank]],Stammdaten[[Rank Verteilung D Mitte mit Rinde]:[Verteilung D Mitte mit Rinde]],2,FALSE)</f>
        <v>#N/A</v>
      </c>
      <c r="L1703">
        <v>1694</v>
      </c>
      <c r="M1703" t="e">
        <f>INDEX(Stammdaten[Abholzigkeit (mm/lfm)],MATCH(Tabelle9[[#This Row],[Rank]],Stammdaten[Rank Verteilung Abholzigkeit],0))</f>
        <v>#N/A</v>
      </c>
      <c r="N1703" t="e">
        <f>VLOOKUP(Tabelle9[[#This Row],[Rank]],Stammdaten[[Rank Verteilung Abholzigkeit]:[Verteilung Abholzigkeit]],2,FALSE)</f>
        <v>#N/A</v>
      </c>
      <c r="S1703">
        <v>1694</v>
      </c>
      <c r="T1703" t="e">
        <f>INDEX(Stammdaten[Krümmung (mm/lfm)],MATCH(Tabelle10[[#This Row],[Rank]],Stammdaten[Rank Verteilung Krümmung],0))</f>
        <v>#N/A</v>
      </c>
      <c r="U1703" t="e">
        <f>VLOOKUP(Tabelle10[[#This Row],[Rank]],Stammdaten[[Rank Verteilung Krümmung]:[Verteilung Krümmung]],2,FALSE)</f>
        <v>#N/A</v>
      </c>
      <c r="Z1703">
        <v>1694</v>
      </c>
      <c r="AA1703" t="e">
        <f>INDEX(Stammdaten[Ovalität (']0,1'])],MATCH(Tabelle1014[[#This Row],[Rank]],Stammdaten[Rank Verteilung Ovalität],0))</f>
        <v>#N/A</v>
      </c>
      <c r="AB1703" t="e">
        <f>VLOOKUP(Tabelle1014[[#This Row],[Rank]],Stammdaten[[Rank Verteilung Ovalität]:[Verteilung Ovalität]],2,FALSE)</f>
        <v>#N/A</v>
      </c>
    </row>
    <row r="1704" spans="5:28" x14ac:dyDescent="0.35">
      <c r="E1704">
        <v>1695</v>
      </c>
      <c r="F1704" t="e">
        <f>INDEX(Stammdaten[D Mitte mit Rinde (mm)],MATCH(Tabelle8[[#This Row],[Rank]],Stammdaten[Rank Verteilung D Mitte mit Rinde],0))</f>
        <v>#N/A</v>
      </c>
      <c r="G1704" t="e">
        <f>VLOOKUP(Tabelle8[[#This Row],[Rank]],Stammdaten[[Rank Verteilung D Mitte mit Rinde]:[Verteilung D Mitte mit Rinde]],2,FALSE)</f>
        <v>#N/A</v>
      </c>
      <c r="L1704">
        <v>1695</v>
      </c>
      <c r="M1704" t="e">
        <f>INDEX(Stammdaten[Abholzigkeit (mm/lfm)],MATCH(Tabelle9[[#This Row],[Rank]],Stammdaten[Rank Verteilung Abholzigkeit],0))</f>
        <v>#N/A</v>
      </c>
      <c r="N1704" t="e">
        <f>VLOOKUP(Tabelle9[[#This Row],[Rank]],Stammdaten[[Rank Verteilung Abholzigkeit]:[Verteilung Abholzigkeit]],2,FALSE)</f>
        <v>#N/A</v>
      </c>
      <c r="S1704">
        <v>1695</v>
      </c>
      <c r="T1704" t="e">
        <f>INDEX(Stammdaten[Krümmung (mm/lfm)],MATCH(Tabelle10[[#This Row],[Rank]],Stammdaten[Rank Verteilung Krümmung],0))</f>
        <v>#N/A</v>
      </c>
      <c r="U1704" t="e">
        <f>VLOOKUP(Tabelle10[[#This Row],[Rank]],Stammdaten[[Rank Verteilung Krümmung]:[Verteilung Krümmung]],2,FALSE)</f>
        <v>#N/A</v>
      </c>
      <c r="Z1704">
        <v>1695</v>
      </c>
      <c r="AA1704" t="e">
        <f>INDEX(Stammdaten[Ovalität (']0,1'])],MATCH(Tabelle1014[[#This Row],[Rank]],Stammdaten[Rank Verteilung Ovalität],0))</f>
        <v>#N/A</v>
      </c>
      <c r="AB1704" t="e">
        <f>VLOOKUP(Tabelle1014[[#This Row],[Rank]],Stammdaten[[Rank Verteilung Ovalität]:[Verteilung Ovalität]],2,FALSE)</f>
        <v>#N/A</v>
      </c>
    </row>
    <row r="1705" spans="5:28" x14ac:dyDescent="0.35">
      <c r="E1705">
        <v>1696</v>
      </c>
      <c r="F1705" t="e">
        <f>INDEX(Stammdaten[D Mitte mit Rinde (mm)],MATCH(Tabelle8[[#This Row],[Rank]],Stammdaten[Rank Verteilung D Mitte mit Rinde],0))</f>
        <v>#N/A</v>
      </c>
      <c r="G1705" t="e">
        <f>VLOOKUP(Tabelle8[[#This Row],[Rank]],Stammdaten[[Rank Verteilung D Mitte mit Rinde]:[Verteilung D Mitte mit Rinde]],2,FALSE)</f>
        <v>#N/A</v>
      </c>
      <c r="L1705">
        <v>1696</v>
      </c>
      <c r="M1705" t="e">
        <f>INDEX(Stammdaten[Abholzigkeit (mm/lfm)],MATCH(Tabelle9[[#This Row],[Rank]],Stammdaten[Rank Verteilung Abholzigkeit],0))</f>
        <v>#N/A</v>
      </c>
      <c r="N1705" t="e">
        <f>VLOOKUP(Tabelle9[[#This Row],[Rank]],Stammdaten[[Rank Verteilung Abholzigkeit]:[Verteilung Abholzigkeit]],2,FALSE)</f>
        <v>#N/A</v>
      </c>
      <c r="S1705">
        <v>1696</v>
      </c>
      <c r="T1705" t="e">
        <f>INDEX(Stammdaten[Krümmung (mm/lfm)],MATCH(Tabelle10[[#This Row],[Rank]],Stammdaten[Rank Verteilung Krümmung],0))</f>
        <v>#N/A</v>
      </c>
      <c r="U1705" t="e">
        <f>VLOOKUP(Tabelle10[[#This Row],[Rank]],Stammdaten[[Rank Verteilung Krümmung]:[Verteilung Krümmung]],2,FALSE)</f>
        <v>#N/A</v>
      </c>
      <c r="Z1705">
        <v>1696</v>
      </c>
      <c r="AA1705" t="e">
        <f>INDEX(Stammdaten[Ovalität (']0,1'])],MATCH(Tabelle1014[[#This Row],[Rank]],Stammdaten[Rank Verteilung Ovalität],0))</f>
        <v>#N/A</v>
      </c>
      <c r="AB1705" t="e">
        <f>VLOOKUP(Tabelle1014[[#This Row],[Rank]],Stammdaten[[Rank Verteilung Ovalität]:[Verteilung Ovalität]],2,FALSE)</f>
        <v>#N/A</v>
      </c>
    </row>
    <row r="1706" spans="5:28" x14ac:dyDescent="0.35">
      <c r="E1706">
        <v>1697</v>
      </c>
      <c r="F1706" t="e">
        <f>INDEX(Stammdaten[D Mitte mit Rinde (mm)],MATCH(Tabelle8[[#This Row],[Rank]],Stammdaten[Rank Verteilung D Mitte mit Rinde],0))</f>
        <v>#N/A</v>
      </c>
      <c r="G1706" t="e">
        <f>VLOOKUP(Tabelle8[[#This Row],[Rank]],Stammdaten[[Rank Verteilung D Mitte mit Rinde]:[Verteilung D Mitte mit Rinde]],2,FALSE)</f>
        <v>#N/A</v>
      </c>
      <c r="L1706">
        <v>1697</v>
      </c>
      <c r="M1706" t="e">
        <f>INDEX(Stammdaten[Abholzigkeit (mm/lfm)],MATCH(Tabelle9[[#This Row],[Rank]],Stammdaten[Rank Verteilung Abholzigkeit],0))</f>
        <v>#N/A</v>
      </c>
      <c r="N1706" t="e">
        <f>VLOOKUP(Tabelle9[[#This Row],[Rank]],Stammdaten[[Rank Verteilung Abholzigkeit]:[Verteilung Abholzigkeit]],2,FALSE)</f>
        <v>#N/A</v>
      </c>
      <c r="S1706">
        <v>1697</v>
      </c>
      <c r="T1706" t="e">
        <f>INDEX(Stammdaten[Krümmung (mm/lfm)],MATCH(Tabelle10[[#This Row],[Rank]],Stammdaten[Rank Verteilung Krümmung],0))</f>
        <v>#N/A</v>
      </c>
      <c r="U1706" t="e">
        <f>VLOOKUP(Tabelle10[[#This Row],[Rank]],Stammdaten[[Rank Verteilung Krümmung]:[Verteilung Krümmung]],2,FALSE)</f>
        <v>#N/A</v>
      </c>
      <c r="Z1706">
        <v>1697</v>
      </c>
      <c r="AA1706" t="e">
        <f>INDEX(Stammdaten[Ovalität (']0,1'])],MATCH(Tabelle1014[[#This Row],[Rank]],Stammdaten[Rank Verteilung Ovalität],0))</f>
        <v>#N/A</v>
      </c>
      <c r="AB1706" t="e">
        <f>VLOOKUP(Tabelle1014[[#This Row],[Rank]],Stammdaten[[Rank Verteilung Ovalität]:[Verteilung Ovalität]],2,FALSE)</f>
        <v>#N/A</v>
      </c>
    </row>
    <row r="1707" spans="5:28" x14ac:dyDescent="0.35">
      <c r="E1707">
        <v>1698</v>
      </c>
      <c r="F1707" t="e">
        <f>INDEX(Stammdaten[D Mitte mit Rinde (mm)],MATCH(Tabelle8[[#This Row],[Rank]],Stammdaten[Rank Verteilung D Mitte mit Rinde],0))</f>
        <v>#N/A</v>
      </c>
      <c r="G1707" t="e">
        <f>VLOOKUP(Tabelle8[[#This Row],[Rank]],Stammdaten[[Rank Verteilung D Mitte mit Rinde]:[Verteilung D Mitte mit Rinde]],2,FALSE)</f>
        <v>#N/A</v>
      </c>
      <c r="L1707">
        <v>1698</v>
      </c>
      <c r="M1707" t="e">
        <f>INDEX(Stammdaten[Abholzigkeit (mm/lfm)],MATCH(Tabelle9[[#This Row],[Rank]],Stammdaten[Rank Verteilung Abholzigkeit],0))</f>
        <v>#N/A</v>
      </c>
      <c r="N1707" t="e">
        <f>VLOOKUP(Tabelle9[[#This Row],[Rank]],Stammdaten[[Rank Verteilung Abholzigkeit]:[Verteilung Abholzigkeit]],2,FALSE)</f>
        <v>#N/A</v>
      </c>
      <c r="S1707">
        <v>1698</v>
      </c>
      <c r="T1707" t="e">
        <f>INDEX(Stammdaten[Krümmung (mm/lfm)],MATCH(Tabelle10[[#This Row],[Rank]],Stammdaten[Rank Verteilung Krümmung],0))</f>
        <v>#N/A</v>
      </c>
      <c r="U1707" t="e">
        <f>VLOOKUP(Tabelle10[[#This Row],[Rank]],Stammdaten[[Rank Verteilung Krümmung]:[Verteilung Krümmung]],2,FALSE)</f>
        <v>#N/A</v>
      </c>
      <c r="Z1707">
        <v>1698</v>
      </c>
      <c r="AA1707" t="e">
        <f>INDEX(Stammdaten[Ovalität (']0,1'])],MATCH(Tabelle1014[[#This Row],[Rank]],Stammdaten[Rank Verteilung Ovalität],0))</f>
        <v>#N/A</v>
      </c>
      <c r="AB1707" t="e">
        <f>VLOOKUP(Tabelle1014[[#This Row],[Rank]],Stammdaten[[Rank Verteilung Ovalität]:[Verteilung Ovalität]],2,FALSE)</f>
        <v>#N/A</v>
      </c>
    </row>
    <row r="1708" spans="5:28" x14ac:dyDescent="0.35">
      <c r="E1708">
        <v>1699</v>
      </c>
      <c r="F1708" t="e">
        <f>INDEX(Stammdaten[D Mitte mit Rinde (mm)],MATCH(Tabelle8[[#This Row],[Rank]],Stammdaten[Rank Verteilung D Mitte mit Rinde],0))</f>
        <v>#N/A</v>
      </c>
      <c r="G1708" t="e">
        <f>VLOOKUP(Tabelle8[[#This Row],[Rank]],Stammdaten[[Rank Verteilung D Mitte mit Rinde]:[Verteilung D Mitte mit Rinde]],2,FALSE)</f>
        <v>#N/A</v>
      </c>
      <c r="L1708">
        <v>1699</v>
      </c>
      <c r="M1708" t="e">
        <f>INDEX(Stammdaten[Abholzigkeit (mm/lfm)],MATCH(Tabelle9[[#This Row],[Rank]],Stammdaten[Rank Verteilung Abholzigkeit],0))</f>
        <v>#N/A</v>
      </c>
      <c r="N1708" t="e">
        <f>VLOOKUP(Tabelle9[[#This Row],[Rank]],Stammdaten[[Rank Verteilung Abholzigkeit]:[Verteilung Abholzigkeit]],2,FALSE)</f>
        <v>#N/A</v>
      </c>
      <c r="S1708">
        <v>1699</v>
      </c>
      <c r="T1708" t="e">
        <f>INDEX(Stammdaten[Krümmung (mm/lfm)],MATCH(Tabelle10[[#This Row],[Rank]],Stammdaten[Rank Verteilung Krümmung],0))</f>
        <v>#N/A</v>
      </c>
      <c r="U1708" t="e">
        <f>VLOOKUP(Tabelle10[[#This Row],[Rank]],Stammdaten[[Rank Verteilung Krümmung]:[Verteilung Krümmung]],2,FALSE)</f>
        <v>#N/A</v>
      </c>
      <c r="Z1708">
        <v>1699</v>
      </c>
      <c r="AA1708" t="e">
        <f>INDEX(Stammdaten[Ovalität (']0,1'])],MATCH(Tabelle1014[[#This Row],[Rank]],Stammdaten[Rank Verteilung Ovalität],0))</f>
        <v>#N/A</v>
      </c>
      <c r="AB1708" t="e">
        <f>VLOOKUP(Tabelle1014[[#This Row],[Rank]],Stammdaten[[Rank Verteilung Ovalität]:[Verteilung Ovalität]],2,FALSE)</f>
        <v>#N/A</v>
      </c>
    </row>
    <row r="1709" spans="5:28" x14ac:dyDescent="0.35">
      <c r="E1709">
        <v>1700</v>
      </c>
      <c r="F1709" t="e">
        <f>INDEX(Stammdaten[D Mitte mit Rinde (mm)],MATCH(Tabelle8[[#This Row],[Rank]],Stammdaten[Rank Verteilung D Mitte mit Rinde],0))</f>
        <v>#N/A</v>
      </c>
      <c r="G1709" t="e">
        <f>VLOOKUP(Tabelle8[[#This Row],[Rank]],Stammdaten[[Rank Verteilung D Mitte mit Rinde]:[Verteilung D Mitte mit Rinde]],2,FALSE)</f>
        <v>#N/A</v>
      </c>
      <c r="L1709">
        <v>1700</v>
      </c>
      <c r="M1709" t="e">
        <f>INDEX(Stammdaten[Abholzigkeit (mm/lfm)],MATCH(Tabelle9[[#This Row],[Rank]],Stammdaten[Rank Verteilung Abholzigkeit],0))</f>
        <v>#N/A</v>
      </c>
      <c r="N1709" t="e">
        <f>VLOOKUP(Tabelle9[[#This Row],[Rank]],Stammdaten[[Rank Verteilung Abholzigkeit]:[Verteilung Abholzigkeit]],2,FALSE)</f>
        <v>#N/A</v>
      </c>
      <c r="S1709">
        <v>1700</v>
      </c>
      <c r="T1709" t="e">
        <f>INDEX(Stammdaten[Krümmung (mm/lfm)],MATCH(Tabelle10[[#This Row],[Rank]],Stammdaten[Rank Verteilung Krümmung],0))</f>
        <v>#N/A</v>
      </c>
      <c r="U1709" t="e">
        <f>VLOOKUP(Tabelle10[[#This Row],[Rank]],Stammdaten[[Rank Verteilung Krümmung]:[Verteilung Krümmung]],2,FALSE)</f>
        <v>#N/A</v>
      </c>
      <c r="Z1709">
        <v>1700</v>
      </c>
      <c r="AA1709" t="e">
        <f>INDEX(Stammdaten[Ovalität (']0,1'])],MATCH(Tabelle1014[[#This Row],[Rank]],Stammdaten[Rank Verteilung Ovalität],0))</f>
        <v>#N/A</v>
      </c>
      <c r="AB1709" t="e">
        <f>VLOOKUP(Tabelle1014[[#This Row],[Rank]],Stammdaten[[Rank Verteilung Ovalität]:[Verteilung Ovalität]],2,FALSE)</f>
        <v>#N/A</v>
      </c>
    </row>
    <row r="1710" spans="5:28" x14ac:dyDescent="0.35">
      <c r="E1710">
        <v>1701</v>
      </c>
      <c r="F1710" t="e">
        <f>INDEX(Stammdaten[D Mitte mit Rinde (mm)],MATCH(Tabelle8[[#This Row],[Rank]],Stammdaten[Rank Verteilung D Mitte mit Rinde],0))</f>
        <v>#N/A</v>
      </c>
      <c r="G1710" t="e">
        <f>VLOOKUP(Tabelle8[[#This Row],[Rank]],Stammdaten[[Rank Verteilung D Mitte mit Rinde]:[Verteilung D Mitte mit Rinde]],2,FALSE)</f>
        <v>#N/A</v>
      </c>
      <c r="L1710">
        <v>1701</v>
      </c>
      <c r="M1710" t="e">
        <f>INDEX(Stammdaten[Abholzigkeit (mm/lfm)],MATCH(Tabelle9[[#This Row],[Rank]],Stammdaten[Rank Verteilung Abholzigkeit],0))</f>
        <v>#N/A</v>
      </c>
      <c r="N1710" t="e">
        <f>VLOOKUP(Tabelle9[[#This Row],[Rank]],Stammdaten[[Rank Verteilung Abholzigkeit]:[Verteilung Abholzigkeit]],2,FALSE)</f>
        <v>#N/A</v>
      </c>
      <c r="S1710">
        <v>1701</v>
      </c>
      <c r="T1710" t="e">
        <f>INDEX(Stammdaten[Krümmung (mm/lfm)],MATCH(Tabelle10[[#This Row],[Rank]],Stammdaten[Rank Verteilung Krümmung],0))</f>
        <v>#N/A</v>
      </c>
      <c r="U1710" t="e">
        <f>VLOOKUP(Tabelle10[[#This Row],[Rank]],Stammdaten[[Rank Verteilung Krümmung]:[Verteilung Krümmung]],2,FALSE)</f>
        <v>#N/A</v>
      </c>
      <c r="Z1710">
        <v>1701</v>
      </c>
      <c r="AA1710" t="e">
        <f>INDEX(Stammdaten[Ovalität (']0,1'])],MATCH(Tabelle1014[[#This Row],[Rank]],Stammdaten[Rank Verteilung Ovalität],0))</f>
        <v>#N/A</v>
      </c>
      <c r="AB1710" t="e">
        <f>VLOOKUP(Tabelle1014[[#This Row],[Rank]],Stammdaten[[Rank Verteilung Ovalität]:[Verteilung Ovalität]],2,FALSE)</f>
        <v>#N/A</v>
      </c>
    </row>
    <row r="1711" spans="5:28" x14ac:dyDescent="0.35">
      <c r="E1711">
        <v>1702</v>
      </c>
      <c r="F1711" t="e">
        <f>INDEX(Stammdaten[D Mitte mit Rinde (mm)],MATCH(Tabelle8[[#This Row],[Rank]],Stammdaten[Rank Verteilung D Mitte mit Rinde],0))</f>
        <v>#N/A</v>
      </c>
      <c r="G1711" t="e">
        <f>VLOOKUP(Tabelle8[[#This Row],[Rank]],Stammdaten[[Rank Verteilung D Mitte mit Rinde]:[Verteilung D Mitte mit Rinde]],2,FALSE)</f>
        <v>#N/A</v>
      </c>
      <c r="L1711">
        <v>1702</v>
      </c>
      <c r="M1711" t="e">
        <f>INDEX(Stammdaten[Abholzigkeit (mm/lfm)],MATCH(Tabelle9[[#This Row],[Rank]],Stammdaten[Rank Verteilung Abholzigkeit],0))</f>
        <v>#N/A</v>
      </c>
      <c r="N1711" t="e">
        <f>VLOOKUP(Tabelle9[[#This Row],[Rank]],Stammdaten[[Rank Verteilung Abholzigkeit]:[Verteilung Abholzigkeit]],2,FALSE)</f>
        <v>#N/A</v>
      </c>
      <c r="S1711">
        <v>1702</v>
      </c>
      <c r="T1711" t="e">
        <f>INDEX(Stammdaten[Krümmung (mm/lfm)],MATCH(Tabelle10[[#This Row],[Rank]],Stammdaten[Rank Verteilung Krümmung],0))</f>
        <v>#N/A</v>
      </c>
      <c r="U1711" t="e">
        <f>VLOOKUP(Tabelle10[[#This Row],[Rank]],Stammdaten[[Rank Verteilung Krümmung]:[Verteilung Krümmung]],2,FALSE)</f>
        <v>#N/A</v>
      </c>
      <c r="Z1711">
        <v>1702</v>
      </c>
      <c r="AA1711" t="e">
        <f>INDEX(Stammdaten[Ovalität (']0,1'])],MATCH(Tabelle1014[[#This Row],[Rank]],Stammdaten[Rank Verteilung Ovalität],0))</f>
        <v>#N/A</v>
      </c>
      <c r="AB1711" t="e">
        <f>VLOOKUP(Tabelle1014[[#This Row],[Rank]],Stammdaten[[Rank Verteilung Ovalität]:[Verteilung Ovalität]],2,FALSE)</f>
        <v>#N/A</v>
      </c>
    </row>
    <row r="1712" spans="5:28" x14ac:dyDescent="0.35">
      <c r="E1712">
        <v>1703</v>
      </c>
      <c r="F1712" t="e">
        <f>INDEX(Stammdaten[D Mitte mit Rinde (mm)],MATCH(Tabelle8[[#This Row],[Rank]],Stammdaten[Rank Verteilung D Mitte mit Rinde],0))</f>
        <v>#N/A</v>
      </c>
      <c r="G1712" t="e">
        <f>VLOOKUP(Tabelle8[[#This Row],[Rank]],Stammdaten[[Rank Verteilung D Mitte mit Rinde]:[Verteilung D Mitte mit Rinde]],2,FALSE)</f>
        <v>#N/A</v>
      </c>
      <c r="L1712">
        <v>1703</v>
      </c>
      <c r="M1712" t="e">
        <f>INDEX(Stammdaten[Abholzigkeit (mm/lfm)],MATCH(Tabelle9[[#This Row],[Rank]],Stammdaten[Rank Verteilung Abholzigkeit],0))</f>
        <v>#N/A</v>
      </c>
      <c r="N1712" t="e">
        <f>VLOOKUP(Tabelle9[[#This Row],[Rank]],Stammdaten[[Rank Verteilung Abholzigkeit]:[Verteilung Abholzigkeit]],2,FALSE)</f>
        <v>#N/A</v>
      </c>
      <c r="S1712">
        <v>1703</v>
      </c>
      <c r="T1712" t="e">
        <f>INDEX(Stammdaten[Krümmung (mm/lfm)],MATCH(Tabelle10[[#This Row],[Rank]],Stammdaten[Rank Verteilung Krümmung],0))</f>
        <v>#N/A</v>
      </c>
      <c r="U1712" t="e">
        <f>VLOOKUP(Tabelle10[[#This Row],[Rank]],Stammdaten[[Rank Verteilung Krümmung]:[Verteilung Krümmung]],2,FALSE)</f>
        <v>#N/A</v>
      </c>
      <c r="Z1712">
        <v>1703</v>
      </c>
      <c r="AA1712" t="e">
        <f>INDEX(Stammdaten[Ovalität (']0,1'])],MATCH(Tabelle1014[[#This Row],[Rank]],Stammdaten[Rank Verteilung Ovalität],0))</f>
        <v>#N/A</v>
      </c>
      <c r="AB1712" t="e">
        <f>VLOOKUP(Tabelle1014[[#This Row],[Rank]],Stammdaten[[Rank Verteilung Ovalität]:[Verteilung Ovalität]],2,FALSE)</f>
        <v>#N/A</v>
      </c>
    </row>
    <row r="1713" spans="5:28" x14ac:dyDescent="0.35">
      <c r="E1713">
        <v>1704</v>
      </c>
      <c r="F1713" t="e">
        <f>INDEX(Stammdaten[D Mitte mit Rinde (mm)],MATCH(Tabelle8[[#This Row],[Rank]],Stammdaten[Rank Verteilung D Mitte mit Rinde],0))</f>
        <v>#N/A</v>
      </c>
      <c r="G1713" t="e">
        <f>VLOOKUP(Tabelle8[[#This Row],[Rank]],Stammdaten[[Rank Verteilung D Mitte mit Rinde]:[Verteilung D Mitte mit Rinde]],2,FALSE)</f>
        <v>#N/A</v>
      </c>
      <c r="L1713">
        <v>1704</v>
      </c>
      <c r="M1713" t="e">
        <f>INDEX(Stammdaten[Abholzigkeit (mm/lfm)],MATCH(Tabelle9[[#This Row],[Rank]],Stammdaten[Rank Verteilung Abholzigkeit],0))</f>
        <v>#N/A</v>
      </c>
      <c r="N1713" t="e">
        <f>VLOOKUP(Tabelle9[[#This Row],[Rank]],Stammdaten[[Rank Verteilung Abholzigkeit]:[Verteilung Abholzigkeit]],2,FALSE)</f>
        <v>#N/A</v>
      </c>
      <c r="S1713">
        <v>1704</v>
      </c>
      <c r="T1713" t="e">
        <f>INDEX(Stammdaten[Krümmung (mm/lfm)],MATCH(Tabelle10[[#This Row],[Rank]],Stammdaten[Rank Verteilung Krümmung],0))</f>
        <v>#N/A</v>
      </c>
      <c r="U1713" t="e">
        <f>VLOOKUP(Tabelle10[[#This Row],[Rank]],Stammdaten[[Rank Verteilung Krümmung]:[Verteilung Krümmung]],2,FALSE)</f>
        <v>#N/A</v>
      </c>
      <c r="Z1713">
        <v>1704</v>
      </c>
      <c r="AA1713" t="e">
        <f>INDEX(Stammdaten[Ovalität (']0,1'])],MATCH(Tabelle1014[[#This Row],[Rank]],Stammdaten[Rank Verteilung Ovalität],0))</f>
        <v>#N/A</v>
      </c>
      <c r="AB1713" t="e">
        <f>VLOOKUP(Tabelle1014[[#This Row],[Rank]],Stammdaten[[Rank Verteilung Ovalität]:[Verteilung Ovalität]],2,FALSE)</f>
        <v>#N/A</v>
      </c>
    </row>
    <row r="1714" spans="5:28" x14ac:dyDescent="0.35">
      <c r="E1714">
        <v>1705</v>
      </c>
      <c r="F1714" t="e">
        <f>INDEX(Stammdaten[D Mitte mit Rinde (mm)],MATCH(Tabelle8[[#This Row],[Rank]],Stammdaten[Rank Verteilung D Mitte mit Rinde],0))</f>
        <v>#N/A</v>
      </c>
      <c r="G1714" t="e">
        <f>VLOOKUP(Tabelle8[[#This Row],[Rank]],Stammdaten[[Rank Verteilung D Mitte mit Rinde]:[Verteilung D Mitte mit Rinde]],2,FALSE)</f>
        <v>#N/A</v>
      </c>
      <c r="L1714">
        <v>1705</v>
      </c>
      <c r="M1714" t="e">
        <f>INDEX(Stammdaten[Abholzigkeit (mm/lfm)],MATCH(Tabelle9[[#This Row],[Rank]],Stammdaten[Rank Verteilung Abholzigkeit],0))</f>
        <v>#N/A</v>
      </c>
      <c r="N1714" t="e">
        <f>VLOOKUP(Tabelle9[[#This Row],[Rank]],Stammdaten[[Rank Verteilung Abholzigkeit]:[Verteilung Abholzigkeit]],2,FALSE)</f>
        <v>#N/A</v>
      </c>
      <c r="S1714">
        <v>1705</v>
      </c>
      <c r="T1714" t="e">
        <f>INDEX(Stammdaten[Krümmung (mm/lfm)],MATCH(Tabelle10[[#This Row],[Rank]],Stammdaten[Rank Verteilung Krümmung],0))</f>
        <v>#N/A</v>
      </c>
      <c r="U1714" t="e">
        <f>VLOOKUP(Tabelle10[[#This Row],[Rank]],Stammdaten[[Rank Verteilung Krümmung]:[Verteilung Krümmung]],2,FALSE)</f>
        <v>#N/A</v>
      </c>
      <c r="Z1714">
        <v>1705</v>
      </c>
      <c r="AA1714" t="e">
        <f>INDEX(Stammdaten[Ovalität (']0,1'])],MATCH(Tabelle1014[[#This Row],[Rank]],Stammdaten[Rank Verteilung Ovalität],0))</f>
        <v>#N/A</v>
      </c>
      <c r="AB1714" t="e">
        <f>VLOOKUP(Tabelle1014[[#This Row],[Rank]],Stammdaten[[Rank Verteilung Ovalität]:[Verteilung Ovalität]],2,FALSE)</f>
        <v>#N/A</v>
      </c>
    </row>
    <row r="1715" spans="5:28" x14ac:dyDescent="0.35">
      <c r="E1715">
        <v>1706</v>
      </c>
      <c r="F1715" t="e">
        <f>INDEX(Stammdaten[D Mitte mit Rinde (mm)],MATCH(Tabelle8[[#This Row],[Rank]],Stammdaten[Rank Verteilung D Mitte mit Rinde],0))</f>
        <v>#N/A</v>
      </c>
      <c r="G1715" t="e">
        <f>VLOOKUP(Tabelle8[[#This Row],[Rank]],Stammdaten[[Rank Verteilung D Mitte mit Rinde]:[Verteilung D Mitte mit Rinde]],2,FALSE)</f>
        <v>#N/A</v>
      </c>
      <c r="L1715">
        <v>1706</v>
      </c>
      <c r="M1715" t="e">
        <f>INDEX(Stammdaten[Abholzigkeit (mm/lfm)],MATCH(Tabelle9[[#This Row],[Rank]],Stammdaten[Rank Verteilung Abholzigkeit],0))</f>
        <v>#N/A</v>
      </c>
      <c r="N1715" t="e">
        <f>VLOOKUP(Tabelle9[[#This Row],[Rank]],Stammdaten[[Rank Verteilung Abholzigkeit]:[Verteilung Abholzigkeit]],2,FALSE)</f>
        <v>#N/A</v>
      </c>
      <c r="S1715">
        <v>1706</v>
      </c>
      <c r="T1715" t="e">
        <f>INDEX(Stammdaten[Krümmung (mm/lfm)],MATCH(Tabelle10[[#This Row],[Rank]],Stammdaten[Rank Verteilung Krümmung],0))</f>
        <v>#N/A</v>
      </c>
      <c r="U1715" t="e">
        <f>VLOOKUP(Tabelle10[[#This Row],[Rank]],Stammdaten[[Rank Verteilung Krümmung]:[Verteilung Krümmung]],2,FALSE)</f>
        <v>#N/A</v>
      </c>
      <c r="Z1715">
        <v>1706</v>
      </c>
      <c r="AA1715" t="e">
        <f>INDEX(Stammdaten[Ovalität (']0,1'])],MATCH(Tabelle1014[[#This Row],[Rank]],Stammdaten[Rank Verteilung Ovalität],0))</f>
        <v>#N/A</v>
      </c>
      <c r="AB1715" t="e">
        <f>VLOOKUP(Tabelle1014[[#This Row],[Rank]],Stammdaten[[Rank Verteilung Ovalität]:[Verteilung Ovalität]],2,FALSE)</f>
        <v>#N/A</v>
      </c>
    </row>
    <row r="1716" spans="5:28" x14ac:dyDescent="0.35">
      <c r="E1716">
        <v>1707</v>
      </c>
      <c r="F1716" t="e">
        <f>INDEX(Stammdaten[D Mitte mit Rinde (mm)],MATCH(Tabelle8[[#This Row],[Rank]],Stammdaten[Rank Verteilung D Mitte mit Rinde],0))</f>
        <v>#N/A</v>
      </c>
      <c r="G1716" t="e">
        <f>VLOOKUP(Tabelle8[[#This Row],[Rank]],Stammdaten[[Rank Verteilung D Mitte mit Rinde]:[Verteilung D Mitte mit Rinde]],2,FALSE)</f>
        <v>#N/A</v>
      </c>
      <c r="L1716">
        <v>1707</v>
      </c>
      <c r="M1716" t="e">
        <f>INDEX(Stammdaten[Abholzigkeit (mm/lfm)],MATCH(Tabelle9[[#This Row],[Rank]],Stammdaten[Rank Verteilung Abholzigkeit],0))</f>
        <v>#N/A</v>
      </c>
      <c r="N1716" t="e">
        <f>VLOOKUP(Tabelle9[[#This Row],[Rank]],Stammdaten[[Rank Verteilung Abholzigkeit]:[Verteilung Abholzigkeit]],2,FALSE)</f>
        <v>#N/A</v>
      </c>
      <c r="S1716">
        <v>1707</v>
      </c>
      <c r="T1716" t="e">
        <f>INDEX(Stammdaten[Krümmung (mm/lfm)],MATCH(Tabelle10[[#This Row],[Rank]],Stammdaten[Rank Verteilung Krümmung],0))</f>
        <v>#N/A</v>
      </c>
      <c r="U1716" t="e">
        <f>VLOOKUP(Tabelle10[[#This Row],[Rank]],Stammdaten[[Rank Verteilung Krümmung]:[Verteilung Krümmung]],2,FALSE)</f>
        <v>#N/A</v>
      </c>
      <c r="Z1716">
        <v>1707</v>
      </c>
      <c r="AA1716" t="e">
        <f>INDEX(Stammdaten[Ovalität (']0,1'])],MATCH(Tabelle1014[[#This Row],[Rank]],Stammdaten[Rank Verteilung Ovalität],0))</f>
        <v>#N/A</v>
      </c>
      <c r="AB1716" t="e">
        <f>VLOOKUP(Tabelle1014[[#This Row],[Rank]],Stammdaten[[Rank Verteilung Ovalität]:[Verteilung Ovalität]],2,FALSE)</f>
        <v>#N/A</v>
      </c>
    </row>
    <row r="1717" spans="5:28" x14ac:dyDescent="0.35">
      <c r="E1717">
        <v>1708</v>
      </c>
      <c r="F1717" t="e">
        <f>INDEX(Stammdaten[D Mitte mit Rinde (mm)],MATCH(Tabelle8[[#This Row],[Rank]],Stammdaten[Rank Verteilung D Mitte mit Rinde],0))</f>
        <v>#N/A</v>
      </c>
      <c r="G1717" t="e">
        <f>VLOOKUP(Tabelle8[[#This Row],[Rank]],Stammdaten[[Rank Verteilung D Mitte mit Rinde]:[Verteilung D Mitte mit Rinde]],2,FALSE)</f>
        <v>#N/A</v>
      </c>
      <c r="L1717">
        <v>1708</v>
      </c>
      <c r="M1717" t="e">
        <f>INDEX(Stammdaten[Abholzigkeit (mm/lfm)],MATCH(Tabelle9[[#This Row],[Rank]],Stammdaten[Rank Verteilung Abholzigkeit],0))</f>
        <v>#N/A</v>
      </c>
      <c r="N1717" t="e">
        <f>VLOOKUP(Tabelle9[[#This Row],[Rank]],Stammdaten[[Rank Verteilung Abholzigkeit]:[Verteilung Abholzigkeit]],2,FALSE)</f>
        <v>#N/A</v>
      </c>
      <c r="S1717">
        <v>1708</v>
      </c>
      <c r="T1717" t="e">
        <f>INDEX(Stammdaten[Krümmung (mm/lfm)],MATCH(Tabelle10[[#This Row],[Rank]],Stammdaten[Rank Verteilung Krümmung],0))</f>
        <v>#N/A</v>
      </c>
      <c r="U1717" t="e">
        <f>VLOOKUP(Tabelle10[[#This Row],[Rank]],Stammdaten[[Rank Verteilung Krümmung]:[Verteilung Krümmung]],2,FALSE)</f>
        <v>#N/A</v>
      </c>
      <c r="Z1717">
        <v>1708</v>
      </c>
      <c r="AA1717" t="e">
        <f>INDEX(Stammdaten[Ovalität (']0,1'])],MATCH(Tabelle1014[[#This Row],[Rank]],Stammdaten[Rank Verteilung Ovalität],0))</f>
        <v>#N/A</v>
      </c>
      <c r="AB1717" t="e">
        <f>VLOOKUP(Tabelle1014[[#This Row],[Rank]],Stammdaten[[Rank Verteilung Ovalität]:[Verteilung Ovalität]],2,FALSE)</f>
        <v>#N/A</v>
      </c>
    </row>
    <row r="1718" spans="5:28" x14ac:dyDescent="0.35">
      <c r="E1718">
        <v>1709</v>
      </c>
      <c r="F1718" t="e">
        <f>INDEX(Stammdaten[D Mitte mit Rinde (mm)],MATCH(Tabelle8[[#This Row],[Rank]],Stammdaten[Rank Verteilung D Mitte mit Rinde],0))</f>
        <v>#N/A</v>
      </c>
      <c r="G1718" t="e">
        <f>VLOOKUP(Tabelle8[[#This Row],[Rank]],Stammdaten[[Rank Verteilung D Mitte mit Rinde]:[Verteilung D Mitte mit Rinde]],2,FALSE)</f>
        <v>#N/A</v>
      </c>
      <c r="L1718">
        <v>1709</v>
      </c>
      <c r="M1718" t="e">
        <f>INDEX(Stammdaten[Abholzigkeit (mm/lfm)],MATCH(Tabelle9[[#This Row],[Rank]],Stammdaten[Rank Verteilung Abholzigkeit],0))</f>
        <v>#N/A</v>
      </c>
      <c r="N1718" t="e">
        <f>VLOOKUP(Tabelle9[[#This Row],[Rank]],Stammdaten[[Rank Verteilung Abholzigkeit]:[Verteilung Abholzigkeit]],2,FALSE)</f>
        <v>#N/A</v>
      </c>
      <c r="S1718">
        <v>1709</v>
      </c>
      <c r="T1718" t="e">
        <f>INDEX(Stammdaten[Krümmung (mm/lfm)],MATCH(Tabelle10[[#This Row],[Rank]],Stammdaten[Rank Verteilung Krümmung],0))</f>
        <v>#N/A</v>
      </c>
      <c r="U1718" t="e">
        <f>VLOOKUP(Tabelle10[[#This Row],[Rank]],Stammdaten[[Rank Verteilung Krümmung]:[Verteilung Krümmung]],2,FALSE)</f>
        <v>#N/A</v>
      </c>
      <c r="Z1718">
        <v>1709</v>
      </c>
      <c r="AA1718" t="e">
        <f>INDEX(Stammdaten[Ovalität (']0,1'])],MATCH(Tabelle1014[[#This Row],[Rank]],Stammdaten[Rank Verteilung Ovalität],0))</f>
        <v>#N/A</v>
      </c>
      <c r="AB1718" t="e">
        <f>VLOOKUP(Tabelle1014[[#This Row],[Rank]],Stammdaten[[Rank Verteilung Ovalität]:[Verteilung Ovalität]],2,FALSE)</f>
        <v>#N/A</v>
      </c>
    </row>
    <row r="1719" spans="5:28" x14ac:dyDescent="0.35">
      <c r="E1719">
        <v>1710</v>
      </c>
      <c r="F1719" t="e">
        <f>INDEX(Stammdaten[D Mitte mit Rinde (mm)],MATCH(Tabelle8[[#This Row],[Rank]],Stammdaten[Rank Verteilung D Mitte mit Rinde],0))</f>
        <v>#N/A</v>
      </c>
      <c r="G1719" t="e">
        <f>VLOOKUP(Tabelle8[[#This Row],[Rank]],Stammdaten[[Rank Verteilung D Mitte mit Rinde]:[Verteilung D Mitte mit Rinde]],2,FALSE)</f>
        <v>#N/A</v>
      </c>
      <c r="L1719">
        <v>1710</v>
      </c>
      <c r="M1719" t="e">
        <f>INDEX(Stammdaten[Abholzigkeit (mm/lfm)],MATCH(Tabelle9[[#This Row],[Rank]],Stammdaten[Rank Verteilung Abholzigkeit],0))</f>
        <v>#N/A</v>
      </c>
      <c r="N1719" t="e">
        <f>VLOOKUP(Tabelle9[[#This Row],[Rank]],Stammdaten[[Rank Verteilung Abholzigkeit]:[Verteilung Abholzigkeit]],2,FALSE)</f>
        <v>#N/A</v>
      </c>
      <c r="S1719">
        <v>1710</v>
      </c>
      <c r="T1719" t="e">
        <f>INDEX(Stammdaten[Krümmung (mm/lfm)],MATCH(Tabelle10[[#This Row],[Rank]],Stammdaten[Rank Verteilung Krümmung],0))</f>
        <v>#N/A</v>
      </c>
      <c r="U1719" t="e">
        <f>VLOOKUP(Tabelle10[[#This Row],[Rank]],Stammdaten[[Rank Verteilung Krümmung]:[Verteilung Krümmung]],2,FALSE)</f>
        <v>#N/A</v>
      </c>
      <c r="Z1719">
        <v>1710</v>
      </c>
      <c r="AA1719" t="e">
        <f>INDEX(Stammdaten[Ovalität (']0,1'])],MATCH(Tabelle1014[[#This Row],[Rank]],Stammdaten[Rank Verteilung Ovalität],0))</f>
        <v>#N/A</v>
      </c>
      <c r="AB1719" t="e">
        <f>VLOOKUP(Tabelle1014[[#This Row],[Rank]],Stammdaten[[Rank Verteilung Ovalität]:[Verteilung Ovalität]],2,FALSE)</f>
        <v>#N/A</v>
      </c>
    </row>
    <row r="1720" spans="5:28" x14ac:dyDescent="0.35">
      <c r="E1720">
        <v>1711</v>
      </c>
      <c r="F1720" t="e">
        <f>INDEX(Stammdaten[D Mitte mit Rinde (mm)],MATCH(Tabelle8[[#This Row],[Rank]],Stammdaten[Rank Verteilung D Mitte mit Rinde],0))</f>
        <v>#N/A</v>
      </c>
      <c r="G1720" t="e">
        <f>VLOOKUP(Tabelle8[[#This Row],[Rank]],Stammdaten[[Rank Verteilung D Mitte mit Rinde]:[Verteilung D Mitte mit Rinde]],2,FALSE)</f>
        <v>#N/A</v>
      </c>
      <c r="L1720">
        <v>1711</v>
      </c>
      <c r="M1720" t="e">
        <f>INDEX(Stammdaten[Abholzigkeit (mm/lfm)],MATCH(Tabelle9[[#This Row],[Rank]],Stammdaten[Rank Verteilung Abholzigkeit],0))</f>
        <v>#N/A</v>
      </c>
      <c r="N1720" t="e">
        <f>VLOOKUP(Tabelle9[[#This Row],[Rank]],Stammdaten[[Rank Verteilung Abholzigkeit]:[Verteilung Abholzigkeit]],2,FALSE)</f>
        <v>#N/A</v>
      </c>
      <c r="S1720">
        <v>1711</v>
      </c>
      <c r="T1720" t="e">
        <f>INDEX(Stammdaten[Krümmung (mm/lfm)],MATCH(Tabelle10[[#This Row],[Rank]],Stammdaten[Rank Verteilung Krümmung],0))</f>
        <v>#N/A</v>
      </c>
      <c r="U1720" t="e">
        <f>VLOOKUP(Tabelle10[[#This Row],[Rank]],Stammdaten[[Rank Verteilung Krümmung]:[Verteilung Krümmung]],2,FALSE)</f>
        <v>#N/A</v>
      </c>
      <c r="Z1720">
        <v>1711</v>
      </c>
      <c r="AA1720" t="e">
        <f>INDEX(Stammdaten[Ovalität (']0,1'])],MATCH(Tabelle1014[[#This Row],[Rank]],Stammdaten[Rank Verteilung Ovalität],0))</f>
        <v>#N/A</v>
      </c>
      <c r="AB1720" t="e">
        <f>VLOOKUP(Tabelle1014[[#This Row],[Rank]],Stammdaten[[Rank Verteilung Ovalität]:[Verteilung Ovalität]],2,FALSE)</f>
        <v>#N/A</v>
      </c>
    </row>
    <row r="1721" spans="5:28" x14ac:dyDescent="0.35">
      <c r="E1721">
        <v>1712</v>
      </c>
      <c r="F1721" t="e">
        <f>INDEX(Stammdaten[D Mitte mit Rinde (mm)],MATCH(Tabelle8[[#This Row],[Rank]],Stammdaten[Rank Verteilung D Mitte mit Rinde],0))</f>
        <v>#N/A</v>
      </c>
      <c r="G1721" t="e">
        <f>VLOOKUP(Tabelle8[[#This Row],[Rank]],Stammdaten[[Rank Verteilung D Mitte mit Rinde]:[Verteilung D Mitte mit Rinde]],2,FALSE)</f>
        <v>#N/A</v>
      </c>
      <c r="L1721">
        <v>1712</v>
      </c>
      <c r="M1721" t="e">
        <f>INDEX(Stammdaten[Abholzigkeit (mm/lfm)],MATCH(Tabelle9[[#This Row],[Rank]],Stammdaten[Rank Verteilung Abholzigkeit],0))</f>
        <v>#N/A</v>
      </c>
      <c r="N1721" t="e">
        <f>VLOOKUP(Tabelle9[[#This Row],[Rank]],Stammdaten[[Rank Verteilung Abholzigkeit]:[Verteilung Abholzigkeit]],2,FALSE)</f>
        <v>#N/A</v>
      </c>
      <c r="S1721">
        <v>1712</v>
      </c>
      <c r="T1721" t="e">
        <f>INDEX(Stammdaten[Krümmung (mm/lfm)],MATCH(Tabelle10[[#This Row],[Rank]],Stammdaten[Rank Verteilung Krümmung],0))</f>
        <v>#N/A</v>
      </c>
      <c r="U1721" t="e">
        <f>VLOOKUP(Tabelle10[[#This Row],[Rank]],Stammdaten[[Rank Verteilung Krümmung]:[Verteilung Krümmung]],2,FALSE)</f>
        <v>#N/A</v>
      </c>
      <c r="Z1721">
        <v>1712</v>
      </c>
      <c r="AA1721" t="e">
        <f>INDEX(Stammdaten[Ovalität (']0,1'])],MATCH(Tabelle1014[[#This Row],[Rank]],Stammdaten[Rank Verteilung Ovalität],0))</f>
        <v>#N/A</v>
      </c>
      <c r="AB1721" t="e">
        <f>VLOOKUP(Tabelle1014[[#This Row],[Rank]],Stammdaten[[Rank Verteilung Ovalität]:[Verteilung Ovalität]],2,FALSE)</f>
        <v>#N/A</v>
      </c>
    </row>
    <row r="1722" spans="5:28" x14ac:dyDescent="0.35">
      <c r="E1722">
        <v>1713</v>
      </c>
      <c r="F1722" t="e">
        <f>INDEX(Stammdaten[D Mitte mit Rinde (mm)],MATCH(Tabelle8[[#This Row],[Rank]],Stammdaten[Rank Verteilung D Mitte mit Rinde],0))</f>
        <v>#N/A</v>
      </c>
      <c r="G1722" t="e">
        <f>VLOOKUP(Tabelle8[[#This Row],[Rank]],Stammdaten[[Rank Verteilung D Mitte mit Rinde]:[Verteilung D Mitte mit Rinde]],2,FALSE)</f>
        <v>#N/A</v>
      </c>
      <c r="L1722">
        <v>1713</v>
      </c>
      <c r="M1722" t="e">
        <f>INDEX(Stammdaten[Abholzigkeit (mm/lfm)],MATCH(Tabelle9[[#This Row],[Rank]],Stammdaten[Rank Verteilung Abholzigkeit],0))</f>
        <v>#N/A</v>
      </c>
      <c r="N1722" t="e">
        <f>VLOOKUP(Tabelle9[[#This Row],[Rank]],Stammdaten[[Rank Verteilung Abholzigkeit]:[Verteilung Abholzigkeit]],2,FALSE)</f>
        <v>#N/A</v>
      </c>
      <c r="S1722">
        <v>1713</v>
      </c>
      <c r="T1722" t="e">
        <f>INDEX(Stammdaten[Krümmung (mm/lfm)],MATCH(Tabelle10[[#This Row],[Rank]],Stammdaten[Rank Verteilung Krümmung],0))</f>
        <v>#N/A</v>
      </c>
      <c r="U1722" t="e">
        <f>VLOOKUP(Tabelle10[[#This Row],[Rank]],Stammdaten[[Rank Verteilung Krümmung]:[Verteilung Krümmung]],2,FALSE)</f>
        <v>#N/A</v>
      </c>
      <c r="Z1722">
        <v>1713</v>
      </c>
      <c r="AA1722" t="e">
        <f>INDEX(Stammdaten[Ovalität (']0,1'])],MATCH(Tabelle1014[[#This Row],[Rank]],Stammdaten[Rank Verteilung Ovalität],0))</f>
        <v>#N/A</v>
      </c>
      <c r="AB1722" t="e">
        <f>VLOOKUP(Tabelle1014[[#This Row],[Rank]],Stammdaten[[Rank Verteilung Ovalität]:[Verteilung Ovalität]],2,FALSE)</f>
        <v>#N/A</v>
      </c>
    </row>
    <row r="1723" spans="5:28" x14ac:dyDescent="0.35">
      <c r="E1723">
        <v>1714</v>
      </c>
      <c r="F1723" t="e">
        <f>INDEX(Stammdaten[D Mitte mit Rinde (mm)],MATCH(Tabelle8[[#This Row],[Rank]],Stammdaten[Rank Verteilung D Mitte mit Rinde],0))</f>
        <v>#N/A</v>
      </c>
      <c r="G1723" t="e">
        <f>VLOOKUP(Tabelle8[[#This Row],[Rank]],Stammdaten[[Rank Verteilung D Mitte mit Rinde]:[Verteilung D Mitte mit Rinde]],2,FALSE)</f>
        <v>#N/A</v>
      </c>
      <c r="L1723">
        <v>1714</v>
      </c>
      <c r="M1723" t="e">
        <f>INDEX(Stammdaten[Abholzigkeit (mm/lfm)],MATCH(Tabelle9[[#This Row],[Rank]],Stammdaten[Rank Verteilung Abholzigkeit],0))</f>
        <v>#N/A</v>
      </c>
      <c r="N1723" t="e">
        <f>VLOOKUP(Tabelle9[[#This Row],[Rank]],Stammdaten[[Rank Verteilung Abholzigkeit]:[Verteilung Abholzigkeit]],2,FALSE)</f>
        <v>#N/A</v>
      </c>
      <c r="S1723">
        <v>1714</v>
      </c>
      <c r="T1723" t="e">
        <f>INDEX(Stammdaten[Krümmung (mm/lfm)],MATCH(Tabelle10[[#This Row],[Rank]],Stammdaten[Rank Verteilung Krümmung],0))</f>
        <v>#N/A</v>
      </c>
      <c r="U1723" t="e">
        <f>VLOOKUP(Tabelle10[[#This Row],[Rank]],Stammdaten[[Rank Verteilung Krümmung]:[Verteilung Krümmung]],2,FALSE)</f>
        <v>#N/A</v>
      </c>
      <c r="Z1723">
        <v>1714</v>
      </c>
      <c r="AA1723" t="e">
        <f>INDEX(Stammdaten[Ovalität (']0,1'])],MATCH(Tabelle1014[[#This Row],[Rank]],Stammdaten[Rank Verteilung Ovalität],0))</f>
        <v>#N/A</v>
      </c>
      <c r="AB1723" t="e">
        <f>VLOOKUP(Tabelle1014[[#This Row],[Rank]],Stammdaten[[Rank Verteilung Ovalität]:[Verteilung Ovalität]],2,FALSE)</f>
        <v>#N/A</v>
      </c>
    </row>
    <row r="1724" spans="5:28" x14ac:dyDescent="0.35">
      <c r="E1724">
        <v>1715</v>
      </c>
      <c r="F1724" t="e">
        <f>INDEX(Stammdaten[D Mitte mit Rinde (mm)],MATCH(Tabelle8[[#This Row],[Rank]],Stammdaten[Rank Verteilung D Mitte mit Rinde],0))</f>
        <v>#N/A</v>
      </c>
      <c r="G1724" t="e">
        <f>VLOOKUP(Tabelle8[[#This Row],[Rank]],Stammdaten[[Rank Verteilung D Mitte mit Rinde]:[Verteilung D Mitte mit Rinde]],2,FALSE)</f>
        <v>#N/A</v>
      </c>
      <c r="L1724">
        <v>1715</v>
      </c>
      <c r="M1724" t="e">
        <f>INDEX(Stammdaten[Abholzigkeit (mm/lfm)],MATCH(Tabelle9[[#This Row],[Rank]],Stammdaten[Rank Verteilung Abholzigkeit],0))</f>
        <v>#N/A</v>
      </c>
      <c r="N1724" t="e">
        <f>VLOOKUP(Tabelle9[[#This Row],[Rank]],Stammdaten[[Rank Verteilung Abholzigkeit]:[Verteilung Abholzigkeit]],2,FALSE)</f>
        <v>#N/A</v>
      </c>
      <c r="S1724">
        <v>1715</v>
      </c>
      <c r="T1724" t="e">
        <f>INDEX(Stammdaten[Krümmung (mm/lfm)],MATCH(Tabelle10[[#This Row],[Rank]],Stammdaten[Rank Verteilung Krümmung],0))</f>
        <v>#N/A</v>
      </c>
      <c r="U1724" t="e">
        <f>VLOOKUP(Tabelle10[[#This Row],[Rank]],Stammdaten[[Rank Verteilung Krümmung]:[Verteilung Krümmung]],2,FALSE)</f>
        <v>#N/A</v>
      </c>
      <c r="Z1724">
        <v>1715</v>
      </c>
      <c r="AA1724" t="e">
        <f>INDEX(Stammdaten[Ovalität (']0,1'])],MATCH(Tabelle1014[[#This Row],[Rank]],Stammdaten[Rank Verteilung Ovalität],0))</f>
        <v>#N/A</v>
      </c>
      <c r="AB1724" t="e">
        <f>VLOOKUP(Tabelle1014[[#This Row],[Rank]],Stammdaten[[Rank Verteilung Ovalität]:[Verteilung Ovalität]],2,FALSE)</f>
        <v>#N/A</v>
      </c>
    </row>
    <row r="1725" spans="5:28" x14ac:dyDescent="0.35">
      <c r="E1725">
        <v>1716</v>
      </c>
      <c r="F1725" t="e">
        <f>INDEX(Stammdaten[D Mitte mit Rinde (mm)],MATCH(Tabelle8[[#This Row],[Rank]],Stammdaten[Rank Verteilung D Mitte mit Rinde],0))</f>
        <v>#N/A</v>
      </c>
      <c r="G1725" t="e">
        <f>VLOOKUP(Tabelle8[[#This Row],[Rank]],Stammdaten[[Rank Verteilung D Mitte mit Rinde]:[Verteilung D Mitte mit Rinde]],2,FALSE)</f>
        <v>#N/A</v>
      </c>
      <c r="L1725">
        <v>1716</v>
      </c>
      <c r="M1725" t="e">
        <f>INDEX(Stammdaten[Abholzigkeit (mm/lfm)],MATCH(Tabelle9[[#This Row],[Rank]],Stammdaten[Rank Verteilung Abholzigkeit],0))</f>
        <v>#N/A</v>
      </c>
      <c r="N1725" t="e">
        <f>VLOOKUP(Tabelle9[[#This Row],[Rank]],Stammdaten[[Rank Verteilung Abholzigkeit]:[Verteilung Abholzigkeit]],2,FALSE)</f>
        <v>#N/A</v>
      </c>
      <c r="S1725">
        <v>1716</v>
      </c>
      <c r="T1725" t="e">
        <f>INDEX(Stammdaten[Krümmung (mm/lfm)],MATCH(Tabelle10[[#This Row],[Rank]],Stammdaten[Rank Verteilung Krümmung],0))</f>
        <v>#N/A</v>
      </c>
      <c r="U1725" t="e">
        <f>VLOOKUP(Tabelle10[[#This Row],[Rank]],Stammdaten[[Rank Verteilung Krümmung]:[Verteilung Krümmung]],2,FALSE)</f>
        <v>#N/A</v>
      </c>
      <c r="Z1725">
        <v>1716</v>
      </c>
      <c r="AA1725" t="e">
        <f>INDEX(Stammdaten[Ovalität (']0,1'])],MATCH(Tabelle1014[[#This Row],[Rank]],Stammdaten[Rank Verteilung Ovalität],0))</f>
        <v>#N/A</v>
      </c>
      <c r="AB1725" t="e">
        <f>VLOOKUP(Tabelle1014[[#This Row],[Rank]],Stammdaten[[Rank Verteilung Ovalität]:[Verteilung Ovalität]],2,FALSE)</f>
        <v>#N/A</v>
      </c>
    </row>
    <row r="1726" spans="5:28" x14ac:dyDescent="0.35">
      <c r="E1726">
        <v>1717</v>
      </c>
      <c r="F1726" t="e">
        <f>INDEX(Stammdaten[D Mitte mit Rinde (mm)],MATCH(Tabelle8[[#This Row],[Rank]],Stammdaten[Rank Verteilung D Mitte mit Rinde],0))</f>
        <v>#N/A</v>
      </c>
      <c r="G1726" t="e">
        <f>VLOOKUP(Tabelle8[[#This Row],[Rank]],Stammdaten[[Rank Verteilung D Mitte mit Rinde]:[Verteilung D Mitte mit Rinde]],2,FALSE)</f>
        <v>#N/A</v>
      </c>
      <c r="L1726">
        <v>1717</v>
      </c>
      <c r="M1726" t="e">
        <f>INDEX(Stammdaten[Abholzigkeit (mm/lfm)],MATCH(Tabelle9[[#This Row],[Rank]],Stammdaten[Rank Verteilung Abholzigkeit],0))</f>
        <v>#N/A</v>
      </c>
      <c r="N1726" t="e">
        <f>VLOOKUP(Tabelle9[[#This Row],[Rank]],Stammdaten[[Rank Verteilung Abholzigkeit]:[Verteilung Abholzigkeit]],2,FALSE)</f>
        <v>#N/A</v>
      </c>
      <c r="S1726">
        <v>1717</v>
      </c>
      <c r="T1726" t="e">
        <f>INDEX(Stammdaten[Krümmung (mm/lfm)],MATCH(Tabelle10[[#This Row],[Rank]],Stammdaten[Rank Verteilung Krümmung],0))</f>
        <v>#N/A</v>
      </c>
      <c r="U1726" t="e">
        <f>VLOOKUP(Tabelle10[[#This Row],[Rank]],Stammdaten[[Rank Verteilung Krümmung]:[Verteilung Krümmung]],2,FALSE)</f>
        <v>#N/A</v>
      </c>
      <c r="Z1726">
        <v>1717</v>
      </c>
      <c r="AA1726" t="e">
        <f>INDEX(Stammdaten[Ovalität (']0,1'])],MATCH(Tabelle1014[[#This Row],[Rank]],Stammdaten[Rank Verteilung Ovalität],0))</f>
        <v>#N/A</v>
      </c>
      <c r="AB1726" t="e">
        <f>VLOOKUP(Tabelle1014[[#This Row],[Rank]],Stammdaten[[Rank Verteilung Ovalität]:[Verteilung Ovalität]],2,FALSE)</f>
        <v>#N/A</v>
      </c>
    </row>
    <row r="1727" spans="5:28" x14ac:dyDescent="0.35">
      <c r="E1727">
        <v>1718</v>
      </c>
      <c r="F1727" t="e">
        <f>INDEX(Stammdaten[D Mitte mit Rinde (mm)],MATCH(Tabelle8[[#This Row],[Rank]],Stammdaten[Rank Verteilung D Mitte mit Rinde],0))</f>
        <v>#N/A</v>
      </c>
      <c r="G1727" t="e">
        <f>VLOOKUP(Tabelle8[[#This Row],[Rank]],Stammdaten[[Rank Verteilung D Mitte mit Rinde]:[Verteilung D Mitte mit Rinde]],2,FALSE)</f>
        <v>#N/A</v>
      </c>
      <c r="L1727">
        <v>1718</v>
      </c>
      <c r="M1727" t="e">
        <f>INDEX(Stammdaten[Abholzigkeit (mm/lfm)],MATCH(Tabelle9[[#This Row],[Rank]],Stammdaten[Rank Verteilung Abholzigkeit],0))</f>
        <v>#N/A</v>
      </c>
      <c r="N1727" t="e">
        <f>VLOOKUP(Tabelle9[[#This Row],[Rank]],Stammdaten[[Rank Verteilung Abholzigkeit]:[Verteilung Abholzigkeit]],2,FALSE)</f>
        <v>#N/A</v>
      </c>
      <c r="S1727">
        <v>1718</v>
      </c>
      <c r="T1727" t="e">
        <f>INDEX(Stammdaten[Krümmung (mm/lfm)],MATCH(Tabelle10[[#This Row],[Rank]],Stammdaten[Rank Verteilung Krümmung],0))</f>
        <v>#N/A</v>
      </c>
      <c r="U1727" t="e">
        <f>VLOOKUP(Tabelle10[[#This Row],[Rank]],Stammdaten[[Rank Verteilung Krümmung]:[Verteilung Krümmung]],2,FALSE)</f>
        <v>#N/A</v>
      </c>
      <c r="Z1727">
        <v>1718</v>
      </c>
      <c r="AA1727" t="e">
        <f>INDEX(Stammdaten[Ovalität (']0,1'])],MATCH(Tabelle1014[[#This Row],[Rank]],Stammdaten[Rank Verteilung Ovalität],0))</f>
        <v>#N/A</v>
      </c>
      <c r="AB1727" t="e">
        <f>VLOOKUP(Tabelle1014[[#This Row],[Rank]],Stammdaten[[Rank Verteilung Ovalität]:[Verteilung Ovalität]],2,FALSE)</f>
        <v>#N/A</v>
      </c>
    </row>
    <row r="1728" spans="5:28" x14ac:dyDescent="0.35">
      <c r="E1728">
        <v>1719</v>
      </c>
      <c r="F1728" t="e">
        <f>INDEX(Stammdaten[D Mitte mit Rinde (mm)],MATCH(Tabelle8[[#This Row],[Rank]],Stammdaten[Rank Verteilung D Mitte mit Rinde],0))</f>
        <v>#N/A</v>
      </c>
      <c r="G1728" t="e">
        <f>VLOOKUP(Tabelle8[[#This Row],[Rank]],Stammdaten[[Rank Verteilung D Mitte mit Rinde]:[Verteilung D Mitte mit Rinde]],2,FALSE)</f>
        <v>#N/A</v>
      </c>
      <c r="L1728">
        <v>1719</v>
      </c>
      <c r="M1728" t="e">
        <f>INDEX(Stammdaten[Abholzigkeit (mm/lfm)],MATCH(Tabelle9[[#This Row],[Rank]],Stammdaten[Rank Verteilung Abholzigkeit],0))</f>
        <v>#N/A</v>
      </c>
      <c r="N1728" t="e">
        <f>VLOOKUP(Tabelle9[[#This Row],[Rank]],Stammdaten[[Rank Verteilung Abholzigkeit]:[Verteilung Abholzigkeit]],2,FALSE)</f>
        <v>#N/A</v>
      </c>
      <c r="S1728">
        <v>1719</v>
      </c>
      <c r="T1728" t="e">
        <f>INDEX(Stammdaten[Krümmung (mm/lfm)],MATCH(Tabelle10[[#This Row],[Rank]],Stammdaten[Rank Verteilung Krümmung],0))</f>
        <v>#N/A</v>
      </c>
      <c r="U1728" t="e">
        <f>VLOOKUP(Tabelle10[[#This Row],[Rank]],Stammdaten[[Rank Verteilung Krümmung]:[Verteilung Krümmung]],2,FALSE)</f>
        <v>#N/A</v>
      </c>
      <c r="Z1728">
        <v>1719</v>
      </c>
      <c r="AA1728" t="e">
        <f>INDEX(Stammdaten[Ovalität (']0,1'])],MATCH(Tabelle1014[[#This Row],[Rank]],Stammdaten[Rank Verteilung Ovalität],0))</f>
        <v>#N/A</v>
      </c>
      <c r="AB1728" t="e">
        <f>VLOOKUP(Tabelle1014[[#This Row],[Rank]],Stammdaten[[Rank Verteilung Ovalität]:[Verteilung Ovalität]],2,FALSE)</f>
        <v>#N/A</v>
      </c>
    </row>
    <row r="1729" spans="5:28" x14ac:dyDescent="0.35">
      <c r="E1729">
        <v>1720</v>
      </c>
      <c r="F1729" t="e">
        <f>INDEX(Stammdaten[D Mitte mit Rinde (mm)],MATCH(Tabelle8[[#This Row],[Rank]],Stammdaten[Rank Verteilung D Mitte mit Rinde],0))</f>
        <v>#N/A</v>
      </c>
      <c r="G1729" t="e">
        <f>VLOOKUP(Tabelle8[[#This Row],[Rank]],Stammdaten[[Rank Verteilung D Mitte mit Rinde]:[Verteilung D Mitte mit Rinde]],2,FALSE)</f>
        <v>#N/A</v>
      </c>
      <c r="L1729">
        <v>1720</v>
      </c>
      <c r="M1729" t="e">
        <f>INDEX(Stammdaten[Abholzigkeit (mm/lfm)],MATCH(Tabelle9[[#This Row],[Rank]],Stammdaten[Rank Verteilung Abholzigkeit],0))</f>
        <v>#N/A</v>
      </c>
      <c r="N1729" t="e">
        <f>VLOOKUP(Tabelle9[[#This Row],[Rank]],Stammdaten[[Rank Verteilung Abholzigkeit]:[Verteilung Abholzigkeit]],2,FALSE)</f>
        <v>#N/A</v>
      </c>
      <c r="S1729">
        <v>1720</v>
      </c>
      <c r="T1729" t="e">
        <f>INDEX(Stammdaten[Krümmung (mm/lfm)],MATCH(Tabelle10[[#This Row],[Rank]],Stammdaten[Rank Verteilung Krümmung],0))</f>
        <v>#N/A</v>
      </c>
      <c r="U1729" t="e">
        <f>VLOOKUP(Tabelle10[[#This Row],[Rank]],Stammdaten[[Rank Verteilung Krümmung]:[Verteilung Krümmung]],2,FALSE)</f>
        <v>#N/A</v>
      </c>
      <c r="Z1729">
        <v>1720</v>
      </c>
      <c r="AA1729" t="e">
        <f>INDEX(Stammdaten[Ovalität (']0,1'])],MATCH(Tabelle1014[[#This Row],[Rank]],Stammdaten[Rank Verteilung Ovalität],0))</f>
        <v>#N/A</v>
      </c>
      <c r="AB1729" t="e">
        <f>VLOOKUP(Tabelle1014[[#This Row],[Rank]],Stammdaten[[Rank Verteilung Ovalität]:[Verteilung Ovalität]],2,FALSE)</f>
        <v>#N/A</v>
      </c>
    </row>
    <row r="1730" spans="5:28" x14ac:dyDescent="0.35">
      <c r="E1730">
        <v>1721</v>
      </c>
      <c r="F1730" t="e">
        <f>INDEX(Stammdaten[D Mitte mit Rinde (mm)],MATCH(Tabelle8[[#This Row],[Rank]],Stammdaten[Rank Verteilung D Mitte mit Rinde],0))</f>
        <v>#N/A</v>
      </c>
      <c r="G1730" t="e">
        <f>VLOOKUP(Tabelle8[[#This Row],[Rank]],Stammdaten[[Rank Verteilung D Mitte mit Rinde]:[Verteilung D Mitte mit Rinde]],2,FALSE)</f>
        <v>#N/A</v>
      </c>
      <c r="L1730">
        <v>1721</v>
      </c>
      <c r="M1730" t="e">
        <f>INDEX(Stammdaten[Abholzigkeit (mm/lfm)],MATCH(Tabelle9[[#This Row],[Rank]],Stammdaten[Rank Verteilung Abholzigkeit],0))</f>
        <v>#N/A</v>
      </c>
      <c r="N1730" t="e">
        <f>VLOOKUP(Tabelle9[[#This Row],[Rank]],Stammdaten[[Rank Verteilung Abholzigkeit]:[Verteilung Abholzigkeit]],2,FALSE)</f>
        <v>#N/A</v>
      </c>
      <c r="S1730">
        <v>1721</v>
      </c>
      <c r="T1730" t="e">
        <f>INDEX(Stammdaten[Krümmung (mm/lfm)],MATCH(Tabelle10[[#This Row],[Rank]],Stammdaten[Rank Verteilung Krümmung],0))</f>
        <v>#N/A</v>
      </c>
      <c r="U1730" t="e">
        <f>VLOOKUP(Tabelle10[[#This Row],[Rank]],Stammdaten[[Rank Verteilung Krümmung]:[Verteilung Krümmung]],2,FALSE)</f>
        <v>#N/A</v>
      </c>
      <c r="Z1730">
        <v>1721</v>
      </c>
      <c r="AA1730" t="e">
        <f>INDEX(Stammdaten[Ovalität (']0,1'])],MATCH(Tabelle1014[[#This Row],[Rank]],Stammdaten[Rank Verteilung Ovalität],0))</f>
        <v>#N/A</v>
      </c>
      <c r="AB1730" t="e">
        <f>VLOOKUP(Tabelle1014[[#This Row],[Rank]],Stammdaten[[Rank Verteilung Ovalität]:[Verteilung Ovalität]],2,FALSE)</f>
        <v>#N/A</v>
      </c>
    </row>
    <row r="1731" spans="5:28" x14ac:dyDescent="0.35">
      <c r="E1731">
        <v>1722</v>
      </c>
      <c r="F1731" t="e">
        <f>INDEX(Stammdaten[D Mitte mit Rinde (mm)],MATCH(Tabelle8[[#This Row],[Rank]],Stammdaten[Rank Verteilung D Mitte mit Rinde],0))</f>
        <v>#N/A</v>
      </c>
      <c r="G1731" t="e">
        <f>VLOOKUP(Tabelle8[[#This Row],[Rank]],Stammdaten[[Rank Verteilung D Mitte mit Rinde]:[Verteilung D Mitte mit Rinde]],2,FALSE)</f>
        <v>#N/A</v>
      </c>
      <c r="L1731">
        <v>1722</v>
      </c>
      <c r="M1731" t="e">
        <f>INDEX(Stammdaten[Abholzigkeit (mm/lfm)],MATCH(Tabelle9[[#This Row],[Rank]],Stammdaten[Rank Verteilung Abholzigkeit],0))</f>
        <v>#N/A</v>
      </c>
      <c r="N1731" t="e">
        <f>VLOOKUP(Tabelle9[[#This Row],[Rank]],Stammdaten[[Rank Verteilung Abholzigkeit]:[Verteilung Abholzigkeit]],2,FALSE)</f>
        <v>#N/A</v>
      </c>
      <c r="S1731">
        <v>1722</v>
      </c>
      <c r="T1731" t="e">
        <f>INDEX(Stammdaten[Krümmung (mm/lfm)],MATCH(Tabelle10[[#This Row],[Rank]],Stammdaten[Rank Verteilung Krümmung],0))</f>
        <v>#N/A</v>
      </c>
      <c r="U1731" t="e">
        <f>VLOOKUP(Tabelle10[[#This Row],[Rank]],Stammdaten[[Rank Verteilung Krümmung]:[Verteilung Krümmung]],2,FALSE)</f>
        <v>#N/A</v>
      </c>
      <c r="Z1731">
        <v>1722</v>
      </c>
      <c r="AA1731" t="e">
        <f>INDEX(Stammdaten[Ovalität (']0,1'])],MATCH(Tabelle1014[[#This Row],[Rank]],Stammdaten[Rank Verteilung Ovalität],0))</f>
        <v>#N/A</v>
      </c>
      <c r="AB1731" t="e">
        <f>VLOOKUP(Tabelle1014[[#This Row],[Rank]],Stammdaten[[Rank Verteilung Ovalität]:[Verteilung Ovalität]],2,FALSE)</f>
        <v>#N/A</v>
      </c>
    </row>
    <row r="1732" spans="5:28" x14ac:dyDescent="0.35">
      <c r="E1732">
        <v>1723</v>
      </c>
      <c r="F1732" t="e">
        <f>INDEX(Stammdaten[D Mitte mit Rinde (mm)],MATCH(Tabelle8[[#This Row],[Rank]],Stammdaten[Rank Verteilung D Mitte mit Rinde],0))</f>
        <v>#N/A</v>
      </c>
      <c r="G1732" t="e">
        <f>VLOOKUP(Tabelle8[[#This Row],[Rank]],Stammdaten[[Rank Verteilung D Mitte mit Rinde]:[Verteilung D Mitte mit Rinde]],2,FALSE)</f>
        <v>#N/A</v>
      </c>
      <c r="L1732">
        <v>1723</v>
      </c>
      <c r="M1732" t="e">
        <f>INDEX(Stammdaten[Abholzigkeit (mm/lfm)],MATCH(Tabelle9[[#This Row],[Rank]],Stammdaten[Rank Verteilung Abholzigkeit],0))</f>
        <v>#N/A</v>
      </c>
      <c r="N1732" t="e">
        <f>VLOOKUP(Tabelle9[[#This Row],[Rank]],Stammdaten[[Rank Verteilung Abholzigkeit]:[Verteilung Abholzigkeit]],2,FALSE)</f>
        <v>#N/A</v>
      </c>
      <c r="S1732">
        <v>1723</v>
      </c>
      <c r="T1732" t="e">
        <f>INDEX(Stammdaten[Krümmung (mm/lfm)],MATCH(Tabelle10[[#This Row],[Rank]],Stammdaten[Rank Verteilung Krümmung],0))</f>
        <v>#N/A</v>
      </c>
      <c r="U1732" t="e">
        <f>VLOOKUP(Tabelle10[[#This Row],[Rank]],Stammdaten[[Rank Verteilung Krümmung]:[Verteilung Krümmung]],2,FALSE)</f>
        <v>#N/A</v>
      </c>
      <c r="Z1732">
        <v>1723</v>
      </c>
      <c r="AA1732" t="e">
        <f>INDEX(Stammdaten[Ovalität (']0,1'])],MATCH(Tabelle1014[[#This Row],[Rank]],Stammdaten[Rank Verteilung Ovalität],0))</f>
        <v>#N/A</v>
      </c>
      <c r="AB1732" t="e">
        <f>VLOOKUP(Tabelle1014[[#This Row],[Rank]],Stammdaten[[Rank Verteilung Ovalität]:[Verteilung Ovalität]],2,FALSE)</f>
        <v>#N/A</v>
      </c>
    </row>
    <row r="1733" spans="5:28" x14ac:dyDescent="0.35">
      <c r="E1733">
        <v>1724</v>
      </c>
      <c r="F1733" t="e">
        <f>INDEX(Stammdaten[D Mitte mit Rinde (mm)],MATCH(Tabelle8[[#This Row],[Rank]],Stammdaten[Rank Verteilung D Mitte mit Rinde],0))</f>
        <v>#N/A</v>
      </c>
      <c r="G1733" t="e">
        <f>VLOOKUP(Tabelle8[[#This Row],[Rank]],Stammdaten[[Rank Verteilung D Mitte mit Rinde]:[Verteilung D Mitte mit Rinde]],2,FALSE)</f>
        <v>#N/A</v>
      </c>
      <c r="L1733">
        <v>1724</v>
      </c>
      <c r="M1733" t="e">
        <f>INDEX(Stammdaten[Abholzigkeit (mm/lfm)],MATCH(Tabelle9[[#This Row],[Rank]],Stammdaten[Rank Verteilung Abholzigkeit],0))</f>
        <v>#N/A</v>
      </c>
      <c r="N1733" t="e">
        <f>VLOOKUP(Tabelle9[[#This Row],[Rank]],Stammdaten[[Rank Verteilung Abholzigkeit]:[Verteilung Abholzigkeit]],2,FALSE)</f>
        <v>#N/A</v>
      </c>
      <c r="S1733">
        <v>1724</v>
      </c>
      <c r="T1733" t="e">
        <f>INDEX(Stammdaten[Krümmung (mm/lfm)],MATCH(Tabelle10[[#This Row],[Rank]],Stammdaten[Rank Verteilung Krümmung],0))</f>
        <v>#N/A</v>
      </c>
      <c r="U1733" t="e">
        <f>VLOOKUP(Tabelle10[[#This Row],[Rank]],Stammdaten[[Rank Verteilung Krümmung]:[Verteilung Krümmung]],2,FALSE)</f>
        <v>#N/A</v>
      </c>
      <c r="Z1733">
        <v>1724</v>
      </c>
      <c r="AA1733" t="e">
        <f>INDEX(Stammdaten[Ovalität (']0,1'])],MATCH(Tabelle1014[[#This Row],[Rank]],Stammdaten[Rank Verteilung Ovalität],0))</f>
        <v>#N/A</v>
      </c>
      <c r="AB1733" t="e">
        <f>VLOOKUP(Tabelle1014[[#This Row],[Rank]],Stammdaten[[Rank Verteilung Ovalität]:[Verteilung Ovalität]],2,FALSE)</f>
        <v>#N/A</v>
      </c>
    </row>
    <row r="1734" spans="5:28" x14ac:dyDescent="0.35">
      <c r="E1734">
        <v>1725</v>
      </c>
      <c r="F1734" t="e">
        <f>INDEX(Stammdaten[D Mitte mit Rinde (mm)],MATCH(Tabelle8[[#This Row],[Rank]],Stammdaten[Rank Verteilung D Mitte mit Rinde],0))</f>
        <v>#N/A</v>
      </c>
      <c r="G1734" t="e">
        <f>VLOOKUP(Tabelle8[[#This Row],[Rank]],Stammdaten[[Rank Verteilung D Mitte mit Rinde]:[Verteilung D Mitte mit Rinde]],2,FALSE)</f>
        <v>#N/A</v>
      </c>
      <c r="L1734">
        <v>1725</v>
      </c>
      <c r="M1734" t="e">
        <f>INDEX(Stammdaten[Abholzigkeit (mm/lfm)],MATCH(Tabelle9[[#This Row],[Rank]],Stammdaten[Rank Verteilung Abholzigkeit],0))</f>
        <v>#N/A</v>
      </c>
      <c r="N1734" t="e">
        <f>VLOOKUP(Tabelle9[[#This Row],[Rank]],Stammdaten[[Rank Verteilung Abholzigkeit]:[Verteilung Abholzigkeit]],2,FALSE)</f>
        <v>#N/A</v>
      </c>
      <c r="S1734">
        <v>1725</v>
      </c>
      <c r="T1734" t="e">
        <f>INDEX(Stammdaten[Krümmung (mm/lfm)],MATCH(Tabelle10[[#This Row],[Rank]],Stammdaten[Rank Verteilung Krümmung],0))</f>
        <v>#N/A</v>
      </c>
      <c r="U1734" t="e">
        <f>VLOOKUP(Tabelle10[[#This Row],[Rank]],Stammdaten[[Rank Verteilung Krümmung]:[Verteilung Krümmung]],2,FALSE)</f>
        <v>#N/A</v>
      </c>
      <c r="Z1734">
        <v>1725</v>
      </c>
      <c r="AA1734" t="e">
        <f>INDEX(Stammdaten[Ovalität (']0,1'])],MATCH(Tabelle1014[[#This Row],[Rank]],Stammdaten[Rank Verteilung Ovalität],0))</f>
        <v>#N/A</v>
      </c>
      <c r="AB1734" t="e">
        <f>VLOOKUP(Tabelle1014[[#This Row],[Rank]],Stammdaten[[Rank Verteilung Ovalität]:[Verteilung Ovalität]],2,FALSE)</f>
        <v>#N/A</v>
      </c>
    </row>
    <row r="1735" spans="5:28" x14ac:dyDescent="0.35">
      <c r="E1735">
        <v>1726</v>
      </c>
      <c r="F1735" t="e">
        <f>INDEX(Stammdaten[D Mitte mit Rinde (mm)],MATCH(Tabelle8[[#This Row],[Rank]],Stammdaten[Rank Verteilung D Mitte mit Rinde],0))</f>
        <v>#N/A</v>
      </c>
      <c r="G1735" t="e">
        <f>VLOOKUP(Tabelle8[[#This Row],[Rank]],Stammdaten[[Rank Verteilung D Mitte mit Rinde]:[Verteilung D Mitte mit Rinde]],2,FALSE)</f>
        <v>#N/A</v>
      </c>
      <c r="L1735">
        <v>1726</v>
      </c>
      <c r="M1735" t="e">
        <f>INDEX(Stammdaten[Abholzigkeit (mm/lfm)],MATCH(Tabelle9[[#This Row],[Rank]],Stammdaten[Rank Verteilung Abholzigkeit],0))</f>
        <v>#N/A</v>
      </c>
      <c r="N1735" t="e">
        <f>VLOOKUP(Tabelle9[[#This Row],[Rank]],Stammdaten[[Rank Verteilung Abholzigkeit]:[Verteilung Abholzigkeit]],2,FALSE)</f>
        <v>#N/A</v>
      </c>
      <c r="S1735">
        <v>1726</v>
      </c>
      <c r="T1735" t="e">
        <f>INDEX(Stammdaten[Krümmung (mm/lfm)],MATCH(Tabelle10[[#This Row],[Rank]],Stammdaten[Rank Verteilung Krümmung],0))</f>
        <v>#N/A</v>
      </c>
      <c r="U1735" t="e">
        <f>VLOOKUP(Tabelle10[[#This Row],[Rank]],Stammdaten[[Rank Verteilung Krümmung]:[Verteilung Krümmung]],2,FALSE)</f>
        <v>#N/A</v>
      </c>
      <c r="Z1735">
        <v>1726</v>
      </c>
      <c r="AA1735" t="e">
        <f>INDEX(Stammdaten[Ovalität (']0,1'])],MATCH(Tabelle1014[[#This Row],[Rank]],Stammdaten[Rank Verteilung Ovalität],0))</f>
        <v>#N/A</v>
      </c>
      <c r="AB1735" t="e">
        <f>VLOOKUP(Tabelle1014[[#This Row],[Rank]],Stammdaten[[Rank Verteilung Ovalität]:[Verteilung Ovalität]],2,FALSE)</f>
        <v>#N/A</v>
      </c>
    </row>
    <row r="1736" spans="5:28" x14ac:dyDescent="0.35">
      <c r="E1736">
        <v>1727</v>
      </c>
      <c r="F1736" t="e">
        <f>INDEX(Stammdaten[D Mitte mit Rinde (mm)],MATCH(Tabelle8[[#This Row],[Rank]],Stammdaten[Rank Verteilung D Mitte mit Rinde],0))</f>
        <v>#N/A</v>
      </c>
      <c r="G1736" t="e">
        <f>VLOOKUP(Tabelle8[[#This Row],[Rank]],Stammdaten[[Rank Verteilung D Mitte mit Rinde]:[Verteilung D Mitte mit Rinde]],2,FALSE)</f>
        <v>#N/A</v>
      </c>
      <c r="L1736">
        <v>1727</v>
      </c>
      <c r="M1736" t="e">
        <f>INDEX(Stammdaten[Abholzigkeit (mm/lfm)],MATCH(Tabelle9[[#This Row],[Rank]],Stammdaten[Rank Verteilung Abholzigkeit],0))</f>
        <v>#N/A</v>
      </c>
      <c r="N1736" t="e">
        <f>VLOOKUP(Tabelle9[[#This Row],[Rank]],Stammdaten[[Rank Verteilung Abholzigkeit]:[Verteilung Abholzigkeit]],2,FALSE)</f>
        <v>#N/A</v>
      </c>
      <c r="S1736">
        <v>1727</v>
      </c>
      <c r="T1736" t="e">
        <f>INDEX(Stammdaten[Krümmung (mm/lfm)],MATCH(Tabelle10[[#This Row],[Rank]],Stammdaten[Rank Verteilung Krümmung],0))</f>
        <v>#N/A</v>
      </c>
      <c r="U1736" t="e">
        <f>VLOOKUP(Tabelle10[[#This Row],[Rank]],Stammdaten[[Rank Verteilung Krümmung]:[Verteilung Krümmung]],2,FALSE)</f>
        <v>#N/A</v>
      </c>
      <c r="Z1736">
        <v>1727</v>
      </c>
      <c r="AA1736" t="e">
        <f>INDEX(Stammdaten[Ovalität (']0,1'])],MATCH(Tabelle1014[[#This Row],[Rank]],Stammdaten[Rank Verteilung Ovalität],0))</f>
        <v>#N/A</v>
      </c>
      <c r="AB1736" t="e">
        <f>VLOOKUP(Tabelle1014[[#This Row],[Rank]],Stammdaten[[Rank Verteilung Ovalität]:[Verteilung Ovalität]],2,FALSE)</f>
        <v>#N/A</v>
      </c>
    </row>
    <row r="1737" spans="5:28" x14ac:dyDescent="0.35">
      <c r="E1737">
        <v>1728</v>
      </c>
      <c r="F1737" t="e">
        <f>INDEX(Stammdaten[D Mitte mit Rinde (mm)],MATCH(Tabelle8[[#This Row],[Rank]],Stammdaten[Rank Verteilung D Mitte mit Rinde],0))</f>
        <v>#N/A</v>
      </c>
      <c r="G1737" t="e">
        <f>VLOOKUP(Tabelle8[[#This Row],[Rank]],Stammdaten[[Rank Verteilung D Mitte mit Rinde]:[Verteilung D Mitte mit Rinde]],2,FALSE)</f>
        <v>#N/A</v>
      </c>
      <c r="L1737">
        <v>1728</v>
      </c>
      <c r="M1737" t="e">
        <f>INDEX(Stammdaten[Abholzigkeit (mm/lfm)],MATCH(Tabelle9[[#This Row],[Rank]],Stammdaten[Rank Verteilung Abholzigkeit],0))</f>
        <v>#N/A</v>
      </c>
      <c r="N1737" t="e">
        <f>VLOOKUP(Tabelle9[[#This Row],[Rank]],Stammdaten[[Rank Verteilung Abholzigkeit]:[Verteilung Abholzigkeit]],2,FALSE)</f>
        <v>#N/A</v>
      </c>
      <c r="S1737">
        <v>1728</v>
      </c>
      <c r="T1737" t="e">
        <f>INDEX(Stammdaten[Krümmung (mm/lfm)],MATCH(Tabelle10[[#This Row],[Rank]],Stammdaten[Rank Verteilung Krümmung],0))</f>
        <v>#N/A</v>
      </c>
      <c r="U1737" t="e">
        <f>VLOOKUP(Tabelle10[[#This Row],[Rank]],Stammdaten[[Rank Verteilung Krümmung]:[Verteilung Krümmung]],2,FALSE)</f>
        <v>#N/A</v>
      </c>
      <c r="Z1737">
        <v>1728</v>
      </c>
      <c r="AA1737" t="e">
        <f>INDEX(Stammdaten[Ovalität (']0,1'])],MATCH(Tabelle1014[[#This Row],[Rank]],Stammdaten[Rank Verteilung Ovalität],0))</f>
        <v>#N/A</v>
      </c>
      <c r="AB1737" t="e">
        <f>VLOOKUP(Tabelle1014[[#This Row],[Rank]],Stammdaten[[Rank Verteilung Ovalität]:[Verteilung Ovalität]],2,FALSE)</f>
        <v>#N/A</v>
      </c>
    </row>
    <row r="1738" spans="5:28" x14ac:dyDescent="0.35">
      <c r="E1738">
        <v>1729</v>
      </c>
      <c r="F1738" t="e">
        <f>INDEX(Stammdaten[D Mitte mit Rinde (mm)],MATCH(Tabelle8[[#This Row],[Rank]],Stammdaten[Rank Verteilung D Mitte mit Rinde],0))</f>
        <v>#N/A</v>
      </c>
      <c r="G1738" t="e">
        <f>VLOOKUP(Tabelle8[[#This Row],[Rank]],Stammdaten[[Rank Verteilung D Mitte mit Rinde]:[Verteilung D Mitte mit Rinde]],2,FALSE)</f>
        <v>#N/A</v>
      </c>
      <c r="L1738">
        <v>1729</v>
      </c>
      <c r="M1738" t="e">
        <f>INDEX(Stammdaten[Abholzigkeit (mm/lfm)],MATCH(Tabelle9[[#This Row],[Rank]],Stammdaten[Rank Verteilung Abholzigkeit],0))</f>
        <v>#N/A</v>
      </c>
      <c r="N1738" t="e">
        <f>VLOOKUP(Tabelle9[[#This Row],[Rank]],Stammdaten[[Rank Verteilung Abholzigkeit]:[Verteilung Abholzigkeit]],2,FALSE)</f>
        <v>#N/A</v>
      </c>
      <c r="S1738">
        <v>1729</v>
      </c>
      <c r="T1738" t="e">
        <f>INDEX(Stammdaten[Krümmung (mm/lfm)],MATCH(Tabelle10[[#This Row],[Rank]],Stammdaten[Rank Verteilung Krümmung],0))</f>
        <v>#N/A</v>
      </c>
      <c r="U1738" t="e">
        <f>VLOOKUP(Tabelle10[[#This Row],[Rank]],Stammdaten[[Rank Verteilung Krümmung]:[Verteilung Krümmung]],2,FALSE)</f>
        <v>#N/A</v>
      </c>
      <c r="Z1738">
        <v>1729</v>
      </c>
      <c r="AA1738" t="e">
        <f>INDEX(Stammdaten[Ovalität (']0,1'])],MATCH(Tabelle1014[[#This Row],[Rank]],Stammdaten[Rank Verteilung Ovalität],0))</f>
        <v>#N/A</v>
      </c>
      <c r="AB1738" t="e">
        <f>VLOOKUP(Tabelle1014[[#This Row],[Rank]],Stammdaten[[Rank Verteilung Ovalität]:[Verteilung Ovalität]],2,FALSE)</f>
        <v>#N/A</v>
      </c>
    </row>
    <row r="1739" spans="5:28" x14ac:dyDescent="0.35">
      <c r="E1739">
        <v>1730</v>
      </c>
      <c r="F1739" t="e">
        <f>INDEX(Stammdaten[D Mitte mit Rinde (mm)],MATCH(Tabelle8[[#This Row],[Rank]],Stammdaten[Rank Verteilung D Mitte mit Rinde],0))</f>
        <v>#N/A</v>
      </c>
      <c r="G1739" t="e">
        <f>VLOOKUP(Tabelle8[[#This Row],[Rank]],Stammdaten[[Rank Verteilung D Mitte mit Rinde]:[Verteilung D Mitte mit Rinde]],2,FALSE)</f>
        <v>#N/A</v>
      </c>
      <c r="L1739">
        <v>1730</v>
      </c>
      <c r="M1739" t="e">
        <f>INDEX(Stammdaten[Abholzigkeit (mm/lfm)],MATCH(Tabelle9[[#This Row],[Rank]],Stammdaten[Rank Verteilung Abholzigkeit],0))</f>
        <v>#N/A</v>
      </c>
      <c r="N1739" t="e">
        <f>VLOOKUP(Tabelle9[[#This Row],[Rank]],Stammdaten[[Rank Verteilung Abholzigkeit]:[Verteilung Abholzigkeit]],2,FALSE)</f>
        <v>#N/A</v>
      </c>
      <c r="S1739">
        <v>1730</v>
      </c>
      <c r="T1739" t="e">
        <f>INDEX(Stammdaten[Krümmung (mm/lfm)],MATCH(Tabelle10[[#This Row],[Rank]],Stammdaten[Rank Verteilung Krümmung],0))</f>
        <v>#N/A</v>
      </c>
      <c r="U1739" t="e">
        <f>VLOOKUP(Tabelle10[[#This Row],[Rank]],Stammdaten[[Rank Verteilung Krümmung]:[Verteilung Krümmung]],2,FALSE)</f>
        <v>#N/A</v>
      </c>
      <c r="Z1739">
        <v>1730</v>
      </c>
      <c r="AA1739" t="e">
        <f>INDEX(Stammdaten[Ovalität (']0,1'])],MATCH(Tabelle1014[[#This Row],[Rank]],Stammdaten[Rank Verteilung Ovalität],0))</f>
        <v>#N/A</v>
      </c>
      <c r="AB1739" t="e">
        <f>VLOOKUP(Tabelle1014[[#This Row],[Rank]],Stammdaten[[Rank Verteilung Ovalität]:[Verteilung Ovalität]],2,FALSE)</f>
        <v>#N/A</v>
      </c>
    </row>
    <row r="1740" spans="5:28" x14ac:dyDescent="0.35">
      <c r="E1740">
        <v>1731</v>
      </c>
      <c r="F1740" t="e">
        <f>INDEX(Stammdaten[D Mitte mit Rinde (mm)],MATCH(Tabelle8[[#This Row],[Rank]],Stammdaten[Rank Verteilung D Mitte mit Rinde],0))</f>
        <v>#N/A</v>
      </c>
      <c r="G1740" t="e">
        <f>VLOOKUP(Tabelle8[[#This Row],[Rank]],Stammdaten[[Rank Verteilung D Mitte mit Rinde]:[Verteilung D Mitte mit Rinde]],2,FALSE)</f>
        <v>#N/A</v>
      </c>
      <c r="L1740">
        <v>1731</v>
      </c>
      <c r="M1740" t="e">
        <f>INDEX(Stammdaten[Abholzigkeit (mm/lfm)],MATCH(Tabelle9[[#This Row],[Rank]],Stammdaten[Rank Verteilung Abholzigkeit],0))</f>
        <v>#N/A</v>
      </c>
      <c r="N1740" t="e">
        <f>VLOOKUP(Tabelle9[[#This Row],[Rank]],Stammdaten[[Rank Verteilung Abholzigkeit]:[Verteilung Abholzigkeit]],2,FALSE)</f>
        <v>#N/A</v>
      </c>
      <c r="S1740">
        <v>1731</v>
      </c>
      <c r="T1740" t="e">
        <f>INDEX(Stammdaten[Krümmung (mm/lfm)],MATCH(Tabelle10[[#This Row],[Rank]],Stammdaten[Rank Verteilung Krümmung],0))</f>
        <v>#N/A</v>
      </c>
      <c r="U1740" t="e">
        <f>VLOOKUP(Tabelle10[[#This Row],[Rank]],Stammdaten[[Rank Verteilung Krümmung]:[Verteilung Krümmung]],2,FALSE)</f>
        <v>#N/A</v>
      </c>
      <c r="Z1740">
        <v>1731</v>
      </c>
      <c r="AA1740" t="e">
        <f>INDEX(Stammdaten[Ovalität (']0,1'])],MATCH(Tabelle1014[[#This Row],[Rank]],Stammdaten[Rank Verteilung Ovalität],0))</f>
        <v>#N/A</v>
      </c>
      <c r="AB1740" t="e">
        <f>VLOOKUP(Tabelle1014[[#This Row],[Rank]],Stammdaten[[Rank Verteilung Ovalität]:[Verteilung Ovalität]],2,FALSE)</f>
        <v>#N/A</v>
      </c>
    </row>
    <row r="1741" spans="5:28" x14ac:dyDescent="0.35">
      <c r="E1741">
        <v>1732</v>
      </c>
      <c r="F1741" t="e">
        <f>INDEX(Stammdaten[D Mitte mit Rinde (mm)],MATCH(Tabelle8[[#This Row],[Rank]],Stammdaten[Rank Verteilung D Mitte mit Rinde],0))</f>
        <v>#N/A</v>
      </c>
      <c r="G1741" t="e">
        <f>VLOOKUP(Tabelle8[[#This Row],[Rank]],Stammdaten[[Rank Verteilung D Mitte mit Rinde]:[Verteilung D Mitte mit Rinde]],2,FALSE)</f>
        <v>#N/A</v>
      </c>
      <c r="L1741">
        <v>1732</v>
      </c>
      <c r="M1741" t="e">
        <f>INDEX(Stammdaten[Abholzigkeit (mm/lfm)],MATCH(Tabelle9[[#This Row],[Rank]],Stammdaten[Rank Verteilung Abholzigkeit],0))</f>
        <v>#N/A</v>
      </c>
      <c r="N1741" t="e">
        <f>VLOOKUP(Tabelle9[[#This Row],[Rank]],Stammdaten[[Rank Verteilung Abholzigkeit]:[Verteilung Abholzigkeit]],2,FALSE)</f>
        <v>#N/A</v>
      </c>
      <c r="S1741">
        <v>1732</v>
      </c>
      <c r="T1741" t="e">
        <f>INDEX(Stammdaten[Krümmung (mm/lfm)],MATCH(Tabelle10[[#This Row],[Rank]],Stammdaten[Rank Verteilung Krümmung],0))</f>
        <v>#N/A</v>
      </c>
      <c r="U1741" t="e">
        <f>VLOOKUP(Tabelle10[[#This Row],[Rank]],Stammdaten[[Rank Verteilung Krümmung]:[Verteilung Krümmung]],2,FALSE)</f>
        <v>#N/A</v>
      </c>
      <c r="Z1741">
        <v>1732</v>
      </c>
      <c r="AA1741" t="e">
        <f>INDEX(Stammdaten[Ovalität (']0,1'])],MATCH(Tabelle1014[[#This Row],[Rank]],Stammdaten[Rank Verteilung Ovalität],0))</f>
        <v>#N/A</v>
      </c>
      <c r="AB1741" t="e">
        <f>VLOOKUP(Tabelle1014[[#This Row],[Rank]],Stammdaten[[Rank Verteilung Ovalität]:[Verteilung Ovalität]],2,FALSE)</f>
        <v>#N/A</v>
      </c>
    </row>
    <row r="1742" spans="5:28" x14ac:dyDescent="0.35">
      <c r="E1742">
        <v>1733</v>
      </c>
      <c r="F1742" t="e">
        <f>INDEX(Stammdaten[D Mitte mit Rinde (mm)],MATCH(Tabelle8[[#This Row],[Rank]],Stammdaten[Rank Verteilung D Mitte mit Rinde],0))</f>
        <v>#N/A</v>
      </c>
      <c r="G1742" t="e">
        <f>VLOOKUP(Tabelle8[[#This Row],[Rank]],Stammdaten[[Rank Verteilung D Mitte mit Rinde]:[Verteilung D Mitte mit Rinde]],2,FALSE)</f>
        <v>#N/A</v>
      </c>
      <c r="L1742">
        <v>1733</v>
      </c>
      <c r="M1742" t="e">
        <f>INDEX(Stammdaten[Abholzigkeit (mm/lfm)],MATCH(Tabelle9[[#This Row],[Rank]],Stammdaten[Rank Verteilung Abholzigkeit],0))</f>
        <v>#N/A</v>
      </c>
      <c r="N1742" t="e">
        <f>VLOOKUP(Tabelle9[[#This Row],[Rank]],Stammdaten[[Rank Verteilung Abholzigkeit]:[Verteilung Abholzigkeit]],2,FALSE)</f>
        <v>#N/A</v>
      </c>
      <c r="S1742">
        <v>1733</v>
      </c>
      <c r="T1742" t="e">
        <f>INDEX(Stammdaten[Krümmung (mm/lfm)],MATCH(Tabelle10[[#This Row],[Rank]],Stammdaten[Rank Verteilung Krümmung],0))</f>
        <v>#N/A</v>
      </c>
      <c r="U1742" t="e">
        <f>VLOOKUP(Tabelle10[[#This Row],[Rank]],Stammdaten[[Rank Verteilung Krümmung]:[Verteilung Krümmung]],2,FALSE)</f>
        <v>#N/A</v>
      </c>
      <c r="Z1742">
        <v>1733</v>
      </c>
      <c r="AA1742" t="e">
        <f>INDEX(Stammdaten[Ovalität (']0,1'])],MATCH(Tabelle1014[[#This Row],[Rank]],Stammdaten[Rank Verteilung Ovalität],0))</f>
        <v>#N/A</v>
      </c>
      <c r="AB1742" t="e">
        <f>VLOOKUP(Tabelle1014[[#This Row],[Rank]],Stammdaten[[Rank Verteilung Ovalität]:[Verteilung Ovalität]],2,FALSE)</f>
        <v>#N/A</v>
      </c>
    </row>
    <row r="1743" spans="5:28" x14ac:dyDescent="0.35">
      <c r="E1743">
        <v>1734</v>
      </c>
      <c r="F1743" t="e">
        <f>INDEX(Stammdaten[D Mitte mit Rinde (mm)],MATCH(Tabelle8[[#This Row],[Rank]],Stammdaten[Rank Verteilung D Mitte mit Rinde],0))</f>
        <v>#N/A</v>
      </c>
      <c r="G1743" t="e">
        <f>VLOOKUP(Tabelle8[[#This Row],[Rank]],Stammdaten[[Rank Verteilung D Mitte mit Rinde]:[Verteilung D Mitte mit Rinde]],2,FALSE)</f>
        <v>#N/A</v>
      </c>
      <c r="L1743">
        <v>1734</v>
      </c>
      <c r="M1743" t="e">
        <f>INDEX(Stammdaten[Abholzigkeit (mm/lfm)],MATCH(Tabelle9[[#This Row],[Rank]],Stammdaten[Rank Verteilung Abholzigkeit],0))</f>
        <v>#N/A</v>
      </c>
      <c r="N1743" t="e">
        <f>VLOOKUP(Tabelle9[[#This Row],[Rank]],Stammdaten[[Rank Verteilung Abholzigkeit]:[Verteilung Abholzigkeit]],2,FALSE)</f>
        <v>#N/A</v>
      </c>
      <c r="S1743">
        <v>1734</v>
      </c>
      <c r="T1743" t="e">
        <f>INDEX(Stammdaten[Krümmung (mm/lfm)],MATCH(Tabelle10[[#This Row],[Rank]],Stammdaten[Rank Verteilung Krümmung],0))</f>
        <v>#N/A</v>
      </c>
      <c r="U1743" t="e">
        <f>VLOOKUP(Tabelle10[[#This Row],[Rank]],Stammdaten[[Rank Verteilung Krümmung]:[Verteilung Krümmung]],2,FALSE)</f>
        <v>#N/A</v>
      </c>
      <c r="Z1743">
        <v>1734</v>
      </c>
      <c r="AA1743" t="e">
        <f>INDEX(Stammdaten[Ovalität (']0,1'])],MATCH(Tabelle1014[[#This Row],[Rank]],Stammdaten[Rank Verteilung Ovalität],0))</f>
        <v>#N/A</v>
      </c>
      <c r="AB1743" t="e">
        <f>VLOOKUP(Tabelle1014[[#This Row],[Rank]],Stammdaten[[Rank Verteilung Ovalität]:[Verteilung Ovalität]],2,FALSE)</f>
        <v>#N/A</v>
      </c>
    </row>
    <row r="1744" spans="5:28" x14ac:dyDescent="0.35">
      <c r="E1744">
        <v>1735</v>
      </c>
      <c r="F1744" t="e">
        <f>INDEX(Stammdaten[D Mitte mit Rinde (mm)],MATCH(Tabelle8[[#This Row],[Rank]],Stammdaten[Rank Verteilung D Mitte mit Rinde],0))</f>
        <v>#N/A</v>
      </c>
      <c r="G1744" t="e">
        <f>VLOOKUP(Tabelle8[[#This Row],[Rank]],Stammdaten[[Rank Verteilung D Mitte mit Rinde]:[Verteilung D Mitte mit Rinde]],2,FALSE)</f>
        <v>#N/A</v>
      </c>
      <c r="L1744">
        <v>1735</v>
      </c>
      <c r="M1744" t="e">
        <f>INDEX(Stammdaten[Abholzigkeit (mm/lfm)],MATCH(Tabelle9[[#This Row],[Rank]],Stammdaten[Rank Verteilung Abholzigkeit],0))</f>
        <v>#N/A</v>
      </c>
      <c r="N1744" t="e">
        <f>VLOOKUP(Tabelle9[[#This Row],[Rank]],Stammdaten[[Rank Verteilung Abholzigkeit]:[Verteilung Abholzigkeit]],2,FALSE)</f>
        <v>#N/A</v>
      </c>
      <c r="S1744">
        <v>1735</v>
      </c>
      <c r="T1744" t="e">
        <f>INDEX(Stammdaten[Krümmung (mm/lfm)],MATCH(Tabelle10[[#This Row],[Rank]],Stammdaten[Rank Verteilung Krümmung],0))</f>
        <v>#N/A</v>
      </c>
      <c r="U1744" t="e">
        <f>VLOOKUP(Tabelle10[[#This Row],[Rank]],Stammdaten[[Rank Verteilung Krümmung]:[Verteilung Krümmung]],2,FALSE)</f>
        <v>#N/A</v>
      </c>
      <c r="Z1744">
        <v>1735</v>
      </c>
      <c r="AA1744" t="e">
        <f>INDEX(Stammdaten[Ovalität (']0,1'])],MATCH(Tabelle1014[[#This Row],[Rank]],Stammdaten[Rank Verteilung Ovalität],0))</f>
        <v>#N/A</v>
      </c>
      <c r="AB1744" t="e">
        <f>VLOOKUP(Tabelle1014[[#This Row],[Rank]],Stammdaten[[Rank Verteilung Ovalität]:[Verteilung Ovalität]],2,FALSE)</f>
        <v>#N/A</v>
      </c>
    </row>
    <row r="1745" spans="5:28" x14ac:dyDescent="0.35">
      <c r="E1745">
        <v>1736</v>
      </c>
      <c r="F1745" t="e">
        <f>INDEX(Stammdaten[D Mitte mit Rinde (mm)],MATCH(Tabelle8[[#This Row],[Rank]],Stammdaten[Rank Verteilung D Mitte mit Rinde],0))</f>
        <v>#N/A</v>
      </c>
      <c r="G1745" t="e">
        <f>VLOOKUP(Tabelle8[[#This Row],[Rank]],Stammdaten[[Rank Verteilung D Mitte mit Rinde]:[Verteilung D Mitte mit Rinde]],2,FALSE)</f>
        <v>#N/A</v>
      </c>
      <c r="L1745">
        <v>1736</v>
      </c>
      <c r="M1745" t="e">
        <f>INDEX(Stammdaten[Abholzigkeit (mm/lfm)],MATCH(Tabelle9[[#This Row],[Rank]],Stammdaten[Rank Verteilung Abholzigkeit],0))</f>
        <v>#N/A</v>
      </c>
      <c r="N1745" t="e">
        <f>VLOOKUP(Tabelle9[[#This Row],[Rank]],Stammdaten[[Rank Verteilung Abholzigkeit]:[Verteilung Abholzigkeit]],2,FALSE)</f>
        <v>#N/A</v>
      </c>
      <c r="S1745">
        <v>1736</v>
      </c>
      <c r="T1745" t="e">
        <f>INDEX(Stammdaten[Krümmung (mm/lfm)],MATCH(Tabelle10[[#This Row],[Rank]],Stammdaten[Rank Verteilung Krümmung],0))</f>
        <v>#N/A</v>
      </c>
      <c r="U1745" t="e">
        <f>VLOOKUP(Tabelle10[[#This Row],[Rank]],Stammdaten[[Rank Verteilung Krümmung]:[Verteilung Krümmung]],2,FALSE)</f>
        <v>#N/A</v>
      </c>
      <c r="Z1745">
        <v>1736</v>
      </c>
      <c r="AA1745" t="e">
        <f>INDEX(Stammdaten[Ovalität (']0,1'])],MATCH(Tabelle1014[[#This Row],[Rank]],Stammdaten[Rank Verteilung Ovalität],0))</f>
        <v>#N/A</v>
      </c>
      <c r="AB1745" t="e">
        <f>VLOOKUP(Tabelle1014[[#This Row],[Rank]],Stammdaten[[Rank Verteilung Ovalität]:[Verteilung Ovalität]],2,FALSE)</f>
        <v>#N/A</v>
      </c>
    </row>
    <row r="1746" spans="5:28" x14ac:dyDescent="0.35">
      <c r="E1746">
        <v>1737</v>
      </c>
      <c r="F1746" t="e">
        <f>INDEX(Stammdaten[D Mitte mit Rinde (mm)],MATCH(Tabelle8[[#This Row],[Rank]],Stammdaten[Rank Verteilung D Mitte mit Rinde],0))</f>
        <v>#N/A</v>
      </c>
      <c r="G1746" t="e">
        <f>VLOOKUP(Tabelle8[[#This Row],[Rank]],Stammdaten[[Rank Verteilung D Mitte mit Rinde]:[Verteilung D Mitte mit Rinde]],2,FALSE)</f>
        <v>#N/A</v>
      </c>
      <c r="L1746">
        <v>1737</v>
      </c>
      <c r="M1746" t="e">
        <f>INDEX(Stammdaten[Abholzigkeit (mm/lfm)],MATCH(Tabelle9[[#This Row],[Rank]],Stammdaten[Rank Verteilung Abholzigkeit],0))</f>
        <v>#N/A</v>
      </c>
      <c r="N1746" t="e">
        <f>VLOOKUP(Tabelle9[[#This Row],[Rank]],Stammdaten[[Rank Verteilung Abholzigkeit]:[Verteilung Abholzigkeit]],2,FALSE)</f>
        <v>#N/A</v>
      </c>
      <c r="S1746">
        <v>1737</v>
      </c>
      <c r="T1746" t="e">
        <f>INDEX(Stammdaten[Krümmung (mm/lfm)],MATCH(Tabelle10[[#This Row],[Rank]],Stammdaten[Rank Verteilung Krümmung],0))</f>
        <v>#N/A</v>
      </c>
      <c r="U1746" t="e">
        <f>VLOOKUP(Tabelle10[[#This Row],[Rank]],Stammdaten[[Rank Verteilung Krümmung]:[Verteilung Krümmung]],2,FALSE)</f>
        <v>#N/A</v>
      </c>
      <c r="Z1746">
        <v>1737</v>
      </c>
      <c r="AA1746" t="e">
        <f>INDEX(Stammdaten[Ovalität (']0,1'])],MATCH(Tabelle1014[[#This Row],[Rank]],Stammdaten[Rank Verteilung Ovalität],0))</f>
        <v>#N/A</v>
      </c>
      <c r="AB1746" t="e">
        <f>VLOOKUP(Tabelle1014[[#This Row],[Rank]],Stammdaten[[Rank Verteilung Ovalität]:[Verteilung Ovalität]],2,FALSE)</f>
        <v>#N/A</v>
      </c>
    </row>
    <row r="1747" spans="5:28" x14ac:dyDescent="0.35">
      <c r="E1747">
        <v>1738</v>
      </c>
      <c r="F1747" t="e">
        <f>INDEX(Stammdaten[D Mitte mit Rinde (mm)],MATCH(Tabelle8[[#This Row],[Rank]],Stammdaten[Rank Verteilung D Mitte mit Rinde],0))</f>
        <v>#N/A</v>
      </c>
      <c r="G1747" t="e">
        <f>VLOOKUP(Tabelle8[[#This Row],[Rank]],Stammdaten[[Rank Verteilung D Mitte mit Rinde]:[Verteilung D Mitte mit Rinde]],2,FALSE)</f>
        <v>#N/A</v>
      </c>
      <c r="L1747">
        <v>1738</v>
      </c>
      <c r="M1747" t="e">
        <f>INDEX(Stammdaten[Abholzigkeit (mm/lfm)],MATCH(Tabelle9[[#This Row],[Rank]],Stammdaten[Rank Verteilung Abholzigkeit],0))</f>
        <v>#N/A</v>
      </c>
      <c r="N1747" t="e">
        <f>VLOOKUP(Tabelle9[[#This Row],[Rank]],Stammdaten[[Rank Verteilung Abholzigkeit]:[Verteilung Abholzigkeit]],2,FALSE)</f>
        <v>#N/A</v>
      </c>
      <c r="S1747">
        <v>1738</v>
      </c>
      <c r="T1747" t="e">
        <f>INDEX(Stammdaten[Krümmung (mm/lfm)],MATCH(Tabelle10[[#This Row],[Rank]],Stammdaten[Rank Verteilung Krümmung],0))</f>
        <v>#N/A</v>
      </c>
      <c r="U1747" t="e">
        <f>VLOOKUP(Tabelle10[[#This Row],[Rank]],Stammdaten[[Rank Verteilung Krümmung]:[Verteilung Krümmung]],2,FALSE)</f>
        <v>#N/A</v>
      </c>
      <c r="Z1747">
        <v>1738</v>
      </c>
      <c r="AA1747" t="e">
        <f>INDEX(Stammdaten[Ovalität (']0,1'])],MATCH(Tabelle1014[[#This Row],[Rank]],Stammdaten[Rank Verteilung Ovalität],0))</f>
        <v>#N/A</v>
      </c>
      <c r="AB1747" t="e">
        <f>VLOOKUP(Tabelle1014[[#This Row],[Rank]],Stammdaten[[Rank Verteilung Ovalität]:[Verteilung Ovalität]],2,FALSE)</f>
        <v>#N/A</v>
      </c>
    </row>
    <row r="1748" spans="5:28" x14ac:dyDescent="0.35">
      <c r="E1748">
        <v>1739</v>
      </c>
      <c r="F1748" t="e">
        <f>INDEX(Stammdaten[D Mitte mit Rinde (mm)],MATCH(Tabelle8[[#This Row],[Rank]],Stammdaten[Rank Verteilung D Mitte mit Rinde],0))</f>
        <v>#N/A</v>
      </c>
      <c r="G1748" t="e">
        <f>VLOOKUP(Tabelle8[[#This Row],[Rank]],Stammdaten[[Rank Verteilung D Mitte mit Rinde]:[Verteilung D Mitte mit Rinde]],2,FALSE)</f>
        <v>#N/A</v>
      </c>
      <c r="L1748">
        <v>1739</v>
      </c>
      <c r="M1748" t="e">
        <f>INDEX(Stammdaten[Abholzigkeit (mm/lfm)],MATCH(Tabelle9[[#This Row],[Rank]],Stammdaten[Rank Verteilung Abholzigkeit],0))</f>
        <v>#N/A</v>
      </c>
      <c r="N1748" t="e">
        <f>VLOOKUP(Tabelle9[[#This Row],[Rank]],Stammdaten[[Rank Verteilung Abholzigkeit]:[Verteilung Abholzigkeit]],2,FALSE)</f>
        <v>#N/A</v>
      </c>
      <c r="S1748">
        <v>1739</v>
      </c>
      <c r="T1748" t="e">
        <f>INDEX(Stammdaten[Krümmung (mm/lfm)],MATCH(Tabelle10[[#This Row],[Rank]],Stammdaten[Rank Verteilung Krümmung],0))</f>
        <v>#N/A</v>
      </c>
      <c r="U1748" t="e">
        <f>VLOOKUP(Tabelle10[[#This Row],[Rank]],Stammdaten[[Rank Verteilung Krümmung]:[Verteilung Krümmung]],2,FALSE)</f>
        <v>#N/A</v>
      </c>
      <c r="Z1748">
        <v>1739</v>
      </c>
      <c r="AA1748" t="e">
        <f>INDEX(Stammdaten[Ovalität (']0,1'])],MATCH(Tabelle1014[[#This Row],[Rank]],Stammdaten[Rank Verteilung Ovalität],0))</f>
        <v>#N/A</v>
      </c>
      <c r="AB1748" t="e">
        <f>VLOOKUP(Tabelle1014[[#This Row],[Rank]],Stammdaten[[Rank Verteilung Ovalität]:[Verteilung Ovalität]],2,FALSE)</f>
        <v>#N/A</v>
      </c>
    </row>
    <row r="1749" spans="5:28" x14ac:dyDescent="0.35">
      <c r="E1749">
        <v>1740</v>
      </c>
      <c r="F1749" t="e">
        <f>INDEX(Stammdaten[D Mitte mit Rinde (mm)],MATCH(Tabelle8[[#This Row],[Rank]],Stammdaten[Rank Verteilung D Mitte mit Rinde],0))</f>
        <v>#N/A</v>
      </c>
      <c r="G1749" t="e">
        <f>VLOOKUP(Tabelle8[[#This Row],[Rank]],Stammdaten[[Rank Verteilung D Mitte mit Rinde]:[Verteilung D Mitte mit Rinde]],2,FALSE)</f>
        <v>#N/A</v>
      </c>
      <c r="L1749">
        <v>1740</v>
      </c>
      <c r="M1749" t="e">
        <f>INDEX(Stammdaten[Abholzigkeit (mm/lfm)],MATCH(Tabelle9[[#This Row],[Rank]],Stammdaten[Rank Verteilung Abholzigkeit],0))</f>
        <v>#N/A</v>
      </c>
      <c r="N1749" t="e">
        <f>VLOOKUP(Tabelle9[[#This Row],[Rank]],Stammdaten[[Rank Verteilung Abholzigkeit]:[Verteilung Abholzigkeit]],2,FALSE)</f>
        <v>#N/A</v>
      </c>
      <c r="S1749">
        <v>1740</v>
      </c>
      <c r="T1749" t="e">
        <f>INDEX(Stammdaten[Krümmung (mm/lfm)],MATCH(Tabelle10[[#This Row],[Rank]],Stammdaten[Rank Verteilung Krümmung],0))</f>
        <v>#N/A</v>
      </c>
      <c r="U1749" t="e">
        <f>VLOOKUP(Tabelle10[[#This Row],[Rank]],Stammdaten[[Rank Verteilung Krümmung]:[Verteilung Krümmung]],2,FALSE)</f>
        <v>#N/A</v>
      </c>
      <c r="Z1749">
        <v>1740</v>
      </c>
      <c r="AA1749" t="e">
        <f>INDEX(Stammdaten[Ovalität (']0,1'])],MATCH(Tabelle1014[[#This Row],[Rank]],Stammdaten[Rank Verteilung Ovalität],0))</f>
        <v>#N/A</v>
      </c>
      <c r="AB1749" t="e">
        <f>VLOOKUP(Tabelle1014[[#This Row],[Rank]],Stammdaten[[Rank Verteilung Ovalität]:[Verteilung Ovalität]],2,FALSE)</f>
        <v>#N/A</v>
      </c>
    </row>
    <row r="1750" spans="5:28" x14ac:dyDescent="0.35">
      <c r="E1750">
        <v>1741</v>
      </c>
      <c r="F1750" t="e">
        <f>INDEX(Stammdaten[D Mitte mit Rinde (mm)],MATCH(Tabelle8[[#This Row],[Rank]],Stammdaten[Rank Verteilung D Mitte mit Rinde],0))</f>
        <v>#N/A</v>
      </c>
      <c r="G1750" t="e">
        <f>VLOOKUP(Tabelle8[[#This Row],[Rank]],Stammdaten[[Rank Verteilung D Mitte mit Rinde]:[Verteilung D Mitte mit Rinde]],2,FALSE)</f>
        <v>#N/A</v>
      </c>
      <c r="L1750">
        <v>1741</v>
      </c>
      <c r="M1750" t="e">
        <f>INDEX(Stammdaten[Abholzigkeit (mm/lfm)],MATCH(Tabelle9[[#This Row],[Rank]],Stammdaten[Rank Verteilung Abholzigkeit],0))</f>
        <v>#N/A</v>
      </c>
      <c r="N1750" t="e">
        <f>VLOOKUP(Tabelle9[[#This Row],[Rank]],Stammdaten[[Rank Verteilung Abholzigkeit]:[Verteilung Abholzigkeit]],2,FALSE)</f>
        <v>#N/A</v>
      </c>
      <c r="S1750">
        <v>1741</v>
      </c>
      <c r="T1750" t="e">
        <f>INDEX(Stammdaten[Krümmung (mm/lfm)],MATCH(Tabelle10[[#This Row],[Rank]],Stammdaten[Rank Verteilung Krümmung],0))</f>
        <v>#N/A</v>
      </c>
      <c r="U1750" t="e">
        <f>VLOOKUP(Tabelle10[[#This Row],[Rank]],Stammdaten[[Rank Verteilung Krümmung]:[Verteilung Krümmung]],2,FALSE)</f>
        <v>#N/A</v>
      </c>
      <c r="Z1750">
        <v>1741</v>
      </c>
      <c r="AA1750" t="e">
        <f>INDEX(Stammdaten[Ovalität (']0,1'])],MATCH(Tabelle1014[[#This Row],[Rank]],Stammdaten[Rank Verteilung Ovalität],0))</f>
        <v>#N/A</v>
      </c>
      <c r="AB1750" t="e">
        <f>VLOOKUP(Tabelle1014[[#This Row],[Rank]],Stammdaten[[Rank Verteilung Ovalität]:[Verteilung Ovalität]],2,FALSE)</f>
        <v>#N/A</v>
      </c>
    </row>
    <row r="1751" spans="5:28" x14ac:dyDescent="0.35">
      <c r="E1751">
        <v>1742</v>
      </c>
      <c r="F1751" t="e">
        <f>INDEX(Stammdaten[D Mitte mit Rinde (mm)],MATCH(Tabelle8[[#This Row],[Rank]],Stammdaten[Rank Verteilung D Mitte mit Rinde],0))</f>
        <v>#N/A</v>
      </c>
      <c r="G1751" t="e">
        <f>VLOOKUP(Tabelle8[[#This Row],[Rank]],Stammdaten[[Rank Verteilung D Mitte mit Rinde]:[Verteilung D Mitte mit Rinde]],2,FALSE)</f>
        <v>#N/A</v>
      </c>
      <c r="L1751">
        <v>1742</v>
      </c>
      <c r="M1751" t="e">
        <f>INDEX(Stammdaten[Abholzigkeit (mm/lfm)],MATCH(Tabelle9[[#This Row],[Rank]],Stammdaten[Rank Verteilung Abholzigkeit],0))</f>
        <v>#N/A</v>
      </c>
      <c r="N1751" t="e">
        <f>VLOOKUP(Tabelle9[[#This Row],[Rank]],Stammdaten[[Rank Verteilung Abholzigkeit]:[Verteilung Abholzigkeit]],2,FALSE)</f>
        <v>#N/A</v>
      </c>
      <c r="S1751">
        <v>1742</v>
      </c>
      <c r="T1751" t="e">
        <f>INDEX(Stammdaten[Krümmung (mm/lfm)],MATCH(Tabelle10[[#This Row],[Rank]],Stammdaten[Rank Verteilung Krümmung],0))</f>
        <v>#N/A</v>
      </c>
      <c r="U1751" t="e">
        <f>VLOOKUP(Tabelle10[[#This Row],[Rank]],Stammdaten[[Rank Verteilung Krümmung]:[Verteilung Krümmung]],2,FALSE)</f>
        <v>#N/A</v>
      </c>
      <c r="Z1751">
        <v>1742</v>
      </c>
      <c r="AA1751" t="e">
        <f>INDEX(Stammdaten[Ovalität (']0,1'])],MATCH(Tabelle1014[[#This Row],[Rank]],Stammdaten[Rank Verteilung Ovalität],0))</f>
        <v>#N/A</v>
      </c>
      <c r="AB1751" t="e">
        <f>VLOOKUP(Tabelle1014[[#This Row],[Rank]],Stammdaten[[Rank Verteilung Ovalität]:[Verteilung Ovalität]],2,FALSE)</f>
        <v>#N/A</v>
      </c>
    </row>
    <row r="1752" spans="5:28" x14ac:dyDescent="0.35">
      <c r="E1752">
        <v>1743</v>
      </c>
      <c r="F1752" t="e">
        <f>INDEX(Stammdaten[D Mitte mit Rinde (mm)],MATCH(Tabelle8[[#This Row],[Rank]],Stammdaten[Rank Verteilung D Mitte mit Rinde],0))</f>
        <v>#N/A</v>
      </c>
      <c r="G1752" t="e">
        <f>VLOOKUP(Tabelle8[[#This Row],[Rank]],Stammdaten[[Rank Verteilung D Mitte mit Rinde]:[Verteilung D Mitte mit Rinde]],2,FALSE)</f>
        <v>#N/A</v>
      </c>
      <c r="L1752">
        <v>1743</v>
      </c>
      <c r="M1752" t="e">
        <f>INDEX(Stammdaten[Abholzigkeit (mm/lfm)],MATCH(Tabelle9[[#This Row],[Rank]],Stammdaten[Rank Verteilung Abholzigkeit],0))</f>
        <v>#N/A</v>
      </c>
      <c r="N1752" t="e">
        <f>VLOOKUP(Tabelle9[[#This Row],[Rank]],Stammdaten[[Rank Verteilung Abholzigkeit]:[Verteilung Abholzigkeit]],2,FALSE)</f>
        <v>#N/A</v>
      </c>
      <c r="S1752">
        <v>1743</v>
      </c>
      <c r="T1752" t="e">
        <f>INDEX(Stammdaten[Krümmung (mm/lfm)],MATCH(Tabelle10[[#This Row],[Rank]],Stammdaten[Rank Verteilung Krümmung],0))</f>
        <v>#N/A</v>
      </c>
      <c r="U1752" t="e">
        <f>VLOOKUP(Tabelle10[[#This Row],[Rank]],Stammdaten[[Rank Verteilung Krümmung]:[Verteilung Krümmung]],2,FALSE)</f>
        <v>#N/A</v>
      </c>
      <c r="Z1752">
        <v>1743</v>
      </c>
      <c r="AA1752" t="e">
        <f>INDEX(Stammdaten[Ovalität (']0,1'])],MATCH(Tabelle1014[[#This Row],[Rank]],Stammdaten[Rank Verteilung Ovalität],0))</f>
        <v>#N/A</v>
      </c>
      <c r="AB1752" t="e">
        <f>VLOOKUP(Tabelle1014[[#This Row],[Rank]],Stammdaten[[Rank Verteilung Ovalität]:[Verteilung Ovalität]],2,FALSE)</f>
        <v>#N/A</v>
      </c>
    </row>
    <row r="1753" spans="5:28" x14ac:dyDescent="0.35">
      <c r="E1753">
        <v>1744</v>
      </c>
      <c r="F1753" t="e">
        <f>INDEX(Stammdaten[D Mitte mit Rinde (mm)],MATCH(Tabelle8[[#This Row],[Rank]],Stammdaten[Rank Verteilung D Mitte mit Rinde],0))</f>
        <v>#N/A</v>
      </c>
      <c r="G1753" t="e">
        <f>VLOOKUP(Tabelle8[[#This Row],[Rank]],Stammdaten[[Rank Verteilung D Mitte mit Rinde]:[Verteilung D Mitte mit Rinde]],2,FALSE)</f>
        <v>#N/A</v>
      </c>
      <c r="L1753">
        <v>1744</v>
      </c>
      <c r="M1753" t="e">
        <f>INDEX(Stammdaten[Abholzigkeit (mm/lfm)],MATCH(Tabelle9[[#This Row],[Rank]],Stammdaten[Rank Verteilung Abholzigkeit],0))</f>
        <v>#N/A</v>
      </c>
      <c r="N1753" t="e">
        <f>VLOOKUP(Tabelle9[[#This Row],[Rank]],Stammdaten[[Rank Verteilung Abholzigkeit]:[Verteilung Abholzigkeit]],2,FALSE)</f>
        <v>#N/A</v>
      </c>
      <c r="S1753">
        <v>1744</v>
      </c>
      <c r="T1753" t="e">
        <f>INDEX(Stammdaten[Krümmung (mm/lfm)],MATCH(Tabelle10[[#This Row],[Rank]],Stammdaten[Rank Verteilung Krümmung],0))</f>
        <v>#N/A</v>
      </c>
      <c r="U1753" t="e">
        <f>VLOOKUP(Tabelle10[[#This Row],[Rank]],Stammdaten[[Rank Verteilung Krümmung]:[Verteilung Krümmung]],2,FALSE)</f>
        <v>#N/A</v>
      </c>
      <c r="Z1753">
        <v>1744</v>
      </c>
      <c r="AA1753" t="e">
        <f>INDEX(Stammdaten[Ovalität (']0,1'])],MATCH(Tabelle1014[[#This Row],[Rank]],Stammdaten[Rank Verteilung Ovalität],0))</f>
        <v>#N/A</v>
      </c>
      <c r="AB1753" t="e">
        <f>VLOOKUP(Tabelle1014[[#This Row],[Rank]],Stammdaten[[Rank Verteilung Ovalität]:[Verteilung Ovalität]],2,FALSE)</f>
        <v>#N/A</v>
      </c>
    </row>
    <row r="1754" spans="5:28" x14ac:dyDescent="0.35">
      <c r="E1754">
        <v>1745</v>
      </c>
      <c r="F1754" t="e">
        <f>INDEX(Stammdaten[D Mitte mit Rinde (mm)],MATCH(Tabelle8[[#This Row],[Rank]],Stammdaten[Rank Verteilung D Mitte mit Rinde],0))</f>
        <v>#N/A</v>
      </c>
      <c r="G1754" t="e">
        <f>VLOOKUP(Tabelle8[[#This Row],[Rank]],Stammdaten[[Rank Verteilung D Mitte mit Rinde]:[Verteilung D Mitte mit Rinde]],2,FALSE)</f>
        <v>#N/A</v>
      </c>
      <c r="L1754">
        <v>1745</v>
      </c>
      <c r="M1754" t="e">
        <f>INDEX(Stammdaten[Abholzigkeit (mm/lfm)],MATCH(Tabelle9[[#This Row],[Rank]],Stammdaten[Rank Verteilung Abholzigkeit],0))</f>
        <v>#N/A</v>
      </c>
      <c r="N1754" t="e">
        <f>VLOOKUP(Tabelle9[[#This Row],[Rank]],Stammdaten[[Rank Verteilung Abholzigkeit]:[Verteilung Abholzigkeit]],2,FALSE)</f>
        <v>#N/A</v>
      </c>
      <c r="S1754">
        <v>1745</v>
      </c>
      <c r="T1754" t="e">
        <f>INDEX(Stammdaten[Krümmung (mm/lfm)],MATCH(Tabelle10[[#This Row],[Rank]],Stammdaten[Rank Verteilung Krümmung],0))</f>
        <v>#N/A</v>
      </c>
      <c r="U1754" t="e">
        <f>VLOOKUP(Tabelle10[[#This Row],[Rank]],Stammdaten[[Rank Verteilung Krümmung]:[Verteilung Krümmung]],2,FALSE)</f>
        <v>#N/A</v>
      </c>
      <c r="Z1754">
        <v>1745</v>
      </c>
      <c r="AA1754" t="e">
        <f>INDEX(Stammdaten[Ovalität (']0,1'])],MATCH(Tabelle1014[[#This Row],[Rank]],Stammdaten[Rank Verteilung Ovalität],0))</f>
        <v>#N/A</v>
      </c>
      <c r="AB1754" t="e">
        <f>VLOOKUP(Tabelle1014[[#This Row],[Rank]],Stammdaten[[Rank Verteilung Ovalität]:[Verteilung Ovalität]],2,FALSE)</f>
        <v>#N/A</v>
      </c>
    </row>
    <row r="1755" spans="5:28" x14ac:dyDescent="0.35">
      <c r="E1755">
        <v>1746</v>
      </c>
      <c r="F1755" t="e">
        <f>INDEX(Stammdaten[D Mitte mit Rinde (mm)],MATCH(Tabelle8[[#This Row],[Rank]],Stammdaten[Rank Verteilung D Mitte mit Rinde],0))</f>
        <v>#N/A</v>
      </c>
      <c r="G1755" t="e">
        <f>VLOOKUP(Tabelle8[[#This Row],[Rank]],Stammdaten[[Rank Verteilung D Mitte mit Rinde]:[Verteilung D Mitte mit Rinde]],2,FALSE)</f>
        <v>#N/A</v>
      </c>
      <c r="L1755">
        <v>1746</v>
      </c>
      <c r="M1755" t="e">
        <f>INDEX(Stammdaten[Abholzigkeit (mm/lfm)],MATCH(Tabelle9[[#This Row],[Rank]],Stammdaten[Rank Verteilung Abholzigkeit],0))</f>
        <v>#N/A</v>
      </c>
      <c r="N1755" t="e">
        <f>VLOOKUP(Tabelle9[[#This Row],[Rank]],Stammdaten[[Rank Verteilung Abholzigkeit]:[Verteilung Abholzigkeit]],2,FALSE)</f>
        <v>#N/A</v>
      </c>
      <c r="S1755">
        <v>1746</v>
      </c>
      <c r="T1755" t="e">
        <f>INDEX(Stammdaten[Krümmung (mm/lfm)],MATCH(Tabelle10[[#This Row],[Rank]],Stammdaten[Rank Verteilung Krümmung],0))</f>
        <v>#N/A</v>
      </c>
      <c r="U1755" t="e">
        <f>VLOOKUP(Tabelle10[[#This Row],[Rank]],Stammdaten[[Rank Verteilung Krümmung]:[Verteilung Krümmung]],2,FALSE)</f>
        <v>#N/A</v>
      </c>
      <c r="Z1755">
        <v>1746</v>
      </c>
      <c r="AA1755" t="e">
        <f>INDEX(Stammdaten[Ovalität (']0,1'])],MATCH(Tabelle1014[[#This Row],[Rank]],Stammdaten[Rank Verteilung Ovalität],0))</f>
        <v>#N/A</v>
      </c>
      <c r="AB1755" t="e">
        <f>VLOOKUP(Tabelle1014[[#This Row],[Rank]],Stammdaten[[Rank Verteilung Ovalität]:[Verteilung Ovalität]],2,FALSE)</f>
        <v>#N/A</v>
      </c>
    </row>
    <row r="1756" spans="5:28" x14ac:dyDescent="0.35">
      <c r="E1756">
        <v>1747</v>
      </c>
      <c r="F1756" t="e">
        <f>INDEX(Stammdaten[D Mitte mit Rinde (mm)],MATCH(Tabelle8[[#This Row],[Rank]],Stammdaten[Rank Verteilung D Mitte mit Rinde],0))</f>
        <v>#N/A</v>
      </c>
      <c r="G1756" t="e">
        <f>VLOOKUP(Tabelle8[[#This Row],[Rank]],Stammdaten[[Rank Verteilung D Mitte mit Rinde]:[Verteilung D Mitte mit Rinde]],2,FALSE)</f>
        <v>#N/A</v>
      </c>
      <c r="L1756">
        <v>1747</v>
      </c>
      <c r="M1756" t="e">
        <f>INDEX(Stammdaten[Abholzigkeit (mm/lfm)],MATCH(Tabelle9[[#This Row],[Rank]],Stammdaten[Rank Verteilung Abholzigkeit],0))</f>
        <v>#N/A</v>
      </c>
      <c r="N1756" t="e">
        <f>VLOOKUP(Tabelle9[[#This Row],[Rank]],Stammdaten[[Rank Verteilung Abholzigkeit]:[Verteilung Abholzigkeit]],2,FALSE)</f>
        <v>#N/A</v>
      </c>
      <c r="S1756">
        <v>1747</v>
      </c>
      <c r="T1756" t="e">
        <f>INDEX(Stammdaten[Krümmung (mm/lfm)],MATCH(Tabelle10[[#This Row],[Rank]],Stammdaten[Rank Verteilung Krümmung],0))</f>
        <v>#N/A</v>
      </c>
      <c r="U1756" t="e">
        <f>VLOOKUP(Tabelle10[[#This Row],[Rank]],Stammdaten[[Rank Verteilung Krümmung]:[Verteilung Krümmung]],2,FALSE)</f>
        <v>#N/A</v>
      </c>
      <c r="Z1756">
        <v>1747</v>
      </c>
      <c r="AA1756" t="e">
        <f>INDEX(Stammdaten[Ovalität (']0,1'])],MATCH(Tabelle1014[[#This Row],[Rank]],Stammdaten[Rank Verteilung Ovalität],0))</f>
        <v>#N/A</v>
      </c>
      <c r="AB1756" t="e">
        <f>VLOOKUP(Tabelle1014[[#This Row],[Rank]],Stammdaten[[Rank Verteilung Ovalität]:[Verteilung Ovalität]],2,FALSE)</f>
        <v>#N/A</v>
      </c>
    </row>
    <row r="1757" spans="5:28" x14ac:dyDescent="0.35">
      <c r="E1757">
        <v>1748</v>
      </c>
      <c r="F1757" t="e">
        <f>INDEX(Stammdaten[D Mitte mit Rinde (mm)],MATCH(Tabelle8[[#This Row],[Rank]],Stammdaten[Rank Verteilung D Mitte mit Rinde],0))</f>
        <v>#N/A</v>
      </c>
      <c r="G1757" t="e">
        <f>VLOOKUP(Tabelle8[[#This Row],[Rank]],Stammdaten[[Rank Verteilung D Mitte mit Rinde]:[Verteilung D Mitte mit Rinde]],2,FALSE)</f>
        <v>#N/A</v>
      </c>
      <c r="L1757">
        <v>1748</v>
      </c>
      <c r="M1757" t="e">
        <f>INDEX(Stammdaten[Abholzigkeit (mm/lfm)],MATCH(Tabelle9[[#This Row],[Rank]],Stammdaten[Rank Verteilung Abholzigkeit],0))</f>
        <v>#N/A</v>
      </c>
      <c r="N1757" t="e">
        <f>VLOOKUP(Tabelle9[[#This Row],[Rank]],Stammdaten[[Rank Verteilung Abholzigkeit]:[Verteilung Abholzigkeit]],2,FALSE)</f>
        <v>#N/A</v>
      </c>
      <c r="S1757">
        <v>1748</v>
      </c>
      <c r="T1757" t="e">
        <f>INDEX(Stammdaten[Krümmung (mm/lfm)],MATCH(Tabelle10[[#This Row],[Rank]],Stammdaten[Rank Verteilung Krümmung],0))</f>
        <v>#N/A</v>
      </c>
      <c r="U1757" t="e">
        <f>VLOOKUP(Tabelle10[[#This Row],[Rank]],Stammdaten[[Rank Verteilung Krümmung]:[Verteilung Krümmung]],2,FALSE)</f>
        <v>#N/A</v>
      </c>
      <c r="Z1757">
        <v>1748</v>
      </c>
      <c r="AA1757" t="e">
        <f>INDEX(Stammdaten[Ovalität (']0,1'])],MATCH(Tabelle1014[[#This Row],[Rank]],Stammdaten[Rank Verteilung Ovalität],0))</f>
        <v>#N/A</v>
      </c>
      <c r="AB1757" t="e">
        <f>VLOOKUP(Tabelle1014[[#This Row],[Rank]],Stammdaten[[Rank Verteilung Ovalität]:[Verteilung Ovalität]],2,FALSE)</f>
        <v>#N/A</v>
      </c>
    </row>
    <row r="1758" spans="5:28" x14ac:dyDescent="0.35">
      <c r="E1758">
        <v>1749</v>
      </c>
      <c r="F1758" t="e">
        <f>INDEX(Stammdaten[D Mitte mit Rinde (mm)],MATCH(Tabelle8[[#This Row],[Rank]],Stammdaten[Rank Verteilung D Mitte mit Rinde],0))</f>
        <v>#N/A</v>
      </c>
      <c r="G1758" t="e">
        <f>VLOOKUP(Tabelle8[[#This Row],[Rank]],Stammdaten[[Rank Verteilung D Mitte mit Rinde]:[Verteilung D Mitte mit Rinde]],2,FALSE)</f>
        <v>#N/A</v>
      </c>
      <c r="L1758">
        <v>1749</v>
      </c>
      <c r="M1758" t="e">
        <f>INDEX(Stammdaten[Abholzigkeit (mm/lfm)],MATCH(Tabelle9[[#This Row],[Rank]],Stammdaten[Rank Verteilung Abholzigkeit],0))</f>
        <v>#N/A</v>
      </c>
      <c r="N1758" t="e">
        <f>VLOOKUP(Tabelle9[[#This Row],[Rank]],Stammdaten[[Rank Verteilung Abholzigkeit]:[Verteilung Abholzigkeit]],2,FALSE)</f>
        <v>#N/A</v>
      </c>
      <c r="S1758">
        <v>1749</v>
      </c>
      <c r="T1758" t="e">
        <f>INDEX(Stammdaten[Krümmung (mm/lfm)],MATCH(Tabelle10[[#This Row],[Rank]],Stammdaten[Rank Verteilung Krümmung],0))</f>
        <v>#N/A</v>
      </c>
      <c r="U1758" t="e">
        <f>VLOOKUP(Tabelle10[[#This Row],[Rank]],Stammdaten[[Rank Verteilung Krümmung]:[Verteilung Krümmung]],2,FALSE)</f>
        <v>#N/A</v>
      </c>
      <c r="Z1758">
        <v>1749</v>
      </c>
      <c r="AA1758" t="e">
        <f>INDEX(Stammdaten[Ovalität (']0,1'])],MATCH(Tabelle1014[[#This Row],[Rank]],Stammdaten[Rank Verteilung Ovalität],0))</f>
        <v>#N/A</v>
      </c>
      <c r="AB1758" t="e">
        <f>VLOOKUP(Tabelle1014[[#This Row],[Rank]],Stammdaten[[Rank Verteilung Ovalität]:[Verteilung Ovalität]],2,FALSE)</f>
        <v>#N/A</v>
      </c>
    </row>
    <row r="1759" spans="5:28" x14ac:dyDescent="0.35">
      <c r="E1759">
        <v>1750</v>
      </c>
      <c r="F1759" t="e">
        <f>INDEX(Stammdaten[D Mitte mit Rinde (mm)],MATCH(Tabelle8[[#This Row],[Rank]],Stammdaten[Rank Verteilung D Mitte mit Rinde],0))</f>
        <v>#N/A</v>
      </c>
      <c r="G1759" t="e">
        <f>VLOOKUP(Tabelle8[[#This Row],[Rank]],Stammdaten[[Rank Verteilung D Mitte mit Rinde]:[Verteilung D Mitte mit Rinde]],2,FALSE)</f>
        <v>#N/A</v>
      </c>
      <c r="L1759">
        <v>1750</v>
      </c>
      <c r="M1759" t="e">
        <f>INDEX(Stammdaten[Abholzigkeit (mm/lfm)],MATCH(Tabelle9[[#This Row],[Rank]],Stammdaten[Rank Verteilung Abholzigkeit],0))</f>
        <v>#N/A</v>
      </c>
      <c r="N1759" t="e">
        <f>VLOOKUP(Tabelle9[[#This Row],[Rank]],Stammdaten[[Rank Verteilung Abholzigkeit]:[Verteilung Abholzigkeit]],2,FALSE)</f>
        <v>#N/A</v>
      </c>
      <c r="S1759">
        <v>1750</v>
      </c>
      <c r="T1759" t="e">
        <f>INDEX(Stammdaten[Krümmung (mm/lfm)],MATCH(Tabelle10[[#This Row],[Rank]],Stammdaten[Rank Verteilung Krümmung],0))</f>
        <v>#N/A</v>
      </c>
      <c r="U1759" t="e">
        <f>VLOOKUP(Tabelle10[[#This Row],[Rank]],Stammdaten[[Rank Verteilung Krümmung]:[Verteilung Krümmung]],2,FALSE)</f>
        <v>#N/A</v>
      </c>
      <c r="Z1759">
        <v>1750</v>
      </c>
      <c r="AA1759" t="e">
        <f>INDEX(Stammdaten[Ovalität (']0,1'])],MATCH(Tabelle1014[[#This Row],[Rank]],Stammdaten[Rank Verteilung Ovalität],0))</f>
        <v>#N/A</v>
      </c>
      <c r="AB1759" t="e">
        <f>VLOOKUP(Tabelle1014[[#This Row],[Rank]],Stammdaten[[Rank Verteilung Ovalität]:[Verteilung Ovalität]],2,FALSE)</f>
        <v>#N/A</v>
      </c>
    </row>
    <row r="1760" spans="5:28" x14ac:dyDescent="0.35">
      <c r="E1760">
        <v>1751</v>
      </c>
      <c r="F1760" t="e">
        <f>INDEX(Stammdaten[D Mitte mit Rinde (mm)],MATCH(Tabelle8[[#This Row],[Rank]],Stammdaten[Rank Verteilung D Mitte mit Rinde],0))</f>
        <v>#N/A</v>
      </c>
      <c r="G1760" t="e">
        <f>VLOOKUP(Tabelle8[[#This Row],[Rank]],Stammdaten[[Rank Verteilung D Mitte mit Rinde]:[Verteilung D Mitte mit Rinde]],2,FALSE)</f>
        <v>#N/A</v>
      </c>
      <c r="L1760">
        <v>1751</v>
      </c>
      <c r="M1760" t="e">
        <f>INDEX(Stammdaten[Abholzigkeit (mm/lfm)],MATCH(Tabelle9[[#This Row],[Rank]],Stammdaten[Rank Verteilung Abholzigkeit],0))</f>
        <v>#N/A</v>
      </c>
      <c r="N1760" t="e">
        <f>VLOOKUP(Tabelle9[[#This Row],[Rank]],Stammdaten[[Rank Verteilung Abholzigkeit]:[Verteilung Abholzigkeit]],2,FALSE)</f>
        <v>#N/A</v>
      </c>
      <c r="S1760">
        <v>1751</v>
      </c>
      <c r="T1760" t="e">
        <f>INDEX(Stammdaten[Krümmung (mm/lfm)],MATCH(Tabelle10[[#This Row],[Rank]],Stammdaten[Rank Verteilung Krümmung],0))</f>
        <v>#N/A</v>
      </c>
      <c r="U1760" t="e">
        <f>VLOOKUP(Tabelle10[[#This Row],[Rank]],Stammdaten[[Rank Verteilung Krümmung]:[Verteilung Krümmung]],2,FALSE)</f>
        <v>#N/A</v>
      </c>
      <c r="Z1760">
        <v>1751</v>
      </c>
      <c r="AA1760" t="e">
        <f>INDEX(Stammdaten[Ovalität (']0,1'])],MATCH(Tabelle1014[[#This Row],[Rank]],Stammdaten[Rank Verteilung Ovalität],0))</f>
        <v>#N/A</v>
      </c>
      <c r="AB1760" t="e">
        <f>VLOOKUP(Tabelle1014[[#This Row],[Rank]],Stammdaten[[Rank Verteilung Ovalität]:[Verteilung Ovalität]],2,FALSE)</f>
        <v>#N/A</v>
      </c>
    </row>
    <row r="1761" spans="5:28" x14ac:dyDescent="0.35">
      <c r="E1761">
        <v>1752</v>
      </c>
      <c r="F1761" t="e">
        <f>INDEX(Stammdaten[D Mitte mit Rinde (mm)],MATCH(Tabelle8[[#This Row],[Rank]],Stammdaten[Rank Verteilung D Mitte mit Rinde],0))</f>
        <v>#N/A</v>
      </c>
      <c r="G1761" t="e">
        <f>VLOOKUP(Tabelle8[[#This Row],[Rank]],Stammdaten[[Rank Verteilung D Mitte mit Rinde]:[Verteilung D Mitte mit Rinde]],2,FALSE)</f>
        <v>#N/A</v>
      </c>
      <c r="L1761">
        <v>1752</v>
      </c>
      <c r="M1761" t="e">
        <f>INDEX(Stammdaten[Abholzigkeit (mm/lfm)],MATCH(Tabelle9[[#This Row],[Rank]],Stammdaten[Rank Verteilung Abholzigkeit],0))</f>
        <v>#N/A</v>
      </c>
      <c r="N1761" t="e">
        <f>VLOOKUP(Tabelle9[[#This Row],[Rank]],Stammdaten[[Rank Verteilung Abholzigkeit]:[Verteilung Abholzigkeit]],2,FALSE)</f>
        <v>#N/A</v>
      </c>
      <c r="S1761">
        <v>1752</v>
      </c>
      <c r="T1761" t="e">
        <f>INDEX(Stammdaten[Krümmung (mm/lfm)],MATCH(Tabelle10[[#This Row],[Rank]],Stammdaten[Rank Verteilung Krümmung],0))</f>
        <v>#N/A</v>
      </c>
      <c r="U1761" t="e">
        <f>VLOOKUP(Tabelle10[[#This Row],[Rank]],Stammdaten[[Rank Verteilung Krümmung]:[Verteilung Krümmung]],2,FALSE)</f>
        <v>#N/A</v>
      </c>
      <c r="Z1761">
        <v>1752</v>
      </c>
      <c r="AA1761" t="e">
        <f>INDEX(Stammdaten[Ovalität (']0,1'])],MATCH(Tabelle1014[[#This Row],[Rank]],Stammdaten[Rank Verteilung Ovalität],0))</f>
        <v>#N/A</v>
      </c>
      <c r="AB1761" t="e">
        <f>VLOOKUP(Tabelle1014[[#This Row],[Rank]],Stammdaten[[Rank Verteilung Ovalität]:[Verteilung Ovalität]],2,FALSE)</f>
        <v>#N/A</v>
      </c>
    </row>
    <row r="1762" spans="5:28" x14ac:dyDescent="0.35">
      <c r="E1762">
        <v>1753</v>
      </c>
      <c r="F1762" t="e">
        <f>INDEX(Stammdaten[D Mitte mit Rinde (mm)],MATCH(Tabelle8[[#This Row],[Rank]],Stammdaten[Rank Verteilung D Mitte mit Rinde],0))</f>
        <v>#N/A</v>
      </c>
      <c r="G1762" t="e">
        <f>VLOOKUP(Tabelle8[[#This Row],[Rank]],Stammdaten[[Rank Verteilung D Mitte mit Rinde]:[Verteilung D Mitte mit Rinde]],2,FALSE)</f>
        <v>#N/A</v>
      </c>
      <c r="L1762">
        <v>1753</v>
      </c>
      <c r="M1762" t="e">
        <f>INDEX(Stammdaten[Abholzigkeit (mm/lfm)],MATCH(Tabelle9[[#This Row],[Rank]],Stammdaten[Rank Verteilung Abholzigkeit],0))</f>
        <v>#N/A</v>
      </c>
      <c r="N1762" t="e">
        <f>VLOOKUP(Tabelle9[[#This Row],[Rank]],Stammdaten[[Rank Verteilung Abholzigkeit]:[Verteilung Abholzigkeit]],2,FALSE)</f>
        <v>#N/A</v>
      </c>
      <c r="S1762">
        <v>1753</v>
      </c>
      <c r="T1762" t="e">
        <f>INDEX(Stammdaten[Krümmung (mm/lfm)],MATCH(Tabelle10[[#This Row],[Rank]],Stammdaten[Rank Verteilung Krümmung],0))</f>
        <v>#N/A</v>
      </c>
      <c r="U1762" t="e">
        <f>VLOOKUP(Tabelle10[[#This Row],[Rank]],Stammdaten[[Rank Verteilung Krümmung]:[Verteilung Krümmung]],2,FALSE)</f>
        <v>#N/A</v>
      </c>
      <c r="Z1762">
        <v>1753</v>
      </c>
      <c r="AA1762" t="e">
        <f>INDEX(Stammdaten[Ovalität (']0,1'])],MATCH(Tabelle1014[[#This Row],[Rank]],Stammdaten[Rank Verteilung Ovalität],0))</f>
        <v>#N/A</v>
      </c>
      <c r="AB1762" t="e">
        <f>VLOOKUP(Tabelle1014[[#This Row],[Rank]],Stammdaten[[Rank Verteilung Ovalität]:[Verteilung Ovalität]],2,FALSE)</f>
        <v>#N/A</v>
      </c>
    </row>
    <row r="1763" spans="5:28" x14ac:dyDescent="0.35">
      <c r="E1763">
        <v>1754</v>
      </c>
      <c r="F1763" t="e">
        <f>INDEX(Stammdaten[D Mitte mit Rinde (mm)],MATCH(Tabelle8[[#This Row],[Rank]],Stammdaten[Rank Verteilung D Mitte mit Rinde],0))</f>
        <v>#N/A</v>
      </c>
      <c r="G1763" t="e">
        <f>VLOOKUP(Tabelle8[[#This Row],[Rank]],Stammdaten[[Rank Verteilung D Mitte mit Rinde]:[Verteilung D Mitte mit Rinde]],2,FALSE)</f>
        <v>#N/A</v>
      </c>
      <c r="L1763">
        <v>1754</v>
      </c>
      <c r="M1763" t="e">
        <f>INDEX(Stammdaten[Abholzigkeit (mm/lfm)],MATCH(Tabelle9[[#This Row],[Rank]],Stammdaten[Rank Verteilung Abholzigkeit],0))</f>
        <v>#N/A</v>
      </c>
      <c r="N1763" t="e">
        <f>VLOOKUP(Tabelle9[[#This Row],[Rank]],Stammdaten[[Rank Verteilung Abholzigkeit]:[Verteilung Abholzigkeit]],2,FALSE)</f>
        <v>#N/A</v>
      </c>
      <c r="S1763">
        <v>1754</v>
      </c>
      <c r="T1763" t="e">
        <f>INDEX(Stammdaten[Krümmung (mm/lfm)],MATCH(Tabelle10[[#This Row],[Rank]],Stammdaten[Rank Verteilung Krümmung],0))</f>
        <v>#N/A</v>
      </c>
      <c r="U1763" t="e">
        <f>VLOOKUP(Tabelle10[[#This Row],[Rank]],Stammdaten[[Rank Verteilung Krümmung]:[Verteilung Krümmung]],2,FALSE)</f>
        <v>#N/A</v>
      </c>
      <c r="Z1763">
        <v>1754</v>
      </c>
      <c r="AA1763" t="e">
        <f>INDEX(Stammdaten[Ovalität (']0,1'])],MATCH(Tabelle1014[[#This Row],[Rank]],Stammdaten[Rank Verteilung Ovalität],0))</f>
        <v>#N/A</v>
      </c>
      <c r="AB1763" t="e">
        <f>VLOOKUP(Tabelle1014[[#This Row],[Rank]],Stammdaten[[Rank Verteilung Ovalität]:[Verteilung Ovalität]],2,FALSE)</f>
        <v>#N/A</v>
      </c>
    </row>
    <row r="1764" spans="5:28" x14ac:dyDescent="0.35">
      <c r="E1764">
        <v>1755</v>
      </c>
      <c r="F1764" t="e">
        <f>INDEX(Stammdaten[D Mitte mit Rinde (mm)],MATCH(Tabelle8[[#This Row],[Rank]],Stammdaten[Rank Verteilung D Mitte mit Rinde],0))</f>
        <v>#N/A</v>
      </c>
      <c r="G1764" t="e">
        <f>VLOOKUP(Tabelle8[[#This Row],[Rank]],Stammdaten[[Rank Verteilung D Mitte mit Rinde]:[Verteilung D Mitte mit Rinde]],2,FALSE)</f>
        <v>#N/A</v>
      </c>
      <c r="L1764">
        <v>1755</v>
      </c>
      <c r="M1764" t="e">
        <f>INDEX(Stammdaten[Abholzigkeit (mm/lfm)],MATCH(Tabelle9[[#This Row],[Rank]],Stammdaten[Rank Verteilung Abholzigkeit],0))</f>
        <v>#N/A</v>
      </c>
      <c r="N1764" t="e">
        <f>VLOOKUP(Tabelle9[[#This Row],[Rank]],Stammdaten[[Rank Verteilung Abholzigkeit]:[Verteilung Abholzigkeit]],2,FALSE)</f>
        <v>#N/A</v>
      </c>
      <c r="S1764">
        <v>1755</v>
      </c>
      <c r="T1764" t="e">
        <f>INDEX(Stammdaten[Krümmung (mm/lfm)],MATCH(Tabelle10[[#This Row],[Rank]],Stammdaten[Rank Verteilung Krümmung],0))</f>
        <v>#N/A</v>
      </c>
      <c r="U1764" t="e">
        <f>VLOOKUP(Tabelle10[[#This Row],[Rank]],Stammdaten[[Rank Verteilung Krümmung]:[Verteilung Krümmung]],2,FALSE)</f>
        <v>#N/A</v>
      </c>
      <c r="Z1764">
        <v>1755</v>
      </c>
      <c r="AA1764" t="e">
        <f>INDEX(Stammdaten[Ovalität (']0,1'])],MATCH(Tabelle1014[[#This Row],[Rank]],Stammdaten[Rank Verteilung Ovalität],0))</f>
        <v>#N/A</v>
      </c>
      <c r="AB1764" t="e">
        <f>VLOOKUP(Tabelle1014[[#This Row],[Rank]],Stammdaten[[Rank Verteilung Ovalität]:[Verteilung Ovalität]],2,FALSE)</f>
        <v>#N/A</v>
      </c>
    </row>
    <row r="1765" spans="5:28" x14ac:dyDescent="0.35">
      <c r="E1765">
        <v>1756</v>
      </c>
      <c r="F1765" t="e">
        <f>INDEX(Stammdaten[D Mitte mit Rinde (mm)],MATCH(Tabelle8[[#This Row],[Rank]],Stammdaten[Rank Verteilung D Mitte mit Rinde],0))</f>
        <v>#N/A</v>
      </c>
      <c r="G1765" t="e">
        <f>VLOOKUP(Tabelle8[[#This Row],[Rank]],Stammdaten[[Rank Verteilung D Mitte mit Rinde]:[Verteilung D Mitte mit Rinde]],2,FALSE)</f>
        <v>#N/A</v>
      </c>
      <c r="L1765">
        <v>1756</v>
      </c>
      <c r="M1765" t="e">
        <f>INDEX(Stammdaten[Abholzigkeit (mm/lfm)],MATCH(Tabelle9[[#This Row],[Rank]],Stammdaten[Rank Verteilung Abholzigkeit],0))</f>
        <v>#N/A</v>
      </c>
      <c r="N1765" t="e">
        <f>VLOOKUP(Tabelle9[[#This Row],[Rank]],Stammdaten[[Rank Verteilung Abholzigkeit]:[Verteilung Abholzigkeit]],2,FALSE)</f>
        <v>#N/A</v>
      </c>
      <c r="S1765">
        <v>1756</v>
      </c>
      <c r="T1765" t="e">
        <f>INDEX(Stammdaten[Krümmung (mm/lfm)],MATCH(Tabelle10[[#This Row],[Rank]],Stammdaten[Rank Verteilung Krümmung],0))</f>
        <v>#N/A</v>
      </c>
      <c r="U1765" t="e">
        <f>VLOOKUP(Tabelle10[[#This Row],[Rank]],Stammdaten[[Rank Verteilung Krümmung]:[Verteilung Krümmung]],2,FALSE)</f>
        <v>#N/A</v>
      </c>
      <c r="Z1765">
        <v>1756</v>
      </c>
      <c r="AA1765" t="e">
        <f>INDEX(Stammdaten[Ovalität (']0,1'])],MATCH(Tabelle1014[[#This Row],[Rank]],Stammdaten[Rank Verteilung Ovalität],0))</f>
        <v>#N/A</v>
      </c>
      <c r="AB1765" t="e">
        <f>VLOOKUP(Tabelle1014[[#This Row],[Rank]],Stammdaten[[Rank Verteilung Ovalität]:[Verteilung Ovalität]],2,FALSE)</f>
        <v>#N/A</v>
      </c>
    </row>
    <row r="1766" spans="5:28" x14ac:dyDescent="0.35">
      <c r="E1766">
        <v>1757</v>
      </c>
      <c r="F1766" t="e">
        <f>INDEX(Stammdaten[D Mitte mit Rinde (mm)],MATCH(Tabelle8[[#This Row],[Rank]],Stammdaten[Rank Verteilung D Mitte mit Rinde],0))</f>
        <v>#N/A</v>
      </c>
      <c r="G1766" t="e">
        <f>VLOOKUP(Tabelle8[[#This Row],[Rank]],Stammdaten[[Rank Verteilung D Mitte mit Rinde]:[Verteilung D Mitte mit Rinde]],2,FALSE)</f>
        <v>#N/A</v>
      </c>
      <c r="L1766">
        <v>1757</v>
      </c>
      <c r="M1766" t="e">
        <f>INDEX(Stammdaten[Abholzigkeit (mm/lfm)],MATCH(Tabelle9[[#This Row],[Rank]],Stammdaten[Rank Verteilung Abholzigkeit],0))</f>
        <v>#N/A</v>
      </c>
      <c r="N1766" t="e">
        <f>VLOOKUP(Tabelle9[[#This Row],[Rank]],Stammdaten[[Rank Verteilung Abholzigkeit]:[Verteilung Abholzigkeit]],2,FALSE)</f>
        <v>#N/A</v>
      </c>
      <c r="S1766">
        <v>1757</v>
      </c>
      <c r="T1766" t="e">
        <f>INDEX(Stammdaten[Krümmung (mm/lfm)],MATCH(Tabelle10[[#This Row],[Rank]],Stammdaten[Rank Verteilung Krümmung],0))</f>
        <v>#N/A</v>
      </c>
      <c r="U1766" t="e">
        <f>VLOOKUP(Tabelle10[[#This Row],[Rank]],Stammdaten[[Rank Verteilung Krümmung]:[Verteilung Krümmung]],2,FALSE)</f>
        <v>#N/A</v>
      </c>
      <c r="Z1766">
        <v>1757</v>
      </c>
      <c r="AA1766" t="e">
        <f>INDEX(Stammdaten[Ovalität (']0,1'])],MATCH(Tabelle1014[[#This Row],[Rank]],Stammdaten[Rank Verteilung Ovalität],0))</f>
        <v>#N/A</v>
      </c>
      <c r="AB1766" t="e">
        <f>VLOOKUP(Tabelle1014[[#This Row],[Rank]],Stammdaten[[Rank Verteilung Ovalität]:[Verteilung Ovalität]],2,FALSE)</f>
        <v>#N/A</v>
      </c>
    </row>
    <row r="1767" spans="5:28" x14ac:dyDescent="0.35">
      <c r="E1767">
        <v>1758</v>
      </c>
      <c r="F1767" t="e">
        <f>INDEX(Stammdaten[D Mitte mit Rinde (mm)],MATCH(Tabelle8[[#This Row],[Rank]],Stammdaten[Rank Verteilung D Mitte mit Rinde],0))</f>
        <v>#N/A</v>
      </c>
      <c r="G1767" t="e">
        <f>VLOOKUP(Tabelle8[[#This Row],[Rank]],Stammdaten[[Rank Verteilung D Mitte mit Rinde]:[Verteilung D Mitte mit Rinde]],2,FALSE)</f>
        <v>#N/A</v>
      </c>
      <c r="L1767">
        <v>1758</v>
      </c>
      <c r="M1767" t="e">
        <f>INDEX(Stammdaten[Abholzigkeit (mm/lfm)],MATCH(Tabelle9[[#This Row],[Rank]],Stammdaten[Rank Verteilung Abholzigkeit],0))</f>
        <v>#N/A</v>
      </c>
      <c r="N1767" t="e">
        <f>VLOOKUP(Tabelle9[[#This Row],[Rank]],Stammdaten[[Rank Verteilung Abholzigkeit]:[Verteilung Abholzigkeit]],2,FALSE)</f>
        <v>#N/A</v>
      </c>
      <c r="S1767">
        <v>1758</v>
      </c>
      <c r="T1767" t="e">
        <f>INDEX(Stammdaten[Krümmung (mm/lfm)],MATCH(Tabelle10[[#This Row],[Rank]],Stammdaten[Rank Verteilung Krümmung],0))</f>
        <v>#N/A</v>
      </c>
      <c r="U1767" t="e">
        <f>VLOOKUP(Tabelle10[[#This Row],[Rank]],Stammdaten[[Rank Verteilung Krümmung]:[Verteilung Krümmung]],2,FALSE)</f>
        <v>#N/A</v>
      </c>
      <c r="Z1767">
        <v>1758</v>
      </c>
      <c r="AA1767" t="e">
        <f>INDEX(Stammdaten[Ovalität (']0,1'])],MATCH(Tabelle1014[[#This Row],[Rank]],Stammdaten[Rank Verteilung Ovalität],0))</f>
        <v>#N/A</v>
      </c>
      <c r="AB1767" t="e">
        <f>VLOOKUP(Tabelle1014[[#This Row],[Rank]],Stammdaten[[Rank Verteilung Ovalität]:[Verteilung Ovalität]],2,FALSE)</f>
        <v>#N/A</v>
      </c>
    </row>
    <row r="1768" spans="5:28" x14ac:dyDescent="0.35">
      <c r="E1768">
        <v>1759</v>
      </c>
      <c r="F1768" t="e">
        <f>INDEX(Stammdaten[D Mitte mit Rinde (mm)],MATCH(Tabelle8[[#This Row],[Rank]],Stammdaten[Rank Verteilung D Mitte mit Rinde],0))</f>
        <v>#N/A</v>
      </c>
      <c r="G1768" t="e">
        <f>VLOOKUP(Tabelle8[[#This Row],[Rank]],Stammdaten[[Rank Verteilung D Mitte mit Rinde]:[Verteilung D Mitte mit Rinde]],2,FALSE)</f>
        <v>#N/A</v>
      </c>
      <c r="L1768">
        <v>1759</v>
      </c>
      <c r="M1768" t="e">
        <f>INDEX(Stammdaten[Abholzigkeit (mm/lfm)],MATCH(Tabelle9[[#This Row],[Rank]],Stammdaten[Rank Verteilung Abholzigkeit],0))</f>
        <v>#N/A</v>
      </c>
      <c r="N1768" t="e">
        <f>VLOOKUP(Tabelle9[[#This Row],[Rank]],Stammdaten[[Rank Verteilung Abholzigkeit]:[Verteilung Abholzigkeit]],2,FALSE)</f>
        <v>#N/A</v>
      </c>
      <c r="S1768">
        <v>1759</v>
      </c>
      <c r="T1768" t="e">
        <f>INDEX(Stammdaten[Krümmung (mm/lfm)],MATCH(Tabelle10[[#This Row],[Rank]],Stammdaten[Rank Verteilung Krümmung],0))</f>
        <v>#N/A</v>
      </c>
      <c r="U1768" t="e">
        <f>VLOOKUP(Tabelle10[[#This Row],[Rank]],Stammdaten[[Rank Verteilung Krümmung]:[Verteilung Krümmung]],2,FALSE)</f>
        <v>#N/A</v>
      </c>
      <c r="Z1768">
        <v>1759</v>
      </c>
      <c r="AA1768" t="e">
        <f>INDEX(Stammdaten[Ovalität (']0,1'])],MATCH(Tabelle1014[[#This Row],[Rank]],Stammdaten[Rank Verteilung Ovalität],0))</f>
        <v>#N/A</v>
      </c>
      <c r="AB1768" t="e">
        <f>VLOOKUP(Tabelle1014[[#This Row],[Rank]],Stammdaten[[Rank Verteilung Ovalität]:[Verteilung Ovalität]],2,FALSE)</f>
        <v>#N/A</v>
      </c>
    </row>
    <row r="1769" spans="5:28" x14ac:dyDescent="0.35">
      <c r="E1769">
        <v>1760</v>
      </c>
      <c r="F1769" t="e">
        <f>INDEX(Stammdaten[D Mitte mit Rinde (mm)],MATCH(Tabelle8[[#This Row],[Rank]],Stammdaten[Rank Verteilung D Mitte mit Rinde],0))</f>
        <v>#N/A</v>
      </c>
      <c r="G1769" t="e">
        <f>VLOOKUP(Tabelle8[[#This Row],[Rank]],Stammdaten[[Rank Verteilung D Mitte mit Rinde]:[Verteilung D Mitte mit Rinde]],2,FALSE)</f>
        <v>#N/A</v>
      </c>
      <c r="L1769">
        <v>1760</v>
      </c>
      <c r="M1769" t="e">
        <f>INDEX(Stammdaten[Abholzigkeit (mm/lfm)],MATCH(Tabelle9[[#This Row],[Rank]],Stammdaten[Rank Verteilung Abholzigkeit],0))</f>
        <v>#N/A</v>
      </c>
      <c r="N1769" t="e">
        <f>VLOOKUP(Tabelle9[[#This Row],[Rank]],Stammdaten[[Rank Verteilung Abholzigkeit]:[Verteilung Abholzigkeit]],2,FALSE)</f>
        <v>#N/A</v>
      </c>
      <c r="S1769">
        <v>1760</v>
      </c>
      <c r="T1769" t="e">
        <f>INDEX(Stammdaten[Krümmung (mm/lfm)],MATCH(Tabelle10[[#This Row],[Rank]],Stammdaten[Rank Verteilung Krümmung],0))</f>
        <v>#N/A</v>
      </c>
      <c r="U1769" t="e">
        <f>VLOOKUP(Tabelle10[[#This Row],[Rank]],Stammdaten[[Rank Verteilung Krümmung]:[Verteilung Krümmung]],2,FALSE)</f>
        <v>#N/A</v>
      </c>
      <c r="Z1769">
        <v>1760</v>
      </c>
      <c r="AA1769" t="e">
        <f>INDEX(Stammdaten[Ovalität (']0,1'])],MATCH(Tabelle1014[[#This Row],[Rank]],Stammdaten[Rank Verteilung Ovalität],0))</f>
        <v>#N/A</v>
      </c>
      <c r="AB1769" t="e">
        <f>VLOOKUP(Tabelle1014[[#This Row],[Rank]],Stammdaten[[Rank Verteilung Ovalität]:[Verteilung Ovalität]],2,FALSE)</f>
        <v>#N/A</v>
      </c>
    </row>
    <row r="1770" spans="5:28" x14ac:dyDescent="0.35">
      <c r="E1770">
        <v>1761</v>
      </c>
      <c r="F1770" t="e">
        <f>INDEX(Stammdaten[D Mitte mit Rinde (mm)],MATCH(Tabelle8[[#This Row],[Rank]],Stammdaten[Rank Verteilung D Mitte mit Rinde],0))</f>
        <v>#N/A</v>
      </c>
      <c r="G1770" t="e">
        <f>VLOOKUP(Tabelle8[[#This Row],[Rank]],Stammdaten[[Rank Verteilung D Mitte mit Rinde]:[Verteilung D Mitte mit Rinde]],2,FALSE)</f>
        <v>#N/A</v>
      </c>
      <c r="L1770">
        <v>1761</v>
      </c>
      <c r="M1770" t="e">
        <f>INDEX(Stammdaten[Abholzigkeit (mm/lfm)],MATCH(Tabelle9[[#This Row],[Rank]],Stammdaten[Rank Verteilung Abholzigkeit],0))</f>
        <v>#N/A</v>
      </c>
      <c r="N1770" t="e">
        <f>VLOOKUP(Tabelle9[[#This Row],[Rank]],Stammdaten[[Rank Verteilung Abholzigkeit]:[Verteilung Abholzigkeit]],2,FALSE)</f>
        <v>#N/A</v>
      </c>
      <c r="S1770">
        <v>1761</v>
      </c>
      <c r="T1770" t="e">
        <f>INDEX(Stammdaten[Krümmung (mm/lfm)],MATCH(Tabelle10[[#This Row],[Rank]],Stammdaten[Rank Verteilung Krümmung],0))</f>
        <v>#N/A</v>
      </c>
      <c r="U1770" t="e">
        <f>VLOOKUP(Tabelle10[[#This Row],[Rank]],Stammdaten[[Rank Verteilung Krümmung]:[Verteilung Krümmung]],2,FALSE)</f>
        <v>#N/A</v>
      </c>
      <c r="Z1770">
        <v>1761</v>
      </c>
      <c r="AA1770" t="e">
        <f>INDEX(Stammdaten[Ovalität (']0,1'])],MATCH(Tabelle1014[[#This Row],[Rank]],Stammdaten[Rank Verteilung Ovalität],0))</f>
        <v>#N/A</v>
      </c>
      <c r="AB1770" t="e">
        <f>VLOOKUP(Tabelle1014[[#This Row],[Rank]],Stammdaten[[Rank Verteilung Ovalität]:[Verteilung Ovalität]],2,FALSE)</f>
        <v>#N/A</v>
      </c>
    </row>
    <row r="1771" spans="5:28" x14ac:dyDescent="0.35">
      <c r="E1771">
        <v>1762</v>
      </c>
      <c r="F1771" t="e">
        <f>INDEX(Stammdaten[D Mitte mit Rinde (mm)],MATCH(Tabelle8[[#This Row],[Rank]],Stammdaten[Rank Verteilung D Mitte mit Rinde],0))</f>
        <v>#N/A</v>
      </c>
      <c r="G1771" t="e">
        <f>VLOOKUP(Tabelle8[[#This Row],[Rank]],Stammdaten[[Rank Verteilung D Mitte mit Rinde]:[Verteilung D Mitte mit Rinde]],2,FALSE)</f>
        <v>#N/A</v>
      </c>
      <c r="L1771">
        <v>1762</v>
      </c>
      <c r="M1771" t="e">
        <f>INDEX(Stammdaten[Abholzigkeit (mm/lfm)],MATCH(Tabelle9[[#This Row],[Rank]],Stammdaten[Rank Verteilung Abholzigkeit],0))</f>
        <v>#N/A</v>
      </c>
      <c r="N1771" t="e">
        <f>VLOOKUP(Tabelle9[[#This Row],[Rank]],Stammdaten[[Rank Verteilung Abholzigkeit]:[Verteilung Abholzigkeit]],2,FALSE)</f>
        <v>#N/A</v>
      </c>
      <c r="S1771">
        <v>1762</v>
      </c>
      <c r="T1771" t="e">
        <f>INDEX(Stammdaten[Krümmung (mm/lfm)],MATCH(Tabelle10[[#This Row],[Rank]],Stammdaten[Rank Verteilung Krümmung],0))</f>
        <v>#N/A</v>
      </c>
      <c r="U1771" t="e">
        <f>VLOOKUP(Tabelle10[[#This Row],[Rank]],Stammdaten[[Rank Verteilung Krümmung]:[Verteilung Krümmung]],2,FALSE)</f>
        <v>#N/A</v>
      </c>
      <c r="Z1771">
        <v>1762</v>
      </c>
      <c r="AA1771" t="e">
        <f>INDEX(Stammdaten[Ovalität (']0,1'])],MATCH(Tabelle1014[[#This Row],[Rank]],Stammdaten[Rank Verteilung Ovalität],0))</f>
        <v>#N/A</v>
      </c>
      <c r="AB1771" t="e">
        <f>VLOOKUP(Tabelle1014[[#This Row],[Rank]],Stammdaten[[Rank Verteilung Ovalität]:[Verteilung Ovalität]],2,FALSE)</f>
        <v>#N/A</v>
      </c>
    </row>
    <row r="1772" spans="5:28" x14ac:dyDescent="0.35">
      <c r="E1772">
        <v>1763</v>
      </c>
      <c r="F1772" t="e">
        <f>INDEX(Stammdaten[D Mitte mit Rinde (mm)],MATCH(Tabelle8[[#This Row],[Rank]],Stammdaten[Rank Verteilung D Mitte mit Rinde],0))</f>
        <v>#N/A</v>
      </c>
      <c r="G1772" t="e">
        <f>VLOOKUP(Tabelle8[[#This Row],[Rank]],Stammdaten[[Rank Verteilung D Mitte mit Rinde]:[Verteilung D Mitte mit Rinde]],2,FALSE)</f>
        <v>#N/A</v>
      </c>
      <c r="L1772">
        <v>1763</v>
      </c>
      <c r="M1772" t="e">
        <f>INDEX(Stammdaten[Abholzigkeit (mm/lfm)],MATCH(Tabelle9[[#This Row],[Rank]],Stammdaten[Rank Verteilung Abholzigkeit],0))</f>
        <v>#N/A</v>
      </c>
      <c r="N1772" t="e">
        <f>VLOOKUP(Tabelle9[[#This Row],[Rank]],Stammdaten[[Rank Verteilung Abholzigkeit]:[Verteilung Abholzigkeit]],2,FALSE)</f>
        <v>#N/A</v>
      </c>
      <c r="S1772">
        <v>1763</v>
      </c>
      <c r="T1772" t="e">
        <f>INDEX(Stammdaten[Krümmung (mm/lfm)],MATCH(Tabelle10[[#This Row],[Rank]],Stammdaten[Rank Verteilung Krümmung],0))</f>
        <v>#N/A</v>
      </c>
      <c r="U1772" t="e">
        <f>VLOOKUP(Tabelle10[[#This Row],[Rank]],Stammdaten[[Rank Verteilung Krümmung]:[Verteilung Krümmung]],2,FALSE)</f>
        <v>#N/A</v>
      </c>
      <c r="Z1772">
        <v>1763</v>
      </c>
      <c r="AA1772" t="e">
        <f>INDEX(Stammdaten[Ovalität (']0,1'])],MATCH(Tabelle1014[[#This Row],[Rank]],Stammdaten[Rank Verteilung Ovalität],0))</f>
        <v>#N/A</v>
      </c>
      <c r="AB1772" t="e">
        <f>VLOOKUP(Tabelle1014[[#This Row],[Rank]],Stammdaten[[Rank Verteilung Ovalität]:[Verteilung Ovalität]],2,FALSE)</f>
        <v>#N/A</v>
      </c>
    </row>
    <row r="1773" spans="5:28" x14ac:dyDescent="0.35">
      <c r="E1773">
        <v>1764</v>
      </c>
      <c r="F1773" t="e">
        <f>INDEX(Stammdaten[D Mitte mit Rinde (mm)],MATCH(Tabelle8[[#This Row],[Rank]],Stammdaten[Rank Verteilung D Mitte mit Rinde],0))</f>
        <v>#N/A</v>
      </c>
      <c r="G1773" t="e">
        <f>VLOOKUP(Tabelle8[[#This Row],[Rank]],Stammdaten[[Rank Verteilung D Mitte mit Rinde]:[Verteilung D Mitte mit Rinde]],2,FALSE)</f>
        <v>#N/A</v>
      </c>
      <c r="L1773">
        <v>1764</v>
      </c>
      <c r="M1773" t="e">
        <f>INDEX(Stammdaten[Abholzigkeit (mm/lfm)],MATCH(Tabelle9[[#This Row],[Rank]],Stammdaten[Rank Verteilung Abholzigkeit],0))</f>
        <v>#N/A</v>
      </c>
      <c r="N1773" t="e">
        <f>VLOOKUP(Tabelle9[[#This Row],[Rank]],Stammdaten[[Rank Verteilung Abholzigkeit]:[Verteilung Abholzigkeit]],2,FALSE)</f>
        <v>#N/A</v>
      </c>
      <c r="S1773">
        <v>1764</v>
      </c>
      <c r="T1773" t="e">
        <f>INDEX(Stammdaten[Krümmung (mm/lfm)],MATCH(Tabelle10[[#This Row],[Rank]],Stammdaten[Rank Verteilung Krümmung],0))</f>
        <v>#N/A</v>
      </c>
      <c r="U1773" t="e">
        <f>VLOOKUP(Tabelle10[[#This Row],[Rank]],Stammdaten[[Rank Verteilung Krümmung]:[Verteilung Krümmung]],2,FALSE)</f>
        <v>#N/A</v>
      </c>
      <c r="Z1773">
        <v>1764</v>
      </c>
      <c r="AA1773" t="e">
        <f>INDEX(Stammdaten[Ovalität (']0,1'])],MATCH(Tabelle1014[[#This Row],[Rank]],Stammdaten[Rank Verteilung Ovalität],0))</f>
        <v>#N/A</v>
      </c>
      <c r="AB1773" t="e">
        <f>VLOOKUP(Tabelle1014[[#This Row],[Rank]],Stammdaten[[Rank Verteilung Ovalität]:[Verteilung Ovalität]],2,FALSE)</f>
        <v>#N/A</v>
      </c>
    </row>
    <row r="1774" spans="5:28" x14ac:dyDescent="0.35">
      <c r="E1774">
        <v>1765</v>
      </c>
      <c r="F1774" t="e">
        <f>INDEX(Stammdaten[D Mitte mit Rinde (mm)],MATCH(Tabelle8[[#This Row],[Rank]],Stammdaten[Rank Verteilung D Mitte mit Rinde],0))</f>
        <v>#N/A</v>
      </c>
      <c r="G1774" t="e">
        <f>VLOOKUP(Tabelle8[[#This Row],[Rank]],Stammdaten[[Rank Verteilung D Mitte mit Rinde]:[Verteilung D Mitte mit Rinde]],2,FALSE)</f>
        <v>#N/A</v>
      </c>
      <c r="L1774">
        <v>1765</v>
      </c>
      <c r="M1774" t="e">
        <f>INDEX(Stammdaten[Abholzigkeit (mm/lfm)],MATCH(Tabelle9[[#This Row],[Rank]],Stammdaten[Rank Verteilung Abholzigkeit],0))</f>
        <v>#N/A</v>
      </c>
      <c r="N1774" t="e">
        <f>VLOOKUP(Tabelle9[[#This Row],[Rank]],Stammdaten[[Rank Verteilung Abholzigkeit]:[Verteilung Abholzigkeit]],2,FALSE)</f>
        <v>#N/A</v>
      </c>
      <c r="S1774">
        <v>1765</v>
      </c>
      <c r="T1774" t="e">
        <f>INDEX(Stammdaten[Krümmung (mm/lfm)],MATCH(Tabelle10[[#This Row],[Rank]],Stammdaten[Rank Verteilung Krümmung],0))</f>
        <v>#N/A</v>
      </c>
      <c r="U1774" t="e">
        <f>VLOOKUP(Tabelle10[[#This Row],[Rank]],Stammdaten[[Rank Verteilung Krümmung]:[Verteilung Krümmung]],2,FALSE)</f>
        <v>#N/A</v>
      </c>
      <c r="Z1774">
        <v>1765</v>
      </c>
      <c r="AA1774" t="e">
        <f>INDEX(Stammdaten[Ovalität (']0,1'])],MATCH(Tabelle1014[[#This Row],[Rank]],Stammdaten[Rank Verteilung Ovalität],0))</f>
        <v>#N/A</v>
      </c>
      <c r="AB1774" t="e">
        <f>VLOOKUP(Tabelle1014[[#This Row],[Rank]],Stammdaten[[Rank Verteilung Ovalität]:[Verteilung Ovalität]],2,FALSE)</f>
        <v>#N/A</v>
      </c>
    </row>
    <row r="1775" spans="5:28" x14ac:dyDescent="0.35">
      <c r="E1775">
        <v>1766</v>
      </c>
      <c r="F1775" t="e">
        <f>INDEX(Stammdaten[D Mitte mit Rinde (mm)],MATCH(Tabelle8[[#This Row],[Rank]],Stammdaten[Rank Verteilung D Mitte mit Rinde],0))</f>
        <v>#N/A</v>
      </c>
      <c r="G1775" t="e">
        <f>VLOOKUP(Tabelle8[[#This Row],[Rank]],Stammdaten[[Rank Verteilung D Mitte mit Rinde]:[Verteilung D Mitte mit Rinde]],2,FALSE)</f>
        <v>#N/A</v>
      </c>
      <c r="L1775">
        <v>1766</v>
      </c>
      <c r="M1775" t="e">
        <f>INDEX(Stammdaten[Abholzigkeit (mm/lfm)],MATCH(Tabelle9[[#This Row],[Rank]],Stammdaten[Rank Verteilung Abholzigkeit],0))</f>
        <v>#N/A</v>
      </c>
      <c r="N1775" t="e">
        <f>VLOOKUP(Tabelle9[[#This Row],[Rank]],Stammdaten[[Rank Verteilung Abholzigkeit]:[Verteilung Abholzigkeit]],2,FALSE)</f>
        <v>#N/A</v>
      </c>
      <c r="S1775">
        <v>1766</v>
      </c>
      <c r="T1775" t="e">
        <f>INDEX(Stammdaten[Krümmung (mm/lfm)],MATCH(Tabelle10[[#This Row],[Rank]],Stammdaten[Rank Verteilung Krümmung],0))</f>
        <v>#N/A</v>
      </c>
      <c r="U1775" t="e">
        <f>VLOOKUP(Tabelle10[[#This Row],[Rank]],Stammdaten[[Rank Verteilung Krümmung]:[Verteilung Krümmung]],2,FALSE)</f>
        <v>#N/A</v>
      </c>
      <c r="Z1775">
        <v>1766</v>
      </c>
      <c r="AA1775" t="e">
        <f>INDEX(Stammdaten[Ovalität (']0,1'])],MATCH(Tabelle1014[[#This Row],[Rank]],Stammdaten[Rank Verteilung Ovalität],0))</f>
        <v>#N/A</v>
      </c>
      <c r="AB1775" t="e">
        <f>VLOOKUP(Tabelle1014[[#This Row],[Rank]],Stammdaten[[Rank Verteilung Ovalität]:[Verteilung Ovalität]],2,FALSE)</f>
        <v>#N/A</v>
      </c>
    </row>
    <row r="1776" spans="5:28" x14ac:dyDescent="0.35">
      <c r="E1776">
        <v>1767</v>
      </c>
      <c r="F1776" t="e">
        <f>INDEX(Stammdaten[D Mitte mit Rinde (mm)],MATCH(Tabelle8[[#This Row],[Rank]],Stammdaten[Rank Verteilung D Mitte mit Rinde],0))</f>
        <v>#N/A</v>
      </c>
      <c r="G1776" t="e">
        <f>VLOOKUP(Tabelle8[[#This Row],[Rank]],Stammdaten[[Rank Verteilung D Mitte mit Rinde]:[Verteilung D Mitte mit Rinde]],2,FALSE)</f>
        <v>#N/A</v>
      </c>
      <c r="L1776">
        <v>1767</v>
      </c>
      <c r="M1776" t="e">
        <f>INDEX(Stammdaten[Abholzigkeit (mm/lfm)],MATCH(Tabelle9[[#This Row],[Rank]],Stammdaten[Rank Verteilung Abholzigkeit],0))</f>
        <v>#N/A</v>
      </c>
      <c r="N1776" t="e">
        <f>VLOOKUP(Tabelle9[[#This Row],[Rank]],Stammdaten[[Rank Verteilung Abholzigkeit]:[Verteilung Abholzigkeit]],2,FALSE)</f>
        <v>#N/A</v>
      </c>
      <c r="S1776">
        <v>1767</v>
      </c>
      <c r="T1776" t="e">
        <f>INDEX(Stammdaten[Krümmung (mm/lfm)],MATCH(Tabelle10[[#This Row],[Rank]],Stammdaten[Rank Verteilung Krümmung],0))</f>
        <v>#N/A</v>
      </c>
      <c r="U1776" t="e">
        <f>VLOOKUP(Tabelle10[[#This Row],[Rank]],Stammdaten[[Rank Verteilung Krümmung]:[Verteilung Krümmung]],2,FALSE)</f>
        <v>#N/A</v>
      </c>
      <c r="Z1776">
        <v>1767</v>
      </c>
      <c r="AA1776" t="e">
        <f>INDEX(Stammdaten[Ovalität (']0,1'])],MATCH(Tabelle1014[[#This Row],[Rank]],Stammdaten[Rank Verteilung Ovalität],0))</f>
        <v>#N/A</v>
      </c>
      <c r="AB1776" t="e">
        <f>VLOOKUP(Tabelle1014[[#This Row],[Rank]],Stammdaten[[Rank Verteilung Ovalität]:[Verteilung Ovalität]],2,FALSE)</f>
        <v>#N/A</v>
      </c>
    </row>
    <row r="1777" spans="5:28" x14ac:dyDescent="0.35">
      <c r="E1777">
        <v>1768</v>
      </c>
      <c r="F1777" t="e">
        <f>INDEX(Stammdaten[D Mitte mit Rinde (mm)],MATCH(Tabelle8[[#This Row],[Rank]],Stammdaten[Rank Verteilung D Mitte mit Rinde],0))</f>
        <v>#N/A</v>
      </c>
      <c r="G1777" t="e">
        <f>VLOOKUP(Tabelle8[[#This Row],[Rank]],Stammdaten[[Rank Verteilung D Mitte mit Rinde]:[Verteilung D Mitte mit Rinde]],2,FALSE)</f>
        <v>#N/A</v>
      </c>
      <c r="L1777">
        <v>1768</v>
      </c>
      <c r="M1777" t="e">
        <f>INDEX(Stammdaten[Abholzigkeit (mm/lfm)],MATCH(Tabelle9[[#This Row],[Rank]],Stammdaten[Rank Verteilung Abholzigkeit],0))</f>
        <v>#N/A</v>
      </c>
      <c r="N1777" t="e">
        <f>VLOOKUP(Tabelle9[[#This Row],[Rank]],Stammdaten[[Rank Verteilung Abholzigkeit]:[Verteilung Abholzigkeit]],2,FALSE)</f>
        <v>#N/A</v>
      </c>
      <c r="S1777">
        <v>1768</v>
      </c>
      <c r="T1777" t="e">
        <f>INDEX(Stammdaten[Krümmung (mm/lfm)],MATCH(Tabelle10[[#This Row],[Rank]],Stammdaten[Rank Verteilung Krümmung],0))</f>
        <v>#N/A</v>
      </c>
      <c r="U1777" t="e">
        <f>VLOOKUP(Tabelle10[[#This Row],[Rank]],Stammdaten[[Rank Verteilung Krümmung]:[Verteilung Krümmung]],2,FALSE)</f>
        <v>#N/A</v>
      </c>
      <c r="Z1777">
        <v>1768</v>
      </c>
      <c r="AA1777" t="e">
        <f>INDEX(Stammdaten[Ovalität (']0,1'])],MATCH(Tabelle1014[[#This Row],[Rank]],Stammdaten[Rank Verteilung Ovalität],0))</f>
        <v>#N/A</v>
      </c>
      <c r="AB1777" t="e">
        <f>VLOOKUP(Tabelle1014[[#This Row],[Rank]],Stammdaten[[Rank Verteilung Ovalität]:[Verteilung Ovalität]],2,FALSE)</f>
        <v>#N/A</v>
      </c>
    </row>
    <row r="1778" spans="5:28" x14ac:dyDescent="0.35">
      <c r="E1778">
        <v>1769</v>
      </c>
      <c r="F1778" t="e">
        <f>INDEX(Stammdaten[D Mitte mit Rinde (mm)],MATCH(Tabelle8[[#This Row],[Rank]],Stammdaten[Rank Verteilung D Mitte mit Rinde],0))</f>
        <v>#N/A</v>
      </c>
      <c r="G1778" t="e">
        <f>VLOOKUP(Tabelle8[[#This Row],[Rank]],Stammdaten[[Rank Verteilung D Mitte mit Rinde]:[Verteilung D Mitte mit Rinde]],2,FALSE)</f>
        <v>#N/A</v>
      </c>
      <c r="L1778">
        <v>1769</v>
      </c>
      <c r="M1778" t="e">
        <f>INDEX(Stammdaten[Abholzigkeit (mm/lfm)],MATCH(Tabelle9[[#This Row],[Rank]],Stammdaten[Rank Verteilung Abholzigkeit],0))</f>
        <v>#N/A</v>
      </c>
      <c r="N1778" t="e">
        <f>VLOOKUP(Tabelle9[[#This Row],[Rank]],Stammdaten[[Rank Verteilung Abholzigkeit]:[Verteilung Abholzigkeit]],2,FALSE)</f>
        <v>#N/A</v>
      </c>
      <c r="S1778">
        <v>1769</v>
      </c>
      <c r="T1778" t="e">
        <f>INDEX(Stammdaten[Krümmung (mm/lfm)],MATCH(Tabelle10[[#This Row],[Rank]],Stammdaten[Rank Verteilung Krümmung],0))</f>
        <v>#N/A</v>
      </c>
      <c r="U1778" t="e">
        <f>VLOOKUP(Tabelle10[[#This Row],[Rank]],Stammdaten[[Rank Verteilung Krümmung]:[Verteilung Krümmung]],2,FALSE)</f>
        <v>#N/A</v>
      </c>
      <c r="Z1778">
        <v>1769</v>
      </c>
      <c r="AA1778" t="e">
        <f>INDEX(Stammdaten[Ovalität (']0,1'])],MATCH(Tabelle1014[[#This Row],[Rank]],Stammdaten[Rank Verteilung Ovalität],0))</f>
        <v>#N/A</v>
      </c>
      <c r="AB1778" t="e">
        <f>VLOOKUP(Tabelle1014[[#This Row],[Rank]],Stammdaten[[Rank Verteilung Ovalität]:[Verteilung Ovalität]],2,FALSE)</f>
        <v>#N/A</v>
      </c>
    </row>
    <row r="1779" spans="5:28" x14ac:dyDescent="0.35">
      <c r="E1779">
        <v>1770</v>
      </c>
      <c r="F1779" t="e">
        <f>INDEX(Stammdaten[D Mitte mit Rinde (mm)],MATCH(Tabelle8[[#This Row],[Rank]],Stammdaten[Rank Verteilung D Mitte mit Rinde],0))</f>
        <v>#N/A</v>
      </c>
      <c r="G1779" t="e">
        <f>VLOOKUP(Tabelle8[[#This Row],[Rank]],Stammdaten[[Rank Verteilung D Mitte mit Rinde]:[Verteilung D Mitte mit Rinde]],2,FALSE)</f>
        <v>#N/A</v>
      </c>
      <c r="L1779">
        <v>1770</v>
      </c>
      <c r="M1779" t="e">
        <f>INDEX(Stammdaten[Abholzigkeit (mm/lfm)],MATCH(Tabelle9[[#This Row],[Rank]],Stammdaten[Rank Verteilung Abholzigkeit],0))</f>
        <v>#N/A</v>
      </c>
      <c r="N1779" t="e">
        <f>VLOOKUP(Tabelle9[[#This Row],[Rank]],Stammdaten[[Rank Verteilung Abholzigkeit]:[Verteilung Abholzigkeit]],2,FALSE)</f>
        <v>#N/A</v>
      </c>
      <c r="S1779">
        <v>1770</v>
      </c>
      <c r="T1779" t="e">
        <f>INDEX(Stammdaten[Krümmung (mm/lfm)],MATCH(Tabelle10[[#This Row],[Rank]],Stammdaten[Rank Verteilung Krümmung],0))</f>
        <v>#N/A</v>
      </c>
      <c r="U1779" t="e">
        <f>VLOOKUP(Tabelle10[[#This Row],[Rank]],Stammdaten[[Rank Verteilung Krümmung]:[Verteilung Krümmung]],2,FALSE)</f>
        <v>#N/A</v>
      </c>
      <c r="Z1779">
        <v>1770</v>
      </c>
      <c r="AA1779" t="e">
        <f>INDEX(Stammdaten[Ovalität (']0,1'])],MATCH(Tabelle1014[[#This Row],[Rank]],Stammdaten[Rank Verteilung Ovalität],0))</f>
        <v>#N/A</v>
      </c>
      <c r="AB1779" t="e">
        <f>VLOOKUP(Tabelle1014[[#This Row],[Rank]],Stammdaten[[Rank Verteilung Ovalität]:[Verteilung Ovalität]],2,FALSE)</f>
        <v>#N/A</v>
      </c>
    </row>
    <row r="1780" spans="5:28" x14ac:dyDescent="0.35">
      <c r="E1780">
        <v>1771</v>
      </c>
      <c r="F1780" t="e">
        <f>INDEX(Stammdaten[D Mitte mit Rinde (mm)],MATCH(Tabelle8[[#This Row],[Rank]],Stammdaten[Rank Verteilung D Mitte mit Rinde],0))</f>
        <v>#N/A</v>
      </c>
      <c r="G1780" t="e">
        <f>VLOOKUP(Tabelle8[[#This Row],[Rank]],Stammdaten[[Rank Verteilung D Mitte mit Rinde]:[Verteilung D Mitte mit Rinde]],2,FALSE)</f>
        <v>#N/A</v>
      </c>
      <c r="L1780">
        <v>1771</v>
      </c>
      <c r="M1780" t="e">
        <f>INDEX(Stammdaten[Abholzigkeit (mm/lfm)],MATCH(Tabelle9[[#This Row],[Rank]],Stammdaten[Rank Verteilung Abholzigkeit],0))</f>
        <v>#N/A</v>
      </c>
      <c r="N1780" t="e">
        <f>VLOOKUP(Tabelle9[[#This Row],[Rank]],Stammdaten[[Rank Verteilung Abholzigkeit]:[Verteilung Abholzigkeit]],2,FALSE)</f>
        <v>#N/A</v>
      </c>
      <c r="S1780">
        <v>1771</v>
      </c>
      <c r="T1780" t="e">
        <f>INDEX(Stammdaten[Krümmung (mm/lfm)],MATCH(Tabelle10[[#This Row],[Rank]],Stammdaten[Rank Verteilung Krümmung],0))</f>
        <v>#N/A</v>
      </c>
      <c r="U1780" t="e">
        <f>VLOOKUP(Tabelle10[[#This Row],[Rank]],Stammdaten[[Rank Verteilung Krümmung]:[Verteilung Krümmung]],2,FALSE)</f>
        <v>#N/A</v>
      </c>
      <c r="Z1780">
        <v>1771</v>
      </c>
      <c r="AA1780" t="e">
        <f>INDEX(Stammdaten[Ovalität (']0,1'])],MATCH(Tabelle1014[[#This Row],[Rank]],Stammdaten[Rank Verteilung Ovalität],0))</f>
        <v>#N/A</v>
      </c>
      <c r="AB1780" t="e">
        <f>VLOOKUP(Tabelle1014[[#This Row],[Rank]],Stammdaten[[Rank Verteilung Ovalität]:[Verteilung Ovalität]],2,FALSE)</f>
        <v>#N/A</v>
      </c>
    </row>
    <row r="1781" spans="5:28" x14ac:dyDescent="0.35">
      <c r="E1781">
        <v>1772</v>
      </c>
      <c r="F1781" t="e">
        <f>INDEX(Stammdaten[D Mitte mit Rinde (mm)],MATCH(Tabelle8[[#This Row],[Rank]],Stammdaten[Rank Verteilung D Mitte mit Rinde],0))</f>
        <v>#N/A</v>
      </c>
      <c r="G1781" t="e">
        <f>VLOOKUP(Tabelle8[[#This Row],[Rank]],Stammdaten[[Rank Verteilung D Mitte mit Rinde]:[Verteilung D Mitte mit Rinde]],2,FALSE)</f>
        <v>#N/A</v>
      </c>
      <c r="L1781">
        <v>1772</v>
      </c>
      <c r="M1781" t="e">
        <f>INDEX(Stammdaten[Abholzigkeit (mm/lfm)],MATCH(Tabelle9[[#This Row],[Rank]],Stammdaten[Rank Verteilung Abholzigkeit],0))</f>
        <v>#N/A</v>
      </c>
      <c r="N1781" t="e">
        <f>VLOOKUP(Tabelle9[[#This Row],[Rank]],Stammdaten[[Rank Verteilung Abholzigkeit]:[Verteilung Abholzigkeit]],2,FALSE)</f>
        <v>#N/A</v>
      </c>
      <c r="S1781">
        <v>1772</v>
      </c>
      <c r="T1781" t="e">
        <f>INDEX(Stammdaten[Krümmung (mm/lfm)],MATCH(Tabelle10[[#This Row],[Rank]],Stammdaten[Rank Verteilung Krümmung],0))</f>
        <v>#N/A</v>
      </c>
      <c r="U1781" t="e">
        <f>VLOOKUP(Tabelle10[[#This Row],[Rank]],Stammdaten[[Rank Verteilung Krümmung]:[Verteilung Krümmung]],2,FALSE)</f>
        <v>#N/A</v>
      </c>
      <c r="Z1781">
        <v>1772</v>
      </c>
      <c r="AA1781" t="e">
        <f>INDEX(Stammdaten[Ovalität (']0,1'])],MATCH(Tabelle1014[[#This Row],[Rank]],Stammdaten[Rank Verteilung Ovalität],0))</f>
        <v>#N/A</v>
      </c>
      <c r="AB1781" t="e">
        <f>VLOOKUP(Tabelle1014[[#This Row],[Rank]],Stammdaten[[Rank Verteilung Ovalität]:[Verteilung Ovalität]],2,FALSE)</f>
        <v>#N/A</v>
      </c>
    </row>
    <row r="1782" spans="5:28" x14ac:dyDescent="0.35">
      <c r="E1782">
        <v>1773</v>
      </c>
      <c r="F1782" t="e">
        <f>INDEX(Stammdaten[D Mitte mit Rinde (mm)],MATCH(Tabelle8[[#This Row],[Rank]],Stammdaten[Rank Verteilung D Mitte mit Rinde],0))</f>
        <v>#N/A</v>
      </c>
      <c r="G1782" t="e">
        <f>VLOOKUP(Tabelle8[[#This Row],[Rank]],Stammdaten[[Rank Verteilung D Mitte mit Rinde]:[Verteilung D Mitte mit Rinde]],2,FALSE)</f>
        <v>#N/A</v>
      </c>
      <c r="L1782">
        <v>1773</v>
      </c>
      <c r="M1782" t="e">
        <f>INDEX(Stammdaten[Abholzigkeit (mm/lfm)],MATCH(Tabelle9[[#This Row],[Rank]],Stammdaten[Rank Verteilung Abholzigkeit],0))</f>
        <v>#N/A</v>
      </c>
      <c r="N1782" t="e">
        <f>VLOOKUP(Tabelle9[[#This Row],[Rank]],Stammdaten[[Rank Verteilung Abholzigkeit]:[Verteilung Abholzigkeit]],2,FALSE)</f>
        <v>#N/A</v>
      </c>
      <c r="S1782">
        <v>1773</v>
      </c>
      <c r="T1782" t="e">
        <f>INDEX(Stammdaten[Krümmung (mm/lfm)],MATCH(Tabelle10[[#This Row],[Rank]],Stammdaten[Rank Verteilung Krümmung],0))</f>
        <v>#N/A</v>
      </c>
      <c r="U1782" t="e">
        <f>VLOOKUP(Tabelle10[[#This Row],[Rank]],Stammdaten[[Rank Verteilung Krümmung]:[Verteilung Krümmung]],2,FALSE)</f>
        <v>#N/A</v>
      </c>
      <c r="Z1782">
        <v>1773</v>
      </c>
      <c r="AA1782" t="e">
        <f>INDEX(Stammdaten[Ovalität (']0,1'])],MATCH(Tabelle1014[[#This Row],[Rank]],Stammdaten[Rank Verteilung Ovalität],0))</f>
        <v>#N/A</v>
      </c>
      <c r="AB1782" t="e">
        <f>VLOOKUP(Tabelle1014[[#This Row],[Rank]],Stammdaten[[Rank Verteilung Ovalität]:[Verteilung Ovalität]],2,FALSE)</f>
        <v>#N/A</v>
      </c>
    </row>
    <row r="1783" spans="5:28" x14ac:dyDescent="0.35">
      <c r="E1783">
        <v>1774</v>
      </c>
      <c r="F1783" t="e">
        <f>INDEX(Stammdaten[D Mitte mit Rinde (mm)],MATCH(Tabelle8[[#This Row],[Rank]],Stammdaten[Rank Verteilung D Mitte mit Rinde],0))</f>
        <v>#N/A</v>
      </c>
      <c r="G1783" t="e">
        <f>VLOOKUP(Tabelle8[[#This Row],[Rank]],Stammdaten[[Rank Verteilung D Mitte mit Rinde]:[Verteilung D Mitte mit Rinde]],2,FALSE)</f>
        <v>#N/A</v>
      </c>
      <c r="L1783">
        <v>1774</v>
      </c>
      <c r="M1783" t="e">
        <f>INDEX(Stammdaten[Abholzigkeit (mm/lfm)],MATCH(Tabelle9[[#This Row],[Rank]],Stammdaten[Rank Verteilung Abholzigkeit],0))</f>
        <v>#N/A</v>
      </c>
      <c r="N1783" t="e">
        <f>VLOOKUP(Tabelle9[[#This Row],[Rank]],Stammdaten[[Rank Verteilung Abholzigkeit]:[Verteilung Abholzigkeit]],2,FALSE)</f>
        <v>#N/A</v>
      </c>
      <c r="S1783">
        <v>1774</v>
      </c>
      <c r="T1783" t="e">
        <f>INDEX(Stammdaten[Krümmung (mm/lfm)],MATCH(Tabelle10[[#This Row],[Rank]],Stammdaten[Rank Verteilung Krümmung],0))</f>
        <v>#N/A</v>
      </c>
      <c r="U1783" t="e">
        <f>VLOOKUP(Tabelle10[[#This Row],[Rank]],Stammdaten[[Rank Verteilung Krümmung]:[Verteilung Krümmung]],2,FALSE)</f>
        <v>#N/A</v>
      </c>
      <c r="Z1783">
        <v>1774</v>
      </c>
      <c r="AA1783" t="e">
        <f>INDEX(Stammdaten[Ovalität (']0,1'])],MATCH(Tabelle1014[[#This Row],[Rank]],Stammdaten[Rank Verteilung Ovalität],0))</f>
        <v>#N/A</v>
      </c>
      <c r="AB1783" t="e">
        <f>VLOOKUP(Tabelle1014[[#This Row],[Rank]],Stammdaten[[Rank Verteilung Ovalität]:[Verteilung Ovalität]],2,FALSE)</f>
        <v>#N/A</v>
      </c>
    </row>
    <row r="1784" spans="5:28" x14ac:dyDescent="0.35">
      <c r="E1784">
        <v>1775</v>
      </c>
      <c r="F1784" t="e">
        <f>INDEX(Stammdaten[D Mitte mit Rinde (mm)],MATCH(Tabelle8[[#This Row],[Rank]],Stammdaten[Rank Verteilung D Mitte mit Rinde],0))</f>
        <v>#N/A</v>
      </c>
      <c r="G1784" t="e">
        <f>VLOOKUP(Tabelle8[[#This Row],[Rank]],Stammdaten[[Rank Verteilung D Mitte mit Rinde]:[Verteilung D Mitte mit Rinde]],2,FALSE)</f>
        <v>#N/A</v>
      </c>
      <c r="L1784">
        <v>1775</v>
      </c>
      <c r="M1784" t="e">
        <f>INDEX(Stammdaten[Abholzigkeit (mm/lfm)],MATCH(Tabelle9[[#This Row],[Rank]],Stammdaten[Rank Verteilung Abholzigkeit],0))</f>
        <v>#N/A</v>
      </c>
      <c r="N1784" t="e">
        <f>VLOOKUP(Tabelle9[[#This Row],[Rank]],Stammdaten[[Rank Verteilung Abholzigkeit]:[Verteilung Abholzigkeit]],2,FALSE)</f>
        <v>#N/A</v>
      </c>
      <c r="S1784">
        <v>1775</v>
      </c>
      <c r="T1784" t="e">
        <f>INDEX(Stammdaten[Krümmung (mm/lfm)],MATCH(Tabelle10[[#This Row],[Rank]],Stammdaten[Rank Verteilung Krümmung],0))</f>
        <v>#N/A</v>
      </c>
      <c r="U1784" t="e">
        <f>VLOOKUP(Tabelle10[[#This Row],[Rank]],Stammdaten[[Rank Verteilung Krümmung]:[Verteilung Krümmung]],2,FALSE)</f>
        <v>#N/A</v>
      </c>
      <c r="Z1784">
        <v>1775</v>
      </c>
      <c r="AA1784" t="e">
        <f>INDEX(Stammdaten[Ovalität (']0,1'])],MATCH(Tabelle1014[[#This Row],[Rank]],Stammdaten[Rank Verteilung Ovalität],0))</f>
        <v>#N/A</v>
      </c>
      <c r="AB1784" t="e">
        <f>VLOOKUP(Tabelle1014[[#This Row],[Rank]],Stammdaten[[Rank Verteilung Ovalität]:[Verteilung Ovalität]],2,FALSE)</f>
        <v>#N/A</v>
      </c>
    </row>
    <row r="1785" spans="5:28" x14ac:dyDescent="0.35">
      <c r="E1785">
        <v>1776</v>
      </c>
      <c r="F1785" t="e">
        <f>INDEX(Stammdaten[D Mitte mit Rinde (mm)],MATCH(Tabelle8[[#This Row],[Rank]],Stammdaten[Rank Verteilung D Mitte mit Rinde],0))</f>
        <v>#N/A</v>
      </c>
      <c r="G1785" t="e">
        <f>VLOOKUP(Tabelle8[[#This Row],[Rank]],Stammdaten[[Rank Verteilung D Mitte mit Rinde]:[Verteilung D Mitte mit Rinde]],2,FALSE)</f>
        <v>#N/A</v>
      </c>
      <c r="L1785">
        <v>1776</v>
      </c>
      <c r="M1785" t="e">
        <f>INDEX(Stammdaten[Abholzigkeit (mm/lfm)],MATCH(Tabelle9[[#This Row],[Rank]],Stammdaten[Rank Verteilung Abholzigkeit],0))</f>
        <v>#N/A</v>
      </c>
      <c r="N1785" t="e">
        <f>VLOOKUP(Tabelle9[[#This Row],[Rank]],Stammdaten[[Rank Verteilung Abholzigkeit]:[Verteilung Abholzigkeit]],2,FALSE)</f>
        <v>#N/A</v>
      </c>
      <c r="S1785">
        <v>1776</v>
      </c>
      <c r="T1785" t="e">
        <f>INDEX(Stammdaten[Krümmung (mm/lfm)],MATCH(Tabelle10[[#This Row],[Rank]],Stammdaten[Rank Verteilung Krümmung],0))</f>
        <v>#N/A</v>
      </c>
      <c r="U1785" t="e">
        <f>VLOOKUP(Tabelle10[[#This Row],[Rank]],Stammdaten[[Rank Verteilung Krümmung]:[Verteilung Krümmung]],2,FALSE)</f>
        <v>#N/A</v>
      </c>
      <c r="Z1785">
        <v>1776</v>
      </c>
      <c r="AA1785" t="e">
        <f>INDEX(Stammdaten[Ovalität (']0,1'])],MATCH(Tabelle1014[[#This Row],[Rank]],Stammdaten[Rank Verteilung Ovalität],0))</f>
        <v>#N/A</v>
      </c>
      <c r="AB1785" t="e">
        <f>VLOOKUP(Tabelle1014[[#This Row],[Rank]],Stammdaten[[Rank Verteilung Ovalität]:[Verteilung Ovalität]],2,FALSE)</f>
        <v>#N/A</v>
      </c>
    </row>
    <row r="1786" spans="5:28" x14ac:dyDescent="0.35">
      <c r="E1786">
        <v>1777</v>
      </c>
      <c r="F1786" t="e">
        <f>INDEX(Stammdaten[D Mitte mit Rinde (mm)],MATCH(Tabelle8[[#This Row],[Rank]],Stammdaten[Rank Verteilung D Mitte mit Rinde],0))</f>
        <v>#N/A</v>
      </c>
      <c r="G1786" t="e">
        <f>VLOOKUP(Tabelle8[[#This Row],[Rank]],Stammdaten[[Rank Verteilung D Mitte mit Rinde]:[Verteilung D Mitte mit Rinde]],2,FALSE)</f>
        <v>#N/A</v>
      </c>
      <c r="L1786">
        <v>1777</v>
      </c>
      <c r="M1786" t="e">
        <f>INDEX(Stammdaten[Abholzigkeit (mm/lfm)],MATCH(Tabelle9[[#This Row],[Rank]],Stammdaten[Rank Verteilung Abholzigkeit],0))</f>
        <v>#N/A</v>
      </c>
      <c r="N1786" t="e">
        <f>VLOOKUP(Tabelle9[[#This Row],[Rank]],Stammdaten[[Rank Verteilung Abholzigkeit]:[Verteilung Abholzigkeit]],2,FALSE)</f>
        <v>#N/A</v>
      </c>
      <c r="S1786">
        <v>1777</v>
      </c>
      <c r="T1786" t="e">
        <f>INDEX(Stammdaten[Krümmung (mm/lfm)],MATCH(Tabelle10[[#This Row],[Rank]],Stammdaten[Rank Verteilung Krümmung],0))</f>
        <v>#N/A</v>
      </c>
      <c r="U1786" t="e">
        <f>VLOOKUP(Tabelle10[[#This Row],[Rank]],Stammdaten[[Rank Verteilung Krümmung]:[Verteilung Krümmung]],2,FALSE)</f>
        <v>#N/A</v>
      </c>
      <c r="Z1786">
        <v>1777</v>
      </c>
      <c r="AA1786" t="e">
        <f>INDEX(Stammdaten[Ovalität (']0,1'])],MATCH(Tabelle1014[[#This Row],[Rank]],Stammdaten[Rank Verteilung Ovalität],0))</f>
        <v>#N/A</v>
      </c>
      <c r="AB1786" t="e">
        <f>VLOOKUP(Tabelle1014[[#This Row],[Rank]],Stammdaten[[Rank Verteilung Ovalität]:[Verteilung Ovalität]],2,FALSE)</f>
        <v>#N/A</v>
      </c>
    </row>
    <row r="1787" spans="5:28" x14ac:dyDescent="0.35">
      <c r="E1787">
        <v>1778</v>
      </c>
      <c r="F1787" t="e">
        <f>INDEX(Stammdaten[D Mitte mit Rinde (mm)],MATCH(Tabelle8[[#This Row],[Rank]],Stammdaten[Rank Verteilung D Mitte mit Rinde],0))</f>
        <v>#N/A</v>
      </c>
      <c r="G1787" t="e">
        <f>VLOOKUP(Tabelle8[[#This Row],[Rank]],Stammdaten[[Rank Verteilung D Mitte mit Rinde]:[Verteilung D Mitte mit Rinde]],2,FALSE)</f>
        <v>#N/A</v>
      </c>
      <c r="L1787">
        <v>1778</v>
      </c>
      <c r="M1787" t="e">
        <f>INDEX(Stammdaten[Abholzigkeit (mm/lfm)],MATCH(Tabelle9[[#This Row],[Rank]],Stammdaten[Rank Verteilung Abholzigkeit],0))</f>
        <v>#N/A</v>
      </c>
      <c r="N1787" t="e">
        <f>VLOOKUP(Tabelle9[[#This Row],[Rank]],Stammdaten[[Rank Verteilung Abholzigkeit]:[Verteilung Abholzigkeit]],2,FALSE)</f>
        <v>#N/A</v>
      </c>
      <c r="S1787">
        <v>1778</v>
      </c>
      <c r="T1787" t="e">
        <f>INDEX(Stammdaten[Krümmung (mm/lfm)],MATCH(Tabelle10[[#This Row],[Rank]],Stammdaten[Rank Verteilung Krümmung],0))</f>
        <v>#N/A</v>
      </c>
      <c r="U1787" t="e">
        <f>VLOOKUP(Tabelle10[[#This Row],[Rank]],Stammdaten[[Rank Verteilung Krümmung]:[Verteilung Krümmung]],2,FALSE)</f>
        <v>#N/A</v>
      </c>
      <c r="Z1787">
        <v>1778</v>
      </c>
      <c r="AA1787" t="e">
        <f>INDEX(Stammdaten[Ovalität (']0,1'])],MATCH(Tabelle1014[[#This Row],[Rank]],Stammdaten[Rank Verteilung Ovalität],0))</f>
        <v>#N/A</v>
      </c>
      <c r="AB1787" t="e">
        <f>VLOOKUP(Tabelle1014[[#This Row],[Rank]],Stammdaten[[Rank Verteilung Ovalität]:[Verteilung Ovalität]],2,FALSE)</f>
        <v>#N/A</v>
      </c>
    </row>
    <row r="1788" spans="5:28" x14ac:dyDescent="0.35">
      <c r="E1788">
        <v>1779</v>
      </c>
      <c r="F1788" t="e">
        <f>INDEX(Stammdaten[D Mitte mit Rinde (mm)],MATCH(Tabelle8[[#This Row],[Rank]],Stammdaten[Rank Verteilung D Mitte mit Rinde],0))</f>
        <v>#N/A</v>
      </c>
      <c r="G1788" t="e">
        <f>VLOOKUP(Tabelle8[[#This Row],[Rank]],Stammdaten[[Rank Verteilung D Mitte mit Rinde]:[Verteilung D Mitte mit Rinde]],2,FALSE)</f>
        <v>#N/A</v>
      </c>
      <c r="L1788">
        <v>1779</v>
      </c>
      <c r="M1788" t="e">
        <f>INDEX(Stammdaten[Abholzigkeit (mm/lfm)],MATCH(Tabelle9[[#This Row],[Rank]],Stammdaten[Rank Verteilung Abholzigkeit],0))</f>
        <v>#N/A</v>
      </c>
      <c r="N1788" t="e">
        <f>VLOOKUP(Tabelle9[[#This Row],[Rank]],Stammdaten[[Rank Verteilung Abholzigkeit]:[Verteilung Abholzigkeit]],2,FALSE)</f>
        <v>#N/A</v>
      </c>
      <c r="S1788">
        <v>1779</v>
      </c>
      <c r="T1788" t="e">
        <f>INDEX(Stammdaten[Krümmung (mm/lfm)],MATCH(Tabelle10[[#This Row],[Rank]],Stammdaten[Rank Verteilung Krümmung],0))</f>
        <v>#N/A</v>
      </c>
      <c r="U1788" t="e">
        <f>VLOOKUP(Tabelle10[[#This Row],[Rank]],Stammdaten[[Rank Verteilung Krümmung]:[Verteilung Krümmung]],2,FALSE)</f>
        <v>#N/A</v>
      </c>
      <c r="Z1788">
        <v>1779</v>
      </c>
      <c r="AA1788" t="e">
        <f>INDEX(Stammdaten[Ovalität (']0,1'])],MATCH(Tabelle1014[[#This Row],[Rank]],Stammdaten[Rank Verteilung Ovalität],0))</f>
        <v>#N/A</v>
      </c>
      <c r="AB1788" t="e">
        <f>VLOOKUP(Tabelle1014[[#This Row],[Rank]],Stammdaten[[Rank Verteilung Ovalität]:[Verteilung Ovalität]],2,FALSE)</f>
        <v>#N/A</v>
      </c>
    </row>
    <row r="1789" spans="5:28" x14ac:dyDescent="0.35">
      <c r="E1789">
        <v>1780</v>
      </c>
      <c r="F1789" t="e">
        <f>INDEX(Stammdaten[D Mitte mit Rinde (mm)],MATCH(Tabelle8[[#This Row],[Rank]],Stammdaten[Rank Verteilung D Mitte mit Rinde],0))</f>
        <v>#N/A</v>
      </c>
      <c r="G1789" t="e">
        <f>VLOOKUP(Tabelle8[[#This Row],[Rank]],Stammdaten[[Rank Verteilung D Mitte mit Rinde]:[Verteilung D Mitte mit Rinde]],2,FALSE)</f>
        <v>#N/A</v>
      </c>
      <c r="L1789">
        <v>1780</v>
      </c>
      <c r="M1789" t="e">
        <f>INDEX(Stammdaten[Abholzigkeit (mm/lfm)],MATCH(Tabelle9[[#This Row],[Rank]],Stammdaten[Rank Verteilung Abholzigkeit],0))</f>
        <v>#N/A</v>
      </c>
      <c r="N1789" t="e">
        <f>VLOOKUP(Tabelle9[[#This Row],[Rank]],Stammdaten[[Rank Verteilung Abholzigkeit]:[Verteilung Abholzigkeit]],2,FALSE)</f>
        <v>#N/A</v>
      </c>
      <c r="S1789">
        <v>1780</v>
      </c>
      <c r="T1789" t="e">
        <f>INDEX(Stammdaten[Krümmung (mm/lfm)],MATCH(Tabelle10[[#This Row],[Rank]],Stammdaten[Rank Verteilung Krümmung],0))</f>
        <v>#N/A</v>
      </c>
      <c r="U1789" t="e">
        <f>VLOOKUP(Tabelle10[[#This Row],[Rank]],Stammdaten[[Rank Verteilung Krümmung]:[Verteilung Krümmung]],2,FALSE)</f>
        <v>#N/A</v>
      </c>
      <c r="Z1789">
        <v>1780</v>
      </c>
      <c r="AA1789" t="e">
        <f>INDEX(Stammdaten[Ovalität (']0,1'])],MATCH(Tabelle1014[[#This Row],[Rank]],Stammdaten[Rank Verteilung Ovalität],0))</f>
        <v>#N/A</v>
      </c>
      <c r="AB1789" t="e">
        <f>VLOOKUP(Tabelle1014[[#This Row],[Rank]],Stammdaten[[Rank Verteilung Ovalität]:[Verteilung Ovalität]],2,FALSE)</f>
        <v>#N/A</v>
      </c>
    </row>
    <row r="1790" spans="5:28" x14ac:dyDescent="0.35">
      <c r="E1790">
        <v>1781</v>
      </c>
      <c r="F1790" t="e">
        <f>INDEX(Stammdaten[D Mitte mit Rinde (mm)],MATCH(Tabelle8[[#This Row],[Rank]],Stammdaten[Rank Verteilung D Mitte mit Rinde],0))</f>
        <v>#N/A</v>
      </c>
      <c r="G1790" t="e">
        <f>VLOOKUP(Tabelle8[[#This Row],[Rank]],Stammdaten[[Rank Verteilung D Mitte mit Rinde]:[Verteilung D Mitte mit Rinde]],2,FALSE)</f>
        <v>#N/A</v>
      </c>
      <c r="L1790">
        <v>1781</v>
      </c>
      <c r="M1790" t="e">
        <f>INDEX(Stammdaten[Abholzigkeit (mm/lfm)],MATCH(Tabelle9[[#This Row],[Rank]],Stammdaten[Rank Verteilung Abholzigkeit],0))</f>
        <v>#N/A</v>
      </c>
      <c r="N1790" t="e">
        <f>VLOOKUP(Tabelle9[[#This Row],[Rank]],Stammdaten[[Rank Verteilung Abholzigkeit]:[Verteilung Abholzigkeit]],2,FALSE)</f>
        <v>#N/A</v>
      </c>
      <c r="S1790">
        <v>1781</v>
      </c>
      <c r="T1790" t="e">
        <f>INDEX(Stammdaten[Krümmung (mm/lfm)],MATCH(Tabelle10[[#This Row],[Rank]],Stammdaten[Rank Verteilung Krümmung],0))</f>
        <v>#N/A</v>
      </c>
      <c r="U1790" t="e">
        <f>VLOOKUP(Tabelle10[[#This Row],[Rank]],Stammdaten[[Rank Verteilung Krümmung]:[Verteilung Krümmung]],2,FALSE)</f>
        <v>#N/A</v>
      </c>
      <c r="Z1790">
        <v>1781</v>
      </c>
      <c r="AA1790" t="e">
        <f>INDEX(Stammdaten[Ovalität (']0,1'])],MATCH(Tabelle1014[[#This Row],[Rank]],Stammdaten[Rank Verteilung Ovalität],0))</f>
        <v>#N/A</v>
      </c>
      <c r="AB1790" t="e">
        <f>VLOOKUP(Tabelle1014[[#This Row],[Rank]],Stammdaten[[Rank Verteilung Ovalität]:[Verteilung Ovalität]],2,FALSE)</f>
        <v>#N/A</v>
      </c>
    </row>
    <row r="1791" spans="5:28" x14ac:dyDescent="0.35">
      <c r="E1791">
        <v>1782</v>
      </c>
      <c r="F1791" t="e">
        <f>INDEX(Stammdaten[D Mitte mit Rinde (mm)],MATCH(Tabelle8[[#This Row],[Rank]],Stammdaten[Rank Verteilung D Mitte mit Rinde],0))</f>
        <v>#N/A</v>
      </c>
      <c r="G1791" t="e">
        <f>VLOOKUP(Tabelle8[[#This Row],[Rank]],Stammdaten[[Rank Verteilung D Mitte mit Rinde]:[Verteilung D Mitte mit Rinde]],2,FALSE)</f>
        <v>#N/A</v>
      </c>
      <c r="L1791">
        <v>1782</v>
      </c>
      <c r="M1791" t="e">
        <f>INDEX(Stammdaten[Abholzigkeit (mm/lfm)],MATCH(Tabelle9[[#This Row],[Rank]],Stammdaten[Rank Verteilung Abholzigkeit],0))</f>
        <v>#N/A</v>
      </c>
      <c r="N1791" t="e">
        <f>VLOOKUP(Tabelle9[[#This Row],[Rank]],Stammdaten[[Rank Verteilung Abholzigkeit]:[Verteilung Abholzigkeit]],2,FALSE)</f>
        <v>#N/A</v>
      </c>
      <c r="S1791">
        <v>1782</v>
      </c>
      <c r="T1791" t="e">
        <f>INDEX(Stammdaten[Krümmung (mm/lfm)],MATCH(Tabelle10[[#This Row],[Rank]],Stammdaten[Rank Verteilung Krümmung],0))</f>
        <v>#N/A</v>
      </c>
      <c r="U1791" t="e">
        <f>VLOOKUP(Tabelle10[[#This Row],[Rank]],Stammdaten[[Rank Verteilung Krümmung]:[Verteilung Krümmung]],2,FALSE)</f>
        <v>#N/A</v>
      </c>
      <c r="Z1791">
        <v>1782</v>
      </c>
      <c r="AA1791" t="e">
        <f>INDEX(Stammdaten[Ovalität (']0,1'])],MATCH(Tabelle1014[[#This Row],[Rank]],Stammdaten[Rank Verteilung Ovalität],0))</f>
        <v>#N/A</v>
      </c>
      <c r="AB1791" t="e">
        <f>VLOOKUP(Tabelle1014[[#This Row],[Rank]],Stammdaten[[Rank Verteilung Ovalität]:[Verteilung Ovalität]],2,FALSE)</f>
        <v>#N/A</v>
      </c>
    </row>
    <row r="1792" spans="5:28" x14ac:dyDescent="0.35">
      <c r="E1792">
        <v>1783</v>
      </c>
      <c r="F1792" t="e">
        <f>INDEX(Stammdaten[D Mitte mit Rinde (mm)],MATCH(Tabelle8[[#This Row],[Rank]],Stammdaten[Rank Verteilung D Mitte mit Rinde],0))</f>
        <v>#N/A</v>
      </c>
      <c r="G1792" t="e">
        <f>VLOOKUP(Tabelle8[[#This Row],[Rank]],Stammdaten[[Rank Verteilung D Mitte mit Rinde]:[Verteilung D Mitte mit Rinde]],2,FALSE)</f>
        <v>#N/A</v>
      </c>
      <c r="L1792">
        <v>1783</v>
      </c>
      <c r="M1792" t="e">
        <f>INDEX(Stammdaten[Abholzigkeit (mm/lfm)],MATCH(Tabelle9[[#This Row],[Rank]],Stammdaten[Rank Verteilung Abholzigkeit],0))</f>
        <v>#N/A</v>
      </c>
      <c r="N1792" t="e">
        <f>VLOOKUP(Tabelle9[[#This Row],[Rank]],Stammdaten[[Rank Verteilung Abholzigkeit]:[Verteilung Abholzigkeit]],2,FALSE)</f>
        <v>#N/A</v>
      </c>
      <c r="S1792">
        <v>1783</v>
      </c>
      <c r="T1792" t="e">
        <f>INDEX(Stammdaten[Krümmung (mm/lfm)],MATCH(Tabelle10[[#This Row],[Rank]],Stammdaten[Rank Verteilung Krümmung],0))</f>
        <v>#N/A</v>
      </c>
      <c r="U1792" t="e">
        <f>VLOOKUP(Tabelle10[[#This Row],[Rank]],Stammdaten[[Rank Verteilung Krümmung]:[Verteilung Krümmung]],2,FALSE)</f>
        <v>#N/A</v>
      </c>
      <c r="Z1792">
        <v>1783</v>
      </c>
      <c r="AA1792" t="e">
        <f>INDEX(Stammdaten[Ovalität (']0,1'])],MATCH(Tabelle1014[[#This Row],[Rank]],Stammdaten[Rank Verteilung Ovalität],0))</f>
        <v>#N/A</v>
      </c>
      <c r="AB1792" t="e">
        <f>VLOOKUP(Tabelle1014[[#This Row],[Rank]],Stammdaten[[Rank Verteilung Ovalität]:[Verteilung Ovalität]],2,FALSE)</f>
        <v>#N/A</v>
      </c>
    </row>
    <row r="1793" spans="5:28" x14ac:dyDescent="0.35">
      <c r="E1793">
        <v>1784</v>
      </c>
      <c r="F1793" t="e">
        <f>INDEX(Stammdaten[D Mitte mit Rinde (mm)],MATCH(Tabelle8[[#This Row],[Rank]],Stammdaten[Rank Verteilung D Mitte mit Rinde],0))</f>
        <v>#N/A</v>
      </c>
      <c r="G1793" t="e">
        <f>VLOOKUP(Tabelle8[[#This Row],[Rank]],Stammdaten[[Rank Verteilung D Mitte mit Rinde]:[Verteilung D Mitte mit Rinde]],2,FALSE)</f>
        <v>#N/A</v>
      </c>
      <c r="L1793">
        <v>1784</v>
      </c>
      <c r="M1793" t="e">
        <f>INDEX(Stammdaten[Abholzigkeit (mm/lfm)],MATCH(Tabelle9[[#This Row],[Rank]],Stammdaten[Rank Verteilung Abholzigkeit],0))</f>
        <v>#N/A</v>
      </c>
      <c r="N1793" t="e">
        <f>VLOOKUP(Tabelle9[[#This Row],[Rank]],Stammdaten[[Rank Verteilung Abholzigkeit]:[Verteilung Abholzigkeit]],2,FALSE)</f>
        <v>#N/A</v>
      </c>
      <c r="S1793">
        <v>1784</v>
      </c>
      <c r="T1793" t="e">
        <f>INDEX(Stammdaten[Krümmung (mm/lfm)],MATCH(Tabelle10[[#This Row],[Rank]],Stammdaten[Rank Verteilung Krümmung],0))</f>
        <v>#N/A</v>
      </c>
      <c r="U1793" t="e">
        <f>VLOOKUP(Tabelle10[[#This Row],[Rank]],Stammdaten[[Rank Verteilung Krümmung]:[Verteilung Krümmung]],2,FALSE)</f>
        <v>#N/A</v>
      </c>
      <c r="Z1793">
        <v>1784</v>
      </c>
      <c r="AA1793" t="e">
        <f>INDEX(Stammdaten[Ovalität (']0,1'])],MATCH(Tabelle1014[[#This Row],[Rank]],Stammdaten[Rank Verteilung Ovalität],0))</f>
        <v>#N/A</v>
      </c>
      <c r="AB1793" t="e">
        <f>VLOOKUP(Tabelle1014[[#This Row],[Rank]],Stammdaten[[Rank Verteilung Ovalität]:[Verteilung Ovalität]],2,FALSE)</f>
        <v>#N/A</v>
      </c>
    </row>
    <row r="1794" spans="5:28" x14ac:dyDescent="0.35">
      <c r="E1794">
        <v>1785</v>
      </c>
      <c r="F1794" t="e">
        <f>INDEX(Stammdaten[D Mitte mit Rinde (mm)],MATCH(Tabelle8[[#This Row],[Rank]],Stammdaten[Rank Verteilung D Mitte mit Rinde],0))</f>
        <v>#N/A</v>
      </c>
      <c r="G1794" t="e">
        <f>VLOOKUP(Tabelle8[[#This Row],[Rank]],Stammdaten[[Rank Verteilung D Mitte mit Rinde]:[Verteilung D Mitte mit Rinde]],2,FALSE)</f>
        <v>#N/A</v>
      </c>
      <c r="L1794">
        <v>1785</v>
      </c>
      <c r="M1794" t="e">
        <f>INDEX(Stammdaten[Abholzigkeit (mm/lfm)],MATCH(Tabelle9[[#This Row],[Rank]],Stammdaten[Rank Verteilung Abholzigkeit],0))</f>
        <v>#N/A</v>
      </c>
      <c r="N1794" t="e">
        <f>VLOOKUP(Tabelle9[[#This Row],[Rank]],Stammdaten[[Rank Verteilung Abholzigkeit]:[Verteilung Abholzigkeit]],2,FALSE)</f>
        <v>#N/A</v>
      </c>
      <c r="S1794">
        <v>1785</v>
      </c>
      <c r="T1794" t="e">
        <f>INDEX(Stammdaten[Krümmung (mm/lfm)],MATCH(Tabelle10[[#This Row],[Rank]],Stammdaten[Rank Verteilung Krümmung],0))</f>
        <v>#N/A</v>
      </c>
      <c r="U1794" t="e">
        <f>VLOOKUP(Tabelle10[[#This Row],[Rank]],Stammdaten[[Rank Verteilung Krümmung]:[Verteilung Krümmung]],2,FALSE)</f>
        <v>#N/A</v>
      </c>
      <c r="Z1794">
        <v>1785</v>
      </c>
      <c r="AA1794" t="e">
        <f>INDEX(Stammdaten[Ovalität (']0,1'])],MATCH(Tabelle1014[[#This Row],[Rank]],Stammdaten[Rank Verteilung Ovalität],0))</f>
        <v>#N/A</v>
      </c>
      <c r="AB1794" t="e">
        <f>VLOOKUP(Tabelle1014[[#This Row],[Rank]],Stammdaten[[Rank Verteilung Ovalität]:[Verteilung Ovalität]],2,FALSE)</f>
        <v>#N/A</v>
      </c>
    </row>
    <row r="1795" spans="5:28" x14ac:dyDescent="0.35">
      <c r="E1795">
        <v>1786</v>
      </c>
      <c r="F1795" t="e">
        <f>INDEX(Stammdaten[D Mitte mit Rinde (mm)],MATCH(Tabelle8[[#This Row],[Rank]],Stammdaten[Rank Verteilung D Mitte mit Rinde],0))</f>
        <v>#N/A</v>
      </c>
      <c r="G1795" t="e">
        <f>VLOOKUP(Tabelle8[[#This Row],[Rank]],Stammdaten[[Rank Verteilung D Mitte mit Rinde]:[Verteilung D Mitte mit Rinde]],2,FALSE)</f>
        <v>#N/A</v>
      </c>
      <c r="L1795">
        <v>1786</v>
      </c>
      <c r="M1795" t="e">
        <f>INDEX(Stammdaten[Abholzigkeit (mm/lfm)],MATCH(Tabelle9[[#This Row],[Rank]],Stammdaten[Rank Verteilung Abholzigkeit],0))</f>
        <v>#N/A</v>
      </c>
      <c r="N1795" t="e">
        <f>VLOOKUP(Tabelle9[[#This Row],[Rank]],Stammdaten[[Rank Verteilung Abholzigkeit]:[Verteilung Abholzigkeit]],2,FALSE)</f>
        <v>#N/A</v>
      </c>
      <c r="S1795">
        <v>1786</v>
      </c>
      <c r="T1795" t="e">
        <f>INDEX(Stammdaten[Krümmung (mm/lfm)],MATCH(Tabelle10[[#This Row],[Rank]],Stammdaten[Rank Verteilung Krümmung],0))</f>
        <v>#N/A</v>
      </c>
      <c r="U1795" t="e">
        <f>VLOOKUP(Tabelle10[[#This Row],[Rank]],Stammdaten[[Rank Verteilung Krümmung]:[Verteilung Krümmung]],2,FALSE)</f>
        <v>#N/A</v>
      </c>
      <c r="Z1795">
        <v>1786</v>
      </c>
      <c r="AA1795" t="e">
        <f>INDEX(Stammdaten[Ovalität (']0,1'])],MATCH(Tabelle1014[[#This Row],[Rank]],Stammdaten[Rank Verteilung Ovalität],0))</f>
        <v>#N/A</v>
      </c>
      <c r="AB1795" t="e">
        <f>VLOOKUP(Tabelle1014[[#This Row],[Rank]],Stammdaten[[Rank Verteilung Ovalität]:[Verteilung Ovalität]],2,FALSE)</f>
        <v>#N/A</v>
      </c>
    </row>
    <row r="1796" spans="5:28" x14ac:dyDescent="0.35">
      <c r="E1796">
        <v>1787</v>
      </c>
      <c r="F1796" t="e">
        <f>INDEX(Stammdaten[D Mitte mit Rinde (mm)],MATCH(Tabelle8[[#This Row],[Rank]],Stammdaten[Rank Verteilung D Mitte mit Rinde],0))</f>
        <v>#N/A</v>
      </c>
      <c r="G1796" t="e">
        <f>VLOOKUP(Tabelle8[[#This Row],[Rank]],Stammdaten[[Rank Verteilung D Mitte mit Rinde]:[Verteilung D Mitte mit Rinde]],2,FALSE)</f>
        <v>#N/A</v>
      </c>
      <c r="L1796">
        <v>1787</v>
      </c>
      <c r="M1796" t="e">
        <f>INDEX(Stammdaten[Abholzigkeit (mm/lfm)],MATCH(Tabelle9[[#This Row],[Rank]],Stammdaten[Rank Verteilung Abholzigkeit],0))</f>
        <v>#N/A</v>
      </c>
      <c r="N1796" t="e">
        <f>VLOOKUP(Tabelle9[[#This Row],[Rank]],Stammdaten[[Rank Verteilung Abholzigkeit]:[Verteilung Abholzigkeit]],2,FALSE)</f>
        <v>#N/A</v>
      </c>
      <c r="S1796">
        <v>1787</v>
      </c>
      <c r="T1796" t="e">
        <f>INDEX(Stammdaten[Krümmung (mm/lfm)],MATCH(Tabelle10[[#This Row],[Rank]],Stammdaten[Rank Verteilung Krümmung],0))</f>
        <v>#N/A</v>
      </c>
      <c r="U1796" t="e">
        <f>VLOOKUP(Tabelle10[[#This Row],[Rank]],Stammdaten[[Rank Verteilung Krümmung]:[Verteilung Krümmung]],2,FALSE)</f>
        <v>#N/A</v>
      </c>
      <c r="Z1796">
        <v>1787</v>
      </c>
      <c r="AA1796" t="e">
        <f>INDEX(Stammdaten[Ovalität (']0,1'])],MATCH(Tabelle1014[[#This Row],[Rank]],Stammdaten[Rank Verteilung Ovalität],0))</f>
        <v>#N/A</v>
      </c>
      <c r="AB1796" t="e">
        <f>VLOOKUP(Tabelle1014[[#This Row],[Rank]],Stammdaten[[Rank Verteilung Ovalität]:[Verteilung Ovalität]],2,FALSE)</f>
        <v>#N/A</v>
      </c>
    </row>
    <row r="1797" spans="5:28" x14ac:dyDescent="0.35">
      <c r="E1797">
        <v>1788</v>
      </c>
      <c r="F1797" t="e">
        <f>INDEX(Stammdaten[D Mitte mit Rinde (mm)],MATCH(Tabelle8[[#This Row],[Rank]],Stammdaten[Rank Verteilung D Mitte mit Rinde],0))</f>
        <v>#N/A</v>
      </c>
      <c r="G1797" t="e">
        <f>VLOOKUP(Tabelle8[[#This Row],[Rank]],Stammdaten[[Rank Verteilung D Mitte mit Rinde]:[Verteilung D Mitte mit Rinde]],2,FALSE)</f>
        <v>#N/A</v>
      </c>
      <c r="L1797">
        <v>1788</v>
      </c>
      <c r="M1797" t="e">
        <f>INDEX(Stammdaten[Abholzigkeit (mm/lfm)],MATCH(Tabelle9[[#This Row],[Rank]],Stammdaten[Rank Verteilung Abholzigkeit],0))</f>
        <v>#N/A</v>
      </c>
      <c r="N1797" t="e">
        <f>VLOOKUP(Tabelle9[[#This Row],[Rank]],Stammdaten[[Rank Verteilung Abholzigkeit]:[Verteilung Abholzigkeit]],2,FALSE)</f>
        <v>#N/A</v>
      </c>
      <c r="S1797">
        <v>1788</v>
      </c>
      <c r="T1797" t="e">
        <f>INDEX(Stammdaten[Krümmung (mm/lfm)],MATCH(Tabelle10[[#This Row],[Rank]],Stammdaten[Rank Verteilung Krümmung],0))</f>
        <v>#N/A</v>
      </c>
      <c r="U1797" t="e">
        <f>VLOOKUP(Tabelle10[[#This Row],[Rank]],Stammdaten[[Rank Verteilung Krümmung]:[Verteilung Krümmung]],2,FALSE)</f>
        <v>#N/A</v>
      </c>
      <c r="Z1797">
        <v>1788</v>
      </c>
      <c r="AA1797" t="e">
        <f>INDEX(Stammdaten[Ovalität (']0,1'])],MATCH(Tabelle1014[[#This Row],[Rank]],Stammdaten[Rank Verteilung Ovalität],0))</f>
        <v>#N/A</v>
      </c>
      <c r="AB1797" t="e">
        <f>VLOOKUP(Tabelle1014[[#This Row],[Rank]],Stammdaten[[Rank Verteilung Ovalität]:[Verteilung Ovalität]],2,FALSE)</f>
        <v>#N/A</v>
      </c>
    </row>
    <row r="1798" spans="5:28" x14ac:dyDescent="0.35">
      <c r="E1798">
        <v>1789</v>
      </c>
      <c r="F1798" t="e">
        <f>INDEX(Stammdaten[D Mitte mit Rinde (mm)],MATCH(Tabelle8[[#This Row],[Rank]],Stammdaten[Rank Verteilung D Mitte mit Rinde],0))</f>
        <v>#N/A</v>
      </c>
      <c r="G1798" t="e">
        <f>VLOOKUP(Tabelle8[[#This Row],[Rank]],Stammdaten[[Rank Verteilung D Mitte mit Rinde]:[Verteilung D Mitte mit Rinde]],2,FALSE)</f>
        <v>#N/A</v>
      </c>
      <c r="L1798">
        <v>1789</v>
      </c>
      <c r="M1798" t="e">
        <f>INDEX(Stammdaten[Abholzigkeit (mm/lfm)],MATCH(Tabelle9[[#This Row],[Rank]],Stammdaten[Rank Verteilung Abholzigkeit],0))</f>
        <v>#N/A</v>
      </c>
      <c r="N1798" t="e">
        <f>VLOOKUP(Tabelle9[[#This Row],[Rank]],Stammdaten[[Rank Verteilung Abholzigkeit]:[Verteilung Abholzigkeit]],2,FALSE)</f>
        <v>#N/A</v>
      </c>
      <c r="S1798">
        <v>1789</v>
      </c>
      <c r="T1798" t="e">
        <f>INDEX(Stammdaten[Krümmung (mm/lfm)],MATCH(Tabelle10[[#This Row],[Rank]],Stammdaten[Rank Verteilung Krümmung],0))</f>
        <v>#N/A</v>
      </c>
      <c r="U1798" t="e">
        <f>VLOOKUP(Tabelle10[[#This Row],[Rank]],Stammdaten[[Rank Verteilung Krümmung]:[Verteilung Krümmung]],2,FALSE)</f>
        <v>#N/A</v>
      </c>
      <c r="Z1798">
        <v>1789</v>
      </c>
      <c r="AA1798" t="e">
        <f>INDEX(Stammdaten[Ovalität (']0,1'])],MATCH(Tabelle1014[[#This Row],[Rank]],Stammdaten[Rank Verteilung Ovalität],0))</f>
        <v>#N/A</v>
      </c>
      <c r="AB1798" t="e">
        <f>VLOOKUP(Tabelle1014[[#This Row],[Rank]],Stammdaten[[Rank Verteilung Ovalität]:[Verteilung Ovalität]],2,FALSE)</f>
        <v>#N/A</v>
      </c>
    </row>
    <row r="1799" spans="5:28" x14ac:dyDescent="0.35">
      <c r="E1799">
        <v>1790</v>
      </c>
      <c r="F1799" t="e">
        <f>INDEX(Stammdaten[D Mitte mit Rinde (mm)],MATCH(Tabelle8[[#This Row],[Rank]],Stammdaten[Rank Verteilung D Mitte mit Rinde],0))</f>
        <v>#N/A</v>
      </c>
      <c r="G1799" t="e">
        <f>VLOOKUP(Tabelle8[[#This Row],[Rank]],Stammdaten[[Rank Verteilung D Mitte mit Rinde]:[Verteilung D Mitte mit Rinde]],2,FALSE)</f>
        <v>#N/A</v>
      </c>
      <c r="L1799">
        <v>1790</v>
      </c>
      <c r="M1799" t="e">
        <f>INDEX(Stammdaten[Abholzigkeit (mm/lfm)],MATCH(Tabelle9[[#This Row],[Rank]],Stammdaten[Rank Verteilung Abholzigkeit],0))</f>
        <v>#N/A</v>
      </c>
      <c r="N1799" t="e">
        <f>VLOOKUP(Tabelle9[[#This Row],[Rank]],Stammdaten[[Rank Verteilung Abholzigkeit]:[Verteilung Abholzigkeit]],2,FALSE)</f>
        <v>#N/A</v>
      </c>
      <c r="S1799">
        <v>1790</v>
      </c>
      <c r="T1799" t="e">
        <f>INDEX(Stammdaten[Krümmung (mm/lfm)],MATCH(Tabelle10[[#This Row],[Rank]],Stammdaten[Rank Verteilung Krümmung],0))</f>
        <v>#N/A</v>
      </c>
      <c r="U1799" t="e">
        <f>VLOOKUP(Tabelle10[[#This Row],[Rank]],Stammdaten[[Rank Verteilung Krümmung]:[Verteilung Krümmung]],2,FALSE)</f>
        <v>#N/A</v>
      </c>
      <c r="Z1799">
        <v>1790</v>
      </c>
      <c r="AA1799" t="e">
        <f>INDEX(Stammdaten[Ovalität (']0,1'])],MATCH(Tabelle1014[[#This Row],[Rank]],Stammdaten[Rank Verteilung Ovalität],0))</f>
        <v>#N/A</v>
      </c>
      <c r="AB1799" t="e">
        <f>VLOOKUP(Tabelle1014[[#This Row],[Rank]],Stammdaten[[Rank Verteilung Ovalität]:[Verteilung Ovalität]],2,FALSE)</f>
        <v>#N/A</v>
      </c>
    </row>
    <row r="1800" spans="5:28" x14ac:dyDescent="0.35">
      <c r="E1800">
        <v>1791</v>
      </c>
      <c r="F1800" t="e">
        <f>INDEX(Stammdaten[D Mitte mit Rinde (mm)],MATCH(Tabelle8[[#This Row],[Rank]],Stammdaten[Rank Verteilung D Mitte mit Rinde],0))</f>
        <v>#N/A</v>
      </c>
      <c r="G1800" t="e">
        <f>VLOOKUP(Tabelle8[[#This Row],[Rank]],Stammdaten[[Rank Verteilung D Mitte mit Rinde]:[Verteilung D Mitte mit Rinde]],2,FALSE)</f>
        <v>#N/A</v>
      </c>
      <c r="L1800">
        <v>1791</v>
      </c>
      <c r="M1800" t="e">
        <f>INDEX(Stammdaten[Abholzigkeit (mm/lfm)],MATCH(Tabelle9[[#This Row],[Rank]],Stammdaten[Rank Verteilung Abholzigkeit],0))</f>
        <v>#N/A</v>
      </c>
      <c r="N1800" t="e">
        <f>VLOOKUP(Tabelle9[[#This Row],[Rank]],Stammdaten[[Rank Verteilung Abholzigkeit]:[Verteilung Abholzigkeit]],2,FALSE)</f>
        <v>#N/A</v>
      </c>
      <c r="S1800">
        <v>1791</v>
      </c>
      <c r="T1800" t="e">
        <f>INDEX(Stammdaten[Krümmung (mm/lfm)],MATCH(Tabelle10[[#This Row],[Rank]],Stammdaten[Rank Verteilung Krümmung],0))</f>
        <v>#N/A</v>
      </c>
      <c r="U1800" t="e">
        <f>VLOOKUP(Tabelle10[[#This Row],[Rank]],Stammdaten[[Rank Verteilung Krümmung]:[Verteilung Krümmung]],2,FALSE)</f>
        <v>#N/A</v>
      </c>
      <c r="Z1800">
        <v>1791</v>
      </c>
      <c r="AA1800" t="e">
        <f>INDEX(Stammdaten[Ovalität (']0,1'])],MATCH(Tabelle1014[[#This Row],[Rank]],Stammdaten[Rank Verteilung Ovalität],0))</f>
        <v>#N/A</v>
      </c>
      <c r="AB1800" t="e">
        <f>VLOOKUP(Tabelle1014[[#This Row],[Rank]],Stammdaten[[Rank Verteilung Ovalität]:[Verteilung Ovalität]],2,FALSE)</f>
        <v>#N/A</v>
      </c>
    </row>
    <row r="1801" spans="5:28" x14ac:dyDescent="0.35">
      <c r="E1801">
        <v>1792</v>
      </c>
      <c r="F1801" t="e">
        <f>INDEX(Stammdaten[D Mitte mit Rinde (mm)],MATCH(Tabelle8[[#This Row],[Rank]],Stammdaten[Rank Verteilung D Mitte mit Rinde],0))</f>
        <v>#N/A</v>
      </c>
      <c r="G1801" t="e">
        <f>VLOOKUP(Tabelle8[[#This Row],[Rank]],Stammdaten[[Rank Verteilung D Mitte mit Rinde]:[Verteilung D Mitte mit Rinde]],2,FALSE)</f>
        <v>#N/A</v>
      </c>
      <c r="L1801">
        <v>1792</v>
      </c>
      <c r="M1801" t="e">
        <f>INDEX(Stammdaten[Abholzigkeit (mm/lfm)],MATCH(Tabelle9[[#This Row],[Rank]],Stammdaten[Rank Verteilung Abholzigkeit],0))</f>
        <v>#N/A</v>
      </c>
      <c r="N1801" t="e">
        <f>VLOOKUP(Tabelle9[[#This Row],[Rank]],Stammdaten[[Rank Verteilung Abholzigkeit]:[Verteilung Abholzigkeit]],2,FALSE)</f>
        <v>#N/A</v>
      </c>
      <c r="S1801">
        <v>1792</v>
      </c>
      <c r="T1801" t="e">
        <f>INDEX(Stammdaten[Krümmung (mm/lfm)],MATCH(Tabelle10[[#This Row],[Rank]],Stammdaten[Rank Verteilung Krümmung],0))</f>
        <v>#N/A</v>
      </c>
      <c r="U1801" t="e">
        <f>VLOOKUP(Tabelle10[[#This Row],[Rank]],Stammdaten[[Rank Verteilung Krümmung]:[Verteilung Krümmung]],2,FALSE)</f>
        <v>#N/A</v>
      </c>
      <c r="Z1801">
        <v>1792</v>
      </c>
      <c r="AA1801" t="e">
        <f>INDEX(Stammdaten[Ovalität (']0,1'])],MATCH(Tabelle1014[[#This Row],[Rank]],Stammdaten[Rank Verteilung Ovalität],0))</f>
        <v>#N/A</v>
      </c>
      <c r="AB1801" t="e">
        <f>VLOOKUP(Tabelle1014[[#This Row],[Rank]],Stammdaten[[Rank Verteilung Ovalität]:[Verteilung Ovalität]],2,FALSE)</f>
        <v>#N/A</v>
      </c>
    </row>
    <row r="1802" spans="5:28" x14ac:dyDescent="0.35">
      <c r="E1802">
        <v>1793</v>
      </c>
      <c r="F1802" t="e">
        <f>INDEX(Stammdaten[D Mitte mit Rinde (mm)],MATCH(Tabelle8[[#This Row],[Rank]],Stammdaten[Rank Verteilung D Mitte mit Rinde],0))</f>
        <v>#N/A</v>
      </c>
      <c r="G1802" t="e">
        <f>VLOOKUP(Tabelle8[[#This Row],[Rank]],Stammdaten[[Rank Verteilung D Mitte mit Rinde]:[Verteilung D Mitte mit Rinde]],2,FALSE)</f>
        <v>#N/A</v>
      </c>
      <c r="L1802">
        <v>1793</v>
      </c>
      <c r="M1802" t="e">
        <f>INDEX(Stammdaten[Abholzigkeit (mm/lfm)],MATCH(Tabelle9[[#This Row],[Rank]],Stammdaten[Rank Verteilung Abholzigkeit],0))</f>
        <v>#N/A</v>
      </c>
      <c r="N1802" t="e">
        <f>VLOOKUP(Tabelle9[[#This Row],[Rank]],Stammdaten[[Rank Verteilung Abholzigkeit]:[Verteilung Abholzigkeit]],2,FALSE)</f>
        <v>#N/A</v>
      </c>
      <c r="S1802">
        <v>1793</v>
      </c>
      <c r="T1802" t="e">
        <f>INDEX(Stammdaten[Krümmung (mm/lfm)],MATCH(Tabelle10[[#This Row],[Rank]],Stammdaten[Rank Verteilung Krümmung],0))</f>
        <v>#N/A</v>
      </c>
      <c r="U1802" t="e">
        <f>VLOOKUP(Tabelle10[[#This Row],[Rank]],Stammdaten[[Rank Verteilung Krümmung]:[Verteilung Krümmung]],2,FALSE)</f>
        <v>#N/A</v>
      </c>
      <c r="Z1802">
        <v>1793</v>
      </c>
      <c r="AA1802" t="e">
        <f>INDEX(Stammdaten[Ovalität (']0,1'])],MATCH(Tabelle1014[[#This Row],[Rank]],Stammdaten[Rank Verteilung Ovalität],0))</f>
        <v>#N/A</v>
      </c>
      <c r="AB1802" t="e">
        <f>VLOOKUP(Tabelle1014[[#This Row],[Rank]],Stammdaten[[Rank Verteilung Ovalität]:[Verteilung Ovalität]],2,FALSE)</f>
        <v>#N/A</v>
      </c>
    </row>
    <row r="1803" spans="5:28" x14ac:dyDescent="0.35">
      <c r="E1803">
        <v>1794</v>
      </c>
      <c r="F1803" t="e">
        <f>INDEX(Stammdaten[D Mitte mit Rinde (mm)],MATCH(Tabelle8[[#This Row],[Rank]],Stammdaten[Rank Verteilung D Mitte mit Rinde],0))</f>
        <v>#N/A</v>
      </c>
      <c r="G1803" t="e">
        <f>VLOOKUP(Tabelle8[[#This Row],[Rank]],Stammdaten[[Rank Verteilung D Mitte mit Rinde]:[Verteilung D Mitte mit Rinde]],2,FALSE)</f>
        <v>#N/A</v>
      </c>
      <c r="L1803">
        <v>1794</v>
      </c>
      <c r="M1803" t="e">
        <f>INDEX(Stammdaten[Abholzigkeit (mm/lfm)],MATCH(Tabelle9[[#This Row],[Rank]],Stammdaten[Rank Verteilung Abholzigkeit],0))</f>
        <v>#N/A</v>
      </c>
      <c r="N1803" t="e">
        <f>VLOOKUP(Tabelle9[[#This Row],[Rank]],Stammdaten[[Rank Verteilung Abholzigkeit]:[Verteilung Abholzigkeit]],2,FALSE)</f>
        <v>#N/A</v>
      </c>
      <c r="S1803">
        <v>1794</v>
      </c>
      <c r="T1803" t="e">
        <f>INDEX(Stammdaten[Krümmung (mm/lfm)],MATCH(Tabelle10[[#This Row],[Rank]],Stammdaten[Rank Verteilung Krümmung],0))</f>
        <v>#N/A</v>
      </c>
      <c r="U1803" t="e">
        <f>VLOOKUP(Tabelle10[[#This Row],[Rank]],Stammdaten[[Rank Verteilung Krümmung]:[Verteilung Krümmung]],2,FALSE)</f>
        <v>#N/A</v>
      </c>
      <c r="Z1803">
        <v>1794</v>
      </c>
      <c r="AA1803" t="e">
        <f>INDEX(Stammdaten[Ovalität (']0,1'])],MATCH(Tabelle1014[[#This Row],[Rank]],Stammdaten[Rank Verteilung Ovalität],0))</f>
        <v>#N/A</v>
      </c>
      <c r="AB1803" t="e">
        <f>VLOOKUP(Tabelle1014[[#This Row],[Rank]],Stammdaten[[Rank Verteilung Ovalität]:[Verteilung Ovalität]],2,FALSE)</f>
        <v>#N/A</v>
      </c>
    </row>
    <row r="1804" spans="5:28" x14ac:dyDescent="0.35">
      <c r="E1804">
        <v>1795</v>
      </c>
      <c r="F1804" t="e">
        <f>INDEX(Stammdaten[D Mitte mit Rinde (mm)],MATCH(Tabelle8[[#This Row],[Rank]],Stammdaten[Rank Verteilung D Mitte mit Rinde],0))</f>
        <v>#N/A</v>
      </c>
      <c r="G1804" t="e">
        <f>VLOOKUP(Tabelle8[[#This Row],[Rank]],Stammdaten[[Rank Verteilung D Mitte mit Rinde]:[Verteilung D Mitte mit Rinde]],2,FALSE)</f>
        <v>#N/A</v>
      </c>
      <c r="L1804">
        <v>1795</v>
      </c>
      <c r="M1804" t="e">
        <f>INDEX(Stammdaten[Abholzigkeit (mm/lfm)],MATCH(Tabelle9[[#This Row],[Rank]],Stammdaten[Rank Verteilung Abholzigkeit],0))</f>
        <v>#N/A</v>
      </c>
      <c r="N1804" t="e">
        <f>VLOOKUP(Tabelle9[[#This Row],[Rank]],Stammdaten[[Rank Verteilung Abholzigkeit]:[Verteilung Abholzigkeit]],2,FALSE)</f>
        <v>#N/A</v>
      </c>
      <c r="S1804">
        <v>1795</v>
      </c>
      <c r="T1804" t="e">
        <f>INDEX(Stammdaten[Krümmung (mm/lfm)],MATCH(Tabelle10[[#This Row],[Rank]],Stammdaten[Rank Verteilung Krümmung],0))</f>
        <v>#N/A</v>
      </c>
      <c r="U1804" t="e">
        <f>VLOOKUP(Tabelle10[[#This Row],[Rank]],Stammdaten[[Rank Verteilung Krümmung]:[Verteilung Krümmung]],2,FALSE)</f>
        <v>#N/A</v>
      </c>
      <c r="Z1804">
        <v>1795</v>
      </c>
      <c r="AA1804" t="e">
        <f>INDEX(Stammdaten[Ovalität (']0,1'])],MATCH(Tabelle1014[[#This Row],[Rank]],Stammdaten[Rank Verteilung Ovalität],0))</f>
        <v>#N/A</v>
      </c>
      <c r="AB1804" t="e">
        <f>VLOOKUP(Tabelle1014[[#This Row],[Rank]],Stammdaten[[Rank Verteilung Ovalität]:[Verteilung Ovalität]],2,FALSE)</f>
        <v>#N/A</v>
      </c>
    </row>
    <row r="1805" spans="5:28" x14ac:dyDescent="0.35">
      <c r="E1805">
        <v>1796</v>
      </c>
      <c r="F1805" t="e">
        <f>INDEX(Stammdaten[D Mitte mit Rinde (mm)],MATCH(Tabelle8[[#This Row],[Rank]],Stammdaten[Rank Verteilung D Mitte mit Rinde],0))</f>
        <v>#N/A</v>
      </c>
      <c r="G1805" t="e">
        <f>VLOOKUP(Tabelle8[[#This Row],[Rank]],Stammdaten[[Rank Verteilung D Mitte mit Rinde]:[Verteilung D Mitte mit Rinde]],2,FALSE)</f>
        <v>#N/A</v>
      </c>
      <c r="L1805">
        <v>1796</v>
      </c>
      <c r="M1805" t="e">
        <f>INDEX(Stammdaten[Abholzigkeit (mm/lfm)],MATCH(Tabelle9[[#This Row],[Rank]],Stammdaten[Rank Verteilung Abholzigkeit],0))</f>
        <v>#N/A</v>
      </c>
      <c r="N1805" t="e">
        <f>VLOOKUP(Tabelle9[[#This Row],[Rank]],Stammdaten[[Rank Verteilung Abholzigkeit]:[Verteilung Abholzigkeit]],2,FALSE)</f>
        <v>#N/A</v>
      </c>
      <c r="S1805">
        <v>1796</v>
      </c>
      <c r="T1805" t="e">
        <f>INDEX(Stammdaten[Krümmung (mm/lfm)],MATCH(Tabelle10[[#This Row],[Rank]],Stammdaten[Rank Verteilung Krümmung],0))</f>
        <v>#N/A</v>
      </c>
      <c r="U1805" t="e">
        <f>VLOOKUP(Tabelle10[[#This Row],[Rank]],Stammdaten[[Rank Verteilung Krümmung]:[Verteilung Krümmung]],2,FALSE)</f>
        <v>#N/A</v>
      </c>
      <c r="Z1805">
        <v>1796</v>
      </c>
      <c r="AA1805" t="e">
        <f>INDEX(Stammdaten[Ovalität (']0,1'])],MATCH(Tabelle1014[[#This Row],[Rank]],Stammdaten[Rank Verteilung Ovalität],0))</f>
        <v>#N/A</v>
      </c>
      <c r="AB1805" t="e">
        <f>VLOOKUP(Tabelle1014[[#This Row],[Rank]],Stammdaten[[Rank Verteilung Ovalität]:[Verteilung Ovalität]],2,FALSE)</f>
        <v>#N/A</v>
      </c>
    </row>
    <row r="1806" spans="5:28" x14ac:dyDescent="0.35">
      <c r="E1806">
        <v>1797</v>
      </c>
      <c r="F1806" t="e">
        <f>INDEX(Stammdaten[D Mitte mit Rinde (mm)],MATCH(Tabelle8[[#This Row],[Rank]],Stammdaten[Rank Verteilung D Mitte mit Rinde],0))</f>
        <v>#N/A</v>
      </c>
      <c r="G1806" t="e">
        <f>VLOOKUP(Tabelle8[[#This Row],[Rank]],Stammdaten[[Rank Verteilung D Mitte mit Rinde]:[Verteilung D Mitte mit Rinde]],2,FALSE)</f>
        <v>#N/A</v>
      </c>
      <c r="L1806">
        <v>1797</v>
      </c>
      <c r="M1806" t="e">
        <f>INDEX(Stammdaten[Abholzigkeit (mm/lfm)],MATCH(Tabelle9[[#This Row],[Rank]],Stammdaten[Rank Verteilung Abholzigkeit],0))</f>
        <v>#N/A</v>
      </c>
      <c r="N1806" t="e">
        <f>VLOOKUP(Tabelle9[[#This Row],[Rank]],Stammdaten[[Rank Verteilung Abholzigkeit]:[Verteilung Abholzigkeit]],2,FALSE)</f>
        <v>#N/A</v>
      </c>
      <c r="S1806">
        <v>1797</v>
      </c>
      <c r="T1806" t="e">
        <f>INDEX(Stammdaten[Krümmung (mm/lfm)],MATCH(Tabelle10[[#This Row],[Rank]],Stammdaten[Rank Verteilung Krümmung],0))</f>
        <v>#N/A</v>
      </c>
      <c r="U1806" t="e">
        <f>VLOOKUP(Tabelle10[[#This Row],[Rank]],Stammdaten[[Rank Verteilung Krümmung]:[Verteilung Krümmung]],2,FALSE)</f>
        <v>#N/A</v>
      </c>
      <c r="Z1806">
        <v>1797</v>
      </c>
      <c r="AA1806" t="e">
        <f>INDEX(Stammdaten[Ovalität (']0,1'])],MATCH(Tabelle1014[[#This Row],[Rank]],Stammdaten[Rank Verteilung Ovalität],0))</f>
        <v>#N/A</v>
      </c>
      <c r="AB1806" t="e">
        <f>VLOOKUP(Tabelle1014[[#This Row],[Rank]],Stammdaten[[Rank Verteilung Ovalität]:[Verteilung Ovalität]],2,FALSE)</f>
        <v>#N/A</v>
      </c>
    </row>
    <row r="1807" spans="5:28" x14ac:dyDescent="0.35">
      <c r="E1807">
        <v>1798</v>
      </c>
      <c r="F1807" t="e">
        <f>INDEX(Stammdaten[D Mitte mit Rinde (mm)],MATCH(Tabelle8[[#This Row],[Rank]],Stammdaten[Rank Verteilung D Mitte mit Rinde],0))</f>
        <v>#N/A</v>
      </c>
      <c r="G1807" t="e">
        <f>VLOOKUP(Tabelle8[[#This Row],[Rank]],Stammdaten[[Rank Verteilung D Mitte mit Rinde]:[Verteilung D Mitte mit Rinde]],2,FALSE)</f>
        <v>#N/A</v>
      </c>
      <c r="L1807">
        <v>1798</v>
      </c>
      <c r="M1807" t="e">
        <f>INDEX(Stammdaten[Abholzigkeit (mm/lfm)],MATCH(Tabelle9[[#This Row],[Rank]],Stammdaten[Rank Verteilung Abholzigkeit],0))</f>
        <v>#N/A</v>
      </c>
      <c r="N1807" t="e">
        <f>VLOOKUP(Tabelle9[[#This Row],[Rank]],Stammdaten[[Rank Verteilung Abholzigkeit]:[Verteilung Abholzigkeit]],2,FALSE)</f>
        <v>#N/A</v>
      </c>
      <c r="S1807">
        <v>1798</v>
      </c>
      <c r="T1807" t="e">
        <f>INDEX(Stammdaten[Krümmung (mm/lfm)],MATCH(Tabelle10[[#This Row],[Rank]],Stammdaten[Rank Verteilung Krümmung],0))</f>
        <v>#N/A</v>
      </c>
      <c r="U1807" t="e">
        <f>VLOOKUP(Tabelle10[[#This Row],[Rank]],Stammdaten[[Rank Verteilung Krümmung]:[Verteilung Krümmung]],2,FALSE)</f>
        <v>#N/A</v>
      </c>
      <c r="Z1807">
        <v>1798</v>
      </c>
      <c r="AA1807" t="e">
        <f>INDEX(Stammdaten[Ovalität (']0,1'])],MATCH(Tabelle1014[[#This Row],[Rank]],Stammdaten[Rank Verteilung Ovalität],0))</f>
        <v>#N/A</v>
      </c>
      <c r="AB1807" t="e">
        <f>VLOOKUP(Tabelle1014[[#This Row],[Rank]],Stammdaten[[Rank Verteilung Ovalität]:[Verteilung Ovalität]],2,FALSE)</f>
        <v>#N/A</v>
      </c>
    </row>
    <row r="1808" spans="5:28" x14ac:dyDescent="0.35">
      <c r="E1808">
        <v>1799</v>
      </c>
      <c r="F1808" t="e">
        <f>INDEX(Stammdaten[D Mitte mit Rinde (mm)],MATCH(Tabelle8[[#This Row],[Rank]],Stammdaten[Rank Verteilung D Mitte mit Rinde],0))</f>
        <v>#N/A</v>
      </c>
      <c r="G1808" t="e">
        <f>VLOOKUP(Tabelle8[[#This Row],[Rank]],Stammdaten[[Rank Verteilung D Mitte mit Rinde]:[Verteilung D Mitte mit Rinde]],2,FALSE)</f>
        <v>#N/A</v>
      </c>
      <c r="L1808">
        <v>1799</v>
      </c>
      <c r="M1808" t="e">
        <f>INDEX(Stammdaten[Abholzigkeit (mm/lfm)],MATCH(Tabelle9[[#This Row],[Rank]],Stammdaten[Rank Verteilung Abholzigkeit],0))</f>
        <v>#N/A</v>
      </c>
      <c r="N1808" t="e">
        <f>VLOOKUP(Tabelle9[[#This Row],[Rank]],Stammdaten[[Rank Verteilung Abholzigkeit]:[Verteilung Abholzigkeit]],2,FALSE)</f>
        <v>#N/A</v>
      </c>
      <c r="S1808">
        <v>1799</v>
      </c>
      <c r="T1808" t="e">
        <f>INDEX(Stammdaten[Krümmung (mm/lfm)],MATCH(Tabelle10[[#This Row],[Rank]],Stammdaten[Rank Verteilung Krümmung],0))</f>
        <v>#N/A</v>
      </c>
      <c r="U1808" t="e">
        <f>VLOOKUP(Tabelle10[[#This Row],[Rank]],Stammdaten[[Rank Verteilung Krümmung]:[Verteilung Krümmung]],2,FALSE)</f>
        <v>#N/A</v>
      </c>
      <c r="Z1808">
        <v>1799</v>
      </c>
      <c r="AA1808" t="e">
        <f>INDEX(Stammdaten[Ovalität (']0,1'])],MATCH(Tabelle1014[[#This Row],[Rank]],Stammdaten[Rank Verteilung Ovalität],0))</f>
        <v>#N/A</v>
      </c>
      <c r="AB1808" t="e">
        <f>VLOOKUP(Tabelle1014[[#This Row],[Rank]],Stammdaten[[Rank Verteilung Ovalität]:[Verteilung Ovalität]],2,FALSE)</f>
        <v>#N/A</v>
      </c>
    </row>
    <row r="1809" spans="5:28" x14ac:dyDescent="0.35">
      <c r="E1809">
        <v>1800</v>
      </c>
      <c r="F1809" t="e">
        <f>INDEX(Stammdaten[D Mitte mit Rinde (mm)],MATCH(Tabelle8[[#This Row],[Rank]],Stammdaten[Rank Verteilung D Mitte mit Rinde],0))</f>
        <v>#N/A</v>
      </c>
      <c r="G1809" t="e">
        <f>VLOOKUP(Tabelle8[[#This Row],[Rank]],Stammdaten[[Rank Verteilung D Mitte mit Rinde]:[Verteilung D Mitte mit Rinde]],2,FALSE)</f>
        <v>#N/A</v>
      </c>
      <c r="L1809">
        <v>1800</v>
      </c>
      <c r="M1809" t="e">
        <f>INDEX(Stammdaten[Abholzigkeit (mm/lfm)],MATCH(Tabelle9[[#This Row],[Rank]],Stammdaten[Rank Verteilung Abholzigkeit],0))</f>
        <v>#N/A</v>
      </c>
      <c r="N1809" t="e">
        <f>VLOOKUP(Tabelle9[[#This Row],[Rank]],Stammdaten[[Rank Verteilung Abholzigkeit]:[Verteilung Abholzigkeit]],2,FALSE)</f>
        <v>#N/A</v>
      </c>
      <c r="S1809">
        <v>1800</v>
      </c>
      <c r="T1809" t="e">
        <f>INDEX(Stammdaten[Krümmung (mm/lfm)],MATCH(Tabelle10[[#This Row],[Rank]],Stammdaten[Rank Verteilung Krümmung],0))</f>
        <v>#N/A</v>
      </c>
      <c r="U1809" t="e">
        <f>VLOOKUP(Tabelle10[[#This Row],[Rank]],Stammdaten[[Rank Verteilung Krümmung]:[Verteilung Krümmung]],2,FALSE)</f>
        <v>#N/A</v>
      </c>
      <c r="Z1809">
        <v>1800</v>
      </c>
      <c r="AA1809" t="e">
        <f>INDEX(Stammdaten[Ovalität (']0,1'])],MATCH(Tabelle1014[[#This Row],[Rank]],Stammdaten[Rank Verteilung Ovalität],0))</f>
        <v>#N/A</v>
      </c>
      <c r="AB1809" t="e">
        <f>VLOOKUP(Tabelle1014[[#This Row],[Rank]],Stammdaten[[Rank Verteilung Ovalität]:[Verteilung Ovalität]],2,FALSE)</f>
        <v>#N/A</v>
      </c>
    </row>
    <row r="1810" spans="5:28" x14ac:dyDescent="0.35">
      <c r="E1810">
        <v>1801</v>
      </c>
      <c r="F1810" t="e">
        <f>INDEX(Stammdaten[D Mitte mit Rinde (mm)],MATCH(Tabelle8[[#This Row],[Rank]],Stammdaten[Rank Verteilung D Mitte mit Rinde],0))</f>
        <v>#N/A</v>
      </c>
      <c r="G1810" t="e">
        <f>VLOOKUP(Tabelle8[[#This Row],[Rank]],Stammdaten[[Rank Verteilung D Mitte mit Rinde]:[Verteilung D Mitte mit Rinde]],2,FALSE)</f>
        <v>#N/A</v>
      </c>
      <c r="L1810">
        <v>1801</v>
      </c>
      <c r="M1810" t="e">
        <f>INDEX(Stammdaten[Abholzigkeit (mm/lfm)],MATCH(Tabelle9[[#This Row],[Rank]],Stammdaten[Rank Verteilung Abholzigkeit],0))</f>
        <v>#N/A</v>
      </c>
      <c r="N1810" t="e">
        <f>VLOOKUP(Tabelle9[[#This Row],[Rank]],Stammdaten[[Rank Verteilung Abholzigkeit]:[Verteilung Abholzigkeit]],2,FALSE)</f>
        <v>#N/A</v>
      </c>
      <c r="S1810">
        <v>1801</v>
      </c>
      <c r="T1810" t="e">
        <f>INDEX(Stammdaten[Krümmung (mm/lfm)],MATCH(Tabelle10[[#This Row],[Rank]],Stammdaten[Rank Verteilung Krümmung],0))</f>
        <v>#N/A</v>
      </c>
      <c r="U1810" t="e">
        <f>VLOOKUP(Tabelle10[[#This Row],[Rank]],Stammdaten[[Rank Verteilung Krümmung]:[Verteilung Krümmung]],2,FALSE)</f>
        <v>#N/A</v>
      </c>
      <c r="Z1810">
        <v>1801</v>
      </c>
      <c r="AA1810" t="e">
        <f>INDEX(Stammdaten[Ovalität (']0,1'])],MATCH(Tabelle1014[[#This Row],[Rank]],Stammdaten[Rank Verteilung Ovalität],0))</f>
        <v>#N/A</v>
      </c>
      <c r="AB1810" t="e">
        <f>VLOOKUP(Tabelle1014[[#This Row],[Rank]],Stammdaten[[Rank Verteilung Ovalität]:[Verteilung Ovalität]],2,FALSE)</f>
        <v>#N/A</v>
      </c>
    </row>
    <row r="1811" spans="5:28" x14ac:dyDescent="0.35">
      <c r="E1811">
        <v>1802</v>
      </c>
      <c r="F1811" t="e">
        <f>INDEX(Stammdaten[D Mitte mit Rinde (mm)],MATCH(Tabelle8[[#This Row],[Rank]],Stammdaten[Rank Verteilung D Mitte mit Rinde],0))</f>
        <v>#N/A</v>
      </c>
      <c r="G1811" t="e">
        <f>VLOOKUP(Tabelle8[[#This Row],[Rank]],Stammdaten[[Rank Verteilung D Mitte mit Rinde]:[Verteilung D Mitte mit Rinde]],2,FALSE)</f>
        <v>#N/A</v>
      </c>
      <c r="L1811">
        <v>1802</v>
      </c>
      <c r="M1811" t="e">
        <f>INDEX(Stammdaten[Abholzigkeit (mm/lfm)],MATCH(Tabelle9[[#This Row],[Rank]],Stammdaten[Rank Verteilung Abholzigkeit],0))</f>
        <v>#N/A</v>
      </c>
      <c r="N1811" t="e">
        <f>VLOOKUP(Tabelle9[[#This Row],[Rank]],Stammdaten[[Rank Verteilung Abholzigkeit]:[Verteilung Abholzigkeit]],2,FALSE)</f>
        <v>#N/A</v>
      </c>
      <c r="S1811">
        <v>1802</v>
      </c>
      <c r="T1811" t="e">
        <f>INDEX(Stammdaten[Krümmung (mm/lfm)],MATCH(Tabelle10[[#This Row],[Rank]],Stammdaten[Rank Verteilung Krümmung],0))</f>
        <v>#N/A</v>
      </c>
      <c r="U1811" t="e">
        <f>VLOOKUP(Tabelle10[[#This Row],[Rank]],Stammdaten[[Rank Verteilung Krümmung]:[Verteilung Krümmung]],2,FALSE)</f>
        <v>#N/A</v>
      </c>
      <c r="Z1811">
        <v>1802</v>
      </c>
      <c r="AA1811" t="e">
        <f>INDEX(Stammdaten[Ovalität (']0,1'])],MATCH(Tabelle1014[[#This Row],[Rank]],Stammdaten[Rank Verteilung Ovalität],0))</f>
        <v>#N/A</v>
      </c>
      <c r="AB1811" t="e">
        <f>VLOOKUP(Tabelle1014[[#This Row],[Rank]],Stammdaten[[Rank Verteilung Ovalität]:[Verteilung Ovalität]],2,FALSE)</f>
        <v>#N/A</v>
      </c>
    </row>
    <row r="1812" spans="5:28" x14ac:dyDescent="0.35">
      <c r="E1812">
        <v>1803</v>
      </c>
      <c r="F1812" t="e">
        <f>INDEX(Stammdaten[D Mitte mit Rinde (mm)],MATCH(Tabelle8[[#This Row],[Rank]],Stammdaten[Rank Verteilung D Mitte mit Rinde],0))</f>
        <v>#N/A</v>
      </c>
      <c r="G1812" t="e">
        <f>VLOOKUP(Tabelle8[[#This Row],[Rank]],Stammdaten[[Rank Verteilung D Mitte mit Rinde]:[Verteilung D Mitte mit Rinde]],2,FALSE)</f>
        <v>#N/A</v>
      </c>
      <c r="L1812">
        <v>1803</v>
      </c>
      <c r="M1812" t="e">
        <f>INDEX(Stammdaten[Abholzigkeit (mm/lfm)],MATCH(Tabelle9[[#This Row],[Rank]],Stammdaten[Rank Verteilung Abholzigkeit],0))</f>
        <v>#N/A</v>
      </c>
      <c r="N1812" t="e">
        <f>VLOOKUP(Tabelle9[[#This Row],[Rank]],Stammdaten[[Rank Verteilung Abholzigkeit]:[Verteilung Abholzigkeit]],2,FALSE)</f>
        <v>#N/A</v>
      </c>
      <c r="S1812">
        <v>1803</v>
      </c>
      <c r="T1812" t="e">
        <f>INDEX(Stammdaten[Krümmung (mm/lfm)],MATCH(Tabelle10[[#This Row],[Rank]],Stammdaten[Rank Verteilung Krümmung],0))</f>
        <v>#N/A</v>
      </c>
      <c r="U1812" t="e">
        <f>VLOOKUP(Tabelle10[[#This Row],[Rank]],Stammdaten[[Rank Verteilung Krümmung]:[Verteilung Krümmung]],2,FALSE)</f>
        <v>#N/A</v>
      </c>
      <c r="Z1812">
        <v>1803</v>
      </c>
      <c r="AA1812" t="e">
        <f>INDEX(Stammdaten[Ovalität (']0,1'])],MATCH(Tabelle1014[[#This Row],[Rank]],Stammdaten[Rank Verteilung Ovalität],0))</f>
        <v>#N/A</v>
      </c>
      <c r="AB1812" t="e">
        <f>VLOOKUP(Tabelle1014[[#This Row],[Rank]],Stammdaten[[Rank Verteilung Ovalität]:[Verteilung Ovalität]],2,FALSE)</f>
        <v>#N/A</v>
      </c>
    </row>
    <row r="1813" spans="5:28" x14ac:dyDescent="0.35">
      <c r="E1813">
        <v>1804</v>
      </c>
      <c r="F1813" t="e">
        <f>INDEX(Stammdaten[D Mitte mit Rinde (mm)],MATCH(Tabelle8[[#This Row],[Rank]],Stammdaten[Rank Verteilung D Mitte mit Rinde],0))</f>
        <v>#N/A</v>
      </c>
      <c r="G1813" t="e">
        <f>VLOOKUP(Tabelle8[[#This Row],[Rank]],Stammdaten[[Rank Verteilung D Mitte mit Rinde]:[Verteilung D Mitte mit Rinde]],2,FALSE)</f>
        <v>#N/A</v>
      </c>
      <c r="L1813">
        <v>1804</v>
      </c>
      <c r="M1813" t="e">
        <f>INDEX(Stammdaten[Abholzigkeit (mm/lfm)],MATCH(Tabelle9[[#This Row],[Rank]],Stammdaten[Rank Verteilung Abholzigkeit],0))</f>
        <v>#N/A</v>
      </c>
      <c r="N1813" t="e">
        <f>VLOOKUP(Tabelle9[[#This Row],[Rank]],Stammdaten[[Rank Verteilung Abholzigkeit]:[Verteilung Abholzigkeit]],2,FALSE)</f>
        <v>#N/A</v>
      </c>
      <c r="S1813">
        <v>1804</v>
      </c>
      <c r="T1813" t="e">
        <f>INDEX(Stammdaten[Krümmung (mm/lfm)],MATCH(Tabelle10[[#This Row],[Rank]],Stammdaten[Rank Verteilung Krümmung],0))</f>
        <v>#N/A</v>
      </c>
      <c r="U1813" t="e">
        <f>VLOOKUP(Tabelle10[[#This Row],[Rank]],Stammdaten[[Rank Verteilung Krümmung]:[Verteilung Krümmung]],2,FALSE)</f>
        <v>#N/A</v>
      </c>
      <c r="Z1813">
        <v>1804</v>
      </c>
      <c r="AA1813" t="e">
        <f>INDEX(Stammdaten[Ovalität (']0,1'])],MATCH(Tabelle1014[[#This Row],[Rank]],Stammdaten[Rank Verteilung Ovalität],0))</f>
        <v>#N/A</v>
      </c>
      <c r="AB1813" t="e">
        <f>VLOOKUP(Tabelle1014[[#This Row],[Rank]],Stammdaten[[Rank Verteilung Ovalität]:[Verteilung Ovalität]],2,FALSE)</f>
        <v>#N/A</v>
      </c>
    </row>
    <row r="1814" spans="5:28" x14ac:dyDescent="0.35">
      <c r="E1814">
        <v>1805</v>
      </c>
      <c r="F1814" t="e">
        <f>INDEX(Stammdaten[D Mitte mit Rinde (mm)],MATCH(Tabelle8[[#This Row],[Rank]],Stammdaten[Rank Verteilung D Mitte mit Rinde],0))</f>
        <v>#N/A</v>
      </c>
      <c r="G1814" t="e">
        <f>VLOOKUP(Tabelle8[[#This Row],[Rank]],Stammdaten[[Rank Verteilung D Mitte mit Rinde]:[Verteilung D Mitte mit Rinde]],2,FALSE)</f>
        <v>#N/A</v>
      </c>
      <c r="L1814">
        <v>1805</v>
      </c>
      <c r="M1814" t="e">
        <f>INDEX(Stammdaten[Abholzigkeit (mm/lfm)],MATCH(Tabelle9[[#This Row],[Rank]],Stammdaten[Rank Verteilung Abholzigkeit],0))</f>
        <v>#N/A</v>
      </c>
      <c r="N1814" t="e">
        <f>VLOOKUP(Tabelle9[[#This Row],[Rank]],Stammdaten[[Rank Verteilung Abholzigkeit]:[Verteilung Abholzigkeit]],2,FALSE)</f>
        <v>#N/A</v>
      </c>
      <c r="S1814">
        <v>1805</v>
      </c>
      <c r="T1814" t="e">
        <f>INDEX(Stammdaten[Krümmung (mm/lfm)],MATCH(Tabelle10[[#This Row],[Rank]],Stammdaten[Rank Verteilung Krümmung],0))</f>
        <v>#N/A</v>
      </c>
      <c r="U1814" t="e">
        <f>VLOOKUP(Tabelle10[[#This Row],[Rank]],Stammdaten[[Rank Verteilung Krümmung]:[Verteilung Krümmung]],2,FALSE)</f>
        <v>#N/A</v>
      </c>
      <c r="Z1814">
        <v>1805</v>
      </c>
      <c r="AA1814" t="e">
        <f>INDEX(Stammdaten[Ovalität (']0,1'])],MATCH(Tabelle1014[[#This Row],[Rank]],Stammdaten[Rank Verteilung Ovalität],0))</f>
        <v>#N/A</v>
      </c>
      <c r="AB1814" t="e">
        <f>VLOOKUP(Tabelle1014[[#This Row],[Rank]],Stammdaten[[Rank Verteilung Ovalität]:[Verteilung Ovalität]],2,FALSE)</f>
        <v>#N/A</v>
      </c>
    </row>
    <row r="1815" spans="5:28" x14ac:dyDescent="0.35">
      <c r="E1815">
        <v>1806</v>
      </c>
      <c r="F1815" t="e">
        <f>INDEX(Stammdaten[D Mitte mit Rinde (mm)],MATCH(Tabelle8[[#This Row],[Rank]],Stammdaten[Rank Verteilung D Mitte mit Rinde],0))</f>
        <v>#N/A</v>
      </c>
      <c r="G1815" t="e">
        <f>VLOOKUP(Tabelle8[[#This Row],[Rank]],Stammdaten[[Rank Verteilung D Mitte mit Rinde]:[Verteilung D Mitte mit Rinde]],2,FALSE)</f>
        <v>#N/A</v>
      </c>
      <c r="L1815">
        <v>1806</v>
      </c>
      <c r="M1815" t="e">
        <f>INDEX(Stammdaten[Abholzigkeit (mm/lfm)],MATCH(Tabelle9[[#This Row],[Rank]],Stammdaten[Rank Verteilung Abholzigkeit],0))</f>
        <v>#N/A</v>
      </c>
      <c r="N1815" t="e">
        <f>VLOOKUP(Tabelle9[[#This Row],[Rank]],Stammdaten[[Rank Verteilung Abholzigkeit]:[Verteilung Abholzigkeit]],2,FALSE)</f>
        <v>#N/A</v>
      </c>
      <c r="S1815">
        <v>1806</v>
      </c>
      <c r="T1815" t="e">
        <f>INDEX(Stammdaten[Krümmung (mm/lfm)],MATCH(Tabelle10[[#This Row],[Rank]],Stammdaten[Rank Verteilung Krümmung],0))</f>
        <v>#N/A</v>
      </c>
      <c r="U1815" t="e">
        <f>VLOOKUP(Tabelle10[[#This Row],[Rank]],Stammdaten[[Rank Verteilung Krümmung]:[Verteilung Krümmung]],2,FALSE)</f>
        <v>#N/A</v>
      </c>
      <c r="Z1815">
        <v>1806</v>
      </c>
      <c r="AA1815" t="e">
        <f>INDEX(Stammdaten[Ovalität (']0,1'])],MATCH(Tabelle1014[[#This Row],[Rank]],Stammdaten[Rank Verteilung Ovalität],0))</f>
        <v>#N/A</v>
      </c>
      <c r="AB1815" t="e">
        <f>VLOOKUP(Tabelle1014[[#This Row],[Rank]],Stammdaten[[Rank Verteilung Ovalität]:[Verteilung Ovalität]],2,FALSE)</f>
        <v>#N/A</v>
      </c>
    </row>
    <row r="1816" spans="5:28" x14ac:dyDescent="0.35">
      <c r="E1816">
        <v>1807</v>
      </c>
      <c r="F1816" t="e">
        <f>INDEX(Stammdaten[D Mitte mit Rinde (mm)],MATCH(Tabelle8[[#This Row],[Rank]],Stammdaten[Rank Verteilung D Mitte mit Rinde],0))</f>
        <v>#N/A</v>
      </c>
      <c r="G1816" t="e">
        <f>VLOOKUP(Tabelle8[[#This Row],[Rank]],Stammdaten[[Rank Verteilung D Mitte mit Rinde]:[Verteilung D Mitte mit Rinde]],2,FALSE)</f>
        <v>#N/A</v>
      </c>
      <c r="L1816">
        <v>1807</v>
      </c>
      <c r="M1816" t="e">
        <f>INDEX(Stammdaten[Abholzigkeit (mm/lfm)],MATCH(Tabelle9[[#This Row],[Rank]],Stammdaten[Rank Verteilung Abholzigkeit],0))</f>
        <v>#N/A</v>
      </c>
      <c r="N1816" t="e">
        <f>VLOOKUP(Tabelle9[[#This Row],[Rank]],Stammdaten[[Rank Verteilung Abholzigkeit]:[Verteilung Abholzigkeit]],2,FALSE)</f>
        <v>#N/A</v>
      </c>
      <c r="S1816">
        <v>1807</v>
      </c>
      <c r="T1816" t="e">
        <f>INDEX(Stammdaten[Krümmung (mm/lfm)],MATCH(Tabelle10[[#This Row],[Rank]],Stammdaten[Rank Verteilung Krümmung],0))</f>
        <v>#N/A</v>
      </c>
      <c r="U1816" t="e">
        <f>VLOOKUP(Tabelle10[[#This Row],[Rank]],Stammdaten[[Rank Verteilung Krümmung]:[Verteilung Krümmung]],2,FALSE)</f>
        <v>#N/A</v>
      </c>
      <c r="Z1816">
        <v>1807</v>
      </c>
      <c r="AA1816" t="e">
        <f>INDEX(Stammdaten[Ovalität (']0,1'])],MATCH(Tabelle1014[[#This Row],[Rank]],Stammdaten[Rank Verteilung Ovalität],0))</f>
        <v>#N/A</v>
      </c>
      <c r="AB1816" t="e">
        <f>VLOOKUP(Tabelle1014[[#This Row],[Rank]],Stammdaten[[Rank Verteilung Ovalität]:[Verteilung Ovalität]],2,FALSE)</f>
        <v>#N/A</v>
      </c>
    </row>
    <row r="1817" spans="5:28" x14ac:dyDescent="0.35">
      <c r="E1817">
        <v>1808</v>
      </c>
      <c r="F1817" t="e">
        <f>INDEX(Stammdaten[D Mitte mit Rinde (mm)],MATCH(Tabelle8[[#This Row],[Rank]],Stammdaten[Rank Verteilung D Mitte mit Rinde],0))</f>
        <v>#N/A</v>
      </c>
      <c r="G1817" t="e">
        <f>VLOOKUP(Tabelle8[[#This Row],[Rank]],Stammdaten[[Rank Verteilung D Mitte mit Rinde]:[Verteilung D Mitte mit Rinde]],2,FALSE)</f>
        <v>#N/A</v>
      </c>
      <c r="L1817">
        <v>1808</v>
      </c>
      <c r="M1817" t="e">
        <f>INDEX(Stammdaten[Abholzigkeit (mm/lfm)],MATCH(Tabelle9[[#This Row],[Rank]],Stammdaten[Rank Verteilung Abholzigkeit],0))</f>
        <v>#N/A</v>
      </c>
      <c r="N1817" t="e">
        <f>VLOOKUP(Tabelle9[[#This Row],[Rank]],Stammdaten[[Rank Verteilung Abholzigkeit]:[Verteilung Abholzigkeit]],2,FALSE)</f>
        <v>#N/A</v>
      </c>
      <c r="S1817">
        <v>1808</v>
      </c>
      <c r="T1817" t="e">
        <f>INDEX(Stammdaten[Krümmung (mm/lfm)],MATCH(Tabelle10[[#This Row],[Rank]],Stammdaten[Rank Verteilung Krümmung],0))</f>
        <v>#N/A</v>
      </c>
      <c r="U1817" t="e">
        <f>VLOOKUP(Tabelle10[[#This Row],[Rank]],Stammdaten[[Rank Verteilung Krümmung]:[Verteilung Krümmung]],2,FALSE)</f>
        <v>#N/A</v>
      </c>
      <c r="Z1817">
        <v>1808</v>
      </c>
      <c r="AA1817" t="e">
        <f>INDEX(Stammdaten[Ovalität (']0,1'])],MATCH(Tabelle1014[[#This Row],[Rank]],Stammdaten[Rank Verteilung Ovalität],0))</f>
        <v>#N/A</v>
      </c>
      <c r="AB1817" t="e">
        <f>VLOOKUP(Tabelle1014[[#This Row],[Rank]],Stammdaten[[Rank Verteilung Ovalität]:[Verteilung Ovalität]],2,FALSE)</f>
        <v>#N/A</v>
      </c>
    </row>
    <row r="1818" spans="5:28" x14ac:dyDescent="0.35">
      <c r="E1818">
        <v>1809</v>
      </c>
      <c r="F1818" t="e">
        <f>INDEX(Stammdaten[D Mitte mit Rinde (mm)],MATCH(Tabelle8[[#This Row],[Rank]],Stammdaten[Rank Verteilung D Mitte mit Rinde],0))</f>
        <v>#N/A</v>
      </c>
      <c r="G1818" t="e">
        <f>VLOOKUP(Tabelle8[[#This Row],[Rank]],Stammdaten[[Rank Verteilung D Mitte mit Rinde]:[Verteilung D Mitte mit Rinde]],2,FALSE)</f>
        <v>#N/A</v>
      </c>
      <c r="L1818">
        <v>1809</v>
      </c>
      <c r="M1818" t="e">
        <f>INDEX(Stammdaten[Abholzigkeit (mm/lfm)],MATCH(Tabelle9[[#This Row],[Rank]],Stammdaten[Rank Verteilung Abholzigkeit],0))</f>
        <v>#N/A</v>
      </c>
      <c r="N1818" t="e">
        <f>VLOOKUP(Tabelle9[[#This Row],[Rank]],Stammdaten[[Rank Verteilung Abholzigkeit]:[Verteilung Abholzigkeit]],2,FALSE)</f>
        <v>#N/A</v>
      </c>
      <c r="S1818">
        <v>1809</v>
      </c>
      <c r="T1818" t="e">
        <f>INDEX(Stammdaten[Krümmung (mm/lfm)],MATCH(Tabelle10[[#This Row],[Rank]],Stammdaten[Rank Verteilung Krümmung],0))</f>
        <v>#N/A</v>
      </c>
      <c r="U1818" t="e">
        <f>VLOOKUP(Tabelle10[[#This Row],[Rank]],Stammdaten[[Rank Verteilung Krümmung]:[Verteilung Krümmung]],2,FALSE)</f>
        <v>#N/A</v>
      </c>
      <c r="Z1818">
        <v>1809</v>
      </c>
      <c r="AA1818" t="e">
        <f>INDEX(Stammdaten[Ovalität (']0,1'])],MATCH(Tabelle1014[[#This Row],[Rank]],Stammdaten[Rank Verteilung Ovalität],0))</f>
        <v>#N/A</v>
      </c>
      <c r="AB1818" t="e">
        <f>VLOOKUP(Tabelle1014[[#This Row],[Rank]],Stammdaten[[Rank Verteilung Ovalität]:[Verteilung Ovalität]],2,FALSE)</f>
        <v>#N/A</v>
      </c>
    </row>
    <row r="1819" spans="5:28" x14ac:dyDescent="0.35">
      <c r="E1819">
        <v>1810</v>
      </c>
      <c r="F1819" t="e">
        <f>INDEX(Stammdaten[D Mitte mit Rinde (mm)],MATCH(Tabelle8[[#This Row],[Rank]],Stammdaten[Rank Verteilung D Mitte mit Rinde],0))</f>
        <v>#N/A</v>
      </c>
      <c r="G1819" t="e">
        <f>VLOOKUP(Tabelle8[[#This Row],[Rank]],Stammdaten[[Rank Verteilung D Mitte mit Rinde]:[Verteilung D Mitte mit Rinde]],2,FALSE)</f>
        <v>#N/A</v>
      </c>
      <c r="L1819">
        <v>1810</v>
      </c>
      <c r="M1819" t="e">
        <f>INDEX(Stammdaten[Abholzigkeit (mm/lfm)],MATCH(Tabelle9[[#This Row],[Rank]],Stammdaten[Rank Verteilung Abholzigkeit],0))</f>
        <v>#N/A</v>
      </c>
      <c r="N1819" t="e">
        <f>VLOOKUP(Tabelle9[[#This Row],[Rank]],Stammdaten[[Rank Verteilung Abholzigkeit]:[Verteilung Abholzigkeit]],2,FALSE)</f>
        <v>#N/A</v>
      </c>
      <c r="S1819">
        <v>1810</v>
      </c>
      <c r="T1819" t="e">
        <f>INDEX(Stammdaten[Krümmung (mm/lfm)],MATCH(Tabelle10[[#This Row],[Rank]],Stammdaten[Rank Verteilung Krümmung],0))</f>
        <v>#N/A</v>
      </c>
      <c r="U1819" t="e">
        <f>VLOOKUP(Tabelle10[[#This Row],[Rank]],Stammdaten[[Rank Verteilung Krümmung]:[Verteilung Krümmung]],2,FALSE)</f>
        <v>#N/A</v>
      </c>
      <c r="Z1819">
        <v>1810</v>
      </c>
      <c r="AA1819" t="e">
        <f>INDEX(Stammdaten[Ovalität (']0,1'])],MATCH(Tabelle1014[[#This Row],[Rank]],Stammdaten[Rank Verteilung Ovalität],0))</f>
        <v>#N/A</v>
      </c>
      <c r="AB1819" t="e">
        <f>VLOOKUP(Tabelle1014[[#This Row],[Rank]],Stammdaten[[Rank Verteilung Ovalität]:[Verteilung Ovalität]],2,FALSE)</f>
        <v>#N/A</v>
      </c>
    </row>
    <row r="1820" spans="5:28" x14ac:dyDescent="0.35">
      <c r="E1820">
        <v>1811</v>
      </c>
      <c r="F1820" t="e">
        <f>INDEX(Stammdaten[D Mitte mit Rinde (mm)],MATCH(Tabelle8[[#This Row],[Rank]],Stammdaten[Rank Verteilung D Mitte mit Rinde],0))</f>
        <v>#N/A</v>
      </c>
      <c r="G1820" t="e">
        <f>VLOOKUP(Tabelle8[[#This Row],[Rank]],Stammdaten[[Rank Verteilung D Mitte mit Rinde]:[Verteilung D Mitte mit Rinde]],2,FALSE)</f>
        <v>#N/A</v>
      </c>
      <c r="L1820">
        <v>1811</v>
      </c>
      <c r="M1820" t="e">
        <f>INDEX(Stammdaten[Abholzigkeit (mm/lfm)],MATCH(Tabelle9[[#This Row],[Rank]],Stammdaten[Rank Verteilung Abholzigkeit],0))</f>
        <v>#N/A</v>
      </c>
      <c r="N1820" t="e">
        <f>VLOOKUP(Tabelle9[[#This Row],[Rank]],Stammdaten[[Rank Verteilung Abholzigkeit]:[Verteilung Abholzigkeit]],2,FALSE)</f>
        <v>#N/A</v>
      </c>
      <c r="S1820">
        <v>1811</v>
      </c>
      <c r="T1820" t="e">
        <f>INDEX(Stammdaten[Krümmung (mm/lfm)],MATCH(Tabelle10[[#This Row],[Rank]],Stammdaten[Rank Verteilung Krümmung],0))</f>
        <v>#N/A</v>
      </c>
      <c r="U1820" t="e">
        <f>VLOOKUP(Tabelle10[[#This Row],[Rank]],Stammdaten[[Rank Verteilung Krümmung]:[Verteilung Krümmung]],2,FALSE)</f>
        <v>#N/A</v>
      </c>
      <c r="Z1820">
        <v>1811</v>
      </c>
      <c r="AA1820" t="e">
        <f>INDEX(Stammdaten[Ovalität (']0,1'])],MATCH(Tabelle1014[[#This Row],[Rank]],Stammdaten[Rank Verteilung Ovalität],0))</f>
        <v>#N/A</v>
      </c>
      <c r="AB1820" t="e">
        <f>VLOOKUP(Tabelle1014[[#This Row],[Rank]],Stammdaten[[Rank Verteilung Ovalität]:[Verteilung Ovalität]],2,FALSE)</f>
        <v>#N/A</v>
      </c>
    </row>
    <row r="1821" spans="5:28" x14ac:dyDescent="0.35">
      <c r="E1821">
        <v>1812</v>
      </c>
      <c r="F1821" t="e">
        <f>INDEX(Stammdaten[D Mitte mit Rinde (mm)],MATCH(Tabelle8[[#This Row],[Rank]],Stammdaten[Rank Verteilung D Mitte mit Rinde],0))</f>
        <v>#N/A</v>
      </c>
      <c r="G1821" t="e">
        <f>VLOOKUP(Tabelle8[[#This Row],[Rank]],Stammdaten[[Rank Verteilung D Mitte mit Rinde]:[Verteilung D Mitte mit Rinde]],2,FALSE)</f>
        <v>#N/A</v>
      </c>
      <c r="L1821">
        <v>1812</v>
      </c>
      <c r="M1821" t="e">
        <f>INDEX(Stammdaten[Abholzigkeit (mm/lfm)],MATCH(Tabelle9[[#This Row],[Rank]],Stammdaten[Rank Verteilung Abholzigkeit],0))</f>
        <v>#N/A</v>
      </c>
      <c r="N1821" t="e">
        <f>VLOOKUP(Tabelle9[[#This Row],[Rank]],Stammdaten[[Rank Verteilung Abholzigkeit]:[Verteilung Abholzigkeit]],2,FALSE)</f>
        <v>#N/A</v>
      </c>
      <c r="S1821">
        <v>1812</v>
      </c>
      <c r="T1821" t="e">
        <f>INDEX(Stammdaten[Krümmung (mm/lfm)],MATCH(Tabelle10[[#This Row],[Rank]],Stammdaten[Rank Verteilung Krümmung],0))</f>
        <v>#N/A</v>
      </c>
      <c r="U1821" t="e">
        <f>VLOOKUP(Tabelle10[[#This Row],[Rank]],Stammdaten[[Rank Verteilung Krümmung]:[Verteilung Krümmung]],2,FALSE)</f>
        <v>#N/A</v>
      </c>
      <c r="Z1821">
        <v>1812</v>
      </c>
      <c r="AA1821" t="e">
        <f>INDEX(Stammdaten[Ovalität (']0,1'])],MATCH(Tabelle1014[[#This Row],[Rank]],Stammdaten[Rank Verteilung Ovalität],0))</f>
        <v>#N/A</v>
      </c>
      <c r="AB1821" t="e">
        <f>VLOOKUP(Tabelle1014[[#This Row],[Rank]],Stammdaten[[Rank Verteilung Ovalität]:[Verteilung Ovalität]],2,FALSE)</f>
        <v>#N/A</v>
      </c>
    </row>
    <row r="1822" spans="5:28" x14ac:dyDescent="0.35">
      <c r="E1822">
        <v>1813</v>
      </c>
      <c r="F1822" t="e">
        <f>INDEX(Stammdaten[D Mitte mit Rinde (mm)],MATCH(Tabelle8[[#This Row],[Rank]],Stammdaten[Rank Verteilung D Mitte mit Rinde],0))</f>
        <v>#N/A</v>
      </c>
      <c r="G1822" t="e">
        <f>VLOOKUP(Tabelle8[[#This Row],[Rank]],Stammdaten[[Rank Verteilung D Mitte mit Rinde]:[Verteilung D Mitte mit Rinde]],2,FALSE)</f>
        <v>#N/A</v>
      </c>
      <c r="L1822">
        <v>1813</v>
      </c>
      <c r="M1822" t="e">
        <f>INDEX(Stammdaten[Abholzigkeit (mm/lfm)],MATCH(Tabelle9[[#This Row],[Rank]],Stammdaten[Rank Verteilung Abholzigkeit],0))</f>
        <v>#N/A</v>
      </c>
      <c r="N1822" t="e">
        <f>VLOOKUP(Tabelle9[[#This Row],[Rank]],Stammdaten[[Rank Verteilung Abholzigkeit]:[Verteilung Abholzigkeit]],2,FALSE)</f>
        <v>#N/A</v>
      </c>
      <c r="S1822">
        <v>1813</v>
      </c>
      <c r="T1822" t="e">
        <f>INDEX(Stammdaten[Krümmung (mm/lfm)],MATCH(Tabelle10[[#This Row],[Rank]],Stammdaten[Rank Verteilung Krümmung],0))</f>
        <v>#N/A</v>
      </c>
      <c r="U1822" t="e">
        <f>VLOOKUP(Tabelle10[[#This Row],[Rank]],Stammdaten[[Rank Verteilung Krümmung]:[Verteilung Krümmung]],2,FALSE)</f>
        <v>#N/A</v>
      </c>
      <c r="Z1822">
        <v>1813</v>
      </c>
      <c r="AA1822" t="e">
        <f>INDEX(Stammdaten[Ovalität (']0,1'])],MATCH(Tabelle1014[[#This Row],[Rank]],Stammdaten[Rank Verteilung Ovalität],0))</f>
        <v>#N/A</v>
      </c>
      <c r="AB1822" t="e">
        <f>VLOOKUP(Tabelle1014[[#This Row],[Rank]],Stammdaten[[Rank Verteilung Ovalität]:[Verteilung Ovalität]],2,FALSE)</f>
        <v>#N/A</v>
      </c>
    </row>
    <row r="1823" spans="5:28" x14ac:dyDescent="0.35">
      <c r="E1823">
        <v>1814</v>
      </c>
      <c r="F1823" t="e">
        <f>INDEX(Stammdaten[D Mitte mit Rinde (mm)],MATCH(Tabelle8[[#This Row],[Rank]],Stammdaten[Rank Verteilung D Mitte mit Rinde],0))</f>
        <v>#N/A</v>
      </c>
      <c r="G1823" t="e">
        <f>VLOOKUP(Tabelle8[[#This Row],[Rank]],Stammdaten[[Rank Verteilung D Mitte mit Rinde]:[Verteilung D Mitte mit Rinde]],2,FALSE)</f>
        <v>#N/A</v>
      </c>
      <c r="L1823">
        <v>1814</v>
      </c>
      <c r="M1823" t="e">
        <f>INDEX(Stammdaten[Abholzigkeit (mm/lfm)],MATCH(Tabelle9[[#This Row],[Rank]],Stammdaten[Rank Verteilung Abholzigkeit],0))</f>
        <v>#N/A</v>
      </c>
      <c r="N1823" t="e">
        <f>VLOOKUP(Tabelle9[[#This Row],[Rank]],Stammdaten[[Rank Verteilung Abholzigkeit]:[Verteilung Abholzigkeit]],2,FALSE)</f>
        <v>#N/A</v>
      </c>
      <c r="S1823">
        <v>1814</v>
      </c>
      <c r="T1823" t="e">
        <f>INDEX(Stammdaten[Krümmung (mm/lfm)],MATCH(Tabelle10[[#This Row],[Rank]],Stammdaten[Rank Verteilung Krümmung],0))</f>
        <v>#N/A</v>
      </c>
      <c r="U1823" t="e">
        <f>VLOOKUP(Tabelle10[[#This Row],[Rank]],Stammdaten[[Rank Verteilung Krümmung]:[Verteilung Krümmung]],2,FALSE)</f>
        <v>#N/A</v>
      </c>
      <c r="Z1823">
        <v>1814</v>
      </c>
      <c r="AA1823" t="e">
        <f>INDEX(Stammdaten[Ovalität (']0,1'])],MATCH(Tabelle1014[[#This Row],[Rank]],Stammdaten[Rank Verteilung Ovalität],0))</f>
        <v>#N/A</v>
      </c>
      <c r="AB1823" t="e">
        <f>VLOOKUP(Tabelle1014[[#This Row],[Rank]],Stammdaten[[Rank Verteilung Ovalität]:[Verteilung Ovalität]],2,FALSE)</f>
        <v>#N/A</v>
      </c>
    </row>
    <row r="1824" spans="5:28" x14ac:dyDescent="0.35">
      <c r="E1824">
        <v>1815</v>
      </c>
      <c r="F1824" t="e">
        <f>INDEX(Stammdaten[D Mitte mit Rinde (mm)],MATCH(Tabelle8[[#This Row],[Rank]],Stammdaten[Rank Verteilung D Mitte mit Rinde],0))</f>
        <v>#N/A</v>
      </c>
      <c r="G1824" t="e">
        <f>VLOOKUP(Tabelle8[[#This Row],[Rank]],Stammdaten[[Rank Verteilung D Mitte mit Rinde]:[Verteilung D Mitte mit Rinde]],2,FALSE)</f>
        <v>#N/A</v>
      </c>
      <c r="L1824">
        <v>1815</v>
      </c>
      <c r="M1824" t="e">
        <f>INDEX(Stammdaten[Abholzigkeit (mm/lfm)],MATCH(Tabelle9[[#This Row],[Rank]],Stammdaten[Rank Verteilung Abholzigkeit],0))</f>
        <v>#N/A</v>
      </c>
      <c r="N1824" t="e">
        <f>VLOOKUP(Tabelle9[[#This Row],[Rank]],Stammdaten[[Rank Verteilung Abholzigkeit]:[Verteilung Abholzigkeit]],2,FALSE)</f>
        <v>#N/A</v>
      </c>
      <c r="S1824">
        <v>1815</v>
      </c>
      <c r="T1824" t="e">
        <f>INDEX(Stammdaten[Krümmung (mm/lfm)],MATCH(Tabelle10[[#This Row],[Rank]],Stammdaten[Rank Verteilung Krümmung],0))</f>
        <v>#N/A</v>
      </c>
      <c r="U1824" t="e">
        <f>VLOOKUP(Tabelle10[[#This Row],[Rank]],Stammdaten[[Rank Verteilung Krümmung]:[Verteilung Krümmung]],2,FALSE)</f>
        <v>#N/A</v>
      </c>
      <c r="Z1824">
        <v>1815</v>
      </c>
      <c r="AA1824" t="e">
        <f>INDEX(Stammdaten[Ovalität (']0,1'])],MATCH(Tabelle1014[[#This Row],[Rank]],Stammdaten[Rank Verteilung Ovalität],0))</f>
        <v>#N/A</v>
      </c>
      <c r="AB1824" t="e">
        <f>VLOOKUP(Tabelle1014[[#This Row],[Rank]],Stammdaten[[Rank Verteilung Ovalität]:[Verteilung Ovalität]],2,FALSE)</f>
        <v>#N/A</v>
      </c>
    </row>
    <row r="1825" spans="5:28" x14ac:dyDescent="0.35">
      <c r="E1825">
        <v>1816</v>
      </c>
      <c r="F1825" t="e">
        <f>INDEX(Stammdaten[D Mitte mit Rinde (mm)],MATCH(Tabelle8[[#This Row],[Rank]],Stammdaten[Rank Verteilung D Mitte mit Rinde],0))</f>
        <v>#N/A</v>
      </c>
      <c r="G1825" t="e">
        <f>VLOOKUP(Tabelle8[[#This Row],[Rank]],Stammdaten[[Rank Verteilung D Mitte mit Rinde]:[Verteilung D Mitte mit Rinde]],2,FALSE)</f>
        <v>#N/A</v>
      </c>
      <c r="L1825">
        <v>1816</v>
      </c>
      <c r="M1825" t="e">
        <f>INDEX(Stammdaten[Abholzigkeit (mm/lfm)],MATCH(Tabelle9[[#This Row],[Rank]],Stammdaten[Rank Verteilung Abholzigkeit],0))</f>
        <v>#N/A</v>
      </c>
      <c r="N1825" t="e">
        <f>VLOOKUP(Tabelle9[[#This Row],[Rank]],Stammdaten[[Rank Verteilung Abholzigkeit]:[Verteilung Abholzigkeit]],2,FALSE)</f>
        <v>#N/A</v>
      </c>
      <c r="S1825">
        <v>1816</v>
      </c>
      <c r="T1825" t="e">
        <f>INDEX(Stammdaten[Krümmung (mm/lfm)],MATCH(Tabelle10[[#This Row],[Rank]],Stammdaten[Rank Verteilung Krümmung],0))</f>
        <v>#N/A</v>
      </c>
      <c r="U1825" t="e">
        <f>VLOOKUP(Tabelle10[[#This Row],[Rank]],Stammdaten[[Rank Verteilung Krümmung]:[Verteilung Krümmung]],2,FALSE)</f>
        <v>#N/A</v>
      </c>
      <c r="Z1825">
        <v>1816</v>
      </c>
      <c r="AA1825" t="e">
        <f>INDEX(Stammdaten[Ovalität (']0,1'])],MATCH(Tabelle1014[[#This Row],[Rank]],Stammdaten[Rank Verteilung Ovalität],0))</f>
        <v>#N/A</v>
      </c>
      <c r="AB1825" t="e">
        <f>VLOOKUP(Tabelle1014[[#This Row],[Rank]],Stammdaten[[Rank Verteilung Ovalität]:[Verteilung Ovalität]],2,FALSE)</f>
        <v>#N/A</v>
      </c>
    </row>
    <row r="1826" spans="5:28" x14ac:dyDescent="0.35">
      <c r="E1826">
        <v>1817</v>
      </c>
      <c r="F1826" t="e">
        <f>INDEX(Stammdaten[D Mitte mit Rinde (mm)],MATCH(Tabelle8[[#This Row],[Rank]],Stammdaten[Rank Verteilung D Mitte mit Rinde],0))</f>
        <v>#N/A</v>
      </c>
      <c r="G1826" t="e">
        <f>VLOOKUP(Tabelle8[[#This Row],[Rank]],Stammdaten[[Rank Verteilung D Mitte mit Rinde]:[Verteilung D Mitte mit Rinde]],2,FALSE)</f>
        <v>#N/A</v>
      </c>
      <c r="L1826">
        <v>1817</v>
      </c>
      <c r="M1826" t="e">
        <f>INDEX(Stammdaten[Abholzigkeit (mm/lfm)],MATCH(Tabelle9[[#This Row],[Rank]],Stammdaten[Rank Verteilung Abholzigkeit],0))</f>
        <v>#N/A</v>
      </c>
      <c r="N1826" t="e">
        <f>VLOOKUP(Tabelle9[[#This Row],[Rank]],Stammdaten[[Rank Verteilung Abholzigkeit]:[Verteilung Abholzigkeit]],2,FALSE)</f>
        <v>#N/A</v>
      </c>
      <c r="S1826">
        <v>1817</v>
      </c>
      <c r="T1826" t="e">
        <f>INDEX(Stammdaten[Krümmung (mm/lfm)],MATCH(Tabelle10[[#This Row],[Rank]],Stammdaten[Rank Verteilung Krümmung],0))</f>
        <v>#N/A</v>
      </c>
      <c r="U1826" t="e">
        <f>VLOOKUP(Tabelle10[[#This Row],[Rank]],Stammdaten[[Rank Verteilung Krümmung]:[Verteilung Krümmung]],2,FALSE)</f>
        <v>#N/A</v>
      </c>
      <c r="Z1826">
        <v>1817</v>
      </c>
      <c r="AA1826" t="e">
        <f>INDEX(Stammdaten[Ovalität (']0,1'])],MATCH(Tabelle1014[[#This Row],[Rank]],Stammdaten[Rank Verteilung Ovalität],0))</f>
        <v>#N/A</v>
      </c>
      <c r="AB1826" t="e">
        <f>VLOOKUP(Tabelle1014[[#This Row],[Rank]],Stammdaten[[Rank Verteilung Ovalität]:[Verteilung Ovalität]],2,FALSE)</f>
        <v>#N/A</v>
      </c>
    </row>
    <row r="1827" spans="5:28" x14ac:dyDescent="0.35">
      <c r="E1827">
        <v>1818</v>
      </c>
      <c r="F1827" t="e">
        <f>INDEX(Stammdaten[D Mitte mit Rinde (mm)],MATCH(Tabelle8[[#This Row],[Rank]],Stammdaten[Rank Verteilung D Mitte mit Rinde],0))</f>
        <v>#N/A</v>
      </c>
      <c r="G1827" t="e">
        <f>VLOOKUP(Tabelle8[[#This Row],[Rank]],Stammdaten[[Rank Verteilung D Mitte mit Rinde]:[Verteilung D Mitte mit Rinde]],2,FALSE)</f>
        <v>#N/A</v>
      </c>
      <c r="L1827">
        <v>1818</v>
      </c>
      <c r="M1827" t="e">
        <f>INDEX(Stammdaten[Abholzigkeit (mm/lfm)],MATCH(Tabelle9[[#This Row],[Rank]],Stammdaten[Rank Verteilung Abholzigkeit],0))</f>
        <v>#N/A</v>
      </c>
      <c r="N1827" t="e">
        <f>VLOOKUP(Tabelle9[[#This Row],[Rank]],Stammdaten[[Rank Verteilung Abholzigkeit]:[Verteilung Abholzigkeit]],2,FALSE)</f>
        <v>#N/A</v>
      </c>
      <c r="S1827">
        <v>1818</v>
      </c>
      <c r="T1827" t="e">
        <f>INDEX(Stammdaten[Krümmung (mm/lfm)],MATCH(Tabelle10[[#This Row],[Rank]],Stammdaten[Rank Verteilung Krümmung],0))</f>
        <v>#N/A</v>
      </c>
      <c r="U1827" t="e">
        <f>VLOOKUP(Tabelle10[[#This Row],[Rank]],Stammdaten[[Rank Verteilung Krümmung]:[Verteilung Krümmung]],2,FALSE)</f>
        <v>#N/A</v>
      </c>
      <c r="Z1827">
        <v>1818</v>
      </c>
      <c r="AA1827" t="e">
        <f>INDEX(Stammdaten[Ovalität (']0,1'])],MATCH(Tabelle1014[[#This Row],[Rank]],Stammdaten[Rank Verteilung Ovalität],0))</f>
        <v>#N/A</v>
      </c>
      <c r="AB1827" t="e">
        <f>VLOOKUP(Tabelle1014[[#This Row],[Rank]],Stammdaten[[Rank Verteilung Ovalität]:[Verteilung Ovalität]],2,FALSE)</f>
        <v>#N/A</v>
      </c>
    </row>
    <row r="1828" spans="5:28" x14ac:dyDescent="0.35">
      <c r="E1828">
        <v>1819</v>
      </c>
      <c r="F1828" t="e">
        <f>INDEX(Stammdaten[D Mitte mit Rinde (mm)],MATCH(Tabelle8[[#This Row],[Rank]],Stammdaten[Rank Verteilung D Mitte mit Rinde],0))</f>
        <v>#N/A</v>
      </c>
      <c r="G1828" t="e">
        <f>VLOOKUP(Tabelle8[[#This Row],[Rank]],Stammdaten[[Rank Verteilung D Mitte mit Rinde]:[Verteilung D Mitte mit Rinde]],2,FALSE)</f>
        <v>#N/A</v>
      </c>
      <c r="L1828">
        <v>1819</v>
      </c>
      <c r="M1828" t="e">
        <f>INDEX(Stammdaten[Abholzigkeit (mm/lfm)],MATCH(Tabelle9[[#This Row],[Rank]],Stammdaten[Rank Verteilung Abholzigkeit],0))</f>
        <v>#N/A</v>
      </c>
      <c r="N1828" t="e">
        <f>VLOOKUP(Tabelle9[[#This Row],[Rank]],Stammdaten[[Rank Verteilung Abholzigkeit]:[Verteilung Abholzigkeit]],2,FALSE)</f>
        <v>#N/A</v>
      </c>
      <c r="S1828">
        <v>1819</v>
      </c>
      <c r="T1828" t="e">
        <f>INDEX(Stammdaten[Krümmung (mm/lfm)],MATCH(Tabelle10[[#This Row],[Rank]],Stammdaten[Rank Verteilung Krümmung],0))</f>
        <v>#N/A</v>
      </c>
      <c r="U1828" t="e">
        <f>VLOOKUP(Tabelle10[[#This Row],[Rank]],Stammdaten[[Rank Verteilung Krümmung]:[Verteilung Krümmung]],2,FALSE)</f>
        <v>#N/A</v>
      </c>
      <c r="Z1828">
        <v>1819</v>
      </c>
      <c r="AA1828" t="e">
        <f>INDEX(Stammdaten[Ovalität (']0,1'])],MATCH(Tabelle1014[[#This Row],[Rank]],Stammdaten[Rank Verteilung Ovalität],0))</f>
        <v>#N/A</v>
      </c>
      <c r="AB1828" t="e">
        <f>VLOOKUP(Tabelle1014[[#This Row],[Rank]],Stammdaten[[Rank Verteilung Ovalität]:[Verteilung Ovalität]],2,FALSE)</f>
        <v>#N/A</v>
      </c>
    </row>
    <row r="1829" spans="5:28" x14ac:dyDescent="0.35">
      <c r="E1829">
        <v>1820</v>
      </c>
      <c r="F1829" t="e">
        <f>INDEX(Stammdaten[D Mitte mit Rinde (mm)],MATCH(Tabelle8[[#This Row],[Rank]],Stammdaten[Rank Verteilung D Mitte mit Rinde],0))</f>
        <v>#N/A</v>
      </c>
      <c r="G1829" t="e">
        <f>VLOOKUP(Tabelle8[[#This Row],[Rank]],Stammdaten[[Rank Verteilung D Mitte mit Rinde]:[Verteilung D Mitte mit Rinde]],2,FALSE)</f>
        <v>#N/A</v>
      </c>
      <c r="L1829">
        <v>1820</v>
      </c>
      <c r="M1829" t="e">
        <f>INDEX(Stammdaten[Abholzigkeit (mm/lfm)],MATCH(Tabelle9[[#This Row],[Rank]],Stammdaten[Rank Verteilung Abholzigkeit],0))</f>
        <v>#N/A</v>
      </c>
      <c r="N1829" t="e">
        <f>VLOOKUP(Tabelle9[[#This Row],[Rank]],Stammdaten[[Rank Verteilung Abholzigkeit]:[Verteilung Abholzigkeit]],2,FALSE)</f>
        <v>#N/A</v>
      </c>
      <c r="S1829">
        <v>1820</v>
      </c>
      <c r="T1829" t="e">
        <f>INDEX(Stammdaten[Krümmung (mm/lfm)],MATCH(Tabelle10[[#This Row],[Rank]],Stammdaten[Rank Verteilung Krümmung],0))</f>
        <v>#N/A</v>
      </c>
      <c r="U1829" t="e">
        <f>VLOOKUP(Tabelle10[[#This Row],[Rank]],Stammdaten[[Rank Verteilung Krümmung]:[Verteilung Krümmung]],2,FALSE)</f>
        <v>#N/A</v>
      </c>
      <c r="Z1829">
        <v>1820</v>
      </c>
      <c r="AA1829" t="e">
        <f>INDEX(Stammdaten[Ovalität (']0,1'])],MATCH(Tabelle1014[[#This Row],[Rank]],Stammdaten[Rank Verteilung Ovalität],0))</f>
        <v>#N/A</v>
      </c>
      <c r="AB1829" t="e">
        <f>VLOOKUP(Tabelle1014[[#This Row],[Rank]],Stammdaten[[Rank Verteilung Ovalität]:[Verteilung Ovalität]],2,FALSE)</f>
        <v>#N/A</v>
      </c>
    </row>
    <row r="1830" spans="5:28" x14ac:dyDescent="0.35">
      <c r="E1830">
        <v>1821</v>
      </c>
      <c r="F1830" t="e">
        <f>INDEX(Stammdaten[D Mitte mit Rinde (mm)],MATCH(Tabelle8[[#This Row],[Rank]],Stammdaten[Rank Verteilung D Mitte mit Rinde],0))</f>
        <v>#N/A</v>
      </c>
      <c r="G1830" t="e">
        <f>VLOOKUP(Tabelle8[[#This Row],[Rank]],Stammdaten[[Rank Verteilung D Mitte mit Rinde]:[Verteilung D Mitte mit Rinde]],2,FALSE)</f>
        <v>#N/A</v>
      </c>
      <c r="L1830">
        <v>1821</v>
      </c>
      <c r="M1830" t="e">
        <f>INDEX(Stammdaten[Abholzigkeit (mm/lfm)],MATCH(Tabelle9[[#This Row],[Rank]],Stammdaten[Rank Verteilung Abholzigkeit],0))</f>
        <v>#N/A</v>
      </c>
      <c r="N1830" t="e">
        <f>VLOOKUP(Tabelle9[[#This Row],[Rank]],Stammdaten[[Rank Verteilung Abholzigkeit]:[Verteilung Abholzigkeit]],2,FALSE)</f>
        <v>#N/A</v>
      </c>
      <c r="S1830">
        <v>1821</v>
      </c>
      <c r="T1830" t="e">
        <f>INDEX(Stammdaten[Krümmung (mm/lfm)],MATCH(Tabelle10[[#This Row],[Rank]],Stammdaten[Rank Verteilung Krümmung],0))</f>
        <v>#N/A</v>
      </c>
      <c r="U1830" t="e">
        <f>VLOOKUP(Tabelle10[[#This Row],[Rank]],Stammdaten[[Rank Verteilung Krümmung]:[Verteilung Krümmung]],2,FALSE)</f>
        <v>#N/A</v>
      </c>
      <c r="Z1830">
        <v>1821</v>
      </c>
      <c r="AA1830" t="e">
        <f>INDEX(Stammdaten[Ovalität (']0,1'])],MATCH(Tabelle1014[[#This Row],[Rank]],Stammdaten[Rank Verteilung Ovalität],0))</f>
        <v>#N/A</v>
      </c>
      <c r="AB1830" t="e">
        <f>VLOOKUP(Tabelle1014[[#This Row],[Rank]],Stammdaten[[Rank Verteilung Ovalität]:[Verteilung Ovalität]],2,FALSE)</f>
        <v>#N/A</v>
      </c>
    </row>
    <row r="1831" spans="5:28" x14ac:dyDescent="0.35">
      <c r="E1831">
        <v>1822</v>
      </c>
      <c r="F1831" t="e">
        <f>INDEX(Stammdaten[D Mitte mit Rinde (mm)],MATCH(Tabelle8[[#This Row],[Rank]],Stammdaten[Rank Verteilung D Mitte mit Rinde],0))</f>
        <v>#N/A</v>
      </c>
      <c r="G1831" t="e">
        <f>VLOOKUP(Tabelle8[[#This Row],[Rank]],Stammdaten[[Rank Verteilung D Mitte mit Rinde]:[Verteilung D Mitte mit Rinde]],2,FALSE)</f>
        <v>#N/A</v>
      </c>
      <c r="L1831">
        <v>1822</v>
      </c>
      <c r="M1831" t="e">
        <f>INDEX(Stammdaten[Abholzigkeit (mm/lfm)],MATCH(Tabelle9[[#This Row],[Rank]],Stammdaten[Rank Verteilung Abholzigkeit],0))</f>
        <v>#N/A</v>
      </c>
      <c r="N1831" t="e">
        <f>VLOOKUP(Tabelle9[[#This Row],[Rank]],Stammdaten[[Rank Verteilung Abholzigkeit]:[Verteilung Abholzigkeit]],2,FALSE)</f>
        <v>#N/A</v>
      </c>
      <c r="S1831">
        <v>1822</v>
      </c>
      <c r="T1831" t="e">
        <f>INDEX(Stammdaten[Krümmung (mm/lfm)],MATCH(Tabelle10[[#This Row],[Rank]],Stammdaten[Rank Verteilung Krümmung],0))</f>
        <v>#N/A</v>
      </c>
      <c r="U1831" t="e">
        <f>VLOOKUP(Tabelle10[[#This Row],[Rank]],Stammdaten[[Rank Verteilung Krümmung]:[Verteilung Krümmung]],2,FALSE)</f>
        <v>#N/A</v>
      </c>
      <c r="Z1831">
        <v>1822</v>
      </c>
      <c r="AA1831" t="e">
        <f>INDEX(Stammdaten[Ovalität (']0,1'])],MATCH(Tabelle1014[[#This Row],[Rank]],Stammdaten[Rank Verteilung Ovalität],0))</f>
        <v>#N/A</v>
      </c>
      <c r="AB1831" t="e">
        <f>VLOOKUP(Tabelle1014[[#This Row],[Rank]],Stammdaten[[Rank Verteilung Ovalität]:[Verteilung Ovalität]],2,FALSE)</f>
        <v>#N/A</v>
      </c>
    </row>
    <row r="1832" spans="5:28" x14ac:dyDescent="0.35">
      <c r="E1832">
        <v>1823</v>
      </c>
      <c r="F1832" t="e">
        <f>INDEX(Stammdaten[D Mitte mit Rinde (mm)],MATCH(Tabelle8[[#This Row],[Rank]],Stammdaten[Rank Verteilung D Mitte mit Rinde],0))</f>
        <v>#N/A</v>
      </c>
      <c r="G1832" t="e">
        <f>VLOOKUP(Tabelle8[[#This Row],[Rank]],Stammdaten[[Rank Verteilung D Mitte mit Rinde]:[Verteilung D Mitte mit Rinde]],2,FALSE)</f>
        <v>#N/A</v>
      </c>
      <c r="L1832">
        <v>1823</v>
      </c>
      <c r="M1832" t="e">
        <f>INDEX(Stammdaten[Abholzigkeit (mm/lfm)],MATCH(Tabelle9[[#This Row],[Rank]],Stammdaten[Rank Verteilung Abholzigkeit],0))</f>
        <v>#N/A</v>
      </c>
      <c r="N1832" t="e">
        <f>VLOOKUP(Tabelle9[[#This Row],[Rank]],Stammdaten[[Rank Verteilung Abholzigkeit]:[Verteilung Abholzigkeit]],2,FALSE)</f>
        <v>#N/A</v>
      </c>
      <c r="S1832">
        <v>1823</v>
      </c>
      <c r="T1832" t="e">
        <f>INDEX(Stammdaten[Krümmung (mm/lfm)],MATCH(Tabelle10[[#This Row],[Rank]],Stammdaten[Rank Verteilung Krümmung],0))</f>
        <v>#N/A</v>
      </c>
      <c r="U1832" t="e">
        <f>VLOOKUP(Tabelle10[[#This Row],[Rank]],Stammdaten[[Rank Verteilung Krümmung]:[Verteilung Krümmung]],2,FALSE)</f>
        <v>#N/A</v>
      </c>
      <c r="Z1832">
        <v>1823</v>
      </c>
      <c r="AA1832" t="e">
        <f>INDEX(Stammdaten[Ovalität (']0,1'])],MATCH(Tabelle1014[[#This Row],[Rank]],Stammdaten[Rank Verteilung Ovalität],0))</f>
        <v>#N/A</v>
      </c>
      <c r="AB1832" t="e">
        <f>VLOOKUP(Tabelle1014[[#This Row],[Rank]],Stammdaten[[Rank Verteilung Ovalität]:[Verteilung Ovalität]],2,FALSE)</f>
        <v>#N/A</v>
      </c>
    </row>
    <row r="1833" spans="5:28" x14ac:dyDescent="0.35">
      <c r="E1833">
        <v>1824</v>
      </c>
      <c r="F1833" t="e">
        <f>INDEX(Stammdaten[D Mitte mit Rinde (mm)],MATCH(Tabelle8[[#This Row],[Rank]],Stammdaten[Rank Verteilung D Mitte mit Rinde],0))</f>
        <v>#N/A</v>
      </c>
      <c r="G1833" t="e">
        <f>VLOOKUP(Tabelle8[[#This Row],[Rank]],Stammdaten[[Rank Verteilung D Mitte mit Rinde]:[Verteilung D Mitte mit Rinde]],2,FALSE)</f>
        <v>#N/A</v>
      </c>
      <c r="L1833">
        <v>1824</v>
      </c>
      <c r="M1833" t="e">
        <f>INDEX(Stammdaten[Abholzigkeit (mm/lfm)],MATCH(Tabelle9[[#This Row],[Rank]],Stammdaten[Rank Verteilung Abholzigkeit],0))</f>
        <v>#N/A</v>
      </c>
      <c r="N1833" t="e">
        <f>VLOOKUP(Tabelle9[[#This Row],[Rank]],Stammdaten[[Rank Verteilung Abholzigkeit]:[Verteilung Abholzigkeit]],2,FALSE)</f>
        <v>#N/A</v>
      </c>
      <c r="S1833">
        <v>1824</v>
      </c>
      <c r="T1833" t="e">
        <f>INDEX(Stammdaten[Krümmung (mm/lfm)],MATCH(Tabelle10[[#This Row],[Rank]],Stammdaten[Rank Verteilung Krümmung],0))</f>
        <v>#N/A</v>
      </c>
      <c r="U1833" t="e">
        <f>VLOOKUP(Tabelle10[[#This Row],[Rank]],Stammdaten[[Rank Verteilung Krümmung]:[Verteilung Krümmung]],2,FALSE)</f>
        <v>#N/A</v>
      </c>
      <c r="Z1833">
        <v>1824</v>
      </c>
      <c r="AA1833" t="e">
        <f>INDEX(Stammdaten[Ovalität (']0,1'])],MATCH(Tabelle1014[[#This Row],[Rank]],Stammdaten[Rank Verteilung Ovalität],0))</f>
        <v>#N/A</v>
      </c>
      <c r="AB1833" t="e">
        <f>VLOOKUP(Tabelle1014[[#This Row],[Rank]],Stammdaten[[Rank Verteilung Ovalität]:[Verteilung Ovalität]],2,FALSE)</f>
        <v>#N/A</v>
      </c>
    </row>
    <row r="1834" spans="5:28" x14ac:dyDescent="0.35">
      <c r="E1834">
        <v>1825</v>
      </c>
      <c r="F1834" t="e">
        <f>INDEX(Stammdaten[D Mitte mit Rinde (mm)],MATCH(Tabelle8[[#This Row],[Rank]],Stammdaten[Rank Verteilung D Mitte mit Rinde],0))</f>
        <v>#N/A</v>
      </c>
      <c r="G1834" t="e">
        <f>VLOOKUP(Tabelle8[[#This Row],[Rank]],Stammdaten[[Rank Verteilung D Mitte mit Rinde]:[Verteilung D Mitte mit Rinde]],2,FALSE)</f>
        <v>#N/A</v>
      </c>
      <c r="L1834">
        <v>1825</v>
      </c>
      <c r="M1834" t="e">
        <f>INDEX(Stammdaten[Abholzigkeit (mm/lfm)],MATCH(Tabelle9[[#This Row],[Rank]],Stammdaten[Rank Verteilung Abholzigkeit],0))</f>
        <v>#N/A</v>
      </c>
      <c r="N1834" t="e">
        <f>VLOOKUP(Tabelle9[[#This Row],[Rank]],Stammdaten[[Rank Verteilung Abholzigkeit]:[Verteilung Abholzigkeit]],2,FALSE)</f>
        <v>#N/A</v>
      </c>
      <c r="S1834">
        <v>1825</v>
      </c>
      <c r="T1834" t="e">
        <f>INDEX(Stammdaten[Krümmung (mm/lfm)],MATCH(Tabelle10[[#This Row],[Rank]],Stammdaten[Rank Verteilung Krümmung],0))</f>
        <v>#N/A</v>
      </c>
      <c r="U1834" t="e">
        <f>VLOOKUP(Tabelle10[[#This Row],[Rank]],Stammdaten[[Rank Verteilung Krümmung]:[Verteilung Krümmung]],2,FALSE)</f>
        <v>#N/A</v>
      </c>
      <c r="Z1834">
        <v>1825</v>
      </c>
      <c r="AA1834" t="e">
        <f>INDEX(Stammdaten[Ovalität (']0,1'])],MATCH(Tabelle1014[[#This Row],[Rank]],Stammdaten[Rank Verteilung Ovalität],0))</f>
        <v>#N/A</v>
      </c>
      <c r="AB1834" t="e">
        <f>VLOOKUP(Tabelle1014[[#This Row],[Rank]],Stammdaten[[Rank Verteilung Ovalität]:[Verteilung Ovalität]],2,FALSE)</f>
        <v>#N/A</v>
      </c>
    </row>
    <row r="1835" spans="5:28" x14ac:dyDescent="0.35">
      <c r="E1835">
        <v>1826</v>
      </c>
      <c r="F1835" t="e">
        <f>INDEX(Stammdaten[D Mitte mit Rinde (mm)],MATCH(Tabelle8[[#This Row],[Rank]],Stammdaten[Rank Verteilung D Mitte mit Rinde],0))</f>
        <v>#N/A</v>
      </c>
      <c r="G1835" t="e">
        <f>VLOOKUP(Tabelle8[[#This Row],[Rank]],Stammdaten[[Rank Verteilung D Mitte mit Rinde]:[Verteilung D Mitte mit Rinde]],2,FALSE)</f>
        <v>#N/A</v>
      </c>
      <c r="L1835">
        <v>1826</v>
      </c>
      <c r="M1835" t="e">
        <f>INDEX(Stammdaten[Abholzigkeit (mm/lfm)],MATCH(Tabelle9[[#This Row],[Rank]],Stammdaten[Rank Verteilung Abholzigkeit],0))</f>
        <v>#N/A</v>
      </c>
      <c r="N1835" t="e">
        <f>VLOOKUP(Tabelle9[[#This Row],[Rank]],Stammdaten[[Rank Verteilung Abholzigkeit]:[Verteilung Abholzigkeit]],2,FALSE)</f>
        <v>#N/A</v>
      </c>
      <c r="S1835">
        <v>1826</v>
      </c>
      <c r="T1835" t="e">
        <f>INDEX(Stammdaten[Krümmung (mm/lfm)],MATCH(Tabelle10[[#This Row],[Rank]],Stammdaten[Rank Verteilung Krümmung],0))</f>
        <v>#N/A</v>
      </c>
      <c r="U1835" t="e">
        <f>VLOOKUP(Tabelle10[[#This Row],[Rank]],Stammdaten[[Rank Verteilung Krümmung]:[Verteilung Krümmung]],2,FALSE)</f>
        <v>#N/A</v>
      </c>
      <c r="Z1835">
        <v>1826</v>
      </c>
      <c r="AA1835" t="e">
        <f>INDEX(Stammdaten[Ovalität (']0,1'])],MATCH(Tabelle1014[[#This Row],[Rank]],Stammdaten[Rank Verteilung Ovalität],0))</f>
        <v>#N/A</v>
      </c>
      <c r="AB1835" t="e">
        <f>VLOOKUP(Tabelle1014[[#This Row],[Rank]],Stammdaten[[Rank Verteilung Ovalität]:[Verteilung Ovalität]],2,FALSE)</f>
        <v>#N/A</v>
      </c>
    </row>
    <row r="1836" spans="5:28" x14ac:dyDescent="0.35">
      <c r="E1836">
        <v>1827</v>
      </c>
      <c r="F1836" t="e">
        <f>INDEX(Stammdaten[D Mitte mit Rinde (mm)],MATCH(Tabelle8[[#This Row],[Rank]],Stammdaten[Rank Verteilung D Mitte mit Rinde],0))</f>
        <v>#N/A</v>
      </c>
      <c r="G1836" t="e">
        <f>VLOOKUP(Tabelle8[[#This Row],[Rank]],Stammdaten[[Rank Verteilung D Mitte mit Rinde]:[Verteilung D Mitte mit Rinde]],2,FALSE)</f>
        <v>#N/A</v>
      </c>
      <c r="L1836">
        <v>1827</v>
      </c>
      <c r="M1836" t="e">
        <f>INDEX(Stammdaten[Abholzigkeit (mm/lfm)],MATCH(Tabelle9[[#This Row],[Rank]],Stammdaten[Rank Verteilung Abholzigkeit],0))</f>
        <v>#N/A</v>
      </c>
      <c r="N1836" t="e">
        <f>VLOOKUP(Tabelle9[[#This Row],[Rank]],Stammdaten[[Rank Verteilung Abholzigkeit]:[Verteilung Abholzigkeit]],2,FALSE)</f>
        <v>#N/A</v>
      </c>
      <c r="S1836">
        <v>1827</v>
      </c>
      <c r="T1836" t="e">
        <f>INDEX(Stammdaten[Krümmung (mm/lfm)],MATCH(Tabelle10[[#This Row],[Rank]],Stammdaten[Rank Verteilung Krümmung],0))</f>
        <v>#N/A</v>
      </c>
      <c r="U1836" t="e">
        <f>VLOOKUP(Tabelle10[[#This Row],[Rank]],Stammdaten[[Rank Verteilung Krümmung]:[Verteilung Krümmung]],2,FALSE)</f>
        <v>#N/A</v>
      </c>
      <c r="Z1836">
        <v>1827</v>
      </c>
      <c r="AA1836" t="e">
        <f>INDEX(Stammdaten[Ovalität (']0,1'])],MATCH(Tabelle1014[[#This Row],[Rank]],Stammdaten[Rank Verteilung Ovalität],0))</f>
        <v>#N/A</v>
      </c>
      <c r="AB1836" t="e">
        <f>VLOOKUP(Tabelle1014[[#This Row],[Rank]],Stammdaten[[Rank Verteilung Ovalität]:[Verteilung Ovalität]],2,FALSE)</f>
        <v>#N/A</v>
      </c>
    </row>
    <row r="1837" spans="5:28" x14ac:dyDescent="0.35">
      <c r="E1837">
        <v>1828</v>
      </c>
      <c r="F1837" t="e">
        <f>INDEX(Stammdaten[D Mitte mit Rinde (mm)],MATCH(Tabelle8[[#This Row],[Rank]],Stammdaten[Rank Verteilung D Mitte mit Rinde],0))</f>
        <v>#N/A</v>
      </c>
      <c r="G1837" t="e">
        <f>VLOOKUP(Tabelle8[[#This Row],[Rank]],Stammdaten[[Rank Verteilung D Mitte mit Rinde]:[Verteilung D Mitte mit Rinde]],2,FALSE)</f>
        <v>#N/A</v>
      </c>
      <c r="L1837">
        <v>1828</v>
      </c>
      <c r="M1837" t="e">
        <f>INDEX(Stammdaten[Abholzigkeit (mm/lfm)],MATCH(Tabelle9[[#This Row],[Rank]],Stammdaten[Rank Verteilung Abholzigkeit],0))</f>
        <v>#N/A</v>
      </c>
      <c r="N1837" t="e">
        <f>VLOOKUP(Tabelle9[[#This Row],[Rank]],Stammdaten[[Rank Verteilung Abholzigkeit]:[Verteilung Abholzigkeit]],2,FALSE)</f>
        <v>#N/A</v>
      </c>
      <c r="S1837">
        <v>1828</v>
      </c>
      <c r="T1837" t="e">
        <f>INDEX(Stammdaten[Krümmung (mm/lfm)],MATCH(Tabelle10[[#This Row],[Rank]],Stammdaten[Rank Verteilung Krümmung],0))</f>
        <v>#N/A</v>
      </c>
      <c r="U1837" t="e">
        <f>VLOOKUP(Tabelle10[[#This Row],[Rank]],Stammdaten[[Rank Verteilung Krümmung]:[Verteilung Krümmung]],2,FALSE)</f>
        <v>#N/A</v>
      </c>
      <c r="Z1837">
        <v>1828</v>
      </c>
      <c r="AA1837" t="e">
        <f>INDEX(Stammdaten[Ovalität (']0,1'])],MATCH(Tabelle1014[[#This Row],[Rank]],Stammdaten[Rank Verteilung Ovalität],0))</f>
        <v>#N/A</v>
      </c>
      <c r="AB1837" t="e">
        <f>VLOOKUP(Tabelle1014[[#This Row],[Rank]],Stammdaten[[Rank Verteilung Ovalität]:[Verteilung Ovalität]],2,FALSE)</f>
        <v>#N/A</v>
      </c>
    </row>
    <row r="1838" spans="5:28" x14ac:dyDescent="0.35">
      <c r="E1838">
        <v>1829</v>
      </c>
      <c r="F1838" t="e">
        <f>INDEX(Stammdaten[D Mitte mit Rinde (mm)],MATCH(Tabelle8[[#This Row],[Rank]],Stammdaten[Rank Verteilung D Mitte mit Rinde],0))</f>
        <v>#N/A</v>
      </c>
      <c r="G1838" t="e">
        <f>VLOOKUP(Tabelle8[[#This Row],[Rank]],Stammdaten[[Rank Verteilung D Mitte mit Rinde]:[Verteilung D Mitte mit Rinde]],2,FALSE)</f>
        <v>#N/A</v>
      </c>
      <c r="L1838">
        <v>1829</v>
      </c>
      <c r="M1838" t="e">
        <f>INDEX(Stammdaten[Abholzigkeit (mm/lfm)],MATCH(Tabelle9[[#This Row],[Rank]],Stammdaten[Rank Verteilung Abholzigkeit],0))</f>
        <v>#N/A</v>
      </c>
      <c r="N1838" t="e">
        <f>VLOOKUP(Tabelle9[[#This Row],[Rank]],Stammdaten[[Rank Verteilung Abholzigkeit]:[Verteilung Abholzigkeit]],2,FALSE)</f>
        <v>#N/A</v>
      </c>
      <c r="S1838">
        <v>1829</v>
      </c>
      <c r="T1838" t="e">
        <f>INDEX(Stammdaten[Krümmung (mm/lfm)],MATCH(Tabelle10[[#This Row],[Rank]],Stammdaten[Rank Verteilung Krümmung],0))</f>
        <v>#N/A</v>
      </c>
      <c r="U1838" t="e">
        <f>VLOOKUP(Tabelle10[[#This Row],[Rank]],Stammdaten[[Rank Verteilung Krümmung]:[Verteilung Krümmung]],2,FALSE)</f>
        <v>#N/A</v>
      </c>
      <c r="Z1838">
        <v>1829</v>
      </c>
      <c r="AA1838" t="e">
        <f>INDEX(Stammdaten[Ovalität (']0,1'])],MATCH(Tabelle1014[[#This Row],[Rank]],Stammdaten[Rank Verteilung Ovalität],0))</f>
        <v>#N/A</v>
      </c>
      <c r="AB1838" t="e">
        <f>VLOOKUP(Tabelle1014[[#This Row],[Rank]],Stammdaten[[Rank Verteilung Ovalität]:[Verteilung Ovalität]],2,FALSE)</f>
        <v>#N/A</v>
      </c>
    </row>
    <row r="1839" spans="5:28" x14ac:dyDescent="0.35">
      <c r="E1839">
        <v>1830</v>
      </c>
      <c r="F1839" t="e">
        <f>INDEX(Stammdaten[D Mitte mit Rinde (mm)],MATCH(Tabelle8[[#This Row],[Rank]],Stammdaten[Rank Verteilung D Mitte mit Rinde],0))</f>
        <v>#N/A</v>
      </c>
      <c r="G1839" t="e">
        <f>VLOOKUP(Tabelle8[[#This Row],[Rank]],Stammdaten[[Rank Verteilung D Mitte mit Rinde]:[Verteilung D Mitte mit Rinde]],2,FALSE)</f>
        <v>#N/A</v>
      </c>
      <c r="L1839">
        <v>1830</v>
      </c>
      <c r="M1839" t="e">
        <f>INDEX(Stammdaten[Abholzigkeit (mm/lfm)],MATCH(Tabelle9[[#This Row],[Rank]],Stammdaten[Rank Verteilung Abholzigkeit],0))</f>
        <v>#N/A</v>
      </c>
      <c r="N1839" t="e">
        <f>VLOOKUP(Tabelle9[[#This Row],[Rank]],Stammdaten[[Rank Verteilung Abholzigkeit]:[Verteilung Abholzigkeit]],2,FALSE)</f>
        <v>#N/A</v>
      </c>
      <c r="S1839">
        <v>1830</v>
      </c>
      <c r="T1839" t="e">
        <f>INDEX(Stammdaten[Krümmung (mm/lfm)],MATCH(Tabelle10[[#This Row],[Rank]],Stammdaten[Rank Verteilung Krümmung],0))</f>
        <v>#N/A</v>
      </c>
      <c r="U1839" t="e">
        <f>VLOOKUP(Tabelle10[[#This Row],[Rank]],Stammdaten[[Rank Verteilung Krümmung]:[Verteilung Krümmung]],2,FALSE)</f>
        <v>#N/A</v>
      </c>
      <c r="Z1839">
        <v>1830</v>
      </c>
      <c r="AA1839" t="e">
        <f>INDEX(Stammdaten[Ovalität (']0,1'])],MATCH(Tabelle1014[[#This Row],[Rank]],Stammdaten[Rank Verteilung Ovalität],0))</f>
        <v>#N/A</v>
      </c>
      <c r="AB1839" t="e">
        <f>VLOOKUP(Tabelle1014[[#This Row],[Rank]],Stammdaten[[Rank Verteilung Ovalität]:[Verteilung Ovalität]],2,FALSE)</f>
        <v>#N/A</v>
      </c>
    </row>
    <row r="1840" spans="5:28" x14ac:dyDescent="0.35">
      <c r="E1840">
        <v>1831</v>
      </c>
      <c r="F1840" t="e">
        <f>INDEX(Stammdaten[D Mitte mit Rinde (mm)],MATCH(Tabelle8[[#This Row],[Rank]],Stammdaten[Rank Verteilung D Mitte mit Rinde],0))</f>
        <v>#N/A</v>
      </c>
      <c r="G1840" t="e">
        <f>VLOOKUP(Tabelle8[[#This Row],[Rank]],Stammdaten[[Rank Verteilung D Mitte mit Rinde]:[Verteilung D Mitte mit Rinde]],2,FALSE)</f>
        <v>#N/A</v>
      </c>
      <c r="L1840">
        <v>1831</v>
      </c>
      <c r="M1840" t="e">
        <f>INDEX(Stammdaten[Abholzigkeit (mm/lfm)],MATCH(Tabelle9[[#This Row],[Rank]],Stammdaten[Rank Verteilung Abholzigkeit],0))</f>
        <v>#N/A</v>
      </c>
      <c r="N1840" t="e">
        <f>VLOOKUP(Tabelle9[[#This Row],[Rank]],Stammdaten[[Rank Verteilung Abholzigkeit]:[Verteilung Abholzigkeit]],2,FALSE)</f>
        <v>#N/A</v>
      </c>
      <c r="S1840">
        <v>1831</v>
      </c>
      <c r="T1840" t="e">
        <f>INDEX(Stammdaten[Krümmung (mm/lfm)],MATCH(Tabelle10[[#This Row],[Rank]],Stammdaten[Rank Verteilung Krümmung],0))</f>
        <v>#N/A</v>
      </c>
      <c r="U1840" t="e">
        <f>VLOOKUP(Tabelle10[[#This Row],[Rank]],Stammdaten[[Rank Verteilung Krümmung]:[Verteilung Krümmung]],2,FALSE)</f>
        <v>#N/A</v>
      </c>
      <c r="Z1840">
        <v>1831</v>
      </c>
      <c r="AA1840" t="e">
        <f>INDEX(Stammdaten[Ovalität (']0,1'])],MATCH(Tabelle1014[[#This Row],[Rank]],Stammdaten[Rank Verteilung Ovalität],0))</f>
        <v>#N/A</v>
      </c>
      <c r="AB1840" t="e">
        <f>VLOOKUP(Tabelle1014[[#This Row],[Rank]],Stammdaten[[Rank Verteilung Ovalität]:[Verteilung Ovalität]],2,FALSE)</f>
        <v>#N/A</v>
      </c>
    </row>
    <row r="1841" spans="5:28" x14ac:dyDescent="0.35">
      <c r="E1841">
        <v>1832</v>
      </c>
      <c r="F1841" t="e">
        <f>INDEX(Stammdaten[D Mitte mit Rinde (mm)],MATCH(Tabelle8[[#This Row],[Rank]],Stammdaten[Rank Verteilung D Mitte mit Rinde],0))</f>
        <v>#N/A</v>
      </c>
      <c r="G1841" t="e">
        <f>VLOOKUP(Tabelle8[[#This Row],[Rank]],Stammdaten[[Rank Verteilung D Mitte mit Rinde]:[Verteilung D Mitte mit Rinde]],2,FALSE)</f>
        <v>#N/A</v>
      </c>
      <c r="L1841">
        <v>1832</v>
      </c>
      <c r="M1841" t="e">
        <f>INDEX(Stammdaten[Abholzigkeit (mm/lfm)],MATCH(Tabelle9[[#This Row],[Rank]],Stammdaten[Rank Verteilung Abholzigkeit],0))</f>
        <v>#N/A</v>
      </c>
      <c r="N1841" t="e">
        <f>VLOOKUP(Tabelle9[[#This Row],[Rank]],Stammdaten[[Rank Verteilung Abholzigkeit]:[Verteilung Abholzigkeit]],2,FALSE)</f>
        <v>#N/A</v>
      </c>
      <c r="S1841">
        <v>1832</v>
      </c>
      <c r="T1841" t="e">
        <f>INDEX(Stammdaten[Krümmung (mm/lfm)],MATCH(Tabelle10[[#This Row],[Rank]],Stammdaten[Rank Verteilung Krümmung],0))</f>
        <v>#N/A</v>
      </c>
      <c r="U1841" t="e">
        <f>VLOOKUP(Tabelle10[[#This Row],[Rank]],Stammdaten[[Rank Verteilung Krümmung]:[Verteilung Krümmung]],2,FALSE)</f>
        <v>#N/A</v>
      </c>
      <c r="Z1841">
        <v>1832</v>
      </c>
      <c r="AA1841" t="e">
        <f>INDEX(Stammdaten[Ovalität (']0,1'])],MATCH(Tabelle1014[[#This Row],[Rank]],Stammdaten[Rank Verteilung Ovalität],0))</f>
        <v>#N/A</v>
      </c>
      <c r="AB1841" t="e">
        <f>VLOOKUP(Tabelle1014[[#This Row],[Rank]],Stammdaten[[Rank Verteilung Ovalität]:[Verteilung Ovalität]],2,FALSE)</f>
        <v>#N/A</v>
      </c>
    </row>
    <row r="1842" spans="5:28" x14ac:dyDescent="0.35">
      <c r="E1842">
        <v>1833</v>
      </c>
      <c r="F1842" t="e">
        <f>INDEX(Stammdaten[D Mitte mit Rinde (mm)],MATCH(Tabelle8[[#This Row],[Rank]],Stammdaten[Rank Verteilung D Mitte mit Rinde],0))</f>
        <v>#N/A</v>
      </c>
      <c r="G1842" t="e">
        <f>VLOOKUP(Tabelle8[[#This Row],[Rank]],Stammdaten[[Rank Verteilung D Mitte mit Rinde]:[Verteilung D Mitte mit Rinde]],2,FALSE)</f>
        <v>#N/A</v>
      </c>
      <c r="L1842">
        <v>1833</v>
      </c>
      <c r="M1842" t="e">
        <f>INDEX(Stammdaten[Abholzigkeit (mm/lfm)],MATCH(Tabelle9[[#This Row],[Rank]],Stammdaten[Rank Verteilung Abholzigkeit],0))</f>
        <v>#N/A</v>
      </c>
      <c r="N1842" t="e">
        <f>VLOOKUP(Tabelle9[[#This Row],[Rank]],Stammdaten[[Rank Verteilung Abholzigkeit]:[Verteilung Abholzigkeit]],2,FALSE)</f>
        <v>#N/A</v>
      </c>
      <c r="S1842">
        <v>1833</v>
      </c>
      <c r="T1842" t="e">
        <f>INDEX(Stammdaten[Krümmung (mm/lfm)],MATCH(Tabelle10[[#This Row],[Rank]],Stammdaten[Rank Verteilung Krümmung],0))</f>
        <v>#N/A</v>
      </c>
      <c r="U1842" t="e">
        <f>VLOOKUP(Tabelle10[[#This Row],[Rank]],Stammdaten[[Rank Verteilung Krümmung]:[Verteilung Krümmung]],2,FALSE)</f>
        <v>#N/A</v>
      </c>
      <c r="Z1842">
        <v>1833</v>
      </c>
      <c r="AA1842" t="e">
        <f>INDEX(Stammdaten[Ovalität (']0,1'])],MATCH(Tabelle1014[[#This Row],[Rank]],Stammdaten[Rank Verteilung Ovalität],0))</f>
        <v>#N/A</v>
      </c>
      <c r="AB1842" t="e">
        <f>VLOOKUP(Tabelle1014[[#This Row],[Rank]],Stammdaten[[Rank Verteilung Ovalität]:[Verteilung Ovalität]],2,FALSE)</f>
        <v>#N/A</v>
      </c>
    </row>
    <row r="1843" spans="5:28" x14ac:dyDescent="0.35">
      <c r="E1843">
        <v>1834</v>
      </c>
      <c r="F1843" t="e">
        <f>INDEX(Stammdaten[D Mitte mit Rinde (mm)],MATCH(Tabelle8[[#This Row],[Rank]],Stammdaten[Rank Verteilung D Mitte mit Rinde],0))</f>
        <v>#N/A</v>
      </c>
      <c r="G1843" t="e">
        <f>VLOOKUP(Tabelle8[[#This Row],[Rank]],Stammdaten[[Rank Verteilung D Mitte mit Rinde]:[Verteilung D Mitte mit Rinde]],2,FALSE)</f>
        <v>#N/A</v>
      </c>
      <c r="L1843">
        <v>1834</v>
      </c>
      <c r="M1843" t="e">
        <f>INDEX(Stammdaten[Abholzigkeit (mm/lfm)],MATCH(Tabelle9[[#This Row],[Rank]],Stammdaten[Rank Verteilung Abholzigkeit],0))</f>
        <v>#N/A</v>
      </c>
      <c r="N1843" t="e">
        <f>VLOOKUP(Tabelle9[[#This Row],[Rank]],Stammdaten[[Rank Verteilung Abholzigkeit]:[Verteilung Abholzigkeit]],2,FALSE)</f>
        <v>#N/A</v>
      </c>
      <c r="S1843">
        <v>1834</v>
      </c>
      <c r="T1843" t="e">
        <f>INDEX(Stammdaten[Krümmung (mm/lfm)],MATCH(Tabelle10[[#This Row],[Rank]],Stammdaten[Rank Verteilung Krümmung],0))</f>
        <v>#N/A</v>
      </c>
      <c r="U1843" t="e">
        <f>VLOOKUP(Tabelle10[[#This Row],[Rank]],Stammdaten[[Rank Verteilung Krümmung]:[Verteilung Krümmung]],2,FALSE)</f>
        <v>#N/A</v>
      </c>
      <c r="Z1843">
        <v>1834</v>
      </c>
      <c r="AA1843" t="e">
        <f>INDEX(Stammdaten[Ovalität (']0,1'])],MATCH(Tabelle1014[[#This Row],[Rank]],Stammdaten[Rank Verteilung Ovalität],0))</f>
        <v>#N/A</v>
      </c>
      <c r="AB1843" t="e">
        <f>VLOOKUP(Tabelle1014[[#This Row],[Rank]],Stammdaten[[Rank Verteilung Ovalität]:[Verteilung Ovalität]],2,FALSE)</f>
        <v>#N/A</v>
      </c>
    </row>
    <row r="1844" spans="5:28" x14ac:dyDescent="0.35">
      <c r="E1844">
        <v>1835</v>
      </c>
      <c r="F1844" t="e">
        <f>INDEX(Stammdaten[D Mitte mit Rinde (mm)],MATCH(Tabelle8[[#This Row],[Rank]],Stammdaten[Rank Verteilung D Mitte mit Rinde],0))</f>
        <v>#N/A</v>
      </c>
      <c r="G1844" t="e">
        <f>VLOOKUP(Tabelle8[[#This Row],[Rank]],Stammdaten[[Rank Verteilung D Mitte mit Rinde]:[Verteilung D Mitte mit Rinde]],2,FALSE)</f>
        <v>#N/A</v>
      </c>
      <c r="L1844">
        <v>1835</v>
      </c>
      <c r="M1844" t="e">
        <f>INDEX(Stammdaten[Abholzigkeit (mm/lfm)],MATCH(Tabelle9[[#This Row],[Rank]],Stammdaten[Rank Verteilung Abholzigkeit],0))</f>
        <v>#N/A</v>
      </c>
      <c r="N1844" t="e">
        <f>VLOOKUP(Tabelle9[[#This Row],[Rank]],Stammdaten[[Rank Verteilung Abholzigkeit]:[Verteilung Abholzigkeit]],2,FALSE)</f>
        <v>#N/A</v>
      </c>
      <c r="S1844">
        <v>1835</v>
      </c>
      <c r="T1844" t="e">
        <f>INDEX(Stammdaten[Krümmung (mm/lfm)],MATCH(Tabelle10[[#This Row],[Rank]],Stammdaten[Rank Verteilung Krümmung],0))</f>
        <v>#N/A</v>
      </c>
      <c r="U1844" t="e">
        <f>VLOOKUP(Tabelle10[[#This Row],[Rank]],Stammdaten[[Rank Verteilung Krümmung]:[Verteilung Krümmung]],2,FALSE)</f>
        <v>#N/A</v>
      </c>
      <c r="Z1844">
        <v>1835</v>
      </c>
      <c r="AA1844" t="e">
        <f>INDEX(Stammdaten[Ovalität (']0,1'])],MATCH(Tabelle1014[[#This Row],[Rank]],Stammdaten[Rank Verteilung Ovalität],0))</f>
        <v>#N/A</v>
      </c>
      <c r="AB1844" t="e">
        <f>VLOOKUP(Tabelle1014[[#This Row],[Rank]],Stammdaten[[Rank Verteilung Ovalität]:[Verteilung Ovalität]],2,FALSE)</f>
        <v>#N/A</v>
      </c>
    </row>
    <row r="1845" spans="5:28" x14ac:dyDescent="0.35">
      <c r="E1845">
        <v>1836</v>
      </c>
      <c r="F1845" t="e">
        <f>INDEX(Stammdaten[D Mitte mit Rinde (mm)],MATCH(Tabelle8[[#This Row],[Rank]],Stammdaten[Rank Verteilung D Mitte mit Rinde],0))</f>
        <v>#N/A</v>
      </c>
      <c r="G1845" t="e">
        <f>VLOOKUP(Tabelle8[[#This Row],[Rank]],Stammdaten[[Rank Verteilung D Mitte mit Rinde]:[Verteilung D Mitte mit Rinde]],2,FALSE)</f>
        <v>#N/A</v>
      </c>
      <c r="L1845">
        <v>1836</v>
      </c>
      <c r="M1845" t="e">
        <f>INDEX(Stammdaten[Abholzigkeit (mm/lfm)],MATCH(Tabelle9[[#This Row],[Rank]],Stammdaten[Rank Verteilung Abholzigkeit],0))</f>
        <v>#N/A</v>
      </c>
      <c r="N1845" t="e">
        <f>VLOOKUP(Tabelle9[[#This Row],[Rank]],Stammdaten[[Rank Verteilung Abholzigkeit]:[Verteilung Abholzigkeit]],2,FALSE)</f>
        <v>#N/A</v>
      </c>
      <c r="S1845">
        <v>1836</v>
      </c>
      <c r="T1845" t="e">
        <f>INDEX(Stammdaten[Krümmung (mm/lfm)],MATCH(Tabelle10[[#This Row],[Rank]],Stammdaten[Rank Verteilung Krümmung],0))</f>
        <v>#N/A</v>
      </c>
      <c r="U1845" t="e">
        <f>VLOOKUP(Tabelle10[[#This Row],[Rank]],Stammdaten[[Rank Verteilung Krümmung]:[Verteilung Krümmung]],2,FALSE)</f>
        <v>#N/A</v>
      </c>
      <c r="Z1845">
        <v>1836</v>
      </c>
      <c r="AA1845" t="e">
        <f>INDEX(Stammdaten[Ovalität (']0,1'])],MATCH(Tabelle1014[[#This Row],[Rank]],Stammdaten[Rank Verteilung Ovalität],0))</f>
        <v>#N/A</v>
      </c>
      <c r="AB1845" t="e">
        <f>VLOOKUP(Tabelle1014[[#This Row],[Rank]],Stammdaten[[Rank Verteilung Ovalität]:[Verteilung Ovalität]],2,FALSE)</f>
        <v>#N/A</v>
      </c>
    </row>
    <row r="1846" spans="5:28" x14ac:dyDescent="0.35">
      <c r="E1846">
        <v>1837</v>
      </c>
      <c r="F1846" t="e">
        <f>INDEX(Stammdaten[D Mitte mit Rinde (mm)],MATCH(Tabelle8[[#This Row],[Rank]],Stammdaten[Rank Verteilung D Mitte mit Rinde],0))</f>
        <v>#N/A</v>
      </c>
      <c r="G1846" t="e">
        <f>VLOOKUP(Tabelle8[[#This Row],[Rank]],Stammdaten[[Rank Verteilung D Mitte mit Rinde]:[Verteilung D Mitte mit Rinde]],2,FALSE)</f>
        <v>#N/A</v>
      </c>
      <c r="L1846">
        <v>1837</v>
      </c>
      <c r="M1846" t="e">
        <f>INDEX(Stammdaten[Abholzigkeit (mm/lfm)],MATCH(Tabelle9[[#This Row],[Rank]],Stammdaten[Rank Verteilung Abholzigkeit],0))</f>
        <v>#N/A</v>
      </c>
      <c r="N1846" t="e">
        <f>VLOOKUP(Tabelle9[[#This Row],[Rank]],Stammdaten[[Rank Verteilung Abholzigkeit]:[Verteilung Abholzigkeit]],2,FALSE)</f>
        <v>#N/A</v>
      </c>
      <c r="S1846">
        <v>1837</v>
      </c>
      <c r="T1846" t="e">
        <f>INDEX(Stammdaten[Krümmung (mm/lfm)],MATCH(Tabelle10[[#This Row],[Rank]],Stammdaten[Rank Verteilung Krümmung],0))</f>
        <v>#N/A</v>
      </c>
      <c r="U1846" t="e">
        <f>VLOOKUP(Tabelle10[[#This Row],[Rank]],Stammdaten[[Rank Verteilung Krümmung]:[Verteilung Krümmung]],2,FALSE)</f>
        <v>#N/A</v>
      </c>
      <c r="Z1846">
        <v>1837</v>
      </c>
      <c r="AA1846" t="e">
        <f>INDEX(Stammdaten[Ovalität (']0,1'])],MATCH(Tabelle1014[[#This Row],[Rank]],Stammdaten[Rank Verteilung Ovalität],0))</f>
        <v>#N/A</v>
      </c>
      <c r="AB1846" t="e">
        <f>VLOOKUP(Tabelle1014[[#This Row],[Rank]],Stammdaten[[Rank Verteilung Ovalität]:[Verteilung Ovalität]],2,FALSE)</f>
        <v>#N/A</v>
      </c>
    </row>
    <row r="1847" spans="5:28" x14ac:dyDescent="0.35">
      <c r="E1847">
        <v>1838</v>
      </c>
      <c r="F1847" t="e">
        <f>INDEX(Stammdaten[D Mitte mit Rinde (mm)],MATCH(Tabelle8[[#This Row],[Rank]],Stammdaten[Rank Verteilung D Mitte mit Rinde],0))</f>
        <v>#N/A</v>
      </c>
      <c r="G1847" t="e">
        <f>VLOOKUP(Tabelle8[[#This Row],[Rank]],Stammdaten[[Rank Verteilung D Mitte mit Rinde]:[Verteilung D Mitte mit Rinde]],2,FALSE)</f>
        <v>#N/A</v>
      </c>
      <c r="L1847">
        <v>1838</v>
      </c>
      <c r="M1847" t="e">
        <f>INDEX(Stammdaten[Abholzigkeit (mm/lfm)],MATCH(Tabelle9[[#This Row],[Rank]],Stammdaten[Rank Verteilung Abholzigkeit],0))</f>
        <v>#N/A</v>
      </c>
      <c r="N1847" t="e">
        <f>VLOOKUP(Tabelle9[[#This Row],[Rank]],Stammdaten[[Rank Verteilung Abholzigkeit]:[Verteilung Abholzigkeit]],2,FALSE)</f>
        <v>#N/A</v>
      </c>
      <c r="S1847">
        <v>1838</v>
      </c>
      <c r="T1847" t="e">
        <f>INDEX(Stammdaten[Krümmung (mm/lfm)],MATCH(Tabelle10[[#This Row],[Rank]],Stammdaten[Rank Verteilung Krümmung],0))</f>
        <v>#N/A</v>
      </c>
      <c r="U1847" t="e">
        <f>VLOOKUP(Tabelle10[[#This Row],[Rank]],Stammdaten[[Rank Verteilung Krümmung]:[Verteilung Krümmung]],2,FALSE)</f>
        <v>#N/A</v>
      </c>
      <c r="Z1847">
        <v>1838</v>
      </c>
      <c r="AA1847" t="e">
        <f>INDEX(Stammdaten[Ovalität (']0,1'])],MATCH(Tabelle1014[[#This Row],[Rank]],Stammdaten[Rank Verteilung Ovalität],0))</f>
        <v>#N/A</v>
      </c>
      <c r="AB1847" t="e">
        <f>VLOOKUP(Tabelle1014[[#This Row],[Rank]],Stammdaten[[Rank Verteilung Ovalität]:[Verteilung Ovalität]],2,FALSE)</f>
        <v>#N/A</v>
      </c>
    </row>
    <row r="1848" spans="5:28" x14ac:dyDescent="0.35">
      <c r="E1848">
        <v>1839</v>
      </c>
      <c r="F1848" t="e">
        <f>INDEX(Stammdaten[D Mitte mit Rinde (mm)],MATCH(Tabelle8[[#This Row],[Rank]],Stammdaten[Rank Verteilung D Mitte mit Rinde],0))</f>
        <v>#N/A</v>
      </c>
      <c r="G1848" t="e">
        <f>VLOOKUP(Tabelle8[[#This Row],[Rank]],Stammdaten[[Rank Verteilung D Mitte mit Rinde]:[Verteilung D Mitte mit Rinde]],2,FALSE)</f>
        <v>#N/A</v>
      </c>
      <c r="L1848">
        <v>1839</v>
      </c>
      <c r="M1848" t="e">
        <f>INDEX(Stammdaten[Abholzigkeit (mm/lfm)],MATCH(Tabelle9[[#This Row],[Rank]],Stammdaten[Rank Verteilung Abholzigkeit],0))</f>
        <v>#N/A</v>
      </c>
      <c r="N1848" t="e">
        <f>VLOOKUP(Tabelle9[[#This Row],[Rank]],Stammdaten[[Rank Verteilung Abholzigkeit]:[Verteilung Abholzigkeit]],2,FALSE)</f>
        <v>#N/A</v>
      </c>
      <c r="S1848">
        <v>1839</v>
      </c>
      <c r="T1848" t="e">
        <f>INDEX(Stammdaten[Krümmung (mm/lfm)],MATCH(Tabelle10[[#This Row],[Rank]],Stammdaten[Rank Verteilung Krümmung],0))</f>
        <v>#N/A</v>
      </c>
      <c r="U1848" t="e">
        <f>VLOOKUP(Tabelle10[[#This Row],[Rank]],Stammdaten[[Rank Verteilung Krümmung]:[Verteilung Krümmung]],2,FALSE)</f>
        <v>#N/A</v>
      </c>
      <c r="Z1848">
        <v>1839</v>
      </c>
      <c r="AA1848" t="e">
        <f>INDEX(Stammdaten[Ovalität (']0,1'])],MATCH(Tabelle1014[[#This Row],[Rank]],Stammdaten[Rank Verteilung Ovalität],0))</f>
        <v>#N/A</v>
      </c>
      <c r="AB1848" t="e">
        <f>VLOOKUP(Tabelle1014[[#This Row],[Rank]],Stammdaten[[Rank Verteilung Ovalität]:[Verteilung Ovalität]],2,FALSE)</f>
        <v>#N/A</v>
      </c>
    </row>
    <row r="1849" spans="5:28" x14ac:dyDescent="0.35">
      <c r="E1849">
        <v>1840</v>
      </c>
      <c r="F1849" t="e">
        <f>INDEX(Stammdaten[D Mitte mit Rinde (mm)],MATCH(Tabelle8[[#This Row],[Rank]],Stammdaten[Rank Verteilung D Mitte mit Rinde],0))</f>
        <v>#N/A</v>
      </c>
      <c r="G1849" t="e">
        <f>VLOOKUP(Tabelle8[[#This Row],[Rank]],Stammdaten[[Rank Verteilung D Mitte mit Rinde]:[Verteilung D Mitte mit Rinde]],2,FALSE)</f>
        <v>#N/A</v>
      </c>
      <c r="L1849">
        <v>1840</v>
      </c>
      <c r="M1849" t="e">
        <f>INDEX(Stammdaten[Abholzigkeit (mm/lfm)],MATCH(Tabelle9[[#This Row],[Rank]],Stammdaten[Rank Verteilung Abholzigkeit],0))</f>
        <v>#N/A</v>
      </c>
      <c r="N1849" t="e">
        <f>VLOOKUP(Tabelle9[[#This Row],[Rank]],Stammdaten[[Rank Verteilung Abholzigkeit]:[Verteilung Abholzigkeit]],2,FALSE)</f>
        <v>#N/A</v>
      </c>
      <c r="S1849">
        <v>1840</v>
      </c>
      <c r="T1849" t="e">
        <f>INDEX(Stammdaten[Krümmung (mm/lfm)],MATCH(Tabelle10[[#This Row],[Rank]],Stammdaten[Rank Verteilung Krümmung],0))</f>
        <v>#N/A</v>
      </c>
      <c r="U1849" t="e">
        <f>VLOOKUP(Tabelle10[[#This Row],[Rank]],Stammdaten[[Rank Verteilung Krümmung]:[Verteilung Krümmung]],2,FALSE)</f>
        <v>#N/A</v>
      </c>
      <c r="Z1849">
        <v>1840</v>
      </c>
      <c r="AA1849" t="e">
        <f>INDEX(Stammdaten[Ovalität (']0,1'])],MATCH(Tabelle1014[[#This Row],[Rank]],Stammdaten[Rank Verteilung Ovalität],0))</f>
        <v>#N/A</v>
      </c>
      <c r="AB1849" t="e">
        <f>VLOOKUP(Tabelle1014[[#This Row],[Rank]],Stammdaten[[Rank Verteilung Ovalität]:[Verteilung Ovalität]],2,FALSE)</f>
        <v>#N/A</v>
      </c>
    </row>
    <row r="1850" spans="5:28" x14ac:dyDescent="0.35">
      <c r="E1850">
        <v>1841</v>
      </c>
      <c r="F1850" t="e">
        <f>INDEX(Stammdaten[D Mitte mit Rinde (mm)],MATCH(Tabelle8[[#This Row],[Rank]],Stammdaten[Rank Verteilung D Mitte mit Rinde],0))</f>
        <v>#N/A</v>
      </c>
      <c r="G1850" t="e">
        <f>VLOOKUP(Tabelle8[[#This Row],[Rank]],Stammdaten[[Rank Verteilung D Mitte mit Rinde]:[Verteilung D Mitte mit Rinde]],2,FALSE)</f>
        <v>#N/A</v>
      </c>
      <c r="L1850">
        <v>1841</v>
      </c>
      <c r="M1850" t="e">
        <f>INDEX(Stammdaten[Abholzigkeit (mm/lfm)],MATCH(Tabelle9[[#This Row],[Rank]],Stammdaten[Rank Verteilung Abholzigkeit],0))</f>
        <v>#N/A</v>
      </c>
      <c r="N1850" t="e">
        <f>VLOOKUP(Tabelle9[[#This Row],[Rank]],Stammdaten[[Rank Verteilung Abholzigkeit]:[Verteilung Abholzigkeit]],2,FALSE)</f>
        <v>#N/A</v>
      </c>
      <c r="S1850">
        <v>1841</v>
      </c>
      <c r="T1850" t="e">
        <f>INDEX(Stammdaten[Krümmung (mm/lfm)],MATCH(Tabelle10[[#This Row],[Rank]],Stammdaten[Rank Verteilung Krümmung],0))</f>
        <v>#N/A</v>
      </c>
      <c r="U1850" t="e">
        <f>VLOOKUP(Tabelle10[[#This Row],[Rank]],Stammdaten[[Rank Verteilung Krümmung]:[Verteilung Krümmung]],2,FALSE)</f>
        <v>#N/A</v>
      </c>
      <c r="Z1850">
        <v>1841</v>
      </c>
      <c r="AA1850" t="e">
        <f>INDEX(Stammdaten[Ovalität (']0,1'])],MATCH(Tabelle1014[[#This Row],[Rank]],Stammdaten[Rank Verteilung Ovalität],0))</f>
        <v>#N/A</v>
      </c>
      <c r="AB1850" t="e">
        <f>VLOOKUP(Tabelle1014[[#This Row],[Rank]],Stammdaten[[Rank Verteilung Ovalität]:[Verteilung Ovalität]],2,FALSE)</f>
        <v>#N/A</v>
      </c>
    </row>
    <row r="1851" spans="5:28" x14ac:dyDescent="0.35">
      <c r="E1851">
        <v>1842</v>
      </c>
      <c r="F1851" t="e">
        <f>INDEX(Stammdaten[D Mitte mit Rinde (mm)],MATCH(Tabelle8[[#This Row],[Rank]],Stammdaten[Rank Verteilung D Mitte mit Rinde],0))</f>
        <v>#N/A</v>
      </c>
      <c r="G1851" t="e">
        <f>VLOOKUP(Tabelle8[[#This Row],[Rank]],Stammdaten[[Rank Verteilung D Mitte mit Rinde]:[Verteilung D Mitte mit Rinde]],2,FALSE)</f>
        <v>#N/A</v>
      </c>
      <c r="L1851">
        <v>1842</v>
      </c>
      <c r="M1851" t="e">
        <f>INDEX(Stammdaten[Abholzigkeit (mm/lfm)],MATCH(Tabelle9[[#This Row],[Rank]],Stammdaten[Rank Verteilung Abholzigkeit],0))</f>
        <v>#N/A</v>
      </c>
      <c r="N1851" t="e">
        <f>VLOOKUP(Tabelle9[[#This Row],[Rank]],Stammdaten[[Rank Verteilung Abholzigkeit]:[Verteilung Abholzigkeit]],2,FALSE)</f>
        <v>#N/A</v>
      </c>
      <c r="S1851">
        <v>1842</v>
      </c>
      <c r="T1851" t="e">
        <f>INDEX(Stammdaten[Krümmung (mm/lfm)],MATCH(Tabelle10[[#This Row],[Rank]],Stammdaten[Rank Verteilung Krümmung],0))</f>
        <v>#N/A</v>
      </c>
      <c r="U1851" t="e">
        <f>VLOOKUP(Tabelle10[[#This Row],[Rank]],Stammdaten[[Rank Verteilung Krümmung]:[Verteilung Krümmung]],2,FALSE)</f>
        <v>#N/A</v>
      </c>
      <c r="Z1851">
        <v>1842</v>
      </c>
      <c r="AA1851" t="e">
        <f>INDEX(Stammdaten[Ovalität (']0,1'])],MATCH(Tabelle1014[[#This Row],[Rank]],Stammdaten[Rank Verteilung Ovalität],0))</f>
        <v>#N/A</v>
      </c>
      <c r="AB1851" t="e">
        <f>VLOOKUP(Tabelle1014[[#This Row],[Rank]],Stammdaten[[Rank Verteilung Ovalität]:[Verteilung Ovalität]],2,FALSE)</f>
        <v>#N/A</v>
      </c>
    </row>
    <row r="1852" spans="5:28" x14ac:dyDescent="0.35">
      <c r="E1852">
        <v>1843</v>
      </c>
      <c r="F1852" t="e">
        <f>INDEX(Stammdaten[D Mitte mit Rinde (mm)],MATCH(Tabelle8[[#This Row],[Rank]],Stammdaten[Rank Verteilung D Mitte mit Rinde],0))</f>
        <v>#N/A</v>
      </c>
      <c r="G1852" t="e">
        <f>VLOOKUP(Tabelle8[[#This Row],[Rank]],Stammdaten[[Rank Verteilung D Mitte mit Rinde]:[Verteilung D Mitte mit Rinde]],2,FALSE)</f>
        <v>#N/A</v>
      </c>
      <c r="L1852">
        <v>1843</v>
      </c>
      <c r="M1852" t="e">
        <f>INDEX(Stammdaten[Abholzigkeit (mm/lfm)],MATCH(Tabelle9[[#This Row],[Rank]],Stammdaten[Rank Verteilung Abholzigkeit],0))</f>
        <v>#N/A</v>
      </c>
      <c r="N1852" t="e">
        <f>VLOOKUP(Tabelle9[[#This Row],[Rank]],Stammdaten[[Rank Verteilung Abholzigkeit]:[Verteilung Abholzigkeit]],2,FALSE)</f>
        <v>#N/A</v>
      </c>
      <c r="S1852">
        <v>1843</v>
      </c>
      <c r="T1852" t="e">
        <f>INDEX(Stammdaten[Krümmung (mm/lfm)],MATCH(Tabelle10[[#This Row],[Rank]],Stammdaten[Rank Verteilung Krümmung],0))</f>
        <v>#N/A</v>
      </c>
      <c r="U1852" t="e">
        <f>VLOOKUP(Tabelle10[[#This Row],[Rank]],Stammdaten[[Rank Verteilung Krümmung]:[Verteilung Krümmung]],2,FALSE)</f>
        <v>#N/A</v>
      </c>
      <c r="Z1852">
        <v>1843</v>
      </c>
      <c r="AA1852" t="e">
        <f>INDEX(Stammdaten[Ovalität (']0,1'])],MATCH(Tabelle1014[[#This Row],[Rank]],Stammdaten[Rank Verteilung Ovalität],0))</f>
        <v>#N/A</v>
      </c>
      <c r="AB1852" t="e">
        <f>VLOOKUP(Tabelle1014[[#This Row],[Rank]],Stammdaten[[Rank Verteilung Ovalität]:[Verteilung Ovalität]],2,FALSE)</f>
        <v>#N/A</v>
      </c>
    </row>
    <row r="1853" spans="5:28" x14ac:dyDescent="0.35">
      <c r="E1853">
        <v>1844</v>
      </c>
      <c r="F1853" t="e">
        <f>INDEX(Stammdaten[D Mitte mit Rinde (mm)],MATCH(Tabelle8[[#This Row],[Rank]],Stammdaten[Rank Verteilung D Mitte mit Rinde],0))</f>
        <v>#N/A</v>
      </c>
      <c r="G1853" t="e">
        <f>VLOOKUP(Tabelle8[[#This Row],[Rank]],Stammdaten[[Rank Verteilung D Mitte mit Rinde]:[Verteilung D Mitte mit Rinde]],2,FALSE)</f>
        <v>#N/A</v>
      </c>
      <c r="L1853">
        <v>1844</v>
      </c>
      <c r="M1853" t="e">
        <f>INDEX(Stammdaten[Abholzigkeit (mm/lfm)],MATCH(Tabelle9[[#This Row],[Rank]],Stammdaten[Rank Verteilung Abholzigkeit],0))</f>
        <v>#N/A</v>
      </c>
      <c r="N1853" t="e">
        <f>VLOOKUP(Tabelle9[[#This Row],[Rank]],Stammdaten[[Rank Verteilung Abholzigkeit]:[Verteilung Abholzigkeit]],2,FALSE)</f>
        <v>#N/A</v>
      </c>
      <c r="S1853">
        <v>1844</v>
      </c>
      <c r="T1853" t="e">
        <f>INDEX(Stammdaten[Krümmung (mm/lfm)],MATCH(Tabelle10[[#This Row],[Rank]],Stammdaten[Rank Verteilung Krümmung],0))</f>
        <v>#N/A</v>
      </c>
      <c r="U1853" t="e">
        <f>VLOOKUP(Tabelle10[[#This Row],[Rank]],Stammdaten[[Rank Verteilung Krümmung]:[Verteilung Krümmung]],2,FALSE)</f>
        <v>#N/A</v>
      </c>
      <c r="Z1853">
        <v>1844</v>
      </c>
      <c r="AA1853" t="e">
        <f>INDEX(Stammdaten[Ovalität (']0,1'])],MATCH(Tabelle1014[[#This Row],[Rank]],Stammdaten[Rank Verteilung Ovalität],0))</f>
        <v>#N/A</v>
      </c>
      <c r="AB1853" t="e">
        <f>VLOOKUP(Tabelle1014[[#This Row],[Rank]],Stammdaten[[Rank Verteilung Ovalität]:[Verteilung Ovalität]],2,FALSE)</f>
        <v>#N/A</v>
      </c>
    </row>
    <row r="1854" spans="5:28" x14ac:dyDescent="0.35">
      <c r="E1854">
        <v>1845</v>
      </c>
      <c r="F1854" t="e">
        <f>INDEX(Stammdaten[D Mitte mit Rinde (mm)],MATCH(Tabelle8[[#This Row],[Rank]],Stammdaten[Rank Verteilung D Mitte mit Rinde],0))</f>
        <v>#N/A</v>
      </c>
      <c r="G1854" t="e">
        <f>VLOOKUP(Tabelle8[[#This Row],[Rank]],Stammdaten[[Rank Verteilung D Mitte mit Rinde]:[Verteilung D Mitte mit Rinde]],2,FALSE)</f>
        <v>#N/A</v>
      </c>
      <c r="L1854">
        <v>1845</v>
      </c>
      <c r="M1854" t="e">
        <f>INDEX(Stammdaten[Abholzigkeit (mm/lfm)],MATCH(Tabelle9[[#This Row],[Rank]],Stammdaten[Rank Verteilung Abholzigkeit],0))</f>
        <v>#N/A</v>
      </c>
      <c r="N1854" t="e">
        <f>VLOOKUP(Tabelle9[[#This Row],[Rank]],Stammdaten[[Rank Verteilung Abholzigkeit]:[Verteilung Abholzigkeit]],2,FALSE)</f>
        <v>#N/A</v>
      </c>
      <c r="S1854">
        <v>1845</v>
      </c>
      <c r="T1854" t="e">
        <f>INDEX(Stammdaten[Krümmung (mm/lfm)],MATCH(Tabelle10[[#This Row],[Rank]],Stammdaten[Rank Verteilung Krümmung],0))</f>
        <v>#N/A</v>
      </c>
      <c r="U1854" t="e">
        <f>VLOOKUP(Tabelle10[[#This Row],[Rank]],Stammdaten[[Rank Verteilung Krümmung]:[Verteilung Krümmung]],2,FALSE)</f>
        <v>#N/A</v>
      </c>
      <c r="Z1854">
        <v>1845</v>
      </c>
      <c r="AA1854" t="e">
        <f>INDEX(Stammdaten[Ovalität (']0,1'])],MATCH(Tabelle1014[[#This Row],[Rank]],Stammdaten[Rank Verteilung Ovalität],0))</f>
        <v>#N/A</v>
      </c>
      <c r="AB1854" t="e">
        <f>VLOOKUP(Tabelle1014[[#This Row],[Rank]],Stammdaten[[Rank Verteilung Ovalität]:[Verteilung Ovalität]],2,FALSE)</f>
        <v>#N/A</v>
      </c>
    </row>
    <row r="1855" spans="5:28" x14ac:dyDescent="0.35">
      <c r="E1855">
        <v>1846</v>
      </c>
      <c r="F1855" t="e">
        <f>INDEX(Stammdaten[D Mitte mit Rinde (mm)],MATCH(Tabelle8[[#This Row],[Rank]],Stammdaten[Rank Verteilung D Mitte mit Rinde],0))</f>
        <v>#N/A</v>
      </c>
      <c r="G1855" t="e">
        <f>VLOOKUP(Tabelle8[[#This Row],[Rank]],Stammdaten[[Rank Verteilung D Mitte mit Rinde]:[Verteilung D Mitte mit Rinde]],2,FALSE)</f>
        <v>#N/A</v>
      </c>
      <c r="L1855">
        <v>1846</v>
      </c>
      <c r="M1855" t="e">
        <f>INDEX(Stammdaten[Abholzigkeit (mm/lfm)],MATCH(Tabelle9[[#This Row],[Rank]],Stammdaten[Rank Verteilung Abholzigkeit],0))</f>
        <v>#N/A</v>
      </c>
      <c r="N1855" t="e">
        <f>VLOOKUP(Tabelle9[[#This Row],[Rank]],Stammdaten[[Rank Verteilung Abholzigkeit]:[Verteilung Abholzigkeit]],2,FALSE)</f>
        <v>#N/A</v>
      </c>
      <c r="S1855">
        <v>1846</v>
      </c>
      <c r="T1855" t="e">
        <f>INDEX(Stammdaten[Krümmung (mm/lfm)],MATCH(Tabelle10[[#This Row],[Rank]],Stammdaten[Rank Verteilung Krümmung],0))</f>
        <v>#N/A</v>
      </c>
      <c r="U1855" t="e">
        <f>VLOOKUP(Tabelle10[[#This Row],[Rank]],Stammdaten[[Rank Verteilung Krümmung]:[Verteilung Krümmung]],2,FALSE)</f>
        <v>#N/A</v>
      </c>
      <c r="Z1855">
        <v>1846</v>
      </c>
      <c r="AA1855" t="e">
        <f>INDEX(Stammdaten[Ovalität (']0,1'])],MATCH(Tabelle1014[[#This Row],[Rank]],Stammdaten[Rank Verteilung Ovalität],0))</f>
        <v>#N/A</v>
      </c>
      <c r="AB1855" t="e">
        <f>VLOOKUP(Tabelle1014[[#This Row],[Rank]],Stammdaten[[Rank Verteilung Ovalität]:[Verteilung Ovalität]],2,FALSE)</f>
        <v>#N/A</v>
      </c>
    </row>
    <row r="1856" spans="5:28" x14ac:dyDescent="0.35">
      <c r="E1856">
        <v>1847</v>
      </c>
      <c r="F1856" t="e">
        <f>INDEX(Stammdaten[D Mitte mit Rinde (mm)],MATCH(Tabelle8[[#This Row],[Rank]],Stammdaten[Rank Verteilung D Mitte mit Rinde],0))</f>
        <v>#N/A</v>
      </c>
      <c r="G1856" t="e">
        <f>VLOOKUP(Tabelle8[[#This Row],[Rank]],Stammdaten[[Rank Verteilung D Mitte mit Rinde]:[Verteilung D Mitte mit Rinde]],2,FALSE)</f>
        <v>#N/A</v>
      </c>
      <c r="L1856">
        <v>1847</v>
      </c>
      <c r="M1856" t="e">
        <f>INDEX(Stammdaten[Abholzigkeit (mm/lfm)],MATCH(Tabelle9[[#This Row],[Rank]],Stammdaten[Rank Verteilung Abholzigkeit],0))</f>
        <v>#N/A</v>
      </c>
      <c r="N1856" t="e">
        <f>VLOOKUP(Tabelle9[[#This Row],[Rank]],Stammdaten[[Rank Verteilung Abholzigkeit]:[Verteilung Abholzigkeit]],2,FALSE)</f>
        <v>#N/A</v>
      </c>
      <c r="S1856">
        <v>1847</v>
      </c>
      <c r="T1856" t="e">
        <f>INDEX(Stammdaten[Krümmung (mm/lfm)],MATCH(Tabelle10[[#This Row],[Rank]],Stammdaten[Rank Verteilung Krümmung],0))</f>
        <v>#N/A</v>
      </c>
      <c r="U1856" t="e">
        <f>VLOOKUP(Tabelle10[[#This Row],[Rank]],Stammdaten[[Rank Verteilung Krümmung]:[Verteilung Krümmung]],2,FALSE)</f>
        <v>#N/A</v>
      </c>
      <c r="Z1856">
        <v>1847</v>
      </c>
      <c r="AA1856" t="e">
        <f>INDEX(Stammdaten[Ovalität (']0,1'])],MATCH(Tabelle1014[[#This Row],[Rank]],Stammdaten[Rank Verteilung Ovalität],0))</f>
        <v>#N/A</v>
      </c>
      <c r="AB1856" t="e">
        <f>VLOOKUP(Tabelle1014[[#This Row],[Rank]],Stammdaten[[Rank Verteilung Ovalität]:[Verteilung Ovalität]],2,FALSE)</f>
        <v>#N/A</v>
      </c>
    </row>
    <row r="1857" spans="5:28" x14ac:dyDescent="0.35">
      <c r="E1857">
        <v>1848</v>
      </c>
      <c r="F1857" t="e">
        <f>INDEX(Stammdaten[D Mitte mit Rinde (mm)],MATCH(Tabelle8[[#This Row],[Rank]],Stammdaten[Rank Verteilung D Mitte mit Rinde],0))</f>
        <v>#N/A</v>
      </c>
      <c r="G1857" t="e">
        <f>VLOOKUP(Tabelle8[[#This Row],[Rank]],Stammdaten[[Rank Verteilung D Mitte mit Rinde]:[Verteilung D Mitte mit Rinde]],2,FALSE)</f>
        <v>#N/A</v>
      </c>
      <c r="L1857">
        <v>1848</v>
      </c>
      <c r="M1857" t="e">
        <f>INDEX(Stammdaten[Abholzigkeit (mm/lfm)],MATCH(Tabelle9[[#This Row],[Rank]],Stammdaten[Rank Verteilung Abholzigkeit],0))</f>
        <v>#N/A</v>
      </c>
      <c r="N1857" t="e">
        <f>VLOOKUP(Tabelle9[[#This Row],[Rank]],Stammdaten[[Rank Verteilung Abholzigkeit]:[Verteilung Abholzigkeit]],2,FALSE)</f>
        <v>#N/A</v>
      </c>
      <c r="S1857">
        <v>1848</v>
      </c>
      <c r="T1857" t="e">
        <f>INDEX(Stammdaten[Krümmung (mm/lfm)],MATCH(Tabelle10[[#This Row],[Rank]],Stammdaten[Rank Verteilung Krümmung],0))</f>
        <v>#N/A</v>
      </c>
      <c r="U1857" t="e">
        <f>VLOOKUP(Tabelle10[[#This Row],[Rank]],Stammdaten[[Rank Verteilung Krümmung]:[Verteilung Krümmung]],2,FALSE)</f>
        <v>#N/A</v>
      </c>
      <c r="Z1857">
        <v>1848</v>
      </c>
      <c r="AA1857" t="e">
        <f>INDEX(Stammdaten[Ovalität (']0,1'])],MATCH(Tabelle1014[[#This Row],[Rank]],Stammdaten[Rank Verteilung Ovalität],0))</f>
        <v>#N/A</v>
      </c>
      <c r="AB1857" t="e">
        <f>VLOOKUP(Tabelle1014[[#This Row],[Rank]],Stammdaten[[Rank Verteilung Ovalität]:[Verteilung Ovalität]],2,FALSE)</f>
        <v>#N/A</v>
      </c>
    </row>
    <row r="1858" spans="5:28" x14ac:dyDescent="0.35">
      <c r="E1858">
        <v>1849</v>
      </c>
      <c r="F1858" t="e">
        <f>INDEX(Stammdaten[D Mitte mit Rinde (mm)],MATCH(Tabelle8[[#This Row],[Rank]],Stammdaten[Rank Verteilung D Mitte mit Rinde],0))</f>
        <v>#N/A</v>
      </c>
      <c r="G1858" t="e">
        <f>VLOOKUP(Tabelle8[[#This Row],[Rank]],Stammdaten[[Rank Verteilung D Mitte mit Rinde]:[Verteilung D Mitte mit Rinde]],2,FALSE)</f>
        <v>#N/A</v>
      </c>
      <c r="L1858">
        <v>1849</v>
      </c>
      <c r="M1858" t="e">
        <f>INDEX(Stammdaten[Abholzigkeit (mm/lfm)],MATCH(Tabelle9[[#This Row],[Rank]],Stammdaten[Rank Verteilung Abholzigkeit],0))</f>
        <v>#N/A</v>
      </c>
      <c r="N1858" t="e">
        <f>VLOOKUP(Tabelle9[[#This Row],[Rank]],Stammdaten[[Rank Verteilung Abholzigkeit]:[Verteilung Abholzigkeit]],2,FALSE)</f>
        <v>#N/A</v>
      </c>
      <c r="S1858">
        <v>1849</v>
      </c>
      <c r="T1858" t="e">
        <f>INDEX(Stammdaten[Krümmung (mm/lfm)],MATCH(Tabelle10[[#This Row],[Rank]],Stammdaten[Rank Verteilung Krümmung],0))</f>
        <v>#N/A</v>
      </c>
      <c r="U1858" t="e">
        <f>VLOOKUP(Tabelle10[[#This Row],[Rank]],Stammdaten[[Rank Verteilung Krümmung]:[Verteilung Krümmung]],2,FALSE)</f>
        <v>#N/A</v>
      </c>
      <c r="Z1858">
        <v>1849</v>
      </c>
      <c r="AA1858" t="e">
        <f>INDEX(Stammdaten[Ovalität (']0,1'])],MATCH(Tabelle1014[[#This Row],[Rank]],Stammdaten[Rank Verteilung Ovalität],0))</f>
        <v>#N/A</v>
      </c>
      <c r="AB1858" t="e">
        <f>VLOOKUP(Tabelle1014[[#This Row],[Rank]],Stammdaten[[Rank Verteilung Ovalität]:[Verteilung Ovalität]],2,FALSE)</f>
        <v>#N/A</v>
      </c>
    </row>
    <row r="1859" spans="5:28" x14ac:dyDescent="0.35">
      <c r="E1859">
        <v>1850</v>
      </c>
      <c r="F1859" t="e">
        <f>INDEX(Stammdaten[D Mitte mit Rinde (mm)],MATCH(Tabelle8[[#This Row],[Rank]],Stammdaten[Rank Verteilung D Mitte mit Rinde],0))</f>
        <v>#N/A</v>
      </c>
      <c r="G1859" t="e">
        <f>VLOOKUP(Tabelle8[[#This Row],[Rank]],Stammdaten[[Rank Verteilung D Mitte mit Rinde]:[Verteilung D Mitte mit Rinde]],2,FALSE)</f>
        <v>#N/A</v>
      </c>
      <c r="L1859">
        <v>1850</v>
      </c>
      <c r="M1859" t="e">
        <f>INDEX(Stammdaten[Abholzigkeit (mm/lfm)],MATCH(Tabelle9[[#This Row],[Rank]],Stammdaten[Rank Verteilung Abholzigkeit],0))</f>
        <v>#N/A</v>
      </c>
      <c r="N1859" t="e">
        <f>VLOOKUP(Tabelle9[[#This Row],[Rank]],Stammdaten[[Rank Verteilung Abholzigkeit]:[Verteilung Abholzigkeit]],2,FALSE)</f>
        <v>#N/A</v>
      </c>
      <c r="S1859">
        <v>1850</v>
      </c>
      <c r="T1859" t="e">
        <f>INDEX(Stammdaten[Krümmung (mm/lfm)],MATCH(Tabelle10[[#This Row],[Rank]],Stammdaten[Rank Verteilung Krümmung],0))</f>
        <v>#N/A</v>
      </c>
      <c r="U1859" t="e">
        <f>VLOOKUP(Tabelle10[[#This Row],[Rank]],Stammdaten[[Rank Verteilung Krümmung]:[Verteilung Krümmung]],2,FALSE)</f>
        <v>#N/A</v>
      </c>
      <c r="Z1859">
        <v>1850</v>
      </c>
      <c r="AA1859" t="e">
        <f>INDEX(Stammdaten[Ovalität (']0,1'])],MATCH(Tabelle1014[[#This Row],[Rank]],Stammdaten[Rank Verteilung Ovalität],0))</f>
        <v>#N/A</v>
      </c>
      <c r="AB1859" t="e">
        <f>VLOOKUP(Tabelle1014[[#This Row],[Rank]],Stammdaten[[Rank Verteilung Ovalität]:[Verteilung Ovalität]],2,FALSE)</f>
        <v>#N/A</v>
      </c>
    </row>
    <row r="1860" spans="5:28" x14ac:dyDescent="0.35">
      <c r="E1860">
        <v>1851</v>
      </c>
      <c r="F1860" t="e">
        <f>INDEX(Stammdaten[D Mitte mit Rinde (mm)],MATCH(Tabelle8[[#This Row],[Rank]],Stammdaten[Rank Verteilung D Mitte mit Rinde],0))</f>
        <v>#N/A</v>
      </c>
      <c r="G1860" t="e">
        <f>VLOOKUP(Tabelle8[[#This Row],[Rank]],Stammdaten[[Rank Verteilung D Mitte mit Rinde]:[Verteilung D Mitte mit Rinde]],2,FALSE)</f>
        <v>#N/A</v>
      </c>
      <c r="L1860">
        <v>1851</v>
      </c>
      <c r="M1860" t="e">
        <f>INDEX(Stammdaten[Abholzigkeit (mm/lfm)],MATCH(Tabelle9[[#This Row],[Rank]],Stammdaten[Rank Verteilung Abholzigkeit],0))</f>
        <v>#N/A</v>
      </c>
      <c r="N1860" t="e">
        <f>VLOOKUP(Tabelle9[[#This Row],[Rank]],Stammdaten[[Rank Verteilung Abholzigkeit]:[Verteilung Abholzigkeit]],2,FALSE)</f>
        <v>#N/A</v>
      </c>
      <c r="S1860">
        <v>1851</v>
      </c>
      <c r="T1860" t="e">
        <f>INDEX(Stammdaten[Krümmung (mm/lfm)],MATCH(Tabelle10[[#This Row],[Rank]],Stammdaten[Rank Verteilung Krümmung],0))</f>
        <v>#N/A</v>
      </c>
      <c r="U1860" t="e">
        <f>VLOOKUP(Tabelle10[[#This Row],[Rank]],Stammdaten[[Rank Verteilung Krümmung]:[Verteilung Krümmung]],2,FALSE)</f>
        <v>#N/A</v>
      </c>
      <c r="Z1860">
        <v>1851</v>
      </c>
      <c r="AA1860" t="e">
        <f>INDEX(Stammdaten[Ovalität (']0,1'])],MATCH(Tabelle1014[[#This Row],[Rank]],Stammdaten[Rank Verteilung Ovalität],0))</f>
        <v>#N/A</v>
      </c>
      <c r="AB1860" t="e">
        <f>VLOOKUP(Tabelle1014[[#This Row],[Rank]],Stammdaten[[Rank Verteilung Ovalität]:[Verteilung Ovalität]],2,FALSE)</f>
        <v>#N/A</v>
      </c>
    </row>
    <row r="1861" spans="5:28" x14ac:dyDescent="0.35">
      <c r="E1861">
        <v>1852</v>
      </c>
      <c r="F1861" t="e">
        <f>INDEX(Stammdaten[D Mitte mit Rinde (mm)],MATCH(Tabelle8[[#This Row],[Rank]],Stammdaten[Rank Verteilung D Mitte mit Rinde],0))</f>
        <v>#N/A</v>
      </c>
      <c r="G1861" t="e">
        <f>VLOOKUP(Tabelle8[[#This Row],[Rank]],Stammdaten[[Rank Verteilung D Mitte mit Rinde]:[Verteilung D Mitte mit Rinde]],2,FALSE)</f>
        <v>#N/A</v>
      </c>
      <c r="L1861">
        <v>1852</v>
      </c>
      <c r="M1861" t="e">
        <f>INDEX(Stammdaten[Abholzigkeit (mm/lfm)],MATCH(Tabelle9[[#This Row],[Rank]],Stammdaten[Rank Verteilung Abholzigkeit],0))</f>
        <v>#N/A</v>
      </c>
      <c r="N1861" t="e">
        <f>VLOOKUP(Tabelle9[[#This Row],[Rank]],Stammdaten[[Rank Verteilung Abholzigkeit]:[Verteilung Abholzigkeit]],2,FALSE)</f>
        <v>#N/A</v>
      </c>
      <c r="S1861">
        <v>1852</v>
      </c>
      <c r="T1861" t="e">
        <f>INDEX(Stammdaten[Krümmung (mm/lfm)],MATCH(Tabelle10[[#This Row],[Rank]],Stammdaten[Rank Verteilung Krümmung],0))</f>
        <v>#N/A</v>
      </c>
      <c r="U1861" t="e">
        <f>VLOOKUP(Tabelle10[[#This Row],[Rank]],Stammdaten[[Rank Verteilung Krümmung]:[Verteilung Krümmung]],2,FALSE)</f>
        <v>#N/A</v>
      </c>
      <c r="Z1861">
        <v>1852</v>
      </c>
      <c r="AA1861" t="e">
        <f>INDEX(Stammdaten[Ovalität (']0,1'])],MATCH(Tabelle1014[[#This Row],[Rank]],Stammdaten[Rank Verteilung Ovalität],0))</f>
        <v>#N/A</v>
      </c>
      <c r="AB1861" t="e">
        <f>VLOOKUP(Tabelle1014[[#This Row],[Rank]],Stammdaten[[Rank Verteilung Ovalität]:[Verteilung Ovalität]],2,FALSE)</f>
        <v>#N/A</v>
      </c>
    </row>
    <row r="1862" spans="5:28" x14ac:dyDescent="0.35">
      <c r="E1862">
        <v>1853</v>
      </c>
      <c r="F1862" t="e">
        <f>INDEX(Stammdaten[D Mitte mit Rinde (mm)],MATCH(Tabelle8[[#This Row],[Rank]],Stammdaten[Rank Verteilung D Mitte mit Rinde],0))</f>
        <v>#N/A</v>
      </c>
      <c r="G1862" t="e">
        <f>VLOOKUP(Tabelle8[[#This Row],[Rank]],Stammdaten[[Rank Verteilung D Mitte mit Rinde]:[Verteilung D Mitte mit Rinde]],2,FALSE)</f>
        <v>#N/A</v>
      </c>
      <c r="L1862">
        <v>1853</v>
      </c>
      <c r="M1862" t="e">
        <f>INDEX(Stammdaten[Abholzigkeit (mm/lfm)],MATCH(Tabelle9[[#This Row],[Rank]],Stammdaten[Rank Verteilung Abholzigkeit],0))</f>
        <v>#N/A</v>
      </c>
      <c r="N1862" t="e">
        <f>VLOOKUP(Tabelle9[[#This Row],[Rank]],Stammdaten[[Rank Verteilung Abholzigkeit]:[Verteilung Abholzigkeit]],2,FALSE)</f>
        <v>#N/A</v>
      </c>
      <c r="S1862">
        <v>1853</v>
      </c>
      <c r="T1862" t="e">
        <f>INDEX(Stammdaten[Krümmung (mm/lfm)],MATCH(Tabelle10[[#This Row],[Rank]],Stammdaten[Rank Verteilung Krümmung],0))</f>
        <v>#N/A</v>
      </c>
      <c r="U1862" t="e">
        <f>VLOOKUP(Tabelle10[[#This Row],[Rank]],Stammdaten[[Rank Verteilung Krümmung]:[Verteilung Krümmung]],2,FALSE)</f>
        <v>#N/A</v>
      </c>
      <c r="Z1862">
        <v>1853</v>
      </c>
      <c r="AA1862" t="e">
        <f>INDEX(Stammdaten[Ovalität (']0,1'])],MATCH(Tabelle1014[[#This Row],[Rank]],Stammdaten[Rank Verteilung Ovalität],0))</f>
        <v>#N/A</v>
      </c>
      <c r="AB1862" t="e">
        <f>VLOOKUP(Tabelle1014[[#This Row],[Rank]],Stammdaten[[Rank Verteilung Ovalität]:[Verteilung Ovalität]],2,FALSE)</f>
        <v>#N/A</v>
      </c>
    </row>
    <row r="1863" spans="5:28" x14ac:dyDescent="0.35">
      <c r="E1863">
        <v>1854</v>
      </c>
      <c r="F1863" t="e">
        <f>INDEX(Stammdaten[D Mitte mit Rinde (mm)],MATCH(Tabelle8[[#This Row],[Rank]],Stammdaten[Rank Verteilung D Mitte mit Rinde],0))</f>
        <v>#N/A</v>
      </c>
      <c r="G1863" t="e">
        <f>VLOOKUP(Tabelle8[[#This Row],[Rank]],Stammdaten[[Rank Verteilung D Mitte mit Rinde]:[Verteilung D Mitte mit Rinde]],2,FALSE)</f>
        <v>#N/A</v>
      </c>
      <c r="L1863">
        <v>1854</v>
      </c>
      <c r="M1863" t="e">
        <f>INDEX(Stammdaten[Abholzigkeit (mm/lfm)],MATCH(Tabelle9[[#This Row],[Rank]],Stammdaten[Rank Verteilung Abholzigkeit],0))</f>
        <v>#N/A</v>
      </c>
      <c r="N1863" t="e">
        <f>VLOOKUP(Tabelle9[[#This Row],[Rank]],Stammdaten[[Rank Verteilung Abholzigkeit]:[Verteilung Abholzigkeit]],2,FALSE)</f>
        <v>#N/A</v>
      </c>
      <c r="S1863">
        <v>1854</v>
      </c>
      <c r="T1863" t="e">
        <f>INDEX(Stammdaten[Krümmung (mm/lfm)],MATCH(Tabelle10[[#This Row],[Rank]],Stammdaten[Rank Verteilung Krümmung],0))</f>
        <v>#N/A</v>
      </c>
      <c r="U1863" t="e">
        <f>VLOOKUP(Tabelle10[[#This Row],[Rank]],Stammdaten[[Rank Verteilung Krümmung]:[Verteilung Krümmung]],2,FALSE)</f>
        <v>#N/A</v>
      </c>
      <c r="Z1863">
        <v>1854</v>
      </c>
      <c r="AA1863" t="e">
        <f>INDEX(Stammdaten[Ovalität (']0,1'])],MATCH(Tabelle1014[[#This Row],[Rank]],Stammdaten[Rank Verteilung Ovalität],0))</f>
        <v>#N/A</v>
      </c>
      <c r="AB1863" t="e">
        <f>VLOOKUP(Tabelle1014[[#This Row],[Rank]],Stammdaten[[Rank Verteilung Ovalität]:[Verteilung Ovalität]],2,FALSE)</f>
        <v>#N/A</v>
      </c>
    </row>
    <row r="1864" spans="5:28" x14ac:dyDescent="0.35">
      <c r="E1864">
        <v>1855</v>
      </c>
      <c r="F1864" t="e">
        <f>INDEX(Stammdaten[D Mitte mit Rinde (mm)],MATCH(Tabelle8[[#This Row],[Rank]],Stammdaten[Rank Verteilung D Mitte mit Rinde],0))</f>
        <v>#N/A</v>
      </c>
      <c r="G1864" t="e">
        <f>VLOOKUP(Tabelle8[[#This Row],[Rank]],Stammdaten[[Rank Verteilung D Mitte mit Rinde]:[Verteilung D Mitte mit Rinde]],2,FALSE)</f>
        <v>#N/A</v>
      </c>
      <c r="L1864">
        <v>1855</v>
      </c>
      <c r="M1864" t="e">
        <f>INDEX(Stammdaten[Abholzigkeit (mm/lfm)],MATCH(Tabelle9[[#This Row],[Rank]],Stammdaten[Rank Verteilung Abholzigkeit],0))</f>
        <v>#N/A</v>
      </c>
      <c r="N1864" t="e">
        <f>VLOOKUP(Tabelle9[[#This Row],[Rank]],Stammdaten[[Rank Verteilung Abholzigkeit]:[Verteilung Abholzigkeit]],2,FALSE)</f>
        <v>#N/A</v>
      </c>
      <c r="S1864">
        <v>1855</v>
      </c>
      <c r="T1864" t="e">
        <f>INDEX(Stammdaten[Krümmung (mm/lfm)],MATCH(Tabelle10[[#This Row],[Rank]],Stammdaten[Rank Verteilung Krümmung],0))</f>
        <v>#N/A</v>
      </c>
      <c r="U1864" t="e">
        <f>VLOOKUP(Tabelle10[[#This Row],[Rank]],Stammdaten[[Rank Verteilung Krümmung]:[Verteilung Krümmung]],2,FALSE)</f>
        <v>#N/A</v>
      </c>
      <c r="Z1864">
        <v>1855</v>
      </c>
      <c r="AA1864" t="e">
        <f>INDEX(Stammdaten[Ovalität (']0,1'])],MATCH(Tabelle1014[[#This Row],[Rank]],Stammdaten[Rank Verteilung Ovalität],0))</f>
        <v>#N/A</v>
      </c>
      <c r="AB1864" t="e">
        <f>VLOOKUP(Tabelle1014[[#This Row],[Rank]],Stammdaten[[Rank Verteilung Ovalität]:[Verteilung Ovalität]],2,FALSE)</f>
        <v>#N/A</v>
      </c>
    </row>
    <row r="1865" spans="5:28" x14ac:dyDescent="0.35">
      <c r="E1865">
        <v>1856</v>
      </c>
      <c r="F1865" t="e">
        <f>INDEX(Stammdaten[D Mitte mit Rinde (mm)],MATCH(Tabelle8[[#This Row],[Rank]],Stammdaten[Rank Verteilung D Mitte mit Rinde],0))</f>
        <v>#N/A</v>
      </c>
      <c r="G1865" t="e">
        <f>VLOOKUP(Tabelle8[[#This Row],[Rank]],Stammdaten[[Rank Verteilung D Mitte mit Rinde]:[Verteilung D Mitte mit Rinde]],2,FALSE)</f>
        <v>#N/A</v>
      </c>
      <c r="L1865">
        <v>1856</v>
      </c>
      <c r="M1865" t="e">
        <f>INDEX(Stammdaten[Abholzigkeit (mm/lfm)],MATCH(Tabelle9[[#This Row],[Rank]],Stammdaten[Rank Verteilung Abholzigkeit],0))</f>
        <v>#N/A</v>
      </c>
      <c r="N1865" t="e">
        <f>VLOOKUP(Tabelle9[[#This Row],[Rank]],Stammdaten[[Rank Verteilung Abholzigkeit]:[Verteilung Abholzigkeit]],2,FALSE)</f>
        <v>#N/A</v>
      </c>
      <c r="S1865">
        <v>1856</v>
      </c>
      <c r="T1865" t="e">
        <f>INDEX(Stammdaten[Krümmung (mm/lfm)],MATCH(Tabelle10[[#This Row],[Rank]],Stammdaten[Rank Verteilung Krümmung],0))</f>
        <v>#N/A</v>
      </c>
      <c r="U1865" t="e">
        <f>VLOOKUP(Tabelle10[[#This Row],[Rank]],Stammdaten[[Rank Verteilung Krümmung]:[Verteilung Krümmung]],2,FALSE)</f>
        <v>#N/A</v>
      </c>
      <c r="Z1865">
        <v>1856</v>
      </c>
      <c r="AA1865" t="e">
        <f>INDEX(Stammdaten[Ovalität (']0,1'])],MATCH(Tabelle1014[[#This Row],[Rank]],Stammdaten[Rank Verteilung Ovalität],0))</f>
        <v>#N/A</v>
      </c>
      <c r="AB1865" t="e">
        <f>VLOOKUP(Tabelle1014[[#This Row],[Rank]],Stammdaten[[Rank Verteilung Ovalität]:[Verteilung Ovalität]],2,FALSE)</f>
        <v>#N/A</v>
      </c>
    </row>
    <row r="1866" spans="5:28" x14ac:dyDescent="0.35">
      <c r="E1866">
        <v>1857</v>
      </c>
      <c r="F1866" t="e">
        <f>INDEX(Stammdaten[D Mitte mit Rinde (mm)],MATCH(Tabelle8[[#This Row],[Rank]],Stammdaten[Rank Verteilung D Mitte mit Rinde],0))</f>
        <v>#N/A</v>
      </c>
      <c r="G1866" t="e">
        <f>VLOOKUP(Tabelle8[[#This Row],[Rank]],Stammdaten[[Rank Verteilung D Mitte mit Rinde]:[Verteilung D Mitte mit Rinde]],2,FALSE)</f>
        <v>#N/A</v>
      </c>
      <c r="L1866">
        <v>1857</v>
      </c>
      <c r="M1866" t="e">
        <f>INDEX(Stammdaten[Abholzigkeit (mm/lfm)],MATCH(Tabelle9[[#This Row],[Rank]],Stammdaten[Rank Verteilung Abholzigkeit],0))</f>
        <v>#N/A</v>
      </c>
      <c r="N1866" t="e">
        <f>VLOOKUP(Tabelle9[[#This Row],[Rank]],Stammdaten[[Rank Verteilung Abholzigkeit]:[Verteilung Abholzigkeit]],2,FALSE)</f>
        <v>#N/A</v>
      </c>
      <c r="S1866">
        <v>1857</v>
      </c>
      <c r="T1866" t="e">
        <f>INDEX(Stammdaten[Krümmung (mm/lfm)],MATCH(Tabelle10[[#This Row],[Rank]],Stammdaten[Rank Verteilung Krümmung],0))</f>
        <v>#N/A</v>
      </c>
      <c r="U1866" t="e">
        <f>VLOOKUP(Tabelle10[[#This Row],[Rank]],Stammdaten[[Rank Verteilung Krümmung]:[Verteilung Krümmung]],2,FALSE)</f>
        <v>#N/A</v>
      </c>
      <c r="Z1866">
        <v>1857</v>
      </c>
      <c r="AA1866" t="e">
        <f>INDEX(Stammdaten[Ovalität (']0,1'])],MATCH(Tabelle1014[[#This Row],[Rank]],Stammdaten[Rank Verteilung Ovalität],0))</f>
        <v>#N/A</v>
      </c>
      <c r="AB1866" t="e">
        <f>VLOOKUP(Tabelle1014[[#This Row],[Rank]],Stammdaten[[Rank Verteilung Ovalität]:[Verteilung Ovalität]],2,FALSE)</f>
        <v>#N/A</v>
      </c>
    </row>
    <row r="1867" spans="5:28" x14ac:dyDescent="0.35">
      <c r="E1867">
        <v>1858</v>
      </c>
      <c r="F1867" t="e">
        <f>INDEX(Stammdaten[D Mitte mit Rinde (mm)],MATCH(Tabelle8[[#This Row],[Rank]],Stammdaten[Rank Verteilung D Mitte mit Rinde],0))</f>
        <v>#N/A</v>
      </c>
      <c r="G1867" t="e">
        <f>VLOOKUP(Tabelle8[[#This Row],[Rank]],Stammdaten[[Rank Verteilung D Mitte mit Rinde]:[Verteilung D Mitte mit Rinde]],2,FALSE)</f>
        <v>#N/A</v>
      </c>
      <c r="L1867">
        <v>1858</v>
      </c>
      <c r="M1867" t="e">
        <f>INDEX(Stammdaten[Abholzigkeit (mm/lfm)],MATCH(Tabelle9[[#This Row],[Rank]],Stammdaten[Rank Verteilung Abholzigkeit],0))</f>
        <v>#N/A</v>
      </c>
      <c r="N1867" t="e">
        <f>VLOOKUP(Tabelle9[[#This Row],[Rank]],Stammdaten[[Rank Verteilung Abholzigkeit]:[Verteilung Abholzigkeit]],2,FALSE)</f>
        <v>#N/A</v>
      </c>
      <c r="S1867">
        <v>1858</v>
      </c>
      <c r="T1867" t="e">
        <f>INDEX(Stammdaten[Krümmung (mm/lfm)],MATCH(Tabelle10[[#This Row],[Rank]],Stammdaten[Rank Verteilung Krümmung],0))</f>
        <v>#N/A</v>
      </c>
      <c r="U1867" t="e">
        <f>VLOOKUP(Tabelle10[[#This Row],[Rank]],Stammdaten[[Rank Verteilung Krümmung]:[Verteilung Krümmung]],2,FALSE)</f>
        <v>#N/A</v>
      </c>
      <c r="Z1867">
        <v>1858</v>
      </c>
      <c r="AA1867" t="e">
        <f>INDEX(Stammdaten[Ovalität (']0,1'])],MATCH(Tabelle1014[[#This Row],[Rank]],Stammdaten[Rank Verteilung Ovalität],0))</f>
        <v>#N/A</v>
      </c>
      <c r="AB1867" t="e">
        <f>VLOOKUP(Tabelle1014[[#This Row],[Rank]],Stammdaten[[Rank Verteilung Ovalität]:[Verteilung Ovalität]],2,FALSE)</f>
        <v>#N/A</v>
      </c>
    </row>
    <row r="1868" spans="5:28" x14ac:dyDescent="0.35">
      <c r="E1868">
        <v>1859</v>
      </c>
      <c r="F1868" t="e">
        <f>INDEX(Stammdaten[D Mitte mit Rinde (mm)],MATCH(Tabelle8[[#This Row],[Rank]],Stammdaten[Rank Verteilung D Mitte mit Rinde],0))</f>
        <v>#N/A</v>
      </c>
      <c r="G1868" t="e">
        <f>VLOOKUP(Tabelle8[[#This Row],[Rank]],Stammdaten[[Rank Verteilung D Mitte mit Rinde]:[Verteilung D Mitte mit Rinde]],2,FALSE)</f>
        <v>#N/A</v>
      </c>
      <c r="L1868">
        <v>1859</v>
      </c>
      <c r="M1868" t="e">
        <f>INDEX(Stammdaten[Abholzigkeit (mm/lfm)],MATCH(Tabelle9[[#This Row],[Rank]],Stammdaten[Rank Verteilung Abholzigkeit],0))</f>
        <v>#N/A</v>
      </c>
      <c r="N1868" t="e">
        <f>VLOOKUP(Tabelle9[[#This Row],[Rank]],Stammdaten[[Rank Verteilung Abholzigkeit]:[Verteilung Abholzigkeit]],2,FALSE)</f>
        <v>#N/A</v>
      </c>
      <c r="S1868">
        <v>1859</v>
      </c>
      <c r="T1868" t="e">
        <f>INDEX(Stammdaten[Krümmung (mm/lfm)],MATCH(Tabelle10[[#This Row],[Rank]],Stammdaten[Rank Verteilung Krümmung],0))</f>
        <v>#N/A</v>
      </c>
      <c r="U1868" t="e">
        <f>VLOOKUP(Tabelle10[[#This Row],[Rank]],Stammdaten[[Rank Verteilung Krümmung]:[Verteilung Krümmung]],2,FALSE)</f>
        <v>#N/A</v>
      </c>
      <c r="Z1868">
        <v>1859</v>
      </c>
      <c r="AA1868" t="e">
        <f>INDEX(Stammdaten[Ovalität (']0,1'])],MATCH(Tabelle1014[[#This Row],[Rank]],Stammdaten[Rank Verteilung Ovalität],0))</f>
        <v>#N/A</v>
      </c>
      <c r="AB1868" t="e">
        <f>VLOOKUP(Tabelle1014[[#This Row],[Rank]],Stammdaten[[Rank Verteilung Ovalität]:[Verteilung Ovalität]],2,FALSE)</f>
        <v>#N/A</v>
      </c>
    </row>
    <row r="1869" spans="5:28" x14ac:dyDescent="0.35">
      <c r="E1869">
        <v>1860</v>
      </c>
      <c r="F1869" t="e">
        <f>INDEX(Stammdaten[D Mitte mit Rinde (mm)],MATCH(Tabelle8[[#This Row],[Rank]],Stammdaten[Rank Verteilung D Mitte mit Rinde],0))</f>
        <v>#N/A</v>
      </c>
      <c r="G1869" t="e">
        <f>VLOOKUP(Tabelle8[[#This Row],[Rank]],Stammdaten[[Rank Verteilung D Mitte mit Rinde]:[Verteilung D Mitte mit Rinde]],2,FALSE)</f>
        <v>#N/A</v>
      </c>
      <c r="L1869">
        <v>1860</v>
      </c>
      <c r="M1869" t="e">
        <f>INDEX(Stammdaten[Abholzigkeit (mm/lfm)],MATCH(Tabelle9[[#This Row],[Rank]],Stammdaten[Rank Verteilung Abholzigkeit],0))</f>
        <v>#N/A</v>
      </c>
      <c r="N1869" t="e">
        <f>VLOOKUP(Tabelle9[[#This Row],[Rank]],Stammdaten[[Rank Verteilung Abholzigkeit]:[Verteilung Abholzigkeit]],2,FALSE)</f>
        <v>#N/A</v>
      </c>
      <c r="S1869">
        <v>1860</v>
      </c>
      <c r="T1869" t="e">
        <f>INDEX(Stammdaten[Krümmung (mm/lfm)],MATCH(Tabelle10[[#This Row],[Rank]],Stammdaten[Rank Verteilung Krümmung],0))</f>
        <v>#N/A</v>
      </c>
      <c r="U1869" t="e">
        <f>VLOOKUP(Tabelle10[[#This Row],[Rank]],Stammdaten[[Rank Verteilung Krümmung]:[Verteilung Krümmung]],2,FALSE)</f>
        <v>#N/A</v>
      </c>
      <c r="Z1869">
        <v>1860</v>
      </c>
      <c r="AA1869" t="e">
        <f>INDEX(Stammdaten[Ovalität (']0,1'])],MATCH(Tabelle1014[[#This Row],[Rank]],Stammdaten[Rank Verteilung Ovalität],0))</f>
        <v>#N/A</v>
      </c>
      <c r="AB1869" t="e">
        <f>VLOOKUP(Tabelle1014[[#This Row],[Rank]],Stammdaten[[Rank Verteilung Ovalität]:[Verteilung Ovalität]],2,FALSE)</f>
        <v>#N/A</v>
      </c>
    </row>
    <row r="1870" spans="5:28" x14ac:dyDescent="0.35">
      <c r="E1870">
        <v>1861</v>
      </c>
      <c r="F1870" t="e">
        <f>INDEX(Stammdaten[D Mitte mit Rinde (mm)],MATCH(Tabelle8[[#This Row],[Rank]],Stammdaten[Rank Verteilung D Mitte mit Rinde],0))</f>
        <v>#N/A</v>
      </c>
      <c r="G1870" t="e">
        <f>VLOOKUP(Tabelle8[[#This Row],[Rank]],Stammdaten[[Rank Verteilung D Mitte mit Rinde]:[Verteilung D Mitte mit Rinde]],2,FALSE)</f>
        <v>#N/A</v>
      </c>
      <c r="L1870">
        <v>1861</v>
      </c>
      <c r="M1870" t="e">
        <f>INDEX(Stammdaten[Abholzigkeit (mm/lfm)],MATCH(Tabelle9[[#This Row],[Rank]],Stammdaten[Rank Verteilung Abholzigkeit],0))</f>
        <v>#N/A</v>
      </c>
      <c r="N1870" t="e">
        <f>VLOOKUP(Tabelle9[[#This Row],[Rank]],Stammdaten[[Rank Verteilung Abholzigkeit]:[Verteilung Abholzigkeit]],2,FALSE)</f>
        <v>#N/A</v>
      </c>
      <c r="S1870">
        <v>1861</v>
      </c>
      <c r="T1870" t="e">
        <f>INDEX(Stammdaten[Krümmung (mm/lfm)],MATCH(Tabelle10[[#This Row],[Rank]],Stammdaten[Rank Verteilung Krümmung],0))</f>
        <v>#N/A</v>
      </c>
      <c r="U1870" t="e">
        <f>VLOOKUP(Tabelle10[[#This Row],[Rank]],Stammdaten[[Rank Verteilung Krümmung]:[Verteilung Krümmung]],2,FALSE)</f>
        <v>#N/A</v>
      </c>
      <c r="Z1870">
        <v>1861</v>
      </c>
      <c r="AA1870" t="e">
        <f>INDEX(Stammdaten[Ovalität (']0,1'])],MATCH(Tabelle1014[[#This Row],[Rank]],Stammdaten[Rank Verteilung Ovalität],0))</f>
        <v>#N/A</v>
      </c>
      <c r="AB1870" t="e">
        <f>VLOOKUP(Tabelle1014[[#This Row],[Rank]],Stammdaten[[Rank Verteilung Ovalität]:[Verteilung Ovalität]],2,FALSE)</f>
        <v>#N/A</v>
      </c>
    </row>
    <row r="1871" spans="5:28" x14ac:dyDescent="0.35">
      <c r="E1871">
        <v>1862</v>
      </c>
      <c r="F1871" t="e">
        <f>INDEX(Stammdaten[D Mitte mit Rinde (mm)],MATCH(Tabelle8[[#This Row],[Rank]],Stammdaten[Rank Verteilung D Mitte mit Rinde],0))</f>
        <v>#N/A</v>
      </c>
      <c r="G1871" t="e">
        <f>VLOOKUP(Tabelle8[[#This Row],[Rank]],Stammdaten[[Rank Verteilung D Mitte mit Rinde]:[Verteilung D Mitte mit Rinde]],2,FALSE)</f>
        <v>#N/A</v>
      </c>
      <c r="L1871">
        <v>1862</v>
      </c>
      <c r="M1871" t="e">
        <f>INDEX(Stammdaten[Abholzigkeit (mm/lfm)],MATCH(Tabelle9[[#This Row],[Rank]],Stammdaten[Rank Verteilung Abholzigkeit],0))</f>
        <v>#N/A</v>
      </c>
      <c r="N1871" t="e">
        <f>VLOOKUP(Tabelle9[[#This Row],[Rank]],Stammdaten[[Rank Verteilung Abholzigkeit]:[Verteilung Abholzigkeit]],2,FALSE)</f>
        <v>#N/A</v>
      </c>
      <c r="S1871">
        <v>1862</v>
      </c>
      <c r="T1871" t="e">
        <f>INDEX(Stammdaten[Krümmung (mm/lfm)],MATCH(Tabelle10[[#This Row],[Rank]],Stammdaten[Rank Verteilung Krümmung],0))</f>
        <v>#N/A</v>
      </c>
      <c r="U1871" t="e">
        <f>VLOOKUP(Tabelle10[[#This Row],[Rank]],Stammdaten[[Rank Verteilung Krümmung]:[Verteilung Krümmung]],2,FALSE)</f>
        <v>#N/A</v>
      </c>
      <c r="Z1871">
        <v>1862</v>
      </c>
      <c r="AA1871" t="e">
        <f>INDEX(Stammdaten[Ovalität (']0,1'])],MATCH(Tabelle1014[[#This Row],[Rank]],Stammdaten[Rank Verteilung Ovalität],0))</f>
        <v>#N/A</v>
      </c>
      <c r="AB1871" t="e">
        <f>VLOOKUP(Tabelle1014[[#This Row],[Rank]],Stammdaten[[Rank Verteilung Ovalität]:[Verteilung Ovalität]],2,FALSE)</f>
        <v>#N/A</v>
      </c>
    </row>
    <row r="1872" spans="5:28" x14ac:dyDescent="0.35">
      <c r="E1872">
        <v>1863</v>
      </c>
      <c r="F1872" t="e">
        <f>INDEX(Stammdaten[D Mitte mit Rinde (mm)],MATCH(Tabelle8[[#This Row],[Rank]],Stammdaten[Rank Verteilung D Mitte mit Rinde],0))</f>
        <v>#N/A</v>
      </c>
      <c r="G1872" t="e">
        <f>VLOOKUP(Tabelle8[[#This Row],[Rank]],Stammdaten[[Rank Verteilung D Mitte mit Rinde]:[Verteilung D Mitte mit Rinde]],2,FALSE)</f>
        <v>#N/A</v>
      </c>
      <c r="L1872">
        <v>1863</v>
      </c>
      <c r="M1872" t="e">
        <f>INDEX(Stammdaten[Abholzigkeit (mm/lfm)],MATCH(Tabelle9[[#This Row],[Rank]],Stammdaten[Rank Verteilung Abholzigkeit],0))</f>
        <v>#N/A</v>
      </c>
      <c r="N1872" t="e">
        <f>VLOOKUP(Tabelle9[[#This Row],[Rank]],Stammdaten[[Rank Verteilung Abholzigkeit]:[Verteilung Abholzigkeit]],2,FALSE)</f>
        <v>#N/A</v>
      </c>
      <c r="S1872">
        <v>1863</v>
      </c>
      <c r="T1872" t="e">
        <f>INDEX(Stammdaten[Krümmung (mm/lfm)],MATCH(Tabelle10[[#This Row],[Rank]],Stammdaten[Rank Verteilung Krümmung],0))</f>
        <v>#N/A</v>
      </c>
      <c r="U1872" t="e">
        <f>VLOOKUP(Tabelle10[[#This Row],[Rank]],Stammdaten[[Rank Verteilung Krümmung]:[Verteilung Krümmung]],2,FALSE)</f>
        <v>#N/A</v>
      </c>
      <c r="Z1872">
        <v>1863</v>
      </c>
      <c r="AA1872" t="e">
        <f>INDEX(Stammdaten[Ovalität (']0,1'])],MATCH(Tabelle1014[[#This Row],[Rank]],Stammdaten[Rank Verteilung Ovalität],0))</f>
        <v>#N/A</v>
      </c>
      <c r="AB1872" t="e">
        <f>VLOOKUP(Tabelle1014[[#This Row],[Rank]],Stammdaten[[Rank Verteilung Ovalität]:[Verteilung Ovalität]],2,FALSE)</f>
        <v>#N/A</v>
      </c>
    </row>
    <row r="1873" spans="5:28" x14ac:dyDescent="0.35">
      <c r="E1873">
        <v>1864</v>
      </c>
      <c r="F1873" t="e">
        <f>INDEX(Stammdaten[D Mitte mit Rinde (mm)],MATCH(Tabelle8[[#This Row],[Rank]],Stammdaten[Rank Verteilung D Mitte mit Rinde],0))</f>
        <v>#N/A</v>
      </c>
      <c r="G1873" t="e">
        <f>VLOOKUP(Tabelle8[[#This Row],[Rank]],Stammdaten[[Rank Verteilung D Mitte mit Rinde]:[Verteilung D Mitte mit Rinde]],2,FALSE)</f>
        <v>#N/A</v>
      </c>
      <c r="L1873">
        <v>1864</v>
      </c>
      <c r="M1873" t="e">
        <f>INDEX(Stammdaten[Abholzigkeit (mm/lfm)],MATCH(Tabelle9[[#This Row],[Rank]],Stammdaten[Rank Verteilung Abholzigkeit],0))</f>
        <v>#N/A</v>
      </c>
      <c r="N1873" t="e">
        <f>VLOOKUP(Tabelle9[[#This Row],[Rank]],Stammdaten[[Rank Verteilung Abholzigkeit]:[Verteilung Abholzigkeit]],2,FALSE)</f>
        <v>#N/A</v>
      </c>
      <c r="S1873">
        <v>1864</v>
      </c>
      <c r="T1873" t="e">
        <f>INDEX(Stammdaten[Krümmung (mm/lfm)],MATCH(Tabelle10[[#This Row],[Rank]],Stammdaten[Rank Verteilung Krümmung],0))</f>
        <v>#N/A</v>
      </c>
      <c r="U1873" t="e">
        <f>VLOOKUP(Tabelle10[[#This Row],[Rank]],Stammdaten[[Rank Verteilung Krümmung]:[Verteilung Krümmung]],2,FALSE)</f>
        <v>#N/A</v>
      </c>
      <c r="Z1873">
        <v>1864</v>
      </c>
      <c r="AA1873" t="e">
        <f>INDEX(Stammdaten[Ovalität (']0,1'])],MATCH(Tabelle1014[[#This Row],[Rank]],Stammdaten[Rank Verteilung Ovalität],0))</f>
        <v>#N/A</v>
      </c>
      <c r="AB1873" t="e">
        <f>VLOOKUP(Tabelle1014[[#This Row],[Rank]],Stammdaten[[Rank Verteilung Ovalität]:[Verteilung Ovalität]],2,FALSE)</f>
        <v>#N/A</v>
      </c>
    </row>
    <row r="1874" spans="5:28" x14ac:dyDescent="0.35">
      <c r="E1874">
        <v>1865</v>
      </c>
      <c r="F1874" t="e">
        <f>INDEX(Stammdaten[D Mitte mit Rinde (mm)],MATCH(Tabelle8[[#This Row],[Rank]],Stammdaten[Rank Verteilung D Mitte mit Rinde],0))</f>
        <v>#N/A</v>
      </c>
      <c r="G1874" t="e">
        <f>VLOOKUP(Tabelle8[[#This Row],[Rank]],Stammdaten[[Rank Verteilung D Mitte mit Rinde]:[Verteilung D Mitte mit Rinde]],2,FALSE)</f>
        <v>#N/A</v>
      </c>
      <c r="L1874">
        <v>1865</v>
      </c>
      <c r="M1874" t="e">
        <f>INDEX(Stammdaten[Abholzigkeit (mm/lfm)],MATCH(Tabelle9[[#This Row],[Rank]],Stammdaten[Rank Verteilung Abholzigkeit],0))</f>
        <v>#N/A</v>
      </c>
      <c r="N1874" t="e">
        <f>VLOOKUP(Tabelle9[[#This Row],[Rank]],Stammdaten[[Rank Verteilung Abholzigkeit]:[Verteilung Abholzigkeit]],2,FALSE)</f>
        <v>#N/A</v>
      </c>
      <c r="S1874">
        <v>1865</v>
      </c>
      <c r="T1874" t="e">
        <f>INDEX(Stammdaten[Krümmung (mm/lfm)],MATCH(Tabelle10[[#This Row],[Rank]],Stammdaten[Rank Verteilung Krümmung],0))</f>
        <v>#N/A</v>
      </c>
      <c r="U1874" t="e">
        <f>VLOOKUP(Tabelle10[[#This Row],[Rank]],Stammdaten[[Rank Verteilung Krümmung]:[Verteilung Krümmung]],2,FALSE)</f>
        <v>#N/A</v>
      </c>
      <c r="Z1874">
        <v>1865</v>
      </c>
      <c r="AA1874" t="e">
        <f>INDEX(Stammdaten[Ovalität (']0,1'])],MATCH(Tabelle1014[[#This Row],[Rank]],Stammdaten[Rank Verteilung Ovalität],0))</f>
        <v>#N/A</v>
      </c>
      <c r="AB1874" t="e">
        <f>VLOOKUP(Tabelle1014[[#This Row],[Rank]],Stammdaten[[Rank Verteilung Ovalität]:[Verteilung Ovalität]],2,FALSE)</f>
        <v>#N/A</v>
      </c>
    </row>
    <row r="1875" spans="5:28" x14ac:dyDescent="0.35">
      <c r="E1875">
        <v>1866</v>
      </c>
      <c r="F1875" t="e">
        <f>INDEX(Stammdaten[D Mitte mit Rinde (mm)],MATCH(Tabelle8[[#This Row],[Rank]],Stammdaten[Rank Verteilung D Mitte mit Rinde],0))</f>
        <v>#N/A</v>
      </c>
      <c r="G1875" t="e">
        <f>VLOOKUP(Tabelle8[[#This Row],[Rank]],Stammdaten[[Rank Verteilung D Mitte mit Rinde]:[Verteilung D Mitte mit Rinde]],2,FALSE)</f>
        <v>#N/A</v>
      </c>
      <c r="L1875">
        <v>1866</v>
      </c>
      <c r="M1875" t="e">
        <f>INDEX(Stammdaten[Abholzigkeit (mm/lfm)],MATCH(Tabelle9[[#This Row],[Rank]],Stammdaten[Rank Verteilung Abholzigkeit],0))</f>
        <v>#N/A</v>
      </c>
      <c r="N1875" t="e">
        <f>VLOOKUP(Tabelle9[[#This Row],[Rank]],Stammdaten[[Rank Verteilung Abholzigkeit]:[Verteilung Abholzigkeit]],2,FALSE)</f>
        <v>#N/A</v>
      </c>
      <c r="S1875">
        <v>1866</v>
      </c>
      <c r="T1875" t="e">
        <f>INDEX(Stammdaten[Krümmung (mm/lfm)],MATCH(Tabelle10[[#This Row],[Rank]],Stammdaten[Rank Verteilung Krümmung],0))</f>
        <v>#N/A</v>
      </c>
      <c r="U1875" t="e">
        <f>VLOOKUP(Tabelle10[[#This Row],[Rank]],Stammdaten[[Rank Verteilung Krümmung]:[Verteilung Krümmung]],2,FALSE)</f>
        <v>#N/A</v>
      </c>
      <c r="Z1875">
        <v>1866</v>
      </c>
      <c r="AA1875" t="e">
        <f>INDEX(Stammdaten[Ovalität (']0,1'])],MATCH(Tabelle1014[[#This Row],[Rank]],Stammdaten[Rank Verteilung Ovalität],0))</f>
        <v>#N/A</v>
      </c>
      <c r="AB1875" t="e">
        <f>VLOOKUP(Tabelle1014[[#This Row],[Rank]],Stammdaten[[Rank Verteilung Ovalität]:[Verteilung Ovalität]],2,FALSE)</f>
        <v>#N/A</v>
      </c>
    </row>
    <row r="1876" spans="5:28" x14ac:dyDescent="0.35">
      <c r="E1876">
        <v>1867</v>
      </c>
      <c r="F1876" t="e">
        <f>INDEX(Stammdaten[D Mitte mit Rinde (mm)],MATCH(Tabelle8[[#This Row],[Rank]],Stammdaten[Rank Verteilung D Mitte mit Rinde],0))</f>
        <v>#N/A</v>
      </c>
      <c r="G1876" t="e">
        <f>VLOOKUP(Tabelle8[[#This Row],[Rank]],Stammdaten[[Rank Verteilung D Mitte mit Rinde]:[Verteilung D Mitte mit Rinde]],2,FALSE)</f>
        <v>#N/A</v>
      </c>
      <c r="L1876">
        <v>1867</v>
      </c>
      <c r="M1876" t="e">
        <f>INDEX(Stammdaten[Abholzigkeit (mm/lfm)],MATCH(Tabelle9[[#This Row],[Rank]],Stammdaten[Rank Verteilung Abholzigkeit],0))</f>
        <v>#N/A</v>
      </c>
      <c r="N1876" t="e">
        <f>VLOOKUP(Tabelle9[[#This Row],[Rank]],Stammdaten[[Rank Verteilung Abholzigkeit]:[Verteilung Abholzigkeit]],2,FALSE)</f>
        <v>#N/A</v>
      </c>
      <c r="S1876">
        <v>1867</v>
      </c>
      <c r="T1876" t="e">
        <f>INDEX(Stammdaten[Krümmung (mm/lfm)],MATCH(Tabelle10[[#This Row],[Rank]],Stammdaten[Rank Verteilung Krümmung],0))</f>
        <v>#N/A</v>
      </c>
      <c r="U1876" t="e">
        <f>VLOOKUP(Tabelle10[[#This Row],[Rank]],Stammdaten[[Rank Verteilung Krümmung]:[Verteilung Krümmung]],2,FALSE)</f>
        <v>#N/A</v>
      </c>
      <c r="Z1876">
        <v>1867</v>
      </c>
      <c r="AA1876" t="e">
        <f>INDEX(Stammdaten[Ovalität (']0,1'])],MATCH(Tabelle1014[[#This Row],[Rank]],Stammdaten[Rank Verteilung Ovalität],0))</f>
        <v>#N/A</v>
      </c>
      <c r="AB1876" t="e">
        <f>VLOOKUP(Tabelle1014[[#This Row],[Rank]],Stammdaten[[Rank Verteilung Ovalität]:[Verteilung Ovalität]],2,FALSE)</f>
        <v>#N/A</v>
      </c>
    </row>
    <row r="1877" spans="5:28" x14ac:dyDescent="0.35">
      <c r="E1877">
        <v>1868</v>
      </c>
      <c r="F1877" t="e">
        <f>INDEX(Stammdaten[D Mitte mit Rinde (mm)],MATCH(Tabelle8[[#This Row],[Rank]],Stammdaten[Rank Verteilung D Mitte mit Rinde],0))</f>
        <v>#N/A</v>
      </c>
      <c r="G1877" t="e">
        <f>VLOOKUP(Tabelle8[[#This Row],[Rank]],Stammdaten[[Rank Verteilung D Mitte mit Rinde]:[Verteilung D Mitte mit Rinde]],2,FALSE)</f>
        <v>#N/A</v>
      </c>
      <c r="L1877">
        <v>1868</v>
      </c>
      <c r="M1877" t="e">
        <f>INDEX(Stammdaten[Abholzigkeit (mm/lfm)],MATCH(Tabelle9[[#This Row],[Rank]],Stammdaten[Rank Verteilung Abholzigkeit],0))</f>
        <v>#N/A</v>
      </c>
      <c r="N1877" t="e">
        <f>VLOOKUP(Tabelle9[[#This Row],[Rank]],Stammdaten[[Rank Verteilung Abholzigkeit]:[Verteilung Abholzigkeit]],2,FALSE)</f>
        <v>#N/A</v>
      </c>
      <c r="S1877">
        <v>1868</v>
      </c>
      <c r="T1877" t="e">
        <f>INDEX(Stammdaten[Krümmung (mm/lfm)],MATCH(Tabelle10[[#This Row],[Rank]],Stammdaten[Rank Verteilung Krümmung],0))</f>
        <v>#N/A</v>
      </c>
      <c r="U1877" t="e">
        <f>VLOOKUP(Tabelle10[[#This Row],[Rank]],Stammdaten[[Rank Verteilung Krümmung]:[Verteilung Krümmung]],2,FALSE)</f>
        <v>#N/A</v>
      </c>
      <c r="Z1877">
        <v>1868</v>
      </c>
      <c r="AA1877" t="e">
        <f>INDEX(Stammdaten[Ovalität (']0,1'])],MATCH(Tabelle1014[[#This Row],[Rank]],Stammdaten[Rank Verteilung Ovalität],0))</f>
        <v>#N/A</v>
      </c>
      <c r="AB1877" t="e">
        <f>VLOOKUP(Tabelle1014[[#This Row],[Rank]],Stammdaten[[Rank Verteilung Ovalität]:[Verteilung Ovalität]],2,FALSE)</f>
        <v>#N/A</v>
      </c>
    </row>
    <row r="1878" spans="5:28" x14ac:dyDescent="0.35">
      <c r="E1878">
        <v>1869</v>
      </c>
      <c r="F1878" t="e">
        <f>INDEX(Stammdaten[D Mitte mit Rinde (mm)],MATCH(Tabelle8[[#This Row],[Rank]],Stammdaten[Rank Verteilung D Mitte mit Rinde],0))</f>
        <v>#N/A</v>
      </c>
      <c r="G1878" t="e">
        <f>VLOOKUP(Tabelle8[[#This Row],[Rank]],Stammdaten[[Rank Verteilung D Mitte mit Rinde]:[Verteilung D Mitte mit Rinde]],2,FALSE)</f>
        <v>#N/A</v>
      </c>
      <c r="L1878">
        <v>1869</v>
      </c>
      <c r="M1878" t="e">
        <f>INDEX(Stammdaten[Abholzigkeit (mm/lfm)],MATCH(Tabelle9[[#This Row],[Rank]],Stammdaten[Rank Verteilung Abholzigkeit],0))</f>
        <v>#N/A</v>
      </c>
      <c r="N1878" t="e">
        <f>VLOOKUP(Tabelle9[[#This Row],[Rank]],Stammdaten[[Rank Verteilung Abholzigkeit]:[Verteilung Abholzigkeit]],2,FALSE)</f>
        <v>#N/A</v>
      </c>
      <c r="S1878">
        <v>1869</v>
      </c>
      <c r="T1878" t="e">
        <f>INDEX(Stammdaten[Krümmung (mm/lfm)],MATCH(Tabelle10[[#This Row],[Rank]],Stammdaten[Rank Verteilung Krümmung],0))</f>
        <v>#N/A</v>
      </c>
      <c r="U1878" t="e">
        <f>VLOOKUP(Tabelle10[[#This Row],[Rank]],Stammdaten[[Rank Verteilung Krümmung]:[Verteilung Krümmung]],2,FALSE)</f>
        <v>#N/A</v>
      </c>
      <c r="Z1878">
        <v>1869</v>
      </c>
      <c r="AA1878" t="e">
        <f>INDEX(Stammdaten[Ovalität (']0,1'])],MATCH(Tabelle1014[[#This Row],[Rank]],Stammdaten[Rank Verteilung Ovalität],0))</f>
        <v>#N/A</v>
      </c>
      <c r="AB1878" t="e">
        <f>VLOOKUP(Tabelle1014[[#This Row],[Rank]],Stammdaten[[Rank Verteilung Ovalität]:[Verteilung Ovalität]],2,FALSE)</f>
        <v>#N/A</v>
      </c>
    </row>
    <row r="1879" spans="5:28" x14ac:dyDescent="0.35">
      <c r="E1879">
        <v>1870</v>
      </c>
      <c r="F1879" t="e">
        <f>INDEX(Stammdaten[D Mitte mit Rinde (mm)],MATCH(Tabelle8[[#This Row],[Rank]],Stammdaten[Rank Verteilung D Mitte mit Rinde],0))</f>
        <v>#N/A</v>
      </c>
      <c r="G1879" t="e">
        <f>VLOOKUP(Tabelle8[[#This Row],[Rank]],Stammdaten[[Rank Verteilung D Mitte mit Rinde]:[Verteilung D Mitte mit Rinde]],2,FALSE)</f>
        <v>#N/A</v>
      </c>
      <c r="L1879">
        <v>1870</v>
      </c>
      <c r="M1879" t="e">
        <f>INDEX(Stammdaten[Abholzigkeit (mm/lfm)],MATCH(Tabelle9[[#This Row],[Rank]],Stammdaten[Rank Verteilung Abholzigkeit],0))</f>
        <v>#N/A</v>
      </c>
      <c r="N1879" t="e">
        <f>VLOOKUP(Tabelle9[[#This Row],[Rank]],Stammdaten[[Rank Verteilung Abholzigkeit]:[Verteilung Abholzigkeit]],2,FALSE)</f>
        <v>#N/A</v>
      </c>
      <c r="S1879">
        <v>1870</v>
      </c>
      <c r="T1879" t="e">
        <f>INDEX(Stammdaten[Krümmung (mm/lfm)],MATCH(Tabelle10[[#This Row],[Rank]],Stammdaten[Rank Verteilung Krümmung],0))</f>
        <v>#N/A</v>
      </c>
      <c r="U1879" t="e">
        <f>VLOOKUP(Tabelle10[[#This Row],[Rank]],Stammdaten[[Rank Verteilung Krümmung]:[Verteilung Krümmung]],2,FALSE)</f>
        <v>#N/A</v>
      </c>
      <c r="Z1879">
        <v>1870</v>
      </c>
      <c r="AA1879" t="e">
        <f>INDEX(Stammdaten[Ovalität (']0,1'])],MATCH(Tabelle1014[[#This Row],[Rank]],Stammdaten[Rank Verteilung Ovalität],0))</f>
        <v>#N/A</v>
      </c>
      <c r="AB1879" t="e">
        <f>VLOOKUP(Tabelle1014[[#This Row],[Rank]],Stammdaten[[Rank Verteilung Ovalität]:[Verteilung Ovalität]],2,FALSE)</f>
        <v>#N/A</v>
      </c>
    </row>
    <row r="1880" spans="5:28" x14ac:dyDescent="0.35">
      <c r="E1880">
        <v>1871</v>
      </c>
      <c r="F1880" t="e">
        <f>INDEX(Stammdaten[D Mitte mit Rinde (mm)],MATCH(Tabelle8[[#This Row],[Rank]],Stammdaten[Rank Verteilung D Mitte mit Rinde],0))</f>
        <v>#N/A</v>
      </c>
      <c r="G1880" t="e">
        <f>VLOOKUP(Tabelle8[[#This Row],[Rank]],Stammdaten[[Rank Verteilung D Mitte mit Rinde]:[Verteilung D Mitte mit Rinde]],2,FALSE)</f>
        <v>#N/A</v>
      </c>
      <c r="L1880">
        <v>1871</v>
      </c>
      <c r="M1880" t="e">
        <f>INDEX(Stammdaten[Abholzigkeit (mm/lfm)],MATCH(Tabelle9[[#This Row],[Rank]],Stammdaten[Rank Verteilung Abholzigkeit],0))</f>
        <v>#N/A</v>
      </c>
      <c r="N1880" t="e">
        <f>VLOOKUP(Tabelle9[[#This Row],[Rank]],Stammdaten[[Rank Verteilung Abholzigkeit]:[Verteilung Abholzigkeit]],2,FALSE)</f>
        <v>#N/A</v>
      </c>
      <c r="S1880">
        <v>1871</v>
      </c>
      <c r="T1880" t="e">
        <f>INDEX(Stammdaten[Krümmung (mm/lfm)],MATCH(Tabelle10[[#This Row],[Rank]],Stammdaten[Rank Verteilung Krümmung],0))</f>
        <v>#N/A</v>
      </c>
      <c r="U1880" t="e">
        <f>VLOOKUP(Tabelle10[[#This Row],[Rank]],Stammdaten[[Rank Verteilung Krümmung]:[Verteilung Krümmung]],2,FALSE)</f>
        <v>#N/A</v>
      </c>
      <c r="Z1880">
        <v>1871</v>
      </c>
      <c r="AA1880" t="e">
        <f>INDEX(Stammdaten[Ovalität (']0,1'])],MATCH(Tabelle1014[[#This Row],[Rank]],Stammdaten[Rank Verteilung Ovalität],0))</f>
        <v>#N/A</v>
      </c>
      <c r="AB1880" t="e">
        <f>VLOOKUP(Tabelle1014[[#This Row],[Rank]],Stammdaten[[Rank Verteilung Ovalität]:[Verteilung Ovalität]],2,FALSE)</f>
        <v>#N/A</v>
      </c>
    </row>
    <row r="1881" spans="5:28" x14ac:dyDescent="0.35">
      <c r="E1881">
        <v>1872</v>
      </c>
      <c r="F1881" t="e">
        <f>INDEX(Stammdaten[D Mitte mit Rinde (mm)],MATCH(Tabelle8[[#This Row],[Rank]],Stammdaten[Rank Verteilung D Mitte mit Rinde],0))</f>
        <v>#N/A</v>
      </c>
      <c r="G1881" t="e">
        <f>VLOOKUP(Tabelle8[[#This Row],[Rank]],Stammdaten[[Rank Verteilung D Mitte mit Rinde]:[Verteilung D Mitte mit Rinde]],2,FALSE)</f>
        <v>#N/A</v>
      </c>
      <c r="L1881">
        <v>1872</v>
      </c>
      <c r="M1881" t="e">
        <f>INDEX(Stammdaten[Abholzigkeit (mm/lfm)],MATCH(Tabelle9[[#This Row],[Rank]],Stammdaten[Rank Verteilung Abholzigkeit],0))</f>
        <v>#N/A</v>
      </c>
      <c r="N1881" t="e">
        <f>VLOOKUP(Tabelle9[[#This Row],[Rank]],Stammdaten[[Rank Verteilung Abholzigkeit]:[Verteilung Abholzigkeit]],2,FALSE)</f>
        <v>#N/A</v>
      </c>
      <c r="S1881">
        <v>1872</v>
      </c>
      <c r="T1881" t="e">
        <f>INDEX(Stammdaten[Krümmung (mm/lfm)],MATCH(Tabelle10[[#This Row],[Rank]],Stammdaten[Rank Verteilung Krümmung],0))</f>
        <v>#N/A</v>
      </c>
      <c r="U1881" t="e">
        <f>VLOOKUP(Tabelle10[[#This Row],[Rank]],Stammdaten[[Rank Verteilung Krümmung]:[Verteilung Krümmung]],2,FALSE)</f>
        <v>#N/A</v>
      </c>
      <c r="Z1881">
        <v>1872</v>
      </c>
      <c r="AA1881" t="e">
        <f>INDEX(Stammdaten[Ovalität (']0,1'])],MATCH(Tabelle1014[[#This Row],[Rank]],Stammdaten[Rank Verteilung Ovalität],0))</f>
        <v>#N/A</v>
      </c>
      <c r="AB1881" t="e">
        <f>VLOOKUP(Tabelle1014[[#This Row],[Rank]],Stammdaten[[Rank Verteilung Ovalität]:[Verteilung Ovalität]],2,FALSE)</f>
        <v>#N/A</v>
      </c>
    </row>
    <row r="1882" spans="5:28" x14ac:dyDescent="0.35">
      <c r="E1882">
        <v>1873</v>
      </c>
      <c r="F1882" t="e">
        <f>INDEX(Stammdaten[D Mitte mit Rinde (mm)],MATCH(Tabelle8[[#This Row],[Rank]],Stammdaten[Rank Verteilung D Mitte mit Rinde],0))</f>
        <v>#N/A</v>
      </c>
      <c r="G1882" t="e">
        <f>VLOOKUP(Tabelle8[[#This Row],[Rank]],Stammdaten[[Rank Verteilung D Mitte mit Rinde]:[Verteilung D Mitte mit Rinde]],2,FALSE)</f>
        <v>#N/A</v>
      </c>
      <c r="L1882">
        <v>1873</v>
      </c>
      <c r="M1882" t="e">
        <f>INDEX(Stammdaten[Abholzigkeit (mm/lfm)],MATCH(Tabelle9[[#This Row],[Rank]],Stammdaten[Rank Verteilung Abholzigkeit],0))</f>
        <v>#N/A</v>
      </c>
      <c r="N1882" t="e">
        <f>VLOOKUP(Tabelle9[[#This Row],[Rank]],Stammdaten[[Rank Verteilung Abholzigkeit]:[Verteilung Abholzigkeit]],2,FALSE)</f>
        <v>#N/A</v>
      </c>
      <c r="S1882">
        <v>1873</v>
      </c>
      <c r="T1882" t="e">
        <f>INDEX(Stammdaten[Krümmung (mm/lfm)],MATCH(Tabelle10[[#This Row],[Rank]],Stammdaten[Rank Verteilung Krümmung],0))</f>
        <v>#N/A</v>
      </c>
      <c r="U1882" t="e">
        <f>VLOOKUP(Tabelle10[[#This Row],[Rank]],Stammdaten[[Rank Verteilung Krümmung]:[Verteilung Krümmung]],2,FALSE)</f>
        <v>#N/A</v>
      </c>
      <c r="Z1882">
        <v>1873</v>
      </c>
      <c r="AA1882" t="e">
        <f>INDEX(Stammdaten[Ovalität (']0,1'])],MATCH(Tabelle1014[[#This Row],[Rank]],Stammdaten[Rank Verteilung Ovalität],0))</f>
        <v>#N/A</v>
      </c>
      <c r="AB1882" t="e">
        <f>VLOOKUP(Tabelle1014[[#This Row],[Rank]],Stammdaten[[Rank Verteilung Ovalität]:[Verteilung Ovalität]],2,FALSE)</f>
        <v>#N/A</v>
      </c>
    </row>
    <row r="1883" spans="5:28" x14ac:dyDescent="0.35">
      <c r="E1883">
        <v>1874</v>
      </c>
      <c r="F1883" t="e">
        <f>INDEX(Stammdaten[D Mitte mit Rinde (mm)],MATCH(Tabelle8[[#This Row],[Rank]],Stammdaten[Rank Verteilung D Mitte mit Rinde],0))</f>
        <v>#N/A</v>
      </c>
      <c r="G1883" t="e">
        <f>VLOOKUP(Tabelle8[[#This Row],[Rank]],Stammdaten[[Rank Verteilung D Mitte mit Rinde]:[Verteilung D Mitte mit Rinde]],2,FALSE)</f>
        <v>#N/A</v>
      </c>
      <c r="L1883">
        <v>1874</v>
      </c>
      <c r="M1883" t="e">
        <f>INDEX(Stammdaten[Abholzigkeit (mm/lfm)],MATCH(Tabelle9[[#This Row],[Rank]],Stammdaten[Rank Verteilung Abholzigkeit],0))</f>
        <v>#N/A</v>
      </c>
      <c r="N1883" t="e">
        <f>VLOOKUP(Tabelle9[[#This Row],[Rank]],Stammdaten[[Rank Verteilung Abholzigkeit]:[Verteilung Abholzigkeit]],2,FALSE)</f>
        <v>#N/A</v>
      </c>
      <c r="S1883">
        <v>1874</v>
      </c>
      <c r="T1883" t="e">
        <f>INDEX(Stammdaten[Krümmung (mm/lfm)],MATCH(Tabelle10[[#This Row],[Rank]],Stammdaten[Rank Verteilung Krümmung],0))</f>
        <v>#N/A</v>
      </c>
      <c r="U1883" t="e">
        <f>VLOOKUP(Tabelle10[[#This Row],[Rank]],Stammdaten[[Rank Verteilung Krümmung]:[Verteilung Krümmung]],2,FALSE)</f>
        <v>#N/A</v>
      </c>
      <c r="Z1883">
        <v>1874</v>
      </c>
      <c r="AA1883" t="e">
        <f>INDEX(Stammdaten[Ovalität (']0,1'])],MATCH(Tabelle1014[[#This Row],[Rank]],Stammdaten[Rank Verteilung Ovalität],0))</f>
        <v>#N/A</v>
      </c>
      <c r="AB1883" t="e">
        <f>VLOOKUP(Tabelle1014[[#This Row],[Rank]],Stammdaten[[Rank Verteilung Ovalität]:[Verteilung Ovalität]],2,FALSE)</f>
        <v>#N/A</v>
      </c>
    </row>
    <row r="1884" spans="5:28" x14ac:dyDescent="0.35">
      <c r="E1884">
        <v>1875</v>
      </c>
      <c r="F1884" t="e">
        <f>INDEX(Stammdaten[D Mitte mit Rinde (mm)],MATCH(Tabelle8[[#This Row],[Rank]],Stammdaten[Rank Verteilung D Mitte mit Rinde],0))</f>
        <v>#N/A</v>
      </c>
      <c r="G1884" t="e">
        <f>VLOOKUP(Tabelle8[[#This Row],[Rank]],Stammdaten[[Rank Verteilung D Mitte mit Rinde]:[Verteilung D Mitte mit Rinde]],2,FALSE)</f>
        <v>#N/A</v>
      </c>
      <c r="L1884">
        <v>1875</v>
      </c>
      <c r="M1884" t="e">
        <f>INDEX(Stammdaten[Abholzigkeit (mm/lfm)],MATCH(Tabelle9[[#This Row],[Rank]],Stammdaten[Rank Verteilung Abholzigkeit],0))</f>
        <v>#N/A</v>
      </c>
      <c r="N1884" t="e">
        <f>VLOOKUP(Tabelle9[[#This Row],[Rank]],Stammdaten[[Rank Verteilung Abholzigkeit]:[Verteilung Abholzigkeit]],2,FALSE)</f>
        <v>#N/A</v>
      </c>
      <c r="S1884">
        <v>1875</v>
      </c>
      <c r="T1884" t="e">
        <f>INDEX(Stammdaten[Krümmung (mm/lfm)],MATCH(Tabelle10[[#This Row],[Rank]],Stammdaten[Rank Verteilung Krümmung],0))</f>
        <v>#N/A</v>
      </c>
      <c r="U1884" t="e">
        <f>VLOOKUP(Tabelle10[[#This Row],[Rank]],Stammdaten[[Rank Verteilung Krümmung]:[Verteilung Krümmung]],2,FALSE)</f>
        <v>#N/A</v>
      </c>
      <c r="Z1884">
        <v>1875</v>
      </c>
      <c r="AA1884" t="e">
        <f>INDEX(Stammdaten[Ovalität (']0,1'])],MATCH(Tabelle1014[[#This Row],[Rank]],Stammdaten[Rank Verteilung Ovalität],0))</f>
        <v>#N/A</v>
      </c>
      <c r="AB1884" t="e">
        <f>VLOOKUP(Tabelle1014[[#This Row],[Rank]],Stammdaten[[Rank Verteilung Ovalität]:[Verteilung Ovalität]],2,FALSE)</f>
        <v>#N/A</v>
      </c>
    </row>
    <row r="1885" spans="5:28" x14ac:dyDescent="0.35">
      <c r="E1885">
        <v>1876</v>
      </c>
      <c r="F1885" t="e">
        <f>INDEX(Stammdaten[D Mitte mit Rinde (mm)],MATCH(Tabelle8[[#This Row],[Rank]],Stammdaten[Rank Verteilung D Mitte mit Rinde],0))</f>
        <v>#N/A</v>
      </c>
      <c r="G1885" t="e">
        <f>VLOOKUP(Tabelle8[[#This Row],[Rank]],Stammdaten[[Rank Verteilung D Mitte mit Rinde]:[Verteilung D Mitte mit Rinde]],2,FALSE)</f>
        <v>#N/A</v>
      </c>
      <c r="L1885">
        <v>1876</v>
      </c>
      <c r="M1885" t="e">
        <f>INDEX(Stammdaten[Abholzigkeit (mm/lfm)],MATCH(Tabelle9[[#This Row],[Rank]],Stammdaten[Rank Verteilung Abholzigkeit],0))</f>
        <v>#N/A</v>
      </c>
      <c r="N1885" t="e">
        <f>VLOOKUP(Tabelle9[[#This Row],[Rank]],Stammdaten[[Rank Verteilung Abholzigkeit]:[Verteilung Abholzigkeit]],2,FALSE)</f>
        <v>#N/A</v>
      </c>
      <c r="S1885">
        <v>1876</v>
      </c>
      <c r="T1885" t="e">
        <f>INDEX(Stammdaten[Krümmung (mm/lfm)],MATCH(Tabelle10[[#This Row],[Rank]],Stammdaten[Rank Verteilung Krümmung],0))</f>
        <v>#N/A</v>
      </c>
      <c r="U1885" t="e">
        <f>VLOOKUP(Tabelle10[[#This Row],[Rank]],Stammdaten[[Rank Verteilung Krümmung]:[Verteilung Krümmung]],2,FALSE)</f>
        <v>#N/A</v>
      </c>
      <c r="Z1885">
        <v>1876</v>
      </c>
      <c r="AA1885" t="e">
        <f>INDEX(Stammdaten[Ovalität (']0,1'])],MATCH(Tabelle1014[[#This Row],[Rank]],Stammdaten[Rank Verteilung Ovalität],0))</f>
        <v>#N/A</v>
      </c>
      <c r="AB1885" t="e">
        <f>VLOOKUP(Tabelle1014[[#This Row],[Rank]],Stammdaten[[Rank Verteilung Ovalität]:[Verteilung Ovalität]],2,FALSE)</f>
        <v>#N/A</v>
      </c>
    </row>
    <row r="1886" spans="5:28" x14ac:dyDescent="0.35">
      <c r="E1886">
        <v>1877</v>
      </c>
      <c r="F1886" t="e">
        <f>INDEX(Stammdaten[D Mitte mit Rinde (mm)],MATCH(Tabelle8[[#This Row],[Rank]],Stammdaten[Rank Verteilung D Mitte mit Rinde],0))</f>
        <v>#N/A</v>
      </c>
      <c r="G1886" t="e">
        <f>VLOOKUP(Tabelle8[[#This Row],[Rank]],Stammdaten[[Rank Verteilung D Mitte mit Rinde]:[Verteilung D Mitte mit Rinde]],2,FALSE)</f>
        <v>#N/A</v>
      </c>
      <c r="L1886">
        <v>1877</v>
      </c>
      <c r="M1886" t="e">
        <f>INDEX(Stammdaten[Abholzigkeit (mm/lfm)],MATCH(Tabelle9[[#This Row],[Rank]],Stammdaten[Rank Verteilung Abholzigkeit],0))</f>
        <v>#N/A</v>
      </c>
      <c r="N1886" t="e">
        <f>VLOOKUP(Tabelle9[[#This Row],[Rank]],Stammdaten[[Rank Verteilung Abholzigkeit]:[Verteilung Abholzigkeit]],2,FALSE)</f>
        <v>#N/A</v>
      </c>
      <c r="S1886">
        <v>1877</v>
      </c>
      <c r="T1886" t="e">
        <f>INDEX(Stammdaten[Krümmung (mm/lfm)],MATCH(Tabelle10[[#This Row],[Rank]],Stammdaten[Rank Verteilung Krümmung],0))</f>
        <v>#N/A</v>
      </c>
      <c r="U1886" t="e">
        <f>VLOOKUP(Tabelle10[[#This Row],[Rank]],Stammdaten[[Rank Verteilung Krümmung]:[Verteilung Krümmung]],2,FALSE)</f>
        <v>#N/A</v>
      </c>
      <c r="Z1886">
        <v>1877</v>
      </c>
      <c r="AA1886" t="e">
        <f>INDEX(Stammdaten[Ovalität (']0,1'])],MATCH(Tabelle1014[[#This Row],[Rank]],Stammdaten[Rank Verteilung Ovalität],0))</f>
        <v>#N/A</v>
      </c>
      <c r="AB1886" t="e">
        <f>VLOOKUP(Tabelle1014[[#This Row],[Rank]],Stammdaten[[Rank Verteilung Ovalität]:[Verteilung Ovalität]],2,FALSE)</f>
        <v>#N/A</v>
      </c>
    </row>
    <row r="1887" spans="5:28" x14ac:dyDescent="0.35">
      <c r="E1887">
        <v>1878</v>
      </c>
      <c r="F1887" t="e">
        <f>INDEX(Stammdaten[D Mitte mit Rinde (mm)],MATCH(Tabelle8[[#This Row],[Rank]],Stammdaten[Rank Verteilung D Mitte mit Rinde],0))</f>
        <v>#N/A</v>
      </c>
      <c r="G1887" t="e">
        <f>VLOOKUP(Tabelle8[[#This Row],[Rank]],Stammdaten[[Rank Verteilung D Mitte mit Rinde]:[Verteilung D Mitte mit Rinde]],2,FALSE)</f>
        <v>#N/A</v>
      </c>
      <c r="L1887">
        <v>1878</v>
      </c>
      <c r="M1887" t="e">
        <f>INDEX(Stammdaten[Abholzigkeit (mm/lfm)],MATCH(Tabelle9[[#This Row],[Rank]],Stammdaten[Rank Verteilung Abholzigkeit],0))</f>
        <v>#N/A</v>
      </c>
      <c r="N1887" t="e">
        <f>VLOOKUP(Tabelle9[[#This Row],[Rank]],Stammdaten[[Rank Verteilung Abholzigkeit]:[Verteilung Abholzigkeit]],2,FALSE)</f>
        <v>#N/A</v>
      </c>
      <c r="S1887">
        <v>1878</v>
      </c>
      <c r="T1887" t="e">
        <f>INDEX(Stammdaten[Krümmung (mm/lfm)],MATCH(Tabelle10[[#This Row],[Rank]],Stammdaten[Rank Verteilung Krümmung],0))</f>
        <v>#N/A</v>
      </c>
      <c r="U1887" t="e">
        <f>VLOOKUP(Tabelle10[[#This Row],[Rank]],Stammdaten[[Rank Verteilung Krümmung]:[Verteilung Krümmung]],2,FALSE)</f>
        <v>#N/A</v>
      </c>
      <c r="Z1887">
        <v>1878</v>
      </c>
      <c r="AA1887" t="e">
        <f>INDEX(Stammdaten[Ovalität (']0,1'])],MATCH(Tabelle1014[[#This Row],[Rank]],Stammdaten[Rank Verteilung Ovalität],0))</f>
        <v>#N/A</v>
      </c>
      <c r="AB1887" t="e">
        <f>VLOOKUP(Tabelle1014[[#This Row],[Rank]],Stammdaten[[Rank Verteilung Ovalität]:[Verteilung Ovalität]],2,FALSE)</f>
        <v>#N/A</v>
      </c>
    </row>
    <row r="1888" spans="5:28" x14ac:dyDescent="0.35">
      <c r="E1888">
        <v>1879</v>
      </c>
      <c r="F1888" t="e">
        <f>INDEX(Stammdaten[D Mitte mit Rinde (mm)],MATCH(Tabelle8[[#This Row],[Rank]],Stammdaten[Rank Verteilung D Mitte mit Rinde],0))</f>
        <v>#N/A</v>
      </c>
      <c r="G1888" t="e">
        <f>VLOOKUP(Tabelle8[[#This Row],[Rank]],Stammdaten[[Rank Verteilung D Mitte mit Rinde]:[Verteilung D Mitte mit Rinde]],2,FALSE)</f>
        <v>#N/A</v>
      </c>
      <c r="L1888">
        <v>1879</v>
      </c>
      <c r="M1888" t="e">
        <f>INDEX(Stammdaten[Abholzigkeit (mm/lfm)],MATCH(Tabelle9[[#This Row],[Rank]],Stammdaten[Rank Verteilung Abholzigkeit],0))</f>
        <v>#N/A</v>
      </c>
      <c r="N1888" t="e">
        <f>VLOOKUP(Tabelle9[[#This Row],[Rank]],Stammdaten[[Rank Verteilung Abholzigkeit]:[Verteilung Abholzigkeit]],2,FALSE)</f>
        <v>#N/A</v>
      </c>
      <c r="S1888">
        <v>1879</v>
      </c>
      <c r="T1888" t="e">
        <f>INDEX(Stammdaten[Krümmung (mm/lfm)],MATCH(Tabelle10[[#This Row],[Rank]],Stammdaten[Rank Verteilung Krümmung],0))</f>
        <v>#N/A</v>
      </c>
      <c r="U1888" t="e">
        <f>VLOOKUP(Tabelle10[[#This Row],[Rank]],Stammdaten[[Rank Verteilung Krümmung]:[Verteilung Krümmung]],2,FALSE)</f>
        <v>#N/A</v>
      </c>
      <c r="Z1888">
        <v>1879</v>
      </c>
      <c r="AA1888" t="e">
        <f>INDEX(Stammdaten[Ovalität (']0,1'])],MATCH(Tabelle1014[[#This Row],[Rank]],Stammdaten[Rank Verteilung Ovalität],0))</f>
        <v>#N/A</v>
      </c>
      <c r="AB1888" t="e">
        <f>VLOOKUP(Tabelle1014[[#This Row],[Rank]],Stammdaten[[Rank Verteilung Ovalität]:[Verteilung Ovalität]],2,FALSE)</f>
        <v>#N/A</v>
      </c>
    </row>
    <row r="1889" spans="5:28" x14ac:dyDescent="0.35">
      <c r="E1889">
        <v>1880</v>
      </c>
      <c r="F1889" t="e">
        <f>INDEX(Stammdaten[D Mitte mit Rinde (mm)],MATCH(Tabelle8[[#This Row],[Rank]],Stammdaten[Rank Verteilung D Mitte mit Rinde],0))</f>
        <v>#N/A</v>
      </c>
      <c r="G1889" t="e">
        <f>VLOOKUP(Tabelle8[[#This Row],[Rank]],Stammdaten[[Rank Verteilung D Mitte mit Rinde]:[Verteilung D Mitte mit Rinde]],2,FALSE)</f>
        <v>#N/A</v>
      </c>
      <c r="L1889">
        <v>1880</v>
      </c>
      <c r="M1889" t="e">
        <f>INDEX(Stammdaten[Abholzigkeit (mm/lfm)],MATCH(Tabelle9[[#This Row],[Rank]],Stammdaten[Rank Verteilung Abholzigkeit],0))</f>
        <v>#N/A</v>
      </c>
      <c r="N1889" t="e">
        <f>VLOOKUP(Tabelle9[[#This Row],[Rank]],Stammdaten[[Rank Verteilung Abholzigkeit]:[Verteilung Abholzigkeit]],2,FALSE)</f>
        <v>#N/A</v>
      </c>
      <c r="S1889">
        <v>1880</v>
      </c>
      <c r="T1889" t="e">
        <f>INDEX(Stammdaten[Krümmung (mm/lfm)],MATCH(Tabelle10[[#This Row],[Rank]],Stammdaten[Rank Verteilung Krümmung],0))</f>
        <v>#N/A</v>
      </c>
      <c r="U1889" t="e">
        <f>VLOOKUP(Tabelle10[[#This Row],[Rank]],Stammdaten[[Rank Verteilung Krümmung]:[Verteilung Krümmung]],2,FALSE)</f>
        <v>#N/A</v>
      </c>
      <c r="Z1889">
        <v>1880</v>
      </c>
      <c r="AA1889" t="e">
        <f>INDEX(Stammdaten[Ovalität (']0,1'])],MATCH(Tabelle1014[[#This Row],[Rank]],Stammdaten[Rank Verteilung Ovalität],0))</f>
        <v>#N/A</v>
      </c>
      <c r="AB1889" t="e">
        <f>VLOOKUP(Tabelle1014[[#This Row],[Rank]],Stammdaten[[Rank Verteilung Ovalität]:[Verteilung Ovalität]],2,FALSE)</f>
        <v>#N/A</v>
      </c>
    </row>
    <row r="1890" spans="5:28" x14ac:dyDescent="0.35">
      <c r="E1890">
        <v>1881</v>
      </c>
      <c r="F1890" t="e">
        <f>INDEX(Stammdaten[D Mitte mit Rinde (mm)],MATCH(Tabelle8[[#This Row],[Rank]],Stammdaten[Rank Verteilung D Mitte mit Rinde],0))</f>
        <v>#N/A</v>
      </c>
      <c r="G1890" t="e">
        <f>VLOOKUP(Tabelle8[[#This Row],[Rank]],Stammdaten[[Rank Verteilung D Mitte mit Rinde]:[Verteilung D Mitte mit Rinde]],2,FALSE)</f>
        <v>#N/A</v>
      </c>
      <c r="L1890">
        <v>1881</v>
      </c>
      <c r="M1890" t="e">
        <f>INDEX(Stammdaten[Abholzigkeit (mm/lfm)],MATCH(Tabelle9[[#This Row],[Rank]],Stammdaten[Rank Verteilung Abholzigkeit],0))</f>
        <v>#N/A</v>
      </c>
      <c r="N1890" t="e">
        <f>VLOOKUP(Tabelle9[[#This Row],[Rank]],Stammdaten[[Rank Verteilung Abholzigkeit]:[Verteilung Abholzigkeit]],2,FALSE)</f>
        <v>#N/A</v>
      </c>
      <c r="S1890">
        <v>1881</v>
      </c>
      <c r="T1890" t="e">
        <f>INDEX(Stammdaten[Krümmung (mm/lfm)],MATCH(Tabelle10[[#This Row],[Rank]],Stammdaten[Rank Verteilung Krümmung],0))</f>
        <v>#N/A</v>
      </c>
      <c r="U1890" t="e">
        <f>VLOOKUP(Tabelle10[[#This Row],[Rank]],Stammdaten[[Rank Verteilung Krümmung]:[Verteilung Krümmung]],2,FALSE)</f>
        <v>#N/A</v>
      </c>
      <c r="Z1890">
        <v>1881</v>
      </c>
      <c r="AA1890" t="e">
        <f>INDEX(Stammdaten[Ovalität (']0,1'])],MATCH(Tabelle1014[[#This Row],[Rank]],Stammdaten[Rank Verteilung Ovalität],0))</f>
        <v>#N/A</v>
      </c>
      <c r="AB1890" t="e">
        <f>VLOOKUP(Tabelle1014[[#This Row],[Rank]],Stammdaten[[Rank Verteilung Ovalität]:[Verteilung Ovalität]],2,FALSE)</f>
        <v>#N/A</v>
      </c>
    </row>
    <row r="1891" spans="5:28" x14ac:dyDescent="0.35">
      <c r="E1891">
        <v>1882</v>
      </c>
      <c r="F1891" t="e">
        <f>INDEX(Stammdaten[D Mitte mit Rinde (mm)],MATCH(Tabelle8[[#This Row],[Rank]],Stammdaten[Rank Verteilung D Mitte mit Rinde],0))</f>
        <v>#N/A</v>
      </c>
      <c r="G1891" t="e">
        <f>VLOOKUP(Tabelle8[[#This Row],[Rank]],Stammdaten[[Rank Verteilung D Mitte mit Rinde]:[Verteilung D Mitte mit Rinde]],2,FALSE)</f>
        <v>#N/A</v>
      </c>
      <c r="L1891">
        <v>1882</v>
      </c>
      <c r="M1891" t="e">
        <f>INDEX(Stammdaten[Abholzigkeit (mm/lfm)],MATCH(Tabelle9[[#This Row],[Rank]],Stammdaten[Rank Verteilung Abholzigkeit],0))</f>
        <v>#N/A</v>
      </c>
      <c r="N1891" t="e">
        <f>VLOOKUP(Tabelle9[[#This Row],[Rank]],Stammdaten[[Rank Verteilung Abholzigkeit]:[Verteilung Abholzigkeit]],2,FALSE)</f>
        <v>#N/A</v>
      </c>
      <c r="S1891">
        <v>1882</v>
      </c>
      <c r="T1891" t="e">
        <f>INDEX(Stammdaten[Krümmung (mm/lfm)],MATCH(Tabelle10[[#This Row],[Rank]],Stammdaten[Rank Verteilung Krümmung],0))</f>
        <v>#N/A</v>
      </c>
      <c r="U1891" t="e">
        <f>VLOOKUP(Tabelle10[[#This Row],[Rank]],Stammdaten[[Rank Verteilung Krümmung]:[Verteilung Krümmung]],2,FALSE)</f>
        <v>#N/A</v>
      </c>
      <c r="Z1891">
        <v>1882</v>
      </c>
      <c r="AA1891" t="e">
        <f>INDEX(Stammdaten[Ovalität (']0,1'])],MATCH(Tabelle1014[[#This Row],[Rank]],Stammdaten[Rank Verteilung Ovalität],0))</f>
        <v>#N/A</v>
      </c>
      <c r="AB1891" t="e">
        <f>VLOOKUP(Tabelle1014[[#This Row],[Rank]],Stammdaten[[Rank Verteilung Ovalität]:[Verteilung Ovalität]],2,FALSE)</f>
        <v>#N/A</v>
      </c>
    </row>
    <row r="1892" spans="5:28" x14ac:dyDescent="0.35">
      <c r="E1892">
        <v>1883</v>
      </c>
      <c r="F1892" t="e">
        <f>INDEX(Stammdaten[D Mitte mit Rinde (mm)],MATCH(Tabelle8[[#This Row],[Rank]],Stammdaten[Rank Verteilung D Mitte mit Rinde],0))</f>
        <v>#N/A</v>
      </c>
      <c r="G1892" t="e">
        <f>VLOOKUP(Tabelle8[[#This Row],[Rank]],Stammdaten[[Rank Verteilung D Mitte mit Rinde]:[Verteilung D Mitte mit Rinde]],2,FALSE)</f>
        <v>#N/A</v>
      </c>
      <c r="L1892">
        <v>1883</v>
      </c>
      <c r="M1892" t="e">
        <f>INDEX(Stammdaten[Abholzigkeit (mm/lfm)],MATCH(Tabelle9[[#This Row],[Rank]],Stammdaten[Rank Verteilung Abholzigkeit],0))</f>
        <v>#N/A</v>
      </c>
      <c r="N1892" t="e">
        <f>VLOOKUP(Tabelle9[[#This Row],[Rank]],Stammdaten[[Rank Verteilung Abholzigkeit]:[Verteilung Abholzigkeit]],2,FALSE)</f>
        <v>#N/A</v>
      </c>
      <c r="S1892">
        <v>1883</v>
      </c>
      <c r="T1892" t="e">
        <f>INDEX(Stammdaten[Krümmung (mm/lfm)],MATCH(Tabelle10[[#This Row],[Rank]],Stammdaten[Rank Verteilung Krümmung],0))</f>
        <v>#N/A</v>
      </c>
      <c r="U1892" t="e">
        <f>VLOOKUP(Tabelle10[[#This Row],[Rank]],Stammdaten[[Rank Verteilung Krümmung]:[Verteilung Krümmung]],2,FALSE)</f>
        <v>#N/A</v>
      </c>
      <c r="Z1892">
        <v>1883</v>
      </c>
      <c r="AA1892" t="e">
        <f>INDEX(Stammdaten[Ovalität (']0,1'])],MATCH(Tabelle1014[[#This Row],[Rank]],Stammdaten[Rank Verteilung Ovalität],0))</f>
        <v>#N/A</v>
      </c>
      <c r="AB1892" t="e">
        <f>VLOOKUP(Tabelle1014[[#This Row],[Rank]],Stammdaten[[Rank Verteilung Ovalität]:[Verteilung Ovalität]],2,FALSE)</f>
        <v>#N/A</v>
      </c>
    </row>
    <row r="1893" spans="5:28" x14ac:dyDescent="0.35">
      <c r="E1893">
        <v>1884</v>
      </c>
      <c r="F1893" t="e">
        <f>INDEX(Stammdaten[D Mitte mit Rinde (mm)],MATCH(Tabelle8[[#This Row],[Rank]],Stammdaten[Rank Verteilung D Mitte mit Rinde],0))</f>
        <v>#N/A</v>
      </c>
      <c r="G1893" t="e">
        <f>VLOOKUP(Tabelle8[[#This Row],[Rank]],Stammdaten[[Rank Verteilung D Mitte mit Rinde]:[Verteilung D Mitte mit Rinde]],2,FALSE)</f>
        <v>#N/A</v>
      </c>
      <c r="L1893">
        <v>1884</v>
      </c>
      <c r="M1893" t="e">
        <f>INDEX(Stammdaten[Abholzigkeit (mm/lfm)],MATCH(Tabelle9[[#This Row],[Rank]],Stammdaten[Rank Verteilung Abholzigkeit],0))</f>
        <v>#N/A</v>
      </c>
      <c r="N1893" t="e">
        <f>VLOOKUP(Tabelle9[[#This Row],[Rank]],Stammdaten[[Rank Verteilung Abholzigkeit]:[Verteilung Abholzigkeit]],2,FALSE)</f>
        <v>#N/A</v>
      </c>
      <c r="S1893">
        <v>1884</v>
      </c>
      <c r="T1893" t="e">
        <f>INDEX(Stammdaten[Krümmung (mm/lfm)],MATCH(Tabelle10[[#This Row],[Rank]],Stammdaten[Rank Verteilung Krümmung],0))</f>
        <v>#N/A</v>
      </c>
      <c r="U1893" t="e">
        <f>VLOOKUP(Tabelle10[[#This Row],[Rank]],Stammdaten[[Rank Verteilung Krümmung]:[Verteilung Krümmung]],2,FALSE)</f>
        <v>#N/A</v>
      </c>
      <c r="Z1893">
        <v>1884</v>
      </c>
      <c r="AA1893" t="e">
        <f>INDEX(Stammdaten[Ovalität (']0,1'])],MATCH(Tabelle1014[[#This Row],[Rank]],Stammdaten[Rank Verteilung Ovalität],0))</f>
        <v>#N/A</v>
      </c>
      <c r="AB1893" t="e">
        <f>VLOOKUP(Tabelle1014[[#This Row],[Rank]],Stammdaten[[Rank Verteilung Ovalität]:[Verteilung Ovalität]],2,FALSE)</f>
        <v>#N/A</v>
      </c>
    </row>
    <row r="1894" spans="5:28" x14ac:dyDescent="0.35">
      <c r="E1894">
        <v>1885</v>
      </c>
      <c r="F1894" t="e">
        <f>INDEX(Stammdaten[D Mitte mit Rinde (mm)],MATCH(Tabelle8[[#This Row],[Rank]],Stammdaten[Rank Verteilung D Mitte mit Rinde],0))</f>
        <v>#N/A</v>
      </c>
      <c r="G1894" t="e">
        <f>VLOOKUP(Tabelle8[[#This Row],[Rank]],Stammdaten[[Rank Verteilung D Mitte mit Rinde]:[Verteilung D Mitte mit Rinde]],2,FALSE)</f>
        <v>#N/A</v>
      </c>
      <c r="L1894">
        <v>1885</v>
      </c>
      <c r="M1894" t="e">
        <f>INDEX(Stammdaten[Abholzigkeit (mm/lfm)],MATCH(Tabelle9[[#This Row],[Rank]],Stammdaten[Rank Verteilung Abholzigkeit],0))</f>
        <v>#N/A</v>
      </c>
      <c r="N1894" t="e">
        <f>VLOOKUP(Tabelle9[[#This Row],[Rank]],Stammdaten[[Rank Verteilung Abholzigkeit]:[Verteilung Abholzigkeit]],2,FALSE)</f>
        <v>#N/A</v>
      </c>
      <c r="S1894">
        <v>1885</v>
      </c>
      <c r="T1894" t="e">
        <f>INDEX(Stammdaten[Krümmung (mm/lfm)],MATCH(Tabelle10[[#This Row],[Rank]],Stammdaten[Rank Verteilung Krümmung],0))</f>
        <v>#N/A</v>
      </c>
      <c r="U1894" t="e">
        <f>VLOOKUP(Tabelle10[[#This Row],[Rank]],Stammdaten[[Rank Verteilung Krümmung]:[Verteilung Krümmung]],2,FALSE)</f>
        <v>#N/A</v>
      </c>
      <c r="Z1894">
        <v>1885</v>
      </c>
      <c r="AA1894" t="e">
        <f>INDEX(Stammdaten[Ovalität (']0,1'])],MATCH(Tabelle1014[[#This Row],[Rank]],Stammdaten[Rank Verteilung Ovalität],0))</f>
        <v>#N/A</v>
      </c>
      <c r="AB1894" t="e">
        <f>VLOOKUP(Tabelle1014[[#This Row],[Rank]],Stammdaten[[Rank Verteilung Ovalität]:[Verteilung Ovalität]],2,FALSE)</f>
        <v>#N/A</v>
      </c>
    </row>
    <row r="1895" spans="5:28" x14ac:dyDescent="0.35">
      <c r="E1895">
        <v>1886</v>
      </c>
      <c r="F1895" t="e">
        <f>INDEX(Stammdaten[D Mitte mit Rinde (mm)],MATCH(Tabelle8[[#This Row],[Rank]],Stammdaten[Rank Verteilung D Mitte mit Rinde],0))</f>
        <v>#N/A</v>
      </c>
      <c r="G1895" t="e">
        <f>VLOOKUP(Tabelle8[[#This Row],[Rank]],Stammdaten[[Rank Verteilung D Mitte mit Rinde]:[Verteilung D Mitte mit Rinde]],2,FALSE)</f>
        <v>#N/A</v>
      </c>
      <c r="L1895">
        <v>1886</v>
      </c>
      <c r="M1895" t="e">
        <f>INDEX(Stammdaten[Abholzigkeit (mm/lfm)],MATCH(Tabelle9[[#This Row],[Rank]],Stammdaten[Rank Verteilung Abholzigkeit],0))</f>
        <v>#N/A</v>
      </c>
      <c r="N1895" t="e">
        <f>VLOOKUP(Tabelle9[[#This Row],[Rank]],Stammdaten[[Rank Verteilung Abholzigkeit]:[Verteilung Abholzigkeit]],2,FALSE)</f>
        <v>#N/A</v>
      </c>
      <c r="S1895">
        <v>1886</v>
      </c>
      <c r="T1895" t="e">
        <f>INDEX(Stammdaten[Krümmung (mm/lfm)],MATCH(Tabelle10[[#This Row],[Rank]],Stammdaten[Rank Verteilung Krümmung],0))</f>
        <v>#N/A</v>
      </c>
      <c r="U1895" t="e">
        <f>VLOOKUP(Tabelle10[[#This Row],[Rank]],Stammdaten[[Rank Verteilung Krümmung]:[Verteilung Krümmung]],2,FALSE)</f>
        <v>#N/A</v>
      </c>
      <c r="Z1895">
        <v>1886</v>
      </c>
      <c r="AA1895" t="e">
        <f>INDEX(Stammdaten[Ovalität (']0,1'])],MATCH(Tabelle1014[[#This Row],[Rank]],Stammdaten[Rank Verteilung Ovalität],0))</f>
        <v>#N/A</v>
      </c>
      <c r="AB1895" t="e">
        <f>VLOOKUP(Tabelle1014[[#This Row],[Rank]],Stammdaten[[Rank Verteilung Ovalität]:[Verteilung Ovalität]],2,FALSE)</f>
        <v>#N/A</v>
      </c>
    </row>
    <row r="1896" spans="5:28" x14ac:dyDescent="0.35">
      <c r="E1896">
        <v>1887</v>
      </c>
      <c r="F1896" t="e">
        <f>INDEX(Stammdaten[D Mitte mit Rinde (mm)],MATCH(Tabelle8[[#This Row],[Rank]],Stammdaten[Rank Verteilung D Mitte mit Rinde],0))</f>
        <v>#N/A</v>
      </c>
      <c r="G1896" t="e">
        <f>VLOOKUP(Tabelle8[[#This Row],[Rank]],Stammdaten[[Rank Verteilung D Mitte mit Rinde]:[Verteilung D Mitte mit Rinde]],2,FALSE)</f>
        <v>#N/A</v>
      </c>
      <c r="L1896">
        <v>1887</v>
      </c>
      <c r="M1896" t="e">
        <f>INDEX(Stammdaten[Abholzigkeit (mm/lfm)],MATCH(Tabelle9[[#This Row],[Rank]],Stammdaten[Rank Verteilung Abholzigkeit],0))</f>
        <v>#N/A</v>
      </c>
      <c r="N1896" t="e">
        <f>VLOOKUP(Tabelle9[[#This Row],[Rank]],Stammdaten[[Rank Verteilung Abholzigkeit]:[Verteilung Abholzigkeit]],2,FALSE)</f>
        <v>#N/A</v>
      </c>
      <c r="S1896">
        <v>1887</v>
      </c>
      <c r="T1896" t="e">
        <f>INDEX(Stammdaten[Krümmung (mm/lfm)],MATCH(Tabelle10[[#This Row],[Rank]],Stammdaten[Rank Verteilung Krümmung],0))</f>
        <v>#N/A</v>
      </c>
      <c r="U1896" t="e">
        <f>VLOOKUP(Tabelle10[[#This Row],[Rank]],Stammdaten[[Rank Verteilung Krümmung]:[Verteilung Krümmung]],2,FALSE)</f>
        <v>#N/A</v>
      </c>
      <c r="Z1896">
        <v>1887</v>
      </c>
      <c r="AA1896" t="e">
        <f>INDEX(Stammdaten[Ovalität (']0,1'])],MATCH(Tabelle1014[[#This Row],[Rank]],Stammdaten[Rank Verteilung Ovalität],0))</f>
        <v>#N/A</v>
      </c>
      <c r="AB1896" t="e">
        <f>VLOOKUP(Tabelle1014[[#This Row],[Rank]],Stammdaten[[Rank Verteilung Ovalität]:[Verteilung Ovalität]],2,FALSE)</f>
        <v>#N/A</v>
      </c>
    </row>
    <row r="1897" spans="5:28" x14ac:dyDescent="0.35">
      <c r="E1897">
        <v>1888</v>
      </c>
      <c r="F1897" t="e">
        <f>INDEX(Stammdaten[D Mitte mit Rinde (mm)],MATCH(Tabelle8[[#This Row],[Rank]],Stammdaten[Rank Verteilung D Mitte mit Rinde],0))</f>
        <v>#N/A</v>
      </c>
      <c r="G1897" t="e">
        <f>VLOOKUP(Tabelle8[[#This Row],[Rank]],Stammdaten[[Rank Verteilung D Mitte mit Rinde]:[Verteilung D Mitte mit Rinde]],2,FALSE)</f>
        <v>#N/A</v>
      </c>
      <c r="L1897">
        <v>1888</v>
      </c>
      <c r="M1897" t="e">
        <f>INDEX(Stammdaten[Abholzigkeit (mm/lfm)],MATCH(Tabelle9[[#This Row],[Rank]],Stammdaten[Rank Verteilung Abholzigkeit],0))</f>
        <v>#N/A</v>
      </c>
      <c r="N1897" t="e">
        <f>VLOOKUP(Tabelle9[[#This Row],[Rank]],Stammdaten[[Rank Verteilung Abholzigkeit]:[Verteilung Abholzigkeit]],2,FALSE)</f>
        <v>#N/A</v>
      </c>
      <c r="S1897">
        <v>1888</v>
      </c>
      <c r="T1897" t="e">
        <f>INDEX(Stammdaten[Krümmung (mm/lfm)],MATCH(Tabelle10[[#This Row],[Rank]],Stammdaten[Rank Verteilung Krümmung],0))</f>
        <v>#N/A</v>
      </c>
      <c r="U1897" t="e">
        <f>VLOOKUP(Tabelle10[[#This Row],[Rank]],Stammdaten[[Rank Verteilung Krümmung]:[Verteilung Krümmung]],2,FALSE)</f>
        <v>#N/A</v>
      </c>
      <c r="Z1897">
        <v>1888</v>
      </c>
      <c r="AA1897" t="e">
        <f>INDEX(Stammdaten[Ovalität (']0,1'])],MATCH(Tabelle1014[[#This Row],[Rank]],Stammdaten[Rank Verteilung Ovalität],0))</f>
        <v>#N/A</v>
      </c>
      <c r="AB1897" t="e">
        <f>VLOOKUP(Tabelle1014[[#This Row],[Rank]],Stammdaten[[Rank Verteilung Ovalität]:[Verteilung Ovalität]],2,FALSE)</f>
        <v>#N/A</v>
      </c>
    </row>
    <row r="1898" spans="5:28" x14ac:dyDescent="0.35">
      <c r="E1898">
        <v>1889</v>
      </c>
      <c r="F1898" t="e">
        <f>INDEX(Stammdaten[D Mitte mit Rinde (mm)],MATCH(Tabelle8[[#This Row],[Rank]],Stammdaten[Rank Verteilung D Mitte mit Rinde],0))</f>
        <v>#N/A</v>
      </c>
      <c r="G1898" t="e">
        <f>VLOOKUP(Tabelle8[[#This Row],[Rank]],Stammdaten[[Rank Verteilung D Mitte mit Rinde]:[Verteilung D Mitte mit Rinde]],2,FALSE)</f>
        <v>#N/A</v>
      </c>
      <c r="L1898">
        <v>1889</v>
      </c>
      <c r="M1898" t="e">
        <f>INDEX(Stammdaten[Abholzigkeit (mm/lfm)],MATCH(Tabelle9[[#This Row],[Rank]],Stammdaten[Rank Verteilung Abholzigkeit],0))</f>
        <v>#N/A</v>
      </c>
      <c r="N1898" t="e">
        <f>VLOOKUP(Tabelle9[[#This Row],[Rank]],Stammdaten[[Rank Verteilung Abholzigkeit]:[Verteilung Abholzigkeit]],2,FALSE)</f>
        <v>#N/A</v>
      </c>
      <c r="S1898">
        <v>1889</v>
      </c>
      <c r="T1898" t="e">
        <f>INDEX(Stammdaten[Krümmung (mm/lfm)],MATCH(Tabelle10[[#This Row],[Rank]],Stammdaten[Rank Verteilung Krümmung],0))</f>
        <v>#N/A</v>
      </c>
      <c r="U1898" t="e">
        <f>VLOOKUP(Tabelle10[[#This Row],[Rank]],Stammdaten[[Rank Verteilung Krümmung]:[Verteilung Krümmung]],2,FALSE)</f>
        <v>#N/A</v>
      </c>
      <c r="Z1898">
        <v>1889</v>
      </c>
      <c r="AA1898" t="e">
        <f>INDEX(Stammdaten[Ovalität (']0,1'])],MATCH(Tabelle1014[[#This Row],[Rank]],Stammdaten[Rank Verteilung Ovalität],0))</f>
        <v>#N/A</v>
      </c>
      <c r="AB1898" t="e">
        <f>VLOOKUP(Tabelle1014[[#This Row],[Rank]],Stammdaten[[Rank Verteilung Ovalität]:[Verteilung Ovalität]],2,FALSE)</f>
        <v>#N/A</v>
      </c>
    </row>
    <row r="1899" spans="5:28" x14ac:dyDescent="0.35">
      <c r="E1899">
        <v>1890</v>
      </c>
      <c r="F1899" t="e">
        <f>INDEX(Stammdaten[D Mitte mit Rinde (mm)],MATCH(Tabelle8[[#This Row],[Rank]],Stammdaten[Rank Verteilung D Mitte mit Rinde],0))</f>
        <v>#N/A</v>
      </c>
      <c r="G1899" t="e">
        <f>VLOOKUP(Tabelle8[[#This Row],[Rank]],Stammdaten[[Rank Verteilung D Mitte mit Rinde]:[Verteilung D Mitte mit Rinde]],2,FALSE)</f>
        <v>#N/A</v>
      </c>
      <c r="L1899">
        <v>1890</v>
      </c>
      <c r="M1899" t="e">
        <f>INDEX(Stammdaten[Abholzigkeit (mm/lfm)],MATCH(Tabelle9[[#This Row],[Rank]],Stammdaten[Rank Verteilung Abholzigkeit],0))</f>
        <v>#N/A</v>
      </c>
      <c r="N1899" t="e">
        <f>VLOOKUP(Tabelle9[[#This Row],[Rank]],Stammdaten[[Rank Verteilung Abholzigkeit]:[Verteilung Abholzigkeit]],2,FALSE)</f>
        <v>#N/A</v>
      </c>
      <c r="S1899">
        <v>1890</v>
      </c>
      <c r="T1899" t="e">
        <f>INDEX(Stammdaten[Krümmung (mm/lfm)],MATCH(Tabelle10[[#This Row],[Rank]],Stammdaten[Rank Verteilung Krümmung],0))</f>
        <v>#N/A</v>
      </c>
      <c r="U1899" t="e">
        <f>VLOOKUP(Tabelle10[[#This Row],[Rank]],Stammdaten[[Rank Verteilung Krümmung]:[Verteilung Krümmung]],2,FALSE)</f>
        <v>#N/A</v>
      </c>
      <c r="Z1899">
        <v>1890</v>
      </c>
      <c r="AA1899" t="e">
        <f>INDEX(Stammdaten[Ovalität (']0,1'])],MATCH(Tabelle1014[[#This Row],[Rank]],Stammdaten[Rank Verteilung Ovalität],0))</f>
        <v>#N/A</v>
      </c>
      <c r="AB1899" t="e">
        <f>VLOOKUP(Tabelle1014[[#This Row],[Rank]],Stammdaten[[Rank Verteilung Ovalität]:[Verteilung Ovalität]],2,FALSE)</f>
        <v>#N/A</v>
      </c>
    </row>
    <row r="1900" spans="5:28" x14ac:dyDescent="0.35">
      <c r="E1900">
        <v>1891</v>
      </c>
      <c r="F1900" t="e">
        <f>INDEX(Stammdaten[D Mitte mit Rinde (mm)],MATCH(Tabelle8[[#This Row],[Rank]],Stammdaten[Rank Verteilung D Mitte mit Rinde],0))</f>
        <v>#N/A</v>
      </c>
      <c r="G1900" t="e">
        <f>VLOOKUP(Tabelle8[[#This Row],[Rank]],Stammdaten[[Rank Verteilung D Mitte mit Rinde]:[Verteilung D Mitte mit Rinde]],2,FALSE)</f>
        <v>#N/A</v>
      </c>
      <c r="L1900">
        <v>1891</v>
      </c>
      <c r="M1900" t="e">
        <f>INDEX(Stammdaten[Abholzigkeit (mm/lfm)],MATCH(Tabelle9[[#This Row],[Rank]],Stammdaten[Rank Verteilung Abholzigkeit],0))</f>
        <v>#N/A</v>
      </c>
      <c r="N1900" t="e">
        <f>VLOOKUP(Tabelle9[[#This Row],[Rank]],Stammdaten[[Rank Verteilung Abholzigkeit]:[Verteilung Abholzigkeit]],2,FALSE)</f>
        <v>#N/A</v>
      </c>
      <c r="S1900">
        <v>1891</v>
      </c>
      <c r="T1900" t="e">
        <f>INDEX(Stammdaten[Krümmung (mm/lfm)],MATCH(Tabelle10[[#This Row],[Rank]],Stammdaten[Rank Verteilung Krümmung],0))</f>
        <v>#N/A</v>
      </c>
      <c r="U1900" t="e">
        <f>VLOOKUP(Tabelle10[[#This Row],[Rank]],Stammdaten[[Rank Verteilung Krümmung]:[Verteilung Krümmung]],2,FALSE)</f>
        <v>#N/A</v>
      </c>
      <c r="Z1900">
        <v>1891</v>
      </c>
      <c r="AA1900" t="e">
        <f>INDEX(Stammdaten[Ovalität (']0,1'])],MATCH(Tabelle1014[[#This Row],[Rank]],Stammdaten[Rank Verteilung Ovalität],0))</f>
        <v>#N/A</v>
      </c>
      <c r="AB1900" t="e">
        <f>VLOOKUP(Tabelle1014[[#This Row],[Rank]],Stammdaten[[Rank Verteilung Ovalität]:[Verteilung Ovalität]],2,FALSE)</f>
        <v>#N/A</v>
      </c>
    </row>
    <row r="1901" spans="5:28" x14ac:dyDescent="0.35">
      <c r="E1901">
        <v>1892</v>
      </c>
      <c r="F1901" t="e">
        <f>INDEX(Stammdaten[D Mitte mit Rinde (mm)],MATCH(Tabelle8[[#This Row],[Rank]],Stammdaten[Rank Verteilung D Mitte mit Rinde],0))</f>
        <v>#N/A</v>
      </c>
      <c r="G1901" t="e">
        <f>VLOOKUP(Tabelle8[[#This Row],[Rank]],Stammdaten[[Rank Verteilung D Mitte mit Rinde]:[Verteilung D Mitte mit Rinde]],2,FALSE)</f>
        <v>#N/A</v>
      </c>
      <c r="L1901">
        <v>1892</v>
      </c>
      <c r="M1901" t="e">
        <f>INDEX(Stammdaten[Abholzigkeit (mm/lfm)],MATCH(Tabelle9[[#This Row],[Rank]],Stammdaten[Rank Verteilung Abholzigkeit],0))</f>
        <v>#N/A</v>
      </c>
      <c r="N1901" t="e">
        <f>VLOOKUP(Tabelle9[[#This Row],[Rank]],Stammdaten[[Rank Verteilung Abholzigkeit]:[Verteilung Abholzigkeit]],2,FALSE)</f>
        <v>#N/A</v>
      </c>
      <c r="S1901">
        <v>1892</v>
      </c>
      <c r="T1901" t="e">
        <f>INDEX(Stammdaten[Krümmung (mm/lfm)],MATCH(Tabelle10[[#This Row],[Rank]],Stammdaten[Rank Verteilung Krümmung],0))</f>
        <v>#N/A</v>
      </c>
      <c r="U1901" t="e">
        <f>VLOOKUP(Tabelle10[[#This Row],[Rank]],Stammdaten[[Rank Verteilung Krümmung]:[Verteilung Krümmung]],2,FALSE)</f>
        <v>#N/A</v>
      </c>
      <c r="Z1901">
        <v>1892</v>
      </c>
      <c r="AA1901" t="e">
        <f>INDEX(Stammdaten[Ovalität (']0,1'])],MATCH(Tabelle1014[[#This Row],[Rank]],Stammdaten[Rank Verteilung Ovalität],0))</f>
        <v>#N/A</v>
      </c>
      <c r="AB1901" t="e">
        <f>VLOOKUP(Tabelle1014[[#This Row],[Rank]],Stammdaten[[Rank Verteilung Ovalität]:[Verteilung Ovalität]],2,FALSE)</f>
        <v>#N/A</v>
      </c>
    </row>
    <row r="1902" spans="5:28" x14ac:dyDescent="0.35">
      <c r="E1902">
        <v>1893</v>
      </c>
      <c r="F1902" t="e">
        <f>INDEX(Stammdaten[D Mitte mit Rinde (mm)],MATCH(Tabelle8[[#This Row],[Rank]],Stammdaten[Rank Verteilung D Mitte mit Rinde],0))</f>
        <v>#N/A</v>
      </c>
      <c r="G1902" t="e">
        <f>VLOOKUP(Tabelle8[[#This Row],[Rank]],Stammdaten[[Rank Verteilung D Mitte mit Rinde]:[Verteilung D Mitte mit Rinde]],2,FALSE)</f>
        <v>#N/A</v>
      </c>
      <c r="L1902">
        <v>1893</v>
      </c>
      <c r="M1902" t="e">
        <f>INDEX(Stammdaten[Abholzigkeit (mm/lfm)],MATCH(Tabelle9[[#This Row],[Rank]],Stammdaten[Rank Verteilung Abholzigkeit],0))</f>
        <v>#N/A</v>
      </c>
      <c r="N1902" t="e">
        <f>VLOOKUP(Tabelle9[[#This Row],[Rank]],Stammdaten[[Rank Verteilung Abholzigkeit]:[Verteilung Abholzigkeit]],2,FALSE)</f>
        <v>#N/A</v>
      </c>
      <c r="S1902">
        <v>1893</v>
      </c>
      <c r="T1902" t="e">
        <f>INDEX(Stammdaten[Krümmung (mm/lfm)],MATCH(Tabelle10[[#This Row],[Rank]],Stammdaten[Rank Verteilung Krümmung],0))</f>
        <v>#N/A</v>
      </c>
      <c r="U1902" t="e">
        <f>VLOOKUP(Tabelle10[[#This Row],[Rank]],Stammdaten[[Rank Verteilung Krümmung]:[Verteilung Krümmung]],2,FALSE)</f>
        <v>#N/A</v>
      </c>
      <c r="Z1902">
        <v>1893</v>
      </c>
      <c r="AA1902" t="e">
        <f>INDEX(Stammdaten[Ovalität (']0,1'])],MATCH(Tabelle1014[[#This Row],[Rank]],Stammdaten[Rank Verteilung Ovalität],0))</f>
        <v>#N/A</v>
      </c>
      <c r="AB1902" t="e">
        <f>VLOOKUP(Tabelle1014[[#This Row],[Rank]],Stammdaten[[Rank Verteilung Ovalität]:[Verteilung Ovalität]],2,FALSE)</f>
        <v>#N/A</v>
      </c>
    </row>
    <row r="1903" spans="5:28" x14ac:dyDescent="0.35">
      <c r="E1903">
        <v>1894</v>
      </c>
      <c r="F1903" t="e">
        <f>INDEX(Stammdaten[D Mitte mit Rinde (mm)],MATCH(Tabelle8[[#This Row],[Rank]],Stammdaten[Rank Verteilung D Mitte mit Rinde],0))</f>
        <v>#N/A</v>
      </c>
      <c r="G1903" t="e">
        <f>VLOOKUP(Tabelle8[[#This Row],[Rank]],Stammdaten[[Rank Verteilung D Mitte mit Rinde]:[Verteilung D Mitte mit Rinde]],2,FALSE)</f>
        <v>#N/A</v>
      </c>
      <c r="L1903">
        <v>1894</v>
      </c>
      <c r="M1903" t="e">
        <f>INDEX(Stammdaten[Abholzigkeit (mm/lfm)],MATCH(Tabelle9[[#This Row],[Rank]],Stammdaten[Rank Verteilung Abholzigkeit],0))</f>
        <v>#N/A</v>
      </c>
      <c r="N1903" t="e">
        <f>VLOOKUP(Tabelle9[[#This Row],[Rank]],Stammdaten[[Rank Verteilung Abholzigkeit]:[Verteilung Abholzigkeit]],2,FALSE)</f>
        <v>#N/A</v>
      </c>
      <c r="S1903">
        <v>1894</v>
      </c>
      <c r="T1903" t="e">
        <f>INDEX(Stammdaten[Krümmung (mm/lfm)],MATCH(Tabelle10[[#This Row],[Rank]],Stammdaten[Rank Verteilung Krümmung],0))</f>
        <v>#N/A</v>
      </c>
      <c r="U1903" t="e">
        <f>VLOOKUP(Tabelle10[[#This Row],[Rank]],Stammdaten[[Rank Verteilung Krümmung]:[Verteilung Krümmung]],2,FALSE)</f>
        <v>#N/A</v>
      </c>
      <c r="Z1903">
        <v>1894</v>
      </c>
      <c r="AA1903" t="e">
        <f>INDEX(Stammdaten[Ovalität (']0,1'])],MATCH(Tabelle1014[[#This Row],[Rank]],Stammdaten[Rank Verteilung Ovalität],0))</f>
        <v>#N/A</v>
      </c>
      <c r="AB1903" t="e">
        <f>VLOOKUP(Tabelle1014[[#This Row],[Rank]],Stammdaten[[Rank Verteilung Ovalität]:[Verteilung Ovalität]],2,FALSE)</f>
        <v>#N/A</v>
      </c>
    </row>
    <row r="1904" spans="5:28" x14ac:dyDescent="0.35">
      <c r="E1904">
        <v>1895</v>
      </c>
      <c r="F1904" t="e">
        <f>INDEX(Stammdaten[D Mitte mit Rinde (mm)],MATCH(Tabelle8[[#This Row],[Rank]],Stammdaten[Rank Verteilung D Mitte mit Rinde],0))</f>
        <v>#N/A</v>
      </c>
      <c r="G1904" t="e">
        <f>VLOOKUP(Tabelle8[[#This Row],[Rank]],Stammdaten[[Rank Verteilung D Mitte mit Rinde]:[Verteilung D Mitte mit Rinde]],2,FALSE)</f>
        <v>#N/A</v>
      </c>
      <c r="L1904">
        <v>1895</v>
      </c>
      <c r="M1904" t="e">
        <f>INDEX(Stammdaten[Abholzigkeit (mm/lfm)],MATCH(Tabelle9[[#This Row],[Rank]],Stammdaten[Rank Verteilung Abholzigkeit],0))</f>
        <v>#N/A</v>
      </c>
      <c r="N1904" t="e">
        <f>VLOOKUP(Tabelle9[[#This Row],[Rank]],Stammdaten[[Rank Verteilung Abholzigkeit]:[Verteilung Abholzigkeit]],2,FALSE)</f>
        <v>#N/A</v>
      </c>
      <c r="S1904">
        <v>1895</v>
      </c>
      <c r="T1904" t="e">
        <f>INDEX(Stammdaten[Krümmung (mm/lfm)],MATCH(Tabelle10[[#This Row],[Rank]],Stammdaten[Rank Verteilung Krümmung],0))</f>
        <v>#N/A</v>
      </c>
      <c r="U1904" t="e">
        <f>VLOOKUP(Tabelle10[[#This Row],[Rank]],Stammdaten[[Rank Verteilung Krümmung]:[Verteilung Krümmung]],2,FALSE)</f>
        <v>#N/A</v>
      </c>
      <c r="Z1904">
        <v>1895</v>
      </c>
      <c r="AA1904" t="e">
        <f>INDEX(Stammdaten[Ovalität (']0,1'])],MATCH(Tabelle1014[[#This Row],[Rank]],Stammdaten[Rank Verteilung Ovalität],0))</f>
        <v>#N/A</v>
      </c>
      <c r="AB1904" t="e">
        <f>VLOOKUP(Tabelle1014[[#This Row],[Rank]],Stammdaten[[Rank Verteilung Ovalität]:[Verteilung Ovalität]],2,FALSE)</f>
        <v>#N/A</v>
      </c>
    </row>
    <row r="1905" spans="5:28" x14ac:dyDescent="0.35">
      <c r="E1905">
        <v>1896</v>
      </c>
      <c r="F1905" t="e">
        <f>INDEX(Stammdaten[D Mitte mit Rinde (mm)],MATCH(Tabelle8[[#This Row],[Rank]],Stammdaten[Rank Verteilung D Mitte mit Rinde],0))</f>
        <v>#N/A</v>
      </c>
      <c r="G1905" t="e">
        <f>VLOOKUP(Tabelle8[[#This Row],[Rank]],Stammdaten[[Rank Verteilung D Mitte mit Rinde]:[Verteilung D Mitte mit Rinde]],2,FALSE)</f>
        <v>#N/A</v>
      </c>
      <c r="L1905">
        <v>1896</v>
      </c>
      <c r="M1905" t="e">
        <f>INDEX(Stammdaten[Abholzigkeit (mm/lfm)],MATCH(Tabelle9[[#This Row],[Rank]],Stammdaten[Rank Verteilung Abholzigkeit],0))</f>
        <v>#N/A</v>
      </c>
      <c r="N1905" t="e">
        <f>VLOOKUP(Tabelle9[[#This Row],[Rank]],Stammdaten[[Rank Verteilung Abholzigkeit]:[Verteilung Abholzigkeit]],2,FALSE)</f>
        <v>#N/A</v>
      </c>
      <c r="S1905">
        <v>1896</v>
      </c>
      <c r="T1905" t="e">
        <f>INDEX(Stammdaten[Krümmung (mm/lfm)],MATCH(Tabelle10[[#This Row],[Rank]],Stammdaten[Rank Verteilung Krümmung],0))</f>
        <v>#N/A</v>
      </c>
      <c r="U1905" t="e">
        <f>VLOOKUP(Tabelle10[[#This Row],[Rank]],Stammdaten[[Rank Verteilung Krümmung]:[Verteilung Krümmung]],2,FALSE)</f>
        <v>#N/A</v>
      </c>
      <c r="Z1905">
        <v>1896</v>
      </c>
      <c r="AA1905" t="e">
        <f>INDEX(Stammdaten[Ovalität (']0,1'])],MATCH(Tabelle1014[[#This Row],[Rank]],Stammdaten[Rank Verteilung Ovalität],0))</f>
        <v>#N/A</v>
      </c>
      <c r="AB1905" t="e">
        <f>VLOOKUP(Tabelle1014[[#This Row],[Rank]],Stammdaten[[Rank Verteilung Ovalität]:[Verteilung Ovalität]],2,FALSE)</f>
        <v>#N/A</v>
      </c>
    </row>
    <row r="1906" spans="5:28" x14ac:dyDescent="0.35">
      <c r="E1906">
        <v>1897</v>
      </c>
      <c r="F1906" t="e">
        <f>INDEX(Stammdaten[D Mitte mit Rinde (mm)],MATCH(Tabelle8[[#This Row],[Rank]],Stammdaten[Rank Verteilung D Mitte mit Rinde],0))</f>
        <v>#N/A</v>
      </c>
      <c r="G1906" t="e">
        <f>VLOOKUP(Tabelle8[[#This Row],[Rank]],Stammdaten[[Rank Verteilung D Mitte mit Rinde]:[Verteilung D Mitte mit Rinde]],2,FALSE)</f>
        <v>#N/A</v>
      </c>
      <c r="L1906">
        <v>1897</v>
      </c>
      <c r="M1906" t="e">
        <f>INDEX(Stammdaten[Abholzigkeit (mm/lfm)],MATCH(Tabelle9[[#This Row],[Rank]],Stammdaten[Rank Verteilung Abholzigkeit],0))</f>
        <v>#N/A</v>
      </c>
      <c r="N1906" t="e">
        <f>VLOOKUP(Tabelle9[[#This Row],[Rank]],Stammdaten[[Rank Verteilung Abholzigkeit]:[Verteilung Abholzigkeit]],2,FALSE)</f>
        <v>#N/A</v>
      </c>
      <c r="S1906">
        <v>1897</v>
      </c>
      <c r="T1906" t="e">
        <f>INDEX(Stammdaten[Krümmung (mm/lfm)],MATCH(Tabelle10[[#This Row],[Rank]],Stammdaten[Rank Verteilung Krümmung],0))</f>
        <v>#N/A</v>
      </c>
      <c r="U1906" t="e">
        <f>VLOOKUP(Tabelle10[[#This Row],[Rank]],Stammdaten[[Rank Verteilung Krümmung]:[Verteilung Krümmung]],2,FALSE)</f>
        <v>#N/A</v>
      </c>
      <c r="Z1906">
        <v>1897</v>
      </c>
      <c r="AA1906" t="e">
        <f>INDEX(Stammdaten[Ovalität (']0,1'])],MATCH(Tabelle1014[[#This Row],[Rank]],Stammdaten[Rank Verteilung Ovalität],0))</f>
        <v>#N/A</v>
      </c>
      <c r="AB1906" t="e">
        <f>VLOOKUP(Tabelle1014[[#This Row],[Rank]],Stammdaten[[Rank Verteilung Ovalität]:[Verteilung Ovalität]],2,FALSE)</f>
        <v>#N/A</v>
      </c>
    </row>
    <row r="1907" spans="5:28" x14ac:dyDescent="0.35">
      <c r="E1907">
        <v>1898</v>
      </c>
      <c r="F1907" t="e">
        <f>INDEX(Stammdaten[D Mitte mit Rinde (mm)],MATCH(Tabelle8[[#This Row],[Rank]],Stammdaten[Rank Verteilung D Mitte mit Rinde],0))</f>
        <v>#N/A</v>
      </c>
      <c r="G1907" t="e">
        <f>VLOOKUP(Tabelle8[[#This Row],[Rank]],Stammdaten[[Rank Verteilung D Mitte mit Rinde]:[Verteilung D Mitte mit Rinde]],2,FALSE)</f>
        <v>#N/A</v>
      </c>
      <c r="L1907">
        <v>1898</v>
      </c>
      <c r="M1907" t="e">
        <f>INDEX(Stammdaten[Abholzigkeit (mm/lfm)],MATCH(Tabelle9[[#This Row],[Rank]],Stammdaten[Rank Verteilung Abholzigkeit],0))</f>
        <v>#N/A</v>
      </c>
      <c r="N1907" t="e">
        <f>VLOOKUP(Tabelle9[[#This Row],[Rank]],Stammdaten[[Rank Verteilung Abholzigkeit]:[Verteilung Abholzigkeit]],2,FALSE)</f>
        <v>#N/A</v>
      </c>
      <c r="S1907">
        <v>1898</v>
      </c>
      <c r="T1907" t="e">
        <f>INDEX(Stammdaten[Krümmung (mm/lfm)],MATCH(Tabelle10[[#This Row],[Rank]],Stammdaten[Rank Verteilung Krümmung],0))</f>
        <v>#N/A</v>
      </c>
      <c r="U1907" t="e">
        <f>VLOOKUP(Tabelle10[[#This Row],[Rank]],Stammdaten[[Rank Verteilung Krümmung]:[Verteilung Krümmung]],2,FALSE)</f>
        <v>#N/A</v>
      </c>
      <c r="Z1907">
        <v>1898</v>
      </c>
      <c r="AA1907" t="e">
        <f>INDEX(Stammdaten[Ovalität (']0,1'])],MATCH(Tabelle1014[[#This Row],[Rank]],Stammdaten[Rank Verteilung Ovalität],0))</f>
        <v>#N/A</v>
      </c>
      <c r="AB1907" t="e">
        <f>VLOOKUP(Tabelle1014[[#This Row],[Rank]],Stammdaten[[Rank Verteilung Ovalität]:[Verteilung Ovalität]],2,FALSE)</f>
        <v>#N/A</v>
      </c>
    </row>
    <row r="1908" spans="5:28" x14ac:dyDescent="0.35">
      <c r="E1908">
        <v>1899</v>
      </c>
      <c r="F1908" t="e">
        <f>INDEX(Stammdaten[D Mitte mit Rinde (mm)],MATCH(Tabelle8[[#This Row],[Rank]],Stammdaten[Rank Verteilung D Mitte mit Rinde],0))</f>
        <v>#N/A</v>
      </c>
      <c r="G1908" t="e">
        <f>VLOOKUP(Tabelle8[[#This Row],[Rank]],Stammdaten[[Rank Verteilung D Mitte mit Rinde]:[Verteilung D Mitte mit Rinde]],2,FALSE)</f>
        <v>#N/A</v>
      </c>
      <c r="L1908">
        <v>1899</v>
      </c>
      <c r="M1908" t="e">
        <f>INDEX(Stammdaten[Abholzigkeit (mm/lfm)],MATCH(Tabelle9[[#This Row],[Rank]],Stammdaten[Rank Verteilung Abholzigkeit],0))</f>
        <v>#N/A</v>
      </c>
      <c r="N1908" t="e">
        <f>VLOOKUP(Tabelle9[[#This Row],[Rank]],Stammdaten[[Rank Verteilung Abholzigkeit]:[Verteilung Abholzigkeit]],2,FALSE)</f>
        <v>#N/A</v>
      </c>
      <c r="S1908">
        <v>1899</v>
      </c>
      <c r="T1908" t="e">
        <f>INDEX(Stammdaten[Krümmung (mm/lfm)],MATCH(Tabelle10[[#This Row],[Rank]],Stammdaten[Rank Verteilung Krümmung],0))</f>
        <v>#N/A</v>
      </c>
      <c r="U1908" t="e">
        <f>VLOOKUP(Tabelle10[[#This Row],[Rank]],Stammdaten[[Rank Verteilung Krümmung]:[Verteilung Krümmung]],2,FALSE)</f>
        <v>#N/A</v>
      </c>
      <c r="Z1908">
        <v>1899</v>
      </c>
      <c r="AA1908" t="e">
        <f>INDEX(Stammdaten[Ovalität (']0,1'])],MATCH(Tabelle1014[[#This Row],[Rank]],Stammdaten[Rank Verteilung Ovalität],0))</f>
        <v>#N/A</v>
      </c>
      <c r="AB1908" t="e">
        <f>VLOOKUP(Tabelle1014[[#This Row],[Rank]],Stammdaten[[Rank Verteilung Ovalität]:[Verteilung Ovalität]],2,FALSE)</f>
        <v>#N/A</v>
      </c>
    </row>
    <row r="1909" spans="5:28" x14ac:dyDescent="0.35">
      <c r="E1909">
        <v>1900</v>
      </c>
      <c r="F1909" t="e">
        <f>INDEX(Stammdaten[D Mitte mit Rinde (mm)],MATCH(Tabelle8[[#This Row],[Rank]],Stammdaten[Rank Verteilung D Mitte mit Rinde],0))</f>
        <v>#N/A</v>
      </c>
      <c r="G1909" t="e">
        <f>VLOOKUP(Tabelle8[[#This Row],[Rank]],Stammdaten[[Rank Verteilung D Mitte mit Rinde]:[Verteilung D Mitte mit Rinde]],2,FALSE)</f>
        <v>#N/A</v>
      </c>
      <c r="L1909">
        <v>1900</v>
      </c>
      <c r="M1909" t="e">
        <f>INDEX(Stammdaten[Abholzigkeit (mm/lfm)],MATCH(Tabelle9[[#This Row],[Rank]],Stammdaten[Rank Verteilung Abholzigkeit],0))</f>
        <v>#N/A</v>
      </c>
      <c r="N1909" t="e">
        <f>VLOOKUP(Tabelle9[[#This Row],[Rank]],Stammdaten[[Rank Verteilung Abholzigkeit]:[Verteilung Abholzigkeit]],2,FALSE)</f>
        <v>#N/A</v>
      </c>
      <c r="S1909">
        <v>1900</v>
      </c>
      <c r="T1909" t="e">
        <f>INDEX(Stammdaten[Krümmung (mm/lfm)],MATCH(Tabelle10[[#This Row],[Rank]],Stammdaten[Rank Verteilung Krümmung],0))</f>
        <v>#N/A</v>
      </c>
      <c r="U1909" t="e">
        <f>VLOOKUP(Tabelle10[[#This Row],[Rank]],Stammdaten[[Rank Verteilung Krümmung]:[Verteilung Krümmung]],2,FALSE)</f>
        <v>#N/A</v>
      </c>
      <c r="Z1909">
        <v>1900</v>
      </c>
      <c r="AA1909" t="e">
        <f>INDEX(Stammdaten[Ovalität (']0,1'])],MATCH(Tabelle1014[[#This Row],[Rank]],Stammdaten[Rank Verteilung Ovalität],0))</f>
        <v>#N/A</v>
      </c>
      <c r="AB1909" t="e">
        <f>VLOOKUP(Tabelle1014[[#This Row],[Rank]],Stammdaten[[Rank Verteilung Ovalität]:[Verteilung Ovalität]],2,FALSE)</f>
        <v>#N/A</v>
      </c>
    </row>
    <row r="1910" spans="5:28" x14ac:dyDescent="0.35">
      <c r="E1910">
        <v>1901</v>
      </c>
      <c r="F1910" t="e">
        <f>INDEX(Stammdaten[D Mitte mit Rinde (mm)],MATCH(Tabelle8[[#This Row],[Rank]],Stammdaten[Rank Verteilung D Mitte mit Rinde],0))</f>
        <v>#N/A</v>
      </c>
      <c r="G1910" t="e">
        <f>VLOOKUP(Tabelle8[[#This Row],[Rank]],Stammdaten[[Rank Verteilung D Mitte mit Rinde]:[Verteilung D Mitte mit Rinde]],2,FALSE)</f>
        <v>#N/A</v>
      </c>
      <c r="L1910">
        <v>1901</v>
      </c>
      <c r="M1910" t="e">
        <f>INDEX(Stammdaten[Abholzigkeit (mm/lfm)],MATCH(Tabelle9[[#This Row],[Rank]],Stammdaten[Rank Verteilung Abholzigkeit],0))</f>
        <v>#N/A</v>
      </c>
      <c r="N1910" t="e">
        <f>VLOOKUP(Tabelle9[[#This Row],[Rank]],Stammdaten[[Rank Verteilung Abholzigkeit]:[Verteilung Abholzigkeit]],2,FALSE)</f>
        <v>#N/A</v>
      </c>
      <c r="S1910">
        <v>1901</v>
      </c>
      <c r="T1910" t="e">
        <f>INDEX(Stammdaten[Krümmung (mm/lfm)],MATCH(Tabelle10[[#This Row],[Rank]],Stammdaten[Rank Verteilung Krümmung],0))</f>
        <v>#N/A</v>
      </c>
      <c r="U1910" t="e">
        <f>VLOOKUP(Tabelle10[[#This Row],[Rank]],Stammdaten[[Rank Verteilung Krümmung]:[Verteilung Krümmung]],2,FALSE)</f>
        <v>#N/A</v>
      </c>
      <c r="Z1910">
        <v>1901</v>
      </c>
      <c r="AA1910" t="e">
        <f>INDEX(Stammdaten[Ovalität (']0,1'])],MATCH(Tabelle1014[[#This Row],[Rank]],Stammdaten[Rank Verteilung Ovalität],0))</f>
        <v>#N/A</v>
      </c>
      <c r="AB1910" t="e">
        <f>VLOOKUP(Tabelle1014[[#This Row],[Rank]],Stammdaten[[Rank Verteilung Ovalität]:[Verteilung Ovalität]],2,FALSE)</f>
        <v>#N/A</v>
      </c>
    </row>
    <row r="1911" spans="5:28" x14ac:dyDescent="0.35">
      <c r="E1911">
        <v>1902</v>
      </c>
      <c r="F1911" t="e">
        <f>INDEX(Stammdaten[D Mitte mit Rinde (mm)],MATCH(Tabelle8[[#This Row],[Rank]],Stammdaten[Rank Verteilung D Mitte mit Rinde],0))</f>
        <v>#N/A</v>
      </c>
      <c r="G1911" t="e">
        <f>VLOOKUP(Tabelle8[[#This Row],[Rank]],Stammdaten[[Rank Verteilung D Mitte mit Rinde]:[Verteilung D Mitte mit Rinde]],2,FALSE)</f>
        <v>#N/A</v>
      </c>
      <c r="L1911">
        <v>1902</v>
      </c>
      <c r="M1911" t="e">
        <f>INDEX(Stammdaten[Abholzigkeit (mm/lfm)],MATCH(Tabelle9[[#This Row],[Rank]],Stammdaten[Rank Verteilung Abholzigkeit],0))</f>
        <v>#N/A</v>
      </c>
      <c r="N1911" t="e">
        <f>VLOOKUP(Tabelle9[[#This Row],[Rank]],Stammdaten[[Rank Verteilung Abholzigkeit]:[Verteilung Abholzigkeit]],2,FALSE)</f>
        <v>#N/A</v>
      </c>
      <c r="S1911">
        <v>1902</v>
      </c>
      <c r="T1911" t="e">
        <f>INDEX(Stammdaten[Krümmung (mm/lfm)],MATCH(Tabelle10[[#This Row],[Rank]],Stammdaten[Rank Verteilung Krümmung],0))</f>
        <v>#N/A</v>
      </c>
      <c r="U1911" t="e">
        <f>VLOOKUP(Tabelle10[[#This Row],[Rank]],Stammdaten[[Rank Verteilung Krümmung]:[Verteilung Krümmung]],2,FALSE)</f>
        <v>#N/A</v>
      </c>
      <c r="Z1911">
        <v>1902</v>
      </c>
      <c r="AA1911" t="e">
        <f>INDEX(Stammdaten[Ovalität (']0,1'])],MATCH(Tabelle1014[[#This Row],[Rank]],Stammdaten[Rank Verteilung Ovalität],0))</f>
        <v>#N/A</v>
      </c>
      <c r="AB1911" t="e">
        <f>VLOOKUP(Tabelle1014[[#This Row],[Rank]],Stammdaten[[Rank Verteilung Ovalität]:[Verteilung Ovalität]],2,FALSE)</f>
        <v>#N/A</v>
      </c>
    </row>
    <row r="1912" spans="5:28" x14ac:dyDescent="0.35">
      <c r="E1912">
        <v>1903</v>
      </c>
      <c r="F1912" t="e">
        <f>INDEX(Stammdaten[D Mitte mit Rinde (mm)],MATCH(Tabelle8[[#This Row],[Rank]],Stammdaten[Rank Verteilung D Mitte mit Rinde],0))</f>
        <v>#N/A</v>
      </c>
      <c r="G1912" t="e">
        <f>VLOOKUP(Tabelle8[[#This Row],[Rank]],Stammdaten[[Rank Verteilung D Mitte mit Rinde]:[Verteilung D Mitte mit Rinde]],2,FALSE)</f>
        <v>#N/A</v>
      </c>
      <c r="L1912">
        <v>1903</v>
      </c>
      <c r="M1912" t="e">
        <f>INDEX(Stammdaten[Abholzigkeit (mm/lfm)],MATCH(Tabelle9[[#This Row],[Rank]],Stammdaten[Rank Verteilung Abholzigkeit],0))</f>
        <v>#N/A</v>
      </c>
      <c r="N1912" t="e">
        <f>VLOOKUP(Tabelle9[[#This Row],[Rank]],Stammdaten[[Rank Verteilung Abholzigkeit]:[Verteilung Abholzigkeit]],2,FALSE)</f>
        <v>#N/A</v>
      </c>
      <c r="S1912">
        <v>1903</v>
      </c>
      <c r="T1912" t="e">
        <f>INDEX(Stammdaten[Krümmung (mm/lfm)],MATCH(Tabelle10[[#This Row],[Rank]],Stammdaten[Rank Verteilung Krümmung],0))</f>
        <v>#N/A</v>
      </c>
      <c r="U1912" t="e">
        <f>VLOOKUP(Tabelle10[[#This Row],[Rank]],Stammdaten[[Rank Verteilung Krümmung]:[Verteilung Krümmung]],2,FALSE)</f>
        <v>#N/A</v>
      </c>
      <c r="Z1912">
        <v>1903</v>
      </c>
      <c r="AA1912" t="e">
        <f>INDEX(Stammdaten[Ovalität (']0,1'])],MATCH(Tabelle1014[[#This Row],[Rank]],Stammdaten[Rank Verteilung Ovalität],0))</f>
        <v>#N/A</v>
      </c>
      <c r="AB1912" t="e">
        <f>VLOOKUP(Tabelle1014[[#This Row],[Rank]],Stammdaten[[Rank Verteilung Ovalität]:[Verteilung Ovalität]],2,FALSE)</f>
        <v>#N/A</v>
      </c>
    </row>
    <row r="1913" spans="5:28" x14ac:dyDescent="0.35">
      <c r="E1913">
        <v>1904</v>
      </c>
      <c r="F1913" t="e">
        <f>INDEX(Stammdaten[D Mitte mit Rinde (mm)],MATCH(Tabelle8[[#This Row],[Rank]],Stammdaten[Rank Verteilung D Mitte mit Rinde],0))</f>
        <v>#N/A</v>
      </c>
      <c r="G1913" t="e">
        <f>VLOOKUP(Tabelle8[[#This Row],[Rank]],Stammdaten[[Rank Verteilung D Mitte mit Rinde]:[Verteilung D Mitte mit Rinde]],2,FALSE)</f>
        <v>#N/A</v>
      </c>
      <c r="L1913">
        <v>1904</v>
      </c>
      <c r="M1913" t="e">
        <f>INDEX(Stammdaten[Abholzigkeit (mm/lfm)],MATCH(Tabelle9[[#This Row],[Rank]],Stammdaten[Rank Verteilung Abholzigkeit],0))</f>
        <v>#N/A</v>
      </c>
      <c r="N1913" t="e">
        <f>VLOOKUP(Tabelle9[[#This Row],[Rank]],Stammdaten[[Rank Verteilung Abholzigkeit]:[Verteilung Abholzigkeit]],2,FALSE)</f>
        <v>#N/A</v>
      </c>
      <c r="S1913">
        <v>1904</v>
      </c>
      <c r="T1913" t="e">
        <f>INDEX(Stammdaten[Krümmung (mm/lfm)],MATCH(Tabelle10[[#This Row],[Rank]],Stammdaten[Rank Verteilung Krümmung],0))</f>
        <v>#N/A</v>
      </c>
      <c r="U1913" t="e">
        <f>VLOOKUP(Tabelle10[[#This Row],[Rank]],Stammdaten[[Rank Verteilung Krümmung]:[Verteilung Krümmung]],2,FALSE)</f>
        <v>#N/A</v>
      </c>
      <c r="Z1913">
        <v>1904</v>
      </c>
      <c r="AA1913" t="e">
        <f>INDEX(Stammdaten[Ovalität (']0,1'])],MATCH(Tabelle1014[[#This Row],[Rank]],Stammdaten[Rank Verteilung Ovalität],0))</f>
        <v>#N/A</v>
      </c>
      <c r="AB1913" t="e">
        <f>VLOOKUP(Tabelle1014[[#This Row],[Rank]],Stammdaten[[Rank Verteilung Ovalität]:[Verteilung Ovalität]],2,FALSE)</f>
        <v>#N/A</v>
      </c>
    </row>
    <row r="1914" spans="5:28" x14ac:dyDescent="0.35">
      <c r="E1914">
        <v>1905</v>
      </c>
      <c r="F1914" t="e">
        <f>INDEX(Stammdaten[D Mitte mit Rinde (mm)],MATCH(Tabelle8[[#This Row],[Rank]],Stammdaten[Rank Verteilung D Mitte mit Rinde],0))</f>
        <v>#N/A</v>
      </c>
      <c r="G1914" t="e">
        <f>VLOOKUP(Tabelle8[[#This Row],[Rank]],Stammdaten[[Rank Verteilung D Mitte mit Rinde]:[Verteilung D Mitte mit Rinde]],2,FALSE)</f>
        <v>#N/A</v>
      </c>
      <c r="L1914">
        <v>1905</v>
      </c>
      <c r="M1914" t="e">
        <f>INDEX(Stammdaten[Abholzigkeit (mm/lfm)],MATCH(Tabelle9[[#This Row],[Rank]],Stammdaten[Rank Verteilung Abholzigkeit],0))</f>
        <v>#N/A</v>
      </c>
      <c r="N1914" t="e">
        <f>VLOOKUP(Tabelle9[[#This Row],[Rank]],Stammdaten[[Rank Verteilung Abholzigkeit]:[Verteilung Abholzigkeit]],2,FALSE)</f>
        <v>#N/A</v>
      </c>
      <c r="S1914">
        <v>1905</v>
      </c>
      <c r="T1914" t="e">
        <f>INDEX(Stammdaten[Krümmung (mm/lfm)],MATCH(Tabelle10[[#This Row],[Rank]],Stammdaten[Rank Verteilung Krümmung],0))</f>
        <v>#N/A</v>
      </c>
      <c r="U1914" t="e">
        <f>VLOOKUP(Tabelle10[[#This Row],[Rank]],Stammdaten[[Rank Verteilung Krümmung]:[Verteilung Krümmung]],2,FALSE)</f>
        <v>#N/A</v>
      </c>
      <c r="Z1914">
        <v>1905</v>
      </c>
      <c r="AA1914" t="e">
        <f>INDEX(Stammdaten[Ovalität (']0,1'])],MATCH(Tabelle1014[[#This Row],[Rank]],Stammdaten[Rank Verteilung Ovalität],0))</f>
        <v>#N/A</v>
      </c>
      <c r="AB1914" t="e">
        <f>VLOOKUP(Tabelle1014[[#This Row],[Rank]],Stammdaten[[Rank Verteilung Ovalität]:[Verteilung Ovalität]],2,FALSE)</f>
        <v>#N/A</v>
      </c>
    </row>
    <row r="1915" spans="5:28" x14ac:dyDescent="0.35">
      <c r="E1915">
        <v>1906</v>
      </c>
      <c r="F1915" t="e">
        <f>INDEX(Stammdaten[D Mitte mit Rinde (mm)],MATCH(Tabelle8[[#This Row],[Rank]],Stammdaten[Rank Verteilung D Mitte mit Rinde],0))</f>
        <v>#N/A</v>
      </c>
      <c r="G1915" t="e">
        <f>VLOOKUP(Tabelle8[[#This Row],[Rank]],Stammdaten[[Rank Verteilung D Mitte mit Rinde]:[Verteilung D Mitte mit Rinde]],2,FALSE)</f>
        <v>#N/A</v>
      </c>
      <c r="L1915">
        <v>1906</v>
      </c>
      <c r="M1915" t="e">
        <f>INDEX(Stammdaten[Abholzigkeit (mm/lfm)],MATCH(Tabelle9[[#This Row],[Rank]],Stammdaten[Rank Verteilung Abholzigkeit],0))</f>
        <v>#N/A</v>
      </c>
      <c r="N1915" t="e">
        <f>VLOOKUP(Tabelle9[[#This Row],[Rank]],Stammdaten[[Rank Verteilung Abholzigkeit]:[Verteilung Abholzigkeit]],2,FALSE)</f>
        <v>#N/A</v>
      </c>
      <c r="S1915">
        <v>1906</v>
      </c>
      <c r="T1915" t="e">
        <f>INDEX(Stammdaten[Krümmung (mm/lfm)],MATCH(Tabelle10[[#This Row],[Rank]],Stammdaten[Rank Verteilung Krümmung],0))</f>
        <v>#N/A</v>
      </c>
      <c r="U1915" t="e">
        <f>VLOOKUP(Tabelle10[[#This Row],[Rank]],Stammdaten[[Rank Verteilung Krümmung]:[Verteilung Krümmung]],2,FALSE)</f>
        <v>#N/A</v>
      </c>
      <c r="Z1915">
        <v>1906</v>
      </c>
      <c r="AA1915" t="e">
        <f>INDEX(Stammdaten[Ovalität (']0,1'])],MATCH(Tabelle1014[[#This Row],[Rank]],Stammdaten[Rank Verteilung Ovalität],0))</f>
        <v>#N/A</v>
      </c>
      <c r="AB1915" t="e">
        <f>VLOOKUP(Tabelle1014[[#This Row],[Rank]],Stammdaten[[Rank Verteilung Ovalität]:[Verteilung Ovalität]],2,FALSE)</f>
        <v>#N/A</v>
      </c>
    </row>
    <row r="1916" spans="5:28" x14ac:dyDescent="0.35">
      <c r="E1916">
        <v>1907</v>
      </c>
      <c r="F1916" t="e">
        <f>INDEX(Stammdaten[D Mitte mit Rinde (mm)],MATCH(Tabelle8[[#This Row],[Rank]],Stammdaten[Rank Verteilung D Mitte mit Rinde],0))</f>
        <v>#N/A</v>
      </c>
      <c r="G1916" t="e">
        <f>VLOOKUP(Tabelle8[[#This Row],[Rank]],Stammdaten[[Rank Verteilung D Mitte mit Rinde]:[Verteilung D Mitte mit Rinde]],2,FALSE)</f>
        <v>#N/A</v>
      </c>
      <c r="L1916">
        <v>1907</v>
      </c>
      <c r="M1916" t="e">
        <f>INDEX(Stammdaten[Abholzigkeit (mm/lfm)],MATCH(Tabelle9[[#This Row],[Rank]],Stammdaten[Rank Verteilung Abholzigkeit],0))</f>
        <v>#N/A</v>
      </c>
      <c r="N1916" t="e">
        <f>VLOOKUP(Tabelle9[[#This Row],[Rank]],Stammdaten[[Rank Verteilung Abholzigkeit]:[Verteilung Abholzigkeit]],2,FALSE)</f>
        <v>#N/A</v>
      </c>
      <c r="S1916">
        <v>1907</v>
      </c>
      <c r="T1916" t="e">
        <f>INDEX(Stammdaten[Krümmung (mm/lfm)],MATCH(Tabelle10[[#This Row],[Rank]],Stammdaten[Rank Verteilung Krümmung],0))</f>
        <v>#N/A</v>
      </c>
      <c r="U1916" t="e">
        <f>VLOOKUP(Tabelle10[[#This Row],[Rank]],Stammdaten[[Rank Verteilung Krümmung]:[Verteilung Krümmung]],2,FALSE)</f>
        <v>#N/A</v>
      </c>
      <c r="Z1916">
        <v>1907</v>
      </c>
      <c r="AA1916" t="e">
        <f>INDEX(Stammdaten[Ovalität (']0,1'])],MATCH(Tabelle1014[[#This Row],[Rank]],Stammdaten[Rank Verteilung Ovalität],0))</f>
        <v>#N/A</v>
      </c>
      <c r="AB1916" t="e">
        <f>VLOOKUP(Tabelle1014[[#This Row],[Rank]],Stammdaten[[Rank Verteilung Ovalität]:[Verteilung Ovalität]],2,FALSE)</f>
        <v>#N/A</v>
      </c>
    </row>
    <row r="1917" spans="5:28" x14ac:dyDescent="0.35">
      <c r="E1917">
        <v>1908</v>
      </c>
      <c r="F1917" t="e">
        <f>INDEX(Stammdaten[D Mitte mit Rinde (mm)],MATCH(Tabelle8[[#This Row],[Rank]],Stammdaten[Rank Verteilung D Mitte mit Rinde],0))</f>
        <v>#N/A</v>
      </c>
      <c r="G1917" t="e">
        <f>VLOOKUP(Tabelle8[[#This Row],[Rank]],Stammdaten[[Rank Verteilung D Mitte mit Rinde]:[Verteilung D Mitte mit Rinde]],2,FALSE)</f>
        <v>#N/A</v>
      </c>
      <c r="L1917">
        <v>1908</v>
      </c>
      <c r="M1917" t="e">
        <f>INDEX(Stammdaten[Abholzigkeit (mm/lfm)],MATCH(Tabelle9[[#This Row],[Rank]],Stammdaten[Rank Verteilung Abholzigkeit],0))</f>
        <v>#N/A</v>
      </c>
      <c r="N1917" t="e">
        <f>VLOOKUP(Tabelle9[[#This Row],[Rank]],Stammdaten[[Rank Verteilung Abholzigkeit]:[Verteilung Abholzigkeit]],2,FALSE)</f>
        <v>#N/A</v>
      </c>
      <c r="S1917">
        <v>1908</v>
      </c>
      <c r="T1917" t="e">
        <f>INDEX(Stammdaten[Krümmung (mm/lfm)],MATCH(Tabelle10[[#This Row],[Rank]],Stammdaten[Rank Verteilung Krümmung],0))</f>
        <v>#N/A</v>
      </c>
      <c r="U1917" t="e">
        <f>VLOOKUP(Tabelle10[[#This Row],[Rank]],Stammdaten[[Rank Verteilung Krümmung]:[Verteilung Krümmung]],2,FALSE)</f>
        <v>#N/A</v>
      </c>
      <c r="Z1917">
        <v>1908</v>
      </c>
      <c r="AA1917" t="e">
        <f>INDEX(Stammdaten[Ovalität (']0,1'])],MATCH(Tabelle1014[[#This Row],[Rank]],Stammdaten[Rank Verteilung Ovalität],0))</f>
        <v>#N/A</v>
      </c>
      <c r="AB1917" t="e">
        <f>VLOOKUP(Tabelle1014[[#This Row],[Rank]],Stammdaten[[Rank Verteilung Ovalität]:[Verteilung Ovalität]],2,FALSE)</f>
        <v>#N/A</v>
      </c>
    </row>
    <row r="1918" spans="5:28" x14ac:dyDescent="0.35">
      <c r="E1918">
        <v>1909</v>
      </c>
      <c r="F1918" t="e">
        <f>INDEX(Stammdaten[D Mitte mit Rinde (mm)],MATCH(Tabelle8[[#This Row],[Rank]],Stammdaten[Rank Verteilung D Mitte mit Rinde],0))</f>
        <v>#N/A</v>
      </c>
      <c r="G1918" t="e">
        <f>VLOOKUP(Tabelle8[[#This Row],[Rank]],Stammdaten[[Rank Verteilung D Mitte mit Rinde]:[Verteilung D Mitte mit Rinde]],2,FALSE)</f>
        <v>#N/A</v>
      </c>
      <c r="L1918">
        <v>1909</v>
      </c>
      <c r="M1918" t="e">
        <f>INDEX(Stammdaten[Abholzigkeit (mm/lfm)],MATCH(Tabelle9[[#This Row],[Rank]],Stammdaten[Rank Verteilung Abholzigkeit],0))</f>
        <v>#N/A</v>
      </c>
      <c r="N1918" t="e">
        <f>VLOOKUP(Tabelle9[[#This Row],[Rank]],Stammdaten[[Rank Verteilung Abholzigkeit]:[Verteilung Abholzigkeit]],2,FALSE)</f>
        <v>#N/A</v>
      </c>
      <c r="S1918">
        <v>1909</v>
      </c>
      <c r="T1918" t="e">
        <f>INDEX(Stammdaten[Krümmung (mm/lfm)],MATCH(Tabelle10[[#This Row],[Rank]],Stammdaten[Rank Verteilung Krümmung],0))</f>
        <v>#N/A</v>
      </c>
      <c r="U1918" t="e">
        <f>VLOOKUP(Tabelle10[[#This Row],[Rank]],Stammdaten[[Rank Verteilung Krümmung]:[Verteilung Krümmung]],2,FALSE)</f>
        <v>#N/A</v>
      </c>
      <c r="Z1918">
        <v>1909</v>
      </c>
      <c r="AA1918" t="e">
        <f>INDEX(Stammdaten[Ovalität (']0,1'])],MATCH(Tabelle1014[[#This Row],[Rank]],Stammdaten[Rank Verteilung Ovalität],0))</f>
        <v>#N/A</v>
      </c>
      <c r="AB1918" t="e">
        <f>VLOOKUP(Tabelle1014[[#This Row],[Rank]],Stammdaten[[Rank Verteilung Ovalität]:[Verteilung Ovalität]],2,FALSE)</f>
        <v>#N/A</v>
      </c>
    </row>
    <row r="1919" spans="5:28" x14ac:dyDescent="0.35">
      <c r="E1919">
        <v>1910</v>
      </c>
      <c r="F1919" t="e">
        <f>INDEX(Stammdaten[D Mitte mit Rinde (mm)],MATCH(Tabelle8[[#This Row],[Rank]],Stammdaten[Rank Verteilung D Mitte mit Rinde],0))</f>
        <v>#N/A</v>
      </c>
      <c r="G1919" t="e">
        <f>VLOOKUP(Tabelle8[[#This Row],[Rank]],Stammdaten[[Rank Verteilung D Mitte mit Rinde]:[Verteilung D Mitte mit Rinde]],2,FALSE)</f>
        <v>#N/A</v>
      </c>
      <c r="L1919">
        <v>1910</v>
      </c>
      <c r="M1919" t="e">
        <f>INDEX(Stammdaten[Abholzigkeit (mm/lfm)],MATCH(Tabelle9[[#This Row],[Rank]],Stammdaten[Rank Verteilung Abholzigkeit],0))</f>
        <v>#N/A</v>
      </c>
      <c r="N1919" t="e">
        <f>VLOOKUP(Tabelle9[[#This Row],[Rank]],Stammdaten[[Rank Verteilung Abholzigkeit]:[Verteilung Abholzigkeit]],2,FALSE)</f>
        <v>#N/A</v>
      </c>
      <c r="S1919">
        <v>1910</v>
      </c>
      <c r="T1919" t="e">
        <f>INDEX(Stammdaten[Krümmung (mm/lfm)],MATCH(Tabelle10[[#This Row],[Rank]],Stammdaten[Rank Verteilung Krümmung],0))</f>
        <v>#N/A</v>
      </c>
      <c r="U1919" t="e">
        <f>VLOOKUP(Tabelle10[[#This Row],[Rank]],Stammdaten[[Rank Verteilung Krümmung]:[Verteilung Krümmung]],2,FALSE)</f>
        <v>#N/A</v>
      </c>
      <c r="Z1919">
        <v>1910</v>
      </c>
      <c r="AA1919" t="e">
        <f>INDEX(Stammdaten[Ovalität (']0,1'])],MATCH(Tabelle1014[[#This Row],[Rank]],Stammdaten[Rank Verteilung Ovalität],0))</f>
        <v>#N/A</v>
      </c>
      <c r="AB1919" t="e">
        <f>VLOOKUP(Tabelle1014[[#This Row],[Rank]],Stammdaten[[Rank Verteilung Ovalität]:[Verteilung Ovalität]],2,FALSE)</f>
        <v>#N/A</v>
      </c>
    </row>
    <row r="1920" spans="5:28" x14ac:dyDescent="0.35">
      <c r="E1920">
        <v>1911</v>
      </c>
      <c r="F1920" t="e">
        <f>INDEX(Stammdaten[D Mitte mit Rinde (mm)],MATCH(Tabelle8[[#This Row],[Rank]],Stammdaten[Rank Verteilung D Mitte mit Rinde],0))</f>
        <v>#N/A</v>
      </c>
      <c r="G1920" t="e">
        <f>VLOOKUP(Tabelle8[[#This Row],[Rank]],Stammdaten[[Rank Verteilung D Mitte mit Rinde]:[Verteilung D Mitte mit Rinde]],2,FALSE)</f>
        <v>#N/A</v>
      </c>
      <c r="L1920">
        <v>1911</v>
      </c>
      <c r="M1920" t="e">
        <f>INDEX(Stammdaten[Abholzigkeit (mm/lfm)],MATCH(Tabelle9[[#This Row],[Rank]],Stammdaten[Rank Verteilung Abholzigkeit],0))</f>
        <v>#N/A</v>
      </c>
      <c r="N1920" t="e">
        <f>VLOOKUP(Tabelle9[[#This Row],[Rank]],Stammdaten[[Rank Verteilung Abholzigkeit]:[Verteilung Abholzigkeit]],2,FALSE)</f>
        <v>#N/A</v>
      </c>
      <c r="S1920">
        <v>1911</v>
      </c>
      <c r="T1920" t="e">
        <f>INDEX(Stammdaten[Krümmung (mm/lfm)],MATCH(Tabelle10[[#This Row],[Rank]],Stammdaten[Rank Verteilung Krümmung],0))</f>
        <v>#N/A</v>
      </c>
      <c r="U1920" t="e">
        <f>VLOOKUP(Tabelle10[[#This Row],[Rank]],Stammdaten[[Rank Verteilung Krümmung]:[Verteilung Krümmung]],2,FALSE)</f>
        <v>#N/A</v>
      </c>
      <c r="Z1920">
        <v>1911</v>
      </c>
      <c r="AA1920" t="e">
        <f>INDEX(Stammdaten[Ovalität (']0,1'])],MATCH(Tabelle1014[[#This Row],[Rank]],Stammdaten[Rank Verteilung Ovalität],0))</f>
        <v>#N/A</v>
      </c>
      <c r="AB1920" t="e">
        <f>VLOOKUP(Tabelle1014[[#This Row],[Rank]],Stammdaten[[Rank Verteilung Ovalität]:[Verteilung Ovalität]],2,FALSE)</f>
        <v>#N/A</v>
      </c>
    </row>
    <row r="1921" spans="5:28" x14ac:dyDescent="0.35">
      <c r="E1921">
        <v>1912</v>
      </c>
      <c r="F1921" t="e">
        <f>INDEX(Stammdaten[D Mitte mit Rinde (mm)],MATCH(Tabelle8[[#This Row],[Rank]],Stammdaten[Rank Verteilung D Mitte mit Rinde],0))</f>
        <v>#N/A</v>
      </c>
      <c r="G1921" t="e">
        <f>VLOOKUP(Tabelle8[[#This Row],[Rank]],Stammdaten[[Rank Verteilung D Mitte mit Rinde]:[Verteilung D Mitte mit Rinde]],2,FALSE)</f>
        <v>#N/A</v>
      </c>
      <c r="L1921">
        <v>1912</v>
      </c>
      <c r="M1921" t="e">
        <f>INDEX(Stammdaten[Abholzigkeit (mm/lfm)],MATCH(Tabelle9[[#This Row],[Rank]],Stammdaten[Rank Verteilung Abholzigkeit],0))</f>
        <v>#N/A</v>
      </c>
      <c r="N1921" t="e">
        <f>VLOOKUP(Tabelle9[[#This Row],[Rank]],Stammdaten[[Rank Verteilung Abholzigkeit]:[Verteilung Abholzigkeit]],2,FALSE)</f>
        <v>#N/A</v>
      </c>
      <c r="S1921">
        <v>1912</v>
      </c>
      <c r="T1921" t="e">
        <f>INDEX(Stammdaten[Krümmung (mm/lfm)],MATCH(Tabelle10[[#This Row],[Rank]],Stammdaten[Rank Verteilung Krümmung],0))</f>
        <v>#N/A</v>
      </c>
      <c r="U1921" t="e">
        <f>VLOOKUP(Tabelle10[[#This Row],[Rank]],Stammdaten[[Rank Verteilung Krümmung]:[Verteilung Krümmung]],2,FALSE)</f>
        <v>#N/A</v>
      </c>
      <c r="Z1921">
        <v>1912</v>
      </c>
      <c r="AA1921" t="e">
        <f>INDEX(Stammdaten[Ovalität (']0,1'])],MATCH(Tabelle1014[[#This Row],[Rank]],Stammdaten[Rank Verteilung Ovalität],0))</f>
        <v>#N/A</v>
      </c>
      <c r="AB1921" t="e">
        <f>VLOOKUP(Tabelle1014[[#This Row],[Rank]],Stammdaten[[Rank Verteilung Ovalität]:[Verteilung Ovalität]],2,FALSE)</f>
        <v>#N/A</v>
      </c>
    </row>
    <row r="1922" spans="5:28" x14ac:dyDescent="0.35">
      <c r="E1922">
        <v>1913</v>
      </c>
      <c r="F1922" t="e">
        <f>INDEX(Stammdaten[D Mitte mit Rinde (mm)],MATCH(Tabelle8[[#This Row],[Rank]],Stammdaten[Rank Verteilung D Mitte mit Rinde],0))</f>
        <v>#N/A</v>
      </c>
      <c r="G1922" t="e">
        <f>VLOOKUP(Tabelle8[[#This Row],[Rank]],Stammdaten[[Rank Verteilung D Mitte mit Rinde]:[Verteilung D Mitte mit Rinde]],2,FALSE)</f>
        <v>#N/A</v>
      </c>
      <c r="L1922">
        <v>1913</v>
      </c>
      <c r="M1922" t="e">
        <f>INDEX(Stammdaten[Abholzigkeit (mm/lfm)],MATCH(Tabelle9[[#This Row],[Rank]],Stammdaten[Rank Verteilung Abholzigkeit],0))</f>
        <v>#N/A</v>
      </c>
      <c r="N1922" t="e">
        <f>VLOOKUP(Tabelle9[[#This Row],[Rank]],Stammdaten[[Rank Verteilung Abholzigkeit]:[Verteilung Abholzigkeit]],2,FALSE)</f>
        <v>#N/A</v>
      </c>
      <c r="S1922">
        <v>1913</v>
      </c>
      <c r="T1922" t="e">
        <f>INDEX(Stammdaten[Krümmung (mm/lfm)],MATCH(Tabelle10[[#This Row],[Rank]],Stammdaten[Rank Verteilung Krümmung],0))</f>
        <v>#N/A</v>
      </c>
      <c r="U1922" t="e">
        <f>VLOOKUP(Tabelle10[[#This Row],[Rank]],Stammdaten[[Rank Verteilung Krümmung]:[Verteilung Krümmung]],2,FALSE)</f>
        <v>#N/A</v>
      </c>
      <c r="Z1922">
        <v>1913</v>
      </c>
      <c r="AA1922" t="e">
        <f>INDEX(Stammdaten[Ovalität (']0,1'])],MATCH(Tabelle1014[[#This Row],[Rank]],Stammdaten[Rank Verteilung Ovalität],0))</f>
        <v>#N/A</v>
      </c>
      <c r="AB1922" t="e">
        <f>VLOOKUP(Tabelle1014[[#This Row],[Rank]],Stammdaten[[Rank Verteilung Ovalität]:[Verteilung Ovalität]],2,FALSE)</f>
        <v>#N/A</v>
      </c>
    </row>
    <row r="1923" spans="5:28" x14ac:dyDescent="0.35">
      <c r="E1923">
        <v>1914</v>
      </c>
      <c r="F1923" t="e">
        <f>INDEX(Stammdaten[D Mitte mit Rinde (mm)],MATCH(Tabelle8[[#This Row],[Rank]],Stammdaten[Rank Verteilung D Mitte mit Rinde],0))</f>
        <v>#N/A</v>
      </c>
      <c r="G1923" t="e">
        <f>VLOOKUP(Tabelle8[[#This Row],[Rank]],Stammdaten[[Rank Verteilung D Mitte mit Rinde]:[Verteilung D Mitte mit Rinde]],2,FALSE)</f>
        <v>#N/A</v>
      </c>
      <c r="L1923">
        <v>1914</v>
      </c>
      <c r="M1923" t="e">
        <f>INDEX(Stammdaten[Abholzigkeit (mm/lfm)],MATCH(Tabelle9[[#This Row],[Rank]],Stammdaten[Rank Verteilung Abholzigkeit],0))</f>
        <v>#N/A</v>
      </c>
      <c r="N1923" t="e">
        <f>VLOOKUP(Tabelle9[[#This Row],[Rank]],Stammdaten[[Rank Verteilung Abholzigkeit]:[Verteilung Abholzigkeit]],2,FALSE)</f>
        <v>#N/A</v>
      </c>
      <c r="S1923">
        <v>1914</v>
      </c>
      <c r="T1923" t="e">
        <f>INDEX(Stammdaten[Krümmung (mm/lfm)],MATCH(Tabelle10[[#This Row],[Rank]],Stammdaten[Rank Verteilung Krümmung],0))</f>
        <v>#N/A</v>
      </c>
      <c r="U1923" t="e">
        <f>VLOOKUP(Tabelle10[[#This Row],[Rank]],Stammdaten[[Rank Verteilung Krümmung]:[Verteilung Krümmung]],2,FALSE)</f>
        <v>#N/A</v>
      </c>
      <c r="Z1923">
        <v>1914</v>
      </c>
      <c r="AA1923" t="e">
        <f>INDEX(Stammdaten[Ovalität (']0,1'])],MATCH(Tabelle1014[[#This Row],[Rank]],Stammdaten[Rank Verteilung Ovalität],0))</f>
        <v>#N/A</v>
      </c>
      <c r="AB1923" t="e">
        <f>VLOOKUP(Tabelle1014[[#This Row],[Rank]],Stammdaten[[Rank Verteilung Ovalität]:[Verteilung Ovalität]],2,FALSE)</f>
        <v>#N/A</v>
      </c>
    </row>
    <row r="1924" spans="5:28" x14ac:dyDescent="0.35">
      <c r="E1924">
        <v>1915</v>
      </c>
      <c r="F1924" t="e">
        <f>INDEX(Stammdaten[D Mitte mit Rinde (mm)],MATCH(Tabelle8[[#This Row],[Rank]],Stammdaten[Rank Verteilung D Mitte mit Rinde],0))</f>
        <v>#N/A</v>
      </c>
      <c r="G1924" t="e">
        <f>VLOOKUP(Tabelle8[[#This Row],[Rank]],Stammdaten[[Rank Verteilung D Mitte mit Rinde]:[Verteilung D Mitte mit Rinde]],2,FALSE)</f>
        <v>#N/A</v>
      </c>
      <c r="L1924">
        <v>1915</v>
      </c>
      <c r="M1924" t="e">
        <f>INDEX(Stammdaten[Abholzigkeit (mm/lfm)],MATCH(Tabelle9[[#This Row],[Rank]],Stammdaten[Rank Verteilung Abholzigkeit],0))</f>
        <v>#N/A</v>
      </c>
      <c r="N1924" t="e">
        <f>VLOOKUP(Tabelle9[[#This Row],[Rank]],Stammdaten[[Rank Verteilung Abholzigkeit]:[Verteilung Abholzigkeit]],2,FALSE)</f>
        <v>#N/A</v>
      </c>
      <c r="S1924">
        <v>1915</v>
      </c>
      <c r="T1924" t="e">
        <f>INDEX(Stammdaten[Krümmung (mm/lfm)],MATCH(Tabelle10[[#This Row],[Rank]],Stammdaten[Rank Verteilung Krümmung],0))</f>
        <v>#N/A</v>
      </c>
      <c r="U1924" t="e">
        <f>VLOOKUP(Tabelle10[[#This Row],[Rank]],Stammdaten[[Rank Verteilung Krümmung]:[Verteilung Krümmung]],2,FALSE)</f>
        <v>#N/A</v>
      </c>
      <c r="Z1924">
        <v>1915</v>
      </c>
      <c r="AA1924" t="e">
        <f>INDEX(Stammdaten[Ovalität (']0,1'])],MATCH(Tabelle1014[[#This Row],[Rank]],Stammdaten[Rank Verteilung Ovalität],0))</f>
        <v>#N/A</v>
      </c>
      <c r="AB1924" t="e">
        <f>VLOOKUP(Tabelle1014[[#This Row],[Rank]],Stammdaten[[Rank Verteilung Ovalität]:[Verteilung Ovalität]],2,FALSE)</f>
        <v>#N/A</v>
      </c>
    </row>
    <row r="1925" spans="5:28" x14ac:dyDescent="0.35">
      <c r="E1925">
        <v>1916</v>
      </c>
      <c r="F1925" t="e">
        <f>INDEX(Stammdaten[D Mitte mit Rinde (mm)],MATCH(Tabelle8[[#This Row],[Rank]],Stammdaten[Rank Verteilung D Mitte mit Rinde],0))</f>
        <v>#N/A</v>
      </c>
      <c r="G1925" t="e">
        <f>VLOOKUP(Tabelle8[[#This Row],[Rank]],Stammdaten[[Rank Verteilung D Mitte mit Rinde]:[Verteilung D Mitte mit Rinde]],2,FALSE)</f>
        <v>#N/A</v>
      </c>
      <c r="L1925">
        <v>1916</v>
      </c>
      <c r="M1925" t="e">
        <f>INDEX(Stammdaten[Abholzigkeit (mm/lfm)],MATCH(Tabelle9[[#This Row],[Rank]],Stammdaten[Rank Verteilung Abholzigkeit],0))</f>
        <v>#N/A</v>
      </c>
      <c r="N1925" t="e">
        <f>VLOOKUP(Tabelle9[[#This Row],[Rank]],Stammdaten[[Rank Verteilung Abholzigkeit]:[Verteilung Abholzigkeit]],2,FALSE)</f>
        <v>#N/A</v>
      </c>
      <c r="S1925">
        <v>1916</v>
      </c>
      <c r="T1925" t="e">
        <f>INDEX(Stammdaten[Krümmung (mm/lfm)],MATCH(Tabelle10[[#This Row],[Rank]],Stammdaten[Rank Verteilung Krümmung],0))</f>
        <v>#N/A</v>
      </c>
      <c r="U1925" t="e">
        <f>VLOOKUP(Tabelle10[[#This Row],[Rank]],Stammdaten[[Rank Verteilung Krümmung]:[Verteilung Krümmung]],2,FALSE)</f>
        <v>#N/A</v>
      </c>
      <c r="Z1925">
        <v>1916</v>
      </c>
      <c r="AA1925" t="e">
        <f>INDEX(Stammdaten[Ovalität (']0,1'])],MATCH(Tabelle1014[[#This Row],[Rank]],Stammdaten[Rank Verteilung Ovalität],0))</f>
        <v>#N/A</v>
      </c>
      <c r="AB1925" t="e">
        <f>VLOOKUP(Tabelle1014[[#This Row],[Rank]],Stammdaten[[Rank Verteilung Ovalität]:[Verteilung Ovalität]],2,FALSE)</f>
        <v>#N/A</v>
      </c>
    </row>
    <row r="1926" spans="5:28" x14ac:dyDescent="0.35">
      <c r="E1926">
        <v>1917</v>
      </c>
      <c r="F1926" t="e">
        <f>INDEX(Stammdaten[D Mitte mit Rinde (mm)],MATCH(Tabelle8[[#This Row],[Rank]],Stammdaten[Rank Verteilung D Mitte mit Rinde],0))</f>
        <v>#N/A</v>
      </c>
      <c r="G1926" t="e">
        <f>VLOOKUP(Tabelle8[[#This Row],[Rank]],Stammdaten[[Rank Verteilung D Mitte mit Rinde]:[Verteilung D Mitte mit Rinde]],2,FALSE)</f>
        <v>#N/A</v>
      </c>
      <c r="L1926">
        <v>1917</v>
      </c>
      <c r="M1926" t="e">
        <f>INDEX(Stammdaten[Abholzigkeit (mm/lfm)],MATCH(Tabelle9[[#This Row],[Rank]],Stammdaten[Rank Verteilung Abholzigkeit],0))</f>
        <v>#N/A</v>
      </c>
      <c r="N1926" t="e">
        <f>VLOOKUP(Tabelle9[[#This Row],[Rank]],Stammdaten[[Rank Verteilung Abholzigkeit]:[Verteilung Abholzigkeit]],2,FALSE)</f>
        <v>#N/A</v>
      </c>
      <c r="S1926">
        <v>1917</v>
      </c>
      <c r="T1926" t="e">
        <f>INDEX(Stammdaten[Krümmung (mm/lfm)],MATCH(Tabelle10[[#This Row],[Rank]],Stammdaten[Rank Verteilung Krümmung],0))</f>
        <v>#N/A</v>
      </c>
      <c r="U1926" t="e">
        <f>VLOOKUP(Tabelle10[[#This Row],[Rank]],Stammdaten[[Rank Verteilung Krümmung]:[Verteilung Krümmung]],2,FALSE)</f>
        <v>#N/A</v>
      </c>
      <c r="Z1926">
        <v>1917</v>
      </c>
      <c r="AA1926" t="e">
        <f>INDEX(Stammdaten[Ovalität (']0,1'])],MATCH(Tabelle1014[[#This Row],[Rank]],Stammdaten[Rank Verteilung Ovalität],0))</f>
        <v>#N/A</v>
      </c>
      <c r="AB1926" t="e">
        <f>VLOOKUP(Tabelle1014[[#This Row],[Rank]],Stammdaten[[Rank Verteilung Ovalität]:[Verteilung Ovalität]],2,FALSE)</f>
        <v>#N/A</v>
      </c>
    </row>
    <row r="1927" spans="5:28" x14ac:dyDescent="0.35">
      <c r="E1927">
        <v>1918</v>
      </c>
      <c r="F1927" t="e">
        <f>INDEX(Stammdaten[D Mitte mit Rinde (mm)],MATCH(Tabelle8[[#This Row],[Rank]],Stammdaten[Rank Verteilung D Mitte mit Rinde],0))</f>
        <v>#N/A</v>
      </c>
      <c r="G1927" t="e">
        <f>VLOOKUP(Tabelle8[[#This Row],[Rank]],Stammdaten[[Rank Verteilung D Mitte mit Rinde]:[Verteilung D Mitte mit Rinde]],2,FALSE)</f>
        <v>#N/A</v>
      </c>
      <c r="L1927">
        <v>1918</v>
      </c>
      <c r="M1927" t="e">
        <f>INDEX(Stammdaten[Abholzigkeit (mm/lfm)],MATCH(Tabelle9[[#This Row],[Rank]],Stammdaten[Rank Verteilung Abholzigkeit],0))</f>
        <v>#N/A</v>
      </c>
      <c r="N1927" t="e">
        <f>VLOOKUP(Tabelle9[[#This Row],[Rank]],Stammdaten[[Rank Verteilung Abholzigkeit]:[Verteilung Abholzigkeit]],2,FALSE)</f>
        <v>#N/A</v>
      </c>
      <c r="S1927">
        <v>1918</v>
      </c>
      <c r="T1927" t="e">
        <f>INDEX(Stammdaten[Krümmung (mm/lfm)],MATCH(Tabelle10[[#This Row],[Rank]],Stammdaten[Rank Verteilung Krümmung],0))</f>
        <v>#N/A</v>
      </c>
      <c r="U1927" t="e">
        <f>VLOOKUP(Tabelle10[[#This Row],[Rank]],Stammdaten[[Rank Verteilung Krümmung]:[Verteilung Krümmung]],2,FALSE)</f>
        <v>#N/A</v>
      </c>
      <c r="Z1927">
        <v>1918</v>
      </c>
      <c r="AA1927" t="e">
        <f>INDEX(Stammdaten[Ovalität (']0,1'])],MATCH(Tabelle1014[[#This Row],[Rank]],Stammdaten[Rank Verteilung Ovalität],0))</f>
        <v>#N/A</v>
      </c>
      <c r="AB1927" t="e">
        <f>VLOOKUP(Tabelle1014[[#This Row],[Rank]],Stammdaten[[Rank Verteilung Ovalität]:[Verteilung Ovalität]],2,FALSE)</f>
        <v>#N/A</v>
      </c>
    </row>
    <row r="1928" spans="5:28" x14ac:dyDescent="0.35">
      <c r="E1928">
        <v>1919</v>
      </c>
      <c r="F1928" t="e">
        <f>INDEX(Stammdaten[D Mitte mit Rinde (mm)],MATCH(Tabelle8[[#This Row],[Rank]],Stammdaten[Rank Verteilung D Mitte mit Rinde],0))</f>
        <v>#N/A</v>
      </c>
      <c r="G1928" t="e">
        <f>VLOOKUP(Tabelle8[[#This Row],[Rank]],Stammdaten[[Rank Verteilung D Mitte mit Rinde]:[Verteilung D Mitte mit Rinde]],2,FALSE)</f>
        <v>#N/A</v>
      </c>
      <c r="L1928">
        <v>1919</v>
      </c>
      <c r="M1928" t="e">
        <f>INDEX(Stammdaten[Abholzigkeit (mm/lfm)],MATCH(Tabelle9[[#This Row],[Rank]],Stammdaten[Rank Verteilung Abholzigkeit],0))</f>
        <v>#N/A</v>
      </c>
      <c r="N1928" t="e">
        <f>VLOOKUP(Tabelle9[[#This Row],[Rank]],Stammdaten[[Rank Verteilung Abholzigkeit]:[Verteilung Abholzigkeit]],2,FALSE)</f>
        <v>#N/A</v>
      </c>
      <c r="S1928">
        <v>1919</v>
      </c>
      <c r="T1928" t="e">
        <f>INDEX(Stammdaten[Krümmung (mm/lfm)],MATCH(Tabelle10[[#This Row],[Rank]],Stammdaten[Rank Verteilung Krümmung],0))</f>
        <v>#N/A</v>
      </c>
      <c r="U1928" t="e">
        <f>VLOOKUP(Tabelle10[[#This Row],[Rank]],Stammdaten[[Rank Verteilung Krümmung]:[Verteilung Krümmung]],2,FALSE)</f>
        <v>#N/A</v>
      </c>
      <c r="Z1928">
        <v>1919</v>
      </c>
      <c r="AA1928" t="e">
        <f>INDEX(Stammdaten[Ovalität (']0,1'])],MATCH(Tabelle1014[[#This Row],[Rank]],Stammdaten[Rank Verteilung Ovalität],0))</f>
        <v>#N/A</v>
      </c>
      <c r="AB1928" t="e">
        <f>VLOOKUP(Tabelle1014[[#This Row],[Rank]],Stammdaten[[Rank Verteilung Ovalität]:[Verteilung Ovalität]],2,FALSE)</f>
        <v>#N/A</v>
      </c>
    </row>
    <row r="1929" spans="5:28" x14ac:dyDescent="0.35">
      <c r="E1929">
        <v>1920</v>
      </c>
      <c r="F1929" t="e">
        <f>INDEX(Stammdaten[D Mitte mit Rinde (mm)],MATCH(Tabelle8[[#This Row],[Rank]],Stammdaten[Rank Verteilung D Mitte mit Rinde],0))</f>
        <v>#N/A</v>
      </c>
      <c r="G1929" t="e">
        <f>VLOOKUP(Tabelle8[[#This Row],[Rank]],Stammdaten[[Rank Verteilung D Mitte mit Rinde]:[Verteilung D Mitte mit Rinde]],2,FALSE)</f>
        <v>#N/A</v>
      </c>
      <c r="L1929">
        <v>1920</v>
      </c>
      <c r="M1929" t="e">
        <f>INDEX(Stammdaten[Abholzigkeit (mm/lfm)],MATCH(Tabelle9[[#This Row],[Rank]],Stammdaten[Rank Verteilung Abholzigkeit],0))</f>
        <v>#N/A</v>
      </c>
      <c r="N1929" t="e">
        <f>VLOOKUP(Tabelle9[[#This Row],[Rank]],Stammdaten[[Rank Verteilung Abholzigkeit]:[Verteilung Abholzigkeit]],2,FALSE)</f>
        <v>#N/A</v>
      </c>
      <c r="S1929">
        <v>1920</v>
      </c>
      <c r="T1929" t="e">
        <f>INDEX(Stammdaten[Krümmung (mm/lfm)],MATCH(Tabelle10[[#This Row],[Rank]],Stammdaten[Rank Verteilung Krümmung],0))</f>
        <v>#N/A</v>
      </c>
      <c r="U1929" t="e">
        <f>VLOOKUP(Tabelle10[[#This Row],[Rank]],Stammdaten[[Rank Verteilung Krümmung]:[Verteilung Krümmung]],2,FALSE)</f>
        <v>#N/A</v>
      </c>
      <c r="Z1929">
        <v>1920</v>
      </c>
      <c r="AA1929" t="e">
        <f>INDEX(Stammdaten[Ovalität (']0,1'])],MATCH(Tabelle1014[[#This Row],[Rank]],Stammdaten[Rank Verteilung Ovalität],0))</f>
        <v>#N/A</v>
      </c>
      <c r="AB1929" t="e">
        <f>VLOOKUP(Tabelle1014[[#This Row],[Rank]],Stammdaten[[Rank Verteilung Ovalität]:[Verteilung Ovalität]],2,FALSE)</f>
        <v>#N/A</v>
      </c>
    </row>
    <row r="1930" spans="5:28" x14ac:dyDescent="0.35">
      <c r="E1930">
        <v>1921</v>
      </c>
      <c r="F1930" t="e">
        <f>INDEX(Stammdaten[D Mitte mit Rinde (mm)],MATCH(Tabelle8[[#This Row],[Rank]],Stammdaten[Rank Verteilung D Mitte mit Rinde],0))</f>
        <v>#N/A</v>
      </c>
      <c r="G1930" t="e">
        <f>VLOOKUP(Tabelle8[[#This Row],[Rank]],Stammdaten[[Rank Verteilung D Mitte mit Rinde]:[Verteilung D Mitte mit Rinde]],2,FALSE)</f>
        <v>#N/A</v>
      </c>
      <c r="L1930">
        <v>1921</v>
      </c>
      <c r="M1930" t="e">
        <f>INDEX(Stammdaten[Abholzigkeit (mm/lfm)],MATCH(Tabelle9[[#This Row],[Rank]],Stammdaten[Rank Verteilung Abholzigkeit],0))</f>
        <v>#N/A</v>
      </c>
      <c r="N1930" t="e">
        <f>VLOOKUP(Tabelle9[[#This Row],[Rank]],Stammdaten[[Rank Verteilung Abholzigkeit]:[Verteilung Abholzigkeit]],2,FALSE)</f>
        <v>#N/A</v>
      </c>
      <c r="S1930">
        <v>1921</v>
      </c>
      <c r="T1930" t="e">
        <f>INDEX(Stammdaten[Krümmung (mm/lfm)],MATCH(Tabelle10[[#This Row],[Rank]],Stammdaten[Rank Verteilung Krümmung],0))</f>
        <v>#N/A</v>
      </c>
      <c r="U1930" t="e">
        <f>VLOOKUP(Tabelle10[[#This Row],[Rank]],Stammdaten[[Rank Verteilung Krümmung]:[Verteilung Krümmung]],2,FALSE)</f>
        <v>#N/A</v>
      </c>
      <c r="Z1930">
        <v>1921</v>
      </c>
      <c r="AA1930" t="e">
        <f>INDEX(Stammdaten[Ovalität (']0,1'])],MATCH(Tabelle1014[[#This Row],[Rank]],Stammdaten[Rank Verteilung Ovalität],0))</f>
        <v>#N/A</v>
      </c>
      <c r="AB1930" t="e">
        <f>VLOOKUP(Tabelle1014[[#This Row],[Rank]],Stammdaten[[Rank Verteilung Ovalität]:[Verteilung Ovalität]],2,FALSE)</f>
        <v>#N/A</v>
      </c>
    </row>
    <row r="1931" spans="5:28" x14ac:dyDescent="0.35">
      <c r="E1931">
        <v>1922</v>
      </c>
      <c r="F1931" t="e">
        <f>INDEX(Stammdaten[D Mitte mit Rinde (mm)],MATCH(Tabelle8[[#This Row],[Rank]],Stammdaten[Rank Verteilung D Mitte mit Rinde],0))</f>
        <v>#N/A</v>
      </c>
      <c r="G1931" t="e">
        <f>VLOOKUP(Tabelle8[[#This Row],[Rank]],Stammdaten[[Rank Verteilung D Mitte mit Rinde]:[Verteilung D Mitte mit Rinde]],2,FALSE)</f>
        <v>#N/A</v>
      </c>
      <c r="L1931">
        <v>1922</v>
      </c>
      <c r="M1931" t="e">
        <f>INDEX(Stammdaten[Abholzigkeit (mm/lfm)],MATCH(Tabelle9[[#This Row],[Rank]],Stammdaten[Rank Verteilung Abholzigkeit],0))</f>
        <v>#N/A</v>
      </c>
      <c r="N1931" t="e">
        <f>VLOOKUP(Tabelle9[[#This Row],[Rank]],Stammdaten[[Rank Verteilung Abholzigkeit]:[Verteilung Abholzigkeit]],2,FALSE)</f>
        <v>#N/A</v>
      </c>
      <c r="S1931">
        <v>1922</v>
      </c>
      <c r="T1931" t="e">
        <f>INDEX(Stammdaten[Krümmung (mm/lfm)],MATCH(Tabelle10[[#This Row],[Rank]],Stammdaten[Rank Verteilung Krümmung],0))</f>
        <v>#N/A</v>
      </c>
      <c r="U1931" t="e">
        <f>VLOOKUP(Tabelle10[[#This Row],[Rank]],Stammdaten[[Rank Verteilung Krümmung]:[Verteilung Krümmung]],2,FALSE)</f>
        <v>#N/A</v>
      </c>
      <c r="Z1931">
        <v>1922</v>
      </c>
      <c r="AA1931" t="e">
        <f>INDEX(Stammdaten[Ovalität (']0,1'])],MATCH(Tabelle1014[[#This Row],[Rank]],Stammdaten[Rank Verteilung Ovalität],0))</f>
        <v>#N/A</v>
      </c>
      <c r="AB1931" t="e">
        <f>VLOOKUP(Tabelle1014[[#This Row],[Rank]],Stammdaten[[Rank Verteilung Ovalität]:[Verteilung Ovalität]],2,FALSE)</f>
        <v>#N/A</v>
      </c>
    </row>
    <row r="1932" spans="5:28" x14ac:dyDescent="0.35">
      <c r="E1932">
        <v>1923</v>
      </c>
      <c r="F1932" t="e">
        <f>INDEX(Stammdaten[D Mitte mit Rinde (mm)],MATCH(Tabelle8[[#This Row],[Rank]],Stammdaten[Rank Verteilung D Mitte mit Rinde],0))</f>
        <v>#N/A</v>
      </c>
      <c r="G1932" t="e">
        <f>VLOOKUP(Tabelle8[[#This Row],[Rank]],Stammdaten[[Rank Verteilung D Mitte mit Rinde]:[Verteilung D Mitte mit Rinde]],2,FALSE)</f>
        <v>#N/A</v>
      </c>
      <c r="L1932">
        <v>1923</v>
      </c>
      <c r="M1932" t="e">
        <f>INDEX(Stammdaten[Abholzigkeit (mm/lfm)],MATCH(Tabelle9[[#This Row],[Rank]],Stammdaten[Rank Verteilung Abholzigkeit],0))</f>
        <v>#N/A</v>
      </c>
      <c r="N1932" t="e">
        <f>VLOOKUP(Tabelle9[[#This Row],[Rank]],Stammdaten[[Rank Verteilung Abholzigkeit]:[Verteilung Abholzigkeit]],2,FALSE)</f>
        <v>#N/A</v>
      </c>
      <c r="S1932">
        <v>1923</v>
      </c>
      <c r="T1932" t="e">
        <f>INDEX(Stammdaten[Krümmung (mm/lfm)],MATCH(Tabelle10[[#This Row],[Rank]],Stammdaten[Rank Verteilung Krümmung],0))</f>
        <v>#N/A</v>
      </c>
      <c r="U1932" t="e">
        <f>VLOOKUP(Tabelle10[[#This Row],[Rank]],Stammdaten[[Rank Verteilung Krümmung]:[Verteilung Krümmung]],2,FALSE)</f>
        <v>#N/A</v>
      </c>
      <c r="Z1932">
        <v>1923</v>
      </c>
      <c r="AA1932" t="e">
        <f>INDEX(Stammdaten[Ovalität (']0,1'])],MATCH(Tabelle1014[[#This Row],[Rank]],Stammdaten[Rank Verteilung Ovalität],0))</f>
        <v>#N/A</v>
      </c>
      <c r="AB1932" t="e">
        <f>VLOOKUP(Tabelle1014[[#This Row],[Rank]],Stammdaten[[Rank Verteilung Ovalität]:[Verteilung Ovalität]],2,FALSE)</f>
        <v>#N/A</v>
      </c>
    </row>
    <row r="1933" spans="5:28" x14ac:dyDescent="0.35">
      <c r="E1933">
        <v>1924</v>
      </c>
      <c r="F1933" t="e">
        <f>INDEX(Stammdaten[D Mitte mit Rinde (mm)],MATCH(Tabelle8[[#This Row],[Rank]],Stammdaten[Rank Verteilung D Mitte mit Rinde],0))</f>
        <v>#N/A</v>
      </c>
      <c r="G1933" t="e">
        <f>VLOOKUP(Tabelle8[[#This Row],[Rank]],Stammdaten[[Rank Verteilung D Mitte mit Rinde]:[Verteilung D Mitte mit Rinde]],2,FALSE)</f>
        <v>#N/A</v>
      </c>
      <c r="L1933">
        <v>1924</v>
      </c>
      <c r="M1933" t="e">
        <f>INDEX(Stammdaten[Abholzigkeit (mm/lfm)],MATCH(Tabelle9[[#This Row],[Rank]],Stammdaten[Rank Verteilung Abholzigkeit],0))</f>
        <v>#N/A</v>
      </c>
      <c r="N1933" t="e">
        <f>VLOOKUP(Tabelle9[[#This Row],[Rank]],Stammdaten[[Rank Verteilung Abholzigkeit]:[Verteilung Abholzigkeit]],2,FALSE)</f>
        <v>#N/A</v>
      </c>
      <c r="S1933">
        <v>1924</v>
      </c>
      <c r="T1933" t="e">
        <f>INDEX(Stammdaten[Krümmung (mm/lfm)],MATCH(Tabelle10[[#This Row],[Rank]],Stammdaten[Rank Verteilung Krümmung],0))</f>
        <v>#N/A</v>
      </c>
      <c r="U1933" t="e">
        <f>VLOOKUP(Tabelle10[[#This Row],[Rank]],Stammdaten[[Rank Verteilung Krümmung]:[Verteilung Krümmung]],2,FALSE)</f>
        <v>#N/A</v>
      </c>
      <c r="Z1933">
        <v>1924</v>
      </c>
      <c r="AA1933" t="e">
        <f>INDEX(Stammdaten[Ovalität (']0,1'])],MATCH(Tabelle1014[[#This Row],[Rank]],Stammdaten[Rank Verteilung Ovalität],0))</f>
        <v>#N/A</v>
      </c>
      <c r="AB1933" t="e">
        <f>VLOOKUP(Tabelle1014[[#This Row],[Rank]],Stammdaten[[Rank Verteilung Ovalität]:[Verteilung Ovalität]],2,FALSE)</f>
        <v>#N/A</v>
      </c>
    </row>
    <row r="1934" spans="5:28" x14ac:dyDescent="0.35">
      <c r="E1934">
        <v>1925</v>
      </c>
      <c r="F1934" t="e">
        <f>INDEX(Stammdaten[D Mitte mit Rinde (mm)],MATCH(Tabelle8[[#This Row],[Rank]],Stammdaten[Rank Verteilung D Mitte mit Rinde],0))</f>
        <v>#N/A</v>
      </c>
      <c r="G1934" t="e">
        <f>VLOOKUP(Tabelle8[[#This Row],[Rank]],Stammdaten[[Rank Verteilung D Mitte mit Rinde]:[Verteilung D Mitte mit Rinde]],2,FALSE)</f>
        <v>#N/A</v>
      </c>
      <c r="L1934">
        <v>1925</v>
      </c>
      <c r="M1934" t="e">
        <f>INDEX(Stammdaten[Abholzigkeit (mm/lfm)],MATCH(Tabelle9[[#This Row],[Rank]],Stammdaten[Rank Verteilung Abholzigkeit],0))</f>
        <v>#N/A</v>
      </c>
      <c r="N1934" t="e">
        <f>VLOOKUP(Tabelle9[[#This Row],[Rank]],Stammdaten[[Rank Verteilung Abholzigkeit]:[Verteilung Abholzigkeit]],2,FALSE)</f>
        <v>#N/A</v>
      </c>
      <c r="S1934">
        <v>1925</v>
      </c>
      <c r="T1934" t="e">
        <f>INDEX(Stammdaten[Krümmung (mm/lfm)],MATCH(Tabelle10[[#This Row],[Rank]],Stammdaten[Rank Verteilung Krümmung],0))</f>
        <v>#N/A</v>
      </c>
      <c r="U1934" t="e">
        <f>VLOOKUP(Tabelle10[[#This Row],[Rank]],Stammdaten[[Rank Verteilung Krümmung]:[Verteilung Krümmung]],2,FALSE)</f>
        <v>#N/A</v>
      </c>
      <c r="Z1934">
        <v>1925</v>
      </c>
      <c r="AA1934" t="e">
        <f>INDEX(Stammdaten[Ovalität (']0,1'])],MATCH(Tabelle1014[[#This Row],[Rank]],Stammdaten[Rank Verteilung Ovalität],0))</f>
        <v>#N/A</v>
      </c>
      <c r="AB1934" t="e">
        <f>VLOOKUP(Tabelle1014[[#This Row],[Rank]],Stammdaten[[Rank Verteilung Ovalität]:[Verteilung Ovalität]],2,FALSE)</f>
        <v>#N/A</v>
      </c>
    </row>
    <row r="1935" spans="5:28" x14ac:dyDescent="0.35">
      <c r="E1935">
        <v>1926</v>
      </c>
      <c r="F1935" t="e">
        <f>INDEX(Stammdaten[D Mitte mit Rinde (mm)],MATCH(Tabelle8[[#This Row],[Rank]],Stammdaten[Rank Verteilung D Mitte mit Rinde],0))</f>
        <v>#N/A</v>
      </c>
      <c r="G1935" t="e">
        <f>VLOOKUP(Tabelle8[[#This Row],[Rank]],Stammdaten[[Rank Verteilung D Mitte mit Rinde]:[Verteilung D Mitte mit Rinde]],2,FALSE)</f>
        <v>#N/A</v>
      </c>
      <c r="L1935">
        <v>1926</v>
      </c>
      <c r="M1935" t="e">
        <f>INDEX(Stammdaten[Abholzigkeit (mm/lfm)],MATCH(Tabelle9[[#This Row],[Rank]],Stammdaten[Rank Verteilung Abholzigkeit],0))</f>
        <v>#N/A</v>
      </c>
      <c r="N1935" t="e">
        <f>VLOOKUP(Tabelle9[[#This Row],[Rank]],Stammdaten[[Rank Verteilung Abholzigkeit]:[Verteilung Abholzigkeit]],2,FALSE)</f>
        <v>#N/A</v>
      </c>
      <c r="S1935">
        <v>1926</v>
      </c>
      <c r="T1935" t="e">
        <f>INDEX(Stammdaten[Krümmung (mm/lfm)],MATCH(Tabelle10[[#This Row],[Rank]],Stammdaten[Rank Verteilung Krümmung],0))</f>
        <v>#N/A</v>
      </c>
      <c r="U1935" t="e">
        <f>VLOOKUP(Tabelle10[[#This Row],[Rank]],Stammdaten[[Rank Verteilung Krümmung]:[Verteilung Krümmung]],2,FALSE)</f>
        <v>#N/A</v>
      </c>
      <c r="Z1935">
        <v>1926</v>
      </c>
      <c r="AA1935" t="e">
        <f>INDEX(Stammdaten[Ovalität (']0,1'])],MATCH(Tabelle1014[[#This Row],[Rank]],Stammdaten[Rank Verteilung Ovalität],0))</f>
        <v>#N/A</v>
      </c>
      <c r="AB1935" t="e">
        <f>VLOOKUP(Tabelle1014[[#This Row],[Rank]],Stammdaten[[Rank Verteilung Ovalität]:[Verteilung Ovalität]],2,FALSE)</f>
        <v>#N/A</v>
      </c>
    </row>
    <row r="1936" spans="5:28" x14ac:dyDescent="0.35">
      <c r="E1936">
        <v>1927</v>
      </c>
      <c r="F1936" t="e">
        <f>INDEX(Stammdaten[D Mitte mit Rinde (mm)],MATCH(Tabelle8[[#This Row],[Rank]],Stammdaten[Rank Verteilung D Mitte mit Rinde],0))</f>
        <v>#N/A</v>
      </c>
      <c r="G1936" t="e">
        <f>VLOOKUP(Tabelle8[[#This Row],[Rank]],Stammdaten[[Rank Verteilung D Mitte mit Rinde]:[Verteilung D Mitte mit Rinde]],2,FALSE)</f>
        <v>#N/A</v>
      </c>
      <c r="L1936">
        <v>1927</v>
      </c>
      <c r="M1936" t="e">
        <f>INDEX(Stammdaten[Abholzigkeit (mm/lfm)],MATCH(Tabelle9[[#This Row],[Rank]],Stammdaten[Rank Verteilung Abholzigkeit],0))</f>
        <v>#N/A</v>
      </c>
      <c r="N1936" t="e">
        <f>VLOOKUP(Tabelle9[[#This Row],[Rank]],Stammdaten[[Rank Verteilung Abholzigkeit]:[Verteilung Abholzigkeit]],2,FALSE)</f>
        <v>#N/A</v>
      </c>
      <c r="S1936">
        <v>1927</v>
      </c>
      <c r="T1936" t="e">
        <f>INDEX(Stammdaten[Krümmung (mm/lfm)],MATCH(Tabelle10[[#This Row],[Rank]],Stammdaten[Rank Verteilung Krümmung],0))</f>
        <v>#N/A</v>
      </c>
      <c r="U1936" t="e">
        <f>VLOOKUP(Tabelle10[[#This Row],[Rank]],Stammdaten[[Rank Verteilung Krümmung]:[Verteilung Krümmung]],2,FALSE)</f>
        <v>#N/A</v>
      </c>
      <c r="Z1936">
        <v>1927</v>
      </c>
      <c r="AA1936" t="e">
        <f>INDEX(Stammdaten[Ovalität (']0,1'])],MATCH(Tabelle1014[[#This Row],[Rank]],Stammdaten[Rank Verteilung Ovalität],0))</f>
        <v>#N/A</v>
      </c>
      <c r="AB1936" t="e">
        <f>VLOOKUP(Tabelle1014[[#This Row],[Rank]],Stammdaten[[Rank Verteilung Ovalität]:[Verteilung Ovalität]],2,FALSE)</f>
        <v>#N/A</v>
      </c>
    </row>
    <row r="1937" spans="5:28" x14ac:dyDescent="0.35">
      <c r="E1937">
        <v>1928</v>
      </c>
      <c r="F1937" t="e">
        <f>INDEX(Stammdaten[D Mitte mit Rinde (mm)],MATCH(Tabelle8[[#This Row],[Rank]],Stammdaten[Rank Verteilung D Mitte mit Rinde],0))</f>
        <v>#N/A</v>
      </c>
      <c r="G1937" t="e">
        <f>VLOOKUP(Tabelle8[[#This Row],[Rank]],Stammdaten[[Rank Verteilung D Mitte mit Rinde]:[Verteilung D Mitte mit Rinde]],2,FALSE)</f>
        <v>#N/A</v>
      </c>
      <c r="L1937">
        <v>1928</v>
      </c>
      <c r="M1937" t="e">
        <f>INDEX(Stammdaten[Abholzigkeit (mm/lfm)],MATCH(Tabelle9[[#This Row],[Rank]],Stammdaten[Rank Verteilung Abholzigkeit],0))</f>
        <v>#N/A</v>
      </c>
      <c r="N1937" t="e">
        <f>VLOOKUP(Tabelle9[[#This Row],[Rank]],Stammdaten[[Rank Verteilung Abholzigkeit]:[Verteilung Abholzigkeit]],2,FALSE)</f>
        <v>#N/A</v>
      </c>
      <c r="S1937">
        <v>1928</v>
      </c>
      <c r="T1937" t="e">
        <f>INDEX(Stammdaten[Krümmung (mm/lfm)],MATCH(Tabelle10[[#This Row],[Rank]],Stammdaten[Rank Verteilung Krümmung],0))</f>
        <v>#N/A</v>
      </c>
      <c r="U1937" t="e">
        <f>VLOOKUP(Tabelle10[[#This Row],[Rank]],Stammdaten[[Rank Verteilung Krümmung]:[Verteilung Krümmung]],2,FALSE)</f>
        <v>#N/A</v>
      </c>
      <c r="Z1937">
        <v>1928</v>
      </c>
      <c r="AA1937" t="e">
        <f>INDEX(Stammdaten[Ovalität (']0,1'])],MATCH(Tabelle1014[[#This Row],[Rank]],Stammdaten[Rank Verteilung Ovalität],0))</f>
        <v>#N/A</v>
      </c>
      <c r="AB1937" t="e">
        <f>VLOOKUP(Tabelle1014[[#This Row],[Rank]],Stammdaten[[Rank Verteilung Ovalität]:[Verteilung Ovalität]],2,FALSE)</f>
        <v>#N/A</v>
      </c>
    </row>
    <row r="1938" spans="5:28" x14ac:dyDescent="0.35">
      <c r="E1938">
        <v>1929</v>
      </c>
      <c r="F1938" t="e">
        <f>INDEX(Stammdaten[D Mitte mit Rinde (mm)],MATCH(Tabelle8[[#This Row],[Rank]],Stammdaten[Rank Verteilung D Mitte mit Rinde],0))</f>
        <v>#N/A</v>
      </c>
      <c r="G1938" t="e">
        <f>VLOOKUP(Tabelle8[[#This Row],[Rank]],Stammdaten[[Rank Verteilung D Mitte mit Rinde]:[Verteilung D Mitte mit Rinde]],2,FALSE)</f>
        <v>#N/A</v>
      </c>
      <c r="L1938">
        <v>1929</v>
      </c>
      <c r="M1938" t="e">
        <f>INDEX(Stammdaten[Abholzigkeit (mm/lfm)],MATCH(Tabelle9[[#This Row],[Rank]],Stammdaten[Rank Verteilung Abholzigkeit],0))</f>
        <v>#N/A</v>
      </c>
      <c r="N1938" t="e">
        <f>VLOOKUP(Tabelle9[[#This Row],[Rank]],Stammdaten[[Rank Verteilung Abholzigkeit]:[Verteilung Abholzigkeit]],2,FALSE)</f>
        <v>#N/A</v>
      </c>
      <c r="S1938">
        <v>1929</v>
      </c>
      <c r="T1938" t="e">
        <f>INDEX(Stammdaten[Krümmung (mm/lfm)],MATCH(Tabelle10[[#This Row],[Rank]],Stammdaten[Rank Verteilung Krümmung],0))</f>
        <v>#N/A</v>
      </c>
      <c r="U1938" t="e">
        <f>VLOOKUP(Tabelle10[[#This Row],[Rank]],Stammdaten[[Rank Verteilung Krümmung]:[Verteilung Krümmung]],2,FALSE)</f>
        <v>#N/A</v>
      </c>
      <c r="Z1938">
        <v>1929</v>
      </c>
      <c r="AA1938" t="e">
        <f>INDEX(Stammdaten[Ovalität (']0,1'])],MATCH(Tabelle1014[[#This Row],[Rank]],Stammdaten[Rank Verteilung Ovalität],0))</f>
        <v>#N/A</v>
      </c>
      <c r="AB1938" t="e">
        <f>VLOOKUP(Tabelle1014[[#This Row],[Rank]],Stammdaten[[Rank Verteilung Ovalität]:[Verteilung Ovalität]],2,FALSE)</f>
        <v>#N/A</v>
      </c>
    </row>
    <row r="1939" spans="5:28" x14ac:dyDescent="0.35">
      <c r="E1939">
        <v>1930</v>
      </c>
      <c r="F1939" t="e">
        <f>INDEX(Stammdaten[D Mitte mit Rinde (mm)],MATCH(Tabelle8[[#This Row],[Rank]],Stammdaten[Rank Verteilung D Mitte mit Rinde],0))</f>
        <v>#N/A</v>
      </c>
      <c r="G1939" t="e">
        <f>VLOOKUP(Tabelle8[[#This Row],[Rank]],Stammdaten[[Rank Verteilung D Mitte mit Rinde]:[Verteilung D Mitte mit Rinde]],2,FALSE)</f>
        <v>#N/A</v>
      </c>
      <c r="L1939">
        <v>1930</v>
      </c>
      <c r="M1939" t="e">
        <f>INDEX(Stammdaten[Abholzigkeit (mm/lfm)],MATCH(Tabelle9[[#This Row],[Rank]],Stammdaten[Rank Verteilung Abholzigkeit],0))</f>
        <v>#N/A</v>
      </c>
      <c r="N1939" t="e">
        <f>VLOOKUP(Tabelle9[[#This Row],[Rank]],Stammdaten[[Rank Verteilung Abholzigkeit]:[Verteilung Abholzigkeit]],2,FALSE)</f>
        <v>#N/A</v>
      </c>
      <c r="S1939">
        <v>1930</v>
      </c>
      <c r="T1939" t="e">
        <f>INDEX(Stammdaten[Krümmung (mm/lfm)],MATCH(Tabelle10[[#This Row],[Rank]],Stammdaten[Rank Verteilung Krümmung],0))</f>
        <v>#N/A</v>
      </c>
      <c r="U1939" t="e">
        <f>VLOOKUP(Tabelle10[[#This Row],[Rank]],Stammdaten[[Rank Verteilung Krümmung]:[Verteilung Krümmung]],2,FALSE)</f>
        <v>#N/A</v>
      </c>
      <c r="Z1939">
        <v>1930</v>
      </c>
      <c r="AA1939" t="e">
        <f>INDEX(Stammdaten[Ovalität (']0,1'])],MATCH(Tabelle1014[[#This Row],[Rank]],Stammdaten[Rank Verteilung Ovalität],0))</f>
        <v>#N/A</v>
      </c>
      <c r="AB1939" t="e">
        <f>VLOOKUP(Tabelle1014[[#This Row],[Rank]],Stammdaten[[Rank Verteilung Ovalität]:[Verteilung Ovalität]],2,FALSE)</f>
        <v>#N/A</v>
      </c>
    </row>
    <row r="1940" spans="5:28" x14ac:dyDescent="0.35">
      <c r="E1940">
        <v>1931</v>
      </c>
      <c r="F1940" t="e">
        <f>INDEX(Stammdaten[D Mitte mit Rinde (mm)],MATCH(Tabelle8[[#This Row],[Rank]],Stammdaten[Rank Verteilung D Mitte mit Rinde],0))</f>
        <v>#N/A</v>
      </c>
      <c r="G1940" t="e">
        <f>VLOOKUP(Tabelle8[[#This Row],[Rank]],Stammdaten[[Rank Verteilung D Mitte mit Rinde]:[Verteilung D Mitte mit Rinde]],2,FALSE)</f>
        <v>#N/A</v>
      </c>
      <c r="L1940">
        <v>1931</v>
      </c>
      <c r="M1940" t="e">
        <f>INDEX(Stammdaten[Abholzigkeit (mm/lfm)],MATCH(Tabelle9[[#This Row],[Rank]],Stammdaten[Rank Verteilung Abholzigkeit],0))</f>
        <v>#N/A</v>
      </c>
      <c r="N1940" t="e">
        <f>VLOOKUP(Tabelle9[[#This Row],[Rank]],Stammdaten[[Rank Verteilung Abholzigkeit]:[Verteilung Abholzigkeit]],2,FALSE)</f>
        <v>#N/A</v>
      </c>
      <c r="S1940">
        <v>1931</v>
      </c>
      <c r="T1940" t="e">
        <f>INDEX(Stammdaten[Krümmung (mm/lfm)],MATCH(Tabelle10[[#This Row],[Rank]],Stammdaten[Rank Verteilung Krümmung],0))</f>
        <v>#N/A</v>
      </c>
      <c r="U1940" t="e">
        <f>VLOOKUP(Tabelle10[[#This Row],[Rank]],Stammdaten[[Rank Verteilung Krümmung]:[Verteilung Krümmung]],2,FALSE)</f>
        <v>#N/A</v>
      </c>
      <c r="Z1940">
        <v>1931</v>
      </c>
      <c r="AA1940" t="e">
        <f>INDEX(Stammdaten[Ovalität (']0,1'])],MATCH(Tabelle1014[[#This Row],[Rank]],Stammdaten[Rank Verteilung Ovalität],0))</f>
        <v>#N/A</v>
      </c>
      <c r="AB1940" t="e">
        <f>VLOOKUP(Tabelle1014[[#This Row],[Rank]],Stammdaten[[Rank Verteilung Ovalität]:[Verteilung Ovalität]],2,FALSE)</f>
        <v>#N/A</v>
      </c>
    </row>
    <row r="1941" spans="5:28" x14ac:dyDescent="0.35">
      <c r="E1941">
        <v>1932</v>
      </c>
      <c r="F1941" t="e">
        <f>INDEX(Stammdaten[D Mitte mit Rinde (mm)],MATCH(Tabelle8[[#This Row],[Rank]],Stammdaten[Rank Verteilung D Mitte mit Rinde],0))</f>
        <v>#N/A</v>
      </c>
      <c r="G1941" t="e">
        <f>VLOOKUP(Tabelle8[[#This Row],[Rank]],Stammdaten[[Rank Verteilung D Mitte mit Rinde]:[Verteilung D Mitte mit Rinde]],2,FALSE)</f>
        <v>#N/A</v>
      </c>
      <c r="L1941">
        <v>1932</v>
      </c>
      <c r="M1941" t="e">
        <f>INDEX(Stammdaten[Abholzigkeit (mm/lfm)],MATCH(Tabelle9[[#This Row],[Rank]],Stammdaten[Rank Verteilung Abholzigkeit],0))</f>
        <v>#N/A</v>
      </c>
      <c r="N1941" t="e">
        <f>VLOOKUP(Tabelle9[[#This Row],[Rank]],Stammdaten[[Rank Verteilung Abholzigkeit]:[Verteilung Abholzigkeit]],2,FALSE)</f>
        <v>#N/A</v>
      </c>
      <c r="S1941">
        <v>1932</v>
      </c>
      <c r="T1941" t="e">
        <f>INDEX(Stammdaten[Krümmung (mm/lfm)],MATCH(Tabelle10[[#This Row],[Rank]],Stammdaten[Rank Verteilung Krümmung],0))</f>
        <v>#N/A</v>
      </c>
      <c r="U1941" t="e">
        <f>VLOOKUP(Tabelle10[[#This Row],[Rank]],Stammdaten[[Rank Verteilung Krümmung]:[Verteilung Krümmung]],2,FALSE)</f>
        <v>#N/A</v>
      </c>
      <c r="Z1941">
        <v>1932</v>
      </c>
      <c r="AA1941" t="e">
        <f>INDEX(Stammdaten[Ovalität (']0,1'])],MATCH(Tabelle1014[[#This Row],[Rank]],Stammdaten[Rank Verteilung Ovalität],0))</f>
        <v>#N/A</v>
      </c>
      <c r="AB1941" t="e">
        <f>VLOOKUP(Tabelle1014[[#This Row],[Rank]],Stammdaten[[Rank Verteilung Ovalität]:[Verteilung Ovalität]],2,FALSE)</f>
        <v>#N/A</v>
      </c>
    </row>
    <row r="1942" spans="5:28" x14ac:dyDescent="0.35">
      <c r="E1942">
        <v>1933</v>
      </c>
      <c r="F1942" t="e">
        <f>INDEX(Stammdaten[D Mitte mit Rinde (mm)],MATCH(Tabelle8[[#This Row],[Rank]],Stammdaten[Rank Verteilung D Mitte mit Rinde],0))</f>
        <v>#N/A</v>
      </c>
      <c r="G1942" t="e">
        <f>VLOOKUP(Tabelle8[[#This Row],[Rank]],Stammdaten[[Rank Verteilung D Mitte mit Rinde]:[Verteilung D Mitte mit Rinde]],2,FALSE)</f>
        <v>#N/A</v>
      </c>
      <c r="L1942">
        <v>1933</v>
      </c>
      <c r="M1942" t="e">
        <f>INDEX(Stammdaten[Abholzigkeit (mm/lfm)],MATCH(Tabelle9[[#This Row],[Rank]],Stammdaten[Rank Verteilung Abholzigkeit],0))</f>
        <v>#N/A</v>
      </c>
      <c r="N1942" t="e">
        <f>VLOOKUP(Tabelle9[[#This Row],[Rank]],Stammdaten[[Rank Verteilung Abholzigkeit]:[Verteilung Abholzigkeit]],2,FALSE)</f>
        <v>#N/A</v>
      </c>
      <c r="S1942">
        <v>1933</v>
      </c>
      <c r="T1942" t="e">
        <f>INDEX(Stammdaten[Krümmung (mm/lfm)],MATCH(Tabelle10[[#This Row],[Rank]],Stammdaten[Rank Verteilung Krümmung],0))</f>
        <v>#N/A</v>
      </c>
      <c r="U1942" t="e">
        <f>VLOOKUP(Tabelle10[[#This Row],[Rank]],Stammdaten[[Rank Verteilung Krümmung]:[Verteilung Krümmung]],2,FALSE)</f>
        <v>#N/A</v>
      </c>
      <c r="Z1942">
        <v>1933</v>
      </c>
      <c r="AA1942" t="e">
        <f>INDEX(Stammdaten[Ovalität (']0,1'])],MATCH(Tabelle1014[[#This Row],[Rank]],Stammdaten[Rank Verteilung Ovalität],0))</f>
        <v>#N/A</v>
      </c>
      <c r="AB1942" t="e">
        <f>VLOOKUP(Tabelle1014[[#This Row],[Rank]],Stammdaten[[Rank Verteilung Ovalität]:[Verteilung Ovalität]],2,FALSE)</f>
        <v>#N/A</v>
      </c>
    </row>
    <row r="1943" spans="5:28" x14ac:dyDescent="0.35">
      <c r="E1943">
        <v>1934</v>
      </c>
      <c r="F1943" t="e">
        <f>INDEX(Stammdaten[D Mitte mit Rinde (mm)],MATCH(Tabelle8[[#This Row],[Rank]],Stammdaten[Rank Verteilung D Mitte mit Rinde],0))</f>
        <v>#N/A</v>
      </c>
      <c r="G1943" t="e">
        <f>VLOOKUP(Tabelle8[[#This Row],[Rank]],Stammdaten[[Rank Verteilung D Mitte mit Rinde]:[Verteilung D Mitte mit Rinde]],2,FALSE)</f>
        <v>#N/A</v>
      </c>
      <c r="L1943">
        <v>1934</v>
      </c>
      <c r="M1943" t="e">
        <f>INDEX(Stammdaten[Abholzigkeit (mm/lfm)],MATCH(Tabelle9[[#This Row],[Rank]],Stammdaten[Rank Verteilung Abholzigkeit],0))</f>
        <v>#N/A</v>
      </c>
      <c r="N1943" t="e">
        <f>VLOOKUP(Tabelle9[[#This Row],[Rank]],Stammdaten[[Rank Verteilung Abholzigkeit]:[Verteilung Abholzigkeit]],2,FALSE)</f>
        <v>#N/A</v>
      </c>
      <c r="S1943">
        <v>1934</v>
      </c>
      <c r="T1943" t="e">
        <f>INDEX(Stammdaten[Krümmung (mm/lfm)],MATCH(Tabelle10[[#This Row],[Rank]],Stammdaten[Rank Verteilung Krümmung],0))</f>
        <v>#N/A</v>
      </c>
      <c r="U1943" t="e">
        <f>VLOOKUP(Tabelle10[[#This Row],[Rank]],Stammdaten[[Rank Verteilung Krümmung]:[Verteilung Krümmung]],2,FALSE)</f>
        <v>#N/A</v>
      </c>
      <c r="Z1943">
        <v>1934</v>
      </c>
      <c r="AA1943" t="e">
        <f>INDEX(Stammdaten[Ovalität (']0,1'])],MATCH(Tabelle1014[[#This Row],[Rank]],Stammdaten[Rank Verteilung Ovalität],0))</f>
        <v>#N/A</v>
      </c>
      <c r="AB1943" t="e">
        <f>VLOOKUP(Tabelle1014[[#This Row],[Rank]],Stammdaten[[Rank Verteilung Ovalität]:[Verteilung Ovalität]],2,FALSE)</f>
        <v>#N/A</v>
      </c>
    </row>
    <row r="1944" spans="5:28" x14ac:dyDescent="0.35">
      <c r="E1944">
        <v>1935</v>
      </c>
      <c r="F1944" t="e">
        <f>INDEX(Stammdaten[D Mitte mit Rinde (mm)],MATCH(Tabelle8[[#This Row],[Rank]],Stammdaten[Rank Verteilung D Mitte mit Rinde],0))</f>
        <v>#N/A</v>
      </c>
      <c r="G1944" t="e">
        <f>VLOOKUP(Tabelle8[[#This Row],[Rank]],Stammdaten[[Rank Verteilung D Mitte mit Rinde]:[Verteilung D Mitte mit Rinde]],2,FALSE)</f>
        <v>#N/A</v>
      </c>
      <c r="L1944">
        <v>1935</v>
      </c>
      <c r="M1944" t="e">
        <f>INDEX(Stammdaten[Abholzigkeit (mm/lfm)],MATCH(Tabelle9[[#This Row],[Rank]],Stammdaten[Rank Verteilung Abholzigkeit],0))</f>
        <v>#N/A</v>
      </c>
      <c r="N1944" t="e">
        <f>VLOOKUP(Tabelle9[[#This Row],[Rank]],Stammdaten[[Rank Verteilung Abholzigkeit]:[Verteilung Abholzigkeit]],2,FALSE)</f>
        <v>#N/A</v>
      </c>
      <c r="S1944">
        <v>1935</v>
      </c>
      <c r="T1944" t="e">
        <f>INDEX(Stammdaten[Krümmung (mm/lfm)],MATCH(Tabelle10[[#This Row],[Rank]],Stammdaten[Rank Verteilung Krümmung],0))</f>
        <v>#N/A</v>
      </c>
      <c r="U1944" t="e">
        <f>VLOOKUP(Tabelle10[[#This Row],[Rank]],Stammdaten[[Rank Verteilung Krümmung]:[Verteilung Krümmung]],2,FALSE)</f>
        <v>#N/A</v>
      </c>
      <c r="Z1944">
        <v>1935</v>
      </c>
      <c r="AA1944" t="e">
        <f>INDEX(Stammdaten[Ovalität (']0,1'])],MATCH(Tabelle1014[[#This Row],[Rank]],Stammdaten[Rank Verteilung Ovalität],0))</f>
        <v>#N/A</v>
      </c>
      <c r="AB1944" t="e">
        <f>VLOOKUP(Tabelle1014[[#This Row],[Rank]],Stammdaten[[Rank Verteilung Ovalität]:[Verteilung Ovalität]],2,FALSE)</f>
        <v>#N/A</v>
      </c>
    </row>
    <row r="1945" spans="5:28" x14ac:dyDescent="0.35">
      <c r="E1945">
        <v>1936</v>
      </c>
      <c r="F1945" t="e">
        <f>INDEX(Stammdaten[D Mitte mit Rinde (mm)],MATCH(Tabelle8[[#This Row],[Rank]],Stammdaten[Rank Verteilung D Mitte mit Rinde],0))</f>
        <v>#N/A</v>
      </c>
      <c r="G1945" t="e">
        <f>VLOOKUP(Tabelle8[[#This Row],[Rank]],Stammdaten[[Rank Verteilung D Mitte mit Rinde]:[Verteilung D Mitte mit Rinde]],2,FALSE)</f>
        <v>#N/A</v>
      </c>
      <c r="L1945">
        <v>1936</v>
      </c>
      <c r="M1945" t="e">
        <f>INDEX(Stammdaten[Abholzigkeit (mm/lfm)],MATCH(Tabelle9[[#This Row],[Rank]],Stammdaten[Rank Verteilung Abholzigkeit],0))</f>
        <v>#N/A</v>
      </c>
      <c r="N1945" t="e">
        <f>VLOOKUP(Tabelle9[[#This Row],[Rank]],Stammdaten[[Rank Verteilung Abholzigkeit]:[Verteilung Abholzigkeit]],2,FALSE)</f>
        <v>#N/A</v>
      </c>
      <c r="S1945">
        <v>1936</v>
      </c>
      <c r="T1945" t="e">
        <f>INDEX(Stammdaten[Krümmung (mm/lfm)],MATCH(Tabelle10[[#This Row],[Rank]],Stammdaten[Rank Verteilung Krümmung],0))</f>
        <v>#N/A</v>
      </c>
      <c r="U1945" t="e">
        <f>VLOOKUP(Tabelle10[[#This Row],[Rank]],Stammdaten[[Rank Verteilung Krümmung]:[Verteilung Krümmung]],2,FALSE)</f>
        <v>#N/A</v>
      </c>
      <c r="Z1945">
        <v>1936</v>
      </c>
      <c r="AA1945" t="e">
        <f>INDEX(Stammdaten[Ovalität (']0,1'])],MATCH(Tabelle1014[[#This Row],[Rank]],Stammdaten[Rank Verteilung Ovalität],0))</f>
        <v>#N/A</v>
      </c>
      <c r="AB1945" t="e">
        <f>VLOOKUP(Tabelle1014[[#This Row],[Rank]],Stammdaten[[Rank Verteilung Ovalität]:[Verteilung Ovalität]],2,FALSE)</f>
        <v>#N/A</v>
      </c>
    </row>
    <row r="1946" spans="5:28" x14ac:dyDescent="0.35">
      <c r="E1946">
        <v>1937</v>
      </c>
      <c r="F1946" t="e">
        <f>INDEX(Stammdaten[D Mitte mit Rinde (mm)],MATCH(Tabelle8[[#This Row],[Rank]],Stammdaten[Rank Verteilung D Mitte mit Rinde],0))</f>
        <v>#N/A</v>
      </c>
      <c r="G1946" t="e">
        <f>VLOOKUP(Tabelle8[[#This Row],[Rank]],Stammdaten[[Rank Verteilung D Mitte mit Rinde]:[Verteilung D Mitte mit Rinde]],2,FALSE)</f>
        <v>#N/A</v>
      </c>
      <c r="L1946">
        <v>1937</v>
      </c>
      <c r="M1946" t="e">
        <f>INDEX(Stammdaten[Abholzigkeit (mm/lfm)],MATCH(Tabelle9[[#This Row],[Rank]],Stammdaten[Rank Verteilung Abholzigkeit],0))</f>
        <v>#N/A</v>
      </c>
      <c r="N1946" t="e">
        <f>VLOOKUP(Tabelle9[[#This Row],[Rank]],Stammdaten[[Rank Verteilung Abholzigkeit]:[Verteilung Abholzigkeit]],2,FALSE)</f>
        <v>#N/A</v>
      </c>
      <c r="S1946">
        <v>1937</v>
      </c>
      <c r="T1946" t="e">
        <f>INDEX(Stammdaten[Krümmung (mm/lfm)],MATCH(Tabelle10[[#This Row],[Rank]],Stammdaten[Rank Verteilung Krümmung],0))</f>
        <v>#N/A</v>
      </c>
      <c r="U1946" t="e">
        <f>VLOOKUP(Tabelle10[[#This Row],[Rank]],Stammdaten[[Rank Verteilung Krümmung]:[Verteilung Krümmung]],2,FALSE)</f>
        <v>#N/A</v>
      </c>
      <c r="Z1946">
        <v>1937</v>
      </c>
      <c r="AA1946" t="e">
        <f>INDEX(Stammdaten[Ovalität (']0,1'])],MATCH(Tabelle1014[[#This Row],[Rank]],Stammdaten[Rank Verteilung Ovalität],0))</f>
        <v>#N/A</v>
      </c>
      <c r="AB1946" t="e">
        <f>VLOOKUP(Tabelle1014[[#This Row],[Rank]],Stammdaten[[Rank Verteilung Ovalität]:[Verteilung Ovalität]],2,FALSE)</f>
        <v>#N/A</v>
      </c>
    </row>
    <row r="1947" spans="5:28" x14ac:dyDescent="0.35">
      <c r="E1947">
        <v>1938</v>
      </c>
      <c r="F1947" t="e">
        <f>INDEX(Stammdaten[D Mitte mit Rinde (mm)],MATCH(Tabelle8[[#This Row],[Rank]],Stammdaten[Rank Verteilung D Mitte mit Rinde],0))</f>
        <v>#N/A</v>
      </c>
      <c r="G1947" t="e">
        <f>VLOOKUP(Tabelle8[[#This Row],[Rank]],Stammdaten[[Rank Verteilung D Mitte mit Rinde]:[Verteilung D Mitte mit Rinde]],2,FALSE)</f>
        <v>#N/A</v>
      </c>
      <c r="L1947">
        <v>1938</v>
      </c>
      <c r="M1947" t="e">
        <f>INDEX(Stammdaten[Abholzigkeit (mm/lfm)],MATCH(Tabelle9[[#This Row],[Rank]],Stammdaten[Rank Verteilung Abholzigkeit],0))</f>
        <v>#N/A</v>
      </c>
      <c r="N1947" t="e">
        <f>VLOOKUP(Tabelle9[[#This Row],[Rank]],Stammdaten[[Rank Verteilung Abholzigkeit]:[Verteilung Abholzigkeit]],2,FALSE)</f>
        <v>#N/A</v>
      </c>
      <c r="S1947">
        <v>1938</v>
      </c>
      <c r="T1947" t="e">
        <f>INDEX(Stammdaten[Krümmung (mm/lfm)],MATCH(Tabelle10[[#This Row],[Rank]],Stammdaten[Rank Verteilung Krümmung],0))</f>
        <v>#N/A</v>
      </c>
      <c r="U1947" t="e">
        <f>VLOOKUP(Tabelle10[[#This Row],[Rank]],Stammdaten[[Rank Verteilung Krümmung]:[Verteilung Krümmung]],2,FALSE)</f>
        <v>#N/A</v>
      </c>
      <c r="Z1947">
        <v>1938</v>
      </c>
      <c r="AA1947" t="e">
        <f>INDEX(Stammdaten[Ovalität (']0,1'])],MATCH(Tabelle1014[[#This Row],[Rank]],Stammdaten[Rank Verteilung Ovalität],0))</f>
        <v>#N/A</v>
      </c>
      <c r="AB1947" t="e">
        <f>VLOOKUP(Tabelle1014[[#This Row],[Rank]],Stammdaten[[Rank Verteilung Ovalität]:[Verteilung Ovalität]],2,FALSE)</f>
        <v>#N/A</v>
      </c>
    </row>
    <row r="1948" spans="5:28" x14ac:dyDescent="0.35">
      <c r="E1948">
        <v>1939</v>
      </c>
      <c r="F1948" t="e">
        <f>INDEX(Stammdaten[D Mitte mit Rinde (mm)],MATCH(Tabelle8[[#This Row],[Rank]],Stammdaten[Rank Verteilung D Mitte mit Rinde],0))</f>
        <v>#N/A</v>
      </c>
      <c r="G1948" t="e">
        <f>VLOOKUP(Tabelle8[[#This Row],[Rank]],Stammdaten[[Rank Verteilung D Mitte mit Rinde]:[Verteilung D Mitte mit Rinde]],2,FALSE)</f>
        <v>#N/A</v>
      </c>
      <c r="L1948">
        <v>1939</v>
      </c>
      <c r="M1948" t="e">
        <f>INDEX(Stammdaten[Abholzigkeit (mm/lfm)],MATCH(Tabelle9[[#This Row],[Rank]],Stammdaten[Rank Verteilung Abholzigkeit],0))</f>
        <v>#N/A</v>
      </c>
      <c r="N1948" t="e">
        <f>VLOOKUP(Tabelle9[[#This Row],[Rank]],Stammdaten[[Rank Verteilung Abholzigkeit]:[Verteilung Abholzigkeit]],2,FALSE)</f>
        <v>#N/A</v>
      </c>
      <c r="S1948">
        <v>1939</v>
      </c>
      <c r="T1948" t="e">
        <f>INDEX(Stammdaten[Krümmung (mm/lfm)],MATCH(Tabelle10[[#This Row],[Rank]],Stammdaten[Rank Verteilung Krümmung],0))</f>
        <v>#N/A</v>
      </c>
      <c r="U1948" t="e">
        <f>VLOOKUP(Tabelle10[[#This Row],[Rank]],Stammdaten[[Rank Verteilung Krümmung]:[Verteilung Krümmung]],2,FALSE)</f>
        <v>#N/A</v>
      </c>
      <c r="Z1948">
        <v>1939</v>
      </c>
      <c r="AA1948" t="e">
        <f>INDEX(Stammdaten[Ovalität (']0,1'])],MATCH(Tabelle1014[[#This Row],[Rank]],Stammdaten[Rank Verteilung Ovalität],0))</f>
        <v>#N/A</v>
      </c>
      <c r="AB1948" t="e">
        <f>VLOOKUP(Tabelle1014[[#This Row],[Rank]],Stammdaten[[Rank Verteilung Ovalität]:[Verteilung Ovalität]],2,FALSE)</f>
        <v>#N/A</v>
      </c>
    </row>
    <row r="1949" spans="5:28" x14ac:dyDescent="0.35">
      <c r="E1949">
        <v>1940</v>
      </c>
      <c r="F1949" t="e">
        <f>INDEX(Stammdaten[D Mitte mit Rinde (mm)],MATCH(Tabelle8[[#This Row],[Rank]],Stammdaten[Rank Verteilung D Mitte mit Rinde],0))</f>
        <v>#N/A</v>
      </c>
      <c r="G1949" t="e">
        <f>VLOOKUP(Tabelle8[[#This Row],[Rank]],Stammdaten[[Rank Verteilung D Mitte mit Rinde]:[Verteilung D Mitte mit Rinde]],2,FALSE)</f>
        <v>#N/A</v>
      </c>
      <c r="L1949">
        <v>1940</v>
      </c>
      <c r="M1949" t="e">
        <f>INDEX(Stammdaten[Abholzigkeit (mm/lfm)],MATCH(Tabelle9[[#This Row],[Rank]],Stammdaten[Rank Verteilung Abholzigkeit],0))</f>
        <v>#N/A</v>
      </c>
      <c r="N1949" t="e">
        <f>VLOOKUP(Tabelle9[[#This Row],[Rank]],Stammdaten[[Rank Verteilung Abholzigkeit]:[Verteilung Abholzigkeit]],2,FALSE)</f>
        <v>#N/A</v>
      </c>
      <c r="S1949">
        <v>1940</v>
      </c>
      <c r="T1949" t="e">
        <f>INDEX(Stammdaten[Krümmung (mm/lfm)],MATCH(Tabelle10[[#This Row],[Rank]],Stammdaten[Rank Verteilung Krümmung],0))</f>
        <v>#N/A</v>
      </c>
      <c r="U1949" t="e">
        <f>VLOOKUP(Tabelle10[[#This Row],[Rank]],Stammdaten[[Rank Verteilung Krümmung]:[Verteilung Krümmung]],2,FALSE)</f>
        <v>#N/A</v>
      </c>
      <c r="Z1949">
        <v>1940</v>
      </c>
      <c r="AA1949" t="e">
        <f>INDEX(Stammdaten[Ovalität (']0,1'])],MATCH(Tabelle1014[[#This Row],[Rank]],Stammdaten[Rank Verteilung Ovalität],0))</f>
        <v>#N/A</v>
      </c>
      <c r="AB1949" t="e">
        <f>VLOOKUP(Tabelle1014[[#This Row],[Rank]],Stammdaten[[Rank Verteilung Ovalität]:[Verteilung Ovalität]],2,FALSE)</f>
        <v>#N/A</v>
      </c>
    </row>
    <row r="1950" spans="5:28" x14ac:dyDescent="0.35">
      <c r="E1950">
        <v>1941</v>
      </c>
      <c r="F1950" t="e">
        <f>INDEX(Stammdaten[D Mitte mit Rinde (mm)],MATCH(Tabelle8[[#This Row],[Rank]],Stammdaten[Rank Verteilung D Mitte mit Rinde],0))</f>
        <v>#N/A</v>
      </c>
      <c r="G1950" t="e">
        <f>VLOOKUP(Tabelle8[[#This Row],[Rank]],Stammdaten[[Rank Verteilung D Mitte mit Rinde]:[Verteilung D Mitte mit Rinde]],2,FALSE)</f>
        <v>#N/A</v>
      </c>
      <c r="L1950">
        <v>1941</v>
      </c>
      <c r="M1950" t="e">
        <f>INDEX(Stammdaten[Abholzigkeit (mm/lfm)],MATCH(Tabelle9[[#This Row],[Rank]],Stammdaten[Rank Verteilung Abholzigkeit],0))</f>
        <v>#N/A</v>
      </c>
      <c r="N1950" t="e">
        <f>VLOOKUP(Tabelle9[[#This Row],[Rank]],Stammdaten[[Rank Verteilung Abholzigkeit]:[Verteilung Abholzigkeit]],2,FALSE)</f>
        <v>#N/A</v>
      </c>
      <c r="S1950">
        <v>1941</v>
      </c>
      <c r="T1950" t="e">
        <f>INDEX(Stammdaten[Krümmung (mm/lfm)],MATCH(Tabelle10[[#This Row],[Rank]],Stammdaten[Rank Verteilung Krümmung],0))</f>
        <v>#N/A</v>
      </c>
      <c r="U1950" t="e">
        <f>VLOOKUP(Tabelle10[[#This Row],[Rank]],Stammdaten[[Rank Verteilung Krümmung]:[Verteilung Krümmung]],2,FALSE)</f>
        <v>#N/A</v>
      </c>
      <c r="Z1950">
        <v>1941</v>
      </c>
      <c r="AA1950" t="e">
        <f>INDEX(Stammdaten[Ovalität (']0,1'])],MATCH(Tabelle1014[[#This Row],[Rank]],Stammdaten[Rank Verteilung Ovalität],0))</f>
        <v>#N/A</v>
      </c>
      <c r="AB1950" t="e">
        <f>VLOOKUP(Tabelle1014[[#This Row],[Rank]],Stammdaten[[Rank Verteilung Ovalität]:[Verteilung Ovalität]],2,FALSE)</f>
        <v>#N/A</v>
      </c>
    </row>
    <row r="1951" spans="5:28" x14ac:dyDescent="0.35">
      <c r="E1951">
        <v>1942</v>
      </c>
      <c r="F1951" t="e">
        <f>INDEX(Stammdaten[D Mitte mit Rinde (mm)],MATCH(Tabelle8[[#This Row],[Rank]],Stammdaten[Rank Verteilung D Mitte mit Rinde],0))</f>
        <v>#N/A</v>
      </c>
      <c r="G1951" t="e">
        <f>VLOOKUP(Tabelle8[[#This Row],[Rank]],Stammdaten[[Rank Verteilung D Mitte mit Rinde]:[Verteilung D Mitte mit Rinde]],2,FALSE)</f>
        <v>#N/A</v>
      </c>
      <c r="L1951">
        <v>1942</v>
      </c>
      <c r="M1951" t="e">
        <f>INDEX(Stammdaten[Abholzigkeit (mm/lfm)],MATCH(Tabelle9[[#This Row],[Rank]],Stammdaten[Rank Verteilung Abholzigkeit],0))</f>
        <v>#N/A</v>
      </c>
      <c r="N1951" t="e">
        <f>VLOOKUP(Tabelle9[[#This Row],[Rank]],Stammdaten[[Rank Verteilung Abholzigkeit]:[Verteilung Abholzigkeit]],2,FALSE)</f>
        <v>#N/A</v>
      </c>
      <c r="S1951">
        <v>1942</v>
      </c>
      <c r="T1951" t="e">
        <f>INDEX(Stammdaten[Krümmung (mm/lfm)],MATCH(Tabelle10[[#This Row],[Rank]],Stammdaten[Rank Verteilung Krümmung],0))</f>
        <v>#N/A</v>
      </c>
      <c r="U1951" t="e">
        <f>VLOOKUP(Tabelle10[[#This Row],[Rank]],Stammdaten[[Rank Verteilung Krümmung]:[Verteilung Krümmung]],2,FALSE)</f>
        <v>#N/A</v>
      </c>
      <c r="Z1951">
        <v>1942</v>
      </c>
      <c r="AA1951" t="e">
        <f>INDEX(Stammdaten[Ovalität (']0,1'])],MATCH(Tabelle1014[[#This Row],[Rank]],Stammdaten[Rank Verteilung Ovalität],0))</f>
        <v>#N/A</v>
      </c>
      <c r="AB1951" t="e">
        <f>VLOOKUP(Tabelle1014[[#This Row],[Rank]],Stammdaten[[Rank Verteilung Ovalität]:[Verteilung Ovalität]],2,FALSE)</f>
        <v>#N/A</v>
      </c>
    </row>
    <row r="1952" spans="5:28" x14ac:dyDescent="0.35">
      <c r="E1952">
        <v>1943</v>
      </c>
      <c r="F1952" t="e">
        <f>INDEX(Stammdaten[D Mitte mit Rinde (mm)],MATCH(Tabelle8[[#This Row],[Rank]],Stammdaten[Rank Verteilung D Mitte mit Rinde],0))</f>
        <v>#N/A</v>
      </c>
      <c r="G1952" t="e">
        <f>VLOOKUP(Tabelle8[[#This Row],[Rank]],Stammdaten[[Rank Verteilung D Mitte mit Rinde]:[Verteilung D Mitte mit Rinde]],2,FALSE)</f>
        <v>#N/A</v>
      </c>
      <c r="L1952">
        <v>1943</v>
      </c>
      <c r="M1952" t="e">
        <f>INDEX(Stammdaten[Abholzigkeit (mm/lfm)],MATCH(Tabelle9[[#This Row],[Rank]],Stammdaten[Rank Verteilung Abholzigkeit],0))</f>
        <v>#N/A</v>
      </c>
      <c r="N1952" t="e">
        <f>VLOOKUP(Tabelle9[[#This Row],[Rank]],Stammdaten[[Rank Verteilung Abholzigkeit]:[Verteilung Abholzigkeit]],2,FALSE)</f>
        <v>#N/A</v>
      </c>
      <c r="S1952">
        <v>1943</v>
      </c>
      <c r="T1952" t="e">
        <f>INDEX(Stammdaten[Krümmung (mm/lfm)],MATCH(Tabelle10[[#This Row],[Rank]],Stammdaten[Rank Verteilung Krümmung],0))</f>
        <v>#N/A</v>
      </c>
      <c r="U1952" t="e">
        <f>VLOOKUP(Tabelle10[[#This Row],[Rank]],Stammdaten[[Rank Verteilung Krümmung]:[Verteilung Krümmung]],2,FALSE)</f>
        <v>#N/A</v>
      </c>
      <c r="Z1952">
        <v>1943</v>
      </c>
      <c r="AA1952" t="e">
        <f>INDEX(Stammdaten[Ovalität (']0,1'])],MATCH(Tabelle1014[[#This Row],[Rank]],Stammdaten[Rank Verteilung Ovalität],0))</f>
        <v>#N/A</v>
      </c>
      <c r="AB1952" t="e">
        <f>VLOOKUP(Tabelle1014[[#This Row],[Rank]],Stammdaten[[Rank Verteilung Ovalität]:[Verteilung Ovalität]],2,FALSE)</f>
        <v>#N/A</v>
      </c>
    </row>
    <row r="1953" spans="5:28" x14ac:dyDescent="0.35">
      <c r="E1953">
        <v>1944</v>
      </c>
      <c r="F1953" t="e">
        <f>INDEX(Stammdaten[D Mitte mit Rinde (mm)],MATCH(Tabelle8[[#This Row],[Rank]],Stammdaten[Rank Verteilung D Mitte mit Rinde],0))</f>
        <v>#N/A</v>
      </c>
      <c r="G1953" t="e">
        <f>VLOOKUP(Tabelle8[[#This Row],[Rank]],Stammdaten[[Rank Verteilung D Mitte mit Rinde]:[Verteilung D Mitte mit Rinde]],2,FALSE)</f>
        <v>#N/A</v>
      </c>
      <c r="L1953">
        <v>1944</v>
      </c>
      <c r="M1953" t="e">
        <f>INDEX(Stammdaten[Abholzigkeit (mm/lfm)],MATCH(Tabelle9[[#This Row],[Rank]],Stammdaten[Rank Verteilung Abholzigkeit],0))</f>
        <v>#N/A</v>
      </c>
      <c r="N1953" t="e">
        <f>VLOOKUP(Tabelle9[[#This Row],[Rank]],Stammdaten[[Rank Verteilung Abholzigkeit]:[Verteilung Abholzigkeit]],2,FALSE)</f>
        <v>#N/A</v>
      </c>
      <c r="S1953">
        <v>1944</v>
      </c>
      <c r="T1953" t="e">
        <f>INDEX(Stammdaten[Krümmung (mm/lfm)],MATCH(Tabelle10[[#This Row],[Rank]],Stammdaten[Rank Verteilung Krümmung],0))</f>
        <v>#N/A</v>
      </c>
      <c r="U1953" t="e">
        <f>VLOOKUP(Tabelle10[[#This Row],[Rank]],Stammdaten[[Rank Verteilung Krümmung]:[Verteilung Krümmung]],2,FALSE)</f>
        <v>#N/A</v>
      </c>
      <c r="Z1953">
        <v>1944</v>
      </c>
      <c r="AA1953" t="e">
        <f>INDEX(Stammdaten[Ovalität (']0,1'])],MATCH(Tabelle1014[[#This Row],[Rank]],Stammdaten[Rank Verteilung Ovalität],0))</f>
        <v>#N/A</v>
      </c>
      <c r="AB1953" t="e">
        <f>VLOOKUP(Tabelle1014[[#This Row],[Rank]],Stammdaten[[Rank Verteilung Ovalität]:[Verteilung Ovalität]],2,FALSE)</f>
        <v>#N/A</v>
      </c>
    </row>
    <row r="1954" spans="5:28" x14ac:dyDescent="0.35">
      <c r="E1954">
        <v>1945</v>
      </c>
      <c r="F1954" t="e">
        <f>INDEX(Stammdaten[D Mitte mit Rinde (mm)],MATCH(Tabelle8[[#This Row],[Rank]],Stammdaten[Rank Verteilung D Mitte mit Rinde],0))</f>
        <v>#N/A</v>
      </c>
      <c r="G1954" t="e">
        <f>VLOOKUP(Tabelle8[[#This Row],[Rank]],Stammdaten[[Rank Verteilung D Mitte mit Rinde]:[Verteilung D Mitte mit Rinde]],2,FALSE)</f>
        <v>#N/A</v>
      </c>
      <c r="L1954">
        <v>1945</v>
      </c>
      <c r="M1954" t="e">
        <f>INDEX(Stammdaten[Abholzigkeit (mm/lfm)],MATCH(Tabelle9[[#This Row],[Rank]],Stammdaten[Rank Verteilung Abholzigkeit],0))</f>
        <v>#N/A</v>
      </c>
      <c r="N1954" t="e">
        <f>VLOOKUP(Tabelle9[[#This Row],[Rank]],Stammdaten[[Rank Verteilung Abholzigkeit]:[Verteilung Abholzigkeit]],2,FALSE)</f>
        <v>#N/A</v>
      </c>
      <c r="S1954">
        <v>1945</v>
      </c>
      <c r="T1954" t="e">
        <f>INDEX(Stammdaten[Krümmung (mm/lfm)],MATCH(Tabelle10[[#This Row],[Rank]],Stammdaten[Rank Verteilung Krümmung],0))</f>
        <v>#N/A</v>
      </c>
      <c r="U1954" t="e">
        <f>VLOOKUP(Tabelle10[[#This Row],[Rank]],Stammdaten[[Rank Verteilung Krümmung]:[Verteilung Krümmung]],2,FALSE)</f>
        <v>#N/A</v>
      </c>
      <c r="Z1954">
        <v>1945</v>
      </c>
      <c r="AA1954" t="e">
        <f>INDEX(Stammdaten[Ovalität (']0,1'])],MATCH(Tabelle1014[[#This Row],[Rank]],Stammdaten[Rank Verteilung Ovalität],0))</f>
        <v>#N/A</v>
      </c>
      <c r="AB1954" t="e">
        <f>VLOOKUP(Tabelle1014[[#This Row],[Rank]],Stammdaten[[Rank Verteilung Ovalität]:[Verteilung Ovalität]],2,FALSE)</f>
        <v>#N/A</v>
      </c>
    </row>
    <row r="1955" spans="5:28" x14ac:dyDescent="0.35">
      <c r="E1955">
        <v>1946</v>
      </c>
      <c r="F1955" t="e">
        <f>INDEX(Stammdaten[D Mitte mit Rinde (mm)],MATCH(Tabelle8[[#This Row],[Rank]],Stammdaten[Rank Verteilung D Mitte mit Rinde],0))</f>
        <v>#N/A</v>
      </c>
      <c r="G1955" t="e">
        <f>VLOOKUP(Tabelle8[[#This Row],[Rank]],Stammdaten[[Rank Verteilung D Mitte mit Rinde]:[Verteilung D Mitte mit Rinde]],2,FALSE)</f>
        <v>#N/A</v>
      </c>
      <c r="L1955">
        <v>1946</v>
      </c>
      <c r="M1955" t="e">
        <f>INDEX(Stammdaten[Abholzigkeit (mm/lfm)],MATCH(Tabelle9[[#This Row],[Rank]],Stammdaten[Rank Verteilung Abholzigkeit],0))</f>
        <v>#N/A</v>
      </c>
      <c r="N1955" t="e">
        <f>VLOOKUP(Tabelle9[[#This Row],[Rank]],Stammdaten[[Rank Verteilung Abholzigkeit]:[Verteilung Abholzigkeit]],2,FALSE)</f>
        <v>#N/A</v>
      </c>
      <c r="S1955">
        <v>1946</v>
      </c>
      <c r="T1955" t="e">
        <f>INDEX(Stammdaten[Krümmung (mm/lfm)],MATCH(Tabelle10[[#This Row],[Rank]],Stammdaten[Rank Verteilung Krümmung],0))</f>
        <v>#N/A</v>
      </c>
      <c r="U1955" t="e">
        <f>VLOOKUP(Tabelle10[[#This Row],[Rank]],Stammdaten[[Rank Verteilung Krümmung]:[Verteilung Krümmung]],2,FALSE)</f>
        <v>#N/A</v>
      </c>
      <c r="Z1955">
        <v>1946</v>
      </c>
      <c r="AA1955" t="e">
        <f>INDEX(Stammdaten[Ovalität (']0,1'])],MATCH(Tabelle1014[[#This Row],[Rank]],Stammdaten[Rank Verteilung Ovalität],0))</f>
        <v>#N/A</v>
      </c>
      <c r="AB1955" t="e">
        <f>VLOOKUP(Tabelle1014[[#This Row],[Rank]],Stammdaten[[Rank Verteilung Ovalität]:[Verteilung Ovalität]],2,FALSE)</f>
        <v>#N/A</v>
      </c>
    </row>
    <row r="1956" spans="5:28" x14ac:dyDescent="0.35">
      <c r="E1956">
        <v>1947</v>
      </c>
      <c r="F1956" t="e">
        <f>INDEX(Stammdaten[D Mitte mit Rinde (mm)],MATCH(Tabelle8[[#This Row],[Rank]],Stammdaten[Rank Verteilung D Mitte mit Rinde],0))</f>
        <v>#N/A</v>
      </c>
      <c r="G1956" t="e">
        <f>VLOOKUP(Tabelle8[[#This Row],[Rank]],Stammdaten[[Rank Verteilung D Mitte mit Rinde]:[Verteilung D Mitte mit Rinde]],2,FALSE)</f>
        <v>#N/A</v>
      </c>
      <c r="L1956">
        <v>1947</v>
      </c>
      <c r="M1956" t="e">
        <f>INDEX(Stammdaten[Abholzigkeit (mm/lfm)],MATCH(Tabelle9[[#This Row],[Rank]],Stammdaten[Rank Verteilung Abholzigkeit],0))</f>
        <v>#N/A</v>
      </c>
      <c r="N1956" t="e">
        <f>VLOOKUP(Tabelle9[[#This Row],[Rank]],Stammdaten[[Rank Verteilung Abholzigkeit]:[Verteilung Abholzigkeit]],2,FALSE)</f>
        <v>#N/A</v>
      </c>
      <c r="S1956">
        <v>1947</v>
      </c>
      <c r="T1956" t="e">
        <f>INDEX(Stammdaten[Krümmung (mm/lfm)],MATCH(Tabelle10[[#This Row],[Rank]],Stammdaten[Rank Verteilung Krümmung],0))</f>
        <v>#N/A</v>
      </c>
      <c r="U1956" t="e">
        <f>VLOOKUP(Tabelle10[[#This Row],[Rank]],Stammdaten[[Rank Verteilung Krümmung]:[Verteilung Krümmung]],2,FALSE)</f>
        <v>#N/A</v>
      </c>
      <c r="Z1956">
        <v>1947</v>
      </c>
      <c r="AA1956" t="e">
        <f>INDEX(Stammdaten[Ovalität (']0,1'])],MATCH(Tabelle1014[[#This Row],[Rank]],Stammdaten[Rank Verteilung Ovalität],0))</f>
        <v>#N/A</v>
      </c>
      <c r="AB1956" t="e">
        <f>VLOOKUP(Tabelle1014[[#This Row],[Rank]],Stammdaten[[Rank Verteilung Ovalität]:[Verteilung Ovalität]],2,FALSE)</f>
        <v>#N/A</v>
      </c>
    </row>
    <row r="1957" spans="5:28" x14ac:dyDescent="0.35">
      <c r="E1957">
        <v>1948</v>
      </c>
      <c r="F1957" t="e">
        <f>INDEX(Stammdaten[D Mitte mit Rinde (mm)],MATCH(Tabelle8[[#This Row],[Rank]],Stammdaten[Rank Verteilung D Mitte mit Rinde],0))</f>
        <v>#N/A</v>
      </c>
      <c r="G1957" t="e">
        <f>VLOOKUP(Tabelle8[[#This Row],[Rank]],Stammdaten[[Rank Verteilung D Mitte mit Rinde]:[Verteilung D Mitte mit Rinde]],2,FALSE)</f>
        <v>#N/A</v>
      </c>
      <c r="L1957">
        <v>1948</v>
      </c>
      <c r="M1957" t="e">
        <f>INDEX(Stammdaten[Abholzigkeit (mm/lfm)],MATCH(Tabelle9[[#This Row],[Rank]],Stammdaten[Rank Verteilung Abholzigkeit],0))</f>
        <v>#N/A</v>
      </c>
      <c r="N1957" t="e">
        <f>VLOOKUP(Tabelle9[[#This Row],[Rank]],Stammdaten[[Rank Verteilung Abholzigkeit]:[Verteilung Abholzigkeit]],2,FALSE)</f>
        <v>#N/A</v>
      </c>
      <c r="S1957">
        <v>1948</v>
      </c>
      <c r="T1957" t="e">
        <f>INDEX(Stammdaten[Krümmung (mm/lfm)],MATCH(Tabelle10[[#This Row],[Rank]],Stammdaten[Rank Verteilung Krümmung],0))</f>
        <v>#N/A</v>
      </c>
      <c r="U1957" t="e">
        <f>VLOOKUP(Tabelle10[[#This Row],[Rank]],Stammdaten[[Rank Verteilung Krümmung]:[Verteilung Krümmung]],2,FALSE)</f>
        <v>#N/A</v>
      </c>
      <c r="Z1957">
        <v>1948</v>
      </c>
      <c r="AA1957" t="e">
        <f>INDEX(Stammdaten[Ovalität (']0,1'])],MATCH(Tabelle1014[[#This Row],[Rank]],Stammdaten[Rank Verteilung Ovalität],0))</f>
        <v>#N/A</v>
      </c>
      <c r="AB1957" t="e">
        <f>VLOOKUP(Tabelle1014[[#This Row],[Rank]],Stammdaten[[Rank Verteilung Ovalität]:[Verteilung Ovalität]],2,FALSE)</f>
        <v>#N/A</v>
      </c>
    </row>
    <row r="1958" spans="5:28" x14ac:dyDescent="0.35">
      <c r="E1958">
        <v>1949</v>
      </c>
      <c r="F1958" t="e">
        <f>INDEX(Stammdaten[D Mitte mit Rinde (mm)],MATCH(Tabelle8[[#This Row],[Rank]],Stammdaten[Rank Verteilung D Mitte mit Rinde],0))</f>
        <v>#N/A</v>
      </c>
      <c r="G1958" t="e">
        <f>VLOOKUP(Tabelle8[[#This Row],[Rank]],Stammdaten[[Rank Verteilung D Mitte mit Rinde]:[Verteilung D Mitte mit Rinde]],2,FALSE)</f>
        <v>#N/A</v>
      </c>
      <c r="L1958">
        <v>1949</v>
      </c>
      <c r="M1958" t="e">
        <f>INDEX(Stammdaten[Abholzigkeit (mm/lfm)],MATCH(Tabelle9[[#This Row],[Rank]],Stammdaten[Rank Verteilung Abholzigkeit],0))</f>
        <v>#N/A</v>
      </c>
      <c r="N1958" t="e">
        <f>VLOOKUP(Tabelle9[[#This Row],[Rank]],Stammdaten[[Rank Verteilung Abholzigkeit]:[Verteilung Abholzigkeit]],2,FALSE)</f>
        <v>#N/A</v>
      </c>
      <c r="S1958">
        <v>1949</v>
      </c>
      <c r="T1958" t="e">
        <f>INDEX(Stammdaten[Krümmung (mm/lfm)],MATCH(Tabelle10[[#This Row],[Rank]],Stammdaten[Rank Verteilung Krümmung],0))</f>
        <v>#N/A</v>
      </c>
      <c r="U1958" t="e">
        <f>VLOOKUP(Tabelle10[[#This Row],[Rank]],Stammdaten[[Rank Verteilung Krümmung]:[Verteilung Krümmung]],2,FALSE)</f>
        <v>#N/A</v>
      </c>
      <c r="Z1958">
        <v>1949</v>
      </c>
      <c r="AA1958" t="e">
        <f>INDEX(Stammdaten[Ovalität (']0,1'])],MATCH(Tabelle1014[[#This Row],[Rank]],Stammdaten[Rank Verteilung Ovalität],0))</f>
        <v>#N/A</v>
      </c>
      <c r="AB1958" t="e">
        <f>VLOOKUP(Tabelle1014[[#This Row],[Rank]],Stammdaten[[Rank Verteilung Ovalität]:[Verteilung Ovalität]],2,FALSE)</f>
        <v>#N/A</v>
      </c>
    </row>
    <row r="1959" spans="5:28" x14ac:dyDescent="0.35">
      <c r="E1959">
        <v>1950</v>
      </c>
      <c r="F1959" t="e">
        <f>INDEX(Stammdaten[D Mitte mit Rinde (mm)],MATCH(Tabelle8[[#This Row],[Rank]],Stammdaten[Rank Verteilung D Mitte mit Rinde],0))</f>
        <v>#N/A</v>
      </c>
      <c r="G1959" t="e">
        <f>VLOOKUP(Tabelle8[[#This Row],[Rank]],Stammdaten[[Rank Verteilung D Mitte mit Rinde]:[Verteilung D Mitte mit Rinde]],2,FALSE)</f>
        <v>#N/A</v>
      </c>
      <c r="L1959">
        <v>1950</v>
      </c>
      <c r="M1959" t="e">
        <f>INDEX(Stammdaten[Abholzigkeit (mm/lfm)],MATCH(Tabelle9[[#This Row],[Rank]],Stammdaten[Rank Verteilung Abholzigkeit],0))</f>
        <v>#N/A</v>
      </c>
      <c r="N1959" t="e">
        <f>VLOOKUP(Tabelle9[[#This Row],[Rank]],Stammdaten[[Rank Verteilung Abholzigkeit]:[Verteilung Abholzigkeit]],2,FALSE)</f>
        <v>#N/A</v>
      </c>
      <c r="S1959">
        <v>1950</v>
      </c>
      <c r="T1959" t="e">
        <f>INDEX(Stammdaten[Krümmung (mm/lfm)],MATCH(Tabelle10[[#This Row],[Rank]],Stammdaten[Rank Verteilung Krümmung],0))</f>
        <v>#N/A</v>
      </c>
      <c r="U1959" t="e">
        <f>VLOOKUP(Tabelle10[[#This Row],[Rank]],Stammdaten[[Rank Verteilung Krümmung]:[Verteilung Krümmung]],2,FALSE)</f>
        <v>#N/A</v>
      </c>
      <c r="Z1959">
        <v>1950</v>
      </c>
      <c r="AA1959" t="e">
        <f>INDEX(Stammdaten[Ovalität (']0,1'])],MATCH(Tabelle1014[[#This Row],[Rank]],Stammdaten[Rank Verteilung Ovalität],0))</f>
        <v>#N/A</v>
      </c>
      <c r="AB1959" t="e">
        <f>VLOOKUP(Tabelle1014[[#This Row],[Rank]],Stammdaten[[Rank Verteilung Ovalität]:[Verteilung Ovalität]],2,FALSE)</f>
        <v>#N/A</v>
      </c>
    </row>
    <row r="1960" spans="5:28" x14ac:dyDescent="0.35">
      <c r="E1960">
        <v>1951</v>
      </c>
      <c r="F1960" t="e">
        <f>INDEX(Stammdaten[D Mitte mit Rinde (mm)],MATCH(Tabelle8[[#This Row],[Rank]],Stammdaten[Rank Verteilung D Mitte mit Rinde],0))</f>
        <v>#N/A</v>
      </c>
      <c r="G1960" t="e">
        <f>VLOOKUP(Tabelle8[[#This Row],[Rank]],Stammdaten[[Rank Verteilung D Mitte mit Rinde]:[Verteilung D Mitte mit Rinde]],2,FALSE)</f>
        <v>#N/A</v>
      </c>
      <c r="L1960">
        <v>1951</v>
      </c>
      <c r="M1960" t="e">
        <f>INDEX(Stammdaten[Abholzigkeit (mm/lfm)],MATCH(Tabelle9[[#This Row],[Rank]],Stammdaten[Rank Verteilung Abholzigkeit],0))</f>
        <v>#N/A</v>
      </c>
      <c r="N1960" t="e">
        <f>VLOOKUP(Tabelle9[[#This Row],[Rank]],Stammdaten[[Rank Verteilung Abholzigkeit]:[Verteilung Abholzigkeit]],2,FALSE)</f>
        <v>#N/A</v>
      </c>
      <c r="S1960">
        <v>1951</v>
      </c>
      <c r="T1960" t="e">
        <f>INDEX(Stammdaten[Krümmung (mm/lfm)],MATCH(Tabelle10[[#This Row],[Rank]],Stammdaten[Rank Verteilung Krümmung],0))</f>
        <v>#N/A</v>
      </c>
      <c r="U1960" t="e">
        <f>VLOOKUP(Tabelle10[[#This Row],[Rank]],Stammdaten[[Rank Verteilung Krümmung]:[Verteilung Krümmung]],2,FALSE)</f>
        <v>#N/A</v>
      </c>
      <c r="Z1960">
        <v>1951</v>
      </c>
      <c r="AA1960" t="e">
        <f>INDEX(Stammdaten[Ovalität (']0,1'])],MATCH(Tabelle1014[[#This Row],[Rank]],Stammdaten[Rank Verteilung Ovalität],0))</f>
        <v>#N/A</v>
      </c>
      <c r="AB1960" t="e">
        <f>VLOOKUP(Tabelle1014[[#This Row],[Rank]],Stammdaten[[Rank Verteilung Ovalität]:[Verteilung Ovalität]],2,FALSE)</f>
        <v>#N/A</v>
      </c>
    </row>
    <row r="1961" spans="5:28" x14ac:dyDescent="0.35">
      <c r="E1961">
        <v>1952</v>
      </c>
      <c r="F1961" t="e">
        <f>INDEX(Stammdaten[D Mitte mit Rinde (mm)],MATCH(Tabelle8[[#This Row],[Rank]],Stammdaten[Rank Verteilung D Mitte mit Rinde],0))</f>
        <v>#N/A</v>
      </c>
      <c r="G1961" t="e">
        <f>VLOOKUP(Tabelle8[[#This Row],[Rank]],Stammdaten[[Rank Verteilung D Mitte mit Rinde]:[Verteilung D Mitte mit Rinde]],2,FALSE)</f>
        <v>#N/A</v>
      </c>
      <c r="L1961">
        <v>1952</v>
      </c>
      <c r="M1961" t="e">
        <f>INDEX(Stammdaten[Abholzigkeit (mm/lfm)],MATCH(Tabelle9[[#This Row],[Rank]],Stammdaten[Rank Verteilung Abholzigkeit],0))</f>
        <v>#N/A</v>
      </c>
      <c r="N1961" t="e">
        <f>VLOOKUP(Tabelle9[[#This Row],[Rank]],Stammdaten[[Rank Verteilung Abholzigkeit]:[Verteilung Abholzigkeit]],2,FALSE)</f>
        <v>#N/A</v>
      </c>
      <c r="S1961">
        <v>1952</v>
      </c>
      <c r="T1961" t="e">
        <f>INDEX(Stammdaten[Krümmung (mm/lfm)],MATCH(Tabelle10[[#This Row],[Rank]],Stammdaten[Rank Verteilung Krümmung],0))</f>
        <v>#N/A</v>
      </c>
      <c r="U1961" t="e">
        <f>VLOOKUP(Tabelle10[[#This Row],[Rank]],Stammdaten[[Rank Verteilung Krümmung]:[Verteilung Krümmung]],2,FALSE)</f>
        <v>#N/A</v>
      </c>
      <c r="Z1961">
        <v>1952</v>
      </c>
      <c r="AA1961" t="e">
        <f>INDEX(Stammdaten[Ovalität (']0,1'])],MATCH(Tabelle1014[[#This Row],[Rank]],Stammdaten[Rank Verteilung Ovalität],0))</f>
        <v>#N/A</v>
      </c>
      <c r="AB1961" t="e">
        <f>VLOOKUP(Tabelle1014[[#This Row],[Rank]],Stammdaten[[Rank Verteilung Ovalität]:[Verteilung Ovalität]],2,FALSE)</f>
        <v>#N/A</v>
      </c>
    </row>
    <row r="1962" spans="5:28" x14ac:dyDescent="0.35">
      <c r="E1962">
        <v>1953</v>
      </c>
      <c r="F1962" t="e">
        <f>INDEX(Stammdaten[D Mitte mit Rinde (mm)],MATCH(Tabelle8[[#This Row],[Rank]],Stammdaten[Rank Verteilung D Mitte mit Rinde],0))</f>
        <v>#N/A</v>
      </c>
      <c r="G1962" t="e">
        <f>VLOOKUP(Tabelle8[[#This Row],[Rank]],Stammdaten[[Rank Verteilung D Mitte mit Rinde]:[Verteilung D Mitte mit Rinde]],2,FALSE)</f>
        <v>#N/A</v>
      </c>
      <c r="L1962">
        <v>1953</v>
      </c>
      <c r="M1962" t="e">
        <f>INDEX(Stammdaten[Abholzigkeit (mm/lfm)],MATCH(Tabelle9[[#This Row],[Rank]],Stammdaten[Rank Verteilung Abholzigkeit],0))</f>
        <v>#N/A</v>
      </c>
      <c r="N1962" t="e">
        <f>VLOOKUP(Tabelle9[[#This Row],[Rank]],Stammdaten[[Rank Verteilung Abholzigkeit]:[Verteilung Abholzigkeit]],2,FALSE)</f>
        <v>#N/A</v>
      </c>
      <c r="S1962">
        <v>1953</v>
      </c>
      <c r="T1962" t="e">
        <f>INDEX(Stammdaten[Krümmung (mm/lfm)],MATCH(Tabelle10[[#This Row],[Rank]],Stammdaten[Rank Verteilung Krümmung],0))</f>
        <v>#N/A</v>
      </c>
      <c r="U1962" t="e">
        <f>VLOOKUP(Tabelle10[[#This Row],[Rank]],Stammdaten[[Rank Verteilung Krümmung]:[Verteilung Krümmung]],2,FALSE)</f>
        <v>#N/A</v>
      </c>
      <c r="Z1962">
        <v>1953</v>
      </c>
      <c r="AA1962" t="e">
        <f>INDEX(Stammdaten[Ovalität (']0,1'])],MATCH(Tabelle1014[[#This Row],[Rank]],Stammdaten[Rank Verteilung Ovalität],0))</f>
        <v>#N/A</v>
      </c>
      <c r="AB1962" t="e">
        <f>VLOOKUP(Tabelle1014[[#This Row],[Rank]],Stammdaten[[Rank Verteilung Ovalität]:[Verteilung Ovalität]],2,FALSE)</f>
        <v>#N/A</v>
      </c>
    </row>
    <row r="1963" spans="5:28" x14ac:dyDescent="0.35">
      <c r="E1963">
        <v>1954</v>
      </c>
      <c r="F1963" t="e">
        <f>INDEX(Stammdaten[D Mitte mit Rinde (mm)],MATCH(Tabelle8[[#This Row],[Rank]],Stammdaten[Rank Verteilung D Mitte mit Rinde],0))</f>
        <v>#N/A</v>
      </c>
      <c r="G1963" t="e">
        <f>VLOOKUP(Tabelle8[[#This Row],[Rank]],Stammdaten[[Rank Verteilung D Mitte mit Rinde]:[Verteilung D Mitte mit Rinde]],2,FALSE)</f>
        <v>#N/A</v>
      </c>
      <c r="L1963">
        <v>1954</v>
      </c>
      <c r="M1963" t="e">
        <f>INDEX(Stammdaten[Abholzigkeit (mm/lfm)],MATCH(Tabelle9[[#This Row],[Rank]],Stammdaten[Rank Verteilung Abholzigkeit],0))</f>
        <v>#N/A</v>
      </c>
      <c r="N1963" t="e">
        <f>VLOOKUP(Tabelle9[[#This Row],[Rank]],Stammdaten[[Rank Verteilung Abholzigkeit]:[Verteilung Abholzigkeit]],2,FALSE)</f>
        <v>#N/A</v>
      </c>
      <c r="S1963">
        <v>1954</v>
      </c>
      <c r="T1963" t="e">
        <f>INDEX(Stammdaten[Krümmung (mm/lfm)],MATCH(Tabelle10[[#This Row],[Rank]],Stammdaten[Rank Verteilung Krümmung],0))</f>
        <v>#N/A</v>
      </c>
      <c r="U1963" t="e">
        <f>VLOOKUP(Tabelle10[[#This Row],[Rank]],Stammdaten[[Rank Verteilung Krümmung]:[Verteilung Krümmung]],2,FALSE)</f>
        <v>#N/A</v>
      </c>
      <c r="Z1963">
        <v>1954</v>
      </c>
      <c r="AA1963" t="e">
        <f>INDEX(Stammdaten[Ovalität (']0,1'])],MATCH(Tabelle1014[[#This Row],[Rank]],Stammdaten[Rank Verteilung Ovalität],0))</f>
        <v>#N/A</v>
      </c>
      <c r="AB1963" t="e">
        <f>VLOOKUP(Tabelle1014[[#This Row],[Rank]],Stammdaten[[Rank Verteilung Ovalität]:[Verteilung Ovalität]],2,FALSE)</f>
        <v>#N/A</v>
      </c>
    </row>
    <row r="1964" spans="5:28" x14ac:dyDescent="0.35">
      <c r="E1964">
        <v>1955</v>
      </c>
      <c r="F1964" t="e">
        <f>INDEX(Stammdaten[D Mitte mit Rinde (mm)],MATCH(Tabelle8[[#This Row],[Rank]],Stammdaten[Rank Verteilung D Mitte mit Rinde],0))</f>
        <v>#N/A</v>
      </c>
      <c r="G1964" t="e">
        <f>VLOOKUP(Tabelle8[[#This Row],[Rank]],Stammdaten[[Rank Verteilung D Mitte mit Rinde]:[Verteilung D Mitte mit Rinde]],2,FALSE)</f>
        <v>#N/A</v>
      </c>
      <c r="L1964">
        <v>1955</v>
      </c>
      <c r="M1964" t="e">
        <f>INDEX(Stammdaten[Abholzigkeit (mm/lfm)],MATCH(Tabelle9[[#This Row],[Rank]],Stammdaten[Rank Verteilung Abholzigkeit],0))</f>
        <v>#N/A</v>
      </c>
      <c r="N1964" t="e">
        <f>VLOOKUP(Tabelle9[[#This Row],[Rank]],Stammdaten[[Rank Verteilung Abholzigkeit]:[Verteilung Abholzigkeit]],2,FALSE)</f>
        <v>#N/A</v>
      </c>
      <c r="S1964">
        <v>1955</v>
      </c>
      <c r="T1964" t="e">
        <f>INDEX(Stammdaten[Krümmung (mm/lfm)],MATCH(Tabelle10[[#This Row],[Rank]],Stammdaten[Rank Verteilung Krümmung],0))</f>
        <v>#N/A</v>
      </c>
      <c r="U1964" t="e">
        <f>VLOOKUP(Tabelle10[[#This Row],[Rank]],Stammdaten[[Rank Verteilung Krümmung]:[Verteilung Krümmung]],2,FALSE)</f>
        <v>#N/A</v>
      </c>
      <c r="Z1964">
        <v>1955</v>
      </c>
      <c r="AA1964" t="e">
        <f>INDEX(Stammdaten[Ovalität (']0,1'])],MATCH(Tabelle1014[[#This Row],[Rank]],Stammdaten[Rank Verteilung Ovalität],0))</f>
        <v>#N/A</v>
      </c>
      <c r="AB1964" t="e">
        <f>VLOOKUP(Tabelle1014[[#This Row],[Rank]],Stammdaten[[Rank Verteilung Ovalität]:[Verteilung Ovalität]],2,FALSE)</f>
        <v>#N/A</v>
      </c>
    </row>
    <row r="1965" spans="5:28" x14ac:dyDescent="0.35">
      <c r="E1965">
        <v>1956</v>
      </c>
      <c r="F1965" t="e">
        <f>INDEX(Stammdaten[D Mitte mit Rinde (mm)],MATCH(Tabelle8[[#This Row],[Rank]],Stammdaten[Rank Verteilung D Mitte mit Rinde],0))</f>
        <v>#N/A</v>
      </c>
      <c r="G1965" t="e">
        <f>VLOOKUP(Tabelle8[[#This Row],[Rank]],Stammdaten[[Rank Verteilung D Mitte mit Rinde]:[Verteilung D Mitte mit Rinde]],2,FALSE)</f>
        <v>#N/A</v>
      </c>
      <c r="L1965">
        <v>1956</v>
      </c>
      <c r="M1965" t="e">
        <f>INDEX(Stammdaten[Abholzigkeit (mm/lfm)],MATCH(Tabelle9[[#This Row],[Rank]],Stammdaten[Rank Verteilung Abholzigkeit],0))</f>
        <v>#N/A</v>
      </c>
      <c r="N1965" t="e">
        <f>VLOOKUP(Tabelle9[[#This Row],[Rank]],Stammdaten[[Rank Verteilung Abholzigkeit]:[Verteilung Abholzigkeit]],2,FALSE)</f>
        <v>#N/A</v>
      </c>
      <c r="S1965">
        <v>1956</v>
      </c>
      <c r="T1965" t="e">
        <f>INDEX(Stammdaten[Krümmung (mm/lfm)],MATCH(Tabelle10[[#This Row],[Rank]],Stammdaten[Rank Verteilung Krümmung],0))</f>
        <v>#N/A</v>
      </c>
      <c r="U1965" t="e">
        <f>VLOOKUP(Tabelle10[[#This Row],[Rank]],Stammdaten[[Rank Verteilung Krümmung]:[Verteilung Krümmung]],2,FALSE)</f>
        <v>#N/A</v>
      </c>
      <c r="Z1965">
        <v>1956</v>
      </c>
      <c r="AA1965" t="e">
        <f>INDEX(Stammdaten[Ovalität (']0,1'])],MATCH(Tabelle1014[[#This Row],[Rank]],Stammdaten[Rank Verteilung Ovalität],0))</f>
        <v>#N/A</v>
      </c>
      <c r="AB1965" t="e">
        <f>VLOOKUP(Tabelle1014[[#This Row],[Rank]],Stammdaten[[Rank Verteilung Ovalität]:[Verteilung Ovalität]],2,FALSE)</f>
        <v>#N/A</v>
      </c>
    </row>
    <row r="1966" spans="5:28" x14ac:dyDescent="0.35">
      <c r="E1966">
        <v>1957</v>
      </c>
      <c r="F1966" t="e">
        <f>INDEX(Stammdaten[D Mitte mit Rinde (mm)],MATCH(Tabelle8[[#This Row],[Rank]],Stammdaten[Rank Verteilung D Mitte mit Rinde],0))</f>
        <v>#N/A</v>
      </c>
      <c r="G1966" t="e">
        <f>VLOOKUP(Tabelle8[[#This Row],[Rank]],Stammdaten[[Rank Verteilung D Mitte mit Rinde]:[Verteilung D Mitte mit Rinde]],2,FALSE)</f>
        <v>#N/A</v>
      </c>
      <c r="L1966">
        <v>1957</v>
      </c>
      <c r="M1966" t="e">
        <f>INDEX(Stammdaten[Abholzigkeit (mm/lfm)],MATCH(Tabelle9[[#This Row],[Rank]],Stammdaten[Rank Verteilung Abholzigkeit],0))</f>
        <v>#N/A</v>
      </c>
      <c r="N1966" t="e">
        <f>VLOOKUP(Tabelle9[[#This Row],[Rank]],Stammdaten[[Rank Verteilung Abholzigkeit]:[Verteilung Abholzigkeit]],2,FALSE)</f>
        <v>#N/A</v>
      </c>
      <c r="S1966">
        <v>1957</v>
      </c>
      <c r="T1966" t="e">
        <f>INDEX(Stammdaten[Krümmung (mm/lfm)],MATCH(Tabelle10[[#This Row],[Rank]],Stammdaten[Rank Verteilung Krümmung],0))</f>
        <v>#N/A</v>
      </c>
      <c r="U1966" t="e">
        <f>VLOOKUP(Tabelle10[[#This Row],[Rank]],Stammdaten[[Rank Verteilung Krümmung]:[Verteilung Krümmung]],2,FALSE)</f>
        <v>#N/A</v>
      </c>
      <c r="Z1966">
        <v>1957</v>
      </c>
      <c r="AA1966" t="e">
        <f>INDEX(Stammdaten[Ovalität (']0,1'])],MATCH(Tabelle1014[[#This Row],[Rank]],Stammdaten[Rank Verteilung Ovalität],0))</f>
        <v>#N/A</v>
      </c>
      <c r="AB1966" t="e">
        <f>VLOOKUP(Tabelle1014[[#This Row],[Rank]],Stammdaten[[Rank Verteilung Ovalität]:[Verteilung Ovalität]],2,FALSE)</f>
        <v>#N/A</v>
      </c>
    </row>
    <row r="1967" spans="5:28" x14ac:dyDescent="0.35">
      <c r="E1967">
        <v>1958</v>
      </c>
      <c r="F1967" t="e">
        <f>INDEX(Stammdaten[D Mitte mit Rinde (mm)],MATCH(Tabelle8[[#This Row],[Rank]],Stammdaten[Rank Verteilung D Mitte mit Rinde],0))</f>
        <v>#N/A</v>
      </c>
      <c r="G1967" t="e">
        <f>VLOOKUP(Tabelle8[[#This Row],[Rank]],Stammdaten[[Rank Verteilung D Mitte mit Rinde]:[Verteilung D Mitte mit Rinde]],2,FALSE)</f>
        <v>#N/A</v>
      </c>
      <c r="L1967">
        <v>1958</v>
      </c>
      <c r="M1967" t="e">
        <f>INDEX(Stammdaten[Abholzigkeit (mm/lfm)],MATCH(Tabelle9[[#This Row],[Rank]],Stammdaten[Rank Verteilung Abholzigkeit],0))</f>
        <v>#N/A</v>
      </c>
      <c r="N1967" t="e">
        <f>VLOOKUP(Tabelle9[[#This Row],[Rank]],Stammdaten[[Rank Verteilung Abholzigkeit]:[Verteilung Abholzigkeit]],2,FALSE)</f>
        <v>#N/A</v>
      </c>
      <c r="S1967">
        <v>1958</v>
      </c>
      <c r="T1967" t="e">
        <f>INDEX(Stammdaten[Krümmung (mm/lfm)],MATCH(Tabelle10[[#This Row],[Rank]],Stammdaten[Rank Verteilung Krümmung],0))</f>
        <v>#N/A</v>
      </c>
      <c r="U1967" t="e">
        <f>VLOOKUP(Tabelle10[[#This Row],[Rank]],Stammdaten[[Rank Verteilung Krümmung]:[Verteilung Krümmung]],2,FALSE)</f>
        <v>#N/A</v>
      </c>
      <c r="Z1967">
        <v>1958</v>
      </c>
      <c r="AA1967" t="e">
        <f>INDEX(Stammdaten[Ovalität (']0,1'])],MATCH(Tabelle1014[[#This Row],[Rank]],Stammdaten[Rank Verteilung Ovalität],0))</f>
        <v>#N/A</v>
      </c>
      <c r="AB1967" t="e">
        <f>VLOOKUP(Tabelle1014[[#This Row],[Rank]],Stammdaten[[Rank Verteilung Ovalität]:[Verteilung Ovalität]],2,FALSE)</f>
        <v>#N/A</v>
      </c>
    </row>
    <row r="1968" spans="5:28" x14ac:dyDescent="0.35">
      <c r="E1968">
        <v>1959</v>
      </c>
      <c r="F1968" t="e">
        <f>INDEX(Stammdaten[D Mitte mit Rinde (mm)],MATCH(Tabelle8[[#This Row],[Rank]],Stammdaten[Rank Verteilung D Mitte mit Rinde],0))</f>
        <v>#N/A</v>
      </c>
      <c r="G1968" t="e">
        <f>VLOOKUP(Tabelle8[[#This Row],[Rank]],Stammdaten[[Rank Verteilung D Mitte mit Rinde]:[Verteilung D Mitte mit Rinde]],2,FALSE)</f>
        <v>#N/A</v>
      </c>
      <c r="L1968">
        <v>1959</v>
      </c>
      <c r="M1968" t="e">
        <f>INDEX(Stammdaten[Abholzigkeit (mm/lfm)],MATCH(Tabelle9[[#This Row],[Rank]],Stammdaten[Rank Verteilung Abholzigkeit],0))</f>
        <v>#N/A</v>
      </c>
      <c r="N1968" t="e">
        <f>VLOOKUP(Tabelle9[[#This Row],[Rank]],Stammdaten[[Rank Verteilung Abholzigkeit]:[Verteilung Abholzigkeit]],2,FALSE)</f>
        <v>#N/A</v>
      </c>
      <c r="S1968">
        <v>1959</v>
      </c>
      <c r="T1968" t="e">
        <f>INDEX(Stammdaten[Krümmung (mm/lfm)],MATCH(Tabelle10[[#This Row],[Rank]],Stammdaten[Rank Verteilung Krümmung],0))</f>
        <v>#N/A</v>
      </c>
      <c r="U1968" t="e">
        <f>VLOOKUP(Tabelle10[[#This Row],[Rank]],Stammdaten[[Rank Verteilung Krümmung]:[Verteilung Krümmung]],2,FALSE)</f>
        <v>#N/A</v>
      </c>
      <c r="Z1968">
        <v>1959</v>
      </c>
      <c r="AA1968" t="e">
        <f>INDEX(Stammdaten[Ovalität (']0,1'])],MATCH(Tabelle1014[[#This Row],[Rank]],Stammdaten[Rank Verteilung Ovalität],0))</f>
        <v>#N/A</v>
      </c>
      <c r="AB1968" t="e">
        <f>VLOOKUP(Tabelle1014[[#This Row],[Rank]],Stammdaten[[Rank Verteilung Ovalität]:[Verteilung Ovalität]],2,FALSE)</f>
        <v>#N/A</v>
      </c>
    </row>
    <row r="1969" spans="5:28" x14ac:dyDescent="0.35">
      <c r="E1969">
        <v>1960</v>
      </c>
      <c r="F1969" t="e">
        <f>INDEX(Stammdaten[D Mitte mit Rinde (mm)],MATCH(Tabelle8[[#This Row],[Rank]],Stammdaten[Rank Verteilung D Mitte mit Rinde],0))</f>
        <v>#N/A</v>
      </c>
      <c r="G1969" t="e">
        <f>VLOOKUP(Tabelle8[[#This Row],[Rank]],Stammdaten[[Rank Verteilung D Mitte mit Rinde]:[Verteilung D Mitte mit Rinde]],2,FALSE)</f>
        <v>#N/A</v>
      </c>
      <c r="L1969">
        <v>1960</v>
      </c>
      <c r="M1969" t="e">
        <f>INDEX(Stammdaten[Abholzigkeit (mm/lfm)],MATCH(Tabelle9[[#This Row],[Rank]],Stammdaten[Rank Verteilung Abholzigkeit],0))</f>
        <v>#N/A</v>
      </c>
      <c r="N1969" t="e">
        <f>VLOOKUP(Tabelle9[[#This Row],[Rank]],Stammdaten[[Rank Verteilung Abholzigkeit]:[Verteilung Abholzigkeit]],2,FALSE)</f>
        <v>#N/A</v>
      </c>
      <c r="S1969">
        <v>1960</v>
      </c>
      <c r="T1969" t="e">
        <f>INDEX(Stammdaten[Krümmung (mm/lfm)],MATCH(Tabelle10[[#This Row],[Rank]],Stammdaten[Rank Verteilung Krümmung],0))</f>
        <v>#N/A</v>
      </c>
      <c r="U1969" t="e">
        <f>VLOOKUP(Tabelle10[[#This Row],[Rank]],Stammdaten[[Rank Verteilung Krümmung]:[Verteilung Krümmung]],2,FALSE)</f>
        <v>#N/A</v>
      </c>
      <c r="Z1969">
        <v>1960</v>
      </c>
      <c r="AA1969" t="e">
        <f>INDEX(Stammdaten[Ovalität (']0,1'])],MATCH(Tabelle1014[[#This Row],[Rank]],Stammdaten[Rank Verteilung Ovalität],0))</f>
        <v>#N/A</v>
      </c>
      <c r="AB1969" t="e">
        <f>VLOOKUP(Tabelle1014[[#This Row],[Rank]],Stammdaten[[Rank Verteilung Ovalität]:[Verteilung Ovalität]],2,FALSE)</f>
        <v>#N/A</v>
      </c>
    </row>
    <row r="1970" spans="5:28" x14ac:dyDescent="0.35">
      <c r="E1970">
        <v>1961</v>
      </c>
      <c r="F1970" t="e">
        <f>INDEX(Stammdaten[D Mitte mit Rinde (mm)],MATCH(Tabelle8[[#This Row],[Rank]],Stammdaten[Rank Verteilung D Mitte mit Rinde],0))</f>
        <v>#N/A</v>
      </c>
      <c r="G1970" t="e">
        <f>VLOOKUP(Tabelle8[[#This Row],[Rank]],Stammdaten[[Rank Verteilung D Mitte mit Rinde]:[Verteilung D Mitte mit Rinde]],2,FALSE)</f>
        <v>#N/A</v>
      </c>
      <c r="L1970">
        <v>1961</v>
      </c>
      <c r="M1970" t="e">
        <f>INDEX(Stammdaten[Abholzigkeit (mm/lfm)],MATCH(Tabelle9[[#This Row],[Rank]],Stammdaten[Rank Verteilung Abholzigkeit],0))</f>
        <v>#N/A</v>
      </c>
      <c r="N1970" t="e">
        <f>VLOOKUP(Tabelle9[[#This Row],[Rank]],Stammdaten[[Rank Verteilung Abholzigkeit]:[Verteilung Abholzigkeit]],2,FALSE)</f>
        <v>#N/A</v>
      </c>
      <c r="S1970">
        <v>1961</v>
      </c>
      <c r="T1970" t="e">
        <f>INDEX(Stammdaten[Krümmung (mm/lfm)],MATCH(Tabelle10[[#This Row],[Rank]],Stammdaten[Rank Verteilung Krümmung],0))</f>
        <v>#N/A</v>
      </c>
      <c r="U1970" t="e">
        <f>VLOOKUP(Tabelle10[[#This Row],[Rank]],Stammdaten[[Rank Verteilung Krümmung]:[Verteilung Krümmung]],2,FALSE)</f>
        <v>#N/A</v>
      </c>
      <c r="Z1970">
        <v>1961</v>
      </c>
      <c r="AA1970" t="e">
        <f>INDEX(Stammdaten[Ovalität (']0,1'])],MATCH(Tabelle1014[[#This Row],[Rank]],Stammdaten[Rank Verteilung Ovalität],0))</f>
        <v>#N/A</v>
      </c>
      <c r="AB1970" t="e">
        <f>VLOOKUP(Tabelle1014[[#This Row],[Rank]],Stammdaten[[Rank Verteilung Ovalität]:[Verteilung Ovalität]],2,FALSE)</f>
        <v>#N/A</v>
      </c>
    </row>
    <row r="1971" spans="5:28" x14ac:dyDescent="0.35">
      <c r="E1971">
        <v>1962</v>
      </c>
      <c r="F1971" t="e">
        <f>INDEX(Stammdaten[D Mitte mit Rinde (mm)],MATCH(Tabelle8[[#This Row],[Rank]],Stammdaten[Rank Verteilung D Mitte mit Rinde],0))</f>
        <v>#N/A</v>
      </c>
      <c r="G1971" t="e">
        <f>VLOOKUP(Tabelle8[[#This Row],[Rank]],Stammdaten[[Rank Verteilung D Mitte mit Rinde]:[Verteilung D Mitte mit Rinde]],2,FALSE)</f>
        <v>#N/A</v>
      </c>
      <c r="L1971">
        <v>1962</v>
      </c>
      <c r="M1971" t="e">
        <f>INDEX(Stammdaten[Abholzigkeit (mm/lfm)],MATCH(Tabelle9[[#This Row],[Rank]],Stammdaten[Rank Verteilung Abholzigkeit],0))</f>
        <v>#N/A</v>
      </c>
      <c r="N1971" t="e">
        <f>VLOOKUP(Tabelle9[[#This Row],[Rank]],Stammdaten[[Rank Verteilung Abholzigkeit]:[Verteilung Abholzigkeit]],2,FALSE)</f>
        <v>#N/A</v>
      </c>
      <c r="S1971">
        <v>1962</v>
      </c>
      <c r="T1971" t="e">
        <f>INDEX(Stammdaten[Krümmung (mm/lfm)],MATCH(Tabelle10[[#This Row],[Rank]],Stammdaten[Rank Verteilung Krümmung],0))</f>
        <v>#N/A</v>
      </c>
      <c r="U1971" t="e">
        <f>VLOOKUP(Tabelle10[[#This Row],[Rank]],Stammdaten[[Rank Verteilung Krümmung]:[Verteilung Krümmung]],2,FALSE)</f>
        <v>#N/A</v>
      </c>
      <c r="Z1971">
        <v>1962</v>
      </c>
      <c r="AA1971" t="e">
        <f>INDEX(Stammdaten[Ovalität (']0,1'])],MATCH(Tabelle1014[[#This Row],[Rank]],Stammdaten[Rank Verteilung Ovalität],0))</f>
        <v>#N/A</v>
      </c>
      <c r="AB1971" t="e">
        <f>VLOOKUP(Tabelle1014[[#This Row],[Rank]],Stammdaten[[Rank Verteilung Ovalität]:[Verteilung Ovalität]],2,FALSE)</f>
        <v>#N/A</v>
      </c>
    </row>
    <row r="1972" spans="5:28" x14ac:dyDescent="0.35">
      <c r="E1972">
        <v>1963</v>
      </c>
      <c r="F1972" t="e">
        <f>INDEX(Stammdaten[D Mitte mit Rinde (mm)],MATCH(Tabelle8[[#This Row],[Rank]],Stammdaten[Rank Verteilung D Mitte mit Rinde],0))</f>
        <v>#N/A</v>
      </c>
      <c r="G1972" t="e">
        <f>VLOOKUP(Tabelle8[[#This Row],[Rank]],Stammdaten[[Rank Verteilung D Mitte mit Rinde]:[Verteilung D Mitte mit Rinde]],2,FALSE)</f>
        <v>#N/A</v>
      </c>
      <c r="L1972">
        <v>1963</v>
      </c>
      <c r="M1972" t="e">
        <f>INDEX(Stammdaten[Abholzigkeit (mm/lfm)],MATCH(Tabelle9[[#This Row],[Rank]],Stammdaten[Rank Verteilung Abholzigkeit],0))</f>
        <v>#N/A</v>
      </c>
      <c r="N1972" t="e">
        <f>VLOOKUP(Tabelle9[[#This Row],[Rank]],Stammdaten[[Rank Verteilung Abholzigkeit]:[Verteilung Abholzigkeit]],2,FALSE)</f>
        <v>#N/A</v>
      </c>
      <c r="S1972">
        <v>1963</v>
      </c>
      <c r="T1972" t="e">
        <f>INDEX(Stammdaten[Krümmung (mm/lfm)],MATCH(Tabelle10[[#This Row],[Rank]],Stammdaten[Rank Verteilung Krümmung],0))</f>
        <v>#N/A</v>
      </c>
      <c r="U1972" t="e">
        <f>VLOOKUP(Tabelle10[[#This Row],[Rank]],Stammdaten[[Rank Verteilung Krümmung]:[Verteilung Krümmung]],2,FALSE)</f>
        <v>#N/A</v>
      </c>
      <c r="Z1972">
        <v>1963</v>
      </c>
      <c r="AA1972" t="e">
        <f>INDEX(Stammdaten[Ovalität (']0,1'])],MATCH(Tabelle1014[[#This Row],[Rank]],Stammdaten[Rank Verteilung Ovalität],0))</f>
        <v>#N/A</v>
      </c>
      <c r="AB1972" t="e">
        <f>VLOOKUP(Tabelle1014[[#This Row],[Rank]],Stammdaten[[Rank Verteilung Ovalität]:[Verteilung Ovalität]],2,FALSE)</f>
        <v>#N/A</v>
      </c>
    </row>
    <row r="1973" spans="5:28" x14ac:dyDescent="0.35">
      <c r="E1973">
        <v>1964</v>
      </c>
      <c r="F1973" t="e">
        <f>INDEX(Stammdaten[D Mitte mit Rinde (mm)],MATCH(Tabelle8[[#This Row],[Rank]],Stammdaten[Rank Verteilung D Mitte mit Rinde],0))</f>
        <v>#N/A</v>
      </c>
      <c r="G1973" t="e">
        <f>VLOOKUP(Tabelle8[[#This Row],[Rank]],Stammdaten[[Rank Verteilung D Mitte mit Rinde]:[Verteilung D Mitte mit Rinde]],2,FALSE)</f>
        <v>#N/A</v>
      </c>
      <c r="L1973">
        <v>1964</v>
      </c>
      <c r="M1973" t="e">
        <f>INDEX(Stammdaten[Abholzigkeit (mm/lfm)],MATCH(Tabelle9[[#This Row],[Rank]],Stammdaten[Rank Verteilung Abholzigkeit],0))</f>
        <v>#N/A</v>
      </c>
      <c r="N1973" t="e">
        <f>VLOOKUP(Tabelle9[[#This Row],[Rank]],Stammdaten[[Rank Verteilung Abholzigkeit]:[Verteilung Abholzigkeit]],2,FALSE)</f>
        <v>#N/A</v>
      </c>
      <c r="S1973">
        <v>1964</v>
      </c>
      <c r="T1973" t="e">
        <f>INDEX(Stammdaten[Krümmung (mm/lfm)],MATCH(Tabelle10[[#This Row],[Rank]],Stammdaten[Rank Verteilung Krümmung],0))</f>
        <v>#N/A</v>
      </c>
      <c r="U1973" t="e">
        <f>VLOOKUP(Tabelle10[[#This Row],[Rank]],Stammdaten[[Rank Verteilung Krümmung]:[Verteilung Krümmung]],2,FALSE)</f>
        <v>#N/A</v>
      </c>
      <c r="Z1973">
        <v>1964</v>
      </c>
      <c r="AA1973" t="e">
        <f>INDEX(Stammdaten[Ovalität (']0,1'])],MATCH(Tabelle1014[[#This Row],[Rank]],Stammdaten[Rank Verteilung Ovalität],0))</f>
        <v>#N/A</v>
      </c>
      <c r="AB1973" t="e">
        <f>VLOOKUP(Tabelle1014[[#This Row],[Rank]],Stammdaten[[Rank Verteilung Ovalität]:[Verteilung Ovalität]],2,FALSE)</f>
        <v>#N/A</v>
      </c>
    </row>
    <row r="1974" spans="5:28" x14ac:dyDescent="0.35">
      <c r="E1974">
        <v>1965</v>
      </c>
      <c r="F1974" t="e">
        <f>INDEX(Stammdaten[D Mitte mit Rinde (mm)],MATCH(Tabelle8[[#This Row],[Rank]],Stammdaten[Rank Verteilung D Mitte mit Rinde],0))</f>
        <v>#N/A</v>
      </c>
      <c r="G1974" t="e">
        <f>VLOOKUP(Tabelle8[[#This Row],[Rank]],Stammdaten[[Rank Verteilung D Mitte mit Rinde]:[Verteilung D Mitte mit Rinde]],2,FALSE)</f>
        <v>#N/A</v>
      </c>
      <c r="L1974">
        <v>1965</v>
      </c>
      <c r="M1974" t="e">
        <f>INDEX(Stammdaten[Abholzigkeit (mm/lfm)],MATCH(Tabelle9[[#This Row],[Rank]],Stammdaten[Rank Verteilung Abholzigkeit],0))</f>
        <v>#N/A</v>
      </c>
      <c r="N1974" t="e">
        <f>VLOOKUP(Tabelle9[[#This Row],[Rank]],Stammdaten[[Rank Verteilung Abholzigkeit]:[Verteilung Abholzigkeit]],2,FALSE)</f>
        <v>#N/A</v>
      </c>
      <c r="S1974">
        <v>1965</v>
      </c>
      <c r="T1974" t="e">
        <f>INDEX(Stammdaten[Krümmung (mm/lfm)],MATCH(Tabelle10[[#This Row],[Rank]],Stammdaten[Rank Verteilung Krümmung],0))</f>
        <v>#N/A</v>
      </c>
      <c r="U1974" t="e">
        <f>VLOOKUP(Tabelle10[[#This Row],[Rank]],Stammdaten[[Rank Verteilung Krümmung]:[Verteilung Krümmung]],2,FALSE)</f>
        <v>#N/A</v>
      </c>
      <c r="Z1974">
        <v>1965</v>
      </c>
      <c r="AA1974" t="e">
        <f>INDEX(Stammdaten[Ovalität (']0,1'])],MATCH(Tabelle1014[[#This Row],[Rank]],Stammdaten[Rank Verteilung Ovalität],0))</f>
        <v>#N/A</v>
      </c>
      <c r="AB1974" t="e">
        <f>VLOOKUP(Tabelle1014[[#This Row],[Rank]],Stammdaten[[Rank Verteilung Ovalität]:[Verteilung Ovalität]],2,FALSE)</f>
        <v>#N/A</v>
      </c>
    </row>
    <row r="1975" spans="5:28" x14ac:dyDescent="0.35">
      <c r="E1975">
        <v>1966</v>
      </c>
      <c r="F1975" t="e">
        <f>INDEX(Stammdaten[D Mitte mit Rinde (mm)],MATCH(Tabelle8[[#This Row],[Rank]],Stammdaten[Rank Verteilung D Mitte mit Rinde],0))</f>
        <v>#N/A</v>
      </c>
      <c r="G1975" t="e">
        <f>VLOOKUP(Tabelle8[[#This Row],[Rank]],Stammdaten[[Rank Verteilung D Mitte mit Rinde]:[Verteilung D Mitte mit Rinde]],2,FALSE)</f>
        <v>#N/A</v>
      </c>
      <c r="L1975">
        <v>1966</v>
      </c>
      <c r="M1975" t="e">
        <f>INDEX(Stammdaten[Abholzigkeit (mm/lfm)],MATCH(Tabelle9[[#This Row],[Rank]],Stammdaten[Rank Verteilung Abholzigkeit],0))</f>
        <v>#N/A</v>
      </c>
      <c r="N1975" t="e">
        <f>VLOOKUP(Tabelle9[[#This Row],[Rank]],Stammdaten[[Rank Verteilung Abholzigkeit]:[Verteilung Abholzigkeit]],2,FALSE)</f>
        <v>#N/A</v>
      </c>
      <c r="S1975">
        <v>1966</v>
      </c>
      <c r="T1975" t="e">
        <f>INDEX(Stammdaten[Krümmung (mm/lfm)],MATCH(Tabelle10[[#This Row],[Rank]],Stammdaten[Rank Verteilung Krümmung],0))</f>
        <v>#N/A</v>
      </c>
      <c r="U1975" t="e">
        <f>VLOOKUP(Tabelle10[[#This Row],[Rank]],Stammdaten[[Rank Verteilung Krümmung]:[Verteilung Krümmung]],2,FALSE)</f>
        <v>#N/A</v>
      </c>
      <c r="Z1975">
        <v>1966</v>
      </c>
      <c r="AA1975" t="e">
        <f>INDEX(Stammdaten[Ovalität (']0,1'])],MATCH(Tabelle1014[[#This Row],[Rank]],Stammdaten[Rank Verteilung Ovalität],0))</f>
        <v>#N/A</v>
      </c>
      <c r="AB1975" t="e">
        <f>VLOOKUP(Tabelle1014[[#This Row],[Rank]],Stammdaten[[Rank Verteilung Ovalität]:[Verteilung Ovalität]],2,FALSE)</f>
        <v>#N/A</v>
      </c>
    </row>
    <row r="1976" spans="5:28" x14ac:dyDescent="0.35">
      <c r="E1976">
        <v>1967</v>
      </c>
      <c r="F1976" t="e">
        <f>INDEX(Stammdaten[D Mitte mit Rinde (mm)],MATCH(Tabelle8[[#This Row],[Rank]],Stammdaten[Rank Verteilung D Mitte mit Rinde],0))</f>
        <v>#N/A</v>
      </c>
      <c r="G1976" t="e">
        <f>VLOOKUP(Tabelle8[[#This Row],[Rank]],Stammdaten[[Rank Verteilung D Mitte mit Rinde]:[Verteilung D Mitte mit Rinde]],2,FALSE)</f>
        <v>#N/A</v>
      </c>
      <c r="L1976">
        <v>1967</v>
      </c>
      <c r="M1976" t="e">
        <f>INDEX(Stammdaten[Abholzigkeit (mm/lfm)],MATCH(Tabelle9[[#This Row],[Rank]],Stammdaten[Rank Verteilung Abholzigkeit],0))</f>
        <v>#N/A</v>
      </c>
      <c r="N1976" t="e">
        <f>VLOOKUP(Tabelle9[[#This Row],[Rank]],Stammdaten[[Rank Verteilung Abholzigkeit]:[Verteilung Abholzigkeit]],2,FALSE)</f>
        <v>#N/A</v>
      </c>
      <c r="S1976">
        <v>1967</v>
      </c>
      <c r="T1976" t="e">
        <f>INDEX(Stammdaten[Krümmung (mm/lfm)],MATCH(Tabelle10[[#This Row],[Rank]],Stammdaten[Rank Verteilung Krümmung],0))</f>
        <v>#N/A</v>
      </c>
      <c r="U1976" t="e">
        <f>VLOOKUP(Tabelle10[[#This Row],[Rank]],Stammdaten[[Rank Verteilung Krümmung]:[Verteilung Krümmung]],2,FALSE)</f>
        <v>#N/A</v>
      </c>
      <c r="Z1976">
        <v>1967</v>
      </c>
      <c r="AA1976" t="e">
        <f>INDEX(Stammdaten[Ovalität (']0,1'])],MATCH(Tabelle1014[[#This Row],[Rank]],Stammdaten[Rank Verteilung Ovalität],0))</f>
        <v>#N/A</v>
      </c>
      <c r="AB1976" t="e">
        <f>VLOOKUP(Tabelle1014[[#This Row],[Rank]],Stammdaten[[Rank Verteilung Ovalität]:[Verteilung Ovalität]],2,FALSE)</f>
        <v>#N/A</v>
      </c>
    </row>
    <row r="1977" spans="5:28" x14ac:dyDescent="0.35">
      <c r="E1977">
        <v>1968</v>
      </c>
      <c r="F1977" t="e">
        <f>INDEX(Stammdaten[D Mitte mit Rinde (mm)],MATCH(Tabelle8[[#This Row],[Rank]],Stammdaten[Rank Verteilung D Mitte mit Rinde],0))</f>
        <v>#N/A</v>
      </c>
      <c r="G1977" t="e">
        <f>VLOOKUP(Tabelle8[[#This Row],[Rank]],Stammdaten[[Rank Verteilung D Mitte mit Rinde]:[Verteilung D Mitte mit Rinde]],2,FALSE)</f>
        <v>#N/A</v>
      </c>
      <c r="L1977">
        <v>1968</v>
      </c>
      <c r="M1977" t="e">
        <f>INDEX(Stammdaten[Abholzigkeit (mm/lfm)],MATCH(Tabelle9[[#This Row],[Rank]],Stammdaten[Rank Verteilung Abholzigkeit],0))</f>
        <v>#N/A</v>
      </c>
      <c r="N1977" t="e">
        <f>VLOOKUP(Tabelle9[[#This Row],[Rank]],Stammdaten[[Rank Verteilung Abholzigkeit]:[Verteilung Abholzigkeit]],2,FALSE)</f>
        <v>#N/A</v>
      </c>
      <c r="S1977">
        <v>1968</v>
      </c>
      <c r="T1977" t="e">
        <f>INDEX(Stammdaten[Krümmung (mm/lfm)],MATCH(Tabelle10[[#This Row],[Rank]],Stammdaten[Rank Verteilung Krümmung],0))</f>
        <v>#N/A</v>
      </c>
      <c r="U1977" t="e">
        <f>VLOOKUP(Tabelle10[[#This Row],[Rank]],Stammdaten[[Rank Verteilung Krümmung]:[Verteilung Krümmung]],2,FALSE)</f>
        <v>#N/A</v>
      </c>
      <c r="Z1977">
        <v>1968</v>
      </c>
      <c r="AA1977" t="e">
        <f>INDEX(Stammdaten[Ovalität (']0,1'])],MATCH(Tabelle1014[[#This Row],[Rank]],Stammdaten[Rank Verteilung Ovalität],0))</f>
        <v>#N/A</v>
      </c>
      <c r="AB1977" t="e">
        <f>VLOOKUP(Tabelle1014[[#This Row],[Rank]],Stammdaten[[Rank Verteilung Ovalität]:[Verteilung Ovalität]],2,FALSE)</f>
        <v>#N/A</v>
      </c>
    </row>
    <row r="1978" spans="5:28" x14ac:dyDescent="0.35">
      <c r="E1978">
        <v>1969</v>
      </c>
      <c r="F1978" t="e">
        <f>INDEX(Stammdaten[D Mitte mit Rinde (mm)],MATCH(Tabelle8[[#This Row],[Rank]],Stammdaten[Rank Verteilung D Mitte mit Rinde],0))</f>
        <v>#N/A</v>
      </c>
      <c r="G1978" t="e">
        <f>VLOOKUP(Tabelle8[[#This Row],[Rank]],Stammdaten[[Rank Verteilung D Mitte mit Rinde]:[Verteilung D Mitte mit Rinde]],2,FALSE)</f>
        <v>#N/A</v>
      </c>
      <c r="L1978">
        <v>1969</v>
      </c>
      <c r="M1978" t="e">
        <f>INDEX(Stammdaten[Abholzigkeit (mm/lfm)],MATCH(Tabelle9[[#This Row],[Rank]],Stammdaten[Rank Verteilung Abholzigkeit],0))</f>
        <v>#N/A</v>
      </c>
      <c r="N1978" t="e">
        <f>VLOOKUP(Tabelle9[[#This Row],[Rank]],Stammdaten[[Rank Verteilung Abholzigkeit]:[Verteilung Abholzigkeit]],2,FALSE)</f>
        <v>#N/A</v>
      </c>
      <c r="S1978">
        <v>1969</v>
      </c>
      <c r="T1978" t="e">
        <f>INDEX(Stammdaten[Krümmung (mm/lfm)],MATCH(Tabelle10[[#This Row],[Rank]],Stammdaten[Rank Verteilung Krümmung],0))</f>
        <v>#N/A</v>
      </c>
      <c r="U1978" t="e">
        <f>VLOOKUP(Tabelle10[[#This Row],[Rank]],Stammdaten[[Rank Verteilung Krümmung]:[Verteilung Krümmung]],2,FALSE)</f>
        <v>#N/A</v>
      </c>
      <c r="Z1978">
        <v>1969</v>
      </c>
      <c r="AA1978" t="e">
        <f>INDEX(Stammdaten[Ovalität (']0,1'])],MATCH(Tabelle1014[[#This Row],[Rank]],Stammdaten[Rank Verteilung Ovalität],0))</f>
        <v>#N/A</v>
      </c>
      <c r="AB1978" t="e">
        <f>VLOOKUP(Tabelle1014[[#This Row],[Rank]],Stammdaten[[Rank Verteilung Ovalität]:[Verteilung Ovalität]],2,FALSE)</f>
        <v>#N/A</v>
      </c>
    </row>
    <row r="1979" spans="5:28" x14ac:dyDescent="0.35">
      <c r="E1979">
        <v>1970</v>
      </c>
      <c r="F1979" t="e">
        <f>INDEX(Stammdaten[D Mitte mit Rinde (mm)],MATCH(Tabelle8[[#This Row],[Rank]],Stammdaten[Rank Verteilung D Mitte mit Rinde],0))</f>
        <v>#N/A</v>
      </c>
      <c r="G1979" t="e">
        <f>VLOOKUP(Tabelle8[[#This Row],[Rank]],Stammdaten[[Rank Verteilung D Mitte mit Rinde]:[Verteilung D Mitte mit Rinde]],2,FALSE)</f>
        <v>#N/A</v>
      </c>
      <c r="L1979">
        <v>1970</v>
      </c>
      <c r="M1979" t="e">
        <f>INDEX(Stammdaten[Abholzigkeit (mm/lfm)],MATCH(Tabelle9[[#This Row],[Rank]],Stammdaten[Rank Verteilung Abholzigkeit],0))</f>
        <v>#N/A</v>
      </c>
      <c r="N1979" t="e">
        <f>VLOOKUP(Tabelle9[[#This Row],[Rank]],Stammdaten[[Rank Verteilung Abholzigkeit]:[Verteilung Abholzigkeit]],2,FALSE)</f>
        <v>#N/A</v>
      </c>
      <c r="S1979">
        <v>1970</v>
      </c>
      <c r="T1979" t="e">
        <f>INDEX(Stammdaten[Krümmung (mm/lfm)],MATCH(Tabelle10[[#This Row],[Rank]],Stammdaten[Rank Verteilung Krümmung],0))</f>
        <v>#N/A</v>
      </c>
      <c r="U1979" t="e">
        <f>VLOOKUP(Tabelle10[[#This Row],[Rank]],Stammdaten[[Rank Verteilung Krümmung]:[Verteilung Krümmung]],2,FALSE)</f>
        <v>#N/A</v>
      </c>
      <c r="Z1979">
        <v>1970</v>
      </c>
      <c r="AA1979" t="e">
        <f>INDEX(Stammdaten[Ovalität (']0,1'])],MATCH(Tabelle1014[[#This Row],[Rank]],Stammdaten[Rank Verteilung Ovalität],0))</f>
        <v>#N/A</v>
      </c>
      <c r="AB1979" t="e">
        <f>VLOOKUP(Tabelle1014[[#This Row],[Rank]],Stammdaten[[Rank Verteilung Ovalität]:[Verteilung Ovalität]],2,FALSE)</f>
        <v>#N/A</v>
      </c>
    </row>
    <row r="1980" spans="5:28" x14ac:dyDescent="0.35">
      <c r="E1980">
        <v>1971</v>
      </c>
      <c r="F1980" t="e">
        <f>INDEX(Stammdaten[D Mitte mit Rinde (mm)],MATCH(Tabelle8[[#This Row],[Rank]],Stammdaten[Rank Verteilung D Mitte mit Rinde],0))</f>
        <v>#N/A</v>
      </c>
      <c r="G1980" t="e">
        <f>VLOOKUP(Tabelle8[[#This Row],[Rank]],Stammdaten[[Rank Verteilung D Mitte mit Rinde]:[Verteilung D Mitte mit Rinde]],2,FALSE)</f>
        <v>#N/A</v>
      </c>
      <c r="L1980">
        <v>1971</v>
      </c>
      <c r="M1980" t="e">
        <f>INDEX(Stammdaten[Abholzigkeit (mm/lfm)],MATCH(Tabelle9[[#This Row],[Rank]],Stammdaten[Rank Verteilung Abholzigkeit],0))</f>
        <v>#N/A</v>
      </c>
      <c r="N1980" t="e">
        <f>VLOOKUP(Tabelle9[[#This Row],[Rank]],Stammdaten[[Rank Verteilung Abholzigkeit]:[Verteilung Abholzigkeit]],2,FALSE)</f>
        <v>#N/A</v>
      </c>
      <c r="S1980">
        <v>1971</v>
      </c>
      <c r="T1980" t="e">
        <f>INDEX(Stammdaten[Krümmung (mm/lfm)],MATCH(Tabelle10[[#This Row],[Rank]],Stammdaten[Rank Verteilung Krümmung],0))</f>
        <v>#N/A</v>
      </c>
      <c r="U1980" t="e">
        <f>VLOOKUP(Tabelle10[[#This Row],[Rank]],Stammdaten[[Rank Verteilung Krümmung]:[Verteilung Krümmung]],2,FALSE)</f>
        <v>#N/A</v>
      </c>
      <c r="Z1980">
        <v>1971</v>
      </c>
      <c r="AA1980" t="e">
        <f>INDEX(Stammdaten[Ovalität (']0,1'])],MATCH(Tabelle1014[[#This Row],[Rank]],Stammdaten[Rank Verteilung Ovalität],0))</f>
        <v>#N/A</v>
      </c>
      <c r="AB1980" t="e">
        <f>VLOOKUP(Tabelle1014[[#This Row],[Rank]],Stammdaten[[Rank Verteilung Ovalität]:[Verteilung Ovalität]],2,FALSE)</f>
        <v>#N/A</v>
      </c>
    </row>
    <row r="1981" spans="5:28" x14ac:dyDescent="0.35">
      <c r="E1981">
        <v>1972</v>
      </c>
      <c r="F1981" t="e">
        <f>INDEX(Stammdaten[D Mitte mit Rinde (mm)],MATCH(Tabelle8[[#This Row],[Rank]],Stammdaten[Rank Verteilung D Mitte mit Rinde],0))</f>
        <v>#N/A</v>
      </c>
      <c r="G1981" t="e">
        <f>VLOOKUP(Tabelle8[[#This Row],[Rank]],Stammdaten[[Rank Verteilung D Mitte mit Rinde]:[Verteilung D Mitte mit Rinde]],2,FALSE)</f>
        <v>#N/A</v>
      </c>
      <c r="L1981">
        <v>1972</v>
      </c>
      <c r="M1981" t="e">
        <f>INDEX(Stammdaten[Abholzigkeit (mm/lfm)],MATCH(Tabelle9[[#This Row],[Rank]],Stammdaten[Rank Verteilung Abholzigkeit],0))</f>
        <v>#N/A</v>
      </c>
      <c r="N1981" t="e">
        <f>VLOOKUP(Tabelle9[[#This Row],[Rank]],Stammdaten[[Rank Verteilung Abholzigkeit]:[Verteilung Abholzigkeit]],2,FALSE)</f>
        <v>#N/A</v>
      </c>
      <c r="S1981">
        <v>1972</v>
      </c>
      <c r="T1981" t="e">
        <f>INDEX(Stammdaten[Krümmung (mm/lfm)],MATCH(Tabelle10[[#This Row],[Rank]],Stammdaten[Rank Verteilung Krümmung],0))</f>
        <v>#N/A</v>
      </c>
      <c r="U1981" t="e">
        <f>VLOOKUP(Tabelle10[[#This Row],[Rank]],Stammdaten[[Rank Verteilung Krümmung]:[Verteilung Krümmung]],2,FALSE)</f>
        <v>#N/A</v>
      </c>
      <c r="Z1981">
        <v>1972</v>
      </c>
      <c r="AA1981" t="e">
        <f>INDEX(Stammdaten[Ovalität (']0,1'])],MATCH(Tabelle1014[[#This Row],[Rank]],Stammdaten[Rank Verteilung Ovalität],0))</f>
        <v>#N/A</v>
      </c>
      <c r="AB1981" t="e">
        <f>VLOOKUP(Tabelle1014[[#This Row],[Rank]],Stammdaten[[Rank Verteilung Ovalität]:[Verteilung Ovalität]],2,FALSE)</f>
        <v>#N/A</v>
      </c>
    </row>
    <row r="1982" spans="5:28" x14ac:dyDescent="0.35">
      <c r="E1982">
        <v>1973</v>
      </c>
      <c r="F1982" t="e">
        <f>INDEX(Stammdaten[D Mitte mit Rinde (mm)],MATCH(Tabelle8[[#This Row],[Rank]],Stammdaten[Rank Verteilung D Mitte mit Rinde],0))</f>
        <v>#N/A</v>
      </c>
      <c r="G1982" t="e">
        <f>VLOOKUP(Tabelle8[[#This Row],[Rank]],Stammdaten[[Rank Verteilung D Mitte mit Rinde]:[Verteilung D Mitte mit Rinde]],2,FALSE)</f>
        <v>#N/A</v>
      </c>
      <c r="L1982">
        <v>1973</v>
      </c>
      <c r="M1982" t="e">
        <f>INDEX(Stammdaten[Abholzigkeit (mm/lfm)],MATCH(Tabelle9[[#This Row],[Rank]],Stammdaten[Rank Verteilung Abholzigkeit],0))</f>
        <v>#N/A</v>
      </c>
      <c r="N1982" t="e">
        <f>VLOOKUP(Tabelle9[[#This Row],[Rank]],Stammdaten[[Rank Verteilung Abholzigkeit]:[Verteilung Abholzigkeit]],2,FALSE)</f>
        <v>#N/A</v>
      </c>
      <c r="S1982">
        <v>1973</v>
      </c>
      <c r="T1982" t="e">
        <f>INDEX(Stammdaten[Krümmung (mm/lfm)],MATCH(Tabelle10[[#This Row],[Rank]],Stammdaten[Rank Verteilung Krümmung],0))</f>
        <v>#N/A</v>
      </c>
      <c r="U1982" t="e">
        <f>VLOOKUP(Tabelle10[[#This Row],[Rank]],Stammdaten[[Rank Verteilung Krümmung]:[Verteilung Krümmung]],2,FALSE)</f>
        <v>#N/A</v>
      </c>
      <c r="Z1982">
        <v>1973</v>
      </c>
      <c r="AA1982" t="e">
        <f>INDEX(Stammdaten[Ovalität (']0,1'])],MATCH(Tabelle1014[[#This Row],[Rank]],Stammdaten[Rank Verteilung Ovalität],0))</f>
        <v>#N/A</v>
      </c>
      <c r="AB1982" t="e">
        <f>VLOOKUP(Tabelle1014[[#This Row],[Rank]],Stammdaten[[Rank Verteilung Ovalität]:[Verteilung Ovalität]],2,FALSE)</f>
        <v>#N/A</v>
      </c>
    </row>
    <row r="1983" spans="5:28" x14ac:dyDescent="0.35">
      <c r="E1983">
        <v>1974</v>
      </c>
      <c r="F1983" t="e">
        <f>INDEX(Stammdaten[D Mitte mit Rinde (mm)],MATCH(Tabelle8[[#This Row],[Rank]],Stammdaten[Rank Verteilung D Mitte mit Rinde],0))</f>
        <v>#N/A</v>
      </c>
      <c r="G1983" t="e">
        <f>VLOOKUP(Tabelle8[[#This Row],[Rank]],Stammdaten[[Rank Verteilung D Mitte mit Rinde]:[Verteilung D Mitte mit Rinde]],2,FALSE)</f>
        <v>#N/A</v>
      </c>
      <c r="L1983">
        <v>1974</v>
      </c>
      <c r="M1983" t="e">
        <f>INDEX(Stammdaten[Abholzigkeit (mm/lfm)],MATCH(Tabelle9[[#This Row],[Rank]],Stammdaten[Rank Verteilung Abholzigkeit],0))</f>
        <v>#N/A</v>
      </c>
      <c r="N1983" t="e">
        <f>VLOOKUP(Tabelle9[[#This Row],[Rank]],Stammdaten[[Rank Verteilung Abholzigkeit]:[Verteilung Abholzigkeit]],2,FALSE)</f>
        <v>#N/A</v>
      </c>
      <c r="S1983">
        <v>1974</v>
      </c>
      <c r="T1983" t="e">
        <f>INDEX(Stammdaten[Krümmung (mm/lfm)],MATCH(Tabelle10[[#This Row],[Rank]],Stammdaten[Rank Verteilung Krümmung],0))</f>
        <v>#N/A</v>
      </c>
      <c r="U1983" t="e">
        <f>VLOOKUP(Tabelle10[[#This Row],[Rank]],Stammdaten[[Rank Verteilung Krümmung]:[Verteilung Krümmung]],2,FALSE)</f>
        <v>#N/A</v>
      </c>
      <c r="Z1983">
        <v>1974</v>
      </c>
      <c r="AA1983" t="e">
        <f>INDEX(Stammdaten[Ovalität (']0,1'])],MATCH(Tabelle1014[[#This Row],[Rank]],Stammdaten[Rank Verteilung Ovalität],0))</f>
        <v>#N/A</v>
      </c>
      <c r="AB1983" t="e">
        <f>VLOOKUP(Tabelle1014[[#This Row],[Rank]],Stammdaten[[Rank Verteilung Ovalität]:[Verteilung Ovalität]],2,FALSE)</f>
        <v>#N/A</v>
      </c>
    </row>
    <row r="1984" spans="5:28" x14ac:dyDescent="0.35">
      <c r="E1984">
        <v>1975</v>
      </c>
      <c r="F1984" t="e">
        <f>INDEX(Stammdaten[D Mitte mit Rinde (mm)],MATCH(Tabelle8[[#This Row],[Rank]],Stammdaten[Rank Verteilung D Mitte mit Rinde],0))</f>
        <v>#N/A</v>
      </c>
      <c r="G1984" t="e">
        <f>VLOOKUP(Tabelle8[[#This Row],[Rank]],Stammdaten[[Rank Verteilung D Mitte mit Rinde]:[Verteilung D Mitte mit Rinde]],2,FALSE)</f>
        <v>#N/A</v>
      </c>
      <c r="L1984">
        <v>1975</v>
      </c>
      <c r="M1984" t="e">
        <f>INDEX(Stammdaten[Abholzigkeit (mm/lfm)],MATCH(Tabelle9[[#This Row],[Rank]],Stammdaten[Rank Verteilung Abholzigkeit],0))</f>
        <v>#N/A</v>
      </c>
      <c r="N1984" t="e">
        <f>VLOOKUP(Tabelle9[[#This Row],[Rank]],Stammdaten[[Rank Verteilung Abholzigkeit]:[Verteilung Abholzigkeit]],2,FALSE)</f>
        <v>#N/A</v>
      </c>
      <c r="S1984">
        <v>1975</v>
      </c>
      <c r="T1984" t="e">
        <f>INDEX(Stammdaten[Krümmung (mm/lfm)],MATCH(Tabelle10[[#This Row],[Rank]],Stammdaten[Rank Verteilung Krümmung],0))</f>
        <v>#N/A</v>
      </c>
      <c r="U1984" t="e">
        <f>VLOOKUP(Tabelle10[[#This Row],[Rank]],Stammdaten[[Rank Verteilung Krümmung]:[Verteilung Krümmung]],2,FALSE)</f>
        <v>#N/A</v>
      </c>
      <c r="Z1984">
        <v>1975</v>
      </c>
      <c r="AA1984" t="e">
        <f>INDEX(Stammdaten[Ovalität (']0,1'])],MATCH(Tabelle1014[[#This Row],[Rank]],Stammdaten[Rank Verteilung Ovalität],0))</f>
        <v>#N/A</v>
      </c>
      <c r="AB1984" t="e">
        <f>VLOOKUP(Tabelle1014[[#This Row],[Rank]],Stammdaten[[Rank Verteilung Ovalität]:[Verteilung Ovalität]],2,FALSE)</f>
        <v>#N/A</v>
      </c>
    </row>
    <row r="1985" spans="5:28" x14ac:dyDescent="0.35">
      <c r="E1985">
        <v>1976</v>
      </c>
      <c r="F1985" t="e">
        <f>INDEX(Stammdaten[D Mitte mit Rinde (mm)],MATCH(Tabelle8[[#This Row],[Rank]],Stammdaten[Rank Verteilung D Mitte mit Rinde],0))</f>
        <v>#N/A</v>
      </c>
      <c r="G1985" t="e">
        <f>VLOOKUP(Tabelle8[[#This Row],[Rank]],Stammdaten[[Rank Verteilung D Mitte mit Rinde]:[Verteilung D Mitte mit Rinde]],2,FALSE)</f>
        <v>#N/A</v>
      </c>
      <c r="L1985">
        <v>1976</v>
      </c>
      <c r="M1985" t="e">
        <f>INDEX(Stammdaten[Abholzigkeit (mm/lfm)],MATCH(Tabelle9[[#This Row],[Rank]],Stammdaten[Rank Verteilung Abholzigkeit],0))</f>
        <v>#N/A</v>
      </c>
      <c r="N1985" t="e">
        <f>VLOOKUP(Tabelle9[[#This Row],[Rank]],Stammdaten[[Rank Verteilung Abholzigkeit]:[Verteilung Abholzigkeit]],2,FALSE)</f>
        <v>#N/A</v>
      </c>
      <c r="S1985">
        <v>1976</v>
      </c>
      <c r="T1985" t="e">
        <f>INDEX(Stammdaten[Krümmung (mm/lfm)],MATCH(Tabelle10[[#This Row],[Rank]],Stammdaten[Rank Verteilung Krümmung],0))</f>
        <v>#N/A</v>
      </c>
      <c r="U1985" t="e">
        <f>VLOOKUP(Tabelle10[[#This Row],[Rank]],Stammdaten[[Rank Verteilung Krümmung]:[Verteilung Krümmung]],2,FALSE)</f>
        <v>#N/A</v>
      </c>
      <c r="Z1985">
        <v>1976</v>
      </c>
      <c r="AA1985" t="e">
        <f>INDEX(Stammdaten[Ovalität (']0,1'])],MATCH(Tabelle1014[[#This Row],[Rank]],Stammdaten[Rank Verteilung Ovalität],0))</f>
        <v>#N/A</v>
      </c>
      <c r="AB1985" t="e">
        <f>VLOOKUP(Tabelle1014[[#This Row],[Rank]],Stammdaten[[Rank Verteilung Ovalität]:[Verteilung Ovalität]],2,FALSE)</f>
        <v>#N/A</v>
      </c>
    </row>
    <row r="1986" spans="5:28" x14ac:dyDescent="0.35">
      <c r="E1986">
        <v>1977</v>
      </c>
      <c r="F1986" t="e">
        <f>INDEX(Stammdaten[D Mitte mit Rinde (mm)],MATCH(Tabelle8[[#This Row],[Rank]],Stammdaten[Rank Verteilung D Mitte mit Rinde],0))</f>
        <v>#N/A</v>
      </c>
      <c r="G1986" t="e">
        <f>VLOOKUP(Tabelle8[[#This Row],[Rank]],Stammdaten[[Rank Verteilung D Mitte mit Rinde]:[Verteilung D Mitte mit Rinde]],2,FALSE)</f>
        <v>#N/A</v>
      </c>
      <c r="L1986">
        <v>1977</v>
      </c>
      <c r="M1986" t="e">
        <f>INDEX(Stammdaten[Abholzigkeit (mm/lfm)],MATCH(Tabelle9[[#This Row],[Rank]],Stammdaten[Rank Verteilung Abholzigkeit],0))</f>
        <v>#N/A</v>
      </c>
      <c r="N1986" t="e">
        <f>VLOOKUP(Tabelle9[[#This Row],[Rank]],Stammdaten[[Rank Verteilung Abholzigkeit]:[Verteilung Abholzigkeit]],2,FALSE)</f>
        <v>#N/A</v>
      </c>
      <c r="S1986">
        <v>1977</v>
      </c>
      <c r="T1986" t="e">
        <f>INDEX(Stammdaten[Krümmung (mm/lfm)],MATCH(Tabelle10[[#This Row],[Rank]],Stammdaten[Rank Verteilung Krümmung],0))</f>
        <v>#N/A</v>
      </c>
      <c r="U1986" t="e">
        <f>VLOOKUP(Tabelle10[[#This Row],[Rank]],Stammdaten[[Rank Verteilung Krümmung]:[Verteilung Krümmung]],2,FALSE)</f>
        <v>#N/A</v>
      </c>
      <c r="Z1986">
        <v>1977</v>
      </c>
      <c r="AA1986" t="e">
        <f>INDEX(Stammdaten[Ovalität (']0,1'])],MATCH(Tabelle1014[[#This Row],[Rank]],Stammdaten[Rank Verteilung Ovalität],0))</f>
        <v>#N/A</v>
      </c>
      <c r="AB1986" t="e">
        <f>VLOOKUP(Tabelle1014[[#This Row],[Rank]],Stammdaten[[Rank Verteilung Ovalität]:[Verteilung Ovalität]],2,FALSE)</f>
        <v>#N/A</v>
      </c>
    </row>
    <row r="1987" spans="5:28" x14ac:dyDescent="0.35">
      <c r="E1987">
        <v>1978</v>
      </c>
      <c r="F1987" t="e">
        <f>INDEX(Stammdaten[D Mitte mit Rinde (mm)],MATCH(Tabelle8[[#This Row],[Rank]],Stammdaten[Rank Verteilung D Mitte mit Rinde],0))</f>
        <v>#N/A</v>
      </c>
      <c r="G1987" t="e">
        <f>VLOOKUP(Tabelle8[[#This Row],[Rank]],Stammdaten[[Rank Verteilung D Mitte mit Rinde]:[Verteilung D Mitte mit Rinde]],2,FALSE)</f>
        <v>#N/A</v>
      </c>
      <c r="L1987">
        <v>1978</v>
      </c>
      <c r="M1987" t="e">
        <f>INDEX(Stammdaten[Abholzigkeit (mm/lfm)],MATCH(Tabelle9[[#This Row],[Rank]],Stammdaten[Rank Verteilung Abholzigkeit],0))</f>
        <v>#N/A</v>
      </c>
      <c r="N1987" t="e">
        <f>VLOOKUP(Tabelle9[[#This Row],[Rank]],Stammdaten[[Rank Verteilung Abholzigkeit]:[Verteilung Abholzigkeit]],2,FALSE)</f>
        <v>#N/A</v>
      </c>
      <c r="S1987">
        <v>1978</v>
      </c>
      <c r="T1987" t="e">
        <f>INDEX(Stammdaten[Krümmung (mm/lfm)],MATCH(Tabelle10[[#This Row],[Rank]],Stammdaten[Rank Verteilung Krümmung],0))</f>
        <v>#N/A</v>
      </c>
      <c r="U1987" t="e">
        <f>VLOOKUP(Tabelle10[[#This Row],[Rank]],Stammdaten[[Rank Verteilung Krümmung]:[Verteilung Krümmung]],2,FALSE)</f>
        <v>#N/A</v>
      </c>
      <c r="Z1987">
        <v>1978</v>
      </c>
      <c r="AA1987" t="e">
        <f>INDEX(Stammdaten[Ovalität (']0,1'])],MATCH(Tabelle1014[[#This Row],[Rank]],Stammdaten[Rank Verteilung Ovalität],0))</f>
        <v>#N/A</v>
      </c>
      <c r="AB1987" t="e">
        <f>VLOOKUP(Tabelle1014[[#This Row],[Rank]],Stammdaten[[Rank Verteilung Ovalität]:[Verteilung Ovalität]],2,FALSE)</f>
        <v>#N/A</v>
      </c>
    </row>
    <row r="1988" spans="5:28" x14ac:dyDescent="0.35">
      <c r="E1988">
        <v>1979</v>
      </c>
      <c r="F1988" t="e">
        <f>INDEX(Stammdaten[D Mitte mit Rinde (mm)],MATCH(Tabelle8[[#This Row],[Rank]],Stammdaten[Rank Verteilung D Mitte mit Rinde],0))</f>
        <v>#N/A</v>
      </c>
      <c r="G1988" t="e">
        <f>VLOOKUP(Tabelle8[[#This Row],[Rank]],Stammdaten[[Rank Verteilung D Mitte mit Rinde]:[Verteilung D Mitte mit Rinde]],2,FALSE)</f>
        <v>#N/A</v>
      </c>
      <c r="L1988">
        <v>1979</v>
      </c>
      <c r="M1988" t="e">
        <f>INDEX(Stammdaten[Abholzigkeit (mm/lfm)],MATCH(Tabelle9[[#This Row],[Rank]],Stammdaten[Rank Verteilung Abholzigkeit],0))</f>
        <v>#N/A</v>
      </c>
      <c r="N1988" t="e">
        <f>VLOOKUP(Tabelle9[[#This Row],[Rank]],Stammdaten[[Rank Verteilung Abholzigkeit]:[Verteilung Abholzigkeit]],2,FALSE)</f>
        <v>#N/A</v>
      </c>
      <c r="S1988">
        <v>1979</v>
      </c>
      <c r="T1988" t="e">
        <f>INDEX(Stammdaten[Krümmung (mm/lfm)],MATCH(Tabelle10[[#This Row],[Rank]],Stammdaten[Rank Verteilung Krümmung],0))</f>
        <v>#N/A</v>
      </c>
      <c r="U1988" t="e">
        <f>VLOOKUP(Tabelle10[[#This Row],[Rank]],Stammdaten[[Rank Verteilung Krümmung]:[Verteilung Krümmung]],2,FALSE)</f>
        <v>#N/A</v>
      </c>
      <c r="Z1988">
        <v>1979</v>
      </c>
      <c r="AA1988" t="e">
        <f>INDEX(Stammdaten[Ovalität (']0,1'])],MATCH(Tabelle1014[[#This Row],[Rank]],Stammdaten[Rank Verteilung Ovalität],0))</f>
        <v>#N/A</v>
      </c>
      <c r="AB1988" t="e">
        <f>VLOOKUP(Tabelle1014[[#This Row],[Rank]],Stammdaten[[Rank Verteilung Ovalität]:[Verteilung Ovalität]],2,FALSE)</f>
        <v>#N/A</v>
      </c>
    </row>
    <row r="1989" spans="5:28" x14ac:dyDescent="0.35">
      <c r="E1989">
        <v>1980</v>
      </c>
      <c r="F1989" t="e">
        <f>INDEX(Stammdaten[D Mitte mit Rinde (mm)],MATCH(Tabelle8[[#This Row],[Rank]],Stammdaten[Rank Verteilung D Mitte mit Rinde],0))</f>
        <v>#N/A</v>
      </c>
      <c r="G1989" t="e">
        <f>VLOOKUP(Tabelle8[[#This Row],[Rank]],Stammdaten[[Rank Verteilung D Mitte mit Rinde]:[Verteilung D Mitte mit Rinde]],2,FALSE)</f>
        <v>#N/A</v>
      </c>
      <c r="L1989">
        <v>1980</v>
      </c>
      <c r="M1989" t="e">
        <f>INDEX(Stammdaten[Abholzigkeit (mm/lfm)],MATCH(Tabelle9[[#This Row],[Rank]],Stammdaten[Rank Verteilung Abholzigkeit],0))</f>
        <v>#N/A</v>
      </c>
      <c r="N1989" t="e">
        <f>VLOOKUP(Tabelle9[[#This Row],[Rank]],Stammdaten[[Rank Verteilung Abholzigkeit]:[Verteilung Abholzigkeit]],2,FALSE)</f>
        <v>#N/A</v>
      </c>
      <c r="S1989">
        <v>1980</v>
      </c>
      <c r="T1989" t="e">
        <f>INDEX(Stammdaten[Krümmung (mm/lfm)],MATCH(Tabelle10[[#This Row],[Rank]],Stammdaten[Rank Verteilung Krümmung],0))</f>
        <v>#N/A</v>
      </c>
      <c r="U1989" t="e">
        <f>VLOOKUP(Tabelle10[[#This Row],[Rank]],Stammdaten[[Rank Verteilung Krümmung]:[Verteilung Krümmung]],2,FALSE)</f>
        <v>#N/A</v>
      </c>
      <c r="Z1989">
        <v>1980</v>
      </c>
      <c r="AA1989" t="e">
        <f>INDEX(Stammdaten[Ovalität (']0,1'])],MATCH(Tabelle1014[[#This Row],[Rank]],Stammdaten[Rank Verteilung Ovalität],0))</f>
        <v>#N/A</v>
      </c>
      <c r="AB1989" t="e">
        <f>VLOOKUP(Tabelle1014[[#This Row],[Rank]],Stammdaten[[Rank Verteilung Ovalität]:[Verteilung Ovalität]],2,FALSE)</f>
        <v>#N/A</v>
      </c>
    </row>
    <row r="1990" spans="5:28" x14ac:dyDescent="0.35">
      <c r="E1990">
        <v>1981</v>
      </c>
      <c r="F1990" t="e">
        <f>INDEX(Stammdaten[D Mitte mit Rinde (mm)],MATCH(Tabelle8[[#This Row],[Rank]],Stammdaten[Rank Verteilung D Mitte mit Rinde],0))</f>
        <v>#N/A</v>
      </c>
      <c r="G1990" t="e">
        <f>VLOOKUP(Tabelle8[[#This Row],[Rank]],Stammdaten[[Rank Verteilung D Mitte mit Rinde]:[Verteilung D Mitte mit Rinde]],2,FALSE)</f>
        <v>#N/A</v>
      </c>
      <c r="L1990">
        <v>1981</v>
      </c>
      <c r="M1990" t="e">
        <f>INDEX(Stammdaten[Abholzigkeit (mm/lfm)],MATCH(Tabelle9[[#This Row],[Rank]],Stammdaten[Rank Verteilung Abholzigkeit],0))</f>
        <v>#N/A</v>
      </c>
      <c r="N1990" t="e">
        <f>VLOOKUP(Tabelle9[[#This Row],[Rank]],Stammdaten[[Rank Verteilung Abholzigkeit]:[Verteilung Abholzigkeit]],2,FALSE)</f>
        <v>#N/A</v>
      </c>
      <c r="S1990">
        <v>1981</v>
      </c>
      <c r="T1990" t="e">
        <f>INDEX(Stammdaten[Krümmung (mm/lfm)],MATCH(Tabelle10[[#This Row],[Rank]],Stammdaten[Rank Verteilung Krümmung],0))</f>
        <v>#N/A</v>
      </c>
      <c r="U1990" t="e">
        <f>VLOOKUP(Tabelle10[[#This Row],[Rank]],Stammdaten[[Rank Verteilung Krümmung]:[Verteilung Krümmung]],2,FALSE)</f>
        <v>#N/A</v>
      </c>
      <c r="Z1990">
        <v>1981</v>
      </c>
      <c r="AA1990" t="e">
        <f>INDEX(Stammdaten[Ovalität (']0,1'])],MATCH(Tabelle1014[[#This Row],[Rank]],Stammdaten[Rank Verteilung Ovalität],0))</f>
        <v>#N/A</v>
      </c>
      <c r="AB1990" t="e">
        <f>VLOOKUP(Tabelle1014[[#This Row],[Rank]],Stammdaten[[Rank Verteilung Ovalität]:[Verteilung Ovalität]],2,FALSE)</f>
        <v>#N/A</v>
      </c>
    </row>
    <row r="1991" spans="5:28" x14ac:dyDescent="0.35">
      <c r="E1991">
        <v>1982</v>
      </c>
      <c r="F1991" t="e">
        <f>INDEX(Stammdaten[D Mitte mit Rinde (mm)],MATCH(Tabelle8[[#This Row],[Rank]],Stammdaten[Rank Verteilung D Mitte mit Rinde],0))</f>
        <v>#N/A</v>
      </c>
      <c r="G1991" t="e">
        <f>VLOOKUP(Tabelle8[[#This Row],[Rank]],Stammdaten[[Rank Verteilung D Mitte mit Rinde]:[Verteilung D Mitte mit Rinde]],2,FALSE)</f>
        <v>#N/A</v>
      </c>
      <c r="L1991">
        <v>1982</v>
      </c>
      <c r="M1991" t="e">
        <f>INDEX(Stammdaten[Abholzigkeit (mm/lfm)],MATCH(Tabelle9[[#This Row],[Rank]],Stammdaten[Rank Verteilung Abholzigkeit],0))</f>
        <v>#N/A</v>
      </c>
      <c r="N1991" t="e">
        <f>VLOOKUP(Tabelle9[[#This Row],[Rank]],Stammdaten[[Rank Verteilung Abholzigkeit]:[Verteilung Abholzigkeit]],2,FALSE)</f>
        <v>#N/A</v>
      </c>
      <c r="S1991">
        <v>1982</v>
      </c>
      <c r="T1991" t="e">
        <f>INDEX(Stammdaten[Krümmung (mm/lfm)],MATCH(Tabelle10[[#This Row],[Rank]],Stammdaten[Rank Verteilung Krümmung],0))</f>
        <v>#N/A</v>
      </c>
      <c r="U1991" t="e">
        <f>VLOOKUP(Tabelle10[[#This Row],[Rank]],Stammdaten[[Rank Verteilung Krümmung]:[Verteilung Krümmung]],2,FALSE)</f>
        <v>#N/A</v>
      </c>
      <c r="Z1991">
        <v>1982</v>
      </c>
      <c r="AA1991" t="e">
        <f>INDEX(Stammdaten[Ovalität (']0,1'])],MATCH(Tabelle1014[[#This Row],[Rank]],Stammdaten[Rank Verteilung Ovalität],0))</f>
        <v>#N/A</v>
      </c>
      <c r="AB1991" t="e">
        <f>VLOOKUP(Tabelle1014[[#This Row],[Rank]],Stammdaten[[Rank Verteilung Ovalität]:[Verteilung Ovalität]],2,FALSE)</f>
        <v>#N/A</v>
      </c>
    </row>
    <row r="1992" spans="5:28" x14ac:dyDescent="0.35">
      <c r="E1992">
        <v>1983</v>
      </c>
      <c r="F1992" t="e">
        <f>INDEX(Stammdaten[D Mitte mit Rinde (mm)],MATCH(Tabelle8[[#This Row],[Rank]],Stammdaten[Rank Verteilung D Mitte mit Rinde],0))</f>
        <v>#N/A</v>
      </c>
      <c r="G1992" t="e">
        <f>VLOOKUP(Tabelle8[[#This Row],[Rank]],Stammdaten[[Rank Verteilung D Mitte mit Rinde]:[Verteilung D Mitte mit Rinde]],2,FALSE)</f>
        <v>#N/A</v>
      </c>
      <c r="L1992">
        <v>1983</v>
      </c>
      <c r="M1992" t="e">
        <f>INDEX(Stammdaten[Abholzigkeit (mm/lfm)],MATCH(Tabelle9[[#This Row],[Rank]],Stammdaten[Rank Verteilung Abholzigkeit],0))</f>
        <v>#N/A</v>
      </c>
      <c r="N1992" t="e">
        <f>VLOOKUP(Tabelle9[[#This Row],[Rank]],Stammdaten[[Rank Verteilung Abholzigkeit]:[Verteilung Abholzigkeit]],2,FALSE)</f>
        <v>#N/A</v>
      </c>
      <c r="S1992">
        <v>1983</v>
      </c>
      <c r="T1992" t="e">
        <f>INDEX(Stammdaten[Krümmung (mm/lfm)],MATCH(Tabelle10[[#This Row],[Rank]],Stammdaten[Rank Verteilung Krümmung],0))</f>
        <v>#N/A</v>
      </c>
      <c r="U1992" t="e">
        <f>VLOOKUP(Tabelle10[[#This Row],[Rank]],Stammdaten[[Rank Verteilung Krümmung]:[Verteilung Krümmung]],2,FALSE)</f>
        <v>#N/A</v>
      </c>
      <c r="Z1992">
        <v>1983</v>
      </c>
      <c r="AA1992" t="e">
        <f>INDEX(Stammdaten[Ovalität (']0,1'])],MATCH(Tabelle1014[[#This Row],[Rank]],Stammdaten[Rank Verteilung Ovalität],0))</f>
        <v>#N/A</v>
      </c>
      <c r="AB1992" t="e">
        <f>VLOOKUP(Tabelle1014[[#This Row],[Rank]],Stammdaten[[Rank Verteilung Ovalität]:[Verteilung Ovalität]],2,FALSE)</f>
        <v>#N/A</v>
      </c>
    </row>
    <row r="1993" spans="5:28" x14ac:dyDescent="0.35">
      <c r="E1993">
        <v>1984</v>
      </c>
      <c r="F1993" t="e">
        <f>INDEX(Stammdaten[D Mitte mit Rinde (mm)],MATCH(Tabelle8[[#This Row],[Rank]],Stammdaten[Rank Verteilung D Mitte mit Rinde],0))</f>
        <v>#N/A</v>
      </c>
      <c r="G1993" t="e">
        <f>VLOOKUP(Tabelle8[[#This Row],[Rank]],Stammdaten[[Rank Verteilung D Mitte mit Rinde]:[Verteilung D Mitte mit Rinde]],2,FALSE)</f>
        <v>#N/A</v>
      </c>
      <c r="L1993">
        <v>1984</v>
      </c>
      <c r="M1993" t="e">
        <f>INDEX(Stammdaten[Abholzigkeit (mm/lfm)],MATCH(Tabelle9[[#This Row],[Rank]],Stammdaten[Rank Verteilung Abholzigkeit],0))</f>
        <v>#N/A</v>
      </c>
      <c r="N1993" t="e">
        <f>VLOOKUP(Tabelle9[[#This Row],[Rank]],Stammdaten[[Rank Verteilung Abholzigkeit]:[Verteilung Abholzigkeit]],2,FALSE)</f>
        <v>#N/A</v>
      </c>
      <c r="S1993">
        <v>1984</v>
      </c>
      <c r="T1993" t="e">
        <f>INDEX(Stammdaten[Krümmung (mm/lfm)],MATCH(Tabelle10[[#This Row],[Rank]],Stammdaten[Rank Verteilung Krümmung],0))</f>
        <v>#N/A</v>
      </c>
      <c r="U1993" t="e">
        <f>VLOOKUP(Tabelle10[[#This Row],[Rank]],Stammdaten[[Rank Verteilung Krümmung]:[Verteilung Krümmung]],2,FALSE)</f>
        <v>#N/A</v>
      </c>
      <c r="Z1993">
        <v>1984</v>
      </c>
      <c r="AA1993" t="e">
        <f>INDEX(Stammdaten[Ovalität (']0,1'])],MATCH(Tabelle1014[[#This Row],[Rank]],Stammdaten[Rank Verteilung Ovalität],0))</f>
        <v>#N/A</v>
      </c>
      <c r="AB1993" t="e">
        <f>VLOOKUP(Tabelle1014[[#This Row],[Rank]],Stammdaten[[Rank Verteilung Ovalität]:[Verteilung Ovalität]],2,FALSE)</f>
        <v>#N/A</v>
      </c>
    </row>
    <row r="1994" spans="5:28" x14ac:dyDescent="0.35">
      <c r="E1994">
        <v>1985</v>
      </c>
      <c r="F1994" t="e">
        <f>INDEX(Stammdaten[D Mitte mit Rinde (mm)],MATCH(Tabelle8[[#This Row],[Rank]],Stammdaten[Rank Verteilung D Mitte mit Rinde],0))</f>
        <v>#N/A</v>
      </c>
      <c r="G1994" t="e">
        <f>VLOOKUP(Tabelle8[[#This Row],[Rank]],Stammdaten[[Rank Verteilung D Mitte mit Rinde]:[Verteilung D Mitte mit Rinde]],2,FALSE)</f>
        <v>#N/A</v>
      </c>
      <c r="L1994">
        <v>1985</v>
      </c>
      <c r="M1994" t="e">
        <f>INDEX(Stammdaten[Abholzigkeit (mm/lfm)],MATCH(Tabelle9[[#This Row],[Rank]],Stammdaten[Rank Verteilung Abholzigkeit],0))</f>
        <v>#N/A</v>
      </c>
      <c r="N1994" t="e">
        <f>VLOOKUP(Tabelle9[[#This Row],[Rank]],Stammdaten[[Rank Verteilung Abholzigkeit]:[Verteilung Abholzigkeit]],2,FALSE)</f>
        <v>#N/A</v>
      </c>
      <c r="S1994">
        <v>1985</v>
      </c>
      <c r="T1994" t="e">
        <f>INDEX(Stammdaten[Krümmung (mm/lfm)],MATCH(Tabelle10[[#This Row],[Rank]],Stammdaten[Rank Verteilung Krümmung],0))</f>
        <v>#N/A</v>
      </c>
      <c r="U1994" t="e">
        <f>VLOOKUP(Tabelle10[[#This Row],[Rank]],Stammdaten[[Rank Verteilung Krümmung]:[Verteilung Krümmung]],2,FALSE)</f>
        <v>#N/A</v>
      </c>
      <c r="Z1994">
        <v>1985</v>
      </c>
      <c r="AA1994" t="e">
        <f>INDEX(Stammdaten[Ovalität (']0,1'])],MATCH(Tabelle1014[[#This Row],[Rank]],Stammdaten[Rank Verteilung Ovalität],0))</f>
        <v>#N/A</v>
      </c>
      <c r="AB1994" t="e">
        <f>VLOOKUP(Tabelle1014[[#This Row],[Rank]],Stammdaten[[Rank Verteilung Ovalität]:[Verteilung Ovalität]],2,FALSE)</f>
        <v>#N/A</v>
      </c>
    </row>
    <row r="1995" spans="5:28" x14ac:dyDescent="0.35">
      <c r="E1995">
        <v>1986</v>
      </c>
      <c r="F1995" t="e">
        <f>INDEX(Stammdaten[D Mitte mit Rinde (mm)],MATCH(Tabelle8[[#This Row],[Rank]],Stammdaten[Rank Verteilung D Mitte mit Rinde],0))</f>
        <v>#N/A</v>
      </c>
      <c r="G1995" t="e">
        <f>VLOOKUP(Tabelle8[[#This Row],[Rank]],Stammdaten[[Rank Verteilung D Mitte mit Rinde]:[Verteilung D Mitte mit Rinde]],2,FALSE)</f>
        <v>#N/A</v>
      </c>
      <c r="L1995">
        <v>1986</v>
      </c>
      <c r="M1995" t="e">
        <f>INDEX(Stammdaten[Abholzigkeit (mm/lfm)],MATCH(Tabelle9[[#This Row],[Rank]],Stammdaten[Rank Verteilung Abholzigkeit],0))</f>
        <v>#N/A</v>
      </c>
      <c r="N1995" t="e">
        <f>VLOOKUP(Tabelle9[[#This Row],[Rank]],Stammdaten[[Rank Verteilung Abholzigkeit]:[Verteilung Abholzigkeit]],2,FALSE)</f>
        <v>#N/A</v>
      </c>
      <c r="S1995">
        <v>1986</v>
      </c>
      <c r="T1995" t="e">
        <f>INDEX(Stammdaten[Krümmung (mm/lfm)],MATCH(Tabelle10[[#This Row],[Rank]],Stammdaten[Rank Verteilung Krümmung],0))</f>
        <v>#N/A</v>
      </c>
      <c r="U1995" t="e">
        <f>VLOOKUP(Tabelle10[[#This Row],[Rank]],Stammdaten[[Rank Verteilung Krümmung]:[Verteilung Krümmung]],2,FALSE)</f>
        <v>#N/A</v>
      </c>
      <c r="Z1995">
        <v>1986</v>
      </c>
      <c r="AA1995" t="e">
        <f>INDEX(Stammdaten[Ovalität (']0,1'])],MATCH(Tabelle1014[[#This Row],[Rank]],Stammdaten[Rank Verteilung Ovalität],0))</f>
        <v>#N/A</v>
      </c>
      <c r="AB1995" t="e">
        <f>VLOOKUP(Tabelle1014[[#This Row],[Rank]],Stammdaten[[Rank Verteilung Ovalität]:[Verteilung Ovalität]],2,FALSE)</f>
        <v>#N/A</v>
      </c>
    </row>
    <row r="1996" spans="5:28" x14ac:dyDescent="0.35">
      <c r="E1996">
        <v>1987</v>
      </c>
      <c r="F1996" t="e">
        <f>INDEX(Stammdaten[D Mitte mit Rinde (mm)],MATCH(Tabelle8[[#This Row],[Rank]],Stammdaten[Rank Verteilung D Mitte mit Rinde],0))</f>
        <v>#N/A</v>
      </c>
      <c r="G1996" t="e">
        <f>VLOOKUP(Tabelle8[[#This Row],[Rank]],Stammdaten[[Rank Verteilung D Mitte mit Rinde]:[Verteilung D Mitte mit Rinde]],2,FALSE)</f>
        <v>#N/A</v>
      </c>
      <c r="L1996">
        <v>1987</v>
      </c>
      <c r="M1996" t="e">
        <f>INDEX(Stammdaten[Abholzigkeit (mm/lfm)],MATCH(Tabelle9[[#This Row],[Rank]],Stammdaten[Rank Verteilung Abholzigkeit],0))</f>
        <v>#N/A</v>
      </c>
      <c r="N1996" t="e">
        <f>VLOOKUP(Tabelle9[[#This Row],[Rank]],Stammdaten[[Rank Verteilung Abholzigkeit]:[Verteilung Abholzigkeit]],2,FALSE)</f>
        <v>#N/A</v>
      </c>
      <c r="S1996">
        <v>1987</v>
      </c>
      <c r="T1996" t="e">
        <f>INDEX(Stammdaten[Krümmung (mm/lfm)],MATCH(Tabelle10[[#This Row],[Rank]],Stammdaten[Rank Verteilung Krümmung],0))</f>
        <v>#N/A</v>
      </c>
      <c r="U1996" t="e">
        <f>VLOOKUP(Tabelle10[[#This Row],[Rank]],Stammdaten[[Rank Verteilung Krümmung]:[Verteilung Krümmung]],2,FALSE)</f>
        <v>#N/A</v>
      </c>
      <c r="Z1996">
        <v>1987</v>
      </c>
      <c r="AA1996" t="e">
        <f>INDEX(Stammdaten[Ovalität (']0,1'])],MATCH(Tabelle1014[[#This Row],[Rank]],Stammdaten[Rank Verteilung Ovalität],0))</f>
        <v>#N/A</v>
      </c>
      <c r="AB1996" t="e">
        <f>VLOOKUP(Tabelle1014[[#This Row],[Rank]],Stammdaten[[Rank Verteilung Ovalität]:[Verteilung Ovalität]],2,FALSE)</f>
        <v>#N/A</v>
      </c>
    </row>
    <row r="1997" spans="5:28" x14ac:dyDescent="0.35">
      <c r="E1997">
        <v>1988</v>
      </c>
      <c r="F1997" t="e">
        <f>INDEX(Stammdaten[D Mitte mit Rinde (mm)],MATCH(Tabelle8[[#This Row],[Rank]],Stammdaten[Rank Verteilung D Mitte mit Rinde],0))</f>
        <v>#N/A</v>
      </c>
      <c r="G1997" t="e">
        <f>VLOOKUP(Tabelle8[[#This Row],[Rank]],Stammdaten[[Rank Verteilung D Mitte mit Rinde]:[Verteilung D Mitte mit Rinde]],2,FALSE)</f>
        <v>#N/A</v>
      </c>
      <c r="L1997">
        <v>1988</v>
      </c>
      <c r="M1997" t="e">
        <f>INDEX(Stammdaten[Abholzigkeit (mm/lfm)],MATCH(Tabelle9[[#This Row],[Rank]],Stammdaten[Rank Verteilung Abholzigkeit],0))</f>
        <v>#N/A</v>
      </c>
      <c r="N1997" t="e">
        <f>VLOOKUP(Tabelle9[[#This Row],[Rank]],Stammdaten[[Rank Verteilung Abholzigkeit]:[Verteilung Abholzigkeit]],2,FALSE)</f>
        <v>#N/A</v>
      </c>
      <c r="S1997">
        <v>1988</v>
      </c>
      <c r="T1997" t="e">
        <f>INDEX(Stammdaten[Krümmung (mm/lfm)],MATCH(Tabelle10[[#This Row],[Rank]],Stammdaten[Rank Verteilung Krümmung],0))</f>
        <v>#N/A</v>
      </c>
      <c r="U1997" t="e">
        <f>VLOOKUP(Tabelle10[[#This Row],[Rank]],Stammdaten[[Rank Verteilung Krümmung]:[Verteilung Krümmung]],2,FALSE)</f>
        <v>#N/A</v>
      </c>
      <c r="Z1997">
        <v>1988</v>
      </c>
      <c r="AA1997" t="e">
        <f>INDEX(Stammdaten[Ovalität (']0,1'])],MATCH(Tabelle1014[[#This Row],[Rank]],Stammdaten[Rank Verteilung Ovalität],0))</f>
        <v>#N/A</v>
      </c>
      <c r="AB1997" t="e">
        <f>VLOOKUP(Tabelle1014[[#This Row],[Rank]],Stammdaten[[Rank Verteilung Ovalität]:[Verteilung Ovalität]],2,FALSE)</f>
        <v>#N/A</v>
      </c>
    </row>
    <row r="1998" spans="5:28" x14ac:dyDescent="0.35">
      <c r="E1998">
        <v>1989</v>
      </c>
      <c r="F1998" t="e">
        <f>INDEX(Stammdaten[D Mitte mit Rinde (mm)],MATCH(Tabelle8[[#This Row],[Rank]],Stammdaten[Rank Verteilung D Mitte mit Rinde],0))</f>
        <v>#N/A</v>
      </c>
      <c r="G1998" t="e">
        <f>VLOOKUP(Tabelle8[[#This Row],[Rank]],Stammdaten[[Rank Verteilung D Mitte mit Rinde]:[Verteilung D Mitte mit Rinde]],2,FALSE)</f>
        <v>#N/A</v>
      </c>
      <c r="L1998">
        <v>1989</v>
      </c>
      <c r="M1998" t="e">
        <f>INDEX(Stammdaten[Abholzigkeit (mm/lfm)],MATCH(Tabelle9[[#This Row],[Rank]],Stammdaten[Rank Verteilung Abholzigkeit],0))</f>
        <v>#N/A</v>
      </c>
      <c r="N1998" t="e">
        <f>VLOOKUP(Tabelle9[[#This Row],[Rank]],Stammdaten[[Rank Verteilung Abholzigkeit]:[Verteilung Abholzigkeit]],2,FALSE)</f>
        <v>#N/A</v>
      </c>
      <c r="S1998">
        <v>1989</v>
      </c>
      <c r="T1998" t="e">
        <f>INDEX(Stammdaten[Krümmung (mm/lfm)],MATCH(Tabelle10[[#This Row],[Rank]],Stammdaten[Rank Verteilung Krümmung],0))</f>
        <v>#N/A</v>
      </c>
      <c r="U1998" t="e">
        <f>VLOOKUP(Tabelle10[[#This Row],[Rank]],Stammdaten[[Rank Verteilung Krümmung]:[Verteilung Krümmung]],2,FALSE)</f>
        <v>#N/A</v>
      </c>
      <c r="Z1998">
        <v>1989</v>
      </c>
      <c r="AA1998" t="e">
        <f>INDEX(Stammdaten[Ovalität (']0,1'])],MATCH(Tabelle1014[[#This Row],[Rank]],Stammdaten[Rank Verteilung Ovalität],0))</f>
        <v>#N/A</v>
      </c>
      <c r="AB1998" t="e">
        <f>VLOOKUP(Tabelle1014[[#This Row],[Rank]],Stammdaten[[Rank Verteilung Ovalität]:[Verteilung Ovalität]],2,FALSE)</f>
        <v>#N/A</v>
      </c>
    </row>
    <row r="1999" spans="5:28" x14ac:dyDescent="0.35">
      <c r="E1999">
        <v>1990</v>
      </c>
      <c r="F1999" t="e">
        <f>INDEX(Stammdaten[D Mitte mit Rinde (mm)],MATCH(Tabelle8[[#This Row],[Rank]],Stammdaten[Rank Verteilung D Mitte mit Rinde],0))</f>
        <v>#N/A</v>
      </c>
      <c r="G1999" t="e">
        <f>VLOOKUP(Tabelle8[[#This Row],[Rank]],Stammdaten[[Rank Verteilung D Mitte mit Rinde]:[Verteilung D Mitte mit Rinde]],2,FALSE)</f>
        <v>#N/A</v>
      </c>
      <c r="L1999">
        <v>1990</v>
      </c>
      <c r="M1999" t="e">
        <f>INDEX(Stammdaten[Abholzigkeit (mm/lfm)],MATCH(Tabelle9[[#This Row],[Rank]],Stammdaten[Rank Verteilung Abholzigkeit],0))</f>
        <v>#N/A</v>
      </c>
      <c r="N1999" t="e">
        <f>VLOOKUP(Tabelle9[[#This Row],[Rank]],Stammdaten[[Rank Verteilung Abholzigkeit]:[Verteilung Abholzigkeit]],2,FALSE)</f>
        <v>#N/A</v>
      </c>
      <c r="S1999">
        <v>1990</v>
      </c>
      <c r="T1999" t="e">
        <f>INDEX(Stammdaten[Krümmung (mm/lfm)],MATCH(Tabelle10[[#This Row],[Rank]],Stammdaten[Rank Verteilung Krümmung],0))</f>
        <v>#N/A</v>
      </c>
      <c r="U1999" t="e">
        <f>VLOOKUP(Tabelle10[[#This Row],[Rank]],Stammdaten[[Rank Verteilung Krümmung]:[Verteilung Krümmung]],2,FALSE)</f>
        <v>#N/A</v>
      </c>
      <c r="Z1999">
        <v>1990</v>
      </c>
      <c r="AA1999" t="e">
        <f>INDEX(Stammdaten[Ovalität (']0,1'])],MATCH(Tabelle1014[[#This Row],[Rank]],Stammdaten[Rank Verteilung Ovalität],0))</f>
        <v>#N/A</v>
      </c>
      <c r="AB1999" t="e">
        <f>VLOOKUP(Tabelle1014[[#This Row],[Rank]],Stammdaten[[Rank Verteilung Ovalität]:[Verteilung Ovalität]],2,FALSE)</f>
        <v>#N/A</v>
      </c>
    </row>
    <row r="2000" spans="5:28" x14ac:dyDescent="0.35">
      <c r="E2000">
        <v>1991</v>
      </c>
      <c r="F2000" t="e">
        <f>INDEX(Stammdaten[D Mitte mit Rinde (mm)],MATCH(Tabelle8[[#This Row],[Rank]],Stammdaten[Rank Verteilung D Mitte mit Rinde],0))</f>
        <v>#N/A</v>
      </c>
      <c r="G2000" t="e">
        <f>VLOOKUP(Tabelle8[[#This Row],[Rank]],Stammdaten[[Rank Verteilung D Mitte mit Rinde]:[Verteilung D Mitte mit Rinde]],2,FALSE)</f>
        <v>#N/A</v>
      </c>
      <c r="L2000">
        <v>1991</v>
      </c>
      <c r="M2000" t="e">
        <f>INDEX(Stammdaten[Abholzigkeit (mm/lfm)],MATCH(Tabelle9[[#This Row],[Rank]],Stammdaten[Rank Verteilung Abholzigkeit],0))</f>
        <v>#N/A</v>
      </c>
      <c r="N2000" t="e">
        <f>VLOOKUP(Tabelle9[[#This Row],[Rank]],Stammdaten[[Rank Verteilung Abholzigkeit]:[Verteilung Abholzigkeit]],2,FALSE)</f>
        <v>#N/A</v>
      </c>
      <c r="S2000">
        <v>1991</v>
      </c>
      <c r="T2000" t="e">
        <f>INDEX(Stammdaten[Krümmung (mm/lfm)],MATCH(Tabelle10[[#This Row],[Rank]],Stammdaten[Rank Verteilung Krümmung],0))</f>
        <v>#N/A</v>
      </c>
      <c r="U2000" t="e">
        <f>VLOOKUP(Tabelle10[[#This Row],[Rank]],Stammdaten[[Rank Verteilung Krümmung]:[Verteilung Krümmung]],2,FALSE)</f>
        <v>#N/A</v>
      </c>
      <c r="Z2000">
        <v>1991</v>
      </c>
      <c r="AA2000" t="e">
        <f>INDEX(Stammdaten[Ovalität (']0,1'])],MATCH(Tabelle1014[[#This Row],[Rank]],Stammdaten[Rank Verteilung Ovalität],0))</f>
        <v>#N/A</v>
      </c>
      <c r="AB2000" t="e">
        <f>VLOOKUP(Tabelle1014[[#This Row],[Rank]],Stammdaten[[Rank Verteilung Ovalität]:[Verteilung Ovalität]],2,FALSE)</f>
        <v>#N/A</v>
      </c>
    </row>
    <row r="2001" spans="5:28" x14ac:dyDescent="0.35">
      <c r="E2001">
        <v>1992</v>
      </c>
      <c r="F2001" t="e">
        <f>INDEX(Stammdaten[D Mitte mit Rinde (mm)],MATCH(Tabelle8[[#This Row],[Rank]],Stammdaten[Rank Verteilung D Mitte mit Rinde],0))</f>
        <v>#N/A</v>
      </c>
      <c r="G2001" t="e">
        <f>VLOOKUP(Tabelle8[[#This Row],[Rank]],Stammdaten[[Rank Verteilung D Mitte mit Rinde]:[Verteilung D Mitte mit Rinde]],2,FALSE)</f>
        <v>#N/A</v>
      </c>
      <c r="L2001">
        <v>1992</v>
      </c>
      <c r="M2001" t="e">
        <f>INDEX(Stammdaten[Abholzigkeit (mm/lfm)],MATCH(Tabelle9[[#This Row],[Rank]],Stammdaten[Rank Verteilung Abholzigkeit],0))</f>
        <v>#N/A</v>
      </c>
      <c r="N2001" t="e">
        <f>VLOOKUP(Tabelle9[[#This Row],[Rank]],Stammdaten[[Rank Verteilung Abholzigkeit]:[Verteilung Abholzigkeit]],2,FALSE)</f>
        <v>#N/A</v>
      </c>
      <c r="S2001">
        <v>1992</v>
      </c>
      <c r="T2001" t="e">
        <f>INDEX(Stammdaten[Krümmung (mm/lfm)],MATCH(Tabelle10[[#This Row],[Rank]],Stammdaten[Rank Verteilung Krümmung],0))</f>
        <v>#N/A</v>
      </c>
      <c r="U2001" t="e">
        <f>VLOOKUP(Tabelle10[[#This Row],[Rank]],Stammdaten[[Rank Verteilung Krümmung]:[Verteilung Krümmung]],2,FALSE)</f>
        <v>#N/A</v>
      </c>
      <c r="Z2001">
        <v>1992</v>
      </c>
      <c r="AA2001" t="e">
        <f>INDEX(Stammdaten[Ovalität (']0,1'])],MATCH(Tabelle1014[[#This Row],[Rank]],Stammdaten[Rank Verteilung Ovalität],0))</f>
        <v>#N/A</v>
      </c>
      <c r="AB2001" t="e">
        <f>VLOOKUP(Tabelle1014[[#This Row],[Rank]],Stammdaten[[Rank Verteilung Ovalität]:[Verteilung Ovalität]],2,FALSE)</f>
        <v>#N/A</v>
      </c>
    </row>
    <row r="2002" spans="5:28" x14ac:dyDescent="0.35">
      <c r="E2002">
        <v>1993</v>
      </c>
      <c r="F2002" t="e">
        <f>INDEX(Stammdaten[D Mitte mit Rinde (mm)],MATCH(Tabelle8[[#This Row],[Rank]],Stammdaten[Rank Verteilung D Mitte mit Rinde],0))</f>
        <v>#N/A</v>
      </c>
      <c r="G2002" t="e">
        <f>VLOOKUP(Tabelle8[[#This Row],[Rank]],Stammdaten[[Rank Verteilung D Mitte mit Rinde]:[Verteilung D Mitte mit Rinde]],2,FALSE)</f>
        <v>#N/A</v>
      </c>
      <c r="L2002">
        <v>1993</v>
      </c>
      <c r="M2002" t="e">
        <f>INDEX(Stammdaten[Abholzigkeit (mm/lfm)],MATCH(Tabelle9[[#This Row],[Rank]],Stammdaten[Rank Verteilung Abholzigkeit],0))</f>
        <v>#N/A</v>
      </c>
      <c r="N2002" t="e">
        <f>VLOOKUP(Tabelle9[[#This Row],[Rank]],Stammdaten[[Rank Verteilung Abholzigkeit]:[Verteilung Abholzigkeit]],2,FALSE)</f>
        <v>#N/A</v>
      </c>
      <c r="S2002">
        <v>1993</v>
      </c>
      <c r="T2002" t="e">
        <f>INDEX(Stammdaten[Krümmung (mm/lfm)],MATCH(Tabelle10[[#This Row],[Rank]],Stammdaten[Rank Verteilung Krümmung],0))</f>
        <v>#N/A</v>
      </c>
      <c r="U2002" t="e">
        <f>VLOOKUP(Tabelle10[[#This Row],[Rank]],Stammdaten[[Rank Verteilung Krümmung]:[Verteilung Krümmung]],2,FALSE)</f>
        <v>#N/A</v>
      </c>
      <c r="Z2002">
        <v>1993</v>
      </c>
      <c r="AA2002" t="e">
        <f>INDEX(Stammdaten[Ovalität (']0,1'])],MATCH(Tabelle1014[[#This Row],[Rank]],Stammdaten[Rank Verteilung Ovalität],0))</f>
        <v>#N/A</v>
      </c>
      <c r="AB2002" t="e">
        <f>VLOOKUP(Tabelle1014[[#This Row],[Rank]],Stammdaten[[Rank Verteilung Ovalität]:[Verteilung Ovalität]],2,FALSE)</f>
        <v>#N/A</v>
      </c>
    </row>
    <row r="2003" spans="5:28" x14ac:dyDescent="0.35">
      <c r="E2003">
        <v>1994</v>
      </c>
      <c r="F2003" t="e">
        <f>INDEX(Stammdaten[D Mitte mit Rinde (mm)],MATCH(Tabelle8[[#This Row],[Rank]],Stammdaten[Rank Verteilung D Mitte mit Rinde],0))</f>
        <v>#N/A</v>
      </c>
      <c r="G2003" t="e">
        <f>VLOOKUP(Tabelle8[[#This Row],[Rank]],Stammdaten[[Rank Verteilung D Mitte mit Rinde]:[Verteilung D Mitte mit Rinde]],2,FALSE)</f>
        <v>#N/A</v>
      </c>
      <c r="L2003">
        <v>1994</v>
      </c>
      <c r="M2003" t="e">
        <f>INDEX(Stammdaten[Abholzigkeit (mm/lfm)],MATCH(Tabelle9[[#This Row],[Rank]],Stammdaten[Rank Verteilung Abholzigkeit],0))</f>
        <v>#N/A</v>
      </c>
      <c r="N2003" t="e">
        <f>VLOOKUP(Tabelle9[[#This Row],[Rank]],Stammdaten[[Rank Verteilung Abholzigkeit]:[Verteilung Abholzigkeit]],2,FALSE)</f>
        <v>#N/A</v>
      </c>
      <c r="S2003">
        <v>1994</v>
      </c>
      <c r="T2003" t="e">
        <f>INDEX(Stammdaten[Krümmung (mm/lfm)],MATCH(Tabelle10[[#This Row],[Rank]],Stammdaten[Rank Verteilung Krümmung],0))</f>
        <v>#N/A</v>
      </c>
      <c r="U2003" t="e">
        <f>VLOOKUP(Tabelle10[[#This Row],[Rank]],Stammdaten[[Rank Verteilung Krümmung]:[Verteilung Krümmung]],2,FALSE)</f>
        <v>#N/A</v>
      </c>
      <c r="Z2003">
        <v>1994</v>
      </c>
      <c r="AA2003" t="e">
        <f>INDEX(Stammdaten[Ovalität (']0,1'])],MATCH(Tabelle1014[[#This Row],[Rank]],Stammdaten[Rank Verteilung Ovalität],0))</f>
        <v>#N/A</v>
      </c>
      <c r="AB2003" t="e">
        <f>VLOOKUP(Tabelle1014[[#This Row],[Rank]],Stammdaten[[Rank Verteilung Ovalität]:[Verteilung Ovalität]],2,FALSE)</f>
        <v>#N/A</v>
      </c>
    </row>
    <row r="2004" spans="5:28" x14ac:dyDescent="0.35">
      <c r="E2004">
        <v>1995</v>
      </c>
      <c r="F2004" t="e">
        <f>INDEX(Stammdaten[D Mitte mit Rinde (mm)],MATCH(Tabelle8[[#This Row],[Rank]],Stammdaten[Rank Verteilung D Mitte mit Rinde],0))</f>
        <v>#N/A</v>
      </c>
      <c r="G2004" t="e">
        <f>VLOOKUP(Tabelle8[[#This Row],[Rank]],Stammdaten[[Rank Verteilung D Mitte mit Rinde]:[Verteilung D Mitte mit Rinde]],2,FALSE)</f>
        <v>#N/A</v>
      </c>
      <c r="L2004">
        <v>1995</v>
      </c>
      <c r="M2004" t="e">
        <f>INDEX(Stammdaten[Abholzigkeit (mm/lfm)],MATCH(Tabelle9[[#This Row],[Rank]],Stammdaten[Rank Verteilung Abholzigkeit],0))</f>
        <v>#N/A</v>
      </c>
      <c r="N2004" t="e">
        <f>VLOOKUP(Tabelle9[[#This Row],[Rank]],Stammdaten[[Rank Verteilung Abholzigkeit]:[Verteilung Abholzigkeit]],2,FALSE)</f>
        <v>#N/A</v>
      </c>
      <c r="S2004">
        <v>1995</v>
      </c>
      <c r="T2004" t="e">
        <f>INDEX(Stammdaten[Krümmung (mm/lfm)],MATCH(Tabelle10[[#This Row],[Rank]],Stammdaten[Rank Verteilung Krümmung],0))</f>
        <v>#N/A</v>
      </c>
      <c r="U2004" t="e">
        <f>VLOOKUP(Tabelle10[[#This Row],[Rank]],Stammdaten[[Rank Verteilung Krümmung]:[Verteilung Krümmung]],2,FALSE)</f>
        <v>#N/A</v>
      </c>
      <c r="Z2004">
        <v>1995</v>
      </c>
      <c r="AA2004" t="e">
        <f>INDEX(Stammdaten[Ovalität (']0,1'])],MATCH(Tabelle1014[[#This Row],[Rank]],Stammdaten[Rank Verteilung Ovalität],0))</f>
        <v>#N/A</v>
      </c>
      <c r="AB2004" t="e">
        <f>VLOOKUP(Tabelle1014[[#This Row],[Rank]],Stammdaten[[Rank Verteilung Ovalität]:[Verteilung Ovalität]],2,FALSE)</f>
        <v>#N/A</v>
      </c>
    </row>
    <row r="2005" spans="5:28" x14ac:dyDescent="0.35">
      <c r="E2005">
        <v>1996</v>
      </c>
      <c r="F2005" t="e">
        <f>INDEX(Stammdaten[D Mitte mit Rinde (mm)],MATCH(Tabelle8[[#This Row],[Rank]],Stammdaten[Rank Verteilung D Mitte mit Rinde],0))</f>
        <v>#N/A</v>
      </c>
      <c r="G2005" t="e">
        <f>VLOOKUP(Tabelle8[[#This Row],[Rank]],Stammdaten[[Rank Verteilung D Mitte mit Rinde]:[Verteilung D Mitte mit Rinde]],2,FALSE)</f>
        <v>#N/A</v>
      </c>
      <c r="L2005">
        <v>1996</v>
      </c>
      <c r="M2005" t="e">
        <f>INDEX(Stammdaten[Abholzigkeit (mm/lfm)],MATCH(Tabelle9[[#This Row],[Rank]],Stammdaten[Rank Verteilung Abholzigkeit],0))</f>
        <v>#N/A</v>
      </c>
      <c r="N2005" t="e">
        <f>VLOOKUP(Tabelle9[[#This Row],[Rank]],Stammdaten[[Rank Verteilung Abholzigkeit]:[Verteilung Abholzigkeit]],2,FALSE)</f>
        <v>#N/A</v>
      </c>
      <c r="S2005">
        <v>1996</v>
      </c>
      <c r="T2005" t="e">
        <f>INDEX(Stammdaten[Krümmung (mm/lfm)],MATCH(Tabelle10[[#This Row],[Rank]],Stammdaten[Rank Verteilung Krümmung],0))</f>
        <v>#N/A</v>
      </c>
      <c r="U2005" t="e">
        <f>VLOOKUP(Tabelle10[[#This Row],[Rank]],Stammdaten[[Rank Verteilung Krümmung]:[Verteilung Krümmung]],2,FALSE)</f>
        <v>#N/A</v>
      </c>
      <c r="Z2005">
        <v>1996</v>
      </c>
      <c r="AA2005" t="e">
        <f>INDEX(Stammdaten[Ovalität (']0,1'])],MATCH(Tabelle1014[[#This Row],[Rank]],Stammdaten[Rank Verteilung Ovalität],0))</f>
        <v>#N/A</v>
      </c>
      <c r="AB2005" t="e">
        <f>VLOOKUP(Tabelle1014[[#This Row],[Rank]],Stammdaten[[Rank Verteilung Ovalität]:[Verteilung Ovalität]],2,FALSE)</f>
        <v>#N/A</v>
      </c>
    </row>
    <row r="2006" spans="5:28" x14ac:dyDescent="0.35">
      <c r="E2006">
        <v>1997</v>
      </c>
      <c r="F2006" t="e">
        <f>INDEX(Stammdaten[D Mitte mit Rinde (mm)],MATCH(Tabelle8[[#This Row],[Rank]],Stammdaten[Rank Verteilung D Mitte mit Rinde],0))</f>
        <v>#N/A</v>
      </c>
      <c r="G2006" t="e">
        <f>VLOOKUP(Tabelle8[[#This Row],[Rank]],Stammdaten[[Rank Verteilung D Mitte mit Rinde]:[Verteilung D Mitte mit Rinde]],2,FALSE)</f>
        <v>#N/A</v>
      </c>
      <c r="L2006">
        <v>1997</v>
      </c>
      <c r="M2006" t="e">
        <f>INDEX(Stammdaten[Abholzigkeit (mm/lfm)],MATCH(Tabelle9[[#This Row],[Rank]],Stammdaten[Rank Verteilung Abholzigkeit],0))</f>
        <v>#N/A</v>
      </c>
      <c r="N2006" t="e">
        <f>VLOOKUP(Tabelle9[[#This Row],[Rank]],Stammdaten[[Rank Verteilung Abholzigkeit]:[Verteilung Abholzigkeit]],2,FALSE)</f>
        <v>#N/A</v>
      </c>
      <c r="S2006">
        <v>1997</v>
      </c>
      <c r="T2006" t="e">
        <f>INDEX(Stammdaten[Krümmung (mm/lfm)],MATCH(Tabelle10[[#This Row],[Rank]],Stammdaten[Rank Verteilung Krümmung],0))</f>
        <v>#N/A</v>
      </c>
      <c r="U2006" t="e">
        <f>VLOOKUP(Tabelle10[[#This Row],[Rank]],Stammdaten[[Rank Verteilung Krümmung]:[Verteilung Krümmung]],2,FALSE)</f>
        <v>#N/A</v>
      </c>
      <c r="Z2006">
        <v>1997</v>
      </c>
      <c r="AA2006" t="e">
        <f>INDEX(Stammdaten[Ovalität (']0,1'])],MATCH(Tabelle1014[[#This Row],[Rank]],Stammdaten[Rank Verteilung Ovalität],0))</f>
        <v>#N/A</v>
      </c>
      <c r="AB2006" t="e">
        <f>VLOOKUP(Tabelle1014[[#This Row],[Rank]],Stammdaten[[Rank Verteilung Ovalität]:[Verteilung Ovalität]],2,FALSE)</f>
        <v>#N/A</v>
      </c>
    </row>
    <row r="2007" spans="5:28" x14ac:dyDescent="0.35">
      <c r="E2007">
        <v>1998</v>
      </c>
      <c r="F2007" t="e">
        <f>INDEX(Stammdaten[D Mitte mit Rinde (mm)],MATCH(Tabelle8[[#This Row],[Rank]],Stammdaten[Rank Verteilung D Mitte mit Rinde],0))</f>
        <v>#N/A</v>
      </c>
      <c r="G2007" t="e">
        <f>VLOOKUP(Tabelle8[[#This Row],[Rank]],Stammdaten[[Rank Verteilung D Mitte mit Rinde]:[Verteilung D Mitte mit Rinde]],2,FALSE)</f>
        <v>#N/A</v>
      </c>
      <c r="L2007">
        <v>1998</v>
      </c>
      <c r="M2007" t="e">
        <f>INDEX(Stammdaten[Abholzigkeit (mm/lfm)],MATCH(Tabelle9[[#This Row],[Rank]],Stammdaten[Rank Verteilung Abholzigkeit],0))</f>
        <v>#N/A</v>
      </c>
      <c r="N2007" t="e">
        <f>VLOOKUP(Tabelle9[[#This Row],[Rank]],Stammdaten[[Rank Verteilung Abholzigkeit]:[Verteilung Abholzigkeit]],2,FALSE)</f>
        <v>#N/A</v>
      </c>
      <c r="S2007">
        <v>1998</v>
      </c>
      <c r="T2007" t="e">
        <f>INDEX(Stammdaten[Krümmung (mm/lfm)],MATCH(Tabelle10[[#This Row],[Rank]],Stammdaten[Rank Verteilung Krümmung],0))</f>
        <v>#N/A</v>
      </c>
      <c r="U2007" t="e">
        <f>VLOOKUP(Tabelle10[[#This Row],[Rank]],Stammdaten[[Rank Verteilung Krümmung]:[Verteilung Krümmung]],2,FALSE)</f>
        <v>#N/A</v>
      </c>
      <c r="Z2007">
        <v>1998</v>
      </c>
      <c r="AA2007" t="e">
        <f>INDEX(Stammdaten[Ovalität (']0,1'])],MATCH(Tabelle1014[[#This Row],[Rank]],Stammdaten[Rank Verteilung Ovalität],0))</f>
        <v>#N/A</v>
      </c>
      <c r="AB2007" t="e">
        <f>VLOOKUP(Tabelle1014[[#This Row],[Rank]],Stammdaten[[Rank Verteilung Ovalität]:[Verteilung Ovalität]],2,FALSE)</f>
        <v>#N/A</v>
      </c>
    </row>
    <row r="2008" spans="5:28" x14ac:dyDescent="0.35">
      <c r="E2008">
        <v>1999</v>
      </c>
      <c r="F2008" t="e">
        <f>INDEX(Stammdaten[D Mitte mit Rinde (mm)],MATCH(Tabelle8[[#This Row],[Rank]],Stammdaten[Rank Verteilung D Mitte mit Rinde],0))</f>
        <v>#N/A</v>
      </c>
      <c r="G2008" t="e">
        <f>VLOOKUP(Tabelle8[[#This Row],[Rank]],Stammdaten[[Rank Verteilung D Mitte mit Rinde]:[Verteilung D Mitte mit Rinde]],2,FALSE)</f>
        <v>#N/A</v>
      </c>
      <c r="L2008">
        <v>1999</v>
      </c>
      <c r="M2008" t="e">
        <f>INDEX(Stammdaten[Abholzigkeit (mm/lfm)],MATCH(Tabelle9[[#This Row],[Rank]],Stammdaten[Rank Verteilung Abholzigkeit],0))</f>
        <v>#N/A</v>
      </c>
      <c r="N2008" t="e">
        <f>VLOOKUP(Tabelle9[[#This Row],[Rank]],Stammdaten[[Rank Verteilung Abholzigkeit]:[Verteilung Abholzigkeit]],2,FALSE)</f>
        <v>#N/A</v>
      </c>
      <c r="S2008">
        <v>1999</v>
      </c>
      <c r="T2008" t="e">
        <f>INDEX(Stammdaten[Krümmung (mm/lfm)],MATCH(Tabelle10[[#This Row],[Rank]],Stammdaten[Rank Verteilung Krümmung],0))</f>
        <v>#N/A</v>
      </c>
      <c r="U2008" t="e">
        <f>VLOOKUP(Tabelle10[[#This Row],[Rank]],Stammdaten[[Rank Verteilung Krümmung]:[Verteilung Krümmung]],2,FALSE)</f>
        <v>#N/A</v>
      </c>
      <c r="Z2008">
        <v>1999</v>
      </c>
      <c r="AA2008" t="e">
        <f>INDEX(Stammdaten[Ovalität (']0,1'])],MATCH(Tabelle1014[[#This Row],[Rank]],Stammdaten[Rank Verteilung Ovalität],0))</f>
        <v>#N/A</v>
      </c>
      <c r="AB2008" t="e">
        <f>VLOOKUP(Tabelle1014[[#This Row],[Rank]],Stammdaten[[Rank Verteilung Ovalität]:[Verteilung Ovalität]],2,FALSE)</f>
        <v>#N/A</v>
      </c>
    </row>
    <row r="2009" spans="5:28" x14ac:dyDescent="0.35">
      <c r="E2009">
        <v>2000</v>
      </c>
      <c r="F2009" t="e">
        <f>INDEX(Stammdaten[D Mitte mit Rinde (mm)],MATCH(Tabelle8[[#This Row],[Rank]],Stammdaten[Rank Verteilung D Mitte mit Rinde],0))</f>
        <v>#N/A</v>
      </c>
      <c r="G2009" t="e">
        <f>VLOOKUP(Tabelle8[[#This Row],[Rank]],Stammdaten[[Rank Verteilung D Mitte mit Rinde]:[Verteilung D Mitte mit Rinde]],2,FALSE)</f>
        <v>#N/A</v>
      </c>
      <c r="L2009">
        <v>2000</v>
      </c>
      <c r="M2009" t="e">
        <f>INDEX(Stammdaten[Abholzigkeit (mm/lfm)],MATCH(Tabelle9[[#This Row],[Rank]],Stammdaten[Rank Verteilung Abholzigkeit],0))</f>
        <v>#N/A</v>
      </c>
      <c r="N2009" t="e">
        <f>VLOOKUP(Tabelle9[[#This Row],[Rank]],Stammdaten[[Rank Verteilung Abholzigkeit]:[Verteilung Abholzigkeit]],2,FALSE)</f>
        <v>#N/A</v>
      </c>
      <c r="S2009">
        <v>2000</v>
      </c>
      <c r="T2009" t="e">
        <f>INDEX(Stammdaten[Krümmung (mm/lfm)],MATCH(Tabelle10[[#This Row],[Rank]],Stammdaten[Rank Verteilung Krümmung],0))</f>
        <v>#N/A</v>
      </c>
      <c r="U2009" t="e">
        <f>VLOOKUP(Tabelle10[[#This Row],[Rank]],Stammdaten[[Rank Verteilung Krümmung]:[Verteilung Krümmung]],2,FALSE)</f>
        <v>#N/A</v>
      </c>
      <c r="Z2009">
        <v>2000</v>
      </c>
      <c r="AA2009" t="e">
        <f>INDEX(Stammdaten[Ovalität (']0,1'])],MATCH(Tabelle1014[[#This Row],[Rank]],Stammdaten[Rank Verteilung Ovalität],0))</f>
        <v>#N/A</v>
      </c>
      <c r="AB2009" t="e">
        <f>VLOOKUP(Tabelle1014[[#This Row],[Rank]],Stammdaten[[Rank Verteilung Ovalität]:[Verteilung Ovalität]],2,FALSE)</f>
        <v>#N/A</v>
      </c>
    </row>
    <row r="2010" spans="5:28" x14ac:dyDescent="0.35">
      <c r="E2010">
        <v>2001</v>
      </c>
      <c r="F2010" t="e">
        <f>INDEX(Stammdaten[D Mitte mit Rinde (mm)],MATCH(Tabelle8[[#This Row],[Rank]],Stammdaten[Rank Verteilung D Mitte mit Rinde],0))</f>
        <v>#N/A</v>
      </c>
      <c r="G2010" t="e">
        <f>VLOOKUP(Tabelle8[[#This Row],[Rank]],Stammdaten[[Rank Verteilung D Mitte mit Rinde]:[Verteilung D Mitte mit Rinde]],2,FALSE)</f>
        <v>#N/A</v>
      </c>
      <c r="L2010">
        <v>2001</v>
      </c>
      <c r="M2010" t="e">
        <f>INDEX(Stammdaten[Abholzigkeit (mm/lfm)],MATCH(Tabelle9[[#This Row],[Rank]],Stammdaten[Rank Verteilung Abholzigkeit],0))</f>
        <v>#N/A</v>
      </c>
      <c r="N2010" t="e">
        <f>VLOOKUP(Tabelle9[[#This Row],[Rank]],Stammdaten[[Rank Verteilung Abholzigkeit]:[Verteilung Abholzigkeit]],2,FALSE)</f>
        <v>#N/A</v>
      </c>
      <c r="S2010">
        <v>2001</v>
      </c>
      <c r="T2010" t="e">
        <f>INDEX(Stammdaten[Krümmung (mm/lfm)],MATCH(Tabelle10[[#This Row],[Rank]],Stammdaten[Rank Verteilung Krümmung],0))</f>
        <v>#N/A</v>
      </c>
      <c r="U2010" t="e">
        <f>VLOOKUP(Tabelle10[[#This Row],[Rank]],Stammdaten[[Rank Verteilung Krümmung]:[Verteilung Krümmung]],2,FALSE)</f>
        <v>#N/A</v>
      </c>
      <c r="Z2010">
        <v>2001</v>
      </c>
      <c r="AA2010" t="e">
        <f>INDEX(Stammdaten[Ovalität (']0,1'])],MATCH(Tabelle1014[[#This Row],[Rank]],Stammdaten[Rank Verteilung Ovalität],0))</f>
        <v>#N/A</v>
      </c>
      <c r="AB2010" t="e">
        <f>VLOOKUP(Tabelle1014[[#This Row],[Rank]],Stammdaten[[Rank Verteilung Ovalität]:[Verteilung Ovalität]],2,FALSE)</f>
        <v>#N/A</v>
      </c>
    </row>
    <row r="2011" spans="5:28" x14ac:dyDescent="0.35">
      <c r="E2011">
        <v>2002</v>
      </c>
      <c r="F2011" t="e">
        <f>INDEX(Stammdaten[D Mitte mit Rinde (mm)],MATCH(Tabelle8[[#This Row],[Rank]],Stammdaten[Rank Verteilung D Mitte mit Rinde],0))</f>
        <v>#N/A</v>
      </c>
      <c r="G2011" t="e">
        <f>VLOOKUP(Tabelle8[[#This Row],[Rank]],Stammdaten[[Rank Verteilung D Mitte mit Rinde]:[Verteilung D Mitte mit Rinde]],2,FALSE)</f>
        <v>#N/A</v>
      </c>
      <c r="L2011">
        <v>2002</v>
      </c>
      <c r="M2011" t="e">
        <f>INDEX(Stammdaten[Abholzigkeit (mm/lfm)],MATCH(Tabelle9[[#This Row],[Rank]],Stammdaten[Rank Verteilung Abholzigkeit],0))</f>
        <v>#N/A</v>
      </c>
      <c r="N2011" t="e">
        <f>VLOOKUP(Tabelle9[[#This Row],[Rank]],Stammdaten[[Rank Verteilung Abholzigkeit]:[Verteilung Abholzigkeit]],2,FALSE)</f>
        <v>#N/A</v>
      </c>
      <c r="S2011">
        <v>2002</v>
      </c>
      <c r="T2011" t="e">
        <f>INDEX(Stammdaten[Krümmung (mm/lfm)],MATCH(Tabelle10[[#This Row],[Rank]],Stammdaten[Rank Verteilung Krümmung],0))</f>
        <v>#N/A</v>
      </c>
      <c r="U2011" t="e">
        <f>VLOOKUP(Tabelle10[[#This Row],[Rank]],Stammdaten[[Rank Verteilung Krümmung]:[Verteilung Krümmung]],2,FALSE)</f>
        <v>#N/A</v>
      </c>
      <c r="Z2011">
        <v>2002</v>
      </c>
      <c r="AA2011" t="e">
        <f>INDEX(Stammdaten[Ovalität (']0,1'])],MATCH(Tabelle1014[[#This Row],[Rank]],Stammdaten[Rank Verteilung Ovalität],0))</f>
        <v>#N/A</v>
      </c>
      <c r="AB2011" t="e">
        <f>VLOOKUP(Tabelle1014[[#This Row],[Rank]],Stammdaten[[Rank Verteilung Ovalität]:[Verteilung Ovalität]],2,FALSE)</f>
        <v>#N/A</v>
      </c>
    </row>
    <row r="2012" spans="5:28" x14ac:dyDescent="0.35">
      <c r="E2012">
        <v>2003</v>
      </c>
      <c r="F2012" t="e">
        <f>INDEX(Stammdaten[D Mitte mit Rinde (mm)],MATCH(Tabelle8[[#This Row],[Rank]],Stammdaten[Rank Verteilung D Mitte mit Rinde],0))</f>
        <v>#N/A</v>
      </c>
      <c r="G2012" t="e">
        <f>VLOOKUP(Tabelle8[[#This Row],[Rank]],Stammdaten[[Rank Verteilung D Mitte mit Rinde]:[Verteilung D Mitte mit Rinde]],2,FALSE)</f>
        <v>#N/A</v>
      </c>
      <c r="L2012">
        <v>2003</v>
      </c>
      <c r="M2012" t="e">
        <f>INDEX(Stammdaten[Abholzigkeit (mm/lfm)],MATCH(Tabelle9[[#This Row],[Rank]],Stammdaten[Rank Verteilung Abholzigkeit],0))</f>
        <v>#N/A</v>
      </c>
      <c r="N2012" t="e">
        <f>VLOOKUP(Tabelle9[[#This Row],[Rank]],Stammdaten[[Rank Verteilung Abholzigkeit]:[Verteilung Abholzigkeit]],2,FALSE)</f>
        <v>#N/A</v>
      </c>
      <c r="S2012">
        <v>2003</v>
      </c>
      <c r="T2012" t="e">
        <f>INDEX(Stammdaten[Krümmung (mm/lfm)],MATCH(Tabelle10[[#This Row],[Rank]],Stammdaten[Rank Verteilung Krümmung],0))</f>
        <v>#N/A</v>
      </c>
      <c r="U2012" t="e">
        <f>VLOOKUP(Tabelle10[[#This Row],[Rank]],Stammdaten[[Rank Verteilung Krümmung]:[Verteilung Krümmung]],2,FALSE)</f>
        <v>#N/A</v>
      </c>
      <c r="Z2012">
        <v>2003</v>
      </c>
      <c r="AA2012" t="e">
        <f>INDEX(Stammdaten[Ovalität (']0,1'])],MATCH(Tabelle1014[[#This Row],[Rank]],Stammdaten[Rank Verteilung Ovalität],0))</f>
        <v>#N/A</v>
      </c>
      <c r="AB2012" t="e">
        <f>VLOOKUP(Tabelle1014[[#This Row],[Rank]],Stammdaten[[Rank Verteilung Ovalität]:[Verteilung Ovalität]],2,FALSE)</f>
        <v>#N/A</v>
      </c>
    </row>
    <row r="2013" spans="5:28" x14ac:dyDescent="0.35">
      <c r="E2013">
        <v>2004</v>
      </c>
      <c r="F2013" t="e">
        <f>INDEX(Stammdaten[D Mitte mit Rinde (mm)],MATCH(Tabelle8[[#This Row],[Rank]],Stammdaten[Rank Verteilung D Mitte mit Rinde],0))</f>
        <v>#N/A</v>
      </c>
      <c r="G2013" t="e">
        <f>VLOOKUP(Tabelle8[[#This Row],[Rank]],Stammdaten[[Rank Verteilung D Mitte mit Rinde]:[Verteilung D Mitte mit Rinde]],2,FALSE)</f>
        <v>#N/A</v>
      </c>
      <c r="L2013">
        <v>2004</v>
      </c>
      <c r="M2013" t="e">
        <f>INDEX(Stammdaten[Abholzigkeit (mm/lfm)],MATCH(Tabelle9[[#This Row],[Rank]],Stammdaten[Rank Verteilung Abholzigkeit],0))</f>
        <v>#N/A</v>
      </c>
      <c r="N2013" t="e">
        <f>VLOOKUP(Tabelle9[[#This Row],[Rank]],Stammdaten[[Rank Verteilung Abholzigkeit]:[Verteilung Abholzigkeit]],2,FALSE)</f>
        <v>#N/A</v>
      </c>
      <c r="S2013">
        <v>2004</v>
      </c>
      <c r="T2013" t="e">
        <f>INDEX(Stammdaten[Krümmung (mm/lfm)],MATCH(Tabelle10[[#This Row],[Rank]],Stammdaten[Rank Verteilung Krümmung],0))</f>
        <v>#N/A</v>
      </c>
      <c r="U2013" t="e">
        <f>VLOOKUP(Tabelle10[[#This Row],[Rank]],Stammdaten[[Rank Verteilung Krümmung]:[Verteilung Krümmung]],2,FALSE)</f>
        <v>#N/A</v>
      </c>
      <c r="Z2013">
        <v>2004</v>
      </c>
      <c r="AA2013" t="e">
        <f>INDEX(Stammdaten[Ovalität (']0,1'])],MATCH(Tabelle1014[[#This Row],[Rank]],Stammdaten[Rank Verteilung Ovalität],0))</f>
        <v>#N/A</v>
      </c>
      <c r="AB2013" t="e">
        <f>VLOOKUP(Tabelle1014[[#This Row],[Rank]],Stammdaten[[Rank Verteilung Ovalität]:[Verteilung Ovalität]],2,FALSE)</f>
        <v>#N/A</v>
      </c>
    </row>
    <row r="2014" spans="5:28" x14ac:dyDescent="0.35">
      <c r="E2014">
        <v>2005</v>
      </c>
      <c r="F2014" t="e">
        <f>INDEX(Stammdaten[D Mitte mit Rinde (mm)],MATCH(Tabelle8[[#This Row],[Rank]],Stammdaten[Rank Verteilung D Mitte mit Rinde],0))</f>
        <v>#N/A</v>
      </c>
      <c r="G2014" t="e">
        <f>VLOOKUP(Tabelle8[[#This Row],[Rank]],Stammdaten[[Rank Verteilung D Mitte mit Rinde]:[Verteilung D Mitte mit Rinde]],2,FALSE)</f>
        <v>#N/A</v>
      </c>
      <c r="L2014">
        <v>2005</v>
      </c>
      <c r="M2014" t="e">
        <f>INDEX(Stammdaten[Abholzigkeit (mm/lfm)],MATCH(Tabelle9[[#This Row],[Rank]],Stammdaten[Rank Verteilung Abholzigkeit],0))</f>
        <v>#N/A</v>
      </c>
      <c r="N2014" t="e">
        <f>VLOOKUP(Tabelle9[[#This Row],[Rank]],Stammdaten[[Rank Verteilung Abholzigkeit]:[Verteilung Abholzigkeit]],2,FALSE)</f>
        <v>#N/A</v>
      </c>
      <c r="S2014">
        <v>2005</v>
      </c>
      <c r="T2014" t="e">
        <f>INDEX(Stammdaten[Krümmung (mm/lfm)],MATCH(Tabelle10[[#This Row],[Rank]],Stammdaten[Rank Verteilung Krümmung],0))</f>
        <v>#N/A</v>
      </c>
      <c r="U2014" t="e">
        <f>VLOOKUP(Tabelle10[[#This Row],[Rank]],Stammdaten[[Rank Verteilung Krümmung]:[Verteilung Krümmung]],2,FALSE)</f>
        <v>#N/A</v>
      </c>
      <c r="Z2014">
        <v>2005</v>
      </c>
      <c r="AA2014" t="e">
        <f>INDEX(Stammdaten[Ovalität (']0,1'])],MATCH(Tabelle1014[[#This Row],[Rank]],Stammdaten[Rank Verteilung Ovalität],0))</f>
        <v>#N/A</v>
      </c>
      <c r="AB2014" t="e">
        <f>VLOOKUP(Tabelle1014[[#This Row],[Rank]],Stammdaten[[Rank Verteilung Ovalität]:[Verteilung Ovalität]],2,FALSE)</f>
        <v>#N/A</v>
      </c>
    </row>
    <row r="2015" spans="5:28" x14ac:dyDescent="0.35">
      <c r="E2015">
        <v>2006</v>
      </c>
      <c r="F2015" t="e">
        <f>INDEX(Stammdaten[D Mitte mit Rinde (mm)],MATCH(Tabelle8[[#This Row],[Rank]],Stammdaten[Rank Verteilung D Mitte mit Rinde],0))</f>
        <v>#N/A</v>
      </c>
      <c r="G2015" t="e">
        <f>VLOOKUP(Tabelle8[[#This Row],[Rank]],Stammdaten[[Rank Verteilung D Mitte mit Rinde]:[Verteilung D Mitte mit Rinde]],2,FALSE)</f>
        <v>#N/A</v>
      </c>
      <c r="L2015">
        <v>2006</v>
      </c>
      <c r="M2015" t="e">
        <f>INDEX(Stammdaten[Abholzigkeit (mm/lfm)],MATCH(Tabelle9[[#This Row],[Rank]],Stammdaten[Rank Verteilung Abholzigkeit],0))</f>
        <v>#N/A</v>
      </c>
      <c r="N2015" t="e">
        <f>VLOOKUP(Tabelle9[[#This Row],[Rank]],Stammdaten[[Rank Verteilung Abholzigkeit]:[Verteilung Abholzigkeit]],2,FALSE)</f>
        <v>#N/A</v>
      </c>
      <c r="S2015">
        <v>2006</v>
      </c>
      <c r="T2015" t="e">
        <f>INDEX(Stammdaten[Krümmung (mm/lfm)],MATCH(Tabelle10[[#This Row],[Rank]],Stammdaten[Rank Verteilung Krümmung],0))</f>
        <v>#N/A</v>
      </c>
      <c r="U2015" t="e">
        <f>VLOOKUP(Tabelle10[[#This Row],[Rank]],Stammdaten[[Rank Verteilung Krümmung]:[Verteilung Krümmung]],2,FALSE)</f>
        <v>#N/A</v>
      </c>
      <c r="Z2015">
        <v>2006</v>
      </c>
      <c r="AA2015" t="e">
        <f>INDEX(Stammdaten[Ovalität (']0,1'])],MATCH(Tabelle1014[[#This Row],[Rank]],Stammdaten[Rank Verteilung Ovalität],0))</f>
        <v>#N/A</v>
      </c>
      <c r="AB2015" t="e">
        <f>VLOOKUP(Tabelle1014[[#This Row],[Rank]],Stammdaten[[Rank Verteilung Ovalität]:[Verteilung Ovalität]],2,FALSE)</f>
        <v>#N/A</v>
      </c>
    </row>
    <row r="2016" spans="5:28" x14ac:dyDescent="0.35">
      <c r="E2016">
        <v>2007</v>
      </c>
      <c r="F2016" t="e">
        <f>INDEX(Stammdaten[D Mitte mit Rinde (mm)],MATCH(Tabelle8[[#This Row],[Rank]],Stammdaten[Rank Verteilung D Mitte mit Rinde],0))</f>
        <v>#N/A</v>
      </c>
      <c r="G2016" t="e">
        <f>VLOOKUP(Tabelle8[[#This Row],[Rank]],Stammdaten[[Rank Verteilung D Mitte mit Rinde]:[Verteilung D Mitte mit Rinde]],2,FALSE)</f>
        <v>#N/A</v>
      </c>
      <c r="L2016">
        <v>2007</v>
      </c>
      <c r="M2016" t="e">
        <f>INDEX(Stammdaten[Abholzigkeit (mm/lfm)],MATCH(Tabelle9[[#This Row],[Rank]],Stammdaten[Rank Verteilung Abholzigkeit],0))</f>
        <v>#N/A</v>
      </c>
      <c r="N2016" t="e">
        <f>VLOOKUP(Tabelle9[[#This Row],[Rank]],Stammdaten[[Rank Verteilung Abholzigkeit]:[Verteilung Abholzigkeit]],2,FALSE)</f>
        <v>#N/A</v>
      </c>
      <c r="S2016">
        <v>2007</v>
      </c>
      <c r="T2016" t="e">
        <f>INDEX(Stammdaten[Krümmung (mm/lfm)],MATCH(Tabelle10[[#This Row],[Rank]],Stammdaten[Rank Verteilung Krümmung],0))</f>
        <v>#N/A</v>
      </c>
      <c r="U2016" t="e">
        <f>VLOOKUP(Tabelle10[[#This Row],[Rank]],Stammdaten[[Rank Verteilung Krümmung]:[Verteilung Krümmung]],2,FALSE)</f>
        <v>#N/A</v>
      </c>
      <c r="Z2016">
        <v>2007</v>
      </c>
      <c r="AA2016" t="e">
        <f>INDEX(Stammdaten[Ovalität (']0,1'])],MATCH(Tabelle1014[[#This Row],[Rank]],Stammdaten[Rank Verteilung Ovalität],0))</f>
        <v>#N/A</v>
      </c>
      <c r="AB2016" t="e">
        <f>VLOOKUP(Tabelle1014[[#This Row],[Rank]],Stammdaten[[Rank Verteilung Ovalität]:[Verteilung Ovalität]],2,FALSE)</f>
        <v>#N/A</v>
      </c>
    </row>
    <row r="2017" spans="5:28" x14ac:dyDescent="0.35">
      <c r="E2017">
        <v>2008</v>
      </c>
      <c r="F2017" t="e">
        <f>INDEX(Stammdaten[D Mitte mit Rinde (mm)],MATCH(Tabelle8[[#This Row],[Rank]],Stammdaten[Rank Verteilung D Mitte mit Rinde],0))</f>
        <v>#N/A</v>
      </c>
      <c r="G2017" t="e">
        <f>VLOOKUP(Tabelle8[[#This Row],[Rank]],Stammdaten[[Rank Verteilung D Mitte mit Rinde]:[Verteilung D Mitte mit Rinde]],2,FALSE)</f>
        <v>#N/A</v>
      </c>
      <c r="L2017">
        <v>2008</v>
      </c>
      <c r="M2017" t="e">
        <f>INDEX(Stammdaten[Abholzigkeit (mm/lfm)],MATCH(Tabelle9[[#This Row],[Rank]],Stammdaten[Rank Verteilung Abholzigkeit],0))</f>
        <v>#N/A</v>
      </c>
      <c r="N2017" t="e">
        <f>VLOOKUP(Tabelle9[[#This Row],[Rank]],Stammdaten[[Rank Verteilung Abholzigkeit]:[Verteilung Abholzigkeit]],2,FALSE)</f>
        <v>#N/A</v>
      </c>
      <c r="S2017">
        <v>2008</v>
      </c>
      <c r="T2017" t="e">
        <f>INDEX(Stammdaten[Krümmung (mm/lfm)],MATCH(Tabelle10[[#This Row],[Rank]],Stammdaten[Rank Verteilung Krümmung],0))</f>
        <v>#N/A</v>
      </c>
      <c r="U2017" t="e">
        <f>VLOOKUP(Tabelle10[[#This Row],[Rank]],Stammdaten[[Rank Verteilung Krümmung]:[Verteilung Krümmung]],2,FALSE)</f>
        <v>#N/A</v>
      </c>
      <c r="Z2017">
        <v>2008</v>
      </c>
      <c r="AA2017" t="e">
        <f>INDEX(Stammdaten[Ovalität (']0,1'])],MATCH(Tabelle1014[[#This Row],[Rank]],Stammdaten[Rank Verteilung Ovalität],0))</f>
        <v>#N/A</v>
      </c>
      <c r="AB2017" t="e">
        <f>VLOOKUP(Tabelle1014[[#This Row],[Rank]],Stammdaten[[Rank Verteilung Ovalität]:[Verteilung Ovalität]],2,FALSE)</f>
        <v>#N/A</v>
      </c>
    </row>
    <row r="2018" spans="5:28" x14ac:dyDescent="0.35">
      <c r="E2018">
        <v>2009</v>
      </c>
      <c r="F2018" t="e">
        <f>INDEX(Stammdaten[D Mitte mit Rinde (mm)],MATCH(Tabelle8[[#This Row],[Rank]],Stammdaten[Rank Verteilung D Mitte mit Rinde],0))</f>
        <v>#N/A</v>
      </c>
      <c r="G2018" t="e">
        <f>VLOOKUP(Tabelle8[[#This Row],[Rank]],Stammdaten[[Rank Verteilung D Mitte mit Rinde]:[Verteilung D Mitte mit Rinde]],2,FALSE)</f>
        <v>#N/A</v>
      </c>
      <c r="L2018">
        <v>2009</v>
      </c>
      <c r="M2018" t="e">
        <f>INDEX(Stammdaten[Abholzigkeit (mm/lfm)],MATCH(Tabelle9[[#This Row],[Rank]],Stammdaten[Rank Verteilung Abholzigkeit],0))</f>
        <v>#N/A</v>
      </c>
      <c r="N2018" t="e">
        <f>VLOOKUP(Tabelle9[[#This Row],[Rank]],Stammdaten[[Rank Verteilung Abholzigkeit]:[Verteilung Abholzigkeit]],2,FALSE)</f>
        <v>#N/A</v>
      </c>
      <c r="S2018">
        <v>2009</v>
      </c>
      <c r="T2018" t="e">
        <f>INDEX(Stammdaten[Krümmung (mm/lfm)],MATCH(Tabelle10[[#This Row],[Rank]],Stammdaten[Rank Verteilung Krümmung],0))</f>
        <v>#N/A</v>
      </c>
      <c r="U2018" t="e">
        <f>VLOOKUP(Tabelle10[[#This Row],[Rank]],Stammdaten[[Rank Verteilung Krümmung]:[Verteilung Krümmung]],2,FALSE)</f>
        <v>#N/A</v>
      </c>
      <c r="Z2018">
        <v>2009</v>
      </c>
      <c r="AA2018" t="e">
        <f>INDEX(Stammdaten[Ovalität (']0,1'])],MATCH(Tabelle1014[[#This Row],[Rank]],Stammdaten[Rank Verteilung Ovalität],0))</f>
        <v>#N/A</v>
      </c>
      <c r="AB2018" t="e">
        <f>VLOOKUP(Tabelle1014[[#This Row],[Rank]],Stammdaten[[Rank Verteilung Ovalität]:[Verteilung Ovalität]],2,FALSE)</f>
        <v>#N/A</v>
      </c>
    </row>
    <row r="2019" spans="5:28" x14ac:dyDescent="0.35">
      <c r="E2019">
        <v>2010</v>
      </c>
      <c r="F2019" t="e">
        <f>INDEX(Stammdaten[D Mitte mit Rinde (mm)],MATCH(Tabelle8[[#This Row],[Rank]],Stammdaten[Rank Verteilung D Mitte mit Rinde],0))</f>
        <v>#N/A</v>
      </c>
      <c r="G2019" t="e">
        <f>VLOOKUP(Tabelle8[[#This Row],[Rank]],Stammdaten[[Rank Verteilung D Mitte mit Rinde]:[Verteilung D Mitte mit Rinde]],2,FALSE)</f>
        <v>#N/A</v>
      </c>
      <c r="L2019">
        <v>2010</v>
      </c>
      <c r="M2019" t="e">
        <f>INDEX(Stammdaten[Abholzigkeit (mm/lfm)],MATCH(Tabelle9[[#This Row],[Rank]],Stammdaten[Rank Verteilung Abholzigkeit],0))</f>
        <v>#N/A</v>
      </c>
      <c r="N2019" t="e">
        <f>VLOOKUP(Tabelle9[[#This Row],[Rank]],Stammdaten[[Rank Verteilung Abholzigkeit]:[Verteilung Abholzigkeit]],2,FALSE)</f>
        <v>#N/A</v>
      </c>
      <c r="S2019">
        <v>2010</v>
      </c>
      <c r="T2019" t="e">
        <f>INDEX(Stammdaten[Krümmung (mm/lfm)],MATCH(Tabelle10[[#This Row],[Rank]],Stammdaten[Rank Verteilung Krümmung],0))</f>
        <v>#N/A</v>
      </c>
      <c r="U2019" t="e">
        <f>VLOOKUP(Tabelle10[[#This Row],[Rank]],Stammdaten[[Rank Verteilung Krümmung]:[Verteilung Krümmung]],2,FALSE)</f>
        <v>#N/A</v>
      </c>
      <c r="Z2019">
        <v>2010</v>
      </c>
      <c r="AA2019" t="e">
        <f>INDEX(Stammdaten[Ovalität (']0,1'])],MATCH(Tabelle1014[[#This Row],[Rank]],Stammdaten[Rank Verteilung Ovalität],0))</f>
        <v>#N/A</v>
      </c>
      <c r="AB2019" t="e">
        <f>VLOOKUP(Tabelle1014[[#This Row],[Rank]],Stammdaten[[Rank Verteilung Ovalität]:[Verteilung Ovalität]],2,FALSE)</f>
        <v>#N/A</v>
      </c>
    </row>
    <row r="2020" spans="5:28" x14ac:dyDescent="0.35">
      <c r="E2020">
        <v>2011</v>
      </c>
      <c r="F2020" t="e">
        <f>INDEX(Stammdaten[D Mitte mit Rinde (mm)],MATCH(Tabelle8[[#This Row],[Rank]],Stammdaten[Rank Verteilung D Mitte mit Rinde],0))</f>
        <v>#N/A</v>
      </c>
      <c r="G2020" t="e">
        <f>VLOOKUP(Tabelle8[[#This Row],[Rank]],Stammdaten[[Rank Verteilung D Mitte mit Rinde]:[Verteilung D Mitte mit Rinde]],2,FALSE)</f>
        <v>#N/A</v>
      </c>
      <c r="L2020">
        <v>2011</v>
      </c>
      <c r="M2020" t="e">
        <f>INDEX(Stammdaten[Abholzigkeit (mm/lfm)],MATCH(Tabelle9[[#This Row],[Rank]],Stammdaten[Rank Verteilung Abholzigkeit],0))</f>
        <v>#N/A</v>
      </c>
      <c r="N2020" t="e">
        <f>VLOOKUP(Tabelle9[[#This Row],[Rank]],Stammdaten[[Rank Verteilung Abholzigkeit]:[Verteilung Abholzigkeit]],2,FALSE)</f>
        <v>#N/A</v>
      </c>
      <c r="S2020">
        <v>2011</v>
      </c>
      <c r="T2020" t="e">
        <f>INDEX(Stammdaten[Krümmung (mm/lfm)],MATCH(Tabelle10[[#This Row],[Rank]],Stammdaten[Rank Verteilung Krümmung],0))</f>
        <v>#N/A</v>
      </c>
      <c r="U2020" t="e">
        <f>VLOOKUP(Tabelle10[[#This Row],[Rank]],Stammdaten[[Rank Verteilung Krümmung]:[Verteilung Krümmung]],2,FALSE)</f>
        <v>#N/A</v>
      </c>
      <c r="Z2020">
        <v>2011</v>
      </c>
      <c r="AA2020" t="e">
        <f>INDEX(Stammdaten[Ovalität (']0,1'])],MATCH(Tabelle1014[[#This Row],[Rank]],Stammdaten[Rank Verteilung Ovalität],0))</f>
        <v>#N/A</v>
      </c>
      <c r="AB2020" t="e">
        <f>VLOOKUP(Tabelle1014[[#This Row],[Rank]],Stammdaten[[Rank Verteilung Ovalität]:[Verteilung Ovalität]],2,FALSE)</f>
        <v>#N/A</v>
      </c>
    </row>
    <row r="2021" spans="5:28" x14ac:dyDescent="0.35">
      <c r="E2021">
        <v>2012</v>
      </c>
      <c r="F2021" t="e">
        <f>INDEX(Stammdaten[D Mitte mit Rinde (mm)],MATCH(Tabelle8[[#This Row],[Rank]],Stammdaten[Rank Verteilung D Mitte mit Rinde],0))</f>
        <v>#N/A</v>
      </c>
      <c r="G2021" t="e">
        <f>VLOOKUP(Tabelle8[[#This Row],[Rank]],Stammdaten[[Rank Verteilung D Mitte mit Rinde]:[Verteilung D Mitte mit Rinde]],2,FALSE)</f>
        <v>#N/A</v>
      </c>
      <c r="L2021">
        <v>2012</v>
      </c>
      <c r="M2021" t="e">
        <f>INDEX(Stammdaten[Abholzigkeit (mm/lfm)],MATCH(Tabelle9[[#This Row],[Rank]],Stammdaten[Rank Verteilung Abholzigkeit],0))</f>
        <v>#N/A</v>
      </c>
      <c r="N2021" t="e">
        <f>VLOOKUP(Tabelle9[[#This Row],[Rank]],Stammdaten[[Rank Verteilung Abholzigkeit]:[Verteilung Abholzigkeit]],2,FALSE)</f>
        <v>#N/A</v>
      </c>
      <c r="S2021">
        <v>2012</v>
      </c>
      <c r="T2021" t="e">
        <f>INDEX(Stammdaten[Krümmung (mm/lfm)],MATCH(Tabelle10[[#This Row],[Rank]],Stammdaten[Rank Verteilung Krümmung],0))</f>
        <v>#N/A</v>
      </c>
      <c r="U2021" t="e">
        <f>VLOOKUP(Tabelle10[[#This Row],[Rank]],Stammdaten[[Rank Verteilung Krümmung]:[Verteilung Krümmung]],2,FALSE)</f>
        <v>#N/A</v>
      </c>
      <c r="Z2021">
        <v>2012</v>
      </c>
      <c r="AA2021" t="e">
        <f>INDEX(Stammdaten[Ovalität (']0,1'])],MATCH(Tabelle1014[[#This Row],[Rank]],Stammdaten[Rank Verteilung Ovalität],0))</f>
        <v>#N/A</v>
      </c>
      <c r="AB2021" t="e">
        <f>VLOOKUP(Tabelle1014[[#This Row],[Rank]],Stammdaten[[Rank Verteilung Ovalität]:[Verteilung Ovalität]],2,FALSE)</f>
        <v>#N/A</v>
      </c>
    </row>
    <row r="2022" spans="5:28" x14ac:dyDescent="0.35">
      <c r="E2022">
        <v>2013</v>
      </c>
      <c r="F2022" t="e">
        <f>INDEX(Stammdaten[D Mitte mit Rinde (mm)],MATCH(Tabelle8[[#This Row],[Rank]],Stammdaten[Rank Verteilung D Mitte mit Rinde],0))</f>
        <v>#N/A</v>
      </c>
      <c r="G2022" t="e">
        <f>VLOOKUP(Tabelle8[[#This Row],[Rank]],Stammdaten[[Rank Verteilung D Mitte mit Rinde]:[Verteilung D Mitte mit Rinde]],2,FALSE)</f>
        <v>#N/A</v>
      </c>
      <c r="L2022">
        <v>2013</v>
      </c>
      <c r="M2022" t="e">
        <f>INDEX(Stammdaten[Abholzigkeit (mm/lfm)],MATCH(Tabelle9[[#This Row],[Rank]],Stammdaten[Rank Verteilung Abholzigkeit],0))</f>
        <v>#N/A</v>
      </c>
      <c r="N2022" t="e">
        <f>VLOOKUP(Tabelle9[[#This Row],[Rank]],Stammdaten[[Rank Verteilung Abholzigkeit]:[Verteilung Abholzigkeit]],2,FALSE)</f>
        <v>#N/A</v>
      </c>
      <c r="S2022">
        <v>2013</v>
      </c>
      <c r="T2022" t="e">
        <f>INDEX(Stammdaten[Krümmung (mm/lfm)],MATCH(Tabelle10[[#This Row],[Rank]],Stammdaten[Rank Verteilung Krümmung],0))</f>
        <v>#N/A</v>
      </c>
      <c r="U2022" t="e">
        <f>VLOOKUP(Tabelle10[[#This Row],[Rank]],Stammdaten[[Rank Verteilung Krümmung]:[Verteilung Krümmung]],2,FALSE)</f>
        <v>#N/A</v>
      </c>
      <c r="Z2022">
        <v>2013</v>
      </c>
      <c r="AA2022" t="e">
        <f>INDEX(Stammdaten[Ovalität (']0,1'])],MATCH(Tabelle1014[[#This Row],[Rank]],Stammdaten[Rank Verteilung Ovalität],0))</f>
        <v>#N/A</v>
      </c>
      <c r="AB2022" t="e">
        <f>VLOOKUP(Tabelle1014[[#This Row],[Rank]],Stammdaten[[Rank Verteilung Ovalität]:[Verteilung Ovalität]],2,FALSE)</f>
        <v>#N/A</v>
      </c>
    </row>
    <row r="2023" spans="5:28" x14ac:dyDescent="0.35">
      <c r="E2023">
        <v>2014</v>
      </c>
      <c r="F2023" t="e">
        <f>INDEX(Stammdaten[D Mitte mit Rinde (mm)],MATCH(Tabelle8[[#This Row],[Rank]],Stammdaten[Rank Verteilung D Mitte mit Rinde],0))</f>
        <v>#N/A</v>
      </c>
      <c r="G2023" t="e">
        <f>VLOOKUP(Tabelle8[[#This Row],[Rank]],Stammdaten[[Rank Verteilung D Mitte mit Rinde]:[Verteilung D Mitte mit Rinde]],2,FALSE)</f>
        <v>#N/A</v>
      </c>
      <c r="L2023">
        <v>2014</v>
      </c>
      <c r="M2023" t="e">
        <f>INDEX(Stammdaten[Abholzigkeit (mm/lfm)],MATCH(Tabelle9[[#This Row],[Rank]],Stammdaten[Rank Verteilung Abholzigkeit],0))</f>
        <v>#N/A</v>
      </c>
      <c r="N2023" t="e">
        <f>VLOOKUP(Tabelle9[[#This Row],[Rank]],Stammdaten[[Rank Verteilung Abholzigkeit]:[Verteilung Abholzigkeit]],2,FALSE)</f>
        <v>#N/A</v>
      </c>
      <c r="S2023">
        <v>2014</v>
      </c>
      <c r="T2023" t="e">
        <f>INDEX(Stammdaten[Krümmung (mm/lfm)],MATCH(Tabelle10[[#This Row],[Rank]],Stammdaten[Rank Verteilung Krümmung],0))</f>
        <v>#N/A</v>
      </c>
      <c r="U2023" t="e">
        <f>VLOOKUP(Tabelle10[[#This Row],[Rank]],Stammdaten[[Rank Verteilung Krümmung]:[Verteilung Krümmung]],2,FALSE)</f>
        <v>#N/A</v>
      </c>
      <c r="Z2023">
        <v>2014</v>
      </c>
      <c r="AA2023" t="e">
        <f>INDEX(Stammdaten[Ovalität (']0,1'])],MATCH(Tabelle1014[[#This Row],[Rank]],Stammdaten[Rank Verteilung Ovalität],0))</f>
        <v>#N/A</v>
      </c>
      <c r="AB2023" t="e">
        <f>VLOOKUP(Tabelle1014[[#This Row],[Rank]],Stammdaten[[Rank Verteilung Ovalität]:[Verteilung Ovalität]],2,FALSE)</f>
        <v>#N/A</v>
      </c>
    </row>
    <row r="2024" spans="5:28" x14ac:dyDescent="0.35">
      <c r="E2024">
        <v>2015</v>
      </c>
      <c r="F2024" t="e">
        <f>INDEX(Stammdaten[D Mitte mit Rinde (mm)],MATCH(Tabelle8[[#This Row],[Rank]],Stammdaten[Rank Verteilung D Mitte mit Rinde],0))</f>
        <v>#N/A</v>
      </c>
      <c r="G2024" t="e">
        <f>VLOOKUP(Tabelle8[[#This Row],[Rank]],Stammdaten[[Rank Verteilung D Mitte mit Rinde]:[Verteilung D Mitte mit Rinde]],2,FALSE)</f>
        <v>#N/A</v>
      </c>
      <c r="L2024">
        <v>2015</v>
      </c>
      <c r="M2024" t="e">
        <f>INDEX(Stammdaten[Abholzigkeit (mm/lfm)],MATCH(Tabelle9[[#This Row],[Rank]],Stammdaten[Rank Verteilung Abholzigkeit],0))</f>
        <v>#N/A</v>
      </c>
      <c r="N2024" t="e">
        <f>VLOOKUP(Tabelle9[[#This Row],[Rank]],Stammdaten[[Rank Verteilung Abholzigkeit]:[Verteilung Abholzigkeit]],2,FALSE)</f>
        <v>#N/A</v>
      </c>
      <c r="S2024">
        <v>2015</v>
      </c>
      <c r="T2024" t="e">
        <f>INDEX(Stammdaten[Krümmung (mm/lfm)],MATCH(Tabelle10[[#This Row],[Rank]],Stammdaten[Rank Verteilung Krümmung],0))</f>
        <v>#N/A</v>
      </c>
      <c r="U2024" t="e">
        <f>VLOOKUP(Tabelle10[[#This Row],[Rank]],Stammdaten[[Rank Verteilung Krümmung]:[Verteilung Krümmung]],2,FALSE)</f>
        <v>#N/A</v>
      </c>
      <c r="Z2024">
        <v>2015</v>
      </c>
      <c r="AA2024" t="e">
        <f>INDEX(Stammdaten[Ovalität (']0,1'])],MATCH(Tabelle1014[[#This Row],[Rank]],Stammdaten[Rank Verteilung Ovalität],0))</f>
        <v>#N/A</v>
      </c>
      <c r="AB2024" t="e">
        <f>VLOOKUP(Tabelle1014[[#This Row],[Rank]],Stammdaten[[Rank Verteilung Ovalität]:[Verteilung Ovalität]],2,FALSE)</f>
        <v>#N/A</v>
      </c>
    </row>
    <row r="2025" spans="5:28" x14ac:dyDescent="0.35">
      <c r="E2025">
        <v>2016</v>
      </c>
      <c r="F2025" t="e">
        <f>INDEX(Stammdaten[D Mitte mit Rinde (mm)],MATCH(Tabelle8[[#This Row],[Rank]],Stammdaten[Rank Verteilung D Mitte mit Rinde],0))</f>
        <v>#N/A</v>
      </c>
      <c r="G2025" t="e">
        <f>VLOOKUP(Tabelle8[[#This Row],[Rank]],Stammdaten[[Rank Verteilung D Mitte mit Rinde]:[Verteilung D Mitte mit Rinde]],2,FALSE)</f>
        <v>#N/A</v>
      </c>
      <c r="L2025">
        <v>2016</v>
      </c>
      <c r="M2025" t="e">
        <f>INDEX(Stammdaten[Abholzigkeit (mm/lfm)],MATCH(Tabelle9[[#This Row],[Rank]],Stammdaten[Rank Verteilung Abholzigkeit],0))</f>
        <v>#N/A</v>
      </c>
      <c r="N2025" t="e">
        <f>VLOOKUP(Tabelle9[[#This Row],[Rank]],Stammdaten[[Rank Verteilung Abholzigkeit]:[Verteilung Abholzigkeit]],2,FALSE)</f>
        <v>#N/A</v>
      </c>
      <c r="S2025">
        <v>2016</v>
      </c>
      <c r="T2025" t="e">
        <f>INDEX(Stammdaten[Krümmung (mm/lfm)],MATCH(Tabelle10[[#This Row],[Rank]],Stammdaten[Rank Verteilung Krümmung],0))</f>
        <v>#N/A</v>
      </c>
      <c r="U2025" t="e">
        <f>VLOOKUP(Tabelle10[[#This Row],[Rank]],Stammdaten[[Rank Verteilung Krümmung]:[Verteilung Krümmung]],2,FALSE)</f>
        <v>#N/A</v>
      </c>
      <c r="Z2025">
        <v>2016</v>
      </c>
      <c r="AA2025" t="e">
        <f>INDEX(Stammdaten[Ovalität (']0,1'])],MATCH(Tabelle1014[[#This Row],[Rank]],Stammdaten[Rank Verteilung Ovalität],0))</f>
        <v>#N/A</v>
      </c>
      <c r="AB2025" t="e">
        <f>VLOOKUP(Tabelle1014[[#This Row],[Rank]],Stammdaten[[Rank Verteilung Ovalität]:[Verteilung Ovalität]],2,FALSE)</f>
        <v>#N/A</v>
      </c>
    </row>
    <row r="2026" spans="5:28" x14ac:dyDescent="0.35">
      <c r="E2026">
        <v>2017</v>
      </c>
      <c r="F2026" t="e">
        <f>INDEX(Stammdaten[D Mitte mit Rinde (mm)],MATCH(Tabelle8[[#This Row],[Rank]],Stammdaten[Rank Verteilung D Mitte mit Rinde],0))</f>
        <v>#N/A</v>
      </c>
      <c r="G2026" t="e">
        <f>VLOOKUP(Tabelle8[[#This Row],[Rank]],Stammdaten[[Rank Verteilung D Mitte mit Rinde]:[Verteilung D Mitte mit Rinde]],2,FALSE)</f>
        <v>#N/A</v>
      </c>
      <c r="L2026">
        <v>2017</v>
      </c>
      <c r="M2026" t="e">
        <f>INDEX(Stammdaten[Abholzigkeit (mm/lfm)],MATCH(Tabelle9[[#This Row],[Rank]],Stammdaten[Rank Verteilung Abholzigkeit],0))</f>
        <v>#N/A</v>
      </c>
      <c r="N2026" t="e">
        <f>VLOOKUP(Tabelle9[[#This Row],[Rank]],Stammdaten[[Rank Verteilung Abholzigkeit]:[Verteilung Abholzigkeit]],2,FALSE)</f>
        <v>#N/A</v>
      </c>
      <c r="S2026">
        <v>2017</v>
      </c>
      <c r="T2026" t="e">
        <f>INDEX(Stammdaten[Krümmung (mm/lfm)],MATCH(Tabelle10[[#This Row],[Rank]],Stammdaten[Rank Verteilung Krümmung],0))</f>
        <v>#N/A</v>
      </c>
      <c r="U2026" t="e">
        <f>VLOOKUP(Tabelle10[[#This Row],[Rank]],Stammdaten[[Rank Verteilung Krümmung]:[Verteilung Krümmung]],2,FALSE)</f>
        <v>#N/A</v>
      </c>
      <c r="Z2026">
        <v>2017</v>
      </c>
      <c r="AA2026" t="e">
        <f>INDEX(Stammdaten[Ovalität (']0,1'])],MATCH(Tabelle1014[[#This Row],[Rank]],Stammdaten[Rank Verteilung Ovalität],0))</f>
        <v>#N/A</v>
      </c>
      <c r="AB2026" t="e">
        <f>VLOOKUP(Tabelle1014[[#This Row],[Rank]],Stammdaten[[Rank Verteilung Ovalität]:[Verteilung Ovalität]],2,FALSE)</f>
        <v>#N/A</v>
      </c>
    </row>
    <row r="2027" spans="5:28" x14ac:dyDescent="0.35">
      <c r="E2027">
        <v>2018</v>
      </c>
      <c r="F2027" t="e">
        <f>INDEX(Stammdaten[D Mitte mit Rinde (mm)],MATCH(Tabelle8[[#This Row],[Rank]],Stammdaten[Rank Verteilung D Mitte mit Rinde],0))</f>
        <v>#N/A</v>
      </c>
      <c r="G2027" t="e">
        <f>VLOOKUP(Tabelle8[[#This Row],[Rank]],Stammdaten[[Rank Verteilung D Mitte mit Rinde]:[Verteilung D Mitte mit Rinde]],2,FALSE)</f>
        <v>#N/A</v>
      </c>
      <c r="L2027">
        <v>2018</v>
      </c>
      <c r="M2027" t="e">
        <f>INDEX(Stammdaten[Abholzigkeit (mm/lfm)],MATCH(Tabelle9[[#This Row],[Rank]],Stammdaten[Rank Verteilung Abholzigkeit],0))</f>
        <v>#N/A</v>
      </c>
      <c r="N2027" t="e">
        <f>VLOOKUP(Tabelle9[[#This Row],[Rank]],Stammdaten[[Rank Verteilung Abholzigkeit]:[Verteilung Abholzigkeit]],2,FALSE)</f>
        <v>#N/A</v>
      </c>
      <c r="S2027">
        <v>2018</v>
      </c>
      <c r="T2027" t="e">
        <f>INDEX(Stammdaten[Krümmung (mm/lfm)],MATCH(Tabelle10[[#This Row],[Rank]],Stammdaten[Rank Verteilung Krümmung],0))</f>
        <v>#N/A</v>
      </c>
      <c r="U2027" t="e">
        <f>VLOOKUP(Tabelle10[[#This Row],[Rank]],Stammdaten[[Rank Verteilung Krümmung]:[Verteilung Krümmung]],2,FALSE)</f>
        <v>#N/A</v>
      </c>
      <c r="Z2027">
        <v>2018</v>
      </c>
      <c r="AA2027" t="e">
        <f>INDEX(Stammdaten[Ovalität (']0,1'])],MATCH(Tabelle1014[[#This Row],[Rank]],Stammdaten[Rank Verteilung Ovalität],0))</f>
        <v>#N/A</v>
      </c>
      <c r="AB2027" t="e">
        <f>VLOOKUP(Tabelle1014[[#This Row],[Rank]],Stammdaten[[Rank Verteilung Ovalität]:[Verteilung Ovalität]],2,FALSE)</f>
        <v>#N/A</v>
      </c>
    </row>
    <row r="2028" spans="5:28" x14ac:dyDescent="0.35">
      <c r="E2028">
        <v>2019</v>
      </c>
      <c r="F2028" t="e">
        <f>INDEX(Stammdaten[D Mitte mit Rinde (mm)],MATCH(Tabelle8[[#This Row],[Rank]],Stammdaten[Rank Verteilung D Mitte mit Rinde],0))</f>
        <v>#N/A</v>
      </c>
      <c r="G2028" t="e">
        <f>VLOOKUP(Tabelle8[[#This Row],[Rank]],Stammdaten[[Rank Verteilung D Mitte mit Rinde]:[Verteilung D Mitte mit Rinde]],2,FALSE)</f>
        <v>#N/A</v>
      </c>
      <c r="L2028">
        <v>2019</v>
      </c>
      <c r="M2028" t="e">
        <f>INDEX(Stammdaten[Abholzigkeit (mm/lfm)],MATCH(Tabelle9[[#This Row],[Rank]],Stammdaten[Rank Verteilung Abholzigkeit],0))</f>
        <v>#N/A</v>
      </c>
      <c r="N2028" t="e">
        <f>VLOOKUP(Tabelle9[[#This Row],[Rank]],Stammdaten[[Rank Verteilung Abholzigkeit]:[Verteilung Abholzigkeit]],2,FALSE)</f>
        <v>#N/A</v>
      </c>
      <c r="S2028">
        <v>2019</v>
      </c>
      <c r="T2028" t="e">
        <f>INDEX(Stammdaten[Krümmung (mm/lfm)],MATCH(Tabelle10[[#This Row],[Rank]],Stammdaten[Rank Verteilung Krümmung],0))</f>
        <v>#N/A</v>
      </c>
      <c r="U2028" t="e">
        <f>VLOOKUP(Tabelle10[[#This Row],[Rank]],Stammdaten[[Rank Verteilung Krümmung]:[Verteilung Krümmung]],2,FALSE)</f>
        <v>#N/A</v>
      </c>
      <c r="Z2028">
        <v>2019</v>
      </c>
      <c r="AA2028" t="e">
        <f>INDEX(Stammdaten[Ovalität (']0,1'])],MATCH(Tabelle1014[[#This Row],[Rank]],Stammdaten[Rank Verteilung Ovalität],0))</f>
        <v>#N/A</v>
      </c>
      <c r="AB2028" t="e">
        <f>VLOOKUP(Tabelle1014[[#This Row],[Rank]],Stammdaten[[Rank Verteilung Ovalität]:[Verteilung Ovalität]],2,FALSE)</f>
        <v>#N/A</v>
      </c>
    </row>
    <row r="2029" spans="5:28" x14ac:dyDescent="0.35">
      <c r="E2029">
        <v>2020</v>
      </c>
      <c r="F2029" t="e">
        <f>INDEX(Stammdaten[D Mitte mit Rinde (mm)],MATCH(Tabelle8[[#This Row],[Rank]],Stammdaten[Rank Verteilung D Mitte mit Rinde],0))</f>
        <v>#N/A</v>
      </c>
      <c r="G2029" t="e">
        <f>VLOOKUP(Tabelle8[[#This Row],[Rank]],Stammdaten[[Rank Verteilung D Mitte mit Rinde]:[Verteilung D Mitte mit Rinde]],2,FALSE)</f>
        <v>#N/A</v>
      </c>
      <c r="L2029">
        <v>2020</v>
      </c>
      <c r="M2029" t="e">
        <f>INDEX(Stammdaten[Abholzigkeit (mm/lfm)],MATCH(Tabelle9[[#This Row],[Rank]],Stammdaten[Rank Verteilung Abholzigkeit],0))</f>
        <v>#N/A</v>
      </c>
      <c r="N2029" t="e">
        <f>VLOOKUP(Tabelle9[[#This Row],[Rank]],Stammdaten[[Rank Verteilung Abholzigkeit]:[Verteilung Abholzigkeit]],2,FALSE)</f>
        <v>#N/A</v>
      </c>
      <c r="S2029">
        <v>2020</v>
      </c>
      <c r="T2029" t="e">
        <f>INDEX(Stammdaten[Krümmung (mm/lfm)],MATCH(Tabelle10[[#This Row],[Rank]],Stammdaten[Rank Verteilung Krümmung],0))</f>
        <v>#N/A</v>
      </c>
      <c r="U2029" t="e">
        <f>VLOOKUP(Tabelle10[[#This Row],[Rank]],Stammdaten[[Rank Verteilung Krümmung]:[Verteilung Krümmung]],2,FALSE)</f>
        <v>#N/A</v>
      </c>
      <c r="Z2029">
        <v>2020</v>
      </c>
      <c r="AA2029" t="e">
        <f>INDEX(Stammdaten[Ovalität (']0,1'])],MATCH(Tabelle1014[[#This Row],[Rank]],Stammdaten[Rank Verteilung Ovalität],0))</f>
        <v>#N/A</v>
      </c>
      <c r="AB2029" t="e">
        <f>VLOOKUP(Tabelle1014[[#This Row],[Rank]],Stammdaten[[Rank Verteilung Ovalität]:[Verteilung Ovalität]],2,FALSE)</f>
        <v>#N/A</v>
      </c>
    </row>
    <row r="2030" spans="5:28" x14ac:dyDescent="0.35">
      <c r="E2030">
        <v>2021</v>
      </c>
      <c r="F2030" t="e">
        <f>INDEX(Stammdaten[D Mitte mit Rinde (mm)],MATCH(Tabelle8[[#This Row],[Rank]],Stammdaten[Rank Verteilung D Mitte mit Rinde],0))</f>
        <v>#N/A</v>
      </c>
      <c r="G2030" t="e">
        <f>VLOOKUP(Tabelle8[[#This Row],[Rank]],Stammdaten[[Rank Verteilung D Mitte mit Rinde]:[Verteilung D Mitte mit Rinde]],2,FALSE)</f>
        <v>#N/A</v>
      </c>
      <c r="L2030">
        <v>2021</v>
      </c>
      <c r="M2030" t="e">
        <f>INDEX(Stammdaten[Abholzigkeit (mm/lfm)],MATCH(Tabelle9[[#This Row],[Rank]],Stammdaten[Rank Verteilung Abholzigkeit],0))</f>
        <v>#N/A</v>
      </c>
      <c r="N2030" t="e">
        <f>VLOOKUP(Tabelle9[[#This Row],[Rank]],Stammdaten[[Rank Verteilung Abholzigkeit]:[Verteilung Abholzigkeit]],2,FALSE)</f>
        <v>#N/A</v>
      </c>
      <c r="S2030">
        <v>2021</v>
      </c>
      <c r="T2030" t="e">
        <f>INDEX(Stammdaten[Krümmung (mm/lfm)],MATCH(Tabelle10[[#This Row],[Rank]],Stammdaten[Rank Verteilung Krümmung],0))</f>
        <v>#N/A</v>
      </c>
      <c r="U2030" t="e">
        <f>VLOOKUP(Tabelle10[[#This Row],[Rank]],Stammdaten[[Rank Verteilung Krümmung]:[Verteilung Krümmung]],2,FALSE)</f>
        <v>#N/A</v>
      </c>
      <c r="Z2030">
        <v>2021</v>
      </c>
      <c r="AA2030" t="e">
        <f>INDEX(Stammdaten[Ovalität (']0,1'])],MATCH(Tabelle1014[[#This Row],[Rank]],Stammdaten[Rank Verteilung Ovalität],0))</f>
        <v>#N/A</v>
      </c>
      <c r="AB2030" t="e">
        <f>VLOOKUP(Tabelle1014[[#This Row],[Rank]],Stammdaten[[Rank Verteilung Ovalität]:[Verteilung Ovalität]],2,FALSE)</f>
        <v>#N/A</v>
      </c>
    </row>
    <row r="2031" spans="5:28" x14ac:dyDescent="0.35">
      <c r="E2031">
        <v>2022</v>
      </c>
      <c r="F2031" t="e">
        <f>INDEX(Stammdaten[D Mitte mit Rinde (mm)],MATCH(Tabelle8[[#This Row],[Rank]],Stammdaten[Rank Verteilung D Mitte mit Rinde],0))</f>
        <v>#N/A</v>
      </c>
      <c r="G2031" t="e">
        <f>VLOOKUP(Tabelle8[[#This Row],[Rank]],Stammdaten[[Rank Verteilung D Mitte mit Rinde]:[Verteilung D Mitte mit Rinde]],2,FALSE)</f>
        <v>#N/A</v>
      </c>
      <c r="L2031">
        <v>2022</v>
      </c>
      <c r="M2031" t="e">
        <f>INDEX(Stammdaten[Abholzigkeit (mm/lfm)],MATCH(Tabelle9[[#This Row],[Rank]],Stammdaten[Rank Verteilung Abholzigkeit],0))</f>
        <v>#N/A</v>
      </c>
      <c r="N2031" t="e">
        <f>VLOOKUP(Tabelle9[[#This Row],[Rank]],Stammdaten[[Rank Verteilung Abholzigkeit]:[Verteilung Abholzigkeit]],2,FALSE)</f>
        <v>#N/A</v>
      </c>
      <c r="S2031">
        <v>2022</v>
      </c>
      <c r="T2031" t="e">
        <f>INDEX(Stammdaten[Krümmung (mm/lfm)],MATCH(Tabelle10[[#This Row],[Rank]],Stammdaten[Rank Verteilung Krümmung],0))</f>
        <v>#N/A</v>
      </c>
      <c r="U2031" t="e">
        <f>VLOOKUP(Tabelle10[[#This Row],[Rank]],Stammdaten[[Rank Verteilung Krümmung]:[Verteilung Krümmung]],2,FALSE)</f>
        <v>#N/A</v>
      </c>
      <c r="Z2031">
        <v>2022</v>
      </c>
      <c r="AA2031" t="e">
        <f>INDEX(Stammdaten[Ovalität (']0,1'])],MATCH(Tabelle1014[[#This Row],[Rank]],Stammdaten[Rank Verteilung Ovalität],0))</f>
        <v>#N/A</v>
      </c>
      <c r="AB2031" t="e">
        <f>VLOOKUP(Tabelle1014[[#This Row],[Rank]],Stammdaten[[Rank Verteilung Ovalität]:[Verteilung Ovalität]],2,FALSE)</f>
        <v>#N/A</v>
      </c>
    </row>
    <row r="2032" spans="5:28" x14ac:dyDescent="0.35">
      <c r="E2032">
        <v>2023</v>
      </c>
      <c r="F2032" t="e">
        <f>INDEX(Stammdaten[D Mitte mit Rinde (mm)],MATCH(Tabelle8[[#This Row],[Rank]],Stammdaten[Rank Verteilung D Mitte mit Rinde],0))</f>
        <v>#N/A</v>
      </c>
      <c r="G2032" t="e">
        <f>VLOOKUP(Tabelle8[[#This Row],[Rank]],Stammdaten[[Rank Verteilung D Mitte mit Rinde]:[Verteilung D Mitte mit Rinde]],2,FALSE)</f>
        <v>#N/A</v>
      </c>
      <c r="L2032">
        <v>2023</v>
      </c>
      <c r="M2032" t="e">
        <f>INDEX(Stammdaten[Abholzigkeit (mm/lfm)],MATCH(Tabelle9[[#This Row],[Rank]],Stammdaten[Rank Verteilung Abholzigkeit],0))</f>
        <v>#N/A</v>
      </c>
      <c r="N2032" t="e">
        <f>VLOOKUP(Tabelle9[[#This Row],[Rank]],Stammdaten[[Rank Verteilung Abholzigkeit]:[Verteilung Abholzigkeit]],2,FALSE)</f>
        <v>#N/A</v>
      </c>
      <c r="S2032">
        <v>2023</v>
      </c>
      <c r="T2032" t="e">
        <f>INDEX(Stammdaten[Krümmung (mm/lfm)],MATCH(Tabelle10[[#This Row],[Rank]],Stammdaten[Rank Verteilung Krümmung],0))</f>
        <v>#N/A</v>
      </c>
      <c r="U2032" t="e">
        <f>VLOOKUP(Tabelle10[[#This Row],[Rank]],Stammdaten[[Rank Verteilung Krümmung]:[Verteilung Krümmung]],2,FALSE)</f>
        <v>#N/A</v>
      </c>
      <c r="Z2032">
        <v>2023</v>
      </c>
      <c r="AA2032" t="e">
        <f>INDEX(Stammdaten[Ovalität (']0,1'])],MATCH(Tabelle1014[[#This Row],[Rank]],Stammdaten[Rank Verteilung Ovalität],0))</f>
        <v>#N/A</v>
      </c>
      <c r="AB2032" t="e">
        <f>VLOOKUP(Tabelle1014[[#This Row],[Rank]],Stammdaten[[Rank Verteilung Ovalität]:[Verteilung Ovalität]],2,FALSE)</f>
        <v>#N/A</v>
      </c>
    </row>
    <row r="2033" spans="5:28" x14ac:dyDescent="0.35">
      <c r="E2033">
        <v>2024</v>
      </c>
      <c r="F2033" t="e">
        <f>INDEX(Stammdaten[D Mitte mit Rinde (mm)],MATCH(Tabelle8[[#This Row],[Rank]],Stammdaten[Rank Verteilung D Mitte mit Rinde],0))</f>
        <v>#N/A</v>
      </c>
      <c r="G2033" t="e">
        <f>VLOOKUP(Tabelle8[[#This Row],[Rank]],Stammdaten[[Rank Verteilung D Mitte mit Rinde]:[Verteilung D Mitte mit Rinde]],2,FALSE)</f>
        <v>#N/A</v>
      </c>
      <c r="L2033">
        <v>2024</v>
      </c>
      <c r="M2033" t="e">
        <f>INDEX(Stammdaten[Abholzigkeit (mm/lfm)],MATCH(Tabelle9[[#This Row],[Rank]],Stammdaten[Rank Verteilung Abholzigkeit],0))</f>
        <v>#N/A</v>
      </c>
      <c r="N2033" t="e">
        <f>VLOOKUP(Tabelle9[[#This Row],[Rank]],Stammdaten[[Rank Verteilung Abholzigkeit]:[Verteilung Abholzigkeit]],2,FALSE)</f>
        <v>#N/A</v>
      </c>
      <c r="S2033">
        <v>2024</v>
      </c>
      <c r="T2033" t="e">
        <f>INDEX(Stammdaten[Krümmung (mm/lfm)],MATCH(Tabelle10[[#This Row],[Rank]],Stammdaten[Rank Verteilung Krümmung],0))</f>
        <v>#N/A</v>
      </c>
      <c r="U2033" t="e">
        <f>VLOOKUP(Tabelle10[[#This Row],[Rank]],Stammdaten[[Rank Verteilung Krümmung]:[Verteilung Krümmung]],2,FALSE)</f>
        <v>#N/A</v>
      </c>
      <c r="Z2033">
        <v>2024</v>
      </c>
      <c r="AA2033" t="e">
        <f>INDEX(Stammdaten[Ovalität (']0,1'])],MATCH(Tabelle1014[[#This Row],[Rank]],Stammdaten[Rank Verteilung Ovalität],0))</f>
        <v>#N/A</v>
      </c>
      <c r="AB2033" t="e">
        <f>VLOOKUP(Tabelle1014[[#This Row],[Rank]],Stammdaten[[Rank Verteilung Ovalität]:[Verteilung Ovalität]],2,FALSE)</f>
        <v>#N/A</v>
      </c>
    </row>
    <row r="2034" spans="5:28" x14ac:dyDescent="0.35">
      <c r="E2034">
        <v>2025</v>
      </c>
      <c r="F2034" t="e">
        <f>INDEX(Stammdaten[D Mitte mit Rinde (mm)],MATCH(Tabelle8[[#This Row],[Rank]],Stammdaten[Rank Verteilung D Mitte mit Rinde],0))</f>
        <v>#N/A</v>
      </c>
      <c r="G2034" t="e">
        <f>VLOOKUP(Tabelle8[[#This Row],[Rank]],Stammdaten[[Rank Verteilung D Mitte mit Rinde]:[Verteilung D Mitte mit Rinde]],2,FALSE)</f>
        <v>#N/A</v>
      </c>
      <c r="L2034">
        <v>2025</v>
      </c>
      <c r="M2034" t="e">
        <f>INDEX(Stammdaten[Abholzigkeit (mm/lfm)],MATCH(Tabelle9[[#This Row],[Rank]],Stammdaten[Rank Verteilung Abholzigkeit],0))</f>
        <v>#N/A</v>
      </c>
      <c r="N2034" t="e">
        <f>VLOOKUP(Tabelle9[[#This Row],[Rank]],Stammdaten[[Rank Verteilung Abholzigkeit]:[Verteilung Abholzigkeit]],2,FALSE)</f>
        <v>#N/A</v>
      </c>
      <c r="S2034">
        <v>2025</v>
      </c>
      <c r="T2034" t="e">
        <f>INDEX(Stammdaten[Krümmung (mm/lfm)],MATCH(Tabelle10[[#This Row],[Rank]],Stammdaten[Rank Verteilung Krümmung],0))</f>
        <v>#N/A</v>
      </c>
      <c r="U2034" t="e">
        <f>VLOOKUP(Tabelle10[[#This Row],[Rank]],Stammdaten[[Rank Verteilung Krümmung]:[Verteilung Krümmung]],2,FALSE)</f>
        <v>#N/A</v>
      </c>
      <c r="Z2034">
        <v>2025</v>
      </c>
      <c r="AA2034" t="e">
        <f>INDEX(Stammdaten[Ovalität (']0,1'])],MATCH(Tabelle1014[[#This Row],[Rank]],Stammdaten[Rank Verteilung Ovalität],0))</f>
        <v>#N/A</v>
      </c>
      <c r="AB2034" t="e">
        <f>VLOOKUP(Tabelle1014[[#This Row],[Rank]],Stammdaten[[Rank Verteilung Ovalität]:[Verteilung Ovalität]],2,FALSE)</f>
        <v>#N/A</v>
      </c>
    </row>
    <row r="2035" spans="5:28" x14ac:dyDescent="0.35">
      <c r="E2035">
        <v>2026</v>
      </c>
      <c r="F2035" t="e">
        <f>INDEX(Stammdaten[D Mitte mit Rinde (mm)],MATCH(Tabelle8[[#This Row],[Rank]],Stammdaten[Rank Verteilung D Mitte mit Rinde],0))</f>
        <v>#N/A</v>
      </c>
      <c r="G2035" t="e">
        <f>VLOOKUP(Tabelle8[[#This Row],[Rank]],Stammdaten[[Rank Verteilung D Mitte mit Rinde]:[Verteilung D Mitte mit Rinde]],2,FALSE)</f>
        <v>#N/A</v>
      </c>
      <c r="L2035">
        <v>2026</v>
      </c>
      <c r="M2035" t="e">
        <f>INDEX(Stammdaten[Abholzigkeit (mm/lfm)],MATCH(Tabelle9[[#This Row],[Rank]],Stammdaten[Rank Verteilung Abholzigkeit],0))</f>
        <v>#N/A</v>
      </c>
      <c r="N2035" t="e">
        <f>VLOOKUP(Tabelle9[[#This Row],[Rank]],Stammdaten[[Rank Verteilung Abholzigkeit]:[Verteilung Abholzigkeit]],2,FALSE)</f>
        <v>#N/A</v>
      </c>
      <c r="S2035">
        <v>2026</v>
      </c>
      <c r="T2035" t="e">
        <f>INDEX(Stammdaten[Krümmung (mm/lfm)],MATCH(Tabelle10[[#This Row],[Rank]],Stammdaten[Rank Verteilung Krümmung],0))</f>
        <v>#N/A</v>
      </c>
      <c r="U2035" t="e">
        <f>VLOOKUP(Tabelle10[[#This Row],[Rank]],Stammdaten[[Rank Verteilung Krümmung]:[Verteilung Krümmung]],2,FALSE)</f>
        <v>#N/A</v>
      </c>
      <c r="Z2035">
        <v>2026</v>
      </c>
      <c r="AA2035" t="e">
        <f>INDEX(Stammdaten[Ovalität (']0,1'])],MATCH(Tabelle1014[[#This Row],[Rank]],Stammdaten[Rank Verteilung Ovalität],0))</f>
        <v>#N/A</v>
      </c>
      <c r="AB2035" t="e">
        <f>VLOOKUP(Tabelle1014[[#This Row],[Rank]],Stammdaten[[Rank Verteilung Ovalität]:[Verteilung Ovalität]],2,FALSE)</f>
        <v>#N/A</v>
      </c>
    </row>
    <row r="2036" spans="5:28" x14ac:dyDescent="0.35">
      <c r="E2036">
        <v>2027</v>
      </c>
      <c r="F2036" t="e">
        <f>INDEX(Stammdaten[D Mitte mit Rinde (mm)],MATCH(Tabelle8[[#This Row],[Rank]],Stammdaten[Rank Verteilung D Mitte mit Rinde],0))</f>
        <v>#N/A</v>
      </c>
      <c r="G2036" t="e">
        <f>VLOOKUP(Tabelle8[[#This Row],[Rank]],Stammdaten[[Rank Verteilung D Mitte mit Rinde]:[Verteilung D Mitte mit Rinde]],2,FALSE)</f>
        <v>#N/A</v>
      </c>
      <c r="L2036">
        <v>2027</v>
      </c>
      <c r="M2036" t="e">
        <f>INDEX(Stammdaten[Abholzigkeit (mm/lfm)],MATCH(Tabelle9[[#This Row],[Rank]],Stammdaten[Rank Verteilung Abholzigkeit],0))</f>
        <v>#N/A</v>
      </c>
      <c r="N2036" t="e">
        <f>VLOOKUP(Tabelle9[[#This Row],[Rank]],Stammdaten[[Rank Verteilung Abholzigkeit]:[Verteilung Abholzigkeit]],2,FALSE)</f>
        <v>#N/A</v>
      </c>
      <c r="S2036">
        <v>2027</v>
      </c>
      <c r="T2036" t="e">
        <f>INDEX(Stammdaten[Krümmung (mm/lfm)],MATCH(Tabelle10[[#This Row],[Rank]],Stammdaten[Rank Verteilung Krümmung],0))</f>
        <v>#N/A</v>
      </c>
      <c r="U2036" t="e">
        <f>VLOOKUP(Tabelle10[[#This Row],[Rank]],Stammdaten[[Rank Verteilung Krümmung]:[Verteilung Krümmung]],2,FALSE)</f>
        <v>#N/A</v>
      </c>
      <c r="Z2036">
        <v>2027</v>
      </c>
      <c r="AA2036" t="e">
        <f>INDEX(Stammdaten[Ovalität (']0,1'])],MATCH(Tabelle1014[[#This Row],[Rank]],Stammdaten[Rank Verteilung Ovalität],0))</f>
        <v>#N/A</v>
      </c>
      <c r="AB2036" t="e">
        <f>VLOOKUP(Tabelle1014[[#This Row],[Rank]],Stammdaten[[Rank Verteilung Ovalität]:[Verteilung Ovalität]],2,FALSE)</f>
        <v>#N/A</v>
      </c>
    </row>
    <row r="2037" spans="5:28" x14ac:dyDescent="0.35">
      <c r="E2037">
        <v>2028</v>
      </c>
      <c r="F2037" t="e">
        <f>INDEX(Stammdaten[D Mitte mit Rinde (mm)],MATCH(Tabelle8[[#This Row],[Rank]],Stammdaten[Rank Verteilung D Mitte mit Rinde],0))</f>
        <v>#N/A</v>
      </c>
      <c r="G2037" t="e">
        <f>VLOOKUP(Tabelle8[[#This Row],[Rank]],Stammdaten[[Rank Verteilung D Mitte mit Rinde]:[Verteilung D Mitte mit Rinde]],2,FALSE)</f>
        <v>#N/A</v>
      </c>
      <c r="L2037">
        <v>2028</v>
      </c>
      <c r="M2037" t="e">
        <f>INDEX(Stammdaten[Abholzigkeit (mm/lfm)],MATCH(Tabelle9[[#This Row],[Rank]],Stammdaten[Rank Verteilung Abholzigkeit],0))</f>
        <v>#N/A</v>
      </c>
      <c r="N2037" t="e">
        <f>VLOOKUP(Tabelle9[[#This Row],[Rank]],Stammdaten[[Rank Verteilung Abholzigkeit]:[Verteilung Abholzigkeit]],2,FALSE)</f>
        <v>#N/A</v>
      </c>
      <c r="S2037">
        <v>2028</v>
      </c>
      <c r="T2037" t="e">
        <f>INDEX(Stammdaten[Krümmung (mm/lfm)],MATCH(Tabelle10[[#This Row],[Rank]],Stammdaten[Rank Verteilung Krümmung],0))</f>
        <v>#N/A</v>
      </c>
      <c r="U2037" t="e">
        <f>VLOOKUP(Tabelle10[[#This Row],[Rank]],Stammdaten[[Rank Verteilung Krümmung]:[Verteilung Krümmung]],2,FALSE)</f>
        <v>#N/A</v>
      </c>
      <c r="Z2037">
        <v>2028</v>
      </c>
      <c r="AA2037" t="e">
        <f>INDEX(Stammdaten[Ovalität (']0,1'])],MATCH(Tabelle1014[[#This Row],[Rank]],Stammdaten[Rank Verteilung Ovalität],0))</f>
        <v>#N/A</v>
      </c>
      <c r="AB2037" t="e">
        <f>VLOOKUP(Tabelle1014[[#This Row],[Rank]],Stammdaten[[Rank Verteilung Ovalität]:[Verteilung Ovalität]],2,FALSE)</f>
        <v>#N/A</v>
      </c>
    </row>
    <row r="2038" spans="5:28" x14ac:dyDescent="0.35">
      <c r="E2038">
        <v>2029</v>
      </c>
      <c r="F2038" t="e">
        <f>INDEX(Stammdaten[D Mitte mit Rinde (mm)],MATCH(Tabelle8[[#This Row],[Rank]],Stammdaten[Rank Verteilung D Mitte mit Rinde],0))</f>
        <v>#N/A</v>
      </c>
      <c r="G2038" t="e">
        <f>VLOOKUP(Tabelle8[[#This Row],[Rank]],Stammdaten[[Rank Verteilung D Mitte mit Rinde]:[Verteilung D Mitte mit Rinde]],2,FALSE)</f>
        <v>#N/A</v>
      </c>
      <c r="L2038">
        <v>2029</v>
      </c>
      <c r="M2038" t="e">
        <f>INDEX(Stammdaten[Abholzigkeit (mm/lfm)],MATCH(Tabelle9[[#This Row],[Rank]],Stammdaten[Rank Verteilung Abholzigkeit],0))</f>
        <v>#N/A</v>
      </c>
      <c r="N2038" t="e">
        <f>VLOOKUP(Tabelle9[[#This Row],[Rank]],Stammdaten[[Rank Verteilung Abholzigkeit]:[Verteilung Abholzigkeit]],2,FALSE)</f>
        <v>#N/A</v>
      </c>
      <c r="S2038">
        <v>2029</v>
      </c>
      <c r="T2038" t="e">
        <f>INDEX(Stammdaten[Krümmung (mm/lfm)],MATCH(Tabelle10[[#This Row],[Rank]],Stammdaten[Rank Verteilung Krümmung],0))</f>
        <v>#N/A</v>
      </c>
      <c r="U2038" t="e">
        <f>VLOOKUP(Tabelle10[[#This Row],[Rank]],Stammdaten[[Rank Verteilung Krümmung]:[Verteilung Krümmung]],2,FALSE)</f>
        <v>#N/A</v>
      </c>
      <c r="Z2038">
        <v>2029</v>
      </c>
      <c r="AA2038" t="e">
        <f>INDEX(Stammdaten[Ovalität (']0,1'])],MATCH(Tabelle1014[[#This Row],[Rank]],Stammdaten[Rank Verteilung Ovalität],0))</f>
        <v>#N/A</v>
      </c>
      <c r="AB2038" t="e">
        <f>VLOOKUP(Tabelle1014[[#This Row],[Rank]],Stammdaten[[Rank Verteilung Ovalität]:[Verteilung Ovalität]],2,FALSE)</f>
        <v>#N/A</v>
      </c>
    </row>
    <row r="2039" spans="5:28" x14ac:dyDescent="0.35">
      <c r="E2039">
        <v>2030</v>
      </c>
      <c r="F2039" t="e">
        <f>INDEX(Stammdaten[D Mitte mit Rinde (mm)],MATCH(Tabelle8[[#This Row],[Rank]],Stammdaten[Rank Verteilung D Mitte mit Rinde],0))</f>
        <v>#N/A</v>
      </c>
      <c r="G2039" t="e">
        <f>VLOOKUP(Tabelle8[[#This Row],[Rank]],Stammdaten[[Rank Verteilung D Mitte mit Rinde]:[Verteilung D Mitte mit Rinde]],2,FALSE)</f>
        <v>#N/A</v>
      </c>
      <c r="L2039">
        <v>2030</v>
      </c>
      <c r="M2039" t="e">
        <f>INDEX(Stammdaten[Abholzigkeit (mm/lfm)],MATCH(Tabelle9[[#This Row],[Rank]],Stammdaten[Rank Verteilung Abholzigkeit],0))</f>
        <v>#N/A</v>
      </c>
      <c r="N2039" t="e">
        <f>VLOOKUP(Tabelle9[[#This Row],[Rank]],Stammdaten[[Rank Verteilung Abholzigkeit]:[Verteilung Abholzigkeit]],2,FALSE)</f>
        <v>#N/A</v>
      </c>
      <c r="S2039">
        <v>2030</v>
      </c>
      <c r="T2039" t="e">
        <f>INDEX(Stammdaten[Krümmung (mm/lfm)],MATCH(Tabelle10[[#This Row],[Rank]],Stammdaten[Rank Verteilung Krümmung],0))</f>
        <v>#N/A</v>
      </c>
      <c r="U2039" t="e">
        <f>VLOOKUP(Tabelle10[[#This Row],[Rank]],Stammdaten[[Rank Verteilung Krümmung]:[Verteilung Krümmung]],2,FALSE)</f>
        <v>#N/A</v>
      </c>
      <c r="Z2039">
        <v>2030</v>
      </c>
      <c r="AA2039" t="e">
        <f>INDEX(Stammdaten[Ovalität (']0,1'])],MATCH(Tabelle1014[[#This Row],[Rank]],Stammdaten[Rank Verteilung Ovalität],0))</f>
        <v>#N/A</v>
      </c>
      <c r="AB2039" t="e">
        <f>VLOOKUP(Tabelle1014[[#This Row],[Rank]],Stammdaten[[Rank Verteilung Ovalität]:[Verteilung Ovalität]],2,FALSE)</f>
        <v>#N/A</v>
      </c>
    </row>
    <row r="2040" spans="5:28" x14ac:dyDescent="0.35">
      <c r="E2040">
        <v>2031</v>
      </c>
      <c r="F2040" t="e">
        <f>INDEX(Stammdaten[D Mitte mit Rinde (mm)],MATCH(Tabelle8[[#This Row],[Rank]],Stammdaten[Rank Verteilung D Mitte mit Rinde],0))</f>
        <v>#N/A</v>
      </c>
      <c r="G2040" t="e">
        <f>VLOOKUP(Tabelle8[[#This Row],[Rank]],Stammdaten[[Rank Verteilung D Mitte mit Rinde]:[Verteilung D Mitte mit Rinde]],2,FALSE)</f>
        <v>#N/A</v>
      </c>
      <c r="L2040">
        <v>2031</v>
      </c>
      <c r="M2040" t="e">
        <f>INDEX(Stammdaten[Abholzigkeit (mm/lfm)],MATCH(Tabelle9[[#This Row],[Rank]],Stammdaten[Rank Verteilung Abholzigkeit],0))</f>
        <v>#N/A</v>
      </c>
      <c r="N2040" t="e">
        <f>VLOOKUP(Tabelle9[[#This Row],[Rank]],Stammdaten[[Rank Verteilung Abholzigkeit]:[Verteilung Abholzigkeit]],2,FALSE)</f>
        <v>#N/A</v>
      </c>
      <c r="S2040">
        <v>2031</v>
      </c>
      <c r="T2040" t="e">
        <f>INDEX(Stammdaten[Krümmung (mm/lfm)],MATCH(Tabelle10[[#This Row],[Rank]],Stammdaten[Rank Verteilung Krümmung],0))</f>
        <v>#N/A</v>
      </c>
      <c r="U2040" t="e">
        <f>VLOOKUP(Tabelle10[[#This Row],[Rank]],Stammdaten[[Rank Verteilung Krümmung]:[Verteilung Krümmung]],2,FALSE)</f>
        <v>#N/A</v>
      </c>
      <c r="Z2040">
        <v>2031</v>
      </c>
      <c r="AA2040" t="e">
        <f>INDEX(Stammdaten[Ovalität (']0,1'])],MATCH(Tabelle1014[[#This Row],[Rank]],Stammdaten[Rank Verteilung Ovalität],0))</f>
        <v>#N/A</v>
      </c>
      <c r="AB2040" t="e">
        <f>VLOOKUP(Tabelle1014[[#This Row],[Rank]],Stammdaten[[Rank Verteilung Ovalität]:[Verteilung Ovalität]],2,FALSE)</f>
        <v>#N/A</v>
      </c>
    </row>
    <row r="2041" spans="5:28" x14ac:dyDescent="0.35">
      <c r="E2041">
        <v>2032</v>
      </c>
      <c r="F2041" t="e">
        <f>INDEX(Stammdaten[D Mitte mit Rinde (mm)],MATCH(Tabelle8[[#This Row],[Rank]],Stammdaten[Rank Verteilung D Mitte mit Rinde],0))</f>
        <v>#N/A</v>
      </c>
      <c r="G2041" t="e">
        <f>VLOOKUP(Tabelle8[[#This Row],[Rank]],Stammdaten[[Rank Verteilung D Mitte mit Rinde]:[Verteilung D Mitte mit Rinde]],2,FALSE)</f>
        <v>#N/A</v>
      </c>
      <c r="L2041">
        <v>2032</v>
      </c>
      <c r="M2041" t="e">
        <f>INDEX(Stammdaten[Abholzigkeit (mm/lfm)],MATCH(Tabelle9[[#This Row],[Rank]],Stammdaten[Rank Verteilung Abholzigkeit],0))</f>
        <v>#N/A</v>
      </c>
      <c r="N2041" t="e">
        <f>VLOOKUP(Tabelle9[[#This Row],[Rank]],Stammdaten[[Rank Verteilung Abholzigkeit]:[Verteilung Abholzigkeit]],2,FALSE)</f>
        <v>#N/A</v>
      </c>
      <c r="S2041">
        <v>2032</v>
      </c>
      <c r="T2041" t="e">
        <f>INDEX(Stammdaten[Krümmung (mm/lfm)],MATCH(Tabelle10[[#This Row],[Rank]],Stammdaten[Rank Verteilung Krümmung],0))</f>
        <v>#N/A</v>
      </c>
      <c r="U2041" t="e">
        <f>VLOOKUP(Tabelle10[[#This Row],[Rank]],Stammdaten[[Rank Verteilung Krümmung]:[Verteilung Krümmung]],2,FALSE)</f>
        <v>#N/A</v>
      </c>
      <c r="Z2041">
        <v>2032</v>
      </c>
      <c r="AA2041" t="e">
        <f>INDEX(Stammdaten[Ovalität (']0,1'])],MATCH(Tabelle1014[[#This Row],[Rank]],Stammdaten[Rank Verteilung Ovalität],0))</f>
        <v>#N/A</v>
      </c>
      <c r="AB2041" t="e">
        <f>VLOOKUP(Tabelle1014[[#This Row],[Rank]],Stammdaten[[Rank Verteilung Ovalität]:[Verteilung Ovalität]],2,FALSE)</f>
        <v>#N/A</v>
      </c>
    </row>
    <row r="2042" spans="5:28" x14ac:dyDescent="0.35">
      <c r="E2042">
        <v>2033</v>
      </c>
      <c r="F2042" t="e">
        <f>INDEX(Stammdaten[D Mitte mit Rinde (mm)],MATCH(Tabelle8[[#This Row],[Rank]],Stammdaten[Rank Verteilung D Mitte mit Rinde],0))</f>
        <v>#N/A</v>
      </c>
      <c r="G2042" t="e">
        <f>VLOOKUP(Tabelle8[[#This Row],[Rank]],Stammdaten[[Rank Verteilung D Mitte mit Rinde]:[Verteilung D Mitte mit Rinde]],2,FALSE)</f>
        <v>#N/A</v>
      </c>
      <c r="L2042">
        <v>2033</v>
      </c>
      <c r="M2042" t="e">
        <f>INDEX(Stammdaten[Abholzigkeit (mm/lfm)],MATCH(Tabelle9[[#This Row],[Rank]],Stammdaten[Rank Verteilung Abholzigkeit],0))</f>
        <v>#N/A</v>
      </c>
      <c r="N2042" t="e">
        <f>VLOOKUP(Tabelle9[[#This Row],[Rank]],Stammdaten[[Rank Verteilung Abholzigkeit]:[Verteilung Abholzigkeit]],2,FALSE)</f>
        <v>#N/A</v>
      </c>
      <c r="S2042">
        <v>2033</v>
      </c>
      <c r="T2042" t="e">
        <f>INDEX(Stammdaten[Krümmung (mm/lfm)],MATCH(Tabelle10[[#This Row],[Rank]],Stammdaten[Rank Verteilung Krümmung],0))</f>
        <v>#N/A</v>
      </c>
      <c r="U2042" t="e">
        <f>VLOOKUP(Tabelle10[[#This Row],[Rank]],Stammdaten[[Rank Verteilung Krümmung]:[Verteilung Krümmung]],2,FALSE)</f>
        <v>#N/A</v>
      </c>
      <c r="Z2042">
        <v>2033</v>
      </c>
      <c r="AA2042" t="e">
        <f>INDEX(Stammdaten[Ovalität (']0,1'])],MATCH(Tabelle1014[[#This Row],[Rank]],Stammdaten[Rank Verteilung Ovalität],0))</f>
        <v>#N/A</v>
      </c>
      <c r="AB2042" t="e">
        <f>VLOOKUP(Tabelle1014[[#This Row],[Rank]],Stammdaten[[Rank Verteilung Ovalität]:[Verteilung Ovalität]],2,FALSE)</f>
        <v>#N/A</v>
      </c>
    </row>
    <row r="2043" spans="5:28" x14ac:dyDescent="0.35">
      <c r="E2043">
        <v>2034</v>
      </c>
      <c r="F2043" t="e">
        <f>INDEX(Stammdaten[D Mitte mit Rinde (mm)],MATCH(Tabelle8[[#This Row],[Rank]],Stammdaten[Rank Verteilung D Mitte mit Rinde],0))</f>
        <v>#N/A</v>
      </c>
      <c r="G2043" t="e">
        <f>VLOOKUP(Tabelle8[[#This Row],[Rank]],Stammdaten[[Rank Verteilung D Mitte mit Rinde]:[Verteilung D Mitte mit Rinde]],2,FALSE)</f>
        <v>#N/A</v>
      </c>
      <c r="L2043">
        <v>2034</v>
      </c>
      <c r="M2043" t="e">
        <f>INDEX(Stammdaten[Abholzigkeit (mm/lfm)],MATCH(Tabelle9[[#This Row],[Rank]],Stammdaten[Rank Verteilung Abholzigkeit],0))</f>
        <v>#N/A</v>
      </c>
      <c r="N2043" t="e">
        <f>VLOOKUP(Tabelle9[[#This Row],[Rank]],Stammdaten[[Rank Verteilung Abholzigkeit]:[Verteilung Abholzigkeit]],2,FALSE)</f>
        <v>#N/A</v>
      </c>
      <c r="S2043">
        <v>2034</v>
      </c>
      <c r="T2043" t="e">
        <f>INDEX(Stammdaten[Krümmung (mm/lfm)],MATCH(Tabelle10[[#This Row],[Rank]],Stammdaten[Rank Verteilung Krümmung],0))</f>
        <v>#N/A</v>
      </c>
      <c r="U2043" t="e">
        <f>VLOOKUP(Tabelle10[[#This Row],[Rank]],Stammdaten[[Rank Verteilung Krümmung]:[Verteilung Krümmung]],2,FALSE)</f>
        <v>#N/A</v>
      </c>
      <c r="Z2043">
        <v>2034</v>
      </c>
      <c r="AA2043" t="e">
        <f>INDEX(Stammdaten[Ovalität (']0,1'])],MATCH(Tabelle1014[[#This Row],[Rank]],Stammdaten[Rank Verteilung Ovalität],0))</f>
        <v>#N/A</v>
      </c>
      <c r="AB2043" t="e">
        <f>VLOOKUP(Tabelle1014[[#This Row],[Rank]],Stammdaten[[Rank Verteilung Ovalität]:[Verteilung Ovalität]],2,FALSE)</f>
        <v>#N/A</v>
      </c>
    </row>
    <row r="2044" spans="5:28" x14ac:dyDescent="0.35">
      <c r="E2044">
        <v>2035</v>
      </c>
      <c r="F2044" t="e">
        <f>INDEX(Stammdaten[D Mitte mit Rinde (mm)],MATCH(Tabelle8[[#This Row],[Rank]],Stammdaten[Rank Verteilung D Mitte mit Rinde],0))</f>
        <v>#N/A</v>
      </c>
      <c r="G2044" t="e">
        <f>VLOOKUP(Tabelle8[[#This Row],[Rank]],Stammdaten[[Rank Verteilung D Mitte mit Rinde]:[Verteilung D Mitte mit Rinde]],2,FALSE)</f>
        <v>#N/A</v>
      </c>
      <c r="L2044">
        <v>2035</v>
      </c>
      <c r="M2044" t="e">
        <f>INDEX(Stammdaten[Abholzigkeit (mm/lfm)],MATCH(Tabelle9[[#This Row],[Rank]],Stammdaten[Rank Verteilung Abholzigkeit],0))</f>
        <v>#N/A</v>
      </c>
      <c r="N2044" t="e">
        <f>VLOOKUP(Tabelle9[[#This Row],[Rank]],Stammdaten[[Rank Verteilung Abholzigkeit]:[Verteilung Abholzigkeit]],2,FALSE)</f>
        <v>#N/A</v>
      </c>
      <c r="S2044">
        <v>2035</v>
      </c>
      <c r="T2044" t="e">
        <f>INDEX(Stammdaten[Krümmung (mm/lfm)],MATCH(Tabelle10[[#This Row],[Rank]],Stammdaten[Rank Verteilung Krümmung],0))</f>
        <v>#N/A</v>
      </c>
      <c r="U2044" t="e">
        <f>VLOOKUP(Tabelle10[[#This Row],[Rank]],Stammdaten[[Rank Verteilung Krümmung]:[Verteilung Krümmung]],2,FALSE)</f>
        <v>#N/A</v>
      </c>
      <c r="Z2044">
        <v>2035</v>
      </c>
      <c r="AA2044" t="e">
        <f>INDEX(Stammdaten[Ovalität (']0,1'])],MATCH(Tabelle1014[[#This Row],[Rank]],Stammdaten[Rank Verteilung Ovalität],0))</f>
        <v>#N/A</v>
      </c>
      <c r="AB2044" t="e">
        <f>VLOOKUP(Tabelle1014[[#This Row],[Rank]],Stammdaten[[Rank Verteilung Ovalität]:[Verteilung Ovalität]],2,FALSE)</f>
        <v>#N/A</v>
      </c>
    </row>
    <row r="2045" spans="5:28" x14ac:dyDescent="0.35">
      <c r="E2045">
        <v>2036</v>
      </c>
      <c r="F2045" t="e">
        <f>INDEX(Stammdaten[D Mitte mit Rinde (mm)],MATCH(Tabelle8[[#This Row],[Rank]],Stammdaten[Rank Verteilung D Mitte mit Rinde],0))</f>
        <v>#N/A</v>
      </c>
      <c r="G2045" t="e">
        <f>VLOOKUP(Tabelle8[[#This Row],[Rank]],Stammdaten[[Rank Verteilung D Mitte mit Rinde]:[Verteilung D Mitte mit Rinde]],2,FALSE)</f>
        <v>#N/A</v>
      </c>
      <c r="L2045">
        <v>2036</v>
      </c>
      <c r="M2045" t="e">
        <f>INDEX(Stammdaten[Abholzigkeit (mm/lfm)],MATCH(Tabelle9[[#This Row],[Rank]],Stammdaten[Rank Verteilung Abholzigkeit],0))</f>
        <v>#N/A</v>
      </c>
      <c r="N2045" t="e">
        <f>VLOOKUP(Tabelle9[[#This Row],[Rank]],Stammdaten[[Rank Verteilung Abholzigkeit]:[Verteilung Abholzigkeit]],2,FALSE)</f>
        <v>#N/A</v>
      </c>
      <c r="S2045">
        <v>2036</v>
      </c>
      <c r="T2045" t="e">
        <f>INDEX(Stammdaten[Krümmung (mm/lfm)],MATCH(Tabelle10[[#This Row],[Rank]],Stammdaten[Rank Verteilung Krümmung],0))</f>
        <v>#N/A</v>
      </c>
      <c r="U2045" t="e">
        <f>VLOOKUP(Tabelle10[[#This Row],[Rank]],Stammdaten[[Rank Verteilung Krümmung]:[Verteilung Krümmung]],2,FALSE)</f>
        <v>#N/A</v>
      </c>
      <c r="Z2045">
        <v>2036</v>
      </c>
      <c r="AA2045" t="e">
        <f>INDEX(Stammdaten[Ovalität (']0,1'])],MATCH(Tabelle1014[[#This Row],[Rank]],Stammdaten[Rank Verteilung Ovalität],0))</f>
        <v>#N/A</v>
      </c>
      <c r="AB2045" t="e">
        <f>VLOOKUP(Tabelle1014[[#This Row],[Rank]],Stammdaten[[Rank Verteilung Ovalität]:[Verteilung Ovalität]],2,FALSE)</f>
        <v>#N/A</v>
      </c>
    </row>
    <row r="2046" spans="5:28" x14ac:dyDescent="0.35">
      <c r="E2046">
        <v>2037</v>
      </c>
      <c r="F2046" t="e">
        <f>INDEX(Stammdaten[D Mitte mit Rinde (mm)],MATCH(Tabelle8[[#This Row],[Rank]],Stammdaten[Rank Verteilung D Mitte mit Rinde],0))</f>
        <v>#N/A</v>
      </c>
      <c r="G2046" t="e">
        <f>VLOOKUP(Tabelle8[[#This Row],[Rank]],Stammdaten[[Rank Verteilung D Mitte mit Rinde]:[Verteilung D Mitte mit Rinde]],2,FALSE)</f>
        <v>#N/A</v>
      </c>
      <c r="L2046">
        <v>2037</v>
      </c>
      <c r="M2046" t="e">
        <f>INDEX(Stammdaten[Abholzigkeit (mm/lfm)],MATCH(Tabelle9[[#This Row],[Rank]],Stammdaten[Rank Verteilung Abholzigkeit],0))</f>
        <v>#N/A</v>
      </c>
      <c r="N2046" t="e">
        <f>VLOOKUP(Tabelle9[[#This Row],[Rank]],Stammdaten[[Rank Verteilung Abholzigkeit]:[Verteilung Abholzigkeit]],2,FALSE)</f>
        <v>#N/A</v>
      </c>
      <c r="S2046">
        <v>2037</v>
      </c>
      <c r="T2046" t="e">
        <f>INDEX(Stammdaten[Krümmung (mm/lfm)],MATCH(Tabelle10[[#This Row],[Rank]],Stammdaten[Rank Verteilung Krümmung],0))</f>
        <v>#N/A</v>
      </c>
      <c r="U2046" t="e">
        <f>VLOOKUP(Tabelle10[[#This Row],[Rank]],Stammdaten[[Rank Verteilung Krümmung]:[Verteilung Krümmung]],2,FALSE)</f>
        <v>#N/A</v>
      </c>
      <c r="Z2046">
        <v>2037</v>
      </c>
      <c r="AA2046" t="e">
        <f>INDEX(Stammdaten[Ovalität (']0,1'])],MATCH(Tabelle1014[[#This Row],[Rank]],Stammdaten[Rank Verteilung Ovalität],0))</f>
        <v>#N/A</v>
      </c>
      <c r="AB2046" t="e">
        <f>VLOOKUP(Tabelle1014[[#This Row],[Rank]],Stammdaten[[Rank Verteilung Ovalität]:[Verteilung Ovalität]],2,FALSE)</f>
        <v>#N/A</v>
      </c>
    </row>
    <row r="2047" spans="5:28" x14ac:dyDescent="0.35">
      <c r="E2047">
        <v>2038</v>
      </c>
      <c r="F2047" t="e">
        <f>INDEX(Stammdaten[D Mitte mit Rinde (mm)],MATCH(Tabelle8[[#This Row],[Rank]],Stammdaten[Rank Verteilung D Mitte mit Rinde],0))</f>
        <v>#N/A</v>
      </c>
      <c r="G2047" t="e">
        <f>VLOOKUP(Tabelle8[[#This Row],[Rank]],Stammdaten[[Rank Verteilung D Mitte mit Rinde]:[Verteilung D Mitte mit Rinde]],2,FALSE)</f>
        <v>#N/A</v>
      </c>
      <c r="L2047">
        <v>2038</v>
      </c>
      <c r="M2047" t="e">
        <f>INDEX(Stammdaten[Abholzigkeit (mm/lfm)],MATCH(Tabelle9[[#This Row],[Rank]],Stammdaten[Rank Verteilung Abholzigkeit],0))</f>
        <v>#N/A</v>
      </c>
      <c r="N2047" t="e">
        <f>VLOOKUP(Tabelle9[[#This Row],[Rank]],Stammdaten[[Rank Verteilung Abholzigkeit]:[Verteilung Abholzigkeit]],2,FALSE)</f>
        <v>#N/A</v>
      </c>
      <c r="S2047">
        <v>2038</v>
      </c>
      <c r="T2047" t="e">
        <f>INDEX(Stammdaten[Krümmung (mm/lfm)],MATCH(Tabelle10[[#This Row],[Rank]],Stammdaten[Rank Verteilung Krümmung],0))</f>
        <v>#N/A</v>
      </c>
      <c r="U2047" t="e">
        <f>VLOOKUP(Tabelle10[[#This Row],[Rank]],Stammdaten[[Rank Verteilung Krümmung]:[Verteilung Krümmung]],2,FALSE)</f>
        <v>#N/A</v>
      </c>
      <c r="Z2047">
        <v>2038</v>
      </c>
      <c r="AA2047" t="e">
        <f>INDEX(Stammdaten[Ovalität (']0,1'])],MATCH(Tabelle1014[[#This Row],[Rank]],Stammdaten[Rank Verteilung Ovalität],0))</f>
        <v>#N/A</v>
      </c>
      <c r="AB2047" t="e">
        <f>VLOOKUP(Tabelle1014[[#This Row],[Rank]],Stammdaten[[Rank Verteilung Ovalität]:[Verteilung Ovalität]],2,FALSE)</f>
        <v>#N/A</v>
      </c>
    </row>
    <row r="2048" spans="5:28" x14ac:dyDescent="0.35">
      <c r="E2048">
        <v>2039</v>
      </c>
      <c r="F2048" t="e">
        <f>INDEX(Stammdaten[D Mitte mit Rinde (mm)],MATCH(Tabelle8[[#This Row],[Rank]],Stammdaten[Rank Verteilung D Mitte mit Rinde],0))</f>
        <v>#N/A</v>
      </c>
      <c r="G2048" t="e">
        <f>VLOOKUP(Tabelle8[[#This Row],[Rank]],Stammdaten[[Rank Verteilung D Mitte mit Rinde]:[Verteilung D Mitte mit Rinde]],2,FALSE)</f>
        <v>#N/A</v>
      </c>
      <c r="L2048">
        <v>2039</v>
      </c>
      <c r="M2048" t="e">
        <f>INDEX(Stammdaten[Abholzigkeit (mm/lfm)],MATCH(Tabelle9[[#This Row],[Rank]],Stammdaten[Rank Verteilung Abholzigkeit],0))</f>
        <v>#N/A</v>
      </c>
      <c r="N2048" t="e">
        <f>VLOOKUP(Tabelle9[[#This Row],[Rank]],Stammdaten[[Rank Verteilung Abholzigkeit]:[Verteilung Abholzigkeit]],2,FALSE)</f>
        <v>#N/A</v>
      </c>
      <c r="S2048">
        <v>2039</v>
      </c>
      <c r="T2048" t="e">
        <f>INDEX(Stammdaten[Krümmung (mm/lfm)],MATCH(Tabelle10[[#This Row],[Rank]],Stammdaten[Rank Verteilung Krümmung],0))</f>
        <v>#N/A</v>
      </c>
      <c r="U2048" t="e">
        <f>VLOOKUP(Tabelle10[[#This Row],[Rank]],Stammdaten[[Rank Verteilung Krümmung]:[Verteilung Krümmung]],2,FALSE)</f>
        <v>#N/A</v>
      </c>
      <c r="Z2048">
        <v>2039</v>
      </c>
      <c r="AA2048" t="e">
        <f>INDEX(Stammdaten[Ovalität (']0,1'])],MATCH(Tabelle1014[[#This Row],[Rank]],Stammdaten[Rank Verteilung Ovalität],0))</f>
        <v>#N/A</v>
      </c>
      <c r="AB2048" t="e">
        <f>VLOOKUP(Tabelle1014[[#This Row],[Rank]],Stammdaten[[Rank Verteilung Ovalität]:[Verteilung Ovalität]],2,FALSE)</f>
        <v>#N/A</v>
      </c>
    </row>
    <row r="2049" spans="5:28" x14ac:dyDescent="0.35">
      <c r="E2049">
        <v>2040</v>
      </c>
      <c r="F2049" t="e">
        <f>INDEX(Stammdaten[D Mitte mit Rinde (mm)],MATCH(Tabelle8[[#This Row],[Rank]],Stammdaten[Rank Verteilung D Mitte mit Rinde],0))</f>
        <v>#N/A</v>
      </c>
      <c r="G2049" t="e">
        <f>VLOOKUP(Tabelle8[[#This Row],[Rank]],Stammdaten[[Rank Verteilung D Mitte mit Rinde]:[Verteilung D Mitte mit Rinde]],2,FALSE)</f>
        <v>#N/A</v>
      </c>
      <c r="L2049">
        <v>2040</v>
      </c>
      <c r="M2049" t="e">
        <f>INDEX(Stammdaten[Abholzigkeit (mm/lfm)],MATCH(Tabelle9[[#This Row],[Rank]],Stammdaten[Rank Verteilung Abholzigkeit],0))</f>
        <v>#N/A</v>
      </c>
      <c r="N2049" t="e">
        <f>VLOOKUP(Tabelle9[[#This Row],[Rank]],Stammdaten[[Rank Verteilung Abholzigkeit]:[Verteilung Abholzigkeit]],2,FALSE)</f>
        <v>#N/A</v>
      </c>
      <c r="S2049">
        <v>2040</v>
      </c>
      <c r="T2049" t="e">
        <f>INDEX(Stammdaten[Krümmung (mm/lfm)],MATCH(Tabelle10[[#This Row],[Rank]],Stammdaten[Rank Verteilung Krümmung],0))</f>
        <v>#N/A</v>
      </c>
      <c r="U2049" t="e">
        <f>VLOOKUP(Tabelle10[[#This Row],[Rank]],Stammdaten[[Rank Verteilung Krümmung]:[Verteilung Krümmung]],2,FALSE)</f>
        <v>#N/A</v>
      </c>
      <c r="Z2049">
        <v>2040</v>
      </c>
      <c r="AA2049" t="e">
        <f>INDEX(Stammdaten[Ovalität (']0,1'])],MATCH(Tabelle1014[[#This Row],[Rank]],Stammdaten[Rank Verteilung Ovalität],0))</f>
        <v>#N/A</v>
      </c>
      <c r="AB2049" t="e">
        <f>VLOOKUP(Tabelle1014[[#This Row],[Rank]],Stammdaten[[Rank Verteilung Ovalität]:[Verteilung Ovalität]],2,FALSE)</f>
        <v>#N/A</v>
      </c>
    </row>
    <row r="2050" spans="5:28" x14ac:dyDescent="0.35">
      <c r="E2050">
        <v>2041</v>
      </c>
      <c r="F2050" t="e">
        <f>INDEX(Stammdaten[D Mitte mit Rinde (mm)],MATCH(Tabelle8[[#This Row],[Rank]],Stammdaten[Rank Verteilung D Mitte mit Rinde],0))</f>
        <v>#N/A</v>
      </c>
      <c r="G2050" t="e">
        <f>VLOOKUP(Tabelle8[[#This Row],[Rank]],Stammdaten[[Rank Verteilung D Mitte mit Rinde]:[Verteilung D Mitte mit Rinde]],2,FALSE)</f>
        <v>#N/A</v>
      </c>
      <c r="L2050">
        <v>2041</v>
      </c>
      <c r="M2050" t="e">
        <f>INDEX(Stammdaten[Abholzigkeit (mm/lfm)],MATCH(Tabelle9[[#This Row],[Rank]],Stammdaten[Rank Verteilung Abholzigkeit],0))</f>
        <v>#N/A</v>
      </c>
      <c r="N2050" t="e">
        <f>VLOOKUP(Tabelle9[[#This Row],[Rank]],Stammdaten[[Rank Verteilung Abholzigkeit]:[Verteilung Abholzigkeit]],2,FALSE)</f>
        <v>#N/A</v>
      </c>
      <c r="S2050">
        <v>2041</v>
      </c>
      <c r="T2050" t="e">
        <f>INDEX(Stammdaten[Krümmung (mm/lfm)],MATCH(Tabelle10[[#This Row],[Rank]],Stammdaten[Rank Verteilung Krümmung],0))</f>
        <v>#N/A</v>
      </c>
      <c r="U2050" t="e">
        <f>VLOOKUP(Tabelle10[[#This Row],[Rank]],Stammdaten[[Rank Verteilung Krümmung]:[Verteilung Krümmung]],2,FALSE)</f>
        <v>#N/A</v>
      </c>
      <c r="Z2050">
        <v>2041</v>
      </c>
      <c r="AA2050" t="e">
        <f>INDEX(Stammdaten[Ovalität (']0,1'])],MATCH(Tabelle1014[[#This Row],[Rank]],Stammdaten[Rank Verteilung Ovalität],0))</f>
        <v>#N/A</v>
      </c>
      <c r="AB2050" t="e">
        <f>VLOOKUP(Tabelle1014[[#This Row],[Rank]],Stammdaten[[Rank Verteilung Ovalität]:[Verteilung Ovalität]],2,FALSE)</f>
        <v>#N/A</v>
      </c>
    </row>
    <row r="2051" spans="5:28" x14ac:dyDescent="0.35">
      <c r="E2051">
        <v>2042</v>
      </c>
      <c r="F2051" t="e">
        <f>INDEX(Stammdaten[D Mitte mit Rinde (mm)],MATCH(Tabelle8[[#This Row],[Rank]],Stammdaten[Rank Verteilung D Mitte mit Rinde],0))</f>
        <v>#N/A</v>
      </c>
      <c r="G2051" t="e">
        <f>VLOOKUP(Tabelle8[[#This Row],[Rank]],Stammdaten[[Rank Verteilung D Mitte mit Rinde]:[Verteilung D Mitte mit Rinde]],2,FALSE)</f>
        <v>#N/A</v>
      </c>
      <c r="L2051">
        <v>2042</v>
      </c>
      <c r="M2051" t="e">
        <f>INDEX(Stammdaten[Abholzigkeit (mm/lfm)],MATCH(Tabelle9[[#This Row],[Rank]],Stammdaten[Rank Verteilung Abholzigkeit],0))</f>
        <v>#N/A</v>
      </c>
      <c r="N2051" t="e">
        <f>VLOOKUP(Tabelle9[[#This Row],[Rank]],Stammdaten[[Rank Verteilung Abholzigkeit]:[Verteilung Abholzigkeit]],2,FALSE)</f>
        <v>#N/A</v>
      </c>
      <c r="S2051">
        <v>2042</v>
      </c>
      <c r="T2051" t="e">
        <f>INDEX(Stammdaten[Krümmung (mm/lfm)],MATCH(Tabelle10[[#This Row],[Rank]],Stammdaten[Rank Verteilung Krümmung],0))</f>
        <v>#N/A</v>
      </c>
      <c r="U2051" t="e">
        <f>VLOOKUP(Tabelle10[[#This Row],[Rank]],Stammdaten[[Rank Verteilung Krümmung]:[Verteilung Krümmung]],2,FALSE)</f>
        <v>#N/A</v>
      </c>
      <c r="Z2051">
        <v>2042</v>
      </c>
      <c r="AA2051" t="e">
        <f>INDEX(Stammdaten[Ovalität (']0,1'])],MATCH(Tabelle1014[[#This Row],[Rank]],Stammdaten[Rank Verteilung Ovalität],0))</f>
        <v>#N/A</v>
      </c>
      <c r="AB2051" t="e">
        <f>VLOOKUP(Tabelle1014[[#This Row],[Rank]],Stammdaten[[Rank Verteilung Ovalität]:[Verteilung Ovalität]],2,FALSE)</f>
        <v>#N/A</v>
      </c>
    </row>
    <row r="2052" spans="5:28" x14ac:dyDescent="0.35">
      <c r="E2052">
        <v>2043</v>
      </c>
      <c r="F2052" t="e">
        <f>INDEX(Stammdaten[D Mitte mit Rinde (mm)],MATCH(Tabelle8[[#This Row],[Rank]],Stammdaten[Rank Verteilung D Mitte mit Rinde],0))</f>
        <v>#N/A</v>
      </c>
      <c r="G2052" t="e">
        <f>VLOOKUP(Tabelle8[[#This Row],[Rank]],Stammdaten[[Rank Verteilung D Mitte mit Rinde]:[Verteilung D Mitte mit Rinde]],2,FALSE)</f>
        <v>#N/A</v>
      </c>
      <c r="L2052">
        <v>2043</v>
      </c>
      <c r="M2052" t="e">
        <f>INDEX(Stammdaten[Abholzigkeit (mm/lfm)],MATCH(Tabelle9[[#This Row],[Rank]],Stammdaten[Rank Verteilung Abholzigkeit],0))</f>
        <v>#N/A</v>
      </c>
      <c r="N2052" t="e">
        <f>VLOOKUP(Tabelle9[[#This Row],[Rank]],Stammdaten[[Rank Verteilung Abholzigkeit]:[Verteilung Abholzigkeit]],2,FALSE)</f>
        <v>#N/A</v>
      </c>
      <c r="S2052">
        <v>2043</v>
      </c>
      <c r="T2052" t="e">
        <f>INDEX(Stammdaten[Krümmung (mm/lfm)],MATCH(Tabelle10[[#This Row],[Rank]],Stammdaten[Rank Verteilung Krümmung],0))</f>
        <v>#N/A</v>
      </c>
      <c r="U2052" t="e">
        <f>VLOOKUP(Tabelle10[[#This Row],[Rank]],Stammdaten[[Rank Verteilung Krümmung]:[Verteilung Krümmung]],2,FALSE)</f>
        <v>#N/A</v>
      </c>
      <c r="Z2052">
        <v>2043</v>
      </c>
      <c r="AA2052" t="e">
        <f>INDEX(Stammdaten[Ovalität (']0,1'])],MATCH(Tabelle1014[[#This Row],[Rank]],Stammdaten[Rank Verteilung Ovalität],0))</f>
        <v>#N/A</v>
      </c>
      <c r="AB2052" t="e">
        <f>VLOOKUP(Tabelle1014[[#This Row],[Rank]],Stammdaten[[Rank Verteilung Ovalität]:[Verteilung Ovalität]],2,FALSE)</f>
        <v>#N/A</v>
      </c>
    </row>
    <row r="2053" spans="5:28" x14ac:dyDescent="0.35">
      <c r="E2053">
        <v>2044</v>
      </c>
      <c r="F2053" t="e">
        <f>INDEX(Stammdaten[D Mitte mit Rinde (mm)],MATCH(Tabelle8[[#This Row],[Rank]],Stammdaten[Rank Verteilung D Mitte mit Rinde],0))</f>
        <v>#N/A</v>
      </c>
      <c r="G2053" t="e">
        <f>VLOOKUP(Tabelle8[[#This Row],[Rank]],Stammdaten[[Rank Verteilung D Mitte mit Rinde]:[Verteilung D Mitte mit Rinde]],2,FALSE)</f>
        <v>#N/A</v>
      </c>
      <c r="L2053">
        <v>2044</v>
      </c>
      <c r="M2053" t="e">
        <f>INDEX(Stammdaten[Abholzigkeit (mm/lfm)],MATCH(Tabelle9[[#This Row],[Rank]],Stammdaten[Rank Verteilung Abholzigkeit],0))</f>
        <v>#N/A</v>
      </c>
      <c r="N2053" t="e">
        <f>VLOOKUP(Tabelle9[[#This Row],[Rank]],Stammdaten[[Rank Verteilung Abholzigkeit]:[Verteilung Abholzigkeit]],2,FALSE)</f>
        <v>#N/A</v>
      </c>
      <c r="S2053">
        <v>2044</v>
      </c>
      <c r="T2053" t="e">
        <f>INDEX(Stammdaten[Krümmung (mm/lfm)],MATCH(Tabelle10[[#This Row],[Rank]],Stammdaten[Rank Verteilung Krümmung],0))</f>
        <v>#N/A</v>
      </c>
      <c r="U2053" t="e">
        <f>VLOOKUP(Tabelle10[[#This Row],[Rank]],Stammdaten[[Rank Verteilung Krümmung]:[Verteilung Krümmung]],2,FALSE)</f>
        <v>#N/A</v>
      </c>
      <c r="Z2053">
        <v>2044</v>
      </c>
      <c r="AA2053" t="e">
        <f>INDEX(Stammdaten[Ovalität (']0,1'])],MATCH(Tabelle1014[[#This Row],[Rank]],Stammdaten[Rank Verteilung Ovalität],0))</f>
        <v>#N/A</v>
      </c>
      <c r="AB2053" t="e">
        <f>VLOOKUP(Tabelle1014[[#This Row],[Rank]],Stammdaten[[Rank Verteilung Ovalität]:[Verteilung Ovalität]],2,FALSE)</f>
        <v>#N/A</v>
      </c>
    </row>
    <row r="2054" spans="5:28" x14ac:dyDescent="0.35">
      <c r="E2054">
        <v>2045</v>
      </c>
      <c r="F2054" t="e">
        <f>INDEX(Stammdaten[D Mitte mit Rinde (mm)],MATCH(Tabelle8[[#This Row],[Rank]],Stammdaten[Rank Verteilung D Mitte mit Rinde],0))</f>
        <v>#N/A</v>
      </c>
      <c r="G2054" t="e">
        <f>VLOOKUP(Tabelle8[[#This Row],[Rank]],Stammdaten[[Rank Verteilung D Mitte mit Rinde]:[Verteilung D Mitte mit Rinde]],2,FALSE)</f>
        <v>#N/A</v>
      </c>
      <c r="L2054">
        <v>2045</v>
      </c>
      <c r="M2054" t="e">
        <f>INDEX(Stammdaten[Abholzigkeit (mm/lfm)],MATCH(Tabelle9[[#This Row],[Rank]],Stammdaten[Rank Verteilung Abholzigkeit],0))</f>
        <v>#N/A</v>
      </c>
      <c r="N2054" t="e">
        <f>VLOOKUP(Tabelle9[[#This Row],[Rank]],Stammdaten[[Rank Verteilung Abholzigkeit]:[Verteilung Abholzigkeit]],2,FALSE)</f>
        <v>#N/A</v>
      </c>
      <c r="S2054">
        <v>2045</v>
      </c>
      <c r="T2054" t="e">
        <f>INDEX(Stammdaten[Krümmung (mm/lfm)],MATCH(Tabelle10[[#This Row],[Rank]],Stammdaten[Rank Verteilung Krümmung],0))</f>
        <v>#N/A</v>
      </c>
      <c r="U2054" t="e">
        <f>VLOOKUP(Tabelle10[[#This Row],[Rank]],Stammdaten[[Rank Verteilung Krümmung]:[Verteilung Krümmung]],2,FALSE)</f>
        <v>#N/A</v>
      </c>
      <c r="Z2054">
        <v>2045</v>
      </c>
      <c r="AA2054" t="e">
        <f>INDEX(Stammdaten[Ovalität (']0,1'])],MATCH(Tabelle1014[[#This Row],[Rank]],Stammdaten[Rank Verteilung Ovalität],0))</f>
        <v>#N/A</v>
      </c>
      <c r="AB2054" t="e">
        <f>VLOOKUP(Tabelle1014[[#This Row],[Rank]],Stammdaten[[Rank Verteilung Ovalität]:[Verteilung Ovalität]],2,FALSE)</f>
        <v>#N/A</v>
      </c>
    </row>
    <row r="2055" spans="5:28" x14ac:dyDescent="0.35">
      <c r="E2055">
        <v>2046</v>
      </c>
      <c r="F2055" t="e">
        <f>INDEX(Stammdaten[D Mitte mit Rinde (mm)],MATCH(Tabelle8[[#This Row],[Rank]],Stammdaten[Rank Verteilung D Mitte mit Rinde],0))</f>
        <v>#N/A</v>
      </c>
      <c r="G2055" t="e">
        <f>VLOOKUP(Tabelle8[[#This Row],[Rank]],Stammdaten[[Rank Verteilung D Mitte mit Rinde]:[Verteilung D Mitte mit Rinde]],2,FALSE)</f>
        <v>#N/A</v>
      </c>
      <c r="L2055">
        <v>2046</v>
      </c>
      <c r="M2055" t="e">
        <f>INDEX(Stammdaten[Abholzigkeit (mm/lfm)],MATCH(Tabelle9[[#This Row],[Rank]],Stammdaten[Rank Verteilung Abholzigkeit],0))</f>
        <v>#N/A</v>
      </c>
      <c r="N2055" t="e">
        <f>VLOOKUP(Tabelle9[[#This Row],[Rank]],Stammdaten[[Rank Verteilung Abholzigkeit]:[Verteilung Abholzigkeit]],2,FALSE)</f>
        <v>#N/A</v>
      </c>
      <c r="S2055">
        <v>2046</v>
      </c>
      <c r="T2055" t="e">
        <f>INDEX(Stammdaten[Krümmung (mm/lfm)],MATCH(Tabelle10[[#This Row],[Rank]],Stammdaten[Rank Verteilung Krümmung],0))</f>
        <v>#N/A</v>
      </c>
      <c r="U2055" t="e">
        <f>VLOOKUP(Tabelle10[[#This Row],[Rank]],Stammdaten[[Rank Verteilung Krümmung]:[Verteilung Krümmung]],2,FALSE)</f>
        <v>#N/A</v>
      </c>
      <c r="Z2055">
        <v>2046</v>
      </c>
      <c r="AA2055" t="e">
        <f>INDEX(Stammdaten[Ovalität (']0,1'])],MATCH(Tabelle1014[[#This Row],[Rank]],Stammdaten[Rank Verteilung Ovalität],0))</f>
        <v>#N/A</v>
      </c>
      <c r="AB2055" t="e">
        <f>VLOOKUP(Tabelle1014[[#This Row],[Rank]],Stammdaten[[Rank Verteilung Ovalität]:[Verteilung Ovalität]],2,FALSE)</f>
        <v>#N/A</v>
      </c>
    </row>
    <row r="2056" spans="5:28" x14ac:dyDescent="0.35">
      <c r="E2056">
        <v>2047</v>
      </c>
      <c r="F2056" t="e">
        <f>INDEX(Stammdaten[D Mitte mit Rinde (mm)],MATCH(Tabelle8[[#This Row],[Rank]],Stammdaten[Rank Verteilung D Mitte mit Rinde],0))</f>
        <v>#N/A</v>
      </c>
      <c r="G2056" t="e">
        <f>VLOOKUP(Tabelle8[[#This Row],[Rank]],Stammdaten[[Rank Verteilung D Mitte mit Rinde]:[Verteilung D Mitte mit Rinde]],2,FALSE)</f>
        <v>#N/A</v>
      </c>
      <c r="L2056">
        <v>2047</v>
      </c>
      <c r="M2056" t="e">
        <f>INDEX(Stammdaten[Abholzigkeit (mm/lfm)],MATCH(Tabelle9[[#This Row],[Rank]],Stammdaten[Rank Verteilung Abholzigkeit],0))</f>
        <v>#N/A</v>
      </c>
      <c r="N2056" t="e">
        <f>VLOOKUP(Tabelle9[[#This Row],[Rank]],Stammdaten[[Rank Verteilung Abholzigkeit]:[Verteilung Abholzigkeit]],2,FALSE)</f>
        <v>#N/A</v>
      </c>
      <c r="S2056">
        <v>2047</v>
      </c>
      <c r="T2056" t="e">
        <f>INDEX(Stammdaten[Krümmung (mm/lfm)],MATCH(Tabelle10[[#This Row],[Rank]],Stammdaten[Rank Verteilung Krümmung],0))</f>
        <v>#N/A</v>
      </c>
      <c r="U2056" t="e">
        <f>VLOOKUP(Tabelle10[[#This Row],[Rank]],Stammdaten[[Rank Verteilung Krümmung]:[Verteilung Krümmung]],2,FALSE)</f>
        <v>#N/A</v>
      </c>
      <c r="Z2056">
        <v>2047</v>
      </c>
      <c r="AA2056" t="e">
        <f>INDEX(Stammdaten[Ovalität (']0,1'])],MATCH(Tabelle1014[[#This Row],[Rank]],Stammdaten[Rank Verteilung Ovalität],0))</f>
        <v>#N/A</v>
      </c>
      <c r="AB2056" t="e">
        <f>VLOOKUP(Tabelle1014[[#This Row],[Rank]],Stammdaten[[Rank Verteilung Ovalität]:[Verteilung Ovalität]],2,FALSE)</f>
        <v>#N/A</v>
      </c>
    </row>
    <row r="2057" spans="5:28" x14ac:dyDescent="0.35">
      <c r="E2057">
        <v>2048</v>
      </c>
      <c r="F2057" t="e">
        <f>INDEX(Stammdaten[D Mitte mit Rinde (mm)],MATCH(Tabelle8[[#This Row],[Rank]],Stammdaten[Rank Verteilung D Mitte mit Rinde],0))</f>
        <v>#N/A</v>
      </c>
      <c r="G2057" t="e">
        <f>VLOOKUP(Tabelle8[[#This Row],[Rank]],Stammdaten[[Rank Verteilung D Mitte mit Rinde]:[Verteilung D Mitte mit Rinde]],2,FALSE)</f>
        <v>#N/A</v>
      </c>
      <c r="L2057">
        <v>2048</v>
      </c>
      <c r="M2057" t="e">
        <f>INDEX(Stammdaten[Abholzigkeit (mm/lfm)],MATCH(Tabelle9[[#This Row],[Rank]],Stammdaten[Rank Verteilung Abholzigkeit],0))</f>
        <v>#N/A</v>
      </c>
      <c r="N2057" t="e">
        <f>VLOOKUP(Tabelle9[[#This Row],[Rank]],Stammdaten[[Rank Verteilung Abholzigkeit]:[Verteilung Abholzigkeit]],2,FALSE)</f>
        <v>#N/A</v>
      </c>
      <c r="S2057">
        <v>2048</v>
      </c>
      <c r="T2057" t="e">
        <f>INDEX(Stammdaten[Krümmung (mm/lfm)],MATCH(Tabelle10[[#This Row],[Rank]],Stammdaten[Rank Verteilung Krümmung],0))</f>
        <v>#N/A</v>
      </c>
      <c r="U2057" t="e">
        <f>VLOOKUP(Tabelle10[[#This Row],[Rank]],Stammdaten[[Rank Verteilung Krümmung]:[Verteilung Krümmung]],2,FALSE)</f>
        <v>#N/A</v>
      </c>
      <c r="Z2057">
        <v>2048</v>
      </c>
      <c r="AA2057" t="e">
        <f>INDEX(Stammdaten[Ovalität (']0,1'])],MATCH(Tabelle1014[[#This Row],[Rank]],Stammdaten[Rank Verteilung Ovalität],0))</f>
        <v>#N/A</v>
      </c>
      <c r="AB2057" t="e">
        <f>VLOOKUP(Tabelle1014[[#This Row],[Rank]],Stammdaten[[Rank Verteilung Ovalität]:[Verteilung Ovalität]],2,FALSE)</f>
        <v>#N/A</v>
      </c>
    </row>
    <row r="2058" spans="5:28" x14ac:dyDescent="0.35">
      <c r="E2058">
        <v>2049</v>
      </c>
      <c r="F2058" t="e">
        <f>INDEX(Stammdaten[D Mitte mit Rinde (mm)],MATCH(Tabelle8[[#This Row],[Rank]],Stammdaten[Rank Verteilung D Mitte mit Rinde],0))</f>
        <v>#N/A</v>
      </c>
      <c r="G2058" t="e">
        <f>VLOOKUP(Tabelle8[[#This Row],[Rank]],Stammdaten[[Rank Verteilung D Mitte mit Rinde]:[Verteilung D Mitte mit Rinde]],2,FALSE)</f>
        <v>#N/A</v>
      </c>
      <c r="L2058">
        <v>2049</v>
      </c>
      <c r="M2058" t="e">
        <f>INDEX(Stammdaten[Abholzigkeit (mm/lfm)],MATCH(Tabelle9[[#This Row],[Rank]],Stammdaten[Rank Verteilung Abholzigkeit],0))</f>
        <v>#N/A</v>
      </c>
      <c r="N2058" t="e">
        <f>VLOOKUP(Tabelle9[[#This Row],[Rank]],Stammdaten[[Rank Verteilung Abholzigkeit]:[Verteilung Abholzigkeit]],2,FALSE)</f>
        <v>#N/A</v>
      </c>
      <c r="S2058">
        <v>2049</v>
      </c>
      <c r="T2058" t="e">
        <f>INDEX(Stammdaten[Krümmung (mm/lfm)],MATCH(Tabelle10[[#This Row],[Rank]],Stammdaten[Rank Verteilung Krümmung],0))</f>
        <v>#N/A</v>
      </c>
      <c r="U2058" t="e">
        <f>VLOOKUP(Tabelle10[[#This Row],[Rank]],Stammdaten[[Rank Verteilung Krümmung]:[Verteilung Krümmung]],2,FALSE)</f>
        <v>#N/A</v>
      </c>
      <c r="Z2058">
        <v>2049</v>
      </c>
      <c r="AA2058" t="e">
        <f>INDEX(Stammdaten[Ovalität (']0,1'])],MATCH(Tabelle1014[[#This Row],[Rank]],Stammdaten[Rank Verteilung Ovalität],0))</f>
        <v>#N/A</v>
      </c>
      <c r="AB2058" t="e">
        <f>VLOOKUP(Tabelle1014[[#This Row],[Rank]],Stammdaten[[Rank Verteilung Ovalität]:[Verteilung Ovalität]],2,FALSE)</f>
        <v>#N/A</v>
      </c>
    </row>
    <row r="2059" spans="5:28" x14ac:dyDescent="0.35">
      <c r="E2059">
        <v>2050</v>
      </c>
      <c r="F2059" t="e">
        <f>INDEX(Stammdaten[D Mitte mit Rinde (mm)],MATCH(Tabelle8[[#This Row],[Rank]],Stammdaten[Rank Verteilung D Mitte mit Rinde],0))</f>
        <v>#N/A</v>
      </c>
      <c r="G2059" t="e">
        <f>VLOOKUP(Tabelle8[[#This Row],[Rank]],Stammdaten[[Rank Verteilung D Mitte mit Rinde]:[Verteilung D Mitte mit Rinde]],2,FALSE)</f>
        <v>#N/A</v>
      </c>
      <c r="L2059">
        <v>2050</v>
      </c>
      <c r="M2059" t="e">
        <f>INDEX(Stammdaten[Abholzigkeit (mm/lfm)],MATCH(Tabelle9[[#This Row],[Rank]],Stammdaten[Rank Verteilung Abholzigkeit],0))</f>
        <v>#N/A</v>
      </c>
      <c r="N2059" t="e">
        <f>VLOOKUP(Tabelle9[[#This Row],[Rank]],Stammdaten[[Rank Verteilung Abholzigkeit]:[Verteilung Abholzigkeit]],2,FALSE)</f>
        <v>#N/A</v>
      </c>
      <c r="S2059">
        <v>2050</v>
      </c>
      <c r="T2059" t="e">
        <f>INDEX(Stammdaten[Krümmung (mm/lfm)],MATCH(Tabelle10[[#This Row],[Rank]],Stammdaten[Rank Verteilung Krümmung],0))</f>
        <v>#N/A</v>
      </c>
      <c r="U2059" t="e">
        <f>VLOOKUP(Tabelle10[[#This Row],[Rank]],Stammdaten[[Rank Verteilung Krümmung]:[Verteilung Krümmung]],2,FALSE)</f>
        <v>#N/A</v>
      </c>
      <c r="Z2059">
        <v>2050</v>
      </c>
      <c r="AA2059" t="e">
        <f>INDEX(Stammdaten[Ovalität (']0,1'])],MATCH(Tabelle1014[[#This Row],[Rank]],Stammdaten[Rank Verteilung Ovalität],0))</f>
        <v>#N/A</v>
      </c>
      <c r="AB2059" t="e">
        <f>VLOOKUP(Tabelle1014[[#This Row],[Rank]],Stammdaten[[Rank Verteilung Ovalität]:[Verteilung Ovalität]],2,FALSE)</f>
        <v>#N/A</v>
      </c>
    </row>
    <row r="2060" spans="5:28" x14ac:dyDescent="0.35">
      <c r="E2060">
        <v>2051</v>
      </c>
      <c r="F2060" t="e">
        <f>INDEX(Stammdaten[D Mitte mit Rinde (mm)],MATCH(Tabelle8[[#This Row],[Rank]],Stammdaten[Rank Verteilung D Mitte mit Rinde],0))</f>
        <v>#N/A</v>
      </c>
      <c r="G2060" t="e">
        <f>VLOOKUP(Tabelle8[[#This Row],[Rank]],Stammdaten[[Rank Verteilung D Mitte mit Rinde]:[Verteilung D Mitte mit Rinde]],2,FALSE)</f>
        <v>#N/A</v>
      </c>
      <c r="L2060">
        <v>2051</v>
      </c>
      <c r="M2060" t="e">
        <f>INDEX(Stammdaten[Abholzigkeit (mm/lfm)],MATCH(Tabelle9[[#This Row],[Rank]],Stammdaten[Rank Verteilung Abholzigkeit],0))</f>
        <v>#N/A</v>
      </c>
      <c r="N2060" t="e">
        <f>VLOOKUP(Tabelle9[[#This Row],[Rank]],Stammdaten[[Rank Verteilung Abholzigkeit]:[Verteilung Abholzigkeit]],2,FALSE)</f>
        <v>#N/A</v>
      </c>
      <c r="S2060">
        <v>2051</v>
      </c>
      <c r="T2060" t="e">
        <f>INDEX(Stammdaten[Krümmung (mm/lfm)],MATCH(Tabelle10[[#This Row],[Rank]],Stammdaten[Rank Verteilung Krümmung],0))</f>
        <v>#N/A</v>
      </c>
      <c r="U2060" t="e">
        <f>VLOOKUP(Tabelle10[[#This Row],[Rank]],Stammdaten[[Rank Verteilung Krümmung]:[Verteilung Krümmung]],2,FALSE)</f>
        <v>#N/A</v>
      </c>
      <c r="Z2060">
        <v>2051</v>
      </c>
      <c r="AA2060" t="e">
        <f>INDEX(Stammdaten[Ovalität (']0,1'])],MATCH(Tabelle1014[[#This Row],[Rank]],Stammdaten[Rank Verteilung Ovalität],0))</f>
        <v>#N/A</v>
      </c>
      <c r="AB2060" t="e">
        <f>VLOOKUP(Tabelle1014[[#This Row],[Rank]],Stammdaten[[Rank Verteilung Ovalität]:[Verteilung Ovalität]],2,FALSE)</f>
        <v>#N/A</v>
      </c>
    </row>
    <row r="2061" spans="5:28" x14ac:dyDescent="0.35">
      <c r="E2061">
        <v>2052</v>
      </c>
      <c r="F2061" t="e">
        <f>INDEX(Stammdaten[D Mitte mit Rinde (mm)],MATCH(Tabelle8[[#This Row],[Rank]],Stammdaten[Rank Verteilung D Mitte mit Rinde],0))</f>
        <v>#N/A</v>
      </c>
      <c r="G2061" t="e">
        <f>VLOOKUP(Tabelle8[[#This Row],[Rank]],Stammdaten[[Rank Verteilung D Mitte mit Rinde]:[Verteilung D Mitte mit Rinde]],2,FALSE)</f>
        <v>#N/A</v>
      </c>
      <c r="L2061">
        <v>2052</v>
      </c>
      <c r="M2061" t="e">
        <f>INDEX(Stammdaten[Abholzigkeit (mm/lfm)],MATCH(Tabelle9[[#This Row],[Rank]],Stammdaten[Rank Verteilung Abholzigkeit],0))</f>
        <v>#N/A</v>
      </c>
      <c r="N2061" t="e">
        <f>VLOOKUP(Tabelle9[[#This Row],[Rank]],Stammdaten[[Rank Verteilung Abholzigkeit]:[Verteilung Abholzigkeit]],2,FALSE)</f>
        <v>#N/A</v>
      </c>
      <c r="S2061">
        <v>2052</v>
      </c>
      <c r="T2061" t="e">
        <f>INDEX(Stammdaten[Krümmung (mm/lfm)],MATCH(Tabelle10[[#This Row],[Rank]],Stammdaten[Rank Verteilung Krümmung],0))</f>
        <v>#N/A</v>
      </c>
      <c r="U2061" t="e">
        <f>VLOOKUP(Tabelle10[[#This Row],[Rank]],Stammdaten[[Rank Verteilung Krümmung]:[Verteilung Krümmung]],2,FALSE)</f>
        <v>#N/A</v>
      </c>
      <c r="Z2061">
        <v>2052</v>
      </c>
      <c r="AA2061" t="e">
        <f>INDEX(Stammdaten[Ovalität (']0,1'])],MATCH(Tabelle1014[[#This Row],[Rank]],Stammdaten[Rank Verteilung Ovalität],0))</f>
        <v>#N/A</v>
      </c>
      <c r="AB2061" t="e">
        <f>VLOOKUP(Tabelle1014[[#This Row],[Rank]],Stammdaten[[Rank Verteilung Ovalität]:[Verteilung Ovalität]],2,FALSE)</f>
        <v>#N/A</v>
      </c>
    </row>
    <row r="2062" spans="5:28" x14ac:dyDescent="0.35">
      <c r="E2062">
        <v>2053</v>
      </c>
      <c r="F2062" t="e">
        <f>INDEX(Stammdaten[D Mitte mit Rinde (mm)],MATCH(Tabelle8[[#This Row],[Rank]],Stammdaten[Rank Verteilung D Mitte mit Rinde],0))</f>
        <v>#N/A</v>
      </c>
      <c r="G2062" t="e">
        <f>VLOOKUP(Tabelle8[[#This Row],[Rank]],Stammdaten[[Rank Verteilung D Mitte mit Rinde]:[Verteilung D Mitte mit Rinde]],2,FALSE)</f>
        <v>#N/A</v>
      </c>
      <c r="L2062">
        <v>2053</v>
      </c>
      <c r="M2062" t="e">
        <f>INDEX(Stammdaten[Abholzigkeit (mm/lfm)],MATCH(Tabelle9[[#This Row],[Rank]],Stammdaten[Rank Verteilung Abholzigkeit],0))</f>
        <v>#N/A</v>
      </c>
      <c r="N2062" t="e">
        <f>VLOOKUP(Tabelle9[[#This Row],[Rank]],Stammdaten[[Rank Verteilung Abholzigkeit]:[Verteilung Abholzigkeit]],2,FALSE)</f>
        <v>#N/A</v>
      </c>
      <c r="S2062">
        <v>2053</v>
      </c>
      <c r="T2062" t="e">
        <f>INDEX(Stammdaten[Krümmung (mm/lfm)],MATCH(Tabelle10[[#This Row],[Rank]],Stammdaten[Rank Verteilung Krümmung],0))</f>
        <v>#N/A</v>
      </c>
      <c r="U2062" t="e">
        <f>VLOOKUP(Tabelle10[[#This Row],[Rank]],Stammdaten[[Rank Verteilung Krümmung]:[Verteilung Krümmung]],2,FALSE)</f>
        <v>#N/A</v>
      </c>
      <c r="Z2062">
        <v>2053</v>
      </c>
      <c r="AA2062" t="e">
        <f>INDEX(Stammdaten[Ovalität (']0,1'])],MATCH(Tabelle1014[[#This Row],[Rank]],Stammdaten[Rank Verteilung Ovalität],0))</f>
        <v>#N/A</v>
      </c>
      <c r="AB2062" t="e">
        <f>VLOOKUP(Tabelle1014[[#This Row],[Rank]],Stammdaten[[Rank Verteilung Ovalität]:[Verteilung Ovalität]],2,FALSE)</f>
        <v>#N/A</v>
      </c>
    </row>
    <row r="2063" spans="5:28" x14ac:dyDescent="0.35">
      <c r="E2063">
        <v>2054</v>
      </c>
      <c r="F2063" t="e">
        <f>INDEX(Stammdaten[D Mitte mit Rinde (mm)],MATCH(Tabelle8[[#This Row],[Rank]],Stammdaten[Rank Verteilung D Mitte mit Rinde],0))</f>
        <v>#N/A</v>
      </c>
      <c r="G2063" t="e">
        <f>VLOOKUP(Tabelle8[[#This Row],[Rank]],Stammdaten[[Rank Verteilung D Mitte mit Rinde]:[Verteilung D Mitte mit Rinde]],2,FALSE)</f>
        <v>#N/A</v>
      </c>
      <c r="L2063">
        <v>2054</v>
      </c>
      <c r="M2063" t="e">
        <f>INDEX(Stammdaten[Abholzigkeit (mm/lfm)],MATCH(Tabelle9[[#This Row],[Rank]],Stammdaten[Rank Verteilung Abholzigkeit],0))</f>
        <v>#N/A</v>
      </c>
      <c r="N2063" t="e">
        <f>VLOOKUP(Tabelle9[[#This Row],[Rank]],Stammdaten[[Rank Verteilung Abholzigkeit]:[Verteilung Abholzigkeit]],2,FALSE)</f>
        <v>#N/A</v>
      </c>
      <c r="S2063">
        <v>2054</v>
      </c>
      <c r="T2063" t="e">
        <f>INDEX(Stammdaten[Krümmung (mm/lfm)],MATCH(Tabelle10[[#This Row],[Rank]],Stammdaten[Rank Verteilung Krümmung],0))</f>
        <v>#N/A</v>
      </c>
      <c r="U2063" t="e">
        <f>VLOOKUP(Tabelle10[[#This Row],[Rank]],Stammdaten[[Rank Verteilung Krümmung]:[Verteilung Krümmung]],2,FALSE)</f>
        <v>#N/A</v>
      </c>
      <c r="Z2063">
        <v>2054</v>
      </c>
      <c r="AA2063" t="e">
        <f>INDEX(Stammdaten[Ovalität (']0,1'])],MATCH(Tabelle1014[[#This Row],[Rank]],Stammdaten[Rank Verteilung Ovalität],0))</f>
        <v>#N/A</v>
      </c>
      <c r="AB2063" t="e">
        <f>VLOOKUP(Tabelle1014[[#This Row],[Rank]],Stammdaten[[Rank Verteilung Ovalität]:[Verteilung Ovalität]],2,FALSE)</f>
        <v>#N/A</v>
      </c>
    </row>
    <row r="2064" spans="5:28" x14ac:dyDescent="0.35">
      <c r="E2064">
        <v>2055</v>
      </c>
      <c r="F2064" t="e">
        <f>INDEX(Stammdaten[D Mitte mit Rinde (mm)],MATCH(Tabelle8[[#This Row],[Rank]],Stammdaten[Rank Verteilung D Mitte mit Rinde],0))</f>
        <v>#N/A</v>
      </c>
      <c r="G2064" t="e">
        <f>VLOOKUP(Tabelle8[[#This Row],[Rank]],Stammdaten[[Rank Verteilung D Mitte mit Rinde]:[Verteilung D Mitte mit Rinde]],2,FALSE)</f>
        <v>#N/A</v>
      </c>
      <c r="L2064">
        <v>2055</v>
      </c>
      <c r="M2064" t="e">
        <f>INDEX(Stammdaten[Abholzigkeit (mm/lfm)],MATCH(Tabelle9[[#This Row],[Rank]],Stammdaten[Rank Verteilung Abholzigkeit],0))</f>
        <v>#N/A</v>
      </c>
      <c r="N2064" t="e">
        <f>VLOOKUP(Tabelle9[[#This Row],[Rank]],Stammdaten[[Rank Verteilung Abholzigkeit]:[Verteilung Abholzigkeit]],2,FALSE)</f>
        <v>#N/A</v>
      </c>
      <c r="S2064">
        <v>2055</v>
      </c>
      <c r="T2064" t="e">
        <f>INDEX(Stammdaten[Krümmung (mm/lfm)],MATCH(Tabelle10[[#This Row],[Rank]],Stammdaten[Rank Verteilung Krümmung],0))</f>
        <v>#N/A</v>
      </c>
      <c r="U2064" t="e">
        <f>VLOOKUP(Tabelle10[[#This Row],[Rank]],Stammdaten[[Rank Verteilung Krümmung]:[Verteilung Krümmung]],2,FALSE)</f>
        <v>#N/A</v>
      </c>
      <c r="Z2064">
        <v>2055</v>
      </c>
      <c r="AA2064" t="e">
        <f>INDEX(Stammdaten[Ovalität (']0,1'])],MATCH(Tabelle1014[[#This Row],[Rank]],Stammdaten[Rank Verteilung Ovalität],0))</f>
        <v>#N/A</v>
      </c>
      <c r="AB2064" t="e">
        <f>VLOOKUP(Tabelle1014[[#This Row],[Rank]],Stammdaten[[Rank Verteilung Ovalität]:[Verteilung Ovalität]],2,FALSE)</f>
        <v>#N/A</v>
      </c>
    </row>
    <row r="2065" spans="5:28" x14ac:dyDescent="0.35">
      <c r="E2065">
        <v>2056</v>
      </c>
      <c r="F2065" t="e">
        <f>INDEX(Stammdaten[D Mitte mit Rinde (mm)],MATCH(Tabelle8[[#This Row],[Rank]],Stammdaten[Rank Verteilung D Mitte mit Rinde],0))</f>
        <v>#N/A</v>
      </c>
      <c r="G2065" t="e">
        <f>VLOOKUP(Tabelle8[[#This Row],[Rank]],Stammdaten[[Rank Verteilung D Mitte mit Rinde]:[Verteilung D Mitte mit Rinde]],2,FALSE)</f>
        <v>#N/A</v>
      </c>
      <c r="L2065">
        <v>2056</v>
      </c>
      <c r="M2065" t="e">
        <f>INDEX(Stammdaten[Abholzigkeit (mm/lfm)],MATCH(Tabelle9[[#This Row],[Rank]],Stammdaten[Rank Verteilung Abholzigkeit],0))</f>
        <v>#N/A</v>
      </c>
      <c r="N2065" t="e">
        <f>VLOOKUP(Tabelle9[[#This Row],[Rank]],Stammdaten[[Rank Verteilung Abholzigkeit]:[Verteilung Abholzigkeit]],2,FALSE)</f>
        <v>#N/A</v>
      </c>
      <c r="S2065">
        <v>2056</v>
      </c>
      <c r="T2065" t="e">
        <f>INDEX(Stammdaten[Krümmung (mm/lfm)],MATCH(Tabelle10[[#This Row],[Rank]],Stammdaten[Rank Verteilung Krümmung],0))</f>
        <v>#N/A</v>
      </c>
      <c r="U2065" t="e">
        <f>VLOOKUP(Tabelle10[[#This Row],[Rank]],Stammdaten[[Rank Verteilung Krümmung]:[Verteilung Krümmung]],2,FALSE)</f>
        <v>#N/A</v>
      </c>
      <c r="Z2065">
        <v>2056</v>
      </c>
      <c r="AA2065" t="e">
        <f>INDEX(Stammdaten[Ovalität (']0,1'])],MATCH(Tabelle1014[[#This Row],[Rank]],Stammdaten[Rank Verteilung Ovalität],0))</f>
        <v>#N/A</v>
      </c>
      <c r="AB2065" t="e">
        <f>VLOOKUP(Tabelle1014[[#This Row],[Rank]],Stammdaten[[Rank Verteilung Ovalität]:[Verteilung Ovalität]],2,FALSE)</f>
        <v>#N/A</v>
      </c>
    </row>
    <row r="2066" spans="5:28" x14ac:dyDescent="0.35">
      <c r="E2066">
        <v>2057</v>
      </c>
      <c r="F2066" t="e">
        <f>INDEX(Stammdaten[D Mitte mit Rinde (mm)],MATCH(Tabelle8[[#This Row],[Rank]],Stammdaten[Rank Verteilung D Mitte mit Rinde],0))</f>
        <v>#N/A</v>
      </c>
      <c r="G2066" t="e">
        <f>VLOOKUP(Tabelle8[[#This Row],[Rank]],Stammdaten[[Rank Verteilung D Mitte mit Rinde]:[Verteilung D Mitte mit Rinde]],2,FALSE)</f>
        <v>#N/A</v>
      </c>
      <c r="L2066">
        <v>2057</v>
      </c>
      <c r="M2066" t="e">
        <f>INDEX(Stammdaten[Abholzigkeit (mm/lfm)],MATCH(Tabelle9[[#This Row],[Rank]],Stammdaten[Rank Verteilung Abholzigkeit],0))</f>
        <v>#N/A</v>
      </c>
      <c r="N2066" t="e">
        <f>VLOOKUP(Tabelle9[[#This Row],[Rank]],Stammdaten[[Rank Verteilung Abholzigkeit]:[Verteilung Abholzigkeit]],2,FALSE)</f>
        <v>#N/A</v>
      </c>
      <c r="S2066">
        <v>2057</v>
      </c>
      <c r="T2066" t="e">
        <f>INDEX(Stammdaten[Krümmung (mm/lfm)],MATCH(Tabelle10[[#This Row],[Rank]],Stammdaten[Rank Verteilung Krümmung],0))</f>
        <v>#N/A</v>
      </c>
      <c r="U2066" t="e">
        <f>VLOOKUP(Tabelle10[[#This Row],[Rank]],Stammdaten[[Rank Verteilung Krümmung]:[Verteilung Krümmung]],2,FALSE)</f>
        <v>#N/A</v>
      </c>
      <c r="Z2066">
        <v>2057</v>
      </c>
      <c r="AA2066" t="e">
        <f>INDEX(Stammdaten[Ovalität (']0,1'])],MATCH(Tabelle1014[[#This Row],[Rank]],Stammdaten[Rank Verteilung Ovalität],0))</f>
        <v>#N/A</v>
      </c>
      <c r="AB2066" t="e">
        <f>VLOOKUP(Tabelle1014[[#This Row],[Rank]],Stammdaten[[Rank Verteilung Ovalität]:[Verteilung Ovalität]],2,FALSE)</f>
        <v>#N/A</v>
      </c>
    </row>
    <row r="2067" spans="5:28" x14ac:dyDescent="0.35">
      <c r="E2067">
        <v>2058</v>
      </c>
      <c r="F2067" t="e">
        <f>INDEX(Stammdaten[D Mitte mit Rinde (mm)],MATCH(Tabelle8[[#This Row],[Rank]],Stammdaten[Rank Verteilung D Mitte mit Rinde],0))</f>
        <v>#N/A</v>
      </c>
      <c r="G2067" t="e">
        <f>VLOOKUP(Tabelle8[[#This Row],[Rank]],Stammdaten[[Rank Verteilung D Mitte mit Rinde]:[Verteilung D Mitte mit Rinde]],2,FALSE)</f>
        <v>#N/A</v>
      </c>
      <c r="L2067">
        <v>2058</v>
      </c>
      <c r="M2067" t="e">
        <f>INDEX(Stammdaten[Abholzigkeit (mm/lfm)],MATCH(Tabelle9[[#This Row],[Rank]],Stammdaten[Rank Verteilung Abholzigkeit],0))</f>
        <v>#N/A</v>
      </c>
      <c r="N2067" t="e">
        <f>VLOOKUP(Tabelle9[[#This Row],[Rank]],Stammdaten[[Rank Verteilung Abholzigkeit]:[Verteilung Abholzigkeit]],2,FALSE)</f>
        <v>#N/A</v>
      </c>
      <c r="S2067">
        <v>2058</v>
      </c>
      <c r="T2067" t="e">
        <f>INDEX(Stammdaten[Krümmung (mm/lfm)],MATCH(Tabelle10[[#This Row],[Rank]],Stammdaten[Rank Verteilung Krümmung],0))</f>
        <v>#N/A</v>
      </c>
      <c r="U2067" t="e">
        <f>VLOOKUP(Tabelle10[[#This Row],[Rank]],Stammdaten[[Rank Verteilung Krümmung]:[Verteilung Krümmung]],2,FALSE)</f>
        <v>#N/A</v>
      </c>
      <c r="Z2067">
        <v>2058</v>
      </c>
      <c r="AA2067" t="e">
        <f>INDEX(Stammdaten[Ovalität (']0,1'])],MATCH(Tabelle1014[[#This Row],[Rank]],Stammdaten[Rank Verteilung Ovalität],0))</f>
        <v>#N/A</v>
      </c>
      <c r="AB2067" t="e">
        <f>VLOOKUP(Tabelle1014[[#This Row],[Rank]],Stammdaten[[Rank Verteilung Ovalität]:[Verteilung Ovalität]],2,FALSE)</f>
        <v>#N/A</v>
      </c>
    </row>
    <row r="2068" spans="5:28" x14ac:dyDescent="0.35">
      <c r="E2068">
        <v>2059</v>
      </c>
      <c r="F2068" t="e">
        <f>INDEX(Stammdaten[D Mitte mit Rinde (mm)],MATCH(Tabelle8[[#This Row],[Rank]],Stammdaten[Rank Verteilung D Mitte mit Rinde],0))</f>
        <v>#N/A</v>
      </c>
      <c r="G2068" t="e">
        <f>VLOOKUP(Tabelle8[[#This Row],[Rank]],Stammdaten[[Rank Verteilung D Mitte mit Rinde]:[Verteilung D Mitte mit Rinde]],2,FALSE)</f>
        <v>#N/A</v>
      </c>
      <c r="L2068">
        <v>2059</v>
      </c>
      <c r="M2068" t="e">
        <f>INDEX(Stammdaten[Abholzigkeit (mm/lfm)],MATCH(Tabelle9[[#This Row],[Rank]],Stammdaten[Rank Verteilung Abholzigkeit],0))</f>
        <v>#N/A</v>
      </c>
      <c r="N2068" t="e">
        <f>VLOOKUP(Tabelle9[[#This Row],[Rank]],Stammdaten[[Rank Verteilung Abholzigkeit]:[Verteilung Abholzigkeit]],2,FALSE)</f>
        <v>#N/A</v>
      </c>
      <c r="S2068">
        <v>2059</v>
      </c>
      <c r="T2068" t="e">
        <f>INDEX(Stammdaten[Krümmung (mm/lfm)],MATCH(Tabelle10[[#This Row],[Rank]],Stammdaten[Rank Verteilung Krümmung],0))</f>
        <v>#N/A</v>
      </c>
      <c r="U2068" t="e">
        <f>VLOOKUP(Tabelle10[[#This Row],[Rank]],Stammdaten[[Rank Verteilung Krümmung]:[Verteilung Krümmung]],2,FALSE)</f>
        <v>#N/A</v>
      </c>
      <c r="Z2068">
        <v>2059</v>
      </c>
      <c r="AA2068" t="e">
        <f>INDEX(Stammdaten[Ovalität (']0,1'])],MATCH(Tabelle1014[[#This Row],[Rank]],Stammdaten[Rank Verteilung Ovalität],0))</f>
        <v>#N/A</v>
      </c>
      <c r="AB2068" t="e">
        <f>VLOOKUP(Tabelle1014[[#This Row],[Rank]],Stammdaten[[Rank Verteilung Ovalität]:[Verteilung Ovalität]],2,FALSE)</f>
        <v>#N/A</v>
      </c>
    </row>
    <row r="2069" spans="5:28" x14ac:dyDescent="0.35">
      <c r="E2069">
        <v>2060</v>
      </c>
      <c r="F2069" t="e">
        <f>INDEX(Stammdaten[D Mitte mit Rinde (mm)],MATCH(Tabelle8[[#This Row],[Rank]],Stammdaten[Rank Verteilung D Mitte mit Rinde],0))</f>
        <v>#N/A</v>
      </c>
      <c r="G2069" t="e">
        <f>VLOOKUP(Tabelle8[[#This Row],[Rank]],Stammdaten[[Rank Verteilung D Mitte mit Rinde]:[Verteilung D Mitte mit Rinde]],2,FALSE)</f>
        <v>#N/A</v>
      </c>
      <c r="L2069">
        <v>2060</v>
      </c>
      <c r="M2069" t="e">
        <f>INDEX(Stammdaten[Abholzigkeit (mm/lfm)],MATCH(Tabelle9[[#This Row],[Rank]],Stammdaten[Rank Verteilung Abholzigkeit],0))</f>
        <v>#N/A</v>
      </c>
      <c r="N2069" t="e">
        <f>VLOOKUP(Tabelle9[[#This Row],[Rank]],Stammdaten[[Rank Verteilung Abholzigkeit]:[Verteilung Abholzigkeit]],2,FALSE)</f>
        <v>#N/A</v>
      </c>
      <c r="S2069">
        <v>2060</v>
      </c>
      <c r="T2069" t="e">
        <f>INDEX(Stammdaten[Krümmung (mm/lfm)],MATCH(Tabelle10[[#This Row],[Rank]],Stammdaten[Rank Verteilung Krümmung],0))</f>
        <v>#N/A</v>
      </c>
      <c r="U2069" t="e">
        <f>VLOOKUP(Tabelle10[[#This Row],[Rank]],Stammdaten[[Rank Verteilung Krümmung]:[Verteilung Krümmung]],2,FALSE)</f>
        <v>#N/A</v>
      </c>
      <c r="Z2069">
        <v>2060</v>
      </c>
      <c r="AA2069" t="e">
        <f>INDEX(Stammdaten[Ovalität (']0,1'])],MATCH(Tabelle1014[[#This Row],[Rank]],Stammdaten[Rank Verteilung Ovalität],0))</f>
        <v>#N/A</v>
      </c>
      <c r="AB2069" t="e">
        <f>VLOOKUP(Tabelle1014[[#This Row],[Rank]],Stammdaten[[Rank Verteilung Ovalität]:[Verteilung Ovalität]],2,FALSE)</f>
        <v>#N/A</v>
      </c>
    </row>
    <row r="2070" spans="5:28" x14ac:dyDescent="0.35">
      <c r="E2070">
        <v>2061</v>
      </c>
      <c r="F2070" t="e">
        <f>INDEX(Stammdaten[D Mitte mit Rinde (mm)],MATCH(Tabelle8[[#This Row],[Rank]],Stammdaten[Rank Verteilung D Mitte mit Rinde],0))</f>
        <v>#N/A</v>
      </c>
      <c r="G2070" t="e">
        <f>VLOOKUP(Tabelle8[[#This Row],[Rank]],Stammdaten[[Rank Verteilung D Mitte mit Rinde]:[Verteilung D Mitte mit Rinde]],2,FALSE)</f>
        <v>#N/A</v>
      </c>
      <c r="L2070">
        <v>2061</v>
      </c>
      <c r="M2070" t="e">
        <f>INDEX(Stammdaten[Abholzigkeit (mm/lfm)],MATCH(Tabelle9[[#This Row],[Rank]],Stammdaten[Rank Verteilung Abholzigkeit],0))</f>
        <v>#N/A</v>
      </c>
      <c r="N2070" t="e">
        <f>VLOOKUP(Tabelle9[[#This Row],[Rank]],Stammdaten[[Rank Verteilung Abholzigkeit]:[Verteilung Abholzigkeit]],2,FALSE)</f>
        <v>#N/A</v>
      </c>
      <c r="S2070">
        <v>2061</v>
      </c>
      <c r="T2070" t="e">
        <f>INDEX(Stammdaten[Krümmung (mm/lfm)],MATCH(Tabelle10[[#This Row],[Rank]],Stammdaten[Rank Verteilung Krümmung],0))</f>
        <v>#N/A</v>
      </c>
      <c r="U2070" t="e">
        <f>VLOOKUP(Tabelle10[[#This Row],[Rank]],Stammdaten[[Rank Verteilung Krümmung]:[Verteilung Krümmung]],2,FALSE)</f>
        <v>#N/A</v>
      </c>
      <c r="Z2070">
        <v>2061</v>
      </c>
      <c r="AA2070" t="e">
        <f>INDEX(Stammdaten[Ovalität (']0,1'])],MATCH(Tabelle1014[[#This Row],[Rank]],Stammdaten[Rank Verteilung Ovalität],0))</f>
        <v>#N/A</v>
      </c>
      <c r="AB2070" t="e">
        <f>VLOOKUP(Tabelle1014[[#This Row],[Rank]],Stammdaten[[Rank Verteilung Ovalität]:[Verteilung Ovalität]],2,FALSE)</f>
        <v>#N/A</v>
      </c>
    </row>
    <row r="2071" spans="5:28" x14ac:dyDescent="0.35">
      <c r="E2071">
        <v>2062</v>
      </c>
      <c r="F2071" t="e">
        <f>INDEX(Stammdaten[D Mitte mit Rinde (mm)],MATCH(Tabelle8[[#This Row],[Rank]],Stammdaten[Rank Verteilung D Mitte mit Rinde],0))</f>
        <v>#N/A</v>
      </c>
      <c r="G2071" t="e">
        <f>VLOOKUP(Tabelle8[[#This Row],[Rank]],Stammdaten[[Rank Verteilung D Mitte mit Rinde]:[Verteilung D Mitte mit Rinde]],2,FALSE)</f>
        <v>#N/A</v>
      </c>
      <c r="L2071">
        <v>2062</v>
      </c>
      <c r="M2071" t="e">
        <f>INDEX(Stammdaten[Abholzigkeit (mm/lfm)],MATCH(Tabelle9[[#This Row],[Rank]],Stammdaten[Rank Verteilung Abholzigkeit],0))</f>
        <v>#N/A</v>
      </c>
      <c r="N2071" t="e">
        <f>VLOOKUP(Tabelle9[[#This Row],[Rank]],Stammdaten[[Rank Verteilung Abholzigkeit]:[Verteilung Abholzigkeit]],2,FALSE)</f>
        <v>#N/A</v>
      </c>
      <c r="S2071">
        <v>2062</v>
      </c>
      <c r="T2071" t="e">
        <f>INDEX(Stammdaten[Krümmung (mm/lfm)],MATCH(Tabelle10[[#This Row],[Rank]],Stammdaten[Rank Verteilung Krümmung],0))</f>
        <v>#N/A</v>
      </c>
      <c r="U2071" t="e">
        <f>VLOOKUP(Tabelle10[[#This Row],[Rank]],Stammdaten[[Rank Verteilung Krümmung]:[Verteilung Krümmung]],2,FALSE)</f>
        <v>#N/A</v>
      </c>
      <c r="Z2071">
        <v>2062</v>
      </c>
      <c r="AA2071" t="e">
        <f>INDEX(Stammdaten[Ovalität (']0,1'])],MATCH(Tabelle1014[[#This Row],[Rank]],Stammdaten[Rank Verteilung Ovalität],0))</f>
        <v>#N/A</v>
      </c>
      <c r="AB2071" t="e">
        <f>VLOOKUP(Tabelle1014[[#This Row],[Rank]],Stammdaten[[Rank Verteilung Ovalität]:[Verteilung Ovalität]],2,FALSE)</f>
        <v>#N/A</v>
      </c>
    </row>
    <row r="2072" spans="5:28" x14ac:dyDescent="0.35">
      <c r="E2072">
        <v>2063</v>
      </c>
      <c r="F2072" t="e">
        <f>INDEX(Stammdaten[D Mitte mit Rinde (mm)],MATCH(Tabelle8[[#This Row],[Rank]],Stammdaten[Rank Verteilung D Mitte mit Rinde],0))</f>
        <v>#N/A</v>
      </c>
      <c r="G2072" t="e">
        <f>VLOOKUP(Tabelle8[[#This Row],[Rank]],Stammdaten[[Rank Verteilung D Mitte mit Rinde]:[Verteilung D Mitte mit Rinde]],2,FALSE)</f>
        <v>#N/A</v>
      </c>
      <c r="L2072">
        <v>2063</v>
      </c>
      <c r="M2072" t="e">
        <f>INDEX(Stammdaten[Abholzigkeit (mm/lfm)],MATCH(Tabelle9[[#This Row],[Rank]],Stammdaten[Rank Verteilung Abholzigkeit],0))</f>
        <v>#N/A</v>
      </c>
      <c r="N2072" t="e">
        <f>VLOOKUP(Tabelle9[[#This Row],[Rank]],Stammdaten[[Rank Verteilung Abholzigkeit]:[Verteilung Abholzigkeit]],2,FALSE)</f>
        <v>#N/A</v>
      </c>
      <c r="S2072">
        <v>2063</v>
      </c>
      <c r="T2072" t="e">
        <f>INDEX(Stammdaten[Krümmung (mm/lfm)],MATCH(Tabelle10[[#This Row],[Rank]],Stammdaten[Rank Verteilung Krümmung],0))</f>
        <v>#N/A</v>
      </c>
      <c r="U2072" t="e">
        <f>VLOOKUP(Tabelle10[[#This Row],[Rank]],Stammdaten[[Rank Verteilung Krümmung]:[Verteilung Krümmung]],2,FALSE)</f>
        <v>#N/A</v>
      </c>
      <c r="Z2072">
        <v>2063</v>
      </c>
      <c r="AA2072" t="e">
        <f>INDEX(Stammdaten[Ovalität (']0,1'])],MATCH(Tabelle1014[[#This Row],[Rank]],Stammdaten[Rank Verteilung Ovalität],0))</f>
        <v>#N/A</v>
      </c>
      <c r="AB2072" t="e">
        <f>VLOOKUP(Tabelle1014[[#This Row],[Rank]],Stammdaten[[Rank Verteilung Ovalität]:[Verteilung Ovalität]],2,FALSE)</f>
        <v>#N/A</v>
      </c>
    </row>
    <row r="2073" spans="5:28" x14ac:dyDescent="0.35">
      <c r="E2073">
        <v>2064</v>
      </c>
      <c r="F2073" t="e">
        <f>INDEX(Stammdaten[D Mitte mit Rinde (mm)],MATCH(Tabelle8[[#This Row],[Rank]],Stammdaten[Rank Verteilung D Mitte mit Rinde],0))</f>
        <v>#N/A</v>
      </c>
      <c r="G2073" t="e">
        <f>VLOOKUP(Tabelle8[[#This Row],[Rank]],Stammdaten[[Rank Verteilung D Mitte mit Rinde]:[Verteilung D Mitte mit Rinde]],2,FALSE)</f>
        <v>#N/A</v>
      </c>
      <c r="L2073">
        <v>2064</v>
      </c>
      <c r="M2073" t="e">
        <f>INDEX(Stammdaten[Abholzigkeit (mm/lfm)],MATCH(Tabelle9[[#This Row],[Rank]],Stammdaten[Rank Verteilung Abholzigkeit],0))</f>
        <v>#N/A</v>
      </c>
      <c r="N2073" t="e">
        <f>VLOOKUP(Tabelle9[[#This Row],[Rank]],Stammdaten[[Rank Verteilung Abholzigkeit]:[Verteilung Abholzigkeit]],2,FALSE)</f>
        <v>#N/A</v>
      </c>
      <c r="S2073">
        <v>2064</v>
      </c>
      <c r="T2073" t="e">
        <f>INDEX(Stammdaten[Krümmung (mm/lfm)],MATCH(Tabelle10[[#This Row],[Rank]],Stammdaten[Rank Verteilung Krümmung],0))</f>
        <v>#N/A</v>
      </c>
      <c r="U2073" t="e">
        <f>VLOOKUP(Tabelle10[[#This Row],[Rank]],Stammdaten[[Rank Verteilung Krümmung]:[Verteilung Krümmung]],2,FALSE)</f>
        <v>#N/A</v>
      </c>
      <c r="Z2073">
        <v>2064</v>
      </c>
      <c r="AA2073" t="e">
        <f>INDEX(Stammdaten[Ovalität (']0,1'])],MATCH(Tabelle1014[[#This Row],[Rank]],Stammdaten[Rank Verteilung Ovalität],0))</f>
        <v>#N/A</v>
      </c>
      <c r="AB2073" t="e">
        <f>VLOOKUP(Tabelle1014[[#This Row],[Rank]],Stammdaten[[Rank Verteilung Ovalität]:[Verteilung Ovalität]],2,FALSE)</f>
        <v>#N/A</v>
      </c>
    </row>
    <row r="2074" spans="5:28" x14ac:dyDescent="0.35">
      <c r="E2074">
        <v>2065</v>
      </c>
      <c r="F2074" t="e">
        <f>INDEX(Stammdaten[D Mitte mit Rinde (mm)],MATCH(Tabelle8[[#This Row],[Rank]],Stammdaten[Rank Verteilung D Mitte mit Rinde],0))</f>
        <v>#N/A</v>
      </c>
      <c r="G2074" t="e">
        <f>VLOOKUP(Tabelle8[[#This Row],[Rank]],Stammdaten[[Rank Verteilung D Mitte mit Rinde]:[Verteilung D Mitte mit Rinde]],2,FALSE)</f>
        <v>#N/A</v>
      </c>
      <c r="L2074">
        <v>2065</v>
      </c>
      <c r="M2074" t="e">
        <f>INDEX(Stammdaten[Abholzigkeit (mm/lfm)],MATCH(Tabelle9[[#This Row],[Rank]],Stammdaten[Rank Verteilung Abholzigkeit],0))</f>
        <v>#N/A</v>
      </c>
      <c r="N2074" t="e">
        <f>VLOOKUP(Tabelle9[[#This Row],[Rank]],Stammdaten[[Rank Verteilung Abholzigkeit]:[Verteilung Abholzigkeit]],2,FALSE)</f>
        <v>#N/A</v>
      </c>
      <c r="S2074">
        <v>2065</v>
      </c>
      <c r="T2074" t="e">
        <f>INDEX(Stammdaten[Krümmung (mm/lfm)],MATCH(Tabelle10[[#This Row],[Rank]],Stammdaten[Rank Verteilung Krümmung],0))</f>
        <v>#N/A</v>
      </c>
      <c r="U2074" t="e">
        <f>VLOOKUP(Tabelle10[[#This Row],[Rank]],Stammdaten[[Rank Verteilung Krümmung]:[Verteilung Krümmung]],2,FALSE)</f>
        <v>#N/A</v>
      </c>
      <c r="Z2074">
        <v>2065</v>
      </c>
      <c r="AA2074" t="e">
        <f>INDEX(Stammdaten[Ovalität (']0,1'])],MATCH(Tabelle1014[[#This Row],[Rank]],Stammdaten[Rank Verteilung Ovalität],0))</f>
        <v>#N/A</v>
      </c>
      <c r="AB2074" t="e">
        <f>VLOOKUP(Tabelle1014[[#This Row],[Rank]],Stammdaten[[Rank Verteilung Ovalität]:[Verteilung Ovalität]],2,FALSE)</f>
        <v>#N/A</v>
      </c>
    </row>
    <row r="2075" spans="5:28" x14ac:dyDescent="0.35">
      <c r="E2075">
        <v>2066</v>
      </c>
      <c r="F2075" t="e">
        <f>INDEX(Stammdaten[D Mitte mit Rinde (mm)],MATCH(Tabelle8[[#This Row],[Rank]],Stammdaten[Rank Verteilung D Mitte mit Rinde],0))</f>
        <v>#N/A</v>
      </c>
      <c r="G2075" t="e">
        <f>VLOOKUP(Tabelle8[[#This Row],[Rank]],Stammdaten[[Rank Verteilung D Mitte mit Rinde]:[Verteilung D Mitte mit Rinde]],2,FALSE)</f>
        <v>#N/A</v>
      </c>
      <c r="L2075">
        <v>2066</v>
      </c>
      <c r="M2075" t="e">
        <f>INDEX(Stammdaten[Abholzigkeit (mm/lfm)],MATCH(Tabelle9[[#This Row],[Rank]],Stammdaten[Rank Verteilung Abholzigkeit],0))</f>
        <v>#N/A</v>
      </c>
      <c r="N2075" t="e">
        <f>VLOOKUP(Tabelle9[[#This Row],[Rank]],Stammdaten[[Rank Verteilung Abholzigkeit]:[Verteilung Abholzigkeit]],2,FALSE)</f>
        <v>#N/A</v>
      </c>
      <c r="S2075">
        <v>2066</v>
      </c>
      <c r="T2075" t="e">
        <f>INDEX(Stammdaten[Krümmung (mm/lfm)],MATCH(Tabelle10[[#This Row],[Rank]],Stammdaten[Rank Verteilung Krümmung],0))</f>
        <v>#N/A</v>
      </c>
      <c r="U2075" t="e">
        <f>VLOOKUP(Tabelle10[[#This Row],[Rank]],Stammdaten[[Rank Verteilung Krümmung]:[Verteilung Krümmung]],2,FALSE)</f>
        <v>#N/A</v>
      </c>
      <c r="Z2075">
        <v>2066</v>
      </c>
      <c r="AA2075" t="e">
        <f>INDEX(Stammdaten[Ovalität (']0,1'])],MATCH(Tabelle1014[[#This Row],[Rank]],Stammdaten[Rank Verteilung Ovalität],0))</f>
        <v>#N/A</v>
      </c>
      <c r="AB2075" t="e">
        <f>VLOOKUP(Tabelle1014[[#This Row],[Rank]],Stammdaten[[Rank Verteilung Ovalität]:[Verteilung Ovalität]],2,FALSE)</f>
        <v>#N/A</v>
      </c>
    </row>
    <row r="2076" spans="5:28" x14ac:dyDescent="0.35">
      <c r="E2076">
        <v>2067</v>
      </c>
      <c r="F2076" t="e">
        <f>INDEX(Stammdaten[D Mitte mit Rinde (mm)],MATCH(Tabelle8[[#This Row],[Rank]],Stammdaten[Rank Verteilung D Mitte mit Rinde],0))</f>
        <v>#N/A</v>
      </c>
      <c r="G2076" t="e">
        <f>VLOOKUP(Tabelle8[[#This Row],[Rank]],Stammdaten[[Rank Verteilung D Mitte mit Rinde]:[Verteilung D Mitte mit Rinde]],2,FALSE)</f>
        <v>#N/A</v>
      </c>
      <c r="L2076">
        <v>2067</v>
      </c>
      <c r="M2076" t="e">
        <f>INDEX(Stammdaten[Abholzigkeit (mm/lfm)],MATCH(Tabelle9[[#This Row],[Rank]],Stammdaten[Rank Verteilung Abholzigkeit],0))</f>
        <v>#N/A</v>
      </c>
      <c r="N2076" t="e">
        <f>VLOOKUP(Tabelle9[[#This Row],[Rank]],Stammdaten[[Rank Verteilung Abholzigkeit]:[Verteilung Abholzigkeit]],2,FALSE)</f>
        <v>#N/A</v>
      </c>
      <c r="S2076">
        <v>2067</v>
      </c>
      <c r="T2076" t="e">
        <f>INDEX(Stammdaten[Krümmung (mm/lfm)],MATCH(Tabelle10[[#This Row],[Rank]],Stammdaten[Rank Verteilung Krümmung],0))</f>
        <v>#N/A</v>
      </c>
      <c r="U2076" t="e">
        <f>VLOOKUP(Tabelle10[[#This Row],[Rank]],Stammdaten[[Rank Verteilung Krümmung]:[Verteilung Krümmung]],2,FALSE)</f>
        <v>#N/A</v>
      </c>
      <c r="Z2076">
        <v>2067</v>
      </c>
      <c r="AA2076" t="e">
        <f>INDEX(Stammdaten[Ovalität (']0,1'])],MATCH(Tabelle1014[[#This Row],[Rank]],Stammdaten[Rank Verteilung Ovalität],0))</f>
        <v>#N/A</v>
      </c>
      <c r="AB2076" t="e">
        <f>VLOOKUP(Tabelle1014[[#This Row],[Rank]],Stammdaten[[Rank Verteilung Ovalität]:[Verteilung Ovalität]],2,FALSE)</f>
        <v>#N/A</v>
      </c>
    </row>
    <row r="2077" spans="5:28" x14ac:dyDescent="0.35">
      <c r="E2077">
        <v>2068</v>
      </c>
      <c r="F2077" t="e">
        <f>INDEX(Stammdaten[D Mitte mit Rinde (mm)],MATCH(Tabelle8[[#This Row],[Rank]],Stammdaten[Rank Verteilung D Mitte mit Rinde],0))</f>
        <v>#N/A</v>
      </c>
      <c r="G2077" t="e">
        <f>VLOOKUP(Tabelle8[[#This Row],[Rank]],Stammdaten[[Rank Verteilung D Mitte mit Rinde]:[Verteilung D Mitte mit Rinde]],2,FALSE)</f>
        <v>#N/A</v>
      </c>
      <c r="L2077">
        <v>2068</v>
      </c>
      <c r="M2077" t="e">
        <f>INDEX(Stammdaten[Abholzigkeit (mm/lfm)],MATCH(Tabelle9[[#This Row],[Rank]],Stammdaten[Rank Verteilung Abholzigkeit],0))</f>
        <v>#N/A</v>
      </c>
      <c r="N2077" t="e">
        <f>VLOOKUP(Tabelle9[[#This Row],[Rank]],Stammdaten[[Rank Verteilung Abholzigkeit]:[Verteilung Abholzigkeit]],2,FALSE)</f>
        <v>#N/A</v>
      </c>
      <c r="S2077">
        <v>2068</v>
      </c>
      <c r="T2077" t="e">
        <f>INDEX(Stammdaten[Krümmung (mm/lfm)],MATCH(Tabelle10[[#This Row],[Rank]],Stammdaten[Rank Verteilung Krümmung],0))</f>
        <v>#N/A</v>
      </c>
      <c r="U2077" t="e">
        <f>VLOOKUP(Tabelle10[[#This Row],[Rank]],Stammdaten[[Rank Verteilung Krümmung]:[Verteilung Krümmung]],2,FALSE)</f>
        <v>#N/A</v>
      </c>
      <c r="Z2077">
        <v>2068</v>
      </c>
      <c r="AA2077" t="e">
        <f>INDEX(Stammdaten[Ovalität (']0,1'])],MATCH(Tabelle1014[[#This Row],[Rank]],Stammdaten[Rank Verteilung Ovalität],0))</f>
        <v>#N/A</v>
      </c>
      <c r="AB2077" t="e">
        <f>VLOOKUP(Tabelle1014[[#This Row],[Rank]],Stammdaten[[Rank Verteilung Ovalität]:[Verteilung Ovalität]],2,FALSE)</f>
        <v>#N/A</v>
      </c>
    </row>
    <row r="2078" spans="5:28" x14ac:dyDescent="0.35">
      <c r="E2078">
        <v>2069</v>
      </c>
      <c r="F2078" t="e">
        <f>INDEX(Stammdaten[D Mitte mit Rinde (mm)],MATCH(Tabelle8[[#This Row],[Rank]],Stammdaten[Rank Verteilung D Mitte mit Rinde],0))</f>
        <v>#N/A</v>
      </c>
      <c r="G2078" t="e">
        <f>VLOOKUP(Tabelle8[[#This Row],[Rank]],Stammdaten[[Rank Verteilung D Mitte mit Rinde]:[Verteilung D Mitte mit Rinde]],2,FALSE)</f>
        <v>#N/A</v>
      </c>
      <c r="L2078">
        <v>2069</v>
      </c>
      <c r="M2078" t="e">
        <f>INDEX(Stammdaten[Abholzigkeit (mm/lfm)],MATCH(Tabelle9[[#This Row],[Rank]],Stammdaten[Rank Verteilung Abholzigkeit],0))</f>
        <v>#N/A</v>
      </c>
      <c r="N2078" t="e">
        <f>VLOOKUP(Tabelle9[[#This Row],[Rank]],Stammdaten[[Rank Verteilung Abholzigkeit]:[Verteilung Abholzigkeit]],2,FALSE)</f>
        <v>#N/A</v>
      </c>
      <c r="S2078">
        <v>2069</v>
      </c>
      <c r="T2078" t="e">
        <f>INDEX(Stammdaten[Krümmung (mm/lfm)],MATCH(Tabelle10[[#This Row],[Rank]],Stammdaten[Rank Verteilung Krümmung],0))</f>
        <v>#N/A</v>
      </c>
      <c r="U2078" t="e">
        <f>VLOOKUP(Tabelle10[[#This Row],[Rank]],Stammdaten[[Rank Verteilung Krümmung]:[Verteilung Krümmung]],2,FALSE)</f>
        <v>#N/A</v>
      </c>
      <c r="Z2078">
        <v>2069</v>
      </c>
      <c r="AA2078" t="e">
        <f>INDEX(Stammdaten[Ovalität (']0,1'])],MATCH(Tabelle1014[[#This Row],[Rank]],Stammdaten[Rank Verteilung Ovalität],0))</f>
        <v>#N/A</v>
      </c>
      <c r="AB2078" t="e">
        <f>VLOOKUP(Tabelle1014[[#This Row],[Rank]],Stammdaten[[Rank Verteilung Ovalität]:[Verteilung Ovalität]],2,FALSE)</f>
        <v>#N/A</v>
      </c>
    </row>
    <row r="2079" spans="5:28" x14ac:dyDescent="0.35">
      <c r="E2079">
        <v>2070</v>
      </c>
      <c r="F2079" t="e">
        <f>INDEX(Stammdaten[D Mitte mit Rinde (mm)],MATCH(Tabelle8[[#This Row],[Rank]],Stammdaten[Rank Verteilung D Mitte mit Rinde],0))</f>
        <v>#N/A</v>
      </c>
      <c r="G2079" t="e">
        <f>VLOOKUP(Tabelle8[[#This Row],[Rank]],Stammdaten[[Rank Verteilung D Mitte mit Rinde]:[Verteilung D Mitte mit Rinde]],2,FALSE)</f>
        <v>#N/A</v>
      </c>
      <c r="L2079">
        <v>2070</v>
      </c>
      <c r="M2079" t="e">
        <f>INDEX(Stammdaten[Abholzigkeit (mm/lfm)],MATCH(Tabelle9[[#This Row],[Rank]],Stammdaten[Rank Verteilung Abholzigkeit],0))</f>
        <v>#N/A</v>
      </c>
      <c r="N2079" t="e">
        <f>VLOOKUP(Tabelle9[[#This Row],[Rank]],Stammdaten[[Rank Verteilung Abholzigkeit]:[Verteilung Abholzigkeit]],2,FALSE)</f>
        <v>#N/A</v>
      </c>
      <c r="S2079">
        <v>2070</v>
      </c>
      <c r="T2079" t="e">
        <f>INDEX(Stammdaten[Krümmung (mm/lfm)],MATCH(Tabelle10[[#This Row],[Rank]],Stammdaten[Rank Verteilung Krümmung],0))</f>
        <v>#N/A</v>
      </c>
      <c r="U2079" t="e">
        <f>VLOOKUP(Tabelle10[[#This Row],[Rank]],Stammdaten[[Rank Verteilung Krümmung]:[Verteilung Krümmung]],2,FALSE)</f>
        <v>#N/A</v>
      </c>
      <c r="Z2079">
        <v>2070</v>
      </c>
      <c r="AA2079" t="e">
        <f>INDEX(Stammdaten[Ovalität (']0,1'])],MATCH(Tabelle1014[[#This Row],[Rank]],Stammdaten[Rank Verteilung Ovalität],0))</f>
        <v>#N/A</v>
      </c>
      <c r="AB2079" t="e">
        <f>VLOOKUP(Tabelle1014[[#This Row],[Rank]],Stammdaten[[Rank Verteilung Ovalität]:[Verteilung Ovalität]],2,FALSE)</f>
        <v>#N/A</v>
      </c>
    </row>
    <row r="2080" spans="5:28" x14ac:dyDescent="0.35">
      <c r="E2080">
        <v>2071</v>
      </c>
      <c r="F2080" t="e">
        <f>INDEX(Stammdaten[D Mitte mit Rinde (mm)],MATCH(Tabelle8[[#This Row],[Rank]],Stammdaten[Rank Verteilung D Mitte mit Rinde],0))</f>
        <v>#N/A</v>
      </c>
      <c r="G2080" t="e">
        <f>VLOOKUP(Tabelle8[[#This Row],[Rank]],Stammdaten[[Rank Verteilung D Mitte mit Rinde]:[Verteilung D Mitte mit Rinde]],2,FALSE)</f>
        <v>#N/A</v>
      </c>
      <c r="L2080">
        <v>2071</v>
      </c>
      <c r="M2080" t="e">
        <f>INDEX(Stammdaten[Abholzigkeit (mm/lfm)],MATCH(Tabelle9[[#This Row],[Rank]],Stammdaten[Rank Verteilung Abholzigkeit],0))</f>
        <v>#N/A</v>
      </c>
      <c r="N2080" t="e">
        <f>VLOOKUP(Tabelle9[[#This Row],[Rank]],Stammdaten[[Rank Verteilung Abholzigkeit]:[Verteilung Abholzigkeit]],2,FALSE)</f>
        <v>#N/A</v>
      </c>
      <c r="S2080">
        <v>2071</v>
      </c>
      <c r="T2080" t="e">
        <f>INDEX(Stammdaten[Krümmung (mm/lfm)],MATCH(Tabelle10[[#This Row],[Rank]],Stammdaten[Rank Verteilung Krümmung],0))</f>
        <v>#N/A</v>
      </c>
      <c r="U2080" t="e">
        <f>VLOOKUP(Tabelle10[[#This Row],[Rank]],Stammdaten[[Rank Verteilung Krümmung]:[Verteilung Krümmung]],2,FALSE)</f>
        <v>#N/A</v>
      </c>
      <c r="Z2080">
        <v>2071</v>
      </c>
      <c r="AA2080" t="e">
        <f>INDEX(Stammdaten[Ovalität (']0,1'])],MATCH(Tabelle1014[[#This Row],[Rank]],Stammdaten[Rank Verteilung Ovalität],0))</f>
        <v>#N/A</v>
      </c>
      <c r="AB2080" t="e">
        <f>VLOOKUP(Tabelle1014[[#This Row],[Rank]],Stammdaten[[Rank Verteilung Ovalität]:[Verteilung Ovalität]],2,FALSE)</f>
        <v>#N/A</v>
      </c>
    </row>
    <row r="2081" spans="5:28" x14ac:dyDescent="0.35">
      <c r="E2081">
        <v>2072</v>
      </c>
      <c r="F2081" t="e">
        <f>INDEX(Stammdaten[D Mitte mit Rinde (mm)],MATCH(Tabelle8[[#This Row],[Rank]],Stammdaten[Rank Verteilung D Mitte mit Rinde],0))</f>
        <v>#N/A</v>
      </c>
      <c r="G2081" t="e">
        <f>VLOOKUP(Tabelle8[[#This Row],[Rank]],Stammdaten[[Rank Verteilung D Mitte mit Rinde]:[Verteilung D Mitte mit Rinde]],2,FALSE)</f>
        <v>#N/A</v>
      </c>
      <c r="L2081">
        <v>2072</v>
      </c>
      <c r="M2081" t="e">
        <f>INDEX(Stammdaten[Abholzigkeit (mm/lfm)],MATCH(Tabelle9[[#This Row],[Rank]],Stammdaten[Rank Verteilung Abholzigkeit],0))</f>
        <v>#N/A</v>
      </c>
      <c r="N2081" t="e">
        <f>VLOOKUP(Tabelle9[[#This Row],[Rank]],Stammdaten[[Rank Verteilung Abholzigkeit]:[Verteilung Abholzigkeit]],2,FALSE)</f>
        <v>#N/A</v>
      </c>
      <c r="S2081">
        <v>2072</v>
      </c>
      <c r="T2081" t="e">
        <f>INDEX(Stammdaten[Krümmung (mm/lfm)],MATCH(Tabelle10[[#This Row],[Rank]],Stammdaten[Rank Verteilung Krümmung],0))</f>
        <v>#N/A</v>
      </c>
      <c r="U2081" t="e">
        <f>VLOOKUP(Tabelle10[[#This Row],[Rank]],Stammdaten[[Rank Verteilung Krümmung]:[Verteilung Krümmung]],2,FALSE)</f>
        <v>#N/A</v>
      </c>
      <c r="Z2081">
        <v>2072</v>
      </c>
      <c r="AA2081" t="e">
        <f>INDEX(Stammdaten[Ovalität (']0,1'])],MATCH(Tabelle1014[[#This Row],[Rank]],Stammdaten[Rank Verteilung Ovalität],0))</f>
        <v>#N/A</v>
      </c>
      <c r="AB2081" t="e">
        <f>VLOOKUP(Tabelle1014[[#This Row],[Rank]],Stammdaten[[Rank Verteilung Ovalität]:[Verteilung Ovalität]],2,FALSE)</f>
        <v>#N/A</v>
      </c>
    </row>
    <row r="2082" spans="5:28" x14ac:dyDescent="0.35">
      <c r="E2082">
        <v>2073</v>
      </c>
      <c r="F2082" t="e">
        <f>INDEX(Stammdaten[D Mitte mit Rinde (mm)],MATCH(Tabelle8[[#This Row],[Rank]],Stammdaten[Rank Verteilung D Mitte mit Rinde],0))</f>
        <v>#N/A</v>
      </c>
      <c r="G2082" t="e">
        <f>VLOOKUP(Tabelle8[[#This Row],[Rank]],Stammdaten[[Rank Verteilung D Mitte mit Rinde]:[Verteilung D Mitte mit Rinde]],2,FALSE)</f>
        <v>#N/A</v>
      </c>
      <c r="L2082">
        <v>2073</v>
      </c>
      <c r="M2082" t="e">
        <f>INDEX(Stammdaten[Abholzigkeit (mm/lfm)],MATCH(Tabelle9[[#This Row],[Rank]],Stammdaten[Rank Verteilung Abholzigkeit],0))</f>
        <v>#N/A</v>
      </c>
      <c r="N2082" t="e">
        <f>VLOOKUP(Tabelle9[[#This Row],[Rank]],Stammdaten[[Rank Verteilung Abholzigkeit]:[Verteilung Abholzigkeit]],2,FALSE)</f>
        <v>#N/A</v>
      </c>
      <c r="S2082">
        <v>2073</v>
      </c>
      <c r="T2082" t="e">
        <f>INDEX(Stammdaten[Krümmung (mm/lfm)],MATCH(Tabelle10[[#This Row],[Rank]],Stammdaten[Rank Verteilung Krümmung],0))</f>
        <v>#N/A</v>
      </c>
      <c r="U2082" t="e">
        <f>VLOOKUP(Tabelle10[[#This Row],[Rank]],Stammdaten[[Rank Verteilung Krümmung]:[Verteilung Krümmung]],2,FALSE)</f>
        <v>#N/A</v>
      </c>
      <c r="Z2082">
        <v>2073</v>
      </c>
      <c r="AA2082" t="e">
        <f>INDEX(Stammdaten[Ovalität (']0,1'])],MATCH(Tabelle1014[[#This Row],[Rank]],Stammdaten[Rank Verteilung Ovalität],0))</f>
        <v>#N/A</v>
      </c>
      <c r="AB2082" t="e">
        <f>VLOOKUP(Tabelle1014[[#This Row],[Rank]],Stammdaten[[Rank Verteilung Ovalität]:[Verteilung Ovalität]],2,FALSE)</f>
        <v>#N/A</v>
      </c>
    </row>
    <row r="2083" spans="5:28" x14ac:dyDescent="0.35">
      <c r="E2083">
        <v>2074</v>
      </c>
      <c r="F2083" t="e">
        <f>INDEX(Stammdaten[D Mitte mit Rinde (mm)],MATCH(Tabelle8[[#This Row],[Rank]],Stammdaten[Rank Verteilung D Mitte mit Rinde],0))</f>
        <v>#N/A</v>
      </c>
      <c r="G2083" t="e">
        <f>VLOOKUP(Tabelle8[[#This Row],[Rank]],Stammdaten[[Rank Verteilung D Mitte mit Rinde]:[Verteilung D Mitte mit Rinde]],2,FALSE)</f>
        <v>#N/A</v>
      </c>
      <c r="L2083">
        <v>2074</v>
      </c>
      <c r="M2083" t="e">
        <f>INDEX(Stammdaten[Abholzigkeit (mm/lfm)],MATCH(Tabelle9[[#This Row],[Rank]],Stammdaten[Rank Verteilung Abholzigkeit],0))</f>
        <v>#N/A</v>
      </c>
      <c r="N2083" t="e">
        <f>VLOOKUP(Tabelle9[[#This Row],[Rank]],Stammdaten[[Rank Verteilung Abholzigkeit]:[Verteilung Abholzigkeit]],2,FALSE)</f>
        <v>#N/A</v>
      </c>
      <c r="S2083">
        <v>2074</v>
      </c>
      <c r="T2083" t="e">
        <f>INDEX(Stammdaten[Krümmung (mm/lfm)],MATCH(Tabelle10[[#This Row],[Rank]],Stammdaten[Rank Verteilung Krümmung],0))</f>
        <v>#N/A</v>
      </c>
      <c r="U2083" t="e">
        <f>VLOOKUP(Tabelle10[[#This Row],[Rank]],Stammdaten[[Rank Verteilung Krümmung]:[Verteilung Krümmung]],2,FALSE)</f>
        <v>#N/A</v>
      </c>
      <c r="Z2083">
        <v>2074</v>
      </c>
      <c r="AA2083" t="e">
        <f>INDEX(Stammdaten[Ovalität (']0,1'])],MATCH(Tabelle1014[[#This Row],[Rank]],Stammdaten[Rank Verteilung Ovalität],0))</f>
        <v>#N/A</v>
      </c>
      <c r="AB2083" t="e">
        <f>VLOOKUP(Tabelle1014[[#This Row],[Rank]],Stammdaten[[Rank Verteilung Ovalität]:[Verteilung Ovalität]],2,FALSE)</f>
        <v>#N/A</v>
      </c>
    </row>
    <row r="2084" spans="5:28" x14ac:dyDescent="0.35">
      <c r="E2084">
        <v>2075</v>
      </c>
      <c r="F2084" t="e">
        <f>INDEX(Stammdaten[D Mitte mit Rinde (mm)],MATCH(Tabelle8[[#This Row],[Rank]],Stammdaten[Rank Verteilung D Mitte mit Rinde],0))</f>
        <v>#N/A</v>
      </c>
      <c r="G2084" t="e">
        <f>VLOOKUP(Tabelle8[[#This Row],[Rank]],Stammdaten[[Rank Verteilung D Mitte mit Rinde]:[Verteilung D Mitte mit Rinde]],2,FALSE)</f>
        <v>#N/A</v>
      </c>
      <c r="L2084">
        <v>2075</v>
      </c>
      <c r="M2084" t="e">
        <f>INDEX(Stammdaten[Abholzigkeit (mm/lfm)],MATCH(Tabelle9[[#This Row],[Rank]],Stammdaten[Rank Verteilung Abholzigkeit],0))</f>
        <v>#N/A</v>
      </c>
      <c r="N2084" t="e">
        <f>VLOOKUP(Tabelle9[[#This Row],[Rank]],Stammdaten[[Rank Verteilung Abholzigkeit]:[Verteilung Abholzigkeit]],2,FALSE)</f>
        <v>#N/A</v>
      </c>
      <c r="S2084">
        <v>2075</v>
      </c>
      <c r="T2084" t="e">
        <f>INDEX(Stammdaten[Krümmung (mm/lfm)],MATCH(Tabelle10[[#This Row],[Rank]],Stammdaten[Rank Verteilung Krümmung],0))</f>
        <v>#N/A</v>
      </c>
      <c r="U2084" t="e">
        <f>VLOOKUP(Tabelle10[[#This Row],[Rank]],Stammdaten[[Rank Verteilung Krümmung]:[Verteilung Krümmung]],2,FALSE)</f>
        <v>#N/A</v>
      </c>
      <c r="Z2084">
        <v>2075</v>
      </c>
      <c r="AA2084" t="e">
        <f>INDEX(Stammdaten[Ovalität (']0,1'])],MATCH(Tabelle1014[[#This Row],[Rank]],Stammdaten[Rank Verteilung Ovalität],0))</f>
        <v>#N/A</v>
      </c>
      <c r="AB2084" t="e">
        <f>VLOOKUP(Tabelle1014[[#This Row],[Rank]],Stammdaten[[Rank Verteilung Ovalität]:[Verteilung Ovalität]],2,FALSE)</f>
        <v>#N/A</v>
      </c>
    </row>
    <row r="2085" spans="5:28" x14ac:dyDescent="0.35">
      <c r="E2085">
        <v>2076</v>
      </c>
      <c r="F2085" t="e">
        <f>INDEX(Stammdaten[D Mitte mit Rinde (mm)],MATCH(Tabelle8[[#This Row],[Rank]],Stammdaten[Rank Verteilung D Mitte mit Rinde],0))</f>
        <v>#N/A</v>
      </c>
      <c r="G2085" t="e">
        <f>VLOOKUP(Tabelle8[[#This Row],[Rank]],Stammdaten[[Rank Verteilung D Mitte mit Rinde]:[Verteilung D Mitte mit Rinde]],2,FALSE)</f>
        <v>#N/A</v>
      </c>
      <c r="L2085">
        <v>2076</v>
      </c>
      <c r="M2085" t="e">
        <f>INDEX(Stammdaten[Abholzigkeit (mm/lfm)],MATCH(Tabelle9[[#This Row],[Rank]],Stammdaten[Rank Verteilung Abholzigkeit],0))</f>
        <v>#N/A</v>
      </c>
      <c r="N2085" t="e">
        <f>VLOOKUP(Tabelle9[[#This Row],[Rank]],Stammdaten[[Rank Verteilung Abholzigkeit]:[Verteilung Abholzigkeit]],2,FALSE)</f>
        <v>#N/A</v>
      </c>
      <c r="S2085">
        <v>2076</v>
      </c>
      <c r="T2085" t="e">
        <f>INDEX(Stammdaten[Krümmung (mm/lfm)],MATCH(Tabelle10[[#This Row],[Rank]],Stammdaten[Rank Verteilung Krümmung],0))</f>
        <v>#N/A</v>
      </c>
      <c r="U2085" t="e">
        <f>VLOOKUP(Tabelle10[[#This Row],[Rank]],Stammdaten[[Rank Verteilung Krümmung]:[Verteilung Krümmung]],2,FALSE)</f>
        <v>#N/A</v>
      </c>
      <c r="Z2085">
        <v>2076</v>
      </c>
      <c r="AA2085" t="e">
        <f>INDEX(Stammdaten[Ovalität (']0,1'])],MATCH(Tabelle1014[[#This Row],[Rank]],Stammdaten[Rank Verteilung Ovalität],0))</f>
        <v>#N/A</v>
      </c>
      <c r="AB2085" t="e">
        <f>VLOOKUP(Tabelle1014[[#This Row],[Rank]],Stammdaten[[Rank Verteilung Ovalität]:[Verteilung Ovalität]],2,FALSE)</f>
        <v>#N/A</v>
      </c>
    </row>
    <row r="2086" spans="5:28" x14ac:dyDescent="0.35">
      <c r="E2086">
        <v>2077</v>
      </c>
      <c r="F2086" t="e">
        <f>INDEX(Stammdaten[D Mitte mit Rinde (mm)],MATCH(Tabelle8[[#This Row],[Rank]],Stammdaten[Rank Verteilung D Mitte mit Rinde],0))</f>
        <v>#N/A</v>
      </c>
      <c r="G2086" t="e">
        <f>VLOOKUP(Tabelle8[[#This Row],[Rank]],Stammdaten[[Rank Verteilung D Mitte mit Rinde]:[Verteilung D Mitte mit Rinde]],2,FALSE)</f>
        <v>#N/A</v>
      </c>
      <c r="L2086">
        <v>2077</v>
      </c>
      <c r="M2086" t="e">
        <f>INDEX(Stammdaten[Abholzigkeit (mm/lfm)],MATCH(Tabelle9[[#This Row],[Rank]],Stammdaten[Rank Verteilung Abholzigkeit],0))</f>
        <v>#N/A</v>
      </c>
      <c r="N2086" t="e">
        <f>VLOOKUP(Tabelle9[[#This Row],[Rank]],Stammdaten[[Rank Verteilung Abholzigkeit]:[Verteilung Abholzigkeit]],2,FALSE)</f>
        <v>#N/A</v>
      </c>
      <c r="S2086">
        <v>2077</v>
      </c>
      <c r="T2086" t="e">
        <f>INDEX(Stammdaten[Krümmung (mm/lfm)],MATCH(Tabelle10[[#This Row],[Rank]],Stammdaten[Rank Verteilung Krümmung],0))</f>
        <v>#N/A</v>
      </c>
      <c r="U2086" t="e">
        <f>VLOOKUP(Tabelle10[[#This Row],[Rank]],Stammdaten[[Rank Verteilung Krümmung]:[Verteilung Krümmung]],2,FALSE)</f>
        <v>#N/A</v>
      </c>
      <c r="Z2086">
        <v>2077</v>
      </c>
      <c r="AA2086" t="e">
        <f>INDEX(Stammdaten[Ovalität (']0,1'])],MATCH(Tabelle1014[[#This Row],[Rank]],Stammdaten[Rank Verteilung Ovalität],0))</f>
        <v>#N/A</v>
      </c>
      <c r="AB2086" t="e">
        <f>VLOOKUP(Tabelle1014[[#This Row],[Rank]],Stammdaten[[Rank Verteilung Ovalität]:[Verteilung Ovalität]],2,FALSE)</f>
        <v>#N/A</v>
      </c>
    </row>
    <row r="2087" spans="5:28" x14ac:dyDescent="0.35">
      <c r="E2087">
        <v>2078</v>
      </c>
      <c r="F2087" t="e">
        <f>INDEX(Stammdaten[D Mitte mit Rinde (mm)],MATCH(Tabelle8[[#This Row],[Rank]],Stammdaten[Rank Verteilung D Mitte mit Rinde],0))</f>
        <v>#N/A</v>
      </c>
      <c r="G2087" t="e">
        <f>VLOOKUP(Tabelle8[[#This Row],[Rank]],Stammdaten[[Rank Verteilung D Mitte mit Rinde]:[Verteilung D Mitte mit Rinde]],2,FALSE)</f>
        <v>#N/A</v>
      </c>
      <c r="L2087">
        <v>2078</v>
      </c>
      <c r="M2087" t="e">
        <f>INDEX(Stammdaten[Abholzigkeit (mm/lfm)],MATCH(Tabelle9[[#This Row],[Rank]],Stammdaten[Rank Verteilung Abholzigkeit],0))</f>
        <v>#N/A</v>
      </c>
      <c r="N2087" t="e">
        <f>VLOOKUP(Tabelle9[[#This Row],[Rank]],Stammdaten[[Rank Verteilung Abholzigkeit]:[Verteilung Abholzigkeit]],2,FALSE)</f>
        <v>#N/A</v>
      </c>
      <c r="S2087">
        <v>2078</v>
      </c>
      <c r="T2087" t="e">
        <f>INDEX(Stammdaten[Krümmung (mm/lfm)],MATCH(Tabelle10[[#This Row],[Rank]],Stammdaten[Rank Verteilung Krümmung],0))</f>
        <v>#N/A</v>
      </c>
      <c r="U2087" t="e">
        <f>VLOOKUP(Tabelle10[[#This Row],[Rank]],Stammdaten[[Rank Verteilung Krümmung]:[Verteilung Krümmung]],2,FALSE)</f>
        <v>#N/A</v>
      </c>
      <c r="Z2087">
        <v>2078</v>
      </c>
      <c r="AA2087" t="e">
        <f>INDEX(Stammdaten[Ovalität (']0,1'])],MATCH(Tabelle1014[[#This Row],[Rank]],Stammdaten[Rank Verteilung Ovalität],0))</f>
        <v>#N/A</v>
      </c>
      <c r="AB2087" t="e">
        <f>VLOOKUP(Tabelle1014[[#This Row],[Rank]],Stammdaten[[Rank Verteilung Ovalität]:[Verteilung Ovalität]],2,FALSE)</f>
        <v>#N/A</v>
      </c>
    </row>
    <row r="2088" spans="5:28" x14ac:dyDescent="0.35">
      <c r="E2088">
        <v>2079</v>
      </c>
      <c r="F2088" t="e">
        <f>INDEX(Stammdaten[D Mitte mit Rinde (mm)],MATCH(Tabelle8[[#This Row],[Rank]],Stammdaten[Rank Verteilung D Mitte mit Rinde],0))</f>
        <v>#N/A</v>
      </c>
      <c r="G2088" t="e">
        <f>VLOOKUP(Tabelle8[[#This Row],[Rank]],Stammdaten[[Rank Verteilung D Mitte mit Rinde]:[Verteilung D Mitte mit Rinde]],2,FALSE)</f>
        <v>#N/A</v>
      </c>
      <c r="L2088">
        <v>2079</v>
      </c>
      <c r="M2088" t="e">
        <f>INDEX(Stammdaten[Abholzigkeit (mm/lfm)],MATCH(Tabelle9[[#This Row],[Rank]],Stammdaten[Rank Verteilung Abholzigkeit],0))</f>
        <v>#N/A</v>
      </c>
      <c r="N2088" t="e">
        <f>VLOOKUP(Tabelle9[[#This Row],[Rank]],Stammdaten[[Rank Verteilung Abholzigkeit]:[Verteilung Abholzigkeit]],2,FALSE)</f>
        <v>#N/A</v>
      </c>
      <c r="S2088">
        <v>2079</v>
      </c>
      <c r="T2088" t="e">
        <f>INDEX(Stammdaten[Krümmung (mm/lfm)],MATCH(Tabelle10[[#This Row],[Rank]],Stammdaten[Rank Verteilung Krümmung],0))</f>
        <v>#N/A</v>
      </c>
      <c r="U2088" t="e">
        <f>VLOOKUP(Tabelle10[[#This Row],[Rank]],Stammdaten[[Rank Verteilung Krümmung]:[Verteilung Krümmung]],2,FALSE)</f>
        <v>#N/A</v>
      </c>
      <c r="Z2088">
        <v>2079</v>
      </c>
      <c r="AA2088" t="e">
        <f>INDEX(Stammdaten[Ovalität (']0,1'])],MATCH(Tabelle1014[[#This Row],[Rank]],Stammdaten[Rank Verteilung Ovalität],0))</f>
        <v>#N/A</v>
      </c>
      <c r="AB2088" t="e">
        <f>VLOOKUP(Tabelle1014[[#This Row],[Rank]],Stammdaten[[Rank Verteilung Ovalität]:[Verteilung Ovalität]],2,FALSE)</f>
        <v>#N/A</v>
      </c>
    </row>
    <row r="2089" spans="5:28" x14ac:dyDescent="0.35">
      <c r="E2089">
        <v>2080</v>
      </c>
      <c r="F2089" t="e">
        <f>INDEX(Stammdaten[D Mitte mit Rinde (mm)],MATCH(Tabelle8[[#This Row],[Rank]],Stammdaten[Rank Verteilung D Mitte mit Rinde],0))</f>
        <v>#N/A</v>
      </c>
      <c r="G2089" t="e">
        <f>VLOOKUP(Tabelle8[[#This Row],[Rank]],Stammdaten[[Rank Verteilung D Mitte mit Rinde]:[Verteilung D Mitte mit Rinde]],2,FALSE)</f>
        <v>#N/A</v>
      </c>
      <c r="L2089">
        <v>2080</v>
      </c>
      <c r="M2089" t="e">
        <f>INDEX(Stammdaten[Abholzigkeit (mm/lfm)],MATCH(Tabelle9[[#This Row],[Rank]],Stammdaten[Rank Verteilung Abholzigkeit],0))</f>
        <v>#N/A</v>
      </c>
      <c r="N2089" t="e">
        <f>VLOOKUP(Tabelle9[[#This Row],[Rank]],Stammdaten[[Rank Verteilung Abholzigkeit]:[Verteilung Abholzigkeit]],2,FALSE)</f>
        <v>#N/A</v>
      </c>
      <c r="S2089">
        <v>2080</v>
      </c>
      <c r="T2089" t="e">
        <f>INDEX(Stammdaten[Krümmung (mm/lfm)],MATCH(Tabelle10[[#This Row],[Rank]],Stammdaten[Rank Verteilung Krümmung],0))</f>
        <v>#N/A</v>
      </c>
      <c r="U2089" t="e">
        <f>VLOOKUP(Tabelle10[[#This Row],[Rank]],Stammdaten[[Rank Verteilung Krümmung]:[Verteilung Krümmung]],2,FALSE)</f>
        <v>#N/A</v>
      </c>
      <c r="Z2089">
        <v>2080</v>
      </c>
      <c r="AA2089" t="e">
        <f>INDEX(Stammdaten[Ovalität (']0,1'])],MATCH(Tabelle1014[[#This Row],[Rank]],Stammdaten[Rank Verteilung Ovalität],0))</f>
        <v>#N/A</v>
      </c>
      <c r="AB2089" t="e">
        <f>VLOOKUP(Tabelle1014[[#This Row],[Rank]],Stammdaten[[Rank Verteilung Ovalität]:[Verteilung Ovalität]],2,FALSE)</f>
        <v>#N/A</v>
      </c>
    </row>
    <row r="2090" spans="5:28" x14ac:dyDescent="0.35">
      <c r="E2090">
        <v>2081</v>
      </c>
      <c r="F2090" t="e">
        <f>INDEX(Stammdaten[D Mitte mit Rinde (mm)],MATCH(Tabelle8[[#This Row],[Rank]],Stammdaten[Rank Verteilung D Mitte mit Rinde],0))</f>
        <v>#N/A</v>
      </c>
      <c r="G2090" t="e">
        <f>VLOOKUP(Tabelle8[[#This Row],[Rank]],Stammdaten[[Rank Verteilung D Mitte mit Rinde]:[Verteilung D Mitte mit Rinde]],2,FALSE)</f>
        <v>#N/A</v>
      </c>
      <c r="L2090">
        <v>2081</v>
      </c>
      <c r="M2090" t="e">
        <f>INDEX(Stammdaten[Abholzigkeit (mm/lfm)],MATCH(Tabelle9[[#This Row],[Rank]],Stammdaten[Rank Verteilung Abholzigkeit],0))</f>
        <v>#N/A</v>
      </c>
      <c r="N2090" t="e">
        <f>VLOOKUP(Tabelle9[[#This Row],[Rank]],Stammdaten[[Rank Verteilung Abholzigkeit]:[Verteilung Abholzigkeit]],2,FALSE)</f>
        <v>#N/A</v>
      </c>
      <c r="S2090">
        <v>2081</v>
      </c>
      <c r="T2090" t="e">
        <f>INDEX(Stammdaten[Krümmung (mm/lfm)],MATCH(Tabelle10[[#This Row],[Rank]],Stammdaten[Rank Verteilung Krümmung],0))</f>
        <v>#N/A</v>
      </c>
      <c r="U2090" t="e">
        <f>VLOOKUP(Tabelle10[[#This Row],[Rank]],Stammdaten[[Rank Verteilung Krümmung]:[Verteilung Krümmung]],2,FALSE)</f>
        <v>#N/A</v>
      </c>
      <c r="Z2090">
        <v>2081</v>
      </c>
      <c r="AA2090" t="e">
        <f>INDEX(Stammdaten[Ovalität (']0,1'])],MATCH(Tabelle1014[[#This Row],[Rank]],Stammdaten[Rank Verteilung Ovalität],0))</f>
        <v>#N/A</v>
      </c>
      <c r="AB2090" t="e">
        <f>VLOOKUP(Tabelle1014[[#This Row],[Rank]],Stammdaten[[Rank Verteilung Ovalität]:[Verteilung Ovalität]],2,FALSE)</f>
        <v>#N/A</v>
      </c>
    </row>
    <row r="2091" spans="5:28" x14ac:dyDescent="0.35">
      <c r="E2091">
        <v>2082</v>
      </c>
      <c r="F2091" t="e">
        <f>INDEX(Stammdaten[D Mitte mit Rinde (mm)],MATCH(Tabelle8[[#This Row],[Rank]],Stammdaten[Rank Verteilung D Mitte mit Rinde],0))</f>
        <v>#N/A</v>
      </c>
      <c r="G2091" t="e">
        <f>VLOOKUP(Tabelle8[[#This Row],[Rank]],Stammdaten[[Rank Verteilung D Mitte mit Rinde]:[Verteilung D Mitte mit Rinde]],2,FALSE)</f>
        <v>#N/A</v>
      </c>
      <c r="L2091">
        <v>2082</v>
      </c>
      <c r="M2091" t="e">
        <f>INDEX(Stammdaten[Abholzigkeit (mm/lfm)],MATCH(Tabelle9[[#This Row],[Rank]],Stammdaten[Rank Verteilung Abholzigkeit],0))</f>
        <v>#N/A</v>
      </c>
      <c r="N2091" t="e">
        <f>VLOOKUP(Tabelle9[[#This Row],[Rank]],Stammdaten[[Rank Verteilung Abholzigkeit]:[Verteilung Abholzigkeit]],2,FALSE)</f>
        <v>#N/A</v>
      </c>
      <c r="S2091">
        <v>2082</v>
      </c>
      <c r="T2091" t="e">
        <f>INDEX(Stammdaten[Krümmung (mm/lfm)],MATCH(Tabelle10[[#This Row],[Rank]],Stammdaten[Rank Verteilung Krümmung],0))</f>
        <v>#N/A</v>
      </c>
      <c r="U2091" t="e">
        <f>VLOOKUP(Tabelle10[[#This Row],[Rank]],Stammdaten[[Rank Verteilung Krümmung]:[Verteilung Krümmung]],2,FALSE)</f>
        <v>#N/A</v>
      </c>
      <c r="Z2091">
        <v>2082</v>
      </c>
      <c r="AA2091" t="e">
        <f>INDEX(Stammdaten[Ovalität (']0,1'])],MATCH(Tabelle1014[[#This Row],[Rank]],Stammdaten[Rank Verteilung Ovalität],0))</f>
        <v>#N/A</v>
      </c>
      <c r="AB2091" t="e">
        <f>VLOOKUP(Tabelle1014[[#This Row],[Rank]],Stammdaten[[Rank Verteilung Ovalität]:[Verteilung Ovalität]],2,FALSE)</f>
        <v>#N/A</v>
      </c>
    </row>
    <row r="2092" spans="5:28" x14ac:dyDescent="0.35">
      <c r="E2092">
        <v>2083</v>
      </c>
      <c r="F2092" t="e">
        <f>INDEX(Stammdaten[D Mitte mit Rinde (mm)],MATCH(Tabelle8[[#This Row],[Rank]],Stammdaten[Rank Verteilung D Mitte mit Rinde],0))</f>
        <v>#N/A</v>
      </c>
      <c r="G2092" t="e">
        <f>VLOOKUP(Tabelle8[[#This Row],[Rank]],Stammdaten[[Rank Verteilung D Mitte mit Rinde]:[Verteilung D Mitte mit Rinde]],2,FALSE)</f>
        <v>#N/A</v>
      </c>
      <c r="L2092">
        <v>2083</v>
      </c>
      <c r="M2092" t="e">
        <f>INDEX(Stammdaten[Abholzigkeit (mm/lfm)],MATCH(Tabelle9[[#This Row],[Rank]],Stammdaten[Rank Verteilung Abholzigkeit],0))</f>
        <v>#N/A</v>
      </c>
      <c r="N2092" t="e">
        <f>VLOOKUP(Tabelle9[[#This Row],[Rank]],Stammdaten[[Rank Verteilung Abholzigkeit]:[Verteilung Abholzigkeit]],2,FALSE)</f>
        <v>#N/A</v>
      </c>
      <c r="S2092">
        <v>2083</v>
      </c>
      <c r="T2092" t="e">
        <f>INDEX(Stammdaten[Krümmung (mm/lfm)],MATCH(Tabelle10[[#This Row],[Rank]],Stammdaten[Rank Verteilung Krümmung],0))</f>
        <v>#N/A</v>
      </c>
      <c r="U2092" t="e">
        <f>VLOOKUP(Tabelle10[[#This Row],[Rank]],Stammdaten[[Rank Verteilung Krümmung]:[Verteilung Krümmung]],2,FALSE)</f>
        <v>#N/A</v>
      </c>
      <c r="Z2092">
        <v>2083</v>
      </c>
      <c r="AA2092" t="e">
        <f>INDEX(Stammdaten[Ovalität (']0,1'])],MATCH(Tabelle1014[[#This Row],[Rank]],Stammdaten[Rank Verteilung Ovalität],0))</f>
        <v>#N/A</v>
      </c>
      <c r="AB2092" t="e">
        <f>VLOOKUP(Tabelle1014[[#This Row],[Rank]],Stammdaten[[Rank Verteilung Ovalität]:[Verteilung Ovalität]],2,FALSE)</f>
        <v>#N/A</v>
      </c>
    </row>
    <row r="2093" spans="5:28" x14ac:dyDescent="0.35">
      <c r="E2093">
        <v>2084</v>
      </c>
      <c r="F2093" t="e">
        <f>INDEX(Stammdaten[D Mitte mit Rinde (mm)],MATCH(Tabelle8[[#This Row],[Rank]],Stammdaten[Rank Verteilung D Mitte mit Rinde],0))</f>
        <v>#N/A</v>
      </c>
      <c r="G2093" t="e">
        <f>VLOOKUP(Tabelle8[[#This Row],[Rank]],Stammdaten[[Rank Verteilung D Mitte mit Rinde]:[Verteilung D Mitte mit Rinde]],2,FALSE)</f>
        <v>#N/A</v>
      </c>
      <c r="L2093">
        <v>2084</v>
      </c>
      <c r="M2093" t="e">
        <f>INDEX(Stammdaten[Abholzigkeit (mm/lfm)],MATCH(Tabelle9[[#This Row],[Rank]],Stammdaten[Rank Verteilung Abholzigkeit],0))</f>
        <v>#N/A</v>
      </c>
      <c r="N2093" t="e">
        <f>VLOOKUP(Tabelle9[[#This Row],[Rank]],Stammdaten[[Rank Verteilung Abholzigkeit]:[Verteilung Abholzigkeit]],2,FALSE)</f>
        <v>#N/A</v>
      </c>
      <c r="S2093">
        <v>2084</v>
      </c>
      <c r="T2093" t="e">
        <f>INDEX(Stammdaten[Krümmung (mm/lfm)],MATCH(Tabelle10[[#This Row],[Rank]],Stammdaten[Rank Verteilung Krümmung],0))</f>
        <v>#N/A</v>
      </c>
      <c r="U2093" t="e">
        <f>VLOOKUP(Tabelle10[[#This Row],[Rank]],Stammdaten[[Rank Verteilung Krümmung]:[Verteilung Krümmung]],2,FALSE)</f>
        <v>#N/A</v>
      </c>
      <c r="Z2093">
        <v>2084</v>
      </c>
      <c r="AA2093" t="e">
        <f>INDEX(Stammdaten[Ovalität (']0,1'])],MATCH(Tabelle1014[[#This Row],[Rank]],Stammdaten[Rank Verteilung Ovalität],0))</f>
        <v>#N/A</v>
      </c>
      <c r="AB2093" t="e">
        <f>VLOOKUP(Tabelle1014[[#This Row],[Rank]],Stammdaten[[Rank Verteilung Ovalität]:[Verteilung Ovalität]],2,FALSE)</f>
        <v>#N/A</v>
      </c>
    </row>
    <row r="2094" spans="5:28" x14ac:dyDescent="0.35">
      <c r="E2094">
        <v>2085</v>
      </c>
      <c r="F2094" t="e">
        <f>INDEX(Stammdaten[D Mitte mit Rinde (mm)],MATCH(Tabelle8[[#This Row],[Rank]],Stammdaten[Rank Verteilung D Mitte mit Rinde],0))</f>
        <v>#N/A</v>
      </c>
      <c r="G2094" t="e">
        <f>VLOOKUP(Tabelle8[[#This Row],[Rank]],Stammdaten[[Rank Verteilung D Mitte mit Rinde]:[Verteilung D Mitte mit Rinde]],2,FALSE)</f>
        <v>#N/A</v>
      </c>
      <c r="L2094">
        <v>2085</v>
      </c>
      <c r="M2094" t="e">
        <f>INDEX(Stammdaten[Abholzigkeit (mm/lfm)],MATCH(Tabelle9[[#This Row],[Rank]],Stammdaten[Rank Verteilung Abholzigkeit],0))</f>
        <v>#N/A</v>
      </c>
      <c r="N2094" t="e">
        <f>VLOOKUP(Tabelle9[[#This Row],[Rank]],Stammdaten[[Rank Verteilung Abholzigkeit]:[Verteilung Abholzigkeit]],2,FALSE)</f>
        <v>#N/A</v>
      </c>
      <c r="S2094">
        <v>2085</v>
      </c>
      <c r="T2094" t="e">
        <f>INDEX(Stammdaten[Krümmung (mm/lfm)],MATCH(Tabelle10[[#This Row],[Rank]],Stammdaten[Rank Verteilung Krümmung],0))</f>
        <v>#N/A</v>
      </c>
      <c r="U2094" t="e">
        <f>VLOOKUP(Tabelle10[[#This Row],[Rank]],Stammdaten[[Rank Verteilung Krümmung]:[Verteilung Krümmung]],2,FALSE)</f>
        <v>#N/A</v>
      </c>
      <c r="Z2094">
        <v>2085</v>
      </c>
      <c r="AA2094" t="e">
        <f>INDEX(Stammdaten[Ovalität (']0,1'])],MATCH(Tabelle1014[[#This Row],[Rank]],Stammdaten[Rank Verteilung Ovalität],0))</f>
        <v>#N/A</v>
      </c>
      <c r="AB2094" t="e">
        <f>VLOOKUP(Tabelle1014[[#This Row],[Rank]],Stammdaten[[Rank Verteilung Ovalität]:[Verteilung Ovalität]],2,FALSE)</f>
        <v>#N/A</v>
      </c>
    </row>
    <row r="2095" spans="5:28" x14ac:dyDescent="0.35">
      <c r="E2095">
        <v>2086</v>
      </c>
      <c r="F2095" t="e">
        <f>INDEX(Stammdaten[D Mitte mit Rinde (mm)],MATCH(Tabelle8[[#This Row],[Rank]],Stammdaten[Rank Verteilung D Mitte mit Rinde],0))</f>
        <v>#N/A</v>
      </c>
      <c r="G2095" t="e">
        <f>VLOOKUP(Tabelle8[[#This Row],[Rank]],Stammdaten[[Rank Verteilung D Mitte mit Rinde]:[Verteilung D Mitte mit Rinde]],2,FALSE)</f>
        <v>#N/A</v>
      </c>
      <c r="L2095">
        <v>2086</v>
      </c>
      <c r="M2095" t="e">
        <f>INDEX(Stammdaten[Abholzigkeit (mm/lfm)],MATCH(Tabelle9[[#This Row],[Rank]],Stammdaten[Rank Verteilung Abholzigkeit],0))</f>
        <v>#N/A</v>
      </c>
      <c r="N2095" t="e">
        <f>VLOOKUP(Tabelle9[[#This Row],[Rank]],Stammdaten[[Rank Verteilung Abholzigkeit]:[Verteilung Abholzigkeit]],2,FALSE)</f>
        <v>#N/A</v>
      </c>
      <c r="S2095">
        <v>2086</v>
      </c>
      <c r="T2095" t="e">
        <f>INDEX(Stammdaten[Krümmung (mm/lfm)],MATCH(Tabelle10[[#This Row],[Rank]],Stammdaten[Rank Verteilung Krümmung],0))</f>
        <v>#N/A</v>
      </c>
      <c r="U2095" t="e">
        <f>VLOOKUP(Tabelle10[[#This Row],[Rank]],Stammdaten[[Rank Verteilung Krümmung]:[Verteilung Krümmung]],2,FALSE)</f>
        <v>#N/A</v>
      </c>
      <c r="Z2095">
        <v>2086</v>
      </c>
      <c r="AA2095" t="e">
        <f>INDEX(Stammdaten[Ovalität (']0,1'])],MATCH(Tabelle1014[[#This Row],[Rank]],Stammdaten[Rank Verteilung Ovalität],0))</f>
        <v>#N/A</v>
      </c>
      <c r="AB2095" t="e">
        <f>VLOOKUP(Tabelle1014[[#This Row],[Rank]],Stammdaten[[Rank Verteilung Ovalität]:[Verteilung Ovalität]],2,FALSE)</f>
        <v>#N/A</v>
      </c>
    </row>
    <row r="2096" spans="5:28" x14ac:dyDescent="0.35">
      <c r="E2096">
        <v>2087</v>
      </c>
      <c r="F2096" t="e">
        <f>INDEX(Stammdaten[D Mitte mit Rinde (mm)],MATCH(Tabelle8[[#This Row],[Rank]],Stammdaten[Rank Verteilung D Mitte mit Rinde],0))</f>
        <v>#N/A</v>
      </c>
      <c r="G2096" t="e">
        <f>VLOOKUP(Tabelle8[[#This Row],[Rank]],Stammdaten[[Rank Verteilung D Mitte mit Rinde]:[Verteilung D Mitte mit Rinde]],2,FALSE)</f>
        <v>#N/A</v>
      </c>
      <c r="L2096">
        <v>2087</v>
      </c>
      <c r="M2096" t="e">
        <f>INDEX(Stammdaten[Abholzigkeit (mm/lfm)],MATCH(Tabelle9[[#This Row],[Rank]],Stammdaten[Rank Verteilung Abholzigkeit],0))</f>
        <v>#N/A</v>
      </c>
      <c r="N2096" t="e">
        <f>VLOOKUP(Tabelle9[[#This Row],[Rank]],Stammdaten[[Rank Verteilung Abholzigkeit]:[Verteilung Abholzigkeit]],2,FALSE)</f>
        <v>#N/A</v>
      </c>
      <c r="S2096">
        <v>2087</v>
      </c>
      <c r="T2096" t="e">
        <f>INDEX(Stammdaten[Krümmung (mm/lfm)],MATCH(Tabelle10[[#This Row],[Rank]],Stammdaten[Rank Verteilung Krümmung],0))</f>
        <v>#N/A</v>
      </c>
      <c r="U2096" t="e">
        <f>VLOOKUP(Tabelle10[[#This Row],[Rank]],Stammdaten[[Rank Verteilung Krümmung]:[Verteilung Krümmung]],2,FALSE)</f>
        <v>#N/A</v>
      </c>
      <c r="Z2096">
        <v>2087</v>
      </c>
      <c r="AA2096" t="e">
        <f>INDEX(Stammdaten[Ovalität (']0,1'])],MATCH(Tabelle1014[[#This Row],[Rank]],Stammdaten[Rank Verteilung Ovalität],0))</f>
        <v>#N/A</v>
      </c>
      <c r="AB2096" t="e">
        <f>VLOOKUP(Tabelle1014[[#This Row],[Rank]],Stammdaten[[Rank Verteilung Ovalität]:[Verteilung Ovalität]],2,FALSE)</f>
        <v>#N/A</v>
      </c>
    </row>
    <row r="2097" spans="5:28" x14ac:dyDescent="0.35">
      <c r="E2097">
        <v>2088</v>
      </c>
      <c r="F2097" t="e">
        <f>INDEX(Stammdaten[D Mitte mit Rinde (mm)],MATCH(Tabelle8[[#This Row],[Rank]],Stammdaten[Rank Verteilung D Mitte mit Rinde],0))</f>
        <v>#N/A</v>
      </c>
      <c r="G2097" t="e">
        <f>VLOOKUP(Tabelle8[[#This Row],[Rank]],Stammdaten[[Rank Verteilung D Mitte mit Rinde]:[Verteilung D Mitte mit Rinde]],2,FALSE)</f>
        <v>#N/A</v>
      </c>
      <c r="L2097">
        <v>2088</v>
      </c>
      <c r="M2097" t="e">
        <f>INDEX(Stammdaten[Abholzigkeit (mm/lfm)],MATCH(Tabelle9[[#This Row],[Rank]],Stammdaten[Rank Verteilung Abholzigkeit],0))</f>
        <v>#N/A</v>
      </c>
      <c r="N2097" t="e">
        <f>VLOOKUP(Tabelle9[[#This Row],[Rank]],Stammdaten[[Rank Verteilung Abholzigkeit]:[Verteilung Abholzigkeit]],2,FALSE)</f>
        <v>#N/A</v>
      </c>
      <c r="S2097">
        <v>2088</v>
      </c>
      <c r="T2097" t="e">
        <f>INDEX(Stammdaten[Krümmung (mm/lfm)],MATCH(Tabelle10[[#This Row],[Rank]],Stammdaten[Rank Verteilung Krümmung],0))</f>
        <v>#N/A</v>
      </c>
      <c r="U2097" t="e">
        <f>VLOOKUP(Tabelle10[[#This Row],[Rank]],Stammdaten[[Rank Verteilung Krümmung]:[Verteilung Krümmung]],2,FALSE)</f>
        <v>#N/A</v>
      </c>
      <c r="Z2097">
        <v>2088</v>
      </c>
      <c r="AA2097" t="e">
        <f>INDEX(Stammdaten[Ovalität (']0,1'])],MATCH(Tabelle1014[[#This Row],[Rank]],Stammdaten[Rank Verteilung Ovalität],0))</f>
        <v>#N/A</v>
      </c>
      <c r="AB2097" t="e">
        <f>VLOOKUP(Tabelle1014[[#This Row],[Rank]],Stammdaten[[Rank Verteilung Ovalität]:[Verteilung Ovalität]],2,FALSE)</f>
        <v>#N/A</v>
      </c>
    </row>
    <row r="2098" spans="5:28" x14ac:dyDescent="0.35">
      <c r="E2098">
        <v>2089</v>
      </c>
      <c r="F2098" t="e">
        <f>INDEX(Stammdaten[D Mitte mit Rinde (mm)],MATCH(Tabelle8[[#This Row],[Rank]],Stammdaten[Rank Verteilung D Mitte mit Rinde],0))</f>
        <v>#N/A</v>
      </c>
      <c r="G2098" t="e">
        <f>VLOOKUP(Tabelle8[[#This Row],[Rank]],Stammdaten[[Rank Verteilung D Mitte mit Rinde]:[Verteilung D Mitte mit Rinde]],2,FALSE)</f>
        <v>#N/A</v>
      </c>
      <c r="L2098">
        <v>2089</v>
      </c>
      <c r="M2098" t="e">
        <f>INDEX(Stammdaten[Abholzigkeit (mm/lfm)],MATCH(Tabelle9[[#This Row],[Rank]],Stammdaten[Rank Verteilung Abholzigkeit],0))</f>
        <v>#N/A</v>
      </c>
      <c r="N2098" t="e">
        <f>VLOOKUP(Tabelle9[[#This Row],[Rank]],Stammdaten[[Rank Verteilung Abholzigkeit]:[Verteilung Abholzigkeit]],2,FALSE)</f>
        <v>#N/A</v>
      </c>
      <c r="S2098">
        <v>2089</v>
      </c>
      <c r="T2098" t="e">
        <f>INDEX(Stammdaten[Krümmung (mm/lfm)],MATCH(Tabelle10[[#This Row],[Rank]],Stammdaten[Rank Verteilung Krümmung],0))</f>
        <v>#N/A</v>
      </c>
      <c r="U2098" t="e">
        <f>VLOOKUP(Tabelle10[[#This Row],[Rank]],Stammdaten[[Rank Verteilung Krümmung]:[Verteilung Krümmung]],2,FALSE)</f>
        <v>#N/A</v>
      </c>
      <c r="Z2098">
        <v>2089</v>
      </c>
      <c r="AA2098" t="e">
        <f>INDEX(Stammdaten[Ovalität (']0,1'])],MATCH(Tabelle1014[[#This Row],[Rank]],Stammdaten[Rank Verteilung Ovalität],0))</f>
        <v>#N/A</v>
      </c>
      <c r="AB2098" t="e">
        <f>VLOOKUP(Tabelle1014[[#This Row],[Rank]],Stammdaten[[Rank Verteilung Ovalität]:[Verteilung Ovalität]],2,FALSE)</f>
        <v>#N/A</v>
      </c>
    </row>
    <row r="2099" spans="5:28" x14ac:dyDescent="0.35">
      <c r="E2099">
        <v>2090</v>
      </c>
      <c r="F2099" t="e">
        <f>INDEX(Stammdaten[D Mitte mit Rinde (mm)],MATCH(Tabelle8[[#This Row],[Rank]],Stammdaten[Rank Verteilung D Mitte mit Rinde],0))</f>
        <v>#N/A</v>
      </c>
      <c r="G2099" t="e">
        <f>VLOOKUP(Tabelle8[[#This Row],[Rank]],Stammdaten[[Rank Verteilung D Mitte mit Rinde]:[Verteilung D Mitte mit Rinde]],2,FALSE)</f>
        <v>#N/A</v>
      </c>
      <c r="L2099">
        <v>2090</v>
      </c>
      <c r="M2099" t="e">
        <f>INDEX(Stammdaten[Abholzigkeit (mm/lfm)],MATCH(Tabelle9[[#This Row],[Rank]],Stammdaten[Rank Verteilung Abholzigkeit],0))</f>
        <v>#N/A</v>
      </c>
      <c r="N2099" t="e">
        <f>VLOOKUP(Tabelle9[[#This Row],[Rank]],Stammdaten[[Rank Verteilung Abholzigkeit]:[Verteilung Abholzigkeit]],2,FALSE)</f>
        <v>#N/A</v>
      </c>
      <c r="S2099">
        <v>2090</v>
      </c>
      <c r="T2099" t="e">
        <f>INDEX(Stammdaten[Krümmung (mm/lfm)],MATCH(Tabelle10[[#This Row],[Rank]],Stammdaten[Rank Verteilung Krümmung],0))</f>
        <v>#N/A</v>
      </c>
      <c r="U2099" t="e">
        <f>VLOOKUP(Tabelle10[[#This Row],[Rank]],Stammdaten[[Rank Verteilung Krümmung]:[Verteilung Krümmung]],2,FALSE)</f>
        <v>#N/A</v>
      </c>
      <c r="Z2099">
        <v>2090</v>
      </c>
      <c r="AA2099" t="e">
        <f>INDEX(Stammdaten[Ovalität (']0,1'])],MATCH(Tabelle1014[[#This Row],[Rank]],Stammdaten[Rank Verteilung Ovalität],0))</f>
        <v>#N/A</v>
      </c>
      <c r="AB2099" t="e">
        <f>VLOOKUP(Tabelle1014[[#This Row],[Rank]],Stammdaten[[Rank Verteilung Ovalität]:[Verteilung Ovalität]],2,FALSE)</f>
        <v>#N/A</v>
      </c>
    </row>
    <row r="2100" spans="5:28" x14ac:dyDescent="0.35">
      <c r="E2100">
        <v>2091</v>
      </c>
      <c r="F2100" t="e">
        <f>INDEX(Stammdaten[D Mitte mit Rinde (mm)],MATCH(Tabelle8[[#This Row],[Rank]],Stammdaten[Rank Verteilung D Mitte mit Rinde],0))</f>
        <v>#N/A</v>
      </c>
      <c r="G2100" t="e">
        <f>VLOOKUP(Tabelle8[[#This Row],[Rank]],Stammdaten[[Rank Verteilung D Mitte mit Rinde]:[Verteilung D Mitte mit Rinde]],2,FALSE)</f>
        <v>#N/A</v>
      </c>
      <c r="L2100">
        <v>2091</v>
      </c>
      <c r="M2100" t="e">
        <f>INDEX(Stammdaten[Abholzigkeit (mm/lfm)],MATCH(Tabelle9[[#This Row],[Rank]],Stammdaten[Rank Verteilung Abholzigkeit],0))</f>
        <v>#N/A</v>
      </c>
      <c r="N2100" t="e">
        <f>VLOOKUP(Tabelle9[[#This Row],[Rank]],Stammdaten[[Rank Verteilung Abholzigkeit]:[Verteilung Abholzigkeit]],2,FALSE)</f>
        <v>#N/A</v>
      </c>
      <c r="S2100">
        <v>2091</v>
      </c>
      <c r="T2100" t="e">
        <f>INDEX(Stammdaten[Krümmung (mm/lfm)],MATCH(Tabelle10[[#This Row],[Rank]],Stammdaten[Rank Verteilung Krümmung],0))</f>
        <v>#N/A</v>
      </c>
      <c r="U2100" t="e">
        <f>VLOOKUP(Tabelle10[[#This Row],[Rank]],Stammdaten[[Rank Verteilung Krümmung]:[Verteilung Krümmung]],2,FALSE)</f>
        <v>#N/A</v>
      </c>
      <c r="Z2100">
        <v>2091</v>
      </c>
      <c r="AA2100" t="e">
        <f>INDEX(Stammdaten[Ovalität (']0,1'])],MATCH(Tabelle1014[[#This Row],[Rank]],Stammdaten[Rank Verteilung Ovalität],0))</f>
        <v>#N/A</v>
      </c>
      <c r="AB2100" t="e">
        <f>VLOOKUP(Tabelle1014[[#This Row],[Rank]],Stammdaten[[Rank Verteilung Ovalität]:[Verteilung Ovalität]],2,FALSE)</f>
        <v>#N/A</v>
      </c>
    </row>
    <row r="2101" spans="5:28" x14ac:dyDescent="0.35">
      <c r="E2101">
        <v>2092</v>
      </c>
      <c r="F2101" t="e">
        <f>INDEX(Stammdaten[D Mitte mit Rinde (mm)],MATCH(Tabelle8[[#This Row],[Rank]],Stammdaten[Rank Verteilung D Mitte mit Rinde],0))</f>
        <v>#N/A</v>
      </c>
      <c r="G2101" t="e">
        <f>VLOOKUP(Tabelle8[[#This Row],[Rank]],Stammdaten[[Rank Verteilung D Mitte mit Rinde]:[Verteilung D Mitte mit Rinde]],2,FALSE)</f>
        <v>#N/A</v>
      </c>
      <c r="L2101">
        <v>2092</v>
      </c>
      <c r="M2101" t="e">
        <f>INDEX(Stammdaten[Abholzigkeit (mm/lfm)],MATCH(Tabelle9[[#This Row],[Rank]],Stammdaten[Rank Verteilung Abholzigkeit],0))</f>
        <v>#N/A</v>
      </c>
      <c r="N2101" t="e">
        <f>VLOOKUP(Tabelle9[[#This Row],[Rank]],Stammdaten[[Rank Verteilung Abholzigkeit]:[Verteilung Abholzigkeit]],2,FALSE)</f>
        <v>#N/A</v>
      </c>
      <c r="S2101">
        <v>2092</v>
      </c>
      <c r="T2101" t="e">
        <f>INDEX(Stammdaten[Krümmung (mm/lfm)],MATCH(Tabelle10[[#This Row],[Rank]],Stammdaten[Rank Verteilung Krümmung],0))</f>
        <v>#N/A</v>
      </c>
      <c r="U2101" t="e">
        <f>VLOOKUP(Tabelle10[[#This Row],[Rank]],Stammdaten[[Rank Verteilung Krümmung]:[Verteilung Krümmung]],2,FALSE)</f>
        <v>#N/A</v>
      </c>
      <c r="Z2101">
        <v>2092</v>
      </c>
      <c r="AA2101" t="e">
        <f>INDEX(Stammdaten[Ovalität (']0,1'])],MATCH(Tabelle1014[[#This Row],[Rank]],Stammdaten[Rank Verteilung Ovalität],0))</f>
        <v>#N/A</v>
      </c>
      <c r="AB2101" t="e">
        <f>VLOOKUP(Tabelle1014[[#This Row],[Rank]],Stammdaten[[Rank Verteilung Ovalität]:[Verteilung Ovalität]],2,FALSE)</f>
        <v>#N/A</v>
      </c>
    </row>
    <row r="2102" spans="5:28" x14ac:dyDescent="0.35">
      <c r="E2102">
        <v>2093</v>
      </c>
      <c r="F2102" t="e">
        <f>INDEX(Stammdaten[D Mitte mit Rinde (mm)],MATCH(Tabelle8[[#This Row],[Rank]],Stammdaten[Rank Verteilung D Mitte mit Rinde],0))</f>
        <v>#N/A</v>
      </c>
      <c r="G2102" t="e">
        <f>VLOOKUP(Tabelle8[[#This Row],[Rank]],Stammdaten[[Rank Verteilung D Mitte mit Rinde]:[Verteilung D Mitte mit Rinde]],2,FALSE)</f>
        <v>#N/A</v>
      </c>
      <c r="L2102">
        <v>2093</v>
      </c>
      <c r="M2102" t="e">
        <f>INDEX(Stammdaten[Abholzigkeit (mm/lfm)],MATCH(Tabelle9[[#This Row],[Rank]],Stammdaten[Rank Verteilung Abholzigkeit],0))</f>
        <v>#N/A</v>
      </c>
      <c r="N2102" t="e">
        <f>VLOOKUP(Tabelle9[[#This Row],[Rank]],Stammdaten[[Rank Verteilung Abholzigkeit]:[Verteilung Abholzigkeit]],2,FALSE)</f>
        <v>#N/A</v>
      </c>
      <c r="S2102">
        <v>2093</v>
      </c>
      <c r="T2102" t="e">
        <f>INDEX(Stammdaten[Krümmung (mm/lfm)],MATCH(Tabelle10[[#This Row],[Rank]],Stammdaten[Rank Verteilung Krümmung],0))</f>
        <v>#N/A</v>
      </c>
      <c r="U2102" t="e">
        <f>VLOOKUP(Tabelle10[[#This Row],[Rank]],Stammdaten[[Rank Verteilung Krümmung]:[Verteilung Krümmung]],2,FALSE)</f>
        <v>#N/A</v>
      </c>
      <c r="Z2102">
        <v>2093</v>
      </c>
      <c r="AA2102" t="e">
        <f>INDEX(Stammdaten[Ovalität (']0,1'])],MATCH(Tabelle1014[[#This Row],[Rank]],Stammdaten[Rank Verteilung Ovalität],0))</f>
        <v>#N/A</v>
      </c>
      <c r="AB2102" t="e">
        <f>VLOOKUP(Tabelle1014[[#This Row],[Rank]],Stammdaten[[Rank Verteilung Ovalität]:[Verteilung Ovalität]],2,FALSE)</f>
        <v>#N/A</v>
      </c>
    </row>
    <row r="2103" spans="5:28" x14ac:dyDescent="0.35">
      <c r="E2103">
        <v>2094</v>
      </c>
      <c r="F2103" t="e">
        <f>INDEX(Stammdaten[D Mitte mit Rinde (mm)],MATCH(Tabelle8[[#This Row],[Rank]],Stammdaten[Rank Verteilung D Mitte mit Rinde],0))</f>
        <v>#N/A</v>
      </c>
      <c r="G2103" t="e">
        <f>VLOOKUP(Tabelle8[[#This Row],[Rank]],Stammdaten[[Rank Verteilung D Mitte mit Rinde]:[Verteilung D Mitte mit Rinde]],2,FALSE)</f>
        <v>#N/A</v>
      </c>
      <c r="L2103">
        <v>2094</v>
      </c>
      <c r="M2103" t="e">
        <f>INDEX(Stammdaten[Abholzigkeit (mm/lfm)],MATCH(Tabelle9[[#This Row],[Rank]],Stammdaten[Rank Verteilung Abholzigkeit],0))</f>
        <v>#N/A</v>
      </c>
      <c r="N2103" t="e">
        <f>VLOOKUP(Tabelle9[[#This Row],[Rank]],Stammdaten[[Rank Verteilung Abholzigkeit]:[Verteilung Abholzigkeit]],2,FALSE)</f>
        <v>#N/A</v>
      </c>
      <c r="S2103">
        <v>2094</v>
      </c>
      <c r="T2103" t="e">
        <f>INDEX(Stammdaten[Krümmung (mm/lfm)],MATCH(Tabelle10[[#This Row],[Rank]],Stammdaten[Rank Verteilung Krümmung],0))</f>
        <v>#N/A</v>
      </c>
      <c r="U2103" t="e">
        <f>VLOOKUP(Tabelle10[[#This Row],[Rank]],Stammdaten[[Rank Verteilung Krümmung]:[Verteilung Krümmung]],2,FALSE)</f>
        <v>#N/A</v>
      </c>
      <c r="Z2103">
        <v>2094</v>
      </c>
      <c r="AA2103" t="e">
        <f>INDEX(Stammdaten[Ovalität (']0,1'])],MATCH(Tabelle1014[[#This Row],[Rank]],Stammdaten[Rank Verteilung Ovalität],0))</f>
        <v>#N/A</v>
      </c>
      <c r="AB2103" t="e">
        <f>VLOOKUP(Tabelle1014[[#This Row],[Rank]],Stammdaten[[Rank Verteilung Ovalität]:[Verteilung Ovalität]],2,FALSE)</f>
        <v>#N/A</v>
      </c>
    </row>
    <row r="2104" spans="5:28" x14ac:dyDescent="0.35">
      <c r="E2104">
        <v>2095</v>
      </c>
      <c r="F2104" t="e">
        <f>INDEX(Stammdaten[D Mitte mit Rinde (mm)],MATCH(Tabelle8[[#This Row],[Rank]],Stammdaten[Rank Verteilung D Mitte mit Rinde],0))</f>
        <v>#N/A</v>
      </c>
      <c r="G2104" t="e">
        <f>VLOOKUP(Tabelle8[[#This Row],[Rank]],Stammdaten[[Rank Verteilung D Mitte mit Rinde]:[Verteilung D Mitte mit Rinde]],2,FALSE)</f>
        <v>#N/A</v>
      </c>
      <c r="L2104">
        <v>2095</v>
      </c>
      <c r="M2104" t="e">
        <f>INDEX(Stammdaten[Abholzigkeit (mm/lfm)],MATCH(Tabelle9[[#This Row],[Rank]],Stammdaten[Rank Verteilung Abholzigkeit],0))</f>
        <v>#N/A</v>
      </c>
      <c r="N2104" t="e">
        <f>VLOOKUP(Tabelle9[[#This Row],[Rank]],Stammdaten[[Rank Verteilung Abholzigkeit]:[Verteilung Abholzigkeit]],2,FALSE)</f>
        <v>#N/A</v>
      </c>
      <c r="S2104">
        <v>2095</v>
      </c>
      <c r="T2104" t="e">
        <f>INDEX(Stammdaten[Krümmung (mm/lfm)],MATCH(Tabelle10[[#This Row],[Rank]],Stammdaten[Rank Verteilung Krümmung],0))</f>
        <v>#N/A</v>
      </c>
      <c r="U2104" t="e">
        <f>VLOOKUP(Tabelle10[[#This Row],[Rank]],Stammdaten[[Rank Verteilung Krümmung]:[Verteilung Krümmung]],2,FALSE)</f>
        <v>#N/A</v>
      </c>
      <c r="Z2104">
        <v>2095</v>
      </c>
      <c r="AA2104" t="e">
        <f>INDEX(Stammdaten[Ovalität (']0,1'])],MATCH(Tabelle1014[[#This Row],[Rank]],Stammdaten[Rank Verteilung Ovalität],0))</f>
        <v>#N/A</v>
      </c>
      <c r="AB2104" t="e">
        <f>VLOOKUP(Tabelle1014[[#This Row],[Rank]],Stammdaten[[Rank Verteilung Ovalität]:[Verteilung Ovalität]],2,FALSE)</f>
        <v>#N/A</v>
      </c>
    </row>
    <row r="2105" spans="5:28" x14ac:dyDescent="0.35">
      <c r="E2105">
        <v>2096</v>
      </c>
      <c r="F2105" t="e">
        <f>INDEX(Stammdaten[D Mitte mit Rinde (mm)],MATCH(Tabelle8[[#This Row],[Rank]],Stammdaten[Rank Verteilung D Mitte mit Rinde],0))</f>
        <v>#N/A</v>
      </c>
      <c r="G2105" t="e">
        <f>VLOOKUP(Tabelle8[[#This Row],[Rank]],Stammdaten[[Rank Verteilung D Mitte mit Rinde]:[Verteilung D Mitte mit Rinde]],2,FALSE)</f>
        <v>#N/A</v>
      </c>
      <c r="L2105">
        <v>2096</v>
      </c>
      <c r="M2105" t="e">
        <f>INDEX(Stammdaten[Abholzigkeit (mm/lfm)],MATCH(Tabelle9[[#This Row],[Rank]],Stammdaten[Rank Verteilung Abholzigkeit],0))</f>
        <v>#N/A</v>
      </c>
      <c r="N2105" t="e">
        <f>VLOOKUP(Tabelle9[[#This Row],[Rank]],Stammdaten[[Rank Verteilung Abholzigkeit]:[Verteilung Abholzigkeit]],2,FALSE)</f>
        <v>#N/A</v>
      </c>
      <c r="S2105">
        <v>2096</v>
      </c>
      <c r="T2105" t="e">
        <f>INDEX(Stammdaten[Krümmung (mm/lfm)],MATCH(Tabelle10[[#This Row],[Rank]],Stammdaten[Rank Verteilung Krümmung],0))</f>
        <v>#N/A</v>
      </c>
      <c r="U2105" t="e">
        <f>VLOOKUP(Tabelle10[[#This Row],[Rank]],Stammdaten[[Rank Verteilung Krümmung]:[Verteilung Krümmung]],2,FALSE)</f>
        <v>#N/A</v>
      </c>
      <c r="Z2105">
        <v>2096</v>
      </c>
      <c r="AA2105" t="e">
        <f>INDEX(Stammdaten[Ovalität (']0,1'])],MATCH(Tabelle1014[[#This Row],[Rank]],Stammdaten[Rank Verteilung Ovalität],0))</f>
        <v>#N/A</v>
      </c>
      <c r="AB2105" t="e">
        <f>VLOOKUP(Tabelle1014[[#This Row],[Rank]],Stammdaten[[Rank Verteilung Ovalität]:[Verteilung Ovalität]],2,FALSE)</f>
        <v>#N/A</v>
      </c>
    </row>
    <row r="2106" spans="5:28" x14ac:dyDescent="0.35">
      <c r="E2106">
        <v>2097</v>
      </c>
      <c r="F2106" t="e">
        <f>INDEX(Stammdaten[D Mitte mit Rinde (mm)],MATCH(Tabelle8[[#This Row],[Rank]],Stammdaten[Rank Verteilung D Mitte mit Rinde],0))</f>
        <v>#N/A</v>
      </c>
      <c r="G2106" t="e">
        <f>VLOOKUP(Tabelle8[[#This Row],[Rank]],Stammdaten[[Rank Verteilung D Mitte mit Rinde]:[Verteilung D Mitte mit Rinde]],2,FALSE)</f>
        <v>#N/A</v>
      </c>
      <c r="L2106">
        <v>2097</v>
      </c>
      <c r="M2106" t="e">
        <f>INDEX(Stammdaten[Abholzigkeit (mm/lfm)],MATCH(Tabelle9[[#This Row],[Rank]],Stammdaten[Rank Verteilung Abholzigkeit],0))</f>
        <v>#N/A</v>
      </c>
      <c r="N2106" t="e">
        <f>VLOOKUP(Tabelle9[[#This Row],[Rank]],Stammdaten[[Rank Verteilung Abholzigkeit]:[Verteilung Abholzigkeit]],2,FALSE)</f>
        <v>#N/A</v>
      </c>
      <c r="S2106">
        <v>2097</v>
      </c>
      <c r="T2106" t="e">
        <f>INDEX(Stammdaten[Krümmung (mm/lfm)],MATCH(Tabelle10[[#This Row],[Rank]],Stammdaten[Rank Verteilung Krümmung],0))</f>
        <v>#N/A</v>
      </c>
      <c r="U2106" t="e">
        <f>VLOOKUP(Tabelle10[[#This Row],[Rank]],Stammdaten[[Rank Verteilung Krümmung]:[Verteilung Krümmung]],2,FALSE)</f>
        <v>#N/A</v>
      </c>
      <c r="Z2106">
        <v>2097</v>
      </c>
      <c r="AA2106" t="e">
        <f>INDEX(Stammdaten[Ovalität (']0,1'])],MATCH(Tabelle1014[[#This Row],[Rank]],Stammdaten[Rank Verteilung Ovalität],0))</f>
        <v>#N/A</v>
      </c>
      <c r="AB2106" t="e">
        <f>VLOOKUP(Tabelle1014[[#This Row],[Rank]],Stammdaten[[Rank Verteilung Ovalität]:[Verteilung Ovalität]],2,FALSE)</f>
        <v>#N/A</v>
      </c>
    </row>
    <row r="2107" spans="5:28" x14ac:dyDescent="0.35">
      <c r="E2107">
        <v>2098</v>
      </c>
      <c r="F2107" t="e">
        <f>INDEX(Stammdaten[D Mitte mit Rinde (mm)],MATCH(Tabelle8[[#This Row],[Rank]],Stammdaten[Rank Verteilung D Mitte mit Rinde],0))</f>
        <v>#N/A</v>
      </c>
      <c r="G2107" t="e">
        <f>VLOOKUP(Tabelle8[[#This Row],[Rank]],Stammdaten[[Rank Verteilung D Mitte mit Rinde]:[Verteilung D Mitte mit Rinde]],2,FALSE)</f>
        <v>#N/A</v>
      </c>
      <c r="L2107">
        <v>2098</v>
      </c>
      <c r="M2107" t="e">
        <f>INDEX(Stammdaten[Abholzigkeit (mm/lfm)],MATCH(Tabelle9[[#This Row],[Rank]],Stammdaten[Rank Verteilung Abholzigkeit],0))</f>
        <v>#N/A</v>
      </c>
      <c r="N2107" t="e">
        <f>VLOOKUP(Tabelle9[[#This Row],[Rank]],Stammdaten[[Rank Verteilung Abholzigkeit]:[Verteilung Abholzigkeit]],2,FALSE)</f>
        <v>#N/A</v>
      </c>
      <c r="S2107">
        <v>2098</v>
      </c>
      <c r="T2107" t="e">
        <f>INDEX(Stammdaten[Krümmung (mm/lfm)],MATCH(Tabelle10[[#This Row],[Rank]],Stammdaten[Rank Verteilung Krümmung],0))</f>
        <v>#N/A</v>
      </c>
      <c r="U2107" t="e">
        <f>VLOOKUP(Tabelle10[[#This Row],[Rank]],Stammdaten[[Rank Verteilung Krümmung]:[Verteilung Krümmung]],2,FALSE)</f>
        <v>#N/A</v>
      </c>
      <c r="Z2107">
        <v>2098</v>
      </c>
      <c r="AA2107" t="e">
        <f>INDEX(Stammdaten[Ovalität (']0,1'])],MATCH(Tabelle1014[[#This Row],[Rank]],Stammdaten[Rank Verteilung Ovalität],0))</f>
        <v>#N/A</v>
      </c>
      <c r="AB2107" t="e">
        <f>VLOOKUP(Tabelle1014[[#This Row],[Rank]],Stammdaten[[Rank Verteilung Ovalität]:[Verteilung Ovalität]],2,FALSE)</f>
        <v>#N/A</v>
      </c>
    </row>
    <row r="2108" spans="5:28" x14ac:dyDescent="0.35">
      <c r="E2108">
        <v>2099</v>
      </c>
      <c r="F2108" t="e">
        <f>INDEX(Stammdaten[D Mitte mit Rinde (mm)],MATCH(Tabelle8[[#This Row],[Rank]],Stammdaten[Rank Verteilung D Mitte mit Rinde],0))</f>
        <v>#N/A</v>
      </c>
      <c r="G2108" t="e">
        <f>VLOOKUP(Tabelle8[[#This Row],[Rank]],Stammdaten[[Rank Verteilung D Mitte mit Rinde]:[Verteilung D Mitte mit Rinde]],2,FALSE)</f>
        <v>#N/A</v>
      </c>
      <c r="L2108">
        <v>2099</v>
      </c>
      <c r="M2108" t="e">
        <f>INDEX(Stammdaten[Abholzigkeit (mm/lfm)],MATCH(Tabelle9[[#This Row],[Rank]],Stammdaten[Rank Verteilung Abholzigkeit],0))</f>
        <v>#N/A</v>
      </c>
      <c r="N2108" t="e">
        <f>VLOOKUP(Tabelle9[[#This Row],[Rank]],Stammdaten[[Rank Verteilung Abholzigkeit]:[Verteilung Abholzigkeit]],2,FALSE)</f>
        <v>#N/A</v>
      </c>
      <c r="S2108">
        <v>2099</v>
      </c>
      <c r="T2108" t="e">
        <f>INDEX(Stammdaten[Krümmung (mm/lfm)],MATCH(Tabelle10[[#This Row],[Rank]],Stammdaten[Rank Verteilung Krümmung],0))</f>
        <v>#N/A</v>
      </c>
      <c r="U2108" t="e">
        <f>VLOOKUP(Tabelle10[[#This Row],[Rank]],Stammdaten[[Rank Verteilung Krümmung]:[Verteilung Krümmung]],2,FALSE)</f>
        <v>#N/A</v>
      </c>
      <c r="Z2108">
        <v>2099</v>
      </c>
      <c r="AA2108" t="e">
        <f>INDEX(Stammdaten[Ovalität (']0,1'])],MATCH(Tabelle1014[[#This Row],[Rank]],Stammdaten[Rank Verteilung Ovalität],0))</f>
        <v>#N/A</v>
      </c>
      <c r="AB2108" t="e">
        <f>VLOOKUP(Tabelle1014[[#This Row],[Rank]],Stammdaten[[Rank Verteilung Ovalität]:[Verteilung Ovalität]],2,FALSE)</f>
        <v>#N/A</v>
      </c>
    </row>
    <row r="2109" spans="5:28" x14ac:dyDescent="0.35">
      <c r="E2109">
        <v>2100</v>
      </c>
      <c r="F2109" t="e">
        <f>INDEX(Stammdaten[D Mitte mit Rinde (mm)],MATCH(Tabelle8[[#This Row],[Rank]],Stammdaten[Rank Verteilung D Mitte mit Rinde],0))</f>
        <v>#N/A</v>
      </c>
      <c r="G2109" t="e">
        <f>VLOOKUP(Tabelle8[[#This Row],[Rank]],Stammdaten[[Rank Verteilung D Mitte mit Rinde]:[Verteilung D Mitte mit Rinde]],2,FALSE)</f>
        <v>#N/A</v>
      </c>
      <c r="L2109">
        <v>2100</v>
      </c>
      <c r="M2109" t="e">
        <f>INDEX(Stammdaten[Abholzigkeit (mm/lfm)],MATCH(Tabelle9[[#This Row],[Rank]],Stammdaten[Rank Verteilung Abholzigkeit],0))</f>
        <v>#N/A</v>
      </c>
      <c r="N2109" t="e">
        <f>VLOOKUP(Tabelle9[[#This Row],[Rank]],Stammdaten[[Rank Verteilung Abholzigkeit]:[Verteilung Abholzigkeit]],2,FALSE)</f>
        <v>#N/A</v>
      </c>
      <c r="S2109">
        <v>2100</v>
      </c>
      <c r="T2109" t="e">
        <f>INDEX(Stammdaten[Krümmung (mm/lfm)],MATCH(Tabelle10[[#This Row],[Rank]],Stammdaten[Rank Verteilung Krümmung],0))</f>
        <v>#N/A</v>
      </c>
      <c r="U2109" t="e">
        <f>VLOOKUP(Tabelle10[[#This Row],[Rank]],Stammdaten[[Rank Verteilung Krümmung]:[Verteilung Krümmung]],2,FALSE)</f>
        <v>#N/A</v>
      </c>
      <c r="Z2109">
        <v>2100</v>
      </c>
      <c r="AA2109" t="e">
        <f>INDEX(Stammdaten[Ovalität (']0,1'])],MATCH(Tabelle1014[[#This Row],[Rank]],Stammdaten[Rank Verteilung Ovalität],0))</f>
        <v>#N/A</v>
      </c>
      <c r="AB2109" t="e">
        <f>VLOOKUP(Tabelle1014[[#This Row],[Rank]],Stammdaten[[Rank Verteilung Ovalität]:[Verteilung Ovalität]],2,FALSE)</f>
        <v>#N/A</v>
      </c>
    </row>
    <row r="2110" spans="5:28" x14ac:dyDescent="0.35">
      <c r="E2110">
        <v>2101</v>
      </c>
      <c r="F2110" t="e">
        <f>INDEX(Stammdaten[D Mitte mit Rinde (mm)],MATCH(Tabelle8[[#This Row],[Rank]],Stammdaten[Rank Verteilung D Mitte mit Rinde],0))</f>
        <v>#N/A</v>
      </c>
      <c r="G2110" t="e">
        <f>VLOOKUP(Tabelle8[[#This Row],[Rank]],Stammdaten[[Rank Verteilung D Mitte mit Rinde]:[Verteilung D Mitte mit Rinde]],2,FALSE)</f>
        <v>#N/A</v>
      </c>
      <c r="L2110">
        <v>2101</v>
      </c>
      <c r="M2110" t="e">
        <f>INDEX(Stammdaten[Abholzigkeit (mm/lfm)],MATCH(Tabelle9[[#This Row],[Rank]],Stammdaten[Rank Verteilung Abholzigkeit],0))</f>
        <v>#N/A</v>
      </c>
      <c r="N2110" t="e">
        <f>VLOOKUP(Tabelle9[[#This Row],[Rank]],Stammdaten[[Rank Verteilung Abholzigkeit]:[Verteilung Abholzigkeit]],2,FALSE)</f>
        <v>#N/A</v>
      </c>
      <c r="S2110">
        <v>2101</v>
      </c>
      <c r="T2110" t="e">
        <f>INDEX(Stammdaten[Krümmung (mm/lfm)],MATCH(Tabelle10[[#This Row],[Rank]],Stammdaten[Rank Verteilung Krümmung],0))</f>
        <v>#N/A</v>
      </c>
      <c r="U2110" t="e">
        <f>VLOOKUP(Tabelle10[[#This Row],[Rank]],Stammdaten[[Rank Verteilung Krümmung]:[Verteilung Krümmung]],2,FALSE)</f>
        <v>#N/A</v>
      </c>
      <c r="Z2110">
        <v>2101</v>
      </c>
      <c r="AA2110" t="e">
        <f>INDEX(Stammdaten[Ovalität (']0,1'])],MATCH(Tabelle1014[[#This Row],[Rank]],Stammdaten[Rank Verteilung Ovalität],0))</f>
        <v>#N/A</v>
      </c>
      <c r="AB2110" t="e">
        <f>VLOOKUP(Tabelle1014[[#This Row],[Rank]],Stammdaten[[Rank Verteilung Ovalität]:[Verteilung Ovalität]],2,FALSE)</f>
        <v>#N/A</v>
      </c>
    </row>
    <row r="2111" spans="5:28" x14ac:dyDescent="0.35">
      <c r="E2111">
        <v>2102</v>
      </c>
      <c r="F2111" t="e">
        <f>INDEX(Stammdaten[D Mitte mit Rinde (mm)],MATCH(Tabelle8[[#This Row],[Rank]],Stammdaten[Rank Verteilung D Mitte mit Rinde],0))</f>
        <v>#N/A</v>
      </c>
      <c r="G2111" t="e">
        <f>VLOOKUP(Tabelle8[[#This Row],[Rank]],Stammdaten[[Rank Verteilung D Mitte mit Rinde]:[Verteilung D Mitte mit Rinde]],2,FALSE)</f>
        <v>#N/A</v>
      </c>
      <c r="L2111">
        <v>2102</v>
      </c>
      <c r="M2111" t="e">
        <f>INDEX(Stammdaten[Abholzigkeit (mm/lfm)],MATCH(Tabelle9[[#This Row],[Rank]],Stammdaten[Rank Verteilung Abholzigkeit],0))</f>
        <v>#N/A</v>
      </c>
      <c r="N2111" t="e">
        <f>VLOOKUP(Tabelle9[[#This Row],[Rank]],Stammdaten[[Rank Verteilung Abholzigkeit]:[Verteilung Abholzigkeit]],2,FALSE)</f>
        <v>#N/A</v>
      </c>
      <c r="S2111">
        <v>2102</v>
      </c>
      <c r="T2111" t="e">
        <f>INDEX(Stammdaten[Krümmung (mm/lfm)],MATCH(Tabelle10[[#This Row],[Rank]],Stammdaten[Rank Verteilung Krümmung],0))</f>
        <v>#N/A</v>
      </c>
      <c r="U2111" t="e">
        <f>VLOOKUP(Tabelle10[[#This Row],[Rank]],Stammdaten[[Rank Verteilung Krümmung]:[Verteilung Krümmung]],2,FALSE)</f>
        <v>#N/A</v>
      </c>
      <c r="Z2111">
        <v>2102</v>
      </c>
      <c r="AA2111" t="e">
        <f>INDEX(Stammdaten[Ovalität (']0,1'])],MATCH(Tabelle1014[[#This Row],[Rank]],Stammdaten[Rank Verteilung Ovalität],0))</f>
        <v>#N/A</v>
      </c>
      <c r="AB2111" t="e">
        <f>VLOOKUP(Tabelle1014[[#This Row],[Rank]],Stammdaten[[Rank Verteilung Ovalität]:[Verteilung Ovalität]],2,FALSE)</f>
        <v>#N/A</v>
      </c>
    </row>
    <row r="2112" spans="5:28" x14ac:dyDescent="0.35">
      <c r="E2112">
        <v>2103</v>
      </c>
      <c r="F2112" t="e">
        <f>INDEX(Stammdaten[D Mitte mit Rinde (mm)],MATCH(Tabelle8[[#This Row],[Rank]],Stammdaten[Rank Verteilung D Mitte mit Rinde],0))</f>
        <v>#N/A</v>
      </c>
      <c r="G2112" t="e">
        <f>VLOOKUP(Tabelle8[[#This Row],[Rank]],Stammdaten[[Rank Verteilung D Mitte mit Rinde]:[Verteilung D Mitte mit Rinde]],2,FALSE)</f>
        <v>#N/A</v>
      </c>
      <c r="L2112">
        <v>2103</v>
      </c>
      <c r="M2112" t="e">
        <f>INDEX(Stammdaten[Abholzigkeit (mm/lfm)],MATCH(Tabelle9[[#This Row],[Rank]],Stammdaten[Rank Verteilung Abholzigkeit],0))</f>
        <v>#N/A</v>
      </c>
      <c r="N2112" t="e">
        <f>VLOOKUP(Tabelle9[[#This Row],[Rank]],Stammdaten[[Rank Verteilung Abholzigkeit]:[Verteilung Abholzigkeit]],2,FALSE)</f>
        <v>#N/A</v>
      </c>
      <c r="S2112">
        <v>2103</v>
      </c>
      <c r="T2112" t="e">
        <f>INDEX(Stammdaten[Krümmung (mm/lfm)],MATCH(Tabelle10[[#This Row],[Rank]],Stammdaten[Rank Verteilung Krümmung],0))</f>
        <v>#N/A</v>
      </c>
      <c r="U2112" t="e">
        <f>VLOOKUP(Tabelle10[[#This Row],[Rank]],Stammdaten[[Rank Verteilung Krümmung]:[Verteilung Krümmung]],2,FALSE)</f>
        <v>#N/A</v>
      </c>
      <c r="Z2112">
        <v>2103</v>
      </c>
      <c r="AA2112" t="e">
        <f>INDEX(Stammdaten[Ovalität (']0,1'])],MATCH(Tabelle1014[[#This Row],[Rank]],Stammdaten[Rank Verteilung Ovalität],0))</f>
        <v>#N/A</v>
      </c>
      <c r="AB2112" t="e">
        <f>VLOOKUP(Tabelle1014[[#This Row],[Rank]],Stammdaten[[Rank Verteilung Ovalität]:[Verteilung Ovalität]],2,FALSE)</f>
        <v>#N/A</v>
      </c>
    </row>
    <row r="2113" spans="5:28" x14ac:dyDescent="0.35">
      <c r="E2113">
        <v>2104</v>
      </c>
      <c r="F2113" t="e">
        <f>INDEX(Stammdaten[D Mitte mit Rinde (mm)],MATCH(Tabelle8[[#This Row],[Rank]],Stammdaten[Rank Verteilung D Mitte mit Rinde],0))</f>
        <v>#N/A</v>
      </c>
      <c r="G2113" t="e">
        <f>VLOOKUP(Tabelle8[[#This Row],[Rank]],Stammdaten[[Rank Verteilung D Mitte mit Rinde]:[Verteilung D Mitte mit Rinde]],2,FALSE)</f>
        <v>#N/A</v>
      </c>
      <c r="L2113">
        <v>2104</v>
      </c>
      <c r="M2113" t="e">
        <f>INDEX(Stammdaten[Abholzigkeit (mm/lfm)],MATCH(Tabelle9[[#This Row],[Rank]],Stammdaten[Rank Verteilung Abholzigkeit],0))</f>
        <v>#N/A</v>
      </c>
      <c r="N2113" t="e">
        <f>VLOOKUP(Tabelle9[[#This Row],[Rank]],Stammdaten[[Rank Verteilung Abholzigkeit]:[Verteilung Abholzigkeit]],2,FALSE)</f>
        <v>#N/A</v>
      </c>
      <c r="S2113">
        <v>2104</v>
      </c>
      <c r="T2113" t="e">
        <f>INDEX(Stammdaten[Krümmung (mm/lfm)],MATCH(Tabelle10[[#This Row],[Rank]],Stammdaten[Rank Verteilung Krümmung],0))</f>
        <v>#N/A</v>
      </c>
      <c r="U2113" t="e">
        <f>VLOOKUP(Tabelle10[[#This Row],[Rank]],Stammdaten[[Rank Verteilung Krümmung]:[Verteilung Krümmung]],2,FALSE)</f>
        <v>#N/A</v>
      </c>
      <c r="Z2113">
        <v>2104</v>
      </c>
      <c r="AA2113" t="e">
        <f>INDEX(Stammdaten[Ovalität (']0,1'])],MATCH(Tabelle1014[[#This Row],[Rank]],Stammdaten[Rank Verteilung Ovalität],0))</f>
        <v>#N/A</v>
      </c>
      <c r="AB2113" t="e">
        <f>VLOOKUP(Tabelle1014[[#This Row],[Rank]],Stammdaten[[Rank Verteilung Ovalität]:[Verteilung Ovalität]],2,FALSE)</f>
        <v>#N/A</v>
      </c>
    </row>
    <row r="2114" spans="5:28" x14ac:dyDescent="0.35">
      <c r="E2114">
        <v>2105</v>
      </c>
      <c r="F2114" t="e">
        <f>INDEX(Stammdaten[D Mitte mit Rinde (mm)],MATCH(Tabelle8[[#This Row],[Rank]],Stammdaten[Rank Verteilung D Mitte mit Rinde],0))</f>
        <v>#N/A</v>
      </c>
      <c r="G2114" t="e">
        <f>VLOOKUP(Tabelle8[[#This Row],[Rank]],Stammdaten[[Rank Verteilung D Mitte mit Rinde]:[Verteilung D Mitte mit Rinde]],2,FALSE)</f>
        <v>#N/A</v>
      </c>
      <c r="L2114">
        <v>2105</v>
      </c>
      <c r="M2114" t="e">
        <f>INDEX(Stammdaten[Abholzigkeit (mm/lfm)],MATCH(Tabelle9[[#This Row],[Rank]],Stammdaten[Rank Verteilung Abholzigkeit],0))</f>
        <v>#N/A</v>
      </c>
      <c r="N2114" t="e">
        <f>VLOOKUP(Tabelle9[[#This Row],[Rank]],Stammdaten[[Rank Verteilung Abholzigkeit]:[Verteilung Abholzigkeit]],2,FALSE)</f>
        <v>#N/A</v>
      </c>
      <c r="S2114">
        <v>2105</v>
      </c>
      <c r="T2114" t="e">
        <f>INDEX(Stammdaten[Krümmung (mm/lfm)],MATCH(Tabelle10[[#This Row],[Rank]],Stammdaten[Rank Verteilung Krümmung],0))</f>
        <v>#N/A</v>
      </c>
      <c r="U2114" t="e">
        <f>VLOOKUP(Tabelle10[[#This Row],[Rank]],Stammdaten[[Rank Verteilung Krümmung]:[Verteilung Krümmung]],2,FALSE)</f>
        <v>#N/A</v>
      </c>
      <c r="Z2114">
        <v>2105</v>
      </c>
      <c r="AA2114" t="e">
        <f>INDEX(Stammdaten[Ovalität (']0,1'])],MATCH(Tabelle1014[[#This Row],[Rank]],Stammdaten[Rank Verteilung Ovalität],0))</f>
        <v>#N/A</v>
      </c>
      <c r="AB2114" t="e">
        <f>VLOOKUP(Tabelle1014[[#This Row],[Rank]],Stammdaten[[Rank Verteilung Ovalität]:[Verteilung Ovalität]],2,FALSE)</f>
        <v>#N/A</v>
      </c>
    </row>
    <row r="2115" spans="5:28" x14ac:dyDescent="0.35">
      <c r="E2115">
        <v>2106</v>
      </c>
      <c r="F2115" t="e">
        <f>INDEX(Stammdaten[D Mitte mit Rinde (mm)],MATCH(Tabelle8[[#This Row],[Rank]],Stammdaten[Rank Verteilung D Mitte mit Rinde],0))</f>
        <v>#N/A</v>
      </c>
      <c r="G2115" t="e">
        <f>VLOOKUP(Tabelle8[[#This Row],[Rank]],Stammdaten[[Rank Verteilung D Mitte mit Rinde]:[Verteilung D Mitte mit Rinde]],2,FALSE)</f>
        <v>#N/A</v>
      </c>
      <c r="L2115">
        <v>2106</v>
      </c>
      <c r="M2115" t="e">
        <f>INDEX(Stammdaten[Abholzigkeit (mm/lfm)],MATCH(Tabelle9[[#This Row],[Rank]],Stammdaten[Rank Verteilung Abholzigkeit],0))</f>
        <v>#N/A</v>
      </c>
      <c r="N2115" t="e">
        <f>VLOOKUP(Tabelle9[[#This Row],[Rank]],Stammdaten[[Rank Verteilung Abholzigkeit]:[Verteilung Abholzigkeit]],2,FALSE)</f>
        <v>#N/A</v>
      </c>
      <c r="S2115">
        <v>2106</v>
      </c>
      <c r="T2115" t="e">
        <f>INDEX(Stammdaten[Krümmung (mm/lfm)],MATCH(Tabelle10[[#This Row],[Rank]],Stammdaten[Rank Verteilung Krümmung],0))</f>
        <v>#N/A</v>
      </c>
      <c r="U2115" t="e">
        <f>VLOOKUP(Tabelle10[[#This Row],[Rank]],Stammdaten[[Rank Verteilung Krümmung]:[Verteilung Krümmung]],2,FALSE)</f>
        <v>#N/A</v>
      </c>
      <c r="Z2115">
        <v>2106</v>
      </c>
      <c r="AA2115" t="e">
        <f>INDEX(Stammdaten[Ovalität (']0,1'])],MATCH(Tabelle1014[[#This Row],[Rank]],Stammdaten[Rank Verteilung Ovalität],0))</f>
        <v>#N/A</v>
      </c>
      <c r="AB2115" t="e">
        <f>VLOOKUP(Tabelle1014[[#This Row],[Rank]],Stammdaten[[Rank Verteilung Ovalität]:[Verteilung Ovalität]],2,FALSE)</f>
        <v>#N/A</v>
      </c>
    </row>
    <row r="2116" spans="5:28" x14ac:dyDescent="0.35">
      <c r="E2116">
        <v>2107</v>
      </c>
      <c r="F2116" t="e">
        <f>INDEX(Stammdaten[D Mitte mit Rinde (mm)],MATCH(Tabelle8[[#This Row],[Rank]],Stammdaten[Rank Verteilung D Mitte mit Rinde],0))</f>
        <v>#N/A</v>
      </c>
      <c r="G2116" t="e">
        <f>VLOOKUP(Tabelle8[[#This Row],[Rank]],Stammdaten[[Rank Verteilung D Mitte mit Rinde]:[Verteilung D Mitte mit Rinde]],2,FALSE)</f>
        <v>#N/A</v>
      </c>
      <c r="L2116">
        <v>2107</v>
      </c>
      <c r="M2116" t="e">
        <f>INDEX(Stammdaten[Abholzigkeit (mm/lfm)],MATCH(Tabelle9[[#This Row],[Rank]],Stammdaten[Rank Verteilung Abholzigkeit],0))</f>
        <v>#N/A</v>
      </c>
      <c r="N2116" t="e">
        <f>VLOOKUP(Tabelle9[[#This Row],[Rank]],Stammdaten[[Rank Verteilung Abholzigkeit]:[Verteilung Abholzigkeit]],2,FALSE)</f>
        <v>#N/A</v>
      </c>
      <c r="S2116">
        <v>2107</v>
      </c>
      <c r="T2116" t="e">
        <f>INDEX(Stammdaten[Krümmung (mm/lfm)],MATCH(Tabelle10[[#This Row],[Rank]],Stammdaten[Rank Verteilung Krümmung],0))</f>
        <v>#N/A</v>
      </c>
      <c r="U2116" t="e">
        <f>VLOOKUP(Tabelle10[[#This Row],[Rank]],Stammdaten[[Rank Verteilung Krümmung]:[Verteilung Krümmung]],2,FALSE)</f>
        <v>#N/A</v>
      </c>
      <c r="Z2116">
        <v>2107</v>
      </c>
      <c r="AA2116" t="e">
        <f>INDEX(Stammdaten[Ovalität (']0,1'])],MATCH(Tabelle1014[[#This Row],[Rank]],Stammdaten[Rank Verteilung Ovalität],0))</f>
        <v>#N/A</v>
      </c>
      <c r="AB2116" t="e">
        <f>VLOOKUP(Tabelle1014[[#This Row],[Rank]],Stammdaten[[Rank Verteilung Ovalität]:[Verteilung Ovalität]],2,FALSE)</f>
        <v>#N/A</v>
      </c>
    </row>
    <row r="2117" spans="5:28" x14ac:dyDescent="0.35">
      <c r="E2117">
        <v>2108</v>
      </c>
      <c r="F2117" t="e">
        <f>INDEX(Stammdaten[D Mitte mit Rinde (mm)],MATCH(Tabelle8[[#This Row],[Rank]],Stammdaten[Rank Verteilung D Mitte mit Rinde],0))</f>
        <v>#N/A</v>
      </c>
      <c r="G2117" t="e">
        <f>VLOOKUP(Tabelle8[[#This Row],[Rank]],Stammdaten[[Rank Verteilung D Mitte mit Rinde]:[Verteilung D Mitte mit Rinde]],2,FALSE)</f>
        <v>#N/A</v>
      </c>
      <c r="L2117">
        <v>2108</v>
      </c>
      <c r="M2117" t="e">
        <f>INDEX(Stammdaten[Abholzigkeit (mm/lfm)],MATCH(Tabelle9[[#This Row],[Rank]],Stammdaten[Rank Verteilung Abholzigkeit],0))</f>
        <v>#N/A</v>
      </c>
      <c r="N2117" t="e">
        <f>VLOOKUP(Tabelle9[[#This Row],[Rank]],Stammdaten[[Rank Verteilung Abholzigkeit]:[Verteilung Abholzigkeit]],2,FALSE)</f>
        <v>#N/A</v>
      </c>
      <c r="S2117">
        <v>2108</v>
      </c>
      <c r="T2117" t="e">
        <f>INDEX(Stammdaten[Krümmung (mm/lfm)],MATCH(Tabelle10[[#This Row],[Rank]],Stammdaten[Rank Verteilung Krümmung],0))</f>
        <v>#N/A</v>
      </c>
      <c r="U2117" t="e">
        <f>VLOOKUP(Tabelle10[[#This Row],[Rank]],Stammdaten[[Rank Verteilung Krümmung]:[Verteilung Krümmung]],2,FALSE)</f>
        <v>#N/A</v>
      </c>
      <c r="Z2117">
        <v>2108</v>
      </c>
      <c r="AA2117" t="e">
        <f>INDEX(Stammdaten[Ovalität (']0,1'])],MATCH(Tabelle1014[[#This Row],[Rank]],Stammdaten[Rank Verteilung Ovalität],0))</f>
        <v>#N/A</v>
      </c>
      <c r="AB2117" t="e">
        <f>VLOOKUP(Tabelle1014[[#This Row],[Rank]],Stammdaten[[Rank Verteilung Ovalität]:[Verteilung Ovalität]],2,FALSE)</f>
        <v>#N/A</v>
      </c>
    </row>
    <row r="2118" spans="5:28" x14ac:dyDescent="0.35">
      <c r="E2118">
        <v>2109</v>
      </c>
      <c r="F2118" t="e">
        <f>INDEX(Stammdaten[D Mitte mit Rinde (mm)],MATCH(Tabelle8[[#This Row],[Rank]],Stammdaten[Rank Verteilung D Mitte mit Rinde],0))</f>
        <v>#N/A</v>
      </c>
      <c r="G2118" t="e">
        <f>VLOOKUP(Tabelle8[[#This Row],[Rank]],Stammdaten[[Rank Verteilung D Mitte mit Rinde]:[Verteilung D Mitte mit Rinde]],2,FALSE)</f>
        <v>#N/A</v>
      </c>
      <c r="L2118">
        <v>2109</v>
      </c>
      <c r="M2118" t="e">
        <f>INDEX(Stammdaten[Abholzigkeit (mm/lfm)],MATCH(Tabelle9[[#This Row],[Rank]],Stammdaten[Rank Verteilung Abholzigkeit],0))</f>
        <v>#N/A</v>
      </c>
      <c r="N2118" t="e">
        <f>VLOOKUP(Tabelle9[[#This Row],[Rank]],Stammdaten[[Rank Verteilung Abholzigkeit]:[Verteilung Abholzigkeit]],2,FALSE)</f>
        <v>#N/A</v>
      </c>
      <c r="S2118">
        <v>2109</v>
      </c>
      <c r="T2118" t="e">
        <f>INDEX(Stammdaten[Krümmung (mm/lfm)],MATCH(Tabelle10[[#This Row],[Rank]],Stammdaten[Rank Verteilung Krümmung],0))</f>
        <v>#N/A</v>
      </c>
      <c r="U2118" t="e">
        <f>VLOOKUP(Tabelle10[[#This Row],[Rank]],Stammdaten[[Rank Verteilung Krümmung]:[Verteilung Krümmung]],2,FALSE)</f>
        <v>#N/A</v>
      </c>
      <c r="Z2118">
        <v>2109</v>
      </c>
      <c r="AA2118" t="e">
        <f>INDEX(Stammdaten[Ovalität (']0,1'])],MATCH(Tabelle1014[[#This Row],[Rank]],Stammdaten[Rank Verteilung Ovalität],0))</f>
        <v>#N/A</v>
      </c>
      <c r="AB2118" t="e">
        <f>VLOOKUP(Tabelle1014[[#This Row],[Rank]],Stammdaten[[Rank Verteilung Ovalität]:[Verteilung Ovalität]],2,FALSE)</f>
        <v>#N/A</v>
      </c>
    </row>
    <row r="2119" spans="5:28" x14ac:dyDescent="0.35">
      <c r="E2119">
        <v>2110</v>
      </c>
      <c r="F2119" t="e">
        <f>INDEX(Stammdaten[D Mitte mit Rinde (mm)],MATCH(Tabelle8[[#This Row],[Rank]],Stammdaten[Rank Verteilung D Mitte mit Rinde],0))</f>
        <v>#N/A</v>
      </c>
      <c r="G2119" t="e">
        <f>VLOOKUP(Tabelle8[[#This Row],[Rank]],Stammdaten[[Rank Verteilung D Mitte mit Rinde]:[Verteilung D Mitte mit Rinde]],2,FALSE)</f>
        <v>#N/A</v>
      </c>
      <c r="L2119">
        <v>2110</v>
      </c>
      <c r="M2119" t="e">
        <f>INDEX(Stammdaten[Abholzigkeit (mm/lfm)],MATCH(Tabelle9[[#This Row],[Rank]],Stammdaten[Rank Verteilung Abholzigkeit],0))</f>
        <v>#N/A</v>
      </c>
      <c r="N2119" t="e">
        <f>VLOOKUP(Tabelle9[[#This Row],[Rank]],Stammdaten[[Rank Verteilung Abholzigkeit]:[Verteilung Abholzigkeit]],2,FALSE)</f>
        <v>#N/A</v>
      </c>
      <c r="S2119">
        <v>2110</v>
      </c>
      <c r="T2119" t="e">
        <f>INDEX(Stammdaten[Krümmung (mm/lfm)],MATCH(Tabelle10[[#This Row],[Rank]],Stammdaten[Rank Verteilung Krümmung],0))</f>
        <v>#N/A</v>
      </c>
      <c r="U2119" t="e">
        <f>VLOOKUP(Tabelle10[[#This Row],[Rank]],Stammdaten[[Rank Verteilung Krümmung]:[Verteilung Krümmung]],2,FALSE)</f>
        <v>#N/A</v>
      </c>
      <c r="Z2119">
        <v>2110</v>
      </c>
      <c r="AA2119" t="e">
        <f>INDEX(Stammdaten[Ovalität (']0,1'])],MATCH(Tabelle1014[[#This Row],[Rank]],Stammdaten[Rank Verteilung Ovalität],0))</f>
        <v>#N/A</v>
      </c>
      <c r="AB2119" t="e">
        <f>VLOOKUP(Tabelle1014[[#This Row],[Rank]],Stammdaten[[Rank Verteilung Ovalität]:[Verteilung Ovalität]],2,FALSE)</f>
        <v>#N/A</v>
      </c>
    </row>
    <row r="2120" spans="5:28" x14ac:dyDescent="0.35">
      <c r="E2120">
        <v>2111</v>
      </c>
      <c r="F2120" t="e">
        <f>INDEX(Stammdaten[D Mitte mit Rinde (mm)],MATCH(Tabelle8[[#This Row],[Rank]],Stammdaten[Rank Verteilung D Mitte mit Rinde],0))</f>
        <v>#N/A</v>
      </c>
      <c r="G2120" t="e">
        <f>VLOOKUP(Tabelle8[[#This Row],[Rank]],Stammdaten[[Rank Verteilung D Mitte mit Rinde]:[Verteilung D Mitte mit Rinde]],2,FALSE)</f>
        <v>#N/A</v>
      </c>
      <c r="L2120">
        <v>2111</v>
      </c>
      <c r="M2120" t="e">
        <f>INDEX(Stammdaten[Abholzigkeit (mm/lfm)],MATCH(Tabelle9[[#This Row],[Rank]],Stammdaten[Rank Verteilung Abholzigkeit],0))</f>
        <v>#N/A</v>
      </c>
      <c r="N2120" t="e">
        <f>VLOOKUP(Tabelle9[[#This Row],[Rank]],Stammdaten[[Rank Verteilung Abholzigkeit]:[Verteilung Abholzigkeit]],2,FALSE)</f>
        <v>#N/A</v>
      </c>
      <c r="S2120">
        <v>2111</v>
      </c>
      <c r="T2120" t="e">
        <f>INDEX(Stammdaten[Krümmung (mm/lfm)],MATCH(Tabelle10[[#This Row],[Rank]],Stammdaten[Rank Verteilung Krümmung],0))</f>
        <v>#N/A</v>
      </c>
      <c r="U2120" t="e">
        <f>VLOOKUP(Tabelle10[[#This Row],[Rank]],Stammdaten[[Rank Verteilung Krümmung]:[Verteilung Krümmung]],2,FALSE)</f>
        <v>#N/A</v>
      </c>
      <c r="Z2120">
        <v>2111</v>
      </c>
      <c r="AA2120" t="e">
        <f>INDEX(Stammdaten[Ovalität (']0,1'])],MATCH(Tabelle1014[[#This Row],[Rank]],Stammdaten[Rank Verteilung Ovalität],0))</f>
        <v>#N/A</v>
      </c>
      <c r="AB2120" t="e">
        <f>VLOOKUP(Tabelle1014[[#This Row],[Rank]],Stammdaten[[Rank Verteilung Ovalität]:[Verteilung Ovalität]],2,FALSE)</f>
        <v>#N/A</v>
      </c>
    </row>
    <row r="2121" spans="5:28" x14ac:dyDescent="0.35">
      <c r="E2121">
        <v>2112</v>
      </c>
      <c r="F2121" t="e">
        <f>INDEX(Stammdaten[D Mitte mit Rinde (mm)],MATCH(Tabelle8[[#This Row],[Rank]],Stammdaten[Rank Verteilung D Mitte mit Rinde],0))</f>
        <v>#N/A</v>
      </c>
      <c r="G2121" t="e">
        <f>VLOOKUP(Tabelle8[[#This Row],[Rank]],Stammdaten[[Rank Verteilung D Mitte mit Rinde]:[Verteilung D Mitte mit Rinde]],2,FALSE)</f>
        <v>#N/A</v>
      </c>
      <c r="L2121">
        <v>2112</v>
      </c>
      <c r="M2121" t="e">
        <f>INDEX(Stammdaten[Abholzigkeit (mm/lfm)],MATCH(Tabelle9[[#This Row],[Rank]],Stammdaten[Rank Verteilung Abholzigkeit],0))</f>
        <v>#N/A</v>
      </c>
      <c r="N2121" t="e">
        <f>VLOOKUP(Tabelle9[[#This Row],[Rank]],Stammdaten[[Rank Verteilung Abholzigkeit]:[Verteilung Abholzigkeit]],2,FALSE)</f>
        <v>#N/A</v>
      </c>
      <c r="S2121">
        <v>2112</v>
      </c>
      <c r="T2121" t="e">
        <f>INDEX(Stammdaten[Krümmung (mm/lfm)],MATCH(Tabelle10[[#This Row],[Rank]],Stammdaten[Rank Verteilung Krümmung],0))</f>
        <v>#N/A</v>
      </c>
      <c r="U2121" t="e">
        <f>VLOOKUP(Tabelle10[[#This Row],[Rank]],Stammdaten[[Rank Verteilung Krümmung]:[Verteilung Krümmung]],2,FALSE)</f>
        <v>#N/A</v>
      </c>
      <c r="Z2121">
        <v>2112</v>
      </c>
      <c r="AA2121" t="e">
        <f>INDEX(Stammdaten[Ovalität (']0,1'])],MATCH(Tabelle1014[[#This Row],[Rank]],Stammdaten[Rank Verteilung Ovalität],0))</f>
        <v>#N/A</v>
      </c>
      <c r="AB2121" t="e">
        <f>VLOOKUP(Tabelle1014[[#This Row],[Rank]],Stammdaten[[Rank Verteilung Ovalität]:[Verteilung Ovalität]],2,FALSE)</f>
        <v>#N/A</v>
      </c>
    </row>
    <row r="2122" spans="5:28" x14ac:dyDescent="0.35">
      <c r="E2122">
        <v>2113</v>
      </c>
      <c r="F2122" t="e">
        <f>INDEX(Stammdaten[D Mitte mit Rinde (mm)],MATCH(Tabelle8[[#This Row],[Rank]],Stammdaten[Rank Verteilung D Mitte mit Rinde],0))</f>
        <v>#N/A</v>
      </c>
      <c r="G2122" t="e">
        <f>VLOOKUP(Tabelle8[[#This Row],[Rank]],Stammdaten[[Rank Verteilung D Mitte mit Rinde]:[Verteilung D Mitte mit Rinde]],2,FALSE)</f>
        <v>#N/A</v>
      </c>
      <c r="L2122">
        <v>2113</v>
      </c>
      <c r="M2122" t="e">
        <f>INDEX(Stammdaten[Abholzigkeit (mm/lfm)],MATCH(Tabelle9[[#This Row],[Rank]],Stammdaten[Rank Verteilung Abholzigkeit],0))</f>
        <v>#N/A</v>
      </c>
      <c r="N2122" t="e">
        <f>VLOOKUP(Tabelle9[[#This Row],[Rank]],Stammdaten[[Rank Verteilung Abholzigkeit]:[Verteilung Abholzigkeit]],2,FALSE)</f>
        <v>#N/A</v>
      </c>
      <c r="S2122">
        <v>2113</v>
      </c>
      <c r="T2122" t="e">
        <f>INDEX(Stammdaten[Krümmung (mm/lfm)],MATCH(Tabelle10[[#This Row],[Rank]],Stammdaten[Rank Verteilung Krümmung],0))</f>
        <v>#N/A</v>
      </c>
      <c r="U2122" t="e">
        <f>VLOOKUP(Tabelle10[[#This Row],[Rank]],Stammdaten[[Rank Verteilung Krümmung]:[Verteilung Krümmung]],2,FALSE)</f>
        <v>#N/A</v>
      </c>
      <c r="Z2122">
        <v>2113</v>
      </c>
      <c r="AA2122" t="e">
        <f>INDEX(Stammdaten[Ovalität (']0,1'])],MATCH(Tabelle1014[[#This Row],[Rank]],Stammdaten[Rank Verteilung Ovalität],0))</f>
        <v>#N/A</v>
      </c>
      <c r="AB2122" t="e">
        <f>VLOOKUP(Tabelle1014[[#This Row],[Rank]],Stammdaten[[Rank Verteilung Ovalität]:[Verteilung Ovalität]],2,FALSE)</f>
        <v>#N/A</v>
      </c>
    </row>
    <row r="2123" spans="5:28" x14ac:dyDescent="0.35">
      <c r="E2123">
        <v>2114</v>
      </c>
      <c r="F2123" t="e">
        <f>INDEX(Stammdaten[D Mitte mit Rinde (mm)],MATCH(Tabelle8[[#This Row],[Rank]],Stammdaten[Rank Verteilung D Mitte mit Rinde],0))</f>
        <v>#N/A</v>
      </c>
      <c r="G2123" t="e">
        <f>VLOOKUP(Tabelle8[[#This Row],[Rank]],Stammdaten[[Rank Verteilung D Mitte mit Rinde]:[Verteilung D Mitte mit Rinde]],2,FALSE)</f>
        <v>#N/A</v>
      </c>
      <c r="L2123">
        <v>2114</v>
      </c>
      <c r="M2123" t="e">
        <f>INDEX(Stammdaten[Abholzigkeit (mm/lfm)],MATCH(Tabelle9[[#This Row],[Rank]],Stammdaten[Rank Verteilung Abholzigkeit],0))</f>
        <v>#N/A</v>
      </c>
      <c r="N2123" t="e">
        <f>VLOOKUP(Tabelle9[[#This Row],[Rank]],Stammdaten[[Rank Verteilung Abholzigkeit]:[Verteilung Abholzigkeit]],2,FALSE)</f>
        <v>#N/A</v>
      </c>
      <c r="S2123">
        <v>2114</v>
      </c>
      <c r="T2123" t="e">
        <f>INDEX(Stammdaten[Krümmung (mm/lfm)],MATCH(Tabelle10[[#This Row],[Rank]],Stammdaten[Rank Verteilung Krümmung],0))</f>
        <v>#N/A</v>
      </c>
      <c r="U2123" t="e">
        <f>VLOOKUP(Tabelle10[[#This Row],[Rank]],Stammdaten[[Rank Verteilung Krümmung]:[Verteilung Krümmung]],2,FALSE)</f>
        <v>#N/A</v>
      </c>
      <c r="Z2123">
        <v>2114</v>
      </c>
      <c r="AA2123" t="e">
        <f>INDEX(Stammdaten[Ovalität (']0,1'])],MATCH(Tabelle1014[[#This Row],[Rank]],Stammdaten[Rank Verteilung Ovalität],0))</f>
        <v>#N/A</v>
      </c>
      <c r="AB2123" t="e">
        <f>VLOOKUP(Tabelle1014[[#This Row],[Rank]],Stammdaten[[Rank Verteilung Ovalität]:[Verteilung Ovalität]],2,FALSE)</f>
        <v>#N/A</v>
      </c>
    </row>
    <row r="2124" spans="5:28" x14ac:dyDescent="0.35">
      <c r="E2124">
        <v>2115</v>
      </c>
      <c r="F2124" t="e">
        <f>INDEX(Stammdaten[D Mitte mit Rinde (mm)],MATCH(Tabelle8[[#This Row],[Rank]],Stammdaten[Rank Verteilung D Mitte mit Rinde],0))</f>
        <v>#N/A</v>
      </c>
      <c r="G2124" t="e">
        <f>VLOOKUP(Tabelle8[[#This Row],[Rank]],Stammdaten[[Rank Verteilung D Mitte mit Rinde]:[Verteilung D Mitte mit Rinde]],2,FALSE)</f>
        <v>#N/A</v>
      </c>
      <c r="L2124">
        <v>2115</v>
      </c>
      <c r="M2124" t="e">
        <f>INDEX(Stammdaten[Abholzigkeit (mm/lfm)],MATCH(Tabelle9[[#This Row],[Rank]],Stammdaten[Rank Verteilung Abholzigkeit],0))</f>
        <v>#N/A</v>
      </c>
      <c r="N2124" t="e">
        <f>VLOOKUP(Tabelle9[[#This Row],[Rank]],Stammdaten[[Rank Verteilung Abholzigkeit]:[Verteilung Abholzigkeit]],2,FALSE)</f>
        <v>#N/A</v>
      </c>
      <c r="S2124">
        <v>2115</v>
      </c>
      <c r="T2124" t="e">
        <f>INDEX(Stammdaten[Krümmung (mm/lfm)],MATCH(Tabelle10[[#This Row],[Rank]],Stammdaten[Rank Verteilung Krümmung],0))</f>
        <v>#N/A</v>
      </c>
      <c r="U2124" t="e">
        <f>VLOOKUP(Tabelle10[[#This Row],[Rank]],Stammdaten[[Rank Verteilung Krümmung]:[Verteilung Krümmung]],2,FALSE)</f>
        <v>#N/A</v>
      </c>
      <c r="Z2124">
        <v>2115</v>
      </c>
      <c r="AA2124" t="e">
        <f>INDEX(Stammdaten[Ovalität (']0,1'])],MATCH(Tabelle1014[[#This Row],[Rank]],Stammdaten[Rank Verteilung Ovalität],0))</f>
        <v>#N/A</v>
      </c>
      <c r="AB2124" t="e">
        <f>VLOOKUP(Tabelle1014[[#This Row],[Rank]],Stammdaten[[Rank Verteilung Ovalität]:[Verteilung Ovalität]],2,FALSE)</f>
        <v>#N/A</v>
      </c>
    </row>
    <row r="2125" spans="5:28" x14ac:dyDescent="0.35">
      <c r="E2125">
        <v>2116</v>
      </c>
      <c r="F2125" t="e">
        <f>INDEX(Stammdaten[D Mitte mit Rinde (mm)],MATCH(Tabelle8[[#This Row],[Rank]],Stammdaten[Rank Verteilung D Mitte mit Rinde],0))</f>
        <v>#N/A</v>
      </c>
      <c r="G2125" t="e">
        <f>VLOOKUP(Tabelle8[[#This Row],[Rank]],Stammdaten[[Rank Verteilung D Mitte mit Rinde]:[Verteilung D Mitte mit Rinde]],2,FALSE)</f>
        <v>#N/A</v>
      </c>
      <c r="L2125">
        <v>2116</v>
      </c>
      <c r="M2125" t="e">
        <f>INDEX(Stammdaten[Abholzigkeit (mm/lfm)],MATCH(Tabelle9[[#This Row],[Rank]],Stammdaten[Rank Verteilung Abholzigkeit],0))</f>
        <v>#N/A</v>
      </c>
      <c r="N2125" t="e">
        <f>VLOOKUP(Tabelle9[[#This Row],[Rank]],Stammdaten[[Rank Verteilung Abholzigkeit]:[Verteilung Abholzigkeit]],2,FALSE)</f>
        <v>#N/A</v>
      </c>
      <c r="S2125">
        <v>2116</v>
      </c>
      <c r="T2125" t="e">
        <f>INDEX(Stammdaten[Krümmung (mm/lfm)],MATCH(Tabelle10[[#This Row],[Rank]],Stammdaten[Rank Verteilung Krümmung],0))</f>
        <v>#N/A</v>
      </c>
      <c r="U2125" t="e">
        <f>VLOOKUP(Tabelle10[[#This Row],[Rank]],Stammdaten[[Rank Verteilung Krümmung]:[Verteilung Krümmung]],2,FALSE)</f>
        <v>#N/A</v>
      </c>
      <c r="Z2125">
        <v>2116</v>
      </c>
      <c r="AA2125" t="e">
        <f>INDEX(Stammdaten[Ovalität (']0,1'])],MATCH(Tabelle1014[[#This Row],[Rank]],Stammdaten[Rank Verteilung Ovalität],0))</f>
        <v>#N/A</v>
      </c>
      <c r="AB2125" t="e">
        <f>VLOOKUP(Tabelle1014[[#This Row],[Rank]],Stammdaten[[Rank Verteilung Ovalität]:[Verteilung Ovalität]],2,FALSE)</f>
        <v>#N/A</v>
      </c>
    </row>
    <row r="2126" spans="5:28" x14ac:dyDescent="0.35">
      <c r="E2126">
        <v>2117</v>
      </c>
      <c r="F2126" t="e">
        <f>INDEX(Stammdaten[D Mitte mit Rinde (mm)],MATCH(Tabelle8[[#This Row],[Rank]],Stammdaten[Rank Verteilung D Mitte mit Rinde],0))</f>
        <v>#N/A</v>
      </c>
      <c r="G2126" t="e">
        <f>VLOOKUP(Tabelle8[[#This Row],[Rank]],Stammdaten[[Rank Verteilung D Mitte mit Rinde]:[Verteilung D Mitte mit Rinde]],2,FALSE)</f>
        <v>#N/A</v>
      </c>
      <c r="L2126">
        <v>2117</v>
      </c>
      <c r="M2126" t="e">
        <f>INDEX(Stammdaten[Abholzigkeit (mm/lfm)],MATCH(Tabelle9[[#This Row],[Rank]],Stammdaten[Rank Verteilung Abholzigkeit],0))</f>
        <v>#N/A</v>
      </c>
      <c r="N2126" t="e">
        <f>VLOOKUP(Tabelle9[[#This Row],[Rank]],Stammdaten[[Rank Verteilung Abholzigkeit]:[Verteilung Abholzigkeit]],2,FALSE)</f>
        <v>#N/A</v>
      </c>
      <c r="S2126">
        <v>2117</v>
      </c>
      <c r="T2126" t="e">
        <f>INDEX(Stammdaten[Krümmung (mm/lfm)],MATCH(Tabelle10[[#This Row],[Rank]],Stammdaten[Rank Verteilung Krümmung],0))</f>
        <v>#N/A</v>
      </c>
      <c r="U2126" t="e">
        <f>VLOOKUP(Tabelle10[[#This Row],[Rank]],Stammdaten[[Rank Verteilung Krümmung]:[Verteilung Krümmung]],2,FALSE)</f>
        <v>#N/A</v>
      </c>
      <c r="Z2126">
        <v>2117</v>
      </c>
      <c r="AA2126" t="e">
        <f>INDEX(Stammdaten[Ovalität (']0,1'])],MATCH(Tabelle1014[[#This Row],[Rank]],Stammdaten[Rank Verteilung Ovalität],0))</f>
        <v>#N/A</v>
      </c>
      <c r="AB2126" t="e">
        <f>VLOOKUP(Tabelle1014[[#This Row],[Rank]],Stammdaten[[Rank Verteilung Ovalität]:[Verteilung Ovalität]],2,FALSE)</f>
        <v>#N/A</v>
      </c>
    </row>
    <row r="2127" spans="5:28" x14ac:dyDescent="0.35">
      <c r="E2127">
        <v>2118</v>
      </c>
      <c r="F2127" t="e">
        <f>INDEX(Stammdaten[D Mitte mit Rinde (mm)],MATCH(Tabelle8[[#This Row],[Rank]],Stammdaten[Rank Verteilung D Mitte mit Rinde],0))</f>
        <v>#N/A</v>
      </c>
      <c r="G2127" t="e">
        <f>VLOOKUP(Tabelle8[[#This Row],[Rank]],Stammdaten[[Rank Verteilung D Mitte mit Rinde]:[Verteilung D Mitte mit Rinde]],2,FALSE)</f>
        <v>#N/A</v>
      </c>
      <c r="L2127">
        <v>2118</v>
      </c>
      <c r="M2127" t="e">
        <f>INDEX(Stammdaten[Abholzigkeit (mm/lfm)],MATCH(Tabelle9[[#This Row],[Rank]],Stammdaten[Rank Verteilung Abholzigkeit],0))</f>
        <v>#N/A</v>
      </c>
      <c r="N2127" t="e">
        <f>VLOOKUP(Tabelle9[[#This Row],[Rank]],Stammdaten[[Rank Verteilung Abholzigkeit]:[Verteilung Abholzigkeit]],2,FALSE)</f>
        <v>#N/A</v>
      </c>
      <c r="S2127">
        <v>2118</v>
      </c>
      <c r="T2127" t="e">
        <f>INDEX(Stammdaten[Krümmung (mm/lfm)],MATCH(Tabelle10[[#This Row],[Rank]],Stammdaten[Rank Verteilung Krümmung],0))</f>
        <v>#N/A</v>
      </c>
      <c r="U2127" t="e">
        <f>VLOOKUP(Tabelle10[[#This Row],[Rank]],Stammdaten[[Rank Verteilung Krümmung]:[Verteilung Krümmung]],2,FALSE)</f>
        <v>#N/A</v>
      </c>
      <c r="Z2127">
        <v>2118</v>
      </c>
      <c r="AA2127" t="e">
        <f>INDEX(Stammdaten[Ovalität (']0,1'])],MATCH(Tabelle1014[[#This Row],[Rank]],Stammdaten[Rank Verteilung Ovalität],0))</f>
        <v>#N/A</v>
      </c>
      <c r="AB2127" t="e">
        <f>VLOOKUP(Tabelle1014[[#This Row],[Rank]],Stammdaten[[Rank Verteilung Ovalität]:[Verteilung Ovalität]],2,FALSE)</f>
        <v>#N/A</v>
      </c>
    </row>
    <row r="2128" spans="5:28" x14ac:dyDescent="0.35">
      <c r="E2128">
        <v>2119</v>
      </c>
      <c r="F2128" t="e">
        <f>INDEX(Stammdaten[D Mitte mit Rinde (mm)],MATCH(Tabelle8[[#This Row],[Rank]],Stammdaten[Rank Verteilung D Mitte mit Rinde],0))</f>
        <v>#N/A</v>
      </c>
      <c r="G2128" t="e">
        <f>VLOOKUP(Tabelle8[[#This Row],[Rank]],Stammdaten[[Rank Verteilung D Mitte mit Rinde]:[Verteilung D Mitte mit Rinde]],2,FALSE)</f>
        <v>#N/A</v>
      </c>
      <c r="L2128">
        <v>2119</v>
      </c>
      <c r="M2128" t="e">
        <f>INDEX(Stammdaten[Abholzigkeit (mm/lfm)],MATCH(Tabelle9[[#This Row],[Rank]],Stammdaten[Rank Verteilung Abholzigkeit],0))</f>
        <v>#N/A</v>
      </c>
      <c r="N2128" t="e">
        <f>VLOOKUP(Tabelle9[[#This Row],[Rank]],Stammdaten[[Rank Verteilung Abholzigkeit]:[Verteilung Abholzigkeit]],2,FALSE)</f>
        <v>#N/A</v>
      </c>
      <c r="S2128">
        <v>2119</v>
      </c>
      <c r="T2128" t="e">
        <f>INDEX(Stammdaten[Krümmung (mm/lfm)],MATCH(Tabelle10[[#This Row],[Rank]],Stammdaten[Rank Verteilung Krümmung],0))</f>
        <v>#N/A</v>
      </c>
      <c r="U2128" t="e">
        <f>VLOOKUP(Tabelle10[[#This Row],[Rank]],Stammdaten[[Rank Verteilung Krümmung]:[Verteilung Krümmung]],2,FALSE)</f>
        <v>#N/A</v>
      </c>
      <c r="Z2128">
        <v>2119</v>
      </c>
      <c r="AA2128" t="e">
        <f>INDEX(Stammdaten[Ovalität (']0,1'])],MATCH(Tabelle1014[[#This Row],[Rank]],Stammdaten[Rank Verteilung Ovalität],0))</f>
        <v>#N/A</v>
      </c>
      <c r="AB2128" t="e">
        <f>VLOOKUP(Tabelle1014[[#This Row],[Rank]],Stammdaten[[Rank Verteilung Ovalität]:[Verteilung Ovalität]],2,FALSE)</f>
        <v>#N/A</v>
      </c>
    </row>
    <row r="2129" spans="5:28" x14ac:dyDescent="0.35">
      <c r="E2129">
        <v>2120</v>
      </c>
      <c r="F2129" t="e">
        <f>INDEX(Stammdaten[D Mitte mit Rinde (mm)],MATCH(Tabelle8[[#This Row],[Rank]],Stammdaten[Rank Verteilung D Mitte mit Rinde],0))</f>
        <v>#N/A</v>
      </c>
      <c r="G2129" t="e">
        <f>VLOOKUP(Tabelle8[[#This Row],[Rank]],Stammdaten[[Rank Verteilung D Mitte mit Rinde]:[Verteilung D Mitte mit Rinde]],2,FALSE)</f>
        <v>#N/A</v>
      </c>
      <c r="L2129">
        <v>2120</v>
      </c>
      <c r="M2129" t="e">
        <f>INDEX(Stammdaten[Abholzigkeit (mm/lfm)],MATCH(Tabelle9[[#This Row],[Rank]],Stammdaten[Rank Verteilung Abholzigkeit],0))</f>
        <v>#N/A</v>
      </c>
      <c r="N2129" t="e">
        <f>VLOOKUP(Tabelle9[[#This Row],[Rank]],Stammdaten[[Rank Verteilung Abholzigkeit]:[Verteilung Abholzigkeit]],2,FALSE)</f>
        <v>#N/A</v>
      </c>
      <c r="S2129">
        <v>2120</v>
      </c>
      <c r="T2129" t="e">
        <f>INDEX(Stammdaten[Krümmung (mm/lfm)],MATCH(Tabelle10[[#This Row],[Rank]],Stammdaten[Rank Verteilung Krümmung],0))</f>
        <v>#N/A</v>
      </c>
      <c r="U2129" t="e">
        <f>VLOOKUP(Tabelle10[[#This Row],[Rank]],Stammdaten[[Rank Verteilung Krümmung]:[Verteilung Krümmung]],2,FALSE)</f>
        <v>#N/A</v>
      </c>
      <c r="Z2129">
        <v>2120</v>
      </c>
      <c r="AA2129" t="e">
        <f>INDEX(Stammdaten[Ovalität (']0,1'])],MATCH(Tabelle1014[[#This Row],[Rank]],Stammdaten[Rank Verteilung Ovalität],0))</f>
        <v>#N/A</v>
      </c>
      <c r="AB2129" t="e">
        <f>VLOOKUP(Tabelle1014[[#This Row],[Rank]],Stammdaten[[Rank Verteilung Ovalität]:[Verteilung Ovalität]],2,FALSE)</f>
        <v>#N/A</v>
      </c>
    </row>
    <row r="2130" spans="5:28" x14ac:dyDescent="0.35">
      <c r="E2130">
        <v>2121</v>
      </c>
      <c r="F2130" t="e">
        <f>INDEX(Stammdaten[D Mitte mit Rinde (mm)],MATCH(Tabelle8[[#This Row],[Rank]],Stammdaten[Rank Verteilung D Mitte mit Rinde],0))</f>
        <v>#N/A</v>
      </c>
      <c r="G2130" t="e">
        <f>VLOOKUP(Tabelle8[[#This Row],[Rank]],Stammdaten[[Rank Verteilung D Mitte mit Rinde]:[Verteilung D Mitte mit Rinde]],2,FALSE)</f>
        <v>#N/A</v>
      </c>
      <c r="L2130">
        <v>2121</v>
      </c>
      <c r="M2130" t="e">
        <f>INDEX(Stammdaten[Abholzigkeit (mm/lfm)],MATCH(Tabelle9[[#This Row],[Rank]],Stammdaten[Rank Verteilung Abholzigkeit],0))</f>
        <v>#N/A</v>
      </c>
      <c r="N2130" t="e">
        <f>VLOOKUP(Tabelle9[[#This Row],[Rank]],Stammdaten[[Rank Verteilung Abholzigkeit]:[Verteilung Abholzigkeit]],2,FALSE)</f>
        <v>#N/A</v>
      </c>
      <c r="S2130">
        <v>2121</v>
      </c>
      <c r="T2130" t="e">
        <f>INDEX(Stammdaten[Krümmung (mm/lfm)],MATCH(Tabelle10[[#This Row],[Rank]],Stammdaten[Rank Verteilung Krümmung],0))</f>
        <v>#N/A</v>
      </c>
      <c r="U2130" t="e">
        <f>VLOOKUP(Tabelle10[[#This Row],[Rank]],Stammdaten[[Rank Verteilung Krümmung]:[Verteilung Krümmung]],2,FALSE)</f>
        <v>#N/A</v>
      </c>
      <c r="Z2130">
        <v>2121</v>
      </c>
      <c r="AA2130" t="e">
        <f>INDEX(Stammdaten[Ovalität (']0,1'])],MATCH(Tabelle1014[[#This Row],[Rank]],Stammdaten[Rank Verteilung Ovalität],0))</f>
        <v>#N/A</v>
      </c>
      <c r="AB2130" t="e">
        <f>VLOOKUP(Tabelle1014[[#This Row],[Rank]],Stammdaten[[Rank Verteilung Ovalität]:[Verteilung Ovalität]],2,FALSE)</f>
        <v>#N/A</v>
      </c>
    </row>
    <row r="2131" spans="5:28" x14ac:dyDescent="0.35">
      <c r="E2131">
        <v>2122</v>
      </c>
      <c r="F2131" t="e">
        <f>INDEX(Stammdaten[D Mitte mit Rinde (mm)],MATCH(Tabelle8[[#This Row],[Rank]],Stammdaten[Rank Verteilung D Mitte mit Rinde],0))</f>
        <v>#N/A</v>
      </c>
      <c r="G2131" t="e">
        <f>VLOOKUP(Tabelle8[[#This Row],[Rank]],Stammdaten[[Rank Verteilung D Mitte mit Rinde]:[Verteilung D Mitte mit Rinde]],2,FALSE)</f>
        <v>#N/A</v>
      </c>
      <c r="L2131">
        <v>2122</v>
      </c>
      <c r="M2131" t="e">
        <f>INDEX(Stammdaten[Abholzigkeit (mm/lfm)],MATCH(Tabelle9[[#This Row],[Rank]],Stammdaten[Rank Verteilung Abholzigkeit],0))</f>
        <v>#N/A</v>
      </c>
      <c r="N2131" t="e">
        <f>VLOOKUP(Tabelle9[[#This Row],[Rank]],Stammdaten[[Rank Verteilung Abholzigkeit]:[Verteilung Abholzigkeit]],2,FALSE)</f>
        <v>#N/A</v>
      </c>
      <c r="S2131">
        <v>2122</v>
      </c>
      <c r="T2131" t="e">
        <f>INDEX(Stammdaten[Krümmung (mm/lfm)],MATCH(Tabelle10[[#This Row],[Rank]],Stammdaten[Rank Verteilung Krümmung],0))</f>
        <v>#N/A</v>
      </c>
      <c r="U2131" t="e">
        <f>VLOOKUP(Tabelle10[[#This Row],[Rank]],Stammdaten[[Rank Verteilung Krümmung]:[Verteilung Krümmung]],2,FALSE)</f>
        <v>#N/A</v>
      </c>
      <c r="Z2131">
        <v>2122</v>
      </c>
      <c r="AA2131" t="e">
        <f>INDEX(Stammdaten[Ovalität (']0,1'])],MATCH(Tabelle1014[[#This Row],[Rank]],Stammdaten[Rank Verteilung Ovalität],0))</f>
        <v>#N/A</v>
      </c>
      <c r="AB2131" t="e">
        <f>VLOOKUP(Tabelle1014[[#This Row],[Rank]],Stammdaten[[Rank Verteilung Ovalität]:[Verteilung Ovalität]],2,FALSE)</f>
        <v>#N/A</v>
      </c>
    </row>
    <row r="2132" spans="5:28" x14ac:dyDescent="0.35">
      <c r="E2132">
        <v>2123</v>
      </c>
      <c r="F2132" t="e">
        <f>INDEX(Stammdaten[D Mitte mit Rinde (mm)],MATCH(Tabelle8[[#This Row],[Rank]],Stammdaten[Rank Verteilung D Mitte mit Rinde],0))</f>
        <v>#N/A</v>
      </c>
      <c r="G2132" t="e">
        <f>VLOOKUP(Tabelle8[[#This Row],[Rank]],Stammdaten[[Rank Verteilung D Mitte mit Rinde]:[Verteilung D Mitte mit Rinde]],2,FALSE)</f>
        <v>#N/A</v>
      </c>
      <c r="L2132">
        <v>2123</v>
      </c>
      <c r="M2132" t="e">
        <f>INDEX(Stammdaten[Abholzigkeit (mm/lfm)],MATCH(Tabelle9[[#This Row],[Rank]],Stammdaten[Rank Verteilung Abholzigkeit],0))</f>
        <v>#N/A</v>
      </c>
      <c r="N2132" t="e">
        <f>VLOOKUP(Tabelle9[[#This Row],[Rank]],Stammdaten[[Rank Verteilung Abholzigkeit]:[Verteilung Abholzigkeit]],2,FALSE)</f>
        <v>#N/A</v>
      </c>
      <c r="S2132">
        <v>2123</v>
      </c>
      <c r="T2132" t="e">
        <f>INDEX(Stammdaten[Krümmung (mm/lfm)],MATCH(Tabelle10[[#This Row],[Rank]],Stammdaten[Rank Verteilung Krümmung],0))</f>
        <v>#N/A</v>
      </c>
      <c r="U2132" t="e">
        <f>VLOOKUP(Tabelle10[[#This Row],[Rank]],Stammdaten[[Rank Verteilung Krümmung]:[Verteilung Krümmung]],2,FALSE)</f>
        <v>#N/A</v>
      </c>
      <c r="Z2132">
        <v>2123</v>
      </c>
      <c r="AA2132" t="e">
        <f>INDEX(Stammdaten[Ovalität (']0,1'])],MATCH(Tabelle1014[[#This Row],[Rank]],Stammdaten[Rank Verteilung Ovalität],0))</f>
        <v>#N/A</v>
      </c>
      <c r="AB2132" t="e">
        <f>VLOOKUP(Tabelle1014[[#This Row],[Rank]],Stammdaten[[Rank Verteilung Ovalität]:[Verteilung Ovalität]],2,FALSE)</f>
        <v>#N/A</v>
      </c>
    </row>
    <row r="2133" spans="5:28" x14ac:dyDescent="0.35">
      <c r="E2133">
        <v>2124</v>
      </c>
      <c r="F2133" t="e">
        <f>INDEX(Stammdaten[D Mitte mit Rinde (mm)],MATCH(Tabelle8[[#This Row],[Rank]],Stammdaten[Rank Verteilung D Mitte mit Rinde],0))</f>
        <v>#N/A</v>
      </c>
      <c r="G2133" t="e">
        <f>VLOOKUP(Tabelle8[[#This Row],[Rank]],Stammdaten[[Rank Verteilung D Mitte mit Rinde]:[Verteilung D Mitte mit Rinde]],2,FALSE)</f>
        <v>#N/A</v>
      </c>
      <c r="L2133">
        <v>2124</v>
      </c>
      <c r="M2133" t="e">
        <f>INDEX(Stammdaten[Abholzigkeit (mm/lfm)],MATCH(Tabelle9[[#This Row],[Rank]],Stammdaten[Rank Verteilung Abholzigkeit],0))</f>
        <v>#N/A</v>
      </c>
      <c r="N2133" t="e">
        <f>VLOOKUP(Tabelle9[[#This Row],[Rank]],Stammdaten[[Rank Verteilung Abholzigkeit]:[Verteilung Abholzigkeit]],2,FALSE)</f>
        <v>#N/A</v>
      </c>
      <c r="S2133">
        <v>2124</v>
      </c>
      <c r="T2133" t="e">
        <f>INDEX(Stammdaten[Krümmung (mm/lfm)],MATCH(Tabelle10[[#This Row],[Rank]],Stammdaten[Rank Verteilung Krümmung],0))</f>
        <v>#N/A</v>
      </c>
      <c r="U2133" t="e">
        <f>VLOOKUP(Tabelle10[[#This Row],[Rank]],Stammdaten[[Rank Verteilung Krümmung]:[Verteilung Krümmung]],2,FALSE)</f>
        <v>#N/A</v>
      </c>
      <c r="Z2133">
        <v>2124</v>
      </c>
      <c r="AA2133" t="e">
        <f>INDEX(Stammdaten[Ovalität (']0,1'])],MATCH(Tabelle1014[[#This Row],[Rank]],Stammdaten[Rank Verteilung Ovalität],0))</f>
        <v>#N/A</v>
      </c>
      <c r="AB2133" t="e">
        <f>VLOOKUP(Tabelle1014[[#This Row],[Rank]],Stammdaten[[Rank Verteilung Ovalität]:[Verteilung Ovalität]],2,FALSE)</f>
        <v>#N/A</v>
      </c>
    </row>
    <row r="2134" spans="5:28" x14ac:dyDescent="0.35">
      <c r="E2134">
        <v>2125</v>
      </c>
      <c r="F2134" t="e">
        <f>INDEX(Stammdaten[D Mitte mit Rinde (mm)],MATCH(Tabelle8[[#This Row],[Rank]],Stammdaten[Rank Verteilung D Mitte mit Rinde],0))</f>
        <v>#N/A</v>
      </c>
      <c r="G2134" t="e">
        <f>VLOOKUP(Tabelle8[[#This Row],[Rank]],Stammdaten[[Rank Verteilung D Mitte mit Rinde]:[Verteilung D Mitte mit Rinde]],2,FALSE)</f>
        <v>#N/A</v>
      </c>
      <c r="L2134">
        <v>2125</v>
      </c>
      <c r="M2134" t="e">
        <f>INDEX(Stammdaten[Abholzigkeit (mm/lfm)],MATCH(Tabelle9[[#This Row],[Rank]],Stammdaten[Rank Verteilung Abholzigkeit],0))</f>
        <v>#N/A</v>
      </c>
      <c r="N2134" t="e">
        <f>VLOOKUP(Tabelle9[[#This Row],[Rank]],Stammdaten[[Rank Verteilung Abholzigkeit]:[Verteilung Abholzigkeit]],2,FALSE)</f>
        <v>#N/A</v>
      </c>
      <c r="S2134">
        <v>2125</v>
      </c>
      <c r="T2134" t="e">
        <f>INDEX(Stammdaten[Krümmung (mm/lfm)],MATCH(Tabelle10[[#This Row],[Rank]],Stammdaten[Rank Verteilung Krümmung],0))</f>
        <v>#N/A</v>
      </c>
      <c r="U2134" t="e">
        <f>VLOOKUP(Tabelle10[[#This Row],[Rank]],Stammdaten[[Rank Verteilung Krümmung]:[Verteilung Krümmung]],2,FALSE)</f>
        <v>#N/A</v>
      </c>
      <c r="Z2134">
        <v>2125</v>
      </c>
      <c r="AA2134" t="e">
        <f>INDEX(Stammdaten[Ovalität (']0,1'])],MATCH(Tabelle1014[[#This Row],[Rank]],Stammdaten[Rank Verteilung Ovalität],0))</f>
        <v>#N/A</v>
      </c>
      <c r="AB2134" t="e">
        <f>VLOOKUP(Tabelle1014[[#This Row],[Rank]],Stammdaten[[Rank Verteilung Ovalität]:[Verteilung Ovalität]],2,FALSE)</f>
        <v>#N/A</v>
      </c>
    </row>
    <row r="2135" spans="5:28" x14ac:dyDescent="0.35">
      <c r="E2135">
        <v>2126</v>
      </c>
      <c r="F2135" t="e">
        <f>INDEX(Stammdaten[D Mitte mit Rinde (mm)],MATCH(Tabelle8[[#This Row],[Rank]],Stammdaten[Rank Verteilung D Mitte mit Rinde],0))</f>
        <v>#N/A</v>
      </c>
      <c r="G2135" t="e">
        <f>VLOOKUP(Tabelle8[[#This Row],[Rank]],Stammdaten[[Rank Verteilung D Mitte mit Rinde]:[Verteilung D Mitte mit Rinde]],2,FALSE)</f>
        <v>#N/A</v>
      </c>
      <c r="L2135">
        <v>2126</v>
      </c>
      <c r="M2135" t="e">
        <f>INDEX(Stammdaten[Abholzigkeit (mm/lfm)],MATCH(Tabelle9[[#This Row],[Rank]],Stammdaten[Rank Verteilung Abholzigkeit],0))</f>
        <v>#N/A</v>
      </c>
      <c r="N2135" t="e">
        <f>VLOOKUP(Tabelle9[[#This Row],[Rank]],Stammdaten[[Rank Verteilung Abholzigkeit]:[Verteilung Abholzigkeit]],2,FALSE)</f>
        <v>#N/A</v>
      </c>
      <c r="S2135">
        <v>2126</v>
      </c>
      <c r="T2135" t="e">
        <f>INDEX(Stammdaten[Krümmung (mm/lfm)],MATCH(Tabelle10[[#This Row],[Rank]],Stammdaten[Rank Verteilung Krümmung],0))</f>
        <v>#N/A</v>
      </c>
      <c r="U2135" t="e">
        <f>VLOOKUP(Tabelle10[[#This Row],[Rank]],Stammdaten[[Rank Verteilung Krümmung]:[Verteilung Krümmung]],2,FALSE)</f>
        <v>#N/A</v>
      </c>
      <c r="Z2135">
        <v>2126</v>
      </c>
      <c r="AA2135" t="e">
        <f>INDEX(Stammdaten[Ovalität (']0,1'])],MATCH(Tabelle1014[[#This Row],[Rank]],Stammdaten[Rank Verteilung Ovalität],0))</f>
        <v>#N/A</v>
      </c>
      <c r="AB2135" t="e">
        <f>VLOOKUP(Tabelle1014[[#This Row],[Rank]],Stammdaten[[Rank Verteilung Ovalität]:[Verteilung Ovalität]],2,FALSE)</f>
        <v>#N/A</v>
      </c>
    </row>
    <row r="2136" spans="5:28" x14ac:dyDescent="0.35">
      <c r="E2136">
        <v>2127</v>
      </c>
      <c r="F2136" t="e">
        <f>INDEX(Stammdaten[D Mitte mit Rinde (mm)],MATCH(Tabelle8[[#This Row],[Rank]],Stammdaten[Rank Verteilung D Mitte mit Rinde],0))</f>
        <v>#N/A</v>
      </c>
      <c r="G2136" t="e">
        <f>VLOOKUP(Tabelle8[[#This Row],[Rank]],Stammdaten[[Rank Verteilung D Mitte mit Rinde]:[Verteilung D Mitte mit Rinde]],2,FALSE)</f>
        <v>#N/A</v>
      </c>
      <c r="L2136">
        <v>2127</v>
      </c>
      <c r="M2136" t="e">
        <f>INDEX(Stammdaten[Abholzigkeit (mm/lfm)],MATCH(Tabelle9[[#This Row],[Rank]],Stammdaten[Rank Verteilung Abholzigkeit],0))</f>
        <v>#N/A</v>
      </c>
      <c r="N2136" t="e">
        <f>VLOOKUP(Tabelle9[[#This Row],[Rank]],Stammdaten[[Rank Verteilung Abholzigkeit]:[Verteilung Abholzigkeit]],2,FALSE)</f>
        <v>#N/A</v>
      </c>
      <c r="S2136">
        <v>2127</v>
      </c>
      <c r="T2136" t="e">
        <f>INDEX(Stammdaten[Krümmung (mm/lfm)],MATCH(Tabelle10[[#This Row],[Rank]],Stammdaten[Rank Verteilung Krümmung],0))</f>
        <v>#N/A</v>
      </c>
      <c r="U2136" t="e">
        <f>VLOOKUP(Tabelle10[[#This Row],[Rank]],Stammdaten[[Rank Verteilung Krümmung]:[Verteilung Krümmung]],2,FALSE)</f>
        <v>#N/A</v>
      </c>
      <c r="Z2136">
        <v>2127</v>
      </c>
      <c r="AA2136" t="e">
        <f>INDEX(Stammdaten[Ovalität (']0,1'])],MATCH(Tabelle1014[[#This Row],[Rank]],Stammdaten[Rank Verteilung Ovalität],0))</f>
        <v>#N/A</v>
      </c>
      <c r="AB2136" t="e">
        <f>VLOOKUP(Tabelle1014[[#This Row],[Rank]],Stammdaten[[Rank Verteilung Ovalität]:[Verteilung Ovalität]],2,FALSE)</f>
        <v>#N/A</v>
      </c>
    </row>
    <row r="2137" spans="5:28" x14ac:dyDescent="0.35">
      <c r="E2137">
        <v>2128</v>
      </c>
      <c r="F2137" t="e">
        <f>INDEX(Stammdaten[D Mitte mit Rinde (mm)],MATCH(Tabelle8[[#This Row],[Rank]],Stammdaten[Rank Verteilung D Mitte mit Rinde],0))</f>
        <v>#N/A</v>
      </c>
      <c r="G2137" t="e">
        <f>VLOOKUP(Tabelle8[[#This Row],[Rank]],Stammdaten[[Rank Verteilung D Mitte mit Rinde]:[Verteilung D Mitte mit Rinde]],2,FALSE)</f>
        <v>#N/A</v>
      </c>
      <c r="L2137">
        <v>2128</v>
      </c>
      <c r="M2137" t="e">
        <f>INDEX(Stammdaten[Abholzigkeit (mm/lfm)],MATCH(Tabelle9[[#This Row],[Rank]],Stammdaten[Rank Verteilung Abholzigkeit],0))</f>
        <v>#N/A</v>
      </c>
      <c r="N2137" t="e">
        <f>VLOOKUP(Tabelle9[[#This Row],[Rank]],Stammdaten[[Rank Verteilung Abholzigkeit]:[Verteilung Abholzigkeit]],2,FALSE)</f>
        <v>#N/A</v>
      </c>
      <c r="S2137">
        <v>2128</v>
      </c>
      <c r="T2137" t="e">
        <f>INDEX(Stammdaten[Krümmung (mm/lfm)],MATCH(Tabelle10[[#This Row],[Rank]],Stammdaten[Rank Verteilung Krümmung],0))</f>
        <v>#N/A</v>
      </c>
      <c r="U2137" t="e">
        <f>VLOOKUP(Tabelle10[[#This Row],[Rank]],Stammdaten[[Rank Verteilung Krümmung]:[Verteilung Krümmung]],2,FALSE)</f>
        <v>#N/A</v>
      </c>
      <c r="Z2137">
        <v>2128</v>
      </c>
      <c r="AA2137" t="e">
        <f>INDEX(Stammdaten[Ovalität (']0,1'])],MATCH(Tabelle1014[[#This Row],[Rank]],Stammdaten[Rank Verteilung Ovalität],0))</f>
        <v>#N/A</v>
      </c>
      <c r="AB2137" t="e">
        <f>VLOOKUP(Tabelle1014[[#This Row],[Rank]],Stammdaten[[Rank Verteilung Ovalität]:[Verteilung Ovalität]],2,FALSE)</f>
        <v>#N/A</v>
      </c>
    </row>
    <row r="2138" spans="5:28" x14ac:dyDescent="0.35">
      <c r="E2138">
        <v>2129</v>
      </c>
      <c r="F2138" t="e">
        <f>INDEX(Stammdaten[D Mitte mit Rinde (mm)],MATCH(Tabelle8[[#This Row],[Rank]],Stammdaten[Rank Verteilung D Mitte mit Rinde],0))</f>
        <v>#N/A</v>
      </c>
      <c r="G2138" t="e">
        <f>VLOOKUP(Tabelle8[[#This Row],[Rank]],Stammdaten[[Rank Verteilung D Mitte mit Rinde]:[Verteilung D Mitte mit Rinde]],2,FALSE)</f>
        <v>#N/A</v>
      </c>
      <c r="L2138">
        <v>2129</v>
      </c>
      <c r="M2138" t="e">
        <f>INDEX(Stammdaten[Abholzigkeit (mm/lfm)],MATCH(Tabelle9[[#This Row],[Rank]],Stammdaten[Rank Verteilung Abholzigkeit],0))</f>
        <v>#N/A</v>
      </c>
      <c r="N2138" t="e">
        <f>VLOOKUP(Tabelle9[[#This Row],[Rank]],Stammdaten[[Rank Verteilung Abholzigkeit]:[Verteilung Abholzigkeit]],2,FALSE)</f>
        <v>#N/A</v>
      </c>
      <c r="S2138">
        <v>2129</v>
      </c>
      <c r="T2138" t="e">
        <f>INDEX(Stammdaten[Krümmung (mm/lfm)],MATCH(Tabelle10[[#This Row],[Rank]],Stammdaten[Rank Verteilung Krümmung],0))</f>
        <v>#N/A</v>
      </c>
      <c r="U2138" t="e">
        <f>VLOOKUP(Tabelle10[[#This Row],[Rank]],Stammdaten[[Rank Verteilung Krümmung]:[Verteilung Krümmung]],2,FALSE)</f>
        <v>#N/A</v>
      </c>
      <c r="Z2138">
        <v>2129</v>
      </c>
      <c r="AA2138" t="e">
        <f>INDEX(Stammdaten[Ovalität (']0,1'])],MATCH(Tabelle1014[[#This Row],[Rank]],Stammdaten[Rank Verteilung Ovalität],0))</f>
        <v>#N/A</v>
      </c>
      <c r="AB2138" t="e">
        <f>VLOOKUP(Tabelle1014[[#This Row],[Rank]],Stammdaten[[Rank Verteilung Ovalität]:[Verteilung Ovalität]],2,FALSE)</f>
        <v>#N/A</v>
      </c>
    </row>
    <row r="2139" spans="5:28" x14ac:dyDescent="0.35">
      <c r="E2139">
        <v>2130</v>
      </c>
      <c r="F2139" t="e">
        <f>INDEX(Stammdaten[D Mitte mit Rinde (mm)],MATCH(Tabelle8[[#This Row],[Rank]],Stammdaten[Rank Verteilung D Mitte mit Rinde],0))</f>
        <v>#N/A</v>
      </c>
      <c r="G2139" t="e">
        <f>VLOOKUP(Tabelle8[[#This Row],[Rank]],Stammdaten[[Rank Verteilung D Mitte mit Rinde]:[Verteilung D Mitte mit Rinde]],2,FALSE)</f>
        <v>#N/A</v>
      </c>
      <c r="L2139">
        <v>2130</v>
      </c>
      <c r="M2139" t="e">
        <f>INDEX(Stammdaten[Abholzigkeit (mm/lfm)],MATCH(Tabelle9[[#This Row],[Rank]],Stammdaten[Rank Verteilung Abholzigkeit],0))</f>
        <v>#N/A</v>
      </c>
      <c r="N2139" t="e">
        <f>VLOOKUP(Tabelle9[[#This Row],[Rank]],Stammdaten[[Rank Verteilung Abholzigkeit]:[Verteilung Abholzigkeit]],2,FALSE)</f>
        <v>#N/A</v>
      </c>
      <c r="S2139">
        <v>2130</v>
      </c>
      <c r="T2139" t="e">
        <f>INDEX(Stammdaten[Krümmung (mm/lfm)],MATCH(Tabelle10[[#This Row],[Rank]],Stammdaten[Rank Verteilung Krümmung],0))</f>
        <v>#N/A</v>
      </c>
      <c r="U2139" t="e">
        <f>VLOOKUP(Tabelle10[[#This Row],[Rank]],Stammdaten[[Rank Verteilung Krümmung]:[Verteilung Krümmung]],2,FALSE)</f>
        <v>#N/A</v>
      </c>
      <c r="Z2139">
        <v>2130</v>
      </c>
      <c r="AA2139" t="e">
        <f>INDEX(Stammdaten[Ovalität (']0,1'])],MATCH(Tabelle1014[[#This Row],[Rank]],Stammdaten[Rank Verteilung Ovalität],0))</f>
        <v>#N/A</v>
      </c>
      <c r="AB2139" t="e">
        <f>VLOOKUP(Tabelle1014[[#This Row],[Rank]],Stammdaten[[Rank Verteilung Ovalität]:[Verteilung Ovalität]],2,FALSE)</f>
        <v>#N/A</v>
      </c>
    </row>
    <row r="2140" spans="5:28" x14ac:dyDescent="0.35">
      <c r="E2140">
        <v>2131</v>
      </c>
      <c r="F2140" t="e">
        <f>INDEX(Stammdaten[D Mitte mit Rinde (mm)],MATCH(Tabelle8[[#This Row],[Rank]],Stammdaten[Rank Verteilung D Mitte mit Rinde],0))</f>
        <v>#N/A</v>
      </c>
      <c r="G2140" t="e">
        <f>VLOOKUP(Tabelle8[[#This Row],[Rank]],Stammdaten[[Rank Verteilung D Mitte mit Rinde]:[Verteilung D Mitte mit Rinde]],2,FALSE)</f>
        <v>#N/A</v>
      </c>
      <c r="L2140">
        <v>2131</v>
      </c>
      <c r="M2140" t="e">
        <f>INDEX(Stammdaten[Abholzigkeit (mm/lfm)],MATCH(Tabelle9[[#This Row],[Rank]],Stammdaten[Rank Verteilung Abholzigkeit],0))</f>
        <v>#N/A</v>
      </c>
      <c r="N2140" t="e">
        <f>VLOOKUP(Tabelle9[[#This Row],[Rank]],Stammdaten[[Rank Verteilung Abholzigkeit]:[Verteilung Abholzigkeit]],2,FALSE)</f>
        <v>#N/A</v>
      </c>
      <c r="S2140">
        <v>2131</v>
      </c>
      <c r="T2140" t="e">
        <f>INDEX(Stammdaten[Krümmung (mm/lfm)],MATCH(Tabelle10[[#This Row],[Rank]],Stammdaten[Rank Verteilung Krümmung],0))</f>
        <v>#N/A</v>
      </c>
      <c r="U2140" t="e">
        <f>VLOOKUP(Tabelle10[[#This Row],[Rank]],Stammdaten[[Rank Verteilung Krümmung]:[Verteilung Krümmung]],2,FALSE)</f>
        <v>#N/A</v>
      </c>
      <c r="Z2140">
        <v>2131</v>
      </c>
      <c r="AA2140" t="e">
        <f>INDEX(Stammdaten[Ovalität (']0,1'])],MATCH(Tabelle1014[[#This Row],[Rank]],Stammdaten[Rank Verteilung Ovalität],0))</f>
        <v>#N/A</v>
      </c>
      <c r="AB2140" t="e">
        <f>VLOOKUP(Tabelle1014[[#This Row],[Rank]],Stammdaten[[Rank Verteilung Ovalität]:[Verteilung Ovalität]],2,FALSE)</f>
        <v>#N/A</v>
      </c>
    </row>
    <row r="2141" spans="5:28" x14ac:dyDescent="0.35">
      <c r="E2141">
        <v>2132</v>
      </c>
      <c r="F2141" t="e">
        <f>INDEX(Stammdaten[D Mitte mit Rinde (mm)],MATCH(Tabelle8[[#This Row],[Rank]],Stammdaten[Rank Verteilung D Mitte mit Rinde],0))</f>
        <v>#N/A</v>
      </c>
      <c r="G2141" t="e">
        <f>VLOOKUP(Tabelle8[[#This Row],[Rank]],Stammdaten[[Rank Verteilung D Mitte mit Rinde]:[Verteilung D Mitte mit Rinde]],2,FALSE)</f>
        <v>#N/A</v>
      </c>
      <c r="L2141">
        <v>2132</v>
      </c>
      <c r="M2141" t="e">
        <f>INDEX(Stammdaten[Abholzigkeit (mm/lfm)],MATCH(Tabelle9[[#This Row],[Rank]],Stammdaten[Rank Verteilung Abholzigkeit],0))</f>
        <v>#N/A</v>
      </c>
      <c r="N2141" t="e">
        <f>VLOOKUP(Tabelle9[[#This Row],[Rank]],Stammdaten[[Rank Verteilung Abholzigkeit]:[Verteilung Abholzigkeit]],2,FALSE)</f>
        <v>#N/A</v>
      </c>
      <c r="S2141">
        <v>2132</v>
      </c>
      <c r="T2141" t="e">
        <f>INDEX(Stammdaten[Krümmung (mm/lfm)],MATCH(Tabelle10[[#This Row],[Rank]],Stammdaten[Rank Verteilung Krümmung],0))</f>
        <v>#N/A</v>
      </c>
      <c r="U2141" t="e">
        <f>VLOOKUP(Tabelle10[[#This Row],[Rank]],Stammdaten[[Rank Verteilung Krümmung]:[Verteilung Krümmung]],2,FALSE)</f>
        <v>#N/A</v>
      </c>
      <c r="Z2141">
        <v>2132</v>
      </c>
      <c r="AA2141" t="e">
        <f>INDEX(Stammdaten[Ovalität (']0,1'])],MATCH(Tabelle1014[[#This Row],[Rank]],Stammdaten[Rank Verteilung Ovalität],0))</f>
        <v>#N/A</v>
      </c>
      <c r="AB2141" t="e">
        <f>VLOOKUP(Tabelle1014[[#This Row],[Rank]],Stammdaten[[Rank Verteilung Ovalität]:[Verteilung Ovalität]],2,FALSE)</f>
        <v>#N/A</v>
      </c>
    </row>
    <row r="2142" spans="5:28" x14ac:dyDescent="0.35">
      <c r="E2142">
        <v>2133</v>
      </c>
      <c r="F2142" t="e">
        <f>INDEX(Stammdaten[D Mitte mit Rinde (mm)],MATCH(Tabelle8[[#This Row],[Rank]],Stammdaten[Rank Verteilung D Mitte mit Rinde],0))</f>
        <v>#N/A</v>
      </c>
      <c r="G2142" t="e">
        <f>VLOOKUP(Tabelle8[[#This Row],[Rank]],Stammdaten[[Rank Verteilung D Mitte mit Rinde]:[Verteilung D Mitte mit Rinde]],2,FALSE)</f>
        <v>#N/A</v>
      </c>
      <c r="L2142">
        <v>2133</v>
      </c>
      <c r="M2142" t="e">
        <f>INDEX(Stammdaten[Abholzigkeit (mm/lfm)],MATCH(Tabelle9[[#This Row],[Rank]],Stammdaten[Rank Verteilung Abholzigkeit],0))</f>
        <v>#N/A</v>
      </c>
      <c r="N2142" t="e">
        <f>VLOOKUP(Tabelle9[[#This Row],[Rank]],Stammdaten[[Rank Verteilung Abholzigkeit]:[Verteilung Abholzigkeit]],2,FALSE)</f>
        <v>#N/A</v>
      </c>
      <c r="S2142">
        <v>2133</v>
      </c>
      <c r="T2142" t="e">
        <f>INDEX(Stammdaten[Krümmung (mm/lfm)],MATCH(Tabelle10[[#This Row],[Rank]],Stammdaten[Rank Verteilung Krümmung],0))</f>
        <v>#N/A</v>
      </c>
      <c r="U2142" t="e">
        <f>VLOOKUP(Tabelle10[[#This Row],[Rank]],Stammdaten[[Rank Verteilung Krümmung]:[Verteilung Krümmung]],2,FALSE)</f>
        <v>#N/A</v>
      </c>
      <c r="Z2142">
        <v>2133</v>
      </c>
      <c r="AA2142" t="e">
        <f>INDEX(Stammdaten[Ovalität (']0,1'])],MATCH(Tabelle1014[[#This Row],[Rank]],Stammdaten[Rank Verteilung Ovalität],0))</f>
        <v>#N/A</v>
      </c>
      <c r="AB2142" t="e">
        <f>VLOOKUP(Tabelle1014[[#This Row],[Rank]],Stammdaten[[Rank Verteilung Ovalität]:[Verteilung Ovalität]],2,FALSE)</f>
        <v>#N/A</v>
      </c>
    </row>
    <row r="2143" spans="5:28" x14ac:dyDescent="0.35">
      <c r="E2143">
        <v>2134</v>
      </c>
      <c r="F2143" t="e">
        <f>INDEX(Stammdaten[D Mitte mit Rinde (mm)],MATCH(Tabelle8[[#This Row],[Rank]],Stammdaten[Rank Verteilung D Mitte mit Rinde],0))</f>
        <v>#N/A</v>
      </c>
      <c r="G2143" t="e">
        <f>VLOOKUP(Tabelle8[[#This Row],[Rank]],Stammdaten[[Rank Verteilung D Mitte mit Rinde]:[Verteilung D Mitte mit Rinde]],2,FALSE)</f>
        <v>#N/A</v>
      </c>
      <c r="L2143">
        <v>2134</v>
      </c>
      <c r="M2143" t="e">
        <f>INDEX(Stammdaten[Abholzigkeit (mm/lfm)],MATCH(Tabelle9[[#This Row],[Rank]],Stammdaten[Rank Verteilung Abholzigkeit],0))</f>
        <v>#N/A</v>
      </c>
      <c r="N2143" t="e">
        <f>VLOOKUP(Tabelle9[[#This Row],[Rank]],Stammdaten[[Rank Verteilung Abholzigkeit]:[Verteilung Abholzigkeit]],2,FALSE)</f>
        <v>#N/A</v>
      </c>
      <c r="S2143">
        <v>2134</v>
      </c>
      <c r="T2143" t="e">
        <f>INDEX(Stammdaten[Krümmung (mm/lfm)],MATCH(Tabelle10[[#This Row],[Rank]],Stammdaten[Rank Verteilung Krümmung],0))</f>
        <v>#N/A</v>
      </c>
      <c r="U2143" t="e">
        <f>VLOOKUP(Tabelle10[[#This Row],[Rank]],Stammdaten[[Rank Verteilung Krümmung]:[Verteilung Krümmung]],2,FALSE)</f>
        <v>#N/A</v>
      </c>
      <c r="Z2143">
        <v>2134</v>
      </c>
      <c r="AA2143" t="e">
        <f>INDEX(Stammdaten[Ovalität (']0,1'])],MATCH(Tabelle1014[[#This Row],[Rank]],Stammdaten[Rank Verteilung Ovalität],0))</f>
        <v>#N/A</v>
      </c>
      <c r="AB2143" t="e">
        <f>VLOOKUP(Tabelle1014[[#This Row],[Rank]],Stammdaten[[Rank Verteilung Ovalität]:[Verteilung Ovalität]],2,FALSE)</f>
        <v>#N/A</v>
      </c>
    </row>
    <row r="2144" spans="5:28" x14ac:dyDescent="0.35">
      <c r="E2144">
        <v>2135</v>
      </c>
      <c r="F2144" t="e">
        <f>INDEX(Stammdaten[D Mitte mit Rinde (mm)],MATCH(Tabelle8[[#This Row],[Rank]],Stammdaten[Rank Verteilung D Mitte mit Rinde],0))</f>
        <v>#N/A</v>
      </c>
      <c r="G2144" t="e">
        <f>VLOOKUP(Tabelle8[[#This Row],[Rank]],Stammdaten[[Rank Verteilung D Mitte mit Rinde]:[Verteilung D Mitte mit Rinde]],2,FALSE)</f>
        <v>#N/A</v>
      </c>
      <c r="L2144">
        <v>2135</v>
      </c>
      <c r="M2144" t="e">
        <f>INDEX(Stammdaten[Abholzigkeit (mm/lfm)],MATCH(Tabelle9[[#This Row],[Rank]],Stammdaten[Rank Verteilung Abholzigkeit],0))</f>
        <v>#N/A</v>
      </c>
      <c r="N2144" t="e">
        <f>VLOOKUP(Tabelle9[[#This Row],[Rank]],Stammdaten[[Rank Verteilung Abholzigkeit]:[Verteilung Abholzigkeit]],2,FALSE)</f>
        <v>#N/A</v>
      </c>
      <c r="S2144">
        <v>2135</v>
      </c>
      <c r="T2144" t="e">
        <f>INDEX(Stammdaten[Krümmung (mm/lfm)],MATCH(Tabelle10[[#This Row],[Rank]],Stammdaten[Rank Verteilung Krümmung],0))</f>
        <v>#N/A</v>
      </c>
      <c r="U2144" t="e">
        <f>VLOOKUP(Tabelle10[[#This Row],[Rank]],Stammdaten[[Rank Verteilung Krümmung]:[Verteilung Krümmung]],2,FALSE)</f>
        <v>#N/A</v>
      </c>
      <c r="Z2144">
        <v>2135</v>
      </c>
      <c r="AA2144" t="e">
        <f>INDEX(Stammdaten[Ovalität (']0,1'])],MATCH(Tabelle1014[[#This Row],[Rank]],Stammdaten[Rank Verteilung Ovalität],0))</f>
        <v>#N/A</v>
      </c>
      <c r="AB2144" t="e">
        <f>VLOOKUP(Tabelle1014[[#This Row],[Rank]],Stammdaten[[Rank Verteilung Ovalität]:[Verteilung Ovalität]],2,FALSE)</f>
        <v>#N/A</v>
      </c>
    </row>
    <row r="2145" spans="5:28" x14ac:dyDescent="0.35">
      <c r="E2145">
        <v>2136</v>
      </c>
      <c r="F2145" t="e">
        <f>INDEX(Stammdaten[D Mitte mit Rinde (mm)],MATCH(Tabelle8[[#This Row],[Rank]],Stammdaten[Rank Verteilung D Mitte mit Rinde],0))</f>
        <v>#N/A</v>
      </c>
      <c r="G2145" t="e">
        <f>VLOOKUP(Tabelle8[[#This Row],[Rank]],Stammdaten[[Rank Verteilung D Mitte mit Rinde]:[Verteilung D Mitte mit Rinde]],2,FALSE)</f>
        <v>#N/A</v>
      </c>
      <c r="L2145">
        <v>2136</v>
      </c>
      <c r="M2145" t="e">
        <f>INDEX(Stammdaten[Abholzigkeit (mm/lfm)],MATCH(Tabelle9[[#This Row],[Rank]],Stammdaten[Rank Verteilung Abholzigkeit],0))</f>
        <v>#N/A</v>
      </c>
      <c r="N2145" t="e">
        <f>VLOOKUP(Tabelle9[[#This Row],[Rank]],Stammdaten[[Rank Verteilung Abholzigkeit]:[Verteilung Abholzigkeit]],2,FALSE)</f>
        <v>#N/A</v>
      </c>
      <c r="S2145">
        <v>2136</v>
      </c>
      <c r="T2145" t="e">
        <f>INDEX(Stammdaten[Krümmung (mm/lfm)],MATCH(Tabelle10[[#This Row],[Rank]],Stammdaten[Rank Verteilung Krümmung],0))</f>
        <v>#N/A</v>
      </c>
      <c r="U2145" t="e">
        <f>VLOOKUP(Tabelle10[[#This Row],[Rank]],Stammdaten[[Rank Verteilung Krümmung]:[Verteilung Krümmung]],2,FALSE)</f>
        <v>#N/A</v>
      </c>
      <c r="Z2145">
        <v>2136</v>
      </c>
      <c r="AA2145" t="e">
        <f>INDEX(Stammdaten[Ovalität (']0,1'])],MATCH(Tabelle1014[[#This Row],[Rank]],Stammdaten[Rank Verteilung Ovalität],0))</f>
        <v>#N/A</v>
      </c>
      <c r="AB2145" t="e">
        <f>VLOOKUP(Tabelle1014[[#This Row],[Rank]],Stammdaten[[Rank Verteilung Ovalität]:[Verteilung Ovalität]],2,FALSE)</f>
        <v>#N/A</v>
      </c>
    </row>
    <row r="2146" spans="5:28" x14ac:dyDescent="0.35">
      <c r="E2146">
        <v>2137</v>
      </c>
      <c r="F2146" t="e">
        <f>INDEX(Stammdaten[D Mitte mit Rinde (mm)],MATCH(Tabelle8[[#This Row],[Rank]],Stammdaten[Rank Verteilung D Mitte mit Rinde],0))</f>
        <v>#N/A</v>
      </c>
      <c r="G2146" t="e">
        <f>VLOOKUP(Tabelle8[[#This Row],[Rank]],Stammdaten[[Rank Verteilung D Mitte mit Rinde]:[Verteilung D Mitte mit Rinde]],2,FALSE)</f>
        <v>#N/A</v>
      </c>
      <c r="L2146">
        <v>2137</v>
      </c>
      <c r="M2146" t="e">
        <f>INDEX(Stammdaten[Abholzigkeit (mm/lfm)],MATCH(Tabelle9[[#This Row],[Rank]],Stammdaten[Rank Verteilung Abholzigkeit],0))</f>
        <v>#N/A</v>
      </c>
      <c r="N2146" t="e">
        <f>VLOOKUP(Tabelle9[[#This Row],[Rank]],Stammdaten[[Rank Verteilung Abholzigkeit]:[Verteilung Abholzigkeit]],2,FALSE)</f>
        <v>#N/A</v>
      </c>
      <c r="S2146">
        <v>2137</v>
      </c>
      <c r="T2146" t="e">
        <f>INDEX(Stammdaten[Krümmung (mm/lfm)],MATCH(Tabelle10[[#This Row],[Rank]],Stammdaten[Rank Verteilung Krümmung],0))</f>
        <v>#N/A</v>
      </c>
      <c r="U2146" t="e">
        <f>VLOOKUP(Tabelle10[[#This Row],[Rank]],Stammdaten[[Rank Verteilung Krümmung]:[Verteilung Krümmung]],2,FALSE)</f>
        <v>#N/A</v>
      </c>
      <c r="Z2146">
        <v>2137</v>
      </c>
      <c r="AA2146" t="e">
        <f>INDEX(Stammdaten[Ovalität (']0,1'])],MATCH(Tabelle1014[[#This Row],[Rank]],Stammdaten[Rank Verteilung Ovalität],0))</f>
        <v>#N/A</v>
      </c>
      <c r="AB2146" t="e">
        <f>VLOOKUP(Tabelle1014[[#This Row],[Rank]],Stammdaten[[Rank Verteilung Ovalität]:[Verteilung Ovalität]],2,FALSE)</f>
        <v>#N/A</v>
      </c>
    </row>
    <row r="2147" spans="5:28" x14ac:dyDescent="0.35">
      <c r="E2147">
        <v>2138</v>
      </c>
      <c r="F2147" t="e">
        <f>INDEX(Stammdaten[D Mitte mit Rinde (mm)],MATCH(Tabelle8[[#This Row],[Rank]],Stammdaten[Rank Verteilung D Mitte mit Rinde],0))</f>
        <v>#N/A</v>
      </c>
      <c r="G2147" t="e">
        <f>VLOOKUP(Tabelle8[[#This Row],[Rank]],Stammdaten[[Rank Verteilung D Mitte mit Rinde]:[Verteilung D Mitte mit Rinde]],2,FALSE)</f>
        <v>#N/A</v>
      </c>
      <c r="L2147">
        <v>2138</v>
      </c>
      <c r="M2147" t="e">
        <f>INDEX(Stammdaten[Abholzigkeit (mm/lfm)],MATCH(Tabelle9[[#This Row],[Rank]],Stammdaten[Rank Verteilung Abholzigkeit],0))</f>
        <v>#N/A</v>
      </c>
      <c r="N2147" t="e">
        <f>VLOOKUP(Tabelle9[[#This Row],[Rank]],Stammdaten[[Rank Verteilung Abholzigkeit]:[Verteilung Abholzigkeit]],2,FALSE)</f>
        <v>#N/A</v>
      </c>
      <c r="S2147">
        <v>2138</v>
      </c>
      <c r="T2147" t="e">
        <f>INDEX(Stammdaten[Krümmung (mm/lfm)],MATCH(Tabelle10[[#This Row],[Rank]],Stammdaten[Rank Verteilung Krümmung],0))</f>
        <v>#N/A</v>
      </c>
      <c r="U2147" t="e">
        <f>VLOOKUP(Tabelle10[[#This Row],[Rank]],Stammdaten[[Rank Verteilung Krümmung]:[Verteilung Krümmung]],2,FALSE)</f>
        <v>#N/A</v>
      </c>
      <c r="Z2147">
        <v>2138</v>
      </c>
      <c r="AA2147" t="e">
        <f>INDEX(Stammdaten[Ovalität (']0,1'])],MATCH(Tabelle1014[[#This Row],[Rank]],Stammdaten[Rank Verteilung Ovalität],0))</f>
        <v>#N/A</v>
      </c>
      <c r="AB2147" t="e">
        <f>VLOOKUP(Tabelle1014[[#This Row],[Rank]],Stammdaten[[Rank Verteilung Ovalität]:[Verteilung Ovalität]],2,FALSE)</f>
        <v>#N/A</v>
      </c>
    </row>
    <row r="2148" spans="5:28" x14ac:dyDescent="0.35">
      <c r="E2148">
        <v>2139</v>
      </c>
      <c r="F2148" t="e">
        <f>INDEX(Stammdaten[D Mitte mit Rinde (mm)],MATCH(Tabelle8[[#This Row],[Rank]],Stammdaten[Rank Verteilung D Mitte mit Rinde],0))</f>
        <v>#N/A</v>
      </c>
      <c r="G2148" t="e">
        <f>VLOOKUP(Tabelle8[[#This Row],[Rank]],Stammdaten[[Rank Verteilung D Mitte mit Rinde]:[Verteilung D Mitte mit Rinde]],2,FALSE)</f>
        <v>#N/A</v>
      </c>
      <c r="L2148">
        <v>2139</v>
      </c>
      <c r="M2148" t="e">
        <f>INDEX(Stammdaten[Abholzigkeit (mm/lfm)],MATCH(Tabelle9[[#This Row],[Rank]],Stammdaten[Rank Verteilung Abholzigkeit],0))</f>
        <v>#N/A</v>
      </c>
      <c r="N2148" t="e">
        <f>VLOOKUP(Tabelle9[[#This Row],[Rank]],Stammdaten[[Rank Verteilung Abholzigkeit]:[Verteilung Abholzigkeit]],2,FALSE)</f>
        <v>#N/A</v>
      </c>
      <c r="S2148">
        <v>2139</v>
      </c>
      <c r="T2148" t="e">
        <f>INDEX(Stammdaten[Krümmung (mm/lfm)],MATCH(Tabelle10[[#This Row],[Rank]],Stammdaten[Rank Verteilung Krümmung],0))</f>
        <v>#N/A</v>
      </c>
      <c r="U2148" t="e">
        <f>VLOOKUP(Tabelle10[[#This Row],[Rank]],Stammdaten[[Rank Verteilung Krümmung]:[Verteilung Krümmung]],2,FALSE)</f>
        <v>#N/A</v>
      </c>
      <c r="Z2148">
        <v>2139</v>
      </c>
      <c r="AA2148" t="e">
        <f>INDEX(Stammdaten[Ovalität (']0,1'])],MATCH(Tabelle1014[[#This Row],[Rank]],Stammdaten[Rank Verteilung Ovalität],0))</f>
        <v>#N/A</v>
      </c>
      <c r="AB2148" t="e">
        <f>VLOOKUP(Tabelle1014[[#This Row],[Rank]],Stammdaten[[Rank Verteilung Ovalität]:[Verteilung Ovalität]],2,FALSE)</f>
        <v>#N/A</v>
      </c>
    </row>
    <row r="2149" spans="5:28" x14ac:dyDescent="0.35">
      <c r="E2149">
        <v>2140</v>
      </c>
      <c r="F2149" t="e">
        <f>INDEX(Stammdaten[D Mitte mit Rinde (mm)],MATCH(Tabelle8[[#This Row],[Rank]],Stammdaten[Rank Verteilung D Mitte mit Rinde],0))</f>
        <v>#N/A</v>
      </c>
      <c r="G2149" t="e">
        <f>VLOOKUP(Tabelle8[[#This Row],[Rank]],Stammdaten[[Rank Verteilung D Mitte mit Rinde]:[Verteilung D Mitte mit Rinde]],2,FALSE)</f>
        <v>#N/A</v>
      </c>
      <c r="L2149">
        <v>2140</v>
      </c>
      <c r="M2149" t="e">
        <f>INDEX(Stammdaten[Abholzigkeit (mm/lfm)],MATCH(Tabelle9[[#This Row],[Rank]],Stammdaten[Rank Verteilung Abholzigkeit],0))</f>
        <v>#N/A</v>
      </c>
      <c r="N2149" t="e">
        <f>VLOOKUP(Tabelle9[[#This Row],[Rank]],Stammdaten[[Rank Verteilung Abholzigkeit]:[Verteilung Abholzigkeit]],2,FALSE)</f>
        <v>#N/A</v>
      </c>
      <c r="S2149">
        <v>2140</v>
      </c>
      <c r="T2149" t="e">
        <f>INDEX(Stammdaten[Krümmung (mm/lfm)],MATCH(Tabelle10[[#This Row],[Rank]],Stammdaten[Rank Verteilung Krümmung],0))</f>
        <v>#N/A</v>
      </c>
      <c r="U2149" t="e">
        <f>VLOOKUP(Tabelle10[[#This Row],[Rank]],Stammdaten[[Rank Verteilung Krümmung]:[Verteilung Krümmung]],2,FALSE)</f>
        <v>#N/A</v>
      </c>
      <c r="Z2149">
        <v>2140</v>
      </c>
      <c r="AA2149" t="e">
        <f>INDEX(Stammdaten[Ovalität (']0,1'])],MATCH(Tabelle1014[[#This Row],[Rank]],Stammdaten[Rank Verteilung Ovalität],0))</f>
        <v>#N/A</v>
      </c>
      <c r="AB2149" t="e">
        <f>VLOOKUP(Tabelle1014[[#This Row],[Rank]],Stammdaten[[Rank Verteilung Ovalität]:[Verteilung Ovalität]],2,FALSE)</f>
        <v>#N/A</v>
      </c>
    </row>
    <row r="2150" spans="5:28" x14ac:dyDescent="0.35">
      <c r="E2150">
        <v>2141</v>
      </c>
      <c r="F2150" t="e">
        <f>INDEX(Stammdaten[D Mitte mit Rinde (mm)],MATCH(Tabelle8[[#This Row],[Rank]],Stammdaten[Rank Verteilung D Mitte mit Rinde],0))</f>
        <v>#N/A</v>
      </c>
      <c r="G2150" t="e">
        <f>VLOOKUP(Tabelle8[[#This Row],[Rank]],Stammdaten[[Rank Verteilung D Mitte mit Rinde]:[Verteilung D Mitte mit Rinde]],2,FALSE)</f>
        <v>#N/A</v>
      </c>
      <c r="L2150">
        <v>2141</v>
      </c>
      <c r="M2150" t="e">
        <f>INDEX(Stammdaten[Abholzigkeit (mm/lfm)],MATCH(Tabelle9[[#This Row],[Rank]],Stammdaten[Rank Verteilung Abholzigkeit],0))</f>
        <v>#N/A</v>
      </c>
      <c r="N2150" t="e">
        <f>VLOOKUP(Tabelle9[[#This Row],[Rank]],Stammdaten[[Rank Verteilung Abholzigkeit]:[Verteilung Abholzigkeit]],2,FALSE)</f>
        <v>#N/A</v>
      </c>
      <c r="S2150">
        <v>2141</v>
      </c>
      <c r="T2150" t="e">
        <f>INDEX(Stammdaten[Krümmung (mm/lfm)],MATCH(Tabelle10[[#This Row],[Rank]],Stammdaten[Rank Verteilung Krümmung],0))</f>
        <v>#N/A</v>
      </c>
      <c r="U2150" t="e">
        <f>VLOOKUP(Tabelle10[[#This Row],[Rank]],Stammdaten[[Rank Verteilung Krümmung]:[Verteilung Krümmung]],2,FALSE)</f>
        <v>#N/A</v>
      </c>
      <c r="Z2150">
        <v>2141</v>
      </c>
      <c r="AA2150" t="e">
        <f>INDEX(Stammdaten[Ovalität (']0,1'])],MATCH(Tabelle1014[[#This Row],[Rank]],Stammdaten[Rank Verteilung Ovalität],0))</f>
        <v>#N/A</v>
      </c>
      <c r="AB2150" t="e">
        <f>VLOOKUP(Tabelle1014[[#This Row],[Rank]],Stammdaten[[Rank Verteilung Ovalität]:[Verteilung Ovalität]],2,FALSE)</f>
        <v>#N/A</v>
      </c>
    </row>
    <row r="2151" spans="5:28" x14ac:dyDescent="0.35">
      <c r="E2151">
        <v>2142</v>
      </c>
      <c r="F2151" t="e">
        <f>INDEX(Stammdaten[D Mitte mit Rinde (mm)],MATCH(Tabelle8[[#This Row],[Rank]],Stammdaten[Rank Verteilung D Mitte mit Rinde],0))</f>
        <v>#N/A</v>
      </c>
      <c r="G2151" t="e">
        <f>VLOOKUP(Tabelle8[[#This Row],[Rank]],Stammdaten[[Rank Verteilung D Mitte mit Rinde]:[Verteilung D Mitte mit Rinde]],2,FALSE)</f>
        <v>#N/A</v>
      </c>
      <c r="L2151">
        <v>2142</v>
      </c>
      <c r="M2151" t="e">
        <f>INDEX(Stammdaten[Abholzigkeit (mm/lfm)],MATCH(Tabelle9[[#This Row],[Rank]],Stammdaten[Rank Verteilung Abholzigkeit],0))</f>
        <v>#N/A</v>
      </c>
      <c r="N2151" t="e">
        <f>VLOOKUP(Tabelle9[[#This Row],[Rank]],Stammdaten[[Rank Verteilung Abholzigkeit]:[Verteilung Abholzigkeit]],2,FALSE)</f>
        <v>#N/A</v>
      </c>
      <c r="S2151">
        <v>2142</v>
      </c>
      <c r="T2151" t="e">
        <f>INDEX(Stammdaten[Krümmung (mm/lfm)],MATCH(Tabelle10[[#This Row],[Rank]],Stammdaten[Rank Verteilung Krümmung],0))</f>
        <v>#N/A</v>
      </c>
      <c r="U2151" t="e">
        <f>VLOOKUP(Tabelle10[[#This Row],[Rank]],Stammdaten[[Rank Verteilung Krümmung]:[Verteilung Krümmung]],2,FALSE)</f>
        <v>#N/A</v>
      </c>
      <c r="Z2151">
        <v>2142</v>
      </c>
      <c r="AA2151" t="e">
        <f>INDEX(Stammdaten[Ovalität (']0,1'])],MATCH(Tabelle1014[[#This Row],[Rank]],Stammdaten[Rank Verteilung Ovalität],0))</f>
        <v>#N/A</v>
      </c>
      <c r="AB2151" t="e">
        <f>VLOOKUP(Tabelle1014[[#This Row],[Rank]],Stammdaten[[Rank Verteilung Ovalität]:[Verteilung Ovalität]],2,FALSE)</f>
        <v>#N/A</v>
      </c>
    </row>
    <row r="2152" spans="5:28" x14ac:dyDescent="0.35">
      <c r="E2152">
        <v>2143</v>
      </c>
      <c r="F2152" t="e">
        <f>INDEX(Stammdaten[D Mitte mit Rinde (mm)],MATCH(Tabelle8[[#This Row],[Rank]],Stammdaten[Rank Verteilung D Mitte mit Rinde],0))</f>
        <v>#N/A</v>
      </c>
      <c r="G2152" t="e">
        <f>VLOOKUP(Tabelle8[[#This Row],[Rank]],Stammdaten[[Rank Verteilung D Mitte mit Rinde]:[Verteilung D Mitte mit Rinde]],2,FALSE)</f>
        <v>#N/A</v>
      </c>
      <c r="L2152">
        <v>2143</v>
      </c>
      <c r="M2152" t="e">
        <f>INDEX(Stammdaten[Abholzigkeit (mm/lfm)],MATCH(Tabelle9[[#This Row],[Rank]],Stammdaten[Rank Verteilung Abholzigkeit],0))</f>
        <v>#N/A</v>
      </c>
      <c r="N2152" t="e">
        <f>VLOOKUP(Tabelle9[[#This Row],[Rank]],Stammdaten[[Rank Verteilung Abholzigkeit]:[Verteilung Abholzigkeit]],2,FALSE)</f>
        <v>#N/A</v>
      </c>
      <c r="S2152">
        <v>2143</v>
      </c>
      <c r="T2152" t="e">
        <f>INDEX(Stammdaten[Krümmung (mm/lfm)],MATCH(Tabelle10[[#This Row],[Rank]],Stammdaten[Rank Verteilung Krümmung],0))</f>
        <v>#N/A</v>
      </c>
      <c r="U2152" t="e">
        <f>VLOOKUP(Tabelle10[[#This Row],[Rank]],Stammdaten[[Rank Verteilung Krümmung]:[Verteilung Krümmung]],2,FALSE)</f>
        <v>#N/A</v>
      </c>
      <c r="Z2152">
        <v>2143</v>
      </c>
      <c r="AA2152" t="e">
        <f>INDEX(Stammdaten[Ovalität (']0,1'])],MATCH(Tabelle1014[[#This Row],[Rank]],Stammdaten[Rank Verteilung Ovalität],0))</f>
        <v>#N/A</v>
      </c>
      <c r="AB2152" t="e">
        <f>VLOOKUP(Tabelle1014[[#This Row],[Rank]],Stammdaten[[Rank Verteilung Ovalität]:[Verteilung Ovalität]],2,FALSE)</f>
        <v>#N/A</v>
      </c>
    </row>
    <row r="2153" spans="5:28" x14ac:dyDescent="0.35">
      <c r="E2153">
        <v>2144</v>
      </c>
      <c r="F2153" t="e">
        <f>INDEX(Stammdaten[D Mitte mit Rinde (mm)],MATCH(Tabelle8[[#This Row],[Rank]],Stammdaten[Rank Verteilung D Mitte mit Rinde],0))</f>
        <v>#N/A</v>
      </c>
      <c r="G2153" t="e">
        <f>VLOOKUP(Tabelle8[[#This Row],[Rank]],Stammdaten[[Rank Verteilung D Mitte mit Rinde]:[Verteilung D Mitte mit Rinde]],2,FALSE)</f>
        <v>#N/A</v>
      </c>
      <c r="L2153">
        <v>2144</v>
      </c>
      <c r="M2153" t="e">
        <f>INDEX(Stammdaten[Abholzigkeit (mm/lfm)],MATCH(Tabelle9[[#This Row],[Rank]],Stammdaten[Rank Verteilung Abholzigkeit],0))</f>
        <v>#N/A</v>
      </c>
      <c r="N2153" t="e">
        <f>VLOOKUP(Tabelle9[[#This Row],[Rank]],Stammdaten[[Rank Verteilung Abholzigkeit]:[Verteilung Abholzigkeit]],2,FALSE)</f>
        <v>#N/A</v>
      </c>
      <c r="S2153">
        <v>2144</v>
      </c>
      <c r="T2153" t="e">
        <f>INDEX(Stammdaten[Krümmung (mm/lfm)],MATCH(Tabelle10[[#This Row],[Rank]],Stammdaten[Rank Verteilung Krümmung],0))</f>
        <v>#N/A</v>
      </c>
      <c r="U2153" t="e">
        <f>VLOOKUP(Tabelle10[[#This Row],[Rank]],Stammdaten[[Rank Verteilung Krümmung]:[Verteilung Krümmung]],2,FALSE)</f>
        <v>#N/A</v>
      </c>
      <c r="Z2153">
        <v>2144</v>
      </c>
      <c r="AA2153" t="e">
        <f>INDEX(Stammdaten[Ovalität (']0,1'])],MATCH(Tabelle1014[[#This Row],[Rank]],Stammdaten[Rank Verteilung Ovalität],0))</f>
        <v>#N/A</v>
      </c>
      <c r="AB2153" t="e">
        <f>VLOOKUP(Tabelle1014[[#This Row],[Rank]],Stammdaten[[Rank Verteilung Ovalität]:[Verteilung Ovalität]],2,FALSE)</f>
        <v>#N/A</v>
      </c>
    </row>
    <row r="2154" spans="5:28" x14ac:dyDescent="0.35">
      <c r="E2154">
        <v>2145</v>
      </c>
      <c r="F2154" t="e">
        <f>INDEX(Stammdaten[D Mitte mit Rinde (mm)],MATCH(Tabelle8[[#This Row],[Rank]],Stammdaten[Rank Verteilung D Mitte mit Rinde],0))</f>
        <v>#N/A</v>
      </c>
      <c r="G2154" t="e">
        <f>VLOOKUP(Tabelle8[[#This Row],[Rank]],Stammdaten[[Rank Verteilung D Mitte mit Rinde]:[Verteilung D Mitte mit Rinde]],2,FALSE)</f>
        <v>#N/A</v>
      </c>
      <c r="L2154">
        <v>2145</v>
      </c>
      <c r="M2154" t="e">
        <f>INDEX(Stammdaten[Abholzigkeit (mm/lfm)],MATCH(Tabelle9[[#This Row],[Rank]],Stammdaten[Rank Verteilung Abholzigkeit],0))</f>
        <v>#N/A</v>
      </c>
      <c r="N2154" t="e">
        <f>VLOOKUP(Tabelle9[[#This Row],[Rank]],Stammdaten[[Rank Verteilung Abholzigkeit]:[Verteilung Abholzigkeit]],2,FALSE)</f>
        <v>#N/A</v>
      </c>
      <c r="S2154">
        <v>2145</v>
      </c>
      <c r="T2154" t="e">
        <f>INDEX(Stammdaten[Krümmung (mm/lfm)],MATCH(Tabelle10[[#This Row],[Rank]],Stammdaten[Rank Verteilung Krümmung],0))</f>
        <v>#N/A</v>
      </c>
      <c r="U2154" t="e">
        <f>VLOOKUP(Tabelle10[[#This Row],[Rank]],Stammdaten[[Rank Verteilung Krümmung]:[Verteilung Krümmung]],2,FALSE)</f>
        <v>#N/A</v>
      </c>
      <c r="Z2154">
        <v>2145</v>
      </c>
      <c r="AA2154" t="e">
        <f>INDEX(Stammdaten[Ovalität (']0,1'])],MATCH(Tabelle1014[[#This Row],[Rank]],Stammdaten[Rank Verteilung Ovalität],0))</f>
        <v>#N/A</v>
      </c>
      <c r="AB2154" t="e">
        <f>VLOOKUP(Tabelle1014[[#This Row],[Rank]],Stammdaten[[Rank Verteilung Ovalität]:[Verteilung Ovalität]],2,FALSE)</f>
        <v>#N/A</v>
      </c>
    </row>
    <row r="2155" spans="5:28" x14ac:dyDescent="0.35">
      <c r="E2155">
        <v>2146</v>
      </c>
      <c r="F2155" t="e">
        <f>INDEX(Stammdaten[D Mitte mit Rinde (mm)],MATCH(Tabelle8[[#This Row],[Rank]],Stammdaten[Rank Verteilung D Mitte mit Rinde],0))</f>
        <v>#N/A</v>
      </c>
      <c r="G2155" t="e">
        <f>VLOOKUP(Tabelle8[[#This Row],[Rank]],Stammdaten[[Rank Verteilung D Mitte mit Rinde]:[Verteilung D Mitte mit Rinde]],2,FALSE)</f>
        <v>#N/A</v>
      </c>
      <c r="L2155">
        <v>2146</v>
      </c>
      <c r="M2155" t="e">
        <f>INDEX(Stammdaten[Abholzigkeit (mm/lfm)],MATCH(Tabelle9[[#This Row],[Rank]],Stammdaten[Rank Verteilung Abholzigkeit],0))</f>
        <v>#N/A</v>
      </c>
      <c r="N2155" t="e">
        <f>VLOOKUP(Tabelle9[[#This Row],[Rank]],Stammdaten[[Rank Verteilung Abholzigkeit]:[Verteilung Abholzigkeit]],2,FALSE)</f>
        <v>#N/A</v>
      </c>
      <c r="S2155">
        <v>2146</v>
      </c>
      <c r="T2155" t="e">
        <f>INDEX(Stammdaten[Krümmung (mm/lfm)],MATCH(Tabelle10[[#This Row],[Rank]],Stammdaten[Rank Verteilung Krümmung],0))</f>
        <v>#N/A</v>
      </c>
      <c r="U2155" t="e">
        <f>VLOOKUP(Tabelle10[[#This Row],[Rank]],Stammdaten[[Rank Verteilung Krümmung]:[Verteilung Krümmung]],2,FALSE)</f>
        <v>#N/A</v>
      </c>
      <c r="Z2155">
        <v>2146</v>
      </c>
      <c r="AA2155" t="e">
        <f>INDEX(Stammdaten[Ovalität (']0,1'])],MATCH(Tabelle1014[[#This Row],[Rank]],Stammdaten[Rank Verteilung Ovalität],0))</f>
        <v>#N/A</v>
      </c>
      <c r="AB2155" t="e">
        <f>VLOOKUP(Tabelle1014[[#This Row],[Rank]],Stammdaten[[Rank Verteilung Ovalität]:[Verteilung Ovalität]],2,FALSE)</f>
        <v>#N/A</v>
      </c>
    </row>
    <row r="2156" spans="5:28" x14ac:dyDescent="0.35">
      <c r="E2156">
        <v>2147</v>
      </c>
      <c r="F2156" t="e">
        <f>INDEX(Stammdaten[D Mitte mit Rinde (mm)],MATCH(Tabelle8[[#This Row],[Rank]],Stammdaten[Rank Verteilung D Mitte mit Rinde],0))</f>
        <v>#N/A</v>
      </c>
      <c r="G2156" t="e">
        <f>VLOOKUP(Tabelle8[[#This Row],[Rank]],Stammdaten[[Rank Verteilung D Mitte mit Rinde]:[Verteilung D Mitte mit Rinde]],2,FALSE)</f>
        <v>#N/A</v>
      </c>
      <c r="L2156">
        <v>2147</v>
      </c>
      <c r="M2156" t="e">
        <f>INDEX(Stammdaten[Abholzigkeit (mm/lfm)],MATCH(Tabelle9[[#This Row],[Rank]],Stammdaten[Rank Verteilung Abholzigkeit],0))</f>
        <v>#N/A</v>
      </c>
      <c r="N2156" t="e">
        <f>VLOOKUP(Tabelle9[[#This Row],[Rank]],Stammdaten[[Rank Verteilung Abholzigkeit]:[Verteilung Abholzigkeit]],2,FALSE)</f>
        <v>#N/A</v>
      </c>
      <c r="S2156">
        <v>2147</v>
      </c>
      <c r="T2156" t="e">
        <f>INDEX(Stammdaten[Krümmung (mm/lfm)],MATCH(Tabelle10[[#This Row],[Rank]],Stammdaten[Rank Verteilung Krümmung],0))</f>
        <v>#N/A</v>
      </c>
      <c r="U2156" t="e">
        <f>VLOOKUP(Tabelle10[[#This Row],[Rank]],Stammdaten[[Rank Verteilung Krümmung]:[Verteilung Krümmung]],2,FALSE)</f>
        <v>#N/A</v>
      </c>
      <c r="Z2156">
        <v>2147</v>
      </c>
      <c r="AA2156" t="e">
        <f>INDEX(Stammdaten[Ovalität (']0,1'])],MATCH(Tabelle1014[[#This Row],[Rank]],Stammdaten[Rank Verteilung Ovalität],0))</f>
        <v>#N/A</v>
      </c>
      <c r="AB2156" t="e">
        <f>VLOOKUP(Tabelle1014[[#This Row],[Rank]],Stammdaten[[Rank Verteilung Ovalität]:[Verteilung Ovalität]],2,FALSE)</f>
        <v>#N/A</v>
      </c>
    </row>
    <row r="2157" spans="5:28" x14ac:dyDescent="0.35">
      <c r="E2157">
        <v>2148</v>
      </c>
      <c r="F2157" t="e">
        <f>INDEX(Stammdaten[D Mitte mit Rinde (mm)],MATCH(Tabelle8[[#This Row],[Rank]],Stammdaten[Rank Verteilung D Mitte mit Rinde],0))</f>
        <v>#N/A</v>
      </c>
      <c r="G2157" t="e">
        <f>VLOOKUP(Tabelle8[[#This Row],[Rank]],Stammdaten[[Rank Verteilung D Mitte mit Rinde]:[Verteilung D Mitte mit Rinde]],2,FALSE)</f>
        <v>#N/A</v>
      </c>
      <c r="L2157">
        <v>2148</v>
      </c>
      <c r="M2157" t="e">
        <f>INDEX(Stammdaten[Abholzigkeit (mm/lfm)],MATCH(Tabelle9[[#This Row],[Rank]],Stammdaten[Rank Verteilung Abholzigkeit],0))</f>
        <v>#N/A</v>
      </c>
      <c r="N2157" t="e">
        <f>VLOOKUP(Tabelle9[[#This Row],[Rank]],Stammdaten[[Rank Verteilung Abholzigkeit]:[Verteilung Abholzigkeit]],2,FALSE)</f>
        <v>#N/A</v>
      </c>
      <c r="S2157">
        <v>2148</v>
      </c>
      <c r="T2157" t="e">
        <f>INDEX(Stammdaten[Krümmung (mm/lfm)],MATCH(Tabelle10[[#This Row],[Rank]],Stammdaten[Rank Verteilung Krümmung],0))</f>
        <v>#N/A</v>
      </c>
      <c r="U2157" t="e">
        <f>VLOOKUP(Tabelle10[[#This Row],[Rank]],Stammdaten[[Rank Verteilung Krümmung]:[Verteilung Krümmung]],2,FALSE)</f>
        <v>#N/A</v>
      </c>
      <c r="Z2157">
        <v>2148</v>
      </c>
      <c r="AA2157" t="e">
        <f>INDEX(Stammdaten[Ovalität (']0,1'])],MATCH(Tabelle1014[[#This Row],[Rank]],Stammdaten[Rank Verteilung Ovalität],0))</f>
        <v>#N/A</v>
      </c>
      <c r="AB2157" t="e">
        <f>VLOOKUP(Tabelle1014[[#This Row],[Rank]],Stammdaten[[Rank Verteilung Ovalität]:[Verteilung Ovalität]],2,FALSE)</f>
        <v>#N/A</v>
      </c>
    </row>
    <row r="2158" spans="5:28" x14ac:dyDescent="0.35">
      <c r="E2158">
        <v>2149</v>
      </c>
      <c r="F2158" t="e">
        <f>INDEX(Stammdaten[D Mitte mit Rinde (mm)],MATCH(Tabelle8[[#This Row],[Rank]],Stammdaten[Rank Verteilung D Mitte mit Rinde],0))</f>
        <v>#N/A</v>
      </c>
      <c r="G2158" t="e">
        <f>VLOOKUP(Tabelle8[[#This Row],[Rank]],Stammdaten[[Rank Verteilung D Mitte mit Rinde]:[Verteilung D Mitte mit Rinde]],2,FALSE)</f>
        <v>#N/A</v>
      </c>
      <c r="L2158">
        <v>2149</v>
      </c>
      <c r="M2158" t="e">
        <f>INDEX(Stammdaten[Abholzigkeit (mm/lfm)],MATCH(Tabelle9[[#This Row],[Rank]],Stammdaten[Rank Verteilung Abholzigkeit],0))</f>
        <v>#N/A</v>
      </c>
      <c r="N2158" t="e">
        <f>VLOOKUP(Tabelle9[[#This Row],[Rank]],Stammdaten[[Rank Verteilung Abholzigkeit]:[Verteilung Abholzigkeit]],2,FALSE)</f>
        <v>#N/A</v>
      </c>
      <c r="S2158">
        <v>2149</v>
      </c>
      <c r="T2158" t="e">
        <f>INDEX(Stammdaten[Krümmung (mm/lfm)],MATCH(Tabelle10[[#This Row],[Rank]],Stammdaten[Rank Verteilung Krümmung],0))</f>
        <v>#N/A</v>
      </c>
      <c r="U2158" t="e">
        <f>VLOOKUP(Tabelle10[[#This Row],[Rank]],Stammdaten[[Rank Verteilung Krümmung]:[Verteilung Krümmung]],2,FALSE)</f>
        <v>#N/A</v>
      </c>
      <c r="Z2158">
        <v>2149</v>
      </c>
      <c r="AA2158" t="e">
        <f>INDEX(Stammdaten[Ovalität (']0,1'])],MATCH(Tabelle1014[[#This Row],[Rank]],Stammdaten[Rank Verteilung Ovalität],0))</f>
        <v>#N/A</v>
      </c>
      <c r="AB2158" t="e">
        <f>VLOOKUP(Tabelle1014[[#This Row],[Rank]],Stammdaten[[Rank Verteilung Ovalität]:[Verteilung Ovalität]],2,FALSE)</f>
        <v>#N/A</v>
      </c>
    </row>
    <row r="2159" spans="5:28" x14ac:dyDescent="0.35">
      <c r="E2159">
        <v>2150</v>
      </c>
      <c r="F2159" t="e">
        <f>INDEX(Stammdaten[D Mitte mit Rinde (mm)],MATCH(Tabelle8[[#This Row],[Rank]],Stammdaten[Rank Verteilung D Mitte mit Rinde],0))</f>
        <v>#N/A</v>
      </c>
      <c r="G2159" t="e">
        <f>VLOOKUP(Tabelle8[[#This Row],[Rank]],Stammdaten[[Rank Verteilung D Mitte mit Rinde]:[Verteilung D Mitte mit Rinde]],2,FALSE)</f>
        <v>#N/A</v>
      </c>
      <c r="L2159">
        <v>2150</v>
      </c>
      <c r="M2159" t="e">
        <f>INDEX(Stammdaten[Abholzigkeit (mm/lfm)],MATCH(Tabelle9[[#This Row],[Rank]],Stammdaten[Rank Verteilung Abholzigkeit],0))</f>
        <v>#N/A</v>
      </c>
      <c r="N2159" t="e">
        <f>VLOOKUP(Tabelle9[[#This Row],[Rank]],Stammdaten[[Rank Verteilung Abholzigkeit]:[Verteilung Abholzigkeit]],2,FALSE)</f>
        <v>#N/A</v>
      </c>
      <c r="S2159">
        <v>2150</v>
      </c>
      <c r="T2159" t="e">
        <f>INDEX(Stammdaten[Krümmung (mm/lfm)],MATCH(Tabelle10[[#This Row],[Rank]],Stammdaten[Rank Verteilung Krümmung],0))</f>
        <v>#N/A</v>
      </c>
      <c r="U2159" t="e">
        <f>VLOOKUP(Tabelle10[[#This Row],[Rank]],Stammdaten[[Rank Verteilung Krümmung]:[Verteilung Krümmung]],2,FALSE)</f>
        <v>#N/A</v>
      </c>
      <c r="Z2159">
        <v>2150</v>
      </c>
      <c r="AA2159" t="e">
        <f>INDEX(Stammdaten[Ovalität (']0,1'])],MATCH(Tabelle1014[[#This Row],[Rank]],Stammdaten[Rank Verteilung Ovalität],0))</f>
        <v>#N/A</v>
      </c>
      <c r="AB2159" t="e">
        <f>VLOOKUP(Tabelle1014[[#This Row],[Rank]],Stammdaten[[Rank Verteilung Ovalität]:[Verteilung Ovalität]],2,FALSE)</f>
        <v>#N/A</v>
      </c>
    </row>
    <row r="2160" spans="5:28" x14ac:dyDescent="0.35">
      <c r="E2160">
        <v>2151</v>
      </c>
      <c r="F2160" t="e">
        <f>INDEX(Stammdaten[D Mitte mit Rinde (mm)],MATCH(Tabelle8[[#This Row],[Rank]],Stammdaten[Rank Verteilung D Mitte mit Rinde],0))</f>
        <v>#N/A</v>
      </c>
      <c r="G2160" t="e">
        <f>VLOOKUP(Tabelle8[[#This Row],[Rank]],Stammdaten[[Rank Verteilung D Mitte mit Rinde]:[Verteilung D Mitte mit Rinde]],2,FALSE)</f>
        <v>#N/A</v>
      </c>
      <c r="L2160">
        <v>2151</v>
      </c>
      <c r="M2160" t="e">
        <f>INDEX(Stammdaten[Abholzigkeit (mm/lfm)],MATCH(Tabelle9[[#This Row],[Rank]],Stammdaten[Rank Verteilung Abholzigkeit],0))</f>
        <v>#N/A</v>
      </c>
      <c r="N2160" t="e">
        <f>VLOOKUP(Tabelle9[[#This Row],[Rank]],Stammdaten[[Rank Verteilung Abholzigkeit]:[Verteilung Abholzigkeit]],2,FALSE)</f>
        <v>#N/A</v>
      </c>
      <c r="S2160">
        <v>2151</v>
      </c>
      <c r="T2160" t="e">
        <f>INDEX(Stammdaten[Krümmung (mm/lfm)],MATCH(Tabelle10[[#This Row],[Rank]],Stammdaten[Rank Verteilung Krümmung],0))</f>
        <v>#N/A</v>
      </c>
      <c r="U2160" t="e">
        <f>VLOOKUP(Tabelle10[[#This Row],[Rank]],Stammdaten[[Rank Verteilung Krümmung]:[Verteilung Krümmung]],2,FALSE)</f>
        <v>#N/A</v>
      </c>
      <c r="Z2160">
        <v>2151</v>
      </c>
      <c r="AA2160" t="e">
        <f>INDEX(Stammdaten[Ovalität (']0,1'])],MATCH(Tabelle1014[[#This Row],[Rank]],Stammdaten[Rank Verteilung Ovalität],0))</f>
        <v>#N/A</v>
      </c>
      <c r="AB2160" t="e">
        <f>VLOOKUP(Tabelle1014[[#This Row],[Rank]],Stammdaten[[Rank Verteilung Ovalität]:[Verteilung Ovalität]],2,FALSE)</f>
        <v>#N/A</v>
      </c>
    </row>
    <row r="2161" spans="5:28" x14ac:dyDescent="0.35">
      <c r="E2161">
        <v>2152</v>
      </c>
      <c r="F2161" t="e">
        <f>INDEX(Stammdaten[D Mitte mit Rinde (mm)],MATCH(Tabelle8[[#This Row],[Rank]],Stammdaten[Rank Verteilung D Mitte mit Rinde],0))</f>
        <v>#N/A</v>
      </c>
      <c r="G2161" t="e">
        <f>VLOOKUP(Tabelle8[[#This Row],[Rank]],Stammdaten[[Rank Verteilung D Mitte mit Rinde]:[Verteilung D Mitte mit Rinde]],2,FALSE)</f>
        <v>#N/A</v>
      </c>
      <c r="L2161">
        <v>2152</v>
      </c>
      <c r="M2161" t="e">
        <f>INDEX(Stammdaten[Abholzigkeit (mm/lfm)],MATCH(Tabelle9[[#This Row],[Rank]],Stammdaten[Rank Verteilung Abholzigkeit],0))</f>
        <v>#N/A</v>
      </c>
      <c r="N2161" t="e">
        <f>VLOOKUP(Tabelle9[[#This Row],[Rank]],Stammdaten[[Rank Verteilung Abholzigkeit]:[Verteilung Abholzigkeit]],2,FALSE)</f>
        <v>#N/A</v>
      </c>
      <c r="S2161">
        <v>2152</v>
      </c>
      <c r="T2161" t="e">
        <f>INDEX(Stammdaten[Krümmung (mm/lfm)],MATCH(Tabelle10[[#This Row],[Rank]],Stammdaten[Rank Verteilung Krümmung],0))</f>
        <v>#N/A</v>
      </c>
      <c r="U2161" t="e">
        <f>VLOOKUP(Tabelle10[[#This Row],[Rank]],Stammdaten[[Rank Verteilung Krümmung]:[Verteilung Krümmung]],2,FALSE)</f>
        <v>#N/A</v>
      </c>
      <c r="Z2161">
        <v>2152</v>
      </c>
      <c r="AA2161" t="e">
        <f>INDEX(Stammdaten[Ovalität (']0,1'])],MATCH(Tabelle1014[[#This Row],[Rank]],Stammdaten[Rank Verteilung Ovalität],0))</f>
        <v>#N/A</v>
      </c>
      <c r="AB2161" t="e">
        <f>VLOOKUP(Tabelle1014[[#This Row],[Rank]],Stammdaten[[Rank Verteilung Ovalität]:[Verteilung Ovalität]],2,FALSE)</f>
        <v>#N/A</v>
      </c>
    </row>
    <row r="2162" spans="5:28" x14ac:dyDescent="0.35">
      <c r="E2162">
        <v>2153</v>
      </c>
      <c r="F2162" t="e">
        <f>INDEX(Stammdaten[D Mitte mit Rinde (mm)],MATCH(Tabelle8[[#This Row],[Rank]],Stammdaten[Rank Verteilung D Mitte mit Rinde],0))</f>
        <v>#N/A</v>
      </c>
      <c r="G2162" t="e">
        <f>VLOOKUP(Tabelle8[[#This Row],[Rank]],Stammdaten[[Rank Verteilung D Mitte mit Rinde]:[Verteilung D Mitte mit Rinde]],2,FALSE)</f>
        <v>#N/A</v>
      </c>
      <c r="L2162">
        <v>2153</v>
      </c>
      <c r="M2162" t="e">
        <f>INDEX(Stammdaten[Abholzigkeit (mm/lfm)],MATCH(Tabelle9[[#This Row],[Rank]],Stammdaten[Rank Verteilung Abholzigkeit],0))</f>
        <v>#N/A</v>
      </c>
      <c r="N2162" t="e">
        <f>VLOOKUP(Tabelle9[[#This Row],[Rank]],Stammdaten[[Rank Verteilung Abholzigkeit]:[Verteilung Abholzigkeit]],2,FALSE)</f>
        <v>#N/A</v>
      </c>
      <c r="S2162">
        <v>2153</v>
      </c>
      <c r="T2162" t="e">
        <f>INDEX(Stammdaten[Krümmung (mm/lfm)],MATCH(Tabelle10[[#This Row],[Rank]],Stammdaten[Rank Verteilung Krümmung],0))</f>
        <v>#N/A</v>
      </c>
      <c r="U2162" t="e">
        <f>VLOOKUP(Tabelle10[[#This Row],[Rank]],Stammdaten[[Rank Verteilung Krümmung]:[Verteilung Krümmung]],2,FALSE)</f>
        <v>#N/A</v>
      </c>
      <c r="Z2162">
        <v>2153</v>
      </c>
      <c r="AA2162" t="e">
        <f>INDEX(Stammdaten[Ovalität (']0,1'])],MATCH(Tabelle1014[[#This Row],[Rank]],Stammdaten[Rank Verteilung Ovalität],0))</f>
        <v>#N/A</v>
      </c>
      <c r="AB2162" t="e">
        <f>VLOOKUP(Tabelle1014[[#This Row],[Rank]],Stammdaten[[Rank Verteilung Ovalität]:[Verteilung Ovalität]],2,FALSE)</f>
        <v>#N/A</v>
      </c>
    </row>
    <row r="2163" spans="5:28" x14ac:dyDescent="0.35">
      <c r="E2163">
        <v>2154</v>
      </c>
      <c r="F2163" t="e">
        <f>INDEX(Stammdaten[D Mitte mit Rinde (mm)],MATCH(Tabelle8[[#This Row],[Rank]],Stammdaten[Rank Verteilung D Mitte mit Rinde],0))</f>
        <v>#N/A</v>
      </c>
      <c r="G2163" t="e">
        <f>VLOOKUP(Tabelle8[[#This Row],[Rank]],Stammdaten[[Rank Verteilung D Mitte mit Rinde]:[Verteilung D Mitte mit Rinde]],2,FALSE)</f>
        <v>#N/A</v>
      </c>
      <c r="L2163">
        <v>2154</v>
      </c>
      <c r="M2163" t="e">
        <f>INDEX(Stammdaten[Abholzigkeit (mm/lfm)],MATCH(Tabelle9[[#This Row],[Rank]],Stammdaten[Rank Verteilung Abholzigkeit],0))</f>
        <v>#N/A</v>
      </c>
      <c r="N2163" t="e">
        <f>VLOOKUP(Tabelle9[[#This Row],[Rank]],Stammdaten[[Rank Verteilung Abholzigkeit]:[Verteilung Abholzigkeit]],2,FALSE)</f>
        <v>#N/A</v>
      </c>
      <c r="S2163">
        <v>2154</v>
      </c>
      <c r="T2163" t="e">
        <f>INDEX(Stammdaten[Krümmung (mm/lfm)],MATCH(Tabelle10[[#This Row],[Rank]],Stammdaten[Rank Verteilung Krümmung],0))</f>
        <v>#N/A</v>
      </c>
      <c r="U2163" t="e">
        <f>VLOOKUP(Tabelle10[[#This Row],[Rank]],Stammdaten[[Rank Verteilung Krümmung]:[Verteilung Krümmung]],2,FALSE)</f>
        <v>#N/A</v>
      </c>
      <c r="Z2163">
        <v>2154</v>
      </c>
      <c r="AA2163" t="e">
        <f>INDEX(Stammdaten[Ovalität (']0,1'])],MATCH(Tabelle1014[[#This Row],[Rank]],Stammdaten[Rank Verteilung Ovalität],0))</f>
        <v>#N/A</v>
      </c>
      <c r="AB2163" t="e">
        <f>VLOOKUP(Tabelle1014[[#This Row],[Rank]],Stammdaten[[Rank Verteilung Ovalität]:[Verteilung Ovalität]],2,FALSE)</f>
        <v>#N/A</v>
      </c>
    </row>
    <row r="2164" spans="5:28" x14ac:dyDescent="0.35">
      <c r="E2164">
        <v>2155</v>
      </c>
      <c r="F2164" t="e">
        <f>INDEX(Stammdaten[D Mitte mit Rinde (mm)],MATCH(Tabelle8[[#This Row],[Rank]],Stammdaten[Rank Verteilung D Mitte mit Rinde],0))</f>
        <v>#N/A</v>
      </c>
      <c r="G2164" t="e">
        <f>VLOOKUP(Tabelle8[[#This Row],[Rank]],Stammdaten[[Rank Verteilung D Mitte mit Rinde]:[Verteilung D Mitte mit Rinde]],2,FALSE)</f>
        <v>#N/A</v>
      </c>
      <c r="L2164">
        <v>2155</v>
      </c>
      <c r="M2164" t="e">
        <f>INDEX(Stammdaten[Abholzigkeit (mm/lfm)],MATCH(Tabelle9[[#This Row],[Rank]],Stammdaten[Rank Verteilung Abholzigkeit],0))</f>
        <v>#N/A</v>
      </c>
      <c r="N2164" t="e">
        <f>VLOOKUP(Tabelle9[[#This Row],[Rank]],Stammdaten[[Rank Verteilung Abholzigkeit]:[Verteilung Abholzigkeit]],2,FALSE)</f>
        <v>#N/A</v>
      </c>
      <c r="S2164">
        <v>2155</v>
      </c>
      <c r="T2164" t="e">
        <f>INDEX(Stammdaten[Krümmung (mm/lfm)],MATCH(Tabelle10[[#This Row],[Rank]],Stammdaten[Rank Verteilung Krümmung],0))</f>
        <v>#N/A</v>
      </c>
      <c r="U2164" t="e">
        <f>VLOOKUP(Tabelle10[[#This Row],[Rank]],Stammdaten[[Rank Verteilung Krümmung]:[Verteilung Krümmung]],2,FALSE)</f>
        <v>#N/A</v>
      </c>
      <c r="Z2164">
        <v>2155</v>
      </c>
      <c r="AA2164" t="e">
        <f>INDEX(Stammdaten[Ovalität (']0,1'])],MATCH(Tabelle1014[[#This Row],[Rank]],Stammdaten[Rank Verteilung Ovalität],0))</f>
        <v>#N/A</v>
      </c>
      <c r="AB2164" t="e">
        <f>VLOOKUP(Tabelle1014[[#This Row],[Rank]],Stammdaten[[Rank Verteilung Ovalität]:[Verteilung Ovalität]],2,FALSE)</f>
        <v>#N/A</v>
      </c>
    </row>
    <row r="2165" spans="5:28" x14ac:dyDescent="0.35">
      <c r="E2165">
        <v>2156</v>
      </c>
      <c r="F2165" t="e">
        <f>INDEX(Stammdaten[D Mitte mit Rinde (mm)],MATCH(Tabelle8[[#This Row],[Rank]],Stammdaten[Rank Verteilung D Mitte mit Rinde],0))</f>
        <v>#N/A</v>
      </c>
      <c r="G2165" t="e">
        <f>VLOOKUP(Tabelle8[[#This Row],[Rank]],Stammdaten[[Rank Verteilung D Mitte mit Rinde]:[Verteilung D Mitte mit Rinde]],2,FALSE)</f>
        <v>#N/A</v>
      </c>
      <c r="L2165">
        <v>2156</v>
      </c>
      <c r="M2165" t="e">
        <f>INDEX(Stammdaten[Abholzigkeit (mm/lfm)],MATCH(Tabelle9[[#This Row],[Rank]],Stammdaten[Rank Verteilung Abholzigkeit],0))</f>
        <v>#N/A</v>
      </c>
      <c r="N2165" t="e">
        <f>VLOOKUP(Tabelle9[[#This Row],[Rank]],Stammdaten[[Rank Verteilung Abholzigkeit]:[Verteilung Abholzigkeit]],2,FALSE)</f>
        <v>#N/A</v>
      </c>
      <c r="S2165">
        <v>2156</v>
      </c>
      <c r="T2165" t="e">
        <f>INDEX(Stammdaten[Krümmung (mm/lfm)],MATCH(Tabelle10[[#This Row],[Rank]],Stammdaten[Rank Verteilung Krümmung],0))</f>
        <v>#N/A</v>
      </c>
      <c r="U2165" t="e">
        <f>VLOOKUP(Tabelle10[[#This Row],[Rank]],Stammdaten[[Rank Verteilung Krümmung]:[Verteilung Krümmung]],2,FALSE)</f>
        <v>#N/A</v>
      </c>
      <c r="Z2165">
        <v>2156</v>
      </c>
      <c r="AA2165" t="e">
        <f>INDEX(Stammdaten[Ovalität (']0,1'])],MATCH(Tabelle1014[[#This Row],[Rank]],Stammdaten[Rank Verteilung Ovalität],0))</f>
        <v>#N/A</v>
      </c>
      <c r="AB2165" t="e">
        <f>VLOOKUP(Tabelle1014[[#This Row],[Rank]],Stammdaten[[Rank Verteilung Ovalität]:[Verteilung Ovalität]],2,FALSE)</f>
        <v>#N/A</v>
      </c>
    </row>
    <row r="2166" spans="5:28" x14ac:dyDescent="0.35">
      <c r="E2166">
        <v>2157</v>
      </c>
      <c r="F2166" t="e">
        <f>INDEX(Stammdaten[D Mitte mit Rinde (mm)],MATCH(Tabelle8[[#This Row],[Rank]],Stammdaten[Rank Verteilung D Mitte mit Rinde],0))</f>
        <v>#N/A</v>
      </c>
      <c r="G2166" t="e">
        <f>VLOOKUP(Tabelle8[[#This Row],[Rank]],Stammdaten[[Rank Verteilung D Mitte mit Rinde]:[Verteilung D Mitte mit Rinde]],2,FALSE)</f>
        <v>#N/A</v>
      </c>
      <c r="L2166">
        <v>2157</v>
      </c>
      <c r="M2166" t="e">
        <f>INDEX(Stammdaten[Abholzigkeit (mm/lfm)],MATCH(Tabelle9[[#This Row],[Rank]],Stammdaten[Rank Verteilung Abholzigkeit],0))</f>
        <v>#N/A</v>
      </c>
      <c r="N2166" t="e">
        <f>VLOOKUP(Tabelle9[[#This Row],[Rank]],Stammdaten[[Rank Verteilung Abholzigkeit]:[Verteilung Abholzigkeit]],2,FALSE)</f>
        <v>#N/A</v>
      </c>
      <c r="S2166">
        <v>2157</v>
      </c>
      <c r="T2166" t="e">
        <f>INDEX(Stammdaten[Krümmung (mm/lfm)],MATCH(Tabelle10[[#This Row],[Rank]],Stammdaten[Rank Verteilung Krümmung],0))</f>
        <v>#N/A</v>
      </c>
      <c r="U2166" t="e">
        <f>VLOOKUP(Tabelle10[[#This Row],[Rank]],Stammdaten[[Rank Verteilung Krümmung]:[Verteilung Krümmung]],2,FALSE)</f>
        <v>#N/A</v>
      </c>
      <c r="Z2166">
        <v>2157</v>
      </c>
      <c r="AA2166" t="e">
        <f>INDEX(Stammdaten[Ovalität (']0,1'])],MATCH(Tabelle1014[[#This Row],[Rank]],Stammdaten[Rank Verteilung Ovalität],0))</f>
        <v>#N/A</v>
      </c>
      <c r="AB2166" t="e">
        <f>VLOOKUP(Tabelle1014[[#This Row],[Rank]],Stammdaten[[Rank Verteilung Ovalität]:[Verteilung Ovalität]],2,FALSE)</f>
        <v>#N/A</v>
      </c>
    </row>
    <row r="2167" spans="5:28" x14ac:dyDescent="0.35">
      <c r="E2167">
        <v>2158</v>
      </c>
      <c r="F2167" t="e">
        <f>INDEX(Stammdaten[D Mitte mit Rinde (mm)],MATCH(Tabelle8[[#This Row],[Rank]],Stammdaten[Rank Verteilung D Mitte mit Rinde],0))</f>
        <v>#N/A</v>
      </c>
      <c r="G2167" t="e">
        <f>VLOOKUP(Tabelle8[[#This Row],[Rank]],Stammdaten[[Rank Verteilung D Mitte mit Rinde]:[Verteilung D Mitte mit Rinde]],2,FALSE)</f>
        <v>#N/A</v>
      </c>
      <c r="L2167">
        <v>2158</v>
      </c>
      <c r="M2167" t="e">
        <f>INDEX(Stammdaten[Abholzigkeit (mm/lfm)],MATCH(Tabelle9[[#This Row],[Rank]],Stammdaten[Rank Verteilung Abholzigkeit],0))</f>
        <v>#N/A</v>
      </c>
      <c r="N2167" t="e">
        <f>VLOOKUP(Tabelle9[[#This Row],[Rank]],Stammdaten[[Rank Verteilung Abholzigkeit]:[Verteilung Abholzigkeit]],2,FALSE)</f>
        <v>#N/A</v>
      </c>
      <c r="S2167">
        <v>2158</v>
      </c>
      <c r="T2167" t="e">
        <f>INDEX(Stammdaten[Krümmung (mm/lfm)],MATCH(Tabelle10[[#This Row],[Rank]],Stammdaten[Rank Verteilung Krümmung],0))</f>
        <v>#N/A</v>
      </c>
      <c r="U2167" t="e">
        <f>VLOOKUP(Tabelle10[[#This Row],[Rank]],Stammdaten[[Rank Verteilung Krümmung]:[Verteilung Krümmung]],2,FALSE)</f>
        <v>#N/A</v>
      </c>
      <c r="Z2167">
        <v>2158</v>
      </c>
      <c r="AA2167" t="e">
        <f>INDEX(Stammdaten[Ovalität (']0,1'])],MATCH(Tabelle1014[[#This Row],[Rank]],Stammdaten[Rank Verteilung Ovalität],0))</f>
        <v>#N/A</v>
      </c>
      <c r="AB2167" t="e">
        <f>VLOOKUP(Tabelle1014[[#This Row],[Rank]],Stammdaten[[Rank Verteilung Ovalität]:[Verteilung Ovalität]],2,FALSE)</f>
        <v>#N/A</v>
      </c>
    </row>
    <row r="2168" spans="5:28" x14ac:dyDescent="0.35">
      <c r="E2168">
        <v>2159</v>
      </c>
      <c r="F2168" t="e">
        <f>INDEX(Stammdaten[D Mitte mit Rinde (mm)],MATCH(Tabelle8[[#This Row],[Rank]],Stammdaten[Rank Verteilung D Mitte mit Rinde],0))</f>
        <v>#N/A</v>
      </c>
      <c r="G2168" t="e">
        <f>VLOOKUP(Tabelle8[[#This Row],[Rank]],Stammdaten[[Rank Verteilung D Mitte mit Rinde]:[Verteilung D Mitte mit Rinde]],2,FALSE)</f>
        <v>#N/A</v>
      </c>
      <c r="L2168">
        <v>2159</v>
      </c>
      <c r="M2168" t="e">
        <f>INDEX(Stammdaten[Abholzigkeit (mm/lfm)],MATCH(Tabelle9[[#This Row],[Rank]],Stammdaten[Rank Verteilung Abholzigkeit],0))</f>
        <v>#N/A</v>
      </c>
      <c r="N2168" t="e">
        <f>VLOOKUP(Tabelle9[[#This Row],[Rank]],Stammdaten[[Rank Verteilung Abholzigkeit]:[Verteilung Abholzigkeit]],2,FALSE)</f>
        <v>#N/A</v>
      </c>
      <c r="S2168">
        <v>2159</v>
      </c>
      <c r="T2168" t="e">
        <f>INDEX(Stammdaten[Krümmung (mm/lfm)],MATCH(Tabelle10[[#This Row],[Rank]],Stammdaten[Rank Verteilung Krümmung],0))</f>
        <v>#N/A</v>
      </c>
      <c r="U2168" t="e">
        <f>VLOOKUP(Tabelle10[[#This Row],[Rank]],Stammdaten[[Rank Verteilung Krümmung]:[Verteilung Krümmung]],2,FALSE)</f>
        <v>#N/A</v>
      </c>
      <c r="Z2168">
        <v>2159</v>
      </c>
      <c r="AA2168" t="e">
        <f>INDEX(Stammdaten[Ovalität (']0,1'])],MATCH(Tabelle1014[[#This Row],[Rank]],Stammdaten[Rank Verteilung Ovalität],0))</f>
        <v>#N/A</v>
      </c>
      <c r="AB2168" t="e">
        <f>VLOOKUP(Tabelle1014[[#This Row],[Rank]],Stammdaten[[Rank Verteilung Ovalität]:[Verteilung Ovalität]],2,FALSE)</f>
        <v>#N/A</v>
      </c>
    </row>
    <row r="2169" spans="5:28" x14ac:dyDescent="0.35">
      <c r="E2169">
        <v>2160</v>
      </c>
      <c r="F2169" t="e">
        <f>INDEX(Stammdaten[D Mitte mit Rinde (mm)],MATCH(Tabelle8[[#This Row],[Rank]],Stammdaten[Rank Verteilung D Mitte mit Rinde],0))</f>
        <v>#N/A</v>
      </c>
      <c r="G2169" t="e">
        <f>VLOOKUP(Tabelle8[[#This Row],[Rank]],Stammdaten[[Rank Verteilung D Mitte mit Rinde]:[Verteilung D Mitte mit Rinde]],2,FALSE)</f>
        <v>#N/A</v>
      </c>
      <c r="L2169">
        <v>2160</v>
      </c>
      <c r="M2169" t="e">
        <f>INDEX(Stammdaten[Abholzigkeit (mm/lfm)],MATCH(Tabelle9[[#This Row],[Rank]],Stammdaten[Rank Verteilung Abholzigkeit],0))</f>
        <v>#N/A</v>
      </c>
      <c r="N2169" t="e">
        <f>VLOOKUP(Tabelle9[[#This Row],[Rank]],Stammdaten[[Rank Verteilung Abholzigkeit]:[Verteilung Abholzigkeit]],2,FALSE)</f>
        <v>#N/A</v>
      </c>
      <c r="S2169">
        <v>2160</v>
      </c>
      <c r="T2169" t="e">
        <f>INDEX(Stammdaten[Krümmung (mm/lfm)],MATCH(Tabelle10[[#This Row],[Rank]],Stammdaten[Rank Verteilung Krümmung],0))</f>
        <v>#N/A</v>
      </c>
      <c r="U2169" t="e">
        <f>VLOOKUP(Tabelle10[[#This Row],[Rank]],Stammdaten[[Rank Verteilung Krümmung]:[Verteilung Krümmung]],2,FALSE)</f>
        <v>#N/A</v>
      </c>
      <c r="Z2169">
        <v>2160</v>
      </c>
      <c r="AA2169" t="e">
        <f>INDEX(Stammdaten[Ovalität (']0,1'])],MATCH(Tabelle1014[[#This Row],[Rank]],Stammdaten[Rank Verteilung Ovalität],0))</f>
        <v>#N/A</v>
      </c>
      <c r="AB2169" t="e">
        <f>VLOOKUP(Tabelle1014[[#This Row],[Rank]],Stammdaten[[Rank Verteilung Ovalität]:[Verteilung Ovalität]],2,FALSE)</f>
        <v>#N/A</v>
      </c>
    </row>
    <row r="2170" spans="5:28" x14ac:dyDescent="0.35">
      <c r="E2170">
        <v>2161</v>
      </c>
      <c r="F2170" t="e">
        <f>INDEX(Stammdaten[D Mitte mit Rinde (mm)],MATCH(Tabelle8[[#This Row],[Rank]],Stammdaten[Rank Verteilung D Mitte mit Rinde],0))</f>
        <v>#N/A</v>
      </c>
      <c r="G2170" t="e">
        <f>VLOOKUP(Tabelle8[[#This Row],[Rank]],Stammdaten[[Rank Verteilung D Mitte mit Rinde]:[Verteilung D Mitte mit Rinde]],2,FALSE)</f>
        <v>#N/A</v>
      </c>
      <c r="L2170">
        <v>2161</v>
      </c>
      <c r="M2170" t="e">
        <f>INDEX(Stammdaten[Abholzigkeit (mm/lfm)],MATCH(Tabelle9[[#This Row],[Rank]],Stammdaten[Rank Verteilung Abholzigkeit],0))</f>
        <v>#N/A</v>
      </c>
      <c r="N2170" t="e">
        <f>VLOOKUP(Tabelle9[[#This Row],[Rank]],Stammdaten[[Rank Verteilung Abholzigkeit]:[Verteilung Abholzigkeit]],2,FALSE)</f>
        <v>#N/A</v>
      </c>
      <c r="S2170">
        <v>2161</v>
      </c>
      <c r="T2170" t="e">
        <f>INDEX(Stammdaten[Krümmung (mm/lfm)],MATCH(Tabelle10[[#This Row],[Rank]],Stammdaten[Rank Verteilung Krümmung],0))</f>
        <v>#N/A</v>
      </c>
      <c r="U2170" t="e">
        <f>VLOOKUP(Tabelle10[[#This Row],[Rank]],Stammdaten[[Rank Verteilung Krümmung]:[Verteilung Krümmung]],2,FALSE)</f>
        <v>#N/A</v>
      </c>
      <c r="Z2170">
        <v>2161</v>
      </c>
      <c r="AA2170" t="e">
        <f>INDEX(Stammdaten[Ovalität (']0,1'])],MATCH(Tabelle1014[[#This Row],[Rank]],Stammdaten[Rank Verteilung Ovalität],0))</f>
        <v>#N/A</v>
      </c>
      <c r="AB2170" t="e">
        <f>VLOOKUP(Tabelle1014[[#This Row],[Rank]],Stammdaten[[Rank Verteilung Ovalität]:[Verteilung Ovalität]],2,FALSE)</f>
        <v>#N/A</v>
      </c>
    </row>
    <row r="2171" spans="5:28" x14ac:dyDescent="0.35">
      <c r="E2171">
        <v>2162</v>
      </c>
      <c r="F2171" t="e">
        <f>INDEX(Stammdaten[D Mitte mit Rinde (mm)],MATCH(Tabelle8[[#This Row],[Rank]],Stammdaten[Rank Verteilung D Mitte mit Rinde],0))</f>
        <v>#N/A</v>
      </c>
      <c r="G2171" t="e">
        <f>VLOOKUP(Tabelle8[[#This Row],[Rank]],Stammdaten[[Rank Verteilung D Mitte mit Rinde]:[Verteilung D Mitte mit Rinde]],2,FALSE)</f>
        <v>#N/A</v>
      </c>
      <c r="L2171">
        <v>2162</v>
      </c>
      <c r="M2171" t="e">
        <f>INDEX(Stammdaten[Abholzigkeit (mm/lfm)],MATCH(Tabelle9[[#This Row],[Rank]],Stammdaten[Rank Verteilung Abholzigkeit],0))</f>
        <v>#N/A</v>
      </c>
      <c r="N2171" t="e">
        <f>VLOOKUP(Tabelle9[[#This Row],[Rank]],Stammdaten[[Rank Verteilung Abholzigkeit]:[Verteilung Abholzigkeit]],2,FALSE)</f>
        <v>#N/A</v>
      </c>
      <c r="S2171">
        <v>2162</v>
      </c>
      <c r="T2171" t="e">
        <f>INDEX(Stammdaten[Krümmung (mm/lfm)],MATCH(Tabelle10[[#This Row],[Rank]],Stammdaten[Rank Verteilung Krümmung],0))</f>
        <v>#N/A</v>
      </c>
      <c r="U2171" t="e">
        <f>VLOOKUP(Tabelle10[[#This Row],[Rank]],Stammdaten[[Rank Verteilung Krümmung]:[Verteilung Krümmung]],2,FALSE)</f>
        <v>#N/A</v>
      </c>
      <c r="Z2171">
        <v>2162</v>
      </c>
      <c r="AA2171" t="e">
        <f>INDEX(Stammdaten[Ovalität (']0,1'])],MATCH(Tabelle1014[[#This Row],[Rank]],Stammdaten[Rank Verteilung Ovalität],0))</f>
        <v>#N/A</v>
      </c>
      <c r="AB2171" t="e">
        <f>VLOOKUP(Tabelle1014[[#This Row],[Rank]],Stammdaten[[Rank Verteilung Ovalität]:[Verteilung Ovalität]],2,FALSE)</f>
        <v>#N/A</v>
      </c>
    </row>
    <row r="2172" spans="5:28" x14ac:dyDescent="0.35">
      <c r="E2172">
        <v>2163</v>
      </c>
      <c r="F2172" t="e">
        <f>INDEX(Stammdaten[D Mitte mit Rinde (mm)],MATCH(Tabelle8[[#This Row],[Rank]],Stammdaten[Rank Verteilung D Mitte mit Rinde],0))</f>
        <v>#N/A</v>
      </c>
      <c r="G2172" t="e">
        <f>VLOOKUP(Tabelle8[[#This Row],[Rank]],Stammdaten[[Rank Verteilung D Mitte mit Rinde]:[Verteilung D Mitte mit Rinde]],2,FALSE)</f>
        <v>#N/A</v>
      </c>
      <c r="L2172">
        <v>2163</v>
      </c>
      <c r="M2172" t="e">
        <f>INDEX(Stammdaten[Abholzigkeit (mm/lfm)],MATCH(Tabelle9[[#This Row],[Rank]],Stammdaten[Rank Verteilung Abholzigkeit],0))</f>
        <v>#N/A</v>
      </c>
      <c r="N2172" t="e">
        <f>VLOOKUP(Tabelle9[[#This Row],[Rank]],Stammdaten[[Rank Verteilung Abholzigkeit]:[Verteilung Abholzigkeit]],2,FALSE)</f>
        <v>#N/A</v>
      </c>
      <c r="S2172">
        <v>2163</v>
      </c>
      <c r="T2172" t="e">
        <f>INDEX(Stammdaten[Krümmung (mm/lfm)],MATCH(Tabelle10[[#This Row],[Rank]],Stammdaten[Rank Verteilung Krümmung],0))</f>
        <v>#N/A</v>
      </c>
      <c r="U2172" t="e">
        <f>VLOOKUP(Tabelle10[[#This Row],[Rank]],Stammdaten[[Rank Verteilung Krümmung]:[Verteilung Krümmung]],2,FALSE)</f>
        <v>#N/A</v>
      </c>
      <c r="Z2172">
        <v>2163</v>
      </c>
      <c r="AA2172" t="e">
        <f>INDEX(Stammdaten[Ovalität (']0,1'])],MATCH(Tabelle1014[[#This Row],[Rank]],Stammdaten[Rank Verteilung Ovalität],0))</f>
        <v>#N/A</v>
      </c>
      <c r="AB2172" t="e">
        <f>VLOOKUP(Tabelle1014[[#This Row],[Rank]],Stammdaten[[Rank Verteilung Ovalität]:[Verteilung Ovalität]],2,FALSE)</f>
        <v>#N/A</v>
      </c>
    </row>
    <row r="2173" spans="5:28" x14ac:dyDescent="0.35">
      <c r="E2173">
        <v>2164</v>
      </c>
      <c r="F2173" t="e">
        <f>INDEX(Stammdaten[D Mitte mit Rinde (mm)],MATCH(Tabelle8[[#This Row],[Rank]],Stammdaten[Rank Verteilung D Mitte mit Rinde],0))</f>
        <v>#N/A</v>
      </c>
      <c r="G2173" t="e">
        <f>VLOOKUP(Tabelle8[[#This Row],[Rank]],Stammdaten[[Rank Verteilung D Mitte mit Rinde]:[Verteilung D Mitte mit Rinde]],2,FALSE)</f>
        <v>#N/A</v>
      </c>
      <c r="L2173">
        <v>2164</v>
      </c>
      <c r="M2173" t="e">
        <f>INDEX(Stammdaten[Abholzigkeit (mm/lfm)],MATCH(Tabelle9[[#This Row],[Rank]],Stammdaten[Rank Verteilung Abholzigkeit],0))</f>
        <v>#N/A</v>
      </c>
      <c r="N2173" t="e">
        <f>VLOOKUP(Tabelle9[[#This Row],[Rank]],Stammdaten[[Rank Verteilung Abholzigkeit]:[Verteilung Abholzigkeit]],2,FALSE)</f>
        <v>#N/A</v>
      </c>
      <c r="S2173">
        <v>2164</v>
      </c>
      <c r="T2173" t="e">
        <f>INDEX(Stammdaten[Krümmung (mm/lfm)],MATCH(Tabelle10[[#This Row],[Rank]],Stammdaten[Rank Verteilung Krümmung],0))</f>
        <v>#N/A</v>
      </c>
      <c r="U2173" t="e">
        <f>VLOOKUP(Tabelle10[[#This Row],[Rank]],Stammdaten[[Rank Verteilung Krümmung]:[Verteilung Krümmung]],2,FALSE)</f>
        <v>#N/A</v>
      </c>
      <c r="Z2173">
        <v>2164</v>
      </c>
      <c r="AA2173" t="e">
        <f>INDEX(Stammdaten[Ovalität (']0,1'])],MATCH(Tabelle1014[[#This Row],[Rank]],Stammdaten[Rank Verteilung Ovalität],0))</f>
        <v>#N/A</v>
      </c>
      <c r="AB2173" t="e">
        <f>VLOOKUP(Tabelle1014[[#This Row],[Rank]],Stammdaten[[Rank Verteilung Ovalität]:[Verteilung Ovalität]],2,FALSE)</f>
        <v>#N/A</v>
      </c>
    </row>
    <row r="2174" spans="5:28" x14ac:dyDescent="0.35">
      <c r="E2174">
        <v>2165</v>
      </c>
      <c r="F2174" t="e">
        <f>INDEX(Stammdaten[D Mitte mit Rinde (mm)],MATCH(Tabelle8[[#This Row],[Rank]],Stammdaten[Rank Verteilung D Mitte mit Rinde],0))</f>
        <v>#N/A</v>
      </c>
      <c r="G2174" t="e">
        <f>VLOOKUP(Tabelle8[[#This Row],[Rank]],Stammdaten[[Rank Verteilung D Mitte mit Rinde]:[Verteilung D Mitte mit Rinde]],2,FALSE)</f>
        <v>#N/A</v>
      </c>
      <c r="L2174">
        <v>2165</v>
      </c>
      <c r="M2174" t="e">
        <f>INDEX(Stammdaten[Abholzigkeit (mm/lfm)],MATCH(Tabelle9[[#This Row],[Rank]],Stammdaten[Rank Verteilung Abholzigkeit],0))</f>
        <v>#N/A</v>
      </c>
      <c r="N2174" t="e">
        <f>VLOOKUP(Tabelle9[[#This Row],[Rank]],Stammdaten[[Rank Verteilung Abholzigkeit]:[Verteilung Abholzigkeit]],2,FALSE)</f>
        <v>#N/A</v>
      </c>
      <c r="S2174">
        <v>2165</v>
      </c>
      <c r="T2174" t="e">
        <f>INDEX(Stammdaten[Krümmung (mm/lfm)],MATCH(Tabelle10[[#This Row],[Rank]],Stammdaten[Rank Verteilung Krümmung],0))</f>
        <v>#N/A</v>
      </c>
      <c r="U2174" t="e">
        <f>VLOOKUP(Tabelle10[[#This Row],[Rank]],Stammdaten[[Rank Verteilung Krümmung]:[Verteilung Krümmung]],2,FALSE)</f>
        <v>#N/A</v>
      </c>
      <c r="Z2174">
        <v>2165</v>
      </c>
      <c r="AA2174" t="e">
        <f>INDEX(Stammdaten[Ovalität (']0,1'])],MATCH(Tabelle1014[[#This Row],[Rank]],Stammdaten[Rank Verteilung Ovalität],0))</f>
        <v>#N/A</v>
      </c>
      <c r="AB2174" t="e">
        <f>VLOOKUP(Tabelle1014[[#This Row],[Rank]],Stammdaten[[Rank Verteilung Ovalität]:[Verteilung Ovalität]],2,FALSE)</f>
        <v>#N/A</v>
      </c>
    </row>
    <row r="2175" spans="5:28" x14ac:dyDescent="0.35">
      <c r="E2175">
        <v>2166</v>
      </c>
      <c r="F2175" t="e">
        <f>INDEX(Stammdaten[D Mitte mit Rinde (mm)],MATCH(Tabelle8[[#This Row],[Rank]],Stammdaten[Rank Verteilung D Mitte mit Rinde],0))</f>
        <v>#N/A</v>
      </c>
      <c r="G2175" t="e">
        <f>VLOOKUP(Tabelle8[[#This Row],[Rank]],Stammdaten[[Rank Verteilung D Mitte mit Rinde]:[Verteilung D Mitte mit Rinde]],2,FALSE)</f>
        <v>#N/A</v>
      </c>
      <c r="L2175">
        <v>2166</v>
      </c>
      <c r="M2175" t="e">
        <f>INDEX(Stammdaten[Abholzigkeit (mm/lfm)],MATCH(Tabelle9[[#This Row],[Rank]],Stammdaten[Rank Verteilung Abholzigkeit],0))</f>
        <v>#N/A</v>
      </c>
      <c r="N2175" t="e">
        <f>VLOOKUP(Tabelle9[[#This Row],[Rank]],Stammdaten[[Rank Verteilung Abholzigkeit]:[Verteilung Abholzigkeit]],2,FALSE)</f>
        <v>#N/A</v>
      </c>
      <c r="S2175">
        <v>2166</v>
      </c>
      <c r="T2175" t="e">
        <f>INDEX(Stammdaten[Krümmung (mm/lfm)],MATCH(Tabelle10[[#This Row],[Rank]],Stammdaten[Rank Verteilung Krümmung],0))</f>
        <v>#N/A</v>
      </c>
      <c r="U2175" t="e">
        <f>VLOOKUP(Tabelle10[[#This Row],[Rank]],Stammdaten[[Rank Verteilung Krümmung]:[Verteilung Krümmung]],2,FALSE)</f>
        <v>#N/A</v>
      </c>
      <c r="Z2175">
        <v>2166</v>
      </c>
      <c r="AA2175" t="e">
        <f>INDEX(Stammdaten[Ovalität (']0,1'])],MATCH(Tabelle1014[[#This Row],[Rank]],Stammdaten[Rank Verteilung Ovalität],0))</f>
        <v>#N/A</v>
      </c>
      <c r="AB2175" t="e">
        <f>VLOOKUP(Tabelle1014[[#This Row],[Rank]],Stammdaten[[Rank Verteilung Ovalität]:[Verteilung Ovalität]],2,FALSE)</f>
        <v>#N/A</v>
      </c>
    </row>
    <row r="2176" spans="5:28" x14ac:dyDescent="0.35">
      <c r="E2176">
        <v>2167</v>
      </c>
      <c r="F2176" t="e">
        <f>INDEX(Stammdaten[D Mitte mit Rinde (mm)],MATCH(Tabelle8[[#This Row],[Rank]],Stammdaten[Rank Verteilung D Mitte mit Rinde],0))</f>
        <v>#N/A</v>
      </c>
      <c r="G2176" t="e">
        <f>VLOOKUP(Tabelle8[[#This Row],[Rank]],Stammdaten[[Rank Verteilung D Mitte mit Rinde]:[Verteilung D Mitte mit Rinde]],2,FALSE)</f>
        <v>#N/A</v>
      </c>
      <c r="L2176">
        <v>2167</v>
      </c>
      <c r="M2176" t="e">
        <f>INDEX(Stammdaten[Abholzigkeit (mm/lfm)],MATCH(Tabelle9[[#This Row],[Rank]],Stammdaten[Rank Verteilung Abholzigkeit],0))</f>
        <v>#N/A</v>
      </c>
      <c r="N2176" t="e">
        <f>VLOOKUP(Tabelle9[[#This Row],[Rank]],Stammdaten[[Rank Verteilung Abholzigkeit]:[Verteilung Abholzigkeit]],2,FALSE)</f>
        <v>#N/A</v>
      </c>
      <c r="S2176">
        <v>2167</v>
      </c>
      <c r="T2176" t="e">
        <f>INDEX(Stammdaten[Krümmung (mm/lfm)],MATCH(Tabelle10[[#This Row],[Rank]],Stammdaten[Rank Verteilung Krümmung],0))</f>
        <v>#N/A</v>
      </c>
      <c r="U2176" t="e">
        <f>VLOOKUP(Tabelle10[[#This Row],[Rank]],Stammdaten[[Rank Verteilung Krümmung]:[Verteilung Krümmung]],2,FALSE)</f>
        <v>#N/A</v>
      </c>
      <c r="Z2176">
        <v>2167</v>
      </c>
      <c r="AA2176" t="e">
        <f>INDEX(Stammdaten[Ovalität (']0,1'])],MATCH(Tabelle1014[[#This Row],[Rank]],Stammdaten[Rank Verteilung Ovalität],0))</f>
        <v>#N/A</v>
      </c>
      <c r="AB2176" t="e">
        <f>VLOOKUP(Tabelle1014[[#This Row],[Rank]],Stammdaten[[Rank Verteilung Ovalität]:[Verteilung Ovalität]],2,FALSE)</f>
        <v>#N/A</v>
      </c>
    </row>
    <row r="2177" spans="5:28" x14ac:dyDescent="0.35">
      <c r="E2177">
        <v>2168</v>
      </c>
      <c r="F2177" t="e">
        <f>INDEX(Stammdaten[D Mitte mit Rinde (mm)],MATCH(Tabelle8[[#This Row],[Rank]],Stammdaten[Rank Verteilung D Mitte mit Rinde],0))</f>
        <v>#N/A</v>
      </c>
      <c r="G2177" t="e">
        <f>VLOOKUP(Tabelle8[[#This Row],[Rank]],Stammdaten[[Rank Verteilung D Mitte mit Rinde]:[Verteilung D Mitte mit Rinde]],2,FALSE)</f>
        <v>#N/A</v>
      </c>
      <c r="L2177">
        <v>2168</v>
      </c>
      <c r="M2177" t="e">
        <f>INDEX(Stammdaten[Abholzigkeit (mm/lfm)],MATCH(Tabelle9[[#This Row],[Rank]],Stammdaten[Rank Verteilung Abholzigkeit],0))</f>
        <v>#N/A</v>
      </c>
      <c r="N2177" t="e">
        <f>VLOOKUP(Tabelle9[[#This Row],[Rank]],Stammdaten[[Rank Verteilung Abholzigkeit]:[Verteilung Abholzigkeit]],2,FALSE)</f>
        <v>#N/A</v>
      </c>
      <c r="S2177">
        <v>2168</v>
      </c>
      <c r="T2177" t="e">
        <f>INDEX(Stammdaten[Krümmung (mm/lfm)],MATCH(Tabelle10[[#This Row],[Rank]],Stammdaten[Rank Verteilung Krümmung],0))</f>
        <v>#N/A</v>
      </c>
      <c r="U2177" t="e">
        <f>VLOOKUP(Tabelle10[[#This Row],[Rank]],Stammdaten[[Rank Verteilung Krümmung]:[Verteilung Krümmung]],2,FALSE)</f>
        <v>#N/A</v>
      </c>
      <c r="Z2177">
        <v>2168</v>
      </c>
      <c r="AA2177" t="e">
        <f>INDEX(Stammdaten[Ovalität (']0,1'])],MATCH(Tabelle1014[[#This Row],[Rank]],Stammdaten[Rank Verteilung Ovalität],0))</f>
        <v>#N/A</v>
      </c>
      <c r="AB2177" t="e">
        <f>VLOOKUP(Tabelle1014[[#This Row],[Rank]],Stammdaten[[Rank Verteilung Ovalität]:[Verteilung Ovalität]],2,FALSE)</f>
        <v>#N/A</v>
      </c>
    </row>
    <row r="2178" spans="5:28" x14ac:dyDescent="0.35">
      <c r="E2178">
        <v>2169</v>
      </c>
      <c r="F2178" t="e">
        <f>INDEX(Stammdaten[D Mitte mit Rinde (mm)],MATCH(Tabelle8[[#This Row],[Rank]],Stammdaten[Rank Verteilung D Mitte mit Rinde],0))</f>
        <v>#N/A</v>
      </c>
      <c r="G2178" t="e">
        <f>VLOOKUP(Tabelle8[[#This Row],[Rank]],Stammdaten[[Rank Verteilung D Mitte mit Rinde]:[Verteilung D Mitte mit Rinde]],2,FALSE)</f>
        <v>#N/A</v>
      </c>
      <c r="L2178">
        <v>2169</v>
      </c>
      <c r="M2178" t="e">
        <f>INDEX(Stammdaten[Abholzigkeit (mm/lfm)],MATCH(Tabelle9[[#This Row],[Rank]],Stammdaten[Rank Verteilung Abholzigkeit],0))</f>
        <v>#N/A</v>
      </c>
      <c r="N2178" t="e">
        <f>VLOOKUP(Tabelle9[[#This Row],[Rank]],Stammdaten[[Rank Verteilung Abholzigkeit]:[Verteilung Abholzigkeit]],2,FALSE)</f>
        <v>#N/A</v>
      </c>
      <c r="S2178">
        <v>2169</v>
      </c>
      <c r="T2178" t="e">
        <f>INDEX(Stammdaten[Krümmung (mm/lfm)],MATCH(Tabelle10[[#This Row],[Rank]],Stammdaten[Rank Verteilung Krümmung],0))</f>
        <v>#N/A</v>
      </c>
      <c r="U2178" t="e">
        <f>VLOOKUP(Tabelle10[[#This Row],[Rank]],Stammdaten[[Rank Verteilung Krümmung]:[Verteilung Krümmung]],2,FALSE)</f>
        <v>#N/A</v>
      </c>
      <c r="Z2178">
        <v>2169</v>
      </c>
      <c r="AA2178" t="e">
        <f>INDEX(Stammdaten[Ovalität (']0,1'])],MATCH(Tabelle1014[[#This Row],[Rank]],Stammdaten[Rank Verteilung Ovalität],0))</f>
        <v>#N/A</v>
      </c>
      <c r="AB2178" t="e">
        <f>VLOOKUP(Tabelle1014[[#This Row],[Rank]],Stammdaten[[Rank Verteilung Ovalität]:[Verteilung Ovalität]],2,FALSE)</f>
        <v>#N/A</v>
      </c>
    </row>
    <row r="2179" spans="5:28" x14ac:dyDescent="0.35">
      <c r="E2179">
        <v>2170</v>
      </c>
      <c r="F2179" t="e">
        <f>INDEX(Stammdaten[D Mitte mit Rinde (mm)],MATCH(Tabelle8[[#This Row],[Rank]],Stammdaten[Rank Verteilung D Mitte mit Rinde],0))</f>
        <v>#N/A</v>
      </c>
      <c r="G2179" t="e">
        <f>VLOOKUP(Tabelle8[[#This Row],[Rank]],Stammdaten[[Rank Verteilung D Mitte mit Rinde]:[Verteilung D Mitte mit Rinde]],2,FALSE)</f>
        <v>#N/A</v>
      </c>
      <c r="L2179">
        <v>2170</v>
      </c>
      <c r="M2179" t="e">
        <f>INDEX(Stammdaten[Abholzigkeit (mm/lfm)],MATCH(Tabelle9[[#This Row],[Rank]],Stammdaten[Rank Verteilung Abholzigkeit],0))</f>
        <v>#N/A</v>
      </c>
      <c r="N2179" t="e">
        <f>VLOOKUP(Tabelle9[[#This Row],[Rank]],Stammdaten[[Rank Verteilung Abholzigkeit]:[Verteilung Abholzigkeit]],2,FALSE)</f>
        <v>#N/A</v>
      </c>
      <c r="S2179">
        <v>2170</v>
      </c>
      <c r="T2179" t="e">
        <f>INDEX(Stammdaten[Krümmung (mm/lfm)],MATCH(Tabelle10[[#This Row],[Rank]],Stammdaten[Rank Verteilung Krümmung],0))</f>
        <v>#N/A</v>
      </c>
      <c r="U2179" t="e">
        <f>VLOOKUP(Tabelle10[[#This Row],[Rank]],Stammdaten[[Rank Verteilung Krümmung]:[Verteilung Krümmung]],2,FALSE)</f>
        <v>#N/A</v>
      </c>
      <c r="Z2179">
        <v>2170</v>
      </c>
      <c r="AA2179" t="e">
        <f>INDEX(Stammdaten[Ovalität (']0,1'])],MATCH(Tabelle1014[[#This Row],[Rank]],Stammdaten[Rank Verteilung Ovalität],0))</f>
        <v>#N/A</v>
      </c>
      <c r="AB2179" t="e">
        <f>VLOOKUP(Tabelle1014[[#This Row],[Rank]],Stammdaten[[Rank Verteilung Ovalität]:[Verteilung Ovalität]],2,FALSE)</f>
        <v>#N/A</v>
      </c>
    </row>
    <row r="2180" spans="5:28" x14ac:dyDescent="0.35">
      <c r="E2180">
        <v>2171</v>
      </c>
      <c r="F2180" t="e">
        <f>INDEX(Stammdaten[D Mitte mit Rinde (mm)],MATCH(Tabelle8[[#This Row],[Rank]],Stammdaten[Rank Verteilung D Mitte mit Rinde],0))</f>
        <v>#N/A</v>
      </c>
      <c r="G2180" t="e">
        <f>VLOOKUP(Tabelle8[[#This Row],[Rank]],Stammdaten[[Rank Verteilung D Mitte mit Rinde]:[Verteilung D Mitte mit Rinde]],2,FALSE)</f>
        <v>#N/A</v>
      </c>
      <c r="L2180">
        <v>2171</v>
      </c>
      <c r="M2180" t="e">
        <f>INDEX(Stammdaten[Abholzigkeit (mm/lfm)],MATCH(Tabelle9[[#This Row],[Rank]],Stammdaten[Rank Verteilung Abholzigkeit],0))</f>
        <v>#N/A</v>
      </c>
      <c r="N2180" t="e">
        <f>VLOOKUP(Tabelle9[[#This Row],[Rank]],Stammdaten[[Rank Verteilung Abholzigkeit]:[Verteilung Abholzigkeit]],2,FALSE)</f>
        <v>#N/A</v>
      </c>
      <c r="S2180">
        <v>2171</v>
      </c>
      <c r="T2180" t="e">
        <f>INDEX(Stammdaten[Krümmung (mm/lfm)],MATCH(Tabelle10[[#This Row],[Rank]],Stammdaten[Rank Verteilung Krümmung],0))</f>
        <v>#N/A</v>
      </c>
      <c r="U2180" t="e">
        <f>VLOOKUP(Tabelle10[[#This Row],[Rank]],Stammdaten[[Rank Verteilung Krümmung]:[Verteilung Krümmung]],2,FALSE)</f>
        <v>#N/A</v>
      </c>
      <c r="Z2180">
        <v>2171</v>
      </c>
      <c r="AA2180" t="e">
        <f>INDEX(Stammdaten[Ovalität (']0,1'])],MATCH(Tabelle1014[[#This Row],[Rank]],Stammdaten[Rank Verteilung Ovalität],0))</f>
        <v>#N/A</v>
      </c>
      <c r="AB2180" t="e">
        <f>VLOOKUP(Tabelle1014[[#This Row],[Rank]],Stammdaten[[Rank Verteilung Ovalität]:[Verteilung Ovalität]],2,FALSE)</f>
        <v>#N/A</v>
      </c>
    </row>
    <row r="2181" spans="5:28" x14ac:dyDescent="0.35">
      <c r="E2181">
        <v>2172</v>
      </c>
      <c r="F2181" t="e">
        <f>INDEX(Stammdaten[D Mitte mit Rinde (mm)],MATCH(Tabelle8[[#This Row],[Rank]],Stammdaten[Rank Verteilung D Mitte mit Rinde],0))</f>
        <v>#N/A</v>
      </c>
      <c r="G2181" t="e">
        <f>VLOOKUP(Tabelle8[[#This Row],[Rank]],Stammdaten[[Rank Verteilung D Mitte mit Rinde]:[Verteilung D Mitte mit Rinde]],2,FALSE)</f>
        <v>#N/A</v>
      </c>
      <c r="L2181">
        <v>2172</v>
      </c>
      <c r="M2181" t="e">
        <f>INDEX(Stammdaten[Abholzigkeit (mm/lfm)],MATCH(Tabelle9[[#This Row],[Rank]],Stammdaten[Rank Verteilung Abholzigkeit],0))</f>
        <v>#N/A</v>
      </c>
      <c r="N2181" t="e">
        <f>VLOOKUP(Tabelle9[[#This Row],[Rank]],Stammdaten[[Rank Verteilung Abholzigkeit]:[Verteilung Abholzigkeit]],2,FALSE)</f>
        <v>#N/A</v>
      </c>
      <c r="S2181">
        <v>2172</v>
      </c>
      <c r="T2181" t="e">
        <f>INDEX(Stammdaten[Krümmung (mm/lfm)],MATCH(Tabelle10[[#This Row],[Rank]],Stammdaten[Rank Verteilung Krümmung],0))</f>
        <v>#N/A</v>
      </c>
      <c r="U2181" t="e">
        <f>VLOOKUP(Tabelle10[[#This Row],[Rank]],Stammdaten[[Rank Verteilung Krümmung]:[Verteilung Krümmung]],2,FALSE)</f>
        <v>#N/A</v>
      </c>
      <c r="Z2181">
        <v>2172</v>
      </c>
      <c r="AA2181" t="e">
        <f>INDEX(Stammdaten[Ovalität (']0,1'])],MATCH(Tabelle1014[[#This Row],[Rank]],Stammdaten[Rank Verteilung Ovalität],0))</f>
        <v>#N/A</v>
      </c>
      <c r="AB2181" t="e">
        <f>VLOOKUP(Tabelle1014[[#This Row],[Rank]],Stammdaten[[Rank Verteilung Ovalität]:[Verteilung Ovalität]],2,FALSE)</f>
        <v>#N/A</v>
      </c>
    </row>
    <row r="2182" spans="5:28" x14ac:dyDescent="0.35">
      <c r="E2182">
        <v>2173</v>
      </c>
      <c r="F2182" t="e">
        <f>INDEX(Stammdaten[D Mitte mit Rinde (mm)],MATCH(Tabelle8[[#This Row],[Rank]],Stammdaten[Rank Verteilung D Mitte mit Rinde],0))</f>
        <v>#N/A</v>
      </c>
      <c r="G2182" t="e">
        <f>VLOOKUP(Tabelle8[[#This Row],[Rank]],Stammdaten[[Rank Verteilung D Mitte mit Rinde]:[Verteilung D Mitte mit Rinde]],2,FALSE)</f>
        <v>#N/A</v>
      </c>
      <c r="L2182">
        <v>2173</v>
      </c>
      <c r="M2182" t="e">
        <f>INDEX(Stammdaten[Abholzigkeit (mm/lfm)],MATCH(Tabelle9[[#This Row],[Rank]],Stammdaten[Rank Verteilung Abholzigkeit],0))</f>
        <v>#N/A</v>
      </c>
      <c r="N2182" t="e">
        <f>VLOOKUP(Tabelle9[[#This Row],[Rank]],Stammdaten[[Rank Verteilung Abholzigkeit]:[Verteilung Abholzigkeit]],2,FALSE)</f>
        <v>#N/A</v>
      </c>
      <c r="S2182">
        <v>2173</v>
      </c>
      <c r="T2182" t="e">
        <f>INDEX(Stammdaten[Krümmung (mm/lfm)],MATCH(Tabelle10[[#This Row],[Rank]],Stammdaten[Rank Verteilung Krümmung],0))</f>
        <v>#N/A</v>
      </c>
      <c r="U2182" t="e">
        <f>VLOOKUP(Tabelle10[[#This Row],[Rank]],Stammdaten[[Rank Verteilung Krümmung]:[Verteilung Krümmung]],2,FALSE)</f>
        <v>#N/A</v>
      </c>
      <c r="Z2182">
        <v>2173</v>
      </c>
      <c r="AA2182" t="e">
        <f>INDEX(Stammdaten[Ovalität (']0,1'])],MATCH(Tabelle1014[[#This Row],[Rank]],Stammdaten[Rank Verteilung Ovalität],0))</f>
        <v>#N/A</v>
      </c>
      <c r="AB2182" t="e">
        <f>VLOOKUP(Tabelle1014[[#This Row],[Rank]],Stammdaten[[Rank Verteilung Ovalität]:[Verteilung Ovalität]],2,FALSE)</f>
        <v>#N/A</v>
      </c>
    </row>
    <row r="2183" spans="5:28" x14ac:dyDescent="0.35">
      <c r="E2183">
        <v>2174</v>
      </c>
      <c r="F2183" t="e">
        <f>INDEX(Stammdaten[D Mitte mit Rinde (mm)],MATCH(Tabelle8[[#This Row],[Rank]],Stammdaten[Rank Verteilung D Mitte mit Rinde],0))</f>
        <v>#N/A</v>
      </c>
      <c r="G2183" t="e">
        <f>VLOOKUP(Tabelle8[[#This Row],[Rank]],Stammdaten[[Rank Verteilung D Mitte mit Rinde]:[Verteilung D Mitte mit Rinde]],2,FALSE)</f>
        <v>#N/A</v>
      </c>
      <c r="L2183">
        <v>2174</v>
      </c>
      <c r="M2183" t="e">
        <f>INDEX(Stammdaten[Abholzigkeit (mm/lfm)],MATCH(Tabelle9[[#This Row],[Rank]],Stammdaten[Rank Verteilung Abholzigkeit],0))</f>
        <v>#N/A</v>
      </c>
      <c r="N2183" t="e">
        <f>VLOOKUP(Tabelle9[[#This Row],[Rank]],Stammdaten[[Rank Verteilung Abholzigkeit]:[Verteilung Abholzigkeit]],2,FALSE)</f>
        <v>#N/A</v>
      </c>
      <c r="S2183">
        <v>2174</v>
      </c>
      <c r="T2183" t="e">
        <f>INDEX(Stammdaten[Krümmung (mm/lfm)],MATCH(Tabelle10[[#This Row],[Rank]],Stammdaten[Rank Verteilung Krümmung],0))</f>
        <v>#N/A</v>
      </c>
      <c r="U2183" t="e">
        <f>VLOOKUP(Tabelle10[[#This Row],[Rank]],Stammdaten[[Rank Verteilung Krümmung]:[Verteilung Krümmung]],2,FALSE)</f>
        <v>#N/A</v>
      </c>
      <c r="Z2183">
        <v>2174</v>
      </c>
      <c r="AA2183" t="e">
        <f>INDEX(Stammdaten[Ovalität (']0,1'])],MATCH(Tabelle1014[[#This Row],[Rank]],Stammdaten[Rank Verteilung Ovalität],0))</f>
        <v>#N/A</v>
      </c>
      <c r="AB2183" t="e">
        <f>VLOOKUP(Tabelle1014[[#This Row],[Rank]],Stammdaten[[Rank Verteilung Ovalität]:[Verteilung Ovalität]],2,FALSE)</f>
        <v>#N/A</v>
      </c>
    </row>
    <row r="2184" spans="5:28" x14ac:dyDescent="0.35">
      <c r="E2184">
        <v>2175</v>
      </c>
      <c r="F2184" t="e">
        <f>INDEX(Stammdaten[D Mitte mit Rinde (mm)],MATCH(Tabelle8[[#This Row],[Rank]],Stammdaten[Rank Verteilung D Mitte mit Rinde],0))</f>
        <v>#N/A</v>
      </c>
      <c r="G2184" t="e">
        <f>VLOOKUP(Tabelle8[[#This Row],[Rank]],Stammdaten[[Rank Verteilung D Mitte mit Rinde]:[Verteilung D Mitte mit Rinde]],2,FALSE)</f>
        <v>#N/A</v>
      </c>
      <c r="L2184">
        <v>2175</v>
      </c>
      <c r="M2184" t="e">
        <f>INDEX(Stammdaten[Abholzigkeit (mm/lfm)],MATCH(Tabelle9[[#This Row],[Rank]],Stammdaten[Rank Verteilung Abholzigkeit],0))</f>
        <v>#N/A</v>
      </c>
      <c r="N2184" t="e">
        <f>VLOOKUP(Tabelle9[[#This Row],[Rank]],Stammdaten[[Rank Verteilung Abholzigkeit]:[Verteilung Abholzigkeit]],2,FALSE)</f>
        <v>#N/A</v>
      </c>
      <c r="S2184">
        <v>2175</v>
      </c>
      <c r="T2184" t="e">
        <f>INDEX(Stammdaten[Krümmung (mm/lfm)],MATCH(Tabelle10[[#This Row],[Rank]],Stammdaten[Rank Verteilung Krümmung],0))</f>
        <v>#N/A</v>
      </c>
      <c r="U2184" t="e">
        <f>VLOOKUP(Tabelle10[[#This Row],[Rank]],Stammdaten[[Rank Verteilung Krümmung]:[Verteilung Krümmung]],2,FALSE)</f>
        <v>#N/A</v>
      </c>
      <c r="Z2184">
        <v>2175</v>
      </c>
      <c r="AA2184" t="e">
        <f>INDEX(Stammdaten[Ovalität (']0,1'])],MATCH(Tabelle1014[[#This Row],[Rank]],Stammdaten[Rank Verteilung Ovalität],0))</f>
        <v>#N/A</v>
      </c>
      <c r="AB2184" t="e">
        <f>VLOOKUP(Tabelle1014[[#This Row],[Rank]],Stammdaten[[Rank Verteilung Ovalität]:[Verteilung Ovalität]],2,FALSE)</f>
        <v>#N/A</v>
      </c>
    </row>
    <row r="2185" spans="5:28" x14ac:dyDescent="0.35">
      <c r="E2185">
        <v>2176</v>
      </c>
      <c r="F2185" t="e">
        <f>INDEX(Stammdaten[D Mitte mit Rinde (mm)],MATCH(Tabelle8[[#This Row],[Rank]],Stammdaten[Rank Verteilung D Mitte mit Rinde],0))</f>
        <v>#N/A</v>
      </c>
      <c r="G2185" t="e">
        <f>VLOOKUP(Tabelle8[[#This Row],[Rank]],Stammdaten[[Rank Verteilung D Mitte mit Rinde]:[Verteilung D Mitte mit Rinde]],2,FALSE)</f>
        <v>#N/A</v>
      </c>
      <c r="L2185">
        <v>2176</v>
      </c>
      <c r="M2185" t="e">
        <f>INDEX(Stammdaten[Abholzigkeit (mm/lfm)],MATCH(Tabelle9[[#This Row],[Rank]],Stammdaten[Rank Verteilung Abholzigkeit],0))</f>
        <v>#N/A</v>
      </c>
      <c r="N2185" t="e">
        <f>VLOOKUP(Tabelle9[[#This Row],[Rank]],Stammdaten[[Rank Verteilung Abholzigkeit]:[Verteilung Abholzigkeit]],2,FALSE)</f>
        <v>#N/A</v>
      </c>
      <c r="S2185">
        <v>2176</v>
      </c>
      <c r="T2185" t="e">
        <f>INDEX(Stammdaten[Krümmung (mm/lfm)],MATCH(Tabelle10[[#This Row],[Rank]],Stammdaten[Rank Verteilung Krümmung],0))</f>
        <v>#N/A</v>
      </c>
      <c r="U2185" t="e">
        <f>VLOOKUP(Tabelle10[[#This Row],[Rank]],Stammdaten[[Rank Verteilung Krümmung]:[Verteilung Krümmung]],2,FALSE)</f>
        <v>#N/A</v>
      </c>
      <c r="Z2185">
        <v>2176</v>
      </c>
      <c r="AA2185" t="e">
        <f>INDEX(Stammdaten[Ovalität (']0,1'])],MATCH(Tabelle1014[[#This Row],[Rank]],Stammdaten[Rank Verteilung Ovalität],0))</f>
        <v>#N/A</v>
      </c>
      <c r="AB2185" t="e">
        <f>VLOOKUP(Tabelle1014[[#This Row],[Rank]],Stammdaten[[Rank Verteilung Ovalität]:[Verteilung Ovalität]],2,FALSE)</f>
        <v>#N/A</v>
      </c>
    </row>
    <row r="2186" spans="5:28" x14ac:dyDescent="0.35">
      <c r="E2186">
        <v>2177</v>
      </c>
      <c r="F2186" t="e">
        <f>INDEX(Stammdaten[D Mitte mit Rinde (mm)],MATCH(Tabelle8[[#This Row],[Rank]],Stammdaten[Rank Verteilung D Mitte mit Rinde],0))</f>
        <v>#N/A</v>
      </c>
      <c r="G2186" t="e">
        <f>VLOOKUP(Tabelle8[[#This Row],[Rank]],Stammdaten[[Rank Verteilung D Mitte mit Rinde]:[Verteilung D Mitte mit Rinde]],2,FALSE)</f>
        <v>#N/A</v>
      </c>
      <c r="L2186">
        <v>2177</v>
      </c>
      <c r="M2186" t="e">
        <f>INDEX(Stammdaten[Abholzigkeit (mm/lfm)],MATCH(Tabelle9[[#This Row],[Rank]],Stammdaten[Rank Verteilung Abholzigkeit],0))</f>
        <v>#N/A</v>
      </c>
      <c r="N2186" t="e">
        <f>VLOOKUP(Tabelle9[[#This Row],[Rank]],Stammdaten[[Rank Verteilung Abholzigkeit]:[Verteilung Abholzigkeit]],2,FALSE)</f>
        <v>#N/A</v>
      </c>
      <c r="S2186">
        <v>2177</v>
      </c>
      <c r="T2186" t="e">
        <f>INDEX(Stammdaten[Krümmung (mm/lfm)],MATCH(Tabelle10[[#This Row],[Rank]],Stammdaten[Rank Verteilung Krümmung],0))</f>
        <v>#N/A</v>
      </c>
      <c r="U2186" t="e">
        <f>VLOOKUP(Tabelle10[[#This Row],[Rank]],Stammdaten[[Rank Verteilung Krümmung]:[Verteilung Krümmung]],2,FALSE)</f>
        <v>#N/A</v>
      </c>
      <c r="Z2186">
        <v>2177</v>
      </c>
      <c r="AA2186" t="e">
        <f>INDEX(Stammdaten[Ovalität (']0,1'])],MATCH(Tabelle1014[[#This Row],[Rank]],Stammdaten[Rank Verteilung Ovalität],0))</f>
        <v>#N/A</v>
      </c>
      <c r="AB2186" t="e">
        <f>VLOOKUP(Tabelle1014[[#This Row],[Rank]],Stammdaten[[Rank Verteilung Ovalität]:[Verteilung Ovalität]],2,FALSE)</f>
        <v>#N/A</v>
      </c>
    </row>
    <row r="2187" spans="5:28" x14ac:dyDescent="0.35">
      <c r="E2187">
        <v>2178</v>
      </c>
      <c r="F2187" t="e">
        <f>INDEX(Stammdaten[D Mitte mit Rinde (mm)],MATCH(Tabelle8[[#This Row],[Rank]],Stammdaten[Rank Verteilung D Mitte mit Rinde],0))</f>
        <v>#N/A</v>
      </c>
      <c r="G2187" t="e">
        <f>VLOOKUP(Tabelle8[[#This Row],[Rank]],Stammdaten[[Rank Verteilung D Mitte mit Rinde]:[Verteilung D Mitte mit Rinde]],2,FALSE)</f>
        <v>#N/A</v>
      </c>
      <c r="L2187">
        <v>2178</v>
      </c>
      <c r="M2187" t="e">
        <f>INDEX(Stammdaten[Abholzigkeit (mm/lfm)],MATCH(Tabelle9[[#This Row],[Rank]],Stammdaten[Rank Verteilung Abholzigkeit],0))</f>
        <v>#N/A</v>
      </c>
      <c r="N2187" t="e">
        <f>VLOOKUP(Tabelle9[[#This Row],[Rank]],Stammdaten[[Rank Verteilung Abholzigkeit]:[Verteilung Abholzigkeit]],2,FALSE)</f>
        <v>#N/A</v>
      </c>
      <c r="S2187">
        <v>2178</v>
      </c>
      <c r="T2187" t="e">
        <f>INDEX(Stammdaten[Krümmung (mm/lfm)],MATCH(Tabelle10[[#This Row],[Rank]],Stammdaten[Rank Verteilung Krümmung],0))</f>
        <v>#N/A</v>
      </c>
      <c r="U2187" t="e">
        <f>VLOOKUP(Tabelle10[[#This Row],[Rank]],Stammdaten[[Rank Verteilung Krümmung]:[Verteilung Krümmung]],2,FALSE)</f>
        <v>#N/A</v>
      </c>
      <c r="Z2187">
        <v>2178</v>
      </c>
      <c r="AA2187" t="e">
        <f>INDEX(Stammdaten[Ovalität (']0,1'])],MATCH(Tabelle1014[[#This Row],[Rank]],Stammdaten[Rank Verteilung Ovalität],0))</f>
        <v>#N/A</v>
      </c>
      <c r="AB2187" t="e">
        <f>VLOOKUP(Tabelle1014[[#This Row],[Rank]],Stammdaten[[Rank Verteilung Ovalität]:[Verteilung Ovalität]],2,FALSE)</f>
        <v>#N/A</v>
      </c>
    </row>
    <row r="2188" spans="5:28" x14ac:dyDescent="0.35">
      <c r="E2188">
        <v>2179</v>
      </c>
      <c r="F2188" t="e">
        <f>INDEX(Stammdaten[D Mitte mit Rinde (mm)],MATCH(Tabelle8[[#This Row],[Rank]],Stammdaten[Rank Verteilung D Mitte mit Rinde],0))</f>
        <v>#N/A</v>
      </c>
      <c r="G2188" t="e">
        <f>VLOOKUP(Tabelle8[[#This Row],[Rank]],Stammdaten[[Rank Verteilung D Mitte mit Rinde]:[Verteilung D Mitte mit Rinde]],2,FALSE)</f>
        <v>#N/A</v>
      </c>
      <c r="L2188">
        <v>2179</v>
      </c>
      <c r="M2188" t="e">
        <f>INDEX(Stammdaten[Abholzigkeit (mm/lfm)],MATCH(Tabelle9[[#This Row],[Rank]],Stammdaten[Rank Verteilung Abholzigkeit],0))</f>
        <v>#N/A</v>
      </c>
      <c r="N2188" t="e">
        <f>VLOOKUP(Tabelle9[[#This Row],[Rank]],Stammdaten[[Rank Verteilung Abholzigkeit]:[Verteilung Abholzigkeit]],2,FALSE)</f>
        <v>#N/A</v>
      </c>
      <c r="S2188">
        <v>2179</v>
      </c>
      <c r="T2188" t="e">
        <f>INDEX(Stammdaten[Krümmung (mm/lfm)],MATCH(Tabelle10[[#This Row],[Rank]],Stammdaten[Rank Verteilung Krümmung],0))</f>
        <v>#N/A</v>
      </c>
      <c r="U2188" t="e">
        <f>VLOOKUP(Tabelle10[[#This Row],[Rank]],Stammdaten[[Rank Verteilung Krümmung]:[Verteilung Krümmung]],2,FALSE)</f>
        <v>#N/A</v>
      </c>
      <c r="Z2188">
        <v>2179</v>
      </c>
      <c r="AA2188" t="e">
        <f>INDEX(Stammdaten[Ovalität (']0,1'])],MATCH(Tabelle1014[[#This Row],[Rank]],Stammdaten[Rank Verteilung Ovalität],0))</f>
        <v>#N/A</v>
      </c>
      <c r="AB2188" t="e">
        <f>VLOOKUP(Tabelle1014[[#This Row],[Rank]],Stammdaten[[Rank Verteilung Ovalität]:[Verteilung Ovalität]],2,FALSE)</f>
        <v>#N/A</v>
      </c>
    </row>
    <row r="2189" spans="5:28" x14ac:dyDescent="0.35">
      <c r="E2189">
        <v>2180</v>
      </c>
      <c r="F2189" t="e">
        <f>INDEX(Stammdaten[D Mitte mit Rinde (mm)],MATCH(Tabelle8[[#This Row],[Rank]],Stammdaten[Rank Verteilung D Mitte mit Rinde],0))</f>
        <v>#N/A</v>
      </c>
      <c r="G2189" t="e">
        <f>VLOOKUP(Tabelle8[[#This Row],[Rank]],Stammdaten[[Rank Verteilung D Mitte mit Rinde]:[Verteilung D Mitte mit Rinde]],2,FALSE)</f>
        <v>#N/A</v>
      </c>
      <c r="L2189">
        <v>2180</v>
      </c>
      <c r="M2189" t="e">
        <f>INDEX(Stammdaten[Abholzigkeit (mm/lfm)],MATCH(Tabelle9[[#This Row],[Rank]],Stammdaten[Rank Verteilung Abholzigkeit],0))</f>
        <v>#N/A</v>
      </c>
      <c r="N2189" t="e">
        <f>VLOOKUP(Tabelle9[[#This Row],[Rank]],Stammdaten[[Rank Verteilung Abholzigkeit]:[Verteilung Abholzigkeit]],2,FALSE)</f>
        <v>#N/A</v>
      </c>
      <c r="S2189">
        <v>2180</v>
      </c>
      <c r="T2189" t="e">
        <f>INDEX(Stammdaten[Krümmung (mm/lfm)],MATCH(Tabelle10[[#This Row],[Rank]],Stammdaten[Rank Verteilung Krümmung],0))</f>
        <v>#N/A</v>
      </c>
      <c r="U2189" t="e">
        <f>VLOOKUP(Tabelle10[[#This Row],[Rank]],Stammdaten[[Rank Verteilung Krümmung]:[Verteilung Krümmung]],2,FALSE)</f>
        <v>#N/A</v>
      </c>
      <c r="Z2189">
        <v>2180</v>
      </c>
      <c r="AA2189" t="e">
        <f>INDEX(Stammdaten[Ovalität (']0,1'])],MATCH(Tabelle1014[[#This Row],[Rank]],Stammdaten[Rank Verteilung Ovalität],0))</f>
        <v>#N/A</v>
      </c>
      <c r="AB2189" t="e">
        <f>VLOOKUP(Tabelle1014[[#This Row],[Rank]],Stammdaten[[Rank Verteilung Ovalität]:[Verteilung Ovalität]],2,FALSE)</f>
        <v>#N/A</v>
      </c>
    </row>
    <row r="2190" spans="5:28" x14ac:dyDescent="0.35">
      <c r="E2190">
        <v>2181</v>
      </c>
      <c r="F2190" t="e">
        <f>INDEX(Stammdaten[D Mitte mit Rinde (mm)],MATCH(Tabelle8[[#This Row],[Rank]],Stammdaten[Rank Verteilung D Mitte mit Rinde],0))</f>
        <v>#N/A</v>
      </c>
      <c r="G2190" t="e">
        <f>VLOOKUP(Tabelle8[[#This Row],[Rank]],Stammdaten[[Rank Verteilung D Mitte mit Rinde]:[Verteilung D Mitte mit Rinde]],2,FALSE)</f>
        <v>#N/A</v>
      </c>
      <c r="L2190">
        <v>2181</v>
      </c>
      <c r="M2190" t="e">
        <f>INDEX(Stammdaten[Abholzigkeit (mm/lfm)],MATCH(Tabelle9[[#This Row],[Rank]],Stammdaten[Rank Verteilung Abholzigkeit],0))</f>
        <v>#N/A</v>
      </c>
      <c r="N2190" t="e">
        <f>VLOOKUP(Tabelle9[[#This Row],[Rank]],Stammdaten[[Rank Verteilung Abholzigkeit]:[Verteilung Abholzigkeit]],2,FALSE)</f>
        <v>#N/A</v>
      </c>
      <c r="S2190">
        <v>2181</v>
      </c>
      <c r="T2190" t="e">
        <f>INDEX(Stammdaten[Krümmung (mm/lfm)],MATCH(Tabelle10[[#This Row],[Rank]],Stammdaten[Rank Verteilung Krümmung],0))</f>
        <v>#N/A</v>
      </c>
      <c r="U2190" t="e">
        <f>VLOOKUP(Tabelle10[[#This Row],[Rank]],Stammdaten[[Rank Verteilung Krümmung]:[Verteilung Krümmung]],2,FALSE)</f>
        <v>#N/A</v>
      </c>
      <c r="Z2190">
        <v>2181</v>
      </c>
      <c r="AA2190" t="e">
        <f>INDEX(Stammdaten[Ovalität (']0,1'])],MATCH(Tabelle1014[[#This Row],[Rank]],Stammdaten[Rank Verteilung Ovalität],0))</f>
        <v>#N/A</v>
      </c>
      <c r="AB2190" t="e">
        <f>VLOOKUP(Tabelle1014[[#This Row],[Rank]],Stammdaten[[Rank Verteilung Ovalität]:[Verteilung Ovalität]],2,FALSE)</f>
        <v>#N/A</v>
      </c>
    </row>
    <row r="2191" spans="5:28" x14ac:dyDescent="0.35">
      <c r="E2191">
        <v>2182</v>
      </c>
      <c r="F2191" t="e">
        <f>INDEX(Stammdaten[D Mitte mit Rinde (mm)],MATCH(Tabelle8[[#This Row],[Rank]],Stammdaten[Rank Verteilung D Mitte mit Rinde],0))</f>
        <v>#N/A</v>
      </c>
      <c r="G2191" t="e">
        <f>VLOOKUP(Tabelle8[[#This Row],[Rank]],Stammdaten[[Rank Verteilung D Mitte mit Rinde]:[Verteilung D Mitte mit Rinde]],2,FALSE)</f>
        <v>#N/A</v>
      </c>
      <c r="L2191">
        <v>2182</v>
      </c>
      <c r="M2191" t="e">
        <f>INDEX(Stammdaten[Abholzigkeit (mm/lfm)],MATCH(Tabelle9[[#This Row],[Rank]],Stammdaten[Rank Verteilung Abholzigkeit],0))</f>
        <v>#N/A</v>
      </c>
      <c r="N2191" t="e">
        <f>VLOOKUP(Tabelle9[[#This Row],[Rank]],Stammdaten[[Rank Verteilung Abholzigkeit]:[Verteilung Abholzigkeit]],2,FALSE)</f>
        <v>#N/A</v>
      </c>
      <c r="S2191">
        <v>2182</v>
      </c>
      <c r="T2191" t="e">
        <f>INDEX(Stammdaten[Krümmung (mm/lfm)],MATCH(Tabelle10[[#This Row],[Rank]],Stammdaten[Rank Verteilung Krümmung],0))</f>
        <v>#N/A</v>
      </c>
      <c r="U2191" t="e">
        <f>VLOOKUP(Tabelle10[[#This Row],[Rank]],Stammdaten[[Rank Verteilung Krümmung]:[Verteilung Krümmung]],2,FALSE)</f>
        <v>#N/A</v>
      </c>
      <c r="Z2191">
        <v>2182</v>
      </c>
      <c r="AA2191" t="e">
        <f>INDEX(Stammdaten[Ovalität (']0,1'])],MATCH(Tabelle1014[[#This Row],[Rank]],Stammdaten[Rank Verteilung Ovalität],0))</f>
        <v>#N/A</v>
      </c>
      <c r="AB2191" t="e">
        <f>VLOOKUP(Tabelle1014[[#This Row],[Rank]],Stammdaten[[Rank Verteilung Ovalität]:[Verteilung Ovalität]],2,FALSE)</f>
        <v>#N/A</v>
      </c>
    </row>
    <row r="2192" spans="5:28" x14ac:dyDescent="0.35">
      <c r="E2192">
        <v>2183</v>
      </c>
      <c r="F2192" t="e">
        <f>INDEX(Stammdaten[D Mitte mit Rinde (mm)],MATCH(Tabelle8[[#This Row],[Rank]],Stammdaten[Rank Verteilung D Mitte mit Rinde],0))</f>
        <v>#N/A</v>
      </c>
      <c r="G2192" t="e">
        <f>VLOOKUP(Tabelle8[[#This Row],[Rank]],Stammdaten[[Rank Verteilung D Mitte mit Rinde]:[Verteilung D Mitte mit Rinde]],2,FALSE)</f>
        <v>#N/A</v>
      </c>
      <c r="L2192">
        <v>2183</v>
      </c>
      <c r="M2192" t="e">
        <f>INDEX(Stammdaten[Abholzigkeit (mm/lfm)],MATCH(Tabelle9[[#This Row],[Rank]],Stammdaten[Rank Verteilung Abholzigkeit],0))</f>
        <v>#N/A</v>
      </c>
      <c r="N2192" t="e">
        <f>VLOOKUP(Tabelle9[[#This Row],[Rank]],Stammdaten[[Rank Verteilung Abholzigkeit]:[Verteilung Abholzigkeit]],2,FALSE)</f>
        <v>#N/A</v>
      </c>
      <c r="S2192">
        <v>2183</v>
      </c>
      <c r="T2192" t="e">
        <f>INDEX(Stammdaten[Krümmung (mm/lfm)],MATCH(Tabelle10[[#This Row],[Rank]],Stammdaten[Rank Verteilung Krümmung],0))</f>
        <v>#N/A</v>
      </c>
      <c r="U2192" t="e">
        <f>VLOOKUP(Tabelle10[[#This Row],[Rank]],Stammdaten[[Rank Verteilung Krümmung]:[Verteilung Krümmung]],2,FALSE)</f>
        <v>#N/A</v>
      </c>
      <c r="Z2192">
        <v>2183</v>
      </c>
      <c r="AA2192" t="e">
        <f>INDEX(Stammdaten[Ovalität (']0,1'])],MATCH(Tabelle1014[[#This Row],[Rank]],Stammdaten[Rank Verteilung Ovalität],0))</f>
        <v>#N/A</v>
      </c>
      <c r="AB2192" t="e">
        <f>VLOOKUP(Tabelle1014[[#This Row],[Rank]],Stammdaten[[Rank Verteilung Ovalität]:[Verteilung Ovalität]],2,FALSE)</f>
        <v>#N/A</v>
      </c>
    </row>
    <row r="2193" spans="5:28" x14ac:dyDescent="0.35">
      <c r="E2193">
        <v>2184</v>
      </c>
      <c r="F2193" t="e">
        <f>INDEX(Stammdaten[D Mitte mit Rinde (mm)],MATCH(Tabelle8[[#This Row],[Rank]],Stammdaten[Rank Verteilung D Mitte mit Rinde],0))</f>
        <v>#N/A</v>
      </c>
      <c r="G2193" t="e">
        <f>VLOOKUP(Tabelle8[[#This Row],[Rank]],Stammdaten[[Rank Verteilung D Mitte mit Rinde]:[Verteilung D Mitte mit Rinde]],2,FALSE)</f>
        <v>#N/A</v>
      </c>
      <c r="L2193">
        <v>2184</v>
      </c>
      <c r="M2193" t="e">
        <f>INDEX(Stammdaten[Abholzigkeit (mm/lfm)],MATCH(Tabelle9[[#This Row],[Rank]],Stammdaten[Rank Verteilung Abholzigkeit],0))</f>
        <v>#N/A</v>
      </c>
      <c r="N2193" t="e">
        <f>VLOOKUP(Tabelle9[[#This Row],[Rank]],Stammdaten[[Rank Verteilung Abholzigkeit]:[Verteilung Abholzigkeit]],2,FALSE)</f>
        <v>#N/A</v>
      </c>
      <c r="S2193">
        <v>2184</v>
      </c>
      <c r="T2193" t="e">
        <f>INDEX(Stammdaten[Krümmung (mm/lfm)],MATCH(Tabelle10[[#This Row],[Rank]],Stammdaten[Rank Verteilung Krümmung],0))</f>
        <v>#N/A</v>
      </c>
      <c r="U2193" t="e">
        <f>VLOOKUP(Tabelle10[[#This Row],[Rank]],Stammdaten[[Rank Verteilung Krümmung]:[Verteilung Krümmung]],2,FALSE)</f>
        <v>#N/A</v>
      </c>
      <c r="Z2193">
        <v>2184</v>
      </c>
      <c r="AA2193" t="e">
        <f>INDEX(Stammdaten[Ovalität (']0,1'])],MATCH(Tabelle1014[[#This Row],[Rank]],Stammdaten[Rank Verteilung Ovalität],0))</f>
        <v>#N/A</v>
      </c>
      <c r="AB2193" t="e">
        <f>VLOOKUP(Tabelle1014[[#This Row],[Rank]],Stammdaten[[Rank Verteilung Ovalität]:[Verteilung Ovalität]],2,FALSE)</f>
        <v>#N/A</v>
      </c>
    </row>
    <row r="2194" spans="5:28" x14ac:dyDescent="0.35">
      <c r="E2194">
        <v>2185</v>
      </c>
      <c r="F2194" t="e">
        <f>INDEX(Stammdaten[D Mitte mit Rinde (mm)],MATCH(Tabelle8[[#This Row],[Rank]],Stammdaten[Rank Verteilung D Mitte mit Rinde],0))</f>
        <v>#N/A</v>
      </c>
      <c r="G2194" t="e">
        <f>VLOOKUP(Tabelle8[[#This Row],[Rank]],Stammdaten[[Rank Verteilung D Mitte mit Rinde]:[Verteilung D Mitte mit Rinde]],2,FALSE)</f>
        <v>#N/A</v>
      </c>
      <c r="L2194">
        <v>2185</v>
      </c>
      <c r="M2194" t="e">
        <f>INDEX(Stammdaten[Abholzigkeit (mm/lfm)],MATCH(Tabelle9[[#This Row],[Rank]],Stammdaten[Rank Verteilung Abholzigkeit],0))</f>
        <v>#N/A</v>
      </c>
      <c r="N2194" t="e">
        <f>VLOOKUP(Tabelle9[[#This Row],[Rank]],Stammdaten[[Rank Verteilung Abholzigkeit]:[Verteilung Abholzigkeit]],2,FALSE)</f>
        <v>#N/A</v>
      </c>
      <c r="S2194">
        <v>2185</v>
      </c>
      <c r="T2194" t="e">
        <f>INDEX(Stammdaten[Krümmung (mm/lfm)],MATCH(Tabelle10[[#This Row],[Rank]],Stammdaten[Rank Verteilung Krümmung],0))</f>
        <v>#N/A</v>
      </c>
      <c r="U2194" t="e">
        <f>VLOOKUP(Tabelle10[[#This Row],[Rank]],Stammdaten[[Rank Verteilung Krümmung]:[Verteilung Krümmung]],2,FALSE)</f>
        <v>#N/A</v>
      </c>
      <c r="Z2194">
        <v>2185</v>
      </c>
      <c r="AA2194" t="e">
        <f>INDEX(Stammdaten[Ovalität (']0,1'])],MATCH(Tabelle1014[[#This Row],[Rank]],Stammdaten[Rank Verteilung Ovalität],0))</f>
        <v>#N/A</v>
      </c>
      <c r="AB2194" t="e">
        <f>VLOOKUP(Tabelle1014[[#This Row],[Rank]],Stammdaten[[Rank Verteilung Ovalität]:[Verteilung Ovalität]],2,FALSE)</f>
        <v>#N/A</v>
      </c>
    </row>
    <row r="2195" spans="5:28" x14ac:dyDescent="0.35">
      <c r="E2195">
        <v>2186</v>
      </c>
      <c r="F2195" t="e">
        <f>INDEX(Stammdaten[D Mitte mit Rinde (mm)],MATCH(Tabelle8[[#This Row],[Rank]],Stammdaten[Rank Verteilung D Mitte mit Rinde],0))</f>
        <v>#N/A</v>
      </c>
      <c r="G2195" t="e">
        <f>VLOOKUP(Tabelle8[[#This Row],[Rank]],Stammdaten[[Rank Verteilung D Mitte mit Rinde]:[Verteilung D Mitte mit Rinde]],2,FALSE)</f>
        <v>#N/A</v>
      </c>
      <c r="L2195">
        <v>2186</v>
      </c>
      <c r="M2195" t="e">
        <f>INDEX(Stammdaten[Abholzigkeit (mm/lfm)],MATCH(Tabelle9[[#This Row],[Rank]],Stammdaten[Rank Verteilung Abholzigkeit],0))</f>
        <v>#N/A</v>
      </c>
      <c r="N2195" t="e">
        <f>VLOOKUP(Tabelle9[[#This Row],[Rank]],Stammdaten[[Rank Verteilung Abholzigkeit]:[Verteilung Abholzigkeit]],2,FALSE)</f>
        <v>#N/A</v>
      </c>
      <c r="S2195">
        <v>2186</v>
      </c>
      <c r="T2195" t="e">
        <f>INDEX(Stammdaten[Krümmung (mm/lfm)],MATCH(Tabelle10[[#This Row],[Rank]],Stammdaten[Rank Verteilung Krümmung],0))</f>
        <v>#N/A</v>
      </c>
      <c r="U2195" t="e">
        <f>VLOOKUP(Tabelle10[[#This Row],[Rank]],Stammdaten[[Rank Verteilung Krümmung]:[Verteilung Krümmung]],2,FALSE)</f>
        <v>#N/A</v>
      </c>
      <c r="Z2195">
        <v>2186</v>
      </c>
      <c r="AA2195" t="e">
        <f>INDEX(Stammdaten[Ovalität (']0,1'])],MATCH(Tabelle1014[[#This Row],[Rank]],Stammdaten[Rank Verteilung Ovalität],0))</f>
        <v>#N/A</v>
      </c>
      <c r="AB2195" t="e">
        <f>VLOOKUP(Tabelle1014[[#This Row],[Rank]],Stammdaten[[Rank Verteilung Ovalität]:[Verteilung Ovalität]],2,FALSE)</f>
        <v>#N/A</v>
      </c>
    </row>
    <row r="2196" spans="5:28" x14ac:dyDescent="0.35">
      <c r="E2196">
        <v>2187</v>
      </c>
      <c r="F2196" t="e">
        <f>INDEX(Stammdaten[D Mitte mit Rinde (mm)],MATCH(Tabelle8[[#This Row],[Rank]],Stammdaten[Rank Verteilung D Mitte mit Rinde],0))</f>
        <v>#N/A</v>
      </c>
      <c r="G2196" t="e">
        <f>VLOOKUP(Tabelle8[[#This Row],[Rank]],Stammdaten[[Rank Verteilung D Mitte mit Rinde]:[Verteilung D Mitte mit Rinde]],2,FALSE)</f>
        <v>#N/A</v>
      </c>
      <c r="L2196">
        <v>2187</v>
      </c>
      <c r="M2196" t="e">
        <f>INDEX(Stammdaten[Abholzigkeit (mm/lfm)],MATCH(Tabelle9[[#This Row],[Rank]],Stammdaten[Rank Verteilung Abholzigkeit],0))</f>
        <v>#N/A</v>
      </c>
      <c r="N2196" t="e">
        <f>VLOOKUP(Tabelle9[[#This Row],[Rank]],Stammdaten[[Rank Verteilung Abholzigkeit]:[Verteilung Abholzigkeit]],2,FALSE)</f>
        <v>#N/A</v>
      </c>
      <c r="S2196">
        <v>2187</v>
      </c>
      <c r="T2196" t="e">
        <f>INDEX(Stammdaten[Krümmung (mm/lfm)],MATCH(Tabelle10[[#This Row],[Rank]],Stammdaten[Rank Verteilung Krümmung],0))</f>
        <v>#N/A</v>
      </c>
      <c r="U2196" t="e">
        <f>VLOOKUP(Tabelle10[[#This Row],[Rank]],Stammdaten[[Rank Verteilung Krümmung]:[Verteilung Krümmung]],2,FALSE)</f>
        <v>#N/A</v>
      </c>
      <c r="Z2196">
        <v>2187</v>
      </c>
      <c r="AA2196" t="e">
        <f>INDEX(Stammdaten[Ovalität (']0,1'])],MATCH(Tabelle1014[[#This Row],[Rank]],Stammdaten[Rank Verteilung Ovalität],0))</f>
        <v>#N/A</v>
      </c>
      <c r="AB2196" t="e">
        <f>VLOOKUP(Tabelle1014[[#This Row],[Rank]],Stammdaten[[Rank Verteilung Ovalität]:[Verteilung Ovalität]],2,FALSE)</f>
        <v>#N/A</v>
      </c>
    </row>
    <row r="2197" spans="5:28" x14ac:dyDescent="0.35">
      <c r="E2197">
        <v>2188</v>
      </c>
      <c r="F2197" t="e">
        <f>INDEX(Stammdaten[D Mitte mit Rinde (mm)],MATCH(Tabelle8[[#This Row],[Rank]],Stammdaten[Rank Verteilung D Mitte mit Rinde],0))</f>
        <v>#N/A</v>
      </c>
      <c r="G2197" t="e">
        <f>VLOOKUP(Tabelle8[[#This Row],[Rank]],Stammdaten[[Rank Verteilung D Mitte mit Rinde]:[Verteilung D Mitte mit Rinde]],2,FALSE)</f>
        <v>#N/A</v>
      </c>
      <c r="L2197">
        <v>2188</v>
      </c>
      <c r="M2197" t="e">
        <f>INDEX(Stammdaten[Abholzigkeit (mm/lfm)],MATCH(Tabelle9[[#This Row],[Rank]],Stammdaten[Rank Verteilung Abholzigkeit],0))</f>
        <v>#N/A</v>
      </c>
      <c r="N2197" t="e">
        <f>VLOOKUP(Tabelle9[[#This Row],[Rank]],Stammdaten[[Rank Verteilung Abholzigkeit]:[Verteilung Abholzigkeit]],2,FALSE)</f>
        <v>#N/A</v>
      </c>
      <c r="S2197">
        <v>2188</v>
      </c>
      <c r="T2197" t="e">
        <f>INDEX(Stammdaten[Krümmung (mm/lfm)],MATCH(Tabelle10[[#This Row],[Rank]],Stammdaten[Rank Verteilung Krümmung],0))</f>
        <v>#N/A</v>
      </c>
      <c r="U2197" t="e">
        <f>VLOOKUP(Tabelle10[[#This Row],[Rank]],Stammdaten[[Rank Verteilung Krümmung]:[Verteilung Krümmung]],2,FALSE)</f>
        <v>#N/A</v>
      </c>
      <c r="Z2197">
        <v>2188</v>
      </c>
      <c r="AA2197" t="e">
        <f>INDEX(Stammdaten[Ovalität (']0,1'])],MATCH(Tabelle1014[[#This Row],[Rank]],Stammdaten[Rank Verteilung Ovalität],0))</f>
        <v>#N/A</v>
      </c>
      <c r="AB2197" t="e">
        <f>VLOOKUP(Tabelle1014[[#This Row],[Rank]],Stammdaten[[Rank Verteilung Ovalität]:[Verteilung Ovalität]],2,FALSE)</f>
        <v>#N/A</v>
      </c>
    </row>
    <row r="2198" spans="5:28" x14ac:dyDescent="0.35">
      <c r="E2198">
        <v>2189</v>
      </c>
      <c r="F2198" t="e">
        <f>INDEX(Stammdaten[D Mitte mit Rinde (mm)],MATCH(Tabelle8[[#This Row],[Rank]],Stammdaten[Rank Verteilung D Mitte mit Rinde],0))</f>
        <v>#N/A</v>
      </c>
      <c r="G2198" t="e">
        <f>VLOOKUP(Tabelle8[[#This Row],[Rank]],Stammdaten[[Rank Verteilung D Mitte mit Rinde]:[Verteilung D Mitte mit Rinde]],2,FALSE)</f>
        <v>#N/A</v>
      </c>
      <c r="L2198">
        <v>2189</v>
      </c>
      <c r="M2198" t="e">
        <f>INDEX(Stammdaten[Abholzigkeit (mm/lfm)],MATCH(Tabelle9[[#This Row],[Rank]],Stammdaten[Rank Verteilung Abholzigkeit],0))</f>
        <v>#N/A</v>
      </c>
      <c r="N2198" t="e">
        <f>VLOOKUP(Tabelle9[[#This Row],[Rank]],Stammdaten[[Rank Verteilung Abholzigkeit]:[Verteilung Abholzigkeit]],2,FALSE)</f>
        <v>#N/A</v>
      </c>
      <c r="S2198">
        <v>2189</v>
      </c>
      <c r="T2198" t="e">
        <f>INDEX(Stammdaten[Krümmung (mm/lfm)],MATCH(Tabelle10[[#This Row],[Rank]],Stammdaten[Rank Verteilung Krümmung],0))</f>
        <v>#N/A</v>
      </c>
      <c r="U2198" t="e">
        <f>VLOOKUP(Tabelle10[[#This Row],[Rank]],Stammdaten[[Rank Verteilung Krümmung]:[Verteilung Krümmung]],2,FALSE)</f>
        <v>#N/A</v>
      </c>
      <c r="Z2198">
        <v>2189</v>
      </c>
      <c r="AA2198" t="e">
        <f>INDEX(Stammdaten[Ovalität (']0,1'])],MATCH(Tabelle1014[[#This Row],[Rank]],Stammdaten[Rank Verteilung Ovalität],0))</f>
        <v>#N/A</v>
      </c>
      <c r="AB2198" t="e">
        <f>VLOOKUP(Tabelle1014[[#This Row],[Rank]],Stammdaten[[Rank Verteilung Ovalität]:[Verteilung Ovalität]],2,FALSE)</f>
        <v>#N/A</v>
      </c>
    </row>
    <row r="2199" spans="5:28" x14ac:dyDescent="0.35">
      <c r="E2199">
        <v>2190</v>
      </c>
      <c r="F2199" t="e">
        <f>INDEX(Stammdaten[D Mitte mit Rinde (mm)],MATCH(Tabelle8[[#This Row],[Rank]],Stammdaten[Rank Verteilung D Mitte mit Rinde],0))</f>
        <v>#N/A</v>
      </c>
      <c r="G2199" t="e">
        <f>VLOOKUP(Tabelle8[[#This Row],[Rank]],Stammdaten[[Rank Verteilung D Mitte mit Rinde]:[Verteilung D Mitte mit Rinde]],2,FALSE)</f>
        <v>#N/A</v>
      </c>
      <c r="L2199">
        <v>2190</v>
      </c>
      <c r="M2199" t="e">
        <f>INDEX(Stammdaten[Abholzigkeit (mm/lfm)],MATCH(Tabelle9[[#This Row],[Rank]],Stammdaten[Rank Verteilung Abholzigkeit],0))</f>
        <v>#N/A</v>
      </c>
      <c r="N2199" t="e">
        <f>VLOOKUP(Tabelle9[[#This Row],[Rank]],Stammdaten[[Rank Verteilung Abholzigkeit]:[Verteilung Abholzigkeit]],2,FALSE)</f>
        <v>#N/A</v>
      </c>
      <c r="S2199">
        <v>2190</v>
      </c>
      <c r="T2199" t="e">
        <f>INDEX(Stammdaten[Krümmung (mm/lfm)],MATCH(Tabelle10[[#This Row],[Rank]],Stammdaten[Rank Verteilung Krümmung],0))</f>
        <v>#N/A</v>
      </c>
      <c r="U2199" t="e">
        <f>VLOOKUP(Tabelle10[[#This Row],[Rank]],Stammdaten[[Rank Verteilung Krümmung]:[Verteilung Krümmung]],2,FALSE)</f>
        <v>#N/A</v>
      </c>
      <c r="Z2199">
        <v>2190</v>
      </c>
      <c r="AA2199" t="e">
        <f>INDEX(Stammdaten[Ovalität (']0,1'])],MATCH(Tabelle1014[[#This Row],[Rank]],Stammdaten[Rank Verteilung Ovalität],0))</f>
        <v>#N/A</v>
      </c>
      <c r="AB2199" t="e">
        <f>VLOOKUP(Tabelle1014[[#This Row],[Rank]],Stammdaten[[Rank Verteilung Ovalität]:[Verteilung Ovalität]],2,FALSE)</f>
        <v>#N/A</v>
      </c>
    </row>
    <row r="2200" spans="5:28" x14ac:dyDescent="0.35">
      <c r="E2200">
        <v>2191</v>
      </c>
      <c r="F2200" t="e">
        <f>INDEX(Stammdaten[D Mitte mit Rinde (mm)],MATCH(Tabelle8[[#This Row],[Rank]],Stammdaten[Rank Verteilung D Mitte mit Rinde],0))</f>
        <v>#N/A</v>
      </c>
      <c r="G2200" t="e">
        <f>VLOOKUP(Tabelle8[[#This Row],[Rank]],Stammdaten[[Rank Verteilung D Mitte mit Rinde]:[Verteilung D Mitte mit Rinde]],2,FALSE)</f>
        <v>#N/A</v>
      </c>
      <c r="L2200">
        <v>2191</v>
      </c>
      <c r="M2200" t="e">
        <f>INDEX(Stammdaten[Abholzigkeit (mm/lfm)],MATCH(Tabelle9[[#This Row],[Rank]],Stammdaten[Rank Verteilung Abholzigkeit],0))</f>
        <v>#N/A</v>
      </c>
      <c r="N2200" t="e">
        <f>VLOOKUP(Tabelle9[[#This Row],[Rank]],Stammdaten[[Rank Verteilung Abholzigkeit]:[Verteilung Abholzigkeit]],2,FALSE)</f>
        <v>#N/A</v>
      </c>
      <c r="S2200">
        <v>2191</v>
      </c>
      <c r="T2200" t="e">
        <f>INDEX(Stammdaten[Krümmung (mm/lfm)],MATCH(Tabelle10[[#This Row],[Rank]],Stammdaten[Rank Verteilung Krümmung],0))</f>
        <v>#N/A</v>
      </c>
      <c r="U2200" t="e">
        <f>VLOOKUP(Tabelle10[[#This Row],[Rank]],Stammdaten[[Rank Verteilung Krümmung]:[Verteilung Krümmung]],2,FALSE)</f>
        <v>#N/A</v>
      </c>
      <c r="Z2200">
        <v>2191</v>
      </c>
      <c r="AA2200" t="e">
        <f>INDEX(Stammdaten[Ovalität (']0,1'])],MATCH(Tabelle1014[[#This Row],[Rank]],Stammdaten[Rank Verteilung Ovalität],0))</f>
        <v>#N/A</v>
      </c>
      <c r="AB2200" t="e">
        <f>VLOOKUP(Tabelle1014[[#This Row],[Rank]],Stammdaten[[Rank Verteilung Ovalität]:[Verteilung Ovalität]],2,FALSE)</f>
        <v>#N/A</v>
      </c>
    </row>
    <row r="2201" spans="5:28" x14ac:dyDescent="0.35">
      <c r="E2201">
        <v>2192</v>
      </c>
      <c r="F2201" t="e">
        <f>INDEX(Stammdaten[D Mitte mit Rinde (mm)],MATCH(Tabelle8[[#This Row],[Rank]],Stammdaten[Rank Verteilung D Mitte mit Rinde],0))</f>
        <v>#N/A</v>
      </c>
      <c r="G2201" t="e">
        <f>VLOOKUP(Tabelle8[[#This Row],[Rank]],Stammdaten[[Rank Verteilung D Mitte mit Rinde]:[Verteilung D Mitte mit Rinde]],2,FALSE)</f>
        <v>#N/A</v>
      </c>
      <c r="L2201">
        <v>2192</v>
      </c>
      <c r="M2201" t="e">
        <f>INDEX(Stammdaten[Abholzigkeit (mm/lfm)],MATCH(Tabelle9[[#This Row],[Rank]],Stammdaten[Rank Verteilung Abholzigkeit],0))</f>
        <v>#N/A</v>
      </c>
      <c r="N2201" t="e">
        <f>VLOOKUP(Tabelle9[[#This Row],[Rank]],Stammdaten[[Rank Verteilung Abholzigkeit]:[Verteilung Abholzigkeit]],2,FALSE)</f>
        <v>#N/A</v>
      </c>
      <c r="S2201">
        <v>2192</v>
      </c>
      <c r="T2201" t="e">
        <f>INDEX(Stammdaten[Krümmung (mm/lfm)],MATCH(Tabelle10[[#This Row],[Rank]],Stammdaten[Rank Verteilung Krümmung],0))</f>
        <v>#N/A</v>
      </c>
      <c r="U2201" t="e">
        <f>VLOOKUP(Tabelle10[[#This Row],[Rank]],Stammdaten[[Rank Verteilung Krümmung]:[Verteilung Krümmung]],2,FALSE)</f>
        <v>#N/A</v>
      </c>
      <c r="Z2201">
        <v>2192</v>
      </c>
      <c r="AA2201" t="e">
        <f>INDEX(Stammdaten[Ovalität (']0,1'])],MATCH(Tabelle1014[[#This Row],[Rank]],Stammdaten[Rank Verteilung Ovalität],0))</f>
        <v>#N/A</v>
      </c>
      <c r="AB2201" t="e">
        <f>VLOOKUP(Tabelle1014[[#This Row],[Rank]],Stammdaten[[Rank Verteilung Ovalität]:[Verteilung Ovalität]],2,FALSE)</f>
        <v>#N/A</v>
      </c>
    </row>
    <row r="2202" spans="5:28" x14ac:dyDescent="0.35">
      <c r="E2202">
        <v>2193</v>
      </c>
      <c r="F2202" t="e">
        <f>INDEX(Stammdaten[D Mitte mit Rinde (mm)],MATCH(Tabelle8[[#This Row],[Rank]],Stammdaten[Rank Verteilung D Mitte mit Rinde],0))</f>
        <v>#N/A</v>
      </c>
      <c r="G2202" t="e">
        <f>VLOOKUP(Tabelle8[[#This Row],[Rank]],Stammdaten[[Rank Verteilung D Mitte mit Rinde]:[Verteilung D Mitte mit Rinde]],2,FALSE)</f>
        <v>#N/A</v>
      </c>
      <c r="L2202">
        <v>2193</v>
      </c>
      <c r="M2202" t="e">
        <f>INDEX(Stammdaten[Abholzigkeit (mm/lfm)],MATCH(Tabelle9[[#This Row],[Rank]],Stammdaten[Rank Verteilung Abholzigkeit],0))</f>
        <v>#N/A</v>
      </c>
      <c r="N2202" t="e">
        <f>VLOOKUP(Tabelle9[[#This Row],[Rank]],Stammdaten[[Rank Verteilung Abholzigkeit]:[Verteilung Abholzigkeit]],2,FALSE)</f>
        <v>#N/A</v>
      </c>
      <c r="S2202">
        <v>2193</v>
      </c>
      <c r="T2202" t="e">
        <f>INDEX(Stammdaten[Krümmung (mm/lfm)],MATCH(Tabelle10[[#This Row],[Rank]],Stammdaten[Rank Verteilung Krümmung],0))</f>
        <v>#N/A</v>
      </c>
      <c r="U2202" t="e">
        <f>VLOOKUP(Tabelle10[[#This Row],[Rank]],Stammdaten[[Rank Verteilung Krümmung]:[Verteilung Krümmung]],2,FALSE)</f>
        <v>#N/A</v>
      </c>
      <c r="Z2202">
        <v>2193</v>
      </c>
      <c r="AA2202" t="e">
        <f>INDEX(Stammdaten[Ovalität (']0,1'])],MATCH(Tabelle1014[[#This Row],[Rank]],Stammdaten[Rank Verteilung Ovalität],0))</f>
        <v>#N/A</v>
      </c>
      <c r="AB2202" t="e">
        <f>VLOOKUP(Tabelle1014[[#This Row],[Rank]],Stammdaten[[Rank Verteilung Ovalität]:[Verteilung Ovalität]],2,FALSE)</f>
        <v>#N/A</v>
      </c>
    </row>
    <row r="2203" spans="5:28" x14ac:dyDescent="0.35">
      <c r="E2203">
        <v>2194</v>
      </c>
      <c r="F2203" t="e">
        <f>INDEX(Stammdaten[D Mitte mit Rinde (mm)],MATCH(Tabelle8[[#This Row],[Rank]],Stammdaten[Rank Verteilung D Mitte mit Rinde],0))</f>
        <v>#N/A</v>
      </c>
      <c r="G2203" t="e">
        <f>VLOOKUP(Tabelle8[[#This Row],[Rank]],Stammdaten[[Rank Verteilung D Mitte mit Rinde]:[Verteilung D Mitte mit Rinde]],2,FALSE)</f>
        <v>#N/A</v>
      </c>
      <c r="L2203">
        <v>2194</v>
      </c>
      <c r="M2203" t="e">
        <f>INDEX(Stammdaten[Abholzigkeit (mm/lfm)],MATCH(Tabelle9[[#This Row],[Rank]],Stammdaten[Rank Verteilung Abholzigkeit],0))</f>
        <v>#N/A</v>
      </c>
      <c r="N2203" t="e">
        <f>VLOOKUP(Tabelle9[[#This Row],[Rank]],Stammdaten[[Rank Verteilung Abholzigkeit]:[Verteilung Abholzigkeit]],2,FALSE)</f>
        <v>#N/A</v>
      </c>
      <c r="S2203">
        <v>2194</v>
      </c>
      <c r="T2203" t="e">
        <f>INDEX(Stammdaten[Krümmung (mm/lfm)],MATCH(Tabelle10[[#This Row],[Rank]],Stammdaten[Rank Verteilung Krümmung],0))</f>
        <v>#N/A</v>
      </c>
      <c r="U2203" t="e">
        <f>VLOOKUP(Tabelle10[[#This Row],[Rank]],Stammdaten[[Rank Verteilung Krümmung]:[Verteilung Krümmung]],2,FALSE)</f>
        <v>#N/A</v>
      </c>
      <c r="Z2203">
        <v>2194</v>
      </c>
      <c r="AA2203" t="e">
        <f>INDEX(Stammdaten[Ovalität (']0,1'])],MATCH(Tabelle1014[[#This Row],[Rank]],Stammdaten[Rank Verteilung Ovalität],0))</f>
        <v>#N/A</v>
      </c>
      <c r="AB2203" t="e">
        <f>VLOOKUP(Tabelle1014[[#This Row],[Rank]],Stammdaten[[Rank Verteilung Ovalität]:[Verteilung Ovalität]],2,FALSE)</f>
        <v>#N/A</v>
      </c>
    </row>
    <row r="2204" spans="5:28" x14ac:dyDescent="0.35">
      <c r="E2204">
        <v>2195</v>
      </c>
      <c r="F2204" t="e">
        <f>INDEX(Stammdaten[D Mitte mit Rinde (mm)],MATCH(Tabelle8[[#This Row],[Rank]],Stammdaten[Rank Verteilung D Mitte mit Rinde],0))</f>
        <v>#N/A</v>
      </c>
      <c r="G2204" t="e">
        <f>VLOOKUP(Tabelle8[[#This Row],[Rank]],Stammdaten[[Rank Verteilung D Mitte mit Rinde]:[Verteilung D Mitte mit Rinde]],2,FALSE)</f>
        <v>#N/A</v>
      </c>
      <c r="L2204">
        <v>2195</v>
      </c>
      <c r="M2204" t="e">
        <f>INDEX(Stammdaten[Abholzigkeit (mm/lfm)],MATCH(Tabelle9[[#This Row],[Rank]],Stammdaten[Rank Verteilung Abholzigkeit],0))</f>
        <v>#N/A</v>
      </c>
      <c r="N2204" t="e">
        <f>VLOOKUP(Tabelle9[[#This Row],[Rank]],Stammdaten[[Rank Verteilung Abholzigkeit]:[Verteilung Abholzigkeit]],2,FALSE)</f>
        <v>#N/A</v>
      </c>
      <c r="S2204">
        <v>2195</v>
      </c>
      <c r="T2204" t="e">
        <f>INDEX(Stammdaten[Krümmung (mm/lfm)],MATCH(Tabelle10[[#This Row],[Rank]],Stammdaten[Rank Verteilung Krümmung],0))</f>
        <v>#N/A</v>
      </c>
      <c r="U2204" t="e">
        <f>VLOOKUP(Tabelle10[[#This Row],[Rank]],Stammdaten[[Rank Verteilung Krümmung]:[Verteilung Krümmung]],2,FALSE)</f>
        <v>#N/A</v>
      </c>
      <c r="Z2204">
        <v>2195</v>
      </c>
      <c r="AA2204" t="e">
        <f>INDEX(Stammdaten[Ovalität (']0,1'])],MATCH(Tabelle1014[[#This Row],[Rank]],Stammdaten[Rank Verteilung Ovalität],0))</f>
        <v>#N/A</v>
      </c>
      <c r="AB2204" t="e">
        <f>VLOOKUP(Tabelle1014[[#This Row],[Rank]],Stammdaten[[Rank Verteilung Ovalität]:[Verteilung Ovalität]],2,FALSE)</f>
        <v>#N/A</v>
      </c>
    </row>
    <row r="2205" spans="5:28" x14ac:dyDescent="0.35">
      <c r="E2205">
        <v>2196</v>
      </c>
      <c r="F2205" t="e">
        <f>INDEX(Stammdaten[D Mitte mit Rinde (mm)],MATCH(Tabelle8[[#This Row],[Rank]],Stammdaten[Rank Verteilung D Mitte mit Rinde],0))</f>
        <v>#N/A</v>
      </c>
      <c r="G2205" t="e">
        <f>VLOOKUP(Tabelle8[[#This Row],[Rank]],Stammdaten[[Rank Verteilung D Mitte mit Rinde]:[Verteilung D Mitte mit Rinde]],2,FALSE)</f>
        <v>#N/A</v>
      </c>
      <c r="L2205">
        <v>2196</v>
      </c>
      <c r="M2205" t="e">
        <f>INDEX(Stammdaten[Abholzigkeit (mm/lfm)],MATCH(Tabelle9[[#This Row],[Rank]],Stammdaten[Rank Verteilung Abholzigkeit],0))</f>
        <v>#N/A</v>
      </c>
      <c r="N2205" t="e">
        <f>VLOOKUP(Tabelle9[[#This Row],[Rank]],Stammdaten[[Rank Verteilung Abholzigkeit]:[Verteilung Abholzigkeit]],2,FALSE)</f>
        <v>#N/A</v>
      </c>
      <c r="S2205">
        <v>2196</v>
      </c>
      <c r="T2205" t="e">
        <f>INDEX(Stammdaten[Krümmung (mm/lfm)],MATCH(Tabelle10[[#This Row],[Rank]],Stammdaten[Rank Verteilung Krümmung],0))</f>
        <v>#N/A</v>
      </c>
      <c r="U2205" t="e">
        <f>VLOOKUP(Tabelle10[[#This Row],[Rank]],Stammdaten[[Rank Verteilung Krümmung]:[Verteilung Krümmung]],2,FALSE)</f>
        <v>#N/A</v>
      </c>
      <c r="Z2205">
        <v>2196</v>
      </c>
      <c r="AA2205" t="e">
        <f>INDEX(Stammdaten[Ovalität (']0,1'])],MATCH(Tabelle1014[[#This Row],[Rank]],Stammdaten[Rank Verteilung Ovalität],0))</f>
        <v>#N/A</v>
      </c>
      <c r="AB2205" t="e">
        <f>VLOOKUP(Tabelle1014[[#This Row],[Rank]],Stammdaten[[Rank Verteilung Ovalität]:[Verteilung Ovalität]],2,FALSE)</f>
        <v>#N/A</v>
      </c>
    </row>
    <row r="2206" spans="5:28" x14ac:dyDescent="0.35">
      <c r="E2206">
        <v>2197</v>
      </c>
      <c r="F2206" t="e">
        <f>INDEX(Stammdaten[D Mitte mit Rinde (mm)],MATCH(Tabelle8[[#This Row],[Rank]],Stammdaten[Rank Verteilung D Mitte mit Rinde],0))</f>
        <v>#N/A</v>
      </c>
      <c r="G2206" t="e">
        <f>VLOOKUP(Tabelle8[[#This Row],[Rank]],Stammdaten[[Rank Verteilung D Mitte mit Rinde]:[Verteilung D Mitte mit Rinde]],2,FALSE)</f>
        <v>#N/A</v>
      </c>
      <c r="L2206">
        <v>2197</v>
      </c>
      <c r="M2206" t="e">
        <f>INDEX(Stammdaten[Abholzigkeit (mm/lfm)],MATCH(Tabelle9[[#This Row],[Rank]],Stammdaten[Rank Verteilung Abholzigkeit],0))</f>
        <v>#N/A</v>
      </c>
      <c r="N2206" t="e">
        <f>VLOOKUP(Tabelle9[[#This Row],[Rank]],Stammdaten[[Rank Verteilung Abholzigkeit]:[Verteilung Abholzigkeit]],2,FALSE)</f>
        <v>#N/A</v>
      </c>
      <c r="S2206">
        <v>2197</v>
      </c>
      <c r="T2206" t="e">
        <f>INDEX(Stammdaten[Krümmung (mm/lfm)],MATCH(Tabelle10[[#This Row],[Rank]],Stammdaten[Rank Verteilung Krümmung],0))</f>
        <v>#N/A</v>
      </c>
      <c r="U2206" t="e">
        <f>VLOOKUP(Tabelle10[[#This Row],[Rank]],Stammdaten[[Rank Verteilung Krümmung]:[Verteilung Krümmung]],2,FALSE)</f>
        <v>#N/A</v>
      </c>
      <c r="Z2206">
        <v>2197</v>
      </c>
      <c r="AA2206" t="e">
        <f>INDEX(Stammdaten[Ovalität (']0,1'])],MATCH(Tabelle1014[[#This Row],[Rank]],Stammdaten[Rank Verteilung Ovalität],0))</f>
        <v>#N/A</v>
      </c>
      <c r="AB2206" t="e">
        <f>VLOOKUP(Tabelle1014[[#This Row],[Rank]],Stammdaten[[Rank Verteilung Ovalität]:[Verteilung Ovalität]],2,FALSE)</f>
        <v>#N/A</v>
      </c>
    </row>
    <row r="2207" spans="5:28" x14ac:dyDescent="0.35">
      <c r="E2207">
        <v>2198</v>
      </c>
      <c r="F2207" t="e">
        <f>INDEX(Stammdaten[D Mitte mit Rinde (mm)],MATCH(Tabelle8[[#This Row],[Rank]],Stammdaten[Rank Verteilung D Mitte mit Rinde],0))</f>
        <v>#N/A</v>
      </c>
      <c r="G2207" t="e">
        <f>VLOOKUP(Tabelle8[[#This Row],[Rank]],Stammdaten[[Rank Verteilung D Mitte mit Rinde]:[Verteilung D Mitte mit Rinde]],2,FALSE)</f>
        <v>#N/A</v>
      </c>
      <c r="L2207">
        <v>2198</v>
      </c>
      <c r="M2207" t="e">
        <f>INDEX(Stammdaten[Abholzigkeit (mm/lfm)],MATCH(Tabelle9[[#This Row],[Rank]],Stammdaten[Rank Verteilung Abholzigkeit],0))</f>
        <v>#N/A</v>
      </c>
      <c r="N2207" t="e">
        <f>VLOOKUP(Tabelle9[[#This Row],[Rank]],Stammdaten[[Rank Verteilung Abholzigkeit]:[Verteilung Abholzigkeit]],2,FALSE)</f>
        <v>#N/A</v>
      </c>
      <c r="S2207">
        <v>2198</v>
      </c>
      <c r="T2207" t="e">
        <f>INDEX(Stammdaten[Krümmung (mm/lfm)],MATCH(Tabelle10[[#This Row],[Rank]],Stammdaten[Rank Verteilung Krümmung],0))</f>
        <v>#N/A</v>
      </c>
      <c r="U2207" t="e">
        <f>VLOOKUP(Tabelle10[[#This Row],[Rank]],Stammdaten[[Rank Verteilung Krümmung]:[Verteilung Krümmung]],2,FALSE)</f>
        <v>#N/A</v>
      </c>
      <c r="Z2207">
        <v>2198</v>
      </c>
      <c r="AA2207" t="e">
        <f>INDEX(Stammdaten[Ovalität (']0,1'])],MATCH(Tabelle1014[[#This Row],[Rank]],Stammdaten[Rank Verteilung Ovalität],0))</f>
        <v>#N/A</v>
      </c>
      <c r="AB2207" t="e">
        <f>VLOOKUP(Tabelle1014[[#This Row],[Rank]],Stammdaten[[Rank Verteilung Ovalität]:[Verteilung Ovalität]],2,FALSE)</f>
        <v>#N/A</v>
      </c>
    </row>
    <row r="2208" spans="5:28" x14ac:dyDescent="0.35">
      <c r="E2208">
        <v>2199</v>
      </c>
      <c r="F2208" t="e">
        <f>INDEX(Stammdaten[D Mitte mit Rinde (mm)],MATCH(Tabelle8[[#This Row],[Rank]],Stammdaten[Rank Verteilung D Mitte mit Rinde],0))</f>
        <v>#N/A</v>
      </c>
      <c r="G2208" t="e">
        <f>VLOOKUP(Tabelle8[[#This Row],[Rank]],Stammdaten[[Rank Verteilung D Mitte mit Rinde]:[Verteilung D Mitte mit Rinde]],2,FALSE)</f>
        <v>#N/A</v>
      </c>
      <c r="L2208">
        <v>2199</v>
      </c>
      <c r="M2208" t="e">
        <f>INDEX(Stammdaten[Abholzigkeit (mm/lfm)],MATCH(Tabelle9[[#This Row],[Rank]],Stammdaten[Rank Verteilung Abholzigkeit],0))</f>
        <v>#N/A</v>
      </c>
      <c r="N2208" t="e">
        <f>VLOOKUP(Tabelle9[[#This Row],[Rank]],Stammdaten[[Rank Verteilung Abholzigkeit]:[Verteilung Abholzigkeit]],2,FALSE)</f>
        <v>#N/A</v>
      </c>
      <c r="S2208">
        <v>2199</v>
      </c>
      <c r="T2208" t="e">
        <f>INDEX(Stammdaten[Krümmung (mm/lfm)],MATCH(Tabelle10[[#This Row],[Rank]],Stammdaten[Rank Verteilung Krümmung],0))</f>
        <v>#N/A</v>
      </c>
      <c r="U2208" t="e">
        <f>VLOOKUP(Tabelle10[[#This Row],[Rank]],Stammdaten[[Rank Verteilung Krümmung]:[Verteilung Krümmung]],2,FALSE)</f>
        <v>#N/A</v>
      </c>
      <c r="Z2208">
        <v>2199</v>
      </c>
      <c r="AA2208" t="e">
        <f>INDEX(Stammdaten[Ovalität (']0,1'])],MATCH(Tabelle1014[[#This Row],[Rank]],Stammdaten[Rank Verteilung Ovalität],0))</f>
        <v>#N/A</v>
      </c>
      <c r="AB2208" t="e">
        <f>VLOOKUP(Tabelle1014[[#This Row],[Rank]],Stammdaten[[Rank Verteilung Ovalität]:[Verteilung Ovalität]],2,FALSE)</f>
        <v>#N/A</v>
      </c>
    </row>
    <row r="2209" spans="5:28" x14ac:dyDescent="0.35">
      <c r="E2209">
        <v>2200</v>
      </c>
      <c r="F2209" t="e">
        <f>INDEX(Stammdaten[D Mitte mit Rinde (mm)],MATCH(Tabelle8[[#This Row],[Rank]],Stammdaten[Rank Verteilung D Mitte mit Rinde],0))</f>
        <v>#N/A</v>
      </c>
      <c r="G2209" t="e">
        <f>VLOOKUP(Tabelle8[[#This Row],[Rank]],Stammdaten[[Rank Verteilung D Mitte mit Rinde]:[Verteilung D Mitte mit Rinde]],2,FALSE)</f>
        <v>#N/A</v>
      </c>
      <c r="L2209">
        <v>2200</v>
      </c>
      <c r="M2209" t="e">
        <f>INDEX(Stammdaten[Abholzigkeit (mm/lfm)],MATCH(Tabelle9[[#This Row],[Rank]],Stammdaten[Rank Verteilung Abholzigkeit],0))</f>
        <v>#N/A</v>
      </c>
      <c r="N2209" t="e">
        <f>VLOOKUP(Tabelle9[[#This Row],[Rank]],Stammdaten[[Rank Verteilung Abholzigkeit]:[Verteilung Abholzigkeit]],2,FALSE)</f>
        <v>#N/A</v>
      </c>
      <c r="S2209">
        <v>2200</v>
      </c>
      <c r="T2209" t="e">
        <f>INDEX(Stammdaten[Krümmung (mm/lfm)],MATCH(Tabelle10[[#This Row],[Rank]],Stammdaten[Rank Verteilung Krümmung],0))</f>
        <v>#N/A</v>
      </c>
      <c r="U2209" t="e">
        <f>VLOOKUP(Tabelle10[[#This Row],[Rank]],Stammdaten[[Rank Verteilung Krümmung]:[Verteilung Krümmung]],2,FALSE)</f>
        <v>#N/A</v>
      </c>
      <c r="Z2209">
        <v>2200</v>
      </c>
      <c r="AA2209" t="e">
        <f>INDEX(Stammdaten[Ovalität (']0,1'])],MATCH(Tabelle1014[[#This Row],[Rank]],Stammdaten[Rank Verteilung Ovalität],0))</f>
        <v>#N/A</v>
      </c>
      <c r="AB2209" t="e">
        <f>VLOOKUP(Tabelle1014[[#This Row],[Rank]],Stammdaten[[Rank Verteilung Ovalität]:[Verteilung Ovalität]],2,FALSE)</f>
        <v>#N/A</v>
      </c>
    </row>
    <row r="2210" spans="5:28" x14ac:dyDescent="0.35">
      <c r="E2210">
        <v>2201</v>
      </c>
      <c r="F2210" t="e">
        <f>INDEX(Stammdaten[D Mitte mit Rinde (mm)],MATCH(Tabelle8[[#This Row],[Rank]],Stammdaten[Rank Verteilung D Mitte mit Rinde],0))</f>
        <v>#N/A</v>
      </c>
      <c r="G2210" t="e">
        <f>VLOOKUP(Tabelle8[[#This Row],[Rank]],Stammdaten[[Rank Verteilung D Mitte mit Rinde]:[Verteilung D Mitte mit Rinde]],2,FALSE)</f>
        <v>#N/A</v>
      </c>
      <c r="L2210">
        <v>2201</v>
      </c>
      <c r="M2210" t="e">
        <f>INDEX(Stammdaten[Abholzigkeit (mm/lfm)],MATCH(Tabelle9[[#This Row],[Rank]],Stammdaten[Rank Verteilung Abholzigkeit],0))</f>
        <v>#N/A</v>
      </c>
      <c r="N2210" t="e">
        <f>VLOOKUP(Tabelle9[[#This Row],[Rank]],Stammdaten[[Rank Verteilung Abholzigkeit]:[Verteilung Abholzigkeit]],2,FALSE)</f>
        <v>#N/A</v>
      </c>
      <c r="S2210">
        <v>2201</v>
      </c>
      <c r="T2210" t="e">
        <f>INDEX(Stammdaten[Krümmung (mm/lfm)],MATCH(Tabelle10[[#This Row],[Rank]],Stammdaten[Rank Verteilung Krümmung],0))</f>
        <v>#N/A</v>
      </c>
      <c r="U2210" t="e">
        <f>VLOOKUP(Tabelle10[[#This Row],[Rank]],Stammdaten[[Rank Verteilung Krümmung]:[Verteilung Krümmung]],2,FALSE)</f>
        <v>#N/A</v>
      </c>
      <c r="Z2210">
        <v>2201</v>
      </c>
      <c r="AA2210" t="e">
        <f>INDEX(Stammdaten[Ovalität (']0,1'])],MATCH(Tabelle1014[[#This Row],[Rank]],Stammdaten[Rank Verteilung Ovalität],0))</f>
        <v>#N/A</v>
      </c>
      <c r="AB2210" t="e">
        <f>VLOOKUP(Tabelle1014[[#This Row],[Rank]],Stammdaten[[Rank Verteilung Ovalität]:[Verteilung Ovalität]],2,FALSE)</f>
        <v>#N/A</v>
      </c>
    </row>
    <row r="2211" spans="5:28" x14ac:dyDescent="0.35">
      <c r="E2211">
        <v>2202</v>
      </c>
      <c r="F2211" t="e">
        <f>INDEX(Stammdaten[D Mitte mit Rinde (mm)],MATCH(Tabelle8[[#This Row],[Rank]],Stammdaten[Rank Verteilung D Mitte mit Rinde],0))</f>
        <v>#N/A</v>
      </c>
      <c r="G2211" t="e">
        <f>VLOOKUP(Tabelle8[[#This Row],[Rank]],Stammdaten[[Rank Verteilung D Mitte mit Rinde]:[Verteilung D Mitte mit Rinde]],2,FALSE)</f>
        <v>#N/A</v>
      </c>
      <c r="L2211">
        <v>2202</v>
      </c>
      <c r="M2211" t="e">
        <f>INDEX(Stammdaten[Abholzigkeit (mm/lfm)],MATCH(Tabelle9[[#This Row],[Rank]],Stammdaten[Rank Verteilung Abholzigkeit],0))</f>
        <v>#N/A</v>
      </c>
      <c r="N2211" t="e">
        <f>VLOOKUP(Tabelle9[[#This Row],[Rank]],Stammdaten[[Rank Verteilung Abholzigkeit]:[Verteilung Abholzigkeit]],2,FALSE)</f>
        <v>#N/A</v>
      </c>
      <c r="S2211">
        <v>2202</v>
      </c>
      <c r="T2211" t="e">
        <f>INDEX(Stammdaten[Krümmung (mm/lfm)],MATCH(Tabelle10[[#This Row],[Rank]],Stammdaten[Rank Verteilung Krümmung],0))</f>
        <v>#N/A</v>
      </c>
      <c r="U2211" t="e">
        <f>VLOOKUP(Tabelle10[[#This Row],[Rank]],Stammdaten[[Rank Verteilung Krümmung]:[Verteilung Krümmung]],2,FALSE)</f>
        <v>#N/A</v>
      </c>
      <c r="Z2211">
        <v>2202</v>
      </c>
      <c r="AA2211" t="e">
        <f>INDEX(Stammdaten[Ovalität (']0,1'])],MATCH(Tabelle1014[[#This Row],[Rank]],Stammdaten[Rank Verteilung Ovalität],0))</f>
        <v>#N/A</v>
      </c>
      <c r="AB2211" t="e">
        <f>VLOOKUP(Tabelle1014[[#This Row],[Rank]],Stammdaten[[Rank Verteilung Ovalität]:[Verteilung Ovalität]],2,FALSE)</f>
        <v>#N/A</v>
      </c>
    </row>
    <row r="2212" spans="5:28" x14ac:dyDescent="0.35">
      <c r="E2212">
        <v>2203</v>
      </c>
      <c r="F2212" t="e">
        <f>INDEX(Stammdaten[D Mitte mit Rinde (mm)],MATCH(Tabelle8[[#This Row],[Rank]],Stammdaten[Rank Verteilung D Mitte mit Rinde],0))</f>
        <v>#N/A</v>
      </c>
      <c r="G2212" t="e">
        <f>VLOOKUP(Tabelle8[[#This Row],[Rank]],Stammdaten[[Rank Verteilung D Mitte mit Rinde]:[Verteilung D Mitte mit Rinde]],2,FALSE)</f>
        <v>#N/A</v>
      </c>
      <c r="L2212">
        <v>2203</v>
      </c>
      <c r="M2212" t="e">
        <f>INDEX(Stammdaten[Abholzigkeit (mm/lfm)],MATCH(Tabelle9[[#This Row],[Rank]],Stammdaten[Rank Verteilung Abholzigkeit],0))</f>
        <v>#N/A</v>
      </c>
      <c r="N2212" t="e">
        <f>VLOOKUP(Tabelle9[[#This Row],[Rank]],Stammdaten[[Rank Verteilung Abholzigkeit]:[Verteilung Abholzigkeit]],2,FALSE)</f>
        <v>#N/A</v>
      </c>
      <c r="S2212">
        <v>2203</v>
      </c>
      <c r="T2212" t="e">
        <f>INDEX(Stammdaten[Krümmung (mm/lfm)],MATCH(Tabelle10[[#This Row],[Rank]],Stammdaten[Rank Verteilung Krümmung],0))</f>
        <v>#N/A</v>
      </c>
      <c r="U2212" t="e">
        <f>VLOOKUP(Tabelle10[[#This Row],[Rank]],Stammdaten[[Rank Verteilung Krümmung]:[Verteilung Krümmung]],2,FALSE)</f>
        <v>#N/A</v>
      </c>
      <c r="Z2212">
        <v>2203</v>
      </c>
      <c r="AA2212" t="e">
        <f>INDEX(Stammdaten[Ovalität (']0,1'])],MATCH(Tabelle1014[[#This Row],[Rank]],Stammdaten[Rank Verteilung Ovalität],0))</f>
        <v>#N/A</v>
      </c>
      <c r="AB2212" t="e">
        <f>VLOOKUP(Tabelle1014[[#This Row],[Rank]],Stammdaten[[Rank Verteilung Ovalität]:[Verteilung Ovalität]],2,FALSE)</f>
        <v>#N/A</v>
      </c>
    </row>
    <row r="2213" spans="5:28" x14ac:dyDescent="0.35">
      <c r="E2213">
        <v>2204</v>
      </c>
      <c r="F2213" t="e">
        <f>INDEX(Stammdaten[D Mitte mit Rinde (mm)],MATCH(Tabelle8[[#This Row],[Rank]],Stammdaten[Rank Verteilung D Mitte mit Rinde],0))</f>
        <v>#N/A</v>
      </c>
      <c r="G2213" t="e">
        <f>VLOOKUP(Tabelle8[[#This Row],[Rank]],Stammdaten[[Rank Verteilung D Mitte mit Rinde]:[Verteilung D Mitte mit Rinde]],2,FALSE)</f>
        <v>#N/A</v>
      </c>
      <c r="L2213">
        <v>2204</v>
      </c>
      <c r="M2213" t="e">
        <f>INDEX(Stammdaten[Abholzigkeit (mm/lfm)],MATCH(Tabelle9[[#This Row],[Rank]],Stammdaten[Rank Verteilung Abholzigkeit],0))</f>
        <v>#N/A</v>
      </c>
      <c r="N2213" t="e">
        <f>VLOOKUP(Tabelle9[[#This Row],[Rank]],Stammdaten[[Rank Verteilung Abholzigkeit]:[Verteilung Abholzigkeit]],2,FALSE)</f>
        <v>#N/A</v>
      </c>
      <c r="S2213">
        <v>2204</v>
      </c>
      <c r="T2213" t="e">
        <f>INDEX(Stammdaten[Krümmung (mm/lfm)],MATCH(Tabelle10[[#This Row],[Rank]],Stammdaten[Rank Verteilung Krümmung],0))</f>
        <v>#N/A</v>
      </c>
      <c r="U2213" t="e">
        <f>VLOOKUP(Tabelle10[[#This Row],[Rank]],Stammdaten[[Rank Verteilung Krümmung]:[Verteilung Krümmung]],2,FALSE)</f>
        <v>#N/A</v>
      </c>
      <c r="Z2213">
        <v>2204</v>
      </c>
      <c r="AA2213" t="e">
        <f>INDEX(Stammdaten[Ovalität (']0,1'])],MATCH(Tabelle1014[[#This Row],[Rank]],Stammdaten[Rank Verteilung Ovalität],0))</f>
        <v>#N/A</v>
      </c>
      <c r="AB2213" t="e">
        <f>VLOOKUP(Tabelle1014[[#This Row],[Rank]],Stammdaten[[Rank Verteilung Ovalität]:[Verteilung Ovalität]],2,FALSE)</f>
        <v>#N/A</v>
      </c>
    </row>
    <row r="2214" spans="5:28" x14ac:dyDescent="0.35">
      <c r="E2214">
        <v>2205</v>
      </c>
      <c r="F2214" t="e">
        <f>INDEX(Stammdaten[D Mitte mit Rinde (mm)],MATCH(Tabelle8[[#This Row],[Rank]],Stammdaten[Rank Verteilung D Mitte mit Rinde],0))</f>
        <v>#N/A</v>
      </c>
      <c r="G2214" t="e">
        <f>VLOOKUP(Tabelle8[[#This Row],[Rank]],Stammdaten[[Rank Verteilung D Mitte mit Rinde]:[Verteilung D Mitte mit Rinde]],2,FALSE)</f>
        <v>#N/A</v>
      </c>
      <c r="L2214">
        <v>2205</v>
      </c>
      <c r="M2214" t="e">
        <f>INDEX(Stammdaten[Abholzigkeit (mm/lfm)],MATCH(Tabelle9[[#This Row],[Rank]],Stammdaten[Rank Verteilung Abholzigkeit],0))</f>
        <v>#N/A</v>
      </c>
      <c r="N2214" t="e">
        <f>VLOOKUP(Tabelle9[[#This Row],[Rank]],Stammdaten[[Rank Verteilung Abholzigkeit]:[Verteilung Abholzigkeit]],2,FALSE)</f>
        <v>#N/A</v>
      </c>
      <c r="S2214">
        <v>2205</v>
      </c>
      <c r="T2214" t="e">
        <f>INDEX(Stammdaten[Krümmung (mm/lfm)],MATCH(Tabelle10[[#This Row],[Rank]],Stammdaten[Rank Verteilung Krümmung],0))</f>
        <v>#N/A</v>
      </c>
      <c r="U2214" t="e">
        <f>VLOOKUP(Tabelle10[[#This Row],[Rank]],Stammdaten[[Rank Verteilung Krümmung]:[Verteilung Krümmung]],2,FALSE)</f>
        <v>#N/A</v>
      </c>
      <c r="Z2214">
        <v>2205</v>
      </c>
      <c r="AA2214" t="e">
        <f>INDEX(Stammdaten[Ovalität (']0,1'])],MATCH(Tabelle1014[[#This Row],[Rank]],Stammdaten[Rank Verteilung Ovalität],0))</f>
        <v>#N/A</v>
      </c>
      <c r="AB2214" t="e">
        <f>VLOOKUP(Tabelle1014[[#This Row],[Rank]],Stammdaten[[Rank Verteilung Ovalität]:[Verteilung Ovalität]],2,FALSE)</f>
        <v>#N/A</v>
      </c>
    </row>
    <row r="2215" spans="5:28" x14ac:dyDescent="0.35">
      <c r="E2215">
        <v>2206</v>
      </c>
      <c r="F2215" t="e">
        <f>INDEX(Stammdaten[D Mitte mit Rinde (mm)],MATCH(Tabelle8[[#This Row],[Rank]],Stammdaten[Rank Verteilung D Mitte mit Rinde],0))</f>
        <v>#N/A</v>
      </c>
      <c r="G2215" t="e">
        <f>VLOOKUP(Tabelle8[[#This Row],[Rank]],Stammdaten[[Rank Verteilung D Mitte mit Rinde]:[Verteilung D Mitte mit Rinde]],2,FALSE)</f>
        <v>#N/A</v>
      </c>
      <c r="L2215">
        <v>2206</v>
      </c>
      <c r="M2215" t="e">
        <f>INDEX(Stammdaten[Abholzigkeit (mm/lfm)],MATCH(Tabelle9[[#This Row],[Rank]],Stammdaten[Rank Verteilung Abholzigkeit],0))</f>
        <v>#N/A</v>
      </c>
      <c r="N2215" t="e">
        <f>VLOOKUP(Tabelle9[[#This Row],[Rank]],Stammdaten[[Rank Verteilung Abholzigkeit]:[Verteilung Abholzigkeit]],2,FALSE)</f>
        <v>#N/A</v>
      </c>
      <c r="S2215">
        <v>2206</v>
      </c>
      <c r="T2215" t="e">
        <f>INDEX(Stammdaten[Krümmung (mm/lfm)],MATCH(Tabelle10[[#This Row],[Rank]],Stammdaten[Rank Verteilung Krümmung],0))</f>
        <v>#N/A</v>
      </c>
      <c r="U2215" t="e">
        <f>VLOOKUP(Tabelle10[[#This Row],[Rank]],Stammdaten[[Rank Verteilung Krümmung]:[Verteilung Krümmung]],2,FALSE)</f>
        <v>#N/A</v>
      </c>
      <c r="Z2215">
        <v>2206</v>
      </c>
      <c r="AA2215" t="e">
        <f>INDEX(Stammdaten[Ovalität (']0,1'])],MATCH(Tabelle1014[[#This Row],[Rank]],Stammdaten[Rank Verteilung Ovalität],0))</f>
        <v>#N/A</v>
      </c>
      <c r="AB2215" t="e">
        <f>VLOOKUP(Tabelle1014[[#This Row],[Rank]],Stammdaten[[Rank Verteilung Ovalität]:[Verteilung Ovalität]],2,FALSE)</f>
        <v>#N/A</v>
      </c>
    </row>
    <row r="2216" spans="5:28" x14ac:dyDescent="0.35">
      <c r="E2216">
        <v>2207</v>
      </c>
      <c r="F2216" t="e">
        <f>INDEX(Stammdaten[D Mitte mit Rinde (mm)],MATCH(Tabelle8[[#This Row],[Rank]],Stammdaten[Rank Verteilung D Mitte mit Rinde],0))</f>
        <v>#N/A</v>
      </c>
      <c r="G2216" t="e">
        <f>VLOOKUP(Tabelle8[[#This Row],[Rank]],Stammdaten[[Rank Verteilung D Mitte mit Rinde]:[Verteilung D Mitte mit Rinde]],2,FALSE)</f>
        <v>#N/A</v>
      </c>
      <c r="L2216">
        <v>2207</v>
      </c>
      <c r="M2216" t="e">
        <f>INDEX(Stammdaten[Abholzigkeit (mm/lfm)],MATCH(Tabelle9[[#This Row],[Rank]],Stammdaten[Rank Verteilung Abholzigkeit],0))</f>
        <v>#N/A</v>
      </c>
      <c r="N2216" t="e">
        <f>VLOOKUP(Tabelle9[[#This Row],[Rank]],Stammdaten[[Rank Verteilung Abholzigkeit]:[Verteilung Abholzigkeit]],2,FALSE)</f>
        <v>#N/A</v>
      </c>
      <c r="S2216">
        <v>2207</v>
      </c>
      <c r="T2216" t="e">
        <f>INDEX(Stammdaten[Krümmung (mm/lfm)],MATCH(Tabelle10[[#This Row],[Rank]],Stammdaten[Rank Verteilung Krümmung],0))</f>
        <v>#N/A</v>
      </c>
      <c r="U2216" t="e">
        <f>VLOOKUP(Tabelle10[[#This Row],[Rank]],Stammdaten[[Rank Verteilung Krümmung]:[Verteilung Krümmung]],2,FALSE)</f>
        <v>#N/A</v>
      </c>
      <c r="Z2216">
        <v>2207</v>
      </c>
      <c r="AA2216" t="e">
        <f>INDEX(Stammdaten[Ovalität (']0,1'])],MATCH(Tabelle1014[[#This Row],[Rank]],Stammdaten[Rank Verteilung Ovalität],0))</f>
        <v>#N/A</v>
      </c>
      <c r="AB2216" t="e">
        <f>VLOOKUP(Tabelle1014[[#This Row],[Rank]],Stammdaten[[Rank Verteilung Ovalität]:[Verteilung Ovalität]],2,FALSE)</f>
        <v>#N/A</v>
      </c>
    </row>
    <row r="2217" spans="5:28" x14ac:dyDescent="0.35">
      <c r="E2217">
        <v>2208</v>
      </c>
      <c r="F2217" t="e">
        <f>INDEX(Stammdaten[D Mitte mit Rinde (mm)],MATCH(Tabelle8[[#This Row],[Rank]],Stammdaten[Rank Verteilung D Mitte mit Rinde],0))</f>
        <v>#N/A</v>
      </c>
      <c r="G2217" t="e">
        <f>VLOOKUP(Tabelle8[[#This Row],[Rank]],Stammdaten[[Rank Verteilung D Mitte mit Rinde]:[Verteilung D Mitte mit Rinde]],2,FALSE)</f>
        <v>#N/A</v>
      </c>
      <c r="L2217">
        <v>2208</v>
      </c>
      <c r="M2217" t="e">
        <f>INDEX(Stammdaten[Abholzigkeit (mm/lfm)],MATCH(Tabelle9[[#This Row],[Rank]],Stammdaten[Rank Verteilung Abholzigkeit],0))</f>
        <v>#N/A</v>
      </c>
      <c r="N2217" t="e">
        <f>VLOOKUP(Tabelle9[[#This Row],[Rank]],Stammdaten[[Rank Verteilung Abholzigkeit]:[Verteilung Abholzigkeit]],2,FALSE)</f>
        <v>#N/A</v>
      </c>
      <c r="S2217">
        <v>2208</v>
      </c>
      <c r="T2217" t="e">
        <f>INDEX(Stammdaten[Krümmung (mm/lfm)],MATCH(Tabelle10[[#This Row],[Rank]],Stammdaten[Rank Verteilung Krümmung],0))</f>
        <v>#N/A</v>
      </c>
      <c r="U2217" t="e">
        <f>VLOOKUP(Tabelle10[[#This Row],[Rank]],Stammdaten[[Rank Verteilung Krümmung]:[Verteilung Krümmung]],2,FALSE)</f>
        <v>#N/A</v>
      </c>
      <c r="Z2217">
        <v>2208</v>
      </c>
      <c r="AA2217" t="e">
        <f>INDEX(Stammdaten[Ovalität (']0,1'])],MATCH(Tabelle1014[[#This Row],[Rank]],Stammdaten[Rank Verteilung Ovalität],0))</f>
        <v>#N/A</v>
      </c>
      <c r="AB2217" t="e">
        <f>VLOOKUP(Tabelle1014[[#This Row],[Rank]],Stammdaten[[Rank Verteilung Ovalität]:[Verteilung Ovalität]],2,FALSE)</f>
        <v>#N/A</v>
      </c>
    </row>
    <row r="2218" spans="5:28" x14ac:dyDescent="0.35">
      <c r="E2218">
        <v>2209</v>
      </c>
      <c r="F2218" t="e">
        <f>INDEX(Stammdaten[D Mitte mit Rinde (mm)],MATCH(Tabelle8[[#This Row],[Rank]],Stammdaten[Rank Verteilung D Mitte mit Rinde],0))</f>
        <v>#N/A</v>
      </c>
      <c r="G2218" t="e">
        <f>VLOOKUP(Tabelle8[[#This Row],[Rank]],Stammdaten[[Rank Verteilung D Mitte mit Rinde]:[Verteilung D Mitte mit Rinde]],2,FALSE)</f>
        <v>#N/A</v>
      </c>
      <c r="L2218">
        <v>2209</v>
      </c>
      <c r="M2218" t="e">
        <f>INDEX(Stammdaten[Abholzigkeit (mm/lfm)],MATCH(Tabelle9[[#This Row],[Rank]],Stammdaten[Rank Verteilung Abholzigkeit],0))</f>
        <v>#N/A</v>
      </c>
      <c r="N2218" t="e">
        <f>VLOOKUP(Tabelle9[[#This Row],[Rank]],Stammdaten[[Rank Verteilung Abholzigkeit]:[Verteilung Abholzigkeit]],2,FALSE)</f>
        <v>#N/A</v>
      </c>
      <c r="S2218">
        <v>2209</v>
      </c>
      <c r="T2218" t="e">
        <f>INDEX(Stammdaten[Krümmung (mm/lfm)],MATCH(Tabelle10[[#This Row],[Rank]],Stammdaten[Rank Verteilung Krümmung],0))</f>
        <v>#N/A</v>
      </c>
      <c r="U2218" t="e">
        <f>VLOOKUP(Tabelle10[[#This Row],[Rank]],Stammdaten[[Rank Verteilung Krümmung]:[Verteilung Krümmung]],2,FALSE)</f>
        <v>#N/A</v>
      </c>
      <c r="Z2218">
        <v>2209</v>
      </c>
      <c r="AA2218" t="e">
        <f>INDEX(Stammdaten[Ovalität (']0,1'])],MATCH(Tabelle1014[[#This Row],[Rank]],Stammdaten[Rank Verteilung Ovalität],0))</f>
        <v>#N/A</v>
      </c>
      <c r="AB2218" t="e">
        <f>VLOOKUP(Tabelle1014[[#This Row],[Rank]],Stammdaten[[Rank Verteilung Ovalität]:[Verteilung Ovalität]],2,FALSE)</f>
        <v>#N/A</v>
      </c>
    </row>
    <row r="2219" spans="5:28" x14ac:dyDescent="0.35">
      <c r="E2219">
        <v>2210</v>
      </c>
      <c r="F2219" t="e">
        <f>INDEX(Stammdaten[D Mitte mit Rinde (mm)],MATCH(Tabelle8[[#This Row],[Rank]],Stammdaten[Rank Verteilung D Mitte mit Rinde],0))</f>
        <v>#N/A</v>
      </c>
      <c r="G2219" t="e">
        <f>VLOOKUP(Tabelle8[[#This Row],[Rank]],Stammdaten[[Rank Verteilung D Mitte mit Rinde]:[Verteilung D Mitte mit Rinde]],2,FALSE)</f>
        <v>#N/A</v>
      </c>
      <c r="L2219">
        <v>2210</v>
      </c>
      <c r="M2219" t="e">
        <f>INDEX(Stammdaten[Abholzigkeit (mm/lfm)],MATCH(Tabelle9[[#This Row],[Rank]],Stammdaten[Rank Verteilung Abholzigkeit],0))</f>
        <v>#N/A</v>
      </c>
      <c r="N2219" t="e">
        <f>VLOOKUP(Tabelle9[[#This Row],[Rank]],Stammdaten[[Rank Verteilung Abholzigkeit]:[Verteilung Abholzigkeit]],2,FALSE)</f>
        <v>#N/A</v>
      </c>
      <c r="S2219">
        <v>2210</v>
      </c>
      <c r="T2219" t="e">
        <f>INDEX(Stammdaten[Krümmung (mm/lfm)],MATCH(Tabelle10[[#This Row],[Rank]],Stammdaten[Rank Verteilung Krümmung],0))</f>
        <v>#N/A</v>
      </c>
      <c r="U2219" t="e">
        <f>VLOOKUP(Tabelle10[[#This Row],[Rank]],Stammdaten[[Rank Verteilung Krümmung]:[Verteilung Krümmung]],2,FALSE)</f>
        <v>#N/A</v>
      </c>
      <c r="Z2219">
        <v>2210</v>
      </c>
      <c r="AA2219" t="e">
        <f>INDEX(Stammdaten[Ovalität (']0,1'])],MATCH(Tabelle1014[[#This Row],[Rank]],Stammdaten[Rank Verteilung Ovalität],0))</f>
        <v>#N/A</v>
      </c>
      <c r="AB2219" t="e">
        <f>VLOOKUP(Tabelle1014[[#This Row],[Rank]],Stammdaten[[Rank Verteilung Ovalität]:[Verteilung Ovalität]],2,FALSE)</f>
        <v>#N/A</v>
      </c>
    </row>
    <row r="2220" spans="5:28" x14ac:dyDescent="0.35">
      <c r="E2220">
        <v>2211</v>
      </c>
      <c r="F2220" t="e">
        <f>INDEX(Stammdaten[D Mitte mit Rinde (mm)],MATCH(Tabelle8[[#This Row],[Rank]],Stammdaten[Rank Verteilung D Mitte mit Rinde],0))</f>
        <v>#N/A</v>
      </c>
      <c r="G2220" t="e">
        <f>VLOOKUP(Tabelle8[[#This Row],[Rank]],Stammdaten[[Rank Verteilung D Mitte mit Rinde]:[Verteilung D Mitte mit Rinde]],2,FALSE)</f>
        <v>#N/A</v>
      </c>
      <c r="L2220">
        <v>2211</v>
      </c>
      <c r="M2220" t="e">
        <f>INDEX(Stammdaten[Abholzigkeit (mm/lfm)],MATCH(Tabelle9[[#This Row],[Rank]],Stammdaten[Rank Verteilung Abholzigkeit],0))</f>
        <v>#N/A</v>
      </c>
      <c r="N2220" t="e">
        <f>VLOOKUP(Tabelle9[[#This Row],[Rank]],Stammdaten[[Rank Verteilung Abholzigkeit]:[Verteilung Abholzigkeit]],2,FALSE)</f>
        <v>#N/A</v>
      </c>
      <c r="S2220">
        <v>2211</v>
      </c>
      <c r="T2220" t="e">
        <f>INDEX(Stammdaten[Krümmung (mm/lfm)],MATCH(Tabelle10[[#This Row],[Rank]],Stammdaten[Rank Verteilung Krümmung],0))</f>
        <v>#N/A</v>
      </c>
      <c r="U2220" t="e">
        <f>VLOOKUP(Tabelle10[[#This Row],[Rank]],Stammdaten[[Rank Verteilung Krümmung]:[Verteilung Krümmung]],2,FALSE)</f>
        <v>#N/A</v>
      </c>
      <c r="Z2220">
        <v>2211</v>
      </c>
      <c r="AA2220" t="e">
        <f>INDEX(Stammdaten[Ovalität (']0,1'])],MATCH(Tabelle1014[[#This Row],[Rank]],Stammdaten[Rank Verteilung Ovalität],0))</f>
        <v>#N/A</v>
      </c>
      <c r="AB2220" t="e">
        <f>VLOOKUP(Tabelle1014[[#This Row],[Rank]],Stammdaten[[Rank Verteilung Ovalität]:[Verteilung Ovalität]],2,FALSE)</f>
        <v>#N/A</v>
      </c>
    </row>
    <row r="2221" spans="5:28" x14ac:dyDescent="0.35">
      <c r="E2221">
        <v>2212</v>
      </c>
      <c r="F2221" t="e">
        <f>INDEX(Stammdaten[D Mitte mit Rinde (mm)],MATCH(Tabelle8[[#This Row],[Rank]],Stammdaten[Rank Verteilung D Mitte mit Rinde],0))</f>
        <v>#N/A</v>
      </c>
      <c r="G2221" t="e">
        <f>VLOOKUP(Tabelle8[[#This Row],[Rank]],Stammdaten[[Rank Verteilung D Mitte mit Rinde]:[Verteilung D Mitte mit Rinde]],2,FALSE)</f>
        <v>#N/A</v>
      </c>
      <c r="L2221">
        <v>2212</v>
      </c>
      <c r="M2221" t="e">
        <f>INDEX(Stammdaten[Abholzigkeit (mm/lfm)],MATCH(Tabelle9[[#This Row],[Rank]],Stammdaten[Rank Verteilung Abholzigkeit],0))</f>
        <v>#N/A</v>
      </c>
      <c r="N2221" t="e">
        <f>VLOOKUP(Tabelle9[[#This Row],[Rank]],Stammdaten[[Rank Verteilung Abholzigkeit]:[Verteilung Abholzigkeit]],2,FALSE)</f>
        <v>#N/A</v>
      </c>
      <c r="S2221">
        <v>2212</v>
      </c>
      <c r="T2221" t="e">
        <f>INDEX(Stammdaten[Krümmung (mm/lfm)],MATCH(Tabelle10[[#This Row],[Rank]],Stammdaten[Rank Verteilung Krümmung],0))</f>
        <v>#N/A</v>
      </c>
      <c r="U2221" t="e">
        <f>VLOOKUP(Tabelle10[[#This Row],[Rank]],Stammdaten[[Rank Verteilung Krümmung]:[Verteilung Krümmung]],2,FALSE)</f>
        <v>#N/A</v>
      </c>
      <c r="Z2221">
        <v>2212</v>
      </c>
      <c r="AA2221" t="e">
        <f>INDEX(Stammdaten[Ovalität (']0,1'])],MATCH(Tabelle1014[[#This Row],[Rank]],Stammdaten[Rank Verteilung Ovalität],0))</f>
        <v>#N/A</v>
      </c>
      <c r="AB2221" t="e">
        <f>VLOOKUP(Tabelle1014[[#This Row],[Rank]],Stammdaten[[Rank Verteilung Ovalität]:[Verteilung Ovalität]],2,FALSE)</f>
        <v>#N/A</v>
      </c>
    </row>
    <row r="2222" spans="5:28" x14ac:dyDescent="0.35">
      <c r="E2222">
        <v>2213</v>
      </c>
      <c r="F2222" t="e">
        <f>INDEX(Stammdaten[D Mitte mit Rinde (mm)],MATCH(Tabelle8[[#This Row],[Rank]],Stammdaten[Rank Verteilung D Mitte mit Rinde],0))</f>
        <v>#N/A</v>
      </c>
      <c r="G2222" t="e">
        <f>VLOOKUP(Tabelle8[[#This Row],[Rank]],Stammdaten[[Rank Verteilung D Mitte mit Rinde]:[Verteilung D Mitte mit Rinde]],2,FALSE)</f>
        <v>#N/A</v>
      </c>
      <c r="L2222">
        <v>2213</v>
      </c>
      <c r="M2222" t="e">
        <f>INDEX(Stammdaten[Abholzigkeit (mm/lfm)],MATCH(Tabelle9[[#This Row],[Rank]],Stammdaten[Rank Verteilung Abholzigkeit],0))</f>
        <v>#N/A</v>
      </c>
      <c r="N2222" t="e">
        <f>VLOOKUP(Tabelle9[[#This Row],[Rank]],Stammdaten[[Rank Verteilung Abholzigkeit]:[Verteilung Abholzigkeit]],2,FALSE)</f>
        <v>#N/A</v>
      </c>
      <c r="S2222">
        <v>2213</v>
      </c>
      <c r="T2222" t="e">
        <f>INDEX(Stammdaten[Krümmung (mm/lfm)],MATCH(Tabelle10[[#This Row],[Rank]],Stammdaten[Rank Verteilung Krümmung],0))</f>
        <v>#N/A</v>
      </c>
      <c r="U2222" t="e">
        <f>VLOOKUP(Tabelle10[[#This Row],[Rank]],Stammdaten[[Rank Verteilung Krümmung]:[Verteilung Krümmung]],2,FALSE)</f>
        <v>#N/A</v>
      </c>
      <c r="Z2222">
        <v>2213</v>
      </c>
      <c r="AA2222" t="e">
        <f>INDEX(Stammdaten[Ovalität (']0,1'])],MATCH(Tabelle1014[[#This Row],[Rank]],Stammdaten[Rank Verteilung Ovalität],0))</f>
        <v>#N/A</v>
      </c>
      <c r="AB2222" t="e">
        <f>VLOOKUP(Tabelle1014[[#This Row],[Rank]],Stammdaten[[Rank Verteilung Ovalität]:[Verteilung Ovalität]],2,FALSE)</f>
        <v>#N/A</v>
      </c>
    </row>
    <row r="2223" spans="5:28" x14ac:dyDescent="0.35">
      <c r="E2223">
        <v>2214</v>
      </c>
      <c r="F2223" t="e">
        <f>INDEX(Stammdaten[D Mitte mit Rinde (mm)],MATCH(Tabelle8[[#This Row],[Rank]],Stammdaten[Rank Verteilung D Mitte mit Rinde],0))</f>
        <v>#N/A</v>
      </c>
      <c r="G2223" t="e">
        <f>VLOOKUP(Tabelle8[[#This Row],[Rank]],Stammdaten[[Rank Verteilung D Mitte mit Rinde]:[Verteilung D Mitte mit Rinde]],2,FALSE)</f>
        <v>#N/A</v>
      </c>
      <c r="L2223">
        <v>2214</v>
      </c>
      <c r="M2223" t="e">
        <f>INDEX(Stammdaten[Abholzigkeit (mm/lfm)],MATCH(Tabelle9[[#This Row],[Rank]],Stammdaten[Rank Verteilung Abholzigkeit],0))</f>
        <v>#N/A</v>
      </c>
      <c r="N2223" t="e">
        <f>VLOOKUP(Tabelle9[[#This Row],[Rank]],Stammdaten[[Rank Verteilung Abholzigkeit]:[Verteilung Abholzigkeit]],2,FALSE)</f>
        <v>#N/A</v>
      </c>
      <c r="S2223">
        <v>2214</v>
      </c>
      <c r="T2223" t="e">
        <f>INDEX(Stammdaten[Krümmung (mm/lfm)],MATCH(Tabelle10[[#This Row],[Rank]],Stammdaten[Rank Verteilung Krümmung],0))</f>
        <v>#N/A</v>
      </c>
      <c r="U2223" t="e">
        <f>VLOOKUP(Tabelle10[[#This Row],[Rank]],Stammdaten[[Rank Verteilung Krümmung]:[Verteilung Krümmung]],2,FALSE)</f>
        <v>#N/A</v>
      </c>
      <c r="Z2223">
        <v>2214</v>
      </c>
      <c r="AA2223" t="e">
        <f>INDEX(Stammdaten[Ovalität (']0,1'])],MATCH(Tabelle1014[[#This Row],[Rank]],Stammdaten[Rank Verteilung Ovalität],0))</f>
        <v>#N/A</v>
      </c>
      <c r="AB2223" t="e">
        <f>VLOOKUP(Tabelle1014[[#This Row],[Rank]],Stammdaten[[Rank Verteilung Ovalität]:[Verteilung Ovalität]],2,FALSE)</f>
        <v>#N/A</v>
      </c>
    </row>
    <row r="2224" spans="5:28" x14ac:dyDescent="0.35">
      <c r="E2224">
        <v>2215</v>
      </c>
      <c r="F2224" t="e">
        <f>INDEX(Stammdaten[D Mitte mit Rinde (mm)],MATCH(Tabelle8[[#This Row],[Rank]],Stammdaten[Rank Verteilung D Mitte mit Rinde],0))</f>
        <v>#N/A</v>
      </c>
      <c r="G2224" t="e">
        <f>VLOOKUP(Tabelle8[[#This Row],[Rank]],Stammdaten[[Rank Verteilung D Mitte mit Rinde]:[Verteilung D Mitte mit Rinde]],2,FALSE)</f>
        <v>#N/A</v>
      </c>
      <c r="L2224">
        <v>2215</v>
      </c>
      <c r="M2224" t="e">
        <f>INDEX(Stammdaten[Abholzigkeit (mm/lfm)],MATCH(Tabelle9[[#This Row],[Rank]],Stammdaten[Rank Verteilung Abholzigkeit],0))</f>
        <v>#N/A</v>
      </c>
      <c r="N2224" t="e">
        <f>VLOOKUP(Tabelle9[[#This Row],[Rank]],Stammdaten[[Rank Verteilung Abholzigkeit]:[Verteilung Abholzigkeit]],2,FALSE)</f>
        <v>#N/A</v>
      </c>
      <c r="S2224">
        <v>2215</v>
      </c>
      <c r="T2224" t="e">
        <f>INDEX(Stammdaten[Krümmung (mm/lfm)],MATCH(Tabelle10[[#This Row],[Rank]],Stammdaten[Rank Verteilung Krümmung],0))</f>
        <v>#N/A</v>
      </c>
      <c r="U2224" t="e">
        <f>VLOOKUP(Tabelle10[[#This Row],[Rank]],Stammdaten[[Rank Verteilung Krümmung]:[Verteilung Krümmung]],2,FALSE)</f>
        <v>#N/A</v>
      </c>
      <c r="Z2224">
        <v>2215</v>
      </c>
      <c r="AA2224" t="e">
        <f>INDEX(Stammdaten[Ovalität (']0,1'])],MATCH(Tabelle1014[[#This Row],[Rank]],Stammdaten[Rank Verteilung Ovalität],0))</f>
        <v>#N/A</v>
      </c>
      <c r="AB2224" t="e">
        <f>VLOOKUP(Tabelle1014[[#This Row],[Rank]],Stammdaten[[Rank Verteilung Ovalität]:[Verteilung Ovalität]],2,FALSE)</f>
        <v>#N/A</v>
      </c>
    </row>
    <row r="2225" spans="5:28" x14ac:dyDescent="0.35">
      <c r="E2225">
        <v>2216</v>
      </c>
      <c r="F2225" t="e">
        <f>INDEX(Stammdaten[D Mitte mit Rinde (mm)],MATCH(Tabelle8[[#This Row],[Rank]],Stammdaten[Rank Verteilung D Mitte mit Rinde],0))</f>
        <v>#N/A</v>
      </c>
      <c r="G2225" t="e">
        <f>VLOOKUP(Tabelle8[[#This Row],[Rank]],Stammdaten[[Rank Verteilung D Mitte mit Rinde]:[Verteilung D Mitte mit Rinde]],2,FALSE)</f>
        <v>#N/A</v>
      </c>
      <c r="L2225">
        <v>2216</v>
      </c>
      <c r="M2225" t="e">
        <f>INDEX(Stammdaten[Abholzigkeit (mm/lfm)],MATCH(Tabelle9[[#This Row],[Rank]],Stammdaten[Rank Verteilung Abholzigkeit],0))</f>
        <v>#N/A</v>
      </c>
      <c r="N2225" t="e">
        <f>VLOOKUP(Tabelle9[[#This Row],[Rank]],Stammdaten[[Rank Verteilung Abholzigkeit]:[Verteilung Abholzigkeit]],2,FALSE)</f>
        <v>#N/A</v>
      </c>
      <c r="S2225">
        <v>2216</v>
      </c>
      <c r="T2225" t="e">
        <f>INDEX(Stammdaten[Krümmung (mm/lfm)],MATCH(Tabelle10[[#This Row],[Rank]],Stammdaten[Rank Verteilung Krümmung],0))</f>
        <v>#N/A</v>
      </c>
      <c r="U2225" t="e">
        <f>VLOOKUP(Tabelle10[[#This Row],[Rank]],Stammdaten[[Rank Verteilung Krümmung]:[Verteilung Krümmung]],2,FALSE)</f>
        <v>#N/A</v>
      </c>
      <c r="Z2225">
        <v>2216</v>
      </c>
      <c r="AA2225" t="e">
        <f>INDEX(Stammdaten[Ovalität (']0,1'])],MATCH(Tabelle1014[[#This Row],[Rank]],Stammdaten[Rank Verteilung Ovalität],0))</f>
        <v>#N/A</v>
      </c>
      <c r="AB2225" t="e">
        <f>VLOOKUP(Tabelle1014[[#This Row],[Rank]],Stammdaten[[Rank Verteilung Ovalität]:[Verteilung Ovalität]],2,FALSE)</f>
        <v>#N/A</v>
      </c>
    </row>
    <row r="2226" spans="5:28" x14ac:dyDescent="0.35">
      <c r="E2226">
        <v>2217</v>
      </c>
      <c r="F2226" t="e">
        <f>INDEX(Stammdaten[D Mitte mit Rinde (mm)],MATCH(Tabelle8[[#This Row],[Rank]],Stammdaten[Rank Verteilung D Mitte mit Rinde],0))</f>
        <v>#N/A</v>
      </c>
      <c r="G2226" t="e">
        <f>VLOOKUP(Tabelle8[[#This Row],[Rank]],Stammdaten[[Rank Verteilung D Mitte mit Rinde]:[Verteilung D Mitte mit Rinde]],2,FALSE)</f>
        <v>#N/A</v>
      </c>
      <c r="L2226">
        <v>2217</v>
      </c>
      <c r="M2226" t="e">
        <f>INDEX(Stammdaten[Abholzigkeit (mm/lfm)],MATCH(Tabelle9[[#This Row],[Rank]],Stammdaten[Rank Verteilung Abholzigkeit],0))</f>
        <v>#N/A</v>
      </c>
      <c r="N2226" t="e">
        <f>VLOOKUP(Tabelle9[[#This Row],[Rank]],Stammdaten[[Rank Verteilung Abholzigkeit]:[Verteilung Abholzigkeit]],2,FALSE)</f>
        <v>#N/A</v>
      </c>
      <c r="S2226">
        <v>2217</v>
      </c>
      <c r="T2226" t="e">
        <f>INDEX(Stammdaten[Krümmung (mm/lfm)],MATCH(Tabelle10[[#This Row],[Rank]],Stammdaten[Rank Verteilung Krümmung],0))</f>
        <v>#N/A</v>
      </c>
      <c r="U2226" t="e">
        <f>VLOOKUP(Tabelle10[[#This Row],[Rank]],Stammdaten[[Rank Verteilung Krümmung]:[Verteilung Krümmung]],2,FALSE)</f>
        <v>#N/A</v>
      </c>
      <c r="Z2226">
        <v>2217</v>
      </c>
      <c r="AA2226" t="e">
        <f>INDEX(Stammdaten[Ovalität (']0,1'])],MATCH(Tabelle1014[[#This Row],[Rank]],Stammdaten[Rank Verteilung Ovalität],0))</f>
        <v>#N/A</v>
      </c>
      <c r="AB2226" t="e">
        <f>VLOOKUP(Tabelle1014[[#This Row],[Rank]],Stammdaten[[Rank Verteilung Ovalität]:[Verteilung Ovalität]],2,FALSE)</f>
        <v>#N/A</v>
      </c>
    </row>
    <row r="2227" spans="5:28" x14ac:dyDescent="0.35">
      <c r="E2227">
        <v>2218</v>
      </c>
      <c r="F2227" t="e">
        <f>INDEX(Stammdaten[D Mitte mit Rinde (mm)],MATCH(Tabelle8[[#This Row],[Rank]],Stammdaten[Rank Verteilung D Mitte mit Rinde],0))</f>
        <v>#N/A</v>
      </c>
      <c r="G2227" t="e">
        <f>VLOOKUP(Tabelle8[[#This Row],[Rank]],Stammdaten[[Rank Verteilung D Mitte mit Rinde]:[Verteilung D Mitte mit Rinde]],2,FALSE)</f>
        <v>#N/A</v>
      </c>
      <c r="L2227">
        <v>2218</v>
      </c>
      <c r="M2227" t="e">
        <f>INDEX(Stammdaten[Abholzigkeit (mm/lfm)],MATCH(Tabelle9[[#This Row],[Rank]],Stammdaten[Rank Verteilung Abholzigkeit],0))</f>
        <v>#N/A</v>
      </c>
      <c r="N2227" t="e">
        <f>VLOOKUP(Tabelle9[[#This Row],[Rank]],Stammdaten[[Rank Verteilung Abholzigkeit]:[Verteilung Abholzigkeit]],2,FALSE)</f>
        <v>#N/A</v>
      </c>
      <c r="S2227">
        <v>2218</v>
      </c>
      <c r="T2227" t="e">
        <f>INDEX(Stammdaten[Krümmung (mm/lfm)],MATCH(Tabelle10[[#This Row],[Rank]],Stammdaten[Rank Verteilung Krümmung],0))</f>
        <v>#N/A</v>
      </c>
      <c r="U2227" t="e">
        <f>VLOOKUP(Tabelle10[[#This Row],[Rank]],Stammdaten[[Rank Verteilung Krümmung]:[Verteilung Krümmung]],2,FALSE)</f>
        <v>#N/A</v>
      </c>
      <c r="Z2227">
        <v>2218</v>
      </c>
      <c r="AA2227" t="e">
        <f>INDEX(Stammdaten[Ovalität (']0,1'])],MATCH(Tabelle1014[[#This Row],[Rank]],Stammdaten[Rank Verteilung Ovalität],0))</f>
        <v>#N/A</v>
      </c>
      <c r="AB2227" t="e">
        <f>VLOOKUP(Tabelle1014[[#This Row],[Rank]],Stammdaten[[Rank Verteilung Ovalität]:[Verteilung Ovalität]],2,FALSE)</f>
        <v>#N/A</v>
      </c>
    </row>
    <row r="2228" spans="5:28" x14ac:dyDescent="0.35">
      <c r="E2228">
        <v>2219</v>
      </c>
      <c r="F2228" t="e">
        <f>INDEX(Stammdaten[D Mitte mit Rinde (mm)],MATCH(Tabelle8[[#This Row],[Rank]],Stammdaten[Rank Verteilung D Mitte mit Rinde],0))</f>
        <v>#N/A</v>
      </c>
      <c r="G2228" t="e">
        <f>VLOOKUP(Tabelle8[[#This Row],[Rank]],Stammdaten[[Rank Verteilung D Mitte mit Rinde]:[Verteilung D Mitte mit Rinde]],2,FALSE)</f>
        <v>#N/A</v>
      </c>
      <c r="L2228">
        <v>2219</v>
      </c>
      <c r="M2228" t="e">
        <f>INDEX(Stammdaten[Abholzigkeit (mm/lfm)],MATCH(Tabelle9[[#This Row],[Rank]],Stammdaten[Rank Verteilung Abholzigkeit],0))</f>
        <v>#N/A</v>
      </c>
      <c r="N2228" t="e">
        <f>VLOOKUP(Tabelle9[[#This Row],[Rank]],Stammdaten[[Rank Verteilung Abholzigkeit]:[Verteilung Abholzigkeit]],2,FALSE)</f>
        <v>#N/A</v>
      </c>
      <c r="S2228">
        <v>2219</v>
      </c>
      <c r="T2228" t="e">
        <f>INDEX(Stammdaten[Krümmung (mm/lfm)],MATCH(Tabelle10[[#This Row],[Rank]],Stammdaten[Rank Verteilung Krümmung],0))</f>
        <v>#N/A</v>
      </c>
      <c r="U2228" t="e">
        <f>VLOOKUP(Tabelle10[[#This Row],[Rank]],Stammdaten[[Rank Verteilung Krümmung]:[Verteilung Krümmung]],2,FALSE)</f>
        <v>#N/A</v>
      </c>
      <c r="Z2228">
        <v>2219</v>
      </c>
      <c r="AA2228" t="e">
        <f>INDEX(Stammdaten[Ovalität (']0,1'])],MATCH(Tabelle1014[[#This Row],[Rank]],Stammdaten[Rank Verteilung Ovalität],0))</f>
        <v>#N/A</v>
      </c>
      <c r="AB2228" t="e">
        <f>VLOOKUP(Tabelle1014[[#This Row],[Rank]],Stammdaten[[Rank Verteilung Ovalität]:[Verteilung Ovalität]],2,FALSE)</f>
        <v>#N/A</v>
      </c>
    </row>
    <row r="2229" spans="5:28" x14ac:dyDescent="0.35">
      <c r="E2229">
        <v>2220</v>
      </c>
      <c r="F2229" t="e">
        <f>INDEX(Stammdaten[D Mitte mit Rinde (mm)],MATCH(Tabelle8[[#This Row],[Rank]],Stammdaten[Rank Verteilung D Mitte mit Rinde],0))</f>
        <v>#N/A</v>
      </c>
      <c r="G2229" t="e">
        <f>VLOOKUP(Tabelle8[[#This Row],[Rank]],Stammdaten[[Rank Verteilung D Mitte mit Rinde]:[Verteilung D Mitte mit Rinde]],2,FALSE)</f>
        <v>#N/A</v>
      </c>
      <c r="L2229">
        <v>2220</v>
      </c>
      <c r="M2229" t="e">
        <f>INDEX(Stammdaten[Abholzigkeit (mm/lfm)],MATCH(Tabelle9[[#This Row],[Rank]],Stammdaten[Rank Verteilung Abholzigkeit],0))</f>
        <v>#N/A</v>
      </c>
      <c r="N2229" t="e">
        <f>VLOOKUP(Tabelle9[[#This Row],[Rank]],Stammdaten[[Rank Verteilung Abholzigkeit]:[Verteilung Abholzigkeit]],2,FALSE)</f>
        <v>#N/A</v>
      </c>
      <c r="S2229">
        <v>2220</v>
      </c>
      <c r="T2229" t="e">
        <f>INDEX(Stammdaten[Krümmung (mm/lfm)],MATCH(Tabelle10[[#This Row],[Rank]],Stammdaten[Rank Verteilung Krümmung],0))</f>
        <v>#N/A</v>
      </c>
      <c r="U2229" t="e">
        <f>VLOOKUP(Tabelle10[[#This Row],[Rank]],Stammdaten[[Rank Verteilung Krümmung]:[Verteilung Krümmung]],2,FALSE)</f>
        <v>#N/A</v>
      </c>
      <c r="Z2229">
        <v>2220</v>
      </c>
      <c r="AA2229" t="e">
        <f>INDEX(Stammdaten[Ovalität (']0,1'])],MATCH(Tabelle1014[[#This Row],[Rank]],Stammdaten[Rank Verteilung Ovalität],0))</f>
        <v>#N/A</v>
      </c>
      <c r="AB2229" t="e">
        <f>VLOOKUP(Tabelle1014[[#This Row],[Rank]],Stammdaten[[Rank Verteilung Ovalität]:[Verteilung Ovalität]],2,FALSE)</f>
        <v>#N/A</v>
      </c>
    </row>
    <row r="2230" spans="5:28" x14ac:dyDescent="0.35">
      <c r="E2230">
        <v>2221</v>
      </c>
      <c r="F2230" t="e">
        <f>INDEX(Stammdaten[D Mitte mit Rinde (mm)],MATCH(Tabelle8[[#This Row],[Rank]],Stammdaten[Rank Verteilung D Mitte mit Rinde],0))</f>
        <v>#N/A</v>
      </c>
      <c r="G2230" t="e">
        <f>VLOOKUP(Tabelle8[[#This Row],[Rank]],Stammdaten[[Rank Verteilung D Mitte mit Rinde]:[Verteilung D Mitte mit Rinde]],2,FALSE)</f>
        <v>#N/A</v>
      </c>
      <c r="L2230">
        <v>2221</v>
      </c>
      <c r="M2230" t="e">
        <f>INDEX(Stammdaten[Abholzigkeit (mm/lfm)],MATCH(Tabelle9[[#This Row],[Rank]],Stammdaten[Rank Verteilung Abholzigkeit],0))</f>
        <v>#N/A</v>
      </c>
      <c r="N2230" t="e">
        <f>VLOOKUP(Tabelle9[[#This Row],[Rank]],Stammdaten[[Rank Verteilung Abholzigkeit]:[Verteilung Abholzigkeit]],2,FALSE)</f>
        <v>#N/A</v>
      </c>
      <c r="S2230">
        <v>2221</v>
      </c>
      <c r="T2230" t="e">
        <f>INDEX(Stammdaten[Krümmung (mm/lfm)],MATCH(Tabelle10[[#This Row],[Rank]],Stammdaten[Rank Verteilung Krümmung],0))</f>
        <v>#N/A</v>
      </c>
      <c r="U2230" t="e">
        <f>VLOOKUP(Tabelle10[[#This Row],[Rank]],Stammdaten[[Rank Verteilung Krümmung]:[Verteilung Krümmung]],2,FALSE)</f>
        <v>#N/A</v>
      </c>
      <c r="Z2230">
        <v>2221</v>
      </c>
      <c r="AA2230" t="e">
        <f>INDEX(Stammdaten[Ovalität (']0,1'])],MATCH(Tabelle1014[[#This Row],[Rank]],Stammdaten[Rank Verteilung Ovalität],0))</f>
        <v>#N/A</v>
      </c>
      <c r="AB2230" t="e">
        <f>VLOOKUP(Tabelle1014[[#This Row],[Rank]],Stammdaten[[Rank Verteilung Ovalität]:[Verteilung Ovalität]],2,FALSE)</f>
        <v>#N/A</v>
      </c>
    </row>
    <row r="2231" spans="5:28" x14ac:dyDescent="0.35">
      <c r="E2231">
        <v>2222</v>
      </c>
      <c r="F2231" t="e">
        <f>INDEX(Stammdaten[D Mitte mit Rinde (mm)],MATCH(Tabelle8[[#This Row],[Rank]],Stammdaten[Rank Verteilung D Mitte mit Rinde],0))</f>
        <v>#N/A</v>
      </c>
      <c r="G2231" t="e">
        <f>VLOOKUP(Tabelle8[[#This Row],[Rank]],Stammdaten[[Rank Verteilung D Mitte mit Rinde]:[Verteilung D Mitte mit Rinde]],2,FALSE)</f>
        <v>#N/A</v>
      </c>
      <c r="L2231">
        <v>2222</v>
      </c>
      <c r="M2231" t="e">
        <f>INDEX(Stammdaten[Abholzigkeit (mm/lfm)],MATCH(Tabelle9[[#This Row],[Rank]],Stammdaten[Rank Verteilung Abholzigkeit],0))</f>
        <v>#N/A</v>
      </c>
      <c r="N2231" t="e">
        <f>VLOOKUP(Tabelle9[[#This Row],[Rank]],Stammdaten[[Rank Verteilung Abholzigkeit]:[Verteilung Abholzigkeit]],2,FALSE)</f>
        <v>#N/A</v>
      </c>
      <c r="S2231">
        <v>2222</v>
      </c>
      <c r="T2231" t="e">
        <f>INDEX(Stammdaten[Krümmung (mm/lfm)],MATCH(Tabelle10[[#This Row],[Rank]],Stammdaten[Rank Verteilung Krümmung],0))</f>
        <v>#N/A</v>
      </c>
      <c r="U2231" t="e">
        <f>VLOOKUP(Tabelle10[[#This Row],[Rank]],Stammdaten[[Rank Verteilung Krümmung]:[Verteilung Krümmung]],2,FALSE)</f>
        <v>#N/A</v>
      </c>
      <c r="Z2231">
        <v>2222</v>
      </c>
      <c r="AA2231" t="e">
        <f>INDEX(Stammdaten[Ovalität (']0,1'])],MATCH(Tabelle1014[[#This Row],[Rank]],Stammdaten[Rank Verteilung Ovalität],0))</f>
        <v>#N/A</v>
      </c>
      <c r="AB2231" t="e">
        <f>VLOOKUP(Tabelle1014[[#This Row],[Rank]],Stammdaten[[Rank Verteilung Ovalität]:[Verteilung Ovalität]],2,FALSE)</f>
        <v>#N/A</v>
      </c>
    </row>
    <row r="2232" spans="5:28" x14ac:dyDescent="0.35">
      <c r="E2232">
        <v>2223</v>
      </c>
      <c r="F2232" t="e">
        <f>INDEX(Stammdaten[D Mitte mit Rinde (mm)],MATCH(Tabelle8[[#This Row],[Rank]],Stammdaten[Rank Verteilung D Mitte mit Rinde],0))</f>
        <v>#N/A</v>
      </c>
      <c r="G2232" t="e">
        <f>VLOOKUP(Tabelle8[[#This Row],[Rank]],Stammdaten[[Rank Verteilung D Mitte mit Rinde]:[Verteilung D Mitte mit Rinde]],2,FALSE)</f>
        <v>#N/A</v>
      </c>
      <c r="L2232">
        <v>2223</v>
      </c>
      <c r="M2232" t="e">
        <f>INDEX(Stammdaten[Abholzigkeit (mm/lfm)],MATCH(Tabelle9[[#This Row],[Rank]],Stammdaten[Rank Verteilung Abholzigkeit],0))</f>
        <v>#N/A</v>
      </c>
      <c r="N2232" t="e">
        <f>VLOOKUP(Tabelle9[[#This Row],[Rank]],Stammdaten[[Rank Verteilung Abholzigkeit]:[Verteilung Abholzigkeit]],2,FALSE)</f>
        <v>#N/A</v>
      </c>
      <c r="S2232">
        <v>2223</v>
      </c>
      <c r="T2232" t="e">
        <f>INDEX(Stammdaten[Krümmung (mm/lfm)],MATCH(Tabelle10[[#This Row],[Rank]],Stammdaten[Rank Verteilung Krümmung],0))</f>
        <v>#N/A</v>
      </c>
      <c r="U2232" t="e">
        <f>VLOOKUP(Tabelle10[[#This Row],[Rank]],Stammdaten[[Rank Verteilung Krümmung]:[Verteilung Krümmung]],2,FALSE)</f>
        <v>#N/A</v>
      </c>
      <c r="Z2232">
        <v>2223</v>
      </c>
      <c r="AA2232" t="e">
        <f>INDEX(Stammdaten[Ovalität (']0,1'])],MATCH(Tabelle1014[[#This Row],[Rank]],Stammdaten[Rank Verteilung Ovalität],0))</f>
        <v>#N/A</v>
      </c>
      <c r="AB2232" t="e">
        <f>VLOOKUP(Tabelle1014[[#This Row],[Rank]],Stammdaten[[Rank Verteilung Ovalität]:[Verteilung Ovalität]],2,FALSE)</f>
        <v>#N/A</v>
      </c>
    </row>
    <row r="2233" spans="5:28" x14ac:dyDescent="0.35">
      <c r="E2233">
        <v>2224</v>
      </c>
      <c r="F2233" t="e">
        <f>INDEX(Stammdaten[D Mitte mit Rinde (mm)],MATCH(Tabelle8[[#This Row],[Rank]],Stammdaten[Rank Verteilung D Mitte mit Rinde],0))</f>
        <v>#N/A</v>
      </c>
      <c r="G2233" t="e">
        <f>VLOOKUP(Tabelle8[[#This Row],[Rank]],Stammdaten[[Rank Verteilung D Mitte mit Rinde]:[Verteilung D Mitte mit Rinde]],2,FALSE)</f>
        <v>#N/A</v>
      </c>
      <c r="L2233">
        <v>2224</v>
      </c>
      <c r="M2233" t="e">
        <f>INDEX(Stammdaten[Abholzigkeit (mm/lfm)],MATCH(Tabelle9[[#This Row],[Rank]],Stammdaten[Rank Verteilung Abholzigkeit],0))</f>
        <v>#N/A</v>
      </c>
      <c r="N2233" t="e">
        <f>VLOOKUP(Tabelle9[[#This Row],[Rank]],Stammdaten[[Rank Verteilung Abholzigkeit]:[Verteilung Abholzigkeit]],2,FALSE)</f>
        <v>#N/A</v>
      </c>
      <c r="S2233">
        <v>2224</v>
      </c>
      <c r="T2233" t="e">
        <f>INDEX(Stammdaten[Krümmung (mm/lfm)],MATCH(Tabelle10[[#This Row],[Rank]],Stammdaten[Rank Verteilung Krümmung],0))</f>
        <v>#N/A</v>
      </c>
      <c r="U2233" t="e">
        <f>VLOOKUP(Tabelle10[[#This Row],[Rank]],Stammdaten[[Rank Verteilung Krümmung]:[Verteilung Krümmung]],2,FALSE)</f>
        <v>#N/A</v>
      </c>
      <c r="Z2233">
        <v>2224</v>
      </c>
      <c r="AA2233" t="e">
        <f>INDEX(Stammdaten[Ovalität (']0,1'])],MATCH(Tabelle1014[[#This Row],[Rank]],Stammdaten[Rank Verteilung Ovalität],0))</f>
        <v>#N/A</v>
      </c>
      <c r="AB2233" t="e">
        <f>VLOOKUP(Tabelle1014[[#This Row],[Rank]],Stammdaten[[Rank Verteilung Ovalität]:[Verteilung Ovalität]],2,FALSE)</f>
        <v>#N/A</v>
      </c>
    </row>
    <row r="2234" spans="5:28" x14ac:dyDescent="0.35">
      <c r="E2234">
        <v>2225</v>
      </c>
      <c r="F2234" t="e">
        <f>INDEX(Stammdaten[D Mitte mit Rinde (mm)],MATCH(Tabelle8[[#This Row],[Rank]],Stammdaten[Rank Verteilung D Mitte mit Rinde],0))</f>
        <v>#N/A</v>
      </c>
      <c r="G2234" t="e">
        <f>VLOOKUP(Tabelle8[[#This Row],[Rank]],Stammdaten[[Rank Verteilung D Mitte mit Rinde]:[Verteilung D Mitte mit Rinde]],2,FALSE)</f>
        <v>#N/A</v>
      </c>
      <c r="L2234">
        <v>2225</v>
      </c>
      <c r="M2234" t="e">
        <f>INDEX(Stammdaten[Abholzigkeit (mm/lfm)],MATCH(Tabelle9[[#This Row],[Rank]],Stammdaten[Rank Verteilung Abholzigkeit],0))</f>
        <v>#N/A</v>
      </c>
      <c r="N2234" t="e">
        <f>VLOOKUP(Tabelle9[[#This Row],[Rank]],Stammdaten[[Rank Verteilung Abholzigkeit]:[Verteilung Abholzigkeit]],2,FALSE)</f>
        <v>#N/A</v>
      </c>
      <c r="S2234">
        <v>2225</v>
      </c>
      <c r="T2234" t="e">
        <f>INDEX(Stammdaten[Krümmung (mm/lfm)],MATCH(Tabelle10[[#This Row],[Rank]],Stammdaten[Rank Verteilung Krümmung],0))</f>
        <v>#N/A</v>
      </c>
      <c r="U2234" t="e">
        <f>VLOOKUP(Tabelle10[[#This Row],[Rank]],Stammdaten[[Rank Verteilung Krümmung]:[Verteilung Krümmung]],2,FALSE)</f>
        <v>#N/A</v>
      </c>
      <c r="Z2234">
        <v>2225</v>
      </c>
      <c r="AA2234" t="e">
        <f>INDEX(Stammdaten[Ovalität (']0,1'])],MATCH(Tabelle1014[[#This Row],[Rank]],Stammdaten[Rank Verteilung Ovalität],0))</f>
        <v>#N/A</v>
      </c>
      <c r="AB2234" t="e">
        <f>VLOOKUP(Tabelle1014[[#This Row],[Rank]],Stammdaten[[Rank Verteilung Ovalität]:[Verteilung Ovalität]],2,FALSE)</f>
        <v>#N/A</v>
      </c>
    </row>
    <row r="2235" spans="5:28" x14ac:dyDescent="0.35">
      <c r="E2235">
        <v>2226</v>
      </c>
      <c r="F2235" t="e">
        <f>INDEX(Stammdaten[D Mitte mit Rinde (mm)],MATCH(Tabelle8[[#This Row],[Rank]],Stammdaten[Rank Verteilung D Mitte mit Rinde],0))</f>
        <v>#N/A</v>
      </c>
      <c r="G2235" t="e">
        <f>VLOOKUP(Tabelle8[[#This Row],[Rank]],Stammdaten[[Rank Verteilung D Mitte mit Rinde]:[Verteilung D Mitte mit Rinde]],2,FALSE)</f>
        <v>#N/A</v>
      </c>
      <c r="L2235">
        <v>2226</v>
      </c>
      <c r="M2235" t="e">
        <f>INDEX(Stammdaten[Abholzigkeit (mm/lfm)],MATCH(Tabelle9[[#This Row],[Rank]],Stammdaten[Rank Verteilung Abholzigkeit],0))</f>
        <v>#N/A</v>
      </c>
      <c r="N2235" t="e">
        <f>VLOOKUP(Tabelle9[[#This Row],[Rank]],Stammdaten[[Rank Verteilung Abholzigkeit]:[Verteilung Abholzigkeit]],2,FALSE)</f>
        <v>#N/A</v>
      </c>
      <c r="S2235">
        <v>2226</v>
      </c>
      <c r="T2235" t="e">
        <f>INDEX(Stammdaten[Krümmung (mm/lfm)],MATCH(Tabelle10[[#This Row],[Rank]],Stammdaten[Rank Verteilung Krümmung],0))</f>
        <v>#N/A</v>
      </c>
      <c r="U2235" t="e">
        <f>VLOOKUP(Tabelle10[[#This Row],[Rank]],Stammdaten[[Rank Verteilung Krümmung]:[Verteilung Krümmung]],2,FALSE)</f>
        <v>#N/A</v>
      </c>
      <c r="Z2235">
        <v>2226</v>
      </c>
      <c r="AA2235" t="e">
        <f>INDEX(Stammdaten[Ovalität (']0,1'])],MATCH(Tabelle1014[[#This Row],[Rank]],Stammdaten[Rank Verteilung Ovalität],0))</f>
        <v>#N/A</v>
      </c>
      <c r="AB2235" t="e">
        <f>VLOOKUP(Tabelle1014[[#This Row],[Rank]],Stammdaten[[Rank Verteilung Ovalität]:[Verteilung Ovalität]],2,FALSE)</f>
        <v>#N/A</v>
      </c>
    </row>
    <row r="2236" spans="5:28" x14ac:dyDescent="0.35">
      <c r="E2236">
        <v>2227</v>
      </c>
      <c r="F2236" t="e">
        <f>INDEX(Stammdaten[D Mitte mit Rinde (mm)],MATCH(Tabelle8[[#This Row],[Rank]],Stammdaten[Rank Verteilung D Mitte mit Rinde],0))</f>
        <v>#N/A</v>
      </c>
      <c r="G2236" t="e">
        <f>VLOOKUP(Tabelle8[[#This Row],[Rank]],Stammdaten[[Rank Verteilung D Mitte mit Rinde]:[Verteilung D Mitte mit Rinde]],2,FALSE)</f>
        <v>#N/A</v>
      </c>
      <c r="L2236">
        <v>2227</v>
      </c>
      <c r="M2236" t="e">
        <f>INDEX(Stammdaten[Abholzigkeit (mm/lfm)],MATCH(Tabelle9[[#This Row],[Rank]],Stammdaten[Rank Verteilung Abholzigkeit],0))</f>
        <v>#N/A</v>
      </c>
      <c r="N2236" t="e">
        <f>VLOOKUP(Tabelle9[[#This Row],[Rank]],Stammdaten[[Rank Verteilung Abholzigkeit]:[Verteilung Abholzigkeit]],2,FALSE)</f>
        <v>#N/A</v>
      </c>
      <c r="S2236">
        <v>2227</v>
      </c>
      <c r="T2236" t="e">
        <f>INDEX(Stammdaten[Krümmung (mm/lfm)],MATCH(Tabelle10[[#This Row],[Rank]],Stammdaten[Rank Verteilung Krümmung],0))</f>
        <v>#N/A</v>
      </c>
      <c r="U2236" t="e">
        <f>VLOOKUP(Tabelle10[[#This Row],[Rank]],Stammdaten[[Rank Verteilung Krümmung]:[Verteilung Krümmung]],2,FALSE)</f>
        <v>#N/A</v>
      </c>
      <c r="Z2236">
        <v>2227</v>
      </c>
      <c r="AA2236" t="e">
        <f>INDEX(Stammdaten[Ovalität (']0,1'])],MATCH(Tabelle1014[[#This Row],[Rank]],Stammdaten[Rank Verteilung Ovalität],0))</f>
        <v>#N/A</v>
      </c>
      <c r="AB2236" t="e">
        <f>VLOOKUP(Tabelle1014[[#This Row],[Rank]],Stammdaten[[Rank Verteilung Ovalität]:[Verteilung Ovalität]],2,FALSE)</f>
        <v>#N/A</v>
      </c>
    </row>
    <row r="2237" spans="5:28" x14ac:dyDescent="0.35">
      <c r="E2237">
        <v>2228</v>
      </c>
      <c r="F2237" t="e">
        <f>INDEX(Stammdaten[D Mitte mit Rinde (mm)],MATCH(Tabelle8[[#This Row],[Rank]],Stammdaten[Rank Verteilung D Mitte mit Rinde],0))</f>
        <v>#N/A</v>
      </c>
      <c r="G2237" t="e">
        <f>VLOOKUP(Tabelle8[[#This Row],[Rank]],Stammdaten[[Rank Verteilung D Mitte mit Rinde]:[Verteilung D Mitte mit Rinde]],2,FALSE)</f>
        <v>#N/A</v>
      </c>
      <c r="L2237">
        <v>2228</v>
      </c>
      <c r="M2237" t="e">
        <f>INDEX(Stammdaten[Abholzigkeit (mm/lfm)],MATCH(Tabelle9[[#This Row],[Rank]],Stammdaten[Rank Verteilung Abholzigkeit],0))</f>
        <v>#N/A</v>
      </c>
      <c r="N2237" t="e">
        <f>VLOOKUP(Tabelle9[[#This Row],[Rank]],Stammdaten[[Rank Verteilung Abholzigkeit]:[Verteilung Abholzigkeit]],2,FALSE)</f>
        <v>#N/A</v>
      </c>
      <c r="S2237">
        <v>2228</v>
      </c>
      <c r="T2237" t="e">
        <f>INDEX(Stammdaten[Krümmung (mm/lfm)],MATCH(Tabelle10[[#This Row],[Rank]],Stammdaten[Rank Verteilung Krümmung],0))</f>
        <v>#N/A</v>
      </c>
      <c r="U2237" t="e">
        <f>VLOOKUP(Tabelle10[[#This Row],[Rank]],Stammdaten[[Rank Verteilung Krümmung]:[Verteilung Krümmung]],2,FALSE)</f>
        <v>#N/A</v>
      </c>
      <c r="Z2237">
        <v>2228</v>
      </c>
      <c r="AA2237" t="e">
        <f>INDEX(Stammdaten[Ovalität (']0,1'])],MATCH(Tabelle1014[[#This Row],[Rank]],Stammdaten[Rank Verteilung Ovalität],0))</f>
        <v>#N/A</v>
      </c>
      <c r="AB2237" t="e">
        <f>VLOOKUP(Tabelle1014[[#This Row],[Rank]],Stammdaten[[Rank Verteilung Ovalität]:[Verteilung Ovalität]],2,FALSE)</f>
        <v>#N/A</v>
      </c>
    </row>
    <row r="2238" spans="5:28" x14ac:dyDescent="0.35">
      <c r="E2238">
        <v>2229</v>
      </c>
      <c r="F2238" t="e">
        <f>INDEX(Stammdaten[D Mitte mit Rinde (mm)],MATCH(Tabelle8[[#This Row],[Rank]],Stammdaten[Rank Verteilung D Mitte mit Rinde],0))</f>
        <v>#N/A</v>
      </c>
      <c r="G2238" t="e">
        <f>VLOOKUP(Tabelle8[[#This Row],[Rank]],Stammdaten[[Rank Verteilung D Mitte mit Rinde]:[Verteilung D Mitte mit Rinde]],2,FALSE)</f>
        <v>#N/A</v>
      </c>
      <c r="L2238">
        <v>2229</v>
      </c>
      <c r="M2238" t="e">
        <f>INDEX(Stammdaten[Abholzigkeit (mm/lfm)],MATCH(Tabelle9[[#This Row],[Rank]],Stammdaten[Rank Verteilung Abholzigkeit],0))</f>
        <v>#N/A</v>
      </c>
      <c r="N2238" t="e">
        <f>VLOOKUP(Tabelle9[[#This Row],[Rank]],Stammdaten[[Rank Verteilung Abholzigkeit]:[Verteilung Abholzigkeit]],2,FALSE)</f>
        <v>#N/A</v>
      </c>
      <c r="S2238">
        <v>2229</v>
      </c>
      <c r="T2238" t="e">
        <f>INDEX(Stammdaten[Krümmung (mm/lfm)],MATCH(Tabelle10[[#This Row],[Rank]],Stammdaten[Rank Verteilung Krümmung],0))</f>
        <v>#N/A</v>
      </c>
      <c r="U2238" t="e">
        <f>VLOOKUP(Tabelle10[[#This Row],[Rank]],Stammdaten[[Rank Verteilung Krümmung]:[Verteilung Krümmung]],2,FALSE)</f>
        <v>#N/A</v>
      </c>
      <c r="Z2238">
        <v>2229</v>
      </c>
      <c r="AA2238" t="e">
        <f>INDEX(Stammdaten[Ovalität (']0,1'])],MATCH(Tabelle1014[[#This Row],[Rank]],Stammdaten[Rank Verteilung Ovalität],0))</f>
        <v>#N/A</v>
      </c>
      <c r="AB2238" t="e">
        <f>VLOOKUP(Tabelle1014[[#This Row],[Rank]],Stammdaten[[Rank Verteilung Ovalität]:[Verteilung Ovalität]],2,FALSE)</f>
        <v>#N/A</v>
      </c>
    </row>
    <row r="2239" spans="5:28" x14ac:dyDescent="0.35">
      <c r="E2239">
        <v>2230</v>
      </c>
      <c r="F2239" t="e">
        <f>INDEX(Stammdaten[D Mitte mit Rinde (mm)],MATCH(Tabelle8[[#This Row],[Rank]],Stammdaten[Rank Verteilung D Mitte mit Rinde],0))</f>
        <v>#N/A</v>
      </c>
      <c r="G2239" t="e">
        <f>VLOOKUP(Tabelle8[[#This Row],[Rank]],Stammdaten[[Rank Verteilung D Mitte mit Rinde]:[Verteilung D Mitte mit Rinde]],2,FALSE)</f>
        <v>#N/A</v>
      </c>
      <c r="L2239">
        <v>2230</v>
      </c>
      <c r="M2239" t="e">
        <f>INDEX(Stammdaten[Abholzigkeit (mm/lfm)],MATCH(Tabelle9[[#This Row],[Rank]],Stammdaten[Rank Verteilung Abholzigkeit],0))</f>
        <v>#N/A</v>
      </c>
      <c r="N2239" t="e">
        <f>VLOOKUP(Tabelle9[[#This Row],[Rank]],Stammdaten[[Rank Verteilung Abholzigkeit]:[Verteilung Abholzigkeit]],2,FALSE)</f>
        <v>#N/A</v>
      </c>
      <c r="S2239">
        <v>2230</v>
      </c>
      <c r="T2239" t="e">
        <f>INDEX(Stammdaten[Krümmung (mm/lfm)],MATCH(Tabelle10[[#This Row],[Rank]],Stammdaten[Rank Verteilung Krümmung],0))</f>
        <v>#N/A</v>
      </c>
      <c r="U2239" t="e">
        <f>VLOOKUP(Tabelle10[[#This Row],[Rank]],Stammdaten[[Rank Verteilung Krümmung]:[Verteilung Krümmung]],2,FALSE)</f>
        <v>#N/A</v>
      </c>
      <c r="Z2239">
        <v>2230</v>
      </c>
      <c r="AA2239" t="e">
        <f>INDEX(Stammdaten[Ovalität (']0,1'])],MATCH(Tabelle1014[[#This Row],[Rank]],Stammdaten[Rank Verteilung Ovalität],0))</f>
        <v>#N/A</v>
      </c>
      <c r="AB2239" t="e">
        <f>VLOOKUP(Tabelle1014[[#This Row],[Rank]],Stammdaten[[Rank Verteilung Ovalität]:[Verteilung Ovalität]],2,FALSE)</f>
        <v>#N/A</v>
      </c>
    </row>
    <row r="2240" spans="5:28" x14ac:dyDescent="0.35">
      <c r="E2240">
        <v>2231</v>
      </c>
      <c r="F2240" t="e">
        <f>INDEX(Stammdaten[D Mitte mit Rinde (mm)],MATCH(Tabelle8[[#This Row],[Rank]],Stammdaten[Rank Verteilung D Mitte mit Rinde],0))</f>
        <v>#N/A</v>
      </c>
      <c r="G2240" t="e">
        <f>VLOOKUP(Tabelle8[[#This Row],[Rank]],Stammdaten[[Rank Verteilung D Mitte mit Rinde]:[Verteilung D Mitte mit Rinde]],2,FALSE)</f>
        <v>#N/A</v>
      </c>
      <c r="L2240">
        <v>2231</v>
      </c>
      <c r="M2240" t="e">
        <f>INDEX(Stammdaten[Abholzigkeit (mm/lfm)],MATCH(Tabelle9[[#This Row],[Rank]],Stammdaten[Rank Verteilung Abholzigkeit],0))</f>
        <v>#N/A</v>
      </c>
      <c r="N2240" t="e">
        <f>VLOOKUP(Tabelle9[[#This Row],[Rank]],Stammdaten[[Rank Verteilung Abholzigkeit]:[Verteilung Abholzigkeit]],2,FALSE)</f>
        <v>#N/A</v>
      </c>
      <c r="S2240">
        <v>2231</v>
      </c>
      <c r="T2240" t="e">
        <f>INDEX(Stammdaten[Krümmung (mm/lfm)],MATCH(Tabelle10[[#This Row],[Rank]],Stammdaten[Rank Verteilung Krümmung],0))</f>
        <v>#N/A</v>
      </c>
      <c r="U2240" t="e">
        <f>VLOOKUP(Tabelle10[[#This Row],[Rank]],Stammdaten[[Rank Verteilung Krümmung]:[Verteilung Krümmung]],2,FALSE)</f>
        <v>#N/A</v>
      </c>
      <c r="Z2240">
        <v>2231</v>
      </c>
      <c r="AA2240" t="e">
        <f>INDEX(Stammdaten[Ovalität (']0,1'])],MATCH(Tabelle1014[[#This Row],[Rank]],Stammdaten[Rank Verteilung Ovalität],0))</f>
        <v>#N/A</v>
      </c>
      <c r="AB2240" t="e">
        <f>VLOOKUP(Tabelle1014[[#This Row],[Rank]],Stammdaten[[Rank Verteilung Ovalität]:[Verteilung Ovalität]],2,FALSE)</f>
        <v>#N/A</v>
      </c>
    </row>
    <row r="2241" spans="5:28" x14ac:dyDescent="0.35">
      <c r="E2241">
        <v>2232</v>
      </c>
      <c r="F2241" t="e">
        <f>INDEX(Stammdaten[D Mitte mit Rinde (mm)],MATCH(Tabelle8[[#This Row],[Rank]],Stammdaten[Rank Verteilung D Mitte mit Rinde],0))</f>
        <v>#N/A</v>
      </c>
      <c r="G2241" t="e">
        <f>VLOOKUP(Tabelle8[[#This Row],[Rank]],Stammdaten[[Rank Verteilung D Mitte mit Rinde]:[Verteilung D Mitte mit Rinde]],2,FALSE)</f>
        <v>#N/A</v>
      </c>
      <c r="L2241">
        <v>2232</v>
      </c>
      <c r="M2241" t="e">
        <f>INDEX(Stammdaten[Abholzigkeit (mm/lfm)],MATCH(Tabelle9[[#This Row],[Rank]],Stammdaten[Rank Verteilung Abholzigkeit],0))</f>
        <v>#N/A</v>
      </c>
      <c r="N2241" t="e">
        <f>VLOOKUP(Tabelle9[[#This Row],[Rank]],Stammdaten[[Rank Verteilung Abholzigkeit]:[Verteilung Abholzigkeit]],2,FALSE)</f>
        <v>#N/A</v>
      </c>
      <c r="S2241">
        <v>2232</v>
      </c>
      <c r="T2241" t="e">
        <f>INDEX(Stammdaten[Krümmung (mm/lfm)],MATCH(Tabelle10[[#This Row],[Rank]],Stammdaten[Rank Verteilung Krümmung],0))</f>
        <v>#N/A</v>
      </c>
      <c r="U2241" t="e">
        <f>VLOOKUP(Tabelle10[[#This Row],[Rank]],Stammdaten[[Rank Verteilung Krümmung]:[Verteilung Krümmung]],2,FALSE)</f>
        <v>#N/A</v>
      </c>
      <c r="Z2241">
        <v>2232</v>
      </c>
      <c r="AA2241" t="e">
        <f>INDEX(Stammdaten[Ovalität (']0,1'])],MATCH(Tabelle1014[[#This Row],[Rank]],Stammdaten[Rank Verteilung Ovalität],0))</f>
        <v>#N/A</v>
      </c>
      <c r="AB2241" t="e">
        <f>VLOOKUP(Tabelle1014[[#This Row],[Rank]],Stammdaten[[Rank Verteilung Ovalität]:[Verteilung Ovalität]],2,FALSE)</f>
        <v>#N/A</v>
      </c>
    </row>
    <row r="2242" spans="5:28" x14ac:dyDescent="0.35">
      <c r="E2242">
        <v>2233</v>
      </c>
      <c r="F2242" t="e">
        <f>INDEX(Stammdaten[D Mitte mit Rinde (mm)],MATCH(Tabelle8[[#This Row],[Rank]],Stammdaten[Rank Verteilung D Mitte mit Rinde],0))</f>
        <v>#N/A</v>
      </c>
      <c r="G2242" t="e">
        <f>VLOOKUP(Tabelle8[[#This Row],[Rank]],Stammdaten[[Rank Verteilung D Mitte mit Rinde]:[Verteilung D Mitte mit Rinde]],2,FALSE)</f>
        <v>#N/A</v>
      </c>
      <c r="L2242">
        <v>2233</v>
      </c>
      <c r="M2242" t="e">
        <f>INDEX(Stammdaten[Abholzigkeit (mm/lfm)],MATCH(Tabelle9[[#This Row],[Rank]],Stammdaten[Rank Verteilung Abholzigkeit],0))</f>
        <v>#N/A</v>
      </c>
      <c r="N2242" t="e">
        <f>VLOOKUP(Tabelle9[[#This Row],[Rank]],Stammdaten[[Rank Verteilung Abholzigkeit]:[Verteilung Abholzigkeit]],2,FALSE)</f>
        <v>#N/A</v>
      </c>
      <c r="S2242">
        <v>2233</v>
      </c>
      <c r="T2242" t="e">
        <f>INDEX(Stammdaten[Krümmung (mm/lfm)],MATCH(Tabelle10[[#This Row],[Rank]],Stammdaten[Rank Verteilung Krümmung],0))</f>
        <v>#N/A</v>
      </c>
      <c r="U2242" t="e">
        <f>VLOOKUP(Tabelle10[[#This Row],[Rank]],Stammdaten[[Rank Verteilung Krümmung]:[Verteilung Krümmung]],2,FALSE)</f>
        <v>#N/A</v>
      </c>
      <c r="Z2242">
        <v>2233</v>
      </c>
      <c r="AA2242" t="e">
        <f>INDEX(Stammdaten[Ovalität (']0,1'])],MATCH(Tabelle1014[[#This Row],[Rank]],Stammdaten[Rank Verteilung Ovalität],0))</f>
        <v>#N/A</v>
      </c>
      <c r="AB2242" t="e">
        <f>VLOOKUP(Tabelle1014[[#This Row],[Rank]],Stammdaten[[Rank Verteilung Ovalität]:[Verteilung Ovalität]],2,FALSE)</f>
        <v>#N/A</v>
      </c>
    </row>
    <row r="2243" spans="5:28" x14ac:dyDescent="0.35">
      <c r="E2243">
        <v>2234</v>
      </c>
      <c r="F2243" t="e">
        <f>INDEX(Stammdaten[D Mitte mit Rinde (mm)],MATCH(Tabelle8[[#This Row],[Rank]],Stammdaten[Rank Verteilung D Mitte mit Rinde],0))</f>
        <v>#N/A</v>
      </c>
      <c r="G2243" t="e">
        <f>VLOOKUP(Tabelle8[[#This Row],[Rank]],Stammdaten[[Rank Verteilung D Mitte mit Rinde]:[Verteilung D Mitte mit Rinde]],2,FALSE)</f>
        <v>#N/A</v>
      </c>
      <c r="L2243">
        <v>2234</v>
      </c>
      <c r="M2243" t="e">
        <f>INDEX(Stammdaten[Abholzigkeit (mm/lfm)],MATCH(Tabelle9[[#This Row],[Rank]],Stammdaten[Rank Verteilung Abholzigkeit],0))</f>
        <v>#N/A</v>
      </c>
      <c r="N2243" t="e">
        <f>VLOOKUP(Tabelle9[[#This Row],[Rank]],Stammdaten[[Rank Verteilung Abholzigkeit]:[Verteilung Abholzigkeit]],2,FALSE)</f>
        <v>#N/A</v>
      </c>
      <c r="S2243">
        <v>2234</v>
      </c>
      <c r="T2243" t="e">
        <f>INDEX(Stammdaten[Krümmung (mm/lfm)],MATCH(Tabelle10[[#This Row],[Rank]],Stammdaten[Rank Verteilung Krümmung],0))</f>
        <v>#N/A</v>
      </c>
      <c r="U2243" t="e">
        <f>VLOOKUP(Tabelle10[[#This Row],[Rank]],Stammdaten[[Rank Verteilung Krümmung]:[Verteilung Krümmung]],2,FALSE)</f>
        <v>#N/A</v>
      </c>
      <c r="Z2243">
        <v>2234</v>
      </c>
      <c r="AA2243" t="e">
        <f>INDEX(Stammdaten[Ovalität (']0,1'])],MATCH(Tabelle1014[[#This Row],[Rank]],Stammdaten[Rank Verteilung Ovalität],0))</f>
        <v>#N/A</v>
      </c>
      <c r="AB2243" t="e">
        <f>VLOOKUP(Tabelle1014[[#This Row],[Rank]],Stammdaten[[Rank Verteilung Ovalität]:[Verteilung Ovalität]],2,FALSE)</f>
        <v>#N/A</v>
      </c>
    </row>
    <row r="2244" spans="5:28" x14ac:dyDescent="0.35">
      <c r="E2244">
        <v>2235</v>
      </c>
      <c r="F2244" t="e">
        <f>INDEX(Stammdaten[D Mitte mit Rinde (mm)],MATCH(Tabelle8[[#This Row],[Rank]],Stammdaten[Rank Verteilung D Mitte mit Rinde],0))</f>
        <v>#N/A</v>
      </c>
      <c r="G2244" t="e">
        <f>VLOOKUP(Tabelle8[[#This Row],[Rank]],Stammdaten[[Rank Verteilung D Mitte mit Rinde]:[Verteilung D Mitte mit Rinde]],2,FALSE)</f>
        <v>#N/A</v>
      </c>
      <c r="L2244">
        <v>2235</v>
      </c>
      <c r="M2244" t="e">
        <f>INDEX(Stammdaten[Abholzigkeit (mm/lfm)],MATCH(Tabelle9[[#This Row],[Rank]],Stammdaten[Rank Verteilung Abholzigkeit],0))</f>
        <v>#N/A</v>
      </c>
      <c r="N2244" t="e">
        <f>VLOOKUP(Tabelle9[[#This Row],[Rank]],Stammdaten[[Rank Verteilung Abholzigkeit]:[Verteilung Abholzigkeit]],2,FALSE)</f>
        <v>#N/A</v>
      </c>
      <c r="S2244">
        <v>2235</v>
      </c>
      <c r="T2244" t="e">
        <f>INDEX(Stammdaten[Krümmung (mm/lfm)],MATCH(Tabelle10[[#This Row],[Rank]],Stammdaten[Rank Verteilung Krümmung],0))</f>
        <v>#N/A</v>
      </c>
      <c r="U2244" t="e">
        <f>VLOOKUP(Tabelle10[[#This Row],[Rank]],Stammdaten[[Rank Verteilung Krümmung]:[Verteilung Krümmung]],2,FALSE)</f>
        <v>#N/A</v>
      </c>
      <c r="Z2244">
        <v>2235</v>
      </c>
      <c r="AA2244" t="e">
        <f>INDEX(Stammdaten[Ovalität (']0,1'])],MATCH(Tabelle1014[[#This Row],[Rank]],Stammdaten[Rank Verteilung Ovalität],0))</f>
        <v>#N/A</v>
      </c>
      <c r="AB2244" t="e">
        <f>VLOOKUP(Tabelle1014[[#This Row],[Rank]],Stammdaten[[Rank Verteilung Ovalität]:[Verteilung Ovalität]],2,FALSE)</f>
        <v>#N/A</v>
      </c>
    </row>
    <row r="2245" spans="5:28" x14ac:dyDescent="0.35">
      <c r="E2245">
        <v>2236</v>
      </c>
      <c r="F2245" t="e">
        <f>INDEX(Stammdaten[D Mitte mit Rinde (mm)],MATCH(Tabelle8[[#This Row],[Rank]],Stammdaten[Rank Verteilung D Mitte mit Rinde],0))</f>
        <v>#N/A</v>
      </c>
      <c r="G2245" t="e">
        <f>VLOOKUP(Tabelle8[[#This Row],[Rank]],Stammdaten[[Rank Verteilung D Mitte mit Rinde]:[Verteilung D Mitte mit Rinde]],2,FALSE)</f>
        <v>#N/A</v>
      </c>
      <c r="L2245">
        <v>2236</v>
      </c>
      <c r="M2245" t="e">
        <f>INDEX(Stammdaten[Abholzigkeit (mm/lfm)],MATCH(Tabelle9[[#This Row],[Rank]],Stammdaten[Rank Verteilung Abholzigkeit],0))</f>
        <v>#N/A</v>
      </c>
      <c r="N2245" t="e">
        <f>VLOOKUP(Tabelle9[[#This Row],[Rank]],Stammdaten[[Rank Verteilung Abholzigkeit]:[Verteilung Abholzigkeit]],2,FALSE)</f>
        <v>#N/A</v>
      </c>
      <c r="S2245">
        <v>2236</v>
      </c>
      <c r="T2245" t="e">
        <f>INDEX(Stammdaten[Krümmung (mm/lfm)],MATCH(Tabelle10[[#This Row],[Rank]],Stammdaten[Rank Verteilung Krümmung],0))</f>
        <v>#N/A</v>
      </c>
      <c r="U2245" t="e">
        <f>VLOOKUP(Tabelle10[[#This Row],[Rank]],Stammdaten[[Rank Verteilung Krümmung]:[Verteilung Krümmung]],2,FALSE)</f>
        <v>#N/A</v>
      </c>
      <c r="Z2245">
        <v>2236</v>
      </c>
      <c r="AA2245" t="e">
        <f>INDEX(Stammdaten[Ovalität (']0,1'])],MATCH(Tabelle1014[[#This Row],[Rank]],Stammdaten[Rank Verteilung Ovalität],0))</f>
        <v>#N/A</v>
      </c>
      <c r="AB2245" t="e">
        <f>VLOOKUP(Tabelle1014[[#This Row],[Rank]],Stammdaten[[Rank Verteilung Ovalität]:[Verteilung Ovalität]],2,FALSE)</f>
        <v>#N/A</v>
      </c>
    </row>
    <row r="2246" spans="5:28" x14ac:dyDescent="0.35">
      <c r="E2246">
        <v>2237</v>
      </c>
      <c r="F2246" t="e">
        <f>INDEX(Stammdaten[D Mitte mit Rinde (mm)],MATCH(Tabelle8[[#This Row],[Rank]],Stammdaten[Rank Verteilung D Mitte mit Rinde],0))</f>
        <v>#N/A</v>
      </c>
      <c r="G2246" t="e">
        <f>VLOOKUP(Tabelle8[[#This Row],[Rank]],Stammdaten[[Rank Verteilung D Mitte mit Rinde]:[Verteilung D Mitte mit Rinde]],2,FALSE)</f>
        <v>#N/A</v>
      </c>
      <c r="L2246">
        <v>2237</v>
      </c>
      <c r="M2246" t="e">
        <f>INDEX(Stammdaten[Abholzigkeit (mm/lfm)],MATCH(Tabelle9[[#This Row],[Rank]],Stammdaten[Rank Verteilung Abholzigkeit],0))</f>
        <v>#N/A</v>
      </c>
      <c r="N2246" t="e">
        <f>VLOOKUP(Tabelle9[[#This Row],[Rank]],Stammdaten[[Rank Verteilung Abholzigkeit]:[Verteilung Abholzigkeit]],2,FALSE)</f>
        <v>#N/A</v>
      </c>
      <c r="S2246">
        <v>2237</v>
      </c>
      <c r="T2246" t="e">
        <f>INDEX(Stammdaten[Krümmung (mm/lfm)],MATCH(Tabelle10[[#This Row],[Rank]],Stammdaten[Rank Verteilung Krümmung],0))</f>
        <v>#N/A</v>
      </c>
      <c r="U2246" t="e">
        <f>VLOOKUP(Tabelle10[[#This Row],[Rank]],Stammdaten[[Rank Verteilung Krümmung]:[Verteilung Krümmung]],2,FALSE)</f>
        <v>#N/A</v>
      </c>
      <c r="Z2246">
        <v>2237</v>
      </c>
      <c r="AA2246" t="e">
        <f>INDEX(Stammdaten[Ovalität (']0,1'])],MATCH(Tabelle1014[[#This Row],[Rank]],Stammdaten[Rank Verteilung Ovalität],0))</f>
        <v>#N/A</v>
      </c>
      <c r="AB2246" t="e">
        <f>VLOOKUP(Tabelle1014[[#This Row],[Rank]],Stammdaten[[Rank Verteilung Ovalität]:[Verteilung Ovalität]],2,FALSE)</f>
        <v>#N/A</v>
      </c>
    </row>
    <row r="2247" spans="5:28" x14ac:dyDescent="0.35">
      <c r="E2247">
        <v>2238</v>
      </c>
      <c r="F2247" t="e">
        <f>INDEX(Stammdaten[D Mitte mit Rinde (mm)],MATCH(Tabelle8[[#This Row],[Rank]],Stammdaten[Rank Verteilung D Mitte mit Rinde],0))</f>
        <v>#N/A</v>
      </c>
      <c r="G2247" t="e">
        <f>VLOOKUP(Tabelle8[[#This Row],[Rank]],Stammdaten[[Rank Verteilung D Mitte mit Rinde]:[Verteilung D Mitte mit Rinde]],2,FALSE)</f>
        <v>#N/A</v>
      </c>
      <c r="L2247">
        <v>2238</v>
      </c>
      <c r="M2247" t="e">
        <f>INDEX(Stammdaten[Abholzigkeit (mm/lfm)],MATCH(Tabelle9[[#This Row],[Rank]],Stammdaten[Rank Verteilung Abholzigkeit],0))</f>
        <v>#N/A</v>
      </c>
      <c r="N2247" t="e">
        <f>VLOOKUP(Tabelle9[[#This Row],[Rank]],Stammdaten[[Rank Verteilung Abholzigkeit]:[Verteilung Abholzigkeit]],2,FALSE)</f>
        <v>#N/A</v>
      </c>
      <c r="S2247">
        <v>2238</v>
      </c>
      <c r="T2247" t="e">
        <f>INDEX(Stammdaten[Krümmung (mm/lfm)],MATCH(Tabelle10[[#This Row],[Rank]],Stammdaten[Rank Verteilung Krümmung],0))</f>
        <v>#N/A</v>
      </c>
      <c r="U2247" t="e">
        <f>VLOOKUP(Tabelle10[[#This Row],[Rank]],Stammdaten[[Rank Verteilung Krümmung]:[Verteilung Krümmung]],2,FALSE)</f>
        <v>#N/A</v>
      </c>
      <c r="Z2247">
        <v>2238</v>
      </c>
      <c r="AA2247" t="e">
        <f>INDEX(Stammdaten[Ovalität (']0,1'])],MATCH(Tabelle1014[[#This Row],[Rank]],Stammdaten[Rank Verteilung Ovalität],0))</f>
        <v>#N/A</v>
      </c>
      <c r="AB2247" t="e">
        <f>VLOOKUP(Tabelle1014[[#This Row],[Rank]],Stammdaten[[Rank Verteilung Ovalität]:[Verteilung Ovalität]],2,FALSE)</f>
        <v>#N/A</v>
      </c>
    </row>
    <row r="2248" spans="5:28" x14ac:dyDescent="0.35">
      <c r="E2248">
        <v>2239</v>
      </c>
      <c r="F2248" t="e">
        <f>INDEX(Stammdaten[D Mitte mit Rinde (mm)],MATCH(Tabelle8[[#This Row],[Rank]],Stammdaten[Rank Verteilung D Mitte mit Rinde],0))</f>
        <v>#N/A</v>
      </c>
      <c r="G2248" t="e">
        <f>VLOOKUP(Tabelle8[[#This Row],[Rank]],Stammdaten[[Rank Verteilung D Mitte mit Rinde]:[Verteilung D Mitte mit Rinde]],2,FALSE)</f>
        <v>#N/A</v>
      </c>
      <c r="L2248">
        <v>2239</v>
      </c>
      <c r="M2248" t="e">
        <f>INDEX(Stammdaten[Abholzigkeit (mm/lfm)],MATCH(Tabelle9[[#This Row],[Rank]],Stammdaten[Rank Verteilung Abholzigkeit],0))</f>
        <v>#N/A</v>
      </c>
      <c r="N2248" t="e">
        <f>VLOOKUP(Tabelle9[[#This Row],[Rank]],Stammdaten[[Rank Verteilung Abholzigkeit]:[Verteilung Abholzigkeit]],2,FALSE)</f>
        <v>#N/A</v>
      </c>
      <c r="S2248">
        <v>2239</v>
      </c>
      <c r="T2248" t="e">
        <f>INDEX(Stammdaten[Krümmung (mm/lfm)],MATCH(Tabelle10[[#This Row],[Rank]],Stammdaten[Rank Verteilung Krümmung],0))</f>
        <v>#N/A</v>
      </c>
      <c r="U2248" t="e">
        <f>VLOOKUP(Tabelle10[[#This Row],[Rank]],Stammdaten[[Rank Verteilung Krümmung]:[Verteilung Krümmung]],2,FALSE)</f>
        <v>#N/A</v>
      </c>
      <c r="Z2248">
        <v>2239</v>
      </c>
      <c r="AA2248" t="e">
        <f>INDEX(Stammdaten[Ovalität (']0,1'])],MATCH(Tabelle1014[[#This Row],[Rank]],Stammdaten[Rank Verteilung Ovalität],0))</f>
        <v>#N/A</v>
      </c>
      <c r="AB2248" t="e">
        <f>VLOOKUP(Tabelle1014[[#This Row],[Rank]],Stammdaten[[Rank Verteilung Ovalität]:[Verteilung Ovalität]],2,FALSE)</f>
        <v>#N/A</v>
      </c>
    </row>
    <row r="2249" spans="5:28" x14ac:dyDescent="0.35">
      <c r="E2249">
        <v>2240</v>
      </c>
      <c r="F2249" t="e">
        <f>INDEX(Stammdaten[D Mitte mit Rinde (mm)],MATCH(Tabelle8[[#This Row],[Rank]],Stammdaten[Rank Verteilung D Mitte mit Rinde],0))</f>
        <v>#N/A</v>
      </c>
      <c r="G2249" t="e">
        <f>VLOOKUP(Tabelle8[[#This Row],[Rank]],Stammdaten[[Rank Verteilung D Mitte mit Rinde]:[Verteilung D Mitte mit Rinde]],2,FALSE)</f>
        <v>#N/A</v>
      </c>
      <c r="L2249">
        <v>2240</v>
      </c>
      <c r="M2249" t="e">
        <f>INDEX(Stammdaten[Abholzigkeit (mm/lfm)],MATCH(Tabelle9[[#This Row],[Rank]],Stammdaten[Rank Verteilung Abholzigkeit],0))</f>
        <v>#N/A</v>
      </c>
      <c r="N2249" t="e">
        <f>VLOOKUP(Tabelle9[[#This Row],[Rank]],Stammdaten[[Rank Verteilung Abholzigkeit]:[Verteilung Abholzigkeit]],2,FALSE)</f>
        <v>#N/A</v>
      </c>
      <c r="S2249">
        <v>2240</v>
      </c>
      <c r="T2249" t="e">
        <f>INDEX(Stammdaten[Krümmung (mm/lfm)],MATCH(Tabelle10[[#This Row],[Rank]],Stammdaten[Rank Verteilung Krümmung],0))</f>
        <v>#N/A</v>
      </c>
      <c r="U2249" t="e">
        <f>VLOOKUP(Tabelle10[[#This Row],[Rank]],Stammdaten[[Rank Verteilung Krümmung]:[Verteilung Krümmung]],2,FALSE)</f>
        <v>#N/A</v>
      </c>
      <c r="Z2249">
        <v>2240</v>
      </c>
      <c r="AA2249" t="e">
        <f>INDEX(Stammdaten[Ovalität (']0,1'])],MATCH(Tabelle1014[[#This Row],[Rank]],Stammdaten[Rank Verteilung Ovalität],0))</f>
        <v>#N/A</v>
      </c>
      <c r="AB2249" t="e">
        <f>VLOOKUP(Tabelle1014[[#This Row],[Rank]],Stammdaten[[Rank Verteilung Ovalität]:[Verteilung Ovalität]],2,FALSE)</f>
        <v>#N/A</v>
      </c>
    </row>
    <row r="2250" spans="5:28" x14ac:dyDescent="0.35">
      <c r="E2250">
        <v>2241</v>
      </c>
      <c r="F2250" t="e">
        <f>INDEX(Stammdaten[D Mitte mit Rinde (mm)],MATCH(Tabelle8[[#This Row],[Rank]],Stammdaten[Rank Verteilung D Mitte mit Rinde],0))</f>
        <v>#N/A</v>
      </c>
      <c r="G2250" t="e">
        <f>VLOOKUP(Tabelle8[[#This Row],[Rank]],Stammdaten[[Rank Verteilung D Mitte mit Rinde]:[Verteilung D Mitte mit Rinde]],2,FALSE)</f>
        <v>#N/A</v>
      </c>
      <c r="L2250">
        <v>2241</v>
      </c>
      <c r="M2250" t="e">
        <f>INDEX(Stammdaten[Abholzigkeit (mm/lfm)],MATCH(Tabelle9[[#This Row],[Rank]],Stammdaten[Rank Verteilung Abholzigkeit],0))</f>
        <v>#N/A</v>
      </c>
      <c r="N2250" t="e">
        <f>VLOOKUP(Tabelle9[[#This Row],[Rank]],Stammdaten[[Rank Verteilung Abholzigkeit]:[Verteilung Abholzigkeit]],2,FALSE)</f>
        <v>#N/A</v>
      </c>
      <c r="S2250">
        <v>2241</v>
      </c>
      <c r="T2250" t="e">
        <f>INDEX(Stammdaten[Krümmung (mm/lfm)],MATCH(Tabelle10[[#This Row],[Rank]],Stammdaten[Rank Verteilung Krümmung],0))</f>
        <v>#N/A</v>
      </c>
      <c r="U2250" t="e">
        <f>VLOOKUP(Tabelle10[[#This Row],[Rank]],Stammdaten[[Rank Verteilung Krümmung]:[Verteilung Krümmung]],2,FALSE)</f>
        <v>#N/A</v>
      </c>
      <c r="Z2250">
        <v>2241</v>
      </c>
      <c r="AA2250" t="e">
        <f>INDEX(Stammdaten[Ovalität (']0,1'])],MATCH(Tabelle1014[[#This Row],[Rank]],Stammdaten[Rank Verteilung Ovalität],0))</f>
        <v>#N/A</v>
      </c>
      <c r="AB2250" t="e">
        <f>VLOOKUP(Tabelle1014[[#This Row],[Rank]],Stammdaten[[Rank Verteilung Ovalität]:[Verteilung Ovalität]],2,FALSE)</f>
        <v>#N/A</v>
      </c>
    </row>
    <row r="2251" spans="5:28" x14ac:dyDescent="0.35">
      <c r="E2251">
        <v>2242</v>
      </c>
      <c r="F2251" t="e">
        <f>INDEX(Stammdaten[D Mitte mit Rinde (mm)],MATCH(Tabelle8[[#This Row],[Rank]],Stammdaten[Rank Verteilung D Mitte mit Rinde],0))</f>
        <v>#N/A</v>
      </c>
      <c r="G2251" t="e">
        <f>VLOOKUP(Tabelle8[[#This Row],[Rank]],Stammdaten[[Rank Verteilung D Mitte mit Rinde]:[Verteilung D Mitte mit Rinde]],2,FALSE)</f>
        <v>#N/A</v>
      </c>
      <c r="L2251">
        <v>2242</v>
      </c>
      <c r="M2251" t="e">
        <f>INDEX(Stammdaten[Abholzigkeit (mm/lfm)],MATCH(Tabelle9[[#This Row],[Rank]],Stammdaten[Rank Verteilung Abholzigkeit],0))</f>
        <v>#N/A</v>
      </c>
      <c r="N2251" t="e">
        <f>VLOOKUP(Tabelle9[[#This Row],[Rank]],Stammdaten[[Rank Verteilung Abholzigkeit]:[Verteilung Abholzigkeit]],2,FALSE)</f>
        <v>#N/A</v>
      </c>
      <c r="S2251">
        <v>2242</v>
      </c>
      <c r="T2251" t="e">
        <f>INDEX(Stammdaten[Krümmung (mm/lfm)],MATCH(Tabelle10[[#This Row],[Rank]],Stammdaten[Rank Verteilung Krümmung],0))</f>
        <v>#N/A</v>
      </c>
      <c r="U2251" t="e">
        <f>VLOOKUP(Tabelle10[[#This Row],[Rank]],Stammdaten[[Rank Verteilung Krümmung]:[Verteilung Krümmung]],2,FALSE)</f>
        <v>#N/A</v>
      </c>
      <c r="Z2251">
        <v>2242</v>
      </c>
      <c r="AA2251" t="e">
        <f>INDEX(Stammdaten[Ovalität (']0,1'])],MATCH(Tabelle1014[[#This Row],[Rank]],Stammdaten[Rank Verteilung Ovalität],0))</f>
        <v>#N/A</v>
      </c>
      <c r="AB2251" t="e">
        <f>VLOOKUP(Tabelle1014[[#This Row],[Rank]],Stammdaten[[Rank Verteilung Ovalität]:[Verteilung Ovalität]],2,FALSE)</f>
        <v>#N/A</v>
      </c>
    </row>
    <row r="2252" spans="5:28" x14ac:dyDescent="0.35">
      <c r="E2252">
        <v>2243</v>
      </c>
      <c r="F2252" t="e">
        <f>INDEX(Stammdaten[D Mitte mit Rinde (mm)],MATCH(Tabelle8[[#This Row],[Rank]],Stammdaten[Rank Verteilung D Mitte mit Rinde],0))</f>
        <v>#N/A</v>
      </c>
      <c r="G2252" t="e">
        <f>VLOOKUP(Tabelle8[[#This Row],[Rank]],Stammdaten[[Rank Verteilung D Mitte mit Rinde]:[Verteilung D Mitte mit Rinde]],2,FALSE)</f>
        <v>#N/A</v>
      </c>
      <c r="L2252">
        <v>2243</v>
      </c>
      <c r="M2252" t="e">
        <f>INDEX(Stammdaten[Abholzigkeit (mm/lfm)],MATCH(Tabelle9[[#This Row],[Rank]],Stammdaten[Rank Verteilung Abholzigkeit],0))</f>
        <v>#N/A</v>
      </c>
      <c r="N2252" t="e">
        <f>VLOOKUP(Tabelle9[[#This Row],[Rank]],Stammdaten[[Rank Verteilung Abholzigkeit]:[Verteilung Abholzigkeit]],2,FALSE)</f>
        <v>#N/A</v>
      </c>
      <c r="S2252">
        <v>2243</v>
      </c>
      <c r="T2252" t="e">
        <f>INDEX(Stammdaten[Krümmung (mm/lfm)],MATCH(Tabelle10[[#This Row],[Rank]],Stammdaten[Rank Verteilung Krümmung],0))</f>
        <v>#N/A</v>
      </c>
      <c r="U2252" t="e">
        <f>VLOOKUP(Tabelle10[[#This Row],[Rank]],Stammdaten[[Rank Verteilung Krümmung]:[Verteilung Krümmung]],2,FALSE)</f>
        <v>#N/A</v>
      </c>
      <c r="Z2252">
        <v>2243</v>
      </c>
      <c r="AA2252" t="e">
        <f>INDEX(Stammdaten[Ovalität (']0,1'])],MATCH(Tabelle1014[[#This Row],[Rank]],Stammdaten[Rank Verteilung Ovalität],0))</f>
        <v>#N/A</v>
      </c>
      <c r="AB2252" t="e">
        <f>VLOOKUP(Tabelle1014[[#This Row],[Rank]],Stammdaten[[Rank Verteilung Ovalität]:[Verteilung Ovalität]],2,FALSE)</f>
        <v>#N/A</v>
      </c>
    </row>
    <row r="2253" spans="5:28" x14ac:dyDescent="0.35">
      <c r="E2253">
        <v>2244</v>
      </c>
      <c r="F2253" t="e">
        <f>INDEX(Stammdaten[D Mitte mit Rinde (mm)],MATCH(Tabelle8[[#This Row],[Rank]],Stammdaten[Rank Verteilung D Mitte mit Rinde],0))</f>
        <v>#N/A</v>
      </c>
      <c r="G2253" t="e">
        <f>VLOOKUP(Tabelle8[[#This Row],[Rank]],Stammdaten[[Rank Verteilung D Mitte mit Rinde]:[Verteilung D Mitte mit Rinde]],2,FALSE)</f>
        <v>#N/A</v>
      </c>
      <c r="L2253">
        <v>2244</v>
      </c>
      <c r="M2253" t="e">
        <f>INDEX(Stammdaten[Abholzigkeit (mm/lfm)],MATCH(Tabelle9[[#This Row],[Rank]],Stammdaten[Rank Verteilung Abholzigkeit],0))</f>
        <v>#N/A</v>
      </c>
      <c r="N2253" t="e">
        <f>VLOOKUP(Tabelle9[[#This Row],[Rank]],Stammdaten[[Rank Verteilung Abholzigkeit]:[Verteilung Abholzigkeit]],2,FALSE)</f>
        <v>#N/A</v>
      </c>
      <c r="S2253">
        <v>2244</v>
      </c>
      <c r="T2253" t="e">
        <f>INDEX(Stammdaten[Krümmung (mm/lfm)],MATCH(Tabelle10[[#This Row],[Rank]],Stammdaten[Rank Verteilung Krümmung],0))</f>
        <v>#N/A</v>
      </c>
      <c r="U2253" t="e">
        <f>VLOOKUP(Tabelle10[[#This Row],[Rank]],Stammdaten[[Rank Verteilung Krümmung]:[Verteilung Krümmung]],2,FALSE)</f>
        <v>#N/A</v>
      </c>
      <c r="Z2253">
        <v>2244</v>
      </c>
      <c r="AA2253" t="e">
        <f>INDEX(Stammdaten[Ovalität (']0,1'])],MATCH(Tabelle1014[[#This Row],[Rank]],Stammdaten[Rank Verteilung Ovalität],0))</f>
        <v>#N/A</v>
      </c>
      <c r="AB2253" t="e">
        <f>VLOOKUP(Tabelle1014[[#This Row],[Rank]],Stammdaten[[Rank Verteilung Ovalität]:[Verteilung Ovalität]],2,FALSE)</f>
        <v>#N/A</v>
      </c>
    </row>
    <row r="2254" spans="5:28" x14ac:dyDescent="0.35">
      <c r="E2254">
        <v>2245</v>
      </c>
      <c r="F2254" t="e">
        <f>INDEX(Stammdaten[D Mitte mit Rinde (mm)],MATCH(Tabelle8[[#This Row],[Rank]],Stammdaten[Rank Verteilung D Mitte mit Rinde],0))</f>
        <v>#N/A</v>
      </c>
      <c r="G2254" t="e">
        <f>VLOOKUP(Tabelle8[[#This Row],[Rank]],Stammdaten[[Rank Verteilung D Mitte mit Rinde]:[Verteilung D Mitte mit Rinde]],2,FALSE)</f>
        <v>#N/A</v>
      </c>
      <c r="L2254">
        <v>2245</v>
      </c>
      <c r="M2254" t="e">
        <f>INDEX(Stammdaten[Abholzigkeit (mm/lfm)],MATCH(Tabelle9[[#This Row],[Rank]],Stammdaten[Rank Verteilung Abholzigkeit],0))</f>
        <v>#N/A</v>
      </c>
      <c r="N2254" t="e">
        <f>VLOOKUP(Tabelle9[[#This Row],[Rank]],Stammdaten[[Rank Verteilung Abholzigkeit]:[Verteilung Abholzigkeit]],2,FALSE)</f>
        <v>#N/A</v>
      </c>
      <c r="S2254">
        <v>2245</v>
      </c>
      <c r="T2254" t="e">
        <f>INDEX(Stammdaten[Krümmung (mm/lfm)],MATCH(Tabelle10[[#This Row],[Rank]],Stammdaten[Rank Verteilung Krümmung],0))</f>
        <v>#N/A</v>
      </c>
      <c r="U2254" t="e">
        <f>VLOOKUP(Tabelle10[[#This Row],[Rank]],Stammdaten[[Rank Verteilung Krümmung]:[Verteilung Krümmung]],2,FALSE)</f>
        <v>#N/A</v>
      </c>
      <c r="Z2254">
        <v>2245</v>
      </c>
      <c r="AA2254" t="e">
        <f>INDEX(Stammdaten[Ovalität (']0,1'])],MATCH(Tabelle1014[[#This Row],[Rank]],Stammdaten[Rank Verteilung Ovalität],0))</f>
        <v>#N/A</v>
      </c>
      <c r="AB2254" t="e">
        <f>VLOOKUP(Tabelle1014[[#This Row],[Rank]],Stammdaten[[Rank Verteilung Ovalität]:[Verteilung Ovalität]],2,FALSE)</f>
        <v>#N/A</v>
      </c>
    </row>
    <row r="2255" spans="5:28" x14ac:dyDescent="0.35">
      <c r="E2255">
        <v>2246</v>
      </c>
      <c r="F2255" t="e">
        <f>INDEX(Stammdaten[D Mitte mit Rinde (mm)],MATCH(Tabelle8[[#This Row],[Rank]],Stammdaten[Rank Verteilung D Mitte mit Rinde],0))</f>
        <v>#N/A</v>
      </c>
      <c r="G2255" t="e">
        <f>VLOOKUP(Tabelle8[[#This Row],[Rank]],Stammdaten[[Rank Verteilung D Mitte mit Rinde]:[Verteilung D Mitte mit Rinde]],2,FALSE)</f>
        <v>#N/A</v>
      </c>
      <c r="L2255">
        <v>2246</v>
      </c>
      <c r="M2255" t="e">
        <f>INDEX(Stammdaten[Abholzigkeit (mm/lfm)],MATCH(Tabelle9[[#This Row],[Rank]],Stammdaten[Rank Verteilung Abholzigkeit],0))</f>
        <v>#N/A</v>
      </c>
      <c r="N2255" t="e">
        <f>VLOOKUP(Tabelle9[[#This Row],[Rank]],Stammdaten[[Rank Verteilung Abholzigkeit]:[Verteilung Abholzigkeit]],2,FALSE)</f>
        <v>#N/A</v>
      </c>
      <c r="S2255">
        <v>2246</v>
      </c>
      <c r="T2255" t="e">
        <f>INDEX(Stammdaten[Krümmung (mm/lfm)],MATCH(Tabelle10[[#This Row],[Rank]],Stammdaten[Rank Verteilung Krümmung],0))</f>
        <v>#N/A</v>
      </c>
      <c r="U2255" t="e">
        <f>VLOOKUP(Tabelle10[[#This Row],[Rank]],Stammdaten[[Rank Verteilung Krümmung]:[Verteilung Krümmung]],2,FALSE)</f>
        <v>#N/A</v>
      </c>
      <c r="Z2255">
        <v>2246</v>
      </c>
      <c r="AA2255" t="e">
        <f>INDEX(Stammdaten[Ovalität (']0,1'])],MATCH(Tabelle1014[[#This Row],[Rank]],Stammdaten[Rank Verteilung Ovalität],0))</f>
        <v>#N/A</v>
      </c>
      <c r="AB2255" t="e">
        <f>VLOOKUP(Tabelle1014[[#This Row],[Rank]],Stammdaten[[Rank Verteilung Ovalität]:[Verteilung Ovalität]],2,FALSE)</f>
        <v>#N/A</v>
      </c>
    </row>
    <row r="2256" spans="5:28" x14ac:dyDescent="0.35">
      <c r="E2256">
        <v>2247</v>
      </c>
      <c r="F2256" t="e">
        <f>INDEX(Stammdaten[D Mitte mit Rinde (mm)],MATCH(Tabelle8[[#This Row],[Rank]],Stammdaten[Rank Verteilung D Mitte mit Rinde],0))</f>
        <v>#N/A</v>
      </c>
      <c r="G2256" t="e">
        <f>VLOOKUP(Tabelle8[[#This Row],[Rank]],Stammdaten[[Rank Verteilung D Mitte mit Rinde]:[Verteilung D Mitte mit Rinde]],2,FALSE)</f>
        <v>#N/A</v>
      </c>
      <c r="L2256">
        <v>2247</v>
      </c>
      <c r="M2256" t="e">
        <f>INDEX(Stammdaten[Abholzigkeit (mm/lfm)],MATCH(Tabelle9[[#This Row],[Rank]],Stammdaten[Rank Verteilung Abholzigkeit],0))</f>
        <v>#N/A</v>
      </c>
      <c r="N2256" t="e">
        <f>VLOOKUP(Tabelle9[[#This Row],[Rank]],Stammdaten[[Rank Verteilung Abholzigkeit]:[Verteilung Abholzigkeit]],2,FALSE)</f>
        <v>#N/A</v>
      </c>
      <c r="S2256">
        <v>2247</v>
      </c>
      <c r="T2256" t="e">
        <f>INDEX(Stammdaten[Krümmung (mm/lfm)],MATCH(Tabelle10[[#This Row],[Rank]],Stammdaten[Rank Verteilung Krümmung],0))</f>
        <v>#N/A</v>
      </c>
      <c r="U2256" t="e">
        <f>VLOOKUP(Tabelle10[[#This Row],[Rank]],Stammdaten[[Rank Verteilung Krümmung]:[Verteilung Krümmung]],2,FALSE)</f>
        <v>#N/A</v>
      </c>
      <c r="Z2256">
        <v>2247</v>
      </c>
      <c r="AA2256" t="e">
        <f>INDEX(Stammdaten[Ovalität (']0,1'])],MATCH(Tabelle1014[[#This Row],[Rank]],Stammdaten[Rank Verteilung Ovalität],0))</f>
        <v>#N/A</v>
      </c>
      <c r="AB2256" t="e">
        <f>VLOOKUP(Tabelle1014[[#This Row],[Rank]],Stammdaten[[Rank Verteilung Ovalität]:[Verteilung Ovalität]],2,FALSE)</f>
        <v>#N/A</v>
      </c>
    </row>
    <row r="2257" spans="5:28" x14ac:dyDescent="0.35">
      <c r="E2257">
        <v>2248</v>
      </c>
      <c r="F2257" t="e">
        <f>INDEX(Stammdaten[D Mitte mit Rinde (mm)],MATCH(Tabelle8[[#This Row],[Rank]],Stammdaten[Rank Verteilung D Mitte mit Rinde],0))</f>
        <v>#N/A</v>
      </c>
      <c r="G2257" t="e">
        <f>VLOOKUP(Tabelle8[[#This Row],[Rank]],Stammdaten[[Rank Verteilung D Mitte mit Rinde]:[Verteilung D Mitte mit Rinde]],2,FALSE)</f>
        <v>#N/A</v>
      </c>
      <c r="L2257">
        <v>2248</v>
      </c>
      <c r="M2257" t="e">
        <f>INDEX(Stammdaten[Abholzigkeit (mm/lfm)],MATCH(Tabelle9[[#This Row],[Rank]],Stammdaten[Rank Verteilung Abholzigkeit],0))</f>
        <v>#N/A</v>
      </c>
      <c r="N2257" t="e">
        <f>VLOOKUP(Tabelle9[[#This Row],[Rank]],Stammdaten[[Rank Verteilung Abholzigkeit]:[Verteilung Abholzigkeit]],2,FALSE)</f>
        <v>#N/A</v>
      </c>
      <c r="S2257">
        <v>2248</v>
      </c>
      <c r="T2257" t="e">
        <f>INDEX(Stammdaten[Krümmung (mm/lfm)],MATCH(Tabelle10[[#This Row],[Rank]],Stammdaten[Rank Verteilung Krümmung],0))</f>
        <v>#N/A</v>
      </c>
      <c r="U2257" t="e">
        <f>VLOOKUP(Tabelle10[[#This Row],[Rank]],Stammdaten[[Rank Verteilung Krümmung]:[Verteilung Krümmung]],2,FALSE)</f>
        <v>#N/A</v>
      </c>
      <c r="Z2257">
        <v>2248</v>
      </c>
      <c r="AA2257" t="e">
        <f>INDEX(Stammdaten[Ovalität (']0,1'])],MATCH(Tabelle1014[[#This Row],[Rank]],Stammdaten[Rank Verteilung Ovalität],0))</f>
        <v>#N/A</v>
      </c>
      <c r="AB2257" t="e">
        <f>VLOOKUP(Tabelle1014[[#This Row],[Rank]],Stammdaten[[Rank Verteilung Ovalität]:[Verteilung Ovalität]],2,FALSE)</f>
        <v>#N/A</v>
      </c>
    </row>
    <row r="2258" spans="5:28" x14ac:dyDescent="0.35">
      <c r="E2258">
        <v>2249</v>
      </c>
      <c r="F2258" t="e">
        <f>INDEX(Stammdaten[D Mitte mit Rinde (mm)],MATCH(Tabelle8[[#This Row],[Rank]],Stammdaten[Rank Verteilung D Mitte mit Rinde],0))</f>
        <v>#N/A</v>
      </c>
      <c r="G2258" t="e">
        <f>VLOOKUP(Tabelle8[[#This Row],[Rank]],Stammdaten[[Rank Verteilung D Mitte mit Rinde]:[Verteilung D Mitte mit Rinde]],2,FALSE)</f>
        <v>#N/A</v>
      </c>
      <c r="L2258">
        <v>2249</v>
      </c>
      <c r="M2258" t="e">
        <f>INDEX(Stammdaten[Abholzigkeit (mm/lfm)],MATCH(Tabelle9[[#This Row],[Rank]],Stammdaten[Rank Verteilung Abholzigkeit],0))</f>
        <v>#N/A</v>
      </c>
      <c r="N2258" t="e">
        <f>VLOOKUP(Tabelle9[[#This Row],[Rank]],Stammdaten[[Rank Verteilung Abholzigkeit]:[Verteilung Abholzigkeit]],2,FALSE)</f>
        <v>#N/A</v>
      </c>
      <c r="S2258">
        <v>2249</v>
      </c>
      <c r="T2258" t="e">
        <f>INDEX(Stammdaten[Krümmung (mm/lfm)],MATCH(Tabelle10[[#This Row],[Rank]],Stammdaten[Rank Verteilung Krümmung],0))</f>
        <v>#N/A</v>
      </c>
      <c r="U2258" t="e">
        <f>VLOOKUP(Tabelle10[[#This Row],[Rank]],Stammdaten[[Rank Verteilung Krümmung]:[Verteilung Krümmung]],2,FALSE)</f>
        <v>#N/A</v>
      </c>
      <c r="Z2258">
        <v>2249</v>
      </c>
      <c r="AA2258" t="e">
        <f>INDEX(Stammdaten[Ovalität (']0,1'])],MATCH(Tabelle1014[[#This Row],[Rank]],Stammdaten[Rank Verteilung Ovalität],0))</f>
        <v>#N/A</v>
      </c>
      <c r="AB2258" t="e">
        <f>VLOOKUP(Tabelle1014[[#This Row],[Rank]],Stammdaten[[Rank Verteilung Ovalität]:[Verteilung Ovalität]],2,FALSE)</f>
        <v>#N/A</v>
      </c>
    </row>
    <row r="2259" spans="5:28" x14ac:dyDescent="0.35">
      <c r="E2259">
        <v>2250</v>
      </c>
      <c r="F2259" t="e">
        <f>INDEX(Stammdaten[D Mitte mit Rinde (mm)],MATCH(Tabelle8[[#This Row],[Rank]],Stammdaten[Rank Verteilung D Mitte mit Rinde],0))</f>
        <v>#N/A</v>
      </c>
      <c r="G2259" t="e">
        <f>VLOOKUP(Tabelle8[[#This Row],[Rank]],Stammdaten[[Rank Verteilung D Mitte mit Rinde]:[Verteilung D Mitte mit Rinde]],2,FALSE)</f>
        <v>#N/A</v>
      </c>
      <c r="L2259">
        <v>2250</v>
      </c>
      <c r="M2259" t="e">
        <f>INDEX(Stammdaten[Abholzigkeit (mm/lfm)],MATCH(Tabelle9[[#This Row],[Rank]],Stammdaten[Rank Verteilung Abholzigkeit],0))</f>
        <v>#N/A</v>
      </c>
      <c r="N2259" t="e">
        <f>VLOOKUP(Tabelle9[[#This Row],[Rank]],Stammdaten[[Rank Verteilung Abholzigkeit]:[Verteilung Abholzigkeit]],2,FALSE)</f>
        <v>#N/A</v>
      </c>
      <c r="S2259">
        <v>2250</v>
      </c>
      <c r="T2259" t="e">
        <f>INDEX(Stammdaten[Krümmung (mm/lfm)],MATCH(Tabelle10[[#This Row],[Rank]],Stammdaten[Rank Verteilung Krümmung],0))</f>
        <v>#N/A</v>
      </c>
      <c r="U2259" t="e">
        <f>VLOOKUP(Tabelle10[[#This Row],[Rank]],Stammdaten[[Rank Verteilung Krümmung]:[Verteilung Krümmung]],2,FALSE)</f>
        <v>#N/A</v>
      </c>
      <c r="Z2259">
        <v>2250</v>
      </c>
      <c r="AA2259" t="e">
        <f>INDEX(Stammdaten[Ovalität (']0,1'])],MATCH(Tabelle1014[[#This Row],[Rank]],Stammdaten[Rank Verteilung Ovalität],0))</f>
        <v>#N/A</v>
      </c>
      <c r="AB2259" t="e">
        <f>VLOOKUP(Tabelle1014[[#This Row],[Rank]],Stammdaten[[Rank Verteilung Ovalität]:[Verteilung Ovalität]],2,FALSE)</f>
        <v>#N/A</v>
      </c>
    </row>
    <row r="2260" spans="5:28" x14ac:dyDescent="0.35">
      <c r="E2260">
        <v>2251</v>
      </c>
      <c r="F2260" t="e">
        <f>INDEX(Stammdaten[D Mitte mit Rinde (mm)],MATCH(Tabelle8[[#This Row],[Rank]],Stammdaten[Rank Verteilung D Mitte mit Rinde],0))</f>
        <v>#N/A</v>
      </c>
      <c r="G2260" t="e">
        <f>VLOOKUP(Tabelle8[[#This Row],[Rank]],Stammdaten[[Rank Verteilung D Mitte mit Rinde]:[Verteilung D Mitte mit Rinde]],2,FALSE)</f>
        <v>#N/A</v>
      </c>
      <c r="L2260">
        <v>2251</v>
      </c>
      <c r="M2260" t="e">
        <f>INDEX(Stammdaten[Abholzigkeit (mm/lfm)],MATCH(Tabelle9[[#This Row],[Rank]],Stammdaten[Rank Verteilung Abholzigkeit],0))</f>
        <v>#N/A</v>
      </c>
      <c r="N2260" t="e">
        <f>VLOOKUP(Tabelle9[[#This Row],[Rank]],Stammdaten[[Rank Verteilung Abholzigkeit]:[Verteilung Abholzigkeit]],2,FALSE)</f>
        <v>#N/A</v>
      </c>
      <c r="S2260">
        <v>2251</v>
      </c>
      <c r="T2260" t="e">
        <f>INDEX(Stammdaten[Krümmung (mm/lfm)],MATCH(Tabelle10[[#This Row],[Rank]],Stammdaten[Rank Verteilung Krümmung],0))</f>
        <v>#N/A</v>
      </c>
      <c r="U2260" t="e">
        <f>VLOOKUP(Tabelle10[[#This Row],[Rank]],Stammdaten[[Rank Verteilung Krümmung]:[Verteilung Krümmung]],2,FALSE)</f>
        <v>#N/A</v>
      </c>
      <c r="Z2260">
        <v>2251</v>
      </c>
      <c r="AA2260" t="e">
        <f>INDEX(Stammdaten[Ovalität (']0,1'])],MATCH(Tabelle1014[[#This Row],[Rank]],Stammdaten[Rank Verteilung Ovalität],0))</f>
        <v>#N/A</v>
      </c>
      <c r="AB2260" t="e">
        <f>VLOOKUP(Tabelle1014[[#This Row],[Rank]],Stammdaten[[Rank Verteilung Ovalität]:[Verteilung Ovalität]],2,FALSE)</f>
        <v>#N/A</v>
      </c>
    </row>
    <row r="2261" spans="5:28" x14ac:dyDescent="0.35">
      <c r="E2261">
        <v>2252</v>
      </c>
      <c r="F2261" t="e">
        <f>INDEX(Stammdaten[D Mitte mit Rinde (mm)],MATCH(Tabelle8[[#This Row],[Rank]],Stammdaten[Rank Verteilung D Mitte mit Rinde],0))</f>
        <v>#N/A</v>
      </c>
      <c r="G2261" t="e">
        <f>VLOOKUP(Tabelle8[[#This Row],[Rank]],Stammdaten[[Rank Verteilung D Mitte mit Rinde]:[Verteilung D Mitte mit Rinde]],2,FALSE)</f>
        <v>#N/A</v>
      </c>
      <c r="L2261">
        <v>2252</v>
      </c>
      <c r="M2261" t="e">
        <f>INDEX(Stammdaten[Abholzigkeit (mm/lfm)],MATCH(Tabelle9[[#This Row],[Rank]],Stammdaten[Rank Verteilung Abholzigkeit],0))</f>
        <v>#N/A</v>
      </c>
      <c r="N2261" t="e">
        <f>VLOOKUP(Tabelle9[[#This Row],[Rank]],Stammdaten[[Rank Verteilung Abholzigkeit]:[Verteilung Abholzigkeit]],2,FALSE)</f>
        <v>#N/A</v>
      </c>
      <c r="S2261">
        <v>2252</v>
      </c>
      <c r="T2261" t="e">
        <f>INDEX(Stammdaten[Krümmung (mm/lfm)],MATCH(Tabelle10[[#This Row],[Rank]],Stammdaten[Rank Verteilung Krümmung],0))</f>
        <v>#N/A</v>
      </c>
      <c r="U2261" t="e">
        <f>VLOOKUP(Tabelle10[[#This Row],[Rank]],Stammdaten[[Rank Verteilung Krümmung]:[Verteilung Krümmung]],2,FALSE)</f>
        <v>#N/A</v>
      </c>
      <c r="Z2261">
        <v>2252</v>
      </c>
      <c r="AA2261" t="e">
        <f>INDEX(Stammdaten[Ovalität (']0,1'])],MATCH(Tabelle1014[[#This Row],[Rank]],Stammdaten[Rank Verteilung Ovalität],0))</f>
        <v>#N/A</v>
      </c>
      <c r="AB2261" t="e">
        <f>VLOOKUP(Tabelle1014[[#This Row],[Rank]],Stammdaten[[Rank Verteilung Ovalität]:[Verteilung Ovalität]],2,FALSE)</f>
        <v>#N/A</v>
      </c>
    </row>
    <row r="2262" spans="5:28" x14ac:dyDescent="0.35">
      <c r="E2262">
        <v>2253</v>
      </c>
      <c r="F2262" t="e">
        <f>INDEX(Stammdaten[D Mitte mit Rinde (mm)],MATCH(Tabelle8[[#This Row],[Rank]],Stammdaten[Rank Verteilung D Mitte mit Rinde],0))</f>
        <v>#N/A</v>
      </c>
      <c r="G2262" t="e">
        <f>VLOOKUP(Tabelle8[[#This Row],[Rank]],Stammdaten[[Rank Verteilung D Mitte mit Rinde]:[Verteilung D Mitte mit Rinde]],2,FALSE)</f>
        <v>#N/A</v>
      </c>
      <c r="L2262">
        <v>2253</v>
      </c>
      <c r="M2262" t="e">
        <f>INDEX(Stammdaten[Abholzigkeit (mm/lfm)],MATCH(Tabelle9[[#This Row],[Rank]],Stammdaten[Rank Verteilung Abholzigkeit],0))</f>
        <v>#N/A</v>
      </c>
      <c r="N2262" t="e">
        <f>VLOOKUP(Tabelle9[[#This Row],[Rank]],Stammdaten[[Rank Verteilung Abholzigkeit]:[Verteilung Abholzigkeit]],2,FALSE)</f>
        <v>#N/A</v>
      </c>
      <c r="S2262">
        <v>2253</v>
      </c>
      <c r="T2262" t="e">
        <f>INDEX(Stammdaten[Krümmung (mm/lfm)],MATCH(Tabelle10[[#This Row],[Rank]],Stammdaten[Rank Verteilung Krümmung],0))</f>
        <v>#N/A</v>
      </c>
      <c r="U2262" t="e">
        <f>VLOOKUP(Tabelle10[[#This Row],[Rank]],Stammdaten[[Rank Verteilung Krümmung]:[Verteilung Krümmung]],2,FALSE)</f>
        <v>#N/A</v>
      </c>
      <c r="Z2262">
        <v>2253</v>
      </c>
      <c r="AA2262" t="e">
        <f>INDEX(Stammdaten[Ovalität (']0,1'])],MATCH(Tabelle1014[[#This Row],[Rank]],Stammdaten[Rank Verteilung Ovalität],0))</f>
        <v>#N/A</v>
      </c>
      <c r="AB2262" t="e">
        <f>VLOOKUP(Tabelle1014[[#This Row],[Rank]],Stammdaten[[Rank Verteilung Ovalität]:[Verteilung Ovalität]],2,FALSE)</f>
        <v>#N/A</v>
      </c>
    </row>
    <row r="2263" spans="5:28" x14ac:dyDescent="0.35">
      <c r="E2263">
        <v>2254</v>
      </c>
      <c r="F2263" t="e">
        <f>INDEX(Stammdaten[D Mitte mit Rinde (mm)],MATCH(Tabelle8[[#This Row],[Rank]],Stammdaten[Rank Verteilung D Mitte mit Rinde],0))</f>
        <v>#N/A</v>
      </c>
      <c r="G2263" t="e">
        <f>VLOOKUP(Tabelle8[[#This Row],[Rank]],Stammdaten[[Rank Verteilung D Mitte mit Rinde]:[Verteilung D Mitte mit Rinde]],2,FALSE)</f>
        <v>#N/A</v>
      </c>
      <c r="L2263">
        <v>2254</v>
      </c>
      <c r="M2263" t="e">
        <f>INDEX(Stammdaten[Abholzigkeit (mm/lfm)],MATCH(Tabelle9[[#This Row],[Rank]],Stammdaten[Rank Verteilung Abholzigkeit],0))</f>
        <v>#N/A</v>
      </c>
      <c r="N2263" t="e">
        <f>VLOOKUP(Tabelle9[[#This Row],[Rank]],Stammdaten[[Rank Verteilung Abholzigkeit]:[Verteilung Abholzigkeit]],2,FALSE)</f>
        <v>#N/A</v>
      </c>
      <c r="S2263">
        <v>2254</v>
      </c>
      <c r="T2263" t="e">
        <f>INDEX(Stammdaten[Krümmung (mm/lfm)],MATCH(Tabelle10[[#This Row],[Rank]],Stammdaten[Rank Verteilung Krümmung],0))</f>
        <v>#N/A</v>
      </c>
      <c r="U2263" t="e">
        <f>VLOOKUP(Tabelle10[[#This Row],[Rank]],Stammdaten[[Rank Verteilung Krümmung]:[Verteilung Krümmung]],2,FALSE)</f>
        <v>#N/A</v>
      </c>
      <c r="Z2263">
        <v>2254</v>
      </c>
      <c r="AA2263" t="e">
        <f>INDEX(Stammdaten[Ovalität (']0,1'])],MATCH(Tabelle1014[[#This Row],[Rank]],Stammdaten[Rank Verteilung Ovalität],0))</f>
        <v>#N/A</v>
      </c>
      <c r="AB2263" t="e">
        <f>VLOOKUP(Tabelle1014[[#This Row],[Rank]],Stammdaten[[Rank Verteilung Ovalität]:[Verteilung Ovalität]],2,FALSE)</f>
        <v>#N/A</v>
      </c>
    </row>
    <row r="2264" spans="5:28" x14ac:dyDescent="0.35">
      <c r="E2264">
        <v>2255</v>
      </c>
      <c r="F2264" t="e">
        <f>INDEX(Stammdaten[D Mitte mit Rinde (mm)],MATCH(Tabelle8[[#This Row],[Rank]],Stammdaten[Rank Verteilung D Mitte mit Rinde],0))</f>
        <v>#N/A</v>
      </c>
      <c r="G2264" t="e">
        <f>VLOOKUP(Tabelle8[[#This Row],[Rank]],Stammdaten[[Rank Verteilung D Mitte mit Rinde]:[Verteilung D Mitte mit Rinde]],2,FALSE)</f>
        <v>#N/A</v>
      </c>
      <c r="L2264">
        <v>2255</v>
      </c>
      <c r="M2264" t="e">
        <f>INDEX(Stammdaten[Abholzigkeit (mm/lfm)],MATCH(Tabelle9[[#This Row],[Rank]],Stammdaten[Rank Verteilung Abholzigkeit],0))</f>
        <v>#N/A</v>
      </c>
      <c r="N2264" t="e">
        <f>VLOOKUP(Tabelle9[[#This Row],[Rank]],Stammdaten[[Rank Verteilung Abholzigkeit]:[Verteilung Abholzigkeit]],2,FALSE)</f>
        <v>#N/A</v>
      </c>
      <c r="S2264">
        <v>2255</v>
      </c>
      <c r="T2264" t="e">
        <f>INDEX(Stammdaten[Krümmung (mm/lfm)],MATCH(Tabelle10[[#This Row],[Rank]],Stammdaten[Rank Verteilung Krümmung],0))</f>
        <v>#N/A</v>
      </c>
      <c r="U2264" t="e">
        <f>VLOOKUP(Tabelle10[[#This Row],[Rank]],Stammdaten[[Rank Verteilung Krümmung]:[Verteilung Krümmung]],2,FALSE)</f>
        <v>#N/A</v>
      </c>
      <c r="Z2264">
        <v>2255</v>
      </c>
      <c r="AA2264" t="e">
        <f>INDEX(Stammdaten[Ovalität (']0,1'])],MATCH(Tabelle1014[[#This Row],[Rank]],Stammdaten[Rank Verteilung Ovalität],0))</f>
        <v>#N/A</v>
      </c>
      <c r="AB2264" t="e">
        <f>VLOOKUP(Tabelle1014[[#This Row],[Rank]],Stammdaten[[Rank Verteilung Ovalität]:[Verteilung Ovalität]],2,FALSE)</f>
        <v>#N/A</v>
      </c>
    </row>
    <row r="2265" spans="5:28" x14ac:dyDescent="0.35">
      <c r="E2265">
        <v>2256</v>
      </c>
      <c r="F2265" t="e">
        <f>INDEX(Stammdaten[D Mitte mit Rinde (mm)],MATCH(Tabelle8[[#This Row],[Rank]],Stammdaten[Rank Verteilung D Mitte mit Rinde],0))</f>
        <v>#N/A</v>
      </c>
      <c r="G2265" t="e">
        <f>VLOOKUP(Tabelle8[[#This Row],[Rank]],Stammdaten[[Rank Verteilung D Mitte mit Rinde]:[Verteilung D Mitte mit Rinde]],2,FALSE)</f>
        <v>#N/A</v>
      </c>
      <c r="L2265">
        <v>2256</v>
      </c>
      <c r="M2265" t="e">
        <f>INDEX(Stammdaten[Abholzigkeit (mm/lfm)],MATCH(Tabelle9[[#This Row],[Rank]],Stammdaten[Rank Verteilung Abholzigkeit],0))</f>
        <v>#N/A</v>
      </c>
      <c r="N2265" t="e">
        <f>VLOOKUP(Tabelle9[[#This Row],[Rank]],Stammdaten[[Rank Verteilung Abholzigkeit]:[Verteilung Abholzigkeit]],2,FALSE)</f>
        <v>#N/A</v>
      </c>
      <c r="S2265">
        <v>2256</v>
      </c>
      <c r="T2265" t="e">
        <f>INDEX(Stammdaten[Krümmung (mm/lfm)],MATCH(Tabelle10[[#This Row],[Rank]],Stammdaten[Rank Verteilung Krümmung],0))</f>
        <v>#N/A</v>
      </c>
      <c r="U2265" t="e">
        <f>VLOOKUP(Tabelle10[[#This Row],[Rank]],Stammdaten[[Rank Verteilung Krümmung]:[Verteilung Krümmung]],2,FALSE)</f>
        <v>#N/A</v>
      </c>
      <c r="Z2265">
        <v>2256</v>
      </c>
      <c r="AA2265" t="e">
        <f>INDEX(Stammdaten[Ovalität (']0,1'])],MATCH(Tabelle1014[[#This Row],[Rank]],Stammdaten[Rank Verteilung Ovalität],0))</f>
        <v>#N/A</v>
      </c>
      <c r="AB2265" t="e">
        <f>VLOOKUP(Tabelle1014[[#This Row],[Rank]],Stammdaten[[Rank Verteilung Ovalität]:[Verteilung Ovalität]],2,FALSE)</f>
        <v>#N/A</v>
      </c>
    </row>
    <row r="2266" spans="5:28" x14ac:dyDescent="0.35">
      <c r="E2266">
        <v>2257</v>
      </c>
      <c r="F2266" t="e">
        <f>INDEX(Stammdaten[D Mitte mit Rinde (mm)],MATCH(Tabelle8[[#This Row],[Rank]],Stammdaten[Rank Verteilung D Mitte mit Rinde],0))</f>
        <v>#N/A</v>
      </c>
      <c r="G2266" t="e">
        <f>VLOOKUP(Tabelle8[[#This Row],[Rank]],Stammdaten[[Rank Verteilung D Mitte mit Rinde]:[Verteilung D Mitte mit Rinde]],2,FALSE)</f>
        <v>#N/A</v>
      </c>
      <c r="L2266">
        <v>2257</v>
      </c>
      <c r="M2266" t="e">
        <f>INDEX(Stammdaten[Abholzigkeit (mm/lfm)],MATCH(Tabelle9[[#This Row],[Rank]],Stammdaten[Rank Verteilung Abholzigkeit],0))</f>
        <v>#N/A</v>
      </c>
      <c r="N2266" t="e">
        <f>VLOOKUP(Tabelle9[[#This Row],[Rank]],Stammdaten[[Rank Verteilung Abholzigkeit]:[Verteilung Abholzigkeit]],2,FALSE)</f>
        <v>#N/A</v>
      </c>
      <c r="S2266">
        <v>2257</v>
      </c>
      <c r="T2266" t="e">
        <f>INDEX(Stammdaten[Krümmung (mm/lfm)],MATCH(Tabelle10[[#This Row],[Rank]],Stammdaten[Rank Verteilung Krümmung],0))</f>
        <v>#N/A</v>
      </c>
      <c r="U2266" t="e">
        <f>VLOOKUP(Tabelle10[[#This Row],[Rank]],Stammdaten[[Rank Verteilung Krümmung]:[Verteilung Krümmung]],2,FALSE)</f>
        <v>#N/A</v>
      </c>
      <c r="Z2266">
        <v>2257</v>
      </c>
      <c r="AA2266" t="e">
        <f>INDEX(Stammdaten[Ovalität (']0,1'])],MATCH(Tabelle1014[[#This Row],[Rank]],Stammdaten[Rank Verteilung Ovalität],0))</f>
        <v>#N/A</v>
      </c>
      <c r="AB2266" t="e">
        <f>VLOOKUP(Tabelle1014[[#This Row],[Rank]],Stammdaten[[Rank Verteilung Ovalität]:[Verteilung Ovalität]],2,FALSE)</f>
        <v>#N/A</v>
      </c>
    </row>
    <row r="2267" spans="5:28" x14ac:dyDescent="0.35">
      <c r="E2267">
        <v>2258</v>
      </c>
      <c r="F2267" t="e">
        <f>INDEX(Stammdaten[D Mitte mit Rinde (mm)],MATCH(Tabelle8[[#This Row],[Rank]],Stammdaten[Rank Verteilung D Mitte mit Rinde],0))</f>
        <v>#N/A</v>
      </c>
      <c r="G2267" t="e">
        <f>VLOOKUP(Tabelle8[[#This Row],[Rank]],Stammdaten[[Rank Verteilung D Mitte mit Rinde]:[Verteilung D Mitte mit Rinde]],2,FALSE)</f>
        <v>#N/A</v>
      </c>
      <c r="L2267">
        <v>2258</v>
      </c>
      <c r="M2267" t="e">
        <f>INDEX(Stammdaten[Abholzigkeit (mm/lfm)],MATCH(Tabelle9[[#This Row],[Rank]],Stammdaten[Rank Verteilung Abholzigkeit],0))</f>
        <v>#N/A</v>
      </c>
      <c r="N2267" t="e">
        <f>VLOOKUP(Tabelle9[[#This Row],[Rank]],Stammdaten[[Rank Verteilung Abholzigkeit]:[Verteilung Abholzigkeit]],2,FALSE)</f>
        <v>#N/A</v>
      </c>
      <c r="S2267">
        <v>2258</v>
      </c>
      <c r="T2267" t="e">
        <f>INDEX(Stammdaten[Krümmung (mm/lfm)],MATCH(Tabelle10[[#This Row],[Rank]],Stammdaten[Rank Verteilung Krümmung],0))</f>
        <v>#N/A</v>
      </c>
      <c r="U2267" t="e">
        <f>VLOOKUP(Tabelle10[[#This Row],[Rank]],Stammdaten[[Rank Verteilung Krümmung]:[Verteilung Krümmung]],2,FALSE)</f>
        <v>#N/A</v>
      </c>
      <c r="Z2267">
        <v>2258</v>
      </c>
      <c r="AA2267" t="e">
        <f>INDEX(Stammdaten[Ovalität (']0,1'])],MATCH(Tabelle1014[[#This Row],[Rank]],Stammdaten[Rank Verteilung Ovalität],0))</f>
        <v>#N/A</v>
      </c>
      <c r="AB2267" t="e">
        <f>VLOOKUP(Tabelle1014[[#This Row],[Rank]],Stammdaten[[Rank Verteilung Ovalität]:[Verteilung Ovalität]],2,FALSE)</f>
        <v>#N/A</v>
      </c>
    </row>
    <row r="2268" spans="5:28" x14ac:dyDescent="0.35">
      <c r="E2268">
        <v>2259</v>
      </c>
      <c r="F2268" t="e">
        <f>INDEX(Stammdaten[D Mitte mit Rinde (mm)],MATCH(Tabelle8[[#This Row],[Rank]],Stammdaten[Rank Verteilung D Mitte mit Rinde],0))</f>
        <v>#N/A</v>
      </c>
      <c r="G2268" t="e">
        <f>VLOOKUP(Tabelle8[[#This Row],[Rank]],Stammdaten[[Rank Verteilung D Mitte mit Rinde]:[Verteilung D Mitte mit Rinde]],2,FALSE)</f>
        <v>#N/A</v>
      </c>
      <c r="L2268">
        <v>2259</v>
      </c>
      <c r="M2268" t="e">
        <f>INDEX(Stammdaten[Abholzigkeit (mm/lfm)],MATCH(Tabelle9[[#This Row],[Rank]],Stammdaten[Rank Verteilung Abholzigkeit],0))</f>
        <v>#N/A</v>
      </c>
      <c r="N2268" t="e">
        <f>VLOOKUP(Tabelle9[[#This Row],[Rank]],Stammdaten[[Rank Verteilung Abholzigkeit]:[Verteilung Abholzigkeit]],2,FALSE)</f>
        <v>#N/A</v>
      </c>
      <c r="S2268">
        <v>2259</v>
      </c>
      <c r="T2268" t="e">
        <f>INDEX(Stammdaten[Krümmung (mm/lfm)],MATCH(Tabelle10[[#This Row],[Rank]],Stammdaten[Rank Verteilung Krümmung],0))</f>
        <v>#N/A</v>
      </c>
      <c r="U2268" t="e">
        <f>VLOOKUP(Tabelle10[[#This Row],[Rank]],Stammdaten[[Rank Verteilung Krümmung]:[Verteilung Krümmung]],2,FALSE)</f>
        <v>#N/A</v>
      </c>
      <c r="Z2268">
        <v>2259</v>
      </c>
      <c r="AA2268" t="e">
        <f>INDEX(Stammdaten[Ovalität (']0,1'])],MATCH(Tabelle1014[[#This Row],[Rank]],Stammdaten[Rank Verteilung Ovalität],0))</f>
        <v>#N/A</v>
      </c>
      <c r="AB2268" t="e">
        <f>VLOOKUP(Tabelle1014[[#This Row],[Rank]],Stammdaten[[Rank Verteilung Ovalität]:[Verteilung Ovalität]],2,FALSE)</f>
        <v>#N/A</v>
      </c>
    </row>
    <row r="2269" spans="5:28" x14ac:dyDescent="0.35">
      <c r="E2269">
        <v>2260</v>
      </c>
      <c r="F2269" t="e">
        <f>INDEX(Stammdaten[D Mitte mit Rinde (mm)],MATCH(Tabelle8[[#This Row],[Rank]],Stammdaten[Rank Verteilung D Mitte mit Rinde],0))</f>
        <v>#N/A</v>
      </c>
      <c r="G2269" t="e">
        <f>VLOOKUP(Tabelle8[[#This Row],[Rank]],Stammdaten[[Rank Verteilung D Mitte mit Rinde]:[Verteilung D Mitte mit Rinde]],2,FALSE)</f>
        <v>#N/A</v>
      </c>
      <c r="L2269">
        <v>2260</v>
      </c>
      <c r="M2269" t="e">
        <f>INDEX(Stammdaten[Abholzigkeit (mm/lfm)],MATCH(Tabelle9[[#This Row],[Rank]],Stammdaten[Rank Verteilung Abholzigkeit],0))</f>
        <v>#N/A</v>
      </c>
      <c r="N2269" t="e">
        <f>VLOOKUP(Tabelle9[[#This Row],[Rank]],Stammdaten[[Rank Verteilung Abholzigkeit]:[Verteilung Abholzigkeit]],2,FALSE)</f>
        <v>#N/A</v>
      </c>
      <c r="S2269">
        <v>2260</v>
      </c>
      <c r="T2269" t="e">
        <f>INDEX(Stammdaten[Krümmung (mm/lfm)],MATCH(Tabelle10[[#This Row],[Rank]],Stammdaten[Rank Verteilung Krümmung],0))</f>
        <v>#N/A</v>
      </c>
      <c r="U2269" t="e">
        <f>VLOOKUP(Tabelle10[[#This Row],[Rank]],Stammdaten[[Rank Verteilung Krümmung]:[Verteilung Krümmung]],2,FALSE)</f>
        <v>#N/A</v>
      </c>
      <c r="Z2269">
        <v>2260</v>
      </c>
      <c r="AA2269" t="e">
        <f>INDEX(Stammdaten[Ovalität (']0,1'])],MATCH(Tabelle1014[[#This Row],[Rank]],Stammdaten[Rank Verteilung Ovalität],0))</f>
        <v>#N/A</v>
      </c>
      <c r="AB2269" t="e">
        <f>VLOOKUP(Tabelle1014[[#This Row],[Rank]],Stammdaten[[Rank Verteilung Ovalität]:[Verteilung Ovalität]],2,FALSE)</f>
        <v>#N/A</v>
      </c>
    </row>
    <row r="2270" spans="5:28" x14ac:dyDescent="0.35">
      <c r="E2270">
        <v>2261</v>
      </c>
      <c r="F2270" t="e">
        <f>INDEX(Stammdaten[D Mitte mit Rinde (mm)],MATCH(Tabelle8[[#This Row],[Rank]],Stammdaten[Rank Verteilung D Mitte mit Rinde],0))</f>
        <v>#N/A</v>
      </c>
      <c r="G2270" t="e">
        <f>VLOOKUP(Tabelle8[[#This Row],[Rank]],Stammdaten[[Rank Verteilung D Mitte mit Rinde]:[Verteilung D Mitte mit Rinde]],2,FALSE)</f>
        <v>#N/A</v>
      </c>
      <c r="L2270">
        <v>2261</v>
      </c>
      <c r="M2270" t="e">
        <f>INDEX(Stammdaten[Abholzigkeit (mm/lfm)],MATCH(Tabelle9[[#This Row],[Rank]],Stammdaten[Rank Verteilung Abholzigkeit],0))</f>
        <v>#N/A</v>
      </c>
      <c r="N2270" t="e">
        <f>VLOOKUP(Tabelle9[[#This Row],[Rank]],Stammdaten[[Rank Verteilung Abholzigkeit]:[Verteilung Abholzigkeit]],2,FALSE)</f>
        <v>#N/A</v>
      </c>
      <c r="S2270">
        <v>2261</v>
      </c>
      <c r="T2270" t="e">
        <f>INDEX(Stammdaten[Krümmung (mm/lfm)],MATCH(Tabelle10[[#This Row],[Rank]],Stammdaten[Rank Verteilung Krümmung],0))</f>
        <v>#N/A</v>
      </c>
      <c r="U2270" t="e">
        <f>VLOOKUP(Tabelle10[[#This Row],[Rank]],Stammdaten[[Rank Verteilung Krümmung]:[Verteilung Krümmung]],2,FALSE)</f>
        <v>#N/A</v>
      </c>
      <c r="Z2270">
        <v>2261</v>
      </c>
      <c r="AA2270" t="e">
        <f>INDEX(Stammdaten[Ovalität (']0,1'])],MATCH(Tabelle1014[[#This Row],[Rank]],Stammdaten[Rank Verteilung Ovalität],0))</f>
        <v>#N/A</v>
      </c>
      <c r="AB2270" t="e">
        <f>VLOOKUP(Tabelle1014[[#This Row],[Rank]],Stammdaten[[Rank Verteilung Ovalität]:[Verteilung Ovalität]],2,FALSE)</f>
        <v>#N/A</v>
      </c>
    </row>
    <row r="2271" spans="5:28" x14ac:dyDescent="0.35">
      <c r="E2271">
        <v>2262</v>
      </c>
      <c r="F2271" t="e">
        <f>INDEX(Stammdaten[D Mitte mit Rinde (mm)],MATCH(Tabelle8[[#This Row],[Rank]],Stammdaten[Rank Verteilung D Mitte mit Rinde],0))</f>
        <v>#N/A</v>
      </c>
      <c r="G2271" t="e">
        <f>VLOOKUP(Tabelle8[[#This Row],[Rank]],Stammdaten[[Rank Verteilung D Mitte mit Rinde]:[Verteilung D Mitte mit Rinde]],2,FALSE)</f>
        <v>#N/A</v>
      </c>
      <c r="L2271">
        <v>2262</v>
      </c>
      <c r="M2271" t="e">
        <f>INDEX(Stammdaten[Abholzigkeit (mm/lfm)],MATCH(Tabelle9[[#This Row],[Rank]],Stammdaten[Rank Verteilung Abholzigkeit],0))</f>
        <v>#N/A</v>
      </c>
      <c r="N2271" t="e">
        <f>VLOOKUP(Tabelle9[[#This Row],[Rank]],Stammdaten[[Rank Verteilung Abholzigkeit]:[Verteilung Abholzigkeit]],2,FALSE)</f>
        <v>#N/A</v>
      </c>
      <c r="S2271">
        <v>2262</v>
      </c>
      <c r="T2271" t="e">
        <f>INDEX(Stammdaten[Krümmung (mm/lfm)],MATCH(Tabelle10[[#This Row],[Rank]],Stammdaten[Rank Verteilung Krümmung],0))</f>
        <v>#N/A</v>
      </c>
      <c r="U2271" t="e">
        <f>VLOOKUP(Tabelle10[[#This Row],[Rank]],Stammdaten[[Rank Verteilung Krümmung]:[Verteilung Krümmung]],2,FALSE)</f>
        <v>#N/A</v>
      </c>
      <c r="Z2271">
        <v>2262</v>
      </c>
      <c r="AA2271" t="e">
        <f>INDEX(Stammdaten[Ovalität (']0,1'])],MATCH(Tabelle1014[[#This Row],[Rank]],Stammdaten[Rank Verteilung Ovalität],0))</f>
        <v>#N/A</v>
      </c>
      <c r="AB2271" t="e">
        <f>VLOOKUP(Tabelle1014[[#This Row],[Rank]],Stammdaten[[Rank Verteilung Ovalität]:[Verteilung Ovalität]],2,FALSE)</f>
        <v>#N/A</v>
      </c>
    </row>
    <row r="2272" spans="5:28" x14ac:dyDescent="0.35">
      <c r="E2272">
        <v>2263</v>
      </c>
      <c r="F2272" t="e">
        <f>INDEX(Stammdaten[D Mitte mit Rinde (mm)],MATCH(Tabelle8[[#This Row],[Rank]],Stammdaten[Rank Verteilung D Mitte mit Rinde],0))</f>
        <v>#N/A</v>
      </c>
      <c r="G2272" t="e">
        <f>VLOOKUP(Tabelle8[[#This Row],[Rank]],Stammdaten[[Rank Verteilung D Mitte mit Rinde]:[Verteilung D Mitte mit Rinde]],2,FALSE)</f>
        <v>#N/A</v>
      </c>
      <c r="L2272">
        <v>2263</v>
      </c>
      <c r="M2272" t="e">
        <f>INDEX(Stammdaten[Abholzigkeit (mm/lfm)],MATCH(Tabelle9[[#This Row],[Rank]],Stammdaten[Rank Verteilung Abholzigkeit],0))</f>
        <v>#N/A</v>
      </c>
      <c r="N2272" t="e">
        <f>VLOOKUP(Tabelle9[[#This Row],[Rank]],Stammdaten[[Rank Verteilung Abholzigkeit]:[Verteilung Abholzigkeit]],2,FALSE)</f>
        <v>#N/A</v>
      </c>
      <c r="S2272">
        <v>2263</v>
      </c>
      <c r="T2272" t="e">
        <f>INDEX(Stammdaten[Krümmung (mm/lfm)],MATCH(Tabelle10[[#This Row],[Rank]],Stammdaten[Rank Verteilung Krümmung],0))</f>
        <v>#N/A</v>
      </c>
      <c r="U2272" t="e">
        <f>VLOOKUP(Tabelle10[[#This Row],[Rank]],Stammdaten[[Rank Verteilung Krümmung]:[Verteilung Krümmung]],2,FALSE)</f>
        <v>#N/A</v>
      </c>
      <c r="Z2272">
        <v>2263</v>
      </c>
      <c r="AA2272" t="e">
        <f>INDEX(Stammdaten[Ovalität (']0,1'])],MATCH(Tabelle1014[[#This Row],[Rank]],Stammdaten[Rank Verteilung Ovalität],0))</f>
        <v>#N/A</v>
      </c>
      <c r="AB2272" t="e">
        <f>VLOOKUP(Tabelle1014[[#This Row],[Rank]],Stammdaten[[Rank Verteilung Ovalität]:[Verteilung Ovalität]],2,FALSE)</f>
        <v>#N/A</v>
      </c>
    </row>
    <row r="2273" spans="5:28" x14ac:dyDescent="0.35">
      <c r="E2273">
        <v>2264</v>
      </c>
      <c r="F2273" t="e">
        <f>INDEX(Stammdaten[D Mitte mit Rinde (mm)],MATCH(Tabelle8[[#This Row],[Rank]],Stammdaten[Rank Verteilung D Mitte mit Rinde],0))</f>
        <v>#N/A</v>
      </c>
      <c r="G2273" t="e">
        <f>VLOOKUP(Tabelle8[[#This Row],[Rank]],Stammdaten[[Rank Verteilung D Mitte mit Rinde]:[Verteilung D Mitte mit Rinde]],2,FALSE)</f>
        <v>#N/A</v>
      </c>
      <c r="L2273">
        <v>2264</v>
      </c>
      <c r="M2273" t="e">
        <f>INDEX(Stammdaten[Abholzigkeit (mm/lfm)],MATCH(Tabelle9[[#This Row],[Rank]],Stammdaten[Rank Verteilung Abholzigkeit],0))</f>
        <v>#N/A</v>
      </c>
      <c r="N2273" t="e">
        <f>VLOOKUP(Tabelle9[[#This Row],[Rank]],Stammdaten[[Rank Verteilung Abholzigkeit]:[Verteilung Abholzigkeit]],2,FALSE)</f>
        <v>#N/A</v>
      </c>
      <c r="S2273">
        <v>2264</v>
      </c>
      <c r="T2273" t="e">
        <f>INDEX(Stammdaten[Krümmung (mm/lfm)],MATCH(Tabelle10[[#This Row],[Rank]],Stammdaten[Rank Verteilung Krümmung],0))</f>
        <v>#N/A</v>
      </c>
      <c r="U2273" t="e">
        <f>VLOOKUP(Tabelle10[[#This Row],[Rank]],Stammdaten[[Rank Verteilung Krümmung]:[Verteilung Krümmung]],2,FALSE)</f>
        <v>#N/A</v>
      </c>
      <c r="Z2273">
        <v>2264</v>
      </c>
      <c r="AA2273" t="e">
        <f>INDEX(Stammdaten[Ovalität (']0,1'])],MATCH(Tabelle1014[[#This Row],[Rank]],Stammdaten[Rank Verteilung Ovalität],0))</f>
        <v>#N/A</v>
      </c>
      <c r="AB2273" t="e">
        <f>VLOOKUP(Tabelle1014[[#This Row],[Rank]],Stammdaten[[Rank Verteilung Ovalität]:[Verteilung Ovalität]],2,FALSE)</f>
        <v>#N/A</v>
      </c>
    </row>
    <row r="2274" spans="5:28" x14ac:dyDescent="0.35">
      <c r="E2274">
        <v>2265</v>
      </c>
      <c r="F2274" t="e">
        <f>INDEX(Stammdaten[D Mitte mit Rinde (mm)],MATCH(Tabelle8[[#This Row],[Rank]],Stammdaten[Rank Verteilung D Mitte mit Rinde],0))</f>
        <v>#N/A</v>
      </c>
      <c r="G2274" t="e">
        <f>VLOOKUP(Tabelle8[[#This Row],[Rank]],Stammdaten[[Rank Verteilung D Mitte mit Rinde]:[Verteilung D Mitte mit Rinde]],2,FALSE)</f>
        <v>#N/A</v>
      </c>
      <c r="L2274">
        <v>2265</v>
      </c>
      <c r="M2274" t="e">
        <f>INDEX(Stammdaten[Abholzigkeit (mm/lfm)],MATCH(Tabelle9[[#This Row],[Rank]],Stammdaten[Rank Verteilung Abholzigkeit],0))</f>
        <v>#N/A</v>
      </c>
      <c r="N2274" t="e">
        <f>VLOOKUP(Tabelle9[[#This Row],[Rank]],Stammdaten[[Rank Verteilung Abholzigkeit]:[Verteilung Abholzigkeit]],2,FALSE)</f>
        <v>#N/A</v>
      </c>
      <c r="S2274">
        <v>2265</v>
      </c>
      <c r="T2274" t="e">
        <f>INDEX(Stammdaten[Krümmung (mm/lfm)],MATCH(Tabelle10[[#This Row],[Rank]],Stammdaten[Rank Verteilung Krümmung],0))</f>
        <v>#N/A</v>
      </c>
      <c r="U2274" t="e">
        <f>VLOOKUP(Tabelle10[[#This Row],[Rank]],Stammdaten[[Rank Verteilung Krümmung]:[Verteilung Krümmung]],2,FALSE)</f>
        <v>#N/A</v>
      </c>
      <c r="Z2274">
        <v>2265</v>
      </c>
      <c r="AA2274" t="e">
        <f>INDEX(Stammdaten[Ovalität (']0,1'])],MATCH(Tabelle1014[[#This Row],[Rank]],Stammdaten[Rank Verteilung Ovalität],0))</f>
        <v>#N/A</v>
      </c>
      <c r="AB2274" t="e">
        <f>VLOOKUP(Tabelle1014[[#This Row],[Rank]],Stammdaten[[Rank Verteilung Ovalität]:[Verteilung Ovalität]],2,FALSE)</f>
        <v>#N/A</v>
      </c>
    </row>
    <row r="2275" spans="5:28" x14ac:dyDescent="0.35">
      <c r="E2275">
        <v>2266</v>
      </c>
      <c r="F2275" t="e">
        <f>INDEX(Stammdaten[D Mitte mit Rinde (mm)],MATCH(Tabelle8[[#This Row],[Rank]],Stammdaten[Rank Verteilung D Mitte mit Rinde],0))</f>
        <v>#N/A</v>
      </c>
      <c r="G2275" t="e">
        <f>VLOOKUP(Tabelle8[[#This Row],[Rank]],Stammdaten[[Rank Verteilung D Mitte mit Rinde]:[Verteilung D Mitte mit Rinde]],2,FALSE)</f>
        <v>#N/A</v>
      </c>
      <c r="L2275">
        <v>2266</v>
      </c>
      <c r="M2275" t="e">
        <f>INDEX(Stammdaten[Abholzigkeit (mm/lfm)],MATCH(Tabelle9[[#This Row],[Rank]],Stammdaten[Rank Verteilung Abholzigkeit],0))</f>
        <v>#N/A</v>
      </c>
      <c r="N2275" t="e">
        <f>VLOOKUP(Tabelle9[[#This Row],[Rank]],Stammdaten[[Rank Verteilung Abholzigkeit]:[Verteilung Abholzigkeit]],2,FALSE)</f>
        <v>#N/A</v>
      </c>
      <c r="S2275">
        <v>2266</v>
      </c>
      <c r="T2275" t="e">
        <f>INDEX(Stammdaten[Krümmung (mm/lfm)],MATCH(Tabelle10[[#This Row],[Rank]],Stammdaten[Rank Verteilung Krümmung],0))</f>
        <v>#N/A</v>
      </c>
      <c r="U2275" t="e">
        <f>VLOOKUP(Tabelle10[[#This Row],[Rank]],Stammdaten[[Rank Verteilung Krümmung]:[Verteilung Krümmung]],2,FALSE)</f>
        <v>#N/A</v>
      </c>
      <c r="Z2275">
        <v>2266</v>
      </c>
      <c r="AA2275" t="e">
        <f>INDEX(Stammdaten[Ovalität (']0,1'])],MATCH(Tabelle1014[[#This Row],[Rank]],Stammdaten[Rank Verteilung Ovalität],0))</f>
        <v>#N/A</v>
      </c>
      <c r="AB2275" t="e">
        <f>VLOOKUP(Tabelle1014[[#This Row],[Rank]],Stammdaten[[Rank Verteilung Ovalität]:[Verteilung Ovalität]],2,FALSE)</f>
        <v>#N/A</v>
      </c>
    </row>
    <row r="2276" spans="5:28" x14ac:dyDescent="0.35">
      <c r="E2276">
        <v>2267</v>
      </c>
      <c r="F2276" t="e">
        <f>INDEX(Stammdaten[D Mitte mit Rinde (mm)],MATCH(Tabelle8[[#This Row],[Rank]],Stammdaten[Rank Verteilung D Mitte mit Rinde],0))</f>
        <v>#N/A</v>
      </c>
      <c r="G2276" t="e">
        <f>VLOOKUP(Tabelle8[[#This Row],[Rank]],Stammdaten[[Rank Verteilung D Mitte mit Rinde]:[Verteilung D Mitte mit Rinde]],2,FALSE)</f>
        <v>#N/A</v>
      </c>
      <c r="L2276">
        <v>2267</v>
      </c>
      <c r="M2276" t="e">
        <f>INDEX(Stammdaten[Abholzigkeit (mm/lfm)],MATCH(Tabelle9[[#This Row],[Rank]],Stammdaten[Rank Verteilung Abholzigkeit],0))</f>
        <v>#N/A</v>
      </c>
      <c r="N2276" t="e">
        <f>VLOOKUP(Tabelle9[[#This Row],[Rank]],Stammdaten[[Rank Verteilung Abholzigkeit]:[Verteilung Abholzigkeit]],2,FALSE)</f>
        <v>#N/A</v>
      </c>
      <c r="S2276">
        <v>2267</v>
      </c>
      <c r="T2276" t="e">
        <f>INDEX(Stammdaten[Krümmung (mm/lfm)],MATCH(Tabelle10[[#This Row],[Rank]],Stammdaten[Rank Verteilung Krümmung],0))</f>
        <v>#N/A</v>
      </c>
      <c r="U2276" t="e">
        <f>VLOOKUP(Tabelle10[[#This Row],[Rank]],Stammdaten[[Rank Verteilung Krümmung]:[Verteilung Krümmung]],2,FALSE)</f>
        <v>#N/A</v>
      </c>
      <c r="Z2276">
        <v>2267</v>
      </c>
      <c r="AA2276" t="e">
        <f>INDEX(Stammdaten[Ovalität (']0,1'])],MATCH(Tabelle1014[[#This Row],[Rank]],Stammdaten[Rank Verteilung Ovalität],0))</f>
        <v>#N/A</v>
      </c>
      <c r="AB2276" t="e">
        <f>VLOOKUP(Tabelle1014[[#This Row],[Rank]],Stammdaten[[Rank Verteilung Ovalität]:[Verteilung Ovalität]],2,FALSE)</f>
        <v>#N/A</v>
      </c>
    </row>
    <row r="2277" spans="5:28" x14ac:dyDescent="0.35">
      <c r="E2277">
        <v>2268</v>
      </c>
      <c r="F2277" t="e">
        <f>INDEX(Stammdaten[D Mitte mit Rinde (mm)],MATCH(Tabelle8[[#This Row],[Rank]],Stammdaten[Rank Verteilung D Mitte mit Rinde],0))</f>
        <v>#N/A</v>
      </c>
      <c r="G2277" t="e">
        <f>VLOOKUP(Tabelle8[[#This Row],[Rank]],Stammdaten[[Rank Verteilung D Mitte mit Rinde]:[Verteilung D Mitte mit Rinde]],2,FALSE)</f>
        <v>#N/A</v>
      </c>
      <c r="L2277">
        <v>2268</v>
      </c>
      <c r="M2277" t="e">
        <f>INDEX(Stammdaten[Abholzigkeit (mm/lfm)],MATCH(Tabelle9[[#This Row],[Rank]],Stammdaten[Rank Verteilung Abholzigkeit],0))</f>
        <v>#N/A</v>
      </c>
      <c r="N2277" t="e">
        <f>VLOOKUP(Tabelle9[[#This Row],[Rank]],Stammdaten[[Rank Verteilung Abholzigkeit]:[Verteilung Abholzigkeit]],2,FALSE)</f>
        <v>#N/A</v>
      </c>
      <c r="S2277">
        <v>2268</v>
      </c>
      <c r="T2277" t="e">
        <f>INDEX(Stammdaten[Krümmung (mm/lfm)],MATCH(Tabelle10[[#This Row],[Rank]],Stammdaten[Rank Verteilung Krümmung],0))</f>
        <v>#N/A</v>
      </c>
      <c r="U2277" t="e">
        <f>VLOOKUP(Tabelle10[[#This Row],[Rank]],Stammdaten[[Rank Verteilung Krümmung]:[Verteilung Krümmung]],2,FALSE)</f>
        <v>#N/A</v>
      </c>
      <c r="Z2277">
        <v>2268</v>
      </c>
      <c r="AA2277" t="e">
        <f>INDEX(Stammdaten[Ovalität (']0,1'])],MATCH(Tabelle1014[[#This Row],[Rank]],Stammdaten[Rank Verteilung Ovalität],0))</f>
        <v>#N/A</v>
      </c>
      <c r="AB2277" t="e">
        <f>VLOOKUP(Tabelle1014[[#This Row],[Rank]],Stammdaten[[Rank Verteilung Ovalität]:[Verteilung Ovalität]],2,FALSE)</f>
        <v>#N/A</v>
      </c>
    </row>
    <row r="2278" spans="5:28" x14ac:dyDescent="0.35">
      <c r="E2278">
        <v>2269</v>
      </c>
      <c r="F2278" t="e">
        <f>INDEX(Stammdaten[D Mitte mit Rinde (mm)],MATCH(Tabelle8[[#This Row],[Rank]],Stammdaten[Rank Verteilung D Mitte mit Rinde],0))</f>
        <v>#N/A</v>
      </c>
      <c r="G2278" t="e">
        <f>VLOOKUP(Tabelle8[[#This Row],[Rank]],Stammdaten[[Rank Verteilung D Mitte mit Rinde]:[Verteilung D Mitte mit Rinde]],2,FALSE)</f>
        <v>#N/A</v>
      </c>
      <c r="L2278">
        <v>2269</v>
      </c>
      <c r="M2278" t="e">
        <f>INDEX(Stammdaten[Abholzigkeit (mm/lfm)],MATCH(Tabelle9[[#This Row],[Rank]],Stammdaten[Rank Verteilung Abholzigkeit],0))</f>
        <v>#N/A</v>
      </c>
      <c r="N2278" t="e">
        <f>VLOOKUP(Tabelle9[[#This Row],[Rank]],Stammdaten[[Rank Verteilung Abholzigkeit]:[Verteilung Abholzigkeit]],2,FALSE)</f>
        <v>#N/A</v>
      </c>
      <c r="S2278">
        <v>2269</v>
      </c>
      <c r="T2278" t="e">
        <f>INDEX(Stammdaten[Krümmung (mm/lfm)],MATCH(Tabelle10[[#This Row],[Rank]],Stammdaten[Rank Verteilung Krümmung],0))</f>
        <v>#N/A</v>
      </c>
      <c r="U2278" t="e">
        <f>VLOOKUP(Tabelle10[[#This Row],[Rank]],Stammdaten[[Rank Verteilung Krümmung]:[Verteilung Krümmung]],2,FALSE)</f>
        <v>#N/A</v>
      </c>
      <c r="Z2278">
        <v>2269</v>
      </c>
      <c r="AA2278" t="e">
        <f>INDEX(Stammdaten[Ovalität (']0,1'])],MATCH(Tabelle1014[[#This Row],[Rank]],Stammdaten[Rank Verteilung Ovalität],0))</f>
        <v>#N/A</v>
      </c>
      <c r="AB2278" t="e">
        <f>VLOOKUP(Tabelle1014[[#This Row],[Rank]],Stammdaten[[Rank Verteilung Ovalität]:[Verteilung Ovalität]],2,FALSE)</f>
        <v>#N/A</v>
      </c>
    </row>
    <row r="2279" spans="5:28" x14ac:dyDescent="0.35">
      <c r="E2279">
        <v>2270</v>
      </c>
      <c r="F2279" t="e">
        <f>INDEX(Stammdaten[D Mitte mit Rinde (mm)],MATCH(Tabelle8[[#This Row],[Rank]],Stammdaten[Rank Verteilung D Mitte mit Rinde],0))</f>
        <v>#N/A</v>
      </c>
      <c r="G2279" t="e">
        <f>VLOOKUP(Tabelle8[[#This Row],[Rank]],Stammdaten[[Rank Verteilung D Mitte mit Rinde]:[Verteilung D Mitte mit Rinde]],2,FALSE)</f>
        <v>#N/A</v>
      </c>
      <c r="L2279">
        <v>2270</v>
      </c>
      <c r="M2279" t="e">
        <f>INDEX(Stammdaten[Abholzigkeit (mm/lfm)],MATCH(Tabelle9[[#This Row],[Rank]],Stammdaten[Rank Verteilung Abholzigkeit],0))</f>
        <v>#N/A</v>
      </c>
      <c r="N2279" t="e">
        <f>VLOOKUP(Tabelle9[[#This Row],[Rank]],Stammdaten[[Rank Verteilung Abholzigkeit]:[Verteilung Abholzigkeit]],2,FALSE)</f>
        <v>#N/A</v>
      </c>
      <c r="S2279">
        <v>2270</v>
      </c>
      <c r="T2279" t="e">
        <f>INDEX(Stammdaten[Krümmung (mm/lfm)],MATCH(Tabelle10[[#This Row],[Rank]],Stammdaten[Rank Verteilung Krümmung],0))</f>
        <v>#N/A</v>
      </c>
      <c r="U2279" t="e">
        <f>VLOOKUP(Tabelle10[[#This Row],[Rank]],Stammdaten[[Rank Verteilung Krümmung]:[Verteilung Krümmung]],2,FALSE)</f>
        <v>#N/A</v>
      </c>
      <c r="Z2279">
        <v>2270</v>
      </c>
      <c r="AA2279" t="e">
        <f>INDEX(Stammdaten[Ovalität (']0,1'])],MATCH(Tabelle1014[[#This Row],[Rank]],Stammdaten[Rank Verteilung Ovalität],0))</f>
        <v>#N/A</v>
      </c>
      <c r="AB2279" t="e">
        <f>VLOOKUP(Tabelle1014[[#This Row],[Rank]],Stammdaten[[Rank Verteilung Ovalität]:[Verteilung Ovalität]],2,FALSE)</f>
        <v>#N/A</v>
      </c>
    </row>
    <row r="2280" spans="5:28" x14ac:dyDescent="0.35">
      <c r="E2280">
        <v>2271</v>
      </c>
      <c r="F2280" t="e">
        <f>INDEX(Stammdaten[D Mitte mit Rinde (mm)],MATCH(Tabelle8[[#This Row],[Rank]],Stammdaten[Rank Verteilung D Mitte mit Rinde],0))</f>
        <v>#N/A</v>
      </c>
      <c r="G2280" t="e">
        <f>VLOOKUP(Tabelle8[[#This Row],[Rank]],Stammdaten[[Rank Verteilung D Mitte mit Rinde]:[Verteilung D Mitte mit Rinde]],2,FALSE)</f>
        <v>#N/A</v>
      </c>
      <c r="L2280">
        <v>2271</v>
      </c>
      <c r="M2280" t="e">
        <f>INDEX(Stammdaten[Abholzigkeit (mm/lfm)],MATCH(Tabelle9[[#This Row],[Rank]],Stammdaten[Rank Verteilung Abholzigkeit],0))</f>
        <v>#N/A</v>
      </c>
      <c r="N2280" t="e">
        <f>VLOOKUP(Tabelle9[[#This Row],[Rank]],Stammdaten[[Rank Verteilung Abholzigkeit]:[Verteilung Abholzigkeit]],2,FALSE)</f>
        <v>#N/A</v>
      </c>
      <c r="S2280">
        <v>2271</v>
      </c>
      <c r="T2280" t="e">
        <f>INDEX(Stammdaten[Krümmung (mm/lfm)],MATCH(Tabelle10[[#This Row],[Rank]],Stammdaten[Rank Verteilung Krümmung],0))</f>
        <v>#N/A</v>
      </c>
      <c r="U2280" t="e">
        <f>VLOOKUP(Tabelle10[[#This Row],[Rank]],Stammdaten[[Rank Verteilung Krümmung]:[Verteilung Krümmung]],2,FALSE)</f>
        <v>#N/A</v>
      </c>
      <c r="Z2280">
        <v>2271</v>
      </c>
      <c r="AA2280" t="e">
        <f>INDEX(Stammdaten[Ovalität (']0,1'])],MATCH(Tabelle1014[[#This Row],[Rank]],Stammdaten[Rank Verteilung Ovalität],0))</f>
        <v>#N/A</v>
      </c>
      <c r="AB2280" t="e">
        <f>VLOOKUP(Tabelle1014[[#This Row],[Rank]],Stammdaten[[Rank Verteilung Ovalität]:[Verteilung Ovalität]],2,FALSE)</f>
        <v>#N/A</v>
      </c>
    </row>
    <row r="2281" spans="5:28" x14ac:dyDescent="0.35">
      <c r="E2281">
        <v>2272</v>
      </c>
      <c r="F2281" t="e">
        <f>INDEX(Stammdaten[D Mitte mit Rinde (mm)],MATCH(Tabelle8[[#This Row],[Rank]],Stammdaten[Rank Verteilung D Mitte mit Rinde],0))</f>
        <v>#N/A</v>
      </c>
      <c r="G2281" t="e">
        <f>VLOOKUP(Tabelle8[[#This Row],[Rank]],Stammdaten[[Rank Verteilung D Mitte mit Rinde]:[Verteilung D Mitte mit Rinde]],2,FALSE)</f>
        <v>#N/A</v>
      </c>
      <c r="L2281">
        <v>2272</v>
      </c>
      <c r="M2281" t="e">
        <f>INDEX(Stammdaten[Abholzigkeit (mm/lfm)],MATCH(Tabelle9[[#This Row],[Rank]],Stammdaten[Rank Verteilung Abholzigkeit],0))</f>
        <v>#N/A</v>
      </c>
      <c r="N2281" t="e">
        <f>VLOOKUP(Tabelle9[[#This Row],[Rank]],Stammdaten[[Rank Verteilung Abholzigkeit]:[Verteilung Abholzigkeit]],2,FALSE)</f>
        <v>#N/A</v>
      </c>
      <c r="S2281">
        <v>2272</v>
      </c>
      <c r="T2281" t="e">
        <f>INDEX(Stammdaten[Krümmung (mm/lfm)],MATCH(Tabelle10[[#This Row],[Rank]],Stammdaten[Rank Verteilung Krümmung],0))</f>
        <v>#N/A</v>
      </c>
      <c r="U2281" t="e">
        <f>VLOOKUP(Tabelle10[[#This Row],[Rank]],Stammdaten[[Rank Verteilung Krümmung]:[Verteilung Krümmung]],2,FALSE)</f>
        <v>#N/A</v>
      </c>
      <c r="Z2281">
        <v>2272</v>
      </c>
      <c r="AA2281" t="e">
        <f>INDEX(Stammdaten[Ovalität (']0,1'])],MATCH(Tabelle1014[[#This Row],[Rank]],Stammdaten[Rank Verteilung Ovalität],0))</f>
        <v>#N/A</v>
      </c>
      <c r="AB2281" t="e">
        <f>VLOOKUP(Tabelle1014[[#This Row],[Rank]],Stammdaten[[Rank Verteilung Ovalität]:[Verteilung Ovalität]],2,FALSE)</f>
        <v>#N/A</v>
      </c>
    </row>
    <row r="2282" spans="5:28" x14ac:dyDescent="0.35">
      <c r="E2282">
        <v>2273</v>
      </c>
      <c r="F2282" t="e">
        <f>INDEX(Stammdaten[D Mitte mit Rinde (mm)],MATCH(Tabelle8[[#This Row],[Rank]],Stammdaten[Rank Verteilung D Mitte mit Rinde],0))</f>
        <v>#N/A</v>
      </c>
      <c r="G2282" t="e">
        <f>VLOOKUP(Tabelle8[[#This Row],[Rank]],Stammdaten[[Rank Verteilung D Mitte mit Rinde]:[Verteilung D Mitte mit Rinde]],2,FALSE)</f>
        <v>#N/A</v>
      </c>
      <c r="L2282">
        <v>2273</v>
      </c>
      <c r="M2282" t="e">
        <f>INDEX(Stammdaten[Abholzigkeit (mm/lfm)],MATCH(Tabelle9[[#This Row],[Rank]],Stammdaten[Rank Verteilung Abholzigkeit],0))</f>
        <v>#N/A</v>
      </c>
      <c r="N2282" t="e">
        <f>VLOOKUP(Tabelle9[[#This Row],[Rank]],Stammdaten[[Rank Verteilung Abholzigkeit]:[Verteilung Abholzigkeit]],2,FALSE)</f>
        <v>#N/A</v>
      </c>
      <c r="S2282">
        <v>2273</v>
      </c>
      <c r="T2282" t="e">
        <f>INDEX(Stammdaten[Krümmung (mm/lfm)],MATCH(Tabelle10[[#This Row],[Rank]],Stammdaten[Rank Verteilung Krümmung],0))</f>
        <v>#N/A</v>
      </c>
      <c r="U2282" t="e">
        <f>VLOOKUP(Tabelle10[[#This Row],[Rank]],Stammdaten[[Rank Verteilung Krümmung]:[Verteilung Krümmung]],2,FALSE)</f>
        <v>#N/A</v>
      </c>
      <c r="Z2282">
        <v>2273</v>
      </c>
      <c r="AA2282" t="e">
        <f>INDEX(Stammdaten[Ovalität (']0,1'])],MATCH(Tabelle1014[[#This Row],[Rank]],Stammdaten[Rank Verteilung Ovalität],0))</f>
        <v>#N/A</v>
      </c>
      <c r="AB2282" t="e">
        <f>VLOOKUP(Tabelle1014[[#This Row],[Rank]],Stammdaten[[Rank Verteilung Ovalität]:[Verteilung Ovalität]],2,FALSE)</f>
        <v>#N/A</v>
      </c>
    </row>
    <row r="2283" spans="5:28" x14ac:dyDescent="0.35">
      <c r="E2283">
        <v>2274</v>
      </c>
      <c r="F2283" t="e">
        <f>INDEX(Stammdaten[D Mitte mit Rinde (mm)],MATCH(Tabelle8[[#This Row],[Rank]],Stammdaten[Rank Verteilung D Mitte mit Rinde],0))</f>
        <v>#N/A</v>
      </c>
      <c r="G2283" t="e">
        <f>VLOOKUP(Tabelle8[[#This Row],[Rank]],Stammdaten[[Rank Verteilung D Mitte mit Rinde]:[Verteilung D Mitte mit Rinde]],2,FALSE)</f>
        <v>#N/A</v>
      </c>
      <c r="L2283">
        <v>2274</v>
      </c>
      <c r="M2283" t="e">
        <f>INDEX(Stammdaten[Abholzigkeit (mm/lfm)],MATCH(Tabelle9[[#This Row],[Rank]],Stammdaten[Rank Verteilung Abholzigkeit],0))</f>
        <v>#N/A</v>
      </c>
      <c r="N2283" t="e">
        <f>VLOOKUP(Tabelle9[[#This Row],[Rank]],Stammdaten[[Rank Verteilung Abholzigkeit]:[Verteilung Abholzigkeit]],2,FALSE)</f>
        <v>#N/A</v>
      </c>
      <c r="S2283">
        <v>2274</v>
      </c>
      <c r="T2283" t="e">
        <f>INDEX(Stammdaten[Krümmung (mm/lfm)],MATCH(Tabelle10[[#This Row],[Rank]],Stammdaten[Rank Verteilung Krümmung],0))</f>
        <v>#N/A</v>
      </c>
      <c r="U2283" t="e">
        <f>VLOOKUP(Tabelle10[[#This Row],[Rank]],Stammdaten[[Rank Verteilung Krümmung]:[Verteilung Krümmung]],2,FALSE)</f>
        <v>#N/A</v>
      </c>
      <c r="Z2283">
        <v>2274</v>
      </c>
      <c r="AA2283" t="e">
        <f>INDEX(Stammdaten[Ovalität (']0,1'])],MATCH(Tabelle1014[[#This Row],[Rank]],Stammdaten[Rank Verteilung Ovalität],0))</f>
        <v>#N/A</v>
      </c>
      <c r="AB2283" t="e">
        <f>VLOOKUP(Tabelle1014[[#This Row],[Rank]],Stammdaten[[Rank Verteilung Ovalität]:[Verteilung Ovalität]],2,FALSE)</f>
        <v>#N/A</v>
      </c>
    </row>
    <row r="2284" spans="5:28" x14ac:dyDescent="0.35">
      <c r="E2284">
        <v>2275</v>
      </c>
      <c r="F2284" t="e">
        <f>INDEX(Stammdaten[D Mitte mit Rinde (mm)],MATCH(Tabelle8[[#This Row],[Rank]],Stammdaten[Rank Verteilung D Mitte mit Rinde],0))</f>
        <v>#N/A</v>
      </c>
      <c r="G2284" t="e">
        <f>VLOOKUP(Tabelle8[[#This Row],[Rank]],Stammdaten[[Rank Verteilung D Mitte mit Rinde]:[Verteilung D Mitte mit Rinde]],2,FALSE)</f>
        <v>#N/A</v>
      </c>
      <c r="L2284">
        <v>2275</v>
      </c>
      <c r="M2284" t="e">
        <f>INDEX(Stammdaten[Abholzigkeit (mm/lfm)],MATCH(Tabelle9[[#This Row],[Rank]],Stammdaten[Rank Verteilung Abholzigkeit],0))</f>
        <v>#N/A</v>
      </c>
      <c r="N2284" t="e">
        <f>VLOOKUP(Tabelle9[[#This Row],[Rank]],Stammdaten[[Rank Verteilung Abholzigkeit]:[Verteilung Abholzigkeit]],2,FALSE)</f>
        <v>#N/A</v>
      </c>
      <c r="S2284">
        <v>2275</v>
      </c>
      <c r="T2284" t="e">
        <f>INDEX(Stammdaten[Krümmung (mm/lfm)],MATCH(Tabelle10[[#This Row],[Rank]],Stammdaten[Rank Verteilung Krümmung],0))</f>
        <v>#N/A</v>
      </c>
      <c r="U2284" t="e">
        <f>VLOOKUP(Tabelle10[[#This Row],[Rank]],Stammdaten[[Rank Verteilung Krümmung]:[Verteilung Krümmung]],2,FALSE)</f>
        <v>#N/A</v>
      </c>
      <c r="Z2284">
        <v>2275</v>
      </c>
      <c r="AA2284" t="e">
        <f>INDEX(Stammdaten[Ovalität (']0,1'])],MATCH(Tabelle1014[[#This Row],[Rank]],Stammdaten[Rank Verteilung Ovalität],0))</f>
        <v>#N/A</v>
      </c>
      <c r="AB2284" t="e">
        <f>VLOOKUP(Tabelle1014[[#This Row],[Rank]],Stammdaten[[Rank Verteilung Ovalität]:[Verteilung Ovalität]],2,FALSE)</f>
        <v>#N/A</v>
      </c>
    </row>
    <row r="2285" spans="5:28" x14ac:dyDescent="0.35">
      <c r="E2285">
        <v>2276</v>
      </c>
      <c r="F2285" t="e">
        <f>INDEX(Stammdaten[D Mitte mit Rinde (mm)],MATCH(Tabelle8[[#This Row],[Rank]],Stammdaten[Rank Verteilung D Mitte mit Rinde],0))</f>
        <v>#N/A</v>
      </c>
      <c r="G2285" t="e">
        <f>VLOOKUP(Tabelle8[[#This Row],[Rank]],Stammdaten[[Rank Verteilung D Mitte mit Rinde]:[Verteilung D Mitte mit Rinde]],2,FALSE)</f>
        <v>#N/A</v>
      </c>
      <c r="L2285">
        <v>2276</v>
      </c>
      <c r="M2285" t="e">
        <f>INDEX(Stammdaten[Abholzigkeit (mm/lfm)],MATCH(Tabelle9[[#This Row],[Rank]],Stammdaten[Rank Verteilung Abholzigkeit],0))</f>
        <v>#N/A</v>
      </c>
      <c r="N2285" t="e">
        <f>VLOOKUP(Tabelle9[[#This Row],[Rank]],Stammdaten[[Rank Verteilung Abholzigkeit]:[Verteilung Abholzigkeit]],2,FALSE)</f>
        <v>#N/A</v>
      </c>
      <c r="S2285">
        <v>2276</v>
      </c>
      <c r="T2285" t="e">
        <f>INDEX(Stammdaten[Krümmung (mm/lfm)],MATCH(Tabelle10[[#This Row],[Rank]],Stammdaten[Rank Verteilung Krümmung],0))</f>
        <v>#N/A</v>
      </c>
      <c r="U2285" t="e">
        <f>VLOOKUP(Tabelle10[[#This Row],[Rank]],Stammdaten[[Rank Verteilung Krümmung]:[Verteilung Krümmung]],2,FALSE)</f>
        <v>#N/A</v>
      </c>
      <c r="Z2285">
        <v>2276</v>
      </c>
      <c r="AA2285" t="e">
        <f>INDEX(Stammdaten[Ovalität (']0,1'])],MATCH(Tabelle1014[[#This Row],[Rank]],Stammdaten[Rank Verteilung Ovalität],0))</f>
        <v>#N/A</v>
      </c>
      <c r="AB2285" t="e">
        <f>VLOOKUP(Tabelle1014[[#This Row],[Rank]],Stammdaten[[Rank Verteilung Ovalität]:[Verteilung Ovalität]],2,FALSE)</f>
        <v>#N/A</v>
      </c>
    </row>
    <row r="2286" spans="5:28" x14ac:dyDescent="0.35">
      <c r="E2286">
        <v>2277</v>
      </c>
      <c r="F2286" t="e">
        <f>INDEX(Stammdaten[D Mitte mit Rinde (mm)],MATCH(Tabelle8[[#This Row],[Rank]],Stammdaten[Rank Verteilung D Mitte mit Rinde],0))</f>
        <v>#N/A</v>
      </c>
      <c r="G2286" t="e">
        <f>VLOOKUP(Tabelle8[[#This Row],[Rank]],Stammdaten[[Rank Verteilung D Mitte mit Rinde]:[Verteilung D Mitte mit Rinde]],2,FALSE)</f>
        <v>#N/A</v>
      </c>
      <c r="L2286">
        <v>2277</v>
      </c>
      <c r="M2286" t="e">
        <f>INDEX(Stammdaten[Abholzigkeit (mm/lfm)],MATCH(Tabelle9[[#This Row],[Rank]],Stammdaten[Rank Verteilung Abholzigkeit],0))</f>
        <v>#N/A</v>
      </c>
      <c r="N2286" t="e">
        <f>VLOOKUP(Tabelle9[[#This Row],[Rank]],Stammdaten[[Rank Verteilung Abholzigkeit]:[Verteilung Abholzigkeit]],2,FALSE)</f>
        <v>#N/A</v>
      </c>
      <c r="S2286">
        <v>2277</v>
      </c>
      <c r="T2286" t="e">
        <f>INDEX(Stammdaten[Krümmung (mm/lfm)],MATCH(Tabelle10[[#This Row],[Rank]],Stammdaten[Rank Verteilung Krümmung],0))</f>
        <v>#N/A</v>
      </c>
      <c r="U2286" t="e">
        <f>VLOOKUP(Tabelle10[[#This Row],[Rank]],Stammdaten[[Rank Verteilung Krümmung]:[Verteilung Krümmung]],2,FALSE)</f>
        <v>#N/A</v>
      </c>
      <c r="Z2286">
        <v>2277</v>
      </c>
      <c r="AA2286" t="e">
        <f>INDEX(Stammdaten[Ovalität (']0,1'])],MATCH(Tabelle1014[[#This Row],[Rank]],Stammdaten[Rank Verteilung Ovalität],0))</f>
        <v>#N/A</v>
      </c>
      <c r="AB2286" t="e">
        <f>VLOOKUP(Tabelle1014[[#This Row],[Rank]],Stammdaten[[Rank Verteilung Ovalität]:[Verteilung Ovalität]],2,FALSE)</f>
        <v>#N/A</v>
      </c>
    </row>
    <row r="2287" spans="5:28" x14ac:dyDescent="0.35">
      <c r="E2287">
        <v>2278</v>
      </c>
      <c r="F2287" t="e">
        <f>INDEX(Stammdaten[D Mitte mit Rinde (mm)],MATCH(Tabelle8[[#This Row],[Rank]],Stammdaten[Rank Verteilung D Mitte mit Rinde],0))</f>
        <v>#N/A</v>
      </c>
      <c r="G2287" t="e">
        <f>VLOOKUP(Tabelle8[[#This Row],[Rank]],Stammdaten[[Rank Verteilung D Mitte mit Rinde]:[Verteilung D Mitte mit Rinde]],2,FALSE)</f>
        <v>#N/A</v>
      </c>
      <c r="L2287">
        <v>2278</v>
      </c>
      <c r="M2287" t="e">
        <f>INDEX(Stammdaten[Abholzigkeit (mm/lfm)],MATCH(Tabelle9[[#This Row],[Rank]],Stammdaten[Rank Verteilung Abholzigkeit],0))</f>
        <v>#N/A</v>
      </c>
      <c r="N2287" t="e">
        <f>VLOOKUP(Tabelle9[[#This Row],[Rank]],Stammdaten[[Rank Verteilung Abholzigkeit]:[Verteilung Abholzigkeit]],2,FALSE)</f>
        <v>#N/A</v>
      </c>
      <c r="S2287">
        <v>2278</v>
      </c>
      <c r="T2287" t="e">
        <f>INDEX(Stammdaten[Krümmung (mm/lfm)],MATCH(Tabelle10[[#This Row],[Rank]],Stammdaten[Rank Verteilung Krümmung],0))</f>
        <v>#N/A</v>
      </c>
      <c r="U2287" t="e">
        <f>VLOOKUP(Tabelle10[[#This Row],[Rank]],Stammdaten[[Rank Verteilung Krümmung]:[Verteilung Krümmung]],2,FALSE)</f>
        <v>#N/A</v>
      </c>
      <c r="Z2287">
        <v>2278</v>
      </c>
      <c r="AA2287" t="e">
        <f>INDEX(Stammdaten[Ovalität (']0,1'])],MATCH(Tabelle1014[[#This Row],[Rank]],Stammdaten[Rank Verteilung Ovalität],0))</f>
        <v>#N/A</v>
      </c>
      <c r="AB2287" t="e">
        <f>VLOOKUP(Tabelle1014[[#This Row],[Rank]],Stammdaten[[Rank Verteilung Ovalität]:[Verteilung Ovalität]],2,FALSE)</f>
        <v>#N/A</v>
      </c>
    </row>
    <row r="2288" spans="5:28" x14ac:dyDescent="0.35">
      <c r="E2288">
        <v>2279</v>
      </c>
      <c r="F2288" t="e">
        <f>INDEX(Stammdaten[D Mitte mit Rinde (mm)],MATCH(Tabelle8[[#This Row],[Rank]],Stammdaten[Rank Verteilung D Mitte mit Rinde],0))</f>
        <v>#N/A</v>
      </c>
      <c r="G2288" t="e">
        <f>VLOOKUP(Tabelle8[[#This Row],[Rank]],Stammdaten[[Rank Verteilung D Mitte mit Rinde]:[Verteilung D Mitte mit Rinde]],2,FALSE)</f>
        <v>#N/A</v>
      </c>
      <c r="L2288">
        <v>2279</v>
      </c>
      <c r="M2288" t="e">
        <f>INDEX(Stammdaten[Abholzigkeit (mm/lfm)],MATCH(Tabelle9[[#This Row],[Rank]],Stammdaten[Rank Verteilung Abholzigkeit],0))</f>
        <v>#N/A</v>
      </c>
      <c r="N2288" t="e">
        <f>VLOOKUP(Tabelle9[[#This Row],[Rank]],Stammdaten[[Rank Verteilung Abholzigkeit]:[Verteilung Abholzigkeit]],2,FALSE)</f>
        <v>#N/A</v>
      </c>
      <c r="S2288">
        <v>2279</v>
      </c>
      <c r="T2288" t="e">
        <f>INDEX(Stammdaten[Krümmung (mm/lfm)],MATCH(Tabelle10[[#This Row],[Rank]],Stammdaten[Rank Verteilung Krümmung],0))</f>
        <v>#N/A</v>
      </c>
      <c r="U2288" t="e">
        <f>VLOOKUP(Tabelle10[[#This Row],[Rank]],Stammdaten[[Rank Verteilung Krümmung]:[Verteilung Krümmung]],2,FALSE)</f>
        <v>#N/A</v>
      </c>
      <c r="Z2288">
        <v>2279</v>
      </c>
      <c r="AA2288" t="e">
        <f>INDEX(Stammdaten[Ovalität (']0,1'])],MATCH(Tabelle1014[[#This Row],[Rank]],Stammdaten[Rank Verteilung Ovalität],0))</f>
        <v>#N/A</v>
      </c>
      <c r="AB2288" t="e">
        <f>VLOOKUP(Tabelle1014[[#This Row],[Rank]],Stammdaten[[Rank Verteilung Ovalität]:[Verteilung Ovalität]],2,FALSE)</f>
        <v>#N/A</v>
      </c>
    </row>
    <row r="2289" spans="5:28" x14ac:dyDescent="0.35">
      <c r="E2289">
        <v>2280</v>
      </c>
      <c r="F2289" t="e">
        <f>INDEX(Stammdaten[D Mitte mit Rinde (mm)],MATCH(Tabelle8[[#This Row],[Rank]],Stammdaten[Rank Verteilung D Mitte mit Rinde],0))</f>
        <v>#N/A</v>
      </c>
      <c r="G2289" t="e">
        <f>VLOOKUP(Tabelle8[[#This Row],[Rank]],Stammdaten[[Rank Verteilung D Mitte mit Rinde]:[Verteilung D Mitte mit Rinde]],2,FALSE)</f>
        <v>#N/A</v>
      </c>
      <c r="L2289">
        <v>2280</v>
      </c>
      <c r="M2289" t="e">
        <f>INDEX(Stammdaten[Abholzigkeit (mm/lfm)],MATCH(Tabelle9[[#This Row],[Rank]],Stammdaten[Rank Verteilung Abholzigkeit],0))</f>
        <v>#N/A</v>
      </c>
      <c r="N2289" t="e">
        <f>VLOOKUP(Tabelle9[[#This Row],[Rank]],Stammdaten[[Rank Verteilung Abholzigkeit]:[Verteilung Abholzigkeit]],2,FALSE)</f>
        <v>#N/A</v>
      </c>
      <c r="S2289">
        <v>2280</v>
      </c>
      <c r="T2289" t="e">
        <f>INDEX(Stammdaten[Krümmung (mm/lfm)],MATCH(Tabelle10[[#This Row],[Rank]],Stammdaten[Rank Verteilung Krümmung],0))</f>
        <v>#N/A</v>
      </c>
      <c r="U2289" t="e">
        <f>VLOOKUP(Tabelle10[[#This Row],[Rank]],Stammdaten[[Rank Verteilung Krümmung]:[Verteilung Krümmung]],2,FALSE)</f>
        <v>#N/A</v>
      </c>
      <c r="Z2289">
        <v>2280</v>
      </c>
      <c r="AA2289" t="e">
        <f>INDEX(Stammdaten[Ovalität (']0,1'])],MATCH(Tabelle1014[[#This Row],[Rank]],Stammdaten[Rank Verteilung Ovalität],0))</f>
        <v>#N/A</v>
      </c>
      <c r="AB2289" t="e">
        <f>VLOOKUP(Tabelle1014[[#This Row],[Rank]],Stammdaten[[Rank Verteilung Ovalität]:[Verteilung Ovalität]],2,FALSE)</f>
        <v>#N/A</v>
      </c>
    </row>
    <row r="2290" spans="5:28" x14ac:dyDescent="0.35">
      <c r="E2290">
        <v>2281</v>
      </c>
      <c r="F2290" t="e">
        <f>INDEX(Stammdaten[D Mitte mit Rinde (mm)],MATCH(Tabelle8[[#This Row],[Rank]],Stammdaten[Rank Verteilung D Mitte mit Rinde],0))</f>
        <v>#N/A</v>
      </c>
      <c r="G2290" t="e">
        <f>VLOOKUP(Tabelle8[[#This Row],[Rank]],Stammdaten[[Rank Verteilung D Mitte mit Rinde]:[Verteilung D Mitte mit Rinde]],2,FALSE)</f>
        <v>#N/A</v>
      </c>
      <c r="L2290">
        <v>2281</v>
      </c>
      <c r="M2290" t="e">
        <f>INDEX(Stammdaten[Abholzigkeit (mm/lfm)],MATCH(Tabelle9[[#This Row],[Rank]],Stammdaten[Rank Verteilung Abholzigkeit],0))</f>
        <v>#N/A</v>
      </c>
      <c r="N2290" t="e">
        <f>VLOOKUP(Tabelle9[[#This Row],[Rank]],Stammdaten[[Rank Verteilung Abholzigkeit]:[Verteilung Abholzigkeit]],2,FALSE)</f>
        <v>#N/A</v>
      </c>
      <c r="S2290">
        <v>2281</v>
      </c>
      <c r="T2290" t="e">
        <f>INDEX(Stammdaten[Krümmung (mm/lfm)],MATCH(Tabelle10[[#This Row],[Rank]],Stammdaten[Rank Verteilung Krümmung],0))</f>
        <v>#N/A</v>
      </c>
      <c r="U2290" t="e">
        <f>VLOOKUP(Tabelle10[[#This Row],[Rank]],Stammdaten[[Rank Verteilung Krümmung]:[Verteilung Krümmung]],2,FALSE)</f>
        <v>#N/A</v>
      </c>
      <c r="Z2290">
        <v>2281</v>
      </c>
      <c r="AA2290" t="e">
        <f>INDEX(Stammdaten[Ovalität (']0,1'])],MATCH(Tabelle1014[[#This Row],[Rank]],Stammdaten[Rank Verteilung Ovalität],0))</f>
        <v>#N/A</v>
      </c>
      <c r="AB2290" t="e">
        <f>VLOOKUP(Tabelle1014[[#This Row],[Rank]],Stammdaten[[Rank Verteilung Ovalität]:[Verteilung Ovalität]],2,FALSE)</f>
        <v>#N/A</v>
      </c>
    </row>
    <row r="2291" spans="5:28" x14ac:dyDescent="0.35">
      <c r="E2291">
        <v>2282</v>
      </c>
      <c r="F2291" t="e">
        <f>INDEX(Stammdaten[D Mitte mit Rinde (mm)],MATCH(Tabelle8[[#This Row],[Rank]],Stammdaten[Rank Verteilung D Mitte mit Rinde],0))</f>
        <v>#N/A</v>
      </c>
      <c r="G2291" t="e">
        <f>VLOOKUP(Tabelle8[[#This Row],[Rank]],Stammdaten[[Rank Verteilung D Mitte mit Rinde]:[Verteilung D Mitte mit Rinde]],2,FALSE)</f>
        <v>#N/A</v>
      </c>
      <c r="L2291">
        <v>2282</v>
      </c>
      <c r="M2291" t="e">
        <f>INDEX(Stammdaten[Abholzigkeit (mm/lfm)],MATCH(Tabelle9[[#This Row],[Rank]],Stammdaten[Rank Verteilung Abholzigkeit],0))</f>
        <v>#N/A</v>
      </c>
      <c r="N2291" t="e">
        <f>VLOOKUP(Tabelle9[[#This Row],[Rank]],Stammdaten[[Rank Verteilung Abholzigkeit]:[Verteilung Abholzigkeit]],2,FALSE)</f>
        <v>#N/A</v>
      </c>
      <c r="S2291">
        <v>2282</v>
      </c>
      <c r="T2291" t="e">
        <f>INDEX(Stammdaten[Krümmung (mm/lfm)],MATCH(Tabelle10[[#This Row],[Rank]],Stammdaten[Rank Verteilung Krümmung],0))</f>
        <v>#N/A</v>
      </c>
      <c r="U2291" t="e">
        <f>VLOOKUP(Tabelle10[[#This Row],[Rank]],Stammdaten[[Rank Verteilung Krümmung]:[Verteilung Krümmung]],2,FALSE)</f>
        <v>#N/A</v>
      </c>
      <c r="Z2291">
        <v>2282</v>
      </c>
      <c r="AA2291" t="e">
        <f>INDEX(Stammdaten[Ovalität (']0,1'])],MATCH(Tabelle1014[[#This Row],[Rank]],Stammdaten[Rank Verteilung Ovalität],0))</f>
        <v>#N/A</v>
      </c>
      <c r="AB2291" t="e">
        <f>VLOOKUP(Tabelle1014[[#This Row],[Rank]],Stammdaten[[Rank Verteilung Ovalität]:[Verteilung Ovalität]],2,FALSE)</f>
        <v>#N/A</v>
      </c>
    </row>
    <row r="2292" spans="5:28" x14ac:dyDescent="0.35">
      <c r="E2292">
        <v>2283</v>
      </c>
      <c r="F2292" t="e">
        <f>INDEX(Stammdaten[D Mitte mit Rinde (mm)],MATCH(Tabelle8[[#This Row],[Rank]],Stammdaten[Rank Verteilung D Mitte mit Rinde],0))</f>
        <v>#N/A</v>
      </c>
      <c r="G2292" t="e">
        <f>VLOOKUP(Tabelle8[[#This Row],[Rank]],Stammdaten[[Rank Verteilung D Mitte mit Rinde]:[Verteilung D Mitte mit Rinde]],2,FALSE)</f>
        <v>#N/A</v>
      </c>
      <c r="L2292">
        <v>2283</v>
      </c>
      <c r="M2292" t="e">
        <f>INDEX(Stammdaten[Abholzigkeit (mm/lfm)],MATCH(Tabelle9[[#This Row],[Rank]],Stammdaten[Rank Verteilung Abholzigkeit],0))</f>
        <v>#N/A</v>
      </c>
      <c r="N2292" t="e">
        <f>VLOOKUP(Tabelle9[[#This Row],[Rank]],Stammdaten[[Rank Verteilung Abholzigkeit]:[Verteilung Abholzigkeit]],2,FALSE)</f>
        <v>#N/A</v>
      </c>
      <c r="S2292">
        <v>2283</v>
      </c>
      <c r="T2292" t="e">
        <f>INDEX(Stammdaten[Krümmung (mm/lfm)],MATCH(Tabelle10[[#This Row],[Rank]],Stammdaten[Rank Verteilung Krümmung],0))</f>
        <v>#N/A</v>
      </c>
      <c r="U2292" t="e">
        <f>VLOOKUP(Tabelle10[[#This Row],[Rank]],Stammdaten[[Rank Verteilung Krümmung]:[Verteilung Krümmung]],2,FALSE)</f>
        <v>#N/A</v>
      </c>
      <c r="Z2292">
        <v>2283</v>
      </c>
      <c r="AA2292" t="e">
        <f>INDEX(Stammdaten[Ovalität (']0,1'])],MATCH(Tabelle1014[[#This Row],[Rank]],Stammdaten[Rank Verteilung Ovalität],0))</f>
        <v>#N/A</v>
      </c>
      <c r="AB2292" t="e">
        <f>VLOOKUP(Tabelle1014[[#This Row],[Rank]],Stammdaten[[Rank Verteilung Ovalität]:[Verteilung Ovalität]],2,FALSE)</f>
        <v>#N/A</v>
      </c>
    </row>
    <row r="2293" spans="5:28" x14ac:dyDescent="0.35">
      <c r="E2293">
        <v>2284</v>
      </c>
      <c r="F2293" t="e">
        <f>INDEX(Stammdaten[D Mitte mit Rinde (mm)],MATCH(Tabelle8[[#This Row],[Rank]],Stammdaten[Rank Verteilung D Mitte mit Rinde],0))</f>
        <v>#N/A</v>
      </c>
      <c r="G2293" t="e">
        <f>VLOOKUP(Tabelle8[[#This Row],[Rank]],Stammdaten[[Rank Verteilung D Mitte mit Rinde]:[Verteilung D Mitte mit Rinde]],2,FALSE)</f>
        <v>#N/A</v>
      </c>
      <c r="L2293">
        <v>2284</v>
      </c>
      <c r="M2293" t="e">
        <f>INDEX(Stammdaten[Abholzigkeit (mm/lfm)],MATCH(Tabelle9[[#This Row],[Rank]],Stammdaten[Rank Verteilung Abholzigkeit],0))</f>
        <v>#N/A</v>
      </c>
      <c r="N2293" t="e">
        <f>VLOOKUP(Tabelle9[[#This Row],[Rank]],Stammdaten[[Rank Verteilung Abholzigkeit]:[Verteilung Abholzigkeit]],2,FALSE)</f>
        <v>#N/A</v>
      </c>
      <c r="S2293">
        <v>2284</v>
      </c>
      <c r="T2293" t="e">
        <f>INDEX(Stammdaten[Krümmung (mm/lfm)],MATCH(Tabelle10[[#This Row],[Rank]],Stammdaten[Rank Verteilung Krümmung],0))</f>
        <v>#N/A</v>
      </c>
      <c r="U2293" t="e">
        <f>VLOOKUP(Tabelle10[[#This Row],[Rank]],Stammdaten[[Rank Verteilung Krümmung]:[Verteilung Krümmung]],2,FALSE)</f>
        <v>#N/A</v>
      </c>
      <c r="Z2293">
        <v>2284</v>
      </c>
      <c r="AA2293" t="e">
        <f>INDEX(Stammdaten[Ovalität (']0,1'])],MATCH(Tabelle1014[[#This Row],[Rank]],Stammdaten[Rank Verteilung Ovalität],0))</f>
        <v>#N/A</v>
      </c>
      <c r="AB2293" t="e">
        <f>VLOOKUP(Tabelle1014[[#This Row],[Rank]],Stammdaten[[Rank Verteilung Ovalität]:[Verteilung Ovalität]],2,FALSE)</f>
        <v>#N/A</v>
      </c>
    </row>
    <row r="2294" spans="5:28" x14ac:dyDescent="0.35">
      <c r="E2294">
        <v>2285</v>
      </c>
      <c r="F2294" t="e">
        <f>INDEX(Stammdaten[D Mitte mit Rinde (mm)],MATCH(Tabelle8[[#This Row],[Rank]],Stammdaten[Rank Verteilung D Mitte mit Rinde],0))</f>
        <v>#N/A</v>
      </c>
      <c r="G2294" t="e">
        <f>VLOOKUP(Tabelle8[[#This Row],[Rank]],Stammdaten[[Rank Verteilung D Mitte mit Rinde]:[Verteilung D Mitte mit Rinde]],2,FALSE)</f>
        <v>#N/A</v>
      </c>
      <c r="L2294">
        <v>2285</v>
      </c>
      <c r="M2294" t="e">
        <f>INDEX(Stammdaten[Abholzigkeit (mm/lfm)],MATCH(Tabelle9[[#This Row],[Rank]],Stammdaten[Rank Verteilung Abholzigkeit],0))</f>
        <v>#N/A</v>
      </c>
      <c r="N2294" t="e">
        <f>VLOOKUP(Tabelle9[[#This Row],[Rank]],Stammdaten[[Rank Verteilung Abholzigkeit]:[Verteilung Abholzigkeit]],2,FALSE)</f>
        <v>#N/A</v>
      </c>
      <c r="S2294">
        <v>2285</v>
      </c>
      <c r="T2294" t="e">
        <f>INDEX(Stammdaten[Krümmung (mm/lfm)],MATCH(Tabelle10[[#This Row],[Rank]],Stammdaten[Rank Verteilung Krümmung],0))</f>
        <v>#N/A</v>
      </c>
      <c r="U2294" t="e">
        <f>VLOOKUP(Tabelle10[[#This Row],[Rank]],Stammdaten[[Rank Verteilung Krümmung]:[Verteilung Krümmung]],2,FALSE)</f>
        <v>#N/A</v>
      </c>
      <c r="Z2294">
        <v>2285</v>
      </c>
      <c r="AA2294" t="e">
        <f>INDEX(Stammdaten[Ovalität (']0,1'])],MATCH(Tabelle1014[[#This Row],[Rank]],Stammdaten[Rank Verteilung Ovalität],0))</f>
        <v>#N/A</v>
      </c>
      <c r="AB2294" t="e">
        <f>VLOOKUP(Tabelle1014[[#This Row],[Rank]],Stammdaten[[Rank Verteilung Ovalität]:[Verteilung Ovalität]],2,FALSE)</f>
        <v>#N/A</v>
      </c>
    </row>
    <row r="2295" spans="5:28" x14ac:dyDescent="0.35">
      <c r="E2295">
        <v>2286</v>
      </c>
      <c r="F2295" t="e">
        <f>INDEX(Stammdaten[D Mitte mit Rinde (mm)],MATCH(Tabelle8[[#This Row],[Rank]],Stammdaten[Rank Verteilung D Mitte mit Rinde],0))</f>
        <v>#N/A</v>
      </c>
      <c r="G2295" t="e">
        <f>VLOOKUP(Tabelle8[[#This Row],[Rank]],Stammdaten[[Rank Verteilung D Mitte mit Rinde]:[Verteilung D Mitte mit Rinde]],2,FALSE)</f>
        <v>#N/A</v>
      </c>
      <c r="L2295">
        <v>2286</v>
      </c>
      <c r="M2295" t="e">
        <f>INDEX(Stammdaten[Abholzigkeit (mm/lfm)],MATCH(Tabelle9[[#This Row],[Rank]],Stammdaten[Rank Verteilung Abholzigkeit],0))</f>
        <v>#N/A</v>
      </c>
      <c r="N2295" t="e">
        <f>VLOOKUP(Tabelle9[[#This Row],[Rank]],Stammdaten[[Rank Verteilung Abholzigkeit]:[Verteilung Abholzigkeit]],2,FALSE)</f>
        <v>#N/A</v>
      </c>
      <c r="S2295">
        <v>2286</v>
      </c>
      <c r="T2295" t="e">
        <f>INDEX(Stammdaten[Krümmung (mm/lfm)],MATCH(Tabelle10[[#This Row],[Rank]],Stammdaten[Rank Verteilung Krümmung],0))</f>
        <v>#N/A</v>
      </c>
      <c r="U2295" t="e">
        <f>VLOOKUP(Tabelle10[[#This Row],[Rank]],Stammdaten[[Rank Verteilung Krümmung]:[Verteilung Krümmung]],2,FALSE)</f>
        <v>#N/A</v>
      </c>
      <c r="Z2295">
        <v>2286</v>
      </c>
      <c r="AA2295" t="e">
        <f>INDEX(Stammdaten[Ovalität (']0,1'])],MATCH(Tabelle1014[[#This Row],[Rank]],Stammdaten[Rank Verteilung Ovalität],0))</f>
        <v>#N/A</v>
      </c>
      <c r="AB2295" t="e">
        <f>VLOOKUP(Tabelle1014[[#This Row],[Rank]],Stammdaten[[Rank Verteilung Ovalität]:[Verteilung Ovalität]],2,FALSE)</f>
        <v>#N/A</v>
      </c>
    </row>
    <row r="2296" spans="5:28" x14ac:dyDescent="0.35">
      <c r="E2296">
        <v>2287</v>
      </c>
      <c r="F2296" t="e">
        <f>INDEX(Stammdaten[D Mitte mit Rinde (mm)],MATCH(Tabelle8[[#This Row],[Rank]],Stammdaten[Rank Verteilung D Mitte mit Rinde],0))</f>
        <v>#N/A</v>
      </c>
      <c r="G2296" t="e">
        <f>VLOOKUP(Tabelle8[[#This Row],[Rank]],Stammdaten[[Rank Verteilung D Mitte mit Rinde]:[Verteilung D Mitte mit Rinde]],2,FALSE)</f>
        <v>#N/A</v>
      </c>
      <c r="L2296">
        <v>2287</v>
      </c>
      <c r="M2296" t="e">
        <f>INDEX(Stammdaten[Abholzigkeit (mm/lfm)],MATCH(Tabelle9[[#This Row],[Rank]],Stammdaten[Rank Verteilung Abholzigkeit],0))</f>
        <v>#N/A</v>
      </c>
      <c r="N2296" t="e">
        <f>VLOOKUP(Tabelle9[[#This Row],[Rank]],Stammdaten[[Rank Verteilung Abholzigkeit]:[Verteilung Abholzigkeit]],2,FALSE)</f>
        <v>#N/A</v>
      </c>
      <c r="S2296">
        <v>2287</v>
      </c>
      <c r="T2296" t="e">
        <f>INDEX(Stammdaten[Krümmung (mm/lfm)],MATCH(Tabelle10[[#This Row],[Rank]],Stammdaten[Rank Verteilung Krümmung],0))</f>
        <v>#N/A</v>
      </c>
      <c r="U2296" t="e">
        <f>VLOOKUP(Tabelle10[[#This Row],[Rank]],Stammdaten[[Rank Verteilung Krümmung]:[Verteilung Krümmung]],2,FALSE)</f>
        <v>#N/A</v>
      </c>
      <c r="Z2296">
        <v>2287</v>
      </c>
      <c r="AA2296" t="e">
        <f>INDEX(Stammdaten[Ovalität (']0,1'])],MATCH(Tabelle1014[[#This Row],[Rank]],Stammdaten[Rank Verteilung Ovalität],0))</f>
        <v>#N/A</v>
      </c>
      <c r="AB2296" t="e">
        <f>VLOOKUP(Tabelle1014[[#This Row],[Rank]],Stammdaten[[Rank Verteilung Ovalität]:[Verteilung Ovalität]],2,FALSE)</f>
        <v>#N/A</v>
      </c>
    </row>
    <row r="2297" spans="5:28" x14ac:dyDescent="0.35">
      <c r="E2297">
        <v>2288</v>
      </c>
      <c r="F2297" t="e">
        <f>INDEX(Stammdaten[D Mitte mit Rinde (mm)],MATCH(Tabelle8[[#This Row],[Rank]],Stammdaten[Rank Verteilung D Mitte mit Rinde],0))</f>
        <v>#N/A</v>
      </c>
      <c r="G2297" t="e">
        <f>VLOOKUP(Tabelle8[[#This Row],[Rank]],Stammdaten[[Rank Verteilung D Mitte mit Rinde]:[Verteilung D Mitte mit Rinde]],2,FALSE)</f>
        <v>#N/A</v>
      </c>
      <c r="L2297">
        <v>2288</v>
      </c>
      <c r="M2297" t="e">
        <f>INDEX(Stammdaten[Abholzigkeit (mm/lfm)],MATCH(Tabelle9[[#This Row],[Rank]],Stammdaten[Rank Verteilung Abholzigkeit],0))</f>
        <v>#N/A</v>
      </c>
      <c r="N2297" t="e">
        <f>VLOOKUP(Tabelle9[[#This Row],[Rank]],Stammdaten[[Rank Verteilung Abholzigkeit]:[Verteilung Abholzigkeit]],2,FALSE)</f>
        <v>#N/A</v>
      </c>
      <c r="S2297">
        <v>2288</v>
      </c>
      <c r="T2297" t="e">
        <f>INDEX(Stammdaten[Krümmung (mm/lfm)],MATCH(Tabelle10[[#This Row],[Rank]],Stammdaten[Rank Verteilung Krümmung],0))</f>
        <v>#N/A</v>
      </c>
      <c r="U2297" t="e">
        <f>VLOOKUP(Tabelle10[[#This Row],[Rank]],Stammdaten[[Rank Verteilung Krümmung]:[Verteilung Krümmung]],2,FALSE)</f>
        <v>#N/A</v>
      </c>
      <c r="Z2297">
        <v>2288</v>
      </c>
      <c r="AA2297" t="e">
        <f>INDEX(Stammdaten[Ovalität (']0,1'])],MATCH(Tabelle1014[[#This Row],[Rank]],Stammdaten[Rank Verteilung Ovalität],0))</f>
        <v>#N/A</v>
      </c>
      <c r="AB2297" t="e">
        <f>VLOOKUP(Tabelle1014[[#This Row],[Rank]],Stammdaten[[Rank Verteilung Ovalität]:[Verteilung Ovalität]],2,FALSE)</f>
        <v>#N/A</v>
      </c>
    </row>
    <row r="2298" spans="5:28" x14ac:dyDescent="0.35">
      <c r="E2298">
        <v>2289</v>
      </c>
      <c r="F2298" t="e">
        <f>INDEX(Stammdaten[D Mitte mit Rinde (mm)],MATCH(Tabelle8[[#This Row],[Rank]],Stammdaten[Rank Verteilung D Mitte mit Rinde],0))</f>
        <v>#N/A</v>
      </c>
      <c r="G2298" t="e">
        <f>VLOOKUP(Tabelle8[[#This Row],[Rank]],Stammdaten[[Rank Verteilung D Mitte mit Rinde]:[Verteilung D Mitte mit Rinde]],2,FALSE)</f>
        <v>#N/A</v>
      </c>
      <c r="L2298">
        <v>2289</v>
      </c>
      <c r="M2298" t="e">
        <f>INDEX(Stammdaten[Abholzigkeit (mm/lfm)],MATCH(Tabelle9[[#This Row],[Rank]],Stammdaten[Rank Verteilung Abholzigkeit],0))</f>
        <v>#N/A</v>
      </c>
      <c r="N2298" t="e">
        <f>VLOOKUP(Tabelle9[[#This Row],[Rank]],Stammdaten[[Rank Verteilung Abholzigkeit]:[Verteilung Abholzigkeit]],2,FALSE)</f>
        <v>#N/A</v>
      </c>
      <c r="S2298">
        <v>2289</v>
      </c>
      <c r="T2298" t="e">
        <f>INDEX(Stammdaten[Krümmung (mm/lfm)],MATCH(Tabelle10[[#This Row],[Rank]],Stammdaten[Rank Verteilung Krümmung],0))</f>
        <v>#N/A</v>
      </c>
      <c r="U2298" t="e">
        <f>VLOOKUP(Tabelle10[[#This Row],[Rank]],Stammdaten[[Rank Verteilung Krümmung]:[Verteilung Krümmung]],2,FALSE)</f>
        <v>#N/A</v>
      </c>
      <c r="Z2298">
        <v>2289</v>
      </c>
      <c r="AA2298" t="e">
        <f>INDEX(Stammdaten[Ovalität (']0,1'])],MATCH(Tabelle1014[[#This Row],[Rank]],Stammdaten[Rank Verteilung Ovalität],0))</f>
        <v>#N/A</v>
      </c>
      <c r="AB2298" t="e">
        <f>VLOOKUP(Tabelle1014[[#This Row],[Rank]],Stammdaten[[Rank Verteilung Ovalität]:[Verteilung Ovalität]],2,FALSE)</f>
        <v>#N/A</v>
      </c>
    </row>
    <row r="2299" spans="5:28" x14ac:dyDescent="0.35">
      <c r="E2299">
        <v>2290</v>
      </c>
      <c r="F2299" t="e">
        <f>INDEX(Stammdaten[D Mitte mit Rinde (mm)],MATCH(Tabelle8[[#This Row],[Rank]],Stammdaten[Rank Verteilung D Mitte mit Rinde],0))</f>
        <v>#N/A</v>
      </c>
      <c r="G2299" t="e">
        <f>VLOOKUP(Tabelle8[[#This Row],[Rank]],Stammdaten[[Rank Verteilung D Mitte mit Rinde]:[Verteilung D Mitte mit Rinde]],2,FALSE)</f>
        <v>#N/A</v>
      </c>
      <c r="L2299">
        <v>2290</v>
      </c>
      <c r="M2299" t="e">
        <f>INDEX(Stammdaten[Abholzigkeit (mm/lfm)],MATCH(Tabelle9[[#This Row],[Rank]],Stammdaten[Rank Verteilung Abholzigkeit],0))</f>
        <v>#N/A</v>
      </c>
      <c r="N2299" t="e">
        <f>VLOOKUP(Tabelle9[[#This Row],[Rank]],Stammdaten[[Rank Verteilung Abholzigkeit]:[Verteilung Abholzigkeit]],2,FALSE)</f>
        <v>#N/A</v>
      </c>
      <c r="S2299">
        <v>2290</v>
      </c>
      <c r="T2299" t="e">
        <f>INDEX(Stammdaten[Krümmung (mm/lfm)],MATCH(Tabelle10[[#This Row],[Rank]],Stammdaten[Rank Verteilung Krümmung],0))</f>
        <v>#N/A</v>
      </c>
      <c r="U2299" t="e">
        <f>VLOOKUP(Tabelle10[[#This Row],[Rank]],Stammdaten[[Rank Verteilung Krümmung]:[Verteilung Krümmung]],2,FALSE)</f>
        <v>#N/A</v>
      </c>
      <c r="Z2299">
        <v>2290</v>
      </c>
      <c r="AA2299" t="e">
        <f>INDEX(Stammdaten[Ovalität (']0,1'])],MATCH(Tabelle1014[[#This Row],[Rank]],Stammdaten[Rank Verteilung Ovalität],0))</f>
        <v>#N/A</v>
      </c>
      <c r="AB2299" t="e">
        <f>VLOOKUP(Tabelle1014[[#This Row],[Rank]],Stammdaten[[Rank Verteilung Ovalität]:[Verteilung Ovalität]],2,FALSE)</f>
        <v>#N/A</v>
      </c>
    </row>
    <row r="2300" spans="5:28" x14ac:dyDescent="0.35">
      <c r="E2300">
        <v>2291</v>
      </c>
      <c r="F2300" t="e">
        <f>INDEX(Stammdaten[D Mitte mit Rinde (mm)],MATCH(Tabelle8[[#This Row],[Rank]],Stammdaten[Rank Verteilung D Mitte mit Rinde],0))</f>
        <v>#N/A</v>
      </c>
      <c r="G2300" t="e">
        <f>VLOOKUP(Tabelle8[[#This Row],[Rank]],Stammdaten[[Rank Verteilung D Mitte mit Rinde]:[Verteilung D Mitte mit Rinde]],2,FALSE)</f>
        <v>#N/A</v>
      </c>
      <c r="L2300">
        <v>2291</v>
      </c>
      <c r="M2300" t="e">
        <f>INDEX(Stammdaten[Abholzigkeit (mm/lfm)],MATCH(Tabelle9[[#This Row],[Rank]],Stammdaten[Rank Verteilung Abholzigkeit],0))</f>
        <v>#N/A</v>
      </c>
      <c r="N2300" t="e">
        <f>VLOOKUP(Tabelle9[[#This Row],[Rank]],Stammdaten[[Rank Verteilung Abholzigkeit]:[Verteilung Abholzigkeit]],2,FALSE)</f>
        <v>#N/A</v>
      </c>
      <c r="S2300">
        <v>2291</v>
      </c>
      <c r="T2300" t="e">
        <f>INDEX(Stammdaten[Krümmung (mm/lfm)],MATCH(Tabelle10[[#This Row],[Rank]],Stammdaten[Rank Verteilung Krümmung],0))</f>
        <v>#N/A</v>
      </c>
      <c r="U2300" t="e">
        <f>VLOOKUP(Tabelle10[[#This Row],[Rank]],Stammdaten[[Rank Verteilung Krümmung]:[Verteilung Krümmung]],2,FALSE)</f>
        <v>#N/A</v>
      </c>
      <c r="Z2300">
        <v>2291</v>
      </c>
      <c r="AA2300" t="e">
        <f>INDEX(Stammdaten[Ovalität (']0,1'])],MATCH(Tabelle1014[[#This Row],[Rank]],Stammdaten[Rank Verteilung Ovalität],0))</f>
        <v>#N/A</v>
      </c>
      <c r="AB2300" t="e">
        <f>VLOOKUP(Tabelle1014[[#This Row],[Rank]],Stammdaten[[Rank Verteilung Ovalität]:[Verteilung Ovalität]],2,FALSE)</f>
        <v>#N/A</v>
      </c>
    </row>
    <row r="2301" spans="5:28" x14ac:dyDescent="0.35">
      <c r="E2301">
        <v>2292</v>
      </c>
      <c r="F2301" t="e">
        <f>INDEX(Stammdaten[D Mitte mit Rinde (mm)],MATCH(Tabelle8[[#This Row],[Rank]],Stammdaten[Rank Verteilung D Mitte mit Rinde],0))</f>
        <v>#N/A</v>
      </c>
      <c r="G2301" t="e">
        <f>VLOOKUP(Tabelle8[[#This Row],[Rank]],Stammdaten[[Rank Verteilung D Mitte mit Rinde]:[Verteilung D Mitte mit Rinde]],2,FALSE)</f>
        <v>#N/A</v>
      </c>
      <c r="L2301">
        <v>2292</v>
      </c>
      <c r="M2301" t="e">
        <f>INDEX(Stammdaten[Abholzigkeit (mm/lfm)],MATCH(Tabelle9[[#This Row],[Rank]],Stammdaten[Rank Verteilung Abholzigkeit],0))</f>
        <v>#N/A</v>
      </c>
      <c r="N2301" t="e">
        <f>VLOOKUP(Tabelle9[[#This Row],[Rank]],Stammdaten[[Rank Verteilung Abholzigkeit]:[Verteilung Abholzigkeit]],2,FALSE)</f>
        <v>#N/A</v>
      </c>
      <c r="S2301">
        <v>2292</v>
      </c>
      <c r="T2301" t="e">
        <f>INDEX(Stammdaten[Krümmung (mm/lfm)],MATCH(Tabelle10[[#This Row],[Rank]],Stammdaten[Rank Verteilung Krümmung],0))</f>
        <v>#N/A</v>
      </c>
      <c r="U2301" t="e">
        <f>VLOOKUP(Tabelle10[[#This Row],[Rank]],Stammdaten[[Rank Verteilung Krümmung]:[Verteilung Krümmung]],2,FALSE)</f>
        <v>#N/A</v>
      </c>
      <c r="Z2301">
        <v>2292</v>
      </c>
      <c r="AA2301" t="e">
        <f>INDEX(Stammdaten[Ovalität (']0,1'])],MATCH(Tabelle1014[[#This Row],[Rank]],Stammdaten[Rank Verteilung Ovalität],0))</f>
        <v>#N/A</v>
      </c>
      <c r="AB2301" t="e">
        <f>VLOOKUP(Tabelle1014[[#This Row],[Rank]],Stammdaten[[Rank Verteilung Ovalität]:[Verteilung Ovalität]],2,FALSE)</f>
        <v>#N/A</v>
      </c>
    </row>
    <row r="2302" spans="5:28" x14ac:dyDescent="0.35">
      <c r="E2302">
        <v>2293</v>
      </c>
      <c r="F2302" t="e">
        <f>INDEX(Stammdaten[D Mitte mit Rinde (mm)],MATCH(Tabelle8[[#This Row],[Rank]],Stammdaten[Rank Verteilung D Mitte mit Rinde],0))</f>
        <v>#N/A</v>
      </c>
      <c r="G2302" t="e">
        <f>VLOOKUP(Tabelle8[[#This Row],[Rank]],Stammdaten[[Rank Verteilung D Mitte mit Rinde]:[Verteilung D Mitte mit Rinde]],2,FALSE)</f>
        <v>#N/A</v>
      </c>
      <c r="L2302">
        <v>2293</v>
      </c>
      <c r="M2302" t="e">
        <f>INDEX(Stammdaten[Abholzigkeit (mm/lfm)],MATCH(Tabelle9[[#This Row],[Rank]],Stammdaten[Rank Verteilung Abholzigkeit],0))</f>
        <v>#N/A</v>
      </c>
      <c r="N2302" t="e">
        <f>VLOOKUP(Tabelle9[[#This Row],[Rank]],Stammdaten[[Rank Verteilung Abholzigkeit]:[Verteilung Abholzigkeit]],2,FALSE)</f>
        <v>#N/A</v>
      </c>
      <c r="S2302">
        <v>2293</v>
      </c>
      <c r="T2302" t="e">
        <f>INDEX(Stammdaten[Krümmung (mm/lfm)],MATCH(Tabelle10[[#This Row],[Rank]],Stammdaten[Rank Verteilung Krümmung],0))</f>
        <v>#N/A</v>
      </c>
      <c r="U2302" t="e">
        <f>VLOOKUP(Tabelle10[[#This Row],[Rank]],Stammdaten[[Rank Verteilung Krümmung]:[Verteilung Krümmung]],2,FALSE)</f>
        <v>#N/A</v>
      </c>
      <c r="Z2302">
        <v>2293</v>
      </c>
      <c r="AA2302" t="e">
        <f>INDEX(Stammdaten[Ovalität (']0,1'])],MATCH(Tabelle1014[[#This Row],[Rank]],Stammdaten[Rank Verteilung Ovalität],0))</f>
        <v>#N/A</v>
      </c>
      <c r="AB2302" t="e">
        <f>VLOOKUP(Tabelle1014[[#This Row],[Rank]],Stammdaten[[Rank Verteilung Ovalität]:[Verteilung Ovalität]],2,FALSE)</f>
        <v>#N/A</v>
      </c>
    </row>
    <row r="2303" spans="5:28" x14ac:dyDescent="0.35">
      <c r="E2303">
        <v>2294</v>
      </c>
      <c r="F2303" t="e">
        <f>INDEX(Stammdaten[D Mitte mit Rinde (mm)],MATCH(Tabelle8[[#This Row],[Rank]],Stammdaten[Rank Verteilung D Mitte mit Rinde],0))</f>
        <v>#N/A</v>
      </c>
      <c r="G2303" t="e">
        <f>VLOOKUP(Tabelle8[[#This Row],[Rank]],Stammdaten[[Rank Verteilung D Mitte mit Rinde]:[Verteilung D Mitte mit Rinde]],2,FALSE)</f>
        <v>#N/A</v>
      </c>
      <c r="L2303">
        <v>2294</v>
      </c>
      <c r="M2303" t="e">
        <f>INDEX(Stammdaten[Abholzigkeit (mm/lfm)],MATCH(Tabelle9[[#This Row],[Rank]],Stammdaten[Rank Verteilung Abholzigkeit],0))</f>
        <v>#N/A</v>
      </c>
      <c r="N2303" t="e">
        <f>VLOOKUP(Tabelle9[[#This Row],[Rank]],Stammdaten[[Rank Verteilung Abholzigkeit]:[Verteilung Abholzigkeit]],2,FALSE)</f>
        <v>#N/A</v>
      </c>
      <c r="S2303">
        <v>2294</v>
      </c>
      <c r="T2303" t="e">
        <f>INDEX(Stammdaten[Krümmung (mm/lfm)],MATCH(Tabelle10[[#This Row],[Rank]],Stammdaten[Rank Verteilung Krümmung],0))</f>
        <v>#N/A</v>
      </c>
      <c r="U2303" t="e">
        <f>VLOOKUP(Tabelle10[[#This Row],[Rank]],Stammdaten[[Rank Verteilung Krümmung]:[Verteilung Krümmung]],2,FALSE)</f>
        <v>#N/A</v>
      </c>
      <c r="Z2303">
        <v>2294</v>
      </c>
      <c r="AA2303" t="e">
        <f>INDEX(Stammdaten[Ovalität (']0,1'])],MATCH(Tabelle1014[[#This Row],[Rank]],Stammdaten[Rank Verteilung Ovalität],0))</f>
        <v>#N/A</v>
      </c>
      <c r="AB2303" t="e">
        <f>VLOOKUP(Tabelle1014[[#This Row],[Rank]],Stammdaten[[Rank Verteilung Ovalität]:[Verteilung Ovalität]],2,FALSE)</f>
        <v>#N/A</v>
      </c>
    </row>
    <row r="2304" spans="5:28" x14ac:dyDescent="0.35">
      <c r="E2304">
        <v>2295</v>
      </c>
      <c r="F2304" t="e">
        <f>INDEX(Stammdaten[D Mitte mit Rinde (mm)],MATCH(Tabelle8[[#This Row],[Rank]],Stammdaten[Rank Verteilung D Mitte mit Rinde],0))</f>
        <v>#N/A</v>
      </c>
      <c r="G2304" t="e">
        <f>VLOOKUP(Tabelle8[[#This Row],[Rank]],Stammdaten[[Rank Verteilung D Mitte mit Rinde]:[Verteilung D Mitte mit Rinde]],2,FALSE)</f>
        <v>#N/A</v>
      </c>
      <c r="L2304">
        <v>2295</v>
      </c>
      <c r="M2304" t="e">
        <f>INDEX(Stammdaten[Abholzigkeit (mm/lfm)],MATCH(Tabelle9[[#This Row],[Rank]],Stammdaten[Rank Verteilung Abholzigkeit],0))</f>
        <v>#N/A</v>
      </c>
      <c r="N2304" t="e">
        <f>VLOOKUP(Tabelle9[[#This Row],[Rank]],Stammdaten[[Rank Verteilung Abholzigkeit]:[Verteilung Abholzigkeit]],2,FALSE)</f>
        <v>#N/A</v>
      </c>
      <c r="S2304">
        <v>2295</v>
      </c>
      <c r="T2304" t="e">
        <f>INDEX(Stammdaten[Krümmung (mm/lfm)],MATCH(Tabelle10[[#This Row],[Rank]],Stammdaten[Rank Verteilung Krümmung],0))</f>
        <v>#N/A</v>
      </c>
      <c r="U2304" t="e">
        <f>VLOOKUP(Tabelle10[[#This Row],[Rank]],Stammdaten[[Rank Verteilung Krümmung]:[Verteilung Krümmung]],2,FALSE)</f>
        <v>#N/A</v>
      </c>
      <c r="Z2304">
        <v>2295</v>
      </c>
      <c r="AA2304" t="e">
        <f>INDEX(Stammdaten[Ovalität (']0,1'])],MATCH(Tabelle1014[[#This Row],[Rank]],Stammdaten[Rank Verteilung Ovalität],0))</f>
        <v>#N/A</v>
      </c>
      <c r="AB2304" t="e">
        <f>VLOOKUP(Tabelle1014[[#This Row],[Rank]],Stammdaten[[Rank Verteilung Ovalität]:[Verteilung Ovalität]],2,FALSE)</f>
        <v>#N/A</v>
      </c>
    </row>
    <row r="2305" spans="5:28" x14ac:dyDescent="0.35">
      <c r="E2305">
        <v>2296</v>
      </c>
      <c r="F2305" t="e">
        <f>INDEX(Stammdaten[D Mitte mit Rinde (mm)],MATCH(Tabelle8[[#This Row],[Rank]],Stammdaten[Rank Verteilung D Mitte mit Rinde],0))</f>
        <v>#N/A</v>
      </c>
      <c r="G2305" t="e">
        <f>VLOOKUP(Tabelle8[[#This Row],[Rank]],Stammdaten[[Rank Verteilung D Mitte mit Rinde]:[Verteilung D Mitte mit Rinde]],2,FALSE)</f>
        <v>#N/A</v>
      </c>
      <c r="L2305">
        <v>2296</v>
      </c>
      <c r="M2305" t="e">
        <f>INDEX(Stammdaten[Abholzigkeit (mm/lfm)],MATCH(Tabelle9[[#This Row],[Rank]],Stammdaten[Rank Verteilung Abholzigkeit],0))</f>
        <v>#N/A</v>
      </c>
      <c r="N2305" t="e">
        <f>VLOOKUP(Tabelle9[[#This Row],[Rank]],Stammdaten[[Rank Verteilung Abholzigkeit]:[Verteilung Abholzigkeit]],2,FALSE)</f>
        <v>#N/A</v>
      </c>
      <c r="S2305">
        <v>2296</v>
      </c>
      <c r="T2305" t="e">
        <f>INDEX(Stammdaten[Krümmung (mm/lfm)],MATCH(Tabelle10[[#This Row],[Rank]],Stammdaten[Rank Verteilung Krümmung],0))</f>
        <v>#N/A</v>
      </c>
      <c r="U2305" t="e">
        <f>VLOOKUP(Tabelle10[[#This Row],[Rank]],Stammdaten[[Rank Verteilung Krümmung]:[Verteilung Krümmung]],2,FALSE)</f>
        <v>#N/A</v>
      </c>
      <c r="Z2305">
        <v>2296</v>
      </c>
      <c r="AA2305" t="e">
        <f>INDEX(Stammdaten[Ovalität (']0,1'])],MATCH(Tabelle1014[[#This Row],[Rank]],Stammdaten[Rank Verteilung Ovalität],0))</f>
        <v>#N/A</v>
      </c>
      <c r="AB2305" t="e">
        <f>VLOOKUP(Tabelle1014[[#This Row],[Rank]],Stammdaten[[Rank Verteilung Ovalität]:[Verteilung Ovalität]],2,FALSE)</f>
        <v>#N/A</v>
      </c>
    </row>
    <row r="2306" spans="5:28" x14ac:dyDescent="0.35">
      <c r="E2306">
        <v>2297</v>
      </c>
      <c r="F2306" t="e">
        <f>INDEX(Stammdaten[D Mitte mit Rinde (mm)],MATCH(Tabelle8[[#This Row],[Rank]],Stammdaten[Rank Verteilung D Mitte mit Rinde],0))</f>
        <v>#N/A</v>
      </c>
      <c r="G2306" t="e">
        <f>VLOOKUP(Tabelle8[[#This Row],[Rank]],Stammdaten[[Rank Verteilung D Mitte mit Rinde]:[Verteilung D Mitte mit Rinde]],2,FALSE)</f>
        <v>#N/A</v>
      </c>
      <c r="L2306">
        <v>2297</v>
      </c>
      <c r="M2306" t="e">
        <f>INDEX(Stammdaten[Abholzigkeit (mm/lfm)],MATCH(Tabelle9[[#This Row],[Rank]],Stammdaten[Rank Verteilung Abholzigkeit],0))</f>
        <v>#N/A</v>
      </c>
      <c r="N2306" t="e">
        <f>VLOOKUP(Tabelle9[[#This Row],[Rank]],Stammdaten[[Rank Verteilung Abholzigkeit]:[Verteilung Abholzigkeit]],2,FALSE)</f>
        <v>#N/A</v>
      </c>
      <c r="S2306">
        <v>2297</v>
      </c>
      <c r="T2306" t="e">
        <f>INDEX(Stammdaten[Krümmung (mm/lfm)],MATCH(Tabelle10[[#This Row],[Rank]],Stammdaten[Rank Verteilung Krümmung],0))</f>
        <v>#N/A</v>
      </c>
      <c r="U2306" t="e">
        <f>VLOOKUP(Tabelle10[[#This Row],[Rank]],Stammdaten[[Rank Verteilung Krümmung]:[Verteilung Krümmung]],2,FALSE)</f>
        <v>#N/A</v>
      </c>
      <c r="Z2306">
        <v>2297</v>
      </c>
      <c r="AA2306" t="e">
        <f>INDEX(Stammdaten[Ovalität (']0,1'])],MATCH(Tabelle1014[[#This Row],[Rank]],Stammdaten[Rank Verteilung Ovalität],0))</f>
        <v>#N/A</v>
      </c>
      <c r="AB2306" t="e">
        <f>VLOOKUP(Tabelle1014[[#This Row],[Rank]],Stammdaten[[Rank Verteilung Ovalität]:[Verteilung Ovalität]],2,FALSE)</f>
        <v>#N/A</v>
      </c>
    </row>
    <row r="2307" spans="5:28" x14ac:dyDescent="0.35">
      <c r="E2307">
        <v>2298</v>
      </c>
      <c r="F2307" t="e">
        <f>INDEX(Stammdaten[D Mitte mit Rinde (mm)],MATCH(Tabelle8[[#This Row],[Rank]],Stammdaten[Rank Verteilung D Mitte mit Rinde],0))</f>
        <v>#N/A</v>
      </c>
      <c r="G2307" t="e">
        <f>VLOOKUP(Tabelle8[[#This Row],[Rank]],Stammdaten[[Rank Verteilung D Mitte mit Rinde]:[Verteilung D Mitte mit Rinde]],2,FALSE)</f>
        <v>#N/A</v>
      </c>
      <c r="L2307">
        <v>2298</v>
      </c>
      <c r="M2307" t="e">
        <f>INDEX(Stammdaten[Abholzigkeit (mm/lfm)],MATCH(Tabelle9[[#This Row],[Rank]],Stammdaten[Rank Verteilung Abholzigkeit],0))</f>
        <v>#N/A</v>
      </c>
      <c r="N2307" t="e">
        <f>VLOOKUP(Tabelle9[[#This Row],[Rank]],Stammdaten[[Rank Verteilung Abholzigkeit]:[Verteilung Abholzigkeit]],2,FALSE)</f>
        <v>#N/A</v>
      </c>
      <c r="S2307">
        <v>2298</v>
      </c>
      <c r="T2307" t="e">
        <f>INDEX(Stammdaten[Krümmung (mm/lfm)],MATCH(Tabelle10[[#This Row],[Rank]],Stammdaten[Rank Verteilung Krümmung],0))</f>
        <v>#N/A</v>
      </c>
      <c r="U2307" t="e">
        <f>VLOOKUP(Tabelle10[[#This Row],[Rank]],Stammdaten[[Rank Verteilung Krümmung]:[Verteilung Krümmung]],2,FALSE)</f>
        <v>#N/A</v>
      </c>
      <c r="Z2307">
        <v>2298</v>
      </c>
      <c r="AA2307" t="e">
        <f>INDEX(Stammdaten[Ovalität (']0,1'])],MATCH(Tabelle1014[[#This Row],[Rank]],Stammdaten[Rank Verteilung Ovalität],0))</f>
        <v>#N/A</v>
      </c>
      <c r="AB2307" t="e">
        <f>VLOOKUP(Tabelle1014[[#This Row],[Rank]],Stammdaten[[Rank Verteilung Ovalität]:[Verteilung Ovalität]],2,FALSE)</f>
        <v>#N/A</v>
      </c>
    </row>
    <row r="2308" spans="5:28" x14ac:dyDescent="0.35">
      <c r="E2308">
        <v>2299</v>
      </c>
      <c r="F2308" t="e">
        <f>INDEX(Stammdaten[D Mitte mit Rinde (mm)],MATCH(Tabelle8[[#This Row],[Rank]],Stammdaten[Rank Verteilung D Mitte mit Rinde],0))</f>
        <v>#N/A</v>
      </c>
      <c r="G2308" t="e">
        <f>VLOOKUP(Tabelle8[[#This Row],[Rank]],Stammdaten[[Rank Verteilung D Mitte mit Rinde]:[Verteilung D Mitte mit Rinde]],2,FALSE)</f>
        <v>#N/A</v>
      </c>
      <c r="L2308">
        <v>2299</v>
      </c>
      <c r="M2308" t="e">
        <f>INDEX(Stammdaten[Abholzigkeit (mm/lfm)],MATCH(Tabelle9[[#This Row],[Rank]],Stammdaten[Rank Verteilung Abholzigkeit],0))</f>
        <v>#N/A</v>
      </c>
      <c r="N2308" t="e">
        <f>VLOOKUP(Tabelle9[[#This Row],[Rank]],Stammdaten[[Rank Verteilung Abholzigkeit]:[Verteilung Abholzigkeit]],2,FALSE)</f>
        <v>#N/A</v>
      </c>
      <c r="S2308">
        <v>2299</v>
      </c>
      <c r="T2308" t="e">
        <f>INDEX(Stammdaten[Krümmung (mm/lfm)],MATCH(Tabelle10[[#This Row],[Rank]],Stammdaten[Rank Verteilung Krümmung],0))</f>
        <v>#N/A</v>
      </c>
      <c r="U2308" t="e">
        <f>VLOOKUP(Tabelle10[[#This Row],[Rank]],Stammdaten[[Rank Verteilung Krümmung]:[Verteilung Krümmung]],2,FALSE)</f>
        <v>#N/A</v>
      </c>
      <c r="Z2308">
        <v>2299</v>
      </c>
      <c r="AA2308" t="e">
        <f>INDEX(Stammdaten[Ovalität (']0,1'])],MATCH(Tabelle1014[[#This Row],[Rank]],Stammdaten[Rank Verteilung Ovalität],0))</f>
        <v>#N/A</v>
      </c>
      <c r="AB2308" t="e">
        <f>VLOOKUP(Tabelle1014[[#This Row],[Rank]],Stammdaten[[Rank Verteilung Ovalität]:[Verteilung Ovalität]],2,FALSE)</f>
        <v>#N/A</v>
      </c>
    </row>
    <row r="2309" spans="5:28" x14ac:dyDescent="0.35">
      <c r="E2309">
        <v>2300</v>
      </c>
      <c r="F2309" t="e">
        <f>INDEX(Stammdaten[D Mitte mit Rinde (mm)],MATCH(Tabelle8[[#This Row],[Rank]],Stammdaten[Rank Verteilung D Mitte mit Rinde],0))</f>
        <v>#N/A</v>
      </c>
      <c r="G2309" t="e">
        <f>VLOOKUP(Tabelle8[[#This Row],[Rank]],Stammdaten[[Rank Verteilung D Mitte mit Rinde]:[Verteilung D Mitte mit Rinde]],2,FALSE)</f>
        <v>#N/A</v>
      </c>
      <c r="L2309">
        <v>2300</v>
      </c>
      <c r="M2309" t="e">
        <f>INDEX(Stammdaten[Abholzigkeit (mm/lfm)],MATCH(Tabelle9[[#This Row],[Rank]],Stammdaten[Rank Verteilung Abholzigkeit],0))</f>
        <v>#N/A</v>
      </c>
      <c r="N2309" t="e">
        <f>VLOOKUP(Tabelle9[[#This Row],[Rank]],Stammdaten[[Rank Verteilung Abholzigkeit]:[Verteilung Abholzigkeit]],2,FALSE)</f>
        <v>#N/A</v>
      </c>
      <c r="S2309">
        <v>2300</v>
      </c>
      <c r="T2309" t="e">
        <f>INDEX(Stammdaten[Krümmung (mm/lfm)],MATCH(Tabelle10[[#This Row],[Rank]],Stammdaten[Rank Verteilung Krümmung],0))</f>
        <v>#N/A</v>
      </c>
      <c r="U2309" t="e">
        <f>VLOOKUP(Tabelle10[[#This Row],[Rank]],Stammdaten[[Rank Verteilung Krümmung]:[Verteilung Krümmung]],2,FALSE)</f>
        <v>#N/A</v>
      </c>
      <c r="Z2309">
        <v>2300</v>
      </c>
      <c r="AA2309" t="e">
        <f>INDEX(Stammdaten[Ovalität (']0,1'])],MATCH(Tabelle1014[[#This Row],[Rank]],Stammdaten[Rank Verteilung Ovalität],0))</f>
        <v>#N/A</v>
      </c>
      <c r="AB2309" t="e">
        <f>VLOOKUP(Tabelle1014[[#This Row],[Rank]],Stammdaten[[Rank Verteilung Ovalität]:[Verteilung Ovalität]],2,FALSE)</f>
        <v>#N/A</v>
      </c>
    </row>
    <row r="2310" spans="5:28" x14ac:dyDescent="0.35">
      <c r="E2310">
        <v>2301</v>
      </c>
      <c r="F2310" t="e">
        <f>INDEX(Stammdaten[D Mitte mit Rinde (mm)],MATCH(Tabelle8[[#This Row],[Rank]],Stammdaten[Rank Verteilung D Mitte mit Rinde],0))</f>
        <v>#N/A</v>
      </c>
      <c r="G2310" t="e">
        <f>VLOOKUP(Tabelle8[[#This Row],[Rank]],Stammdaten[[Rank Verteilung D Mitte mit Rinde]:[Verteilung D Mitte mit Rinde]],2,FALSE)</f>
        <v>#N/A</v>
      </c>
      <c r="L2310">
        <v>2301</v>
      </c>
      <c r="M2310" t="e">
        <f>INDEX(Stammdaten[Abholzigkeit (mm/lfm)],MATCH(Tabelle9[[#This Row],[Rank]],Stammdaten[Rank Verteilung Abholzigkeit],0))</f>
        <v>#N/A</v>
      </c>
      <c r="N2310" t="e">
        <f>VLOOKUP(Tabelle9[[#This Row],[Rank]],Stammdaten[[Rank Verteilung Abholzigkeit]:[Verteilung Abholzigkeit]],2,FALSE)</f>
        <v>#N/A</v>
      </c>
      <c r="S2310">
        <v>2301</v>
      </c>
      <c r="T2310" t="e">
        <f>INDEX(Stammdaten[Krümmung (mm/lfm)],MATCH(Tabelle10[[#This Row],[Rank]],Stammdaten[Rank Verteilung Krümmung],0))</f>
        <v>#N/A</v>
      </c>
      <c r="U2310" t="e">
        <f>VLOOKUP(Tabelle10[[#This Row],[Rank]],Stammdaten[[Rank Verteilung Krümmung]:[Verteilung Krümmung]],2,FALSE)</f>
        <v>#N/A</v>
      </c>
      <c r="Z2310">
        <v>2301</v>
      </c>
      <c r="AA2310" t="e">
        <f>INDEX(Stammdaten[Ovalität (']0,1'])],MATCH(Tabelle1014[[#This Row],[Rank]],Stammdaten[Rank Verteilung Ovalität],0))</f>
        <v>#N/A</v>
      </c>
      <c r="AB2310" t="e">
        <f>VLOOKUP(Tabelle1014[[#This Row],[Rank]],Stammdaten[[Rank Verteilung Ovalität]:[Verteilung Ovalität]],2,FALSE)</f>
        <v>#N/A</v>
      </c>
    </row>
    <row r="2311" spans="5:28" x14ac:dyDescent="0.35">
      <c r="E2311">
        <v>2302</v>
      </c>
      <c r="F2311" t="e">
        <f>INDEX(Stammdaten[D Mitte mit Rinde (mm)],MATCH(Tabelle8[[#This Row],[Rank]],Stammdaten[Rank Verteilung D Mitte mit Rinde],0))</f>
        <v>#N/A</v>
      </c>
      <c r="G2311" t="e">
        <f>VLOOKUP(Tabelle8[[#This Row],[Rank]],Stammdaten[[Rank Verteilung D Mitte mit Rinde]:[Verteilung D Mitte mit Rinde]],2,FALSE)</f>
        <v>#N/A</v>
      </c>
      <c r="L2311">
        <v>2302</v>
      </c>
      <c r="M2311" t="e">
        <f>INDEX(Stammdaten[Abholzigkeit (mm/lfm)],MATCH(Tabelle9[[#This Row],[Rank]],Stammdaten[Rank Verteilung Abholzigkeit],0))</f>
        <v>#N/A</v>
      </c>
      <c r="N2311" t="e">
        <f>VLOOKUP(Tabelle9[[#This Row],[Rank]],Stammdaten[[Rank Verteilung Abholzigkeit]:[Verteilung Abholzigkeit]],2,FALSE)</f>
        <v>#N/A</v>
      </c>
      <c r="S2311">
        <v>2302</v>
      </c>
      <c r="T2311" t="e">
        <f>INDEX(Stammdaten[Krümmung (mm/lfm)],MATCH(Tabelle10[[#This Row],[Rank]],Stammdaten[Rank Verteilung Krümmung],0))</f>
        <v>#N/A</v>
      </c>
      <c r="U2311" t="e">
        <f>VLOOKUP(Tabelle10[[#This Row],[Rank]],Stammdaten[[Rank Verteilung Krümmung]:[Verteilung Krümmung]],2,FALSE)</f>
        <v>#N/A</v>
      </c>
      <c r="Z2311">
        <v>2302</v>
      </c>
      <c r="AA2311" t="e">
        <f>INDEX(Stammdaten[Ovalität (']0,1'])],MATCH(Tabelle1014[[#This Row],[Rank]],Stammdaten[Rank Verteilung Ovalität],0))</f>
        <v>#N/A</v>
      </c>
      <c r="AB2311" t="e">
        <f>VLOOKUP(Tabelle1014[[#This Row],[Rank]],Stammdaten[[Rank Verteilung Ovalität]:[Verteilung Ovalität]],2,FALSE)</f>
        <v>#N/A</v>
      </c>
    </row>
    <row r="2312" spans="5:28" x14ac:dyDescent="0.35">
      <c r="E2312">
        <v>2303</v>
      </c>
      <c r="F2312" t="e">
        <f>INDEX(Stammdaten[D Mitte mit Rinde (mm)],MATCH(Tabelle8[[#This Row],[Rank]],Stammdaten[Rank Verteilung D Mitte mit Rinde],0))</f>
        <v>#N/A</v>
      </c>
      <c r="G2312" t="e">
        <f>VLOOKUP(Tabelle8[[#This Row],[Rank]],Stammdaten[[Rank Verteilung D Mitte mit Rinde]:[Verteilung D Mitte mit Rinde]],2,FALSE)</f>
        <v>#N/A</v>
      </c>
      <c r="L2312">
        <v>2303</v>
      </c>
      <c r="M2312" t="e">
        <f>INDEX(Stammdaten[Abholzigkeit (mm/lfm)],MATCH(Tabelle9[[#This Row],[Rank]],Stammdaten[Rank Verteilung Abholzigkeit],0))</f>
        <v>#N/A</v>
      </c>
      <c r="N2312" t="e">
        <f>VLOOKUP(Tabelle9[[#This Row],[Rank]],Stammdaten[[Rank Verteilung Abholzigkeit]:[Verteilung Abholzigkeit]],2,FALSE)</f>
        <v>#N/A</v>
      </c>
      <c r="S2312">
        <v>2303</v>
      </c>
      <c r="T2312" t="e">
        <f>INDEX(Stammdaten[Krümmung (mm/lfm)],MATCH(Tabelle10[[#This Row],[Rank]],Stammdaten[Rank Verteilung Krümmung],0))</f>
        <v>#N/A</v>
      </c>
      <c r="U2312" t="e">
        <f>VLOOKUP(Tabelle10[[#This Row],[Rank]],Stammdaten[[Rank Verteilung Krümmung]:[Verteilung Krümmung]],2,FALSE)</f>
        <v>#N/A</v>
      </c>
      <c r="Z2312">
        <v>2303</v>
      </c>
      <c r="AA2312" t="e">
        <f>INDEX(Stammdaten[Ovalität (']0,1'])],MATCH(Tabelle1014[[#This Row],[Rank]],Stammdaten[Rank Verteilung Ovalität],0))</f>
        <v>#N/A</v>
      </c>
      <c r="AB2312" t="e">
        <f>VLOOKUP(Tabelle1014[[#This Row],[Rank]],Stammdaten[[Rank Verteilung Ovalität]:[Verteilung Ovalität]],2,FALSE)</f>
        <v>#N/A</v>
      </c>
    </row>
    <row r="2313" spans="5:28" x14ac:dyDescent="0.35">
      <c r="E2313">
        <v>2304</v>
      </c>
      <c r="F2313" t="e">
        <f>INDEX(Stammdaten[D Mitte mit Rinde (mm)],MATCH(Tabelle8[[#This Row],[Rank]],Stammdaten[Rank Verteilung D Mitte mit Rinde],0))</f>
        <v>#N/A</v>
      </c>
      <c r="G2313" t="e">
        <f>VLOOKUP(Tabelle8[[#This Row],[Rank]],Stammdaten[[Rank Verteilung D Mitte mit Rinde]:[Verteilung D Mitte mit Rinde]],2,FALSE)</f>
        <v>#N/A</v>
      </c>
      <c r="L2313">
        <v>2304</v>
      </c>
      <c r="M2313" t="e">
        <f>INDEX(Stammdaten[Abholzigkeit (mm/lfm)],MATCH(Tabelle9[[#This Row],[Rank]],Stammdaten[Rank Verteilung Abholzigkeit],0))</f>
        <v>#N/A</v>
      </c>
      <c r="N2313" t="e">
        <f>VLOOKUP(Tabelle9[[#This Row],[Rank]],Stammdaten[[Rank Verteilung Abholzigkeit]:[Verteilung Abholzigkeit]],2,FALSE)</f>
        <v>#N/A</v>
      </c>
      <c r="S2313">
        <v>2304</v>
      </c>
      <c r="T2313" t="e">
        <f>INDEX(Stammdaten[Krümmung (mm/lfm)],MATCH(Tabelle10[[#This Row],[Rank]],Stammdaten[Rank Verteilung Krümmung],0))</f>
        <v>#N/A</v>
      </c>
      <c r="U2313" t="e">
        <f>VLOOKUP(Tabelle10[[#This Row],[Rank]],Stammdaten[[Rank Verteilung Krümmung]:[Verteilung Krümmung]],2,FALSE)</f>
        <v>#N/A</v>
      </c>
      <c r="Z2313">
        <v>2304</v>
      </c>
      <c r="AA2313" t="e">
        <f>INDEX(Stammdaten[Ovalität (']0,1'])],MATCH(Tabelle1014[[#This Row],[Rank]],Stammdaten[Rank Verteilung Ovalität],0))</f>
        <v>#N/A</v>
      </c>
      <c r="AB2313" t="e">
        <f>VLOOKUP(Tabelle1014[[#This Row],[Rank]],Stammdaten[[Rank Verteilung Ovalität]:[Verteilung Ovalität]],2,FALSE)</f>
        <v>#N/A</v>
      </c>
    </row>
    <row r="2314" spans="5:28" x14ac:dyDescent="0.35">
      <c r="E2314">
        <v>2305</v>
      </c>
      <c r="F2314" t="e">
        <f>INDEX(Stammdaten[D Mitte mit Rinde (mm)],MATCH(Tabelle8[[#This Row],[Rank]],Stammdaten[Rank Verteilung D Mitte mit Rinde],0))</f>
        <v>#N/A</v>
      </c>
      <c r="G2314" t="e">
        <f>VLOOKUP(Tabelle8[[#This Row],[Rank]],Stammdaten[[Rank Verteilung D Mitte mit Rinde]:[Verteilung D Mitte mit Rinde]],2,FALSE)</f>
        <v>#N/A</v>
      </c>
      <c r="L2314">
        <v>2305</v>
      </c>
      <c r="M2314" t="e">
        <f>INDEX(Stammdaten[Abholzigkeit (mm/lfm)],MATCH(Tabelle9[[#This Row],[Rank]],Stammdaten[Rank Verteilung Abholzigkeit],0))</f>
        <v>#N/A</v>
      </c>
      <c r="N2314" t="e">
        <f>VLOOKUP(Tabelle9[[#This Row],[Rank]],Stammdaten[[Rank Verteilung Abholzigkeit]:[Verteilung Abholzigkeit]],2,FALSE)</f>
        <v>#N/A</v>
      </c>
      <c r="S2314">
        <v>2305</v>
      </c>
      <c r="T2314" t="e">
        <f>INDEX(Stammdaten[Krümmung (mm/lfm)],MATCH(Tabelle10[[#This Row],[Rank]],Stammdaten[Rank Verteilung Krümmung],0))</f>
        <v>#N/A</v>
      </c>
      <c r="U2314" t="e">
        <f>VLOOKUP(Tabelle10[[#This Row],[Rank]],Stammdaten[[Rank Verteilung Krümmung]:[Verteilung Krümmung]],2,FALSE)</f>
        <v>#N/A</v>
      </c>
      <c r="Z2314">
        <v>2305</v>
      </c>
      <c r="AA2314" t="e">
        <f>INDEX(Stammdaten[Ovalität (']0,1'])],MATCH(Tabelle1014[[#This Row],[Rank]],Stammdaten[Rank Verteilung Ovalität],0))</f>
        <v>#N/A</v>
      </c>
      <c r="AB2314" t="e">
        <f>VLOOKUP(Tabelle1014[[#This Row],[Rank]],Stammdaten[[Rank Verteilung Ovalität]:[Verteilung Ovalität]],2,FALSE)</f>
        <v>#N/A</v>
      </c>
    </row>
    <row r="2315" spans="5:28" x14ac:dyDescent="0.35">
      <c r="E2315">
        <v>2306</v>
      </c>
      <c r="F2315" t="e">
        <f>INDEX(Stammdaten[D Mitte mit Rinde (mm)],MATCH(Tabelle8[[#This Row],[Rank]],Stammdaten[Rank Verteilung D Mitte mit Rinde],0))</f>
        <v>#N/A</v>
      </c>
      <c r="G2315" t="e">
        <f>VLOOKUP(Tabelle8[[#This Row],[Rank]],Stammdaten[[Rank Verteilung D Mitte mit Rinde]:[Verteilung D Mitte mit Rinde]],2,FALSE)</f>
        <v>#N/A</v>
      </c>
      <c r="L2315">
        <v>2306</v>
      </c>
      <c r="M2315" t="e">
        <f>INDEX(Stammdaten[Abholzigkeit (mm/lfm)],MATCH(Tabelle9[[#This Row],[Rank]],Stammdaten[Rank Verteilung Abholzigkeit],0))</f>
        <v>#N/A</v>
      </c>
      <c r="N2315" t="e">
        <f>VLOOKUP(Tabelle9[[#This Row],[Rank]],Stammdaten[[Rank Verteilung Abholzigkeit]:[Verteilung Abholzigkeit]],2,FALSE)</f>
        <v>#N/A</v>
      </c>
      <c r="S2315">
        <v>2306</v>
      </c>
      <c r="T2315" t="e">
        <f>INDEX(Stammdaten[Krümmung (mm/lfm)],MATCH(Tabelle10[[#This Row],[Rank]],Stammdaten[Rank Verteilung Krümmung],0))</f>
        <v>#N/A</v>
      </c>
      <c r="U2315" t="e">
        <f>VLOOKUP(Tabelle10[[#This Row],[Rank]],Stammdaten[[Rank Verteilung Krümmung]:[Verteilung Krümmung]],2,FALSE)</f>
        <v>#N/A</v>
      </c>
      <c r="Z2315">
        <v>2306</v>
      </c>
      <c r="AA2315" t="e">
        <f>INDEX(Stammdaten[Ovalität (']0,1'])],MATCH(Tabelle1014[[#This Row],[Rank]],Stammdaten[Rank Verteilung Ovalität],0))</f>
        <v>#N/A</v>
      </c>
      <c r="AB2315" t="e">
        <f>VLOOKUP(Tabelle1014[[#This Row],[Rank]],Stammdaten[[Rank Verteilung Ovalität]:[Verteilung Ovalität]],2,FALSE)</f>
        <v>#N/A</v>
      </c>
    </row>
    <row r="2316" spans="5:28" x14ac:dyDescent="0.35">
      <c r="E2316">
        <v>2307</v>
      </c>
      <c r="F2316" t="e">
        <f>INDEX(Stammdaten[D Mitte mit Rinde (mm)],MATCH(Tabelle8[[#This Row],[Rank]],Stammdaten[Rank Verteilung D Mitte mit Rinde],0))</f>
        <v>#N/A</v>
      </c>
      <c r="G2316" t="e">
        <f>VLOOKUP(Tabelle8[[#This Row],[Rank]],Stammdaten[[Rank Verteilung D Mitte mit Rinde]:[Verteilung D Mitte mit Rinde]],2,FALSE)</f>
        <v>#N/A</v>
      </c>
      <c r="L2316">
        <v>2307</v>
      </c>
      <c r="M2316" t="e">
        <f>INDEX(Stammdaten[Abholzigkeit (mm/lfm)],MATCH(Tabelle9[[#This Row],[Rank]],Stammdaten[Rank Verteilung Abholzigkeit],0))</f>
        <v>#N/A</v>
      </c>
      <c r="N2316" t="e">
        <f>VLOOKUP(Tabelle9[[#This Row],[Rank]],Stammdaten[[Rank Verteilung Abholzigkeit]:[Verteilung Abholzigkeit]],2,FALSE)</f>
        <v>#N/A</v>
      </c>
      <c r="S2316">
        <v>2307</v>
      </c>
      <c r="T2316" t="e">
        <f>INDEX(Stammdaten[Krümmung (mm/lfm)],MATCH(Tabelle10[[#This Row],[Rank]],Stammdaten[Rank Verteilung Krümmung],0))</f>
        <v>#N/A</v>
      </c>
      <c r="U2316" t="e">
        <f>VLOOKUP(Tabelle10[[#This Row],[Rank]],Stammdaten[[Rank Verteilung Krümmung]:[Verteilung Krümmung]],2,FALSE)</f>
        <v>#N/A</v>
      </c>
      <c r="Z2316">
        <v>2307</v>
      </c>
      <c r="AA2316" t="e">
        <f>INDEX(Stammdaten[Ovalität (']0,1'])],MATCH(Tabelle1014[[#This Row],[Rank]],Stammdaten[Rank Verteilung Ovalität],0))</f>
        <v>#N/A</v>
      </c>
      <c r="AB2316" t="e">
        <f>VLOOKUP(Tabelle1014[[#This Row],[Rank]],Stammdaten[[Rank Verteilung Ovalität]:[Verteilung Ovalität]],2,FALSE)</f>
        <v>#N/A</v>
      </c>
    </row>
    <row r="2317" spans="5:28" x14ac:dyDescent="0.35">
      <c r="E2317">
        <v>2308</v>
      </c>
      <c r="F2317" t="e">
        <f>INDEX(Stammdaten[D Mitte mit Rinde (mm)],MATCH(Tabelle8[[#This Row],[Rank]],Stammdaten[Rank Verteilung D Mitte mit Rinde],0))</f>
        <v>#N/A</v>
      </c>
      <c r="G2317" t="e">
        <f>VLOOKUP(Tabelle8[[#This Row],[Rank]],Stammdaten[[Rank Verteilung D Mitte mit Rinde]:[Verteilung D Mitte mit Rinde]],2,FALSE)</f>
        <v>#N/A</v>
      </c>
      <c r="L2317">
        <v>2308</v>
      </c>
      <c r="M2317" t="e">
        <f>INDEX(Stammdaten[Abholzigkeit (mm/lfm)],MATCH(Tabelle9[[#This Row],[Rank]],Stammdaten[Rank Verteilung Abholzigkeit],0))</f>
        <v>#N/A</v>
      </c>
      <c r="N2317" t="e">
        <f>VLOOKUP(Tabelle9[[#This Row],[Rank]],Stammdaten[[Rank Verteilung Abholzigkeit]:[Verteilung Abholzigkeit]],2,FALSE)</f>
        <v>#N/A</v>
      </c>
      <c r="S2317">
        <v>2308</v>
      </c>
      <c r="T2317" t="e">
        <f>INDEX(Stammdaten[Krümmung (mm/lfm)],MATCH(Tabelle10[[#This Row],[Rank]],Stammdaten[Rank Verteilung Krümmung],0))</f>
        <v>#N/A</v>
      </c>
      <c r="U2317" t="e">
        <f>VLOOKUP(Tabelle10[[#This Row],[Rank]],Stammdaten[[Rank Verteilung Krümmung]:[Verteilung Krümmung]],2,FALSE)</f>
        <v>#N/A</v>
      </c>
      <c r="Z2317">
        <v>2308</v>
      </c>
      <c r="AA2317" t="e">
        <f>INDEX(Stammdaten[Ovalität (']0,1'])],MATCH(Tabelle1014[[#This Row],[Rank]],Stammdaten[Rank Verteilung Ovalität],0))</f>
        <v>#N/A</v>
      </c>
      <c r="AB2317" t="e">
        <f>VLOOKUP(Tabelle1014[[#This Row],[Rank]],Stammdaten[[Rank Verteilung Ovalität]:[Verteilung Ovalität]],2,FALSE)</f>
        <v>#N/A</v>
      </c>
    </row>
    <row r="2318" spans="5:28" x14ac:dyDescent="0.35">
      <c r="E2318">
        <v>2309</v>
      </c>
      <c r="F2318" t="e">
        <f>INDEX(Stammdaten[D Mitte mit Rinde (mm)],MATCH(Tabelle8[[#This Row],[Rank]],Stammdaten[Rank Verteilung D Mitte mit Rinde],0))</f>
        <v>#N/A</v>
      </c>
      <c r="G2318" t="e">
        <f>VLOOKUP(Tabelle8[[#This Row],[Rank]],Stammdaten[[Rank Verteilung D Mitte mit Rinde]:[Verteilung D Mitte mit Rinde]],2,FALSE)</f>
        <v>#N/A</v>
      </c>
      <c r="L2318">
        <v>2309</v>
      </c>
      <c r="M2318" t="e">
        <f>INDEX(Stammdaten[Abholzigkeit (mm/lfm)],MATCH(Tabelle9[[#This Row],[Rank]],Stammdaten[Rank Verteilung Abholzigkeit],0))</f>
        <v>#N/A</v>
      </c>
      <c r="N2318" t="e">
        <f>VLOOKUP(Tabelle9[[#This Row],[Rank]],Stammdaten[[Rank Verteilung Abholzigkeit]:[Verteilung Abholzigkeit]],2,FALSE)</f>
        <v>#N/A</v>
      </c>
      <c r="S2318">
        <v>2309</v>
      </c>
      <c r="T2318" t="e">
        <f>INDEX(Stammdaten[Krümmung (mm/lfm)],MATCH(Tabelle10[[#This Row],[Rank]],Stammdaten[Rank Verteilung Krümmung],0))</f>
        <v>#N/A</v>
      </c>
      <c r="U2318" t="e">
        <f>VLOOKUP(Tabelle10[[#This Row],[Rank]],Stammdaten[[Rank Verteilung Krümmung]:[Verteilung Krümmung]],2,FALSE)</f>
        <v>#N/A</v>
      </c>
      <c r="Z2318">
        <v>2309</v>
      </c>
      <c r="AA2318" t="e">
        <f>INDEX(Stammdaten[Ovalität (']0,1'])],MATCH(Tabelle1014[[#This Row],[Rank]],Stammdaten[Rank Verteilung Ovalität],0))</f>
        <v>#N/A</v>
      </c>
      <c r="AB2318" t="e">
        <f>VLOOKUP(Tabelle1014[[#This Row],[Rank]],Stammdaten[[Rank Verteilung Ovalität]:[Verteilung Ovalität]],2,FALSE)</f>
        <v>#N/A</v>
      </c>
    </row>
    <row r="2319" spans="5:28" x14ac:dyDescent="0.35">
      <c r="E2319">
        <v>2310</v>
      </c>
      <c r="F2319" t="e">
        <f>INDEX(Stammdaten[D Mitte mit Rinde (mm)],MATCH(Tabelle8[[#This Row],[Rank]],Stammdaten[Rank Verteilung D Mitte mit Rinde],0))</f>
        <v>#N/A</v>
      </c>
      <c r="G2319" t="e">
        <f>VLOOKUP(Tabelle8[[#This Row],[Rank]],Stammdaten[[Rank Verteilung D Mitte mit Rinde]:[Verteilung D Mitte mit Rinde]],2,FALSE)</f>
        <v>#N/A</v>
      </c>
      <c r="L2319">
        <v>2310</v>
      </c>
      <c r="M2319" t="e">
        <f>INDEX(Stammdaten[Abholzigkeit (mm/lfm)],MATCH(Tabelle9[[#This Row],[Rank]],Stammdaten[Rank Verteilung Abholzigkeit],0))</f>
        <v>#N/A</v>
      </c>
      <c r="N2319" t="e">
        <f>VLOOKUP(Tabelle9[[#This Row],[Rank]],Stammdaten[[Rank Verteilung Abholzigkeit]:[Verteilung Abholzigkeit]],2,FALSE)</f>
        <v>#N/A</v>
      </c>
      <c r="S2319">
        <v>2310</v>
      </c>
      <c r="T2319" t="e">
        <f>INDEX(Stammdaten[Krümmung (mm/lfm)],MATCH(Tabelle10[[#This Row],[Rank]],Stammdaten[Rank Verteilung Krümmung],0))</f>
        <v>#N/A</v>
      </c>
      <c r="U2319" t="e">
        <f>VLOOKUP(Tabelle10[[#This Row],[Rank]],Stammdaten[[Rank Verteilung Krümmung]:[Verteilung Krümmung]],2,FALSE)</f>
        <v>#N/A</v>
      </c>
      <c r="Z2319">
        <v>2310</v>
      </c>
      <c r="AA2319" t="e">
        <f>INDEX(Stammdaten[Ovalität (']0,1'])],MATCH(Tabelle1014[[#This Row],[Rank]],Stammdaten[Rank Verteilung Ovalität],0))</f>
        <v>#N/A</v>
      </c>
      <c r="AB2319" t="e">
        <f>VLOOKUP(Tabelle1014[[#This Row],[Rank]],Stammdaten[[Rank Verteilung Ovalität]:[Verteilung Ovalität]],2,FALSE)</f>
        <v>#N/A</v>
      </c>
    </row>
    <row r="2320" spans="5:28" x14ac:dyDescent="0.35">
      <c r="E2320">
        <v>2311</v>
      </c>
      <c r="F2320" t="e">
        <f>INDEX(Stammdaten[D Mitte mit Rinde (mm)],MATCH(Tabelle8[[#This Row],[Rank]],Stammdaten[Rank Verteilung D Mitte mit Rinde],0))</f>
        <v>#N/A</v>
      </c>
      <c r="G2320" t="e">
        <f>VLOOKUP(Tabelle8[[#This Row],[Rank]],Stammdaten[[Rank Verteilung D Mitte mit Rinde]:[Verteilung D Mitte mit Rinde]],2,FALSE)</f>
        <v>#N/A</v>
      </c>
      <c r="L2320">
        <v>2311</v>
      </c>
      <c r="M2320" t="e">
        <f>INDEX(Stammdaten[Abholzigkeit (mm/lfm)],MATCH(Tabelle9[[#This Row],[Rank]],Stammdaten[Rank Verteilung Abholzigkeit],0))</f>
        <v>#N/A</v>
      </c>
      <c r="N2320" t="e">
        <f>VLOOKUP(Tabelle9[[#This Row],[Rank]],Stammdaten[[Rank Verteilung Abholzigkeit]:[Verteilung Abholzigkeit]],2,FALSE)</f>
        <v>#N/A</v>
      </c>
      <c r="S2320">
        <v>2311</v>
      </c>
      <c r="T2320" t="e">
        <f>INDEX(Stammdaten[Krümmung (mm/lfm)],MATCH(Tabelle10[[#This Row],[Rank]],Stammdaten[Rank Verteilung Krümmung],0))</f>
        <v>#N/A</v>
      </c>
      <c r="U2320" t="e">
        <f>VLOOKUP(Tabelle10[[#This Row],[Rank]],Stammdaten[[Rank Verteilung Krümmung]:[Verteilung Krümmung]],2,FALSE)</f>
        <v>#N/A</v>
      </c>
      <c r="Z2320">
        <v>2311</v>
      </c>
      <c r="AA2320" t="e">
        <f>INDEX(Stammdaten[Ovalität (']0,1'])],MATCH(Tabelle1014[[#This Row],[Rank]],Stammdaten[Rank Verteilung Ovalität],0))</f>
        <v>#N/A</v>
      </c>
      <c r="AB2320" t="e">
        <f>VLOOKUP(Tabelle1014[[#This Row],[Rank]],Stammdaten[[Rank Verteilung Ovalität]:[Verteilung Ovalität]],2,FALSE)</f>
        <v>#N/A</v>
      </c>
    </row>
    <row r="2321" spans="5:28" x14ac:dyDescent="0.35">
      <c r="E2321">
        <v>2312</v>
      </c>
      <c r="F2321" t="e">
        <f>INDEX(Stammdaten[D Mitte mit Rinde (mm)],MATCH(Tabelle8[[#This Row],[Rank]],Stammdaten[Rank Verteilung D Mitte mit Rinde],0))</f>
        <v>#N/A</v>
      </c>
      <c r="G2321" t="e">
        <f>VLOOKUP(Tabelle8[[#This Row],[Rank]],Stammdaten[[Rank Verteilung D Mitte mit Rinde]:[Verteilung D Mitte mit Rinde]],2,FALSE)</f>
        <v>#N/A</v>
      </c>
      <c r="L2321">
        <v>2312</v>
      </c>
      <c r="M2321" t="e">
        <f>INDEX(Stammdaten[Abholzigkeit (mm/lfm)],MATCH(Tabelle9[[#This Row],[Rank]],Stammdaten[Rank Verteilung Abholzigkeit],0))</f>
        <v>#N/A</v>
      </c>
      <c r="N2321" t="e">
        <f>VLOOKUP(Tabelle9[[#This Row],[Rank]],Stammdaten[[Rank Verteilung Abholzigkeit]:[Verteilung Abholzigkeit]],2,FALSE)</f>
        <v>#N/A</v>
      </c>
      <c r="S2321">
        <v>2312</v>
      </c>
      <c r="T2321" t="e">
        <f>INDEX(Stammdaten[Krümmung (mm/lfm)],MATCH(Tabelle10[[#This Row],[Rank]],Stammdaten[Rank Verteilung Krümmung],0))</f>
        <v>#N/A</v>
      </c>
      <c r="U2321" t="e">
        <f>VLOOKUP(Tabelle10[[#This Row],[Rank]],Stammdaten[[Rank Verteilung Krümmung]:[Verteilung Krümmung]],2,FALSE)</f>
        <v>#N/A</v>
      </c>
      <c r="Z2321">
        <v>2312</v>
      </c>
      <c r="AA2321" t="e">
        <f>INDEX(Stammdaten[Ovalität (']0,1'])],MATCH(Tabelle1014[[#This Row],[Rank]],Stammdaten[Rank Verteilung Ovalität],0))</f>
        <v>#N/A</v>
      </c>
      <c r="AB2321" t="e">
        <f>VLOOKUP(Tabelle1014[[#This Row],[Rank]],Stammdaten[[Rank Verteilung Ovalität]:[Verteilung Ovalität]],2,FALSE)</f>
        <v>#N/A</v>
      </c>
    </row>
    <row r="2322" spans="5:28" x14ac:dyDescent="0.35">
      <c r="E2322">
        <v>2313</v>
      </c>
      <c r="F2322" t="e">
        <f>INDEX(Stammdaten[D Mitte mit Rinde (mm)],MATCH(Tabelle8[[#This Row],[Rank]],Stammdaten[Rank Verteilung D Mitte mit Rinde],0))</f>
        <v>#N/A</v>
      </c>
      <c r="G2322" t="e">
        <f>VLOOKUP(Tabelle8[[#This Row],[Rank]],Stammdaten[[Rank Verteilung D Mitte mit Rinde]:[Verteilung D Mitte mit Rinde]],2,FALSE)</f>
        <v>#N/A</v>
      </c>
      <c r="L2322">
        <v>2313</v>
      </c>
      <c r="M2322" t="e">
        <f>INDEX(Stammdaten[Abholzigkeit (mm/lfm)],MATCH(Tabelle9[[#This Row],[Rank]],Stammdaten[Rank Verteilung Abholzigkeit],0))</f>
        <v>#N/A</v>
      </c>
      <c r="N2322" t="e">
        <f>VLOOKUP(Tabelle9[[#This Row],[Rank]],Stammdaten[[Rank Verteilung Abholzigkeit]:[Verteilung Abholzigkeit]],2,FALSE)</f>
        <v>#N/A</v>
      </c>
      <c r="S2322">
        <v>2313</v>
      </c>
      <c r="T2322" t="e">
        <f>INDEX(Stammdaten[Krümmung (mm/lfm)],MATCH(Tabelle10[[#This Row],[Rank]],Stammdaten[Rank Verteilung Krümmung],0))</f>
        <v>#N/A</v>
      </c>
      <c r="U2322" t="e">
        <f>VLOOKUP(Tabelle10[[#This Row],[Rank]],Stammdaten[[Rank Verteilung Krümmung]:[Verteilung Krümmung]],2,FALSE)</f>
        <v>#N/A</v>
      </c>
      <c r="Z2322">
        <v>2313</v>
      </c>
      <c r="AA2322" t="e">
        <f>INDEX(Stammdaten[Ovalität (']0,1'])],MATCH(Tabelle1014[[#This Row],[Rank]],Stammdaten[Rank Verteilung Ovalität],0))</f>
        <v>#N/A</v>
      </c>
      <c r="AB2322" t="e">
        <f>VLOOKUP(Tabelle1014[[#This Row],[Rank]],Stammdaten[[Rank Verteilung Ovalität]:[Verteilung Ovalität]],2,FALSE)</f>
        <v>#N/A</v>
      </c>
    </row>
    <row r="2323" spans="5:28" x14ac:dyDescent="0.35">
      <c r="E2323">
        <v>2314</v>
      </c>
      <c r="F2323" t="e">
        <f>INDEX(Stammdaten[D Mitte mit Rinde (mm)],MATCH(Tabelle8[[#This Row],[Rank]],Stammdaten[Rank Verteilung D Mitte mit Rinde],0))</f>
        <v>#N/A</v>
      </c>
      <c r="G2323" t="e">
        <f>VLOOKUP(Tabelle8[[#This Row],[Rank]],Stammdaten[[Rank Verteilung D Mitte mit Rinde]:[Verteilung D Mitte mit Rinde]],2,FALSE)</f>
        <v>#N/A</v>
      </c>
      <c r="L2323">
        <v>2314</v>
      </c>
      <c r="M2323" t="e">
        <f>INDEX(Stammdaten[Abholzigkeit (mm/lfm)],MATCH(Tabelle9[[#This Row],[Rank]],Stammdaten[Rank Verteilung Abholzigkeit],0))</f>
        <v>#N/A</v>
      </c>
      <c r="N2323" t="e">
        <f>VLOOKUP(Tabelle9[[#This Row],[Rank]],Stammdaten[[Rank Verteilung Abholzigkeit]:[Verteilung Abholzigkeit]],2,FALSE)</f>
        <v>#N/A</v>
      </c>
      <c r="S2323">
        <v>2314</v>
      </c>
      <c r="T2323" t="e">
        <f>INDEX(Stammdaten[Krümmung (mm/lfm)],MATCH(Tabelle10[[#This Row],[Rank]],Stammdaten[Rank Verteilung Krümmung],0))</f>
        <v>#N/A</v>
      </c>
      <c r="U2323" t="e">
        <f>VLOOKUP(Tabelle10[[#This Row],[Rank]],Stammdaten[[Rank Verteilung Krümmung]:[Verteilung Krümmung]],2,FALSE)</f>
        <v>#N/A</v>
      </c>
      <c r="Z2323">
        <v>2314</v>
      </c>
      <c r="AA2323" t="e">
        <f>INDEX(Stammdaten[Ovalität (']0,1'])],MATCH(Tabelle1014[[#This Row],[Rank]],Stammdaten[Rank Verteilung Ovalität],0))</f>
        <v>#N/A</v>
      </c>
      <c r="AB2323" t="e">
        <f>VLOOKUP(Tabelle1014[[#This Row],[Rank]],Stammdaten[[Rank Verteilung Ovalität]:[Verteilung Ovalität]],2,FALSE)</f>
        <v>#N/A</v>
      </c>
    </row>
    <row r="2324" spans="5:28" x14ac:dyDescent="0.35">
      <c r="E2324">
        <v>2315</v>
      </c>
      <c r="F2324" t="e">
        <f>INDEX(Stammdaten[D Mitte mit Rinde (mm)],MATCH(Tabelle8[[#This Row],[Rank]],Stammdaten[Rank Verteilung D Mitte mit Rinde],0))</f>
        <v>#N/A</v>
      </c>
      <c r="G2324" t="e">
        <f>VLOOKUP(Tabelle8[[#This Row],[Rank]],Stammdaten[[Rank Verteilung D Mitte mit Rinde]:[Verteilung D Mitte mit Rinde]],2,FALSE)</f>
        <v>#N/A</v>
      </c>
      <c r="L2324">
        <v>2315</v>
      </c>
      <c r="M2324" t="e">
        <f>INDEX(Stammdaten[Abholzigkeit (mm/lfm)],MATCH(Tabelle9[[#This Row],[Rank]],Stammdaten[Rank Verteilung Abholzigkeit],0))</f>
        <v>#N/A</v>
      </c>
      <c r="N2324" t="e">
        <f>VLOOKUP(Tabelle9[[#This Row],[Rank]],Stammdaten[[Rank Verteilung Abholzigkeit]:[Verteilung Abholzigkeit]],2,FALSE)</f>
        <v>#N/A</v>
      </c>
      <c r="S2324">
        <v>2315</v>
      </c>
      <c r="T2324" t="e">
        <f>INDEX(Stammdaten[Krümmung (mm/lfm)],MATCH(Tabelle10[[#This Row],[Rank]],Stammdaten[Rank Verteilung Krümmung],0))</f>
        <v>#N/A</v>
      </c>
      <c r="U2324" t="e">
        <f>VLOOKUP(Tabelle10[[#This Row],[Rank]],Stammdaten[[Rank Verteilung Krümmung]:[Verteilung Krümmung]],2,FALSE)</f>
        <v>#N/A</v>
      </c>
      <c r="Z2324">
        <v>2315</v>
      </c>
      <c r="AA2324" t="e">
        <f>INDEX(Stammdaten[Ovalität (']0,1'])],MATCH(Tabelle1014[[#This Row],[Rank]],Stammdaten[Rank Verteilung Ovalität],0))</f>
        <v>#N/A</v>
      </c>
      <c r="AB2324" t="e">
        <f>VLOOKUP(Tabelle1014[[#This Row],[Rank]],Stammdaten[[Rank Verteilung Ovalität]:[Verteilung Ovalität]],2,FALSE)</f>
        <v>#N/A</v>
      </c>
    </row>
    <row r="2325" spans="5:28" x14ac:dyDescent="0.35">
      <c r="E2325">
        <v>2316</v>
      </c>
      <c r="F2325" t="e">
        <f>INDEX(Stammdaten[D Mitte mit Rinde (mm)],MATCH(Tabelle8[[#This Row],[Rank]],Stammdaten[Rank Verteilung D Mitte mit Rinde],0))</f>
        <v>#N/A</v>
      </c>
      <c r="G2325" t="e">
        <f>VLOOKUP(Tabelle8[[#This Row],[Rank]],Stammdaten[[Rank Verteilung D Mitte mit Rinde]:[Verteilung D Mitte mit Rinde]],2,FALSE)</f>
        <v>#N/A</v>
      </c>
      <c r="L2325">
        <v>2316</v>
      </c>
      <c r="M2325" t="e">
        <f>INDEX(Stammdaten[Abholzigkeit (mm/lfm)],MATCH(Tabelle9[[#This Row],[Rank]],Stammdaten[Rank Verteilung Abholzigkeit],0))</f>
        <v>#N/A</v>
      </c>
      <c r="N2325" t="e">
        <f>VLOOKUP(Tabelle9[[#This Row],[Rank]],Stammdaten[[Rank Verteilung Abholzigkeit]:[Verteilung Abholzigkeit]],2,FALSE)</f>
        <v>#N/A</v>
      </c>
      <c r="S2325">
        <v>2316</v>
      </c>
      <c r="T2325" t="e">
        <f>INDEX(Stammdaten[Krümmung (mm/lfm)],MATCH(Tabelle10[[#This Row],[Rank]],Stammdaten[Rank Verteilung Krümmung],0))</f>
        <v>#N/A</v>
      </c>
      <c r="U2325" t="e">
        <f>VLOOKUP(Tabelle10[[#This Row],[Rank]],Stammdaten[[Rank Verteilung Krümmung]:[Verteilung Krümmung]],2,FALSE)</f>
        <v>#N/A</v>
      </c>
      <c r="Z2325">
        <v>2316</v>
      </c>
      <c r="AA2325" t="e">
        <f>INDEX(Stammdaten[Ovalität (']0,1'])],MATCH(Tabelle1014[[#This Row],[Rank]],Stammdaten[Rank Verteilung Ovalität],0))</f>
        <v>#N/A</v>
      </c>
      <c r="AB2325" t="e">
        <f>VLOOKUP(Tabelle1014[[#This Row],[Rank]],Stammdaten[[Rank Verteilung Ovalität]:[Verteilung Ovalität]],2,FALSE)</f>
        <v>#N/A</v>
      </c>
    </row>
    <row r="2326" spans="5:28" x14ac:dyDescent="0.35">
      <c r="E2326">
        <v>2317</v>
      </c>
      <c r="F2326" t="e">
        <f>INDEX(Stammdaten[D Mitte mit Rinde (mm)],MATCH(Tabelle8[[#This Row],[Rank]],Stammdaten[Rank Verteilung D Mitte mit Rinde],0))</f>
        <v>#N/A</v>
      </c>
      <c r="G2326" t="e">
        <f>VLOOKUP(Tabelle8[[#This Row],[Rank]],Stammdaten[[Rank Verteilung D Mitte mit Rinde]:[Verteilung D Mitte mit Rinde]],2,FALSE)</f>
        <v>#N/A</v>
      </c>
      <c r="L2326">
        <v>2317</v>
      </c>
      <c r="M2326" t="e">
        <f>INDEX(Stammdaten[Abholzigkeit (mm/lfm)],MATCH(Tabelle9[[#This Row],[Rank]],Stammdaten[Rank Verteilung Abholzigkeit],0))</f>
        <v>#N/A</v>
      </c>
      <c r="N2326" t="e">
        <f>VLOOKUP(Tabelle9[[#This Row],[Rank]],Stammdaten[[Rank Verteilung Abholzigkeit]:[Verteilung Abholzigkeit]],2,FALSE)</f>
        <v>#N/A</v>
      </c>
      <c r="S2326">
        <v>2317</v>
      </c>
      <c r="T2326" t="e">
        <f>INDEX(Stammdaten[Krümmung (mm/lfm)],MATCH(Tabelle10[[#This Row],[Rank]],Stammdaten[Rank Verteilung Krümmung],0))</f>
        <v>#N/A</v>
      </c>
      <c r="U2326" t="e">
        <f>VLOOKUP(Tabelle10[[#This Row],[Rank]],Stammdaten[[Rank Verteilung Krümmung]:[Verteilung Krümmung]],2,FALSE)</f>
        <v>#N/A</v>
      </c>
      <c r="Z2326">
        <v>2317</v>
      </c>
      <c r="AA2326" t="e">
        <f>INDEX(Stammdaten[Ovalität (']0,1'])],MATCH(Tabelle1014[[#This Row],[Rank]],Stammdaten[Rank Verteilung Ovalität],0))</f>
        <v>#N/A</v>
      </c>
      <c r="AB2326" t="e">
        <f>VLOOKUP(Tabelle1014[[#This Row],[Rank]],Stammdaten[[Rank Verteilung Ovalität]:[Verteilung Ovalität]],2,FALSE)</f>
        <v>#N/A</v>
      </c>
    </row>
    <row r="2327" spans="5:28" x14ac:dyDescent="0.35">
      <c r="E2327">
        <v>2318</v>
      </c>
      <c r="F2327" t="e">
        <f>INDEX(Stammdaten[D Mitte mit Rinde (mm)],MATCH(Tabelle8[[#This Row],[Rank]],Stammdaten[Rank Verteilung D Mitte mit Rinde],0))</f>
        <v>#N/A</v>
      </c>
      <c r="G2327" t="e">
        <f>VLOOKUP(Tabelle8[[#This Row],[Rank]],Stammdaten[[Rank Verteilung D Mitte mit Rinde]:[Verteilung D Mitte mit Rinde]],2,FALSE)</f>
        <v>#N/A</v>
      </c>
      <c r="L2327">
        <v>2318</v>
      </c>
      <c r="M2327" t="e">
        <f>INDEX(Stammdaten[Abholzigkeit (mm/lfm)],MATCH(Tabelle9[[#This Row],[Rank]],Stammdaten[Rank Verteilung Abholzigkeit],0))</f>
        <v>#N/A</v>
      </c>
      <c r="N2327" t="e">
        <f>VLOOKUP(Tabelle9[[#This Row],[Rank]],Stammdaten[[Rank Verteilung Abholzigkeit]:[Verteilung Abholzigkeit]],2,FALSE)</f>
        <v>#N/A</v>
      </c>
      <c r="S2327">
        <v>2318</v>
      </c>
      <c r="T2327" t="e">
        <f>INDEX(Stammdaten[Krümmung (mm/lfm)],MATCH(Tabelle10[[#This Row],[Rank]],Stammdaten[Rank Verteilung Krümmung],0))</f>
        <v>#N/A</v>
      </c>
      <c r="U2327" t="e">
        <f>VLOOKUP(Tabelle10[[#This Row],[Rank]],Stammdaten[[Rank Verteilung Krümmung]:[Verteilung Krümmung]],2,FALSE)</f>
        <v>#N/A</v>
      </c>
      <c r="Z2327">
        <v>2318</v>
      </c>
      <c r="AA2327" t="e">
        <f>INDEX(Stammdaten[Ovalität (']0,1'])],MATCH(Tabelle1014[[#This Row],[Rank]],Stammdaten[Rank Verteilung Ovalität],0))</f>
        <v>#N/A</v>
      </c>
      <c r="AB2327" t="e">
        <f>VLOOKUP(Tabelle1014[[#This Row],[Rank]],Stammdaten[[Rank Verteilung Ovalität]:[Verteilung Ovalität]],2,FALSE)</f>
        <v>#N/A</v>
      </c>
    </row>
    <row r="2328" spans="5:28" x14ac:dyDescent="0.35">
      <c r="E2328">
        <v>2319</v>
      </c>
      <c r="F2328" t="e">
        <f>INDEX(Stammdaten[D Mitte mit Rinde (mm)],MATCH(Tabelle8[[#This Row],[Rank]],Stammdaten[Rank Verteilung D Mitte mit Rinde],0))</f>
        <v>#N/A</v>
      </c>
      <c r="G2328" t="e">
        <f>VLOOKUP(Tabelle8[[#This Row],[Rank]],Stammdaten[[Rank Verteilung D Mitte mit Rinde]:[Verteilung D Mitte mit Rinde]],2,FALSE)</f>
        <v>#N/A</v>
      </c>
      <c r="L2328">
        <v>2319</v>
      </c>
      <c r="M2328" t="e">
        <f>INDEX(Stammdaten[Abholzigkeit (mm/lfm)],MATCH(Tabelle9[[#This Row],[Rank]],Stammdaten[Rank Verteilung Abholzigkeit],0))</f>
        <v>#N/A</v>
      </c>
      <c r="N2328" t="e">
        <f>VLOOKUP(Tabelle9[[#This Row],[Rank]],Stammdaten[[Rank Verteilung Abholzigkeit]:[Verteilung Abholzigkeit]],2,FALSE)</f>
        <v>#N/A</v>
      </c>
      <c r="S2328">
        <v>2319</v>
      </c>
      <c r="T2328" t="e">
        <f>INDEX(Stammdaten[Krümmung (mm/lfm)],MATCH(Tabelle10[[#This Row],[Rank]],Stammdaten[Rank Verteilung Krümmung],0))</f>
        <v>#N/A</v>
      </c>
      <c r="U2328" t="e">
        <f>VLOOKUP(Tabelle10[[#This Row],[Rank]],Stammdaten[[Rank Verteilung Krümmung]:[Verteilung Krümmung]],2,FALSE)</f>
        <v>#N/A</v>
      </c>
      <c r="Z2328">
        <v>2319</v>
      </c>
      <c r="AA2328" t="e">
        <f>INDEX(Stammdaten[Ovalität (']0,1'])],MATCH(Tabelle1014[[#This Row],[Rank]],Stammdaten[Rank Verteilung Ovalität],0))</f>
        <v>#N/A</v>
      </c>
      <c r="AB2328" t="e">
        <f>VLOOKUP(Tabelle1014[[#This Row],[Rank]],Stammdaten[[Rank Verteilung Ovalität]:[Verteilung Ovalität]],2,FALSE)</f>
        <v>#N/A</v>
      </c>
    </row>
    <row r="2329" spans="5:28" x14ac:dyDescent="0.35">
      <c r="E2329">
        <v>2320</v>
      </c>
      <c r="F2329" t="e">
        <f>INDEX(Stammdaten[D Mitte mit Rinde (mm)],MATCH(Tabelle8[[#This Row],[Rank]],Stammdaten[Rank Verteilung D Mitte mit Rinde],0))</f>
        <v>#N/A</v>
      </c>
      <c r="G2329" t="e">
        <f>VLOOKUP(Tabelle8[[#This Row],[Rank]],Stammdaten[[Rank Verteilung D Mitte mit Rinde]:[Verteilung D Mitte mit Rinde]],2,FALSE)</f>
        <v>#N/A</v>
      </c>
      <c r="L2329">
        <v>2320</v>
      </c>
      <c r="M2329" t="e">
        <f>INDEX(Stammdaten[Abholzigkeit (mm/lfm)],MATCH(Tabelle9[[#This Row],[Rank]],Stammdaten[Rank Verteilung Abholzigkeit],0))</f>
        <v>#N/A</v>
      </c>
      <c r="N2329" t="e">
        <f>VLOOKUP(Tabelle9[[#This Row],[Rank]],Stammdaten[[Rank Verteilung Abholzigkeit]:[Verteilung Abholzigkeit]],2,FALSE)</f>
        <v>#N/A</v>
      </c>
      <c r="S2329">
        <v>2320</v>
      </c>
      <c r="T2329" t="e">
        <f>INDEX(Stammdaten[Krümmung (mm/lfm)],MATCH(Tabelle10[[#This Row],[Rank]],Stammdaten[Rank Verteilung Krümmung],0))</f>
        <v>#N/A</v>
      </c>
      <c r="U2329" t="e">
        <f>VLOOKUP(Tabelle10[[#This Row],[Rank]],Stammdaten[[Rank Verteilung Krümmung]:[Verteilung Krümmung]],2,FALSE)</f>
        <v>#N/A</v>
      </c>
      <c r="Z2329">
        <v>2320</v>
      </c>
      <c r="AA2329" t="e">
        <f>INDEX(Stammdaten[Ovalität (']0,1'])],MATCH(Tabelle1014[[#This Row],[Rank]],Stammdaten[Rank Verteilung Ovalität],0))</f>
        <v>#N/A</v>
      </c>
      <c r="AB2329" t="e">
        <f>VLOOKUP(Tabelle1014[[#This Row],[Rank]],Stammdaten[[Rank Verteilung Ovalität]:[Verteilung Ovalität]],2,FALSE)</f>
        <v>#N/A</v>
      </c>
    </row>
    <row r="2330" spans="5:28" x14ac:dyDescent="0.35">
      <c r="E2330">
        <v>2321</v>
      </c>
      <c r="F2330" t="e">
        <f>INDEX(Stammdaten[D Mitte mit Rinde (mm)],MATCH(Tabelle8[[#This Row],[Rank]],Stammdaten[Rank Verteilung D Mitte mit Rinde],0))</f>
        <v>#N/A</v>
      </c>
      <c r="G2330" t="e">
        <f>VLOOKUP(Tabelle8[[#This Row],[Rank]],Stammdaten[[Rank Verteilung D Mitte mit Rinde]:[Verteilung D Mitte mit Rinde]],2,FALSE)</f>
        <v>#N/A</v>
      </c>
      <c r="L2330">
        <v>2321</v>
      </c>
      <c r="M2330" t="e">
        <f>INDEX(Stammdaten[Abholzigkeit (mm/lfm)],MATCH(Tabelle9[[#This Row],[Rank]],Stammdaten[Rank Verteilung Abholzigkeit],0))</f>
        <v>#N/A</v>
      </c>
      <c r="N2330" t="e">
        <f>VLOOKUP(Tabelle9[[#This Row],[Rank]],Stammdaten[[Rank Verteilung Abholzigkeit]:[Verteilung Abholzigkeit]],2,FALSE)</f>
        <v>#N/A</v>
      </c>
      <c r="S2330">
        <v>2321</v>
      </c>
      <c r="T2330" t="e">
        <f>INDEX(Stammdaten[Krümmung (mm/lfm)],MATCH(Tabelle10[[#This Row],[Rank]],Stammdaten[Rank Verteilung Krümmung],0))</f>
        <v>#N/A</v>
      </c>
      <c r="U2330" t="e">
        <f>VLOOKUP(Tabelle10[[#This Row],[Rank]],Stammdaten[[Rank Verteilung Krümmung]:[Verteilung Krümmung]],2,FALSE)</f>
        <v>#N/A</v>
      </c>
      <c r="Z2330">
        <v>2321</v>
      </c>
      <c r="AA2330" t="e">
        <f>INDEX(Stammdaten[Ovalität (']0,1'])],MATCH(Tabelle1014[[#This Row],[Rank]],Stammdaten[Rank Verteilung Ovalität],0))</f>
        <v>#N/A</v>
      </c>
      <c r="AB2330" t="e">
        <f>VLOOKUP(Tabelle1014[[#This Row],[Rank]],Stammdaten[[Rank Verteilung Ovalität]:[Verteilung Ovalität]],2,FALSE)</f>
        <v>#N/A</v>
      </c>
    </row>
    <row r="2331" spans="5:28" x14ac:dyDescent="0.35">
      <c r="E2331">
        <v>2322</v>
      </c>
      <c r="F2331" t="e">
        <f>INDEX(Stammdaten[D Mitte mit Rinde (mm)],MATCH(Tabelle8[[#This Row],[Rank]],Stammdaten[Rank Verteilung D Mitte mit Rinde],0))</f>
        <v>#N/A</v>
      </c>
      <c r="G2331" t="e">
        <f>VLOOKUP(Tabelle8[[#This Row],[Rank]],Stammdaten[[Rank Verteilung D Mitte mit Rinde]:[Verteilung D Mitte mit Rinde]],2,FALSE)</f>
        <v>#N/A</v>
      </c>
      <c r="L2331">
        <v>2322</v>
      </c>
      <c r="M2331" t="e">
        <f>INDEX(Stammdaten[Abholzigkeit (mm/lfm)],MATCH(Tabelle9[[#This Row],[Rank]],Stammdaten[Rank Verteilung Abholzigkeit],0))</f>
        <v>#N/A</v>
      </c>
      <c r="N2331" t="e">
        <f>VLOOKUP(Tabelle9[[#This Row],[Rank]],Stammdaten[[Rank Verteilung Abholzigkeit]:[Verteilung Abholzigkeit]],2,FALSE)</f>
        <v>#N/A</v>
      </c>
      <c r="S2331">
        <v>2322</v>
      </c>
      <c r="T2331" t="e">
        <f>INDEX(Stammdaten[Krümmung (mm/lfm)],MATCH(Tabelle10[[#This Row],[Rank]],Stammdaten[Rank Verteilung Krümmung],0))</f>
        <v>#N/A</v>
      </c>
      <c r="U2331" t="e">
        <f>VLOOKUP(Tabelle10[[#This Row],[Rank]],Stammdaten[[Rank Verteilung Krümmung]:[Verteilung Krümmung]],2,FALSE)</f>
        <v>#N/A</v>
      </c>
      <c r="Z2331">
        <v>2322</v>
      </c>
      <c r="AA2331" t="e">
        <f>INDEX(Stammdaten[Ovalität (']0,1'])],MATCH(Tabelle1014[[#This Row],[Rank]],Stammdaten[Rank Verteilung Ovalität],0))</f>
        <v>#N/A</v>
      </c>
      <c r="AB2331" t="e">
        <f>VLOOKUP(Tabelle1014[[#This Row],[Rank]],Stammdaten[[Rank Verteilung Ovalität]:[Verteilung Ovalität]],2,FALSE)</f>
        <v>#N/A</v>
      </c>
    </row>
    <row r="2332" spans="5:28" x14ac:dyDescent="0.35">
      <c r="E2332">
        <v>2323</v>
      </c>
      <c r="F2332" t="e">
        <f>INDEX(Stammdaten[D Mitte mit Rinde (mm)],MATCH(Tabelle8[[#This Row],[Rank]],Stammdaten[Rank Verteilung D Mitte mit Rinde],0))</f>
        <v>#N/A</v>
      </c>
      <c r="G2332" t="e">
        <f>VLOOKUP(Tabelle8[[#This Row],[Rank]],Stammdaten[[Rank Verteilung D Mitte mit Rinde]:[Verteilung D Mitte mit Rinde]],2,FALSE)</f>
        <v>#N/A</v>
      </c>
      <c r="L2332">
        <v>2323</v>
      </c>
      <c r="M2332" t="e">
        <f>INDEX(Stammdaten[Abholzigkeit (mm/lfm)],MATCH(Tabelle9[[#This Row],[Rank]],Stammdaten[Rank Verteilung Abholzigkeit],0))</f>
        <v>#N/A</v>
      </c>
      <c r="N2332" t="e">
        <f>VLOOKUP(Tabelle9[[#This Row],[Rank]],Stammdaten[[Rank Verteilung Abholzigkeit]:[Verteilung Abholzigkeit]],2,FALSE)</f>
        <v>#N/A</v>
      </c>
      <c r="S2332">
        <v>2323</v>
      </c>
      <c r="T2332" t="e">
        <f>INDEX(Stammdaten[Krümmung (mm/lfm)],MATCH(Tabelle10[[#This Row],[Rank]],Stammdaten[Rank Verteilung Krümmung],0))</f>
        <v>#N/A</v>
      </c>
      <c r="U2332" t="e">
        <f>VLOOKUP(Tabelle10[[#This Row],[Rank]],Stammdaten[[Rank Verteilung Krümmung]:[Verteilung Krümmung]],2,FALSE)</f>
        <v>#N/A</v>
      </c>
      <c r="Z2332">
        <v>2323</v>
      </c>
      <c r="AA2332" t="e">
        <f>INDEX(Stammdaten[Ovalität (']0,1'])],MATCH(Tabelle1014[[#This Row],[Rank]],Stammdaten[Rank Verteilung Ovalität],0))</f>
        <v>#N/A</v>
      </c>
      <c r="AB2332" t="e">
        <f>VLOOKUP(Tabelle1014[[#This Row],[Rank]],Stammdaten[[Rank Verteilung Ovalität]:[Verteilung Ovalität]],2,FALSE)</f>
        <v>#N/A</v>
      </c>
    </row>
    <row r="2333" spans="5:28" x14ac:dyDescent="0.35">
      <c r="E2333">
        <v>2324</v>
      </c>
      <c r="F2333" t="e">
        <f>INDEX(Stammdaten[D Mitte mit Rinde (mm)],MATCH(Tabelle8[[#This Row],[Rank]],Stammdaten[Rank Verteilung D Mitte mit Rinde],0))</f>
        <v>#N/A</v>
      </c>
      <c r="G2333" t="e">
        <f>VLOOKUP(Tabelle8[[#This Row],[Rank]],Stammdaten[[Rank Verteilung D Mitte mit Rinde]:[Verteilung D Mitte mit Rinde]],2,FALSE)</f>
        <v>#N/A</v>
      </c>
      <c r="L2333">
        <v>2324</v>
      </c>
      <c r="M2333" t="e">
        <f>INDEX(Stammdaten[Abholzigkeit (mm/lfm)],MATCH(Tabelle9[[#This Row],[Rank]],Stammdaten[Rank Verteilung Abholzigkeit],0))</f>
        <v>#N/A</v>
      </c>
      <c r="N2333" t="e">
        <f>VLOOKUP(Tabelle9[[#This Row],[Rank]],Stammdaten[[Rank Verteilung Abholzigkeit]:[Verteilung Abholzigkeit]],2,FALSE)</f>
        <v>#N/A</v>
      </c>
      <c r="S2333">
        <v>2324</v>
      </c>
      <c r="T2333" t="e">
        <f>INDEX(Stammdaten[Krümmung (mm/lfm)],MATCH(Tabelle10[[#This Row],[Rank]],Stammdaten[Rank Verteilung Krümmung],0))</f>
        <v>#N/A</v>
      </c>
      <c r="U2333" t="e">
        <f>VLOOKUP(Tabelle10[[#This Row],[Rank]],Stammdaten[[Rank Verteilung Krümmung]:[Verteilung Krümmung]],2,FALSE)</f>
        <v>#N/A</v>
      </c>
      <c r="Z2333">
        <v>2324</v>
      </c>
      <c r="AA2333" t="e">
        <f>INDEX(Stammdaten[Ovalität (']0,1'])],MATCH(Tabelle1014[[#This Row],[Rank]],Stammdaten[Rank Verteilung Ovalität],0))</f>
        <v>#N/A</v>
      </c>
      <c r="AB2333" t="e">
        <f>VLOOKUP(Tabelle1014[[#This Row],[Rank]],Stammdaten[[Rank Verteilung Ovalität]:[Verteilung Ovalität]],2,FALSE)</f>
        <v>#N/A</v>
      </c>
    </row>
    <row r="2334" spans="5:28" x14ac:dyDescent="0.35">
      <c r="E2334">
        <v>2325</v>
      </c>
      <c r="F2334" t="e">
        <f>INDEX(Stammdaten[D Mitte mit Rinde (mm)],MATCH(Tabelle8[[#This Row],[Rank]],Stammdaten[Rank Verteilung D Mitte mit Rinde],0))</f>
        <v>#N/A</v>
      </c>
      <c r="G2334" t="e">
        <f>VLOOKUP(Tabelle8[[#This Row],[Rank]],Stammdaten[[Rank Verteilung D Mitte mit Rinde]:[Verteilung D Mitte mit Rinde]],2,FALSE)</f>
        <v>#N/A</v>
      </c>
      <c r="L2334">
        <v>2325</v>
      </c>
      <c r="M2334" t="e">
        <f>INDEX(Stammdaten[Abholzigkeit (mm/lfm)],MATCH(Tabelle9[[#This Row],[Rank]],Stammdaten[Rank Verteilung Abholzigkeit],0))</f>
        <v>#N/A</v>
      </c>
      <c r="N2334" t="e">
        <f>VLOOKUP(Tabelle9[[#This Row],[Rank]],Stammdaten[[Rank Verteilung Abholzigkeit]:[Verteilung Abholzigkeit]],2,FALSE)</f>
        <v>#N/A</v>
      </c>
      <c r="S2334">
        <v>2325</v>
      </c>
      <c r="T2334" t="e">
        <f>INDEX(Stammdaten[Krümmung (mm/lfm)],MATCH(Tabelle10[[#This Row],[Rank]],Stammdaten[Rank Verteilung Krümmung],0))</f>
        <v>#N/A</v>
      </c>
      <c r="U2334" t="e">
        <f>VLOOKUP(Tabelle10[[#This Row],[Rank]],Stammdaten[[Rank Verteilung Krümmung]:[Verteilung Krümmung]],2,FALSE)</f>
        <v>#N/A</v>
      </c>
      <c r="Z2334">
        <v>2325</v>
      </c>
      <c r="AA2334" t="e">
        <f>INDEX(Stammdaten[Ovalität (']0,1'])],MATCH(Tabelle1014[[#This Row],[Rank]],Stammdaten[Rank Verteilung Ovalität],0))</f>
        <v>#N/A</v>
      </c>
      <c r="AB2334" t="e">
        <f>VLOOKUP(Tabelle1014[[#This Row],[Rank]],Stammdaten[[Rank Verteilung Ovalität]:[Verteilung Ovalität]],2,FALSE)</f>
        <v>#N/A</v>
      </c>
    </row>
    <row r="2335" spans="5:28" x14ac:dyDescent="0.35">
      <c r="E2335">
        <v>2326</v>
      </c>
      <c r="F2335" t="e">
        <f>INDEX(Stammdaten[D Mitte mit Rinde (mm)],MATCH(Tabelle8[[#This Row],[Rank]],Stammdaten[Rank Verteilung D Mitte mit Rinde],0))</f>
        <v>#N/A</v>
      </c>
      <c r="G2335" t="e">
        <f>VLOOKUP(Tabelle8[[#This Row],[Rank]],Stammdaten[[Rank Verteilung D Mitte mit Rinde]:[Verteilung D Mitte mit Rinde]],2,FALSE)</f>
        <v>#N/A</v>
      </c>
      <c r="L2335">
        <v>2326</v>
      </c>
      <c r="M2335" t="e">
        <f>INDEX(Stammdaten[Abholzigkeit (mm/lfm)],MATCH(Tabelle9[[#This Row],[Rank]],Stammdaten[Rank Verteilung Abholzigkeit],0))</f>
        <v>#N/A</v>
      </c>
      <c r="N2335" t="e">
        <f>VLOOKUP(Tabelle9[[#This Row],[Rank]],Stammdaten[[Rank Verteilung Abholzigkeit]:[Verteilung Abholzigkeit]],2,FALSE)</f>
        <v>#N/A</v>
      </c>
      <c r="S2335">
        <v>2326</v>
      </c>
      <c r="T2335" t="e">
        <f>INDEX(Stammdaten[Krümmung (mm/lfm)],MATCH(Tabelle10[[#This Row],[Rank]],Stammdaten[Rank Verteilung Krümmung],0))</f>
        <v>#N/A</v>
      </c>
      <c r="U2335" t="e">
        <f>VLOOKUP(Tabelle10[[#This Row],[Rank]],Stammdaten[[Rank Verteilung Krümmung]:[Verteilung Krümmung]],2,FALSE)</f>
        <v>#N/A</v>
      </c>
      <c r="Z2335">
        <v>2326</v>
      </c>
      <c r="AA2335" t="e">
        <f>INDEX(Stammdaten[Ovalität (']0,1'])],MATCH(Tabelle1014[[#This Row],[Rank]],Stammdaten[Rank Verteilung Ovalität],0))</f>
        <v>#N/A</v>
      </c>
      <c r="AB2335" t="e">
        <f>VLOOKUP(Tabelle1014[[#This Row],[Rank]],Stammdaten[[Rank Verteilung Ovalität]:[Verteilung Ovalität]],2,FALSE)</f>
        <v>#N/A</v>
      </c>
    </row>
    <row r="2336" spans="5:28" x14ac:dyDescent="0.35">
      <c r="E2336">
        <v>2327</v>
      </c>
      <c r="F2336" t="e">
        <f>INDEX(Stammdaten[D Mitte mit Rinde (mm)],MATCH(Tabelle8[[#This Row],[Rank]],Stammdaten[Rank Verteilung D Mitte mit Rinde],0))</f>
        <v>#N/A</v>
      </c>
      <c r="G2336" t="e">
        <f>VLOOKUP(Tabelle8[[#This Row],[Rank]],Stammdaten[[Rank Verteilung D Mitte mit Rinde]:[Verteilung D Mitte mit Rinde]],2,FALSE)</f>
        <v>#N/A</v>
      </c>
      <c r="L2336">
        <v>2327</v>
      </c>
      <c r="M2336" t="e">
        <f>INDEX(Stammdaten[Abholzigkeit (mm/lfm)],MATCH(Tabelle9[[#This Row],[Rank]],Stammdaten[Rank Verteilung Abholzigkeit],0))</f>
        <v>#N/A</v>
      </c>
      <c r="N2336" t="e">
        <f>VLOOKUP(Tabelle9[[#This Row],[Rank]],Stammdaten[[Rank Verteilung Abholzigkeit]:[Verteilung Abholzigkeit]],2,FALSE)</f>
        <v>#N/A</v>
      </c>
      <c r="S2336">
        <v>2327</v>
      </c>
      <c r="T2336" t="e">
        <f>INDEX(Stammdaten[Krümmung (mm/lfm)],MATCH(Tabelle10[[#This Row],[Rank]],Stammdaten[Rank Verteilung Krümmung],0))</f>
        <v>#N/A</v>
      </c>
      <c r="U2336" t="e">
        <f>VLOOKUP(Tabelle10[[#This Row],[Rank]],Stammdaten[[Rank Verteilung Krümmung]:[Verteilung Krümmung]],2,FALSE)</f>
        <v>#N/A</v>
      </c>
      <c r="Z2336">
        <v>2327</v>
      </c>
      <c r="AA2336" t="e">
        <f>INDEX(Stammdaten[Ovalität (']0,1'])],MATCH(Tabelle1014[[#This Row],[Rank]],Stammdaten[Rank Verteilung Ovalität],0))</f>
        <v>#N/A</v>
      </c>
      <c r="AB2336" t="e">
        <f>VLOOKUP(Tabelle1014[[#This Row],[Rank]],Stammdaten[[Rank Verteilung Ovalität]:[Verteilung Ovalität]],2,FALSE)</f>
        <v>#N/A</v>
      </c>
    </row>
    <row r="2337" spans="5:28" x14ac:dyDescent="0.35">
      <c r="E2337">
        <v>2328</v>
      </c>
      <c r="F2337" t="e">
        <f>INDEX(Stammdaten[D Mitte mit Rinde (mm)],MATCH(Tabelle8[[#This Row],[Rank]],Stammdaten[Rank Verteilung D Mitte mit Rinde],0))</f>
        <v>#N/A</v>
      </c>
      <c r="G2337" t="e">
        <f>VLOOKUP(Tabelle8[[#This Row],[Rank]],Stammdaten[[Rank Verteilung D Mitte mit Rinde]:[Verteilung D Mitte mit Rinde]],2,FALSE)</f>
        <v>#N/A</v>
      </c>
      <c r="L2337">
        <v>2328</v>
      </c>
      <c r="M2337" t="e">
        <f>INDEX(Stammdaten[Abholzigkeit (mm/lfm)],MATCH(Tabelle9[[#This Row],[Rank]],Stammdaten[Rank Verteilung Abholzigkeit],0))</f>
        <v>#N/A</v>
      </c>
      <c r="N2337" t="e">
        <f>VLOOKUP(Tabelle9[[#This Row],[Rank]],Stammdaten[[Rank Verteilung Abholzigkeit]:[Verteilung Abholzigkeit]],2,FALSE)</f>
        <v>#N/A</v>
      </c>
      <c r="S2337">
        <v>2328</v>
      </c>
      <c r="T2337" t="e">
        <f>INDEX(Stammdaten[Krümmung (mm/lfm)],MATCH(Tabelle10[[#This Row],[Rank]],Stammdaten[Rank Verteilung Krümmung],0))</f>
        <v>#N/A</v>
      </c>
      <c r="U2337" t="e">
        <f>VLOOKUP(Tabelle10[[#This Row],[Rank]],Stammdaten[[Rank Verteilung Krümmung]:[Verteilung Krümmung]],2,FALSE)</f>
        <v>#N/A</v>
      </c>
      <c r="Z2337">
        <v>2328</v>
      </c>
      <c r="AA2337" t="e">
        <f>INDEX(Stammdaten[Ovalität (']0,1'])],MATCH(Tabelle1014[[#This Row],[Rank]],Stammdaten[Rank Verteilung Ovalität],0))</f>
        <v>#N/A</v>
      </c>
      <c r="AB2337" t="e">
        <f>VLOOKUP(Tabelle1014[[#This Row],[Rank]],Stammdaten[[Rank Verteilung Ovalität]:[Verteilung Ovalität]],2,FALSE)</f>
        <v>#N/A</v>
      </c>
    </row>
    <row r="2338" spans="5:28" x14ac:dyDescent="0.35">
      <c r="E2338">
        <v>2329</v>
      </c>
      <c r="F2338" t="e">
        <f>INDEX(Stammdaten[D Mitte mit Rinde (mm)],MATCH(Tabelle8[[#This Row],[Rank]],Stammdaten[Rank Verteilung D Mitte mit Rinde],0))</f>
        <v>#N/A</v>
      </c>
      <c r="G2338" t="e">
        <f>VLOOKUP(Tabelle8[[#This Row],[Rank]],Stammdaten[[Rank Verteilung D Mitte mit Rinde]:[Verteilung D Mitte mit Rinde]],2,FALSE)</f>
        <v>#N/A</v>
      </c>
      <c r="L2338">
        <v>2329</v>
      </c>
      <c r="M2338" t="e">
        <f>INDEX(Stammdaten[Abholzigkeit (mm/lfm)],MATCH(Tabelle9[[#This Row],[Rank]],Stammdaten[Rank Verteilung Abholzigkeit],0))</f>
        <v>#N/A</v>
      </c>
      <c r="N2338" t="e">
        <f>VLOOKUP(Tabelle9[[#This Row],[Rank]],Stammdaten[[Rank Verteilung Abholzigkeit]:[Verteilung Abholzigkeit]],2,FALSE)</f>
        <v>#N/A</v>
      </c>
      <c r="S2338">
        <v>2329</v>
      </c>
      <c r="T2338" t="e">
        <f>INDEX(Stammdaten[Krümmung (mm/lfm)],MATCH(Tabelle10[[#This Row],[Rank]],Stammdaten[Rank Verteilung Krümmung],0))</f>
        <v>#N/A</v>
      </c>
      <c r="U2338" t="e">
        <f>VLOOKUP(Tabelle10[[#This Row],[Rank]],Stammdaten[[Rank Verteilung Krümmung]:[Verteilung Krümmung]],2,FALSE)</f>
        <v>#N/A</v>
      </c>
      <c r="Z2338">
        <v>2329</v>
      </c>
      <c r="AA2338" t="e">
        <f>INDEX(Stammdaten[Ovalität (']0,1'])],MATCH(Tabelle1014[[#This Row],[Rank]],Stammdaten[Rank Verteilung Ovalität],0))</f>
        <v>#N/A</v>
      </c>
      <c r="AB2338" t="e">
        <f>VLOOKUP(Tabelle1014[[#This Row],[Rank]],Stammdaten[[Rank Verteilung Ovalität]:[Verteilung Ovalität]],2,FALSE)</f>
        <v>#N/A</v>
      </c>
    </row>
    <row r="2339" spans="5:28" x14ac:dyDescent="0.35">
      <c r="E2339">
        <v>2330</v>
      </c>
      <c r="F2339" t="e">
        <f>INDEX(Stammdaten[D Mitte mit Rinde (mm)],MATCH(Tabelle8[[#This Row],[Rank]],Stammdaten[Rank Verteilung D Mitte mit Rinde],0))</f>
        <v>#N/A</v>
      </c>
      <c r="G2339" t="e">
        <f>VLOOKUP(Tabelle8[[#This Row],[Rank]],Stammdaten[[Rank Verteilung D Mitte mit Rinde]:[Verteilung D Mitte mit Rinde]],2,FALSE)</f>
        <v>#N/A</v>
      </c>
      <c r="L2339">
        <v>2330</v>
      </c>
      <c r="M2339" t="e">
        <f>INDEX(Stammdaten[Abholzigkeit (mm/lfm)],MATCH(Tabelle9[[#This Row],[Rank]],Stammdaten[Rank Verteilung Abholzigkeit],0))</f>
        <v>#N/A</v>
      </c>
      <c r="N2339" t="e">
        <f>VLOOKUP(Tabelle9[[#This Row],[Rank]],Stammdaten[[Rank Verteilung Abholzigkeit]:[Verteilung Abholzigkeit]],2,FALSE)</f>
        <v>#N/A</v>
      </c>
      <c r="S2339">
        <v>2330</v>
      </c>
      <c r="T2339" t="e">
        <f>INDEX(Stammdaten[Krümmung (mm/lfm)],MATCH(Tabelle10[[#This Row],[Rank]],Stammdaten[Rank Verteilung Krümmung],0))</f>
        <v>#N/A</v>
      </c>
      <c r="U2339" t="e">
        <f>VLOOKUP(Tabelle10[[#This Row],[Rank]],Stammdaten[[Rank Verteilung Krümmung]:[Verteilung Krümmung]],2,FALSE)</f>
        <v>#N/A</v>
      </c>
      <c r="Z2339">
        <v>2330</v>
      </c>
      <c r="AA2339" t="e">
        <f>INDEX(Stammdaten[Ovalität (']0,1'])],MATCH(Tabelle1014[[#This Row],[Rank]],Stammdaten[Rank Verteilung Ovalität],0))</f>
        <v>#N/A</v>
      </c>
      <c r="AB2339" t="e">
        <f>VLOOKUP(Tabelle1014[[#This Row],[Rank]],Stammdaten[[Rank Verteilung Ovalität]:[Verteilung Ovalität]],2,FALSE)</f>
        <v>#N/A</v>
      </c>
    </row>
    <row r="2340" spans="5:28" x14ac:dyDescent="0.35">
      <c r="E2340">
        <v>2331</v>
      </c>
      <c r="F2340" t="e">
        <f>INDEX(Stammdaten[D Mitte mit Rinde (mm)],MATCH(Tabelle8[[#This Row],[Rank]],Stammdaten[Rank Verteilung D Mitte mit Rinde],0))</f>
        <v>#N/A</v>
      </c>
      <c r="G2340" t="e">
        <f>VLOOKUP(Tabelle8[[#This Row],[Rank]],Stammdaten[[Rank Verteilung D Mitte mit Rinde]:[Verteilung D Mitte mit Rinde]],2,FALSE)</f>
        <v>#N/A</v>
      </c>
      <c r="L2340">
        <v>2331</v>
      </c>
      <c r="M2340" t="e">
        <f>INDEX(Stammdaten[Abholzigkeit (mm/lfm)],MATCH(Tabelle9[[#This Row],[Rank]],Stammdaten[Rank Verteilung Abholzigkeit],0))</f>
        <v>#N/A</v>
      </c>
      <c r="N2340" t="e">
        <f>VLOOKUP(Tabelle9[[#This Row],[Rank]],Stammdaten[[Rank Verteilung Abholzigkeit]:[Verteilung Abholzigkeit]],2,FALSE)</f>
        <v>#N/A</v>
      </c>
      <c r="S2340">
        <v>2331</v>
      </c>
      <c r="T2340" t="e">
        <f>INDEX(Stammdaten[Krümmung (mm/lfm)],MATCH(Tabelle10[[#This Row],[Rank]],Stammdaten[Rank Verteilung Krümmung],0))</f>
        <v>#N/A</v>
      </c>
      <c r="U2340" t="e">
        <f>VLOOKUP(Tabelle10[[#This Row],[Rank]],Stammdaten[[Rank Verteilung Krümmung]:[Verteilung Krümmung]],2,FALSE)</f>
        <v>#N/A</v>
      </c>
      <c r="Z2340">
        <v>2331</v>
      </c>
      <c r="AA2340" t="e">
        <f>INDEX(Stammdaten[Ovalität (']0,1'])],MATCH(Tabelle1014[[#This Row],[Rank]],Stammdaten[Rank Verteilung Ovalität],0))</f>
        <v>#N/A</v>
      </c>
      <c r="AB2340" t="e">
        <f>VLOOKUP(Tabelle1014[[#This Row],[Rank]],Stammdaten[[Rank Verteilung Ovalität]:[Verteilung Ovalität]],2,FALSE)</f>
        <v>#N/A</v>
      </c>
    </row>
    <row r="2341" spans="5:28" x14ac:dyDescent="0.35">
      <c r="E2341">
        <v>2332</v>
      </c>
      <c r="F2341" t="e">
        <f>INDEX(Stammdaten[D Mitte mit Rinde (mm)],MATCH(Tabelle8[[#This Row],[Rank]],Stammdaten[Rank Verteilung D Mitte mit Rinde],0))</f>
        <v>#N/A</v>
      </c>
      <c r="G2341" t="e">
        <f>VLOOKUP(Tabelle8[[#This Row],[Rank]],Stammdaten[[Rank Verteilung D Mitte mit Rinde]:[Verteilung D Mitte mit Rinde]],2,FALSE)</f>
        <v>#N/A</v>
      </c>
      <c r="L2341">
        <v>2332</v>
      </c>
      <c r="M2341" t="e">
        <f>INDEX(Stammdaten[Abholzigkeit (mm/lfm)],MATCH(Tabelle9[[#This Row],[Rank]],Stammdaten[Rank Verteilung Abholzigkeit],0))</f>
        <v>#N/A</v>
      </c>
      <c r="N2341" t="e">
        <f>VLOOKUP(Tabelle9[[#This Row],[Rank]],Stammdaten[[Rank Verteilung Abholzigkeit]:[Verteilung Abholzigkeit]],2,FALSE)</f>
        <v>#N/A</v>
      </c>
      <c r="S2341">
        <v>2332</v>
      </c>
      <c r="T2341" t="e">
        <f>INDEX(Stammdaten[Krümmung (mm/lfm)],MATCH(Tabelle10[[#This Row],[Rank]],Stammdaten[Rank Verteilung Krümmung],0))</f>
        <v>#N/A</v>
      </c>
      <c r="U2341" t="e">
        <f>VLOOKUP(Tabelle10[[#This Row],[Rank]],Stammdaten[[Rank Verteilung Krümmung]:[Verteilung Krümmung]],2,FALSE)</f>
        <v>#N/A</v>
      </c>
      <c r="Z2341">
        <v>2332</v>
      </c>
      <c r="AA2341" t="e">
        <f>INDEX(Stammdaten[Ovalität (']0,1'])],MATCH(Tabelle1014[[#This Row],[Rank]],Stammdaten[Rank Verteilung Ovalität],0))</f>
        <v>#N/A</v>
      </c>
      <c r="AB2341" t="e">
        <f>VLOOKUP(Tabelle1014[[#This Row],[Rank]],Stammdaten[[Rank Verteilung Ovalität]:[Verteilung Ovalität]],2,FALSE)</f>
        <v>#N/A</v>
      </c>
    </row>
    <row r="2342" spans="5:28" x14ac:dyDescent="0.35">
      <c r="E2342">
        <v>2333</v>
      </c>
      <c r="F2342" t="e">
        <f>INDEX(Stammdaten[D Mitte mit Rinde (mm)],MATCH(Tabelle8[[#This Row],[Rank]],Stammdaten[Rank Verteilung D Mitte mit Rinde],0))</f>
        <v>#N/A</v>
      </c>
      <c r="G2342" t="e">
        <f>VLOOKUP(Tabelle8[[#This Row],[Rank]],Stammdaten[[Rank Verteilung D Mitte mit Rinde]:[Verteilung D Mitte mit Rinde]],2,FALSE)</f>
        <v>#N/A</v>
      </c>
      <c r="L2342">
        <v>2333</v>
      </c>
      <c r="M2342" t="e">
        <f>INDEX(Stammdaten[Abholzigkeit (mm/lfm)],MATCH(Tabelle9[[#This Row],[Rank]],Stammdaten[Rank Verteilung Abholzigkeit],0))</f>
        <v>#N/A</v>
      </c>
      <c r="N2342" t="e">
        <f>VLOOKUP(Tabelle9[[#This Row],[Rank]],Stammdaten[[Rank Verteilung Abholzigkeit]:[Verteilung Abholzigkeit]],2,FALSE)</f>
        <v>#N/A</v>
      </c>
      <c r="S2342">
        <v>2333</v>
      </c>
      <c r="T2342" t="e">
        <f>INDEX(Stammdaten[Krümmung (mm/lfm)],MATCH(Tabelle10[[#This Row],[Rank]],Stammdaten[Rank Verteilung Krümmung],0))</f>
        <v>#N/A</v>
      </c>
      <c r="U2342" t="e">
        <f>VLOOKUP(Tabelle10[[#This Row],[Rank]],Stammdaten[[Rank Verteilung Krümmung]:[Verteilung Krümmung]],2,FALSE)</f>
        <v>#N/A</v>
      </c>
      <c r="Z2342">
        <v>2333</v>
      </c>
      <c r="AA2342" t="e">
        <f>INDEX(Stammdaten[Ovalität (']0,1'])],MATCH(Tabelle1014[[#This Row],[Rank]],Stammdaten[Rank Verteilung Ovalität],0))</f>
        <v>#N/A</v>
      </c>
      <c r="AB2342" t="e">
        <f>VLOOKUP(Tabelle1014[[#This Row],[Rank]],Stammdaten[[Rank Verteilung Ovalität]:[Verteilung Ovalität]],2,FALSE)</f>
        <v>#N/A</v>
      </c>
    </row>
    <row r="2343" spans="5:28" x14ac:dyDescent="0.35">
      <c r="E2343">
        <v>2334</v>
      </c>
      <c r="F2343" t="e">
        <f>INDEX(Stammdaten[D Mitte mit Rinde (mm)],MATCH(Tabelle8[[#This Row],[Rank]],Stammdaten[Rank Verteilung D Mitte mit Rinde],0))</f>
        <v>#N/A</v>
      </c>
      <c r="G2343" t="e">
        <f>VLOOKUP(Tabelle8[[#This Row],[Rank]],Stammdaten[[Rank Verteilung D Mitte mit Rinde]:[Verteilung D Mitte mit Rinde]],2,FALSE)</f>
        <v>#N/A</v>
      </c>
      <c r="L2343">
        <v>2334</v>
      </c>
      <c r="M2343" t="e">
        <f>INDEX(Stammdaten[Abholzigkeit (mm/lfm)],MATCH(Tabelle9[[#This Row],[Rank]],Stammdaten[Rank Verteilung Abholzigkeit],0))</f>
        <v>#N/A</v>
      </c>
      <c r="N2343" t="e">
        <f>VLOOKUP(Tabelle9[[#This Row],[Rank]],Stammdaten[[Rank Verteilung Abholzigkeit]:[Verteilung Abholzigkeit]],2,FALSE)</f>
        <v>#N/A</v>
      </c>
      <c r="S2343">
        <v>2334</v>
      </c>
      <c r="T2343" t="e">
        <f>INDEX(Stammdaten[Krümmung (mm/lfm)],MATCH(Tabelle10[[#This Row],[Rank]],Stammdaten[Rank Verteilung Krümmung],0))</f>
        <v>#N/A</v>
      </c>
      <c r="U2343" t="e">
        <f>VLOOKUP(Tabelle10[[#This Row],[Rank]],Stammdaten[[Rank Verteilung Krümmung]:[Verteilung Krümmung]],2,FALSE)</f>
        <v>#N/A</v>
      </c>
      <c r="Z2343">
        <v>2334</v>
      </c>
      <c r="AA2343" t="e">
        <f>INDEX(Stammdaten[Ovalität (']0,1'])],MATCH(Tabelle1014[[#This Row],[Rank]],Stammdaten[Rank Verteilung Ovalität],0))</f>
        <v>#N/A</v>
      </c>
      <c r="AB2343" t="e">
        <f>VLOOKUP(Tabelle1014[[#This Row],[Rank]],Stammdaten[[Rank Verteilung Ovalität]:[Verteilung Ovalität]],2,FALSE)</f>
        <v>#N/A</v>
      </c>
    </row>
    <row r="2344" spans="5:28" x14ac:dyDescent="0.35">
      <c r="E2344">
        <v>2335</v>
      </c>
      <c r="F2344" t="e">
        <f>INDEX(Stammdaten[D Mitte mit Rinde (mm)],MATCH(Tabelle8[[#This Row],[Rank]],Stammdaten[Rank Verteilung D Mitte mit Rinde],0))</f>
        <v>#N/A</v>
      </c>
      <c r="G2344" t="e">
        <f>VLOOKUP(Tabelle8[[#This Row],[Rank]],Stammdaten[[Rank Verteilung D Mitte mit Rinde]:[Verteilung D Mitte mit Rinde]],2,FALSE)</f>
        <v>#N/A</v>
      </c>
      <c r="L2344">
        <v>2335</v>
      </c>
      <c r="M2344" t="e">
        <f>INDEX(Stammdaten[Abholzigkeit (mm/lfm)],MATCH(Tabelle9[[#This Row],[Rank]],Stammdaten[Rank Verteilung Abholzigkeit],0))</f>
        <v>#N/A</v>
      </c>
      <c r="N2344" t="e">
        <f>VLOOKUP(Tabelle9[[#This Row],[Rank]],Stammdaten[[Rank Verteilung Abholzigkeit]:[Verteilung Abholzigkeit]],2,FALSE)</f>
        <v>#N/A</v>
      </c>
      <c r="S2344">
        <v>2335</v>
      </c>
      <c r="T2344" t="e">
        <f>INDEX(Stammdaten[Krümmung (mm/lfm)],MATCH(Tabelle10[[#This Row],[Rank]],Stammdaten[Rank Verteilung Krümmung],0))</f>
        <v>#N/A</v>
      </c>
      <c r="U2344" t="e">
        <f>VLOOKUP(Tabelle10[[#This Row],[Rank]],Stammdaten[[Rank Verteilung Krümmung]:[Verteilung Krümmung]],2,FALSE)</f>
        <v>#N/A</v>
      </c>
      <c r="Z2344">
        <v>2335</v>
      </c>
      <c r="AA2344" t="e">
        <f>INDEX(Stammdaten[Ovalität (']0,1'])],MATCH(Tabelle1014[[#This Row],[Rank]],Stammdaten[Rank Verteilung Ovalität],0))</f>
        <v>#N/A</v>
      </c>
      <c r="AB2344" t="e">
        <f>VLOOKUP(Tabelle1014[[#This Row],[Rank]],Stammdaten[[Rank Verteilung Ovalität]:[Verteilung Ovalität]],2,FALSE)</f>
        <v>#N/A</v>
      </c>
    </row>
    <row r="2345" spans="5:28" x14ac:dyDescent="0.35">
      <c r="E2345">
        <v>2336</v>
      </c>
      <c r="F2345" t="e">
        <f>INDEX(Stammdaten[D Mitte mit Rinde (mm)],MATCH(Tabelle8[[#This Row],[Rank]],Stammdaten[Rank Verteilung D Mitte mit Rinde],0))</f>
        <v>#N/A</v>
      </c>
      <c r="G2345" t="e">
        <f>VLOOKUP(Tabelle8[[#This Row],[Rank]],Stammdaten[[Rank Verteilung D Mitte mit Rinde]:[Verteilung D Mitte mit Rinde]],2,FALSE)</f>
        <v>#N/A</v>
      </c>
      <c r="L2345">
        <v>2336</v>
      </c>
      <c r="M2345" t="e">
        <f>INDEX(Stammdaten[Abholzigkeit (mm/lfm)],MATCH(Tabelle9[[#This Row],[Rank]],Stammdaten[Rank Verteilung Abholzigkeit],0))</f>
        <v>#N/A</v>
      </c>
      <c r="N2345" t="e">
        <f>VLOOKUP(Tabelle9[[#This Row],[Rank]],Stammdaten[[Rank Verteilung Abholzigkeit]:[Verteilung Abholzigkeit]],2,FALSE)</f>
        <v>#N/A</v>
      </c>
      <c r="S2345">
        <v>2336</v>
      </c>
      <c r="T2345" t="e">
        <f>INDEX(Stammdaten[Krümmung (mm/lfm)],MATCH(Tabelle10[[#This Row],[Rank]],Stammdaten[Rank Verteilung Krümmung],0))</f>
        <v>#N/A</v>
      </c>
      <c r="U2345" t="e">
        <f>VLOOKUP(Tabelle10[[#This Row],[Rank]],Stammdaten[[Rank Verteilung Krümmung]:[Verteilung Krümmung]],2,FALSE)</f>
        <v>#N/A</v>
      </c>
      <c r="Z2345">
        <v>2336</v>
      </c>
      <c r="AA2345" t="e">
        <f>INDEX(Stammdaten[Ovalität (']0,1'])],MATCH(Tabelle1014[[#This Row],[Rank]],Stammdaten[Rank Verteilung Ovalität],0))</f>
        <v>#N/A</v>
      </c>
      <c r="AB2345" t="e">
        <f>VLOOKUP(Tabelle1014[[#This Row],[Rank]],Stammdaten[[Rank Verteilung Ovalität]:[Verteilung Ovalität]],2,FALSE)</f>
        <v>#N/A</v>
      </c>
    </row>
    <row r="2346" spans="5:28" x14ac:dyDescent="0.35">
      <c r="E2346">
        <v>2337</v>
      </c>
      <c r="F2346" t="e">
        <f>INDEX(Stammdaten[D Mitte mit Rinde (mm)],MATCH(Tabelle8[[#This Row],[Rank]],Stammdaten[Rank Verteilung D Mitte mit Rinde],0))</f>
        <v>#N/A</v>
      </c>
      <c r="G2346" t="e">
        <f>VLOOKUP(Tabelle8[[#This Row],[Rank]],Stammdaten[[Rank Verteilung D Mitte mit Rinde]:[Verteilung D Mitte mit Rinde]],2,FALSE)</f>
        <v>#N/A</v>
      </c>
      <c r="L2346">
        <v>2337</v>
      </c>
      <c r="M2346" t="e">
        <f>INDEX(Stammdaten[Abholzigkeit (mm/lfm)],MATCH(Tabelle9[[#This Row],[Rank]],Stammdaten[Rank Verteilung Abholzigkeit],0))</f>
        <v>#N/A</v>
      </c>
      <c r="N2346" t="e">
        <f>VLOOKUP(Tabelle9[[#This Row],[Rank]],Stammdaten[[Rank Verteilung Abholzigkeit]:[Verteilung Abholzigkeit]],2,FALSE)</f>
        <v>#N/A</v>
      </c>
      <c r="S2346">
        <v>2337</v>
      </c>
      <c r="T2346" t="e">
        <f>INDEX(Stammdaten[Krümmung (mm/lfm)],MATCH(Tabelle10[[#This Row],[Rank]],Stammdaten[Rank Verteilung Krümmung],0))</f>
        <v>#N/A</v>
      </c>
      <c r="U2346" t="e">
        <f>VLOOKUP(Tabelle10[[#This Row],[Rank]],Stammdaten[[Rank Verteilung Krümmung]:[Verteilung Krümmung]],2,FALSE)</f>
        <v>#N/A</v>
      </c>
      <c r="Z2346">
        <v>2337</v>
      </c>
      <c r="AA2346" t="e">
        <f>INDEX(Stammdaten[Ovalität (']0,1'])],MATCH(Tabelle1014[[#This Row],[Rank]],Stammdaten[Rank Verteilung Ovalität],0))</f>
        <v>#N/A</v>
      </c>
      <c r="AB2346" t="e">
        <f>VLOOKUP(Tabelle1014[[#This Row],[Rank]],Stammdaten[[Rank Verteilung Ovalität]:[Verteilung Ovalität]],2,FALSE)</f>
        <v>#N/A</v>
      </c>
    </row>
    <row r="2347" spans="5:28" x14ac:dyDescent="0.35">
      <c r="E2347">
        <v>2338</v>
      </c>
      <c r="F2347" t="e">
        <f>INDEX(Stammdaten[D Mitte mit Rinde (mm)],MATCH(Tabelle8[[#This Row],[Rank]],Stammdaten[Rank Verteilung D Mitte mit Rinde],0))</f>
        <v>#N/A</v>
      </c>
      <c r="G2347" t="e">
        <f>VLOOKUP(Tabelle8[[#This Row],[Rank]],Stammdaten[[Rank Verteilung D Mitte mit Rinde]:[Verteilung D Mitte mit Rinde]],2,FALSE)</f>
        <v>#N/A</v>
      </c>
      <c r="L2347">
        <v>2338</v>
      </c>
      <c r="M2347" t="e">
        <f>INDEX(Stammdaten[Abholzigkeit (mm/lfm)],MATCH(Tabelle9[[#This Row],[Rank]],Stammdaten[Rank Verteilung Abholzigkeit],0))</f>
        <v>#N/A</v>
      </c>
      <c r="N2347" t="e">
        <f>VLOOKUP(Tabelle9[[#This Row],[Rank]],Stammdaten[[Rank Verteilung Abholzigkeit]:[Verteilung Abholzigkeit]],2,FALSE)</f>
        <v>#N/A</v>
      </c>
      <c r="S2347">
        <v>2338</v>
      </c>
      <c r="T2347" t="e">
        <f>INDEX(Stammdaten[Krümmung (mm/lfm)],MATCH(Tabelle10[[#This Row],[Rank]],Stammdaten[Rank Verteilung Krümmung],0))</f>
        <v>#N/A</v>
      </c>
      <c r="U2347" t="e">
        <f>VLOOKUP(Tabelle10[[#This Row],[Rank]],Stammdaten[[Rank Verteilung Krümmung]:[Verteilung Krümmung]],2,FALSE)</f>
        <v>#N/A</v>
      </c>
      <c r="Z2347">
        <v>2338</v>
      </c>
      <c r="AA2347" t="e">
        <f>INDEX(Stammdaten[Ovalität (']0,1'])],MATCH(Tabelle1014[[#This Row],[Rank]],Stammdaten[Rank Verteilung Ovalität],0))</f>
        <v>#N/A</v>
      </c>
      <c r="AB2347" t="e">
        <f>VLOOKUP(Tabelle1014[[#This Row],[Rank]],Stammdaten[[Rank Verteilung Ovalität]:[Verteilung Ovalität]],2,FALSE)</f>
        <v>#N/A</v>
      </c>
    </row>
    <row r="2348" spans="5:28" x14ac:dyDescent="0.35">
      <c r="E2348">
        <v>2339</v>
      </c>
      <c r="F2348" t="e">
        <f>INDEX(Stammdaten[D Mitte mit Rinde (mm)],MATCH(Tabelle8[[#This Row],[Rank]],Stammdaten[Rank Verteilung D Mitte mit Rinde],0))</f>
        <v>#N/A</v>
      </c>
      <c r="G2348" t="e">
        <f>VLOOKUP(Tabelle8[[#This Row],[Rank]],Stammdaten[[Rank Verteilung D Mitte mit Rinde]:[Verteilung D Mitte mit Rinde]],2,FALSE)</f>
        <v>#N/A</v>
      </c>
      <c r="L2348">
        <v>2339</v>
      </c>
      <c r="M2348" t="e">
        <f>INDEX(Stammdaten[Abholzigkeit (mm/lfm)],MATCH(Tabelle9[[#This Row],[Rank]],Stammdaten[Rank Verteilung Abholzigkeit],0))</f>
        <v>#N/A</v>
      </c>
      <c r="N2348" t="e">
        <f>VLOOKUP(Tabelle9[[#This Row],[Rank]],Stammdaten[[Rank Verteilung Abholzigkeit]:[Verteilung Abholzigkeit]],2,FALSE)</f>
        <v>#N/A</v>
      </c>
      <c r="S2348">
        <v>2339</v>
      </c>
      <c r="T2348" t="e">
        <f>INDEX(Stammdaten[Krümmung (mm/lfm)],MATCH(Tabelle10[[#This Row],[Rank]],Stammdaten[Rank Verteilung Krümmung],0))</f>
        <v>#N/A</v>
      </c>
      <c r="U2348" t="e">
        <f>VLOOKUP(Tabelle10[[#This Row],[Rank]],Stammdaten[[Rank Verteilung Krümmung]:[Verteilung Krümmung]],2,FALSE)</f>
        <v>#N/A</v>
      </c>
      <c r="Z2348">
        <v>2339</v>
      </c>
      <c r="AA2348" t="e">
        <f>INDEX(Stammdaten[Ovalität (']0,1'])],MATCH(Tabelle1014[[#This Row],[Rank]],Stammdaten[Rank Verteilung Ovalität],0))</f>
        <v>#N/A</v>
      </c>
      <c r="AB2348" t="e">
        <f>VLOOKUP(Tabelle1014[[#This Row],[Rank]],Stammdaten[[Rank Verteilung Ovalität]:[Verteilung Ovalität]],2,FALSE)</f>
        <v>#N/A</v>
      </c>
    </row>
    <row r="2349" spans="5:28" x14ac:dyDescent="0.35">
      <c r="E2349">
        <v>2340</v>
      </c>
      <c r="F2349" t="e">
        <f>INDEX(Stammdaten[D Mitte mit Rinde (mm)],MATCH(Tabelle8[[#This Row],[Rank]],Stammdaten[Rank Verteilung D Mitte mit Rinde],0))</f>
        <v>#N/A</v>
      </c>
      <c r="G2349" t="e">
        <f>VLOOKUP(Tabelle8[[#This Row],[Rank]],Stammdaten[[Rank Verteilung D Mitte mit Rinde]:[Verteilung D Mitte mit Rinde]],2,FALSE)</f>
        <v>#N/A</v>
      </c>
      <c r="L2349">
        <v>2340</v>
      </c>
      <c r="M2349" t="e">
        <f>INDEX(Stammdaten[Abholzigkeit (mm/lfm)],MATCH(Tabelle9[[#This Row],[Rank]],Stammdaten[Rank Verteilung Abholzigkeit],0))</f>
        <v>#N/A</v>
      </c>
      <c r="N2349" t="e">
        <f>VLOOKUP(Tabelle9[[#This Row],[Rank]],Stammdaten[[Rank Verteilung Abholzigkeit]:[Verteilung Abholzigkeit]],2,FALSE)</f>
        <v>#N/A</v>
      </c>
      <c r="S2349">
        <v>2340</v>
      </c>
      <c r="T2349" t="e">
        <f>INDEX(Stammdaten[Krümmung (mm/lfm)],MATCH(Tabelle10[[#This Row],[Rank]],Stammdaten[Rank Verteilung Krümmung],0))</f>
        <v>#N/A</v>
      </c>
      <c r="U2349" t="e">
        <f>VLOOKUP(Tabelle10[[#This Row],[Rank]],Stammdaten[[Rank Verteilung Krümmung]:[Verteilung Krümmung]],2,FALSE)</f>
        <v>#N/A</v>
      </c>
      <c r="Z2349">
        <v>2340</v>
      </c>
      <c r="AA2349" t="e">
        <f>INDEX(Stammdaten[Ovalität (']0,1'])],MATCH(Tabelle1014[[#This Row],[Rank]],Stammdaten[Rank Verteilung Ovalität],0))</f>
        <v>#N/A</v>
      </c>
      <c r="AB2349" t="e">
        <f>VLOOKUP(Tabelle1014[[#This Row],[Rank]],Stammdaten[[Rank Verteilung Ovalität]:[Verteilung Ovalität]],2,FALSE)</f>
        <v>#N/A</v>
      </c>
    </row>
    <row r="2350" spans="5:28" x14ac:dyDescent="0.35">
      <c r="E2350">
        <v>2341</v>
      </c>
      <c r="F2350" t="e">
        <f>INDEX(Stammdaten[D Mitte mit Rinde (mm)],MATCH(Tabelle8[[#This Row],[Rank]],Stammdaten[Rank Verteilung D Mitte mit Rinde],0))</f>
        <v>#N/A</v>
      </c>
      <c r="G2350" t="e">
        <f>VLOOKUP(Tabelle8[[#This Row],[Rank]],Stammdaten[[Rank Verteilung D Mitte mit Rinde]:[Verteilung D Mitte mit Rinde]],2,FALSE)</f>
        <v>#N/A</v>
      </c>
      <c r="L2350">
        <v>2341</v>
      </c>
      <c r="M2350" t="e">
        <f>INDEX(Stammdaten[Abholzigkeit (mm/lfm)],MATCH(Tabelle9[[#This Row],[Rank]],Stammdaten[Rank Verteilung Abholzigkeit],0))</f>
        <v>#N/A</v>
      </c>
      <c r="N2350" t="e">
        <f>VLOOKUP(Tabelle9[[#This Row],[Rank]],Stammdaten[[Rank Verteilung Abholzigkeit]:[Verteilung Abholzigkeit]],2,FALSE)</f>
        <v>#N/A</v>
      </c>
      <c r="S2350">
        <v>2341</v>
      </c>
      <c r="T2350" t="e">
        <f>INDEX(Stammdaten[Krümmung (mm/lfm)],MATCH(Tabelle10[[#This Row],[Rank]],Stammdaten[Rank Verteilung Krümmung],0))</f>
        <v>#N/A</v>
      </c>
      <c r="U2350" t="e">
        <f>VLOOKUP(Tabelle10[[#This Row],[Rank]],Stammdaten[[Rank Verteilung Krümmung]:[Verteilung Krümmung]],2,FALSE)</f>
        <v>#N/A</v>
      </c>
      <c r="Z2350">
        <v>2341</v>
      </c>
      <c r="AA2350" t="e">
        <f>INDEX(Stammdaten[Ovalität (']0,1'])],MATCH(Tabelle1014[[#This Row],[Rank]],Stammdaten[Rank Verteilung Ovalität],0))</f>
        <v>#N/A</v>
      </c>
      <c r="AB2350" t="e">
        <f>VLOOKUP(Tabelle1014[[#This Row],[Rank]],Stammdaten[[Rank Verteilung Ovalität]:[Verteilung Ovalität]],2,FALSE)</f>
        <v>#N/A</v>
      </c>
    </row>
    <row r="2351" spans="5:28" x14ac:dyDescent="0.35">
      <c r="E2351">
        <v>2342</v>
      </c>
      <c r="F2351" t="e">
        <f>INDEX(Stammdaten[D Mitte mit Rinde (mm)],MATCH(Tabelle8[[#This Row],[Rank]],Stammdaten[Rank Verteilung D Mitte mit Rinde],0))</f>
        <v>#N/A</v>
      </c>
      <c r="G2351" t="e">
        <f>VLOOKUP(Tabelle8[[#This Row],[Rank]],Stammdaten[[Rank Verteilung D Mitte mit Rinde]:[Verteilung D Mitte mit Rinde]],2,FALSE)</f>
        <v>#N/A</v>
      </c>
      <c r="L2351">
        <v>2342</v>
      </c>
      <c r="M2351" t="e">
        <f>INDEX(Stammdaten[Abholzigkeit (mm/lfm)],MATCH(Tabelle9[[#This Row],[Rank]],Stammdaten[Rank Verteilung Abholzigkeit],0))</f>
        <v>#N/A</v>
      </c>
      <c r="N2351" t="e">
        <f>VLOOKUP(Tabelle9[[#This Row],[Rank]],Stammdaten[[Rank Verteilung Abholzigkeit]:[Verteilung Abholzigkeit]],2,FALSE)</f>
        <v>#N/A</v>
      </c>
      <c r="S2351">
        <v>2342</v>
      </c>
      <c r="T2351" t="e">
        <f>INDEX(Stammdaten[Krümmung (mm/lfm)],MATCH(Tabelle10[[#This Row],[Rank]],Stammdaten[Rank Verteilung Krümmung],0))</f>
        <v>#N/A</v>
      </c>
      <c r="U2351" t="e">
        <f>VLOOKUP(Tabelle10[[#This Row],[Rank]],Stammdaten[[Rank Verteilung Krümmung]:[Verteilung Krümmung]],2,FALSE)</f>
        <v>#N/A</v>
      </c>
      <c r="Z2351">
        <v>2342</v>
      </c>
      <c r="AA2351" t="e">
        <f>INDEX(Stammdaten[Ovalität (']0,1'])],MATCH(Tabelle1014[[#This Row],[Rank]],Stammdaten[Rank Verteilung Ovalität],0))</f>
        <v>#N/A</v>
      </c>
      <c r="AB2351" t="e">
        <f>VLOOKUP(Tabelle1014[[#This Row],[Rank]],Stammdaten[[Rank Verteilung Ovalität]:[Verteilung Ovalität]],2,FALSE)</f>
        <v>#N/A</v>
      </c>
    </row>
    <row r="2352" spans="5:28" x14ac:dyDescent="0.35">
      <c r="E2352">
        <v>2343</v>
      </c>
      <c r="F2352" t="e">
        <f>INDEX(Stammdaten[D Mitte mit Rinde (mm)],MATCH(Tabelle8[[#This Row],[Rank]],Stammdaten[Rank Verteilung D Mitte mit Rinde],0))</f>
        <v>#N/A</v>
      </c>
      <c r="G2352" t="e">
        <f>VLOOKUP(Tabelle8[[#This Row],[Rank]],Stammdaten[[Rank Verteilung D Mitte mit Rinde]:[Verteilung D Mitte mit Rinde]],2,FALSE)</f>
        <v>#N/A</v>
      </c>
      <c r="L2352">
        <v>2343</v>
      </c>
      <c r="M2352" t="e">
        <f>INDEX(Stammdaten[Abholzigkeit (mm/lfm)],MATCH(Tabelle9[[#This Row],[Rank]],Stammdaten[Rank Verteilung Abholzigkeit],0))</f>
        <v>#N/A</v>
      </c>
      <c r="N2352" t="e">
        <f>VLOOKUP(Tabelle9[[#This Row],[Rank]],Stammdaten[[Rank Verteilung Abholzigkeit]:[Verteilung Abholzigkeit]],2,FALSE)</f>
        <v>#N/A</v>
      </c>
      <c r="S2352">
        <v>2343</v>
      </c>
      <c r="T2352" t="e">
        <f>INDEX(Stammdaten[Krümmung (mm/lfm)],MATCH(Tabelle10[[#This Row],[Rank]],Stammdaten[Rank Verteilung Krümmung],0))</f>
        <v>#N/A</v>
      </c>
      <c r="U2352" t="e">
        <f>VLOOKUP(Tabelle10[[#This Row],[Rank]],Stammdaten[[Rank Verteilung Krümmung]:[Verteilung Krümmung]],2,FALSE)</f>
        <v>#N/A</v>
      </c>
      <c r="Z2352">
        <v>2343</v>
      </c>
      <c r="AA2352" t="e">
        <f>INDEX(Stammdaten[Ovalität (']0,1'])],MATCH(Tabelle1014[[#This Row],[Rank]],Stammdaten[Rank Verteilung Ovalität],0))</f>
        <v>#N/A</v>
      </c>
      <c r="AB2352" t="e">
        <f>VLOOKUP(Tabelle1014[[#This Row],[Rank]],Stammdaten[[Rank Verteilung Ovalität]:[Verteilung Ovalität]],2,FALSE)</f>
        <v>#N/A</v>
      </c>
    </row>
    <row r="2353" spans="5:28" x14ac:dyDescent="0.35">
      <c r="E2353">
        <v>2344</v>
      </c>
      <c r="F2353" t="e">
        <f>INDEX(Stammdaten[D Mitte mit Rinde (mm)],MATCH(Tabelle8[[#This Row],[Rank]],Stammdaten[Rank Verteilung D Mitte mit Rinde],0))</f>
        <v>#N/A</v>
      </c>
      <c r="G2353" t="e">
        <f>VLOOKUP(Tabelle8[[#This Row],[Rank]],Stammdaten[[Rank Verteilung D Mitte mit Rinde]:[Verteilung D Mitte mit Rinde]],2,FALSE)</f>
        <v>#N/A</v>
      </c>
      <c r="L2353">
        <v>2344</v>
      </c>
      <c r="M2353" t="e">
        <f>INDEX(Stammdaten[Abholzigkeit (mm/lfm)],MATCH(Tabelle9[[#This Row],[Rank]],Stammdaten[Rank Verteilung Abholzigkeit],0))</f>
        <v>#N/A</v>
      </c>
      <c r="N2353" t="e">
        <f>VLOOKUP(Tabelle9[[#This Row],[Rank]],Stammdaten[[Rank Verteilung Abholzigkeit]:[Verteilung Abholzigkeit]],2,FALSE)</f>
        <v>#N/A</v>
      </c>
      <c r="S2353">
        <v>2344</v>
      </c>
      <c r="T2353" t="e">
        <f>INDEX(Stammdaten[Krümmung (mm/lfm)],MATCH(Tabelle10[[#This Row],[Rank]],Stammdaten[Rank Verteilung Krümmung],0))</f>
        <v>#N/A</v>
      </c>
      <c r="U2353" t="e">
        <f>VLOOKUP(Tabelle10[[#This Row],[Rank]],Stammdaten[[Rank Verteilung Krümmung]:[Verteilung Krümmung]],2,FALSE)</f>
        <v>#N/A</v>
      </c>
      <c r="Z2353">
        <v>2344</v>
      </c>
      <c r="AA2353" t="e">
        <f>INDEX(Stammdaten[Ovalität (']0,1'])],MATCH(Tabelle1014[[#This Row],[Rank]],Stammdaten[Rank Verteilung Ovalität],0))</f>
        <v>#N/A</v>
      </c>
      <c r="AB2353" t="e">
        <f>VLOOKUP(Tabelle1014[[#This Row],[Rank]],Stammdaten[[Rank Verteilung Ovalität]:[Verteilung Ovalität]],2,FALSE)</f>
        <v>#N/A</v>
      </c>
    </row>
    <row r="2354" spans="5:28" x14ac:dyDescent="0.35">
      <c r="E2354">
        <v>2345</v>
      </c>
      <c r="F2354" t="e">
        <f>INDEX(Stammdaten[D Mitte mit Rinde (mm)],MATCH(Tabelle8[[#This Row],[Rank]],Stammdaten[Rank Verteilung D Mitte mit Rinde],0))</f>
        <v>#N/A</v>
      </c>
      <c r="G2354" t="e">
        <f>VLOOKUP(Tabelle8[[#This Row],[Rank]],Stammdaten[[Rank Verteilung D Mitte mit Rinde]:[Verteilung D Mitte mit Rinde]],2,FALSE)</f>
        <v>#N/A</v>
      </c>
      <c r="L2354">
        <v>2345</v>
      </c>
      <c r="M2354" t="e">
        <f>INDEX(Stammdaten[Abholzigkeit (mm/lfm)],MATCH(Tabelle9[[#This Row],[Rank]],Stammdaten[Rank Verteilung Abholzigkeit],0))</f>
        <v>#N/A</v>
      </c>
      <c r="N2354" t="e">
        <f>VLOOKUP(Tabelle9[[#This Row],[Rank]],Stammdaten[[Rank Verteilung Abholzigkeit]:[Verteilung Abholzigkeit]],2,FALSE)</f>
        <v>#N/A</v>
      </c>
      <c r="S2354">
        <v>2345</v>
      </c>
      <c r="T2354" t="e">
        <f>INDEX(Stammdaten[Krümmung (mm/lfm)],MATCH(Tabelle10[[#This Row],[Rank]],Stammdaten[Rank Verteilung Krümmung],0))</f>
        <v>#N/A</v>
      </c>
      <c r="U2354" t="e">
        <f>VLOOKUP(Tabelle10[[#This Row],[Rank]],Stammdaten[[Rank Verteilung Krümmung]:[Verteilung Krümmung]],2,FALSE)</f>
        <v>#N/A</v>
      </c>
      <c r="Z2354">
        <v>2345</v>
      </c>
      <c r="AA2354" t="e">
        <f>INDEX(Stammdaten[Ovalität (']0,1'])],MATCH(Tabelle1014[[#This Row],[Rank]],Stammdaten[Rank Verteilung Ovalität],0))</f>
        <v>#N/A</v>
      </c>
      <c r="AB2354" t="e">
        <f>VLOOKUP(Tabelle1014[[#This Row],[Rank]],Stammdaten[[Rank Verteilung Ovalität]:[Verteilung Ovalität]],2,FALSE)</f>
        <v>#N/A</v>
      </c>
    </row>
    <row r="2355" spans="5:28" x14ac:dyDescent="0.35">
      <c r="E2355">
        <v>2346</v>
      </c>
      <c r="F2355" t="e">
        <f>INDEX(Stammdaten[D Mitte mit Rinde (mm)],MATCH(Tabelle8[[#This Row],[Rank]],Stammdaten[Rank Verteilung D Mitte mit Rinde],0))</f>
        <v>#N/A</v>
      </c>
      <c r="G2355" t="e">
        <f>VLOOKUP(Tabelle8[[#This Row],[Rank]],Stammdaten[[Rank Verteilung D Mitte mit Rinde]:[Verteilung D Mitte mit Rinde]],2,FALSE)</f>
        <v>#N/A</v>
      </c>
      <c r="L2355">
        <v>2346</v>
      </c>
      <c r="M2355" t="e">
        <f>INDEX(Stammdaten[Abholzigkeit (mm/lfm)],MATCH(Tabelle9[[#This Row],[Rank]],Stammdaten[Rank Verteilung Abholzigkeit],0))</f>
        <v>#N/A</v>
      </c>
      <c r="N2355" t="e">
        <f>VLOOKUP(Tabelle9[[#This Row],[Rank]],Stammdaten[[Rank Verteilung Abholzigkeit]:[Verteilung Abholzigkeit]],2,FALSE)</f>
        <v>#N/A</v>
      </c>
      <c r="S2355">
        <v>2346</v>
      </c>
      <c r="T2355" t="e">
        <f>INDEX(Stammdaten[Krümmung (mm/lfm)],MATCH(Tabelle10[[#This Row],[Rank]],Stammdaten[Rank Verteilung Krümmung],0))</f>
        <v>#N/A</v>
      </c>
      <c r="U2355" t="e">
        <f>VLOOKUP(Tabelle10[[#This Row],[Rank]],Stammdaten[[Rank Verteilung Krümmung]:[Verteilung Krümmung]],2,FALSE)</f>
        <v>#N/A</v>
      </c>
      <c r="Z2355">
        <v>2346</v>
      </c>
      <c r="AA2355" t="e">
        <f>INDEX(Stammdaten[Ovalität (']0,1'])],MATCH(Tabelle1014[[#This Row],[Rank]],Stammdaten[Rank Verteilung Ovalität],0))</f>
        <v>#N/A</v>
      </c>
      <c r="AB2355" t="e">
        <f>VLOOKUP(Tabelle1014[[#This Row],[Rank]],Stammdaten[[Rank Verteilung Ovalität]:[Verteilung Ovalität]],2,FALSE)</f>
        <v>#N/A</v>
      </c>
    </row>
    <row r="2356" spans="5:28" x14ac:dyDescent="0.35">
      <c r="E2356">
        <v>2347</v>
      </c>
      <c r="F2356" t="e">
        <f>INDEX(Stammdaten[D Mitte mit Rinde (mm)],MATCH(Tabelle8[[#This Row],[Rank]],Stammdaten[Rank Verteilung D Mitte mit Rinde],0))</f>
        <v>#N/A</v>
      </c>
      <c r="G2356" t="e">
        <f>VLOOKUP(Tabelle8[[#This Row],[Rank]],Stammdaten[[Rank Verteilung D Mitte mit Rinde]:[Verteilung D Mitte mit Rinde]],2,FALSE)</f>
        <v>#N/A</v>
      </c>
      <c r="L2356">
        <v>2347</v>
      </c>
      <c r="M2356" t="e">
        <f>INDEX(Stammdaten[Abholzigkeit (mm/lfm)],MATCH(Tabelle9[[#This Row],[Rank]],Stammdaten[Rank Verteilung Abholzigkeit],0))</f>
        <v>#N/A</v>
      </c>
      <c r="N2356" t="e">
        <f>VLOOKUP(Tabelle9[[#This Row],[Rank]],Stammdaten[[Rank Verteilung Abholzigkeit]:[Verteilung Abholzigkeit]],2,FALSE)</f>
        <v>#N/A</v>
      </c>
      <c r="S2356">
        <v>2347</v>
      </c>
      <c r="T2356" t="e">
        <f>INDEX(Stammdaten[Krümmung (mm/lfm)],MATCH(Tabelle10[[#This Row],[Rank]],Stammdaten[Rank Verteilung Krümmung],0))</f>
        <v>#N/A</v>
      </c>
      <c r="U2356" t="e">
        <f>VLOOKUP(Tabelle10[[#This Row],[Rank]],Stammdaten[[Rank Verteilung Krümmung]:[Verteilung Krümmung]],2,FALSE)</f>
        <v>#N/A</v>
      </c>
      <c r="Z2356">
        <v>2347</v>
      </c>
      <c r="AA2356" t="e">
        <f>INDEX(Stammdaten[Ovalität (']0,1'])],MATCH(Tabelle1014[[#This Row],[Rank]],Stammdaten[Rank Verteilung Ovalität],0))</f>
        <v>#N/A</v>
      </c>
      <c r="AB2356" t="e">
        <f>VLOOKUP(Tabelle1014[[#This Row],[Rank]],Stammdaten[[Rank Verteilung Ovalität]:[Verteilung Ovalität]],2,FALSE)</f>
        <v>#N/A</v>
      </c>
    </row>
    <row r="2357" spans="5:28" x14ac:dyDescent="0.35">
      <c r="E2357">
        <v>2348</v>
      </c>
      <c r="F2357" t="e">
        <f>INDEX(Stammdaten[D Mitte mit Rinde (mm)],MATCH(Tabelle8[[#This Row],[Rank]],Stammdaten[Rank Verteilung D Mitte mit Rinde],0))</f>
        <v>#N/A</v>
      </c>
      <c r="G2357" t="e">
        <f>VLOOKUP(Tabelle8[[#This Row],[Rank]],Stammdaten[[Rank Verteilung D Mitte mit Rinde]:[Verteilung D Mitte mit Rinde]],2,FALSE)</f>
        <v>#N/A</v>
      </c>
      <c r="L2357">
        <v>2348</v>
      </c>
      <c r="M2357" t="e">
        <f>INDEX(Stammdaten[Abholzigkeit (mm/lfm)],MATCH(Tabelle9[[#This Row],[Rank]],Stammdaten[Rank Verteilung Abholzigkeit],0))</f>
        <v>#N/A</v>
      </c>
      <c r="N2357" t="e">
        <f>VLOOKUP(Tabelle9[[#This Row],[Rank]],Stammdaten[[Rank Verteilung Abholzigkeit]:[Verteilung Abholzigkeit]],2,FALSE)</f>
        <v>#N/A</v>
      </c>
      <c r="S2357">
        <v>2348</v>
      </c>
      <c r="T2357" t="e">
        <f>INDEX(Stammdaten[Krümmung (mm/lfm)],MATCH(Tabelle10[[#This Row],[Rank]],Stammdaten[Rank Verteilung Krümmung],0))</f>
        <v>#N/A</v>
      </c>
      <c r="U2357" t="e">
        <f>VLOOKUP(Tabelle10[[#This Row],[Rank]],Stammdaten[[Rank Verteilung Krümmung]:[Verteilung Krümmung]],2,FALSE)</f>
        <v>#N/A</v>
      </c>
      <c r="Z2357">
        <v>2348</v>
      </c>
      <c r="AA2357" t="e">
        <f>INDEX(Stammdaten[Ovalität (']0,1'])],MATCH(Tabelle1014[[#This Row],[Rank]],Stammdaten[Rank Verteilung Ovalität],0))</f>
        <v>#N/A</v>
      </c>
      <c r="AB2357" t="e">
        <f>VLOOKUP(Tabelle1014[[#This Row],[Rank]],Stammdaten[[Rank Verteilung Ovalität]:[Verteilung Ovalität]],2,FALSE)</f>
        <v>#N/A</v>
      </c>
    </row>
    <row r="2358" spans="5:28" x14ac:dyDescent="0.35">
      <c r="E2358">
        <v>2349</v>
      </c>
      <c r="F2358" t="e">
        <f>INDEX(Stammdaten[D Mitte mit Rinde (mm)],MATCH(Tabelle8[[#This Row],[Rank]],Stammdaten[Rank Verteilung D Mitte mit Rinde],0))</f>
        <v>#N/A</v>
      </c>
      <c r="G2358" t="e">
        <f>VLOOKUP(Tabelle8[[#This Row],[Rank]],Stammdaten[[Rank Verteilung D Mitte mit Rinde]:[Verteilung D Mitte mit Rinde]],2,FALSE)</f>
        <v>#N/A</v>
      </c>
      <c r="L2358">
        <v>2349</v>
      </c>
      <c r="M2358" t="e">
        <f>INDEX(Stammdaten[Abholzigkeit (mm/lfm)],MATCH(Tabelle9[[#This Row],[Rank]],Stammdaten[Rank Verteilung Abholzigkeit],0))</f>
        <v>#N/A</v>
      </c>
      <c r="N2358" t="e">
        <f>VLOOKUP(Tabelle9[[#This Row],[Rank]],Stammdaten[[Rank Verteilung Abholzigkeit]:[Verteilung Abholzigkeit]],2,FALSE)</f>
        <v>#N/A</v>
      </c>
      <c r="S2358">
        <v>2349</v>
      </c>
      <c r="T2358" t="e">
        <f>INDEX(Stammdaten[Krümmung (mm/lfm)],MATCH(Tabelle10[[#This Row],[Rank]],Stammdaten[Rank Verteilung Krümmung],0))</f>
        <v>#N/A</v>
      </c>
      <c r="U2358" t="e">
        <f>VLOOKUP(Tabelle10[[#This Row],[Rank]],Stammdaten[[Rank Verteilung Krümmung]:[Verteilung Krümmung]],2,FALSE)</f>
        <v>#N/A</v>
      </c>
      <c r="Z2358">
        <v>2349</v>
      </c>
      <c r="AA2358" t="e">
        <f>INDEX(Stammdaten[Ovalität (']0,1'])],MATCH(Tabelle1014[[#This Row],[Rank]],Stammdaten[Rank Verteilung Ovalität],0))</f>
        <v>#N/A</v>
      </c>
      <c r="AB2358" t="e">
        <f>VLOOKUP(Tabelle1014[[#This Row],[Rank]],Stammdaten[[Rank Verteilung Ovalität]:[Verteilung Ovalität]],2,FALSE)</f>
        <v>#N/A</v>
      </c>
    </row>
    <row r="2359" spans="5:28" x14ac:dyDescent="0.35">
      <c r="E2359">
        <v>2350</v>
      </c>
      <c r="F2359" t="e">
        <f>INDEX(Stammdaten[D Mitte mit Rinde (mm)],MATCH(Tabelle8[[#This Row],[Rank]],Stammdaten[Rank Verteilung D Mitte mit Rinde],0))</f>
        <v>#N/A</v>
      </c>
      <c r="G2359" t="e">
        <f>VLOOKUP(Tabelle8[[#This Row],[Rank]],Stammdaten[[Rank Verteilung D Mitte mit Rinde]:[Verteilung D Mitte mit Rinde]],2,FALSE)</f>
        <v>#N/A</v>
      </c>
      <c r="L2359">
        <v>2350</v>
      </c>
      <c r="M2359" t="e">
        <f>INDEX(Stammdaten[Abholzigkeit (mm/lfm)],MATCH(Tabelle9[[#This Row],[Rank]],Stammdaten[Rank Verteilung Abholzigkeit],0))</f>
        <v>#N/A</v>
      </c>
      <c r="N2359" t="e">
        <f>VLOOKUP(Tabelle9[[#This Row],[Rank]],Stammdaten[[Rank Verteilung Abholzigkeit]:[Verteilung Abholzigkeit]],2,FALSE)</f>
        <v>#N/A</v>
      </c>
      <c r="S2359">
        <v>2350</v>
      </c>
      <c r="T2359" t="e">
        <f>INDEX(Stammdaten[Krümmung (mm/lfm)],MATCH(Tabelle10[[#This Row],[Rank]],Stammdaten[Rank Verteilung Krümmung],0))</f>
        <v>#N/A</v>
      </c>
      <c r="U2359" t="e">
        <f>VLOOKUP(Tabelle10[[#This Row],[Rank]],Stammdaten[[Rank Verteilung Krümmung]:[Verteilung Krümmung]],2,FALSE)</f>
        <v>#N/A</v>
      </c>
      <c r="Z2359">
        <v>2350</v>
      </c>
      <c r="AA2359" t="e">
        <f>INDEX(Stammdaten[Ovalität (']0,1'])],MATCH(Tabelle1014[[#This Row],[Rank]],Stammdaten[Rank Verteilung Ovalität],0))</f>
        <v>#N/A</v>
      </c>
      <c r="AB2359" t="e">
        <f>VLOOKUP(Tabelle1014[[#This Row],[Rank]],Stammdaten[[Rank Verteilung Ovalität]:[Verteilung Ovalität]],2,FALSE)</f>
        <v>#N/A</v>
      </c>
    </row>
    <row r="2360" spans="5:28" x14ac:dyDescent="0.35">
      <c r="E2360">
        <v>2351</v>
      </c>
      <c r="F2360" t="e">
        <f>INDEX(Stammdaten[D Mitte mit Rinde (mm)],MATCH(Tabelle8[[#This Row],[Rank]],Stammdaten[Rank Verteilung D Mitte mit Rinde],0))</f>
        <v>#N/A</v>
      </c>
      <c r="G2360" t="e">
        <f>VLOOKUP(Tabelle8[[#This Row],[Rank]],Stammdaten[[Rank Verteilung D Mitte mit Rinde]:[Verteilung D Mitte mit Rinde]],2,FALSE)</f>
        <v>#N/A</v>
      </c>
      <c r="L2360">
        <v>2351</v>
      </c>
      <c r="M2360" t="e">
        <f>INDEX(Stammdaten[Abholzigkeit (mm/lfm)],MATCH(Tabelle9[[#This Row],[Rank]],Stammdaten[Rank Verteilung Abholzigkeit],0))</f>
        <v>#N/A</v>
      </c>
      <c r="N2360" t="e">
        <f>VLOOKUP(Tabelle9[[#This Row],[Rank]],Stammdaten[[Rank Verteilung Abholzigkeit]:[Verteilung Abholzigkeit]],2,FALSE)</f>
        <v>#N/A</v>
      </c>
      <c r="S2360">
        <v>2351</v>
      </c>
      <c r="T2360" t="e">
        <f>INDEX(Stammdaten[Krümmung (mm/lfm)],MATCH(Tabelle10[[#This Row],[Rank]],Stammdaten[Rank Verteilung Krümmung],0))</f>
        <v>#N/A</v>
      </c>
      <c r="U2360" t="e">
        <f>VLOOKUP(Tabelle10[[#This Row],[Rank]],Stammdaten[[Rank Verteilung Krümmung]:[Verteilung Krümmung]],2,FALSE)</f>
        <v>#N/A</v>
      </c>
      <c r="Z2360">
        <v>2351</v>
      </c>
      <c r="AA2360" t="e">
        <f>INDEX(Stammdaten[Ovalität (']0,1'])],MATCH(Tabelle1014[[#This Row],[Rank]],Stammdaten[Rank Verteilung Ovalität],0))</f>
        <v>#N/A</v>
      </c>
      <c r="AB2360" t="e">
        <f>VLOOKUP(Tabelle1014[[#This Row],[Rank]],Stammdaten[[Rank Verteilung Ovalität]:[Verteilung Ovalität]],2,FALSE)</f>
        <v>#N/A</v>
      </c>
    </row>
    <row r="2361" spans="5:28" x14ac:dyDescent="0.35">
      <c r="E2361">
        <v>2352</v>
      </c>
      <c r="F2361" t="e">
        <f>INDEX(Stammdaten[D Mitte mit Rinde (mm)],MATCH(Tabelle8[[#This Row],[Rank]],Stammdaten[Rank Verteilung D Mitte mit Rinde],0))</f>
        <v>#N/A</v>
      </c>
      <c r="G2361" t="e">
        <f>VLOOKUP(Tabelle8[[#This Row],[Rank]],Stammdaten[[Rank Verteilung D Mitte mit Rinde]:[Verteilung D Mitte mit Rinde]],2,FALSE)</f>
        <v>#N/A</v>
      </c>
      <c r="L2361">
        <v>2352</v>
      </c>
      <c r="M2361" t="e">
        <f>INDEX(Stammdaten[Abholzigkeit (mm/lfm)],MATCH(Tabelle9[[#This Row],[Rank]],Stammdaten[Rank Verteilung Abholzigkeit],0))</f>
        <v>#N/A</v>
      </c>
      <c r="N2361" t="e">
        <f>VLOOKUP(Tabelle9[[#This Row],[Rank]],Stammdaten[[Rank Verteilung Abholzigkeit]:[Verteilung Abholzigkeit]],2,FALSE)</f>
        <v>#N/A</v>
      </c>
      <c r="S2361">
        <v>2352</v>
      </c>
      <c r="T2361" t="e">
        <f>INDEX(Stammdaten[Krümmung (mm/lfm)],MATCH(Tabelle10[[#This Row],[Rank]],Stammdaten[Rank Verteilung Krümmung],0))</f>
        <v>#N/A</v>
      </c>
      <c r="U2361" t="e">
        <f>VLOOKUP(Tabelle10[[#This Row],[Rank]],Stammdaten[[Rank Verteilung Krümmung]:[Verteilung Krümmung]],2,FALSE)</f>
        <v>#N/A</v>
      </c>
      <c r="Z2361">
        <v>2352</v>
      </c>
      <c r="AA2361" t="e">
        <f>INDEX(Stammdaten[Ovalität (']0,1'])],MATCH(Tabelle1014[[#This Row],[Rank]],Stammdaten[Rank Verteilung Ovalität],0))</f>
        <v>#N/A</v>
      </c>
      <c r="AB2361" t="e">
        <f>VLOOKUP(Tabelle1014[[#This Row],[Rank]],Stammdaten[[Rank Verteilung Ovalität]:[Verteilung Ovalität]],2,FALSE)</f>
        <v>#N/A</v>
      </c>
    </row>
    <row r="2362" spans="5:28" x14ac:dyDescent="0.35">
      <c r="E2362">
        <v>2353</v>
      </c>
      <c r="F2362" t="e">
        <f>INDEX(Stammdaten[D Mitte mit Rinde (mm)],MATCH(Tabelle8[[#This Row],[Rank]],Stammdaten[Rank Verteilung D Mitte mit Rinde],0))</f>
        <v>#N/A</v>
      </c>
      <c r="G2362" t="e">
        <f>VLOOKUP(Tabelle8[[#This Row],[Rank]],Stammdaten[[Rank Verteilung D Mitte mit Rinde]:[Verteilung D Mitte mit Rinde]],2,FALSE)</f>
        <v>#N/A</v>
      </c>
      <c r="L2362">
        <v>2353</v>
      </c>
      <c r="M2362" t="e">
        <f>INDEX(Stammdaten[Abholzigkeit (mm/lfm)],MATCH(Tabelle9[[#This Row],[Rank]],Stammdaten[Rank Verteilung Abholzigkeit],0))</f>
        <v>#N/A</v>
      </c>
      <c r="N2362" t="e">
        <f>VLOOKUP(Tabelle9[[#This Row],[Rank]],Stammdaten[[Rank Verteilung Abholzigkeit]:[Verteilung Abholzigkeit]],2,FALSE)</f>
        <v>#N/A</v>
      </c>
      <c r="S2362">
        <v>2353</v>
      </c>
      <c r="T2362" t="e">
        <f>INDEX(Stammdaten[Krümmung (mm/lfm)],MATCH(Tabelle10[[#This Row],[Rank]],Stammdaten[Rank Verteilung Krümmung],0))</f>
        <v>#N/A</v>
      </c>
      <c r="U2362" t="e">
        <f>VLOOKUP(Tabelle10[[#This Row],[Rank]],Stammdaten[[Rank Verteilung Krümmung]:[Verteilung Krümmung]],2,FALSE)</f>
        <v>#N/A</v>
      </c>
      <c r="Z2362">
        <v>2353</v>
      </c>
      <c r="AA2362" t="e">
        <f>INDEX(Stammdaten[Ovalität (']0,1'])],MATCH(Tabelle1014[[#This Row],[Rank]],Stammdaten[Rank Verteilung Ovalität],0))</f>
        <v>#N/A</v>
      </c>
      <c r="AB2362" t="e">
        <f>VLOOKUP(Tabelle1014[[#This Row],[Rank]],Stammdaten[[Rank Verteilung Ovalität]:[Verteilung Ovalität]],2,FALSE)</f>
        <v>#N/A</v>
      </c>
    </row>
    <row r="2363" spans="5:28" x14ac:dyDescent="0.35">
      <c r="E2363">
        <v>2354</v>
      </c>
      <c r="F2363" t="e">
        <f>INDEX(Stammdaten[D Mitte mit Rinde (mm)],MATCH(Tabelle8[[#This Row],[Rank]],Stammdaten[Rank Verteilung D Mitte mit Rinde],0))</f>
        <v>#N/A</v>
      </c>
      <c r="G2363" t="e">
        <f>VLOOKUP(Tabelle8[[#This Row],[Rank]],Stammdaten[[Rank Verteilung D Mitte mit Rinde]:[Verteilung D Mitte mit Rinde]],2,FALSE)</f>
        <v>#N/A</v>
      </c>
      <c r="L2363">
        <v>2354</v>
      </c>
      <c r="M2363" t="e">
        <f>INDEX(Stammdaten[Abholzigkeit (mm/lfm)],MATCH(Tabelle9[[#This Row],[Rank]],Stammdaten[Rank Verteilung Abholzigkeit],0))</f>
        <v>#N/A</v>
      </c>
      <c r="N2363" t="e">
        <f>VLOOKUP(Tabelle9[[#This Row],[Rank]],Stammdaten[[Rank Verteilung Abholzigkeit]:[Verteilung Abholzigkeit]],2,FALSE)</f>
        <v>#N/A</v>
      </c>
      <c r="S2363">
        <v>2354</v>
      </c>
      <c r="T2363" t="e">
        <f>INDEX(Stammdaten[Krümmung (mm/lfm)],MATCH(Tabelle10[[#This Row],[Rank]],Stammdaten[Rank Verteilung Krümmung],0))</f>
        <v>#N/A</v>
      </c>
      <c r="U2363" t="e">
        <f>VLOOKUP(Tabelle10[[#This Row],[Rank]],Stammdaten[[Rank Verteilung Krümmung]:[Verteilung Krümmung]],2,FALSE)</f>
        <v>#N/A</v>
      </c>
      <c r="Z2363">
        <v>2354</v>
      </c>
      <c r="AA2363" t="e">
        <f>INDEX(Stammdaten[Ovalität (']0,1'])],MATCH(Tabelle1014[[#This Row],[Rank]],Stammdaten[Rank Verteilung Ovalität],0))</f>
        <v>#N/A</v>
      </c>
      <c r="AB2363" t="e">
        <f>VLOOKUP(Tabelle1014[[#This Row],[Rank]],Stammdaten[[Rank Verteilung Ovalität]:[Verteilung Ovalität]],2,FALSE)</f>
        <v>#N/A</v>
      </c>
    </row>
    <row r="2364" spans="5:28" x14ac:dyDescent="0.35">
      <c r="E2364">
        <v>2355</v>
      </c>
      <c r="F2364" t="e">
        <f>INDEX(Stammdaten[D Mitte mit Rinde (mm)],MATCH(Tabelle8[[#This Row],[Rank]],Stammdaten[Rank Verteilung D Mitte mit Rinde],0))</f>
        <v>#N/A</v>
      </c>
      <c r="G2364" t="e">
        <f>VLOOKUP(Tabelle8[[#This Row],[Rank]],Stammdaten[[Rank Verteilung D Mitte mit Rinde]:[Verteilung D Mitte mit Rinde]],2,FALSE)</f>
        <v>#N/A</v>
      </c>
      <c r="L2364">
        <v>2355</v>
      </c>
      <c r="M2364" t="e">
        <f>INDEX(Stammdaten[Abholzigkeit (mm/lfm)],MATCH(Tabelle9[[#This Row],[Rank]],Stammdaten[Rank Verteilung Abholzigkeit],0))</f>
        <v>#N/A</v>
      </c>
      <c r="N2364" t="e">
        <f>VLOOKUP(Tabelle9[[#This Row],[Rank]],Stammdaten[[Rank Verteilung Abholzigkeit]:[Verteilung Abholzigkeit]],2,FALSE)</f>
        <v>#N/A</v>
      </c>
      <c r="S2364">
        <v>2355</v>
      </c>
      <c r="T2364" t="e">
        <f>INDEX(Stammdaten[Krümmung (mm/lfm)],MATCH(Tabelle10[[#This Row],[Rank]],Stammdaten[Rank Verteilung Krümmung],0))</f>
        <v>#N/A</v>
      </c>
      <c r="U2364" t="e">
        <f>VLOOKUP(Tabelle10[[#This Row],[Rank]],Stammdaten[[Rank Verteilung Krümmung]:[Verteilung Krümmung]],2,FALSE)</f>
        <v>#N/A</v>
      </c>
      <c r="Z2364">
        <v>2355</v>
      </c>
      <c r="AA2364" t="e">
        <f>INDEX(Stammdaten[Ovalität (']0,1'])],MATCH(Tabelle1014[[#This Row],[Rank]],Stammdaten[Rank Verteilung Ovalität],0))</f>
        <v>#N/A</v>
      </c>
      <c r="AB2364" t="e">
        <f>VLOOKUP(Tabelle1014[[#This Row],[Rank]],Stammdaten[[Rank Verteilung Ovalität]:[Verteilung Ovalität]],2,FALSE)</f>
        <v>#N/A</v>
      </c>
    </row>
    <row r="2365" spans="5:28" x14ac:dyDescent="0.35">
      <c r="E2365">
        <v>2356</v>
      </c>
      <c r="F2365" t="e">
        <f>INDEX(Stammdaten[D Mitte mit Rinde (mm)],MATCH(Tabelle8[[#This Row],[Rank]],Stammdaten[Rank Verteilung D Mitte mit Rinde],0))</f>
        <v>#N/A</v>
      </c>
      <c r="G2365" t="e">
        <f>VLOOKUP(Tabelle8[[#This Row],[Rank]],Stammdaten[[Rank Verteilung D Mitte mit Rinde]:[Verteilung D Mitte mit Rinde]],2,FALSE)</f>
        <v>#N/A</v>
      </c>
      <c r="L2365">
        <v>2356</v>
      </c>
      <c r="M2365" t="e">
        <f>INDEX(Stammdaten[Abholzigkeit (mm/lfm)],MATCH(Tabelle9[[#This Row],[Rank]],Stammdaten[Rank Verteilung Abholzigkeit],0))</f>
        <v>#N/A</v>
      </c>
      <c r="N2365" t="e">
        <f>VLOOKUP(Tabelle9[[#This Row],[Rank]],Stammdaten[[Rank Verteilung Abholzigkeit]:[Verteilung Abholzigkeit]],2,FALSE)</f>
        <v>#N/A</v>
      </c>
      <c r="S2365">
        <v>2356</v>
      </c>
      <c r="T2365" t="e">
        <f>INDEX(Stammdaten[Krümmung (mm/lfm)],MATCH(Tabelle10[[#This Row],[Rank]],Stammdaten[Rank Verteilung Krümmung],0))</f>
        <v>#N/A</v>
      </c>
      <c r="U2365" t="e">
        <f>VLOOKUP(Tabelle10[[#This Row],[Rank]],Stammdaten[[Rank Verteilung Krümmung]:[Verteilung Krümmung]],2,FALSE)</f>
        <v>#N/A</v>
      </c>
      <c r="Z2365">
        <v>2356</v>
      </c>
      <c r="AA2365" t="e">
        <f>INDEX(Stammdaten[Ovalität (']0,1'])],MATCH(Tabelle1014[[#This Row],[Rank]],Stammdaten[Rank Verteilung Ovalität],0))</f>
        <v>#N/A</v>
      </c>
      <c r="AB2365" t="e">
        <f>VLOOKUP(Tabelle1014[[#This Row],[Rank]],Stammdaten[[Rank Verteilung Ovalität]:[Verteilung Ovalität]],2,FALSE)</f>
        <v>#N/A</v>
      </c>
    </row>
    <row r="2366" spans="5:28" x14ac:dyDescent="0.35">
      <c r="E2366">
        <v>2357</v>
      </c>
      <c r="F2366" t="e">
        <f>INDEX(Stammdaten[D Mitte mit Rinde (mm)],MATCH(Tabelle8[[#This Row],[Rank]],Stammdaten[Rank Verteilung D Mitte mit Rinde],0))</f>
        <v>#N/A</v>
      </c>
      <c r="G2366" t="e">
        <f>VLOOKUP(Tabelle8[[#This Row],[Rank]],Stammdaten[[Rank Verteilung D Mitte mit Rinde]:[Verteilung D Mitte mit Rinde]],2,FALSE)</f>
        <v>#N/A</v>
      </c>
      <c r="L2366">
        <v>2357</v>
      </c>
      <c r="M2366" t="e">
        <f>INDEX(Stammdaten[Abholzigkeit (mm/lfm)],MATCH(Tabelle9[[#This Row],[Rank]],Stammdaten[Rank Verteilung Abholzigkeit],0))</f>
        <v>#N/A</v>
      </c>
      <c r="N2366" t="e">
        <f>VLOOKUP(Tabelle9[[#This Row],[Rank]],Stammdaten[[Rank Verteilung Abholzigkeit]:[Verteilung Abholzigkeit]],2,FALSE)</f>
        <v>#N/A</v>
      </c>
      <c r="S2366">
        <v>2357</v>
      </c>
      <c r="T2366" t="e">
        <f>INDEX(Stammdaten[Krümmung (mm/lfm)],MATCH(Tabelle10[[#This Row],[Rank]],Stammdaten[Rank Verteilung Krümmung],0))</f>
        <v>#N/A</v>
      </c>
      <c r="U2366" t="e">
        <f>VLOOKUP(Tabelle10[[#This Row],[Rank]],Stammdaten[[Rank Verteilung Krümmung]:[Verteilung Krümmung]],2,FALSE)</f>
        <v>#N/A</v>
      </c>
      <c r="Z2366">
        <v>2357</v>
      </c>
      <c r="AA2366" t="e">
        <f>INDEX(Stammdaten[Ovalität (']0,1'])],MATCH(Tabelle1014[[#This Row],[Rank]],Stammdaten[Rank Verteilung Ovalität],0))</f>
        <v>#N/A</v>
      </c>
      <c r="AB2366" t="e">
        <f>VLOOKUP(Tabelle1014[[#This Row],[Rank]],Stammdaten[[Rank Verteilung Ovalität]:[Verteilung Ovalität]],2,FALSE)</f>
        <v>#N/A</v>
      </c>
    </row>
    <row r="2367" spans="5:28" x14ac:dyDescent="0.35">
      <c r="E2367">
        <v>2358</v>
      </c>
      <c r="F2367" t="e">
        <f>INDEX(Stammdaten[D Mitte mit Rinde (mm)],MATCH(Tabelle8[[#This Row],[Rank]],Stammdaten[Rank Verteilung D Mitte mit Rinde],0))</f>
        <v>#N/A</v>
      </c>
      <c r="G2367" t="e">
        <f>VLOOKUP(Tabelle8[[#This Row],[Rank]],Stammdaten[[Rank Verteilung D Mitte mit Rinde]:[Verteilung D Mitte mit Rinde]],2,FALSE)</f>
        <v>#N/A</v>
      </c>
      <c r="L2367">
        <v>2358</v>
      </c>
      <c r="M2367" t="e">
        <f>INDEX(Stammdaten[Abholzigkeit (mm/lfm)],MATCH(Tabelle9[[#This Row],[Rank]],Stammdaten[Rank Verteilung Abholzigkeit],0))</f>
        <v>#N/A</v>
      </c>
      <c r="N2367" t="e">
        <f>VLOOKUP(Tabelle9[[#This Row],[Rank]],Stammdaten[[Rank Verteilung Abholzigkeit]:[Verteilung Abholzigkeit]],2,FALSE)</f>
        <v>#N/A</v>
      </c>
      <c r="S2367">
        <v>2358</v>
      </c>
      <c r="T2367" t="e">
        <f>INDEX(Stammdaten[Krümmung (mm/lfm)],MATCH(Tabelle10[[#This Row],[Rank]],Stammdaten[Rank Verteilung Krümmung],0))</f>
        <v>#N/A</v>
      </c>
      <c r="U2367" t="e">
        <f>VLOOKUP(Tabelle10[[#This Row],[Rank]],Stammdaten[[Rank Verteilung Krümmung]:[Verteilung Krümmung]],2,FALSE)</f>
        <v>#N/A</v>
      </c>
      <c r="Z2367">
        <v>2358</v>
      </c>
      <c r="AA2367" t="e">
        <f>INDEX(Stammdaten[Ovalität (']0,1'])],MATCH(Tabelle1014[[#This Row],[Rank]],Stammdaten[Rank Verteilung Ovalität],0))</f>
        <v>#N/A</v>
      </c>
      <c r="AB2367" t="e">
        <f>VLOOKUP(Tabelle1014[[#This Row],[Rank]],Stammdaten[[Rank Verteilung Ovalität]:[Verteilung Ovalität]],2,FALSE)</f>
        <v>#N/A</v>
      </c>
    </row>
    <row r="2368" spans="5:28" x14ac:dyDescent="0.35">
      <c r="E2368">
        <v>2359</v>
      </c>
      <c r="F2368" t="e">
        <f>INDEX(Stammdaten[D Mitte mit Rinde (mm)],MATCH(Tabelle8[[#This Row],[Rank]],Stammdaten[Rank Verteilung D Mitte mit Rinde],0))</f>
        <v>#N/A</v>
      </c>
      <c r="G2368" t="e">
        <f>VLOOKUP(Tabelle8[[#This Row],[Rank]],Stammdaten[[Rank Verteilung D Mitte mit Rinde]:[Verteilung D Mitte mit Rinde]],2,FALSE)</f>
        <v>#N/A</v>
      </c>
      <c r="L2368">
        <v>2359</v>
      </c>
      <c r="M2368" t="e">
        <f>INDEX(Stammdaten[Abholzigkeit (mm/lfm)],MATCH(Tabelle9[[#This Row],[Rank]],Stammdaten[Rank Verteilung Abholzigkeit],0))</f>
        <v>#N/A</v>
      </c>
      <c r="N2368" t="e">
        <f>VLOOKUP(Tabelle9[[#This Row],[Rank]],Stammdaten[[Rank Verteilung Abholzigkeit]:[Verteilung Abholzigkeit]],2,FALSE)</f>
        <v>#N/A</v>
      </c>
      <c r="S2368">
        <v>2359</v>
      </c>
      <c r="T2368" t="e">
        <f>INDEX(Stammdaten[Krümmung (mm/lfm)],MATCH(Tabelle10[[#This Row],[Rank]],Stammdaten[Rank Verteilung Krümmung],0))</f>
        <v>#N/A</v>
      </c>
      <c r="U2368" t="e">
        <f>VLOOKUP(Tabelle10[[#This Row],[Rank]],Stammdaten[[Rank Verteilung Krümmung]:[Verteilung Krümmung]],2,FALSE)</f>
        <v>#N/A</v>
      </c>
      <c r="Z2368">
        <v>2359</v>
      </c>
      <c r="AA2368" t="e">
        <f>INDEX(Stammdaten[Ovalität (']0,1'])],MATCH(Tabelle1014[[#This Row],[Rank]],Stammdaten[Rank Verteilung Ovalität],0))</f>
        <v>#N/A</v>
      </c>
      <c r="AB2368" t="e">
        <f>VLOOKUP(Tabelle1014[[#This Row],[Rank]],Stammdaten[[Rank Verteilung Ovalität]:[Verteilung Ovalität]],2,FALSE)</f>
        <v>#N/A</v>
      </c>
    </row>
    <row r="2369" spans="5:28" x14ac:dyDescent="0.35">
      <c r="E2369">
        <v>2360</v>
      </c>
      <c r="F2369" t="e">
        <f>INDEX(Stammdaten[D Mitte mit Rinde (mm)],MATCH(Tabelle8[[#This Row],[Rank]],Stammdaten[Rank Verteilung D Mitte mit Rinde],0))</f>
        <v>#N/A</v>
      </c>
      <c r="G2369" t="e">
        <f>VLOOKUP(Tabelle8[[#This Row],[Rank]],Stammdaten[[Rank Verteilung D Mitte mit Rinde]:[Verteilung D Mitte mit Rinde]],2,FALSE)</f>
        <v>#N/A</v>
      </c>
      <c r="L2369">
        <v>2360</v>
      </c>
      <c r="M2369" t="e">
        <f>INDEX(Stammdaten[Abholzigkeit (mm/lfm)],MATCH(Tabelle9[[#This Row],[Rank]],Stammdaten[Rank Verteilung Abholzigkeit],0))</f>
        <v>#N/A</v>
      </c>
      <c r="N2369" t="e">
        <f>VLOOKUP(Tabelle9[[#This Row],[Rank]],Stammdaten[[Rank Verteilung Abholzigkeit]:[Verteilung Abholzigkeit]],2,FALSE)</f>
        <v>#N/A</v>
      </c>
      <c r="S2369">
        <v>2360</v>
      </c>
      <c r="T2369" t="e">
        <f>INDEX(Stammdaten[Krümmung (mm/lfm)],MATCH(Tabelle10[[#This Row],[Rank]],Stammdaten[Rank Verteilung Krümmung],0))</f>
        <v>#N/A</v>
      </c>
      <c r="U2369" t="e">
        <f>VLOOKUP(Tabelle10[[#This Row],[Rank]],Stammdaten[[Rank Verteilung Krümmung]:[Verteilung Krümmung]],2,FALSE)</f>
        <v>#N/A</v>
      </c>
      <c r="Z2369">
        <v>2360</v>
      </c>
      <c r="AA2369" t="e">
        <f>INDEX(Stammdaten[Ovalität (']0,1'])],MATCH(Tabelle1014[[#This Row],[Rank]],Stammdaten[Rank Verteilung Ovalität],0))</f>
        <v>#N/A</v>
      </c>
      <c r="AB2369" t="e">
        <f>VLOOKUP(Tabelle1014[[#This Row],[Rank]],Stammdaten[[Rank Verteilung Ovalität]:[Verteilung Ovalität]],2,FALSE)</f>
        <v>#N/A</v>
      </c>
    </row>
    <row r="2370" spans="5:28" x14ac:dyDescent="0.35">
      <c r="E2370">
        <v>2361</v>
      </c>
      <c r="F2370" t="e">
        <f>INDEX(Stammdaten[D Mitte mit Rinde (mm)],MATCH(Tabelle8[[#This Row],[Rank]],Stammdaten[Rank Verteilung D Mitte mit Rinde],0))</f>
        <v>#N/A</v>
      </c>
      <c r="G2370" t="e">
        <f>VLOOKUP(Tabelle8[[#This Row],[Rank]],Stammdaten[[Rank Verteilung D Mitte mit Rinde]:[Verteilung D Mitte mit Rinde]],2,FALSE)</f>
        <v>#N/A</v>
      </c>
      <c r="L2370">
        <v>2361</v>
      </c>
      <c r="M2370" t="e">
        <f>INDEX(Stammdaten[Abholzigkeit (mm/lfm)],MATCH(Tabelle9[[#This Row],[Rank]],Stammdaten[Rank Verteilung Abholzigkeit],0))</f>
        <v>#N/A</v>
      </c>
      <c r="N2370" t="e">
        <f>VLOOKUP(Tabelle9[[#This Row],[Rank]],Stammdaten[[Rank Verteilung Abholzigkeit]:[Verteilung Abholzigkeit]],2,FALSE)</f>
        <v>#N/A</v>
      </c>
      <c r="S2370">
        <v>2361</v>
      </c>
      <c r="T2370" t="e">
        <f>INDEX(Stammdaten[Krümmung (mm/lfm)],MATCH(Tabelle10[[#This Row],[Rank]],Stammdaten[Rank Verteilung Krümmung],0))</f>
        <v>#N/A</v>
      </c>
      <c r="U2370" t="e">
        <f>VLOOKUP(Tabelle10[[#This Row],[Rank]],Stammdaten[[Rank Verteilung Krümmung]:[Verteilung Krümmung]],2,FALSE)</f>
        <v>#N/A</v>
      </c>
      <c r="Z2370">
        <v>2361</v>
      </c>
      <c r="AA2370" t="e">
        <f>INDEX(Stammdaten[Ovalität (']0,1'])],MATCH(Tabelle1014[[#This Row],[Rank]],Stammdaten[Rank Verteilung Ovalität],0))</f>
        <v>#N/A</v>
      </c>
      <c r="AB2370" t="e">
        <f>VLOOKUP(Tabelle1014[[#This Row],[Rank]],Stammdaten[[Rank Verteilung Ovalität]:[Verteilung Ovalität]],2,FALSE)</f>
        <v>#N/A</v>
      </c>
    </row>
    <row r="2371" spans="5:28" x14ac:dyDescent="0.35">
      <c r="E2371">
        <v>2362</v>
      </c>
      <c r="F2371" t="e">
        <f>INDEX(Stammdaten[D Mitte mit Rinde (mm)],MATCH(Tabelle8[[#This Row],[Rank]],Stammdaten[Rank Verteilung D Mitte mit Rinde],0))</f>
        <v>#N/A</v>
      </c>
      <c r="G2371" t="e">
        <f>VLOOKUP(Tabelle8[[#This Row],[Rank]],Stammdaten[[Rank Verteilung D Mitte mit Rinde]:[Verteilung D Mitte mit Rinde]],2,FALSE)</f>
        <v>#N/A</v>
      </c>
      <c r="L2371">
        <v>2362</v>
      </c>
      <c r="M2371" t="e">
        <f>INDEX(Stammdaten[Abholzigkeit (mm/lfm)],MATCH(Tabelle9[[#This Row],[Rank]],Stammdaten[Rank Verteilung Abholzigkeit],0))</f>
        <v>#N/A</v>
      </c>
      <c r="N2371" t="e">
        <f>VLOOKUP(Tabelle9[[#This Row],[Rank]],Stammdaten[[Rank Verteilung Abholzigkeit]:[Verteilung Abholzigkeit]],2,FALSE)</f>
        <v>#N/A</v>
      </c>
      <c r="S2371">
        <v>2362</v>
      </c>
      <c r="T2371" t="e">
        <f>INDEX(Stammdaten[Krümmung (mm/lfm)],MATCH(Tabelle10[[#This Row],[Rank]],Stammdaten[Rank Verteilung Krümmung],0))</f>
        <v>#N/A</v>
      </c>
      <c r="U2371" t="e">
        <f>VLOOKUP(Tabelle10[[#This Row],[Rank]],Stammdaten[[Rank Verteilung Krümmung]:[Verteilung Krümmung]],2,FALSE)</f>
        <v>#N/A</v>
      </c>
      <c r="Z2371">
        <v>2362</v>
      </c>
      <c r="AA2371" t="e">
        <f>INDEX(Stammdaten[Ovalität (']0,1'])],MATCH(Tabelle1014[[#This Row],[Rank]],Stammdaten[Rank Verteilung Ovalität],0))</f>
        <v>#N/A</v>
      </c>
      <c r="AB2371" t="e">
        <f>VLOOKUP(Tabelle1014[[#This Row],[Rank]],Stammdaten[[Rank Verteilung Ovalität]:[Verteilung Ovalität]],2,FALSE)</f>
        <v>#N/A</v>
      </c>
    </row>
    <row r="2372" spans="5:28" x14ac:dyDescent="0.35">
      <c r="E2372">
        <v>2363</v>
      </c>
      <c r="F2372" t="e">
        <f>INDEX(Stammdaten[D Mitte mit Rinde (mm)],MATCH(Tabelle8[[#This Row],[Rank]],Stammdaten[Rank Verteilung D Mitte mit Rinde],0))</f>
        <v>#N/A</v>
      </c>
      <c r="G2372" t="e">
        <f>VLOOKUP(Tabelle8[[#This Row],[Rank]],Stammdaten[[Rank Verteilung D Mitte mit Rinde]:[Verteilung D Mitte mit Rinde]],2,FALSE)</f>
        <v>#N/A</v>
      </c>
      <c r="L2372">
        <v>2363</v>
      </c>
      <c r="M2372" t="e">
        <f>INDEX(Stammdaten[Abholzigkeit (mm/lfm)],MATCH(Tabelle9[[#This Row],[Rank]],Stammdaten[Rank Verteilung Abholzigkeit],0))</f>
        <v>#N/A</v>
      </c>
      <c r="N2372" t="e">
        <f>VLOOKUP(Tabelle9[[#This Row],[Rank]],Stammdaten[[Rank Verteilung Abholzigkeit]:[Verteilung Abholzigkeit]],2,FALSE)</f>
        <v>#N/A</v>
      </c>
      <c r="S2372">
        <v>2363</v>
      </c>
      <c r="T2372" t="e">
        <f>INDEX(Stammdaten[Krümmung (mm/lfm)],MATCH(Tabelle10[[#This Row],[Rank]],Stammdaten[Rank Verteilung Krümmung],0))</f>
        <v>#N/A</v>
      </c>
      <c r="U2372" t="e">
        <f>VLOOKUP(Tabelle10[[#This Row],[Rank]],Stammdaten[[Rank Verteilung Krümmung]:[Verteilung Krümmung]],2,FALSE)</f>
        <v>#N/A</v>
      </c>
      <c r="Z2372">
        <v>2363</v>
      </c>
      <c r="AA2372" t="e">
        <f>INDEX(Stammdaten[Ovalität (']0,1'])],MATCH(Tabelle1014[[#This Row],[Rank]],Stammdaten[Rank Verteilung Ovalität],0))</f>
        <v>#N/A</v>
      </c>
      <c r="AB2372" t="e">
        <f>VLOOKUP(Tabelle1014[[#This Row],[Rank]],Stammdaten[[Rank Verteilung Ovalität]:[Verteilung Ovalität]],2,FALSE)</f>
        <v>#N/A</v>
      </c>
    </row>
    <row r="2373" spans="5:28" x14ac:dyDescent="0.35">
      <c r="E2373">
        <v>2364</v>
      </c>
      <c r="F2373" t="e">
        <f>INDEX(Stammdaten[D Mitte mit Rinde (mm)],MATCH(Tabelle8[[#This Row],[Rank]],Stammdaten[Rank Verteilung D Mitte mit Rinde],0))</f>
        <v>#N/A</v>
      </c>
      <c r="G2373" t="e">
        <f>VLOOKUP(Tabelle8[[#This Row],[Rank]],Stammdaten[[Rank Verteilung D Mitte mit Rinde]:[Verteilung D Mitte mit Rinde]],2,FALSE)</f>
        <v>#N/A</v>
      </c>
      <c r="L2373">
        <v>2364</v>
      </c>
      <c r="M2373" t="e">
        <f>INDEX(Stammdaten[Abholzigkeit (mm/lfm)],MATCH(Tabelle9[[#This Row],[Rank]],Stammdaten[Rank Verteilung Abholzigkeit],0))</f>
        <v>#N/A</v>
      </c>
      <c r="N2373" t="e">
        <f>VLOOKUP(Tabelle9[[#This Row],[Rank]],Stammdaten[[Rank Verteilung Abholzigkeit]:[Verteilung Abholzigkeit]],2,FALSE)</f>
        <v>#N/A</v>
      </c>
      <c r="S2373">
        <v>2364</v>
      </c>
      <c r="T2373" t="e">
        <f>INDEX(Stammdaten[Krümmung (mm/lfm)],MATCH(Tabelle10[[#This Row],[Rank]],Stammdaten[Rank Verteilung Krümmung],0))</f>
        <v>#N/A</v>
      </c>
      <c r="U2373" t="e">
        <f>VLOOKUP(Tabelle10[[#This Row],[Rank]],Stammdaten[[Rank Verteilung Krümmung]:[Verteilung Krümmung]],2,FALSE)</f>
        <v>#N/A</v>
      </c>
      <c r="Z2373">
        <v>2364</v>
      </c>
      <c r="AA2373" t="e">
        <f>INDEX(Stammdaten[Ovalität (']0,1'])],MATCH(Tabelle1014[[#This Row],[Rank]],Stammdaten[Rank Verteilung Ovalität],0))</f>
        <v>#N/A</v>
      </c>
      <c r="AB2373" t="e">
        <f>VLOOKUP(Tabelle1014[[#This Row],[Rank]],Stammdaten[[Rank Verteilung Ovalität]:[Verteilung Ovalität]],2,FALSE)</f>
        <v>#N/A</v>
      </c>
    </row>
    <row r="2374" spans="5:28" x14ac:dyDescent="0.35">
      <c r="E2374">
        <v>2365</v>
      </c>
      <c r="F2374" t="e">
        <f>INDEX(Stammdaten[D Mitte mit Rinde (mm)],MATCH(Tabelle8[[#This Row],[Rank]],Stammdaten[Rank Verteilung D Mitte mit Rinde],0))</f>
        <v>#N/A</v>
      </c>
      <c r="G2374" t="e">
        <f>VLOOKUP(Tabelle8[[#This Row],[Rank]],Stammdaten[[Rank Verteilung D Mitte mit Rinde]:[Verteilung D Mitte mit Rinde]],2,FALSE)</f>
        <v>#N/A</v>
      </c>
      <c r="L2374">
        <v>2365</v>
      </c>
      <c r="M2374" t="e">
        <f>INDEX(Stammdaten[Abholzigkeit (mm/lfm)],MATCH(Tabelle9[[#This Row],[Rank]],Stammdaten[Rank Verteilung Abholzigkeit],0))</f>
        <v>#N/A</v>
      </c>
      <c r="N2374" t="e">
        <f>VLOOKUP(Tabelle9[[#This Row],[Rank]],Stammdaten[[Rank Verteilung Abholzigkeit]:[Verteilung Abholzigkeit]],2,FALSE)</f>
        <v>#N/A</v>
      </c>
      <c r="S2374">
        <v>2365</v>
      </c>
      <c r="T2374" t="e">
        <f>INDEX(Stammdaten[Krümmung (mm/lfm)],MATCH(Tabelle10[[#This Row],[Rank]],Stammdaten[Rank Verteilung Krümmung],0))</f>
        <v>#N/A</v>
      </c>
      <c r="U2374" t="e">
        <f>VLOOKUP(Tabelle10[[#This Row],[Rank]],Stammdaten[[Rank Verteilung Krümmung]:[Verteilung Krümmung]],2,FALSE)</f>
        <v>#N/A</v>
      </c>
      <c r="Z2374">
        <v>2365</v>
      </c>
      <c r="AA2374" t="e">
        <f>INDEX(Stammdaten[Ovalität (']0,1'])],MATCH(Tabelle1014[[#This Row],[Rank]],Stammdaten[Rank Verteilung Ovalität],0))</f>
        <v>#N/A</v>
      </c>
      <c r="AB2374" t="e">
        <f>VLOOKUP(Tabelle1014[[#This Row],[Rank]],Stammdaten[[Rank Verteilung Ovalität]:[Verteilung Ovalität]],2,FALSE)</f>
        <v>#N/A</v>
      </c>
    </row>
    <row r="2375" spans="5:28" x14ac:dyDescent="0.35">
      <c r="E2375">
        <v>2366</v>
      </c>
      <c r="F2375" t="e">
        <f>INDEX(Stammdaten[D Mitte mit Rinde (mm)],MATCH(Tabelle8[[#This Row],[Rank]],Stammdaten[Rank Verteilung D Mitte mit Rinde],0))</f>
        <v>#N/A</v>
      </c>
      <c r="G2375" t="e">
        <f>VLOOKUP(Tabelle8[[#This Row],[Rank]],Stammdaten[[Rank Verteilung D Mitte mit Rinde]:[Verteilung D Mitte mit Rinde]],2,FALSE)</f>
        <v>#N/A</v>
      </c>
      <c r="L2375">
        <v>2366</v>
      </c>
      <c r="M2375" t="e">
        <f>INDEX(Stammdaten[Abholzigkeit (mm/lfm)],MATCH(Tabelle9[[#This Row],[Rank]],Stammdaten[Rank Verteilung Abholzigkeit],0))</f>
        <v>#N/A</v>
      </c>
      <c r="N2375" t="e">
        <f>VLOOKUP(Tabelle9[[#This Row],[Rank]],Stammdaten[[Rank Verteilung Abholzigkeit]:[Verteilung Abholzigkeit]],2,FALSE)</f>
        <v>#N/A</v>
      </c>
      <c r="S2375">
        <v>2366</v>
      </c>
      <c r="T2375" t="e">
        <f>INDEX(Stammdaten[Krümmung (mm/lfm)],MATCH(Tabelle10[[#This Row],[Rank]],Stammdaten[Rank Verteilung Krümmung],0))</f>
        <v>#N/A</v>
      </c>
      <c r="U2375" t="e">
        <f>VLOOKUP(Tabelle10[[#This Row],[Rank]],Stammdaten[[Rank Verteilung Krümmung]:[Verteilung Krümmung]],2,FALSE)</f>
        <v>#N/A</v>
      </c>
      <c r="Z2375">
        <v>2366</v>
      </c>
      <c r="AA2375" t="e">
        <f>INDEX(Stammdaten[Ovalität (']0,1'])],MATCH(Tabelle1014[[#This Row],[Rank]],Stammdaten[Rank Verteilung Ovalität],0))</f>
        <v>#N/A</v>
      </c>
      <c r="AB2375" t="e">
        <f>VLOOKUP(Tabelle1014[[#This Row],[Rank]],Stammdaten[[Rank Verteilung Ovalität]:[Verteilung Ovalität]],2,FALSE)</f>
        <v>#N/A</v>
      </c>
    </row>
    <row r="2376" spans="5:28" x14ac:dyDescent="0.35">
      <c r="E2376">
        <v>2367</v>
      </c>
      <c r="F2376" t="e">
        <f>INDEX(Stammdaten[D Mitte mit Rinde (mm)],MATCH(Tabelle8[[#This Row],[Rank]],Stammdaten[Rank Verteilung D Mitte mit Rinde],0))</f>
        <v>#N/A</v>
      </c>
      <c r="G2376" t="e">
        <f>VLOOKUP(Tabelle8[[#This Row],[Rank]],Stammdaten[[Rank Verteilung D Mitte mit Rinde]:[Verteilung D Mitte mit Rinde]],2,FALSE)</f>
        <v>#N/A</v>
      </c>
      <c r="L2376">
        <v>2367</v>
      </c>
      <c r="M2376" t="e">
        <f>INDEX(Stammdaten[Abholzigkeit (mm/lfm)],MATCH(Tabelle9[[#This Row],[Rank]],Stammdaten[Rank Verteilung Abholzigkeit],0))</f>
        <v>#N/A</v>
      </c>
      <c r="N2376" t="e">
        <f>VLOOKUP(Tabelle9[[#This Row],[Rank]],Stammdaten[[Rank Verteilung Abholzigkeit]:[Verteilung Abholzigkeit]],2,FALSE)</f>
        <v>#N/A</v>
      </c>
      <c r="S2376">
        <v>2367</v>
      </c>
      <c r="T2376" t="e">
        <f>INDEX(Stammdaten[Krümmung (mm/lfm)],MATCH(Tabelle10[[#This Row],[Rank]],Stammdaten[Rank Verteilung Krümmung],0))</f>
        <v>#N/A</v>
      </c>
      <c r="U2376" t="e">
        <f>VLOOKUP(Tabelle10[[#This Row],[Rank]],Stammdaten[[Rank Verteilung Krümmung]:[Verteilung Krümmung]],2,FALSE)</f>
        <v>#N/A</v>
      </c>
      <c r="Z2376">
        <v>2367</v>
      </c>
      <c r="AA2376" t="e">
        <f>INDEX(Stammdaten[Ovalität (']0,1'])],MATCH(Tabelle1014[[#This Row],[Rank]],Stammdaten[Rank Verteilung Ovalität],0))</f>
        <v>#N/A</v>
      </c>
      <c r="AB2376" t="e">
        <f>VLOOKUP(Tabelle1014[[#This Row],[Rank]],Stammdaten[[Rank Verteilung Ovalität]:[Verteilung Ovalität]],2,FALSE)</f>
        <v>#N/A</v>
      </c>
    </row>
    <row r="2377" spans="5:28" x14ac:dyDescent="0.35">
      <c r="E2377">
        <v>2368</v>
      </c>
      <c r="F2377" t="e">
        <f>INDEX(Stammdaten[D Mitte mit Rinde (mm)],MATCH(Tabelle8[[#This Row],[Rank]],Stammdaten[Rank Verteilung D Mitte mit Rinde],0))</f>
        <v>#N/A</v>
      </c>
      <c r="G2377" t="e">
        <f>VLOOKUP(Tabelle8[[#This Row],[Rank]],Stammdaten[[Rank Verteilung D Mitte mit Rinde]:[Verteilung D Mitte mit Rinde]],2,FALSE)</f>
        <v>#N/A</v>
      </c>
      <c r="L2377">
        <v>2368</v>
      </c>
      <c r="M2377" t="e">
        <f>INDEX(Stammdaten[Abholzigkeit (mm/lfm)],MATCH(Tabelle9[[#This Row],[Rank]],Stammdaten[Rank Verteilung Abholzigkeit],0))</f>
        <v>#N/A</v>
      </c>
      <c r="N2377" t="e">
        <f>VLOOKUP(Tabelle9[[#This Row],[Rank]],Stammdaten[[Rank Verteilung Abholzigkeit]:[Verteilung Abholzigkeit]],2,FALSE)</f>
        <v>#N/A</v>
      </c>
      <c r="S2377">
        <v>2368</v>
      </c>
      <c r="T2377" t="e">
        <f>INDEX(Stammdaten[Krümmung (mm/lfm)],MATCH(Tabelle10[[#This Row],[Rank]],Stammdaten[Rank Verteilung Krümmung],0))</f>
        <v>#N/A</v>
      </c>
      <c r="U2377" t="e">
        <f>VLOOKUP(Tabelle10[[#This Row],[Rank]],Stammdaten[[Rank Verteilung Krümmung]:[Verteilung Krümmung]],2,FALSE)</f>
        <v>#N/A</v>
      </c>
      <c r="Z2377">
        <v>2368</v>
      </c>
      <c r="AA2377" t="e">
        <f>INDEX(Stammdaten[Ovalität (']0,1'])],MATCH(Tabelle1014[[#This Row],[Rank]],Stammdaten[Rank Verteilung Ovalität],0))</f>
        <v>#N/A</v>
      </c>
      <c r="AB2377" t="e">
        <f>VLOOKUP(Tabelle1014[[#This Row],[Rank]],Stammdaten[[Rank Verteilung Ovalität]:[Verteilung Ovalität]],2,FALSE)</f>
        <v>#N/A</v>
      </c>
    </row>
    <row r="2378" spans="5:28" x14ac:dyDescent="0.35">
      <c r="E2378">
        <v>2369</v>
      </c>
      <c r="F2378" t="e">
        <f>INDEX(Stammdaten[D Mitte mit Rinde (mm)],MATCH(Tabelle8[[#This Row],[Rank]],Stammdaten[Rank Verteilung D Mitte mit Rinde],0))</f>
        <v>#N/A</v>
      </c>
      <c r="G2378" t="e">
        <f>VLOOKUP(Tabelle8[[#This Row],[Rank]],Stammdaten[[Rank Verteilung D Mitte mit Rinde]:[Verteilung D Mitte mit Rinde]],2,FALSE)</f>
        <v>#N/A</v>
      </c>
      <c r="L2378">
        <v>2369</v>
      </c>
      <c r="M2378" t="e">
        <f>INDEX(Stammdaten[Abholzigkeit (mm/lfm)],MATCH(Tabelle9[[#This Row],[Rank]],Stammdaten[Rank Verteilung Abholzigkeit],0))</f>
        <v>#N/A</v>
      </c>
      <c r="N2378" t="e">
        <f>VLOOKUP(Tabelle9[[#This Row],[Rank]],Stammdaten[[Rank Verteilung Abholzigkeit]:[Verteilung Abholzigkeit]],2,FALSE)</f>
        <v>#N/A</v>
      </c>
      <c r="S2378">
        <v>2369</v>
      </c>
      <c r="T2378" t="e">
        <f>INDEX(Stammdaten[Krümmung (mm/lfm)],MATCH(Tabelle10[[#This Row],[Rank]],Stammdaten[Rank Verteilung Krümmung],0))</f>
        <v>#N/A</v>
      </c>
      <c r="U2378" t="e">
        <f>VLOOKUP(Tabelle10[[#This Row],[Rank]],Stammdaten[[Rank Verteilung Krümmung]:[Verteilung Krümmung]],2,FALSE)</f>
        <v>#N/A</v>
      </c>
      <c r="Z2378">
        <v>2369</v>
      </c>
      <c r="AA2378" t="e">
        <f>INDEX(Stammdaten[Ovalität (']0,1'])],MATCH(Tabelle1014[[#This Row],[Rank]],Stammdaten[Rank Verteilung Ovalität],0))</f>
        <v>#N/A</v>
      </c>
      <c r="AB2378" t="e">
        <f>VLOOKUP(Tabelle1014[[#This Row],[Rank]],Stammdaten[[Rank Verteilung Ovalität]:[Verteilung Ovalität]],2,FALSE)</f>
        <v>#N/A</v>
      </c>
    </row>
    <row r="2379" spans="5:28" x14ac:dyDescent="0.35">
      <c r="E2379">
        <v>2370</v>
      </c>
      <c r="F2379" t="e">
        <f>INDEX(Stammdaten[D Mitte mit Rinde (mm)],MATCH(Tabelle8[[#This Row],[Rank]],Stammdaten[Rank Verteilung D Mitte mit Rinde],0))</f>
        <v>#N/A</v>
      </c>
      <c r="G2379" t="e">
        <f>VLOOKUP(Tabelle8[[#This Row],[Rank]],Stammdaten[[Rank Verteilung D Mitte mit Rinde]:[Verteilung D Mitte mit Rinde]],2,FALSE)</f>
        <v>#N/A</v>
      </c>
      <c r="L2379">
        <v>2370</v>
      </c>
      <c r="M2379" t="e">
        <f>INDEX(Stammdaten[Abholzigkeit (mm/lfm)],MATCH(Tabelle9[[#This Row],[Rank]],Stammdaten[Rank Verteilung Abholzigkeit],0))</f>
        <v>#N/A</v>
      </c>
      <c r="N2379" t="e">
        <f>VLOOKUP(Tabelle9[[#This Row],[Rank]],Stammdaten[[Rank Verteilung Abholzigkeit]:[Verteilung Abholzigkeit]],2,FALSE)</f>
        <v>#N/A</v>
      </c>
      <c r="S2379">
        <v>2370</v>
      </c>
      <c r="T2379" t="e">
        <f>INDEX(Stammdaten[Krümmung (mm/lfm)],MATCH(Tabelle10[[#This Row],[Rank]],Stammdaten[Rank Verteilung Krümmung],0))</f>
        <v>#N/A</v>
      </c>
      <c r="U2379" t="e">
        <f>VLOOKUP(Tabelle10[[#This Row],[Rank]],Stammdaten[[Rank Verteilung Krümmung]:[Verteilung Krümmung]],2,FALSE)</f>
        <v>#N/A</v>
      </c>
      <c r="Z2379">
        <v>2370</v>
      </c>
      <c r="AA2379" t="e">
        <f>INDEX(Stammdaten[Ovalität (']0,1'])],MATCH(Tabelle1014[[#This Row],[Rank]],Stammdaten[Rank Verteilung Ovalität],0))</f>
        <v>#N/A</v>
      </c>
      <c r="AB2379" t="e">
        <f>VLOOKUP(Tabelle1014[[#This Row],[Rank]],Stammdaten[[Rank Verteilung Ovalität]:[Verteilung Ovalität]],2,FALSE)</f>
        <v>#N/A</v>
      </c>
    </row>
    <row r="2380" spans="5:28" x14ac:dyDescent="0.35">
      <c r="E2380">
        <v>2371</v>
      </c>
      <c r="F2380" t="e">
        <f>INDEX(Stammdaten[D Mitte mit Rinde (mm)],MATCH(Tabelle8[[#This Row],[Rank]],Stammdaten[Rank Verteilung D Mitte mit Rinde],0))</f>
        <v>#N/A</v>
      </c>
      <c r="G2380" t="e">
        <f>VLOOKUP(Tabelle8[[#This Row],[Rank]],Stammdaten[[Rank Verteilung D Mitte mit Rinde]:[Verteilung D Mitte mit Rinde]],2,FALSE)</f>
        <v>#N/A</v>
      </c>
      <c r="L2380">
        <v>2371</v>
      </c>
      <c r="M2380" t="e">
        <f>INDEX(Stammdaten[Abholzigkeit (mm/lfm)],MATCH(Tabelle9[[#This Row],[Rank]],Stammdaten[Rank Verteilung Abholzigkeit],0))</f>
        <v>#N/A</v>
      </c>
      <c r="N2380" t="e">
        <f>VLOOKUP(Tabelle9[[#This Row],[Rank]],Stammdaten[[Rank Verteilung Abholzigkeit]:[Verteilung Abholzigkeit]],2,FALSE)</f>
        <v>#N/A</v>
      </c>
      <c r="S2380">
        <v>2371</v>
      </c>
      <c r="T2380" t="e">
        <f>INDEX(Stammdaten[Krümmung (mm/lfm)],MATCH(Tabelle10[[#This Row],[Rank]],Stammdaten[Rank Verteilung Krümmung],0))</f>
        <v>#N/A</v>
      </c>
      <c r="U2380" t="e">
        <f>VLOOKUP(Tabelle10[[#This Row],[Rank]],Stammdaten[[Rank Verteilung Krümmung]:[Verteilung Krümmung]],2,FALSE)</f>
        <v>#N/A</v>
      </c>
      <c r="Z2380">
        <v>2371</v>
      </c>
      <c r="AA2380" t="e">
        <f>INDEX(Stammdaten[Ovalität (']0,1'])],MATCH(Tabelle1014[[#This Row],[Rank]],Stammdaten[Rank Verteilung Ovalität],0))</f>
        <v>#N/A</v>
      </c>
      <c r="AB2380" t="e">
        <f>VLOOKUP(Tabelle1014[[#This Row],[Rank]],Stammdaten[[Rank Verteilung Ovalität]:[Verteilung Ovalität]],2,FALSE)</f>
        <v>#N/A</v>
      </c>
    </row>
    <row r="2381" spans="5:28" x14ac:dyDescent="0.35">
      <c r="E2381">
        <v>2372</v>
      </c>
      <c r="F2381" t="e">
        <f>INDEX(Stammdaten[D Mitte mit Rinde (mm)],MATCH(Tabelle8[[#This Row],[Rank]],Stammdaten[Rank Verteilung D Mitte mit Rinde],0))</f>
        <v>#N/A</v>
      </c>
      <c r="G2381" t="e">
        <f>VLOOKUP(Tabelle8[[#This Row],[Rank]],Stammdaten[[Rank Verteilung D Mitte mit Rinde]:[Verteilung D Mitte mit Rinde]],2,FALSE)</f>
        <v>#N/A</v>
      </c>
      <c r="L2381">
        <v>2372</v>
      </c>
      <c r="M2381" t="e">
        <f>INDEX(Stammdaten[Abholzigkeit (mm/lfm)],MATCH(Tabelle9[[#This Row],[Rank]],Stammdaten[Rank Verteilung Abholzigkeit],0))</f>
        <v>#N/A</v>
      </c>
      <c r="N2381" t="e">
        <f>VLOOKUP(Tabelle9[[#This Row],[Rank]],Stammdaten[[Rank Verteilung Abholzigkeit]:[Verteilung Abholzigkeit]],2,FALSE)</f>
        <v>#N/A</v>
      </c>
      <c r="S2381">
        <v>2372</v>
      </c>
      <c r="T2381" t="e">
        <f>INDEX(Stammdaten[Krümmung (mm/lfm)],MATCH(Tabelle10[[#This Row],[Rank]],Stammdaten[Rank Verteilung Krümmung],0))</f>
        <v>#N/A</v>
      </c>
      <c r="U2381" t="e">
        <f>VLOOKUP(Tabelle10[[#This Row],[Rank]],Stammdaten[[Rank Verteilung Krümmung]:[Verteilung Krümmung]],2,FALSE)</f>
        <v>#N/A</v>
      </c>
      <c r="Z2381">
        <v>2372</v>
      </c>
      <c r="AA2381" t="e">
        <f>INDEX(Stammdaten[Ovalität (']0,1'])],MATCH(Tabelle1014[[#This Row],[Rank]],Stammdaten[Rank Verteilung Ovalität],0))</f>
        <v>#N/A</v>
      </c>
      <c r="AB2381" t="e">
        <f>VLOOKUP(Tabelle1014[[#This Row],[Rank]],Stammdaten[[Rank Verteilung Ovalität]:[Verteilung Ovalität]],2,FALSE)</f>
        <v>#N/A</v>
      </c>
    </row>
    <row r="2382" spans="5:28" x14ac:dyDescent="0.35">
      <c r="E2382">
        <v>2373</v>
      </c>
      <c r="F2382" t="e">
        <f>INDEX(Stammdaten[D Mitte mit Rinde (mm)],MATCH(Tabelle8[[#This Row],[Rank]],Stammdaten[Rank Verteilung D Mitte mit Rinde],0))</f>
        <v>#N/A</v>
      </c>
      <c r="G2382" t="e">
        <f>VLOOKUP(Tabelle8[[#This Row],[Rank]],Stammdaten[[Rank Verteilung D Mitte mit Rinde]:[Verteilung D Mitte mit Rinde]],2,FALSE)</f>
        <v>#N/A</v>
      </c>
      <c r="L2382">
        <v>2373</v>
      </c>
      <c r="M2382" t="e">
        <f>INDEX(Stammdaten[Abholzigkeit (mm/lfm)],MATCH(Tabelle9[[#This Row],[Rank]],Stammdaten[Rank Verteilung Abholzigkeit],0))</f>
        <v>#N/A</v>
      </c>
      <c r="N2382" t="e">
        <f>VLOOKUP(Tabelle9[[#This Row],[Rank]],Stammdaten[[Rank Verteilung Abholzigkeit]:[Verteilung Abholzigkeit]],2,FALSE)</f>
        <v>#N/A</v>
      </c>
      <c r="S2382">
        <v>2373</v>
      </c>
      <c r="T2382" t="e">
        <f>INDEX(Stammdaten[Krümmung (mm/lfm)],MATCH(Tabelle10[[#This Row],[Rank]],Stammdaten[Rank Verteilung Krümmung],0))</f>
        <v>#N/A</v>
      </c>
      <c r="U2382" t="e">
        <f>VLOOKUP(Tabelle10[[#This Row],[Rank]],Stammdaten[[Rank Verteilung Krümmung]:[Verteilung Krümmung]],2,FALSE)</f>
        <v>#N/A</v>
      </c>
      <c r="Z2382">
        <v>2373</v>
      </c>
      <c r="AA2382" t="e">
        <f>INDEX(Stammdaten[Ovalität (']0,1'])],MATCH(Tabelle1014[[#This Row],[Rank]],Stammdaten[Rank Verteilung Ovalität],0))</f>
        <v>#N/A</v>
      </c>
      <c r="AB2382" t="e">
        <f>VLOOKUP(Tabelle1014[[#This Row],[Rank]],Stammdaten[[Rank Verteilung Ovalität]:[Verteilung Ovalität]],2,FALSE)</f>
        <v>#N/A</v>
      </c>
    </row>
    <row r="2383" spans="5:28" x14ac:dyDescent="0.35">
      <c r="E2383">
        <v>2374</v>
      </c>
      <c r="F2383" t="e">
        <f>INDEX(Stammdaten[D Mitte mit Rinde (mm)],MATCH(Tabelle8[[#This Row],[Rank]],Stammdaten[Rank Verteilung D Mitte mit Rinde],0))</f>
        <v>#N/A</v>
      </c>
      <c r="G2383" t="e">
        <f>VLOOKUP(Tabelle8[[#This Row],[Rank]],Stammdaten[[Rank Verteilung D Mitte mit Rinde]:[Verteilung D Mitte mit Rinde]],2,FALSE)</f>
        <v>#N/A</v>
      </c>
      <c r="L2383">
        <v>2374</v>
      </c>
      <c r="M2383" t="e">
        <f>INDEX(Stammdaten[Abholzigkeit (mm/lfm)],MATCH(Tabelle9[[#This Row],[Rank]],Stammdaten[Rank Verteilung Abholzigkeit],0))</f>
        <v>#N/A</v>
      </c>
      <c r="N2383" t="e">
        <f>VLOOKUP(Tabelle9[[#This Row],[Rank]],Stammdaten[[Rank Verteilung Abholzigkeit]:[Verteilung Abholzigkeit]],2,FALSE)</f>
        <v>#N/A</v>
      </c>
      <c r="S2383">
        <v>2374</v>
      </c>
      <c r="T2383" t="e">
        <f>INDEX(Stammdaten[Krümmung (mm/lfm)],MATCH(Tabelle10[[#This Row],[Rank]],Stammdaten[Rank Verteilung Krümmung],0))</f>
        <v>#N/A</v>
      </c>
      <c r="U2383" t="e">
        <f>VLOOKUP(Tabelle10[[#This Row],[Rank]],Stammdaten[[Rank Verteilung Krümmung]:[Verteilung Krümmung]],2,FALSE)</f>
        <v>#N/A</v>
      </c>
      <c r="Z2383">
        <v>2374</v>
      </c>
      <c r="AA2383" t="e">
        <f>INDEX(Stammdaten[Ovalität (']0,1'])],MATCH(Tabelle1014[[#This Row],[Rank]],Stammdaten[Rank Verteilung Ovalität],0))</f>
        <v>#N/A</v>
      </c>
      <c r="AB2383" t="e">
        <f>VLOOKUP(Tabelle1014[[#This Row],[Rank]],Stammdaten[[Rank Verteilung Ovalität]:[Verteilung Ovalität]],2,FALSE)</f>
        <v>#N/A</v>
      </c>
    </row>
    <row r="2384" spans="5:28" x14ac:dyDescent="0.35">
      <c r="E2384">
        <v>2375</v>
      </c>
      <c r="F2384" t="e">
        <f>INDEX(Stammdaten[D Mitte mit Rinde (mm)],MATCH(Tabelle8[[#This Row],[Rank]],Stammdaten[Rank Verteilung D Mitte mit Rinde],0))</f>
        <v>#N/A</v>
      </c>
      <c r="G2384" t="e">
        <f>VLOOKUP(Tabelle8[[#This Row],[Rank]],Stammdaten[[Rank Verteilung D Mitte mit Rinde]:[Verteilung D Mitte mit Rinde]],2,FALSE)</f>
        <v>#N/A</v>
      </c>
      <c r="L2384">
        <v>2375</v>
      </c>
      <c r="M2384" t="e">
        <f>INDEX(Stammdaten[Abholzigkeit (mm/lfm)],MATCH(Tabelle9[[#This Row],[Rank]],Stammdaten[Rank Verteilung Abholzigkeit],0))</f>
        <v>#N/A</v>
      </c>
      <c r="N2384" t="e">
        <f>VLOOKUP(Tabelle9[[#This Row],[Rank]],Stammdaten[[Rank Verteilung Abholzigkeit]:[Verteilung Abholzigkeit]],2,FALSE)</f>
        <v>#N/A</v>
      </c>
      <c r="S2384">
        <v>2375</v>
      </c>
      <c r="T2384" t="e">
        <f>INDEX(Stammdaten[Krümmung (mm/lfm)],MATCH(Tabelle10[[#This Row],[Rank]],Stammdaten[Rank Verteilung Krümmung],0))</f>
        <v>#N/A</v>
      </c>
      <c r="U2384" t="e">
        <f>VLOOKUP(Tabelle10[[#This Row],[Rank]],Stammdaten[[Rank Verteilung Krümmung]:[Verteilung Krümmung]],2,FALSE)</f>
        <v>#N/A</v>
      </c>
      <c r="Z2384">
        <v>2375</v>
      </c>
      <c r="AA2384" t="e">
        <f>INDEX(Stammdaten[Ovalität (']0,1'])],MATCH(Tabelle1014[[#This Row],[Rank]],Stammdaten[Rank Verteilung Ovalität],0))</f>
        <v>#N/A</v>
      </c>
      <c r="AB2384" t="e">
        <f>VLOOKUP(Tabelle1014[[#This Row],[Rank]],Stammdaten[[Rank Verteilung Ovalität]:[Verteilung Ovalität]],2,FALSE)</f>
        <v>#N/A</v>
      </c>
    </row>
    <row r="2385" spans="5:28" x14ac:dyDescent="0.35">
      <c r="E2385">
        <v>2376</v>
      </c>
      <c r="F2385" t="e">
        <f>INDEX(Stammdaten[D Mitte mit Rinde (mm)],MATCH(Tabelle8[[#This Row],[Rank]],Stammdaten[Rank Verteilung D Mitte mit Rinde],0))</f>
        <v>#N/A</v>
      </c>
      <c r="G2385" t="e">
        <f>VLOOKUP(Tabelle8[[#This Row],[Rank]],Stammdaten[[Rank Verteilung D Mitte mit Rinde]:[Verteilung D Mitte mit Rinde]],2,FALSE)</f>
        <v>#N/A</v>
      </c>
      <c r="L2385">
        <v>2376</v>
      </c>
      <c r="M2385" t="e">
        <f>INDEX(Stammdaten[Abholzigkeit (mm/lfm)],MATCH(Tabelle9[[#This Row],[Rank]],Stammdaten[Rank Verteilung Abholzigkeit],0))</f>
        <v>#N/A</v>
      </c>
      <c r="N2385" t="e">
        <f>VLOOKUP(Tabelle9[[#This Row],[Rank]],Stammdaten[[Rank Verteilung Abholzigkeit]:[Verteilung Abholzigkeit]],2,FALSE)</f>
        <v>#N/A</v>
      </c>
      <c r="S2385">
        <v>2376</v>
      </c>
      <c r="T2385" t="e">
        <f>INDEX(Stammdaten[Krümmung (mm/lfm)],MATCH(Tabelle10[[#This Row],[Rank]],Stammdaten[Rank Verteilung Krümmung],0))</f>
        <v>#N/A</v>
      </c>
      <c r="U2385" t="e">
        <f>VLOOKUP(Tabelle10[[#This Row],[Rank]],Stammdaten[[Rank Verteilung Krümmung]:[Verteilung Krümmung]],2,FALSE)</f>
        <v>#N/A</v>
      </c>
      <c r="Z2385">
        <v>2376</v>
      </c>
      <c r="AA2385" t="e">
        <f>INDEX(Stammdaten[Ovalität (']0,1'])],MATCH(Tabelle1014[[#This Row],[Rank]],Stammdaten[Rank Verteilung Ovalität],0))</f>
        <v>#N/A</v>
      </c>
      <c r="AB2385" t="e">
        <f>VLOOKUP(Tabelle1014[[#This Row],[Rank]],Stammdaten[[Rank Verteilung Ovalität]:[Verteilung Ovalität]],2,FALSE)</f>
        <v>#N/A</v>
      </c>
    </row>
    <row r="2386" spans="5:28" x14ac:dyDescent="0.35">
      <c r="E2386">
        <v>2377</v>
      </c>
      <c r="F2386" t="e">
        <f>INDEX(Stammdaten[D Mitte mit Rinde (mm)],MATCH(Tabelle8[[#This Row],[Rank]],Stammdaten[Rank Verteilung D Mitte mit Rinde],0))</f>
        <v>#N/A</v>
      </c>
      <c r="G2386" t="e">
        <f>VLOOKUP(Tabelle8[[#This Row],[Rank]],Stammdaten[[Rank Verteilung D Mitte mit Rinde]:[Verteilung D Mitte mit Rinde]],2,FALSE)</f>
        <v>#N/A</v>
      </c>
      <c r="L2386">
        <v>2377</v>
      </c>
      <c r="M2386" t="e">
        <f>INDEX(Stammdaten[Abholzigkeit (mm/lfm)],MATCH(Tabelle9[[#This Row],[Rank]],Stammdaten[Rank Verteilung Abholzigkeit],0))</f>
        <v>#N/A</v>
      </c>
      <c r="N2386" t="e">
        <f>VLOOKUP(Tabelle9[[#This Row],[Rank]],Stammdaten[[Rank Verteilung Abholzigkeit]:[Verteilung Abholzigkeit]],2,FALSE)</f>
        <v>#N/A</v>
      </c>
      <c r="S2386">
        <v>2377</v>
      </c>
      <c r="T2386" t="e">
        <f>INDEX(Stammdaten[Krümmung (mm/lfm)],MATCH(Tabelle10[[#This Row],[Rank]],Stammdaten[Rank Verteilung Krümmung],0))</f>
        <v>#N/A</v>
      </c>
      <c r="U2386" t="e">
        <f>VLOOKUP(Tabelle10[[#This Row],[Rank]],Stammdaten[[Rank Verteilung Krümmung]:[Verteilung Krümmung]],2,FALSE)</f>
        <v>#N/A</v>
      </c>
      <c r="Z2386">
        <v>2377</v>
      </c>
      <c r="AA2386" t="e">
        <f>INDEX(Stammdaten[Ovalität (']0,1'])],MATCH(Tabelle1014[[#This Row],[Rank]],Stammdaten[Rank Verteilung Ovalität],0))</f>
        <v>#N/A</v>
      </c>
      <c r="AB2386" t="e">
        <f>VLOOKUP(Tabelle1014[[#This Row],[Rank]],Stammdaten[[Rank Verteilung Ovalität]:[Verteilung Ovalität]],2,FALSE)</f>
        <v>#N/A</v>
      </c>
    </row>
    <row r="2387" spans="5:28" x14ac:dyDescent="0.35">
      <c r="E2387">
        <v>2378</v>
      </c>
      <c r="F2387" t="e">
        <f>INDEX(Stammdaten[D Mitte mit Rinde (mm)],MATCH(Tabelle8[[#This Row],[Rank]],Stammdaten[Rank Verteilung D Mitte mit Rinde],0))</f>
        <v>#N/A</v>
      </c>
      <c r="G2387" t="e">
        <f>VLOOKUP(Tabelle8[[#This Row],[Rank]],Stammdaten[[Rank Verteilung D Mitte mit Rinde]:[Verteilung D Mitte mit Rinde]],2,FALSE)</f>
        <v>#N/A</v>
      </c>
      <c r="L2387">
        <v>2378</v>
      </c>
      <c r="M2387" t="e">
        <f>INDEX(Stammdaten[Abholzigkeit (mm/lfm)],MATCH(Tabelle9[[#This Row],[Rank]],Stammdaten[Rank Verteilung Abholzigkeit],0))</f>
        <v>#N/A</v>
      </c>
      <c r="N2387" t="e">
        <f>VLOOKUP(Tabelle9[[#This Row],[Rank]],Stammdaten[[Rank Verteilung Abholzigkeit]:[Verteilung Abholzigkeit]],2,FALSE)</f>
        <v>#N/A</v>
      </c>
      <c r="S2387">
        <v>2378</v>
      </c>
      <c r="T2387" t="e">
        <f>INDEX(Stammdaten[Krümmung (mm/lfm)],MATCH(Tabelle10[[#This Row],[Rank]],Stammdaten[Rank Verteilung Krümmung],0))</f>
        <v>#N/A</v>
      </c>
      <c r="U2387" t="e">
        <f>VLOOKUP(Tabelle10[[#This Row],[Rank]],Stammdaten[[Rank Verteilung Krümmung]:[Verteilung Krümmung]],2,FALSE)</f>
        <v>#N/A</v>
      </c>
      <c r="Z2387">
        <v>2378</v>
      </c>
      <c r="AA2387" t="e">
        <f>INDEX(Stammdaten[Ovalität (']0,1'])],MATCH(Tabelle1014[[#This Row],[Rank]],Stammdaten[Rank Verteilung Ovalität],0))</f>
        <v>#N/A</v>
      </c>
      <c r="AB2387" t="e">
        <f>VLOOKUP(Tabelle1014[[#This Row],[Rank]],Stammdaten[[Rank Verteilung Ovalität]:[Verteilung Ovalität]],2,FALSE)</f>
        <v>#N/A</v>
      </c>
    </row>
    <row r="2388" spans="5:28" x14ac:dyDescent="0.35">
      <c r="E2388">
        <v>2379</v>
      </c>
      <c r="F2388" t="e">
        <f>INDEX(Stammdaten[D Mitte mit Rinde (mm)],MATCH(Tabelle8[[#This Row],[Rank]],Stammdaten[Rank Verteilung D Mitte mit Rinde],0))</f>
        <v>#N/A</v>
      </c>
      <c r="G2388" t="e">
        <f>VLOOKUP(Tabelle8[[#This Row],[Rank]],Stammdaten[[Rank Verteilung D Mitte mit Rinde]:[Verteilung D Mitte mit Rinde]],2,FALSE)</f>
        <v>#N/A</v>
      </c>
      <c r="L2388">
        <v>2379</v>
      </c>
      <c r="M2388" t="e">
        <f>INDEX(Stammdaten[Abholzigkeit (mm/lfm)],MATCH(Tabelle9[[#This Row],[Rank]],Stammdaten[Rank Verteilung Abholzigkeit],0))</f>
        <v>#N/A</v>
      </c>
      <c r="N2388" t="e">
        <f>VLOOKUP(Tabelle9[[#This Row],[Rank]],Stammdaten[[Rank Verteilung Abholzigkeit]:[Verteilung Abholzigkeit]],2,FALSE)</f>
        <v>#N/A</v>
      </c>
      <c r="S2388">
        <v>2379</v>
      </c>
      <c r="T2388" t="e">
        <f>INDEX(Stammdaten[Krümmung (mm/lfm)],MATCH(Tabelle10[[#This Row],[Rank]],Stammdaten[Rank Verteilung Krümmung],0))</f>
        <v>#N/A</v>
      </c>
      <c r="U2388" t="e">
        <f>VLOOKUP(Tabelle10[[#This Row],[Rank]],Stammdaten[[Rank Verteilung Krümmung]:[Verteilung Krümmung]],2,FALSE)</f>
        <v>#N/A</v>
      </c>
      <c r="Z2388">
        <v>2379</v>
      </c>
      <c r="AA2388" t="e">
        <f>INDEX(Stammdaten[Ovalität (']0,1'])],MATCH(Tabelle1014[[#This Row],[Rank]],Stammdaten[Rank Verteilung Ovalität],0))</f>
        <v>#N/A</v>
      </c>
      <c r="AB2388" t="e">
        <f>VLOOKUP(Tabelle1014[[#This Row],[Rank]],Stammdaten[[Rank Verteilung Ovalität]:[Verteilung Ovalität]],2,FALSE)</f>
        <v>#N/A</v>
      </c>
    </row>
    <row r="2389" spans="5:28" x14ac:dyDescent="0.35">
      <c r="E2389">
        <v>2380</v>
      </c>
      <c r="F2389" t="e">
        <f>INDEX(Stammdaten[D Mitte mit Rinde (mm)],MATCH(Tabelle8[[#This Row],[Rank]],Stammdaten[Rank Verteilung D Mitte mit Rinde],0))</f>
        <v>#N/A</v>
      </c>
      <c r="G2389" t="e">
        <f>VLOOKUP(Tabelle8[[#This Row],[Rank]],Stammdaten[[Rank Verteilung D Mitte mit Rinde]:[Verteilung D Mitte mit Rinde]],2,FALSE)</f>
        <v>#N/A</v>
      </c>
      <c r="L2389">
        <v>2380</v>
      </c>
      <c r="M2389" t="e">
        <f>INDEX(Stammdaten[Abholzigkeit (mm/lfm)],MATCH(Tabelle9[[#This Row],[Rank]],Stammdaten[Rank Verteilung Abholzigkeit],0))</f>
        <v>#N/A</v>
      </c>
      <c r="N2389" t="e">
        <f>VLOOKUP(Tabelle9[[#This Row],[Rank]],Stammdaten[[Rank Verteilung Abholzigkeit]:[Verteilung Abholzigkeit]],2,FALSE)</f>
        <v>#N/A</v>
      </c>
      <c r="S2389">
        <v>2380</v>
      </c>
      <c r="T2389" t="e">
        <f>INDEX(Stammdaten[Krümmung (mm/lfm)],MATCH(Tabelle10[[#This Row],[Rank]],Stammdaten[Rank Verteilung Krümmung],0))</f>
        <v>#N/A</v>
      </c>
      <c r="U2389" t="e">
        <f>VLOOKUP(Tabelle10[[#This Row],[Rank]],Stammdaten[[Rank Verteilung Krümmung]:[Verteilung Krümmung]],2,FALSE)</f>
        <v>#N/A</v>
      </c>
      <c r="Z2389">
        <v>2380</v>
      </c>
      <c r="AA2389" t="e">
        <f>INDEX(Stammdaten[Ovalität (']0,1'])],MATCH(Tabelle1014[[#This Row],[Rank]],Stammdaten[Rank Verteilung Ovalität],0))</f>
        <v>#N/A</v>
      </c>
      <c r="AB2389" t="e">
        <f>VLOOKUP(Tabelle1014[[#This Row],[Rank]],Stammdaten[[Rank Verteilung Ovalität]:[Verteilung Ovalität]],2,FALSE)</f>
        <v>#N/A</v>
      </c>
    </row>
    <row r="2390" spans="5:28" x14ac:dyDescent="0.35">
      <c r="E2390">
        <v>2381</v>
      </c>
      <c r="F2390" t="e">
        <f>INDEX(Stammdaten[D Mitte mit Rinde (mm)],MATCH(Tabelle8[[#This Row],[Rank]],Stammdaten[Rank Verteilung D Mitte mit Rinde],0))</f>
        <v>#N/A</v>
      </c>
      <c r="G2390" t="e">
        <f>VLOOKUP(Tabelle8[[#This Row],[Rank]],Stammdaten[[Rank Verteilung D Mitte mit Rinde]:[Verteilung D Mitte mit Rinde]],2,FALSE)</f>
        <v>#N/A</v>
      </c>
      <c r="L2390">
        <v>2381</v>
      </c>
      <c r="M2390" t="e">
        <f>INDEX(Stammdaten[Abholzigkeit (mm/lfm)],MATCH(Tabelle9[[#This Row],[Rank]],Stammdaten[Rank Verteilung Abholzigkeit],0))</f>
        <v>#N/A</v>
      </c>
      <c r="N2390" t="e">
        <f>VLOOKUP(Tabelle9[[#This Row],[Rank]],Stammdaten[[Rank Verteilung Abholzigkeit]:[Verteilung Abholzigkeit]],2,FALSE)</f>
        <v>#N/A</v>
      </c>
      <c r="S2390">
        <v>2381</v>
      </c>
      <c r="T2390" t="e">
        <f>INDEX(Stammdaten[Krümmung (mm/lfm)],MATCH(Tabelle10[[#This Row],[Rank]],Stammdaten[Rank Verteilung Krümmung],0))</f>
        <v>#N/A</v>
      </c>
      <c r="U2390" t="e">
        <f>VLOOKUP(Tabelle10[[#This Row],[Rank]],Stammdaten[[Rank Verteilung Krümmung]:[Verteilung Krümmung]],2,FALSE)</f>
        <v>#N/A</v>
      </c>
      <c r="Z2390">
        <v>2381</v>
      </c>
      <c r="AA2390" t="e">
        <f>INDEX(Stammdaten[Ovalität (']0,1'])],MATCH(Tabelle1014[[#This Row],[Rank]],Stammdaten[Rank Verteilung Ovalität],0))</f>
        <v>#N/A</v>
      </c>
      <c r="AB2390" t="e">
        <f>VLOOKUP(Tabelle1014[[#This Row],[Rank]],Stammdaten[[Rank Verteilung Ovalität]:[Verteilung Ovalität]],2,FALSE)</f>
        <v>#N/A</v>
      </c>
    </row>
    <row r="2391" spans="5:28" x14ac:dyDescent="0.35">
      <c r="E2391">
        <v>2382</v>
      </c>
      <c r="F2391" t="e">
        <f>INDEX(Stammdaten[D Mitte mit Rinde (mm)],MATCH(Tabelle8[[#This Row],[Rank]],Stammdaten[Rank Verteilung D Mitte mit Rinde],0))</f>
        <v>#N/A</v>
      </c>
      <c r="G2391" t="e">
        <f>VLOOKUP(Tabelle8[[#This Row],[Rank]],Stammdaten[[Rank Verteilung D Mitte mit Rinde]:[Verteilung D Mitte mit Rinde]],2,FALSE)</f>
        <v>#N/A</v>
      </c>
      <c r="L2391">
        <v>2382</v>
      </c>
      <c r="M2391" t="e">
        <f>INDEX(Stammdaten[Abholzigkeit (mm/lfm)],MATCH(Tabelle9[[#This Row],[Rank]],Stammdaten[Rank Verteilung Abholzigkeit],0))</f>
        <v>#N/A</v>
      </c>
      <c r="N2391" t="e">
        <f>VLOOKUP(Tabelle9[[#This Row],[Rank]],Stammdaten[[Rank Verteilung Abholzigkeit]:[Verteilung Abholzigkeit]],2,FALSE)</f>
        <v>#N/A</v>
      </c>
      <c r="S2391">
        <v>2382</v>
      </c>
      <c r="T2391" t="e">
        <f>INDEX(Stammdaten[Krümmung (mm/lfm)],MATCH(Tabelle10[[#This Row],[Rank]],Stammdaten[Rank Verteilung Krümmung],0))</f>
        <v>#N/A</v>
      </c>
      <c r="U2391" t="e">
        <f>VLOOKUP(Tabelle10[[#This Row],[Rank]],Stammdaten[[Rank Verteilung Krümmung]:[Verteilung Krümmung]],2,FALSE)</f>
        <v>#N/A</v>
      </c>
      <c r="Z2391">
        <v>2382</v>
      </c>
      <c r="AA2391" t="e">
        <f>INDEX(Stammdaten[Ovalität (']0,1'])],MATCH(Tabelle1014[[#This Row],[Rank]],Stammdaten[Rank Verteilung Ovalität],0))</f>
        <v>#N/A</v>
      </c>
      <c r="AB2391" t="e">
        <f>VLOOKUP(Tabelle1014[[#This Row],[Rank]],Stammdaten[[Rank Verteilung Ovalität]:[Verteilung Ovalität]],2,FALSE)</f>
        <v>#N/A</v>
      </c>
    </row>
    <row r="2392" spans="5:28" x14ac:dyDescent="0.35">
      <c r="E2392">
        <v>2383</v>
      </c>
      <c r="F2392" t="e">
        <f>INDEX(Stammdaten[D Mitte mit Rinde (mm)],MATCH(Tabelle8[[#This Row],[Rank]],Stammdaten[Rank Verteilung D Mitte mit Rinde],0))</f>
        <v>#N/A</v>
      </c>
      <c r="G2392" t="e">
        <f>VLOOKUP(Tabelle8[[#This Row],[Rank]],Stammdaten[[Rank Verteilung D Mitte mit Rinde]:[Verteilung D Mitte mit Rinde]],2,FALSE)</f>
        <v>#N/A</v>
      </c>
      <c r="L2392">
        <v>2383</v>
      </c>
      <c r="M2392" t="e">
        <f>INDEX(Stammdaten[Abholzigkeit (mm/lfm)],MATCH(Tabelle9[[#This Row],[Rank]],Stammdaten[Rank Verteilung Abholzigkeit],0))</f>
        <v>#N/A</v>
      </c>
      <c r="N2392" t="e">
        <f>VLOOKUP(Tabelle9[[#This Row],[Rank]],Stammdaten[[Rank Verteilung Abholzigkeit]:[Verteilung Abholzigkeit]],2,FALSE)</f>
        <v>#N/A</v>
      </c>
      <c r="S2392">
        <v>2383</v>
      </c>
      <c r="T2392" t="e">
        <f>INDEX(Stammdaten[Krümmung (mm/lfm)],MATCH(Tabelle10[[#This Row],[Rank]],Stammdaten[Rank Verteilung Krümmung],0))</f>
        <v>#N/A</v>
      </c>
      <c r="U2392" t="e">
        <f>VLOOKUP(Tabelle10[[#This Row],[Rank]],Stammdaten[[Rank Verteilung Krümmung]:[Verteilung Krümmung]],2,FALSE)</f>
        <v>#N/A</v>
      </c>
      <c r="Z2392">
        <v>2383</v>
      </c>
      <c r="AA2392" t="e">
        <f>INDEX(Stammdaten[Ovalität (']0,1'])],MATCH(Tabelle1014[[#This Row],[Rank]],Stammdaten[Rank Verteilung Ovalität],0))</f>
        <v>#N/A</v>
      </c>
      <c r="AB2392" t="e">
        <f>VLOOKUP(Tabelle1014[[#This Row],[Rank]],Stammdaten[[Rank Verteilung Ovalität]:[Verteilung Ovalität]],2,FALSE)</f>
        <v>#N/A</v>
      </c>
    </row>
    <row r="2393" spans="5:28" x14ac:dyDescent="0.35">
      <c r="E2393">
        <v>2384</v>
      </c>
      <c r="F2393" t="e">
        <f>INDEX(Stammdaten[D Mitte mit Rinde (mm)],MATCH(Tabelle8[[#This Row],[Rank]],Stammdaten[Rank Verteilung D Mitte mit Rinde],0))</f>
        <v>#N/A</v>
      </c>
      <c r="G2393" t="e">
        <f>VLOOKUP(Tabelle8[[#This Row],[Rank]],Stammdaten[[Rank Verteilung D Mitte mit Rinde]:[Verteilung D Mitte mit Rinde]],2,FALSE)</f>
        <v>#N/A</v>
      </c>
      <c r="L2393">
        <v>2384</v>
      </c>
      <c r="M2393" t="e">
        <f>INDEX(Stammdaten[Abholzigkeit (mm/lfm)],MATCH(Tabelle9[[#This Row],[Rank]],Stammdaten[Rank Verteilung Abholzigkeit],0))</f>
        <v>#N/A</v>
      </c>
      <c r="N2393" t="e">
        <f>VLOOKUP(Tabelle9[[#This Row],[Rank]],Stammdaten[[Rank Verteilung Abholzigkeit]:[Verteilung Abholzigkeit]],2,FALSE)</f>
        <v>#N/A</v>
      </c>
      <c r="S2393">
        <v>2384</v>
      </c>
      <c r="T2393" t="e">
        <f>INDEX(Stammdaten[Krümmung (mm/lfm)],MATCH(Tabelle10[[#This Row],[Rank]],Stammdaten[Rank Verteilung Krümmung],0))</f>
        <v>#N/A</v>
      </c>
      <c r="U2393" t="e">
        <f>VLOOKUP(Tabelle10[[#This Row],[Rank]],Stammdaten[[Rank Verteilung Krümmung]:[Verteilung Krümmung]],2,FALSE)</f>
        <v>#N/A</v>
      </c>
      <c r="Z2393">
        <v>2384</v>
      </c>
      <c r="AA2393" t="e">
        <f>INDEX(Stammdaten[Ovalität (']0,1'])],MATCH(Tabelle1014[[#This Row],[Rank]],Stammdaten[Rank Verteilung Ovalität],0))</f>
        <v>#N/A</v>
      </c>
      <c r="AB2393" t="e">
        <f>VLOOKUP(Tabelle1014[[#This Row],[Rank]],Stammdaten[[Rank Verteilung Ovalität]:[Verteilung Ovalität]],2,FALSE)</f>
        <v>#N/A</v>
      </c>
    </row>
    <row r="2394" spans="5:28" x14ac:dyDescent="0.35">
      <c r="E2394">
        <v>2385</v>
      </c>
      <c r="F2394" t="e">
        <f>INDEX(Stammdaten[D Mitte mit Rinde (mm)],MATCH(Tabelle8[[#This Row],[Rank]],Stammdaten[Rank Verteilung D Mitte mit Rinde],0))</f>
        <v>#N/A</v>
      </c>
      <c r="G2394" t="e">
        <f>VLOOKUP(Tabelle8[[#This Row],[Rank]],Stammdaten[[Rank Verteilung D Mitte mit Rinde]:[Verteilung D Mitte mit Rinde]],2,FALSE)</f>
        <v>#N/A</v>
      </c>
      <c r="L2394">
        <v>2385</v>
      </c>
      <c r="M2394" t="e">
        <f>INDEX(Stammdaten[Abholzigkeit (mm/lfm)],MATCH(Tabelle9[[#This Row],[Rank]],Stammdaten[Rank Verteilung Abholzigkeit],0))</f>
        <v>#N/A</v>
      </c>
      <c r="N2394" t="e">
        <f>VLOOKUP(Tabelle9[[#This Row],[Rank]],Stammdaten[[Rank Verteilung Abholzigkeit]:[Verteilung Abholzigkeit]],2,FALSE)</f>
        <v>#N/A</v>
      </c>
      <c r="S2394">
        <v>2385</v>
      </c>
      <c r="T2394" t="e">
        <f>INDEX(Stammdaten[Krümmung (mm/lfm)],MATCH(Tabelle10[[#This Row],[Rank]],Stammdaten[Rank Verteilung Krümmung],0))</f>
        <v>#N/A</v>
      </c>
      <c r="U2394" t="e">
        <f>VLOOKUP(Tabelle10[[#This Row],[Rank]],Stammdaten[[Rank Verteilung Krümmung]:[Verteilung Krümmung]],2,FALSE)</f>
        <v>#N/A</v>
      </c>
      <c r="Z2394">
        <v>2385</v>
      </c>
      <c r="AA2394" t="e">
        <f>INDEX(Stammdaten[Ovalität (']0,1'])],MATCH(Tabelle1014[[#This Row],[Rank]],Stammdaten[Rank Verteilung Ovalität],0))</f>
        <v>#N/A</v>
      </c>
      <c r="AB2394" t="e">
        <f>VLOOKUP(Tabelle1014[[#This Row],[Rank]],Stammdaten[[Rank Verteilung Ovalität]:[Verteilung Ovalität]],2,FALSE)</f>
        <v>#N/A</v>
      </c>
    </row>
    <row r="2395" spans="5:28" x14ac:dyDescent="0.35">
      <c r="E2395">
        <v>2386</v>
      </c>
      <c r="F2395" t="e">
        <f>INDEX(Stammdaten[D Mitte mit Rinde (mm)],MATCH(Tabelle8[[#This Row],[Rank]],Stammdaten[Rank Verteilung D Mitte mit Rinde],0))</f>
        <v>#N/A</v>
      </c>
      <c r="G2395" t="e">
        <f>VLOOKUP(Tabelle8[[#This Row],[Rank]],Stammdaten[[Rank Verteilung D Mitte mit Rinde]:[Verteilung D Mitte mit Rinde]],2,FALSE)</f>
        <v>#N/A</v>
      </c>
      <c r="L2395">
        <v>2386</v>
      </c>
      <c r="M2395" t="e">
        <f>INDEX(Stammdaten[Abholzigkeit (mm/lfm)],MATCH(Tabelle9[[#This Row],[Rank]],Stammdaten[Rank Verteilung Abholzigkeit],0))</f>
        <v>#N/A</v>
      </c>
      <c r="N2395" t="e">
        <f>VLOOKUP(Tabelle9[[#This Row],[Rank]],Stammdaten[[Rank Verteilung Abholzigkeit]:[Verteilung Abholzigkeit]],2,FALSE)</f>
        <v>#N/A</v>
      </c>
      <c r="S2395">
        <v>2386</v>
      </c>
      <c r="T2395" t="e">
        <f>INDEX(Stammdaten[Krümmung (mm/lfm)],MATCH(Tabelle10[[#This Row],[Rank]],Stammdaten[Rank Verteilung Krümmung],0))</f>
        <v>#N/A</v>
      </c>
      <c r="U2395" t="e">
        <f>VLOOKUP(Tabelle10[[#This Row],[Rank]],Stammdaten[[Rank Verteilung Krümmung]:[Verteilung Krümmung]],2,FALSE)</f>
        <v>#N/A</v>
      </c>
      <c r="Z2395">
        <v>2386</v>
      </c>
      <c r="AA2395" t="e">
        <f>INDEX(Stammdaten[Ovalität (']0,1'])],MATCH(Tabelle1014[[#This Row],[Rank]],Stammdaten[Rank Verteilung Ovalität],0))</f>
        <v>#N/A</v>
      </c>
      <c r="AB2395" t="e">
        <f>VLOOKUP(Tabelle1014[[#This Row],[Rank]],Stammdaten[[Rank Verteilung Ovalität]:[Verteilung Ovalität]],2,FALSE)</f>
        <v>#N/A</v>
      </c>
    </row>
    <row r="2396" spans="5:28" x14ac:dyDescent="0.35">
      <c r="E2396">
        <v>2387</v>
      </c>
      <c r="F2396" t="e">
        <f>INDEX(Stammdaten[D Mitte mit Rinde (mm)],MATCH(Tabelle8[[#This Row],[Rank]],Stammdaten[Rank Verteilung D Mitte mit Rinde],0))</f>
        <v>#N/A</v>
      </c>
      <c r="G2396" t="e">
        <f>VLOOKUP(Tabelle8[[#This Row],[Rank]],Stammdaten[[Rank Verteilung D Mitte mit Rinde]:[Verteilung D Mitte mit Rinde]],2,FALSE)</f>
        <v>#N/A</v>
      </c>
      <c r="L2396">
        <v>2387</v>
      </c>
      <c r="M2396" t="e">
        <f>INDEX(Stammdaten[Abholzigkeit (mm/lfm)],MATCH(Tabelle9[[#This Row],[Rank]],Stammdaten[Rank Verteilung Abholzigkeit],0))</f>
        <v>#N/A</v>
      </c>
      <c r="N2396" t="e">
        <f>VLOOKUP(Tabelle9[[#This Row],[Rank]],Stammdaten[[Rank Verteilung Abholzigkeit]:[Verteilung Abholzigkeit]],2,FALSE)</f>
        <v>#N/A</v>
      </c>
      <c r="S2396">
        <v>2387</v>
      </c>
      <c r="T2396" t="e">
        <f>INDEX(Stammdaten[Krümmung (mm/lfm)],MATCH(Tabelle10[[#This Row],[Rank]],Stammdaten[Rank Verteilung Krümmung],0))</f>
        <v>#N/A</v>
      </c>
      <c r="U2396" t="e">
        <f>VLOOKUP(Tabelle10[[#This Row],[Rank]],Stammdaten[[Rank Verteilung Krümmung]:[Verteilung Krümmung]],2,FALSE)</f>
        <v>#N/A</v>
      </c>
      <c r="Z2396">
        <v>2387</v>
      </c>
      <c r="AA2396" t="e">
        <f>INDEX(Stammdaten[Ovalität (']0,1'])],MATCH(Tabelle1014[[#This Row],[Rank]],Stammdaten[Rank Verteilung Ovalität],0))</f>
        <v>#N/A</v>
      </c>
      <c r="AB2396" t="e">
        <f>VLOOKUP(Tabelle1014[[#This Row],[Rank]],Stammdaten[[Rank Verteilung Ovalität]:[Verteilung Ovalität]],2,FALSE)</f>
        <v>#N/A</v>
      </c>
    </row>
    <row r="2397" spans="5:28" x14ac:dyDescent="0.35">
      <c r="E2397">
        <v>2388</v>
      </c>
      <c r="F2397" t="e">
        <f>INDEX(Stammdaten[D Mitte mit Rinde (mm)],MATCH(Tabelle8[[#This Row],[Rank]],Stammdaten[Rank Verteilung D Mitte mit Rinde],0))</f>
        <v>#N/A</v>
      </c>
      <c r="G2397" t="e">
        <f>VLOOKUP(Tabelle8[[#This Row],[Rank]],Stammdaten[[Rank Verteilung D Mitte mit Rinde]:[Verteilung D Mitte mit Rinde]],2,FALSE)</f>
        <v>#N/A</v>
      </c>
      <c r="L2397">
        <v>2388</v>
      </c>
      <c r="M2397" t="e">
        <f>INDEX(Stammdaten[Abholzigkeit (mm/lfm)],MATCH(Tabelle9[[#This Row],[Rank]],Stammdaten[Rank Verteilung Abholzigkeit],0))</f>
        <v>#N/A</v>
      </c>
      <c r="N2397" t="e">
        <f>VLOOKUP(Tabelle9[[#This Row],[Rank]],Stammdaten[[Rank Verteilung Abholzigkeit]:[Verteilung Abholzigkeit]],2,FALSE)</f>
        <v>#N/A</v>
      </c>
      <c r="S2397">
        <v>2388</v>
      </c>
      <c r="T2397" t="e">
        <f>INDEX(Stammdaten[Krümmung (mm/lfm)],MATCH(Tabelle10[[#This Row],[Rank]],Stammdaten[Rank Verteilung Krümmung],0))</f>
        <v>#N/A</v>
      </c>
      <c r="U2397" t="e">
        <f>VLOOKUP(Tabelle10[[#This Row],[Rank]],Stammdaten[[Rank Verteilung Krümmung]:[Verteilung Krümmung]],2,FALSE)</f>
        <v>#N/A</v>
      </c>
      <c r="Z2397">
        <v>2388</v>
      </c>
      <c r="AA2397" t="e">
        <f>INDEX(Stammdaten[Ovalität (']0,1'])],MATCH(Tabelle1014[[#This Row],[Rank]],Stammdaten[Rank Verteilung Ovalität],0))</f>
        <v>#N/A</v>
      </c>
      <c r="AB2397" t="e">
        <f>VLOOKUP(Tabelle1014[[#This Row],[Rank]],Stammdaten[[Rank Verteilung Ovalität]:[Verteilung Ovalität]],2,FALSE)</f>
        <v>#N/A</v>
      </c>
    </row>
    <row r="2398" spans="5:28" x14ac:dyDescent="0.35">
      <c r="E2398">
        <v>2389</v>
      </c>
      <c r="F2398" t="e">
        <f>INDEX(Stammdaten[D Mitte mit Rinde (mm)],MATCH(Tabelle8[[#This Row],[Rank]],Stammdaten[Rank Verteilung D Mitte mit Rinde],0))</f>
        <v>#N/A</v>
      </c>
      <c r="G2398" t="e">
        <f>VLOOKUP(Tabelle8[[#This Row],[Rank]],Stammdaten[[Rank Verteilung D Mitte mit Rinde]:[Verteilung D Mitte mit Rinde]],2,FALSE)</f>
        <v>#N/A</v>
      </c>
      <c r="L2398">
        <v>2389</v>
      </c>
      <c r="M2398" t="e">
        <f>INDEX(Stammdaten[Abholzigkeit (mm/lfm)],MATCH(Tabelle9[[#This Row],[Rank]],Stammdaten[Rank Verteilung Abholzigkeit],0))</f>
        <v>#N/A</v>
      </c>
      <c r="N2398" t="e">
        <f>VLOOKUP(Tabelle9[[#This Row],[Rank]],Stammdaten[[Rank Verteilung Abholzigkeit]:[Verteilung Abholzigkeit]],2,FALSE)</f>
        <v>#N/A</v>
      </c>
      <c r="S2398">
        <v>2389</v>
      </c>
      <c r="T2398" t="e">
        <f>INDEX(Stammdaten[Krümmung (mm/lfm)],MATCH(Tabelle10[[#This Row],[Rank]],Stammdaten[Rank Verteilung Krümmung],0))</f>
        <v>#N/A</v>
      </c>
      <c r="U2398" t="e">
        <f>VLOOKUP(Tabelle10[[#This Row],[Rank]],Stammdaten[[Rank Verteilung Krümmung]:[Verteilung Krümmung]],2,FALSE)</f>
        <v>#N/A</v>
      </c>
      <c r="Z2398">
        <v>2389</v>
      </c>
      <c r="AA2398" t="e">
        <f>INDEX(Stammdaten[Ovalität (']0,1'])],MATCH(Tabelle1014[[#This Row],[Rank]],Stammdaten[Rank Verteilung Ovalität],0))</f>
        <v>#N/A</v>
      </c>
      <c r="AB2398" t="e">
        <f>VLOOKUP(Tabelle1014[[#This Row],[Rank]],Stammdaten[[Rank Verteilung Ovalität]:[Verteilung Ovalität]],2,FALSE)</f>
        <v>#N/A</v>
      </c>
    </row>
    <row r="2399" spans="5:28" x14ac:dyDescent="0.35">
      <c r="E2399">
        <v>2390</v>
      </c>
      <c r="F2399" t="e">
        <f>INDEX(Stammdaten[D Mitte mit Rinde (mm)],MATCH(Tabelle8[[#This Row],[Rank]],Stammdaten[Rank Verteilung D Mitte mit Rinde],0))</f>
        <v>#N/A</v>
      </c>
      <c r="G2399" t="e">
        <f>VLOOKUP(Tabelle8[[#This Row],[Rank]],Stammdaten[[Rank Verteilung D Mitte mit Rinde]:[Verteilung D Mitte mit Rinde]],2,FALSE)</f>
        <v>#N/A</v>
      </c>
      <c r="L2399">
        <v>2390</v>
      </c>
      <c r="M2399" t="e">
        <f>INDEX(Stammdaten[Abholzigkeit (mm/lfm)],MATCH(Tabelle9[[#This Row],[Rank]],Stammdaten[Rank Verteilung Abholzigkeit],0))</f>
        <v>#N/A</v>
      </c>
      <c r="N2399" t="e">
        <f>VLOOKUP(Tabelle9[[#This Row],[Rank]],Stammdaten[[Rank Verteilung Abholzigkeit]:[Verteilung Abholzigkeit]],2,FALSE)</f>
        <v>#N/A</v>
      </c>
      <c r="S2399">
        <v>2390</v>
      </c>
      <c r="T2399" t="e">
        <f>INDEX(Stammdaten[Krümmung (mm/lfm)],MATCH(Tabelle10[[#This Row],[Rank]],Stammdaten[Rank Verteilung Krümmung],0))</f>
        <v>#N/A</v>
      </c>
      <c r="U2399" t="e">
        <f>VLOOKUP(Tabelle10[[#This Row],[Rank]],Stammdaten[[Rank Verteilung Krümmung]:[Verteilung Krümmung]],2,FALSE)</f>
        <v>#N/A</v>
      </c>
      <c r="Z2399">
        <v>2390</v>
      </c>
      <c r="AA2399" t="e">
        <f>INDEX(Stammdaten[Ovalität (']0,1'])],MATCH(Tabelle1014[[#This Row],[Rank]],Stammdaten[Rank Verteilung Ovalität],0))</f>
        <v>#N/A</v>
      </c>
      <c r="AB2399" t="e">
        <f>VLOOKUP(Tabelle1014[[#This Row],[Rank]],Stammdaten[[Rank Verteilung Ovalität]:[Verteilung Ovalität]],2,FALSE)</f>
        <v>#N/A</v>
      </c>
    </row>
    <row r="2400" spans="5:28" x14ac:dyDescent="0.35">
      <c r="E2400">
        <v>2391</v>
      </c>
      <c r="F2400" t="e">
        <f>INDEX(Stammdaten[D Mitte mit Rinde (mm)],MATCH(Tabelle8[[#This Row],[Rank]],Stammdaten[Rank Verteilung D Mitte mit Rinde],0))</f>
        <v>#N/A</v>
      </c>
      <c r="G2400" t="e">
        <f>VLOOKUP(Tabelle8[[#This Row],[Rank]],Stammdaten[[Rank Verteilung D Mitte mit Rinde]:[Verteilung D Mitte mit Rinde]],2,FALSE)</f>
        <v>#N/A</v>
      </c>
      <c r="L2400">
        <v>2391</v>
      </c>
      <c r="M2400" t="e">
        <f>INDEX(Stammdaten[Abholzigkeit (mm/lfm)],MATCH(Tabelle9[[#This Row],[Rank]],Stammdaten[Rank Verteilung Abholzigkeit],0))</f>
        <v>#N/A</v>
      </c>
      <c r="N2400" t="e">
        <f>VLOOKUP(Tabelle9[[#This Row],[Rank]],Stammdaten[[Rank Verteilung Abholzigkeit]:[Verteilung Abholzigkeit]],2,FALSE)</f>
        <v>#N/A</v>
      </c>
      <c r="S2400">
        <v>2391</v>
      </c>
      <c r="T2400" t="e">
        <f>INDEX(Stammdaten[Krümmung (mm/lfm)],MATCH(Tabelle10[[#This Row],[Rank]],Stammdaten[Rank Verteilung Krümmung],0))</f>
        <v>#N/A</v>
      </c>
      <c r="U2400" t="e">
        <f>VLOOKUP(Tabelle10[[#This Row],[Rank]],Stammdaten[[Rank Verteilung Krümmung]:[Verteilung Krümmung]],2,FALSE)</f>
        <v>#N/A</v>
      </c>
      <c r="Z2400">
        <v>2391</v>
      </c>
      <c r="AA2400" t="e">
        <f>INDEX(Stammdaten[Ovalität (']0,1'])],MATCH(Tabelle1014[[#This Row],[Rank]],Stammdaten[Rank Verteilung Ovalität],0))</f>
        <v>#N/A</v>
      </c>
      <c r="AB2400" t="e">
        <f>VLOOKUP(Tabelle1014[[#This Row],[Rank]],Stammdaten[[Rank Verteilung Ovalität]:[Verteilung Ovalität]],2,FALSE)</f>
        <v>#N/A</v>
      </c>
    </row>
    <row r="2401" spans="5:28" x14ac:dyDescent="0.35">
      <c r="E2401">
        <v>2392</v>
      </c>
      <c r="F2401" t="e">
        <f>INDEX(Stammdaten[D Mitte mit Rinde (mm)],MATCH(Tabelle8[[#This Row],[Rank]],Stammdaten[Rank Verteilung D Mitte mit Rinde],0))</f>
        <v>#N/A</v>
      </c>
      <c r="G2401" t="e">
        <f>VLOOKUP(Tabelle8[[#This Row],[Rank]],Stammdaten[[Rank Verteilung D Mitte mit Rinde]:[Verteilung D Mitte mit Rinde]],2,FALSE)</f>
        <v>#N/A</v>
      </c>
      <c r="L2401">
        <v>2392</v>
      </c>
      <c r="M2401" t="e">
        <f>INDEX(Stammdaten[Abholzigkeit (mm/lfm)],MATCH(Tabelle9[[#This Row],[Rank]],Stammdaten[Rank Verteilung Abholzigkeit],0))</f>
        <v>#N/A</v>
      </c>
      <c r="N2401" t="e">
        <f>VLOOKUP(Tabelle9[[#This Row],[Rank]],Stammdaten[[Rank Verteilung Abholzigkeit]:[Verteilung Abholzigkeit]],2,FALSE)</f>
        <v>#N/A</v>
      </c>
      <c r="S2401">
        <v>2392</v>
      </c>
      <c r="T2401" t="e">
        <f>INDEX(Stammdaten[Krümmung (mm/lfm)],MATCH(Tabelle10[[#This Row],[Rank]],Stammdaten[Rank Verteilung Krümmung],0))</f>
        <v>#N/A</v>
      </c>
      <c r="U2401" t="e">
        <f>VLOOKUP(Tabelle10[[#This Row],[Rank]],Stammdaten[[Rank Verteilung Krümmung]:[Verteilung Krümmung]],2,FALSE)</f>
        <v>#N/A</v>
      </c>
      <c r="Z2401">
        <v>2392</v>
      </c>
      <c r="AA2401" t="e">
        <f>INDEX(Stammdaten[Ovalität (']0,1'])],MATCH(Tabelle1014[[#This Row],[Rank]],Stammdaten[Rank Verteilung Ovalität],0))</f>
        <v>#N/A</v>
      </c>
      <c r="AB2401" t="e">
        <f>VLOOKUP(Tabelle1014[[#This Row],[Rank]],Stammdaten[[Rank Verteilung Ovalität]:[Verteilung Ovalität]],2,FALSE)</f>
        <v>#N/A</v>
      </c>
    </row>
    <row r="2402" spans="5:28" x14ac:dyDescent="0.35">
      <c r="E2402">
        <v>2393</v>
      </c>
      <c r="F2402" t="e">
        <f>INDEX(Stammdaten[D Mitte mit Rinde (mm)],MATCH(Tabelle8[[#This Row],[Rank]],Stammdaten[Rank Verteilung D Mitte mit Rinde],0))</f>
        <v>#N/A</v>
      </c>
      <c r="G2402" t="e">
        <f>VLOOKUP(Tabelle8[[#This Row],[Rank]],Stammdaten[[Rank Verteilung D Mitte mit Rinde]:[Verteilung D Mitte mit Rinde]],2,FALSE)</f>
        <v>#N/A</v>
      </c>
      <c r="L2402">
        <v>2393</v>
      </c>
      <c r="M2402" t="e">
        <f>INDEX(Stammdaten[Abholzigkeit (mm/lfm)],MATCH(Tabelle9[[#This Row],[Rank]],Stammdaten[Rank Verteilung Abholzigkeit],0))</f>
        <v>#N/A</v>
      </c>
      <c r="N2402" t="e">
        <f>VLOOKUP(Tabelle9[[#This Row],[Rank]],Stammdaten[[Rank Verteilung Abholzigkeit]:[Verteilung Abholzigkeit]],2,FALSE)</f>
        <v>#N/A</v>
      </c>
      <c r="S2402">
        <v>2393</v>
      </c>
      <c r="T2402" t="e">
        <f>INDEX(Stammdaten[Krümmung (mm/lfm)],MATCH(Tabelle10[[#This Row],[Rank]],Stammdaten[Rank Verteilung Krümmung],0))</f>
        <v>#N/A</v>
      </c>
      <c r="U2402" t="e">
        <f>VLOOKUP(Tabelle10[[#This Row],[Rank]],Stammdaten[[Rank Verteilung Krümmung]:[Verteilung Krümmung]],2,FALSE)</f>
        <v>#N/A</v>
      </c>
      <c r="Z2402">
        <v>2393</v>
      </c>
      <c r="AA2402" t="e">
        <f>INDEX(Stammdaten[Ovalität (']0,1'])],MATCH(Tabelle1014[[#This Row],[Rank]],Stammdaten[Rank Verteilung Ovalität],0))</f>
        <v>#N/A</v>
      </c>
      <c r="AB2402" t="e">
        <f>VLOOKUP(Tabelle1014[[#This Row],[Rank]],Stammdaten[[Rank Verteilung Ovalität]:[Verteilung Ovalität]],2,FALSE)</f>
        <v>#N/A</v>
      </c>
    </row>
    <row r="2403" spans="5:28" x14ac:dyDescent="0.35">
      <c r="E2403">
        <v>2394</v>
      </c>
      <c r="F2403" t="e">
        <f>INDEX(Stammdaten[D Mitte mit Rinde (mm)],MATCH(Tabelle8[[#This Row],[Rank]],Stammdaten[Rank Verteilung D Mitte mit Rinde],0))</f>
        <v>#N/A</v>
      </c>
      <c r="G2403" t="e">
        <f>VLOOKUP(Tabelle8[[#This Row],[Rank]],Stammdaten[[Rank Verteilung D Mitte mit Rinde]:[Verteilung D Mitte mit Rinde]],2,FALSE)</f>
        <v>#N/A</v>
      </c>
      <c r="L2403">
        <v>2394</v>
      </c>
      <c r="M2403" t="e">
        <f>INDEX(Stammdaten[Abholzigkeit (mm/lfm)],MATCH(Tabelle9[[#This Row],[Rank]],Stammdaten[Rank Verteilung Abholzigkeit],0))</f>
        <v>#N/A</v>
      </c>
      <c r="N2403" t="e">
        <f>VLOOKUP(Tabelle9[[#This Row],[Rank]],Stammdaten[[Rank Verteilung Abholzigkeit]:[Verteilung Abholzigkeit]],2,FALSE)</f>
        <v>#N/A</v>
      </c>
      <c r="S2403">
        <v>2394</v>
      </c>
      <c r="T2403" t="e">
        <f>INDEX(Stammdaten[Krümmung (mm/lfm)],MATCH(Tabelle10[[#This Row],[Rank]],Stammdaten[Rank Verteilung Krümmung],0))</f>
        <v>#N/A</v>
      </c>
      <c r="U2403" t="e">
        <f>VLOOKUP(Tabelle10[[#This Row],[Rank]],Stammdaten[[Rank Verteilung Krümmung]:[Verteilung Krümmung]],2,FALSE)</f>
        <v>#N/A</v>
      </c>
      <c r="Z2403">
        <v>2394</v>
      </c>
      <c r="AA2403" t="e">
        <f>INDEX(Stammdaten[Ovalität (']0,1'])],MATCH(Tabelle1014[[#This Row],[Rank]],Stammdaten[Rank Verteilung Ovalität],0))</f>
        <v>#N/A</v>
      </c>
      <c r="AB2403" t="e">
        <f>VLOOKUP(Tabelle1014[[#This Row],[Rank]],Stammdaten[[Rank Verteilung Ovalität]:[Verteilung Ovalität]],2,FALSE)</f>
        <v>#N/A</v>
      </c>
    </row>
    <row r="2404" spans="5:28" x14ac:dyDescent="0.35">
      <c r="E2404">
        <v>2395</v>
      </c>
      <c r="F2404" t="e">
        <f>INDEX(Stammdaten[D Mitte mit Rinde (mm)],MATCH(Tabelle8[[#This Row],[Rank]],Stammdaten[Rank Verteilung D Mitte mit Rinde],0))</f>
        <v>#N/A</v>
      </c>
      <c r="G2404" t="e">
        <f>VLOOKUP(Tabelle8[[#This Row],[Rank]],Stammdaten[[Rank Verteilung D Mitte mit Rinde]:[Verteilung D Mitte mit Rinde]],2,FALSE)</f>
        <v>#N/A</v>
      </c>
      <c r="L2404">
        <v>2395</v>
      </c>
      <c r="M2404" t="e">
        <f>INDEX(Stammdaten[Abholzigkeit (mm/lfm)],MATCH(Tabelle9[[#This Row],[Rank]],Stammdaten[Rank Verteilung Abholzigkeit],0))</f>
        <v>#N/A</v>
      </c>
      <c r="N2404" t="e">
        <f>VLOOKUP(Tabelle9[[#This Row],[Rank]],Stammdaten[[Rank Verteilung Abholzigkeit]:[Verteilung Abholzigkeit]],2,FALSE)</f>
        <v>#N/A</v>
      </c>
      <c r="S2404">
        <v>2395</v>
      </c>
      <c r="T2404" t="e">
        <f>INDEX(Stammdaten[Krümmung (mm/lfm)],MATCH(Tabelle10[[#This Row],[Rank]],Stammdaten[Rank Verteilung Krümmung],0))</f>
        <v>#N/A</v>
      </c>
      <c r="U2404" t="e">
        <f>VLOOKUP(Tabelle10[[#This Row],[Rank]],Stammdaten[[Rank Verteilung Krümmung]:[Verteilung Krümmung]],2,FALSE)</f>
        <v>#N/A</v>
      </c>
      <c r="Z2404">
        <v>2395</v>
      </c>
      <c r="AA2404" t="e">
        <f>INDEX(Stammdaten[Ovalität (']0,1'])],MATCH(Tabelle1014[[#This Row],[Rank]],Stammdaten[Rank Verteilung Ovalität],0))</f>
        <v>#N/A</v>
      </c>
      <c r="AB2404" t="e">
        <f>VLOOKUP(Tabelle1014[[#This Row],[Rank]],Stammdaten[[Rank Verteilung Ovalität]:[Verteilung Ovalität]],2,FALSE)</f>
        <v>#N/A</v>
      </c>
    </row>
    <row r="2405" spans="5:28" x14ac:dyDescent="0.35">
      <c r="E2405">
        <v>2396</v>
      </c>
      <c r="F2405" t="e">
        <f>INDEX(Stammdaten[D Mitte mit Rinde (mm)],MATCH(Tabelle8[[#This Row],[Rank]],Stammdaten[Rank Verteilung D Mitte mit Rinde],0))</f>
        <v>#N/A</v>
      </c>
      <c r="G2405" t="e">
        <f>VLOOKUP(Tabelle8[[#This Row],[Rank]],Stammdaten[[Rank Verteilung D Mitte mit Rinde]:[Verteilung D Mitte mit Rinde]],2,FALSE)</f>
        <v>#N/A</v>
      </c>
      <c r="L2405">
        <v>2396</v>
      </c>
      <c r="M2405" t="e">
        <f>INDEX(Stammdaten[Abholzigkeit (mm/lfm)],MATCH(Tabelle9[[#This Row],[Rank]],Stammdaten[Rank Verteilung Abholzigkeit],0))</f>
        <v>#N/A</v>
      </c>
      <c r="N2405" t="e">
        <f>VLOOKUP(Tabelle9[[#This Row],[Rank]],Stammdaten[[Rank Verteilung Abholzigkeit]:[Verteilung Abholzigkeit]],2,FALSE)</f>
        <v>#N/A</v>
      </c>
      <c r="S2405">
        <v>2396</v>
      </c>
      <c r="T2405" t="e">
        <f>INDEX(Stammdaten[Krümmung (mm/lfm)],MATCH(Tabelle10[[#This Row],[Rank]],Stammdaten[Rank Verteilung Krümmung],0))</f>
        <v>#N/A</v>
      </c>
      <c r="U2405" t="e">
        <f>VLOOKUP(Tabelle10[[#This Row],[Rank]],Stammdaten[[Rank Verteilung Krümmung]:[Verteilung Krümmung]],2,FALSE)</f>
        <v>#N/A</v>
      </c>
      <c r="Z2405">
        <v>2396</v>
      </c>
      <c r="AA2405" t="e">
        <f>INDEX(Stammdaten[Ovalität (']0,1'])],MATCH(Tabelle1014[[#This Row],[Rank]],Stammdaten[Rank Verteilung Ovalität],0))</f>
        <v>#N/A</v>
      </c>
      <c r="AB2405" t="e">
        <f>VLOOKUP(Tabelle1014[[#This Row],[Rank]],Stammdaten[[Rank Verteilung Ovalität]:[Verteilung Ovalität]],2,FALSE)</f>
        <v>#N/A</v>
      </c>
    </row>
    <row r="2406" spans="5:28" x14ac:dyDescent="0.35">
      <c r="E2406">
        <v>2397</v>
      </c>
      <c r="F2406" t="e">
        <f>INDEX(Stammdaten[D Mitte mit Rinde (mm)],MATCH(Tabelle8[[#This Row],[Rank]],Stammdaten[Rank Verteilung D Mitte mit Rinde],0))</f>
        <v>#N/A</v>
      </c>
      <c r="G2406" t="e">
        <f>VLOOKUP(Tabelle8[[#This Row],[Rank]],Stammdaten[[Rank Verteilung D Mitte mit Rinde]:[Verteilung D Mitte mit Rinde]],2,FALSE)</f>
        <v>#N/A</v>
      </c>
      <c r="L2406">
        <v>2397</v>
      </c>
      <c r="M2406" t="e">
        <f>INDEX(Stammdaten[Abholzigkeit (mm/lfm)],MATCH(Tabelle9[[#This Row],[Rank]],Stammdaten[Rank Verteilung Abholzigkeit],0))</f>
        <v>#N/A</v>
      </c>
      <c r="N2406" t="e">
        <f>VLOOKUP(Tabelle9[[#This Row],[Rank]],Stammdaten[[Rank Verteilung Abholzigkeit]:[Verteilung Abholzigkeit]],2,FALSE)</f>
        <v>#N/A</v>
      </c>
      <c r="S2406">
        <v>2397</v>
      </c>
      <c r="T2406" t="e">
        <f>INDEX(Stammdaten[Krümmung (mm/lfm)],MATCH(Tabelle10[[#This Row],[Rank]],Stammdaten[Rank Verteilung Krümmung],0))</f>
        <v>#N/A</v>
      </c>
      <c r="U2406" t="e">
        <f>VLOOKUP(Tabelle10[[#This Row],[Rank]],Stammdaten[[Rank Verteilung Krümmung]:[Verteilung Krümmung]],2,FALSE)</f>
        <v>#N/A</v>
      </c>
      <c r="Z2406">
        <v>2397</v>
      </c>
      <c r="AA2406" t="e">
        <f>INDEX(Stammdaten[Ovalität (']0,1'])],MATCH(Tabelle1014[[#This Row],[Rank]],Stammdaten[Rank Verteilung Ovalität],0))</f>
        <v>#N/A</v>
      </c>
      <c r="AB2406" t="e">
        <f>VLOOKUP(Tabelle1014[[#This Row],[Rank]],Stammdaten[[Rank Verteilung Ovalität]:[Verteilung Ovalität]],2,FALSE)</f>
        <v>#N/A</v>
      </c>
    </row>
    <row r="2407" spans="5:28" x14ac:dyDescent="0.35">
      <c r="E2407">
        <v>2398</v>
      </c>
      <c r="F2407" t="e">
        <f>INDEX(Stammdaten[D Mitte mit Rinde (mm)],MATCH(Tabelle8[[#This Row],[Rank]],Stammdaten[Rank Verteilung D Mitte mit Rinde],0))</f>
        <v>#N/A</v>
      </c>
      <c r="G2407" t="e">
        <f>VLOOKUP(Tabelle8[[#This Row],[Rank]],Stammdaten[[Rank Verteilung D Mitte mit Rinde]:[Verteilung D Mitte mit Rinde]],2,FALSE)</f>
        <v>#N/A</v>
      </c>
      <c r="L2407">
        <v>2398</v>
      </c>
      <c r="M2407" t="e">
        <f>INDEX(Stammdaten[Abholzigkeit (mm/lfm)],MATCH(Tabelle9[[#This Row],[Rank]],Stammdaten[Rank Verteilung Abholzigkeit],0))</f>
        <v>#N/A</v>
      </c>
      <c r="N2407" t="e">
        <f>VLOOKUP(Tabelle9[[#This Row],[Rank]],Stammdaten[[Rank Verteilung Abholzigkeit]:[Verteilung Abholzigkeit]],2,FALSE)</f>
        <v>#N/A</v>
      </c>
      <c r="S2407">
        <v>2398</v>
      </c>
      <c r="T2407" t="e">
        <f>INDEX(Stammdaten[Krümmung (mm/lfm)],MATCH(Tabelle10[[#This Row],[Rank]],Stammdaten[Rank Verteilung Krümmung],0))</f>
        <v>#N/A</v>
      </c>
      <c r="U2407" t="e">
        <f>VLOOKUP(Tabelle10[[#This Row],[Rank]],Stammdaten[[Rank Verteilung Krümmung]:[Verteilung Krümmung]],2,FALSE)</f>
        <v>#N/A</v>
      </c>
      <c r="Z2407">
        <v>2398</v>
      </c>
      <c r="AA2407" t="e">
        <f>INDEX(Stammdaten[Ovalität (']0,1'])],MATCH(Tabelle1014[[#This Row],[Rank]],Stammdaten[Rank Verteilung Ovalität],0))</f>
        <v>#N/A</v>
      </c>
      <c r="AB2407" t="e">
        <f>VLOOKUP(Tabelle1014[[#This Row],[Rank]],Stammdaten[[Rank Verteilung Ovalität]:[Verteilung Ovalität]],2,FALSE)</f>
        <v>#N/A</v>
      </c>
    </row>
    <row r="2408" spans="5:28" x14ac:dyDescent="0.35">
      <c r="E2408">
        <v>2399</v>
      </c>
      <c r="F2408" t="e">
        <f>INDEX(Stammdaten[D Mitte mit Rinde (mm)],MATCH(Tabelle8[[#This Row],[Rank]],Stammdaten[Rank Verteilung D Mitte mit Rinde],0))</f>
        <v>#N/A</v>
      </c>
      <c r="G2408" t="e">
        <f>VLOOKUP(Tabelle8[[#This Row],[Rank]],Stammdaten[[Rank Verteilung D Mitte mit Rinde]:[Verteilung D Mitte mit Rinde]],2,FALSE)</f>
        <v>#N/A</v>
      </c>
      <c r="L2408">
        <v>2399</v>
      </c>
      <c r="M2408" t="e">
        <f>INDEX(Stammdaten[Abholzigkeit (mm/lfm)],MATCH(Tabelle9[[#This Row],[Rank]],Stammdaten[Rank Verteilung Abholzigkeit],0))</f>
        <v>#N/A</v>
      </c>
      <c r="N2408" t="e">
        <f>VLOOKUP(Tabelle9[[#This Row],[Rank]],Stammdaten[[Rank Verteilung Abholzigkeit]:[Verteilung Abholzigkeit]],2,FALSE)</f>
        <v>#N/A</v>
      </c>
      <c r="S2408">
        <v>2399</v>
      </c>
      <c r="T2408" t="e">
        <f>INDEX(Stammdaten[Krümmung (mm/lfm)],MATCH(Tabelle10[[#This Row],[Rank]],Stammdaten[Rank Verteilung Krümmung],0))</f>
        <v>#N/A</v>
      </c>
      <c r="U2408" t="e">
        <f>VLOOKUP(Tabelle10[[#This Row],[Rank]],Stammdaten[[Rank Verteilung Krümmung]:[Verteilung Krümmung]],2,FALSE)</f>
        <v>#N/A</v>
      </c>
      <c r="Z2408">
        <v>2399</v>
      </c>
      <c r="AA2408" t="e">
        <f>INDEX(Stammdaten[Ovalität (']0,1'])],MATCH(Tabelle1014[[#This Row],[Rank]],Stammdaten[Rank Verteilung Ovalität],0))</f>
        <v>#N/A</v>
      </c>
      <c r="AB2408" t="e">
        <f>VLOOKUP(Tabelle1014[[#This Row],[Rank]],Stammdaten[[Rank Verteilung Ovalität]:[Verteilung Ovalität]],2,FALSE)</f>
        <v>#N/A</v>
      </c>
    </row>
    <row r="2409" spans="5:28" x14ac:dyDescent="0.35">
      <c r="E2409">
        <v>2400</v>
      </c>
      <c r="F2409" t="e">
        <f>INDEX(Stammdaten[D Mitte mit Rinde (mm)],MATCH(Tabelle8[[#This Row],[Rank]],Stammdaten[Rank Verteilung D Mitte mit Rinde],0))</f>
        <v>#N/A</v>
      </c>
      <c r="G2409" t="e">
        <f>VLOOKUP(Tabelle8[[#This Row],[Rank]],Stammdaten[[Rank Verteilung D Mitte mit Rinde]:[Verteilung D Mitte mit Rinde]],2,FALSE)</f>
        <v>#N/A</v>
      </c>
      <c r="L2409">
        <v>2400</v>
      </c>
      <c r="M2409" t="e">
        <f>INDEX(Stammdaten[Abholzigkeit (mm/lfm)],MATCH(Tabelle9[[#This Row],[Rank]],Stammdaten[Rank Verteilung Abholzigkeit],0))</f>
        <v>#N/A</v>
      </c>
      <c r="N2409" t="e">
        <f>VLOOKUP(Tabelle9[[#This Row],[Rank]],Stammdaten[[Rank Verteilung Abholzigkeit]:[Verteilung Abholzigkeit]],2,FALSE)</f>
        <v>#N/A</v>
      </c>
      <c r="S2409">
        <v>2400</v>
      </c>
      <c r="T2409" t="e">
        <f>INDEX(Stammdaten[Krümmung (mm/lfm)],MATCH(Tabelle10[[#This Row],[Rank]],Stammdaten[Rank Verteilung Krümmung],0))</f>
        <v>#N/A</v>
      </c>
      <c r="U2409" t="e">
        <f>VLOOKUP(Tabelle10[[#This Row],[Rank]],Stammdaten[[Rank Verteilung Krümmung]:[Verteilung Krümmung]],2,FALSE)</f>
        <v>#N/A</v>
      </c>
      <c r="Z2409">
        <v>2400</v>
      </c>
      <c r="AA2409" t="e">
        <f>INDEX(Stammdaten[Ovalität (']0,1'])],MATCH(Tabelle1014[[#This Row],[Rank]],Stammdaten[Rank Verteilung Ovalität],0))</f>
        <v>#N/A</v>
      </c>
      <c r="AB2409" t="e">
        <f>VLOOKUP(Tabelle1014[[#This Row],[Rank]],Stammdaten[[Rank Verteilung Ovalität]:[Verteilung Ovalität]],2,FALSE)</f>
        <v>#N/A</v>
      </c>
    </row>
    <row r="2410" spans="5:28" x14ac:dyDescent="0.35">
      <c r="E2410">
        <v>2401</v>
      </c>
      <c r="F2410" t="e">
        <f>INDEX(Stammdaten[D Mitte mit Rinde (mm)],MATCH(Tabelle8[[#This Row],[Rank]],Stammdaten[Rank Verteilung D Mitte mit Rinde],0))</f>
        <v>#N/A</v>
      </c>
      <c r="G2410" t="e">
        <f>VLOOKUP(Tabelle8[[#This Row],[Rank]],Stammdaten[[Rank Verteilung D Mitte mit Rinde]:[Verteilung D Mitte mit Rinde]],2,FALSE)</f>
        <v>#N/A</v>
      </c>
      <c r="L2410">
        <v>2401</v>
      </c>
      <c r="M2410" t="e">
        <f>INDEX(Stammdaten[Abholzigkeit (mm/lfm)],MATCH(Tabelle9[[#This Row],[Rank]],Stammdaten[Rank Verteilung Abholzigkeit],0))</f>
        <v>#N/A</v>
      </c>
      <c r="N2410" t="e">
        <f>VLOOKUP(Tabelle9[[#This Row],[Rank]],Stammdaten[[Rank Verteilung Abholzigkeit]:[Verteilung Abholzigkeit]],2,FALSE)</f>
        <v>#N/A</v>
      </c>
      <c r="S2410">
        <v>2401</v>
      </c>
      <c r="T2410" t="e">
        <f>INDEX(Stammdaten[Krümmung (mm/lfm)],MATCH(Tabelle10[[#This Row],[Rank]],Stammdaten[Rank Verteilung Krümmung],0))</f>
        <v>#N/A</v>
      </c>
      <c r="U2410" t="e">
        <f>VLOOKUP(Tabelle10[[#This Row],[Rank]],Stammdaten[[Rank Verteilung Krümmung]:[Verteilung Krümmung]],2,FALSE)</f>
        <v>#N/A</v>
      </c>
      <c r="Z2410">
        <v>2401</v>
      </c>
      <c r="AA2410" t="e">
        <f>INDEX(Stammdaten[Ovalität (']0,1'])],MATCH(Tabelle1014[[#This Row],[Rank]],Stammdaten[Rank Verteilung Ovalität],0))</f>
        <v>#N/A</v>
      </c>
      <c r="AB2410" t="e">
        <f>VLOOKUP(Tabelle1014[[#This Row],[Rank]],Stammdaten[[Rank Verteilung Ovalität]:[Verteilung Ovalität]],2,FALSE)</f>
        <v>#N/A</v>
      </c>
    </row>
    <row r="2411" spans="5:28" x14ac:dyDescent="0.35">
      <c r="E2411">
        <v>2402</v>
      </c>
      <c r="F2411" t="e">
        <f>INDEX(Stammdaten[D Mitte mit Rinde (mm)],MATCH(Tabelle8[[#This Row],[Rank]],Stammdaten[Rank Verteilung D Mitte mit Rinde],0))</f>
        <v>#N/A</v>
      </c>
      <c r="G2411" t="e">
        <f>VLOOKUP(Tabelle8[[#This Row],[Rank]],Stammdaten[[Rank Verteilung D Mitte mit Rinde]:[Verteilung D Mitte mit Rinde]],2,FALSE)</f>
        <v>#N/A</v>
      </c>
      <c r="L2411">
        <v>2402</v>
      </c>
      <c r="M2411" t="e">
        <f>INDEX(Stammdaten[Abholzigkeit (mm/lfm)],MATCH(Tabelle9[[#This Row],[Rank]],Stammdaten[Rank Verteilung Abholzigkeit],0))</f>
        <v>#N/A</v>
      </c>
      <c r="N2411" t="e">
        <f>VLOOKUP(Tabelle9[[#This Row],[Rank]],Stammdaten[[Rank Verteilung Abholzigkeit]:[Verteilung Abholzigkeit]],2,FALSE)</f>
        <v>#N/A</v>
      </c>
      <c r="S2411">
        <v>2402</v>
      </c>
      <c r="T2411" t="e">
        <f>INDEX(Stammdaten[Krümmung (mm/lfm)],MATCH(Tabelle10[[#This Row],[Rank]],Stammdaten[Rank Verteilung Krümmung],0))</f>
        <v>#N/A</v>
      </c>
      <c r="U2411" t="e">
        <f>VLOOKUP(Tabelle10[[#This Row],[Rank]],Stammdaten[[Rank Verteilung Krümmung]:[Verteilung Krümmung]],2,FALSE)</f>
        <v>#N/A</v>
      </c>
      <c r="Z2411">
        <v>2402</v>
      </c>
      <c r="AA2411" t="e">
        <f>INDEX(Stammdaten[Ovalität (']0,1'])],MATCH(Tabelle1014[[#This Row],[Rank]],Stammdaten[Rank Verteilung Ovalität],0))</f>
        <v>#N/A</v>
      </c>
      <c r="AB2411" t="e">
        <f>VLOOKUP(Tabelle1014[[#This Row],[Rank]],Stammdaten[[Rank Verteilung Ovalität]:[Verteilung Ovalität]],2,FALSE)</f>
        <v>#N/A</v>
      </c>
    </row>
    <row r="2412" spans="5:28" x14ac:dyDescent="0.35">
      <c r="E2412">
        <v>2403</v>
      </c>
      <c r="F2412" t="e">
        <f>INDEX(Stammdaten[D Mitte mit Rinde (mm)],MATCH(Tabelle8[[#This Row],[Rank]],Stammdaten[Rank Verteilung D Mitte mit Rinde],0))</f>
        <v>#N/A</v>
      </c>
      <c r="G2412" t="e">
        <f>VLOOKUP(Tabelle8[[#This Row],[Rank]],Stammdaten[[Rank Verteilung D Mitte mit Rinde]:[Verteilung D Mitte mit Rinde]],2,FALSE)</f>
        <v>#N/A</v>
      </c>
      <c r="L2412">
        <v>2403</v>
      </c>
      <c r="M2412" t="e">
        <f>INDEX(Stammdaten[Abholzigkeit (mm/lfm)],MATCH(Tabelle9[[#This Row],[Rank]],Stammdaten[Rank Verteilung Abholzigkeit],0))</f>
        <v>#N/A</v>
      </c>
      <c r="N2412" t="e">
        <f>VLOOKUP(Tabelle9[[#This Row],[Rank]],Stammdaten[[Rank Verteilung Abholzigkeit]:[Verteilung Abholzigkeit]],2,FALSE)</f>
        <v>#N/A</v>
      </c>
      <c r="S2412">
        <v>2403</v>
      </c>
      <c r="T2412" t="e">
        <f>INDEX(Stammdaten[Krümmung (mm/lfm)],MATCH(Tabelle10[[#This Row],[Rank]],Stammdaten[Rank Verteilung Krümmung],0))</f>
        <v>#N/A</v>
      </c>
      <c r="U2412" t="e">
        <f>VLOOKUP(Tabelle10[[#This Row],[Rank]],Stammdaten[[Rank Verteilung Krümmung]:[Verteilung Krümmung]],2,FALSE)</f>
        <v>#N/A</v>
      </c>
      <c r="Z2412">
        <v>2403</v>
      </c>
      <c r="AA2412" t="e">
        <f>INDEX(Stammdaten[Ovalität (']0,1'])],MATCH(Tabelle1014[[#This Row],[Rank]],Stammdaten[Rank Verteilung Ovalität],0))</f>
        <v>#N/A</v>
      </c>
      <c r="AB2412" t="e">
        <f>VLOOKUP(Tabelle1014[[#This Row],[Rank]],Stammdaten[[Rank Verteilung Ovalität]:[Verteilung Ovalität]],2,FALSE)</f>
        <v>#N/A</v>
      </c>
    </row>
    <row r="2413" spans="5:28" x14ac:dyDescent="0.35">
      <c r="E2413">
        <v>2404</v>
      </c>
      <c r="F2413" t="e">
        <f>INDEX(Stammdaten[D Mitte mit Rinde (mm)],MATCH(Tabelle8[[#This Row],[Rank]],Stammdaten[Rank Verteilung D Mitte mit Rinde],0))</f>
        <v>#N/A</v>
      </c>
      <c r="G2413" t="e">
        <f>VLOOKUP(Tabelle8[[#This Row],[Rank]],Stammdaten[[Rank Verteilung D Mitte mit Rinde]:[Verteilung D Mitte mit Rinde]],2,FALSE)</f>
        <v>#N/A</v>
      </c>
      <c r="L2413">
        <v>2404</v>
      </c>
      <c r="M2413" t="e">
        <f>INDEX(Stammdaten[Abholzigkeit (mm/lfm)],MATCH(Tabelle9[[#This Row],[Rank]],Stammdaten[Rank Verteilung Abholzigkeit],0))</f>
        <v>#N/A</v>
      </c>
      <c r="N2413" t="e">
        <f>VLOOKUP(Tabelle9[[#This Row],[Rank]],Stammdaten[[Rank Verteilung Abholzigkeit]:[Verteilung Abholzigkeit]],2,FALSE)</f>
        <v>#N/A</v>
      </c>
      <c r="S2413">
        <v>2404</v>
      </c>
      <c r="T2413" t="e">
        <f>INDEX(Stammdaten[Krümmung (mm/lfm)],MATCH(Tabelle10[[#This Row],[Rank]],Stammdaten[Rank Verteilung Krümmung],0))</f>
        <v>#N/A</v>
      </c>
      <c r="U2413" t="e">
        <f>VLOOKUP(Tabelle10[[#This Row],[Rank]],Stammdaten[[Rank Verteilung Krümmung]:[Verteilung Krümmung]],2,FALSE)</f>
        <v>#N/A</v>
      </c>
      <c r="Z2413">
        <v>2404</v>
      </c>
      <c r="AA2413" t="e">
        <f>INDEX(Stammdaten[Ovalität (']0,1'])],MATCH(Tabelle1014[[#This Row],[Rank]],Stammdaten[Rank Verteilung Ovalität],0))</f>
        <v>#N/A</v>
      </c>
      <c r="AB2413" t="e">
        <f>VLOOKUP(Tabelle1014[[#This Row],[Rank]],Stammdaten[[Rank Verteilung Ovalität]:[Verteilung Ovalität]],2,FALSE)</f>
        <v>#N/A</v>
      </c>
    </row>
    <row r="2414" spans="5:28" x14ac:dyDescent="0.35">
      <c r="E2414">
        <v>2405</v>
      </c>
      <c r="F2414" t="e">
        <f>INDEX(Stammdaten[D Mitte mit Rinde (mm)],MATCH(Tabelle8[[#This Row],[Rank]],Stammdaten[Rank Verteilung D Mitte mit Rinde],0))</f>
        <v>#N/A</v>
      </c>
      <c r="G2414" t="e">
        <f>VLOOKUP(Tabelle8[[#This Row],[Rank]],Stammdaten[[Rank Verteilung D Mitte mit Rinde]:[Verteilung D Mitte mit Rinde]],2,FALSE)</f>
        <v>#N/A</v>
      </c>
      <c r="L2414">
        <v>2405</v>
      </c>
      <c r="M2414" t="e">
        <f>INDEX(Stammdaten[Abholzigkeit (mm/lfm)],MATCH(Tabelle9[[#This Row],[Rank]],Stammdaten[Rank Verteilung Abholzigkeit],0))</f>
        <v>#N/A</v>
      </c>
      <c r="N2414" t="e">
        <f>VLOOKUP(Tabelle9[[#This Row],[Rank]],Stammdaten[[Rank Verteilung Abholzigkeit]:[Verteilung Abholzigkeit]],2,FALSE)</f>
        <v>#N/A</v>
      </c>
      <c r="S2414">
        <v>2405</v>
      </c>
      <c r="T2414" t="e">
        <f>INDEX(Stammdaten[Krümmung (mm/lfm)],MATCH(Tabelle10[[#This Row],[Rank]],Stammdaten[Rank Verteilung Krümmung],0))</f>
        <v>#N/A</v>
      </c>
      <c r="U2414" t="e">
        <f>VLOOKUP(Tabelle10[[#This Row],[Rank]],Stammdaten[[Rank Verteilung Krümmung]:[Verteilung Krümmung]],2,FALSE)</f>
        <v>#N/A</v>
      </c>
      <c r="Z2414">
        <v>2405</v>
      </c>
      <c r="AA2414" t="e">
        <f>INDEX(Stammdaten[Ovalität (']0,1'])],MATCH(Tabelle1014[[#This Row],[Rank]],Stammdaten[Rank Verteilung Ovalität],0))</f>
        <v>#N/A</v>
      </c>
      <c r="AB2414" t="e">
        <f>VLOOKUP(Tabelle1014[[#This Row],[Rank]],Stammdaten[[Rank Verteilung Ovalität]:[Verteilung Ovalität]],2,FALSE)</f>
        <v>#N/A</v>
      </c>
    </row>
    <row r="2415" spans="5:28" x14ac:dyDescent="0.35">
      <c r="E2415">
        <v>2406</v>
      </c>
      <c r="F2415" t="e">
        <f>INDEX(Stammdaten[D Mitte mit Rinde (mm)],MATCH(Tabelle8[[#This Row],[Rank]],Stammdaten[Rank Verteilung D Mitte mit Rinde],0))</f>
        <v>#N/A</v>
      </c>
      <c r="G2415" t="e">
        <f>VLOOKUP(Tabelle8[[#This Row],[Rank]],Stammdaten[[Rank Verteilung D Mitte mit Rinde]:[Verteilung D Mitte mit Rinde]],2,FALSE)</f>
        <v>#N/A</v>
      </c>
      <c r="L2415">
        <v>2406</v>
      </c>
      <c r="M2415" t="e">
        <f>INDEX(Stammdaten[Abholzigkeit (mm/lfm)],MATCH(Tabelle9[[#This Row],[Rank]],Stammdaten[Rank Verteilung Abholzigkeit],0))</f>
        <v>#N/A</v>
      </c>
      <c r="N2415" t="e">
        <f>VLOOKUP(Tabelle9[[#This Row],[Rank]],Stammdaten[[Rank Verteilung Abholzigkeit]:[Verteilung Abholzigkeit]],2,FALSE)</f>
        <v>#N/A</v>
      </c>
      <c r="S2415">
        <v>2406</v>
      </c>
      <c r="T2415" t="e">
        <f>INDEX(Stammdaten[Krümmung (mm/lfm)],MATCH(Tabelle10[[#This Row],[Rank]],Stammdaten[Rank Verteilung Krümmung],0))</f>
        <v>#N/A</v>
      </c>
      <c r="U2415" t="e">
        <f>VLOOKUP(Tabelle10[[#This Row],[Rank]],Stammdaten[[Rank Verteilung Krümmung]:[Verteilung Krümmung]],2,FALSE)</f>
        <v>#N/A</v>
      </c>
      <c r="Z2415">
        <v>2406</v>
      </c>
      <c r="AA2415" t="e">
        <f>INDEX(Stammdaten[Ovalität (']0,1'])],MATCH(Tabelle1014[[#This Row],[Rank]],Stammdaten[Rank Verteilung Ovalität],0))</f>
        <v>#N/A</v>
      </c>
      <c r="AB2415" t="e">
        <f>VLOOKUP(Tabelle1014[[#This Row],[Rank]],Stammdaten[[Rank Verteilung Ovalität]:[Verteilung Ovalität]],2,FALSE)</f>
        <v>#N/A</v>
      </c>
    </row>
    <row r="2416" spans="5:28" x14ac:dyDescent="0.35">
      <c r="E2416">
        <v>2407</v>
      </c>
      <c r="F2416" t="e">
        <f>INDEX(Stammdaten[D Mitte mit Rinde (mm)],MATCH(Tabelle8[[#This Row],[Rank]],Stammdaten[Rank Verteilung D Mitte mit Rinde],0))</f>
        <v>#N/A</v>
      </c>
      <c r="G2416" t="e">
        <f>VLOOKUP(Tabelle8[[#This Row],[Rank]],Stammdaten[[Rank Verteilung D Mitte mit Rinde]:[Verteilung D Mitte mit Rinde]],2,FALSE)</f>
        <v>#N/A</v>
      </c>
      <c r="L2416">
        <v>2407</v>
      </c>
      <c r="M2416" t="e">
        <f>INDEX(Stammdaten[Abholzigkeit (mm/lfm)],MATCH(Tabelle9[[#This Row],[Rank]],Stammdaten[Rank Verteilung Abholzigkeit],0))</f>
        <v>#N/A</v>
      </c>
      <c r="N2416" t="e">
        <f>VLOOKUP(Tabelle9[[#This Row],[Rank]],Stammdaten[[Rank Verteilung Abholzigkeit]:[Verteilung Abholzigkeit]],2,FALSE)</f>
        <v>#N/A</v>
      </c>
      <c r="S2416">
        <v>2407</v>
      </c>
      <c r="T2416" t="e">
        <f>INDEX(Stammdaten[Krümmung (mm/lfm)],MATCH(Tabelle10[[#This Row],[Rank]],Stammdaten[Rank Verteilung Krümmung],0))</f>
        <v>#N/A</v>
      </c>
      <c r="U2416" t="e">
        <f>VLOOKUP(Tabelle10[[#This Row],[Rank]],Stammdaten[[Rank Verteilung Krümmung]:[Verteilung Krümmung]],2,FALSE)</f>
        <v>#N/A</v>
      </c>
      <c r="Z2416">
        <v>2407</v>
      </c>
      <c r="AA2416" t="e">
        <f>INDEX(Stammdaten[Ovalität (']0,1'])],MATCH(Tabelle1014[[#This Row],[Rank]],Stammdaten[Rank Verteilung Ovalität],0))</f>
        <v>#N/A</v>
      </c>
      <c r="AB2416" t="e">
        <f>VLOOKUP(Tabelle1014[[#This Row],[Rank]],Stammdaten[[Rank Verteilung Ovalität]:[Verteilung Ovalität]],2,FALSE)</f>
        <v>#N/A</v>
      </c>
    </row>
    <row r="2417" spans="5:28" x14ac:dyDescent="0.35">
      <c r="E2417">
        <v>2408</v>
      </c>
      <c r="F2417" t="e">
        <f>INDEX(Stammdaten[D Mitte mit Rinde (mm)],MATCH(Tabelle8[[#This Row],[Rank]],Stammdaten[Rank Verteilung D Mitte mit Rinde],0))</f>
        <v>#N/A</v>
      </c>
      <c r="G2417" t="e">
        <f>VLOOKUP(Tabelle8[[#This Row],[Rank]],Stammdaten[[Rank Verteilung D Mitte mit Rinde]:[Verteilung D Mitte mit Rinde]],2,FALSE)</f>
        <v>#N/A</v>
      </c>
      <c r="L2417">
        <v>2408</v>
      </c>
      <c r="M2417" t="e">
        <f>INDEX(Stammdaten[Abholzigkeit (mm/lfm)],MATCH(Tabelle9[[#This Row],[Rank]],Stammdaten[Rank Verteilung Abholzigkeit],0))</f>
        <v>#N/A</v>
      </c>
      <c r="N2417" t="e">
        <f>VLOOKUP(Tabelle9[[#This Row],[Rank]],Stammdaten[[Rank Verteilung Abholzigkeit]:[Verteilung Abholzigkeit]],2,FALSE)</f>
        <v>#N/A</v>
      </c>
      <c r="S2417">
        <v>2408</v>
      </c>
      <c r="T2417" t="e">
        <f>INDEX(Stammdaten[Krümmung (mm/lfm)],MATCH(Tabelle10[[#This Row],[Rank]],Stammdaten[Rank Verteilung Krümmung],0))</f>
        <v>#N/A</v>
      </c>
      <c r="U2417" t="e">
        <f>VLOOKUP(Tabelle10[[#This Row],[Rank]],Stammdaten[[Rank Verteilung Krümmung]:[Verteilung Krümmung]],2,FALSE)</f>
        <v>#N/A</v>
      </c>
      <c r="Z2417">
        <v>2408</v>
      </c>
      <c r="AA2417" t="e">
        <f>INDEX(Stammdaten[Ovalität (']0,1'])],MATCH(Tabelle1014[[#This Row],[Rank]],Stammdaten[Rank Verteilung Ovalität],0))</f>
        <v>#N/A</v>
      </c>
      <c r="AB2417" t="e">
        <f>VLOOKUP(Tabelle1014[[#This Row],[Rank]],Stammdaten[[Rank Verteilung Ovalität]:[Verteilung Ovalität]],2,FALSE)</f>
        <v>#N/A</v>
      </c>
    </row>
    <row r="2418" spans="5:28" x14ac:dyDescent="0.35">
      <c r="E2418">
        <v>2409</v>
      </c>
      <c r="F2418" t="e">
        <f>INDEX(Stammdaten[D Mitte mit Rinde (mm)],MATCH(Tabelle8[[#This Row],[Rank]],Stammdaten[Rank Verteilung D Mitte mit Rinde],0))</f>
        <v>#N/A</v>
      </c>
      <c r="G2418" t="e">
        <f>VLOOKUP(Tabelle8[[#This Row],[Rank]],Stammdaten[[Rank Verteilung D Mitte mit Rinde]:[Verteilung D Mitte mit Rinde]],2,FALSE)</f>
        <v>#N/A</v>
      </c>
      <c r="L2418">
        <v>2409</v>
      </c>
      <c r="M2418" t="e">
        <f>INDEX(Stammdaten[Abholzigkeit (mm/lfm)],MATCH(Tabelle9[[#This Row],[Rank]],Stammdaten[Rank Verteilung Abholzigkeit],0))</f>
        <v>#N/A</v>
      </c>
      <c r="N2418" t="e">
        <f>VLOOKUP(Tabelle9[[#This Row],[Rank]],Stammdaten[[Rank Verteilung Abholzigkeit]:[Verteilung Abholzigkeit]],2,FALSE)</f>
        <v>#N/A</v>
      </c>
      <c r="S2418">
        <v>2409</v>
      </c>
      <c r="T2418" t="e">
        <f>INDEX(Stammdaten[Krümmung (mm/lfm)],MATCH(Tabelle10[[#This Row],[Rank]],Stammdaten[Rank Verteilung Krümmung],0))</f>
        <v>#N/A</v>
      </c>
      <c r="U2418" t="e">
        <f>VLOOKUP(Tabelle10[[#This Row],[Rank]],Stammdaten[[Rank Verteilung Krümmung]:[Verteilung Krümmung]],2,FALSE)</f>
        <v>#N/A</v>
      </c>
      <c r="Z2418">
        <v>2409</v>
      </c>
      <c r="AA2418" t="e">
        <f>INDEX(Stammdaten[Ovalität (']0,1'])],MATCH(Tabelle1014[[#This Row],[Rank]],Stammdaten[Rank Verteilung Ovalität],0))</f>
        <v>#N/A</v>
      </c>
      <c r="AB2418" t="e">
        <f>VLOOKUP(Tabelle1014[[#This Row],[Rank]],Stammdaten[[Rank Verteilung Ovalität]:[Verteilung Ovalität]],2,FALSE)</f>
        <v>#N/A</v>
      </c>
    </row>
    <row r="2419" spans="5:28" x14ac:dyDescent="0.35">
      <c r="E2419">
        <v>2410</v>
      </c>
      <c r="F2419" t="e">
        <f>INDEX(Stammdaten[D Mitte mit Rinde (mm)],MATCH(Tabelle8[[#This Row],[Rank]],Stammdaten[Rank Verteilung D Mitte mit Rinde],0))</f>
        <v>#N/A</v>
      </c>
      <c r="G2419" t="e">
        <f>VLOOKUP(Tabelle8[[#This Row],[Rank]],Stammdaten[[Rank Verteilung D Mitte mit Rinde]:[Verteilung D Mitte mit Rinde]],2,FALSE)</f>
        <v>#N/A</v>
      </c>
      <c r="L2419">
        <v>2410</v>
      </c>
      <c r="M2419" t="e">
        <f>INDEX(Stammdaten[Abholzigkeit (mm/lfm)],MATCH(Tabelle9[[#This Row],[Rank]],Stammdaten[Rank Verteilung Abholzigkeit],0))</f>
        <v>#N/A</v>
      </c>
      <c r="N2419" t="e">
        <f>VLOOKUP(Tabelle9[[#This Row],[Rank]],Stammdaten[[Rank Verteilung Abholzigkeit]:[Verteilung Abholzigkeit]],2,FALSE)</f>
        <v>#N/A</v>
      </c>
      <c r="S2419">
        <v>2410</v>
      </c>
      <c r="T2419" t="e">
        <f>INDEX(Stammdaten[Krümmung (mm/lfm)],MATCH(Tabelle10[[#This Row],[Rank]],Stammdaten[Rank Verteilung Krümmung],0))</f>
        <v>#N/A</v>
      </c>
      <c r="U2419" t="e">
        <f>VLOOKUP(Tabelle10[[#This Row],[Rank]],Stammdaten[[Rank Verteilung Krümmung]:[Verteilung Krümmung]],2,FALSE)</f>
        <v>#N/A</v>
      </c>
      <c r="Z2419">
        <v>2410</v>
      </c>
      <c r="AA2419" t="e">
        <f>INDEX(Stammdaten[Ovalität (']0,1'])],MATCH(Tabelle1014[[#This Row],[Rank]],Stammdaten[Rank Verteilung Ovalität],0))</f>
        <v>#N/A</v>
      </c>
      <c r="AB2419" t="e">
        <f>VLOOKUP(Tabelle1014[[#This Row],[Rank]],Stammdaten[[Rank Verteilung Ovalität]:[Verteilung Ovalität]],2,FALSE)</f>
        <v>#N/A</v>
      </c>
    </row>
    <row r="2420" spans="5:28" x14ac:dyDescent="0.35">
      <c r="E2420">
        <v>2411</v>
      </c>
      <c r="F2420" t="e">
        <f>INDEX(Stammdaten[D Mitte mit Rinde (mm)],MATCH(Tabelle8[[#This Row],[Rank]],Stammdaten[Rank Verteilung D Mitte mit Rinde],0))</f>
        <v>#N/A</v>
      </c>
      <c r="G2420" t="e">
        <f>VLOOKUP(Tabelle8[[#This Row],[Rank]],Stammdaten[[Rank Verteilung D Mitte mit Rinde]:[Verteilung D Mitte mit Rinde]],2,FALSE)</f>
        <v>#N/A</v>
      </c>
      <c r="L2420">
        <v>2411</v>
      </c>
      <c r="M2420" t="e">
        <f>INDEX(Stammdaten[Abholzigkeit (mm/lfm)],MATCH(Tabelle9[[#This Row],[Rank]],Stammdaten[Rank Verteilung Abholzigkeit],0))</f>
        <v>#N/A</v>
      </c>
      <c r="N2420" t="e">
        <f>VLOOKUP(Tabelle9[[#This Row],[Rank]],Stammdaten[[Rank Verteilung Abholzigkeit]:[Verteilung Abholzigkeit]],2,FALSE)</f>
        <v>#N/A</v>
      </c>
      <c r="S2420">
        <v>2411</v>
      </c>
      <c r="T2420" t="e">
        <f>INDEX(Stammdaten[Krümmung (mm/lfm)],MATCH(Tabelle10[[#This Row],[Rank]],Stammdaten[Rank Verteilung Krümmung],0))</f>
        <v>#N/A</v>
      </c>
      <c r="U2420" t="e">
        <f>VLOOKUP(Tabelle10[[#This Row],[Rank]],Stammdaten[[Rank Verteilung Krümmung]:[Verteilung Krümmung]],2,FALSE)</f>
        <v>#N/A</v>
      </c>
      <c r="Z2420">
        <v>2411</v>
      </c>
      <c r="AA2420" t="e">
        <f>INDEX(Stammdaten[Ovalität (']0,1'])],MATCH(Tabelle1014[[#This Row],[Rank]],Stammdaten[Rank Verteilung Ovalität],0))</f>
        <v>#N/A</v>
      </c>
      <c r="AB2420" t="e">
        <f>VLOOKUP(Tabelle1014[[#This Row],[Rank]],Stammdaten[[Rank Verteilung Ovalität]:[Verteilung Ovalität]],2,FALSE)</f>
        <v>#N/A</v>
      </c>
    </row>
    <row r="2421" spans="5:28" x14ac:dyDescent="0.35">
      <c r="E2421">
        <v>2412</v>
      </c>
      <c r="F2421" t="e">
        <f>INDEX(Stammdaten[D Mitte mit Rinde (mm)],MATCH(Tabelle8[[#This Row],[Rank]],Stammdaten[Rank Verteilung D Mitte mit Rinde],0))</f>
        <v>#N/A</v>
      </c>
      <c r="G2421" t="e">
        <f>VLOOKUP(Tabelle8[[#This Row],[Rank]],Stammdaten[[Rank Verteilung D Mitte mit Rinde]:[Verteilung D Mitte mit Rinde]],2,FALSE)</f>
        <v>#N/A</v>
      </c>
      <c r="L2421">
        <v>2412</v>
      </c>
      <c r="M2421" t="e">
        <f>INDEX(Stammdaten[Abholzigkeit (mm/lfm)],MATCH(Tabelle9[[#This Row],[Rank]],Stammdaten[Rank Verteilung Abholzigkeit],0))</f>
        <v>#N/A</v>
      </c>
      <c r="N2421" t="e">
        <f>VLOOKUP(Tabelle9[[#This Row],[Rank]],Stammdaten[[Rank Verteilung Abholzigkeit]:[Verteilung Abholzigkeit]],2,FALSE)</f>
        <v>#N/A</v>
      </c>
      <c r="S2421">
        <v>2412</v>
      </c>
      <c r="T2421" t="e">
        <f>INDEX(Stammdaten[Krümmung (mm/lfm)],MATCH(Tabelle10[[#This Row],[Rank]],Stammdaten[Rank Verteilung Krümmung],0))</f>
        <v>#N/A</v>
      </c>
      <c r="U2421" t="e">
        <f>VLOOKUP(Tabelle10[[#This Row],[Rank]],Stammdaten[[Rank Verteilung Krümmung]:[Verteilung Krümmung]],2,FALSE)</f>
        <v>#N/A</v>
      </c>
      <c r="Z2421">
        <v>2412</v>
      </c>
      <c r="AA2421" t="e">
        <f>INDEX(Stammdaten[Ovalität (']0,1'])],MATCH(Tabelle1014[[#This Row],[Rank]],Stammdaten[Rank Verteilung Ovalität],0))</f>
        <v>#N/A</v>
      </c>
      <c r="AB2421" t="e">
        <f>VLOOKUP(Tabelle1014[[#This Row],[Rank]],Stammdaten[[Rank Verteilung Ovalität]:[Verteilung Ovalität]],2,FALSE)</f>
        <v>#N/A</v>
      </c>
    </row>
    <row r="2422" spans="5:28" x14ac:dyDescent="0.35">
      <c r="E2422">
        <v>2413</v>
      </c>
      <c r="F2422" t="e">
        <f>INDEX(Stammdaten[D Mitte mit Rinde (mm)],MATCH(Tabelle8[[#This Row],[Rank]],Stammdaten[Rank Verteilung D Mitte mit Rinde],0))</f>
        <v>#N/A</v>
      </c>
      <c r="G2422" t="e">
        <f>VLOOKUP(Tabelle8[[#This Row],[Rank]],Stammdaten[[Rank Verteilung D Mitte mit Rinde]:[Verteilung D Mitte mit Rinde]],2,FALSE)</f>
        <v>#N/A</v>
      </c>
      <c r="L2422">
        <v>2413</v>
      </c>
      <c r="M2422" t="e">
        <f>INDEX(Stammdaten[Abholzigkeit (mm/lfm)],MATCH(Tabelle9[[#This Row],[Rank]],Stammdaten[Rank Verteilung Abholzigkeit],0))</f>
        <v>#N/A</v>
      </c>
      <c r="N2422" t="e">
        <f>VLOOKUP(Tabelle9[[#This Row],[Rank]],Stammdaten[[Rank Verteilung Abholzigkeit]:[Verteilung Abholzigkeit]],2,FALSE)</f>
        <v>#N/A</v>
      </c>
      <c r="S2422">
        <v>2413</v>
      </c>
      <c r="T2422" t="e">
        <f>INDEX(Stammdaten[Krümmung (mm/lfm)],MATCH(Tabelle10[[#This Row],[Rank]],Stammdaten[Rank Verteilung Krümmung],0))</f>
        <v>#N/A</v>
      </c>
      <c r="U2422" t="e">
        <f>VLOOKUP(Tabelle10[[#This Row],[Rank]],Stammdaten[[Rank Verteilung Krümmung]:[Verteilung Krümmung]],2,FALSE)</f>
        <v>#N/A</v>
      </c>
      <c r="Z2422">
        <v>2413</v>
      </c>
      <c r="AA2422" t="e">
        <f>INDEX(Stammdaten[Ovalität (']0,1'])],MATCH(Tabelle1014[[#This Row],[Rank]],Stammdaten[Rank Verteilung Ovalität],0))</f>
        <v>#N/A</v>
      </c>
      <c r="AB2422" t="e">
        <f>VLOOKUP(Tabelle1014[[#This Row],[Rank]],Stammdaten[[Rank Verteilung Ovalität]:[Verteilung Ovalität]],2,FALSE)</f>
        <v>#N/A</v>
      </c>
    </row>
    <row r="2423" spans="5:28" x14ac:dyDescent="0.35">
      <c r="E2423">
        <v>2414</v>
      </c>
      <c r="F2423" t="e">
        <f>INDEX(Stammdaten[D Mitte mit Rinde (mm)],MATCH(Tabelle8[[#This Row],[Rank]],Stammdaten[Rank Verteilung D Mitte mit Rinde],0))</f>
        <v>#N/A</v>
      </c>
      <c r="G2423" t="e">
        <f>VLOOKUP(Tabelle8[[#This Row],[Rank]],Stammdaten[[Rank Verteilung D Mitte mit Rinde]:[Verteilung D Mitte mit Rinde]],2,FALSE)</f>
        <v>#N/A</v>
      </c>
      <c r="L2423">
        <v>2414</v>
      </c>
      <c r="M2423" t="e">
        <f>INDEX(Stammdaten[Abholzigkeit (mm/lfm)],MATCH(Tabelle9[[#This Row],[Rank]],Stammdaten[Rank Verteilung Abholzigkeit],0))</f>
        <v>#N/A</v>
      </c>
      <c r="N2423" t="e">
        <f>VLOOKUP(Tabelle9[[#This Row],[Rank]],Stammdaten[[Rank Verteilung Abholzigkeit]:[Verteilung Abholzigkeit]],2,FALSE)</f>
        <v>#N/A</v>
      </c>
      <c r="S2423">
        <v>2414</v>
      </c>
      <c r="T2423" t="e">
        <f>INDEX(Stammdaten[Krümmung (mm/lfm)],MATCH(Tabelle10[[#This Row],[Rank]],Stammdaten[Rank Verteilung Krümmung],0))</f>
        <v>#N/A</v>
      </c>
      <c r="U2423" t="e">
        <f>VLOOKUP(Tabelle10[[#This Row],[Rank]],Stammdaten[[Rank Verteilung Krümmung]:[Verteilung Krümmung]],2,FALSE)</f>
        <v>#N/A</v>
      </c>
      <c r="Z2423">
        <v>2414</v>
      </c>
      <c r="AA2423" t="e">
        <f>INDEX(Stammdaten[Ovalität (']0,1'])],MATCH(Tabelle1014[[#This Row],[Rank]],Stammdaten[Rank Verteilung Ovalität],0))</f>
        <v>#N/A</v>
      </c>
      <c r="AB2423" t="e">
        <f>VLOOKUP(Tabelle1014[[#This Row],[Rank]],Stammdaten[[Rank Verteilung Ovalität]:[Verteilung Ovalität]],2,FALSE)</f>
        <v>#N/A</v>
      </c>
    </row>
    <row r="2424" spans="5:28" x14ac:dyDescent="0.35">
      <c r="E2424">
        <v>2415</v>
      </c>
      <c r="F2424" t="e">
        <f>INDEX(Stammdaten[D Mitte mit Rinde (mm)],MATCH(Tabelle8[[#This Row],[Rank]],Stammdaten[Rank Verteilung D Mitte mit Rinde],0))</f>
        <v>#N/A</v>
      </c>
      <c r="G2424" t="e">
        <f>VLOOKUP(Tabelle8[[#This Row],[Rank]],Stammdaten[[Rank Verteilung D Mitte mit Rinde]:[Verteilung D Mitte mit Rinde]],2,FALSE)</f>
        <v>#N/A</v>
      </c>
      <c r="L2424">
        <v>2415</v>
      </c>
      <c r="M2424" t="e">
        <f>INDEX(Stammdaten[Abholzigkeit (mm/lfm)],MATCH(Tabelle9[[#This Row],[Rank]],Stammdaten[Rank Verteilung Abholzigkeit],0))</f>
        <v>#N/A</v>
      </c>
      <c r="N2424" t="e">
        <f>VLOOKUP(Tabelle9[[#This Row],[Rank]],Stammdaten[[Rank Verteilung Abholzigkeit]:[Verteilung Abholzigkeit]],2,FALSE)</f>
        <v>#N/A</v>
      </c>
      <c r="S2424">
        <v>2415</v>
      </c>
      <c r="T2424" t="e">
        <f>INDEX(Stammdaten[Krümmung (mm/lfm)],MATCH(Tabelle10[[#This Row],[Rank]],Stammdaten[Rank Verteilung Krümmung],0))</f>
        <v>#N/A</v>
      </c>
      <c r="U2424" t="e">
        <f>VLOOKUP(Tabelle10[[#This Row],[Rank]],Stammdaten[[Rank Verteilung Krümmung]:[Verteilung Krümmung]],2,FALSE)</f>
        <v>#N/A</v>
      </c>
      <c r="Z2424">
        <v>2415</v>
      </c>
      <c r="AA2424" t="e">
        <f>INDEX(Stammdaten[Ovalität (']0,1'])],MATCH(Tabelle1014[[#This Row],[Rank]],Stammdaten[Rank Verteilung Ovalität],0))</f>
        <v>#N/A</v>
      </c>
      <c r="AB2424" t="e">
        <f>VLOOKUP(Tabelle1014[[#This Row],[Rank]],Stammdaten[[Rank Verteilung Ovalität]:[Verteilung Ovalität]],2,FALSE)</f>
        <v>#N/A</v>
      </c>
    </row>
    <row r="2425" spans="5:28" x14ac:dyDescent="0.35">
      <c r="E2425">
        <v>2416</v>
      </c>
      <c r="F2425" t="e">
        <f>INDEX(Stammdaten[D Mitte mit Rinde (mm)],MATCH(Tabelle8[[#This Row],[Rank]],Stammdaten[Rank Verteilung D Mitte mit Rinde],0))</f>
        <v>#N/A</v>
      </c>
      <c r="G2425" t="e">
        <f>VLOOKUP(Tabelle8[[#This Row],[Rank]],Stammdaten[[Rank Verteilung D Mitte mit Rinde]:[Verteilung D Mitte mit Rinde]],2,FALSE)</f>
        <v>#N/A</v>
      </c>
      <c r="L2425">
        <v>2416</v>
      </c>
      <c r="M2425" t="e">
        <f>INDEX(Stammdaten[Abholzigkeit (mm/lfm)],MATCH(Tabelle9[[#This Row],[Rank]],Stammdaten[Rank Verteilung Abholzigkeit],0))</f>
        <v>#N/A</v>
      </c>
      <c r="N2425" t="e">
        <f>VLOOKUP(Tabelle9[[#This Row],[Rank]],Stammdaten[[Rank Verteilung Abholzigkeit]:[Verteilung Abholzigkeit]],2,FALSE)</f>
        <v>#N/A</v>
      </c>
      <c r="S2425">
        <v>2416</v>
      </c>
      <c r="T2425" t="e">
        <f>INDEX(Stammdaten[Krümmung (mm/lfm)],MATCH(Tabelle10[[#This Row],[Rank]],Stammdaten[Rank Verteilung Krümmung],0))</f>
        <v>#N/A</v>
      </c>
      <c r="U2425" t="e">
        <f>VLOOKUP(Tabelle10[[#This Row],[Rank]],Stammdaten[[Rank Verteilung Krümmung]:[Verteilung Krümmung]],2,FALSE)</f>
        <v>#N/A</v>
      </c>
      <c r="Z2425">
        <v>2416</v>
      </c>
      <c r="AA2425" t="e">
        <f>INDEX(Stammdaten[Ovalität (']0,1'])],MATCH(Tabelle1014[[#This Row],[Rank]],Stammdaten[Rank Verteilung Ovalität],0))</f>
        <v>#N/A</v>
      </c>
      <c r="AB2425" t="e">
        <f>VLOOKUP(Tabelle1014[[#This Row],[Rank]],Stammdaten[[Rank Verteilung Ovalität]:[Verteilung Ovalität]],2,FALSE)</f>
        <v>#N/A</v>
      </c>
    </row>
    <row r="2426" spans="5:28" x14ac:dyDescent="0.35">
      <c r="E2426">
        <v>2417</v>
      </c>
      <c r="F2426" t="e">
        <f>INDEX(Stammdaten[D Mitte mit Rinde (mm)],MATCH(Tabelle8[[#This Row],[Rank]],Stammdaten[Rank Verteilung D Mitte mit Rinde],0))</f>
        <v>#N/A</v>
      </c>
      <c r="G2426" t="e">
        <f>VLOOKUP(Tabelle8[[#This Row],[Rank]],Stammdaten[[Rank Verteilung D Mitte mit Rinde]:[Verteilung D Mitte mit Rinde]],2,FALSE)</f>
        <v>#N/A</v>
      </c>
      <c r="L2426">
        <v>2417</v>
      </c>
      <c r="M2426" t="e">
        <f>INDEX(Stammdaten[Abholzigkeit (mm/lfm)],MATCH(Tabelle9[[#This Row],[Rank]],Stammdaten[Rank Verteilung Abholzigkeit],0))</f>
        <v>#N/A</v>
      </c>
      <c r="N2426" t="e">
        <f>VLOOKUP(Tabelle9[[#This Row],[Rank]],Stammdaten[[Rank Verteilung Abholzigkeit]:[Verteilung Abholzigkeit]],2,FALSE)</f>
        <v>#N/A</v>
      </c>
      <c r="S2426">
        <v>2417</v>
      </c>
      <c r="T2426" t="e">
        <f>INDEX(Stammdaten[Krümmung (mm/lfm)],MATCH(Tabelle10[[#This Row],[Rank]],Stammdaten[Rank Verteilung Krümmung],0))</f>
        <v>#N/A</v>
      </c>
      <c r="U2426" t="e">
        <f>VLOOKUP(Tabelle10[[#This Row],[Rank]],Stammdaten[[Rank Verteilung Krümmung]:[Verteilung Krümmung]],2,FALSE)</f>
        <v>#N/A</v>
      </c>
      <c r="Z2426">
        <v>2417</v>
      </c>
      <c r="AA2426" t="e">
        <f>INDEX(Stammdaten[Ovalität (']0,1'])],MATCH(Tabelle1014[[#This Row],[Rank]],Stammdaten[Rank Verteilung Ovalität],0))</f>
        <v>#N/A</v>
      </c>
      <c r="AB2426" t="e">
        <f>VLOOKUP(Tabelle1014[[#This Row],[Rank]],Stammdaten[[Rank Verteilung Ovalität]:[Verteilung Ovalität]],2,FALSE)</f>
        <v>#N/A</v>
      </c>
    </row>
    <row r="2427" spans="5:28" x14ac:dyDescent="0.35">
      <c r="E2427">
        <v>2418</v>
      </c>
      <c r="F2427" t="e">
        <f>INDEX(Stammdaten[D Mitte mit Rinde (mm)],MATCH(Tabelle8[[#This Row],[Rank]],Stammdaten[Rank Verteilung D Mitte mit Rinde],0))</f>
        <v>#N/A</v>
      </c>
      <c r="G2427" t="e">
        <f>VLOOKUP(Tabelle8[[#This Row],[Rank]],Stammdaten[[Rank Verteilung D Mitte mit Rinde]:[Verteilung D Mitte mit Rinde]],2,FALSE)</f>
        <v>#N/A</v>
      </c>
      <c r="L2427">
        <v>2418</v>
      </c>
      <c r="M2427" t="e">
        <f>INDEX(Stammdaten[Abholzigkeit (mm/lfm)],MATCH(Tabelle9[[#This Row],[Rank]],Stammdaten[Rank Verteilung Abholzigkeit],0))</f>
        <v>#N/A</v>
      </c>
      <c r="N2427" t="e">
        <f>VLOOKUP(Tabelle9[[#This Row],[Rank]],Stammdaten[[Rank Verteilung Abholzigkeit]:[Verteilung Abholzigkeit]],2,FALSE)</f>
        <v>#N/A</v>
      </c>
      <c r="S2427">
        <v>2418</v>
      </c>
      <c r="T2427" t="e">
        <f>INDEX(Stammdaten[Krümmung (mm/lfm)],MATCH(Tabelle10[[#This Row],[Rank]],Stammdaten[Rank Verteilung Krümmung],0))</f>
        <v>#N/A</v>
      </c>
      <c r="U2427" t="e">
        <f>VLOOKUP(Tabelle10[[#This Row],[Rank]],Stammdaten[[Rank Verteilung Krümmung]:[Verteilung Krümmung]],2,FALSE)</f>
        <v>#N/A</v>
      </c>
      <c r="Z2427">
        <v>2418</v>
      </c>
      <c r="AA2427" t="e">
        <f>INDEX(Stammdaten[Ovalität (']0,1'])],MATCH(Tabelle1014[[#This Row],[Rank]],Stammdaten[Rank Verteilung Ovalität],0))</f>
        <v>#N/A</v>
      </c>
      <c r="AB2427" t="e">
        <f>VLOOKUP(Tabelle1014[[#This Row],[Rank]],Stammdaten[[Rank Verteilung Ovalität]:[Verteilung Ovalität]],2,FALSE)</f>
        <v>#N/A</v>
      </c>
    </row>
    <row r="2428" spans="5:28" x14ac:dyDescent="0.35">
      <c r="E2428">
        <v>2419</v>
      </c>
      <c r="F2428" t="e">
        <f>INDEX(Stammdaten[D Mitte mit Rinde (mm)],MATCH(Tabelle8[[#This Row],[Rank]],Stammdaten[Rank Verteilung D Mitte mit Rinde],0))</f>
        <v>#N/A</v>
      </c>
      <c r="G2428" t="e">
        <f>VLOOKUP(Tabelle8[[#This Row],[Rank]],Stammdaten[[Rank Verteilung D Mitte mit Rinde]:[Verteilung D Mitte mit Rinde]],2,FALSE)</f>
        <v>#N/A</v>
      </c>
      <c r="L2428">
        <v>2419</v>
      </c>
      <c r="M2428" t="e">
        <f>INDEX(Stammdaten[Abholzigkeit (mm/lfm)],MATCH(Tabelle9[[#This Row],[Rank]],Stammdaten[Rank Verteilung Abholzigkeit],0))</f>
        <v>#N/A</v>
      </c>
      <c r="N2428" t="e">
        <f>VLOOKUP(Tabelle9[[#This Row],[Rank]],Stammdaten[[Rank Verteilung Abholzigkeit]:[Verteilung Abholzigkeit]],2,FALSE)</f>
        <v>#N/A</v>
      </c>
      <c r="S2428">
        <v>2419</v>
      </c>
      <c r="T2428" t="e">
        <f>INDEX(Stammdaten[Krümmung (mm/lfm)],MATCH(Tabelle10[[#This Row],[Rank]],Stammdaten[Rank Verteilung Krümmung],0))</f>
        <v>#N/A</v>
      </c>
      <c r="U2428" t="e">
        <f>VLOOKUP(Tabelle10[[#This Row],[Rank]],Stammdaten[[Rank Verteilung Krümmung]:[Verteilung Krümmung]],2,FALSE)</f>
        <v>#N/A</v>
      </c>
      <c r="Z2428">
        <v>2419</v>
      </c>
      <c r="AA2428" t="e">
        <f>INDEX(Stammdaten[Ovalität (']0,1'])],MATCH(Tabelle1014[[#This Row],[Rank]],Stammdaten[Rank Verteilung Ovalität],0))</f>
        <v>#N/A</v>
      </c>
      <c r="AB2428" t="e">
        <f>VLOOKUP(Tabelle1014[[#This Row],[Rank]],Stammdaten[[Rank Verteilung Ovalität]:[Verteilung Ovalität]],2,FALSE)</f>
        <v>#N/A</v>
      </c>
    </row>
    <row r="2429" spans="5:28" x14ac:dyDescent="0.35">
      <c r="E2429">
        <v>2420</v>
      </c>
      <c r="F2429" t="e">
        <f>INDEX(Stammdaten[D Mitte mit Rinde (mm)],MATCH(Tabelle8[[#This Row],[Rank]],Stammdaten[Rank Verteilung D Mitte mit Rinde],0))</f>
        <v>#N/A</v>
      </c>
      <c r="G2429" t="e">
        <f>VLOOKUP(Tabelle8[[#This Row],[Rank]],Stammdaten[[Rank Verteilung D Mitte mit Rinde]:[Verteilung D Mitte mit Rinde]],2,FALSE)</f>
        <v>#N/A</v>
      </c>
      <c r="L2429">
        <v>2420</v>
      </c>
      <c r="M2429" t="e">
        <f>INDEX(Stammdaten[Abholzigkeit (mm/lfm)],MATCH(Tabelle9[[#This Row],[Rank]],Stammdaten[Rank Verteilung Abholzigkeit],0))</f>
        <v>#N/A</v>
      </c>
      <c r="N2429" t="e">
        <f>VLOOKUP(Tabelle9[[#This Row],[Rank]],Stammdaten[[Rank Verteilung Abholzigkeit]:[Verteilung Abholzigkeit]],2,FALSE)</f>
        <v>#N/A</v>
      </c>
      <c r="S2429">
        <v>2420</v>
      </c>
      <c r="T2429" t="e">
        <f>INDEX(Stammdaten[Krümmung (mm/lfm)],MATCH(Tabelle10[[#This Row],[Rank]],Stammdaten[Rank Verteilung Krümmung],0))</f>
        <v>#N/A</v>
      </c>
      <c r="U2429" t="e">
        <f>VLOOKUP(Tabelle10[[#This Row],[Rank]],Stammdaten[[Rank Verteilung Krümmung]:[Verteilung Krümmung]],2,FALSE)</f>
        <v>#N/A</v>
      </c>
      <c r="Z2429">
        <v>2420</v>
      </c>
      <c r="AA2429" t="e">
        <f>INDEX(Stammdaten[Ovalität (']0,1'])],MATCH(Tabelle1014[[#This Row],[Rank]],Stammdaten[Rank Verteilung Ovalität],0))</f>
        <v>#N/A</v>
      </c>
      <c r="AB2429" t="e">
        <f>VLOOKUP(Tabelle1014[[#This Row],[Rank]],Stammdaten[[Rank Verteilung Ovalität]:[Verteilung Ovalität]],2,FALSE)</f>
        <v>#N/A</v>
      </c>
    </row>
    <row r="2430" spans="5:28" x14ac:dyDescent="0.35">
      <c r="E2430">
        <v>2421</v>
      </c>
      <c r="F2430" t="e">
        <f>INDEX(Stammdaten[D Mitte mit Rinde (mm)],MATCH(Tabelle8[[#This Row],[Rank]],Stammdaten[Rank Verteilung D Mitte mit Rinde],0))</f>
        <v>#N/A</v>
      </c>
      <c r="G2430" t="e">
        <f>VLOOKUP(Tabelle8[[#This Row],[Rank]],Stammdaten[[Rank Verteilung D Mitte mit Rinde]:[Verteilung D Mitte mit Rinde]],2,FALSE)</f>
        <v>#N/A</v>
      </c>
      <c r="L2430">
        <v>2421</v>
      </c>
      <c r="M2430" t="e">
        <f>INDEX(Stammdaten[Abholzigkeit (mm/lfm)],MATCH(Tabelle9[[#This Row],[Rank]],Stammdaten[Rank Verteilung Abholzigkeit],0))</f>
        <v>#N/A</v>
      </c>
      <c r="N2430" t="e">
        <f>VLOOKUP(Tabelle9[[#This Row],[Rank]],Stammdaten[[Rank Verteilung Abholzigkeit]:[Verteilung Abholzigkeit]],2,FALSE)</f>
        <v>#N/A</v>
      </c>
      <c r="S2430">
        <v>2421</v>
      </c>
      <c r="T2430" t="e">
        <f>INDEX(Stammdaten[Krümmung (mm/lfm)],MATCH(Tabelle10[[#This Row],[Rank]],Stammdaten[Rank Verteilung Krümmung],0))</f>
        <v>#N/A</v>
      </c>
      <c r="U2430" t="e">
        <f>VLOOKUP(Tabelle10[[#This Row],[Rank]],Stammdaten[[Rank Verteilung Krümmung]:[Verteilung Krümmung]],2,FALSE)</f>
        <v>#N/A</v>
      </c>
      <c r="Z2430">
        <v>2421</v>
      </c>
      <c r="AA2430" t="e">
        <f>INDEX(Stammdaten[Ovalität (']0,1'])],MATCH(Tabelle1014[[#This Row],[Rank]],Stammdaten[Rank Verteilung Ovalität],0))</f>
        <v>#N/A</v>
      </c>
      <c r="AB2430" t="e">
        <f>VLOOKUP(Tabelle1014[[#This Row],[Rank]],Stammdaten[[Rank Verteilung Ovalität]:[Verteilung Ovalität]],2,FALSE)</f>
        <v>#N/A</v>
      </c>
    </row>
    <row r="2431" spans="5:28" x14ac:dyDescent="0.35">
      <c r="E2431">
        <v>2422</v>
      </c>
      <c r="F2431" t="e">
        <f>INDEX(Stammdaten[D Mitte mit Rinde (mm)],MATCH(Tabelle8[[#This Row],[Rank]],Stammdaten[Rank Verteilung D Mitte mit Rinde],0))</f>
        <v>#N/A</v>
      </c>
      <c r="G2431" t="e">
        <f>VLOOKUP(Tabelle8[[#This Row],[Rank]],Stammdaten[[Rank Verteilung D Mitte mit Rinde]:[Verteilung D Mitte mit Rinde]],2,FALSE)</f>
        <v>#N/A</v>
      </c>
      <c r="L2431">
        <v>2422</v>
      </c>
      <c r="M2431" t="e">
        <f>INDEX(Stammdaten[Abholzigkeit (mm/lfm)],MATCH(Tabelle9[[#This Row],[Rank]],Stammdaten[Rank Verteilung Abholzigkeit],0))</f>
        <v>#N/A</v>
      </c>
      <c r="N2431" t="e">
        <f>VLOOKUP(Tabelle9[[#This Row],[Rank]],Stammdaten[[Rank Verteilung Abholzigkeit]:[Verteilung Abholzigkeit]],2,FALSE)</f>
        <v>#N/A</v>
      </c>
      <c r="S2431">
        <v>2422</v>
      </c>
      <c r="T2431" t="e">
        <f>INDEX(Stammdaten[Krümmung (mm/lfm)],MATCH(Tabelle10[[#This Row],[Rank]],Stammdaten[Rank Verteilung Krümmung],0))</f>
        <v>#N/A</v>
      </c>
      <c r="U2431" t="e">
        <f>VLOOKUP(Tabelle10[[#This Row],[Rank]],Stammdaten[[Rank Verteilung Krümmung]:[Verteilung Krümmung]],2,FALSE)</f>
        <v>#N/A</v>
      </c>
      <c r="Z2431">
        <v>2422</v>
      </c>
      <c r="AA2431" t="e">
        <f>INDEX(Stammdaten[Ovalität (']0,1'])],MATCH(Tabelle1014[[#This Row],[Rank]],Stammdaten[Rank Verteilung Ovalität],0))</f>
        <v>#N/A</v>
      </c>
      <c r="AB2431" t="e">
        <f>VLOOKUP(Tabelle1014[[#This Row],[Rank]],Stammdaten[[Rank Verteilung Ovalität]:[Verteilung Ovalität]],2,FALSE)</f>
        <v>#N/A</v>
      </c>
    </row>
    <row r="2432" spans="5:28" x14ac:dyDescent="0.35">
      <c r="E2432">
        <v>2423</v>
      </c>
      <c r="F2432" t="e">
        <f>INDEX(Stammdaten[D Mitte mit Rinde (mm)],MATCH(Tabelle8[[#This Row],[Rank]],Stammdaten[Rank Verteilung D Mitte mit Rinde],0))</f>
        <v>#N/A</v>
      </c>
      <c r="G2432" t="e">
        <f>VLOOKUP(Tabelle8[[#This Row],[Rank]],Stammdaten[[Rank Verteilung D Mitte mit Rinde]:[Verteilung D Mitte mit Rinde]],2,FALSE)</f>
        <v>#N/A</v>
      </c>
      <c r="L2432">
        <v>2423</v>
      </c>
      <c r="M2432" t="e">
        <f>INDEX(Stammdaten[Abholzigkeit (mm/lfm)],MATCH(Tabelle9[[#This Row],[Rank]],Stammdaten[Rank Verteilung Abholzigkeit],0))</f>
        <v>#N/A</v>
      </c>
      <c r="N2432" t="e">
        <f>VLOOKUP(Tabelle9[[#This Row],[Rank]],Stammdaten[[Rank Verteilung Abholzigkeit]:[Verteilung Abholzigkeit]],2,FALSE)</f>
        <v>#N/A</v>
      </c>
      <c r="S2432">
        <v>2423</v>
      </c>
      <c r="T2432" t="e">
        <f>INDEX(Stammdaten[Krümmung (mm/lfm)],MATCH(Tabelle10[[#This Row],[Rank]],Stammdaten[Rank Verteilung Krümmung],0))</f>
        <v>#N/A</v>
      </c>
      <c r="U2432" t="e">
        <f>VLOOKUP(Tabelle10[[#This Row],[Rank]],Stammdaten[[Rank Verteilung Krümmung]:[Verteilung Krümmung]],2,FALSE)</f>
        <v>#N/A</v>
      </c>
      <c r="Z2432">
        <v>2423</v>
      </c>
      <c r="AA2432" t="e">
        <f>INDEX(Stammdaten[Ovalität (']0,1'])],MATCH(Tabelle1014[[#This Row],[Rank]],Stammdaten[Rank Verteilung Ovalität],0))</f>
        <v>#N/A</v>
      </c>
      <c r="AB2432" t="e">
        <f>VLOOKUP(Tabelle1014[[#This Row],[Rank]],Stammdaten[[Rank Verteilung Ovalität]:[Verteilung Ovalität]],2,FALSE)</f>
        <v>#N/A</v>
      </c>
    </row>
    <row r="2433" spans="5:28" x14ac:dyDescent="0.35">
      <c r="E2433">
        <v>2424</v>
      </c>
      <c r="F2433" t="e">
        <f>INDEX(Stammdaten[D Mitte mit Rinde (mm)],MATCH(Tabelle8[[#This Row],[Rank]],Stammdaten[Rank Verteilung D Mitte mit Rinde],0))</f>
        <v>#N/A</v>
      </c>
      <c r="G2433" t="e">
        <f>VLOOKUP(Tabelle8[[#This Row],[Rank]],Stammdaten[[Rank Verteilung D Mitte mit Rinde]:[Verteilung D Mitte mit Rinde]],2,FALSE)</f>
        <v>#N/A</v>
      </c>
      <c r="L2433">
        <v>2424</v>
      </c>
      <c r="M2433" t="e">
        <f>INDEX(Stammdaten[Abholzigkeit (mm/lfm)],MATCH(Tabelle9[[#This Row],[Rank]],Stammdaten[Rank Verteilung Abholzigkeit],0))</f>
        <v>#N/A</v>
      </c>
      <c r="N2433" t="e">
        <f>VLOOKUP(Tabelle9[[#This Row],[Rank]],Stammdaten[[Rank Verteilung Abholzigkeit]:[Verteilung Abholzigkeit]],2,FALSE)</f>
        <v>#N/A</v>
      </c>
      <c r="S2433">
        <v>2424</v>
      </c>
      <c r="T2433" t="e">
        <f>INDEX(Stammdaten[Krümmung (mm/lfm)],MATCH(Tabelle10[[#This Row],[Rank]],Stammdaten[Rank Verteilung Krümmung],0))</f>
        <v>#N/A</v>
      </c>
      <c r="U2433" t="e">
        <f>VLOOKUP(Tabelle10[[#This Row],[Rank]],Stammdaten[[Rank Verteilung Krümmung]:[Verteilung Krümmung]],2,FALSE)</f>
        <v>#N/A</v>
      </c>
      <c r="Z2433">
        <v>2424</v>
      </c>
      <c r="AA2433" t="e">
        <f>INDEX(Stammdaten[Ovalität (']0,1'])],MATCH(Tabelle1014[[#This Row],[Rank]],Stammdaten[Rank Verteilung Ovalität],0))</f>
        <v>#N/A</v>
      </c>
      <c r="AB2433" t="e">
        <f>VLOOKUP(Tabelle1014[[#This Row],[Rank]],Stammdaten[[Rank Verteilung Ovalität]:[Verteilung Ovalität]],2,FALSE)</f>
        <v>#N/A</v>
      </c>
    </row>
    <row r="2434" spans="5:28" x14ac:dyDescent="0.35">
      <c r="E2434">
        <v>2425</v>
      </c>
      <c r="F2434" t="e">
        <f>INDEX(Stammdaten[D Mitte mit Rinde (mm)],MATCH(Tabelle8[[#This Row],[Rank]],Stammdaten[Rank Verteilung D Mitte mit Rinde],0))</f>
        <v>#N/A</v>
      </c>
      <c r="G2434" t="e">
        <f>VLOOKUP(Tabelle8[[#This Row],[Rank]],Stammdaten[[Rank Verteilung D Mitte mit Rinde]:[Verteilung D Mitte mit Rinde]],2,FALSE)</f>
        <v>#N/A</v>
      </c>
      <c r="L2434">
        <v>2425</v>
      </c>
      <c r="M2434" t="e">
        <f>INDEX(Stammdaten[Abholzigkeit (mm/lfm)],MATCH(Tabelle9[[#This Row],[Rank]],Stammdaten[Rank Verteilung Abholzigkeit],0))</f>
        <v>#N/A</v>
      </c>
      <c r="N2434" t="e">
        <f>VLOOKUP(Tabelle9[[#This Row],[Rank]],Stammdaten[[Rank Verteilung Abholzigkeit]:[Verteilung Abholzigkeit]],2,FALSE)</f>
        <v>#N/A</v>
      </c>
      <c r="S2434">
        <v>2425</v>
      </c>
      <c r="T2434" t="e">
        <f>INDEX(Stammdaten[Krümmung (mm/lfm)],MATCH(Tabelle10[[#This Row],[Rank]],Stammdaten[Rank Verteilung Krümmung],0))</f>
        <v>#N/A</v>
      </c>
      <c r="U2434" t="e">
        <f>VLOOKUP(Tabelle10[[#This Row],[Rank]],Stammdaten[[Rank Verteilung Krümmung]:[Verteilung Krümmung]],2,FALSE)</f>
        <v>#N/A</v>
      </c>
      <c r="Z2434">
        <v>2425</v>
      </c>
      <c r="AA2434" t="e">
        <f>INDEX(Stammdaten[Ovalität (']0,1'])],MATCH(Tabelle1014[[#This Row],[Rank]],Stammdaten[Rank Verteilung Ovalität],0))</f>
        <v>#N/A</v>
      </c>
      <c r="AB2434" t="e">
        <f>VLOOKUP(Tabelle1014[[#This Row],[Rank]],Stammdaten[[Rank Verteilung Ovalität]:[Verteilung Ovalität]],2,FALSE)</f>
        <v>#N/A</v>
      </c>
    </row>
    <row r="2435" spans="5:28" x14ac:dyDescent="0.35">
      <c r="E2435">
        <v>2426</v>
      </c>
      <c r="F2435" t="e">
        <f>INDEX(Stammdaten[D Mitte mit Rinde (mm)],MATCH(Tabelle8[[#This Row],[Rank]],Stammdaten[Rank Verteilung D Mitte mit Rinde],0))</f>
        <v>#N/A</v>
      </c>
      <c r="G2435" t="e">
        <f>VLOOKUP(Tabelle8[[#This Row],[Rank]],Stammdaten[[Rank Verteilung D Mitte mit Rinde]:[Verteilung D Mitte mit Rinde]],2,FALSE)</f>
        <v>#N/A</v>
      </c>
      <c r="L2435">
        <v>2426</v>
      </c>
      <c r="M2435" t="e">
        <f>INDEX(Stammdaten[Abholzigkeit (mm/lfm)],MATCH(Tabelle9[[#This Row],[Rank]],Stammdaten[Rank Verteilung Abholzigkeit],0))</f>
        <v>#N/A</v>
      </c>
      <c r="N2435" t="e">
        <f>VLOOKUP(Tabelle9[[#This Row],[Rank]],Stammdaten[[Rank Verteilung Abholzigkeit]:[Verteilung Abholzigkeit]],2,FALSE)</f>
        <v>#N/A</v>
      </c>
      <c r="S2435">
        <v>2426</v>
      </c>
      <c r="T2435" t="e">
        <f>INDEX(Stammdaten[Krümmung (mm/lfm)],MATCH(Tabelle10[[#This Row],[Rank]],Stammdaten[Rank Verteilung Krümmung],0))</f>
        <v>#N/A</v>
      </c>
      <c r="U2435" t="e">
        <f>VLOOKUP(Tabelle10[[#This Row],[Rank]],Stammdaten[[Rank Verteilung Krümmung]:[Verteilung Krümmung]],2,FALSE)</f>
        <v>#N/A</v>
      </c>
      <c r="Z2435">
        <v>2426</v>
      </c>
      <c r="AA2435" t="e">
        <f>INDEX(Stammdaten[Ovalität (']0,1'])],MATCH(Tabelle1014[[#This Row],[Rank]],Stammdaten[Rank Verteilung Ovalität],0))</f>
        <v>#N/A</v>
      </c>
      <c r="AB2435" t="e">
        <f>VLOOKUP(Tabelle1014[[#This Row],[Rank]],Stammdaten[[Rank Verteilung Ovalität]:[Verteilung Ovalität]],2,FALSE)</f>
        <v>#N/A</v>
      </c>
    </row>
    <row r="2436" spans="5:28" x14ac:dyDescent="0.35">
      <c r="E2436">
        <v>2427</v>
      </c>
      <c r="F2436" t="e">
        <f>INDEX(Stammdaten[D Mitte mit Rinde (mm)],MATCH(Tabelle8[[#This Row],[Rank]],Stammdaten[Rank Verteilung D Mitte mit Rinde],0))</f>
        <v>#N/A</v>
      </c>
      <c r="G2436" t="e">
        <f>VLOOKUP(Tabelle8[[#This Row],[Rank]],Stammdaten[[Rank Verteilung D Mitte mit Rinde]:[Verteilung D Mitte mit Rinde]],2,FALSE)</f>
        <v>#N/A</v>
      </c>
      <c r="L2436">
        <v>2427</v>
      </c>
      <c r="M2436" t="e">
        <f>INDEX(Stammdaten[Abholzigkeit (mm/lfm)],MATCH(Tabelle9[[#This Row],[Rank]],Stammdaten[Rank Verteilung Abholzigkeit],0))</f>
        <v>#N/A</v>
      </c>
      <c r="N2436" t="e">
        <f>VLOOKUP(Tabelle9[[#This Row],[Rank]],Stammdaten[[Rank Verteilung Abholzigkeit]:[Verteilung Abholzigkeit]],2,FALSE)</f>
        <v>#N/A</v>
      </c>
      <c r="S2436">
        <v>2427</v>
      </c>
      <c r="T2436" t="e">
        <f>INDEX(Stammdaten[Krümmung (mm/lfm)],MATCH(Tabelle10[[#This Row],[Rank]],Stammdaten[Rank Verteilung Krümmung],0))</f>
        <v>#N/A</v>
      </c>
      <c r="U2436" t="e">
        <f>VLOOKUP(Tabelle10[[#This Row],[Rank]],Stammdaten[[Rank Verteilung Krümmung]:[Verteilung Krümmung]],2,FALSE)</f>
        <v>#N/A</v>
      </c>
      <c r="Z2436">
        <v>2427</v>
      </c>
      <c r="AA2436" t="e">
        <f>INDEX(Stammdaten[Ovalität (']0,1'])],MATCH(Tabelle1014[[#This Row],[Rank]],Stammdaten[Rank Verteilung Ovalität],0))</f>
        <v>#N/A</v>
      </c>
      <c r="AB2436" t="e">
        <f>VLOOKUP(Tabelle1014[[#This Row],[Rank]],Stammdaten[[Rank Verteilung Ovalität]:[Verteilung Ovalität]],2,FALSE)</f>
        <v>#N/A</v>
      </c>
    </row>
    <row r="2437" spans="5:28" x14ac:dyDescent="0.35">
      <c r="E2437">
        <v>2428</v>
      </c>
      <c r="F2437" t="e">
        <f>INDEX(Stammdaten[D Mitte mit Rinde (mm)],MATCH(Tabelle8[[#This Row],[Rank]],Stammdaten[Rank Verteilung D Mitte mit Rinde],0))</f>
        <v>#N/A</v>
      </c>
      <c r="G2437" t="e">
        <f>VLOOKUP(Tabelle8[[#This Row],[Rank]],Stammdaten[[Rank Verteilung D Mitte mit Rinde]:[Verteilung D Mitte mit Rinde]],2,FALSE)</f>
        <v>#N/A</v>
      </c>
      <c r="L2437">
        <v>2428</v>
      </c>
      <c r="M2437" t="e">
        <f>INDEX(Stammdaten[Abholzigkeit (mm/lfm)],MATCH(Tabelle9[[#This Row],[Rank]],Stammdaten[Rank Verteilung Abholzigkeit],0))</f>
        <v>#N/A</v>
      </c>
      <c r="N2437" t="e">
        <f>VLOOKUP(Tabelle9[[#This Row],[Rank]],Stammdaten[[Rank Verteilung Abholzigkeit]:[Verteilung Abholzigkeit]],2,FALSE)</f>
        <v>#N/A</v>
      </c>
      <c r="S2437">
        <v>2428</v>
      </c>
      <c r="T2437" t="e">
        <f>INDEX(Stammdaten[Krümmung (mm/lfm)],MATCH(Tabelle10[[#This Row],[Rank]],Stammdaten[Rank Verteilung Krümmung],0))</f>
        <v>#N/A</v>
      </c>
      <c r="U2437" t="e">
        <f>VLOOKUP(Tabelle10[[#This Row],[Rank]],Stammdaten[[Rank Verteilung Krümmung]:[Verteilung Krümmung]],2,FALSE)</f>
        <v>#N/A</v>
      </c>
      <c r="Z2437">
        <v>2428</v>
      </c>
      <c r="AA2437" t="e">
        <f>INDEX(Stammdaten[Ovalität (']0,1'])],MATCH(Tabelle1014[[#This Row],[Rank]],Stammdaten[Rank Verteilung Ovalität],0))</f>
        <v>#N/A</v>
      </c>
      <c r="AB2437" t="e">
        <f>VLOOKUP(Tabelle1014[[#This Row],[Rank]],Stammdaten[[Rank Verteilung Ovalität]:[Verteilung Ovalität]],2,FALSE)</f>
        <v>#N/A</v>
      </c>
    </row>
    <row r="2438" spans="5:28" x14ac:dyDescent="0.35">
      <c r="E2438">
        <v>2429</v>
      </c>
      <c r="F2438" t="e">
        <f>INDEX(Stammdaten[D Mitte mit Rinde (mm)],MATCH(Tabelle8[[#This Row],[Rank]],Stammdaten[Rank Verteilung D Mitte mit Rinde],0))</f>
        <v>#N/A</v>
      </c>
      <c r="G2438" t="e">
        <f>VLOOKUP(Tabelle8[[#This Row],[Rank]],Stammdaten[[Rank Verteilung D Mitte mit Rinde]:[Verteilung D Mitte mit Rinde]],2,FALSE)</f>
        <v>#N/A</v>
      </c>
      <c r="L2438">
        <v>2429</v>
      </c>
      <c r="M2438" t="e">
        <f>INDEX(Stammdaten[Abholzigkeit (mm/lfm)],MATCH(Tabelle9[[#This Row],[Rank]],Stammdaten[Rank Verteilung Abholzigkeit],0))</f>
        <v>#N/A</v>
      </c>
      <c r="N2438" t="e">
        <f>VLOOKUP(Tabelle9[[#This Row],[Rank]],Stammdaten[[Rank Verteilung Abholzigkeit]:[Verteilung Abholzigkeit]],2,FALSE)</f>
        <v>#N/A</v>
      </c>
      <c r="S2438">
        <v>2429</v>
      </c>
      <c r="T2438" t="e">
        <f>INDEX(Stammdaten[Krümmung (mm/lfm)],MATCH(Tabelle10[[#This Row],[Rank]],Stammdaten[Rank Verteilung Krümmung],0))</f>
        <v>#N/A</v>
      </c>
      <c r="U2438" t="e">
        <f>VLOOKUP(Tabelle10[[#This Row],[Rank]],Stammdaten[[Rank Verteilung Krümmung]:[Verteilung Krümmung]],2,FALSE)</f>
        <v>#N/A</v>
      </c>
      <c r="Z2438">
        <v>2429</v>
      </c>
      <c r="AA2438" t="e">
        <f>INDEX(Stammdaten[Ovalität (']0,1'])],MATCH(Tabelle1014[[#This Row],[Rank]],Stammdaten[Rank Verteilung Ovalität],0))</f>
        <v>#N/A</v>
      </c>
      <c r="AB2438" t="e">
        <f>VLOOKUP(Tabelle1014[[#This Row],[Rank]],Stammdaten[[Rank Verteilung Ovalität]:[Verteilung Ovalität]],2,FALSE)</f>
        <v>#N/A</v>
      </c>
    </row>
    <row r="2439" spans="5:28" x14ac:dyDescent="0.35">
      <c r="E2439">
        <v>2430</v>
      </c>
      <c r="F2439" t="e">
        <f>INDEX(Stammdaten[D Mitte mit Rinde (mm)],MATCH(Tabelle8[[#This Row],[Rank]],Stammdaten[Rank Verteilung D Mitte mit Rinde],0))</f>
        <v>#N/A</v>
      </c>
      <c r="G2439" t="e">
        <f>VLOOKUP(Tabelle8[[#This Row],[Rank]],Stammdaten[[Rank Verteilung D Mitte mit Rinde]:[Verteilung D Mitte mit Rinde]],2,FALSE)</f>
        <v>#N/A</v>
      </c>
      <c r="L2439">
        <v>2430</v>
      </c>
      <c r="M2439" t="e">
        <f>INDEX(Stammdaten[Abholzigkeit (mm/lfm)],MATCH(Tabelle9[[#This Row],[Rank]],Stammdaten[Rank Verteilung Abholzigkeit],0))</f>
        <v>#N/A</v>
      </c>
      <c r="N2439" t="e">
        <f>VLOOKUP(Tabelle9[[#This Row],[Rank]],Stammdaten[[Rank Verteilung Abholzigkeit]:[Verteilung Abholzigkeit]],2,FALSE)</f>
        <v>#N/A</v>
      </c>
      <c r="S2439">
        <v>2430</v>
      </c>
      <c r="T2439" t="e">
        <f>INDEX(Stammdaten[Krümmung (mm/lfm)],MATCH(Tabelle10[[#This Row],[Rank]],Stammdaten[Rank Verteilung Krümmung],0))</f>
        <v>#N/A</v>
      </c>
      <c r="U2439" t="e">
        <f>VLOOKUP(Tabelle10[[#This Row],[Rank]],Stammdaten[[Rank Verteilung Krümmung]:[Verteilung Krümmung]],2,FALSE)</f>
        <v>#N/A</v>
      </c>
      <c r="Z2439">
        <v>2430</v>
      </c>
      <c r="AA2439" t="e">
        <f>INDEX(Stammdaten[Ovalität (']0,1'])],MATCH(Tabelle1014[[#This Row],[Rank]],Stammdaten[Rank Verteilung Ovalität],0))</f>
        <v>#N/A</v>
      </c>
      <c r="AB2439" t="e">
        <f>VLOOKUP(Tabelle1014[[#This Row],[Rank]],Stammdaten[[Rank Verteilung Ovalität]:[Verteilung Ovalität]],2,FALSE)</f>
        <v>#N/A</v>
      </c>
    </row>
    <row r="2440" spans="5:28" x14ac:dyDescent="0.35">
      <c r="E2440">
        <v>2431</v>
      </c>
      <c r="F2440" t="e">
        <f>INDEX(Stammdaten[D Mitte mit Rinde (mm)],MATCH(Tabelle8[[#This Row],[Rank]],Stammdaten[Rank Verteilung D Mitte mit Rinde],0))</f>
        <v>#N/A</v>
      </c>
      <c r="G2440" t="e">
        <f>VLOOKUP(Tabelle8[[#This Row],[Rank]],Stammdaten[[Rank Verteilung D Mitte mit Rinde]:[Verteilung D Mitte mit Rinde]],2,FALSE)</f>
        <v>#N/A</v>
      </c>
      <c r="L2440">
        <v>2431</v>
      </c>
      <c r="M2440" t="e">
        <f>INDEX(Stammdaten[Abholzigkeit (mm/lfm)],MATCH(Tabelle9[[#This Row],[Rank]],Stammdaten[Rank Verteilung Abholzigkeit],0))</f>
        <v>#N/A</v>
      </c>
      <c r="N2440" t="e">
        <f>VLOOKUP(Tabelle9[[#This Row],[Rank]],Stammdaten[[Rank Verteilung Abholzigkeit]:[Verteilung Abholzigkeit]],2,FALSE)</f>
        <v>#N/A</v>
      </c>
      <c r="S2440">
        <v>2431</v>
      </c>
      <c r="T2440" t="e">
        <f>INDEX(Stammdaten[Krümmung (mm/lfm)],MATCH(Tabelle10[[#This Row],[Rank]],Stammdaten[Rank Verteilung Krümmung],0))</f>
        <v>#N/A</v>
      </c>
      <c r="U2440" t="e">
        <f>VLOOKUP(Tabelle10[[#This Row],[Rank]],Stammdaten[[Rank Verteilung Krümmung]:[Verteilung Krümmung]],2,FALSE)</f>
        <v>#N/A</v>
      </c>
      <c r="Z2440">
        <v>2431</v>
      </c>
      <c r="AA2440" t="e">
        <f>INDEX(Stammdaten[Ovalität (']0,1'])],MATCH(Tabelle1014[[#This Row],[Rank]],Stammdaten[Rank Verteilung Ovalität],0))</f>
        <v>#N/A</v>
      </c>
      <c r="AB2440" t="e">
        <f>VLOOKUP(Tabelle1014[[#This Row],[Rank]],Stammdaten[[Rank Verteilung Ovalität]:[Verteilung Ovalität]],2,FALSE)</f>
        <v>#N/A</v>
      </c>
    </row>
    <row r="2441" spans="5:28" x14ac:dyDescent="0.35">
      <c r="E2441">
        <v>2432</v>
      </c>
      <c r="F2441" t="e">
        <f>INDEX(Stammdaten[D Mitte mit Rinde (mm)],MATCH(Tabelle8[[#This Row],[Rank]],Stammdaten[Rank Verteilung D Mitte mit Rinde],0))</f>
        <v>#N/A</v>
      </c>
      <c r="G2441" t="e">
        <f>VLOOKUP(Tabelle8[[#This Row],[Rank]],Stammdaten[[Rank Verteilung D Mitte mit Rinde]:[Verteilung D Mitte mit Rinde]],2,FALSE)</f>
        <v>#N/A</v>
      </c>
      <c r="L2441">
        <v>2432</v>
      </c>
      <c r="M2441" t="e">
        <f>INDEX(Stammdaten[Abholzigkeit (mm/lfm)],MATCH(Tabelle9[[#This Row],[Rank]],Stammdaten[Rank Verteilung Abholzigkeit],0))</f>
        <v>#N/A</v>
      </c>
      <c r="N2441" t="e">
        <f>VLOOKUP(Tabelle9[[#This Row],[Rank]],Stammdaten[[Rank Verteilung Abholzigkeit]:[Verteilung Abholzigkeit]],2,FALSE)</f>
        <v>#N/A</v>
      </c>
      <c r="S2441">
        <v>2432</v>
      </c>
      <c r="T2441" t="e">
        <f>INDEX(Stammdaten[Krümmung (mm/lfm)],MATCH(Tabelle10[[#This Row],[Rank]],Stammdaten[Rank Verteilung Krümmung],0))</f>
        <v>#N/A</v>
      </c>
      <c r="U2441" t="e">
        <f>VLOOKUP(Tabelle10[[#This Row],[Rank]],Stammdaten[[Rank Verteilung Krümmung]:[Verteilung Krümmung]],2,FALSE)</f>
        <v>#N/A</v>
      </c>
      <c r="Z2441">
        <v>2432</v>
      </c>
      <c r="AA2441" t="e">
        <f>INDEX(Stammdaten[Ovalität (']0,1'])],MATCH(Tabelle1014[[#This Row],[Rank]],Stammdaten[Rank Verteilung Ovalität],0))</f>
        <v>#N/A</v>
      </c>
      <c r="AB2441" t="e">
        <f>VLOOKUP(Tabelle1014[[#This Row],[Rank]],Stammdaten[[Rank Verteilung Ovalität]:[Verteilung Ovalität]],2,FALSE)</f>
        <v>#N/A</v>
      </c>
    </row>
    <row r="2442" spans="5:28" x14ac:dyDescent="0.35">
      <c r="E2442">
        <v>2433</v>
      </c>
      <c r="F2442" t="e">
        <f>INDEX(Stammdaten[D Mitte mit Rinde (mm)],MATCH(Tabelle8[[#This Row],[Rank]],Stammdaten[Rank Verteilung D Mitte mit Rinde],0))</f>
        <v>#N/A</v>
      </c>
      <c r="G2442" t="e">
        <f>VLOOKUP(Tabelle8[[#This Row],[Rank]],Stammdaten[[Rank Verteilung D Mitte mit Rinde]:[Verteilung D Mitte mit Rinde]],2,FALSE)</f>
        <v>#N/A</v>
      </c>
      <c r="L2442">
        <v>2433</v>
      </c>
      <c r="M2442" t="e">
        <f>INDEX(Stammdaten[Abholzigkeit (mm/lfm)],MATCH(Tabelle9[[#This Row],[Rank]],Stammdaten[Rank Verteilung Abholzigkeit],0))</f>
        <v>#N/A</v>
      </c>
      <c r="N2442" t="e">
        <f>VLOOKUP(Tabelle9[[#This Row],[Rank]],Stammdaten[[Rank Verteilung Abholzigkeit]:[Verteilung Abholzigkeit]],2,FALSE)</f>
        <v>#N/A</v>
      </c>
      <c r="S2442">
        <v>2433</v>
      </c>
      <c r="T2442" t="e">
        <f>INDEX(Stammdaten[Krümmung (mm/lfm)],MATCH(Tabelle10[[#This Row],[Rank]],Stammdaten[Rank Verteilung Krümmung],0))</f>
        <v>#N/A</v>
      </c>
      <c r="U2442" t="e">
        <f>VLOOKUP(Tabelle10[[#This Row],[Rank]],Stammdaten[[Rank Verteilung Krümmung]:[Verteilung Krümmung]],2,FALSE)</f>
        <v>#N/A</v>
      </c>
      <c r="Z2442">
        <v>2433</v>
      </c>
      <c r="AA2442" t="e">
        <f>INDEX(Stammdaten[Ovalität (']0,1'])],MATCH(Tabelle1014[[#This Row],[Rank]],Stammdaten[Rank Verteilung Ovalität],0))</f>
        <v>#N/A</v>
      </c>
      <c r="AB2442" t="e">
        <f>VLOOKUP(Tabelle1014[[#This Row],[Rank]],Stammdaten[[Rank Verteilung Ovalität]:[Verteilung Ovalität]],2,FALSE)</f>
        <v>#N/A</v>
      </c>
    </row>
    <row r="2443" spans="5:28" x14ac:dyDescent="0.35">
      <c r="E2443">
        <v>2434</v>
      </c>
      <c r="F2443" t="e">
        <f>INDEX(Stammdaten[D Mitte mit Rinde (mm)],MATCH(Tabelle8[[#This Row],[Rank]],Stammdaten[Rank Verteilung D Mitte mit Rinde],0))</f>
        <v>#N/A</v>
      </c>
      <c r="G2443" t="e">
        <f>VLOOKUP(Tabelle8[[#This Row],[Rank]],Stammdaten[[Rank Verteilung D Mitte mit Rinde]:[Verteilung D Mitte mit Rinde]],2,FALSE)</f>
        <v>#N/A</v>
      </c>
      <c r="L2443">
        <v>2434</v>
      </c>
      <c r="M2443" t="e">
        <f>INDEX(Stammdaten[Abholzigkeit (mm/lfm)],MATCH(Tabelle9[[#This Row],[Rank]],Stammdaten[Rank Verteilung Abholzigkeit],0))</f>
        <v>#N/A</v>
      </c>
      <c r="N2443" t="e">
        <f>VLOOKUP(Tabelle9[[#This Row],[Rank]],Stammdaten[[Rank Verteilung Abholzigkeit]:[Verteilung Abholzigkeit]],2,FALSE)</f>
        <v>#N/A</v>
      </c>
      <c r="S2443">
        <v>2434</v>
      </c>
      <c r="T2443" t="e">
        <f>INDEX(Stammdaten[Krümmung (mm/lfm)],MATCH(Tabelle10[[#This Row],[Rank]],Stammdaten[Rank Verteilung Krümmung],0))</f>
        <v>#N/A</v>
      </c>
      <c r="U2443" t="e">
        <f>VLOOKUP(Tabelle10[[#This Row],[Rank]],Stammdaten[[Rank Verteilung Krümmung]:[Verteilung Krümmung]],2,FALSE)</f>
        <v>#N/A</v>
      </c>
      <c r="Z2443">
        <v>2434</v>
      </c>
      <c r="AA2443" t="e">
        <f>INDEX(Stammdaten[Ovalität (']0,1'])],MATCH(Tabelle1014[[#This Row],[Rank]],Stammdaten[Rank Verteilung Ovalität],0))</f>
        <v>#N/A</v>
      </c>
      <c r="AB2443" t="e">
        <f>VLOOKUP(Tabelle1014[[#This Row],[Rank]],Stammdaten[[Rank Verteilung Ovalität]:[Verteilung Ovalität]],2,FALSE)</f>
        <v>#N/A</v>
      </c>
    </row>
    <row r="2444" spans="5:28" x14ac:dyDescent="0.35">
      <c r="E2444">
        <v>2435</v>
      </c>
      <c r="F2444" t="e">
        <f>INDEX(Stammdaten[D Mitte mit Rinde (mm)],MATCH(Tabelle8[[#This Row],[Rank]],Stammdaten[Rank Verteilung D Mitte mit Rinde],0))</f>
        <v>#N/A</v>
      </c>
      <c r="G2444" t="e">
        <f>VLOOKUP(Tabelle8[[#This Row],[Rank]],Stammdaten[[Rank Verteilung D Mitte mit Rinde]:[Verteilung D Mitte mit Rinde]],2,FALSE)</f>
        <v>#N/A</v>
      </c>
      <c r="L2444">
        <v>2435</v>
      </c>
      <c r="M2444" t="e">
        <f>INDEX(Stammdaten[Abholzigkeit (mm/lfm)],MATCH(Tabelle9[[#This Row],[Rank]],Stammdaten[Rank Verteilung Abholzigkeit],0))</f>
        <v>#N/A</v>
      </c>
      <c r="N2444" t="e">
        <f>VLOOKUP(Tabelle9[[#This Row],[Rank]],Stammdaten[[Rank Verteilung Abholzigkeit]:[Verteilung Abholzigkeit]],2,FALSE)</f>
        <v>#N/A</v>
      </c>
      <c r="S2444">
        <v>2435</v>
      </c>
      <c r="T2444" t="e">
        <f>INDEX(Stammdaten[Krümmung (mm/lfm)],MATCH(Tabelle10[[#This Row],[Rank]],Stammdaten[Rank Verteilung Krümmung],0))</f>
        <v>#N/A</v>
      </c>
      <c r="U2444" t="e">
        <f>VLOOKUP(Tabelle10[[#This Row],[Rank]],Stammdaten[[Rank Verteilung Krümmung]:[Verteilung Krümmung]],2,FALSE)</f>
        <v>#N/A</v>
      </c>
      <c r="Z2444">
        <v>2435</v>
      </c>
      <c r="AA2444" t="e">
        <f>INDEX(Stammdaten[Ovalität (']0,1'])],MATCH(Tabelle1014[[#This Row],[Rank]],Stammdaten[Rank Verteilung Ovalität],0))</f>
        <v>#N/A</v>
      </c>
      <c r="AB2444" t="e">
        <f>VLOOKUP(Tabelle1014[[#This Row],[Rank]],Stammdaten[[Rank Verteilung Ovalität]:[Verteilung Ovalität]],2,FALSE)</f>
        <v>#N/A</v>
      </c>
    </row>
    <row r="2445" spans="5:28" x14ac:dyDescent="0.35">
      <c r="E2445">
        <v>2436</v>
      </c>
      <c r="F2445" t="e">
        <f>INDEX(Stammdaten[D Mitte mit Rinde (mm)],MATCH(Tabelle8[[#This Row],[Rank]],Stammdaten[Rank Verteilung D Mitte mit Rinde],0))</f>
        <v>#N/A</v>
      </c>
      <c r="G2445" t="e">
        <f>VLOOKUP(Tabelle8[[#This Row],[Rank]],Stammdaten[[Rank Verteilung D Mitte mit Rinde]:[Verteilung D Mitte mit Rinde]],2,FALSE)</f>
        <v>#N/A</v>
      </c>
      <c r="L2445">
        <v>2436</v>
      </c>
      <c r="M2445" t="e">
        <f>INDEX(Stammdaten[Abholzigkeit (mm/lfm)],MATCH(Tabelle9[[#This Row],[Rank]],Stammdaten[Rank Verteilung Abholzigkeit],0))</f>
        <v>#N/A</v>
      </c>
      <c r="N2445" t="e">
        <f>VLOOKUP(Tabelle9[[#This Row],[Rank]],Stammdaten[[Rank Verteilung Abholzigkeit]:[Verteilung Abholzigkeit]],2,FALSE)</f>
        <v>#N/A</v>
      </c>
      <c r="S2445">
        <v>2436</v>
      </c>
      <c r="T2445" t="e">
        <f>INDEX(Stammdaten[Krümmung (mm/lfm)],MATCH(Tabelle10[[#This Row],[Rank]],Stammdaten[Rank Verteilung Krümmung],0))</f>
        <v>#N/A</v>
      </c>
      <c r="U2445" t="e">
        <f>VLOOKUP(Tabelle10[[#This Row],[Rank]],Stammdaten[[Rank Verteilung Krümmung]:[Verteilung Krümmung]],2,FALSE)</f>
        <v>#N/A</v>
      </c>
      <c r="Z2445">
        <v>2436</v>
      </c>
      <c r="AA2445" t="e">
        <f>INDEX(Stammdaten[Ovalität (']0,1'])],MATCH(Tabelle1014[[#This Row],[Rank]],Stammdaten[Rank Verteilung Ovalität],0))</f>
        <v>#N/A</v>
      </c>
      <c r="AB2445" t="e">
        <f>VLOOKUP(Tabelle1014[[#This Row],[Rank]],Stammdaten[[Rank Verteilung Ovalität]:[Verteilung Ovalität]],2,FALSE)</f>
        <v>#N/A</v>
      </c>
    </row>
    <row r="2446" spans="5:28" x14ac:dyDescent="0.35">
      <c r="E2446">
        <v>2437</v>
      </c>
      <c r="F2446" t="e">
        <f>INDEX(Stammdaten[D Mitte mit Rinde (mm)],MATCH(Tabelle8[[#This Row],[Rank]],Stammdaten[Rank Verteilung D Mitte mit Rinde],0))</f>
        <v>#N/A</v>
      </c>
      <c r="G2446" t="e">
        <f>VLOOKUP(Tabelle8[[#This Row],[Rank]],Stammdaten[[Rank Verteilung D Mitte mit Rinde]:[Verteilung D Mitte mit Rinde]],2,FALSE)</f>
        <v>#N/A</v>
      </c>
      <c r="L2446">
        <v>2437</v>
      </c>
      <c r="M2446" t="e">
        <f>INDEX(Stammdaten[Abholzigkeit (mm/lfm)],MATCH(Tabelle9[[#This Row],[Rank]],Stammdaten[Rank Verteilung Abholzigkeit],0))</f>
        <v>#N/A</v>
      </c>
      <c r="N2446" t="e">
        <f>VLOOKUP(Tabelle9[[#This Row],[Rank]],Stammdaten[[Rank Verteilung Abholzigkeit]:[Verteilung Abholzigkeit]],2,FALSE)</f>
        <v>#N/A</v>
      </c>
      <c r="S2446">
        <v>2437</v>
      </c>
      <c r="T2446" t="e">
        <f>INDEX(Stammdaten[Krümmung (mm/lfm)],MATCH(Tabelle10[[#This Row],[Rank]],Stammdaten[Rank Verteilung Krümmung],0))</f>
        <v>#N/A</v>
      </c>
      <c r="U2446" t="e">
        <f>VLOOKUP(Tabelle10[[#This Row],[Rank]],Stammdaten[[Rank Verteilung Krümmung]:[Verteilung Krümmung]],2,FALSE)</f>
        <v>#N/A</v>
      </c>
      <c r="Z2446">
        <v>2437</v>
      </c>
      <c r="AA2446" t="e">
        <f>INDEX(Stammdaten[Ovalität (']0,1'])],MATCH(Tabelle1014[[#This Row],[Rank]],Stammdaten[Rank Verteilung Ovalität],0))</f>
        <v>#N/A</v>
      </c>
      <c r="AB2446" t="e">
        <f>VLOOKUP(Tabelle1014[[#This Row],[Rank]],Stammdaten[[Rank Verteilung Ovalität]:[Verteilung Ovalität]],2,FALSE)</f>
        <v>#N/A</v>
      </c>
    </row>
    <row r="2447" spans="5:28" x14ac:dyDescent="0.35">
      <c r="E2447">
        <v>2438</v>
      </c>
      <c r="F2447" t="e">
        <f>INDEX(Stammdaten[D Mitte mit Rinde (mm)],MATCH(Tabelle8[[#This Row],[Rank]],Stammdaten[Rank Verteilung D Mitte mit Rinde],0))</f>
        <v>#N/A</v>
      </c>
      <c r="G2447" t="e">
        <f>VLOOKUP(Tabelle8[[#This Row],[Rank]],Stammdaten[[Rank Verteilung D Mitte mit Rinde]:[Verteilung D Mitte mit Rinde]],2,FALSE)</f>
        <v>#N/A</v>
      </c>
      <c r="L2447">
        <v>2438</v>
      </c>
      <c r="M2447" t="e">
        <f>INDEX(Stammdaten[Abholzigkeit (mm/lfm)],MATCH(Tabelle9[[#This Row],[Rank]],Stammdaten[Rank Verteilung Abholzigkeit],0))</f>
        <v>#N/A</v>
      </c>
      <c r="N2447" t="e">
        <f>VLOOKUP(Tabelle9[[#This Row],[Rank]],Stammdaten[[Rank Verteilung Abholzigkeit]:[Verteilung Abholzigkeit]],2,FALSE)</f>
        <v>#N/A</v>
      </c>
      <c r="S2447">
        <v>2438</v>
      </c>
      <c r="T2447" t="e">
        <f>INDEX(Stammdaten[Krümmung (mm/lfm)],MATCH(Tabelle10[[#This Row],[Rank]],Stammdaten[Rank Verteilung Krümmung],0))</f>
        <v>#N/A</v>
      </c>
      <c r="U2447" t="e">
        <f>VLOOKUP(Tabelle10[[#This Row],[Rank]],Stammdaten[[Rank Verteilung Krümmung]:[Verteilung Krümmung]],2,FALSE)</f>
        <v>#N/A</v>
      </c>
      <c r="Z2447">
        <v>2438</v>
      </c>
      <c r="AA2447" t="e">
        <f>INDEX(Stammdaten[Ovalität (']0,1'])],MATCH(Tabelle1014[[#This Row],[Rank]],Stammdaten[Rank Verteilung Ovalität],0))</f>
        <v>#N/A</v>
      </c>
      <c r="AB2447" t="e">
        <f>VLOOKUP(Tabelle1014[[#This Row],[Rank]],Stammdaten[[Rank Verteilung Ovalität]:[Verteilung Ovalität]],2,FALSE)</f>
        <v>#N/A</v>
      </c>
    </row>
    <row r="2448" spans="5:28" x14ac:dyDescent="0.35">
      <c r="E2448">
        <v>2439</v>
      </c>
      <c r="F2448" t="e">
        <f>INDEX(Stammdaten[D Mitte mit Rinde (mm)],MATCH(Tabelle8[[#This Row],[Rank]],Stammdaten[Rank Verteilung D Mitte mit Rinde],0))</f>
        <v>#N/A</v>
      </c>
      <c r="G2448" t="e">
        <f>VLOOKUP(Tabelle8[[#This Row],[Rank]],Stammdaten[[Rank Verteilung D Mitte mit Rinde]:[Verteilung D Mitte mit Rinde]],2,FALSE)</f>
        <v>#N/A</v>
      </c>
      <c r="L2448">
        <v>2439</v>
      </c>
      <c r="M2448" t="e">
        <f>INDEX(Stammdaten[Abholzigkeit (mm/lfm)],MATCH(Tabelle9[[#This Row],[Rank]],Stammdaten[Rank Verteilung Abholzigkeit],0))</f>
        <v>#N/A</v>
      </c>
      <c r="N2448" t="e">
        <f>VLOOKUP(Tabelle9[[#This Row],[Rank]],Stammdaten[[Rank Verteilung Abholzigkeit]:[Verteilung Abholzigkeit]],2,FALSE)</f>
        <v>#N/A</v>
      </c>
      <c r="S2448">
        <v>2439</v>
      </c>
      <c r="T2448" t="e">
        <f>INDEX(Stammdaten[Krümmung (mm/lfm)],MATCH(Tabelle10[[#This Row],[Rank]],Stammdaten[Rank Verteilung Krümmung],0))</f>
        <v>#N/A</v>
      </c>
      <c r="U2448" t="e">
        <f>VLOOKUP(Tabelle10[[#This Row],[Rank]],Stammdaten[[Rank Verteilung Krümmung]:[Verteilung Krümmung]],2,FALSE)</f>
        <v>#N/A</v>
      </c>
      <c r="Z2448">
        <v>2439</v>
      </c>
      <c r="AA2448" t="e">
        <f>INDEX(Stammdaten[Ovalität (']0,1'])],MATCH(Tabelle1014[[#This Row],[Rank]],Stammdaten[Rank Verteilung Ovalität],0))</f>
        <v>#N/A</v>
      </c>
      <c r="AB2448" t="e">
        <f>VLOOKUP(Tabelle1014[[#This Row],[Rank]],Stammdaten[[Rank Verteilung Ovalität]:[Verteilung Ovalität]],2,FALSE)</f>
        <v>#N/A</v>
      </c>
    </row>
    <row r="2449" spans="5:28" x14ac:dyDescent="0.35">
      <c r="E2449">
        <v>2440</v>
      </c>
      <c r="F2449" t="e">
        <f>INDEX(Stammdaten[D Mitte mit Rinde (mm)],MATCH(Tabelle8[[#This Row],[Rank]],Stammdaten[Rank Verteilung D Mitte mit Rinde],0))</f>
        <v>#N/A</v>
      </c>
      <c r="G2449" t="e">
        <f>VLOOKUP(Tabelle8[[#This Row],[Rank]],Stammdaten[[Rank Verteilung D Mitte mit Rinde]:[Verteilung D Mitte mit Rinde]],2,FALSE)</f>
        <v>#N/A</v>
      </c>
      <c r="L2449">
        <v>2440</v>
      </c>
      <c r="M2449" t="e">
        <f>INDEX(Stammdaten[Abholzigkeit (mm/lfm)],MATCH(Tabelle9[[#This Row],[Rank]],Stammdaten[Rank Verteilung Abholzigkeit],0))</f>
        <v>#N/A</v>
      </c>
      <c r="N2449" t="e">
        <f>VLOOKUP(Tabelle9[[#This Row],[Rank]],Stammdaten[[Rank Verteilung Abholzigkeit]:[Verteilung Abholzigkeit]],2,FALSE)</f>
        <v>#N/A</v>
      </c>
      <c r="S2449">
        <v>2440</v>
      </c>
      <c r="T2449" t="e">
        <f>INDEX(Stammdaten[Krümmung (mm/lfm)],MATCH(Tabelle10[[#This Row],[Rank]],Stammdaten[Rank Verteilung Krümmung],0))</f>
        <v>#N/A</v>
      </c>
      <c r="U2449" t="e">
        <f>VLOOKUP(Tabelle10[[#This Row],[Rank]],Stammdaten[[Rank Verteilung Krümmung]:[Verteilung Krümmung]],2,FALSE)</f>
        <v>#N/A</v>
      </c>
      <c r="Z2449">
        <v>2440</v>
      </c>
      <c r="AA2449" t="e">
        <f>INDEX(Stammdaten[Ovalität (']0,1'])],MATCH(Tabelle1014[[#This Row],[Rank]],Stammdaten[Rank Verteilung Ovalität],0))</f>
        <v>#N/A</v>
      </c>
      <c r="AB2449" t="e">
        <f>VLOOKUP(Tabelle1014[[#This Row],[Rank]],Stammdaten[[Rank Verteilung Ovalität]:[Verteilung Ovalität]],2,FALSE)</f>
        <v>#N/A</v>
      </c>
    </row>
    <row r="2450" spans="5:28" x14ac:dyDescent="0.35">
      <c r="E2450">
        <v>2441</v>
      </c>
      <c r="F2450" t="e">
        <f>INDEX(Stammdaten[D Mitte mit Rinde (mm)],MATCH(Tabelle8[[#This Row],[Rank]],Stammdaten[Rank Verteilung D Mitte mit Rinde],0))</f>
        <v>#N/A</v>
      </c>
      <c r="G2450" t="e">
        <f>VLOOKUP(Tabelle8[[#This Row],[Rank]],Stammdaten[[Rank Verteilung D Mitte mit Rinde]:[Verteilung D Mitte mit Rinde]],2,FALSE)</f>
        <v>#N/A</v>
      </c>
      <c r="L2450">
        <v>2441</v>
      </c>
      <c r="M2450" t="e">
        <f>INDEX(Stammdaten[Abholzigkeit (mm/lfm)],MATCH(Tabelle9[[#This Row],[Rank]],Stammdaten[Rank Verteilung Abholzigkeit],0))</f>
        <v>#N/A</v>
      </c>
      <c r="N2450" t="e">
        <f>VLOOKUP(Tabelle9[[#This Row],[Rank]],Stammdaten[[Rank Verteilung Abholzigkeit]:[Verteilung Abholzigkeit]],2,FALSE)</f>
        <v>#N/A</v>
      </c>
      <c r="S2450">
        <v>2441</v>
      </c>
      <c r="T2450" t="e">
        <f>INDEX(Stammdaten[Krümmung (mm/lfm)],MATCH(Tabelle10[[#This Row],[Rank]],Stammdaten[Rank Verteilung Krümmung],0))</f>
        <v>#N/A</v>
      </c>
      <c r="U2450" t="e">
        <f>VLOOKUP(Tabelle10[[#This Row],[Rank]],Stammdaten[[Rank Verteilung Krümmung]:[Verteilung Krümmung]],2,FALSE)</f>
        <v>#N/A</v>
      </c>
      <c r="Z2450">
        <v>2441</v>
      </c>
      <c r="AA2450" t="e">
        <f>INDEX(Stammdaten[Ovalität (']0,1'])],MATCH(Tabelle1014[[#This Row],[Rank]],Stammdaten[Rank Verteilung Ovalität],0))</f>
        <v>#N/A</v>
      </c>
      <c r="AB2450" t="e">
        <f>VLOOKUP(Tabelle1014[[#This Row],[Rank]],Stammdaten[[Rank Verteilung Ovalität]:[Verteilung Ovalität]],2,FALSE)</f>
        <v>#N/A</v>
      </c>
    </row>
    <row r="2451" spans="5:28" x14ac:dyDescent="0.35">
      <c r="E2451">
        <v>2442</v>
      </c>
      <c r="F2451" t="e">
        <f>INDEX(Stammdaten[D Mitte mit Rinde (mm)],MATCH(Tabelle8[[#This Row],[Rank]],Stammdaten[Rank Verteilung D Mitte mit Rinde],0))</f>
        <v>#N/A</v>
      </c>
      <c r="G2451" t="e">
        <f>VLOOKUP(Tabelle8[[#This Row],[Rank]],Stammdaten[[Rank Verteilung D Mitte mit Rinde]:[Verteilung D Mitte mit Rinde]],2,FALSE)</f>
        <v>#N/A</v>
      </c>
      <c r="L2451">
        <v>2442</v>
      </c>
      <c r="M2451" t="e">
        <f>INDEX(Stammdaten[Abholzigkeit (mm/lfm)],MATCH(Tabelle9[[#This Row],[Rank]],Stammdaten[Rank Verteilung Abholzigkeit],0))</f>
        <v>#N/A</v>
      </c>
      <c r="N2451" t="e">
        <f>VLOOKUP(Tabelle9[[#This Row],[Rank]],Stammdaten[[Rank Verteilung Abholzigkeit]:[Verteilung Abholzigkeit]],2,FALSE)</f>
        <v>#N/A</v>
      </c>
      <c r="S2451">
        <v>2442</v>
      </c>
      <c r="T2451" t="e">
        <f>INDEX(Stammdaten[Krümmung (mm/lfm)],MATCH(Tabelle10[[#This Row],[Rank]],Stammdaten[Rank Verteilung Krümmung],0))</f>
        <v>#N/A</v>
      </c>
      <c r="U2451" t="e">
        <f>VLOOKUP(Tabelle10[[#This Row],[Rank]],Stammdaten[[Rank Verteilung Krümmung]:[Verteilung Krümmung]],2,FALSE)</f>
        <v>#N/A</v>
      </c>
      <c r="Z2451">
        <v>2442</v>
      </c>
      <c r="AA2451" t="e">
        <f>INDEX(Stammdaten[Ovalität (']0,1'])],MATCH(Tabelle1014[[#This Row],[Rank]],Stammdaten[Rank Verteilung Ovalität],0))</f>
        <v>#N/A</v>
      </c>
      <c r="AB2451" t="e">
        <f>VLOOKUP(Tabelle1014[[#This Row],[Rank]],Stammdaten[[Rank Verteilung Ovalität]:[Verteilung Ovalität]],2,FALSE)</f>
        <v>#N/A</v>
      </c>
    </row>
    <row r="2452" spans="5:28" x14ac:dyDescent="0.35">
      <c r="E2452">
        <v>2443</v>
      </c>
      <c r="F2452" t="e">
        <f>INDEX(Stammdaten[D Mitte mit Rinde (mm)],MATCH(Tabelle8[[#This Row],[Rank]],Stammdaten[Rank Verteilung D Mitte mit Rinde],0))</f>
        <v>#N/A</v>
      </c>
      <c r="G2452" t="e">
        <f>VLOOKUP(Tabelle8[[#This Row],[Rank]],Stammdaten[[Rank Verteilung D Mitte mit Rinde]:[Verteilung D Mitte mit Rinde]],2,FALSE)</f>
        <v>#N/A</v>
      </c>
      <c r="L2452">
        <v>2443</v>
      </c>
      <c r="M2452" t="e">
        <f>INDEX(Stammdaten[Abholzigkeit (mm/lfm)],MATCH(Tabelle9[[#This Row],[Rank]],Stammdaten[Rank Verteilung Abholzigkeit],0))</f>
        <v>#N/A</v>
      </c>
      <c r="N2452" t="e">
        <f>VLOOKUP(Tabelle9[[#This Row],[Rank]],Stammdaten[[Rank Verteilung Abholzigkeit]:[Verteilung Abholzigkeit]],2,FALSE)</f>
        <v>#N/A</v>
      </c>
      <c r="S2452">
        <v>2443</v>
      </c>
      <c r="T2452" t="e">
        <f>INDEX(Stammdaten[Krümmung (mm/lfm)],MATCH(Tabelle10[[#This Row],[Rank]],Stammdaten[Rank Verteilung Krümmung],0))</f>
        <v>#N/A</v>
      </c>
      <c r="U2452" t="e">
        <f>VLOOKUP(Tabelle10[[#This Row],[Rank]],Stammdaten[[Rank Verteilung Krümmung]:[Verteilung Krümmung]],2,FALSE)</f>
        <v>#N/A</v>
      </c>
      <c r="Z2452">
        <v>2443</v>
      </c>
      <c r="AA2452" t="e">
        <f>INDEX(Stammdaten[Ovalität (']0,1'])],MATCH(Tabelle1014[[#This Row],[Rank]],Stammdaten[Rank Verteilung Ovalität],0))</f>
        <v>#N/A</v>
      </c>
      <c r="AB2452" t="e">
        <f>VLOOKUP(Tabelle1014[[#This Row],[Rank]],Stammdaten[[Rank Verteilung Ovalität]:[Verteilung Ovalität]],2,FALSE)</f>
        <v>#N/A</v>
      </c>
    </row>
    <row r="2453" spans="5:28" x14ac:dyDescent="0.35">
      <c r="E2453">
        <v>2444</v>
      </c>
      <c r="F2453" t="e">
        <f>INDEX(Stammdaten[D Mitte mit Rinde (mm)],MATCH(Tabelle8[[#This Row],[Rank]],Stammdaten[Rank Verteilung D Mitte mit Rinde],0))</f>
        <v>#N/A</v>
      </c>
      <c r="G2453" t="e">
        <f>VLOOKUP(Tabelle8[[#This Row],[Rank]],Stammdaten[[Rank Verteilung D Mitte mit Rinde]:[Verteilung D Mitte mit Rinde]],2,FALSE)</f>
        <v>#N/A</v>
      </c>
      <c r="L2453">
        <v>2444</v>
      </c>
      <c r="M2453" t="e">
        <f>INDEX(Stammdaten[Abholzigkeit (mm/lfm)],MATCH(Tabelle9[[#This Row],[Rank]],Stammdaten[Rank Verteilung Abholzigkeit],0))</f>
        <v>#N/A</v>
      </c>
      <c r="N2453" t="e">
        <f>VLOOKUP(Tabelle9[[#This Row],[Rank]],Stammdaten[[Rank Verteilung Abholzigkeit]:[Verteilung Abholzigkeit]],2,FALSE)</f>
        <v>#N/A</v>
      </c>
      <c r="S2453">
        <v>2444</v>
      </c>
      <c r="T2453" t="e">
        <f>INDEX(Stammdaten[Krümmung (mm/lfm)],MATCH(Tabelle10[[#This Row],[Rank]],Stammdaten[Rank Verteilung Krümmung],0))</f>
        <v>#N/A</v>
      </c>
      <c r="U2453" t="e">
        <f>VLOOKUP(Tabelle10[[#This Row],[Rank]],Stammdaten[[Rank Verteilung Krümmung]:[Verteilung Krümmung]],2,FALSE)</f>
        <v>#N/A</v>
      </c>
      <c r="Z2453">
        <v>2444</v>
      </c>
      <c r="AA2453" t="e">
        <f>INDEX(Stammdaten[Ovalität (']0,1'])],MATCH(Tabelle1014[[#This Row],[Rank]],Stammdaten[Rank Verteilung Ovalität],0))</f>
        <v>#N/A</v>
      </c>
      <c r="AB2453" t="e">
        <f>VLOOKUP(Tabelle1014[[#This Row],[Rank]],Stammdaten[[Rank Verteilung Ovalität]:[Verteilung Ovalität]],2,FALSE)</f>
        <v>#N/A</v>
      </c>
    </row>
    <row r="2454" spans="5:28" x14ac:dyDescent="0.35">
      <c r="E2454">
        <v>2445</v>
      </c>
      <c r="F2454" t="e">
        <f>INDEX(Stammdaten[D Mitte mit Rinde (mm)],MATCH(Tabelle8[[#This Row],[Rank]],Stammdaten[Rank Verteilung D Mitte mit Rinde],0))</f>
        <v>#N/A</v>
      </c>
      <c r="G2454" t="e">
        <f>VLOOKUP(Tabelle8[[#This Row],[Rank]],Stammdaten[[Rank Verteilung D Mitte mit Rinde]:[Verteilung D Mitte mit Rinde]],2,FALSE)</f>
        <v>#N/A</v>
      </c>
      <c r="L2454">
        <v>2445</v>
      </c>
      <c r="M2454" t="e">
        <f>INDEX(Stammdaten[Abholzigkeit (mm/lfm)],MATCH(Tabelle9[[#This Row],[Rank]],Stammdaten[Rank Verteilung Abholzigkeit],0))</f>
        <v>#N/A</v>
      </c>
      <c r="N2454" t="e">
        <f>VLOOKUP(Tabelle9[[#This Row],[Rank]],Stammdaten[[Rank Verteilung Abholzigkeit]:[Verteilung Abholzigkeit]],2,FALSE)</f>
        <v>#N/A</v>
      </c>
      <c r="S2454">
        <v>2445</v>
      </c>
      <c r="T2454" t="e">
        <f>INDEX(Stammdaten[Krümmung (mm/lfm)],MATCH(Tabelle10[[#This Row],[Rank]],Stammdaten[Rank Verteilung Krümmung],0))</f>
        <v>#N/A</v>
      </c>
      <c r="U2454" t="e">
        <f>VLOOKUP(Tabelle10[[#This Row],[Rank]],Stammdaten[[Rank Verteilung Krümmung]:[Verteilung Krümmung]],2,FALSE)</f>
        <v>#N/A</v>
      </c>
      <c r="Z2454">
        <v>2445</v>
      </c>
      <c r="AA2454" t="e">
        <f>INDEX(Stammdaten[Ovalität (']0,1'])],MATCH(Tabelle1014[[#This Row],[Rank]],Stammdaten[Rank Verteilung Ovalität],0))</f>
        <v>#N/A</v>
      </c>
      <c r="AB2454" t="e">
        <f>VLOOKUP(Tabelle1014[[#This Row],[Rank]],Stammdaten[[Rank Verteilung Ovalität]:[Verteilung Ovalität]],2,FALSE)</f>
        <v>#N/A</v>
      </c>
    </row>
    <row r="2455" spans="5:28" x14ac:dyDescent="0.35">
      <c r="E2455">
        <v>2446</v>
      </c>
      <c r="F2455" t="e">
        <f>INDEX(Stammdaten[D Mitte mit Rinde (mm)],MATCH(Tabelle8[[#This Row],[Rank]],Stammdaten[Rank Verteilung D Mitte mit Rinde],0))</f>
        <v>#N/A</v>
      </c>
      <c r="G2455" t="e">
        <f>VLOOKUP(Tabelle8[[#This Row],[Rank]],Stammdaten[[Rank Verteilung D Mitte mit Rinde]:[Verteilung D Mitte mit Rinde]],2,FALSE)</f>
        <v>#N/A</v>
      </c>
      <c r="L2455">
        <v>2446</v>
      </c>
      <c r="M2455" t="e">
        <f>INDEX(Stammdaten[Abholzigkeit (mm/lfm)],MATCH(Tabelle9[[#This Row],[Rank]],Stammdaten[Rank Verteilung Abholzigkeit],0))</f>
        <v>#N/A</v>
      </c>
      <c r="N2455" t="e">
        <f>VLOOKUP(Tabelle9[[#This Row],[Rank]],Stammdaten[[Rank Verteilung Abholzigkeit]:[Verteilung Abholzigkeit]],2,FALSE)</f>
        <v>#N/A</v>
      </c>
      <c r="S2455">
        <v>2446</v>
      </c>
      <c r="T2455" t="e">
        <f>INDEX(Stammdaten[Krümmung (mm/lfm)],MATCH(Tabelle10[[#This Row],[Rank]],Stammdaten[Rank Verteilung Krümmung],0))</f>
        <v>#N/A</v>
      </c>
      <c r="U2455" t="e">
        <f>VLOOKUP(Tabelle10[[#This Row],[Rank]],Stammdaten[[Rank Verteilung Krümmung]:[Verteilung Krümmung]],2,FALSE)</f>
        <v>#N/A</v>
      </c>
      <c r="Z2455">
        <v>2446</v>
      </c>
      <c r="AA2455" t="e">
        <f>INDEX(Stammdaten[Ovalität (']0,1'])],MATCH(Tabelle1014[[#This Row],[Rank]],Stammdaten[Rank Verteilung Ovalität],0))</f>
        <v>#N/A</v>
      </c>
      <c r="AB2455" t="e">
        <f>VLOOKUP(Tabelle1014[[#This Row],[Rank]],Stammdaten[[Rank Verteilung Ovalität]:[Verteilung Ovalität]],2,FALSE)</f>
        <v>#N/A</v>
      </c>
    </row>
    <row r="2456" spans="5:28" x14ac:dyDescent="0.35">
      <c r="E2456">
        <v>2447</v>
      </c>
      <c r="F2456" t="e">
        <f>INDEX(Stammdaten[D Mitte mit Rinde (mm)],MATCH(Tabelle8[[#This Row],[Rank]],Stammdaten[Rank Verteilung D Mitte mit Rinde],0))</f>
        <v>#N/A</v>
      </c>
      <c r="G2456" t="e">
        <f>VLOOKUP(Tabelle8[[#This Row],[Rank]],Stammdaten[[Rank Verteilung D Mitte mit Rinde]:[Verteilung D Mitte mit Rinde]],2,FALSE)</f>
        <v>#N/A</v>
      </c>
      <c r="L2456">
        <v>2447</v>
      </c>
      <c r="M2456" t="e">
        <f>INDEX(Stammdaten[Abholzigkeit (mm/lfm)],MATCH(Tabelle9[[#This Row],[Rank]],Stammdaten[Rank Verteilung Abholzigkeit],0))</f>
        <v>#N/A</v>
      </c>
      <c r="N2456" t="e">
        <f>VLOOKUP(Tabelle9[[#This Row],[Rank]],Stammdaten[[Rank Verteilung Abholzigkeit]:[Verteilung Abholzigkeit]],2,FALSE)</f>
        <v>#N/A</v>
      </c>
      <c r="S2456">
        <v>2447</v>
      </c>
      <c r="T2456" t="e">
        <f>INDEX(Stammdaten[Krümmung (mm/lfm)],MATCH(Tabelle10[[#This Row],[Rank]],Stammdaten[Rank Verteilung Krümmung],0))</f>
        <v>#N/A</v>
      </c>
      <c r="U2456" t="e">
        <f>VLOOKUP(Tabelle10[[#This Row],[Rank]],Stammdaten[[Rank Verteilung Krümmung]:[Verteilung Krümmung]],2,FALSE)</f>
        <v>#N/A</v>
      </c>
      <c r="Z2456">
        <v>2447</v>
      </c>
      <c r="AA2456" t="e">
        <f>INDEX(Stammdaten[Ovalität (']0,1'])],MATCH(Tabelle1014[[#This Row],[Rank]],Stammdaten[Rank Verteilung Ovalität],0))</f>
        <v>#N/A</v>
      </c>
      <c r="AB2456" t="e">
        <f>VLOOKUP(Tabelle1014[[#This Row],[Rank]],Stammdaten[[Rank Verteilung Ovalität]:[Verteilung Ovalität]],2,FALSE)</f>
        <v>#N/A</v>
      </c>
    </row>
    <row r="2457" spans="5:28" x14ac:dyDescent="0.35">
      <c r="E2457">
        <v>2448</v>
      </c>
      <c r="F2457" t="e">
        <f>INDEX(Stammdaten[D Mitte mit Rinde (mm)],MATCH(Tabelle8[[#This Row],[Rank]],Stammdaten[Rank Verteilung D Mitte mit Rinde],0))</f>
        <v>#N/A</v>
      </c>
      <c r="G2457" t="e">
        <f>VLOOKUP(Tabelle8[[#This Row],[Rank]],Stammdaten[[Rank Verteilung D Mitte mit Rinde]:[Verteilung D Mitte mit Rinde]],2,FALSE)</f>
        <v>#N/A</v>
      </c>
      <c r="L2457">
        <v>2448</v>
      </c>
      <c r="M2457" t="e">
        <f>INDEX(Stammdaten[Abholzigkeit (mm/lfm)],MATCH(Tabelle9[[#This Row],[Rank]],Stammdaten[Rank Verteilung Abholzigkeit],0))</f>
        <v>#N/A</v>
      </c>
      <c r="N2457" t="e">
        <f>VLOOKUP(Tabelle9[[#This Row],[Rank]],Stammdaten[[Rank Verteilung Abholzigkeit]:[Verteilung Abholzigkeit]],2,FALSE)</f>
        <v>#N/A</v>
      </c>
      <c r="S2457">
        <v>2448</v>
      </c>
      <c r="T2457" t="e">
        <f>INDEX(Stammdaten[Krümmung (mm/lfm)],MATCH(Tabelle10[[#This Row],[Rank]],Stammdaten[Rank Verteilung Krümmung],0))</f>
        <v>#N/A</v>
      </c>
      <c r="U2457" t="e">
        <f>VLOOKUP(Tabelle10[[#This Row],[Rank]],Stammdaten[[Rank Verteilung Krümmung]:[Verteilung Krümmung]],2,FALSE)</f>
        <v>#N/A</v>
      </c>
      <c r="Z2457">
        <v>2448</v>
      </c>
      <c r="AA2457" t="e">
        <f>INDEX(Stammdaten[Ovalität (']0,1'])],MATCH(Tabelle1014[[#This Row],[Rank]],Stammdaten[Rank Verteilung Ovalität],0))</f>
        <v>#N/A</v>
      </c>
      <c r="AB2457" t="e">
        <f>VLOOKUP(Tabelle1014[[#This Row],[Rank]],Stammdaten[[Rank Verteilung Ovalität]:[Verteilung Ovalität]],2,FALSE)</f>
        <v>#N/A</v>
      </c>
    </row>
    <row r="2458" spans="5:28" x14ac:dyDescent="0.35">
      <c r="E2458">
        <v>2449</v>
      </c>
      <c r="F2458" t="e">
        <f>INDEX(Stammdaten[D Mitte mit Rinde (mm)],MATCH(Tabelle8[[#This Row],[Rank]],Stammdaten[Rank Verteilung D Mitte mit Rinde],0))</f>
        <v>#N/A</v>
      </c>
      <c r="G2458" t="e">
        <f>VLOOKUP(Tabelle8[[#This Row],[Rank]],Stammdaten[[Rank Verteilung D Mitte mit Rinde]:[Verteilung D Mitte mit Rinde]],2,FALSE)</f>
        <v>#N/A</v>
      </c>
      <c r="L2458">
        <v>2449</v>
      </c>
      <c r="M2458" t="e">
        <f>INDEX(Stammdaten[Abholzigkeit (mm/lfm)],MATCH(Tabelle9[[#This Row],[Rank]],Stammdaten[Rank Verteilung Abholzigkeit],0))</f>
        <v>#N/A</v>
      </c>
      <c r="N2458" t="e">
        <f>VLOOKUP(Tabelle9[[#This Row],[Rank]],Stammdaten[[Rank Verteilung Abholzigkeit]:[Verteilung Abholzigkeit]],2,FALSE)</f>
        <v>#N/A</v>
      </c>
      <c r="S2458">
        <v>2449</v>
      </c>
      <c r="T2458" t="e">
        <f>INDEX(Stammdaten[Krümmung (mm/lfm)],MATCH(Tabelle10[[#This Row],[Rank]],Stammdaten[Rank Verteilung Krümmung],0))</f>
        <v>#N/A</v>
      </c>
      <c r="U2458" t="e">
        <f>VLOOKUP(Tabelle10[[#This Row],[Rank]],Stammdaten[[Rank Verteilung Krümmung]:[Verteilung Krümmung]],2,FALSE)</f>
        <v>#N/A</v>
      </c>
      <c r="Z2458">
        <v>2449</v>
      </c>
      <c r="AA2458" t="e">
        <f>INDEX(Stammdaten[Ovalität (']0,1'])],MATCH(Tabelle1014[[#This Row],[Rank]],Stammdaten[Rank Verteilung Ovalität],0))</f>
        <v>#N/A</v>
      </c>
      <c r="AB2458" t="e">
        <f>VLOOKUP(Tabelle1014[[#This Row],[Rank]],Stammdaten[[Rank Verteilung Ovalität]:[Verteilung Ovalität]],2,FALSE)</f>
        <v>#N/A</v>
      </c>
    </row>
    <row r="2459" spans="5:28" x14ac:dyDescent="0.35">
      <c r="E2459">
        <v>2450</v>
      </c>
      <c r="F2459" t="e">
        <f>INDEX(Stammdaten[D Mitte mit Rinde (mm)],MATCH(Tabelle8[[#This Row],[Rank]],Stammdaten[Rank Verteilung D Mitte mit Rinde],0))</f>
        <v>#N/A</v>
      </c>
      <c r="G2459" t="e">
        <f>VLOOKUP(Tabelle8[[#This Row],[Rank]],Stammdaten[[Rank Verteilung D Mitte mit Rinde]:[Verteilung D Mitte mit Rinde]],2,FALSE)</f>
        <v>#N/A</v>
      </c>
      <c r="L2459">
        <v>2450</v>
      </c>
      <c r="M2459" t="e">
        <f>INDEX(Stammdaten[Abholzigkeit (mm/lfm)],MATCH(Tabelle9[[#This Row],[Rank]],Stammdaten[Rank Verteilung Abholzigkeit],0))</f>
        <v>#N/A</v>
      </c>
      <c r="N2459" t="e">
        <f>VLOOKUP(Tabelle9[[#This Row],[Rank]],Stammdaten[[Rank Verteilung Abholzigkeit]:[Verteilung Abholzigkeit]],2,FALSE)</f>
        <v>#N/A</v>
      </c>
      <c r="S2459">
        <v>2450</v>
      </c>
      <c r="T2459" t="e">
        <f>INDEX(Stammdaten[Krümmung (mm/lfm)],MATCH(Tabelle10[[#This Row],[Rank]],Stammdaten[Rank Verteilung Krümmung],0))</f>
        <v>#N/A</v>
      </c>
      <c r="U2459" t="e">
        <f>VLOOKUP(Tabelle10[[#This Row],[Rank]],Stammdaten[[Rank Verteilung Krümmung]:[Verteilung Krümmung]],2,FALSE)</f>
        <v>#N/A</v>
      </c>
      <c r="Z2459">
        <v>2450</v>
      </c>
      <c r="AA2459" t="e">
        <f>INDEX(Stammdaten[Ovalität (']0,1'])],MATCH(Tabelle1014[[#This Row],[Rank]],Stammdaten[Rank Verteilung Ovalität],0))</f>
        <v>#N/A</v>
      </c>
      <c r="AB2459" t="e">
        <f>VLOOKUP(Tabelle1014[[#This Row],[Rank]],Stammdaten[[Rank Verteilung Ovalität]:[Verteilung Ovalität]],2,FALSE)</f>
        <v>#N/A</v>
      </c>
    </row>
    <row r="2460" spans="5:28" x14ac:dyDescent="0.35">
      <c r="E2460">
        <v>2451</v>
      </c>
      <c r="F2460" t="e">
        <f>INDEX(Stammdaten[D Mitte mit Rinde (mm)],MATCH(Tabelle8[[#This Row],[Rank]],Stammdaten[Rank Verteilung D Mitte mit Rinde],0))</f>
        <v>#N/A</v>
      </c>
      <c r="G2460" t="e">
        <f>VLOOKUP(Tabelle8[[#This Row],[Rank]],Stammdaten[[Rank Verteilung D Mitte mit Rinde]:[Verteilung D Mitte mit Rinde]],2,FALSE)</f>
        <v>#N/A</v>
      </c>
      <c r="L2460">
        <v>2451</v>
      </c>
      <c r="M2460" t="e">
        <f>INDEX(Stammdaten[Abholzigkeit (mm/lfm)],MATCH(Tabelle9[[#This Row],[Rank]],Stammdaten[Rank Verteilung Abholzigkeit],0))</f>
        <v>#N/A</v>
      </c>
      <c r="N2460" t="e">
        <f>VLOOKUP(Tabelle9[[#This Row],[Rank]],Stammdaten[[Rank Verteilung Abholzigkeit]:[Verteilung Abholzigkeit]],2,FALSE)</f>
        <v>#N/A</v>
      </c>
      <c r="S2460">
        <v>2451</v>
      </c>
      <c r="T2460" t="e">
        <f>INDEX(Stammdaten[Krümmung (mm/lfm)],MATCH(Tabelle10[[#This Row],[Rank]],Stammdaten[Rank Verteilung Krümmung],0))</f>
        <v>#N/A</v>
      </c>
      <c r="U2460" t="e">
        <f>VLOOKUP(Tabelle10[[#This Row],[Rank]],Stammdaten[[Rank Verteilung Krümmung]:[Verteilung Krümmung]],2,FALSE)</f>
        <v>#N/A</v>
      </c>
      <c r="Z2460">
        <v>2451</v>
      </c>
      <c r="AA2460" t="e">
        <f>INDEX(Stammdaten[Ovalität (']0,1'])],MATCH(Tabelle1014[[#This Row],[Rank]],Stammdaten[Rank Verteilung Ovalität],0))</f>
        <v>#N/A</v>
      </c>
      <c r="AB2460" t="e">
        <f>VLOOKUP(Tabelle1014[[#This Row],[Rank]],Stammdaten[[Rank Verteilung Ovalität]:[Verteilung Ovalität]],2,FALSE)</f>
        <v>#N/A</v>
      </c>
    </row>
    <row r="2461" spans="5:28" x14ac:dyDescent="0.35">
      <c r="E2461">
        <v>2452</v>
      </c>
      <c r="F2461" t="e">
        <f>INDEX(Stammdaten[D Mitte mit Rinde (mm)],MATCH(Tabelle8[[#This Row],[Rank]],Stammdaten[Rank Verteilung D Mitte mit Rinde],0))</f>
        <v>#N/A</v>
      </c>
      <c r="G2461" t="e">
        <f>VLOOKUP(Tabelle8[[#This Row],[Rank]],Stammdaten[[Rank Verteilung D Mitte mit Rinde]:[Verteilung D Mitte mit Rinde]],2,FALSE)</f>
        <v>#N/A</v>
      </c>
      <c r="L2461">
        <v>2452</v>
      </c>
      <c r="M2461" t="e">
        <f>INDEX(Stammdaten[Abholzigkeit (mm/lfm)],MATCH(Tabelle9[[#This Row],[Rank]],Stammdaten[Rank Verteilung Abholzigkeit],0))</f>
        <v>#N/A</v>
      </c>
      <c r="N2461" t="e">
        <f>VLOOKUP(Tabelle9[[#This Row],[Rank]],Stammdaten[[Rank Verteilung Abholzigkeit]:[Verteilung Abholzigkeit]],2,FALSE)</f>
        <v>#N/A</v>
      </c>
      <c r="S2461">
        <v>2452</v>
      </c>
      <c r="T2461" t="e">
        <f>INDEX(Stammdaten[Krümmung (mm/lfm)],MATCH(Tabelle10[[#This Row],[Rank]],Stammdaten[Rank Verteilung Krümmung],0))</f>
        <v>#N/A</v>
      </c>
      <c r="U2461" t="e">
        <f>VLOOKUP(Tabelle10[[#This Row],[Rank]],Stammdaten[[Rank Verteilung Krümmung]:[Verteilung Krümmung]],2,FALSE)</f>
        <v>#N/A</v>
      </c>
      <c r="Z2461">
        <v>2452</v>
      </c>
      <c r="AA2461" t="e">
        <f>INDEX(Stammdaten[Ovalität (']0,1'])],MATCH(Tabelle1014[[#This Row],[Rank]],Stammdaten[Rank Verteilung Ovalität],0))</f>
        <v>#N/A</v>
      </c>
      <c r="AB2461" t="e">
        <f>VLOOKUP(Tabelle1014[[#This Row],[Rank]],Stammdaten[[Rank Verteilung Ovalität]:[Verteilung Ovalität]],2,FALSE)</f>
        <v>#N/A</v>
      </c>
    </row>
    <row r="2462" spans="5:28" x14ac:dyDescent="0.35">
      <c r="E2462">
        <v>2453</v>
      </c>
      <c r="F2462" t="e">
        <f>INDEX(Stammdaten[D Mitte mit Rinde (mm)],MATCH(Tabelle8[[#This Row],[Rank]],Stammdaten[Rank Verteilung D Mitte mit Rinde],0))</f>
        <v>#N/A</v>
      </c>
      <c r="G2462" t="e">
        <f>VLOOKUP(Tabelle8[[#This Row],[Rank]],Stammdaten[[Rank Verteilung D Mitte mit Rinde]:[Verteilung D Mitte mit Rinde]],2,FALSE)</f>
        <v>#N/A</v>
      </c>
      <c r="L2462">
        <v>2453</v>
      </c>
      <c r="M2462" t="e">
        <f>INDEX(Stammdaten[Abholzigkeit (mm/lfm)],MATCH(Tabelle9[[#This Row],[Rank]],Stammdaten[Rank Verteilung Abholzigkeit],0))</f>
        <v>#N/A</v>
      </c>
      <c r="N2462" t="e">
        <f>VLOOKUP(Tabelle9[[#This Row],[Rank]],Stammdaten[[Rank Verteilung Abholzigkeit]:[Verteilung Abholzigkeit]],2,FALSE)</f>
        <v>#N/A</v>
      </c>
      <c r="S2462">
        <v>2453</v>
      </c>
      <c r="T2462" t="e">
        <f>INDEX(Stammdaten[Krümmung (mm/lfm)],MATCH(Tabelle10[[#This Row],[Rank]],Stammdaten[Rank Verteilung Krümmung],0))</f>
        <v>#N/A</v>
      </c>
      <c r="U2462" t="e">
        <f>VLOOKUP(Tabelle10[[#This Row],[Rank]],Stammdaten[[Rank Verteilung Krümmung]:[Verteilung Krümmung]],2,FALSE)</f>
        <v>#N/A</v>
      </c>
      <c r="Z2462">
        <v>2453</v>
      </c>
      <c r="AA2462" t="e">
        <f>INDEX(Stammdaten[Ovalität (']0,1'])],MATCH(Tabelle1014[[#This Row],[Rank]],Stammdaten[Rank Verteilung Ovalität],0))</f>
        <v>#N/A</v>
      </c>
      <c r="AB2462" t="e">
        <f>VLOOKUP(Tabelle1014[[#This Row],[Rank]],Stammdaten[[Rank Verteilung Ovalität]:[Verteilung Ovalität]],2,FALSE)</f>
        <v>#N/A</v>
      </c>
    </row>
    <row r="2463" spans="5:28" x14ac:dyDescent="0.35">
      <c r="E2463">
        <v>2454</v>
      </c>
      <c r="F2463" t="e">
        <f>INDEX(Stammdaten[D Mitte mit Rinde (mm)],MATCH(Tabelle8[[#This Row],[Rank]],Stammdaten[Rank Verteilung D Mitte mit Rinde],0))</f>
        <v>#N/A</v>
      </c>
      <c r="G2463" t="e">
        <f>VLOOKUP(Tabelle8[[#This Row],[Rank]],Stammdaten[[Rank Verteilung D Mitte mit Rinde]:[Verteilung D Mitte mit Rinde]],2,FALSE)</f>
        <v>#N/A</v>
      </c>
      <c r="L2463">
        <v>2454</v>
      </c>
      <c r="M2463" t="e">
        <f>INDEX(Stammdaten[Abholzigkeit (mm/lfm)],MATCH(Tabelle9[[#This Row],[Rank]],Stammdaten[Rank Verteilung Abholzigkeit],0))</f>
        <v>#N/A</v>
      </c>
      <c r="N2463" t="e">
        <f>VLOOKUP(Tabelle9[[#This Row],[Rank]],Stammdaten[[Rank Verteilung Abholzigkeit]:[Verteilung Abholzigkeit]],2,FALSE)</f>
        <v>#N/A</v>
      </c>
      <c r="S2463">
        <v>2454</v>
      </c>
      <c r="T2463" t="e">
        <f>INDEX(Stammdaten[Krümmung (mm/lfm)],MATCH(Tabelle10[[#This Row],[Rank]],Stammdaten[Rank Verteilung Krümmung],0))</f>
        <v>#N/A</v>
      </c>
      <c r="U2463" t="e">
        <f>VLOOKUP(Tabelle10[[#This Row],[Rank]],Stammdaten[[Rank Verteilung Krümmung]:[Verteilung Krümmung]],2,FALSE)</f>
        <v>#N/A</v>
      </c>
      <c r="Z2463">
        <v>2454</v>
      </c>
      <c r="AA2463" t="e">
        <f>INDEX(Stammdaten[Ovalität (']0,1'])],MATCH(Tabelle1014[[#This Row],[Rank]],Stammdaten[Rank Verteilung Ovalität],0))</f>
        <v>#N/A</v>
      </c>
      <c r="AB2463" t="e">
        <f>VLOOKUP(Tabelle1014[[#This Row],[Rank]],Stammdaten[[Rank Verteilung Ovalität]:[Verteilung Ovalität]],2,FALSE)</f>
        <v>#N/A</v>
      </c>
    </row>
    <row r="2464" spans="5:28" x14ac:dyDescent="0.35">
      <c r="E2464">
        <v>2455</v>
      </c>
      <c r="F2464" t="e">
        <f>INDEX(Stammdaten[D Mitte mit Rinde (mm)],MATCH(Tabelle8[[#This Row],[Rank]],Stammdaten[Rank Verteilung D Mitte mit Rinde],0))</f>
        <v>#N/A</v>
      </c>
      <c r="G2464" t="e">
        <f>VLOOKUP(Tabelle8[[#This Row],[Rank]],Stammdaten[[Rank Verteilung D Mitte mit Rinde]:[Verteilung D Mitte mit Rinde]],2,FALSE)</f>
        <v>#N/A</v>
      </c>
      <c r="L2464">
        <v>2455</v>
      </c>
      <c r="M2464" t="e">
        <f>INDEX(Stammdaten[Abholzigkeit (mm/lfm)],MATCH(Tabelle9[[#This Row],[Rank]],Stammdaten[Rank Verteilung Abholzigkeit],0))</f>
        <v>#N/A</v>
      </c>
      <c r="N2464" t="e">
        <f>VLOOKUP(Tabelle9[[#This Row],[Rank]],Stammdaten[[Rank Verteilung Abholzigkeit]:[Verteilung Abholzigkeit]],2,FALSE)</f>
        <v>#N/A</v>
      </c>
      <c r="S2464">
        <v>2455</v>
      </c>
      <c r="T2464" t="e">
        <f>INDEX(Stammdaten[Krümmung (mm/lfm)],MATCH(Tabelle10[[#This Row],[Rank]],Stammdaten[Rank Verteilung Krümmung],0))</f>
        <v>#N/A</v>
      </c>
      <c r="U2464" t="e">
        <f>VLOOKUP(Tabelle10[[#This Row],[Rank]],Stammdaten[[Rank Verteilung Krümmung]:[Verteilung Krümmung]],2,FALSE)</f>
        <v>#N/A</v>
      </c>
      <c r="Z2464">
        <v>2455</v>
      </c>
      <c r="AA2464" t="e">
        <f>INDEX(Stammdaten[Ovalität (']0,1'])],MATCH(Tabelle1014[[#This Row],[Rank]],Stammdaten[Rank Verteilung Ovalität],0))</f>
        <v>#N/A</v>
      </c>
      <c r="AB2464" t="e">
        <f>VLOOKUP(Tabelle1014[[#This Row],[Rank]],Stammdaten[[Rank Verteilung Ovalität]:[Verteilung Ovalität]],2,FALSE)</f>
        <v>#N/A</v>
      </c>
    </row>
    <row r="2465" spans="5:28" x14ac:dyDescent="0.35">
      <c r="E2465">
        <v>2456</v>
      </c>
      <c r="F2465" t="e">
        <f>INDEX(Stammdaten[D Mitte mit Rinde (mm)],MATCH(Tabelle8[[#This Row],[Rank]],Stammdaten[Rank Verteilung D Mitte mit Rinde],0))</f>
        <v>#N/A</v>
      </c>
      <c r="G2465" t="e">
        <f>VLOOKUP(Tabelle8[[#This Row],[Rank]],Stammdaten[[Rank Verteilung D Mitte mit Rinde]:[Verteilung D Mitte mit Rinde]],2,FALSE)</f>
        <v>#N/A</v>
      </c>
      <c r="L2465">
        <v>2456</v>
      </c>
      <c r="M2465" t="e">
        <f>INDEX(Stammdaten[Abholzigkeit (mm/lfm)],MATCH(Tabelle9[[#This Row],[Rank]],Stammdaten[Rank Verteilung Abholzigkeit],0))</f>
        <v>#N/A</v>
      </c>
      <c r="N2465" t="e">
        <f>VLOOKUP(Tabelle9[[#This Row],[Rank]],Stammdaten[[Rank Verteilung Abholzigkeit]:[Verteilung Abholzigkeit]],2,FALSE)</f>
        <v>#N/A</v>
      </c>
      <c r="S2465">
        <v>2456</v>
      </c>
      <c r="T2465" t="e">
        <f>INDEX(Stammdaten[Krümmung (mm/lfm)],MATCH(Tabelle10[[#This Row],[Rank]],Stammdaten[Rank Verteilung Krümmung],0))</f>
        <v>#N/A</v>
      </c>
      <c r="U2465" t="e">
        <f>VLOOKUP(Tabelle10[[#This Row],[Rank]],Stammdaten[[Rank Verteilung Krümmung]:[Verteilung Krümmung]],2,FALSE)</f>
        <v>#N/A</v>
      </c>
      <c r="Z2465">
        <v>2456</v>
      </c>
      <c r="AA2465" t="e">
        <f>INDEX(Stammdaten[Ovalität (']0,1'])],MATCH(Tabelle1014[[#This Row],[Rank]],Stammdaten[Rank Verteilung Ovalität],0))</f>
        <v>#N/A</v>
      </c>
      <c r="AB2465" t="e">
        <f>VLOOKUP(Tabelle1014[[#This Row],[Rank]],Stammdaten[[Rank Verteilung Ovalität]:[Verteilung Ovalität]],2,FALSE)</f>
        <v>#N/A</v>
      </c>
    </row>
    <row r="2466" spans="5:28" x14ac:dyDescent="0.35">
      <c r="E2466">
        <v>2457</v>
      </c>
      <c r="F2466" t="e">
        <f>INDEX(Stammdaten[D Mitte mit Rinde (mm)],MATCH(Tabelle8[[#This Row],[Rank]],Stammdaten[Rank Verteilung D Mitte mit Rinde],0))</f>
        <v>#N/A</v>
      </c>
      <c r="G2466" t="e">
        <f>VLOOKUP(Tabelle8[[#This Row],[Rank]],Stammdaten[[Rank Verteilung D Mitte mit Rinde]:[Verteilung D Mitte mit Rinde]],2,FALSE)</f>
        <v>#N/A</v>
      </c>
      <c r="L2466">
        <v>2457</v>
      </c>
      <c r="M2466" t="e">
        <f>INDEX(Stammdaten[Abholzigkeit (mm/lfm)],MATCH(Tabelle9[[#This Row],[Rank]],Stammdaten[Rank Verteilung Abholzigkeit],0))</f>
        <v>#N/A</v>
      </c>
      <c r="N2466" t="e">
        <f>VLOOKUP(Tabelle9[[#This Row],[Rank]],Stammdaten[[Rank Verteilung Abholzigkeit]:[Verteilung Abholzigkeit]],2,FALSE)</f>
        <v>#N/A</v>
      </c>
      <c r="S2466">
        <v>2457</v>
      </c>
      <c r="T2466" t="e">
        <f>INDEX(Stammdaten[Krümmung (mm/lfm)],MATCH(Tabelle10[[#This Row],[Rank]],Stammdaten[Rank Verteilung Krümmung],0))</f>
        <v>#N/A</v>
      </c>
      <c r="U2466" t="e">
        <f>VLOOKUP(Tabelle10[[#This Row],[Rank]],Stammdaten[[Rank Verteilung Krümmung]:[Verteilung Krümmung]],2,FALSE)</f>
        <v>#N/A</v>
      </c>
      <c r="Z2466">
        <v>2457</v>
      </c>
      <c r="AA2466" t="e">
        <f>INDEX(Stammdaten[Ovalität (']0,1'])],MATCH(Tabelle1014[[#This Row],[Rank]],Stammdaten[Rank Verteilung Ovalität],0))</f>
        <v>#N/A</v>
      </c>
      <c r="AB2466" t="e">
        <f>VLOOKUP(Tabelle1014[[#This Row],[Rank]],Stammdaten[[Rank Verteilung Ovalität]:[Verteilung Ovalität]],2,FALSE)</f>
        <v>#N/A</v>
      </c>
    </row>
    <row r="2467" spans="5:28" x14ac:dyDescent="0.35">
      <c r="E2467">
        <v>2458</v>
      </c>
      <c r="F2467" t="e">
        <f>INDEX(Stammdaten[D Mitte mit Rinde (mm)],MATCH(Tabelle8[[#This Row],[Rank]],Stammdaten[Rank Verteilung D Mitte mit Rinde],0))</f>
        <v>#N/A</v>
      </c>
      <c r="G2467" t="e">
        <f>VLOOKUP(Tabelle8[[#This Row],[Rank]],Stammdaten[[Rank Verteilung D Mitte mit Rinde]:[Verteilung D Mitte mit Rinde]],2,FALSE)</f>
        <v>#N/A</v>
      </c>
      <c r="L2467">
        <v>2458</v>
      </c>
      <c r="M2467" t="e">
        <f>INDEX(Stammdaten[Abholzigkeit (mm/lfm)],MATCH(Tabelle9[[#This Row],[Rank]],Stammdaten[Rank Verteilung Abholzigkeit],0))</f>
        <v>#N/A</v>
      </c>
      <c r="N2467" t="e">
        <f>VLOOKUP(Tabelle9[[#This Row],[Rank]],Stammdaten[[Rank Verteilung Abholzigkeit]:[Verteilung Abholzigkeit]],2,FALSE)</f>
        <v>#N/A</v>
      </c>
      <c r="S2467">
        <v>2458</v>
      </c>
      <c r="T2467" t="e">
        <f>INDEX(Stammdaten[Krümmung (mm/lfm)],MATCH(Tabelle10[[#This Row],[Rank]],Stammdaten[Rank Verteilung Krümmung],0))</f>
        <v>#N/A</v>
      </c>
      <c r="U2467" t="e">
        <f>VLOOKUP(Tabelle10[[#This Row],[Rank]],Stammdaten[[Rank Verteilung Krümmung]:[Verteilung Krümmung]],2,FALSE)</f>
        <v>#N/A</v>
      </c>
      <c r="Z2467">
        <v>2458</v>
      </c>
      <c r="AA2467" t="e">
        <f>INDEX(Stammdaten[Ovalität (']0,1'])],MATCH(Tabelle1014[[#This Row],[Rank]],Stammdaten[Rank Verteilung Ovalität],0))</f>
        <v>#N/A</v>
      </c>
      <c r="AB2467" t="e">
        <f>VLOOKUP(Tabelle1014[[#This Row],[Rank]],Stammdaten[[Rank Verteilung Ovalität]:[Verteilung Ovalität]],2,FALSE)</f>
        <v>#N/A</v>
      </c>
    </row>
    <row r="2468" spans="5:28" x14ac:dyDescent="0.35">
      <c r="E2468">
        <v>2459</v>
      </c>
      <c r="F2468" t="e">
        <f>INDEX(Stammdaten[D Mitte mit Rinde (mm)],MATCH(Tabelle8[[#This Row],[Rank]],Stammdaten[Rank Verteilung D Mitte mit Rinde],0))</f>
        <v>#N/A</v>
      </c>
      <c r="G2468" t="e">
        <f>VLOOKUP(Tabelle8[[#This Row],[Rank]],Stammdaten[[Rank Verteilung D Mitte mit Rinde]:[Verteilung D Mitte mit Rinde]],2,FALSE)</f>
        <v>#N/A</v>
      </c>
      <c r="L2468">
        <v>2459</v>
      </c>
      <c r="M2468" t="e">
        <f>INDEX(Stammdaten[Abholzigkeit (mm/lfm)],MATCH(Tabelle9[[#This Row],[Rank]],Stammdaten[Rank Verteilung Abholzigkeit],0))</f>
        <v>#N/A</v>
      </c>
      <c r="N2468" t="e">
        <f>VLOOKUP(Tabelle9[[#This Row],[Rank]],Stammdaten[[Rank Verteilung Abholzigkeit]:[Verteilung Abholzigkeit]],2,FALSE)</f>
        <v>#N/A</v>
      </c>
      <c r="S2468">
        <v>2459</v>
      </c>
      <c r="T2468" t="e">
        <f>INDEX(Stammdaten[Krümmung (mm/lfm)],MATCH(Tabelle10[[#This Row],[Rank]],Stammdaten[Rank Verteilung Krümmung],0))</f>
        <v>#N/A</v>
      </c>
      <c r="U2468" t="e">
        <f>VLOOKUP(Tabelle10[[#This Row],[Rank]],Stammdaten[[Rank Verteilung Krümmung]:[Verteilung Krümmung]],2,FALSE)</f>
        <v>#N/A</v>
      </c>
      <c r="Z2468">
        <v>2459</v>
      </c>
      <c r="AA2468" t="e">
        <f>INDEX(Stammdaten[Ovalität (']0,1'])],MATCH(Tabelle1014[[#This Row],[Rank]],Stammdaten[Rank Verteilung Ovalität],0))</f>
        <v>#N/A</v>
      </c>
      <c r="AB2468" t="e">
        <f>VLOOKUP(Tabelle1014[[#This Row],[Rank]],Stammdaten[[Rank Verteilung Ovalität]:[Verteilung Ovalität]],2,FALSE)</f>
        <v>#N/A</v>
      </c>
    </row>
    <row r="2469" spans="5:28" x14ac:dyDescent="0.35">
      <c r="E2469">
        <v>2460</v>
      </c>
      <c r="F2469" t="e">
        <f>INDEX(Stammdaten[D Mitte mit Rinde (mm)],MATCH(Tabelle8[[#This Row],[Rank]],Stammdaten[Rank Verteilung D Mitte mit Rinde],0))</f>
        <v>#N/A</v>
      </c>
      <c r="G2469" t="e">
        <f>VLOOKUP(Tabelle8[[#This Row],[Rank]],Stammdaten[[Rank Verteilung D Mitte mit Rinde]:[Verteilung D Mitte mit Rinde]],2,FALSE)</f>
        <v>#N/A</v>
      </c>
      <c r="L2469">
        <v>2460</v>
      </c>
      <c r="M2469" t="e">
        <f>INDEX(Stammdaten[Abholzigkeit (mm/lfm)],MATCH(Tabelle9[[#This Row],[Rank]],Stammdaten[Rank Verteilung Abholzigkeit],0))</f>
        <v>#N/A</v>
      </c>
      <c r="N2469" t="e">
        <f>VLOOKUP(Tabelle9[[#This Row],[Rank]],Stammdaten[[Rank Verteilung Abholzigkeit]:[Verteilung Abholzigkeit]],2,FALSE)</f>
        <v>#N/A</v>
      </c>
      <c r="S2469">
        <v>2460</v>
      </c>
      <c r="T2469" t="e">
        <f>INDEX(Stammdaten[Krümmung (mm/lfm)],MATCH(Tabelle10[[#This Row],[Rank]],Stammdaten[Rank Verteilung Krümmung],0))</f>
        <v>#N/A</v>
      </c>
      <c r="U2469" t="e">
        <f>VLOOKUP(Tabelle10[[#This Row],[Rank]],Stammdaten[[Rank Verteilung Krümmung]:[Verteilung Krümmung]],2,FALSE)</f>
        <v>#N/A</v>
      </c>
      <c r="Z2469">
        <v>2460</v>
      </c>
      <c r="AA2469" t="e">
        <f>INDEX(Stammdaten[Ovalität (']0,1'])],MATCH(Tabelle1014[[#This Row],[Rank]],Stammdaten[Rank Verteilung Ovalität],0))</f>
        <v>#N/A</v>
      </c>
      <c r="AB2469" t="e">
        <f>VLOOKUP(Tabelle1014[[#This Row],[Rank]],Stammdaten[[Rank Verteilung Ovalität]:[Verteilung Ovalität]],2,FALSE)</f>
        <v>#N/A</v>
      </c>
    </row>
    <row r="2470" spans="5:28" x14ac:dyDescent="0.35">
      <c r="E2470">
        <v>2461</v>
      </c>
      <c r="F2470" t="e">
        <f>INDEX(Stammdaten[D Mitte mit Rinde (mm)],MATCH(Tabelle8[[#This Row],[Rank]],Stammdaten[Rank Verteilung D Mitte mit Rinde],0))</f>
        <v>#N/A</v>
      </c>
      <c r="G2470" t="e">
        <f>VLOOKUP(Tabelle8[[#This Row],[Rank]],Stammdaten[[Rank Verteilung D Mitte mit Rinde]:[Verteilung D Mitte mit Rinde]],2,FALSE)</f>
        <v>#N/A</v>
      </c>
      <c r="L2470">
        <v>2461</v>
      </c>
      <c r="M2470" t="e">
        <f>INDEX(Stammdaten[Abholzigkeit (mm/lfm)],MATCH(Tabelle9[[#This Row],[Rank]],Stammdaten[Rank Verteilung Abholzigkeit],0))</f>
        <v>#N/A</v>
      </c>
      <c r="N2470" t="e">
        <f>VLOOKUP(Tabelle9[[#This Row],[Rank]],Stammdaten[[Rank Verteilung Abholzigkeit]:[Verteilung Abholzigkeit]],2,FALSE)</f>
        <v>#N/A</v>
      </c>
      <c r="S2470">
        <v>2461</v>
      </c>
      <c r="T2470" t="e">
        <f>INDEX(Stammdaten[Krümmung (mm/lfm)],MATCH(Tabelle10[[#This Row],[Rank]],Stammdaten[Rank Verteilung Krümmung],0))</f>
        <v>#N/A</v>
      </c>
      <c r="U2470" t="e">
        <f>VLOOKUP(Tabelle10[[#This Row],[Rank]],Stammdaten[[Rank Verteilung Krümmung]:[Verteilung Krümmung]],2,FALSE)</f>
        <v>#N/A</v>
      </c>
      <c r="Z2470">
        <v>2461</v>
      </c>
      <c r="AA2470" t="e">
        <f>INDEX(Stammdaten[Ovalität (']0,1'])],MATCH(Tabelle1014[[#This Row],[Rank]],Stammdaten[Rank Verteilung Ovalität],0))</f>
        <v>#N/A</v>
      </c>
      <c r="AB2470" t="e">
        <f>VLOOKUP(Tabelle1014[[#This Row],[Rank]],Stammdaten[[Rank Verteilung Ovalität]:[Verteilung Ovalität]],2,FALSE)</f>
        <v>#N/A</v>
      </c>
    </row>
    <row r="2471" spans="5:28" x14ac:dyDescent="0.35">
      <c r="E2471">
        <v>2462</v>
      </c>
      <c r="F2471" t="e">
        <f>INDEX(Stammdaten[D Mitte mit Rinde (mm)],MATCH(Tabelle8[[#This Row],[Rank]],Stammdaten[Rank Verteilung D Mitte mit Rinde],0))</f>
        <v>#N/A</v>
      </c>
      <c r="G2471" t="e">
        <f>VLOOKUP(Tabelle8[[#This Row],[Rank]],Stammdaten[[Rank Verteilung D Mitte mit Rinde]:[Verteilung D Mitte mit Rinde]],2,FALSE)</f>
        <v>#N/A</v>
      </c>
      <c r="L2471">
        <v>2462</v>
      </c>
      <c r="M2471" t="e">
        <f>INDEX(Stammdaten[Abholzigkeit (mm/lfm)],MATCH(Tabelle9[[#This Row],[Rank]],Stammdaten[Rank Verteilung Abholzigkeit],0))</f>
        <v>#N/A</v>
      </c>
      <c r="N2471" t="e">
        <f>VLOOKUP(Tabelle9[[#This Row],[Rank]],Stammdaten[[Rank Verteilung Abholzigkeit]:[Verteilung Abholzigkeit]],2,FALSE)</f>
        <v>#N/A</v>
      </c>
      <c r="S2471">
        <v>2462</v>
      </c>
      <c r="T2471" t="e">
        <f>INDEX(Stammdaten[Krümmung (mm/lfm)],MATCH(Tabelle10[[#This Row],[Rank]],Stammdaten[Rank Verteilung Krümmung],0))</f>
        <v>#N/A</v>
      </c>
      <c r="U2471" t="e">
        <f>VLOOKUP(Tabelle10[[#This Row],[Rank]],Stammdaten[[Rank Verteilung Krümmung]:[Verteilung Krümmung]],2,FALSE)</f>
        <v>#N/A</v>
      </c>
      <c r="Z2471">
        <v>2462</v>
      </c>
      <c r="AA2471" t="e">
        <f>INDEX(Stammdaten[Ovalität (']0,1'])],MATCH(Tabelle1014[[#This Row],[Rank]],Stammdaten[Rank Verteilung Ovalität],0))</f>
        <v>#N/A</v>
      </c>
      <c r="AB2471" t="e">
        <f>VLOOKUP(Tabelle1014[[#This Row],[Rank]],Stammdaten[[Rank Verteilung Ovalität]:[Verteilung Ovalität]],2,FALSE)</f>
        <v>#N/A</v>
      </c>
    </row>
    <row r="2472" spans="5:28" x14ac:dyDescent="0.35">
      <c r="E2472">
        <v>2463</v>
      </c>
      <c r="F2472" t="e">
        <f>INDEX(Stammdaten[D Mitte mit Rinde (mm)],MATCH(Tabelle8[[#This Row],[Rank]],Stammdaten[Rank Verteilung D Mitte mit Rinde],0))</f>
        <v>#N/A</v>
      </c>
      <c r="G2472" t="e">
        <f>VLOOKUP(Tabelle8[[#This Row],[Rank]],Stammdaten[[Rank Verteilung D Mitte mit Rinde]:[Verteilung D Mitte mit Rinde]],2,FALSE)</f>
        <v>#N/A</v>
      </c>
      <c r="L2472">
        <v>2463</v>
      </c>
      <c r="M2472" t="e">
        <f>INDEX(Stammdaten[Abholzigkeit (mm/lfm)],MATCH(Tabelle9[[#This Row],[Rank]],Stammdaten[Rank Verteilung Abholzigkeit],0))</f>
        <v>#N/A</v>
      </c>
      <c r="N2472" t="e">
        <f>VLOOKUP(Tabelle9[[#This Row],[Rank]],Stammdaten[[Rank Verteilung Abholzigkeit]:[Verteilung Abholzigkeit]],2,FALSE)</f>
        <v>#N/A</v>
      </c>
      <c r="S2472">
        <v>2463</v>
      </c>
      <c r="T2472" t="e">
        <f>INDEX(Stammdaten[Krümmung (mm/lfm)],MATCH(Tabelle10[[#This Row],[Rank]],Stammdaten[Rank Verteilung Krümmung],0))</f>
        <v>#N/A</v>
      </c>
      <c r="U2472" t="e">
        <f>VLOOKUP(Tabelle10[[#This Row],[Rank]],Stammdaten[[Rank Verteilung Krümmung]:[Verteilung Krümmung]],2,FALSE)</f>
        <v>#N/A</v>
      </c>
      <c r="Z2472">
        <v>2463</v>
      </c>
      <c r="AA2472" t="e">
        <f>INDEX(Stammdaten[Ovalität (']0,1'])],MATCH(Tabelle1014[[#This Row],[Rank]],Stammdaten[Rank Verteilung Ovalität],0))</f>
        <v>#N/A</v>
      </c>
      <c r="AB2472" t="e">
        <f>VLOOKUP(Tabelle1014[[#This Row],[Rank]],Stammdaten[[Rank Verteilung Ovalität]:[Verteilung Ovalität]],2,FALSE)</f>
        <v>#N/A</v>
      </c>
    </row>
    <row r="2473" spans="5:28" x14ac:dyDescent="0.35">
      <c r="E2473">
        <v>2464</v>
      </c>
      <c r="F2473" t="e">
        <f>INDEX(Stammdaten[D Mitte mit Rinde (mm)],MATCH(Tabelle8[[#This Row],[Rank]],Stammdaten[Rank Verteilung D Mitte mit Rinde],0))</f>
        <v>#N/A</v>
      </c>
      <c r="G2473" t="e">
        <f>VLOOKUP(Tabelle8[[#This Row],[Rank]],Stammdaten[[Rank Verteilung D Mitte mit Rinde]:[Verteilung D Mitte mit Rinde]],2,FALSE)</f>
        <v>#N/A</v>
      </c>
      <c r="L2473">
        <v>2464</v>
      </c>
      <c r="M2473" t="e">
        <f>INDEX(Stammdaten[Abholzigkeit (mm/lfm)],MATCH(Tabelle9[[#This Row],[Rank]],Stammdaten[Rank Verteilung Abholzigkeit],0))</f>
        <v>#N/A</v>
      </c>
      <c r="N2473" t="e">
        <f>VLOOKUP(Tabelle9[[#This Row],[Rank]],Stammdaten[[Rank Verteilung Abholzigkeit]:[Verteilung Abholzigkeit]],2,FALSE)</f>
        <v>#N/A</v>
      </c>
      <c r="S2473">
        <v>2464</v>
      </c>
      <c r="T2473" t="e">
        <f>INDEX(Stammdaten[Krümmung (mm/lfm)],MATCH(Tabelle10[[#This Row],[Rank]],Stammdaten[Rank Verteilung Krümmung],0))</f>
        <v>#N/A</v>
      </c>
      <c r="U2473" t="e">
        <f>VLOOKUP(Tabelle10[[#This Row],[Rank]],Stammdaten[[Rank Verteilung Krümmung]:[Verteilung Krümmung]],2,FALSE)</f>
        <v>#N/A</v>
      </c>
      <c r="Z2473">
        <v>2464</v>
      </c>
      <c r="AA2473" t="e">
        <f>INDEX(Stammdaten[Ovalität (']0,1'])],MATCH(Tabelle1014[[#This Row],[Rank]],Stammdaten[Rank Verteilung Ovalität],0))</f>
        <v>#N/A</v>
      </c>
      <c r="AB2473" t="e">
        <f>VLOOKUP(Tabelle1014[[#This Row],[Rank]],Stammdaten[[Rank Verteilung Ovalität]:[Verteilung Ovalität]],2,FALSE)</f>
        <v>#N/A</v>
      </c>
    </row>
    <row r="2474" spans="5:28" x14ac:dyDescent="0.35">
      <c r="E2474">
        <v>2465</v>
      </c>
      <c r="F2474" t="e">
        <f>INDEX(Stammdaten[D Mitte mit Rinde (mm)],MATCH(Tabelle8[[#This Row],[Rank]],Stammdaten[Rank Verteilung D Mitte mit Rinde],0))</f>
        <v>#N/A</v>
      </c>
      <c r="G2474" t="e">
        <f>VLOOKUP(Tabelle8[[#This Row],[Rank]],Stammdaten[[Rank Verteilung D Mitte mit Rinde]:[Verteilung D Mitte mit Rinde]],2,FALSE)</f>
        <v>#N/A</v>
      </c>
      <c r="L2474">
        <v>2465</v>
      </c>
      <c r="M2474" t="e">
        <f>INDEX(Stammdaten[Abholzigkeit (mm/lfm)],MATCH(Tabelle9[[#This Row],[Rank]],Stammdaten[Rank Verteilung Abholzigkeit],0))</f>
        <v>#N/A</v>
      </c>
      <c r="N2474" t="e">
        <f>VLOOKUP(Tabelle9[[#This Row],[Rank]],Stammdaten[[Rank Verteilung Abholzigkeit]:[Verteilung Abholzigkeit]],2,FALSE)</f>
        <v>#N/A</v>
      </c>
      <c r="S2474">
        <v>2465</v>
      </c>
      <c r="T2474" t="e">
        <f>INDEX(Stammdaten[Krümmung (mm/lfm)],MATCH(Tabelle10[[#This Row],[Rank]],Stammdaten[Rank Verteilung Krümmung],0))</f>
        <v>#N/A</v>
      </c>
      <c r="U2474" t="e">
        <f>VLOOKUP(Tabelle10[[#This Row],[Rank]],Stammdaten[[Rank Verteilung Krümmung]:[Verteilung Krümmung]],2,FALSE)</f>
        <v>#N/A</v>
      </c>
      <c r="Z2474">
        <v>2465</v>
      </c>
      <c r="AA2474" t="e">
        <f>INDEX(Stammdaten[Ovalität (']0,1'])],MATCH(Tabelle1014[[#This Row],[Rank]],Stammdaten[Rank Verteilung Ovalität],0))</f>
        <v>#N/A</v>
      </c>
      <c r="AB2474" t="e">
        <f>VLOOKUP(Tabelle1014[[#This Row],[Rank]],Stammdaten[[Rank Verteilung Ovalität]:[Verteilung Ovalität]],2,FALSE)</f>
        <v>#N/A</v>
      </c>
    </row>
    <row r="2475" spans="5:28" x14ac:dyDescent="0.35">
      <c r="E2475">
        <v>2466</v>
      </c>
      <c r="F2475" t="e">
        <f>INDEX(Stammdaten[D Mitte mit Rinde (mm)],MATCH(Tabelle8[[#This Row],[Rank]],Stammdaten[Rank Verteilung D Mitte mit Rinde],0))</f>
        <v>#N/A</v>
      </c>
      <c r="G2475" t="e">
        <f>VLOOKUP(Tabelle8[[#This Row],[Rank]],Stammdaten[[Rank Verteilung D Mitte mit Rinde]:[Verteilung D Mitte mit Rinde]],2,FALSE)</f>
        <v>#N/A</v>
      </c>
      <c r="L2475">
        <v>2466</v>
      </c>
      <c r="M2475" t="e">
        <f>INDEX(Stammdaten[Abholzigkeit (mm/lfm)],MATCH(Tabelle9[[#This Row],[Rank]],Stammdaten[Rank Verteilung Abholzigkeit],0))</f>
        <v>#N/A</v>
      </c>
      <c r="N2475" t="e">
        <f>VLOOKUP(Tabelle9[[#This Row],[Rank]],Stammdaten[[Rank Verteilung Abholzigkeit]:[Verteilung Abholzigkeit]],2,FALSE)</f>
        <v>#N/A</v>
      </c>
      <c r="S2475">
        <v>2466</v>
      </c>
      <c r="T2475" t="e">
        <f>INDEX(Stammdaten[Krümmung (mm/lfm)],MATCH(Tabelle10[[#This Row],[Rank]],Stammdaten[Rank Verteilung Krümmung],0))</f>
        <v>#N/A</v>
      </c>
      <c r="U2475" t="e">
        <f>VLOOKUP(Tabelle10[[#This Row],[Rank]],Stammdaten[[Rank Verteilung Krümmung]:[Verteilung Krümmung]],2,FALSE)</f>
        <v>#N/A</v>
      </c>
      <c r="Z2475">
        <v>2466</v>
      </c>
      <c r="AA2475" t="e">
        <f>INDEX(Stammdaten[Ovalität (']0,1'])],MATCH(Tabelle1014[[#This Row],[Rank]],Stammdaten[Rank Verteilung Ovalität],0))</f>
        <v>#N/A</v>
      </c>
      <c r="AB2475" t="e">
        <f>VLOOKUP(Tabelle1014[[#This Row],[Rank]],Stammdaten[[Rank Verteilung Ovalität]:[Verteilung Ovalität]],2,FALSE)</f>
        <v>#N/A</v>
      </c>
    </row>
    <row r="2476" spans="5:28" x14ac:dyDescent="0.35">
      <c r="E2476">
        <v>2467</v>
      </c>
      <c r="F2476" t="e">
        <f>INDEX(Stammdaten[D Mitte mit Rinde (mm)],MATCH(Tabelle8[[#This Row],[Rank]],Stammdaten[Rank Verteilung D Mitte mit Rinde],0))</f>
        <v>#N/A</v>
      </c>
      <c r="G2476" t="e">
        <f>VLOOKUP(Tabelle8[[#This Row],[Rank]],Stammdaten[[Rank Verteilung D Mitte mit Rinde]:[Verteilung D Mitte mit Rinde]],2,FALSE)</f>
        <v>#N/A</v>
      </c>
      <c r="L2476">
        <v>2467</v>
      </c>
      <c r="M2476" t="e">
        <f>INDEX(Stammdaten[Abholzigkeit (mm/lfm)],MATCH(Tabelle9[[#This Row],[Rank]],Stammdaten[Rank Verteilung Abholzigkeit],0))</f>
        <v>#N/A</v>
      </c>
      <c r="N2476" t="e">
        <f>VLOOKUP(Tabelle9[[#This Row],[Rank]],Stammdaten[[Rank Verteilung Abholzigkeit]:[Verteilung Abholzigkeit]],2,FALSE)</f>
        <v>#N/A</v>
      </c>
      <c r="S2476">
        <v>2467</v>
      </c>
      <c r="T2476" t="e">
        <f>INDEX(Stammdaten[Krümmung (mm/lfm)],MATCH(Tabelle10[[#This Row],[Rank]],Stammdaten[Rank Verteilung Krümmung],0))</f>
        <v>#N/A</v>
      </c>
      <c r="U2476" t="e">
        <f>VLOOKUP(Tabelle10[[#This Row],[Rank]],Stammdaten[[Rank Verteilung Krümmung]:[Verteilung Krümmung]],2,FALSE)</f>
        <v>#N/A</v>
      </c>
      <c r="Z2476">
        <v>2467</v>
      </c>
      <c r="AA2476" t="e">
        <f>INDEX(Stammdaten[Ovalität (']0,1'])],MATCH(Tabelle1014[[#This Row],[Rank]],Stammdaten[Rank Verteilung Ovalität],0))</f>
        <v>#N/A</v>
      </c>
      <c r="AB2476" t="e">
        <f>VLOOKUP(Tabelle1014[[#This Row],[Rank]],Stammdaten[[Rank Verteilung Ovalität]:[Verteilung Ovalität]],2,FALSE)</f>
        <v>#N/A</v>
      </c>
    </row>
    <row r="2477" spans="5:28" x14ac:dyDescent="0.35">
      <c r="E2477">
        <v>2468</v>
      </c>
      <c r="F2477" t="e">
        <f>INDEX(Stammdaten[D Mitte mit Rinde (mm)],MATCH(Tabelle8[[#This Row],[Rank]],Stammdaten[Rank Verteilung D Mitte mit Rinde],0))</f>
        <v>#N/A</v>
      </c>
      <c r="G2477" t="e">
        <f>VLOOKUP(Tabelle8[[#This Row],[Rank]],Stammdaten[[Rank Verteilung D Mitte mit Rinde]:[Verteilung D Mitte mit Rinde]],2,FALSE)</f>
        <v>#N/A</v>
      </c>
      <c r="L2477">
        <v>2468</v>
      </c>
      <c r="M2477" t="e">
        <f>INDEX(Stammdaten[Abholzigkeit (mm/lfm)],MATCH(Tabelle9[[#This Row],[Rank]],Stammdaten[Rank Verteilung Abholzigkeit],0))</f>
        <v>#N/A</v>
      </c>
      <c r="N2477" t="e">
        <f>VLOOKUP(Tabelle9[[#This Row],[Rank]],Stammdaten[[Rank Verteilung Abholzigkeit]:[Verteilung Abholzigkeit]],2,FALSE)</f>
        <v>#N/A</v>
      </c>
      <c r="S2477">
        <v>2468</v>
      </c>
      <c r="T2477" t="e">
        <f>INDEX(Stammdaten[Krümmung (mm/lfm)],MATCH(Tabelle10[[#This Row],[Rank]],Stammdaten[Rank Verteilung Krümmung],0))</f>
        <v>#N/A</v>
      </c>
      <c r="U2477" t="e">
        <f>VLOOKUP(Tabelle10[[#This Row],[Rank]],Stammdaten[[Rank Verteilung Krümmung]:[Verteilung Krümmung]],2,FALSE)</f>
        <v>#N/A</v>
      </c>
      <c r="Z2477">
        <v>2468</v>
      </c>
      <c r="AA2477" t="e">
        <f>INDEX(Stammdaten[Ovalität (']0,1'])],MATCH(Tabelle1014[[#This Row],[Rank]],Stammdaten[Rank Verteilung Ovalität],0))</f>
        <v>#N/A</v>
      </c>
      <c r="AB2477" t="e">
        <f>VLOOKUP(Tabelle1014[[#This Row],[Rank]],Stammdaten[[Rank Verteilung Ovalität]:[Verteilung Ovalität]],2,FALSE)</f>
        <v>#N/A</v>
      </c>
    </row>
    <row r="2478" spans="5:28" x14ac:dyDescent="0.35">
      <c r="E2478">
        <v>2469</v>
      </c>
      <c r="F2478" t="e">
        <f>INDEX(Stammdaten[D Mitte mit Rinde (mm)],MATCH(Tabelle8[[#This Row],[Rank]],Stammdaten[Rank Verteilung D Mitte mit Rinde],0))</f>
        <v>#N/A</v>
      </c>
      <c r="G2478" t="e">
        <f>VLOOKUP(Tabelle8[[#This Row],[Rank]],Stammdaten[[Rank Verteilung D Mitte mit Rinde]:[Verteilung D Mitte mit Rinde]],2,FALSE)</f>
        <v>#N/A</v>
      </c>
      <c r="L2478">
        <v>2469</v>
      </c>
      <c r="M2478" t="e">
        <f>INDEX(Stammdaten[Abholzigkeit (mm/lfm)],MATCH(Tabelle9[[#This Row],[Rank]],Stammdaten[Rank Verteilung Abholzigkeit],0))</f>
        <v>#N/A</v>
      </c>
      <c r="N2478" t="e">
        <f>VLOOKUP(Tabelle9[[#This Row],[Rank]],Stammdaten[[Rank Verteilung Abholzigkeit]:[Verteilung Abholzigkeit]],2,FALSE)</f>
        <v>#N/A</v>
      </c>
      <c r="S2478">
        <v>2469</v>
      </c>
      <c r="T2478" t="e">
        <f>INDEX(Stammdaten[Krümmung (mm/lfm)],MATCH(Tabelle10[[#This Row],[Rank]],Stammdaten[Rank Verteilung Krümmung],0))</f>
        <v>#N/A</v>
      </c>
      <c r="U2478" t="e">
        <f>VLOOKUP(Tabelle10[[#This Row],[Rank]],Stammdaten[[Rank Verteilung Krümmung]:[Verteilung Krümmung]],2,FALSE)</f>
        <v>#N/A</v>
      </c>
      <c r="Z2478">
        <v>2469</v>
      </c>
      <c r="AA2478" t="e">
        <f>INDEX(Stammdaten[Ovalität (']0,1'])],MATCH(Tabelle1014[[#This Row],[Rank]],Stammdaten[Rank Verteilung Ovalität],0))</f>
        <v>#N/A</v>
      </c>
      <c r="AB2478" t="e">
        <f>VLOOKUP(Tabelle1014[[#This Row],[Rank]],Stammdaten[[Rank Verteilung Ovalität]:[Verteilung Ovalität]],2,FALSE)</f>
        <v>#N/A</v>
      </c>
    </row>
    <row r="2479" spans="5:28" x14ac:dyDescent="0.35">
      <c r="E2479">
        <v>2470</v>
      </c>
      <c r="F2479" t="e">
        <f>INDEX(Stammdaten[D Mitte mit Rinde (mm)],MATCH(Tabelle8[[#This Row],[Rank]],Stammdaten[Rank Verteilung D Mitte mit Rinde],0))</f>
        <v>#N/A</v>
      </c>
      <c r="G2479" t="e">
        <f>VLOOKUP(Tabelle8[[#This Row],[Rank]],Stammdaten[[Rank Verteilung D Mitte mit Rinde]:[Verteilung D Mitte mit Rinde]],2,FALSE)</f>
        <v>#N/A</v>
      </c>
      <c r="L2479">
        <v>2470</v>
      </c>
      <c r="M2479" t="e">
        <f>INDEX(Stammdaten[Abholzigkeit (mm/lfm)],MATCH(Tabelle9[[#This Row],[Rank]],Stammdaten[Rank Verteilung Abholzigkeit],0))</f>
        <v>#N/A</v>
      </c>
      <c r="N2479" t="e">
        <f>VLOOKUP(Tabelle9[[#This Row],[Rank]],Stammdaten[[Rank Verteilung Abholzigkeit]:[Verteilung Abholzigkeit]],2,FALSE)</f>
        <v>#N/A</v>
      </c>
      <c r="S2479">
        <v>2470</v>
      </c>
      <c r="T2479" t="e">
        <f>INDEX(Stammdaten[Krümmung (mm/lfm)],MATCH(Tabelle10[[#This Row],[Rank]],Stammdaten[Rank Verteilung Krümmung],0))</f>
        <v>#N/A</v>
      </c>
      <c r="U2479" t="e">
        <f>VLOOKUP(Tabelle10[[#This Row],[Rank]],Stammdaten[[Rank Verteilung Krümmung]:[Verteilung Krümmung]],2,FALSE)</f>
        <v>#N/A</v>
      </c>
      <c r="Z2479">
        <v>2470</v>
      </c>
      <c r="AA2479" t="e">
        <f>INDEX(Stammdaten[Ovalität (']0,1'])],MATCH(Tabelle1014[[#This Row],[Rank]],Stammdaten[Rank Verteilung Ovalität],0))</f>
        <v>#N/A</v>
      </c>
      <c r="AB2479" t="e">
        <f>VLOOKUP(Tabelle1014[[#This Row],[Rank]],Stammdaten[[Rank Verteilung Ovalität]:[Verteilung Ovalität]],2,FALSE)</f>
        <v>#N/A</v>
      </c>
    </row>
    <row r="2480" spans="5:28" x14ac:dyDescent="0.35">
      <c r="E2480">
        <v>2471</v>
      </c>
      <c r="F2480" t="e">
        <f>INDEX(Stammdaten[D Mitte mit Rinde (mm)],MATCH(Tabelle8[[#This Row],[Rank]],Stammdaten[Rank Verteilung D Mitte mit Rinde],0))</f>
        <v>#N/A</v>
      </c>
      <c r="G2480" t="e">
        <f>VLOOKUP(Tabelle8[[#This Row],[Rank]],Stammdaten[[Rank Verteilung D Mitte mit Rinde]:[Verteilung D Mitte mit Rinde]],2,FALSE)</f>
        <v>#N/A</v>
      </c>
      <c r="L2480">
        <v>2471</v>
      </c>
      <c r="M2480" t="e">
        <f>INDEX(Stammdaten[Abholzigkeit (mm/lfm)],MATCH(Tabelle9[[#This Row],[Rank]],Stammdaten[Rank Verteilung Abholzigkeit],0))</f>
        <v>#N/A</v>
      </c>
      <c r="N2480" t="e">
        <f>VLOOKUP(Tabelle9[[#This Row],[Rank]],Stammdaten[[Rank Verteilung Abholzigkeit]:[Verteilung Abholzigkeit]],2,FALSE)</f>
        <v>#N/A</v>
      </c>
      <c r="S2480">
        <v>2471</v>
      </c>
      <c r="T2480" t="e">
        <f>INDEX(Stammdaten[Krümmung (mm/lfm)],MATCH(Tabelle10[[#This Row],[Rank]],Stammdaten[Rank Verteilung Krümmung],0))</f>
        <v>#N/A</v>
      </c>
      <c r="U2480" t="e">
        <f>VLOOKUP(Tabelle10[[#This Row],[Rank]],Stammdaten[[Rank Verteilung Krümmung]:[Verteilung Krümmung]],2,FALSE)</f>
        <v>#N/A</v>
      </c>
      <c r="Z2480">
        <v>2471</v>
      </c>
      <c r="AA2480" t="e">
        <f>INDEX(Stammdaten[Ovalität (']0,1'])],MATCH(Tabelle1014[[#This Row],[Rank]],Stammdaten[Rank Verteilung Ovalität],0))</f>
        <v>#N/A</v>
      </c>
      <c r="AB2480" t="e">
        <f>VLOOKUP(Tabelle1014[[#This Row],[Rank]],Stammdaten[[Rank Verteilung Ovalität]:[Verteilung Ovalität]],2,FALSE)</f>
        <v>#N/A</v>
      </c>
    </row>
    <row r="2481" spans="5:28" x14ac:dyDescent="0.35">
      <c r="E2481">
        <v>2472</v>
      </c>
      <c r="F2481" t="e">
        <f>INDEX(Stammdaten[D Mitte mit Rinde (mm)],MATCH(Tabelle8[[#This Row],[Rank]],Stammdaten[Rank Verteilung D Mitte mit Rinde],0))</f>
        <v>#N/A</v>
      </c>
      <c r="G2481" t="e">
        <f>VLOOKUP(Tabelle8[[#This Row],[Rank]],Stammdaten[[Rank Verteilung D Mitte mit Rinde]:[Verteilung D Mitte mit Rinde]],2,FALSE)</f>
        <v>#N/A</v>
      </c>
      <c r="L2481">
        <v>2472</v>
      </c>
      <c r="M2481" t="e">
        <f>INDEX(Stammdaten[Abholzigkeit (mm/lfm)],MATCH(Tabelle9[[#This Row],[Rank]],Stammdaten[Rank Verteilung Abholzigkeit],0))</f>
        <v>#N/A</v>
      </c>
      <c r="N2481" t="e">
        <f>VLOOKUP(Tabelle9[[#This Row],[Rank]],Stammdaten[[Rank Verteilung Abholzigkeit]:[Verteilung Abholzigkeit]],2,FALSE)</f>
        <v>#N/A</v>
      </c>
      <c r="S2481">
        <v>2472</v>
      </c>
      <c r="T2481" t="e">
        <f>INDEX(Stammdaten[Krümmung (mm/lfm)],MATCH(Tabelle10[[#This Row],[Rank]],Stammdaten[Rank Verteilung Krümmung],0))</f>
        <v>#N/A</v>
      </c>
      <c r="U2481" t="e">
        <f>VLOOKUP(Tabelle10[[#This Row],[Rank]],Stammdaten[[Rank Verteilung Krümmung]:[Verteilung Krümmung]],2,FALSE)</f>
        <v>#N/A</v>
      </c>
      <c r="Z2481">
        <v>2472</v>
      </c>
      <c r="AA2481" t="e">
        <f>INDEX(Stammdaten[Ovalität (']0,1'])],MATCH(Tabelle1014[[#This Row],[Rank]],Stammdaten[Rank Verteilung Ovalität],0))</f>
        <v>#N/A</v>
      </c>
      <c r="AB2481" t="e">
        <f>VLOOKUP(Tabelle1014[[#This Row],[Rank]],Stammdaten[[Rank Verteilung Ovalität]:[Verteilung Ovalität]],2,FALSE)</f>
        <v>#N/A</v>
      </c>
    </row>
    <row r="2482" spans="5:28" x14ac:dyDescent="0.35">
      <c r="E2482">
        <v>2473</v>
      </c>
      <c r="F2482" t="e">
        <f>INDEX(Stammdaten[D Mitte mit Rinde (mm)],MATCH(Tabelle8[[#This Row],[Rank]],Stammdaten[Rank Verteilung D Mitte mit Rinde],0))</f>
        <v>#N/A</v>
      </c>
      <c r="G2482" t="e">
        <f>VLOOKUP(Tabelle8[[#This Row],[Rank]],Stammdaten[[Rank Verteilung D Mitte mit Rinde]:[Verteilung D Mitte mit Rinde]],2,FALSE)</f>
        <v>#N/A</v>
      </c>
      <c r="L2482">
        <v>2473</v>
      </c>
      <c r="M2482" t="e">
        <f>INDEX(Stammdaten[Abholzigkeit (mm/lfm)],MATCH(Tabelle9[[#This Row],[Rank]],Stammdaten[Rank Verteilung Abholzigkeit],0))</f>
        <v>#N/A</v>
      </c>
      <c r="N2482" t="e">
        <f>VLOOKUP(Tabelle9[[#This Row],[Rank]],Stammdaten[[Rank Verteilung Abholzigkeit]:[Verteilung Abholzigkeit]],2,FALSE)</f>
        <v>#N/A</v>
      </c>
      <c r="S2482">
        <v>2473</v>
      </c>
      <c r="T2482" t="e">
        <f>INDEX(Stammdaten[Krümmung (mm/lfm)],MATCH(Tabelle10[[#This Row],[Rank]],Stammdaten[Rank Verteilung Krümmung],0))</f>
        <v>#N/A</v>
      </c>
      <c r="U2482" t="e">
        <f>VLOOKUP(Tabelle10[[#This Row],[Rank]],Stammdaten[[Rank Verteilung Krümmung]:[Verteilung Krümmung]],2,FALSE)</f>
        <v>#N/A</v>
      </c>
      <c r="Z2482">
        <v>2473</v>
      </c>
      <c r="AA2482" t="e">
        <f>INDEX(Stammdaten[Ovalität (']0,1'])],MATCH(Tabelle1014[[#This Row],[Rank]],Stammdaten[Rank Verteilung Ovalität],0))</f>
        <v>#N/A</v>
      </c>
      <c r="AB2482" t="e">
        <f>VLOOKUP(Tabelle1014[[#This Row],[Rank]],Stammdaten[[Rank Verteilung Ovalität]:[Verteilung Ovalität]],2,FALSE)</f>
        <v>#N/A</v>
      </c>
    </row>
    <row r="2483" spans="5:28" x14ac:dyDescent="0.35">
      <c r="E2483">
        <v>2474</v>
      </c>
      <c r="F2483" t="e">
        <f>INDEX(Stammdaten[D Mitte mit Rinde (mm)],MATCH(Tabelle8[[#This Row],[Rank]],Stammdaten[Rank Verteilung D Mitte mit Rinde],0))</f>
        <v>#N/A</v>
      </c>
      <c r="G2483" t="e">
        <f>VLOOKUP(Tabelle8[[#This Row],[Rank]],Stammdaten[[Rank Verteilung D Mitte mit Rinde]:[Verteilung D Mitte mit Rinde]],2,FALSE)</f>
        <v>#N/A</v>
      </c>
      <c r="L2483">
        <v>2474</v>
      </c>
      <c r="M2483" t="e">
        <f>INDEX(Stammdaten[Abholzigkeit (mm/lfm)],MATCH(Tabelle9[[#This Row],[Rank]],Stammdaten[Rank Verteilung Abholzigkeit],0))</f>
        <v>#N/A</v>
      </c>
      <c r="N2483" t="e">
        <f>VLOOKUP(Tabelle9[[#This Row],[Rank]],Stammdaten[[Rank Verteilung Abholzigkeit]:[Verteilung Abholzigkeit]],2,FALSE)</f>
        <v>#N/A</v>
      </c>
      <c r="S2483">
        <v>2474</v>
      </c>
      <c r="T2483" t="e">
        <f>INDEX(Stammdaten[Krümmung (mm/lfm)],MATCH(Tabelle10[[#This Row],[Rank]],Stammdaten[Rank Verteilung Krümmung],0))</f>
        <v>#N/A</v>
      </c>
      <c r="U2483" t="e">
        <f>VLOOKUP(Tabelle10[[#This Row],[Rank]],Stammdaten[[Rank Verteilung Krümmung]:[Verteilung Krümmung]],2,FALSE)</f>
        <v>#N/A</v>
      </c>
      <c r="Z2483">
        <v>2474</v>
      </c>
      <c r="AA2483" t="e">
        <f>INDEX(Stammdaten[Ovalität (']0,1'])],MATCH(Tabelle1014[[#This Row],[Rank]],Stammdaten[Rank Verteilung Ovalität],0))</f>
        <v>#N/A</v>
      </c>
      <c r="AB2483" t="e">
        <f>VLOOKUP(Tabelle1014[[#This Row],[Rank]],Stammdaten[[Rank Verteilung Ovalität]:[Verteilung Ovalität]],2,FALSE)</f>
        <v>#N/A</v>
      </c>
    </row>
    <row r="2484" spans="5:28" x14ac:dyDescent="0.35">
      <c r="E2484">
        <v>2475</v>
      </c>
      <c r="F2484" t="e">
        <f>INDEX(Stammdaten[D Mitte mit Rinde (mm)],MATCH(Tabelle8[[#This Row],[Rank]],Stammdaten[Rank Verteilung D Mitte mit Rinde],0))</f>
        <v>#N/A</v>
      </c>
      <c r="G2484" t="e">
        <f>VLOOKUP(Tabelle8[[#This Row],[Rank]],Stammdaten[[Rank Verteilung D Mitte mit Rinde]:[Verteilung D Mitte mit Rinde]],2,FALSE)</f>
        <v>#N/A</v>
      </c>
      <c r="L2484">
        <v>2475</v>
      </c>
      <c r="M2484" t="e">
        <f>INDEX(Stammdaten[Abholzigkeit (mm/lfm)],MATCH(Tabelle9[[#This Row],[Rank]],Stammdaten[Rank Verteilung Abholzigkeit],0))</f>
        <v>#N/A</v>
      </c>
      <c r="N2484" t="e">
        <f>VLOOKUP(Tabelle9[[#This Row],[Rank]],Stammdaten[[Rank Verteilung Abholzigkeit]:[Verteilung Abholzigkeit]],2,FALSE)</f>
        <v>#N/A</v>
      </c>
      <c r="S2484">
        <v>2475</v>
      </c>
      <c r="T2484" t="e">
        <f>INDEX(Stammdaten[Krümmung (mm/lfm)],MATCH(Tabelle10[[#This Row],[Rank]],Stammdaten[Rank Verteilung Krümmung],0))</f>
        <v>#N/A</v>
      </c>
      <c r="U2484" t="e">
        <f>VLOOKUP(Tabelle10[[#This Row],[Rank]],Stammdaten[[Rank Verteilung Krümmung]:[Verteilung Krümmung]],2,FALSE)</f>
        <v>#N/A</v>
      </c>
      <c r="Z2484">
        <v>2475</v>
      </c>
      <c r="AA2484" t="e">
        <f>INDEX(Stammdaten[Ovalität (']0,1'])],MATCH(Tabelle1014[[#This Row],[Rank]],Stammdaten[Rank Verteilung Ovalität],0))</f>
        <v>#N/A</v>
      </c>
      <c r="AB2484" t="e">
        <f>VLOOKUP(Tabelle1014[[#This Row],[Rank]],Stammdaten[[Rank Verteilung Ovalität]:[Verteilung Ovalität]],2,FALSE)</f>
        <v>#N/A</v>
      </c>
    </row>
    <row r="2485" spans="5:28" x14ac:dyDescent="0.35">
      <c r="E2485">
        <v>2476</v>
      </c>
      <c r="F2485" t="e">
        <f>INDEX(Stammdaten[D Mitte mit Rinde (mm)],MATCH(Tabelle8[[#This Row],[Rank]],Stammdaten[Rank Verteilung D Mitte mit Rinde],0))</f>
        <v>#N/A</v>
      </c>
      <c r="G2485" t="e">
        <f>VLOOKUP(Tabelle8[[#This Row],[Rank]],Stammdaten[[Rank Verteilung D Mitte mit Rinde]:[Verteilung D Mitte mit Rinde]],2,FALSE)</f>
        <v>#N/A</v>
      </c>
      <c r="L2485">
        <v>2476</v>
      </c>
      <c r="M2485" t="e">
        <f>INDEX(Stammdaten[Abholzigkeit (mm/lfm)],MATCH(Tabelle9[[#This Row],[Rank]],Stammdaten[Rank Verteilung Abholzigkeit],0))</f>
        <v>#N/A</v>
      </c>
      <c r="N2485" t="e">
        <f>VLOOKUP(Tabelle9[[#This Row],[Rank]],Stammdaten[[Rank Verteilung Abholzigkeit]:[Verteilung Abholzigkeit]],2,FALSE)</f>
        <v>#N/A</v>
      </c>
      <c r="S2485">
        <v>2476</v>
      </c>
      <c r="T2485" t="e">
        <f>INDEX(Stammdaten[Krümmung (mm/lfm)],MATCH(Tabelle10[[#This Row],[Rank]],Stammdaten[Rank Verteilung Krümmung],0))</f>
        <v>#N/A</v>
      </c>
      <c r="U2485" t="e">
        <f>VLOOKUP(Tabelle10[[#This Row],[Rank]],Stammdaten[[Rank Verteilung Krümmung]:[Verteilung Krümmung]],2,FALSE)</f>
        <v>#N/A</v>
      </c>
      <c r="Z2485">
        <v>2476</v>
      </c>
      <c r="AA2485" t="e">
        <f>INDEX(Stammdaten[Ovalität (']0,1'])],MATCH(Tabelle1014[[#This Row],[Rank]],Stammdaten[Rank Verteilung Ovalität],0))</f>
        <v>#N/A</v>
      </c>
      <c r="AB2485" t="e">
        <f>VLOOKUP(Tabelle1014[[#This Row],[Rank]],Stammdaten[[Rank Verteilung Ovalität]:[Verteilung Ovalität]],2,FALSE)</f>
        <v>#N/A</v>
      </c>
    </row>
    <row r="2486" spans="5:28" x14ac:dyDescent="0.35">
      <c r="E2486">
        <v>2477</v>
      </c>
      <c r="F2486" t="e">
        <f>INDEX(Stammdaten[D Mitte mit Rinde (mm)],MATCH(Tabelle8[[#This Row],[Rank]],Stammdaten[Rank Verteilung D Mitte mit Rinde],0))</f>
        <v>#N/A</v>
      </c>
      <c r="G2486" t="e">
        <f>VLOOKUP(Tabelle8[[#This Row],[Rank]],Stammdaten[[Rank Verteilung D Mitte mit Rinde]:[Verteilung D Mitte mit Rinde]],2,FALSE)</f>
        <v>#N/A</v>
      </c>
      <c r="L2486">
        <v>2477</v>
      </c>
      <c r="M2486" t="e">
        <f>INDEX(Stammdaten[Abholzigkeit (mm/lfm)],MATCH(Tabelle9[[#This Row],[Rank]],Stammdaten[Rank Verteilung Abholzigkeit],0))</f>
        <v>#N/A</v>
      </c>
      <c r="N2486" t="e">
        <f>VLOOKUP(Tabelle9[[#This Row],[Rank]],Stammdaten[[Rank Verteilung Abholzigkeit]:[Verteilung Abholzigkeit]],2,FALSE)</f>
        <v>#N/A</v>
      </c>
      <c r="S2486">
        <v>2477</v>
      </c>
      <c r="T2486" t="e">
        <f>INDEX(Stammdaten[Krümmung (mm/lfm)],MATCH(Tabelle10[[#This Row],[Rank]],Stammdaten[Rank Verteilung Krümmung],0))</f>
        <v>#N/A</v>
      </c>
      <c r="U2486" t="e">
        <f>VLOOKUP(Tabelle10[[#This Row],[Rank]],Stammdaten[[Rank Verteilung Krümmung]:[Verteilung Krümmung]],2,FALSE)</f>
        <v>#N/A</v>
      </c>
      <c r="Z2486">
        <v>2477</v>
      </c>
      <c r="AA2486" t="e">
        <f>INDEX(Stammdaten[Ovalität (']0,1'])],MATCH(Tabelle1014[[#This Row],[Rank]],Stammdaten[Rank Verteilung Ovalität],0))</f>
        <v>#N/A</v>
      </c>
      <c r="AB2486" t="e">
        <f>VLOOKUP(Tabelle1014[[#This Row],[Rank]],Stammdaten[[Rank Verteilung Ovalität]:[Verteilung Ovalität]],2,FALSE)</f>
        <v>#N/A</v>
      </c>
    </row>
    <row r="2487" spans="5:28" x14ac:dyDescent="0.35">
      <c r="E2487">
        <v>2478</v>
      </c>
      <c r="F2487" t="e">
        <f>INDEX(Stammdaten[D Mitte mit Rinde (mm)],MATCH(Tabelle8[[#This Row],[Rank]],Stammdaten[Rank Verteilung D Mitte mit Rinde],0))</f>
        <v>#N/A</v>
      </c>
      <c r="G2487" t="e">
        <f>VLOOKUP(Tabelle8[[#This Row],[Rank]],Stammdaten[[Rank Verteilung D Mitte mit Rinde]:[Verteilung D Mitte mit Rinde]],2,FALSE)</f>
        <v>#N/A</v>
      </c>
      <c r="L2487">
        <v>2478</v>
      </c>
      <c r="M2487" t="e">
        <f>INDEX(Stammdaten[Abholzigkeit (mm/lfm)],MATCH(Tabelle9[[#This Row],[Rank]],Stammdaten[Rank Verteilung Abholzigkeit],0))</f>
        <v>#N/A</v>
      </c>
      <c r="N2487" t="e">
        <f>VLOOKUP(Tabelle9[[#This Row],[Rank]],Stammdaten[[Rank Verteilung Abholzigkeit]:[Verteilung Abholzigkeit]],2,FALSE)</f>
        <v>#N/A</v>
      </c>
      <c r="S2487">
        <v>2478</v>
      </c>
      <c r="T2487" t="e">
        <f>INDEX(Stammdaten[Krümmung (mm/lfm)],MATCH(Tabelle10[[#This Row],[Rank]],Stammdaten[Rank Verteilung Krümmung],0))</f>
        <v>#N/A</v>
      </c>
      <c r="U2487" t="e">
        <f>VLOOKUP(Tabelle10[[#This Row],[Rank]],Stammdaten[[Rank Verteilung Krümmung]:[Verteilung Krümmung]],2,FALSE)</f>
        <v>#N/A</v>
      </c>
      <c r="Z2487">
        <v>2478</v>
      </c>
      <c r="AA2487" t="e">
        <f>INDEX(Stammdaten[Ovalität (']0,1'])],MATCH(Tabelle1014[[#This Row],[Rank]],Stammdaten[Rank Verteilung Ovalität],0))</f>
        <v>#N/A</v>
      </c>
      <c r="AB2487" t="e">
        <f>VLOOKUP(Tabelle1014[[#This Row],[Rank]],Stammdaten[[Rank Verteilung Ovalität]:[Verteilung Ovalität]],2,FALSE)</f>
        <v>#N/A</v>
      </c>
    </row>
    <row r="2488" spans="5:28" x14ac:dyDescent="0.35">
      <c r="E2488">
        <v>2479</v>
      </c>
      <c r="F2488" t="e">
        <f>INDEX(Stammdaten[D Mitte mit Rinde (mm)],MATCH(Tabelle8[[#This Row],[Rank]],Stammdaten[Rank Verteilung D Mitte mit Rinde],0))</f>
        <v>#N/A</v>
      </c>
      <c r="G2488" t="e">
        <f>VLOOKUP(Tabelle8[[#This Row],[Rank]],Stammdaten[[Rank Verteilung D Mitte mit Rinde]:[Verteilung D Mitte mit Rinde]],2,FALSE)</f>
        <v>#N/A</v>
      </c>
      <c r="L2488">
        <v>2479</v>
      </c>
      <c r="M2488" t="e">
        <f>INDEX(Stammdaten[Abholzigkeit (mm/lfm)],MATCH(Tabelle9[[#This Row],[Rank]],Stammdaten[Rank Verteilung Abholzigkeit],0))</f>
        <v>#N/A</v>
      </c>
      <c r="N2488" t="e">
        <f>VLOOKUP(Tabelle9[[#This Row],[Rank]],Stammdaten[[Rank Verteilung Abholzigkeit]:[Verteilung Abholzigkeit]],2,FALSE)</f>
        <v>#N/A</v>
      </c>
      <c r="S2488">
        <v>2479</v>
      </c>
      <c r="T2488" t="e">
        <f>INDEX(Stammdaten[Krümmung (mm/lfm)],MATCH(Tabelle10[[#This Row],[Rank]],Stammdaten[Rank Verteilung Krümmung],0))</f>
        <v>#N/A</v>
      </c>
      <c r="U2488" t="e">
        <f>VLOOKUP(Tabelle10[[#This Row],[Rank]],Stammdaten[[Rank Verteilung Krümmung]:[Verteilung Krümmung]],2,FALSE)</f>
        <v>#N/A</v>
      </c>
      <c r="Z2488">
        <v>2479</v>
      </c>
      <c r="AA2488" t="e">
        <f>INDEX(Stammdaten[Ovalität (']0,1'])],MATCH(Tabelle1014[[#This Row],[Rank]],Stammdaten[Rank Verteilung Ovalität],0))</f>
        <v>#N/A</v>
      </c>
      <c r="AB2488" t="e">
        <f>VLOOKUP(Tabelle1014[[#This Row],[Rank]],Stammdaten[[Rank Verteilung Ovalität]:[Verteilung Ovalität]],2,FALSE)</f>
        <v>#N/A</v>
      </c>
    </row>
    <row r="2489" spans="5:28" x14ac:dyDescent="0.35">
      <c r="E2489">
        <v>2480</v>
      </c>
      <c r="F2489" t="e">
        <f>INDEX(Stammdaten[D Mitte mit Rinde (mm)],MATCH(Tabelle8[[#This Row],[Rank]],Stammdaten[Rank Verteilung D Mitte mit Rinde],0))</f>
        <v>#N/A</v>
      </c>
      <c r="G2489" t="e">
        <f>VLOOKUP(Tabelle8[[#This Row],[Rank]],Stammdaten[[Rank Verteilung D Mitte mit Rinde]:[Verteilung D Mitte mit Rinde]],2,FALSE)</f>
        <v>#N/A</v>
      </c>
      <c r="L2489">
        <v>2480</v>
      </c>
      <c r="M2489" t="e">
        <f>INDEX(Stammdaten[Abholzigkeit (mm/lfm)],MATCH(Tabelle9[[#This Row],[Rank]],Stammdaten[Rank Verteilung Abholzigkeit],0))</f>
        <v>#N/A</v>
      </c>
      <c r="N2489" t="e">
        <f>VLOOKUP(Tabelle9[[#This Row],[Rank]],Stammdaten[[Rank Verteilung Abholzigkeit]:[Verteilung Abholzigkeit]],2,FALSE)</f>
        <v>#N/A</v>
      </c>
      <c r="S2489">
        <v>2480</v>
      </c>
      <c r="T2489" t="e">
        <f>INDEX(Stammdaten[Krümmung (mm/lfm)],MATCH(Tabelle10[[#This Row],[Rank]],Stammdaten[Rank Verteilung Krümmung],0))</f>
        <v>#N/A</v>
      </c>
      <c r="U2489" t="e">
        <f>VLOOKUP(Tabelle10[[#This Row],[Rank]],Stammdaten[[Rank Verteilung Krümmung]:[Verteilung Krümmung]],2,FALSE)</f>
        <v>#N/A</v>
      </c>
      <c r="Z2489">
        <v>2480</v>
      </c>
      <c r="AA2489" t="e">
        <f>INDEX(Stammdaten[Ovalität (']0,1'])],MATCH(Tabelle1014[[#This Row],[Rank]],Stammdaten[Rank Verteilung Ovalität],0))</f>
        <v>#N/A</v>
      </c>
      <c r="AB2489" t="e">
        <f>VLOOKUP(Tabelle1014[[#This Row],[Rank]],Stammdaten[[Rank Verteilung Ovalität]:[Verteilung Ovalität]],2,FALSE)</f>
        <v>#N/A</v>
      </c>
    </row>
    <row r="2490" spans="5:28" x14ac:dyDescent="0.35">
      <c r="E2490">
        <v>2481</v>
      </c>
      <c r="F2490" t="e">
        <f>INDEX(Stammdaten[D Mitte mit Rinde (mm)],MATCH(Tabelle8[[#This Row],[Rank]],Stammdaten[Rank Verteilung D Mitte mit Rinde],0))</f>
        <v>#N/A</v>
      </c>
      <c r="G2490" t="e">
        <f>VLOOKUP(Tabelle8[[#This Row],[Rank]],Stammdaten[[Rank Verteilung D Mitte mit Rinde]:[Verteilung D Mitte mit Rinde]],2,FALSE)</f>
        <v>#N/A</v>
      </c>
      <c r="L2490">
        <v>2481</v>
      </c>
      <c r="M2490" t="e">
        <f>INDEX(Stammdaten[Abholzigkeit (mm/lfm)],MATCH(Tabelle9[[#This Row],[Rank]],Stammdaten[Rank Verteilung Abholzigkeit],0))</f>
        <v>#N/A</v>
      </c>
      <c r="N2490" t="e">
        <f>VLOOKUP(Tabelle9[[#This Row],[Rank]],Stammdaten[[Rank Verteilung Abholzigkeit]:[Verteilung Abholzigkeit]],2,FALSE)</f>
        <v>#N/A</v>
      </c>
      <c r="S2490">
        <v>2481</v>
      </c>
      <c r="T2490" t="e">
        <f>INDEX(Stammdaten[Krümmung (mm/lfm)],MATCH(Tabelle10[[#This Row],[Rank]],Stammdaten[Rank Verteilung Krümmung],0))</f>
        <v>#N/A</v>
      </c>
      <c r="U2490" t="e">
        <f>VLOOKUP(Tabelle10[[#This Row],[Rank]],Stammdaten[[Rank Verteilung Krümmung]:[Verteilung Krümmung]],2,FALSE)</f>
        <v>#N/A</v>
      </c>
      <c r="Z2490">
        <v>2481</v>
      </c>
      <c r="AA2490" t="e">
        <f>INDEX(Stammdaten[Ovalität (']0,1'])],MATCH(Tabelle1014[[#This Row],[Rank]],Stammdaten[Rank Verteilung Ovalität],0))</f>
        <v>#N/A</v>
      </c>
      <c r="AB2490" t="e">
        <f>VLOOKUP(Tabelle1014[[#This Row],[Rank]],Stammdaten[[Rank Verteilung Ovalität]:[Verteilung Ovalität]],2,FALSE)</f>
        <v>#N/A</v>
      </c>
    </row>
    <row r="2491" spans="5:28" x14ac:dyDescent="0.35">
      <c r="E2491">
        <v>2482</v>
      </c>
      <c r="F2491" t="e">
        <f>INDEX(Stammdaten[D Mitte mit Rinde (mm)],MATCH(Tabelle8[[#This Row],[Rank]],Stammdaten[Rank Verteilung D Mitte mit Rinde],0))</f>
        <v>#N/A</v>
      </c>
      <c r="G2491" t="e">
        <f>VLOOKUP(Tabelle8[[#This Row],[Rank]],Stammdaten[[Rank Verteilung D Mitte mit Rinde]:[Verteilung D Mitte mit Rinde]],2,FALSE)</f>
        <v>#N/A</v>
      </c>
      <c r="L2491">
        <v>2482</v>
      </c>
      <c r="M2491" t="e">
        <f>INDEX(Stammdaten[Abholzigkeit (mm/lfm)],MATCH(Tabelle9[[#This Row],[Rank]],Stammdaten[Rank Verteilung Abholzigkeit],0))</f>
        <v>#N/A</v>
      </c>
      <c r="N2491" t="e">
        <f>VLOOKUP(Tabelle9[[#This Row],[Rank]],Stammdaten[[Rank Verteilung Abholzigkeit]:[Verteilung Abholzigkeit]],2,FALSE)</f>
        <v>#N/A</v>
      </c>
      <c r="S2491">
        <v>2482</v>
      </c>
      <c r="T2491" t="e">
        <f>INDEX(Stammdaten[Krümmung (mm/lfm)],MATCH(Tabelle10[[#This Row],[Rank]],Stammdaten[Rank Verteilung Krümmung],0))</f>
        <v>#N/A</v>
      </c>
      <c r="U2491" t="e">
        <f>VLOOKUP(Tabelle10[[#This Row],[Rank]],Stammdaten[[Rank Verteilung Krümmung]:[Verteilung Krümmung]],2,FALSE)</f>
        <v>#N/A</v>
      </c>
      <c r="Z2491">
        <v>2482</v>
      </c>
      <c r="AA2491" t="e">
        <f>INDEX(Stammdaten[Ovalität (']0,1'])],MATCH(Tabelle1014[[#This Row],[Rank]],Stammdaten[Rank Verteilung Ovalität],0))</f>
        <v>#N/A</v>
      </c>
      <c r="AB2491" t="e">
        <f>VLOOKUP(Tabelle1014[[#This Row],[Rank]],Stammdaten[[Rank Verteilung Ovalität]:[Verteilung Ovalität]],2,FALSE)</f>
        <v>#N/A</v>
      </c>
    </row>
    <row r="2492" spans="5:28" x14ac:dyDescent="0.35">
      <c r="E2492">
        <v>2483</v>
      </c>
      <c r="F2492" t="e">
        <f>INDEX(Stammdaten[D Mitte mit Rinde (mm)],MATCH(Tabelle8[[#This Row],[Rank]],Stammdaten[Rank Verteilung D Mitte mit Rinde],0))</f>
        <v>#N/A</v>
      </c>
      <c r="G2492" t="e">
        <f>VLOOKUP(Tabelle8[[#This Row],[Rank]],Stammdaten[[Rank Verteilung D Mitte mit Rinde]:[Verteilung D Mitte mit Rinde]],2,FALSE)</f>
        <v>#N/A</v>
      </c>
      <c r="L2492">
        <v>2483</v>
      </c>
      <c r="M2492" t="e">
        <f>INDEX(Stammdaten[Abholzigkeit (mm/lfm)],MATCH(Tabelle9[[#This Row],[Rank]],Stammdaten[Rank Verteilung Abholzigkeit],0))</f>
        <v>#N/A</v>
      </c>
      <c r="N2492" t="e">
        <f>VLOOKUP(Tabelle9[[#This Row],[Rank]],Stammdaten[[Rank Verteilung Abholzigkeit]:[Verteilung Abholzigkeit]],2,FALSE)</f>
        <v>#N/A</v>
      </c>
      <c r="S2492">
        <v>2483</v>
      </c>
      <c r="T2492" t="e">
        <f>INDEX(Stammdaten[Krümmung (mm/lfm)],MATCH(Tabelle10[[#This Row],[Rank]],Stammdaten[Rank Verteilung Krümmung],0))</f>
        <v>#N/A</v>
      </c>
      <c r="U2492" t="e">
        <f>VLOOKUP(Tabelle10[[#This Row],[Rank]],Stammdaten[[Rank Verteilung Krümmung]:[Verteilung Krümmung]],2,FALSE)</f>
        <v>#N/A</v>
      </c>
      <c r="Z2492">
        <v>2483</v>
      </c>
      <c r="AA2492" t="e">
        <f>INDEX(Stammdaten[Ovalität (']0,1'])],MATCH(Tabelle1014[[#This Row],[Rank]],Stammdaten[Rank Verteilung Ovalität],0))</f>
        <v>#N/A</v>
      </c>
      <c r="AB2492" t="e">
        <f>VLOOKUP(Tabelle1014[[#This Row],[Rank]],Stammdaten[[Rank Verteilung Ovalität]:[Verteilung Ovalität]],2,FALSE)</f>
        <v>#N/A</v>
      </c>
    </row>
    <row r="2493" spans="5:28" x14ac:dyDescent="0.35">
      <c r="E2493">
        <v>2484</v>
      </c>
      <c r="F2493" t="e">
        <f>INDEX(Stammdaten[D Mitte mit Rinde (mm)],MATCH(Tabelle8[[#This Row],[Rank]],Stammdaten[Rank Verteilung D Mitte mit Rinde],0))</f>
        <v>#N/A</v>
      </c>
      <c r="G2493" t="e">
        <f>VLOOKUP(Tabelle8[[#This Row],[Rank]],Stammdaten[[Rank Verteilung D Mitte mit Rinde]:[Verteilung D Mitte mit Rinde]],2,FALSE)</f>
        <v>#N/A</v>
      </c>
      <c r="L2493">
        <v>2484</v>
      </c>
      <c r="M2493" t="e">
        <f>INDEX(Stammdaten[Abholzigkeit (mm/lfm)],MATCH(Tabelle9[[#This Row],[Rank]],Stammdaten[Rank Verteilung Abholzigkeit],0))</f>
        <v>#N/A</v>
      </c>
      <c r="N2493" t="e">
        <f>VLOOKUP(Tabelle9[[#This Row],[Rank]],Stammdaten[[Rank Verteilung Abholzigkeit]:[Verteilung Abholzigkeit]],2,FALSE)</f>
        <v>#N/A</v>
      </c>
      <c r="S2493">
        <v>2484</v>
      </c>
      <c r="T2493" t="e">
        <f>INDEX(Stammdaten[Krümmung (mm/lfm)],MATCH(Tabelle10[[#This Row],[Rank]],Stammdaten[Rank Verteilung Krümmung],0))</f>
        <v>#N/A</v>
      </c>
      <c r="U2493" t="e">
        <f>VLOOKUP(Tabelle10[[#This Row],[Rank]],Stammdaten[[Rank Verteilung Krümmung]:[Verteilung Krümmung]],2,FALSE)</f>
        <v>#N/A</v>
      </c>
      <c r="Z2493">
        <v>2484</v>
      </c>
      <c r="AA2493" t="e">
        <f>INDEX(Stammdaten[Ovalität (']0,1'])],MATCH(Tabelle1014[[#This Row],[Rank]],Stammdaten[Rank Verteilung Ovalität],0))</f>
        <v>#N/A</v>
      </c>
      <c r="AB2493" t="e">
        <f>VLOOKUP(Tabelle1014[[#This Row],[Rank]],Stammdaten[[Rank Verteilung Ovalität]:[Verteilung Ovalität]],2,FALSE)</f>
        <v>#N/A</v>
      </c>
    </row>
    <row r="2494" spans="5:28" x14ac:dyDescent="0.35">
      <c r="E2494">
        <v>2485</v>
      </c>
      <c r="F2494" t="e">
        <f>INDEX(Stammdaten[D Mitte mit Rinde (mm)],MATCH(Tabelle8[[#This Row],[Rank]],Stammdaten[Rank Verteilung D Mitte mit Rinde],0))</f>
        <v>#N/A</v>
      </c>
      <c r="G2494" t="e">
        <f>VLOOKUP(Tabelle8[[#This Row],[Rank]],Stammdaten[[Rank Verteilung D Mitte mit Rinde]:[Verteilung D Mitte mit Rinde]],2,FALSE)</f>
        <v>#N/A</v>
      </c>
      <c r="L2494">
        <v>2485</v>
      </c>
      <c r="M2494" t="e">
        <f>INDEX(Stammdaten[Abholzigkeit (mm/lfm)],MATCH(Tabelle9[[#This Row],[Rank]],Stammdaten[Rank Verteilung Abholzigkeit],0))</f>
        <v>#N/A</v>
      </c>
      <c r="N2494" t="e">
        <f>VLOOKUP(Tabelle9[[#This Row],[Rank]],Stammdaten[[Rank Verteilung Abholzigkeit]:[Verteilung Abholzigkeit]],2,FALSE)</f>
        <v>#N/A</v>
      </c>
      <c r="S2494">
        <v>2485</v>
      </c>
      <c r="T2494" t="e">
        <f>INDEX(Stammdaten[Krümmung (mm/lfm)],MATCH(Tabelle10[[#This Row],[Rank]],Stammdaten[Rank Verteilung Krümmung],0))</f>
        <v>#N/A</v>
      </c>
      <c r="U2494" t="e">
        <f>VLOOKUP(Tabelle10[[#This Row],[Rank]],Stammdaten[[Rank Verteilung Krümmung]:[Verteilung Krümmung]],2,FALSE)</f>
        <v>#N/A</v>
      </c>
      <c r="Z2494">
        <v>2485</v>
      </c>
      <c r="AA2494" t="e">
        <f>INDEX(Stammdaten[Ovalität (']0,1'])],MATCH(Tabelle1014[[#This Row],[Rank]],Stammdaten[Rank Verteilung Ovalität],0))</f>
        <v>#N/A</v>
      </c>
      <c r="AB2494" t="e">
        <f>VLOOKUP(Tabelle1014[[#This Row],[Rank]],Stammdaten[[Rank Verteilung Ovalität]:[Verteilung Ovalität]],2,FALSE)</f>
        <v>#N/A</v>
      </c>
    </row>
    <row r="2495" spans="5:28" x14ac:dyDescent="0.35">
      <c r="E2495">
        <v>2486</v>
      </c>
      <c r="F2495" t="e">
        <f>INDEX(Stammdaten[D Mitte mit Rinde (mm)],MATCH(Tabelle8[[#This Row],[Rank]],Stammdaten[Rank Verteilung D Mitte mit Rinde],0))</f>
        <v>#N/A</v>
      </c>
      <c r="G2495" t="e">
        <f>VLOOKUP(Tabelle8[[#This Row],[Rank]],Stammdaten[[Rank Verteilung D Mitte mit Rinde]:[Verteilung D Mitte mit Rinde]],2,FALSE)</f>
        <v>#N/A</v>
      </c>
      <c r="L2495">
        <v>2486</v>
      </c>
      <c r="M2495" t="e">
        <f>INDEX(Stammdaten[Abholzigkeit (mm/lfm)],MATCH(Tabelle9[[#This Row],[Rank]],Stammdaten[Rank Verteilung Abholzigkeit],0))</f>
        <v>#N/A</v>
      </c>
      <c r="N2495" t="e">
        <f>VLOOKUP(Tabelle9[[#This Row],[Rank]],Stammdaten[[Rank Verteilung Abholzigkeit]:[Verteilung Abholzigkeit]],2,FALSE)</f>
        <v>#N/A</v>
      </c>
      <c r="S2495">
        <v>2486</v>
      </c>
      <c r="T2495" t="e">
        <f>INDEX(Stammdaten[Krümmung (mm/lfm)],MATCH(Tabelle10[[#This Row],[Rank]],Stammdaten[Rank Verteilung Krümmung],0))</f>
        <v>#N/A</v>
      </c>
      <c r="U2495" t="e">
        <f>VLOOKUP(Tabelle10[[#This Row],[Rank]],Stammdaten[[Rank Verteilung Krümmung]:[Verteilung Krümmung]],2,FALSE)</f>
        <v>#N/A</v>
      </c>
      <c r="Z2495">
        <v>2486</v>
      </c>
      <c r="AA2495" t="e">
        <f>INDEX(Stammdaten[Ovalität (']0,1'])],MATCH(Tabelle1014[[#This Row],[Rank]],Stammdaten[Rank Verteilung Ovalität],0))</f>
        <v>#N/A</v>
      </c>
      <c r="AB2495" t="e">
        <f>VLOOKUP(Tabelle1014[[#This Row],[Rank]],Stammdaten[[Rank Verteilung Ovalität]:[Verteilung Ovalität]],2,FALSE)</f>
        <v>#N/A</v>
      </c>
    </row>
    <row r="2496" spans="5:28" x14ac:dyDescent="0.35">
      <c r="E2496">
        <v>2487</v>
      </c>
      <c r="F2496" t="e">
        <f>INDEX(Stammdaten[D Mitte mit Rinde (mm)],MATCH(Tabelle8[[#This Row],[Rank]],Stammdaten[Rank Verteilung D Mitte mit Rinde],0))</f>
        <v>#N/A</v>
      </c>
      <c r="G2496" t="e">
        <f>VLOOKUP(Tabelle8[[#This Row],[Rank]],Stammdaten[[Rank Verteilung D Mitte mit Rinde]:[Verteilung D Mitte mit Rinde]],2,FALSE)</f>
        <v>#N/A</v>
      </c>
      <c r="L2496">
        <v>2487</v>
      </c>
      <c r="M2496" t="e">
        <f>INDEX(Stammdaten[Abholzigkeit (mm/lfm)],MATCH(Tabelle9[[#This Row],[Rank]],Stammdaten[Rank Verteilung Abholzigkeit],0))</f>
        <v>#N/A</v>
      </c>
      <c r="N2496" t="e">
        <f>VLOOKUP(Tabelle9[[#This Row],[Rank]],Stammdaten[[Rank Verteilung Abholzigkeit]:[Verteilung Abholzigkeit]],2,FALSE)</f>
        <v>#N/A</v>
      </c>
      <c r="S2496">
        <v>2487</v>
      </c>
      <c r="T2496" t="e">
        <f>INDEX(Stammdaten[Krümmung (mm/lfm)],MATCH(Tabelle10[[#This Row],[Rank]],Stammdaten[Rank Verteilung Krümmung],0))</f>
        <v>#N/A</v>
      </c>
      <c r="U2496" t="e">
        <f>VLOOKUP(Tabelle10[[#This Row],[Rank]],Stammdaten[[Rank Verteilung Krümmung]:[Verteilung Krümmung]],2,FALSE)</f>
        <v>#N/A</v>
      </c>
      <c r="Z2496">
        <v>2487</v>
      </c>
      <c r="AA2496" t="e">
        <f>INDEX(Stammdaten[Ovalität (']0,1'])],MATCH(Tabelle1014[[#This Row],[Rank]],Stammdaten[Rank Verteilung Ovalität],0))</f>
        <v>#N/A</v>
      </c>
      <c r="AB2496" t="e">
        <f>VLOOKUP(Tabelle1014[[#This Row],[Rank]],Stammdaten[[Rank Verteilung Ovalität]:[Verteilung Ovalität]],2,FALSE)</f>
        <v>#N/A</v>
      </c>
    </row>
    <row r="2497" spans="5:28" x14ac:dyDescent="0.35">
      <c r="E2497">
        <v>2488</v>
      </c>
      <c r="F2497" t="e">
        <f>INDEX(Stammdaten[D Mitte mit Rinde (mm)],MATCH(Tabelle8[[#This Row],[Rank]],Stammdaten[Rank Verteilung D Mitte mit Rinde],0))</f>
        <v>#N/A</v>
      </c>
      <c r="G2497" t="e">
        <f>VLOOKUP(Tabelle8[[#This Row],[Rank]],Stammdaten[[Rank Verteilung D Mitte mit Rinde]:[Verteilung D Mitte mit Rinde]],2,FALSE)</f>
        <v>#N/A</v>
      </c>
      <c r="L2497">
        <v>2488</v>
      </c>
      <c r="M2497" t="e">
        <f>INDEX(Stammdaten[Abholzigkeit (mm/lfm)],MATCH(Tabelle9[[#This Row],[Rank]],Stammdaten[Rank Verteilung Abholzigkeit],0))</f>
        <v>#N/A</v>
      </c>
      <c r="N2497" t="e">
        <f>VLOOKUP(Tabelle9[[#This Row],[Rank]],Stammdaten[[Rank Verteilung Abholzigkeit]:[Verteilung Abholzigkeit]],2,FALSE)</f>
        <v>#N/A</v>
      </c>
      <c r="S2497">
        <v>2488</v>
      </c>
      <c r="T2497" t="e">
        <f>INDEX(Stammdaten[Krümmung (mm/lfm)],MATCH(Tabelle10[[#This Row],[Rank]],Stammdaten[Rank Verteilung Krümmung],0))</f>
        <v>#N/A</v>
      </c>
      <c r="U2497" t="e">
        <f>VLOOKUP(Tabelle10[[#This Row],[Rank]],Stammdaten[[Rank Verteilung Krümmung]:[Verteilung Krümmung]],2,FALSE)</f>
        <v>#N/A</v>
      </c>
      <c r="Z2497">
        <v>2488</v>
      </c>
      <c r="AA2497" t="e">
        <f>INDEX(Stammdaten[Ovalität (']0,1'])],MATCH(Tabelle1014[[#This Row],[Rank]],Stammdaten[Rank Verteilung Ovalität],0))</f>
        <v>#N/A</v>
      </c>
      <c r="AB2497" t="e">
        <f>VLOOKUP(Tabelle1014[[#This Row],[Rank]],Stammdaten[[Rank Verteilung Ovalität]:[Verteilung Ovalität]],2,FALSE)</f>
        <v>#N/A</v>
      </c>
    </row>
    <row r="2498" spans="5:28" x14ac:dyDescent="0.35">
      <c r="E2498">
        <v>2489</v>
      </c>
      <c r="F2498" t="e">
        <f>INDEX(Stammdaten[D Mitte mit Rinde (mm)],MATCH(Tabelle8[[#This Row],[Rank]],Stammdaten[Rank Verteilung D Mitte mit Rinde],0))</f>
        <v>#N/A</v>
      </c>
      <c r="G2498" t="e">
        <f>VLOOKUP(Tabelle8[[#This Row],[Rank]],Stammdaten[[Rank Verteilung D Mitte mit Rinde]:[Verteilung D Mitte mit Rinde]],2,FALSE)</f>
        <v>#N/A</v>
      </c>
      <c r="L2498">
        <v>2489</v>
      </c>
      <c r="M2498" t="e">
        <f>INDEX(Stammdaten[Abholzigkeit (mm/lfm)],MATCH(Tabelle9[[#This Row],[Rank]],Stammdaten[Rank Verteilung Abholzigkeit],0))</f>
        <v>#N/A</v>
      </c>
      <c r="N2498" t="e">
        <f>VLOOKUP(Tabelle9[[#This Row],[Rank]],Stammdaten[[Rank Verteilung Abholzigkeit]:[Verteilung Abholzigkeit]],2,FALSE)</f>
        <v>#N/A</v>
      </c>
      <c r="S2498">
        <v>2489</v>
      </c>
      <c r="T2498" t="e">
        <f>INDEX(Stammdaten[Krümmung (mm/lfm)],MATCH(Tabelle10[[#This Row],[Rank]],Stammdaten[Rank Verteilung Krümmung],0))</f>
        <v>#N/A</v>
      </c>
      <c r="U2498" t="e">
        <f>VLOOKUP(Tabelle10[[#This Row],[Rank]],Stammdaten[[Rank Verteilung Krümmung]:[Verteilung Krümmung]],2,FALSE)</f>
        <v>#N/A</v>
      </c>
      <c r="Z2498">
        <v>2489</v>
      </c>
      <c r="AA2498" t="e">
        <f>INDEX(Stammdaten[Ovalität (']0,1'])],MATCH(Tabelle1014[[#This Row],[Rank]],Stammdaten[Rank Verteilung Ovalität],0))</f>
        <v>#N/A</v>
      </c>
      <c r="AB2498" t="e">
        <f>VLOOKUP(Tabelle1014[[#This Row],[Rank]],Stammdaten[[Rank Verteilung Ovalität]:[Verteilung Ovalität]],2,FALSE)</f>
        <v>#N/A</v>
      </c>
    </row>
    <row r="2499" spans="5:28" x14ac:dyDescent="0.35">
      <c r="E2499">
        <v>2490</v>
      </c>
      <c r="F2499" t="e">
        <f>INDEX(Stammdaten[D Mitte mit Rinde (mm)],MATCH(Tabelle8[[#This Row],[Rank]],Stammdaten[Rank Verteilung D Mitte mit Rinde],0))</f>
        <v>#N/A</v>
      </c>
      <c r="G2499" t="e">
        <f>VLOOKUP(Tabelle8[[#This Row],[Rank]],Stammdaten[[Rank Verteilung D Mitte mit Rinde]:[Verteilung D Mitte mit Rinde]],2,FALSE)</f>
        <v>#N/A</v>
      </c>
      <c r="L2499">
        <v>2490</v>
      </c>
      <c r="M2499" t="e">
        <f>INDEX(Stammdaten[Abholzigkeit (mm/lfm)],MATCH(Tabelle9[[#This Row],[Rank]],Stammdaten[Rank Verteilung Abholzigkeit],0))</f>
        <v>#N/A</v>
      </c>
      <c r="N2499" t="e">
        <f>VLOOKUP(Tabelle9[[#This Row],[Rank]],Stammdaten[[Rank Verteilung Abholzigkeit]:[Verteilung Abholzigkeit]],2,FALSE)</f>
        <v>#N/A</v>
      </c>
      <c r="S2499">
        <v>2490</v>
      </c>
      <c r="T2499" t="e">
        <f>INDEX(Stammdaten[Krümmung (mm/lfm)],MATCH(Tabelle10[[#This Row],[Rank]],Stammdaten[Rank Verteilung Krümmung],0))</f>
        <v>#N/A</v>
      </c>
      <c r="U2499" t="e">
        <f>VLOOKUP(Tabelle10[[#This Row],[Rank]],Stammdaten[[Rank Verteilung Krümmung]:[Verteilung Krümmung]],2,FALSE)</f>
        <v>#N/A</v>
      </c>
      <c r="Z2499">
        <v>2490</v>
      </c>
      <c r="AA2499" t="e">
        <f>INDEX(Stammdaten[Ovalität (']0,1'])],MATCH(Tabelle1014[[#This Row],[Rank]],Stammdaten[Rank Verteilung Ovalität],0))</f>
        <v>#N/A</v>
      </c>
      <c r="AB2499" t="e">
        <f>VLOOKUP(Tabelle1014[[#This Row],[Rank]],Stammdaten[[Rank Verteilung Ovalität]:[Verteilung Ovalität]],2,FALSE)</f>
        <v>#N/A</v>
      </c>
    </row>
    <row r="2500" spans="5:28" x14ac:dyDescent="0.35">
      <c r="E2500">
        <v>2491</v>
      </c>
      <c r="F2500" t="e">
        <f>INDEX(Stammdaten[D Mitte mit Rinde (mm)],MATCH(Tabelle8[[#This Row],[Rank]],Stammdaten[Rank Verteilung D Mitte mit Rinde],0))</f>
        <v>#N/A</v>
      </c>
      <c r="G2500" t="e">
        <f>VLOOKUP(Tabelle8[[#This Row],[Rank]],Stammdaten[[Rank Verteilung D Mitte mit Rinde]:[Verteilung D Mitte mit Rinde]],2,FALSE)</f>
        <v>#N/A</v>
      </c>
      <c r="L2500">
        <v>2491</v>
      </c>
      <c r="M2500" t="e">
        <f>INDEX(Stammdaten[Abholzigkeit (mm/lfm)],MATCH(Tabelle9[[#This Row],[Rank]],Stammdaten[Rank Verteilung Abholzigkeit],0))</f>
        <v>#N/A</v>
      </c>
      <c r="N2500" t="e">
        <f>VLOOKUP(Tabelle9[[#This Row],[Rank]],Stammdaten[[Rank Verteilung Abholzigkeit]:[Verteilung Abholzigkeit]],2,FALSE)</f>
        <v>#N/A</v>
      </c>
      <c r="S2500">
        <v>2491</v>
      </c>
      <c r="T2500" t="e">
        <f>INDEX(Stammdaten[Krümmung (mm/lfm)],MATCH(Tabelle10[[#This Row],[Rank]],Stammdaten[Rank Verteilung Krümmung],0))</f>
        <v>#N/A</v>
      </c>
      <c r="U2500" t="e">
        <f>VLOOKUP(Tabelle10[[#This Row],[Rank]],Stammdaten[[Rank Verteilung Krümmung]:[Verteilung Krümmung]],2,FALSE)</f>
        <v>#N/A</v>
      </c>
      <c r="Z2500">
        <v>2491</v>
      </c>
      <c r="AA2500" t="e">
        <f>INDEX(Stammdaten[Ovalität (']0,1'])],MATCH(Tabelle1014[[#This Row],[Rank]],Stammdaten[Rank Verteilung Ovalität],0))</f>
        <v>#N/A</v>
      </c>
      <c r="AB2500" t="e">
        <f>VLOOKUP(Tabelle1014[[#This Row],[Rank]],Stammdaten[[Rank Verteilung Ovalität]:[Verteilung Ovalität]],2,FALSE)</f>
        <v>#N/A</v>
      </c>
    </row>
    <row r="2501" spans="5:28" x14ac:dyDescent="0.35">
      <c r="E2501">
        <v>2492</v>
      </c>
      <c r="F2501" t="e">
        <f>INDEX(Stammdaten[D Mitte mit Rinde (mm)],MATCH(Tabelle8[[#This Row],[Rank]],Stammdaten[Rank Verteilung D Mitte mit Rinde],0))</f>
        <v>#N/A</v>
      </c>
      <c r="G2501" t="e">
        <f>VLOOKUP(Tabelle8[[#This Row],[Rank]],Stammdaten[[Rank Verteilung D Mitte mit Rinde]:[Verteilung D Mitte mit Rinde]],2,FALSE)</f>
        <v>#N/A</v>
      </c>
      <c r="L2501">
        <v>2492</v>
      </c>
      <c r="M2501" t="e">
        <f>INDEX(Stammdaten[Abholzigkeit (mm/lfm)],MATCH(Tabelle9[[#This Row],[Rank]],Stammdaten[Rank Verteilung Abholzigkeit],0))</f>
        <v>#N/A</v>
      </c>
      <c r="N2501" t="e">
        <f>VLOOKUP(Tabelle9[[#This Row],[Rank]],Stammdaten[[Rank Verteilung Abholzigkeit]:[Verteilung Abholzigkeit]],2,FALSE)</f>
        <v>#N/A</v>
      </c>
      <c r="S2501">
        <v>2492</v>
      </c>
      <c r="T2501" t="e">
        <f>INDEX(Stammdaten[Krümmung (mm/lfm)],MATCH(Tabelle10[[#This Row],[Rank]],Stammdaten[Rank Verteilung Krümmung],0))</f>
        <v>#N/A</v>
      </c>
      <c r="U2501" t="e">
        <f>VLOOKUP(Tabelle10[[#This Row],[Rank]],Stammdaten[[Rank Verteilung Krümmung]:[Verteilung Krümmung]],2,FALSE)</f>
        <v>#N/A</v>
      </c>
      <c r="Z2501">
        <v>2492</v>
      </c>
      <c r="AA2501" t="e">
        <f>INDEX(Stammdaten[Ovalität (']0,1'])],MATCH(Tabelle1014[[#This Row],[Rank]],Stammdaten[Rank Verteilung Ovalität],0))</f>
        <v>#N/A</v>
      </c>
      <c r="AB2501" t="e">
        <f>VLOOKUP(Tabelle1014[[#This Row],[Rank]],Stammdaten[[Rank Verteilung Ovalität]:[Verteilung Ovalität]],2,FALSE)</f>
        <v>#N/A</v>
      </c>
    </row>
    <row r="2502" spans="5:28" x14ac:dyDescent="0.35">
      <c r="E2502">
        <v>2493</v>
      </c>
      <c r="F2502" t="e">
        <f>INDEX(Stammdaten[D Mitte mit Rinde (mm)],MATCH(Tabelle8[[#This Row],[Rank]],Stammdaten[Rank Verteilung D Mitte mit Rinde],0))</f>
        <v>#N/A</v>
      </c>
      <c r="G2502" t="e">
        <f>VLOOKUP(Tabelle8[[#This Row],[Rank]],Stammdaten[[Rank Verteilung D Mitte mit Rinde]:[Verteilung D Mitte mit Rinde]],2,FALSE)</f>
        <v>#N/A</v>
      </c>
      <c r="L2502">
        <v>2493</v>
      </c>
      <c r="M2502" t="e">
        <f>INDEX(Stammdaten[Abholzigkeit (mm/lfm)],MATCH(Tabelle9[[#This Row],[Rank]],Stammdaten[Rank Verteilung Abholzigkeit],0))</f>
        <v>#N/A</v>
      </c>
      <c r="N2502" t="e">
        <f>VLOOKUP(Tabelle9[[#This Row],[Rank]],Stammdaten[[Rank Verteilung Abholzigkeit]:[Verteilung Abholzigkeit]],2,FALSE)</f>
        <v>#N/A</v>
      </c>
      <c r="S2502">
        <v>2493</v>
      </c>
      <c r="T2502" t="e">
        <f>INDEX(Stammdaten[Krümmung (mm/lfm)],MATCH(Tabelle10[[#This Row],[Rank]],Stammdaten[Rank Verteilung Krümmung],0))</f>
        <v>#N/A</v>
      </c>
      <c r="U2502" t="e">
        <f>VLOOKUP(Tabelle10[[#This Row],[Rank]],Stammdaten[[Rank Verteilung Krümmung]:[Verteilung Krümmung]],2,FALSE)</f>
        <v>#N/A</v>
      </c>
      <c r="Z2502">
        <v>2493</v>
      </c>
      <c r="AA2502" t="e">
        <f>INDEX(Stammdaten[Ovalität (']0,1'])],MATCH(Tabelle1014[[#This Row],[Rank]],Stammdaten[Rank Verteilung Ovalität],0))</f>
        <v>#N/A</v>
      </c>
      <c r="AB2502" t="e">
        <f>VLOOKUP(Tabelle1014[[#This Row],[Rank]],Stammdaten[[Rank Verteilung Ovalität]:[Verteilung Ovalität]],2,FALSE)</f>
        <v>#N/A</v>
      </c>
    </row>
    <row r="2503" spans="5:28" x14ac:dyDescent="0.35">
      <c r="E2503">
        <v>2494</v>
      </c>
      <c r="F2503" t="e">
        <f>INDEX(Stammdaten[D Mitte mit Rinde (mm)],MATCH(Tabelle8[[#This Row],[Rank]],Stammdaten[Rank Verteilung D Mitte mit Rinde],0))</f>
        <v>#N/A</v>
      </c>
      <c r="G2503" t="e">
        <f>VLOOKUP(Tabelle8[[#This Row],[Rank]],Stammdaten[[Rank Verteilung D Mitte mit Rinde]:[Verteilung D Mitte mit Rinde]],2,FALSE)</f>
        <v>#N/A</v>
      </c>
      <c r="L2503">
        <v>2494</v>
      </c>
      <c r="M2503" t="e">
        <f>INDEX(Stammdaten[Abholzigkeit (mm/lfm)],MATCH(Tabelle9[[#This Row],[Rank]],Stammdaten[Rank Verteilung Abholzigkeit],0))</f>
        <v>#N/A</v>
      </c>
      <c r="N2503" t="e">
        <f>VLOOKUP(Tabelle9[[#This Row],[Rank]],Stammdaten[[Rank Verteilung Abholzigkeit]:[Verteilung Abholzigkeit]],2,FALSE)</f>
        <v>#N/A</v>
      </c>
      <c r="S2503">
        <v>2494</v>
      </c>
      <c r="T2503" t="e">
        <f>INDEX(Stammdaten[Krümmung (mm/lfm)],MATCH(Tabelle10[[#This Row],[Rank]],Stammdaten[Rank Verteilung Krümmung],0))</f>
        <v>#N/A</v>
      </c>
      <c r="U2503" t="e">
        <f>VLOOKUP(Tabelle10[[#This Row],[Rank]],Stammdaten[[Rank Verteilung Krümmung]:[Verteilung Krümmung]],2,FALSE)</f>
        <v>#N/A</v>
      </c>
      <c r="Z2503">
        <v>2494</v>
      </c>
      <c r="AA2503" t="e">
        <f>INDEX(Stammdaten[Ovalität (']0,1'])],MATCH(Tabelle1014[[#This Row],[Rank]],Stammdaten[Rank Verteilung Ovalität],0))</f>
        <v>#N/A</v>
      </c>
      <c r="AB2503" t="e">
        <f>VLOOKUP(Tabelle1014[[#This Row],[Rank]],Stammdaten[[Rank Verteilung Ovalität]:[Verteilung Ovalität]],2,FALSE)</f>
        <v>#N/A</v>
      </c>
    </row>
    <row r="2504" spans="5:28" x14ac:dyDescent="0.35">
      <c r="E2504">
        <v>2495</v>
      </c>
      <c r="F2504" t="e">
        <f>INDEX(Stammdaten[D Mitte mit Rinde (mm)],MATCH(Tabelle8[[#This Row],[Rank]],Stammdaten[Rank Verteilung D Mitte mit Rinde],0))</f>
        <v>#N/A</v>
      </c>
      <c r="G2504" t="e">
        <f>VLOOKUP(Tabelle8[[#This Row],[Rank]],Stammdaten[[Rank Verteilung D Mitte mit Rinde]:[Verteilung D Mitte mit Rinde]],2,FALSE)</f>
        <v>#N/A</v>
      </c>
      <c r="L2504">
        <v>2495</v>
      </c>
      <c r="M2504" t="e">
        <f>INDEX(Stammdaten[Abholzigkeit (mm/lfm)],MATCH(Tabelle9[[#This Row],[Rank]],Stammdaten[Rank Verteilung Abholzigkeit],0))</f>
        <v>#N/A</v>
      </c>
      <c r="N2504" t="e">
        <f>VLOOKUP(Tabelle9[[#This Row],[Rank]],Stammdaten[[Rank Verteilung Abholzigkeit]:[Verteilung Abholzigkeit]],2,FALSE)</f>
        <v>#N/A</v>
      </c>
      <c r="S2504">
        <v>2495</v>
      </c>
      <c r="T2504" t="e">
        <f>INDEX(Stammdaten[Krümmung (mm/lfm)],MATCH(Tabelle10[[#This Row],[Rank]],Stammdaten[Rank Verteilung Krümmung],0))</f>
        <v>#N/A</v>
      </c>
      <c r="U2504" t="e">
        <f>VLOOKUP(Tabelle10[[#This Row],[Rank]],Stammdaten[[Rank Verteilung Krümmung]:[Verteilung Krümmung]],2,FALSE)</f>
        <v>#N/A</v>
      </c>
      <c r="Z2504">
        <v>2495</v>
      </c>
      <c r="AA2504" t="e">
        <f>INDEX(Stammdaten[Ovalität (']0,1'])],MATCH(Tabelle1014[[#This Row],[Rank]],Stammdaten[Rank Verteilung Ovalität],0))</f>
        <v>#N/A</v>
      </c>
      <c r="AB2504" t="e">
        <f>VLOOKUP(Tabelle1014[[#This Row],[Rank]],Stammdaten[[Rank Verteilung Ovalität]:[Verteilung Ovalität]],2,FALSE)</f>
        <v>#N/A</v>
      </c>
    </row>
    <row r="2505" spans="5:28" x14ac:dyDescent="0.35">
      <c r="E2505">
        <v>2496</v>
      </c>
      <c r="F2505" t="e">
        <f>INDEX(Stammdaten[D Mitte mit Rinde (mm)],MATCH(Tabelle8[[#This Row],[Rank]],Stammdaten[Rank Verteilung D Mitte mit Rinde],0))</f>
        <v>#N/A</v>
      </c>
      <c r="G2505" t="e">
        <f>VLOOKUP(Tabelle8[[#This Row],[Rank]],Stammdaten[[Rank Verteilung D Mitte mit Rinde]:[Verteilung D Mitte mit Rinde]],2,FALSE)</f>
        <v>#N/A</v>
      </c>
      <c r="L2505">
        <v>2496</v>
      </c>
      <c r="M2505" t="e">
        <f>INDEX(Stammdaten[Abholzigkeit (mm/lfm)],MATCH(Tabelle9[[#This Row],[Rank]],Stammdaten[Rank Verteilung Abholzigkeit],0))</f>
        <v>#N/A</v>
      </c>
      <c r="N2505" t="e">
        <f>VLOOKUP(Tabelle9[[#This Row],[Rank]],Stammdaten[[Rank Verteilung Abholzigkeit]:[Verteilung Abholzigkeit]],2,FALSE)</f>
        <v>#N/A</v>
      </c>
      <c r="S2505">
        <v>2496</v>
      </c>
      <c r="T2505" t="e">
        <f>INDEX(Stammdaten[Krümmung (mm/lfm)],MATCH(Tabelle10[[#This Row],[Rank]],Stammdaten[Rank Verteilung Krümmung],0))</f>
        <v>#N/A</v>
      </c>
      <c r="U2505" t="e">
        <f>VLOOKUP(Tabelle10[[#This Row],[Rank]],Stammdaten[[Rank Verteilung Krümmung]:[Verteilung Krümmung]],2,FALSE)</f>
        <v>#N/A</v>
      </c>
      <c r="Z2505">
        <v>2496</v>
      </c>
      <c r="AA2505" t="e">
        <f>INDEX(Stammdaten[Ovalität (']0,1'])],MATCH(Tabelle1014[[#This Row],[Rank]],Stammdaten[Rank Verteilung Ovalität],0))</f>
        <v>#N/A</v>
      </c>
      <c r="AB2505" t="e">
        <f>VLOOKUP(Tabelle1014[[#This Row],[Rank]],Stammdaten[[Rank Verteilung Ovalität]:[Verteilung Ovalität]],2,FALSE)</f>
        <v>#N/A</v>
      </c>
    </row>
    <row r="2506" spans="5:28" x14ac:dyDescent="0.35">
      <c r="E2506">
        <v>2497</v>
      </c>
      <c r="F2506" t="e">
        <f>INDEX(Stammdaten[D Mitte mit Rinde (mm)],MATCH(Tabelle8[[#This Row],[Rank]],Stammdaten[Rank Verteilung D Mitte mit Rinde],0))</f>
        <v>#N/A</v>
      </c>
      <c r="G2506" t="e">
        <f>VLOOKUP(Tabelle8[[#This Row],[Rank]],Stammdaten[[Rank Verteilung D Mitte mit Rinde]:[Verteilung D Mitte mit Rinde]],2,FALSE)</f>
        <v>#N/A</v>
      </c>
      <c r="L2506">
        <v>2497</v>
      </c>
      <c r="M2506" t="e">
        <f>INDEX(Stammdaten[Abholzigkeit (mm/lfm)],MATCH(Tabelle9[[#This Row],[Rank]],Stammdaten[Rank Verteilung Abholzigkeit],0))</f>
        <v>#N/A</v>
      </c>
      <c r="N2506" t="e">
        <f>VLOOKUP(Tabelle9[[#This Row],[Rank]],Stammdaten[[Rank Verteilung Abholzigkeit]:[Verteilung Abholzigkeit]],2,FALSE)</f>
        <v>#N/A</v>
      </c>
      <c r="S2506">
        <v>2497</v>
      </c>
      <c r="T2506" t="e">
        <f>INDEX(Stammdaten[Krümmung (mm/lfm)],MATCH(Tabelle10[[#This Row],[Rank]],Stammdaten[Rank Verteilung Krümmung],0))</f>
        <v>#N/A</v>
      </c>
      <c r="U2506" t="e">
        <f>VLOOKUP(Tabelle10[[#This Row],[Rank]],Stammdaten[[Rank Verteilung Krümmung]:[Verteilung Krümmung]],2,FALSE)</f>
        <v>#N/A</v>
      </c>
      <c r="Z2506">
        <v>2497</v>
      </c>
      <c r="AA2506" t="e">
        <f>INDEX(Stammdaten[Ovalität (']0,1'])],MATCH(Tabelle1014[[#This Row],[Rank]],Stammdaten[Rank Verteilung Ovalität],0))</f>
        <v>#N/A</v>
      </c>
      <c r="AB2506" t="e">
        <f>VLOOKUP(Tabelle1014[[#This Row],[Rank]],Stammdaten[[Rank Verteilung Ovalität]:[Verteilung Ovalität]],2,FALSE)</f>
        <v>#N/A</v>
      </c>
    </row>
    <row r="2507" spans="5:28" x14ac:dyDescent="0.35">
      <c r="E2507">
        <v>2498</v>
      </c>
      <c r="F2507" t="e">
        <f>INDEX(Stammdaten[D Mitte mit Rinde (mm)],MATCH(Tabelle8[[#This Row],[Rank]],Stammdaten[Rank Verteilung D Mitte mit Rinde],0))</f>
        <v>#N/A</v>
      </c>
      <c r="G2507" t="e">
        <f>VLOOKUP(Tabelle8[[#This Row],[Rank]],Stammdaten[[Rank Verteilung D Mitte mit Rinde]:[Verteilung D Mitte mit Rinde]],2,FALSE)</f>
        <v>#N/A</v>
      </c>
      <c r="L2507">
        <v>2498</v>
      </c>
      <c r="M2507" t="e">
        <f>INDEX(Stammdaten[Abholzigkeit (mm/lfm)],MATCH(Tabelle9[[#This Row],[Rank]],Stammdaten[Rank Verteilung Abholzigkeit],0))</f>
        <v>#N/A</v>
      </c>
      <c r="N2507" t="e">
        <f>VLOOKUP(Tabelle9[[#This Row],[Rank]],Stammdaten[[Rank Verteilung Abholzigkeit]:[Verteilung Abholzigkeit]],2,FALSE)</f>
        <v>#N/A</v>
      </c>
      <c r="S2507">
        <v>2498</v>
      </c>
      <c r="T2507" t="e">
        <f>INDEX(Stammdaten[Krümmung (mm/lfm)],MATCH(Tabelle10[[#This Row],[Rank]],Stammdaten[Rank Verteilung Krümmung],0))</f>
        <v>#N/A</v>
      </c>
      <c r="U2507" t="e">
        <f>VLOOKUP(Tabelle10[[#This Row],[Rank]],Stammdaten[[Rank Verteilung Krümmung]:[Verteilung Krümmung]],2,FALSE)</f>
        <v>#N/A</v>
      </c>
      <c r="Z2507">
        <v>2498</v>
      </c>
      <c r="AA2507" t="e">
        <f>INDEX(Stammdaten[Ovalität (']0,1'])],MATCH(Tabelle1014[[#This Row],[Rank]],Stammdaten[Rank Verteilung Ovalität],0))</f>
        <v>#N/A</v>
      </c>
      <c r="AB2507" t="e">
        <f>VLOOKUP(Tabelle1014[[#This Row],[Rank]],Stammdaten[[Rank Verteilung Ovalität]:[Verteilung Ovalität]],2,FALSE)</f>
        <v>#N/A</v>
      </c>
    </row>
    <row r="2508" spans="5:28" x14ac:dyDescent="0.35">
      <c r="E2508">
        <v>2499</v>
      </c>
      <c r="F2508" t="e">
        <f>INDEX(Stammdaten[D Mitte mit Rinde (mm)],MATCH(Tabelle8[[#This Row],[Rank]],Stammdaten[Rank Verteilung D Mitte mit Rinde],0))</f>
        <v>#N/A</v>
      </c>
      <c r="G2508" t="e">
        <f>VLOOKUP(Tabelle8[[#This Row],[Rank]],Stammdaten[[Rank Verteilung D Mitte mit Rinde]:[Verteilung D Mitte mit Rinde]],2,FALSE)</f>
        <v>#N/A</v>
      </c>
      <c r="L2508">
        <v>2499</v>
      </c>
      <c r="M2508" t="e">
        <f>INDEX(Stammdaten[Abholzigkeit (mm/lfm)],MATCH(Tabelle9[[#This Row],[Rank]],Stammdaten[Rank Verteilung Abholzigkeit],0))</f>
        <v>#N/A</v>
      </c>
      <c r="N2508" t="e">
        <f>VLOOKUP(Tabelle9[[#This Row],[Rank]],Stammdaten[[Rank Verteilung Abholzigkeit]:[Verteilung Abholzigkeit]],2,FALSE)</f>
        <v>#N/A</v>
      </c>
      <c r="S2508">
        <v>2499</v>
      </c>
      <c r="T2508" t="e">
        <f>INDEX(Stammdaten[Krümmung (mm/lfm)],MATCH(Tabelle10[[#This Row],[Rank]],Stammdaten[Rank Verteilung Krümmung],0))</f>
        <v>#N/A</v>
      </c>
      <c r="U2508" t="e">
        <f>VLOOKUP(Tabelle10[[#This Row],[Rank]],Stammdaten[[Rank Verteilung Krümmung]:[Verteilung Krümmung]],2,FALSE)</f>
        <v>#N/A</v>
      </c>
      <c r="Z2508">
        <v>2499</v>
      </c>
      <c r="AA2508" t="e">
        <f>INDEX(Stammdaten[Ovalität (']0,1'])],MATCH(Tabelle1014[[#This Row],[Rank]],Stammdaten[Rank Verteilung Ovalität],0))</f>
        <v>#N/A</v>
      </c>
      <c r="AB2508" t="e">
        <f>VLOOKUP(Tabelle1014[[#This Row],[Rank]],Stammdaten[[Rank Verteilung Ovalität]:[Verteilung Ovalität]],2,FALSE)</f>
        <v>#N/A</v>
      </c>
    </row>
    <row r="2509" spans="5:28" x14ac:dyDescent="0.35">
      <c r="E2509">
        <v>2500</v>
      </c>
      <c r="F2509" t="e">
        <f>INDEX(Stammdaten[D Mitte mit Rinde (mm)],MATCH(Tabelle8[[#This Row],[Rank]],Stammdaten[Rank Verteilung D Mitte mit Rinde],0))</f>
        <v>#N/A</v>
      </c>
      <c r="G2509" t="e">
        <f>VLOOKUP(Tabelle8[[#This Row],[Rank]],Stammdaten[[Rank Verteilung D Mitte mit Rinde]:[Verteilung D Mitte mit Rinde]],2,FALSE)</f>
        <v>#N/A</v>
      </c>
      <c r="L2509">
        <v>2500</v>
      </c>
      <c r="M2509" t="e">
        <f>INDEX(Stammdaten[Abholzigkeit (mm/lfm)],MATCH(Tabelle9[[#This Row],[Rank]],Stammdaten[Rank Verteilung Abholzigkeit],0))</f>
        <v>#N/A</v>
      </c>
      <c r="N2509" t="e">
        <f>VLOOKUP(Tabelle9[[#This Row],[Rank]],Stammdaten[[Rank Verteilung Abholzigkeit]:[Verteilung Abholzigkeit]],2,FALSE)</f>
        <v>#N/A</v>
      </c>
      <c r="S2509">
        <v>2500</v>
      </c>
      <c r="T2509" t="e">
        <f>INDEX(Stammdaten[Krümmung (mm/lfm)],MATCH(Tabelle10[[#This Row],[Rank]],Stammdaten[Rank Verteilung Krümmung],0))</f>
        <v>#N/A</v>
      </c>
      <c r="U2509" t="e">
        <f>VLOOKUP(Tabelle10[[#This Row],[Rank]],Stammdaten[[Rank Verteilung Krümmung]:[Verteilung Krümmung]],2,FALSE)</f>
        <v>#N/A</v>
      </c>
      <c r="Z2509">
        <v>2500</v>
      </c>
      <c r="AA2509" t="e">
        <f>INDEX(Stammdaten[Ovalität (']0,1'])],MATCH(Tabelle1014[[#This Row],[Rank]],Stammdaten[Rank Verteilung Ovalität],0))</f>
        <v>#N/A</v>
      </c>
      <c r="AB2509" t="e">
        <f>VLOOKUP(Tabelle1014[[#This Row],[Rank]],Stammdaten[[Rank Verteilung Ovalität]:[Verteilung Ovalität]],2,FALSE)</f>
        <v>#N/A</v>
      </c>
    </row>
    <row r="2510" spans="5:28" x14ac:dyDescent="0.35">
      <c r="E2510">
        <v>2501</v>
      </c>
      <c r="F2510" t="e">
        <f>INDEX(Stammdaten[D Mitte mit Rinde (mm)],MATCH(Tabelle8[[#This Row],[Rank]],Stammdaten[Rank Verteilung D Mitte mit Rinde],0))</f>
        <v>#N/A</v>
      </c>
      <c r="G2510" t="e">
        <f>VLOOKUP(Tabelle8[[#This Row],[Rank]],Stammdaten[[Rank Verteilung D Mitte mit Rinde]:[Verteilung D Mitte mit Rinde]],2,FALSE)</f>
        <v>#N/A</v>
      </c>
      <c r="L2510">
        <v>2501</v>
      </c>
      <c r="M2510" t="e">
        <f>INDEX(Stammdaten[Abholzigkeit (mm/lfm)],MATCH(Tabelle9[[#This Row],[Rank]],Stammdaten[Rank Verteilung Abholzigkeit],0))</f>
        <v>#N/A</v>
      </c>
      <c r="N2510" t="e">
        <f>VLOOKUP(Tabelle9[[#This Row],[Rank]],Stammdaten[[Rank Verteilung Abholzigkeit]:[Verteilung Abholzigkeit]],2,FALSE)</f>
        <v>#N/A</v>
      </c>
      <c r="S2510">
        <v>2501</v>
      </c>
      <c r="T2510" t="e">
        <f>INDEX(Stammdaten[Krümmung (mm/lfm)],MATCH(Tabelle10[[#This Row],[Rank]],Stammdaten[Rank Verteilung Krümmung],0))</f>
        <v>#N/A</v>
      </c>
      <c r="U2510" t="e">
        <f>VLOOKUP(Tabelle10[[#This Row],[Rank]],Stammdaten[[Rank Verteilung Krümmung]:[Verteilung Krümmung]],2,FALSE)</f>
        <v>#N/A</v>
      </c>
      <c r="Z2510">
        <v>2501</v>
      </c>
      <c r="AA2510" t="e">
        <f>INDEX(Stammdaten[Ovalität (']0,1'])],MATCH(Tabelle1014[[#This Row],[Rank]],Stammdaten[Rank Verteilung Ovalität],0))</f>
        <v>#N/A</v>
      </c>
      <c r="AB2510" t="e">
        <f>VLOOKUP(Tabelle1014[[#This Row],[Rank]],Stammdaten[[Rank Verteilung Ovalität]:[Verteilung Ovalität]],2,FALSE)</f>
        <v>#N/A</v>
      </c>
    </row>
    <row r="2511" spans="5:28" x14ac:dyDescent="0.35">
      <c r="E2511">
        <v>2502</v>
      </c>
      <c r="F2511" t="e">
        <f>INDEX(Stammdaten[D Mitte mit Rinde (mm)],MATCH(Tabelle8[[#This Row],[Rank]],Stammdaten[Rank Verteilung D Mitte mit Rinde],0))</f>
        <v>#N/A</v>
      </c>
      <c r="G2511" t="e">
        <f>VLOOKUP(Tabelle8[[#This Row],[Rank]],Stammdaten[[Rank Verteilung D Mitte mit Rinde]:[Verteilung D Mitte mit Rinde]],2,FALSE)</f>
        <v>#N/A</v>
      </c>
      <c r="L2511">
        <v>2502</v>
      </c>
      <c r="M2511" t="e">
        <f>INDEX(Stammdaten[Abholzigkeit (mm/lfm)],MATCH(Tabelle9[[#This Row],[Rank]],Stammdaten[Rank Verteilung Abholzigkeit],0))</f>
        <v>#N/A</v>
      </c>
      <c r="N2511" t="e">
        <f>VLOOKUP(Tabelle9[[#This Row],[Rank]],Stammdaten[[Rank Verteilung Abholzigkeit]:[Verteilung Abholzigkeit]],2,FALSE)</f>
        <v>#N/A</v>
      </c>
      <c r="S2511">
        <v>2502</v>
      </c>
      <c r="T2511" t="e">
        <f>INDEX(Stammdaten[Krümmung (mm/lfm)],MATCH(Tabelle10[[#This Row],[Rank]],Stammdaten[Rank Verteilung Krümmung],0))</f>
        <v>#N/A</v>
      </c>
      <c r="U2511" t="e">
        <f>VLOOKUP(Tabelle10[[#This Row],[Rank]],Stammdaten[[Rank Verteilung Krümmung]:[Verteilung Krümmung]],2,FALSE)</f>
        <v>#N/A</v>
      </c>
      <c r="Z2511">
        <v>2502</v>
      </c>
      <c r="AA2511" t="e">
        <f>INDEX(Stammdaten[Ovalität (']0,1'])],MATCH(Tabelle1014[[#This Row],[Rank]],Stammdaten[Rank Verteilung Ovalität],0))</f>
        <v>#N/A</v>
      </c>
      <c r="AB2511" t="e">
        <f>VLOOKUP(Tabelle1014[[#This Row],[Rank]],Stammdaten[[Rank Verteilung Ovalität]:[Verteilung Ovalität]],2,FALSE)</f>
        <v>#N/A</v>
      </c>
    </row>
    <row r="2512" spans="5:28" x14ac:dyDescent="0.35">
      <c r="E2512">
        <v>2503</v>
      </c>
      <c r="F2512" t="e">
        <f>INDEX(Stammdaten[D Mitte mit Rinde (mm)],MATCH(Tabelle8[[#This Row],[Rank]],Stammdaten[Rank Verteilung D Mitte mit Rinde],0))</f>
        <v>#N/A</v>
      </c>
      <c r="G2512" t="e">
        <f>VLOOKUP(Tabelle8[[#This Row],[Rank]],Stammdaten[[Rank Verteilung D Mitte mit Rinde]:[Verteilung D Mitte mit Rinde]],2,FALSE)</f>
        <v>#N/A</v>
      </c>
      <c r="L2512">
        <v>2503</v>
      </c>
      <c r="M2512" t="e">
        <f>INDEX(Stammdaten[Abholzigkeit (mm/lfm)],MATCH(Tabelle9[[#This Row],[Rank]],Stammdaten[Rank Verteilung Abholzigkeit],0))</f>
        <v>#N/A</v>
      </c>
      <c r="N2512" t="e">
        <f>VLOOKUP(Tabelle9[[#This Row],[Rank]],Stammdaten[[Rank Verteilung Abholzigkeit]:[Verteilung Abholzigkeit]],2,FALSE)</f>
        <v>#N/A</v>
      </c>
      <c r="S2512">
        <v>2503</v>
      </c>
      <c r="T2512" t="e">
        <f>INDEX(Stammdaten[Krümmung (mm/lfm)],MATCH(Tabelle10[[#This Row],[Rank]],Stammdaten[Rank Verteilung Krümmung],0))</f>
        <v>#N/A</v>
      </c>
      <c r="U2512" t="e">
        <f>VLOOKUP(Tabelle10[[#This Row],[Rank]],Stammdaten[[Rank Verteilung Krümmung]:[Verteilung Krümmung]],2,FALSE)</f>
        <v>#N/A</v>
      </c>
      <c r="Z2512">
        <v>2503</v>
      </c>
      <c r="AA2512" t="e">
        <f>INDEX(Stammdaten[Ovalität (']0,1'])],MATCH(Tabelle1014[[#This Row],[Rank]],Stammdaten[Rank Verteilung Ovalität],0))</f>
        <v>#N/A</v>
      </c>
      <c r="AB2512" t="e">
        <f>VLOOKUP(Tabelle1014[[#This Row],[Rank]],Stammdaten[[Rank Verteilung Ovalität]:[Verteilung Ovalität]],2,FALSE)</f>
        <v>#N/A</v>
      </c>
    </row>
    <row r="2513" spans="5:28" x14ac:dyDescent="0.35">
      <c r="E2513">
        <v>2504</v>
      </c>
      <c r="F2513" t="e">
        <f>INDEX(Stammdaten[D Mitte mit Rinde (mm)],MATCH(Tabelle8[[#This Row],[Rank]],Stammdaten[Rank Verteilung D Mitte mit Rinde],0))</f>
        <v>#N/A</v>
      </c>
      <c r="G2513" t="e">
        <f>VLOOKUP(Tabelle8[[#This Row],[Rank]],Stammdaten[[Rank Verteilung D Mitte mit Rinde]:[Verteilung D Mitte mit Rinde]],2,FALSE)</f>
        <v>#N/A</v>
      </c>
      <c r="L2513">
        <v>2504</v>
      </c>
      <c r="M2513" t="e">
        <f>INDEX(Stammdaten[Abholzigkeit (mm/lfm)],MATCH(Tabelle9[[#This Row],[Rank]],Stammdaten[Rank Verteilung Abholzigkeit],0))</f>
        <v>#N/A</v>
      </c>
      <c r="N2513" t="e">
        <f>VLOOKUP(Tabelle9[[#This Row],[Rank]],Stammdaten[[Rank Verteilung Abholzigkeit]:[Verteilung Abholzigkeit]],2,FALSE)</f>
        <v>#N/A</v>
      </c>
      <c r="S2513">
        <v>2504</v>
      </c>
      <c r="T2513" t="e">
        <f>INDEX(Stammdaten[Krümmung (mm/lfm)],MATCH(Tabelle10[[#This Row],[Rank]],Stammdaten[Rank Verteilung Krümmung],0))</f>
        <v>#N/A</v>
      </c>
      <c r="U2513" t="e">
        <f>VLOOKUP(Tabelle10[[#This Row],[Rank]],Stammdaten[[Rank Verteilung Krümmung]:[Verteilung Krümmung]],2,FALSE)</f>
        <v>#N/A</v>
      </c>
      <c r="Z2513">
        <v>2504</v>
      </c>
      <c r="AA2513" t="e">
        <f>INDEX(Stammdaten[Ovalität (']0,1'])],MATCH(Tabelle1014[[#This Row],[Rank]],Stammdaten[Rank Verteilung Ovalität],0))</f>
        <v>#N/A</v>
      </c>
      <c r="AB2513" t="e">
        <f>VLOOKUP(Tabelle1014[[#This Row],[Rank]],Stammdaten[[Rank Verteilung Ovalität]:[Verteilung Ovalität]],2,FALSE)</f>
        <v>#N/A</v>
      </c>
    </row>
    <row r="2514" spans="5:28" x14ac:dyDescent="0.35">
      <c r="E2514">
        <v>2505</v>
      </c>
      <c r="F2514" t="e">
        <f>INDEX(Stammdaten[D Mitte mit Rinde (mm)],MATCH(Tabelle8[[#This Row],[Rank]],Stammdaten[Rank Verteilung D Mitte mit Rinde],0))</f>
        <v>#N/A</v>
      </c>
      <c r="G2514" t="e">
        <f>VLOOKUP(Tabelle8[[#This Row],[Rank]],Stammdaten[[Rank Verteilung D Mitte mit Rinde]:[Verteilung D Mitte mit Rinde]],2,FALSE)</f>
        <v>#N/A</v>
      </c>
      <c r="L2514">
        <v>2505</v>
      </c>
      <c r="M2514" t="e">
        <f>INDEX(Stammdaten[Abholzigkeit (mm/lfm)],MATCH(Tabelle9[[#This Row],[Rank]],Stammdaten[Rank Verteilung Abholzigkeit],0))</f>
        <v>#N/A</v>
      </c>
      <c r="N2514" t="e">
        <f>VLOOKUP(Tabelle9[[#This Row],[Rank]],Stammdaten[[Rank Verteilung Abholzigkeit]:[Verteilung Abholzigkeit]],2,FALSE)</f>
        <v>#N/A</v>
      </c>
      <c r="S2514">
        <v>2505</v>
      </c>
      <c r="T2514" t="e">
        <f>INDEX(Stammdaten[Krümmung (mm/lfm)],MATCH(Tabelle10[[#This Row],[Rank]],Stammdaten[Rank Verteilung Krümmung],0))</f>
        <v>#N/A</v>
      </c>
      <c r="U2514" t="e">
        <f>VLOOKUP(Tabelle10[[#This Row],[Rank]],Stammdaten[[Rank Verteilung Krümmung]:[Verteilung Krümmung]],2,FALSE)</f>
        <v>#N/A</v>
      </c>
      <c r="Z2514">
        <v>2505</v>
      </c>
      <c r="AA2514" t="e">
        <f>INDEX(Stammdaten[Ovalität (']0,1'])],MATCH(Tabelle1014[[#This Row],[Rank]],Stammdaten[Rank Verteilung Ovalität],0))</f>
        <v>#N/A</v>
      </c>
      <c r="AB2514" t="e">
        <f>VLOOKUP(Tabelle1014[[#This Row],[Rank]],Stammdaten[[Rank Verteilung Ovalität]:[Verteilung Ovalität]],2,FALSE)</f>
        <v>#N/A</v>
      </c>
    </row>
    <row r="2515" spans="5:28" x14ac:dyDescent="0.35">
      <c r="E2515">
        <v>2506</v>
      </c>
      <c r="F2515" t="e">
        <f>INDEX(Stammdaten[D Mitte mit Rinde (mm)],MATCH(Tabelle8[[#This Row],[Rank]],Stammdaten[Rank Verteilung D Mitte mit Rinde],0))</f>
        <v>#N/A</v>
      </c>
      <c r="G2515" t="e">
        <f>VLOOKUP(Tabelle8[[#This Row],[Rank]],Stammdaten[[Rank Verteilung D Mitte mit Rinde]:[Verteilung D Mitte mit Rinde]],2,FALSE)</f>
        <v>#N/A</v>
      </c>
      <c r="L2515">
        <v>2506</v>
      </c>
      <c r="M2515" t="e">
        <f>INDEX(Stammdaten[Abholzigkeit (mm/lfm)],MATCH(Tabelle9[[#This Row],[Rank]],Stammdaten[Rank Verteilung Abholzigkeit],0))</f>
        <v>#N/A</v>
      </c>
      <c r="N2515" t="e">
        <f>VLOOKUP(Tabelle9[[#This Row],[Rank]],Stammdaten[[Rank Verteilung Abholzigkeit]:[Verteilung Abholzigkeit]],2,FALSE)</f>
        <v>#N/A</v>
      </c>
      <c r="S2515">
        <v>2506</v>
      </c>
      <c r="T2515" t="e">
        <f>INDEX(Stammdaten[Krümmung (mm/lfm)],MATCH(Tabelle10[[#This Row],[Rank]],Stammdaten[Rank Verteilung Krümmung],0))</f>
        <v>#N/A</v>
      </c>
      <c r="U2515" t="e">
        <f>VLOOKUP(Tabelle10[[#This Row],[Rank]],Stammdaten[[Rank Verteilung Krümmung]:[Verteilung Krümmung]],2,FALSE)</f>
        <v>#N/A</v>
      </c>
      <c r="Z2515">
        <v>2506</v>
      </c>
      <c r="AA2515" t="e">
        <f>INDEX(Stammdaten[Ovalität (']0,1'])],MATCH(Tabelle1014[[#This Row],[Rank]],Stammdaten[Rank Verteilung Ovalität],0))</f>
        <v>#N/A</v>
      </c>
      <c r="AB2515" t="e">
        <f>VLOOKUP(Tabelle1014[[#This Row],[Rank]],Stammdaten[[Rank Verteilung Ovalität]:[Verteilung Ovalität]],2,FALSE)</f>
        <v>#N/A</v>
      </c>
    </row>
    <row r="2516" spans="5:28" x14ac:dyDescent="0.35">
      <c r="E2516">
        <v>2507</v>
      </c>
      <c r="F2516" t="e">
        <f>INDEX(Stammdaten[D Mitte mit Rinde (mm)],MATCH(Tabelle8[[#This Row],[Rank]],Stammdaten[Rank Verteilung D Mitte mit Rinde],0))</f>
        <v>#N/A</v>
      </c>
      <c r="G2516" t="e">
        <f>VLOOKUP(Tabelle8[[#This Row],[Rank]],Stammdaten[[Rank Verteilung D Mitte mit Rinde]:[Verteilung D Mitte mit Rinde]],2,FALSE)</f>
        <v>#N/A</v>
      </c>
      <c r="L2516">
        <v>2507</v>
      </c>
      <c r="M2516" t="e">
        <f>INDEX(Stammdaten[Abholzigkeit (mm/lfm)],MATCH(Tabelle9[[#This Row],[Rank]],Stammdaten[Rank Verteilung Abholzigkeit],0))</f>
        <v>#N/A</v>
      </c>
      <c r="N2516" t="e">
        <f>VLOOKUP(Tabelle9[[#This Row],[Rank]],Stammdaten[[Rank Verteilung Abholzigkeit]:[Verteilung Abholzigkeit]],2,FALSE)</f>
        <v>#N/A</v>
      </c>
      <c r="S2516">
        <v>2507</v>
      </c>
      <c r="T2516" t="e">
        <f>INDEX(Stammdaten[Krümmung (mm/lfm)],MATCH(Tabelle10[[#This Row],[Rank]],Stammdaten[Rank Verteilung Krümmung],0))</f>
        <v>#N/A</v>
      </c>
      <c r="U2516" t="e">
        <f>VLOOKUP(Tabelle10[[#This Row],[Rank]],Stammdaten[[Rank Verteilung Krümmung]:[Verteilung Krümmung]],2,FALSE)</f>
        <v>#N/A</v>
      </c>
      <c r="Z2516">
        <v>2507</v>
      </c>
      <c r="AA2516" t="e">
        <f>INDEX(Stammdaten[Ovalität (']0,1'])],MATCH(Tabelle1014[[#This Row],[Rank]],Stammdaten[Rank Verteilung Ovalität],0))</f>
        <v>#N/A</v>
      </c>
      <c r="AB2516" t="e">
        <f>VLOOKUP(Tabelle1014[[#This Row],[Rank]],Stammdaten[[Rank Verteilung Ovalität]:[Verteilung Ovalität]],2,FALSE)</f>
        <v>#N/A</v>
      </c>
    </row>
    <row r="2517" spans="5:28" x14ac:dyDescent="0.35">
      <c r="E2517">
        <v>2508</v>
      </c>
      <c r="F2517" t="e">
        <f>INDEX(Stammdaten[D Mitte mit Rinde (mm)],MATCH(Tabelle8[[#This Row],[Rank]],Stammdaten[Rank Verteilung D Mitte mit Rinde],0))</f>
        <v>#N/A</v>
      </c>
      <c r="G2517" t="e">
        <f>VLOOKUP(Tabelle8[[#This Row],[Rank]],Stammdaten[[Rank Verteilung D Mitte mit Rinde]:[Verteilung D Mitte mit Rinde]],2,FALSE)</f>
        <v>#N/A</v>
      </c>
      <c r="L2517">
        <v>2508</v>
      </c>
      <c r="M2517" t="e">
        <f>INDEX(Stammdaten[Abholzigkeit (mm/lfm)],MATCH(Tabelle9[[#This Row],[Rank]],Stammdaten[Rank Verteilung Abholzigkeit],0))</f>
        <v>#N/A</v>
      </c>
      <c r="N2517" t="e">
        <f>VLOOKUP(Tabelle9[[#This Row],[Rank]],Stammdaten[[Rank Verteilung Abholzigkeit]:[Verteilung Abholzigkeit]],2,FALSE)</f>
        <v>#N/A</v>
      </c>
      <c r="S2517">
        <v>2508</v>
      </c>
      <c r="T2517" t="e">
        <f>INDEX(Stammdaten[Krümmung (mm/lfm)],MATCH(Tabelle10[[#This Row],[Rank]],Stammdaten[Rank Verteilung Krümmung],0))</f>
        <v>#N/A</v>
      </c>
      <c r="U2517" t="e">
        <f>VLOOKUP(Tabelle10[[#This Row],[Rank]],Stammdaten[[Rank Verteilung Krümmung]:[Verteilung Krümmung]],2,FALSE)</f>
        <v>#N/A</v>
      </c>
      <c r="Z2517">
        <v>2508</v>
      </c>
      <c r="AA2517" t="e">
        <f>INDEX(Stammdaten[Ovalität (']0,1'])],MATCH(Tabelle1014[[#This Row],[Rank]],Stammdaten[Rank Verteilung Ovalität],0))</f>
        <v>#N/A</v>
      </c>
      <c r="AB2517" t="e">
        <f>VLOOKUP(Tabelle1014[[#This Row],[Rank]],Stammdaten[[Rank Verteilung Ovalität]:[Verteilung Ovalität]],2,FALSE)</f>
        <v>#N/A</v>
      </c>
    </row>
    <row r="2518" spans="5:28" x14ac:dyDescent="0.35">
      <c r="E2518">
        <v>2509</v>
      </c>
      <c r="F2518" t="e">
        <f>INDEX(Stammdaten[D Mitte mit Rinde (mm)],MATCH(Tabelle8[[#This Row],[Rank]],Stammdaten[Rank Verteilung D Mitte mit Rinde],0))</f>
        <v>#N/A</v>
      </c>
      <c r="G2518" t="e">
        <f>VLOOKUP(Tabelle8[[#This Row],[Rank]],Stammdaten[[Rank Verteilung D Mitte mit Rinde]:[Verteilung D Mitte mit Rinde]],2,FALSE)</f>
        <v>#N/A</v>
      </c>
      <c r="L2518">
        <v>2509</v>
      </c>
      <c r="M2518" t="e">
        <f>INDEX(Stammdaten[Abholzigkeit (mm/lfm)],MATCH(Tabelle9[[#This Row],[Rank]],Stammdaten[Rank Verteilung Abholzigkeit],0))</f>
        <v>#N/A</v>
      </c>
      <c r="N2518" t="e">
        <f>VLOOKUP(Tabelle9[[#This Row],[Rank]],Stammdaten[[Rank Verteilung Abholzigkeit]:[Verteilung Abholzigkeit]],2,FALSE)</f>
        <v>#N/A</v>
      </c>
      <c r="S2518">
        <v>2509</v>
      </c>
      <c r="T2518" t="e">
        <f>INDEX(Stammdaten[Krümmung (mm/lfm)],MATCH(Tabelle10[[#This Row],[Rank]],Stammdaten[Rank Verteilung Krümmung],0))</f>
        <v>#N/A</v>
      </c>
      <c r="U2518" t="e">
        <f>VLOOKUP(Tabelle10[[#This Row],[Rank]],Stammdaten[[Rank Verteilung Krümmung]:[Verteilung Krümmung]],2,FALSE)</f>
        <v>#N/A</v>
      </c>
      <c r="Z2518">
        <v>2509</v>
      </c>
      <c r="AA2518" t="e">
        <f>INDEX(Stammdaten[Ovalität (']0,1'])],MATCH(Tabelle1014[[#This Row],[Rank]],Stammdaten[Rank Verteilung Ovalität],0))</f>
        <v>#N/A</v>
      </c>
      <c r="AB2518" t="e">
        <f>VLOOKUP(Tabelle1014[[#This Row],[Rank]],Stammdaten[[Rank Verteilung Ovalität]:[Verteilung Ovalität]],2,FALSE)</f>
        <v>#N/A</v>
      </c>
    </row>
    <row r="2519" spans="5:28" x14ac:dyDescent="0.35">
      <c r="E2519">
        <v>2510</v>
      </c>
      <c r="F2519" t="e">
        <f>INDEX(Stammdaten[D Mitte mit Rinde (mm)],MATCH(Tabelle8[[#This Row],[Rank]],Stammdaten[Rank Verteilung D Mitte mit Rinde],0))</f>
        <v>#N/A</v>
      </c>
      <c r="G2519" t="e">
        <f>VLOOKUP(Tabelle8[[#This Row],[Rank]],Stammdaten[[Rank Verteilung D Mitte mit Rinde]:[Verteilung D Mitte mit Rinde]],2,FALSE)</f>
        <v>#N/A</v>
      </c>
      <c r="L2519">
        <v>2510</v>
      </c>
      <c r="M2519" t="e">
        <f>INDEX(Stammdaten[Abholzigkeit (mm/lfm)],MATCH(Tabelle9[[#This Row],[Rank]],Stammdaten[Rank Verteilung Abholzigkeit],0))</f>
        <v>#N/A</v>
      </c>
      <c r="N2519" t="e">
        <f>VLOOKUP(Tabelle9[[#This Row],[Rank]],Stammdaten[[Rank Verteilung Abholzigkeit]:[Verteilung Abholzigkeit]],2,FALSE)</f>
        <v>#N/A</v>
      </c>
      <c r="S2519">
        <v>2510</v>
      </c>
      <c r="T2519" t="e">
        <f>INDEX(Stammdaten[Krümmung (mm/lfm)],MATCH(Tabelle10[[#This Row],[Rank]],Stammdaten[Rank Verteilung Krümmung],0))</f>
        <v>#N/A</v>
      </c>
      <c r="U2519" t="e">
        <f>VLOOKUP(Tabelle10[[#This Row],[Rank]],Stammdaten[[Rank Verteilung Krümmung]:[Verteilung Krümmung]],2,FALSE)</f>
        <v>#N/A</v>
      </c>
      <c r="Z2519">
        <v>2510</v>
      </c>
      <c r="AA2519" t="e">
        <f>INDEX(Stammdaten[Ovalität (']0,1'])],MATCH(Tabelle1014[[#This Row],[Rank]],Stammdaten[Rank Verteilung Ovalität],0))</f>
        <v>#N/A</v>
      </c>
      <c r="AB2519" t="e">
        <f>VLOOKUP(Tabelle1014[[#This Row],[Rank]],Stammdaten[[Rank Verteilung Ovalität]:[Verteilung Ovalität]],2,FALSE)</f>
        <v>#N/A</v>
      </c>
    </row>
    <row r="2520" spans="5:28" x14ac:dyDescent="0.35">
      <c r="E2520">
        <v>2511</v>
      </c>
      <c r="F2520" t="e">
        <f>INDEX(Stammdaten[D Mitte mit Rinde (mm)],MATCH(Tabelle8[[#This Row],[Rank]],Stammdaten[Rank Verteilung D Mitte mit Rinde],0))</f>
        <v>#N/A</v>
      </c>
      <c r="G2520" t="e">
        <f>VLOOKUP(Tabelle8[[#This Row],[Rank]],Stammdaten[[Rank Verteilung D Mitte mit Rinde]:[Verteilung D Mitte mit Rinde]],2,FALSE)</f>
        <v>#N/A</v>
      </c>
      <c r="L2520">
        <v>2511</v>
      </c>
      <c r="M2520" t="e">
        <f>INDEX(Stammdaten[Abholzigkeit (mm/lfm)],MATCH(Tabelle9[[#This Row],[Rank]],Stammdaten[Rank Verteilung Abholzigkeit],0))</f>
        <v>#N/A</v>
      </c>
      <c r="N2520" t="e">
        <f>VLOOKUP(Tabelle9[[#This Row],[Rank]],Stammdaten[[Rank Verteilung Abholzigkeit]:[Verteilung Abholzigkeit]],2,FALSE)</f>
        <v>#N/A</v>
      </c>
      <c r="S2520">
        <v>2511</v>
      </c>
      <c r="T2520" t="e">
        <f>INDEX(Stammdaten[Krümmung (mm/lfm)],MATCH(Tabelle10[[#This Row],[Rank]],Stammdaten[Rank Verteilung Krümmung],0))</f>
        <v>#N/A</v>
      </c>
      <c r="U2520" t="e">
        <f>VLOOKUP(Tabelle10[[#This Row],[Rank]],Stammdaten[[Rank Verteilung Krümmung]:[Verteilung Krümmung]],2,FALSE)</f>
        <v>#N/A</v>
      </c>
      <c r="Z2520">
        <v>2511</v>
      </c>
      <c r="AA2520" t="e">
        <f>INDEX(Stammdaten[Ovalität (']0,1'])],MATCH(Tabelle1014[[#This Row],[Rank]],Stammdaten[Rank Verteilung Ovalität],0))</f>
        <v>#N/A</v>
      </c>
      <c r="AB2520" t="e">
        <f>VLOOKUP(Tabelle1014[[#This Row],[Rank]],Stammdaten[[Rank Verteilung Ovalität]:[Verteilung Ovalität]],2,FALSE)</f>
        <v>#N/A</v>
      </c>
    </row>
    <row r="2521" spans="5:28" x14ac:dyDescent="0.35">
      <c r="E2521">
        <v>2512</v>
      </c>
      <c r="F2521" t="e">
        <f>INDEX(Stammdaten[D Mitte mit Rinde (mm)],MATCH(Tabelle8[[#This Row],[Rank]],Stammdaten[Rank Verteilung D Mitte mit Rinde],0))</f>
        <v>#N/A</v>
      </c>
      <c r="G2521" t="e">
        <f>VLOOKUP(Tabelle8[[#This Row],[Rank]],Stammdaten[[Rank Verteilung D Mitte mit Rinde]:[Verteilung D Mitte mit Rinde]],2,FALSE)</f>
        <v>#N/A</v>
      </c>
      <c r="L2521">
        <v>2512</v>
      </c>
      <c r="M2521" t="e">
        <f>INDEX(Stammdaten[Abholzigkeit (mm/lfm)],MATCH(Tabelle9[[#This Row],[Rank]],Stammdaten[Rank Verteilung Abholzigkeit],0))</f>
        <v>#N/A</v>
      </c>
      <c r="N2521" t="e">
        <f>VLOOKUP(Tabelle9[[#This Row],[Rank]],Stammdaten[[Rank Verteilung Abholzigkeit]:[Verteilung Abholzigkeit]],2,FALSE)</f>
        <v>#N/A</v>
      </c>
      <c r="S2521">
        <v>2512</v>
      </c>
      <c r="T2521" t="e">
        <f>INDEX(Stammdaten[Krümmung (mm/lfm)],MATCH(Tabelle10[[#This Row],[Rank]],Stammdaten[Rank Verteilung Krümmung],0))</f>
        <v>#N/A</v>
      </c>
      <c r="U2521" t="e">
        <f>VLOOKUP(Tabelle10[[#This Row],[Rank]],Stammdaten[[Rank Verteilung Krümmung]:[Verteilung Krümmung]],2,FALSE)</f>
        <v>#N/A</v>
      </c>
      <c r="Z2521">
        <v>2512</v>
      </c>
      <c r="AA2521" t="e">
        <f>INDEX(Stammdaten[Ovalität (']0,1'])],MATCH(Tabelle1014[[#This Row],[Rank]],Stammdaten[Rank Verteilung Ovalität],0))</f>
        <v>#N/A</v>
      </c>
      <c r="AB2521" t="e">
        <f>VLOOKUP(Tabelle1014[[#This Row],[Rank]],Stammdaten[[Rank Verteilung Ovalität]:[Verteilung Ovalität]],2,FALSE)</f>
        <v>#N/A</v>
      </c>
    </row>
    <row r="2522" spans="5:28" x14ac:dyDescent="0.35">
      <c r="E2522">
        <v>2513</v>
      </c>
      <c r="F2522" t="e">
        <f>INDEX(Stammdaten[D Mitte mit Rinde (mm)],MATCH(Tabelle8[[#This Row],[Rank]],Stammdaten[Rank Verteilung D Mitte mit Rinde],0))</f>
        <v>#N/A</v>
      </c>
      <c r="G2522" t="e">
        <f>VLOOKUP(Tabelle8[[#This Row],[Rank]],Stammdaten[[Rank Verteilung D Mitte mit Rinde]:[Verteilung D Mitte mit Rinde]],2,FALSE)</f>
        <v>#N/A</v>
      </c>
      <c r="L2522">
        <v>2513</v>
      </c>
      <c r="M2522" t="e">
        <f>INDEX(Stammdaten[Abholzigkeit (mm/lfm)],MATCH(Tabelle9[[#This Row],[Rank]],Stammdaten[Rank Verteilung Abholzigkeit],0))</f>
        <v>#N/A</v>
      </c>
      <c r="N2522" t="e">
        <f>VLOOKUP(Tabelle9[[#This Row],[Rank]],Stammdaten[[Rank Verteilung Abholzigkeit]:[Verteilung Abholzigkeit]],2,FALSE)</f>
        <v>#N/A</v>
      </c>
      <c r="S2522">
        <v>2513</v>
      </c>
      <c r="T2522" t="e">
        <f>INDEX(Stammdaten[Krümmung (mm/lfm)],MATCH(Tabelle10[[#This Row],[Rank]],Stammdaten[Rank Verteilung Krümmung],0))</f>
        <v>#N/A</v>
      </c>
      <c r="U2522" t="e">
        <f>VLOOKUP(Tabelle10[[#This Row],[Rank]],Stammdaten[[Rank Verteilung Krümmung]:[Verteilung Krümmung]],2,FALSE)</f>
        <v>#N/A</v>
      </c>
      <c r="Z2522">
        <v>2513</v>
      </c>
      <c r="AA2522" t="e">
        <f>INDEX(Stammdaten[Ovalität (']0,1'])],MATCH(Tabelle1014[[#This Row],[Rank]],Stammdaten[Rank Verteilung Ovalität],0))</f>
        <v>#N/A</v>
      </c>
      <c r="AB2522" t="e">
        <f>VLOOKUP(Tabelle1014[[#This Row],[Rank]],Stammdaten[[Rank Verteilung Ovalität]:[Verteilung Ovalität]],2,FALSE)</f>
        <v>#N/A</v>
      </c>
    </row>
    <row r="2523" spans="5:28" x14ac:dyDescent="0.35">
      <c r="E2523">
        <v>2514</v>
      </c>
      <c r="F2523" t="e">
        <f>INDEX(Stammdaten[D Mitte mit Rinde (mm)],MATCH(Tabelle8[[#This Row],[Rank]],Stammdaten[Rank Verteilung D Mitte mit Rinde],0))</f>
        <v>#N/A</v>
      </c>
      <c r="G2523" t="e">
        <f>VLOOKUP(Tabelle8[[#This Row],[Rank]],Stammdaten[[Rank Verteilung D Mitte mit Rinde]:[Verteilung D Mitte mit Rinde]],2,FALSE)</f>
        <v>#N/A</v>
      </c>
      <c r="L2523">
        <v>2514</v>
      </c>
      <c r="M2523" t="e">
        <f>INDEX(Stammdaten[Abholzigkeit (mm/lfm)],MATCH(Tabelle9[[#This Row],[Rank]],Stammdaten[Rank Verteilung Abholzigkeit],0))</f>
        <v>#N/A</v>
      </c>
      <c r="N2523" t="e">
        <f>VLOOKUP(Tabelle9[[#This Row],[Rank]],Stammdaten[[Rank Verteilung Abholzigkeit]:[Verteilung Abholzigkeit]],2,FALSE)</f>
        <v>#N/A</v>
      </c>
      <c r="S2523">
        <v>2514</v>
      </c>
      <c r="T2523" t="e">
        <f>INDEX(Stammdaten[Krümmung (mm/lfm)],MATCH(Tabelle10[[#This Row],[Rank]],Stammdaten[Rank Verteilung Krümmung],0))</f>
        <v>#N/A</v>
      </c>
      <c r="U2523" t="e">
        <f>VLOOKUP(Tabelle10[[#This Row],[Rank]],Stammdaten[[Rank Verteilung Krümmung]:[Verteilung Krümmung]],2,FALSE)</f>
        <v>#N/A</v>
      </c>
      <c r="Z2523">
        <v>2514</v>
      </c>
      <c r="AA2523" t="e">
        <f>INDEX(Stammdaten[Ovalität (']0,1'])],MATCH(Tabelle1014[[#This Row],[Rank]],Stammdaten[Rank Verteilung Ovalität],0))</f>
        <v>#N/A</v>
      </c>
      <c r="AB2523" t="e">
        <f>VLOOKUP(Tabelle1014[[#This Row],[Rank]],Stammdaten[[Rank Verteilung Ovalität]:[Verteilung Ovalität]],2,FALSE)</f>
        <v>#N/A</v>
      </c>
    </row>
    <row r="2524" spans="5:28" x14ac:dyDescent="0.35">
      <c r="E2524">
        <v>2515</v>
      </c>
      <c r="F2524" t="e">
        <f>INDEX(Stammdaten[D Mitte mit Rinde (mm)],MATCH(Tabelle8[[#This Row],[Rank]],Stammdaten[Rank Verteilung D Mitte mit Rinde],0))</f>
        <v>#N/A</v>
      </c>
      <c r="G2524" t="e">
        <f>VLOOKUP(Tabelle8[[#This Row],[Rank]],Stammdaten[[Rank Verteilung D Mitte mit Rinde]:[Verteilung D Mitte mit Rinde]],2,FALSE)</f>
        <v>#N/A</v>
      </c>
      <c r="L2524">
        <v>2515</v>
      </c>
      <c r="M2524" t="e">
        <f>INDEX(Stammdaten[Abholzigkeit (mm/lfm)],MATCH(Tabelle9[[#This Row],[Rank]],Stammdaten[Rank Verteilung Abholzigkeit],0))</f>
        <v>#N/A</v>
      </c>
      <c r="N2524" t="e">
        <f>VLOOKUP(Tabelle9[[#This Row],[Rank]],Stammdaten[[Rank Verteilung Abholzigkeit]:[Verteilung Abholzigkeit]],2,FALSE)</f>
        <v>#N/A</v>
      </c>
      <c r="S2524">
        <v>2515</v>
      </c>
      <c r="T2524" t="e">
        <f>INDEX(Stammdaten[Krümmung (mm/lfm)],MATCH(Tabelle10[[#This Row],[Rank]],Stammdaten[Rank Verteilung Krümmung],0))</f>
        <v>#N/A</v>
      </c>
      <c r="U2524" t="e">
        <f>VLOOKUP(Tabelle10[[#This Row],[Rank]],Stammdaten[[Rank Verteilung Krümmung]:[Verteilung Krümmung]],2,FALSE)</f>
        <v>#N/A</v>
      </c>
      <c r="Z2524">
        <v>2515</v>
      </c>
      <c r="AA2524" t="e">
        <f>INDEX(Stammdaten[Ovalität (']0,1'])],MATCH(Tabelle1014[[#This Row],[Rank]],Stammdaten[Rank Verteilung Ovalität],0))</f>
        <v>#N/A</v>
      </c>
      <c r="AB2524" t="e">
        <f>VLOOKUP(Tabelle1014[[#This Row],[Rank]],Stammdaten[[Rank Verteilung Ovalität]:[Verteilung Ovalität]],2,FALSE)</f>
        <v>#N/A</v>
      </c>
    </row>
    <row r="2525" spans="5:28" x14ac:dyDescent="0.35">
      <c r="E2525">
        <v>2516</v>
      </c>
      <c r="F2525" t="e">
        <f>INDEX(Stammdaten[D Mitte mit Rinde (mm)],MATCH(Tabelle8[[#This Row],[Rank]],Stammdaten[Rank Verteilung D Mitte mit Rinde],0))</f>
        <v>#N/A</v>
      </c>
      <c r="G2525" t="e">
        <f>VLOOKUP(Tabelle8[[#This Row],[Rank]],Stammdaten[[Rank Verteilung D Mitte mit Rinde]:[Verteilung D Mitte mit Rinde]],2,FALSE)</f>
        <v>#N/A</v>
      </c>
      <c r="L2525">
        <v>2516</v>
      </c>
      <c r="M2525" t="e">
        <f>INDEX(Stammdaten[Abholzigkeit (mm/lfm)],MATCH(Tabelle9[[#This Row],[Rank]],Stammdaten[Rank Verteilung Abholzigkeit],0))</f>
        <v>#N/A</v>
      </c>
      <c r="N2525" t="e">
        <f>VLOOKUP(Tabelle9[[#This Row],[Rank]],Stammdaten[[Rank Verteilung Abholzigkeit]:[Verteilung Abholzigkeit]],2,FALSE)</f>
        <v>#N/A</v>
      </c>
      <c r="S2525">
        <v>2516</v>
      </c>
      <c r="T2525" t="e">
        <f>INDEX(Stammdaten[Krümmung (mm/lfm)],MATCH(Tabelle10[[#This Row],[Rank]],Stammdaten[Rank Verteilung Krümmung],0))</f>
        <v>#N/A</v>
      </c>
      <c r="U2525" t="e">
        <f>VLOOKUP(Tabelle10[[#This Row],[Rank]],Stammdaten[[Rank Verteilung Krümmung]:[Verteilung Krümmung]],2,FALSE)</f>
        <v>#N/A</v>
      </c>
      <c r="Z2525">
        <v>2516</v>
      </c>
      <c r="AA2525" t="e">
        <f>INDEX(Stammdaten[Ovalität (']0,1'])],MATCH(Tabelle1014[[#This Row],[Rank]],Stammdaten[Rank Verteilung Ovalität],0))</f>
        <v>#N/A</v>
      </c>
      <c r="AB2525" t="e">
        <f>VLOOKUP(Tabelle1014[[#This Row],[Rank]],Stammdaten[[Rank Verteilung Ovalität]:[Verteilung Ovalität]],2,FALSE)</f>
        <v>#N/A</v>
      </c>
    </row>
    <row r="2526" spans="5:28" x14ac:dyDescent="0.35">
      <c r="E2526">
        <v>2517</v>
      </c>
      <c r="F2526" t="e">
        <f>INDEX(Stammdaten[D Mitte mit Rinde (mm)],MATCH(Tabelle8[[#This Row],[Rank]],Stammdaten[Rank Verteilung D Mitte mit Rinde],0))</f>
        <v>#N/A</v>
      </c>
      <c r="G2526" t="e">
        <f>VLOOKUP(Tabelle8[[#This Row],[Rank]],Stammdaten[[Rank Verteilung D Mitte mit Rinde]:[Verteilung D Mitte mit Rinde]],2,FALSE)</f>
        <v>#N/A</v>
      </c>
      <c r="L2526">
        <v>2517</v>
      </c>
      <c r="M2526" t="e">
        <f>INDEX(Stammdaten[Abholzigkeit (mm/lfm)],MATCH(Tabelle9[[#This Row],[Rank]],Stammdaten[Rank Verteilung Abholzigkeit],0))</f>
        <v>#N/A</v>
      </c>
      <c r="N2526" t="e">
        <f>VLOOKUP(Tabelle9[[#This Row],[Rank]],Stammdaten[[Rank Verteilung Abholzigkeit]:[Verteilung Abholzigkeit]],2,FALSE)</f>
        <v>#N/A</v>
      </c>
      <c r="S2526">
        <v>2517</v>
      </c>
      <c r="T2526" t="e">
        <f>INDEX(Stammdaten[Krümmung (mm/lfm)],MATCH(Tabelle10[[#This Row],[Rank]],Stammdaten[Rank Verteilung Krümmung],0))</f>
        <v>#N/A</v>
      </c>
      <c r="U2526" t="e">
        <f>VLOOKUP(Tabelle10[[#This Row],[Rank]],Stammdaten[[Rank Verteilung Krümmung]:[Verteilung Krümmung]],2,FALSE)</f>
        <v>#N/A</v>
      </c>
      <c r="Z2526">
        <v>2517</v>
      </c>
      <c r="AA2526" t="e">
        <f>INDEX(Stammdaten[Ovalität (']0,1'])],MATCH(Tabelle1014[[#This Row],[Rank]],Stammdaten[Rank Verteilung Ovalität],0))</f>
        <v>#N/A</v>
      </c>
      <c r="AB2526" t="e">
        <f>VLOOKUP(Tabelle1014[[#This Row],[Rank]],Stammdaten[[Rank Verteilung Ovalität]:[Verteilung Ovalität]],2,FALSE)</f>
        <v>#N/A</v>
      </c>
    </row>
    <row r="2527" spans="5:28" x14ac:dyDescent="0.35">
      <c r="E2527">
        <v>2518</v>
      </c>
      <c r="F2527" t="e">
        <f>INDEX(Stammdaten[D Mitte mit Rinde (mm)],MATCH(Tabelle8[[#This Row],[Rank]],Stammdaten[Rank Verteilung D Mitte mit Rinde],0))</f>
        <v>#N/A</v>
      </c>
      <c r="G2527" t="e">
        <f>VLOOKUP(Tabelle8[[#This Row],[Rank]],Stammdaten[[Rank Verteilung D Mitte mit Rinde]:[Verteilung D Mitte mit Rinde]],2,FALSE)</f>
        <v>#N/A</v>
      </c>
      <c r="L2527">
        <v>2518</v>
      </c>
      <c r="M2527" t="e">
        <f>INDEX(Stammdaten[Abholzigkeit (mm/lfm)],MATCH(Tabelle9[[#This Row],[Rank]],Stammdaten[Rank Verteilung Abholzigkeit],0))</f>
        <v>#N/A</v>
      </c>
      <c r="N2527" t="e">
        <f>VLOOKUP(Tabelle9[[#This Row],[Rank]],Stammdaten[[Rank Verteilung Abholzigkeit]:[Verteilung Abholzigkeit]],2,FALSE)</f>
        <v>#N/A</v>
      </c>
      <c r="S2527">
        <v>2518</v>
      </c>
      <c r="T2527" t="e">
        <f>INDEX(Stammdaten[Krümmung (mm/lfm)],MATCH(Tabelle10[[#This Row],[Rank]],Stammdaten[Rank Verteilung Krümmung],0))</f>
        <v>#N/A</v>
      </c>
      <c r="U2527" t="e">
        <f>VLOOKUP(Tabelle10[[#This Row],[Rank]],Stammdaten[[Rank Verteilung Krümmung]:[Verteilung Krümmung]],2,FALSE)</f>
        <v>#N/A</v>
      </c>
      <c r="Z2527">
        <v>2518</v>
      </c>
      <c r="AA2527" t="e">
        <f>INDEX(Stammdaten[Ovalität (']0,1'])],MATCH(Tabelle1014[[#This Row],[Rank]],Stammdaten[Rank Verteilung Ovalität],0))</f>
        <v>#N/A</v>
      </c>
      <c r="AB2527" t="e">
        <f>VLOOKUP(Tabelle1014[[#This Row],[Rank]],Stammdaten[[Rank Verteilung Ovalität]:[Verteilung Ovalität]],2,FALSE)</f>
        <v>#N/A</v>
      </c>
    </row>
    <row r="2528" spans="5:28" x14ac:dyDescent="0.35">
      <c r="E2528">
        <v>2519</v>
      </c>
      <c r="F2528" t="e">
        <f>INDEX(Stammdaten[D Mitte mit Rinde (mm)],MATCH(Tabelle8[[#This Row],[Rank]],Stammdaten[Rank Verteilung D Mitte mit Rinde],0))</f>
        <v>#N/A</v>
      </c>
      <c r="G2528" t="e">
        <f>VLOOKUP(Tabelle8[[#This Row],[Rank]],Stammdaten[[Rank Verteilung D Mitte mit Rinde]:[Verteilung D Mitte mit Rinde]],2,FALSE)</f>
        <v>#N/A</v>
      </c>
      <c r="L2528">
        <v>2519</v>
      </c>
      <c r="M2528" t="e">
        <f>INDEX(Stammdaten[Abholzigkeit (mm/lfm)],MATCH(Tabelle9[[#This Row],[Rank]],Stammdaten[Rank Verteilung Abholzigkeit],0))</f>
        <v>#N/A</v>
      </c>
      <c r="N2528" t="e">
        <f>VLOOKUP(Tabelle9[[#This Row],[Rank]],Stammdaten[[Rank Verteilung Abholzigkeit]:[Verteilung Abholzigkeit]],2,FALSE)</f>
        <v>#N/A</v>
      </c>
      <c r="S2528">
        <v>2519</v>
      </c>
      <c r="T2528" t="e">
        <f>INDEX(Stammdaten[Krümmung (mm/lfm)],MATCH(Tabelle10[[#This Row],[Rank]],Stammdaten[Rank Verteilung Krümmung],0))</f>
        <v>#N/A</v>
      </c>
      <c r="U2528" t="e">
        <f>VLOOKUP(Tabelle10[[#This Row],[Rank]],Stammdaten[[Rank Verteilung Krümmung]:[Verteilung Krümmung]],2,FALSE)</f>
        <v>#N/A</v>
      </c>
      <c r="Z2528">
        <v>2519</v>
      </c>
      <c r="AA2528" t="e">
        <f>INDEX(Stammdaten[Ovalität (']0,1'])],MATCH(Tabelle1014[[#This Row],[Rank]],Stammdaten[Rank Verteilung Ovalität],0))</f>
        <v>#N/A</v>
      </c>
      <c r="AB2528" t="e">
        <f>VLOOKUP(Tabelle1014[[#This Row],[Rank]],Stammdaten[[Rank Verteilung Ovalität]:[Verteilung Ovalität]],2,FALSE)</f>
        <v>#N/A</v>
      </c>
    </row>
    <row r="2529" spans="5:28" x14ac:dyDescent="0.35">
      <c r="E2529">
        <v>2520</v>
      </c>
      <c r="F2529" t="e">
        <f>INDEX(Stammdaten[D Mitte mit Rinde (mm)],MATCH(Tabelle8[[#This Row],[Rank]],Stammdaten[Rank Verteilung D Mitte mit Rinde],0))</f>
        <v>#N/A</v>
      </c>
      <c r="G2529" t="e">
        <f>VLOOKUP(Tabelle8[[#This Row],[Rank]],Stammdaten[[Rank Verteilung D Mitte mit Rinde]:[Verteilung D Mitte mit Rinde]],2,FALSE)</f>
        <v>#N/A</v>
      </c>
      <c r="L2529">
        <v>2520</v>
      </c>
      <c r="M2529" t="e">
        <f>INDEX(Stammdaten[Abholzigkeit (mm/lfm)],MATCH(Tabelle9[[#This Row],[Rank]],Stammdaten[Rank Verteilung Abholzigkeit],0))</f>
        <v>#N/A</v>
      </c>
      <c r="N2529" t="e">
        <f>VLOOKUP(Tabelle9[[#This Row],[Rank]],Stammdaten[[Rank Verteilung Abholzigkeit]:[Verteilung Abholzigkeit]],2,FALSE)</f>
        <v>#N/A</v>
      </c>
      <c r="S2529">
        <v>2520</v>
      </c>
      <c r="T2529" t="e">
        <f>INDEX(Stammdaten[Krümmung (mm/lfm)],MATCH(Tabelle10[[#This Row],[Rank]],Stammdaten[Rank Verteilung Krümmung],0))</f>
        <v>#N/A</v>
      </c>
      <c r="U2529" t="e">
        <f>VLOOKUP(Tabelle10[[#This Row],[Rank]],Stammdaten[[Rank Verteilung Krümmung]:[Verteilung Krümmung]],2,FALSE)</f>
        <v>#N/A</v>
      </c>
      <c r="Z2529">
        <v>2520</v>
      </c>
      <c r="AA2529" t="e">
        <f>INDEX(Stammdaten[Ovalität (']0,1'])],MATCH(Tabelle1014[[#This Row],[Rank]],Stammdaten[Rank Verteilung Ovalität],0))</f>
        <v>#N/A</v>
      </c>
      <c r="AB2529" t="e">
        <f>VLOOKUP(Tabelle1014[[#This Row],[Rank]],Stammdaten[[Rank Verteilung Ovalität]:[Verteilung Ovalität]],2,FALSE)</f>
        <v>#N/A</v>
      </c>
    </row>
    <row r="2530" spans="5:28" x14ac:dyDescent="0.35">
      <c r="E2530">
        <v>2521</v>
      </c>
      <c r="F2530" t="e">
        <f>INDEX(Stammdaten[D Mitte mit Rinde (mm)],MATCH(Tabelle8[[#This Row],[Rank]],Stammdaten[Rank Verteilung D Mitte mit Rinde],0))</f>
        <v>#N/A</v>
      </c>
      <c r="G2530" t="e">
        <f>VLOOKUP(Tabelle8[[#This Row],[Rank]],Stammdaten[[Rank Verteilung D Mitte mit Rinde]:[Verteilung D Mitte mit Rinde]],2,FALSE)</f>
        <v>#N/A</v>
      </c>
      <c r="L2530">
        <v>2521</v>
      </c>
      <c r="M2530" t="e">
        <f>INDEX(Stammdaten[Abholzigkeit (mm/lfm)],MATCH(Tabelle9[[#This Row],[Rank]],Stammdaten[Rank Verteilung Abholzigkeit],0))</f>
        <v>#N/A</v>
      </c>
      <c r="N2530" t="e">
        <f>VLOOKUP(Tabelle9[[#This Row],[Rank]],Stammdaten[[Rank Verteilung Abholzigkeit]:[Verteilung Abholzigkeit]],2,FALSE)</f>
        <v>#N/A</v>
      </c>
      <c r="S2530">
        <v>2521</v>
      </c>
      <c r="T2530" t="e">
        <f>INDEX(Stammdaten[Krümmung (mm/lfm)],MATCH(Tabelle10[[#This Row],[Rank]],Stammdaten[Rank Verteilung Krümmung],0))</f>
        <v>#N/A</v>
      </c>
      <c r="U2530" t="e">
        <f>VLOOKUP(Tabelle10[[#This Row],[Rank]],Stammdaten[[Rank Verteilung Krümmung]:[Verteilung Krümmung]],2,FALSE)</f>
        <v>#N/A</v>
      </c>
      <c r="Z2530">
        <v>2521</v>
      </c>
      <c r="AA2530" t="e">
        <f>INDEX(Stammdaten[Ovalität (']0,1'])],MATCH(Tabelle1014[[#This Row],[Rank]],Stammdaten[Rank Verteilung Ovalität],0))</f>
        <v>#N/A</v>
      </c>
      <c r="AB2530" t="e">
        <f>VLOOKUP(Tabelle1014[[#This Row],[Rank]],Stammdaten[[Rank Verteilung Ovalität]:[Verteilung Ovalität]],2,FALSE)</f>
        <v>#N/A</v>
      </c>
    </row>
    <row r="2531" spans="5:28" x14ac:dyDescent="0.35">
      <c r="E2531">
        <v>2522</v>
      </c>
      <c r="F2531" t="e">
        <f>INDEX(Stammdaten[D Mitte mit Rinde (mm)],MATCH(Tabelle8[[#This Row],[Rank]],Stammdaten[Rank Verteilung D Mitte mit Rinde],0))</f>
        <v>#N/A</v>
      </c>
      <c r="G2531" t="e">
        <f>VLOOKUP(Tabelle8[[#This Row],[Rank]],Stammdaten[[Rank Verteilung D Mitte mit Rinde]:[Verteilung D Mitte mit Rinde]],2,FALSE)</f>
        <v>#N/A</v>
      </c>
      <c r="L2531">
        <v>2522</v>
      </c>
      <c r="M2531" t="e">
        <f>INDEX(Stammdaten[Abholzigkeit (mm/lfm)],MATCH(Tabelle9[[#This Row],[Rank]],Stammdaten[Rank Verteilung Abholzigkeit],0))</f>
        <v>#N/A</v>
      </c>
      <c r="N2531" t="e">
        <f>VLOOKUP(Tabelle9[[#This Row],[Rank]],Stammdaten[[Rank Verteilung Abholzigkeit]:[Verteilung Abholzigkeit]],2,FALSE)</f>
        <v>#N/A</v>
      </c>
      <c r="S2531">
        <v>2522</v>
      </c>
      <c r="T2531" t="e">
        <f>INDEX(Stammdaten[Krümmung (mm/lfm)],MATCH(Tabelle10[[#This Row],[Rank]],Stammdaten[Rank Verteilung Krümmung],0))</f>
        <v>#N/A</v>
      </c>
      <c r="U2531" t="e">
        <f>VLOOKUP(Tabelle10[[#This Row],[Rank]],Stammdaten[[Rank Verteilung Krümmung]:[Verteilung Krümmung]],2,FALSE)</f>
        <v>#N/A</v>
      </c>
      <c r="Z2531">
        <v>2522</v>
      </c>
      <c r="AA2531" t="e">
        <f>INDEX(Stammdaten[Ovalität (']0,1'])],MATCH(Tabelle1014[[#This Row],[Rank]],Stammdaten[Rank Verteilung Ovalität],0))</f>
        <v>#N/A</v>
      </c>
      <c r="AB2531" t="e">
        <f>VLOOKUP(Tabelle1014[[#This Row],[Rank]],Stammdaten[[Rank Verteilung Ovalität]:[Verteilung Ovalität]],2,FALSE)</f>
        <v>#N/A</v>
      </c>
    </row>
    <row r="2532" spans="5:28" x14ac:dyDescent="0.35">
      <c r="E2532">
        <v>2523</v>
      </c>
      <c r="F2532" t="e">
        <f>INDEX(Stammdaten[D Mitte mit Rinde (mm)],MATCH(Tabelle8[[#This Row],[Rank]],Stammdaten[Rank Verteilung D Mitte mit Rinde],0))</f>
        <v>#N/A</v>
      </c>
      <c r="G2532" t="e">
        <f>VLOOKUP(Tabelle8[[#This Row],[Rank]],Stammdaten[[Rank Verteilung D Mitte mit Rinde]:[Verteilung D Mitte mit Rinde]],2,FALSE)</f>
        <v>#N/A</v>
      </c>
      <c r="L2532">
        <v>2523</v>
      </c>
      <c r="M2532" t="e">
        <f>INDEX(Stammdaten[Abholzigkeit (mm/lfm)],MATCH(Tabelle9[[#This Row],[Rank]],Stammdaten[Rank Verteilung Abholzigkeit],0))</f>
        <v>#N/A</v>
      </c>
      <c r="N2532" t="e">
        <f>VLOOKUP(Tabelle9[[#This Row],[Rank]],Stammdaten[[Rank Verteilung Abholzigkeit]:[Verteilung Abholzigkeit]],2,FALSE)</f>
        <v>#N/A</v>
      </c>
      <c r="S2532">
        <v>2523</v>
      </c>
      <c r="T2532" t="e">
        <f>INDEX(Stammdaten[Krümmung (mm/lfm)],MATCH(Tabelle10[[#This Row],[Rank]],Stammdaten[Rank Verteilung Krümmung],0))</f>
        <v>#N/A</v>
      </c>
      <c r="U2532" t="e">
        <f>VLOOKUP(Tabelle10[[#This Row],[Rank]],Stammdaten[[Rank Verteilung Krümmung]:[Verteilung Krümmung]],2,FALSE)</f>
        <v>#N/A</v>
      </c>
      <c r="Z2532">
        <v>2523</v>
      </c>
      <c r="AA2532" t="e">
        <f>INDEX(Stammdaten[Ovalität (']0,1'])],MATCH(Tabelle1014[[#This Row],[Rank]],Stammdaten[Rank Verteilung Ovalität],0))</f>
        <v>#N/A</v>
      </c>
      <c r="AB2532" t="e">
        <f>VLOOKUP(Tabelle1014[[#This Row],[Rank]],Stammdaten[[Rank Verteilung Ovalität]:[Verteilung Ovalität]],2,FALSE)</f>
        <v>#N/A</v>
      </c>
    </row>
    <row r="2533" spans="5:28" x14ac:dyDescent="0.35">
      <c r="E2533">
        <v>2524</v>
      </c>
      <c r="F2533" t="e">
        <f>INDEX(Stammdaten[D Mitte mit Rinde (mm)],MATCH(Tabelle8[[#This Row],[Rank]],Stammdaten[Rank Verteilung D Mitte mit Rinde],0))</f>
        <v>#N/A</v>
      </c>
      <c r="G2533" t="e">
        <f>VLOOKUP(Tabelle8[[#This Row],[Rank]],Stammdaten[[Rank Verteilung D Mitte mit Rinde]:[Verteilung D Mitte mit Rinde]],2,FALSE)</f>
        <v>#N/A</v>
      </c>
      <c r="L2533">
        <v>2524</v>
      </c>
      <c r="M2533" t="e">
        <f>INDEX(Stammdaten[Abholzigkeit (mm/lfm)],MATCH(Tabelle9[[#This Row],[Rank]],Stammdaten[Rank Verteilung Abholzigkeit],0))</f>
        <v>#N/A</v>
      </c>
      <c r="N2533" t="e">
        <f>VLOOKUP(Tabelle9[[#This Row],[Rank]],Stammdaten[[Rank Verteilung Abholzigkeit]:[Verteilung Abholzigkeit]],2,FALSE)</f>
        <v>#N/A</v>
      </c>
      <c r="S2533">
        <v>2524</v>
      </c>
      <c r="T2533" t="e">
        <f>INDEX(Stammdaten[Krümmung (mm/lfm)],MATCH(Tabelle10[[#This Row],[Rank]],Stammdaten[Rank Verteilung Krümmung],0))</f>
        <v>#N/A</v>
      </c>
      <c r="U2533" t="e">
        <f>VLOOKUP(Tabelle10[[#This Row],[Rank]],Stammdaten[[Rank Verteilung Krümmung]:[Verteilung Krümmung]],2,FALSE)</f>
        <v>#N/A</v>
      </c>
      <c r="Z2533">
        <v>2524</v>
      </c>
      <c r="AA2533" t="e">
        <f>INDEX(Stammdaten[Ovalität (']0,1'])],MATCH(Tabelle1014[[#This Row],[Rank]],Stammdaten[Rank Verteilung Ovalität],0))</f>
        <v>#N/A</v>
      </c>
      <c r="AB2533" t="e">
        <f>VLOOKUP(Tabelle1014[[#This Row],[Rank]],Stammdaten[[Rank Verteilung Ovalität]:[Verteilung Ovalität]],2,FALSE)</f>
        <v>#N/A</v>
      </c>
    </row>
    <row r="2534" spans="5:28" x14ac:dyDescent="0.35">
      <c r="E2534">
        <v>2525</v>
      </c>
      <c r="F2534" t="e">
        <f>INDEX(Stammdaten[D Mitte mit Rinde (mm)],MATCH(Tabelle8[[#This Row],[Rank]],Stammdaten[Rank Verteilung D Mitte mit Rinde],0))</f>
        <v>#N/A</v>
      </c>
      <c r="G2534" t="e">
        <f>VLOOKUP(Tabelle8[[#This Row],[Rank]],Stammdaten[[Rank Verteilung D Mitte mit Rinde]:[Verteilung D Mitte mit Rinde]],2,FALSE)</f>
        <v>#N/A</v>
      </c>
      <c r="L2534">
        <v>2525</v>
      </c>
      <c r="M2534" t="e">
        <f>INDEX(Stammdaten[Abholzigkeit (mm/lfm)],MATCH(Tabelle9[[#This Row],[Rank]],Stammdaten[Rank Verteilung Abholzigkeit],0))</f>
        <v>#N/A</v>
      </c>
      <c r="N2534" t="e">
        <f>VLOOKUP(Tabelle9[[#This Row],[Rank]],Stammdaten[[Rank Verteilung Abholzigkeit]:[Verteilung Abholzigkeit]],2,FALSE)</f>
        <v>#N/A</v>
      </c>
      <c r="S2534">
        <v>2525</v>
      </c>
      <c r="T2534" t="e">
        <f>INDEX(Stammdaten[Krümmung (mm/lfm)],MATCH(Tabelle10[[#This Row],[Rank]],Stammdaten[Rank Verteilung Krümmung],0))</f>
        <v>#N/A</v>
      </c>
      <c r="U2534" t="e">
        <f>VLOOKUP(Tabelle10[[#This Row],[Rank]],Stammdaten[[Rank Verteilung Krümmung]:[Verteilung Krümmung]],2,FALSE)</f>
        <v>#N/A</v>
      </c>
      <c r="Z2534">
        <v>2525</v>
      </c>
      <c r="AA2534" t="e">
        <f>INDEX(Stammdaten[Ovalität (']0,1'])],MATCH(Tabelle1014[[#This Row],[Rank]],Stammdaten[Rank Verteilung Ovalität],0))</f>
        <v>#N/A</v>
      </c>
      <c r="AB2534" t="e">
        <f>VLOOKUP(Tabelle1014[[#This Row],[Rank]],Stammdaten[[Rank Verteilung Ovalität]:[Verteilung Ovalität]],2,FALSE)</f>
        <v>#N/A</v>
      </c>
    </row>
    <row r="2535" spans="5:28" x14ac:dyDescent="0.35">
      <c r="E2535">
        <v>2526</v>
      </c>
      <c r="F2535" t="e">
        <f>INDEX(Stammdaten[D Mitte mit Rinde (mm)],MATCH(Tabelle8[[#This Row],[Rank]],Stammdaten[Rank Verteilung D Mitte mit Rinde],0))</f>
        <v>#N/A</v>
      </c>
      <c r="G2535" t="e">
        <f>VLOOKUP(Tabelle8[[#This Row],[Rank]],Stammdaten[[Rank Verteilung D Mitte mit Rinde]:[Verteilung D Mitte mit Rinde]],2,FALSE)</f>
        <v>#N/A</v>
      </c>
      <c r="L2535">
        <v>2526</v>
      </c>
      <c r="M2535" t="e">
        <f>INDEX(Stammdaten[Abholzigkeit (mm/lfm)],MATCH(Tabelle9[[#This Row],[Rank]],Stammdaten[Rank Verteilung Abholzigkeit],0))</f>
        <v>#N/A</v>
      </c>
      <c r="N2535" t="e">
        <f>VLOOKUP(Tabelle9[[#This Row],[Rank]],Stammdaten[[Rank Verteilung Abholzigkeit]:[Verteilung Abholzigkeit]],2,FALSE)</f>
        <v>#N/A</v>
      </c>
      <c r="S2535">
        <v>2526</v>
      </c>
      <c r="T2535" t="e">
        <f>INDEX(Stammdaten[Krümmung (mm/lfm)],MATCH(Tabelle10[[#This Row],[Rank]],Stammdaten[Rank Verteilung Krümmung],0))</f>
        <v>#N/A</v>
      </c>
      <c r="U2535" t="e">
        <f>VLOOKUP(Tabelle10[[#This Row],[Rank]],Stammdaten[[Rank Verteilung Krümmung]:[Verteilung Krümmung]],2,FALSE)</f>
        <v>#N/A</v>
      </c>
      <c r="Z2535">
        <v>2526</v>
      </c>
      <c r="AA2535" t="e">
        <f>INDEX(Stammdaten[Ovalität (']0,1'])],MATCH(Tabelle1014[[#This Row],[Rank]],Stammdaten[Rank Verteilung Ovalität],0))</f>
        <v>#N/A</v>
      </c>
      <c r="AB2535" t="e">
        <f>VLOOKUP(Tabelle1014[[#This Row],[Rank]],Stammdaten[[Rank Verteilung Ovalität]:[Verteilung Ovalität]],2,FALSE)</f>
        <v>#N/A</v>
      </c>
    </row>
    <row r="2536" spans="5:28" x14ac:dyDescent="0.35">
      <c r="E2536">
        <v>2527</v>
      </c>
      <c r="F2536" t="e">
        <f>INDEX(Stammdaten[D Mitte mit Rinde (mm)],MATCH(Tabelle8[[#This Row],[Rank]],Stammdaten[Rank Verteilung D Mitte mit Rinde],0))</f>
        <v>#N/A</v>
      </c>
      <c r="G2536" t="e">
        <f>VLOOKUP(Tabelle8[[#This Row],[Rank]],Stammdaten[[Rank Verteilung D Mitte mit Rinde]:[Verteilung D Mitte mit Rinde]],2,FALSE)</f>
        <v>#N/A</v>
      </c>
      <c r="L2536">
        <v>2527</v>
      </c>
      <c r="M2536" t="e">
        <f>INDEX(Stammdaten[Abholzigkeit (mm/lfm)],MATCH(Tabelle9[[#This Row],[Rank]],Stammdaten[Rank Verteilung Abholzigkeit],0))</f>
        <v>#N/A</v>
      </c>
      <c r="N2536" t="e">
        <f>VLOOKUP(Tabelle9[[#This Row],[Rank]],Stammdaten[[Rank Verteilung Abholzigkeit]:[Verteilung Abholzigkeit]],2,FALSE)</f>
        <v>#N/A</v>
      </c>
      <c r="S2536">
        <v>2527</v>
      </c>
      <c r="T2536" t="e">
        <f>INDEX(Stammdaten[Krümmung (mm/lfm)],MATCH(Tabelle10[[#This Row],[Rank]],Stammdaten[Rank Verteilung Krümmung],0))</f>
        <v>#N/A</v>
      </c>
      <c r="U2536" t="e">
        <f>VLOOKUP(Tabelle10[[#This Row],[Rank]],Stammdaten[[Rank Verteilung Krümmung]:[Verteilung Krümmung]],2,FALSE)</f>
        <v>#N/A</v>
      </c>
      <c r="Z2536">
        <v>2527</v>
      </c>
      <c r="AA2536" t="e">
        <f>INDEX(Stammdaten[Ovalität (']0,1'])],MATCH(Tabelle1014[[#This Row],[Rank]],Stammdaten[Rank Verteilung Ovalität],0))</f>
        <v>#N/A</v>
      </c>
      <c r="AB2536" t="e">
        <f>VLOOKUP(Tabelle1014[[#This Row],[Rank]],Stammdaten[[Rank Verteilung Ovalität]:[Verteilung Ovalität]],2,FALSE)</f>
        <v>#N/A</v>
      </c>
    </row>
    <row r="2537" spans="5:28" x14ac:dyDescent="0.35">
      <c r="E2537">
        <v>2528</v>
      </c>
      <c r="F2537" t="e">
        <f>INDEX(Stammdaten[D Mitte mit Rinde (mm)],MATCH(Tabelle8[[#This Row],[Rank]],Stammdaten[Rank Verteilung D Mitte mit Rinde],0))</f>
        <v>#N/A</v>
      </c>
      <c r="G2537" t="e">
        <f>VLOOKUP(Tabelle8[[#This Row],[Rank]],Stammdaten[[Rank Verteilung D Mitte mit Rinde]:[Verteilung D Mitte mit Rinde]],2,FALSE)</f>
        <v>#N/A</v>
      </c>
      <c r="L2537">
        <v>2528</v>
      </c>
      <c r="M2537" t="e">
        <f>INDEX(Stammdaten[Abholzigkeit (mm/lfm)],MATCH(Tabelle9[[#This Row],[Rank]],Stammdaten[Rank Verteilung Abholzigkeit],0))</f>
        <v>#N/A</v>
      </c>
      <c r="N2537" t="e">
        <f>VLOOKUP(Tabelle9[[#This Row],[Rank]],Stammdaten[[Rank Verteilung Abholzigkeit]:[Verteilung Abholzigkeit]],2,FALSE)</f>
        <v>#N/A</v>
      </c>
      <c r="S2537">
        <v>2528</v>
      </c>
      <c r="T2537" t="e">
        <f>INDEX(Stammdaten[Krümmung (mm/lfm)],MATCH(Tabelle10[[#This Row],[Rank]],Stammdaten[Rank Verteilung Krümmung],0))</f>
        <v>#N/A</v>
      </c>
      <c r="U2537" t="e">
        <f>VLOOKUP(Tabelle10[[#This Row],[Rank]],Stammdaten[[Rank Verteilung Krümmung]:[Verteilung Krümmung]],2,FALSE)</f>
        <v>#N/A</v>
      </c>
      <c r="Z2537">
        <v>2528</v>
      </c>
      <c r="AA2537" t="e">
        <f>INDEX(Stammdaten[Ovalität (']0,1'])],MATCH(Tabelle1014[[#This Row],[Rank]],Stammdaten[Rank Verteilung Ovalität],0))</f>
        <v>#N/A</v>
      </c>
      <c r="AB2537" t="e">
        <f>VLOOKUP(Tabelle1014[[#This Row],[Rank]],Stammdaten[[Rank Verteilung Ovalität]:[Verteilung Ovalität]],2,FALSE)</f>
        <v>#N/A</v>
      </c>
    </row>
    <row r="2538" spans="5:28" x14ac:dyDescent="0.35">
      <c r="E2538">
        <v>2529</v>
      </c>
      <c r="F2538" t="e">
        <f>INDEX(Stammdaten[D Mitte mit Rinde (mm)],MATCH(Tabelle8[[#This Row],[Rank]],Stammdaten[Rank Verteilung D Mitte mit Rinde],0))</f>
        <v>#N/A</v>
      </c>
      <c r="G2538" t="e">
        <f>VLOOKUP(Tabelle8[[#This Row],[Rank]],Stammdaten[[Rank Verteilung D Mitte mit Rinde]:[Verteilung D Mitte mit Rinde]],2,FALSE)</f>
        <v>#N/A</v>
      </c>
      <c r="L2538">
        <v>2529</v>
      </c>
      <c r="M2538" t="e">
        <f>INDEX(Stammdaten[Abholzigkeit (mm/lfm)],MATCH(Tabelle9[[#This Row],[Rank]],Stammdaten[Rank Verteilung Abholzigkeit],0))</f>
        <v>#N/A</v>
      </c>
      <c r="N2538" t="e">
        <f>VLOOKUP(Tabelle9[[#This Row],[Rank]],Stammdaten[[Rank Verteilung Abholzigkeit]:[Verteilung Abholzigkeit]],2,FALSE)</f>
        <v>#N/A</v>
      </c>
      <c r="S2538">
        <v>2529</v>
      </c>
      <c r="T2538" t="e">
        <f>INDEX(Stammdaten[Krümmung (mm/lfm)],MATCH(Tabelle10[[#This Row],[Rank]],Stammdaten[Rank Verteilung Krümmung],0))</f>
        <v>#N/A</v>
      </c>
      <c r="U2538" t="e">
        <f>VLOOKUP(Tabelle10[[#This Row],[Rank]],Stammdaten[[Rank Verteilung Krümmung]:[Verteilung Krümmung]],2,FALSE)</f>
        <v>#N/A</v>
      </c>
      <c r="Z2538">
        <v>2529</v>
      </c>
      <c r="AA2538" t="e">
        <f>INDEX(Stammdaten[Ovalität (']0,1'])],MATCH(Tabelle1014[[#This Row],[Rank]],Stammdaten[Rank Verteilung Ovalität],0))</f>
        <v>#N/A</v>
      </c>
      <c r="AB2538" t="e">
        <f>VLOOKUP(Tabelle1014[[#This Row],[Rank]],Stammdaten[[Rank Verteilung Ovalität]:[Verteilung Ovalität]],2,FALSE)</f>
        <v>#N/A</v>
      </c>
    </row>
    <row r="2539" spans="5:28" x14ac:dyDescent="0.35">
      <c r="E2539">
        <v>2530</v>
      </c>
      <c r="F2539" t="e">
        <f>INDEX(Stammdaten[D Mitte mit Rinde (mm)],MATCH(Tabelle8[[#This Row],[Rank]],Stammdaten[Rank Verteilung D Mitte mit Rinde],0))</f>
        <v>#N/A</v>
      </c>
      <c r="G2539" t="e">
        <f>VLOOKUP(Tabelle8[[#This Row],[Rank]],Stammdaten[[Rank Verteilung D Mitte mit Rinde]:[Verteilung D Mitte mit Rinde]],2,FALSE)</f>
        <v>#N/A</v>
      </c>
      <c r="L2539">
        <v>2530</v>
      </c>
      <c r="M2539" t="e">
        <f>INDEX(Stammdaten[Abholzigkeit (mm/lfm)],MATCH(Tabelle9[[#This Row],[Rank]],Stammdaten[Rank Verteilung Abholzigkeit],0))</f>
        <v>#N/A</v>
      </c>
      <c r="N2539" t="e">
        <f>VLOOKUP(Tabelle9[[#This Row],[Rank]],Stammdaten[[Rank Verteilung Abholzigkeit]:[Verteilung Abholzigkeit]],2,FALSE)</f>
        <v>#N/A</v>
      </c>
      <c r="S2539">
        <v>2530</v>
      </c>
      <c r="T2539" t="e">
        <f>INDEX(Stammdaten[Krümmung (mm/lfm)],MATCH(Tabelle10[[#This Row],[Rank]],Stammdaten[Rank Verteilung Krümmung],0))</f>
        <v>#N/A</v>
      </c>
      <c r="U2539" t="e">
        <f>VLOOKUP(Tabelle10[[#This Row],[Rank]],Stammdaten[[Rank Verteilung Krümmung]:[Verteilung Krümmung]],2,FALSE)</f>
        <v>#N/A</v>
      </c>
      <c r="Z2539">
        <v>2530</v>
      </c>
      <c r="AA2539" t="e">
        <f>INDEX(Stammdaten[Ovalität (']0,1'])],MATCH(Tabelle1014[[#This Row],[Rank]],Stammdaten[Rank Verteilung Ovalität],0))</f>
        <v>#N/A</v>
      </c>
      <c r="AB2539" t="e">
        <f>VLOOKUP(Tabelle1014[[#This Row],[Rank]],Stammdaten[[Rank Verteilung Ovalität]:[Verteilung Ovalität]],2,FALSE)</f>
        <v>#N/A</v>
      </c>
    </row>
    <row r="2540" spans="5:28" x14ac:dyDescent="0.35">
      <c r="E2540">
        <v>2531</v>
      </c>
      <c r="F2540" t="e">
        <f>INDEX(Stammdaten[D Mitte mit Rinde (mm)],MATCH(Tabelle8[[#This Row],[Rank]],Stammdaten[Rank Verteilung D Mitte mit Rinde],0))</f>
        <v>#N/A</v>
      </c>
      <c r="G2540" t="e">
        <f>VLOOKUP(Tabelle8[[#This Row],[Rank]],Stammdaten[[Rank Verteilung D Mitte mit Rinde]:[Verteilung D Mitte mit Rinde]],2,FALSE)</f>
        <v>#N/A</v>
      </c>
      <c r="L2540">
        <v>2531</v>
      </c>
      <c r="M2540" t="e">
        <f>INDEX(Stammdaten[Abholzigkeit (mm/lfm)],MATCH(Tabelle9[[#This Row],[Rank]],Stammdaten[Rank Verteilung Abholzigkeit],0))</f>
        <v>#N/A</v>
      </c>
      <c r="N2540" t="e">
        <f>VLOOKUP(Tabelle9[[#This Row],[Rank]],Stammdaten[[Rank Verteilung Abholzigkeit]:[Verteilung Abholzigkeit]],2,FALSE)</f>
        <v>#N/A</v>
      </c>
      <c r="S2540">
        <v>2531</v>
      </c>
      <c r="T2540" t="e">
        <f>INDEX(Stammdaten[Krümmung (mm/lfm)],MATCH(Tabelle10[[#This Row],[Rank]],Stammdaten[Rank Verteilung Krümmung],0))</f>
        <v>#N/A</v>
      </c>
      <c r="U2540" t="e">
        <f>VLOOKUP(Tabelle10[[#This Row],[Rank]],Stammdaten[[Rank Verteilung Krümmung]:[Verteilung Krümmung]],2,FALSE)</f>
        <v>#N/A</v>
      </c>
      <c r="Z2540">
        <v>2531</v>
      </c>
      <c r="AA2540" t="e">
        <f>INDEX(Stammdaten[Ovalität (']0,1'])],MATCH(Tabelle1014[[#This Row],[Rank]],Stammdaten[Rank Verteilung Ovalität],0))</f>
        <v>#N/A</v>
      </c>
      <c r="AB2540" t="e">
        <f>VLOOKUP(Tabelle1014[[#This Row],[Rank]],Stammdaten[[Rank Verteilung Ovalität]:[Verteilung Ovalität]],2,FALSE)</f>
        <v>#N/A</v>
      </c>
    </row>
    <row r="2541" spans="5:28" x14ac:dyDescent="0.35">
      <c r="E2541">
        <v>2532</v>
      </c>
      <c r="F2541" t="e">
        <f>INDEX(Stammdaten[D Mitte mit Rinde (mm)],MATCH(Tabelle8[[#This Row],[Rank]],Stammdaten[Rank Verteilung D Mitte mit Rinde],0))</f>
        <v>#N/A</v>
      </c>
      <c r="G2541" t="e">
        <f>VLOOKUP(Tabelle8[[#This Row],[Rank]],Stammdaten[[Rank Verteilung D Mitte mit Rinde]:[Verteilung D Mitte mit Rinde]],2,FALSE)</f>
        <v>#N/A</v>
      </c>
      <c r="L2541">
        <v>2532</v>
      </c>
      <c r="M2541" t="e">
        <f>INDEX(Stammdaten[Abholzigkeit (mm/lfm)],MATCH(Tabelle9[[#This Row],[Rank]],Stammdaten[Rank Verteilung Abholzigkeit],0))</f>
        <v>#N/A</v>
      </c>
      <c r="N2541" t="e">
        <f>VLOOKUP(Tabelle9[[#This Row],[Rank]],Stammdaten[[Rank Verteilung Abholzigkeit]:[Verteilung Abholzigkeit]],2,FALSE)</f>
        <v>#N/A</v>
      </c>
      <c r="S2541">
        <v>2532</v>
      </c>
      <c r="T2541" t="e">
        <f>INDEX(Stammdaten[Krümmung (mm/lfm)],MATCH(Tabelle10[[#This Row],[Rank]],Stammdaten[Rank Verteilung Krümmung],0))</f>
        <v>#N/A</v>
      </c>
      <c r="U2541" t="e">
        <f>VLOOKUP(Tabelle10[[#This Row],[Rank]],Stammdaten[[Rank Verteilung Krümmung]:[Verteilung Krümmung]],2,FALSE)</f>
        <v>#N/A</v>
      </c>
      <c r="Z2541">
        <v>2532</v>
      </c>
      <c r="AA2541" t="e">
        <f>INDEX(Stammdaten[Ovalität (']0,1'])],MATCH(Tabelle1014[[#This Row],[Rank]],Stammdaten[Rank Verteilung Ovalität],0))</f>
        <v>#N/A</v>
      </c>
      <c r="AB2541" t="e">
        <f>VLOOKUP(Tabelle1014[[#This Row],[Rank]],Stammdaten[[Rank Verteilung Ovalität]:[Verteilung Ovalität]],2,FALSE)</f>
        <v>#N/A</v>
      </c>
    </row>
    <row r="2542" spans="5:28" x14ac:dyDescent="0.35">
      <c r="E2542">
        <v>2533</v>
      </c>
      <c r="F2542" t="e">
        <f>INDEX(Stammdaten[D Mitte mit Rinde (mm)],MATCH(Tabelle8[[#This Row],[Rank]],Stammdaten[Rank Verteilung D Mitte mit Rinde],0))</f>
        <v>#N/A</v>
      </c>
      <c r="G2542" t="e">
        <f>VLOOKUP(Tabelle8[[#This Row],[Rank]],Stammdaten[[Rank Verteilung D Mitte mit Rinde]:[Verteilung D Mitte mit Rinde]],2,FALSE)</f>
        <v>#N/A</v>
      </c>
      <c r="L2542">
        <v>2533</v>
      </c>
      <c r="M2542" t="e">
        <f>INDEX(Stammdaten[Abholzigkeit (mm/lfm)],MATCH(Tabelle9[[#This Row],[Rank]],Stammdaten[Rank Verteilung Abholzigkeit],0))</f>
        <v>#N/A</v>
      </c>
      <c r="N2542" t="e">
        <f>VLOOKUP(Tabelle9[[#This Row],[Rank]],Stammdaten[[Rank Verteilung Abholzigkeit]:[Verteilung Abholzigkeit]],2,FALSE)</f>
        <v>#N/A</v>
      </c>
      <c r="S2542">
        <v>2533</v>
      </c>
      <c r="T2542" t="e">
        <f>INDEX(Stammdaten[Krümmung (mm/lfm)],MATCH(Tabelle10[[#This Row],[Rank]],Stammdaten[Rank Verteilung Krümmung],0))</f>
        <v>#N/A</v>
      </c>
      <c r="U2542" t="e">
        <f>VLOOKUP(Tabelle10[[#This Row],[Rank]],Stammdaten[[Rank Verteilung Krümmung]:[Verteilung Krümmung]],2,FALSE)</f>
        <v>#N/A</v>
      </c>
      <c r="Z2542">
        <v>2533</v>
      </c>
      <c r="AA2542" t="e">
        <f>INDEX(Stammdaten[Ovalität (']0,1'])],MATCH(Tabelle1014[[#This Row],[Rank]],Stammdaten[Rank Verteilung Ovalität],0))</f>
        <v>#N/A</v>
      </c>
      <c r="AB2542" t="e">
        <f>VLOOKUP(Tabelle1014[[#This Row],[Rank]],Stammdaten[[Rank Verteilung Ovalität]:[Verteilung Ovalität]],2,FALSE)</f>
        <v>#N/A</v>
      </c>
    </row>
    <row r="2543" spans="5:28" x14ac:dyDescent="0.35">
      <c r="E2543">
        <v>2534</v>
      </c>
      <c r="F2543" t="e">
        <f>INDEX(Stammdaten[D Mitte mit Rinde (mm)],MATCH(Tabelle8[[#This Row],[Rank]],Stammdaten[Rank Verteilung D Mitte mit Rinde],0))</f>
        <v>#N/A</v>
      </c>
      <c r="G2543" t="e">
        <f>VLOOKUP(Tabelle8[[#This Row],[Rank]],Stammdaten[[Rank Verteilung D Mitte mit Rinde]:[Verteilung D Mitte mit Rinde]],2,FALSE)</f>
        <v>#N/A</v>
      </c>
      <c r="L2543">
        <v>2534</v>
      </c>
      <c r="M2543" t="e">
        <f>INDEX(Stammdaten[Abholzigkeit (mm/lfm)],MATCH(Tabelle9[[#This Row],[Rank]],Stammdaten[Rank Verteilung Abholzigkeit],0))</f>
        <v>#N/A</v>
      </c>
      <c r="N2543" t="e">
        <f>VLOOKUP(Tabelle9[[#This Row],[Rank]],Stammdaten[[Rank Verteilung Abholzigkeit]:[Verteilung Abholzigkeit]],2,FALSE)</f>
        <v>#N/A</v>
      </c>
      <c r="S2543">
        <v>2534</v>
      </c>
      <c r="T2543" t="e">
        <f>INDEX(Stammdaten[Krümmung (mm/lfm)],MATCH(Tabelle10[[#This Row],[Rank]],Stammdaten[Rank Verteilung Krümmung],0))</f>
        <v>#N/A</v>
      </c>
      <c r="U2543" t="e">
        <f>VLOOKUP(Tabelle10[[#This Row],[Rank]],Stammdaten[[Rank Verteilung Krümmung]:[Verteilung Krümmung]],2,FALSE)</f>
        <v>#N/A</v>
      </c>
      <c r="Z2543">
        <v>2534</v>
      </c>
      <c r="AA2543" t="e">
        <f>INDEX(Stammdaten[Ovalität (']0,1'])],MATCH(Tabelle1014[[#This Row],[Rank]],Stammdaten[Rank Verteilung Ovalität],0))</f>
        <v>#N/A</v>
      </c>
      <c r="AB2543" t="e">
        <f>VLOOKUP(Tabelle1014[[#This Row],[Rank]],Stammdaten[[Rank Verteilung Ovalität]:[Verteilung Ovalität]],2,FALSE)</f>
        <v>#N/A</v>
      </c>
    </row>
    <row r="2544" spans="5:28" x14ac:dyDescent="0.35">
      <c r="E2544">
        <v>2535</v>
      </c>
      <c r="F2544" t="e">
        <f>INDEX(Stammdaten[D Mitte mit Rinde (mm)],MATCH(Tabelle8[[#This Row],[Rank]],Stammdaten[Rank Verteilung D Mitte mit Rinde],0))</f>
        <v>#N/A</v>
      </c>
      <c r="G2544" t="e">
        <f>VLOOKUP(Tabelle8[[#This Row],[Rank]],Stammdaten[[Rank Verteilung D Mitte mit Rinde]:[Verteilung D Mitte mit Rinde]],2,FALSE)</f>
        <v>#N/A</v>
      </c>
      <c r="L2544">
        <v>2535</v>
      </c>
      <c r="M2544" t="e">
        <f>INDEX(Stammdaten[Abholzigkeit (mm/lfm)],MATCH(Tabelle9[[#This Row],[Rank]],Stammdaten[Rank Verteilung Abholzigkeit],0))</f>
        <v>#N/A</v>
      </c>
      <c r="N2544" t="e">
        <f>VLOOKUP(Tabelle9[[#This Row],[Rank]],Stammdaten[[Rank Verteilung Abholzigkeit]:[Verteilung Abholzigkeit]],2,FALSE)</f>
        <v>#N/A</v>
      </c>
      <c r="S2544">
        <v>2535</v>
      </c>
      <c r="T2544" t="e">
        <f>INDEX(Stammdaten[Krümmung (mm/lfm)],MATCH(Tabelle10[[#This Row],[Rank]],Stammdaten[Rank Verteilung Krümmung],0))</f>
        <v>#N/A</v>
      </c>
      <c r="U2544" t="e">
        <f>VLOOKUP(Tabelle10[[#This Row],[Rank]],Stammdaten[[Rank Verteilung Krümmung]:[Verteilung Krümmung]],2,FALSE)</f>
        <v>#N/A</v>
      </c>
      <c r="Z2544">
        <v>2535</v>
      </c>
      <c r="AA2544" t="e">
        <f>INDEX(Stammdaten[Ovalität (']0,1'])],MATCH(Tabelle1014[[#This Row],[Rank]],Stammdaten[Rank Verteilung Ovalität],0))</f>
        <v>#N/A</v>
      </c>
      <c r="AB2544" t="e">
        <f>VLOOKUP(Tabelle1014[[#This Row],[Rank]],Stammdaten[[Rank Verteilung Ovalität]:[Verteilung Ovalität]],2,FALSE)</f>
        <v>#N/A</v>
      </c>
    </row>
    <row r="2545" spans="5:28" x14ac:dyDescent="0.35">
      <c r="E2545">
        <v>2536</v>
      </c>
      <c r="F2545" t="e">
        <f>INDEX(Stammdaten[D Mitte mit Rinde (mm)],MATCH(Tabelle8[[#This Row],[Rank]],Stammdaten[Rank Verteilung D Mitte mit Rinde],0))</f>
        <v>#N/A</v>
      </c>
      <c r="G2545" t="e">
        <f>VLOOKUP(Tabelle8[[#This Row],[Rank]],Stammdaten[[Rank Verteilung D Mitte mit Rinde]:[Verteilung D Mitte mit Rinde]],2,FALSE)</f>
        <v>#N/A</v>
      </c>
      <c r="L2545">
        <v>2536</v>
      </c>
      <c r="M2545" t="e">
        <f>INDEX(Stammdaten[Abholzigkeit (mm/lfm)],MATCH(Tabelle9[[#This Row],[Rank]],Stammdaten[Rank Verteilung Abholzigkeit],0))</f>
        <v>#N/A</v>
      </c>
      <c r="N2545" t="e">
        <f>VLOOKUP(Tabelle9[[#This Row],[Rank]],Stammdaten[[Rank Verteilung Abholzigkeit]:[Verteilung Abholzigkeit]],2,FALSE)</f>
        <v>#N/A</v>
      </c>
      <c r="S2545">
        <v>2536</v>
      </c>
      <c r="T2545" t="e">
        <f>INDEX(Stammdaten[Krümmung (mm/lfm)],MATCH(Tabelle10[[#This Row],[Rank]],Stammdaten[Rank Verteilung Krümmung],0))</f>
        <v>#N/A</v>
      </c>
      <c r="U2545" t="e">
        <f>VLOOKUP(Tabelle10[[#This Row],[Rank]],Stammdaten[[Rank Verteilung Krümmung]:[Verteilung Krümmung]],2,FALSE)</f>
        <v>#N/A</v>
      </c>
      <c r="Z2545">
        <v>2536</v>
      </c>
      <c r="AA2545" t="e">
        <f>INDEX(Stammdaten[Ovalität (']0,1'])],MATCH(Tabelle1014[[#This Row],[Rank]],Stammdaten[Rank Verteilung Ovalität],0))</f>
        <v>#N/A</v>
      </c>
      <c r="AB2545" t="e">
        <f>VLOOKUP(Tabelle1014[[#This Row],[Rank]],Stammdaten[[Rank Verteilung Ovalität]:[Verteilung Ovalität]],2,FALSE)</f>
        <v>#N/A</v>
      </c>
    </row>
    <row r="2546" spans="5:28" x14ac:dyDescent="0.35">
      <c r="E2546">
        <v>2537</v>
      </c>
      <c r="F2546" t="e">
        <f>INDEX(Stammdaten[D Mitte mit Rinde (mm)],MATCH(Tabelle8[[#This Row],[Rank]],Stammdaten[Rank Verteilung D Mitte mit Rinde],0))</f>
        <v>#N/A</v>
      </c>
      <c r="G2546" t="e">
        <f>VLOOKUP(Tabelle8[[#This Row],[Rank]],Stammdaten[[Rank Verteilung D Mitte mit Rinde]:[Verteilung D Mitte mit Rinde]],2,FALSE)</f>
        <v>#N/A</v>
      </c>
      <c r="L2546">
        <v>2537</v>
      </c>
      <c r="M2546" t="e">
        <f>INDEX(Stammdaten[Abholzigkeit (mm/lfm)],MATCH(Tabelle9[[#This Row],[Rank]],Stammdaten[Rank Verteilung Abholzigkeit],0))</f>
        <v>#N/A</v>
      </c>
      <c r="N2546" t="e">
        <f>VLOOKUP(Tabelle9[[#This Row],[Rank]],Stammdaten[[Rank Verteilung Abholzigkeit]:[Verteilung Abholzigkeit]],2,FALSE)</f>
        <v>#N/A</v>
      </c>
      <c r="S2546">
        <v>2537</v>
      </c>
      <c r="T2546" t="e">
        <f>INDEX(Stammdaten[Krümmung (mm/lfm)],MATCH(Tabelle10[[#This Row],[Rank]],Stammdaten[Rank Verteilung Krümmung],0))</f>
        <v>#N/A</v>
      </c>
      <c r="U2546" t="e">
        <f>VLOOKUP(Tabelle10[[#This Row],[Rank]],Stammdaten[[Rank Verteilung Krümmung]:[Verteilung Krümmung]],2,FALSE)</f>
        <v>#N/A</v>
      </c>
      <c r="Z2546">
        <v>2537</v>
      </c>
      <c r="AA2546" t="e">
        <f>INDEX(Stammdaten[Ovalität (']0,1'])],MATCH(Tabelle1014[[#This Row],[Rank]],Stammdaten[Rank Verteilung Ovalität],0))</f>
        <v>#N/A</v>
      </c>
      <c r="AB2546" t="e">
        <f>VLOOKUP(Tabelle1014[[#This Row],[Rank]],Stammdaten[[Rank Verteilung Ovalität]:[Verteilung Ovalität]],2,FALSE)</f>
        <v>#N/A</v>
      </c>
    </row>
    <row r="2547" spans="5:28" x14ac:dyDescent="0.35">
      <c r="E2547">
        <v>2538</v>
      </c>
      <c r="F2547" t="e">
        <f>INDEX(Stammdaten[D Mitte mit Rinde (mm)],MATCH(Tabelle8[[#This Row],[Rank]],Stammdaten[Rank Verteilung D Mitte mit Rinde],0))</f>
        <v>#N/A</v>
      </c>
      <c r="G2547" t="e">
        <f>VLOOKUP(Tabelle8[[#This Row],[Rank]],Stammdaten[[Rank Verteilung D Mitte mit Rinde]:[Verteilung D Mitte mit Rinde]],2,FALSE)</f>
        <v>#N/A</v>
      </c>
      <c r="L2547">
        <v>2538</v>
      </c>
      <c r="M2547" t="e">
        <f>INDEX(Stammdaten[Abholzigkeit (mm/lfm)],MATCH(Tabelle9[[#This Row],[Rank]],Stammdaten[Rank Verteilung Abholzigkeit],0))</f>
        <v>#N/A</v>
      </c>
      <c r="N2547" t="e">
        <f>VLOOKUP(Tabelle9[[#This Row],[Rank]],Stammdaten[[Rank Verteilung Abholzigkeit]:[Verteilung Abholzigkeit]],2,FALSE)</f>
        <v>#N/A</v>
      </c>
      <c r="S2547">
        <v>2538</v>
      </c>
      <c r="T2547" t="e">
        <f>INDEX(Stammdaten[Krümmung (mm/lfm)],MATCH(Tabelle10[[#This Row],[Rank]],Stammdaten[Rank Verteilung Krümmung],0))</f>
        <v>#N/A</v>
      </c>
      <c r="U2547" t="e">
        <f>VLOOKUP(Tabelle10[[#This Row],[Rank]],Stammdaten[[Rank Verteilung Krümmung]:[Verteilung Krümmung]],2,FALSE)</f>
        <v>#N/A</v>
      </c>
      <c r="Z2547">
        <v>2538</v>
      </c>
      <c r="AA2547" t="e">
        <f>INDEX(Stammdaten[Ovalität (']0,1'])],MATCH(Tabelle1014[[#This Row],[Rank]],Stammdaten[Rank Verteilung Ovalität],0))</f>
        <v>#N/A</v>
      </c>
      <c r="AB2547" t="e">
        <f>VLOOKUP(Tabelle1014[[#This Row],[Rank]],Stammdaten[[Rank Verteilung Ovalität]:[Verteilung Ovalität]],2,FALSE)</f>
        <v>#N/A</v>
      </c>
    </row>
    <row r="2548" spans="5:28" x14ac:dyDescent="0.35">
      <c r="E2548">
        <v>2539</v>
      </c>
      <c r="F2548" t="e">
        <f>INDEX(Stammdaten[D Mitte mit Rinde (mm)],MATCH(Tabelle8[[#This Row],[Rank]],Stammdaten[Rank Verteilung D Mitte mit Rinde],0))</f>
        <v>#N/A</v>
      </c>
      <c r="G2548" t="e">
        <f>VLOOKUP(Tabelle8[[#This Row],[Rank]],Stammdaten[[Rank Verteilung D Mitte mit Rinde]:[Verteilung D Mitte mit Rinde]],2,FALSE)</f>
        <v>#N/A</v>
      </c>
      <c r="L2548">
        <v>2539</v>
      </c>
      <c r="M2548" t="e">
        <f>INDEX(Stammdaten[Abholzigkeit (mm/lfm)],MATCH(Tabelle9[[#This Row],[Rank]],Stammdaten[Rank Verteilung Abholzigkeit],0))</f>
        <v>#N/A</v>
      </c>
      <c r="N2548" t="e">
        <f>VLOOKUP(Tabelle9[[#This Row],[Rank]],Stammdaten[[Rank Verteilung Abholzigkeit]:[Verteilung Abholzigkeit]],2,FALSE)</f>
        <v>#N/A</v>
      </c>
      <c r="S2548">
        <v>2539</v>
      </c>
      <c r="T2548" t="e">
        <f>INDEX(Stammdaten[Krümmung (mm/lfm)],MATCH(Tabelle10[[#This Row],[Rank]],Stammdaten[Rank Verteilung Krümmung],0))</f>
        <v>#N/A</v>
      </c>
      <c r="U2548" t="e">
        <f>VLOOKUP(Tabelle10[[#This Row],[Rank]],Stammdaten[[Rank Verteilung Krümmung]:[Verteilung Krümmung]],2,FALSE)</f>
        <v>#N/A</v>
      </c>
      <c r="Z2548">
        <v>2539</v>
      </c>
      <c r="AA2548" t="e">
        <f>INDEX(Stammdaten[Ovalität (']0,1'])],MATCH(Tabelle1014[[#This Row],[Rank]],Stammdaten[Rank Verteilung Ovalität],0))</f>
        <v>#N/A</v>
      </c>
      <c r="AB2548" t="e">
        <f>VLOOKUP(Tabelle1014[[#This Row],[Rank]],Stammdaten[[Rank Verteilung Ovalität]:[Verteilung Ovalität]],2,FALSE)</f>
        <v>#N/A</v>
      </c>
    </row>
    <row r="2549" spans="5:28" x14ac:dyDescent="0.35">
      <c r="E2549">
        <v>2540</v>
      </c>
      <c r="F2549" t="e">
        <f>INDEX(Stammdaten[D Mitte mit Rinde (mm)],MATCH(Tabelle8[[#This Row],[Rank]],Stammdaten[Rank Verteilung D Mitte mit Rinde],0))</f>
        <v>#N/A</v>
      </c>
      <c r="G2549" t="e">
        <f>VLOOKUP(Tabelle8[[#This Row],[Rank]],Stammdaten[[Rank Verteilung D Mitte mit Rinde]:[Verteilung D Mitte mit Rinde]],2,FALSE)</f>
        <v>#N/A</v>
      </c>
      <c r="L2549">
        <v>2540</v>
      </c>
      <c r="M2549" t="e">
        <f>INDEX(Stammdaten[Abholzigkeit (mm/lfm)],MATCH(Tabelle9[[#This Row],[Rank]],Stammdaten[Rank Verteilung Abholzigkeit],0))</f>
        <v>#N/A</v>
      </c>
      <c r="N2549" t="e">
        <f>VLOOKUP(Tabelle9[[#This Row],[Rank]],Stammdaten[[Rank Verteilung Abholzigkeit]:[Verteilung Abholzigkeit]],2,FALSE)</f>
        <v>#N/A</v>
      </c>
      <c r="S2549">
        <v>2540</v>
      </c>
      <c r="T2549" t="e">
        <f>INDEX(Stammdaten[Krümmung (mm/lfm)],MATCH(Tabelle10[[#This Row],[Rank]],Stammdaten[Rank Verteilung Krümmung],0))</f>
        <v>#N/A</v>
      </c>
      <c r="U2549" t="e">
        <f>VLOOKUP(Tabelle10[[#This Row],[Rank]],Stammdaten[[Rank Verteilung Krümmung]:[Verteilung Krümmung]],2,FALSE)</f>
        <v>#N/A</v>
      </c>
      <c r="Z2549">
        <v>2540</v>
      </c>
      <c r="AA2549" t="e">
        <f>INDEX(Stammdaten[Ovalität (']0,1'])],MATCH(Tabelle1014[[#This Row],[Rank]],Stammdaten[Rank Verteilung Ovalität],0))</f>
        <v>#N/A</v>
      </c>
      <c r="AB2549" t="e">
        <f>VLOOKUP(Tabelle1014[[#This Row],[Rank]],Stammdaten[[Rank Verteilung Ovalität]:[Verteilung Ovalität]],2,FALSE)</f>
        <v>#N/A</v>
      </c>
    </row>
    <row r="2550" spans="5:28" x14ac:dyDescent="0.35">
      <c r="E2550">
        <v>2541</v>
      </c>
      <c r="F2550" t="e">
        <f>INDEX(Stammdaten[D Mitte mit Rinde (mm)],MATCH(Tabelle8[[#This Row],[Rank]],Stammdaten[Rank Verteilung D Mitte mit Rinde],0))</f>
        <v>#N/A</v>
      </c>
      <c r="G2550" t="e">
        <f>VLOOKUP(Tabelle8[[#This Row],[Rank]],Stammdaten[[Rank Verteilung D Mitte mit Rinde]:[Verteilung D Mitte mit Rinde]],2,FALSE)</f>
        <v>#N/A</v>
      </c>
      <c r="L2550">
        <v>2541</v>
      </c>
      <c r="M2550" t="e">
        <f>INDEX(Stammdaten[Abholzigkeit (mm/lfm)],MATCH(Tabelle9[[#This Row],[Rank]],Stammdaten[Rank Verteilung Abholzigkeit],0))</f>
        <v>#N/A</v>
      </c>
      <c r="N2550" t="e">
        <f>VLOOKUP(Tabelle9[[#This Row],[Rank]],Stammdaten[[Rank Verteilung Abholzigkeit]:[Verteilung Abholzigkeit]],2,FALSE)</f>
        <v>#N/A</v>
      </c>
      <c r="S2550">
        <v>2541</v>
      </c>
      <c r="T2550" t="e">
        <f>INDEX(Stammdaten[Krümmung (mm/lfm)],MATCH(Tabelle10[[#This Row],[Rank]],Stammdaten[Rank Verteilung Krümmung],0))</f>
        <v>#N/A</v>
      </c>
      <c r="U2550" t="e">
        <f>VLOOKUP(Tabelle10[[#This Row],[Rank]],Stammdaten[[Rank Verteilung Krümmung]:[Verteilung Krümmung]],2,FALSE)</f>
        <v>#N/A</v>
      </c>
      <c r="Z2550">
        <v>2541</v>
      </c>
      <c r="AA2550" t="e">
        <f>INDEX(Stammdaten[Ovalität (']0,1'])],MATCH(Tabelle1014[[#This Row],[Rank]],Stammdaten[Rank Verteilung Ovalität],0))</f>
        <v>#N/A</v>
      </c>
      <c r="AB2550" t="e">
        <f>VLOOKUP(Tabelle1014[[#This Row],[Rank]],Stammdaten[[Rank Verteilung Ovalität]:[Verteilung Ovalität]],2,FALSE)</f>
        <v>#N/A</v>
      </c>
    </row>
    <row r="2551" spans="5:28" x14ac:dyDescent="0.35">
      <c r="E2551">
        <v>2542</v>
      </c>
      <c r="F2551" t="e">
        <f>INDEX(Stammdaten[D Mitte mit Rinde (mm)],MATCH(Tabelle8[[#This Row],[Rank]],Stammdaten[Rank Verteilung D Mitte mit Rinde],0))</f>
        <v>#N/A</v>
      </c>
      <c r="G2551" t="e">
        <f>VLOOKUP(Tabelle8[[#This Row],[Rank]],Stammdaten[[Rank Verteilung D Mitte mit Rinde]:[Verteilung D Mitte mit Rinde]],2,FALSE)</f>
        <v>#N/A</v>
      </c>
      <c r="L2551">
        <v>2542</v>
      </c>
      <c r="M2551" t="e">
        <f>INDEX(Stammdaten[Abholzigkeit (mm/lfm)],MATCH(Tabelle9[[#This Row],[Rank]],Stammdaten[Rank Verteilung Abholzigkeit],0))</f>
        <v>#N/A</v>
      </c>
      <c r="N2551" t="e">
        <f>VLOOKUP(Tabelle9[[#This Row],[Rank]],Stammdaten[[Rank Verteilung Abholzigkeit]:[Verteilung Abholzigkeit]],2,FALSE)</f>
        <v>#N/A</v>
      </c>
      <c r="S2551">
        <v>2542</v>
      </c>
      <c r="T2551" t="e">
        <f>INDEX(Stammdaten[Krümmung (mm/lfm)],MATCH(Tabelle10[[#This Row],[Rank]],Stammdaten[Rank Verteilung Krümmung],0))</f>
        <v>#N/A</v>
      </c>
      <c r="U2551" t="e">
        <f>VLOOKUP(Tabelle10[[#This Row],[Rank]],Stammdaten[[Rank Verteilung Krümmung]:[Verteilung Krümmung]],2,FALSE)</f>
        <v>#N/A</v>
      </c>
      <c r="Z2551">
        <v>2542</v>
      </c>
      <c r="AA2551" t="e">
        <f>INDEX(Stammdaten[Ovalität (']0,1'])],MATCH(Tabelle1014[[#This Row],[Rank]],Stammdaten[Rank Verteilung Ovalität],0))</f>
        <v>#N/A</v>
      </c>
      <c r="AB2551" t="e">
        <f>VLOOKUP(Tabelle1014[[#This Row],[Rank]],Stammdaten[[Rank Verteilung Ovalität]:[Verteilung Ovalität]],2,FALSE)</f>
        <v>#N/A</v>
      </c>
    </row>
    <row r="2552" spans="5:28" x14ac:dyDescent="0.35">
      <c r="E2552">
        <v>2543</v>
      </c>
      <c r="F2552" t="e">
        <f>INDEX(Stammdaten[D Mitte mit Rinde (mm)],MATCH(Tabelle8[[#This Row],[Rank]],Stammdaten[Rank Verteilung D Mitte mit Rinde],0))</f>
        <v>#N/A</v>
      </c>
      <c r="G2552" t="e">
        <f>VLOOKUP(Tabelle8[[#This Row],[Rank]],Stammdaten[[Rank Verteilung D Mitte mit Rinde]:[Verteilung D Mitte mit Rinde]],2,FALSE)</f>
        <v>#N/A</v>
      </c>
      <c r="L2552">
        <v>2543</v>
      </c>
      <c r="M2552" t="e">
        <f>INDEX(Stammdaten[Abholzigkeit (mm/lfm)],MATCH(Tabelle9[[#This Row],[Rank]],Stammdaten[Rank Verteilung Abholzigkeit],0))</f>
        <v>#N/A</v>
      </c>
      <c r="N2552" t="e">
        <f>VLOOKUP(Tabelle9[[#This Row],[Rank]],Stammdaten[[Rank Verteilung Abholzigkeit]:[Verteilung Abholzigkeit]],2,FALSE)</f>
        <v>#N/A</v>
      </c>
      <c r="S2552">
        <v>2543</v>
      </c>
      <c r="T2552" t="e">
        <f>INDEX(Stammdaten[Krümmung (mm/lfm)],MATCH(Tabelle10[[#This Row],[Rank]],Stammdaten[Rank Verteilung Krümmung],0))</f>
        <v>#N/A</v>
      </c>
      <c r="U2552" t="e">
        <f>VLOOKUP(Tabelle10[[#This Row],[Rank]],Stammdaten[[Rank Verteilung Krümmung]:[Verteilung Krümmung]],2,FALSE)</f>
        <v>#N/A</v>
      </c>
      <c r="Z2552">
        <v>2543</v>
      </c>
      <c r="AA2552" t="e">
        <f>INDEX(Stammdaten[Ovalität (']0,1'])],MATCH(Tabelle1014[[#This Row],[Rank]],Stammdaten[Rank Verteilung Ovalität],0))</f>
        <v>#N/A</v>
      </c>
      <c r="AB2552" t="e">
        <f>VLOOKUP(Tabelle1014[[#This Row],[Rank]],Stammdaten[[Rank Verteilung Ovalität]:[Verteilung Ovalität]],2,FALSE)</f>
        <v>#N/A</v>
      </c>
    </row>
    <row r="2553" spans="5:28" x14ac:dyDescent="0.35">
      <c r="E2553">
        <v>2544</v>
      </c>
      <c r="F2553" t="e">
        <f>INDEX(Stammdaten[D Mitte mit Rinde (mm)],MATCH(Tabelle8[[#This Row],[Rank]],Stammdaten[Rank Verteilung D Mitte mit Rinde],0))</f>
        <v>#N/A</v>
      </c>
      <c r="G2553" t="e">
        <f>VLOOKUP(Tabelle8[[#This Row],[Rank]],Stammdaten[[Rank Verteilung D Mitte mit Rinde]:[Verteilung D Mitte mit Rinde]],2,FALSE)</f>
        <v>#N/A</v>
      </c>
      <c r="L2553">
        <v>2544</v>
      </c>
      <c r="M2553" t="e">
        <f>INDEX(Stammdaten[Abholzigkeit (mm/lfm)],MATCH(Tabelle9[[#This Row],[Rank]],Stammdaten[Rank Verteilung Abholzigkeit],0))</f>
        <v>#N/A</v>
      </c>
      <c r="N2553" t="e">
        <f>VLOOKUP(Tabelle9[[#This Row],[Rank]],Stammdaten[[Rank Verteilung Abholzigkeit]:[Verteilung Abholzigkeit]],2,FALSE)</f>
        <v>#N/A</v>
      </c>
      <c r="S2553">
        <v>2544</v>
      </c>
      <c r="T2553" t="e">
        <f>INDEX(Stammdaten[Krümmung (mm/lfm)],MATCH(Tabelle10[[#This Row],[Rank]],Stammdaten[Rank Verteilung Krümmung],0))</f>
        <v>#N/A</v>
      </c>
      <c r="U2553" t="e">
        <f>VLOOKUP(Tabelle10[[#This Row],[Rank]],Stammdaten[[Rank Verteilung Krümmung]:[Verteilung Krümmung]],2,FALSE)</f>
        <v>#N/A</v>
      </c>
      <c r="Z2553">
        <v>2544</v>
      </c>
      <c r="AA2553" t="e">
        <f>INDEX(Stammdaten[Ovalität (']0,1'])],MATCH(Tabelle1014[[#This Row],[Rank]],Stammdaten[Rank Verteilung Ovalität],0))</f>
        <v>#N/A</v>
      </c>
      <c r="AB2553" t="e">
        <f>VLOOKUP(Tabelle1014[[#This Row],[Rank]],Stammdaten[[Rank Verteilung Ovalität]:[Verteilung Ovalität]],2,FALSE)</f>
        <v>#N/A</v>
      </c>
    </row>
    <row r="2554" spans="5:28" x14ac:dyDescent="0.35">
      <c r="E2554">
        <v>2545</v>
      </c>
      <c r="F2554" t="e">
        <f>INDEX(Stammdaten[D Mitte mit Rinde (mm)],MATCH(Tabelle8[[#This Row],[Rank]],Stammdaten[Rank Verteilung D Mitte mit Rinde],0))</f>
        <v>#N/A</v>
      </c>
      <c r="G2554" t="e">
        <f>VLOOKUP(Tabelle8[[#This Row],[Rank]],Stammdaten[[Rank Verteilung D Mitte mit Rinde]:[Verteilung D Mitte mit Rinde]],2,FALSE)</f>
        <v>#N/A</v>
      </c>
      <c r="L2554">
        <v>2545</v>
      </c>
      <c r="M2554" t="e">
        <f>INDEX(Stammdaten[Abholzigkeit (mm/lfm)],MATCH(Tabelle9[[#This Row],[Rank]],Stammdaten[Rank Verteilung Abholzigkeit],0))</f>
        <v>#N/A</v>
      </c>
      <c r="N2554" t="e">
        <f>VLOOKUP(Tabelle9[[#This Row],[Rank]],Stammdaten[[Rank Verteilung Abholzigkeit]:[Verteilung Abholzigkeit]],2,FALSE)</f>
        <v>#N/A</v>
      </c>
      <c r="S2554">
        <v>2545</v>
      </c>
      <c r="T2554" t="e">
        <f>INDEX(Stammdaten[Krümmung (mm/lfm)],MATCH(Tabelle10[[#This Row],[Rank]],Stammdaten[Rank Verteilung Krümmung],0))</f>
        <v>#N/A</v>
      </c>
      <c r="U2554" t="e">
        <f>VLOOKUP(Tabelle10[[#This Row],[Rank]],Stammdaten[[Rank Verteilung Krümmung]:[Verteilung Krümmung]],2,FALSE)</f>
        <v>#N/A</v>
      </c>
      <c r="Z2554">
        <v>2545</v>
      </c>
      <c r="AA2554" t="e">
        <f>INDEX(Stammdaten[Ovalität (']0,1'])],MATCH(Tabelle1014[[#This Row],[Rank]],Stammdaten[Rank Verteilung Ovalität],0))</f>
        <v>#N/A</v>
      </c>
      <c r="AB2554" t="e">
        <f>VLOOKUP(Tabelle1014[[#This Row],[Rank]],Stammdaten[[Rank Verteilung Ovalität]:[Verteilung Ovalität]],2,FALSE)</f>
        <v>#N/A</v>
      </c>
    </row>
    <row r="2555" spans="5:28" x14ac:dyDescent="0.35">
      <c r="E2555">
        <v>2546</v>
      </c>
      <c r="F2555" t="e">
        <f>INDEX(Stammdaten[D Mitte mit Rinde (mm)],MATCH(Tabelle8[[#This Row],[Rank]],Stammdaten[Rank Verteilung D Mitte mit Rinde],0))</f>
        <v>#N/A</v>
      </c>
      <c r="G2555" t="e">
        <f>VLOOKUP(Tabelle8[[#This Row],[Rank]],Stammdaten[[Rank Verteilung D Mitte mit Rinde]:[Verteilung D Mitte mit Rinde]],2,FALSE)</f>
        <v>#N/A</v>
      </c>
      <c r="L2555">
        <v>2546</v>
      </c>
      <c r="M2555" t="e">
        <f>INDEX(Stammdaten[Abholzigkeit (mm/lfm)],MATCH(Tabelle9[[#This Row],[Rank]],Stammdaten[Rank Verteilung Abholzigkeit],0))</f>
        <v>#N/A</v>
      </c>
      <c r="N2555" t="e">
        <f>VLOOKUP(Tabelle9[[#This Row],[Rank]],Stammdaten[[Rank Verteilung Abholzigkeit]:[Verteilung Abholzigkeit]],2,FALSE)</f>
        <v>#N/A</v>
      </c>
      <c r="S2555">
        <v>2546</v>
      </c>
      <c r="T2555" t="e">
        <f>INDEX(Stammdaten[Krümmung (mm/lfm)],MATCH(Tabelle10[[#This Row],[Rank]],Stammdaten[Rank Verteilung Krümmung],0))</f>
        <v>#N/A</v>
      </c>
      <c r="U2555" t="e">
        <f>VLOOKUP(Tabelle10[[#This Row],[Rank]],Stammdaten[[Rank Verteilung Krümmung]:[Verteilung Krümmung]],2,FALSE)</f>
        <v>#N/A</v>
      </c>
      <c r="Z2555">
        <v>2546</v>
      </c>
      <c r="AA2555" t="e">
        <f>INDEX(Stammdaten[Ovalität (']0,1'])],MATCH(Tabelle1014[[#This Row],[Rank]],Stammdaten[Rank Verteilung Ovalität],0))</f>
        <v>#N/A</v>
      </c>
      <c r="AB2555" t="e">
        <f>VLOOKUP(Tabelle1014[[#This Row],[Rank]],Stammdaten[[Rank Verteilung Ovalität]:[Verteilung Ovalität]],2,FALSE)</f>
        <v>#N/A</v>
      </c>
    </row>
    <row r="2556" spans="5:28" x14ac:dyDescent="0.35">
      <c r="E2556">
        <v>2547</v>
      </c>
      <c r="F2556" t="e">
        <f>INDEX(Stammdaten[D Mitte mit Rinde (mm)],MATCH(Tabelle8[[#This Row],[Rank]],Stammdaten[Rank Verteilung D Mitte mit Rinde],0))</f>
        <v>#N/A</v>
      </c>
      <c r="G2556" t="e">
        <f>VLOOKUP(Tabelle8[[#This Row],[Rank]],Stammdaten[[Rank Verteilung D Mitte mit Rinde]:[Verteilung D Mitte mit Rinde]],2,FALSE)</f>
        <v>#N/A</v>
      </c>
      <c r="L2556">
        <v>2547</v>
      </c>
      <c r="M2556" t="e">
        <f>INDEX(Stammdaten[Abholzigkeit (mm/lfm)],MATCH(Tabelle9[[#This Row],[Rank]],Stammdaten[Rank Verteilung Abholzigkeit],0))</f>
        <v>#N/A</v>
      </c>
      <c r="N2556" t="e">
        <f>VLOOKUP(Tabelle9[[#This Row],[Rank]],Stammdaten[[Rank Verteilung Abholzigkeit]:[Verteilung Abholzigkeit]],2,FALSE)</f>
        <v>#N/A</v>
      </c>
      <c r="S2556">
        <v>2547</v>
      </c>
      <c r="T2556" t="e">
        <f>INDEX(Stammdaten[Krümmung (mm/lfm)],MATCH(Tabelle10[[#This Row],[Rank]],Stammdaten[Rank Verteilung Krümmung],0))</f>
        <v>#N/A</v>
      </c>
      <c r="U2556" t="e">
        <f>VLOOKUP(Tabelle10[[#This Row],[Rank]],Stammdaten[[Rank Verteilung Krümmung]:[Verteilung Krümmung]],2,FALSE)</f>
        <v>#N/A</v>
      </c>
      <c r="Z2556">
        <v>2547</v>
      </c>
      <c r="AA2556" t="e">
        <f>INDEX(Stammdaten[Ovalität (']0,1'])],MATCH(Tabelle1014[[#This Row],[Rank]],Stammdaten[Rank Verteilung Ovalität],0))</f>
        <v>#N/A</v>
      </c>
      <c r="AB2556" t="e">
        <f>VLOOKUP(Tabelle1014[[#This Row],[Rank]],Stammdaten[[Rank Verteilung Ovalität]:[Verteilung Ovalität]],2,FALSE)</f>
        <v>#N/A</v>
      </c>
    </row>
    <row r="2557" spans="5:28" x14ac:dyDescent="0.35">
      <c r="E2557">
        <v>2548</v>
      </c>
      <c r="F2557" t="e">
        <f>INDEX(Stammdaten[D Mitte mit Rinde (mm)],MATCH(Tabelle8[[#This Row],[Rank]],Stammdaten[Rank Verteilung D Mitte mit Rinde],0))</f>
        <v>#N/A</v>
      </c>
      <c r="G2557" t="e">
        <f>VLOOKUP(Tabelle8[[#This Row],[Rank]],Stammdaten[[Rank Verteilung D Mitte mit Rinde]:[Verteilung D Mitte mit Rinde]],2,FALSE)</f>
        <v>#N/A</v>
      </c>
      <c r="L2557">
        <v>2548</v>
      </c>
      <c r="M2557" t="e">
        <f>INDEX(Stammdaten[Abholzigkeit (mm/lfm)],MATCH(Tabelle9[[#This Row],[Rank]],Stammdaten[Rank Verteilung Abholzigkeit],0))</f>
        <v>#N/A</v>
      </c>
      <c r="N2557" t="e">
        <f>VLOOKUP(Tabelle9[[#This Row],[Rank]],Stammdaten[[Rank Verteilung Abholzigkeit]:[Verteilung Abholzigkeit]],2,FALSE)</f>
        <v>#N/A</v>
      </c>
      <c r="S2557">
        <v>2548</v>
      </c>
      <c r="T2557" t="e">
        <f>INDEX(Stammdaten[Krümmung (mm/lfm)],MATCH(Tabelle10[[#This Row],[Rank]],Stammdaten[Rank Verteilung Krümmung],0))</f>
        <v>#N/A</v>
      </c>
      <c r="U2557" t="e">
        <f>VLOOKUP(Tabelle10[[#This Row],[Rank]],Stammdaten[[Rank Verteilung Krümmung]:[Verteilung Krümmung]],2,FALSE)</f>
        <v>#N/A</v>
      </c>
      <c r="Z2557">
        <v>2548</v>
      </c>
      <c r="AA2557" t="e">
        <f>INDEX(Stammdaten[Ovalität (']0,1'])],MATCH(Tabelle1014[[#This Row],[Rank]],Stammdaten[Rank Verteilung Ovalität],0))</f>
        <v>#N/A</v>
      </c>
      <c r="AB2557" t="e">
        <f>VLOOKUP(Tabelle1014[[#This Row],[Rank]],Stammdaten[[Rank Verteilung Ovalität]:[Verteilung Ovalität]],2,FALSE)</f>
        <v>#N/A</v>
      </c>
    </row>
    <row r="2558" spans="5:28" x14ac:dyDescent="0.35">
      <c r="E2558">
        <v>2549</v>
      </c>
      <c r="F2558" t="e">
        <f>INDEX(Stammdaten[D Mitte mit Rinde (mm)],MATCH(Tabelle8[[#This Row],[Rank]],Stammdaten[Rank Verteilung D Mitte mit Rinde],0))</f>
        <v>#N/A</v>
      </c>
      <c r="G2558" t="e">
        <f>VLOOKUP(Tabelle8[[#This Row],[Rank]],Stammdaten[[Rank Verteilung D Mitte mit Rinde]:[Verteilung D Mitte mit Rinde]],2,FALSE)</f>
        <v>#N/A</v>
      </c>
      <c r="L2558">
        <v>2549</v>
      </c>
      <c r="M2558" t="e">
        <f>INDEX(Stammdaten[Abholzigkeit (mm/lfm)],MATCH(Tabelle9[[#This Row],[Rank]],Stammdaten[Rank Verteilung Abholzigkeit],0))</f>
        <v>#N/A</v>
      </c>
      <c r="N2558" t="e">
        <f>VLOOKUP(Tabelle9[[#This Row],[Rank]],Stammdaten[[Rank Verteilung Abholzigkeit]:[Verteilung Abholzigkeit]],2,FALSE)</f>
        <v>#N/A</v>
      </c>
      <c r="S2558">
        <v>2549</v>
      </c>
      <c r="T2558" t="e">
        <f>INDEX(Stammdaten[Krümmung (mm/lfm)],MATCH(Tabelle10[[#This Row],[Rank]],Stammdaten[Rank Verteilung Krümmung],0))</f>
        <v>#N/A</v>
      </c>
      <c r="U2558" t="e">
        <f>VLOOKUP(Tabelle10[[#This Row],[Rank]],Stammdaten[[Rank Verteilung Krümmung]:[Verteilung Krümmung]],2,FALSE)</f>
        <v>#N/A</v>
      </c>
      <c r="Z2558">
        <v>2549</v>
      </c>
      <c r="AA2558" t="e">
        <f>INDEX(Stammdaten[Ovalität (']0,1'])],MATCH(Tabelle1014[[#This Row],[Rank]],Stammdaten[Rank Verteilung Ovalität],0))</f>
        <v>#N/A</v>
      </c>
      <c r="AB2558" t="e">
        <f>VLOOKUP(Tabelle1014[[#This Row],[Rank]],Stammdaten[[Rank Verteilung Ovalität]:[Verteilung Ovalität]],2,FALSE)</f>
        <v>#N/A</v>
      </c>
    </row>
    <row r="2559" spans="5:28" x14ac:dyDescent="0.35">
      <c r="E2559">
        <v>2550</v>
      </c>
      <c r="F2559" t="e">
        <f>INDEX(Stammdaten[D Mitte mit Rinde (mm)],MATCH(Tabelle8[[#This Row],[Rank]],Stammdaten[Rank Verteilung D Mitte mit Rinde],0))</f>
        <v>#N/A</v>
      </c>
      <c r="G2559" t="e">
        <f>VLOOKUP(Tabelle8[[#This Row],[Rank]],Stammdaten[[Rank Verteilung D Mitte mit Rinde]:[Verteilung D Mitte mit Rinde]],2,FALSE)</f>
        <v>#N/A</v>
      </c>
      <c r="L2559">
        <v>2550</v>
      </c>
      <c r="M2559" t="e">
        <f>INDEX(Stammdaten[Abholzigkeit (mm/lfm)],MATCH(Tabelle9[[#This Row],[Rank]],Stammdaten[Rank Verteilung Abholzigkeit],0))</f>
        <v>#N/A</v>
      </c>
      <c r="N2559" t="e">
        <f>VLOOKUP(Tabelle9[[#This Row],[Rank]],Stammdaten[[Rank Verteilung Abholzigkeit]:[Verteilung Abholzigkeit]],2,FALSE)</f>
        <v>#N/A</v>
      </c>
      <c r="S2559">
        <v>2550</v>
      </c>
      <c r="T2559" t="e">
        <f>INDEX(Stammdaten[Krümmung (mm/lfm)],MATCH(Tabelle10[[#This Row],[Rank]],Stammdaten[Rank Verteilung Krümmung],0))</f>
        <v>#N/A</v>
      </c>
      <c r="U2559" t="e">
        <f>VLOOKUP(Tabelle10[[#This Row],[Rank]],Stammdaten[[Rank Verteilung Krümmung]:[Verteilung Krümmung]],2,FALSE)</f>
        <v>#N/A</v>
      </c>
      <c r="Z2559">
        <v>2550</v>
      </c>
      <c r="AA2559" t="e">
        <f>INDEX(Stammdaten[Ovalität (']0,1'])],MATCH(Tabelle1014[[#This Row],[Rank]],Stammdaten[Rank Verteilung Ovalität],0))</f>
        <v>#N/A</v>
      </c>
      <c r="AB2559" t="e">
        <f>VLOOKUP(Tabelle1014[[#This Row],[Rank]],Stammdaten[[Rank Verteilung Ovalität]:[Verteilung Ovalität]],2,FALSE)</f>
        <v>#N/A</v>
      </c>
    </row>
    <row r="2560" spans="5:28" x14ac:dyDescent="0.35">
      <c r="E2560">
        <v>2551</v>
      </c>
      <c r="F2560" t="e">
        <f>INDEX(Stammdaten[D Mitte mit Rinde (mm)],MATCH(Tabelle8[[#This Row],[Rank]],Stammdaten[Rank Verteilung D Mitte mit Rinde],0))</f>
        <v>#N/A</v>
      </c>
      <c r="G2560" t="e">
        <f>VLOOKUP(Tabelle8[[#This Row],[Rank]],Stammdaten[[Rank Verteilung D Mitte mit Rinde]:[Verteilung D Mitte mit Rinde]],2,FALSE)</f>
        <v>#N/A</v>
      </c>
      <c r="L2560">
        <v>2551</v>
      </c>
      <c r="M2560" t="e">
        <f>INDEX(Stammdaten[Abholzigkeit (mm/lfm)],MATCH(Tabelle9[[#This Row],[Rank]],Stammdaten[Rank Verteilung Abholzigkeit],0))</f>
        <v>#N/A</v>
      </c>
      <c r="N2560" t="e">
        <f>VLOOKUP(Tabelle9[[#This Row],[Rank]],Stammdaten[[Rank Verteilung Abholzigkeit]:[Verteilung Abholzigkeit]],2,FALSE)</f>
        <v>#N/A</v>
      </c>
      <c r="S2560">
        <v>2551</v>
      </c>
      <c r="T2560" t="e">
        <f>INDEX(Stammdaten[Krümmung (mm/lfm)],MATCH(Tabelle10[[#This Row],[Rank]],Stammdaten[Rank Verteilung Krümmung],0))</f>
        <v>#N/A</v>
      </c>
      <c r="U2560" t="e">
        <f>VLOOKUP(Tabelle10[[#This Row],[Rank]],Stammdaten[[Rank Verteilung Krümmung]:[Verteilung Krümmung]],2,FALSE)</f>
        <v>#N/A</v>
      </c>
      <c r="Z2560">
        <v>2551</v>
      </c>
      <c r="AA2560" t="e">
        <f>INDEX(Stammdaten[Ovalität (']0,1'])],MATCH(Tabelle1014[[#This Row],[Rank]],Stammdaten[Rank Verteilung Ovalität],0))</f>
        <v>#N/A</v>
      </c>
      <c r="AB2560" t="e">
        <f>VLOOKUP(Tabelle1014[[#This Row],[Rank]],Stammdaten[[Rank Verteilung Ovalität]:[Verteilung Ovalität]],2,FALSE)</f>
        <v>#N/A</v>
      </c>
    </row>
    <row r="2561" spans="5:28" x14ac:dyDescent="0.35">
      <c r="E2561">
        <v>2552</v>
      </c>
      <c r="F2561" t="e">
        <f>INDEX(Stammdaten[D Mitte mit Rinde (mm)],MATCH(Tabelle8[[#This Row],[Rank]],Stammdaten[Rank Verteilung D Mitte mit Rinde],0))</f>
        <v>#N/A</v>
      </c>
      <c r="G2561" t="e">
        <f>VLOOKUP(Tabelle8[[#This Row],[Rank]],Stammdaten[[Rank Verteilung D Mitte mit Rinde]:[Verteilung D Mitte mit Rinde]],2,FALSE)</f>
        <v>#N/A</v>
      </c>
      <c r="L2561">
        <v>2552</v>
      </c>
      <c r="M2561" t="e">
        <f>INDEX(Stammdaten[Abholzigkeit (mm/lfm)],MATCH(Tabelle9[[#This Row],[Rank]],Stammdaten[Rank Verteilung Abholzigkeit],0))</f>
        <v>#N/A</v>
      </c>
      <c r="N2561" t="e">
        <f>VLOOKUP(Tabelle9[[#This Row],[Rank]],Stammdaten[[Rank Verteilung Abholzigkeit]:[Verteilung Abholzigkeit]],2,FALSE)</f>
        <v>#N/A</v>
      </c>
      <c r="S2561">
        <v>2552</v>
      </c>
      <c r="T2561" t="e">
        <f>INDEX(Stammdaten[Krümmung (mm/lfm)],MATCH(Tabelle10[[#This Row],[Rank]],Stammdaten[Rank Verteilung Krümmung],0))</f>
        <v>#N/A</v>
      </c>
      <c r="U2561" t="e">
        <f>VLOOKUP(Tabelle10[[#This Row],[Rank]],Stammdaten[[Rank Verteilung Krümmung]:[Verteilung Krümmung]],2,FALSE)</f>
        <v>#N/A</v>
      </c>
      <c r="Z2561">
        <v>2552</v>
      </c>
      <c r="AA2561" t="e">
        <f>INDEX(Stammdaten[Ovalität (']0,1'])],MATCH(Tabelle1014[[#This Row],[Rank]],Stammdaten[Rank Verteilung Ovalität],0))</f>
        <v>#N/A</v>
      </c>
      <c r="AB2561" t="e">
        <f>VLOOKUP(Tabelle1014[[#This Row],[Rank]],Stammdaten[[Rank Verteilung Ovalität]:[Verteilung Ovalität]],2,FALSE)</f>
        <v>#N/A</v>
      </c>
    </row>
    <row r="2562" spans="5:28" x14ac:dyDescent="0.35">
      <c r="E2562">
        <v>2553</v>
      </c>
      <c r="F2562" t="e">
        <f>INDEX(Stammdaten[D Mitte mit Rinde (mm)],MATCH(Tabelle8[[#This Row],[Rank]],Stammdaten[Rank Verteilung D Mitte mit Rinde],0))</f>
        <v>#N/A</v>
      </c>
      <c r="G2562" t="e">
        <f>VLOOKUP(Tabelle8[[#This Row],[Rank]],Stammdaten[[Rank Verteilung D Mitte mit Rinde]:[Verteilung D Mitte mit Rinde]],2,FALSE)</f>
        <v>#N/A</v>
      </c>
      <c r="L2562">
        <v>2553</v>
      </c>
      <c r="M2562" t="e">
        <f>INDEX(Stammdaten[Abholzigkeit (mm/lfm)],MATCH(Tabelle9[[#This Row],[Rank]],Stammdaten[Rank Verteilung Abholzigkeit],0))</f>
        <v>#N/A</v>
      </c>
      <c r="N2562" t="e">
        <f>VLOOKUP(Tabelle9[[#This Row],[Rank]],Stammdaten[[Rank Verteilung Abholzigkeit]:[Verteilung Abholzigkeit]],2,FALSE)</f>
        <v>#N/A</v>
      </c>
      <c r="S2562">
        <v>2553</v>
      </c>
      <c r="T2562" t="e">
        <f>INDEX(Stammdaten[Krümmung (mm/lfm)],MATCH(Tabelle10[[#This Row],[Rank]],Stammdaten[Rank Verteilung Krümmung],0))</f>
        <v>#N/A</v>
      </c>
      <c r="U2562" t="e">
        <f>VLOOKUP(Tabelle10[[#This Row],[Rank]],Stammdaten[[Rank Verteilung Krümmung]:[Verteilung Krümmung]],2,FALSE)</f>
        <v>#N/A</v>
      </c>
      <c r="Z2562">
        <v>2553</v>
      </c>
      <c r="AA2562" t="e">
        <f>INDEX(Stammdaten[Ovalität (']0,1'])],MATCH(Tabelle1014[[#This Row],[Rank]],Stammdaten[Rank Verteilung Ovalität],0))</f>
        <v>#N/A</v>
      </c>
      <c r="AB2562" t="e">
        <f>VLOOKUP(Tabelle1014[[#This Row],[Rank]],Stammdaten[[Rank Verteilung Ovalität]:[Verteilung Ovalität]],2,FALSE)</f>
        <v>#N/A</v>
      </c>
    </row>
    <row r="2563" spans="5:28" x14ac:dyDescent="0.35">
      <c r="E2563">
        <v>2554</v>
      </c>
      <c r="F2563" t="e">
        <f>INDEX(Stammdaten[D Mitte mit Rinde (mm)],MATCH(Tabelle8[[#This Row],[Rank]],Stammdaten[Rank Verteilung D Mitte mit Rinde],0))</f>
        <v>#N/A</v>
      </c>
      <c r="G2563" t="e">
        <f>VLOOKUP(Tabelle8[[#This Row],[Rank]],Stammdaten[[Rank Verteilung D Mitte mit Rinde]:[Verteilung D Mitte mit Rinde]],2,FALSE)</f>
        <v>#N/A</v>
      </c>
      <c r="L2563">
        <v>2554</v>
      </c>
      <c r="M2563" t="e">
        <f>INDEX(Stammdaten[Abholzigkeit (mm/lfm)],MATCH(Tabelle9[[#This Row],[Rank]],Stammdaten[Rank Verteilung Abholzigkeit],0))</f>
        <v>#N/A</v>
      </c>
      <c r="N2563" t="e">
        <f>VLOOKUP(Tabelle9[[#This Row],[Rank]],Stammdaten[[Rank Verteilung Abholzigkeit]:[Verteilung Abholzigkeit]],2,FALSE)</f>
        <v>#N/A</v>
      </c>
      <c r="S2563">
        <v>2554</v>
      </c>
      <c r="T2563" t="e">
        <f>INDEX(Stammdaten[Krümmung (mm/lfm)],MATCH(Tabelle10[[#This Row],[Rank]],Stammdaten[Rank Verteilung Krümmung],0))</f>
        <v>#N/A</v>
      </c>
      <c r="U2563" t="e">
        <f>VLOOKUP(Tabelle10[[#This Row],[Rank]],Stammdaten[[Rank Verteilung Krümmung]:[Verteilung Krümmung]],2,FALSE)</f>
        <v>#N/A</v>
      </c>
      <c r="Z2563">
        <v>2554</v>
      </c>
      <c r="AA2563" t="e">
        <f>INDEX(Stammdaten[Ovalität (']0,1'])],MATCH(Tabelle1014[[#This Row],[Rank]],Stammdaten[Rank Verteilung Ovalität],0))</f>
        <v>#N/A</v>
      </c>
      <c r="AB2563" t="e">
        <f>VLOOKUP(Tabelle1014[[#This Row],[Rank]],Stammdaten[[Rank Verteilung Ovalität]:[Verteilung Ovalität]],2,FALSE)</f>
        <v>#N/A</v>
      </c>
    </row>
    <row r="2564" spans="5:28" x14ac:dyDescent="0.35">
      <c r="E2564">
        <v>2555</v>
      </c>
      <c r="F2564" t="e">
        <f>INDEX(Stammdaten[D Mitte mit Rinde (mm)],MATCH(Tabelle8[[#This Row],[Rank]],Stammdaten[Rank Verteilung D Mitte mit Rinde],0))</f>
        <v>#N/A</v>
      </c>
      <c r="G2564" t="e">
        <f>VLOOKUP(Tabelle8[[#This Row],[Rank]],Stammdaten[[Rank Verteilung D Mitte mit Rinde]:[Verteilung D Mitte mit Rinde]],2,FALSE)</f>
        <v>#N/A</v>
      </c>
      <c r="L2564">
        <v>2555</v>
      </c>
      <c r="M2564" t="e">
        <f>INDEX(Stammdaten[Abholzigkeit (mm/lfm)],MATCH(Tabelle9[[#This Row],[Rank]],Stammdaten[Rank Verteilung Abholzigkeit],0))</f>
        <v>#N/A</v>
      </c>
      <c r="N2564" t="e">
        <f>VLOOKUP(Tabelle9[[#This Row],[Rank]],Stammdaten[[Rank Verteilung Abholzigkeit]:[Verteilung Abholzigkeit]],2,FALSE)</f>
        <v>#N/A</v>
      </c>
      <c r="S2564">
        <v>2555</v>
      </c>
      <c r="T2564" t="e">
        <f>INDEX(Stammdaten[Krümmung (mm/lfm)],MATCH(Tabelle10[[#This Row],[Rank]],Stammdaten[Rank Verteilung Krümmung],0))</f>
        <v>#N/A</v>
      </c>
      <c r="U2564" t="e">
        <f>VLOOKUP(Tabelle10[[#This Row],[Rank]],Stammdaten[[Rank Verteilung Krümmung]:[Verteilung Krümmung]],2,FALSE)</f>
        <v>#N/A</v>
      </c>
      <c r="Z2564">
        <v>2555</v>
      </c>
      <c r="AA2564" t="e">
        <f>INDEX(Stammdaten[Ovalität (']0,1'])],MATCH(Tabelle1014[[#This Row],[Rank]],Stammdaten[Rank Verteilung Ovalität],0))</f>
        <v>#N/A</v>
      </c>
      <c r="AB2564" t="e">
        <f>VLOOKUP(Tabelle1014[[#This Row],[Rank]],Stammdaten[[Rank Verteilung Ovalität]:[Verteilung Ovalität]],2,FALSE)</f>
        <v>#N/A</v>
      </c>
    </row>
    <row r="2565" spans="5:28" x14ac:dyDescent="0.35">
      <c r="E2565">
        <v>2556</v>
      </c>
      <c r="F2565" t="e">
        <f>INDEX(Stammdaten[D Mitte mit Rinde (mm)],MATCH(Tabelle8[[#This Row],[Rank]],Stammdaten[Rank Verteilung D Mitte mit Rinde],0))</f>
        <v>#N/A</v>
      </c>
      <c r="G2565" t="e">
        <f>VLOOKUP(Tabelle8[[#This Row],[Rank]],Stammdaten[[Rank Verteilung D Mitte mit Rinde]:[Verteilung D Mitte mit Rinde]],2,FALSE)</f>
        <v>#N/A</v>
      </c>
      <c r="L2565">
        <v>2556</v>
      </c>
      <c r="M2565" t="e">
        <f>INDEX(Stammdaten[Abholzigkeit (mm/lfm)],MATCH(Tabelle9[[#This Row],[Rank]],Stammdaten[Rank Verteilung Abholzigkeit],0))</f>
        <v>#N/A</v>
      </c>
      <c r="N2565" t="e">
        <f>VLOOKUP(Tabelle9[[#This Row],[Rank]],Stammdaten[[Rank Verteilung Abholzigkeit]:[Verteilung Abholzigkeit]],2,FALSE)</f>
        <v>#N/A</v>
      </c>
      <c r="S2565">
        <v>2556</v>
      </c>
      <c r="T2565" t="e">
        <f>INDEX(Stammdaten[Krümmung (mm/lfm)],MATCH(Tabelle10[[#This Row],[Rank]],Stammdaten[Rank Verteilung Krümmung],0))</f>
        <v>#N/A</v>
      </c>
      <c r="U2565" t="e">
        <f>VLOOKUP(Tabelle10[[#This Row],[Rank]],Stammdaten[[Rank Verteilung Krümmung]:[Verteilung Krümmung]],2,FALSE)</f>
        <v>#N/A</v>
      </c>
      <c r="Z2565">
        <v>2556</v>
      </c>
      <c r="AA2565" t="e">
        <f>INDEX(Stammdaten[Ovalität (']0,1'])],MATCH(Tabelle1014[[#This Row],[Rank]],Stammdaten[Rank Verteilung Ovalität],0))</f>
        <v>#N/A</v>
      </c>
      <c r="AB2565" t="e">
        <f>VLOOKUP(Tabelle1014[[#This Row],[Rank]],Stammdaten[[Rank Verteilung Ovalität]:[Verteilung Ovalität]],2,FALSE)</f>
        <v>#N/A</v>
      </c>
    </row>
    <row r="2566" spans="5:28" x14ac:dyDescent="0.35">
      <c r="E2566">
        <v>2557</v>
      </c>
      <c r="F2566" t="e">
        <f>INDEX(Stammdaten[D Mitte mit Rinde (mm)],MATCH(Tabelle8[[#This Row],[Rank]],Stammdaten[Rank Verteilung D Mitte mit Rinde],0))</f>
        <v>#N/A</v>
      </c>
      <c r="G2566" t="e">
        <f>VLOOKUP(Tabelle8[[#This Row],[Rank]],Stammdaten[[Rank Verteilung D Mitte mit Rinde]:[Verteilung D Mitte mit Rinde]],2,FALSE)</f>
        <v>#N/A</v>
      </c>
      <c r="L2566">
        <v>2557</v>
      </c>
      <c r="M2566" t="e">
        <f>INDEX(Stammdaten[Abholzigkeit (mm/lfm)],MATCH(Tabelle9[[#This Row],[Rank]],Stammdaten[Rank Verteilung Abholzigkeit],0))</f>
        <v>#N/A</v>
      </c>
      <c r="N2566" t="e">
        <f>VLOOKUP(Tabelle9[[#This Row],[Rank]],Stammdaten[[Rank Verteilung Abholzigkeit]:[Verteilung Abholzigkeit]],2,FALSE)</f>
        <v>#N/A</v>
      </c>
      <c r="S2566">
        <v>2557</v>
      </c>
      <c r="T2566" t="e">
        <f>INDEX(Stammdaten[Krümmung (mm/lfm)],MATCH(Tabelle10[[#This Row],[Rank]],Stammdaten[Rank Verteilung Krümmung],0))</f>
        <v>#N/A</v>
      </c>
      <c r="U2566" t="e">
        <f>VLOOKUP(Tabelle10[[#This Row],[Rank]],Stammdaten[[Rank Verteilung Krümmung]:[Verteilung Krümmung]],2,FALSE)</f>
        <v>#N/A</v>
      </c>
      <c r="Z2566">
        <v>2557</v>
      </c>
      <c r="AA2566" t="e">
        <f>INDEX(Stammdaten[Ovalität (']0,1'])],MATCH(Tabelle1014[[#This Row],[Rank]],Stammdaten[Rank Verteilung Ovalität],0))</f>
        <v>#N/A</v>
      </c>
      <c r="AB2566" t="e">
        <f>VLOOKUP(Tabelle1014[[#This Row],[Rank]],Stammdaten[[Rank Verteilung Ovalität]:[Verteilung Ovalität]],2,FALSE)</f>
        <v>#N/A</v>
      </c>
    </row>
    <row r="2567" spans="5:28" x14ac:dyDescent="0.35">
      <c r="E2567">
        <v>2558</v>
      </c>
      <c r="F2567" t="e">
        <f>INDEX(Stammdaten[D Mitte mit Rinde (mm)],MATCH(Tabelle8[[#This Row],[Rank]],Stammdaten[Rank Verteilung D Mitte mit Rinde],0))</f>
        <v>#N/A</v>
      </c>
      <c r="G2567" t="e">
        <f>VLOOKUP(Tabelle8[[#This Row],[Rank]],Stammdaten[[Rank Verteilung D Mitte mit Rinde]:[Verteilung D Mitte mit Rinde]],2,FALSE)</f>
        <v>#N/A</v>
      </c>
      <c r="L2567">
        <v>2558</v>
      </c>
      <c r="M2567" t="e">
        <f>INDEX(Stammdaten[Abholzigkeit (mm/lfm)],MATCH(Tabelle9[[#This Row],[Rank]],Stammdaten[Rank Verteilung Abholzigkeit],0))</f>
        <v>#N/A</v>
      </c>
      <c r="N2567" t="e">
        <f>VLOOKUP(Tabelle9[[#This Row],[Rank]],Stammdaten[[Rank Verteilung Abholzigkeit]:[Verteilung Abholzigkeit]],2,FALSE)</f>
        <v>#N/A</v>
      </c>
      <c r="S2567">
        <v>2558</v>
      </c>
      <c r="T2567" t="e">
        <f>INDEX(Stammdaten[Krümmung (mm/lfm)],MATCH(Tabelle10[[#This Row],[Rank]],Stammdaten[Rank Verteilung Krümmung],0))</f>
        <v>#N/A</v>
      </c>
      <c r="U2567" t="e">
        <f>VLOOKUP(Tabelle10[[#This Row],[Rank]],Stammdaten[[Rank Verteilung Krümmung]:[Verteilung Krümmung]],2,FALSE)</f>
        <v>#N/A</v>
      </c>
      <c r="Z2567">
        <v>2558</v>
      </c>
      <c r="AA2567" t="e">
        <f>INDEX(Stammdaten[Ovalität (']0,1'])],MATCH(Tabelle1014[[#This Row],[Rank]],Stammdaten[Rank Verteilung Ovalität],0))</f>
        <v>#N/A</v>
      </c>
      <c r="AB2567" t="e">
        <f>VLOOKUP(Tabelle1014[[#This Row],[Rank]],Stammdaten[[Rank Verteilung Ovalität]:[Verteilung Ovalität]],2,FALSE)</f>
        <v>#N/A</v>
      </c>
    </row>
    <row r="2568" spans="5:28" x14ac:dyDescent="0.35">
      <c r="E2568">
        <v>2559</v>
      </c>
      <c r="F2568" t="e">
        <f>INDEX(Stammdaten[D Mitte mit Rinde (mm)],MATCH(Tabelle8[[#This Row],[Rank]],Stammdaten[Rank Verteilung D Mitte mit Rinde],0))</f>
        <v>#N/A</v>
      </c>
      <c r="G2568" t="e">
        <f>VLOOKUP(Tabelle8[[#This Row],[Rank]],Stammdaten[[Rank Verteilung D Mitte mit Rinde]:[Verteilung D Mitte mit Rinde]],2,FALSE)</f>
        <v>#N/A</v>
      </c>
      <c r="L2568">
        <v>2559</v>
      </c>
      <c r="M2568" t="e">
        <f>INDEX(Stammdaten[Abholzigkeit (mm/lfm)],MATCH(Tabelle9[[#This Row],[Rank]],Stammdaten[Rank Verteilung Abholzigkeit],0))</f>
        <v>#N/A</v>
      </c>
      <c r="N2568" t="e">
        <f>VLOOKUP(Tabelle9[[#This Row],[Rank]],Stammdaten[[Rank Verteilung Abholzigkeit]:[Verteilung Abholzigkeit]],2,FALSE)</f>
        <v>#N/A</v>
      </c>
      <c r="S2568">
        <v>2559</v>
      </c>
      <c r="T2568" t="e">
        <f>INDEX(Stammdaten[Krümmung (mm/lfm)],MATCH(Tabelle10[[#This Row],[Rank]],Stammdaten[Rank Verteilung Krümmung],0))</f>
        <v>#N/A</v>
      </c>
      <c r="U2568" t="e">
        <f>VLOOKUP(Tabelle10[[#This Row],[Rank]],Stammdaten[[Rank Verteilung Krümmung]:[Verteilung Krümmung]],2,FALSE)</f>
        <v>#N/A</v>
      </c>
      <c r="Z2568">
        <v>2559</v>
      </c>
      <c r="AA2568" t="e">
        <f>INDEX(Stammdaten[Ovalität (']0,1'])],MATCH(Tabelle1014[[#This Row],[Rank]],Stammdaten[Rank Verteilung Ovalität],0))</f>
        <v>#N/A</v>
      </c>
      <c r="AB2568" t="e">
        <f>VLOOKUP(Tabelle1014[[#This Row],[Rank]],Stammdaten[[Rank Verteilung Ovalität]:[Verteilung Ovalität]],2,FALSE)</f>
        <v>#N/A</v>
      </c>
    </row>
    <row r="2569" spans="5:28" x14ac:dyDescent="0.35">
      <c r="E2569">
        <v>2560</v>
      </c>
      <c r="F2569" t="e">
        <f>INDEX(Stammdaten[D Mitte mit Rinde (mm)],MATCH(Tabelle8[[#This Row],[Rank]],Stammdaten[Rank Verteilung D Mitte mit Rinde],0))</f>
        <v>#N/A</v>
      </c>
      <c r="G2569" t="e">
        <f>VLOOKUP(Tabelle8[[#This Row],[Rank]],Stammdaten[[Rank Verteilung D Mitte mit Rinde]:[Verteilung D Mitte mit Rinde]],2,FALSE)</f>
        <v>#N/A</v>
      </c>
      <c r="L2569">
        <v>2560</v>
      </c>
      <c r="M2569" t="e">
        <f>INDEX(Stammdaten[Abholzigkeit (mm/lfm)],MATCH(Tabelle9[[#This Row],[Rank]],Stammdaten[Rank Verteilung Abholzigkeit],0))</f>
        <v>#N/A</v>
      </c>
      <c r="N2569" t="e">
        <f>VLOOKUP(Tabelle9[[#This Row],[Rank]],Stammdaten[[Rank Verteilung Abholzigkeit]:[Verteilung Abholzigkeit]],2,FALSE)</f>
        <v>#N/A</v>
      </c>
      <c r="S2569">
        <v>2560</v>
      </c>
      <c r="T2569" t="e">
        <f>INDEX(Stammdaten[Krümmung (mm/lfm)],MATCH(Tabelle10[[#This Row],[Rank]],Stammdaten[Rank Verteilung Krümmung],0))</f>
        <v>#N/A</v>
      </c>
      <c r="U2569" t="e">
        <f>VLOOKUP(Tabelle10[[#This Row],[Rank]],Stammdaten[[Rank Verteilung Krümmung]:[Verteilung Krümmung]],2,FALSE)</f>
        <v>#N/A</v>
      </c>
      <c r="Z2569">
        <v>2560</v>
      </c>
      <c r="AA2569" t="e">
        <f>INDEX(Stammdaten[Ovalität (']0,1'])],MATCH(Tabelle1014[[#This Row],[Rank]],Stammdaten[Rank Verteilung Ovalität],0))</f>
        <v>#N/A</v>
      </c>
      <c r="AB2569" t="e">
        <f>VLOOKUP(Tabelle1014[[#This Row],[Rank]],Stammdaten[[Rank Verteilung Ovalität]:[Verteilung Ovalität]],2,FALSE)</f>
        <v>#N/A</v>
      </c>
    </row>
    <row r="2570" spans="5:28" x14ac:dyDescent="0.35">
      <c r="E2570">
        <v>2561</v>
      </c>
      <c r="F2570" t="e">
        <f>INDEX(Stammdaten[D Mitte mit Rinde (mm)],MATCH(Tabelle8[[#This Row],[Rank]],Stammdaten[Rank Verteilung D Mitte mit Rinde],0))</f>
        <v>#N/A</v>
      </c>
      <c r="G2570" t="e">
        <f>VLOOKUP(Tabelle8[[#This Row],[Rank]],Stammdaten[[Rank Verteilung D Mitte mit Rinde]:[Verteilung D Mitte mit Rinde]],2,FALSE)</f>
        <v>#N/A</v>
      </c>
      <c r="L2570">
        <v>2561</v>
      </c>
      <c r="M2570" t="e">
        <f>INDEX(Stammdaten[Abholzigkeit (mm/lfm)],MATCH(Tabelle9[[#This Row],[Rank]],Stammdaten[Rank Verteilung Abholzigkeit],0))</f>
        <v>#N/A</v>
      </c>
      <c r="N2570" t="e">
        <f>VLOOKUP(Tabelle9[[#This Row],[Rank]],Stammdaten[[Rank Verteilung Abholzigkeit]:[Verteilung Abholzigkeit]],2,FALSE)</f>
        <v>#N/A</v>
      </c>
      <c r="S2570">
        <v>2561</v>
      </c>
      <c r="T2570" t="e">
        <f>INDEX(Stammdaten[Krümmung (mm/lfm)],MATCH(Tabelle10[[#This Row],[Rank]],Stammdaten[Rank Verteilung Krümmung],0))</f>
        <v>#N/A</v>
      </c>
      <c r="U2570" t="e">
        <f>VLOOKUP(Tabelle10[[#This Row],[Rank]],Stammdaten[[Rank Verteilung Krümmung]:[Verteilung Krümmung]],2,FALSE)</f>
        <v>#N/A</v>
      </c>
      <c r="Z2570">
        <v>2561</v>
      </c>
      <c r="AA2570" t="e">
        <f>INDEX(Stammdaten[Ovalität (']0,1'])],MATCH(Tabelle1014[[#This Row],[Rank]],Stammdaten[Rank Verteilung Ovalität],0))</f>
        <v>#N/A</v>
      </c>
      <c r="AB2570" t="e">
        <f>VLOOKUP(Tabelle1014[[#This Row],[Rank]],Stammdaten[[Rank Verteilung Ovalität]:[Verteilung Ovalität]],2,FALSE)</f>
        <v>#N/A</v>
      </c>
    </row>
    <row r="2571" spans="5:28" x14ac:dyDescent="0.35">
      <c r="E2571">
        <v>2562</v>
      </c>
      <c r="F2571" t="e">
        <f>INDEX(Stammdaten[D Mitte mit Rinde (mm)],MATCH(Tabelle8[[#This Row],[Rank]],Stammdaten[Rank Verteilung D Mitte mit Rinde],0))</f>
        <v>#N/A</v>
      </c>
      <c r="G2571" t="e">
        <f>VLOOKUP(Tabelle8[[#This Row],[Rank]],Stammdaten[[Rank Verteilung D Mitte mit Rinde]:[Verteilung D Mitte mit Rinde]],2,FALSE)</f>
        <v>#N/A</v>
      </c>
      <c r="L2571">
        <v>2562</v>
      </c>
      <c r="M2571" t="e">
        <f>INDEX(Stammdaten[Abholzigkeit (mm/lfm)],MATCH(Tabelle9[[#This Row],[Rank]],Stammdaten[Rank Verteilung Abholzigkeit],0))</f>
        <v>#N/A</v>
      </c>
      <c r="N2571" t="e">
        <f>VLOOKUP(Tabelle9[[#This Row],[Rank]],Stammdaten[[Rank Verteilung Abholzigkeit]:[Verteilung Abholzigkeit]],2,FALSE)</f>
        <v>#N/A</v>
      </c>
      <c r="S2571">
        <v>2562</v>
      </c>
      <c r="T2571" t="e">
        <f>INDEX(Stammdaten[Krümmung (mm/lfm)],MATCH(Tabelle10[[#This Row],[Rank]],Stammdaten[Rank Verteilung Krümmung],0))</f>
        <v>#N/A</v>
      </c>
      <c r="U2571" t="e">
        <f>VLOOKUP(Tabelle10[[#This Row],[Rank]],Stammdaten[[Rank Verteilung Krümmung]:[Verteilung Krümmung]],2,FALSE)</f>
        <v>#N/A</v>
      </c>
      <c r="Z2571">
        <v>2562</v>
      </c>
      <c r="AA2571" t="e">
        <f>INDEX(Stammdaten[Ovalität (']0,1'])],MATCH(Tabelle1014[[#This Row],[Rank]],Stammdaten[Rank Verteilung Ovalität],0))</f>
        <v>#N/A</v>
      </c>
      <c r="AB2571" t="e">
        <f>VLOOKUP(Tabelle1014[[#This Row],[Rank]],Stammdaten[[Rank Verteilung Ovalität]:[Verteilung Ovalität]],2,FALSE)</f>
        <v>#N/A</v>
      </c>
    </row>
    <row r="2572" spans="5:28" x14ac:dyDescent="0.35">
      <c r="E2572">
        <v>2563</v>
      </c>
      <c r="F2572" t="e">
        <f>INDEX(Stammdaten[D Mitte mit Rinde (mm)],MATCH(Tabelle8[[#This Row],[Rank]],Stammdaten[Rank Verteilung D Mitte mit Rinde],0))</f>
        <v>#N/A</v>
      </c>
      <c r="G2572" t="e">
        <f>VLOOKUP(Tabelle8[[#This Row],[Rank]],Stammdaten[[Rank Verteilung D Mitte mit Rinde]:[Verteilung D Mitte mit Rinde]],2,FALSE)</f>
        <v>#N/A</v>
      </c>
      <c r="L2572">
        <v>2563</v>
      </c>
      <c r="M2572" t="e">
        <f>INDEX(Stammdaten[Abholzigkeit (mm/lfm)],MATCH(Tabelle9[[#This Row],[Rank]],Stammdaten[Rank Verteilung Abholzigkeit],0))</f>
        <v>#N/A</v>
      </c>
      <c r="N2572" t="e">
        <f>VLOOKUP(Tabelle9[[#This Row],[Rank]],Stammdaten[[Rank Verteilung Abholzigkeit]:[Verteilung Abholzigkeit]],2,FALSE)</f>
        <v>#N/A</v>
      </c>
      <c r="S2572">
        <v>2563</v>
      </c>
      <c r="T2572" t="e">
        <f>INDEX(Stammdaten[Krümmung (mm/lfm)],MATCH(Tabelle10[[#This Row],[Rank]],Stammdaten[Rank Verteilung Krümmung],0))</f>
        <v>#N/A</v>
      </c>
      <c r="U2572" t="e">
        <f>VLOOKUP(Tabelle10[[#This Row],[Rank]],Stammdaten[[Rank Verteilung Krümmung]:[Verteilung Krümmung]],2,FALSE)</f>
        <v>#N/A</v>
      </c>
      <c r="Z2572">
        <v>2563</v>
      </c>
      <c r="AA2572" t="e">
        <f>INDEX(Stammdaten[Ovalität (']0,1'])],MATCH(Tabelle1014[[#This Row],[Rank]],Stammdaten[Rank Verteilung Ovalität],0))</f>
        <v>#N/A</v>
      </c>
      <c r="AB2572" t="e">
        <f>VLOOKUP(Tabelle1014[[#This Row],[Rank]],Stammdaten[[Rank Verteilung Ovalität]:[Verteilung Ovalität]],2,FALSE)</f>
        <v>#N/A</v>
      </c>
    </row>
    <row r="2573" spans="5:28" x14ac:dyDescent="0.35">
      <c r="E2573">
        <v>2564</v>
      </c>
      <c r="F2573" t="e">
        <f>INDEX(Stammdaten[D Mitte mit Rinde (mm)],MATCH(Tabelle8[[#This Row],[Rank]],Stammdaten[Rank Verteilung D Mitte mit Rinde],0))</f>
        <v>#N/A</v>
      </c>
      <c r="G2573" t="e">
        <f>VLOOKUP(Tabelle8[[#This Row],[Rank]],Stammdaten[[Rank Verteilung D Mitte mit Rinde]:[Verteilung D Mitte mit Rinde]],2,FALSE)</f>
        <v>#N/A</v>
      </c>
      <c r="L2573">
        <v>2564</v>
      </c>
      <c r="M2573" t="e">
        <f>INDEX(Stammdaten[Abholzigkeit (mm/lfm)],MATCH(Tabelle9[[#This Row],[Rank]],Stammdaten[Rank Verteilung Abholzigkeit],0))</f>
        <v>#N/A</v>
      </c>
      <c r="N2573" t="e">
        <f>VLOOKUP(Tabelle9[[#This Row],[Rank]],Stammdaten[[Rank Verteilung Abholzigkeit]:[Verteilung Abholzigkeit]],2,FALSE)</f>
        <v>#N/A</v>
      </c>
      <c r="S2573">
        <v>2564</v>
      </c>
      <c r="T2573" t="e">
        <f>INDEX(Stammdaten[Krümmung (mm/lfm)],MATCH(Tabelle10[[#This Row],[Rank]],Stammdaten[Rank Verteilung Krümmung],0))</f>
        <v>#N/A</v>
      </c>
      <c r="U2573" t="e">
        <f>VLOOKUP(Tabelle10[[#This Row],[Rank]],Stammdaten[[Rank Verteilung Krümmung]:[Verteilung Krümmung]],2,FALSE)</f>
        <v>#N/A</v>
      </c>
      <c r="Z2573">
        <v>2564</v>
      </c>
      <c r="AA2573" t="e">
        <f>INDEX(Stammdaten[Ovalität (']0,1'])],MATCH(Tabelle1014[[#This Row],[Rank]],Stammdaten[Rank Verteilung Ovalität],0))</f>
        <v>#N/A</v>
      </c>
      <c r="AB2573" t="e">
        <f>VLOOKUP(Tabelle1014[[#This Row],[Rank]],Stammdaten[[Rank Verteilung Ovalität]:[Verteilung Ovalität]],2,FALSE)</f>
        <v>#N/A</v>
      </c>
    </row>
    <row r="2574" spans="5:28" x14ac:dyDescent="0.35">
      <c r="E2574">
        <v>2565</v>
      </c>
      <c r="F2574" t="e">
        <f>INDEX(Stammdaten[D Mitte mit Rinde (mm)],MATCH(Tabelle8[[#This Row],[Rank]],Stammdaten[Rank Verteilung D Mitte mit Rinde],0))</f>
        <v>#N/A</v>
      </c>
      <c r="G2574" t="e">
        <f>VLOOKUP(Tabelle8[[#This Row],[Rank]],Stammdaten[[Rank Verteilung D Mitte mit Rinde]:[Verteilung D Mitte mit Rinde]],2,FALSE)</f>
        <v>#N/A</v>
      </c>
      <c r="L2574">
        <v>2565</v>
      </c>
      <c r="M2574" t="e">
        <f>INDEX(Stammdaten[Abholzigkeit (mm/lfm)],MATCH(Tabelle9[[#This Row],[Rank]],Stammdaten[Rank Verteilung Abholzigkeit],0))</f>
        <v>#N/A</v>
      </c>
      <c r="N2574" t="e">
        <f>VLOOKUP(Tabelle9[[#This Row],[Rank]],Stammdaten[[Rank Verteilung Abholzigkeit]:[Verteilung Abholzigkeit]],2,FALSE)</f>
        <v>#N/A</v>
      </c>
      <c r="S2574">
        <v>2565</v>
      </c>
      <c r="T2574" t="e">
        <f>INDEX(Stammdaten[Krümmung (mm/lfm)],MATCH(Tabelle10[[#This Row],[Rank]],Stammdaten[Rank Verteilung Krümmung],0))</f>
        <v>#N/A</v>
      </c>
      <c r="U2574" t="e">
        <f>VLOOKUP(Tabelle10[[#This Row],[Rank]],Stammdaten[[Rank Verteilung Krümmung]:[Verteilung Krümmung]],2,FALSE)</f>
        <v>#N/A</v>
      </c>
      <c r="Z2574">
        <v>2565</v>
      </c>
      <c r="AA2574" t="e">
        <f>INDEX(Stammdaten[Ovalität (']0,1'])],MATCH(Tabelle1014[[#This Row],[Rank]],Stammdaten[Rank Verteilung Ovalität],0))</f>
        <v>#N/A</v>
      </c>
      <c r="AB2574" t="e">
        <f>VLOOKUP(Tabelle1014[[#This Row],[Rank]],Stammdaten[[Rank Verteilung Ovalität]:[Verteilung Ovalität]],2,FALSE)</f>
        <v>#N/A</v>
      </c>
    </row>
    <row r="2575" spans="5:28" x14ac:dyDescent="0.35">
      <c r="E2575">
        <v>2566</v>
      </c>
      <c r="F2575" t="e">
        <f>INDEX(Stammdaten[D Mitte mit Rinde (mm)],MATCH(Tabelle8[[#This Row],[Rank]],Stammdaten[Rank Verteilung D Mitte mit Rinde],0))</f>
        <v>#N/A</v>
      </c>
      <c r="G2575" t="e">
        <f>VLOOKUP(Tabelle8[[#This Row],[Rank]],Stammdaten[[Rank Verteilung D Mitte mit Rinde]:[Verteilung D Mitte mit Rinde]],2,FALSE)</f>
        <v>#N/A</v>
      </c>
      <c r="L2575">
        <v>2566</v>
      </c>
      <c r="M2575" t="e">
        <f>INDEX(Stammdaten[Abholzigkeit (mm/lfm)],MATCH(Tabelle9[[#This Row],[Rank]],Stammdaten[Rank Verteilung Abholzigkeit],0))</f>
        <v>#N/A</v>
      </c>
      <c r="N2575" t="e">
        <f>VLOOKUP(Tabelle9[[#This Row],[Rank]],Stammdaten[[Rank Verteilung Abholzigkeit]:[Verteilung Abholzigkeit]],2,FALSE)</f>
        <v>#N/A</v>
      </c>
      <c r="S2575">
        <v>2566</v>
      </c>
      <c r="T2575" t="e">
        <f>INDEX(Stammdaten[Krümmung (mm/lfm)],MATCH(Tabelle10[[#This Row],[Rank]],Stammdaten[Rank Verteilung Krümmung],0))</f>
        <v>#N/A</v>
      </c>
      <c r="U2575" t="e">
        <f>VLOOKUP(Tabelle10[[#This Row],[Rank]],Stammdaten[[Rank Verteilung Krümmung]:[Verteilung Krümmung]],2,FALSE)</f>
        <v>#N/A</v>
      </c>
      <c r="Z2575">
        <v>2566</v>
      </c>
      <c r="AA2575" t="e">
        <f>INDEX(Stammdaten[Ovalität (']0,1'])],MATCH(Tabelle1014[[#This Row],[Rank]],Stammdaten[Rank Verteilung Ovalität],0))</f>
        <v>#N/A</v>
      </c>
      <c r="AB2575" t="e">
        <f>VLOOKUP(Tabelle1014[[#This Row],[Rank]],Stammdaten[[Rank Verteilung Ovalität]:[Verteilung Ovalität]],2,FALSE)</f>
        <v>#N/A</v>
      </c>
    </row>
    <row r="2576" spans="5:28" x14ac:dyDescent="0.35">
      <c r="E2576">
        <v>2567</v>
      </c>
      <c r="F2576" t="e">
        <f>INDEX(Stammdaten[D Mitte mit Rinde (mm)],MATCH(Tabelle8[[#This Row],[Rank]],Stammdaten[Rank Verteilung D Mitte mit Rinde],0))</f>
        <v>#N/A</v>
      </c>
      <c r="G2576" t="e">
        <f>VLOOKUP(Tabelle8[[#This Row],[Rank]],Stammdaten[[Rank Verteilung D Mitte mit Rinde]:[Verteilung D Mitte mit Rinde]],2,FALSE)</f>
        <v>#N/A</v>
      </c>
      <c r="L2576">
        <v>2567</v>
      </c>
      <c r="M2576" t="e">
        <f>INDEX(Stammdaten[Abholzigkeit (mm/lfm)],MATCH(Tabelle9[[#This Row],[Rank]],Stammdaten[Rank Verteilung Abholzigkeit],0))</f>
        <v>#N/A</v>
      </c>
      <c r="N2576" t="e">
        <f>VLOOKUP(Tabelle9[[#This Row],[Rank]],Stammdaten[[Rank Verteilung Abholzigkeit]:[Verteilung Abholzigkeit]],2,FALSE)</f>
        <v>#N/A</v>
      </c>
      <c r="S2576">
        <v>2567</v>
      </c>
      <c r="T2576" t="e">
        <f>INDEX(Stammdaten[Krümmung (mm/lfm)],MATCH(Tabelle10[[#This Row],[Rank]],Stammdaten[Rank Verteilung Krümmung],0))</f>
        <v>#N/A</v>
      </c>
      <c r="U2576" t="e">
        <f>VLOOKUP(Tabelle10[[#This Row],[Rank]],Stammdaten[[Rank Verteilung Krümmung]:[Verteilung Krümmung]],2,FALSE)</f>
        <v>#N/A</v>
      </c>
      <c r="Z2576">
        <v>2567</v>
      </c>
      <c r="AA2576" t="e">
        <f>INDEX(Stammdaten[Ovalität (']0,1'])],MATCH(Tabelle1014[[#This Row],[Rank]],Stammdaten[Rank Verteilung Ovalität],0))</f>
        <v>#N/A</v>
      </c>
      <c r="AB2576" t="e">
        <f>VLOOKUP(Tabelle1014[[#This Row],[Rank]],Stammdaten[[Rank Verteilung Ovalität]:[Verteilung Ovalität]],2,FALSE)</f>
        <v>#N/A</v>
      </c>
    </row>
    <row r="2577" spans="5:28" x14ac:dyDescent="0.35">
      <c r="E2577">
        <v>2568</v>
      </c>
      <c r="F2577" t="e">
        <f>INDEX(Stammdaten[D Mitte mit Rinde (mm)],MATCH(Tabelle8[[#This Row],[Rank]],Stammdaten[Rank Verteilung D Mitte mit Rinde],0))</f>
        <v>#N/A</v>
      </c>
      <c r="G2577" t="e">
        <f>VLOOKUP(Tabelle8[[#This Row],[Rank]],Stammdaten[[Rank Verteilung D Mitte mit Rinde]:[Verteilung D Mitte mit Rinde]],2,FALSE)</f>
        <v>#N/A</v>
      </c>
      <c r="L2577">
        <v>2568</v>
      </c>
      <c r="M2577" t="e">
        <f>INDEX(Stammdaten[Abholzigkeit (mm/lfm)],MATCH(Tabelle9[[#This Row],[Rank]],Stammdaten[Rank Verteilung Abholzigkeit],0))</f>
        <v>#N/A</v>
      </c>
      <c r="N2577" t="e">
        <f>VLOOKUP(Tabelle9[[#This Row],[Rank]],Stammdaten[[Rank Verteilung Abholzigkeit]:[Verteilung Abholzigkeit]],2,FALSE)</f>
        <v>#N/A</v>
      </c>
      <c r="S2577">
        <v>2568</v>
      </c>
      <c r="T2577" t="e">
        <f>INDEX(Stammdaten[Krümmung (mm/lfm)],MATCH(Tabelle10[[#This Row],[Rank]],Stammdaten[Rank Verteilung Krümmung],0))</f>
        <v>#N/A</v>
      </c>
      <c r="U2577" t="e">
        <f>VLOOKUP(Tabelle10[[#This Row],[Rank]],Stammdaten[[Rank Verteilung Krümmung]:[Verteilung Krümmung]],2,FALSE)</f>
        <v>#N/A</v>
      </c>
      <c r="Z2577">
        <v>2568</v>
      </c>
      <c r="AA2577" t="e">
        <f>INDEX(Stammdaten[Ovalität (']0,1'])],MATCH(Tabelle1014[[#This Row],[Rank]],Stammdaten[Rank Verteilung Ovalität],0))</f>
        <v>#N/A</v>
      </c>
      <c r="AB2577" t="e">
        <f>VLOOKUP(Tabelle1014[[#This Row],[Rank]],Stammdaten[[Rank Verteilung Ovalität]:[Verteilung Ovalität]],2,FALSE)</f>
        <v>#N/A</v>
      </c>
    </row>
    <row r="2578" spans="5:28" x14ac:dyDescent="0.35">
      <c r="E2578">
        <v>2569</v>
      </c>
      <c r="F2578" t="e">
        <f>INDEX(Stammdaten[D Mitte mit Rinde (mm)],MATCH(Tabelle8[[#This Row],[Rank]],Stammdaten[Rank Verteilung D Mitte mit Rinde],0))</f>
        <v>#N/A</v>
      </c>
      <c r="G2578" t="e">
        <f>VLOOKUP(Tabelle8[[#This Row],[Rank]],Stammdaten[[Rank Verteilung D Mitte mit Rinde]:[Verteilung D Mitte mit Rinde]],2,FALSE)</f>
        <v>#N/A</v>
      </c>
      <c r="L2578">
        <v>2569</v>
      </c>
      <c r="M2578" t="e">
        <f>INDEX(Stammdaten[Abholzigkeit (mm/lfm)],MATCH(Tabelle9[[#This Row],[Rank]],Stammdaten[Rank Verteilung Abholzigkeit],0))</f>
        <v>#N/A</v>
      </c>
      <c r="N2578" t="e">
        <f>VLOOKUP(Tabelle9[[#This Row],[Rank]],Stammdaten[[Rank Verteilung Abholzigkeit]:[Verteilung Abholzigkeit]],2,FALSE)</f>
        <v>#N/A</v>
      </c>
      <c r="S2578">
        <v>2569</v>
      </c>
      <c r="T2578" t="e">
        <f>INDEX(Stammdaten[Krümmung (mm/lfm)],MATCH(Tabelle10[[#This Row],[Rank]],Stammdaten[Rank Verteilung Krümmung],0))</f>
        <v>#N/A</v>
      </c>
      <c r="U2578" t="e">
        <f>VLOOKUP(Tabelle10[[#This Row],[Rank]],Stammdaten[[Rank Verteilung Krümmung]:[Verteilung Krümmung]],2,FALSE)</f>
        <v>#N/A</v>
      </c>
      <c r="Z2578">
        <v>2569</v>
      </c>
      <c r="AA2578" t="e">
        <f>INDEX(Stammdaten[Ovalität (']0,1'])],MATCH(Tabelle1014[[#This Row],[Rank]],Stammdaten[Rank Verteilung Ovalität],0))</f>
        <v>#N/A</v>
      </c>
      <c r="AB2578" t="e">
        <f>VLOOKUP(Tabelle1014[[#This Row],[Rank]],Stammdaten[[Rank Verteilung Ovalität]:[Verteilung Ovalität]],2,FALSE)</f>
        <v>#N/A</v>
      </c>
    </row>
    <row r="2579" spans="5:28" x14ac:dyDescent="0.35">
      <c r="E2579">
        <v>2570</v>
      </c>
      <c r="F2579" t="e">
        <f>INDEX(Stammdaten[D Mitte mit Rinde (mm)],MATCH(Tabelle8[[#This Row],[Rank]],Stammdaten[Rank Verteilung D Mitte mit Rinde],0))</f>
        <v>#N/A</v>
      </c>
      <c r="G2579" t="e">
        <f>VLOOKUP(Tabelle8[[#This Row],[Rank]],Stammdaten[[Rank Verteilung D Mitte mit Rinde]:[Verteilung D Mitte mit Rinde]],2,FALSE)</f>
        <v>#N/A</v>
      </c>
      <c r="L2579">
        <v>2570</v>
      </c>
      <c r="M2579" t="e">
        <f>INDEX(Stammdaten[Abholzigkeit (mm/lfm)],MATCH(Tabelle9[[#This Row],[Rank]],Stammdaten[Rank Verteilung Abholzigkeit],0))</f>
        <v>#N/A</v>
      </c>
      <c r="N2579" t="e">
        <f>VLOOKUP(Tabelle9[[#This Row],[Rank]],Stammdaten[[Rank Verteilung Abholzigkeit]:[Verteilung Abholzigkeit]],2,FALSE)</f>
        <v>#N/A</v>
      </c>
      <c r="S2579">
        <v>2570</v>
      </c>
      <c r="T2579" t="e">
        <f>INDEX(Stammdaten[Krümmung (mm/lfm)],MATCH(Tabelle10[[#This Row],[Rank]],Stammdaten[Rank Verteilung Krümmung],0))</f>
        <v>#N/A</v>
      </c>
      <c r="U2579" t="e">
        <f>VLOOKUP(Tabelle10[[#This Row],[Rank]],Stammdaten[[Rank Verteilung Krümmung]:[Verteilung Krümmung]],2,FALSE)</f>
        <v>#N/A</v>
      </c>
      <c r="Z2579">
        <v>2570</v>
      </c>
      <c r="AA2579" t="e">
        <f>INDEX(Stammdaten[Ovalität (']0,1'])],MATCH(Tabelle1014[[#This Row],[Rank]],Stammdaten[Rank Verteilung Ovalität],0))</f>
        <v>#N/A</v>
      </c>
      <c r="AB2579" t="e">
        <f>VLOOKUP(Tabelle1014[[#This Row],[Rank]],Stammdaten[[Rank Verteilung Ovalität]:[Verteilung Ovalität]],2,FALSE)</f>
        <v>#N/A</v>
      </c>
    </row>
    <row r="2580" spans="5:28" x14ac:dyDescent="0.35">
      <c r="E2580">
        <v>2571</v>
      </c>
      <c r="F2580" t="e">
        <f>INDEX(Stammdaten[D Mitte mit Rinde (mm)],MATCH(Tabelle8[[#This Row],[Rank]],Stammdaten[Rank Verteilung D Mitte mit Rinde],0))</f>
        <v>#N/A</v>
      </c>
      <c r="G2580" t="e">
        <f>VLOOKUP(Tabelle8[[#This Row],[Rank]],Stammdaten[[Rank Verteilung D Mitte mit Rinde]:[Verteilung D Mitte mit Rinde]],2,FALSE)</f>
        <v>#N/A</v>
      </c>
      <c r="L2580">
        <v>2571</v>
      </c>
      <c r="M2580" t="e">
        <f>INDEX(Stammdaten[Abholzigkeit (mm/lfm)],MATCH(Tabelle9[[#This Row],[Rank]],Stammdaten[Rank Verteilung Abholzigkeit],0))</f>
        <v>#N/A</v>
      </c>
      <c r="N2580" t="e">
        <f>VLOOKUP(Tabelle9[[#This Row],[Rank]],Stammdaten[[Rank Verteilung Abholzigkeit]:[Verteilung Abholzigkeit]],2,FALSE)</f>
        <v>#N/A</v>
      </c>
      <c r="S2580">
        <v>2571</v>
      </c>
      <c r="T2580" t="e">
        <f>INDEX(Stammdaten[Krümmung (mm/lfm)],MATCH(Tabelle10[[#This Row],[Rank]],Stammdaten[Rank Verteilung Krümmung],0))</f>
        <v>#N/A</v>
      </c>
      <c r="U2580" t="e">
        <f>VLOOKUP(Tabelle10[[#This Row],[Rank]],Stammdaten[[Rank Verteilung Krümmung]:[Verteilung Krümmung]],2,FALSE)</f>
        <v>#N/A</v>
      </c>
      <c r="Z2580">
        <v>2571</v>
      </c>
      <c r="AA2580" t="e">
        <f>INDEX(Stammdaten[Ovalität (']0,1'])],MATCH(Tabelle1014[[#This Row],[Rank]],Stammdaten[Rank Verteilung Ovalität],0))</f>
        <v>#N/A</v>
      </c>
      <c r="AB2580" t="e">
        <f>VLOOKUP(Tabelle1014[[#This Row],[Rank]],Stammdaten[[Rank Verteilung Ovalität]:[Verteilung Ovalität]],2,FALSE)</f>
        <v>#N/A</v>
      </c>
    </row>
    <row r="2581" spans="5:28" x14ac:dyDescent="0.35">
      <c r="E2581">
        <v>2572</v>
      </c>
      <c r="F2581" t="e">
        <f>INDEX(Stammdaten[D Mitte mit Rinde (mm)],MATCH(Tabelle8[[#This Row],[Rank]],Stammdaten[Rank Verteilung D Mitte mit Rinde],0))</f>
        <v>#N/A</v>
      </c>
      <c r="G2581" t="e">
        <f>VLOOKUP(Tabelle8[[#This Row],[Rank]],Stammdaten[[Rank Verteilung D Mitte mit Rinde]:[Verteilung D Mitte mit Rinde]],2,FALSE)</f>
        <v>#N/A</v>
      </c>
      <c r="L2581">
        <v>2572</v>
      </c>
      <c r="M2581" t="e">
        <f>INDEX(Stammdaten[Abholzigkeit (mm/lfm)],MATCH(Tabelle9[[#This Row],[Rank]],Stammdaten[Rank Verteilung Abholzigkeit],0))</f>
        <v>#N/A</v>
      </c>
      <c r="N2581" t="e">
        <f>VLOOKUP(Tabelle9[[#This Row],[Rank]],Stammdaten[[Rank Verteilung Abholzigkeit]:[Verteilung Abholzigkeit]],2,FALSE)</f>
        <v>#N/A</v>
      </c>
      <c r="S2581">
        <v>2572</v>
      </c>
      <c r="T2581" t="e">
        <f>INDEX(Stammdaten[Krümmung (mm/lfm)],MATCH(Tabelle10[[#This Row],[Rank]],Stammdaten[Rank Verteilung Krümmung],0))</f>
        <v>#N/A</v>
      </c>
      <c r="U2581" t="e">
        <f>VLOOKUP(Tabelle10[[#This Row],[Rank]],Stammdaten[[Rank Verteilung Krümmung]:[Verteilung Krümmung]],2,FALSE)</f>
        <v>#N/A</v>
      </c>
      <c r="Z2581">
        <v>2572</v>
      </c>
      <c r="AA2581" t="e">
        <f>INDEX(Stammdaten[Ovalität (']0,1'])],MATCH(Tabelle1014[[#This Row],[Rank]],Stammdaten[Rank Verteilung Ovalität],0))</f>
        <v>#N/A</v>
      </c>
      <c r="AB2581" t="e">
        <f>VLOOKUP(Tabelle1014[[#This Row],[Rank]],Stammdaten[[Rank Verteilung Ovalität]:[Verteilung Ovalität]],2,FALSE)</f>
        <v>#N/A</v>
      </c>
    </row>
    <row r="2582" spans="5:28" x14ac:dyDescent="0.35">
      <c r="E2582">
        <v>2573</v>
      </c>
      <c r="F2582" t="e">
        <f>INDEX(Stammdaten[D Mitte mit Rinde (mm)],MATCH(Tabelle8[[#This Row],[Rank]],Stammdaten[Rank Verteilung D Mitte mit Rinde],0))</f>
        <v>#N/A</v>
      </c>
      <c r="G2582" t="e">
        <f>VLOOKUP(Tabelle8[[#This Row],[Rank]],Stammdaten[[Rank Verteilung D Mitte mit Rinde]:[Verteilung D Mitte mit Rinde]],2,FALSE)</f>
        <v>#N/A</v>
      </c>
      <c r="L2582">
        <v>2573</v>
      </c>
      <c r="M2582" t="e">
        <f>INDEX(Stammdaten[Abholzigkeit (mm/lfm)],MATCH(Tabelle9[[#This Row],[Rank]],Stammdaten[Rank Verteilung Abholzigkeit],0))</f>
        <v>#N/A</v>
      </c>
      <c r="N2582" t="e">
        <f>VLOOKUP(Tabelle9[[#This Row],[Rank]],Stammdaten[[Rank Verteilung Abholzigkeit]:[Verteilung Abholzigkeit]],2,FALSE)</f>
        <v>#N/A</v>
      </c>
      <c r="S2582">
        <v>2573</v>
      </c>
      <c r="T2582" t="e">
        <f>INDEX(Stammdaten[Krümmung (mm/lfm)],MATCH(Tabelle10[[#This Row],[Rank]],Stammdaten[Rank Verteilung Krümmung],0))</f>
        <v>#N/A</v>
      </c>
      <c r="U2582" t="e">
        <f>VLOOKUP(Tabelle10[[#This Row],[Rank]],Stammdaten[[Rank Verteilung Krümmung]:[Verteilung Krümmung]],2,FALSE)</f>
        <v>#N/A</v>
      </c>
      <c r="Z2582">
        <v>2573</v>
      </c>
      <c r="AA2582" t="e">
        <f>INDEX(Stammdaten[Ovalität (']0,1'])],MATCH(Tabelle1014[[#This Row],[Rank]],Stammdaten[Rank Verteilung Ovalität],0))</f>
        <v>#N/A</v>
      </c>
      <c r="AB2582" t="e">
        <f>VLOOKUP(Tabelle1014[[#This Row],[Rank]],Stammdaten[[Rank Verteilung Ovalität]:[Verteilung Ovalität]],2,FALSE)</f>
        <v>#N/A</v>
      </c>
    </row>
    <row r="2583" spans="5:28" x14ac:dyDescent="0.35">
      <c r="E2583">
        <v>2574</v>
      </c>
      <c r="F2583" t="e">
        <f>INDEX(Stammdaten[D Mitte mit Rinde (mm)],MATCH(Tabelle8[[#This Row],[Rank]],Stammdaten[Rank Verteilung D Mitte mit Rinde],0))</f>
        <v>#N/A</v>
      </c>
      <c r="G2583" t="e">
        <f>VLOOKUP(Tabelle8[[#This Row],[Rank]],Stammdaten[[Rank Verteilung D Mitte mit Rinde]:[Verteilung D Mitte mit Rinde]],2,FALSE)</f>
        <v>#N/A</v>
      </c>
      <c r="L2583">
        <v>2574</v>
      </c>
      <c r="M2583" t="e">
        <f>INDEX(Stammdaten[Abholzigkeit (mm/lfm)],MATCH(Tabelle9[[#This Row],[Rank]],Stammdaten[Rank Verteilung Abholzigkeit],0))</f>
        <v>#N/A</v>
      </c>
      <c r="N2583" t="e">
        <f>VLOOKUP(Tabelle9[[#This Row],[Rank]],Stammdaten[[Rank Verteilung Abholzigkeit]:[Verteilung Abholzigkeit]],2,FALSE)</f>
        <v>#N/A</v>
      </c>
      <c r="S2583">
        <v>2574</v>
      </c>
      <c r="T2583" t="e">
        <f>INDEX(Stammdaten[Krümmung (mm/lfm)],MATCH(Tabelle10[[#This Row],[Rank]],Stammdaten[Rank Verteilung Krümmung],0))</f>
        <v>#N/A</v>
      </c>
      <c r="U2583" t="e">
        <f>VLOOKUP(Tabelle10[[#This Row],[Rank]],Stammdaten[[Rank Verteilung Krümmung]:[Verteilung Krümmung]],2,FALSE)</f>
        <v>#N/A</v>
      </c>
      <c r="Z2583">
        <v>2574</v>
      </c>
      <c r="AA2583" t="e">
        <f>INDEX(Stammdaten[Ovalität (']0,1'])],MATCH(Tabelle1014[[#This Row],[Rank]],Stammdaten[Rank Verteilung Ovalität],0))</f>
        <v>#N/A</v>
      </c>
      <c r="AB2583" t="e">
        <f>VLOOKUP(Tabelle1014[[#This Row],[Rank]],Stammdaten[[Rank Verteilung Ovalität]:[Verteilung Ovalität]],2,FALSE)</f>
        <v>#N/A</v>
      </c>
    </row>
    <row r="2584" spans="5:28" x14ac:dyDescent="0.35">
      <c r="E2584">
        <v>2575</v>
      </c>
      <c r="F2584" t="e">
        <f>INDEX(Stammdaten[D Mitte mit Rinde (mm)],MATCH(Tabelle8[[#This Row],[Rank]],Stammdaten[Rank Verteilung D Mitte mit Rinde],0))</f>
        <v>#N/A</v>
      </c>
      <c r="G2584" t="e">
        <f>VLOOKUP(Tabelle8[[#This Row],[Rank]],Stammdaten[[Rank Verteilung D Mitte mit Rinde]:[Verteilung D Mitte mit Rinde]],2,FALSE)</f>
        <v>#N/A</v>
      </c>
      <c r="L2584">
        <v>2575</v>
      </c>
      <c r="M2584" t="e">
        <f>INDEX(Stammdaten[Abholzigkeit (mm/lfm)],MATCH(Tabelle9[[#This Row],[Rank]],Stammdaten[Rank Verteilung Abholzigkeit],0))</f>
        <v>#N/A</v>
      </c>
      <c r="N2584" t="e">
        <f>VLOOKUP(Tabelle9[[#This Row],[Rank]],Stammdaten[[Rank Verteilung Abholzigkeit]:[Verteilung Abholzigkeit]],2,FALSE)</f>
        <v>#N/A</v>
      </c>
      <c r="S2584">
        <v>2575</v>
      </c>
      <c r="T2584" t="e">
        <f>INDEX(Stammdaten[Krümmung (mm/lfm)],MATCH(Tabelle10[[#This Row],[Rank]],Stammdaten[Rank Verteilung Krümmung],0))</f>
        <v>#N/A</v>
      </c>
      <c r="U2584" t="e">
        <f>VLOOKUP(Tabelle10[[#This Row],[Rank]],Stammdaten[[Rank Verteilung Krümmung]:[Verteilung Krümmung]],2,FALSE)</f>
        <v>#N/A</v>
      </c>
      <c r="Z2584">
        <v>2575</v>
      </c>
      <c r="AA2584" t="e">
        <f>INDEX(Stammdaten[Ovalität (']0,1'])],MATCH(Tabelle1014[[#This Row],[Rank]],Stammdaten[Rank Verteilung Ovalität],0))</f>
        <v>#N/A</v>
      </c>
      <c r="AB2584" t="e">
        <f>VLOOKUP(Tabelle1014[[#This Row],[Rank]],Stammdaten[[Rank Verteilung Ovalität]:[Verteilung Ovalität]],2,FALSE)</f>
        <v>#N/A</v>
      </c>
    </row>
    <row r="2585" spans="5:28" x14ac:dyDescent="0.35">
      <c r="E2585">
        <v>2576</v>
      </c>
      <c r="F2585" t="e">
        <f>INDEX(Stammdaten[D Mitte mit Rinde (mm)],MATCH(Tabelle8[[#This Row],[Rank]],Stammdaten[Rank Verteilung D Mitte mit Rinde],0))</f>
        <v>#N/A</v>
      </c>
      <c r="G2585" t="e">
        <f>VLOOKUP(Tabelle8[[#This Row],[Rank]],Stammdaten[[Rank Verteilung D Mitte mit Rinde]:[Verteilung D Mitte mit Rinde]],2,FALSE)</f>
        <v>#N/A</v>
      </c>
      <c r="L2585">
        <v>2576</v>
      </c>
      <c r="M2585" t="e">
        <f>INDEX(Stammdaten[Abholzigkeit (mm/lfm)],MATCH(Tabelle9[[#This Row],[Rank]],Stammdaten[Rank Verteilung Abholzigkeit],0))</f>
        <v>#N/A</v>
      </c>
      <c r="N2585" t="e">
        <f>VLOOKUP(Tabelle9[[#This Row],[Rank]],Stammdaten[[Rank Verteilung Abholzigkeit]:[Verteilung Abholzigkeit]],2,FALSE)</f>
        <v>#N/A</v>
      </c>
      <c r="S2585">
        <v>2576</v>
      </c>
      <c r="T2585" t="e">
        <f>INDEX(Stammdaten[Krümmung (mm/lfm)],MATCH(Tabelle10[[#This Row],[Rank]],Stammdaten[Rank Verteilung Krümmung],0))</f>
        <v>#N/A</v>
      </c>
      <c r="U2585" t="e">
        <f>VLOOKUP(Tabelle10[[#This Row],[Rank]],Stammdaten[[Rank Verteilung Krümmung]:[Verteilung Krümmung]],2,FALSE)</f>
        <v>#N/A</v>
      </c>
      <c r="Z2585">
        <v>2576</v>
      </c>
      <c r="AA2585" t="e">
        <f>INDEX(Stammdaten[Ovalität (']0,1'])],MATCH(Tabelle1014[[#This Row],[Rank]],Stammdaten[Rank Verteilung Ovalität],0))</f>
        <v>#N/A</v>
      </c>
      <c r="AB2585" t="e">
        <f>VLOOKUP(Tabelle1014[[#This Row],[Rank]],Stammdaten[[Rank Verteilung Ovalität]:[Verteilung Ovalität]],2,FALSE)</f>
        <v>#N/A</v>
      </c>
    </row>
    <row r="2586" spans="5:28" x14ac:dyDescent="0.35">
      <c r="E2586">
        <v>2577</v>
      </c>
      <c r="F2586" t="e">
        <f>INDEX(Stammdaten[D Mitte mit Rinde (mm)],MATCH(Tabelle8[[#This Row],[Rank]],Stammdaten[Rank Verteilung D Mitte mit Rinde],0))</f>
        <v>#N/A</v>
      </c>
      <c r="G2586" t="e">
        <f>VLOOKUP(Tabelle8[[#This Row],[Rank]],Stammdaten[[Rank Verteilung D Mitte mit Rinde]:[Verteilung D Mitte mit Rinde]],2,FALSE)</f>
        <v>#N/A</v>
      </c>
      <c r="L2586">
        <v>2577</v>
      </c>
      <c r="M2586" t="e">
        <f>INDEX(Stammdaten[Abholzigkeit (mm/lfm)],MATCH(Tabelle9[[#This Row],[Rank]],Stammdaten[Rank Verteilung Abholzigkeit],0))</f>
        <v>#N/A</v>
      </c>
      <c r="N2586" t="e">
        <f>VLOOKUP(Tabelle9[[#This Row],[Rank]],Stammdaten[[Rank Verteilung Abholzigkeit]:[Verteilung Abholzigkeit]],2,FALSE)</f>
        <v>#N/A</v>
      </c>
      <c r="S2586">
        <v>2577</v>
      </c>
      <c r="T2586" t="e">
        <f>INDEX(Stammdaten[Krümmung (mm/lfm)],MATCH(Tabelle10[[#This Row],[Rank]],Stammdaten[Rank Verteilung Krümmung],0))</f>
        <v>#N/A</v>
      </c>
      <c r="U2586" t="e">
        <f>VLOOKUP(Tabelle10[[#This Row],[Rank]],Stammdaten[[Rank Verteilung Krümmung]:[Verteilung Krümmung]],2,FALSE)</f>
        <v>#N/A</v>
      </c>
      <c r="Z2586">
        <v>2577</v>
      </c>
      <c r="AA2586" t="e">
        <f>INDEX(Stammdaten[Ovalität (']0,1'])],MATCH(Tabelle1014[[#This Row],[Rank]],Stammdaten[Rank Verteilung Ovalität],0))</f>
        <v>#N/A</v>
      </c>
      <c r="AB2586" t="e">
        <f>VLOOKUP(Tabelle1014[[#This Row],[Rank]],Stammdaten[[Rank Verteilung Ovalität]:[Verteilung Ovalität]],2,FALSE)</f>
        <v>#N/A</v>
      </c>
    </row>
    <row r="2587" spans="5:28" x14ac:dyDescent="0.35">
      <c r="E2587">
        <v>2578</v>
      </c>
      <c r="F2587" t="e">
        <f>INDEX(Stammdaten[D Mitte mit Rinde (mm)],MATCH(Tabelle8[[#This Row],[Rank]],Stammdaten[Rank Verteilung D Mitte mit Rinde],0))</f>
        <v>#N/A</v>
      </c>
      <c r="G2587" t="e">
        <f>VLOOKUP(Tabelle8[[#This Row],[Rank]],Stammdaten[[Rank Verteilung D Mitte mit Rinde]:[Verteilung D Mitte mit Rinde]],2,FALSE)</f>
        <v>#N/A</v>
      </c>
      <c r="L2587">
        <v>2578</v>
      </c>
      <c r="M2587" t="e">
        <f>INDEX(Stammdaten[Abholzigkeit (mm/lfm)],MATCH(Tabelle9[[#This Row],[Rank]],Stammdaten[Rank Verteilung Abholzigkeit],0))</f>
        <v>#N/A</v>
      </c>
      <c r="N2587" t="e">
        <f>VLOOKUP(Tabelle9[[#This Row],[Rank]],Stammdaten[[Rank Verteilung Abholzigkeit]:[Verteilung Abholzigkeit]],2,FALSE)</f>
        <v>#N/A</v>
      </c>
      <c r="S2587">
        <v>2578</v>
      </c>
      <c r="T2587" t="e">
        <f>INDEX(Stammdaten[Krümmung (mm/lfm)],MATCH(Tabelle10[[#This Row],[Rank]],Stammdaten[Rank Verteilung Krümmung],0))</f>
        <v>#N/A</v>
      </c>
      <c r="U2587" t="e">
        <f>VLOOKUP(Tabelle10[[#This Row],[Rank]],Stammdaten[[Rank Verteilung Krümmung]:[Verteilung Krümmung]],2,FALSE)</f>
        <v>#N/A</v>
      </c>
      <c r="Z2587">
        <v>2578</v>
      </c>
      <c r="AA2587" t="e">
        <f>INDEX(Stammdaten[Ovalität (']0,1'])],MATCH(Tabelle1014[[#This Row],[Rank]],Stammdaten[Rank Verteilung Ovalität],0))</f>
        <v>#N/A</v>
      </c>
      <c r="AB2587" t="e">
        <f>VLOOKUP(Tabelle1014[[#This Row],[Rank]],Stammdaten[[Rank Verteilung Ovalität]:[Verteilung Ovalität]],2,FALSE)</f>
        <v>#N/A</v>
      </c>
    </row>
    <row r="2588" spans="5:28" x14ac:dyDescent="0.35">
      <c r="E2588">
        <v>2579</v>
      </c>
      <c r="F2588" t="e">
        <f>INDEX(Stammdaten[D Mitte mit Rinde (mm)],MATCH(Tabelle8[[#This Row],[Rank]],Stammdaten[Rank Verteilung D Mitte mit Rinde],0))</f>
        <v>#N/A</v>
      </c>
      <c r="G2588" t="e">
        <f>VLOOKUP(Tabelle8[[#This Row],[Rank]],Stammdaten[[Rank Verteilung D Mitte mit Rinde]:[Verteilung D Mitte mit Rinde]],2,FALSE)</f>
        <v>#N/A</v>
      </c>
      <c r="L2588">
        <v>2579</v>
      </c>
      <c r="M2588" t="e">
        <f>INDEX(Stammdaten[Abholzigkeit (mm/lfm)],MATCH(Tabelle9[[#This Row],[Rank]],Stammdaten[Rank Verteilung Abholzigkeit],0))</f>
        <v>#N/A</v>
      </c>
      <c r="N2588" t="e">
        <f>VLOOKUP(Tabelle9[[#This Row],[Rank]],Stammdaten[[Rank Verteilung Abholzigkeit]:[Verteilung Abholzigkeit]],2,FALSE)</f>
        <v>#N/A</v>
      </c>
      <c r="S2588">
        <v>2579</v>
      </c>
      <c r="T2588" t="e">
        <f>INDEX(Stammdaten[Krümmung (mm/lfm)],MATCH(Tabelle10[[#This Row],[Rank]],Stammdaten[Rank Verteilung Krümmung],0))</f>
        <v>#N/A</v>
      </c>
      <c r="U2588" t="e">
        <f>VLOOKUP(Tabelle10[[#This Row],[Rank]],Stammdaten[[Rank Verteilung Krümmung]:[Verteilung Krümmung]],2,FALSE)</f>
        <v>#N/A</v>
      </c>
      <c r="Z2588">
        <v>2579</v>
      </c>
      <c r="AA2588" t="e">
        <f>INDEX(Stammdaten[Ovalität (']0,1'])],MATCH(Tabelle1014[[#This Row],[Rank]],Stammdaten[Rank Verteilung Ovalität],0))</f>
        <v>#N/A</v>
      </c>
      <c r="AB2588" t="e">
        <f>VLOOKUP(Tabelle1014[[#This Row],[Rank]],Stammdaten[[Rank Verteilung Ovalität]:[Verteilung Ovalität]],2,FALSE)</f>
        <v>#N/A</v>
      </c>
    </row>
    <row r="2589" spans="5:28" x14ac:dyDescent="0.35">
      <c r="E2589">
        <v>2580</v>
      </c>
      <c r="F2589" t="e">
        <f>INDEX(Stammdaten[D Mitte mit Rinde (mm)],MATCH(Tabelle8[[#This Row],[Rank]],Stammdaten[Rank Verteilung D Mitte mit Rinde],0))</f>
        <v>#N/A</v>
      </c>
      <c r="G2589" t="e">
        <f>VLOOKUP(Tabelle8[[#This Row],[Rank]],Stammdaten[[Rank Verteilung D Mitte mit Rinde]:[Verteilung D Mitte mit Rinde]],2,FALSE)</f>
        <v>#N/A</v>
      </c>
      <c r="L2589">
        <v>2580</v>
      </c>
      <c r="M2589" t="e">
        <f>INDEX(Stammdaten[Abholzigkeit (mm/lfm)],MATCH(Tabelle9[[#This Row],[Rank]],Stammdaten[Rank Verteilung Abholzigkeit],0))</f>
        <v>#N/A</v>
      </c>
      <c r="N2589" t="e">
        <f>VLOOKUP(Tabelle9[[#This Row],[Rank]],Stammdaten[[Rank Verteilung Abholzigkeit]:[Verteilung Abholzigkeit]],2,FALSE)</f>
        <v>#N/A</v>
      </c>
      <c r="S2589">
        <v>2580</v>
      </c>
      <c r="T2589" t="e">
        <f>INDEX(Stammdaten[Krümmung (mm/lfm)],MATCH(Tabelle10[[#This Row],[Rank]],Stammdaten[Rank Verteilung Krümmung],0))</f>
        <v>#N/A</v>
      </c>
      <c r="U2589" t="e">
        <f>VLOOKUP(Tabelle10[[#This Row],[Rank]],Stammdaten[[Rank Verteilung Krümmung]:[Verteilung Krümmung]],2,FALSE)</f>
        <v>#N/A</v>
      </c>
      <c r="Z2589">
        <v>2580</v>
      </c>
      <c r="AA2589" t="e">
        <f>INDEX(Stammdaten[Ovalität (']0,1'])],MATCH(Tabelle1014[[#This Row],[Rank]],Stammdaten[Rank Verteilung Ovalität],0))</f>
        <v>#N/A</v>
      </c>
      <c r="AB2589" t="e">
        <f>VLOOKUP(Tabelle1014[[#This Row],[Rank]],Stammdaten[[Rank Verteilung Ovalität]:[Verteilung Ovalität]],2,FALSE)</f>
        <v>#N/A</v>
      </c>
    </row>
    <row r="2590" spans="5:28" x14ac:dyDescent="0.35">
      <c r="E2590">
        <v>2581</v>
      </c>
      <c r="F2590" t="e">
        <f>INDEX(Stammdaten[D Mitte mit Rinde (mm)],MATCH(Tabelle8[[#This Row],[Rank]],Stammdaten[Rank Verteilung D Mitte mit Rinde],0))</f>
        <v>#N/A</v>
      </c>
      <c r="G2590" t="e">
        <f>VLOOKUP(Tabelle8[[#This Row],[Rank]],Stammdaten[[Rank Verteilung D Mitte mit Rinde]:[Verteilung D Mitte mit Rinde]],2,FALSE)</f>
        <v>#N/A</v>
      </c>
      <c r="L2590">
        <v>2581</v>
      </c>
      <c r="M2590" t="e">
        <f>INDEX(Stammdaten[Abholzigkeit (mm/lfm)],MATCH(Tabelle9[[#This Row],[Rank]],Stammdaten[Rank Verteilung Abholzigkeit],0))</f>
        <v>#N/A</v>
      </c>
      <c r="N2590" t="e">
        <f>VLOOKUP(Tabelle9[[#This Row],[Rank]],Stammdaten[[Rank Verteilung Abholzigkeit]:[Verteilung Abholzigkeit]],2,FALSE)</f>
        <v>#N/A</v>
      </c>
      <c r="S2590">
        <v>2581</v>
      </c>
      <c r="T2590" t="e">
        <f>INDEX(Stammdaten[Krümmung (mm/lfm)],MATCH(Tabelle10[[#This Row],[Rank]],Stammdaten[Rank Verteilung Krümmung],0))</f>
        <v>#N/A</v>
      </c>
      <c r="U2590" t="e">
        <f>VLOOKUP(Tabelle10[[#This Row],[Rank]],Stammdaten[[Rank Verteilung Krümmung]:[Verteilung Krümmung]],2,FALSE)</f>
        <v>#N/A</v>
      </c>
      <c r="Z2590">
        <v>2581</v>
      </c>
      <c r="AA2590" t="e">
        <f>INDEX(Stammdaten[Ovalität (']0,1'])],MATCH(Tabelle1014[[#This Row],[Rank]],Stammdaten[Rank Verteilung Ovalität],0))</f>
        <v>#N/A</v>
      </c>
      <c r="AB2590" t="e">
        <f>VLOOKUP(Tabelle1014[[#This Row],[Rank]],Stammdaten[[Rank Verteilung Ovalität]:[Verteilung Ovalität]],2,FALSE)</f>
        <v>#N/A</v>
      </c>
    </row>
    <row r="2591" spans="5:28" x14ac:dyDescent="0.35">
      <c r="E2591">
        <v>2582</v>
      </c>
      <c r="F2591" t="e">
        <f>INDEX(Stammdaten[D Mitte mit Rinde (mm)],MATCH(Tabelle8[[#This Row],[Rank]],Stammdaten[Rank Verteilung D Mitte mit Rinde],0))</f>
        <v>#N/A</v>
      </c>
      <c r="G2591" t="e">
        <f>VLOOKUP(Tabelle8[[#This Row],[Rank]],Stammdaten[[Rank Verteilung D Mitte mit Rinde]:[Verteilung D Mitte mit Rinde]],2,FALSE)</f>
        <v>#N/A</v>
      </c>
      <c r="L2591">
        <v>2582</v>
      </c>
      <c r="M2591" t="e">
        <f>INDEX(Stammdaten[Abholzigkeit (mm/lfm)],MATCH(Tabelle9[[#This Row],[Rank]],Stammdaten[Rank Verteilung Abholzigkeit],0))</f>
        <v>#N/A</v>
      </c>
      <c r="N2591" t="e">
        <f>VLOOKUP(Tabelle9[[#This Row],[Rank]],Stammdaten[[Rank Verteilung Abholzigkeit]:[Verteilung Abholzigkeit]],2,FALSE)</f>
        <v>#N/A</v>
      </c>
      <c r="S2591">
        <v>2582</v>
      </c>
      <c r="T2591" t="e">
        <f>INDEX(Stammdaten[Krümmung (mm/lfm)],MATCH(Tabelle10[[#This Row],[Rank]],Stammdaten[Rank Verteilung Krümmung],0))</f>
        <v>#N/A</v>
      </c>
      <c r="U2591" t="e">
        <f>VLOOKUP(Tabelle10[[#This Row],[Rank]],Stammdaten[[Rank Verteilung Krümmung]:[Verteilung Krümmung]],2,FALSE)</f>
        <v>#N/A</v>
      </c>
      <c r="Z2591">
        <v>2582</v>
      </c>
      <c r="AA2591" t="e">
        <f>INDEX(Stammdaten[Ovalität (']0,1'])],MATCH(Tabelle1014[[#This Row],[Rank]],Stammdaten[Rank Verteilung Ovalität],0))</f>
        <v>#N/A</v>
      </c>
      <c r="AB2591" t="e">
        <f>VLOOKUP(Tabelle1014[[#This Row],[Rank]],Stammdaten[[Rank Verteilung Ovalität]:[Verteilung Ovalität]],2,FALSE)</f>
        <v>#N/A</v>
      </c>
    </row>
    <row r="2592" spans="5:28" x14ac:dyDescent="0.35">
      <c r="E2592">
        <v>2583</v>
      </c>
      <c r="F2592" t="e">
        <f>INDEX(Stammdaten[D Mitte mit Rinde (mm)],MATCH(Tabelle8[[#This Row],[Rank]],Stammdaten[Rank Verteilung D Mitte mit Rinde],0))</f>
        <v>#N/A</v>
      </c>
      <c r="G2592" t="e">
        <f>VLOOKUP(Tabelle8[[#This Row],[Rank]],Stammdaten[[Rank Verteilung D Mitte mit Rinde]:[Verteilung D Mitte mit Rinde]],2,FALSE)</f>
        <v>#N/A</v>
      </c>
      <c r="L2592">
        <v>2583</v>
      </c>
      <c r="M2592" t="e">
        <f>INDEX(Stammdaten[Abholzigkeit (mm/lfm)],MATCH(Tabelle9[[#This Row],[Rank]],Stammdaten[Rank Verteilung Abholzigkeit],0))</f>
        <v>#N/A</v>
      </c>
      <c r="N2592" t="e">
        <f>VLOOKUP(Tabelle9[[#This Row],[Rank]],Stammdaten[[Rank Verteilung Abholzigkeit]:[Verteilung Abholzigkeit]],2,FALSE)</f>
        <v>#N/A</v>
      </c>
      <c r="S2592">
        <v>2583</v>
      </c>
      <c r="T2592" t="e">
        <f>INDEX(Stammdaten[Krümmung (mm/lfm)],MATCH(Tabelle10[[#This Row],[Rank]],Stammdaten[Rank Verteilung Krümmung],0))</f>
        <v>#N/A</v>
      </c>
      <c r="U2592" t="e">
        <f>VLOOKUP(Tabelle10[[#This Row],[Rank]],Stammdaten[[Rank Verteilung Krümmung]:[Verteilung Krümmung]],2,FALSE)</f>
        <v>#N/A</v>
      </c>
      <c r="Z2592">
        <v>2583</v>
      </c>
      <c r="AA2592" t="e">
        <f>INDEX(Stammdaten[Ovalität (']0,1'])],MATCH(Tabelle1014[[#This Row],[Rank]],Stammdaten[Rank Verteilung Ovalität],0))</f>
        <v>#N/A</v>
      </c>
      <c r="AB2592" t="e">
        <f>VLOOKUP(Tabelle1014[[#This Row],[Rank]],Stammdaten[[Rank Verteilung Ovalität]:[Verteilung Ovalität]],2,FALSE)</f>
        <v>#N/A</v>
      </c>
    </row>
    <row r="2593" spans="5:28" x14ac:dyDescent="0.35">
      <c r="E2593">
        <v>2584</v>
      </c>
      <c r="F2593" t="e">
        <f>INDEX(Stammdaten[D Mitte mit Rinde (mm)],MATCH(Tabelle8[[#This Row],[Rank]],Stammdaten[Rank Verteilung D Mitte mit Rinde],0))</f>
        <v>#N/A</v>
      </c>
      <c r="G2593" t="e">
        <f>VLOOKUP(Tabelle8[[#This Row],[Rank]],Stammdaten[[Rank Verteilung D Mitte mit Rinde]:[Verteilung D Mitte mit Rinde]],2,FALSE)</f>
        <v>#N/A</v>
      </c>
      <c r="L2593">
        <v>2584</v>
      </c>
      <c r="M2593" t="e">
        <f>INDEX(Stammdaten[Abholzigkeit (mm/lfm)],MATCH(Tabelle9[[#This Row],[Rank]],Stammdaten[Rank Verteilung Abholzigkeit],0))</f>
        <v>#N/A</v>
      </c>
      <c r="N2593" t="e">
        <f>VLOOKUP(Tabelle9[[#This Row],[Rank]],Stammdaten[[Rank Verteilung Abholzigkeit]:[Verteilung Abholzigkeit]],2,FALSE)</f>
        <v>#N/A</v>
      </c>
      <c r="S2593">
        <v>2584</v>
      </c>
      <c r="T2593" t="e">
        <f>INDEX(Stammdaten[Krümmung (mm/lfm)],MATCH(Tabelle10[[#This Row],[Rank]],Stammdaten[Rank Verteilung Krümmung],0))</f>
        <v>#N/A</v>
      </c>
      <c r="U2593" t="e">
        <f>VLOOKUP(Tabelle10[[#This Row],[Rank]],Stammdaten[[Rank Verteilung Krümmung]:[Verteilung Krümmung]],2,FALSE)</f>
        <v>#N/A</v>
      </c>
      <c r="Z2593">
        <v>2584</v>
      </c>
      <c r="AA2593" t="e">
        <f>INDEX(Stammdaten[Ovalität (']0,1'])],MATCH(Tabelle1014[[#This Row],[Rank]],Stammdaten[Rank Verteilung Ovalität],0))</f>
        <v>#N/A</v>
      </c>
      <c r="AB2593" t="e">
        <f>VLOOKUP(Tabelle1014[[#This Row],[Rank]],Stammdaten[[Rank Verteilung Ovalität]:[Verteilung Ovalität]],2,FALSE)</f>
        <v>#N/A</v>
      </c>
    </row>
    <row r="2594" spans="5:28" x14ac:dyDescent="0.35">
      <c r="E2594">
        <v>2585</v>
      </c>
      <c r="F2594" t="e">
        <f>INDEX(Stammdaten[D Mitte mit Rinde (mm)],MATCH(Tabelle8[[#This Row],[Rank]],Stammdaten[Rank Verteilung D Mitte mit Rinde],0))</f>
        <v>#N/A</v>
      </c>
      <c r="G2594" t="e">
        <f>VLOOKUP(Tabelle8[[#This Row],[Rank]],Stammdaten[[Rank Verteilung D Mitte mit Rinde]:[Verteilung D Mitte mit Rinde]],2,FALSE)</f>
        <v>#N/A</v>
      </c>
      <c r="L2594">
        <v>2585</v>
      </c>
      <c r="M2594" t="e">
        <f>INDEX(Stammdaten[Abholzigkeit (mm/lfm)],MATCH(Tabelle9[[#This Row],[Rank]],Stammdaten[Rank Verteilung Abholzigkeit],0))</f>
        <v>#N/A</v>
      </c>
      <c r="N2594" t="e">
        <f>VLOOKUP(Tabelle9[[#This Row],[Rank]],Stammdaten[[Rank Verteilung Abholzigkeit]:[Verteilung Abholzigkeit]],2,FALSE)</f>
        <v>#N/A</v>
      </c>
      <c r="S2594">
        <v>2585</v>
      </c>
      <c r="T2594" t="e">
        <f>INDEX(Stammdaten[Krümmung (mm/lfm)],MATCH(Tabelle10[[#This Row],[Rank]],Stammdaten[Rank Verteilung Krümmung],0))</f>
        <v>#N/A</v>
      </c>
      <c r="U2594" t="e">
        <f>VLOOKUP(Tabelle10[[#This Row],[Rank]],Stammdaten[[Rank Verteilung Krümmung]:[Verteilung Krümmung]],2,FALSE)</f>
        <v>#N/A</v>
      </c>
      <c r="Z2594">
        <v>2585</v>
      </c>
      <c r="AA2594" t="e">
        <f>INDEX(Stammdaten[Ovalität (']0,1'])],MATCH(Tabelle1014[[#This Row],[Rank]],Stammdaten[Rank Verteilung Ovalität],0))</f>
        <v>#N/A</v>
      </c>
      <c r="AB2594" t="e">
        <f>VLOOKUP(Tabelle1014[[#This Row],[Rank]],Stammdaten[[Rank Verteilung Ovalität]:[Verteilung Ovalität]],2,FALSE)</f>
        <v>#N/A</v>
      </c>
    </row>
    <row r="2595" spans="5:28" x14ac:dyDescent="0.35">
      <c r="E2595">
        <v>2586</v>
      </c>
      <c r="F2595" t="e">
        <f>INDEX(Stammdaten[D Mitte mit Rinde (mm)],MATCH(Tabelle8[[#This Row],[Rank]],Stammdaten[Rank Verteilung D Mitte mit Rinde],0))</f>
        <v>#N/A</v>
      </c>
      <c r="G2595" t="e">
        <f>VLOOKUP(Tabelle8[[#This Row],[Rank]],Stammdaten[[Rank Verteilung D Mitte mit Rinde]:[Verteilung D Mitte mit Rinde]],2,FALSE)</f>
        <v>#N/A</v>
      </c>
      <c r="L2595">
        <v>2586</v>
      </c>
      <c r="M2595" t="e">
        <f>INDEX(Stammdaten[Abholzigkeit (mm/lfm)],MATCH(Tabelle9[[#This Row],[Rank]],Stammdaten[Rank Verteilung Abholzigkeit],0))</f>
        <v>#N/A</v>
      </c>
      <c r="N2595" t="e">
        <f>VLOOKUP(Tabelle9[[#This Row],[Rank]],Stammdaten[[Rank Verteilung Abholzigkeit]:[Verteilung Abholzigkeit]],2,FALSE)</f>
        <v>#N/A</v>
      </c>
      <c r="S2595">
        <v>2586</v>
      </c>
      <c r="T2595" t="e">
        <f>INDEX(Stammdaten[Krümmung (mm/lfm)],MATCH(Tabelle10[[#This Row],[Rank]],Stammdaten[Rank Verteilung Krümmung],0))</f>
        <v>#N/A</v>
      </c>
      <c r="U2595" t="e">
        <f>VLOOKUP(Tabelle10[[#This Row],[Rank]],Stammdaten[[Rank Verteilung Krümmung]:[Verteilung Krümmung]],2,FALSE)</f>
        <v>#N/A</v>
      </c>
      <c r="Z2595">
        <v>2586</v>
      </c>
      <c r="AA2595" t="e">
        <f>INDEX(Stammdaten[Ovalität (']0,1'])],MATCH(Tabelle1014[[#This Row],[Rank]],Stammdaten[Rank Verteilung Ovalität],0))</f>
        <v>#N/A</v>
      </c>
      <c r="AB2595" t="e">
        <f>VLOOKUP(Tabelle1014[[#This Row],[Rank]],Stammdaten[[Rank Verteilung Ovalität]:[Verteilung Ovalität]],2,FALSE)</f>
        <v>#N/A</v>
      </c>
    </row>
    <row r="2596" spans="5:28" x14ac:dyDescent="0.35">
      <c r="E2596">
        <v>2587</v>
      </c>
      <c r="F2596" t="e">
        <f>INDEX(Stammdaten[D Mitte mit Rinde (mm)],MATCH(Tabelle8[[#This Row],[Rank]],Stammdaten[Rank Verteilung D Mitte mit Rinde],0))</f>
        <v>#N/A</v>
      </c>
      <c r="G2596" t="e">
        <f>VLOOKUP(Tabelle8[[#This Row],[Rank]],Stammdaten[[Rank Verteilung D Mitte mit Rinde]:[Verteilung D Mitte mit Rinde]],2,FALSE)</f>
        <v>#N/A</v>
      </c>
      <c r="L2596">
        <v>2587</v>
      </c>
      <c r="M2596" t="e">
        <f>INDEX(Stammdaten[Abholzigkeit (mm/lfm)],MATCH(Tabelle9[[#This Row],[Rank]],Stammdaten[Rank Verteilung Abholzigkeit],0))</f>
        <v>#N/A</v>
      </c>
      <c r="N2596" t="e">
        <f>VLOOKUP(Tabelle9[[#This Row],[Rank]],Stammdaten[[Rank Verteilung Abholzigkeit]:[Verteilung Abholzigkeit]],2,FALSE)</f>
        <v>#N/A</v>
      </c>
      <c r="S2596">
        <v>2587</v>
      </c>
      <c r="T2596" t="e">
        <f>INDEX(Stammdaten[Krümmung (mm/lfm)],MATCH(Tabelle10[[#This Row],[Rank]],Stammdaten[Rank Verteilung Krümmung],0))</f>
        <v>#N/A</v>
      </c>
      <c r="U2596" t="e">
        <f>VLOOKUP(Tabelle10[[#This Row],[Rank]],Stammdaten[[Rank Verteilung Krümmung]:[Verteilung Krümmung]],2,FALSE)</f>
        <v>#N/A</v>
      </c>
      <c r="Z2596">
        <v>2587</v>
      </c>
      <c r="AA2596" t="e">
        <f>INDEX(Stammdaten[Ovalität (']0,1'])],MATCH(Tabelle1014[[#This Row],[Rank]],Stammdaten[Rank Verteilung Ovalität],0))</f>
        <v>#N/A</v>
      </c>
      <c r="AB2596" t="e">
        <f>VLOOKUP(Tabelle1014[[#This Row],[Rank]],Stammdaten[[Rank Verteilung Ovalität]:[Verteilung Ovalität]],2,FALSE)</f>
        <v>#N/A</v>
      </c>
    </row>
    <row r="2597" spans="5:28" x14ac:dyDescent="0.35">
      <c r="E2597">
        <v>2588</v>
      </c>
      <c r="F2597" t="e">
        <f>INDEX(Stammdaten[D Mitte mit Rinde (mm)],MATCH(Tabelle8[[#This Row],[Rank]],Stammdaten[Rank Verteilung D Mitte mit Rinde],0))</f>
        <v>#N/A</v>
      </c>
      <c r="G2597" t="e">
        <f>VLOOKUP(Tabelle8[[#This Row],[Rank]],Stammdaten[[Rank Verteilung D Mitte mit Rinde]:[Verteilung D Mitte mit Rinde]],2,FALSE)</f>
        <v>#N/A</v>
      </c>
      <c r="L2597">
        <v>2588</v>
      </c>
      <c r="M2597" t="e">
        <f>INDEX(Stammdaten[Abholzigkeit (mm/lfm)],MATCH(Tabelle9[[#This Row],[Rank]],Stammdaten[Rank Verteilung Abholzigkeit],0))</f>
        <v>#N/A</v>
      </c>
      <c r="N2597" t="e">
        <f>VLOOKUP(Tabelle9[[#This Row],[Rank]],Stammdaten[[Rank Verteilung Abholzigkeit]:[Verteilung Abholzigkeit]],2,FALSE)</f>
        <v>#N/A</v>
      </c>
      <c r="S2597">
        <v>2588</v>
      </c>
      <c r="T2597" t="e">
        <f>INDEX(Stammdaten[Krümmung (mm/lfm)],MATCH(Tabelle10[[#This Row],[Rank]],Stammdaten[Rank Verteilung Krümmung],0))</f>
        <v>#N/A</v>
      </c>
      <c r="U2597" t="e">
        <f>VLOOKUP(Tabelle10[[#This Row],[Rank]],Stammdaten[[Rank Verteilung Krümmung]:[Verteilung Krümmung]],2,FALSE)</f>
        <v>#N/A</v>
      </c>
      <c r="Z2597">
        <v>2588</v>
      </c>
      <c r="AA2597" t="e">
        <f>INDEX(Stammdaten[Ovalität (']0,1'])],MATCH(Tabelle1014[[#This Row],[Rank]],Stammdaten[Rank Verteilung Ovalität],0))</f>
        <v>#N/A</v>
      </c>
      <c r="AB2597" t="e">
        <f>VLOOKUP(Tabelle1014[[#This Row],[Rank]],Stammdaten[[Rank Verteilung Ovalität]:[Verteilung Ovalität]],2,FALSE)</f>
        <v>#N/A</v>
      </c>
    </row>
    <row r="2598" spans="5:28" x14ac:dyDescent="0.35">
      <c r="E2598">
        <v>2589</v>
      </c>
      <c r="F2598" t="e">
        <f>INDEX(Stammdaten[D Mitte mit Rinde (mm)],MATCH(Tabelle8[[#This Row],[Rank]],Stammdaten[Rank Verteilung D Mitte mit Rinde],0))</f>
        <v>#N/A</v>
      </c>
      <c r="G2598" t="e">
        <f>VLOOKUP(Tabelle8[[#This Row],[Rank]],Stammdaten[[Rank Verteilung D Mitte mit Rinde]:[Verteilung D Mitte mit Rinde]],2,FALSE)</f>
        <v>#N/A</v>
      </c>
      <c r="L2598">
        <v>2589</v>
      </c>
      <c r="M2598" t="e">
        <f>INDEX(Stammdaten[Abholzigkeit (mm/lfm)],MATCH(Tabelle9[[#This Row],[Rank]],Stammdaten[Rank Verteilung Abholzigkeit],0))</f>
        <v>#N/A</v>
      </c>
      <c r="N2598" t="e">
        <f>VLOOKUP(Tabelle9[[#This Row],[Rank]],Stammdaten[[Rank Verteilung Abholzigkeit]:[Verteilung Abholzigkeit]],2,FALSE)</f>
        <v>#N/A</v>
      </c>
      <c r="S2598">
        <v>2589</v>
      </c>
      <c r="T2598" t="e">
        <f>INDEX(Stammdaten[Krümmung (mm/lfm)],MATCH(Tabelle10[[#This Row],[Rank]],Stammdaten[Rank Verteilung Krümmung],0))</f>
        <v>#N/A</v>
      </c>
      <c r="U2598" t="e">
        <f>VLOOKUP(Tabelle10[[#This Row],[Rank]],Stammdaten[[Rank Verteilung Krümmung]:[Verteilung Krümmung]],2,FALSE)</f>
        <v>#N/A</v>
      </c>
      <c r="Z2598">
        <v>2589</v>
      </c>
      <c r="AA2598" t="e">
        <f>INDEX(Stammdaten[Ovalität (']0,1'])],MATCH(Tabelle1014[[#This Row],[Rank]],Stammdaten[Rank Verteilung Ovalität],0))</f>
        <v>#N/A</v>
      </c>
      <c r="AB2598" t="e">
        <f>VLOOKUP(Tabelle1014[[#This Row],[Rank]],Stammdaten[[Rank Verteilung Ovalität]:[Verteilung Ovalität]],2,FALSE)</f>
        <v>#N/A</v>
      </c>
    </row>
    <row r="2599" spans="5:28" x14ac:dyDescent="0.35">
      <c r="E2599">
        <v>2590</v>
      </c>
      <c r="F2599" t="e">
        <f>INDEX(Stammdaten[D Mitte mit Rinde (mm)],MATCH(Tabelle8[[#This Row],[Rank]],Stammdaten[Rank Verteilung D Mitte mit Rinde],0))</f>
        <v>#N/A</v>
      </c>
      <c r="G2599" t="e">
        <f>VLOOKUP(Tabelle8[[#This Row],[Rank]],Stammdaten[[Rank Verteilung D Mitte mit Rinde]:[Verteilung D Mitte mit Rinde]],2,FALSE)</f>
        <v>#N/A</v>
      </c>
      <c r="L2599">
        <v>2590</v>
      </c>
      <c r="M2599" t="e">
        <f>INDEX(Stammdaten[Abholzigkeit (mm/lfm)],MATCH(Tabelle9[[#This Row],[Rank]],Stammdaten[Rank Verteilung Abholzigkeit],0))</f>
        <v>#N/A</v>
      </c>
      <c r="N2599" t="e">
        <f>VLOOKUP(Tabelle9[[#This Row],[Rank]],Stammdaten[[Rank Verteilung Abholzigkeit]:[Verteilung Abholzigkeit]],2,FALSE)</f>
        <v>#N/A</v>
      </c>
      <c r="S2599">
        <v>2590</v>
      </c>
      <c r="T2599" t="e">
        <f>INDEX(Stammdaten[Krümmung (mm/lfm)],MATCH(Tabelle10[[#This Row],[Rank]],Stammdaten[Rank Verteilung Krümmung],0))</f>
        <v>#N/A</v>
      </c>
      <c r="U2599" t="e">
        <f>VLOOKUP(Tabelle10[[#This Row],[Rank]],Stammdaten[[Rank Verteilung Krümmung]:[Verteilung Krümmung]],2,FALSE)</f>
        <v>#N/A</v>
      </c>
      <c r="Z2599">
        <v>2590</v>
      </c>
      <c r="AA2599" t="e">
        <f>INDEX(Stammdaten[Ovalität (']0,1'])],MATCH(Tabelle1014[[#This Row],[Rank]],Stammdaten[Rank Verteilung Ovalität],0))</f>
        <v>#N/A</v>
      </c>
      <c r="AB2599" t="e">
        <f>VLOOKUP(Tabelle1014[[#This Row],[Rank]],Stammdaten[[Rank Verteilung Ovalität]:[Verteilung Ovalität]],2,FALSE)</f>
        <v>#N/A</v>
      </c>
    </row>
    <row r="2600" spans="5:28" x14ac:dyDescent="0.35">
      <c r="E2600">
        <v>2591</v>
      </c>
      <c r="F2600" t="e">
        <f>INDEX(Stammdaten[D Mitte mit Rinde (mm)],MATCH(Tabelle8[[#This Row],[Rank]],Stammdaten[Rank Verteilung D Mitte mit Rinde],0))</f>
        <v>#N/A</v>
      </c>
      <c r="G2600" t="e">
        <f>VLOOKUP(Tabelle8[[#This Row],[Rank]],Stammdaten[[Rank Verteilung D Mitte mit Rinde]:[Verteilung D Mitte mit Rinde]],2,FALSE)</f>
        <v>#N/A</v>
      </c>
      <c r="L2600">
        <v>2591</v>
      </c>
      <c r="M2600" t="e">
        <f>INDEX(Stammdaten[Abholzigkeit (mm/lfm)],MATCH(Tabelle9[[#This Row],[Rank]],Stammdaten[Rank Verteilung Abholzigkeit],0))</f>
        <v>#N/A</v>
      </c>
      <c r="N2600" t="e">
        <f>VLOOKUP(Tabelle9[[#This Row],[Rank]],Stammdaten[[Rank Verteilung Abholzigkeit]:[Verteilung Abholzigkeit]],2,FALSE)</f>
        <v>#N/A</v>
      </c>
      <c r="S2600">
        <v>2591</v>
      </c>
      <c r="T2600" t="e">
        <f>INDEX(Stammdaten[Krümmung (mm/lfm)],MATCH(Tabelle10[[#This Row],[Rank]],Stammdaten[Rank Verteilung Krümmung],0))</f>
        <v>#N/A</v>
      </c>
      <c r="U2600" t="e">
        <f>VLOOKUP(Tabelle10[[#This Row],[Rank]],Stammdaten[[Rank Verteilung Krümmung]:[Verteilung Krümmung]],2,FALSE)</f>
        <v>#N/A</v>
      </c>
      <c r="Z2600">
        <v>2591</v>
      </c>
      <c r="AA2600" t="e">
        <f>INDEX(Stammdaten[Ovalität (']0,1'])],MATCH(Tabelle1014[[#This Row],[Rank]],Stammdaten[Rank Verteilung Ovalität],0))</f>
        <v>#N/A</v>
      </c>
      <c r="AB2600" t="e">
        <f>VLOOKUP(Tabelle1014[[#This Row],[Rank]],Stammdaten[[Rank Verteilung Ovalität]:[Verteilung Ovalität]],2,FALSE)</f>
        <v>#N/A</v>
      </c>
    </row>
    <row r="2601" spans="5:28" x14ac:dyDescent="0.35">
      <c r="E2601">
        <v>2592</v>
      </c>
      <c r="F2601" t="e">
        <f>INDEX(Stammdaten[D Mitte mit Rinde (mm)],MATCH(Tabelle8[[#This Row],[Rank]],Stammdaten[Rank Verteilung D Mitte mit Rinde],0))</f>
        <v>#N/A</v>
      </c>
      <c r="G2601" t="e">
        <f>VLOOKUP(Tabelle8[[#This Row],[Rank]],Stammdaten[[Rank Verteilung D Mitte mit Rinde]:[Verteilung D Mitte mit Rinde]],2,FALSE)</f>
        <v>#N/A</v>
      </c>
      <c r="L2601">
        <v>2592</v>
      </c>
      <c r="M2601" t="e">
        <f>INDEX(Stammdaten[Abholzigkeit (mm/lfm)],MATCH(Tabelle9[[#This Row],[Rank]],Stammdaten[Rank Verteilung Abholzigkeit],0))</f>
        <v>#N/A</v>
      </c>
      <c r="N2601" t="e">
        <f>VLOOKUP(Tabelle9[[#This Row],[Rank]],Stammdaten[[Rank Verteilung Abholzigkeit]:[Verteilung Abholzigkeit]],2,FALSE)</f>
        <v>#N/A</v>
      </c>
      <c r="S2601">
        <v>2592</v>
      </c>
      <c r="T2601" t="e">
        <f>INDEX(Stammdaten[Krümmung (mm/lfm)],MATCH(Tabelle10[[#This Row],[Rank]],Stammdaten[Rank Verteilung Krümmung],0))</f>
        <v>#N/A</v>
      </c>
      <c r="U2601" t="e">
        <f>VLOOKUP(Tabelle10[[#This Row],[Rank]],Stammdaten[[Rank Verteilung Krümmung]:[Verteilung Krümmung]],2,FALSE)</f>
        <v>#N/A</v>
      </c>
      <c r="Z2601">
        <v>2592</v>
      </c>
      <c r="AA2601" t="e">
        <f>INDEX(Stammdaten[Ovalität (']0,1'])],MATCH(Tabelle1014[[#This Row],[Rank]],Stammdaten[Rank Verteilung Ovalität],0))</f>
        <v>#N/A</v>
      </c>
      <c r="AB2601" t="e">
        <f>VLOOKUP(Tabelle1014[[#This Row],[Rank]],Stammdaten[[Rank Verteilung Ovalität]:[Verteilung Ovalität]],2,FALSE)</f>
        <v>#N/A</v>
      </c>
    </row>
    <row r="2602" spans="5:28" x14ac:dyDescent="0.35">
      <c r="E2602">
        <v>2593</v>
      </c>
      <c r="F2602" t="e">
        <f>INDEX(Stammdaten[D Mitte mit Rinde (mm)],MATCH(Tabelle8[[#This Row],[Rank]],Stammdaten[Rank Verteilung D Mitte mit Rinde],0))</f>
        <v>#N/A</v>
      </c>
      <c r="G2602" t="e">
        <f>VLOOKUP(Tabelle8[[#This Row],[Rank]],Stammdaten[[Rank Verteilung D Mitte mit Rinde]:[Verteilung D Mitte mit Rinde]],2,FALSE)</f>
        <v>#N/A</v>
      </c>
      <c r="L2602">
        <v>2593</v>
      </c>
      <c r="M2602" t="e">
        <f>INDEX(Stammdaten[Abholzigkeit (mm/lfm)],MATCH(Tabelle9[[#This Row],[Rank]],Stammdaten[Rank Verteilung Abholzigkeit],0))</f>
        <v>#N/A</v>
      </c>
      <c r="N2602" t="e">
        <f>VLOOKUP(Tabelle9[[#This Row],[Rank]],Stammdaten[[Rank Verteilung Abholzigkeit]:[Verteilung Abholzigkeit]],2,FALSE)</f>
        <v>#N/A</v>
      </c>
      <c r="S2602">
        <v>2593</v>
      </c>
      <c r="T2602" t="e">
        <f>INDEX(Stammdaten[Krümmung (mm/lfm)],MATCH(Tabelle10[[#This Row],[Rank]],Stammdaten[Rank Verteilung Krümmung],0))</f>
        <v>#N/A</v>
      </c>
      <c r="U2602" t="e">
        <f>VLOOKUP(Tabelle10[[#This Row],[Rank]],Stammdaten[[Rank Verteilung Krümmung]:[Verteilung Krümmung]],2,FALSE)</f>
        <v>#N/A</v>
      </c>
      <c r="Z2602">
        <v>2593</v>
      </c>
      <c r="AA2602" t="e">
        <f>INDEX(Stammdaten[Ovalität (']0,1'])],MATCH(Tabelle1014[[#This Row],[Rank]],Stammdaten[Rank Verteilung Ovalität],0))</f>
        <v>#N/A</v>
      </c>
      <c r="AB2602" t="e">
        <f>VLOOKUP(Tabelle1014[[#This Row],[Rank]],Stammdaten[[Rank Verteilung Ovalität]:[Verteilung Ovalität]],2,FALSE)</f>
        <v>#N/A</v>
      </c>
    </row>
    <row r="2603" spans="5:28" x14ac:dyDescent="0.35">
      <c r="E2603">
        <v>2594</v>
      </c>
      <c r="F2603" t="e">
        <f>INDEX(Stammdaten[D Mitte mit Rinde (mm)],MATCH(Tabelle8[[#This Row],[Rank]],Stammdaten[Rank Verteilung D Mitte mit Rinde],0))</f>
        <v>#N/A</v>
      </c>
      <c r="G2603" t="e">
        <f>VLOOKUP(Tabelle8[[#This Row],[Rank]],Stammdaten[[Rank Verteilung D Mitte mit Rinde]:[Verteilung D Mitte mit Rinde]],2,FALSE)</f>
        <v>#N/A</v>
      </c>
      <c r="L2603">
        <v>2594</v>
      </c>
      <c r="M2603" t="e">
        <f>INDEX(Stammdaten[Abholzigkeit (mm/lfm)],MATCH(Tabelle9[[#This Row],[Rank]],Stammdaten[Rank Verteilung Abholzigkeit],0))</f>
        <v>#N/A</v>
      </c>
      <c r="N2603" t="e">
        <f>VLOOKUP(Tabelle9[[#This Row],[Rank]],Stammdaten[[Rank Verteilung Abholzigkeit]:[Verteilung Abholzigkeit]],2,FALSE)</f>
        <v>#N/A</v>
      </c>
      <c r="S2603">
        <v>2594</v>
      </c>
      <c r="T2603" t="e">
        <f>INDEX(Stammdaten[Krümmung (mm/lfm)],MATCH(Tabelle10[[#This Row],[Rank]],Stammdaten[Rank Verteilung Krümmung],0))</f>
        <v>#N/A</v>
      </c>
      <c r="U2603" t="e">
        <f>VLOOKUP(Tabelle10[[#This Row],[Rank]],Stammdaten[[Rank Verteilung Krümmung]:[Verteilung Krümmung]],2,FALSE)</f>
        <v>#N/A</v>
      </c>
      <c r="Z2603">
        <v>2594</v>
      </c>
      <c r="AA2603" t="e">
        <f>INDEX(Stammdaten[Ovalität (']0,1'])],MATCH(Tabelle1014[[#This Row],[Rank]],Stammdaten[Rank Verteilung Ovalität],0))</f>
        <v>#N/A</v>
      </c>
      <c r="AB2603" t="e">
        <f>VLOOKUP(Tabelle1014[[#This Row],[Rank]],Stammdaten[[Rank Verteilung Ovalität]:[Verteilung Ovalität]],2,FALSE)</f>
        <v>#N/A</v>
      </c>
    </row>
    <row r="2604" spans="5:28" x14ac:dyDescent="0.35">
      <c r="E2604">
        <v>2595</v>
      </c>
      <c r="F2604" t="e">
        <f>INDEX(Stammdaten[D Mitte mit Rinde (mm)],MATCH(Tabelle8[[#This Row],[Rank]],Stammdaten[Rank Verteilung D Mitte mit Rinde],0))</f>
        <v>#N/A</v>
      </c>
      <c r="G2604" t="e">
        <f>VLOOKUP(Tabelle8[[#This Row],[Rank]],Stammdaten[[Rank Verteilung D Mitte mit Rinde]:[Verteilung D Mitte mit Rinde]],2,FALSE)</f>
        <v>#N/A</v>
      </c>
      <c r="L2604">
        <v>2595</v>
      </c>
      <c r="M2604" t="e">
        <f>INDEX(Stammdaten[Abholzigkeit (mm/lfm)],MATCH(Tabelle9[[#This Row],[Rank]],Stammdaten[Rank Verteilung Abholzigkeit],0))</f>
        <v>#N/A</v>
      </c>
      <c r="N2604" t="e">
        <f>VLOOKUP(Tabelle9[[#This Row],[Rank]],Stammdaten[[Rank Verteilung Abholzigkeit]:[Verteilung Abholzigkeit]],2,FALSE)</f>
        <v>#N/A</v>
      </c>
      <c r="S2604">
        <v>2595</v>
      </c>
      <c r="T2604" t="e">
        <f>INDEX(Stammdaten[Krümmung (mm/lfm)],MATCH(Tabelle10[[#This Row],[Rank]],Stammdaten[Rank Verteilung Krümmung],0))</f>
        <v>#N/A</v>
      </c>
      <c r="U2604" t="e">
        <f>VLOOKUP(Tabelle10[[#This Row],[Rank]],Stammdaten[[Rank Verteilung Krümmung]:[Verteilung Krümmung]],2,FALSE)</f>
        <v>#N/A</v>
      </c>
      <c r="Z2604">
        <v>2595</v>
      </c>
      <c r="AA2604" t="e">
        <f>INDEX(Stammdaten[Ovalität (']0,1'])],MATCH(Tabelle1014[[#This Row],[Rank]],Stammdaten[Rank Verteilung Ovalität],0))</f>
        <v>#N/A</v>
      </c>
      <c r="AB2604" t="e">
        <f>VLOOKUP(Tabelle1014[[#This Row],[Rank]],Stammdaten[[Rank Verteilung Ovalität]:[Verteilung Ovalität]],2,FALSE)</f>
        <v>#N/A</v>
      </c>
    </row>
    <row r="2605" spans="5:28" x14ac:dyDescent="0.35">
      <c r="E2605">
        <v>2596</v>
      </c>
      <c r="F2605" t="e">
        <f>INDEX(Stammdaten[D Mitte mit Rinde (mm)],MATCH(Tabelle8[[#This Row],[Rank]],Stammdaten[Rank Verteilung D Mitte mit Rinde],0))</f>
        <v>#N/A</v>
      </c>
      <c r="G2605" t="e">
        <f>VLOOKUP(Tabelle8[[#This Row],[Rank]],Stammdaten[[Rank Verteilung D Mitte mit Rinde]:[Verteilung D Mitte mit Rinde]],2,FALSE)</f>
        <v>#N/A</v>
      </c>
      <c r="L2605">
        <v>2596</v>
      </c>
      <c r="M2605" t="e">
        <f>INDEX(Stammdaten[Abholzigkeit (mm/lfm)],MATCH(Tabelle9[[#This Row],[Rank]],Stammdaten[Rank Verteilung Abholzigkeit],0))</f>
        <v>#N/A</v>
      </c>
      <c r="N2605" t="e">
        <f>VLOOKUP(Tabelle9[[#This Row],[Rank]],Stammdaten[[Rank Verteilung Abholzigkeit]:[Verteilung Abholzigkeit]],2,FALSE)</f>
        <v>#N/A</v>
      </c>
      <c r="S2605">
        <v>2596</v>
      </c>
      <c r="T2605" t="e">
        <f>INDEX(Stammdaten[Krümmung (mm/lfm)],MATCH(Tabelle10[[#This Row],[Rank]],Stammdaten[Rank Verteilung Krümmung],0))</f>
        <v>#N/A</v>
      </c>
      <c r="U2605" t="e">
        <f>VLOOKUP(Tabelle10[[#This Row],[Rank]],Stammdaten[[Rank Verteilung Krümmung]:[Verteilung Krümmung]],2,FALSE)</f>
        <v>#N/A</v>
      </c>
      <c r="Z2605">
        <v>2596</v>
      </c>
      <c r="AA2605" t="e">
        <f>INDEX(Stammdaten[Ovalität (']0,1'])],MATCH(Tabelle1014[[#This Row],[Rank]],Stammdaten[Rank Verteilung Ovalität],0))</f>
        <v>#N/A</v>
      </c>
      <c r="AB2605" t="e">
        <f>VLOOKUP(Tabelle1014[[#This Row],[Rank]],Stammdaten[[Rank Verteilung Ovalität]:[Verteilung Ovalität]],2,FALSE)</f>
        <v>#N/A</v>
      </c>
    </row>
    <row r="2606" spans="5:28" x14ac:dyDescent="0.35">
      <c r="E2606">
        <v>2597</v>
      </c>
      <c r="F2606" t="e">
        <f>INDEX(Stammdaten[D Mitte mit Rinde (mm)],MATCH(Tabelle8[[#This Row],[Rank]],Stammdaten[Rank Verteilung D Mitte mit Rinde],0))</f>
        <v>#N/A</v>
      </c>
      <c r="G2606" t="e">
        <f>VLOOKUP(Tabelle8[[#This Row],[Rank]],Stammdaten[[Rank Verteilung D Mitte mit Rinde]:[Verteilung D Mitte mit Rinde]],2,FALSE)</f>
        <v>#N/A</v>
      </c>
      <c r="L2606">
        <v>2597</v>
      </c>
      <c r="M2606" t="e">
        <f>INDEX(Stammdaten[Abholzigkeit (mm/lfm)],MATCH(Tabelle9[[#This Row],[Rank]],Stammdaten[Rank Verteilung Abholzigkeit],0))</f>
        <v>#N/A</v>
      </c>
      <c r="N2606" t="e">
        <f>VLOOKUP(Tabelle9[[#This Row],[Rank]],Stammdaten[[Rank Verteilung Abholzigkeit]:[Verteilung Abholzigkeit]],2,FALSE)</f>
        <v>#N/A</v>
      </c>
      <c r="S2606">
        <v>2597</v>
      </c>
      <c r="T2606" t="e">
        <f>INDEX(Stammdaten[Krümmung (mm/lfm)],MATCH(Tabelle10[[#This Row],[Rank]],Stammdaten[Rank Verteilung Krümmung],0))</f>
        <v>#N/A</v>
      </c>
      <c r="U2606" t="e">
        <f>VLOOKUP(Tabelle10[[#This Row],[Rank]],Stammdaten[[Rank Verteilung Krümmung]:[Verteilung Krümmung]],2,FALSE)</f>
        <v>#N/A</v>
      </c>
      <c r="Z2606">
        <v>2597</v>
      </c>
      <c r="AA2606" t="e">
        <f>INDEX(Stammdaten[Ovalität (']0,1'])],MATCH(Tabelle1014[[#This Row],[Rank]],Stammdaten[Rank Verteilung Ovalität],0))</f>
        <v>#N/A</v>
      </c>
      <c r="AB2606" t="e">
        <f>VLOOKUP(Tabelle1014[[#This Row],[Rank]],Stammdaten[[Rank Verteilung Ovalität]:[Verteilung Ovalität]],2,FALSE)</f>
        <v>#N/A</v>
      </c>
    </row>
    <row r="2607" spans="5:28" x14ac:dyDescent="0.35">
      <c r="E2607">
        <v>2598</v>
      </c>
      <c r="F2607" t="e">
        <f>INDEX(Stammdaten[D Mitte mit Rinde (mm)],MATCH(Tabelle8[[#This Row],[Rank]],Stammdaten[Rank Verteilung D Mitte mit Rinde],0))</f>
        <v>#N/A</v>
      </c>
      <c r="G2607" t="e">
        <f>VLOOKUP(Tabelle8[[#This Row],[Rank]],Stammdaten[[Rank Verteilung D Mitte mit Rinde]:[Verteilung D Mitte mit Rinde]],2,FALSE)</f>
        <v>#N/A</v>
      </c>
      <c r="L2607">
        <v>2598</v>
      </c>
      <c r="M2607" t="e">
        <f>INDEX(Stammdaten[Abholzigkeit (mm/lfm)],MATCH(Tabelle9[[#This Row],[Rank]],Stammdaten[Rank Verteilung Abholzigkeit],0))</f>
        <v>#N/A</v>
      </c>
      <c r="N2607" t="e">
        <f>VLOOKUP(Tabelle9[[#This Row],[Rank]],Stammdaten[[Rank Verteilung Abholzigkeit]:[Verteilung Abholzigkeit]],2,FALSE)</f>
        <v>#N/A</v>
      </c>
      <c r="S2607">
        <v>2598</v>
      </c>
      <c r="T2607" t="e">
        <f>INDEX(Stammdaten[Krümmung (mm/lfm)],MATCH(Tabelle10[[#This Row],[Rank]],Stammdaten[Rank Verteilung Krümmung],0))</f>
        <v>#N/A</v>
      </c>
      <c r="U2607" t="e">
        <f>VLOOKUP(Tabelle10[[#This Row],[Rank]],Stammdaten[[Rank Verteilung Krümmung]:[Verteilung Krümmung]],2,FALSE)</f>
        <v>#N/A</v>
      </c>
      <c r="Z2607">
        <v>2598</v>
      </c>
      <c r="AA2607" t="e">
        <f>INDEX(Stammdaten[Ovalität (']0,1'])],MATCH(Tabelle1014[[#This Row],[Rank]],Stammdaten[Rank Verteilung Ovalität],0))</f>
        <v>#N/A</v>
      </c>
      <c r="AB2607" t="e">
        <f>VLOOKUP(Tabelle1014[[#This Row],[Rank]],Stammdaten[[Rank Verteilung Ovalität]:[Verteilung Ovalität]],2,FALSE)</f>
        <v>#N/A</v>
      </c>
    </row>
    <row r="2608" spans="5:28" x14ac:dyDescent="0.35">
      <c r="E2608">
        <v>2599</v>
      </c>
      <c r="F2608" t="e">
        <f>INDEX(Stammdaten[D Mitte mit Rinde (mm)],MATCH(Tabelle8[[#This Row],[Rank]],Stammdaten[Rank Verteilung D Mitte mit Rinde],0))</f>
        <v>#N/A</v>
      </c>
      <c r="G2608" t="e">
        <f>VLOOKUP(Tabelle8[[#This Row],[Rank]],Stammdaten[[Rank Verteilung D Mitte mit Rinde]:[Verteilung D Mitte mit Rinde]],2,FALSE)</f>
        <v>#N/A</v>
      </c>
      <c r="L2608">
        <v>2599</v>
      </c>
      <c r="M2608" t="e">
        <f>INDEX(Stammdaten[Abholzigkeit (mm/lfm)],MATCH(Tabelle9[[#This Row],[Rank]],Stammdaten[Rank Verteilung Abholzigkeit],0))</f>
        <v>#N/A</v>
      </c>
      <c r="N2608" t="e">
        <f>VLOOKUP(Tabelle9[[#This Row],[Rank]],Stammdaten[[Rank Verteilung Abholzigkeit]:[Verteilung Abholzigkeit]],2,FALSE)</f>
        <v>#N/A</v>
      </c>
      <c r="S2608">
        <v>2599</v>
      </c>
      <c r="T2608" t="e">
        <f>INDEX(Stammdaten[Krümmung (mm/lfm)],MATCH(Tabelle10[[#This Row],[Rank]],Stammdaten[Rank Verteilung Krümmung],0))</f>
        <v>#N/A</v>
      </c>
      <c r="U2608" t="e">
        <f>VLOOKUP(Tabelle10[[#This Row],[Rank]],Stammdaten[[Rank Verteilung Krümmung]:[Verteilung Krümmung]],2,FALSE)</f>
        <v>#N/A</v>
      </c>
      <c r="Z2608">
        <v>2599</v>
      </c>
      <c r="AA2608" t="e">
        <f>INDEX(Stammdaten[Ovalität (']0,1'])],MATCH(Tabelle1014[[#This Row],[Rank]],Stammdaten[Rank Verteilung Ovalität],0))</f>
        <v>#N/A</v>
      </c>
      <c r="AB2608" t="e">
        <f>VLOOKUP(Tabelle1014[[#This Row],[Rank]],Stammdaten[[Rank Verteilung Ovalität]:[Verteilung Ovalität]],2,FALSE)</f>
        <v>#N/A</v>
      </c>
    </row>
    <row r="2609" spans="5:28" x14ac:dyDescent="0.35">
      <c r="E2609">
        <v>2600</v>
      </c>
      <c r="F2609" t="e">
        <f>INDEX(Stammdaten[D Mitte mit Rinde (mm)],MATCH(Tabelle8[[#This Row],[Rank]],Stammdaten[Rank Verteilung D Mitte mit Rinde],0))</f>
        <v>#N/A</v>
      </c>
      <c r="G2609" t="e">
        <f>VLOOKUP(Tabelle8[[#This Row],[Rank]],Stammdaten[[Rank Verteilung D Mitte mit Rinde]:[Verteilung D Mitte mit Rinde]],2,FALSE)</f>
        <v>#N/A</v>
      </c>
      <c r="L2609">
        <v>2600</v>
      </c>
      <c r="M2609" t="e">
        <f>INDEX(Stammdaten[Abholzigkeit (mm/lfm)],MATCH(Tabelle9[[#This Row],[Rank]],Stammdaten[Rank Verteilung Abholzigkeit],0))</f>
        <v>#N/A</v>
      </c>
      <c r="N2609" t="e">
        <f>VLOOKUP(Tabelle9[[#This Row],[Rank]],Stammdaten[[Rank Verteilung Abholzigkeit]:[Verteilung Abholzigkeit]],2,FALSE)</f>
        <v>#N/A</v>
      </c>
      <c r="S2609">
        <v>2600</v>
      </c>
      <c r="T2609" t="e">
        <f>INDEX(Stammdaten[Krümmung (mm/lfm)],MATCH(Tabelle10[[#This Row],[Rank]],Stammdaten[Rank Verteilung Krümmung],0))</f>
        <v>#N/A</v>
      </c>
      <c r="U2609" t="e">
        <f>VLOOKUP(Tabelle10[[#This Row],[Rank]],Stammdaten[[Rank Verteilung Krümmung]:[Verteilung Krümmung]],2,FALSE)</f>
        <v>#N/A</v>
      </c>
      <c r="Z2609">
        <v>2600</v>
      </c>
      <c r="AA2609" t="e">
        <f>INDEX(Stammdaten[Ovalität (']0,1'])],MATCH(Tabelle1014[[#This Row],[Rank]],Stammdaten[Rank Verteilung Ovalität],0))</f>
        <v>#N/A</v>
      </c>
      <c r="AB2609" t="e">
        <f>VLOOKUP(Tabelle1014[[#This Row],[Rank]],Stammdaten[[Rank Verteilung Ovalität]:[Verteilung Ovalität]],2,FALSE)</f>
        <v>#N/A</v>
      </c>
    </row>
    <row r="2610" spans="5:28" x14ac:dyDescent="0.35">
      <c r="E2610">
        <v>2601</v>
      </c>
      <c r="F2610" t="e">
        <f>INDEX(Stammdaten[D Mitte mit Rinde (mm)],MATCH(Tabelle8[[#This Row],[Rank]],Stammdaten[Rank Verteilung D Mitte mit Rinde],0))</f>
        <v>#N/A</v>
      </c>
      <c r="G2610" t="e">
        <f>VLOOKUP(Tabelle8[[#This Row],[Rank]],Stammdaten[[Rank Verteilung D Mitte mit Rinde]:[Verteilung D Mitte mit Rinde]],2,FALSE)</f>
        <v>#N/A</v>
      </c>
      <c r="L2610">
        <v>2601</v>
      </c>
      <c r="M2610" t="e">
        <f>INDEX(Stammdaten[Abholzigkeit (mm/lfm)],MATCH(Tabelle9[[#This Row],[Rank]],Stammdaten[Rank Verteilung Abholzigkeit],0))</f>
        <v>#N/A</v>
      </c>
      <c r="N2610" t="e">
        <f>VLOOKUP(Tabelle9[[#This Row],[Rank]],Stammdaten[[Rank Verteilung Abholzigkeit]:[Verteilung Abholzigkeit]],2,FALSE)</f>
        <v>#N/A</v>
      </c>
      <c r="S2610">
        <v>2601</v>
      </c>
      <c r="T2610" t="e">
        <f>INDEX(Stammdaten[Krümmung (mm/lfm)],MATCH(Tabelle10[[#This Row],[Rank]],Stammdaten[Rank Verteilung Krümmung],0))</f>
        <v>#N/A</v>
      </c>
      <c r="U2610" t="e">
        <f>VLOOKUP(Tabelle10[[#This Row],[Rank]],Stammdaten[[Rank Verteilung Krümmung]:[Verteilung Krümmung]],2,FALSE)</f>
        <v>#N/A</v>
      </c>
      <c r="Z2610">
        <v>2601</v>
      </c>
      <c r="AA2610" t="e">
        <f>INDEX(Stammdaten[Ovalität (']0,1'])],MATCH(Tabelle1014[[#This Row],[Rank]],Stammdaten[Rank Verteilung Ovalität],0))</f>
        <v>#N/A</v>
      </c>
      <c r="AB2610" t="e">
        <f>VLOOKUP(Tabelle1014[[#This Row],[Rank]],Stammdaten[[Rank Verteilung Ovalität]:[Verteilung Ovalität]],2,FALSE)</f>
        <v>#N/A</v>
      </c>
    </row>
    <row r="2611" spans="5:28" x14ac:dyDescent="0.35">
      <c r="E2611">
        <v>2602</v>
      </c>
      <c r="F2611" t="e">
        <f>INDEX(Stammdaten[D Mitte mit Rinde (mm)],MATCH(Tabelle8[[#This Row],[Rank]],Stammdaten[Rank Verteilung D Mitte mit Rinde],0))</f>
        <v>#N/A</v>
      </c>
      <c r="G2611" t="e">
        <f>VLOOKUP(Tabelle8[[#This Row],[Rank]],Stammdaten[[Rank Verteilung D Mitte mit Rinde]:[Verteilung D Mitte mit Rinde]],2,FALSE)</f>
        <v>#N/A</v>
      </c>
      <c r="L2611">
        <v>2602</v>
      </c>
      <c r="M2611" t="e">
        <f>INDEX(Stammdaten[Abholzigkeit (mm/lfm)],MATCH(Tabelle9[[#This Row],[Rank]],Stammdaten[Rank Verteilung Abholzigkeit],0))</f>
        <v>#N/A</v>
      </c>
      <c r="N2611" t="e">
        <f>VLOOKUP(Tabelle9[[#This Row],[Rank]],Stammdaten[[Rank Verteilung Abholzigkeit]:[Verteilung Abholzigkeit]],2,FALSE)</f>
        <v>#N/A</v>
      </c>
      <c r="S2611">
        <v>2602</v>
      </c>
      <c r="T2611" t="e">
        <f>INDEX(Stammdaten[Krümmung (mm/lfm)],MATCH(Tabelle10[[#This Row],[Rank]],Stammdaten[Rank Verteilung Krümmung],0))</f>
        <v>#N/A</v>
      </c>
      <c r="U2611" t="e">
        <f>VLOOKUP(Tabelle10[[#This Row],[Rank]],Stammdaten[[Rank Verteilung Krümmung]:[Verteilung Krümmung]],2,FALSE)</f>
        <v>#N/A</v>
      </c>
      <c r="Z2611">
        <v>2602</v>
      </c>
      <c r="AA2611" t="e">
        <f>INDEX(Stammdaten[Ovalität (']0,1'])],MATCH(Tabelle1014[[#This Row],[Rank]],Stammdaten[Rank Verteilung Ovalität],0))</f>
        <v>#N/A</v>
      </c>
      <c r="AB2611" t="e">
        <f>VLOOKUP(Tabelle1014[[#This Row],[Rank]],Stammdaten[[Rank Verteilung Ovalität]:[Verteilung Ovalität]],2,FALSE)</f>
        <v>#N/A</v>
      </c>
    </row>
    <row r="2612" spans="5:28" x14ac:dyDescent="0.35">
      <c r="E2612">
        <v>2603</v>
      </c>
      <c r="F2612" t="e">
        <f>INDEX(Stammdaten[D Mitte mit Rinde (mm)],MATCH(Tabelle8[[#This Row],[Rank]],Stammdaten[Rank Verteilung D Mitte mit Rinde],0))</f>
        <v>#N/A</v>
      </c>
      <c r="G2612" t="e">
        <f>VLOOKUP(Tabelle8[[#This Row],[Rank]],Stammdaten[[Rank Verteilung D Mitte mit Rinde]:[Verteilung D Mitte mit Rinde]],2,FALSE)</f>
        <v>#N/A</v>
      </c>
      <c r="L2612">
        <v>2603</v>
      </c>
      <c r="M2612" t="e">
        <f>INDEX(Stammdaten[Abholzigkeit (mm/lfm)],MATCH(Tabelle9[[#This Row],[Rank]],Stammdaten[Rank Verteilung Abholzigkeit],0))</f>
        <v>#N/A</v>
      </c>
      <c r="N2612" t="e">
        <f>VLOOKUP(Tabelle9[[#This Row],[Rank]],Stammdaten[[Rank Verteilung Abholzigkeit]:[Verteilung Abholzigkeit]],2,FALSE)</f>
        <v>#N/A</v>
      </c>
      <c r="S2612">
        <v>2603</v>
      </c>
      <c r="T2612" t="e">
        <f>INDEX(Stammdaten[Krümmung (mm/lfm)],MATCH(Tabelle10[[#This Row],[Rank]],Stammdaten[Rank Verteilung Krümmung],0))</f>
        <v>#N/A</v>
      </c>
      <c r="U2612" t="e">
        <f>VLOOKUP(Tabelle10[[#This Row],[Rank]],Stammdaten[[Rank Verteilung Krümmung]:[Verteilung Krümmung]],2,FALSE)</f>
        <v>#N/A</v>
      </c>
      <c r="Z2612">
        <v>2603</v>
      </c>
      <c r="AA2612" t="e">
        <f>INDEX(Stammdaten[Ovalität (']0,1'])],MATCH(Tabelle1014[[#This Row],[Rank]],Stammdaten[Rank Verteilung Ovalität],0))</f>
        <v>#N/A</v>
      </c>
      <c r="AB2612" t="e">
        <f>VLOOKUP(Tabelle1014[[#This Row],[Rank]],Stammdaten[[Rank Verteilung Ovalität]:[Verteilung Ovalität]],2,FALSE)</f>
        <v>#N/A</v>
      </c>
    </row>
    <row r="2613" spans="5:28" x14ac:dyDescent="0.35">
      <c r="E2613">
        <v>2604</v>
      </c>
      <c r="F2613" t="e">
        <f>INDEX(Stammdaten[D Mitte mit Rinde (mm)],MATCH(Tabelle8[[#This Row],[Rank]],Stammdaten[Rank Verteilung D Mitte mit Rinde],0))</f>
        <v>#N/A</v>
      </c>
      <c r="G2613" t="e">
        <f>VLOOKUP(Tabelle8[[#This Row],[Rank]],Stammdaten[[Rank Verteilung D Mitte mit Rinde]:[Verteilung D Mitte mit Rinde]],2,FALSE)</f>
        <v>#N/A</v>
      </c>
      <c r="L2613">
        <v>2604</v>
      </c>
      <c r="M2613" t="e">
        <f>INDEX(Stammdaten[Abholzigkeit (mm/lfm)],MATCH(Tabelle9[[#This Row],[Rank]],Stammdaten[Rank Verteilung Abholzigkeit],0))</f>
        <v>#N/A</v>
      </c>
      <c r="N2613" t="e">
        <f>VLOOKUP(Tabelle9[[#This Row],[Rank]],Stammdaten[[Rank Verteilung Abholzigkeit]:[Verteilung Abholzigkeit]],2,FALSE)</f>
        <v>#N/A</v>
      </c>
      <c r="S2613">
        <v>2604</v>
      </c>
      <c r="T2613" t="e">
        <f>INDEX(Stammdaten[Krümmung (mm/lfm)],MATCH(Tabelle10[[#This Row],[Rank]],Stammdaten[Rank Verteilung Krümmung],0))</f>
        <v>#N/A</v>
      </c>
      <c r="U2613" t="e">
        <f>VLOOKUP(Tabelle10[[#This Row],[Rank]],Stammdaten[[Rank Verteilung Krümmung]:[Verteilung Krümmung]],2,FALSE)</f>
        <v>#N/A</v>
      </c>
      <c r="Z2613">
        <v>2604</v>
      </c>
      <c r="AA2613" t="e">
        <f>INDEX(Stammdaten[Ovalität (']0,1'])],MATCH(Tabelle1014[[#This Row],[Rank]],Stammdaten[Rank Verteilung Ovalität],0))</f>
        <v>#N/A</v>
      </c>
      <c r="AB2613" t="e">
        <f>VLOOKUP(Tabelle1014[[#This Row],[Rank]],Stammdaten[[Rank Verteilung Ovalität]:[Verteilung Ovalität]],2,FALSE)</f>
        <v>#N/A</v>
      </c>
    </row>
    <row r="2614" spans="5:28" x14ac:dyDescent="0.35">
      <c r="E2614">
        <v>2605</v>
      </c>
      <c r="F2614" t="e">
        <f>INDEX(Stammdaten[D Mitte mit Rinde (mm)],MATCH(Tabelle8[[#This Row],[Rank]],Stammdaten[Rank Verteilung D Mitte mit Rinde],0))</f>
        <v>#N/A</v>
      </c>
      <c r="G2614" t="e">
        <f>VLOOKUP(Tabelle8[[#This Row],[Rank]],Stammdaten[[Rank Verteilung D Mitte mit Rinde]:[Verteilung D Mitte mit Rinde]],2,FALSE)</f>
        <v>#N/A</v>
      </c>
      <c r="L2614">
        <v>2605</v>
      </c>
      <c r="M2614" t="e">
        <f>INDEX(Stammdaten[Abholzigkeit (mm/lfm)],MATCH(Tabelle9[[#This Row],[Rank]],Stammdaten[Rank Verteilung Abholzigkeit],0))</f>
        <v>#N/A</v>
      </c>
      <c r="N2614" t="e">
        <f>VLOOKUP(Tabelle9[[#This Row],[Rank]],Stammdaten[[Rank Verteilung Abholzigkeit]:[Verteilung Abholzigkeit]],2,FALSE)</f>
        <v>#N/A</v>
      </c>
      <c r="S2614">
        <v>2605</v>
      </c>
      <c r="T2614" t="e">
        <f>INDEX(Stammdaten[Krümmung (mm/lfm)],MATCH(Tabelle10[[#This Row],[Rank]],Stammdaten[Rank Verteilung Krümmung],0))</f>
        <v>#N/A</v>
      </c>
      <c r="U2614" t="e">
        <f>VLOOKUP(Tabelle10[[#This Row],[Rank]],Stammdaten[[Rank Verteilung Krümmung]:[Verteilung Krümmung]],2,FALSE)</f>
        <v>#N/A</v>
      </c>
      <c r="Z2614">
        <v>2605</v>
      </c>
      <c r="AA2614" t="e">
        <f>INDEX(Stammdaten[Ovalität (']0,1'])],MATCH(Tabelle1014[[#This Row],[Rank]],Stammdaten[Rank Verteilung Ovalität],0))</f>
        <v>#N/A</v>
      </c>
      <c r="AB2614" t="e">
        <f>VLOOKUP(Tabelle1014[[#This Row],[Rank]],Stammdaten[[Rank Verteilung Ovalität]:[Verteilung Ovalität]],2,FALSE)</f>
        <v>#N/A</v>
      </c>
    </row>
    <row r="2615" spans="5:28" x14ac:dyDescent="0.35">
      <c r="E2615">
        <v>2606</v>
      </c>
      <c r="F2615" t="e">
        <f>INDEX(Stammdaten[D Mitte mit Rinde (mm)],MATCH(Tabelle8[[#This Row],[Rank]],Stammdaten[Rank Verteilung D Mitte mit Rinde],0))</f>
        <v>#N/A</v>
      </c>
      <c r="G2615" t="e">
        <f>VLOOKUP(Tabelle8[[#This Row],[Rank]],Stammdaten[[Rank Verteilung D Mitte mit Rinde]:[Verteilung D Mitte mit Rinde]],2,FALSE)</f>
        <v>#N/A</v>
      </c>
      <c r="L2615">
        <v>2606</v>
      </c>
      <c r="M2615" t="e">
        <f>INDEX(Stammdaten[Abholzigkeit (mm/lfm)],MATCH(Tabelle9[[#This Row],[Rank]],Stammdaten[Rank Verteilung Abholzigkeit],0))</f>
        <v>#N/A</v>
      </c>
      <c r="N2615" t="e">
        <f>VLOOKUP(Tabelle9[[#This Row],[Rank]],Stammdaten[[Rank Verteilung Abholzigkeit]:[Verteilung Abholzigkeit]],2,FALSE)</f>
        <v>#N/A</v>
      </c>
      <c r="S2615">
        <v>2606</v>
      </c>
      <c r="T2615" t="e">
        <f>INDEX(Stammdaten[Krümmung (mm/lfm)],MATCH(Tabelle10[[#This Row],[Rank]],Stammdaten[Rank Verteilung Krümmung],0))</f>
        <v>#N/A</v>
      </c>
      <c r="U2615" t="e">
        <f>VLOOKUP(Tabelle10[[#This Row],[Rank]],Stammdaten[[Rank Verteilung Krümmung]:[Verteilung Krümmung]],2,FALSE)</f>
        <v>#N/A</v>
      </c>
      <c r="Z2615">
        <v>2606</v>
      </c>
      <c r="AA2615" t="e">
        <f>INDEX(Stammdaten[Ovalität (']0,1'])],MATCH(Tabelle1014[[#This Row],[Rank]],Stammdaten[Rank Verteilung Ovalität],0))</f>
        <v>#N/A</v>
      </c>
      <c r="AB2615" t="e">
        <f>VLOOKUP(Tabelle1014[[#This Row],[Rank]],Stammdaten[[Rank Verteilung Ovalität]:[Verteilung Ovalität]],2,FALSE)</f>
        <v>#N/A</v>
      </c>
    </row>
    <row r="2616" spans="5:28" x14ac:dyDescent="0.35">
      <c r="E2616">
        <v>2607</v>
      </c>
      <c r="F2616" t="e">
        <f>INDEX(Stammdaten[D Mitte mit Rinde (mm)],MATCH(Tabelle8[[#This Row],[Rank]],Stammdaten[Rank Verteilung D Mitte mit Rinde],0))</f>
        <v>#N/A</v>
      </c>
      <c r="G2616" t="e">
        <f>VLOOKUP(Tabelle8[[#This Row],[Rank]],Stammdaten[[Rank Verteilung D Mitte mit Rinde]:[Verteilung D Mitte mit Rinde]],2,FALSE)</f>
        <v>#N/A</v>
      </c>
      <c r="L2616">
        <v>2607</v>
      </c>
      <c r="M2616" t="e">
        <f>INDEX(Stammdaten[Abholzigkeit (mm/lfm)],MATCH(Tabelle9[[#This Row],[Rank]],Stammdaten[Rank Verteilung Abholzigkeit],0))</f>
        <v>#N/A</v>
      </c>
      <c r="N2616" t="e">
        <f>VLOOKUP(Tabelle9[[#This Row],[Rank]],Stammdaten[[Rank Verteilung Abholzigkeit]:[Verteilung Abholzigkeit]],2,FALSE)</f>
        <v>#N/A</v>
      </c>
      <c r="S2616">
        <v>2607</v>
      </c>
      <c r="T2616" t="e">
        <f>INDEX(Stammdaten[Krümmung (mm/lfm)],MATCH(Tabelle10[[#This Row],[Rank]],Stammdaten[Rank Verteilung Krümmung],0))</f>
        <v>#N/A</v>
      </c>
      <c r="U2616" t="e">
        <f>VLOOKUP(Tabelle10[[#This Row],[Rank]],Stammdaten[[Rank Verteilung Krümmung]:[Verteilung Krümmung]],2,FALSE)</f>
        <v>#N/A</v>
      </c>
      <c r="Z2616">
        <v>2607</v>
      </c>
      <c r="AA2616" t="e">
        <f>INDEX(Stammdaten[Ovalität (']0,1'])],MATCH(Tabelle1014[[#This Row],[Rank]],Stammdaten[Rank Verteilung Ovalität],0))</f>
        <v>#N/A</v>
      </c>
      <c r="AB2616" t="e">
        <f>VLOOKUP(Tabelle1014[[#This Row],[Rank]],Stammdaten[[Rank Verteilung Ovalität]:[Verteilung Ovalität]],2,FALSE)</f>
        <v>#N/A</v>
      </c>
    </row>
    <row r="2617" spans="5:28" x14ac:dyDescent="0.35">
      <c r="E2617">
        <v>2608</v>
      </c>
      <c r="F2617" t="e">
        <f>INDEX(Stammdaten[D Mitte mit Rinde (mm)],MATCH(Tabelle8[[#This Row],[Rank]],Stammdaten[Rank Verteilung D Mitte mit Rinde],0))</f>
        <v>#N/A</v>
      </c>
      <c r="G2617" t="e">
        <f>VLOOKUP(Tabelle8[[#This Row],[Rank]],Stammdaten[[Rank Verteilung D Mitte mit Rinde]:[Verteilung D Mitte mit Rinde]],2,FALSE)</f>
        <v>#N/A</v>
      </c>
      <c r="L2617">
        <v>2608</v>
      </c>
      <c r="M2617" t="e">
        <f>INDEX(Stammdaten[Abholzigkeit (mm/lfm)],MATCH(Tabelle9[[#This Row],[Rank]],Stammdaten[Rank Verteilung Abholzigkeit],0))</f>
        <v>#N/A</v>
      </c>
      <c r="N2617" t="e">
        <f>VLOOKUP(Tabelle9[[#This Row],[Rank]],Stammdaten[[Rank Verteilung Abholzigkeit]:[Verteilung Abholzigkeit]],2,FALSE)</f>
        <v>#N/A</v>
      </c>
      <c r="S2617">
        <v>2608</v>
      </c>
      <c r="T2617" t="e">
        <f>INDEX(Stammdaten[Krümmung (mm/lfm)],MATCH(Tabelle10[[#This Row],[Rank]],Stammdaten[Rank Verteilung Krümmung],0))</f>
        <v>#N/A</v>
      </c>
      <c r="U2617" t="e">
        <f>VLOOKUP(Tabelle10[[#This Row],[Rank]],Stammdaten[[Rank Verteilung Krümmung]:[Verteilung Krümmung]],2,FALSE)</f>
        <v>#N/A</v>
      </c>
      <c r="Z2617">
        <v>2608</v>
      </c>
      <c r="AA2617" t="e">
        <f>INDEX(Stammdaten[Ovalität (']0,1'])],MATCH(Tabelle1014[[#This Row],[Rank]],Stammdaten[Rank Verteilung Ovalität],0))</f>
        <v>#N/A</v>
      </c>
      <c r="AB2617" t="e">
        <f>VLOOKUP(Tabelle1014[[#This Row],[Rank]],Stammdaten[[Rank Verteilung Ovalität]:[Verteilung Ovalität]],2,FALSE)</f>
        <v>#N/A</v>
      </c>
    </row>
    <row r="2618" spans="5:28" x14ac:dyDescent="0.35">
      <c r="E2618">
        <v>2609</v>
      </c>
      <c r="F2618" t="e">
        <f>INDEX(Stammdaten[D Mitte mit Rinde (mm)],MATCH(Tabelle8[[#This Row],[Rank]],Stammdaten[Rank Verteilung D Mitte mit Rinde],0))</f>
        <v>#N/A</v>
      </c>
      <c r="G2618" t="e">
        <f>VLOOKUP(Tabelle8[[#This Row],[Rank]],Stammdaten[[Rank Verteilung D Mitte mit Rinde]:[Verteilung D Mitte mit Rinde]],2,FALSE)</f>
        <v>#N/A</v>
      </c>
      <c r="L2618">
        <v>2609</v>
      </c>
      <c r="M2618" t="e">
        <f>INDEX(Stammdaten[Abholzigkeit (mm/lfm)],MATCH(Tabelle9[[#This Row],[Rank]],Stammdaten[Rank Verteilung Abholzigkeit],0))</f>
        <v>#N/A</v>
      </c>
      <c r="N2618" t="e">
        <f>VLOOKUP(Tabelle9[[#This Row],[Rank]],Stammdaten[[Rank Verteilung Abholzigkeit]:[Verteilung Abholzigkeit]],2,FALSE)</f>
        <v>#N/A</v>
      </c>
      <c r="S2618">
        <v>2609</v>
      </c>
      <c r="T2618" t="e">
        <f>INDEX(Stammdaten[Krümmung (mm/lfm)],MATCH(Tabelle10[[#This Row],[Rank]],Stammdaten[Rank Verteilung Krümmung],0))</f>
        <v>#N/A</v>
      </c>
      <c r="U2618" t="e">
        <f>VLOOKUP(Tabelle10[[#This Row],[Rank]],Stammdaten[[Rank Verteilung Krümmung]:[Verteilung Krümmung]],2,FALSE)</f>
        <v>#N/A</v>
      </c>
      <c r="Z2618">
        <v>2609</v>
      </c>
      <c r="AA2618" t="e">
        <f>INDEX(Stammdaten[Ovalität (']0,1'])],MATCH(Tabelle1014[[#This Row],[Rank]],Stammdaten[Rank Verteilung Ovalität],0))</f>
        <v>#N/A</v>
      </c>
      <c r="AB2618" t="e">
        <f>VLOOKUP(Tabelle1014[[#This Row],[Rank]],Stammdaten[[Rank Verteilung Ovalität]:[Verteilung Ovalität]],2,FALSE)</f>
        <v>#N/A</v>
      </c>
    </row>
    <row r="2619" spans="5:28" x14ac:dyDescent="0.35">
      <c r="E2619">
        <v>2610</v>
      </c>
      <c r="F2619" t="e">
        <f>INDEX(Stammdaten[D Mitte mit Rinde (mm)],MATCH(Tabelle8[[#This Row],[Rank]],Stammdaten[Rank Verteilung D Mitte mit Rinde],0))</f>
        <v>#N/A</v>
      </c>
      <c r="G2619" t="e">
        <f>VLOOKUP(Tabelle8[[#This Row],[Rank]],Stammdaten[[Rank Verteilung D Mitte mit Rinde]:[Verteilung D Mitte mit Rinde]],2,FALSE)</f>
        <v>#N/A</v>
      </c>
      <c r="L2619">
        <v>2610</v>
      </c>
      <c r="M2619" t="e">
        <f>INDEX(Stammdaten[Abholzigkeit (mm/lfm)],MATCH(Tabelle9[[#This Row],[Rank]],Stammdaten[Rank Verteilung Abholzigkeit],0))</f>
        <v>#N/A</v>
      </c>
      <c r="N2619" t="e">
        <f>VLOOKUP(Tabelle9[[#This Row],[Rank]],Stammdaten[[Rank Verteilung Abholzigkeit]:[Verteilung Abholzigkeit]],2,FALSE)</f>
        <v>#N/A</v>
      </c>
      <c r="S2619">
        <v>2610</v>
      </c>
      <c r="T2619" t="e">
        <f>INDEX(Stammdaten[Krümmung (mm/lfm)],MATCH(Tabelle10[[#This Row],[Rank]],Stammdaten[Rank Verteilung Krümmung],0))</f>
        <v>#N/A</v>
      </c>
      <c r="U2619" t="e">
        <f>VLOOKUP(Tabelle10[[#This Row],[Rank]],Stammdaten[[Rank Verteilung Krümmung]:[Verteilung Krümmung]],2,FALSE)</f>
        <v>#N/A</v>
      </c>
      <c r="Z2619">
        <v>2610</v>
      </c>
      <c r="AA2619" t="e">
        <f>INDEX(Stammdaten[Ovalität (']0,1'])],MATCH(Tabelle1014[[#This Row],[Rank]],Stammdaten[Rank Verteilung Ovalität],0))</f>
        <v>#N/A</v>
      </c>
      <c r="AB2619" t="e">
        <f>VLOOKUP(Tabelle1014[[#This Row],[Rank]],Stammdaten[[Rank Verteilung Ovalität]:[Verteilung Ovalität]],2,FALSE)</f>
        <v>#N/A</v>
      </c>
    </row>
    <row r="2620" spans="5:28" x14ac:dyDescent="0.35">
      <c r="E2620">
        <v>2611</v>
      </c>
      <c r="F2620" t="e">
        <f>INDEX(Stammdaten[D Mitte mit Rinde (mm)],MATCH(Tabelle8[[#This Row],[Rank]],Stammdaten[Rank Verteilung D Mitte mit Rinde],0))</f>
        <v>#N/A</v>
      </c>
      <c r="G2620" t="e">
        <f>VLOOKUP(Tabelle8[[#This Row],[Rank]],Stammdaten[[Rank Verteilung D Mitte mit Rinde]:[Verteilung D Mitte mit Rinde]],2,FALSE)</f>
        <v>#N/A</v>
      </c>
      <c r="L2620">
        <v>2611</v>
      </c>
      <c r="M2620" t="e">
        <f>INDEX(Stammdaten[Abholzigkeit (mm/lfm)],MATCH(Tabelle9[[#This Row],[Rank]],Stammdaten[Rank Verteilung Abholzigkeit],0))</f>
        <v>#N/A</v>
      </c>
      <c r="N2620" t="e">
        <f>VLOOKUP(Tabelle9[[#This Row],[Rank]],Stammdaten[[Rank Verteilung Abholzigkeit]:[Verteilung Abholzigkeit]],2,FALSE)</f>
        <v>#N/A</v>
      </c>
      <c r="S2620">
        <v>2611</v>
      </c>
      <c r="T2620" t="e">
        <f>INDEX(Stammdaten[Krümmung (mm/lfm)],MATCH(Tabelle10[[#This Row],[Rank]],Stammdaten[Rank Verteilung Krümmung],0))</f>
        <v>#N/A</v>
      </c>
      <c r="U2620" t="e">
        <f>VLOOKUP(Tabelle10[[#This Row],[Rank]],Stammdaten[[Rank Verteilung Krümmung]:[Verteilung Krümmung]],2,FALSE)</f>
        <v>#N/A</v>
      </c>
      <c r="Z2620">
        <v>2611</v>
      </c>
      <c r="AA2620" t="e">
        <f>INDEX(Stammdaten[Ovalität (']0,1'])],MATCH(Tabelle1014[[#This Row],[Rank]],Stammdaten[Rank Verteilung Ovalität],0))</f>
        <v>#N/A</v>
      </c>
      <c r="AB2620" t="e">
        <f>VLOOKUP(Tabelle1014[[#This Row],[Rank]],Stammdaten[[Rank Verteilung Ovalität]:[Verteilung Ovalität]],2,FALSE)</f>
        <v>#N/A</v>
      </c>
    </row>
    <row r="2621" spans="5:28" x14ac:dyDescent="0.35">
      <c r="E2621">
        <v>2612</v>
      </c>
      <c r="F2621" t="e">
        <f>INDEX(Stammdaten[D Mitte mit Rinde (mm)],MATCH(Tabelle8[[#This Row],[Rank]],Stammdaten[Rank Verteilung D Mitte mit Rinde],0))</f>
        <v>#N/A</v>
      </c>
      <c r="G2621" t="e">
        <f>VLOOKUP(Tabelle8[[#This Row],[Rank]],Stammdaten[[Rank Verteilung D Mitte mit Rinde]:[Verteilung D Mitte mit Rinde]],2,FALSE)</f>
        <v>#N/A</v>
      </c>
      <c r="L2621">
        <v>2612</v>
      </c>
      <c r="M2621" t="e">
        <f>INDEX(Stammdaten[Abholzigkeit (mm/lfm)],MATCH(Tabelle9[[#This Row],[Rank]],Stammdaten[Rank Verteilung Abholzigkeit],0))</f>
        <v>#N/A</v>
      </c>
      <c r="N2621" t="e">
        <f>VLOOKUP(Tabelle9[[#This Row],[Rank]],Stammdaten[[Rank Verteilung Abholzigkeit]:[Verteilung Abholzigkeit]],2,FALSE)</f>
        <v>#N/A</v>
      </c>
      <c r="S2621">
        <v>2612</v>
      </c>
      <c r="T2621" t="e">
        <f>INDEX(Stammdaten[Krümmung (mm/lfm)],MATCH(Tabelle10[[#This Row],[Rank]],Stammdaten[Rank Verteilung Krümmung],0))</f>
        <v>#N/A</v>
      </c>
      <c r="U2621" t="e">
        <f>VLOOKUP(Tabelle10[[#This Row],[Rank]],Stammdaten[[Rank Verteilung Krümmung]:[Verteilung Krümmung]],2,FALSE)</f>
        <v>#N/A</v>
      </c>
      <c r="Z2621">
        <v>2612</v>
      </c>
      <c r="AA2621" t="e">
        <f>INDEX(Stammdaten[Ovalität (']0,1'])],MATCH(Tabelle1014[[#This Row],[Rank]],Stammdaten[Rank Verteilung Ovalität],0))</f>
        <v>#N/A</v>
      </c>
      <c r="AB2621" t="e">
        <f>VLOOKUP(Tabelle1014[[#This Row],[Rank]],Stammdaten[[Rank Verteilung Ovalität]:[Verteilung Ovalität]],2,FALSE)</f>
        <v>#N/A</v>
      </c>
    </row>
    <row r="2622" spans="5:28" x14ac:dyDescent="0.35">
      <c r="E2622">
        <v>2613</v>
      </c>
      <c r="F2622" t="e">
        <f>INDEX(Stammdaten[D Mitte mit Rinde (mm)],MATCH(Tabelle8[[#This Row],[Rank]],Stammdaten[Rank Verteilung D Mitte mit Rinde],0))</f>
        <v>#N/A</v>
      </c>
      <c r="G2622" t="e">
        <f>VLOOKUP(Tabelle8[[#This Row],[Rank]],Stammdaten[[Rank Verteilung D Mitte mit Rinde]:[Verteilung D Mitte mit Rinde]],2,FALSE)</f>
        <v>#N/A</v>
      </c>
      <c r="L2622">
        <v>2613</v>
      </c>
      <c r="M2622" t="e">
        <f>INDEX(Stammdaten[Abholzigkeit (mm/lfm)],MATCH(Tabelle9[[#This Row],[Rank]],Stammdaten[Rank Verteilung Abholzigkeit],0))</f>
        <v>#N/A</v>
      </c>
      <c r="N2622" t="e">
        <f>VLOOKUP(Tabelle9[[#This Row],[Rank]],Stammdaten[[Rank Verteilung Abholzigkeit]:[Verteilung Abholzigkeit]],2,FALSE)</f>
        <v>#N/A</v>
      </c>
      <c r="S2622">
        <v>2613</v>
      </c>
      <c r="T2622" t="e">
        <f>INDEX(Stammdaten[Krümmung (mm/lfm)],MATCH(Tabelle10[[#This Row],[Rank]],Stammdaten[Rank Verteilung Krümmung],0))</f>
        <v>#N/A</v>
      </c>
      <c r="U2622" t="e">
        <f>VLOOKUP(Tabelle10[[#This Row],[Rank]],Stammdaten[[Rank Verteilung Krümmung]:[Verteilung Krümmung]],2,FALSE)</f>
        <v>#N/A</v>
      </c>
      <c r="Z2622">
        <v>2613</v>
      </c>
      <c r="AA2622" t="e">
        <f>INDEX(Stammdaten[Ovalität (']0,1'])],MATCH(Tabelle1014[[#This Row],[Rank]],Stammdaten[Rank Verteilung Ovalität],0))</f>
        <v>#N/A</v>
      </c>
      <c r="AB2622" t="e">
        <f>VLOOKUP(Tabelle1014[[#This Row],[Rank]],Stammdaten[[Rank Verteilung Ovalität]:[Verteilung Ovalität]],2,FALSE)</f>
        <v>#N/A</v>
      </c>
    </row>
    <row r="2623" spans="5:28" x14ac:dyDescent="0.35">
      <c r="E2623">
        <v>2614</v>
      </c>
      <c r="F2623" t="e">
        <f>INDEX(Stammdaten[D Mitte mit Rinde (mm)],MATCH(Tabelle8[[#This Row],[Rank]],Stammdaten[Rank Verteilung D Mitte mit Rinde],0))</f>
        <v>#N/A</v>
      </c>
      <c r="G2623" t="e">
        <f>VLOOKUP(Tabelle8[[#This Row],[Rank]],Stammdaten[[Rank Verteilung D Mitte mit Rinde]:[Verteilung D Mitte mit Rinde]],2,FALSE)</f>
        <v>#N/A</v>
      </c>
      <c r="L2623">
        <v>2614</v>
      </c>
      <c r="M2623" t="e">
        <f>INDEX(Stammdaten[Abholzigkeit (mm/lfm)],MATCH(Tabelle9[[#This Row],[Rank]],Stammdaten[Rank Verteilung Abholzigkeit],0))</f>
        <v>#N/A</v>
      </c>
      <c r="N2623" t="e">
        <f>VLOOKUP(Tabelle9[[#This Row],[Rank]],Stammdaten[[Rank Verteilung Abholzigkeit]:[Verteilung Abholzigkeit]],2,FALSE)</f>
        <v>#N/A</v>
      </c>
      <c r="S2623">
        <v>2614</v>
      </c>
      <c r="T2623" t="e">
        <f>INDEX(Stammdaten[Krümmung (mm/lfm)],MATCH(Tabelle10[[#This Row],[Rank]],Stammdaten[Rank Verteilung Krümmung],0))</f>
        <v>#N/A</v>
      </c>
      <c r="U2623" t="e">
        <f>VLOOKUP(Tabelle10[[#This Row],[Rank]],Stammdaten[[Rank Verteilung Krümmung]:[Verteilung Krümmung]],2,FALSE)</f>
        <v>#N/A</v>
      </c>
      <c r="Z2623">
        <v>2614</v>
      </c>
      <c r="AA2623" t="e">
        <f>INDEX(Stammdaten[Ovalität (']0,1'])],MATCH(Tabelle1014[[#This Row],[Rank]],Stammdaten[Rank Verteilung Ovalität],0))</f>
        <v>#N/A</v>
      </c>
      <c r="AB2623" t="e">
        <f>VLOOKUP(Tabelle1014[[#This Row],[Rank]],Stammdaten[[Rank Verteilung Ovalität]:[Verteilung Ovalität]],2,FALSE)</f>
        <v>#N/A</v>
      </c>
    </row>
    <row r="2624" spans="5:28" x14ac:dyDescent="0.35">
      <c r="E2624">
        <v>2615</v>
      </c>
      <c r="F2624" t="e">
        <f>INDEX(Stammdaten[D Mitte mit Rinde (mm)],MATCH(Tabelle8[[#This Row],[Rank]],Stammdaten[Rank Verteilung D Mitte mit Rinde],0))</f>
        <v>#N/A</v>
      </c>
      <c r="G2624" t="e">
        <f>VLOOKUP(Tabelle8[[#This Row],[Rank]],Stammdaten[[Rank Verteilung D Mitte mit Rinde]:[Verteilung D Mitte mit Rinde]],2,FALSE)</f>
        <v>#N/A</v>
      </c>
      <c r="L2624">
        <v>2615</v>
      </c>
      <c r="M2624" t="e">
        <f>INDEX(Stammdaten[Abholzigkeit (mm/lfm)],MATCH(Tabelle9[[#This Row],[Rank]],Stammdaten[Rank Verteilung Abholzigkeit],0))</f>
        <v>#N/A</v>
      </c>
      <c r="N2624" t="e">
        <f>VLOOKUP(Tabelle9[[#This Row],[Rank]],Stammdaten[[Rank Verteilung Abholzigkeit]:[Verteilung Abholzigkeit]],2,FALSE)</f>
        <v>#N/A</v>
      </c>
      <c r="S2624">
        <v>2615</v>
      </c>
      <c r="T2624" t="e">
        <f>INDEX(Stammdaten[Krümmung (mm/lfm)],MATCH(Tabelle10[[#This Row],[Rank]],Stammdaten[Rank Verteilung Krümmung],0))</f>
        <v>#N/A</v>
      </c>
      <c r="U2624" t="e">
        <f>VLOOKUP(Tabelle10[[#This Row],[Rank]],Stammdaten[[Rank Verteilung Krümmung]:[Verteilung Krümmung]],2,FALSE)</f>
        <v>#N/A</v>
      </c>
      <c r="Z2624">
        <v>2615</v>
      </c>
      <c r="AA2624" t="e">
        <f>INDEX(Stammdaten[Ovalität (']0,1'])],MATCH(Tabelle1014[[#This Row],[Rank]],Stammdaten[Rank Verteilung Ovalität],0))</f>
        <v>#N/A</v>
      </c>
      <c r="AB2624" t="e">
        <f>VLOOKUP(Tabelle1014[[#This Row],[Rank]],Stammdaten[[Rank Verteilung Ovalität]:[Verteilung Ovalität]],2,FALSE)</f>
        <v>#N/A</v>
      </c>
    </row>
    <row r="2625" spans="5:28" x14ac:dyDescent="0.35">
      <c r="E2625">
        <v>2616</v>
      </c>
      <c r="F2625" t="e">
        <f>INDEX(Stammdaten[D Mitte mit Rinde (mm)],MATCH(Tabelle8[[#This Row],[Rank]],Stammdaten[Rank Verteilung D Mitte mit Rinde],0))</f>
        <v>#N/A</v>
      </c>
      <c r="G2625" t="e">
        <f>VLOOKUP(Tabelle8[[#This Row],[Rank]],Stammdaten[[Rank Verteilung D Mitte mit Rinde]:[Verteilung D Mitte mit Rinde]],2,FALSE)</f>
        <v>#N/A</v>
      </c>
      <c r="L2625">
        <v>2616</v>
      </c>
      <c r="M2625" t="e">
        <f>INDEX(Stammdaten[Abholzigkeit (mm/lfm)],MATCH(Tabelle9[[#This Row],[Rank]],Stammdaten[Rank Verteilung Abholzigkeit],0))</f>
        <v>#N/A</v>
      </c>
      <c r="N2625" t="e">
        <f>VLOOKUP(Tabelle9[[#This Row],[Rank]],Stammdaten[[Rank Verteilung Abholzigkeit]:[Verteilung Abholzigkeit]],2,FALSE)</f>
        <v>#N/A</v>
      </c>
      <c r="S2625">
        <v>2616</v>
      </c>
      <c r="T2625" t="e">
        <f>INDEX(Stammdaten[Krümmung (mm/lfm)],MATCH(Tabelle10[[#This Row],[Rank]],Stammdaten[Rank Verteilung Krümmung],0))</f>
        <v>#N/A</v>
      </c>
      <c r="U2625" t="e">
        <f>VLOOKUP(Tabelle10[[#This Row],[Rank]],Stammdaten[[Rank Verteilung Krümmung]:[Verteilung Krümmung]],2,FALSE)</f>
        <v>#N/A</v>
      </c>
      <c r="Z2625">
        <v>2616</v>
      </c>
      <c r="AA2625" t="e">
        <f>INDEX(Stammdaten[Ovalität (']0,1'])],MATCH(Tabelle1014[[#This Row],[Rank]],Stammdaten[Rank Verteilung Ovalität],0))</f>
        <v>#N/A</v>
      </c>
      <c r="AB2625" t="e">
        <f>VLOOKUP(Tabelle1014[[#This Row],[Rank]],Stammdaten[[Rank Verteilung Ovalität]:[Verteilung Ovalität]],2,FALSE)</f>
        <v>#N/A</v>
      </c>
    </row>
    <row r="2626" spans="5:28" x14ac:dyDescent="0.35">
      <c r="E2626">
        <v>2617</v>
      </c>
      <c r="F2626" t="e">
        <f>INDEX(Stammdaten[D Mitte mit Rinde (mm)],MATCH(Tabelle8[[#This Row],[Rank]],Stammdaten[Rank Verteilung D Mitte mit Rinde],0))</f>
        <v>#N/A</v>
      </c>
      <c r="G2626" t="e">
        <f>VLOOKUP(Tabelle8[[#This Row],[Rank]],Stammdaten[[Rank Verteilung D Mitte mit Rinde]:[Verteilung D Mitte mit Rinde]],2,FALSE)</f>
        <v>#N/A</v>
      </c>
      <c r="L2626">
        <v>2617</v>
      </c>
      <c r="M2626" t="e">
        <f>INDEX(Stammdaten[Abholzigkeit (mm/lfm)],MATCH(Tabelle9[[#This Row],[Rank]],Stammdaten[Rank Verteilung Abholzigkeit],0))</f>
        <v>#N/A</v>
      </c>
      <c r="N2626" t="e">
        <f>VLOOKUP(Tabelle9[[#This Row],[Rank]],Stammdaten[[Rank Verteilung Abholzigkeit]:[Verteilung Abholzigkeit]],2,FALSE)</f>
        <v>#N/A</v>
      </c>
      <c r="S2626">
        <v>2617</v>
      </c>
      <c r="T2626" t="e">
        <f>INDEX(Stammdaten[Krümmung (mm/lfm)],MATCH(Tabelle10[[#This Row],[Rank]],Stammdaten[Rank Verteilung Krümmung],0))</f>
        <v>#N/A</v>
      </c>
      <c r="U2626" t="e">
        <f>VLOOKUP(Tabelle10[[#This Row],[Rank]],Stammdaten[[Rank Verteilung Krümmung]:[Verteilung Krümmung]],2,FALSE)</f>
        <v>#N/A</v>
      </c>
      <c r="Z2626">
        <v>2617</v>
      </c>
      <c r="AA2626" t="e">
        <f>INDEX(Stammdaten[Ovalität (']0,1'])],MATCH(Tabelle1014[[#This Row],[Rank]],Stammdaten[Rank Verteilung Ovalität],0))</f>
        <v>#N/A</v>
      </c>
      <c r="AB2626" t="e">
        <f>VLOOKUP(Tabelle1014[[#This Row],[Rank]],Stammdaten[[Rank Verteilung Ovalität]:[Verteilung Ovalität]],2,FALSE)</f>
        <v>#N/A</v>
      </c>
    </row>
    <row r="2627" spans="5:28" x14ac:dyDescent="0.35">
      <c r="E2627">
        <v>2618</v>
      </c>
      <c r="F2627" t="e">
        <f>INDEX(Stammdaten[D Mitte mit Rinde (mm)],MATCH(Tabelle8[[#This Row],[Rank]],Stammdaten[Rank Verteilung D Mitte mit Rinde],0))</f>
        <v>#N/A</v>
      </c>
      <c r="G2627" t="e">
        <f>VLOOKUP(Tabelle8[[#This Row],[Rank]],Stammdaten[[Rank Verteilung D Mitte mit Rinde]:[Verteilung D Mitte mit Rinde]],2,FALSE)</f>
        <v>#N/A</v>
      </c>
      <c r="L2627">
        <v>2618</v>
      </c>
      <c r="M2627" t="e">
        <f>INDEX(Stammdaten[Abholzigkeit (mm/lfm)],MATCH(Tabelle9[[#This Row],[Rank]],Stammdaten[Rank Verteilung Abholzigkeit],0))</f>
        <v>#N/A</v>
      </c>
      <c r="N2627" t="e">
        <f>VLOOKUP(Tabelle9[[#This Row],[Rank]],Stammdaten[[Rank Verteilung Abholzigkeit]:[Verteilung Abholzigkeit]],2,FALSE)</f>
        <v>#N/A</v>
      </c>
      <c r="S2627">
        <v>2618</v>
      </c>
      <c r="T2627" t="e">
        <f>INDEX(Stammdaten[Krümmung (mm/lfm)],MATCH(Tabelle10[[#This Row],[Rank]],Stammdaten[Rank Verteilung Krümmung],0))</f>
        <v>#N/A</v>
      </c>
      <c r="U2627" t="e">
        <f>VLOOKUP(Tabelle10[[#This Row],[Rank]],Stammdaten[[Rank Verteilung Krümmung]:[Verteilung Krümmung]],2,FALSE)</f>
        <v>#N/A</v>
      </c>
      <c r="Z2627">
        <v>2618</v>
      </c>
      <c r="AA2627" t="e">
        <f>INDEX(Stammdaten[Ovalität (']0,1'])],MATCH(Tabelle1014[[#This Row],[Rank]],Stammdaten[Rank Verteilung Ovalität],0))</f>
        <v>#N/A</v>
      </c>
      <c r="AB2627" t="e">
        <f>VLOOKUP(Tabelle1014[[#This Row],[Rank]],Stammdaten[[Rank Verteilung Ovalität]:[Verteilung Ovalität]],2,FALSE)</f>
        <v>#N/A</v>
      </c>
    </row>
    <row r="2628" spans="5:28" x14ac:dyDescent="0.35">
      <c r="E2628">
        <v>2619</v>
      </c>
      <c r="F2628" t="e">
        <f>INDEX(Stammdaten[D Mitte mit Rinde (mm)],MATCH(Tabelle8[[#This Row],[Rank]],Stammdaten[Rank Verteilung D Mitte mit Rinde],0))</f>
        <v>#N/A</v>
      </c>
      <c r="G2628" t="e">
        <f>VLOOKUP(Tabelle8[[#This Row],[Rank]],Stammdaten[[Rank Verteilung D Mitte mit Rinde]:[Verteilung D Mitte mit Rinde]],2,FALSE)</f>
        <v>#N/A</v>
      </c>
      <c r="L2628">
        <v>2619</v>
      </c>
      <c r="M2628" t="e">
        <f>INDEX(Stammdaten[Abholzigkeit (mm/lfm)],MATCH(Tabelle9[[#This Row],[Rank]],Stammdaten[Rank Verteilung Abholzigkeit],0))</f>
        <v>#N/A</v>
      </c>
      <c r="N2628" t="e">
        <f>VLOOKUP(Tabelle9[[#This Row],[Rank]],Stammdaten[[Rank Verteilung Abholzigkeit]:[Verteilung Abholzigkeit]],2,FALSE)</f>
        <v>#N/A</v>
      </c>
      <c r="S2628">
        <v>2619</v>
      </c>
      <c r="T2628" t="e">
        <f>INDEX(Stammdaten[Krümmung (mm/lfm)],MATCH(Tabelle10[[#This Row],[Rank]],Stammdaten[Rank Verteilung Krümmung],0))</f>
        <v>#N/A</v>
      </c>
      <c r="U2628" t="e">
        <f>VLOOKUP(Tabelle10[[#This Row],[Rank]],Stammdaten[[Rank Verteilung Krümmung]:[Verteilung Krümmung]],2,FALSE)</f>
        <v>#N/A</v>
      </c>
      <c r="Z2628">
        <v>2619</v>
      </c>
      <c r="AA2628" t="e">
        <f>INDEX(Stammdaten[Ovalität (']0,1'])],MATCH(Tabelle1014[[#This Row],[Rank]],Stammdaten[Rank Verteilung Ovalität],0))</f>
        <v>#N/A</v>
      </c>
      <c r="AB2628" t="e">
        <f>VLOOKUP(Tabelle1014[[#This Row],[Rank]],Stammdaten[[Rank Verteilung Ovalität]:[Verteilung Ovalität]],2,FALSE)</f>
        <v>#N/A</v>
      </c>
    </row>
    <row r="2629" spans="5:28" x14ac:dyDescent="0.35">
      <c r="E2629">
        <v>2620</v>
      </c>
      <c r="F2629" t="e">
        <f>INDEX(Stammdaten[D Mitte mit Rinde (mm)],MATCH(Tabelle8[[#This Row],[Rank]],Stammdaten[Rank Verteilung D Mitte mit Rinde],0))</f>
        <v>#N/A</v>
      </c>
      <c r="G2629" t="e">
        <f>VLOOKUP(Tabelle8[[#This Row],[Rank]],Stammdaten[[Rank Verteilung D Mitte mit Rinde]:[Verteilung D Mitte mit Rinde]],2,FALSE)</f>
        <v>#N/A</v>
      </c>
      <c r="L2629">
        <v>2620</v>
      </c>
      <c r="M2629" t="e">
        <f>INDEX(Stammdaten[Abholzigkeit (mm/lfm)],MATCH(Tabelle9[[#This Row],[Rank]],Stammdaten[Rank Verteilung Abholzigkeit],0))</f>
        <v>#N/A</v>
      </c>
      <c r="N2629" t="e">
        <f>VLOOKUP(Tabelle9[[#This Row],[Rank]],Stammdaten[[Rank Verteilung Abholzigkeit]:[Verteilung Abholzigkeit]],2,FALSE)</f>
        <v>#N/A</v>
      </c>
      <c r="S2629">
        <v>2620</v>
      </c>
      <c r="T2629" t="e">
        <f>INDEX(Stammdaten[Krümmung (mm/lfm)],MATCH(Tabelle10[[#This Row],[Rank]],Stammdaten[Rank Verteilung Krümmung],0))</f>
        <v>#N/A</v>
      </c>
      <c r="U2629" t="e">
        <f>VLOOKUP(Tabelle10[[#This Row],[Rank]],Stammdaten[[Rank Verteilung Krümmung]:[Verteilung Krümmung]],2,FALSE)</f>
        <v>#N/A</v>
      </c>
      <c r="Z2629">
        <v>2620</v>
      </c>
      <c r="AA2629" t="e">
        <f>INDEX(Stammdaten[Ovalität (']0,1'])],MATCH(Tabelle1014[[#This Row],[Rank]],Stammdaten[Rank Verteilung Ovalität],0))</f>
        <v>#N/A</v>
      </c>
      <c r="AB2629" t="e">
        <f>VLOOKUP(Tabelle1014[[#This Row],[Rank]],Stammdaten[[Rank Verteilung Ovalität]:[Verteilung Ovalität]],2,FALSE)</f>
        <v>#N/A</v>
      </c>
    </row>
    <row r="2630" spans="5:28" x14ac:dyDescent="0.35">
      <c r="E2630">
        <v>2621</v>
      </c>
      <c r="F2630" t="e">
        <f>INDEX(Stammdaten[D Mitte mit Rinde (mm)],MATCH(Tabelle8[[#This Row],[Rank]],Stammdaten[Rank Verteilung D Mitte mit Rinde],0))</f>
        <v>#N/A</v>
      </c>
      <c r="G2630" t="e">
        <f>VLOOKUP(Tabelle8[[#This Row],[Rank]],Stammdaten[[Rank Verteilung D Mitte mit Rinde]:[Verteilung D Mitte mit Rinde]],2,FALSE)</f>
        <v>#N/A</v>
      </c>
      <c r="L2630">
        <v>2621</v>
      </c>
      <c r="M2630" t="e">
        <f>INDEX(Stammdaten[Abholzigkeit (mm/lfm)],MATCH(Tabelle9[[#This Row],[Rank]],Stammdaten[Rank Verteilung Abholzigkeit],0))</f>
        <v>#N/A</v>
      </c>
      <c r="N2630" t="e">
        <f>VLOOKUP(Tabelle9[[#This Row],[Rank]],Stammdaten[[Rank Verteilung Abholzigkeit]:[Verteilung Abholzigkeit]],2,FALSE)</f>
        <v>#N/A</v>
      </c>
      <c r="S2630">
        <v>2621</v>
      </c>
      <c r="T2630" t="e">
        <f>INDEX(Stammdaten[Krümmung (mm/lfm)],MATCH(Tabelle10[[#This Row],[Rank]],Stammdaten[Rank Verteilung Krümmung],0))</f>
        <v>#N/A</v>
      </c>
      <c r="U2630" t="e">
        <f>VLOOKUP(Tabelle10[[#This Row],[Rank]],Stammdaten[[Rank Verteilung Krümmung]:[Verteilung Krümmung]],2,FALSE)</f>
        <v>#N/A</v>
      </c>
      <c r="Z2630">
        <v>2621</v>
      </c>
      <c r="AA2630" t="e">
        <f>INDEX(Stammdaten[Ovalität (']0,1'])],MATCH(Tabelle1014[[#This Row],[Rank]],Stammdaten[Rank Verteilung Ovalität],0))</f>
        <v>#N/A</v>
      </c>
      <c r="AB2630" t="e">
        <f>VLOOKUP(Tabelle1014[[#This Row],[Rank]],Stammdaten[[Rank Verteilung Ovalität]:[Verteilung Ovalität]],2,FALSE)</f>
        <v>#N/A</v>
      </c>
    </row>
    <row r="2631" spans="5:28" x14ac:dyDescent="0.35">
      <c r="E2631">
        <v>2622</v>
      </c>
      <c r="F2631" t="e">
        <f>INDEX(Stammdaten[D Mitte mit Rinde (mm)],MATCH(Tabelle8[[#This Row],[Rank]],Stammdaten[Rank Verteilung D Mitte mit Rinde],0))</f>
        <v>#N/A</v>
      </c>
      <c r="G2631" t="e">
        <f>VLOOKUP(Tabelle8[[#This Row],[Rank]],Stammdaten[[Rank Verteilung D Mitte mit Rinde]:[Verteilung D Mitte mit Rinde]],2,FALSE)</f>
        <v>#N/A</v>
      </c>
      <c r="L2631">
        <v>2622</v>
      </c>
      <c r="M2631" t="e">
        <f>INDEX(Stammdaten[Abholzigkeit (mm/lfm)],MATCH(Tabelle9[[#This Row],[Rank]],Stammdaten[Rank Verteilung Abholzigkeit],0))</f>
        <v>#N/A</v>
      </c>
      <c r="N2631" t="e">
        <f>VLOOKUP(Tabelle9[[#This Row],[Rank]],Stammdaten[[Rank Verteilung Abholzigkeit]:[Verteilung Abholzigkeit]],2,FALSE)</f>
        <v>#N/A</v>
      </c>
      <c r="S2631">
        <v>2622</v>
      </c>
      <c r="T2631" t="e">
        <f>INDEX(Stammdaten[Krümmung (mm/lfm)],MATCH(Tabelle10[[#This Row],[Rank]],Stammdaten[Rank Verteilung Krümmung],0))</f>
        <v>#N/A</v>
      </c>
      <c r="U2631" t="e">
        <f>VLOOKUP(Tabelle10[[#This Row],[Rank]],Stammdaten[[Rank Verteilung Krümmung]:[Verteilung Krümmung]],2,FALSE)</f>
        <v>#N/A</v>
      </c>
      <c r="Z2631">
        <v>2622</v>
      </c>
      <c r="AA2631" t="e">
        <f>INDEX(Stammdaten[Ovalität (']0,1'])],MATCH(Tabelle1014[[#This Row],[Rank]],Stammdaten[Rank Verteilung Ovalität],0))</f>
        <v>#N/A</v>
      </c>
      <c r="AB2631" t="e">
        <f>VLOOKUP(Tabelle1014[[#This Row],[Rank]],Stammdaten[[Rank Verteilung Ovalität]:[Verteilung Ovalität]],2,FALSE)</f>
        <v>#N/A</v>
      </c>
    </row>
    <row r="2632" spans="5:28" x14ac:dyDescent="0.35">
      <c r="E2632">
        <v>2623</v>
      </c>
      <c r="F2632" t="e">
        <f>INDEX(Stammdaten[D Mitte mit Rinde (mm)],MATCH(Tabelle8[[#This Row],[Rank]],Stammdaten[Rank Verteilung D Mitte mit Rinde],0))</f>
        <v>#N/A</v>
      </c>
      <c r="G2632" t="e">
        <f>VLOOKUP(Tabelle8[[#This Row],[Rank]],Stammdaten[[Rank Verteilung D Mitte mit Rinde]:[Verteilung D Mitte mit Rinde]],2,FALSE)</f>
        <v>#N/A</v>
      </c>
      <c r="L2632">
        <v>2623</v>
      </c>
      <c r="M2632" t="e">
        <f>INDEX(Stammdaten[Abholzigkeit (mm/lfm)],MATCH(Tabelle9[[#This Row],[Rank]],Stammdaten[Rank Verteilung Abholzigkeit],0))</f>
        <v>#N/A</v>
      </c>
      <c r="N2632" t="e">
        <f>VLOOKUP(Tabelle9[[#This Row],[Rank]],Stammdaten[[Rank Verteilung Abholzigkeit]:[Verteilung Abholzigkeit]],2,FALSE)</f>
        <v>#N/A</v>
      </c>
      <c r="S2632">
        <v>2623</v>
      </c>
      <c r="T2632" t="e">
        <f>INDEX(Stammdaten[Krümmung (mm/lfm)],MATCH(Tabelle10[[#This Row],[Rank]],Stammdaten[Rank Verteilung Krümmung],0))</f>
        <v>#N/A</v>
      </c>
      <c r="U2632" t="e">
        <f>VLOOKUP(Tabelle10[[#This Row],[Rank]],Stammdaten[[Rank Verteilung Krümmung]:[Verteilung Krümmung]],2,FALSE)</f>
        <v>#N/A</v>
      </c>
      <c r="Z2632">
        <v>2623</v>
      </c>
      <c r="AA2632" t="e">
        <f>INDEX(Stammdaten[Ovalität (']0,1'])],MATCH(Tabelle1014[[#This Row],[Rank]],Stammdaten[Rank Verteilung Ovalität],0))</f>
        <v>#N/A</v>
      </c>
      <c r="AB2632" t="e">
        <f>VLOOKUP(Tabelle1014[[#This Row],[Rank]],Stammdaten[[Rank Verteilung Ovalität]:[Verteilung Ovalität]],2,FALSE)</f>
        <v>#N/A</v>
      </c>
    </row>
    <row r="2633" spans="5:28" x14ac:dyDescent="0.35">
      <c r="E2633">
        <v>2624</v>
      </c>
      <c r="F2633" t="e">
        <f>INDEX(Stammdaten[D Mitte mit Rinde (mm)],MATCH(Tabelle8[[#This Row],[Rank]],Stammdaten[Rank Verteilung D Mitte mit Rinde],0))</f>
        <v>#N/A</v>
      </c>
      <c r="G2633" t="e">
        <f>VLOOKUP(Tabelle8[[#This Row],[Rank]],Stammdaten[[Rank Verteilung D Mitte mit Rinde]:[Verteilung D Mitte mit Rinde]],2,FALSE)</f>
        <v>#N/A</v>
      </c>
      <c r="L2633">
        <v>2624</v>
      </c>
      <c r="M2633" t="e">
        <f>INDEX(Stammdaten[Abholzigkeit (mm/lfm)],MATCH(Tabelle9[[#This Row],[Rank]],Stammdaten[Rank Verteilung Abholzigkeit],0))</f>
        <v>#N/A</v>
      </c>
      <c r="N2633" t="e">
        <f>VLOOKUP(Tabelle9[[#This Row],[Rank]],Stammdaten[[Rank Verteilung Abholzigkeit]:[Verteilung Abholzigkeit]],2,FALSE)</f>
        <v>#N/A</v>
      </c>
      <c r="S2633">
        <v>2624</v>
      </c>
      <c r="T2633" t="e">
        <f>INDEX(Stammdaten[Krümmung (mm/lfm)],MATCH(Tabelle10[[#This Row],[Rank]],Stammdaten[Rank Verteilung Krümmung],0))</f>
        <v>#N/A</v>
      </c>
      <c r="U2633" t="e">
        <f>VLOOKUP(Tabelle10[[#This Row],[Rank]],Stammdaten[[Rank Verteilung Krümmung]:[Verteilung Krümmung]],2,FALSE)</f>
        <v>#N/A</v>
      </c>
      <c r="Z2633">
        <v>2624</v>
      </c>
      <c r="AA2633" t="e">
        <f>INDEX(Stammdaten[Ovalität (']0,1'])],MATCH(Tabelle1014[[#This Row],[Rank]],Stammdaten[Rank Verteilung Ovalität],0))</f>
        <v>#N/A</v>
      </c>
      <c r="AB2633" t="e">
        <f>VLOOKUP(Tabelle1014[[#This Row],[Rank]],Stammdaten[[Rank Verteilung Ovalität]:[Verteilung Ovalität]],2,FALSE)</f>
        <v>#N/A</v>
      </c>
    </row>
    <row r="2634" spans="5:28" x14ac:dyDescent="0.35">
      <c r="E2634">
        <v>2625</v>
      </c>
      <c r="F2634" t="e">
        <f>INDEX(Stammdaten[D Mitte mit Rinde (mm)],MATCH(Tabelle8[[#This Row],[Rank]],Stammdaten[Rank Verteilung D Mitte mit Rinde],0))</f>
        <v>#N/A</v>
      </c>
      <c r="G2634" t="e">
        <f>VLOOKUP(Tabelle8[[#This Row],[Rank]],Stammdaten[[Rank Verteilung D Mitte mit Rinde]:[Verteilung D Mitte mit Rinde]],2,FALSE)</f>
        <v>#N/A</v>
      </c>
      <c r="L2634">
        <v>2625</v>
      </c>
      <c r="M2634" t="e">
        <f>INDEX(Stammdaten[Abholzigkeit (mm/lfm)],MATCH(Tabelle9[[#This Row],[Rank]],Stammdaten[Rank Verteilung Abholzigkeit],0))</f>
        <v>#N/A</v>
      </c>
      <c r="N2634" t="e">
        <f>VLOOKUP(Tabelle9[[#This Row],[Rank]],Stammdaten[[Rank Verteilung Abholzigkeit]:[Verteilung Abholzigkeit]],2,FALSE)</f>
        <v>#N/A</v>
      </c>
      <c r="S2634">
        <v>2625</v>
      </c>
      <c r="T2634" t="e">
        <f>INDEX(Stammdaten[Krümmung (mm/lfm)],MATCH(Tabelle10[[#This Row],[Rank]],Stammdaten[Rank Verteilung Krümmung],0))</f>
        <v>#N/A</v>
      </c>
      <c r="U2634" t="e">
        <f>VLOOKUP(Tabelle10[[#This Row],[Rank]],Stammdaten[[Rank Verteilung Krümmung]:[Verteilung Krümmung]],2,FALSE)</f>
        <v>#N/A</v>
      </c>
      <c r="Z2634">
        <v>2625</v>
      </c>
      <c r="AA2634" t="e">
        <f>INDEX(Stammdaten[Ovalität (']0,1'])],MATCH(Tabelle1014[[#This Row],[Rank]],Stammdaten[Rank Verteilung Ovalität],0))</f>
        <v>#N/A</v>
      </c>
      <c r="AB2634" t="e">
        <f>VLOOKUP(Tabelle1014[[#This Row],[Rank]],Stammdaten[[Rank Verteilung Ovalität]:[Verteilung Ovalität]],2,FALSE)</f>
        <v>#N/A</v>
      </c>
    </row>
    <row r="2635" spans="5:28" x14ac:dyDescent="0.35">
      <c r="E2635">
        <v>2626</v>
      </c>
      <c r="F2635" t="e">
        <f>INDEX(Stammdaten[D Mitte mit Rinde (mm)],MATCH(Tabelle8[[#This Row],[Rank]],Stammdaten[Rank Verteilung D Mitte mit Rinde],0))</f>
        <v>#N/A</v>
      </c>
      <c r="G2635" t="e">
        <f>VLOOKUP(Tabelle8[[#This Row],[Rank]],Stammdaten[[Rank Verteilung D Mitte mit Rinde]:[Verteilung D Mitte mit Rinde]],2,FALSE)</f>
        <v>#N/A</v>
      </c>
      <c r="L2635">
        <v>2626</v>
      </c>
      <c r="M2635" t="e">
        <f>INDEX(Stammdaten[Abholzigkeit (mm/lfm)],MATCH(Tabelle9[[#This Row],[Rank]],Stammdaten[Rank Verteilung Abholzigkeit],0))</f>
        <v>#N/A</v>
      </c>
      <c r="N2635" t="e">
        <f>VLOOKUP(Tabelle9[[#This Row],[Rank]],Stammdaten[[Rank Verteilung Abholzigkeit]:[Verteilung Abholzigkeit]],2,FALSE)</f>
        <v>#N/A</v>
      </c>
      <c r="S2635">
        <v>2626</v>
      </c>
      <c r="T2635" t="e">
        <f>INDEX(Stammdaten[Krümmung (mm/lfm)],MATCH(Tabelle10[[#This Row],[Rank]],Stammdaten[Rank Verteilung Krümmung],0))</f>
        <v>#N/A</v>
      </c>
      <c r="U2635" t="e">
        <f>VLOOKUP(Tabelle10[[#This Row],[Rank]],Stammdaten[[Rank Verteilung Krümmung]:[Verteilung Krümmung]],2,FALSE)</f>
        <v>#N/A</v>
      </c>
      <c r="Z2635">
        <v>2626</v>
      </c>
      <c r="AA2635" t="e">
        <f>INDEX(Stammdaten[Ovalität (']0,1'])],MATCH(Tabelle1014[[#This Row],[Rank]],Stammdaten[Rank Verteilung Ovalität],0))</f>
        <v>#N/A</v>
      </c>
      <c r="AB2635" t="e">
        <f>VLOOKUP(Tabelle1014[[#This Row],[Rank]],Stammdaten[[Rank Verteilung Ovalität]:[Verteilung Ovalität]],2,FALSE)</f>
        <v>#N/A</v>
      </c>
    </row>
    <row r="2636" spans="5:28" x14ac:dyDescent="0.35">
      <c r="E2636">
        <v>2627</v>
      </c>
      <c r="F2636" t="e">
        <f>INDEX(Stammdaten[D Mitte mit Rinde (mm)],MATCH(Tabelle8[[#This Row],[Rank]],Stammdaten[Rank Verteilung D Mitte mit Rinde],0))</f>
        <v>#N/A</v>
      </c>
      <c r="G2636" t="e">
        <f>VLOOKUP(Tabelle8[[#This Row],[Rank]],Stammdaten[[Rank Verteilung D Mitte mit Rinde]:[Verteilung D Mitte mit Rinde]],2,FALSE)</f>
        <v>#N/A</v>
      </c>
      <c r="L2636">
        <v>2627</v>
      </c>
      <c r="M2636" t="e">
        <f>INDEX(Stammdaten[Abholzigkeit (mm/lfm)],MATCH(Tabelle9[[#This Row],[Rank]],Stammdaten[Rank Verteilung Abholzigkeit],0))</f>
        <v>#N/A</v>
      </c>
      <c r="N2636" t="e">
        <f>VLOOKUP(Tabelle9[[#This Row],[Rank]],Stammdaten[[Rank Verteilung Abholzigkeit]:[Verteilung Abholzigkeit]],2,FALSE)</f>
        <v>#N/A</v>
      </c>
      <c r="S2636">
        <v>2627</v>
      </c>
      <c r="T2636" t="e">
        <f>INDEX(Stammdaten[Krümmung (mm/lfm)],MATCH(Tabelle10[[#This Row],[Rank]],Stammdaten[Rank Verteilung Krümmung],0))</f>
        <v>#N/A</v>
      </c>
      <c r="U2636" t="e">
        <f>VLOOKUP(Tabelle10[[#This Row],[Rank]],Stammdaten[[Rank Verteilung Krümmung]:[Verteilung Krümmung]],2,FALSE)</f>
        <v>#N/A</v>
      </c>
      <c r="Z2636">
        <v>2627</v>
      </c>
      <c r="AA2636" t="e">
        <f>INDEX(Stammdaten[Ovalität (']0,1'])],MATCH(Tabelle1014[[#This Row],[Rank]],Stammdaten[Rank Verteilung Ovalität],0))</f>
        <v>#N/A</v>
      </c>
      <c r="AB2636" t="e">
        <f>VLOOKUP(Tabelle1014[[#This Row],[Rank]],Stammdaten[[Rank Verteilung Ovalität]:[Verteilung Ovalität]],2,FALSE)</f>
        <v>#N/A</v>
      </c>
    </row>
    <row r="2637" spans="5:28" x14ac:dyDescent="0.35">
      <c r="E2637">
        <v>2628</v>
      </c>
      <c r="F2637" t="e">
        <f>INDEX(Stammdaten[D Mitte mit Rinde (mm)],MATCH(Tabelle8[[#This Row],[Rank]],Stammdaten[Rank Verteilung D Mitte mit Rinde],0))</f>
        <v>#N/A</v>
      </c>
      <c r="G2637" t="e">
        <f>VLOOKUP(Tabelle8[[#This Row],[Rank]],Stammdaten[[Rank Verteilung D Mitte mit Rinde]:[Verteilung D Mitte mit Rinde]],2,FALSE)</f>
        <v>#N/A</v>
      </c>
      <c r="L2637">
        <v>2628</v>
      </c>
      <c r="M2637" t="e">
        <f>INDEX(Stammdaten[Abholzigkeit (mm/lfm)],MATCH(Tabelle9[[#This Row],[Rank]],Stammdaten[Rank Verteilung Abholzigkeit],0))</f>
        <v>#N/A</v>
      </c>
      <c r="N2637" t="e">
        <f>VLOOKUP(Tabelle9[[#This Row],[Rank]],Stammdaten[[Rank Verteilung Abholzigkeit]:[Verteilung Abholzigkeit]],2,FALSE)</f>
        <v>#N/A</v>
      </c>
      <c r="S2637">
        <v>2628</v>
      </c>
      <c r="T2637" t="e">
        <f>INDEX(Stammdaten[Krümmung (mm/lfm)],MATCH(Tabelle10[[#This Row],[Rank]],Stammdaten[Rank Verteilung Krümmung],0))</f>
        <v>#N/A</v>
      </c>
      <c r="U2637" t="e">
        <f>VLOOKUP(Tabelle10[[#This Row],[Rank]],Stammdaten[[Rank Verteilung Krümmung]:[Verteilung Krümmung]],2,FALSE)</f>
        <v>#N/A</v>
      </c>
      <c r="Z2637">
        <v>2628</v>
      </c>
      <c r="AA2637" t="e">
        <f>INDEX(Stammdaten[Ovalität (']0,1'])],MATCH(Tabelle1014[[#This Row],[Rank]],Stammdaten[Rank Verteilung Ovalität],0))</f>
        <v>#N/A</v>
      </c>
      <c r="AB2637" t="e">
        <f>VLOOKUP(Tabelle1014[[#This Row],[Rank]],Stammdaten[[Rank Verteilung Ovalität]:[Verteilung Ovalität]],2,FALSE)</f>
        <v>#N/A</v>
      </c>
    </row>
    <row r="2638" spans="5:28" x14ac:dyDescent="0.35">
      <c r="E2638">
        <v>2629</v>
      </c>
      <c r="F2638" t="e">
        <f>INDEX(Stammdaten[D Mitte mit Rinde (mm)],MATCH(Tabelle8[[#This Row],[Rank]],Stammdaten[Rank Verteilung D Mitte mit Rinde],0))</f>
        <v>#N/A</v>
      </c>
      <c r="G2638" t="e">
        <f>VLOOKUP(Tabelle8[[#This Row],[Rank]],Stammdaten[[Rank Verteilung D Mitte mit Rinde]:[Verteilung D Mitte mit Rinde]],2,FALSE)</f>
        <v>#N/A</v>
      </c>
      <c r="L2638">
        <v>2629</v>
      </c>
      <c r="M2638" t="e">
        <f>INDEX(Stammdaten[Abholzigkeit (mm/lfm)],MATCH(Tabelle9[[#This Row],[Rank]],Stammdaten[Rank Verteilung Abholzigkeit],0))</f>
        <v>#N/A</v>
      </c>
      <c r="N2638" t="e">
        <f>VLOOKUP(Tabelle9[[#This Row],[Rank]],Stammdaten[[Rank Verteilung Abholzigkeit]:[Verteilung Abholzigkeit]],2,FALSE)</f>
        <v>#N/A</v>
      </c>
      <c r="S2638">
        <v>2629</v>
      </c>
      <c r="T2638" t="e">
        <f>INDEX(Stammdaten[Krümmung (mm/lfm)],MATCH(Tabelle10[[#This Row],[Rank]],Stammdaten[Rank Verteilung Krümmung],0))</f>
        <v>#N/A</v>
      </c>
      <c r="U2638" t="e">
        <f>VLOOKUP(Tabelle10[[#This Row],[Rank]],Stammdaten[[Rank Verteilung Krümmung]:[Verteilung Krümmung]],2,FALSE)</f>
        <v>#N/A</v>
      </c>
      <c r="Z2638">
        <v>2629</v>
      </c>
      <c r="AA2638" t="e">
        <f>INDEX(Stammdaten[Ovalität (']0,1'])],MATCH(Tabelle1014[[#This Row],[Rank]],Stammdaten[Rank Verteilung Ovalität],0))</f>
        <v>#N/A</v>
      </c>
      <c r="AB2638" t="e">
        <f>VLOOKUP(Tabelle1014[[#This Row],[Rank]],Stammdaten[[Rank Verteilung Ovalität]:[Verteilung Ovalität]],2,FALSE)</f>
        <v>#N/A</v>
      </c>
    </row>
    <row r="2639" spans="5:28" x14ac:dyDescent="0.35">
      <c r="E2639">
        <v>2630</v>
      </c>
      <c r="F2639" t="e">
        <f>INDEX(Stammdaten[D Mitte mit Rinde (mm)],MATCH(Tabelle8[[#This Row],[Rank]],Stammdaten[Rank Verteilung D Mitte mit Rinde],0))</f>
        <v>#N/A</v>
      </c>
      <c r="G2639" t="e">
        <f>VLOOKUP(Tabelle8[[#This Row],[Rank]],Stammdaten[[Rank Verteilung D Mitte mit Rinde]:[Verteilung D Mitte mit Rinde]],2,FALSE)</f>
        <v>#N/A</v>
      </c>
      <c r="L2639">
        <v>2630</v>
      </c>
      <c r="M2639" t="e">
        <f>INDEX(Stammdaten[Abholzigkeit (mm/lfm)],MATCH(Tabelle9[[#This Row],[Rank]],Stammdaten[Rank Verteilung Abholzigkeit],0))</f>
        <v>#N/A</v>
      </c>
      <c r="N2639" t="e">
        <f>VLOOKUP(Tabelle9[[#This Row],[Rank]],Stammdaten[[Rank Verteilung Abholzigkeit]:[Verteilung Abholzigkeit]],2,FALSE)</f>
        <v>#N/A</v>
      </c>
      <c r="S2639">
        <v>2630</v>
      </c>
      <c r="T2639" t="e">
        <f>INDEX(Stammdaten[Krümmung (mm/lfm)],MATCH(Tabelle10[[#This Row],[Rank]],Stammdaten[Rank Verteilung Krümmung],0))</f>
        <v>#N/A</v>
      </c>
      <c r="U2639" t="e">
        <f>VLOOKUP(Tabelle10[[#This Row],[Rank]],Stammdaten[[Rank Verteilung Krümmung]:[Verteilung Krümmung]],2,FALSE)</f>
        <v>#N/A</v>
      </c>
      <c r="Z2639">
        <v>2630</v>
      </c>
      <c r="AA2639" t="e">
        <f>INDEX(Stammdaten[Ovalität (']0,1'])],MATCH(Tabelle1014[[#This Row],[Rank]],Stammdaten[Rank Verteilung Ovalität],0))</f>
        <v>#N/A</v>
      </c>
      <c r="AB2639" t="e">
        <f>VLOOKUP(Tabelle1014[[#This Row],[Rank]],Stammdaten[[Rank Verteilung Ovalität]:[Verteilung Ovalität]],2,FALSE)</f>
        <v>#N/A</v>
      </c>
    </row>
    <row r="2640" spans="5:28" x14ac:dyDescent="0.35">
      <c r="E2640">
        <v>2631</v>
      </c>
      <c r="F2640" t="e">
        <f>INDEX(Stammdaten[D Mitte mit Rinde (mm)],MATCH(Tabelle8[[#This Row],[Rank]],Stammdaten[Rank Verteilung D Mitte mit Rinde],0))</f>
        <v>#N/A</v>
      </c>
      <c r="G2640" t="e">
        <f>VLOOKUP(Tabelle8[[#This Row],[Rank]],Stammdaten[[Rank Verteilung D Mitte mit Rinde]:[Verteilung D Mitte mit Rinde]],2,FALSE)</f>
        <v>#N/A</v>
      </c>
      <c r="L2640">
        <v>2631</v>
      </c>
      <c r="M2640" t="e">
        <f>INDEX(Stammdaten[Abholzigkeit (mm/lfm)],MATCH(Tabelle9[[#This Row],[Rank]],Stammdaten[Rank Verteilung Abholzigkeit],0))</f>
        <v>#N/A</v>
      </c>
      <c r="N2640" t="e">
        <f>VLOOKUP(Tabelle9[[#This Row],[Rank]],Stammdaten[[Rank Verteilung Abholzigkeit]:[Verteilung Abholzigkeit]],2,FALSE)</f>
        <v>#N/A</v>
      </c>
      <c r="S2640">
        <v>2631</v>
      </c>
      <c r="T2640" t="e">
        <f>INDEX(Stammdaten[Krümmung (mm/lfm)],MATCH(Tabelle10[[#This Row],[Rank]],Stammdaten[Rank Verteilung Krümmung],0))</f>
        <v>#N/A</v>
      </c>
      <c r="U2640" t="e">
        <f>VLOOKUP(Tabelle10[[#This Row],[Rank]],Stammdaten[[Rank Verteilung Krümmung]:[Verteilung Krümmung]],2,FALSE)</f>
        <v>#N/A</v>
      </c>
      <c r="Z2640">
        <v>2631</v>
      </c>
      <c r="AA2640" t="e">
        <f>INDEX(Stammdaten[Ovalität (']0,1'])],MATCH(Tabelle1014[[#This Row],[Rank]],Stammdaten[Rank Verteilung Ovalität],0))</f>
        <v>#N/A</v>
      </c>
      <c r="AB2640" t="e">
        <f>VLOOKUP(Tabelle1014[[#This Row],[Rank]],Stammdaten[[Rank Verteilung Ovalität]:[Verteilung Ovalität]],2,FALSE)</f>
        <v>#N/A</v>
      </c>
    </row>
    <row r="2641" spans="5:28" x14ac:dyDescent="0.35">
      <c r="E2641">
        <v>2632</v>
      </c>
      <c r="F2641" t="e">
        <f>INDEX(Stammdaten[D Mitte mit Rinde (mm)],MATCH(Tabelle8[[#This Row],[Rank]],Stammdaten[Rank Verteilung D Mitte mit Rinde],0))</f>
        <v>#N/A</v>
      </c>
      <c r="G2641" t="e">
        <f>VLOOKUP(Tabelle8[[#This Row],[Rank]],Stammdaten[[Rank Verteilung D Mitte mit Rinde]:[Verteilung D Mitte mit Rinde]],2,FALSE)</f>
        <v>#N/A</v>
      </c>
      <c r="L2641">
        <v>2632</v>
      </c>
      <c r="M2641" t="e">
        <f>INDEX(Stammdaten[Abholzigkeit (mm/lfm)],MATCH(Tabelle9[[#This Row],[Rank]],Stammdaten[Rank Verteilung Abholzigkeit],0))</f>
        <v>#N/A</v>
      </c>
      <c r="N2641" t="e">
        <f>VLOOKUP(Tabelle9[[#This Row],[Rank]],Stammdaten[[Rank Verteilung Abholzigkeit]:[Verteilung Abholzigkeit]],2,FALSE)</f>
        <v>#N/A</v>
      </c>
      <c r="S2641">
        <v>2632</v>
      </c>
      <c r="T2641" t="e">
        <f>INDEX(Stammdaten[Krümmung (mm/lfm)],MATCH(Tabelle10[[#This Row],[Rank]],Stammdaten[Rank Verteilung Krümmung],0))</f>
        <v>#N/A</v>
      </c>
      <c r="U2641" t="e">
        <f>VLOOKUP(Tabelle10[[#This Row],[Rank]],Stammdaten[[Rank Verteilung Krümmung]:[Verteilung Krümmung]],2,FALSE)</f>
        <v>#N/A</v>
      </c>
      <c r="Z2641">
        <v>2632</v>
      </c>
      <c r="AA2641" t="e">
        <f>INDEX(Stammdaten[Ovalität (']0,1'])],MATCH(Tabelle1014[[#This Row],[Rank]],Stammdaten[Rank Verteilung Ovalität],0))</f>
        <v>#N/A</v>
      </c>
      <c r="AB2641" t="e">
        <f>VLOOKUP(Tabelle1014[[#This Row],[Rank]],Stammdaten[[Rank Verteilung Ovalität]:[Verteilung Ovalität]],2,FALSE)</f>
        <v>#N/A</v>
      </c>
    </row>
    <row r="2642" spans="5:28" x14ac:dyDescent="0.35">
      <c r="E2642">
        <v>2633</v>
      </c>
      <c r="F2642" t="e">
        <f>INDEX(Stammdaten[D Mitte mit Rinde (mm)],MATCH(Tabelle8[[#This Row],[Rank]],Stammdaten[Rank Verteilung D Mitte mit Rinde],0))</f>
        <v>#N/A</v>
      </c>
      <c r="G2642" t="e">
        <f>VLOOKUP(Tabelle8[[#This Row],[Rank]],Stammdaten[[Rank Verteilung D Mitte mit Rinde]:[Verteilung D Mitte mit Rinde]],2,FALSE)</f>
        <v>#N/A</v>
      </c>
      <c r="L2642">
        <v>2633</v>
      </c>
      <c r="M2642" t="e">
        <f>INDEX(Stammdaten[Abholzigkeit (mm/lfm)],MATCH(Tabelle9[[#This Row],[Rank]],Stammdaten[Rank Verteilung Abholzigkeit],0))</f>
        <v>#N/A</v>
      </c>
      <c r="N2642" t="e">
        <f>VLOOKUP(Tabelle9[[#This Row],[Rank]],Stammdaten[[Rank Verteilung Abholzigkeit]:[Verteilung Abholzigkeit]],2,FALSE)</f>
        <v>#N/A</v>
      </c>
      <c r="S2642">
        <v>2633</v>
      </c>
      <c r="T2642" t="e">
        <f>INDEX(Stammdaten[Krümmung (mm/lfm)],MATCH(Tabelle10[[#This Row],[Rank]],Stammdaten[Rank Verteilung Krümmung],0))</f>
        <v>#N/A</v>
      </c>
      <c r="U2642" t="e">
        <f>VLOOKUP(Tabelle10[[#This Row],[Rank]],Stammdaten[[Rank Verteilung Krümmung]:[Verteilung Krümmung]],2,FALSE)</f>
        <v>#N/A</v>
      </c>
      <c r="Z2642">
        <v>2633</v>
      </c>
      <c r="AA2642" t="e">
        <f>INDEX(Stammdaten[Ovalität (']0,1'])],MATCH(Tabelle1014[[#This Row],[Rank]],Stammdaten[Rank Verteilung Ovalität],0))</f>
        <v>#N/A</v>
      </c>
      <c r="AB2642" t="e">
        <f>VLOOKUP(Tabelle1014[[#This Row],[Rank]],Stammdaten[[Rank Verteilung Ovalität]:[Verteilung Ovalität]],2,FALSE)</f>
        <v>#N/A</v>
      </c>
    </row>
    <row r="2643" spans="5:28" x14ac:dyDescent="0.35">
      <c r="E2643">
        <v>2634</v>
      </c>
      <c r="F2643" t="e">
        <f>INDEX(Stammdaten[D Mitte mit Rinde (mm)],MATCH(Tabelle8[[#This Row],[Rank]],Stammdaten[Rank Verteilung D Mitte mit Rinde],0))</f>
        <v>#N/A</v>
      </c>
      <c r="G2643" t="e">
        <f>VLOOKUP(Tabelle8[[#This Row],[Rank]],Stammdaten[[Rank Verteilung D Mitte mit Rinde]:[Verteilung D Mitte mit Rinde]],2,FALSE)</f>
        <v>#N/A</v>
      </c>
      <c r="L2643">
        <v>2634</v>
      </c>
      <c r="M2643" t="e">
        <f>INDEX(Stammdaten[Abholzigkeit (mm/lfm)],MATCH(Tabelle9[[#This Row],[Rank]],Stammdaten[Rank Verteilung Abholzigkeit],0))</f>
        <v>#N/A</v>
      </c>
      <c r="N2643" t="e">
        <f>VLOOKUP(Tabelle9[[#This Row],[Rank]],Stammdaten[[Rank Verteilung Abholzigkeit]:[Verteilung Abholzigkeit]],2,FALSE)</f>
        <v>#N/A</v>
      </c>
      <c r="S2643">
        <v>2634</v>
      </c>
      <c r="T2643" t="e">
        <f>INDEX(Stammdaten[Krümmung (mm/lfm)],MATCH(Tabelle10[[#This Row],[Rank]],Stammdaten[Rank Verteilung Krümmung],0))</f>
        <v>#N/A</v>
      </c>
      <c r="U2643" t="e">
        <f>VLOOKUP(Tabelle10[[#This Row],[Rank]],Stammdaten[[Rank Verteilung Krümmung]:[Verteilung Krümmung]],2,FALSE)</f>
        <v>#N/A</v>
      </c>
      <c r="Z2643">
        <v>2634</v>
      </c>
      <c r="AA2643" t="e">
        <f>INDEX(Stammdaten[Ovalität (']0,1'])],MATCH(Tabelle1014[[#This Row],[Rank]],Stammdaten[Rank Verteilung Ovalität],0))</f>
        <v>#N/A</v>
      </c>
      <c r="AB2643" t="e">
        <f>VLOOKUP(Tabelle1014[[#This Row],[Rank]],Stammdaten[[Rank Verteilung Ovalität]:[Verteilung Ovalität]],2,FALSE)</f>
        <v>#N/A</v>
      </c>
    </row>
    <row r="2644" spans="5:28" x14ac:dyDescent="0.35">
      <c r="E2644">
        <v>2635</v>
      </c>
      <c r="F2644" t="e">
        <f>INDEX(Stammdaten[D Mitte mit Rinde (mm)],MATCH(Tabelle8[[#This Row],[Rank]],Stammdaten[Rank Verteilung D Mitte mit Rinde],0))</f>
        <v>#N/A</v>
      </c>
      <c r="G2644" t="e">
        <f>VLOOKUP(Tabelle8[[#This Row],[Rank]],Stammdaten[[Rank Verteilung D Mitte mit Rinde]:[Verteilung D Mitte mit Rinde]],2,FALSE)</f>
        <v>#N/A</v>
      </c>
      <c r="L2644">
        <v>2635</v>
      </c>
      <c r="M2644" t="e">
        <f>INDEX(Stammdaten[Abholzigkeit (mm/lfm)],MATCH(Tabelle9[[#This Row],[Rank]],Stammdaten[Rank Verteilung Abholzigkeit],0))</f>
        <v>#N/A</v>
      </c>
      <c r="N2644" t="e">
        <f>VLOOKUP(Tabelle9[[#This Row],[Rank]],Stammdaten[[Rank Verteilung Abholzigkeit]:[Verteilung Abholzigkeit]],2,FALSE)</f>
        <v>#N/A</v>
      </c>
      <c r="S2644">
        <v>2635</v>
      </c>
      <c r="T2644" t="e">
        <f>INDEX(Stammdaten[Krümmung (mm/lfm)],MATCH(Tabelle10[[#This Row],[Rank]],Stammdaten[Rank Verteilung Krümmung],0))</f>
        <v>#N/A</v>
      </c>
      <c r="U2644" t="e">
        <f>VLOOKUP(Tabelle10[[#This Row],[Rank]],Stammdaten[[Rank Verteilung Krümmung]:[Verteilung Krümmung]],2,FALSE)</f>
        <v>#N/A</v>
      </c>
      <c r="Z2644">
        <v>2635</v>
      </c>
      <c r="AA2644" t="e">
        <f>INDEX(Stammdaten[Ovalität (']0,1'])],MATCH(Tabelle1014[[#This Row],[Rank]],Stammdaten[Rank Verteilung Ovalität],0))</f>
        <v>#N/A</v>
      </c>
      <c r="AB2644" t="e">
        <f>VLOOKUP(Tabelle1014[[#This Row],[Rank]],Stammdaten[[Rank Verteilung Ovalität]:[Verteilung Ovalität]],2,FALSE)</f>
        <v>#N/A</v>
      </c>
    </row>
    <row r="2645" spans="5:28" x14ac:dyDescent="0.35">
      <c r="E2645">
        <v>2636</v>
      </c>
      <c r="F2645" t="e">
        <f>INDEX(Stammdaten[D Mitte mit Rinde (mm)],MATCH(Tabelle8[[#This Row],[Rank]],Stammdaten[Rank Verteilung D Mitte mit Rinde],0))</f>
        <v>#N/A</v>
      </c>
      <c r="G2645" t="e">
        <f>VLOOKUP(Tabelle8[[#This Row],[Rank]],Stammdaten[[Rank Verteilung D Mitte mit Rinde]:[Verteilung D Mitte mit Rinde]],2,FALSE)</f>
        <v>#N/A</v>
      </c>
      <c r="L2645">
        <v>2636</v>
      </c>
      <c r="M2645" t="e">
        <f>INDEX(Stammdaten[Abholzigkeit (mm/lfm)],MATCH(Tabelle9[[#This Row],[Rank]],Stammdaten[Rank Verteilung Abholzigkeit],0))</f>
        <v>#N/A</v>
      </c>
      <c r="N2645" t="e">
        <f>VLOOKUP(Tabelle9[[#This Row],[Rank]],Stammdaten[[Rank Verteilung Abholzigkeit]:[Verteilung Abholzigkeit]],2,FALSE)</f>
        <v>#N/A</v>
      </c>
      <c r="S2645">
        <v>2636</v>
      </c>
      <c r="T2645" t="e">
        <f>INDEX(Stammdaten[Krümmung (mm/lfm)],MATCH(Tabelle10[[#This Row],[Rank]],Stammdaten[Rank Verteilung Krümmung],0))</f>
        <v>#N/A</v>
      </c>
      <c r="U2645" t="e">
        <f>VLOOKUP(Tabelle10[[#This Row],[Rank]],Stammdaten[[Rank Verteilung Krümmung]:[Verteilung Krümmung]],2,FALSE)</f>
        <v>#N/A</v>
      </c>
      <c r="Z2645">
        <v>2636</v>
      </c>
      <c r="AA2645" t="e">
        <f>INDEX(Stammdaten[Ovalität (']0,1'])],MATCH(Tabelle1014[[#This Row],[Rank]],Stammdaten[Rank Verteilung Ovalität],0))</f>
        <v>#N/A</v>
      </c>
      <c r="AB2645" t="e">
        <f>VLOOKUP(Tabelle1014[[#This Row],[Rank]],Stammdaten[[Rank Verteilung Ovalität]:[Verteilung Ovalität]],2,FALSE)</f>
        <v>#N/A</v>
      </c>
    </row>
    <row r="2646" spans="5:28" x14ac:dyDescent="0.35">
      <c r="E2646">
        <v>2637</v>
      </c>
      <c r="F2646" t="e">
        <f>INDEX(Stammdaten[D Mitte mit Rinde (mm)],MATCH(Tabelle8[[#This Row],[Rank]],Stammdaten[Rank Verteilung D Mitte mit Rinde],0))</f>
        <v>#N/A</v>
      </c>
      <c r="G2646" t="e">
        <f>VLOOKUP(Tabelle8[[#This Row],[Rank]],Stammdaten[[Rank Verteilung D Mitte mit Rinde]:[Verteilung D Mitte mit Rinde]],2,FALSE)</f>
        <v>#N/A</v>
      </c>
      <c r="L2646">
        <v>2637</v>
      </c>
      <c r="M2646" t="e">
        <f>INDEX(Stammdaten[Abholzigkeit (mm/lfm)],MATCH(Tabelle9[[#This Row],[Rank]],Stammdaten[Rank Verteilung Abholzigkeit],0))</f>
        <v>#N/A</v>
      </c>
      <c r="N2646" t="e">
        <f>VLOOKUP(Tabelle9[[#This Row],[Rank]],Stammdaten[[Rank Verteilung Abholzigkeit]:[Verteilung Abholzigkeit]],2,FALSE)</f>
        <v>#N/A</v>
      </c>
      <c r="S2646">
        <v>2637</v>
      </c>
      <c r="T2646" t="e">
        <f>INDEX(Stammdaten[Krümmung (mm/lfm)],MATCH(Tabelle10[[#This Row],[Rank]],Stammdaten[Rank Verteilung Krümmung],0))</f>
        <v>#N/A</v>
      </c>
      <c r="U2646" t="e">
        <f>VLOOKUP(Tabelle10[[#This Row],[Rank]],Stammdaten[[Rank Verteilung Krümmung]:[Verteilung Krümmung]],2,FALSE)</f>
        <v>#N/A</v>
      </c>
      <c r="Z2646">
        <v>2637</v>
      </c>
      <c r="AA2646" t="e">
        <f>INDEX(Stammdaten[Ovalität (']0,1'])],MATCH(Tabelle1014[[#This Row],[Rank]],Stammdaten[Rank Verteilung Ovalität],0))</f>
        <v>#N/A</v>
      </c>
      <c r="AB2646" t="e">
        <f>VLOOKUP(Tabelle1014[[#This Row],[Rank]],Stammdaten[[Rank Verteilung Ovalität]:[Verteilung Ovalität]],2,FALSE)</f>
        <v>#N/A</v>
      </c>
    </row>
    <row r="2647" spans="5:28" x14ac:dyDescent="0.35">
      <c r="E2647">
        <v>2638</v>
      </c>
      <c r="F2647" t="e">
        <f>INDEX(Stammdaten[D Mitte mit Rinde (mm)],MATCH(Tabelle8[[#This Row],[Rank]],Stammdaten[Rank Verteilung D Mitte mit Rinde],0))</f>
        <v>#N/A</v>
      </c>
      <c r="G2647" t="e">
        <f>VLOOKUP(Tabelle8[[#This Row],[Rank]],Stammdaten[[Rank Verteilung D Mitte mit Rinde]:[Verteilung D Mitte mit Rinde]],2,FALSE)</f>
        <v>#N/A</v>
      </c>
      <c r="L2647">
        <v>2638</v>
      </c>
      <c r="M2647" t="e">
        <f>INDEX(Stammdaten[Abholzigkeit (mm/lfm)],MATCH(Tabelle9[[#This Row],[Rank]],Stammdaten[Rank Verteilung Abholzigkeit],0))</f>
        <v>#N/A</v>
      </c>
      <c r="N2647" t="e">
        <f>VLOOKUP(Tabelle9[[#This Row],[Rank]],Stammdaten[[Rank Verteilung Abholzigkeit]:[Verteilung Abholzigkeit]],2,FALSE)</f>
        <v>#N/A</v>
      </c>
      <c r="S2647">
        <v>2638</v>
      </c>
      <c r="T2647" t="e">
        <f>INDEX(Stammdaten[Krümmung (mm/lfm)],MATCH(Tabelle10[[#This Row],[Rank]],Stammdaten[Rank Verteilung Krümmung],0))</f>
        <v>#N/A</v>
      </c>
      <c r="U2647" t="e">
        <f>VLOOKUP(Tabelle10[[#This Row],[Rank]],Stammdaten[[Rank Verteilung Krümmung]:[Verteilung Krümmung]],2,FALSE)</f>
        <v>#N/A</v>
      </c>
      <c r="Z2647">
        <v>2638</v>
      </c>
      <c r="AA2647" t="e">
        <f>INDEX(Stammdaten[Ovalität (']0,1'])],MATCH(Tabelle1014[[#This Row],[Rank]],Stammdaten[Rank Verteilung Ovalität],0))</f>
        <v>#N/A</v>
      </c>
      <c r="AB2647" t="e">
        <f>VLOOKUP(Tabelle1014[[#This Row],[Rank]],Stammdaten[[Rank Verteilung Ovalität]:[Verteilung Ovalität]],2,FALSE)</f>
        <v>#N/A</v>
      </c>
    </row>
    <row r="2648" spans="5:28" x14ac:dyDescent="0.35">
      <c r="E2648">
        <v>2639</v>
      </c>
      <c r="F2648" t="e">
        <f>INDEX(Stammdaten[D Mitte mit Rinde (mm)],MATCH(Tabelle8[[#This Row],[Rank]],Stammdaten[Rank Verteilung D Mitte mit Rinde],0))</f>
        <v>#N/A</v>
      </c>
      <c r="G2648" t="e">
        <f>VLOOKUP(Tabelle8[[#This Row],[Rank]],Stammdaten[[Rank Verteilung D Mitte mit Rinde]:[Verteilung D Mitte mit Rinde]],2,FALSE)</f>
        <v>#N/A</v>
      </c>
      <c r="L2648">
        <v>2639</v>
      </c>
      <c r="M2648" t="e">
        <f>INDEX(Stammdaten[Abholzigkeit (mm/lfm)],MATCH(Tabelle9[[#This Row],[Rank]],Stammdaten[Rank Verteilung Abholzigkeit],0))</f>
        <v>#N/A</v>
      </c>
      <c r="N2648" t="e">
        <f>VLOOKUP(Tabelle9[[#This Row],[Rank]],Stammdaten[[Rank Verteilung Abholzigkeit]:[Verteilung Abholzigkeit]],2,FALSE)</f>
        <v>#N/A</v>
      </c>
      <c r="S2648">
        <v>2639</v>
      </c>
      <c r="T2648" t="e">
        <f>INDEX(Stammdaten[Krümmung (mm/lfm)],MATCH(Tabelle10[[#This Row],[Rank]],Stammdaten[Rank Verteilung Krümmung],0))</f>
        <v>#N/A</v>
      </c>
      <c r="U2648" t="e">
        <f>VLOOKUP(Tabelle10[[#This Row],[Rank]],Stammdaten[[Rank Verteilung Krümmung]:[Verteilung Krümmung]],2,FALSE)</f>
        <v>#N/A</v>
      </c>
      <c r="Z2648">
        <v>2639</v>
      </c>
      <c r="AA2648" t="e">
        <f>INDEX(Stammdaten[Ovalität (']0,1'])],MATCH(Tabelle1014[[#This Row],[Rank]],Stammdaten[Rank Verteilung Ovalität],0))</f>
        <v>#N/A</v>
      </c>
      <c r="AB2648" t="e">
        <f>VLOOKUP(Tabelle1014[[#This Row],[Rank]],Stammdaten[[Rank Verteilung Ovalität]:[Verteilung Ovalität]],2,FALSE)</f>
        <v>#N/A</v>
      </c>
    </row>
    <row r="2649" spans="5:28" x14ac:dyDescent="0.35">
      <c r="E2649">
        <v>2640</v>
      </c>
      <c r="F2649" t="e">
        <f>INDEX(Stammdaten[D Mitte mit Rinde (mm)],MATCH(Tabelle8[[#This Row],[Rank]],Stammdaten[Rank Verteilung D Mitte mit Rinde],0))</f>
        <v>#N/A</v>
      </c>
      <c r="G2649" t="e">
        <f>VLOOKUP(Tabelle8[[#This Row],[Rank]],Stammdaten[[Rank Verteilung D Mitte mit Rinde]:[Verteilung D Mitte mit Rinde]],2,FALSE)</f>
        <v>#N/A</v>
      </c>
      <c r="L2649">
        <v>2640</v>
      </c>
      <c r="M2649" t="e">
        <f>INDEX(Stammdaten[Abholzigkeit (mm/lfm)],MATCH(Tabelle9[[#This Row],[Rank]],Stammdaten[Rank Verteilung Abholzigkeit],0))</f>
        <v>#N/A</v>
      </c>
      <c r="N2649" t="e">
        <f>VLOOKUP(Tabelle9[[#This Row],[Rank]],Stammdaten[[Rank Verteilung Abholzigkeit]:[Verteilung Abholzigkeit]],2,FALSE)</f>
        <v>#N/A</v>
      </c>
      <c r="S2649">
        <v>2640</v>
      </c>
      <c r="T2649" t="e">
        <f>INDEX(Stammdaten[Krümmung (mm/lfm)],MATCH(Tabelle10[[#This Row],[Rank]],Stammdaten[Rank Verteilung Krümmung],0))</f>
        <v>#N/A</v>
      </c>
      <c r="U2649" t="e">
        <f>VLOOKUP(Tabelle10[[#This Row],[Rank]],Stammdaten[[Rank Verteilung Krümmung]:[Verteilung Krümmung]],2,FALSE)</f>
        <v>#N/A</v>
      </c>
      <c r="Z2649">
        <v>2640</v>
      </c>
      <c r="AA2649" t="e">
        <f>INDEX(Stammdaten[Ovalität (']0,1'])],MATCH(Tabelle1014[[#This Row],[Rank]],Stammdaten[Rank Verteilung Ovalität],0))</f>
        <v>#N/A</v>
      </c>
      <c r="AB2649" t="e">
        <f>VLOOKUP(Tabelle1014[[#This Row],[Rank]],Stammdaten[[Rank Verteilung Ovalität]:[Verteilung Ovalität]],2,FALSE)</f>
        <v>#N/A</v>
      </c>
    </row>
    <row r="2650" spans="5:28" x14ac:dyDescent="0.35">
      <c r="E2650">
        <v>2641</v>
      </c>
      <c r="F2650" t="e">
        <f>INDEX(Stammdaten[D Mitte mit Rinde (mm)],MATCH(Tabelle8[[#This Row],[Rank]],Stammdaten[Rank Verteilung D Mitte mit Rinde],0))</f>
        <v>#N/A</v>
      </c>
      <c r="G2650" t="e">
        <f>VLOOKUP(Tabelle8[[#This Row],[Rank]],Stammdaten[[Rank Verteilung D Mitte mit Rinde]:[Verteilung D Mitte mit Rinde]],2,FALSE)</f>
        <v>#N/A</v>
      </c>
      <c r="L2650">
        <v>2641</v>
      </c>
      <c r="M2650" t="e">
        <f>INDEX(Stammdaten[Abholzigkeit (mm/lfm)],MATCH(Tabelle9[[#This Row],[Rank]],Stammdaten[Rank Verteilung Abholzigkeit],0))</f>
        <v>#N/A</v>
      </c>
      <c r="N2650" t="e">
        <f>VLOOKUP(Tabelle9[[#This Row],[Rank]],Stammdaten[[Rank Verteilung Abholzigkeit]:[Verteilung Abholzigkeit]],2,FALSE)</f>
        <v>#N/A</v>
      </c>
      <c r="S2650">
        <v>2641</v>
      </c>
      <c r="T2650" t="e">
        <f>INDEX(Stammdaten[Krümmung (mm/lfm)],MATCH(Tabelle10[[#This Row],[Rank]],Stammdaten[Rank Verteilung Krümmung],0))</f>
        <v>#N/A</v>
      </c>
      <c r="U2650" t="e">
        <f>VLOOKUP(Tabelle10[[#This Row],[Rank]],Stammdaten[[Rank Verteilung Krümmung]:[Verteilung Krümmung]],2,FALSE)</f>
        <v>#N/A</v>
      </c>
      <c r="Z2650">
        <v>2641</v>
      </c>
      <c r="AA2650" t="e">
        <f>INDEX(Stammdaten[Ovalität (']0,1'])],MATCH(Tabelle1014[[#This Row],[Rank]],Stammdaten[Rank Verteilung Ovalität],0))</f>
        <v>#N/A</v>
      </c>
      <c r="AB2650" t="e">
        <f>VLOOKUP(Tabelle1014[[#This Row],[Rank]],Stammdaten[[Rank Verteilung Ovalität]:[Verteilung Ovalität]],2,FALSE)</f>
        <v>#N/A</v>
      </c>
    </row>
    <row r="2651" spans="5:28" x14ac:dyDescent="0.35">
      <c r="E2651">
        <v>2642</v>
      </c>
      <c r="F2651" t="e">
        <f>INDEX(Stammdaten[D Mitte mit Rinde (mm)],MATCH(Tabelle8[[#This Row],[Rank]],Stammdaten[Rank Verteilung D Mitte mit Rinde],0))</f>
        <v>#N/A</v>
      </c>
      <c r="G2651" t="e">
        <f>VLOOKUP(Tabelle8[[#This Row],[Rank]],Stammdaten[[Rank Verteilung D Mitte mit Rinde]:[Verteilung D Mitte mit Rinde]],2,FALSE)</f>
        <v>#N/A</v>
      </c>
      <c r="L2651">
        <v>2642</v>
      </c>
      <c r="M2651" t="e">
        <f>INDEX(Stammdaten[Abholzigkeit (mm/lfm)],MATCH(Tabelle9[[#This Row],[Rank]],Stammdaten[Rank Verteilung Abholzigkeit],0))</f>
        <v>#N/A</v>
      </c>
      <c r="N2651" t="e">
        <f>VLOOKUP(Tabelle9[[#This Row],[Rank]],Stammdaten[[Rank Verteilung Abholzigkeit]:[Verteilung Abholzigkeit]],2,FALSE)</f>
        <v>#N/A</v>
      </c>
      <c r="S2651">
        <v>2642</v>
      </c>
      <c r="T2651" t="e">
        <f>INDEX(Stammdaten[Krümmung (mm/lfm)],MATCH(Tabelle10[[#This Row],[Rank]],Stammdaten[Rank Verteilung Krümmung],0))</f>
        <v>#N/A</v>
      </c>
      <c r="U2651" t="e">
        <f>VLOOKUP(Tabelle10[[#This Row],[Rank]],Stammdaten[[Rank Verteilung Krümmung]:[Verteilung Krümmung]],2,FALSE)</f>
        <v>#N/A</v>
      </c>
      <c r="Z2651">
        <v>2642</v>
      </c>
      <c r="AA2651" t="e">
        <f>INDEX(Stammdaten[Ovalität (']0,1'])],MATCH(Tabelle1014[[#This Row],[Rank]],Stammdaten[Rank Verteilung Ovalität],0))</f>
        <v>#N/A</v>
      </c>
      <c r="AB2651" t="e">
        <f>VLOOKUP(Tabelle1014[[#This Row],[Rank]],Stammdaten[[Rank Verteilung Ovalität]:[Verteilung Ovalität]],2,FALSE)</f>
        <v>#N/A</v>
      </c>
    </row>
    <row r="2652" spans="5:28" x14ac:dyDescent="0.35">
      <c r="E2652">
        <v>2643</v>
      </c>
      <c r="F2652" t="e">
        <f>INDEX(Stammdaten[D Mitte mit Rinde (mm)],MATCH(Tabelle8[[#This Row],[Rank]],Stammdaten[Rank Verteilung D Mitte mit Rinde],0))</f>
        <v>#N/A</v>
      </c>
      <c r="G2652" t="e">
        <f>VLOOKUP(Tabelle8[[#This Row],[Rank]],Stammdaten[[Rank Verteilung D Mitte mit Rinde]:[Verteilung D Mitte mit Rinde]],2,FALSE)</f>
        <v>#N/A</v>
      </c>
      <c r="L2652">
        <v>2643</v>
      </c>
      <c r="M2652" t="e">
        <f>INDEX(Stammdaten[Abholzigkeit (mm/lfm)],MATCH(Tabelle9[[#This Row],[Rank]],Stammdaten[Rank Verteilung Abholzigkeit],0))</f>
        <v>#N/A</v>
      </c>
      <c r="N2652" t="e">
        <f>VLOOKUP(Tabelle9[[#This Row],[Rank]],Stammdaten[[Rank Verteilung Abholzigkeit]:[Verteilung Abholzigkeit]],2,FALSE)</f>
        <v>#N/A</v>
      </c>
      <c r="S2652">
        <v>2643</v>
      </c>
      <c r="T2652" t="e">
        <f>INDEX(Stammdaten[Krümmung (mm/lfm)],MATCH(Tabelle10[[#This Row],[Rank]],Stammdaten[Rank Verteilung Krümmung],0))</f>
        <v>#N/A</v>
      </c>
      <c r="U2652" t="e">
        <f>VLOOKUP(Tabelle10[[#This Row],[Rank]],Stammdaten[[Rank Verteilung Krümmung]:[Verteilung Krümmung]],2,FALSE)</f>
        <v>#N/A</v>
      </c>
      <c r="Z2652">
        <v>2643</v>
      </c>
      <c r="AA2652" t="e">
        <f>INDEX(Stammdaten[Ovalität (']0,1'])],MATCH(Tabelle1014[[#This Row],[Rank]],Stammdaten[Rank Verteilung Ovalität],0))</f>
        <v>#N/A</v>
      </c>
      <c r="AB2652" t="e">
        <f>VLOOKUP(Tabelle1014[[#This Row],[Rank]],Stammdaten[[Rank Verteilung Ovalität]:[Verteilung Ovalität]],2,FALSE)</f>
        <v>#N/A</v>
      </c>
    </row>
    <row r="2653" spans="5:28" x14ac:dyDescent="0.35">
      <c r="E2653">
        <v>2644</v>
      </c>
      <c r="F2653" t="e">
        <f>INDEX(Stammdaten[D Mitte mit Rinde (mm)],MATCH(Tabelle8[[#This Row],[Rank]],Stammdaten[Rank Verteilung D Mitte mit Rinde],0))</f>
        <v>#N/A</v>
      </c>
      <c r="G2653" t="e">
        <f>VLOOKUP(Tabelle8[[#This Row],[Rank]],Stammdaten[[Rank Verteilung D Mitte mit Rinde]:[Verteilung D Mitte mit Rinde]],2,FALSE)</f>
        <v>#N/A</v>
      </c>
      <c r="L2653">
        <v>2644</v>
      </c>
      <c r="M2653" t="e">
        <f>INDEX(Stammdaten[Abholzigkeit (mm/lfm)],MATCH(Tabelle9[[#This Row],[Rank]],Stammdaten[Rank Verteilung Abholzigkeit],0))</f>
        <v>#N/A</v>
      </c>
      <c r="N2653" t="e">
        <f>VLOOKUP(Tabelle9[[#This Row],[Rank]],Stammdaten[[Rank Verteilung Abholzigkeit]:[Verteilung Abholzigkeit]],2,FALSE)</f>
        <v>#N/A</v>
      </c>
      <c r="S2653">
        <v>2644</v>
      </c>
      <c r="T2653" t="e">
        <f>INDEX(Stammdaten[Krümmung (mm/lfm)],MATCH(Tabelle10[[#This Row],[Rank]],Stammdaten[Rank Verteilung Krümmung],0))</f>
        <v>#N/A</v>
      </c>
      <c r="U2653" t="e">
        <f>VLOOKUP(Tabelle10[[#This Row],[Rank]],Stammdaten[[Rank Verteilung Krümmung]:[Verteilung Krümmung]],2,FALSE)</f>
        <v>#N/A</v>
      </c>
      <c r="Z2653">
        <v>2644</v>
      </c>
      <c r="AA2653" t="e">
        <f>INDEX(Stammdaten[Ovalität (']0,1'])],MATCH(Tabelle1014[[#This Row],[Rank]],Stammdaten[Rank Verteilung Ovalität],0))</f>
        <v>#N/A</v>
      </c>
      <c r="AB2653" t="e">
        <f>VLOOKUP(Tabelle1014[[#This Row],[Rank]],Stammdaten[[Rank Verteilung Ovalität]:[Verteilung Ovalität]],2,FALSE)</f>
        <v>#N/A</v>
      </c>
    </row>
    <row r="2654" spans="5:28" x14ac:dyDescent="0.35">
      <c r="E2654">
        <v>2645</v>
      </c>
      <c r="F2654" t="e">
        <f>INDEX(Stammdaten[D Mitte mit Rinde (mm)],MATCH(Tabelle8[[#This Row],[Rank]],Stammdaten[Rank Verteilung D Mitte mit Rinde],0))</f>
        <v>#N/A</v>
      </c>
      <c r="G2654" t="e">
        <f>VLOOKUP(Tabelle8[[#This Row],[Rank]],Stammdaten[[Rank Verteilung D Mitte mit Rinde]:[Verteilung D Mitte mit Rinde]],2,FALSE)</f>
        <v>#N/A</v>
      </c>
      <c r="L2654">
        <v>2645</v>
      </c>
      <c r="M2654" t="e">
        <f>INDEX(Stammdaten[Abholzigkeit (mm/lfm)],MATCH(Tabelle9[[#This Row],[Rank]],Stammdaten[Rank Verteilung Abholzigkeit],0))</f>
        <v>#N/A</v>
      </c>
      <c r="N2654" t="e">
        <f>VLOOKUP(Tabelle9[[#This Row],[Rank]],Stammdaten[[Rank Verteilung Abholzigkeit]:[Verteilung Abholzigkeit]],2,FALSE)</f>
        <v>#N/A</v>
      </c>
      <c r="S2654">
        <v>2645</v>
      </c>
      <c r="T2654" t="e">
        <f>INDEX(Stammdaten[Krümmung (mm/lfm)],MATCH(Tabelle10[[#This Row],[Rank]],Stammdaten[Rank Verteilung Krümmung],0))</f>
        <v>#N/A</v>
      </c>
      <c r="U2654" t="e">
        <f>VLOOKUP(Tabelle10[[#This Row],[Rank]],Stammdaten[[Rank Verteilung Krümmung]:[Verteilung Krümmung]],2,FALSE)</f>
        <v>#N/A</v>
      </c>
      <c r="Z2654">
        <v>2645</v>
      </c>
      <c r="AA2654" t="e">
        <f>INDEX(Stammdaten[Ovalität (']0,1'])],MATCH(Tabelle1014[[#This Row],[Rank]],Stammdaten[Rank Verteilung Ovalität],0))</f>
        <v>#N/A</v>
      </c>
      <c r="AB2654" t="e">
        <f>VLOOKUP(Tabelle1014[[#This Row],[Rank]],Stammdaten[[Rank Verteilung Ovalität]:[Verteilung Ovalität]],2,FALSE)</f>
        <v>#N/A</v>
      </c>
    </row>
    <row r="2655" spans="5:28" x14ac:dyDescent="0.35">
      <c r="E2655">
        <v>2646</v>
      </c>
      <c r="F2655" t="e">
        <f>INDEX(Stammdaten[D Mitte mit Rinde (mm)],MATCH(Tabelle8[[#This Row],[Rank]],Stammdaten[Rank Verteilung D Mitte mit Rinde],0))</f>
        <v>#N/A</v>
      </c>
      <c r="G2655" t="e">
        <f>VLOOKUP(Tabelle8[[#This Row],[Rank]],Stammdaten[[Rank Verteilung D Mitte mit Rinde]:[Verteilung D Mitte mit Rinde]],2,FALSE)</f>
        <v>#N/A</v>
      </c>
      <c r="L2655">
        <v>2646</v>
      </c>
      <c r="M2655" t="e">
        <f>INDEX(Stammdaten[Abholzigkeit (mm/lfm)],MATCH(Tabelle9[[#This Row],[Rank]],Stammdaten[Rank Verteilung Abholzigkeit],0))</f>
        <v>#N/A</v>
      </c>
      <c r="N2655" t="e">
        <f>VLOOKUP(Tabelle9[[#This Row],[Rank]],Stammdaten[[Rank Verteilung Abholzigkeit]:[Verteilung Abholzigkeit]],2,FALSE)</f>
        <v>#N/A</v>
      </c>
      <c r="S2655">
        <v>2646</v>
      </c>
      <c r="T2655" t="e">
        <f>INDEX(Stammdaten[Krümmung (mm/lfm)],MATCH(Tabelle10[[#This Row],[Rank]],Stammdaten[Rank Verteilung Krümmung],0))</f>
        <v>#N/A</v>
      </c>
      <c r="U2655" t="e">
        <f>VLOOKUP(Tabelle10[[#This Row],[Rank]],Stammdaten[[Rank Verteilung Krümmung]:[Verteilung Krümmung]],2,FALSE)</f>
        <v>#N/A</v>
      </c>
      <c r="Z2655">
        <v>2646</v>
      </c>
      <c r="AA2655" t="e">
        <f>INDEX(Stammdaten[Ovalität (']0,1'])],MATCH(Tabelle1014[[#This Row],[Rank]],Stammdaten[Rank Verteilung Ovalität],0))</f>
        <v>#N/A</v>
      </c>
      <c r="AB2655" t="e">
        <f>VLOOKUP(Tabelle1014[[#This Row],[Rank]],Stammdaten[[Rank Verteilung Ovalität]:[Verteilung Ovalität]],2,FALSE)</f>
        <v>#N/A</v>
      </c>
    </row>
    <row r="2656" spans="5:28" x14ac:dyDescent="0.35">
      <c r="E2656">
        <v>2647</v>
      </c>
      <c r="F2656" t="e">
        <f>INDEX(Stammdaten[D Mitte mit Rinde (mm)],MATCH(Tabelle8[[#This Row],[Rank]],Stammdaten[Rank Verteilung D Mitte mit Rinde],0))</f>
        <v>#N/A</v>
      </c>
      <c r="G2656" t="e">
        <f>VLOOKUP(Tabelle8[[#This Row],[Rank]],Stammdaten[[Rank Verteilung D Mitte mit Rinde]:[Verteilung D Mitte mit Rinde]],2,FALSE)</f>
        <v>#N/A</v>
      </c>
      <c r="L2656">
        <v>2647</v>
      </c>
      <c r="M2656" t="e">
        <f>INDEX(Stammdaten[Abholzigkeit (mm/lfm)],MATCH(Tabelle9[[#This Row],[Rank]],Stammdaten[Rank Verteilung Abholzigkeit],0))</f>
        <v>#N/A</v>
      </c>
      <c r="N2656" t="e">
        <f>VLOOKUP(Tabelle9[[#This Row],[Rank]],Stammdaten[[Rank Verteilung Abholzigkeit]:[Verteilung Abholzigkeit]],2,FALSE)</f>
        <v>#N/A</v>
      </c>
      <c r="S2656">
        <v>2647</v>
      </c>
      <c r="T2656" t="e">
        <f>INDEX(Stammdaten[Krümmung (mm/lfm)],MATCH(Tabelle10[[#This Row],[Rank]],Stammdaten[Rank Verteilung Krümmung],0))</f>
        <v>#N/A</v>
      </c>
      <c r="U2656" t="e">
        <f>VLOOKUP(Tabelle10[[#This Row],[Rank]],Stammdaten[[Rank Verteilung Krümmung]:[Verteilung Krümmung]],2,FALSE)</f>
        <v>#N/A</v>
      </c>
      <c r="Z2656">
        <v>2647</v>
      </c>
      <c r="AA2656" t="e">
        <f>INDEX(Stammdaten[Ovalität (']0,1'])],MATCH(Tabelle1014[[#This Row],[Rank]],Stammdaten[Rank Verteilung Ovalität],0))</f>
        <v>#N/A</v>
      </c>
      <c r="AB2656" t="e">
        <f>VLOOKUP(Tabelle1014[[#This Row],[Rank]],Stammdaten[[Rank Verteilung Ovalität]:[Verteilung Ovalität]],2,FALSE)</f>
        <v>#N/A</v>
      </c>
    </row>
    <row r="2657" spans="5:28" x14ac:dyDescent="0.35">
      <c r="E2657">
        <v>2648</v>
      </c>
      <c r="F2657" t="e">
        <f>INDEX(Stammdaten[D Mitte mit Rinde (mm)],MATCH(Tabelle8[[#This Row],[Rank]],Stammdaten[Rank Verteilung D Mitte mit Rinde],0))</f>
        <v>#N/A</v>
      </c>
      <c r="G2657" t="e">
        <f>VLOOKUP(Tabelle8[[#This Row],[Rank]],Stammdaten[[Rank Verteilung D Mitte mit Rinde]:[Verteilung D Mitte mit Rinde]],2,FALSE)</f>
        <v>#N/A</v>
      </c>
      <c r="L2657">
        <v>2648</v>
      </c>
      <c r="M2657" t="e">
        <f>INDEX(Stammdaten[Abholzigkeit (mm/lfm)],MATCH(Tabelle9[[#This Row],[Rank]],Stammdaten[Rank Verteilung Abholzigkeit],0))</f>
        <v>#N/A</v>
      </c>
      <c r="N2657" t="e">
        <f>VLOOKUP(Tabelle9[[#This Row],[Rank]],Stammdaten[[Rank Verteilung Abholzigkeit]:[Verteilung Abholzigkeit]],2,FALSE)</f>
        <v>#N/A</v>
      </c>
      <c r="S2657">
        <v>2648</v>
      </c>
      <c r="T2657" t="e">
        <f>INDEX(Stammdaten[Krümmung (mm/lfm)],MATCH(Tabelle10[[#This Row],[Rank]],Stammdaten[Rank Verteilung Krümmung],0))</f>
        <v>#N/A</v>
      </c>
      <c r="U2657" t="e">
        <f>VLOOKUP(Tabelle10[[#This Row],[Rank]],Stammdaten[[Rank Verteilung Krümmung]:[Verteilung Krümmung]],2,FALSE)</f>
        <v>#N/A</v>
      </c>
      <c r="Z2657">
        <v>2648</v>
      </c>
      <c r="AA2657" t="e">
        <f>INDEX(Stammdaten[Ovalität (']0,1'])],MATCH(Tabelle1014[[#This Row],[Rank]],Stammdaten[Rank Verteilung Ovalität],0))</f>
        <v>#N/A</v>
      </c>
      <c r="AB2657" t="e">
        <f>VLOOKUP(Tabelle1014[[#This Row],[Rank]],Stammdaten[[Rank Verteilung Ovalität]:[Verteilung Ovalität]],2,FALSE)</f>
        <v>#N/A</v>
      </c>
    </row>
    <row r="2658" spans="5:28" x14ac:dyDescent="0.35">
      <c r="E2658">
        <v>2649</v>
      </c>
      <c r="F2658" t="e">
        <f>INDEX(Stammdaten[D Mitte mit Rinde (mm)],MATCH(Tabelle8[[#This Row],[Rank]],Stammdaten[Rank Verteilung D Mitte mit Rinde],0))</f>
        <v>#N/A</v>
      </c>
      <c r="G2658" t="e">
        <f>VLOOKUP(Tabelle8[[#This Row],[Rank]],Stammdaten[[Rank Verteilung D Mitte mit Rinde]:[Verteilung D Mitte mit Rinde]],2,FALSE)</f>
        <v>#N/A</v>
      </c>
      <c r="L2658">
        <v>2649</v>
      </c>
      <c r="M2658" t="e">
        <f>INDEX(Stammdaten[Abholzigkeit (mm/lfm)],MATCH(Tabelle9[[#This Row],[Rank]],Stammdaten[Rank Verteilung Abholzigkeit],0))</f>
        <v>#N/A</v>
      </c>
      <c r="N2658" t="e">
        <f>VLOOKUP(Tabelle9[[#This Row],[Rank]],Stammdaten[[Rank Verteilung Abholzigkeit]:[Verteilung Abholzigkeit]],2,FALSE)</f>
        <v>#N/A</v>
      </c>
      <c r="S2658">
        <v>2649</v>
      </c>
      <c r="T2658" t="e">
        <f>INDEX(Stammdaten[Krümmung (mm/lfm)],MATCH(Tabelle10[[#This Row],[Rank]],Stammdaten[Rank Verteilung Krümmung],0))</f>
        <v>#N/A</v>
      </c>
      <c r="U2658" t="e">
        <f>VLOOKUP(Tabelle10[[#This Row],[Rank]],Stammdaten[[Rank Verteilung Krümmung]:[Verteilung Krümmung]],2,FALSE)</f>
        <v>#N/A</v>
      </c>
      <c r="Z2658">
        <v>2649</v>
      </c>
      <c r="AA2658" t="e">
        <f>INDEX(Stammdaten[Ovalität (']0,1'])],MATCH(Tabelle1014[[#This Row],[Rank]],Stammdaten[Rank Verteilung Ovalität],0))</f>
        <v>#N/A</v>
      </c>
      <c r="AB2658" t="e">
        <f>VLOOKUP(Tabelle1014[[#This Row],[Rank]],Stammdaten[[Rank Verteilung Ovalität]:[Verteilung Ovalität]],2,FALSE)</f>
        <v>#N/A</v>
      </c>
    </row>
    <row r="2659" spans="5:28" x14ac:dyDescent="0.35">
      <c r="E2659">
        <v>2650</v>
      </c>
      <c r="F2659" t="e">
        <f>INDEX(Stammdaten[D Mitte mit Rinde (mm)],MATCH(Tabelle8[[#This Row],[Rank]],Stammdaten[Rank Verteilung D Mitte mit Rinde],0))</f>
        <v>#N/A</v>
      </c>
      <c r="G2659" t="e">
        <f>VLOOKUP(Tabelle8[[#This Row],[Rank]],Stammdaten[[Rank Verteilung D Mitte mit Rinde]:[Verteilung D Mitte mit Rinde]],2,FALSE)</f>
        <v>#N/A</v>
      </c>
      <c r="L2659">
        <v>2650</v>
      </c>
      <c r="M2659" t="e">
        <f>INDEX(Stammdaten[Abholzigkeit (mm/lfm)],MATCH(Tabelle9[[#This Row],[Rank]],Stammdaten[Rank Verteilung Abholzigkeit],0))</f>
        <v>#N/A</v>
      </c>
      <c r="N2659" t="e">
        <f>VLOOKUP(Tabelle9[[#This Row],[Rank]],Stammdaten[[Rank Verteilung Abholzigkeit]:[Verteilung Abholzigkeit]],2,FALSE)</f>
        <v>#N/A</v>
      </c>
      <c r="S2659">
        <v>2650</v>
      </c>
      <c r="T2659" t="e">
        <f>INDEX(Stammdaten[Krümmung (mm/lfm)],MATCH(Tabelle10[[#This Row],[Rank]],Stammdaten[Rank Verteilung Krümmung],0))</f>
        <v>#N/A</v>
      </c>
      <c r="U2659" t="e">
        <f>VLOOKUP(Tabelle10[[#This Row],[Rank]],Stammdaten[[Rank Verteilung Krümmung]:[Verteilung Krümmung]],2,FALSE)</f>
        <v>#N/A</v>
      </c>
      <c r="Z2659">
        <v>2650</v>
      </c>
      <c r="AA2659" t="e">
        <f>INDEX(Stammdaten[Ovalität (']0,1'])],MATCH(Tabelle1014[[#This Row],[Rank]],Stammdaten[Rank Verteilung Ovalität],0))</f>
        <v>#N/A</v>
      </c>
      <c r="AB2659" t="e">
        <f>VLOOKUP(Tabelle1014[[#This Row],[Rank]],Stammdaten[[Rank Verteilung Ovalität]:[Verteilung Ovalität]],2,FALSE)</f>
        <v>#N/A</v>
      </c>
    </row>
    <row r="2660" spans="5:28" x14ac:dyDescent="0.35">
      <c r="E2660">
        <v>2651</v>
      </c>
      <c r="F2660" t="e">
        <f>INDEX(Stammdaten[D Mitte mit Rinde (mm)],MATCH(Tabelle8[[#This Row],[Rank]],Stammdaten[Rank Verteilung D Mitte mit Rinde],0))</f>
        <v>#N/A</v>
      </c>
      <c r="G2660" t="e">
        <f>VLOOKUP(Tabelle8[[#This Row],[Rank]],Stammdaten[[Rank Verteilung D Mitte mit Rinde]:[Verteilung D Mitte mit Rinde]],2,FALSE)</f>
        <v>#N/A</v>
      </c>
      <c r="L2660">
        <v>2651</v>
      </c>
      <c r="M2660" t="e">
        <f>INDEX(Stammdaten[Abholzigkeit (mm/lfm)],MATCH(Tabelle9[[#This Row],[Rank]],Stammdaten[Rank Verteilung Abholzigkeit],0))</f>
        <v>#N/A</v>
      </c>
      <c r="N2660" t="e">
        <f>VLOOKUP(Tabelle9[[#This Row],[Rank]],Stammdaten[[Rank Verteilung Abholzigkeit]:[Verteilung Abholzigkeit]],2,FALSE)</f>
        <v>#N/A</v>
      </c>
      <c r="S2660">
        <v>2651</v>
      </c>
      <c r="T2660" t="e">
        <f>INDEX(Stammdaten[Krümmung (mm/lfm)],MATCH(Tabelle10[[#This Row],[Rank]],Stammdaten[Rank Verteilung Krümmung],0))</f>
        <v>#N/A</v>
      </c>
      <c r="U2660" t="e">
        <f>VLOOKUP(Tabelle10[[#This Row],[Rank]],Stammdaten[[Rank Verteilung Krümmung]:[Verteilung Krümmung]],2,FALSE)</f>
        <v>#N/A</v>
      </c>
      <c r="Z2660">
        <v>2651</v>
      </c>
      <c r="AA2660" t="e">
        <f>INDEX(Stammdaten[Ovalität (']0,1'])],MATCH(Tabelle1014[[#This Row],[Rank]],Stammdaten[Rank Verteilung Ovalität],0))</f>
        <v>#N/A</v>
      </c>
      <c r="AB2660" t="e">
        <f>VLOOKUP(Tabelle1014[[#This Row],[Rank]],Stammdaten[[Rank Verteilung Ovalität]:[Verteilung Ovalität]],2,FALSE)</f>
        <v>#N/A</v>
      </c>
    </row>
    <row r="2661" spans="5:28" x14ac:dyDescent="0.35">
      <c r="E2661">
        <v>2652</v>
      </c>
      <c r="F2661" t="e">
        <f>INDEX(Stammdaten[D Mitte mit Rinde (mm)],MATCH(Tabelle8[[#This Row],[Rank]],Stammdaten[Rank Verteilung D Mitte mit Rinde],0))</f>
        <v>#N/A</v>
      </c>
      <c r="G2661" t="e">
        <f>VLOOKUP(Tabelle8[[#This Row],[Rank]],Stammdaten[[Rank Verteilung D Mitte mit Rinde]:[Verteilung D Mitte mit Rinde]],2,FALSE)</f>
        <v>#N/A</v>
      </c>
      <c r="L2661">
        <v>2652</v>
      </c>
      <c r="M2661" t="e">
        <f>INDEX(Stammdaten[Abholzigkeit (mm/lfm)],MATCH(Tabelle9[[#This Row],[Rank]],Stammdaten[Rank Verteilung Abholzigkeit],0))</f>
        <v>#N/A</v>
      </c>
      <c r="N2661" t="e">
        <f>VLOOKUP(Tabelle9[[#This Row],[Rank]],Stammdaten[[Rank Verteilung Abholzigkeit]:[Verteilung Abholzigkeit]],2,FALSE)</f>
        <v>#N/A</v>
      </c>
      <c r="S2661">
        <v>2652</v>
      </c>
      <c r="T2661" t="e">
        <f>INDEX(Stammdaten[Krümmung (mm/lfm)],MATCH(Tabelle10[[#This Row],[Rank]],Stammdaten[Rank Verteilung Krümmung],0))</f>
        <v>#N/A</v>
      </c>
      <c r="U2661" t="e">
        <f>VLOOKUP(Tabelle10[[#This Row],[Rank]],Stammdaten[[Rank Verteilung Krümmung]:[Verteilung Krümmung]],2,FALSE)</f>
        <v>#N/A</v>
      </c>
      <c r="Z2661">
        <v>2652</v>
      </c>
      <c r="AA2661" t="e">
        <f>INDEX(Stammdaten[Ovalität (']0,1'])],MATCH(Tabelle1014[[#This Row],[Rank]],Stammdaten[Rank Verteilung Ovalität],0))</f>
        <v>#N/A</v>
      </c>
      <c r="AB2661" t="e">
        <f>VLOOKUP(Tabelle1014[[#This Row],[Rank]],Stammdaten[[Rank Verteilung Ovalität]:[Verteilung Ovalität]],2,FALSE)</f>
        <v>#N/A</v>
      </c>
    </row>
    <row r="2662" spans="5:28" x14ac:dyDescent="0.35">
      <c r="E2662">
        <v>2653</v>
      </c>
      <c r="F2662" t="e">
        <f>INDEX(Stammdaten[D Mitte mit Rinde (mm)],MATCH(Tabelle8[[#This Row],[Rank]],Stammdaten[Rank Verteilung D Mitte mit Rinde],0))</f>
        <v>#N/A</v>
      </c>
      <c r="G2662" t="e">
        <f>VLOOKUP(Tabelle8[[#This Row],[Rank]],Stammdaten[[Rank Verteilung D Mitte mit Rinde]:[Verteilung D Mitte mit Rinde]],2,FALSE)</f>
        <v>#N/A</v>
      </c>
      <c r="L2662">
        <v>2653</v>
      </c>
      <c r="M2662" t="e">
        <f>INDEX(Stammdaten[Abholzigkeit (mm/lfm)],MATCH(Tabelle9[[#This Row],[Rank]],Stammdaten[Rank Verteilung Abholzigkeit],0))</f>
        <v>#N/A</v>
      </c>
      <c r="N2662" t="e">
        <f>VLOOKUP(Tabelle9[[#This Row],[Rank]],Stammdaten[[Rank Verteilung Abholzigkeit]:[Verteilung Abholzigkeit]],2,FALSE)</f>
        <v>#N/A</v>
      </c>
      <c r="S2662">
        <v>2653</v>
      </c>
      <c r="T2662" t="e">
        <f>INDEX(Stammdaten[Krümmung (mm/lfm)],MATCH(Tabelle10[[#This Row],[Rank]],Stammdaten[Rank Verteilung Krümmung],0))</f>
        <v>#N/A</v>
      </c>
      <c r="U2662" t="e">
        <f>VLOOKUP(Tabelle10[[#This Row],[Rank]],Stammdaten[[Rank Verteilung Krümmung]:[Verteilung Krümmung]],2,FALSE)</f>
        <v>#N/A</v>
      </c>
      <c r="Z2662">
        <v>2653</v>
      </c>
      <c r="AA2662" t="e">
        <f>INDEX(Stammdaten[Ovalität (']0,1'])],MATCH(Tabelle1014[[#This Row],[Rank]],Stammdaten[Rank Verteilung Ovalität],0))</f>
        <v>#N/A</v>
      </c>
      <c r="AB2662" t="e">
        <f>VLOOKUP(Tabelle1014[[#This Row],[Rank]],Stammdaten[[Rank Verteilung Ovalität]:[Verteilung Ovalität]],2,FALSE)</f>
        <v>#N/A</v>
      </c>
    </row>
    <row r="2663" spans="5:28" x14ac:dyDescent="0.35">
      <c r="E2663">
        <v>2654</v>
      </c>
      <c r="F2663" t="e">
        <f>INDEX(Stammdaten[D Mitte mit Rinde (mm)],MATCH(Tabelle8[[#This Row],[Rank]],Stammdaten[Rank Verteilung D Mitte mit Rinde],0))</f>
        <v>#N/A</v>
      </c>
      <c r="G2663" t="e">
        <f>VLOOKUP(Tabelle8[[#This Row],[Rank]],Stammdaten[[Rank Verteilung D Mitte mit Rinde]:[Verteilung D Mitte mit Rinde]],2,FALSE)</f>
        <v>#N/A</v>
      </c>
      <c r="L2663">
        <v>2654</v>
      </c>
      <c r="M2663" t="e">
        <f>INDEX(Stammdaten[Abholzigkeit (mm/lfm)],MATCH(Tabelle9[[#This Row],[Rank]],Stammdaten[Rank Verteilung Abholzigkeit],0))</f>
        <v>#N/A</v>
      </c>
      <c r="N2663" t="e">
        <f>VLOOKUP(Tabelle9[[#This Row],[Rank]],Stammdaten[[Rank Verteilung Abholzigkeit]:[Verteilung Abholzigkeit]],2,FALSE)</f>
        <v>#N/A</v>
      </c>
      <c r="S2663">
        <v>2654</v>
      </c>
      <c r="T2663" t="e">
        <f>INDEX(Stammdaten[Krümmung (mm/lfm)],MATCH(Tabelle10[[#This Row],[Rank]],Stammdaten[Rank Verteilung Krümmung],0))</f>
        <v>#N/A</v>
      </c>
      <c r="U2663" t="e">
        <f>VLOOKUP(Tabelle10[[#This Row],[Rank]],Stammdaten[[Rank Verteilung Krümmung]:[Verteilung Krümmung]],2,FALSE)</f>
        <v>#N/A</v>
      </c>
      <c r="Z2663">
        <v>2654</v>
      </c>
      <c r="AA2663" t="e">
        <f>INDEX(Stammdaten[Ovalität (']0,1'])],MATCH(Tabelle1014[[#This Row],[Rank]],Stammdaten[Rank Verteilung Ovalität],0))</f>
        <v>#N/A</v>
      </c>
      <c r="AB2663" t="e">
        <f>VLOOKUP(Tabelle1014[[#This Row],[Rank]],Stammdaten[[Rank Verteilung Ovalität]:[Verteilung Ovalität]],2,FALSE)</f>
        <v>#N/A</v>
      </c>
    </row>
    <row r="2664" spans="5:28" x14ac:dyDescent="0.35">
      <c r="E2664">
        <v>2655</v>
      </c>
      <c r="F2664" t="e">
        <f>INDEX(Stammdaten[D Mitte mit Rinde (mm)],MATCH(Tabelle8[[#This Row],[Rank]],Stammdaten[Rank Verteilung D Mitte mit Rinde],0))</f>
        <v>#N/A</v>
      </c>
      <c r="G2664" t="e">
        <f>VLOOKUP(Tabelle8[[#This Row],[Rank]],Stammdaten[[Rank Verteilung D Mitte mit Rinde]:[Verteilung D Mitte mit Rinde]],2,FALSE)</f>
        <v>#N/A</v>
      </c>
      <c r="L2664">
        <v>2655</v>
      </c>
      <c r="M2664" t="e">
        <f>INDEX(Stammdaten[Abholzigkeit (mm/lfm)],MATCH(Tabelle9[[#This Row],[Rank]],Stammdaten[Rank Verteilung Abholzigkeit],0))</f>
        <v>#N/A</v>
      </c>
      <c r="N2664" t="e">
        <f>VLOOKUP(Tabelle9[[#This Row],[Rank]],Stammdaten[[Rank Verteilung Abholzigkeit]:[Verteilung Abholzigkeit]],2,FALSE)</f>
        <v>#N/A</v>
      </c>
      <c r="S2664">
        <v>2655</v>
      </c>
      <c r="T2664" t="e">
        <f>INDEX(Stammdaten[Krümmung (mm/lfm)],MATCH(Tabelle10[[#This Row],[Rank]],Stammdaten[Rank Verteilung Krümmung],0))</f>
        <v>#N/A</v>
      </c>
      <c r="U2664" t="e">
        <f>VLOOKUP(Tabelle10[[#This Row],[Rank]],Stammdaten[[Rank Verteilung Krümmung]:[Verteilung Krümmung]],2,FALSE)</f>
        <v>#N/A</v>
      </c>
      <c r="Z2664">
        <v>2655</v>
      </c>
      <c r="AA2664" t="e">
        <f>INDEX(Stammdaten[Ovalität (']0,1'])],MATCH(Tabelle1014[[#This Row],[Rank]],Stammdaten[Rank Verteilung Ovalität],0))</f>
        <v>#N/A</v>
      </c>
      <c r="AB2664" t="e">
        <f>VLOOKUP(Tabelle1014[[#This Row],[Rank]],Stammdaten[[Rank Verteilung Ovalität]:[Verteilung Ovalität]],2,FALSE)</f>
        <v>#N/A</v>
      </c>
    </row>
    <row r="2665" spans="5:28" x14ac:dyDescent="0.35">
      <c r="E2665">
        <v>2656</v>
      </c>
      <c r="F2665" t="e">
        <f>INDEX(Stammdaten[D Mitte mit Rinde (mm)],MATCH(Tabelle8[[#This Row],[Rank]],Stammdaten[Rank Verteilung D Mitte mit Rinde],0))</f>
        <v>#N/A</v>
      </c>
      <c r="G2665" t="e">
        <f>VLOOKUP(Tabelle8[[#This Row],[Rank]],Stammdaten[[Rank Verteilung D Mitte mit Rinde]:[Verteilung D Mitte mit Rinde]],2,FALSE)</f>
        <v>#N/A</v>
      </c>
      <c r="L2665">
        <v>2656</v>
      </c>
      <c r="M2665" t="e">
        <f>INDEX(Stammdaten[Abholzigkeit (mm/lfm)],MATCH(Tabelle9[[#This Row],[Rank]],Stammdaten[Rank Verteilung Abholzigkeit],0))</f>
        <v>#N/A</v>
      </c>
      <c r="N2665" t="e">
        <f>VLOOKUP(Tabelle9[[#This Row],[Rank]],Stammdaten[[Rank Verteilung Abholzigkeit]:[Verteilung Abholzigkeit]],2,FALSE)</f>
        <v>#N/A</v>
      </c>
      <c r="S2665">
        <v>2656</v>
      </c>
      <c r="T2665" t="e">
        <f>INDEX(Stammdaten[Krümmung (mm/lfm)],MATCH(Tabelle10[[#This Row],[Rank]],Stammdaten[Rank Verteilung Krümmung],0))</f>
        <v>#N/A</v>
      </c>
      <c r="U2665" t="e">
        <f>VLOOKUP(Tabelle10[[#This Row],[Rank]],Stammdaten[[Rank Verteilung Krümmung]:[Verteilung Krümmung]],2,FALSE)</f>
        <v>#N/A</v>
      </c>
      <c r="Z2665">
        <v>2656</v>
      </c>
      <c r="AA2665" t="e">
        <f>INDEX(Stammdaten[Ovalität (']0,1'])],MATCH(Tabelle1014[[#This Row],[Rank]],Stammdaten[Rank Verteilung Ovalität],0))</f>
        <v>#N/A</v>
      </c>
      <c r="AB2665" t="e">
        <f>VLOOKUP(Tabelle1014[[#This Row],[Rank]],Stammdaten[[Rank Verteilung Ovalität]:[Verteilung Ovalität]],2,FALSE)</f>
        <v>#N/A</v>
      </c>
    </row>
    <row r="2666" spans="5:28" x14ac:dyDescent="0.35">
      <c r="E2666">
        <v>2657</v>
      </c>
      <c r="F2666" t="e">
        <f>INDEX(Stammdaten[D Mitte mit Rinde (mm)],MATCH(Tabelle8[[#This Row],[Rank]],Stammdaten[Rank Verteilung D Mitte mit Rinde],0))</f>
        <v>#N/A</v>
      </c>
      <c r="G2666" t="e">
        <f>VLOOKUP(Tabelle8[[#This Row],[Rank]],Stammdaten[[Rank Verteilung D Mitte mit Rinde]:[Verteilung D Mitte mit Rinde]],2,FALSE)</f>
        <v>#N/A</v>
      </c>
      <c r="L2666">
        <v>2657</v>
      </c>
      <c r="M2666" t="e">
        <f>INDEX(Stammdaten[Abholzigkeit (mm/lfm)],MATCH(Tabelle9[[#This Row],[Rank]],Stammdaten[Rank Verteilung Abholzigkeit],0))</f>
        <v>#N/A</v>
      </c>
      <c r="N2666" t="e">
        <f>VLOOKUP(Tabelle9[[#This Row],[Rank]],Stammdaten[[Rank Verteilung Abholzigkeit]:[Verteilung Abholzigkeit]],2,FALSE)</f>
        <v>#N/A</v>
      </c>
      <c r="S2666">
        <v>2657</v>
      </c>
      <c r="T2666" t="e">
        <f>INDEX(Stammdaten[Krümmung (mm/lfm)],MATCH(Tabelle10[[#This Row],[Rank]],Stammdaten[Rank Verteilung Krümmung],0))</f>
        <v>#N/A</v>
      </c>
      <c r="U2666" t="e">
        <f>VLOOKUP(Tabelle10[[#This Row],[Rank]],Stammdaten[[Rank Verteilung Krümmung]:[Verteilung Krümmung]],2,FALSE)</f>
        <v>#N/A</v>
      </c>
      <c r="Z2666">
        <v>2657</v>
      </c>
      <c r="AA2666" t="e">
        <f>INDEX(Stammdaten[Ovalität (']0,1'])],MATCH(Tabelle1014[[#This Row],[Rank]],Stammdaten[Rank Verteilung Ovalität],0))</f>
        <v>#N/A</v>
      </c>
      <c r="AB2666" t="e">
        <f>VLOOKUP(Tabelle1014[[#This Row],[Rank]],Stammdaten[[Rank Verteilung Ovalität]:[Verteilung Ovalität]],2,FALSE)</f>
        <v>#N/A</v>
      </c>
    </row>
    <row r="2667" spans="5:28" x14ac:dyDescent="0.35">
      <c r="E2667">
        <v>2658</v>
      </c>
      <c r="F2667" t="e">
        <f>INDEX(Stammdaten[D Mitte mit Rinde (mm)],MATCH(Tabelle8[[#This Row],[Rank]],Stammdaten[Rank Verteilung D Mitte mit Rinde],0))</f>
        <v>#N/A</v>
      </c>
      <c r="G2667" t="e">
        <f>VLOOKUP(Tabelle8[[#This Row],[Rank]],Stammdaten[[Rank Verteilung D Mitte mit Rinde]:[Verteilung D Mitte mit Rinde]],2,FALSE)</f>
        <v>#N/A</v>
      </c>
      <c r="L2667">
        <v>2658</v>
      </c>
      <c r="M2667" t="e">
        <f>INDEX(Stammdaten[Abholzigkeit (mm/lfm)],MATCH(Tabelle9[[#This Row],[Rank]],Stammdaten[Rank Verteilung Abholzigkeit],0))</f>
        <v>#N/A</v>
      </c>
      <c r="N2667" t="e">
        <f>VLOOKUP(Tabelle9[[#This Row],[Rank]],Stammdaten[[Rank Verteilung Abholzigkeit]:[Verteilung Abholzigkeit]],2,FALSE)</f>
        <v>#N/A</v>
      </c>
      <c r="S2667">
        <v>2658</v>
      </c>
      <c r="T2667" t="e">
        <f>INDEX(Stammdaten[Krümmung (mm/lfm)],MATCH(Tabelle10[[#This Row],[Rank]],Stammdaten[Rank Verteilung Krümmung],0))</f>
        <v>#N/A</v>
      </c>
      <c r="U2667" t="e">
        <f>VLOOKUP(Tabelle10[[#This Row],[Rank]],Stammdaten[[Rank Verteilung Krümmung]:[Verteilung Krümmung]],2,FALSE)</f>
        <v>#N/A</v>
      </c>
      <c r="Z2667">
        <v>2658</v>
      </c>
      <c r="AA2667" t="e">
        <f>INDEX(Stammdaten[Ovalität (']0,1'])],MATCH(Tabelle1014[[#This Row],[Rank]],Stammdaten[Rank Verteilung Ovalität],0))</f>
        <v>#N/A</v>
      </c>
      <c r="AB2667" t="e">
        <f>VLOOKUP(Tabelle1014[[#This Row],[Rank]],Stammdaten[[Rank Verteilung Ovalität]:[Verteilung Ovalität]],2,FALSE)</f>
        <v>#N/A</v>
      </c>
    </row>
    <row r="2668" spans="5:28" x14ac:dyDescent="0.35">
      <c r="E2668">
        <v>2659</v>
      </c>
      <c r="F2668" t="e">
        <f>INDEX(Stammdaten[D Mitte mit Rinde (mm)],MATCH(Tabelle8[[#This Row],[Rank]],Stammdaten[Rank Verteilung D Mitte mit Rinde],0))</f>
        <v>#N/A</v>
      </c>
      <c r="G2668" t="e">
        <f>VLOOKUP(Tabelle8[[#This Row],[Rank]],Stammdaten[[Rank Verteilung D Mitte mit Rinde]:[Verteilung D Mitte mit Rinde]],2,FALSE)</f>
        <v>#N/A</v>
      </c>
      <c r="L2668">
        <v>2659</v>
      </c>
      <c r="M2668" t="e">
        <f>INDEX(Stammdaten[Abholzigkeit (mm/lfm)],MATCH(Tabelle9[[#This Row],[Rank]],Stammdaten[Rank Verteilung Abholzigkeit],0))</f>
        <v>#N/A</v>
      </c>
      <c r="N2668" t="e">
        <f>VLOOKUP(Tabelle9[[#This Row],[Rank]],Stammdaten[[Rank Verteilung Abholzigkeit]:[Verteilung Abholzigkeit]],2,FALSE)</f>
        <v>#N/A</v>
      </c>
      <c r="S2668">
        <v>2659</v>
      </c>
      <c r="T2668" t="e">
        <f>INDEX(Stammdaten[Krümmung (mm/lfm)],MATCH(Tabelle10[[#This Row],[Rank]],Stammdaten[Rank Verteilung Krümmung],0))</f>
        <v>#N/A</v>
      </c>
      <c r="U2668" t="e">
        <f>VLOOKUP(Tabelle10[[#This Row],[Rank]],Stammdaten[[Rank Verteilung Krümmung]:[Verteilung Krümmung]],2,FALSE)</f>
        <v>#N/A</v>
      </c>
      <c r="Z2668">
        <v>2659</v>
      </c>
      <c r="AA2668" t="e">
        <f>INDEX(Stammdaten[Ovalität (']0,1'])],MATCH(Tabelle1014[[#This Row],[Rank]],Stammdaten[Rank Verteilung Ovalität],0))</f>
        <v>#N/A</v>
      </c>
      <c r="AB2668" t="e">
        <f>VLOOKUP(Tabelle1014[[#This Row],[Rank]],Stammdaten[[Rank Verteilung Ovalität]:[Verteilung Ovalität]],2,FALSE)</f>
        <v>#N/A</v>
      </c>
    </row>
    <row r="2669" spans="5:28" x14ac:dyDescent="0.35">
      <c r="E2669">
        <v>2660</v>
      </c>
      <c r="F2669" t="e">
        <f>INDEX(Stammdaten[D Mitte mit Rinde (mm)],MATCH(Tabelle8[[#This Row],[Rank]],Stammdaten[Rank Verteilung D Mitte mit Rinde],0))</f>
        <v>#N/A</v>
      </c>
      <c r="G2669" t="e">
        <f>VLOOKUP(Tabelle8[[#This Row],[Rank]],Stammdaten[[Rank Verteilung D Mitte mit Rinde]:[Verteilung D Mitte mit Rinde]],2,FALSE)</f>
        <v>#N/A</v>
      </c>
      <c r="L2669">
        <v>2660</v>
      </c>
      <c r="M2669" t="e">
        <f>INDEX(Stammdaten[Abholzigkeit (mm/lfm)],MATCH(Tabelle9[[#This Row],[Rank]],Stammdaten[Rank Verteilung Abholzigkeit],0))</f>
        <v>#N/A</v>
      </c>
      <c r="N2669" t="e">
        <f>VLOOKUP(Tabelle9[[#This Row],[Rank]],Stammdaten[[Rank Verteilung Abholzigkeit]:[Verteilung Abholzigkeit]],2,FALSE)</f>
        <v>#N/A</v>
      </c>
      <c r="S2669">
        <v>2660</v>
      </c>
      <c r="T2669" t="e">
        <f>INDEX(Stammdaten[Krümmung (mm/lfm)],MATCH(Tabelle10[[#This Row],[Rank]],Stammdaten[Rank Verteilung Krümmung],0))</f>
        <v>#N/A</v>
      </c>
      <c r="U2669" t="e">
        <f>VLOOKUP(Tabelle10[[#This Row],[Rank]],Stammdaten[[Rank Verteilung Krümmung]:[Verteilung Krümmung]],2,FALSE)</f>
        <v>#N/A</v>
      </c>
      <c r="Z2669">
        <v>2660</v>
      </c>
      <c r="AA2669" t="e">
        <f>INDEX(Stammdaten[Ovalität (']0,1'])],MATCH(Tabelle1014[[#This Row],[Rank]],Stammdaten[Rank Verteilung Ovalität],0))</f>
        <v>#N/A</v>
      </c>
      <c r="AB2669" t="e">
        <f>VLOOKUP(Tabelle1014[[#This Row],[Rank]],Stammdaten[[Rank Verteilung Ovalität]:[Verteilung Ovalität]],2,FALSE)</f>
        <v>#N/A</v>
      </c>
    </row>
    <row r="2670" spans="5:28" x14ac:dyDescent="0.35">
      <c r="E2670">
        <v>2661</v>
      </c>
      <c r="F2670" t="e">
        <f>INDEX(Stammdaten[D Mitte mit Rinde (mm)],MATCH(Tabelle8[[#This Row],[Rank]],Stammdaten[Rank Verteilung D Mitte mit Rinde],0))</f>
        <v>#N/A</v>
      </c>
      <c r="G2670" t="e">
        <f>VLOOKUP(Tabelle8[[#This Row],[Rank]],Stammdaten[[Rank Verteilung D Mitte mit Rinde]:[Verteilung D Mitte mit Rinde]],2,FALSE)</f>
        <v>#N/A</v>
      </c>
      <c r="L2670">
        <v>2661</v>
      </c>
      <c r="M2670" t="e">
        <f>INDEX(Stammdaten[Abholzigkeit (mm/lfm)],MATCH(Tabelle9[[#This Row],[Rank]],Stammdaten[Rank Verteilung Abholzigkeit],0))</f>
        <v>#N/A</v>
      </c>
      <c r="N2670" t="e">
        <f>VLOOKUP(Tabelle9[[#This Row],[Rank]],Stammdaten[[Rank Verteilung Abholzigkeit]:[Verteilung Abholzigkeit]],2,FALSE)</f>
        <v>#N/A</v>
      </c>
      <c r="S2670">
        <v>2661</v>
      </c>
      <c r="T2670" t="e">
        <f>INDEX(Stammdaten[Krümmung (mm/lfm)],MATCH(Tabelle10[[#This Row],[Rank]],Stammdaten[Rank Verteilung Krümmung],0))</f>
        <v>#N/A</v>
      </c>
      <c r="U2670" t="e">
        <f>VLOOKUP(Tabelle10[[#This Row],[Rank]],Stammdaten[[Rank Verteilung Krümmung]:[Verteilung Krümmung]],2,FALSE)</f>
        <v>#N/A</v>
      </c>
      <c r="Z2670">
        <v>2661</v>
      </c>
      <c r="AA2670" t="e">
        <f>INDEX(Stammdaten[Ovalität (']0,1'])],MATCH(Tabelle1014[[#This Row],[Rank]],Stammdaten[Rank Verteilung Ovalität],0))</f>
        <v>#N/A</v>
      </c>
      <c r="AB2670" t="e">
        <f>VLOOKUP(Tabelle1014[[#This Row],[Rank]],Stammdaten[[Rank Verteilung Ovalität]:[Verteilung Ovalität]],2,FALSE)</f>
        <v>#N/A</v>
      </c>
    </row>
    <row r="2671" spans="5:28" x14ac:dyDescent="0.35">
      <c r="E2671">
        <v>2662</v>
      </c>
      <c r="F2671" t="e">
        <f>INDEX(Stammdaten[D Mitte mit Rinde (mm)],MATCH(Tabelle8[[#This Row],[Rank]],Stammdaten[Rank Verteilung D Mitte mit Rinde],0))</f>
        <v>#N/A</v>
      </c>
      <c r="G2671" t="e">
        <f>VLOOKUP(Tabelle8[[#This Row],[Rank]],Stammdaten[[Rank Verteilung D Mitte mit Rinde]:[Verteilung D Mitte mit Rinde]],2,FALSE)</f>
        <v>#N/A</v>
      </c>
      <c r="L2671">
        <v>2662</v>
      </c>
      <c r="M2671" t="e">
        <f>INDEX(Stammdaten[Abholzigkeit (mm/lfm)],MATCH(Tabelle9[[#This Row],[Rank]],Stammdaten[Rank Verteilung Abholzigkeit],0))</f>
        <v>#N/A</v>
      </c>
      <c r="N2671" t="e">
        <f>VLOOKUP(Tabelle9[[#This Row],[Rank]],Stammdaten[[Rank Verteilung Abholzigkeit]:[Verteilung Abholzigkeit]],2,FALSE)</f>
        <v>#N/A</v>
      </c>
      <c r="S2671">
        <v>2662</v>
      </c>
      <c r="T2671" t="e">
        <f>INDEX(Stammdaten[Krümmung (mm/lfm)],MATCH(Tabelle10[[#This Row],[Rank]],Stammdaten[Rank Verteilung Krümmung],0))</f>
        <v>#N/A</v>
      </c>
      <c r="U2671" t="e">
        <f>VLOOKUP(Tabelle10[[#This Row],[Rank]],Stammdaten[[Rank Verteilung Krümmung]:[Verteilung Krümmung]],2,FALSE)</f>
        <v>#N/A</v>
      </c>
      <c r="Z2671">
        <v>2662</v>
      </c>
      <c r="AA2671" t="e">
        <f>INDEX(Stammdaten[Ovalität (']0,1'])],MATCH(Tabelle1014[[#This Row],[Rank]],Stammdaten[Rank Verteilung Ovalität],0))</f>
        <v>#N/A</v>
      </c>
      <c r="AB2671" t="e">
        <f>VLOOKUP(Tabelle1014[[#This Row],[Rank]],Stammdaten[[Rank Verteilung Ovalität]:[Verteilung Ovalität]],2,FALSE)</f>
        <v>#N/A</v>
      </c>
    </row>
    <row r="2672" spans="5:28" x14ac:dyDescent="0.35">
      <c r="E2672">
        <v>2663</v>
      </c>
      <c r="F2672" t="e">
        <f>INDEX(Stammdaten[D Mitte mit Rinde (mm)],MATCH(Tabelle8[[#This Row],[Rank]],Stammdaten[Rank Verteilung D Mitte mit Rinde],0))</f>
        <v>#N/A</v>
      </c>
      <c r="G2672" t="e">
        <f>VLOOKUP(Tabelle8[[#This Row],[Rank]],Stammdaten[[Rank Verteilung D Mitte mit Rinde]:[Verteilung D Mitte mit Rinde]],2,FALSE)</f>
        <v>#N/A</v>
      </c>
      <c r="L2672">
        <v>2663</v>
      </c>
      <c r="M2672" t="e">
        <f>INDEX(Stammdaten[Abholzigkeit (mm/lfm)],MATCH(Tabelle9[[#This Row],[Rank]],Stammdaten[Rank Verteilung Abholzigkeit],0))</f>
        <v>#N/A</v>
      </c>
      <c r="N2672" t="e">
        <f>VLOOKUP(Tabelle9[[#This Row],[Rank]],Stammdaten[[Rank Verteilung Abholzigkeit]:[Verteilung Abholzigkeit]],2,FALSE)</f>
        <v>#N/A</v>
      </c>
      <c r="S2672">
        <v>2663</v>
      </c>
      <c r="T2672" t="e">
        <f>INDEX(Stammdaten[Krümmung (mm/lfm)],MATCH(Tabelle10[[#This Row],[Rank]],Stammdaten[Rank Verteilung Krümmung],0))</f>
        <v>#N/A</v>
      </c>
      <c r="U2672" t="e">
        <f>VLOOKUP(Tabelle10[[#This Row],[Rank]],Stammdaten[[Rank Verteilung Krümmung]:[Verteilung Krümmung]],2,FALSE)</f>
        <v>#N/A</v>
      </c>
      <c r="Z2672">
        <v>2663</v>
      </c>
      <c r="AA2672" t="e">
        <f>INDEX(Stammdaten[Ovalität (']0,1'])],MATCH(Tabelle1014[[#This Row],[Rank]],Stammdaten[Rank Verteilung Ovalität],0))</f>
        <v>#N/A</v>
      </c>
      <c r="AB2672" t="e">
        <f>VLOOKUP(Tabelle1014[[#This Row],[Rank]],Stammdaten[[Rank Verteilung Ovalität]:[Verteilung Ovalität]],2,FALSE)</f>
        <v>#N/A</v>
      </c>
    </row>
    <row r="2673" spans="5:28" x14ac:dyDescent="0.35">
      <c r="E2673">
        <v>2664</v>
      </c>
      <c r="F2673" t="e">
        <f>INDEX(Stammdaten[D Mitte mit Rinde (mm)],MATCH(Tabelle8[[#This Row],[Rank]],Stammdaten[Rank Verteilung D Mitte mit Rinde],0))</f>
        <v>#N/A</v>
      </c>
      <c r="G2673" t="e">
        <f>VLOOKUP(Tabelle8[[#This Row],[Rank]],Stammdaten[[Rank Verteilung D Mitte mit Rinde]:[Verteilung D Mitte mit Rinde]],2,FALSE)</f>
        <v>#N/A</v>
      </c>
      <c r="L2673">
        <v>2664</v>
      </c>
      <c r="M2673" t="e">
        <f>INDEX(Stammdaten[Abholzigkeit (mm/lfm)],MATCH(Tabelle9[[#This Row],[Rank]],Stammdaten[Rank Verteilung Abholzigkeit],0))</f>
        <v>#N/A</v>
      </c>
      <c r="N2673" t="e">
        <f>VLOOKUP(Tabelle9[[#This Row],[Rank]],Stammdaten[[Rank Verteilung Abholzigkeit]:[Verteilung Abholzigkeit]],2,FALSE)</f>
        <v>#N/A</v>
      </c>
      <c r="S2673">
        <v>2664</v>
      </c>
      <c r="T2673" t="e">
        <f>INDEX(Stammdaten[Krümmung (mm/lfm)],MATCH(Tabelle10[[#This Row],[Rank]],Stammdaten[Rank Verteilung Krümmung],0))</f>
        <v>#N/A</v>
      </c>
      <c r="U2673" t="e">
        <f>VLOOKUP(Tabelle10[[#This Row],[Rank]],Stammdaten[[Rank Verteilung Krümmung]:[Verteilung Krümmung]],2,FALSE)</f>
        <v>#N/A</v>
      </c>
      <c r="Z2673">
        <v>2664</v>
      </c>
      <c r="AA2673" t="e">
        <f>INDEX(Stammdaten[Ovalität (']0,1'])],MATCH(Tabelle1014[[#This Row],[Rank]],Stammdaten[Rank Verteilung Ovalität],0))</f>
        <v>#N/A</v>
      </c>
      <c r="AB2673" t="e">
        <f>VLOOKUP(Tabelle1014[[#This Row],[Rank]],Stammdaten[[Rank Verteilung Ovalität]:[Verteilung Ovalität]],2,FALSE)</f>
        <v>#N/A</v>
      </c>
    </row>
    <row r="2674" spans="5:28" x14ac:dyDescent="0.35">
      <c r="E2674">
        <v>2665</v>
      </c>
      <c r="F2674" t="e">
        <f>INDEX(Stammdaten[D Mitte mit Rinde (mm)],MATCH(Tabelle8[[#This Row],[Rank]],Stammdaten[Rank Verteilung D Mitte mit Rinde],0))</f>
        <v>#N/A</v>
      </c>
      <c r="G2674" t="e">
        <f>VLOOKUP(Tabelle8[[#This Row],[Rank]],Stammdaten[[Rank Verteilung D Mitte mit Rinde]:[Verteilung D Mitte mit Rinde]],2,FALSE)</f>
        <v>#N/A</v>
      </c>
      <c r="L2674">
        <v>2665</v>
      </c>
      <c r="M2674" t="e">
        <f>INDEX(Stammdaten[Abholzigkeit (mm/lfm)],MATCH(Tabelle9[[#This Row],[Rank]],Stammdaten[Rank Verteilung Abholzigkeit],0))</f>
        <v>#N/A</v>
      </c>
      <c r="N2674" t="e">
        <f>VLOOKUP(Tabelle9[[#This Row],[Rank]],Stammdaten[[Rank Verteilung Abholzigkeit]:[Verteilung Abholzigkeit]],2,FALSE)</f>
        <v>#N/A</v>
      </c>
      <c r="S2674">
        <v>2665</v>
      </c>
      <c r="T2674" t="e">
        <f>INDEX(Stammdaten[Krümmung (mm/lfm)],MATCH(Tabelle10[[#This Row],[Rank]],Stammdaten[Rank Verteilung Krümmung],0))</f>
        <v>#N/A</v>
      </c>
      <c r="U2674" t="e">
        <f>VLOOKUP(Tabelle10[[#This Row],[Rank]],Stammdaten[[Rank Verteilung Krümmung]:[Verteilung Krümmung]],2,FALSE)</f>
        <v>#N/A</v>
      </c>
      <c r="Z2674">
        <v>2665</v>
      </c>
      <c r="AA2674" t="e">
        <f>INDEX(Stammdaten[Ovalität (']0,1'])],MATCH(Tabelle1014[[#This Row],[Rank]],Stammdaten[Rank Verteilung Ovalität],0))</f>
        <v>#N/A</v>
      </c>
      <c r="AB2674" t="e">
        <f>VLOOKUP(Tabelle1014[[#This Row],[Rank]],Stammdaten[[Rank Verteilung Ovalität]:[Verteilung Ovalität]],2,FALSE)</f>
        <v>#N/A</v>
      </c>
    </row>
    <row r="2675" spans="5:28" x14ac:dyDescent="0.35">
      <c r="E2675">
        <v>2666</v>
      </c>
      <c r="F2675" t="e">
        <f>INDEX(Stammdaten[D Mitte mit Rinde (mm)],MATCH(Tabelle8[[#This Row],[Rank]],Stammdaten[Rank Verteilung D Mitte mit Rinde],0))</f>
        <v>#N/A</v>
      </c>
      <c r="G2675" t="e">
        <f>VLOOKUP(Tabelle8[[#This Row],[Rank]],Stammdaten[[Rank Verteilung D Mitte mit Rinde]:[Verteilung D Mitte mit Rinde]],2,FALSE)</f>
        <v>#N/A</v>
      </c>
      <c r="L2675">
        <v>2666</v>
      </c>
      <c r="M2675" t="e">
        <f>INDEX(Stammdaten[Abholzigkeit (mm/lfm)],MATCH(Tabelle9[[#This Row],[Rank]],Stammdaten[Rank Verteilung Abholzigkeit],0))</f>
        <v>#N/A</v>
      </c>
      <c r="N2675" t="e">
        <f>VLOOKUP(Tabelle9[[#This Row],[Rank]],Stammdaten[[Rank Verteilung Abholzigkeit]:[Verteilung Abholzigkeit]],2,FALSE)</f>
        <v>#N/A</v>
      </c>
      <c r="S2675">
        <v>2666</v>
      </c>
      <c r="T2675" t="e">
        <f>INDEX(Stammdaten[Krümmung (mm/lfm)],MATCH(Tabelle10[[#This Row],[Rank]],Stammdaten[Rank Verteilung Krümmung],0))</f>
        <v>#N/A</v>
      </c>
      <c r="U2675" t="e">
        <f>VLOOKUP(Tabelle10[[#This Row],[Rank]],Stammdaten[[Rank Verteilung Krümmung]:[Verteilung Krümmung]],2,FALSE)</f>
        <v>#N/A</v>
      </c>
      <c r="Z2675">
        <v>2666</v>
      </c>
      <c r="AA2675" t="e">
        <f>INDEX(Stammdaten[Ovalität (']0,1'])],MATCH(Tabelle1014[[#This Row],[Rank]],Stammdaten[Rank Verteilung Ovalität],0))</f>
        <v>#N/A</v>
      </c>
      <c r="AB2675" t="e">
        <f>VLOOKUP(Tabelle1014[[#This Row],[Rank]],Stammdaten[[Rank Verteilung Ovalität]:[Verteilung Ovalität]],2,FALSE)</f>
        <v>#N/A</v>
      </c>
    </row>
    <row r="2676" spans="5:28" x14ac:dyDescent="0.35">
      <c r="E2676">
        <v>2667</v>
      </c>
      <c r="F2676" t="e">
        <f>INDEX(Stammdaten[D Mitte mit Rinde (mm)],MATCH(Tabelle8[[#This Row],[Rank]],Stammdaten[Rank Verteilung D Mitte mit Rinde],0))</f>
        <v>#N/A</v>
      </c>
      <c r="G2676" t="e">
        <f>VLOOKUP(Tabelle8[[#This Row],[Rank]],Stammdaten[[Rank Verteilung D Mitte mit Rinde]:[Verteilung D Mitte mit Rinde]],2,FALSE)</f>
        <v>#N/A</v>
      </c>
      <c r="L2676">
        <v>2667</v>
      </c>
      <c r="M2676" t="e">
        <f>INDEX(Stammdaten[Abholzigkeit (mm/lfm)],MATCH(Tabelle9[[#This Row],[Rank]],Stammdaten[Rank Verteilung Abholzigkeit],0))</f>
        <v>#N/A</v>
      </c>
      <c r="N2676" t="e">
        <f>VLOOKUP(Tabelle9[[#This Row],[Rank]],Stammdaten[[Rank Verteilung Abholzigkeit]:[Verteilung Abholzigkeit]],2,FALSE)</f>
        <v>#N/A</v>
      </c>
      <c r="S2676">
        <v>2667</v>
      </c>
      <c r="T2676" t="e">
        <f>INDEX(Stammdaten[Krümmung (mm/lfm)],MATCH(Tabelle10[[#This Row],[Rank]],Stammdaten[Rank Verteilung Krümmung],0))</f>
        <v>#N/A</v>
      </c>
      <c r="U2676" t="e">
        <f>VLOOKUP(Tabelle10[[#This Row],[Rank]],Stammdaten[[Rank Verteilung Krümmung]:[Verteilung Krümmung]],2,FALSE)</f>
        <v>#N/A</v>
      </c>
      <c r="Z2676">
        <v>2667</v>
      </c>
      <c r="AA2676" t="e">
        <f>INDEX(Stammdaten[Ovalität (']0,1'])],MATCH(Tabelle1014[[#This Row],[Rank]],Stammdaten[Rank Verteilung Ovalität],0))</f>
        <v>#N/A</v>
      </c>
      <c r="AB2676" t="e">
        <f>VLOOKUP(Tabelle1014[[#This Row],[Rank]],Stammdaten[[Rank Verteilung Ovalität]:[Verteilung Ovalität]],2,FALSE)</f>
        <v>#N/A</v>
      </c>
    </row>
    <row r="2677" spans="5:28" x14ac:dyDescent="0.35">
      <c r="E2677">
        <v>2668</v>
      </c>
      <c r="F2677" t="e">
        <f>INDEX(Stammdaten[D Mitte mit Rinde (mm)],MATCH(Tabelle8[[#This Row],[Rank]],Stammdaten[Rank Verteilung D Mitte mit Rinde],0))</f>
        <v>#N/A</v>
      </c>
      <c r="G2677" t="e">
        <f>VLOOKUP(Tabelle8[[#This Row],[Rank]],Stammdaten[[Rank Verteilung D Mitte mit Rinde]:[Verteilung D Mitte mit Rinde]],2,FALSE)</f>
        <v>#N/A</v>
      </c>
      <c r="L2677">
        <v>2668</v>
      </c>
      <c r="M2677" t="e">
        <f>INDEX(Stammdaten[Abholzigkeit (mm/lfm)],MATCH(Tabelle9[[#This Row],[Rank]],Stammdaten[Rank Verteilung Abholzigkeit],0))</f>
        <v>#N/A</v>
      </c>
      <c r="N2677" t="e">
        <f>VLOOKUP(Tabelle9[[#This Row],[Rank]],Stammdaten[[Rank Verteilung Abholzigkeit]:[Verteilung Abholzigkeit]],2,FALSE)</f>
        <v>#N/A</v>
      </c>
      <c r="S2677">
        <v>2668</v>
      </c>
      <c r="T2677" t="e">
        <f>INDEX(Stammdaten[Krümmung (mm/lfm)],MATCH(Tabelle10[[#This Row],[Rank]],Stammdaten[Rank Verteilung Krümmung],0))</f>
        <v>#N/A</v>
      </c>
      <c r="U2677" t="e">
        <f>VLOOKUP(Tabelle10[[#This Row],[Rank]],Stammdaten[[Rank Verteilung Krümmung]:[Verteilung Krümmung]],2,FALSE)</f>
        <v>#N/A</v>
      </c>
      <c r="Z2677">
        <v>2668</v>
      </c>
      <c r="AA2677" t="e">
        <f>INDEX(Stammdaten[Ovalität (']0,1'])],MATCH(Tabelle1014[[#This Row],[Rank]],Stammdaten[Rank Verteilung Ovalität],0))</f>
        <v>#N/A</v>
      </c>
      <c r="AB2677" t="e">
        <f>VLOOKUP(Tabelle1014[[#This Row],[Rank]],Stammdaten[[Rank Verteilung Ovalität]:[Verteilung Ovalität]],2,FALSE)</f>
        <v>#N/A</v>
      </c>
    </row>
    <row r="2678" spans="5:28" x14ac:dyDescent="0.35">
      <c r="E2678">
        <v>2669</v>
      </c>
      <c r="F2678" t="e">
        <f>INDEX(Stammdaten[D Mitte mit Rinde (mm)],MATCH(Tabelle8[[#This Row],[Rank]],Stammdaten[Rank Verteilung D Mitte mit Rinde],0))</f>
        <v>#N/A</v>
      </c>
      <c r="G2678" t="e">
        <f>VLOOKUP(Tabelle8[[#This Row],[Rank]],Stammdaten[[Rank Verteilung D Mitte mit Rinde]:[Verteilung D Mitte mit Rinde]],2,FALSE)</f>
        <v>#N/A</v>
      </c>
      <c r="L2678">
        <v>2669</v>
      </c>
      <c r="M2678" t="e">
        <f>INDEX(Stammdaten[Abholzigkeit (mm/lfm)],MATCH(Tabelle9[[#This Row],[Rank]],Stammdaten[Rank Verteilung Abholzigkeit],0))</f>
        <v>#N/A</v>
      </c>
      <c r="N2678" t="e">
        <f>VLOOKUP(Tabelle9[[#This Row],[Rank]],Stammdaten[[Rank Verteilung Abholzigkeit]:[Verteilung Abholzigkeit]],2,FALSE)</f>
        <v>#N/A</v>
      </c>
      <c r="S2678">
        <v>2669</v>
      </c>
      <c r="T2678" t="e">
        <f>INDEX(Stammdaten[Krümmung (mm/lfm)],MATCH(Tabelle10[[#This Row],[Rank]],Stammdaten[Rank Verteilung Krümmung],0))</f>
        <v>#N/A</v>
      </c>
      <c r="U2678" t="e">
        <f>VLOOKUP(Tabelle10[[#This Row],[Rank]],Stammdaten[[Rank Verteilung Krümmung]:[Verteilung Krümmung]],2,FALSE)</f>
        <v>#N/A</v>
      </c>
      <c r="Z2678">
        <v>2669</v>
      </c>
      <c r="AA2678" t="e">
        <f>INDEX(Stammdaten[Ovalität (']0,1'])],MATCH(Tabelle1014[[#This Row],[Rank]],Stammdaten[Rank Verteilung Ovalität],0))</f>
        <v>#N/A</v>
      </c>
      <c r="AB2678" t="e">
        <f>VLOOKUP(Tabelle1014[[#This Row],[Rank]],Stammdaten[[Rank Verteilung Ovalität]:[Verteilung Ovalität]],2,FALSE)</f>
        <v>#N/A</v>
      </c>
    </row>
    <row r="2679" spans="5:28" x14ac:dyDescent="0.35">
      <c r="E2679">
        <v>2670</v>
      </c>
      <c r="F2679" t="e">
        <f>INDEX(Stammdaten[D Mitte mit Rinde (mm)],MATCH(Tabelle8[[#This Row],[Rank]],Stammdaten[Rank Verteilung D Mitte mit Rinde],0))</f>
        <v>#N/A</v>
      </c>
      <c r="G2679" t="e">
        <f>VLOOKUP(Tabelle8[[#This Row],[Rank]],Stammdaten[[Rank Verteilung D Mitte mit Rinde]:[Verteilung D Mitte mit Rinde]],2,FALSE)</f>
        <v>#N/A</v>
      </c>
      <c r="L2679">
        <v>2670</v>
      </c>
      <c r="M2679" t="e">
        <f>INDEX(Stammdaten[Abholzigkeit (mm/lfm)],MATCH(Tabelle9[[#This Row],[Rank]],Stammdaten[Rank Verteilung Abholzigkeit],0))</f>
        <v>#N/A</v>
      </c>
      <c r="N2679" t="e">
        <f>VLOOKUP(Tabelle9[[#This Row],[Rank]],Stammdaten[[Rank Verteilung Abholzigkeit]:[Verteilung Abholzigkeit]],2,FALSE)</f>
        <v>#N/A</v>
      </c>
      <c r="S2679">
        <v>2670</v>
      </c>
      <c r="T2679" t="e">
        <f>INDEX(Stammdaten[Krümmung (mm/lfm)],MATCH(Tabelle10[[#This Row],[Rank]],Stammdaten[Rank Verteilung Krümmung],0))</f>
        <v>#N/A</v>
      </c>
      <c r="U2679" t="e">
        <f>VLOOKUP(Tabelle10[[#This Row],[Rank]],Stammdaten[[Rank Verteilung Krümmung]:[Verteilung Krümmung]],2,FALSE)</f>
        <v>#N/A</v>
      </c>
      <c r="Z2679">
        <v>2670</v>
      </c>
      <c r="AA2679" t="e">
        <f>INDEX(Stammdaten[Ovalität (']0,1'])],MATCH(Tabelle1014[[#This Row],[Rank]],Stammdaten[Rank Verteilung Ovalität],0))</f>
        <v>#N/A</v>
      </c>
      <c r="AB2679" t="e">
        <f>VLOOKUP(Tabelle1014[[#This Row],[Rank]],Stammdaten[[Rank Verteilung Ovalität]:[Verteilung Ovalität]],2,FALSE)</f>
        <v>#N/A</v>
      </c>
    </row>
    <row r="2680" spans="5:28" x14ac:dyDescent="0.35">
      <c r="E2680">
        <v>2671</v>
      </c>
      <c r="F2680" t="e">
        <f>INDEX(Stammdaten[D Mitte mit Rinde (mm)],MATCH(Tabelle8[[#This Row],[Rank]],Stammdaten[Rank Verteilung D Mitte mit Rinde],0))</f>
        <v>#N/A</v>
      </c>
      <c r="G2680" t="e">
        <f>VLOOKUP(Tabelle8[[#This Row],[Rank]],Stammdaten[[Rank Verteilung D Mitte mit Rinde]:[Verteilung D Mitte mit Rinde]],2,FALSE)</f>
        <v>#N/A</v>
      </c>
      <c r="L2680">
        <v>2671</v>
      </c>
      <c r="M2680" t="e">
        <f>INDEX(Stammdaten[Abholzigkeit (mm/lfm)],MATCH(Tabelle9[[#This Row],[Rank]],Stammdaten[Rank Verteilung Abholzigkeit],0))</f>
        <v>#N/A</v>
      </c>
      <c r="N2680" t="e">
        <f>VLOOKUP(Tabelle9[[#This Row],[Rank]],Stammdaten[[Rank Verteilung Abholzigkeit]:[Verteilung Abholzigkeit]],2,FALSE)</f>
        <v>#N/A</v>
      </c>
      <c r="S2680">
        <v>2671</v>
      </c>
      <c r="T2680" t="e">
        <f>INDEX(Stammdaten[Krümmung (mm/lfm)],MATCH(Tabelle10[[#This Row],[Rank]],Stammdaten[Rank Verteilung Krümmung],0))</f>
        <v>#N/A</v>
      </c>
      <c r="U2680" t="e">
        <f>VLOOKUP(Tabelle10[[#This Row],[Rank]],Stammdaten[[Rank Verteilung Krümmung]:[Verteilung Krümmung]],2,FALSE)</f>
        <v>#N/A</v>
      </c>
      <c r="Z2680">
        <v>2671</v>
      </c>
      <c r="AA2680" t="e">
        <f>INDEX(Stammdaten[Ovalität (']0,1'])],MATCH(Tabelle1014[[#This Row],[Rank]],Stammdaten[Rank Verteilung Ovalität],0))</f>
        <v>#N/A</v>
      </c>
      <c r="AB2680" t="e">
        <f>VLOOKUP(Tabelle1014[[#This Row],[Rank]],Stammdaten[[Rank Verteilung Ovalität]:[Verteilung Ovalität]],2,FALSE)</f>
        <v>#N/A</v>
      </c>
    </row>
    <row r="2681" spans="5:28" x14ac:dyDescent="0.35">
      <c r="E2681">
        <v>2672</v>
      </c>
      <c r="F2681" t="e">
        <f>INDEX(Stammdaten[D Mitte mit Rinde (mm)],MATCH(Tabelle8[[#This Row],[Rank]],Stammdaten[Rank Verteilung D Mitte mit Rinde],0))</f>
        <v>#N/A</v>
      </c>
      <c r="G2681" t="e">
        <f>VLOOKUP(Tabelle8[[#This Row],[Rank]],Stammdaten[[Rank Verteilung D Mitte mit Rinde]:[Verteilung D Mitte mit Rinde]],2,FALSE)</f>
        <v>#N/A</v>
      </c>
      <c r="L2681">
        <v>2672</v>
      </c>
      <c r="M2681" t="e">
        <f>INDEX(Stammdaten[Abholzigkeit (mm/lfm)],MATCH(Tabelle9[[#This Row],[Rank]],Stammdaten[Rank Verteilung Abholzigkeit],0))</f>
        <v>#N/A</v>
      </c>
      <c r="N2681" t="e">
        <f>VLOOKUP(Tabelle9[[#This Row],[Rank]],Stammdaten[[Rank Verteilung Abholzigkeit]:[Verteilung Abholzigkeit]],2,FALSE)</f>
        <v>#N/A</v>
      </c>
      <c r="S2681">
        <v>2672</v>
      </c>
      <c r="T2681" t="e">
        <f>INDEX(Stammdaten[Krümmung (mm/lfm)],MATCH(Tabelle10[[#This Row],[Rank]],Stammdaten[Rank Verteilung Krümmung],0))</f>
        <v>#N/A</v>
      </c>
      <c r="U2681" t="e">
        <f>VLOOKUP(Tabelle10[[#This Row],[Rank]],Stammdaten[[Rank Verteilung Krümmung]:[Verteilung Krümmung]],2,FALSE)</f>
        <v>#N/A</v>
      </c>
      <c r="Z2681">
        <v>2672</v>
      </c>
      <c r="AA2681" t="e">
        <f>INDEX(Stammdaten[Ovalität (']0,1'])],MATCH(Tabelle1014[[#This Row],[Rank]],Stammdaten[Rank Verteilung Ovalität],0))</f>
        <v>#N/A</v>
      </c>
      <c r="AB2681" t="e">
        <f>VLOOKUP(Tabelle1014[[#This Row],[Rank]],Stammdaten[[Rank Verteilung Ovalität]:[Verteilung Ovalität]],2,FALSE)</f>
        <v>#N/A</v>
      </c>
    </row>
    <row r="2682" spans="5:28" x14ac:dyDescent="0.35">
      <c r="E2682">
        <v>2673</v>
      </c>
      <c r="F2682" t="e">
        <f>INDEX(Stammdaten[D Mitte mit Rinde (mm)],MATCH(Tabelle8[[#This Row],[Rank]],Stammdaten[Rank Verteilung D Mitte mit Rinde],0))</f>
        <v>#N/A</v>
      </c>
      <c r="G2682" t="e">
        <f>VLOOKUP(Tabelle8[[#This Row],[Rank]],Stammdaten[[Rank Verteilung D Mitte mit Rinde]:[Verteilung D Mitte mit Rinde]],2,FALSE)</f>
        <v>#N/A</v>
      </c>
      <c r="L2682">
        <v>2673</v>
      </c>
      <c r="M2682" t="e">
        <f>INDEX(Stammdaten[Abholzigkeit (mm/lfm)],MATCH(Tabelle9[[#This Row],[Rank]],Stammdaten[Rank Verteilung Abholzigkeit],0))</f>
        <v>#N/A</v>
      </c>
      <c r="N2682" t="e">
        <f>VLOOKUP(Tabelle9[[#This Row],[Rank]],Stammdaten[[Rank Verteilung Abholzigkeit]:[Verteilung Abholzigkeit]],2,FALSE)</f>
        <v>#N/A</v>
      </c>
      <c r="S2682">
        <v>2673</v>
      </c>
      <c r="T2682" t="e">
        <f>INDEX(Stammdaten[Krümmung (mm/lfm)],MATCH(Tabelle10[[#This Row],[Rank]],Stammdaten[Rank Verteilung Krümmung],0))</f>
        <v>#N/A</v>
      </c>
      <c r="U2682" t="e">
        <f>VLOOKUP(Tabelle10[[#This Row],[Rank]],Stammdaten[[Rank Verteilung Krümmung]:[Verteilung Krümmung]],2,FALSE)</f>
        <v>#N/A</v>
      </c>
      <c r="Z2682">
        <v>2673</v>
      </c>
      <c r="AA2682" t="e">
        <f>INDEX(Stammdaten[Ovalität (']0,1'])],MATCH(Tabelle1014[[#This Row],[Rank]],Stammdaten[Rank Verteilung Ovalität],0))</f>
        <v>#N/A</v>
      </c>
      <c r="AB2682" t="e">
        <f>VLOOKUP(Tabelle1014[[#This Row],[Rank]],Stammdaten[[Rank Verteilung Ovalität]:[Verteilung Ovalität]],2,FALSE)</f>
        <v>#N/A</v>
      </c>
    </row>
    <row r="2683" spans="5:28" x14ac:dyDescent="0.35">
      <c r="E2683">
        <v>2674</v>
      </c>
      <c r="F2683" t="e">
        <f>INDEX(Stammdaten[D Mitte mit Rinde (mm)],MATCH(Tabelle8[[#This Row],[Rank]],Stammdaten[Rank Verteilung D Mitte mit Rinde],0))</f>
        <v>#N/A</v>
      </c>
      <c r="G2683" t="e">
        <f>VLOOKUP(Tabelle8[[#This Row],[Rank]],Stammdaten[[Rank Verteilung D Mitte mit Rinde]:[Verteilung D Mitte mit Rinde]],2,FALSE)</f>
        <v>#N/A</v>
      </c>
      <c r="L2683">
        <v>2674</v>
      </c>
      <c r="M2683" t="e">
        <f>INDEX(Stammdaten[Abholzigkeit (mm/lfm)],MATCH(Tabelle9[[#This Row],[Rank]],Stammdaten[Rank Verteilung Abholzigkeit],0))</f>
        <v>#N/A</v>
      </c>
      <c r="N2683" t="e">
        <f>VLOOKUP(Tabelle9[[#This Row],[Rank]],Stammdaten[[Rank Verteilung Abholzigkeit]:[Verteilung Abholzigkeit]],2,FALSE)</f>
        <v>#N/A</v>
      </c>
      <c r="S2683">
        <v>2674</v>
      </c>
      <c r="T2683" t="e">
        <f>INDEX(Stammdaten[Krümmung (mm/lfm)],MATCH(Tabelle10[[#This Row],[Rank]],Stammdaten[Rank Verteilung Krümmung],0))</f>
        <v>#N/A</v>
      </c>
      <c r="U2683" t="e">
        <f>VLOOKUP(Tabelle10[[#This Row],[Rank]],Stammdaten[[Rank Verteilung Krümmung]:[Verteilung Krümmung]],2,FALSE)</f>
        <v>#N/A</v>
      </c>
      <c r="Z2683">
        <v>2674</v>
      </c>
      <c r="AA2683" t="e">
        <f>INDEX(Stammdaten[Ovalität (']0,1'])],MATCH(Tabelle1014[[#This Row],[Rank]],Stammdaten[Rank Verteilung Ovalität],0))</f>
        <v>#N/A</v>
      </c>
      <c r="AB2683" t="e">
        <f>VLOOKUP(Tabelle1014[[#This Row],[Rank]],Stammdaten[[Rank Verteilung Ovalität]:[Verteilung Ovalität]],2,FALSE)</f>
        <v>#N/A</v>
      </c>
    </row>
    <row r="2684" spans="5:28" x14ac:dyDescent="0.35">
      <c r="E2684">
        <v>2675</v>
      </c>
      <c r="F2684" t="e">
        <f>INDEX(Stammdaten[D Mitte mit Rinde (mm)],MATCH(Tabelle8[[#This Row],[Rank]],Stammdaten[Rank Verteilung D Mitte mit Rinde],0))</f>
        <v>#N/A</v>
      </c>
      <c r="G2684" t="e">
        <f>VLOOKUP(Tabelle8[[#This Row],[Rank]],Stammdaten[[Rank Verteilung D Mitte mit Rinde]:[Verteilung D Mitte mit Rinde]],2,FALSE)</f>
        <v>#N/A</v>
      </c>
      <c r="L2684">
        <v>2675</v>
      </c>
      <c r="M2684" t="e">
        <f>INDEX(Stammdaten[Abholzigkeit (mm/lfm)],MATCH(Tabelle9[[#This Row],[Rank]],Stammdaten[Rank Verteilung Abholzigkeit],0))</f>
        <v>#N/A</v>
      </c>
      <c r="N2684" t="e">
        <f>VLOOKUP(Tabelle9[[#This Row],[Rank]],Stammdaten[[Rank Verteilung Abholzigkeit]:[Verteilung Abholzigkeit]],2,FALSE)</f>
        <v>#N/A</v>
      </c>
      <c r="S2684">
        <v>2675</v>
      </c>
      <c r="T2684" t="e">
        <f>INDEX(Stammdaten[Krümmung (mm/lfm)],MATCH(Tabelle10[[#This Row],[Rank]],Stammdaten[Rank Verteilung Krümmung],0))</f>
        <v>#N/A</v>
      </c>
      <c r="U2684" t="e">
        <f>VLOOKUP(Tabelle10[[#This Row],[Rank]],Stammdaten[[Rank Verteilung Krümmung]:[Verteilung Krümmung]],2,FALSE)</f>
        <v>#N/A</v>
      </c>
      <c r="Z2684">
        <v>2675</v>
      </c>
      <c r="AA2684" t="e">
        <f>INDEX(Stammdaten[Ovalität (']0,1'])],MATCH(Tabelle1014[[#This Row],[Rank]],Stammdaten[Rank Verteilung Ovalität],0))</f>
        <v>#N/A</v>
      </c>
      <c r="AB2684" t="e">
        <f>VLOOKUP(Tabelle1014[[#This Row],[Rank]],Stammdaten[[Rank Verteilung Ovalität]:[Verteilung Ovalität]],2,FALSE)</f>
        <v>#N/A</v>
      </c>
    </row>
    <row r="2685" spans="5:28" x14ac:dyDescent="0.35">
      <c r="E2685">
        <v>2676</v>
      </c>
      <c r="F2685" t="e">
        <f>INDEX(Stammdaten[D Mitte mit Rinde (mm)],MATCH(Tabelle8[[#This Row],[Rank]],Stammdaten[Rank Verteilung D Mitte mit Rinde],0))</f>
        <v>#N/A</v>
      </c>
      <c r="G2685" t="e">
        <f>VLOOKUP(Tabelle8[[#This Row],[Rank]],Stammdaten[[Rank Verteilung D Mitte mit Rinde]:[Verteilung D Mitte mit Rinde]],2,FALSE)</f>
        <v>#N/A</v>
      </c>
      <c r="L2685">
        <v>2676</v>
      </c>
      <c r="M2685" t="e">
        <f>INDEX(Stammdaten[Abholzigkeit (mm/lfm)],MATCH(Tabelle9[[#This Row],[Rank]],Stammdaten[Rank Verteilung Abholzigkeit],0))</f>
        <v>#N/A</v>
      </c>
      <c r="N2685" t="e">
        <f>VLOOKUP(Tabelle9[[#This Row],[Rank]],Stammdaten[[Rank Verteilung Abholzigkeit]:[Verteilung Abholzigkeit]],2,FALSE)</f>
        <v>#N/A</v>
      </c>
      <c r="S2685">
        <v>2676</v>
      </c>
      <c r="T2685" t="e">
        <f>INDEX(Stammdaten[Krümmung (mm/lfm)],MATCH(Tabelle10[[#This Row],[Rank]],Stammdaten[Rank Verteilung Krümmung],0))</f>
        <v>#N/A</v>
      </c>
      <c r="U2685" t="e">
        <f>VLOOKUP(Tabelle10[[#This Row],[Rank]],Stammdaten[[Rank Verteilung Krümmung]:[Verteilung Krümmung]],2,FALSE)</f>
        <v>#N/A</v>
      </c>
      <c r="Z2685">
        <v>2676</v>
      </c>
      <c r="AA2685" t="e">
        <f>INDEX(Stammdaten[Ovalität (']0,1'])],MATCH(Tabelle1014[[#This Row],[Rank]],Stammdaten[Rank Verteilung Ovalität],0))</f>
        <v>#N/A</v>
      </c>
      <c r="AB2685" t="e">
        <f>VLOOKUP(Tabelle1014[[#This Row],[Rank]],Stammdaten[[Rank Verteilung Ovalität]:[Verteilung Ovalität]],2,FALSE)</f>
        <v>#N/A</v>
      </c>
    </row>
    <row r="2686" spans="5:28" x14ac:dyDescent="0.35">
      <c r="E2686">
        <v>2677</v>
      </c>
      <c r="F2686" t="e">
        <f>INDEX(Stammdaten[D Mitte mit Rinde (mm)],MATCH(Tabelle8[[#This Row],[Rank]],Stammdaten[Rank Verteilung D Mitte mit Rinde],0))</f>
        <v>#N/A</v>
      </c>
      <c r="G2686" t="e">
        <f>VLOOKUP(Tabelle8[[#This Row],[Rank]],Stammdaten[[Rank Verteilung D Mitte mit Rinde]:[Verteilung D Mitte mit Rinde]],2,FALSE)</f>
        <v>#N/A</v>
      </c>
      <c r="L2686">
        <v>2677</v>
      </c>
      <c r="M2686" t="e">
        <f>INDEX(Stammdaten[Abholzigkeit (mm/lfm)],MATCH(Tabelle9[[#This Row],[Rank]],Stammdaten[Rank Verteilung Abholzigkeit],0))</f>
        <v>#N/A</v>
      </c>
      <c r="N2686" t="e">
        <f>VLOOKUP(Tabelle9[[#This Row],[Rank]],Stammdaten[[Rank Verteilung Abholzigkeit]:[Verteilung Abholzigkeit]],2,FALSE)</f>
        <v>#N/A</v>
      </c>
      <c r="S2686">
        <v>2677</v>
      </c>
      <c r="T2686" t="e">
        <f>INDEX(Stammdaten[Krümmung (mm/lfm)],MATCH(Tabelle10[[#This Row],[Rank]],Stammdaten[Rank Verteilung Krümmung],0))</f>
        <v>#N/A</v>
      </c>
      <c r="U2686" t="e">
        <f>VLOOKUP(Tabelle10[[#This Row],[Rank]],Stammdaten[[Rank Verteilung Krümmung]:[Verteilung Krümmung]],2,FALSE)</f>
        <v>#N/A</v>
      </c>
      <c r="Z2686">
        <v>2677</v>
      </c>
      <c r="AA2686" t="e">
        <f>INDEX(Stammdaten[Ovalität (']0,1'])],MATCH(Tabelle1014[[#This Row],[Rank]],Stammdaten[Rank Verteilung Ovalität],0))</f>
        <v>#N/A</v>
      </c>
      <c r="AB2686" t="e">
        <f>VLOOKUP(Tabelle1014[[#This Row],[Rank]],Stammdaten[[Rank Verteilung Ovalität]:[Verteilung Ovalität]],2,FALSE)</f>
        <v>#N/A</v>
      </c>
    </row>
    <row r="2687" spans="5:28" x14ac:dyDescent="0.35">
      <c r="E2687">
        <v>2678</v>
      </c>
      <c r="F2687" t="e">
        <f>INDEX(Stammdaten[D Mitte mit Rinde (mm)],MATCH(Tabelle8[[#This Row],[Rank]],Stammdaten[Rank Verteilung D Mitte mit Rinde],0))</f>
        <v>#N/A</v>
      </c>
      <c r="G2687" t="e">
        <f>VLOOKUP(Tabelle8[[#This Row],[Rank]],Stammdaten[[Rank Verteilung D Mitte mit Rinde]:[Verteilung D Mitte mit Rinde]],2,FALSE)</f>
        <v>#N/A</v>
      </c>
      <c r="L2687">
        <v>2678</v>
      </c>
      <c r="M2687" t="e">
        <f>INDEX(Stammdaten[Abholzigkeit (mm/lfm)],MATCH(Tabelle9[[#This Row],[Rank]],Stammdaten[Rank Verteilung Abholzigkeit],0))</f>
        <v>#N/A</v>
      </c>
      <c r="N2687" t="e">
        <f>VLOOKUP(Tabelle9[[#This Row],[Rank]],Stammdaten[[Rank Verteilung Abholzigkeit]:[Verteilung Abholzigkeit]],2,FALSE)</f>
        <v>#N/A</v>
      </c>
      <c r="S2687">
        <v>2678</v>
      </c>
      <c r="T2687" t="e">
        <f>INDEX(Stammdaten[Krümmung (mm/lfm)],MATCH(Tabelle10[[#This Row],[Rank]],Stammdaten[Rank Verteilung Krümmung],0))</f>
        <v>#N/A</v>
      </c>
      <c r="U2687" t="e">
        <f>VLOOKUP(Tabelle10[[#This Row],[Rank]],Stammdaten[[Rank Verteilung Krümmung]:[Verteilung Krümmung]],2,FALSE)</f>
        <v>#N/A</v>
      </c>
      <c r="Z2687">
        <v>2678</v>
      </c>
      <c r="AA2687" t="e">
        <f>INDEX(Stammdaten[Ovalität (']0,1'])],MATCH(Tabelle1014[[#This Row],[Rank]],Stammdaten[Rank Verteilung Ovalität],0))</f>
        <v>#N/A</v>
      </c>
      <c r="AB2687" t="e">
        <f>VLOOKUP(Tabelle1014[[#This Row],[Rank]],Stammdaten[[Rank Verteilung Ovalität]:[Verteilung Ovalität]],2,FALSE)</f>
        <v>#N/A</v>
      </c>
    </row>
    <row r="2688" spans="5:28" x14ac:dyDescent="0.35">
      <c r="E2688">
        <v>2679</v>
      </c>
      <c r="F2688" t="e">
        <f>INDEX(Stammdaten[D Mitte mit Rinde (mm)],MATCH(Tabelle8[[#This Row],[Rank]],Stammdaten[Rank Verteilung D Mitte mit Rinde],0))</f>
        <v>#N/A</v>
      </c>
      <c r="G2688" t="e">
        <f>VLOOKUP(Tabelle8[[#This Row],[Rank]],Stammdaten[[Rank Verteilung D Mitte mit Rinde]:[Verteilung D Mitte mit Rinde]],2,FALSE)</f>
        <v>#N/A</v>
      </c>
      <c r="L2688">
        <v>2679</v>
      </c>
      <c r="M2688" t="e">
        <f>INDEX(Stammdaten[Abholzigkeit (mm/lfm)],MATCH(Tabelle9[[#This Row],[Rank]],Stammdaten[Rank Verteilung Abholzigkeit],0))</f>
        <v>#N/A</v>
      </c>
      <c r="N2688" t="e">
        <f>VLOOKUP(Tabelle9[[#This Row],[Rank]],Stammdaten[[Rank Verteilung Abholzigkeit]:[Verteilung Abholzigkeit]],2,FALSE)</f>
        <v>#N/A</v>
      </c>
      <c r="S2688">
        <v>2679</v>
      </c>
      <c r="T2688" t="e">
        <f>INDEX(Stammdaten[Krümmung (mm/lfm)],MATCH(Tabelle10[[#This Row],[Rank]],Stammdaten[Rank Verteilung Krümmung],0))</f>
        <v>#N/A</v>
      </c>
      <c r="U2688" t="e">
        <f>VLOOKUP(Tabelle10[[#This Row],[Rank]],Stammdaten[[Rank Verteilung Krümmung]:[Verteilung Krümmung]],2,FALSE)</f>
        <v>#N/A</v>
      </c>
      <c r="Z2688">
        <v>2679</v>
      </c>
      <c r="AA2688" t="e">
        <f>INDEX(Stammdaten[Ovalität (']0,1'])],MATCH(Tabelle1014[[#This Row],[Rank]],Stammdaten[Rank Verteilung Ovalität],0))</f>
        <v>#N/A</v>
      </c>
      <c r="AB2688" t="e">
        <f>VLOOKUP(Tabelle1014[[#This Row],[Rank]],Stammdaten[[Rank Verteilung Ovalität]:[Verteilung Ovalität]],2,FALSE)</f>
        <v>#N/A</v>
      </c>
    </row>
    <row r="2689" spans="5:28" x14ac:dyDescent="0.35">
      <c r="E2689">
        <v>2680</v>
      </c>
      <c r="F2689" t="e">
        <f>INDEX(Stammdaten[D Mitte mit Rinde (mm)],MATCH(Tabelle8[[#This Row],[Rank]],Stammdaten[Rank Verteilung D Mitte mit Rinde],0))</f>
        <v>#N/A</v>
      </c>
      <c r="G2689" t="e">
        <f>VLOOKUP(Tabelle8[[#This Row],[Rank]],Stammdaten[[Rank Verteilung D Mitte mit Rinde]:[Verteilung D Mitte mit Rinde]],2,FALSE)</f>
        <v>#N/A</v>
      </c>
      <c r="L2689">
        <v>2680</v>
      </c>
      <c r="M2689" t="e">
        <f>INDEX(Stammdaten[Abholzigkeit (mm/lfm)],MATCH(Tabelle9[[#This Row],[Rank]],Stammdaten[Rank Verteilung Abholzigkeit],0))</f>
        <v>#N/A</v>
      </c>
      <c r="N2689" t="e">
        <f>VLOOKUP(Tabelle9[[#This Row],[Rank]],Stammdaten[[Rank Verteilung Abholzigkeit]:[Verteilung Abholzigkeit]],2,FALSE)</f>
        <v>#N/A</v>
      </c>
      <c r="S2689">
        <v>2680</v>
      </c>
      <c r="T2689" t="e">
        <f>INDEX(Stammdaten[Krümmung (mm/lfm)],MATCH(Tabelle10[[#This Row],[Rank]],Stammdaten[Rank Verteilung Krümmung],0))</f>
        <v>#N/A</v>
      </c>
      <c r="U2689" t="e">
        <f>VLOOKUP(Tabelle10[[#This Row],[Rank]],Stammdaten[[Rank Verteilung Krümmung]:[Verteilung Krümmung]],2,FALSE)</f>
        <v>#N/A</v>
      </c>
      <c r="Z2689">
        <v>2680</v>
      </c>
      <c r="AA2689" t="e">
        <f>INDEX(Stammdaten[Ovalität (']0,1'])],MATCH(Tabelle1014[[#This Row],[Rank]],Stammdaten[Rank Verteilung Ovalität],0))</f>
        <v>#N/A</v>
      </c>
      <c r="AB2689" t="e">
        <f>VLOOKUP(Tabelle1014[[#This Row],[Rank]],Stammdaten[[Rank Verteilung Ovalität]:[Verteilung Ovalität]],2,FALSE)</f>
        <v>#N/A</v>
      </c>
    </row>
    <row r="2690" spans="5:28" x14ac:dyDescent="0.35">
      <c r="E2690">
        <v>2681</v>
      </c>
      <c r="F2690" t="e">
        <f>INDEX(Stammdaten[D Mitte mit Rinde (mm)],MATCH(Tabelle8[[#This Row],[Rank]],Stammdaten[Rank Verteilung D Mitte mit Rinde],0))</f>
        <v>#N/A</v>
      </c>
      <c r="G2690" t="e">
        <f>VLOOKUP(Tabelle8[[#This Row],[Rank]],Stammdaten[[Rank Verteilung D Mitte mit Rinde]:[Verteilung D Mitte mit Rinde]],2,FALSE)</f>
        <v>#N/A</v>
      </c>
      <c r="L2690">
        <v>2681</v>
      </c>
      <c r="M2690" t="e">
        <f>INDEX(Stammdaten[Abholzigkeit (mm/lfm)],MATCH(Tabelle9[[#This Row],[Rank]],Stammdaten[Rank Verteilung Abholzigkeit],0))</f>
        <v>#N/A</v>
      </c>
      <c r="N2690" t="e">
        <f>VLOOKUP(Tabelle9[[#This Row],[Rank]],Stammdaten[[Rank Verteilung Abholzigkeit]:[Verteilung Abholzigkeit]],2,FALSE)</f>
        <v>#N/A</v>
      </c>
      <c r="S2690">
        <v>2681</v>
      </c>
      <c r="T2690" t="e">
        <f>INDEX(Stammdaten[Krümmung (mm/lfm)],MATCH(Tabelle10[[#This Row],[Rank]],Stammdaten[Rank Verteilung Krümmung],0))</f>
        <v>#N/A</v>
      </c>
      <c r="U2690" t="e">
        <f>VLOOKUP(Tabelle10[[#This Row],[Rank]],Stammdaten[[Rank Verteilung Krümmung]:[Verteilung Krümmung]],2,FALSE)</f>
        <v>#N/A</v>
      </c>
      <c r="Z2690">
        <v>2681</v>
      </c>
      <c r="AA2690" t="e">
        <f>INDEX(Stammdaten[Ovalität (']0,1'])],MATCH(Tabelle1014[[#This Row],[Rank]],Stammdaten[Rank Verteilung Ovalität],0))</f>
        <v>#N/A</v>
      </c>
      <c r="AB2690" t="e">
        <f>VLOOKUP(Tabelle1014[[#This Row],[Rank]],Stammdaten[[Rank Verteilung Ovalität]:[Verteilung Ovalität]],2,FALSE)</f>
        <v>#N/A</v>
      </c>
    </row>
    <row r="2691" spans="5:28" x14ac:dyDescent="0.35">
      <c r="E2691">
        <v>2682</v>
      </c>
      <c r="F2691" t="e">
        <f>INDEX(Stammdaten[D Mitte mit Rinde (mm)],MATCH(Tabelle8[[#This Row],[Rank]],Stammdaten[Rank Verteilung D Mitte mit Rinde],0))</f>
        <v>#N/A</v>
      </c>
      <c r="G2691" t="e">
        <f>VLOOKUP(Tabelle8[[#This Row],[Rank]],Stammdaten[[Rank Verteilung D Mitte mit Rinde]:[Verteilung D Mitte mit Rinde]],2,FALSE)</f>
        <v>#N/A</v>
      </c>
      <c r="L2691">
        <v>2682</v>
      </c>
      <c r="M2691" t="e">
        <f>INDEX(Stammdaten[Abholzigkeit (mm/lfm)],MATCH(Tabelle9[[#This Row],[Rank]],Stammdaten[Rank Verteilung Abholzigkeit],0))</f>
        <v>#N/A</v>
      </c>
      <c r="N2691" t="e">
        <f>VLOOKUP(Tabelle9[[#This Row],[Rank]],Stammdaten[[Rank Verteilung Abholzigkeit]:[Verteilung Abholzigkeit]],2,FALSE)</f>
        <v>#N/A</v>
      </c>
      <c r="S2691">
        <v>2682</v>
      </c>
      <c r="T2691" t="e">
        <f>INDEX(Stammdaten[Krümmung (mm/lfm)],MATCH(Tabelle10[[#This Row],[Rank]],Stammdaten[Rank Verteilung Krümmung],0))</f>
        <v>#N/A</v>
      </c>
      <c r="U2691" t="e">
        <f>VLOOKUP(Tabelle10[[#This Row],[Rank]],Stammdaten[[Rank Verteilung Krümmung]:[Verteilung Krümmung]],2,FALSE)</f>
        <v>#N/A</v>
      </c>
      <c r="Z2691">
        <v>2682</v>
      </c>
      <c r="AA2691" t="e">
        <f>INDEX(Stammdaten[Ovalität (']0,1'])],MATCH(Tabelle1014[[#This Row],[Rank]],Stammdaten[Rank Verteilung Ovalität],0))</f>
        <v>#N/A</v>
      </c>
      <c r="AB2691" t="e">
        <f>VLOOKUP(Tabelle1014[[#This Row],[Rank]],Stammdaten[[Rank Verteilung Ovalität]:[Verteilung Ovalität]],2,FALSE)</f>
        <v>#N/A</v>
      </c>
    </row>
    <row r="2692" spans="5:28" x14ac:dyDescent="0.35">
      <c r="E2692">
        <v>2683</v>
      </c>
      <c r="F2692" t="e">
        <f>INDEX(Stammdaten[D Mitte mit Rinde (mm)],MATCH(Tabelle8[[#This Row],[Rank]],Stammdaten[Rank Verteilung D Mitte mit Rinde],0))</f>
        <v>#N/A</v>
      </c>
      <c r="G2692" t="e">
        <f>VLOOKUP(Tabelle8[[#This Row],[Rank]],Stammdaten[[Rank Verteilung D Mitte mit Rinde]:[Verteilung D Mitte mit Rinde]],2,FALSE)</f>
        <v>#N/A</v>
      </c>
      <c r="L2692">
        <v>2683</v>
      </c>
      <c r="M2692" t="e">
        <f>INDEX(Stammdaten[Abholzigkeit (mm/lfm)],MATCH(Tabelle9[[#This Row],[Rank]],Stammdaten[Rank Verteilung Abholzigkeit],0))</f>
        <v>#N/A</v>
      </c>
      <c r="N2692" t="e">
        <f>VLOOKUP(Tabelle9[[#This Row],[Rank]],Stammdaten[[Rank Verteilung Abholzigkeit]:[Verteilung Abholzigkeit]],2,FALSE)</f>
        <v>#N/A</v>
      </c>
      <c r="S2692">
        <v>2683</v>
      </c>
      <c r="T2692" t="e">
        <f>INDEX(Stammdaten[Krümmung (mm/lfm)],MATCH(Tabelle10[[#This Row],[Rank]],Stammdaten[Rank Verteilung Krümmung],0))</f>
        <v>#N/A</v>
      </c>
      <c r="U2692" t="e">
        <f>VLOOKUP(Tabelle10[[#This Row],[Rank]],Stammdaten[[Rank Verteilung Krümmung]:[Verteilung Krümmung]],2,FALSE)</f>
        <v>#N/A</v>
      </c>
      <c r="Z2692">
        <v>2683</v>
      </c>
      <c r="AA2692" t="e">
        <f>INDEX(Stammdaten[Ovalität (']0,1'])],MATCH(Tabelle1014[[#This Row],[Rank]],Stammdaten[Rank Verteilung Ovalität],0))</f>
        <v>#N/A</v>
      </c>
      <c r="AB2692" t="e">
        <f>VLOOKUP(Tabelle1014[[#This Row],[Rank]],Stammdaten[[Rank Verteilung Ovalität]:[Verteilung Ovalität]],2,FALSE)</f>
        <v>#N/A</v>
      </c>
    </row>
    <row r="2693" spans="5:28" x14ac:dyDescent="0.35">
      <c r="E2693">
        <v>2684</v>
      </c>
      <c r="F2693" t="e">
        <f>INDEX(Stammdaten[D Mitte mit Rinde (mm)],MATCH(Tabelle8[[#This Row],[Rank]],Stammdaten[Rank Verteilung D Mitte mit Rinde],0))</f>
        <v>#N/A</v>
      </c>
      <c r="G2693" t="e">
        <f>VLOOKUP(Tabelle8[[#This Row],[Rank]],Stammdaten[[Rank Verteilung D Mitte mit Rinde]:[Verteilung D Mitte mit Rinde]],2,FALSE)</f>
        <v>#N/A</v>
      </c>
      <c r="L2693">
        <v>2684</v>
      </c>
      <c r="M2693" t="e">
        <f>INDEX(Stammdaten[Abholzigkeit (mm/lfm)],MATCH(Tabelle9[[#This Row],[Rank]],Stammdaten[Rank Verteilung Abholzigkeit],0))</f>
        <v>#N/A</v>
      </c>
      <c r="N2693" t="e">
        <f>VLOOKUP(Tabelle9[[#This Row],[Rank]],Stammdaten[[Rank Verteilung Abholzigkeit]:[Verteilung Abholzigkeit]],2,FALSE)</f>
        <v>#N/A</v>
      </c>
      <c r="S2693">
        <v>2684</v>
      </c>
      <c r="T2693" t="e">
        <f>INDEX(Stammdaten[Krümmung (mm/lfm)],MATCH(Tabelle10[[#This Row],[Rank]],Stammdaten[Rank Verteilung Krümmung],0))</f>
        <v>#N/A</v>
      </c>
      <c r="U2693" t="e">
        <f>VLOOKUP(Tabelle10[[#This Row],[Rank]],Stammdaten[[Rank Verteilung Krümmung]:[Verteilung Krümmung]],2,FALSE)</f>
        <v>#N/A</v>
      </c>
      <c r="Z2693">
        <v>2684</v>
      </c>
      <c r="AA2693" t="e">
        <f>INDEX(Stammdaten[Ovalität (']0,1'])],MATCH(Tabelle1014[[#This Row],[Rank]],Stammdaten[Rank Verteilung Ovalität],0))</f>
        <v>#N/A</v>
      </c>
      <c r="AB2693" t="e">
        <f>VLOOKUP(Tabelle1014[[#This Row],[Rank]],Stammdaten[[Rank Verteilung Ovalität]:[Verteilung Ovalität]],2,FALSE)</f>
        <v>#N/A</v>
      </c>
    </row>
    <row r="2694" spans="5:28" x14ac:dyDescent="0.35">
      <c r="E2694">
        <v>2685</v>
      </c>
      <c r="F2694" t="e">
        <f>INDEX(Stammdaten[D Mitte mit Rinde (mm)],MATCH(Tabelle8[[#This Row],[Rank]],Stammdaten[Rank Verteilung D Mitte mit Rinde],0))</f>
        <v>#N/A</v>
      </c>
      <c r="G2694" t="e">
        <f>VLOOKUP(Tabelle8[[#This Row],[Rank]],Stammdaten[[Rank Verteilung D Mitte mit Rinde]:[Verteilung D Mitte mit Rinde]],2,FALSE)</f>
        <v>#N/A</v>
      </c>
      <c r="L2694">
        <v>2685</v>
      </c>
      <c r="M2694" t="e">
        <f>INDEX(Stammdaten[Abholzigkeit (mm/lfm)],MATCH(Tabelle9[[#This Row],[Rank]],Stammdaten[Rank Verteilung Abholzigkeit],0))</f>
        <v>#N/A</v>
      </c>
      <c r="N2694" t="e">
        <f>VLOOKUP(Tabelle9[[#This Row],[Rank]],Stammdaten[[Rank Verteilung Abholzigkeit]:[Verteilung Abholzigkeit]],2,FALSE)</f>
        <v>#N/A</v>
      </c>
      <c r="S2694">
        <v>2685</v>
      </c>
      <c r="T2694" t="e">
        <f>INDEX(Stammdaten[Krümmung (mm/lfm)],MATCH(Tabelle10[[#This Row],[Rank]],Stammdaten[Rank Verteilung Krümmung],0))</f>
        <v>#N/A</v>
      </c>
      <c r="U2694" t="e">
        <f>VLOOKUP(Tabelle10[[#This Row],[Rank]],Stammdaten[[Rank Verteilung Krümmung]:[Verteilung Krümmung]],2,FALSE)</f>
        <v>#N/A</v>
      </c>
      <c r="Z2694">
        <v>2685</v>
      </c>
      <c r="AA2694" t="e">
        <f>INDEX(Stammdaten[Ovalität (']0,1'])],MATCH(Tabelle1014[[#This Row],[Rank]],Stammdaten[Rank Verteilung Ovalität],0))</f>
        <v>#N/A</v>
      </c>
      <c r="AB2694" t="e">
        <f>VLOOKUP(Tabelle1014[[#This Row],[Rank]],Stammdaten[[Rank Verteilung Ovalität]:[Verteilung Ovalität]],2,FALSE)</f>
        <v>#N/A</v>
      </c>
    </row>
    <row r="2695" spans="5:28" x14ac:dyDescent="0.35">
      <c r="E2695">
        <v>2686</v>
      </c>
      <c r="F2695" t="e">
        <f>INDEX(Stammdaten[D Mitte mit Rinde (mm)],MATCH(Tabelle8[[#This Row],[Rank]],Stammdaten[Rank Verteilung D Mitte mit Rinde],0))</f>
        <v>#N/A</v>
      </c>
      <c r="G2695" t="e">
        <f>VLOOKUP(Tabelle8[[#This Row],[Rank]],Stammdaten[[Rank Verteilung D Mitte mit Rinde]:[Verteilung D Mitte mit Rinde]],2,FALSE)</f>
        <v>#N/A</v>
      </c>
      <c r="L2695">
        <v>2686</v>
      </c>
      <c r="M2695" t="e">
        <f>INDEX(Stammdaten[Abholzigkeit (mm/lfm)],MATCH(Tabelle9[[#This Row],[Rank]],Stammdaten[Rank Verteilung Abholzigkeit],0))</f>
        <v>#N/A</v>
      </c>
      <c r="N2695" t="e">
        <f>VLOOKUP(Tabelle9[[#This Row],[Rank]],Stammdaten[[Rank Verteilung Abholzigkeit]:[Verteilung Abholzigkeit]],2,FALSE)</f>
        <v>#N/A</v>
      </c>
      <c r="S2695">
        <v>2686</v>
      </c>
      <c r="T2695" t="e">
        <f>INDEX(Stammdaten[Krümmung (mm/lfm)],MATCH(Tabelle10[[#This Row],[Rank]],Stammdaten[Rank Verteilung Krümmung],0))</f>
        <v>#N/A</v>
      </c>
      <c r="U2695" t="e">
        <f>VLOOKUP(Tabelle10[[#This Row],[Rank]],Stammdaten[[Rank Verteilung Krümmung]:[Verteilung Krümmung]],2,FALSE)</f>
        <v>#N/A</v>
      </c>
      <c r="Z2695">
        <v>2686</v>
      </c>
      <c r="AA2695" t="e">
        <f>INDEX(Stammdaten[Ovalität (']0,1'])],MATCH(Tabelle1014[[#This Row],[Rank]],Stammdaten[Rank Verteilung Ovalität],0))</f>
        <v>#N/A</v>
      </c>
      <c r="AB2695" t="e">
        <f>VLOOKUP(Tabelle1014[[#This Row],[Rank]],Stammdaten[[Rank Verteilung Ovalität]:[Verteilung Ovalität]],2,FALSE)</f>
        <v>#N/A</v>
      </c>
    </row>
    <row r="2696" spans="5:28" x14ac:dyDescent="0.35">
      <c r="E2696">
        <v>2687</v>
      </c>
      <c r="F2696" t="e">
        <f>INDEX(Stammdaten[D Mitte mit Rinde (mm)],MATCH(Tabelle8[[#This Row],[Rank]],Stammdaten[Rank Verteilung D Mitte mit Rinde],0))</f>
        <v>#N/A</v>
      </c>
      <c r="G2696" t="e">
        <f>VLOOKUP(Tabelle8[[#This Row],[Rank]],Stammdaten[[Rank Verteilung D Mitte mit Rinde]:[Verteilung D Mitte mit Rinde]],2,FALSE)</f>
        <v>#N/A</v>
      </c>
      <c r="L2696">
        <v>2687</v>
      </c>
      <c r="M2696" t="e">
        <f>INDEX(Stammdaten[Abholzigkeit (mm/lfm)],MATCH(Tabelle9[[#This Row],[Rank]],Stammdaten[Rank Verteilung Abholzigkeit],0))</f>
        <v>#N/A</v>
      </c>
      <c r="N2696" t="e">
        <f>VLOOKUP(Tabelle9[[#This Row],[Rank]],Stammdaten[[Rank Verteilung Abholzigkeit]:[Verteilung Abholzigkeit]],2,FALSE)</f>
        <v>#N/A</v>
      </c>
      <c r="S2696">
        <v>2687</v>
      </c>
      <c r="T2696" t="e">
        <f>INDEX(Stammdaten[Krümmung (mm/lfm)],MATCH(Tabelle10[[#This Row],[Rank]],Stammdaten[Rank Verteilung Krümmung],0))</f>
        <v>#N/A</v>
      </c>
      <c r="U2696" t="e">
        <f>VLOOKUP(Tabelle10[[#This Row],[Rank]],Stammdaten[[Rank Verteilung Krümmung]:[Verteilung Krümmung]],2,FALSE)</f>
        <v>#N/A</v>
      </c>
      <c r="Z2696">
        <v>2687</v>
      </c>
      <c r="AA2696" t="e">
        <f>INDEX(Stammdaten[Ovalität (']0,1'])],MATCH(Tabelle1014[[#This Row],[Rank]],Stammdaten[Rank Verteilung Ovalität],0))</f>
        <v>#N/A</v>
      </c>
      <c r="AB2696" t="e">
        <f>VLOOKUP(Tabelle1014[[#This Row],[Rank]],Stammdaten[[Rank Verteilung Ovalität]:[Verteilung Ovalität]],2,FALSE)</f>
        <v>#N/A</v>
      </c>
    </row>
    <row r="2697" spans="5:28" x14ac:dyDescent="0.35">
      <c r="E2697">
        <v>2688</v>
      </c>
      <c r="F2697" t="e">
        <f>INDEX(Stammdaten[D Mitte mit Rinde (mm)],MATCH(Tabelle8[[#This Row],[Rank]],Stammdaten[Rank Verteilung D Mitte mit Rinde],0))</f>
        <v>#N/A</v>
      </c>
      <c r="G2697" t="e">
        <f>VLOOKUP(Tabelle8[[#This Row],[Rank]],Stammdaten[[Rank Verteilung D Mitte mit Rinde]:[Verteilung D Mitte mit Rinde]],2,FALSE)</f>
        <v>#N/A</v>
      </c>
      <c r="L2697">
        <v>2688</v>
      </c>
      <c r="M2697" t="e">
        <f>INDEX(Stammdaten[Abholzigkeit (mm/lfm)],MATCH(Tabelle9[[#This Row],[Rank]],Stammdaten[Rank Verteilung Abholzigkeit],0))</f>
        <v>#N/A</v>
      </c>
      <c r="N2697" t="e">
        <f>VLOOKUP(Tabelle9[[#This Row],[Rank]],Stammdaten[[Rank Verteilung Abholzigkeit]:[Verteilung Abholzigkeit]],2,FALSE)</f>
        <v>#N/A</v>
      </c>
      <c r="S2697">
        <v>2688</v>
      </c>
      <c r="T2697" t="e">
        <f>INDEX(Stammdaten[Krümmung (mm/lfm)],MATCH(Tabelle10[[#This Row],[Rank]],Stammdaten[Rank Verteilung Krümmung],0))</f>
        <v>#N/A</v>
      </c>
      <c r="U2697" t="e">
        <f>VLOOKUP(Tabelle10[[#This Row],[Rank]],Stammdaten[[Rank Verteilung Krümmung]:[Verteilung Krümmung]],2,FALSE)</f>
        <v>#N/A</v>
      </c>
      <c r="Z2697">
        <v>2688</v>
      </c>
      <c r="AA2697" t="e">
        <f>INDEX(Stammdaten[Ovalität (']0,1'])],MATCH(Tabelle1014[[#This Row],[Rank]],Stammdaten[Rank Verteilung Ovalität],0))</f>
        <v>#N/A</v>
      </c>
      <c r="AB2697" t="e">
        <f>VLOOKUP(Tabelle1014[[#This Row],[Rank]],Stammdaten[[Rank Verteilung Ovalität]:[Verteilung Ovalität]],2,FALSE)</f>
        <v>#N/A</v>
      </c>
    </row>
    <row r="2698" spans="5:28" x14ac:dyDescent="0.35">
      <c r="E2698">
        <v>2689</v>
      </c>
      <c r="F2698" t="e">
        <f>INDEX(Stammdaten[D Mitte mit Rinde (mm)],MATCH(Tabelle8[[#This Row],[Rank]],Stammdaten[Rank Verteilung D Mitte mit Rinde],0))</f>
        <v>#N/A</v>
      </c>
      <c r="G2698" t="e">
        <f>VLOOKUP(Tabelle8[[#This Row],[Rank]],Stammdaten[[Rank Verteilung D Mitte mit Rinde]:[Verteilung D Mitte mit Rinde]],2,FALSE)</f>
        <v>#N/A</v>
      </c>
      <c r="L2698">
        <v>2689</v>
      </c>
      <c r="M2698" t="e">
        <f>INDEX(Stammdaten[Abholzigkeit (mm/lfm)],MATCH(Tabelle9[[#This Row],[Rank]],Stammdaten[Rank Verteilung Abholzigkeit],0))</f>
        <v>#N/A</v>
      </c>
      <c r="N2698" t="e">
        <f>VLOOKUP(Tabelle9[[#This Row],[Rank]],Stammdaten[[Rank Verteilung Abholzigkeit]:[Verteilung Abholzigkeit]],2,FALSE)</f>
        <v>#N/A</v>
      </c>
      <c r="S2698">
        <v>2689</v>
      </c>
      <c r="T2698" t="e">
        <f>INDEX(Stammdaten[Krümmung (mm/lfm)],MATCH(Tabelle10[[#This Row],[Rank]],Stammdaten[Rank Verteilung Krümmung],0))</f>
        <v>#N/A</v>
      </c>
      <c r="U2698" t="e">
        <f>VLOOKUP(Tabelle10[[#This Row],[Rank]],Stammdaten[[Rank Verteilung Krümmung]:[Verteilung Krümmung]],2,FALSE)</f>
        <v>#N/A</v>
      </c>
      <c r="Z2698">
        <v>2689</v>
      </c>
      <c r="AA2698" t="e">
        <f>INDEX(Stammdaten[Ovalität (']0,1'])],MATCH(Tabelle1014[[#This Row],[Rank]],Stammdaten[Rank Verteilung Ovalität],0))</f>
        <v>#N/A</v>
      </c>
      <c r="AB2698" t="e">
        <f>VLOOKUP(Tabelle1014[[#This Row],[Rank]],Stammdaten[[Rank Verteilung Ovalität]:[Verteilung Ovalität]],2,FALSE)</f>
        <v>#N/A</v>
      </c>
    </row>
    <row r="2699" spans="5:28" x14ac:dyDescent="0.35">
      <c r="E2699">
        <v>2690</v>
      </c>
      <c r="F2699" t="e">
        <f>INDEX(Stammdaten[D Mitte mit Rinde (mm)],MATCH(Tabelle8[[#This Row],[Rank]],Stammdaten[Rank Verteilung D Mitte mit Rinde],0))</f>
        <v>#N/A</v>
      </c>
      <c r="G2699" t="e">
        <f>VLOOKUP(Tabelle8[[#This Row],[Rank]],Stammdaten[[Rank Verteilung D Mitte mit Rinde]:[Verteilung D Mitte mit Rinde]],2,FALSE)</f>
        <v>#N/A</v>
      </c>
      <c r="L2699">
        <v>2690</v>
      </c>
      <c r="M2699" t="e">
        <f>INDEX(Stammdaten[Abholzigkeit (mm/lfm)],MATCH(Tabelle9[[#This Row],[Rank]],Stammdaten[Rank Verteilung Abholzigkeit],0))</f>
        <v>#N/A</v>
      </c>
      <c r="N2699" t="e">
        <f>VLOOKUP(Tabelle9[[#This Row],[Rank]],Stammdaten[[Rank Verteilung Abholzigkeit]:[Verteilung Abholzigkeit]],2,FALSE)</f>
        <v>#N/A</v>
      </c>
      <c r="S2699">
        <v>2690</v>
      </c>
      <c r="T2699" t="e">
        <f>INDEX(Stammdaten[Krümmung (mm/lfm)],MATCH(Tabelle10[[#This Row],[Rank]],Stammdaten[Rank Verteilung Krümmung],0))</f>
        <v>#N/A</v>
      </c>
      <c r="U2699" t="e">
        <f>VLOOKUP(Tabelle10[[#This Row],[Rank]],Stammdaten[[Rank Verteilung Krümmung]:[Verteilung Krümmung]],2,FALSE)</f>
        <v>#N/A</v>
      </c>
      <c r="Z2699">
        <v>2690</v>
      </c>
      <c r="AA2699" t="e">
        <f>INDEX(Stammdaten[Ovalität (']0,1'])],MATCH(Tabelle1014[[#This Row],[Rank]],Stammdaten[Rank Verteilung Ovalität],0))</f>
        <v>#N/A</v>
      </c>
      <c r="AB2699" t="e">
        <f>VLOOKUP(Tabelle1014[[#This Row],[Rank]],Stammdaten[[Rank Verteilung Ovalität]:[Verteilung Ovalität]],2,FALSE)</f>
        <v>#N/A</v>
      </c>
    </row>
    <row r="2700" spans="5:28" x14ac:dyDescent="0.35">
      <c r="E2700">
        <v>2691</v>
      </c>
      <c r="F2700" t="e">
        <f>INDEX(Stammdaten[D Mitte mit Rinde (mm)],MATCH(Tabelle8[[#This Row],[Rank]],Stammdaten[Rank Verteilung D Mitte mit Rinde],0))</f>
        <v>#N/A</v>
      </c>
      <c r="G2700" t="e">
        <f>VLOOKUP(Tabelle8[[#This Row],[Rank]],Stammdaten[[Rank Verteilung D Mitte mit Rinde]:[Verteilung D Mitte mit Rinde]],2,FALSE)</f>
        <v>#N/A</v>
      </c>
      <c r="L2700">
        <v>2691</v>
      </c>
      <c r="M2700" t="e">
        <f>INDEX(Stammdaten[Abholzigkeit (mm/lfm)],MATCH(Tabelle9[[#This Row],[Rank]],Stammdaten[Rank Verteilung Abholzigkeit],0))</f>
        <v>#N/A</v>
      </c>
      <c r="N2700" t="e">
        <f>VLOOKUP(Tabelle9[[#This Row],[Rank]],Stammdaten[[Rank Verteilung Abholzigkeit]:[Verteilung Abholzigkeit]],2,FALSE)</f>
        <v>#N/A</v>
      </c>
      <c r="S2700">
        <v>2691</v>
      </c>
      <c r="T2700" t="e">
        <f>INDEX(Stammdaten[Krümmung (mm/lfm)],MATCH(Tabelle10[[#This Row],[Rank]],Stammdaten[Rank Verteilung Krümmung],0))</f>
        <v>#N/A</v>
      </c>
      <c r="U2700" t="e">
        <f>VLOOKUP(Tabelle10[[#This Row],[Rank]],Stammdaten[[Rank Verteilung Krümmung]:[Verteilung Krümmung]],2,FALSE)</f>
        <v>#N/A</v>
      </c>
      <c r="Z2700">
        <v>2691</v>
      </c>
      <c r="AA2700" t="e">
        <f>INDEX(Stammdaten[Ovalität (']0,1'])],MATCH(Tabelle1014[[#This Row],[Rank]],Stammdaten[Rank Verteilung Ovalität],0))</f>
        <v>#N/A</v>
      </c>
      <c r="AB2700" t="e">
        <f>VLOOKUP(Tabelle1014[[#This Row],[Rank]],Stammdaten[[Rank Verteilung Ovalität]:[Verteilung Ovalität]],2,FALSE)</f>
        <v>#N/A</v>
      </c>
    </row>
    <row r="2701" spans="5:28" x14ac:dyDescent="0.35">
      <c r="E2701">
        <v>2692</v>
      </c>
      <c r="F2701" t="e">
        <f>INDEX(Stammdaten[D Mitte mit Rinde (mm)],MATCH(Tabelle8[[#This Row],[Rank]],Stammdaten[Rank Verteilung D Mitte mit Rinde],0))</f>
        <v>#N/A</v>
      </c>
      <c r="G2701" t="e">
        <f>VLOOKUP(Tabelle8[[#This Row],[Rank]],Stammdaten[[Rank Verteilung D Mitte mit Rinde]:[Verteilung D Mitte mit Rinde]],2,FALSE)</f>
        <v>#N/A</v>
      </c>
      <c r="L2701">
        <v>2692</v>
      </c>
      <c r="M2701" t="e">
        <f>INDEX(Stammdaten[Abholzigkeit (mm/lfm)],MATCH(Tabelle9[[#This Row],[Rank]],Stammdaten[Rank Verteilung Abholzigkeit],0))</f>
        <v>#N/A</v>
      </c>
      <c r="N2701" t="e">
        <f>VLOOKUP(Tabelle9[[#This Row],[Rank]],Stammdaten[[Rank Verteilung Abholzigkeit]:[Verteilung Abholzigkeit]],2,FALSE)</f>
        <v>#N/A</v>
      </c>
      <c r="S2701">
        <v>2692</v>
      </c>
      <c r="T2701" t="e">
        <f>INDEX(Stammdaten[Krümmung (mm/lfm)],MATCH(Tabelle10[[#This Row],[Rank]],Stammdaten[Rank Verteilung Krümmung],0))</f>
        <v>#N/A</v>
      </c>
      <c r="U2701" t="e">
        <f>VLOOKUP(Tabelle10[[#This Row],[Rank]],Stammdaten[[Rank Verteilung Krümmung]:[Verteilung Krümmung]],2,FALSE)</f>
        <v>#N/A</v>
      </c>
      <c r="Z2701">
        <v>2692</v>
      </c>
      <c r="AA2701" t="e">
        <f>INDEX(Stammdaten[Ovalität (']0,1'])],MATCH(Tabelle1014[[#This Row],[Rank]],Stammdaten[Rank Verteilung Ovalität],0))</f>
        <v>#N/A</v>
      </c>
      <c r="AB2701" t="e">
        <f>VLOOKUP(Tabelle1014[[#This Row],[Rank]],Stammdaten[[Rank Verteilung Ovalität]:[Verteilung Ovalität]],2,FALSE)</f>
        <v>#N/A</v>
      </c>
    </row>
    <row r="2702" spans="5:28" x14ac:dyDescent="0.35">
      <c r="E2702">
        <v>2693</v>
      </c>
      <c r="F2702" t="e">
        <f>INDEX(Stammdaten[D Mitte mit Rinde (mm)],MATCH(Tabelle8[[#This Row],[Rank]],Stammdaten[Rank Verteilung D Mitte mit Rinde],0))</f>
        <v>#N/A</v>
      </c>
      <c r="G2702" t="e">
        <f>VLOOKUP(Tabelle8[[#This Row],[Rank]],Stammdaten[[Rank Verteilung D Mitte mit Rinde]:[Verteilung D Mitte mit Rinde]],2,FALSE)</f>
        <v>#N/A</v>
      </c>
      <c r="L2702">
        <v>2693</v>
      </c>
      <c r="M2702" t="e">
        <f>INDEX(Stammdaten[Abholzigkeit (mm/lfm)],MATCH(Tabelle9[[#This Row],[Rank]],Stammdaten[Rank Verteilung Abholzigkeit],0))</f>
        <v>#N/A</v>
      </c>
      <c r="N2702" t="e">
        <f>VLOOKUP(Tabelle9[[#This Row],[Rank]],Stammdaten[[Rank Verteilung Abholzigkeit]:[Verteilung Abholzigkeit]],2,FALSE)</f>
        <v>#N/A</v>
      </c>
      <c r="S2702">
        <v>2693</v>
      </c>
      <c r="T2702" t="e">
        <f>INDEX(Stammdaten[Krümmung (mm/lfm)],MATCH(Tabelle10[[#This Row],[Rank]],Stammdaten[Rank Verteilung Krümmung],0))</f>
        <v>#N/A</v>
      </c>
      <c r="U2702" t="e">
        <f>VLOOKUP(Tabelle10[[#This Row],[Rank]],Stammdaten[[Rank Verteilung Krümmung]:[Verteilung Krümmung]],2,FALSE)</f>
        <v>#N/A</v>
      </c>
      <c r="Z2702">
        <v>2693</v>
      </c>
      <c r="AA2702" t="e">
        <f>INDEX(Stammdaten[Ovalität (']0,1'])],MATCH(Tabelle1014[[#This Row],[Rank]],Stammdaten[Rank Verteilung Ovalität],0))</f>
        <v>#N/A</v>
      </c>
      <c r="AB2702" t="e">
        <f>VLOOKUP(Tabelle1014[[#This Row],[Rank]],Stammdaten[[Rank Verteilung Ovalität]:[Verteilung Ovalität]],2,FALSE)</f>
        <v>#N/A</v>
      </c>
    </row>
    <row r="2703" spans="5:28" x14ac:dyDescent="0.35">
      <c r="E2703">
        <v>2694</v>
      </c>
      <c r="F2703" t="e">
        <f>INDEX(Stammdaten[D Mitte mit Rinde (mm)],MATCH(Tabelle8[[#This Row],[Rank]],Stammdaten[Rank Verteilung D Mitte mit Rinde],0))</f>
        <v>#N/A</v>
      </c>
      <c r="G2703" t="e">
        <f>VLOOKUP(Tabelle8[[#This Row],[Rank]],Stammdaten[[Rank Verteilung D Mitte mit Rinde]:[Verteilung D Mitte mit Rinde]],2,FALSE)</f>
        <v>#N/A</v>
      </c>
      <c r="L2703">
        <v>2694</v>
      </c>
      <c r="M2703" t="e">
        <f>INDEX(Stammdaten[Abholzigkeit (mm/lfm)],MATCH(Tabelle9[[#This Row],[Rank]],Stammdaten[Rank Verteilung Abholzigkeit],0))</f>
        <v>#N/A</v>
      </c>
      <c r="N2703" t="e">
        <f>VLOOKUP(Tabelle9[[#This Row],[Rank]],Stammdaten[[Rank Verteilung Abholzigkeit]:[Verteilung Abholzigkeit]],2,FALSE)</f>
        <v>#N/A</v>
      </c>
      <c r="S2703">
        <v>2694</v>
      </c>
      <c r="T2703" t="e">
        <f>INDEX(Stammdaten[Krümmung (mm/lfm)],MATCH(Tabelle10[[#This Row],[Rank]],Stammdaten[Rank Verteilung Krümmung],0))</f>
        <v>#N/A</v>
      </c>
      <c r="U2703" t="e">
        <f>VLOOKUP(Tabelle10[[#This Row],[Rank]],Stammdaten[[Rank Verteilung Krümmung]:[Verteilung Krümmung]],2,FALSE)</f>
        <v>#N/A</v>
      </c>
      <c r="Z2703">
        <v>2694</v>
      </c>
      <c r="AA2703" t="e">
        <f>INDEX(Stammdaten[Ovalität (']0,1'])],MATCH(Tabelle1014[[#This Row],[Rank]],Stammdaten[Rank Verteilung Ovalität],0))</f>
        <v>#N/A</v>
      </c>
      <c r="AB2703" t="e">
        <f>VLOOKUP(Tabelle1014[[#This Row],[Rank]],Stammdaten[[Rank Verteilung Ovalität]:[Verteilung Ovalität]],2,FALSE)</f>
        <v>#N/A</v>
      </c>
    </row>
    <row r="2704" spans="5:28" x14ac:dyDescent="0.35">
      <c r="E2704">
        <v>2695</v>
      </c>
      <c r="F2704" t="e">
        <f>INDEX(Stammdaten[D Mitte mit Rinde (mm)],MATCH(Tabelle8[[#This Row],[Rank]],Stammdaten[Rank Verteilung D Mitte mit Rinde],0))</f>
        <v>#N/A</v>
      </c>
      <c r="G2704" t="e">
        <f>VLOOKUP(Tabelle8[[#This Row],[Rank]],Stammdaten[[Rank Verteilung D Mitte mit Rinde]:[Verteilung D Mitte mit Rinde]],2,FALSE)</f>
        <v>#N/A</v>
      </c>
      <c r="L2704">
        <v>2695</v>
      </c>
      <c r="M2704" t="e">
        <f>INDEX(Stammdaten[Abholzigkeit (mm/lfm)],MATCH(Tabelle9[[#This Row],[Rank]],Stammdaten[Rank Verteilung Abholzigkeit],0))</f>
        <v>#N/A</v>
      </c>
      <c r="N2704" t="e">
        <f>VLOOKUP(Tabelle9[[#This Row],[Rank]],Stammdaten[[Rank Verteilung Abholzigkeit]:[Verteilung Abholzigkeit]],2,FALSE)</f>
        <v>#N/A</v>
      </c>
      <c r="S2704">
        <v>2695</v>
      </c>
      <c r="T2704" t="e">
        <f>INDEX(Stammdaten[Krümmung (mm/lfm)],MATCH(Tabelle10[[#This Row],[Rank]],Stammdaten[Rank Verteilung Krümmung],0))</f>
        <v>#N/A</v>
      </c>
      <c r="U2704" t="e">
        <f>VLOOKUP(Tabelle10[[#This Row],[Rank]],Stammdaten[[Rank Verteilung Krümmung]:[Verteilung Krümmung]],2,FALSE)</f>
        <v>#N/A</v>
      </c>
      <c r="Z2704">
        <v>2695</v>
      </c>
      <c r="AA2704" t="e">
        <f>INDEX(Stammdaten[Ovalität (']0,1'])],MATCH(Tabelle1014[[#This Row],[Rank]],Stammdaten[Rank Verteilung Ovalität],0))</f>
        <v>#N/A</v>
      </c>
      <c r="AB2704" t="e">
        <f>VLOOKUP(Tabelle1014[[#This Row],[Rank]],Stammdaten[[Rank Verteilung Ovalität]:[Verteilung Ovalität]],2,FALSE)</f>
        <v>#N/A</v>
      </c>
    </row>
    <row r="2705" spans="5:28" x14ac:dyDescent="0.35">
      <c r="E2705">
        <v>2696</v>
      </c>
      <c r="F2705" t="e">
        <f>INDEX(Stammdaten[D Mitte mit Rinde (mm)],MATCH(Tabelle8[[#This Row],[Rank]],Stammdaten[Rank Verteilung D Mitte mit Rinde],0))</f>
        <v>#N/A</v>
      </c>
      <c r="G2705" t="e">
        <f>VLOOKUP(Tabelle8[[#This Row],[Rank]],Stammdaten[[Rank Verteilung D Mitte mit Rinde]:[Verteilung D Mitte mit Rinde]],2,FALSE)</f>
        <v>#N/A</v>
      </c>
      <c r="L2705">
        <v>2696</v>
      </c>
      <c r="M2705" t="e">
        <f>INDEX(Stammdaten[Abholzigkeit (mm/lfm)],MATCH(Tabelle9[[#This Row],[Rank]],Stammdaten[Rank Verteilung Abholzigkeit],0))</f>
        <v>#N/A</v>
      </c>
      <c r="N2705" t="e">
        <f>VLOOKUP(Tabelle9[[#This Row],[Rank]],Stammdaten[[Rank Verteilung Abholzigkeit]:[Verteilung Abholzigkeit]],2,FALSE)</f>
        <v>#N/A</v>
      </c>
      <c r="S2705">
        <v>2696</v>
      </c>
      <c r="T2705" t="e">
        <f>INDEX(Stammdaten[Krümmung (mm/lfm)],MATCH(Tabelle10[[#This Row],[Rank]],Stammdaten[Rank Verteilung Krümmung],0))</f>
        <v>#N/A</v>
      </c>
      <c r="U2705" t="e">
        <f>VLOOKUP(Tabelle10[[#This Row],[Rank]],Stammdaten[[Rank Verteilung Krümmung]:[Verteilung Krümmung]],2,FALSE)</f>
        <v>#N/A</v>
      </c>
      <c r="Z2705">
        <v>2696</v>
      </c>
      <c r="AA2705" t="e">
        <f>INDEX(Stammdaten[Ovalität (']0,1'])],MATCH(Tabelle1014[[#This Row],[Rank]],Stammdaten[Rank Verteilung Ovalität],0))</f>
        <v>#N/A</v>
      </c>
      <c r="AB2705" t="e">
        <f>VLOOKUP(Tabelle1014[[#This Row],[Rank]],Stammdaten[[Rank Verteilung Ovalität]:[Verteilung Ovalität]],2,FALSE)</f>
        <v>#N/A</v>
      </c>
    </row>
    <row r="2706" spans="5:28" x14ac:dyDescent="0.35">
      <c r="E2706">
        <v>2697</v>
      </c>
      <c r="F2706" t="e">
        <f>INDEX(Stammdaten[D Mitte mit Rinde (mm)],MATCH(Tabelle8[[#This Row],[Rank]],Stammdaten[Rank Verteilung D Mitte mit Rinde],0))</f>
        <v>#N/A</v>
      </c>
      <c r="G2706" t="e">
        <f>VLOOKUP(Tabelle8[[#This Row],[Rank]],Stammdaten[[Rank Verteilung D Mitte mit Rinde]:[Verteilung D Mitte mit Rinde]],2,FALSE)</f>
        <v>#N/A</v>
      </c>
      <c r="L2706">
        <v>2697</v>
      </c>
      <c r="M2706" t="e">
        <f>INDEX(Stammdaten[Abholzigkeit (mm/lfm)],MATCH(Tabelle9[[#This Row],[Rank]],Stammdaten[Rank Verteilung Abholzigkeit],0))</f>
        <v>#N/A</v>
      </c>
      <c r="N2706" t="e">
        <f>VLOOKUP(Tabelle9[[#This Row],[Rank]],Stammdaten[[Rank Verteilung Abholzigkeit]:[Verteilung Abholzigkeit]],2,FALSE)</f>
        <v>#N/A</v>
      </c>
      <c r="S2706">
        <v>2697</v>
      </c>
      <c r="T2706" t="e">
        <f>INDEX(Stammdaten[Krümmung (mm/lfm)],MATCH(Tabelle10[[#This Row],[Rank]],Stammdaten[Rank Verteilung Krümmung],0))</f>
        <v>#N/A</v>
      </c>
      <c r="U2706" t="e">
        <f>VLOOKUP(Tabelle10[[#This Row],[Rank]],Stammdaten[[Rank Verteilung Krümmung]:[Verteilung Krümmung]],2,FALSE)</f>
        <v>#N/A</v>
      </c>
      <c r="Z2706">
        <v>2697</v>
      </c>
      <c r="AA2706" t="e">
        <f>INDEX(Stammdaten[Ovalität (']0,1'])],MATCH(Tabelle1014[[#This Row],[Rank]],Stammdaten[Rank Verteilung Ovalität],0))</f>
        <v>#N/A</v>
      </c>
      <c r="AB2706" t="e">
        <f>VLOOKUP(Tabelle1014[[#This Row],[Rank]],Stammdaten[[Rank Verteilung Ovalität]:[Verteilung Ovalität]],2,FALSE)</f>
        <v>#N/A</v>
      </c>
    </row>
    <row r="2707" spans="5:28" x14ac:dyDescent="0.35">
      <c r="E2707">
        <v>2698</v>
      </c>
      <c r="F2707" t="e">
        <f>INDEX(Stammdaten[D Mitte mit Rinde (mm)],MATCH(Tabelle8[[#This Row],[Rank]],Stammdaten[Rank Verteilung D Mitte mit Rinde],0))</f>
        <v>#N/A</v>
      </c>
      <c r="G2707" t="e">
        <f>VLOOKUP(Tabelle8[[#This Row],[Rank]],Stammdaten[[Rank Verteilung D Mitte mit Rinde]:[Verteilung D Mitte mit Rinde]],2,FALSE)</f>
        <v>#N/A</v>
      </c>
      <c r="L2707">
        <v>2698</v>
      </c>
      <c r="M2707" t="e">
        <f>INDEX(Stammdaten[Abholzigkeit (mm/lfm)],MATCH(Tabelle9[[#This Row],[Rank]],Stammdaten[Rank Verteilung Abholzigkeit],0))</f>
        <v>#N/A</v>
      </c>
      <c r="N2707" t="e">
        <f>VLOOKUP(Tabelle9[[#This Row],[Rank]],Stammdaten[[Rank Verteilung Abholzigkeit]:[Verteilung Abholzigkeit]],2,FALSE)</f>
        <v>#N/A</v>
      </c>
      <c r="S2707">
        <v>2698</v>
      </c>
      <c r="T2707" t="e">
        <f>INDEX(Stammdaten[Krümmung (mm/lfm)],MATCH(Tabelle10[[#This Row],[Rank]],Stammdaten[Rank Verteilung Krümmung],0))</f>
        <v>#N/A</v>
      </c>
      <c r="U2707" t="e">
        <f>VLOOKUP(Tabelle10[[#This Row],[Rank]],Stammdaten[[Rank Verteilung Krümmung]:[Verteilung Krümmung]],2,FALSE)</f>
        <v>#N/A</v>
      </c>
      <c r="Z2707">
        <v>2698</v>
      </c>
      <c r="AA2707" t="e">
        <f>INDEX(Stammdaten[Ovalität (']0,1'])],MATCH(Tabelle1014[[#This Row],[Rank]],Stammdaten[Rank Verteilung Ovalität],0))</f>
        <v>#N/A</v>
      </c>
      <c r="AB2707" t="e">
        <f>VLOOKUP(Tabelle1014[[#This Row],[Rank]],Stammdaten[[Rank Verteilung Ovalität]:[Verteilung Ovalität]],2,FALSE)</f>
        <v>#N/A</v>
      </c>
    </row>
    <row r="2708" spans="5:28" x14ac:dyDescent="0.35">
      <c r="E2708">
        <v>2699</v>
      </c>
      <c r="F2708" t="e">
        <f>INDEX(Stammdaten[D Mitte mit Rinde (mm)],MATCH(Tabelle8[[#This Row],[Rank]],Stammdaten[Rank Verteilung D Mitte mit Rinde],0))</f>
        <v>#N/A</v>
      </c>
      <c r="G2708" t="e">
        <f>VLOOKUP(Tabelle8[[#This Row],[Rank]],Stammdaten[[Rank Verteilung D Mitte mit Rinde]:[Verteilung D Mitte mit Rinde]],2,FALSE)</f>
        <v>#N/A</v>
      </c>
      <c r="L2708">
        <v>2699</v>
      </c>
      <c r="M2708" t="e">
        <f>INDEX(Stammdaten[Abholzigkeit (mm/lfm)],MATCH(Tabelle9[[#This Row],[Rank]],Stammdaten[Rank Verteilung Abholzigkeit],0))</f>
        <v>#N/A</v>
      </c>
      <c r="N2708" t="e">
        <f>VLOOKUP(Tabelle9[[#This Row],[Rank]],Stammdaten[[Rank Verteilung Abholzigkeit]:[Verteilung Abholzigkeit]],2,FALSE)</f>
        <v>#N/A</v>
      </c>
      <c r="S2708">
        <v>2699</v>
      </c>
      <c r="T2708" t="e">
        <f>INDEX(Stammdaten[Krümmung (mm/lfm)],MATCH(Tabelle10[[#This Row],[Rank]],Stammdaten[Rank Verteilung Krümmung],0))</f>
        <v>#N/A</v>
      </c>
      <c r="U2708" t="e">
        <f>VLOOKUP(Tabelle10[[#This Row],[Rank]],Stammdaten[[Rank Verteilung Krümmung]:[Verteilung Krümmung]],2,FALSE)</f>
        <v>#N/A</v>
      </c>
      <c r="Z2708">
        <v>2699</v>
      </c>
      <c r="AA2708" t="e">
        <f>INDEX(Stammdaten[Ovalität (']0,1'])],MATCH(Tabelle1014[[#This Row],[Rank]],Stammdaten[Rank Verteilung Ovalität],0))</f>
        <v>#N/A</v>
      </c>
      <c r="AB2708" t="e">
        <f>VLOOKUP(Tabelle1014[[#This Row],[Rank]],Stammdaten[[Rank Verteilung Ovalität]:[Verteilung Ovalität]],2,FALSE)</f>
        <v>#N/A</v>
      </c>
    </row>
    <row r="2709" spans="5:28" x14ac:dyDescent="0.35">
      <c r="E2709">
        <v>2700</v>
      </c>
      <c r="F2709" t="e">
        <f>INDEX(Stammdaten[D Mitte mit Rinde (mm)],MATCH(Tabelle8[[#This Row],[Rank]],Stammdaten[Rank Verteilung D Mitte mit Rinde],0))</f>
        <v>#N/A</v>
      </c>
      <c r="G2709" t="e">
        <f>VLOOKUP(Tabelle8[[#This Row],[Rank]],Stammdaten[[Rank Verteilung D Mitte mit Rinde]:[Verteilung D Mitte mit Rinde]],2,FALSE)</f>
        <v>#N/A</v>
      </c>
      <c r="L2709">
        <v>2700</v>
      </c>
      <c r="M2709" t="e">
        <f>INDEX(Stammdaten[Abholzigkeit (mm/lfm)],MATCH(Tabelle9[[#This Row],[Rank]],Stammdaten[Rank Verteilung Abholzigkeit],0))</f>
        <v>#N/A</v>
      </c>
      <c r="N2709" t="e">
        <f>VLOOKUP(Tabelle9[[#This Row],[Rank]],Stammdaten[[Rank Verteilung Abholzigkeit]:[Verteilung Abholzigkeit]],2,FALSE)</f>
        <v>#N/A</v>
      </c>
      <c r="S2709">
        <v>2700</v>
      </c>
      <c r="T2709" t="e">
        <f>INDEX(Stammdaten[Krümmung (mm/lfm)],MATCH(Tabelle10[[#This Row],[Rank]],Stammdaten[Rank Verteilung Krümmung],0))</f>
        <v>#N/A</v>
      </c>
      <c r="U2709" t="e">
        <f>VLOOKUP(Tabelle10[[#This Row],[Rank]],Stammdaten[[Rank Verteilung Krümmung]:[Verteilung Krümmung]],2,FALSE)</f>
        <v>#N/A</v>
      </c>
      <c r="Z2709">
        <v>2700</v>
      </c>
      <c r="AA2709" t="e">
        <f>INDEX(Stammdaten[Ovalität (']0,1'])],MATCH(Tabelle1014[[#This Row],[Rank]],Stammdaten[Rank Verteilung Ovalität],0))</f>
        <v>#N/A</v>
      </c>
      <c r="AB2709" t="e">
        <f>VLOOKUP(Tabelle1014[[#This Row],[Rank]],Stammdaten[[Rank Verteilung Ovalität]:[Verteilung Ovalität]],2,FALSE)</f>
        <v>#N/A</v>
      </c>
    </row>
    <row r="2710" spans="5:28" x14ac:dyDescent="0.35">
      <c r="E2710">
        <v>2701</v>
      </c>
      <c r="F2710" t="e">
        <f>INDEX(Stammdaten[D Mitte mit Rinde (mm)],MATCH(Tabelle8[[#This Row],[Rank]],Stammdaten[Rank Verteilung D Mitte mit Rinde],0))</f>
        <v>#N/A</v>
      </c>
      <c r="G2710" t="e">
        <f>VLOOKUP(Tabelle8[[#This Row],[Rank]],Stammdaten[[Rank Verteilung D Mitte mit Rinde]:[Verteilung D Mitte mit Rinde]],2,FALSE)</f>
        <v>#N/A</v>
      </c>
      <c r="L2710">
        <v>2701</v>
      </c>
      <c r="M2710" t="e">
        <f>INDEX(Stammdaten[Abholzigkeit (mm/lfm)],MATCH(Tabelle9[[#This Row],[Rank]],Stammdaten[Rank Verteilung Abholzigkeit],0))</f>
        <v>#N/A</v>
      </c>
      <c r="N2710" t="e">
        <f>VLOOKUP(Tabelle9[[#This Row],[Rank]],Stammdaten[[Rank Verteilung Abholzigkeit]:[Verteilung Abholzigkeit]],2,FALSE)</f>
        <v>#N/A</v>
      </c>
      <c r="S2710">
        <v>2701</v>
      </c>
      <c r="T2710" t="e">
        <f>INDEX(Stammdaten[Krümmung (mm/lfm)],MATCH(Tabelle10[[#This Row],[Rank]],Stammdaten[Rank Verteilung Krümmung],0))</f>
        <v>#N/A</v>
      </c>
      <c r="U2710" t="e">
        <f>VLOOKUP(Tabelle10[[#This Row],[Rank]],Stammdaten[[Rank Verteilung Krümmung]:[Verteilung Krümmung]],2,FALSE)</f>
        <v>#N/A</v>
      </c>
      <c r="Z2710">
        <v>2701</v>
      </c>
      <c r="AA2710" t="e">
        <f>INDEX(Stammdaten[Ovalität (']0,1'])],MATCH(Tabelle1014[[#This Row],[Rank]],Stammdaten[Rank Verteilung Ovalität],0))</f>
        <v>#N/A</v>
      </c>
      <c r="AB2710" t="e">
        <f>VLOOKUP(Tabelle1014[[#This Row],[Rank]],Stammdaten[[Rank Verteilung Ovalität]:[Verteilung Ovalität]],2,FALSE)</f>
        <v>#N/A</v>
      </c>
    </row>
    <row r="2711" spans="5:28" x14ac:dyDescent="0.35">
      <c r="E2711">
        <v>2702</v>
      </c>
      <c r="F2711" t="e">
        <f>INDEX(Stammdaten[D Mitte mit Rinde (mm)],MATCH(Tabelle8[[#This Row],[Rank]],Stammdaten[Rank Verteilung D Mitte mit Rinde],0))</f>
        <v>#N/A</v>
      </c>
      <c r="G2711" t="e">
        <f>VLOOKUP(Tabelle8[[#This Row],[Rank]],Stammdaten[[Rank Verteilung D Mitte mit Rinde]:[Verteilung D Mitte mit Rinde]],2,FALSE)</f>
        <v>#N/A</v>
      </c>
      <c r="L2711">
        <v>2702</v>
      </c>
      <c r="M2711" t="e">
        <f>INDEX(Stammdaten[Abholzigkeit (mm/lfm)],MATCH(Tabelle9[[#This Row],[Rank]],Stammdaten[Rank Verteilung Abholzigkeit],0))</f>
        <v>#N/A</v>
      </c>
      <c r="N2711" t="e">
        <f>VLOOKUP(Tabelle9[[#This Row],[Rank]],Stammdaten[[Rank Verteilung Abholzigkeit]:[Verteilung Abholzigkeit]],2,FALSE)</f>
        <v>#N/A</v>
      </c>
      <c r="S2711">
        <v>2702</v>
      </c>
      <c r="T2711" t="e">
        <f>INDEX(Stammdaten[Krümmung (mm/lfm)],MATCH(Tabelle10[[#This Row],[Rank]],Stammdaten[Rank Verteilung Krümmung],0))</f>
        <v>#N/A</v>
      </c>
      <c r="U2711" t="e">
        <f>VLOOKUP(Tabelle10[[#This Row],[Rank]],Stammdaten[[Rank Verteilung Krümmung]:[Verteilung Krümmung]],2,FALSE)</f>
        <v>#N/A</v>
      </c>
      <c r="Z2711">
        <v>2702</v>
      </c>
      <c r="AA2711" t="e">
        <f>INDEX(Stammdaten[Ovalität (']0,1'])],MATCH(Tabelle1014[[#This Row],[Rank]],Stammdaten[Rank Verteilung Ovalität],0))</f>
        <v>#N/A</v>
      </c>
      <c r="AB2711" t="e">
        <f>VLOOKUP(Tabelle1014[[#This Row],[Rank]],Stammdaten[[Rank Verteilung Ovalität]:[Verteilung Ovalität]],2,FALSE)</f>
        <v>#N/A</v>
      </c>
    </row>
    <row r="2712" spans="5:28" x14ac:dyDescent="0.35">
      <c r="E2712">
        <v>2703</v>
      </c>
      <c r="F2712" t="e">
        <f>INDEX(Stammdaten[D Mitte mit Rinde (mm)],MATCH(Tabelle8[[#This Row],[Rank]],Stammdaten[Rank Verteilung D Mitte mit Rinde],0))</f>
        <v>#N/A</v>
      </c>
      <c r="G2712" t="e">
        <f>VLOOKUP(Tabelle8[[#This Row],[Rank]],Stammdaten[[Rank Verteilung D Mitte mit Rinde]:[Verteilung D Mitte mit Rinde]],2,FALSE)</f>
        <v>#N/A</v>
      </c>
      <c r="L2712">
        <v>2703</v>
      </c>
      <c r="M2712" t="e">
        <f>INDEX(Stammdaten[Abholzigkeit (mm/lfm)],MATCH(Tabelle9[[#This Row],[Rank]],Stammdaten[Rank Verteilung Abholzigkeit],0))</f>
        <v>#N/A</v>
      </c>
      <c r="N2712" t="e">
        <f>VLOOKUP(Tabelle9[[#This Row],[Rank]],Stammdaten[[Rank Verteilung Abholzigkeit]:[Verteilung Abholzigkeit]],2,FALSE)</f>
        <v>#N/A</v>
      </c>
      <c r="S2712">
        <v>2703</v>
      </c>
      <c r="T2712" t="e">
        <f>INDEX(Stammdaten[Krümmung (mm/lfm)],MATCH(Tabelle10[[#This Row],[Rank]],Stammdaten[Rank Verteilung Krümmung],0))</f>
        <v>#N/A</v>
      </c>
      <c r="U2712" t="e">
        <f>VLOOKUP(Tabelle10[[#This Row],[Rank]],Stammdaten[[Rank Verteilung Krümmung]:[Verteilung Krümmung]],2,FALSE)</f>
        <v>#N/A</v>
      </c>
      <c r="Z2712">
        <v>2703</v>
      </c>
      <c r="AA2712" t="e">
        <f>INDEX(Stammdaten[Ovalität (']0,1'])],MATCH(Tabelle1014[[#This Row],[Rank]],Stammdaten[Rank Verteilung Ovalität],0))</f>
        <v>#N/A</v>
      </c>
      <c r="AB2712" t="e">
        <f>VLOOKUP(Tabelle1014[[#This Row],[Rank]],Stammdaten[[Rank Verteilung Ovalität]:[Verteilung Ovalität]],2,FALSE)</f>
        <v>#N/A</v>
      </c>
    </row>
    <row r="2713" spans="5:28" x14ac:dyDescent="0.35">
      <c r="E2713">
        <v>2704</v>
      </c>
      <c r="F2713" t="e">
        <f>INDEX(Stammdaten[D Mitte mit Rinde (mm)],MATCH(Tabelle8[[#This Row],[Rank]],Stammdaten[Rank Verteilung D Mitte mit Rinde],0))</f>
        <v>#N/A</v>
      </c>
      <c r="G2713" t="e">
        <f>VLOOKUP(Tabelle8[[#This Row],[Rank]],Stammdaten[[Rank Verteilung D Mitte mit Rinde]:[Verteilung D Mitte mit Rinde]],2,FALSE)</f>
        <v>#N/A</v>
      </c>
      <c r="L2713">
        <v>2704</v>
      </c>
      <c r="M2713" t="e">
        <f>INDEX(Stammdaten[Abholzigkeit (mm/lfm)],MATCH(Tabelle9[[#This Row],[Rank]],Stammdaten[Rank Verteilung Abholzigkeit],0))</f>
        <v>#N/A</v>
      </c>
      <c r="N2713" t="e">
        <f>VLOOKUP(Tabelle9[[#This Row],[Rank]],Stammdaten[[Rank Verteilung Abholzigkeit]:[Verteilung Abholzigkeit]],2,FALSE)</f>
        <v>#N/A</v>
      </c>
      <c r="S2713">
        <v>2704</v>
      </c>
      <c r="T2713" t="e">
        <f>INDEX(Stammdaten[Krümmung (mm/lfm)],MATCH(Tabelle10[[#This Row],[Rank]],Stammdaten[Rank Verteilung Krümmung],0))</f>
        <v>#N/A</v>
      </c>
      <c r="U2713" t="e">
        <f>VLOOKUP(Tabelle10[[#This Row],[Rank]],Stammdaten[[Rank Verteilung Krümmung]:[Verteilung Krümmung]],2,FALSE)</f>
        <v>#N/A</v>
      </c>
      <c r="Z2713">
        <v>2704</v>
      </c>
      <c r="AA2713" t="e">
        <f>INDEX(Stammdaten[Ovalität (']0,1'])],MATCH(Tabelle1014[[#This Row],[Rank]],Stammdaten[Rank Verteilung Ovalität],0))</f>
        <v>#N/A</v>
      </c>
      <c r="AB2713" t="e">
        <f>VLOOKUP(Tabelle1014[[#This Row],[Rank]],Stammdaten[[Rank Verteilung Ovalität]:[Verteilung Ovalität]],2,FALSE)</f>
        <v>#N/A</v>
      </c>
    </row>
    <row r="2714" spans="5:28" x14ac:dyDescent="0.35">
      <c r="E2714">
        <v>2705</v>
      </c>
      <c r="F2714" t="e">
        <f>INDEX(Stammdaten[D Mitte mit Rinde (mm)],MATCH(Tabelle8[[#This Row],[Rank]],Stammdaten[Rank Verteilung D Mitte mit Rinde],0))</f>
        <v>#N/A</v>
      </c>
      <c r="G2714" t="e">
        <f>VLOOKUP(Tabelle8[[#This Row],[Rank]],Stammdaten[[Rank Verteilung D Mitte mit Rinde]:[Verteilung D Mitte mit Rinde]],2,FALSE)</f>
        <v>#N/A</v>
      </c>
      <c r="L2714">
        <v>2705</v>
      </c>
      <c r="M2714" t="e">
        <f>INDEX(Stammdaten[Abholzigkeit (mm/lfm)],MATCH(Tabelle9[[#This Row],[Rank]],Stammdaten[Rank Verteilung Abholzigkeit],0))</f>
        <v>#N/A</v>
      </c>
      <c r="N2714" t="e">
        <f>VLOOKUP(Tabelle9[[#This Row],[Rank]],Stammdaten[[Rank Verteilung Abholzigkeit]:[Verteilung Abholzigkeit]],2,FALSE)</f>
        <v>#N/A</v>
      </c>
      <c r="S2714">
        <v>2705</v>
      </c>
      <c r="T2714" t="e">
        <f>INDEX(Stammdaten[Krümmung (mm/lfm)],MATCH(Tabelle10[[#This Row],[Rank]],Stammdaten[Rank Verteilung Krümmung],0))</f>
        <v>#N/A</v>
      </c>
      <c r="U2714" t="e">
        <f>VLOOKUP(Tabelle10[[#This Row],[Rank]],Stammdaten[[Rank Verteilung Krümmung]:[Verteilung Krümmung]],2,FALSE)</f>
        <v>#N/A</v>
      </c>
      <c r="Z2714">
        <v>2705</v>
      </c>
      <c r="AA2714" t="e">
        <f>INDEX(Stammdaten[Ovalität (']0,1'])],MATCH(Tabelle1014[[#This Row],[Rank]],Stammdaten[Rank Verteilung Ovalität],0))</f>
        <v>#N/A</v>
      </c>
      <c r="AB2714" t="e">
        <f>VLOOKUP(Tabelle1014[[#This Row],[Rank]],Stammdaten[[Rank Verteilung Ovalität]:[Verteilung Ovalität]],2,FALSE)</f>
        <v>#N/A</v>
      </c>
    </row>
    <row r="2715" spans="5:28" x14ac:dyDescent="0.35">
      <c r="E2715">
        <v>2706</v>
      </c>
      <c r="F2715" t="e">
        <f>INDEX(Stammdaten[D Mitte mit Rinde (mm)],MATCH(Tabelle8[[#This Row],[Rank]],Stammdaten[Rank Verteilung D Mitte mit Rinde],0))</f>
        <v>#N/A</v>
      </c>
      <c r="G2715" t="e">
        <f>VLOOKUP(Tabelle8[[#This Row],[Rank]],Stammdaten[[Rank Verteilung D Mitte mit Rinde]:[Verteilung D Mitte mit Rinde]],2,FALSE)</f>
        <v>#N/A</v>
      </c>
      <c r="L2715">
        <v>2706</v>
      </c>
      <c r="M2715" t="e">
        <f>INDEX(Stammdaten[Abholzigkeit (mm/lfm)],MATCH(Tabelle9[[#This Row],[Rank]],Stammdaten[Rank Verteilung Abholzigkeit],0))</f>
        <v>#N/A</v>
      </c>
      <c r="N2715" t="e">
        <f>VLOOKUP(Tabelle9[[#This Row],[Rank]],Stammdaten[[Rank Verteilung Abholzigkeit]:[Verteilung Abholzigkeit]],2,FALSE)</f>
        <v>#N/A</v>
      </c>
      <c r="S2715">
        <v>2706</v>
      </c>
      <c r="T2715" t="e">
        <f>INDEX(Stammdaten[Krümmung (mm/lfm)],MATCH(Tabelle10[[#This Row],[Rank]],Stammdaten[Rank Verteilung Krümmung],0))</f>
        <v>#N/A</v>
      </c>
      <c r="U2715" t="e">
        <f>VLOOKUP(Tabelle10[[#This Row],[Rank]],Stammdaten[[Rank Verteilung Krümmung]:[Verteilung Krümmung]],2,FALSE)</f>
        <v>#N/A</v>
      </c>
      <c r="Z2715">
        <v>2706</v>
      </c>
      <c r="AA2715" t="e">
        <f>INDEX(Stammdaten[Ovalität (']0,1'])],MATCH(Tabelle1014[[#This Row],[Rank]],Stammdaten[Rank Verteilung Ovalität],0))</f>
        <v>#N/A</v>
      </c>
      <c r="AB2715" t="e">
        <f>VLOOKUP(Tabelle1014[[#This Row],[Rank]],Stammdaten[[Rank Verteilung Ovalität]:[Verteilung Ovalität]],2,FALSE)</f>
        <v>#N/A</v>
      </c>
    </row>
    <row r="2716" spans="5:28" x14ac:dyDescent="0.35">
      <c r="E2716">
        <v>2707</v>
      </c>
      <c r="F2716" t="e">
        <f>INDEX(Stammdaten[D Mitte mit Rinde (mm)],MATCH(Tabelle8[[#This Row],[Rank]],Stammdaten[Rank Verteilung D Mitte mit Rinde],0))</f>
        <v>#N/A</v>
      </c>
      <c r="G2716" t="e">
        <f>VLOOKUP(Tabelle8[[#This Row],[Rank]],Stammdaten[[Rank Verteilung D Mitte mit Rinde]:[Verteilung D Mitte mit Rinde]],2,FALSE)</f>
        <v>#N/A</v>
      </c>
      <c r="L2716">
        <v>2707</v>
      </c>
      <c r="M2716" t="e">
        <f>INDEX(Stammdaten[Abholzigkeit (mm/lfm)],MATCH(Tabelle9[[#This Row],[Rank]],Stammdaten[Rank Verteilung Abholzigkeit],0))</f>
        <v>#N/A</v>
      </c>
      <c r="N2716" t="e">
        <f>VLOOKUP(Tabelle9[[#This Row],[Rank]],Stammdaten[[Rank Verteilung Abholzigkeit]:[Verteilung Abholzigkeit]],2,FALSE)</f>
        <v>#N/A</v>
      </c>
      <c r="S2716">
        <v>2707</v>
      </c>
      <c r="T2716" t="e">
        <f>INDEX(Stammdaten[Krümmung (mm/lfm)],MATCH(Tabelle10[[#This Row],[Rank]],Stammdaten[Rank Verteilung Krümmung],0))</f>
        <v>#N/A</v>
      </c>
      <c r="U2716" t="e">
        <f>VLOOKUP(Tabelle10[[#This Row],[Rank]],Stammdaten[[Rank Verteilung Krümmung]:[Verteilung Krümmung]],2,FALSE)</f>
        <v>#N/A</v>
      </c>
      <c r="Z2716">
        <v>2707</v>
      </c>
      <c r="AA2716" t="e">
        <f>INDEX(Stammdaten[Ovalität (']0,1'])],MATCH(Tabelle1014[[#This Row],[Rank]],Stammdaten[Rank Verteilung Ovalität],0))</f>
        <v>#N/A</v>
      </c>
      <c r="AB2716" t="e">
        <f>VLOOKUP(Tabelle1014[[#This Row],[Rank]],Stammdaten[[Rank Verteilung Ovalität]:[Verteilung Ovalität]],2,FALSE)</f>
        <v>#N/A</v>
      </c>
    </row>
    <row r="2717" spans="5:28" x14ac:dyDescent="0.35">
      <c r="E2717">
        <v>2708</v>
      </c>
      <c r="F2717" t="e">
        <f>INDEX(Stammdaten[D Mitte mit Rinde (mm)],MATCH(Tabelle8[[#This Row],[Rank]],Stammdaten[Rank Verteilung D Mitte mit Rinde],0))</f>
        <v>#N/A</v>
      </c>
      <c r="G2717" t="e">
        <f>VLOOKUP(Tabelle8[[#This Row],[Rank]],Stammdaten[[Rank Verteilung D Mitte mit Rinde]:[Verteilung D Mitte mit Rinde]],2,FALSE)</f>
        <v>#N/A</v>
      </c>
      <c r="L2717">
        <v>2708</v>
      </c>
      <c r="M2717" t="e">
        <f>INDEX(Stammdaten[Abholzigkeit (mm/lfm)],MATCH(Tabelle9[[#This Row],[Rank]],Stammdaten[Rank Verteilung Abholzigkeit],0))</f>
        <v>#N/A</v>
      </c>
      <c r="N2717" t="e">
        <f>VLOOKUP(Tabelle9[[#This Row],[Rank]],Stammdaten[[Rank Verteilung Abholzigkeit]:[Verteilung Abholzigkeit]],2,FALSE)</f>
        <v>#N/A</v>
      </c>
      <c r="S2717">
        <v>2708</v>
      </c>
      <c r="T2717" t="e">
        <f>INDEX(Stammdaten[Krümmung (mm/lfm)],MATCH(Tabelle10[[#This Row],[Rank]],Stammdaten[Rank Verteilung Krümmung],0))</f>
        <v>#N/A</v>
      </c>
      <c r="U2717" t="e">
        <f>VLOOKUP(Tabelle10[[#This Row],[Rank]],Stammdaten[[Rank Verteilung Krümmung]:[Verteilung Krümmung]],2,FALSE)</f>
        <v>#N/A</v>
      </c>
      <c r="Z2717">
        <v>2708</v>
      </c>
      <c r="AA2717" t="e">
        <f>INDEX(Stammdaten[Ovalität (']0,1'])],MATCH(Tabelle1014[[#This Row],[Rank]],Stammdaten[Rank Verteilung Ovalität],0))</f>
        <v>#N/A</v>
      </c>
      <c r="AB2717" t="e">
        <f>VLOOKUP(Tabelle1014[[#This Row],[Rank]],Stammdaten[[Rank Verteilung Ovalität]:[Verteilung Ovalität]],2,FALSE)</f>
        <v>#N/A</v>
      </c>
    </row>
    <row r="2718" spans="5:28" x14ac:dyDescent="0.35">
      <c r="E2718">
        <v>2709</v>
      </c>
      <c r="F2718" t="e">
        <f>INDEX(Stammdaten[D Mitte mit Rinde (mm)],MATCH(Tabelle8[[#This Row],[Rank]],Stammdaten[Rank Verteilung D Mitte mit Rinde],0))</f>
        <v>#N/A</v>
      </c>
      <c r="G2718" t="e">
        <f>VLOOKUP(Tabelle8[[#This Row],[Rank]],Stammdaten[[Rank Verteilung D Mitte mit Rinde]:[Verteilung D Mitte mit Rinde]],2,FALSE)</f>
        <v>#N/A</v>
      </c>
      <c r="L2718">
        <v>2709</v>
      </c>
      <c r="M2718" t="e">
        <f>INDEX(Stammdaten[Abholzigkeit (mm/lfm)],MATCH(Tabelle9[[#This Row],[Rank]],Stammdaten[Rank Verteilung Abholzigkeit],0))</f>
        <v>#N/A</v>
      </c>
      <c r="N2718" t="e">
        <f>VLOOKUP(Tabelle9[[#This Row],[Rank]],Stammdaten[[Rank Verteilung Abholzigkeit]:[Verteilung Abholzigkeit]],2,FALSE)</f>
        <v>#N/A</v>
      </c>
      <c r="S2718">
        <v>2709</v>
      </c>
      <c r="T2718" t="e">
        <f>INDEX(Stammdaten[Krümmung (mm/lfm)],MATCH(Tabelle10[[#This Row],[Rank]],Stammdaten[Rank Verteilung Krümmung],0))</f>
        <v>#N/A</v>
      </c>
      <c r="U2718" t="e">
        <f>VLOOKUP(Tabelle10[[#This Row],[Rank]],Stammdaten[[Rank Verteilung Krümmung]:[Verteilung Krümmung]],2,FALSE)</f>
        <v>#N/A</v>
      </c>
      <c r="Z2718">
        <v>2709</v>
      </c>
      <c r="AA2718" t="e">
        <f>INDEX(Stammdaten[Ovalität (']0,1'])],MATCH(Tabelle1014[[#This Row],[Rank]],Stammdaten[Rank Verteilung Ovalität],0))</f>
        <v>#N/A</v>
      </c>
      <c r="AB2718" t="e">
        <f>VLOOKUP(Tabelle1014[[#This Row],[Rank]],Stammdaten[[Rank Verteilung Ovalität]:[Verteilung Ovalität]],2,FALSE)</f>
        <v>#N/A</v>
      </c>
    </row>
    <row r="2719" spans="5:28" x14ac:dyDescent="0.35">
      <c r="E2719">
        <v>2710</v>
      </c>
      <c r="F2719" t="e">
        <f>INDEX(Stammdaten[D Mitte mit Rinde (mm)],MATCH(Tabelle8[[#This Row],[Rank]],Stammdaten[Rank Verteilung D Mitte mit Rinde],0))</f>
        <v>#N/A</v>
      </c>
      <c r="G2719" t="e">
        <f>VLOOKUP(Tabelle8[[#This Row],[Rank]],Stammdaten[[Rank Verteilung D Mitte mit Rinde]:[Verteilung D Mitte mit Rinde]],2,FALSE)</f>
        <v>#N/A</v>
      </c>
      <c r="L2719">
        <v>2710</v>
      </c>
      <c r="M2719" t="e">
        <f>INDEX(Stammdaten[Abholzigkeit (mm/lfm)],MATCH(Tabelle9[[#This Row],[Rank]],Stammdaten[Rank Verteilung Abholzigkeit],0))</f>
        <v>#N/A</v>
      </c>
      <c r="N2719" t="e">
        <f>VLOOKUP(Tabelle9[[#This Row],[Rank]],Stammdaten[[Rank Verteilung Abholzigkeit]:[Verteilung Abholzigkeit]],2,FALSE)</f>
        <v>#N/A</v>
      </c>
      <c r="S2719">
        <v>2710</v>
      </c>
      <c r="T2719" t="e">
        <f>INDEX(Stammdaten[Krümmung (mm/lfm)],MATCH(Tabelle10[[#This Row],[Rank]],Stammdaten[Rank Verteilung Krümmung],0))</f>
        <v>#N/A</v>
      </c>
      <c r="U2719" t="e">
        <f>VLOOKUP(Tabelle10[[#This Row],[Rank]],Stammdaten[[Rank Verteilung Krümmung]:[Verteilung Krümmung]],2,FALSE)</f>
        <v>#N/A</v>
      </c>
      <c r="Z2719">
        <v>2710</v>
      </c>
      <c r="AA2719" t="e">
        <f>INDEX(Stammdaten[Ovalität (']0,1'])],MATCH(Tabelle1014[[#This Row],[Rank]],Stammdaten[Rank Verteilung Ovalität],0))</f>
        <v>#N/A</v>
      </c>
      <c r="AB2719" t="e">
        <f>VLOOKUP(Tabelle1014[[#This Row],[Rank]],Stammdaten[[Rank Verteilung Ovalität]:[Verteilung Ovalität]],2,FALSE)</f>
        <v>#N/A</v>
      </c>
    </row>
    <row r="2720" spans="5:28" x14ac:dyDescent="0.35">
      <c r="E2720">
        <v>2711</v>
      </c>
      <c r="F2720" t="e">
        <f>INDEX(Stammdaten[D Mitte mit Rinde (mm)],MATCH(Tabelle8[[#This Row],[Rank]],Stammdaten[Rank Verteilung D Mitte mit Rinde],0))</f>
        <v>#N/A</v>
      </c>
      <c r="G2720" t="e">
        <f>VLOOKUP(Tabelle8[[#This Row],[Rank]],Stammdaten[[Rank Verteilung D Mitte mit Rinde]:[Verteilung D Mitte mit Rinde]],2,FALSE)</f>
        <v>#N/A</v>
      </c>
      <c r="L2720">
        <v>2711</v>
      </c>
      <c r="M2720" t="e">
        <f>INDEX(Stammdaten[Abholzigkeit (mm/lfm)],MATCH(Tabelle9[[#This Row],[Rank]],Stammdaten[Rank Verteilung Abholzigkeit],0))</f>
        <v>#N/A</v>
      </c>
      <c r="N2720" t="e">
        <f>VLOOKUP(Tabelle9[[#This Row],[Rank]],Stammdaten[[Rank Verteilung Abholzigkeit]:[Verteilung Abholzigkeit]],2,FALSE)</f>
        <v>#N/A</v>
      </c>
      <c r="S2720">
        <v>2711</v>
      </c>
      <c r="T2720" t="e">
        <f>INDEX(Stammdaten[Krümmung (mm/lfm)],MATCH(Tabelle10[[#This Row],[Rank]],Stammdaten[Rank Verteilung Krümmung],0))</f>
        <v>#N/A</v>
      </c>
      <c r="U2720" t="e">
        <f>VLOOKUP(Tabelle10[[#This Row],[Rank]],Stammdaten[[Rank Verteilung Krümmung]:[Verteilung Krümmung]],2,FALSE)</f>
        <v>#N/A</v>
      </c>
      <c r="Z2720">
        <v>2711</v>
      </c>
      <c r="AA2720" t="e">
        <f>INDEX(Stammdaten[Ovalität (']0,1'])],MATCH(Tabelle1014[[#This Row],[Rank]],Stammdaten[Rank Verteilung Ovalität],0))</f>
        <v>#N/A</v>
      </c>
      <c r="AB2720" t="e">
        <f>VLOOKUP(Tabelle1014[[#This Row],[Rank]],Stammdaten[[Rank Verteilung Ovalität]:[Verteilung Ovalität]],2,FALSE)</f>
        <v>#N/A</v>
      </c>
    </row>
    <row r="2721" spans="5:28" x14ac:dyDescent="0.35">
      <c r="E2721">
        <v>2712</v>
      </c>
      <c r="F2721" t="e">
        <f>INDEX(Stammdaten[D Mitte mit Rinde (mm)],MATCH(Tabelle8[[#This Row],[Rank]],Stammdaten[Rank Verteilung D Mitte mit Rinde],0))</f>
        <v>#N/A</v>
      </c>
      <c r="G2721" t="e">
        <f>VLOOKUP(Tabelle8[[#This Row],[Rank]],Stammdaten[[Rank Verteilung D Mitte mit Rinde]:[Verteilung D Mitte mit Rinde]],2,FALSE)</f>
        <v>#N/A</v>
      </c>
      <c r="L2721">
        <v>2712</v>
      </c>
      <c r="M2721" t="e">
        <f>INDEX(Stammdaten[Abholzigkeit (mm/lfm)],MATCH(Tabelle9[[#This Row],[Rank]],Stammdaten[Rank Verteilung Abholzigkeit],0))</f>
        <v>#N/A</v>
      </c>
      <c r="N2721" t="e">
        <f>VLOOKUP(Tabelle9[[#This Row],[Rank]],Stammdaten[[Rank Verteilung Abholzigkeit]:[Verteilung Abholzigkeit]],2,FALSE)</f>
        <v>#N/A</v>
      </c>
      <c r="S2721">
        <v>2712</v>
      </c>
      <c r="T2721" t="e">
        <f>INDEX(Stammdaten[Krümmung (mm/lfm)],MATCH(Tabelle10[[#This Row],[Rank]],Stammdaten[Rank Verteilung Krümmung],0))</f>
        <v>#N/A</v>
      </c>
      <c r="U2721" t="e">
        <f>VLOOKUP(Tabelle10[[#This Row],[Rank]],Stammdaten[[Rank Verteilung Krümmung]:[Verteilung Krümmung]],2,FALSE)</f>
        <v>#N/A</v>
      </c>
      <c r="Z2721">
        <v>2712</v>
      </c>
      <c r="AA2721" t="e">
        <f>INDEX(Stammdaten[Ovalität (']0,1'])],MATCH(Tabelle1014[[#This Row],[Rank]],Stammdaten[Rank Verteilung Ovalität],0))</f>
        <v>#N/A</v>
      </c>
      <c r="AB2721" t="e">
        <f>VLOOKUP(Tabelle1014[[#This Row],[Rank]],Stammdaten[[Rank Verteilung Ovalität]:[Verteilung Ovalität]],2,FALSE)</f>
        <v>#N/A</v>
      </c>
    </row>
    <row r="2722" spans="5:28" x14ac:dyDescent="0.35">
      <c r="E2722">
        <v>2713</v>
      </c>
      <c r="F2722" t="e">
        <f>INDEX(Stammdaten[D Mitte mit Rinde (mm)],MATCH(Tabelle8[[#This Row],[Rank]],Stammdaten[Rank Verteilung D Mitte mit Rinde],0))</f>
        <v>#N/A</v>
      </c>
      <c r="G2722" t="e">
        <f>VLOOKUP(Tabelle8[[#This Row],[Rank]],Stammdaten[[Rank Verteilung D Mitte mit Rinde]:[Verteilung D Mitte mit Rinde]],2,FALSE)</f>
        <v>#N/A</v>
      </c>
      <c r="L2722">
        <v>2713</v>
      </c>
      <c r="M2722" t="e">
        <f>INDEX(Stammdaten[Abholzigkeit (mm/lfm)],MATCH(Tabelle9[[#This Row],[Rank]],Stammdaten[Rank Verteilung Abholzigkeit],0))</f>
        <v>#N/A</v>
      </c>
      <c r="N2722" t="e">
        <f>VLOOKUP(Tabelle9[[#This Row],[Rank]],Stammdaten[[Rank Verteilung Abholzigkeit]:[Verteilung Abholzigkeit]],2,FALSE)</f>
        <v>#N/A</v>
      </c>
      <c r="S2722">
        <v>2713</v>
      </c>
      <c r="T2722" t="e">
        <f>INDEX(Stammdaten[Krümmung (mm/lfm)],MATCH(Tabelle10[[#This Row],[Rank]],Stammdaten[Rank Verteilung Krümmung],0))</f>
        <v>#N/A</v>
      </c>
      <c r="U2722" t="e">
        <f>VLOOKUP(Tabelle10[[#This Row],[Rank]],Stammdaten[[Rank Verteilung Krümmung]:[Verteilung Krümmung]],2,FALSE)</f>
        <v>#N/A</v>
      </c>
      <c r="Z2722">
        <v>2713</v>
      </c>
      <c r="AA2722" t="e">
        <f>INDEX(Stammdaten[Ovalität (']0,1'])],MATCH(Tabelle1014[[#This Row],[Rank]],Stammdaten[Rank Verteilung Ovalität],0))</f>
        <v>#N/A</v>
      </c>
      <c r="AB2722" t="e">
        <f>VLOOKUP(Tabelle1014[[#This Row],[Rank]],Stammdaten[[Rank Verteilung Ovalität]:[Verteilung Ovalität]],2,FALSE)</f>
        <v>#N/A</v>
      </c>
    </row>
    <row r="2723" spans="5:28" x14ac:dyDescent="0.35">
      <c r="E2723">
        <v>2714</v>
      </c>
      <c r="F2723" t="e">
        <f>INDEX(Stammdaten[D Mitte mit Rinde (mm)],MATCH(Tabelle8[[#This Row],[Rank]],Stammdaten[Rank Verteilung D Mitte mit Rinde],0))</f>
        <v>#N/A</v>
      </c>
      <c r="G2723" t="e">
        <f>VLOOKUP(Tabelle8[[#This Row],[Rank]],Stammdaten[[Rank Verteilung D Mitte mit Rinde]:[Verteilung D Mitte mit Rinde]],2,FALSE)</f>
        <v>#N/A</v>
      </c>
      <c r="L2723">
        <v>2714</v>
      </c>
      <c r="M2723" t="e">
        <f>INDEX(Stammdaten[Abholzigkeit (mm/lfm)],MATCH(Tabelle9[[#This Row],[Rank]],Stammdaten[Rank Verteilung Abholzigkeit],0))</f>
        <v>#N/A</v>
      </c>
      <c r="N2723" t="e">
        <f>VLOOKUP(Tabelle9[[#This Row],[Rank]],Stammdaten[[Rank Verteilung Abholzigkeit]:[Verteilung Abholzigkeit]],2,FALSE)</f>
        <v>#N/A</v>
      </c>
      <c r="S2723">
        <v>2714</v>
      </c>
      <c r="T2723" t="e">
        <f>INDEX(Stammdaten[Krümmung (mm/lfm)],MATCH(Tabelle10[[#This Row],[Rank]],Stammdaten[Rank Verteilung Krümmung],0))</f>
        <v>#N/A</v>
      </c>
      <c r="U2723" t="e">
        <f>VLOOKUP(Tabelle10[[#This Row],[Rank]],Stammdaten[[Rank Verteilung Krümmung]:[Verteilung Krümmung]],2,FALSE)</f>
        <v>#N/A</v>
      </c>
      <c r="Z2723">
        <v>2714</v>
      </c>
      <c r="AA2723" t="e">
        <f>INDEX(Stammdaten[Ovalität (']0,1'])],MATCH(Tabelle1014[[#This Row],[Rank]],Stammdaten[Rank Verteilung Ovalität],0))</f>
        <v>#N/A</v>
      </c>
      <c r="AB2723" t="e">
        <f>VLOOKUP(Tabelle1014[[#This Row],[Rank]],Stammdaten[[Rank Verteilung Ovalität]:[Verteilung Ovalität]],2,FALSE)</f>
        <v>#N/A</v>
      </c>
    </row>
    <row r="2724" spans="5:28" x14ac:dyDescent="0.35">
      <c r="E2724">
        <v>2715</v>
      </c>
      <c r="F2724" t="e">
        <f>INDEX(Stammdaten[D Mitte mit Rinde (mm)],MATCH(Tabelle8[[#This Row],[Rank]],Stammdaten[Rank Verteilung D Mitte mit Rinde],0))</f>
        <v>#N/A</v>
      </c>
      <c r="G2724" t="e">
        <f>VLOOKUP(Tabelle8[[#This Row],[Rank]],Stammdaten[[Rank Verteilung D Mitte mit Rinde]:[Verteilung D Mitte mit Rinde]],2,FALSE)</f>
        <v>#N/A</v>
      </c>
      <c r="L2724">
        <v>2715</v>
      </c>
      <c r="M2724" t="e">
        <f>INDEX(Stammdaten[Abholzigkeit (mm/lfm)],MATCH(Tabelle9[[#This Row],[Rank]],Stammdaten[Rank Verteilung Abholzigkeit],0))</f>
        <v>#N/A</v>
      </c>
      <c r="N2724" t="e">
        <f>VLOOKUP(Tabelle9[[#This Row],[Rank]],Stammdaten[[Rank Verteilung Abholzigkeit]:[Verteilung Abholzigkeit]],2,FALSE)</f>
        <v>#N/A</v>
      </c>
      <c r="S2724">
        <v>2715</v>
      </c>
      <c r="T2724" t="e">
        <f>INDEX(Stammdaten[Krümmung (mm/lfm)],MATCH(Tabelle10[[#This Row],[Rank]],Stammdaten[Rank Verteilung Krümmung],0))</f>
        <v>#N/A</v>
      </c>
      <c r="U2724" t="e">
        <f>VLOOKUP(Tabelle10[[#This Row],[Rank]],Stammdaten[[Rank Verteilung Krümmung]:[Verteilung Krümmung]],2,FALSE)</f>
        <v>#N/A</v>
      </c>
      <c r="Z2724">
        <v>2715</v>
      </c>
      <c r="AA2724" t="e">
        <f>INDEX(Stammdaten[Ovalität (']0,1'])],MATCH(Tabelle1014[[#This Row],[Rank]],Stammdaten[Rank Verteilung Ovalität],0))</f>
        <v>#N/A</v>
      </c>
      <c r="AB2724" t="e">
        <f>VLOOKUP(Tabelle1014[[#This Row],[Rank]],Stammdaten[[Rank Verteilung Ovalität]:[Verteilung Ovalität]],2,FALSE)</f>
        <v>#N/A</v>
      </c>
    </row>
    <row r="2725" spans="5:28" x14ac:dyDescent="0.35">
      <c r="E2725">
        <v>2716</v>
      </c>
      <c r="F2725" t="e">
        <f>INDEX(Stammdaten[D Mitte mit Rinde (mm)],MATCH(Tabelle8[[#This Row],[Rank]],Stammdaten[Rank Verteilung D Mitte mit Rinde],0))</f>
        <v>#N/A</v>
      </c>
      <c r="G2725" t="e">
        <f>VLOOKUP(Tabelle8[[#This Row],[Rank]],Stammdaten[[Rank Verteilung D Mitte mit Rinde]:[Verteilung D Mitte mit Rinde]],2,FALSE)</f>
        <v>#N/A</v>
      </c>
      <c r="L2725">
        <v>2716</v>
      </c>
      <c r="M2725" t="e">
        <f>INDEX(Stammdaten[Abholzigkeit (mm/lfm)],MATCH(Tabelle9[[#This Row],[Rank]],Stammdaten[Rank Verteilung Abholzigkeit],0))</f>
        <v>#N/A</v>
      </c>
      <c r="N2725" t="e">
        <f>VLOOKUP(Tabelle9[[#This Row],[Rank]],Stammdaten[[Rank Verteilung Abholzigkeit]:[Verteilung Abholzigkeit]],2,FALSE)</f>
        <v>#N/A</v>
      </c>
      <c r="S2725">
        <v>2716</v>
      </c>
      <c r="T2725" t="e">
        <f>INDEX(Stammdaten[Krümmung (mm/lfm)],MATCH(Tabelle10[[#This Row],[Rank]],Stammdaten[Rank Verteilung Krümmung],0))</f>
        <v>#N/A</v>
      </c>
      <c r="U2725" t="e">
        <f>VLOOKUP(Tabelle10[[#This Row],[Rank]],Stammdaten[[Rank Verteilung Krümmung]:[Verteilung Krümmung]],2,FALSE)</f>
        <v>#N/A</v>
      </c>
      <c r="Z2725">
        <v>2716</v>
      </c>
      <c r="AA2725" t="e">
        <f>INDEX(Stammdaten[Ovalität (']0,1'])],MATCH(Tabelle1014[[#This Row],[Rank]],Stammdaten[Rank Verteilung Ovalität],0))</f>
        <v>#N/A</v>
      </c>
      <c r="AB2725" t="e">
        <f>VLOOKUP(Tabelle1014[[#This Row],[Rank]],Stammdaten[[Rank Verteilung Ovalität]:[Verteilung Ovalität]],2,FALSE)</f>
        <v>#N/A</v>
      </c>
    </row>
    <row r="2726" spans="5:28" x14ac:dyDescent="0.35">
      <c r="E2726">
        <v>2717</v>
      </c>
      <c r="F2726" t="e">
        <f>INDEX(Stammdaten[D Mitte mit Rinde (mm)],MATCH(Tabelle8[[#This Row],[Rank]],Stammdaten[Rank Verteilung D Mitte mit Rinde],0))</f>
        <v>#N/A</v>
      </c>
      <c r="G2726" t="e">
        <f>VLOOKUP(Tabelle8[[#This Row],[Rank]],Stammdaten[[Rank Verteilung D Mitte mit Rinde]:[Verteilung D Mitte mit Rinde]],2,FALSE)</f>
        <v>#N/A</v>
      </c>
      <c r="L2726">
        <v>2717</v>
      </c>
      <c r="M2726" t="e">
        <f>INDEX(Stammdaten[Abholzigkeit (mm/lfm)],MATCH(Tabelle9[[#This Row],[Rank]],Stammdaten[Rank Verteilung Abholzigkeit],0))</f>
        <v>#N/A</v>
      </c>
      <c r="N2726" t="e">
        <f>VLOOKUP(Tabelle9[[#This Row],[Rank]],Stammdaten[[Rank Verteilung Abholzigkeit]:[Verteilung Abholzigkeit]],2,FALSE)</f>
        <v>#N/A</v>
      </c>
      <c r="S2726">
        <v>2717</v>
      </c>
      <c r="T2726" t="e">
        <f>INDEX(Stammdaten[Krümmung (mm/lfm)],MATCH(Tabelle10[[#This Row],[Rank]],Stammdaten[Rank Verteilung Krümmung],0))</f>
        <v>#N/A</v>
      </c>
      <c r="U2726" t="e">
        <f>VLOOKUP(Tabelle10[[#This Row],[Rank]],Stammdaten[[Rank Verteilung Krümmung]:[Verteilung Krümmung]],2,FALSE)</f>
        <v>#N/A</v>
      </c>
      <c r="Z2726">
        <v>2717</v>
      </c>
      <c r="AA2726" t="e">
        <f>INDEX(Stammdaten[Ovalität (']0,1'])],MATCH(Tabelle1014[[#This Row],[Rank]],Stammdaten[Rank Verteilung Ovalität],0))</f>
        <v>#N/A</v>
      </c>
      <c r="AB2726" t="e">
        <f>VLOOKUP(Tabelle1014[[#This Row],[Rank]],Stammdaten[[Rank Verteilung Ovalität]:[Verteilung Ovalität]],2,FALSE)</f>
        <v>#N/A</v>
      </c>
    </row>
    <row r="2727" spans="5:28" x14ac:dyDescent="0.35">
      <c r="E2727">
        <v>2718</v>
      </c>
      <c r="F2727" t="e">
        <f>INDEX(Stammdaten[D Mitte mit Rinde (mm)],MATCH(Tabelle8[[#This Row],[Rank]],Stammdaten[Rank Verteilung D Mitte mit Rinde],0))</f>
        <v>#N/A</v>
      </c>
      <c r="G2727" t="e">
        <f>VLOOKUP(Tabelle8[[#This Row],[Rank]],Stammdaten[[Rank Verteilung D Mitte mit Rinde]:[Verteilung D Mitte mit Rinde]],2,FALSE)</f>
        <v>#N/A</v>
      </c>
      <c r="L2727">
        <v>2718</v>
      </c>
      <c r="M2727" t="e">
        <f>INDEX(Stammdaten[Abholzigkeit (mm/lfm)],MATCH(Tabelle9[[#This Row],[Rank]],Stammdaten[Rank Verteilung Abholzigkeit],0))</f>
        <v>#N/A</v>
      </c>
      <c r="N2727" t="e">
        <f>VLOOKUP(Tabelle9[[#This Row],[Rank]],Stammdaten[[Rank Verteilung Abholzigkeit]:[Verteilung Abholzigkeit]],2,FALSE)</f>
        <v>#N/A</v>
      </c>
      <c r="S2727">
        <v>2718</v>
      </c>
      <c r="T2727" t="e">
        <f>INDEX(Stammdaten[Krümmung (mm/lfm)],MATCH(Tabelle10[[#This Row],[Rank]],Stammdaten[Rank Verteilung Krümmung],0))</f>
        <v>#N/A</v>
      </c>
      <c r="U2727" t="e">
        <f>VLOOKUP(Tabelle10[[#This Row],[Rank]],Stammdaten[[Rank Verteilung Krümmung]:[Verteilung Krümmung]],2,FALSE)</f>
        <v>#N/A</v>
      </c>
      <c r="Z2727">
        <v>2718</v>
      </c>
      <c r="AA2727" t="e">
        <f>INDEX(Stammdaten[Ovalität (']0,1'])],MATCH(Tabelle1014[[#This Row],[Rank]],Stammdaten[Rank Verteilung Ovalität],0))</f>
        <v>#N/A</v>
      </c>
      <c r="AB2727" t="e">
        <f>VLOOKUP(Tabelle1014[[#This Row],[Rank]],Stammdaten[[Rank Verteilung Ovalität]:[Verteilung Ovalität]],2,FALSE)</f>
        <v>#N/A</v>
      </c>
    </row>
    <row r="2728" spans="5:28" x14ac:dyDescent="0.35">
      <c r="E2728">
        <v>2719</v>
      </c>
      <c r="F2728" t="e">
        <f>INDEX(Stammdaten[D Mitte mit Rinde (mm)],MATCH(Tabelle8[[#This Row],[Rank]],Stammdaten[Rank Verteilung D Mitte mit Rinde],0))</f>
        <v>#N/A</v>
      </c>
      <c r="G2728" t="e">
        <f>VLOOKUP(Tabelle8[[#This Row],[Rank]],Stammdaten[[Rank Verteilung D Mitte mit Rinde]:[Verteilung D Mitte mit Rinde]],2,FALSE)</f>
        <v>#N/A</v>
      </c>
      <c r="L2728">
        <v>2719</v>
      </c>
      <c r="M2728" t="e">
        <f>INDEX(Stammdaten[Abholzigkeit (mm/lfm)],MATCH(Tabelle9[[#This Row],[Rank]],Stammdaten[Rank Verteilung Abholzigkeit],0))</f>
        <v>#N/A</v>
      </c>
      <c r="N2728" t="e">
        <f>VLOOKUP(Tabelle9[[#This Row],[Rank]],Stammdaten[[Rank Verteilung Abholzigkeit]:[Verteilung Abholzigkeit]],2,FALSE)</f>
        <v>#N/A</v>
      </c>
      <c r="S2728">
        <v>2719</v>
      </c>
      <c r="T2728" t="e">
        <f>INDEX(Stammdaten[Krümmung (mm/lfm)],MATCH(Tabelle10[[#This Row],[Rank]],Stammdaten[Rank Verteilung Krümmung],0))</f>
        <v>#N/A</v>
      </c>
      <c r="U2728" t="e">
        <f>VLOOKUP(Tabelle10[[#This Row],[Rank]],Stammdaten[[Rank Verteilung Krümmung]:[Verteilung Krümmung]],2,FALSE)</f>
        <v>#N/A</v>
      </c>
      <c r="Z2728">
        <v>2719</v>
      </c>
      <c r="AA2728" t="e">
        <f>INDEX(Stammdaten[Ovalität (']0,1'])],MATCH(Tabelle1014[[#This Row],[Rank]],Stammdaten[Rank Verteilung Ovalität],0))</f>
        <v>#N/A</v>
      </c>
      <c r="AB2728" t="e">
        <f>VLOOKUP(Tabelle1014[[#This Row],[Rank]],Stammdaten[[Rank Verteilung Ovalität]:[Verteilung Ovalität]],2,FALSE)</f>
        <v>#N/A</v>
      </c>
    </row>
    <row r="2729" spans="5:28" x14ac:dyDescent="0.35">
      <c r="E2729">
        <v>2720</v>
      </c>
      <c r="F2729" t="e">
        <f>INDEX(Stammdaten[D Mitte mit Rinde (mm)],MATCH(Tabelle8[[#This Row],[Rank]],Stammdaten[Rank Verteilung D Mitte mit Rinde],0))</f>
        <v>#N/A</v>
      </c>
      <c r="G2729" t="e">
        <f>VLOOKUP(Tabelle8[[#This Row],[Rank]],Stammdaten[[Rank Verteilung D Mitte mit Rinde]:[Verteilung D Mitte mit Rinde]],2,FALSE)</f>
        <v>#N/A</v>
      </c>
      <c r="L2729">
        <v>2720</v>
      </c>
      <c r="M2729" t="e">
        <f>INDEX(Stammdaten[Abholzigkeit (mm/lfm)],MATCH(Tabelle9[[#This Row],[Rank]],Stammdaten[Rank Verteilung Abholzigkeit],0))</f>
        <v>#N/A</v>
      </c>
      <c r="N2729" t="e">
        <f>VLOOKUP(Tabelle9[[#This Row],[Rank]],Stammdaten[[Rank Verteilung Abholzigkeit]:[Verteilung Abholzigkeit]],2,FALSE)</f>
        <v>#N/A</v>
      </c>
      <c r="S2729">
        <v>2720</v>
      </c>
      <c r="T2729" t="e">
        <f>INDEX(Stammdaten[Krümmung (mm/lfm)],MATCH(Tabelle10[[#This Row],[Rank]],Stammdaten[Rank Verteilung Krümmung],0))</f>
        <v>#N/A</v>
      </c>
      <c r="U2729" t="e">
        <f>VLOOKUP(Tabelle10[[#This Row],[Rank]],Stammdaten[[Rank Verteilung Krümmung]:[Verteilung Krümmung]],2,FALSE)</f>
        <v>#N/A</v>
      </c>
      <c r="Z2729">
        <v>2720</v>
      </c>
      <c r="AA2729" t="e">
        <f>INDEX(Stammdaten[Ovalität (']0,1'])],MATCH(Tabelle1014[[#This Row],[Rank]],Stammdaten[Rank Verteilung Ovalität],0))</f>
        <v>#N/A</v>
      </c>
      <c r="AB2729" t="e">
        <f>VLOOKUP(Tabelle1014[[#This Row],[Rank]],Stammdaten[[Rank Verteilung Ovalität]:[Verteilung Ovalität]],2,FALSE)</f>
        <v>#N/A</v>
      </c>
    </row>
    <row r="2730" spans="5:28" x14ac:dyDescent="0.35">
      <c r="E2730">
        <v>2721</v>
      </c>
      <c r="F2730" t="e">
        <f>INDEX(Stammdaten[D Mitte mit Rinde (mm)],MATCH(Tabelle8[[#This Row],[Rank]],Stammdaten[Rank Verteilung D Mitte mit Rinde],0))</f>
        <v>#N/A</v>
      </c>
      <c r="G2730" t="e">
        <f>VLOOKUP(Tabelle8[[#This Row],[Rank]],Stammdaten[[Rank Verteilung D Mitte mit Rinde]:[Verteilung D Mitte mit Rinde]],2,FALSE)</f>
        <v>#N/A</v>
      </c>
      <c r="L2730">
        <v>2721</v>
      </c>
      <c r="M2730" t="e">
        <f>INDEX(Stammdaten[Abholzigkeit (mm/lfm)],MATCH(Tabelle9[[#This Row],[Rank]],Stammdaten[Rank Verteilung Abholzigkeit],0))</f>
        <v>#N/A</v>
      </c>
      <c r="N2730" t="e">
        <f>VLOOKUP(Tabelle9[[#This Row],[Rank]],Stammdaten[[Rank Verteilung Abholzigkeit]:[Verteilung Abholzigkeit]],2,FALSE)</f>
        <v>#N/A</v>
      </c>
      <c r="S2730">
        <v>2721</v>
      </c>
      <c r="T2730" t="e">
        <f>INDEX(Stammdaten[Krümmung (mm/lfm)],MATCH(Tabelle10[[#This Row],[Rank]],Stammdaten[Rank Verteilung Krümmung],0))</f>
        <v>#N/A</v>
      </c>
      <c r="U2730" t="e">
        <f>VLOOKUP(Tabelle10[[#This Row],[Rank]],Stammdaten[[Rank Verteilung Krümmung]:[Verteilung Krümmung]],2,FALSE)</f>
        <v>#N/A</v>
      </c>
      <c r="Z2730">
        <v>2721</v>
      </c>
      <c r="AA2730" t="e">
        <f>INDEX(Stammdaten[Ovalität (']0,1'])],MATCH(Tabelle1014[[#This Row],[Rank]],Stammdaten[Rank Verteilung Ovalität],0))</f>
        <v>#N/A</v>
      </c>
      <c r="AB2730" t="e">
        <f>VLOOKUP(Tabelle1014[[#This Row],[Rank]],Stammdaten[[Rank Verteilung Ovalität]:[Verteilung Ovalität]],2,FALSE)</f>
        <v>#N/A</v>
      </c>
    </row>
    <row r="2731" spans="5:28" x14ac:dyDescent="0.35">
      <c r="E2731">
        <v>2722</v>
      </c>
      <c r="F2731" t="e">
        <f>INDEX(Stammdaten[D Mitte mit Rinde (mm)],MATCH(Tabelle8[[#This Row],[Rank]],Stammdaten[Rank Verteilung D Mitte mit Rinde],0))</f>
        <v>#N/A</v>
      </c>
      <c r="G2731" t="e">
        <f>VLOOKUP(Tabelle8[[#This Row],[Rank]],Stammdaten[[Rank Verteilung D Mitte mit Rinde]:[Verteilung D Mitte mit Rinde]],2,FALSE)</f>
        <v>#N/A</v>
      </c>
      <c r="L2731">
        <v>2722</v>
      </c>
      <c r="M2731" t="e">
        <f>INDEX(Stammdaten[Abholzigkeit (mm/lfm)],MATCH(Tabelle9[[#This Row],[Rank]],Stammdaten[Rank Verteilung Abholzigkeit],0))</f>
        <v>#N/A</v>
      </c>
      <c r="N2731" t="e">
        <f>VLOOKUP(Tabelle9[[#This Row],[Rank]],Stammdaten[[Rank Verteilung Abholzigkeit]:[Verteilung Abholzigkeit]],2,FALSE)</f>
        <v>#N/A</v>
      </c>
      <c r="S2731">
        <v>2722</v>
      </c>
      <c r="T2731" t="e">
        <f>INDEX(Stammdaten[Krümmung (mm/lfm)],MATCH(Tabelle10[[#This Row],[Rank]],Stammdaten[Rank Verteilung Krümmung],0))</f>
        <v>#N/A</v>
      </c>
      <c r="U2731" t="e">
        <f>VLOOKUP(Tabelle10[[#This Row],[Rank]],Stammdaten[[Rank Verteilung Krümmung]:[Verteilung Krümmung]],2,FALSE)</f>
        <v>#N/A</v>
      </c>
      <c r="Z2731">
        <v>2722</v>
      </c>
      <c r="AA2731" t="e">
        <f>INDEX(Stammdaten[Ovalität (']0,1'])],MATCH(Tabelle1014[[#This Row],[Rank]],Stammdaten[Rank Verteilung Ovalität],0))</f>
        <v>#N/A</v>
      </c>
      <c r="AB2731" t="e">
        <f>VLOOKUP(Tabelle1014[[#This Row],[Rank]],Stammdaten[[Rank Verteilung Ovalität]:[Verteilung Ovalität]],2,FALSE)</f>
        <v>#N/A</v>
      </c>
    </row>
    <row r="2732" spans="5:28" x14ac:dyDescent="0.35">
      <c r="E2732">
        <v>2723</v>
      </c>
      <c r="F2732" t="e">
        <f>INDEX(Stammdaten[D Mitte mit Rinde (mm)],MATCH(Tabelle8[[#This Row],[Rank]],Stammdaten[Rank Verteilung D Mitte mit Rinde],0))</f>
        <v>#N/A</v>
      </c>
      <c r="G2732" t="e">
        <f>VLOOKUP(Tabelle8[[#This Row],[Rank]],Stammdaten[[Rank Verteilung D Mitte mit Rinde]:[Verteilung D Mitte mit Rinde]],2,FALSE)</f>
        <v>#N/A</v>
      </c>
      <c r="L2732">
        <v>2723</v>
      </c>
      <c r="M2732" t="e">
        <f>INDEX(Stammdaten[Abholzigkeit (mm/lfm)],MATCH(Tabelle9[[#This Row],[Rank]],Stammdaten[Rank Verteilung Abholzigkeit],0))</f>
        <v>#N/A</v>
      </c>
      <c r="N2732" t="e">
        <f>VLOOKUP(Tabelle9[[#This Row],[Rank]],Stammdaten[[Rank Verteilung Abholzigkeit]:[Verteilung Abholzigkeit]],2,FALSE)</f>
        <v>#N/A</v>
      </c>
      <c r="S2732">
        <v>2723</v>
      </c>
      <c r="T2732" t="e">
        <f>INDEX(Stammdaten[Krümmung (mm/lfm)],MATCH(Tabelle10[[#This Row],[Rank]],Stammdaten[Rank Verteilung Krümmung],0))</f>
        <v>#N/A</v>
      </c>
      <c r="U2732" t="e">
        <f>VLOOKUP(Tabelle10[[#This Row],[Rank]],Stammdaten[[Rank Verteilung Krümmung]:[Verteilung Krümmung]],2,FALSE)</f>
        <v>#N/A</v>
      </c>
      <c r="Z2732">
        <v>2723</v>
      </c>
      <c r="AA2732" t="e">
        <f>INDEX(Stammdaten[Ovalität (']0,1'])],MATCH(Tabelle1014[[#This Row],[Rank]],Stammdaten[Rank Verteilung Ovalität],0))</f>
        <v>#N/A</v>
      </c>
      <c r="AB2732" t="e">
        <f>VLOOKUP(Tabelle1014[[#This Row],[Rank]],Stammdaten[[Rank Verteilung Ovalität]:[Verteilung Ovalität]],2,FALSE)</f>
        <v>#N/A</v>
      </c>
    </row>
    <row r="2733" spans="5:28" x14ac:dyDescent="0.35">
      <c r="E2733">
        <v>2724</v>
      </c>
      <c r="F2733" t="e">
        <f>INDEX(Stammdaten[D Mitte mit Rinde (mm)],MATCH(Tabelle8[[#This Row],[Rank]],Stammdaten[Rank Verteilung D Mitte mit Rinde],0))</f>
        <v>#N/A</v>
      </c>
      <c r="G2733" t="e">
        <f>VLOOKUP(Tabelle8[[#This Row],[Rank]],Stammdaten[[Rank Verteilung D Mitte mit Rinde]:[Verteilung D Mitte mit Rinde]],2,FALSE)</f>
        <v>#N/A</v>
      </c>
      <c r="L2733">
        <v>2724</v>
      </c>
      <c r="M2733" t="e">
        <f>INDEX(Stammdaten[Abholzigkeit (mm/lfm)],MATCH(Tabelle9[[#This Row],[Rank]],Stammdaten[Rank Verteilung Abholzigkeit],0))</f>
        <v>#N/A</v>
      </c>
      <c r="N2733" t="e">
        <f>VLOOKUP(Tabelle9[[#This Row],[Rank]],Stammdaten[[Rank Verteilung Abholzigkeit]:[Verteilung Abholzigkeit]],2,FALSE)</f>
        <v>#N/A</v>
      </c>
      <c r="S2733">
        <v>2724</v>
      </c>
      <c r="T2733" t="e">
        <f>INDEX(Stammdaten[Krümmung (mm/lfm)],MATCH(Tabelle10[[#This Row],[Rank]],Stammdaten[Rank Verteilung Krümmung],0))</f>
        <v>#N/A</v>
      </c>
      <c r="U2733" t="e">
        <f>VLOOKUP(Tabelle10[[#This Row],[Rank]],Stammdaten[[Rank Verteilung Krümmung]:[Verteilung Krümmung]],2,FALSE)</f>
        <v>#N/A</v>
      </c>
      <c r="Z2733">
        <v>2724</v>
      </c>
      <c r="AA2733" t="e">
        <f>INDEX(Stammdaten[Ovalität (']0,1'])],MATCH(Tabelle1014[[#This Row],[Rank]],Stammdaten[Rank Verteilung Ovalität],0))</f>
        <v>#N/A</v>
      </c>
      <c r="AB2733" t="e">
        <f>VLOOKUP(Tabelle1014[[#This Row],[Rank]],Stammdaten[[Rank Verteilung Ovalität]:[Verteilung Ovalität]],2,FALSE)</f>
        <v>#N/A</v>
      </c>
    </row>
    <row r="2734" spans="5:28" x14ac:dyDescent="0.35">
      <c r="E2734">
        <v>2725</v>
      </c>
      <c r="F2734" t="e">
        <f>INDEX(Stammdaten[D Mitte mit Rinde (mm)],MATCH(Tabelle8[[#This Row],[Rank]],Stammdaten[Rank Verteilung D Mitte mit Rinde],0))</f>
        <v>#N/A</v>
      </c>
      <c r="G2734" t="e">
        <f>VLOOKUP(Tabelle8[[#This Row],[Rank]],Stammdaten[[Rank Verteilung D Mitte mit Rinde]:[Verteilung D Mitte mit Rinde]],2,FALSE)</f>
        <v>#N/A</v>
      </c>
      <c r="L2734">
        <v>2725</v>
      </c>
      <c r="M2734" t="e">
        <f>INDEX(Stammdaten[Abholzigkeit (mm/lfm)],MATCH(Tabelle9[[#This Row],[Rank]],Stammdaten[Rank Verteilung Abholzigkeit],0))</f>
        <v>#N/A</v>
      </c>
      <c r="N2734" t="e">
        <f>VLOOKUP(Tabelle9[[#This Row],[Rank]],Stammdaten[[Rank Verteilung Abholzigkeit]:[Verteilung Abholzigkeit]],2,FALSE)</f>
        <v>#N/A</v>
      </c>
      <c r="S2734">
        <v>2725</v>
      </c>
      <c r="T2734" t="e">
        <f>INDEX(Stammdaten[Krümmung (mm/lfm)],MATCH(Tabelle10[[#This Row],[Rank]],Stammdaten[Rank Verteilung Krümmung],0))</f>
        <v>#N/A</v>
      </c>
      <c r="U2734" t="e">
        <f>VLOOKUP(Tabelle10[[#This Row],[Rank]],Stammdaten[[Rank Verteilung Krümmung]:[Verteilung Krümmung]],2,FALSE)</f>
        <v>#N/A</v>
      </c>
      <c r="Z2734">
        <v>2725</v>
      </c>
      <c r="AA2734" t="e">
        <f>INDEX(Stammdaten[Ovalität (']0,1'])],MATCH(Tabelle1014[[#This Row],[Rank]],Stammdaten[Rank Verteilung Ovalität],0))</f>
        <v>#N/A</v>
      </c>
      <c r="AB2734" t="e">
        <f>VLOOKUP(Tabelle1014[[#This Row],[Rank]],Stammdaten[[Rank Verteilung Ovalität]:[Verteilung Ovalität]],2,FALSE)</f>
        <v>#N/A</v>
      </c>
    </row>
    <row r="2735" spans="5:28" x14ac:dyDescent="0.35">
      <c r="E2735">
        <v>2726</v>
      </c>
      <c r="F2735" t="e">
        <f>INDEX(Stammdaten[D Mitte mit Rinde (mm)],MATCH(Tabelle8[[#This Row],[Rank]],Stammdaten[Rank Verteilung D Mitte mit Rinde],0))</f>
        <v>#N/A</v>
      </c>
      <c r="G2735" t="e">
        <f>VLOOKUP(Tabelle8[[#This Row],[Rank]],Stammdaten[[Rank Verteilung D Mitte mit Rinde]:[Verteilung D Mitte mit Rinde]],2,FALSE)</f>
        <v>#N/A</v>
      </c>
      <c r="L2735">
        <v>2726</v>
      </c>
      <c r="M2735" t="e">
        <f>INDEX(Stammdaten[Abholzigkeit (mm/lfm)],MATCH(Tabelle9[[#This Row],[Rank]],Stammdaten[Rank Verteilung Abholzigkeit],0))</f>
        <v>#N/A</v>
      </c>
      <c r="N2735" t="e">
        <f>VLOOKUP(Tabelle9[[#This Row],[Rank]],Stammdaten[[Rank Verteilung Abholzigkeit]:[Verteilung Abholzigkeit]],2,FALSE)</f>
        <v>#N/A</v>
      </c>
      <c r="S2735">
        <v>2726</v>
      </c>
      <c r="T2735" t="e">
        <f>INDEX(Stammdaten[Krümmung (mm/lfm)],MATCH(Tabelle10[[#This Row],[Rank]],Stammdaten[Rank Verteilung Krümmung],0))</f>
        <v>#N/A</v>
      </c>
      <c r="U2735" t="e">
        <f>VLOOKUP(Tabelle10[[#This Row],[Rank]],Stammdaten[[Rank Verteilung Krümmung]:[Verteilung Krümmung]],2,FALSE)</f>
        <v>#N/A</v>
      </c>
      <c r="Z2735">
        <v>2726</v>
      </c>
      <c r="AA2735" t="e">
        <f>INDEX(Stammdaten[Ovalität (']0,1'])],MATCH(Tabelle1014[[#This Row],[Rank]],Stammdaten[Rank Verteilung Ovalität],0))</f>
        <v>#N/A</v>
      </c>
      <c r="AB2735" t="e">
        <f>VLOOKUP(Tabelle1014[[#This Row],[Rank]],Stammdaten[[Rank Verteilung Ovalität]:[Verteilung Ovalität]],2,FALSE)</f>
        <v>#N/A</v>
      </c>
    </row>
    <row r="2736" spans="5:28" x14ac:dyDescent="0.35">
      <c r="E2736">
        <v>2727</v>
      </c>
      <c r="F2736" t="e">
        <f>INDEX(Stammdaten[D Mitte mit Rinde (mm)],MATCH(Tabelle8[[#This Row],[Rank]],Stammdaten[Rank Verteilung D Mitte mit Rinde],0))</f>
        <v>#N/A</v>
      </c>
      <c r="G2736" t="e">
        <f>VLOOKUP(Tabelle8[[#This Row],[Rank]],Stammdaten[[Rank Verteilung D Mitte mit Rinde]:[Verteilung D Mitte mit Rinde]],2,FALSE)</f>
        <v>#N/A</v>
      </c>
      <c r="L2736">
        <v>2727</v>
      </c>
      <c r="M2736" t="e">
        <f>INDEX(Stammdaten[Abholzigkeit (mm/lfm)],MATCH(Tabelle9[[#This Row],[Rank]],Stammdaten[Rank Verteilung Abholzigkeit],0))</f>
        <v>#N/A</v>
      </c>
      <c r="N2736" t="e">
        <f>VLOOKUP(Tabelle9[[#This Row],[Rank]],Stammdaten[[Rank Verteilung Abholzigkeit]:[Verteilung Abholzigkeit]],2,FALSE)</f>
        <v>#N/A</v>
      </c>
      <c r="S2736">
        <v>2727</v>
      </c>
      <c r="T2736" t="e">
        <f>INDEX(Stammdaten[Krümmung (mm/lfm)],MATCH(Tabelle10[[#This Row],[Rank]],Stammdaten[Rank Verteilung Krümmung],0))</f>
        <v>#N/A</v>
      </c>
      <c r="U2736" t="e">
        <f>VLOOKUP(Tabelle10[[#This Row],[Rank]],Stammdaten[[Rank Verteilung Krümmung]:[Verteilung Krümmung]],2,FALSE)</f>
        <v>#N/A</v>
      </c>
      <c r="Z2736">
        <v>2727</v>
      </c>
      <c r="AA2736" t="e">
        <f>INDEX(Stammdaten[Ovalität (']0,1'])],MATCH(Tabelle1014[[#This Row],[Rank]],Stammdaten[Rank Verteilung Ovalität],0))</f>
        <v>#N/A</v>
      </c>
      <c r="AB2736" t="e">
        <f>VLOOKUP(Tabelle1014[[#This Row],[Rank]],Stammdaten[[Rank Verteilung Ovalität]:[Verteilung Ovalität]],2,FALSE)</f>
        <v>#N/A</v>
      </c>
    </row>
    <row r="2737" spans="5:28" x14ac:dyDescent="0.35">
      <c r="E2737">
        <v>2728</v>
      </c>
      <c r="F2737" t="e">
        <f>INDEX(Stammdaten[D Mitte mit Rinde (mm)],MATCH(Tabelle8[[#This Row],[Rank]],Stammdaten[Rank Verteilung D Mitte mit Rinde],0))</f>
        <v>#N/A</v>
      </c>
      <c r="G2737" t="e">
        <f>VLOOKUP(Tabelle8[[#This Row],[Rank]],Stammdaten[[Rank Verteilung D Mitte mit Rinde]:[Verteilung D Mitte mit Rinde]],2,FALSE)</f>
        <v>#N/A</v>
      </c>
      <c r="L2737">
        <v>2728</v>
      </c>
      <c r="M2737" t="e">
        <f>INDEX(Stammdaten[Abholzigkeit (mm/lfm)],MATCH(Tabelle9[[#This Row],[Rank]],Stammdaten[Rank Verteilung Abholzigkeit],0))</f>
        <v>#N/A</v>
      </c>
      <c r="N2737" t="e">
        <f>VLOOKUP(Tabelle9[[#This Row],[Rank]],Stammdaten[[Rank Verteilung Abholzigkeit]:[Verteilung Abholzigkeit]],2,FALSE)</f>
        <v>#N/A</v>
      </c>
      <c r="S2737">
        <v>2728</v>
      </c>
      <c r="T2737" t="e">
        <f>INDEX(Stammdaten[Krümmung (mm/lfm)],MATCH(Tabelle10[[#This Row],[Rank]],Stammdaten[Rank Verteilung Krümmung],0))</f>
        <v>#N/A</v>
      </c>
      <c r="U2737" t="e">
        <f>VLOOKUP(Tabelle10[[#This Row],[Rank]],Stammdaten[[Rank Verteilung Krümmung]:[Verteilung Krümmung]],2,FALSE)</f>
        <v>#N/A</v>
      </c>
      <c r="Z2737">
        <v>2728</v>
      </c>
      <c r="AA2737" t="e">
        <f>INDEX(Stammdaten[Ovalität (']0,1'])],MATCH(Tabelle1014[[#This Row],[Rank]],Stammdaten[Rank Verteilung Ovalität],0))</f>
        <v>#N/A</v>
      </c>
      <c r="AB2737" t="e">
        <f>VLOOKUP(Tabelle1014[[#This Row],[Rank]],Stammdaten[[Rank Verteilung Ovalität]:[Verteilung Ovalität]],2,FALSE)</f>
        <v>#N/A</v>
      </c>
    </row>
    <row r="2738" spans="5:28" x14ac:dyDescent="0.35">
      <c r="E2738">
        <v>2729</v>
      </c>
      <c r="F2738" t="e">
        <f>INDEX(Stammdaten[D Mitte mit Rinde (mm)],MATCH(Tabelle8[[#This Row],[Rank]],Stammdaten[Rank Verteilung D Mitte mit Rinde],0))</f>
        <v>#N/A</v>
      </c>
      <c r="G2738" t="e">
        <f>VLOOKUP(Tabelle8[[#This Row],[Rank]],Stammdaten[[Rank Verteilung D Mitte mit Rinde]:[Verteilung D Mitte mit Rinde]],2,FALSE)</f>
        <v>#N/A</v>
      </c>
      <c r="L2738">
        <v>2729</v>
      </c>
      <c r="M2738" t="e">
        <f>INDEX(Stammdaten[Abholzigkeit (mm/lfm)],MATCH(Tabelle9[[#This Row],[Rank]],Stammdaten[Rank Verteilung Abholzigkeit],0))</f>
        <v>#N/A</v>
      </c>
      <c r="N2738" t="e">
        <f>VLOOKUP(Tabelle9[[#This Row],[Rank]],Stammdaten[[Rank Verteilung Abholzigkeit]:[Verteilung Abholzigkeit]],2,FALSE)</f>
        <v>#N/A</v>
      </c>
      <c r="S2738">
        <v>2729</v>
      </c>
      <c r="T2738" t="e">
        <f>INDEX(Stammdaten[Krümmung (mm/lfm)],MATCH(Tabelle10[[#This Row],[Rank]],Stammdaten[Rank Verteilung Krümmung],0))</f>
        <v>#N/A</v>
      </c>
      <c r="U2738" t="e">
        <f>VLOOKUP(Tabelle10[[#This Row],[Rank]],Stammdaten[[Rank Verteilung Krümmung]:[Verteilung Krümmung]],2,FALSE)</f>
        <v>#N/A</v>
      </c>
      <c r="Z2738">
        <v>2729</v>
      </c>
      <c r="AA2738" t="e">
        <f>INDEX(Stammdaten[Ovalität (']0,1'])],MATCH(Tabelle1014[[#This Row],[Rank]],Stammdaten[Rank Verteilung Ovalität],0))</f>
        <v>#N/A</v>
      </c>
      <c r="AB2738" t="e">
        <f>VLOOKUP(Tabelle1014[[#This Row],[Rank]],Stammdaten[[Rank Verteilung Ovalität]:[Verteilung Ovalität]],2,FALSE)</f>
        <v>#N/A</v>
      </c>
    </row>
    <row r="2739" spans="5:28" x14ac:dyDescent="0.35">
      <c r="E2739">
        <v>2730</v>
      </c>
      <c r="F2739" t="e">
        <f>INDEX(Stammdaten[D Mitte mit Rinde (mm)],MATCH(Tabelle8[[#This Row],[Rank]],Stammdaten[Rank Verteilung D Mitte mit Rinde],0))</f>
        <v>#N/A</v>
      </c>
      <c r="G2739" t="e">
        <f>VLOOKUP(Tabelle8[[#This Row],[Rank]],Stammdaten[[Rank Verteilung D Mitte mit Rinde]:[Verteilung D Mitte mit Rinde]],2,FALSE)</f>
        <v>#N/A</v>
      </c>
      <c r="L2739">
        <v>2730</v>
      </c>
      <c r="M2739" t="e">
        <f>INDEX(Stammdaten[Abholzigkeit (mm/lfm)],MATCH(Tabelle9[[#This Row],[Rank]],Stammdaten[Rank Verteilung Abholzigkeit],0))</f>
        <v>#N/A</v>
      </c>
      <c r="N2739" t="e">
        <f>VLOOKUP(Tabelle9[[#This Row],[Rank]],Stammdaten[[Rank Verteilung Abholzigkeit]:[Verteilung Abholzigkeit]],2,FALSE)</f>
        <v>#N/A</v>
      </c>
      <c r="S2739">
        <v>2730</v>
      </c>
      <c r="T2739" t="e">
        <f>INDEX(Stammdaten[Krümmung (mm/lfm)],MATCH(Tabelle10[[#This Row],[Rank]],Stammdaten[Rank Verteilung Krümmung],0))</f>
        <v>#N/A</v>
      </c>
      <c r="U2739" t="e">
        <f>VLOOKUP(Tabelle10[[#This Row],[Rank]],Stammdaten[[Rank Verteilung Krümmung]:[Verteilung Krümmung]],2,FALSE)</f>
        <v>#N/A</v>
      </c>
      <c r="Z2739">
        <v>2730</v>
      </c>
      <c r="AA2739" t="e">
        <f>INDEX(Stammdaten[Ovalität (']0,1'])],MATCH(Tabelle1014[[#This Row],[Rank]],Stammdaten[Rank Verteilung Ovalität],0))</f>
        <v>#N/A</v>
      </c>
      <c r="AB2739" t="e">
        <f>VLOOKUP(Tabelle1014[[#This Row],[Rank]],Stammdaten[[Rank Verteilung Ovalität]:[Verteilung Ovalität]],2,FALSE)</f>
        <v>#N/A</v>
      </c>
    </row>
    <row r="2740" spans="5:28" x14ac:dyDescent="0.35">
      <c r="E2740">
        <v>2731</v>
      </c>
      <c r="F2740" t="e">
        <f>INDEX(Stammdaten[D Mitte mit Rinde (mm)],MATCH(Tabelle8[[#This Row],[Rank]],Stammdaten[Rank Verteilung D Mitte mit Rinde],0))</f>
        <v>#N/A</v>
      </c>
      <c r="G2740" t="e">
        <f>VLOOKUP(Tabelle8[[#This Row],[Rank]],Stammdaten[[Rank Verteilung D Mitte mit Rinde]:[Verteilung D Mitte mit Rinde]],2,FALSE)</f>
        <v>#N/A</v>
      </c>
      <c r="L2740">
        <v>2731</v>
      </c>
      <c r="M2740" t="e">
        <f>INDEX(Stammdaten[Abholzigkeit (mm/lfm)],MATCH(Tabelle9[[#This Row],[Rank]],Stammdaten[Rank Verteilung Abholzigkeit],0))</f>
        <v>#N/A</v>
      </c>
      <c r="N2740" t="e">
        <f>VLOOKUP(Tabelle9[[#This Row],[Rank]],Stammdaten[[Rank Verteilung Abholzigkeit]:[Verteilung Abholzigkeit]],2,FALSE)</f>
        <v>#N/A</v>
      </c>
      <c r="S2740">
        <v>2731</v>
      </c>
      <c r="T2740" t="e">
        <f>INDEX(Stammdaten[Krümmung (mm/lfm)],MATCH(Tabelle10[[#This Row],[Rank]],Stammdaten[Rank Verteilung Krümmung],0))</f>
        <v>#N/A</v>
      </c>
      <c r="U2740" t="e">
        <f>VLOOKUP(Tabelle10[[#This Row],[Rank]],Stammdaten[[Rank Verteilung Krümmung]:[Verteilung Krümmung]],2,FALSE)</f>
        <v>#N/A</v>
      </c>
      <c r="Z2740">
        <v>2731</v>
      </c>
      <c r="AA2740" t="e">
        <f>INDEX(Stammdaten[Ovalität (']0,1'])],MATCH(Tabelle1014[[#This Row],[Rank]],Stammdaten[Rank Verteilung Ovalität],0))</f>
        <v>#N/A</v>
      </c>
      <c r="AB2740" t="e">
        <f>VLOOKUP(Tabelle1014[[#This Row],[Rank]],Stammdaten[[Rank Verteilung Ovalität]:[Verteilung Ovalität]],2,FALSE)</f>
        <v>#N/A</v>
      </c>
    </row>
    <row r="2741" spans="5:28" x14ac:dyDescent="0.35">
      <c r="E2741">
        <v>2732</v>
      </c>
      <c r="F2741" t="e">
        <f>INDEX(Stammdaten[D Mitte mit Rinde (mm)],MATCH(Tabelle8[[#This Row],[Rank]],Stammdaten[Rank Verteilung D Mitte mit Rinde],0))</f>
        <v>#N/A</v>
      </c>
      <c r="G2741" t="e">
        <f>VLOOKUP(Tabelle8[[#This Row],[Rank]],Stammdaten[[Rank Verteilung D Mitte mit Rinde]:[Verteilung D Mitte mit Rinde]],2,FALSE)</f>
        <v>#N/A</v>
      </c>
      <c r="L2741">
        <v>2732</v>
      </c>
      <c r="M2741" t="e">
        <f>INDEX(Stammdaten[Abholzigkeit (mm/lfm)],MATCH(Tabelle9[[#This Row],[Rank]],Stammdaten[Rank Verteilung Abholzigkeit],0))</f>
        <v>#N/A</v>
      </c>
      <c r="N2741" t="e">
        <f>VLOOKUP(Tabelle9[[#This Row],[Rank]],Stammdaten[[Rank Verteilung Abholzigkeit]:[Verteilung Abholzigkeit]],2,FALSE)</f>
        <v>#N/A</v>
      </c>
      <c r="S2741">
        <v>2732</v>
      </c>
      <c r="T2741" t="e">
        <f>INDEX(Stammdaten[Krümmung (mm/lfm)],MATCH(Tabelle10[[#This Row],[Rank]],Stammdaten[Rank Verteilung Krümmung],0))</f>
        <v>#N/A</v>
      </c>
      <c r="U2741" t="e">
        <f>VLOOKUP(Tabelle10[[#This Row],[Rank]],Stammdaten[[Rank Verteilung Krümmung]:[Verteilung Krümmung]],2,FALSE)</f>
        <v>#N/A</v>
      </c>
      <c r="Z2741">
        <v>2732</v>
      </c>
      <c r="AA2741" t="e">
        <f>INDEX(Stammdaten[Ovalität (']0,1'])],MATCH(Tabelle1014[[#This Row],[Rank]],Stammdaten[Rank Verteilung Ovalität],0))</f>
        <v>#N/A</v>
      </c>
      <c r="AB2741" t="e">
        <f>VLOOKUP(Tabelle1014[[#This Row],[Rank]],Stammdaten[[Rank Verteilung Ovalität]:[Verteilung Ovalität]],2,FALSE)</f>
        <v>#N/A</v>
      </c>
    </row>
    <row r="2742" spans="5:28" x14ac:dyDescent="0.35">
      <c r="E2742">
        <v>2733</v>
      </c>
      <c r="F2742" t="e">
        <f>INDEX(Stammdaten[D Mitte mit Rinde (mm)],MATCH(Tabelle8[[#This Row],[Rank]],Stammdaten[Rank Verteilung D Mitte mit Rinde],0))</f>
        <v>#N/A</v>
      </c>
      <c r="G2742" t="e">
        <f>VLOOKUP(Tabelle8[[#This Row],[Rank]],Stammdaten[[Rank Verteilung D Mitte mit Rinde]:[Verteilung D Mitte mit Rinde]],2,FALSE)</f>
        <v>#N/A</v>
      </c>
      <c r="L2742">
        <v>2733</v>
      </c>
      <c r="M2742" t="e">
        <f>INDEX(Stammdaten[Abholzigkeit (mm/lfm)],MATCH(Tabelle9[[#This Row],[Rank]],Stammdaten[Rank Verteilung Abholzigkeit],0))</f>
        <v>#N/A</v>
      </c>
      <c r="N2742" t="e">
        <f>VLOOKUP(Tabelle9[[#This Row],[Rank]],Stammdaten[[Rank Verteilung Abholzigkeit]:[Verteilung Abholzigkeit]],2,FALSE)</f>
        <v>#N/A</v>
      </c>
      <c r="S2742">
        <v>2733</v>
      </c>
      <c r="T2742" t="e">
        <f>INDEX(Stammdaten[Krümmung (mm/lfm)],MATCH(Tabelle10[[#This Row],[Rank]],Stammdaten[Rank Verteilung Krümmung],0))</f>
        <v>#N/A</v>
      </c>
      <c r="U2742" t="e">
        <f>VLOOKUP(Tabelle10[[#This Row],[Rank]],Stammdaten[[Rank Verteilung Krümmung]:[Verteilung Krümmung]],2,FALSE)</f>
        <v>#N/A</v>
      </c>
      <c r="Z2742">
        <v>2733</v>
      </c>
      <c r="AA2742" t="e">
        <f>INDEX(Stammdaten[Ovalität (']0,1'])],MATCH(Tabelle1014[[#This Row],[Rank]],Stammdaten[Rank Verteilung Ovalität],0))</f>
        <v>#N/A</v>
      </c>
      <c r="AB2742" t="e">
        <f>VLOOKUP(Tabelle1014[[#This Row],[Rank]],Stammdaten[[Rank Verteilung Ovalität]:[Verteilung Ovalität]],2,FALSE)</f>
        <v>#N/A</v>
      </c>
    </row>
    <row r="2743" spans="5:28" x14ac:dyDescent="0.35">
      <c r="E2743">
        <v>2734</v>
      </c>
      <c r="F2743" t="e">
        <f>INDEX(Stammdaten[D Mitte mit Rinde (mm)],MATCH(Tabelle8[[#This Row],[Rank]],Stammdaten[Rank Verteilung D Mitte mit Rinde],0))</f>
        <v>#N/A</v>
      </c>
      <c r="G2743" t="e">
        <f>VLOOKUP(Tabelle8[[#This Row],[Rank]],Stammdaten[[Rank Verteilung D Mitte mit Rinde]:[Verteilung D Mitte mit Rinde]],2,FALSE)</f>
        <v>#N/A</v>
      </c>
      <c r="L2743">
        <v>2734</v>
      </c>
      <c r="M2743" t="e">
        <f>INDEX(Stammdaten[Abholzigkeit (mm/lfm)],MATCH(Tabelle9[[#This Row],[Rank]],Stammdaten[Rank Verteilung Abholzigkeit],0))</f>
        <v>#N/A</v>
      </c>
      <c r="N2743" t="e">
        <f>VLOOKUP(Tabelle9[[#This Row],[Rank]],Stammdaten[[Rank Verteilung Abholzigkeit]:[Verteilung Abholzigkeit]],2,FALSE)</f>
        <v>#N/A</v>
      </c>
      <c r="S2743">
        <v>2734</v>
      </c>
      <c r="T2743" t="e">
        <f>INDEX(Stammdaten[Krümmung (mm/lfm)],MATCH(Tabelle10[[#This Row],[Rank]],Stammdaten[Rank Verteilung Krümmung],0))</f>
        <v>#N/A</v>
      </c>
      <c r="U2743" t="e">
        <f>VLOOKUP(Tabelle10[[#This Row],[Rank]],Stammdaten[[Rank Verteilung Krümmung]:[Verteilung Krümmung]],2,FALSE)</f>
        <v>#N/A</v>
      </c>
      <c r="Z2743">
        <v>2734</v>
      </c>
      <c r="AA2743" t="e">
        <f>INDEX(Stammdaten[Ovalität (']0,1'])],MATCH(Tabelle1014[[#This Row],[Rank]],Stammdaten[Rank Verteilung Ovalität],0))</f>
        <v>#N/A</v>
      </c>
      <c r="AB2743" t="e">
        <f>VLOOKUP(Tabelle1014[[#This Row],[Rank]],Stammdaten[[Rank Verteilung Ovalität]:[Verteilung Ovalität]],2,FALSE)</f>
        <v>#N/A</v>
      </c>
    </row>
    <row r="2744" spans="5:28" x14ac:dyDescent="0.35">
      <c r="E2744">
        <v>2735</v>
      </c>
      <c r="F2744" t="e">
        <f>INDEX(Stammdaten[D Mitte mit Rinde (mm)],MATCH(Tabelle8[[#This Row],[Rank]],Stammdaten[Rank Verteilung D Mitte mit Rinde],0))</f>
        <v>#N/A</v>
      </c>
      <c r="G2744" t="e">
        <f>VLOOKUP(Tabelle8[[#This Row],[Rank]],Stammdaten[[Rank Verteilung D Mitte mit Rinde]:[Verteilung D Mitte mit Rinde]],2,FALSE)</f>
        <v>#N/A</v>
      </c>
      <c r="L2744">
        <v>2735</v>
      </c>
      <c r="M2744" t="e">
        <f>INDEX(Stammdaten[Abholzigkeit (mm/lfm)],MATCH(Tabelle9[[#This Row],[Rank]],Stammdaten[Rank Verteilung Abholzigkeit],0))</f>
        <v>#N/A</v>
      </c>
      <c r="N2744" t="e">
        <f>VLOOKUP(Tabelle9[[#This Row],[Rank]],Stammdaten[[Rank Verteilung Abholzigkeit]:[Verteilung Abholzigkeit]],2,FALSE)</f>
        <v>#N/A</v>
      </c>
      <c r="S2744">
        <v>2735</v>
      </c>
      <c r="T2744" t="e">
        <f>INDEX(Stammdaten[Krümmung (mm/lfm)],MATCH(Tabelle10[[#This Row],[Rank]],Stammdaten[Rank Verteilung Krümmung],0))</f>
        <v>#N/A</v>
      </c>
      <c r="U2744" t="e">
        <f>VLOOKUP(Tabelle10[[#This Row],[Rank]],Stammdaten[[Rank Verteilung Krümmung]:[Verteilung Krümmung]],2,FALSE)</f>
        <v>#N/A</v>
      </c>
      <c r="Z2744">
        <v>2735</v>
      </c>
      <c r="AA2744" t="e">
        <f>INDEX(Stammdaten[Ovalität (']0,1'])],MATCH(Tabelle1014[[#This Row],[Rank]],Stammdaten[Rank Verteilung Ovalität],0))</f>
        <v>#N/A</v>
      </c>
      <c r="AB2744" t="e">
        <f>VLOOKUP(Tabelle1014[[#This Row],[Rank]],Stammdaten[[Rank Verteilung Ovalität]:[Verteilung Ovalität]],2,FALSE)</f>
        <v>#N/A</v>
      </c>
    </row>
    <row r="2745" spans="5:28" x14ac:dyDescent="0.35">
      <c r="E2745">
        <v>2736</v>
      </c>
      <c r="F2745" t="e">
        <f>INDEX(Stammdaten[D Mitte mit Rinde (mm)],MATCH(Tabelle8[[#This Row],[Rank]],Stammdaten[Rank Verteilung D Mitte mit Rinde],0))</f>
        <v>#N/A</v>
      </c>
      <c r="G2745" t="e">
        <f>VLOOKUP(Tabelle8[[#This Row],[Rank]],Stammdaten[[Rank Verteilung D Mitte mit Rinde]:[Verteilung D Mitte mit Rinde]],2,FALSE)</f>
        <v>#N/A</v>
      </c>
      <c r="L2745">
        <v>2736</v>
      </c>
      <c r="M2745" t="e">
        <f>INDEX(Stammdaten[Abholzigkeit (mm/lfm)],MATCH(Tabelle9[[#This Row],[Rank]],Stammdaten[Rank Verteilung Abholzigkeit],0))</f>
        <v>#N/A</v>
      </c>
      <c r="N2745" t="e">
        <f>VLOOKUP(Tabelle9[[#This Row],[Rank]],Stammdaten[[Rank Verteilung Abholzigkeit]:[Verteilung Abholzigkeit]],2,FALSE)</f>
        <v>#N/A</v>
      </c>
      <c r="S2745">
        <v>2736</v>
      </c>
      <c r="T2745" t="e">
        <f>INDEX(Stammdaten[Krümmung (mm/lfm)],MATCH(Tabelle10[[#This Row],[Rank]],Stammdaten[Rank Verteilung Krümmung],0))</f>
        <v>#N/A</v>
      </c>
      <c r="U2745" t="e">
        <f>VLOOKUP(Tabelle10[[#This Row],[Rank]],Stammdaten[[Rank Verteilung Krümmung]:[Verteilung Krümmung]],2,FALSE)</f>
        <v>#N/A</v>
      </c>
      <c r="Z2745">
        <v>2736</v>
      </c>
      <c r="AA2745" t="e">
        <f>INDEX(Stammdaten[Ovalität (']0,1'])],MATCH(Tabelle1014[[#This Row],[Rank]],Stammdaten[Rank Verteilung Ovalität],0))</f>
        <v>#N/A</v>
      </c>
      <c r="AB2745" t="e">
        <f>VLOOKUP(Tabelle1014[[#This Row],[Rank]],Stammdaten[[Rank Verteilung Ovalität]:[Verteilung Ovalität]],2,FALSE)</f>
        <v>#N/A</v>
      </c>
    </row>
    <row r="2746" spans="5:28" x14ac:dyDescent="0.35">
      <c r="E2746">
        <v>2737</v>
      </c>
      <c r="F2746" t="e">
        <f>INDEX(Stammdaten[D Mitte mit Rinde (mm)],MATCH(Tabelle8[[#This Row],[Rank]],Stammdaten[Rank Verteilung D Mitte mit Rinde],0))</f>
        <v>#N/A</v>
      </c>
      <c r="G2746" t="e">
        <f>VLOOKUP(Tabelle8[[#This Row],[Rank]],Stammdaten[[Rank Verteilung D Mitte mit Rinde]:[Verteilung D Mitte mit Rinde]],2,FALSE)</f>
        <v>#N/A</v>
      </c>
      <c r="L2746">
        <v>2737</v>
      </c>
      <c r="M2746" t="e">
        <f>INDEX(Stammdaten[Abholzigkeit (mm/lfm)],MATCH(Tabelle9[[#This Row],[Rank]],Stammdaten[Rank Verteilung Abholzigkeit],0))</f>
        <v>#N/A</v>
      </c>
      <c r="N2746" t="e">
        <f>VLOOKUP(Tabelle9[[#This Row],[Rank]],Stammdaten[[Rank Verteilung Abholzigkeit]:[Verteilung Abholzigkeit]],2,FALSE)</f>
        <v>#N/A</v>
      </c>
      <c r="S2746">
        <v>2737</v>
      </c>
      <c r="T2746" t="e">
        <f>INDEX(Stammdaten[Krümmung (mm/lfm)],MATCH(Tabelle10[[#This Row],[Rank]],Stammdaten[Rank Verteilung Krümmung],0))</f>
        <v>#N/A</v>
      </c>
      <c r="U2746" t="e">
        <f>VLOOKUP(Tabelle10[[#This Row],[Rank]],Stammdaten[[Rank Verteilung Krümmung]:[Verteilung Krümmung]],2,FALSE)</f>
        <v>#N/A</v>
      </c>
      <c r="Z2746">
        <v>2737</v>
      </c>
      <c r="AA2746" t="e">
        <f>INDEX(Stammdaten[Ovalität (']0,1'])],MATCH(Tabelle1014[[#This Row],[Rank]],Stammdaten[Rank Verteilung Ovalität],0))</f>
        <v>#N/A</v>
      </c>
      <c r="AB2746" t="e">
        <f>VLOOKUP(Tabelle1014[[#This Row],[Rank]],Stammdaten[[Rank Verteilung Ovalität]:[Verteilung Ovalität]],2,FALSE)</f>
        <v>#N/A</v>
      </c>
    </row>
    <row r="2747" spans="5:28" x14ac:dyDescent="0.35">
      <c r="E2747">
        <v>2738</v>
      </c>
      <c r="F2747" t="e">
        <f>INDEX(Stammdaten[D Mitte mit Rinde (mm)],MATCH(Tabelle8[[#This Row],[Rank]],Stammdaten[Rank Verteilung D Mitte mit Rinde],0))</f>
        <v>#N/A</v>
      </c>
      <c r="G2747" t="e">
        <f>VLOOKUP(Tabelle8[[#This Row],[Rank]],Stammdaten[[Rank Verteilung D Mitte mit Rinde]:[Verteilung D Mitte mit Rinde]],2,FALSE)</f>
        <v>#N/A</v>
      </c>
      <c r="L2747">
        <v>2738</v>
      </c>
      <c r="M2747" t="e">
        <f>INDEX(Stammdaten[Abholzigkeit (mm/lfm)],MATCH(Tabelle9[[#This Row],[Rank]],Stammdaten[Rank Verteilung Abholzigkeit],0))</f>
        <v>#N/A</v>
      </c>
      <c r="N2747" t="e">
        <f>VLOOKUP(Tabelle9[[#This Row],[Rank]],Stammdaten[[Rank Verteilung Abholzigkeit]:[Verteilung Abholzigkeit]],2,FALSE)</f>
        <v>#N/A</v>
      </c>
      <c r="S2747">
        <v>2738</v>
      </c>
      <c r="T2747" t="e">
        <f>INDEX(Stammdaten[Krümmung (mm/lfm)],MATCH(Tabelle10[[#This Row],[Rank]],Stammdaten[Rank Verteilung Krümmung],0))</f>
        <v>#N/A</v>
      </c>
      <c r="U2747" t="e">
        <f>VLOOKUP(Tabelle10[[#This Row],[Rank]],Stammdaten[[Rank Verteilung Krümmung]:[Verteilung Krümmung]],2,FALSE)</f>
        <v>#N/A</v>
      </c>
      <c r="Z2747">
        <v>2738</v>
      </c>
      <c r="AA2747" t="e">
        <f>INDEX(Stammdaten[Ovalität (']0,1'])],MATCH(Tabelle1014[[#This Row],[Rank]],Stammdaten[Rank Verteilung Ovalität],0))</f>
        <v>#N/A</v>
      </c>
      <c r="AB2747" t="e">
        <f>VLOOKUP(Tabelle1014[[#This Row],[Rank]],Stammdaten[[Rank Verteilung Ovalität]:[Verteilung Ovalität]],2,FALSE)</f>
        <v>#N/A</v>
      </c>
    </row>
    <row r="2748" spans="5:28" x14ac:dyDescent="0.35">
      <c r="E2748">
        <v>2739</v>
      </c>
      <c r="F2748" t="e">
        <f>INDEX(Stammdaten[D Mitte mit Rinde (mm)],MATCH(Tabelle8[[#This Row],[Rank]],Stammdaten[Rank Verteilung D Mitte mit Rinde],0))</f>
        <v>#N/A</v>
      </c>
      <c r="G2748" t="e">
        <f>VLOOKUP(Tabelle8[[#This Row],[Rank]],Stammdaten[[Rank Verteilung D Mitte mit Rinde]:[Verteilung D Mitte mit Rinde]],2,FALSE)</f>
        <v>#N/A</v>
      </c>
      <c r="L2748">
        <v>2739</v>
      </c>
      <c r="M2748" t="e">
        <f>INDEX(Stammdaten[Abholzigkeit (mm/lfm)],MATCH(Tabelle9[[#This Row],[Rank]],Stammdaten[Rank Verteilung Abholzigkeit],0))</f>
        <v>#N/A</v>
      </c>
      <c r="N2748" t="e">
        <f>VLOOKUP(Tabelle9[[#This Row],[Rank]],Stammdaten[[Rank Verteilung Abholzigkeit]:[Verteilung Abholzigkeit]],2,FALSE)</f>
        <v>#N/A</v>
      </c>
      <c r="S2748">
        <v>2739</v>
      </c>
      <c r="T2748" t="e">
        <f>INDEX(Stammdaten[Krümmung (mm/lfm)],MATCH(Tabelle10[[#This Row],[Rank]],Stammdaten[Rank Verteilung Krümmung],0))</f>
        <v>#N/A</v>
      </c>
      <c r="U2748" t="e">
        <f>VLOOKUP(Tabelle10[[#This Row],[Rank]],Stammdaten[[Rank Verteilung Krümmung]:[Verteilung Krümmung]],2,FALSE)</f>
        <v>#N/A</v>
      </c>
      <c r="Z2748">
        <v>2739</v>
      </c>
      <c r="AA2748" t="e">
        <f>INDEX(Stammdaten[Ovalität (']0,1'])],MATCH(Tabelle1014[[#This Row],[Rank]],Stammdaten[Rank Verteilung Ovalität],0))</f>
        <v>#N/A</v>
      </c>
      <c r="AB2748" t="e">
        <f>VLOOKUP(Tabelle1014[[#This Row],[Rank]],Stammdaten[[Rank Verteilung Ovalität]:[Verteilung Ovalität]],2,FALSE)</f>
        <v>#N/A</v>
      </c>
    </row>
    <row r="2749" spans="5:28" x14ac:dyDescent="0.35">
      <c r="E2749">
        <v>2740</v>
      </c>
      <c r="F2749" t="e">
        <f>INDEX(Stammdaten[D Mitte mit Rinde (mm)],MATCH(Tabelle8[[#This Row],[Rank]],Stammdaten[Rank Verteilung D Mitte mit Rinde],0))</f>
        <v>#N/A</v>
      </c>
      <c r="G2749" t="e">
        <f>VLOOKUP(Tabelle8[[#This Row],[Rank]],Stammdaten[[Rank Verteilung D Mitte mit Rinde]:[Verteilung D Mitte mit Rinde]],2,FALSE)</f>
        <v>#N/A</v>
      </c>
      <c r="L2749">
        <v>2740</v>
      </c>
      <c r="M2749" t="e">
        <f>INDEX(Stammdaten[Abholzigkeit (mm/lfm)],MATCH(Tabelle9[[#This Row],[Rank]],Stammdaten[Rank Verteilung Abholzigkeit],0))</f>
        <v>#N/A</v>
      </c>
      <c r="N2749" t="e">
        <f>VLOOKUP(Tabelle9[[#This Row],[Rank]],Stammdaten[[Rank Verteilung Abholzigkeit]:[Verteilung Abholzigkeit]],2,FALSE)</f>
        <v>#N/A</v>
      </c>
      <c r="S2749">
        <v>2740</v>
      </c>
      <c r="T2749" t="e">
        <f>INDEX(Stammdaten[Krümmung (mm/lfm)],MATCH(Tabelle10[[#This Row],[Rank]],Stammdaten[Rank Verteilung Krümmung],0))</f>
        <v>#N/A</v>
      </c>
      <c r="U2749" t="e">
        <f>VLOOKUP(Tabelle10[[#This Row],[Rank]],Stammdaten[[Rank Verteilung Krümmung]:[Verteilung Krümmung]],2,FALSE)</f>
        <v>#N/A</v>
      </c>
      <c r="Z2749">
        <v>2740</v>
      </c>
      <c r="AA2749" t="e">
        <f>INDEX(Stammdaten[Ovalität (']0,1'])],MATCH(Tabelle1014[[#This Row],[Rank]],Stammdaten[Rank Verteilung Ovalität],0))</f>
        <v>#N/A</v>
      </c>
      <c r="AB2749" t="e">
        <f>VLOOKUP(Tabelle1014[[#This Row],[Rank]],Stammdaten[[Rank Verteilung Ovalität]:[Verteilung Ovalität]],2,FALSE)</f>
        <v>#N/A</v>
      </c>
    </row>
    <row r="2750" spans="5:28" x14ac:dyDescent="0.35">
      <c r="E2750">
        <v>2741</v>
      </c>
      <c r="F2750" t="e">
        <f>INDEX(Stammdaten[D Mitte mit Rinde (mm)],MATCH(Tabelle8[[#This Row],[Rank]],Stammdaten[Rank Verteilung D Mitte mit Rinde],0))</f>
        <v>#N/A</v>
      </c>
      <c r="G2750" t="e">
        <f>VLOOKUP(Tabelle8[[#This Row],[Rank]],Stammdaten[[Rank Verteilung D Mitte mit Rinde]:[Verteilung D Mitte mit Rinde]],2,FALSE)</f>
        <v>#N/A</v>
      </c>
      <c r="L2750">
        <v>2741</v>
      </c>
      <c r="M2750" t="e">
        <f>INDEX(Stammdaten[Abholzigkeit (mm/lfm)],MATCH(Tabelle9[[#This Row],[Rank]],Stammdaten[Rank Verteilung Abholzigkeit],0))</f>
        <v>#N/A</v>
      </c>
      <c r="N2750" t="e">
        <f>VLOOKUP(Tabelle9[[#This Row],[Rank]],Stammdaten[[Rank Verteilung Abholzigkeit]:[Verteilung Abholzigkeit]],2,FALSE)</f>
        <v>#N/A</v>
      </c>
      <c r="S2750">
        <v>2741</v>
      </c>
      <c r="T2750" t="e">
        <f>INDEX(Stammdaten[Krümmung (mm/lfm)],MATCH(Tabelle10[[#This Row],[Rank]],Stammdaten[Rank Verteilung Krümmung],0))</f>
        <v>#N/A</v>
      </c>
      <c r="U2750" t="e">
        <f>VLOOKUP(Tabelle10[[#This Row],[Rank]],Stammdaten[[Rank Verteilung Krümmung]:[Verteilung Krümmung]],2,FALSE)</f>
        <v>#N/A</v>
      </c>
      <c r="Z2750">
        <v>2741</v>
      </c>
      <c r="AA2750" t="e">
        <f>INDEX(Stammdaten[Ovalität (']0,1'])],MATCH(Tabelle1014[[#This Row],[Rank]],Stammdaten[Rank Verteilung Ovalität],0))</f>
        <v>#N/A</v>
      </c>
      <c r="AB2750" t="e">
        <f>VLOOKUP(Tabelle1014[[#This Row],[Rank]],Stammdaten[[Rank Verteilung Ovalität]:[Verteilung Ovalität]],2,FALSE)</f>
        <v>#N/A</v>
      </c>
    </row>
    <row r="2751" spans="5:28" x14ac:dyDescent="0.35">
      <c r="E2751">
        <v>2742</v>
      </c>
      <c r="F2751" t="e">
        <f>INDEX(Stammdaten[D Mitte mit Rinde (mm)],MATCH(Tabelle8[[#This Row],[Rank]],Stammdaten[Rank Verteilung D Mitte mit Rinde],0))</f>
        <v>#N/A</v>
      </c>
      <c r="G2751" t="e">
        <f>VLOOKUP(Tabelle8[[#This Row],[Rank]],Stammdaten[[Rank Verteilung D Mitte mit Rinde]:[Verteilung D Mitte mit Rinde]],2,FALSE)</f>
        <v>#N/A</v>
      </c>
      <c r="L2751">
        <v>2742</v>
      </c>
      <c r="M2751" t="e">
        <f>INDEX(Stammdaten[Abholzigkeit (mm/lfm)],MATCH(Tabelle9[[#This Row],[Rank]],Stammdaten[Rank Verteilung Abholzigkeit],0))</f>
        <v>#N/A</v>
      </c>
      <c r="N2751" t="e">
        <f>VLOOKUP(Tabelle9[[#This Row],[Rank]],Stammdaten[[Rank Verteilung Abholzigkeit]:[Verteilung Abholzigkeit]],2,FALSE)</f>
        <v>#N/A</v>
      </c>
      <c r="S2751">
        <v>2742</v>
      </c>
      <c r="T2751" t="e">
        <f>INDEX(Stammdaten[Krümmung (mm/lfm)],MATCH(Tabelle10[[#This Row],[Rank]],Stammdaten[Rank Verteilung Krümmung],0))</f>
        <v>#N/A</v>
      </c>
      <c r="U2751" t="e">
        <f>VLOOKUP(Tabelle10[[#This Row],[Rank]],Stammdaten[[Rank Verteilung Krümmung]:[Verteilung Krümmung]],2,FALSE)</f>
        <v>#N/A</v>
      </c>
      <c r="Z2751">
        <v>2742</v>
      </c>
      <c r="AA2751" t="e">
        <f>INDEX(Stammdaten[Ovalität (']0,1'])],MATCH(Tabelle1014[[#This Row],[Rank]],Stammdaten[Rank Verteilung Ovalität],0))</f>
        <v>#N/A</v>
      </c>
      <c r="AB2751" t="e">
        <f>VLOOKUP(Tabelle1014[[#This Row],[Rank]],Stammdaten[[Rank Verteilung Ovalität]:[Verteilung Ovalität]],2,FALSE)</f>
        <v>#N/A</v>
      </c>
    </row>
    <row r="2752" spans="5:28" x14ac:dyDescent="0.35">
      <c r="E2752">
        <v>2743</v>
      </c>
      <c r="F2752" t="e">
        <f>INDEX(Stammdaten[D Mitte mit Rinde (mm)],MATCH(Tabelle8[[#This Row],[Rank]],Stammdaten[Rank Verteilung D Mitte mit Rinde],0))</f>
        <v>#N/A</v>
      </c>
      <c r="G2752" t="e">
        <f>VLOOKUP(Tabelle8[[#This Row],[Rank]],Stammdaten[[Rank Verteilung D Mitte mit Rinde]:[Verteilung D Mitte mit Rinde]],2,FALSE)</f>
        <v>#N/A</v>
      </c>
      <c r="L2752">
        <v>2743</v>
      </c>
      <c r="M2752" t="e">
        <f>INDEX(Stammdaten[Abholzigkeit (mm/lfm)],MATCH(Tabelle9[[#This Row],[Rank]],Stammdaten[Rank Verteilung Abholzigkeit],0))</f>
        <v>#N/A</v>
      </c>
      <c r="N2752" t="e">
        <f>VLOOKUP(Tabelle9[[#This Row],[Rank]],Stammdaten[[Rank Verteilung Abholzigkeit]:[Verteilung Abholzigkeit]],2,FALSE)</f>
        <v>#N/A</v>
      </c>
      <c r="S2752">
        <v>2743</v>
      </c>
      <c r="T2752" t="e">
        <f>INDEX(Stammdaten[Krümmung (mm/lfm)],MATCH(Tabelle10[[#This Row],[Rank]],Stammdaten[Rank Verteilung Krümmung],0))</f>
        <v>#N/A</v>
      </c>
      <c r="U2752" t="e">
        <f>VLOOKUP(Tabelle10[[#This Row],[Rank]],Stammdaten[[Rank Verteilung Krümmung]:[Verteilung Krümmung]],2,FALSE)</f>
        <v>#N/A</v>
      </c>
      <c r="Z2752">
        <v>2743</v>
      </c>
      <c r="AA2752" t="e">
        <f>INDEX(Stammdaten[Ovalität (']0,1'])],MATCH(Tabelle1014[[#This Row],[Rank]],Stammdaten[Rank Verteilung Ovalität],0))</f>
        <v>#N/A</v>
      </c>
      <c r="AB2752" t="e">
        <f>VLOOKUP(Tabelle1014[[#This Row],[Rank]],Stammdaten[[Rank Verteilung Ovalität]:[Verteilung Ovalität]],2,FALSE)</f>
        <v>#N/A</v>
      </c>
    </row>
    <row r="2753" spans="5:28" x14ac:dyDescent="0.35">
      <c r="E2753">
        <v>2744</v>
      </c>
      <c r="F2753" t="e">
        <f>INDEX(Stammdaten[D Mitte mit Rinde (mm)],MATCH(Tabelle8[[#This Row],[Rank]],Stammdaten[Rank Verteilung D Mitte mit Rinde],0))</f>
        <v>#N/A</v>
      </c>
      <c r="G2753" t="e">
        <f>VLOOKUP(Tabelle8[[#This Row],[Rank]],Stammdaten[[Rank Verteilung D Mitte mit Rinde]:[Verteilung D Mitte mit Rinde]],2,FALSE)</f>
        <v>#N/A</v>
      </c>
      <c r="L2753">
        <v>2744</v>
      </c>
      <c r="M2753" t="e">
        <f>INDEX(Stammdaten[Abholzigkeit (mm/lfm)],MATCH(Tabelle9[[#This Row],[Rank]],Stammdaten[Rank Verteilung Abholzigkeit],0))</f>
        <v>#N/A</v>
      </c>
      <c r="N2753" t="e">
        <f>VLOOKUP(Tabelle9[[#This Row],[Rank]],Stammdaten[[Rank Verteilung Abholzigkeit]:[Verteilung Abholzigkeit]],2,FALSE)</f>
        <v>#N/A</v>
      </c>
      <c r="S2753">
        <v>2744</v>
      </c>
      <c r="T2753" t="e">
        <f>INDEX(Stammdaten[Krümmung (mm/lfm)],MATCH(Tabelle10[[#This Row],[Rank]],Stammdaten[Rank Verteilung Krümmung],0))</f>
        <v>#N/A</v>
      </c>
      <c r="U2753" t="e">
        <f>VLOOKUP(Tabelle10[[#This Row],[Rank]],Stammdaten[[Rank Verteilung Krümmung]:[Verteilung Krümmung]],2,FALSE)</f>
        <v>#N/A</v>
      </c>
      <c r="Z2753">
        <v>2744</v>
      </c>
      <c r="AA2753" t="e">
        <f>INDEX(Stammdaten[Ovalität (']0,1'])],MATCH(Tabelle1014[[#This Row],[Rank]],Stammdaten[Rank Verteilung Ovalität],0))</f>
        <v>#N/A</v>
      </c>
      <c r="AB2753" t="e">
        <f>VLOOKUP(Tabelle1014[[#This Row],[Rank]],Stammdaten[[Rank Verteilung Ovalität]:[Verteilung Ovalität]],2,FALSE)</f>
        <v>#N/A</v>
      </c>
    </row>
    <row r="2754" spans="5:28" x14ac:dyDescent="0.35">
      <c r="E2754">
        <v>2745</v>
      </c>
      <c r="F2754" t="e">
        <f>INDEX(Stammdaten[D Mitte mit Rinde (mm)],MATCH(Tabelle8[[#This Row],[Rank]],Stammdaten[Rank Verteilung D Mitte mit Rinde],0))</f>
        <v>#N/A</v>
      </c>
      <c r="G2754" t="e">
        <f>VLOOKUP(Tabelle8[[#This Row],[Rank]],Stammdaten[[Rank Verteilung D Mitte mit Rinde]:[Verteilung D Mitte mit Rinde]],2,FALSE)</f>
        <v>#N/A</v>
      </c>
      <c r="L2754">
        <v>2745</v>
      </c>
      <c r="M2754" t="e">
        <f>INDEX(Stammdaten[Abholzigkeit (mm/lfm)],MATCH(Tabelle9[[#This Row],[Rank]],Stammdaten[Rank Verteilung Abholzigkeit],0))</f>
        <v>#N/A</v>
      </c>
      <c r="N2754" t="e">
        <f>VLOOKUP(Tabelle9[[#This Row],[Rank]],Stammdaten[[Rank Verteilung Abholzigkeit]:[Verteilung Abholzigkeit]],2,FALSE)</f>
        <v>#N/A</v>
      </c>
      <c r="S2754">
        <v>2745</v>
      </c>
      <c r="T2754" t="e">
        <f>INDEX(Stammdaten[Krümmung (mm/lfm)],MATCH(Tabelle10[[#This Row],[Rank]],Stammdaten[Rank Verteilung Krümmung],0))</f>
        <v>#N/A</v>
      </c>
      <c r="U2754" t="e">
        <f>VLOOKUP(Tabelle10[[#This Row],[Rank]],Stammdaten[[Rank Verteilung Krümmung]:[Verteilung Krümmung]],2,FALSE)</f>
        <v>#N/A</v>
      </c>
      <c r="Z2754">
        <v>2745</v>
      </c>
      <c r="AA2754" t="e">
        <f>INDEX(Stammdaten[Ovalität (']0,1'])],MATCH(Tabelle1014[[#This Row],[Rank]],Stammdaten[Rank Verteilung Ovalität],0))</f>
        <v>#N/A</v>
      </c>
      <c r="AB2754" t="e">
        <f>VLOOKUP(Tabelle1014[[#This Row],[Rank]],Stammdaten[[Rank Verteilung Ovalität]:[Verteilung Ovalität]],2,FALSE)</f>
        <v>#N/A</v>
      </c>
    </row>
    <row r="2755" spans="5:28" x14ac:dyDescent="0.35">
      <c r="E2755">
        <v>2746</v>
      </c>
      <c r="F2755" t="e">
        <f>INDEX(Stammdaten[D Mitte mit Rinde (mm)],MATCH(Tabelle8[[#This Row],[Rank]],Stammdaten[Rank Verteilung D Mitte mit Rinde],0))</f>
        <v>#N/A</v>
      </c>
      <c r="G2755" t="e">
        <f>VLOOKUP(Tabelle8[[#This Row],[Rank]],Stammdaten[[Rank Verteilung D Mitte mit Rinde]:[Verteilung D Mitte mit Rinde]],2,FALSE)</f>
        <v>#N/A</v>
      </c>
      <c r="L2755">
        <v>2746</v>
      </c>
      <c r="M2755" t="e">
        <f>INDEX(Stammdaten[Abholzigkeit (mm/lfm)],MATCH(Tabelle9[[#This Row],[Rank]],Stammdaten[Rank Verteilung Abholzigkeit],0))</f>
        <v>#N/A</v>
      </c>
      <c r="N2755" t="e">
        <f>VLOOKUP(Tabelle9[[#This Row],[Rank]],Stammdaten[[Rank Verteilung Abholzigkeit]:[Verteilung Abholzigkeit]],2,FALSE)</f>
        <v>#N/A</v>
      </c>
      <c r="S2755">
        <v>2746</v>
      </c>
      <c r="T2755" t="e">
        <f>INDEX(Stammdaten[Krümmung (mm/lfm)],MATCH(Tabelle10[[#This Row],[Rank]],Stammdaten[Rank Verteilung Krümmung],0))</f>
        <v>#N/A</v>
      </c>
      <c r="U2755" t="e">
        <f>VLOOKUP(Tabelle10[[#This Row],[Rank]],Stammdaten[[Rank Verteilung Krümmung]:[Verteilung Krümmung]],2,FALSE)</f>
        <v>#N/A</v>
      </c>
      <c r="Z2755">
        <v>2746</v>
      </c>
      <c r="AA2755" t="e">
        <f>INDEX(Stammdaten[Ovalität (']0,1'])],MATCH(Tabelle1014[[#This Row],[Rank]],Stammdaten[Rank Verteilung Ovalität],0))</f>
        <v>#N/A</v>
      </c>
      <c r="AB2755" t="e">
        <f>VLOOKUP(Tabelle1014[[#This Row],[Rank]],Stammdaten[[Rank Verteilung Ovalität]:[Verteilung Ovalität]],2,FALSE)</f>
        <v>#N/A</v>
      </c>
    </row>
    <row r="2756" spans="5:28" x14ac:dyDescent="0.35">
      <c r="E2756">
        <v>2747</v>
      </c>
      <c r="F2756" t="e">
        <f>INDEX(Stammdaten[D Mitte mit Rinde (mm)],MATCH(Tabelle8[[#This Row],[Rank]],Stammdaten[Rank Verteilung D Mitte mit Rinde],0))</f>
        <v>#N/A</v>
      </c>
      <c r="G2756" t="e">
        <f>VLOOKUP(Tabelle8[[#This Row],[Rank]],Stammdaten[[Rank Verteilung D Mitte mit Rinde]:[Verteilung D Mitte mit Rinde]],2,FALSE)</f>
        <v>#N/A</v>
      </c>
      <c r="L2756">
        <v>2747</v>
      </c>
      <c r="M2756" t="e">
        <f>INDEX(Stammdaten[Abholzigkeit (mm/lfm)],MATCH(Tabelle9[[#This Row],[Rank]],Stammdaten[Rank Verteilung Abholzigkeit],0))</f>
        <v>#N/A</v>
      </c>
      <c r="N2756" t="e">
        <f>VLOOKUP(Tabelle9[[#This Row],[Rank]],Stammdaten[[Rank Verteilung Abholzigkeit]:[Verteilung Abholzigkeit]],2,FALSE)</f>
        <v>#N/A</v>
      </c>
      <c r="S2756">
        <v>2747</v>
      </c>
      <c r="T2756" t="e">
        <f>INDEX(Stammdaten[Krümmung (mm/lfm)],MATCH(Tabelle10[[#This Row],[Rank]],Stammdaten[Rank Verteilung Krümmung],0))</f>
        <v>#N/A</v>
      </c>
      <c r="U2756" t="e">
        <f>VLOOKUP(Tabelle10[[#This Row],[Rank]],Stammdaten[[Rank Verteilung Krümmung]:[Verteilung Krümmung]],2,FALSE)</f>
        <v>#N/A</v>
      </c>
      <c r="Z2756">
        <v>2747</v>
      </c>
      <c r="AA2756" t="e">
        <f>INDEX(Stammdaten[Ovalität (']0,1'])],MATCH(Tabelle1014[[#This Row],[Rank]],Stammdaten[Rank Verteilung Ovalität],0))</f>
        <v>#N/A</v>
      </c>
      <c r="AB2756" t="e">
        <f>VLOOKUP(Tabelle1014[[#This Row],[Rank]],Stammdaten[[Rank Verteilung Ovalität]:[Verteilung Ovalität]],2,FALSE)</f>
        <v>#N/A</v>
      </c>
    </row>
    <row r="2757" spans="5:28" x14ac:dyDescent="0.35">
      <c r="E2757">
        <v>2748</v>
      </c>
      <c r="F2757" t="e">
        <f>INDEX(Stammdaten[D Mitte mit Rinde (mm)],MATCH(Tabelle8[[#This Row],[Rank]],Stammdaten[Rank Verteilung D Mitte mit Rinde],0))</f>
        <v>#N/A</v>
      </c>
      <c r="G2757" t="e">
        <f>VLOOKUP(Tabelle8[[#This Row],[Rank]],Stammdaten[[Rank Verteilung D Mitte mit Rinde]:[Verteilung D Mitte mit Rinde]],2,FALSE)</f>
        <v>#N/A</v>
      </c>
      <c r="L2757">
        <v>2748</v>
      </c>
      <c r="M2757" t="e">
        <f>INDEX(Stammdaten[Abholzigkeit (mm/lfm)],MATCH(Tabelle9[[#This Row],[Rank]],Stammdaten[Rank Verteilung Abholzigkeit],0))</f>
        <v>#N/A</v>
      </c>
      <c r="N2757" t="e">
        <f>VLOOKUP(Tabelle9[[#This Row],[Rank]],Stammdaten[[Rank Verteilung Abholzigkeit]:[Verteilung Abholzigkeit]],2,FALSE)</f>
        <v>#N/A</v>
      </c>
      <c r="S2757">
        <v>2748</v>
      </c>
      <c r="T2757" t="e">
        <f>INDEX(Stammdaten[Krümmung (mm/lfm)],MATCH(Tabelle10[[#This Row],[Rank]],Stammdaten[Rank Verteilung Krümmung],0))</f>
        <v>#N/A</v>
      </c>
      <c r="U2757" t="e">
        <f>VLOOKUP(Tabelle10[[#This Row],[Rank]],Stammdaten[[Rank Verteilung Krümmung]:[Verteilung Krümmung]],2,FALSE)</f>
        <v>#N/A</v>
      </c>
      <c r="Z2757">
        <v>2748</v>
      </c>
      <c r="AA2757" t="e">
        <f>INDEX(Stammdaten[Ovalität (']0,1'])],MATCH(Tabelle1014[[#This Row],[Rank]],Stammdaten[Rank Verteilung Ovalität],0))</f>
        <v>#N/A</v>
      </c>
      <c r="AB2757" t="e">
        <f>VLOOKUP(Tabelle1014[[#This Row],[Rank]],Stammdaten[[Rank Verteilung Ovalität]:[Verteilung Ovalität]],2,FALSE)</f>
        <v>#N/A</v>
      </c>
    </row>
    <row r="2758" spans="5:28" x14ac:dyDescent="0.35">
      <c r="E2758">
        <v>2749</v>
      </c>
      <c r="F2758" t="e">
        <f>INDEX(Stammdaten[D Mitte mit Rinde (mm)],MATCH(Tabelle8[[#This Row],[Rank]],Stammdaten[Rank Verteilung D Mitte mit Rinde],0))</f>
        <v>#N/A</v>
      </c>
      <c r="G2758" t="e">
        <f>VLOOKUP(Tabelle8[[#This Row],[Rank]],Stammdaten[[Rank Verteilung D Mitte mit Rinde]:[Verteilung D Mitte mit Rinde]],2,FALSE)</f>
        <v>#N/A</v>
      </c>
      <c r="L2758">
        <v>2749</v>
      </c>
      <c r="M2758" t="e">
        <f>INDEX(Stammdaten[Abholzigkeit (mm/lfm)],MATCH(Tabelle9[[#This Row],[Rank]],Stammdaten[Rank Verteilung Abholzigkeit],0))</f>
        <v>#N/A</v>
      </c>
      <c r="N2758" t="e">
        <f>VLOOKUP(Tabelle9[[#This Row],[Rank]],Stammdaten[[Rank Verteilung Abholzigkeit]:[Verteilung Abholzigkeit]],2,FALSE)</f>
        <v>#N/A</v>
      </c>
      <c r="S2758">
        <v>2749</v>
      </c>
      <c r="T2758" t="e">
        <f>INDEX(Stammdaten[Krümmung (mm/lfm)],MATCH(Tabelle10[[#This Row],[Rank]],Stammdaten[Rank Verteilung Krümmung],0))</f>
        <v>#N/A</v>
      </c>
      <c r="U2758" t="e">
        <f>VLOOKUP(Tabelle10[[#This Row],[Rank]],Stammdaten[[Rank Verteilung Krümmung]:[Verteilung Krümmung]],2,FALSE)</f>
        <v>#N/A</v>
      </c>
      <c r="Z2758">
        <v>2749</v>
      </c>
      <c r="AA2758" t="e">
        <f>INDEX(Stammdaten[Ovalität (']0,1'])],MATCH(Tabelle1014[[#This Row],[Rank]],Stammdaten[Rank Verteilung Ovalität],0))</f>
        <v>#N/A</v>
      </c>
      <c r="AB2758" t="e">
        <f>VLOOKUP(Tabelle1014[[#This Row],[Rank]],Stammdaten[[Rank Verteilung Ovalität]:[Verteilung Ovalität]],2,FALSE)</f>
        <v>#N/A</v>
      </c>
    </row>
    <row r="2759" spans="5:28" x14ac:dyDescent="0.35">
      <c r="E2759">
        <v>2750</v>
      </c>
      <c r="F2759" t="e">
        <f>INDEX(Stammdaten[D Mitte mit Rinde (mm)],MATCH(Tabelle8[[#This Row],[Rank]],Stammdaten[Rank Verteilung D Mitte mit Rinde],0))</f>
        <v>#N/A</v>
      </c>
      <c r="G2759" t="e">
        <f>VLOOKUP(Tabelle8[[#This Row],[Rank]],Stammdaten[[Rank Verteilung D Mitte mit Rinde]:[Verteilung D Mitte mit Rinde]],2,FALSE)</f>
        <v>#N/A</v>
      </c>
      <c r="L2759">
        <v>2750</v>
      </c>
      <c r="M2759" t="e">
        <f>INDEX(Stammdaten[Abholzigkeit (mm/lfm)],MATCH(Tabelle9[[#This Row],[Rank]],Stammdaten[Rank Verteilung Abholzigkeit],0))</f>
        <v>#N/A</v>
      </c>
      <c r="N2759" t="e">
        <f>VLOOKUP(Tabelle9[[#This Row],[Rank]],Stammdaten[[Rank Verteilung Abholzigkeit]:[Verteilung Abholzigkeit]],2,FALSE)</f>
        <v>#N/A</v>
      </c>
      <c r="S2759">
        <v>2750</v>
      </c>
      <c r="T2759" t="e">
        <f>INDEX(Stammdaten[Krümmung (mm/lfm)],MATCH(Tabelle10[[#This Row],[Rank]],Stammdaten[Rank Verteilung Krümmung],0))</f>
        <v>#N/A</v>
      </c>
      <c r="U2759" t="e">
        <f>VLOOKUP(Tabelle10[[#This Row],[Rank]],Stammdaten[[Rank Verteilung Krümmung]:[Verteilung Krümmung]],2,FALSE)</f>
        <v>#N/A</v>
      </c>
      <c r="Z2759">
        <v>2750</v>
      </c>
      <c r="AA2759" t="e">
        <f>INDEX(Stammdaten[Ovalität (']0,1'])],MATCH(Tabelle1014[[#This Row],[Rank]],Stammdaten[Rank Verteilung Ovalität],0))</f>
        <v>#N/A</v>
      </c>
      <c r="AB2759" t="e">
        <f>VLOOKUP(Tabelle1014[[#This Row],[Rank]],Stammdaten[[Rank Verteilung Ovalität]:[Verteilung Ovalität]],2,FALSE)</f>
        <v>#N/A</v>
      </c>
    </row>
    <row r="2760" spans="5:28" x14ac:dyDescent="0.35">
      <c r="E2760">
        <v>2751</v>
      </c>
      <c r="F2760" t="e">
        <f>INDEX(Stammdaten[D Mitte mit Rinde (mm)],MATCH(Tabelle8[[#This Row],[Rank]],Stammdaten[Rank Verteilung D Mitte mit Rinde],0))</f>
        <v>#N/A</v>
      </c>
      <c r="G2760" t="e">
        <f>VLOOKUP(Tabelle8[[#This Row],[Rank]],Stammdaten[[Rank Verteilung D Mitte mit Rinde]:[Verteilung D Mitte mit Rinde]],2,FALSE)</f>
        <v>#N/A</v>
      </c>
      <c r="L2760">
        <v>2751</v>
      </c>
      <c r="M2760" t="e">
        <f>INDEX(Stammdaten[Abholzigkeit (mm/lfm)],MATCH(Tabelle9[[#This Row],[Rank]],Stammdaten[Rank Verteilung Abholzigkeit],0))</f>
        <v>#N/A</v>
      </c>
      <c r="N2760" t="e">
        <f>VLOOKUP(Tabelle9[[#This Row],[Rank]],Stammdaten[[Rank Verteilung Abholzigkeit]:[Verteilung Abholzigkeit]],2,FALSE)</f>
        <v>#N/A</v>
      </c>
      <c r="S2760">
        <v>2751</v>
      </c>
      <c r="T2760" t="e">
        <f>INDEX(Stammdaten[Krümmung (mm/lfm)],MATCH(Tabelle10[[#This Row],[Rank]],Stammdaten[Rank Verteilung Krümmung],0))</f>
        <v>#N/A</v>
      </c>
      <c r="U2760" t="e">
        <f>VLOOKUP(Tabelle10[[#This Row],[Rank]],Stammdaten[[Rank Verteilung Krümmung]:[Verteilung Krümmung]],2,FALSE)</f>
        <v>#N/A</v>
      </c>
      <c r="Z2760">
        <v>2751</v>
      </c>
      <c r="AA2760" t="e">
        <f>INDEX(Stammdaten[Ovalität (']0,1'])],MATCH(Tabelle1014[[#This Row],[Rank]],Stammdaten[Rank Verteilung Ovalität],0))</f>
        <v>#N/A</v>
      </c>
      <c r="AB2760" t="e">
        <f>VLOOKUP(Tabelle1014[[#This Row],[Rank]],Stammdaten[[Rank Verteilung Ovalität]:[Verteilung Ovalität]],2,FALSE)</f>
        <v>#N/A</v>
      </c>
    </row>
    <row r="2761" spans="5:28" x14ac:dyDescent="0.35">
      <c r="E2761">
        <v>2752</v>
      </c>
      <c r="F2761" t="e">
        <f>INDEX(Stammdaten[D Mitte mit Rinde (mm)],MATCH(Tabelle8[[#This Row],[Rank]],Stammdaten[Rank Verteilung D Mitte mit Rinde],0))</f>
        <v>#N/A</v>
      </c>
      <c r="G2761" t="e">
        <f>VLOOKUP(Tabelle8[[#This Row],[Rank]],Stammdaten[[Rank Verteilung D Mitte mit Rinde]:[Verteilung D Mitte mit Rinde]],2,FALSE)</f>
        <v>#N/A</v>
      </c>
      <c r="L2761">
        <v>2752</v>
      </c>
      <c r="M2761" t="e">
        <f>INDEX(Stammdaten[Abholzigkeit (mm/lfm)],MATCH(Tabelle9[[#This Row],[Rank]],Stammdaten[Rank Verteilung Abholzigkeit],0))</f>
        <v>#N/A</v>
      </c>
      <c r="N2761" t="e">
        <f>VLOOKUP(Tabelle9[[#This Row],[Rank]],Stammdaten[[Rank Verteilung Abholzigkeit]:[Verteilung Abholzigkeit]],2,FALSE)</f>
        <v>#N/A</v>
      </c>
      <c r="S2761">
        <v>2752</v>
      </c>
      <c r="T2761" t="e">
        <f>INDEX(Stammdaten[Krümmung (mm/lfm)],MATCH(Tabelle10[[#This Row],[Rank]],Stammdaten[Rank Verteilung Krümmung],0))</f>
        <v>#N/A</v>
      </c>
      <c r="U2761" t="e">
        <f>VLOOKUP(Tabelle10[[#This Row],[Rank]],Stammdaten[[Rank Verteilung Krümmung]:[Verteilung Krümmung]],2,FALSE)</f>
        <v>#N/A</v>
      </c>
      <c r="Z2761">
        <v>2752</v>
      </c>
      <c r="AA2761" t="e">
        <f>INDEX(Stammdaten[Ovalität (']0,1'])],MATCH(Tabelle1014[[#This Row],[Rank]],Stammdaten[Rank Verteilung Ovalität],0))</f>
        <v>#N/A</v>
      </c>
      <c r="AB2761" t="e">
        <f>VLOOKUP(Tabelle1014[[#This Row],[Rank]],Stammdaten[[Rank Verteilung Ovalität]:[Verteilung Ovalität]],2,FALSE)</f>
        <v>#N/A</v>
      </c>
    </row>
    <row r="2762" spans="5:28" x14ac:dyDescent="0.35">
      <c r="E2762">
        <v>2753</v>
      </c>
      <c r="F2762" t="e">
        <f>INDEX(Stammdaten[D Mitte mit Rinde (mm)],MATCH(Tabelle8[[#This Row],[Rank]],Stammdaten[Rank Verteilung D Mitte mit Rinde],0))</f>
        <v>#N/A</v>
      </c>
      <c r="G2762" t="e">
        <f>VLOOKUP(Tabelle8[[#This Row],[Rank]],Stammdaten[[Rank Verteilung D Mitte mit Rinde]:[Verteilung D Mitte mit Rinde]],2,FALSE)</f>
        <v>#N/A</v>
      </c>
      <c r="L2762">
        <v>2753</v>
      </c>
      <c r="M2762" t="e">
        <f>INDEX(Stammdaten[Abholzigkeit (mm/lfm)],MATCH(Tabelle9[[#This Row],[Rank]],Stammdaten[Rank Verteilung Abholzigkeit],0))</f>
        <v>#N/A</v>
      </c>
      <c r="N2762" t="e">
        <f>VLOOKUP(Tabelle9[[#This Row],[Rank]],Stammdaten[[Rank Verteilung Abholzigkeit]:[Verteilung Abholzigkeit]],2,FALSE)</f>
        <v>#N/A</v>
      </c>
      <c r="S2762">
        <v>2753</v>
      </c>
      <c r="T2762" t="e">
        <f>INDEX(Stammdaten[Krümmung (mm/lfm)],MATCH(Tabelle10[[#This Row],[Rank]],Stammdaten[Rank Verteilung Krümmung],0))</f>
        <v>#N/A</v>
      </c>
      <c r="U2762" t="e">
        <f>VLOOKUP(Tabelle10[[#This Row],[Rank]],Stammdaten[[Rank Verteilung Krümmung]:[Verteilung Krümmung]],2,FALSE)</f>
        <v>#N/A</v>
      </c>
      <c r="Z2762">
        <v>2753</v>
      </c>
      <c r="AA2762" t="e">
        <f>INDEX(Stammdaten[Ovalität (']0,1'])],MATCH(Tabelle1014[[#This Row],[Rank]],Stammdaten[Rank Verteilung Ovalität],0))</f>
        <v>#N/A</v>
      </c>
      <c r="AB2762" t="e">
        <f>VLOOKUP(Tabelle1014[[#This Row],[Rank]],Stammdaten[[Rank Verteilung Ovalität]:[Verteilung Ovalität]],2,FALSE)</f>
        <v>#N/A</v>
      </c>
    </row>
    <row r="2763" spans="5:28" x14ac:dyDescent="0.35">
      <c r="E2763">
        <v>2754</v>
      </c>
      <c r="F2763" t="e">
        <f>INDEX(Stammdaten[D Mitte mit Rinde (mm)],MATCH(Tabelle8[[#This Row],[Rank]],Stammdaten[Rank Verteilung D Mitte mit Rinde],0))</f>
        <v>#N/A</v>
      </c>
      <c r="G2763" t="e">
        <f>VLOOKUP(Tabelle8[[#This Row],[Rank]],Stammdaten[[Rank Verteilung D Mitte mit Rinde]:[Verteilung D Mitte mit Rinde]],2,FALSE)</f>
        <v>#N/A</v>
      </c>
      <c r="L2763">
        <v>2754</v>
      </c>
      <c r="M2763" t="e">
        <f>INDEX(Stammdaten[Abholzigkeit (mm/lfm)],MATCH(Tabelle9[[#This Row],[Rank]],Stammdaten[Rank Verteilung Abholzigkeit],0))</f>
        <v>#N/A</v>
      </c>
      <c r="N2763" t="e">
        <f>VLOOKUP(Tabelle9[[#This Row],[Rank]],Stammdaten[[Rank Verteilung Abholzigkeit]:[Verteilung Abholzigkeit]],2,FALSE)</f>
        <v>#N/A</v>
      </c>
      <c r="S2763">
        <v>2754</v>
      </c>
      <c r="T2763" t="e">
        <f>INDEX(Stammdaten[Krümmung (mm/lfm)],MATCH(Tabelle10[[#This Row],[Rank]],Stammdaten[Rank Verteilung Krümmung],0))</f>
        <v>#N/A</v>
      </c>
      <c r="U2763" t="e">
        <f>VLOOKUP(Tabelle10[[#This Row],[Rank]],Stammdaten[[Rank Verteilung Krümmung]:[Verteilung Krümmung]],2,FALSE)</f>
        <v>#N/A</v>
      </c>
      <c r="Z2763">
        <v>2754</v>
      </c>
      <c r="AA2763" t="e">
        <f>INDEX(Stammdaten[Ovalität (']0,1'])],MATCH(Tabelle1014[[#This Row],[Rank]],Stammdaten[Rank Verteilung Ovalität],0))</f>
        <v>#N/A</v>
      </c>
      <c r="AB2763" t="e">
        <f>VLOOKUP(Tabelle1014[[#This Row],[Rank]],Stammdaten[[Rank Verteilung Ovalität]:[Verteilung Ovalität]],2,FALSE)</f>
        <v>#N/A</v>
      </c>
    </row>
    <row r="2764" spans="5:28" x14ac:dyDescent="0.35">
      <c r="E2764">
        <v>2755</v>
      </c>
      <c r="F2764" t="e">
        <f>INDEX(Stammdaten[D Mitte mit Rinde (mm)],MATCH(Tabelle8[[#This Row],[Rank]],Stammdaten[Rank Verteilung D Mitte mit Rinde],0))</f>
        <v>#N/A</v>
      </c>
      <c r="G2764" t="e">
        <f>VLOOKUP(Tabelle8[[#This Row],[Rank]],Stammdaten[[Rank Verteilung D Mitte mit Rinde]:[Verteilung D Mitte mit Rinde]],2,FALSE)</f>
        <v>#N/A</v>
      </c>
      <c r="L2764">
        <v>2755</v>
      </c>
      <c r="M2764" t="e">
        <f>INDEX(Stammdaten[Abholzigkeit (mm/lfm)],MATCH(Tabelle9[[#This Row],[Rank]],Stammdaten[Rank Verteilung Abholzigkeit],0))</f>
        <v>#N/A</v>
      </c>
      <c r="N2764" t="e">
        <f>VLOOKUP(Tabelle9[[#This Row],[Rank]],Stammdaten[[Rank Verteilung Abholzigkeit]:[Verteilung Abholzigkeit]],2,FALSE)</f>
        <v>#N/A</v>
      </c>
      <c r="S2764">
        <v>2755</v>
      </c>
      <c r="T2764" t="e">
        <f>INDEX(Stammdaten[Krümmung (mm/lfm)],MATCH(Tabelle10[[#This Row],[Rank]],Stammdaten[Rank Verteilung Krümmung],0))</f>
        <v>#N/A</v>
      </c>
      <c r="U2764" t="e">
        <f>VLOOKUP(Tabelle10[[#This Row],[Rank]],Stammdaten[[Rank Verteilung Krümmung]:[Verteilung Krümmung]],2,FALSE)</f>
        <v>#N/A</v>
      </c>
      <c r="Z2764">
        <v>2755</v>
      </c>
      <c r="AA2764" t="e">
        <f>INDEX(Stammdaten[Ovalität (']0,1'])],MATCH(Tabelle1014[[#This Row],[Rank]],Stammdaten[Rank Verteilung Ovalität],0))</f>
        <v>#N/A</v>
      </c>
      <c r="AB2764" t="e">
        <f>VLOOKUP(Tabelle1014[[#This Row],[Rank]],Stammdaten[[Rank Verteilung Ovalität]:[Verteilung Ovalität]],2,FALSE)</f>
        <v>#N/A</v>
      </c>
    </row>
    <row r="2765" spans="5:28" x14ac:dyDescent="0.35">
      <c r="E2765">
        <v>2756</v>
      </c>
      <c r="F2765" t="e">
        <f>INDEX(Stammdaten[D Mitte mit Rinde (mm)],MATCH(Tabelle8[[#This Row],[Rank]],Stammdaten[Rank Verteilung D Mitte mit Rinde],0))</f>
        <v>#N/A</v>
      </c>
      <c r="G2765" t="e">
        <f>VLOOKUP(Tabelle8[[#This Row],[Rank]],Stammdaten[[Rank Verteilung D Mitte mit Rinde]:[Verteilung D Mitte mit Rinde]],2,FALSE)</f>
        <v>#N/A</v>
      </c>
      <c r="L2765">
        <v>2756</v>
      </c>
      <c r="M2765" t="e">
        <f>INDEX(Stammdaten[Abholzigkeit (mm/lfm)],MATCH(Tabelle9[[#This Row],[Rank]],Stammdaten[Rank Verteilung Abholzigkeit],0))</f>
        <v>#N/A</v>
      </c>
      <c r="N2765" t="e">
        <f>VLOOKUP(Tabelle9[[#This Row],[Rank]],Stammdaten[[Rank Verteilung Abholzigkeit]:[Verteilung Abholzigkeit]],2,FALSE)</f>
        <v>#N/A</v>
      </c>
      <c r="S2765">
        <v>2756</v>
      </c>
      <c r="T2765" t="e">
        <f>INDEX(Stammdaten[Krümmung (mm/lfm)],MATCH(Tabelle10[[#This Row],[Rank]],Stammdaten[Rank Verteilung Krümmung],0))</f>
        <v>#N/A</v>
      </c>
      <c r="U2765" t="e">
        <f>VLOOKUP(Tabelle10[[#This Row],[Rank]],Stammdaten[[Rank Verteilung Krümmung]:[Verteilung Krümmung]],2,FALSE)</f>
        <v>#N/A</v>
      </c>
      <c r="Z2765">
        <v>2756</v>
      </c>
      <c r="AA2765" t="e">
        <f>INDEX(Stammdaten[Ovalität (']0,1'])],MATCH(Tabelle1014[[#This Row],[Rank]],Stammdaten[Rank Verteilung Ovalität],0))</f>
        <v>#N/A</v>
      </c>
      <c r="AB2765" t="e">
        <f>VLOOKUP(Tabelle1014[[#This Row],[Rank]],Stammdaten[[Rank Verteilung Ovalität]:[Verteilung Ovalität]],2,FALSE)</f>
        <v>#N/A</v>
      </c>
    </row>
    <row r="2766" spans="5:28" x14ac:dyDescent="0.35">
      <c r="E2766">
        <v>2757</v>
      </c>
      <c r="F2766" t="e">
        <f>INDEX(Stammdaten[D Mitte mit Rinde (mm)],MATCH(Tabelle8[[#This Row],[Rank]],Stammdaten[Rank Verteilung D Mitte mit Rinde],0))</f>
        <v>#N/A</v>
      </c>
      <c r="G2766" t="e">
        <f>VLOOKUP(Tabelle8[[#This Row],[Rank]],Stammdaten[[Rank Verteilung D Mitte mit Rinde]:[Verteilung D Mitte mit Rinde]],2,FALSE)</f>
        <v>#N/A</v>
      </c>
      <c r="L2766">
        <v>2757</v>
      </c>
      <c r="M2766" t="e">
        <f>INDEX(Stammdaten[Abholzigkeit (mm/lfm)],MATCH(Tabelle9[[#This Row],[Rank]],Stammdaten[Rank Verteilung Abholzigkeit],0))</f>
        <v>#N/A</v>
      </c>
      <c r="N2766" t="e">
        <f>VLOOKUP(Tabelle9[[#This Row],[Rank]],Stammdaten[[Rank Verteilung Abholzigkeit]:[Verteilung Abholzigkeit]],2,FALSE)</f>
        <v>#N/A</v>
      </c>
      <c r="S2766">
        <v>2757</v>
      </c>
      <c r="T2766" t="e">
        <f>INDEX(Stammdaten[Krümmung (mm/lfm)],MATCH(Tabelle10[[#This Row],[Rank]],Stammdaten[Rank Verteilung Krümmung],0))</f>
        <v>#N/A</v>
      </c>
      <c r="U2766" t="e">
        <f>VLOOKUP(Tabelle10[[#This Row],[Rank]],Stammdaten[[Rank Verteilung Krümmung]:[Verteilung Krümmung]],2,FALSE)</f>
        <v>#N/A</v>
      </c>
      <c r="Z2766">
        <v>2757</v>
      </c>
      <c r="AA2766" t="e">
        <f>INDEX(Stammdaten[Ovalität (']0,1'])],MATCH(Tabelle1014[[#This Row],[Rank]],Stammdaten[Rank Verteilung Ovalität],0))</f>
        <v>#N/A</v>
      </c>
      <c r="AB2766" t="e">
        <f>VLOOKUP(Tabelle1014[[#This Row],[Rank]],Stammdaten[[Rank Verteilung Ovalität]:[Verteilung Ovalität]],2,FALSE)</f>
        <v>#N/A</v>
      </c>
    </row>
    <row r="2767" spans="5:28" x14ac:dyDescent="0.35">
      <c r="E2767">
        <v>2758</v>
      </c>
      <c r="F2767" t="e">
        <f>INDEX(Stammdaten[D Mitte mit Rinde (mm)],MATCH(Tabelle8[[#This Row],[Rank]],Stammdaten[Rank Verteilung D Mitte mit Rinde],0))</f>
        <v>#N/A</v>
      </c>
      <c r="G2767" t="e">
        <f>VLOOKUP(Tabelle8[[#This Row],[Rank]],Stammdaten[[Rank Verteilung D Mitte mit Rinde]:[Verteilung D Mitte mit Rinde]],2,FALSE)</f>
        <v>#N/A</v>
      </c>
      <c r="L2767">
        <v>2758</v>
      </c>
      <c r="M2767" t="e">
        <f>INDEX(Stammdaten[Abholzigkeit (mm/lfm)],MATCH(Tabelle9[[#This Row],[Rank]],Stammdaten[Rank Verteilung Abholzigkeit],0))</f>
        <v>#N/A</v>
      </c>
      <c r="N2767" t="e">
        <f>VLOOKUP(Tabelle9[[#This Row],[Rank]],Stammdaten[[Rank Verteilung Abholzigkeit]:[Verteilung Abholzigkeit]],2,FALSE)</f>
        <v>#N/A</v>
      </c>
      <c r="S2767">
        <v>2758</v>
      </c>
      <c r="T2767" t="e">
        <f>INDEX(Stammdaten[Krümmung (mm/lfm)],MATCH(Tabelle10[[#This Row],[Rank]],Stammdaten[Rank Verteilung Krümmung],0))</f>
        <v>#N/A</v>
      </c>
      <c r="U2767" t="e">
        <f>VLOOKUP(Tabelle10[[#This Row],[Rank]],Stammdaten[[Rank Verteilung Krümmung]:[Verteilung Krümmung]],2,FALSE)</f>
        <v>#N/A</v>
      </c>
      <c r="Z2767">
        <v>2758</v>
      </c>
      <c r="AA2767" t="e">
        <f>INDEX(Stammdaten[Ovalität (']0,1'])],MATCH(Tabelle1014[[#This Row],[Rank]],Stammdaten[Rank Verteilung Ovalität],0))</f>
        <v>#N/A</v>
      </c>
      <c r="AB2767" t="e">
        <f>VLOOKUP(Tabelle1014[[#This Row],[Rank]],Stammdaten[[Rank Verteilung Ovalität]:[Verteilung Ovalität]],2,FALSE)</f>
        <v>#N/A</v>
      </c>
    </row>
    <row r="2768" spans="5:28" x14ac:dyDescent="0.35">
      <c r="E2768">
        <v>2759</v>
      </c>
      <c r="F2768" t="e">
        <f>INDEX(Stammdaten[D Mitte mit Rinde (mm)],MATCH(Tabelle8[[#This Row],[Rank]],Stammdaten[Rank Verteilung D Mitte mit Rinde],0))</f>
        <v>#N/A</v>
      </c>
      <c r="G2768" t="e">
        <f>VLOOKUP(Tabelle8[[#This Row],[Rank]],Stammdaten[[Rank Verteilung D Mitte mit Rinde]:[Verteilung D Mitte mit Rinde]],2,FALSE)</f>
        <v>#N/A</v>
      </c>
      <c r="L2768">
        <v>2759</v>
      </c>
      <c r="M2768" t="e">
        <f>INDEX(Stammdaten[Abholzigkeit (mm/lfm)],MATCH(Tabelle9[[#This Row],[Rank]],Stammdaten[Rank Verteilung Abholzigkeit],0))</f>
        <v>#N/A</v>
      </c>
      <c r="N2768" t="e">
        <f>VLOOKUP(Tabelle9[[#This Row],[Rank]],Stammdaten[[Rank Verteilung Abholzigkeit]:[Verteilung Abholzigkeit]],2,FALSE)</f>
        <v>#N/A</v>
      </c>
      <c r="S2768">
        <v>2759</v>
      </c>
      <c r="T2768" t="e">
        <f>INDEX(Stammdaten[Krümmung (mm/lfm)],MATCH(Tabelle10[[#This Row],[Rank]],Stammdaten[Rank Verteilung Krümmung],0))</f>
        <v>#N/A</v>
      </c>
      <c r="U2768" t="e">
        <f>VLOOKUP(Tabelle10[[#This Row],[Rank]],Stammdaten[[Rank Verteilung Krümmung]:[Verteilung Krümmung]],2,FALSE)</f>
        <v>#N/A</v>
      </c>
      <c r="Z2768">
        <v>2759</v>
      </c>
      <c r="AA2768" t="e">
        <f>INDEX(Stammdaten[Ovalität (']0,1'])],MATCH(Tabelle1014[[#This Row],[Rank]],Stammdaten[Rank Verteilung Ovalität],0))</f>
        <v>#N/A</v>
      </c>
      <c r="AB2768" t="e">
        <f>VLOOKUP(Tabelle1014[[#This Row],[Rank]],Stammdaten[[Rank Verteilung Ovalität]:[Verteilung Ovalität]],2,FALSE)</f>
        <v>#N/A</v>
      </c>
    </row>
    <row r="2769" spans="5:28" x14ac:dyDescent="0.35">
      <c r="E2769">
        <v>2760</v>
      </c>
      <c r="F2769" t="e">
        <f>INDEX(Stammdaten[D Mitte mit Rinde (mm)],MATCH(Tabelle8[[#This Row],[Rank]],Stammdaten[Rank Verteilung D Mitte mit Rinde],0))</f>
        <v>#N/A</v>
      </c>
      <c r="G2769" t="e">
        <f>VLOOKUP(Tabelle8[[#This Row],[Rank]],Stammdaten[[Rank Verteilung D Mitte mit Rinde]:[Verteilung D Mitte mit Rinde]],2,FALSE)</f>
        <v>#N/A</v>
      </c>
      <c r="L2769">
        <v>2760</v>
      </c>
      <c r="M2769" t="e">
        <f>INDEX(Stammdaten[Abholzigkeit (mm/lfm)],MATCH(Tabelle9[[#This Row],[Rank]],Stammdaten[Rank Verteilung Abholzigkeit],0))</f>
        <v>#N/A</v>
      </c>
      <c r="N2769" t="e">
        <f>VLOOKUP(Tabelle9[[#This Row],[Rank]],Stammdaten[[Rank Verteilung Abholzigkeit]:[Verteilung Abholzigkeit]],2,FALSE)</f>
        <v>#N/A</v>
      </c>
      <c r="S2769">
        <v>2760</v>
      </c>
      <c r="T2769" t="e">
        <f>INDEX(Stammdaten[Krümmung (mm/lfm)],MATCH(Tabelle10[[#This Row],[Rank]],Stammdaten[Rank Verteilung Krümmung],0))</f>
        <v>#N/A</v>
      </c>
      <c r="U2769" t="e">
        <f>VLOOKUP(Tabelle10[[#This Row],[Rank]],Stammdaten[[Rank Verteilung Krümmung]:[Verteilung Krümmung]],2,FALSE)</f>
        <v>#N/A</v>
      </c>
      <c r="Z2769">
        <v>2760</v>
      </c>
      <c r="AA2769" t="e">
        <f>INDEX(Stammdaten[Ovalität (']0,1'])],MATCH(Tabelle1014[[#This Row],[Rank]],Stammdaten[Rank Verteilung Ovalität],0))</f>
        <v>#N/A</v>
      </c>
      <c r="AB2769" t="e">
        <f>VLOOKUP(Tabelle1014[[#This Row],[Rank]],Stammdaten[[Rank Verteilung Ovalität]:[Verteilung Ovalität]],2,FALSE)</f>
        <v>#N/A</v>
      </c>
    </row>
    <row r="2770" spans="5:28" x14ac:dyDescent="0.35">
      <c r="E2770">
        <v>2761</v>
      </c>
      <c r="F2770" t="e">
        <f>INDEX(Stammdaten[D Mitte mit Rinde (mm)],MATCH(Tabelle8[[#This Row],[Rank]],Stammdaten[Rank Verteilung D Mitte mit Rinde],0))</f>
        <v>#N/A</v>
      </c>
      <c r="G2770" t="e">
        <f>VLOOKUP(Tabelle8[[#This Row],[Rank]],Stammdaten[[Rank Verteilung D Mitte mit Rinde]:[Verteilung D Mitte mit Rinde]],2,FALSE)</f>
        <v>#N/A</v>
      </c>
      <c r="L2770">
        <v>2761</v>
      </c>
      <c r="M2770" t="e">
        <f>INDEX(Stammdaten[Abholzigkeit (mm/lfm)],MATCH(Tabelle9[[#This Row],[Rank]],Stammdaten[Rank Verteilung Abholzigkeit],0))</f>
        <v>#N/A</v>
      </c>
      <c r="N2770" t="e">
        <f>VLOOKUP(Tabelle9[[#This Row],[Rank]],Stammdaten[[Rank Verteilung Abholzigkeit]:[Verteilung Abholzigkeit]],2,FALSE)</f>
        <v>#N/A</v>
      </c>
      <c r="S2770">
        <v>2761</v>
      </c>
      <c r="T2770" t="e">
        <f>INDEX(Stammdaten[Krümmung (mm/lfm)],MATCH(Tabelle10[[#This Row],[Rank]],Stammdaten[Rank Verteilung Krümmung],0))</f>
        <v>#N/A</v>
      </c>
      <c r="U2770" t="e">
        <f>VLOOKUP(Tabelle10[[#This Row],[Rank]],Stammdaten[[Rank Verteilung Krümmung]:[Verteilung Krümmung]],2,FALSE)</f>
        <v>#N/A</v>
      </c>
      <c r="Z2770">
        <v>2761</v>
      </c>
      <c r="AA2770" t="e">
        <f>INDEX(Stammdaten[Ovalität (']0,1'])],MATCH(Tabelle1014[[#This Row],[Rank]],Stammdaten[Rank Verteilung Ovalität],0))</f>
        <v>#N/A</v>
      </c>
      <c r="AB2770" t="e">
        <f>VLOOKUP(Tabelle1014[[#This Row],[Rank]],Stammdaten[[Rank Verteilung Ovalität]:[Verteilung Ovalität]],2,FALSE)</f>
        <v>#N/A</v>
      </c>
    </row>
    <row r="2771" spans="5:28" x14ac:dyDescent="0.35">
      <c r="E2771">
        <v>2762</v>
      </c>
      <c r="F2771" t="e">
        <f>INDEX(Stammdaten[D Mitte mit Rinde (mm)],MATCH(Tabelle8[[#This Row],[Rank]],Stammdaten[Rank Verteilung D Mitte mit Rinde],0))</f>
        <v>#N/A</v>
      </c>
      <c r="G2771" t="e">
        <f>VLOOKUP(Tabelle8[[#This Row],[Rank]],Stammdaten[[Rank Verteilung D Mitte mit Rinde]:[Verteilung D Mitte mit Rinde]],2,FALSE)</f>
        <v>#N/A</v>
      </c>
      <c r="L2771">
        <v>2762</v>
      </c>
      <c r="M2771" t="e">
        <f>INDEX(Stammdaten[Abholzigkeit (mm/lfm)],MATCH(Tabelle9[[#This Row],[Rank]],Stammdaten[Rank Verteilung Abholzigkeit],0))</f>
        <v>#N/A</v>
      </c>
      <c r="N2771" t="e">
        <f>VLOOKUP(Tabelle9[[#This Row],[Rank]],Stammdaten[[Rank Verteilung Abholzigkeit]:[Verteilung Abholzigkeit]],2,FALSE)</f>
        <v>#N/A</v>
      </c>
      <c r="S2771">
        <v>2762</v>
      </c>
      <c r="T2771" t="e">
        <f>INDEX(Stammdaten[Krümmung (mm/lfm)],MATCH(Tabelle10[[#This Row],[Rank]],Stammdaten[Rank Verteilung Krümmung],0))</f>
        <v>#N/A</v>
      </c>
      <c r="U2771" t="e">
        <f>VLOOKUP(Tabelle10[[#This Row],[Rank]],Stammdaten[[Rank Verteilung Krümmung]:[Verteilung Krümmung]],2,FALSE)</f>
        <v>#N/A</v>
      </c>
      <c r="Z2771">
        <v>2762</v>
      </c>
      <c r="AA2771" t="e">
        <f>INDEX(Stammdaten[Ovalität (']0,1'])],MATCH(Tabelle1014[[#This Row],[Rank]],Stammdaten[Rank Verteilung Ovalität],0))</f>
        <v>#N/A</v>
      </c>
      <c r="AB2771" t="e">
        <f>VLOOKUP(Tabelle1014[[#This Row],[Rank]],Stammdaten[[Rank Verteilung Ovalität]:[Verteilung Ovalität]],2,FALSE)</f>
        <v>#N/A</v>
      </c>
    </row>
    <row r="2772" spans="5:28" x14ac:dyDescent="0.35">
      <c r="E2772">
        <v>2763</v>
      </c>
      <c r="F2772" t="e">
        <f>INDEX(Stammdaten[D Mitte mit Rinde (mm)],MATCH(Tabelle8[[#This Row],[Rank]],Stammdaten[Rank Verteilung D Mitte mit Rinde],0))</f>
        <v>#N/A</v>
      </c>
      <c r="G2772" t="e">
        <f>VLOOKUP(Tabelle8[[#This Row],[Rank]],Stammdaten[[Rank Verteilung D Mitte mit Rinde]:[Verteilung D Mitte mit Rinde]],2,FALSE)</f>
        <v>#N/A</v>
      </c>
      <c r="L2772">
        <v>2763</v>
      </c>
      <c r="M2772" t="e">
        <f>INDEX(Stammdaten[Abholzigkeit (mm/lfm)],MATCH(Tabelle9[[#This Row],[Rank]],Stammdaten[Rank Verteilung Abholzigkeit],0))</f>
        <v>#N/A</v>
      </c>
      <c r="N2772" t="e">
        <f>VLOOKUP(Tabelle9[[#This Row],[Rank]],Stammdaten[[Rank Verteilung Abholzigkeit]:[Verteilung Abholzigkeit]],2,FALSE)</f>
        <v>#N/A</v>
      </c>
      <c r="S2772">
        <v>2763</v>
      </c>
      <c r="T2772" t="e">
        <f>INDEX(Stammdaten[Krümmung (mm/lfm)],MATCH(Tabelle10[[#This Row],[Rank]],Stammdaten[Rank Verteilung Krümmung],0))</f>
        <v>#N/A</v>
      </c>
      <c r="U2772" t="e">
        <f>VLOOKUP(Tabelle10[[#This Row],[Rank]],Stammdaten[[Rank Verteilung Krümmung]:[Verteilung Krümmung]],2,FALSE)</f>
        <v>#N/A</v>
      </c>
      <c r="Z2772">
        <v>2763</v>
      </c>
      <c r="AA2772" t="e">
        <f>INDEX(Stammdaten[Ovalität (']0,1'])],MATCH(Tabelle1014[[#This Row],[Rank]],Stammdaten[Rank Verteilung Ovalität],0))</f>
        <v>#N/A</v>
      </c>
      <c r="AB2772" t="e">
        <f>VLOOKUP(Tabelle1014[[#This Row],[Rank]],Stammdaten[[Rank Verteilung Ovalität]:[Verteilung Ovalität]],2,FALSE)</f>
        <v>#N/A</v>
      </c>
    </row>
    <row r="2773" spans="5:28" x14ac:dyDescent="0.35">
      <c r="E2773">
        <v>2764</v>
      </c>
      <c r="F2773" t="e">
        <f>INDEX(Stammdaten[D Mitte mit Rinde (mm)],MATCH(Tabelle8[[#This Row],[Rank]],Stammdaten[Rank Verteilung D Mitte mit Rinde],0))</f>
        <v>#N/A</v>
      </c>
      <c r="G2773" t="e">
        <f>VLOOKUP(Tabelle8[[#This Row],[Rank]],Stammdaten[[Rank Verteilung D Mitte mit Rinde]:[Verteilung D Mitte mit Rinde]],2,FALSE)</f>
        <v>#N/A</v>
      </c>
      <c r="L2773">
        <v>2764</v>
      </c>
      <c r="M2773" t="e">
        <f>INDEX(Stammdaten[Abholzigkeit (mm/lfm)],MATCH(Tabelle9[[#This Row],[Rank]],Stammdaten[Rank Verteilung Abholzigkeit],0))</f>
        <v>#N/A</v>
      </c>
      <c r="N2773" t="e">
        <f>VLOOKUP(Tabelle9[[#This Row],[Rank]],Stammdaten[[Rank Verteilung Abholzigkeit]:[Verteilung Abholzigkeit]],2,FALSE)</f>
        <v>#N/A</v>
      </c>
      <c r="S2773">
        <v>2764</v>
      </c>
      <c r="T2773" t="e">
        <f>INDEX(Stammdaten[Krümmung (mm/lfm)],MATCH(Tabelle10[[#This Row],[Rank]],Stammdaten[Rank Verteilung Krümmung],0))</f>
        <v>#N/A</v>
      </c>
      <c r="U2773" t="e">
        <f>VLOOKUP(Tabelle10[[#This Row],[Rank]],Stammdaten[[Rank Verteilung Krümmung]:[Verteilung Krümmung]],2,FALSE)</f>
        <v>#N/A</v>
      </c>
      <c r="Z2773">
        <v>2764</v>
      </c>
      <c r="AA2773" t="e">
        <f>INDEX(Stammdaten[Ovalität (']0,1'])],MATCH(Tabelle1014[[#This Row],[Rank]],Stammdaten[Rank Verteilung Ovalität],0))</f>
        <v>#N/A</v>
      </c>
      <c r="AB2773" t="e">
        <f>VLOOKUP(Tabelle1014[[#This Row],[Rank]],Stammdaten[[Rank Verteilung Ovalität]:[Verteilung Ovalität]],2,FALSE)</f>
        <v>#N/A</v>
      </c>
    </row>
    <row r="2774" spans="5:28" x14ac:dyDescent="0.35">
      <c r="E2774">
        <v>2765</v>
      </c>
      <c r="F2774" t="e">
        <f>INDEX(Stammdaten[D Mitte mit Rinde (mm)],MATCH(Tabelle8[[#This Row],[Rank]],Stammdaten[Rank Verteilung D Mitte mit Rinde],0))</f>
        <v>#N/A</v>
      </c>
      <c r="G2774" t="e">
        <f>VLOOKUP(Tabelle8[[#This Row],[Rank]],Stammdaten[[Rank Verteilung D Mitte mit Rinde]:[Verteilung D Mitte mit Rinde]],2,FALSE)</f>
        <v>#N/A</v>
      </c>
      <c r="L2774">
        <v>2765</v>
      </c>
      <c r="M2774" t="e">
        <f>INDEX(Stammdaten[Abholzigkeit (mm/lfm)],MATCH(Tabelle9[[#This Row],[Rank]],Stammdaten[Rank Verteilung Abholzigkeit],0))</f>
        <v>#N/A</v>
      </c>
      <c r="N2774" t="e">
        <f>VLOOKUP(Tabelle9[[#This Row],[Rank]],Stammdaten[[Rank Verteilung Abholzigkeit]:[Verteilung Abholzigkeit]],2,FALSE)</f>
        <v>#N/A</v>
      </c>
      <c r="S2774">
        <v>2765</v>
      </c>
      <c r="T2774" t="e">
        <f>INDEX(Stammdaten[Krümmung (mm/lfm)],MATCH(Tabelle10[[#This Row],[Rank]],Stammdaten[Rank Verteilung Krümmung],0))</f>
        <v>#N/A</v>
      </c>
      <c r="U2774" t="e">
        <f>VLOOKUP(Tabelle10[[#This Row],[Rank]],Stammdaten[[Rank Verteilung Krümmung]:[Verteilung Krümmung]],2,FALSE)</f>
        <v>#N/A</v>
      </c>
      <c r="Z2774">
        <v>2765</v>
      </c>
      <c r="AA2774" t="e">
        <f>INDEX(Stammdaten[Ovalität (']0,1'])],MATCH(Tabelle1014[[#This Row],[Rank]],Stammdaten[Rank Verteilung Ovalität],0))</f>
        <v>#N/A</v>
      </c>
      <c r="AB2774" t="e">
        <f>VLOOKUP(Tabelle1014[[#This Row],[Rank]],Stammdaten[[Rank Verteilung Ovalität]:[Verteilung Ovalität]],2,FALSE)</f>
        <v>#N/A</v>
      </c>
    </row>
    <row r="2775" spans="5:28" x14ac:dyDescent="0.35">
      <c r="E2775">
        <v>2766</v>
      </c>
      <c r="F2775" t="e">
        <f>INDEX(Stammdaten[D Mitte mit Rinde (mm)],MATCH(Tabelle8[[#This Row],[Rank]],Stammdaten[Rank Verteilung D Mitte mit Rinde],0))</f>
        <v>#N/A</v>
      </c>
      <c r="G2775" t="e">
        <f>VLOOKUP(Tabelle8[[#This Row],[Rank]],Stammdaten[[Rank Verteilung D Mitte mit Rinde]:[Verteilung D Mitte mit Rinde]],2,FALSE)</f>
        <v>#N/A</v>
      </c>
      <c r="L2775">
        <v>2766</v>
      </c>
      <c r="M2775" t="e">
        <f>INDEX(Stammdaten[Abholzigkeit (mm/lfm)],MATCH(Tabelle9[[#This Row],[Rank]],Stammdaten[Rank Verteilung Abholzigkeit],0))</f>
        <v>#N/A</v>
      </c>
      <c r="N2775" t="e">
        <f>VLOOKUP(Tabelle9[[#This Row],[Rank]],Stammdaten[[Rank Verteilung Abholzigkeit]:[Verteilung Abholzigkeit]],2,FALSE)</f>
        <v>#N/A</v>
      </c>
      <c r="S2775">
        <v>2766</v>
      </c>
      <c r="T2775" t="e">
        <f>INDEX(Stammdaten[Krümmung (mm/lfm)],MATCH(Tabelle10[[#This Row],[Rank]],Stammdaten[Rank Verteilung Krümmung],0))</f>
        <v>#N/A</v>
      </c>
      <c r="U2775" t="e">
        <f>VLOOKUP(Tabelle10[[#This Row],[Rank]],Stammdaten[[Rank Verteilung Krümmung]:[Verteilung Krümmung]],2,FALSE)</f>
        <v>#N/A</v>
      </c>
      <c r="Z2775">
        <v>2766</v>
      </c>
      <c r="AA2775" t="e">
        <f>INDEX(Stammdaten[Ovalität (']0,1'])],MATCH(Tabelle1014[[#This Row],[Rank]],Stammdaten[Rank Verteilung Ovalität],0))</f>
        <v>#N/A</v>
      </c>
      <c r="AB2775" t="e">
        <f>VLOOKUP(Tabelle1014[[#This Row],[Rank]],Stammdaten[[Rank Verteilung Ovalität]:[Verteilung Ovalität]],2,FALSE)</f>
        <v>#N/A</v>
      </c>
    </row>
    <row r="2776" spans="5:28" x14ac:dyDescent="0.35">
      <c r="E2776">
        <v>2767</v>
      </c>
      <c r="F2776" t="e">
        <f>INDEX(Stammdaten[D Mitte mit Rinde (mm)],MATCH(Tabelle8[[#This Row],[Rank]],Stammdaten[Rank Verteilung D Mitte mit Rinde],0))</f>
        <v>#N/A</v>
      </c>
      <c r="G2776" t="e">
        <f>VLOOKUP(Tabelle8[[#This Row],[Rank]],Stammdaten[[Rank Verteilung D Mitte mit Rinde]:[Verteilung D Mitte mit Rinde]],2,FALSE)</f>
        <v>#N/A</v>
      </c>
      <c r="L2776">
        <v>2767</v>
      </c>
      <c r="M2776" t="e">
        <f>INDEX(Stammdaten[Abholzigkeit (mm/lfm)],MATCH(Tabelle9[[#This Row],[Rank]],Stammdaten[Rank Verteilung Abholzigkeit],0))</f>
        <v>#N/A</v>
      </c>
      <c r="N2776" t="e">
        <f>VLOOKUP(Tabelle9[[#This Row],[Rank]],Stammdaten[[Rank Verteilung Abholzigkeit]:[Verteilung Abholzigkeit]],2,FALSE)</f>
        <v>#N/A</v>
      </c>
      <c r="S2776">
        <v>2767</v>
      </c>
      <c r="T2776" t="e">
        <f>INDEX(Stammdaten[Krümmung (mm/lfm)],MATCH(Tabelle10[[#This Row],[Rank]],Stammdaten[Rank Verteilung Krümmung],0))</f>
        <v>#N/A</v>
      </c>
      <c r="U2776" t="e">
        <f>VLOOKUP(Tabelle10[[#This Row],[Rank]],Stammdaten[[Rank Verteilung Krümmung]:[Verteilung Krümmung]],2,FALSE)</f>
        <v>#N/A</v>
      </c>
      <c r="Z2776">
        <v>2767</v>
      </c>
      <c r="AA2776" t="e">
        <f>INDEX(Stammdaten[Ovalität (']0,1'])],MATCH(Tabelle1014[[#This Row],[Rank]],Stammdaten[Rank Verteilung Ovalität],0))</f>
        <v>#N/A</v>
      </c>
      <c r="AB2776" t="e">
        <f>VLOOKUP(Tabelle1014[[#This Row],[Rank]],Stammdaten[[Rank Verteilung Ovalität]:[Verteilung Ovalität]],2,FALSE)</f>
        <v>#N/A</v>
      </c>
    </row>
    <row r="2777" spans="5:28" x14ac:dyDescent="0.35">
      <c r="E2777">
        <v>2768</v>
      </c>
      <c r="F2777" t="e">
        <f>INDEX(Stammdaten[D Mitte mit Rinde (mm)],MATCH(Tabelle8[[#This Row],[Rank]],Stammdaten[Rank Verteilung D Mitte mit Rinde],0))</f>
        <v>#N/A</v>
      </c>
      <c r="G2777" t="e">
        <f>VLOOKUP(Tabelle8[[#This Row],[Rank]],Stammdaten[[Rank Verteilung D Mitte mit Rinde]:[Verteilung D Mitte mit Rinde]],2,FALSE)</f>
        <v>#N/A</v>
      </c>
      <c r="L2777">
        <v>2768</v>
      </c>
      <c r="M2777" t="e">
        <f>INDEX(Stammdaten[Abholzigkeit (mm/lfm)],MATCH(Tabelle9[[#This Row],[Rank]],Stammdaten[Rank Verteilung Abholzigkeit],0))</f>
        <v>#N/A</v>
      </c>
      <c r="N2777" t="e">
        <f>VLOOKUP(Tabelle9[[#This Row],[Rank]],Stammdaten[[Rank Verteilung Abholzigkeit]:[Verteilung Abholzigkeit]],2,FALSE)</f>
        <v>#N/A</v>
      </c>
      <c r="S2777">
        <v>2768</v>
      </c>
      <c r="T2777" t="e">
        <f>INDEX(Stammdaten[Krümmung (mm/lfm)],MATCH(Tabelle10[[#This Row],[Rank]],Stammdaten[Rank Verteilung Krümmung],0))</f>
        <v>#N/A</v>
      </c>
      <c r="U2777" t="e">
        <f>VLOOKUP(Tabelle10[[#This Row],[Rank]],Stammdaten[[Rank Verteilung Krümmung]:[Verteilung Krümmung]],2,FALSE)</f>
        <v>#N/A</v>
      </c>
      <c r="Z2777">
        <v>2768</v>
      </c>
      <c r="AA2777" t="e">
        <f>INDEX(Stammdaten[Ovalität (']0,1'])],MATCH(Tabelle1014[[#This Row],[Rank]],Stammdaten[Rank Verteilung Ovalität],0))</f>
        <v>#N/A</v>
      </c>
      <c r="AB2777" t="e">
        <f>VLOOKUP(Tabelle1014[[#This Row],[Rank]],Stammdaten[[Rank Verteilung Ovalität]:[Verteilung Ovalität]],2,FALSE)</f>
        <v>#N/A</v>
      </c>
    </row>
    <row r="2778" spans="5:28" x14ac:dyDescent="0.35">
      <c r="E2778">
        <v>2769</v>
      </c>
      <c r="F2778" t="e">
        <f>INDEX(Stammdaten[D Mitte mit Rinde (mm)],MATCH(Tabelle8[[#This Row],[Rank]],Stammdaten[Rank Verteilung D Mitte mit Rinde],0))</f>
        <v>#N/A</v>
      </c>
      <c r="G2778" t="e">
        <f>VLOOKUP(Tabelle8[[#This Row],[Rank]],Stammdaten[[Rank Verteilung D Mitte mit Rinde]:[Verteilung D Mitte mit Rinde]],2,FALSE)</f>
        <v>#N/A</v>
      </c>
      <c r="L2778">
        <v>2769</v>
      </c>
      <c r="M2778" t="e">
        <f>INDEX(Stammdaten[Abholzigkeit (mm/lfm)],MATCH(Tabelle9[[#This Row],[Rank]],Stammdaten[Rank Verteilung Abholzigkeit],0))</f>
        <v>#N/A</v>
      </c>
      <c r="N2778" t="e">
        <f>VLOOKUP(Tabelle9[[#This Row],[Rank]],Stammdaten[[Rank Verteilung Abholzigkeit]:[Verteilung Abholzigkeit]],2,FALSE)</f>
        <v>#N/A</v>
      </c>
      <c r="S2778">
        <v>2769</v>
      </c>
      <c r="T2778" t="e">
        <f>INDEX(Stammdaten[Krümmung (mm/lfm)],MATCH(Tabelle10[[#This Row],[Rank]],Stammdaten[Rank Verteilung Krümmung],0))</f>
        <v>#N/A</v>
      </c>
      <c r="U2778" t="e">
        <f>VLOOKUP(Tabelle10[[#This Row],[Rank]],Stammdaten[[Rank Verteilung Krümmung]:[Verteilung Krümmung]],2,FALSE)</f>
        <v>#N/A</v>
      </c>
      <c r="Z2778">
        <v>2769</v>
      </c>
      <c r="AA2778" t="e">
        <f>INDEX(Stammdaten[Ovalität (']0,1'])],MATCH(Tabelle1014[[#This Row],[Rank]],Stammdaten[Rank Verteilung Ovalität],0))</f>
        <v>#N/A</v>
      </c>
      <c r="AB2778" t="e">
        <f>VLOOKUP(Tabelle1014[[#This Row],[Rank]],Stammdaten[[Rank Verteilung Ovalität]:[Verteilung Ovalität]],2,FALSE)</f>
        <v>#N/A</v>
      </c>
    </row>
    <row r="2779" spans="5:28" x14ac:dyDescent="0.35">
      <c r="E2779">
        <v>2770</v>
      </c>
      <c r="F2779" t="e">
        <f>INDEX(Stammdaten[D Mitte mit Rinde (mm)],MATCH(Tabelle8[[#This Row],[Rank]],Stammdaten[Rank Verteilung D Mitte mit Rinde],0))</f>
        <v>#N/A</v>
      </c>
      <c r="G2779" t="e">
        <f>VLOOKUP(Tabelle8[[#This Row],[Rank]],Stammdaten[[Rank Verteilung D Mitte mit Rinde]:[Verteilung D Mitte mit Rinde]],2,FALSE)</f>
        <v>#N/A</v>
      </c>
      <c r="L2779">
        <v>2770</v>
      </c>
      <c r="M2779" t="e">
        <f>INDEX(Stammdaten[Abholzigkeit (mm/lfm)],MATCH(Tabelle9[[#This Row],[Rank]],Stammdaten[Rank Verteilung Abholzigkeit],0))</f>
        <v>#N/A</v>
      </c>
      <c r="N2779" t="e">
        <f>VLOOKUP(Tabelle9[[#This Row],[Rank]],Stammdaten[[Rank Verteilung Abholzigkeit]:[Verteilung Abholzigkeit]],2,FALSE)</f>
        <v>#N/A</v>
      </c>
      <c r="S2779">
        <v>2770</v>
      </c>
      <c r="T2779" t="e">
        <f>INDEX(Stammdaten[Krümmung (mm/lfm)],MATCH(Tabelle10[[#This Row],[Rank]],Stammdaten[Rank Verteilung Krümmung],0))</f>
        <v>#N/A</v>
      </c>
      <c r="U2779" t="e">
        <f>VLOOKUP(Tabelle10[[#This Row],[Rank]],Stammdaten[[Rank Verteilung Krümmung]:[Verteilung Krümmung]],2,FALSE)</f>
        <v>#N/A</v>
      </c>
      <c r="Z2779">
        <v>2770</v>
      </c>
      <c r="AA2779" t="e">
        <f>INDEX(Stammdaten[Ovalität (']0,1'])],MATCH(Tabelle1014[[#This Row],[Rank]],Stammdaten[Rank Verteilung Ovalität],0))</f>
        <v>#N/A</v>
      </c>
      <c r="AB2779" t="e">
        <f>VLOOKUP(Tabelle1014[[#This Row],[Rank]],Stammdaten[[Rank Verteilung Ovalität]:[Verteilung Ovalität]],2,FALSE)</f>
        <v>#N/A</v>
      </c>
    </row>
    <row r="2780" spans="5:28" x14ac:dyDescent="0.35">
      <c r="E2780">
        <v>2771</v>
      </c>
      <c r="F2780" t="e">
        <f>INDEX(Stammdaten[D Mitte mit Rinde (mm)],MATCH(Tabelle8[[#This Row],[Rank]],Stammdaten[Rank Verteilung D Mitte mit Rinde],0))</f>
        <v>#N/A</v>
      </c>
      <c r="G2780" t="e">
        <f>VLOOKUP(Tabelle8[[#This Row],[Rank]],Stammdaten[[Rank Verteilung D Mitte mit Rinde]:[Verteilung D Mitte mit Rinde]],2,FALSE)</f>
        <v>#N/A</v>
      </c>
      <c r="L2780">
        <v>2771</v>
      </c>
      <c r="M2780" t="e">
        <f>INDEX(Stammdaten[Abholzigkeit (mm/lfm)],MATCH(Tabelle9[[#This Row],[Rank]],Stammdaten[Rank Verteilung Abholzigkeit],0))</f>
        <v>#N/A</v>
      </c>
      <c r="N2780" t="e">
        <f>VLOOKUP(Tabelle9[[#This Row],[Rank]],Stammdaten[[Rank Verteilung Abholzigkeit]:[Verteilung Abholzigkeit]],2,FALSE)</f>
        <v>#N/A</v>
      </c>
      <c r="S2780">
        <v>2771</v>
      </c>
      <c r="T2780" t="e">
        <f>INDEX(Stammdaten[Krümmung (mm/lfm)],MATCH(Tabelle10[[#This Row],[Rank]],Stammdaten[Rank Verteilung Krümmung],0))</f>
        <v>#N/A</v>
      </c>
      <c r="U2780" t="e">
        <f>VLOOKUP(Tabelle10[[#This Row],[Rank]],Stammdaten[[Rank Verteilung Krümmung]:[Verteilung Krümmung]],2,FALSE)</f>
        <v>#N/A</v>
      </c>
      <c r="Z2780">
        <v>2771</v>
      </c>
      <c r="AA2780" t="e">
        <f>INDEX(Stammdaten[Ovalität (']0,1'])],MATCH(Tabelle1014[[#This Row],[Rank]],Stammdaten[Rank Verteilung Ovalität],0))</f>
        <v>#N/A</v>
      </c>
      <c r="AB2780" t="e">
        <f>VLOOKUP(Tabelle1014[[#This Row],[Rank]],Stammdaten[[Rank Verteilung Ovalität]:[Verteilung Ovalität]],2,FALSE)</f>
        <v>#N/A</v>
      </c>
    </row>
    <row r="2781" spans="5:28" x14ac:dyDescent="0.35">
      <c r="E2781">
        <v>2772</v>
      </c>
      <c r="F2781" t="e">
        <f>INDEX(Stammdaten[D Mitte mit Rinde (mm)],MATCH(Tabelle8[[#This Row],[Rank]],Stammdaten[Rank Verteilung D Mitte mit Rinde],0))</f>
        <v>#N/A</v>
      </c>
      <c r="G2781" t="e">
        <f>VLOOKUP(Tabelle8[[#This Row],[Rank]],Stammdaten[[Rank Verteilung D Mitte mit Rinde]:[Verteilung D Mitte mit Rinde]],2,FALSE)</f>
        <v>#N/A</v>
      </c>
      <c r="L2781">
        <v>2772</v>
      </c>
      <c r="M2781" t="e">
        <f>INDEX(Stammdaten[Abholzigkeit (mm/lfm)],MATCH(Tabelle9[[#This Row],[Rank]],Stammdaten[Rank Verteilung Abholzigkeit],0))</f>
        <v>#N/A</v>
      </c>
      <c r="N2781" t="e">
        <f>VLOOKUP(Tabelle9[[#This Row],[Rank]],Stammdaten[[Rank Verteilung Abholzigkeit]:[Verteilung Abholzigkeit]],2,FALSE)</f>
        <v>#N/A</v>
      </c>
      <c r="S2781">
        <v>2772</v>
      </c>
      <c r="T2781" t="e">
        <f>INDEX(Stammdaten[Krümmung (mm/lfm)],MATCH(Tabelle10[[#This Row],[Rank]],Stammdaten[Rank Verteilung Krümmung],0))</f>
        <v>#N/A</v>
      </c>
      <c r="U2781" t="e">
        <f>VLOOKUP(Tabelle10[[#This Row],[Rank]],Stammdaten[[Rank Verteilung Krümmung]:[Verteilung Krümmung]],2,FALSE)</f>
        <v>#N/A</v>
      </c>
      <c r="Z2781">
        <v>2772</v>
      </c>
      <c r="AA2781" t="e">
        <f>INDEX(Stammdaten[Ovalität (']0,1'])],MATCH(Tabelle1014[[#This Row],[Rank]],Stammdaten[Rank Verteilung Ovalität],0))</f>
        <v>#N/A</v>
      </c>
      <c r="AB2781" t="e">
        <f>VLOOKUP(Tabelle1014[[#This Row],[Rank]],Stammdaten[[Rank Verteilung Ovalität]:[Verteilung Ovalität]],2,FALSE)</f>
        <v>#N/A</v>
      </c>
    </row>
    <row r="2782" spans="5:28" x14ac:dyDescent="0.35">
      <c r="E2782">
        <v>2773</v>
      </c>
      <c r="F2782" t="e">
        <f>INDEX(Stammdaten[D Mitte mit Rinde (mm)],MATCH(Tabelle8[[#This Row],[Rank]],Stammdaten[Rank Verteilung D Mitte mit Rinde],0))</f>
        <v>#N/A</v>
      </c>
      <c r="G2782" t="e">
        <f>VLOOKUP(Tabelle8[[#This Row],[Rank]],Stammdaten[[Rank Verteilung D Mitte mit Rinde]:[Verteilung D Mitte mit Rinde]],2,FALSE)</f>
        <v>#N/A</v>
      </c>
      <c r="L2782">
        <v>2773</v>
      </c>
      <c r="M2782" t="e">
        <f>INDEX(Stammdaten[Abholzigkeit (mm/lfm)],MATCH(Tabelle9[[#This Row],[Rank]],Stammdaten[Rank Verteilung Abholzigkeit],0))</f>
        <v>#N/A</v>
      </c>
      <c r="N2782" t="e">
        <f>VLOOKUP(Tabelle9[[#This Row],[Rank]],Stammdaten[[Rank Verteilung Abholzigkeit]:[Verteilung Abholzigkeit]],2,FALSE)</f>
        <v>#N/A</v>
      </c>
      <c r="S2782">
        <v>2773</v>
      </c>
      <c r="T2782" t="e">
        <f>INDEX(Stammdaten[Krümmung (mm/lfm)],MATCH(Tabelle10[[#This Row],[Rank]],Stammdaten[Rank Verteilung Krümmung],0))</f>
        <v>#N/A</v>
      </c>
      <c r="U2782" t="e">
        <f>VLOOKUP(Tabelle10[[#This Row],[Rank]],Stammdaten[[Rank Verteilung Krümmung]:[Verteilung Krümmung]],2,FALSE)</f>
        <v>#N/A</v>
      </c>
      <c r="Z2782">
        <v>2773</v>
      </c>
      <c r="AA2782" t="e">
        <f>INDEX(Stammdaten[Ovalität (']0,1'])],MATCH(Tabelle1014[[#This Row],[Rank]],Stammdaten[Rank Verteilung Ovalität],0))</f>
        <v>#N/A</v>
      </c>
      <c r="AB2782" t="e">
        <f>VLOOKUP(Tabelle1014[[#This Row],[Rank]],Stammdaten[[Rank Verteilung Ovalität]:[Verteilung Ovalität]],2,FALSE)</f>
        <v>#N/A</v>
      </c>
    </row>
    <row r="2783" spans="5:28" x14ac:dyDescent="0.35">
      <c r="E2783">
        <v>2774</v>
      </c>
      <c r="F2783" t="e">
        <f>INDEX(Stammdaten[D Mitte mit Rinde (mm)],MATCH(Tabelle8[[#This Row],[Rank]],Stammdaten[Rank Verteilung D Mitte mit Rinde],0))</f>
        <v>#N/A</v>
      </c>
      <c r="G2783" t="e">
        <f>VLOOKUP(Tabelle8[[#This Row],[Rank]],Stammdaten[[Rank Verteilung D Mitte mit Rinde]:[Verteilung D Mitte mit Rinde]],2,FALSE)</f>
        <v>#N/A</v>
      </c>
      <c r="L2783">
        <v>2774</v>
      </c>
      <c r="M2783" t="e">
        <f>INDEX(Stammdaten[Abholzigkeit (mm/lfm)],MATCH(Tabelle9[[#This Row],[Rank]],Stammdaten[Rank Verteilung Abholzigkeit],0))</f>
        <v>#N/A</v>
      </c>
      <c r="N2783" t="e">
        <f>VLOOKUP(Tabelle9[[#This Row],[Rank]],Stammdaten[[Rank Verteilung Abholzigkeit]:[Verteilung Abholzigkeit]],2,FALSE)</f>
        <v>#N/A</v>
      </c>
      <c r="S2783">
        <v>2774</v>
      </c>
      <c r="T2783" t="e">
        <f>INDEX(Stammdaten[Krümmung (mm/lfm)],MATCH(Tabelle10[[#This Row],[Rank]],Stammdaten[Rank Verteilung Krümmung],0))</f>
        <v>#N/A</v>
      </c>
      <c r="U2783" t="e">
        <f>VLOOKUP(Tabelle10[[#This Row],[Rank]],Stammdaten[[Rank Verteilung Krümmung]:[Verteilung Krümmung]],2,FALSE)</f>
        <v>#N/A</v>
      </c>
      <c r="Z2783">
        <v>2774</v>
      </c>
      <c r="AA2783" t="e">
        <f>INDEX(Stammdaten[Ovalität (']0,1'])],MATCH(Tabelle1014[[#This Row],[Rank]],Stammdaten[Rank Verteilung Ovalität],0))</f>
        <v>#N/A</v>
      </c>
      <c r="AB2783" t="e">
        <f>VLOOKUP(Tabelle1014[[#This Row],[Rank]],Stammdaten[[Rank Verteilung Ovalität]:[Verteilung Ovalität]],2,FALSE)</f>
        <v>#N/A</v>
      </c>
    </row>
    <row r="2784" spans="5:28" x14ac:dyDescent="0.35">
      <c r="E2784">
        <v>2775</v>
      </c>
      <c r="F2784" t="e">
        <f>INDEX(Stammdaten[D Mitte mit Rinde (mm)],MATCH(Tabelle8[[#This Row],[Rank]],Stammdaten[Rank Verteilung D Mitte mit Rinde],0))</f>
        <v>#N/A</v>
      </c>
      <c r="G2784" t="e">
        <f>VLOOKUP(Tabelle8[[#This Row],[Rank]],Stammdaten[[Rank Verteilung D Mitte mit Rinde]:[Verteilung D Mitte mit Rinde]],2,FALSE)</f>
        <v>#N/A</v>
      </c>
      <c r="L2784">
        <v>2775</v>
      </c>
      <c r="M2784" t="e">
        <f>INDEX(Stammdaten[Abholzigkeit (mm/lfm)],MATCH(Tabelle9[[#This Row],[Rank]],Stammdaten[Rank Verteilung Abholzigkeit],0))</f>
        <v>#N/A</v>
      </c>
      <c r="N2784" t="e">
        <f>VLOOKUP(Tabelle9[[#This Row],[Rank]],Stammdaten[[Rank Verteilung Abholzigkeit]:[Verteilung Abholzigkeit]],2,FALSE)</f>
        <v>#N/A</v>
      </c>
      <c r="S2784">
        <v>2775</v>
      </c>
      <c r="T2784" t="e">
        <f>INDEX(Stammdaten[Krümmung (mm/lfm)],MATCH(Tabelle10[[#This Row],[Rank]],Stammdaten[Rank Verteilung Krümmung],0))</f>
        <v>#N/A</v>
      </c>
      <c r="U2784" t="e">
        <f>VLOOKUP(Tabelle10[[#This Row],[Rank]],Stammdaten[[Rank Verteilung Krümmung]:[Verteilung Krümmung]],2,FALSE)</f>
        <v>#N/A</v>
      </c>
      <c r="Z2784">
        <v>2775</v>
      </c>
      <c r="AA2784" t="e">
        <f>INDEX(Stammdaten[Ovalität (']0,1'])],MATCH(Tabelle1014[[#This Row],[Rank]],Stammdaten[Rank Verteilung Ovalität],0))</f>
        <v>#N/A</v>
      </c>
      <c r="AB2784" t="e">
        <f>VLOOKUP(Tabelle1014[[#This Row],[Rank]],Stammdaten[[Rank Verteilung Ovalität]:[Verteilung Ovalität]],2,FALSE)</f>
        <v>#N/A</v>
      </c>
    </row>
    <row r="2785" spans="5:28" x14ac:dyDescent="0.35">
      <c r="E2785">
        <v>2776</v>
      </c>
      <c r="F2785" t="e">
        <f>INDEX(Stammdaten[D Mitte mit Rinde (mm)],MATCH(Tabelle8[[#This Row],[Rank]],Stammdaten[Rank Verteilung D Mitte mit Rinde],0))</f>
        <v>#N/A</v>
      </c>
      <c r="G2785" t="e">
        <f>VLOOKUP(Tabelle8[[#This Row],[Rank]],Stammdaten[[Rank Verteilung D Mitte mit Rinde]:[Verteilung D Mitte mit Rinde]],2,FALSE)</f>
        <v>#N/A</v>
      </c>
      <c r="L2785">
        <v>2776</v>
      </c>
      <c r="M2785" t="e">
        <f>INDEX(Stammdaten[Abholzigkeit (mm/lfm)],MATCH(Tabelle9[[#This Row],[Rank]],Stammdaten[Rank Verteilung Abholzigkeit],0))</f>
        <v>#N/A</v>
      </c>
      <c r="N2785" t="e">
        <f>VLOOKUP(Tabelle9[[#This Row],[Rank]],Stammdaten[[Rank Verteilung Abholzigkeit]:[Verteilung Abholzigkeit]],2,FALSE)</f>
        <v>#N/A</v>
      </c>
      <c r="S2785">
        <v>2776</v>
      </c>
      <c r="T2785" t="e">
        <f>INDEX(Stammdaten[Krümmung (mm/lfm)],MATCH(Tabelle10[[#This Row],[Rank]],Stammdaten[Rank Verteilung Krümmung],0))</f>
        <v>#N/A</v>
      </c>
      <c r="U2785" t="e">
        <f>VLOOKUP(Tabelle10[[#This Row],[Rank]],Stammdaten[[Rank Verteilung Krümmung]:[Verteilung Krümmung]],2,FALSE)</f>
        <v>#N/A</v>
      </c>
      <c r="Z2785">
        <v>2776</v>
      </c>
      <c r="AA2785" t="e">
        <f>INDEX(Stammdaten[Ovalität (']0,1'])],MATCH(Tabelle1014[[#This Row],[Rank]],Stammdaten[Rank Verteilung Ovalität],0))</f>
        <v>#N/A</v>
      </c>
      <c r="AB2785" t="e">
        <f>VLOOKUP(Tabelle1014[[#This Row],[Rank]],Stammdaten[[Rank Verteilung Ovalität]:[Verteilung Ovalität]],2,FALSE)</f>
        <v>#N/A</v>
      </c>
    </row>
    <row r="2786" spans="5:28" x14ac:dyDescent="0.35">
      <c r="E2786">
        <v>2777</v>
      </c>
      <c r="F2786" t="e">
        <f>INDEX(Stammdaten[D Mitte mit Rinde (mm)],MATCH(Tabelle8[[#This Row],[Rank]],Stammdaten[Rank Verteilung D Mitte mit Rinde],0))</f>
        <v>#N/A</v>
      </c>
      <c r="G2786" t="e">
        <f>VLOOKUP(Tabelle8[[#This Row],[Rank]],Stammdaten[[Rank Verteilung D Mitte mit Rinde]:[Verteilung D Mitte mit Rinde]],2,FALSE)</f>
        <v>#N/A</v>
      </c>
      <c r="L2786">
        <v>2777</v>
      </c>
      <c r="M2786" t="e">
        <f>INDEX(Stammdaten[Abholzigkeit (mm/lfm)],MATCH(Tabelle9[[#This Row],[Rank]],Stammdaten[Rank Verteilung Abholzigkeit],0))</f>
        <v>#N/A</v>
      </c>
      <c r="N2786" t="e">
        <f>VLOOKUP(Tabelle9[[#This Row],[Rank]],Stammdaten[[Rank Verteilung Abholzigkeit]:[Verteilung Abholzigkeit]],2,FALSE)</f>
        <v>#N/A</v>
      </c>
      <c r="S2786">
        <v>2777</v>
      </c>
      <c r="T2786" t="e">
        <f>INDEX(Stammdaten[Krümmung (mm/lfm)],MATCH(Tabelle10[[#This Row],[Rank]],Stammdaten[Rank Verteilung Krümmung],0))</f>
        <v>#N/A</v>
      </c>
      <c r="U2786" t="e">
        <f>VLOOKUP(Tabelle10[[#This Row],[Rank]],Stammdaten[[Rank Verteilung Krümmung]:[Verteilung Krümmung]],2,FALSE)</f>
        <v>#N/A</v>
      </c>
      <c r="Z2786">
        <v>2777</v>
      </c>
      <c r="AA2786" t="e">
        <f>INDEX(Stammdaten[Ovalität (']0,1'])],MATCH(Tabelle1014[[#This Row],[Rank]],Stammdaten[Rank Verteilung Ovalität],0))</f>
        <v>#N/A</v>
      </c>
      <c r="AB2786" t="e">
        <f>VLOOKUP(Tabelle1014[[#This Row],[Rank]],Stammdaten[[Rank Verteilung Ovalität]:[Verteilung Ovalität]],2,FALSE)</f>
        <v>#N/A</v>
      </c>
    </row>
    <row r="2787" spans="5:28" x14ac:dyDescent="0.35">
      <c r="E2787">
        <v>2778</v>
      </c>
      <c r="F2787" t="e">
        <f>INDEX(Stammdaten[D Mitte mit Rinde (mm)],MATCH(Tabelle8[[#This Row],[Rank]],Stammdaten[Rank Verteilung D Mitte mit Rinde],0))</f>
        <v>#N/A</v>
      </c>
      <c r="G2787" t="e">
        <f>VLOOKUP(Tabelle8[[#This Row],[Rank]],Stammdaten[[Rank Verteilung D Mitte mit Rinde]:[Verteilung D Mitte mit Rinde]],2,FALSE)</f>
        <v>#N/A</v>
      </c>
      <c r="L2787">
        <v>2778</v>
      </c>
      <c r="M2787" t="e">
        <f>INDEX(Stammdaten[Abholzigkeit (mm/lfm)],MATCH(Tabelle9[[#This Row],[Rank]],Stammdaten[Rank Verteilung Abholzigkeit],0))</f>
        <v>#N/A</v>
      </c>
      <c r="N2787" t="e">
        <f>VLOOKUP(Tabelle9[[#This Row],[Rank]],Stammdaten[[Rank Verteilung Abholzigkeit]:[Verteilung Abholzigkeit]],2,FALSE)</f>
        <v>#N/A</v>
      </c>
      <c r="S2787">
        <v>2778</v>
      </c>
      <c r="T2787" t="e">
        <f>INDEX(Stammdaten[Krümmung (mm/lfm)],MATCH(Tabelle10[[#This Row],[Rank]],Stammdaten[Rank Verteilung Krümmung],0))</f>
        <v>#N/A</v>
      </c>
      <c r="U2787" t="e">
        <f>VLOOKUP(Tabelle10[[#This Row],[Rank]],Stammdaten[[Rank Verteilung Krümmung]:[Verteilung Krümmung]],2,FALSE)</f>
        <v>#N/A</v>
      </c>
      <c r="Z2787">
        <v>2778</v>
      </c>
      <c r="AA2787" t="e">
        <f>INDEX(Stammdaten[Ovalität (']0,1'])],MATCH(Tabelle1014[[#This Row],[Rank]],Stammdaten[Rank Verteilung Ovalität],0))</f>
        <v>#N/A</v>
      </c>
      <c r="AB2787" t="e">
        <f>VLOOKUP(Tabelle1014[[#This Row],[Rank]],Stammdaten[[Rank Verteilung Ovalität]:[Verteilung Ovalität]],2,FALSE)</f>
        <v>#N/A</v>
      </c>
    </row>
    <row r="2788" spans="5:28" x14ac:dyDescent="0.35">
      <c r="E2788">
        <v>2779</v>
      </c>
      <c r="F2788" t="e">
        <f>INDEX(Stammdaten[D Mitte mit Rinde (mm)],MATCH(Tabelle8[[#This Row],[Rank]],Stammdaten[Rank Verteilung D Mitte mit Rinde],0))</f>
        <v>#N/A</v>
      </c>
      <c r="G2788" t="e">
        <f>VLOOKUP(Tabelle8[[#This Row],[Rank]],Stammdaten[[Rank Verteilung D Mitte mit Rinde]:[Verteilung D Mitte mit Rinde]],2,FALSE)</f>
        <v>#N/A</v>
      </c>
      <c r="L2788">
        <v>2779</v>
      </c>
      <c r="M2788" t="e">
        <f>INDEX(Stammdaten[Abholzigkeit (mm/lfm)],MATCH(Tabelle9[[#This Row],[Rank]],Stammdaten[Rank Verteilung Abholzigkeit],0))</f>
        <v>#N/A</v>
      </c>
      <c r="N2788" t="e">
        <f>VLOOKUP(Tabelle9[[#This Row],[Rank]],Stammdaten[[Rank Verteilung Abholzigkeit]:[Verteilung Abholzigkeit]],2,FALSE)</f>
        <v>#N/A</v>
      </c>
      <c r="S2788">
        <v>2779</v>
      </c>
      <c r="T2788" t="e">
        <f>INDEX(Stammdaten[Krümmung (mm/lfm)],MATCH(Tabelle10[[#This Row],[Rank]],Stammdaten[Rank Verteilung Krümmung],0))</f>
        <v>#N/A</v>
      </c>
      <c r="U2788" t="e">
        <f>VLOOKUP(Tabelle10[[#This Row],[Rank]],Stammdaten[[Rank Verteilung Krümmung]:[Verteilung Krümmung]],2,FALSE)</f>
        <v>#N/A</v>
      </c>
      <c r="Z2788">
        <v>2779</v>
      </c>
      <c r="AA2788" t="e">
        <f>INDEX(Stammdaten[Ovalität (']0,1'])],MATCH(Tabelle1014[[#This Row],[Rank]],Stammdaten[Rank Verteilung Ovalität],0))</f>
        <v>#N/A</v>
      </c>
      <c r="AB2788" t="e">
        <f>VLOOKUP(Tabelle1014[[#This Row],[Rank]],Stammdaten[[Rank Verteilung Ovalität]:[Verteilung Ovalität]],2,FALSE)</f>
        <v>#N/A</v>
      </c>
    </row>
    <row r="2789" spans="5:28" x14ac:dyDescent="0.35">
      <c r="E2789">
        <v>2780</v>
      </c>
      <c r="F2789" t="e">
        <f>INDEX(Stammdaten[D Mitte mit Rinde (mm)],MATCH(Tabelle8[[#This Row],[Rank]],Stammdaten[Rank Verteilung D Mitte mit Rinde],0))</f>
        <v>#N/A</v>
      </c>
      <c r="G2789" t="e">
        <f>VLOOKUP(Tabelle8[[#This Row],[Rank]],Stammdaten[[Rank Verteilung D Mitte mit Rinde]:[Verteilung D Mitte mit Rinde]],2,FALSE)</f>
        <v>#N/A</v>
      </c>
      <c r="L2789">
        <v>2780</v>
      </c>
      <c r="M2789" t="e">
        <f>INDEX(Stammdaten[Abholzigkeit (mm/lfm)],MATCH(Tabelle9[[#This Row],[Rank]],Stammdaten[Rank Verteilung Abholzigkeit],0))</f>
        <v>#N/A</v>
      </c>
      <c r="N2789" t="e">
        <f>VLOOKUP(Tabelle9[[#This Row],[Rank]],Stammdaten[[Rank Verteilung Abholzigkeit]:[Verteilung Abholzigkeit]],2,FALSE)</f>
        <v>#N/A</v>
      </c>
      <c r="S2789">
        <v>2780</v>
      </c>
      <c r="T2789" t="e">
        <f>INDEX(Stammdaten[Krümmung (mm/lfm)],MATCH(Tabelle10[[#This Row],[Rank]],Stammdaten[Rank Verteilung Krümmung],0))</f>
        <v>#N/A</v>
      </c>
      <c r="U2789" t="e">
        <f>VLOOKUP(Tabelle10[[#This Row],[Rank]],Stammdaten[[Rank Verteilung Krümmung]:[Verteilung Krümmung]],2,FALSE)</f>
        <v>#N/A</v>
      </c>
      <c r="Z2789">
        <v>2780</v>
      </c>
      <c r="AA2789" t="e">
        <f>INDEX(Stammdaten[Ovalität (']0,1'])],MATCH(Tabelle1014[[#This Row],[Rank]],Stammdaten[Rank Verteilung Ovalität],0))</f>
        <v>#N/A</v>
      </c>
      <c r="AB2789" t="e">
        <f>VLOOKUP(Tabelle1014[[#This Row],[Rank]],Stammdaten[[Rank Verteilung Ovalität]:[Verteilung Ovalität]],2,FALSE)</f>
        <v>#N/A</v>
      </c>
    </row>
    <row r="2790" spans="5:28" x14ac:dyDescent="0.35">
      <c r="E2790">
        <v>2781</v>
      </c>
      <c r="F2790" t="e">
        <f>INDEX(Stammdaten[D Mitte mit Rinde (mm)],MATCH(Tabelle8[[#This Row],[Rank]],Stammdaten[Rank Verteilung D Mitte mit Rinde],0))</f>
        <v>#N/A</v>
      </c>
      <c r="G2790" t="e">
        <f>VLOOKUP(Tabelle8[[#This Row],[Rank]],Stammdaten[[Rank Verteilung D Mitte mit Rinde]:[Verteilung D Mitte mit Rinde]],2,FALSE)</f>
        <v>#N/A</v>
      </c>
      <c r="L2790">
        <v>2781</v>
      </c>
      <c r="M2790" t="e">
        <f>INDEX(Stammdaten[Abholzigkeit (mm/lfm)],MATCH(Tabelle9[[#This Row],[Rank]],Stammdaten[Rank Verteilung Abholzigkeit],0))</f>
        <v>#N/A</v>
      </c>
      <c r="N2790" t="e">
        <f>VLOOKUP(Tabelle9[[#This Row],[Rank]],Stammdaten[[Rank Verteilung Abholzigkeit]:[Verteilung Abholzigkeit]],2,FALSE)</f>
        <v>#N/A</v>
      </c>
      <c r="S2790">
        <v>2781</v>
      </c>
      <c r="T2790" t="e">
        <f>INDEX(Stammdaten[Krümmung (mm/lfm)],MATCH(Tabelle10[[#This Row],[Rank]],Stammdaten[Rank Verteilung Krümmung],0))</f>
        <v>#N/A</v>
      </c>
      <c r="U2790" t="e">
        <f>VLOOKUP(Tabelle10[[#This Row],[Rank]],Stammdaten[[Rank Verteilung Krümmung]:[Verteilung Krümmung]],2,FALSE)</f>
        <v>#N/A</v>
      </c>
      <c r="Z2790">
        <v>2781</v>
      </c>
      <c r="AA2790" t="e">
        <f>INDEX(Stammdaten[Ovalität (']0,1'])],MATCH(Tabelle1014[[#This Row],[Rank]],Stammdaten[Rank Verteilung Ovalität],0))</f>
        <v>#N/A</v>
      </c>
      <c r="AB2790" t="e">
        <f>VLOOKUP(Tabelle1014[[#This Row],[Rank]],Stammdaten[[Rank Verteilung Ovalität]:[Verteilung Ovalität]],2,FALSE)</f>
        <v>#N/A</v>
      </c>
    </row>
    <row r="2791" spans="5:28" x14ac:dyDescent="0.35">
      <c r="E2791">
        <v>2782</v>
      </c>
      <c r="F2791" t="e">
        <f>INDEX(Stammdaten[D Mitte mit Rinde (mm)],MATCH(Tabelle8[[#This Row],[Rank]],Stammdaten[Rank Verteilung D Mitte mit Rinde],0))</f>
        <v>#N/A</v>
      </c>
      <c r="G2791" t="e">
        <f>VLOOKUP(Tabelle8[[#This Row],[Rank]],Stammdaten[[Rank Verteilung D Mitte mit Rinde]:[Verteilung D Mitte mit Rinde]],2,FALSE)</f>
        <v>#N/A</v>
      </c>
      <c r="L2791">
        <v>2782</v>
      </c>
      <c r="M2791" t="e">
        <f>INDEX(Stammdaten[Abholzigkeit (mm/lfm)],MATCH(Tabelle9[[#This Row],[Rank]],Stammdaten[Rank Verteilung Abholzigkeit],0))</f>
        <v>#N/A</v>
      </c>
      <c r="N2791" t="e">
        <f>VLOOKUP(Tabelle9[[#This Row],[Rank]],Stammdaten[[Rank Verteilung Abholzigkeit]:[Verteilung Abholzigkeit]],2,FALSE)</f>
        <v>#N/A</v>
      </c>
      <c r="S2791">
        <v>2782</v>
      </c>
      <c r="T2791" t="e">
        <f>INDEX(Stammdaten[Krümmung (mm/lfm)],MATCH(Tabelle10[[#This Row],[Rank]],Stammdaten[Rank Verteilung Krümmung],0))</f>
        <v>#N/A</v>
      </c>
      <c r="U2791" t="e">
        <f>VLOOKUP(Tabelle10[[#This Row],[Rank]],Stammdaten[[Rank Verteilung Krümmung]:[Verteilung Krümmung]],2,FALSE)</f>
        <v>#N/A</v>
      </c>
      <c r="Z2791">
        <v>2782</v>
      </c>
      <c r="AA2791" t="e">
        <f>INDEX(Stammdaten[Ovalität (']0,1'])],MATCH(Tabelle1014[[#This Row],[Rank]],Stammdaten[Rank Verteilung Ovalität],0))</f>
        <v>#N/A</v>
      </c>
      <c r="AB2791" t="e">
        <f>VLOOKUP(Tabelle1014[[#This Row],[Rank]],Stammdaten[[Rank Verteilung Ovalität]:[Verteilung Ovalität]],2,FALSE)</f>
        <v>#N/A</v>
      </c>
    </row>
    <row r="2792" spans="5:28" x14ac:dyDescent="0.35">
      <c r="E2792">
        <v>2783</v>
      </c>
      <c r="F2792" t="e">
        <f>INDEX(Stammdaten[D Mitte mit Rinde (mm)],MATCH(Tabelle8[[#This Row],[Rank]],Stammdaten[Rank Verteilung D Mitte mit Rinde],0))</f>
        <v>#N/A</v>
      </c>
      <c r="G2792" t="e">
        <f>VLOOKUP(Tabelle8[[#This Row],[Rank]],Stammdaten[[Rank Verteilung D Mitte mit Rinde]:[Verteilung D Mitte mit Rinde]],2,FALSE)</f>
        <v>#N/A</v>
      </c>
      <c r="L2792">
        <v>2783</v>
      </c>
      <c r="M2792" t="e">
        <f>INDEX(Stammdaten[Abholzigkeit (mm/lfm)],MATCH(Tabelle9[[#This Row],[Rank]],Stammdaten[Rank Verteilung Abholzigkeit],0))</f>
        <v>#N/A</v>
      </c>
      <c r="N2792" t="e">
        <f>VLOOKUP(Tabelle9[[#This Row],[Rank]],Stammdaten[[Rank Verteilung Abholzigkeit]:[Verteilung Abholzigkeit]],2,FALSE)</f>
        <v>#N/A</v>
      </c>
      <c r="S2792">
        <v>2783</v>
      </c>
      <c r="T2792" t="e">
        <f>INDEX(Stammdaten[Krümmung (mm/lfm)],MATCH(Tabelle10[[#This Row],[Rank]],Stammdaten[Rank Verteilung Krümmung],0))</f>
        <v>#N/A</v>
      </c>
      <c r="U2792" t="e">
        <f>VLOOKUP(Tabelle10[[#This Row],[Rank]],Stammdaten[[Rank Verteilung Krümmung]:[Verteilung Krümmung]],2,FALSE)</f>
        <v>#N/A</v>
      </c>
      <c r="Z2792">
        <v>2783</v>
      </c>
      <c r="AA2792" t="e">
        <f>INDEX(Stammdaten[Ovalität (']0,1'])],MATCH(Tabelle1014[[#This Row],[Rank]],Stammdaten[Rank Verteilung Ovalität],0))</f>
        <v>#N/A</v>
      </c>
      <c r="AB2792" t="e">
        <f>VLOOKUP(Tabelle1014[[#This Row],[Rank]],Stammdaten[[Rank Verteilung Ovalität]:[Verteilung Ovalität]],2,FALSE)</f>
        <v>#N/A</v>
      </c>
    </row>
    <row r="2793" spans="5:28" x14ac:dyDescent="0.35">
      <c r="E2793">
        <v>2784</v>
      </c>
      <c r="F2793" t="e">
        <f>INDEX(Stammdaten[D Mitte mit Rinde (mm)],MATCH(Tabelle8[[#This Row],[Rank]],Stammdaten[Rank Verteilung D Mitte mit Rinde],0))</f>
        <v>#N/A</v>
      </c>
      <c r="G2793" t="e">
        <f>VLOOKUP(Tabelle8[[#This Row],[Rank]],Stammdaten[[Rank Verteilung D Mitte mit Rinde]:[Verteilung D Mitte mit Rinde]],2,FALSE)</f>
        <v>#N/A</v>
      </c>
      <c r="L2793">
        <v>2784</v>
      </c>
      <c r="M2793" t="e">
        <f>INDEX(Stammdaten[Abholzigkeit (mm/lfm)],MATCH(Tabelle9[[#This Row],[Rank]],Stammdaten[Rank Verteilung Abholzigkeit],0))</f>
        <v>#N/A</v>
      </c>
      <c r="N2793" t="e">
        <f>VLOOKUP(Tabelle9[[#This Row],[Rank]],Stammdaten[[Rank Verteilung Abholzigkeit]:[Verteilung Abholzigkeit]],2,FALSE)</f>
        <v>#N/A</v>
      </c>
      <c r="S2793">
        <v>2784</v>
      </c>
      <c r="T2793" t="e">
        <f>INDEX(Stammdaten[Krümmung (mm/lfm)],MATCH(Tabelle10[[#This Row],[Rank]],Stammdaten[Rank Verteilung Krümmung],0))</f>
        <v>#N/A</v>
      </c>
      <c r="U2793" t="e">
        <f>VLOOKUP(Tabelle10[[#This Row],[Rank]],Stammdaten[[Rank Verteilung Krümmung]:[Verteilung Krümmung]],2,FALSE)</f>
        <v>#N/A</v>
      </c>
      <c r="Z2793">
        <v>2784</v>
      </c>
      <c r="AA2793" t="e">
        <f>INDEX(Stammdaten[Ovalität (']0,1'])],MATCH(Tabelle1014[[#This Row],[Rank]],Stammdaten[Rank Verteilung Ovalität],0))</f>
        <v>#N/A</v>
      </c>
      <c r="AB2793" t="e">
        <f>VLOOKUP(Tabelle1014[[#This Row],[Rank]],Stammdaten[[Rank Verteilung Ovalität]:[Verteilung Ovalität]],2,FALSE)</f>
        <v>#N/A</v>
      </c>
    </row>
    <row r="2794" spans="5:28" x14ac:dyDescent="0.35">
      <c r="E2794">
        <v>2785</v>
      </c>
      <c r="F2794" t="e">
        <f>INDEX(Stammdaten[D Mitte mit Rinde (mm)],MATCH(Tabelle8[[#This Row],[Rank]],Stammdaten[Rank Verteilung D Mitte mit Rinde],0))</f>
        <v>#N/A</v>
      </c>
      <c r="G2794" t="e">
        <f>VLOOKUP(Tabelle8[[#This Row],[Rank]],Stammdaten[[Rank Verteilung D Mitte mit Rinde]:[Verteilung D Mitte mit Rinde]],2,FALSE)</f>
        <v>#N/A</v>
      </c>
      <c r="L2794">
        <v>2785</v>
      </c>
      <c r="M2794" t="e">
        <f>INDEX(Stammdaten[Abholzigkeit (mm/lfm)],MATCH(Tabelle9[[#This Row],[Rank]],Stammdaten[Rank Verteilung Abholzigkeit],0))</f>
        <v>#N/A</v>
      </c>
      <c r="N2794" t="e">
        <f>VLOOKUP(Tabelle9[[#This Row],[Rank]],Stammdaten[[Rank Verteilung Abholzigkeit]:[Verteilung Abholzigkeit]],2,FALSE)</f>
        <v>#N/A</v>
      </c>
      <c r="S2794">
        <v>2785</v>
      </c>
      <c r="T2794" t="e">
        <f>INDEX(Stammdaten[Krümmung (mm/lfm)],MATCH(Tabelle10[[#This Row],[Rank]],Stammdaten[Rank Verteilung Krümmung],0))</f>
        <v>#N/A</v>
      </c>
      <c r="U2794" t="e">
        <f>VLOOKUP(Tabelle10[[#This Row],[Rank]],Stammdaten[[Rank Verteilung Krümmung]:[Verteilung Krümmung]],2,FALSE)</f>
        <v>#N/A</v>
      </c>
      <c r="Z2794">
        <v>2785</v>
      </c>
      <c r="AA2794" t="e">
        <f>INDEX(Stammdaten[Ovalität (']0,1'])],MATCH(Tabelle1014[[#This Row],[Rank]],Stammdaten[Rank Verteilung Ovalität],0))</f>
        <v>#N/A</v>
      </c>
      <c r="AB2794" t="e">
        <f>VLOOKUP(Tabelle1014[[#This Row],[Rank]],Stammdaten[[Rank Verteilung Ovalität]:[Verteilung Ovalität]],2,FALSE)</f>
        <v>#N/A</v>
      </c>
    </row>
    <row r="2795" spans="5:28" x14ac:dyDescent="0.35">
      <c r="E2795">
        <v>2786</v>
      </c>
      <c r="F2795" t="e">
        <f>INDEX(Stammdaten[D Mitte mit Rinde (mm)],MATCH(Tabelle8[[#This Row],[Rank]],Stammdaten[Rank Verteilung D Mitte mit Rinde],0))</f>
        <v>#N/A</v>
      </c>
      <c r="G2795" t="e">
        <f>VLOOKUP(Tabelle8[[#This Row],[Rank]],Stammdaten[[Rank Verteilung D Mitte mit Rinde]:[Verteilung D Mitte mit Rinde]],2,FALSE)</f>
        <v>#N/A</v>
      </c>
      <c r="L2795">
        <v>2786</v>
      </c>
      <c r="M2795" t="e">
        <f>INDEX(Stammdaten[Abholzigkeit (mm/lfm)],MATCH(Tabelle9[[#This Row],[Rank]],Stammdaten[Rank Verteilung Abholzigkeit],0))</f>
        <v>#N/A</v>
      </c>
      <c r="N2795" t="e">
        <f>VLOOKUP(Tabelle9[[#This Row],[Rank]],Stammdaten[[Rank Verteilung Abholzigkeit]:[Verteilung Abholzigkeit]],2,FALSE)</f>
        <v>#N/A</v>
      </c>
      <c r="S2795">
        <v>2786</v>
      </c>
      <c r="T2795" t="e">
        <f>INDEX(Stammdaten[Krümmung (mm/lfm)],MATCH(Tabelle10[[#This Row],[Rank]],Stammdaten[Rank Verteilung Krümmung],0))</f>
        <v>#N/A</v>
      </c>
      <c r="U2795" t="e">
        <f>VLOOKUP(Tabelle10[[#This Row],[Rank]],Stammdaten[[Rank Verteilung Krümmung]:[Verteilung Krümmung]],2,FALSE)</f>
        <v>#N/A</v>
      </c>
      <c r="Z2795">
        <v>2786</v>
      </c>
      <c r="AA2795" t="e">
        <f>INDEX(Stammdaten[Ovalität (']0,1'])],MATCH(Tabelle1014[[#This Row],[Rank]],Stammdaten[Rank Verteilung Ovalität],0))</f>
        <v>#N/A</v>
      </c>
      <c r="AB2795" t="e">
        <f>VLOOKUP(Tabelle1014[[#This Row],[Rank]],Stammdaten[[Rank Verteilung Ovalität]:[Verteilung Ovalität]],2,FALSE)</f>
        <v>#N/A</v>
      </c>
    </row>
    <row r="2796" spans="5:28" x14ac:dyDescent="0.35">
      <c r="E2796">
        <v>2787</v>
      </c>
      <c r="F2796" t="e">
        <f>INDEX(Stammdaten[D Mitte mit Rinde (mm)],MATCH(Tabelle8[[#This Row],[Rank]],Stammdaten[Rank Verteilung D Mitte mit Rinde],0))</f>
        <v>#N/A</v>
      </c>
      <c r="G2796" t="e">
        <f>VLOOKUP(Tabelle8[[#This Row],[Rank]],Stammdaten[[Rank Verteilung D Mitte mit Rinde]:[Verteilung D Mitte mit Rinde]],2,FALSE)</f>
        <v>#N/A</v>
      </c>
      <c r="L2796">
        <v>2787</v>
      </c>
      <c r="M2796" t="e">
        <f>INDEX(Stammdaten[Abholzigkeit (mm/lfm)],MATCH(Tabelle9[[#This Row],[Rank]],Stammdaten[Rank Verteilung Abholzigkeit],0))</f>
        <v>#N/A</v>
      </c>
      <c r="N2796" t="e">
        <f>VLOOKUP(Tabelle9[[#This Row],[Rank]],Stammdaten[[Rank Verteilung Abholzigkeit]:[Verteilung Abholzigkeit]],2,FALSE)</f>
        <v>#N/A</v>
      </c>
      <c r="S2796">
        <v>2787</v>
      </c>
      <c r="T2796" t="e">
        <f>INDEX(Stammdaten[Krümmung (mm/lfm)],MATCH(Tabelle10[[#This Row],[Rank]],Stammdaten[Rank Verteilung Krümmung],0))</f>
        <v>#N/A</v>
      </c>
      <c r="U2796" t="e">
        <f>VLOOKUP(Tabelle10[[#This Row],[Rank]],Stammdaten[[Rank Verteilung Krümmung]:[Verteilung Krümmung]],2,FALSE)</f>
        <v>#N/A</v>
      </c>
      <c r="Z2796">
        <v>2787</v>
      </c>
      <c r="AA2796" t="e">
        <f>INDEX(Stammdaten[Ovalität (']0,1'])],MATCH(Tabelle1014[[#This Row],[Rank]],Stammdaten[Rank Verteilung Ovalität],0))</f>
        <v>#N/A</v>
      </c>
      <c r="AB2796" t="e">
        <f>VLOOKUP(Tabelle1014[[#This Row],[Rank]],Stammdaten[[Rank Verteilung Ovalität]:[Verteilung Ovalität]],2,FALSE)</f>
        <v>#N/A</v>
      </c>
    </row>
    <row r="2797" spans="5:28" x14ac:dyDescent="0.35">
      <c r="E2797">
        <v>2788</v>
      </c>
      <c r="F2797" t="e">
        <f>INDEX(Stammdaten[D Mitte mit Rinde (mm)],MATCH(Tabelle8[[#This Row],[Rank]],Stammdaten[Rank Verteilung D Mitte mit Rinde],0))</f>
        <v>#N/A</v>
      </c>
      <c r="G2797" t="e">
        <f>VLOOKUP(Tabelle8[[#This Row],[Rank]],Stammdaten[[Rank Verteilung D Mitte mit Rinde]:[Verteilung D Mitte mit Rinde]],2,FALSE)</f>
        <v>#N/A</v>
      </c>
      <c r="L2797">
        <v>2788</v>
      </c>
      <c r="M2797" t="e">
        <f>INDEX(Stammdaten[Abholzigkeit (mm/lfm)],MATCH(Tabelle9[[#This Row],[Rank]],Stammdaten[Rank Verteilung Abholzigkeit],0))</f>
        <v>#N/A</v>
      </c>
      <c r="N2797" t="e">
        <f>VLOOKUP(Tabelle9[[#This Row],[Rank]],Stammdaten[[Rank Verteilung Abholzigkeit]:[Verteilung Abholzigkeit]],2,FALSE)</f>
        <v>#N/A</v>
      </c>
      <c r="S2797">
        <v>2788</v>
      </c>
      <c r="T2797" t="e">
        <f>INDEX(Stammdaten[Krümmung (mm/lfm)],MATCH(Tabelle10[[#This Row],[Rank]],Stammdaten[Rank Verteilung Krümmung],0))</f>
        <v>#N/A</v>
      </c>
      <c r="U2797" t="e">
        <f>VLOOKUP(Tabelle10[[#This Row],[Rank]],Stammdaten[[Rank Verteilung Krümmung]:[Verteilung Krümmung]],2,FALSE)</f>
        <v>#N/A</v>
      </c>
      <c r="Z2797">
        <v>2788</v>
      </c>
      <c r="AA2797" t="e">
        <f>INDEX(Stammdaten[Ovalität (']0,1'])],MATCH(Tabelle1014[[#This Row],[Rank]],Stammdaten[Rank Verteilung Ovalität],0))</f>
        <v>#N/A</v>
      </c>
      <c r="AB2797" t="e">
        <f>VLOOKUP(Tabelle1014[[#This Row],[Rank]],Stammdaten[[Rank Verteilung Ovalität]:[Verteilung Ovalität]],2,FALSE)</f>
        <v>#N/A</v>
      </c>
    </row>
    <row r="2798" spans="5:28" x14ac:dyDescent="0.35">
      <c r="E2798">
        <v>2789</v>
      </c>
      <c r="F2798" t="e">
        <f>INDEX(Stammdaten[D Mitte mit Rinde (mm)],MATCH(Tabelle8[[#This Row],[Rank]],Stammdaten[Rank Verteilung D Mitte mit Rinde],0))</f>
        <v>#N/A</v>
      </c>
      <c r="G2798" t="e">
        <f>VLOOKUP(Tabelle8[[#This Row],[Rank]],Stammdaten[[Rank Verteilung D Mitte mit Rinde]:[Verteilung D Mitte mit Rinde]],2,FALSE)</f>
        <v>#N/A</v>
      </c>
      <c r="L2798">
        <v>2789</v>
      </c>
      <c r="M2798" t="e">
        <f>INDEX(Stammdaten[Abholzigkeit (mm/lfm)],MATCH(Tabelle9[[#This Row],[Rank]],Stammdaten[Rank Verteilung Abholzigkeit],0))</f>
        <v>#N/A</v>
      </c>
      <c r="N2798" t="e">
        <f>VLOOKUP(Tabelle9[[#This Row],[Rank]],Stammdaten[[Rank Verteilung Abholzigkeit]:[Verteilung Abholzigkeit]],2,FALSE)</f>
        <v>#N/A</v>
      </c>
      <c r="S2798">
        <v>2789</v>
      </c>
      <c r="T2798" t="e">
        <f>INDEX(Stammdaten[Krümmung (mm/lfm)],MATCH(Tabelle10[[#This Row],[Rank]],Stammdaten[Rank Verteilung Krümmung],0))</f>
        <v>#N/A</v>
      </c>
      <c r="U2798" t="e">
        <f>VLOOKUP(Tabelle10[[#This Row],[Rank]],Stammdaten[[Rank Verteilung Krümmung]:[Verteilung Krümmung]],2,FALSE)</f>
        <v>#N/A</v>
      </c>
      <c r="Z2798">
        <v>2789</v>
      </c>
      <c r="AA2798" t="e">
        <f>INDEX(Stammdaten[Ovalität (']0,1'])],MATCH(Tabelle1014[[#This Row],[Rank]],Stammdaten[Rank Verteilung Ovalität],0))</f>
        <v>#N/A</v>
      </c>
      <c r="AB2798" t="e">
        <f>VLOOKUP(Tabelle1014[[#This Row],[Rank]],Stammdaten[[Rank Verteilung Ovalität]:[Verteilung Ovalität]],2,FALSE)</f>
        <v>#N/A</v>
      </c>
    </row>
    <row r="2799" spans="5:28" x14ac:dyDescent="0.35">
      <c r="E2799">
        <v>2790</v>
      </c>
      <c r="F2799" t="e">
        <f>INDEX(Stammdaten[D Mitte mit Rinde (mm)],MATCH(Tabelle8[[#This Row],[Rank]],Stammdaten[Rank Verteilung D Mitte mit Rinde],0))</f>
        <v>#N/A</v>
      </c>
      <c r="G2799" t="e">
        <f>VLOOKUP(Tabelle8[[#This Row],[Rank]],Stammdaten[[Rank Verteilung D Mitte mit Rinde]:[Verteilung D Mitte mit Rinde]],2,FALSE)</f>
        <v>#N/A</v>
      </c>
      <c r="L2799">
        <v>2790</v>
      </c>
      <c r="M2799" t="e">
        <f>INDEX(Stammdaten[Abholzigkeit (mm/lfm)],MATCH(Tabelle9[[#This Row],[Rank]],Stammdaten[Rank Verteilung Abholzigkeit],0))</f>
        <v>#N/A</v>
      </c>
      <c r="N2799" t="e">
        <f>VLOOKUP(Tabelle9[[#This Row],[Rank]],Stammdaten[[Rank Verteilung Abholzigkeit]:[Verteilung Abholzigkeit]],2,FALSE)</f>
        <v>#N/A</v>
      </c>
      <c r="S2799">
        <v>2790</v>
      </c>
      <c r="T2799" t="e">
        <f>INDEX(Stammdaten[Krümmung (mm/lfm)],MATCH(Tabelle10[[#This Row],[Rank]],Stammdaten[Rank Verteilung Krümmung],0))</f>
        <v>#N/A</v>
      </c>
      <c r="U2799" t="e">
        <f>VLOOKUP(Tabelle10[[#This Row],[Rank]],Stammdaten[[Rank Verteilung Krümmung]:[Verteilung Krümmung]],2,FALSE)</f>
        <v>#N/A</v>
      </c>
      <c r="Z2799">
        <v>2790</v>
      </c>
      <c r="AA2799" t="e">
        <f>INDEX(Stammdaten[Ovalität (']0,1'])],MATCH(Tabelle1014[[#This Row],[Rank]],Stammdaten[Rank Verteilung Ovalität],0))</f>
        <v>#N/A</v>
      </c>
      <c r="AB2799" t="e">
        <f>VLOOKUP(Tabelle1014[[#This Row],[Rank]],Stammdaten[[Rank Verteilung Ovalität]:[Verteilung Ovalität]],2,FALSE)</f>
        <v>#N/A</v>
      </c>
    </row>
    <row r="2800" spans="5:28" x14ac:dyDescent="0.35">
      <c r="E2800">
        <v>2791</v>
      </c>
      <c r="F2800" t="e">
        <f>INDEX(Stammdaten[D Mitte mit Rinde (mm)],MATCH(Tabelle8[[#This Row],[Rank]],Stammdaten[Rank Verteilung D Mitte mit Rinde],0))</f>
        <v>#N/A</v>
      </c>
      <c r="G2800" t="e">
        <f>VLOOKUP(Tabelle8[[#This Row],[Rank]],Stammdaten[[Rank Verteilung D Mitte mit Rinde]:[Verteilung D Mitte mit Rinde]],2,FALSE)</f>
        <v>#N/A</v>
      </c>
      <c r="L2800">
        <v>2791</v>
      </c>
      <c r="M2800" t="e">
        <f>INDEX(Stammdaten[Abholzigkeit (mm/lfm)],MATCH(Tabelle9[[#This Row],[Rank]],Stammdaten[Rank Verteilung Abholzigkeit],0))</f>
        <v>#N/A</v>
      </c>
      <c r="N2800" t="e">
        <f>VLOOKUP(Tabelle9[[#This Row],[Rank]],Stammdaten[[Rank Verteilung Abholzigkeit]:[Verteilung Abholzigkeit]],2,FALSE)</f>
        <v>#N/A</v>
      </c>
      <c r="S2800">
        <v>2791</v>
      </c>
      <c r="T2800" t="e">
        <f>INDEX(Stammdaten[Krümmung (mm/lfm)],MATCH(Tabelle10[[#This Row],[Rank]],Stammdaten[Rank Verteilung Krümmung],0))</f>
        <v>#N/A</v>
      </c>
      <c r="U2800" t="e">
        <f>VLOOKUP(Tabelle10[[#This Row],[Rank]],Stammdaten[[Rank Verteilung Krümmung]:[Verteilung Krümmung]],2,FALSE)</f>
        <v>#N/A</v>
      </c>
      <c r="Z2800">
        <v>2791</v>
      </c>
      <c r="AA2800" t="e">
        <f>INDEX(Stammdaten[Ovalität (']0,1'])],MATCH(Tabelle1014[[#This Row],[Rank]],Stammdaten[Rank Verteilung Ovalität],0))</f>
        <v>#N/A</v>
      </c>
      <c r="AB2800" t="e">
        <f>VLOOKUP(Tabelle1014[[#This Row],[Rank]],Stammdaten[[Rank Verteilung Ovalität]:[Verteilung Ovalität]],2,FALSE)</f>
        <v>#N/A</v>
      </c>
    </row>
    <row r="2801" spans="5:28" x14ac:dyDescent="0.35">
      <c r="E2801">
        <v>2792</v>
      </c>
      <c r="F2801" t="e">
        <f>INDEX(Stammdaten[D Mitte mit Rinde (mm)],MATCH(Tabelle8[[#This Row],[Rank]],Stammdaten[Rank Verteilung D Mitte mit Rinde],0))</f>
        <v>#N/A</v>
      </c>
      <c r="G2801" t="e">
        <f>VLOOKUP(Tabelle8[[#This Row],[Rank]],Stammdaten[[Rank Verteilung D Mitte mit Rinde]:[Verteilung D Mitte mit Rinde]],2,FALSE)</f>
        <v>#N/A</v>
      </c>
      <c r="L2801">
        <v>2792</v>
      </c>
      <c r="M2801" t="e">
        <f>INDEX(Stammdaten[Abholzigkeit (mm/lfm)],MATCH(Tabelle9[[#This Row],[Rank]],Stammdaten[Rank Verteilung Abholzigkeit],0))</f>
        <v>#N/A</v>
      </c>
      <c r="N2801" t="e">
        <f>VLOOKUP(Tabelle9[[#This Row],[Rank]],Stammdaten[[Rank Verteilung Abholzigkeit]:[Verteilung Abholzigkeit]],2,FALSE)</f>
        <v>#N/A</v>
      </c>
      <c r="S2801">
        <v>2792</v>
      </c>
      <c r="T2801" t="e">
        <f>INDEX(Stammdaten[Krümmung (mm/lfm)],MATCH(Tabelle10[[#This Row],[Rank]],Stammdaten[Rank Verteilung Krümmung],0))</f>
        <v>#N/A</v>
      </c>
      <c r="U2801" t="e">
        <f>VLOOKUP(Tabelle10[[#This Row],[Rank]],Stammdaten[[Rank Verteilung Krümmung]:[Verteilung Krümmung]],2,FALSE)</f>
        <v>#N/A</v>
      </c>
      <c r="Z2801">
        <v>2792</v>
      </c>
      <c r="AA2801" t="e">
        <f>INDEX(Stammdaten[Ovalität (']0,1'])],MATCH(Tabelle1014[[#This Row],[Rank]],Stammdaten[Rank Verteilung Ovalität],0))</f>
        <v>#N/A</v>
      </c>
      <c r="AB2801" t="e">
        <f>VLOOKUP(Tabelle1014[[#This Row],[Rank]],Stammdaten[[Rank Verteilung Ovalität]:[Verteilung Ovalität]],2,FALSE)</f>
        <v>#N/A</v>
      </c>
    </row>
    <row r="2802" spans="5:28" x14ac:dyDescent="0.35">
      <c r="E2802">
        <v>2793</v>
      </c>
      <c r="F2802" t="e">
        <f>INDEX(Stammdaten[D Mitte mit Rinde (mm)],MATCH(Tabelle8[[#This Row],[Rank]],Stammdaten[Rank Verteilung D Mitte mit Rinde],0))</f>
        <v>#N/A</v>
      </c>
      <c r="G2802" t="e">
        <f>VLOOKUP(Tabelle8[[#This Row],[Rank]],Stammdaten[[Rank Verteilung D Mitte mit Rinde]:[Verteilung D Mitte mit Rinde]],2,FALSE)</f>
        <v>#N/A</v>
      </c>
      <c r="L2802">
        <v>2793</v>
      </c>
      <c r="M2802" t="e">
        <f>INDEX(Stammdaten[Abholzigkeit (mm/lfm)],MATCH(Tabelle9[[#This Row],[Rank]],Stammdaten[Rank Verteilung Abholzigkeit],0))</f>
        <v>#N/A</v>
      </c>
      <c r="N2802" t="e">
        <f>VLOOKUP(Tabelle9[[#This Row],[Rank]],Stammdaten[[Rank Verteilung Abholzigkeit]:[Verteilung Abholzigkeit]],2,FALSE)</f>
        <v>#N/A</v>
      </c>
      <c r="S2802">
        <v>2793</v>
      </c>
      <c r="T2802" t="e">
        <f>INDEX(Stammdaten[Krümmung (mm/lfm)],MATCH(Tabelle10[[#This Row],[Rank]],Stammdaten[Rank Verteilung Krümmung],0))</f>
        <v>#N/A</v>
      </c>
      <c r="U2802" t="e">
        <f>VLOOKUP(Tabelle10[[#This Row],[Rank]],Stammdaten[[Rank Verteilung Krümmung]:[Verteilung Krümmung]],2,FALSE)</f>
        <v>#N/A</v>
      </c>
      <c r="Z2802">
        <v>2793</v>
      </c>
      <c r="AA2802" t="e">
        <f>INDEX(Stammdaten[Ovalität (']0,1'])],MATCH(Tabelle1014[[#This Row],[Rank]],Stammdaten[Rank Verteilung Ovalität],0))</f>
        <v>#N/A</v>
      </c>
      <c r="AB2802" t="e">
        <f>VLOOKUP(Tabelle1014[[#This Row],[Rank]],Stammdaten[[Rank Verteilung Ovalität]:[Verteilung Ovalität]],2,FALSE)</f>
        <v>#N/A</v>
      </c>
    </row>
    <row r="2803" spans="5:28" x14ac:dyDescent="0.35">
      <c r="E2803">
        <v>2794</v>
      </c>
      <c r="F2803" t="e">
        <f>INDEX(Stammdaten[D Mitte mit Rinde (mm)],MATCH(Tabelle8[[#This Row],[Rank]],Stammdaten[Rank Verteilung D Mitte mit Rinde],0))</f>
        <v>#N/A</v>
      </c>
      <c r="G2803" t="e">
        <f>VLOOKUP(Tabelle8[[#This Row],[Rank]],Stammdaten[[Rank Verteilung D Mitte mit Rinde]:[Verteilung D Mitte mit Rinde]],2,FALSE)</f>
        <v>#N/A</v>
      </c>
      <c r="L2803">
        <v>2794</v>
      </c>
      <c r="M2803" t="e">
        <f>INDEX(Stammdaten[Abholzigkeit (mm/lfm)],MATCH(Tabelle9[[#This Row],[Rank]],Stammdaten[Rank Verteilung Abholzigkeit],0))</f>
        <v>#N/A</v>
      </c>
      <c r="N2803" t="e">
        <f>VLOOKUP(Tabelle9[[#This Row],[Rank]],Stammdaten[[Rank Verteilung Abholzigkeit]:[Verteilung Abholzigkeit]],2,FALSE)</f>
        <v>#N/A</v>
      </c>
      <c r="S2803">
        <v>2794</v>
      </c>
      <c r="T2803" t="e">
        <f>INDEX(Stammdaten[Krümmung (mm/lfm)],MATCH(Tabelle10[[#This Row],[Rank]],Stammdaten[Rank Verteilung Krümmung],0))</f>
        <v>#N/A</v>
      </c>
      <c r="U2803" t="e">
        <f>VLOOKUP(Tabelle10[[#This Row],[Rank]],Stammdaten[[Rank Verteilung Krümmung]:[Verteilung Krümmung]],2,FALSE)</f>
        <v>#N/A</v>
      </c>
      <c r="Z2803">
        <v>2794</v>
      </c>
      <c r="AA2803" t="e">
        <f>INDEX(Stammdaten[Ovalität (']0,1'])],MATCH(Tabelle1014[[#This Row],[Rank]],Stammdaten[Rank Verteilung Ovalität],0))</f>
        <v>#N/A</v>
      </c>
      <c r="AB2803" t="e">
        <f>VLOOKUP(Tabelle1014[[#This Row],[Rank]],Stammdaten[[Rank Verteilung Ovalität]:[Verteilung Ovalität]],2,FALSE)</f>
        <v>#N/A</v>
      </c>
    </row>
    <row r="2804" spans="5:28" x14ac:dyDescent="0.35">
      <c r="E2804">
        <v>2795</v>
      </c>
      <c r="F2804" t="e">
        <f>INDEX(Stammdaten[D Mitte mit Rinde (mm)],MATCH(Tabelle8[[#This Row],[Rank]],Stammdaten[Rank Verteilung D Mitte mit Rinde],0))</f>
        <v>#N/A</v>
      </c>
      <c r="G2804" t="e">
        <f>VLOOKUP(Tabelle8[[#This Row],[Rank]],Stammdaten[[Rank Verteilung D Mitte mit Rinde]:[Verteilung D Mitte mit Rinde]],2,FALSE)</f>
        <v>#N/A</v>
      </c>
      <c r="L2804">
        <v>2795</v>
      </c>
      <c r="M2804" t="e">
        <f>INDEX(Stammdaten[Abholzigkeit (mm/lfm)],MATCH(Tabelle9[[#This Row],[Rank]],Stammdaten[Rank Verteilung Abholzigkeit],0))</f>
        <v>#N/A</v>
      </c>
      <c r="N2804" t="e">
        <f>VLOOKUP(Tabelle9[[#This Row],[Rank]],Stammdaten[[Rank Verteilung Abholzigkeit]:[Verteilung Abholzigkeit]],2,FALSE)</f>
        <v>#N/A</v>
      </c>
      <c r="S2804">
        <v>2795</v>
      </c>
      <c r="T2804" t="e">
        <f>INDEX(Stammdaten[Krümmung (mm/lfm)],MATCH(Tabelle10[[#This Row],[Rank]],Stammdaten[Rank Verteilung Krümmung],0))</f>
        <v>#N/A</v>
      </c>
      <c r="U2804" t="e">
        <f>VLOOKUP(Tabelle10[[#This Row],[Rank]],Stammdaten[[Rank Verteilung Krümmung]:[Verteilung Krümmung]],2,FALSE)</f>
        <v>#N/A</v>
      </c>
      <c r="Z2804">
        <v>2795</v>
      </c>
      <c r="AA2804" t="e">
        <f>INDEX(Stammdaten[Ovalität (']0,1'])],MATCH(Tabelle1014[[#This Row],[Rank]],Stammdaten[Rank Verteilung Ovalität],0))</f>
        <v>#N/A</v>
      </c>
      <c r="AB2804" t="e">
        <f>VLOOKUP(Tabelle1014[[#This Row],[Rank]],Stammdaten[[Rank Verteilung Ovalität]:[Verteilung Ovalität]],2,FALSE)</f>
        <v>#N/A</v>
      </c>
    </row>
    <row r="2805" spans="5:28" x14ac:dyDescent="0.35">
      <c r="E2805">
        <v>2796</v>
      </c>
      <c r="F2805" t="e">
        <f>INDEX(Stammdaten[D Mitte mit Rinde (mm)],MATCH(Tabelle8[[#This Row],[Rank]],Stammdaten[Rank Verteilung D Mitte mit Rinde],0))</f>
        <v>#N/A</v>
      </c>
      <c r="G2805" t="e">
        <f>VLOOKUP(Tabelle8[[#This Row],[Rank]],Stammdaten[[Rank Verteilung D Mitte mit Rinde]:[Verteilung D Mitte mit Rinde]],2,FALSE)</f>
        <v>#N/A</v>
      </c>
      <c r="L2805">
        <v>2796</v>
      </c>
      <c r="M2805" t="e">
        <f>INDEX(Stammdaten[Abholzigkeit (mm/lfm)],MATCH(Tabelle9[[#This Row],[Rank]],Stammdaten[Rank Verteilung Abholzigkeit],0))</f>
        <v>#N/A</v>
      </c>
      <c r="N2805" t="e">
        <f>VLOOKUP(Tabelle9[[#This Row],[Rank]],Stammdaten[[Rank Verteilung Abholzigkeit]:[Verteilung Abholzigkeit]],2,FALSE)</f>
        <v>#N/A</v>
      </c>
      <c r="S2805">
        <v>2796</v>
      </c>
      <c r="T2805" t="e">
        <f>INDEX(Stammdaten[Krümmung (mm/lfm)],MATCH(Tabelle10[[#This Row],[Rank]],Stammdaten[Rank Verteilung Krümmung],0))</f>
        <v>#N/A</v>
      </c>
      <c r="U2805" t="e">
        <f>VLOOKUP(Tabelle10[[#This Row],[Rank]],Stammdaten[[Rank Verteilung Krümmung]:[Verteilung Krümmung]],2,FALSE)</f>
        <v>#N/A</v>
      </c>
      <c r="Z2805">
        <v>2796</v>
      </c>
      <c r="AA2805" t="e">
        <f>INDEX(Stammdaten[Ovalität (']0,1'])],MATCH(Tabelle1014[[#This Row],[Rank]],Stammdaten[Rank Verteilung Ovalität],0))</f>
        <v>#N/A</v>
      </c>
      <c r="AB2805" t="e">
        <f>VLOOKUP(Tabelle1014[[#This Row],[Rank]],Stammdaten[[Rank Verteilung Ovalität]:[Verteilung Ovalität]],2,FALSE)</f>
        <v>#N/A</v>
      </c>
    </row>
    <row r="2806" spans="5:28" x14ac:dyDescent="0.35">
      <c r="E2806">
        <v>2797</v>
      </c>
      <c r="F2806" t="e">
        <f>INDEX(Stammdaten[D Mitte mit Rinde (mm)],MATCH(Tabelle8[[#This Row],[Rank]],Stammdaten[Rank Verteilung D Mitte mit Rinde],0))</f>
        <v>#N/A</v>
      </c>
      <c r="G2806" t="e">
        <f>VLOOKUP(Tabelle8[[#This Row],[Rank]],Stammdaten[[Rank Verteilung D Mitte mit Rinde]:[Verteilung D Mitte mit Rinde]],2,FALSE)</f>
        <v>#N/A</v>
      </c>
      <c r="L2806">
        <v>2797</v>
      </c>
      <c r="M2806" t="e">
        <f>INDEX(Stammdaten[Abholzigkeit (mm/lfm)],MATCH(Tabelle9[[#This Row],[Rank]],Stammdaten[Rank Verteilung Abholzigkeit],0))</f>
        <v>#N/A</v>
      </c>
      <c r="N2806" t="e">
        <f>VLOOKUP(Tabelle9[[#This Row],[Rank]],Stammdaten[[Rank Verteilung Abholzigkeit]:[Verteilung Abholzigkeit]],2,FALSE)</f>
        <v>#N/A</v>
      </c>
      <c r="S2806">
        <v>2797</v>
      </c>
      <c r="T2806" t="e">
        <f>INDEX(Stammdaten[Krümmung (mm/lfm)],MATCH(Tabelle10[[#This Row],[Rank]],Stammdaten[Rank Verteilung Krümmung],0))</f>
        <v>#N/A</v>
      </c>
      <c r="U2806" t="e">
        <f>VLOOKUP(Tabelle10[[#This Row],[Rank]],Stammdaten[[Rank Verteilung Krümmung]:[Verteilung Krümmung]],2,FALSE)</f>
        <v>#N/A</v>
      </c>
      <c r="Z2806">
        <v>2797</v>
      </c>
      <c r="AA2806" t="e">
        <f>INDEX(Stammdaten[Ovalität (']0,1'])],MATCH(Tabelle1014[[#This Row],[Rank]],Stammdaten[Rank Verteilung Ovalität],0))</f>
        <v>#N/A</v>
      </c>
      <c r="AB2806" t="e">
        <f>VLOOKUP(Tabelle1014[[#This Row],[Rank]],Stammdaten[[Rank Verteilung Ovalität]:[Verteilung Ovalität]],2,FALSE)</f>
        <v>#N/A</v>
      </c>
    </row>
    <row r="2807" spans="5:28" x14ac:dyDescent="0.35">
      <c r="E2807">
        <v>2798</v>
      </c>
      <c r="F2807" t="e">
        <f>INDEX(Stammdaten[D Mitte mit Rinde (mm)],MATCH(Tabelle8[[#This Row],[Rank]],Stammdaten[Rank Verteilung D Mitte mit Rinde],0))</f>
        <v>#N/A</v>
      </c>
      <c r="G2807" t="e">
        <f>VLOOKUP(Tabelle8[[#This Row],[Rank]],Stammdaten[[Rank Verteilung D Mitte mit Rinde]:[Verteilung D Mitte mit Rinde]],2,FALSE)</f>
        <v>#N/A</v>
      </c>
      <c r="L2807">
        <v>2798</v>
      </c>
      <c r="M2807" t="e">
        <f>INDEX(Stammdaten[Abholzigkeit (mm/lfm)],MATCH(Tabelle9[[#This Row],[Rank]],Stammdaten[Rank Verteilung Abholzigkeit],0))</f>
        <v>#N/A</v>
      </c>
      <c r="N2807" t="e">
        <f>VLOOKUP(Tabelle9[[#This Row],[Rank]],Stammdaten[[Rank Verteilung Abholzigkeit]:[Verteilung Abholzigkeit]],2,FALSE)</f>
        <v>#N/A</v>
      </c>
      <c r="S2807">
        <v>2798</v>
      </c>
      <c r="T2807" t="e">
        <f>INDEX(Stammdaten[Krümmung (mm/lfm)],MATCH(Tabelle10[[#This Row],[Rank]],Stammdaten[Rank Verteilung Krümmung],0))</f>
        <v>#N/A</v>
      </c>
      <c r="U2807" t="e">
        <f>VLOOKUP(Tabelle10[[#This Row],[Rank]],Stammdaten[[Rank Verteilung Krümmung]:[Verteilung Krümmung]],2,FALSE)</f>
        <v>#N/A</v>
      </c>
      <c r="Z2807">
        <v>2798</v>
      </c>
      <c r="AA2807" t="e">
        <f>INDEX(Stammdaten[Ovalität (']0,1'])],MATCH(Tabelle1014[[#This Row],[Rank]],Stammdaten[Rank Verteilung Ovalität],0))</f>
        <v>#N/A</v>
      </c>
      <c r="AB2807" t="e">
        <f>VLOOKUP(Tabelle1014[[#This Row],[Rank]],Stammdaten[[Rank Verteilung Ovalität]:[Verteilung Ovalität]],2,FALSE)</f>
        <v>#N/A</v>
      </c>
    </row>
    <row r="2808" spans="5:28" x14ac:dyDescent="0.35">
      <c r="E2808">
        <v>2799</v>
      </c>
      <c r="F2808" t="e">
        <f>INDEX(Stammdaten[D Mitte mit Rinde (mm)],MATCH(Tabelle8[[#This Row],[Rank]],Stammdaten[Rank Verteilung D Mitte mit Rinde],0))</f>
        <v>#N/A</v>
      </c>
      <c r="G2808" t="e">
        <f>VLOOKUP(Tabelle8[[#This Row],[Rank]],Stammdaten[[Rank Verteilung D Mitte mit Rinde]:[Verteilung D Mitte mit Rinde]],2,FALSE)</f>
        <v>#N/A</v>
      </c>
      <c r="L2808">
        <v>2799</v>
      </c>
      <c r="M2808" t="e">
        <f>INDEX(Stammdaten[Abholzigkeit (mm/lfm)],MATCH(Tabelle9[[#This Row],[Rank]],Stammdaten[Rank Verteilung Abholzigkeit],0))</f>
        <v>#N/A</v>
      </c>
      <c r="N2808" t="e">
        <f>VLOOKUP(Tabelle9[[#This Row],[Rank]],Stammdaten[[Rank Verteilung Abholzigkeit]:[Verteilung Abholzigkeit]],2,FALSE)</f>
        <v>#N/A</v>
      </c>
      <c r="S2808">
        <v>2799</v>
      </c>
      <c r="T2808" t="e">
        <f>INDEX(Stammdaten[Krümmung (mm/lfm)],MATCH(Tabelle10[[#This Row],[Rank]],Stammdaten[Rank Verteilung Krümmung],0))</f>
        <v>#N/A</v>
      </c>
      <c r="U2808" t="e">
        <f>VLOOKUP(Tabelle10[[#This Row],[Rank]],Stammdaten[[Rank Verteilung Krümmung]:[Verteilung Krümmung]],2,FALSE)</f>
        <v>#N/A</v>
      </c>
      <c r="Z2808">
        <v>2799</v>
      </c>
      <c r="AA2808" t="e">
        <f>INDEX(Stammdaten[Ovalität (']0,1'])],MATCH(Tabelle1014[[#This Row],[Rank]],Stammdaten[Rank Verteilung Ovalität],0))</f>
        <v>#N/A</v>
      </c>
      <c r="AB2808" t="e">
        <f>VLOOKUP(Tabelle1014[[#This Row],[Rank]],Stammdaten[[Rank Verteilung Ovalität]:[Verteilung Ovalität]],2,FALSE)</f>
        <v>#N/A</v>
      </c>
    </row>
    <row r="2809" spans="5:28" x14ac:dyDescent="0.35">
      <c r="E2809">
        <v>2800</v>
      </c>
      <c r="F2809" t="e">
        <f>INDEX(Stammdaten[D Mitte mit Rinde (mm)],MATCH(Tabelle8[[#This Row],[Rank]],Stammdaten[Rank Verteilung D Mitte mit Rinde],0))</f>
        <v>#N/A</v>
      </c>
      <c r="G2809" t="e">
        <f>VLOOKUP(Tabelle8[[#This Row],[Rank]],Stammdaten[[Rank Verteilung D Mitte mit Rinde]:[Verteilung D Mitte mit Rinde]],2,FALSE)</f>
        <v>#N/A</v>
      </c>
      <c r="L2809">
        <v>2800</v>
      </c>
      <c r="M2809" t="e">
        <f>INDEX(Stammdaten[Abholzigkeit (mm/lfm)],MATCH(Tabelle9[[#This Row],[Rank]],Stammdaten[Rank Verteilung Abholzigkeit],0))</f>
        <v>#N/A</v>
      </c>
      <c r="N2809" t="e">
        <f>VLOOKUP(Tabelle9[[#This Row],[Rank]],Stammdaten[[Rank Verteilung Abholzigkeit]:[Verteilung Abholzigkeit]],2,FALSE)</f>
        <v>#N/A</v>
      </c>
      <c r="S2809">
        <v>2800</v>
      </c>
      <c r="T2809" t="e">
        <f>INDEX(Stammdaten[Krümmung (mm/lfm)],MATCH(Tabelle10[[#This Row],[Rank]],Stammdaten[Rank Verteilung Krümmung],0))</f>
        <v>#N/A</v>
      </c>
      <c r="U2809" t="e">
        <f>VLOOKUP(Tabelle10[[#This Row],[Rank]],Stammdaten[[Rank Verteilung Krümmung]:[Verteilung Krümmung]],2,FALSE)</f>
        <v>#N/A</v>
      </c>
      <c r="Z2809">
        <v>2800</v>
      </c>
      <c r="AA2809" t="e">
        <f>INDEX(Stammdaten[Ovalität (']0,1'])],MATCH(Tabelle1014[[#This Row],[Rank]],Stammdaten[Rank Verteilung Ovalität],0))</f>
        <v>#N/A</v>
      </c>
      <c r="AB2809" t="e">
        <f>VLOOKUP(Tabelle1014[[#This Row],[Rank]],Stammdaten[[Rank Verteilung Ovalität]:[Verteilung Ovalität]],2,FALSE)</f>
        <v>#N/A</v>
      </c>
    </row>
    <row r="2810" spans="5:28" x14ac:dyDescent="0.35">
      <c r="E2810">
        <v>2801</v>
      </c>
      <c r="F2810" t="e">
        <f>INDEX(Stammdaten[D Mitte mit Rinde (mm)],MATCH(Tabelle8[[#This Row],[Rank]],Stammdaten[Rank Verteilung D Mitte mit Rinde],0))</f>
        <v>#N/A</v>
      </c>
      <c r="G2810" t="e">
        <f>VLOOKUP(Tabelle8[[#This Row],[Rank]],Stammdaten[[Rank Verteilung D Mitte mit Rinde]:[Verteilung D Mitte mit Rinde]],2,FALSE)</f>
        <v>#N/A</v>
      </c>
      <c r="L2810">
        <v>2801</v>
      </c>
      <c r="M2810" t="e">
        <f>INDEX(Stammdaten[Abholzigkeit (mm/lfm)],MATCH(Tabelle9[[#This Row],[Rank]],Stammdaten[Rank Verteilung Abholzigkeit],0))</f>
        <v>#N/A</v>
      </c>
      <c r="N2810" t="e">
        <f>VLOOKUP(Tabelle9[[#This Row],[Rank]],Stammdaten[[Rank Verteilung Abholzigkeit]:[Verteilung Abholzigkeit]],2,FALSE)</f>
        <v>#N/A</v>
      </c>
      <c r="S2810">
        <v>2801</v>
      </c>
      <c r="T2810" t="e">
        <f>INDEX(Stammdaten[Krümmung (mm/lfm)],MATCH(Tabelle10[[#This Row],[Rank]],Stammdaten[Rank Verteilung Krümmung],0))</f>
        <v>#N/A</v>
      </c>
      <c r="U2810" t="e">
        <f>VLOOKUP(Tabelle10[[#This Row],[Rank]],Stammdaten[[Rank Verteilung Krümmung]:[Verteilung Krümmung]],2,FALSE)</f>
        <v>#N/A</v>
      </c>
      <c r="Z2810">
        <v>2801</v>
      </c>
      <c r="AA2810" t="e">
        <f>INDEX(Stammdaten[Ovalität (']0,1'])],MATCH(Tabelle1014[[#This Row],[Rank]],Stammdaten[Rank Verteilung Ovalität],0))</f>
        <v>#N/A</v>
      </c>
      <c r="AB2810" t="e">
        <f>VLOOKUP(Tabelle1014[[#This Row],[Rank]],Stammdaten[[Rank Verteilung Ovalität]:[Verteilung Ovalität]],2,FALSE)</f>
        <v>#N/A</v>
      </c>
    </row>
    <row r="2811" spans="5:28" x14ac:dyDescent="0.35">
      <c r="E2811">
        <v>2802</v>
      </c>
      <c r="F2811" t="e">
        <f>INDEX(Stammdaten[D Mitte mit Rinde (mm)],MATCH(Tabelle8[[#This Row],[Rank]],Stammdaten[Rank Verteilung D Mitte mit Rinde],0))</f>
        <v>#N/A</v>
      </c>
      <c r="G2811" t="e">
        <f>VLOOKUP(Tabelle8[[#This Row],[Rank]],Stammdaten[[Rank Verteilung D Mitte mit Rinde]:[Verteilung D Mitte mit Rinde]],2,FALSE)</f>
        <v>#N/A</v>
      </c>
      <c r="L2811">
        <v>2802</v>
      </c>
      <c r="M2811" t="e">
        <f>INDEX(Stammdaten[Abholzigkeit (mm/lfm)],MATCH(Tabelle9[[#This Row],[Rank]],Stammdaten[Rank Verteilung Abholzigkeit],0))</f>
        <v>#N/A</v>
      </c>
      <c r="N2811" t="e">
        <f>VLOOKUP(Tabelle9[[#This Row],[Rank]],Stammdaten[[Rank Verteilung Abholzigkeit]:[Verteilung Abholzigkeit]],2,FALSE)</f>
        <v>#N/A</v>
      </c>
      <c r="S2811">
        <v>2802</v>
      </c>
      <c r="T2811" t="e">
        <f>INDEX(Stammdaten[Krümmung (mm/lfm)],MATCH(Tabelle10[[#This Row],[Rank]],Stammdaten[Rank Verteilung Krümmung],0))</f>
        <v>#N/A</v>
      </c>
      <c r="U2811" t="e">
        <f>VLOOKUP(Tabelle10[[#This Row],[Rank]],Stammdaten[[Rank Verteilung Krümmung]:[Verteilung Krümmung]],2,FALSE)</f>
        <v>#N/A</v>
      </c>
      <c r="Z2811">
        <v>2802</v>
      </c>
      <c r="AA2811" t="e">
        <f>INDEX(Stammdaten[Ovalität (']0,1'])],MATCH(Tabelle1014[[#This Row],[Rank]],Stammdaten[Rank Verteilung Ovalität],0))</f>
        <v>#N/A</v>
      </c>
      <c r="AB2811" t="e">
        <f>VLOOKUP(Tabelle1014[[#This Row],[Rank]],Stammdaten[[Rank Verteilung Ovalität]:[Verteilung Ovalität]],2,FALSE)</f>
        <v>#N/A</v>
      </c>
    </row>
    <row r="2812" spans="5:28" x14ac:dyDescent="0.35">
      <c r="E2812">
        <v>2803</v>
      </c>
      <c r="F2812" t="e">
        <f>INDEX(Stammdaten[D Mitte mit Rinde (mm)],MATCH(Tabelle8[[#This Row],[Rank]],Stammdaten[Rank Verteilung D Mitte mit Rinde],0))</f>
        <v>#N/A</v>
      </c>
      <c r="G2812" t="e">
        <f>VLOOKUP(Tabelle8[[#This Row],[Rank]],Stammdaten[[Rank Verteilung D Mitte mit Rinde]:[Verteilung D Mitte mit Rinde]],2,FALSE)</f>
        <v>#N/A</v>
      </c>
      <c r="L2812">
        <v>2803</v>
      </c>
      <c r="M2812" t="e">
        <f>INDEX(Stammdaten[Abholzigkeit (mm/lfm)],MATCH(Tabelle9[[#This Row],[Rank]],Stammdaten[Rank Verteilung Abholzigkeit],0))</f>
        <v>#N/A</v>
      </c>
      <c r="N2812" t="e">
        <f>VLOOKUP(Tabelle9[[#This Row],[Rank]],Stammdaten[[Rank Verteilung Abholzigkeit]:[Verteilung Abholzigkeit]],2,FALSE)</f>
        <v>#N/A</v>
      </c>
      <c r="S2812">
        <v>2803</v>
      </c>
      <c r="T2812" t="e">
        <f>INDEX(Stammdaten[Krümmung (mm/lfm)],MATCH(Tabelle10[[#This Row],[Rank]],Stammdaten[Rank Verteilung Krümmung],0))</f>
        <v>#N/A</v>
      </c>
      <c r="U2812" t="e">
        <f>VLOOKUP(Tabelle10[[#This Row],[Rank]],Stammdaten[[Rank Verteilung Krümmung]:[Verteilung Krümmung]],2,FALSE)</f>
        <v>#N/A</v>
      </c>
      <c r="Z2812">
        <v>2803</v>
      </c>
      <c r="AA2812" t="e">
        <f>INDEX(Stammdaten[Ovalität (']0,1'])],MATCH(Tabelle1014[[#This Row],[Rank]],Stammdaten[Rank Verteilung Ovalität],0))</f>
        <v>#N/A</v>
      </c>
      <c r="AB2812" t="e">
        <f>VLOOKUP(Tabelle1014[[#This Row],[Rank]],Stammdaten[[Rank Verteilung Ovalität]:[Verteilung Ovalität]],2,FALSE)</f>
        <v>#N/A</v>
      </c>
    </row>
    <row r="2813" spans="5:28" x14ac:dyDescent="0.35">
      <c r="E2813">
        <v>2804</v>
      </c>
      <c r="F2813" t="e">
        <f>INDEX(Stammdaten[D Mitte mit Rinde (mm)],MATCH(Tabelle8[[#This Row],[Rank]],Stammdaten[Rank Verteilung D Mitte mit Rinde],0))</f>
        <v>#N/A</v>
      </c>
      <c r="G2813" t="e">
        <f>VLOOKUP(Tabelle8[[#This Row],[Rank]],Stammdaten[[Rank Verteilung D Mitte mit Rinde]:[Verteilung D Mitte mit Rinde]],2,FALSE)</f>
        <v>#N/A</v>
      </c>
      <c r="L2813">
        <v>2804</v>
      </c>
      <c r="M2813" t="e">
        <f>INDEX(Stammdaten[Abholzigkeit (mm/lfm)],MATCH(Tabelle9[[#This Row],[Rank]],Stammdaten[Rank Verteilung Abholzigkeit],0))</f>
        <v>#N/A</v>
      </c>
      <c r="N2813" t="e">
        <f>VLOOKUP(Tabelle9[[#This Row],[Rank]],Stammdaten[[Rank Verteilung Abholzigkeit]:[Verteilung Abholzigkeit]],2,FALSE)</f>
        <v>#N/A</v>
      </c>
      <c r="S2813">
        <v>2804</v>
      </c>
      <c r="T2813" t="e">
        <f>INDEX(Stammdaten[Krümmung (mm/lfm)],MATCH(Tabelle10[[#This Row],[Rank]],Stammdaten[Rank Verteilung Krümmung],0))</f>
        <v>#N/A</v>
      </c>
      <c r="U2813" t="e">
        <f>VLOOKUP(Tabelle10[[#This Row],[Rank]],Stammdaten[[Rank Verteilung Krümmung]:[Verteilung Krümmung]],2,FALSE)</f>
        <v>#N/A</v>
      </c>
      <c r="Z2813">
        <v>2804</v>
      </c>
      <c r="AA2813" t="e">
        <f>INDEX(Stammdaten[Ovalität (']0,1'])],MATCH(Tabelle1014[[#This Row],[Rank]],Stammdaten[Rank Verteilung Ovalität],0))</f>
        <v>#N/A</v>
      </c>
      <c r="AB2813" t="e">
        <f>VLOOKUP(Tabelle1014[[#This Row],[Rank]],Stammdaten[[Rank Verteilung Ovalität]:[Verteilung Ovalität]],2,FALSE)</f>
        <v>#N/A</v>
      </c>
    </row>
    <row r="2814" spans="5:28" x14ac:dyDescent="0.35">
      <c r="E2814">
        <v>2805</v>
      </c>
      <c r="F2814" t="e">
        <f>INDEX(Stammdaten[D Mitte mit Rinde (mm)],MATCH(Tabelle8[[#This Row],[Rank]],Stammdaten[Rank Verteilung D Mitte mit Rinde],0))</f>
        <v>#N/A</v>
      </c>
      <c r="G2814" t="e">
        <f>VLOOKUP(Tabelle8[[#This Row],[Rank]],Stammdaten[[Rank Verteilung D Mitte mit Rinde]:[Verteilung D Mitte mit Rinde]],2,FALSE)</f>
        <v>#N/A</v>
      </c>
      <c r="L2814">
        <v>2805</v>
      </c>
      <c r="M2814" t="e">
        <f>INDEX(Stammdaten[Abholzigkeit (mm/lfm)],MATCH(Tabelle9[[#This Row],[Rank]],Stammdaten[Rank Verteilung Abholzigkeit],0))</f>
        <v>#N/A</v>
      </c>
      <c r="N2814" t="e">
        <f>VLOOKUP(Tabelle9[[#This Row],[Rank]],Stammdaten[[Rank Verteilung Abholzigkeit]:[Verteilung Abholzigkeit]],2,FALSE)</f>
        <v>#N/A</v>
      </c>
      <c r="S2814">
        <v>2805</v>
      </c>
      <c r="T2814" t="e">
        <f>INDEX(Stammdaten[Krümmung (mm/lfm)],MATCH(Tabelle10[[#This Row],[Rank]],Stammdaten[Rank Verteilung Krümmung],0))</f>
        <v>#N/A</v>
      </c>
      <c r="U2814" t="e">
        <f>VLOOKUP(Tabelle10[[#This Row],[Rank]],Stammdaten[[Rank Verteilung Krümmung]:[Verteilung Krümmung]],2,FALSE)</f>
        <v>#N/A</v>
      </c>
      <c r="Z2814">
        <v>2805</v>
      </c>
      <c r="AA2814" t="e">
        <f>INDEX(Stammdaten[Ovalität (']0,1'])],MATCH(Tabelle1014[[#This Row],[Rank]],Stammdaten[Rank Verteilung Ovalität],0))</f>
        <v>#N/A</v>
      </c>
      <c r="AB2814" t="e">
        <f>VLOOKUP(Tabelle1014[[#This Row],[Rank]],Stammdaten[[Rank Verteilung Ovalität]:[Verteilung Ovalität]],2,FALSE)</f>
        <v>#N/A</v>
      </c>
    </row>
    <row r="2815" spans="5:28" x14ac:dyDescent="0.35">
      <c r="E2815">
        <v>2806</v>
      </c>
      <c r="F2815" t="e">
        <f>INDEX(Stammdaten[D Mitte mit Rinde (mm)],MATCH(Tabelle8[[#This Row],[Rank]],Stammdaten[Rank Verteilung D Mitte mit Rinde],0))</f>
        <v>#N/A</v>
      </c>
      <c r="G2815" t="e">
        <f>VLOOKUP(Tabelle8[[#This Row],[Rank]],Stammdaten[[Rank Verteilung D Mitte mit Rinde]:[Verteilung D Mitte mit Rinde]],2,FALSE)</f>
        <v>#N/A</v>
      </c>
      <c r="L2815">
        <v>2806</v>
      </c>
      <c r="M2815" t="e">
        <f>INDEX(Stammdaten[Abholzigkeit (mm/lfm)],MATCH(Tabelle9[[#This Row],[Rank]],Stammdaten[Rank Verteilung Abholzigkeit],0))</f>
        <v>#N/A</v>
      </c>
      <c r="N2815" t="e">
        <f>VLOOKUP(Tabelle9[[#This Row],[Rank]],Stammdaten[[Rank Verteilung Abholzigkeit]:[Verteilung Abholzigkeit]],2,FALSE)</f>
        <v>#N/A</v>
      </c>
      <c r="S2815">
        <v>2806</v>
      </c>
      <c r="T2815" t="e">
        <f>INDEX(Stammdaten[Krümmung (mm/lfm)],MATCH(Tabelle10[[#This Row],[Rank]],Stammdaten[Rank Verteilung Krümmung],0))</f>
        <v>#N/A</v>
      </c>
      <c r="U2815" t="e">
        <f>VLOOKUP(Tabelle10[[#This Row],[Rank]],Stammdaten[[Rank Verteilung Krümmung]:[Verteilung Krümmung]],2,FALSE)</f>
        <v>#N/A</v>
      </c>
      <c r="Z2815">
        <v>2806</v>
      </c>
      <c r="AA2815" t="e">
        <f>INDEX(Stammdaten[Ovalität (']0,1'])],MATCH(Tabelle1014[[#This Row],[Rank]],Stammdaten[Rank Verteilung Ovalität],0))</f>
        <v>#N/A</v>
      </c>
      <c r="AB2815" t="e">
        <f>VLOOKUP(Tabelle1014[[#This Row],[Rank]],Stammdaten[[Rank Verteilung Ovalität]:[Verteilung Ovalität]],2,FALSE)</f>
        <v>#N/A</v>
      </c>
    </row>
    <row r="2816" spans="5:28" x14ac:dyDescent="0.35">
      <c r="E2816">
        <v>2807</v>
      </c>
      <c r="F2816" t="e">
        <f>INDEX(Stammdaten[D Mitte mit Rinde (mm)],MATCH(Tabelle8[[#This Row],[Rank]],Stammdaten[Rank Verteilung D Mitte mit Rinde],0))</f>
        <v>#N/A</v>
      </c>
      <c r="G2816" t="e">
        <f>VLOOKUP(Tabelle8[[#This Row],[Rank]],Stammdaten[[Rank Verteilung D Mitte mit Rinde]:[Verteilung D Mitte mit Rinde]],2,FALSE)</f>
        <v>#N/A</v>
      </c>
      <c r="L2816">
        <v>2807</v>
      </c>
      <c r="M2816" t="e">
        <f>INDEX(Stammdaten[Abholzigkeit (mm/lfm)],MATCH(Tabelle9[[#This Row],[Rank]],Stammdaten[Rank Verteilung Abholzigkeit],0))</f>
        <v>#N/A</v>
      </c>
      <c r="N2816" t="e">
        <f>VLOOKUP(Tabelle9[[#This Row],[Rank]],Stammdaten[[Rank Verteilung Abholzigkeit]:[Verteilung Abholzigkeit]],2,FALSE)</f>
        <v>#N/A</v>
      </c>
      <c r="S2816">
        <v>2807</v>
      </c>
      <c r="T2816" t="e">
        <f>INDEX(Stammdaten[Krümmung (mm/lfm)],MATCH(Tabelle10[[#This Row],[Rank]],Stammdaten[Rank Verteilung Krümmung],0))</f>
        <v>#N/A</v>
      </c>
      <c r="U2816" t="e">
        <f>VLOOKUP(Tabelle10[[#This Row],[Rank]],Stammdaten[[Rank Verteilung Krümmung]:[Verteilung Krümmung]],2,FALSE)</f>
        <v>#N/A</v>
      </c>
      <c r="Z2816">
        <v>2807</v>
      </c>
      <c r="AA2816" t="e">
        <f>INDEX(Stammdaten[Ovalität (']0,1'])],MATCH(Tabelle1014[[#This Row],[Rank]],Stammdaten[Rank Verteilung Ovalität],0))</f>
        <v>#N/A</v>
      </c>
      <c r="AB2816" t="e">
        <f>VLOOKUP(Tabelle1014[[#This Row],[Rank]],Stammdaten[[Rank Verteilung Ovalität]:[Verteilung Ovalität]],2,FALSE)</f>
        <v>#N/A</v>
      </c>
    </row>
    <row r="2817" spans="5:28" x14ac:dyDescent="0.35">
      <c r="E2817">
        <v>2808</v>
      </c>
      <c r="F2817" t="e">
        <f>INDEX(Stammdaten[D Mitte mit Rinde (mm)],MATCH(Tabelle8[[#This Row],[Rank]],Stammdaten[Rank Verteilung D Mitte mit Rinde],0))</f>
        <v>#N/A</v>
      </c>
      <c r="G2817" t="e">
        <f>VLOOKUP(Tabelle8[[#This Row],[Rank]],Stammdaten[[Rank Verteilung D Mitte mit Rinde]:[Verteilung D Mitte mit Rinde]],2,FALSE)</f>
        <v>#N/A</v>
      </c>
      <c r="L2817">
        <v>2808</v>
      </c>
      <c r="M2817" t="e">
        <f>INDEX(Stammdaten[Abholzigkeit (mm/lfm)],MATCH(Tabelle9[[#This Row],[Rank]],Stammdaten[Rank Verteilung Abholzigkeit],0))</f>
        <v>#N/A</v>
      </c>
      <c r="N2817" t="e">
        <f>VLOOKUP(Tabelle9[[#This Row],[Rank]],Stammdaten[[Rank Verteilung Abholzigkeit]:[Verteilung Abholzigkeit]],2,FALSE)</f>
        <v>#N/A</v>
      </c>
      <c r="S2817">
        <v>2808</v>
      </c>
      <c r="T2817" t="e">
        <f>INDEX(Stammdaten[Krümmung (mm/lfm)],MATCH(Tabelle10[[#This Row],[Rank]],Stammdaten[Rank Verteilung Krümmung],0))</f>
        <v>#N/A</v>
      </c>
      <c r="U2817" t="e">
        <f>VLOOKUP(Tabelle10[[#This Row],[Rank]],Stammdaten[[Rank Verteilung Krümmung]:[Verteilung Krümmung]],2,FALSE)</f>
        <v>#N/A</v>
      </c>
      <c r="Z2817">
        <v>2808</v>
      </c>
      <c r="AA2817" t="e">
        <f>INDEX(Stammdaten[Ovalität (']0,1'])],MATCH(Tabelle1014[[#This Row],[Rank]],Stammdaten[Rank Verteilung Ovalität],0))</f>
        <v>#N/A</v>
      </c>
      <c r="AB2817" t="e">
        <f>VLOOKUP(Tabelle1014[[#This Row],[Rank]],Stammdaten[[Rank Verteilung Ovalität]:[Verteilung Ovalität]],2,FALSE)</f>
        <v>#N/A</v>
      </c>
    </row>
    <row r="2818" spans="5:28" x14ac:dyDescent="0.35">
      <c r="E2818">
        <v>2809</v>
      </c>
      <c r="F2818" t="e">
        <f>INDEX(Stammdaten[D Mitte mit Rinde (mm)],MATCH(Tabelle8[[#This Row],[Rank]],Stammdaten[Rank Verteilung D Mitte mit Rinde],0))</f>
        <v>#N/A</v>
      </c>
      <c r="G2818" t="e">
        <f>VLOOKUP(Tabelle8[[#This Row],[Rank]],Stammdaten[[Rank Verteilung D Mitte mit Rinde]:[Verteilung D Mitte mit Rinde]],2,FALSE)</f>
        <v>#N/A</v>
      </c>
      <c r="L2818">
        <v>2809</v>
      </c>
      <c r="M2818" t="e">
        <f>INDEX(Stammdaten[Abholzigkeit (mm/lfm)],MATCH(Tabelle9[[#This Row],[Rank]],Stammdaten[Rank Verteilung Abholzigkeit],0))</f>
        <v>#N/A</v>
      </c>
      <c r="N2818" t="e">
        <f>VLOOKUP(Tabelle9[[#This Row],[Rank]],Stammdaten[[Rank Verteilung Abholzigkeit]:[Verteilung Abholzigkeit]],2,FALSE)</f>
        <v>#N/A</v>
      </c>
      <c r="S2818">
        <v>2809</v>
      </c>
      <c r="T2818" t="e">
        <f>INDEX(Stammdaten[Krümmung (mm/lfm)],MATCH(Tabelle10[[#This Row],[Rank]],Stammdaten[Rank Verteilung Krümmung],0))</f>
        <v>#N/A</v>
      </c>
      <c r="U2818" t="e">
        <f>VLOOKUP(Tabelle10[[#This Row],[Rank]],Stammdaten[[Rank Verteilung Krümmung]:[Verteilung Krümmung]],2,FALSE)</f>
        <v>#N/A</v>
      </c>
      <c r="Z2818">
        <v>2809</v>
      </c>
      <c r="AA2818" t="e">
        <f>INDEX(Stammdaten[Ovalität (']0,1'])],MATCH(Tabelle1014[[#This Row],[Rank]],Stammdaten[Rank Verteilung Ovalität],0))</f>
        <v>#N/A</v>
      </c>
      <c r="AB2818" t="e">
        <f>VLOOKUP(Tabelle1014[[#This Row],[Rank]],Stammdaten[[Rank Verteilung Ovalität]:[Verteilung Ovalität]],2,FALSE)</f>
        <v>#N/A</v>
      </c>
    </row>
    <row r="2819" spans="5:28" x14ac:dyDescent="0.35">
      <c r="E2819">
        <v>2810</v>
      </c>
      <c r="F2819" t="e">
        <f>INDEX(Stammdaten[D Mitte mit Rinde (mm)],MATCH(Tabelle8[[#This Row],[Rank]],Stammdaten[Rank Verteilung D Mitte mit Rinde],0))</f>
        <v>#N/A</v>
      </c>
      <c r="G2819" t="e">
        <f>VLOOKUP(Tabelle8[[#This Row],[Rank]],Stammdaten[[Rank Verteilung D Mitte mit Rinde]:[Verteilung D Mitte mit Rinde]],2,FALSE)</f>
        <v>#N/A</v>
      </c>
      <c r="L2819">
        <v>2810</v>
      </c>
      <c r="M2819" t="e">
        <f>INDEX(Stammdaten[Abholzigkeit (mm/lfm)],MATCH(Tabelle9[[#This Row],[Rank]],Stammdaten[Rank Verteilung Abholzigkeit],0))</f>
        <v>#N/A</v>
      </c>
      <c r="N2819" t="e">
        <f>VLOOKUP(Tabelle9[[#This Row],[Rank]],Stammdaten[[Rank Verteilung Abholzigkeit]:[Verteilung Abholzigkeit]],2,FALSE)</f>
        <v>#N/A</v>
      </c>
      <c r="S2819">
        <v>2810</v>
      </c>
      <c r="T2819" t="e">
        <f>INDEX(Stammdaten[Krümmung (mm/lfm)],MATCH(Tabelle10[[#This Row],[Rank]],Stammdaten[Rank Verteilung Krümmung],0))</f>
        <v>#N/A</v>
      </c>
      <c r="U2819" t="e">
        <f>VLOOKUP(Tabelle10[[#This Row],[Rank]],Stammdaten[[Rank Verteilung Krümmung]:[Verteilung Krümmung]],2,FALSE)</f>
        <v>#N/A</v>
      </c>
      <c r="Z2819">
        <v>2810</v>
      </c>
      <c r="AA2819" t="e">
        <f>INDEX(Stammdaten[Ovalität (']0,1'])],MATCH(Tabelle1014[[#This Row],[Rank]],Stammdaten[Rank Verteilung Ovalität],0))</f>
        <v>#N/A</v>
      </c>
      <c r="AB2819" t="e">
        <f>VLOOKUP(Tabelle1014[[#This Row],[Rank]],Stammdaten[[Rank Verteilung Ovalität]:[Verteilung Ovalität]],2,FALSE)</f>
        <v>#N/A</v>
      </c>
    </row>
    <row r="2820" spans="5:28" x14ac:dyDescent="0.35">
      <c r="E2820">
        <v>2811</v>
      </c>
      <c r="F2820" t="e">
        <f>INDEX(Stammdaten[D Mitte mit Rinde (mm)],MATCH(Tabelle8[[#This Row],[Rank]],Stammdaten[Rank Verteilung D Mitte mit Rinde],0))</f>
        <v>#N/A</v>
      </c>
      <c r="G2820" t="e">
        <f>VLOOKUP(Tabelle8[[#This Row],[Rank]],Stammdaten[[Rank Verteilung D Mitte mit Rinde]:[Verteilung D Mitte mit Rinde]],2,FALSE)</f>
        <v>#N/A</v>
      </c>
      <c r="L2820">
        <v>2811</v>
      </c>
      <c r="M2820" t="e">
        <f>INDEX(Stammdaten[Abholzigkeit (mm/lfm)],MATCH(Tabelle9[[#This Row],[Rank]],Stammdaten[Rank Verteilung Abholzigkeit],0))</f>
        <v>#N/A</v>
      </c>
      <c r="N2820" t="e">
        <f>VLOOKUP(Tabelle9[[#This Row],[Rank]],Stammdaten[[Rank Verteilung Abholzigkeit]:[Verteilung Abholzigkeit]],2,FALSE)</f>
        <v>#N/A</v>
      </c>
      <c r="S2820">
        <v>2811</v>
      </c>
      <c r="T2820" t="e">
        <f>INDEX(Stammdaten[Krümmung (mm/lfm)],MATCH(Tabelle10[[#This Row],[Rank]],Stammdaten[Rank Verteilung Krümmung],0))</f>
        <v>#N/A</v>
      </c>
      <c r="U2820" t="e">
        <f>VLOOKUP(Tabelle10[[#This Row],[Rank]],Stammdaten[[Rank Verteilung Krümmung]:[Verteilung Krümmung]],2,FALSE)</f>
        <v>#N/A</v>
      </c>
      <c r="Z2820">
        <v>2811</v>
      </c>
      <c r="AA2820" t="e">
        <f>INDEX(Stammdaten[Ovalität (']0,1'])],MATCH(Tabelle1014[[#This Row],[Rank]],Stammdaten[Rank Verteilung Ovalität],0))</f>
        <v>#N/A</v>
      </c>
      <c r="AB2820" t="e">
        <f>VLOOKUP(Tabelle1014[[#This Row],[Rank]],Stammdaten[[Rank Verteilung Ovalität]:[Verteilung Ovalität]],2,FALSE)</f>
        <v>#N/A</v>
      </c>
    </row>
    <row r="2821" spans="5:28" x14ac:dyDescent="0.35">
      <c r="E2821">
        <v>2812</v>
      </c>
      <c r="F2821" t="e">
        <f>INDEX(Stammdaten[D Mitte mit Rinde (mm)],MATCH(Tabelle8[[#This Row],[Rank]],Stammdaten[Rank Verteilung D Mitte mit Rinde],0))</f>
        <v>#N/A</v>
      </c>
      <c r="G2821" t="e">
        <f>VLOOKUP(Tabelle8[[#This Row],[Rank]],Stammdaten[[Rank Verteilung D Mitte mit Rinde]:[Verteilung D Mitte mit Rinde]],2,FALSE)</f>
        <v>#N/A</v>
      </c>
      <c r="L2821">
        <v>2812</v>
      </c>
      <c r="M2821" t="e">
        <f>INDEX(Stammdaten[Abholzigkeit (mm/lfm)],MATCH(Tabelle9[[#This Row],[Rank]],Stammdaten[Rank Verteilung Abholzigkeit],0))</f>
        <v>#N/A</v>
      </c>
      <c r="N2821" t="e">
        <f>VLOOKUP(Tabelle9[[#This Row],[Rank]],Stammdaten[[Rank Verteilung Abholzigkeit]:[Verteilung Abholzigkeit]],2,FALSE)</f>
        <v>#N/A</v>
      </c>
      <c r="S2821">
        <v>2812</v>
      </c>
      <c r="T2821" t="e">
        <f>INDEX(Stammdaten[Krümmung (mm/lfm)],MATCH(Tabelle10[[#This Row],[Rank]],Stammdaten[Rank Verteilung Krümmung],0))</f>
        <v>#N/A</v>
      </c>
      <c r="U2821" t="e">
        <f>VLOOKUP(Tabelle10[[#This Row],[Rank]],Stammdaten[[Rank Verteilung Krümmung]:[Verteilung Krümmung]],2,FALSE)</f>
        <v>#N/A</v>
      </c>
      <c r="Z2821">
        <v>2812</v>
      </c>
      <c r="AA2821" t="e">
        <f>INDEX(Stammdaten[Ovalität (']0,1'])],MATCH(Tabelle1014[[#This Row],[Rank]],Stammdaten[Rank Verteilung Ovalität],0))</f>
        <v>#N/A</v>
      </c>
      <c r="AB2821" t="e">
        <f>VLOOKUP(Tabelle1014[[#This Row],[Rank]],Stammdaten[[Rank Verteilung Ovalität]:[Verteilung Ovalität]],2,FALSE)</f>
        <v>#N/A</v>
      </c>
    </row>
    <row r="2822" spans="5:28" x14ac:dyDescent="0.35">
      <c r="E2822">
        <v>2813</v>
      </c>
      <c r="F2822" t="e">
        <f>INDEX(Stammdaten[D Mitte mit Rinde (mm)],MATCH(Tabelle8[[#This Row],[Rank]],Stammdaten[Rank Verteilung D Mitte mit Rinde],0))</f>
        <v>#N/A</v>
      </c>
      <c r="G2822" t="e">
        <f>VLOOKUP(Tabelle8[[#This Row],[Rank]],Stammdaten[[Rank Verteilung D Mitte mit Rinde]:[Verteilung D Mitte mit Rinde]],2,FALSE)</f>
        <v>#N/A</v>
      </c>
      <c r="L2822">
        <v>2813</v>
      </c>
      <c r="M2822" t="e">
        <f>INDEX(Stammdaten[Abholzigkeit (mm/lfm)],MATCH(Tabelle9[[#This Row],[Rank]],Stammdaten[Rank Verteilung Abholzigkeit],0))</f>
        <v>#N/A</v>
      </c>
      <c r="N2822" t="e">
        <f>VLOOKUP(Tabelle9[[#This Row],[Rank]],Stammdaten[[Rank Verteilung Abholzigkeit]:[Verteilung Abholzigkeit]],2,FALSE)</f>
        <v>#N/A</v>
      </c>
      <c r="S2822">
        <v>2813</v>
      </c>
      <c r="T2822" t="e">
        <f>INDEX(Stammdaten[Krümmung (mm/lfm)],MATCH(Tabelle10[[#This Row],[Rank]],Stammdaten[Rank Verteilung Krümmung],0))</f>
        <v>#N/A</v>
      </c>
      <c r="U2822" t="e">
        <f>VLOOKUP(Tabelle10[[#This Row],[Rank]],Stammdaten[[Rank Verteilung Krümmung]:[Verteilung Krümmung]],2,FALSE)</f>
        <v>#N/A</v>
      </c>
      <c r="Z2822">
        <v>2813</v>
      </c>
      <c r="AA2822" t="e">
        <f>INDEX(Stammdaten[Ovalität (']0,1'])],MATCH(Tabelle1014[[#This Row],[Rank]],Stammdaten[Rank Verteilung Ovalität],0))</f>
        <v>#N/A</v>
      </c>
      <c r="AB2822" t="e">
        <f>VLOOKUP(Tabelle1014[[#This Row],[Rank]],Stammdaten[[Rank Verteilung Ovalität]:[Verteilung Ovalität]],2,FALSE)</f>
        <v>#N/A</v>
      </c>
    </row>
    <row r="2823" spans="5:28" x14ac:dyDescent="0.35">
      <c r="E2823">
        <v>2814</v>
      </c>
      <c r="F2823" t="e">
        <f>INDEX(Stammdaten[D Mitte mit Rinde (mm)],MATCH(Tabelle8[[#This Row],[Rank]],Stammdaten[Rank Verteilung D Mitte mit Rinde],0))</f>
        <v>#N/A</v>
      </c>
      <c r="G2823" t="e">
        <f>VLOOKUP(Tabelle8[[#This Row],[Rank]],Stammdaten[[Rank Verteilung D Mitte mit Rinde]:[Verteilung D Mitte mit Rinde]],2,FALSE)</f>
        <v>#N/A</v>
      </c>
      <c r="L2823">
        <v>2814</v>
      </c>
      <c r="M2823" t="e">
        <f>INDEX(Stammdaten[Abholzigkeit (mm/lfm)],MATCH(Tabelle9[[#This Row],[Rank]],Stammdaten[Rank Verteilung Abholzigkeit],0))</f>
        <v>#N/A</v>
      </c>
      <c r="N2823" t="e">
        <f>VLOOKUP(Tabelle9[[#This Row],[Rank]],Stammdaten[[Rank Verteilung Abholzigkeit]:[Verteilung Abholzigkeit]],2,FALSE)</f>
        <v>#N/A</v>
      </c>
      <c r="S2823">
        <v>2814</v>
      </c>
      <c r="T2823" t="e">
        <f>INDEX(Stammdaten[Krümmung (mm/lfm)],MATCH(Tabelle10[[#This Row],[Rank]],Stammdaten[Rank Verteilung Krümmung],0))</f>
        <v>#N/A</v>
      </c>
      <c r="U2823" t="e">
        <f>VLOOKUP(Tabelle10[[#This Row],[Rank]],Stammdaten[[Rank Verteilung Krümmung]:[Verteilung Krümmung]],2,FALSE)</f>
        <v>#N/A</v>
      </c>
      <c r="Z2823">
        <v>2814</v>
      </c>
      <c r="AA2823" t="e">
        <f>INDEX(Stammdaten[Ovalität (']0,1'])],MATCH(Tabelle1014[[#This Row],[Rank]],Stammdaten[Rank Verteilung Ovalität],0))</f>
        <v>#N/A</v>
      </c>
      <c r="AB2823" t="e">
        <f>VLOOKUP(Tabelle1014[[#This Row],[Rank]],Stammdaten[[Rank Verteilung Ovalität]:[Verteilung Ovalität]],2,FALSE)</f>
        <v>#N/A</v>
      </c>
    </row>
    <row r="2824" spans="5:28" x14ac:dyDescent="0.35">
      <c r="E2824">
        <v>2815</v>
      </c>
      <c r="F2824" t="e">
        <f>INDEX(Stammdaten[D Mitte mit Rinde (mm)],MATCH(Tabelle8[[#This Row],[Rank]],Stammdaten[Rank Verteilung D Mitte mit Rinde],0))</f>
        <v>#N/A</v>
      </c>
      <c r="G2824" t="e">
        <f>VLOOKUP(Tabelle8[[#This Row],[Rank]],Stammdaten[[Rank Verteilung D Mitte mit Rinde]:[Verteilung D Mitte mit Rinde]],2,FALSE)</f>
        <v>#N/A</v>
      </c>
      <c r="L2824">
        <v>2815</v>
      </c>
      <c r="M2824" t="e">
        <f>INDEX(Stammdaten[Abholzigkeit (mm/lfm)],MATCH(Tabelle9[[#This Row],[Rank]],Stammdaten[Rank Verteilung Abholzigkeit],0))</f>
        <v>#N/A</v>
      </c>
      <c r="N2824" t="e">
        <f>VLOOKUP(Tabelle9[[#This Row],[Rank]],Stammdaten[[Rank Verteilung Abholzigkeit]:[Verteilung Abholzigkeit]],2,FALSE)</f>
        <v>#N/A</v>
      </c>
      <c r="S2824">
        <v>2815</v>
      </c>
      <c r="T2824" t="e">
        <f>INDEX(Stammdaten[Krümmung (mm/lfm)],MATCH(Tabelle10[[#This Row],[Rank]],Stammdaten[Rank Verteilung Krümmung],0))</f>
        <v>#N/A</v>
      </c>
      <c r="U2824" t="e">
        <f>VLOOKUP(Tabelle10[[#This Row],[Rank]],Stammdaten[[Rank Verteilung Krümmung]:[Verteilung Krümmung]],2,FALSE)</f>
        <v>#N/A</v>
      </c>
      <c r="Z2824">
        <v>2815</v>
      </c>
      <c r="AA2824" t="e">
        <f>INDEX(Stammdaten[Ovalität (']0,1'])],MATCH(Tabelle1014[[#This Row],[Rank]],Stammdaten[Rank Verteilung Ovalität],0))</f>
        <v>#N/A</v>
      </c>
      <c r="AB2824" t="e">
        <f>VLOOKUP(Tabelle1014[[#This Row],[Rank]],Stammdaten[[Rank Verteilung Ovalität]:[Verteilung Ovalität]],2,FALSE)</f>
        <v>#N/A</v>
      </c>
    </row>
    <row r="2825" spans="5:28" x14ac:dyDescent="0.35">
      <c r="E2825">
        <v>2816</v>
      </c>
      <c r="F2825" t="e">
        <f>INDEX(Stammdaten[D Mitte mit Rinde (mm)],MATCH(Tabelle8[[#This Row],[Rank]],Stammdaten[Rank Verteilung D Mitte mit Rinde],0))</f>
        <v>#N/A</v>
      </c>
      <c r="G2825" t="e">
        <f>VLOOKUP(Tabelle8[[#This Row],[Rank]],Stammdaten[[Rank Verteilung D Mitte mit Rinde]:[Verteilung D Mitte mit Rinde]],2,FALSE)</f>
        <v>#N/A</v>
      </c>
      <c r="L2825">
        <v>2816</v>
      </c>
      <c r="M2825" t="e">
        <f>INDEX(Stammdaten[Abholzigkeit (mm/lfm)],MATCH(Tabelle9[[#This Row],[Rank]],Stammdaten[Rank Verteilung Abholzigkeit],0))</f>
        <v>#N/A</v>
      </c>
      <c r="N2825" t="e">
        <f>VLOOKUP(Tabelle9[[#This Row],[Rank]],Stammdaten[[Rank Verteilung Abholzigkeit]:[Verteilung Abholzigkeit]],2,FALSE)</f>
        <v>#N/A</v>
      </c>
      <c r="S2825">
        <v>2816</v>
      </c>
      <c r="T2825" t="e">
        <f>INDEX(Stammdaten[Krümmung (mm/lfm)],MATCH(Tabelle10[[#This Row],[Rank]],Stammdaten[Rank Verteilung Krümmung],0))</f>
        <v>#N/A</v>
      </c>
      <c r="U2825" t="e">
        <f>VLOOKUP(Tabelle10[[#This Row],[Rank]],Stammdaten[[Rank Verteilung Krümmung]:[Verteilung Krümmung]],2,FALSE)</f>
        <v>#N/A</v>
      </c>
      <c r="Z2825">
        <v>2816</v>
      </c>
      <c r="AA2825" t="e">
        <f>INDEX(Stammdaten[Ovalität (']0,1'])],MATCH(Tabelle1014[[#This Row],[Rank]],Stammdaten[Rank Verteilung Ovalität],0))</f>
        <v>#N/A</v>
      </c>
      <c r="AB2825" t="e">
        <f>VLOOKUP(Tabelle1014[[#This Row],[Rank]],Stammdaten[[Rank Verteilung Ovalität]:[Verteilung Ovalität]],2,FALSE)</f>
        <v>#N/A</v>
      </c>
    </row>
    <row r="2826" spans="5:28" x14ac:dyDescent="0.35">
      <c r="E2826">
        <v>2817</v>
      </c>
      <c r="F2826" t="e">
        <f>INDEX(Stammdaten[D Mitte mit Rinde (mm)],MATCH(Tabelle8[[#This Row],[Rank]],Stammdaten[Rank Verteilung D Mitte mit Rinde],0))</f>
        <v>#N/A</v>
      </c>
      <c r="G2826" t="e">
        <f>VLOOKUP(Tabelle8[[#This Row],[Rank]],Stammdaten[[Rank Verteilung D Mitte mit Rinde]:[Verteilung D Mitte mit Rinde]],2,FALSE)</f>
        <v>#N/A</v>
      </c>
      <c r="L2826">
        <v>2817</v>
      </c>
      <c r="M2826" t="e">
        <f>INDEX(Stammdaten[Abholzigkeit (mm/lfm)],MATCH(Tabelle9[[#This Row],[Rank]],Stammdaten[Rank Verteilung Abholzigkeit],0))</f>
        <v>#N/A</v>
      </c>
      <c r="N2826" t="e">
        <f>VLOOKUP(Tabelle9[[#This Row],[Rank]],Stammdaten[[Rank Verteilung Abholzigkeit]:[Verteilung Abholzigkeit]],2,FALSE)</f>
        <v>#N/A</v>
      </c>
      <c r="S2826">
        <v>2817</v>
      </c>
      <c r="T2826" t="e">
        <f>INDEX(Stammdaten[Krümmung (mm/lfm)],MATCH(Tabelle10[[#This Row],[Rank]],Stammdaten[Rank Verteilung Krümmung],0))</f>
        <v>#N/A</v>
      </c>
      <c r="U2826" t="e">
        <f>VLOOKUP(Tabelle10[[#This Row],[Rank]],Stammdaten[[Rank Verteilung Krümmung]:[Verteilung Krümmung]],2,FALSE)</f>
        <v>#N/A</v>
      </c>
      <c r="Z2826">
        <v>2817</v>
      </c>
      <c r="AA2826" t="e">
        <f>INDEX(Stammdaten[Ovalität (']0,1'])],MATCH(Tabelle1014[[#This Row],[Rank]],Stammdaten[Rank Verteilung Ovalität],0))</f>
        <v>#N/A</v>
      </c>
      <c r="AB2826" t="e">
        <f>VLOOKUP(Tabelle1014[[#This Row],[Rank]],Stammdaten[[Rank Verteilung Ovalität]:[Verteilung Ovalität]],2,FALSE)</f>
        <v>#N/A</v>
      </c>
    </row>
    <row r="2827" spans="5:28" x14ac:dyDescent="0.35">
      <c r="E2827">
        <v>2818</v>
      </c>
      <c r="F2827" t="e">
        <f>INDEX(Stammdaten[D Mitte mit Rinde (mm)],MATCH(Tabelle8[[#This Row],[Rank]],Stammdaten[Rank Verteilung D Mitte mit Rinde],0))</f>
        <v>#N/A</v>
      </c>
      <c r="G2827" t="e">
        <f>VLOOKUP(Tabelle8[[#This Row],[Rank]],Stammdaten[[Rank Verteilung D Mitte mit Rinde]:[Verteilung D Mitte mit Rinde]],2,FALSE)</f>
        <v>#N/A</v>
      </c>
      <c r="L2827">
        <v>2818</v>
      </c>
      <c r="M2827" t="e">
        <f>INDEX(Stammdaten[Abholzigkeit (mm/lfm)],MATCH(Tabelle9[[#This Row],[Rank]],Stammdaten[Rank Verteilung Abholzigkeit],0))</f>
        <v>#N/A</v>
      </c>
      <c r="N2827" t="e">
        <f>VLOOKUP(Tabelle9[[#This Row],[Rank]],Stammdaten[[Rank Verteilung Abholzigkeit]:[Verteilung Abholzigkeit]],2,FALSE)</f>
        <v>#N/A</v>
      </c>
      <c r="S2827">
        <v>2818</v>
      </c>
      <c r="T2827" t="e">
        <f>INDEX(Stammdaten[Krümmung (mm/lfm)],MATCH(Tabelle10[[#This Row],[Rank]],Stammdaten[Rank Verteilung Krümmung],0))</f>
        <v>#N/A</v>
      </c>
      <c r="U2827" t="e">
        <f>VLOOKUP(Tabelle10[[#This Row],[Rank]],Stammdaten[[Rank Verteilung Krümmung]:[Verteilung Krümmung]],2,FALSE)</f>
        <v>#N/A</v>
      </c>
      <c r="Z2827">
        <v>2818</v>
      </c>
      <c r="AA2827" t="e">
        <f>INDEX(Stammdaten[Ovalität (']0,1'])],MATCH(Tabelle1014[[#This Row],[Rank]],Stammdaten[Rank Verteilung Ovalität],0))</f>
        <v>#N/A</v>
      </c>
      <c r="AB2827" t="e">
        <f>VLOOKUP(Tabelle1014[[#This Row],[Rank]],Stammdaten[[Rank Verteilung Ovalität]:[Verteilung Ovalität]],2,FALSE)</f>
        <v>#N/A</v>
      </c>
    </row>
    <row r="2828" spans="5:28" x14ac:dyDescent="0.35">
      <c r="E2828">
        <v>2819</v>
      </c>
      <c r="F2828" t="e">
        <f>INDEX(Stammdaten[D Mitte mit Rinde (mm)],MATCH(Tabelle8[[#This Row],[Rank]],Stammdaten[Rank Verteilung D Mitte mit Rinde],0))</f>
        <v>#N/A</v>
      </c>
      <c r="G2828" t="e">
        <f>VLOOKUP(Tabelle8[[#This Row],[Rank]],Stammdaten[[Rank Verteilung D Mitte mit Rinde]:[Verteilung D Mitte mit Rinde]],2,FALSE)</f>
        <v>#N/A</v>
      </c>
      <c r="L2828">
        <v>2819</v>
      </c>
      <c r="M2828" t="e">
        <f>INDEX(Stammdaten[Abholzigkeit (mm/lfm)],MATCH(Tabelle9[[#This Row],[Rank]],Stammdaten[Rank Verteilung Abholzigkeit],0))</f>
        <v>#N/A</v>
      </c>
      <c r="N2828" t="e">
        <f>VLOOKUP(Tabelle9[[#This Row],[Rank]],Stammdaten[[Rank Verteilung Abholzigkeit]:[Verteilung Abholzigkeit]],2,FALSE)</f>
        <v>#N/A</v>
      </c>
      <c r="S2828">
        <v>2819</v>
      </c>
      <c r="T2828" t="e">
        <f>INDEX(Stammdaten[Krümmung (mm/lfm)],MATCH(Tabelle10[[#This Row],[Rank]],Stammdaten[Rank Verteilung Krümmung],0))</f>
        <v>#N/A</v>
      </c>
      <c r="U2828" t="e">
        <f>VLOOKUP(Tabelle10[[#This Row],[Rank]],Stammdaten[[Rank Verteilung Krümmung]:[Verteilung Krümmung]],2,FALSE)</f>
        <v>#N/A</v>
      </c>
      <c r="Z2828">
        <v>2819</v>
      </c>
      <c r="AA2828" t="e">
        <f>INDEX(Stammdaten[Ovalität (']0,1'])],MATCH(Tabelle1014[[#This Row],[Rank]],Stammdaten[Rank Verteilung Ovalität],0))</f>
        <v>#N/A</v>
      </c>
      <c r="AB2828" t="e">
        <f>VLOOKUP(Tabelle1014[[#This Row],[Rank]],Stammdaten[[Rank Verteilung Ovalität]:[Verteilung Ovalität]],2,FALSE)</f>
        <v>#N/A</v>
      </c>
    </row>
    <row r="2829" spans="5:28" x14ac:dyDescent="0.35">
      <c r="E2829">
        <v>2820</v>
      </c>
      <c r="F2829" t="e">
        <f>INDEX(Stammdaten[D Mitte mit Rinde (mm)],MATCH(Tabelle8[[#This Row],[Rank]],Stammdaten[Rank Verteilung D Mitte mit Rinde],0))</f>
        <v>#N/A</v>
      </c>
      <c r="G2829" t="e">
        <f>VLOOKUP(Tabelle8[[#This Row],[Rank]],Stammdaten[[Rank Verteilung D Mitte mit Rinde]:[Verteilung D Mitte mit Rinde]],2,FALSE)</f>
        <v>#N/A</v>
      </c>
      <c r="L2829">
        <v>2820</v>
      </c>
      <c r="M2829" t="e">
        <f>INDEX(Stammdaten[Abholzigkeit (mm/lfm)],MATCH(Tabelle9[[#This Row],[Rank]],Stammdaten[Rank Verteilung Abholzigkeit],0))</f>
        <v>#N/A</v>
      </c>
      <c r="N2829" t="e">
        <f>VLOOKUP(Tabelle9[[#This Row],[Rank]],Stammdaten[[Rank Verteilung Abholzigkeit]:[Verteilung Abholzigkeit]],2,FALSE)</f>
        <v>#N/A</v>
      </c>
      <c r="S2829">
        <v>2820</v>
      </c>
      <c r="T2829" t="e">
        <f>INDEX(Stammdaten[Krümmung (mm/lfm)],MATCH(Tabelle10[[#This Row],[Rank]],Stammdaten[Rank Verteilung Krümmung],0))</f>
        <v>#N/A</v>
      </c>
      <c r="U2829" t="e">
        <f>VLOOKUP(Tabelle10[[#This Row],[Rank]],Stammdaten[[Rank Verteilung Krümmung]:[Verteilung Krümmung]],2,FALSE)</f>
        <v>#N/A</v>
      </c>
      <c r="Z2829">
        <v>2820</v>
      </c>
      <c r="AA2829" t="e">
        <f>INDEX(Stammdaten[Ovalität (']0,1'])],MATCH(Tabelle1014[[#This Row],[Rank]],Stammdaten[Rank Verteilung Ovalität],0))</f>
        <v>#N/A</v>
      </c>
      <c r="AB2829" t="e">
        <f>VLOOKUP(Tabelle1014[[#This Row],[Rank]],Stammdaten[[Rank Verteilung Ovalität]:[Verteilung Ovalität]],2,FALSE)</f>
        <v>#N/A</v>
      </c>
    </row>
    <row r="2830" spans="5:28" x14ac:dyDescent="0.35">
      <c r="E2830">
        <v>2821</v>
      </c>
      <c r="F2830" t="e">
        <f>INDEX(Stammdaten[D Mitte mit Rinde (mm)],MATCH(Tabelle8[[#This Row],[Rank]],Stammdaten[Rank Verteilung D Mitte mit Rinde],0))</f>
        <v>#N/A</v>
      </c>
      <c r="G2830" t="e">
        <f>VLOOKUP(Tabelle8[[#This Row],[Rank]],Stammdaten[[Rank Verteilung D Mitte mit Rinde]:[Verteilung D Mitte mit Rinde]],2,FALSE)</f>
        <v>#N/A</v>
      </c>
      <c r="L2830">
        <v>2821</v>
      </c>
      <c r="M2830" t="e">
        <f>INDEX(Stammdaten[Abholzigkeit (mm/lfm)],MATCH(Tabelle9[[#This Row],[Rank]],Stammdaten[Rank Verteilung Abholzigkeit],0))</f>
        <v>#N/A</v>
      </c>
      <c r="N2830" t="e">
        <f>VLOOKUP(Tabelle9[[#This Row],[Rank]],Stammdaten[[Rank Verteilung Abholzigkeit]:[Verteilung Abholzigkeit]],2,FALSE)</f>
        <v>#N/A</v>
      </c>
      <c r="S2830">
        <v>2821</v>
      </c>
      <c r="T2830" t="e">
        <f>INDEX(Stammdaten[Krümmung (mm/lfm)],MATCH(Tabelle10[[#This Row],[Rank]],Stammdaten[Rank Verteilung Krümmung],0))</f>
        <v>#N/A</v>
      </c>
      <c r="U2830" t="e">
        <f>VLOOKUP(Tabelle10[[#This Row],[Rank]],Stammdaten[[Rank Verteilung Krümmung]:[Verteilung Krümmung]],2,FALSE)</f>
        <v>#N/A</v>
      </c>
      <c r="Z2830">
        <v>2821</v>
      </c>
      <c r="AA2830" t="e">
        <f>INDEX(Stammdaten[Ovalität (']0,1'])],MATCH(Tabelle1014[[#This Row],[Rank]],Stammdaten[Rank Verteilung Ovalität],0))</f>
        <v>#N/A</v>
      </c>
      <c r="AB2830" t="e">
        <f>VLOOKUP(Tabelle1014[[#This Row],[Rank]],Stammdaten[[Rank Verteilung Ovalität]:[Verteilung Ovalität]],2,FALSE)</f>
        <v>#N/A</v>
      </c>
    </row>
    <row r="2831" spans="5:28" x14ac:dyDescent="0.35">
      <c r="E2831">
        <v>2822</v>
      </c>
      <c r="F2831" t="e">
        <f>INDEX(Stammdaten[D Mitte mit Rinde (mm)],MATCH(Tabelle8[[#This Row],[Rank]],Stammdaten[Rank Verteilung D Mitte mit Rinde],0))</f>
        <v>#N/A</v>
      </c>
      <c r="G2831" t="e">
        <f>VLOOKUP(Tabelle8[[#This Row],[Rank]],Stammdaten[[Rank Verteilung D Mitte mit Rinde]:[Verteilung D Mitte mit Rinde]],2,FALSE)</f>
        <v>#N/A</v>
      </c>
      <c r="L2831">
        <v>2822</v>
      </c>
      <c r="M2831" t="e">
        <f>INDEX(Stammdaten[Abholzigkeit (mm/lfm)],MATCH(Tabelle9[[#This Row],[Rank]],Stammdaten[Rank Verteilung Abholzigkeit],0))</f>
        <v>#N/A</v>
      </c>
      <c r="N2831" t="e">
        <f>VLOOKUP(Tabelle9[[#This Row],[Rank]],Stammdaten[[Rank Verteilung Abholzigkeit]:[Verteilung Abholzigkeit]],2,FALSE)</f>
        <v>#N/A</v>
      </c>
      <c r="S2831">
        <v>2822</v>
      </c>
      <c r="T2831" t="e">
        <f>INDEX(Stammdaten[Krümmung (mm/lfm)],MATCH(Tabelle10[[#This Row],[Rank]],Stammdaten[Rank Verteilung Krümmung],0))</f>
        <v>#N/A</v>
      </c>
      <c r="U2831" t="e">
        <f>VLOOKUP(Tabelle10[[#This Row],[Rank]],Stammdaten[[Rank Verteilung Krümmung]:[Verteilung Krümmung]],2,FALSE)</f>
        <v>#N/A</v>
      </c>
      <c r="Z2831">
        <v>2822</v>
      </c>
      <c r="AA2831" t="e">
        <f>INDEX(Stammdaten[Ovalität (']0,1'])],MATCH(Tabelle1014[[#This Row],[Rank]],Stammdaten[Rank Verteilung Ovalität],0))</f>
        <v>#N/A</v>
      </c>
      <c r="AB2831" t="e">
        <f>VLOOKUP(Tabelle1014[[#This Row],[Rank]],Stammdaten[[Rank Verteilung Ovalität]:[Verteilung Ovalität]],2,FALSE)</f>
        <v>#N/A</v>
      </c>
    </row>
    <row r="2832" spans="5:28" x14ac:dyDescent="0.35">
      <c r="E2832">
        <v>2823</v>
      </c>
      <c r="F2832" t="e">
        <f>INDEX(Stammdaten[D Mitte mit Rinde (mm)],MATCH(Tabelle8[[#This Row],[Rank]],Stammdaten[Rank Verteilung D Mitte mit Rinde],0))</f>
        <v>#N/A</v>
      </c>
      <c r="G2832" t="e">
        <f>VLOOKUP(Tabelle8[[#This Row],[Rank]],Stammdaten[[Rank Verteilung D Mitte mit Rinde]:[Verteilung D Mitte mit Rinde]],2,FALSE)</f>
        <v>#N/A</v>
      </c>
      <c r="L2832">
        <v>2823</v>
      </c>
      <c r="M2832" t="e">
        <f>INDEX(Stammdaten[Abholzigkeit (mm/lfm)],MATCH(Tabelle9[[#This Row],[Rank]],Stammdaten[Rank Verteilung Abholzigkeit],0))</f>
        <v>#N/A</v>
      </c>
      <c r="N2832" t="e">
        <f>VLOOKUP(Tabelle9[[#This Row],[Rank]],Stammdaten[[Rank Verteilung Abholzigkeit]:[Verteilung Abholzigkeit]],2,FALSE)</f>
        <v>#N/A</v>
      </c>
      <c r="S2832">
        <v>2823</v>
      </c>
      <c r="T2832" t="e">
        <f>INDEX(Stammdaten[Krümmung (mm/lfm)],MATCH(Tabelle10[[#This Row],[Rank]],Stammdaten[Rank Verteilung Krümmung],0))</f>
        <v>#N/A</v>
      </c>
      <c r="U2832" t="e">
        <f>VLOOKUP(Tabelle10[[#This Row],[Rank]],Stammdaten[[Rank Verteilung Krümmung]:[Verteilung Krümmung]],2,FALSE)</f>
        <v>#N/A</v>
      </c>
      <c r="Z2832">
        <v>2823</v>
      </c>
      <c r="AA2832" t="e">
        <f>INDEX(Stammdaten[Ovalität (']0,1'])],MATCH(Tabelle1014[[#This Row],[Rank]],Stammdaten[Rank Verteilung Ovalität],0))</f>
        <v>#N/A</v>
      </c>
      <c r="AB2832" t="e">
        <f>VLOOKUP(Tabelle1014[[#This Row],[Rank]],Stammdaten[[Rank Verteilung Ovalität]:[Verteilung Ovalität]],2,FALSE)</f>
        <v>#N/A</v>
      </c>
    </row>
    <row r="2833" spans="5:28" x14ac:dyDescent="0.35">
      <c r="E2833">
        <v>2824</v>
      </c>
      <c r="F2833" t="e">
        <f>INDEX(Stammdaten[D Mitte mit Rinde (mm)],MATCH(Tabelle8[[#This Row],[Rank]],Stammdaten[Rank Verteilung D Mitte mit Rinde],0))</f>
        <v>#N/A</v>
      </c>
      <c r="G2833" t="e">
        <f>VLOOKUP(Tabelle8[[#This Row],[Rank]],Stammdaten[[Rank Verteilung D Mitte mit Rinde]:[Verteilung D Mitte mit Rinde]],2,FALSE)</f>
        <v>#N/A</v>
      </c>
      <c r="L2833">
        <v>2824</v>
      </c>
      <c r="M2833" t="e">
        <f>INDEX(Stammdaten[Abholzigkeit (mm/lfm)],MATCH(Tabelle9[[#This Row],[Rank]],Stammdaten[Rank Verteilung Abholzigkeit],0))</f>
        <v>#N/A</v>
      </c>
      <c r="N2833" t="e">
        <f>VLOOKUP(Tabelle9[[#This Row],[Rank]],Stammdaten[[Rank Verteilung Abholzigkeit]:[Verteilung Abholzigkeit]],2,FALSE)</f>
        <v>#N/A</v>
      </c>
      <c r="S2833">
        <v>2824</v>
      </c>
      <c r="T2833" t="e">
        <f>INDEX(Stammdaten[Krümmung (mm/lfm)],MATCH(Tabelle10[[#This Row],[Rank]],Stammdaten[Rank Verteilung Krümmung],0))</f>
        <v>#N/A</v>
      </c>
      <c r="U2833" t="e">
        <f>VLOOKUP(Tabelle10[[#This Row],[Rank]],Stammdaten[[Rank Verteilung Krümmung]:[Verteilung Krümmung]],2,FALSE)</f>
        <v>#N/A</v>
      </c>
      <c r="Z2833">
        <v>2824</v>
      </c>
      <c r="AA2833" t="e">
        <f>INDEX(Stammdaten[Ovalität (']0,1'])],MATCH(Tabelle1014[[#This Row],[Rank]],Stammdaten[Rank Verteilung Ovalität],0))</f>
        <v>#N/A</v>
      </c>
      <c r="AB2833" t="e">
        <f>VLOOKUP(Tabelle1014[[#This Row],[Rank]],Stammdaten[[Rank Verteilung Ovalität]:[Verteilung Ovalität]],2,FALSE)</f>
        <v>#N/A</v>
      </c>
    </row>
    <row r="2834" spans="5:28" x14ac:dyDescent="0.35">
      <c r="E2834">
        <v>2825</v>
      </c>
      <c r="F2834" t="e">
        <f>INDEX(Stammdaten[D Mitte mit Rinde (mm)],MATCH(Tabelle8[[#This Row],[Rank]],Stammdaten[Rank Verteilung D Mitte mit Rinde],0))</f>
        <v>#N/A</v>
      </c>
      <c r="G2834" t="e">
        <f>VLOOKUP(Tabelle8[[#This Row],[Rank]],Stammdaten[[Rank Verteilung D Mitte mit Rinde]:[Verteilung D Mitte mit Rinde]],2,FALSE)</f>
        <v>#N/A</v>
      </c>
      <c r="L2834">
        <v>2825</v>
      </c>
      <c r="M2834" t="e">
        <f>INDEX(Stammdaten[Abholzigkeit (mm/lfm)],MATCH(Tabelle9[[#This Row],[Rank]],Stammdaten[Rank Verteilung Abholzigkeit],0))</f>
        <v>#N/A</v>
      </c>
      <c r="N2834" t="e">
        <f>VLOOKUP(Tabelle9[[#This Row],[Rank]],Stammdaten[[Rank Verteilung Abholzigkeit]:[Verteilung Abholzigkeit]],2,FALSE)</f>
        <v>#N/A</v>
      </c>
      <c r="S2834">
        <v>2825</v>
      </c>
      <c r="T2834" t="e">
        <f>INDEX(Stammdaten[Krümmung (mm/lfm)],MATCH(Tabelle10[[#This Row],[Rank]],Stammdaten[Rank Verteilung Krümmung],0))</f>
        <v>#N/A</v>
      </c>
      <c r="U2834" t="e">
        <f>VLOOKUP(Tabelle10[[#This Row],[Rank]],Stammdaten[[Rank Verteilung Krümmung]:[Verteilung Krümmung]],2,FALSE)</f>
        <v>#N/A</v>
      </c>
      <c r="Z2834">
        <v>2825</v>
      </c>
      <c r="AA2834" t="e">
        <f>INDEX(Stammdaten[Ovalität (']0,1'])],MATCH(Tabelle1014[[#This Row],[Rank]],Stammdaten[Rank Verteilung Ovalität],0))</f>
        <v>#N/A</v>
      </c>
      <c r="AB2834" t="e">
        <f>VLOOKUP(Tabelle1014[[#This Row],[Rank]],Stammdaten[[Rank Verteilung Ovalität]:[Verteilung Ovalität]],2,FALSE)</f>
        <v>#N/A</v>
      </c>
    </row>
    <row r="2835" spans="5:28" x14ac:dyDescent="0.35">
      <c r="E2835">
        <v>2826</v>
      </c>
      <c r="F2835" t="e">
        <f>INDEX(Stammdaten[D Mitte mit Rinde (mm)],MATCH(Tabelle8[[#This Row],[Rank]],Stammdaten[Rank Verteilung D Mitte mit Rinde],0))</f>
        <v>#N/A</v>
      </c>
      <c r="G2835" t="e">
        <f>VLOOKUP(Tabelle8[[#This Row],[Rank]],Stammdaten[[Rank Verteilung D Mitte mit Rinde]:[Verteilung D Mitte mit Rinde]],2,FALSE)</f>
        <v>#N/A</v>
      </c>
      <c r="L2835">
        <v>2826</v>
      </c>
      <c r="M2835" t="e">
        <f>INDEX(Stammdaten[Abholzigkeit (mm/lfm)],MATCH(Tabelle9[[#This Row],[Rank]],Stammdaten[Rank Verteilung Abholzigkeit],0))</f>
        <v>#N/A</v>
      </c>
      <c r="N2835" t="e">
        <f>VLOOKUP(Tabelle9[[#This Row],[Rank]],Stammdaten[[Rank Verteilung Abholzigkeit]:[Verteilung Abholzigkeit]],2,FALSE)</f>
        <v>#N/A</v>
      </c>
      <c r="S2835">
        <v>2826</v>
      </c>
      <c r="T2835" t="e">
        <f>INDEX(Stammdaten[Krümmung (mm/lfm)],MATCH(Tabelle10[[#This Row],[Rank]],Stammdaten[Rank Verteilung Krümmung],0))</f>
        <v>#N/A</v>
      </c>
      <c r="U2835" t="e">
        <f>VLOOKUP(Tabelle10[[#This Row],[Rank]],Stammdaten[[Rank Verteilung Krümmung]:[Verteilung Krümmung]],2,FALSE)</f>
        <v>#N/A</v>
      </c>
      <c r="Z2835">
        <v>2826</v>
      </c>
      <c r="AA2835" t="e">
        <f>INDEX(Stammdaten[Ovalität (']0,1'])],MATCH(Tabelle1014[[#This Row],[Rank]],Stammdaten[Rank Verteilung Ovalität],0))</f>
        <v>#N/A</v>
      </c>
      <c r="AB2835" t="e">
        <f>VLOOKUP(Tabelle1014[[#This Row],[Rank]],Stammdaten[[Rank Verteilung Ovalität]:[Verteilung Ovalität]],2,FALSE)</f>
        <v>#N/A</v>
      </c>
    </row>
    <row r="2836" spans="5:28" x14ac:dyDescent="0.35">
      <c r="E2836">
        <v>2827</v>
      </c>
      <c r="F2836" t="e">
        <f>INDEX(Stammdaten[D Mitte mit Rinde (mm)],MATCH(Tabelle8[[#This Row],[Rank]],Stammdaten[Rank Verteilung D Mitte mit Rinde],0))</f>
        <v>#N/A</v>
      </c>
      <c r="G2836" t="e">
        <f>VLOOKUP(Tabelle8[[#This Row],[Rank]],Stammdaten[[Rank Verteilung D Mitte mit Rinde]:[Verteilung D Mitte mit Rinde]],2,FALSE)</f>
        <v>#N/A</v>
      </c>
      <c r="L2836">
        <v>2827</v>
      </c>
      <c r="M2836" t="e">
        <f>INDEX(Stammdaten[Abholzigkeit (mm/lfm)],MATCH(Tabelle9[[#This Row],[Rank]],Stammdaten[Rank Verteilung Abholzigkeit],0))</f>
        <v>#N/A</v>
      </c>
      <c r="N2836" t="e">
        <f>VLOOKUP(Tabelle9[[#This Row],[Rank]],Stammdaten[[Rank Verteilung Abholzigkeit]:[Verteilung Abholzigkeit]],2,FALSE)</f>
        <v>#N/A</v>
      </c>
      <c r="S2836">
        <v>2827</v>
      </c>
      <c r="T2836" t="e">
        <f>INDEX(Stammdaten[Krümmung (mm/lfm)],MATCH(Tabelle10[[#This Row],[Rank]],Stammdaten[Rank Verteilung Krümmung],0))</f>
        <v>#N/A</v>
      </c>
      <c r="U2836" t="e">
        <f>VLOOKUP(Tabelle10[[#This Row],[Rank]],Stammdaten[[Rank Verteilung Krümmung]:[Verteilung Krümmung]],2,FALSE)</f>
        <v>#N/A</v>
      </c>
      <c r="Z2836">
        <v>2827</v>
      </c>
      <c r="AA2836" t="e">
        <f>INDEX(Stammdaten[Ovalität (']0,1'])],MATCH(Tabelle1014[[#This Row],[Rank]],Stammdaten[Rank Verteilung Ovalität],0))</f>
        <v>#N/A</v>
      </c>
      <c r="AB2836" t="e">
        <f>VLOOKUP(Tabelle1014[[#This Row],[Rank]],Stammdaten[[Rank Verteilung Ovalität]:[Verteilung Ovalität]],2,FALSE)</f>
        <v>#N/A</v>
      </c>
    </row>
    <row r="2837" spans="5:28" x14ac:dyDescent="0.35">
      <c r="E2837">
        <v>2828</v>
      </c>
      <c r="F2837" t="e">
        <f>INDEX(Stammdaten[D Mitte mit Rinde (mm)],MATCH(Tabelle8[[#This Row],[Rank]],Stammdaten[Rank Verteilung D Mitte mit Rinde],0))</f>
        <v>#N/A</v>
      </c>
      <c r="G2837" t="e">
        <f>VLOOKUP(Tabelle8[[#This Row],[Rank]],Stammdaten[[Rank Verteilung D Mitte mit Rinde]:[Verteilung D Mitte mit Rinde]],2,FALSE)</f>
        <v>#N/A</v>
      </c>
      <c r="L2837">
        <v>2828</v>
      </c>
      <c r="M2837" t="e">
        <f>INDEX(Stammdaten[Abholzigkeit (mm/lfm)],MATCH(Tabelle9[[#This Row],[Rank]],Stammdaten[Rank Verteilung Abholzigkeit],0))</f>
        <v>#N/A</v>
      </c>
      <c r="N2837" t="e">
        <f>VLOOKUP(Tabelle9[[#This Row],[Rank]],Stammdaten[[Rank Verteilung Abholzigkeit]:[Verteilung Abholzigkeit]],2,FALSE)</f>
        <v>#N/A</v>
      </c>
      <c r="S2837">
        <v>2828</v>
      </c>
      <c r="T2837" t="e">
        <f>INDEX(Stammdaten[Krümmung (mm/lfm)],MATCH(Tabelle10[[#This Row],[Rank]],Stammdaten[Rank Verteilung Krümmung],0))</f>
        <v>#N/A</v>
      </c>
      <c r="U2837" t="e">
        <f>VLOOKUP(Tabelle10[[#This Row],[Rank]],Stammdaten[[Rank Verteilung Krümmung]:[Verteilung Krümmung]],2,FALSE)</f>
        <v>#N/A</v>
      </c>
      <c r="Z2837">
        <v>2828</v>
      </c>
      <c r="AA2837" t="e">
        <f>INDEX(Stammdaten[Ovalität (']0,1'])],MATCH(Tabelle1014[[#This Row],[Rank]],Stammdaten[Rank Verteilung Ovalität],0))</f>
        <v>#N/A</v>
      </c>
      <c r="AB2837" t="e">
        <f>VLOOKUP(Tabelle1014[[#This Row],[Rank]],Stammdaten[[Rank Verteilung Ovalität]:[Verteilung Ovalität]],2,FALSE)</f>
        <v>#N/A</v>
      </c>
    </row>
    <row r="2838" spans="5:28" x14ac:dyDescent="0.35">
      <c r="E2838">
        <v>2829</v>
      </c>
      <c r="F2838" t="e">
        <f>INDEX(Stammdaten[D Mitte mit Rinde (mm)],MATCH(Tabelle8[[#This Row],[Rank]],Stammdaten[Rank Verteilung D Mitte mit Rinde],0))</f>
        <v>#N/A</v>
      </c>
      <c r="G2838" t="e">
        <f>VLOOKUP(Tabelle8[[#This Row],[Rank]],Stammdaten[[Rank Verteilung D Mitte mit Rinde]:[Verteilung D Mitte mit Rinde]],2,FALSE)</f>
        <v>#N/A</v>
      </c>
      <c r="L2838">
        <v>2829</v>
      </c>
      <c r="M2838" t="e">
        <f>INDEX(Stammdaten[Abholzigkeit (mm/lfm)],MATCH(Tabelle9[[#This Row],[Rank]],Stammdaten[Rank Verteilung Abholzigkeit],0))</f>
        <v>#N/A</v>
      </c>
      <c r="N2838" t="e">
        <f>VLOOKUP(Tabelle9[[#This Row],[Rank]],Stammdaten[[Rank Verteilung Abholzigkeit]:[Verteilung Abholzigkeit]],2,FALSE)</f>
        <v>#N/A</v>
      </c>
      <c r="S2838">
        <v>2829</v>
      </c>
      <c r="T2838" t="e">
        <f>INDEX(Stammdaten[Krümmung (mm/lfm)],MATCH(Tabelle10[[#This Row],[Rank]],Stammdaten[Rank Verteilung Krümmung],0))</f>
        <v>#N/A</v>
      </c>
      <c r="U2838" t="e">
        <f>VLOOKUP(Tabelle10[[#This Row],[Rank]],Stammdaten[[Rank Verteilung Krümmung]:[Verteilung Krümmung]],2,FALSE)</f>
        <v>#N/A</v>
      </c>
      <c r="Z2838">
        <v>2829</v>
      </c>
      <c r="AA2838" t="e">
        <f>INDEX(Stammdaten[Ovalität (']0,1'])],MATCH(Tabelle1014[[#This Row],[Rank]],Stammdaten[Rank Verteilung Ovalität],0))</f>
        <v>#N/A</v>
      </c>
      <c r="AB2838" t="e">
        <f>VLOOKUP(Tabelle1014[[#This Row],[Rank]],Stammdaten[[Rank Verteilung Ovalität]:[Verteilung Ovalität]],2,FALSE)</f>
        <v>#N/A</v>
      </c>
    </row>
    <row r="2839" spans="5:28" x14ac:dyDescent="0.35">
      <c r="E2839">
        <v>2830</v>
      </c>
      <c r="F2839" t="e">
        <f>INDEX(Stammdaten[D Mitte mit Rinde (mm)],MATCH(Tabelle8[[#This Row],[Rank]],Stammdaten[Rank Verteilung D Mitte mit Rinde],0))</f>
        <v>#N/A</v>
      </c>
      <c r="G2839" t="e">
        <f>VLOOKUP(Tabelle8[[#This Row],[Rank]],Stammdaten[[Rank Verteilung D Mitte mit Rinde]:[Verteilung D Mitte mit Rinde]],2,FALSE)</f>
        <v>#N/A</v>
      </c>
      <c r="L2839">
        <v>2830</v>
      </c>
      <c r="M2839" t="e">
        <f>INDEX(Stammdaten[Abholzigkeit (mm/lfm)],MATCH(Tabelle9[[#This Row],[Rank]],Stammdaten[Rank Verteilung Abholzigkeit],0))</f>
        <v>#N/A</v>
      </c>
      <c r="N2839" t="e">
        <f>VLOOKUP(Tabelle9[[#This Row],[Rank]],Stammdaten[[Rank Verteilung Abholzigkeit]:[Verteilung Abholzigkeit]],2,FALSE)</f>
        <v>#N/A</v>
      </c>
      <c r="S2839">
        <v>2830</v>
      </c>
      <c r="T2839" t="e">
        <f>INDEX(Stammdaten[Krümmung (mm/lfm)],MATCH(Tabelle10[[#This Row],[Rank]],Stammdaten[Rank Verteilung Krümmung],0))</f>
        <v>#N/A</v>
      </c>
      <c r="U2839" t="e">
        <f>VLOOKUP(Tabelle10[[#This Row],[Rank]],Stammdaten[[Rank Verteilung Krümmung]:[Verteilung Krümmung]],2,FALSE)</f>
        <v>#N/A</v>
      </c>
      <c r="Z2839">
        <v>2830</v>
      </c>
      <c r="AA2839" t="e">
        <f>INDEX(Stammdaten[Ovalität (']0,1'])],MATCH(Tabelle1014[[#This Row],[Rank]],Stammdaten[Rank Verteilung Ovalität],0))</f>
        <v>#N/A</v>
      </c>
      <c r="AB2839" t="e">
        <f>VLOOKUP(Tabelle1014[[#This Row],[Rank]],Stammdaten[[Rank Verteilung Ovalität]:[Verteilung Ovalität]],2,FALSE)</f>
        <v>#N/A</v>
      </c>
    </row>
    <row r="2840" spans="5:28" x14ac:dyDescent="0.35">
      <c r="E2840">
        <v>2831</v>
      </c>
      <c r="F2840" t="e">
        <f>INDEX(Stammdaten[D Mitte mit Rinde (mm)],MATCH(Tabelle8[[#This Row],[Rank]],Stammdaten[Rank Verteilung D Mitte mit Rinde],0))</f>
        <v>#N/A</v>
      </c>
      <c r="G2840" t="e">
        <f>VLOOKUP(Tabelle8[[#This Row],[Rank]],Stammdaten[[Rank Verteilung D Mitte mit Rinde]:[Verteilung D Mitte mit Rinde]],2,FALSE)</f>
        <v>#N/A</v>
      </c>
      <c r="L2840">
        <v>2831</v>
      </c>
      <c r="M2840" t="e">
        <f>INDEX(Stammdaten[Abholzigkeit (mm/lfm)],MATCH(Tabelle9[[#This Row],[Rank]],Stammdaten[Rank Verteilung Abholzigkeit],0))</f>
        <v>#N/A</v>
      </c>
      <c r="N2840" t="e">
        <f>VLOOKUP(Tabelle9[[#This Row],[Rank]],Stammdaten[[Rank Verteilung Abholzigkeit]:[Verteilung Abholzigkeit]],2,FALSE)</f>
        <v>#N/A</v>
      </c>
      <c r="S2840">
        <v>2831</v>
      </c>
      <c r="T2840" t="e">
        <f>INDEX(Stammdaten[Krümmung (mm/lfm)],MATCH(Tabelle10[[#This Row],[Rank]],Stammdaten[Rank Verteilung Krümmung],0))</f>
        <v>#N/A</v>
      </c>
      <c r="U2840" t="e">
        <f>VLOOKUP(Tabelle10[[#This Row],[Rank]],Stammdaten[[Rank Verteilung Krümmung]:[Verteilung Krümmung]],2,FALSE)</f>
        <v>#N/A</v>
      </c>
      <c r="Z2840">
        <v>2831</v>
      </c>
      <c r="AA2840" t="e">
        <f>INDEX(Stammdaten[Ovalität (']0,1'])],MATCH(Tabelle1014[[#This Row],[Rank]],Stammdaten[Rank Verteilung Ovalität],0))</f>
        <v>#N/A</v>
      </c>
      <c r="AB2840" t="e">
        <f>VLOOKUP(Tabelle1014[[#This Row],[Rank]],Stammdaten[[Rank Verteilung Ovalität]:[Verteilung Ovalität]],2,FALSE)</f>
        <v>#N/A</v>
      </c>
    </row>
    <row r="2841" spans="5:28" x14ac:dyDescent="0.35">
      <c r="E2841">
        <v>2832</v>
      </c>
      <c r="F2841" t="e">
        <f>INDEX(Stammdaten[D Mitte mit Rinde (mm)],MATCH(Tabelle8[[#This Row],[Rank]],Stammdaten[Rank Verteilung D Mitte mit Rinde],0))</f>
        <v>#N/A</v>
      </c>
      <c r="G2841" t="e">
        <f>VLOOKUP(Tabelle8[[#This Row],[Rank]],Stammdaten[[Rank Verteilung D Mitte mit Rinde]:[Verteilung D Mitte mit Rinde]],2,FALSE)</f>
        <v>#N/A</v>
      </c>
      <c r="L2841">
        <v>2832</v>
      </c>
      <c r="M2841" t="e">
        <f>INDEX(Stammdaten[Abholzigkeit (mm/lfm)],MATCH(Tabelle9[[#This Row],[Rank]],Stammdaten[Rank Verteilung Abholzigkeit],0))</f>
        <v>#N/A</v>
      </c>
      <c r="N2841" t="e">
        <f>VLOOKUP(Tabelle9[[#This Row],[Rank]],Stammdaten[[Rank Verteilung Abholzigkeit]:[Verteilung Abholzigkeit]],2,FALSE)</f>
        <v>#N/A</v>
      </c>
      <c r="S2841">
        <v>2832</v>
      </c>
      <c r="T2841" t="e">
        <f>INDEX(Stammdaten[Krümmung (mm/lfm)],MATCH(Tabelle10[[#This Row],[Rank]],Stammdaten[Rank Verteilung Krümmung],0))</f>
        <v>#N/A</v>
      </c>
      <c r="U2841" t="e">
        <f>VLOOKUP(Tabelle10[[#This Row],[Rank]],Stammdaten[[Rank Verteilung Krümmung]:[Verteilung Krümmung]],2,FALSE)</f>
        <v>#N/A</v>
      </c>
      <c r="Z2841">
        <v>2832</v>
      </c>
      <c r="AA2841" t="e">
        <f>INDEX(Stammdaten[Ovalität (']0,1'])],MATCH(Tabelle1014[[#This Row],[Rank]],Stammdaten[Rank Verteilung Ovalität],0))</f>
        <v>#N/A</v>
      </c>
      <c r="AB2841" t="e">
        <f>VLOOKUP(Tabelle1014[[#This Row],[Rank]],Stammdaten[[Rank Verteilung Ovalität]:[Verteilung Ovalität]],2,FALSE)</f>
        <v>#N/A</v>
      </c>
    </row>
    <row r="2842" spans="5:28" x14ac:dyDescent="0.35">
      <c r="E2842">
        <v>2833</v>
      </c>
      <c r="F2842" t="e">
        <f>INDEX(Stammdaten[D Mitte mit Rinde (mm)],MATCH(Tabelle8[[#This Row],[Rank]],Stammdaten[Rank Verteilung D Mitte mit Rinde],0))</f>
        <v>#N/A</v>
      </c>
      <c r="G2842" t="e">
        <f>VLOOKUP(Tabelle8[[#This Row],[Rank]],Stammdaten[[Rank Verteilung D Mitte mit Rinde]:[Verteilung D Mitte mit Rinde]],2,FALSE)</f>
        <v>#N/A</v>
      </c>
      <c r="L2842">
        <v>2833</v>
      </c>
      <c r="M2842" t="e">
        <f>INDEX(Stammdaten[Abholzigkeit (mm/lfm)],MATCH(Tabelle9[[#This Row],[Rank]],Stammdaten[Rank Verteilung Abholzigkeit],0))</f>
        <v>#N/A</v>
      </c>
      <c r="N2842" t="e">
        <f>VLOOKUP(Tabelle9[[#This Row],[Rank]],Stammdaten[[Rank Verteilung Abholzigkeit]:[Verteilung Abholzigkeit]],2,FALSE)</f>
        <v>#N/A</v>
      </c>
      <c r="S2842">
        <v>2833</v>
      </c>
      <c r="T2842" t="e">
        <f>INDEX(Stammdaten[Krümmung (mm/lfm)],MATCH(Tabelle10[[#This Row],[Rank]],Stammdaten[Rank Verteilung Krümmung],0))</f>
        <v>#N/A</v>
      </c>
      <c r="U2842" t="e">
        <f>VLOOKUP(Tabelle10[[#This Row],[Rank]],Stammdaten[[Rank Verteilung Krümmung]:[Verteilung Krümmung]],2,FALSE)</f>
        <v>#N/A</v>
      </c>
      <c r="Z2842">
        <v>2833</v>
      </c>
      <c r="AA2842" t="e">
        <f>INDEX(Stammdaten[Ovalität (']0,1'])],MATCH(Tabelle1014[[#This Row],[Rank]],Stammdaten[Rank Verteilung Ovalität],0))</f>
        <v>#N/A</v>
      </c>
      <c r="AB2842" t="e">
        <f>VLOOKUP(Tabelle1014[[#This Row],[Rank]],Stammdaten[[Rank Verteilung Ovalität]:[Verteilung Ovalität]],2,FALSE)</f>
        <v>#N/A</v>
      </c>
    </row>
    <row r="2843" spans="5:28" x14ac:dyDescent="0.35">
      <c r="E2843">
        <v>2834</v>
      </c>
      <c r="F2843" t="e">
        <f>INDEX(Stammdaten[D Mitte mit Rinde (mm)],MATCH(Tabelle8[[#This Row],[Rank]],Stammdaten[Rank Verteilung D Mitte mit Rinde],0))</f>
        <v>#N/A</v>
      </c>
      <c r="G2843" t="e">
        <f>VLOOKUP(Tabelle8[[#This Row],[Rank]],Stammdaten[[Rank Verteilung D Mitte mit Rinde]:[Verteilung D Mitte mit Rinde]],2,FALSE)</f>
        <v>#N/A</v>
      </c>
      <c r="L2843">
        <v>2834</v>
      </c>
      <c r="M2843" t="e">
        <f>INDEX(Stammdaten[Abholzigkeit (mm/lfm)],MATCH(Tabelle9[[#This Row],[Rank]],Stammdaten[Rank Verteilung Abholzigkeit],0))</f>
        <v>#N/A</v>
      </c>
      <c r="N2843" t="e">
        <f>VLOOKUP(Tabelle9[[#This Row],[Rank]],Stammdaten[[Rank Verteilung Abholzigkeit]:[Verteilung Abholzigkeit]],2,FALSE)</f>
        <v>#N/A</v>
      </c>
      <c r="S2843">
        <v>2834</v>
      </c>
      <c r="T2843" t="e">
        <f>INDEX(Stammdaten[Krümmung (mm/lfm)],MATCH(Tabelle10[[#This Row],[Rank]],Stammdaten[Rank Verteilung Krümmung],0))</f>
        <v>#N/A</v>
      </c>
      <c r="U2843" t="e">
        <f>VLOOKUP(Tabelle10[[#This Row],[Rank]],Stammdaten[[Rank Verteilung Krümmung]:[Verteilung Krümmung]],2,FALSE)</f>
        <v>#N/A</v>
      </c>
      <c r="Z2843">
        <v>2834</v>
      </c>
      <c r="AA2843" t="e">
        <f>INDEX(Stammdaten[Ovalität (']0,1'])],MATCH(Tabelle1014[[#This Row],[Rank]],Stammdaten[Rank Verteilung Ovalität],0))</f>
        <v>#N/A</v>
      </c>
      <c r="AB2843" t="e">
        <f>VLOOKUP(Tabelle1014[[#This Row],[Rank]],Stammdaten[[Rank Verteilung Ovalität]:[Verteilung Ovalität]],2,FALSE)</f>
        <v>#N/A</v>
      </c>
    </row>
    <row r="2844" spans="5:28" x14ac:dyDescent="0.35">
      <c r="E2844">
        <v>2835</v>
      </c>
      <c r="F2844" t="e">
        <f>INDEX(Stammdaten[D Mitte mit Rinde (mm)],MATCH(Tabelle8[[#This Row],[Rank]],Stammdaten[Rank Verteilung D Mitte mit Rinde],0))</f>
        <v>#N/A</v>
      </c>
      <c r="G2844" t="e">
        <f>VLOOKUP(Tabelle8[[#This Row],[Rank]],Stammdaten[[Rank Verteilung D Mitte mit Rinde]:[Verteilung D Mitte mit Rinde]],2,FALSE)</f>
        <v>#N/A</v>
      </c>
      <c r="L2844">
        <v>2835</v>
      </c>
      <c r="M2844" t="e">
        <f>INDEX(Stammdaten[Abholzigkeit (mm/lfm)],MATCH(Tabelle9[[#This Row],[Rank]],Stammdaten[Rank Verteilung Abholzigkeit],0))</f>
        <v>#N/A</v>
      </c>
      <c r="N2844" t="e">
        <f>VLOOKUP(Tabelle9[[#This Row],[Rank]],Stammdaten[[Rank Verteilung Abholzigkeit]:[Verteilung Abholzigkeit]],2,FALSE)</f>
        <v>#N/A</v>
      </c>
      <c r="S2844">
        <v>2835</v>
      </c>
      <c r="T2844" t="e">
        <f>INDEX(Stammdaten[Krümmung (mm/lfm)],MATCH(Tabelle10[[#This Row],[Rank]],Stammdaten[Rank Verteilung Krümmung],0))</f>
        <v>#N/A</v>
      </c>
      <c r="U2844" t="e">
        <f>VLOOKUP(Tabelle10[[#This Row],[Rank]],Stammdaten[[Rank Verteilung Krümmung]:[Verteilung Krümmung]],2,FALSE)</f>
        <v>#N/A</v>
      </c>
      <c r="Z2844">
        <v>2835</v>
      </c>
      <c r="AA2844" t="e">
        <f>INDEX(Stammdaten[Ovalität (']0,1'])],MATCH(Tabelle1014[[#This Row],[Rank]],Stammdaten[Rank Verteilung Ovalität],0))</f>
        <v>#N/A</v>
      </c>
      <c r="AB2844" t="e">
        <f>VLOOKUP(Tabelle1014[[#This Row],[Rank]],Stammdaten[[Rank Verteilung Ovalität]:[Verteilung Ovalität]],2,FALSE)</f>
        <v>#N/A</v>
      </c>
    </row>
    <row r="2845" spans="5:28" x14ac:dyDescent="0.35">
      <c r="E2845">
        <v>2836</v>
      </c>
      <c r="F2845" t="e">
        <f>INDEX(Stammdaten[D Mitte mit Rinde (mm)],MATCH(Tabelle8[[#This Row],[Rank]],Stammdaten[Rank Verteilung D Mitte mit Rinde],0))</f>
        <v>#N/A</v>
      </c>
      <c r="G2845" t="e">
        <f>VLOOKUP(Tabelle8[[#This Row],[Rank]],Stammdaten[[Rank Verteilung D Mitte mit Rinde]:[Verteilung D Mitte mit Rinde]],2,FALSE)</f>
        <v>#N/A</v>
      </c>
      <c r="L2845">
        <v>2836</v>
      </c>
      <c r="M2845" t="e">
        <f>INDEX(Stammdaten[Abholzigkeit (mm/lfm)],MATCH(Tabelle9[[#This Row],[Rank]],Stammdaten[Rank Verteilung Abholzigkeit],0))</f>
        <v>#N/A</v>
      </c>
      <c r="N2845" t="e">
        <f>VLOOKUP(Tabelle9[[#This Row],[Rank]],Stammdaten[[Rank Verteilung Abholzigkeit]:[Verteilung Abholzigkeit]],2,FALSE)</f>
        <v>#N/A</v>
      </c>
      <c r="S2845">
        <v>2836</v>
      </c>
      <c r="T2845" t="e">
        <f>INDEX(Stammdaten[Krümmung (mm/lfm)],MATCH(Tabelle10[[#This Row],[Rank]],Stammdaten[Rank Verteilung Krümmung],0))</f>
        <v>#N/A</v>
      </c>
      <c r="U2845" t="e">
        <f>VLOOKUP(Tabelle10[[#This Row],[Rank]],Stammdaten[[Rank Verteilung Krümmung]:[Verteilung Krümmung]],2,FALSE)</f>
        <v>#N/A</v>
      </c>
      <c r="Z2845">
        <v>2836</v>
      </c>
      <c r="AA2845" t="e">
        <f>INDEX(Stammdaten[Ovalität (']0,1'])],MATCH(Tabelle1014[[#This Row],[Rank]],Stammdaten[Rank Verteilung Ovalität],0))</f>
        <v>#N/A</v>
      </c>
      <c r="AB2845" t="e">
        <f>VLOOKUP(Tabelle1014[[#This Row],[Rank]],Stammdaten[[Rank Verteilung Ovalität]:[Verteilung Ovalität]],2,FALSE)</f>
        <v>#N/A</v>
      </c>
    </row>
    <row r="2846" spans="5:28" x14ac:dyDescent="0.35">
      <c r="E2846">
        <v>2837</v>
      </c>
      <c r="F2846" t="e">
        <f>INDEX(Stammdaten[D Mitte mit Rinde (mm)],MATCH(Tabelle8[[#This Row],[Rank]],Stammdaten[Rank Verteilung D Mitte mit Rinde],0))</f>
        <v>#N/A</v>
      </c>
      <c r="G2846" t="e">
        <f>VLOOKUP(Tabelle8[[#This Row],[Rank]],Stammdaten[[Rank Verteilung D Mitte mit Rinde]:[Verteilung D Mitte mit Rinde]],2,FALSE)</f>
        <v>#N/A</v>
      </c>
      <c r="L2846">
        <v>2837</v>
      </c>
      <c r="M2846" t="e">
        <f>INDEX(Stammdaten[Abholzigkeit (mm/lfm)],MATCH(Tabelle9[[#This Row],[Rank]],Stammdaten[Rank Verteilung Abholzigkeit],0))</f>
        <v>#N/A</v>
      </c>
      <c r="N2846" t="e">
        <f>VLOOKUP(Tabelle9[[#This Row],[Rank]],Stammdaten[[Rank Verteilung Abholzigkeit]:[Verteilung Abholzigkeit]],2,FALSE)</f>
        <v>#N/A</v>
      </c>
      <c r="S2846">
        <v>2837</v>
      </c>
      <c r="T2846" t="e">
        <f>INDEX(Stammdaten[Krümmung (mm/lfm)],MATCH(Tabelle10[[#This Row],[Rank]],Stammdaten[Rank Verteilung Krümmung],0))</f>
        <v>#N/A</v>
      </c>
      <c r="U2846" t="e">
        <f>VLOOKUP(Tabelle10[[#This Row],[Rank]],Stammdaten[[Rank Verteilung Krümmung]:[Verteilung Krümmung]],2,FALSE)</f>
        <v>#N/A</v>
      </c>
      <c r="Z2846">
        <v>2837</v>
      </c>
      <c r="AA2846" t="e">
        <f>INDEX(Stammdaten[Ovalität (']0,1'])],MATCH(Tabelle1014[[#This Row],[Rank]],Stammdaten[Rank Verteilung Ovalität],0))</f>
        <v>#N/A</v>
      </c>
      <c r="AB2846" t="e">
        <f>VLOOKUP(Tabelle1014[[#This Row],[Rank]],Stammdaten[[Rank Verteilung Ovalität]:[Verteilung Ovalität]],2,FALSE)</f>
        <v>#N/A</v>
      </c>
    </row>
    <row r="2847" spans="5:28" x14ac:dyDescent="0.35">
      <c r="E2847">
        <v>2838</v>
      </c>
      <c r="F2847" t="e">
        <f>INDEX(Stammdaten[D Mitte mit Rinde (mm)],MATCH(Tabelle8[[#This Row],[Rank]],Stammdaten[Rank Verteilung D Mitte mit Rinde],0))</f>
        <v>#N/A</v>
      </c>
      <c r="G2847" t="e">
        <f>VLOOKUP(Tabelle8[[#This Row],[Rank]],Stammdaten[[Rank Verteilung D Mitte mit Rinde]:[Verteilung D Mitte mit Rinde]],2,FALSE)</f>
        <v>#N/A</v>
      </c>
      <c r="L2847">
        <v>2838</v>
      </c>
      <c r="M2847" t="e">
        <f>INDEX(Stammdaten[Abholzigkeit (mm/lfm)],MATCH(Tabelle9[[#This Row],[Rank]],Stammdaten[Rank Verteilung Abholzigkeit],0))</f>
        <v>#N/A</v>
      </c>
      <c r="N2847" t="e">
        <f>VLOOKUP(Tabelle9[[#This Row],[Rank]],Stammdaten[[Rank Verteilung Abholzigkeit]:[Verteilung Abholzigkeit]],2,FALSE)</f>
        <v>#N/A</v>
      </c>
      <c r="S2847">
        <v>2838</v>
      </c>
      <c r="T2847" t="e">
        <f>INDEX(Stammdaten[Krümmung (mm/lfm)],MATCH(Tabelle10[[#This Row],[Rank]],Stammdaten[Rank Verteilung Krümmung],0))</f>
        <v>#N/A</v>
      </c>
      <c r="U2847" t="e">
        <f>VLOOKUP(Tabelle10[[#This Row],[Rank]],Stammdaten[[Rank Verteilung Krümmung]:[Verteilung Krümmung]],2,FALSE)</f>
        <v>#N/A</v>
      </c>
      <c r="Z2847">
        <v>2838</v>
      </c>
      <c r="AA2847" t="e">
        <f>INDEX(Stammdaten[Ovalität (']0,1'])],MATCH(Tabelle1014[[#This Row],[Rank]],Stammdaten[Rank Verteilung Ovalität],0))</f>
        <v>#N/A</v>
      </c>
      <c r="AB2847" t="e">
        <f>VLOOKUP(Tabelle1014[[#This Row],[Rank]],Stammdaten[[Rank Verteilung Ovalität]:[Verteilung Ovalität]],2,FALSE)</f>
        <v>#N/A</v>
      </c>
    </row>
    <row r="2848" spans="5:28" x14ac:dyDescent="0.35">
      <c r="E2848">
        <v>2839</v>
      </c>
      <c r="F2848" t="e">
        <f>INDEX(Stammdaten[D Mitte mit Rinde (mm)],MATCH(Tabelle8[[#This Row],[Rank]],Stammdaten[Rank Verteilung D Mitte mit Rinde],0))</f>
        <v>#N/A</v>
      </c>
      <c r="G2848" t="e">
        <f>VLOOKUP(Tabelle8[[#This Row],[Rank]],Stammdaten[[Rank Verteilung D Mitte mit Rinde]:[Verteilung D Mitte mit Rinde]],2,FALSE)</f>
        <v>#N/A</v>
      </c>
      <c r="L2848">
        <v>2839</v>
      </c>
      <c r="M2848" t="e">
        <f>INDEX(Stammdaten[Abholzigkeit (mm/lfm)],MATCH(Tabelle9[[#This Row],[Rank]],Stammdaten[Rank Verteilung Abholzigkeit],0))</f>
        <v>#N/A</v>
      </c>
      <c r="N2848" t="e">
        <f>VLOOKUP(Tabelle9[[#This Row],[Rank]],Stammdaten[[Rank Verteilung Abholzigkeit]:[Verteilung Abholzigkeit]],2,FALSE)</f>
        <v>#N/A</v>
      </c>
      <c r="S2848">
        <v>2839</v>
      </c>
      <c r="T2848" t="e">
        <f>INDEX(Stammdaten[Krümmung (mm/lfm)],MATCH(Tabelle10[[#This Row],[Rank]],Stammdaten[Rank Verteilung Krümmung],0))</f>
        <v>#N/A</v>
      </c>
      <c r="U2848" t="e">
        <f>VLOOKUP(Tabelle10[[#This Row],[Rank]],Stammdaten[[Rank Verteilung Krümmung]:[Verteilung Krümmung]],2,FALSE)</f>
        <v>#N/A</v>
      </c>
      <c r="Z2848">
        <v>2839</v>
      </c>
      <c r="AA2848" t="e">
        <f>INDEX(Stammdaten[Ovalität (']0,1'])],MATCH(Tabelle1014[[#This Row],[Rank]],Stammdaten[Rank Verteilung Ovalität],0))</f>
        <v>#N/A</v>
      </c>
      <c r="AB2848" t="e">
        <f>VLOOKUP(Tabelle1014[[#This Row],[Rank]],Stammdaten[[Rank Verteilung Ovalität]:[Verteilung Ovalität]],2,FALSE)</f>
        <v>#N/A</v>
      </c>
    </row>
    <row r="2849" spans="5:28" x14ac:dyDescent="0.35">
      <c r="E2849">
        <v>2840</v>
      </c>
      <c r="F2849" t="e">
        <f>INDEX(Stammdaten[D Mitte mit Rinde (mm)],MATCH(Tabelle8[[#This Row],[Rank]],Stammdaten[Rank Verteilung D Mitte mit Rinde],0))</f>
        <v>#N/A</v>
      </c>
      <c r="G2849" t="e">
        <f>VLOOKUP(Tabelle8[[#This Row],[Rank]],Stammdaten[[Rank Verteilung D Mitte mit Rinde]:[Verteilung D Mitte mit Rinde]],2,FALSE)</f>
        <v>#N/A</v>
      </c>
      <c r="L2849">
        <v>2840</v>
      </c>
      <c r="M2849" t="e">
        <f>INDEX(Stammdaten[Abholzigkeit (mm/lfm)],MATCH(Tabelle9[[#This Row],[Rank]],Stammdaten[Rank Verteilung Abholzigkeit],0))</f>
        <v>#N/A</v>
      </c>
      <c r="N2849" t="e">
        <f>VLOOKUP(Tabelle9[[#This Row],[Rank]],Stammdaten[[Rank Verteilung Abholzigkeit]:[Verteilung Abholzigkeit]],2,FALSE)</f>
        <v>#N/A</v>
      </c>
      <c r="S2849">
        <v>2840</v>
      </c>
      <c r="T2849" t="e">
        <f>INDEX(Stammdaten[Krümmung (mm/lfm)],MATCH(Tabelle10[[#This Row],[Rank]],Stammdaten[Rank Verteilung Krümmung],0))</f>
        <v>#N/A</v>
      </c>
      <c r="U2849" t="e">
        <f>VLOOKUP(Tabelle10[[#This Row],[Rank]],Stammdaten[[Rank Verteilung Krümmung]:[Verteilung Krümmung]],2,FALSE)</f>
        <v>#N/A</v>
      </c>
      <c r="Z2849">
        <v>2840</v>
      </c>
      <c r="AA2849" t="e">
        <f>INDEX(Stammdaten[Ovalität (']0,1'])],MATCH(Tabelle1014[[#This Row],[Rank]],Stammdaten[Rank Verteilung Ovalität],0))</f>
        <v>#N/A</v>
      </c>
      <c r="AB2849" t="e">
        <f>VLOOKUP(Tabelle1014[[#This Row],[Rank]],Stammdaten[[Rank Verteilung Ovalität]:[Verteilung Ovalität]],2,FALSE)</f>
        <v>#N/A</v>
      </c>
    </row>
    <row r="2850" spans="5:28" x14ac:dyDescent="0.35">
      <c r="E2850">
        <v>2841</v>
      </c>
      <c r="F2850" t="e">
        <f>INDEX(Stammdaten[D Mitte mit Rinde (mm)],MATCH(Tabelle8[[#This Row],[Rank]],Stammdaten[Rank Verteilung D Mitte mit Rinde],0))</f>
        <v>#N/A</v>
      </c>
      <c r="G2850" t="e">
        <f>VLOOKUP(Tabelle8[[#This Row],[Rank]],Stammdaten[[Rank Verteilung D Mitte mit Rinde]:[Verteilung D Mitte mit Rinde]],2,FALSE)</f>
        <v>#N/A</v>
      </c>
      <c r="L2850">
        <v>2841</v>
      </c>
      <c r="M2850" t="e">
        <f>INDEX(Stammdaten[Abholzigkeit (mm/lfm)],MATCH(Tabelle9[[#This Row],[Rank]],Stammdaten[Rank Verteilung Abholzigkeit],0))</f>
        <v>#N/A</v>
      </c>
      <c r="N2850" t="e">
        <f>VLOOKUP(Tabelle9[[#This Row],[Rank]],Stammdaten[[Rank Verteilung Abholzigkeit]:[Verteilung Abholzigkeit]],2,FALSE)</f>
        <v>#N/A</v>
      </c>
      <c r="S2850">
        <v>2841</v>
      </c>
      <c r="T2850" t="e">
        <f>INDEX(Stammdaten[Krümmung (mm/lfm)],MATCH(Tabelle10[[#This Row],[Rank]],Stammdaten[Rank Verteilung Krümmung],0))</f>
        <v>#N/A</v>
      </c>
      <c r="U2850" t="e">
        <f>VLOOKUP(Tabelle10[[#This Row],[Rank]],Stammdaten[[Rank Verteilung Krümmung]:[Verteilung Krümmung]],2,FALSE)</f>
        <v>#N/A</v>
      </c>
      <c r="Z2850">
        <v>2841</v>
      </c>
      <c r="AA2850" t="e">
        <f>INDEX(Stammdaten[Ovalität (']0,1'])],MATCH(Tabelle1014[[#This Row],[Rank]],Stammdaten[Rank Verteilung Ovalität],0))</f>
        <v>#N/A</v>
      </c>
      <c r="AB2850" t="e">
        <f>VLOOKUP(Tabelle1014[[#This Row],[Rank]],Stammdaten[[Rank Verteilung Ovalität]:[Verteilung Ovalität]],2,FALSE)</f>
        <v>#N/A</v>
      </c>
    </row>
    <row r="2851" spans="5:28" x14ac:dyDescent="0.35">
      <c r="E2851">
        <v>2842</v>
      </c>
      <c r="F2851" t="e">
        <f>INDEX(Stammdaten[D Mitte mit Rinde (mm)],MATCH(Tabelle8[[#This Row],[Rank]],Stammdaten[Rank Verteilung D Mitte mit Rinde],0))</f>
        <v>#N/A</v>
      </c>
      <c r="G2851" t="e">
        <f>VLOOKUP(Tabelle8[[#This Row],[Rank]],Stammdaten[[Rank Verteilung D Mitte mit Rinde]:[Verteilung D Mitte mit Rinde]],2,FALSE)</f>
        <v>#N/A</v>
      </c>
      <c r="L2851">
        <v>2842</v>
      </c>
      <c r="M2851" t="e">
        <f>INDEX(Stammdaten[Abholzigkeit (mm/lfm)],MATCH(Tabelle9[[#This Row],[Rank]],Stammdaten[Rank Verteilung Abholzigkeit],0))</f>
        <v>#N/A</v>
      </c>
      <c r="N2851" t="e">
        <f>VLOOKUP(Tabelle9[[#This Row],[Rank]],Stammdaten[[Rank Verteilung Abholzigkeit]:[Verteilung Abholzigkeit]],2,FALSE)</f>
        <v>#N/A</v>
      </c>
      <c r="S2851">
        <v>2842</v>
      </c>
      <c r="T2851" t="e">
        <f>INDEX(Stammdaten[Krümmung (mm/lfm)],MATCH(Tabelle10[[#This Row],[Rank]],Stammdaten[Rank Verteilung Krümmung],0))</f>
        <v>#N/A</v>
      </c>
      <c r="U2851" t="e">
        <f>VLOOKUP(Tabelle10[[#This Row],[Rank]],Stammdaten[[Rank Verteilung Krümmung]:[Verteilung Krümmung]],2,FALSE)</f>
        <v>#N/A</v>
      </c>
      <c r="Z2851">
        <v>2842</v>
      </c>
      <c r="AA2851" t="e">
        <f>INDEX(Stammdaten[Ovalität (']0,1'])],MATCH(Tabelle1014[[#This Row],[Rank]],Stammdaten[Rank Verteilung Ovalität],0))</f>
        <v>#N/A</v>
      </c>
      <c r="AB2851" t="e">
        <f>VLOOKUP(Tabelle1014[[#This Row],[Rank]],Stammdaten[[Rank Verteilung Ovalität]:[Verteilung Ovalität]],2,FALSE)</f>
        <v>#N/A</v>
      </c>
    </row>
    <row r="2852" spans="5:28" x14ac:dyDescent="0.35">
      <c r="E2852">
        <v>2843</v>
      </c>
      <c r="F2852" t="e">
        <f>INDEX(Stammdaten[D Mitte mit Rinde (mm)],MATCH(Tabelle8[[#This Row],[Rank]],Stammdaten[Rank Verteilung D Mitte mit Rinde],0))</f>
        <v>#N/A</v>
      </c>
      <c r="G2852" t="e">
        <f>VLOOKUP(Tabelle8[[#This Row],[Rank]],Stammdaten[[Rank Verteilung D Mitte mit Rinde]:[Verteilung D Mitte mit Rinde]],2,FALSE)</f>
        <v>#N/A</v>
      </c>
      <c r="L2852">
        <v>2843</v>
      </c>
      <c r="M2852" t="e">
        <f>INDEX(Stammdaten[Abholzigkeit (mm/lfm)],MATCH(Tabelle9[[#This Row],[Rank]],Stammdaten[Rank Verteilung Abholzigkeit],0))</f>
        <v>#N/A</v>
      </c>
      <c r="N2852" t="e">
        <f>VLOOKUP(Tabelle9[[#This Row],[Rank]],Stammdaten[[Rank Verteilung Abholzigkeit]:[Verteilung Abholzigkeit]],2,FALSE)</f>
        <v>#N/A</v>
      </c>
      <c r="S2852">
        <v>2843</v>
      </c>
      <c r="T2852" t="e">
        <f>INDEX(Stammdaten[Krümmung (mm/lfm)],MATCH(Tabelle10[[#This Row],[Rank]],Stammdaten[Rank Verteilung Krümmung],0))</f>
        <v>#N/A</v>
      </c>
      <c r="U2852" t="e">
        <f>VLOOKUP(Tabelle10[[#This Row],[Rank]],Stammdaten[[Rank Verteilung Krümmung]:[Verteilung Krümmung]],2,FALSE)</f>
        <v>#N/A</v>
      </c>
      <c r="Z2852">
        <v>2843</v>
      </c>
      <c r="AA2852" t="e">
        <f>INDEX(Stammdaten[Ovalität (']0,1'])],MATCH(Tabelle1014[[#This Row],[Rank]],Stammdaten[Rank Verteilung Ovalität],0))</f>
        <v>#N/A</v>
      </c>
      <c r="AB2852" t="e">
        <f>VLOOKUP(Tabelle1014[[#This Row],[Rank]],Stammdaten[[Rank Verteilung Ovalität]:[Verteilung Ovalität]],2,FALSE)</f>
        <v>#N/A</v>
      </c>
    </row>
    <row r="2853" spans="5:28" x14ac:dyDescent="0.35">
      <c r="E2853">
        <v>2844</v>
      </c>
      <c r="F2853" t="e">
        <f>INDEX(Stammdaten[D Mitte mit Rinde (mm)],MATCH(Tabelle8[[#This Row],[Rank]],Stammdaten[Rank Verteilung D Mitte mit Rinde],0))</f>
        <v>#N/A</v>
      </c>
      <c r="G2853" t="e">
        <f>VLOOKUP(Tabelle8[[#This Row],[Rank]],Stammdaten[[Rank Verteilung D Mitte mit Rinde]:[Verteilung D Mitte mit Rinde]],2,FALSE)</f>
        <v>#N/A</v>
      </c>
      <c r="L2853">
        <v>2844</v>
      </c>
      <c r="M2853" t="e">
        <f>INDEX(Stammdaten[Abholzigkeit (mm/lfm)],MATCH(Tabelle9[[#This Row],[Rank]],Stammdaten[Rank Verteilung Abholzigkeit],0))</f>
        <v>#N/A</v>
      </c>
      <c r="N2853" t="e">
        <f>VLOOKUP(Tabelle9[[#This Row],[Rank]],Stammdaten[[Rank Verteilung Abholzigkeit]:[Verteilung Abholzigkeit]],2,FALSE)</f>
        <v>#N/A</v>
      </c>
      <c r="S2853">
        <v>2844</v>
      </c>
      <c r="T2853" t="e">
        <f>INDEX(Stammdaten[Krümmung (mm/lfm)],MATCH(Tabelle10[[#This Row],[Rank]],Stammdaten[Rank Verteilung Krümmung],0))</f>
        <v>#N/A</v>
      </c>
      <c r="U2853" t="e">
        <f>VLOOKUP(Tabelle10[[#This Row],[Rank]],Stammdaten[[Rank Verteilung Krümmung]:[Verteilung Krümmung]],2,FALSE)</f>
        <v>#N/A</v>
      </c>
      <c r="Z2853">
        <v>2844</v>
      </c>
      <c r="AA2853" t="e">
        <f>INDEX(Stammdaten[Ovalität (']0,1'])],MATCH(Tabelle1014[[#This Row],[Rank]],Stammdaten[Rank Verteilung Ovalität],0))</f>
        <v>#N/A</v>
      </c>
      <c r="AB2853" t="e">
        <f>VLOOKUP(Tabelle1014[[#This Row],[Rank]],Stammdaten[[Rank Verteilung Ovalität]:[Verteilung Ovalität]],2,FALSE)</f>
        <v>#N/A</v>
      </c>
    </row>
    <row r="2854" spans="5:28" x14ac:dyDescent="0.35">
      <c r="E2854">
        <v>2845</v>
      </c>
      <c r="F2854" t="e">
        <f>INDEX(Stammdaten[D Mitte mit Rinde (mm)],MATCH(Tabelle8[[#This Row],[Rank]],Stammdaten[Rank Verteilung D Mitte mit Rinde],0))</f>
        <v>#N/A</v>
      </c>
      <c r="G2854" t="e">
        <f>VLOOKUP(Tabelle8[[#This Row],[Rank]],Stammdaten[[Rank Verteilung D Mitte mit Rinde]:[Verteilung D Mitte mit Rinde]],2,FALSE)</f>
        <v>#N/A</v>
      </c>
      <c r="L2854">
        <v>2845</v>
      </c>
      <c r="M2854" t="e">
        <f>INDEX(Stammdaten[Abholzigkeit (mm/lfm)],MATCH(Tabelle9[[#This Row],[Rank]],Stammdaten[Rank Verteilung Abholzigkeit],0))</f>
        <v>#N/A</v>
      </c>
      <c r="N2854" t="e">
        <f>VLOOKUP(Tabelle9[[#This Row],[Rank]],Stammdaten[[Rank Verteilung Abholzigkeit]:[Verteilung Abholzigkeit]],2,FALSE)</f>
        <v>#N/A</v>
      </c>
      <c r="S2854">
        <v>2845</v>
      </c>
      <c r="T2854" t="e">
        <f>INDEX(Stammdaten[Krümmung (mm/lfm)],MATCH(Tabelle10[[#This Row],[Rank]],Stammdaten[Rank Verteilung Krümmung],0))</f>
        <v>#N/A</v>
      </c>
      <c r="U2854" t="e">
        <f>VLOOKUP(Tabelle10[[#This Row],[Rank]],Stammdaten[[Rank Verteilung Krümmung]:[Verteilung Krümmung]],2,FALSE)</f>
        <v>#N/A</v>
      </c>
      <c r="Z2854">
        <v>2845</v>
      </c>
      <c r="AA2854" t="e">
        <f>INDEX(Stammdaten[Ovalität (']0,1'])],MATCH(Tabelle1014[[#This Row],[Rank]],Stammdaten[Rank Verteilung Ovalität],0))</f>
        <v>#N/A</v>
      </c>
      <c r="AB2854" t="e">
        <f>VLOOKUP(Tabelle1014[[#This Row],[Rank]],Stammdaten[[Rank Verteilung Ovalität]:[Verteilung Ovalität]],2,FALSE)</f>
        <v>#N/A</v>
      </c>
    </row>
    <row r="2855" spans="5:28" x14ac:dyDescent="0.35">
      <c r="E2855">
        <v>2846</v>
      </c>
      <c r="F2855" t="e">
        <f>INDEX(Stammdaten[D Mitte mit Rinde (mm)],MATCH(Tabelle8[[#This Row],[Rank]],Stammdaten[Rank Verteilung D Mitte mit Rinde],0))</f>
        <v>#N/A</v>
      </c>
      <c r="G2855" t="e">
        <f>VLOOKUP(Tabelle8[[#This Row],[Rank]],Stammdaten[[Rank Verteilung D Mitte mit Rinde]:[Verteilung D Mitte mit Rinde]],2,FALSE)</f>
        <v>#N/A</v>
      </c>
      <c r="L2855">
        <v>2846</v>
      </c>
      <c r="M2855" t="e">
        <f>INDEX(Stammdaten[Abholzigkeit (mm/lfm)],MATCH(Tabelle9[[#This Row],[Rank]],Stammdaten[Rank Verteilung Abholzigkeit],0))</f>
        <v>#N/A</v>
      </c>
      <c r="N2855" t="e">
        <f>VLOOKUP(Tabelle9[[#This Row],[Rank]],Stammdaten[[Rank Verteilung Abholzigkeit]:[Verteilung Abholzigkeit]],2,FALSE)</f>
        <v>#N/A</v>
      </c>
      <c r="S2855">
        <v>2846</v>
      </c>
      <c r="T2855" t="e">
        <f>INDEX(Stammdaten[Krümmung (mm/lfm)],MATCH(Tabelle10[[#This Row],[Rank]],Stammdaten[Rank Verteilung Krümmung],0))</f>
        <v>#N/A</v>
      </c>
      <c r="U2855" t="e">
        <f>VLOOKUP(Tabelle10[[#This Row],[Rank]],Stammdaten[[Rank Verteilung Krümmung]:[Verteilung Krümmung]],2,FALSE)</f>
        <v>#N/A</v>
      </c>
      <c r="Z2855">
        <v>2846</v>
      </c>
      <c r="AA2855" t="e">
        <f>INDEX(Stammdaten[Ovalität (']0,1'])],MATCH(Tabelle1014[[#This Row],[Rank]],Stammdaten[Rank Verteilung Ovalität],0))</f>
        <v>#N/A</v>
      </c>
      <c r="AB2855" t="e">
        <f>VLOOKUP(Tabelle1014[[#This Row],[Rank]],Stammdaten[[Rank Verteilung Ovalität]:[Verteilung Ovalität]],2,FALSE)</f>
        <v>#N/A</v>
      </c>
    </row>
    <row r="2856" spans="5:28" x14ac:dyDescent="0.35">
      <c r="E2856">
        <v>2847</v>
      </c>
      <c r="F2856" t="e">
        <f>INDEX(Stammdaten[D Mitte mit Rinde (mm)],MATCH(Tabelle8[[#This Row],[Rank]],Stammdaten[Rank Verteilung D Mitte mit Rinde],0))</f>
        <v>#N/A</v>
      </c>
      <c r="G2856" t="e">
        <f>VLOOKUP(Tabelle8[[#This Row],[Rank]],Stammdaten[[Rank Verteilung D Mitte mit Rinde]:[Verteilung D Mitte mit Rinde]],2,FALSE)</f>
        <v>#N/A</v>
      </c>
      <c r="L2856">
        <v>2847</v>
      </c>
      <c r="M2856" t="e">
        <f>INDEX(Stammdaten[Abholzigkeit (mm/lfm)],MATCH(Tabelle9[[#This Row],[Rank]],Stammdaten[Rank Verteilung Abholzigkeit],0))</f>
        <v>#N/A</v>
      </c>
      <c r="N2856" t="e">
        <f>VLOOKUP(Tabelle9[[#This Row],[Rank]],Stammdaten[[Rank Verteilung Abholzigkeit]:[Verteilung Abholzigkeit]],2,FALSE)</f>
        <v>#N/A</v>
      </c>
      <c r="S2856">
        <v>2847</v>
      </c>
      <c r="T2856" t="e">
        <f>INDEX(Stammdaten[Krümmung (mm/lfm)],MATCH(Tabelle10[[#This Row],[Rank]],Stammdaten[Rank Verteilung Krümmung],0))</f>
        <v>#N/A</v>
      </c>
      <c r="U2856" t="e">
        <f>VLOOKUP(Tabelle10[[#This Row],[Rank]],Stammdaten[[Rank Verteilung Krümmung]:[Verteilung Krümmung]],2,FALSE)</f>
        <v>#N/A</v>
      </c>
      <c r="Z2856">
        <v>2847</v>
      </c>
      <c r="AA2856" t="e">
        <f>INDEX(Stammdaten[Ovalität (']0,1'])],MATCH(Tabelle1014[[#This Row],[Rank]],Stammdaten[Rank Verteilung Ovalität],0))</f>
        <v>#N/A</v>
      </c>
      <c r="AB2856" t="e">
        <f>VLOOKUP(Tabelle1014[[#This Row],[Rank]],Stammdaten[[Rank Verteilung Ovalität]:[Verteilung Ovalität]],2,FALSE)</f>
        <v>#N/A</v>
      </c>
    </row>
    <row r="2857" spans="5:28" x14ac:dyDescent="0.35">
      <c r="E2857">
        <v>2848</v>
      </c>
      <c r="F2857" t="e">
        <f>INDEX(Stammdaten[D Mitte mit Rinde (mm)],MATCH(Tabelle8[[#This Row],[Rank]],Stammdaten[Rank Verteilung D Mitte mit Rinde],0))</f>
        <v>#N/A</v>
      </c>
      <c r="G2857" t="e">
        <f>VLOOKUP(Tabelle8[[#This Row],[Rank]],Stammdaten[[Rank Verteilung D Mitte mit Rinde]:[Verteilung D Mitte mit Rinde]],2,FALSE)</f>
        <v>#N/A</v>
      </c>
      <c r="L2857">
        <v>2848</v>
      </c>
      <c r="M2857" t="e">
        <f>INDEX(Stammdaten[Abholzigkeit (mm/lfm)],MATCH(Tabelle9[[#This Row],[Rank]],Stammdaten[Rank Verteilung Abholzigkeit],0))</f>
        <v>#N/A</v>
      </c>
      <c r="N2857" t="e">
        <f>VLOOKUP(Tabelle9[[#This Row],[Rank]],Stammdaten[[Rank Verteilung Abholzigkeit]:[Verteilung Abholzigkeit]],2,FALSE)</f>
        <v>#N/A</v>
      </c>
      <c r="S2857">
        <v>2848</v>
      </c>
      <c r="T2857" t="e">
        <f>INDEX(Stammdaten[Krümmung (mm/lfm)],MATCH(Tabelle10[[#This Row],[Rank]],Stammdaten[Rank Verteilung Krümmung],0))</f>
        <v>#N/A</v>
      </c>
      <c r="U2857" t="e">
        <f>VLOOKUP(Tabelle10[[#This Row],[Rank]],Stammdaten[[Rank Verteilung Krümmung]:[Verteilung Krümmung]],2,FALSE)</f>
        <v>#N/A</v>
      </c>
      <c r="Z2857">
        <v>2848</v>
      </c>
      <c r="AA2857" t="e">
        <f>INDEX(Stammdaten[Ovalität (']0,1'])],MATCH(Tabelle1014[[#This Row],[Rank]],Stammdaten[Rank Verteilung Ovalität],0))</f>
        <v>#N/A</v>
      </c>
      <c r="AB2857" t="e">
        <f>VLOOKUP(Tabelle1014[[#This Row],[Rank]],Stammdaten[[Rank Verteilung Ovalität]:[Verteilung Ovalität]],2,FALSE)</f>
        <v>#N/A</v>
      </c>
    </row>
    <row r="2858" spans="5:28" x14ac:dyDescent="0.35">
      <c r="E2858">
        <v>2849</v>
      </c>
      <c r="F2858" t="e">
        <f>INDEX(Stammdaten[D Mitte mit Rinde (mm)],MATCH(Tabelle8[[#This Row],[Rank]],Stammdaten[Rank Verteilung D Mitte mit Rinde],0))</f>
        <v>#N/A</v>
      </c>
      <c r="G2858" t="e">
        <f>VLOOKUP(Tabelle8[[#This Row],[Rank]],Stammdaten[[Rank Verteilung D Mitte mit Rinde]:[Verteilung D Mitte mit Rinde]],2,FALSE)</f>
        <v>#N/A</v>
      </c>
      <c r="L2858">
        <v>2849</v>
      </c>
      <c r="M2858" t="e">
        <f>INDEX(Stammdaten[Abholzigkeit (mm/lfm)],MATCH(Tabelle9[[#This Row],[Rank]],Stammdaten[Rank Verteilung Abholzigkeit],0))</f>
        <v>#N/A</v>
      </c>
      <c r="N2858" t="e">
        <f>VLOOKUP(Tabelle9[[#This Row],[Rank]],Stammdaten[[Rank Verteilung Abholzigkeit]:[Verteilung Abholzigkeit]],2,FALSE)</f>
        <v>#N/A</v>
      </c>
      <c r="S2858">
        <v>2849</v>
      </c>
      <c r="T2858" t="e">
        <f>INDEX(Stammdaten[Krümmung (mm/lfm)],MATCH(Tabelle10[[#This Row],[Rank]],Stammdaten[Rank Verteilung Krümmung],0))</f>
        <v>#N/A</v>
      </c>
      <c r="U2858" t="e">
        <f>VLOOKUP(Tabelle10[[#This Row],[Rank]],Stammdaten[[Rank Verteilung Krümmung]:[Verteilung Krümmung]],2,FALSE)</f>
        <v>#N/A</v>
      </c>
      <c r="Z2858">
        <v>2849</v>
      </c>
      <c r="AA2858" t="e">
        <f>INDEX(Stammdaten[Ovalität (']0,1'])],MATCH(Tabelle1014[[#This Row],[Rank]],Stammdaten[Rank Verteilung Ovalität],0))</f>
        <v>#N/A</v>
      </c>
      <c r="AB2858" t="e">
        <f>VLOOKUP(Tabelle1014[[#This Row],[Rank]],Stammdaten[[Rank Verteilung Ovalität]:[Verteilung Ovalität]],2,FALSE)</f>
        <v>#N/A</v>
      </c>
    </row>
    <row r="2859" spans="5:28" x14ac:dyDescent="0.35">
      <c r="E2859">
        <v>2850</v>
      </c>
      <c r="F2859" t="e">
        <f>INDEX(Stammdaten[D Mitte mit Rinde (mm)],MATCH(Tabelle8[[#This Row],[Rank]],Stammdaten[Rank Verteilung D Mitte mit Rinde],0))</f>
        <v>#N/A</v>
      </c>
      <c r="G2859" t="e">
        <f>VLOOKUP(Tabelle8[[#This Row],[Rank]],Stammdaten[[Rank Verteilung D Mitte mit Rinde]:[Verteilung D Mitte mit Rinde]],2,FALSE)</f>
        <v>#N/A</v>
      </c>
      <c r="L2859">
        <v>2850</v>
      </c>
      <c r="M2859" t="e">
        <f>INDEX(Stammdaten[Abholzigkeit (mm/lfm)],MATCH(Tabelle9[[#This Row],[Rank]],Stammdaten[Rank Verteilung Abholzigkeit],0))</f>
        <v>#N/A</v>
      </c>
      <c r="N2859" t="e">
        <f>VLOOKUP(Tabelle9[[#This Row],[Rank]],Stammdaten[[Rank Verteilung Abholzigkeit]:[Verteilung Abholzigkeit]],2,FALSE)</f>
        <v>#N/A</v>
      </c>
      <c r="S2859">
        <v>2850</v>
      </c>
      <c r="T2859" t="e">
        <f>INDEX(Stammdaten[Krümmung (mm/lfm)],MATCH(Tabelle10[[#This Row],[Rank]],Stammdaten[Rank Verteilung Krümmung],0))</f>
        <v>#N/A</v>
      </c>
      <c r="U2859" t="e">
        <f>VLOOKUP(Tabelle10[[#This Row],[Rank]],Stammdaten[[Rank Verteilung Krümmung]:[Verteilung Krümmung]],2,FALSE)</f>
        <v>#N/A</v>
      </c>
      <c r="Z2859">
        <v>2850</v>
      </c>
      <c r="AA2859" t="e">
        <f>INDEX(Stammdaten[Ovalität (']0,1'])],MATCH(Tabelle1014[[#This Row],[Rank]],Stammdaten[Rank Verteilung Ovalität],0))</f>
        <v>#N/A</v>
      </c>
      <c r="AB2859" t="e">
        <f>VLOOKUP(Tabelle1014[[#This Row],[Rank]],Stammdaten[[Rank Verteilung Ovalität]:[Verteilung Ovalität]],2,FALSE)</f>
        <v>#N/A</v>
      </c>
    </row>
    <row r="2860" spans="5:28" x14ac:dyDescent="0.35">
      <c r="E2860">
        <v>2851</v>
      </c>
      <c r="F2860" t="e">
        <f>INDEX(Stammdaten[D Mitte mit Rinde (mm)],MATCH(Tabelle8[[#This Row],[Rank]],Stammdaten[Rank Verteilung D Mitte mit Rinde],0))</f>
        <v>#N/A</v>
      </c>
      <c r="G2860" t="e">
        <f>VLOOKUP(Tabelle8[[#This Row],[Rank]],Stammdaten[[Rank Verteilung D Mitte mit Rinde]:[Verteilung D Mitte mit Rinde]],2,FALSE)</f>
        <v>#N/A</v>
      </c>
      <c r="L2860">
        <v>2851</v>
      </c>
      <c r="M2860" t="e">
        <f>INDEX(Stammdaten[Abholzigkeit (mm/lfm)],MATCH(Tabelle9[[#This Row],[Rank]],Stammdaten[Rank Verteilung Abholzigkeit],0))</f>
        <v>#N/A</v>
      </c>
      <c r="N2860" t="e">
        <f>VLOOKUP(Tabelle9[[#This Row],[Rank]],Stammdaten[[Rank Verteilung Abholzigkeit]:[Verteilung Abholzigkeit]],2,FALSE)</f>
        <v>#N/A</v>
      </c>
      <c r="S2860">
        <v>2851</v>
      </c>
      <c r="T2860" t="e">
        <f>INDEX(Stammdaten[Krümmung (mm/lfm)],MATCH(Tabelle10[[#This Row],[Rank]],Stammdaten[Rank Verteilung Krümmung],0))</f>
        <v>#N/A</v>
      </c>
      <c r="U2860" t="e">
        <f>VLOOKUP(Tabelle10[[#This Row],[Rank]],Stammdaten[[Rank Verteilung Krümmung]:[Verteilung Krümmung]],2,FALSE)</f>
        <v>#N/A</v>
      </c>
      <c r="Z2860">
        <v>2851</v>
      </c>
      <c r="AA2860" t="e">
        <f>INDEX(Stammdaten[Ovalität (']0,1'])],MATCH(Tabelle1014[[#This Row],[Rank]],Stammdaten[Rank Verteilung Ovalität],0))</f>
        <v>#N/A</v>
      </c>
      <c r="AB2860" t="e">
        <f>VLOOKUP(Tabelle1014[[#This Row],[Rank]],Stammdaten[[Rank Verteilung Ovalität]:[Verteilung Ovalität]],2,FALSE)</f>
        <v>#N/A</v>
      </c>
    </row>
    <row r="2861" spans="5:28" x14ac:dyDescent="0.35">
      <c r="E2861">
        <v>2852</v>
      </c>
      <c r="F2861" t="e">
        <f>INDEX(Stammdaten[D Mitte mit Rinde (mm)],MATCH(Tabelle8[[#This Row],[Rank]],Stammdaten[Rank Verteilung D Mitte mit Rinde],0))</f>
        <v>#N/A</v>
      </c>
      <c r="G2861" t="e">
        <f>VLOOKUP(Tabelle8[[#This Row],[Rank]],Stammdaten[[Rank Verteilung D Mitte mit Rinde]:[Verteilung D Mitte mit Rinde]],2,FALSE)</f>
        <v>#N/A</v>
      </c>
      <c r="L2861">
        <v>2852</v>
      </c>
      <c r="M2861" t="e">
        <f>INDEX(Stammdaten[Abholzigkeit (mm/lfm)],MATCH(Tabelle9[[#This Row],[Rank]],Stammdaten[Rank Verteilung Abholzigkeit],0))</f>
        <v>#N/A</v>
      </c>
      <c r="N2861" t="e">
        <f>VLOOKUP(Tabelle9[[#This Row],[Rank]],Stammdaten[[Rank Verteilung Abholzigkeit]:[Verteilung Abholzigkeit]],2,FALSE)</f>
        <v>#N/A</v>
      </c>
      <c r="S2861">
        <v>2852</v>
      </c>
      <c r="T2861" t="e">
        <f>INDEX(Stammdaten[Krümmung (mm/lfm)],MATCH(Tabelle10[[#This Row],[Rank]],Stammdaten[Rank Verteilung Krümmung],0))</f>
        <v>#N/A</v>
      </c>
      <c r="U2861" t="e">
        <f>VLOOKUP(Tabelle10[[#This Row],[Rank]],Stammdaten[[Rank Verteilung Krümmung]:[Verteilung Krümmung]],2,FALSE)</f>
        <v>#N/A</v>
      </c>
      <c r="Z2861">
        <v>2852</v>
      </c>
      <c r="AA2861" t="e">
        <f>INDEX(Stammdaten[Ovalität (']0,1'])],MATCH(Tabelle1014[[#This Row],[Rank]],Stammdaten[Rank Verteilung Ovalität],0))</f>
        <v>#N/A</v>
      </c>
      <c r="AB2861" t="e">
        <f>VLOOKUP(Tabelle1014[[#This Row],[Rank]],Stammdaten[[Rank Verteilung Ovalität]:[Verteilung Ovalität]],2,FALSE)</f>
        <v>#N/A</v>
      </c>
    </row>
    <row r="2862" spans="5:28" x14ac:dyDescent="0.35">
      <c r="E2862">
        <v>2853</v>
      </c>
      <c r="F2862" t="e">
        <f>INDEX(Stammdaten[D Mitte mit Rinde (mm)],MATCH(Tabelle8[[#This Row],[Rank]],Stammdaten[Rank Verteilung D Mitte mit Rinde],0))</f>
        <v>#N/A</v>
      </c>
      <c r="G2862" t="e">
        <f>VLOOKUP(Tabelle8[[#This Row],[Rank]],Stammdaten[[Rank Verteilung D Mitte mit Rinde]:[Verteilung D Mitte mit Rinde]],2,FALSE)</f>
        <v>#N/A</v>
      </c>
      <c r="L2862">
        <v>2853</v>
      </c>
      <c r="M2862" t="e">
        <f>INDEX(Stammdaten[Abholzigkeit (mm/lfm)],MATCH(Tabelle9[[#This Row],[Rank]],Stammdaten[Rank Verteilung Abholzigkeit],0))</f>
        <v>#N/A</v>
      </c>
      <c r="N2862" t="e">
        <f>VLOOKUP(Tabelle9[[#This Row],[Rank]],Stammdaten[[Rank Verteilung Abholzigkeit]:[Verteilung Abholzigkeit]],2,FALSE)</f>
        <v>#N/A</v>
      </c>
      <c r="S2862">
        <v>2853</v>
      </c>
      <c r="T2862" t="e">
        <f>INDEX(Stammdaten[Krümmung (mm/lfm)],MATCH(Tabelle10[[#This Row],[Rank]],Stammdaten[Rank Verteilung Krümmung],0))</f>
        <v>#N/A</v>
      </c>
      <c r="U2862" t="e">
        <f>VLOOKUP(Tabelle10[[#This Row],[Rank]],Stammdaten[[Rank Verteilung Krümmung]:[Verteilung Krümmung]],2,FALSE)</f>
        <v>#N/A</v>
      </c>
      <c r="Z2862">
        <v>2853</v>
      </c>
      <c r="AA2862" t="e">
        <f>INDEX(Stammdaten[Ovalität (']0,1'])],MATCH(Tabelle1014[[#This Row],[Rank]],Stammdaten[Rank Verteilung Ovalität],0))</f>
        <v>#N/A</v>
      </c>
      <c r="AB2862" t="e">
        <f>VLOOKUP(Tabelle1014[[#This Row],[Rank]],Stammdaten[[Rank Verteilung Ovalität]:[Verteilung Ovalität]],2,FALSE)</f>
        <v>#N/A</v>
      </c>
    </row>
    <row r="2863" spans="5:28" x14ac:dyDescent="0.35">
      <c r="E2863">
        <v>2854</v>
      </c>
      <c r="F2863" t="e">
        <f>INDEX(Stammdaten[D Mitte mit Rinde (mm)],MATCH(Tabelle8[[#This Row],[Rank]],Stammdaten[Rank Verteilung D Mitte mit Rinde],0))</f>
        <v>#N/A</v>
      </c>
      <c r="G2863" t="e">
        <f>VLOOKUP(Tabelle8[[#This Row],[Rank]],Stammdaten[[Rank Verteilung D Mitte mit Rinde]:[Verteilung D Mitte mit Rinde]],2,FALSE)</f>
        <v>#N/A</v>
      </c>
      <c r="L2863">
        <v>2854</v>
      </c>
      <c r="M2863" t="e">
        <f>INDEX(Stammdaten[Abholzigkeit (mm/lfm)],MATCH(Tabelle9[[#This Row],[Rank]],Stammdaten[Rank Verteilung Abholzigkeit],0))</f>
        <v>#N/A</v>
      </c>
      <c r="N2863" t="e">
        <f>VLOOKUP(Tabelle9[[#This Row],[Rank]],Stammdaten[[Rank Verteilung Abholzigkeit]:[Verteilung Abholzigkeit]],2,FALSE)</f>
        <v>#N/A</v>
      </c>
      <c r="S2863">
        <v>2854</v>
      </c>
      <c r="T2863" t="e">
        <f>INDEX(Stammdaten[Krümmung (mm/lfm)],MATCH(Tabelle10[[#This Row],[Rank]],Stammdaten[Rank Verteilung Krümmung],0))</f>
        <v>#N/A</v>
      </c>
      <c r="U2863" t="e">
        <f>VLOOKUP(Tabelle10[[#This Row],[Rank]],Stammdaten[[Rank Verteilung Krümmung]:[Verteilung Krümmung]],2,FALSE)</f>
        <v>#N/A</v>
      </c>
      <c r="Z2863">
        <v>2854</v>
      </c>
      <c r="AA2863" t="e">
        <f>INDEX(Stammdaten[Ovalität (']0,1'])],MATCH(Tabelle1014[[#This Row],[Rank]],Stammdaten[Rank Verteilung Ovalität],0))</f>
        <v>#N/A</v>
      </c>
      <c r="AB2863" t="e">
        <f>VLOOKUP(Tabelle1014[[#This Row],[Rank]],Stammdaten[[Rank Verteilung Ovalität]:[Verteilung Ovalität]],2,FALSE)</f>
        <v>#N/A</v>
      </c>
    </row>
    <row r="2864" spans="5:28" x14ac:dyDescent="0.35">
      <c r="E2864">
        <v>2855</v>
      </c>
      <c r="F2864" t="e">
        <f>INDEX(Stammdaten[D Mitte mit Rinde (mm)],MATCH(Tabelle8[[#This Row],[Rank]],Stammdaten[Rank Verteilung D Mitte mit Rinde],0))</f>
        <v>#N/A</v>
      </c>
      <c r="G2864" t="e">
        <f>VLOOKUP(Tabelle8[[#This Row],[Rank]],Stammdaten[[Rank Verteilung D Mitte mit Rinde]:[Verteilung D Mitte mit Rinde]],2,FALSE)</f>
        <v>#N/A</v>
      </c>
      <c r="L2864">
        <v>2855</v>
      </c>
      <c r="M2864" t="e">
        <f>INDEX(Stammdaten[Abholzigkeit (mm/lfm)],MATCH(Tabelle9[[#This Row],[Rank]],Stammdaten[Rank Verteilung Abholzigkeit],0))</f>
        <v>#N/A</v>
      </c>
      <c r="N2864" t="e">
        <f>VLOOKUP(Tabelle9[[#This Row],[Rank]],Stammdaten[[Rank Verteilung Abholzigkeit]:[Verteilung Abholzigkeit]],2,FALSE)</f>
        <v>#N/A</v>
      </c>
      <c r="S2864">
        <v>2855</v>
      </c>
      <c r="T2864" t="e">
        <f>INDEX(Stammdaten[Krümmung (mm/lfm)],MATCH(Tabelle10[[#This Row],[Rank]],Stammdaten[Rank Verteilung Krümmung],0))</f>
        <v>#N/A</v>
      </c>
      <c r="U2864" t="e">
        <f>VLOOKUP(Tabelle10[[#This Row],[Rank]],Stammdaten[[Rank Verteilung Krümmung]:[Verteilung Krümmung]],2,FALSE)</f>
        <v>#N/A</v>
      </c>
      <c r="Z2864">
        <v>2855</v>
      </c>
      <c r="AA2864" t="e">
        <f>INDEX(Stammdaten[Ovalität (']0,1'])],MATCH(Tabelle1014[[#This Row],[Rank]],Stammdaten[Rank Verteilung Ovalität],0))</f>
        <v>#N/A</v>
      </c>
      <c r="AB2864" t="e">
        <f>VLOOKUP(Tabelle1014[[#This Row],[Rank]],Stammdaten[[Rank Verteilung Ovalität]:[Verteilung Ovalität]],2,FALSE)</f>
        <v>#N/A</v>
      </c>
    </row>
    <row r="2865" spans="5:28" x14ac:dyDescent="0.35">
      <c r="E2865">
        <v>2856</v>
      </c>
      <c r="F2865" t="e">
        <f>INDEX(Stammdaten[D Mitte mit Rinde (mm)],MATCH(Tabelle8[[#This Row],[Rank]],Stammdaten[Rank Verteilung D Mitte mit Rinde],0))</f>
        <v>#N/A</v>
      </c>
      <c r="G2865" t="e">
        <f>VLOOKUP(Tabelle8[[#This Row],[Rank]],Stammdaten[[Rank Verteilung D Mitte mit Rinde]:[Verteilung D Mitte mit Rinde]],2,FALSE)</f>
        <v>#N/A</v>
      </c>
      <c r="L2865">
        <v>2856</v>
      </c>
      <c r="M2865" t="e">
        <f>INDEX(Stammdaten[Abholzigkeit (mm/lfm)],MATCH(Tabelle9[[#This Row],[Rank]],Stammdaten[Rank Verteilung Abholzigkeit],0))</f>
        <v>#N/A</v>
      </c>
      <c r="N2865" t="e">
        <f>VLOOKUP(Tabelle9[[#This Row],[Rank]],Stammdaten[[Rank Verteilung Abholzigkeit]:[Verteilung Abholzigkeit]],2,FALSE)</f>
        <v>#N/A</v>
      </c>
      <c r="S2865">
        <v>2856</v>
      </c>
      <c r="T2865" t="e">
        <f>INDEX(Stammdaten[Krümmung (mm/lfm)],MATCH(Tabelle10[[#This Row],[Rank]],Stammdaten[Rank Verteilung Krümmung],0))</f>
        <v>#N/A</v>
      </c>
      <c r="U2865" t="e">
        <f>VLOOKUP(Tabelle10[[#This Row],[Rank]],Stammdaten[[Rank Verteilung Krümmung]:[Verteilung Krümmung]],2,FALSE)</f>
        <v>#N/A</v>
      </c>
      <c r="Z2865">
        <v>2856</v>
      </c>
      <c r="AA2865" t="e">
        <f>INDEX(Stammdaten[Ovalität (']0,1'])],MATCH(Tabelle1014[[#This Row],[Rank]],Stammdaten[Rank Verteilung Ovalität],0))</f>
        <v>#N/A</v>
      </c>
      <c r="AB2865" t="e">
        <f>VLOOKUP(Tabelle1014[[#This Row],[Rank]],Stammdaten[[Rank Verteilung Ovalität]:[Verteilung Ovalität]],2,FALSE)</f>
        <v>#N/A</v>
      </c>
    </row>
    <row r="2866" spans="5:28" x14ac:dyDescent="0.35">
      <c r="E2866">
        <v>2857</v>
      </c>
      <c r="F2866" t="e">
        <f>INDEX(Stammdaten[D Mitte mit Rinde (mm)],MATCH(Tabelle8[[#This Row],[Rank]],Stammdaten[Rank Verteilung D Mitte mit Rinde],0))</f>
        <v>#N/A</v>
      </c>
      <c r="G2866" t="e">
        <f>VLOOKUP(Tabelle8[[#This Row],[Rank]],Stammdaten[[Rank Verteilung D Mitte mit Rinde]:[Verteilung D Mitte mit Rinde]],2,FALSE)</f>
        <v>#N/A</v>
      </c>
      <c r="L2866">
        <v>2857</v>
      </c>
      <c r="M2866" t="e">
        <f>INDEX(Stammdaten[Abholzigkeit (mm/lfm)],MATCH(Tabelle9[[#This Row],[Rank]],Stammdaten[Rank Verteilung Abholzigkeit],0))</f>
        <v>#N/A</v>
      </c>
      <c r="N2866" t="e">
        <f>VLOOKUP(Tabelle9[[#This Row],[Rank]],Stammdaten[[Rank Verteilung Abholzigkeit]:[Verteilung Abholzigkeit]],2,FALSE)</f>
        <v>#N/A</v>
      </c>
      <c r="S2866">
        <v>2857</v>
      </c>
      <c r="T2866" t="e">
        <f>INDEX(Stammdaten[Krümmung (mm/lfm)],MATCH(Tabelle10[[#This Row],[Rank]],Stammdaten[Rank Verteilung Krümmung],0))</f>
        <v>#N/A</v>
      </c>
      <c r="U2866" t="e">
        <f>VLOOKUP(Tabelle10[[#This Row],[Rank]],Stammdaten[[Rank Verteilung Krümmung]:[Verteilung Krümmung]],2,FALSE)</f>
        <v>#N/A</v>
      </c>
      <c r="Z2866">
        <v>2857</v>
      </c>
      <c r="AA2866" t="e">
        <f>INDEX(Stammdaten[Ovalität (']0,1'])],MATCH(Tabelle1014[[#This Row],[Rank]],Stammdaten[Rank Verteilung Ovalität],0))</f>
        <v>#N/A</v>
      </c>
      <c r="AB2866" t="e">
        <f>VLOOKUP(Tabelle1014[[#This Row],[Rank]],Stammdaten[[Rank Verteilung Ovalität]:[Verteilung Ovalität]],2,FALSE)</f>
        <v>#N/A</v>
      </c>
    </row>
    <row r="2867" spans="5:28" x14ac:dyDescent="0.35">
      <c r="E2867">
        <v>2858</v>
      </c>
      <c r="F2867" t="e">
        <f>INDEX(Stammdaten[D Mitte mit Rinde (mm)],MATCH(Tabelle8[[#This Row],[Rank]],Stammdaten[Rank Verteilung D Mitte mit Rinde],0))</f>
        <v>#N/A</v>
      </c>
      <c r="G2867" t="e">
        <f>VLOOKUP(Tabelle8[[#This Row],[Rank]],Stammdaten[[Rank Verteilung D Mitte mit Rinde]:[Verteilung D Mitte mit Rinde]],2,FALSE)</f>
        <v>#N/A</v>
      </c>
      <c r="L2867">
        <v>2858</v>
      </c>
      <c r="M2867" t="e">
        <f>INDEX(Stammdaten[Abholzigkeit (mm/lfm)],MATCH(Tabelle9[[#This Row],[Rank]],Stammdaten[Rank Verteilung Abholzigkeit],0))</f>
        <v>#N/A</v>
      </c>
      <c r="N2867" t="e">
        <f>VLOOKUP(Tabelle9[[#This Row],[Rank]],Stammdaten[[Rank Verteilung Abholzigkeit]:[Verteilung Abholzigkeit]],2,FALSE)</f>
        <v>#N/A</v>
      </c>
      <c r="S2867">
        <v>2858</v>
      </c>
      <c r="T2867" t="e">
        <f>INDEX(Stammdaten[Krümmung (mm/lfm)],MATCH(Tabelle10[[#This Row],[Rank]],Stammdaten[Rank Verteilung Krümmung],0))</f>
        <v>#N/A</v>
      </c>
      <c r="U2867" t="e">
        <f>VLOOKUP(Tabelle10[[#This Row],[Rank]],Stammdaten[[Rank Verteilung Krümmung]:[Verteilung Krümmung]],2,FALSE)</f>
        <v>#N/A</v>
      </c>
      <c r="Z2867">
        <v>2858</v>
      </c>
      <c r="AA2867" t="e">
        <f>INDEX(Stammdaten[Ovalität (']0,1'])],MATCH(Tabelle1014[[#This Row],[Rank]],Stammdaten[Rank Verteilung Ovalität],0))</f>
        <v>#N/A</v>
      </c>
      <c r="AB2867" t="e">
        <f>VLOOKUP(Tabelle1014[[#This Row],[Rank]],Stammdaten[[Rank Verteilung Ovalität]:[Verteilung Ovalität]],2,FALSE)</f>
        <v>#N/A</v>
      </c>
    </row>
    <row r="2868" spans="5:28" x14ac:dyDescent="0.35">
      <c r="E2868">
        <v>2859</v>
      </c>
      <c r="F2868" t="e">
        <f>INDEX(Stammdaten[D Mitte mit Rinde (mm)],MATCH(Tabelle8[[#This Row],[Rank]],Stammdaten[Rank Verteilung D Mitte mit Rinde],0))</f>
        <v>#N/A</v>
      </c>
      <c r="G2868" t="e">
        <f>VLOOKUP(Tabelle8[[#This Row],[Rank]],Stammdaten[[Rank Verteilung D Mitte mit Rinde]:[Verteilung D Mitte mit Rinde]],2,FALSE)</f>
        <v>#N/A</v>
      </c>
      <c r="L2868">
        <v>2859</v>
      </c>
      <c r="M2868" t="e">
        <f>INDEX(Stammdaten[Abholzigkeit (mm/lfm)],MATCH(Tabelle9[[#This Row],[Rank]],Stammdaten[Rank Verteilung Abholzigkeit],0))</f>
        <v>#N/A</v>
      </c>
      <c r="N2868" t="e">
        <f>VLOOKUP(Tabelle9[[#This Row],[Rank]],Stammdaten[[Rank Verteilung Abholzigkeit]:[Verteilung Abholzigkeit]],2,FALSE)</f>
        <v>#N/A</v>
      </c>
      <c r="S2868">
        <v>2859</v>
      </c>
      <c r="T2868" t="e">
        <f>INDEX(Stammdaten[Krümmung (mm/lfm)],MATCH(Tabelle10[[#This Row],[Rank]],Stammdaten[Rank Verteilung Krümmung],0))</f>
        <v>#N/A</v>
      </c>
      <c r="U2868" t="e">
        <f>VLOOKUP(Tabelle10[[#This Row],[Rank]],Stammdaten[[Rank Verteilung Krümmung]:[Verteilung Krümmung]],2,FALSE)</f>
        <v>#N/A</v>
      </c>
      <c r="Z2868">
        <v>2859</v>
      </c>
      <c r="AA2868" t="e">
        <f>INDEX(Stammdaten[Ovalität (']0,1'])],MATCH(Tabelle1014[[#This Row],[Rank]],Stammdaten[Rank Verteilung Ovalität],0))</f>
        <v>#N/A</v>
      </c>
      <c r="AB2868" t="e">
        <f>VLOOKUP(Tabelle1014[[#This Row],[Rank]],Stammdaten[[Rank Verteilung Ovalität]:[Verteilung Ovalität]],2,FALSE)</f>
        <v>#N/A</v>
      </c>
    </row>
    <row r="2869" spans="5:28" x14ac:dyDescent="0.35">
      <c r="E2869">
        <v>2860</v>
      </c>
      <c r="F2869" t="e">
        <f>INDEX(Stammdaten[D Mitte mit Rinde (mm)],MATCH(Tabelle8[[#This Row],[Rank]],Stammdaten[Rank Verteilung D Mitte mit Rinde],0))</f>
        <v>#N/A</v>
      </c>
      <c r="G2869" t="e">
        <f>VLOOKUP(Tabelle8[[#This Row],[Rank]],Stammdaten[[Rank Verteilung D Mitte mit Rinde]:[Verteilung D Mitte mit Rinde]],2,FALSE)</f>
        <v>#N/A</v>
      </c>
      <c r="L2869">
        <v>2860</v>
      </c>
      <c r="M2869" t="e">
        <f>INDEX(Stammdaten[Abholzigkeit (mm/lfm)],MATCH(Tabelle9[[#This Row],[Rank]],Stammdaten[Rank Verteilung Abholzigkeit],0))</f>
        <v>#N/A</v>
      </c>
      <c r="N2869" t="e">
        <f>VLOOKUP(Tabelle9[[#This Row],[Rank]],Stammdaten[[Rank Verteilung Abholzigkeit]:[Verteilung Abholzigkeit]],2,FALSE)</f>
        <v>#N/A</v>
      </c>
      <c r="S2869">
        <v>2860</v>
      </c>
      <c r="T2869" t="e">
        <f>INDEX(Stammdaten[Krümmung (mm/lfm)],MATCH(Tabelle10[[#This Row],[Rank]],Stammdaten[Rank Verteilung Krümmung],0))</f>
        <v>#N/A</v>
      </c>
      <c r="U2869" t="e">
        <f>VLOOKUP(Tabelle10[[#This Row],[Rank]],Stammdaten[[Rank Verteilung Krümmung]:[Verteilung Krümmung]],2,FALSE)</f>
        <v>#N/A</v>
      </c>
      <c r="Z2869">
        <v>2860</v>
      </c>
      <c r="AA2869" t="e">
        <f>INDEX(Stammdaten[Ovalität (']0,1'])],MATCH(Tabelle1014[[#This Row],[Rank]],Stammdaten[Rank Verteilung Ovalität],0))</f>
        <v>#N/A</v>
      </c>
      <c r="AB2869" t="e">
        <f>VLOOKUP(Tabelle1014[[#This Row],[Rank]],Stammdaten[[Rank Verteilung Ovalität]:[Verteilung Ovalität]],2,FALSE)</f>
        <v>#N/A</v>
      </c>
    </row>
    <row r="2870" spans="5:28" x14ac:dyDescent="0.35">
      <c r="E2870">
        <v>2861</v>
      </c>
      <c r="F2870" t="e">
        <f>INDEX(Stammdaten[D Mitte mit Rinde (mm)],MATCH(Tabelle8[[#This Row],[Rank]],Stammdaten[Rank Verteilung D Mitte mit Rinde],0))</f>
        <v>#N/A</v>
      </c>
      <c r="G2870" t="e">
        <f>VLOOKUP(Tabelle8[[#This Row],[Rank]],Stammdaten[[Rank Verteilung D Mitte mit Rinde]:[Verteilung D Mitte mit Rinde]],2,FALSE)</f>
        <v>#N/A</v>
      </c>
      <c r="L2870">
        <v>2861</v>
      </c>
      <c r="M2870" t="e">
        <f>INDEX(Stammdaten[Abholzigkeit (mm/lfm)],MATCH(Tabelle9[[#This Row],[Rank]],Stammdaten[Rank Verteilung Abholzigkeit],0))</f>
        <v>#N/A</v>
      </c>
      <c r="N2870" t="e">
        <f>VLOOKUP(Tabelle9[[#This Row],[Rank]],Stammdaten[[Rank Verteilung Abholzigkeit]:[Verteilung Abholzigkeit]],2,FALSE)</f>
        <v>#N/A</v>
      </c>
      <c r="S2870">
        <v>2861</v>
      </c>
      <c r="T2870" t="e">
        <f>INDEX(Stammdaten[Krümmung (mm/lfm)],MATCH(Tabelle10[[#This Row],[Rank]],Stammdaten[Rank Verteilung Krümmung],0))</f>
        <v>#N/A</v>
      </c>
      <c r="U2870" t="e">
        <f>VLOOKUP(Tabelle10[[#This Row],[Rank]],Stammdaten[[Rank Verteilung Krümmung]:[Verteilung Krümmung]],2,FALSE)</f>
        <v>#N/A</v>
      </c>
      <c r="Z2870">
        <v>2861</v>
      </c>
      <c r="AA2870" t="e">
        <f>INDEX(Stammdaten[Ovalität (']0,1'])],MATCH(Tabelle1014[[#This Row],[Rank]],Stammdaten[Rank Verteilung Ovalität],0))</f>
        <v>#N/A</v>
      </c>
      <c r="AB2870" t="e">
        <f>VLOOKUP(Tabelle1014[[#This Row],[Rank]],Stammdaten[[Rank Verteilung Ovalität]:[Verteilung Ovalität]],2,FALSE)</f>
        <v>#N/A</v>
      </c>
    </row>
    <row r="2871" spans="5:28" x14ac:dyDescent="0.35">
      <c r="E2871">
        <v>2862</v>
      </c>
      <c r="F2871" t="e">
        <f>INDEX(Stammdaten[D Mitte mit Rinde (mm)],MATCH(Tabelle8[[#This Row],[Rank]],Stammdaten[Rank Verteilung D Mitte mit Rinde],0))</f>
        <v>#N/A</v>
      </c>
      <c r="G2871" t="e">
        <f>VLOOKUP(Tabelle8[[#This Row],[Rank]],Stammdaten[[Rank Verteilung D Mitte mit Rinde]:[Verteilung D Mitte mit Rinde]],2,FALSE)</f>
        <v>#N/A</v>
      </c>
      <c r="L2871">
        <v>2862</v>
      </c>
      <c r="M2871" t="e">
        <f>INDEX(Stammdaten[Abholzigkeit (mm/lfm)],MATCH(Tabelle9[[#This Row],[Rank]],Stammdaten[Rank Verteilung Abholzigkeit],0))</f>
        <v>#N/A</v>
      </c>
      <c r="N2871" t="e">
        <f>VLOOKUP(Tabelle9[[#This Row],[Rank]],Stammdaten[[Rank Verteilung Abholzigkeit]:[Verteilung Abholzigkeit]],2,FALSE)</f>
        <v>#N/A</v>
      </c>
      <c r="S2871">
        <v>2862</v>
      </c>
      <c r="T2871" t="e">
        <f>INDEX(Stammdaten[Krümmung (mm/lfm)],MATCH(Tabelle10[[#This Row],[Rank]],Stammdaten[Rank Verteilung Krümmung],0))</f>
        <v>#N/A</v>
      </c>
      <c r="U2871" t="e">
        <f>VLOOKUP(Tabelle10[[#This Row],[Rank]],Stammdaten[[Rank Verteilung Krümmung]:[Verteilung Krümmung]],2,FALSE)</f>
        <v>#N/A</v>
      </c>
      <c r="Z2871">
        <v>2862</v>
      </c>
      <c r="AA2871" t="e">
        <f>INDEX(Stammdaten[Ovalität (']0,1'])],MATCH(Tabelle1014[[#This Row],[Rank]],Stammdaten[Rank Verteilung Ovalität],0))</f>
        <v>#N/A</v>
      </c>
      <c r="AB2871" t="e">
        <f>VLOOKUP(Tabelle1014[[#This Row],[Rank]],Stammdaten[[Rank Verteilung Ovalität]:[Verteilung Ovalität]],2,FALSE)</f>
        <v>#N/A</v>
      </c>
    </row>
    <row r="2872" spans="5:28" x14ac:dyDescent="0.35">
      <c r="E2872">
        <v>2863</v>
      </c>
      <c r="F2872" t="e">
        <f>INDEX(Stammdaten[D Mitte mit Rinde (mm)],MATCH(Tabelle8[[#This Row],[Rank]],Stammdaten[Rank Verteilung D Mitte mit Rinde],0))</f>
        <v>#N/A</v>
      </c>
      <c r="G2872" t="e">
        <f>VLOOKUP(Tabelle8[[#This Row],[Rank]],Stammdaten[[Rank Verteilung D Mitte mit Rinde]:[Verteilung D Mitte mit Rinde]],2,FALSE)</f>
        <v>#N/A</v>
      </c>
      <c r="L2872">
        <v>2863</v>
      </c>
      <c r="M2872" t="e">
        <f>INDEX(Stammdaten[Abholzigkeit (mm/lfm)],MATCH(Tabelle9[[#This Row],[Rank]],Stammdaten[Rank Verteilung Abholzigkeit],0))</f>
        <v>#N/A</v>
      </c>
      <c r="N2872" t="e">
        <f>VLOOKUP(Tabelle9[[#This Row],[Rank]],Stammdaten[[Rank Verteilung Abholzigkeit]:[Verteilung Abholzigkeit]],2,FALSE)</f>
        <v>#N/A</v>
      </c>
      <c r="S2872">
        <v>2863</v>
      </c>
      <c r="T2872" t="e">
        <f>INDEX(Stammdaten[Krümmung (mm/lfm)],MATCH(Tabelle10[[#This Row],[Rank]],Stammdaten[Rank Verteilung Krümmung],0))</f>
        <v>#N/A</v>
      </c>
      <c r="U2872" t="e">
        <f>VLOOKUP(Tabelle10[[#This Row],[Rank]],Stammdaten[[Rank Verteilung Krümmung]:[Verteilung Krümmung]],2,FALSE)</f>
        <v>#N/A</v>
      </c>
      <c r="Z2872">
        <v>2863</v>
      </c>
      <c r="AA2872" t="e">
        <f>INDEX(Stammdaten[Ovalität (']0,1'])],MATCH(Tabelle1014[[#This Row],[Rank]],Stammdaten[Rank Verteilung Ovalität],0))</f>
        <v>#N/A</v>
      </c>
      <c r="AB2872" t="e">
        <f>VLOOKUP(Tabelle1014[[#This Row],[Rank]],Stammdaten[[Rank Verteilung Ovalität]:[Verteilung Ovalität]],2,FALSE)</f>
        <v>#N/A</v>
      </c>
    </row>
    <row r="2873" spans="5:28" x14ac:dyDescent="0.35">
      <c r="E2873">
        <v>2864</v>
      </c>
      <c r="F2873" t="e">
        <f>INDEX(Stammdaten[D Mitte mit Rinde (mm)],MATCH(Tabelle8[[#This Row],[Rank]],Stammdaten[Rank Verteilung D Mitte mit Rinde],0))</f>
        <v>#N/A</v>
      </c>
      <c r="G2873" t="e">
        <f>VLOOKUP(Tabelle8[[#This Row],[Rank]],Stammdaten[[Rank Verteilung D Mitte mit Rinde]:[Verteilung D Mitte mit Rinde]],2,FALSE)</f>
        <v>#N/A</v>
      </c>
      <c r="L2873">
        <v>2864</v>
      </c>
      <c r="M2873" t="e">
        <f>INDEX(Stammdaten[Abholzigkeit (mm/lfm)],MATCH(Tabelle9[[#This Row],[Rank]],Stammdaten[Rank Verteilung Abholzigkeit],0))</f>
        <v>#N/A</v>
      </c>
      <c r="N2873" t="e">
        <f>VLOOKUP(Tabelle9[[#This Row],[Rank]],Stammdaten[[Rank Verteilung Abholzigkeit]:[Verteilung Abholzigkeit]],2,FALSE)</f>
        <v>#N/A</v>
      </c>
      <c r="S2873">
        <v>2864</v>
      </c>
      <c r="T2873" t="e">
        <f>INDEX(Stammdaten[Krümmung (mm/lfm)],MATCH(Tabelle10[[#This Row],[Rank]],Stammdaten[Rank Verteilung Krümmung],0))</f>
        <v>#N/A</v>
      </c>
      <c r="U2873" t="e">
        <f>VLOOKUP(Tabelle10[[#This Row],[Rank]],Stammdaten[[Rank Verteilung Krümmung]:[Verteilung Krümmung]],2,FALSE)</f>
        <v>#N/A</v>
      </c>
      <c r="Z2873">
        <v>2864</v>
      </c>
      <c r="AA2873" t="e">
        <f>INDEX(Stammdaten[Ovalität (']0,1'])],MATCH(Tabelle1014[[#This Row],[Rank]],Stammdaten[Rank Verteilung Ovalität],0))</f>
        <v>#N/A</v>
      </c>
      <c r="AB2873" t="e">
        <f>VLOOKUP(Tabelle1014[[#This Row],[Rank]],Stammdaten[[Rank Verteilung Ovalität]:[Verteilung Ovalität]],2,FALSE)</f>
        <v>#N/A</v>
      </c>
    </row>
    <row r="2874" spans="5:28" x14ac:dyDescent="0.35">
      <c r="E2874">
        <v>2865</v>
      </c>
      <c r="F2874" t="e">
        <f>INDEX(Stammdaten[D Mitte mit Rinde (mm)],MATCH(Tabelle8[[#This Row],[Rank]],Stammdaten[Rank Verteilung D Mitte mit Rinde],0))</f>
        <v>#N/A</v>
      </c>
      <c r="G2874" t="e">
        <f>VLOOKUP(Tabelle8[[#This Row],[Rank]],Stammdaten[[Rank Verteilung D Mitte mit Rinde]:[Verteilung D Mitte mit Rinde]],2,FALSE)</f>
        <v>#N/A</v>
      </c>
      <c r="L2874">
        <v>2865</v>
      </c>
      <c r="M2874" t="e">
        <f>INDEX(Stammdaten[Abholzigkeit (mm/lfm)],MATCH(Tabelle9[[#This Row],[Rank]],Stammdaten[Rank Verteilung Abholzigkeit],0))</f>
        <v>#N/A</v>
      </c>
      <c r="N2874" t="e">
        <f>VLOOKUP(Tabelle9[[#This Row],[Rank]],Stammdaten[[Rank Verteilung Abholzigkeit]:[Verteilung Abholzigkeit]],2,FALSE)</f>
        <v>#N/A</v>
      </c>
      <c r="S2874">
        <v>2865</v>
      </c>
      <c r="T2874" t="e">
        <f>INDEX(Stammdaten[Krümmung (mm/lfm)],MATCH(Tabelle10[[#This Row],[Rank]],Stammdaten[Rank Verteilung Krümmung],0))</f>
        <v>#N/A</v>
      </c>
      <c r="U2874" t="e">
        <f>VLOOKUP(Tabelle10[[#This Row],[Rank]],Stammdaten[[Rank Verteilung Krümmung]:[Verteilung Krümmung]],2,FALSE)</f>
        <v>#N/A</v>
      </c>
      <c r="Z2874">
        <v>2865</v>
      </c>
      <c r="AA2874" t="e">
        <f>INDEX(Stammdaten[Ovalität (']0,1'])],MATCH(Tabelle1014[[#This Row],[Rank]],Stammdaten[Rank Verteilung Ovalität],0))</f>
        <v>#N/A</v>
      </c>
      <c r="AB2874" t="e">
        <f>VLOOKUP(Tabelle1014[[#This Row],[Rank]],Stammdaten[[Rank Verteilung Ovalität]:[Verteilung Ovalität]],2,FALSE)</f>
        <v>#N/A</v>
      </c>
    </row>
    <row r="2875" spans="5:28" x14ac:dyDescent="0.35">
      <c r="E2875">
        <v>2866</v>
      </c>
      <c r="F2875" t="e">
        <f>INDEX(Stammdaten[D Mitte mit Rinde (mm)],MATCH(Tabelle8[[#This Row],[Rank]],Stammdaten[Rank Verteilung D Mitte mit Rinde],0))</f>
        <v>#N/A</v>
      </c>
      <c r="G2875" t="e">
        <f>VLOOKUP(Tabelle8[[#This Row],[Rank]],Stammdaten[[Rank Verteilung D Mitte mit Rinde]:[Verteilung D Mitte mit Rinde]],2,FALSE)</f>
        <v>#N/A</v>
      </c>
      <c r="L2875">
        <v>2866</v>
      </c>
      <c r="M2875" t="e">
        <f>INDEX(Stammdaten[Abholzigkeit (mm/lfm)],MATCH(Tabelle9[[#This Row],[Rank]],Stammdaten[Rank Verteilung Abholzigkeit],0))</f>
        <v>#N/A</v>
      </c>
      <c r="N2875" t="e">
        <f>VLOOKUP(Tabelle9[[#This Row],[Rank]],Stammdaten[[Rank Verteilung Abholzigkeit]:[Verteilung Abholzigkeit]],2,FALSE)</f>
        <v>#N/A</v>
      </c>
      <c r="S2875">
        <v>2866</v>
      </c>
      <c r="T2875" t="e">
        <f>INDEX(Stammdaten[Krümmung (mm/lfm)],MATCH(Tabelle10[[#This Row],[Rank]],Stammdaten[Rank Verteilung Krümmung],0))</f>
        <v>#N/A</v>
      </c>
      <c r="U2875" t="e">
        <f>VLOOKUP(Tabelle10[[#This Row],[Rank]],Stammdaten[[Rank Verteilung Krümmung]:[Verteilung Krümmung]],2,FALSE)</f>
        <v>#N/A</v>
      </c>
      <c r="Z2875">
        <v>2866</v>
      </c>
      <c r="AA2875" t="e">
        <f>INDEX(Stammdaten[Ovalität (']0,1'])],MATCH(Tabelle1014[[#This Row],[Rank]],Stammdaten[Rank Verteilung Ovalität],0))</f>
        <v>#N/A</v>
      </c>
      <c r="AB2875" t="e">
        <f>VLOOKUP(Tabelle1014[[#This Row],[Rank]],Stammdaten[[Rank Verteilung Ovalität]:[Verteilung Ovalität]],2,FALSE)</f>
        <v>#N/A</v>
      </c>
    </row>
    <row r="2876" spans="5:28" x14ac:dyDescent="0.35">
      <c r="E2876">
        <v>2867</v>
      </c>
      <c r="F2876" t="e">
        <f>INDEX(Stammdaten[D Mitte mit Rinde (mm)],MATCH(Tabelle8[[#This Row],[Rank]],Stammdaten[Rank Verteilung D Mitte mit Rinde],0))</f>
        <v>#N/A</v>
      </c>
      <c r="G2876" t="e">
        <f>VLOOKUP(Tabelle8[[#This Row],[Rank]],Stammdaten[[Rank Verteilung D Mitte mit Rinde]:[Verteilung D Mitte mit Rinde]],2,FALSE)</f>
        <v>#N/A</v>
      </c>
      <c r="L2876">
        <v>2867</v>
      </c>
      <c r="M2876" t="e">
        <f>INDEX(Stammdaten[Abholzigkeit (mm/lfm)],MATCH(Tabelle9[[#This Row],[Rank]],Stammdaten[Rank Verteilung Abholzigkeit],0))</f>
        <v>#N/A</v>
      </c>
      <c r="N2876" t="e">
        <f>VLOOKUP(Tabelle9[[#This Row],[Rank]],Stammdaten[[Rank Verteilung Abholzigkeit]:[Verteilung Abholzigkeit]],2,FALSE)</f>
        <v>#N/A</v>
      </c>
      <c r="S2876">
        <v>2867</v>
      </c>
      <c r="T2876" t="e">
        <f>INDEX(Stammdaten[Krümmung (mm/lfm)],MATCH(Tabelle10[[#This Row],[Rank]],Stammdaten[Rank Verteilung Krümmung],0))</f>
        <v>#N/A</v>
      </c>
      <c r="U2876" t="e">
        <f>VLOOKUP(Tabelle10[[#This Row],[Rank]],Stammdaten[[Rank Verteilung Krümmung]:[Verteilung Krümmung]],2,FALSE)</f>
        <v>#N/A</v>
      </c>
      <c r="Z2876">
        <v>2867</v>
      </c>
      <c r="AA2876" t="e">
        <f>INDEX(Stammdaten[Ovalität (']0,1'])],MATCH(Tabelle1014[[#This Row],[Rank]],Stammdaten[Rank Verteilung Ovalität],0))</f>
        <v>#N/A</v>
      </c>
      <c r="AB2876" t="e">
        <f>VLOOKUP(Tabelle1014[[#This Row],[Rank]],Stammdaten[[Rank Verteilung Ovalität]:[Verteilung Ovalität]],2,FALSE)</f>
        <v>#N/A</v>
      </c>
    </row>
    <row r="2877" spans="5:28" x14ac:dyDescent="0.35">
      <c r="E2877">
        <v>2868</v>
      </c>
      <c r="F2877" t="e">
        <f>INDEX(Stammdaten[D Mitte mit Rinde (mm)],MATCH(Tabelle8[[#This Row],[Rank]],Stammdaten[Rank Verteilung D Mitte mit Rinde],0))</f>
        <v>#N/A</v>
      </c>
      <c r="G2877" t="e">
        <f>VLOOKUP(Tabelle8[[#This Row],[Rank]],Stammdaten[[Rank Verteilung D Mitte mit Rinde]:[Verteilung D Mitte mit Rinde]],2,FALSE)</f>
        <v>#N/A</v>
      </c>
      <c r="L2877">
        <v>2868</v>
      </c>
      <c r="M2877" t="e">
        <f>INDEX(Stammdaten[Abholzigkeit (mm/lfm)],MATCH(Tabelle9[[#This Row],[Rank]],Stammdaten[Rank Verteilung Abholzigkeit],0))</f>
        <v>#N/A</v>
      </c>
      <c r="N2877" t="e">
        <f>VLOOKUP(Tabelle9[[#This Row],[Rank]],Stammdaten[[Rank Verteilung Abholzigkeit]:[Verteilung Abholzigkeit]],2,FALSE)</f>
        <v>#N/A</v>
      </c>
      <c r="S2877">
        <v>2868</v>
      </c>
      <c r="T2877" t="e">
        <f>INDEX(Stammdaten[Krümmung (mm/lfm)],MATCH(Tabelle10[[#This Row],[Rank]],Stammdaten[Rank Verteilung Krümmung],0))</f>
        <v>#N/A</v>
      </c>
      <c r="U2877" t="e">
        <f>VLOOKUP(Tabelle10[[#This Row],[Rank]],Stammdaten[[Rank Verteilung Krümmung]:[Verteilung Krümmung]],2,FALSE)</f>
        <v>#N/A</v>
      </c>
      <c r="Z2877">
        <v>2868</v>
      </c>
      <c r="AA2877" t="e">
        <f>INDEX(Stammdaten[Ovalität (']0,1'])],MATCH(Tabelle1014[[#This Row],[Rank]],Stammdaten[Rank Verteilung Ovalität],0))</f>
        <v>#N/A</v>
      </c>
      <c r="AB2877" t="e">
        <f>VLOOKUP(Tabelle1014[[#This Row],[Rank]],Stammdaten[[Rank Verteilung Ovalität]:[Verteilung Ovalität]],2,FALSE)</f>
        <v>#N/A</v>
      </c>
    </row>
    <row r="2878" spans="5:28" x14ac:dyDescent="0.35">
      <c r="E2878">
        <v>2869</v>
      </c>
      <c r="F2878" t="e">
        <f>INDEX(Stammdaten[D Mitte mit Rinde (mm)],MATCH(Tabelle8[[#This Row],[Rank]],Stammdaten[Rank Verteilung D Mitte mit Rinde],0))</f>
        <v>#N/A</v>
      </c>
      <c r="G2878" t="e">
        <f>VLOOKUP(Tabelle8[[#This Row],[Rank]],Stammdaten[[Rank Verteilung D Mitte mit Rinde]:[Verteilung D Mitte mit Rinde]],2,FALSE)</f>
        <v>#N/A</v>
      </c>
      <c r="L2878">
        <v>2869</v>
      </c>
      <c r="M2878" t="e">
        <f>INDEX(Stammdaten[Abholzigkeit (mm/lfm)],MATCH(Tabelle9[[#This Row],[Rank]],Stammdaten[Rank Verteilung Abholzigkeit],0))</f>
        <v>#N/A</v>
      </c>
      <c r="N2878" t="e">
        <f>VLOOKUP(Tabelle9[[#This Row],[Rank]],Stammdaten[[Rank Verteilung Abholzigkeit]:[Verteilung Abholzigkeit]],2,FALSE)</f>
        <v>#N/A</v>
      </c>
      <c r="S2878">
        <v>2869</v>
      </c>
      <c r="T2878" t="e">
        <f>INDEX(Stammdaten[Krümmung (mm/lfm)],MATCH(Tabelle10[[#This Row],[Rank]],Stammdaten[Rank Verteilung Krümmung],0))</f>
        <v>#N/A</v>
      </c>
      <c r="U2878" t="e">
        <f>VLOOKUP(Tabelle10[[#This Row],[Rank]],Stammdaten[[Rank Verteilung Krümmung]:[Verteilung Krümmung]],2,FALSE)</f>
        <v>#N/A</v>
      </c>
      <c r="Z2878">
        <v>2869</v>
      </c>
      <c r="AA2878" t="e">
        <f>INDEX(Stammdaten[Ovalität (']0,1'])],MATCH(Tabelle1014[[#This Row],[Rank]],Stammdaten[Rank Verteilung Ovalität],0))</f>
        <v>#N/A</v>
      </c>
      <c r="AB2878" t="e">
        <f>VLOOKUP(Tabelle1014[[#This Row],[Rank]],Stammdaten[[Rank Verteilung Ovalität]:[Verteilung Ovalität]],2,FALSE)</f>
        <v>#N/A</v>
      </c>
    </row>
    <row r="2879" spans="5:28" x14ac:dyDescent="0.35">
      <c r="E2879">
        <v>2870</v>
      </c>
      <c r="F2879" t="e">
        <f>INDEX(Stammdaten[D Mitte mit Rinde (mm)],MATCH(Tabelle8[[#This Row],[Rank]],Stammdaten[Rank Verteilung D Mitte mit Rinde],0))</f>
        <v>#N/A</v>
      </c>
      <c r="G2879" t="e">
        <f>VLOOKUP(Tabelle8[[#This Row],[Rank]],Stammdaten[[Rank Verteilung D Mitte mit Rinde]:[Verteilung D Mitte mit Rinde]],2,FALSE)</f>
        <v>#N/A</v>
      </c>
      <c r="L2879">
        <v>2870</v>
      </c>
      <c r="M2879" t="e">
        <f>INDEX(Stammdaten[Abholzigkeit (mm/lfm)],MATCH(Tabelle9[[#This Row],[Rank]],Stammdaten[Rank Verteilung Abholzigkeit],0))</f>
        <v>#N/A</v>
      </c>
      <c r="N2879" t="e">
        <f>VLOOKUP(Tabelle9[[#This Row],[Rank]],Stammdaten[[Rank Verteilung Abholzigkeit]:[Verteilung Abholzigkeit]],2,FALSE)</f>
        <v>#N/A</v>
      </c>
      <c r="S2879">
        <v>2870</v>
      </c>
      <c r="T2879" t="e">
        <f>INDEX(Stammdaten[Krümmung (mm/lfm)],MATCH(Tabelle10[[#This Row],[Rank]],Stammdaten[Rank Verteilung Krümmung],0))</f>
        <v>#N/A</v>
      </c>
      <c r="U2879" t="e">
        <f>VLOOKUP(Tabelle10[[#This Row],[Rank]],Stammdaten[[Rank Verteilung Krümmung]:[Verteilung Krümmung]],2,FALSE)</f>
        <v>#N/A</v>
      </c>
      <c r="Z2879">
        <v>2870</v>
      </c>
      <c r="AA2879" t="e">
        <f>INDEX(Stammdaten[Ovalität (']0,1'])],MATCH(Tabelle1014[[#This Row],[Rank]],Stammdaten[Rank Verteilung Ovalität],0))</f>
        <v>#N/A</v>
      </c>
      <c r="AB2879" t="e">
        <f>VLOOKUP(Tabelle1014[[#This Row],[Rank]],Stammdaten[[Rank Verteilung Ovalität]:[Verteilung Ovalität]],2,FALSE)</f>
        <v>#N/A</v>
      </c>
    </row>
    <row r="2880" spans="5:28" x14ac:dyDescent="0.35">
      <c r="E2880">
        <v>2871</v>
      </c>
      <c r="F2880" t="e">
        <f>INDEX(Stammdaten[D Mitte mit Rinde (mm)],MATCH(Tabelle8[[#This Row],[Rank]],Stammdaten[Rank Verteilung D Mitte mit Rinde],0))</f>
        <v>#N/A</v>
      </c>
      <c r="G2880" t="e">
        <f>VLOOKUP(Tabelle8[[#This Row],[Rank]],Stammdaten[[Rank Verteilung D Mitte mit Rinde]:[Verteilung D Mitte mit Rinde]],2,FALSE)</f>
        <v>#N/A</v>
      </c>
      <c r="L2880">
        <v>2871</v>
      </c>
      <c r="M2880" t="e">
        <f>INDEX(Stammdaten[Abholzigkeit (mm/lfm)],MATCH(Tabelle9[[#This Row],[Rank]],Stammdaten[Rank Verteilung Abholzigkeit],0))</f>
        <v>#N/A</v>
      </c>
      <c r="N2880" t="e">
        <f>VLOOKUP(Tabelle9[[#This Row],[Rank]],Stammdaten[[Rank Verteilung Abholzigkeit]:[Verteilung Abholzigkeit]],2,FALSE)</f>
        <v>#N/A</v>
      </c>
      <c r="S2880">
        <v>2871</v>
      </c>
      <c r="T2880" t="e">
        <f>INDEX(Stammdaten[Krümmung (mm/lfm)],MATCH(Tabelle10[[#This Row],[Rank]],Stammdaten[Rank Verteilung Krümmung],0))</f>
        <v>#N/A</v>
      </c>
      <c r="U2880" t="e">
        <f>VLOOKUP(Tabelle10[[#This Row],[Rank]],Stammdaten[[Rank Verteilung Krümmung]:[Verteilung Krümmung]],2,FALSE)</f>
        <v>#N/A</v>
      </c>
      <c r="Z2880">
        <v>2871</v>
      </c>
      <c r="AA2880" t="e">
        <f>INDEX(Stammdaten[Ovalität (']0,1'])],MATCH(Tabelle1014[[#This Row],[Rank]],Stammdaten[Rank Verteilung Ovalität],0))</f>
        <v>#N/A</v>
      </c>
      <c r="AB2880" t="e">
        <f>VLOOKUP(Tabelle1014[[#This Row],[Rank]],Stammdaten[[Rank Verteilung Ovalität]:[Verteilung Ovalität]],2,FALSE)</f>
        <v>#N/A</v>
      </c>
    </row>
    <row r="2881" spans="5:28" x14ac:dyDescent="0.35">
      <c r="E2881">
        <v>2872</v>
      </c>
      <c r="F2881" t="e">
        <f>INDEX(Stammdaten[D Mitte mit Rinde (mm)],MATCH(Tabelle8[[#This Row],[Rank]],Stammdaten[Rank Verteilung D Mitte mit Rinde],0))</f>
        <v>#N/A</v>
      </c>
      <c r="G2881" t="e">
        <f>VLOOKUP(Tabelle8[[#This Row],[Rank]],Stammdaten[[Rank Verteilung D Mitte mit Rinde]:[Verteilung D Mitte mit Rinde]],2,FALSE)</f>
        <v>#N/A</v>
      </c>
      <c r="L2881">
        <v>2872</v>
      </c>
      <c r="M2881" t="e">
        <f>INDEX(Stammdaten[Abholzigkeit (mm/lfm)],MATCH(Tabelle9[[#This Row],[Rank]],Stammdaten[Rank Verteilung Abholzigkeit],0))</f>
        <v>#N/A</v>
      </c>
      <c r="N2881" t="e">
        <f>VLOOKUP(Tabelle9[[#This Row],[Rank]],Stammdaten[[Rank Verteilung Abholzigkeit]:[Verteilung Abholzigkeit]],2,FALSE)</f>
        <v>#N/A</v>
      </c>
      <c r="S2881">
        <v>2872</v>
      </c>
      <c r="T2881" t="e">
        <f>INDEX(Stammdaten[Krümmung (mm/lfm)],MATCH(Tabelle10[[#This Row],[Rank]],Stammdaten[Rank Verteilung Krümmung],0))</f>
        <v>#N/A</v>
      </c>
      <c r="U2881" t="e">
        <f>VLOOKUP(Tabelle10[[#This Row],[Rank]],Stammdaten[[Rank Verteilung Krümmung]:[Verteilung Krümmung]],2,FALSE)</f>
        <v>#N/A</v>
      </c>
      <c r="Z2881">
        <v>2872</v>
      </c>
      <c r="AA2881" t="e">
        <f>INDEX(Stammdaten[Ovalität (']0,1'])],MATCH(Tabelle1014[[#This Row],[Rank]],Stammdaten[Rank Verteilung Ovalität],0))</f>
        <v>#N/A</v>
      </c>
      <c r="AB2881" t="e">
        <f>VLOOKUP(Tabelle1014[[#This Row],[Rank]],Stammdaten[[Rank Verteilung Ovalität]:[Verteilung Ovalität]],2,FALSE)</f>
        <v>#N/A</v>
      </c>
    </row>
    <row r="2882" spans="5:28" x14ac:dyDescent="0.35">
      <c r="E2882">
        <v>2873</v>
      </c>
      <c r="F2882" t="e">
        <f>INDEX(Stammdaten[D Mitte mit Rinde (mm)],MATCH(Tabelle8[[#This Row],[Rank]],Stammdaten[Rank Verteilung D Mitte mit Rinde],0))</f>
        <v>#N/A</v>
      </c>
      <c r="G2882" t="e">
        <f>VLOOKUP(Tabelle8[[#This Row],[Rank]],Stammdaten[[Rank Verteilung D Mitte mit Rinde]:[Verteilung D Mitte mit Rinde]],2,FALSE)</f>
        <v>#N/A</v>
      </c>
      <c r="L2882">
        <v>2873</v>
      </c>
      <c r="M2882" t="e">
        <f>INDEX(Stammdaten[Abholzigkeit (mm/lfm)],MATCH(Tabelle9[[#This Row],[Rank]],Stammdaten[Rank Verteilung Abholzigkeit],0))</f>
        <v>#N/A</v>
      </c>
      <c r="N2882" t="e">
        <f>VLOOKUP(Tabelle9[[#This Row],[Rank]],Stammdaten[[Rank Verteilung Abholzigkeit]:[Verteilung Abholzigkeit]],2,FALSE)</f>
        <v>#N/A</v>
      </c>
      <c r="S2882">
        <v>2873</v>
      </c>
      <c r="T2882" t="e">
        <f>INDEX(Stammdaten[Krümmung (mm/lfm)],MATCH(Tabelle10[[#This Row],[Rank]],Stammdaten[Rank Verteilung Krümmung],0))</f>
        <v>#N/A</v>
      </c>
      <c r="U2882" t="e">
        <f>VLOOKUP(Tabelle10[[#This Row],[Rank]],Stammdaten[[Rank Verteilung Krümmung]:[Verteilung Krümmung]],2,FALSE)</f>
        <v>#N/A</v>
      </c>
      <c r="Z2882">
        <v>2873</v>
      </c>
      <c r="AA2882" t="e">
        <f>INDEX(Stammdaten[Ovalität (']0,1'])],MATCH(Tabelle1014[[#This Row],[Rank]],Stammdaten[Rank Verteilung Ovalität],0))</f>
        <v>#N/A</v>
      </c>
      <c r="AB2882" t="e">
        <f>VLOOKUP(Tabelle1014[[#This Row],[Rank]],Stammdaten[[Rank Verteilung Ovalität]:[Verteilung Ovalität]],2,FALSE)</f>
        <v>#N/A</v>
      </c>
    </row>
    <row r="2883" spans="5:28" x14ac:dyDescent="0.35">
      <c r="E2883">
        <v>2874</v>
      </c>
      <c r="F2883" t="e">
        <f>INDEX(Stammdaten[D Mitte mit Rinde (mm)],MATCH(Tabelle8[[#This Row],[Rank]],Stammdaten[Rank Verteilung D Mitte mit Rinde],0))</f>
        <v>#N/A</v>
      </c>
      <c r="G2883" t="e">
        <f>VLOOKUP(Tabelle8[[#This Row],[Rank]],Stammdaten[[Rank Verteilung D Mitte mit Rinde]:[Verteilung D Mitte mit Rinde]],2,FALSE)</f>
        <v>#N/A</v>
      </c>
      <c r="L2883">
        <v>2874</v>
      </c>
      <c r="M2883" t="e">
        <f>INDEX(Stammdaten[Abholzigkeit (mm/lfm)],MATCH(Tabelle9[[#This Row],[Rank]],Stammdaten[Rank Verteilung Abholzigkeit],0))</f>
        <v>#N/A</v>
      </c>
      <c r="N2883" t="e">
        <f>VLOOKUP(Tabelle9[[#This Row],[Rank]],Stammdaten[[Rank Verteilung Abholzigkeit]:[Verteilung Abholzigkeit]],2,FALSE)</f>
        <v>#N/A</v>
      </c>
      <c r="S2883">
        <v>2874</v>
      </c>
      <c r="T2883" t="e">
        <f>INDEX(Stammdaten[Krümmung (mm/lfm)],MATCH(Tabelle10[[#This Row],[Rank]],Stammdaten[Rank Verteilung Krümmung],0))</f>
        <v>#N/A</v>
      </c>
      <c r="U2883" t="e">
        <f>VLOOKUP(Tabelle10[[#This Row],[Rank]],Stammdaten[[Rank Verteilung Krümmung]:[Verteilung Krümmung]],2,FALSE)</f>
        <v>#N/A</v>
      </c>
      <c r="Z2883">
        <v>2874</v>
      </c>
      <c r="AA2883" t="e">
        <f>INDEX(Stammdaten[Ovalität (']0,1'])],MATCH(Tabelle1014[[#This Row],[Rank]],Stammdaten[Rank Verteilung Ovalität],0))</f>
        <v>#N/A</v>
      </c>
      <c r="AB2883" t="e">
        <f>VLOOKUP(Tabelle1014[[#This Row],[Rank]],Stammdaten[[Rank Verteilung Ovalität]:[Verteilung Ovalität]],2,FALSE)</f>
        <v>#N/A</v>
      </c>
    </row>
    <row r="2884" spans="5:28" x14ac:dyDescent="0.35">
      <c r="E2884">
        <v>2875</v>
      </c>
      <c r="F2884" t="e">
        <f>INDEX(Stammdaten[D Mitte mit Rinde (mm)],MATCH(Tabelle8[[#This Row],[Rank]],Stammdaten[Rank Verteilung D Mitte mit Rinde],0))</f>
        <v>#N/A</v>
      </c>
      <c r="G2884" t="e">
        <f>VLOOKUP(Tabelle8[[#This Row],[Rank]],Stammdaten[[Rank Verteilung D Mitte mit Rinde]:[Verteilung D Mitte mit Rinde]],2,FALSE)</f>
        <v>#N/A</v>
      </c>
      <c r="L2884">
        <v>2875</v>
      </c>
      <c r="M2884" t="e">
        <f>INDEX(Stammdaten[Abholzigkeit (mm/lfm)],MATCH(Tabelle9[[#This Row],[Rank]],Stammdaten[Rank Verteilung Abholzigkeit],0))</f>
        <v>#N/A</v>
      </c>
      <c r="N2884" t="e">
        <f>VLOOKUP(Tabelle9[[#This Row],[Rank]],Stammdaten[[Rank Verteilung Abholzigkeit]:[Verteilung Abholzigkeit]],2,FALSE)</f>
        <v>#N/A</v>
      </c>
      <c r="S2884">
        <v>2875</v>
      </c>
      <c r="T2884" t="e">
        <f>INDEX(Stammdaten[Krümmung (mm/lfm)],MATCH(Tabelle10[[#This Row],[Rank]],Stammdaten[Rank Verteilung Krümmung],0))</f>
        <v>#N/A</v>
      </c>
      <c r="U2884" t="e">
        <f>VLOOKUP(Tabelle10[[#This Row],[Rank]],Stammdaten[[Rank Verteilung Krümmung]:[Verteilung Krümmung]],2,FALSE)</f>
        <v>#N/A</v>
      </c>
      <c r="Z2884">
        <v>2875</v>
      </c>
      <c r="AA2884" t="e">
        <f>INDEX(Stammdaten[Ovalität (']0,1'])],MATCH(Tabelle1014[[#This Row],[Rank]],Stammdaten[Rank Verteilung Ovalität],0))</f>
        <v>#N/A</v>
      </c>
      <c r="AB2884" t="e">
        <f>VLOOKUP(Tabelle1014[[#This Row],[Rank]],Stammdaten[[Rank Verteilung Ovalität]:[Verteilung Ovalität]],2,FALSE)</f>
        <v>#N/A</v>
      </c>
    </row>
    <row r="2885" spans="5:28" x14ac:dyDescent="0.35">
      <c r="E2885">
        <v>2876</v>
      </c>
      <c r="F2885" t="e">
        <f>INDEX(Stammdaten[D Mitte mit Rinde (mm)],MATCH(Tabelle8[[#This Row],[Rank]],Stammdaten[Rank Verteilung D Mitte mit Rinde],0))</f>
        <v>#N/A</v>
      </c>
      <c r="G2885" t="e">
        <f>VLOOKUP(Tabelle8[[#This Row],[Rank]],Stammdaten[[Rank Verteilung D Mitte mit Rinde]:[Verteilung D Mitte mit Rinde]],2,FALSE)</f>
        <v>#N/A</v>
      </c>
      <c r="L2885">
        <v>2876</v>
      </c>
      <c r="M2885" t="e">
        <f>INDEX(Stammdaten[Abholzigkeit (mm/lfm)],MATCH(Tabelle9[[#This Row],[Rank]],Stammdaten[Rank Verteilung Abholzigkeit],0))</f>
        <v>#N/A</v>
      </c>
      <c r="N2885" t="e">
        <f>VLOOKUP(Tabelle9[[#This Row],[Rank]],Stammdaten[[Rank Verteilung Abholzigkeit]:[Verteilung Abholzigkeit]],2,FALSE)</f>
        <v>#N/A</v>
      </c>
      <c r="S2885">
        <v>2876</v>
      </c>
      <c r="T2885" t="e">
        <f>INDEX(Stammdaten[Krümmung (mm/lfm)],MATCH(Tabelle10[[#This Row],[Rank]],Stammdaten[Rank Verteilung Krümmung],0))</f>
        <v>#N/A</v>
      </c>
      <c r="U2885" t="e">
        <f>VLOOKUP(Tabelle10[[#This Row],[Rank]],Stammdaten[[Rank Verteilung Krümmung]:[Verteilung Krümmung]],2,FALSE)</f>
        <v>#N/A</v>
      </c>
      <c r="Z2885">
        <v>2876</v>
      </c>
      <c r="AA2885" t="e">
        <f>INDEX(Stammdaten[Ovalität (']0,1'])],MATCH(Tabelle1014[[#This Row],[Rank]],Stammdaten[Rank Verteilung Ovalität],0))</f>
        <v>#N/A</v>
      </c>
      <c r="AB2885" t="e">
        <f>VLOOKUP(Tabelle1014[[#This Row],[Rank]],Stammdaten[[Rank Verteilung Ovalität]:[Verteilung Ovalität]],2,FALSE)</f>
        <v>#N/A</v>
      </c>
    </row>
    <row r="2886" spans="5:28" x14ac:dyDescent="0.35">
      <c r="E2886">
        <v>2877</v>
      </c>
      <c r="F2886" t="e">
        <f>INDEX(Stammdaten[D Mitte mit Rinde (mm)],MATCH(Tabelle8[[#This Row],[Rank]],Stammdaten[Rank Verteilung D Mitte mit Rinde],0))</f>
        <v>#N/A</v>
      </c>
      <c r="G2886" t="e">
        <f>VLOOKUP(Tabelle8[[#This Row],[Rank]],Stammdaten[[Rank Verteilung D Mitte mit Rinde]:[Verteilung D Mitte mit Rinde]],2,FALSE)</f>
        <v>#N/A</v>
      </c>
      <c r="L2886">
        <v>2877</v>
      </c>
      <c r="M2886" t="e">
        <f>INDEX(Stammdaten[Abholzigkeit (mm/lfm)],MATCH(Tabelle9[[#This Row],[Rank]],Stammdaten[Rank Verteilung Abholzigkeit],0))</f>
        <v>#N/A</v>
      </c>
      <c r="N2886" t="e">
        <f>VLOOKUP(Tabelle9[[#This Row],[Rank]],Stammdaten[[Rank Verteilung Abholzigkeit]:[Verteilung Abholzigkeit]],2,FALSE)</f>
        <v>#N/A</v>
      </c>
      <c r="S2886">
        <v>2877</v>
      </c>
      <c r="T2886" t="e">
        <f>INDEX(Stammdaten[Krümmung (mm/lfm)],MATCH(Tabelle10[[#This Row],[Rank]],Stammdaten[Rank Verteilung Krümmung],0))</f>
        <v>#N/A</v>
      </c>
      <c r="U2886" t="e">
        <f>VLOOKUP(Tabelle10[[#This Row],[Rank]],Stammdaten[[Rank Verteilung Krümmung]:[Verteilung Krümmung]],2,FALSE)</f>
        <v>#N/A</v>
      </c>
      <c r="Z2886">
        <v>2877</v>
      </c>
      <c r="AA2886" t="e">
        <f>INDEX(Stammdaten[Ovalität (']0,1'])],MATCH(Tabelle1014[[#This Row],[Rank]],Stammdaten[Rank Verteilung Ovalität],0))</f>
        <v>#N/A</v>
      </c>
      <c r="AB2886" t="e">
        <f>VLOOKUP(Tabelle1014[[#This Row],[Rank]],Stammdaten[[Rank Verteilung Ovalität]:[Verteilung Ovalität]],2,FALSE)</f>
        <v>#N/A</v>
      </c>
    </row>
    <row r="2887" spans="5:28" x14ac:dyDescent="0.35">
      <c r="E2887">
        <v>2878</v>
      </c>
      <c r="F2887" t="e">
        <f>INDEX(Stammdaten[D Mitte mit Rinde (mm)],MATCH(Tabelle8[[#This Row],[Rank]],Stammdaten[Rank Verteilung D Mitte mit Rinde],0))</f>
        <v>#N/A</v>
      </c>
      <c r="G2887" t="e">
        <f>VLOOKUP(Tabelle8[[#This Row],[Rank]],Stammdaten[[Rank Verteilung D Mitte mit Rinde]:[Verteilung D Mitte mit Rinde]],2,FALSE)</f>
        <v>#N/A</v>
      </c>
      <c r="L2887">
        <v>2878</v>
      </c>
      <c r="M2887" t="e">
        <f>INDEX(Stammdaten[Abholzigkeit (mm/lfm)],MATCH(Tabelle9[[#This Row],[Rank]],Stammdaten[Rank Verteilung Abholzigkeit],0))</f>
        <v>#N/A</v>
      </c>
      <c r="N2887" t="e">
        <f>VLOOKUP(Tabelle9[[#This Row],[Rank]],Stammdaten[[Rank Verteilung Abholzigkeit]:[Verteilung Abholzigkeit]],2,FALSE)</f>
        <v>#N/A</v>
      </c>
      <c r="S2887">
        <v>2878</v>
      </c>
      <c r="T2887" t="e">
        <f>INDEX(Stammdaten[Krümmung (mm/lfm)],MATCH(Tabelle10[[#This Row],[Rank]],Stammdaten[Rank Verteilung Krümmung],0))</f>
        <v>#N/A</v>
      </c>
      <c r="U2887" t="e">
        <f>VLOOKUP(Tabelle10[[#This Row],[Rank]],Stammdaten[[Rank Verteilung Krümmung]:[Verteilung Krümmung]],2,FALSE)</f>
        <v>#N/A</v>
      </c>
      <c r="Z2887">
        <v>2878</v>
      </c>
      <c r="AA2887" t="e">
        <f>INDEX(Stammdaten[Ovalität (']0,1'])],MATCH(Tabelle1014[[#This Row],[Rank]],Stammdaten[Rank Verteilung Ovalität],0))</f>
        <v>#N/A</v>
      </c>
      <c r="AB2887" t="e">
        <f>VLOOKUP(Tabelle1014[[#This Row],[Rank]],Stammdaten[[Rank Verteilung Ovalität]:[Verteilung Ovalität]],2,FALSE)</f>
        <v>#N/A</v>
      </c>
    </row>
    <row r="2888" spans="5:28" x14ac:dyDescent="0.35">
      <c r="E2888">
        <v>2879</v>
      </c>
      <c r="F2888" t="e">
        <f>INDEX(Stammdaten[D Mitte mit Rinde (mm)],MATCH(Tabelle8[[#This Row],[Rank]],Stammdaten[Rank Verteilung D Mitte mit Rinde],0))</f>
        <v>#N/A</v>
      </c>
      <c r="G2888" t="e">
        <f>VLOOKUP(Tabelle8[[#This Row],[Rank]],Stammdaten[[Rank Verteilung D Mitte mit Rinde]:[Verteilung D Mitte mit Rinde]],2,FALSE)</f>
        <v>#N/A</v>
      </c>
      <c r="L2888">
        <v>2879</v>
      </c>
      <c r="M2888" t="e">
        <f>INDEX(Stammdaten[Abholzigkeit (mm/lfm)],MATCH(Tabelle9[[#This Row],[Rank]],Stammdaten[Rank Verteilung Abholzigkeit],0))</f>
        <v>#N/A</v>
      </c>
      <c r="N2888" t="e">
        <f>VLOOKUP(Tabelle9[[#This Row],[Rank]],Stammdaten[[Rank Verteilung Abholzigkeit]:[Verteilung Abholzigkeit]],2,FALSE)</f>
        <v>#N/A</v>
      </c>
      <c r="S2888">
        <v>2879</v>
      </c>
      <c r="T2888" t="e">
        <f>INDEX(Stammdaten[Krümmung (mm/lfm)],MATCH(Tabelle10[[#This Row],[Rank]],Stammdaten[Rank Verteilung Krümmung],0))</f>
        <v>#N/A</v>
      </c>
      <c r="U2888" t="e">
        <f>VLOOKUP(Tabelle10[[#This Row],[Rank]],Stammdaten[[Rank Verteilung Krümmung]:[Verteilung Krümmung]],2,FALSE)</f>
        <v>#N/A</v>
      </c>
      <c r="Z2888">
        <v>2879</v>
      </c>
      <c r="AA2888" t="e">
        <f>INDEX(Stammdaten[Ovalität (']0,1'])],MATCH(Tabelle1014[[#This Row],[Rank]],Stammdaten[Rank Verteilung Ovalität],0))</f>
        <v>#N/A</v>
      </c>
      <c r="AB2888" t="e">
        <f>VLOOKUP(Tabelle1014[[#This Row],[Rank]],Stammdaten[[Rank Verteilung Ovalität]:[Verteilung Ovalität]],2,FALSE)</f>
        <v>#N/A</v>
      </c>
    </row>
    <row r="2889" spans="5:28" x14ac:dyDescent="0.35">
      <c r="E2889">
        <v>2880</v>
      </c>
      <c r="F2889" t="e">
        <f>INDEX(Stammdaten[D Mitte mit Rinde (mm)],MATCH(Tabelle8[[#This Row],[Rank]],Stammdaten[Rank Verteilung D Mitte mit Rinde],0))</f>
        <v>#N/A</v>
      </c>
      <c r="G2889" t="e">
        <f>VLOOKUP(Tabelle8[[#This Row],[Rank]],Stammdaten[[Rank Verteilung D Mitte mit Rinde]:[Verteilung D Mitte mit Rinde]],2,FALSE)</f>
        <v>#N/A</v>
      </c>
      <c r="L2889">
        <v>2880</v>
      </c>
      <c r="M2889" t="e">
        <f>INDEX(Stammdaten[Abholzigkeit (mm/lfm)],MATCH(Tabelle9[[#This Row],[Rank]],Stammdaten[Rank Verteilung Abholzigkeit],0))</f>
        <v>#N/A</v>
      </c>
      <c r="N2889" t="e">
        <f>VLOOKUP(Tabelle9[[#This Row],[Rank]],Stammdaten[[Rank Verteilung Abholzigkeit]:[Verteilung Abholzigkeit]],2,FALSE)</f>
        <v>#N/A</v>
      </c>
      <c r="S2889">
        <v>2880</v>
      </c>
      <c r="T2889" t="e">
        <f>INDEX(Stammdaten[Krümmung (mm/lfm)],MATCH(Tabelle10[[#This Row],[Rank]],Stammdaten[Rank Verteilung Krümmung],0))</f>
        <v>#N/A</v>
      </c>
      <c r="U2889" t="e">
        <f>VLOOKUP(Tabelle10[[#This Row],[Rank]],Stammdaten[[Rank Verteilung Krümmung]:[Verteilung Krümmung]],2,FALSE)</f>
        <v>#N/A</v>
      </c>
      <c r="Z2889">
        <v>2880</v>
      </c>
      <c r="AA2889" t="e">
        <f>INDEX(Stammdaten[Ovalität (']0,1'])],MATCH(Tabelle1014[[#This Row],[Rank]],Stammdaten[Rank Verteilung Ovalität],0))</f>
        <v>#N/A</v>
      </c>
      <c r="AB2889" t="e">
        <f>VLOOKUP(Tabelle1014[[#This Row],[Rank]],Stammdaten[[Rank Verteilung Ovalität]:[Verteilung Ovalität]],2,FALSE)</f>
        <v>#N/A</v>
      </c>
    </row>
    <row r="2890" spans="5:28" x14ac:dyDescent="0.35">
      <c r="E2890">
        <v>2881</v>
      </c>
      <c r="F2890" t="e">
        <f>INDEX(Stammdaten[D Mitte mit Rinde (mm)],MATCH(Tabelle8[[#This Row],[Rank]],Stammdaten[Rank Verteilung D Mitte mit Rinde],0))</f>
        <v>#N/A</v>
      </c>
      <c r="G2890" t="e">
        <f>VLOOKUP(Tabelle8[[#This Row],[Rank]],Stammdaten[[Rank Verteilung D Mitte mit Rinde]:[Verteilung D Mitte mit Rinde]],2,FALSE)</f>
        <v>#N/A</v>
      </c>
      <c r="L2890">
        <v>2881</v>
      </c>
      <c r="M2890" t="e">
        <f>INDEX(Stammdaten[Abholzigkeit (mm/lfm)],MATCH(Tabelle9[[#This Row],[Rank]],Stammdaten[Rank Verteilung Abholzigkeit],0))</f>
        <v>#N/A</v>
      </c>
      <c r="N2890" t="e">
        <f>VLOOKUP(Tabelle9[[#This Row],[Rank]],Stammdaten[[Rank Verteilung Abholzigkeit]:[Verteilung Abholzigkeit]],2,FALSE)</f>
        <v>#N/A</v>
      </c>
      <c r="S2890">
        <v>2881</v>
      </c>
      <c r="T2890" t="e">
        <f>INDEX(Stammdaten[Krümmung (mm/lfm)],MATCH(Tabelle10[[#This Row],[Rank]],Stammdaten[Rank Verteilung Krümmung],0))</f>
        <v>#N/A</v>
      </c>
      <c r="U2890" t="e">
        <f>VLOOKUP(Tabelle10[[#This Row],[Rank]],Stammdaten[[Rank Verteilung Krümmung]:[Verteilung Krümmung]],2,FALSE)</f>
        <v>#N/A</v>
      </c>
      <c r="Z2890">
        <v>2881</v>
      </c>
      <c r="AA2890" t="e">
        <f>INDEX(Stammdaten[Ovalität (']0,1'])],MATCH(Tabelle1014[[#This Row],[Rank]],Stammdaten[Rank Verteilung Ovalität],0))</f>
        <v>#N/A</v>
      </c>
      <c r="AB2890" t="e">
        <f>VLOOKUP(Tabelle1014[[#This Row],[Rank]],Stammdaten[[Rank Verteilung Ovalität]:[Verteilung Ovalität]],2,FALSE)</f>
        <v>#N/A</v>
      </c>
    </row>
    <row r="2891" spans="5:28" x14ac:dyDescent="0.35">
      <c r="E2891">
        <v>2882</v>
      </c>
      <c r="F2891" t="e">
        <f>INDEX(Stammdaten[D Mitte mit Rinde (mm)],MATCH(Tabelle8[[#This Row],[Rank]],Stammdaten[Rank Verteilung D Mitte mit Rinde],0))</f>
        <v>#N/A</v>
      </c>
      <c r="G2891" t="e">
        <f>VLOOKUP(Tabelle8[[#This Row],[Rank]],Stammdaten[[Rank Verteilung D Mitte mit Rinde]:[Verteilung D Mitte mit Rinde]],2,FALSE)</f>
        <v>#N/A</v>
      </c>
      <c r="L2891">
        <v>2882</v>
      </c>
      <c r="M2891" t="e">
        <f>INDEX(Stammdaten[Abholzigkeit (mm/lfm)],MATCH(Tabelle9[[#This Row],[Rank]],Stammdaten[Rank Verteilung Abholzigkeit],0))</f>
        <v>#N/A</v>
      </c>
      <c r="N2891" t="e">
        <f>VLOOKUP(Tabelle9[[#This Row],[Rank]],Stammdaten[[Rank Verteilung Abholzigkeit]:[Verteilung Abholzigkeit]],2,FALSE)</f>
        <v>#N/A</v>
      </c>
      <c r="S2891">
        <v>2882</v>
      </c>
      <c r="T2891" t="e">
        <f>INDEX(Stammdaten[Krümmung (mm/lfm)],MATCH(Tabelle10[[#This Row],[Rank]],Stammdaten[Rank Verteilung Krümmung],0))</f>
        <v>#N/A</v>
      </c>
      <c r="U2891" t="e">
        <f>VLOOKUP(Tabelle10[[#This Row],[Rank]],Stammdaten[[Rank Verteilung Krümmung]:[Verteilung Krümmung]],2,FALSE)</f>
        <v>#N/A</v>
      </c>
      <c r="Z2891">
        <v>2882</v>
      </c>
      <c r="AA2891" t="e">
        <f>INDEX(Stammdaten[Ovalität (']0,1'])],MATCH(Tabelle1014[[#This Row],[Rank]],Stammdaten[Rank Verteilung Ovalität],0))</f>
        <v>#N/A</v>
      </c>
      <c r="AB2891" t="e">
        <f>VLOOKUP(Tabelle1014[[#This Row],[Rank]],Stammdaten[[Rank Verteilung Ovalität]:[Verteilung Ovalität]],2,FALSE)</f>
        <v>#N/A</v>
      </c>
    </row>
    <row r="2892" spans="5:28" x14ac:dyDescent="0.35">
      <c r="E2892">
        <v>2883</v>
      </c>
      <c r="F2892" t="e">
        <f>INDEX(Stammdaten[D Mitte mit Rinde (mm)],MATCH(Tabelle8[[#This Row],[Rank]],Stammdaten[Rank Verteilung D Mitte mit Rinde],0))</f>
        <v>#N/A</v>
      </c>
      <c r="G2892" t="e">
        <f>VLOOKUP(Tabelle8[[#This Row],[Rank]],Stammdaten[[Rank Verteilung D Mitte mit Rinde]:[Verteilung D Mitte mit Rinde]],2,FALSE)</f>
        <v>#N/A</v>
      </c>
      <c r="L2892">
        <v>2883</v>
      </c>
      <c r="M2892" t="e">
        <f>INDEX(Stammdaten[Abholzigkeit (mm/lfm)],MATCH(Tabelle9[[#This Row],[Rank]],Stammdaten[Rank Verteilung Abholzigkeit],0))</f>
        <v>#N/A</v>
      </c>
      <c r="N2892" t="e">
        <f>VLOOKUP(Tabelle9[[#This Row],[Rank]],Stammdaten[[Rank Verteilung Abholzigkeit]:[Verteilung Abholzigkeit]],2,FALSE)</f>
        <v>#N/A</v>
      </c>
      <c r="S2892">
        <v>2883</v>
      </c>
      <c r="T2892" t="e">
        <f>INDEX(Stammdaten[Krümmung (mm/lfm)],MATCH(Tabelle10[[#This Row],[Rank]],Stammdaten[Rank Verteilung Krümmung],0))</f>
        <v>#N/A</v>
      </c>
      <c r="U2892" t="e">
        <f>VLOOKUP(Tabelle10[[#This Row],[Rank]],Stammdaten[[Rank Verteilung Krümmung]:[Verteilung Krümmung]],2,FALSE)</f>
        <v>#N/A</v>
      </c>
      <c r="Z2892">
        <v>2883</v>
      </c>
      <c r="AA2892" t="e">
        <f>INDEX(Stammdaten[Ovalität (']0,1'])],MATCH(Tabelle1014[[#This Row],[Rank]],Stammdaten[Rank Verteilung Ovalität],0))</f>
        <v>#N/A</v>
      </c>
      <c r="AB2892" t="e">
        <f>VLOOKUP(Tabelle1014[[#This Row],[Rank]],Stammdaten[[Rank Verteilung Ovalität]:[Verteilung Ovalität]],2,FALSE)</f>
        <v>#N/A</v>
      </c>
    </row>
    <row r="2893" spans="5:28" x14ac:dyDescent="0.35">
      <c r="E2893">
        <v>2884</v>
      </c>
      <c r="F2893" t="e">
        <f>INDEX(Stammdaten[D Mitte mit Rinde (mm)],MATCH(Tabelle8[[#This Row],[Rank]],Stammdaten[Rank Verteilung D Mitte mit Rinde],0))</f>
        <v>#N/A</v>
      </c>
      <c r="G2893" t="e">
        <f>VLOOKUP(Tabelle8[[#This Row],[Rank]],Stammdaten[[Rank Verteilung D Mitte mit Rinde]:[Verteilung D Mitte mit Rinde]],2,FALSE)</f>
        <v>#N/A</v>
      </c>
      <c r="L2893">
        <v>2884</v>
      </c>
      <c r="M2893" t="e">
        <f>INDEX(Stammdaten[Abholzigkeit (mm/lfm)],MATCH(Tabelle9[[#This Row],[Rank]],Stammdaten[Rank Verteilung Abholzigkeit],0))</f>
        <v>#N/A</v>
      </c>
      <c r="N2893" t="e">
        <f>VLOOKUP(Tabelle9[[#This Row],[Rank]],Stammdaten[[Rank Verteilung Abholzigkeit]:[Verteilung Abholzigkeit]],2,FALSE)</f>
        <v>#N/A</v>
      </c>
      <c r="S2893">
        <v>2884</v>
      </c>
      <c r="T2893" t="e">
        <f>INDEX(Stammdaten[Krümmung (mm/lfm)],MATCH(Tabelle10[[#This Row],[Rank]],Stammdaten[Rank Verteilung Krümmung],0))</f>
        <v>#N/A</v>
      </c>
      <c r="U2893" t="e">
        <f>VLOOKUP(Tabelle10[[#This Row],[Rank]],Stammdaten[[Rank Verteilung Krümmung]:[Verteilung Krümmung]],2,FALSE)</f>
        <v>#N/A</v>
      </c>
      <c r="Z2893">
        <v>2884</v>
      </c>
      <c r="AA2893" t="e">
        <f>INDEX(Stammdaten[Ovalität (']0,1'])],MATCH(Tabelle1014[[#This Row],[Rank]],Stammdaten[Rank Verteilung Ovalität],0))</f>
        <v>#N/A</v>
      </c>
      <c r="AB2893" t="e">
        <f>VLOOKUP(Tabelle1014[[#This Row],[Rank]],Stammdaten[[Rank Verteilung Ovalität]:[Verteilung Ovalität]],2,FALSE)</f>
        <v>#N/A</v>
      </c>
    </row>
    <row r="2894" spans="5:28" x14ac:dyDescent="0.35">
      <c r="E2894">
        <v>2885</v>
      </c>
      <c r="F2894" t="e">
        <f>INDEX(Stammdaten[D Mitte mit Rinde (mm)],MATCH(Tabelle8[[#This Row],[Rank]],Stammdaten[Rank Verteilung D Mitte mit Rinde],0))</f>
        <v>#N/A</v>
      </c>
      <c r="G2894" t="e">
        <f>VLOOKUP(Tabelle8[[#This Row],[Rank]],Stammdaten[[Rank Verteilung D Mitte mit Rinde]:[Verteilung D Mitte mit Rinde]],2,FALSE)</f>
        <v>#N/A</v>
      </c>
      <c r="L2894">
        <v>2885</v>
      </c>
      <c r="M2894" t="e">
        <f>INDEX(Stammdaten[Abholzigkeit (mm/lfm)],MATCH(Tabelle9[[#This Row],[Rank]],Stammdaten[Rank Verteilung Abholzigkeit],0))</f>
        <v>#N/A</v>
      </c>
      <c r="N2894" t="e">
        <f>VLOOKUP(Tabelle9[[#This Row],[Rank]],Stammdaten[[Rank Verteilung Abholzigkeit]:[Verteilung Abholzigkeit]],2,FALSE)</f>
        <v>#N/A</v>
      </c>
      <c r="S2894">
        <v>2885</v>
      </c>
      <c r="T2894" t="e">
        <f>INDEX(Stammdaten[Krümmung (mm/lfm)],MATCH(Tabelle10[[#This Row],[Rank]],Stammdaten[Rank Verteilung Krümmung],0))</f>
        <v>#N/A</v>
      </c>
      <c r="U2894" t="e">
        <f>VLOOKUP(Tabelle10[[#This Row],[Rank]],Stammdaten[[Rank Verteilung Krümmung]:[Verteilung Krümmung]],2,FALSE)</f>
        <v>#N/A</v>
      </c>
      <c r="Z2894">
        <v>2885</v>
      </c>
      <c r="AA2894" t="e">
        <f>INDEX(Stammdaten[Ovalität (']0,1'])],MATCH(Tabelle1014[[#This Row],[Rank]],Stammdaten[Rank Verteilung Ovalität],0))</f>
        <v>#N/A</v>
      </c>
      <c r="AB2894" t="e">
        <f>VLOOKUP(Tabelle1014[[#This Row],[Rank]],Stammdaten[[Rank Verteilung Ovalität]:[Verteilung Ovalität]],2,FALSE)</f>
        <v>#N/A</v>
      </c>
    </row>
    <row r="2895" spans="5:28" x14ac:dyDescent="0.35">
      <c r="E2895">
        <v>2886</v>
      </c>
      <c r="F2895" t="e">
        <f>INDEX(Stammdaten[D Mitte mit Rinde (mm)],MATCH(Tabelle8[[#This Row],[Rank]],Stammdaten[Rank Verteilung D Mitte mit Rinde],0))</f>
        <v>#N/A</v>
      </c>
      <c r="G2895" t="e">
        <f>VLOOKUP(Tabelle8[[#This Row],[Rank]],Stammdaten[[Rank Verteilung D Mitte mit Rinde]:[Verteilung D Mitte mit Rinde]],2,FALSE)</f>
        <v>#N/A</v>
      </c>
      <c r="L2895">
        <v>2886</v>
      </c>
      <c r="M2895" t="e">
        <f>INDEX(Stammdaten[Abholzigkeit (mm/lfm)],MATCH(Tabelle9[[#This Row],[Rank]],Stammdaten[Rank Verteilung Abholzigkeit],0))</f>
        <v>#N/A</v>
      </c>
      <c r="N2895" t="e">
        <f>VLOOKUP(Tabelle9[[#This Row],[Rank]],Stammdaten[[Rank Verteilung Abholzigkeit]:[Verteilung Abholzigkeit]],2,FALSE)</f>
        <v>#N/A</v>
      </c>
      <c r="S2895">
        <v>2886</v>
      </c>
      <c r="T2895" t="e">
        <f>INDEX(Stammdaten[Krümmung (mm/lfm)],MATCH(Tabelle10[[#This Row],[Rank]],Stammdaten[Rank Verteilung Krümmung],0))</f>
        <v>#N/A</v>
      </c>
      <c r="U2895" t="e">
        <f>VLOOKUP(Tabelle10[[#This Row],[Rank]],Stammdaten[[Rank Verteilung Krümmung]:[Verteilung Krümmung]],2,FALSE)</f>
        <v>#N/A</v>
      </c>
      <c r="Z2895">
        <v>2886</v>
      </c>
      <c r="AA2895" t="e">
        <f>INDEX(Stammdaten[Ovalität (']0,1'])],MATCH(Tabelle1014[[#This Row],[Rank]],Stammdaten[Rank Verteilung Ovalität],0))</f>
        <v>#N/A</v>
      </c>
      <c r="AB2895" t="e">
        <f>VLOOKUP(Tabelle1014[[#This Row],[Rank]],Stammdaten[[Rank Verteilung Ovalität]:[Verteilung Ovalität]],2,FALSE)</f>
        <v>#N/A</v>
      </c>
    </row>
    <row r="2896" spans="5:28" x14ac:dyDescent="0.35">
      <c r="E2896">
        <v>2887</v>
      </c>
      <c r="F2896" t="e">
        <f>INDEX(Stammdaten[D Mitte mit Rinde (mm)],MATCH(Tabelle8[[#This Row],[Rank]],Stammdaten[Rank Verteilung D Mitte mit Rinde],0))</f>
        <v>#N/A</v>
      </c>
      <c r="G2896" t="e">
        <f>VLOOKUP(Tabelle8[[#This Row],[Rank]],Stammdaten[[Rank Verteilung D Mitte mit Rinde]:[Verteilung D Mitte mit Rinde]],2,FALSE)</f>
        <v>#N/A</v>
      </c>
      <c r="L2896">
        <v>2887</v>
      </c>
      <c r="M2896" t="e">
        <f>INDEX(Stammdaten[Abholzigkeit (mm/lfm)],MATCH(Tabelle9[[#This Row],[Rank]],Stammdaten[Rank Verteilung Abholzigkeit],0))</f>
        <v>#N/A</v>
      </c>
      <c r="N2896" t="e">
        <f>VLOOKUP(Tabelle9[[#This Row],[Rank]],Stammdaten[[Rank Verteilung Abholzigkeit]:[Verteilung Abholzigkeit]],2,FALSE)</f>
        <v>#N/A</v>
      </c>
      <c r="S2896">
        <v>2887</v>
      </c>
      <c r="T2896" t="e">
        <f>INDEX(Stammdaten[Krümmung (mm/lfm)],MATCH(Tabelle10[[#This Row],[Rank]],Stammdaten[Rank Verteilung Krümmung],0))</f>
        <v>#N/A</v>
      </c>
      <c r="U2896" t="e">
        <f>VLOOKUP(Tabelle10[[#This Row],[Rank]],Stammdaten[[Rank Verteilung Krümmung]:[Verteilung Krümmung]],2,FALSE)</f>
        <v>#N/A</v>
      </c>
      <c r="Z2896">
        <v>2887</v>
      </c>
      <c r="AA2896" t="e">
        <f>INDEX(Stammdaten[Ovalität (']0,1'])],MATCH(Tabelle1014[[#This Row],[Rank]],Stammdaten[Rank Verteilung Ovalität],0))</f>
        <v>#N/A</v>
      </c>
      <c r="AB2896" t="e">
        <f>VLOOKUP(Tabelle1014[[#This Row],[Rank]],Stammdaten[[Rank Verteilung Ovalität]:[Verteilung Ovalität]],2,FALSE)</f>
        <v>#N/A</v>
      </c>
    </row>
    <row r="2897" spans="5:28" x14ac:dyDescent="0.35">
      <c r="E2897">
        <v>2888</v>
      </c>
      <c r="F2897" t="e">
        <f>INDEX(Stammdaten[D Mitte mit Rinde (mm)],MATCH(Tabelle8[[#This Row],[Rank]],Stammdaten[Rank Verteilung D Mitte mit Rinde],0))</f>
        <v>#N/A</v>
      </c>
      <c r="G2897" t="e">
        <f>VLOOKUP(Tabelle8[[#This Row],[Rank]],Stammdaten[[Rank Verteilung D Mitte mit Rinde]:[Verteilung D Mitte mit Rinde]],2,FALSE)</f>
        <v>#N/A</v>
      </c>
      <c r="L2897">
        <v>2888</v>
      </c>
      <c r="M2897" t="e">
        <f>INDEX(Stammdaten[Abholzigkeit (mm/lfm)],MATCH(Tabelle9[[#This Row],[Rank]],Stammdaten[Rank Verteilung Abholzigkeit],0))</f>
        <v>#N/A</v>
      </c>
      <c r="N2897" t="e">
        <f>VLOOKUP(Tabelle9[[#This Row],[Rank]],Stammdaten[[Rank Verteilung Abholzigkeit]:[Verteilung Abholzigkeit]],2,FALSE)</f>
        <v>#N/A</v>
      </c>
      <c r="S2897">
        <v>2888</v>
      </c>
      <c r="T2897" t="e">
        <f>INDEX(Stammdaten[Krümmung (mm/lfm)],MATCH(Tabelle10[[#This Row],[Rank]],Stammdaten[Rank Verteilung Krümmung],0))</f>
        <v>#N/A</v>
      </c>
      <c r="U2897" t="e">
        <f>VLOOKUP(Tabelle10[[#This Row],[Rank]],Stammdaten[[Rank Verteilung Krümmung]:[Verteilung Krümmung]],2,FALSE)</f>
        <v>#N/A</v>
      </c>
      <c r="Z2897">
        <v>2888</v>
      </c>
      <c r="AA2897" t="e">
        <f>INDEX(Stammdaten[Ovalität (']0,1'])],MATCH(Tabelle1014[[#This Row],[Rank]],Stammdaten[Rank Verteilung Ovalität],0))</f>
        <v>#N/A</v>
      </c>
      <c r="AB2897" t="e">
        <f>VLOOKUP(Tabelle1014[[#This Row],[Rank]],Stammdaten[[Rank Verteilung Ovalität]:[Verteilung Ovalität]],2,FALSE)</f>
        <v>#N/A</v>
      </c>
    </row>
    <row r="2898" spans="5:28" x14ac:dyDescent="0.35">
      <c r="E2898">
        <v>2889</v>
      </c>
      <c r="F2898" t="e">
        <f>INDEX(Stammdaten[D Mitte mit Rinde (mm)],MATCH(Tabelle8[[#This Row],[Rank]],Stammdaten[Rank Verteilung D Mitte mit Rinde],0))</f>
        <v>#N/A</v>
      </c>
      <c r="G2898" t="e">
        <f>VLOOKUP(Tabelle8[[#This Row],[Rank]],Stammdaten[[Rank Verteilung D Mitte mit Rinde]:[Verteilung D Mitte mit Rinde]],2,FALSE)</f>
        <v>#N/A</v>
      </c>
      <c r="L2898">
        <v>2889</v>
      </c>
      <c r="M2898" t="e">
        <f>INDEX(Stammdaten[Abholzigkeit (mm/lfm)],MATCH(Tabelle9[[#This Row],[Rank]],Stammdaten[Rank Verteilung Abholzigkeit],0))</f>
        <v>#N/A</v>
      </c>
      <c r="N2898" t="e">
        <f>VLOOKUP(Tabelle9[[#This Row],[Rank]],Stammdaten[[Rank Verteilung Abholzigkeit]:[Verteilung Abholzigkeit]],2,FALSE)</f>
        <v>#N/A</v>
      </c>
      <c r="S2898">
        <v>2889</v>
      </c>
      <c r="T2898" t="e">
        <f>INDEX(Stammdaten[Krümmung (mm/lfm)],MATCH(Tabelle10[[#This Row],[Rank]],Stammdaten[Rank Verteilung Krümmung],0))</f>
        <v>#N/A</v>
      </c>
      <c r="U2898" t="e">
        <f>VLOOKUP(Tabelle10[[#This Row],[Rank]],Stammdaten[[Rank Verteilung Krümmung]:[Verteilung Krümmung]],2,FALSE)</f>
        <v>#N/A</v>
      </c>
      <c r="Z2898">
        <v>2889</v>
      </c>
      <c r="AA2898" t="e">
        <f>INDEX(Stammdaten[Ovalität (']0,1'])],MATCH(Tabelle1014[[#This Row],[Rank]],Stammdaten[Rank Verteilung Ovalität],0))</f>
        <v>#N/A</v>
      </c>
      <c r="AB2898" t="e">
        <f>VLOOKUP(Tabelle1014[[#This Row],[Rank]],Stammdaten[[Rank Verteilung Ovalität]:[Verteilung Ovalität]],2,FALSE)</f>
        <v>#N/A</v>
      </c>
    </row>
    <row r="2899" spans="5:28" x14ac:dyDescent="0.35">
      <c r="E2899">
        <v>2890</v>
      </c>
      <c r="F2899" t="e">
        <f>INDEX(Stammdaten[D Mitte mit Rinde (mm)],MATCH(Tabelle8[[#This Row],[Rank]],Stammdaten[Rank Verteilung D Mitte mit Rinde],0))</f>
        <v>#N/A</v>
      </c>
      <c r="G2899" t="e">
        <f>VLOOKUP(Tabelle8[[#This Row],[Rank]],Stammdaten[[Rank Verteilung D Mitte mit Rinde]:[Verteilung D Mitte mit Rinde]],2,FALSE)</f>
        <v>#N/A</v>
      </c>
      <c r="L2899">
        <v>2890</v>
      </c>
      <c r="M2899" t="e">
        <f>INDEX(Stammdaten[Abholzigkeit (mm/lfm)],MATCH(Tabelle9[[#This Row],[Rank]],Stammdaten[Rank Verteilung Abholzigkeit],0))</f>
        <v>#N/A</v>
      </c>
      <c r="N2899" t="e">
        <f>VLOOKUP(Tabelle9[[#This Row],[Rank]],Stammdaten[[Rank Verteilung Abholzigkeit]:[Verteilung Abholzigkeit]],2,FALSE)</f>
        <v>#N/A</v>
      </c>
      <c r="S2899">
        <v>2890</v>
      </c>
      <c r="T2899" t="e">
        <f>INDEX(Stammdaten[Krümmung (mm/lfm)],MATCH(Tabelle10[[#This Row],[Rank]],Stammdaten[Rank Verteilung Krümmung],0))</f>
        <v>#N/A</v>
      </c>
      <c r="U2899" t="e">
        <f>VLOOKUP(Tabelle10[[#This Row],[Rank]],Stammdaten[[Rank Verteilung Krümmung]:[Verteilung Krümmung]],2,FALSE)</f>
        <v>#N/A</v>
      </c>
      <c r="Z2899">
        <v>2890</v>
      </c>
      <c r="AA2899" t="e">
        <f>INDEX(Stammdaten[Ovalität (']0,1'])],MATCH(Tabelle1014[[#This Row],[Rank]],Stammdaten[Rank Verteilung Ovalität],0))</f>
        <v>#N/A</v>
      </c>
      <c r="AB2899" t="e">
        <f>VLOOKUP(Tabelle1014[[#This Row],[Rank]],Stammdaten[[Rank Verteilung Ovalität]:[Verteilung Ovalität]],2,FALSE)</f>
        <v>#N/A</v>
      </c>
    </row>
    <row r="2900" spans="5:28" x14ac:dyDescent="0.35">
      <c r="E2900">
        <v>2891</v>
      </c>
      <c r="F2900" t="e">
        <f>INDEX(Stammdaten[D Mitte mit Rinde (mm)],MATCH(Tabelle8[[#This Row],[Rank]],Stammdaten[Rank Verteilung D Mitte mit Rinde],0))</f>
        <v>#N/A</v>
      </c>
      <c r="G2900" t="e">
        <f>VLOOKUP(Tabelle8[[#This Row],[Rank]],Stammdaten[[Rank Verteilung D Mitte mit Rinde]:[Verteilung D Mitte mit Rinde]],2,FALSE)</f>
        <v>#N/A</v>
      </c>
      <c r="L2900">
        <v>2891</v>
      </c>
      <c r="M2900" t="e">
        <f>INDEX(Stammdaten[Abholzigkeit (mm/lfm)],MATCH(Tabelle9[[#This Row],[Rank]],Stammdaten[Rank Verteilung Abholzigkeit],0))</f>
        <v>#N/A</v>
      </c>
      <c r="N2900" t="e">
        <f>VLOOKUP(Tabelle9[[#This Row],[Rank]],Stammdaten[[Rank Verteilung Abholzigkeit]:[Verteilung Abholzigkeit]],2,FALSE)</f>
        <v>#N/A</v>
      </c>
      <c r="S2900">
        <v>2891</v>
      </c>
      <c r="T2900" t="e">
        <f>INDEX(Stammdaten[Krümmung (mm/lfm)],MATCH(Tabelle10[[#This Row],[Rank]],Stammdaten[Rank Verteilung Krümmung],0))</f>
        <v>#N/A</v>
      </c>
      <c r="U2900" t="e">
        <f>VLOOKUP(Tabelle10[[#This Row],[Rank]],Stammdaten[[Rank Verteilung Krümmung]:[Verteilung Krümmung]],2,FALSE)</f>
        <v>#N/A</v>
      </c>
      <c r="Z2900">
        <v>2891</v>
      </c>
      <c r="AA2900" t="e">
        <f>INDEX(Stammdaten[Ovalität (']0,1'])],MATCH(Tabelle1014[[#This Row],[Rank]],Stammdaten[Rank Verteilung Ovalität],0))</f>
        <v>#N/A</v>
      </c>
      <c r="AB2900" t="e">
        <f>VLOOKUP(Tabelle1014[[#This Row],[Rank]],Stammdaten[[Rank Verteilung Ovalität]:[Verteilung Ovalität]],2,FALSE)</f>
        <v>#N/A</v>
      </c>
    </row>
    <row r="2901" spans="5:28" x14ac:dyDescent="0.35">
      <c r="E2901">
        <v>2892</v>
      </c>
      <c r="F2901" t="e">
        <f>INDEX(Stammdaten[D Mitte mit Rinde (mm)],MATCH(Tabelle8[[#This Row],[Rank]],Stammdaten[Rank Verteilung D Mitte mit Rinde],0))</f>
        <v>#N/A</v>
      </c>
      <c r="G2901" t="e">
        <f>VLOOKUP(Tabelle8[[#This Row],[Rank]],Stammdaten[[Rank Verteilung D Mitte mit Rinde]:[Verteilung D Mitte mit Rinde]],2,FALSE)</f>
        <v>#N/A</v>
      </c>
      <c r="L2901">
        <v>2892</v>
      </c>
      <c r="M2901" t="e">
        <f>INDEX(Stammdaten[Abholzigkeit (mm/lfm)],MATCH(Tabelle9[[#This Row],[Rank]],Stammdaten[Rank Verteilung Abholzigkeit],0))</f>
        <v>#N/A</v>
      </c>
      <c r="N2901" t="e">
        <f>VLOOKUP(Tabelle9[[#This Row],[Rank]],Stammdaten[[Rank Verteilung Abholzigkeit]:[Verteilung Abholzigkeit]],2,FALSE)</f>
        <v>#N/A</v>
      </c>
      <c r="S2901">
        <v>2892</v>
      </c>
      <c r="T2901" t="e">
        <f>INDEX(Stammdaten[Krümmung (mm/lfm)],MATCH(Tabelle10[[#This Row],[Rank]],Stammdaten[Rank Verteilung Krümmung],0))</f>
        <v>#N/A</v>
      </c>
      <c r="U2901" t="e">
        <f>VLOOKUP(Tabelle10[[#This Row],[Rank]],Stammdaten[[Rank Verteilung Krümmung]:[Verteilung Krümmung]],2,FALSE)</f>
        <v>#N/A</v>
      </c>
      <c r="Z2901">
        <v>2892</v>
      </c>
      <c r="AA2901" t="e">
        <f>INDEX(Stammdaten[Ovalität (']0,1'])],MATCH(Tabelle1014[[#This Row],[Rank]],Stammdaten[Rank Verteilung Ovalität],0))</f>
        <v>#N/A</v>
      </c>
      <c r="AB2901" t="e">
        <f>VLOOKUP(Tabelle1014[[#This Row],[Rank]],Stammdaten[[Rank Verteilung Ovalität]:[Verteilung Ovalität]],2,FALSE)</f>
        <v>#N/A</v>
      </c>
    </row>
    <row r="2902" spans="5:28" x14ac:dyDescent="0.35">
      <c r="E2902">
        <v>2893</v>
      </c>
      <c r="F2902" t="e">
        <f>INDEX(Stammdaten[D Mitte mit Rinde (mm)],MATCH(Tabelle8[[#This Row],[Rank]],Stammdaten[Rank Verteilung D Mitte mit Rinde],0))</f>
        <v>#N/A</v>
      </c>
      <c r="G2902" t="e">
        <f>VLOOKUP(Tabelle8[[#This Row],[Rank]],Stammdaten[[Rank Verteilung D Mitte mit Rinde]:[Verteilung D Mitte mit Rinde]],2,FALSE)</f>
        <v>#N/A</v>
      </c>
      <c r="L2902">
        <v>2893</v>
      </c>
      <c r="M2902" t="e">
        <f>INDEX(Stammdaten[Abholzigkeit (mm/lfm)],MATCH(Tabelle9[[#This Row],[Rank]],Stammdaten[Rank Verteilung Abholzigkeit],0))</f>
        <v>#N/A</v>
      </c>
      <c r="N2902" t="e">
        <f>VLOOKUP(Tabelle9[[#This Row],[Rank]],Stammdaten[[Rank Verteilung Abholzigkeit]:[Verteilung Abholzigkeit]],2,FALSE)</f>
        <v>#N/A</v>
      </c>
      <c r="S2902">
        <v>2893</v>
      </c>
      <c r="T2902" t="e">
        <f>INDEX(Stammdaten[Krümmung (mm/lfm)],MATCH(Tabelle10[[#This Row],[Rank]],Stammdaten[Rank Verteilung Krümmung],0))</f>
        <v>#N/A</v>
      </c>
      <c r="U2902" t="e">
        <f>VLOOKUP(Tabelle10[[#This Row],[Rank]],Stammdaten[[Rank Verteilung Krümmung]:[Verteilung Krümmung]],2,FALSE)</f>
        <v>#N/A</v>
      </c>
      <c r="Z2902">
        <v>2893</v>
      </c>
      <c r="AA2902" t="e">
        <f>INDEX(Stammdaten[Ovalität (']0,1'])],MATCH(Tabelle1014[[#This Row],[Rank]],Stammdaten[Rank Verteilung Ovalität],0))</f>
        <v>#N/A</v>
      </c>
      <c r="AB2902" t="e">
        <f>VLOOKUP(Tabelle1014[[#This Row],[Rank]],Stammdaten[[Rank Verteilung Ovalität]:[Verteilung Ovalität]],2,FALSE)</f>
        <v>#N/A</v>
      </c>
    </row>
    <row r="2903" spans="5:28" x14ac:dyDescent="0.35">
      <c r="E2903">
        <v>2894</v>
      </c>
      <c r="F2903" t="e">
        <f>INDEX(Stammdaten[D Mitte mit Rinde (mm)],MATCH(Tabelle8[[#This Row],[Rank]],Stammdaten[Rank Verteilung D Mitte mit Rinde],0))</f>
        <v>#N/A</v>
      </c>
      <c r="G2903" t="e">
        <f>VLOOKUP(Tabelle8[[#This Row],[Rank]],Stammdaten[[Rank Verteilung D Mitte mit Rinde]:[Verteilung D Mitte mit Rinde]],2,FALSE)</f>
        <v>#N/A</v>
      </c>
      <c r="L2903">
        <v>2894</v>
      </c>
      <c r="M2903" t="e">
        <f>INDEX(Stammdaten[Abholzigkeit (mm/lfm)],MATCH(Tabelle9[[#This Row],[Rank]],Stammdaten[Rank Verteilung Abholzigkeit],0))</f>
        <v>#N/A</v>
      </c>
      <c r="N2903" t="e">
        <f>VLOOKUP(Tabelle9[[#This Row],[Rank]],Stammdaten[[Rank Verteilung Abholzigkeit]:[Verteilung Abholzigkeit]],2,FALSE)</f>
        <v>#N/A</v>
      </c>
      <c r="S2903">
        <v>2894</v>
      </c>
      <c r="T2903" t="e">
        <f>INDEX(Stammdaten[Krümmung (mm/lfm)],MATCH(Tabelle10[[#This Row],[Rank]],Stammdaten[Rank Verteilung Krümmung],0))</f>
        <v>#N/A</v>
      </c>
      <c r="U2903" t="e">
        <f>VLOOKUP(Tabelle10[[#This Row],[Rank]],Stammdaten[[Rank Verteilung Krümmung]:[Verteilung Krümmung]],2,FALSE)</f>
        <v>#N/A</v>
      </c>
      <c r="Z2903">
        <v>2894</v>
      </c>
      <c r="AA2903" t="e">
        <f>INDEX(Stammdaten[Ovalität (']0,1'])],MATCH(Tabelle1014[[#This Row],[Rank]],Stammdaten[Rank Verteilung Ovalität],0))</f>
        <v>#N/A</v>
      </c>
      <c r="AB2903" t="e">
        <f>VLOOKUP(Tabelle1014[[#This Row],[Rank]],Stammdaten[[Rank Verteilung Ovalität]:[Verteilung Ovalität]],2,FALSE)</f>
        <v>#N/A</v>
      </c>
    </row>
    <row r="2904" spans="5:28" x14ac:dyDescent="0.35">
      <c r="E2904">
        <v>2895</v>
      </c>
      <c r="F2904" t="e">
        <f>INDEX(Stammdaten[D Mitte mit Rinde (mm)],MATCH(Tabelle8[[#This Row],[Rank]],Stammdaten[Rank Verteilung D Mitte mit Rinde],0))</f>
        <v>#N/A</v>
      </c>
      <c r="G2904" t="e">
        <f>VLOOKUP(Tabelle8[[#This Row],[Rank]],Stammdaten[[Rank Verteilung D Mitte mit Rinde]:[Verteilung D Mitte mit Rinde]],2,FALSE)</f>
        <v>#N/A</v>
      </c>
      <c r="L2904">
        <v>2895</v>
      </c>
      <c r="M2904" t="e">
        <f>INDEX(Stammdaten[Abholzigkeit (mm/lfm)],MATCH(Tabelle9[[#This Row],[Rank]],Stammdaten[Rank Verteilung Abholzigkeit],0))</f>
        <v>#N/A</v>
      </c>
      <c r="N2904" t="e">
        <f>VLOOKUP(Tabelle9[[#This Row],[Rank]],Stammdaten[[Rank Verteilung Abholzigkeit]:[Verteilung Abholzigkeit]],2,FALSE)</f>
        <v>#N/A</v>
      </c>
      <c r="S2904">
        <v>2895</v>
      </c>
      <c r="T2904" t="e">
        <f>INDEX(Stammdaten[Krümmung (mm/lfm)],MATCH(Tabelle10[[#This Row],[Rank]],Stammdaten[Rank Verteilung Krümmung],0))</f>
        <v>#N/A</v>
      </c>
      <c r="U2904" t="e">
        <f>VLOOKUP(Tabelle10[[#This Row],[Rank]],Stammdaten[[Rank Verteilung Krümmung]:[Verteilung Krümmung]],2,FALSE)</f>
        <v>#N/A</v>
      </c>
      <c r="Z2904">
        <v>2895</v>
      </c>
      <c r="AA2904" t="e">
        <f>INDEX(Stammdaten[Ovalität (']0,1'])],MATCH(Tabelle1014[[#This Row],[Rank]],Stammdaten[Rank Verteilung Ovalität],0))</f>
        <v>#N/A</v>
      </c>
      <c r="AB2904" t="e">
        <f>VLOOKUP(Tabelle1014[[#This Row],[Rank]],Stammdaten[[Rank Verteilung Ovalität]:[Verteilung Ovalität]],2,FALSE)</f>
        <v>#N/A</v>
      </c>
    </row>
    <row r="2905" spans="5:28" x14ac:dyDescent="0.35">
      <c r="E2905">
        <v>2896</v>
      </c>
      <c r="F2905" t="e">
        <f>INDEX(Stammdaten[D Mitte mit Rinde (mm)],MATCH(Tabelle8[[#This Row],[Rank]],Stammdaten[Rank Verteilung D Mitte mit Rinde],0))</f>
        <v>#N/A</v>
      </c>
      <c r="G2905" t="e">
        <f>VLOOKUP(Tabelle8[[#This Row],[Rank]],Stammdaten[[Rank Verteilung D Mitte mit Rinde]:[Verteilung D Mitte mit Rinde]],2,FALSE)</f>
        <v>#N/A</v>
      </c>
      <c r="L2905">
        <v>2896</v>
      </c>
      <c r="M2905" t="e">
        <f>INDEX(Stammdaten[Abholzigkeit (mm/lfm)],MATCH(Tabelle9[[#This Row],[Rank]],Stammdaten[Rank Verteilung Abholzigkeit],0))</f>
        <v>#N/A</v>
      </c>
      <c r="N2905" t="e">
        <f>VLOOKUP(Tabelle9[[#This Row],[Rank]],Stammdaten[[Rank Verteilung Abholzigkeit]:[Verteilung Abholzigkeit]],2,FALSE)</f>
        <v>#N/A</v>
      </c>
      <c r="S2905">
        <v>2896</v>
      </c>
      <c r="T2905" t="e">
        <f>INDEX(Stammdaten[Krümmung (mm/lfm)],MATCH(Tabelle10[[#This Row],[Rank]],Stammdaten[Rank Verteilung Krümmung],0))</f>
        <v>#N/A</v>
      </c>
      <c r="U2905" t="e">
        <f>VLOOKUP(Tabelle10[[#This Row],[Rank]],Stammdaten[[Rank Verteilung Krümmung]:[Verteilung Krümmung]],2,FALSE)</f>
        <v>#N/A</v>
      </c>
      <c r="Z2905">
        <v>2896</v>
      </c>
      <c r="AA2905" t="e">
        <f>INDEX(Stammdaten[Ovalität (']0,1'])],MATCH(Tabelle1014[[#This Row],[Rank]],Stammdaten[Rank Verteilung Ovalität],0))</f>
        <v>#N/A</v>
      </c>
      <c r="AB2905" t="e">
        <f>VLOOKUP(Tabelle1014[[#This Row],[Rank]],Stammdaten[[Rank Verteilung Ovalität]:[Verteilung Ovalität]],2,FALSE)</f>
        <v>#N/A</v>
      </c>
    </row>
    <row r="2906" spans="5:28" x14ac:dyDescent="0.35">
      <c r="E2906">
        <v>2897</v>
      </c>
      <c r="F2906" t="e">
        <f>INDEX(Stammdaten[D Mitte mit Rinde (mm)],MATCH(Tabelle8[[#This Row],[Rank]],Stammdaten[Rank Verteilung D Mitte mit Rinde],0))</f>
        <v>#N/A</v>
      </c>
      <c r="G2906" t="e">
        <f>VLOOKUP(Tabelle8[[#This Row],[Rank]],Stammdaten[[Rank Verteilung D Mitte mit Rinde]:[Verteilung D Mitte mit Rinde]],2,FALSE)</f>
        <v>#N/A</v>
      </c>
      <c r="L2906">
        <v>2897</v>
      </c>
      <c r="M2906" t="e">
        <f>INDEX(Stammdaten[Abholzigkeit (mm/lfm)],MATCH(Tabelle9[[#This Row],[Rank]],Stammdaten[Rank Verteilung Abholzigkeit],0))</f>
        <v>#N/A</v>
      </c>
      <c r="N2906" t="e">
        <f>VLOOKUP(Tabelle9[[#This Row],[Rank]],Stammdaten[[Rank Verteilung Abholzigkeit]:[Verteilung Abholzigkeit]],2,FALSE)</f>
        <v>#N/A</v>
      </c>
      <c r="S2906">
        <v>2897</v>
      </c>
      <c r="T2906" t="e">
        <f>INDEX(Stammdaten[Krümmung (mm/lfm)],MATCH(Tabelle10[[#This Row],[Rank]],Stammdaten[Rank Verteilung Krümmung],0))</f>
        <v>#N/A</v>
      </c>
      <c r="U2906" t="e">
        <f>VLOOKUP(Tabelle10[[#This Row],[Rank]],Stammdaten[[Rank Verteilung Krümmung]:[Verteilung Krümmung]],2,FALSE)</f>
        <v>#N/A</v>
      </c>
      <c r="Z2906">
        <v>2897</v>
      </c>
      <c r="AA2906" t="e">
        <f>INDEX(Stammdaten[Ovalität (']0,1'])],MATCH(Tabelle1014[[#This Row],[Rank]],Stammdaten[Rank Verteilung Ovalität],0))</f>
        <v>#N/A</v>
      </c>
      <c r="AB2906" t="e">
        <f>VLOOKUP(Tabelle1014[[#This Row],[Rank]],Stammdaten[[Rank Verteilung Ovalität]:[Verteilung Ovalität]],2,FALSE)</f>
        <v>#N/A</v>
      </c>
    </row>
    <row r="2907" spans="5:28" x14ac:dyDescent="0.35">
      <c r="E2907">
        <v>2898</v>
      </c>
      <c r="F2907" t="e">
        <f>INDEX(Stammdaten[D Mitte mit Rinde (mm)],MATCH(Tabelle8[[#This Row],[Rank]],Stammdaten[Rank Verteilung D Mitte mit Rinde],0))</f>
        <v>#N/A</v>
      </c>
      <c r="G2907" t="e">
        <f>VLOOKUP(Tabelle8[[#This Row],[Rank]],Stammdaten[[Rank Verteilung D Mitte mit Rinde]:[Verteilung D Mitte mit Rinde]],2,FALSE)</f>
        <v>#N/A</v>
      </c>
      <c r="L2907">
        <v>2898</v>
      </c>
      <c r="M2907" t="e">
        <f>INDEX(Stammdaten[Abholzigkeit (mm/lfm)],MATCH(Tabelle9[[#This Row],[Rank]],Stammdaten[Rank Verteilung Abholzigkeit],0))</f>
        <v>#N/A</v>
      </c>
      <c r="N2907" t="e">
        <f>VLOOKUP(Tabelle9[[#This Row],[Rank]],Stammdaten[[Rank Verteilung Abholzigkeit]:[Verteilung Abholzigkeit]],2,FALSE)</f>
        <v>#N/A</v>
      </c>
      <c r="S2907">
        <v>2898</v>
      </c>
      <c r="T2907" t="e">
        <f>INDEX(Stammdaten[Krümmung (mm/lfm)],MATCH(Tabelle10[[#This Row],[Rank]],Stammdaten[Rank Verteilung Krümmung],0))</f>
        <v>#N/A</v>
      </c>
      <c r="U2907" t="e">
        <f>VLOOKUP(Tabelle10[[#This Row],[Rank]],Stammdaten[[Rank Verteilung Krümmung]:[Verteilung Krümmung]],2,FALSE)</f>
        <v>#N/A</v>
      </c>
      <c r="Z2907">
        <v>2898</v>
      </c>
      <c r="AA2907" t="e">
        <f>INDEX(Stammdaten[Ovalität (']0,1'])],MATCH(Tabelle1014[[#This Row],[Rank]],Stammdaten[Rank Verteilung Ovalität],0))</f>
        <v>#N/A</v>
      </c>
      <c r="AB2907" t="e">
        <f>VLOOKUP(Tabelle1014[[#This Row],[Rank]],Stammdaten[[Rank Verteilung Ovalität]:[Verteilung Ovalität]],2,FALSE)</f>
        <v>#N/A</v>
      </c>
    </row>
    <row r="2908" spans="5:28" x14ac:dyDescent="0.35">
      <c r="E2908">
        <v>2899</v>
      </c>
      <c r="F2908" t="e">
        <f>INDEX(Stammdaten[D Mitte mit Rinde (mm)],MATCH(Tabelle8[[#This Row],[Rank]],Stammdaten[Rank Verteilung D Mitte mit Rinde],0))</f>
        <v>#N/A</v>
      </c>
      <c r="G2908" t="e">
        <f>VLOOKUP(Tabelle8[[#This Row],[Rank]],Stammdaten[[Rank Verteilung D Mitte mit Rinde]:[Verteilung D Mitte mit Rinde]],2,FALSE)</f>
        <v>#N/A</v>
      </c>
      <c r="L2908">
        <v>2899</v>
      </c>
      <c r="M2908" t="e">
        <f>INDEX(Stammdaten[Abholzigkeit (mm/lfm)],MATCH(Tabelle9[[#This Row],[Rank]],Stammdaten[Rank Verteilung Abholzigkeit],0))</f>
        <v>#N/A</v>
      </c>
      <c r="N2908" t="e">
        <f>VLOOKUP(Tabelle9[[#This Row],[Rank]],Stammdaten[[Rank Verteilung Abholzigkeit]:[Verteilung Abholzigkeit]],2,FALSE)</f>
        <v>#N/A</v>
      </c>
      <c r="S2908">
        <v>2899</v>
      </c>
      <c r="T2908" t="e">
        <f>INDEX(Stammdaten[Krümmung (mm/lfm)],MATCH(Tabelle10[[#This Row],[Rank]],Stammdaten[Rank Verteilung Krümmung],0))</f>
        <v>#N/A</v>
      </c>
      <c r="U2908" t="e">
        <f>VLOOKUP(Tabelle10[[#This Row],[Rank]],Stammdaten[[Rank Verteilung Krümmung]:[Verteilung Krümmung]],2,FALSE)</f>
        <v>#N/A</v>
      </c>
      <c r="Z2908">
        <v>2899</v>
      </c>
      <c r="AA2908" t="e">
        <f>INDEX(Stammdaten[Ovalität (']0,1'])],MATCH(Tabelle1014[[#This Row],[Rank]],Stammdaten[Rank Verteilung Ovalität],0))</f>
        <v>#N/A</v>
      </c>
      <c r="AB2908" t="e">
        <f>VLOOKUP(Tabelle1014[[#This Row],[Rank]],Stammdaten[[Rank Verteilung Ovalität]:[Verteilung Ovalität]],2,FALSE)</f>
        <v>#N/A</v>
      </c>
    </row>
    <row r="2909" spans="5:28" x14ac:dyDescent="0.35">
      <c r="E2909">
        <v>2900</v>
      </c>
      <c r="F2909" t="e">
        <f>INDEX(Stammdaten[D Mitte mit Rinde (mm)],MATCH(Tabelle8[[#This Row],[Rank]],Stammdaten[Rank Verteilung D Mitte mit Rinde],0))</f>
        <v>#N/A</v>
      </c>
      <c r="G2909" t="e">
        <f>VLOOKUP(Tabelle8[[#This Row],[Rank]],Stammdaten[[Rank Verteilung D Mitte mit Rinde]:[Verteilung D Mitte mit Rinde]],2,FALSE)</f>
        <v>#N/A</v>
      </c>
      <c r="L2909">
        <v>2900</v>
      </c>
      <c r="M2909" t="e">
        <f>INDEX(Stammdaten[Abholzigkeit (mm/lfm)],MATCH(Tabelle9[[#This Row],[Rank]],Stammdaten[Rank Verteilung Abholzigkeit],0))</f>
        <v>#N/A</v>
      </c>
      <c r="N2909" t="e">
        <f>VLOOKUP(Tabelle9[[#This Row],[Rank]],Stammdaten[[Rank Verteilung Abholzigkeit]:[Verteilung Abholzigkeit]],2,FALSE)</f>
        <v>#N/A</v>
      </c>
      <c r="S2909">
        <v>2900</v>
      </c>
      <c r="T2909" t="e">
        <f>INDEX(Stammdaten[Krümmung (mm/lfm)],MATCH(Tabelle10[[#This Row],[Rank]],Stammdaten[Rank Verteilung Krümmung],0))</f>
        <v>#N/A</v>
      </c>
      <c r="U2909" t="e">
        <f>VLOOKUP(Tabelle10[[#This Row],[Rank]],Stammdaten[[Rank Verteilung Krümmung]:[Verteilung Krümmung]],2,FALSE)</f>
        <v>#N/A</v>
      </c>
      <c r="Z2909">
        <v>2900</v>
      </c>
      <c r="AA2909" t="e">
        <f>INDEX(Stammdaten[Ovalität (']0,1'])],MATCH(Tabelle1014[[#This Row],[Rank]],Stammdaten[Rank Verteilung Ovalität],0))</f>
        <v>#N/A</v>
      </c>
      <c r="AB2909" t="e">
        <f>VLOOKUP(Tabelle1014[[#This Row],[Rank]],Stammdaten[[Rank Verteilung Ovalität]:[Verteilung Ovalität]],2,FALSE)</f>
        <v>#N/A</v>
      </c>
    </row>
    <row r="2910" spans="5:28" x14ac:dyDescent="0.35">
      <c r="E2910">
        <v>2901</v>
      </c>
      <c r="F2910" t="e">
        <f>INDEX(Stammdaten[D Mitte mit Rinde (mm)],MATCH(Tabelle8[[#This Row],[Rank]],Stammdaten[Rank Verteilung D Mitte mit Rinde],0))</f>
        <v>#N/A</v>
      </c>
      <c r="G2910" t="e">
        <f>VLOOKUP(Tabelle8[[#This Row],[Rank]],Stammdaten[[Rank Verteilung D Mitte mit Rinde]:[Verteilung D Mitte mit Rinde]],2,FALSE)</f>
        <v>#N/A</v>
      </c>
      <c r="L2910">
        <v>2901</v>
      </c>
      <c r="M2910" t="e">
        <f>INDEX(Stammdaten[Abholzigkeit (mm/lfm)],MATCH(Tabelle9[[#This Row],[Rank]],Stammdaten[Rank Verteilung Abholzigkeit],0))</f>
        <v>#N/A</v>
      </c>
      <c r="N2910" t="e">
        <f>VLOOKUP(Tabelle9[[#This Row],[Rank]],Stammdaten[[Rank Verteilung Abholzigkeit]:[Verteilung Abholzigkeit]],2,FALSE)</f>
        <v>#N/A</v>
      </c>
      <c r="S2910">
        <v>2901</v>
      </c>
      <c r="T2910" t="e">
        <f>INDEX(Stammdaten[Krümmung (mm/lfm)],MATCH(Tabelle10[[#This Row],[Rank]],Stammdaten[Rank Verteilung Krümmung],0))</f>
        <v>#N/A</v>
      </c>
      <c r="U2910" t="e">
        <f>VLOOKUP(Tabelle10[[#This Row],[Rank]],Stammdaten[[Rank Verteilung Krümmung]:[Verteilung Krümmung]],2,FALSE)</f>
        <v>#N/A</v>
      </c>
      <c r="Z2910">
        <v>2901</v>
      </c>
      <c r="AA2910" t="e">
        <f>INDEX(Stammdaten[Ovalität (']0,1'])],MATCH(Tabelle1014[[#This Row],[Rank]],Stammdaten[Rank Verteilung Ovalität],0))</f>
        <v>#N/A</v>
      </c>
      <c r="AB2910" t="e">
        <f>VLOOKUP(Tabelle1014[[#This Row],[Rank]],Stammdaten[[Rank Verteilung Ovalität]:[Verteilung Ovalität]],2,FALSE)</f>
        <v>#N/A</v>
      </c>
    </row>
    <row r="2911" spans="5:28" x14ac:dyDescent="0.35">
      <c r="E2911">
        <v>2902</v>
      </c>
      <c r="F2911" t="e">
        <f>INDEX(Stammdaten[D Mitte mit Rinde (mm)],MATCH(Tabelle8[[#This Row],[Rank]],Stammdaten[Rank Verteilung D Mitte mit Rinde],0))</f>
        <v>#N/A</v>
      </c>
      <c r="G2911" t="e">
        <f>VLOOKUP(Tabelle8[[#This Row],[Rank]],Stammdaten[[Rank Verteilung D Mitte mit Rinde]:[Verteilung D Mitte mit Rinde]],2,FALSE)</f>
        <v>#N/A</v>
      </c>
      <c r="L2911">
        <v>2902</v>
      </c>
      <c r="M2911" t="e">
        <f>INDEX(Stammdaten[Abholzigkeit (mm/lfm)],MATCH(Tabelle9[[#This Row],[Rank]],Stammdaten[Rank Verteilung Abholzigkeit],0))</f>
        <v>#N/A</v>
      </c>
      <c r="N2911" t="e">
        <f>VLOOKUP(Tabelle9[[#This Row],[Rank]],Stammdaten[[Rank Verteilung Abholzigkeit]:[Verteilung Abholzigkeit]],2,FALSE)</f>
        <v>#N/A</v>
      </c>
      <c r="S2911">
        <v>2902</v>
      </c>
      <c r="T2911" t="e">
        <f>INDEX(Stammdaten[Krümmung (mm/lfm)],MATCH(Tabelle10[[#This Row],[Rank]],Stammdaten[Rank Verteilung Krümmung],0))</f>
        <v>#N/A</v>
      </c>
      <c r="U2911" t="e">
        <f>VLOOKUP(Tabelle10[[#This Row],[Rank]],Stammdaten[[Rank Verteilung Krümmung]:[Verteilung Krümmung]],2,FALSE)</f>
        <v>#N/A</v>
      </c>
      <c r="Z2911">
        <v>2902</v>
      </c>
      <c r="AA2911" t="e">
        <f>INDEX(Stammdaten[Ovalität (']0,1'])],MATCH(Tabelle1014[[#This Row],[Rank]],Stammdaten[Rank Verteilung Ovalität],0))</f>
        <v>#N/A</v>
      </c>
      <c r="AB2911" t="e">
        <f>VLOOKUP(Tabelle1014[[#This Row],[Rank]],Stammdaten[[Rank Verteilung Ovalität]:[Verteilung Ovalität]],2,FALSE)</f>
        <v>#N/A</v>
      </c>
    </row>
    <row r="2912" spans="5:28" x14ac:dyDescent="0.35">
      <c r="E2912">
        <v>2903</v>
      </c>
      <c r="F2912" t="e">
        <f>INDEX(Stammdaten[D Mitte mit Rinde (mm)],MATCH(Tabelle8[[#This Row],[Rank]],Stammdaten[Rank Verteilung D Mitte mit Rinde],0))</f>
        <v>#N/A</v>
      </c>
      <c r="G2912" t="e">
        <f>VLOOKUP(Tabelle8[[#This Row],[Rank]],Stammdaten[[Rank Verteilung D Mitte mit Rinde]:[Verteilung D Mitte mit Rinde]],2,FALSE)</f>
        <v>#N/A</v>
      </c>
      <c r="L2912">
        <v>2903</v>
      </c>
      <c r="M2912" t="e">
        <f>INDEX(Stammdaten[Abholzigkeit (mm/lfm)],MATCH(Tabelle9[[#This Row],[Rank]],Stammdaten[Rank Verteilung Abholzigkeit],0))</f>
        <v>#N/A</v>
      </c>
      <c r="N2912" t="e">
        <f>VLOOKUP(Tabelle9[[#This Row],[Rank]],Stammdaten[[Rank Verteilung Abholzigkeit]:[Verteilung Abholzigkeit]],2,FALSE)</f>
        <v>#N/A</v>
      </c>
      <c r="S2912">
        <v>2903</v>
      </c>
      <c r="T2912" t="e">
        <f>INDEX(Stammdaten[Krümmung (mm/lfm)],MATCH(Tabelle10[[#This Row],[Rank]],Stammdaten[Rank Verteilung Krümmung],0))</f>
        <v>#N/A</v>
      </c>
      <c r="U2912" t="e">
        <f>VLOOKUP(Tabelle10[[#This Row],[Rank]],Stammdaten[[Rank Verteilung Krümmung]:[Verteilung Krümmung]],2,FALSE)</f>
        <v>#N/A</v>
      </c>
      <c r="Z2912">
        <v>2903</v>
      </c>
      <c r="AA2912" t="e">
        <f>INDEX(Stammdaten[Ovalität (']0,1'])],MATCH(Tabelle1014[[#This Row],[Rank]],Stammdaten[Rank Verteilung Ovalität],0))</f>
        <v>#N/A</v>
      </c>
      <c r="AB2912" t="e">
        <f>VLOOKUP(Tabelle1014[[#This Row],[Rank]],Stammdaten[[Rank Verteilung Ovalität]:[Verteilung Ovalität]],2,FALSE)</f>
        <v>#N/A</v>
      </c>
    </row>
    <row r="2913" spans="5:28" x14ac:dyDescent="0.35">
      <c r="E2913">
        <v>2904</v>
      </c>
      <c r="F2913" t="e">
        <f>INDEX(Stammdaten[D Mitte mit Rinde (mm)],MATCH(Tabelle8[[#This Row],[Rank]],Stammdaten[Rank Verteilung D Mitte mit Rinde],0))</f>
        <v>#N/A</v>
      </c>
      <c r="G2913" t="e">
        <f>VLOOKUP(Tabelle8[[#This Row],[Rank]],Stammdaten[[Rank Verteilung D Mitte mit Rinde]:[Verteilung D Mitte mit Rinde]],2,FALSE)</f>
        <v>#N/A</v>
      </c>
      <c r="L2913">
        <v>2904</v>
      </c>
      <c r="M2913" t="e">
        <f>INDEX(Stammdaten[Abholzigkeit (mm/lfm)],MATCH(Tabelle9[[#This Row],[Rank]],Stammdaten[Rank Verteilung Abholzigkeit],0))</f>
        <v>#N/A</v>
      </c>
      <c r="N2913" t="e">
        <f>VLOOKUP(Tabelle9[[#This Row],[Rank]],Stammdaten[[Rank Verteilung Abholzigkeit]:[Verteilung Abholzigkeit]],2,FALSE)</f>
        <v>#N/A</v>
      </c>
      <c r="S2913">
        <v>2904</v>
      </c>
      <c r="T2913" t="e">
        <f>INDEX(Stammdaten[Krümmung (mm/lfm)],MATCH(Tabelle10[[#This Row],[Rank]],Stammdaten[Rank Verteilung Krümmung],0))</f>
        <v>#N/A</v>
      </c>
      <c r="U2913" t="e">
        <f>VLOOKUP(Tabelle10[[#This Row],[Rank]],Stammdaten[[Rank Verteilung Krümmung]:[Verteilung Krümmung]],2,FALSE)</f>
        <v>#N/A</v>
      </c>
      <c r="Z2913">
        <v>2904</v>
      </c>
      <c r="AA2913" t="e">
        <f>INDEX(Stammdaten[Ovalität (']0,1'])],MATCH(Tabelle1014[[#This Row],[Rank]],Stammdaten[Rank Verteilung Ovalität],0))</f>
        <v>#N/A</v>
      </c>
      <c r="AB2913" t="e">
        <f>VLOOKUP(Tabelle1014[[#This Row],[Rank]],Stammdaten[[Rank Verteilung Ovalität]:[Verteilung Ovalität]],2,FALSE)</f>
        <v>#N/A</v>
      </c>
    </row>
    <row r="2914" spans="5:28" x14ac:dyDescent="0.35">
      <c r="E2914">
        <v>2905</v>
      </c>
      <c r="F2914" t="e">
        <f>INDEX(Stammdaten[D Mitte mit Rinde (mm)],MATCH(Tabelle8[[#This Row],[Rank]],Stammdaten[Rank Verteilung D Mitte mit Rinde],0))</f>
        <v>#N/A</v>
      </c>
      <c r="G2914" t="e">
        <f>VLOOKUP(Tabelle8[[#This Row],[Rank]],Stammdaten[[Rank Verteilung D Mitte mit Rinde]:[Verteilung D Mitte mit Rinde]],2,FALSE)</f>
        <v>#N/A</v>
      </c>
      <c r="L2914">
        <v>2905</v>
      </c>
      <c r="M2914" t="e">
        <f>INDEX(Stammdaten[Abholzigkeit (mm/lfm)],MATCH(Tabelle9[[#This Row],[Rank]],Stammdaten[Rank Verteilung Abholzigkeit],0))</f>
        <v>#N/A</v>
      </c>
      <c r="N2914" t="e">
        <f>VLOOKUP(Tabelle9[[#This Row],[Rank]],Stammdaten[[Rank Verteilung Abholzigkeit]:[Verteilung Abholzigkeit]],2,FALSE)</f>
        <v>#N/A</v>
      </c>
      <c r="S2914">
        <v>2905</v>
      </c>
      <c r="T2914" t="e">
        <f>INDEX(Stammdaten[Krümmung (mm/lfm)],MATCH(Tabelle10[[#This Row],[Rank]],Stammdaten[Rank Verteilung Krümmung],0))</f>
        <v>#N/A</v>
      </c>
      <c r="U2914" t="e">
        <f>VLOOKUP(Tabelle10[[#This Row],[Rank]],Stammdaten[[Rank Verteilung Krümmung]:[Verteilung Krümmung]],2,FALSE)</f>
        <v>#N/A</v>
      </c>
      <c r="Z2914">
        <v>2905</v>
      </c>
      <c r="AA2914" t="e">
        <f>INDEX(Stammdaten[Ovalität (']0,1'])],MATCH(Tabelle1014[[#This Row],[Rank]],Stammdaten[Rank Verteilung Ovalität],0))</f>
        <v>#N/A</v>
      </c>
      <c r="AB2914" t="e">
        <f>VLOOKUP(Tabelle1014[[#This Row],[Rank]],Stammdaten[[Rank Verteilung Ovalität]:[Verteilung Ovalität]],2,FALSE)</f>
        <v>#N/A</v>
      </c>
    </row>
    <row r="2915" spans="5:28" x14ac:dyDescent="0.35">
      <c r="E2915">
        <v>2906</v>
      </c>
      <c r="F2915" t="e">
        <f>INDEX(Stammdaten[D Mitte mit Rinde (mm)],MATCH(Tabelle8[[#This Row],[Rank]],Stammdaten[Rank Verteilung D Mitte mit Rinde],0))</f>
        <v>#N/A</v>
      </c>
      <c r="G2915" t="e">
        <f>VLOOKUP(Tabelle8[[#This Row],[Rank]],Stammdaten[[Rank Verteilung D Mitte mit Rinde]:[Verteilung D Mitte mit Rinde]],2,FALSE)</f>
        <v>#N/A</v>
      </c>
      <c r="L2915">
        <v>2906</v>
      </c>
      <c r="M2915" t="e">
        <f>INDEX(Stammdaten[Abholzigkeit (mm/lfm)],MATCH(Tabelle9[[#This Row],[Rank]],Stammdaten[Rank Verteilung Abholzigkeit],0))</f>
        <v>#N/A</v>
      </c>
      <c r="N2915" t="e">
        <f>VLOOKUP(Tabelle9[[#This Row],[Rank]],Stammdaten[[Rank Verteilung Abholzigkeit]:[Verteilung Abholzigkeit]],2,FALSE)</f>
        <v>#N/A</v>
      </c>
      <c r="S2915">
        <v>2906</v>
      </c>
      <c r="T2915" t="e">
        <f>INDEX(Stammdaten[Krümmung (mm/lfm)],MATCH(Tabelle10[[#This Row],[Rank]],Stammdaten[Rank Verteilung Krümmung],0))</f>
        <v>#N/A</v>
      </c>
      <c r="U2915" t="e">
        <f>VLOOKUP(Tabelle10[[#This Row],[Rank]],Stammdaten[[Rank Verteilung Krümmung]:[Verteilung Krümmung]],2,FALSE)</f>
        <v>#N/A</v>
      </c>
      <c r="Z2915">
        <v>2906</v>
      </c>
      <c r="AA2915" t="e">
        <f>INDEX(Stammdaten[Ovalität (']0,1'])],MATCH(Tabelle1014[[#This Row],[Rank]],Stammdaten[Rank Verteilung Ovalität],0))</f>
        <v>#N/A</v>
      </c>
      <c r="AB2915" t="e">
        <f>VLOOKUP(Tabelle1014[[#This Row],[Rank]],Stammdaten[[Rank Verteilung Ovalität]:[Verteilung Ovalität]],2,FALSE)</f>
        <v>#N/A</v>
      </c>
    </row>
    <row r="2916" spans="5:28" x14ac:dyDescent="0.35">
      <c r="E2916">
        <v>2907</v>
      </c>
      <c r="F2916" t="e">
        <f>INDEX(Stammdaten[D Mitte mit Rinde (mm)],MATCH(Tabelle8[[#This Row],[Rank]],Stammdaten[Rank Verteilung D Mitte mit Rinde],0))</f>
        <v>#N/A</v>
      </c>
      <c r="G2916" t="e">
        <f>VLOOKUP(Tabelle8[[#This Row],[Rank]],Stammdaten[[Rank Verteilung D Mitte mit Rinde]:[Verteilung D Mitte mit Rinde]],2,FALSE)</f>
        <v>#N/A</v>
      </c>
      <c r="L2916">
        <v>2907</v>
      </c>
      <c r="M2916" t="e">
        <f>INDEX(Stammdaten[Abholzigkeit (mm/lfm)],MATCH(Tabelle9[[#This Row],[Rank]],Stammdaten[Rank Verteilung Abholzigkeit],0))</f>
        <v>#N/A</v>
      </c>
      <c r="N2916" t="e">
        <f>VLOOKUP(Tabelle9[[#This Row],[Rank]],Stammdaten[[Rank Verteilung Abholzigkeit]:[Verteilung Abholzigkeit]],2,FALSE)</f>
        <v>#N/A</v>
      </c>
      <c r="S2916">
        <v>2907</v>
      </c>
      <c r="T2916" t="e">
        <f>INDEX(Stammdaten[Krümmung (mm/lfm)],MATCH(Tabelle10[[#This Row],[Rank]],Stammdaten[Rank Verteilung Krümmung],0))</f>
        <v>#N/A</v>
      </c>
      <c r="U2916" t="e">
        <f>VLOOKUP(Tabelle10[[#This Row],[Rank]],Stammdaten[[Rank Verteilung Krümmung]:[Verteilung Krümmung]],2,FALSE)</f>
        <v>#N/A</v>
      </c>
      <c r="Z2916">
        <v>2907</v>
      </c>
      <c r="AA2916" t="e">
        <f>INDEX(Stammdaten[Ovalität (']0,1'])],MATCH(Tabelle1014[[#This Row],[Rank]],Stammdaten[Rank Verteilung Ovalität],0))</f>
        <v>#N/A</v>
      </c>
      <c r="AB2916" t="e">
        <f>VLOOKUP(Tabelle1014[[#This Row],[Rank]],Stammdaten[[Rank Verteilung Ovalität]:[Verteilung Ovalität]],2,FALSE)</f>
        <v>#N/A</v>
      </c>
    </row>
    <row r="2917" spans="5:28" x14ac:dyDescent="0.35">
      <c r="E2917">
        <v>2908</v>
      </c>
      <c r="F2917" t="e">
        <f>INDEX(Stammdaten[D Mitte mit Rinde (mm)],MATCH(Tabelle8[[#This Row],[Rank]],Stammdaten[Rank Verteilung D Mitte mit Rinde],0))</f>
        <v>#N/A</v>
      </c>
      <c r="G2917" t="e">
        <f>VLOOKUP(Tabelle8[[#This Row],[Rank]],Stammdaten[[Rank Verteilung D Mitte mit Rinde]:[Verteilung D Mitte mit Rinde]],2,FALSE)</f>
        <v>#N/A</v>
      </c>
      <c r="L2917">
        <v>2908</v>
      </c>
      <c r="M2917" t="e">
        <f>INDEX(Stammdaten[Abholzigkeit (mm/lfm)],MATCH(Tabelle9[[#This Row],[Rank]],Stammdaten[Rank Verteilung Abholzigkeit],0))</f>
        <v>#N/A</v>
      </c>
      <c r="N2917" t="e">
        <f>VLOOKUP(Tabelle9[[#This Row],[Rank]],Stammdaten[[Rank Verteilung Abholzigkeit]:[Verteilung Abholzigkeit]],2,FALSE)</f>
        <v>#N/A</v>
      </c>
      <c r="S2917">
        <v>2908</v>
      </c>
      <c r="T2917" t="e">
        <f>INDEX(Stammdaten[Krümmung (mm/lfm)],MATCH(Tabelle10[[#This Row],[Rank]],Stammdaten[Rank Verteilung Krümmung],0))</f>
        <v>#N/A</v>
      </c>
      <c r="U2917" t="e">
        <f>VLOOKUP(Tabelle10[[#This Row],[Rank]],Stammdaten[[Rank Verteilung Krümmung]:[Verteilung Krümmung]],2,FALSE)</f>
        <v>#N/A</v>
      </c>
      <c r="Z2917">
        <v>2908</v>
      </c>
      <c r="AA2917" t="e">
        <f>INDEX(Stammdaten[Ovalität (']0,1'])],MATCH(Tabelle1014[[#This Row],[Rank]],Stammdaten[Rank Verteilung Ovalität],0))</f>
        <v>#N/A</v>
      </c>
      <c r="AB2917" t="e">
        <f>VLOOKUP(Tabelle1014[[#This Row],[Rank]],Stammdaten[[Rank Verteilung Ovalität]:[Verteilung Ovalität]],2,FALSE)</f>
        <v>#N/A</v>
      </c>
    </row>
    <row r="2918" spans="5:28" x14ac:dyDescent="0.35">
      <c r="E2918">
        <v>2909</v>
      </c>
      <c r="F2918" t="e">
        <f>INDEX(Stammdaten[D Mitte mit Rinde (mm)],MATCH(Tabelle8[[#This Row],[Rank]],Stammdaten[Rank Verteilung D Mitte mit Rinde],0))</f>
        <v>#N/A</v>
      </c>
      <c r="G2918" t="e">
        <f>VLOOKUP(Tabelle8[[#This Row],[Rank]],Stammdaten[[Rank Verteilung D Mitte mit Rinde]:[Verteilung D Mitte mit Rinde]],2,FALSE)</f>
        <v>#N/A</v>
      </c>
      <c r="L2918">
        <v>2909</v>
      </c>
      <c r="M2918" t="e">
        <f>INDEX(Stammdaten[Abholzigkeit (mm/lfm)],MATCH(Tabelle9[[#This Row],[Rank]],Stammdaten[Rank Verteilung Abholzigkeit],0))</f>
        <v>#N/A</v>
      </c>
      <c r="N2918" t="e">
        <f>VLOOKUP(Tabelle9[[#This Row],[Rank]],Stammdaten[[Rank Verteilung Abholzigkeit]:[Verteilung Abholzigkeit]],2,FALSE)</f>
        <v>#N/A</v>
      </c>
      <c r="S2918">
        <v>2909</v>
      </c>
      <c r="T2918" t="e">
        <f>INDEX(Stammdaten[Krümmung (mm/lfm)],MATCH(Tabelle10[[#This Row],[Rank]],Stammdaten[Rank Verteilung Krümmung],0))</f>
        <v>#N/A</v>
      </c>
      <c r="U2918" t="e">
        <f>VLOOKUP(Tabelle10[[#This Row],[Rank]],Stammdaten[[Rank Verteilung Krümmung]:[Verteilung Krümmung]],2,FALSE)</f>
        <v>#N/A</v>
      </c>
      <c r="Z2918">
        <v>2909</v>
      </c>
      <c r="AA2918" t="e">
        <f>INDEX(Stammdaten[Ovalität (']0,1'])],MATCH(Tabelle1014[[#This Row],[Rank]],Stammdaten[Rank Verteilung Ovalität],0))</f>
        <v>#N/A</v>
      </c>
      <c r="AB2918" t="e">
        <f>VLOOKUP(Tabelle1014[[#This Row],[Rank]],Stammdaten[[Rank Verteilung Ovalität]:[Verteilung Ovalität]],2,FALSE)</f>
        <v>#N/A</v>
      </c>
    </row>
    <row r="2919" spans="5:28" x14ac:dyDescent="0.35">
      <c r="E2919">
        <v>2910</v>
      </c>
      <c r="F2919" t="e">
        <f>INDEX(Stammdaten[D Mitte mit Rinde (mm)],MATCH(Tabelle8[[#This Row],[Rank]],Stammdaten[Rank Verteilung D Mitte mit Rinde],0))</f>
        <v>#N/A</v>
      </c>
      <c r="G2919" t="e">
        <f>VLOOKUP(Tabelle8[[#This Row],[Rank]],Stammdaten[[Rank Verteilung D Mitte mit Rinde]:[Verteilung D Mitte mit Rinde]],2,FALSE)</f>
        <v>#N/A</v>
      </c>
      <c r="L2919">
        <v>2910</v>
      </c>
      <c r="M2919" t="e">
        <f>INDEX(Stammdaten[Abholzigkeit (mm/lfm)],MATCH(Tabelle9[[#This Row],[Rank]],Stammdaten[Rank Verteilung Abholzigkeit],0))</f>
        <v>#N/A</v>
      </c>
      <c r="N2919" t="e">
        <f>VLOOKUP(Tabelle9[[#This Row],[Rank]],Stammdaten[[Rank Verteilung Abholzigkeit]:[Verteilung Abholzigkeit]],2,FALSE)</f>
        <v>#N/A</v>
      </c>
      <c r="S2919">
        <v>2910</v>
      </c>
      <c r="T2919" t="e">
        <f>INDEX(Stammdaten[Krümmung (mm/lfm)],MATCH(Tabelle10[[#This Row],[Rank]],Stammdaten[Rank Verteilung Krümmung],0))</f>
        <v>#N/A</v>
      </c>
      <c r="U2919" t="e">
        <f>VLOOKUP(Tabelle10[[#This Row],[Rank]],Stammdaten[[Rank Verteilung Krümmung]:[Verteilung Krümmung]],2,FALSE)</f>
        <v>#N/A</v>
      </c>
      <c r="Z2919">
        <v>2910</v>
      </c>
      <c r="AA2919" t="e">
        <f>INDEX(Stammdaten[Ovalität (']0,1'])],MATCH(Tabelle1014[[#This Row],[Rank]],Stammdaten[Rank Verteilung Ovalität],0))</f>
        <v>#N/A</v>
      </c>
      <c r="AB2919" t="e">
        <f>VLOOKUP(Tabelle1014[[#This Row],[Rank]],Stammdaten[[Rank Verteilung Ovalität]:[Verteilung Ovalität]],2,FALSE)</f>
        <v>#N/A</v>
      </c>
    </row>
    <row r="2920" spans="5:28" x14ac:dyDescent="0.35">
      <c r="E2920">
        <v>2911</v>
      </c>
      <c r="F2920" t="e">
        <f>INDEX(Stammdaten[D Mitte mit Rinde (mm)],MATCH(Tabelle8[[#This Row],[Rank]],Stammdaten[Rank Verteilung D Mitte mit Rinde],0))</f>
        <v>#N/A</v>
      </c>
      <c r="G2920" t="e">
        <f>VLOOKUP(Tabelle8[[#This Row],[Rank]],Stammdaten[[Rank Verteilung D Mitte mit Rinde]:[Verteilung D Mitte mit Rinde]],2,FALSE)</f>
        <v>#N/A</v>
      </c>
      <c r="L2920">
        <v>2911</v>
      </c>
      <c r="M2920" t="e">
        <f>INDEX(Stammdaten[Abholzigkeit (mm/lfm)],MATCH(Tabelle9[[#This Row],[Rank]],Stammdaten[Rank Verteilung Abholzigkeit],0))</f>
        <v>#N/A</v>
      </c>
      <c r="N2920" t="e">
        <f>VLOOKUP(Tabelle9[[#This Row],[Rank]],Stammdaten[[Rank Verteilung Abholzigkeit]:[Verteilung Abholzigkeit]],2,FALSE)</f>
        <v>#N/A</v>
      </c>
      <c r="S2920">
        <v>2911</v>
      </c>
      <c r="T2920" t="e">
        <f>INDEX(Stammdaten[Krümmung (mm/lfm)],MATCH(Tabelle10[[#This Row],[Rank]],Stammdaten[Rank Verteilung Krümmung],0))</f>
        <v>#N/A</v>
      </c>
      <c r="U2920" t="e">
        <f>VLOOKUP(Tabelle10[[#This Row],[Rank]],Stammdaten[[Rank Verteilung Krümmung]:[Verteilung Krümmung]],2,FALSE)</f>
        <v>#N/A</v>
      </c>
      <c r="Z2920">
        <v>2911</v>
      </c>
      <c r="AA2920" t="e">
        <f>INDEX(Stammdaten[Ovalität (']0,1'])],MATCH(Tabelle1014[[#This Row],[Rank]],Stammdaten[Rank Verteilung Ovalität],0))</f>
        <v>#N/A</v>
      </c>
      <c r="AB2920" t="e">
        <f>VLOOKUP(Tabelle1014[[#This Row],[Rank]],Stammdaten[[Rank Verteilung Ovalität]:[Verteilung Ovalität]],2,FALSE)</f>
        <v>#N/A</v>
      </c>
    </row>
    <row r="2921" spans="5:28" x14ac:dyDescent="0.35">
      <c r="E2921">
        <v>2912</v>
      </c>
      <c r="F2921" t="e">
        <f>INDEX(Stammdaten[D Mitte mit Rinde (mm)],MATCH(Tabelle8[[#This Row],[Rank]],Stammdaten[Rank Verteilung D Mitte mit Rinde],0))</f>
        <v>#N/A</v>
      </c>
      <c r="G2921" t="e">
        <f>VLOOKUP(Tabelle8[[#This Row],[Rank]],Stammdaten[[Rank Verteilung D Mitte mit Rinde]:[Verteilung D Mitte mit Rinde]],2,FALSE)</f>
        <v>#N/A</v>
      </c>
      <c r="L2921">
        <v>2912</v>
      </c>
      <c r="M2921" t="e">
        <f>INDEX(Stammdaten[Abholzigkeit (mm/lfm)],MATCH(Tabelle9[[#This Row],[Rank]],Stammdaten[Rank Verteilung Abholzigkeit],0))</f>
        <v>#N/A</v>
      </c>
      <c r="N2921" t="e">
        <f>VLOOKUP(Tabelle9[[#This Row],[Rank]],Stammdaten[[Rank Verteilung Abholzigkeit]:[Verteilung Abholzigkeit]],2,FALSE)</f>
        <v>#N/A</v>
      </c>
      <c r="S2921">
        <v>2912</v>
      </c>
      <c r="T2921" t="e">
        <f>INDEX(Stammdaten[Krümmung (mm/lfm)],MATCH(Tabelle10[[#This Row],[Rank]],Stammdaten[Rank Verteilung Krümmung],0))</f>
        <v>#N/A</v>
      </c>
      <c r="U2921" t="e">
        <f>VLOOKUP(Tabelle10[[#This Row],[Rank]],Stammdaten[[Rank Verteilung Krümmung]:[Verteilung Krümmung]],2,FALSE)</f>
        <v>#N/A</v>
      </c>
      <c r="Z2921">
        <v>2912</v>
      </c>
      <c r="AA2921" t="e">
        <f>INDEX(Stammdaten[Ovalität (']0,1'])],MATCH(Tabelle1014[[#This Row],[Rank]],Stammdaten[Rank Verteilung Ovalität],0))</f>
        <v>#N/A</v>
      </c>
      <c r="AB2921" t="e">
        <f>VLOOKUP(Tabelle1014[[#This Row],[Rank]],Stammdaten[[Rank Verteilung Ovalität]:[Verteilung Ovalität]],2,FALSE)</f>
        <v>#N/A</v>
      </c>
    </row>
    <row r="2922" spans="5:28" x14ac:dyDescent="0.35">
      <c r="E2922">
        <v>2913</v>
      </c>
      <c r="F2922" t="e">
        <f>INDEX(Stammdaten[D Mitte mit Rinde (mm)],MATCH(Tabelle8[[#This Row],[Rank]],Stammdaten[Rank Verteilung D Mitte mit Rinde],0))</f>
        <v>#N/A</v>
      </c>
      <c r="G2922" t="e">
        <f>VLOOKUP(Tabelle8[[#This Row],[Rank]],Stammdaten[[Rank Verteilung D Mitte mit Rinde]:[Verteilung D Mitte mit Rinde]],2,FALSE)</f>
        <v>#N/A</v>
      </c>
      <c r="L2922">
        <v>2913</v>
      </c>
      <c r="M2922" t="e">
        <f>INDEX(Stammdaten[Abholzigkeit (mm/lfm)],MATCH(Tabelle9[[#This Row],[Rank]],Stammdaten[Rank Verteilung Abholzigkeit],0))</f>
        <v>#N/A</v>
      </c>
      <c r="N2922" t="e">
        <f>VLOOKUP(Tabelle9[[#This Row],[Rank]],Stammdaten[[Rank Verteilung Abholzigkeit]:[Verteilung Abholzigkeit]],2,FALSE)</f>
        <v>#N/A</v>
      </c>
      <c r="S2922">
        <v>2913</v>
      </c>
      <c r="T2922" t="e">
        <f>INDEX(Stammdaten[Krümmung (mm/lfm)],MATCH(Tabelle10[[#This Row],[Rank]],Stammdaten[Rank Verteilung Krümmung],0))</f>
        <v>#N/A</v>
      </c>
      <c r="U2922" t="e">
        <f>VLOOKUP(Tabelle10[[#This Row],[Rank]],Stammdaten[[Rank Verteilung Krümmung]:[Verteilung Krümmung]],2,FALSE)</f>
        <v>#N/A</v>
      </c>
      <c r="Z2922">
        <v>2913</v>
      </c>
      <c r="AA2922" t="e">
        <f>INDEX(Stammdaten[Ovalität (']0,1'])],MATCH(Tabelle1014[[#This Row],[Rank]],Stammdaten[Rank Verteilung Ovalität],0))</f>
        <v>#N/A</v>
      </c>
      <c r="AB2922" t="e">
        <f>VLOOKUP(Tabelle1014[[#This Row],[Rank]],Stammdaten[[Rank Verteilung Ovalität]:[Verteilung Ovalität]],2,FALSE)</f>
        <v>#N/A</v>
      </c>
    </row>
    <row r="2923" spans="5:28" x14ac:dyDescent="0.35">
      <c r="E2923">
        <v>2914</v>
      </c>
      <c r="F2923" t="e">
        <f>INDEX(Stammdaten[D Mitte mit Rinde (mm)],MATCH(Tabelle8[[#This Row],[Rank]],Stammdaten[Rank Verteilung D Mitte mit Rinde],0))</f>
        <v>#N/A</v>
      </c>
      <c r="G2923" t="e">
        <f>VLOOKUP(Tabelle8[[#This Row],[Rank]],Stammdaten[[Rank Verteilung D Mitte mit Rinde]:[Verteilung D Mitte mit Rinde]],2,FALSE)</f>
        <v>#N/A</v>
      </c>
      <c r="L2923">
        <v>2914</v>
      </c>
      <c r="M2923" t="e">
        <f>INDEX(Stammdaten[Abholzigkeit (mm/lfm)],MATCH(Tabelle9[[#This Row],[Rank]],Stammdaten[Rank Verteilung Abholzigkeit],0))</f>
        <v>#N/A</v>
      </c>
      <c r="N2923" t="e">
        <f>VLOOKUP(Tabelle9[[#This Row],[Rank]],Stammdaten[[Rank Verteilung Abholzigkeit]:[Verteilung Abholzigkeit]],2,FALSE)</f>
        <v>#N/A</v>
      </c>
      <c r="S2923">
        <v>2914</v>
      </c>
      <c r="T2923" t="e">
        <f>INDEX(Stammdaten[Krümmung (mm/lfm)],MATCH(Tabelle10[[#This Row],[Rank]],Stammdaten[Rank Verteilung Krümmung],0))</f>
        <v>#N/A</v>
      </c>
      <c r="U2923" t="e">
        <f>VLOOKUP(Tabelle10[[#This Row],[Rank]],Stammdaten[[Rank Verteilung Krümmung]:[Verteilung Krümmung]],2,FALSE)</f>
        <v>#N/A</v>
      </c>
      <c r="Z2923">
        <v>2914</v>
      </c>
      <c r="AA2923" t="e">
        <f>INDEX(Stammdaten[Ovalität (']0,1'])],MATCH(Tabelle1014[[#This Row],[Rank]],Stammdaten[Rank Verteilung Ovalität],0))</f>
        <v>#N/A</v>
      </c>
      <c r="AB2923" t="e">
        <f>VLOOKUP(Tabelle1014[[#This Row],[Rank]],Stammdaten[[Rank Verteilung Ovalität]:[Verteilung Ovalität]],2,FALSE)</f>
        <v>#N/A</v>
      </c>
    </row>
    <row r="2924" spans="5:28" x14ac:dyDescent="0.35">
      <c r="E2924">
        <v>2915</v>
      </c>
      <c r="F2924" t="e">
        <f>INDEX(Stammdaten[D Mitte mit Rinde (mm)],MATCH(Tabelle8[[#This Row],[Rank]],Stammdaten[Rank Verteilung D Mitte mit Rinde],0))</f>
        <v>#N/A</v>
      </c>
      <c r="G2924" t="e">
        <f>VLOOKUP(Tabelle8[[#This Row],[Rank]],Stammdaten[[Rank Verteilung D Mitte mit Rinde]:[Verteilung D Mitte mit Rinde]],2,FALSE)</f>
        <v>#N/A</v>
      </c>
      <c r="L2924">
        <v>2915</v>
      </c>
      <c r="M2924" t="e">
        <f>INDEX(Stammdaten[Abholzigkeit (mm/lfm)],MATCH(Tabelle9[[#This Row],[Rank]],Stammdaten[Rank Verteilung Abholzigkeit],0))</f>
        <v>#N/A</v>
      </c>
      <c r="N2924" t="e">
        <f>VLOOKUP(Tabelle9[[#This Row],[Rank]],Stammdaten[[Rank Verteilung Abholzigkeit]:[Verteilung Abholzigkeit]],2,FALSE)</f>
        <v>#N/A</v>
      </c>
      <c r="S2924">
        <v>2915</v>
      </c>
      <c r="T2924" t="e">
        <f>INDEX(Stammdaten[Krümmung (mm/lfm)],MATCH(Tabelle10[[#This Row],[Rank]],Stammdaten[Rank Verteilung Krümmung],0))</f>
        <v>#N/A</v>
      </c>
      <c r="U2924" t="e">
        <f>VLOOKUP(Tabelle10[[#This Row],[Rank]],Stammdaten[[Rank Verteilung Krümmung]:[Verteilung Krümmung]],2,FALSE)</f>
        <v>#N/A</v>
      </c>
      <c r="Z2924">
        <v>2915</v>
      </c>
      <c r="AA2924" t="e">
        <f>INDEX(Stammdaten[Ovalität (']0,1'])],MATCH(Tabelle1014[[#This Row],[Rank]],Stammdaten[Rank Verteilung Ovalität],0))</f>
        <v>#N/A</v>
      </c>
      <c r="AB2924" t="e">
        <f>VLOOKUP(Tabelle1014[[#This Row],[Rank]],Stammdaten[[Rank Verteilung Ovalität]:[Verteilung Ovalität]],2,FALSE)</f>
        <v>#N/A</v>
      </c>
    </row>
    <row r="2925" spans="5:28" x14ac:dyDescent="0.35">
      <c r="E2925">
        <v>2916</v>
      </c>
      <c r="F2925" t="e">
        <f>INDEX(Stammdaten[D Mitte mit Rinde (mm)],MATCH(Tabelle8[[#This Row],[Rank]],Stammdaten[Rank Verteilung D Mitte mit Rinde],0))</f>
        <v>#N/A</v>
      </c>
      <c r="G2925" t="e">
        <f>VLOOKUP(Tabelle8[[#This Row],[Rank]],Stammdaten[[Rank Verteilung D Mitte mit Rinde]:[Verteilung D Mitte mit Rinde]],2,FALSE)</f>
        <v>#N/A</v>
      </c>
      <c r="L2925">
        <v>2916</v>
      </c>
      <c r="M2925" t="e">
        <f>INDEX(Stammdaten[Abholzigkeit (mm/lfm)],MATCH(Tabelle9[[#This Row],[Rank]],Stammdaten[Rank Verteilung Abholzigkeit],0))</f>
        <v>#N/A</v>
      </c>
      <c r="N2925" t="e">
        <f>VLOOKUP(Tabelle9[[#This Row],[Rank]],Stammdaten[[Rank Verteilung Abholzigkeit]:[Verteilung Abholzigkeit]],2,FALSE)</f>
        <v>#N/A</v>
      </c>
      <c r="S2925">
        <v>2916</v>
      </c>
      <c r="T2925" t="e">
        <f>INDEX(Stammdaten[Krümmung (mm/lfm)],MATCH(Tabelle10[[#This Row],[Rank]],Stammdaten[Rank Verteilung Krümmung],0))</f>
        <v>#N/A</v>
      </c>
      <c r="U2925" t="e">
        <f>VLOOKUP(Tabelle10[[#This Row],[Rank]],Stammdaten[[Rank Verteilung Krümmung]:[Verteilung Krümmung]],2,FALSE)</f>
        <v>#N/A</v>
      </c>
      <c r="Z2925">
        <v>2916</v>
      </c>
      <c r="AA2925" t="e">
        <f>INDEX(Stammdaten[Ovalität (']0,1'])],MATCH(Tabelle1014[[#This Row],[Rank]],Stammdaten[Rank Verteilung Ovalität],0))</f>
        <v>#N/A</v>
      </c>
      <c r="AB2925" t="e">
        <f>VLOOKUP(Tabelle1014[[#This Row],[Rank]],Stammdaten[[Rank Verteilung Ovalität]:[Verteilung Ovalität]],2,FALSE)</f>
        <v>#N/A</v>
      </c>
    </row>
    <row r="2926" spans="5:28" x14ac:dyDescent="0.35">
      <c r="E2926">
        <v>2917</v>
      </c>
      <c r="F2926" t="e">
        <f>INDEX(Stammdaten[D Mitte mit Rinde (mm)],MATCH(Tabelle8[[#This Row],[Rank]],Stammdaten[Rank Verteilung D Mitte mit Rinde],0))</f>
        <v>#N/A</v>
      </c>
      <c r="G2926" t="e">
        <f>VLOOKUP(Tabelle8[[#This Row],[Rank]],Stammdaten[[Rank Verteilung D Mitte mit Rinde]:[Verteilung D Mitte mit Rinde]],2,FALSE)</f>
        <v>#N/A</v>
      </c>
      <c r="L2926">
        <v>2917</v>
      </c>
      <c r="M2926" t="e">
        <f>INDEX(Stammdaten[Abholzigkeit (mm/lfm)],MATCH(Tabelle9[[#This Row],[Rank]],Stammdaten[Rank Verteilung Abholzigkeit],0))</f>
        <v>#N/A</v>
      </c>
      <c r="N2926" t="e">
        <f>VLOOKUP(Tabelle9[[#This Row],[Rank]],Stammdaten[[Rank Verteilung Abholzigkeit]:[Verteilung Abholzigkeit]],2,FALSE)</f>
        <v>#N/A</v>
      </c>
      <c r="S2926">
        <v>2917</v>
      </c>
      <c r="T2926" t="e">
        <f>INDEX(Stammdaten[Krümmung (mm/lfm)],MATCH(Tabelle10[[#This Row],[Rank]],Stammdaten[Rank Verteilung Krümmung],0))</f>
        <v>#N/A</v>
      </c>
      <c r="U2926" t="e">
        <f>VLOOKUP(Tabelle10[[#This Row],[Rank]],Stammdaten[[Rank Verteilung Krümmung]:[Verteilung Krümmung]],2,FALSE)</f>
        <v>#N/A</v>
      </c>
      <c r="Z2926">
        <v>2917</v>
      </c>
      <c r="AA2926" t="e">
        <f>INDEX(Stammdaten[Ovalität (']0,1'])],MATCH(Tabelle1014[[#This Row],[Rank]],Stammdaten[Rank Verteilung Ovalität],0))</f>
        <v>#N/A</v>
      </c>
      <c r="AB2926" t="e">
        <f>VLOOKUP(Tabelle1014[[#This Row],[Rank]],Stammdaten[[Rank Verteilung Ovalität]:[Verteilung Ovalität]],2,FALSE)</f>
        <v>#N/A</v>
      </c>
    </row>
    <row r="2927" spans="5:28" x14ac:dyDescent="0.35">
      <c r="E2927">
        <v>2918</v>
      </c>
      <c r="F2927" t="e">
        <f>INDEX(Stammdaten[D Mitte mit Rinde (mm)],MATCH(Tabelle8[[#This Row],[Rank]],Stammdaten[Rank Verteilung D Mitte mit Rinde],0))</f>
        <v>#N/A</v>
      </c>
      <c r="G2927" t="e">
        <f>VLOOKUP(Tabelle8[[#This Row],[Rank]],Stammdaten[[Rank Verteilung D Mitte mit Rinde]:[Verteilung D Mitte mit Rinde]],2,FALSE)</f>
        <v>#N/A</v>
      </c>
      <c r="L2927">
        <v>2918</v>
      </c>
      <c r="M2927" t="e">
        <f>INDEX(Stammdaten[Abholzigkeit (mm/lfm)],MATCH(Tabelle9[[#This Row],[Rank]],Stammdaten[Rank Verteilung Abholzigkeit],0))</f>
        <v>#N/A</v>
      </c>
      <c r="N2927" t="e">
        <f>VLOOKUP(Tabelle9[[#This Row],[Rank]],Stammdaten[[Rank Verteilung Abholzigkeit]:[Verteilung Abholzigkeit]],2,FALSE)</f>
        <v>#N/A</v>
      </c>
      <c r="S2927">
        <v>2918</v>
      </c>
      <c r="T2927" t="e">
        <f>INDEX(Stammdaten[Krümmung (mm/lfm)],MATCH(Tabelle10[[#This Row],[Rank]],Stammdaten[Rank Verteilung Krümmung],0))</f>
        <v>#N/A</v>
      </c>
      <c r="U2927" t="e">
        <f>VLOOKUP(Tabelle10[[#This Row],[Rank]],Stammdaten[[Rank Verteilung Krümmung]:[Verteilung Krümmung]],2,FALSE)</f>
        <v>#N/A</v>
      </c>
      <c r="Z2927">
        <v>2918</v>
      </c>
      <c r="AA2927" t="e">
        <f>INDEX(Stammdaten[Ovalität (']0,1'])],MATCH(Tabelle1014[[#This Row],[Rank]],Stammdaten[Rank Verteilung Ovalität],0))</f>
        <v>#N/A</v>
      </c>
      <c r="AB2927" t="e">
        <f>VLOOKUP(Tabelle1014[[#This Row],[Rank]],Stammdaten[[Rank Verteilung Ovalität]:[Verteilung Ovalität]],2,FALSE)</f>
        <v>#N/A</v>
      </c>
    </row>
    <row r="2928" spans="5:28" x14ac:dyDescent="0.35">
      <c r="E2928">
        <v>2919</v>
      </c>
      <c r="F2928" t="e">
        <f>INDEX(Stammdaten[D Mitte mit Rinde (mm)],MATCH(Tabelle8[[#This Row],[Rank]],Stammdaten[Rank Verteilung D Mitte mit Rinde],0))</f>
        <v>#N/A</v>
      </c>
      <c r="G2928" t="e">
        <f>VLOOKUP(Tabelle8[[#This Row],[Rank]],Stammdaten[[Rank Verteilung D Mitte mit Rinde]:[Verteilung D Mitte mit Rinde]],2,FALSE)</f>
        <v>#N/A</v>
      </c>
      <c r="L2928">
        <v>2919</v>
      </c>
      <c r="M2928" t="e">
        <f>INDEX(Stammdaten[Abholzigkeit (mm/lfm)],MATCH(Tabelle9[[#This Row],[Rank]],Stammdaten[Rank Verteilung Abholzigkeit],0))</f>
        <v>#N/A</v>
      </c>
      <c r="N2928" t="e">
        <f>VLOOKUP(Tabelle9[[#This Row],[Rank]],Stammdaten[[Rank Verteilung Abholzigkeit]:[Verteilung Abholzigkeit]],2,FALSE)</f>
        <v>#N/A</v>
      </c>
      <c r="S2928">
        <v>2919</v>
      </c>
      <c r="T2928" t="e">
        <f>INDEX(Stammdaten[Krümmung (mm/lfm)],MATCH(Tabelle10[[#This Row],[Rank]],Stammdaten[Rank Verteilung Krümmung],0))</f>
        <v>#N/A</v>
      </c>
      <c r="U2928" t="e">
        <f>VLOOKUP(Tabelle10[[#This Row],[Rank]],Stammdaten[[Rank Verteilung Krümmung]:[Verteilung Krümmung]],2,FALSE)</f>
        <v>#N/A</v>
      </c>
      <c r="Z2928">
        <v>2919</v>
      </c>
      <c r="AA2928" t="e">
        <f>INDEX(Stammdaten[Ovalität (']0,1'])],MATCH(Tabelle1014[[#This Row],[Rank]],Stammdaten[Rank Verteilung Ovalität],0))</f>
        <v>#N/A</v>
      </c>
      <c r="AB2928" t="e">
        <f>VLOOKUP(Tabelle1014[[#This Row],[Rank]],Stammdaten[[Rank Verteilung Ovalität]:[Verteilung Ovalität]],2,FALSE)</f>
        <v>#N/A</v>
      </c>
    </row>
    <row r="2929" spans="5:28" x14ac:dyDescent="0.35">
      <c r="E2929">
        <v>2920</v>
      </c>
      <c r="F2929" t="e">
        <f>INDEX(Stammdaten[D Mitte mit Rinde (mm)],MATCH(Tabelle8[[#This Row],[Rank]],Stammdaten[Rank Verteilung D Mitte mit Rinde],0))</f>
        <v>#N/A</v>
      </c>
      <c r="G2929" t="e">
        <f>VLOOKUP(Tabelle8[[#This Row],[Rank]],Stammdaten[[Rank Verteilung D Mitte mit Rinde]:[Verteilung D Mitte mit Rinde]],2,FALSE)</f>
        <v>#N/A</v>
      </c>
      <c r="L2929">
        <v>2920</v>
      </c>
      <c r="M2929" t="e">
        <f>INDEX(Stammdaten[Abholzigkeit (mm/lfm)],MATCH(Tabelle9[[#This Row],[Rank]],Stammdaten[Rank Verteilung Abholzigkeit],0))</f>
        <v>#N/A</v>
      </c>
      <c r="N2929" t="e">
        <f>VLOOKUP(Tabelle9[[#This Row],[Rank]],Stammdaten[[Rank Verteilung Abholzigkeit]:[Verteilung Abholzigkeit]],2,FALSE)</f>
        <v>#N/A</v>
      </c>
      <c r="S2929">
        <v>2920</v>
      </c>
      <c r="T2929" t="e">
        <f>INDEX(Stammdaten[Krümmung (mm/lfm)],MATCH(Tabelle10[[#This Row],[Rank]],Stammdaten[Rank Verteilung Krümmung],0))</f>
        <v>#N/A</v>
      </c>
      <c r="U2929" t="e">
        <f>VLOOKUP(Tabelle10[[#This Row],[Rank]],Stammdaten[[Rank Verteilung Krümmung]:[Verteilung Krümmung]],2,FALSE)</f>
        <v>#N/A</v>
      </c>
      <c r="Z2929">
        <v>2920</v>
      </c>
      <c r="AA2929" t="e">
        <f>INDEX(Stammdaten[Ovalität (']0,1'])],MATCH(Tabelle1014[[#This Row],[Rank]],Stammdaten[Rank Verteilung Ovalität],0))</f>
        <v>#N/A</v>
      </c>
      <c r="AB2929" t="e">
        <f>VLOOKUP(Tabelle1014[[#This Row],[Rank]],Stammdaten[[Rank Verteilung Ovalität]:[Verteilung Ovalität]],2,FALSE)</f>
        <v>#N/A</v>
      </c>
    </row>
    <row r="2930" spans="5:28" x14ac:dyDescent="0.35">
      <c r="E2930">
        <v>2921</v>
      </c>
      <c r="F2930" t="e">
        <f>INDEX(Stammdaten[D Mitte mit Rinde (mm)],MATCH(Tabelle8[[#This Row],[Rank]],Stammdaten[Rank Verteilung D Mitte mit Rinde],0))</f>
        <v>#N/A</v>
      </c>
      <c r="G2930" t="e">
        <f>VLOOKUP(Tabelle8[[#This Row],[Rank]],Stammdaten[[Rank Verteilung D Mitte mit Rinde]:[Verteilung D Mitte mit Rinde]],2,FALSE)</f>
        <v>#N/A</v>
      </c>
      <c r="L2930">
        <v>2921</v>
      </c>
      <c r="M2930" t="e">
        <f>INDEX(Stammdaten[Abholzigkeit (mm/lfm)],MATCH(Tabelle9[[#This Row],[Rank]],Stammdaten[Rank Verteilung Abholzigkeit],0))</f>
        <v>#N/A</v>
      </c>
      <c r="N2930" t="e">
        <f>VLOOKUP(Tabelle9[[#This Row],[Rank]],Stammdaten[[Rank Verteilung Abholzigkeit]:[Verteilung Abholzigkeit]],2,FALSE)</f>
        <v>#N/A</v>
      </c>
      <c r="S2930">
        <v>2921</v>
      </c>
      <c r="T2930" t="e">
        <f>INDEX(Stammdaten[Krümmung (mm/lfm)],MATCH(Tabelle10[[#This Row],[Rank]],Stammdaten[Rank Verteilung Krümmung],0))</f>
        <v>#N/A</v>
      </c>
      <c r="U2930" t="e">
        <f>VLOOKUP(Tabelle10[[#This Row],[Rank]],Stammdaten[[Rank Verteilung Krümmung]:[Verteilung Krümmung]],2,FALSE)</f>
        <v>#N/A</v>
      </c>
      <c r="Z2930">
        <v>2921</v>
      </c>
      <c r="AA2930" t="e">
        <f>INDEX(Stammdaten[Ovalität (']0,1'])],MATCH(Tabelle1014[[#This Row],[Rank]],Stammdaten[Rank Verteilung Ovalität],0))</f>
        <v>#N/A</v>
      </c>
      <c r="AB2930" t="e">
        <f>VLOOKUP(Tabelle1014[[#This Row],[Rank]],Stammdaten[[Rank Verteilung Ovalität]:[Verteilung Ovalität]],2,FALSE)</f>
        <v>#N/A</v>
      </c>
    </row>
    <row r="2931" spans="5:28" x14ac:dyDescent="0.35">
      <c r="E2931">
        <v>2922</v>
      </c>
      <c r="F2931" t="e">
        <f>INDEX(Stammdaten[D Mitte mit Rinde (mm)],MATCH(Tabelle8[[#This Row],[Rank]],Stammdaten[Rank Verteilung D Mitte mit Rinde],0))</f>
        <v>#N/A</v>
      </c>
      <c r="G2931" t="e">
        <f>VLOOKUP(Tabelle8[[#This Row],[Rank]],Stammdaten[[Rank Verteilung D Mitte mit Rinde]:[Verteilung D Mitte mit Rinde]],2,FALSE)</f>
        <v>#N/A</v>
      </c>
      <c r="L2931">
        <v>2922</v>
      </c>
      <c r="M2931" t="e">
        <f>INDEX(Stammdaten[Abholzigkeit (mm/lfm)],MATCH(Tabelle9[[#This Row],[Rank]],Stammdaten[Rank Verteilung Abholzigkeit],0))</f>
        <v>#N/A</v>
      </c>
      <c r="N2931" t="e">
        <f>VLOOKUP(Tabelle9[[#This Row],[Rank]],Stammdaten[[Rank Verteilung Abholzigkeit]:[Verteilung Abholzigkeit]],2,FALSE)</f>
        <v>#N/A</v>
      </c>
      <c r="S2931">
        <v>2922</v>
      </c>
      <c r="T2931" t="e">
        <f>INDEX(Stammdaten[Krümmung (mm/lfm)],MATCH(Tabelle10[[#This Row],[Rank]],Stammdaten[Rank Verteilung Krümmung],0))</f>
        <v>#N/A</v>
      </c>
      <c r="U2931" t="e">
        <f>VLOOKUP(Tabelle10[[#This Row],[Rank]],Stammdaten[[Rank Verteilung Krümmung]:[Verteilung Krümmung]],2,FALSE)</f>
        <v>#N/A</v>
      </c>
      <c r="Z2931">
        <v>2922</v>
      </c>
      <c r="AA2931" t="e">
        <f>INDEX(Stammdaten[Ovalität (']0,1'])],MATCH(Tabelle1014[[#This Row],[Rank]],Stammdaten[Rank Verteilung Ovalität],0))</f>
        <v>#N/A</v>
      </c>
      <c r="AB2931" t="e">
        <f>VLOOKUP(Tabelle1014[[#This Row],[Rank]],Stammdaten[[Rank Verteilung Ovalität]:[Verteilung Ovalität]],2,FALSE)</f>
        <v>#N/A</v>
      </c>
    </row>
    <row r="2932" spans="5:28" x14ac:dyDescent="0.35">
      <c r="E2932">
        <v>2923</v>
      </c>
      <c r="F2932" t="e">
        <f>INDEX(Stammdaten[D Mitte mit Rinde (mm)],MATCH(Tabelle8[[#This Row],[Rank]],Stammdaten[Rank Verteilung D Mitte mit Rinde],0))</f>
        <v>#N/A</v>
      </c>
      <c r="G2932" t="e">
        <f>VLOOKUP(Tabelle8[[#This Row],[Rank]],Stammdaten[[Rank Verteilung D Mitte mit Rinde]:[Verteilung D Mitte mit Rinde]],2,FALSE)</f>
        <v>#N/A</v>
      </c>
      <c r="L2932">
        <v>2923</v>
      </c>
      <c r="M2932" t="e">
        <f>INDEX(Stammdaten[Abholzigkeit (mm/lfm)],MATCH(Tabelle9[[#This Row],[Rank]],Stammdaten[Rank Verteilung Abholzigkeit],0))</f>
        <v>#N/A</v>
      </c>
      <c r="N2932" t="e">
        <f>VLOOKUP(Tabelle9[[#This Row],[Rank]],Stammdaten[[Rank Verteilung Abholzigkeit]:[Verteilung Abholzigkeit]],2,FALSE)</f>
        <v>#N/A</v>
      </c>
      <c r="S2932">
        <v>2923</v>
      </c>
      <c r="T2932" t="e">
        <f>INDEX(Stammdaten[Krümmung (mm/lfm)],MATCH(Tabelle10[[#This Row],[Rank]],Stammdaten[Rank Verteilung Krümmung],0))</f>
        <v>#N/A</v>
      </c>
      <c r="U2932" t="e">
        <f>VLOOKUP(Tabelle10[[#This Row],[Rank]],Stammdaten[[Rank Verteilung Krümmung]:[Verteilung Krümmung]],2,FALSE)</f>
        <v>#N/A</v>
      </c>
      <c r="Z2932">
        <v>2923</v>
      </c>
      <c r="AA2932" t="e">
        <f>INDEX(Stammdaten[Ovalität (']0,1'])],MATCH(Tabelle1014[[#This Row],[Rank]],Stammdaten[Rank Verteilung Ovalität],0))</f>
        <v>#N/A</v>
      </c>
      <c r="AB2932" t="e">
        <f>VLOOKUP(Tabelle1014[[#This Row],[Rank]],Stammdaten[[Rank Verteilung Ovalität]:[Verteilung Ovalität]],2,FALSE)</f>
        <v>#N/A</v>
      </c>
    </row>
    <row r="2933" spans="5:28" x14ac:dyDescent="0.35">
      <c r="E2933">
        <v>2924</v>
      </c>
      <c r="F2933" t="e">
        <f>INDEX(Stammdaten[D Mitte mit Rinde (mm)],MATCH(Tabelle8[[#This Row],[Rank]],Stammdaten[Rank Verteilung D Mitte mit Rinde],0))</f>
        <v>#N/A</v>
      </c>
      <c r="G2933" t="e">
        <f>VLOOKUP(Tabelle8[[#This Row],[Rank]],Stammdaten[[Rank Verteilung D Mitte mit Rinde]:[Verteilung D Mitte mit Rinde]],2,FALSE)</f>
        <v>#N/A</v>
      </c>
      <c r="L2933">
        <v>2924</v>
      </c>
      <c r="M2933" t="e">
        <f>INDEX(Stammdaten[Abholzigkeit (mm/lfm)],MATCH(Tabelle9[[#This Row],[Rank]],Stammdaten[Rank Verteilung Abholzigkeit],0))</f>
        <v>#N/A</v>
      </c>
      <c r="N2933" t="e">
        <f>VLOOKUP(Tabelle9[[#This Row],[Rank]],Stammdaten[[Rank Verteilung Abholzigkeit]:[Verteilung Abholzigkeit]],2,FALSE)</f>
        <v>#N/A</v>
      </c>
      <c r="S2933">
        <v>2924</v>
      </c>
      <c r="T2933" t="e">
        <f>INDEX(Stammdaten[Krümmung (mm/lfm)],MATCH(Tabelle10[[#This Row],[Rank]],Stammdaten[Rank Verteilung Krümmung],0))</f>
        <v>#N/A</v>
      </c>
      <c r="U2933" t="e">
        <f>VLOOKUP(Tabelle10[[#This Row],[Rank]],Stammdaten[[Rank Verteilung Krümmung]:[Verteilung Krümmung]],2,FALSE)</f>
        <v>#N/A</v>
      </c>
      <c r="Z2933">
        <v>2924</v>
      </c>
      <c r="AA2933" t="e">
        <f>INDEX(Stammdaten[Ovalität (']0,1'])],MATCH(Tabelle1014[[#This Row],[Rank]],Stammdaten[Rank Verteilung Ovalität],0))</f>
        <v>#N/A</v>
      </c>
      <c r="AB2933" t="e">
        <f>VLOOKUP(Tabelle1014[[#This Row],[Rank]],Stammdaten[[Rank Verteilung Ovalität]:[Verteilung Ovalität]],2,FALSE)</f>
        <v>#N/A</v>
      </c>
    </row>
    <row r="2934" spans="5:28" x14ac:dyDescent="0.35">
      <c r="E2934">
        <v>2925</v>
      </c>
      <c r="F2934" t="e">
        <f>INDEX(Stammdaten[D Mitte mit Rinde (mm)],MATCH(Tabelle8[[#This Row],[Rank]],Stammdaten[Rank Verteilung D Mitte mit Rinde],0))</f>
        <v>#N/A</v>
      </c>
      <c r="G2934" t="e">
        <f>VLOOKUP(Tabelle8[[#This Row],[Rank]],Stammdaten[[Rank Verteilung D Mitte mit Rinde]:[Verteilung D Mitte mit Rinde]],2,FALSE)</f>
        <v>#N/A</v>
      </c>
      <c r="L2934">
        <v>2925</v>
      </c>
      <c r="M2934" t="e">
        <f>INDEX(Stammdaten[Abholzigkeit (mm/lfm)],MATCH(Tabelle9[[#This Row],[Rank]],Stammdaten[Rank Verteilung Abholzigkeit],0))</f>
        <v>#N/A</v>
      </c>
      <c r="N2934" t="e">
        <f>VLOOKUP(Tabelle9[[#This Row],[Rank]],Stammdaten[[Rank Verteilung Abholzigkeit]:[Verteilung Abholzigkeit]],2,FALSE)</f>
        <v>#N/A</v>
      </c>
      <c r="S2934">
        <v>2925</v>
      </c>
      <c r="T2934" t="e">
        <f>INDEX(Stammdaten[Krümmung (mm/lfm)],MATCH(Tabelle10[[#This Row],[Rank]],Stammdaten[Rank Verteilung Krümmung],0))</f>
        <v>#N/A</v>
      </c>
      <c r="U2934" t="e">
        <f>VLOOKUP(Tabelle10[[#This Row],[Rank]],Stammdaten[[Rank Verteilung Krümmung]:[Verteilung Krümmung]],2,FALSE)</f>
        <v>#N/A</v>
      </c>
      <c r="Z2934">
        <v>2925</v>
      </c>
      <c r="AA2934" t="e">
        <f>INDEX(Stammdaten[Ovalität (']0,1'])],MATCH(Tabelle1014[[#This Row],[Rank]],Stammdaten[Rank Verteilung Ovalität],0))</f>
        <v>#N/A</v>
      </c>
      <c r="AB2934" t="e">
        <f>VLOOKUP(Tabelle1014[[#This Row],[Rank]],Stammdaten[[Rank Verteilung Ovalität]:[Verteilung Ovalität]],2,FALSE)</f>
        <v>#N/A</v>
      </c>
    </row>
    <row r="2935" spans="5:28" x14ac:dyDescent="0.35">
      <c r="E2935">
        <v>2926</v>
      </c>
      <c r="F2935" t="e">
        <f>INDEX(Stammdaten[D Mitte mit Rinde (mm)],MATCH(Tabelle8[[#This Row],[Rank]],Stammdaten[Rank Verteilung D Mitte mit Rinde],0))</f>
        <v>#N/A</v>
      </c>
      <c r="G2935" t="e">
        <f>VLOOKUP(Tabelle8[[#This Row],[Rank]],Stammdaten[[Rank Verteilung D Mitte mit Rinde]:[Verteilung D Mitte mit Rinde]],2,FALSE)</f>
        <v>#N/A</v>
      </c>
      <c r="L2935">
        <v>2926</v>
      </c>
      <c r="M2935" t="e">
        <f>INDEX(Stammdaten[Abholzigkeit (mm/lfm)],MATCH(Tabelle9[[#This Row],[Rank]],Stammdaten[Rank Verteilung Abholzigkeit],0))</f>
        <v>#N/A</v>
      </c>
      <c r="N2935" t="e">
        <f>VLOOKUP(Tabelle9[[#This Row],[Rank]],Stammdaten[[Rank Verteilung Abholzigkeit]:[Verteilung Abholzigkeit]],2,FALSE)</f>
        <v>#N/A</v>
      </c>
      <c r="S2935">
        <v>2926</v>
      </c>
      <c r="T2935" t="e">
        <f>INDEX(Stammdaten[Krümmung (mm/lfm)],MATCH(Tabelle10[[#This Row],[Rank]],Stammdaten[Rank Verteilung Krümmung],0))</f>
        <v>#N/A</v>
      </c>
      <c r="U2935" t="e">
        <f>VLOOKUP(Tabelle10[[#This Row],[Rank]],Stammdaten[[Rank Verteilung Krümmung]:[Verteilung Krümmung]],2,FALSE)</f>
        <v>#N/A</v>
      </c>
      <c r="Z2935">
        <v>2926</v>
      </c>
      <c r="AA2935" t="e">
        <f>INDEX(Stammdaten[Ovalität (']0,1'])],MATCH(Tabelle1014[[#This Row],[Rank]],Stammdaten[Rank Verteilung Ovalität],0))</f>
        <v>#N/A</v>
      </c>
      <c r="AB2935" t="e">
        <f>VLOOKUP(Tabelle1014[[#This Row],[Rank]],Stammdaten[[Rank Verteilung Ovalität]:[Verteilung Ovalität]],2,FALSE)</f>
        <v>#N/A</v>
      </c>
    </row>
    <row r="2936" spans="5:28" x14ac:dyDescent="0.35">
      <c r="E2936">
        <v>2927</v>
      </c>
      <c r="F2936" t="e">
        <f>INDEX(Stammdaten[D Mitte mit Rinde (mm)],MATCH(Tabelle8[[#This Row],[Rank]],Stammdaten[Rank Verteilung D Mitte mit Rinde],0))</f>
        <v>#N/A</v>
      </c>
      <c r="G2936" t="e">
        <f>VLOOKUP(Tabelle8[[#This Row],[Rank]],Stammdaten[[Rank Verteilung D Mitte mit Rinde]:[Verteilung D Mitte mit Rinde]],2,FALSE)</f>
        <v>#N/A</v>
      </c>
      <c r="L2936">
        <v>2927</v>
      </c>
      <c r="M2936" t="e">
        <f>INDEX(Stammdaten[Abholzigkeit (mm/lfm)],MATCH(Tabelle9[[#This Row],[Rank]],Stammdaten[Rank Verteilung Abholzigkeit],0))</f>
        <v>#N/A</v>
      </c>
      <c r="N2936" t="e">
        <f>VLOOKUP(Tabelle9[[#This Row],[Rank]],Stammdaten[[Rank Verteilung Abholzigkeit]:[Verteilung Abholzigkeit]],2,FALSE)</f>
        <v>#N/A</v>
      </c>
      <c r="S2936">
        <v>2927</v>
      </c>
      <c r="T2936" t="e">
        <f>INDEX(Stammdaten[Krümmung (mm/lfm)],MATCH(Tabelle10[[#This Row],[Rank]],Stammdaten[Rank Verteilung Krümmung],0))</f>
        <v>#N/A</v>
      </c>
      <c r="U2936" t="e">
        <f>VLOOKUP(Tabelle10[[#This Row],[Rank]],Stammdaten[[Rank Verteilung Krümmung]:[Verteilung Krümmung]],2,FALSE)</f>
        <v>#N/A</v>
      </c>
      <c r="Z2936">
        <v>2927</v>
      </c>
      <c r="AA2936" t="e">
        <f>INDEX(Stammdaten[Ovalität (']0,1'])],MATCH(Tabelle1014[[#This Row],[Rank]],Stammdaten[Rank Verteilung Ovalität],0))</f>
        <v>#N/A</v>
      </c>
      <c r="AB2936" t="e">
        <f>VLOOKUP(Tabelle1014[[#This Row],[Rank]],Stammdaten[[Rank Verteilung Ovalität]:[Verteilung Ovalität]],2,FALSE)</f>
        <v>#N/A</v>
      </c>
    </row>
    <row r="2937" spans="5:28" x14ac:dyDescent="0.35">
      <c r="E2937">
        <v>2928</v>
      </c>
      <c r="F2937" t="e">
        <f>INDEX(Stammdaten[D Mitte mit Rinde (mm)],MATCH(Tabelle8[[#This Row],[Rank]],Stammdaten[Rank Verteilung D Mitte mit Rinde],0))</f>
        <v>#N/A</v>
      </c>
      <c r="G2937" t="e">
        <f>VLOOKUP(Tabelle8[[#This Row],[Rank]],Stammdaten[[Rank Verteilung D Mitte mit Rinde]:[Verteilung D Mitte mit Rinde]],2,FALSE)</f>
        <v>#N/A</v>
      </c>
      <c r="L2937">
        <v>2928</v>
      </c>
      <c r="M2937" t="e">
        <f>INDEX(Stammdaten[Abholzigkeit (mm/lfm)],MATCH(Tabelle9[[#This Row],[Rank]],Stammdaten[Rank Verteilung Abholzigkeit],0))</f>
        <v>#N/A</v>
      </c>
      <c r="N2937" t="e">
        <f>VLOOKUP(Tabelle9[[#This Row],[Rank]],Stammdaten[[Rank Verteilung Abholzigkeit]:[Verteilung Abholzigkeit]],2,FALSE)</f>
        <v>#N/A</v>
      </c>
      <c r="S2937">
        <v>2928</v>
      </c>
      <c r="T2937" t="e">
        <f>INDEX(Stammdaten[Krümmung (mm/lfm)],MATCH(Tabelle10[[#This Row],[Rank]],Stammdaten[Rank Verteilung Krümmung],0))</f>
        <v>#N/A</v>
      </c>
      <c r="U2937" t="e">
        <f>VLOOKUP(Tabelle10[[#This Row],[Rank]],Stammdaten[[Rank Verteilung Krümmung]:[Verteilung Krümmung]],2,FALSE)</f>
        <v>#N/A</v>
      </c>
      <c r="Z2937">
        <v>2928</v>
      </c>
      <c r="AA2937" t="e">
        <f>INDEX(Stammdaten[Ovalität (']0,1'])],MATCH(Tabelle1014[[#This Row],[Rank]],Stammdaten[Rank Verteilung Ovalität],0))</f>
        <v>#N/A</v>
      </c>
      <c r="AB2937" t="e">
        <f>VLOOKUP(Tabelle1014[[#This Row],[Rank]],Stammdaten[[Rank Verteilung Ovalität]:[Verteilung Ovalität]],2,FALSE)</f>
        <v>#N/A</v>
      </c>
    </row>
    <row r="2938" spans="5:28" x14ac:dyDescent="0.35">
      <c r="E2938">
        <v>2929</v>
      </c>
      <c r="F2938" t="e">
        <f>INDEX(Stammdaten[D Mitte mit Rinde (mm)],MATCH(Tabelle8[[#This Row],[Rank]],Stammdaten[Rank Verteilung D Mitte mit Rinde],0))</f>
        <v>#N/A</v>
      </c>
      <c r="G2938" t="e">
        <f>VLOOKUP(Tabelle8[[#This Row],[Rank]],Stammdaten[[Rank Verteilung D Mitte mit Rinde]:[Verteilung D Mitte mit Rinde]],2,FALSE)</f>
        <v>#N/A</v>
      </c>
      <c r="L2938">
        <v>2929</v>
      </c>
      <c r="M2938" t="e">
        <f>INDEX(Stammdaten[Abholzigkeit (mm/lfm)],MATCH(Tabelle9[[#This Row],[Rank]],Stammdaten[Rank Verteilung Abholzigkeit],0))</f>
        <v>#N/A</v>
      </c>
      <c r="N2938" t="e">
        <f>VLOOKUP(Tabelle9[[#This Row],[Rank]],Stammdaten[[Rank Verteilung Abholzigkeit]:[Verteilung Abholzigkeit]],2,FALSE)</f>
        <v>#N/A</v>
      </c>
      <c r="S2938">
        <v>2929</v>
      </c>
      <c r="T2938" t="e">
        <f>INDEX(Stammdaten[Krümmung (mm/lfm)],MATCH(Tabelle10[[#This Row],[Rank]],Stammdaten[Rank Verteilung Krümmung],0))</f>
        <v>#N/A</v>
      </c>
      <c r="U2938" t="e">
        <f>VLOOKUP(Tabelle10[[#This Row],[Rank]],Stammdaten[[Rank Verteilung Krümmung]:[Verteilung Krümmung]],2,FALSE)</f>
        <v>#N/A</v>
      </c>
      <c r="Z2938">
        <v>2929</v>
      </c>
      <c r="AA2938" t="e">
        <f>INDEX(Stammdaten[Ovalität (']0,1'])],MATCH(Tabelle1014[[#This Row],[Rank]],Stammdaten[Rank Verteilung Ovalität],0))</f>
        <v>#N/A</v>
      </c>
      <c r="AB2938" t="e">
        <f>VLOOKUP(Tabelle1014[[#This Row],[Rank]],Stammdaten[[Rank Verteilung Ovalität]:[Verteilung Ovalität]],2,FALSE)</f>
        <v>#N/A</v>
      </c>
    </row>
    <row r="2939" spans="5:28" x14ac:dyDescent="0.35">
      <c r="E2939">
        <v>2930</v>
      </c>
      <c r="F2939" t="e">
        <f>INDEX(Stammdaten[D Mitte mit Rinde (mm)],MATCH(Tabelle8[[#This Row],[Rank]],Stammdaten[Rank Verteilung D Mitte mit Rinde],0))</f>
        <v>#N/A</v>
      </c>
      <c r="G2939" t="e">
        <f>VLOOKUP(Tabelle8[[#This Row],[Rank]],Stammdaten[[Rank Verteilung D Mitte mit Rinde]:[Verteilung D Mitte mit Rinde]],2,FALSE)</f>
        <v>#N/A</v>
      </c>
      <c r="L2939">
        <v>2930</v>
      </c>
      <c r="M2939" t="e">
        <f>INDEX(Stammdaten[Abholzigkeit (mm/lfm)],MATCH(Tabelle9[[#This Row],[Rank]],Stammdaten[Rank Verteilung Abholzigkeit],0))</f>
        <v>#N/A</v>
      </c>
      <c r="N2939" t="e">
        <f>VLOOKUP(Tabelle9[[#This Row],[Rank]],Stammdaten[[Rank Verteilung Abholzigkeit]:[Verteilung Abholzigkeit]],2,FALSE)</f>
        <v>#N/A</v>
      </c>
      <c r="S2939">
        <v>2930</v>
      </c>
      <c r="T2939" t="e">
        <f>INDEX(Stammdaten[Krümmung (mm/lfm)],MATCH(Tabelle10[[#This Row],[Rank]],Stammdaten[Rank Verteilung Krümmung],0))</f>
        <v>#N/A</v>
      </c>
      <c r="U2939" t="e">
        <f>VLOOKUP(Tabelle10[[#This Row],[Rank]],Stammdaten[[Rank Verteilung Krümmung]:[Verteilung Krümmung]],2,FALSE)</f>
        <v>#N/A</v>
      </c>
      <c r="Z2939">
        <v>2930</v>
      </c>
      <c r="AA2939" t="e">
        <f>INDEX(Stammdaten[Ovalität (']0,1'])],MATCH(Tabelle1014[[#This Row],[Rank]],Stammdaten[Rank Verteilung Ovalität],0))</f>
        <v>#N/A</v>
      </c>
      <c r="AB2939" t="e">
        <f>VLOOKUP(Tabelle1014[[#This Row],[Rank]],Stammdaten[[Rank Verteilung Ovalität]:[Verteilung Ovalität]],2,FALSE)</f>
        <v>#N/A</v>
      </c>
    </row>
    <row r="2940" spans="5:28" x14ac:dyDescent="0.35">
      <c r="E2940">
        <v>2931</v>
      </c>
      <c r="F2940" t="e">
        <f>INDEX(Stammdaten[D Mitte mit Rinde (mm)],MATCH(Tabelle8[[#This Row],[Rank]],Stammdaten[Rank Verteilung D Mitte mit Rinde],0))</f>
        <v>#N/A</v>
      </c>
      <c r="G2940" t="e">
        <f>VLOOKUP(Tabelle8[[#This Row],[Rank]],Stammdaten[[Rank Verteilung D Mitte mit Rinde]:[Verteilung D Mitte mit Rinde]],2,FALSE)</f>
        <v>#N/A</v>
      </c>
      <c r="L2940">
        <v>2931</v>
      </c>
      <c r="M2940" t="e">
        <f>INDEX(Stammdaten[Abholzigkeit (mm/lfm)],MATCH(Tabelle9[[#This Row],[Rank]],Stammdaten[Rank Verteilung Abholzigkeit],0))</f>
        <v>#N/A</v>
      </c>
      <c r="N2940" t="e">
        <f>VLOOKUP(Tabelle9[[#This Row],[Rank]],Stammdaten[[Rank Verteilung Abholzigkeit]:[Verteilung Abholzigkeit]],2,FALSE)</f>
        <v>#N/A</v>
      </c>
      <c r="S2940">
        <v>2931</v>
      </c>
      <c r="T2940" t="e">
        <f>INDEX(Stammdaten[Krümmung (mm/lfm)],MATCH(Tabelle10[[#This Row],[Rank]],Stammdaten[Rank Verteilung Krümmung],0))</f>
        <v>#N/A</v>
      </c>
      <c r="U2940" t="e">
        <f>VLOOKUP(Tabelle10[[#This Row],[Rank]],Stammdaten[[Rank Verteilung Krümmung]:[Verteilung Krümmung]],2,FALSE)</f>
        <v>#N/A</v>
      </c>
      <c r="Z2940">
        <v>2931</v>
      </c>
      <c r="AA2940" t="e">
        <f>INDEX(Stammdaten[Ovalität (']0,1'])],MATCH(Tabelle1014[[#This Row],[Rank]],Stammdaten[Rank Verteilung Ovalität],0))</f>
        <v>#N/A</v>
      </c>
      <c r="AB2940" t="e">
        <f>VLOOKUP(Tabelle1014[[#This Row],[Rank]],Stammdaten[[Rank Verteilung Ovalität]:[Verteilung Ovalität]],2,FALSE)</f>
        <v>#N/A</v>
      </c>
    </row>
    <row r="2941" spans="5:28" x14ac:dyDescent="0.35">
      <c r="E2941">
        <v>2932</v>
      </c>
      <c r="F2941" t="e">
        <f>INDEX(Stammdaten[D Mitte mit Rinde (mm)],MATCH(Tabelle8[[#This Row],[Rank]],Stammdaten[Rank Verteilung D Mitte mit Rinde],0))</f>
        <v>#N/A</v>
      </c>
      <c r="G2941" t="e">
        <f>VLOOKUP(Tabelle8[[#This Row],[Rank]],Stammdaten[[Rank Verteilung D Mitte mit Rinde]:[Verteilung D Mitte mit Rinde]],2,FALSE)</f>
        <v>#N/A</v>
      </c>
      <c r="L2941">
        <v>2932</v>
      </c>
      <c r="M2941" t="e">
        <f>INDEX(Stammdaten[Abholzigkeit (mm/lfm)],MATCH(Tabelle9[[#This Row],[Rank]],Stammdaten[Rank Verteilung Abholzigkeit],0))</f>
        <v>#N/A</v>
      </c>
      <c r="N2941" t="e">
        <f>VLOOKUP(Tabelle9[[#This Row],[Rank]],Stammdaten[[Rank Verteilung Abholzigkeit]:[Verteilung Abholzigkeit]],2,FALSE)</f>
        <v>#N/A</v>
      </c>
      <c r="S2941">
        <v>2932</v>
      </c>
      <c r="T2941" t="e">
        <f>INDEX(Stammdaten[Krümmung (mm/lfm)],MATCH(Tabelle10[[#This Row],[Rank]],Stammdaten[Rank Verteilung Krümmung],0))</f>
        <v>#N/A</v>
      </c>
      <c r="U2941" t="e">
        <f>VLOOKUP(Tabelle10[[#This Row],[Rank]],Stammdaten[[Rank Verteilung Krümmung]:[Verteilung Krümmung]],2,FALSE)</f>
        <v>#N/A</v>
      </c>
      <c r="Z2941">
        <v>2932</v>
      </c>
      <c r="AA2941" t="e">
        <f>INDEX(Stammdaten[Ovalität (']0,1'])],MATCH(Tabelle1014[[#This Row],[Rank]],Stammdaten[Rank Verteilung Ovalität],0))</f>
        <v>#N/A</v>
      </c>
      <c r="AB2941" t="e">
        <f>VLOOKUP(Tabelle1014[[#This Row],[Rank]],Stammdaten[[Rank Verteilung Ovalität]:[Verteilung Ovalität]],2,FALSE)</f>
        <v>#N/A</v>
      </c>
    </row>
    <row r="2942" spans="5:28" x14ac:dyDescent="0.35">
      <c r="E2942">
        <v>2933</v>
      </c>
      <c r="F2942" t="e">
        <f>INDEX(Stammdaten[D Mitte mit Rinde (mm)],MATCH(Tabelle8[[#This Row],[Rank]],Stammdaten[Rank Verteilung D Mitte mit Rinde],0))</f>
        <v>#N/A</v>
      </c>
      <c r="G2942" t="e">
        <f>VLOOKUP(Tabelle8[[#This Row],[Rank]],Stammdaten[[Rank Verteilung D Mitte mit Rinde]:[Verteilung D Mitte mit Rinde]],2,FALSE)</f>
        <v>#N/A</v>
      </c>
      <c r="L2942">
        <v>2933</v>
      </c>
      <c r="M2942" t="e">
        <f>INDEX(Stammdaten[Abholzigkeit (mm/lfm)],MATCH(Tabelle9[[#This Row],[Rank]],Stammdaten[Rank Verteilung Abholzigkeit],0))</f>
        <v>#N/A</v>
      </c>
      <c r="N2942" t="e">
        <f>VLOOKUP(Tabelle9[[#This Row],[Rank]],Stammdaten[[Rank Verteilung Abholzigkeit]:[Verteilung Abholzigkeit]],2,FALSE)</f>
        <v>#N/A</v>
      </c>
      <c r="S2942">
        <v>2933</v>
      </c>
      <c r="T2942" t="e">
        <f>INDEX(Stammdaten[Krümmung (mm/lfm)],MATCH(Tabelle10[[#This Row],[Rank]],Stammdaten[Rank Verteilung Krümmung],0))</f>
        <v>#N/A</v>
      </c>
      <c r="U2942" t="e">
        <f>VLOOKUP(Tabelle10[[#This Row],[Rank]],Stammdaten[[Rank Verteilung Krümmung]:[Verteilung Krümmung]],2,FALSE)</f>
        <v>#N/A</v>
      </c>
      <c r="Z2942">
        <v>2933</v>
      </c>
      <c r="AA2942" t="e">
        <f>INDEX(Stammdaten[Ovalität (']0,1'])],MATCH(Tabelle1014[[#This Row],[Rank]],Stammdaten[Rank Verteilung Ovalität],0))</f>
        <v>#N/A</v>
      </c>
      <c r="AB2942" t="e">
        <f>VLOOKUP(Tabelle1014[[#This Row],[Rank]],Stammdaten[[Rank Verteilung Ovalität]:[Verteilung Ovalität]],2,FALSE)</f>
        <v>#N/A</v>
      </c>
    </row>
    <row r="2943" spans="5:28" x14ac:dyDescent="0.35">
      <c r="E2943">
        <v>2934</v>
      </c>
      <c r="F2943" t="e">
        <f>INDEX(Stammdaten[D Mitte mit Rinde (mm)],MATCH(Tabelle8[[#This Row],[Rank]],Stammdaten[Rank Verteilung D Mitte mit Rinde],0))</f>
        <v>#N/A</v>
      </c>
      <c r="G2943" t="e">
        <f>VLOOKUP(Tabelle8[[#This Row],[Rank]],Stammdaten[[Rank Verteilung D Mitte mit Rinde]:[Verteilung D Mitte mit Rinde]],2,FALSE)</f>
        <v>#N/A</v>
      </c>
      <c r="L2943">
        <v>2934</v>
      </c>
      <c r="M2943" t="e">
        <f>INDEX(Stammdaten[Abholzigkeit (mm/lfm)],MATCH(Tabelle9[[#This Row],[Rank]],Stammdaten[Rank Verteilung Abholzigkeit],0))</f>
        <v>#N/A</v>
      </c>
      <c r="N2943" t="e">
        <f>VLOOKUP(Tabelle9[[#This Row],[Rank]],Stammdaten[[Rank Verteilung Abholzigkeit]:[Verteilung Abholzigkeit]],2,FALSE)</f>
        <v>#N/A</v>
      </c>
      <c r="S2943">
        <v>2934</v>
      </c>
      <c r="T2943" t="e">
        <f>INDEX(Stammdaten[Krümmung (mm/lfm)],MATCH(Tabelle10[[#This Row],[Rank]],Stammdaten[Rank Verteilung Krümmung],0))</f>
        <v>#N/A</v>
      </c>
      <c r="U2943" t="e">
        <f>VLOOKUP(Tabelle10[[#This Row],[Rank]],Stammdaten[[Rank Verteilung Krümmung]:[Verteilung Krümmung]],2,FALSE)</f>
        <v>#N/A</v>
      </c>
      <c r="Z2943">
        <v>2934</v>
      </c>
      <c r="AA2943" t="e">
        <f>INDEX(Stammdaten[Ovalität (']0,1'])],MATCH(Tabelle1014[[#This Row],[Rank]],Stammdaten[Rank Verteilung Ovalität],0))</f>
        <v>#N/A</v>
      </c>
      <c r="AB2943" t="e">
        <f>VLOOKUP(Tabelle1014[[#This Row],[Rank]],Stammdaten[[Rank Verteilung Ovalität]:[Verteilung Ovalität]],2,FALSE)</f>
        <v>#N/A</v>
      </c>
    </row>
    <row r="2944" spans="5:28" x14ac:dyDescent="0.35">
      <c r="E2944">
        <v>2935</v>
      </c>
      <c r="F2944" t="e">
        <f>INDEX(Stammdaten[D Mitte mit Rinde (mm)],MATCH(Tabelle8[[#This Row],[Rank]],Stammdaten[Rank Verteilung D Mitte mit Rinde],0))</f>
        <v>#N/A</v>
      </c>
      <c r="G2944" t="e">
        <f>VLOOKUP(Tabelle8[[#This Row],[Rank]],Stammdaten[[Rank Verteilung D Mitte mit Rinde]:[Verteilung D Mitte mit Rinde]],2,FALSE)</f>
        <v>#N/A</v>
      </c>
      <c r="L2944">
        <v>2935</v>
      </c>
      <c r="M2944" t="e">
        <f>INDEX(Stammdaten[Abholzigkeit (mm/lfm)],MATCH(Tabelle9[[#This Row],[Rank]],Stammdaten[Rank Verteilung Abholzigkeit],0))</f>
        <v>#N/A</v>
      </c>
      <c r="N2944" t="e">
        <f>VLOOKUP(Tabelle9[[#This Row],[Rank]],Stammdaten[[Rank Verteilung Abholzigkeit]:[Verteilung Abholzigkeit]],2,FALSE)</f>
        <v>#N/A</v>
      </c>
      <c r="S2944">
        <v>2935</v>
      </c>
      <c r="T2944" t="e">
        <f>INDEX(Stammdaten[Krümmung (mm/lfm)],MATCH(Tabelle10[[#This Row],[Rank]],Stammdaten[Rank Verteilung Krümmung],0))</f>
        <v>#N/A</v>
      </c>
      <c r="U2944" t="e">
        <f>VLOOKUP(Tabelle10[[#This Row],[Rank]],Stammdaten[[Rank Verteilung Krümmung]:[Verteilung Krümmung]],2,FALSE)</f>
        <v>#N/A</v>
      </c>
      <c r="Z2944">
        <v>2935</v>
      </c>
      <c r="AA2944" t="e">
        <f>INDEX(Stammdaten[Ovalität (']0,1'])],MATCH(Tabelle1014[[#This Row],[Rank]],Stammdaten[Rank Verteilung Ovalität],0))</f>
        <v>#N/A</v>
      </c>
      <c r="AB2944" t="e">
        <f>VLOOKUP(Tabelle1014[[#This Row],[Rank]],Stammdaten[[Rank Verteilung Ovalität]:[Verteilung Ovalität]],2,FALSE)</f>
        <v>#N/A</v>
      </c>
    </row>
    <row r="2945" spans="5:28" x14ac:dyDescent="0.35">
      <c r="E2945">
        <v>2936</v>
      </c>
      <c r="F2945" t="e">
        <f>INDEX(Stammdaten[D Mitte mit Rinde (mm)],MATCH(Tabelle8[[#This Row],[Rank]],Stammdaten[Rank Verteilung D Mitte mit Rinde],0))</f>
        <v>#N/A</v>
      </c>
      <c r="G2945" t="e">
        <f>VLOOKUP(Tabelle8[[#This Row],[Rank]],Stammdaten[[Rank Verteilung D Mitte mit Rinde]:[Verteilung D Mitte mit Rinde]],2,FALSE)</f>
        <v>#N/A</v>
      </c>
      <c r="L2945">
        <v>2936</v>
      </c>
      <c r="M2945" t="e">
        <f>INDEX(Stammdaten[Abholzigkeit (mm/lfm)],MATCH(Tabelle9[[#This Row],[Rank]],Stammdaten[Rank Verteilung Abholzigkeit],0))</f>
        <v>#N/A</v>
      </c>
      <c r="N2945" t="e">
        <f>VLOOKUP(Tabelle9[[#This Row],[Rank]],Stammdaten[[Rank Verteilung Abholzigkeit]:[Verteilung Abholzigkeit]],2,FALSE)</f>
        <v>#N/A</v>
      </c>
      <c r="S2945">
        <v>2936</v>
      </c>
      <c r="T2945" t="e">
        <f>INDEX(Stammdaten[Krümmung (mm/lfm)],MATCH(Tabelle10[[#This Row],[Rank]],Stammdaten[Rank Verteilung Krümmung],0))</f>
        <v>#N/A</v>
      </c>
      <c r="U2945" t="e">
        <f>VLOOKUP(Tabelle10[[#This Row],[Rank]],Stammdaten[[Rank Verteilung Krümmung]:[Verteilung Krümmung]],2,FALSE)</f>
        <v>#N/A</v>
      </c>
      <c r="Z2945">
        <v>2936</v>
      </c>
      <c r="AA2945" t="e">
        <f>INDEX(Stammdaten[Ovalität (']0,1'])],MATCH(Tabelle1014[[#This Row],[Rank]],Stammdaten[Rank Verteilung Ovalität],0))</f>
        <v>#N/A</v>
      </c>
      <c r="AB2945" t="e">
        <f>VLOOKUP(Tabelle1014[[#This Row],[Rank]],Stammdaten[[Rank Verteilung Ovalität]:[Verteilung Ovalität]],2,FALSE)</f>
        <v>#N/A</v>
      </c>
    </row>
    <row r="2946" spans="5:28" x14ac:dyDescent="0.35">
      <c r="E2946">
        <v>2937</v>
      </c>
      <c r="F2946" t="e">
        <f>INDEX(Stammdaten[D Mitte mit Rinde (mm)],MATCH(Tabelle8[[#This Row],[Rank]],Stammdaten[Rank Verteilung D Mitte mit Rinde],0))</f>
        <v>#N/A</v>
      </c>
      <c r="G2946" t="e">
        <f>VLOOKUP(Tabelle8[[#This Row],[Rank]],Stammdaten[[Rank Verteilung D Mitte mit Rinde]:[Verteilung D Mitte mit Rinde]],2,FALSE)</f>
        <v>#N/A</v>
      </c>
      <c r="L2946">
        <v>2937</v>
      </c>
      <c r="M2946" t="e">
        <f>INDEX(Stammdaten[Abholzigkeit (mm/lfm)],MATCH(Tabelle9[[#This Row],[Rank]],Stammdaten[Rank Verteilung Abholzigkeit],0))</f>
        <v>#N/A</v>
      </c>
      <c r="N2946" t="e">
        <f>VLOOKUP(Tabelle9[[#This Row],[Rank]],Stammdaten[[Rank Verteilung Abholzigkeit]:[Verteilung Abholzigkeit]],2,FALSE)</f>
        <v>#N/A</v>
      </c>
      <c r="S2946">
        <v>2937</v>
      </c>
      <c r="T2946" t="e">
        <f>INDEX(Stammdaten[Krümmung (mm/lfm)],MATCH(Tabelle10[[#This Row],[Rank]],Stammdaten[Rank Verteilung Krümmung],0))</f>
        <v>#N/A</v>
      </c>
      <c r="U2946" t="e">
        <f>VLOOKUP(Tabelle10[[#This Row],[Rank]],Stammdaten[[Rank Verteilung Krümmung]:[Verteilung Krümmung]],2,FALSE)</f>
        <v>#N/A</v>
      </c>
      <c r="Z2946">
        <v>2937</v>
      </c>
      <c r="AA2946" t="e">
        <f>INDEX(Stammdaten[Ovalität (']0,1'])],MATCH(Tabelle1014[[#This Row],[Rank]],Stammdaten[Rank Verteilung Ovalität],0))</f>
        <v>#N/A</v>
      </c>
      <c r="AB2946" t="e">
        <f>VLOOKUP(Tabelle1014[[#This Row],[Rank]],Stammdaten[[Rank Verteilung Ovalität]:[Verteilung Ovalität]],2,FALSE)</f>
        <v>#N/A</v>
      </c>
    </row>
    <row r="2947" spans="5:28" x14ac:dyDescent="0.35">
      <c r="E2947">
        <v>2938</v>
      </c>
      <c r="F2947" t="e">
        <f>INDEX(Stammdaten[D Mitte mit Rinde (mm)],MATCH(Tabelle8[[#This Row],[Rank]],Stammdaten[Rank Verteilung D Mitte mit Rinde],0))</f>
        <v>#N/A</v>
      </c>
      <c r="G2947" t="e">
        <f>VLOOKUP(Tabelle8[[#This Row],[Rank]],Stammdaten[[Rank Verteilung D Mitte mit Rinde]:[Verteilung D Mitte mit Rinde]],2,FALSE)</f>
        <v>#N/A</v>
      </c>
      <c r="L2947">
        <v>2938</v>
      </c>
      <c r="M2947" t="e">
        <f>INDEX(Stammdaten[Abholzigkeit (mm/lfm)],MATCH(Tabelle9[[#This Row],[Rank]],Stammdaten[Rank Verteilung Abholzigkeit],0))</f>
        <v>#N/A</v>
      </c>
      <c r="N2947" t="e">
        <f>VLOOKUP(Tabelle9[[#This Row],[Rank]],Stammdaten[[Rank Verteilung Abholzigkeit]:[Verteilung Abholzigkeit]],2,FALSE)</f>
        <v>#N/A</v>
      </c>
      <c r="S2947">
        <v>2938</v>
      </c>
      <c r="T2947" t="e">
        <f>INDEX(Stammdaten[Krümmung (mm/lfm)],MATCH(Tabelle10[[#This Row],[Rank]],Stammdaten[Rank Verteilung Krümmung],0))</f>
        <v>#N/A</v>
      </c>
      <c r="U2947" t="e">
        <f>VLOOKUP(Tabelle10[[#This Row],[Rank]],Stammdaten[[Rank Verteilung Krümmung]:[Verteilung Krümmung]],2,FALSE)</f>
        <v>#N/A</v>
      </c>
      <c r="Z2947">
        <v>2938</v>
      </c>
      <c r="AA2947" t="e">
        <f>INDEX(Stammdaten[Ovalität (']0,1'])],MATCH(Tabelle1014[[#This Row],[Rank]],Stammdaten[Rank Verteilung Ovalität],0))</f>
        <v>#N/A</v>
      </c>
      <c r="AB2947" t="e">
        <f>VLOOKUP(Tabelle1014[[#This Row],[Rank]],Stammdaten[[Rank Verteilung Ovalität]:[Verteilung Ovalität]],2,FALSE)</f>
        <v>#N/A</v>
      </c>
    </row>
    <row r="2948" spans="5:28" x14ac:dyDescent="0.35">
      <c r="E2948">
        <v>2939</v>
      </c>
      <c r="F2948" t="e">
        <f>INDEX(Stammdaten[D Mitte mit Rinde (mm)],MATCH(Tabelle8[[#This Row],[Rank]],Stammdaten[Rank Verteilung D Mitte mit Rinde],0))</f>
        <v>#N/A</v>
      </c>
      <c r="G2948" t="e">
        <f>VLOOKUP(Tabelle8[[#This Row],[Rank]],Stammdaten[[Rank Verteilung D Mitte mit Rinde]:[Verteilung D Mitte mit Rinde]],2,FALSE)</f>
        <v>#N/A</v>
      </c>
      <c r="L2948">
        <v>2939</v>
      </c>
      <c r="M2948" t="e">
        <f>INDEX(Stammdaten[Abholzigkeit (mm/lfm)],MATCH(Tabelle9[[#This Row],[Rank]],Stammdaten[Rank Verteilung Abholzigkeit],0))</f>
        <v>#N/A</v>
      </c>
      <c r="N2948" t="e">
        <f>VLOOKUP(Tabelle9[[#This Row],[Rank]],Stammdaten[[Rank Verteilung Abholzigkeit]:[Verteilung Abholzigkeit]],2,FALSE)</f>
        <v>#N/A</v>
      </c>
      <c r="S2948">
        <v>2939</v>
      </c>
      <c r="T2948" t="e">
        <f>INDEX(Stammdaten[Krümmung (mm/lfm)],MATCH(Tabelle10[[#This Row],[Rank]],Stammdaten[Rank Verteilung Krümmung],0))</f>
        <v>#N/A</v>
      </c>
      <c r="U2948" t="e">
        <f>VLOOKUP(Tabelle10[[#This Row],[Rank]],Stammdaten[[Rank Verteilung Krümmung]:[Verteilung Krümmung]],2,FALSE)</f>
        <v>#N/A</v>
      </c>
      <c r="Z2948">
        <v>2939</v>
      </c>
      <c r="AA2948" t="e">
        <f>INDEX(Stammdaten[Ovalität (']0,1'])],MATCH(Tabelle1014[[#This Row],[Rank]],Stammdaten[Rank Verteilung Ovalität],0))</f>
        <v>#N/A</v>
      </c>
      <c r="AB2948" t="e">
        <f>VLOOKUP(Tabelle1014[[#This Row],[Rank]],Stammdaten[[Rank Verteilung Ovalität]:[Verteilung Ovalität]],2,FALSE)</f>
        <v>#N/A</v>
      </c>
    </row>
    <row r="2949" spans="5:28" x14ac:dyDescent="0.35">
      <c r="E2949">
        <v>2940</v>
      </c>
      <c r="F2949" t="e">
        <f>INDEX(Stammdaten[D Mitte mit Rinde (mm)],MATCH(Tabelle8[[#This Row],[Rank]],Stammdaten[Rank Verteilung D Mitte mit Rinde],0))</f>
        <v>#N/A</v>
      </c>
      <c r="G2949" t="e">
        <f>VLOOKUP(Tabelle8[[#This Row],[Rank]],Stammdaten[[Rank Verteilung D Mitte mit Rinde]:[Verteilung D Mitte mit Rinde]],2,FALSE)</f>
        <v>#N/A</v>
      </c>
      <c r="L2949">
        <v>2940</v>
      </c>
      <c r="M2949" t="e">
        <f>INDEX(Stammdaten[Abholzigkeit (mm/lfm)],MATCH(Tabelle9[[#This Row],[Rank]],Stammdaten[Rank Verteilung Abholzigkeit],0))</f>
        <v>#N/A</v>
      </c>
      <c r="N2949" t="e">
        <f>VLOOKUP(Tabelle9[[#This Row],[Rank]],Stammdaten[[Rank Verteilung Abholzigkeit]:[Verteilung Abholzigkeit]],2,FALSE)</f>
        <v>#N/A</v>
      </c>
      <c r="S2949">
        <v>2940</v>
      </c>
      <c r="T2949" t="e">
        <f>INDEX(Stammdaten[Krümmung (mm/lfm)],MATCH(Tabelle10[[#This Row],[Rank]],Stammdaten[Rank Verteilung Krümmung],0))</f>
        <v>#N/A</v>
      </c>
      <c r="U2949" t="e">
        <f>VLOOKUP(Tabelle10[[#This Row],[Rank]],Stammdaten[[Rank Verteilung Krümmung]:[Verteilung Krümmung]],2,FALSE)</f>
        <v>#N/A</v>
      </c>
      <c r="Z2949">
        <v>2940</v>
      </c>
      <c r="AA2949" t="e">
        <f>INDEX(Stammdaten[Ovalität (']0,1'])],MATCH(Tabelle1014[[#This Row],[Rank]],Stammdaten[Rank Verteilung Ovalität],0))</f>
        <v>#N/A</v>
      </c>
      <c r="AB2949" t="e">
        <f>VLOOKUP(Tabelle1014[[#This Row],[Rank]],Stammdaten[[Rank Verteilung Ovalität]:[Verteilung Ovalität]],2,FALSE)</f>
        <v>#N/A</v>
      </c>
    </row>
    <row r="2950" spans="5:28" x14ac:dyDescent="0.35">
      <c r="E2950">
        <v>2941</v>
      </c>
      <c r="F2950" t="e">
        <f>INDEX(Stammdaten[D Mitte mit Rinde (mm)],MATCH(Tabelle8[[#This Row],[Rank]],Stammdaten[Rank Verteilung D Mitte mit Rinde],0))</f>
        <v>#N/A</v>
      </c>
      <c r="G2950" t="e">
        <f>VLOOKUP(Tabelle8[[#This Row],[Rank]],Stammdaten[[Rank Verteilung D Mitte mit Rinde]:[Verteilung D Mitte mit Rinde]],2,FALSE)</f>
        <v>#N/A</v>
      </c>
      <c r="L2950">
        <v>2941</v>
      </c>
      <c r="M2950" t="e">
        <f>INDEX(Stammdaten[Abholzigkeit (mm/lfm)],MATCH(Tabelle9[[#This Row],[Rank]],Stammdaten[Rank Verteilung Abholzigkeit],0))</f>
        <v>#N/A</v>
      </c>
      <c r="N2950" t="e">
        <f>VLOOKUP(Tabelle9[[#This Row],[Rank]],Stammdaten[[Rank Verteilung Abholzigkeit]:[Verteilung Abholzigkeit]],2,FALSE)</f>
        <v>#N/A</v>
      </c>
      <c r="S2950">
        <v>2941</v>
      </c>
      <c r="T2950" t="e">
        <f>INDEX(Stammdaten[Krümmung (mm/lfm)],MATCH(Tabelle10[[#This Row],[Rank]],Stammdaten[Rank Verteilung Krümmung],0))</f>
        <v>#N/A</v>
      </c>
      <c r="U2950" t="e">
        <f>VLOOKUP(Tabelle10[[#This Row],[Rank]],Stammdaten[[Rank Verteilung Krümmung]:[Verteilung Krümmung]],2,FALSE)</f>
        <v>#N/A</v>
      </c>
      <c r="Z2950">
        <v>2941</v>
      </c>
      <c r="AA2950" t="e">
        <f>INDEX(Stammdaten[Ovalität (']0,1'])],MATCH(Tabelle1014[[#This Row],[Rank]],Stammdaten[Rank Verteilung Ovalität],0))</f>
        <v>#N/A</v>
      </c>
      <c r="AB2950" t="e">
        <f>VLOOKUP(Tabelle1014[[#This Row],[Rank]],Stammdaten[[Rank Verteilung Ovalität]:[Verteilung Ovalität]],2,FALSE)</f>
        <v>#N/A</v>
      </c>
    </row>
    <row r="2951" spans="5:28" x14ac:dyDescent="0.35">
      <c r="E2951">
        <v>2942</v>
      </c>
      <c r="F2951" t="e">
        <f>INDEX(Stammdaten[D Mitte mit Rinde (mm)],MATCH(Tabelle8[[#This Row],[Rank]],Stammdaten[Rank Verteilung D Mitte mit Rinde],0))</f>
        <v>#N/A</v>
      </c>
      <c r="G2951" t="e">
        <f>VLOOKUP(Tabelle8[[#This Row],[Rank]],Stammdaten[[Rank Verteilung D Mitte mit Rinde]:[Verteilung D Mitte mit Rinde]],2,FALSE)</f>
        <v>#N/A</v>
      </c>
      <c r="L2951">
        <v>2942</v>
      </c>
      <c r="M2951" t="e">
        <f>INDEX(Stammdaten[Abholzigkeit (mm/lfm)],MATCH(Tabelle9[[#This Row],[Rank]],Stammdaten[Rank Verteilung Abholzigkeit],0))</f>
        <v>#N/A</v>
      </c>
      <c r="N2951" t="e">
        <f>VLOOKUP(Tabelle9[[#This Row],[Rank]],Stammdaten[[Rank Verteilung Abholzigkeit]:[Verteilung Abholzigkeit]],2,FALSE)</f>
        <v>#N/A</v>
      </c>
      <c r="S2951">
        <v>2942</v>
      </c>
      <c r="T2951" t="e">
        <f>INDEX(Stammdaten[Krümmung (mm/lfm)],MATCH(Tabelle10[[#This Row],[Rank]],Stammdaten[Rank Verteilung Krümmung],0))</f>
        <v>#N/A</v>
      </c>
      <c r="U2951" t="e">
        <f>VLOOKUP(Tabelle10[[#This Row],[Rank]],Stammdaten[[Rank Verteilung Krümmung]:[Verteilung Krümmung]],2,FALSE)</f>
        <v>#N/A</v>
      </c>
      <c r="Z2951">
        <v>2942</v>
      </c>
      <c r="AA2951" t="e">
        <f>INDEX(Stammdaten[Ovalität (']0,1'])],MATCH(Tabelle1014[[#This Row],[Rank]],Stammdaten[Rank Verteilung Ovalität],0))</f>
        <v>#N/A</v>
      </c>
      <c r="AB2951" t="e">
        <f>VLOOKUP(Tabelle1014[[#This Row],[Rank]],Stammdaten[[Rank Verteilung Ovalität]:[Verteilung Ovalität]],2,FALSE)</f>
        <v>#N/A</v>
      </c>
    </row>
    <row r="2952" spans="5:28" x14ac:dyDescent="0.35">
      <c r="E2952">
        <v>2943</v>
      </c>
      <c r="F2952" t="e">
        <f>INDEX(Stammdaten[D Mitte mit Rinde (mm)],MATCH(Tabelle8[[#This Row],[Rank]],Stammdaten[Rank Verteilung D Mitte mit Rinde],0))</f>
        <v>#N/A</v>
      </c>
      <c r="G2952" t="e">
        <f>VLOOKUP(Tabelle8[[#This Row],[Rank]],Stammdaten[[Rank Verteilung D Mitte mit Rinde]:[Verteilung D Mitte mit Rinde]],2,FALSE)</f>
        <v>#N/A</v>
      </c>
      <c r="L2952">
        <v>2943</v>
      </c>
      <c r="M2952" t="e">
        <f>INDEX(Stammdaten[Abholzigkeit (mm/lfm)],MATCH(Tabelle9[[#This Row],[Rank]],Stammdaten[Rank Verteilung Abholzigkeit],0))</f>
        <v>#N/A</v>
      </c>
      <c r="N2952" t="e">
        <f>VLOOKUP(Tabelle9[[#This Row],[Rank]],Stammdaten[[Rank Verteilung Abholzigkeit]:[Verteilung Abholzigkeit]],2,FALSE)</f>
        <v>#N/A</v>
      </c>
      <c r="S2952">
        <v>2943</v>
      </c>
      <c r="T2952" t="e">
        <f>INDEX(Stammdaten[Krümmung (mm/lfm)],MATCH(Tabelle10[[#This Row],[Rank]],Stammdaten[Rank Verteilung Krümmung],0))</f>
        <v>#N/A</v>
      </c>
      <c r="U2952" t="e">
        <f>VLOOKUP(Tabelle10[[#This Row],[Rank]],Stammdaten[[Rank Verteilung Krümmung]:[Verteilung Krümmung]],2,FALSE)</f>
        <v>#N/A</v>
      </c>
      <c r="Z2952">
        <v>2943</v>
      </c>
      <c r="AA2952" t="e">
        <f>INDEX(Stammdaten[Ovalität (']0,1'])],MATCH(Tabelle1014[[#This Row],[Rank]],Stammdaten[Rank Verteilung Ovalität],0))</f>
        <v>#N/A</v>
      </c>
      <c r="AB2952" t="e">
        <f>VLOOKUP(Tabelle1014[[#This Row],[Rank]],Stammdaten[[Rank Verteilung Ovalität]:[Verteilung Ovalität]],2,FALSE)</f>
        <v>#N/A</v>
      </c>
    </row>
    <row r="2953" spans="5:28" x14ac:dyDescent="0.35">
      <c r="E2953">
        <v>2944</v>
      </c>
      <c r="F2953" t="e">
        <f>INDEX(Stammdaten[D Mitte mit Rinde (mm)],MATCH(Tabelle8[[#This Row],[Rank]],Stammdaten[Rank Verteilung D Mitte mit Rinde],0))</f>
        <v>#N/A</v>
      </c>
      <c r="G2953" t="e">
        <f>VLOOKUP(Tabelle8[[#This Row],[Rank]],Stammdaten[[Rank Verteilung D Mitte mit Rinde]:[Verteilung D Mitte mit Rinde]],2,FALSE)</f>
        <v>#N/A</v>
      </c>
      <c r="L2953">
        <v>2944</v>
      </c>
      <c r="M2953" t="e">
        <f>INDEX(Stammdaten[Abholzigkeit (mm/lfm)],MATCH(Tabelle9[[#This Row],[Rank]],Stammdaten[Rank Verteilung Abholzigkeit],0))</f>
        <v>#N/A</v>
      </c>
      <c r="N2953" t="e">
        <f>VLOOKUP(Tabelle9[[#This Row],[Rank]],Stammdaten[[Rank Verteilung Abholzigkeit]:[Verteilung Abholzigkeit]],2,FALSE)</f>
        <v>#N/A</v>
      </c>
      <c r="S2953">
        <v>2944</v>
      </c>
      <c r="T2953" t="e">
        <f>INDEX(Stammdaten[Krümmung (mm/lfm)],MATCH(Tabelle10[[#This Row],[Rank]],Stammdaten[Rank Verteilung Krümmung],0))</f>
        <v>#N/A</v>
      </c>
      <c r="U2953" t="e">
        <f>VLOOKUP(Tabelle10[[#This Row],[Rank]],Stammdaten[[Rank Verteilung Krümmung]:[Verteilung Krümmung]],2,FALSE)</f>
        <v>#N/A</v>
      </c>
      <c r="Z2953">
        <v>2944</v>
      </c>
      <c r="AA2953" t="e">
        <f>INDEX(Stammdaten[Ovalität (']0,1'])],MATCH(Tabelle1014[[#This Row],[Rank]],Stammdaten[Rank Verteilung Ovalität],0))</f>
        <v>#N/A</v>
      </c>
      <c r="AB2953" t="e">
        <f>VLOOKUP(Tabelle1014[[#This Row],[Rank]],Stammdaten[[Rank Verteilung Ovalität]:[Verteilung Ovalität]],2,FALSE)</f>
        <v>#N/A</v>
      </c>
    </row>
    <row r="2954" spans="5:28" x14ac:dyDescent="0.35">
      <c r="E2954">
        <v>2945</v>
      </c>
      <c r="F2954" t="e">
        <f>INDEX(Stammdaten[D Mitte mit Rinde (mm)],MATCH(Tabelle8[[#This Row],[Rank]],Stammdaten[Rank Verteilung D Mitte mit Rinde],0))</f>
        <v>#N/A</v>
      </c>
      <c r="G2954" t="e">
        <f>VLOOKUP(Tabelle8[[#This Row],[Rank]],Stammdaten[[Rank Verteilung D Mitte mit Rinde]:[Verteilung D Mitte mit Rinde]],2,FALSE)</f>
        <v>#N/A</v>
      </c>
      <c r="L2954">
        <v>2945</v>
      </c>
      <c r="M2954" t="e">
        <f>INDEX(Stammdaten[Abholzigkeit (mm/lfm)],MATCH(Tabelle9[[#This Row],[Rank]],Stammdaten[Rank Verteilung Abholzigkeit],0))</f>
        <v>#N/A</v>
      </c>
      <c r="N2954" t="e">
        <f>VLOOKUP(Tabelle9[[#This Row],[Rank]],Stammdaten[[Rank Verteilung Abholzigkeit]:[Verteilung Abholzigkeit]],2,FALSE)</f>
        <v>#N/A</v>
      </c>
      <c r="S2954">
        <v>2945</v>
      </c>
      <c r="T2954" t="e">
        <f>INDEX(Stammdaten[Krümmung (mm/lfm)],MATCH(Tabelle10[[#This Row],[Rank]],Stammdaten[Rank Verteilung Krümmung],0))</f>
        <v>#N/A</v>
      </c>
      <c r="U2954" t="e">
        <f>VLOOKUP(Tabelle10[[#This Row],[Rank]],Stammdaten[[Rank Verteilung Krümmung]:[Verteilung Krümmung]],2,FALSE)</f>
        <v>#N/A</v>
      </c>
      <c r="Z2954">
        <v>2945</v>
      </c>
      <c r="AA2954" t="e">
        <f>INDEX(Stammdaten[Ovalität (']0,1'])],MATCH(Tabelle1014[[#This Row],[Rank]],Stammdaten[Rank Verteilung Ovalität],0))</f>
        <v>#N/A</v>
      </c>
      <c r="AB2954" t="e">
        <f>VLOOKUP(Tabelle1014[[#This Row],[Rank]],Stammdaten[[Rank Verteilung Ovalität]:[Verteilung Ovalität]],2,FALSE)</f>
        <v>#N/A</v>
      </c>
    </row>
    <row r="2955" spans="5:28" x14ac:dyDescent="0.35">
      <c r="E2955">
        <v>2946</v>
      </c>
      <c r="F2955" t="e">
        <f>INDEX(Stammdaten[D Mitte mit Rinde (mm)],MATCH(Tabelle8[[#This Row],[Rank]],Stammdaten[Rank Verteilung D Mitte mit Rinde],0))</f>
        <v>#N/A</v>
      </c>
      <c r="G2955" t="e">
        <f>VLOOKUP(Tabelle8[[#This Row],[Rank]],Stammdaten[[Rank Verteilung D Mitte mit Rinde]:[Verteilung D Mitte mit Rinde]],2,FALSE)</f>
        <v>#N/A</v>
      </c>
      <c r="L2955">
        <v>2946</v>
      </c>
      <c r="M2955" t="e">
        <f>INDEX(Stammdaten[Abholzigkeit (mm/lfm)],MATCH(Tabelle9[[#This Row],[Rank]],Stammdaten[Rank Verteilung Abholzigkeit],0))</f>
        <v>#N/A</v>
      </c>
      <c r="N2955" t="e">
        <f>VLOOKUP(Tabelle9[[#This Row],[Rank]],Stammdaten[[Rank Verteilung Abholzigkeit]:[Verteilung Abholzigkeit]],2,FALSE)</f>
        <v>#N/A</v>
      </c>
      <c r="S2955">
        <v>2946</v>
      </c>
      <c r="T2955" t="e">
        <f>INDEX(Stammdaten[Krümmung (mm/lfm)],MATCH(Tabelle10[[#This Row],[Rank]],Stammdaten[Rank Verteilung Krümmung],0))</f>
        <v>#N/A</v>
      </c>
      <c r="U2955" t="e">
        <f>VLOOKUP(Tabelle10[[#This Row],[Rank]],Stammdaten[[Rank Verteilung Krümmung]:[Verteilung Krümmung]],2,FALSE)</f>
        <v>#N/A</v>
      </c>
      <c r="Z2955">
        <v>2946</v>
      </c>
      <c r="AA2955" t="e">
        <f>INDEX(Stammdaten[Ovalität (']0,1'])],MATCH(Tabelle1014[[#This Row],[Rank]],Stammdaten[Rank Verteilung Ovalität],0))</f>
        <v>#N/A</v>
      </c>
      <c r="AB2955" t="e">
        <f>VLOOKUP(Tabelle1014[[#This Row],[Rank]],Stammdaten[[Rank Verteilung Ovalität]:[Verteilung Ovalität]],2,FALSE)</f>
        <v>#N/A</v>
      </c>
    </row>
    <row r="2956" spans="5:28" x14ac:dyDescent="0.35">
      <c r="E2956">
        <v>2947</v>
      </c>
      <c r="F2956" t="e">
        <f>INDEX(Stammdaten[D Mitte mit Rinde (mm)],MATCH(Tabelle8[[#This Row],[Rank]],Stammdaten[Rank Verteilung D Mitte mit Rinde],0))</f>
        <v>#N/A</v>
      </c>
      <c r="G2956" t="e">
        <f>VLOOKUP(Tabelle8[[#This Row],[Rank]],Stammdaten[[Rank Verteilung D Mitte mit Rinde]:[Verteilung D Mitte mit Rinde]],2,FALSE)</f>
        <v>#N/A</v>
      </c>
      <c r="L2956">
        <v>2947</v>
      </c>
      <c r="M2956" t="e">
        <f>INDEX(Stammdaten[Abholzigkeit (mm/lfm)],MATCH(Tabelle9[[#This Row],[Rank]],Stammdaten[Rank Verteilung Abholzigkeit],0))</f>
        <v>#N/A</v>
      </c>
      <c r="N2956" t="e">
        <f>VLOOKUP(Tabelle9[[#This Row],[Rank]],Stammdaten[[Rank Verteilung Abholzigkeit]:[Verteilung Abholzigkeit]],2,FALSE)</f>
        <v>#N/A</v>
      </c>
      <c r="S2956">
        <v>2947</v>
      </c>
      <c r="T2956" t="e">
        <f>INDEX(Stammdaten[Krümmung (mm/lfm)],MATCH(Tabelle10[[#This Row],[Rank]],Stammdaten[Rank Verteilung Krümmung],0))</f>
        <v>#N/A</v>
      </c>
      <c r="U2956" t="e">
        <f>VLOOKUP(Tabelle10[[#This Row],[Rank]],Stammdaten[[Rank Verteilung Krümmung]:[Verteilung Krümmung]],2,FALSE)</f>
        <v>#N/A</v>
      </c>
      <c r="Z2956">
        <v>2947</v>
      </c>
      <c r="AA2956" t="e">
        <f>INDEX(Stammdaten[Ovalität (']0,1'])],MATCH(Tabelle1014[[#This Row],[Rank]],Stammdaten[Rank Verteilung Ovalität],0))</f>
        <v>#N/A</v>
      </c>
      <c r="AB2956" t="e">
        <f>VLOOKUP(Tabelle1014[[#This Row],[Rank]],Stammdaten[[Rank Verteilung Ovalität]:[Verteilung Ovalität]],2,FALSE)</f>
        <v>#N/A</v>
      </c>
    </row>
    <row r="2957" spans="5:28" x14ac:dyDescent="0.35">
      <c r="E2957">
        <v>2948</v>
      </c>
      <c r="F2957" t="e">
        <f>INDEX(Stammdaten[D Mitte mit Rinde (mm)],MATCH(Tabelle8[[#This Row],[Rank]],Stammdaten[Rank Verteilung D Mitte mit Rinde],0))</f>
        <v>#N/A</v>
      </c>
      <c r="G2957" t="e">
        <f>VLOOKUP(Tabelle8[[#This Row],[Rank]],Stammdaten[[Rank Verteilung D Mitte mit Rinde]:[Verteilung D Mitte mit Rinde]],2,FALSE)</f>
        <v>#N/A</v>
      </c>
      <c r="L2957">
        <v>2948</v>
      </c>
      <c r="M2957" t="e">
        <f>INDEX(Stammdaten[Abholzigkeit (mm/lfm)],MATCH(Tabelle9[[#This Row],[Rank]],Stammdaten[Rank Verteilung Abholzigkeit],0))</f>
        <v>#N/A</v>
      </c>
      <c r="N2957" t="e">
        <f>VLOOKUP(Tabelle9[[#This Row],[Rank]],Stammdaten[[Rank Verteilung Abholzigkeit]:[Verteilung Abholzigkeit]],2,FALSE)</f>
        <v>#N/A</v>
      </c>
      <c r="S2957">
        <v>2948</v>
      </c>
      <c r="T2957" t="e">
        <f>INDEX(Stammdaten[Krümmung (mm/lfm)],MATCH(Tabelle10[[#This Row],[Rank]],Stammdaten[Rank Verteilung Krümmung],0))</f>
        <v>#N/A</v>
      </c>
      <c r="U2957" t="e">
        <f>VLOOKUP(Tabelle10[[#This Row],[Rank]],Stammdaten[[Rank Verteilung Krümmung]:[Verteilung Krümmung]],2,FALSE)</f>
        <v>#N/A</v>
      </c>
      <c r="Z2957">
        <v>2948</v>
      </c>
      <c r="AA2957" t="e">
        <f>INDEX(Stammdaten[Ovalität (']0,1'])],MATCH(Tabelle1014[[#This Row],[Rank]],Stammdaten[Rank Verteilung Ovalität],0))</f>
        <v>#N/A</v>
      </c>
      <c r="AB2957" t="e">
        <f>VLOOKUP(Tabelle1014[[#This Row],[Rank]],Stammdaten[[Rank Verteilung Ovalität]:[Verteilung Ovalität]],2,FALSE)</f>
        <v>#N/A</v>
      </c>
    </row>
    <row r="2958" spans="5:28" x14ac:dyDescent="0.35">
      <c r="E2958">
        <v>2949</v>
      </c>
      <c r="F2958" t="e">
        <f>INDEX(Stammdaten[D Mitte mit Rinde (mm)],MATCH(Tabelle8[[#This Row],[Rank]],Stammdaten[Rank Verteilung D Mitte mit Rinde],0))</f>
        <v>#N/A</v>
      </c>
      <c r="G2958" t="e">
        <f>VLOOKUP(Tabelle8[[#This Row],[Rank]],Stammdaten[[Rank Verteilung D Mitte mit Rinde]:[Verteilung D Mitte mit Rinde]],2,FALSE)</f>
        <v>#N/A</v>
      </c>
      <c r="L2958">
        <v>2949</v>
      </c>
      <c r="M2958" t="e">
        <f>INDEX(Stammdaten[Abholzigkeit (mm/lfm)],MATCH(Tabelle9[[#This Row],[Rank]],Stammdaten[Rank Verteilung Abholzigkeit],0))</f>
        <v>#N/A</v>
      </c>
      <c r="N2958" t="e">
        <f>VLOOKUP(Tabelle9[[#This Row],[Rank]],Stammdaten[[Rank Verteilung Abholzigkeit]:[Verteilung Abholzigkeit]],2,FALSE)</f>
        <v>#N/A</v>
      </c>
      <c r="S2958">
        <v>2949</v>
      </c>
      <c r="T2958" t="e">
        <f>INDEX(Stammdaten[Krümmung (mm/lfm)],MATCH(Tabelle10[[#This Row],[Rank]],Stammdaten[Rank Verteilung Krümmung],0))</f>
        <v>#N/A</v>
      </c>
      <c r="U2958" t="e">
        <f>VLOOKUP(Tabelle10[[#This Row],[Rank]],Stammdaten[[Rank Verteilung Krümmung]:[Verteilung Krümmung]],2,FALSE)</f>
        <v>#N/A</v>
      </c>
      <c r="Z2958">
        <v>2949</v>
      </c>
      <c r="AA2958" t="e">
        <f>INDEX(Stammdaten[Ovalität (']0,1'])],MATCH(Tabelle1014[[#This Row],[Rank]],Stammdaten[Rank Verteilung Ovalität],0))</f>
        <v>#N/A</v>
      </c>
      <c r="AB2958" t="e">
        <f>VLOOKUP(Tabelle1014[[#This Row],[Rank]],Stammdaten[[Rank Verteilung Ovalität]:[Verteilung Ovalität]],2,FALSE)</f>
        <v>#N/A</v>
      </c>
    </row>
    <row r="2959" spans="5:28" x14ac:dyDescent="0.35">
      <c r="E2959">
        <v>2950</v>
      </c>
      <c r="F2959" t="e">
        <f>INDEX(Stammdaten[D Mitte mit Rinde (mm)],MATCH(Tabelle8[[#This Row],[Rank]],Stammdaten[Rank Verteilung D Mitte mit Rinde],0))</f>
        <v>#N/A</v>
      </c>
      <c r="G2959" t="e">
        <f>VLOOKUP(Tabelle8[[#This Row],[Rank]],Stammdaten[[Rank Verteilung D Mitte mit Rinde]:[Verteilung D Mitte mit Rinde]],2,FALSE)</f>
        <v>#N/A</v>
      </c>
      <c r="L2959">
        <v>2950</v>
      </c>
      <c r="M2959" t="e">
        <f>INDEX(Stammdaten[Abholzigkeit (mm/lfm)],MATCH(Tabelle9[[#This Row],[Rank]],Stammdaten[Rank Verteilung Abholzigkeit],0))</f>
        <v>#N/A</v>
      </c>
      <c r="N2959" t="e">
        <f>VLOOKUP(Tabelle9[[#This Row],[Rank]],Stammdaten[[Rank Verteilung Abholzigkeit]:[Verteilung Abholzigkeit]],2,FALSE)</f>
        <v>#N/A</v>
      </c>
      <c r="S2959">
        <v>2950</v>
      </c>
      <c r="T2959" t="e">
        <f>INDEX(Stammdaten[Krümmung (mm/lfm)],MATCH(Tabelle10[[#This Row],[Rank]],Stammdaten[Rank Verteilung Krümmung],0))</f>
        <v>#N/A</v>
      </c>
      <c r="U2959" t="e">
        <f>VLOOKUP(Tabelle10[[#This Row],[Rank]],Stammdaten[[Rank Verteilung Krümmung]:[Verteilung Krümmung]],2,FALSE)</f>
        <v>#N/A</v>
      </c>
      <c r="Z2959">
        <v>2950</v>
      </c>
      <c r="AA2959" t="e">
        <f>INDEX(Stammdaten[Ovalität (']0,1'])],MATCH(Tabelle1014[[#This Row],[Rank]],Stammdaten[Rank Verteilung Ovalität],0))</f>
        <v>#N/A</v>
      </c>
      <c r="AB2959" t="e">
        <f>VLOOKUP(Tabelle1014[[#This Row],[Rank]],Stammdaten[[Rank Verteilung Ovalität]:[Verteilung Ovalität]],2,FALSE)</f>
        <v>#N/A</v>
      </c>
    </row>
    <row r="2960" spans="5:28" x14ac:dyDescent="0.35">
      <c r="E2960">
        <v>2951</v>
      </c>
      <c r="F2960" t="e">
        <f>INDEX(Stammdaten[D Mitte mit Rinde (mm)],MATCH(Tabelle8[[#This Row],[Rank]],Stammdaten[Rank Verteilung D Mitte mit Rinde],0))</f>
        <v>#N/A</v>
      </c>
      <c r="G2960" t="e">
        <f>VLOOKUP(Tabelle8[[#This Row],[Rank]],Stammdaten[[Rank Verteilung D Mitte mit Rinde]:[Verteilung D Mitte mit Rinde]],2,FALSE)</f>
        <v>#N/A</v>
      </c>
      <c r="L2960">
        <v>2951</v>
      </c>
      <c r="M2960" t="e">
        <f>INDEX(Stammdaten[Abholzigkeit (mm/lfm)],MATCH(Tabelle9[[#This Row],[Rank]],Stammdaten[Rank Verteilung Abholzigkeit],0))</f>
        <v>#N/A</v>
      </c>
      <c r="N2960" t="e">
        <f>VLOOKUP(Tabelle9[[#This Row],[Rank]],Stammdaten[[Rank Verteilung Abholzigkeit]:[Verteilung Abholzigkeit]],2,FALSE)</f>
        <v>#N/A</v>
      </c>
      <c r="S2960">
        <v>2951</v>
      </c>
      <c r="T2960" t="e">
        <f>INDEX(Stammdaten[Krümmung (mm/lfm)],MATCH(Tabelle10[[#This Row],[Rank]],Stammdaten[Rank Verteilung Krümmung],0))</f>
        <v>#N/A</v>
      </c>
      <c r="U2960" t="e">
        <f>VLOOKUP(Tabelle10[[#This Row],[Rank]],Stammdaten[[Rank Verteilung Krümmung]:[Verteilung Krümmung]],2,FALSE)</f>
        <v>#N/A</v>
      </c>
      <c r="Z2960">
        <v>2951</v>
      </c>
      <c r="AA2960" t="e">
        <f>INDEX(Stammdaten[Ovalität (']0,1'])],MATCH(Tabelle1014[[#This Row],[Rank]],Stammdaten[Rank Verteilung Ovalität],0))</f>
        <v>#N/A</v>
      </c>
      <c r="AB2960" t="e">
        <f>VLOOKUP(Tabelle1014[[#This Row],[Rank]],Stammdaten[[Rank Verteilung Ovalität]:[Verteilung Ovalität]],2,FALSE)</f>
        <v>#N/A</v>
      </c>
    </row>
    <row r="2961" spans="5:28" x14ac:dyDescent="0.35">
      <c r="E2961">
        <v>2952</v>
      </c>
      <c r="F2961" t="e">
        <f>INDEX(Stammdaten[D Mitte mit Rinde (mm)],MATCH(Tabelle8[[#This Row],[Rank]],Stammdaten[Rank Verteilung D Mitte mit Rinde],0))</f>
        <v>#N/A</v>
      </c>
      <c r="G2961" t="e">
        <f>VLOOKUP(Tabelle8[[#This Row],[Rank]],Stammdaten[[Rank Verteilung D Mitte mit Rinde]:[Verteilung D Mitte mit Rinde]],2,FALSE)</f>
        <v>#N/A</v>
      </c>
      <c r="L2961">
        <v>2952</v>
      </c>
      <c r="M2961" t="e">
        <f>INDEX(Stammdaten[Abholzigkeit (mm/lfm)],MATCH(Tabelle9[[#This Row],[Rank]],Stammdaten[Rank Verteilung Abholzigkeit],0))</f>
        <v>#N/A</v>
      </c>
      <c r="N2961" t="e">
        <f>VLOOKUP(Tabelle9[[#This Row],[Rank]],Stammdaten[[Rank Verteilung Abholzigkeit]:[Verteilung Abholzigkeit]],2,FALSE)</f>
        <v>#N/A</v>
      </c>
      <c r="S2961">
        <v>2952</v>
      </c>
      <c r="T2961" t="e">
        <f>INDEX(Stammdaten[Krümmung (mm/lfm)],MATCH(Tabelle10[[#This Row],[Rank]],Stammdaten[Rank Verteilung Krümmung],0))</f>
        <v>#N/A</v>
      </c>
      <c r="U2961" t="e">
        <f>VLOOKUP(Tabelle10[[#This Row],[Rank]],Stammdaten[[Rank Verteilung Krümmung]:[Verteilung Krümmung]],2,FALSE)</f>
        <v>#N/A</v>
      </c>
      <c r="Z2961">
        <v>2952</v>
      </c>
      <c r="AA2961" t="e">
        <f>INDEX(Stammdaten[Ovalität (']0,1'])],MATCH(Tabelle1014[[#This Row],[Rank]],Stammdaten[Rank Verteilung Ovalität],0))</f>
        <v>#N/A</v>
      </c>
      <c r="AB2961" t="e">
        <f>VLOOKUP(Tabelle1014[[#This Row],[Rank]],Stammdaten[[Rank Verteilung Ovalität]:[Verteilung Ovalität]],2,FALSE)</f>
        <v>#N/A</v>
      </c>
    </row>
    <row r="2962" spans="5:28" x14ac:dyDescent="0.35">
      <c r="E2962">
        <v>2953</v>
      </c>
      <c r="F2962" t="e">
        <f>INDEX(Stammdaten[D Mitte mit Rinde (mm)],MATCH(Tabelle8[[#This Row],[Rank]],Stammdaten[Rank Verteilung D Mitte mit Rinde],0))</f>
        <v>#N/A</v>
      </c>
      <c r="G2962" t="e">
        <f>VLOOKUP(Tabelle8[[#This Row],[Rank]],Stammdaten[[Rank Verteilung D Mitte mit Rinde]:[Verteilung D Mitte mit Rinde]],2,FALSE)</f>
        <v>#N/A</v>
      </c>
      <c r="L2962">
        <v>2953</v>
      </c>
      <c r="M2962" t="e">
        <f>INDEX(Stammdaten[Abholzigkeit (mm/lfm)],MATCH(Tabelle9[[#This Row],[Rank]],Stammdaten[Rank Verteilung Abholzigkeit],0))</f>
        <v>#N/A</v>
      </c>
      <c r="N2962" t="e">
        <f>VLOOKUP(Tabelle9[[#This Row],[Rank]],Stammdaten[[Rank Verteilung Abholzigkeit]:[Verteilung Abholzigkeit]],2,FALSE)</f>
        <v>#N/A</v>
      </c>
      <c r="S2962">
        <v>2953</v>
      </c>
      <c r="T2962" t="e">
        <f>INDEX(Stammdaten[Krümmung (mm/lfm)],MATCH(Tabelle10[[#This Row],[Rank]],Stammdaten[Rank Verteilung Krümmung],0))</f>
        <v>#N/A</v>
      </c>
      <c r="U2962" t="e">
        <f>VLOOKUP(Tabelle10[[#This Row],[Rank]],Stammdaten[[Rank Verteilung Krümmung]:[Verteilung Krümmung]],2,FALSE)</f>
        <v>#N/A</v>
      </c>
      <c r="Z2962">
        <v>2953</v>
      </c>
      <c r="AA2962" t="e">
        <f>INDEX(Stammdaten[Ovalität (']0,1'])],MATCH(Tabelle1014[[#This Row],[Rank]],Stammdaten[Rank Verteilung Ovalität],0))</f>
        <v>#N/A</v>
      </c>
      <c r="AB2962" t="e">
        <f>VLOOKUP(Tabelle1014[[#This Row],[Rank]],Stammdaten[[Rank Verteilung Ovalität]:[Verteilung Ovalität]],2,FALSE)</f>
        <v>#N/A</v>
      </c>
    </row>
    <row r="2963" spans="5:28" x14ac:dyDescent="0.35">
      <c r="E2963">
        <v>2954</v>
      </c>
      <c r="F2963" t="e">
        <f>INDEX(Stammdaten[D Mitte mit Rinde (mm)],MATCH(Tabelle8[[#This Row],[Rank]],Stammdaten[Rank Verteilung D Mitte mit Rinde],0))</f>
        <v>#N/A</v>
      </c>
      <c r="G2963" t="e">
        <f>VLOOKUP(Tabelle8[[#This Row],[Rank]],Stammdaten[[Rank Verteilung D Mitte mit Rinde]:[Verteilung D Mitte mit Rinde]],2,FALSE)</f>
        <v>#N/A</v>
      </c>
      <c r="L2963">
        <v>2954</v>
      </c>
      <c r="M2963" t="e">
        <f>INDEX(Stammdaten[Abholzigkeit (mm/lfm)],MATCH(Tabelle9[[#This Row],[Rank]],Stammdaten[Rank Verteilung Abholzigkeit],0))</f>
        <v>#N/A</v>
      </c>
      <c r="N2963" t="e">
        <f>VLOOKUP(Tabelle9[[#This Row],[Rank]],Stammdaten[[Rank Verteilung Abholzigkeit]:[Verteilung Abholzigkeit]],2,FALSE)</f>
        <v>#N/A</v>
      </c>
      <c r="S2963">
        <v>2954</v>
      </c>
      <c r="T2963" t="e">
        <f>INDEX(Stammdaten[Krümmung (mm/lfm)],MATCH(Tabelle10[[#This Row],[Rank]],Stammdaten[Rank Verteilung Krümmung],0))</f>
        <v>#N/A</v>
      </c>
      <c r="U2963" t="e">
        <f>VLOOKUP(Tabelle10[[#This Row],[Rank]],Stammdaten[[Rank Verteilung Krümmung]:[Verteilung Krümmung]],2,FALSE)</f>
        <v>#N/A</v>
      </c>
      <c r="Z2963">
        <v>2954</v>
      </c>
      <c r="AA2963" t="e">
        <f>INDEX(Stammdaten[Ovalität (']0,1'])],MATCH(Tabelle1014[[#This Row],[Rank]],Stammdaten[Rank Verteilung Ovalität],0))</f>
        <v>#N/A</v>
      </c>
      <c r="AB2963" t="e">
        <f>VLOOKUP(Tabelle1014[[#This Row],[Rank]],Stammdaten[[Rank Verteilung Ovalität]:[Verteilung Ovalität]],2,FALSE)</f>
        <v>#N/A</v>
      </c>
    </row>
    <row r="2964" spans="5:28" x14ac:dyDescent="0.35">
      <c r="E2964">
        <v>2955</v>
      </c>
      <c r="F2964" t="e">
        <f>INDEX(Stammdaten[D Mitte mit Rinde (mm)],MATCH(Tabelle8[[#This Row],[Rank]],Stammdaten[Rank Verteilung D Mitte mit Rinde],0))</f>
        <v>#N/A</v>
      </c>
      <c r="G2964" t="e">
        <f>VLOOKUP(Tabelle8[[#This Row],[Rank]],Stammdaten[[Rank Verteilung D Mitte mit Rinde]:[Verteilung D Mitte mit Rinde]],2,FALSE)</f>
        <v>#N/A</v>
      </c>
      <c r="L2964">
        <v>2955</v>
      </c>
      <c r="M2964" t="e">
        <f>INDEX(Stammdaten[Abholzigkeit (mm/lfm)],MATCH(Tabelle9[[#This Row],[Rank]],Stammdaten[Rank Verteilung Abholzigkeit],0))</f>
        <v>#N/A</v>
      </c>
      <c r="N2964" t="e">
        <f>VLOOKUP(Tabelle9[[#This Row],[Rank]],Stammdaten[[Rank Verteilung Abholzigkeit]:[Verteilung Abholzigkeit]],2,FALSE)</f>
        <v>#N/A</v>
      </c>
      <c r="S2964">
        <v>2955</v>
      </c>
      <c r="T2964" t="e">
        <f>INDEX(Stammdaten[Krümmung (mm/lfm)],MATCH(Tabelle10[[#This Row],[Rank]],Stammdaten[Rank Verteilung Krümmung],0))</f>
        <v>#N/A</v>
      </c>
      <c r="U2964" t="e">
        <f>VLOOKUP(Tabelle10[[#This Row],[Rank]],Stammdaten[[Rank Verteilung Krümmung]:[Verteilung Krümmung]],2,FALSE)</f>
        <v>#N/A</v>
      </c>
      <c r="Z2964">
        <v>2955</v>
      </c>
      <c r="AA2964" t="e">
        <f>INDEX(Stammdaten[Ovalität (']0,1'])],MATCH(Tabelle1014[[#This Row],[Rank]],Stammdaten[Rank Verteilung Ovalität],0))</f>
        <v>#N/A</v>
      </c>
      <c r="AB2964" t="e">
        <f>VLOOKUP(Tabelle1014[[#This Row],[Rank]],Stammdaten[[Rank Verteilung Ovalität]:[Verteilung Ovalität]],2,FALSE)</f>
        <v>#N/A</v>
      </c>
    </row>
    <row r="2965" spans="5:28" x14ac:dyDescent="0.35">
      <c r="E2965">
        <v>2956</v>
      </c>
      <c r="F2965" t="e">
        <f>INDEX(Stammdaten[D Mitte mit Rinde (mm)],MATCH(Tabelle8[[#This Row],[Rank]],Stammdaten[Rank Verteilung D Mitte mit Rinde],0))</f>
        <v>#N/A</v>
      </c>
      <c r="G2965" t="e">
        <f>VLOOKUP(Tabelle8[[#This Row],[Rank]],Stammdaten[[Rank Verteilung D Mitte mit Rinde]:[Verteilung D Mitte mit Rinde]],2,FALSE)</f>
        <v>#N/A</v>
      </c>
      <c r="L2965">
        <v>2956</v>
      </c>
      <c r="M2965" t="e">
        <f>INDEX(Stammdaten[Abholzigkeit (mm/lfm)],MATCH(Tabelle9[[#This Row],[Rank]],Stammdaten[Rank Verteilung Abholzigkeit],0))</f>
        <v>#N/A</v>
      </c>
      <c r="N2965" t="e">
        <f>VLOOKUP(Tabelle9[[#This Row],[Rank]],Stammdaten[[Rank Verteilung Abholzigkeit]:[Verteilung Abholzigkeit]],2,FALSE)</f>
        <v>#N/A</v>
      </c>
      <c r="S2965">
        <v>2956</v>
      </c>
      <c r="T2965" t="e">
        <f>INDEX(Stammdaten[Krümmung (mm/lfm)],MATCH(Tabelle10[[#This Row],[Rank]],Stammdaten[Rank Verteilung Krümmung],0))</f>
        <v>#N/A</v>
      </c>
      <c r="U2965" t="e">
        <f>VLOOKUP(Tabelle10[[#This Row],[Rank]],Stammdaten[[Rank Verteilung Krümmung]:[Verteilung Krümmung]],2,FALSE)</f>
        <v>#N/A</v>
      </c>
      <c r="Z2965">
        <v>2956</v>
      </c>
      <c r="AA2965" t="e">
        <f>INDEX(Stammdaten[Ovalität (']0,1'])],MATCH(Tabelle1014[[#This Row],[Rank]],Stammdaten[Rank Verteilung Ovalität],0))</f>
        <v>#N/A</v>
      </c>
      <c r="AB2965" t="e">
        <f>VLOOKUP(Tabelle1014[[#This Row],[Rank]],Stammdaten[[Rank Verteilung Ovalität]:[Verteilung Ovalität]],2,FALSE)</f>
        <v>#N/A</v>
      </c>
    </row>
    <row r="2966" spans="5:28" x14ac:dyDescent="0.35">
      <c r="E2966">
        <v>2957</v>
      </c>
      <c r="F2966" t="e">
        <f>INDEX(Stammdaten[D Mitte mit Rinde (mm)],MATCH(Tabelle8[[#This Row],[Rank]],Stammdaten[Rank Verteilung D Mitte mit Rinde],0))</f>
        <v>#N/A</v>
      </c>
      <c r="G2966" t="e">
        <f>VLOOKUP(Tabelle8[[#This Row],[Rank]],Stammdaten[[Rank Verteilung D Mitte mit Rinde]:[Verteilung D Mitte mit Rinde]],2,FALSE)</f>
        <v>#N/A</v>
      </c>
      <c r="L2966">
        <v>2957</v>
      </c>
      <c r="M2966" t="e">
        <f>INDEX(Stammdaten[Abholzigkeit (mm/lfm)],MATCH(Tabelle9[[#This Row],[Rank]],Stammdaten[Rank Verteilung Abholzigkeit],0))</f>
        <v>#N/A</v>
      </c>
      <c r="N2966" t="e">
        <f>VLOOKUP(Tabelle9[[#This Row],[Rank]],Stammdaten[[Rank Verteilung Abholzigkeit]:[Verteilung Abholzigkeit]],2,FALSE)</f>
        <v>#N/A</v>
      </c>
      <c r="S2966">
        <v>2957</v>
      </c>
      <c r="T2966" t="e">
        <f>INDEX(Stammdaten[Krümmung (mm/lfm)],MATCH(Tabelle10[[#This Row],[Rank]],Stammdaten[Rank Verteilung Krümmung],0))</f>
        <v>#N/A</v>
      </c>
      <c r="U2966" t="e">
        <f>VLOOKUP(Tabelle10[[#This Row],[Rank]],Stammdaten[[Rank Verteilung Krümmung]:[Verteilung Krümmung]],2,FALSE)</f>
        <v>#N/A</v>
      </c>
      <c r="Z2966">
        <v>2957</v>
      </c>
      <c r="AA2966" t="e">
        <f>INDEX(Stammdaten[Ovalität (']0,1'])],MATCH(Tabelle1014[[#This Row],[Rank]],Stammdaten[Rank Verteilung Ovalität],0))</f>
        <v>#N/A</v>
      </c>
      <c r="AB2966" t="e">
        <f>VLOOKUP(Tabelle1014[[#This Row],[Rank]],Stammdaten[[Rank Verteilung Ovalität]:[Verteilung Ovalität]],2,FALSE)</f>
        <v>#N/A</v>
      </c>
    </row>
    <row r="2967" spans="5:28" x14ac:dyDescent="0.35">
      <c r="E2967">
        <v>2958</v>
      </c>
      <c r="F2967" t="e">
        <f>INDEX(Stammdaten[D Mitte mit Rinde (mm)],MATCH(Tabelle8[[#This Row],[Rank]],Stammdaten[Rank Verteilung D Mitte mit Rinde],0))</f>
        <v>#N/A</v>
      </c>
      <c r="G2967" t="e">
        <f>VLOOKUP(Tabelle8[[#This Row],[Rank]],Stammdaten[[Rank Verteilung D Mitte mit Rinde]:[Verteilung D Mitte mit Rinde]],2,FALSE)</f>
        <v>#N/A</v>
      </c>
      <c r="L2967">
        <v>2958</v>
      </c>
      <c r="M2967" t="e">
        <f>INDEX(Stammdaten[Abholzigkeit (mm/lfm)],MATCH(Tabelle9[[#This Row],[Rank]],Stammdaten[Rank Verteilung Abholzigkeit],0))</f>
        <v>#N/A</v>
      </c>
      <c r="N2967" t="e">
        <f>VLOOKUP(Tabelle9[[#This Row],[Rank]],Stammdaten[[Rank Verteilung Abholzigkeit]:[Verteilung Abholzigkeit]],2,FALSE)</f>
        <v>#N/A</v>
      </c>
      <c r="S2967">
        <v>2958</v>
      </c>
      <c r="T2967" t="e">
        <f>INDEX(Stammdaten[Krümmung (mm/lfm)],MATCH(Tabelle10[[#This Row],[Rank]],Stammdaten[Rank Verteilung Krümmung],0))</f>
        <v>#N/A</v>
      </c>
      <c r="U2967" t="e">
        <f>VLOOKUP(Tabelle10[[#This Row],[Rank]],Stammdaten[[Rank Verteilung Krümmung]:[Verteilung Krümmung]],2,FALSE)</f>
        <v>#N/A</v>
      </c>
      <c r="Z2967">
        <v>2958</v>
      </c>
      <c r="AA2967" t="e">
        <f>INDEX(Stammdaten[Ovalität (']0,1'])],MATCH(Tabelle1014[[#This Row],[Rank]],Stammdaten[Rank Verteilung Ovalität],0))</f>
        <v>#N/A</v>
      </c>
      <c r="AB2967" t="e">
        <f>VLOOKUP(Tabelle1014[[#This Row],[Rank]],Stammdaten[[Rank Verteilung Ovalität]:[Verteilung Ovalität]],2,FALSE)</f>
        <v>#N/A</v>
      </c>
    </row>
    <row r="2968" spans="5:28" x14ac:dyDescent="0.35">
      <c r="E2968">
        <v>2959</v>
      </c>
      <c r="F2968" t="e">
        <f>INDEX(Stammdaten[D Mitte mit Rinde (mm)],MATCH(Tabelle8[[#This Row],[Rank]],Stammdaten[Rank Verteilung D Mitte mit Rinde],0))</f>
        <v>#N/A</v>
      </c>
      <c r="G2968" t="e">
        <f>VLOOKUP(Tabelle8[[#This Row],[Rank]],Stammdaten[[Rank Verteilung D Mitte mit Rinde]:[Verteilung D Mitte mit Rinde]],2,FALSE)</f>
        <v>#N/A</v>
      </c>
      <c r="L2968">
        <v>2959</v>
      </c>
      <c r="M2968" t="e">
        <f>INDEX(Stammdaten[Abholzigkeit (mm/lfm)],MATCH(Tabelle9[[#This Row],[Rank]],Stammdaten[Rank Verteilung Abholzigkeit],0))</f>
        <v>#N/A</v>
      </c>
      <c r="N2968" t="e">
        <f>VLOOKUP(Tabelle9[[#This Row],[Rank]],Stammdaten[[Rank Verteilung Abholzigkeit]:[Verteilung Abholzigkeit]],2,FALSE)</f>
        <v>#N/A</v>
      </c>
      <c r="S2968">
        <v>2959</v>
      </c>
      <c r="T2968" t="e">
        <f>INDEX(Stammdaten[Krümmung (mm/lfm)],MATCH(Tabelle10[[#This Row],[Rank]],Stammdaten[Rank Verteilung Krümmung],0))</f>
        <v>#N/A</v>
      </c>
      <c r="U2968" t="e">
        <f>VLOOKUP(Tabelle10[[#This Row],[Rank]],Stammdaten[[Rank Verteilung Krümmung]:[Verteilung Krümmung]],2,FALSE)</f>
        <v>#N/A</v>
      </c>
      <c r="Z2968">
        <v>2959</v>
      </c>
      <c r="AA2968" t="e">
        <f>INDEX(Stammdaten[Ovalität (']0,1'])],MATCH(Tabelle1014[[#This Row],[Rank]],Stammdaten[Rank Verteilung Ovalität],0))</f>
        <v>#N/A</v>
      </c>
      <c r="AB2968" t="e">
        <f>VLOOKUP(Tabelle1014[[#This Row],[Rank]],Stammdaten[[Rank Verteilung Ovalität]:[Verteilung Ovalität]],2,FALSE)</f>
        <v>#N/A</v>
      </c>
    </row>
    <row r="2969" spans="5:28" x14ac:dyDescent="0.35">
      <c r="E2969">
        <v>2960</v>
      </c>
      <c r="F2969" t="e">
        <f>INDEX(Stammdaten[D Mitte mit Rinde (mm)],MATCH(Tabelle8[[#This Row],[Rank]],Stammdaten[Rank Verteilung D Mitte mit Rinde],0))</f>
        <v>#N/A</v>
      </c>
      <c r="G2969" t="e">
        <f>VLOOKUP(Tabelle8[[#This Row],[Rank]],Stammdaten[[Rank Verteilung D Mitte mit Rinde]:[Verteilung D Mitte mit Rinde]],2,FALSE)</f>
        <v>#N/A</v>
      </c>
      <c r="L2969">
        <v>2960</v>
      </c>
      <c r="M2969" t="e">
        <f>INDEX(Stammdaten[Abholzigkeit (mm/lfm)],MATCH(Tabelle9[[#This Row],[Rank]],Stammdaten[Rank Verteilung Abholzigkeit],0))</f>
        <v>#N/A</v>
      </c>
      <c r="N2969" t="e">
        <f>VLOOKUP(Tabelle9[[#This Row],[Rank]],Stammdaten[[Rank Verteilung Abholzigkeit]:[Verteilung Abholzigkeit]],2,FALSE)</f>
        <v>#N/A</v>
      </c>
      <c r="S2969">
        <v>2960</v>
      </c>
      <c r="T2969" t="e">
        <f>INDEX(Stammdaten[Krümmung (mm/lfm)],MATCH(Tabelle10[[#This Row],[Rank]],Stammdaten[Rank Verteilung Krümmung],0))</f>
        <v>#N/A</v>
      </c>
      <c r="U2969" t="e">
        <f>VLOOKUP(Tabelle10[[#This Row],[Rank]],Stammdaten[[Rank Verteilung Krümmung]:[Verteilung Krümmung]],2,FALSE)</f>
        <v>#N/A</v>
      </c>
      <c r="Z2969">
        <v>2960</v>
      </c>
      <c r="AA2969" t="e">
        <f>INDEX(Stammdaten[Ovalität (']0,1'])],MATCH(Tabelle1014[[#This Row],[Rank]],Stammdaten[Rank Verteilung Ovalität],0))</f>
        <v>#N/A</v>
      </c>
      <c r="AB2969" t="e">
        <f>VLOOKUP(Tabelle1014[[#This Row],[Rank]],Stammdaten[[Rank Verteilung Ovalität]:[Verteilung Ovalität]],2,FALSE)</f>
        <v>#N/A</v>
      </c>
    </row>
    <row r="2970" spans="5:28" x14ac:dyDescent="0.35">
      <c r="E2970">
        <v>2961</v>
      </c>
      <c r="F2970" t="e">
        <f>INDEX(Stammdaten[D Mitte mit Rinde (mm)],MATCH(Tabelle8[[#This Row],[Rank]],Stammdaten[Rank Verteilung D Mitte mit Rinde],0))</f>
        <v>#N/A</v>
      </c>
      <c r="G2970" t="e">
        <f>VLOOKUP(Tabelle8[[#This Row],[Rank]],Stammdaten[[Rank Verteilung D Mitte mit Rinde]:[Verteilung D Mitte mit Rinde]],2,FALSE)</f>
        <v>#N/A</v>
      </c>
      <c r="L2970">
        <v>2961</v>
      </c>
      <c r="M2970" t="e">
        <f>INDEX(Stammdaten[Abholzigkeit (mm/lfm)],MATCH(Tabelle9[[#This Row],[Rank]],Stammdaten[Rank Verteilung Abholzigkeit],0))</f>
        <v>#N/A</v>
      </c>
      <c r="N2970" t="e">
        <f>VLOOKUP(Tabelle9[[#This Row],[Rank]],Stammdaten[[Rank Verteilung Abholzigkeit]:[Verteilung Abholzigkeit]],2,FALSE)</f>
        <v>#N/A</v>
      </c>
      <c r="S2970">
        <v>2961</v>
      </c>
      <c r="T2970" t="e">
        <f>INDEX(Stammdaten[Krümmung (mm/lfm)],MATCH(Tabelle10[[#This Row],[Rank]],Stammdaten[Rank Verteilung Krümmung],0))</f>
        <v>#N/A</v>
      </c>
      <c r="U2970" t="e">
        <f>VLOOKUP(Tabelle10[[#This Row],[Rank]],Stammdaten[[Rank Verteilung Krümmung]:[Verteilung Krümmung]],2,FALSE)</f>
        <v>#N/A</v>
      </c>
      <c r="Z2970">
        <v>2961</v>
      </c>
      <c r="AA2970" t="e">
        <f>INDEX(Stammdaten[Ovalität (']0,1'])],MATCH(Tabelle1014[[#This Row],[Rank]],Stammdaten[Rank Verteilung Ovalität],0))</f>
        <v>#N/A</v>
      </c>
      <c r="AB2970" t="e">
        <f>VLOOKUP(Tabelle1014[[#This Row],[Rank]],Stammdaten[[Rank Verteilung Ovalität]:[Verteilung Ovalität]],2,FALSE)</f>
        <v>#N/A</v>
      </c>
    </row>
    <row r="2971" spans="5:28" x14ac:dyDescent="0.35">
      <c r="E2971">
        <v>2962</v>
      </c>
      <c r="F2971" t="e">
        <f>INDEX(Stammdaten[D Mitte mit Rinde (mm)],MATCH(Tabelle8[[#This Row],[Rank]],Stammdaten[Rank Verteilung D Mitte mit Rinde],0))</f>
        <v>#N/A</v>
      </c>
      <c r="G2971" t="e">
        <f>VLOOKUP(Tabelle8[[#This Row],[Rank]],Stammdaten[[Rank Verteilung D Mitte mit Rinde]:[Verteilung D Mitte mit Rinde]],2,FALSE)</f>
        <v>#N/A</v>
      </c>
      <c r="L2971">
        <v>2962</v>
      </c>
      <c r="M2971" t="e">
        <f>INDEX(Stammdaten[Abholzigkeit (mm/lfm)],MATCH(Tabelle9[[#This Row],[Rank]],Stammdaten[Rank Verteilung Abholzigkeit],0))</f>
        <v>#N/A</v>
      </c>
      <c r="N2971" t="e">
        <f>VLOOKUP(Tabelle9[[#This Row],[Rank]],Stammdaten[[Rank Verteilung Abholzigkeit]:[Verteilung Abholzigkeit]],2,FALSE)</f>
        <v>#N/A</v>
      </c>
      <c r="S2971">
        <v>2962</v>
      </c>
      <c r="T2971" t="e">
        <f>INDEX(Stammdaten[Krümmung (mm/lfm)],MATCH(Tabelle10[[#This Row],[Rank]],Stammdaten[Rank Verteilung Krümmung],0))</f>
        <v>#N/A</v>
      </c>
      <c r="U2971" t="e">
        <f>VLOOKUP(Tabelle10[[#This Row],[Rank]],Stammdaten[[Rank Verteilung Krümmung]:[Verteilung Krümmung]],2,FALSE)</f>
        <v>#N/A</v>
      </c>
      <c r="Z2971">
        <v>2962</v>
      </c>
      <c r="AA2971" t="e">
        <f>INDEX(Stammdaten[Ovalität (']0,1'])],MATCH(Tabelle1014[[#This Row],[Rank]],Stammdaten[Rank Verteilung Ovalität],0))</f>
        <v>#N/A</v>
      </c>
      <c r="AB2971" t="e">
        <f>VLOOKUP(Tabelle1014[[#This Row],[Rank]],Stammdaten[[Rank Verteilung Ovalität]:[Verteilung Ovalität]],2,FALSE)</f>
        <v>#N/A</v>
      </c>
    </row>
    <row r="2972" spans="5:28" x14ac:dyDescent="0.35">
      <c r="E2972">
        <v>2963</v>
      </c>
      <c r="F2972" t="e">
        <f>INDEX(Stammdaten[D Mitte mit Rinde (mm)],MATCH(Tabelle8[[#This Row],[Rank]],Stammdaten[Rank Verteilung D Mitte mit Rinde],0))</f>
        <v>#N/A</v>
      </c>
      <c r="G2972" t="e">
        <f>VLOOKUP(Tabelle8[[#This Row],[Rank]],Stammdaten[[Rank Verteilung D Mitte mit Rinde]:[Verteilung D Mitte mit Rinde]],2,FALSE)</f>
        <v>#N/A</v>
      </c>
      <c r="L2972">
        <v>2963</v>
      </c>
      <c r="M2972" t="e">
        <f>INDEX(Stammdaten[Abholzigkeit (mm/lfm)],MATCH(Tabelle9[[#This Row],[Rank]],Stammdaten[Rank Verteilung Abholzigkeit],0))</f>
        <v>#N/A</v>
      </c>
      <c r="N2972" t="e">
        <f>VLOOKUP(Tabelle9[[#This Row],[Rank]],Stammdaten[[Rank Verteilung Abholzigkeit]:[Verteilung Abholzigkeit]],2,FALSE)</f>
        <v>#N/A</v>
      </c>
      <c r="S2972">
        <v>2963</v>
      </c>
      <c r="T2972" t="e">
        <f>INDEX(Stammdaten[Krümmung (mm/lfm)],MATCH(Tabelle10[[#This Row],[Rank]],Stammdaten[Rank Verteilung Krümmung],0))</f>
        <v>#N/A</v>
      </c>
      <c r="U2972" t="e">
        <f>VLOOKUP(Tabelle10[[#This Row],[Rank]],Stammdaten[[Rank Verteilung Krümmung]:[Verteilung Krümmung]],2,FALSE)</f>
        <v>#N/A</v>
      </c>
      <c r="Z2972">
        <v>2963</v>
      </c>
      <c r="AA2972" t="e">
        <f>INDEX(Stammdaten[Ovalität (']0,1'])],MATCH(Tabelle1014[[#This Row],[Rank]],Stammdaten[Rank Verteilung Ovalität],0))</f>
        <v>#N/A</v>
      </c>
      <c r="AB2972" t="e">
        <f>VLOOKUP(Tabelle1014[[#This Row],[Rank]],Stammdaten[[Rank Verteilung Ovalität]:[Verteilung Ovalität]],2,FALSE)</f>
        <v>#N/A</v>
      </c>
    </row>
    <row r="2973" spans="5:28" x14ac:dyDescent="0.35">
      <c r="E2973">
        <v>2964</v>
      </c>
      <c r="F2973" t="e">
        <f>INDEX(Stammdaten[D Mitte mit Rinde (mm)],MATCH(Tabelle8[[#This Row],[Rank]],Stammdaten[Rank Verteilung D Mitte mit Rinde],0))</f>
        <v>#N/A</v>
      </c>
      <c r="G2973" t="e">
        <f>VLOOKUP(Tabelle8[[#This Row],[Rank]],Stammdaten[[Rank Verteilung D Mitte mit Rinde]:[Verteilung D Mitte mit Rinde]],2,FALSE)</f>
        <v>#N/A</v>
      </c>
      <c r="L2973">
        <v>2964</v>
      </c>
      <c r="M2973" t="e">
        <f>INDEX(Stammdaten[Abholzigkeit (mm/lfm)],MATCH(Tabelle9[[#This Row],[Rank]],Stammdaten[Rank Verteilung Abholzigkeit],0))</f>
        <v>#N/A</v>
      </c>
      <c r="N2973" t="e">
        <f>VLOOKUP(Tabelle9[[#This Row],[Rank]],Stammdaten[[Rank Verteilung Abholzigkeit]:[Verteilung Abholzigkeit]],2,FALSE)</f>
        <v>#N/A</v>
      </c>
      <c r="S2973">
        <v>2964</v>
      </c>
      <c r="T2973" t="e">
        <f>INDEX(Stammdaten[Krümmung (mm/lfm)],MATCH(Tabelle10[[#This Row],[Rank]],Stammdaten[Rank Verteilung Krümmung],0))</f>
        <v>#N/A</v>
      </c>
      <c r="U2973" t="e">
        <f>VLOOKUP(Tabelle10[[#This Row],[Rank]],Stammdaten[[Rank Verteilung Krümmung]:[Verteilung Krümmung]],2,FALSE)</f>
        <v>#N/A</v>
      </c>
      <c r="Z2973">
        <v>2964</v>
      </c>
      <c r="AA2973" t="e">
        <f>INDEX(Stammdaten[Ovalität (']0,1'])],MATCH(Tabelle1014[[#This Row],[Rank]],Stammdaten[Rank Verteilung Ovalität],0))</f>
        <v>#N/A</v>
      </c>
      <c r="AB2973" t="e">
        <f>VLOOKUP(Tabelle1014[[#This Row],[Rank]],Stammdaten[[Rank Verteilung Ovalität]:[Verteilung Ovalität]],2,FALSE)</f>
        <v>#N/A</v>
      </c>
    </row>
    <row r="2974" spans="5:28" x14ac:dyDescent="0.35">
      <c r="E2974">
        <v>2965</v>
      </c>
      <c r="F2974" t="e">
        <f>INDEX(Stammdaten[D Mitte mit Rinde (mm)],MATCH(Tabelle8[[#This Row],[Rank]],Stammdaten[Rank Verteilung D Mitte mit Rinde],0))</f>
        <v>#N/A</v>
      </c>
      <c r="G2974" t="e">
        <f>VLOOKUP(Tabelle8[[#This Row],[Rank]],Stammdaten[[Rank Verteilung D Mitte mit Rinde]:[Verteilung D Mitte mit Rinde]],2,FALSE)</f>
        <v>#N/A</v>
      </c>
      <c r="L2974">
        <v>2965</v>
      </c>
      <c r="M2974" t="e">
        <f>INDEX(Stammdaten[Abholzigkeit (mm/lfm)],MATCH(Tabelle9[[#This Row],[Rank]],Stammdaten[Rank Verteilung Abholzigkeit],0))</f>
        <v>#N/A</v>
      </c>
      <c r="N2974" t="e">
        <f>VLOOKUP(Tabelle9[[#This Row],[Rank]],Stammdaten[[Rank Verteilung Abholzigkeit]:[Verteilung Abholzigkeit]],2,FALSE)</f>
        <v>#N/A</v>
      </c>
      <c r="S2974">
        <v>2965</v>
      </c>
      <c r="T2974" t="e">
        <f>INDEX(Stammdaten[Krümmung (mm/lfm)],MATCH(Tabelle10[[#This Row],[Rank]],Stammdaten[Rank Verteilung Krümmung],0))</f>
        <v>#N/A</v>
      </c>
      <c r="U2974" t="e">
        <f>VLOOKUP(Tabelle10[[#This Row],[Rank]],Stammdaten[[Rank Verteilung Krümmung]:[Verteilung Krümmung]],2,FALSE)</f>
        <v>#N/A</v>
      </c>
      <c r="Z2974">
        <v>2965</v>
      </c>
      <c r="AA2974" t="e">
        <f>INDEX(Stammdaten[Ovalität (']0,1'])],MATCH(Tabelle1014[[#This Row],[Rank]],Stammdaten[Rank Verteilung Ovalität],0))</f>
        <v>#N/A</v>
      </c>
      <c r="AB2974" t="e">
        <f>VLOOKUP(Tabelle1014[[#This Row],[Rank]],Stammdaten[[Rank Verteilung Ovalität]:[Verteilung Ovalität]],2,FALSE)</f>
        <v>#N/A</v>
      </c>
    </row>
    <row r="2975" spans="5:28" x14ac:dyDescent="0.35">
      <c r="E2975">
        <v>2966</v>
      </c>
      <c r="F2975" t="e">
        <f>INDEX(Stammdaten[D Mitte mit Rinde (mm)],MATCH(Tabelle8[[#This Row],[Rank]],Stammdaten[Rank Verteilung D Mitte mit Rinde],0))</f>
        <v>#N/A</v>
      </c>
      <c r="G2975" t="e">
        <f>VLOOKUP(Tabelle8[[#This Row],[Rank]],Stammdaten[[Rank Verteilung D Mitte mit Rinde]:[Verteilung D Mitte mit Rinde]],2,FALSE)</f>
        <v>#N/A</v>
      </c>
      <c r="L2975">
        <v>2966</v>
      </c>
      <c r="M2975" t="e">
        <f>INDEX(Stammdaten[Abholzigkeit (mm/lfm)],MATCH(Tabelle9[[#This Row],[Rank]],Stammdaten[Rank Verteilung Abholzigkeit],0))</f>
        <v>#N/A</v>
      </c>
      <c r="N2975" t="e">
        <f>VLOOKUP(Tabelle9[[#This Row],[Rank]],Stammdaten[[Rank Verteilung Abholzigkeit]:[Verteilung Abholzigkeit]],2,FALSE)</f>
        <v>#N/A</v>
      </c>
      <c r="S2975">
        <v>2966</v>
      </c>
      <c r="T2975" t="e">
        <f>INDEX(Stammdaten[Krümmung (mm/lfm)],MATCH(Tabelle10[[#This Row],[Rank]],Stammdaten[Rank Verteilung Krümmung],0))</f>
        <v>#N/A</v>
      </c>
      <c r="U2975" t="e">
        <f>VLOOKUP(Tabelle10[[#This Row],[Rank]],Stammdaten[[Rank Verteilung Krümmung]:[Verteilung Krümmung]],2,FALSE)</f>
        <v>#N/A</v>
      </c>
      <c r="Z2975">
        <v>2966</v>
      </c>
      <c r="AA2975" t="e">
        <f>INDEX(Stammdaten[Ovalität (']0,1'])],MATCH(Tabelle1014[[#This Row],[Rank]],Stammdaten[Rank Verteilung Ovalität],0))</f>
        <v>#N/A</v>
      </c>
      <c r="AB2975" t="e">
        <f>VLOOKUP(Tabelle1014[[#This Row],[Rank]],Stammdaten[[Rank Verteilung Ovalität]:[Verteilung Ovalität]],2,FALSE)</f>
        <v>#N/A</v>
      </c>
    </row>
    <row r="2976" spans="5:28" x14ac:dyDescent="0.35">
      <c r="E2976">
        <v>2967</v>
      </c>
      <c r="F2976" t="e">
        <f>INDEX(Stammdaten[D Mitte mit Rinde (mm)],MATCH(Tabelle8[[#This Row],[Rank]],Stammdaten[Rank Verteilung D Mitte mit Rinde],0))</f>
        <v>#N/A</v>
      </c>
      <c r="G2976" t="e">
        <f>VLOOKUP(Tabelle8[[#This Row],[Rank]],Stammdaten[[Rank Verteilung D Mitte mit Rinde]:[Verteilung D Mitte mit Rinde]],2,FALSE)</f>
        <v>#N/A</v>
      </c>
      <c r="L2976">
        <v>2967</v>
      </c>
      <c r="M2976" t="e">
        <f>INDEX(Stammdaten[Abholzigkeit (mm/lfm)],MATCH(Tabelle9[[#This Row],[Rank]],Stammdaten[Rank Verteilung Abholzigkeit],0))</f>
        <v>#N/A</v>
      </c>
      <c r="N2976" t="e">
        <f>VLOOKUP(Tabelle9[[#This Row],[Rank]],Stammdaten[[Rank Verteilung Abholzigkeit]:[Verteilung Abholzigkeit]],2,FALSE)</f>
        <v>#N/A</v>
      </c>
      <c r="S2976">
        <v>2967</v>
      </c>
      <c r="T2976" t="e">
        <f>INDEX(Stammdaten[Krümmung (mm/lfm)],MATCH(Tabelle10[[#This Row],[Rank]],Stammdaten[Rank Verteilung Krümmung],0))</f>
        <v>#N/A</v>
      </c>
      <c r="U2976" t="e">
        <f>VLOOKUP(Tabelle10[[#This Row],[Rank]],Stammdaten[[Rank Verteilung Krümmung]:[Verteilung Krümmung]],2,FALSE)</f>
        <v>#N/A</v>
      </c>
      <c r="Z2976">
        <v>2967</v>
      </c>
      <c r="AA2976" t="e">
        <f>INDEX(Stammdaten[Ovalität (']0,1'])],MATCH(Tabelle1014[[#This Row],[Rank]],Stammdaten[Rank Verteilung Ovalität],0))</f>
        <v>#N/A</v>
      </c>
      <c r="AB2976" t="e">
        <f>VLOOKUP(Tabelle1014[[#This Row],[Rank]],Stammdaten[[Rank Verteilung Ovalität]:[Verteilung Ovalität]],2,FALSE)</f>
        <v>#N/A</v>
      </c>
    </row>
    <row r="2977" spans="5:28" x14ac:dyDescent="0.35">
      <c r="E2977">
        <v>2968</v>
      </c>
      <c r="F2977" t="e">
        <f>INDEX(Stammdaten[D Mitte mit Rinde (mm)],MATCH(Tabelle8[[#This Row],[Rank]],Stammdaten[Rank Verteilung D Mitte mit Rinde],0))</f>
        <v>#N/A</v>
      </c>
      <c r="G2977" t="e">
        <f>VLOOKUP(Tabelle8[[#This Row],[Rank]],Stammdaten[[Rank Verteilung D Mitte mit Rinde]:[Verteilung D Mitte mit Rinde]],2,FALSE)</f>
        <v>#N/A</v>
      </c>
      <c r="L2977">
        <v>2968</v>
      </c>
      <c r="M2977" t="e">
        <f>INDEX(Stammdaten[Abholzigkeit (mm/lfm)],MATCH(Tabelle9[[#This Row],[Rank]],Stammdaten[Rank Verteilung Abholzigkeit],0))</f>
        <v>#N/A</v>
      </c>
      <c r="N2977" t="e">
        <f>VLOOKUP(Tabelle9[[#This Row],[Rank]],Stammdaten[[Rank Verteilung Abholzigkeit]:[Verteilung Abholzigkeit]],2,FALSE)</f>
        <v>#N/A</v>
      </c>
      <c r="S2977">
        <v>2968</v>
      </c>
      <c r="T2977" t="e">
        <f>INDEX(Stammdaten[Krümmung (mm/lfm)],MATCH(Tabelle10[[#This Row],[Rank]],Stammdaten[Rank Verteilung Krümmung],0))</f>
        <v>#N/A</v>
      </c>
      <c r="U2977" t="e">
        <f>VLOOKUP(Tabelle10[[#This Row],[Rank]],Stammdaten[[Rank Verteilung Krümmung]:[Verteilung Krümmung]],2,FALSE)</f>
        <v>#N/A</v>
      </c>
      <c r="Z2977">
        <v>2968</v>
      </c>
      <c r="AA2977" t="e">
        <f>INDEX(Stammdaten[Ovalität (']0,1'])],MATCH(Tabelle1014[[#This Row],[Rank]],Stammdaten[Rank Verteilung Ovalität],0))</f>
        <v>#N/A</v>
      </c>
      <c r="AB2977" t="e">
        <f>VLOOKUP(Tabelle1014[[#This Row],[Rank]],Stammdaten[[Rank Verteilung Ovalität]:[Verteilung Ovalität]],2,FALSE)</f>
        <v>#N/A</v>
      </c>
    </row>
    <row r="2978" spans="5:28" x14ac:dyDescent="0.35">
      <c r="E2978">
        <v>2969</v>
      </c>
      <c r="F2978" t="e">
        <f>INDEX(Stammdaten[D Mitte mit Rinde (mm)],MATCH(Tabelle8[[#This Row],[Rank]],Stammdaten[Rank Verteilung D Mitte mit Rinde],0))</f>
        <v>#N/A</v>
      </c>
      <c r="G2978" t="e">
        <f>VLOOKUP(Tabelle8[[#This Row],[Rank]],Stammdaten[[Rank Verteilung D Mitte mit Rinde]:[Verteilung D Mitte mit Rinde]],2,FALSE)</f>
        <v>#N/A</v>
      </c>
      <c r="L2978">
        <v>2969</v>
      </c>
      <c r="M2978" t="e">
        <f>INDEX(Stammdaten[Abholzigkeit (mm/lfm)],MATCH(Tabelle9[[#This Row],[Rank]],Stammdaten[Rank Verteilung Abholzigkeit],0))</f>
        <v>#N/A</v>
      </c>
      <c r="N2978" t="e">
        <f>VLOOKUP(Tabelle9[[#This Row],[Rank]],Stammdaten[[Rank Verteilung Abholzigkeit]:[Verteilung Abholzigkeit]],2,FALSE)</f>
        <v>#N/A</v>
      </c>
      <c r="S2978">
        <v>2969</v>
      </c>
      <c r="T2978" t="e">
        <f>INDEX(Stammdaten[Krümmung (mm/lfm)],MATCH(Tabelle10[[#This Row],[Rank]],Stammdaten[Rank Verteilung Krümmung],0))</f>
        <v>#N/A</v>
      </c>
      <c r="U2978" t="e">
        <f>VLOOKUP(Tabelle10[[#This Row],[Rank]],Stammdaten[[Rank Verteilung Krümmung]:[Verteilung Krümmung]],2,FALSE)</f>
        <v>#N/A</v>
      </c>
      <c r="Z2978">
        <v>2969</v>
      </c>
      <c r="AA2978" t="e">
        <f>INDEX(Stammdaten[Ovalität (']0,1'])],MATCH(Tabelle1014[[#This Row],[Rank]],Stammdaten[Rank Verteilung Ovalität],0))</f>
        <v>#N/A</v>
      </c>
      <c r="AB2978" t="e">
        <f>VLOOKUP(Tabelle1014[[#This Row],[Rank]],Stammdaten[[Rank Verteilung Ovalität]:[Verteilung Ovalität]],2,FALSE)</f>
        <v>#N/A</v>
      </c>
    </row>
    <row r="2979" spans="5:28" x14ac:dyDescent="0.35">
      <c r="E2979">
        <v>2970</v>
      </c>
      <c r="F2979" t="e">
        <f>INDEX(Stammdaten[D Mitte mit Rinde (mm)],MATCH(Tabelle8[[#This Row],[Rank]],Stammdaten[Rank Verteilung D Mitte mit Rinde],0))</f>
        <v>#N/A</v>
      </c>
      <c r="G2979" t="e">
        <f>VLOOKUP(Tabelle8[[#This Row],[Rank]],Stammdaten[[Rank Verteilung D Mitte mit Rinde]:[Verteilung D Mitte mit Rinde]],2,FALSE)</f>
        <v>#N/A</v>
      </c>
      <c r="L2979">
        <v>2970</v>
      </c>
      <c r="M2979" t="e">
        <f>INDEX(Stammdaten[Abholzigkeit (mm/lfm)],MATCH(Tabelle9[[#This Row],[Rank]],Stammdaten[Rank Verteilung Abholzigkeit],0))</f>
        <v>#N/A</v>
      </c>
      <c r="N2979" t="e">
        <f>VLOOKUP(Tabelle9[[#This Row],[Rank]],Stammdaten[[Rank Verteilung Abholzigkeit]:[Verteilung Abholzigkeit]],2,FALSE)</f>
        <v>#N/A</v>
      </c>
      <c r="S2979">
        <v>2970</v>
      </c>
      <c r="T2979" t="e">
        <f>INDEX(Stammdaten[Krümmung (mm/lfm)],MATCH(Tabelle10[[#This Row],[Rank]],Stammdaten[Rank Verteilung Krümmung],0))</f>
        <v>#N/A</v>
      </c>
      <c r="U2979" t="e">
        <f>VLOOKUP(Tabelle10[[#This Row],[Rank]],Stammdaten[[Rank Verteilung Krümmung]:[Verteilung Krümmung]],2,FALSE)</f>
        <v>#N/A</v>
      </c>
      <c r="Z2979">
        <v>2970</v>
      </c>
      <c r="AA2979" t="e">
        <f>INDEX(Stammdaten[Ovalität (']0,1'])],MATCH(Tabelle1014[[#This Row],[Rank]],Stammdaten[Rank Verteilung Ovalität],0))</f>
        <v>#N/A</v>
      </c>
      <c r="AB2979" t="e">
        <f>VLOOKUP(Tabelle1014[[#This Row],[Rank]],Stammdaten[[Rank Verteilung Ovalität]:[Verteilung Ovalität]],2,FALSE)</f>
        <v>#N/A</v>
      </c>
    </row>
    <row r="2980" spans="5:28" x14ac:dyDescent="0.35">
      <c r="E2980">
        <v>2971</v>
      </c>
      <c r="F2980" t="e">
        <f>INDEX(Stammdaten[D Mitte mit Rinde (mm)],MATCH(Tabelle8[[#This Row],[Rank]],Stammdaten[Rank Verteilung D Mitte mit Rinde],0))</f>
        <v>#N/A</v>
      </c>
      <c r="G2980" t="e">
        <f>VLOOKUP(Tabelle8[[#This Row],[Rank]],Stammdaten[[Rank Verteilung D Mitte mit Rinde]:[Verteilung D Mitte mit Rinde]],2,FALSE)</f>
        <v>#N/A</v>
      </c>
      <c r="L2980">
        <v>2971</v>
      </c>
      <c r="M2980" t="e">
        <f>INDEX(Stammdaten[Abholzigkeit (mm/lfm)],MATCH(Tabelle9[[#This Row],[Rank]],Stammdaten[Rank Verteilung Abholzigkeit],0))</f>
        <v>#N/A</v>
      </c>
      <c r="N2980" t="e">
        <f>VLOOKUP(Tabelle9[[#This Row],[Rank]],Stammdaten[[Rank Verteilung Abholzigkeit]:[Verteilung Abholzigkeit]],2,FALSE)</f>
        <v>#N/A</v>
      </c>
      <c r="S2980">
        <v>2971</v>
      </c>
      <c r="T2980" t="e">
        <f>INDEX(Stammdaten[Krümmung (mm/lfm)],MATCH(Tabelle10[[#This Row],[Rank]],Stammdaten[Rank Verteilung Krümmung],0))</f>
        <v>#N/A</v>
      </c>
      <c r="U2980" t="e">
        <f>VLOOKUP(Tabelle10[[#This Row],[Rank]],Stammdaten[[Rank Verteilung Krümmung]:[Verteilung Krümmung]],2,FALSE)</f>
        <v>#N/A</v>
      </c>
      <c r="Z2980">
        <v>2971</v>
      </c>
      <c r="AA2980" t="e">
        <f>INDEX(Stammdaten[Ovalität (']0,1'])],MATCH(Tabelle1014[[#This Row],[Rank]],Stammdaten[Rank Verteilung Ovalität],0))</f>
        <v>#N/A</v>
      </c>
      <c r="AB2980" t="e">
        <f>VLOOKUP(Tabelle1014[[#This Row],[Rank]],Stammdaten[[Rank Verteilung Ovalität]:[Verteilung Ovalität]],2,FALSE)</f>
        <v>#N/A</v>
      </c>
    </row>
    <row r="2981" spans="5:28" x14ac:dyDescent="0.35">
      <c r="E2981">
        <v>2972</v>
      </c>
      <c r="F2981" t="e">
        <f>INDEX(Stammdaten[D Mitte mit Rinde (mm)],MATCH(Tabelle8[[#This Row],[Rank]],Stammdaten[Rank Verteilung D Mitte mit Rinde],0))</f>
        <v>#N/A</v>
      </c>
      <c r="G2981" t="e">
        <f>VLOOKUP(Tabelle8[[#This Row],[Rank]],Stammdaten[[Rank Verteilung D Mitte mit Rinde]:[Verteilung D Mitte mit Rinde]],2,FALSE)</f>
        <v>#N/A</v>
      </c>
      <c r="L2981">
        <v>2972</v>
      </c>
      <c r="M2981" t="e">
        <f>INDEX(Stammdaten[Abholzigkeit (mm/lfm)],MATCH(Tabelle9[[#This Row],[Rank]],Stammdaten[Rank Verteilung Abholzigkeit],0))</f>
        <v>#N/A</v>
      </c>
      <c r="N2981" t="e">
        <f>VLOOKUP(Tabelle9[[#This Row],[Rank]],Stammdaten[[Rank Verteilung Abholzigkeit]:[Verteilung Abholzigkeit]],2,FALSE)</f>
        <v>#N/A</v>
      </c>
      <c r="S2981">
        <v>2972</v>
      </c>
      <c r="T2981" t="e">
        <f>INDEX(Stammdaten[Krümmung (mm/lfm)],MATCH(Tabelle10[[#This Row],[Rank]],Stammdaten[Rank Verteilung Krümmung],0))</f>
        <v>#N/A</v>
      </c>
      <c r="U2981" t="e">
        <f>VLOOKUP(Tabelle10[[#This Row],[Rank]],Stammdaten[[Rank Verteilung Krümmung]:[Verteilung Krümmung]],2,FALSE)</f>
        <v>#N/A</v>
      </c>
      <c r="Z2981">
        <v>2972</v>
      </c>
      <c r="AA2981" t="e">
        <f>INDEX(Stammdaten[Ovalität (']0,1'])],MATCH(Tabelle1014[[#This Row],[Rank]],Stammdaten[Rank Verteilung Ovalität],0))</f>
        <v>#N/A</v>
      </c>
      <c r="AB2981" t="e">
        <f>VLOOKUP(Tabelle1014[[#This Row],[Rank]],Stammdaten[[Rank Verteilung Ovalität]:[Verteilung Ovalität]],2,FALSE)</f>
        <v>#N/A</v>
      </c>
    </row>
    <row r="2982" spans="5:28" x14ac:dyDescent="0.35">
      <c r="E2982">
        <v>2973</v>
      </c>
      <c r="F2982" t="e">
        <f>INDEX(Stammdaten[D Mitte mit Rinde (mm)],MATCH(Tabelle8[[#This Row],[Rank]],Stammdaten[Rank Verteilung D Mitte mit Rinde],0))</f>
        <v>#N/A</v>
      </c>
      <c r="G2982" t="e">
        <f>VLOOKUP(Tabelle8[[#This Row],[Rank]],Stammdaten[[Rank Verteilung D Mitte mit Rinde]:[Verteilung D Mitte mit Rinde]],2,FALSE)</f>
        <v>#N/A</v>
      </c>
      <c r="L2982">
        <v>2973</v>
      </c>
      <c r="M2982" t="e">
        <f>INDEX(Stammdaten[Abholzigkeit (mm/lfm)],MATCH(Tabelle9[[#This Row],[Rank]],Stammdaten[Rank Verteilung Abholzigkeit],0))</f>
        <v>#N/A</v>
      </c>
      <c r="N2982" t="e">
        <f>VLOOKUP(Tabelle9[[#This Row],[Rank]],Stammdaten[[Rank Verteilung Abholzigkeit]:[Verteilung Abholzigkeit]],2,FALSE)</f>
        <v>#N/A</v>
      </c>
      <c r="S2982">
        <v>2973</v>
      </c>
      <c r="T2982" t="e">
        <f>INDEX(Stammdaten[Krümmung (mm/lfm)],MATCH(Tabelle10[[#This Row],[Rank]],Stammdaten[Rank Verteilung Krümmung],0))</f>
        <v>#N/A</v>
      </c>
      <c r="U2982" t="e">
        <f>VLOOKUP(Tabelle10[[#This Row],[Rank]],Stammdaten[[Rank Verteilung Krümmung]:[Verteilung Krümmung]],2,FALSE)</f>
        <v>#N/A</v>
      </c>
      <c r="Z2982">
        <v>2973</v>
      </c>
      <c r="AA2982" t="e">
        <f>INDEX(Stammdaten[Ovalität (']0,1'])],MATCH(Tabelle1014[[#This Row],[Rank]],Stammdaten[Rank Verteilung Ovalität],0))</f>
        <v>#N/A</v>
      </c>
      <c r="AB2982" t="e">
        <f>VLOOKUP(Tabelle1014[[#This Row],[Rank]],Stammdaten[[Rank Verteilung Ovalität]:[Verteilung Ovalität]],2,FALSE)</f>
        <v>#N/A</v>
      </c>
    </row>
    <row r="2983" spans="5:28" x14ac:dyDescent="0.35">
      <c r="E2983">
        <v>2974</v>
      </c>
      <c r="F2983" t="e">
        <f>INDEX(Stammdaten[D Mitte mit Rinde (mm)],MATCH(Tabelle8[[#This Row],[Rank]],Stammdaten[Rank Verteilung D Mitte mit Rinde],0))</f>
        <v>#N/A</v>
      </c>
      <c r="G2983" t="e">
        <f>VLOOKUP(Tabelle8[[#This Row],[Rank]],Stammdaten[[Rank Verteilung D Mitte mit Rinde]:[Verteilung D Mitte mit Rinde]],2,FALSE)</f>
        <v>#N/A</v>
      </c>
      <c r="L2983">
        <v>2974</v>
      </c>
      <c r="M2983" t="e">
        <f>INDEX(Stammdaten[Abholzigkeit (mm/lfm)],MATCH(Tabelle9[[#This Row],[Rank]],Stammdaten[Rank Verteilung Abholzigkeit],0))</f>
        <v>#N/A</v>
      </c>
      <c r="N2983" t="e">
        <f>VLOOKUP(Tabelle9[[#This Row],[Rank]],Stammdaten[[Rank Verteilung Abholzigkeit]:[Verteilung Abholzigkeit]],2,FALSE)</f>
        <v>#N/A</v>
      </c>
      <c r="S2983">
        <v>2974</v>
      </c>
      <c r="T2983" t="e">
        <f>INDEX(Stammdaten[Krümmung (mm/lfm)],MATCH(Tabelle10[[#This Row],[Rank]],Stammdaten[Rank Verteilung Krümmung],0))</f>
        <v>#N/A</v>
      </c>
      <c r="U2983" t="e">
        <f>VLOOKUP(Tabelle10[[#This Row],[Rank]],Stammdaten[[Rank Verteilung Krümmung]:[Verteilung Krümmung]],2,FALSE)</f>
        <v>#N/A</v>
      </c>
      <c r="Z2983">
        <v>2974</v>
      </c>
      <c r="AA2983" t="e">
        <f>INDEX(Stammdaten[Ovalität (']0,1'])],MATCH(Tabelle1014[[#This Row],[Rank]],Stammdaten[Rank Verteilung Ovalität],0))</f>
        <v>#N/A</v>
      </c>
      <c r="AB2983" t="e">
        <f>VLOOKUP(Tabelle1014[[#This Row],[Rank]],Stammdaten[[Rank Verteilung Ovalität]:[Verteilung Ovalität]],2,FALSE)</f>
        <v>#N/A</v>
      </c>
    </row>
    <row r="2984" spans="5:28" x14ac:dyDescent="0.35">
      <c r="E2984">
        <v>2975</v>
      </c>
      <c r="F2984" t="e">
        <f>INDEX(Stammdaten[D Mitte mit Rinde (mm)],MATCH(Tabelle8[[#This Row],[Rank]],Stammdaten[Rank Verteilung D Mitte mit Rinde],0))</f>
        <v>#N/A</v>
      </c>
      <c r="G2984" t="e">
        <f>VLOOKUP(Tabelle8[[#This Row],[Rank]],Stammdaten[[Rank Verteilung D Mitte mit Rinde]:[Verteilung D Mitte mit Rinde]],2,FALSE)</f>
        <v>#N/A</v>
      </c>
      <c r="L2984">
        <v>2975</v>
      </c>
      <c r="M2984" t="e">
        <f>INDEX(Stammdaten[Abholzigkeit (mm/lfm)],MATCH(Tabelle9[[#This Row],[Rank]],Stammdaten[Rank Verteilung Abholzigkeit],0))</f>
        <v>#N/A</v>
      </c>
      <c r="N2984" t="e">
        <f>VLOOKUP(Tabelle9[[#This Row],[Rank]],Stammdaten[[Rank Verteilung Abholzigkeit]:[Verteilung Abholzigkeit]],2,FALSE)</f>
        <v>#N/A</v>
      </c>
      <c r="S2984">
        <v>2975</v>
      </c>
      <c r="T2984" t="e">
        <f>INDEX(Stammdaten[Krümmung (mm/lfm)],MATCH(Tabelle10[[#This Row],[Rank]],Stammdaten[Rank Verteilung Krümmung],0))</f>
        <v>#N/A</v>
      </c>
      <c r="U2984" t="e">
        <f>VLOOKUP(Tabelle10[[#This Row],[Rank]],Stammdaten[[Rank Verteilung Krümmung]:[Verteilung Krümmung]],2,FALSE)</f>
        <v>#N/A</v>
      </c>
      <c r="Z2984">
        <v>2975</v>
      </c>
      <c r="AA2984" t="e">
        <f>INDEX(Stammdaten[Ovalität (']0,1'])],MATCH(Tabelle1014[[#This Row],[Rank]],Stammdaten[Rank Verteilung Ovalität],0))</f>
        <v>#N/A</v>
      </c>
      <c r="AB2984" t="e">
        <f>VLOOKUP(Tabelle1014[[#This Row],[Rank]],Stammdaten[[Rank Verteilung Ovalität]:[Verteilung Ovalität]],2,FALSE)</f>
        <v>#N/A</v>
      </c>
    </row>
    <row r="2985" spans="5:28" x14ac:dyDescent="0.35">
      <c r="E2985">
        <v>2976</v>
      </c>
      <c r="F2985" t="e">
        <f>INDEX(Stammdaten[D Mitte mit Rinde (mm)],MATCH(Tabelle8[[#This Row],[Rank]],Stammdaten[Rank Verteilung D Mitte mit Rinde],0))</f>
        <v>#N/A</v>
      </c>
      <c r="G2985" t="e">
        <f>VLOOKUP(Tabelle8[[#This Row],[Rank]],Stammdaten[[Rank Verteilung D Mitte mit Rinde]:[Verteilung D Mitte mit Rinde]],2,FALSE)</f>
        <v>#N/A</v>
      </c>
      <c r="L2985">
        <v>2976</v>
      </c>
      <c r="M2985" t="e">
        <f>INDEX(Stammdaten[Abholzigkeit (mm/lfm)],MATCH(Tabelle9[[#This Row],[Rank]],Stammdaten[Rank Verteilung Abholzigkeit],0))</f>
        <v>#N/A</v>
      </c>
      <c r="N2985" t="e">
        <f>VLOOKUP(Tabelle9[[#This Row],[Rank]],Stammdaten[[Rank Verteilung Abholzigkeit]:[Verteilung Abholzigkeit]],2,FALSE)</f>
        <v>#N/A</v>
      </c>
      <c r="S2985">
        <v>2976</v>
      </c>
      <c r="T2985" t="e">
        <f>INDEX(Stammdaten[Krümmung (mm/lfm)],MATCH(Tabelle10[[#This Row],[Rank]],Stammdaten[Rank Verteilung Krümmung],0))</f>
        <v>#N/A</v>
      </c>
      <c r="U2985" t="e">
        <f>VLOOKUP(Tabelle10[[#This Row],[Rank]],Stammdaten[[Rank Verteilung Krümmung]:[Verteilung Krümmung]],2,FALSE)</f>
        <v>#N/A</v>
      </c>
      <c r="Z2985">
        <v>2976</v>
      </c>
      <c r="AA2985" t="e">
        <f>INDEX(Stammdaten[Ovalität (']0,1'])],MATCH(Tabelle1014[[#This Row],[Rank]],Stammdaten[Rank Verteilung Ovalität],0))</f>
        <v>#N/A</v>
      </c>
      <c r="AB2985" t="e">
        <f>VLOOKUP(Tabelle1014[[#This Row],[Rank]],Stammdaten[[Rank Verteilung Ovalität]:[Verteilung Ovalität]],2,FALSE)</f>
        <v>#N/A</v>
      </c>
    </row>
    <row r="2986" spans="5:28" x14ac:dyDescent="0.35">
      <c r="E2986">
        <v>2977</v>
      </c>
      <c r="F2986" t="e">
        <f>INDEX(Stammdaten[D Mitte mit Rinde (mm)],MATCH(Tabelle8[[#This Row],[Rank]],Stammdaten[Rank Verteilung D Mitte mit Rinde],0))</f>
        <v>#N/A</v>
      </c>
      <c r="G2986" t="e">
        <f>VLOOKUP(Tabelle8[[#This Row],[Rank]],Stammdaten[[Rank Verteilung D Mitte mit Rinde]:[Verteilung D Mitte mit Rinde]],2,FALSE)</f>
        <v>#N/A</v>
      </c>
      <c r="L2986">
        <v>2977</v>
      </c>
      <c r="M2986" t="e">
        <f>INDEX(Stammdaten[Abholzigkeit (mm/lfm)],MATCH(Tabelle9[[#This Row],[Rank]],Stammdaten[Rank Verteilung Abholzigkeit],0))</f>
        <v>#N/A</v>
      </c>
      <c r="N2986" t="e">
        <f>VLOOKUP(Tabelle9[[#This Row],[Rank]],Stammdaten[[Rank Verteilung Abholzigkeit]:[Verteilung Abholzigkeit]],2,FALSE)</f>
        <v>#N/A</v>
      </c>
      <c r="S2986">
        <v>2977</v>
      </c>
      <c r="T2986" t="e">
        <f>INDEX(Stammdaten[Krümmung (mm/lfm)],MATCH(Tabelle10[[#This Row],[Rank]],Stammdaten[Rank Verteilung Krümmung],0))</f>
        <v>#N/A</v>
      </c>
      <c r="U2986" t="e">
        <f>VLOOKUP(Tabelle10[[#This Row],[Rank]],Stammdaten[[Rank Verteilung Krümmung]:[Verteilung Krümmung]],2,FALSE)</f>
        <v>#N/A</v>
      </c>
      <c r="Z2986">
        <v>2977</v>
      </c>
      <c r="AA2986" t="e">
        <f>INDEX(Stammdaten[Ovalität (']0,1'])],MATCH(Tabelle1014[[#This Row],[Rank]],Stammdaten[Rank Verteilung Ovalität],0))</f>
        <v>#N/A</v>
      </c>
      <c r="AB2986" t="e">
        <f>VLOOKUP(Tabelle1014[[#This Row],[Rank]],Stammdaten[[Rank Verteilung Ovalität]:[Verteilung Ovalität]],2,FALSE)</f>
        <v>#N/A</v>
      </c>
    </row>
    <row r="2987" spans="5:28" x14ac:dyDescent="0.35">
      <c r="E2987">
        <v>2978</v>
      </c>
      <c r="F2987" t="e">
        <f>INDEX(Stammdaten[D Mitte mit Rinde (mm)],MATCH(Tabelle8[[#This Row],[Rank]],Stammdaten[Rank Verteilung D Mitte mit Rinde],0))</f>
        <v>#N/A</v>
      </c>
      <c r="G2987" t="e">
        <f>VLOOKUP(Tabelle8[[#This Row],[Rank]],Stammdaten[[Rank Verteilung D Mitte mit Rinde]:[Verteilung D Mitte mit Rinde]],2,FALSE)</f>
        <v>#N/A</v>
      </c>
      <c r="L2987">
        <v>2978</v>
      </c>
      <c r="M2987" t="e">
        <f>INDEX(Stammdaten[Abholzigkeit (mm/lfm)],MATCH(Tabelle9[[#This Row],[Rank]],Stammdaten[Rank Verteilung Abholzigkeit],0))</f>
        <v>#N/A</v>
      </c>
      <c r="N2987" t="e">
        <f>VLOOKUP(Tabelle9[[#This Row],[Rank]],Stammdaten[[Rank Verteilung Abholzigkeit]:[Verteilung Abholzigkeit]],2,FALSE)</f>
        <v>#N/A</v>
      </c>
      <c r="S2987">
        <v>2978</v>
      </c>
      <c r="T2987" t="e">
        <f>INDEX(Stammdaten[Krümmung (mm/lfm)],MATCH(Tabelle10[[#This Row],[Rank]],Stammdaten[Rank Verteilung Krümmung],0))</f>
        <v>#N/A</v>
      </c>
      <c r="U2987" t="e">
        <f>VLOOKUP(Tabelle10[[#This Row],[Rank]],Stammdaten[[Rank Verteilung Krümmung]:[Verteilung Krümmung]],2,FALSE)</f>
        <v>#N/A</v>
      </c>
      <c r="Z2987">
        <v>2978</v>
      </c>
      <c r="AA2987" t="e">
        <f>INDEX(Stammdaten[Ovalität (']0,1'])],MATCH(Tabelle1014[[#This Row],[Rank]],Stammdaten[Rank Verteilung Ovalität],0))</f>
        <v>#N/A</v>
      </c>
      <c r="AB2987" t="e">
        <f>VLOOKUP(Tabelle1014[[#This Row],[Rank]],Stammdaten[[Rank Verteilung Ovalität]:[Verteilung Ovalität]],2,FALSE)</f>
        <v>#N/A</v>
      </c>
    </row>
    <row r="2988" spans="5:28" x14ac:dyDescent="0.35">
      <c r="E2988">
        <v>2979</v>
      </c>
      <c r="F2988" t="e">
        <f>INDEX(Stammdaten[D Mitte mit Rinde (mm)],MATCH(Tabelle8[[#This Row],[Rank]],Stammdaten[Rank Verteilung D Mitte mit Rinde],0))</f>
        <v>#N/A</v>
      </c>
      <c r="G2988" t="e">
        <f>VLOOKUP(Tabelle8[[#This Row],[Rank]],Stammdaten[[Rank Verteilung D Mitte mit Rinde]:[Verteilung D Mitte mit Rinde]],2,FALSE)</f>
        <v>#N/A</v>
      </c>
      <c r="L2988">
        <v>2979</v>
      </c>
      <c r="M2988" t="e">
        <f>INDEX(Stammdaten[Abholzigkeit (mm/lfm)],MATCH(Tabelle9[[#This Row],[Rank]],Stammdaten[Rank Verteilung Abholzigkeit],0))</f>
        <v>#N/A</v>
      </c>
      <c r="N2988" t="e">
        <f>VLOOKUP(Tabelle9[[#This Row],[Rank]],Stammdaten[[Rank Verteilung Abholzigkeit]:[Verteilung Abholzigkeit]],2,FALSE)</f>
        <v>#N/A</v>
      </c>
      <c r="S2988">
        <v>2979</v>
      </c>
      <c r="T2988" t="e">
        <f>INDEX(Stammdaten[Krümmung (mm/lfm)],MATCH(Tabelle10[[#This Row],[Rank]],Stammdaten[Rank Verteilung Krümmung],0))</f>
        <v>#N/A</v>
      </c>
      <c r="U2988" t="e">
        <f>VLOOKUP(Tabelle10[[#This Row],[Rank]],Stammdaten[[Rank Verteilung Krümmung]:[Verteilung Krümmung]],2,FALSE)</f>
        <v>#N/A</v>
      </c>
      <c r="Z2988">
        <v>2979</v>
      </c>
      <c r="AA2988" t="e">
        <f>INDEX(Stammdaten[Ovalität (']0,1'])],MATCH(Tabelle1014[[#This Row],[Rank]],Stammdaten[Rank Verteilung Ovalität],0))</f>
        <v>#N/A</v>
      </c>
      <c r="AB2988" t="e">
        <f>VLOOKUP(Tabelle1014[[#This Row],[Rank]],Stammdaten[[Rank Verteilung Ovalität]:[Verteilung Ovalität]],2,FALSE)</f>
        <v>#N/A</v>
      </c>
    </row>
    <row r="2989" spans="5:28" x14ac:dyDescent="0.35">
      <c r="E2989">
        <v>2980</v>
      </c>
      <c r="F2989" t="e">
        <f>INDEX(Stammdaten[D Mitte mit Rinde (mm)],MATCH(Tabelle8[[#This Row],[Rank]],Stammdaten[Rank Verteilung D Mitte mit Rinde],0))</f>
        <v>#N/A</v>
      </c>
      <c r="G2989" t="e">
        <f>VLOOKUP(Tabelle8[[#This Row],[Rank]],Stammdaten[[Rank Verteilung D Mitte mit Rinde]:[Verteilung D Mitte mit Rinde]],2,FALSE)</f>
        <v>#N/A</v>
      </c>
      <c r="L2989">
        <v>2980</v>
      </c>
      <c r="M2989" t="e">
        <f>INDEX(Stammdaten[Abholzigkeit (mm/lfm)],MATCH(Tabelle9[[#This Row],[Rank]],Stammdaten[Rank Verteilung Abholzigkeit],0))</f>
        <v>#N/A</v>
      </c>
      <c r="N2989" t="e">
        <f>VLOOKUP(Tabelle9[[#This Row],[Rank]],Stammdaten[[Rank Verteilung Abholzigkeit]:[Verteilung Abholzigkeit]],2,FALSE)</f>
        <v>#N/A</v>
      </c>
      <c r="S2989">
        <v>2980</v>
      </c>
      <c r="T2989" t="e">
        <f>INDEX(Stammdaten[Krümmung (mm/lfm)],MATCH(Tabelle10[[#This Row],[Rank]],Stammdaten[Rank Verteilung Krümmung],0))</f>
        <v>#N/A</v>
      </c>
      <c r="U2989" t="e">
        <f>VLOOKUP(Tabelle10[[#This Row],[Rank]],Stammdaten[[Rank Verteilung Krümmung]:[Verteilung Krümmung]],2,FALSE)</f>
        <v>#N/A</v>
      </c>
      <c r="Z2989">
        <v>2980</v>
      </c>
      <c r="AA2989" t="e">
        <f>INDEX(Stammdaten[Ovalität (']0,1'])],MATCH(Tabelle1014[[#This Row],[Rank]],Stammdaten[Rank Verteilung Ovalität],0))</f>
        <v>#N/A</v>
      </c>
      <c r="AB2989" t="e">
        <f>VLOOKUP(Tabelle1014[[#This Row],[Rank]],Stammdaten[[Rank Verteilung Ovalität]:[Verteilung Ovalität]],2,FALSE)</f>
        <v>#N/A</v>
      </c>
    </row>
    <row r="2990" spans="5:28" x14ac:dyDescent="0.35">
      <c r="E2990">
        <v>2981</v>
      </c>
      <c r="F2990" t="e">
        <f>INDEX(Stammdaten[D Mitte mit Rinde (mm)],MATCH(Tabelle8[[#This Row],[Rank]],Stammdaten[Rank Verteilung D Mitte mit Rinde],0))</f>
        <v>#N/A</v>
      </c>
      <c r="G2990" t="e">
        <f>VLOOKUP(Tabelle8[[#This Row],[Rank]],Stammdaten[[Rank Verteilung D Mitte mit Rinde]:[Verteilung D Mitte mit Rinde]],2,FALSE)</f>
        <v>#N/A</v>
      </c>
      <c r="L2990">
        <v>2981</v>
      </c>
      <c r="M2990" t="e">
        <f>INDEX(Stammdaten[Abholzigkeit (mm/lfm)],MATCH(Tabelle9[[#This Row],[Rank]],Stammdaten[Rank Verteilung Abholzigkeit],0))</f>
        <v>#N/A</v>
      </c>
      <c r="N2990" t="e">
        <f>VLOOKUP(Tabelle9[[#This Row],[Rank]],Stammdaten[[Rank Verteilung Abholzigkeit]:[Verteilung Abholzigkeit]],2,FALSE)</f>
        <v>#N/A</v>
      </c>
      <c r="S2990">
        <v>2981</v>
      </c>
      <c r="T2990" t="e">
        <f>INDEX(Stammdaten[Krümmung (mm/lfm)],MATCH(Tabelle10[[#This Row],[Rank]],Stammdaten[Rank Verteilung Krümmung],0))</f>
        <v>#N/A</v>
      </c>
      <c r="U2990" t="e">
        <f>VLOOKUP(Tabelle10[[#This Row],[Rank]],Stammdaten[[Rank Verteilung Krümmung]:[Verteilung Krümmung]],2,FALSE)</f>
        <v>#N/A</v>
      </c>
      <c r="Z2990">
        <v>2981</v>
      </c>
      <c r="AA2990" t="e">
        <f>INDEX(Stammdaten[Ovalität (']0,1'])],MATCH(Tabelle1014[[#This Row],[Rank]],Stammdaten[Rank Verteilung Ovalität],0))</f>
        <v>#N/A</v>
      </c>
      <c r="AB2990" t="e">
        <f>VLOOKUP(Tabelle1014[[#This Row],[Rank]],Stammdaten[[Rank Verteilung Ovalität]:[Verteilung Ovalität]],2,FALSE)</f>
        <v>#N/A</v>
      </c>
    </row>
    <row r="2991" spans="5:28" x14ac:dyDescent="0.35">
      <c r="E2991">
        <v>2982</v>
      </c>
      <c r="F2991" t="e">
        <f>INDEX(Stammdaten[D Mitte mit Rinde (mm)],MATCH(Tabelle8[[#This Row],[Rank]],Stammdaten[Rank Verteilung D Mitte mit Rinde],0))</f>
        <v>#N/A</v>
      </c>
      <c r="G2991" t="e">
        <f>VLOOKUP(Tabelle8[[#This Row],[Rank]],Stammdaten[[Rank Verteilung D Mitte mit Rinde]:[Verteilung D Mitte mit Rinde]],2,FALSE)</f>
        <v>#N/A</v>
      </c>
      <c r="L2991">
        <v>2982</v>
      </c>
      <c r="M2991" t="e">
        <f>INDEX(Stammdaten[Abholzigkeit (mm/lfm)],MATCH(Tabelle9[[#This Row],[Rank]],Stammdaten[Rank Verteilung Abholzigkeit],0))</f>
        <v>#N/A</v>
      </c>
      <c r="N2991" t="e">
        <f>VLOOKUP(Tabelle9[[#This Row],[Rank]],Stammdaten[[Rank Verteilung Abholzigkeit]:[Verteilung Abholzigkeit]],2,FALSE)</f>
        <v>#N/A</v>
      </c>
      <c r="S2991">
        <v>2982</v>
      </c>
      <c r="T2991" t="e">
        <f>INDEX(Stammdaten[Krümmung (mm/lfm)],MATCH(Tabelle10[[#This Row],[Rank]],Stammdaten[Rank Verteilung Krümmung],0))</f>
        <v>#N/A</v>
      </c>
      <c r="U2991" t="e">
        <f>VLOOKUP(Tabelle10[[#This Row],[Rank]],Stammdaten[[Rank Verteilung Krümmung]:[Verteilung Krümmung]],2,FALSE)</f>
        <v>#N/A</v>
      </c>
      <c r="Z2991">
        <v>2982</v>
      </c>
      <c r="AA2991" t="e">
        <f>INDEX(Stammdaten[Ovalität (']0,1'])],MATCH(Tabelle1014[[#This Row],[Rank]],Stammdaten[Rank Verteilung Ovalität],0))</f>
        <v>#N/A</v>
      </c>
      <c r="AB2991" t="e">
        <f>VLOOKUP(Tabelle1014[[#This Row],[Rank]],Stammdaten[[Rank Verteilung Ovalität]:[Verteilung Ovalität]],2,FALSE)</f>
        <v>#N/A</v>
      </c>
    </row>
    <row r="2992" spans="5:28" x14ac:dyDescent="0.35">
      <c r="E2992">
        <v>2983</v>
      </c>
      <c r="F2992" t="e">
        <f>INDEX(Stammdaten[D Mitte mit Rinde (mm)],MATCH(Tabelle8[[#This Row],[Rank]],Stammdaten[Rank Verteilung D Mitte mit Rinde],0))</f>
        <v>#N/A</v>
      </c>
      <c r="G2992" t="e">
        <f>VLOOKUP(Tabelle8[[#This Row],[Rank]],Stammdaten[[Rank Verteilung D Mitte mit Rinde]:[Verteilung D Mitte mit Rinde]],2,FALSE)</f>
        <v>#N/A</v>
      </c>
      <c r="L2992">
        <v>2983</v>
      </c>
      <c r="M2992" t="e">
        <f>INDEX(Stammdaten[Abholzigkeit (mm/lfm)],MATCH(Tabelle9[[#This Row],[Rank]],Stammdaten[Rank Verteilung Abholzigkeit],0))</f>
        <v>#N/A</v>
      </c>
      <c r="N2992" t="e">
        <f>VLOOKUP(Tabelle9[[#This Row],[Rank]],Stammdaten[[Rank Verteilung Abholzigkeit]:[Verteilung Abholzigkeit]],2,FALSE)</f>
        <v>#N/A</v>
      </c>
      <c r="S2992">
        <v>2983</v>
      </c>
      <c r="T2992" t="e">
        <f>INDEX(Stammdaten[Krümmung (mm/lfm)],MATCH(Tabelle10[[#This Row],[Rank]],Stammdaten[Rank Verteilung Krümmung],0))</f>
        <v>#N/A</v>
      </c>
      <c r="U2992" t="e">
        <f>VLOOKUP(Tabelle10[[#This Row],[Rank]],Stammdaten[[Rank Verteilung Krümmung]:[Verteilung Krümmung]],2,FALSE)</f>
        <v>#N/A</v>
      </c>
      <c r="Z2992">
        <v>2983</v>
      </c>
      <c r="AA2992" t="e">
        <f>INDEX(Stammdaten[Ovalität (']0,1'])],MATCH(Tabelle1014[[#This Row],[Rank]],Stammdaten[Rank Verteilung Ovalität],0))</f>
        <v>#N/A</v>
      </c>
      <c r="AB2992" t="e">
        <f>VLOOKUP(Tabelle1014[[#This Row],[Rank]],Stammdaten[[Rank Verteilung Ovalität]:[Verteilung Ovalität]],2,FALSE)</f>
        <v>#N/A</v>
      </c>
    </row>
    <row r="2993" spans="5:28" x14ac:dyDescent="0.35">
      <c r="E2993">
        <v>2984</v>
      </c>
      <c r="F2993" t="e">
        <f>INDEX(Stammdaten[D Mitte mit Rinde (mm)],MATCH(Tabelle8[[#This Row],[Rank]],Stammdaten[Rank Verteilung D Mitte mit Rinde],0))</f>
        <v>#N/A</v>
      </c>
      <c r="G2993" t="e">
        <f>VLOOKUP(Tabelle8[[#This Row],[Rank]],Stammdaten[[Rank Verteilung D Mitte mit Rinde]:[Verteilung D Mitte mit Rinde]],2,FALSE)</f>
        <v>#N/A</v>
      </c>
      <c r="L2993">
        <v>2984</v>
      </c>
      <c r="M2993" t="e">
        <f>INDEX(Stammdaten[Abholzigkeit (mm/lfm)],MATCH(Tabelle9[[#This Row],[Rank]],Stammdaten[Rank Verteilung Abholzigkeit],0))</f>
        <v>#N/A</v>
      </c>
      <c r="N2993" t="e">
        <f>VLOOKUP(Tabelle9[[#This Row],[Rank]],Stammdaten[[Rank Verteilung Abholzigkeit]:[Verteilung Abholzigkeit]],2,FALSE)</f>
        <v>#N/A</v>
      </c>
      <c r="S2993">
        <v>2984</v>
      </c>
      <c r="T2993" t="e">
        <f>INDEX(Stammdaten[Krümmung (mm/lfm)],MATCH(Tabelle10[[#This Row],[Rank]],Stammdaten[Rank Verteilung Krümmung],0))</f>
        <v>#N/A</v>
      </c>
      <c r="U2993" t="e">
        <f>VLOOKUP(Tabelle10[[#This Row],[Rank]],Stammdaten[[Rank Verteilung Krümmung]:[Verteilung Krümmung]],2,FALSE)</f>
        <v>#N/A</v>
      </c>
      <c r="Z2993">
        <v>2984</v>
      </c>
      <c r="AA2993" t="e">
        <f>INDEX(Stammdaten[Ovalität (']0,1'])],MATCH(Tabelle1014[[#This Row],[Rank]],Stammdaten[Rank Verteilung Ovalität],0))</f>
        <v>#N/A</v>
      </c>
      <c r="AB2993" t="e">
        <f>VLOOKUP(Tabelle1014[[#This Row],[Rank]],Stammdaten[[Rank Verteilung Ovalität]:[Verteilung Ovalität]],2,FALSE)</f>
        <v>#N/A</v>
      </c>
    </row>
    <row r="2994" spans="5:28" x14ac:dyDescent="0.35">
      <c r="E2994">
        <v>2985</v>
      </c>
      <c r="F2994" t="e">
        <f>INDEX(Stammdaten[D Mitte mit Rinde (mm)],MATCH(Tabelle8[[#This Row],[Rank]],Stammdaten[Rank Verteilung D Mitte mit Rinde],0))</f>
        <v>#N/A</v>
      </c>
      <c r="G2994" t="e">
        <f>VLOOKUP(Tabelle8[[#This Row],[Rank]],Stammdaten[[Rank Verteilung D Mitte mit Rinde]:[Verteilung D Mitte mit Rinde]],2,FALSE)</f>
        <v>#N/A</v>
      </c>
      <c r="L2994">
        <v>2985</v>
      </c>
      <c r="M2994" t="e">
        <f>INDEX(Stammdaten[Abholzigkeit (mm/lfm)],MATCH(Tabelle9[[#This Row],[Rank]],Stammdaten[Rank Verteilung Abholzigkeit],0))</f>
        <v>#N/A</v>
      </c>
      <c r="N2994" t="e">
        <f>VLOOKUP(Tabelle9[[#This Row],[Rank]],Stammdaten[[Rank Verteilung Abholzigkeit]:[Verteilung Abholzigkeit]],2,FALSE)</f>
        <v>#N/A</v>
      </c>
      <c r="S2994">
        <v>2985</v>
      </c>
      <c r="T2994" t="e">
        <f>INDEX(Stammdaten[Krümmung (mm/lfm)],MATCH(Tabelle10[[#This Row],[Rank]],Stammdaten[Rank Verteilung Krümmung],0))</f>
        <v>#N/A</v>
      </c>
      <c r="U2994" t="e">
        <f>VLOOKUP(Tabelle10[[#This Row],[Rank]],Stammdaten[[Rank Verteilung Krümmung]:[Verteilung Krümmung]],2,FALSE)</f>
        <v>#N/A</v>
      </c>
      <c r="Z2994">
        <v>2985</v>
      </c>
      <c r="AA2994" t="e">
        <f>INDEX(Stammdaten[Ovalität (']0,1'])],MATCH(Tabelle1014[[#This Row],[Rank]],Stammdaten[Rank Verteilung Ovalität],0))</f>
        <v>#N/A</v>
      </c>
      <c r="AB2994" t="e">
        <f>VLOOKUP(Tabelle1014[[#This Row],[Rank]],Stammdaten[[Rank Verteilung Ovalität]:[Verteilung Ovalität]],2,FALSE)</f>
        <v>#N/A</v>
      </c>
    </row>
    <row r="2995" spans="5:28" x14ac:dyDescent="0.35">
      <c r="E2995">
        <v>2986</v>
      </c>
      <c r="F2995" t="e">
        <f>INDEX(Stammdaten[D Mitte mit Rinde (mm)],MATCH(Tabelle8[[#This Row],[Rank]],Stammdaten[Rank Verteilung D Mitte mit Rinde],0))</f>
        <v>#N/A</v>
      </c>
      <c r="G2995" t="e">
        <f>VLOOKUP(Tabelle8[[#This Row],[Rank]],Stammdaten[[Rank Verteilung D Mitte mit Rinde]:[Verteilung D Mitte mit Rinde]],2,FALSE)</f>
        <v>#N/A</v>
      </c>
      <c r="L2995">
        <v>2986</v>
      </c>
      <c r="M2995" t="e">
        <f>INDEX(Stammdaten[Abholzigkeit (mm/lfm)],MATCH(Tabelle9[[#This Row],[Rank]],Stammdaten[Rank Verteilung Abholzigkeit],0))</f>
        <v>#N/A</v>
      </c>
      <c r="N2995" t="e">
        <f>VLOOKUP(Tabelle9[[#This Row],[Rank]],Stammdaten[[Rank Verteilung Abholzigkeit]:[Verteilung Abholzigkeit]],2,FALSE)</f>
        <v>#N/A</v>
      </c>
      <c r="S2995">
        <v>2986</v>
      </c>
      <c r="T2995" t="e">
        <f>INDEX(Stammdaten[Krümmung (mm/lfm)],MATCH(Tabelle10[[#This Row],[Rank]],Stammdaten[Rank Verteilung Krümmung],0))</f>
        <v>#N/A</v>
      </c>
      <c r="U2995" t="e">
        <f>VLOOKUP(Tabelle10[[#This Row],[Rank]],Stammdaten[[Rank Verteilung Krümmung]:[Verteilung Krümmung]],2,FALSE)</f>
        <v>#N/A</v>
      </c>
      <c r="Z2995">
        <v>2986</v>
      </c>
      <c r="AA2995" t="e">
        <f>INDEX(Stammdaten[Ovalität (']0,1'])],MATCH(Tabelle1014[[#This Row],[Rank]],Stammdaten[Rank Verteilung Ovalität],0))</f>
        <v>#N/A</v>
      </c>
      <c r="AB2995" t="e">
        <f>VLOOKUP(Tabelle1014[[#This Row],[Rank]],Stammdaten[[Rank Verteilung Ovalität]:[Verteilung Ovalität]],2,FALSE)</f>
        <v>#N/A</v>
      </c>
    </row>
    <row r="2996" spans="5:28" x14ac:dyDescent="0.35">
      <c r="E2996">
        <v>2987</v>
      </c>
      <c r="F2996" t="e">
        <f>INDEX(Stammdaten[D Mitte mit Rinde (mm)],MATCH(Tabelle8[[#This Row],[Rank]],Stammdaten[Rank Verteilung D Mitte mit Rinde],0))</f>
        <v>#N/A</v>
      </c>
      <c r="G2996" t="e">
        <f>VLOOKUP(Tabelle8[[#This Row],[Rank]],Stammdaten[[Rank Verteilung D Mitte mit Rinde]:[Verteilung D Mitte mit Rinde]],2,FALSE)</f>
        <v>#N/A</v>
      </c>
      <c r="L2996">
        <v>2987</v>
      </c>
      <c r="M2996" t="e">
        <f>INDEX(Stammdaten[Abholzigkeit (mm/lfm)],MATCH(Tabelle9[[#This Row],[Rank]],Stammdaten[Rank Verteilung Abholzigkeit],0))</f>
        <v>#N/A</v>
      </c>
      <c r="N2996" t="e">
        <f>VLOOKUP(Tabelle9[[#This Row],[Rank]],Stammdaten[[Rank Verteilung Abholzigkeit]:[Verteilung Abholzigkeit]],2,FALSE)</f>
        <v>#N/A</v>
      </c>
      <c r="S2996">
        <v>2987</v>
      </c>
      <c r="T2996" t="e">
        <f>INDEX(Stammdaten[Krümmung (mm/lfm)],MATCH(Tabelle10[[#This Row],[Rank]],Stammdaten[Rank Verteilung Krümmung],0))</f>
        <v>#N/A</v>
      </c>
      <c r="U2996" t="e">
        <f>VLOOKUP(Tabelle10[[#This Row],[Rank]],Stammdaten[[Rank Verteilung Krümmung]:[Verteilung Krümmung]],2,FALSE)</f>
        <v>#N/A</v>
      </c>
      <c r="Z2996">
        <v>2987</v>
      </c>
      <c r="AA2996" t="e">
        <f>INDEX(Stammdaten[Ovalität (']0,1'])],MATCH(Tabelle1014[[#This Row],[Rank]],Stammdaten[Rank Verteilung Ovalität],0))</f>
        <v>#N/A</v>
      </c>
      <c r="AB2996" t="e">
        <f>VLOOKUP(Tabelle1014[[#This Row],[Rank]],Stammdaten[[Rank Verteilung Ovalität]:[Verteilung Ovalität]],2,FALSE)</f>
        <v>#N/A</v>
      </c>
    </row>
    <row r="2997" spans="5:28" x14ac:dyDescent="0.35">
      <c r="E2997">
        <v>2988</v>
      </c>
      <c r="F2997" t="e">
        <f>INDEX(Stammdaten[D Mitte mit Rinde (mm)],MATCH(Tabelle8[[#This Row],[Rank]],Stammdaten[Rank Verteilung D Mitte mit Rinde],0))</f>
        <v>#N/A</v>
      </c>
      <c r="G2997" t="e">
        <f>VLOOKUP(Tabelle8[[#This Row],[Rank]],Stammdaten[[Rank Verteilung D Mitte mit Rinde]:[Verteilung D Mitte mit Rinde]],2,FALSE)</f>
        <v>#N/A</v>
      </c>
      <c r="L2997">
        <v>2988</v>
      </c>
      <c r="M2997" t="e">
        <f>INDEX(Stammdaten[Abholzigkeit (mm/lfm)],MATCH(Tabelle9[[#This Row],[Rank]],Stammdaten[Rank Verteilung Abholzigkeit],0))</f>
        <v>#N/A</v>
      </c>
      <c r="N2997" t="e">
        <f>VLOOKUP(Tabelle9[[#This Row],[Rank]],Stammdaten[[Rank Verteilung Abholzigkeit]:[Verteilung Abholzigkeit]],2,FALSE)</f>
        <v>#N/A</v>
      </c>
      <c r="S2997">
        <v>2988</v>
      </c>
      <c r="T2997" t="e">
        <f>INDEX(Stammdaten[Krümmung (mm/lfm)],MATCH(Tabelle10[[#This Row],[Rank]],Stammdaten[Rank Verteilung Krümmung],0))</f>
        <v>#N/A</v>
      </c>
      <c r="U2997" t="e">
        <f>VLOOKUP(Tabelle10[[#This Row],[Rank]],Stammdaten[[Rank Verteilung Krümmung]:[Verteilung Krümmung]],2,FALSE)</f>
        <v>#N/A</v>
      </c>
      <c r="Z2997">
        <v>2988</v>
      </c>
      <c r="AA2997" t="e">
        <f>INDEX(Stammdaten[Ovalität (']0,1'])],MATCH(Tabelle1014[[#This Row],[Rank]],Stammdaten[Rank Verteilung Ovalität],0))</f>
        <v>#N/A</v>
      </c>
      <c r="AB2997" t="e">
        <f>VLOOKUP(Tabelle1014[[#This Row],[Rank]],Stammdaten[[Rank Verteilung Ovalität]:[Verteilung Ovalität]],2,FALSE)</f>
        <v>#N/A</v>
      </c>
    </row>
    <row r="2998" spans="5:28" x14ac:dyDescent="0.35">
      <c r="E2998">
        <v>2989</v>
      </c>
      <c r="F2998" t="e">
        <f>INDEX(Stammdaten[D Mitte mit Rinde (mm)],MATCH(Tabelle8[[#This Row],[Rank]],Stammdaten[Rank Verteilung D Mitte mit Rinde],0))</f>
        <v>#N/A</v>
      </c>
      <c r="G2998" t="e">
        <f>VLOOKUP(Tabelle8[[#This Row],[Rank]],Stammdaten[[Rank Verteilung D Mitte mit Rinde]:[Verteilung D Mitte mit Rinde]],2,FALSE)</f>
        <v>#N/A</v>
      </c>
      <c r="L2998">
        <v>2989</v>
      </c>
      <c r="M2998" t="e">
        <f>INDEX(Stammdaten[Abholzigkeit (mm/lfm)],MATCH(Tabelle9[[#This Row],[Rank]],Stammdaten[Rank Verteilung Abholzigkeit],0))</f>
        <v>#N/A</v>
      </c>
      <c r="N2998" t="e">
        <f>VLOOKUP(Tabelle9[[#This Row],[Rank]],Stammdaten[[Rank Verteilung Abholzigkeit]:[Verteilung Abholzigkeit]],2,FALSE)</f>
        <v>#N/A</v>
      </c>
      <c r="S2998">
        <v>2989</v>
      </c>
      <c r="T2998" t="e">
        <f>INDEX(Stammdaten[Krümmung (mm/lfm)],MATCH(Tabelle10[[#This Row],[Rank]],Stammdaten[Rank Verteilung Krümmung],0))</f>
        <v>#N/A</v>
      </c>
      <c r="U2998" t="e">
        <f>VLOOKUP(Tabelle10[[#This Row],[Rank]],Stammdaten[[Rank Verteilung Krümmung]:[Verteilung Krümmung]],2,FALSE)</f>
        <v>#N/A</v>
      </c>
      <c r="Z2998">
        <v>2989</v>
      </c>
      <c r="AA2998" t="e">
        <f>INDEX(Stammdaten[Ovalität (']0,1'])],MATCH(Tabelle1014[[#This Row],[Rank]],Stammdaten[Rank Verteilung Ovalität],0))</f>
        <v>#N/A</v>
      </c>
      <c r="AB2998" t="e">
        <f>VLOOKUP(Tabelle1014[[#This Row],[Rank]],Stammdaten[[Rank Verteilung Ovalität]:[Verteilung Ovalität]],2,FALSE)</f>
        <v>#N/A</v>
      </c>
    </row>
    <row r="2999" spans="5:28" x14ac:dyDescent="0.35">
      <c r="E2999">
        <v>2990</v>
      </c>
      <c r="F2999" t="e">
        <f>INDEX(Stammdaten[D Mitte mit Rinde (mm)],MATCH(Tabelle8[[#This Row],[Rank]],Stammdaten[Rank Verteilung D Mitte mit Rinde],0))</f>
        <v>#N/A</v>
      </c>
      <c r="G2999" t="e">
        <f>VLOOKUP(Tabelle8[[#This Row],[Rank]],Stammdaten[[Rank Verteilung D Mitte mit Rinde]:[Verteilung D Mitte mit Rinde]],2,FALSE)</f>
        <v>#N/A</v>
      </c>
      <c r="L2999">
        <v>2990</v>
      </c>
      <c r="M2999" t="e">
        <f>INDEX(Stammdaten[Abholzigkeit (mm/lfm)],MATCH(Tabelle9[[#This Row],[Rank]],Stammdaten[Rank Verteilung Abholzigkeit],0))</f>
        <v>#N/A</v>
      </c>
      <c r="N2999" t="e">
        <f>VLOOKUP(Tabelle9[[#This Row],[Rank]],Stammdaten[[Rank Verteilung Abholzigkeit]:[Verteilung Abholzigkeit]],2,FALSE)</f>
        <v>#N/A</v>
      </c>
      <c r="S2999">
        <v>2990</v>
      </c>
      <c r="T2999" t="e">
        <f>INDEX(Stammdaten[Krümmung (mm/lfm)],MATCH(Tabelle10[[#This Row],[Rank]],Stammdaten[Rank Verteilung Krümmung],0))</f>
        <v>#N/A</v>
      </c>
      <c r="U2999" t="e">
        <f>VLOOKUP(Tabelle10[[#This Row],[Rank]],Stammdaten[[Rank Verteilung Krümmung]:[Verteilung Krümmung]],2,FALSE)</f>
        <v>#N/A</v>
      </c>
      <c r="Z2999">
        <v>2990</v>
      </c>
      <c r="AA2999" t="e">
        <f>INDEX(Stammdaten[Ovalität (']0,1'])],MATCH(Tabelle1014[[#This Row],[Rank]],Stammdaten[Rank Verteilung Ovalität],0))</f>
        <v>#N/A</v>
      </c>
      <c r="AB2999" t="e">
        <f>VLOOKUP(Tabelle1014[[#This Row],[Rank]],Stammdaten[[Rank Verteilung Ovalität]:[Verteilung Ovalität]],2,FALSE)</f>
        <v>#N/A</v>
      </c>
    </row>
    <row r="3000" spans="5:28" x14ac:dyDescent="0.35">
      <c r="E3000">
        <v>2991</v>
      </c>
      <c r="F3000" t="e">
        <f>INDEX(Stammdaten[D Mitte mit Rinde (mm)],MATCH(Tabelle8[[#This Row],[Rank]],Stammdaten[Rank Verteilung D Mitte mit Rinde],0))</f>
        <v>#N/A</v>
      </c>
      <c r="G3000" t="e">
        <f>VLOOKUP(Tabelle8[[#This Row],[Rank]],Stammdaten[[Rank Verteilung D Mitte mit Rinde]:[Verteilung D Mitte mit Rinde]],2,FALSE)</f>
        <v>#N/A</v>
      </c>
      <c r="L3000">
        <v>2991</v>
      </c>
      <c r="M3000" t="e">
        <f>INDEX(Stammdaten[Abholzigkeit (mm/lfm)],MATCH(Tabelle9[[#This Row],[Rank]],Stammdaten[Rank Verteilung Abholzigkeit],0))</f>
        <v>#N/A</v>
      </c>
      <c r="N3000" t="e">
        <f>VLOOKUP(Tabelle9[[#This Row],[Rank]],Stammdaten[[Rank Verteilung Abholzigkeit]:[Verteilung Abholzigkeit]],2,FALSE)</f>
        <v>#N/A</v>
      </c>
      <c r="S3000">
        <v>2991</v>
      </c>
      <c r="T3000" t="e">
        <f>INDEX(Stammdaten[Krümmung (mm/lfm)],MATCH(Tabelle10[[#This Row],[Rank]],Stammdaten[Rank Verteilung Krümmung],0))</f>
        <v>#N/A</v>
      </c>
      <c r="U3000" t="e">
        <f>VLOOKUP(Tabelle10[[#This Row],[Rank]],Stammdaten[[Rank Verteilung Krümmung]:[Verteilung Krümmung]],2,FALSE)</f>
        <v>#N/A</v>
      </c>
      <c r="Z3000">
        <v>2991</v>
      </c>
      <c r="AA3000" t="e">
        <f>INDEX(Stammdaten[Ovalität (']0,1'])],MATCH(Tabelle1014[[#This Row],[Rank]],Stammdaten[Rank Verteilung Ovalität],0))</f>
        <v>#N/A</v>
      </c>
      <c r="AB3000" t="e">
        <f>VLOOKUP(Tabelle1014[[#This Row],[Rank]],Stammdaten[[Rank Verteilung Ovalität]:[Verteilung Ovalität]],2,FALSE)</f>
        <v>#N/A</v>
      </c>
    </row>
    <row r="3001" spans="5:28" x14ac:dyDescent="0.35">
      <c r="E3001">
        <v>2992</v>
      </c>
      <c r="F3001" t="e">
        <f>INDEX(Stammdaten[D Mitte mit Rinde (mm)],MATCH(Tabelle8[[#This Row],[Rank]],Stammdaten[Rank Verteilung D Mitte mit Rinde],0))</f>
        <v>#N/A</v>
      </c>
      <c r="G3001" t="e">
        <f>VLOOKUP(Tabelle8[[#This Row],[Rank]],Stammdaten[[Rank Verteilung D Mitte mit Rinde]:[Verteilung D Mitte mit Rinde]],2,FALSE)</f>
        <v>#N/A</v>
      </c>
      <c r="L3001">
        <v>2992</v>
      </c>
      <c r="M3001" t="e">
        <f>INDEX(Stammdaten[Abholzigkeit (mm/lfm)],MATCH(Tabelle9[[#This Row],[Rank]],Stammdaten[Rank Verteilung Abholzigkeit],0))</f>
        <v>#N/A</v>
      </c>
      <c r="N3001" t="e">
        <f>VLOOKUP(Tabelle9[[#This Row],[Rank]],Stammdaten[[Rank Verteilung Abholzigkeit]:[Verteilung Abholzigkeit]],2,FALSE)</f>
        <v>#N/A</v>
      </c>
      <c r="S3001">
        <v>2992</v>
      </c>
      <c r="T3001" t="e">
        <f>INDEX(Stammdaten[Krümmung (mm/lfm)],MATCH(Tabelle10[[#This Row],[Rank]],Stammdaten[Rank Verteilung Krümmung],0))</f>
        <v>#N/A</v>
      </c>
      <c r="U3001" t="e">
        <f>VLOOKUP(Tabelle10[[#This Row],[Rank]],Stammdaten[[Rank Verteilung Krümmung]:[Verteilung Krümmung]],2,FALSE)</f>
        <v>#N/A</v>
      </c>
      <c r="Z3001">
        <v>2992</v>
      </c>
      <c r="AA3001" t="e">
        <f>INDEX(Stammdaten[Ovalität (']0,1'])],MATCH(Tabelle1014[[#This Row],[Rank]],Stammdaten[Rank Verteilung Ovalität],0))</f>
        <v>#N/A</v>
      </c>
      <c r="AB3001" t="e">
        <f>VLOOKUP(Tabelle1014[[#This Row],[Rank]],Stammdaten[[Rank Verteilung Ovalität]:[Verteilung Ovalität]],2,FALSE)</f>
        <v>#N/A</v>
      </c>
    </row>
    <row r="3002" spans="5:28" x14ac:dyDescent="0.35">
      <c r="E3002">
        <v>2993</v>
      </c>
      <c r="F3002" t="e">
        <f>INDEX(Stammdaten[D Mitte mit Rinde (mm)],MATCH(Tabelle8[[#This Row],[Rank]],Stammdaten[Rank Verteilung D Mitte mit Rinde],0))</f>
        <v>#N/A</v>
      </c>
      <c r="G3002" t="e">
        <f>VLOOKUP(Tabelle8[[#This Row],[Rank]],Stammdaten[[Rank Verteilung D Mitte mit Rinde]:[Verteilung D Mitte mit Rinde]],2,FALSE)</f>
        <v>#N/A</v>
      </c>
      <c r="L3002">
        <v>2993</v>
      </c>
      <c r="M3002" t="e">
        <f>INDEX(Stammdaten[Abholzigkeit (mm/lfm)],MATCH(Tabelle9[[#This Row],[Rank]],Stammdaten[Rank Verteilung Abholzigkeit],0))</f>
        <v>#N/A</v>
      </c>
      <c r="N3002" t="e">
        <f>VLOOKUP(Tabelle9[[#This Row],[Rank]],Stammdaten[[Rank Verteilung Abholzigkeit]:[Verteilung Abholzigkeit]],2,FALSE)</f>
        <v>#N/A</v>
      </c>
      <c r="S3002">
        <v>2993</v>
      </c>
      <c r="T3002" t="e">
        <f>INDEX(Stammdaten[Krümmung (mm/lfm)],MATCH(Tabelle10[[#This Row],[Rank]],Stammdaten[Rank Verteilung Krümmung],0))</f>
        <v>#N/A</v>
      </c>
      <c r="U3002" t="e">
        <f>VLOOKUP(Tabelle10[[#This Row],[Rank]],Stammdaten[[Rank Verteilung Krümmung]:[Verteilung Krümmung]],2,FALSE)</f>
        <v>#N/A</v>
      </c>
      <c r="Z3002">
        <v>2993</v>
      </c>
      <c r="AA3002" t="e">
        <f>INDEX(Stammdaten[Ovalität (']0,1'])],MATCH(Tabelle1014[[#This Row],[Rank]],Stammdaten[Rank Verteilung Ovalität],0))</f>
        <v>#N/A</v>
      </c>
      <c r="AB3002" t="e">
        <f>VLOOKUP(Tabelle1014[[#This Row],[Rank]],Stammdaten[[Rank Verteilung Ovalität]:[Verteilung Ovalität]],2,FALSE)</f>
        <v>#N/A</v>
      </c>
    </row>
    <row r="3003" spans="5:28" x14ac:dyDescent="0.35">
      <c r="E3003">
        <v>2994</v>
      </c>
      <c r="F3003" t="e">
        <f>INDEX(Stammdaten[D Mitte mit Rinde (mm)],MATCH(Tabelle8[[#This Row],[Rank]],Stammdaten[Rank Verteilung D Mitte mit Rinde],0))</f>
        <v>#N/A</v>
      </c>
      <c r="G3003" t="e">
        <f>VLOOKUP(Tabelle8[[#This Row],[Rank]],Stammdaten[[Rank Verteilung D Mitte mit Rinde]:[Verteilung D Mitte mit Rinde]],2,FALSE)</f>
        <v>#N/A</v>
      </c>
      <c r="L3003">
        <v>2994</v>
      </c>
      <c r="M3003" t="e">
        <f>INDEX(Stammdaten[Abholzigkeit (mm/lfm)],MATCH(Tabelle9[[#This Row],[Rank]],Stammdaten[Rank Verteilung Abholzigkeit],0))</f>
        <v>#N/A</v>
      </c>
      <c r="N3003" t="e">
        <f>VLOOKUP(Tabelle9[[#This Row],[Rank]],Stammdaten[[Rank Verteilung Abholzigkeit]:[Verteilung Abholzigkeit]],2,FALSE)</f>
        <v>#N/A</v>
      </c>
      <c r="S3003">
        <v>2994</v>
      </c>
      <c r="T3003" t="e">
        <f>INDEX(Stammdaten[Krümmung (mm/lfm)],MATCH(Tabelle10[[#This Row],[Rank]],Stammdaten[Rank Verteilung Krümmung],0))</f>
        <v>#N/A</v>
      </c>
      <c r="U3003" t="e">
        <f>VLOOKUP(Tabelle10[[#This Row],[Rank]],Stammdaten[[Rank Verteilung Krümmung]:[Verteilung Krümmung]],2,FALSE)</f>
        <v>#N/A</v>
      </c>
      <c r="Z3003">
        <v>2994</v>
      </c>
      <c r="AA3003" t="e">
        <f>INDEX(Stammdaten[Ovalität (']0,1'])],MATCH(Tabelle1014[[#This Row],[Rank]],Stammdaten[Rank Verteilung Ovalität],0))</f>
        <v>#N/A</v>
      </c>
      <c r="AB3003" t="e">
        <f>VLOOKUP(Tabelle1014[[#This Row],[Rank]],Stammdaten[[Rank Verteilung Ovalität]:[Verteilung Ovalität]],2,FALSE)</f>
        <v>#N/A</v>
      </c>
    </row>
    <row r="3004" spans="5:28" x14ac:dyDescent="0.35">
      <c r="E3004">
        <v>2995</v>
      </c>
      <c r="F3004" t="e">
        <f>INDEX(Stammdaten[D Mitte mit Rinde (mm)],MATCH(Tabelle8[[#This Row],[Rank]],Stammdaten[Rank Verteilung D Mitte mit Rinde],0))</f>
        <v>#N/A</v>
      </c>
      <c r="G3004" t="e">
        <f>VLOOKUP(Tabelle8[[#This Row],[Rank]],Stammdaten[[Rank Verteilung D Mitte mit Rinde]:[Verteilung D Mitte mit Rinde]],2,FALSE)</f>
        <v>#N/A</v>
      </c>
      <c r="L3004">
        <v>2995</v>
      </c>
      <c r="M3004" t="e">
        <f>INDEX(Stammdaten[Abholzigkeit (mm/lfm)],MATCH(Tabelle9[[#This Row],[Rank]],Stammdaten[Rank Verteilung Abholzigkeit],0))</f>
        <v>#N/A</v>
      </c>
      <c r="N3004" t="e">
        <f>VLOOKUP(Tabelle9[[#This Row],[Rank]],Stammdaten[[Rank Verteilung Abholzigkeit]:[Verteilung Abholzigkeit]],2,FALSE)</f>
        <v>#N/A</v>
      </c>
      <c r="S3004">
        <v>2995</v>
      </c>
      <c r="T3004" t="e">
        <f>INDEX(Stammdaten[Krümmung (mm/lfm)],MATCH(Tabelle10[[#This Row],[Rank]],Stammdaten[Rank Verteilung Krümmung],0))</f>
        <v>#N/A</v>
      </c>
      <c r="U3004" t="e">
        <f>VLOOKUP(Tabelle10[[#This Row],[Rank]],Stammdaten[[Rank Verteilung Krümmung]:[Verteilung Krümmung]],2,FALSE)</f>
        <v>#N/A</v>
      </c>
      <c r="Z3004">
        <v>2995</v>
      </c>
      <c r="AA3004" t="e">
        <f>INDEX(Stammdaten[Ovalität (']0,1'])],MATCH(Tabelle1014[[#This Row],[Rank]],Stammdaten[Rank Verteilung Ovalität],0))</f>
        <v>#N/A</v>
      </c>
      <c r="AB3004" t="e">
        <f>VLOOKUP(Tabelle1014[[#This Row],[Rank]],Stammdaten[[Rank Verteilung Ovalität]:[Verteilung Ovalität]],2,FALSE)</f>
        <v>#N/A</v>
      </c>
    </row>
    <row r="3005" spans="5:28" x14ac:dyDescent="0.35">
      <c r="E3005">
        <v>2996</v>
      </c>
      <c r="F3005" t="e">
        <f>INDEX(Stammdaten[D Mitte mit Rinde (mm)],MATCH(Tabelle8[[#This Row],[Rank]],Stammdaten[Rank Verteilung D Mitte mit Rinde],0))</f>
        <v>#N/A</v>
      </c>
      <c r="G3005" t="e">
        <f>VLOOKUP(Tabelle8[[#This Row],[Rank]],Stammdaten[[Rank Verteilung D Mitte mit Rinde]:[Verteilung D Mitte mit Rinde]],2,FALSE)</f>
        <v>#N/A</v>
      </c>
      <c r="L3005">
        <v>2996</v>
      </c>
      <c r="M3005" t="e">
        <f>INDEX(Stammdaten[Abholzigkeit (mm/lfm)],MATCH(Tabelle9[[#This Row],[Rank]],Stammdaten[Rank Verteilung Abholzigkeit],0))</f>
        <v>#N/A</v>
      </c>
      <c r="N3005" t="e">
        <f>VLOOKUP(Tabelle9[[#This Row],[Rank]],Stammdaten[[Rank Verteilung Abholzigkeit]:[Verteilung Abholzigkeit]],2,FALSE)</f>
        <v>#N/A</v>
      </c>
      <c r="S3005">
        <v>2996</v>
      </c>
      <c r="T3005" t="e">
        <f>INDEX(Stammdaten[Krümmung (mm/lfm)],MATCH(Tabelle10[[#This Row],[Rank]],Stammdaten[Rank Verteilung Krümmung],0))</f>
        <v>#N/A</v>
      </c>
      <c r="U3005" t="e">
        <f>VLOOKUP(Tabelle10[[#This Row],[Rank]],Stammdaten[[Rank Verteilung Krümmung]:[Verteilung Krümmung]],2,FALSE)</f>
        <v>#N/A</v>
      </c>
      <c r="Z3005">
        <v>2996</v>
      </c>
      <c r="AA3005" t="e">
        <f>INDEX(Stammdaten[Ovalität (']0,1'])],MATCH(Tabelle1014[[#This Row],[Rank]],Stammdaten[Rank Verteilung Ovalität],0))</f>
        <v>#N/A</v>
      </c>
      <c r="AB3005" t="e">
        <f>VLOOKUP(Tabelle1014[[#This Row],[Rank]],Stammdaten[[Rank Verteilung Ovalität]:[Verteilung Ovalität]],2,FALSE)</f>
        <v>#N/A</v>
      </c>
    </row>
    <row r="3006" spans="5:28" x14ac:dyDescent="0.35">
      <c r="E3006">
        <v>2997</v>
      </c>
      <c r="F3006" t="e">
        <f>INDEX(Stammdaten[D Mitte mit Rinde (mm)],MATCH(Tabelle8[[#This Row],[Rank]],Stammdaten[Rank Verteilung D Mitte mit Rinde],0))</f>
        <v>#N/A</v>
      </c>
      <c r="G3006" t="e">
        <f>VLOOKUP(Tabelle8[[#This Row],[Rank]],Stammdaten[[Rank Verteilung D Mitte mit Rinde]:[Verteilung D Mitte mit Rinde]],2,FALSE)</f>
        <v>#N/A</v>
      </c>
      <c r="L3006">
        <v>2997</v>
      </c>
      <c r="M3006" t="e">
        <f>INDEX(Stammdaten[Abholzigkeit (mm/lfm)],MATCH(Tabelle9[[#This Row],[Rank]],Stammdaten[Rank Verteilung Abholzigkeit],0))</f>
        <v>#N/A</v>
      </c>
      <c r="N3006" t="e">
        <f>VLOOKUP(Tabelle9[[#This Row],[Rank]],Stammdaten[[Rank Verteilung Abholzigkeit]:[Verteilung Abholzigkeit]],2,FALSE)</f>
        <v>#N/A</v>
      </c>
      <c r="S3006">
        <v>2997</v>
      </c>
      <c r="T3006" t="e">
        <f>INDEX(Stammdaten[Krümmung (mm/lfm)],MATCH(Tabelle10[[#This Row],[Rank]],Stammdaten[Rank Verteilung Krümmung],0))</f>
        <v>#N/A</v>
      </c>
      <c r="U3006" t="e">
        <f>VLOOKUP(Tabelle10[[#This Row],[Rank]],Stammdaten[[Rank Verteilung Krümmung]:[Verteilung Krümmung]],2,FALSE)</f>
        <v>#N/A</v>
      </c>
      <c r="Z3006">
        <v>2997</v>
      </c>
      <c r="AA3006" t="e">
        <f>INDEX(Stammdaten[Ovalität (']0,1'])],MATCH(Tabelle1014[[#This Row],[Rank]],Stammdaten[Rank Verteilung Ovalität],0))</f>
        <v>#N/A</v>
      </c>
      <c r="AB3006" t="e">
        <f>VLOOKUP(Tabelle1014[[#This Row],[Rank]],Stammdaten[[Rank Verteilung Ovalität]:[Verteilung Ovalität]],2,FALSE)</f>
        <v>#N/A</v>
      </c>
    </row>
    <row r="3007" spans="5:28" x14ac:dyDescent="0.35">
      <c r="E3007">
        <v>2998</v>
      </c>
      <c r="F3007" t="e">
        <f>INDEX(Stammdaten[D Mitte mit Rinde (mm)],MATCH(Tabelle8[[#This Row],[Rank]],Stammdaten[Rank Verteilung D Mitte mit Rinde],0))</f>
        <v>#N/A</v>
      </c>
      <c r="G3007" t="e">
        <f>VLOOKUP(Tabelle8[[#This Row],[Rank]],Stammdaten[[Rank Verteilung D Mitte mit Rinde]:[Verteilung D Mitte mit Rinde]],2,FALSE)</f>
        <v>#N/A</v>
      </c>
      <c r="L3007">
        <v>2998</v>
      </c>
      <c r="M3007" t="e">
        <f>INDEX(Stammdaten[Abholzigkeit (mm/lfm)],MATCH(Tabelle9[[#This Row],[Rank]],Stammdaten[Rank Verteilung Abholzigkeit],0))</f>
        <v>#N/A</v>
      </c>
      <c r="N3007" t="e">
        <f>VLOOKUP(Tabelle9[[#This Row],[Rank]],Stammdaten[[Rank Verteilung Abholzigkeit]:[Verteilung Abholzigkeit]],2,FALSE)</f>
        <v>#N/A</v>
      </c>
      <c r="S3007">
        <v>2998</v>
      </c>
      <c r="T3007" t="e">
        <f>INDEX(Stammdaten[Krümmung (mm/lfm)],MATCH(Tabelle10[[#This Row],[Rank]],Stammdaten[Rank Verteilung Krümmung],0))</f>
        <v>#N/A</v>
      </c>
      <c r="U3007" t="e">
        <f>VLOOKUP(Tabelle10[[#This Row],[Rank]],Stammdaten[[Rank Verteilung Krümmung]:[Verteilung Krümmung]],2,FALSE)</f>
        <v>#N/A</v>
      </c>
      <c r="Z3007">
        <v>2998</v>
      </c>
      <c r="AA3007" t="e">
        <f>INDEX(Stammdaten[Ovalität (']0,1'])],MATCH(Tabelle1014[[#This Row],[Rank]],Stammdaten[Rank Verteilung Ovalität],0))</f>
        <v>#N/A</v>
      </c>
      <c r="AB3007" t="e">
        <f>VLOOKUP(Tabelle1014[[#This Row],[Rank]],Stammdaten[[Rank Verteilung Ovalität]:[Verteilung Ovalität]],2,FALSE)</f>
        <v>#N/A</v>
      </c>
    </row>
    <row r="3008" spans="5:28" x14ac:dyDescent="0.35">
      <c r="E3008">
        <v>2999</v>
      </c>
      <c r="F3008" t="e">
        <f>INDEX(Stammdaten[D Mitte mit Rinde (mm)],MATCH(Tabelle8[[#This Row],[Rank]],Stammdaten[Rank Verteilung D Mitte mit Rinde],0))</f>
        <v>#N/A</v>
      </c>
      <c r="G3008" t="e">
        <f>VLOOKUP(Tabelle8[[#This Row],[Rank]],Stammdaten[[Rank Verteilung D Mitte mit Rinde]:[Verteilung D Mitte mit Rinde]],2,FALSE)</f>
        <v>#N/A</v>
      </c>
      <c r="L3008">
        <v>2999</v>
      </c>
      <c r="M3008" t="e">
        <f>INDEX(Stammdaten[Abholzigkeit (mm/lfm)],MATCH(Tabelle9[[#This Row],[Rank]],Stammdaten[Rank Verteilung Abholzigkeit],0))</f>
        <v>#N/A</v>
      </c>
      <c r="N3008" t="e">
        <f>VLOOKUP(Tabelle9[[#This Row],[Rank]],Stammdaten[[Rank Verteilung Abholzigkeit]:[Verteilung Abholzigkeit]],2,FALSE)</f>
        <v>#N/A</v>
      </c>
      <c r="S3008">
        <v>2999</v>
      </c>
      <c r="T3008" t="e">
        <f>INDEX(Stammdaten[Krümmung (mm/lfm)],MATCH(Tabelle10[[#This Row],[Rank]],Stammdaten[Rank Verteilung Krümmung],0))</f>
        <v>#N/A</v>
      </c>
      <c r="U3008" t="e">
        <f>VLOOKUP(Tabelle10[[#This Row],[Rank]],Stammdaten[[Rank Verteilung Krümmung]:[Verteilung Krümmung]],2,FALSE)</f>
        <v>#N/A</v>
      </c>
      <c r="Z3008">
        <v>2999</v>
      </c>
      <c r="AA3008" t="e">
        <f>INDEX(Stammdaten[Ovalität (']0,1'])],MATCH(Tabelle1014[[#This Row],[Rank]],Stammdaten[Rank Verteilung Ovalität],0))</f>
        <v>#N/A</v>
      </c>
      <c r="AB3008" t="e">
        <f>VLOOKUP(Tabelle1014[[#This Row],[Rank]],Stammdaten[[Rank Verteilung Ovalität]:[Verteilung Ovalität]],2,FALSE)</f>
        <v>#N/A</v>
      </c>
    </row>
    <row r="3009" spans="5:28" x14ac:dyDescent="0.35">
      <c r="E3009">
        <v>3000</v>
      </c>
      <c r="F3009" t="e">
        <f>INDEX(Stammdaten[D Mitte mit Rinde (mm)],MATCH(Tabelle8[[#This Row],[Rank]],Stammdaten[Rank Verteilung D Mitte mit Rinde],0))</f>
        <v>#N/A</v>
      </c>
      <c r="G3009" t="e">
        <f>VLOOKUP(Tabelle8[[#This Row],[Rank]],Stammdaten[[Rank Verteilung D Mitte mit Rinde]:[Verteilung D Mitte mit Rinde]],2,FALSE)</f>
        <v>#N/A</v>
      </c>
      <c r="L3009">
        <v>3000</v>
      </c>
      <c r="M3009" t="e">
        <f>INDEX(Stammdaten[Abholzigkeit (mm/lfm)],MATCH(Tabelle9[[#This Row],[Rank]],Stammdaten[Rank Verteilung Abholzigkeit],0))</f>
        <v>#N/A</v>
      </c>
      <c r="N3009" t="e">
        <f>VLOOKUP(Tabelle9[[#This Row],[Rank]],Stammdaten[[Rank Verteilung Abholzigkeit]:[Verteilung Abholzigkeit]],2,FALSE)</f>
        <v>#N/A</v>
      </c>
      <c r="S3009">
        <v>3000</v>
      </c>
      <c r="T3009" t="e">
        <f>INDEX(Stammdaten[Krümmung (mm/lfm)],MATCH(Tabelle10[[#This Row],[Rank]],Stammdaten[Rank Verteilung Krümmung],0))</f>
        <v>#N/A</v>
      </c>
      <c r="U3009" t="e">
        <f>VLOOKUP(Tabelle10[[#This Row],[Rank]],Stammdaten[[Rank Verteilung Krümmung]:[Verteilung Krümmung]],2,FALSE)</f>
        <v>#N/A</v>
      </c>
      <c r="Z3009">
        <v>3000</v>
      </c>
      <c r="AA3009" t="e">
        <f>INDEX(Stammdaten[Ovalität (']0,1'])],MATCH(Tabelle1014[[#This Row],[Rank]],Stammdaten[Rank Verteilung Ovalität],0))</f>
        <v>#N/A</v>
      </c>
      <c r="AB3009" t="e">
        <f>VLOOKUP(Tabelle1014[[#This Row],[Rank]],Stammdaten[[Rank Verteilung Ovalität]:[Verteilung Ovalität]],2,FALSE)</f>
        <v>#N/A</v>
      </c>
    </row>
    <row r="3010" spans="5:28" x14ac:dyDescent="0.35">
      <c r="E3010">
        <v>3001</v>
      </c>
      <c r="F3010" t="e">
        <f>INDEX(Stammdaten[D Mitte mit Rinde (mm)],MATCH(Tabelle8[[#This Row],[Rank]],Stammdaten[Rank Verteilung D Mitte mit Rinde],0))</f>
        <v>#N/A</v>
      </c>
      <c r="G3010" t="e">
        <f>VLOOKUP(Tabelle8[[#This Row],[Rank]],Stammdaten[[Rank Verteilung D Mitte mit Rinde]:[Verteilung D Mitte mit Rinde]],2,FALSE)</f>
        <v>#N/A</v>
      </c>
      <c r="L3010">
        <v>3001</v>
      </c>
      <c r="M3010" t="e">
        <f>INDEX(Stammdaten[Abholzigkeit (mm/lfm)],MATCH(Tabelle9[[#This Row],[Rank]],Stammdaten[Rank Verteilung Abholzigkeit],0))</f>
        <v>#N/A</v>
      </c>
      <c r="N3010" t="e">
        <f>VLOOKUP(Tabelle9[[#This Row],[Rank]],Stammdaten[[Rank Verteilung Abholzigkeit]:[Verteilung Abholzigkeit]],2,FALSE)</f>
        <v>#N/A</v>
      </c>
      <c r="S3010">
        <v>3001</v>
      </c>
      <c r="T3010" t="e">
        <f>INDEX(Stammdaten[Krümmung (mm/lfm)],MATCH(Tabelle10[[#This Row],[Rank]],Stammdaten[Rank Verteilung Krümmung],0))</f>
        <v>#N/A</v>
      </c>
      <c r="U3010" t="e">
        <f>VLOOKUP(Tabelle10[[#This Row],[Rank]],Stammdaten[[Rank Verteilung Krümmung]:[Verteilung Krümmung]],2,FALSE)</f>
        <v>#N/A</v>
      </c>
      <c r="Z3010">
        <v>3001</v>
      </c>
      <c r="AA3010" t="e">
        <f>INDEX(Stammdaten[Ovalität (']0,1'])],MATCH(Tabelle1014[[#This Row],[Rank]],Stammdaten[Rank Verteilung Ovalität],0))</f>
        <v>#N/A</v>
      </c>
      <c r="AB3010" t="e">
        <f>VLOOKUP(Tabelle1014[[#This Row],[Rank]],Stammdaten[[Rank Verteilung Ovalität]:[Verteilung Ovalität]],2,FALSE)</f>
        <v>#N/A</v>
      </c>
    </row>
    <row r="3011" spans="5:28" x14ac:dyDescent="0.35">
      <c r="E3011">
        <v>3002</v>
      </c>
      <c r="F3011" t="e">
        <f>INDEX(Stammdaten[D Mitte mit Rinde (mm)],MATCH(Tabelle8[[#This Row],[Rank]],Stammdaten[Rank Verteilung D Mitte mit Rinde],0))</f>
        <v>#N/A</v>
      </c>
      <c r="G3011" t="e">
        <f>VLOOKUP(Tabelle8[[#This Row],[Rank]],Stammdaten[[Rank Verteilung D Mitte mit Rinde]:[Verteilung D Mitte mit Rinde]],2,FALSE)</f>
        <v>#N/A</v>
      </c>
      <c r="L3011">
        <v>3002</v>
      </c>
      <c r="M3011" t="e">
        <f>INDEX(Stammdaten[Abholzigkeit (mm/lfm)],MATCH(Tabelle9[[#This Row],[Rank]],Stammdaten[Rank Verteilung Abholzigkeit],0))</f>
        <v>#N/A</v>
      </c>
      <c r="N3011" t="e">
        <f>VLOOKUP(Tabelle9[[#This Row],[Rank]],Stammdaten[[Rank Verteilung Abholzigkeit]:[Verteilung Abholzigkeit]],2,FALSE)</f>
        <v>#N/A</v>
      </c>
      <c r="S3011">
        <v>3002</v>
      </c>
      <c r="T3011" t="e">
        <f>INDEX(Stammdaten[Krümmung (mm/lfm)],MATCH(Tabelle10[[#This Row],[Rank]],Stammdaten[Rank Verteilung Krümmung],0))</f>
        <v>#N/A</v>
      </c>
      <c r="U3011" t="e">
        <f>VLOOKUP(Tabelle10[[#This Row],[Rank]],Stammdaten[[Rank Verteilung Krümmung]:[Verteilung Krümmung]],2,FALSE)</f>
        <v>#N/A</v>
      </c>
      <c r="Z3011">
        <v>3002</v>
      </c>
      <c r="AA3011" t="e">
        <f>INDEX(Stammdaten[Ovalität (']0,1'])],MATCH(Tabelle1014[[#This Row],[Rank]],Stammdaten[Rank Verteilung Ovalität],0))</f>
        <v>#N/A</v>
      </c>
      <c r="AB3011" t="e">
        <f>VLOOKUP(Tabelle1014[[#This Row],[Rank]],Stammdaten[[Rank Verteilung Ovalität]:[Verteilung Ovalität]],2,FALSE)</f>
        <v>#N/A</v>
      </c>
    </row>
    <row r="3012" spans="5:28" x14ac:dyDescent="0.35">
      <c r="E3012">
        <v>3003</v>
      </c>
      <c r="F3012" t="e">
        <f>INDEX(Stammdaten[D Mitte mit Rinde (mm)],MATCH(Tabelle8[[#This Row],[Rank]],Stammdaten[Rank Verteilung D Mitte mit Rinde],0))</f>
        <v>#N/A</v>
      </c>
      <c r="G3012" t="e">
        <f>VLOOKUP(Tabelle8[[#This Row],[Rank]],Stammdaten[[Rank Verteilung D Mitte mit Rinde]:[Verteilung D Mitte mit Rinde]],2,FALSE)</f>
        <v>#N/A</v>
      </c>
      <c r="L3012">
        <v>3003</v>
      </c>
      <c r="M3012" t="e">
        <f>INDEX(Stammdaten[Abholzigkeit (mm/lfm)],MATCH(Tabelle9[[#This Row],[Rank]],Stammdaten[Rank Verteilung Abholzigkeit],0))</f>
        <v>#N/A</v>
      </c>
      <c r="N3012" t="e">
        <f>VLOOKUP(Tabelle9[[#This Row],[Rank]],Stammdaten[[Rank Verteilung Abholzigkeit]:[Verteilung Abholzigkeit]],2,FALSE)</f>
        <v>#N/A</v>
      </c>
      <c r="S3012">
        <v>3003</v>
      </c>
      <c r="T3012" t="e">
        <f>INDEX(Stammdaten[Krümmung (mm/lfm)],MATCH(Tabelle10[[#This Row],[Rank]],Stammdaten[Rank Verteilung Krümmung],0))</f>
        <v>#N/A</v>
      </c>
      <c r="U3012" t="e">
        <f>VLOOKUP(Tabelle10[[#This Row],[Rank]],Stammdaten[[Rank Verteilung Krümmung]:[Verteilung Krümmung]],2,FALSE)</f>
        <v>#N/A</v>
      </c>
      <c r="Z3012">
        <v>3003</v>
      </c>
      <c r="AA3012" t="e">
        <f>INDEX(Stammdaten[Ovalität (']0,1'])],MATCH(Tabelle1014[[#This Row],[Rank]],Stammdaten[Rank Verteilung Ovalität],0))</f>
        <v>#N/A</v>
      </c>
      <c r="AB3012" t="e">
        <f>VLOOKUP(Tabelle1014[[#This Row],[Rank]],Stammdaten[[Rank Verteilung Ovalität]:[Verteilung Ovalität]],2,FALSE)</f>
        <v>#N/A</v>
      </c>
    </row>
    <row r="3013" spans="5:28" x14ac:dyDescent="0.35">
      <c r="E3013">
        <v>3004</v>
      </c>
      <c r="F3013" t="e">
        <f>INDEX(Stammdaten[D Mitte mit Rinde (mm)],MATCH(Tabelle8[[#This Row],[Rank]],Stammdaten[Rank Verteilung D Mitte mit Rinde],0))</f>
        <v>#N/A</v>
      </c>
      <c r="G3013" t="e">
        <f>VLOOKUP(Tabelle8[[#This Row],[Rank]],Stammdaten[[Rank Verteilung D Mitte mit Rinde]:[Verteilung D Mitte mit Rinde]],2,FALSE)</f>
        <v>#N/A</v>
      </c>
      <c r="L3013">
        <v>3004</v>
      </c>
      <c r="M3013" t="e">
        <f>INDEX(Stammdaten[Abholzigkeit (mm/lfm)],MATCH(Tabelle9[[#This Row],[Rank]],Stammdaten[Rank Verteilung Abholzigkeit],0))</f>
        <v>#N/A</v>
      </c>
      <c r="N3013" t="e">
        <f>VLOOKUP(Tabelle9[[#This Row],[Rank]],Stammdaten[[Rank Verteilung Abholzigkeit]:[Verteilung Abholzigkeit]],2,FALSE)</f>
        <v>#N/A</v>
      </c>
      <c r="S3013">
        <v>3004</v>
      </c>
      <c r="T3013" t="e">
        <f>INDEX(Stammdaten[Krümmung (mm/lfm)],MATCH(Tabelle10[[#This Row],[Rank]],Stammdaten[Rank Verteilung Krümmung],0))</f>
        <v>#N/A</v>
      </c>
      <c r="U3013" t="e">
        <f>VLOOKUP(Tabelle10[[#This Row],[Rank]],Stammdaten[[Rank Verteilung Krümmung]:[Verteilung Krümmung]],2,FALSE)</f>
        <v>#N/A</v>
      </c>
      <c r="Z3013">
        <v>3004</v>
      </c>
      <c r="AA3013" t="e">
        <f>INDEX(Stammdaten[Ovalität (']0,1'])],MATCH(Tabelle1014[[#This Row],[Rank]],Stammdaten[Rank Verteilung Ovalität],0))</f>
        <v>#N/A</v>
      </c>
      <c r="AB3013" t="e">
        <f>VLOOKUP(Tabelle1014[[#This Row],[Rank]],Stammdaten[[Rank Verteilung Ovalität]:[Verteilung Ovalität]],2,FALSE)</f>
        <v>#N/A</v>
      </c>
    </row>
    <row r="3014" spans="5:28" x14ac:dyDescent="0.35">
      <c r="E3014">
        <v>3005</v>
      </c>
      <c r="F3014" t="e">
        <f>INDEX(Stammdaten[D Mitte mit Rinde (mm)],MATCH(Tabelle8[[#This Row],[Rank]],Stammdaten[Rank Verteilung D Mitte mit Rinde],0))</f>
        <v>#N/A</v>
      </c>
      <c r="G3014" t="e">
        <f>VLOOKUP(Tabelle8[[#This Row],[Rank]],Stammdaten[[Rank Verteilung D Mitte mit Rinde]:[Verteilung D Mitte mit Rinde]],2,FALSE)</f>
        <v>#N/A</v>
      </c>
      <c r="L3014">
        <v>3005</v>
      </c>
      <c r="M3014" t="e">
        <f>INDEX(Stammdaten[Abholzigkeit (mm/lfm)],MATCH(Tabelle9[[#This Row],[Rank]],Stammdaten[Rank Verteilung Abholzigkeit],0))</f>
        <v>#N/A</v>
      </c>
      <c r="N3014" t="e">
        <f>VLOOKUP(Tabelle9[[#This Row],[Rank]],Stammdaten[[Rank Verteilung Abholzigkeit]:[Verteilung Abholzigkeit]],2,FALSE)</f>
        <v>#N/A</v>
      </c>
      <c r="S3014">
        <v>3005</v>
      </c>
      <c r="T3014" t="e">
        <f>INDEX(Stammdaten[Krümmung (mm/lfm)],MATCH(Tabelle10[[#This Row],[Rank]],Stammdaten[Rank Verteilung Krümmung],0))</f>
        <v>#N/A</v>
      </c>
      <c r="U3014" t="e">
        <f>VLOOKUP(Tabelle10[[#This Row],[Rank]],Stammdaten[[Rank Verteilung Krümmung]:[Verteilung Krümmung]],2,FALSE)</f>
        <v>#N/A</v>
      </c>
      <c r="Z3014">
        <v>3005</v>
      </c>
      <c r="AA3014" t="e">
        <f>INDEX(Stammdaten[Ovalität (']0,1'])],MATCH(Tabelle1014[[#This Row],[Rank]],Stammdaten[Rank Verteilung Ovalität],0))</f>
        <v>#N/A</v>
      </c>
      <c r="AB3014" t="e">
        <f>VLOOKUP(Tabelle1014[[#This Row],[Rank]],Stammdaten[[Rank Verteilung Ovalität]:[Verteilung Ovalität]],2,FALSE)</f>
        <v>#N/A</v>
      </c>
    </row>
    <row r="3015" spans="5:28" x14ac:dyDescent="0.35">
      <c r="E3015">
        <v>3006</v>
      </c>
      <c r="F3015" t="e">
        <f>INDEX(Stammdaten[D Mitte mit Rinde (mm)],MATCH(Tabelle8[[#This Row],[Rank]],Stammdaten[Rank Verteilung D Mitte mit Rinde],0))</f>
        <v>#N/A</v>
      </c>
      <c r="G3015" t="e">
        <f>VLOOKUP(Tabelle8[[#This Row],[Rank]],Stammdaten[[Rank Verteilung D Mitte mit Rinde]:[Verteilung D Mitte mit Rinde]],2,FALSE)</f>
        <v>#N/A</v>
      </c>
      <c r="L3015">
        <v>3006</v>
      </c>
      <c r="M3015" t="e">
        <f>INDEX(Stammdaten[Abholzigkeit (mm/lfm)],MATCH(Tabelle9[[#This Row],[Rank]],Stammdaten[Rank Verteilung Abholzigkeit],0))</f>
        <v>#N/A</v>
      </c>
      <c r="N3015" t="e">
        <f>VLOOKUP(Tabelle9[[#This Row],[Rank]],Stammdaten[[Rank Verteilung Abholzigkeit]:[Verteilung Abholzigkeit]],2,FALSE)</f>
        <v>#N/A</v>
      </c>
      <c r="S3015">
        <v>3006</v>
      </c>
      <c r="T3015" t="e">
        <f>INDEX(Stammdaten[Krümmung (mm/lfm)],MATCH(Tabelle10[[#This Row],[Rank]],Stammdaten[Rank Verteilung Krümmung],0))</f>
        <v>#N/A</v>
      </c>
      <c r="U3015" t="e">
        <f>VLOOKUP(Tabelle10[[#This Row],[Rank]],Stammdaten[[Rank Verteilung Krümmung]:[Verteilung Krümmung]],2,FALSE)</f>
        <v>#N/A</v>
      </c>
      <c r="Z3015">
        <v>3006</v>
      </c>
      <c r="AA3015" t="e">
        <f>INDEX(Stammdaten[Ovalität (']0,1'])],MATCH(Tabelle1014[[#This Row],[Rank]],Stammdaten[Rank Verteilung Ovalität],0))</f>
        <v>#N/A</v>
      </c>
      <c r="AB3015" t="e">
        <f>VLOOKUP(Tabelle1014[[#This Row],[Rank]],Stammdaten[[Rank Verteilung Ovalität]:[Verteilung Ovalität]],2,FALSE)</f>
        <v>#N/A</v>
      </c>
    </row>
    <row r="3016" spans="5:28" x14ac:dyDescent="0.35">
      <c r="E3016">
        <v>3007</v>
      </c>
      <c r="F3016" t="e">
        <f>INDEX(Stammdaten[D Mitte mit Rinde (mm)],MATCH(Tabelle8[[#This Row],[Rank]],Stammdaten[Rank Verteilung D Mitte mit Rinde],0))</f>
        <v>#N/A</v>
      </c>
      <c r="G3016" t="e">
        <f>VLOOKUP(Tabelle8[[#This Row],[Rank]],Stammdaten[[Rank Verteilung D Mitte mit Rinde]:[Verteilung D Mitte mit Rinde]],2,FALSE)</f>
        <v>#N/A</v>
      </c>
      <c r="L3016">
        <v>3007</v>
      </c>
      <c r="M3016" t="e">
        <f>INDEX(Stammdaten[Abholzigkeit (mm/lfm)],MATCH(Tabelle9[[#This Row],[Rank]],Stammdaten[Rank Verteilung Abholzigkeit],0))</f>
        <v>#N/A</v>
      </c>
      <c r="N3016" t="e">
        <f>VLOOKUP(Tabelle9[[#This Row],[Rank]],Stammdaten[[Rank Verteilung Abholzigkeit]:[Verteilung Abholzigkeit]],2,FALSE)</f>
        <v>#N/A</v>
      </c>
      <c r="S3016">
        <v>3007</v>
      </c>
      <c r="T3016" t="e">
        <f>INDEX(Stammdaten[Krümmung (mm/lfm)],MATCH(Tabelle10[[#This Row],[Rank]],Stammdaten[Rank Verteilung Krümmung],0))</f>
        <v>#N/A</v>
      </c>
      <c r="U3016" t="e">
        <f>VLOOKUP(Tabelle10[[#This Row],[Rank]],Stammdaten[[Rank Verteilung Krümmung]:[Verteilung Krümmung]],2,FALSE)</f>
        <v>#N/A</v>
      </c>
      <c r="Z3016">
        <v>3007</v>
      </c>
      <c r="AA3016" t="e">
        <f>INDEX(Stammdaten[Ovalität (']0,1'])],MATCH(Tabelle1014[[#This Row],[Rank]],Stammdaten[Rank Verteilung Ovalität],0))</f>
        <v>#N/A</v>
      </c>
      <c r="AB3016" t="e">
        <f>VLOOKUP(Tabelle1014[[#This Row],[Rank]],Stammdaten[[Rank Verteilung Ovalität]:[Verteilung Ovalität]],2,FALSE)</f>
        <v>#N/A</v>
      </c>
    </row>
    <row r="3017" spans="5:28" x14ac:dyDescent="0.35">
      <c r="E3017">
        <v>3008</v>
      </c>
      <c r="F3017" t="e">
        <f>INDEX(Stammdaten[D Mitte mit Rinde (mm)],MATCH(Tabelle8[[#This Row],[Rank]],Stammdaten[Rank Verteilung D Mitte mit Rinde],0))</f>
        <v>#N/A</v>
      </c>
      <c r="G3017" t="e">
        <f>VLOOKUP(Tabelle8[[#This Row],[Rank]],Stammdaten[[Rank Verteilung D Mitte mit Rinde]:[Verteilung D Mitte mit Rinde]],2,FALSE)</f>
        <v>#N/A</v>
      </c>
      <c r="L3017">
        <v>3008</v>
      </c>
      <c r="M3017" t="e">
        <f>INDEX(Stammdaten[Abholzigkeit (mm/lfm)],MATCH(Tabelle9[[#This Row],[Rank]],Stammdaten[Rank Verteilung Abholzigkeit],0))</f>
        <v>#N/A</v>
      </c>
      <c r="N3017" t="e">
        <f>VLOOKUP(Tabelle9[[#This Row],[Rank]],Stammdaten[[Rank Verteilung Abholzigkeit]:[Verteilung Abholzigkeit]],2,FALSE)</f>
        <v>#N/A</v>
      </c>
      <c r="S3017">
        <v>3008</v>
      </c>
      <c r="T3017" t="e">
        <f>INDEX(Stammdaten[Krümmung (mm/lfm)],MATCH(Tabelle10[[#This Row],[Rank]],Stammdaten[Rank Verteilung Krümmung],0))</f>
        <v>#N/A</v>
      </c>
      <c r="U3017" t="e">
        <f>VLOOKUP(Tabelle10[[#This Row],[Rank]],Stammdaten[[Rank Verteilung Krümmung]:[Verteilung Krümmung]],2,FALSE)</f>
        <v>#N/A</v>
      </c>
      <c r="Z3017">
        <v>3008</v>
      </c>
      <c r="AA3017" t="e">
        <f>INDEX(Stammdaten[Ovalität (']0,1'])],MATCH(Tabelle1014[[#This Row],[Rank]],Stammdaten[Rank Verteilung Ovalität],0))</f>
        <v>#N/A</v>
      </c>
      <c r="AB3017" t="e">
        <f>VLOOKUP(Tabelle1014[[#This Row],[Rank]],Stammdaten[[Rank Verteilung Ovalität]:[Verteilung Ovalität]],2,FALSE)</f>
        <v>#N/A</v>
      </c>
    </row>
    <row r="3018" spans="5:28" x14ac:dyDescent="0.35">
      <c r="E3018">
        <v>3009</v>
      </c>
      <c r="F3018" t="e">
        <f>INDEX(Stammdaten[D Mitte mit Rinde (mm)],MATCH(Tabelle8[[#This Row],[Rank]],Stammdaten[Rank Verteilung D Mitte mit Rinde],0))</f>
        <v>#N/A</v>
      </c>
      <c r="G3018" t="e">
        <f>VLOOKUP(Tabelle8[[#This Row],[Rank]],Stammdaten[[Rank Verteilung D Mitte mit Rinde]:[Verteilung D Mitte mit Rinde]],2,FALSE)</f>
        <v>#N/A</v>
      </c>
      <c r="L3018">
        <v>3009</v>
      </c>
      <c r="M3018" t="e">
        <f>INDEX(Stammdaten[Abholzigkeit (mm/lfm)],MATCH(Tabelle9[[#This Row],[Rank]],Stammdaten[Rank Verteilung Abholzigkeit],0))</f>
        <v>#N/A</v>
      </c>
      <c r="N3018" t="e">
        <f>VLOOKUP(Tabelle9[[#This Row],[Rank]],Stammdaten[[Rank Verteilung Abholzigkeit]:[Verteilung Abholzigkeit]],2,FALSE)</f>
        <v>#N/A</v>
      </c>
      <c r="S3018">
        <v>3009</v>
      </c>
      <c r="T3018" t="e">
        <f>INDEX(Stammdaten[Krümmung (mm/lfm)],MATCH(Tabelle10[[#This Row],[Rank]],Stammdaten[Rank Verteilung Krümmung],0))</f>
        <v>#N/A</v>
      </c>
      <c r="U3018" t="e">
        <f>VLOOKUP(Tabelle10[[#This Row],[Rank]],Stammdaten[[Rank Verteilung Krümmung]:[Verteilung Krümmung]],2,FALSE)</f>
        <v>#N/A</v>
      </c>
      <c r="Z3018">
        <v>3009</v>
      </c>
      <c r="AA3018" t="e">
        <f>INDEX(Stammdaten[Ovalität (']0,1'])],MATCH(Tabelle1014[[#This Row],[Rank]],Stammdaten[Rank Verteilung Ovalität],0))</f>
        <v>#N/A</v>
      </c>
      <c r="AB3018" t="e">
        <f>VLOOKUP(Tabelle1014[[#This Row],[Rank]],Stammdaten[[Rank Verteilung Ovalität]:[Verteilung Ovalität]],2,FALSE)</f>
        <v>#N/A</v>
      </c>
    </row>
    <row r="3019" spans="5:28" x14ac:dyDescent="0.35">
      <c r="E3019">
        <v>3010</v>
      </c>
      <c r="F3019" t="e">
        <f>INDEX(Stammdaten[D Mitte mit Rinde (mm)],MATCH(Tabelle8[[#This Row],[Rank]],Stammdaten[Rank Verteilung D Mitte mit Rinde],0))</f>
        <v>#N/A</v>
      </c>
      <c r="G3019" t="e">
        <f>VLOOKUP(Tabelle8[[#This Row],[Rank]],Stammdaten[[Rank Verteilung D Mitte mit Rinde]:[Verteilung D Mitte mit Rinde]],2,FALSE)</f>
        <v>#N/A</v>
      </c>
      <c r="L3019">
        <v>3010</v>
      </c>
      <c r="M3019" t="e">
        <f>INDEX(Stammdaten[Abholzigkeit (mm/lfm)],MATCH(Tabelle9[[#This Row],[Rank]],Stammdaten[Rank Verteilung Abholzigkeit],0))</f>
        <v>#N/A</v>
      </c>
      <c r="N3019" t="e">
        <f>VLOOKUP(Tabelle9[[#This Row],[Rank]],Stammdaten[[Rank Verteilung Abholzigkeit]:[Verteilung Abholzigkeit]],2,FALSE)</f>
        <v>#N/A</v>
      </c>
      <c r="S3019">
        <v>3010</v>
      </c>
      <c r="T3019" t="e">
        <f>INDEX(Stammdaten[Krümmung (mm/lfm)],MATCH(Tabelle10[[#This Row],[Rank]],Stammdaten[Rank Verteilung Krümmung],0))</f>
        <v>#N/A</v>
      </c>
      <c r="U3019" t="e">
        <f>VLOOKUP(Tabelle10[[#This Row],[Rank]],Stammdaten[[Rank Verteilung Krümmung]:[Verteilung Krümmung]],2,FALSE)</f>
        <v>#N/A</v>
      </c>
      <c r="Z3019">
        <v>3010</v>
      </c>
      <c r="AA3019" t="e">
        <f>INDEX(Stammdaten[Ovalität (']0,1'])],MATCH(Tabelle1014[[#This Row],[Rank]],Stammdaten[Rank Verteilung Ovalität],0))</f>
        <v>#N/A</v>
      </c>
      <c r="AB3019" t="e">
        <f>VLOOKUP(Tabelle1014[[#This Row],[Rank]],Stammdaten[[Rank Verteilung Ovalität]:[Verteilung Ovalität]],2,FALSE)</f>
        <v>#N/A</v>
      </c>
    </row>
    <row r="3020" spans="5:28" x14ac:dyDescent="0.35">
      <c r="E3020">
        <v>3011</v>
      </c>
      <c r="F3020" t="e">
        <f>INDEX(Stammdaten[D Mitte mit Rinde (mm)],MATCH(Tabelle8[[#This Row],[Rank]],Stammdaten[Rank Verteilung D Mitte mit Rinde],0))</f>
        <v>#N/A</v>
      </c>
      <c r="G3020" t="e">
        <f>VLOOKUP(Tabelle8[[#This Row],[Rank]],Stammdaten[[Rank Verteilung D Mitte mit Rinde]:[Verteilung D Mitte mit Rinde]],2,FALSE)</f>
        <v>#N/A</v>
      </c>
      <c r="L3020">
        <v>3011</v>
      </c>
      <c r="M3020" t="e">
        <f>INDEX(Stammdaten[Abholzigkeit (mm/lfm)],MATCH(Tabelle9[[#This Row],[Rank]],Stammdaten[Rank Verteilung Abholzigkeit],0))</f>
        <v>#N/A</v>
      </c>
      <c r="N3020" t="e">
        <f>VLOOKUP(Tabelle9[[#This Row],[Rank]],Stammdaten[[Rank Verteilung Abholzigkeit]:[Verteilung Abholzigkeit]],2,FALSE)</f>
        <v>#N/A</v>
      </c>
      <c r="S3020">
        <v>3011</v>
      </c>
      <c r="T3020" t="e">
        <f>INDEX(Stammdaten[Krümmung (mm/lfm)],MATCH(Tabelle10[[#This Row],[Rank]],Stammdaten[Rank Verteilung Krümmung],0))</f>
        <v>#N/A</v>
      </c>
      <c r="U3020" t="e">
        <f>VLOOKUP(Tabelle10[[#This Row],[Rank]],Stammdaten[[Rank Verteilung Krümmung]:[Verteilung Krümmung]],2,FALSE)</f>
        <v>#N/A</v>
      </c>
      <c r="Z3020">
        <v>3011</v>
      </c>
      <c r="AA3020" t="e">
        <f>INDEX(Stammdaten[Ovalität (']0,1'])],MATCH(Tabelle1014[[#This Row],[Rank]],Stammdaten[Rank Verteilung Ovalität],0))</f>
        <v>#N/A</v>
      </c>
      <c r="AB3020" t="e">
        <f>VLOOKUP(Tabelle1014[[#This Row],[Rank]],Stammdaten[[Rank Verteilung Ovalität]:[Verteilung Ovalität]],2,FALSE)</f>
        <v>#N/A</v>
      </c>
    </row>
    <row r="3021" spans="5:28" x14ac:dyDescent="0.35">
      <c r="E3021">
        <v>3012</v>
      </c>
      <c r="F3021" t="e">
        <f>INDEX(Stammdaten[D Mitte mit Rinde (mm)],MATCH(Tabelle8[[#This Row],[Rank]],Stammdaten[Rank Verteilung D Mitte mit Rinde],0))</f>
        <v>#N/A</v>
      </c>
      <c r="G3021" t="e">
        <f>VLOOKUP(Tabelle8[[#This Row],[Rank]],Stammdaten[[Rank Verteilung D Mitte mit Rinde]:[Verteilung D Mitte mit Rinde]],2,FALSE)</f>
        <v>#N/A</v>
      </c>
      <c r="L3021">
        <v>3012</v>
      </c>
      <c r="M3021" t="e">
        <f>INDEX(Stammdaten[Abholzigkeit (mm/lfm)],MATCH(Tabelle9[[#This Row],[Rank]],Stammdaten[Rank Verteilung Abholzigkeit],0))</f>
        <v>#N/A</v>
      </c>
      <c r="N3021" t="e">
        <f>VLOOKUP(Tabelle9[[#This Row],[Rank]],Stammdaten[[Rank Verteilung Abholzigkeit]:[Verteilung Abholzigkeit]],2,FALSE)</f>
        <v>#N/A</v>
      </c>
      <c r="S3021">
        <v>3012</v>
      </c>
      <c r="T3021" t="e">
        <f>INDEX(Stammdaten[Krümmung (mm/lfm)],MATCH(Tabelle10[[#This Row],[Rank]],Stammdaten[Rank Verteilung Krümmung],0))</f>
        <v>#N/A</v>
      </c>
      <c r="U3021" t="e">
        <f>VLOOKUP(Tabelle10[[#This Row],[Rank]],Stammdaten[[Rank Verteilung Krümmung]:[Verteilung Krümmung]],2,FALSE)</f>
        <v>#N/A</v>
      </c>
      <c r="Z3021">
        <v>3012</v>
      </c>
      <c r="AA3021" t="e">
        <f>INDEX(Stammdaten[Ovalität (']0,1'])],MATCH(Tabelle1014[[#This Row],[Rank]],Stammdaten[Rank Verteilung Ovalität],0))</f>
        <v>#N/A</v>
      </c>
      <c r="AB3021" t="e">
        <f>VLOOKUP(Tabelle1014[[#This Row],[Rank]],Stammdaten[[Rank Verteilung Ovalität]:[Verteilung Ovalität]],2,FALSE)</f>
        <v>#N/A</v>
      </c>
    </row>
    <row r="3022" spans="5:28" x14ac:dyDescent="0.35">
      <c r="E3022">
        <v>3013</v>
      </c>
      <c r="F3022" t="e">
        <f>INDEX(Stammdaten[D Mitte mit Rinde (mm)],MATCH(Tabelle8[[#This Row],[Rank]],Stammdaten[Rank Verteilung D Mitte mit Rinde],0))</f>
        <v>#N/A</v>
      </c>
      <c r="G3022" t="e">
        <f>VLOOKUP(Tabelle8[[#This Row],[Rank]],Stammdaten[[Rank Verteilung D Mitte mit Rinde]:[Verteilung D Mitte mit Rinde]],2,FALSE)</f>
        <v>#N/A</v>
      </c>
      <c r="L3022">
        <v>3013</v>
      </c>
      <c r="M3022" t="e">
        <f>INDEX(Stammdaten[Abholzigkeit (mm/lfm)],MATCH(Tabelle9[[#This Row],[Rank]],Stammdaten[Rank Verteilung Abholzigkeit],0))</f>
        <v>#N/A</v>
      </c>
      <c r="N3022" t="e">
        <f>VLOOKUP(Tabelle9[[#This Row],[Rank]],Stammdaten[[Rank Verteilung Abholzigkeit]:[Verteilung Abholzigkeit]],2,FALSE)</f>
        <v>#N/A</v>
      </c>
      <c r="S3022">
        <v>3013</v>
      </c>
      <c r="T3022" t="e">
        <f>INDEX(Stammdaten[Krümmung (mm/lfm)],MATCH(Tabelle10[[#This Row],[Rank]],Stammdaten[Rank Verteilung Krümmung],0))</f>
        <v>#N/A</v>
      </c>
      <c r="U3022" t="e">
        <f>VLOOKUP(Tabelle10[[#This Row],[Rank]],Stammdaten[[Rank Verteilung Krümmung]:[Verteilung Krümmung]],2,FALSE)</f>
        <v>#N/A</v>
      </c>
      <c r="Z3022">
        <v>3013</v>
      </c>
      <c r="AA3022" t="e">
        <f>INDEX(Stammdaten[Ovalität (']0,1'])],MATCH(Tabelle1014[[#This Row],[Rank]],Stammdaten[Rank Verteilung Ovalität],0))</f>
        <v>#N/A</v>
      </c>
      <c r="AB3022" t="e">
        <f>VLOOKUP(Tabelle1014[[#This Row],[Rank]],Stammdaten[[Rank Verteilung Ovalität]:[Verteilung Ovalität]],2,FALSE)</f>
        <v>#N/A</v>
      </c>
    </row>
    <row r="3023" spans="5:28" x14ac:dyDescent="0.35">
      <c r="E3023">
        <v>3014</v>
      </c>
      <c r="F3023" t="e">
        <f>INDEX(Stammdaten[D Mitte mit Rinde (mm)],MATCH(Tabelle8[[#This Row],[Rank]],Stammdaten[Rank Verteilung D Mitte mit Rinde],0))</f>
        <v>#N/A</v>
      </c>
      <c r="G3023" t="e">
        <f>VLOOKUP(Tabelle8[[#This Row],[Rank]],Stammdaten[[Rank Verteilung D Mitte mit Rinde]:[Verteilung D Mitte mit Rinde]],2,FALSE)</f>
        <v>#N/A</v>
      </c>
      <c r="L3023">
        <v>3014</v>
      </c>
      <c r="M3023" t="e">
        <f>INDEX(Stammdaten[Abholzigkeit (mm/lfm)],MATCH(Tabelle9[[#This Row],[Rank]],Stammdaten[Rank Verteilung Abholzigkeit],0))</f>
        <v>#N/A</v>
      </c>
      <c r="N3023" t="e">
        <f>VLOOKUP(Tabelle9[[#This Row],[Rank]],Stammdaten[[Rank Verteilung Abholzigkeit]:[Verteilung Abholzigkeit]],2,FALSE)</f>
        <v>#N/A</v>
      </c>
      <c r="S3023">
        <v>3014</v>
      </c>
      <c r="T3023" t="e">
        <f>INDEX(Stammdaten[Krümmung (mm/lfm)],MATCH(Tabelle10[[#This Row],[Rank]],Stammdaten[Rank Verteilung Krümmung],0))</f>
        <v>#N/A</v>
      </c>
      <c r="U3023" t="e">
        <f>VLOOKUP(Tabelle10[[#This Row],[Rank]],Stammdaten[[Rank Verteilung Krümmung]:[Verteilung Krümmung]],2,FALSE)</f>
        <v>#N/A</v>
      </c>
      <c r="Z3023">
        <v>3014</v>
      </c>
      <c r="AA3023" t="e">
        <f>INDEX(Stammdaten[Ovalität (']0,1'])],MATCH(Tabelle1014[[#This Row],[Rank]],Stammdaten[Rank Verteilung Ovalität],0))</f>
        <v>#N/A</v>
      </c>
      <c r="AB3023" t="e">
        <f>VLOOKUP(Tabelle1014[[#This Row],[Rank]],Stammdaten[[Rank Verteilung Ovalität]:[Verteilung Ovalität]],2,FALSE)</f>
        <v>#N/A</v>
      </c>
    </row>
    <row r="3024" spans="5:28" x14ac:dyDescent="0.35">
      <c r="E3024">
        <v>3015</v>
      </c>
      <c r="F3024" t="e">
        <f>INDEX(Stammdaten[D Mitte mit Rinde (mm)],MATCH(Tabelle8[[#This Row],[Rank]],Stammdaten[Rank Verteilung D Mitte mit Rinde],0))</f>
        <v>#N/A</v>
      </c>
      <c r="G3024" t="e">
        <f>VLOOKUP(Tabelle8[[#This Row],[Rank]],Stammdaten[[Rank Verteilung D Mitte mit Rinde]:[Verteilung D Mitte mit Rinde]],2,FALSE)</f>
        <v>#N/A</v>
      </c>
      <c r="L3024">
        <v>3015</v>
      </c>
      <c r="M3024" t="e">
        <f>INDEX(Stammdaten[Abholzigkeit (mm/lfm)],MATCH(Tabelle9[[#This Row],[Rank]],Stammdaten[Rank Verteilung Abholzigkeit],0))</f>
        <v>#N/A</v>
      </c>
      <c r="N3024" t="e">
        <f>VLOOKUP(Tabelle9[[#This Row],[Rank]],Stammdaten[[Rank Verteilung Abholzigkeit]:[Verteilung Abholzigkeit]],2,FALSE)</f>
        <v>#N/A</v>
      </c>
      <c r="S3024">
        <v>3015</v>
      </c>
      <c r="T3024" t="e">
        <f>INDEX(Stammdaten[Krümmung (mm/lfm)],MATCH(Tabelle10[[#This Row],[Rank]],Stammdaten[Rank Verteilung Krümmung],0))</f>
        <v>#N/A</v>
      </c>
      <c r="U3024" t="e">
        <f>VLOOKUP(Tabelle10[[#This Row],[Rank]],Stammdaten[[Rank Verteilung Krümmung]:[Verteilung Krümmung]],2,FALSE)</f>
        <v>#N/A</v>
      </c>
      <c r="Z3024">
        <v>3015</v>
      </c>
      <c r="AA3024" t="e">
        <f>INDEX(Stammdaten[Ovalität (']0,1'])],MATCH(Tabelle1014[[#This Row],[Rank]],Stammdaten[Rank Verteilung Ovalität],0))</f>
        <v>#N/A</v>
      </c>
      <c r="AB3024" t="e">
        <f>VLOOKUP(Tabelle1014[[#This Row],[Rank]],Stammdaten[[Rank Verteilung Ovalität]:[Verteilung Ovalität]],2,FALSE)</f>
        <v>#N/A</v>
      </c>
    </row>
    <row r="3025" spans="5:28" x14ac:dyDescent="0.35">
      <c r="E3025">
        <v>3016</v>
      </c>
      <c r="F3025" t="e">
        <f>INDEX(Stammdaten[D Mitte mit Rinde (mm)],MATCH(Tabelle8[[#This Row],[Rank]],Stammdaten[Rank Verteilung D Mitte mit Rinde],0))</f>
        <v>#N/A</v>
      </c>
      <c r="G3025" t="e">
        <f>VLOOKUP(Tabelle8[[#This Row],[Rank]],Stammdaten[[Rank Verteilung D Mitte mit Rinde]:[Verteilung D Mitte mit Rinde]],2,FALSE)</f>
        <v>#N/A</v>
      </c>
      <c r="L3025">
        <v>3016</v>
      </c>
      <c r="M3025" t="e">
        <f>INDEX(Stammdaten[Abholzigkeit (mm/lfm)],MATCH(Tabelle9[[#This Row],[Rank]],Stammdaten[Rank Verteilung Abholzigkeit],0))</f>
        <v>#N/A</v>
      </c>
      <c r="N3025" t="e">
        <f>VLOOKUP(Tabelle9[[#This Row],[Rank]],Stammdaten[[Rank Verteilung Abholzigkeit]:[Verteilung Abholzigkeit]],2,FALSE)</f>
        <v>#N/A</v>
      </c>
      <c r="S3025">
        <v>3016</v>
      </c>
      <c r="T3025" t="e">
        <f>INDEX(Stammdaten[Krümmung (mm/lfm)],MATCH(Tabelle10[[#This Row],[Rank]],Stammdaten[Rank Verteilung Krümmung],0))</f>
        <v>#N/A</v>
      </c>
      <c r="U3025" t="e">
        <f>VLOOKUP(Tabelle10[[#This Row],[Rank]],Stammdaten[[Rank Verteilung Krümmung]:[Verteilung Krümmung]],2,FALSE)</f>
        <v>#N/A</v>
      </c>
      <c r="Z3025">
        <v>3016</v>
      </c>
      <c r="AA3025" t="e">
        <f>INDEX(Stammdaten[Ovalität (']0,1'])],MATCH(Tabelle1014[[#This Row],[Rank]],Stammdaten[Rank Verteilung Ovalität],0))</f>
        <v>#N/A</v>
      </c>
      <c r="AB3025" t="e">
        <f>VLOOKUP(Tabelle1014[[#This Row],[Rank]],Stammdaten[[Rank Verteilung Ovalität]:[Verteilung Ovalität]],2,FALSE)</f>
        <v>#N/A</v>
      </c>
    </row>
    <row r="3026" spans="5:28" x14ac:dyDescent="0.35">
      <c r="E3026">
        <v>3017</v>
      </c>
      <c r="F3026" t="e">
        <f>INDEX(Stammdaten[D Mitte mit Rinde (mm)],MATCH(Tabelle8[[#This Row],[Rank]],Stammdaten[Rank Verteilung D Mitte mit Rinde],0))</f>
        <v>#N/A</v>
      </c>
      <c r="G3026" t="e">
        <f>VLOOKUP(Tabelle8[[#This Row],[Rank]],Stammdaten[[Rank Verteilung D Mitte mit Rinde]:[Verteilung D Mitte mit Rinde]],2,FALSE)</f>
        <v>#N/A</v>
      </c>
      <c r="L3026">
        <v>3017</v>
      </c>
      <c r="M3026" t="e">
        <f>INDEX(Stammdaten[Abholzigkeit (mm/lfm)],MATCH(Tabelle9[[#This Row],[Rank]],Stammdaten[Rank Verteilung Abholzigkeit],0))</f>
        <v>#N/A</v>
      </c>
      <c r="N3026" t="e">
        <f>VLOOKUP(Tabelle9[[#This Row],[Rank]],Stammdaten[[Rank Verteilung Abholzigkeit]:[Verteilung Abholzigkeit]],2,FALSE)</f>
        <v>#N/A</v>
      </c>
      <c r="S3026">
        <v>3017</v>
      </c>
      <c r="T3026" t="e">
        <f>INDEX(Stammdaten[Krümmung (mm/lfm)],MATCH(Tabelle10[[#This Row],[Rank]],Stammdaten[Rank Verteilung Krümmung],0))</f>
        <v>#N/A</v>
      </c>
      <c r="U3026" t="e">
        <f>VLOOKUP(Tabelle10[[#This Row],[Rank]],Stammdaten[[Rank Verteilung Krümmung]:[Verteilung Krümmung]],2,FALSE)</f>
        <v>#N/A</v>
      </c>
      <c r="Z3026">
        <v>3017</v>
      </c>
      <c r="AA3026" t="e">
        <f>INDEX(Stammdaten[Ovalität (']0,1'])],MATCH(Tabelle1014[[#This Row],[Rank]],Stammdaten[Rank Verteilung Ovalität],0))</f>
        <v>#N/A</v>
      </c>
      <c r="AB3026" t="e">
        <f>VLOOKUP(Tabelle1014[[#This Row],[Rank]],Stammdaten[[Rank Verteilung Ovalität]:[Verteilung Ovalität]],2,FALSE)</f>
        <v>#N/A</v>
      </c>
    </row>
    <row r="3027" spans="5:28" x14ac:dyDescent="0.35">
      <c r="E3027">
        <v>3018</v>
      </c>
      <c r="F3027" t="e">
        <f>INDEX(Stammdaten[D Mitte mit Rinde (mm)],MATCH(Tabelle8[[#This Row],[Rank]],Stammdaten[Rank Verteilung D Mitte mit Rinde],0))</f>
        <v>#N/A</v>
      </c>
      <c r="G3027" t="e">
        <f>VLOOKUP(Tabelle8[[#This Row],[Rank]],Stammdaten[[Rank Verteilung D Mitte mit Rinde]:[Verteilung D Mitte mit Rinde]],2,FALSE)</f>
        <v>#N/A</v>
      </c>
      <c r="L3027">
        <v>3018</v>
      </c>
      <c r="M3027" t="e">
        <f>INDEX(Stammdaten[Abholzigkeit (mm/lfm)],MATCH(Tabelle9[[#This Row],[Rank]],Stammdaten[Rank Verteilung Abholzigkeit],0))</f>
        <v>#N/A</v>
      </c>
      <c r="N3027" t="e">
        <f>VLOOKUP(Tabelle9[[#This Row],[Rank]],Stammdaten[[Rank Verteilung Abholzigkeit]:[Verteilung Abholzigkeit]],2,FALSE)</f>
        <v>#N/A</v>
      </c>
      <c r="S3027">
        <v>3018</v>
      </c>
      <c r="T3027" t="e">
        <f>INDEX(Stammdaten[Krümmung (mm/lfm)],MATCH(Tabelle10[[#This Row],[Rank]],Stammdaten[Rank Verteilung Krümmung],0))</f>
        <v>#N/A</v>
      </c>
      <c r="U3027" t="e">
        <f>VLOOKUP(Tabelle10[[#This Row],[Rank]],Stammdaten[[Rank Verteilung Krümmung]:[Verteilung Krümmung]],2,FALSE)</f>
        <v>#N/A</v>
      </c>
      <c r="Z3027">
        <v>3018</v>
      </c>
      <c r="AA3027" t="e">
        <f>INDEX(Stammdaten[Ovalität (']0,1'])],MATCH(Tabelle1014[[#This Row],[Rank]],Stammdaten[Rank Verteilung Ovalität],0))</f>
        <v>#N/A</v>
      </c>
      <c r="AB3027" t="e">
        <f>VLOOKUP(Tabelle1014[[#This Row],[Rank]],Stammdaten[[Rank Verteilung Ovalität]:[Verteilung Ovalität]],2,FALSE)</f>
        <v>#N/A</v>
      </c>
    </row>
    <row r="3028" spans="5:28" x14ac:dyDescent="0.35">
      <c r="E3028">
        <v>3019</v>
      </c>
      <c r="F3028" t="e">
        <f>INDEX(Stammdaten[D Mitte mit Rinde (mm)],MATCH(Tabelle8[[#This Row],[Rank]],Stammdaten[Rank Verteilung D Mitte mit Rinde],0))</f>
        <v>#N/A</v>
      </c>
      <c r="G3028" t="e">
        <f>VLOOKUP(Tabelle8[[#This Row],[Rank]],Stammdaten[[Rank Verteilung D Mitte mit Rinde]:[Verteilung D Mitte mit Rinde]],2,FALSE)</f>
        <v>#N/A</v>
      </c>
      <c r="L3028">
        <v>3019</v>
      </c>
      <c r="M3028" t="e">
        <f>INDEX(Stammdaten[Abholzigkeit (mm/lfm)],MATCH(Tabelle9[[#This Row],[Rank]],Stammdaten[Rank Verteilung Abholzigkeit],0))</f>
        <v>#N/A</v>
      </c>
      <c r="N3028" t="e">
        <f>VLOOKUP(Tabelle9[[#This Row],[Rank]],Stammdaten[[Rank Verteilung Abholzigkeit]:[Verteilung Abholzigkeit]],2,FALSE)</f>
        <v>#N/A</v>
      </c>
      <c r="S3028">
        <v>3019</v>
      </c>
      <c r="T3028" t="e">
        <f>INDEX(Stammdaten[Krümmung (mm/lfm)],MATCH(Tabelle10[[#This Row],[Rank]],Stammdaten[Rank Verteilung Krümmung],0))</f>
        <v>#N/A</v>
      </c>
      <c r="U3028" t="e">
        <f>VLOOKUP(Tabelle10[[#This Row],[Rank]],Stammdaten[[Rank Verteilung Krümmung]:[Verteilung Krümmung]],2,FALSE)</f>
        <v>#N/A</v>
      </c>
      <c r="Z3028">
        <v>3019</v>
      </c>
      <c r="AA3028" t="e">
        <f>INDEX(Stammdaten[Ovalität (']0,1'])],MATCH(Tabelle1014[[#This Row],[Rank]],Stammdaten[Rank Verteilung Ovalität],0))</f>
        <v>#N/A</v>
      </c>
      <c r="AB3028" t="e">
        <f>VLOOKUP(Tabelle1014[[#This Row],[Rank]],Stammdaten[[Rank Verteilung Ovalität]:[Verteilung Ovalität]],2,FALSE)</f>
        <v>#N/A</v>
      </c>
    </row>
    <row r="3029" spans="5:28" x14ac:dyDescent="0.35">
      <c r="E3029">
        <v>3020</v>
      </c>
      <c r="F3029" t="e">
        <f>INDEX(Stammdaten[D Mitte mit Rinde (mm)],MATCH(Tabelle8[[#This Row],[Rank]],Stammdaten[Rank Verteilung D Mitte mit Rinde],0))</f>
        <v>#N/A</v>
      </c>
      <c r="G3029" t="e">
        <f>VLOOKUP(Tabelle8[[#This Row],[Rank]],Stammdaten[[Rank Verteilung D Mitte mit Rinde]:[Verteilung D Mitte mit Rinde]],2,FALSE)</f>
        <v>#N/A</v>
      </c>
      <c r="L3029">
        <v>3020</v>
      </c>
      <c r="M3029" t="e">
        <f>INDEX(Stammdaten[Abholzigkeit (mm/lfm)],MATCH(Tabelle9[[#This Row],[Rank]],Stammdaten[Rank Verteilung Abholzigkeit],0))</f>
        <v>#N/A</v>
      </c>
      <c r="N3029" t="e">
        <f>VLOOKUP(Tabelle9[[#This Row],[Rank]],Stammdaten[[Rank Verteilung Abholzigkeit]:[Verteilung Abholzigkeit]],2,FALSE)</f>
        <v>#N/A</v>
      </c>
      <c r="S3029">
        <v>3020</v>
      </c>
      <c r="T3029" t="e">
        <f>INDEX(Stammdaten[Krümmung (mm/lfm)],MATCH(Tabelle10[[#This Row],[Rank]],Stammdaten[Rank Verteilung Krümmung],0))</f>
        <v>#N/A</v>
      </c>
      <c r="U3029" t="e">
        <f>VLOOKUP(Tabelle10[[#This Row],[Rank]],Stammdaten[[Rank Verteilung Krümmung]:[Verteilung Krümmung]],2,FALSE)</f>
        <v>#N/A</v>
      </c>
      <c r="Z3029">
        <v>3020</v>
      </c>
      <c r="AA3029" t="e">
        <f>INDEX(Stammdaten[Ovalität (']0,1'])],MATCH(Tabelle1014[[#This Row],[Rank]],Stammdaten[Rank Verteilung Ovalität],0))</f>
        <v>#N/A</v>
      </c>
      <c r="AB3029" t="e">
        <f>VLOOKUP(Tabelle1014[[#This Row],[Rank]],Stammdaten[[Rank Verteilung Ovalität]:[Verteilung Ovalität]],2,FALSE)</f>
        <v>#N/A</v>
      </c>
    </row>
    <row r="3030" spans="5:28" x14ac:dyDescent="0.35">
      <c r="E3030">
        <v>3021</v>
      </c>
      <c r="F3030" t="e">
        <f>INDEX(Stammdaten[D Mitte mit Rinde (mm)],MATCH(Tabelle8[[#This Row],[Rank]],Stammdaten[Rank Verteilung D Mitte mit Rinde],0))</f>
        <v>#N/A</v>
      </c>
      <c r="G3030" t="e">
        <f>VLOOKUP(Tabelle8[[#This Row],[Rank]],Stammdaten[[Rank Verteilung D Mitte mit Rinde]:[Verteilung D Mitte mit Rinde]],2,FALSE)</f>
        <v>#N/A</v>
      </c>
      <c r="L3030">
        <v>3021</v>
      </c>
      <c r="M3030" t="e">
        <f>INDEX(Stammdaten[Abholzigkeit (mm/lfm)],MATCH(Tabelle9[[#This Row],[Rank]],Stammdaten[Rank Verteilung Abholzigkeit],0))</f>
        <v>#N/A</v>
      </c>
      <c r="N3030" t="e">
        <f>VLOOKUP(Tabelle9[[#This Row],[Rank]],Stammdaten[[Rank Verteilung Abholzigkeit]:[Verteilung Abholzigkeit]],2,FALSE)</f>
        <v>#N/A</v>
      </c>
      <c r="S3030">
        <v>3021</v>
      </c>
      <c r="T3030" t="e">
        <f>INDEX(Stammdaten[Krümmung (mm/lfm)],MATCH(Tabelle10[[#This Row],[Rank]],Stammdaten[Rank Verteilung Krümmung],0))</f>
        <v>#N/A</v>
      </c>
      <c r="U3030" t="e">
        <f>VLOOKUP(Tabelle10[[#This Row],[Rank]],Stammdaten[[Rank Verteilung Krümmung]:[Verteilung Krümmung]],2,FALSE)</f>
        <v>#N/A</v>
      </c>
      <c r="Z3030">
        <v>3021</v>
      </c>
      <c r="AA3030" t="e">
        <f>INDEX(Stammdaten[Ovalität (']0,1'])],MATCH(Tabelle1014[[#This Row],[Rank]],Stammdaten[Rank Verteilung Ovalität],0))</f>
        <v>#N/A</v>
      </c>
      <c r="AB3030" t="e">
        <f>VLOOKUP(Tabelle1014[[#This Row],[Rank]],Stammdaten[[Rank Verteilung Ovalität]:[Verteilung Ovalität]],2,FALSE)</f>
        <v>#N/A</v>
      </c>
    </row>
    <row r="3031" spans="5:28" x14ac:dyDescent="0.35">
      <c r="E3031">
        <v>3022</v>
      </c>
      <c r="F3031" t="e">
        <f>INDEX(Stammdaten[D Mitte mit Rinde (mm)],MATCH(Tabelle8[[#This Row],[Rank]],Stammdaten[Rank Verteilung D Mitte mit Rinde],0))</f>
        <v>#N/A</v>
      </c>
      <c r="G3031" t="e">
        <f>VLOOKUP(Tabelle8[[#This Row],[Rank]],Stammdaten[[Rank Verteilung D Mitte mit Rinde]:[Verteilung D Mitte mit Rinde]],2,FALSE)</f>
        <v>#N/A</v>
      </c>
      <c r="L3031">
        <v>3022</v>
      </c>
      <c r="M3031" t="e">
        <f>INDEX(Stammdaten[Abholzigkeit (mm/lfm)],MATCH(Tabelle9[[#This Row],[Rank]],Stammdaten[Rank Verteilung Abholzigkeit],0))</f>
        <v>#N/A</v>
      </c>
      <c r="N3031" t="e">
        <f>VLOOKUP(Tabelle9[[#This Row],[Rank]],Stammdaten[[Rank Verteilung Abholzigkeit]:[Verteilung Abholzigkeit]],2,FALSE)</f>
        <v>#N/A</v>
      </c>
      <c r="S3031">
        <v>3022</v>
      </c>
      <c r="T3031" t="e">
        <f>INDEX(Stammdaten[Krümmung (mm/lfm)],MATCH(Tabelle10[[#This Row],[Rank]],Stammdaten[Rank Verteilung Krümmung],0))</f>
        <v>#N/A</v>
      </c>
      <c r="U3031" t="e">
        <f>VLOOKUP(Tabelle10[[#This Row],[Rank]],Stammdaten[[Rank Verteilung Krümmung]:[Verteilung Krümmung]],2,FALSE)</f>
        <v>#N/A</v>
      </c>
      <c r="Z3031">
        <v>3022</v>
      </c>
      <c r="AA3031" t="e">
        <f>INDEX(Stammdaten[Ovalität (']0,1'])],MATCH(Tabelle1014[[#This Row],[Rank]],Stammdaten[Rank Verteilung Ovalität],0))</f>
        <v>#N/A</v>
      </c>
      <c r="AB3031" t="e">
        <f>VLOOKUP(Tabelle1014[[#This Row],[Rank]],Stammdaten[[Rank Verteilung Ovalität]:[Verteilung Ovalität]],2,FALSE)</f>
        <v>#N/A</v>
      </c>
    </row>
    <row r="3032" spans="5:28" x14ac:dyDescent="0.35">
      <c r="E3032">
        <v>3023</v>
      </c>
      <c r="F3032" t="e">
        <f>INDEX(Stammdaten[D Mitte mit Rinde (mm)],MATCH(Tabelle8[[#This Row],[Rank]],Stammdaten[Rank Verteilung D Mitte mit Rinde],0))</f>
        <v>#N/A</v>
      </c>
      <c r="G3032" t="e">
        <f>VLOOKUP(Tabelle8[[#This Row],[Rank]],Stammdaten[[Rank Verteilung D Mitte mit Rinde]:[Verteilung D Mitte mit Rinde]],2,FALSE)</f>
        <v>#N/A</v>
      </c>
      <c r="L3032">
        <v>3023</v>
      </c>
      <c r="M3032" t="e">
        <f>INDEX(Stammdaten[Abholzigkeit (mm/lfm)],MATCH(Tabelle9[[#This Row],[Rank]],Stammdaten[Rank Verteilung Abholzigkeit],0))</f>
        <v>#N/A</v>
      </c>
      <c r="N3032" t="e">
        <f>VLOOKUP(Tabelle9[[#This Row],[Rank]],Stammdaten[[Rank Verteilung Abholzigkeit]:[Verteilung Abholzigkeit]],2,FALSE)</f>
        <v>#N/A</v>
      </c>
      <c r="S3032">
        <v>3023</v>
      </c>
      <c r="T3032" t="e">
        <f>INDEX(Stammdaten[Krümmung (mm/lfm)],MATCH(Tabelle10[[#This Row],[Rank]],Stammdaten[Rank Verteilung Krümmung],0))</f>
        <v>#N/A</v>
      </c>
      <c r="U3032" t="e">
        <f>VLOOKUP(Tabelle10[[#This Row],[Rank]],Stammdaten[[Rank Verteilung Krümmung]:[Verteilung Krümmung]],2,FALSE)</f>
        <v>#N/A</v>
      </c>
      <c r="Z3032">
        <v>3023</v>
      </c>
      <c r="AA3032" t="e">
        <f>INDEX(Stammdaten[Ovalität (']0,1'])],MATCH(Tabelle1014[[#This Row],[Rank]],Stammdaten[Rank Verteilung Ovalität],0))</f>
        <v>#N/A</v>
      </c>
      <c r="AB3032" t="e">
        <f>VLOOKUP(Tabelle1014[[#This Row],[Rank]],Stammdaten[[Rank Verteilung Ovalität]:[Verteilung Ovalität]],2,FALSE)</f>
        <v>#N/A</v>
      </c>
    </row>
    <row r="3033" spans="5:28" x14ac:dyDescent="0.35">
      <c r="E3033">
        <v>3024</v>
      </c>
      <c r="F3033" t="e">
        <f>INDEX(Stammdaten[D Mitte mit Rinde (mm)],MATCH(Tabelle8[[#This Row],[Rank]],Stammdaten[Rank Verteilung D Mitte mit Rinde],0))</f>
        <v>#N/A</v>
      </c>
      <c r="G3033" t="e">
        <f>VLOOKUP(Tabelle8[[#This Row],[Rank]],Stammdaten[[Rank Verteilung D Mitte mit Rinde]:[Verteilung D Mitte mit Rinde]],2,FALSE)</f>
        <v>#N/A</v>
      </c>
      <c r="L3033">
        <v>3024</v>
      </c>
      <c r="M3033" t="e">
        <f>INDEX(Stammdaten[Abholzigkeit (mm/lfm)],MATCH(Tabelle9[[#This Row],[Rank]],Stammdaten[Rank Verteilung Abholzigkeit],0))</f>
        <v>#N/A</v>
      </c>
      <c r="N3033" t="e">
        <f>VLOOKUP(Tabelle9[[#This Row],[Rank]],Stammdaten[[Rank Verteilung Abholzigkeit]:[Verteilung Abholzigkeit]],2,FALSE)</f>
        <v>#N/A</v>
      </c>
      <c r="S3033">
        <v>3024</v>
      </c>
      <c r="T3033" t="e">
        <f>INDEX(Stammdaten[Krümmung (mm/lfm)],MATCH(Tabelle10[[#This Row],[Rank]],Stammdaten[Rank Verteilung Krümmung],0))</f>
        <v>#N/A</v>
      </c>
      <c r="U3033" t="e">
        <f>VLOOKUP(Tabelle10[[#This Row],[Rank]],Stammdaten[[Rank Verteilung Krümmung]:[Verteilung Krümmung]],2,FALSE)</f>
        <v>#N/A</v>
      </c>
      <c r="Z3033">
        <v>3024</v>
      </c>
      <c r="AA3033" t="e">
        <f>INDEX(Stammdaten[Ovalität (']0,1'])],MATCH(Tabelle1014[[#This Row],[Rank]],Stammdaten[Rank Verteilung Ovalität],0))</f>
        <v>#N/A</v>
      </c>
      <c r="AB3033" t="e">
        <f>VLOOKUP(Tabelle1014[[#This Row],[Rank]],Stammdaten[[Rank Verteilung Ovalität]:[Verteilung Ovalität]],2,FALSE)</f>
        <v>#N/A</v>
      </c>
    </row>
    <row r="3034" spans="5:28" x14ac:dyDescent="0.35">
      <c r="E3034">
        <v>3025</v>
      </c>
      <c r="F3034" t="e">
        <f>INDEX(Stammdaten[D Mitte mit Rinde (mm)],MATCH(Tabelle8[[#This Row],[Rank]],Stammdaten[Rank Verteilung D Mitte mit Rinde],0))</f>
        <v>#N/A</v>
      </c>
      <c r="G3034" t="e">
        <f>VLOOKUP(Tabelle8[[#This Row],[Rank]],Stammdaten[[Rank Verteilung D Mitte mit Rinde]:[Verteilung D Mitte mit Rinde]],2,FALSE)</f>
        <v>#N/A</v>
      </c>
      <c r="L3034">
        <v>3025</v>
      </c>
      <c r="M3034" t="e">
        <f>INDEX(Stammdaten[Abholzigkeit (mm/lfm)],MATCH(Tabelle9[[#This Row],[Rank]],Stammdaten[Rank Verteilung Abholzigkeit],0))</f>
        <v>#N/A</v>
      </c>
      <c r="N3034" t="e">
        <f>VLOOKUP(Tabelle9[[#This Row],[Rank]],Stammdaten[[Rank Verteilung Abholzigkeit]:[Verteilung Abholzigkeit]],2,FALSE)</f>
        <v>#N/A</v>
      </c>
      <c r="S3034">
        <v>3025</v>
      </c>
      <c r="T3034" t="e">
        <f>INDEX(Stammdaten[Krümmung (mm/lfm)],MATCH(Tabelle10[[#This Row],[Rank]],Stammdaten[Rank Verteilung Krümmung],0))</f>
        <v>#N/A</v>
      </c>
      <c r="U3034" t="e">
        <f>VLOOKUP(Tabelle10[[#This Row],[Rank]],Stammdaten[[Rank Verteilung Krümmung]:[Verteilung Krümmung]],2,FALSE)</f>
        <v>#N/A</v>
      </c>
      <c r="Z3034">
        <v>3025</v>
      </c>
      <c r="AA3034" t="e">
        <f>INDEX(Stammdaten[Ovalität (']0,1'])],MATCH(Tabelle1014[[#This Row],[Rank]],Stammdaten[Rank Verteilung Ovalität],0))</f>
        <v>#N/A</v>
      </c>
      <c r="AB3034" t="e">
        <f>VLOOKUP(Tabelle1014[[#This Row],[Rank]],Stammdaten[[Rank Verteilung Ovalität]:[Verteilung Ovalität]],2,FALSE)</f>
        <v>#N/A</v>
      </c>
    </row>
    <row r="3035" spans="5:28" x14ac:dyDescent="0.35">
      <c r="E3035">
        <v>3026</v>
      </c>
      <c r="F3035" t="e">
        <f>INDEX(Stammdaten[D Mitte mit Rinde (mm)],MATCH(Tabelle8[[#This Row],[Rank]],Stammdaten[Rank Verteilung D Mitte mit Rinde],0))</f>
        <v>#N/A</v>
      </c>
      <c r="G3035" t="e">
        <f>VLOOKUP(Tabelle8[[#This Row],[Rank]],Stammdaten[[Rank Verteilung D Mitte mit Rinde]:[Verteilung D Mitte mit Rinde]],2,FALSE)</f>
        <v>#N/A</v>
      </c>
      <c r="L3035">
        <v>3026</v>
      </c>
      <c r="M3035" t="e">
        <f>INDEX(Stammdaten[Abholzigkeit (mm/lfm)],MATCH(Tabelle9[[#This Row],[Rank]],Stammdaten[Rank Verteilung Abholzigkeit],0))</f>
        <v>#N/A</v>
      </c>
      <c r="N3035" t="e">
        <f>VLOOKUP(Tabelle9[[#This Row],[Rank]],Stammdaten[[Rank Verteilung Abholzigkeit]:[Verteilung Abholzigkeit]],2,FALSE)</f>
        <v>#N/A</v>
      </c>
      <c r="S3035">
        <v>3026</v>
      </c>
      <c r="T3035" t="e">
        <f>INDEX(Stammdaten[Krümmung (mm/lfm)],MATCH(Tabelle10[[#This Row],[Rank]],Stammdaten[Rank Verteilung Krümmung],0))</f>
        <v>#N/A</v>
      </c>
      <c r="U3035" t="e">
        <f>VLOOKUP(Tabelle10[[#This Row],[Rank]],Stammdaten[[Rank Verteilung Krümmung]:[Verteilung Krümmung]],2,FALSE)</f>
        <v>#N/A</v>
      </c>
      <c r="Z3035">
        <v>3026</v>
      </c>
      <c r="AA3035" t="e">
        <f>INDEX(Stammdaten[Ovalität (']0,1'])],MATCH(Tabelle1014[[#This Row],[Rank]],Stammdaten[Rank Verteilung Ovalität],0))</f>
        <v>#N/A</v>
      </c>
      <c r="AB3035" t="e">
        <f>VLOOKUP(Tabelle1014[[#This Row],[Rank]],Stammdaten[[Rank Verteilung Ovalität]:[Verteilung Ovalität]],2,FALSE)</f>
        <v>#N/A</v>
      </c>
    </row>
    <row r="3036" spans="5:28" x14ac:dyDescent="0.35">
      <c r="E3036">
        <v>3027</v>
      </c>
      <c r="F3036" t="e">
        <f>INDEX(Stammdaten[D Mitte mit Rinde (mm)],MATCH(Tabelle8[[#This Row],[Rank]],Stammdaten[Rank Verteilung D Mitte mit Rinde],0))</f>
        <v>#N/A</v>
      </c>
      <c r="G3036" t="e">
        <f>VLOOKUP(Tabelle8[[#This Row],[Rank]],Stammdaten[[Rank Verteilung D Mitte mit Rinde]:[Verteilung D Mitte mit Rinde]],2,FALSE)</f>
        <v>#N/A</v>
      </c>
      <c r="L3036">
        <v>3027</v>
      </c>
      <c r="M3036" t="e">
        <f>INDEX(Stammdaten[Abholzigkeit (mm/lfm)],MATCH(Tabelle9[[#This Row],[Rank]],Stammdaten[Rank Verteilung Abholzigkeit],0))</f>
        <v>#N/A</v>
      </c>
      <c r="N3036" t="e">
        <f>VLOOKUP(Tabelle9[[#This Row],[Rank]],Stammdaten[[Rank Verteilung Abholzigkeit]:[Verteilung Abholzigkeit]],2,FALSE)</f>
        <v>#N/A</v>
      </c>
      <c r="S3036">
        <v>3027</v>
      </c>
      <c r="T3036" t="e">
        <f>INDEX(Stammdaten[Krümmung (mm/lfm)],MATCH(Tabelle10[[#This Row],[Rank]],Stammdaten[Rank Verteilung Krümmung],0))</f>
        <v>#N/A</v>
      </c>
      <c r="U3036" t="e">
        <f>VLOOKUP(Tabelle10[[#This Row],[Rank]],Stammdaten[[Rank Verteilung Krümmung]:[Verteilung Krümmung]],2,FALSE)</f>
        <v>#N/A</v>
      </c>
      <c r="Z3036">
        <v>3027</v>
      </c>
      <c r="AA3036" t="e">
        <f>INDEX(Stammdaten[Ovalität (']0,1'])],MATCH(Tabelle1014[[#This Row],[Rank]],Stammdaten[Rank Verteilung Ovalität],0))</f>
        <v>#N/A</v>
      </c>
      <c r="AB3036" t="e">
        <f>VLOOKUP(Tabelle1014[[#This Row],[Rank]],Stammdaten[[Rank Verteilung Ovalität]:[Verteilung Ovalität]],2,FALSE)</f>
        <v>#N/A</v>
      </c>
    </row>
    <row r="3037" spans="5:28" x14ac:dyDescent="0.35">
      <c r="E3037">
        <v>3028</v>
      </c>
      <c r="F3037" t="e">
        <f>INDEX(Stammdaten[D Mitte mit Rinde (mm)],MATCH(Tabelle8[[#This Row],[Rank]],Stammdaten[Rank Verteilung D Mitte mit Rinde],0))</f>
        <v>#N/A</v>
      </c>
      <c r="G3037" t="e">
        <f>VLOOKUP(Tabelle8[[#This Row],[Rank]],Stammdaten[[Rank Verteilung D Mitte mit Rinde]:[Verteilung D Mitte mit Rinde]],2,FALSE)</f>
        <v>#N/A</v>
      </c>
      <c r="L3037">
        <v>3028</v>
      </c>
      <c r="M3037" t="e">
        <f>INDEX(Stammdaten[Abholzigkeit (mm/lfm)],MATCH(Tabelle9[[#This Row],[Rank]],Stammdaten[Rank Verteilung Abholzigkeit],0))</f>
        <v>#N/A</v>
      </c>
      <c r="N3037" t="e">
        <f>VLOOKUP(Tabelle9[[#This Row],[Rank]],Stammdaten[[Rank Verteilung Abholzigkeit]:[Verteilung Abholzigkeit]],2,FALSE)</f>
        <v>#N/A</v>
      </c>
      <c r="S3037">
        <v>3028</v>
      </c>
      <c r="T3037" t="e">
        <f>INDEX(Stammdaten[Krümmung (mm/lfm)],MATCH(Tabelle10[[#This Row],[Rank]],Stammdaten[Rank Verteilung Krümmung],0))</f>
        <v>#N/A</v>
      </c>
      <c r="U3037" t="e">
        <f>VLOOKUP(Tabelle10[[#This Row],[Rank]],Stammdaten[[Rank Verteilung Krümmung]:[Verteilung Krümmung]],2,FALSE)</f>
        <v>#N/A</v>
      </c>
      <c r="Z3037">
        <v>3028</v>
      </c>
      <c r="AA3037" t="e">
        <f>INDEX(Stammdaten[Ovalität (']0,1'])],MATCH(Tabelle1014[[#This Row],[Rank]],Stammdaten[Rank Verteilung Ovalität],0))</f>
        <v>#N/A</v>
      </c>
      <c r="AB3037" t="e">
        <f>VLOOKUP(Tabelle1014[[#This Row],[Rank]],Stammdaten[[Rank Verteilung Ovalität]:[Verteilung Ovalität]],2,FALSE)</f>
        <v>#N/A</v>
      </c>
    </row>
    <row r="3038" spans="5:28" x14ac:dyDescent="0.35">
      <c r="E3038">
        <v>3029</v>
      </c>
      <c r="F3038" t="e">
        <f>INDEX(Stammdaten[D Mitte mit Rinde (mm)],MATCH(Tabelle8[[#This Row],[Rank]],Stammdaten[Rank Verteilung D Mitte mit Rinde],0))</f>
        <v>#N/A</v>
      </c>
      <c r="G3038" t="e">
        <f>VLOOKUP(Tabelle8[[#This Row],[Rank]],Stammdaten[[Rank Verteilung D Mitte mit Rinde]:[Verteilung D Mitte mit Rinde]],2,FALSE)</f>
        <v>#N/A</v>
      </c>
      <c r="L3038">
        <v>3029</v>
      </c>
      <c r="M3038" t="e">
        <f>INDEX(Stammdaten[Abholzigkeit (mm/lfm)],MATCH(Tabelle9[[#This Row],[Rank]],Stammdaten[Rank Verteilung Abholzigkeit],0))</f>
        <v>#N/A</v>
      </c>
      <c r="N3038" t="e">
        <f>VLOOKUP(Tabelle9[[#This Row],[Rank]],Stammdaten[[Rank Verteilung Abholzigkeit]:[Verteilung Abholzigkeit]],2,FALSE)</f>
        <v>#N/A</v>
      </c>
      <c r="S3038">
        <v>3029</v>
      </c>
      <c r="T3038" t="e">
        <f>INDEX(Stammdaten[Krümmung (mm/lfm)],MATCH(Tabelle10[[#This Row],[Rank]],Stammdaten[Rank Verteilung Krümmung],0))</f>
        <v>#N/A</v>
      </c>
      <c r="U3038" t="e">
        <f>VLOOKUP(Tabelle10[[#This Row],[Rank]],Stammdaten[[Rank Verteilung Krümmung]:[Verteilung Krümmung]],2,FALSE)</f>
        <v>#N/A</v>
      </c>
      <c r="Z3038">
        <v>3029</v>
      </c>
      <c r="AA3038" t="e">
        <f>INDEX(Stammdaten[Ovalität (']0,1'])],MATCH(Tabelle1014[[#This Row],[Rank]],Stammdaten[Rank Verteilung Ovalität],0))</f>
        <v>#N/A</v>
      </c>
      <c r="AB3038" t="e">
        <f>VLOOKUP(Tabelle1014[[#This Row],[Rank]],Stammdaten[[Rank Verteilung Ovalität]:[Verteilung Ovalität]],2,FALSE)</f>
        <v>#N/A</v>
      </c>
    </row>
    <row r="3039" spans="5:28" x14ac:dyDescent="0.35">
      <c r="E3039">
        <v>3030</v>
      </c>
      <c r="F3039" t="e">
        <f>INDEX(Stammdaten[D Mitte mit Rinde (mm)],MATCH(Tabelle8[[#This Row],[Rank]],Stammdaten[Rank Verteilung D Mitte mit Rinde],0))</f>
        <v>#N/A</v>
      </c>
      <c r="G3039" t="e">
        <f>VLOOKUP(Tabelle8[[#This Row],[Rank]],Stammdaten[[Rank Verteilung D Mitte mit Rinde]:[Verteilung D Mitte mit Rinde]],2,FALSE)</f>
        <v>#N/A</v>
      </c>
      <c r="L3039">
        <v>3030</v>
      </c>
      <c r="M3039" t="e">
        <f>INDEX(Stammdaten[Abholzigkeit (mm/lfm)],MATCH(Tabelle9[[#This Row],[Rank]],Stammdaten[Rank Verteilung Abholzigkeit],0))</f>
        <v>#N/A</v>
      </c>
      <c r="N3039" t="e">
        <f>VLOOKUP(Tabelle9[[#This Row],[Rank]],Stammdaten[[Rank Verteilung Abholzigkeit]:[Verteilung Abholzigkeit]],2,FALSE)</f>
        <v>#N/A</v>
      </c>
      <c r="S3039">
        <v>3030</v>
      </c>
      <c r="T3039" t="e">
        <f>INDEX(Stammdaten[Krümmung (mm/lfm)],MATCH(Tabelle10[[#This Row],[Rank]],Stammdaten[Rank Verteilung Krümmung],0))</f>
        <v>#N/A</v>
      </c>
      <c r="U3039" t="e">
        <f>VLOOKUP(Tabelle10[[#This Row],[Rank]],Stammdaten[[Rank Verteilung Krümmung]:[Verteilung Krümmung]],2,FALSE)</f>
        <v>#N/A</v>
      </c>
      <c r="Z3039">
        <v>3030</v>
      </c>
      <c r="AA3039" t="e">
        <f>INDEX(Stammdaten[Ovalität (']0,1'])],MATCH(Tabelle1014[[#This Row],[Rank]],Stammdaten[Rank Verteilung Ovalität],0))</f>
        <v>#N/A</v>
      </c>
      <c r="AB3039" t="e">
        <f>VLOOKUP(Tabelle1014[[#This Row],[Rank]],Stammdaten[[Rank Verteilung Ovalität]:[Verteilung Ovalität]],2,FALSE)</f>
        <v>#N/A</v>
      </c>
    </row>
    <row r="3040" spans="5:28" x14ac:dyDescent="0.35">
      <c r="E3040">
        <v>3031</v>
      </c>
      <c r="F3040" t="e">
        <f>INDEX(Stammdaten[D Mitte mit Rinde (mm)],MATCH(Tabelle8[[#This Row],[Rank]],Stammdaten[Rank Verteilung D Mitte mit Rinde],0))</f>
        <v>#N/A</v>
      </c>
      <c r="G3040" t="e">
        <f>VLOOKUP(Tabelle8[[#This Row],[Rank]],Stammdaten[[Rank Verteilung D Mitte mit Rinde]:[Verteilung D Mitte mit Rinde]],2,FALSE)</f>
        <v>#N/A</v>
      </c>
      <c r="L3040">
        <v>3031</v>
      </c>
      <c r="M3040" t="e">
        <f>INDEX(Stammdaten[Abholzigkeit (mm/lfm)],MATCH(Tabelle9[[#This Row],[Rank]],Stammdaten[Rank Verteilung Abholzigkeit],0))</f>
        <v>#N/A</v>
      </c>
      <c r="N3040" t="e">
        <f>VLOOKUP(Tabelle9[[#This Row],[Rank]],Stammdaten[[Rank Verteilung Abholzigkeit]:[Verteilung Abholzigkeit]],2,FALSE)</f>
        <v>#N/A</v>
      </c>
      <c r="S3040">
        <v>3031</v>
      </c>
      <c r="T3040" t="e">
        <f>INDEX(Stammdaten[Krümmung (mm/lfm)],MATCH(Tabelle10[[#This Row],[Rank]],Stammdaten[Rank Verteilung Krümmung],0))</f>
        <v>#N/A</v>
      </c>
      <c r="U3040" t="e">
        <f>VLOOKUP(Tabelle10[[#This Row],[Rank]],Stammdaten[[Rank Verteilung Krümmung]:[Verteilung Krümmung]],2,FALSE)</f>
        <v>#N/A</v>
      </c>
      <c r="Z3040">
        <v>3031</v>
      </c>
      <c r="AA3040" t="e">
        <f>INDEX(Stammdaten[Ovalität (']0,1'])],MATCH(Tabelle1014[[#This Row],[Rank]],Stammdaten[Rank Verteilung Ovalität],0))</f>
        <v>#N/A</v>
      </c>
      <c r="AB3040" t="e">
        <f>VLOOKUP(Tabelle1014[[#This Row],[Rank]],Stammdaten[[Rank Verteilung Ovalität]:[Verteilung Ovalität]],2,FALSE)</f>
        <v>#N/A</v>
      </c>
    </row>
    <row r="3041" spans="5:28" x14ac:dyDescent="0.35">
      <c r="E3041">
        <v>3032</v>
      </c>
      <c r="F3041" t="e">
        <f>INDEX(Stammdaten[D Mitte mit Rinde (mm)],MATCH(Tabelle8[[#This Row],[Rank]],Stammdaten[Rank Verteilung D Mitte mit Rinde],0))</f>
        <v>#N/A</v>
      </c>
      <c r="G3041" t="e">
        <f>VLOOKUP(Tabelle8[[#This Row],[Rank]],Stammdaten[[Rank Verteilung D Mitte mit Rinde]:[Verteilung D Mitte mit Rinde]],2,FALSE)</f>
        <v>#N/A</v>
      </c>
      <c r="L3041">
        <v>3032</v>
      </c>
      <c r="M3041" t="e">
        <f>INDEX(Stammdaten[Abholzigkeit (mm/lfm)],MATCH(Tabelle9[[#This Row],[Rank]],Stammdaten[Rank Verteilung Abholzigkeit],0))</f>
        <v>#N/A</v>
      </c>
      <c r="N3041" t="e">
        <f>VLOOKUP(Tabelle9[[#This Row],[Rank]],Stammdaten[[Rank Verteilung Abholzigkeit]:[Verteilung Abholzigkeit]],2,FALSE)</f>
        <v>#N/A</v>
      </c>
      <c r="S3041">
        <v>3032</v>
      </c>
      <c r="T3041" t="e">
        <f>INDEX(Stammdaten[Krümmung (mm/lfm)],MATCH(Tabelle10[[#This Row],[Rank]],Stammdaten[Rank Verteilung Krümmung],0))</f>
        <v>#N/A</v>
      </c>
      <c r="U3041" t="e">
        <f>VLOOKUP(Tabelle10[[#This Row],[Rank]],Stammdaten[[Rank Verteilung Krümmung]:[Verteilung Krümmung]],2,FALSE)</f>
        <v>#N/A</v>
      </c>
      <c r="Z3041">
        <v>3032</v>
      </c>
      <c r="AA3041" t="e">
        <f>INDEX(Stammdaten[Ovalität (']0,1'])],MATCH(Tabelle1014[[#This Row],[Rank]],Stammdaten[Rank Verteilung Ovalität],0))</f>
        <v>#N/A</v>
      </c>
      <c r="AB3041" t="e">
        <f>VLOOKUP(Tabelle1014[[#This Row],[Rank]],Stammdaten[[Rank Verteilung Ovalität]:[Verteilung Ovalität]],2,FALSE)</f>
        <v>#N/A</v>
      </c>
    </row>
    <row r="3042" spans="5:28" x14ac:dyDescent="0.35">
      <c r="E3042">
        <v>3033</v>
      </c>
      <c r="F3042" t="e">
        <f>INDEX(Stammdaten[D Mitte mit Rinde (mm)],MATCH(Tabelle8[[#This Row],[Rank]],Stammdaten[Rank Verteilung D Mitte mit Rinde],0))</f>
        <v>#N/A</v>
      </c>
      <c r="G3042" t="e">
        <f>VLOOKUP(Tabelle8[[#This Row],[Rank]],Stammdaten[[Rank Verteilung D Mitte mit Rinde]:[Verteilung D Mitte mit Rinde]],2,FALSE)</f>
        <v>#N/A</v>
      </c>
      <c r="L3042">
        <v>3033</v>
      </c>
      <c r="M3042" t="e">
        <f>INDEX(Stammdaten[Abholzigkeit (mm/lfm)],MATCH(Tabelle9[[#This Row],[Rank]],Stammdaten[Rank Verteilung Abholzigkeit],0))</f>
        <v>#N/A</v>
      </c>
      <c r="N3042" t="e">
        <f>VLOOKUP(Tabelle9[[#This Row],[Rank]],Stammdaten[[Rank Verteilung Abholzigkeit]:[Verteilung Abholzigkeit]],2,FALSE)</f>
        <v>#N/A</v>
      </c>
      <c r="S3042">
        <v>3033</v>
      </c>
      <c r="T3042" t="e">
        <f>INDEX(Stammdaten[Krümmung (mm/lfm)],MATCH(Tabelle10[[#This Row],[Rank]],Stammdaten[Rank Verteilung Krümmung],0))</f>
        <v>#N/A</v>
      </c>
      <c r="U3042" t="e">
        <f>VLOOKUP(Tabelle10[[#This Row],[Rank]],Stammdaten[[Rank Verteilung Krümmung]:[Verteilung Krümmung]],2,FALSE)</f>
        <v>#N/A</v>
      </c>
      <c r="Z3042">
        <v>3033</v>
      </c>
      <c r="AA3042" t="e">
        <f>INDEX(Stammdaten[Ovalität (']0,1'])],MATCH(Tabelle1014[[#This Row],[Rank]],Stammdaten[Rank Verteilung Ovalität],0))</f>
        <v>#N/A</v>
      </c>
      <c r="AB3042" t="e">
        <f>VLOOKUP(Tabelle1014[[#This Row],[Rank]],Stammdaten[[Rank Verteilung Ovalität]:[Verteilung Ovalität]],2,FALSE)</f>
        <v>#N/A</v>
      </c>
    </row>
    <row r="3043" spans="5:28" x14ac:dyDescent="0.35">
      <c r="E3043">
        <v>3034</v>
      </c>
      <c r="F3043" t="e">
        <f>INDEX(Stammdaten[D Mitte mit Rinde (mm)],MATCH(Tabelle8[[#This Row],[Rank]],Stammdaten[Rank Verteilung D Mitte mit Rinde],0))</f>
        <v>#N/A</v>
      </c>
      <c r="G3043" t="e">
        <f>VLOOKUP(Tabelle8[[#This Row],[Rank]],Stammdaten[[Rank Verteilung D Mitte mit Rinde]:[Verteilung D Mitte mit Rinde]],2,FALSE)</f>
        <v>#N/A</v>
      </c>
      <c r="L3043">
        <v>3034</v>
      </c>
      <c r="M3043" t="e">
        <f>INDEX(Stammdaten[Abholzigkeit (mm/lfm)],MATCH(Tabelle9[[#This Row],[Rank]],Stammdaten[Rank Verteilung Abholzigkeit],0))</f>
        <v>#N/A</v>
      </c>
      <c r="N3043" t="e">
        <f>VLOOKUP(Tabelle9[[#This Row],[Rank]],Stammdaten[[Rank Verteilung Abholzigkeit]:[Verteilung Abholzigkeit]],2,FALSE)</f>
        <v>#N/A</v>
      </c>
      <c r="S3043">
        <v>3034</v>
      </c>
      <c r="T3043" t="e">
        <f>INDEX(Stammdaten[Krümmung (mm/lfm)],MATCH(Tabelle10[[#This Row],[Rank]],Stammdaten[Rank Verteilung Krümmung],0))</f>
        <v>#N/A</v>
      </c>
      <c r="U3043" t="e">
        <f>VLOOKUP(Tabelle10[[#This Row],[Rank]],Stammdaten[[Rank Verteilung Krümmung]:[Verteilung Krümmung]],2,FALSE)</f>
        <v>#N/A</v>
      </c>
      <c r="Z3043">
        <v>3034</v>
      </c>
      <c r="AA3043" t="e">
        <f>INDEX(Stammdaten[Ovalität (']0,1'])],MATCH(Tabelle1014[[#This Row],[Rank]],Stammdaten[Rank Verteilung Ovalität],0))</f>
        <v>#N/A</v>
      </c>
      <c r="AB3043" t="e">
        <f>VLOOKUP(Tabelle1014[[#This Row],[Rank]],Stammdaten[[Rank Verteilung Ovalität]:[Verteilung Ovalität]],2,FALSE)</f>
        <v>#N/A</v>
      </c>
    </row>
    <row r="3044" spans="5:28" x14ac:dyDescent="0.35">
      <c r="E3044">
        <v>3035</v>
      </c>
      <c r="F3044" t="e">
        <f>INDEX(Stammdaten[D Mitte mit Rinde (mm)],MATCH(Tabelle8[[#This Row],[Rank]],Stammdaten[Rank Verteilung D Mitte mit Rinde],0))</f>
        <v>#N/A</v>
      </c>
      <c r="G3044" t="e">
        <f>VLOOKUP(Tabelle8[[#This Row],[Rank]],Stammdaten[[Rank Verteilung D Mitte mit Rinde]:[Verteilung D Mitte mit Rinde]],2,FALSE)</f>
        <v>#N/A</v>
      </c>
      <c r="L3044">
        <v>3035</v>
      </c>
      <c r="M3044" t="e">
        <f>INDEX(Stammdaten[Abholzigkeit (mm/lfm)],MATCH(Tabelle9[[#This Row],[Rank]],Stammdaten[Rank Verteilung Abholzigkeit],0))</f>
        <v>#N/A</v>
      </c>
      <c r="N3044" t="e">
        <f>VLOOKUP(Tabelle9[[#This Row],[Rank]],Stammdaten[[Rank Verteilung Abholzigkeit]:[Verteilung Abholzigkeit]],2,FALSE)</f>
        <v>#N/A</v>
      </c>
      <c r="S3044">
        <v>3035</v>
      </c>
      <c r="T3044" t="e">
        <f>INDEX(Stammdaten[Krümmung (mm/lfm)],MATCH(Tabelle10[[#This Row],[Rank]],Stammdaten[Rank Verteilung Krümmung],0))</f>
        <v>#N/A</v>
      </c>
      <c r="U3044" t="e">
        <f>VLOOKUP(Tabelle10[[#This Row],[Rank]],Stammdaten[[Rank Verteilung Krümmung]:[Verteilung Krümmung]],2,FALSE)</f>
        <v>#N/A</v>
      </c>
      <c r="Z3044">
        <v>3035</v>
      </c>
      <c r="AA3044" t="e">
        <f>INDEX(Stammdaten[Ovalität (']0,1'])],MATCH(Tabelle1014[[#This Row],[Rank]],Stammdaten[Rank Verteilung Ovalität],0))</f>
        <v>#N/A</v>
      </c>
      <c r="AB3044" t="e">
        <f>VLOOKUP(Tabelle1014[[#This Row],[Rank]],Stammdaten[[Rank Verteilung Ovalität]:[Verteilung Ovalität]],2,FALSE)</f>
        <v>#N/A</v>
      </c>
    </row>
    <row r="3045" spans="5:28" x14ac:dyDescent="0.35">
      <c r="E3045">
        <v>3036</v>
      </c>
      <c r="F3045" t="e">
        <f>INDEX(Stammdaten[D Mitte mit Rinde (mm)],MATCH(Tabelle8[[#This Row],[Rank]],Stammdaten[Rank Verteilung D Mitte mit Rinde],0))</f>
        <v>#N/A</v>
      </c>
      <c r="G3045" t="e">
        <f>VLOOKUP(Tabelle8[[#This Row],[Rank]],Stammdaten[[Rank Verteilung D Mitte mit Rinde]:[Verteilung D Mitte mit Rinde]],2,FALSE)</f>
        <v>#N/A</v>
      </c>
      <c r="L3045">
        <v>3036</v>
      </c>
      <c r="M3045" t="e">
        <f>INDEX(Stammdaten[Abholzigkeit (mm/lfm)],MATCH(Tabelle9[[#This Row],[Rank]],Stammdaten[Rank Verteilung Abholzigkeit],0))</f>
        <v>#N/A</v>
      </c>
      <c r="N3045" t="e">
        <f>VLOOKUP(Tabelle9[[#This Row],[Rank]],Stammdaten[[Rank Verteilung Abholzigkeit]:[Verteilung Abholzigkeit]],2,FALSE)</f>
        <v>#N/A</v>
      </c>
      <c r="S3045">
        <v>3036</v>
      </c>
      <c r="T3045" t="e">
        <f>INDEX(Stammdaten[Krümmung (mm/lfm)],MATCH(Tabelle10[[#This Row],[Rank]],Stammdaten[Rank Verteilung Krümmung],0))</f>
        <v>#N/A</v>
      </c>
      <c r="U3045" t="e">
        <f>VLOOKUP(Tabelle10[[#This Row],[Rank]],Stammdaten[[Rank Verteilung Krümmung]:[Verteilung Krümmung]],2,FALSE)</f>
        <v>#N/A</v>
      </c>
      <c r="Z3045">
        <v>3036</v>
      </c>
      <c r="AA3045" t="e">
        <f>INDEX(Stammdaten[Ovalität (']0,1'])],MATCH(Tabelle1014[[#This Row],[Rank]],Stammdaten[Rank Verteilung Ovalität],0))</f>
        <v>#N/A</v>
      </c>
      <c r="AB3045" t="e">
        <f>VLOOKUP(Tabelle1014[[#This Row],[Rank]],Stammdaten[[Rank Verteilung Ovalität]:[Verteilung Ovalität]],2,FALSE)</f>
        <v>#N/A</v>
      </c>
    </row>
    <row r="3046" spans="5:28" x14ac:dyDescent="0.35">
      <c r="E3046">
        <v>3037</v>
      </c>
      <c r="F3046" t="e">
        <f>INDEX(Stammdaten[D Mitte mit Rinde (mm)],MATCH(Tabelle8[[#This Row],[Rank]],Stammdaten[Rank Verteilung D Mitte mit Rinde],0))</f>
        <v>#N/A</v>
      </c>
      <c r="G3046" t="e">
        <f>VLOOKUP(Tabelle8[[#This Row],[Rank]],Stammdaten[[Rank Verteilung D Mitte mit Rinde]:[Verteilung D Mitte mit Rinde]],2,FALSE)</f>
        <v>#N/A</v>
      </c>
      <c r="L3046">
        <v>3037</v>
      </c>
      <c r="M3046" t="e">
        <f>INDEX(Stammdaten[Abholzigkeit (mm/lfm)],MATCH(Tabelle9[[#This Row],[Rank]],Stammdaten[Rank Verteilung Abholzigkeit],0))</f>
        <v>#N/A</v>
      </c>
      <c r="N3046" t="e">
        <f>VLOOKUP(Tabelle9[[#This Row],[Rank]],Stammdaten[[Rank Verteilung Abholzigkeit]:[Verteilung Abholzigkeit]],2,FALSE)</f>
        <v>#N/A</v>
      </c>
      <c r="S3046">
        <v>3037</v>
      </c>
      <c r="T3046" t="e">
        <f>INDEX(Stammdaten[Krümmung (mm/lfm)],MATCH(Tabelle10[[#This Row],[Rank]],Stammdaten[Rank Verteilung Krümmung],0))</f>
        <v>#N/A</v>
      </c>
      <c r="U3046" t="e">
        <f>VLOOKUP(Tabelle10[[#This Row],[Rank]],Stammdaten[[Rank Verteilung Krümmung]:[Verteilung Krümmung]],2,FALSE)</f>
        <v>#N/A</v>
      </c>
      <c r="Z3046">
        <v>3037</v>
      </c>
      <c r="AA3046" t="e">
        <f>INDEX(Stammdaten[Ovalität (']0,1'])],MATCH(Tabelle1014[[#This Row],[Rank]],Stammdaten[Rank Verteilung Ovalität],0))</f>
        <v>#N/A</v>
      </c>
      <c r="AB3046" t="e">
        <f>VLOOKUP(Tabelle1014[[#This Row],[Rank]],Stammdaten[[Rank Verteilung Ovalität]:[Verteilung Ovalität]],2,FALSE)</f>
        <v>#N/A</v>
      </c>
    </row>
    <row r="3047" spans="5:28" x14ac:dyDescent="0.35">
      <c r="E3047">
        <v>3038</v>
      </c>
      <c r="F3047" t="e">
        <f>INDEX(Stammdaten[D Mitte mit Rinde (mm)],MATCH(Tabelle8[[#This Row],[Rank]],Stammdaten[Rank Verteilung D Mitte mit Rinde],0))</f>
        <v>#N/A</v>
      </c>
      <c r="G3047" t="e">
        <f>VLOOKUP(Tabelle8[[#This Row],[Rank]],Stammdaten[[Rank Verteilung D Mitte mit Rinde]:[Verteilung D Mitte mit Rinde]],2,FALSE)</f>
        <v>#N/A</v>
      </c>
      <c r="L3047">
        <v>3038</v>
      </c>
      <c r="M3047" t="e">
        <f>INDEX(Stammdaten[Abholzigkeit (mm/lfm)],MATCH(Tabelle9[[#This Row],[Rank]],Stammdaten[Rank Verteilung Abholzigkeit],0))</f>
        <v>#N/A</v>
      </c>
      <c r="N3047" t="e">
        <f>VLOOKUP(Tabelle9[[#This Row],[Rank]],Stammdaten[[Rank Verteilung Abholzigkeit]:[Verteilung Abholzigkeit]],2,FALSE)</f>
        <v>#N/A</v>
      </c>
      <c r="S3047">
        <v>3038</v>
      </c>
      <c r="T3047" t="e">
        <f>INDEX(Stammdaten[Krümmung (mm/lfm)],MATCH(Tabelle10[[#This Row],[Rank]],Stammdaten[Rank Verteilung Krümmung],0))</f>
        <v>#N/A</v>
      </c>
      <c r="U3047" t="e">
        <f>VLOOKUP(Tabelle10[[#This Row],[Rank]],Stammdaten[[Rank Verteilung Krümmung]:[Verteilung Krümmung]],2,FALSE)</f>
        <v>#N/A</v>
      </c>
      <c r="Z3047">
        <v>3038</v>
      </c>
      <c r="AA3047" t="e">
        <f>INDEX(Stammdaten[Ovalität (']0,1'])],MATCH(Tabelle1014[[#This Row],[Rank]],Stammdaten[Rank Verteilung Ovalität],0))</f>
        <v>#N/A</v>
      </c>
      <c r="AB3047" t="e">
        <f>VLOOKUP(Tabelle1014[[#This Row],[Rank]],Stammdaten[[Rank Verteilung Ovalität]:[Verteilung Ovalität]],2,FALSE)</f>
        <v>#N/A</v>
      </c>
    </row>
    <row r="3048" spans="5:28" x14ac:dyDescent="0.35">
      <c r="E3048">
        <v>3039</v>
      </c>
      <c r="F3048" t="e">
        <f>INDEX(Stammdaten[D Mitte mit Rinde (mm)],MATCH(Tabelle8[[#This Row],[Rank]],Stammdaten[Rank Verteilung D Mitte mit Rinde],0))</f>
        <v>#N/A</v>
      </c>
      <c r="G3048" t="e">
        <f>VLOOKUP(Tabelle8[[#This Row],[Rank]],Stammdaten[[Rank Verteilung D Mitte mit Rinde]:[Verteilung D Mitte mit Rinde]],2,FALSE)</f>
        <v>#N/A</v>
      </c>
      <c r="L3048">
        <v>3039</v>
      </c>
      <c r="M3048" t="e">
        <f>INDEX(Stammdaten[Abholzigkeit (mm/lfm)],MATCH(Tabelle9[[#This Row],[Rank]],Stammdaten[Rank Verteilung Abholzigkeit],0))</f>
        <v>#N/A</v>
      </c>
      <c r="N3048" t="e">
        <f>VLOOKUP(Tabelle9[[#This Row],[Rank]],Stammdaten[[Rank Verteilung Abholzigkeit]:[Verteilung Abholzigkeit]],2,FALSE)</f>
        <v>#N/A</v>
      </c>
      <c r="S3048">
        <v>3039</v>
      </c>
      <c r="T3048" t="e">
        <f>INDEX(Stammdaten[Krümmung (mm/lfm)],MATCH(Tabelle10[[#This Row],[Rank]],Stammdaten[Rank Verteilung Krümmung],0))</f>
        <v>#N/A</v>
      </c>
      <c r="U3048" t="e">
        <f>VLOOKUP(Tabelle10[[#This Row],[Rank]],Stammdaten[[Rank Verteilung Krümmung]:[Verteilung Krümmung]],2,FALSE)</f>
        <v>#N/A</v>
      </c>
      <c r="Z3048">
        <v>3039</v>
      </c>
      <c r="AA3048" t="e">
        <f>INDEX(Stammdaten[Ovalität (']0,1'])],MATCH(Tabelle1014[[#This Row],[Rank]],Stammdaten[Rank Verteilung Ovalität],0))</f>
        <v>#N/A</v>
      </c>
      <c r="AB3048" t="e">
        <f>VLOOKUP(Tabelle1014[[#This Row],[Rank]],Stammdaten[[Rank Verteilung Ovalität]:[Verteilung Ovalität]],2,FALSE)</f>
        <v>#N/A</v>
      </c>
    </row>
    <row r="3049" spans="5:28" x14ac:dyDescent="0.35">
      <c r="E3049">
        <v>3040</v>
      </c>
      <c r="F3049" t="e">
        <f>INDEX(Stammdaten[D Mitte mit Rinde (mm)],MATCH(Tabelle8[[#This Row],[Rank]],Stammdaten[Rank Verteilung D Mitte mit Rinde],0))</f>
        <v>#N/A</v>
      </c>
      <c r="G3049" t="e">
        <f>VLOOKUP(Tabelle8[[#This Row],[Rank]],Stammdaten[[Rank Verteilung D Mitte mit Rinde]:[Verteilung D Mitte mit Rinde]],2,FALSE)</f>
        <v>#N/A</v>
      </c>
      <c r="L3049">
        <v>3040</v>
      </c>
      <c r="M3049" t="e">
        <f>INDEX(Stammdaten[Abholzigkeit (mm/lfm)],MATCH(Tabelle9[[#This Row],[Rank]],Stammdaten[Rank Verteilung Abholzigkeit],0))</f>
        <v>#N/A</v>
      </c>
      <c r="N3049" t="e">
        <f>VLOOKUP(Tabelle9[[#This Row],[Rank]],Stammdaten[[Rank Verteilung Abholzigkeit]:[Verteilung Abholzigkeit]],2,FALSE)</f>
        <v>#N/A</v>
      </c>
      <c r="S3049">
        <v>3040</v>
      </c>
      <c r="T3049" t="e">
        <f>INDEX(Stammdaten[Krümmung (mm/lfm)],MATCH(Tabelle10[[#This Row],[Rank]],Stammdaten[Rank Verteilung Krümmung],0))</f>
        <v>#N/A</v>
      </c>
      <c r="U3049" t="e">
        <f>VLOOKUP(Tabelle10[[#This Row],[Rank]],Stammdaten[[Rank Verteilung Krümmung]:[Verteilung Krümmung]],2,FALSE)</f>
        <v>#N/A</v>
      </c>
      <c r="Z3049">
        <v>3040</v>
      </c>
      <c r="AA3049" t="e">
        <f>INDEX(Stammdaten[Ovalität (']0,1'])],MATCH(Tabelle1014[[#This Row],[Rank]],Stammdaten[Rank Verteilung Ovalität],0))</f>
        <v>#N/A</v>
      </c>
      <c r="AB3049" t="e">
        <f>VLOOKUP(Tabelle1014[[#This Row],[Rank]],Stammdaten[[Rank Verteilung Ovalität]:[Verteilung Ovalität]],2,FALSE)</f>
        <v>#N/A</v>
      </c>
    </row>
    <row r="3050" spans="5:28" x14ac:dyDescent="0.35">
      <c r="E3050">
        <v>3041</v>
      </c>
      <c r="F3050" t="e">
        <f>INDEX(Stammdaten[D Mitte mit Rinde (mm)],MATCH(Tabelle8[[#This Row],[Rank]],Stammdaten[Rank Verteilung D Mitte mit Rinde],0))</f>
        <v>#N/A</v>
      </c>
      <c r="G3050" t="e">
        <f>VLOOKUP(Tabelle8[[#This Row],[Rank]],Stammdaten[[Rank Verteilung D Mitte mit Rinde]:[Verteilung D Mitte mit Rinde]],2,FALSE)</f>
        <v>#N/A</v>
      </c>
      <c r="L3050">
        <v>3041</v>
      </c>
      <c r="M3050" t="e">
        <f>INDEX(Stammdaten[Abholzigkeit (mm/lfm)],MATCH(Tabelle9[[#This Row],[Rank]],Stammdaten[Rank Verteilung Abholzigkeit],0))</f>
        <v>#N/A</v>
      </c>
      <c r="N3050" t="e">
        <f>VLOOKUP(Tabelle9[[#This Row],[Rank]],Stammdaten[[Rank Verteilung Abholzigkeit]:[Verteilung Abholzigkeit]],2,FALSE)</f>
        <v>#N/A</v>
      </c>
      <c r="S3050">
        <v>3041</v>
      </c>
      <c r="T3050" t="e">
        <f>INDEX(Stammdaten[Krümmung (mm/lfm)],MATCH(Tabelle10[[#This Row],[Rank]],Stammdaten[Rank Verteilung Krümmung],0))</f>
        <v>#N/A</v>
      </c>
      <c r="U3050" t="e">
        <f>VLOOKUP(Tabelle10[[#This Row],[Rank]],Stammdaten[[Rank Verteilung Krümmung]:[Verteilung Krümmung]],2,FALSE)</f>
        <v>#N/A</v>
      </c>
      <c r="Z3050">
        <v>3041</v>
      </c>
      <c r="AA3050" t="e">
        <f>INDEX(Stammdaten[Ovalität (']0,1'])],MATCH(Tabelle1014[[#This Row],[Rank]],Stammdaten[Rank Verteilung Ovalität],0))</f>
        <v>#N/A</v>
      </c>
      <c r="AB3050" t="e">
        <f>VLOOKUP(Tabelle1014[[#This Row],[Rank]],Stammdaten[[Rank Verteilung Ovalität]:[Verteilung Ovalität]],2,FALSE)</f>
        <v>#N/A</v>
      </c>
    </row>
    <row r="3051" spans="5:28" x14ac:dyDescent="0.35">
      <c r="E3051">
        <v>3042</v>
      </c>
      <c r="F3051" t="e">
        <f>INDEX(Stammdaten[D Mitte mit Rinde (mm)],MATCH(Tabelle8[[#This Row],[Rank]],Stammdaten[Rank Verteilung D Mitte mit Rinde],0))</f>
        <v>#N/A</v>
      </c>
      <c r="G3051" t="e">
        <f>VLOOKUP(Tabelle8[[#This Row],[Rank]],Stammdaten[[Rank Verteilung D Mitte mit Rinde]:[Verteilung D Mitte mit Rinde]],2,FALSE)</f>
        <v>#N/A</v>
      </c>
      <c r="L3051">
        <v>3042</v>
      </c>
      <c r="M3051" t="e">
        <f>INDEX(Stammdaten[Abholzigkeit (mm/lfm)],MATCH(Tabelle9[[#This Row],[Rank]],Stammdaten[Rank Verteilung Abholzigkeit],0))</f>
        <v>#N/A</v>
      </c>
      <c r="N3051" t="e">
        <f>VLOOKUP(Tabelle9[[#This Row],[Rank]],Stammdaten[[Rank Verteilung Abholzigkeit]:[Verteilung Abholzigkeit]],2,FALSE)</f>
        <v>#N/A</v>
      </c>
      <c r="S3051">
        <v>3042</v>
      </c>
      <c r="T3051" t="e">
        <f>INDEX(Stammdaten[Krümmung (mm/lfm)],MATCH(Tabelle10[[#This Row],[Rank]],Stammdaten[Rank Verteilung Krümmung],0))</f>
        <v>#N/A</v>
      </c>
      <c r="U3051" t="e">
        <f>VLOOKUP(Tabelle10[[#This Row],[Rank]],Stammdaten[[Rank Verteilung Krümmung]:[Verteilung Krümmung]],2,FALSE)</f>
        <v>#N/A</v>
      </c>
      <c r="Z3051">
        <v>3042</v>
      </c>
      <c r="AA3051" t="e">
        <f>INDEX(Stammdaten[Ovalität (']0,1'])],MATCH(Tabelle1014[[#This Row],[Rank]],Stammdaten[Rank Verteilung Ovalität],0))</f>
        <v>#N/A</v>
      </c>
      <c r="AB3051" t="e">
        <f>VLOOKUP(Tabelle1014[[#This Row],[Rank]],Stammdaten[[Rank Verteilung Ovalität]:[Verteilung Ovalität]],2,FALSE)</f>
        <v>#N/A</v>
      </c>
    </row>
    <row r="3052" spans="5:28" x14ac:dyDescent="0.35">
      <c r="E3052">
        <v>3043</v>
      </c>
      <c r="F3052" t="e">
        <f>INDEX(Stammdaten[D Mitte mit Rinde (mm)],MATCH(Tabelle8[[#This Row],[Rank]],Stammdaten[Rank Verteilung D Mitte mit Rinde],0))</f>
        <v>#N/A</v>
      </c>
      <c r="G3052" t="e">
        <f>VLOOKUP(Tabelle8[[#This Row],[Rank]],Stammdaten[[Rank Verteilung D Mitte mit Rinde]:[Verteilung D Mitte mit Rinde]],2,FALSE)</f>
        <v>#N/A</v>
      </c>
      <c r="L3052">
        <v>3043</v>
      </c>
      <c r="M3052" t="e">
        <f>INDEX(Stammdaten[Abholzigkeit (mm/lfm)],MATCH(Tabelle9[[#This Row],[Rank]],Stammdaten[Rank Verteilung Abholzigkeit],0))</f>
        <v>#N/A</v>
      </c>
      <c r="N3052" t="e">
        <f>VLOOKUP(Tabelle9[[#This Row],[Rank]],Stammdaten[[Rank Verteilung Abholzigkeit]:[Verteilung Abholzigkeit]],2,FALSE)</f>
        <v>#N/A</v>
      </c>
      <c r="S3052">
        <v>3043</v>
      </c>
      <c r="T3052" t="e">
        <f>INDEX(Stammdaten[Krümmung (mm/lfm)],MATCH(Tabelle10[[#This Row],[Rank]],Stammdaten[Rank Verteilung Krümmung],0))</f>
        <v>#N/A</v>
      </c>
      <c r="U3052" t="e">
        <f>VLOOKUP(Tabelle10[[#This Row],[Rank]],Stammdaten[[Rank Verteilung Krümmung]:[Verteilung Krümmung]],2,FALSE)</f>
        <v>#N/A</v>
      </c>
      <c r="Z3052">
        <v>3043</v>
      </c>
      <c r="AA3052" t="e">
        <f>INDEX(Stammdaten[Ovalität (']0,1'])],MATCH(Tabelle1014[[#This Row],[Rank]],Stammdaten[Rank Verteilung Ovalität],0))</f>
        <v>#N/A</v>
      </c>
      <c r="AB3052" t="e">
        <f>VLOOKUP(Tabelle1014[[#This Row],[Rank]],Stammdaten[[Rank Verteilung Ovalität]:[Verteilung Ovalität]],2,FALSE)</f>
        <v>#N/A</v>
      </c>
    </row>
    <row r="3053" spans="5:28" x14ac:dyDescent="0.35">
      <c r="E3053">
        <v>3044</v>
      </c>
      <c r="F3053" t="e">
        <f>INDEX(Stammdaten[D Mitte mit Rinde (mm)],MATCH(Tabelle8[[#This Row],[Rank]],Stammdaten[Rank Verteilung D Mitte mit Rinde],0))</f>
        <v>#N/A</v>
      </c>
      <c r="G3053" t="e">
        <f>VLOOKUP(Tabelle8[[#This Row],[Rank]],Stammdaten[[Rank Verteilung D Mitte mit Rinde]:[Verteilung D Mitte mit Rinde]],2,FALSE)</f>
        <v>#N/A</v>
      </c>
      <c r="L3053">
        <v>3044</v>
      </c>
      <c r="M3053" t="e">
        <f>INDEX(Stammdaten[Abholzigkeit (mm/lfm)],MATCH(Tabelle9[[#This Row],[Rank]],Stammdaten[Rank Verteilung Abholzigkeit],0))</f>
        <v>#N/A</v>
      </c>
      <c r="N3053" t="e">
        <f>VLOOKUP(Tabelle9[[#This Row],[Rank]],Stammdaten[[Rank Verteilung Abholzigkeit]:[Verteilung Abholzigkeit]],2,FALSE)</f>
        <v>#N/A</v>
      </c>
      <c r="S3053">
        <v>3044</v>
      </c>
      <c r="T3053" t="e">
        <f>INDEX(Stammdaten[Krümmung (mm/lfm)],MATCH(Tabelle10[[#This Row],[Rank]],Stammdaten[Rank Verteilung Krümmung],0))</f>
        <v>#N/A</v>
      </c>
      <c r="U3053" t="e">
        <f>VLOOKUP(Tabelle10[[#This Row],[Rank]],Stammdaten[[Rank Verteilung Krümmung]:[Verteilung Krümmung]],2,FALSE)</f>
        <v>#N/A</v>
      </c>
      <c r="Z3053">
        <v>3044</v>
      </c>
      <c r="AA3053" t="e">
        <f>INDEX(Stammdaten[Ovalität (']0,1'])],MATCH(Tabelle1014[[#This Row],[Rank]],Stammdaten[Rank Verteilung Ovalität],0))</f>
        <v>#N/A</v>
      </c>
      <c r="AB3053" t="e">
        <f>VLOOKUP(Tabelle1014[[#This Row],[Rank]],Stammdaten[[Rank Verteilung Ovalität]:[Verteilung Ovalität]],2,FALSE)</f>
        <v>#N/A</v>
      </c>
    </row>
    <row r="3054" spans="5:28" x14ac:dyDescent="0.35">
      <c r="E3054">
        <v>3045</v>
      </c>
      <c r="F3054" t="e">
        <f>INDEX(Stammdaten[D Mitte mit Rinde (mm)],MATCH(Tabelle8[[#This Row],[Rank]],Stammdaten[Rank Verteilung D Mitte mit Rinde],0))</f>
        <v>#N/A</v>
      </c>
      <c r="G3054" t="e">
        <f>VLOOKUP(Tabelle8[[#This Row],[Rank]],Stammdaten[[Rank Verteilung D Mitte mit Rinde]:[Verteilung D Mitte mit Rinde]],2,FALSE)</f>
        <v>#N/A</v>
      </c>
      <c r="L3054">
        <v>3045</v>
      </c>
      <c r="M3054" t="e">
        <f>INDEX(Stammdaten[Abholzigkeit (mm/lfm)],MATCH(Tabelle9[[#This Row],[Rank]],Stammdaten[Rank Verteilung Abholzigkeit],0))</f>
        <v>#N/A</v>
      </c>
      <c r="N3054" t="e">
        <f>VLOOKUP(Tabelle9[[#This Row],[Rank]],Stammdaten[[Rank Verteilung Abholzigkeit]:[Verteilung Abholzigkeit]],2,FALSE)</f>
        <v>#N/A</v>
      </c>
      <c r="S3054">
        <v>3045</v>
      </c>
      <c r="T3054" t="e">
        <f>INDEX(Stammdaten[Krümmung (mm/lfm)],MATCH(Tabelle10[[#This Row],[Rank]],Stammdaten[Rank Verteilung Krümmung],0))</f>
        <v>#N/A</v>
      </c>
      <c r="U3054" t="e">
        <f>VLOOKUP(Tabelle10[[#This Row],[Rank]],Stammdaten[[Rank Verteilung Krümmung]:[Verteilung Krümmung]],2,FALSE)</f>
        <v>#N/A</v>
      </c>
      <c r="Z3054">
        <v>3045</v>
      </c>
      <c r="AA3054" t="e">
        <f>INDEX(Stammdaten[Ovalität (']0,1'])],MATCH(Tabelle1014[[#This Row],[Rank]],Stammdaten[Rank Verteilung Ovalität],0))</f>
        <v>#N/A</v>
      </c>
      <c r="AB3054" t="e">
        <f>VLOOKUP(Tabelle1014[[#This Row],[Rank]],Stammdaten[[Rank Verteilung Ovalität]:[Verteilung Ovalität]],2,FALSE)</f>
        <v>#N/A</v>
      </c>
    </row>
    <row r="3055" spans="5:28" x14ac:dyDescent="0.35">
      <c r="E3055">
        <v>3046</v>
      </c>
      <c r="F3055" t="e">
        <f>INDEX(Stammdaten[D Mitte mit Rinde (mm)],MATCH(Tabelle8[[#This Row],[Rank]],Stammdaten[Rank Verteilung D Mitte mit Rinde],0))</f>
        <v>#N/A</v>
      </c>
      <c r="G3055" t="e">
        <f>VLOOKUP(Tabelle8[[#This Row],[Rank]],Stammdaten[[Rank Verteilung D Mitte mit Rinde]:[Verteilung D Mitte mit Rinde]],2,FALSE)</f>
        <v>#N/A</v>
      </c>
      <c r="L3055">
        <v>3046</v>
      </c>
      <c r="M3055" t="e">
        <f>INDEX(Stammdaten[Abholzigkeit (mm/lfm)],MATCH(Tabelle9[[#This Row],[Rank]],Stammdaten[Rank Verteilung Abholzigkeit],0))</f>
        <v>#N/A</v>
      </c>
      <c r="N3055" t="e">
        <f>VLOOKUP(Tabelle9[[#This Row],[Rank]],Stammdaten[[Rank Verteilung Abholzigkeit]:[Verteilung Abholzigkeit]],2,FALSE)</f>
        <v>#N/A</v>
      </c>
      <c r="S3055">
        <v>3046</v>
      </c>
      <c r="T3055" t="e">
        <f>INDEX(Stammdaten[Krümmung (mm/lfm)],MATCH(Tabelle10[[#This Row],[Rank]],Stammdaten[Rank Verteilung Krümmung],0))</f>
        <v>#N/A</v>
      </c>
      <c r="U3055" t="e">
        <f>VLOOKUP(Tabelle10[[#This Row],[Rank]],Stammdaten[[Rank Verteilung Krümmung]:[Verteilung Krümmung]],2,FALSE)</f>
        <v>#N/A</v>
      </c>
      <c r="Z3055">
        <v>3046</v>
      </c>
      <c r="AA3055" t="e">
        <f>INDEX(Stammdaten[Ovalität (']0,1'])],MATCH(Tabelle1014[[#This Row],[Rank]],Stammdaten[Rank Verteilung Ovalität],0))</f>
        <v>#N/A</v>
      </c>
      <c r="AB3055" t="e">
        <f>VLOOKUP(Tabelle1014[[#This Row],[Rank]],Stammdaten[[Rank Verteilung Ovalität]:[Verteilung Ovalität]],2,FALSE)</f>
        <v>#N/A</v>
      </c>
    </row>
    <row r="3056" spans="5:28" x14ac:dyDescent="0.35">
      <c r="E3056">
        <v>3047</v>
      </c>
      <c r="F3056" t="e">
        <f>INDEX(Stammdaten[D Mitte mit Rinde (mm)],MATCH(Tabelle8[[#This Row],[Rank]],Stammdaten[Rank Verteilung D Mitte mit Rinde],0))</f>
        <v>#N/A</v>
      </c>
      <c r="G3056" t="e">
        <f>VLOOKUP(Tabelle8[[#This Row],[Rank]],Stammdaten[[Rank Verteilung D Mitte mit Rinde]:[Verteilung D Mitte mit Rinde]],2,FALSE)</f>
        <v>#N/A</v>
      </c>
      <c r="L3056">
        <v>3047</v>
      </c>
      <c r="M3056" t="e">
        <f>INDEX(Stammdaten[Abholzigkeit (mm/lfm)],MATCH(Tabelle9[[#This Row],[Rank]],Stammdaten[Rank Verteilung Abholzigkeit],0))</f>
        <v>#N/A</v>
      </c>
      <c r="N3056" t="e">
        <f>VLOOKUP(Tabelle9[[#This Row],[Rank]],Stammdaten[[Rank Verteilung Abholzigkeit]:[Verteilung Abholzigkeit]],2,FALSE)</f>
        <v>#N/A</v>
      </c>
      <c r="S3056">
        <v>3047</v>
      </c>
      <c r="T3056" t="e">
        <f>INDEX(Stammdaten[Krümmung (mm/lfm)],MATCH(Tabelle10[[#This Row],[Rank]],Stammdaten[Rank Verteilung Krümmung],0))</f>
        <v>#N/A</v>
      </c>
      <c r="U3056" t="e">
        <f>VLOOKUP(Tabelle10[[#This Row],[Rank]],Stammdaten[[Rank Verteilung Krümmung]:[Verteilung Krümmung]],2,FALSE)</f>
        <v>#N/A</v>
      </c>
      <c r="Z3056">
        <v>3047</v>
      </c>
      <c r="AA3056" t="e">
        <f>INDEX(Stammdaten[Ovalität (']0,1'])],MATCH(Tabelle1014[[#This Row],[Rank]],Stammdaten[Rank Verteilung Ovalität],0))</f>
        <v>#N/A</v>
      </c>
      <c r="AB3056" t="e">
        <f>VLOOKUP(Tabelle1014[[#This Row],[Rank]],Stammdaten[[Rank Verteilung Ovalität]:[Verteilung Ovalität]],2,FALSE)</f>
        <v>#N/A</v>
      </c>
    </row>
    <row r="3057" spans="5:28" x14ac:dyDescent="0.35">
      <c r="E3057">
        <v>3048</v>
      </c>
      <c r="F3057" t="e">
        <f>INDEX(Stammdaten[D Mitte mit Rinde (mm)],MATCH(Tabelle8[[#This Row],[Rank]],Stammdaten[Rank Verteilung D Mitte mit Rinde],0))</f>
        <v>#N/A</v>
      </c>
      <c r="G3057" t="e">
        <f>VLOOKUP(Tabelle8[[#This Row],[Rank]],Stammdaten[[Rank Verteilung D Mitte mit Rinde]:[Verteilung D Mitte mit Rinde]],2,FALSE)</f>
        <v>#N/A</v>
      </c>
      <c r="L3057">
        <v>3048</v>
      </c>
      <c r="M3057" t="e">
        <f>INDEX(Stammdaten[Abholzigkeit (mm/lfm)],MATCH(Tabelle9[[#This Row],[Rank]],Stammdaten[Rank Verteilung Abholzigkeit],0))</f>
        <v>#N/A</v>
      </c>
      <c r="N3057" t="e">
        <f>VLOOKUP(Tabelle9[[#This Row],[Rank]],Stammdaten[[Rank Verteilung Abholzigkeit]:[Verteilung Abholzigkeit]],2,FALSE)</f>
        <v>#N/A</v>
      </c>
      <c r="S3057">
        <v>3048</v>
      </c>
      <c r="T3057" t="e">
        <f>INDEX(Stammdaten[Krümmung (mm/lfm)],MATCH(Tabelle10[[#This Row],[Rank]],Stammdaten[Rank Verteilung Krümmung],0))</f>
        <v>#N/A</v>
      </c>
      <c r="U3057" t="e">
        <f>VLOOKUP(Tabelle10[[#This Row],[Rank]],Stammdaten[[Rank Verteilung Krümmung]:[Verteilung Krümmung]],2,FALSE)</f>
        <v>#N/A</v>
      </c>
      <c r="Z3057">
        <v>3048</v>
      </c>
      <c r="AA3057" t="e">
        <f>INDEX(Stammdaten[Ovalität (']0,1'])],MATCH(Tabelle1014[[#This Row],[Rank]],Stammdaten[Rank Verteilung Ovalität],0))</f>
        <v>#N/A</v>
      </c>
      <c r="AB3057" t="e">
        <f>VLOOKUP(Tabelle1014[[#This Row],[Rank]],Stammdaten[[Rank Verteilung Ovalität]:[Verteilung Ovalität]],2,FALSE)</f>
        <v>#N/A</v>
      </c>
    </row>
    <row r="3058" spans="5:28" x14ac:dyDescent="0.35">
      <c r="E3058">
        <v>3049</v>
      </c>
      <c r="F3058" t="e">
        <f>INDEX(Stammdaten[D Mitte mit Rinde (mm)],MATCH(Tabelle8[[#This Row],[Rank]],Stammdaten[Rank Verteilung D Mitte mit Rinde],0))</f>
        <v>#N/A</v>
      </c>
      <c r="G3058" t="e">
        <f>VLOOKUP(Tabelle8[[#This Row],[Rank]],Stammdaten[[Rank Verteilung D Mitte mit Rinde]:[Verteilung D Mitte mit Rinde]],2,FALSE)</f>
        <v>#N/A</v>
      </c>
      <c r="L3058">
        <v>3049</v>
      </c>
      <c r="M3058" t="e">
        <f>INDEX(Stammdaten[Abholzigkeit (mm/lfm)],MATCH(Tabelle9[[#This Row],[Rank]],Stammdaten[Rank Verteilung Abholzigkeit],0))</f>
        <v>#N/A</v>
      </c>
      <c r="N3058" t="e">
        <f>VLOOKUP(Tabelle9[[#This Row],[Rank]],Stammdaten[[Rank Verteilung Abholzigkeit]:[Verteilung Abholzigkeit]],2,FALSE)</f>
        <v>#N/A</v>
      </c>
      <c r="S3058">
        <v>3049</v>
      </c>
      <c r="T3058" t="e">
        <f>INDEX(Stammdaten[Krümmung (mm/lfm)],MATCH(Tabelle10[[#This Row],[Rank]],Stammdaten[Rank Verteilung Krümmung],0))</f>
        <v>#N/A</v>
      </c>
      <c r="U3058" t="e">
        <f>VLOOKUP(Tabelle10[[#This Row],[Rank]],Stammdaten[[Rank Verteilung Krümmung]:[Verteilung Krümmung]],2,FALSE)</f>
        <v>#N/A</v>
      </c>
      <c r="Z3058">
        <v>3049</v>
      </c>
      <c r="AA3058" t="e">
        <f>INDEX(Stammdaten[Ovalität (']0,1'])],MATCH(Tabelle1014[[#This Row],[Rank]],Stammdaten[Rank Verteilung Ovalität],0))</f>
        <v>#N/A</v>
      </c>
      <c r="AB3058" t="e">
        <f>VLOOKUP(Tabelle1014[[#This Row],[Rank]],Stammdaten[[Rank Verteilung Ovalität]:[Verteilung Ovalität]],2,FALSE)</f>
        <v>#N/A</v>
      </c>
    </row>
    <row r="3059" spans="5:28" x14ac:dyDescent="0.35">
      <c r="E3059">
        <v>3050</v>
      </c>
      <c r="F3059" t="e">
        <f>INDEX(Stammdaten[D Mitte mit Rinde (mm)],MATCH(Tabelle8[[#This Row],[Rank]],Stammdaten[Rank Verteilung D Mitte mit Rinde],0))</f>
        <v>#N/A</v>
      </c>
      <c r="G3059" t="e">
        <f>VLOOKUP(Tabelle8[[#This Row],[Rank]],Stammdaten[[Rank Verteilung D Mitte mit Rinde]:[Verteilung D Mitte mit Rinde]],2,FALSE)</f>
        <v>#N/A</v>
      </c>
      <c r="L3059">
        <v>3050</v>
      </c>
      <c r="M3059" t="e">
        <f>INDEX(Stammdaten[Abholzigkeit (mm/lfm)],MATCH(Tabelle9[[#This Row],[Rank]],Stammdaten[Rank Verteilung Abholzigkeit],0))</f>
        <v>#N/A</v>
      </c>
      <c r="N3059" t="e">
        <f>VLOOKUP(Tabelle9[[#This Row],[Rank]],Stammdaten[[Rank Verteilung Abholzigkeit]:[Verteilung Abholzigkeit]],2,FALSE)</f>
        <v>#N/A</v>
      </c>
      <c r="S3059">
        <v>3050</v>
      </c>
      <c r="T3059" t="e">
        <f>INDEX(Stammdaten[Krümmung (mm/lfm)],MATCH(Tabelle10[[#This Row],[Rank]],Stammdaten[Rank Verteilung Krümmung],0))</f>
        <v>#N/A</v>
      </c>
      <c r="U3059" t="e">
        <f>VLOOKUP(Tabelle10[[#This Row],[Rank]],Stammdaten[[Rank Verteilung Krümmung]:[Verteilung Krümmung]],2,FALSE)</f>
        <v>#N/A</v>
      </c>
      <c r="Z3059">
        <v>3050</v>
      </c>
      <c r="AA3059" t="e">
        <f>INDEX(Stammdaten[Ovalität (']0,1'])],MATCH(Tabelle1014[[#This Row],[Rank]],Stammdaten[Rank Verteilung Ovalität],0))</f>
        <v>#N/A</v>
      </c>
      <c r="AB3059" t="e">
        <f>VLOOKUP(Tabelle1014[[#This Row],[Rank]],Stammdaten[[Rank Verteilung Ovalität]:[Verteilung Ovalität]],2,FALSE)</f>
        <v>#N/A</v>
      </c>
    </row>
    <row r="3060" spans="5:28" x14ac:dyDescent="0.35">
      <c r="E3060">
        <v>3051</v>
      </c>
      <c r="F3060" t="e">
        <f>INDEX(Stammdaten[D Mitte mit Rinde (mm)],MATCH(Tabelle8[[#This Row],[Rank]],Stammdaten[Rank Verteilung D Mitte mit Rinde],0))</f>
        <v>#N/A</v>
      </c>
      <c r="G3060" t="e">
        <f>VLOOKUP(Tabelle8[[#This Row],[Rank]],Stammdaten[[Rank Verteilung D Mitte mit Rinde]:[Verteilung D Mitte mit Rinde]],2,FALSE)</f>
        <v>#N/A</v>
      </c>
      <c r="L3060">
        <v>3051</v>
      </c>
      <c r="M3060" t="e">
        <f>INDEX(Stammdaten[Abholzigkeit (mm/lfm)],MATCH(Tabelle9[[#This Row],[Rank]],Stammdaten[Rank Verteilung Abholzigkeit],0))</f>
        <v>#N/A</v>
      </c>
      <c r="N3060" t="e">
        <f>VLOOKUP(Tabelle9[[#This Row],[Rank]],Stammdaten[[Rank Verteilung Abholzigkeit]:[Verteilung Abholzigkeit]],2,FALSE)</f>
        <v>#N/A</v>
      </c>
      <c r="S3060">
        <v>3051</v>
      </c>
      <c r="T3060" t="e">
        <f>INDEX(Stammdaten[Krümmung (mm/lfm)],MATCH(Tabelle10[[#This Row],[Rank]],Stammdaten[Rank Verteilung Krümmung],0))</f>
        <v>#N/A</v>
      </c>
      <c r="U3060" t="e">
        <f>VLOOKUP(Tabelle10[[#This Row],[Rank]],Stammdaten[[Rank Verteilung Krümmung]:[Verteilung Krümmung]],2,FALSE)</f>
        <v>#N/A</v>
      </c>
      <c r="Z3060">
        <v>3051</v>
      </c>
      <c r="AA3060" t="e">
        <f>INDEX(Stammdaten[Ovalität (']0,1'])],MATCH(Tabelle1014[[#This Row],[Rank]],Stammdaten[Rank Verteilung Ovalität],0))</f>
        <v>#N/A</v>
      </c>
      <c r="AB3060" t="e">
        <f>VLOOKUP(Tabelle1014[[#This Row],[Rank]],Stammdaten[[Rank Verteilung Ovalität]:[Verteilung Ovalität]],2,FALSE)</f>
        <v>#N/A</v>
      </c>
    </row>
    <row r="3061" spans="5:28" x14ac:dyDescent="0.35">
      <c r="E3061">
        <v>3052</v>
      </c>
      <c r="F3061" t="e">
        <f>INDEX(Stammdaten[D Mitte mit Rinde (mm)],MATCH(Tabelle8[[#This Row],[Rank]],Stammdaten[Rank Verteilung D Mitte mit Rinde],0))</f>
        <v>#N/A</v>
      </c>
      <c r="G3061" t="e">
        <f>VLOOKUP(Tabelle8[[#This Row],[Rank]],Stammdaten[[Rank Verteilung D Mitte mit Rinde]:[Verteilung D Mitte mit Rinde]],2,FALSE)</f>
        <v>#N/A</v>
      </c>
      <c r="L3061">
        <v>3052</v>
      </c>
      <c r="M3061" t="e">
        <f>INDEX(Stammdaten[Abholzigkeit (mm/lfm)],MATCH(Tabelle9[[#This Row],[Rank]],Stammdaten[Rank Verteilung Abholzigkeit],0))</f>
        <v>#N/A</v>
      </c>
      <c r="N3061" t="e">
        <f>VLOOKUP(Tabelle9[[#This Row],[Rank]],Stammdaten[[Rank Verteilung Abholzigkeit]:[Verteilung Abholzigkeit]],2,FALSE)</f>
        <v>#N/A</v>
      </c>
      <c r="S3061">
        <v>3052</v>
      </c>
      <c r="T3061" t="e">
        <f>INDEX(Stammdaten[Krümmung (mm/lfm)],MATCH(Tabelle10[[#This Row],[Rank]],Stammdaten[Rank Verteilung Krümmung],0))</f>
        <v>#N/A</v>
      </c>
      <c r="U3061" t="e">
        <f>VLOOKUP(Tabelle10[[#This Row],[Rank]],Stammdaten[[Rank Verteilung Krümmung]:[Verteilung Krümmung]],2,FALSE)</f>
        <v>#N/A</v>
      </c>
      <c r="Z3061">
        <v>3052</v>
      </c>
      <c r="AA3061" t="e">
        <f>INDEX(Stammdaten[Ovalität (']0,1'])],MATCH(Tabelle1014[[#This Row],[Rank]],Stammdaten[Rank Verteilung Ovalität],0))</f>
        <v>#N/A</v>
      </c>
      <c r="AB3061" t="e">
        <f>VLOOKUP(Tabelle1014[[#This Row],[Rank]],Stammdaten[[Rank Verteilung Ovalität]:[Verteilung Ovalität]],2,FALSE)</f>
        <v>#N/A</v>
      </c>
    </row>
    <row r="3062" spans="5:28" x14ac:dyDescent="0.35">
      <c r="E3062">
        <v>3053</v>
      </c>
      <c r="F3062" t="e">
        <f>INDEX(Stammdaten[D Mitte mit Rinde (mm)],MATCH(Tabelle8[[#This Row],[Rank]],Stammdaten[Rank Verteilung D Mitte mit Rinde],0))</f>
        <v>#N/A</v>
      </c>
      <c r="G3062" t="e">
        <f>VLOOKUP(Tabelle8[[#This Row],[Rank]],Stammdaten[[Rank Verteilung D Mitte mit Rinde]:[Verteilung D Mitte mit Rinde]],2,FALSE)</f>
        <v>#N/A</v>
      </c>
      <c r="L3062">
        <v>3053</v>
      </c>
      <c r="M3062" t="e">
        <f>INDEX(Stammdaten[Abholzigkeit (mm/lfm)],MATCH(Tabelle9[[#This Row],[Rank]],Stammdaten[Rank Verteilung Abholzigkeit],0))</f>
        <v>#N/A</v>
      </c>
      <c r="N3062" t="e">
        <f>VLOOKUP(Tabelle9[[#This Row],[Rank]],Stammdaten[[Rank Verteilung Abholzigkeit]:[Verteilung Abholzigkeit]],2,FALSE)</f>
        <v>#N/A</v>
      </c>
      <c r="S3062">
        <v>3053</v>
      </c>
      <c r="T3062" t="e">
        <f>INDEX(Stammdaten[Krümmung (mm/lfm)],MATCH(Tabelle10[[#This Row],[Rank]],Stammdaten[Rank Verteilung Krümmung],0))</f>
        <v>#N/A</v>
      </c>
      <c r="U3062" t="e">
        <f>VLOOKUP(Tabelle10[[#This Row],[Rank]],Stammdaten[[Rank Verteilung Krümmung]:[Verteilung Krümmung]],2,FALSE)</f>
        <v>#N/A</v>
      </c>
      <c r="Z3062">
        <v>3053</v>
      </c>
      <c r="AA3062" t="e">
        <f>INDEX(Stammdaten[Ovalität (']0,1'])],MATCH(Tabelle1014[[#This Row],[Rank]],Stammdaten[Rank Verteilung Ovalität],0))</f>
        <v>#N/A</v>
      </c>
      <c r="AB3062" t="e">
        <f>VLOOKUP(Tabelle1014[[#This Row],[Rank]],Stammdaten[[Rank Verteilung Ovalität]:[Verteilung Ovalität]],2,FALSE)</f>
        <v>#N/A</v>
      </c>
    </row>
    <row r="3063" spans="5:28" x14ac:dyDescent="0.35">
      <c r="E3063">
        <v>3054</v>
      </c>
      <c r="F3063" t="e">
        <f>INDEX(Stammdaten[D Mitte mit Rinde (mm)],MATCH(Tabelle8[[#This Row],[Rank]],Stammdaten[Rank Verteilung D Mitte mit Rinde],0))</f>
        <v>#N/A</v>
      </c>
      <c r="G3063" t="e">
        <f>VLOOKUP(Tabelle8[[#This Row],[Rank]],Stammdaten[[Rank Verteilung D Mitte mit Rinde]:[Verteilung D Mitte mit Rinde]],2,FALSE)</f>
        <v>#N/A</v>
      </c>
      <c r="L3063">
        <v>3054</v>
      </c>
      <c r="M3063" t="e">
        <f>INDEX(Stammdaten[Abholzigkeit (mm/lfm)],MATCH(Tabelle9[[#This Row],[Rank]],Stammdaten[Rank Verteilung Abholzigkeit],0))</f>
        <v>#N/A</v>
      </c>
      <c r="N3063" t="e">
        <f>VLOOKUP(Tabelle9[[#This Row],[Rank]],Stammdaten[[Rank Verteilung Abholzigkeit]:[Verteilung Abholzigkeit]],2,FALSE)</f>
        <v>#N/A</v>
      </c>
      <c r="S3063">
        <v>3054</v>
      </c>
      <c r="T3063" t="e">
        <f>INDEX(Stammdaten[Krümmung (mm/lfm)],MATCH(Tabelle10[[#This Row],[Rank]],Stammdaten[Rank Verteilung Krümmung],0))</f>
        <v>#N/A</v>
      </c>
      <c r="U3063" t="e">
        <f>VLOOKUP(Tabelle10[[#This Row],[Rank]],Stammdaten[[Rank Verteilung Krümmung]:[Verteilung Krümmung]],2,FALSE)</f>
        <v>#N/A</v>
      </c>
      <c r="Z3063">
        <v>3054</v>
      </c>
      <c r="AA3063" t="e">
        <f>INDEX(Stammdaten[Ovalität (']0,1'])],MATCH(Tabelle1014[[#This Row],[Rank]],Stammdaten[Rank Verteilung Ovalität],0))</f>
        <v>#N/A</v>
      </c>
      <c r="AB3063" t="e">
        <f>VLOOKUP(Tabelle1014[[#This Row],[Rank]],Stammdaten[[Rank Verteilung Ovalität]:[Verteilung Ovalität]],2,FALSE)</f>
        <v>#N/A</v>
      </c>
    </row>
    <row r="3064" spans="5:28" x14ac:dyDescent="0.35">
      <c r="E3064">
        <v>3055</v>
      </c>
      <c r="F3064" t="e">
        <f>INDEX(Stammdaten[D Mitte mit Rinde (mm)],MATCH(Tabelle8[[#This Row],[Rank]],Stammdaten[Rank Verteilung D Mitte mit Rinde],0))</f>
        <v>#N/A</v>
      </c>
      <c r="G3064" t="e">
        <f>VLOOKUP(Tabelle8[[#This Row],[Rank]],Stammdaten[[Rank Verteilung D Mitte mit Rinde]:[Verteilung D Mitte mit Rinde]],2,FALSE)</f>
        <v>#N/A</v>
      </c>
      <c r="L3064">
        <v>3055</v>
      </c>
      <c r="M3064" t="e">
        <f>INDEX(Stammdaten[Abholzigkeit (mm/lfm)],MATCH(Tabelle9[[#This Row],[Rank]],Stammdaten[Rank Verteilung Abholzigkeit],0))</f>
        <v>#N/A</v>
      </c>
      <c r="N3064" t="e">
        <f>VLOOKUP(Tabelle9[[#This Row],[Rank]],Stammdaten[[Rank Verteilung Abholzigkeit]:[Verteilung Abholzigkeit]],2,FALSE)</f>
        <v>#N/A</v>
      </c>
      <c r="S3064">
        <v>3055</v>
      </c>
      <c r="T3064" t="e">
        <f>INDEX(Stammdaten[Krümmung (mm/lfm)],MATCH(Tabelle10[[#This Row],[Rank]],Stammdaten[Rank Verteilung Krümmung],0))</f>
        <v>#N/A</v>
      </c>
      <c r="U3064" t="e">
        <f>VLOOKUP(Tabelle10[[#This Row],[Rank]],Stammdaten[[Rank Verteilung Krümmung]:[Verteilung Krümmung]],2,FALSE)</f>
        <v>#N/A</v>
      </c>
      <c r="Z3064">
        <v>3055</v>
      </c>
      <c r="AA3064" t="e">
        <f>INDEX(Stammdaten[Ovalität (']0,1'])],MATCH(Tabelle1014[[#This Row],[Rank]],Stammdaten[Rank Verteilung Ovalität],0))</f>
        <v>#N/A</v>
      </c>
      <c r="AB3064" t="e">
        <f>VLOOKUP(Tabelle1014[[#This Row],[Rank]],Stammdaten[[Rank Verteilung Ovalität]:[Verteilung Ovalität]],2,FALSE)</f>
        <v>#N/A</v>
      </c>
    </row>
    <row r="3065" spans="5:28" x14ac:dyDescent="0.35">
      <c r="E3065">
        <v>3056</v>
      </c>
      <c r="F3065" t="e">
        <f>INDEX(Stammdaten[D Mitte mit Rinde (mm)],MATCH(Tabelle8[[#This Row],[Rank]],Stammdaten[Rank Verteilung D Mitte mit Rinde],0))</f>
        <v>#N/A</v>
      </c>
      <c r="G3065" t="e">
        <f>VLOOKUP(Tabelle8[[#This Row],[Rank]],Stammdaten[[Rank Verteilung D Mitte mit Rinde]:[Verteilung D Mitte mit Rinde]],2,FALSE)</f>
        <v>#N/A</v>
      </c>
      <c r="L3065">
        <v>3056</v>
      </c>
      <c r="M3065" t="e">
        <f>INDEX(Stammdaten[Abholzigkeit (mm/lfm)],MATCH(Tabelle9[[#This Row],[Rank]],Stammdaten[Rank Verteilung Abholzigkeit],0))</f>
        <v>#N/A</v>
      </c>
      <c r="N3065" t="e">
        <f>VLOOKUP(Tabelle9[[#This Row],[Rank]],Stammdaten[[Rank Verteilung Abholzigkeit]:[Verteilung Abholzigkeit]],2,FALSE)</f>
        <v>#N/A</v>
      </c>
      <c r="S3065">
        <v>3056</v>
      </c>
      <c r="T3065" t="e">
        <f>INDEX(Stammdaten[Krümmung (mm/lfm)],MATCH(Tabelle10[[#This Row],[Rank]],Stammdaten[Rank Verteilung Krümmung],0))</f>
        <v>#N/A</v>
      </c>
      <c r="U3065" t="e">
        <f>VLOOKUP(Tabelle10[[#This Row],[Rank]],Stammdaten[[Rank Verteilung Krümmung]:[Verteilung Krümmung]],2,FALSE)</f>
        <v>#N/A</v>
      </c>
      <c r="Z3065">
        <v>3056</v>
      </c>
      <c r="AA3065" t="e">
        <f>INDEX(Stammdaten[Ovalität (']0,1'])],MATCH(Tabelle1014[[#This Row],[Rank]],Stammdaten[Rank Verteilung Ovalität],0))</f>
        <v>#N/A</v>
      </c>
      <c r="AB3065" t="e">
        <f>VLOOKUP(Tabelle1014[[#This Row],[Rank]],Stammdaten[[Rank Verteilung Ovalität]:[Verteilung Ovalität]],2,FALSE)</f>
        <v>#N/A</v>
      </c>
    </row>
    <row r="3066" spans="5:28" x14ac:dyDescent="0.35">
      <c r="E3066">
        <v>3057</v>
      </c>
      <c r="F3066" t="e">
        <f>INDEX(Stammdaten[D Mitte mit Rinde (mm)],MATCH(Tabelle8[[#This Row],[Rank]],Stammdaten[Rank Verteilung D Mitte mit Rinde],0))</f>
        <v>#N/A</v>
      </c>
      <c r="G3066" t="e">
        <f>VLOOKUP(Tabelle8[[#This Row],[Rank]],Stammdaten[[Rank Verteilung D Mitte mit Rinde]:[Verteilung D Mitte mit Rinde]],2,FALSE)</f>
        <v>#N/A</v>
      </c>
      <c r="L3066">
        <v>3057</v>
      </c>
      <c r="M3066" t="e">
        <f>INDEX(Stammdaten[Abholzigkeit (mm/lfm)],MATCH(Tabelle9[[#This Row],[Rank]],Stammdaten[Rank Verteilung Abholzigkeit],0))</f>
        <v>#N/A</v>
      </c>
      <c r="N3066" t="e">
        <f>VLOOKUP(Tabelle9[[#This Row],[Rank]],Stammdaten[[Rank Verteilung Abholzigkeit]:[Verteilung Abholzigkeit]],2,FALSE)</f>
        <v>#N/A</v>
      </c>
      <c r="S3066">
        <v>3057</v>
      </c>
      <c r="T3066" t="e">
        <f>INDEX(Stammdaten[Krümmung (mm/lfm)],MATCH(Tabelle10[[#This Row],[Rank]],Stammdaten[Rank Verteilung Krümmung],0))</f>
        <v>#N/A</v>
      </c>
      <c r="U3066" t="e">
        <f>VLOOKUP(Tabelle10[[#This Row],[Rank]],Stammdaten[[Rank Verteilung Krümmung]:[Verteilung Krümmung]],2,FALSE)</f>
        <v>#N/A</v>
      </c>
      <c r="Z3066">
        <v>3057</v>
      </c>
      <c r="AA3066" t="e">
        <f>INDEX(Stammdaten[Ovalität (']0,1'])],MATCH(Tabelle1014[[#This Row],[Rank]],Stammdaten[Rank Verteilung Ovalität],0))</f>
        <v>#N/A</v>
      </c>
      <c r="AB3066" t="e">
        <f>VLOOKUP(Tabelle1014[[#This Row],[Rank]],Stammdaten[[Rank Verteilung Ovalität]:[Verteilung Ovalität]],2,FALSE)</f>
        <v>#N/A</v>
      </c>
    </row>
    <row r="3067" spans="5:28" x14ac:dyDescent="0.35">
      <c r="E3067">
        <v>3058</v>
      </c>
      <c r="F3067" t="e">
        <f>INDEX(Stammdaten[D Mitte mit Rinde (mm)],MATCH(Tabelle8[[#This Row],[Rank]],Stammdaten[Rank Verteilung D Mitte mit Rinde],0))</f>
        <v>#N/A</v>
      </c>
      <c r="G3067" t="e">
        <f>VLOOKUP(Tabelle8[[#This Row],[Rank]],Stammdaten[[Rank Verteilung D Mitte mit Rinde]:[Verteilung D Mitte mit Rinde]],2,FALSE)</f>
        <v>#N/A</v>
      </c>
      <c r="L3067">
        <v>3058</v>
      </c>
      <c r="M3067" t="e">
        <f>INDEX(Stammdaten[Abholzigkeit (mm/lfm)],MATCH(Tabelle9[[#This Row],[Rank]],Stammdaten[Rank Verteilung Abholzigkeit],0))</f>
        <v>#N/A</v>
      </c>
      <c r="N3067" t="e">
        <f>VLOOKUP(Tabelle9[[#This Row],[Rank]],Stammdaten[[Rank Verteilung Abholzigkeit]:[Verteilung Abholzigkeit]],2,FALSE)</f>
        <v>#N/A</v>
      </c>
      <c r="S3067">
        <v>3058</v>
      </c>
      <c r="T3067" t="e">
        <f>INDEX(Stammdaten[Krümmung (mm/lfm)],MATCH(Tabelle10[[#This Row],[Rank]],Stammdaten[Rank Verteilung Krümmung],0))</f>
        <v>#N/A</v>
      </c>
      <c r="U3067" t="e">
        <f>VLOOKUP(Tabelle10[[#This Row],[Rank]],Stammdaten[[Rank Verteilung Krümmung]:[Verteilung Krümmung]],2,FALSE)</f>
        <v>#N/A</v>
      </c>
      <c r="Z3067">
        <v>3058</v>
      </c>
      <c r="AA3067" t="e">
        <f>INDEX(Stammdaten[Ovalität (']0,1'])],MATCH(Tabelle1014[[#This Row],[Rank]],Stammdaten[Rank Verteilung Ovalität],0))</f>
        <v>#N/A</v>
      </c>
      <c r="AB3067" t="e">
        <f>VLOOKUP(Tabelle1014[[#This Row],[Rank]],Stammdaten[[Rank Verteilung Ovalität]:[Verteilung Ovalität]],2,FALSE)</f>
        <v>#N/A</v>
      </c>
    </row>
    <row r="3068" spans="5:28" x14ac:dyDescent="0.35">
      <c r="E3068">
        <v>3059</v>
      </c>
      <c r="F3068" t="e">
        <f>INDEX(Stammdaten[D Mitte mit Rinde (mm)],MATCH(Tabelle8[[#This Row],[Rank]],Stammdaten[Rank Verteilung D Mitte mit Rinde],0))</f>
        <v>#N/A</v>
      </c>
      <c r="G3068" t="e">
        <f>VLOOKUP(Tabelle8[[#This Row],[Rank]],Stammdaten[[Rank Verteilung D Mitte mit Rinde]:[Verteilung D Mitte mit Rinde]],2,FALSE)</f>
        <v>#N/A</v>
      </c>
      <c r="L3068">
        <v>3059</v>
      </c>
      <c r="M3068" t="e">
        <f>INDEX(Stammdaten[Abholzigkeit (mm/lfm)],MATCH(Tabelle9[[#This Row],[Rank]],Stammdaten[Rank Verteilung Abholzigkeit],0))</f>
        <v>#N/A</v>
      </c>
      <c r="N3068" t="e">
        <f>VLOOKUP(Tabelle9[[#This Row],[Rank]],Stammdaten[[Rank Verteilung Abholzigkeit]:[Verteilung Abholzigkeit]],2,FALSE)</f>
        <v>#N/A</v>
      </c>
      <c r="S3068">
        <v>3059</v>
      </c>
      <c r="T3068" t="e">
        <f>INDEX(Stammdaten[Krümmung (mm/lfm)],MATCH(Tabelle10[[#This Row],[Rank]],Stammdaten[Rank Verteilung Krümmung],0))</f>
        <v>#N/A</v>
      </c>
      <c r="U3068" t="e">
        <f>VLOOKUP(Tabelle10[[#This Row],[Rank]],Stammdaten[[Rank Verteilung Krümmung]:[Verteilung Krümmung]],2,FALSE)</f>
        <v>#N/A</v>
      </c>
      <c r="Z3068">
        <v>3059</v>
      </c>
      <c r="AA3068" t="e">
        <f>INDEX(Stammdaten[Ovalität (']0,1'])],MATCH(Tabelle1014[[#This Row],[Rank]],Stammdaten[Rank Verteilung Ovalität],0))</f>
        <v>#N/A</v>
      </c>
      <c r="AB3068" t="e">
        <f>VLOOKUP(Tabelle1014[[#This Row],[Rank]],Stammdaten[[Rank Verteilung Ovalität]:[Verteilung Ovalität]],2,FALSE)</f>
        <v>#N/A</v>
      </c>
    </row>
    <row r="3069" spans="5:28" x14ac:dyDescent="0.35">
      <c r="E3069">
        <v>3060</v>
      </c>
      <c r="F3069" t="e">
        <f>INDEX(Stammdaten[D Mitte mit Rinde (mm)],MATCH(Tabelle8[[#This Row],[Rank]],Stammdaten[Rank Verteilung D Mitte mit Rinde],0))</f>
        <v>#N/A</v>
      </c>
      <c r="G3069" t="e">
        <f>VLOOKUP(Tabelle8[[#This Row],[Rank]],Stammdaten[[Rank Verteilung D Mitte mit Rinde]:[Verteilung D Mitte mit Rinde]],2,FALSE)</f>
        <v>#N/A</v>
      </c>
      <c r="L3069">
        <v>3060</v>
      </c>
      <c r="M3069" t="e">
        <f>INDEX(Stammdaten[Abholzigkeit (mm/lfm)],MATCH(Tabelle9[[#This Row],[Rank]],Stammdaten[Rank Verteilung Abholzigkeit],0))</f>
        <v>#N/A</v>
      </c>
      <c r="N3069" t="e">
        <f>VLOOKUP(Tabelle9[[#This Row],[Rank]],Stammdaten[[Rank Verteilung Abholzigkeit]:[Verteilung Abholzigkeit]],2,FALSE)</f>
        <v>#N/A</v>
      </c>
      <c r="S3069">
        <v>3060</v>
      </c>
      <c r="T3069" t="e">
        <f>INDEX(Stammdaten[Krümmung (mm/lfm)],MATCH(Tabelle10[[#This Row],[Rank]],Stammdaten[Rank Verteilung Krümmung],0))</f>
        <v>#N/A</v>
      </c>
      <c r="U3069" t="e">
        <f>VLOOKUP(Tabelle10[[#This Row],[Rank]],Stammdaten[[Rank Verteilung Krümmung]:[Verteilung Krümmung]],2,FALSE)</f>
        <v>#N/A</v>
      </c>
      <c r="Z3069">
        <v>3060</v>
      </c>
      <c r="AA3069" t="e">
        <f>INDEX(Stammdaten[Ovalität (']0,1'])],MATCH(Tabelle1014[[#This Row],[Rank]],Stammdaten[Rank Verteilung Ovalität],0))</f>
        <v>#N/A</v>
      </c>
      <c r="AB3069" t="e">
        <f>VLOOKUP(Tabelle1014[[#This Row],[Rank]],Stammdaten[[Rank Verteilung Ovalität]:[Verteilung Ovalität]],2,FALSE)</f>
        <v>#N/A</v>
      </c>
    </row>
    <row r="3070" spans="5:28" x14ac:dyDescent="0.35">
      <c r="E3070">
        <v>3061</v>
      </c>
      <c r="F3070" t="e">
        <f>INDEX(Stammdaten[D Mitte mit Rinde (mm)],MATCH(Tabelle8[[#This Row],[Rank]],Stammdaten[Rank Verteilung D Mitte mit Rinde],0))</f>
        <v>#N/A</v>
      </c>
      <c r="G3070" t="e">
        <f>VLOOKUP(Tabelle8[[#This Row],[Rank]],Stammdaten[[Rank Verteilung D Mitte mit Rinde]:[Verteilung D Mitte mit Rinde]],2,FALSE)</f>
        <v>#N/A</v>
      </c>
      <c r="L3070">
        <v>3061</v>
      </c>
      <c r="M3070" t="e">
        <f>INDEX(Stammdaten[Abholzigkeit (mm/lfm)],MATCH(Tabelle9[[#This Row],[Rank]],Stammdaten[Rank Verteilung Abholzigkeit],0))</f>
        <v>#N/A</v>
      </c>
      <c r="N3070" t="e">
        <f>VLOOKUP(Tabelle9[[#This Row],[Rank]],Stammdaten[[Rank Verteilung Abholzigkeit]:[Verteilung Abholzigkeit]],2,FALSE)</f>
        <v>#N/A</v>
      </c>
      <c r="S3070">
        <v>3061</v>
      </c>
      <c r="T3070" t="e">
        <f>INDEX(Stammdaten[Krümmung (mm/lfm)],MATCH(Tabelle10[[#This Row],[Rank]],Stammdaten[Rank Verteilung Krümmung],0))</f>
        <v>#N/A</v>
      </c>
      <c r="U3070" t="e">
        <f>VLOOKUP(Tabelle10[[#This Row],[Rank]],Stammdaten[[Rank Verteilung Krümmung]:[Verteilung Krümmung]],2,FALSE)</f>
        <v>#N/A</v>
      </c>
      <c r="Z3070">
        <v>3061</v>
      </c>
      <c r="AA3070" t="e">
        <f>INDEX(Stammdaten[Ovalität (']0,1'])],MATCH(Tabelle1014[[#This Row],[Rank]],Stammdaten[Rank Verteilung Ovalität],0))</f>
        <v>#N/A</v>
      </c>
      <c r="AB3070" t="e">
        <f>VLOOKUP(Tabelle1014[[#This Row],[Rank]],Stammdaten[[Rank Verteilung Ovalität]:[Verteilung Ovalität]],2,FALSE)</f>
        <v>#N/A</v>
      </c>
    </row>
    <row r="3071" spans="5:28" x14ac:dyDescent="0.35">
      <c r="E3071">
        <v>3062</v>
      </c>
      <c r="F3071" t="e">
        <f>INDEX(Stammdaten[D Mitte mit Rinde (mm)],MATCH(Tabelle8[[#This Row],[Rank]],Stammdaten[Rank Verteilung D Mitte mit Rinde],0))</f>
        <v>#N/A</v>
      </c>
      <c r="G3071" t="e">
        <f>VLOOKUP(Tabelle8[[#This Row],[Rank]],Stammdaten[[Rank Verteilung D Mitte mit Rinde]:[Verteilung D Mitte mit Rinde]],2,FALSE)</f>
        <v>#N/A</v>
      </c>
      <c r="L3071">
        <v>3062</v>
      </c>
      <c r="M3071" t="e">
        <f>INDEX(Stammdaten[Abholzigkeit (mm/lfm)],MATCH(Tabelle9[[#This Row],[Rank]],Stammdaten[Rank Verteilung Abholzigkeit],0))</f>
        <v>#N/A</v>
      </c>
      <c r="N3071" t="e">
        <f>VLOOKUP(Tabelle9[[#This Row],[Rank]],Stammdaten[[Rank Verteilung Abholzigkeit]:[Verteilung Abholzigkeit]],2,FALSE)</f>
        <v>#N/A</v>
      </c>
      <c r="S3071">
        <v>3062</v>
      </c>
      <c r="T3071" t="e">
        <f>INDEX(Stammdaten[Krümmung (mm/lfm)],MATCH(Tabelle10[[#This Row],[Rank]],Stammdaten[Rank Verteilung Krümmung],0))</f>
        <v>#N/A</v>
      </c>
      <c r="U3071" t="e">
        <f>VLOOKUP(Tabelle10[[#This Row],[Rank]],Stammdaten[[Rank Verteilung Krümmung]:[Verteilung Krümmung]],2,FALSE)</f>
        <v>#N/A</v>
      </c>
      <c r="Z3071">
        <v>3062</v>
      </c>
      <c r="AA3071" t="e">
        <f>INDEX(Stammdaten[Ovalität (']0,1'])],MATCH(Tabelle1014[[#This Row],[Rank]],Stammdaten[Rank Verteilung Ovalität],0))</f>
        <v>#N/A</v>
      </c>
      <c r="AB3071" t="e">
        <f>VLOOKUP(Tabelle1014[[#This Row],[Rank]],Stammdaten[[Rank Verteilung Ovalität]:[Verteilung Ovalität]],2,FALSE)</f>
        <v>#N/A</v>
      </c>
    </row>
    <row r="3072" spans="5:28" x14ac:dyDescent="0.35">
      <c r="E3072">
        <v>3063</v>
      </c>
      <c r="F3072" t="e">
        <f>INDEX(Stammdaten[D Mitte mit Rinde (mm)],MATCH(Tabelle8[[#This Row],[Rank]],Stammdaten[Rank Verteilung D Mitte mit Rinde],0))</f>
        <v>#N/A</v>
      </c>
      <c r="G3072" t="e">
        <f>VLOOKUP(Tabelle8[[#This Row],[Rank]],Stammdaten[[Rank Verteilung D Mitte mit Rinde]:[Verteilung D Mitte mit Rinde]],2,FALSE)</f>
        <v>#N/A</v>
      </c>
      <c r="L3072">
        <v>3063</v>
      </c>
      <c r="M3072" t="e">
        <f>INDEX(Stammdaten[Abholzigkeit (mm/lfm)],MATCH(Tabelle9[[#This Row],[Rank]],Stammdaten[Rank Verteilung Abholzigkeit],0))</f>
        <v>#N/A</v>
      </c>
      <c r="N3072" t="e">
        <f>VLOOKUP(Tabelle9[[#This Row],[Rank]],Stammdaten[[Rank Verteilung Abholzigkeit]:[Verteilung Abholzigkeit]],2,FALSE)</f>
        <v>#N/A</v>
      </c>
      <c r="S3072">
        <v>3063</v>
      </c>
      <c r="T3072" t="e">
        <f>INDEX(Stammdaten[Krümmung (mm/lfm)],MATCH(Tabelle10[[#This Row],[Rank]],Stammdaten[Rank Verteilung Krümmung],0))</f>
        <v>#N/A</v>
      </c>
      <c r="U3072" t="e">
        <f>VLOOKUP(Tabelle10[[#This Row],[Rank]],Stammdaten[[Rank Verteilung Krümmung]:[Verteilung Krümmung]],2,FALSE)</f>
        <v>#N/A</v>
      </c>
      <c r="Z3072">
        <v>3063</v>
      </c>
      <c r="AA3072" t="e">
        <f>INDEX(Stammdaten[Ovalität (']0,1'])],MATCH(Tabelle1014[[#This Row],[Rank]],Stammdaten[Rank Verteilung Ovalität],0))</f>
        <v>#N/A</v>
      </c>
      <c r="AB3072" t="e">
        <f>VLOOKUP(Tabelle1014[[#This Row],[Rank]],Stammdaten[[Rank Verteilung Ovalität]:[Verteilung Ovalität]],2,FALSE)</f>
        <v>#N/A</v>
      </c>
    </row>
    <row r="3073" spans="5:28" x14ac:dyDescent="0.35">
      <c r="E3073">
        <v>3064</v>
      </c>
      <c r="F3073" t="e">
        <f>INDEX(Stammdaten[D Mitte mit Rinde (mm)],MATCH(Tabelle8[[#This Row],[Rank]],Stammdaten[Rank Verteilung D Mitte mit Rinde],0))</f>
        <v>#N/A</v>
      </c>
      <c r="G3073" t="e">
        <f>VLOOKUP(Tabelle8[[#This Row],[Rank]],Stammdaten[[Rank Verteilung D Mitte mit Rinde]:[Verteilung D Mitte mit Rinde]],2,FALSE)</f>
        <v>#N/A</v>
      </c>
      <c r="L3073">
        <v>3064</v>
      </c>
      <c r="M3073" t="e">
        <f>INDEX(Stammdaten[Abholzigkeit (mm/lfm)],MATCH(Tabelle9[[#This Row],[Rank]],Stammdaten[Rank Verteilung Abholzigkeit],0))</f>
        <v>#N/A</v>
      </c>
      <c r="N3073" t="e">
        <f>VLOOKUP(Tabelle9[[#This Row],[Rank]],Stammdaten[[Rank Verteilung Abholzigkeit]:[Verteilung Abholzigkeit]],2,FALSE)</f>
        <v>#N/A</v>
      </c>
      <c r="S3073">
        <v>3064</v>
      </c>
      <c r="T3073" t="e">
        <f>INDEX(Stammdaten[Krümmung (mm/lfm)],MATCH(Tabelle10[[#This Row],[Rank]],Stammdaten[Rank Verteilung Krümmung],0))</f>
        <v>#N/A</v>
      </c>
      <c r="U3073" t="e">
        <f>VLOOKUP(Tabelle10[[#This Row],[Rank]],Stammdaten[[Rank Verteilung Krümmung]:[Verteilung Krümmung]],2,FALSE)</f>
        <v>#N/A</v>
      </c>
      <c r="Z3073">
        <v>3064</v>
      </c>
      <c r="AA3073" t="e">
        <f>INDEX(Stammdaten[Ovalität (']0,1'])],MATCH(Tabelle1014[[#This Row],[Rank]],Stammdaten[Rank Verteilung Ovalität],0))</f>
        <v>#N/A</v>
      </c>
      <c r="AB3073" t="e">
        <f>VLOOKUP(Tabelle1014[[#This Row],[Rank]],Stammdaten[[Rank Verteilung Ovalität]:[Verteilung Ovalität]],2,FALSE)</f>
        <v>#N/A</v>
      </c>
    </row>
    <row r="3074" spans="5:28" x14ac:dyDescent="0.35">
      <c r="E3074">
        <v>3065</v>
      </c>
      <c r="F3074" t="e">
        <f>INDEX(Stammdaten[D Mitte mit Rinde (mm)],MATCH(Tabelle8[[#This Row],[Rank]],Stammdaten[Rank Verteilung D Mitte mit Rinde],0))</f>
        <v>#N/A</v>
      </c>
      <c r="G3074" t="e">
        <f>VLOOKUP(Tabelle8[[#This Row],[Rank]],Stammdaten[[Rank Verteilung D Mitte mit Rinde]:[Verteilung D Mitte mit Rinde]],2,FALSE)</f>
        <v>#N/A</v>
      </c>
      <c r="L3074">
        <v>3065</v>
      </c>
      <c r="M3074" t="e">
        <f>INDEX(Stammdaten[Abholzigkeit (mm/lfm)],MATCH(Tabelle9[[#This Row],[Rank]],Stammdaten[Rank Verteilung Abholzigkeit],0))</f>
        <v>#N/A</v>
      </c>
      <c r="N3074" t="e">
        <f>VLOOKUP(Tabelle9[[#This Row],[Rank]],Stammdaten[[Rank Verteilung Abholzigkeit]:[Verteilung Abholzigkeit]],2,FALSE)</f>
        <v>#N/A</v>
      </c>
      <c r="S3074">
        <v>3065</v>
      </c>
      <c r="T3074" t="e">
        <f>INDEX(Stammdaten[Krümmung (mm/lfm)],MATCH(Tabelle10[[#This Row],[Rank]],Stammdaten[Rank Verteilung Krümmung],0))</f>
        <v>#N/A</v>
      </c>
      <c r="U3074" t="e">
        <f>VLOOKUP(Tabelle10[[#This Row],[Rank]],Stammdaten[[Rank Verteilung Krümmung]:[Verteilung Krümmung]],2,FALSE)</f>
        <v>#N/A</v>
      </c>
      <c r="Z3074">
        <v>3065</v>
      </c>
      <c r="AA3074" t="e">
        <f>INDEX(Stammdaten[Ovalität (']0,1'])],MATCH(Tabelle1014[[#This Row],[Rank]],Stammdaten[Rank Verteilung Ovalität],0))</f>
        <v>#N/A</v>
      </c>
      <c r="AB3074" t="e">
        <f>VLOOKUP(Tabelle1014[[#This Row],[Rank]],Stammdaten[[Rank Verteilung Ovalität]:[Verteilung Ovalität]],2,FALSE)</f>
        <v>#N/A</v>
      </c>
    </row>
    <row r="3075" spans="5:28" x14ac:dyDescent="0.35">
      <c r="E3075">
        <v>3066</v>
      </c>
      <c r="F3075" t="e">
        <f>INDEX(Stammdaten[D Mitte mit Rinde (mm)],MATCH(Tabelle8[[#This Row],[Rank]],Stammdaten[Rank Verteilung D Mitte mit Rinde],0))</f>
        <v>#N/A</v>
      </c>
      <c r="G3075" t="e">
        <f>VLOOKUP(Tabelle8[[#This Row],[Rank]],Stammdaten[[Rank Verteilung D Mitte mit Rinde]:[Verteilung D Mitte mit Rinde]],2,FALSE)</f>
        <v>#N/A</v>
      </c>
      <c r="L3075">
        <v>3066</v>
      </c>
      <c r="M3075" t="e">
        <f>INDEX(Stammdaten[Abholzigkeit (mm/lfm)],MATCH(Tabelle9[[#This Row],[Rank]],Stammdaten[Rank Verteilung Abholzigkeit],0))</f>
        <v>#N/A</v>
      </c>
      <c r="N3075" t="e">
        <f>VLOOKUP(Tabelle9[[#This Row],[Rank]],Stammdaten[[Rank Verteilung Abholzigkeit]:[Verteilung Abholzigkeit]],2,FALSE)</f>
        <v>#N/A</v>
      </c>
      <c r="S3075">
        <v>3066</v>
      </c>
      <c r="T3075" t="e">
        <f>INDEX(Stammdaten[Krümmung (mm/lfm)],MATCH(Tabelle10[[#This Row],[Rank]],Stammdaten[Rank Verteilung Krümmung],0))</f>
        <v>#N/A</v>
      </c>
      <c r="U3075" t="e">
        <f>VLOOKUP(Tabelle10[[#This Row],[Rank]],Stammdaten[[Rank Verteilung Krümmung]:[Verteilung Krümmung]],2,FALSE)</f>
        <v>#N/A</v>
      </c>
      <c r="Z3075">
        <v>3066</v>
      </c>
      <c r="AA3075" t="e">
        <f>INDEX(Stammdaten[Ovalität (']0,1'])],MATCH(Tabelle1014[[#This Row],[Rank]],Stammdaten[Rank Verteilung Ovalität],0))</f>
        <v>#N/A</v>
      </c>
      <c r="AB3075" t="e">
        <f>VLOOKUP(Tabelle1014[[#This Row],[Rank]],Stammdaten[[Rank Verteilung Ovalität]:[Verteilung Ovalität]],2,FALSE)</f>
        <v>#N/A</v>
      </c>
    </row>
    <row r="3076" spans="5:28" x14ac:dyDescent="0.35">
      <c r="E3076">
        <v>3067</v>
      </c>
      <c r="F3076" t="e">
        <f>INDEX(Stammdaten[D Mitte mit Rinde (mm)],MATCH(Tabelle8[[#This Row],[Rank]],Stammdaten[Rank Verteilung D Mitte mit Rinde],0))</f>
        <v>#N/A</v>
      </c>
      <c r="G3076" t="e">
        <f>VLOOKUP(Tabelle8[[#This Row],[Rank]],Stammdaten[[Rank Verteilung D Mitte mit Rinde]:[Verteilung D Mitte mit Rinde]],2,FALSE)</f>
        <v>#N/A</v>
      </c>
      <c r="L3076">
        <v>3067</v>
      </c>
      <c r="M3076" t="e">
        <f>INDEX(Stammdaten[Abholzigkeit (mm/lfm)],MATCH(Tabelle9[[#This Row],[Rank]],Stammdaten[Rank Verteilung Abholzigkeit],0))</f>
        <v>#N/A</v>
      </c>
      <c r="N3076" t="e">
        <f>VLOOKUP(Tabelle9[[#This Row],[Rank]],Stammdaten[[Rank Verteilung Abholzigkeit]:[Verteilung Abholzigkeit]],2,FALSE)</f>
        <v>#N/A</v>
      </c>
      <c r="S3076">
        <v>3067</v>
      </c>
      <c r="T3076" t="e">
        <f>INDEX(Stammdaten[Krümmung (mm/lfm)],MATCH(Tabelle10[[#This Row],[Rank]],Stammdaten[Rank Verteilung Krümmung],0))</f>
        <v>#N/A</v>
      </c>
      <c r="U3076" t="e">
        <f>VLOOKUP(Tabelle10[[#This Row],[Rank]],Stammdaten[[Rank Verteilung Krümmung]:[Verteilung Krümmung]],2,FALSE)</f>
        <v>#N/A</v>
      </c>
      <c r="Z3076">
        <v>3067</v>
      </c>
      <c r="AA3076" t="e">
        <f>INDEX(Stammdaten[Ovalität (']0,1'])],MATCH(Tabelle1014[[#This Row],[Rank]],Stammdaten[Rank Verteilung Ovalität],0))</f>
        <v>#N/A</v>
      </c>
      <c r="AB3076" t="e">
        <f>VLOOKUP(Tabelle1014[[#This Row],[Rank]],Stammdaten[[Rank Verteilung Ovalität]:[Verteilung Ovalität]],2,FALSE)</f>
        <v>#N/A</v>
      </c>
    </row>
    <row r="3077" spans="5:28" x14ac:dyDescent="0.35">
      <c r="E3077">
        <v>3068</v>
      </c>
      <c r="F3077" t="e">
        <f>INDEX(Stammdaten[D Mitte mit Rinde (mm)],MATCH(Tabelle8[[#This Row],[Rank]],Stammdaten[Rank Verteilung D Mitte mit Rinde],0))</f>
        <v>#N/A</v>
      </c>
      <c r="G3077" t="e">
        <f>VLOOKUP(Tabelle8[[#This Row],[Rank]],Stammdaten[[Rank Verteilung D Mitte mit Rinde]:[Verteilung D Mitte mit Rinde]],2,FALSE)</f>
        <v>#N/A</v>
      </c>
      <c r="L3077">
        <v>3068</v>
      </c>
      <c r="M3077" t="e">
        <f>INDEX(Stammdaten[Abholzigkeit (mm/lfm)],MATCH(Tabelle9[[#This Row],[Rank]],Stammdaten[Rank Verteilung Abholzigkeit],0))</f>
        <v>#N/A</v>
      </c>
      <c r="N3077" t="e">
        <f>VLOOKUP(Tabelle9[[#This Row],[Rank]],Stammdaten[[Rank Verteilung Abholzigkeit]:[Verteilung Abholzigkeit]],2,FALSE)</f>
        <v>#N/A</v>
      </c>
      <c r="S3077">
        <v>3068</v>
      </c>
      <c r="T3077" t="e">
        <f>INDEX(Stammdaten[Krümmung (mm/lfm)],MATCH(Tabelle10[[#This Row],[Rank]],Stammdaten[Rank Verteilung Krümmung],0))</f>
        <v>#N/A</v>
      </c>
      <c r="U3077" t="e">
        <f>VLOOKUP(Tabelle10[[#This Row],[Rank]],Stammdaten[[Rank Verteilung Krümmung]:[Verteilung Krümmung]],2,FALSE)</f>
        <v>#N/A</v>
      </c>
      <c r="Z3077">
        <v>3068</v>
      </c>
      <c r="AA3077" t="e">
        <f>INDEX(Stammdaten[Ovalität (']0,1'])],MATCH(Tabelle1014[[#This Row],[Rank]],Stammdaten[Rank Verteilung Ovalität],0))</f>
        <v>#N/A</v>
      </c>
      <c r="AB3077" t="e">
        <f>VLOOKUP(Tabelle1014[[#This Row],[Rank]],Stammdaten[[Rank Verteilung Ovalität]:[Verteilung Ovalität]],2,FALSE)</f>
        <v>#N/A</v>
      </c>
    </row>
    <row r="3078" spans="5:28" x14ac:dyDescent="0.35">
      <c r="E3078">
        <v>3069</v>
      </c>
      <c r="F3078" t="e">
        <f>INDEX(Stammdaten[D Mitte mit Rinde (mm)],MATCH(Tabelle8[[#This Row],[Rank]],Stammdaten[Rank Verteilung D Mitte mit Rinde],0))</f>
        <v>#N/A</v>
      </c>
      <c r="G3078" t="e">
        <f>VLOOKUP(Tabelle8[[#This Row],[Rank]],Stammdaten[[Rank Verteilung D Mitte mit Rinde]:[Verteilung D Mitte mit Rinde]],2,FALSE)</f>
        <v>#N/A</v>
      </c>
      <c r="L3078">
        <v>3069</v>
      </c>
      <c r="M3078" t="e">
        <f>INDEX(Stammdaten[Abholzigkeit (mm/lfm)],MATCH(Tabelle9[[#This Row],[Rank]],Stammdaten[Rank Verteilung Abholzigkeit],0))</f>
        <v>#N/A</v>
      </c>
      <c r="N3078" t="e">
        <f>VLOOKUP(Tabelle9[[#This Row],[Rank]],Stammdaten[[Rank Verteilung Abholzigkeit]:[Verteilung Abholzigkeit]],2,FALSE)</f>
        <v>#N/A</v>
      </c>
      <c r="S3078">
        <v>3069</v>
      </c>
      <c r="T3078" t="e">
        <f>INDEX(Stammdaten[Krümmung (mm/lfm)],MATCH(Tabelle10[[#This Row],[Rank]],Stammdaten[Rank Verteilung Krümmung],0))</f>
        <v>#N/A</v>
      </c>
      <c r="U3078" t="e">
        <f>VLOOKUP(Tabelle10[[#This Row],[Rank]],Stammdaten[[Rank Verteilung Krümmung]:[Verteilung Krümmung]],2,FALSE)</f>
        <v>#N/A</v>
      </c>
      <c r="Z3078">
        <v>3069</v>
      </c>
      <c r="AA3078" t="e">
        <f>INDEX(Stammdaten[Ovalität (']0,1'])],MATCH(Tabelle1014[[#This Row],[Rank]],Stammdaten[Rank Verteilung Ovalität],0))</f>
        <v>#N/A</v>
      </c>
      <c r="AB3078" t="e">
        <f>VLOOKUP(Tabelle1014[[#This Row],[Rank]],Stammdaten[[Rank Verteilung Ovalität]:[Verteilung Ovalität]],2,FALSE)</f>
        <v>#N/A</v>
      </c>
    </row>
    <row r="3079" spans="5:28" x14ac:dyDescent="0.35">
      <c r="E3079">
        <v>3070</v>
      </c>
      <c r="F3079" t="e">
        <f>INDEX(Stammdaten[D Mitte mit Rinde (mm)],MATCH(Tabelle8[[#This Row],[Rank]],Stammdaten[Rank Verteilung D Mitte mit Rinde],0))</f>
        <v>#N/A</v>
      </c>
      <c r="G3079" t="e">
        <f>VLOOKUP(Tabelle8[[#This Row],[Rank]],Stammdaten[[Rank Verteilung D Mitte mit Rinde]:[Verteilung D Mitte mit Rinde]],2,FALSE)</f>
        <v>#N/A</v>
      </c>
      <c r="L3079">
        <v>3070</v>
      </c>
      <c r="M3079" t="e">
        <f>INDEX(Stammdaten[Abholzigkeit (mm/lfm)],MATCH(Tabelle9[[#This Row],[Rank]],Stammdaten[Rank Verteilung Abholzigkeit],0))</f>
        <v>#N/A</v>
      </c>
      <c r="N3079" t="e">
        <f>VLOOKUP(Tabelle9[[#This Row],[Rank]],Stammdaten[[Rank Verteilung Abholzigkeit]:[Verteilung Abholzigkeit]],2,FALSE)</f>
        <v>#N/A</v>
      </c>
      <c r="S3079">
        <v>3070</v>
      </c>
      <c r="T3079" t="e">
        <f>INDEX(Stammdaten[Krümmung (mm/lfm)],MATCH(Tabelle10[[#This Row],[Rank]],Stammdaten[Rank Verteilung Krümmung],0))</f>
        <v>#N/A</v>
      </c>
      <c r="U3079" t="e">
        <f>VLOOKUP(Tabelle10[[#This Row],[Rank]],Stammdaten[[Rank Verteilung Krümmung]:[Verteilung Krümmung]],2,FALSE)</f>
        <v>#N/A</v>
      </c>
      <c r="Z3079">
        <v>3070</v>
      </c>
      <c r="AA3079" t="e">
        <f>INDEX(Stammdaten[Ovalität (']0,1'])],MATCH(Tabelle1014[[#This Row],[Rank]],Stammdaten[Rank Verteilung Ovalität],0))</f>
        <v>#N/A</v>
      </c>
      <c r="AB3079" t="e">
        <f>VLOOKUP(Tabelle1014[[#This Row],[Rank]],Stammdaten[[Rank Verteilung Ovalität]:[Verteilung Ovalität]],2,FALSE)</f>
        <v>#N/A</v>
      </c>
    </row>
    <row r="3080" spans="5:28" x14ac:dyDescent="0.35">
      <c r="E3080">
        <v>3071</v>
      </c>
      <c r="F3080" t="e">
        <f>INDEX(Stammdaten[D Mitte mit Rinde (mm)],MATCH(Tabelle8[[#This Row],[Rank]],Stammdaten[Rank Verteilung D Mitte mit Rinde],0))</f>
        <v>#N/A</v>
      </c>
      <c r="G3080" t="e">
        <f>VLOOKUP(Tabelle8[[#This Row],[Rank]],Stammdaten[[Rank Verteilung D Mitte mit Rinde]:[Verteilung D Mitte mit Rinde]],2,FALSE)</f>
        <v>#N/A</v>
      </c>
      <c r="L3080">
        <v>3071</v>
      </c>
      <c r="M3080" t="e">
        <f>INDEX(Stammdaten[Abholzigkeit (mm/lfm)],MATCH(Tabelle9[[#This Row],[Rank]],Stammdaten[Rank Verteilung Abholzigkeit],0))</f>
        <v>#N/A</v>
      </c>
      <c r="N3080" t="e">
        <f>VLOOKUP(Tabelle9[[#This Row],[Rank]],Stammdaten[[Rank Verteilung Abholzigkeit]:[Verteilung Abholzigkeit]],2,FALSE)</f>
        <v>#N/A</v>
      </c>
      <c r="S3080">
        <v>3071</v>
      </c>
      <c r="T3080" t="e">
        <f>INDEX(Stammdaten[Krümmung (mm/lfm)],MATCH(Tabelle10[[#This Row],[Rank]],Stammdaten[Rank Verteilung Krümmung],0))</f>
        <v>#N/A</v>
      </c>
      <c r="U3080" t="e">
        <f>VLOOKUP(Tabelle10[[#This Row],[Rank]],Stammdaten[[Rank Verteilung Krümmung]:[Verteilung Krümmung]],2,FALSE)</f>
        <v>#N/A</v>
      </c>
      <c r="Z3080">
        <v>3071</v>
      </c>
      <c r="AA3080" t="e">
        <f>INDEX(Stammdaten[Ovalität (']0,1'])],MATCH(Tabelle1014[[#This Row],[Rank]],Stammdaten[Rank Verteilung Ovalität],0))</f>
        <v>#N/A</v>
      </c>
      <c r="AB3080" t="e">
        <f>VLOOKUP(Tabelle1014[[#This Row],[Rank]],Stammdaten[[Rank Verteilung Ovalität]:[Verteilung Ovalität]],2,FALSE)</f>
        <v>#N/A</v>
      </c>
    </row>
    <row r="3081" spans="5:28" x14ac:dyDescent="0.35">
      <c r="E3081">
        <v>3072</v>
      </c>
      <c r="F3081" t="e">
        <f>INDEX(Stammdaten[D Mitte mit Rinde (mm)],MATCH(Tabelle8[[#This Row],[Rank]],Stammdaten[Rank Verteilung D Mitte mit Rinde],0))</f>
        <v>#N/A</v>
      </c>
      <c r="G3081" t="e">
        <f>VLOOKUP(Tabelle8[[#This Row],[Rank]],Stammdaten[[Rank Verteilung D Mitte mit Rinde]:[Verteilung D Mitte mit Rinde]],2,FALSE)</f>
        <v>#N/A</v>
      </c>
      <c r="L3081">
        <v>3072</v>
      </c>
      <c r="M3081" t="e">
        <f>INDEX(Stammdaten[Abholzigkeit (mm/lfm)],MATCH(Tabelle9[[#This Row],[Rank]],Stammdaten[Rank Verteilung Abholzigkeit],0))</f>
        <v>#N/A</v>
      </c>
      <c r="N3081" t="e">
        <f>VLOOKUP(Tabelle9[[#This Row],[Rank]],Stammdaten[[Rank Verteilung Abholzigkeit]:[Verteilung Abholzigkeit]],2,FALSE)</f>
        <v>#N/A</v>
      </c>
      <c r="S3081">
        <v>3072</v>
      </c>
      <c r="T3081" t="e">
        <f>INDEX(Stammdaten[Krümmung (mm/lfm)],MATCH(Tabelle10[[#This Row],[Rank]],Stammdaten[Rank Verteilung Krümmung],0))</f>
        <v>#N/A</v>
      </c>
      <c r="U3081" t="e">
        <f>VLOOKUP(Tabelle10[[#This Row],[Rank]],Stammdaten[[Rank Verteilung Krümmung]:[Verteilung Krümmung]],2,FALSE)</f>
        <v>#N/A</v>
      </c>
      <c r="Z3081">
        <v>3072</v>
      </c>
      <c r="AA3081" t="e">
        <f>INDEX(Stammdaten[Ovalität (']0,1'])],MATCH(Tabelle1014[[#This Row],[Rank]],Stammdaten[Rank Verteilung Ovalität],0))</f>
        <v>#N/A</v>
      </c>
      <c r="AB3081" t="e">
        <f>VLOOKUP(Tabelle1014[[#This Row],[Rank]],Stammdaten[[Rank Verteilung Ovalität]:[Verteilung Ovalität]],2,FALSE)</f>
        <v>#N/A</v>
      </c>
    </row>
    <row r="3082" spans="5:28" x14ac:dyDescent="0.35">
      <c r="E3082">
        <v>3073</v>
      </c>
      <c r="F3082" t="e">
        <f>INDEX(Stammdaten[D Mitte mit Rinde (mm)],MATCH(Tabelle8[[#This Row],[Rank]],Stammdaten[Rank Verteilung D Mitte mit Rinde],0))</f>
        <v>#N/A</v>
      </c>
      <c r="G3082" t="e">
        <f>VLOOKUP(Tabelle8[[#This Row],[Rank]],Stammdaten[[Rank Verteilung D Mitte mit Rinde]:[Verteilung D Mitte mit Rinde]],2,FALSE)</f>
        <v>#N/A</v>
      </c>
      <c r="L3082">
        <v>3073</v>
      </c>
      <c r="M3082" t="e">
        <f>INDEX(Stammdaten[Abholzigkeit (mm/lfm)],MATCH(Tabelle9[[#This Row],[Rank]],Stammdaten[Rank Verteilung Abholzigkeit],0))</f>
        <v>#N/A</v>
      </c>
      <c r="N3082" t="e">
        <f>VLOOKUP(Tabelle9[[#This Row],[Rank]],Stammdaten[[Rank Verteilung Abholzigkeit]:[Verteilung Abholzigkeit]],2,FALSE)</f>
        <v>#N/A</v>
      </c>
      <c r="S3082">
        <v>3073</v>
      </c>
      <c r="T3082" t="e">
        <f>INDEX(Stammdaten[Krümmung (mm/lfm)],MATCH(Tabelle10[[#This Row],[Rank]],Stammdaten[Rank Verteilung Krümmung],0))</f>
        <v>#N/A</v>
      </c>
      <c r="U3082" t="e">
        <f>VLOOKUP(Tabelle10[[#This Row],[Rank]],Stammdaten[[Rank Verteilung Krümmung]:[Verteilung Krümmung]],2,FALSE)</f>
        <v>#N/A</v>
      </c>
      <c r="Z3082">
        <v>3073</v>
      </c>
      <c r="AA3082" t="e">
        <f>INDEX(Stammdaten[Ovalität (']0,1'])],MATCH(Tabelle1014[[#This Row],[Rank]],Stammdaten[Rank Verteilung Ovalität],0))</f>
        <v>#N/A</v>
      </c>
      <c r="AB3082" t="e">
        <f>VLOOKUP(Tabelle1014[[#This Row],[Rank]],Stammdaten[[Rank Verteilung Ovalität]:[Verteilung Ovalität]],2,FALSE)</f>
        <v>#N/A</v>
      </c>
    </row>
    <row r="3083" spans="5:28" x14ac:dyDescent="0.35">
      <c r="E3083">
        <v>3074</v>
      </c>
      <c r="F3083" t="e">
        <f>INDEX(Stammdaten[D Mitte mit Rinde (mm)],MATCH(Tabelle8[[#This Row],[Rank]],Stammdaten[Rank Verteilung D Mitte mit Rinde],0))</f>
        <v>#N/A</v>
      </c>
      <c r="G3083" t="e">
        <f>VLOOKUP(Tabelle8[[#This Row],[Rank]],Stammdaten[[Rank Verteilung D Mitte mit Rinde]:[Verteilung D Mitte mit Rinde]],2,FALSE)</f>
        <v>#N/A</v>
      </c>
      <c r="L3083">
        <v>3074</v>
      </c>
      <c r="M3083" t="e">
        <f>INDEX(Stammdaten[Abholzigkeit (mm/lfm)],MATCH(Tabelle9[[#This Row],[Rank]],Stammdaten[Rank Verteilung Abholzigkeit],0))</f>
        <v>#N/A</v>
      </c>
      <c r="N3083" t="e">
        <f>VLOOKUP(Tabelle9[[#This Row],[Rank]],Stammdaten[[Rank Verteilung Abholzigkeit]:[Verteilung Abholzigkeit]],2,FALSE)</f>
        <v>#N/A</v>
      </c>
      <c r="S3083">
        <v>3074</v>
      </c>
      <c r="T3083" t="e">
        <f>INDEX(Stammdaten[Krümmung (mm/lfm)],MATCH(Tabelle10[[#This Row],[Rank]],Stammdaten[Rank Verteilung Krümmung],0))</f>
        <v>#N/A</v>
      </c>
      <c r="U3083" t="e">
        <f>VLOOKUP(Tabelle10[[#This Row],[Rank]],Stammdaten[[Rank Verteilung Krümmung]:[Verteilung Krümmung]],2,FALSE)</f>
        <v>#N/A</v>
      </c>
      <c r="Z3083">
        <v>3074</v>
      </c>
      <c r="AA3083" t="e">
        <f>INDEX(Stammdaten[Ovalität (']0,1'])],MATCH(Tabelle1014[[#This Row],[Rank]],Stammdaten[Rank Verteilung Ovalität],0))</f>
        <v>#N/A</v>
      </c>
      <c r="AB3083" t="e">
        <f>VLOOKUP(Tabelle1014[[#This Row],[Rank]],Stammdaten[[Rank Verteilung Ovalität]:[Verteilung Ovalität]],2,FALSE)</f>
        <v>#N/A</v>
      </c>
    </row>
    <row r="3084" spans="5:28" x14ac:dyDescent="0.35">
      <c r="E3084">
        <v>3075</v>
      </c>
      <c r="F3084" t="e">
        <f>INDEX(Stammdaten[D Mitte mit Rinde (mm)],MATCH(Tabelle8[[#This Row],[Rank]],Stammdaten[Rank Verteilung D Mitte mit Rinde],0))</f>
        <v>#N/A</v>
      </c>
      <c r="G3084" t="e">
        <f>VLOOKUP(Tabelle8[[#This Row],[Rank]],Stammdaten[[Rank Verteilung D Mitte mit Rinde]:[Verteilung D Mitte mit Rinde]],2,FALSE)</f>
        <v>#N/A</v>
      </c>
      <c r="L3084">
        <v>3075</v>
      </c>
      <c r="M3084" t="e">
        <f>INDEX(Stammdaten[Abholzigkeit (mm/lfm)],MATCH(Tabelle9[[#This Row],[Rank]],Stammdaten[Rank Verteilung Abholzigkeit],0))</f>
        <v>#N/A</v>
      </c>
      <c r="N3084" t="e">
        <f>VLOOKUP(Tabelle9[[#This Row],[Rank]],Stammdaten[[Rank Verteilung Abholzigkeit]:[Verteilung Abholzigkeit]],2,FALSE)</f>
        <v>#N/A</v>
      </c>
      <c r="S3084">
        <v>3075</v>
      </c>
      <c r="T3084" t="e">
        <f>INDEX(Stammdaten[Krümmung (mm/lfm)],MATCH(Tabelle10[[#This Row],[Rank]],Stammdaten[Rank Verteilung Krümmung],0))</f>
        <v>#N/A</v>
      </c>
      <c r="U3084" t="e">
        <f>VLOOKUP(Tabelle10[[#This Row],[Rank]],Stammdaten[[Rank Verteilung Krümmung]:[Verteilung Krümmung]],2,FALSE)</f>
        <v>#N/A</v>
      </c>
      <c r="Z3084">
        <v>3075</v>
      </c>
      <c r="AA3084" t="e">
        <f>INDEX(Stammdaten[Ovalität (']0,1'])],MATCH(Tabelle1014[[#This Row],[Rank]],Stammdaten[Rank Verteilung Ovalität],0))</f>
        <v>#N/A</v>
      </c>
      <c r="AB3084" t="e">
        <f>VLOOKUP(Tabelle1014[[#This Row],[Rank]],Stammdaten[[Rank Verteilung Ovalität]:[Verteilung Ovalität]],2,FALSE)</f>
        <v>#N/A</v>
      </c>
    </row>
    <row r="3085" spans="5:28" x14ac:dyDescent="0.35">
      <c r="E3085">
        <v>3076</v>
      </c>
      <c r="F3085" t="e">
        <f>INDEX(Stammdaten[D Mitte mit Rinde (mm)],MATCH(Tabelle8[[#This Row],[Rank]],Stammdaten[Rank Verteilung D Mitte mit Rinde],0))</f>
        <v>#N/A</v>
      </c>
      <c r="G3085" t="e">
        <f>VLOOKUP(Tabelle8[[#This Row],[Rank]],Stammdaten[[Rank Verteilung D Mitte mit Rinde]:[Verteilung D Mitte mit Rinde]],2,FALSE)</f>
        <v>#N/A</v>
      </c>
      <c r="L3085">
        <v>3076</v>
      </c>
      <c r="M3085" t="e">
        <f>INDEX(Stammdaten[Abholzigkeit (mm/lfm)],MATCH(Tabelle9[[#This Row],[Rank]],Stammdaten[Rank Verteilung Abholzigkeit],0))</f>
        <v>#N/A</v>
      </c>
      <c r="N3085" t="e">
        <f>VLOOKUP(Tabelle9[[#This Row],[Rank]],Stammdaten[[Rank Verteilung Abholzigkeit]:[Verteilung Abholzigkeit]],2,FALSE)</f>
        <v>#N/A</v>
      </c>
      <c r="S3085">
        <v>3076</v>
      </c>
      <c r="T3085" t="e">
        <f>INDEX(Stammdaten[Krümmung (mm/lfm)],MATCH(Tabelle10[[#This Row],[Rank]],Stammdaten[Rank Verteilung Krümmung],0))</f>
        <v>#N/A</v>
      </c>
      <c r="U3085" t="e">
        <f>VLOOKUP(Tabelle10[[#This Row],[Rank]],Stammdaten[[Rank Verteilung Krümmung]:[Verteilung Krümmung]],2,FALSE)</f>
        <v>#N/A</v>
      </c>
      <c r="Z3085">
        <v>3076</v>
      </c>
      <c r="AA3085" t="e">
        <f>INDEX(Stammdaten[Ovalität (']0,1'])],MATCH(Tabelle1014[[#This Row],[Rank]],Stammdaten[Rank Verteilung Ovalität],0))</f>
        <v>#N/A</v>
      </c>
      <c r="AB3085" t="e">
        <f>VLOOKUP(Tabelle1014[[#This Row],[Rank]],Stammdaten[[Rank Verteilung Ovalität]:[Verteilung Ovalität]],2,FALSE)</f>
        <v>#N/A</v>
      </c>
    </row>
    <row r="3086" spans="5:28" x14ac:dyDescent="0.35">
      <c r="E3086">
        <v>3077</v>
      </c>
      <c r="F3086" t="e">
        <f>INDEX(Stammdaten[D Mitte mit Rinde (mm)],MATCH(Tabelle8[[#This Row],[Rank]],Stammdaten[Rank Verteilung D Mitte mit Rinde],0))</f>
        <v>#N/A</v>
      </c>
      <c r="G3086" t="e">
        <f>VLOOKUP(Tabelle8[[#This Row],[Rank]],Stammdaten[[Rank Verteilung D Mitte mit Rinde]:[Verteilung D Mitte mit Rinde]],2,FALSE)</f>
        <v>#N/A</v>
      </c>
      <c r="L3086">
        <v>3077</v>
      </c>
      <c r="M3086" t="e">
        <f>INDEX(Stammdaten[Abholzigkeit (mm/lfm)],MATCH(Tabelle9[[#This Row],[Rank]],Stammdaten[Rank Verteilung Abholzigkeit],0))</f>
        <v>#N/A</v>
      </c>
      <c r="N3086" t="e">
        <f>VLOOKUP(Tabelle9[[#This Row],[Rank]],Stammdaten[[Rank Verteilung Abholzigkeit]:[Verteilung Abholzigkeit]],2,FALSE)</f>
        <v>#N/A</v>
      </c>
      <c r="S3086">
        <v>3077</v>
      </c>
      <c r="T3086" t="e">
        <f>INDEX(Stammdaten[Krümmung (mm/lfm)],MATCH(Tabelle10[[#This Row],[Rank]],Stammdaten[Rank Verteilung Krümmung],0))</f>
        <v>#N/A</v>
      </c>
      <c r="U3086" t="e">
        <f>VLOOKUP(Tabelle10[[#This Row],[Rank]],Stammdaten[[Rank Verteilung Krümmung]:[Verteilung Krümmung]],2,FALSE)</f>
        <v>#N/A</v>
      </c>
      <c r="Z3086">
        <v>3077</v>
      </c>
      <c r="AA3086" t="e">
        <f>INDEX(Stammdaten[Ovalität (']0,1'])],MATCH(Tabelle1014[[#This Row],[Rank]],Stammdaten[Rank Verteilung Ovalität],0))</f>
        <v>#N/A</v>
      </c>
      <c r="AB3086" t="e">
        <f>VLOOKUP(Tabelle1014[[#This Row],[Rank]],Stammdaten[[Rank Verteilung Ovalität]:[Verteilung Ovalität]],2,FALSE)</f>
        <v>#N/A</v>
      </c>
    </row>
    <row r="3087" spans="5:28" x14ac:dyDescent="0.35">
      <c r="E3087">
        <v>3078</v>
      </c>
      <c r="F3087" t="e">
        <f>INDEX(Stammdaten[D Mitte mit Rinde (mm)],MATCH(Tabelle8[[#This Row],[Rank]],Stammdaten[Rank Verteilung D Mitte mit Rinde],0))</f>
        <v>#N/A</v>
      </c>
      <c r="G3087" t="e">
        <f>VLOOKUP(Tabelle8[[#This Row],[Rank]],Stammdaten[[Rank Verteilung D Mitte mit Rinde]:[Verteilung D Mitte mit Rinde]],2,FALSE)</f>
        <v>#N/A</v>
      </c>
      <c r="L3087">
        <v>3078</v>
      </c>
      <c r="M3087" t="e">
        <f>INDEX(Stammdaten[Abholzigkeit (mm/lfm)],MATCH(Tabelle9[[#This Row],[Rank]],Stammdaten[Rank Verteilung Abholzigkeit],0))</f>
        <v>#N/A</v>
      </c>
      <c r="N3087" t="e">
        <f>VLOOKUP(Tabelle9[[#This Row],[Rank]],Stammdaten[[Rank Verteilung Abholzigkeit]:[Verteilung Abholzigkeit]],2,FALSE)</f>
        <v>#N/A</v>
      </c>
      <c r="S3087">
        <v>3078</v>
      </c>
      <c r="T3087" t="e">
        <f>INDEX(Stammdaten[Krümmung (mm/lfm)],MATCH(Tabelle10[[#This Row],[Rank]],Stammdaten[Rank Verteilung Krümmung],0))</f>
        <v>#N/A</v>
      </c>
      <c r="U3087" t="e">
        <f>VLOOKUP(Tabelle10[[#This Row],[Rank]],Stammdaten[[Rank Verteilung Krümmung]:[Verteilung Krümmung]],2,FALSE)</f>
        <v>#N/A</v>
      </c>
      <c r="Z3087">
        <v>3078</v>
      </c>
      <c r="AA3087" t="e">
        <f>INDEX(Stammdaten[Ovalität (']0,1'])],MATCH(Tabelle1014[[#This Row],[Rank]],Stammdaten[Rank Verteilung Ovalität],0))</f>
        <v>#N/A</v>
      </c>
      <c r="AB3087" t="e">
        <f>VLOOKUP(Tabelle1014[[#This Row],[Rank]],Stammdaten[[Rank Verteilung Ovalität]:[Verteilung Ovalität]],2,FALSE)</f>
        <v>#N/A</v>
      </c>
    </row>
    <row r="3088" spans="5:28" x14ac:dyDescent="0.35">
      <c r="E3088">
        <v>3079</v>
      </c>
      <c r="F3088" t="e">
        <f>INDEX(Stammdaten[D Mitte mit Rinde (mm)],MATCH(Tabelle8[[#This Row],[Rank]],Stammdaten[Rank Verteilung D Mitte mit Rinde],0))</f>
        <v>#N/A</v>
      </c>
      <c r="G3088" t="e">
        <f>VLOOKUP(Tabelle8[[#This Row],[Rank]],Stammdaten[[Rank Verteilung D Mitte mit Rinde]:[Verteilung D Mitte mit Rinde]],2,FALSE)</f>
        <v>#N/A</v>
      </c>
      <c r="L3088">
        <v>3079</v>
      </c>
      <c r="M3088" t="e">
        <f>INDEX(Stammdaten[Abholzigkeit (mm/lfm)],MATCH(Tabelle9[[#This Row],[Rank]],Stammdaten[Rank Verteilung Abholzigkeit],0))</f>
        <v>#N/A</v>
      </c>
      <c r="N3088" t="e">
        <f>VLOOKUP(Tabelle9[[#This Row],[Rank]],Stammdaten[[Rank Verteilung Abholzigkeit]:[Verteilung Abholzigkeit]],2,FALSE)</f>
        <v>#N/A</v>
      </c>
      <c r="S3088">
        <v>3079</v>
      </c>
      <c r="T3088" t="e">
        <f>INDEX(Stammdaten[Krümmung (mm/lfm)],MATCH(Tabelle10[[#This Row],[Rank]],Stammdaten[Rank Verteilung Krümmung],0))</f>
        <v>#N/A</v>
      </c>
      <c r="U3088" t="e">
        <f>VLOOKUP(Tabelle10[[#This Row],[Rank]],Stammdaten[[Rank Verteilung Krümmung]:[Verteilung Krümmung]],2,FALSE)</f>
        <v>#N/A</v>
      </c>
      <c r="Z3088">
        <v>3079</v>
      </c>
      <c r="AA3088" t="e">
        <f>INDEX(Stammdaten[Ovalität (']0,1'])],MATCH(Tabelle1014[[#This Row],[Rank]],Stammdaten[Rank Verteilung Ovalität],0))</f>
        <v>#N/A</v>
      </c>
      <c r="AB3088" t="e">
        <f>VLOOKUP(Tabelle1014[[#This Row],[Rank]],Stammdaten[[Rank Verteilung Ovalität]:[Verteilung Ovalität]],2,FALSE)</f>
        <v>#N/A</v>
      </c>
    </row>
    <row r="3089" spans="5:28" x14ac:dyDescent="0.35">
      <c r="E3089">
        <v>3080</v>
      </c>
      <c r="F3089" t="e">
        <f>INDEX(Stammdaten[D Mitte mit Rinde (mm)],MATCH(Tabelle8[[#This Row],[Rank]],Stammdaten[Rank Verteilung D Mitte mit Rinde],0))</f>
        <v>#N/A</v>
      </c>
      <c r="G3089" t="e">
        <f>VLOOKUP(Tabelle8[[#This Row],[Rank]],Stammdaten[[Rank Verteilung D Mitte mit Rinde]:[Verteilung D Mitte mit Rinde]],2,FALSE)</f>
        <v>#N/A</v>
      </c>
      <c r="L3089">
        <v>3080</v>
      </c>
      <c r="M3089" t="e">
        <f>INDEX(Stammdaten[Abholzigkeit (mm/lfm)],MATCH(Tabelle9[[#This Row],[Rank]],Stammdaten[Rank Verteilung Abholzigkeit],0))</f>
        <v>#N/A</v>
      </c>
      <c r="N3089" t="e">
        <f>VLOOKUP(Tabelle9[[#This Row],[Rank]],Stammdaten[[Rank Verteilung Abholzigkeit]:[Verteilung Abholzigkeit]],2,FALSE)</f>
        <v>#N/A</v>
      </c>
      <c r="S3089">
        <v>3080</v>
      </c>
      <c r="T3089" t="e">
        <f>INDEX(Stammdaten[Krümmung (mm/lfm)],MATCH(Tabelle10[[#This Row],[Rank]],Stammdaten[Rank Verteilung Krümmung],0))</f>
        <v>#N/A</v>
      </c>
      <c r="U3089" t="e">
        <f>VLOOKUP(Tabelle10[[#This Row],[Rank]],Stammdaten[[Rank Verteilung Krümmung]:[Verteilung Krümmung]],2,FALSE)</f>
        <v>#N/A</v>
      </c>
      <c r="Z3089">
        <v>3080</v>
      </c>
      <c r="AA3089" t="e">
        <f>INDEX(Stammdaten[Ovalität (']0,1'])],MATCH(Tabelle1014[[#This Row],[Rank]],Stammdaten[Rank Verteilung Ovalität],0))</f>
        <v>#N/A</v>
      </c>
      <c r="AB3089" t="e">
        <f>VLOOKUP(Tabelle1014[[#This Row],[Rank]],Stammdaten[[Rank Verteilung Ovalität]:[Verteilung Ovalität]],2,FALSE)</f>
        <v>#N/A</v>
      </c>
    </row>
    <row r="3090" spans="5:28" x14ac:dyDescent="0.35">
      <c r="E3090">
        <v>3081</v>
      </c>
      <c r="F3090" t="e">
        <f>INDEX(Stammdaten[D Mitte mit Rinde (mm)],MATCH(Tabelle8[[#This Row],[Rank]],Stammdaten[Rank Verteilung D Mitte mit Rinde],0))</f>
        <v>#N/A</v>
      </c>
      <c r="G3090" t="e">
        <f>VLOOKUP(Tabelle8[[#This Row],[Rank]],Stammdaten[[Rank Verteilung D Mitte mit Rinde]:[Verteilung D Mitte mit Rinde]],2,FALSE)</f>
        <v>#N/A</v>
      </c>
      <c r="L3090">
        <v>3081</v>
      </c>
      <c r="M3090" t="e">
        <f>INDEX(Stammdaten[Abholzigkeit (mm/lfm)],MATCH(Tabelle9[[#This Row],[Rank]],Stammdaten[Rank Verteilung Abholzigkeit],0))</f>
        <v>#N/A</v>
      </c>
      <c r="N3090" t="e">
        <f>VLOOKUP(Tabelle9[[#This Row],[Rank]],Stammdaten[[Rank Verteilung Abholzigkeit]:[Verteilung Abholzigkeit]],2,FALSE)</f>
        <v>#N/A</v>
      </c>
      <c r="S3090">
        <v>3081</v>
      </c>
      <c r="T3090" t="e">
        <f>INDEX(Stammdaten[Krümmung (mm/lfm)],MATCH(Tabelle10[[#This Row],[Rank]],Stammdaten[Rank Verteilung Krümmung],0))</f>
        <v>#N/A</v>
      </c>
      <c r="U3090" t="e">
        <f>VLOOKUP(Tabelle10[[#This Row],[Rank]],Stammdaten[[Rank Verteilung Krümmung]:[Verteilung Krümmung]],2,FALSE)</f>
        <v>#N/A</v>
      </c>
      <c r="Z3090">
        <v>3081</v>
      </c>
      <c r="AA3090" t="e">
        <f>INDEX(Stammdaten[Ovalität (']0,1'])],MATCH(Tabelle1014[[#This Row],[Rank]],Stammdaten[Rank Verteilung Ovalität],0))</f>
        <v>#N/A</v>
      </c>
      <c r="AB3090" t="e">
        <f>VLOOKUP(Tabelle1014[[#This Row],[Rank]],Stammdaten[[Rank Verteilung Ovalität]:[Verteilung Ovalität]],2,FALSE)</f>
        <v>#N/A</v>
      </c>
    </row>
    <row r="3091" spans="5:28" x14ac:dyDescent="0.35">
      <c r="E3091">
        <v>3082</v>
      </c>
      <c r="F3091" t="e">
        <f>INDEX(Stammdaten[D Mitte mit Rinde (mm)],MATCH(Tabelle8[[#This Row],[Rank]],Stammdaten[Rank Verteilung D Mitte mit Rinde],0))</f>
        <v>#N/A</v>
      </c>
      <c r="G3091" t="e">
        <f>VLOOKUP(Tabelle8[[#This Row],[Rank]],Stammdaten[[Rank Verteilung D Mitte mit Rinde]:[Verteilung D Mitte mit Rinde]],2,FALSE)</f>
        <v>#N/A</v>
      </c>
      <c r="L3091">
        <v>3082</v>
      </c>
      <c r="M3091" t="e">
        <f>INDEX(Stammdaten[Abholzigkeit (mm/lfm)],MATCH(Tabelle9[[#This Row],[Rank]],Stammdaten[Rank Verteilung Abholzigkeit],0))</f>
        <v>#N/A</v>
      </c>
      <c r="N3091" t="e">
        <f>VLOOKUP(Tabelle9[[#This Row],[Rank]],Stammdaten[[Rank Verteilung Abholzigkeit]:[Verteilung Abholzigkeit]],2,FALSE)</f>
        <v>#N/A</v>
      </c>
      <c r="S3091">
        <v>3082</v>
      </c>
      <c r="T3091" t="e">
        <f>INDEX(Stammdaten[Krümmung (mm/lfm)],MATCH(Tabelle10[[#This Row],[Rank]],Stammdaten[Rank Verteilung Krümmung],0))</f>
        <v>#N/A</v>
      </c>
      <c r="U3091" t="e">
        <f>VLOOKUP(Tabelle10[[#This Row],[Rank]],Stammdaten[[Rank Verteilung Krümmung]:[Verteilung Krümmung]],2,FALSE)</f>
        <v>#N/A</v>
      </c>
      <c r="Z3091">
        <v>3082</v>
      </c>
      <c r="AA3091" t="e">
        <f>INDEX(Stammdaten[Ovalität (']0,1'])],MATCH(Tabelle1014[[#This Row],[Rank]],Stammdaten[Rank Verteilung Ovalität],0))</f>
        <v>#N/A</v>
      </c>
      <c r="AB3091" t="e">
        <f>VLOOKUP(Tabelle1014[[#This Row],[Rank]],Stammdaten[[Rank Verteilung Ovalität]:[Verteilung Ovalität]],2,FALSE)</f>
        <v>#N/A</v>
      </c>
    </row>
    <row r="3092" spans="5:28" x14ac:dyDescent="0.35">
      <c r="E3092">
        <v>3083</v>
      </c>
      <c r="F3092" t="e">
        <f>INDEX(Stammdaten[D Mitte mit Rinde (mm)],MATCH(Tabelle8[[#This Row],[Rank]],Stammdaten[Rank Verteilung D Mitte mit Rinde],0))</f>
        <v>#N/A</v>
      </c>
      <c r="G3092" t="e">
        <f>VLOOKUP(Tabelle8[[#This Row],[Rank]],Stammdaten[[Rank Verteilung D Mitte mit Rinde]:[Verteilung D Mitte mit Rinde]],2,FALSE)</f>
        <v>#N/A</v>
      </c>
      <c r="L3092">
        <v>3083</v>
      </c>
      <c r="M3092" t="e">
        <f>INDEX(Stammdaten[Abholzigkeit (mm/lfm)],MATCH(Tabelle9[[#This Row],[Rank]],Stammdaten[Rank Verteilung Abholzigkeit],0))</f>
        <v>#N/A</v>
      </c>
      <c r="N3092" t="e">
        <f>VLOOKUP(Tabelle9[[#This Row],[Rank]],Stammdaten[[Rank Verteilung Abholzigkeit]:[Verteilung Abholzigkeit]],2,FALSE)</f>
        <v>#N/A</v>
      </c>
      <c r="S3092">
        <v>3083</v>
      </c>
      <c r="T3092" t="e">
        <f>INDEX(Stammdaten[Krümmung (mm/lfm)],MATCH(Tabelle10[[#This Row],[Rank]],Stammdaten[Rank Verteilung Krümmung],0))</f>
        <v>#N/A</v>
      </c>
      <c r="U3092" t="e">
        <f>VLOOKUP(Tabelle10[[#This Row],[Rank]],Stammdaten[[Rank Verteilung Krümmung]:[Verteilung Krümmung]],2,FALSE)</f>
        <v>#N/A</v>
      </c>
      <c r="Z3092">
        <v>3083</v>
      </c>
      <c r="AA3092" t="e">
        <f>INDEX(Stammdaten[Ovalität (']0,1'])],MATCH(Tabelle1014[[#This Row],[Rank]],Stammdaten[Rank Verteilung Ovalität],0))</f>
        <v>#N/A</v>
      </c>
      <c r="AB3092" t="e">
        <f>VLOOKUP(Tabelle1014[[#This Row],[Rank]],Stammdaten[[Rank Verteilung Ovalität]:[Verteilung Ovalität]],2,FALSE)</f>
        <v>#N/A</v>
      </c>
    </row>
    <row r="3093" spans="5:28" x14ac:dyDescent="0.35">
      <c r="E3093">
        <v>3084</v>
      </c>
      <c r="F3093" t="e">
        <f>INDEX(Stammdaten[D Mitte mit Rinde (mm)],MATCH(Tabelle8[[#This Row],[Rank]],Stammdaten[Rank Verteilung D Mitte mit Rinde],0))</f>
        <v>#N/A</v>
      </c>
      <c r="G3093" t="e">
        <f>VLOOKUP(Tabelle8[[#This Row],[Rank]],Stammdaten[[Rank Verteilung D Mitte mit Rinde]:[Verteilung D Mitte mit Rinde]],2,FALSE)</f>
        <v>#N/A</v>
      </c>
      <c r="L3093">
        <v>3084</v>
      </c>
      <c r="M3093" t="e">
        <f>INDEX(Stammdaten[Abholzigkeit (mm/lfm)],MATCH(Tabelle9[[#This Row],[Rank]],Stammdaten[Rank Verteilung Abholzigkeit],0))</f>
        <v>#N/A</v>
      </c>
      <c r="N3093" t="e">
        <f>VLOOKUP(Tabelle9[[#This Row],[Rank]],Stammdaten[[Rank Verteilung Abholzigkeit]:[Verteilung Abholzigkeit]],2,FALSE)</f>
        <v>#N/A</v>
      </c>
      <c r="S3093">
        <v>3084</v>
      </c>
      <c r="T3093" t="e">
        <f>INDEX(Stammdaten[Krümmung (mm/lfm)],MATCH(Tabelle10[[#This Row],[Rank]],Stammdaten[Rank Verteilung Krümmung],0))</f>
        <v>#N/A</v>
      </c>
      <c r="U3093" t="e">
        <f>VLOOKUP(Tabelle10[[#This Row],[Rank]],Stammdaten[[Rank Verteilung Krümmung]:[Verteilung Krümmung]],2,FALSE)</f>
        <v>#N/A</v>
      </c>
      <c r="Z3093">
        <v>3084</v>
      </c>
      <c r="AA3093" t="e">
        <f>INDEX(Stammdaten[Ovalität (']0,1'])],MATCH(Tabelle1014[[#This Row],[Rank]],Stammdaten[Rank Verteilung Ovalität],0))</f>
        <v>#N/A</v>
      </c>
      <c r="AB3093" t="e">
        <f>VLOOKUP(Tabelle1014[[#This Row],[Rank]],Stammdaten[[Rank Verteilung Ovalität]:[Verteilung Ovalität]],2,FALSE)</f>
        <v>#N/A</v>
      </c>
    </row>
    <row r="3094" spans="5:28" x14ac:dyDescent="0.35">
      <c r="E3094">
        <v>3085</v>
      </c>
      <c r="F3094" t="e">
        <f>INDEX(Stammdaten[D Mitte mit Rinde (mm)],MATCH(Tabelle8[[#This Row],[Rank]],Stammdaten[Rank Verteilung D Mitte mit Rinde],0))</f>
        <v>#N/A</v>
      </c>
      <c r="G3094" t="e">
        <f>VLOOKUP(Tabelle8[[#This Row],[Rank]],Stammdaten[[Rank Verteilung D Mitte mit Rinde]:[Verteilung D Mitte mit Rinde]],2,FALSE)</f>
        <v>#N/A</v>
      </c>
      <c r="L3094">
        <v>3085</v>
      </c>
      <c r="M3094" t="e">
        <f>INDEX(Stammdaten[Abholzigkeit (mm/lfm)],MATCH(Tabelle9[[#This Row],[Rank]],Stammdaten[Rank Verteilung Abholzigkeit],0))</f>
        <v>#N/A</v>
      </c>
      <c r="N3094" t="e">
        <f>VLOOKUP(Tabelle9[[#This Row],[Rank]],Stammdaten[[Rank Verteilung Abholzigkeit]:[Verteilung Abholzigkeit]],2,FALSE)</f>
        <v>#N/A</v>
      </c>
      <c r="S3094">
        <v>3085</v>
      </c>
      <c r="T3094" t="e">
        <f>INDEX(Stammdaten[Krümmung (mm/lfm)],MATCH(Tabelle10[[#This Row],[Rank]],Stammdaten[Rank Verteilung Krümmung],0))</f>
        <v>#N/A</v>
      </c>
      <c r="U3094" t="e">
        <f>VLOOKUP(Tabelle10[[#This Row],[Rank]],Stammdaten[[Rank Verteilung Krümmung]:[Verteilung Krümmung]],2,FALSE)</f>
        <v>#N/A</v>
      </c>
      <c r="Z3094">
        <v>3085</v>
      </c>
      <c r="AA3094" t="e">
        <f>INDEX(Stammdaten[Ovalität (']0,1'])],MATCH(Tabelle1014[[#This Row],[Rank]],Stammdaten[Rank Verteilung Ovalität],0))</f>
        <v>#N/A</v>
      </c>
      <c r="AB3094" t="e">
        <f>VLOOKUP(Tabelle1014[[#This Row],[Rank]],Stammdaten[[Rank Verteilung Ovalität]:[Verteilung Ovalität]],2,FALSE)</f>
        <v>#N/A</v>
      </c>
    </row>
    <row r="3095" spans="5:28" x14ac:dyDescent="0.35">
      <c r="E3095">
        <v>3086</v>
      </c>
      <c r="F3095" t="e">
        <f>INDEX(Stammdaten[D Mitte mit Rinde (mm)],MATCH(Tabelle8[[#This Row],[Rank]],Stammdaten[Rank Verteilung D Mitte mit Rinde],0))</f>
        <v>#N/A</v>
      </c>
      <c r="G3095" t="e">
        <f>VLOOKUP(Tabelle8[[#This Row],[Rank]],Stammdaten[[Rank Verteilung D Mitte mit Rinde]:[Verteilung D Mitte mit Rinde]],2,FALSE)</f>
        <v>#N/A</v>
      </c>
      <c r="L3095">
        <v>3086</v>
      </c>
      <c r="M3095" t="e">
        <f>INDEX(Stammdaten[Abholzigkeit (mm/lfm)],MATCH(Tabelle9[[#This Row],[Rank]],Stammdaten[Rank Verteilung Abholzigkeit],0))</f>
        <v>#N/A</v>
      </c>
      <c r="N3095" t="e">
        <f>VLOOKUP(Tabelle9[[#This Row],[Rank]],Stammdaten[[Rank Verteilung Abholzigkeit]:[Verteilung Abholzigkeit]],2,FALSE)</f>
        <v>#N/A</v>
      </c>
      <c r="S3095">
        <v>3086</v>
      </c>
      <c r="T3095" t="e">
        <f>INDEX(Stammdaten[Krümmung (mm/lfm)],MATCH(Tabelle10[[#This Row],[Rank]],Stammdaten[Rank Verteilung Krümmung],0))</f>
        <v>#N/A</v>
      </c>
      <c r="U3095" t="e">
        <f>VLOOKUP(Tabelle10[[#This Row],[Rank]],Stammdaten[[Rank Verteilung Krümmung]:[Verteilung Krümmung]],2,FALSE)</f>
        <v>#N/A</v>
      </c>
      <c r="Z3095">
        <v>3086</v>
      </c>
      <c r="AA3095" t="e">
        <f>INDEX(Stammdaten[Ovalität (']0,1'])],MATCH(Tabelle1014[[#This Row],[Rank]],Stammdaten[Rank Verteilung Ovalität],0))</f>
        <v>#N/A</v>
      </c>
      <c r="AB3095" t="e">
        <f>VLOOKUP(Tabelle1014[[#This Row],[Rank]],Stammdaten[[Rank Verteilung Ovalität]:[Verteilung Ovalität]],2,FALSE)</f>
        <v>#N/A</v>
      </c>
    </row>
    <row r="3096" spans="5:28" x14ac:dyDescent="0.35">
      <c r="E3096">
        <v>3087</v>
      </c>
      <c r="F3096" t="e">
        <f>INDEX(Stammdaten[D Mitte mit Rinde (mm)],MATCH(Tabelle8[[#This Row],[Rank]],Stammdaten[Rank Verteilung D Mitte mit Rinde],0))</f>
        <v>#N/A</v>
      </c>
      <c r="G3096" t="e">
        <f>VLOOKUP(Tabelle8[[#This Row],[Rank]],Stammdaten[[Rank Verteilung D Mitte mit Rinde]:[Verteilung D Mitte mit Rinde]],2,FALSE)</f>
        <v>#N/A</v>
      </c>
      <c r="L3096">
        <v>3087</v>
      </c>
      <c r="M3096" t="e">
        <f>INDEX(Stammdaten[Abholzigkeit (mm/lfm)],MATCH(Tabelle9[[#This Row],[Rank]],Stammdaten[Rank Verteilung Abholzigkeit],0))</f>
        <v>#N/A</v>
      </c>
      <c r="N3096" t="e">
        <f>VLOOKUP(Tabelle9[[#This Row],[Rank]],Stammdaten[[Rank Verteilung Abholzigkeit]:[Verteilung Abholzigkeit]],2,FALSE)</f>
        <v>#N/A</v>
      </c>
      <c r="S3096">
        <v>3087</v>
      </c>
      <c r="T3096" t="e">
        <f>INDEX(Stammdaten[Krümmung (mm/lfm)],MATCH(Tabelle10[[#This Row],[Rank]],Stammdaten[Rank Verteilung Krümmung],0))</f>
        <v>#N/A</v>
      </c>
      <c r="U3096" t="e">
        <f>VLOOKUP(Tabelle10[[#This Row],[Rank]],Stammdaten[[Rank Verteilung Krümmung]:[Verteilung Krümmung]],2,FALSE)</f>
        <v>#N/A</v>
      </c>
      <c r="Z3096">
        <v>3087</v>
      </c>
      <c r="AA3096" t="e">
        <f>INDEX(Stammdaten[Ovalität (']0,1'])],MATCH(Tabelle1014[[#This Row],[Rank]],Stammdaten[Rank Verteilung Ovalität],0))</f>
        <v>#N/A</v>
      </c>
      <c r="AB3096" t="e">
        <f>VLOOKUP(Tabelle1014[[#This Row],[Rank]],Stammdaten[[Rank Verteilung Ovalität]:[Verteilung Ovalität]],2,FALSE)</f>
        <v>#N/A</v>
      </c>
    </row>
    <row r="3097" spans="5:28" x14ac:dyDescent="0.35">
      <c r="E3097">
        <v>3088</v>
      </c>
      <c r="F3097" t="e">
        <f>INDEX(Stammdaten[D Mitte mit Rinde (mm)],MATCH(Tabelle8[[#This Row],[Rank]],Stammdaten[Rank Verteilung D Mitte mit Rinde],0))</f>
        <v>#N/A</v>
      </c>
      <c r="G3097" t="e">
        <f>VLOOKUP(Tabelle8[[#This Row],[Rank]],Stammdaten[[Rank Verteilung D Mitte mit Rinde]:[Verteilung D Mitte mit Rinde]],2,FALSE)</f>
        <v>#N/A</v>
      </c>
      <c r="L3097">
        <v>3088</v>
      </c>
      <c r="M3097" t="e">
        <f>INDEX(Stammdaten[Abholzigkeit (mm/lfm)],MATCH(Tabelle9[[#This Row],[Rank]],Stammdaten[Rank Verteilung Abholzigkeit],0))</f>
        <v>#N/A</v>
      </c>
      <c r="N3097" t="e">
        <f>VLOOKUP(Tabelle9[[#This Row],[Rank]],Stammdaten[[Rank Verteilung Abholzigkeit]:[Verteilung Abholzigkeit]],2,FALSE)</f>
        <v>#N/A</v>
      </c>
      <c r="S3097">
        <v>3088</v>
      </c>
      <c r="T3097" t="e">
        <f>INDEX(Stammdaten[Krümmung (mm/lfm)],MATCH(Tabelle10[[#This Row],[Rank]],Stammdaten[Rank Verteilung Krümmung],0))</f>
        <v>#N/A</v>
      </c>
      <c r="U3097" t="e">
        <f>VLOOKUP(Tabelle10[[#This Row],[Rank]],Stammdaten[[Rank Verteilung Krümmung]:[Verteilung Krümmung]],2,FALSE)</f>
        <v>#N/A</v>
      </c>
      <c r="Z3097">
        <v>3088</v>
      </c>
      <c r="AA3097" t="e">
        <f>INDEX(Stammdaten[Ovalität (']0,1'])],MATCH(Tabelle1014[[#This Row],[Rank]],Stammdaten[Rank Verteilung Ovalität],0))</f>
        <v>#N/A</v>
      </c>
      <c r="AB3097" t="e">
        <f>VLOOKUP(Tabelle1014[[#This Row],[Rank]],Stammdaten[[Rank Verteilung Ovalität]:[Verteilung Ovalität]],2,FALSE)</f>
        <v>#N/A</v>
      </c>
    </row>
    <row r="3098" spans="5:28" x14ac:dyDescent="0.35">
      <c r="E3098">
        <v>3089</v>
      </c>
      <c r="F3098" t="e">
        <f>INDEX(Stammdaten[D Mitte mit Rinde (mm)],MATCH(Tabelle8[[#This Row],[Rank]],Stammdaten[Rank Verteilung D Mitte mit Rinde],0))</f>
        <v>#N/A</v>
      </c>
      <c r="G3098" t="e">
        <f>VLOOKUP(Tabelle8[[#This Row],[Rank]],Stammdaten[[Rank Verteilung D Mitte mit Rinde]:[Verteilung D Mitte mit Rinde]],2,FALSE)</f>
        <v>#N/A</v>
      </c>
      <c r="L3098">
        <v>3089</v>
      </c>
      <c r="M3098" t="e">
        <f>INDEX(Stammdaten[Abholzigkeit (mm/lfm)],MATCH(Tabelle9[[#This Row],[Rank]],Stammdaten[Rank Verteilung Abholzigkeit],0))</f>
        <v>#N/A</v>
      </c>
      <c r="N3098" t="e">
        <f>VLOOKUP(Tabelle9[[#This Row],[Rank]],Stammdaten[[Rank Verteilung Abholzigkeit]:[Verteilung Abholzigkeit]],2,FALSE)</f>
        <v>#N/A</v>
      </c>
      <c r="S3098">
        <v>3089</v>
      </c>
      <c r="T3098" t="e">
        <f>INDEX(Stammdaten[Krümmung (mm/lfm)],MATCH(Tabelle10[[#This Row],[Rank]],Stammdaten[Rank Verteilung Krümmung],0))</f>
        <v>#N/A</v>
      </c>
      <c r="U3098" t="e">
        <f>VLOOKUP(Tabelle10[[#This Row],[Rank]],Stammdaten[[Rank Verteilung Krümmung]:[Verteilung Krümmung]],2,FALSE)</f>
        <v>#N/A</v>
      </c>
      <c r="Z3098">
        <v>3089</v>
      </c>
      <c r="AA3098" t="e">
        <f>INDEX(Stammdaten[Ovalität (']0,1'])],MATCH(Tabelle1014[[#This Row],[Rank]],Stammdaten[Rank Verteilung Ovalität],0))</f>
        <v>#N/A</v>
      </c>
      <c r="AB3098" t="e">
        <f>VLOOKUP(Tabelle1014[[#This Row],[Rank]],Stammdaten[[Rank Verteilung Ovalität]:[Verteilung Ovalität]],2,FALSE)</f>
        <v>#N/A</v>
      </c>
    </row>
    <row r="3099" spans="5:28" x14ac:dyDescent="0.35">
      <c r="E3099">
        <v>3090</v>
      </c>
      <c r="F3099" t="e">
        <f>INDEX(Stammdaten[D Mitte mit Rinde (mm)],MATCH(Tabelle8[[#This Row],[Rank]],Stammdaten[Rank Verteilung D Mitte mit Rinde],0))</f>
        <v>#N/A</v>
      </c>
      <c r="G3099" t="e">
        <f>VLOOKUP(Tabelle8[[#This Row],[Rank]],Stammdaten[[Rank Verteilung D Mitte mit Rinde]:[Verteilung D Mitte mit Rinde]],2,FALSE)</f>
        <v>#N/A</v>
      </c>
      <c r="L3099">
        <v>3090</v>
      </c>
      <c r="M3099" t="e">
        <f>INDEX(Stammdaten[Abholzigkeit (mm/lfm)],MATCH(Tabelle9[[#This Row],[Rank]],Stammdaten[Rank Verteilung Abholzigkeit],0))</f>
        <v>#N/A</v>
      </c>
      <c r="N3099" t="e">
        <f>VLOOKUP(Tabelle9[[#This Row],[Rank]],Stammdaten[[Rank Verteilung Abholzigkeit]:[Verteilung Abholzigkeit]],2,FALSE)</f>
        <v>#N/A</v>
      </c>
      <c r="S3099">
        <v>3090</v>
      </c>
      <c r="T3099" t="e">
        <f>INDEX(Stammdaten[Krümmung (mm/lfm)],MATCH(Tabelle10[[#This Row],[Rank]],Stammdaten[Rank Verteilung Krümmung],0))</f>
        <v>#N/A</v>
      </c>
      <c r="U3099" t="e">
        <f>VLOOKUP(Tabelle10[[#This Row],[Rank]],Stammdaten[[Rank Verteilung Krümmung]:[Verteilung Krümmung]],2,FALSE)</f>
        <v>#N/A</v>
      </c>
      <c r="Z3099">
        <v>3090</v>
      </c>
      <c r="AA3099" t="e">
        <f>INDEX(Stammdaten[Ovalität (']0,1'])],MATCH(Tabelle1014[[#This Row],[Rank]],Stammdaten[Rank Verteilung Ovalität],0))</f>
        <v>#N/A</v>
      </c>
      <c r="AB3099" t="e">
        <f>VLOOKUP(Tabelle1014[[#This Row],[Rank]],Stammdaten[[Rank Verteilung Ovalität]:[Verteilung Ovalität]],2,FALSE)</f>
        <v>#N/A</v>
      </c>
    </row>
    <row r="3100" spans="5:28" x14ac:dyDescent="0.35">
      <c r="E3100">
        <v>3091</v>
      </c>
      <c r="F3100" t="e">
        <f>INDEX(Stammdaten[D Mitte mit Rinde (mm)],MATCH(Tabelle8[[#This Row],[Rank]],Stammdaten[Rank Verteilung D Mitte mit Rinde],0))</f>
        <v>#N/A</v>
      </c>
      <c r="G3100" t="e">
        <f>VLOOKUP(Tabelle8[[#This Row],[Rank]],Stammdaten[[Rank Verteilung D Mitte mit Rinde]:[Verteilung D Mitte mit Rinde]],2,FALSE)</f>
        <v>#N/A</v>
      </c>
      <c r="L3100">
        <v>3091</v>
      </c>
      <c r="M3100" t="e">
        <f>INDEX(Stammdaten[Abholzigkeit (mm/lfm)],MATCH(Tabelle9[[#This Row],[Rank]],Stammdaten[Rank Verteilung Abholzigkeit],0))</f>
        <v>#N/A</v>
      </c>
      <c r="N3100" t="e">
        <f>VLOOKUP(Tabelle9[[#This Row],[Rank]],Stammdaten[[Rank Verteilung Abholzigkeit]:[Verteilung Abholzigkeit]],2,FALSE)</f>
        <v>#N/A</v>
      </c>
      <c r="S3100">
        <v>3091</v>
      </c>
      <c r="T3100" t="e">
        <f>INDEX(Stammdaten[Krümmung (mm/lfm)],MATCH(Tabelle10[[#This Row],[Rank]],Stammdaten[Rank Verteilung Krümmung],0))</f>
        <v>#N/A</v>
      </c>
      <c r="U3100" t="e">
        <f>VLOOKUP(Tabelle10[[#This Row],[Rank]],Stammdaten[[Rank Verteilung Krümmung]:[Verteilung Krümmung]],2,FALSE)</f>
        <v>#N/A</v>
      </c>
      <c r="Z3100">
        <v>3091</v>
      </c>
      <c r="AA3100" t="e">
        <f>INDEX(Stammdaten[Ovalität (']0,1'])],MATCH(Tabelle1014[[#This Row],[Rank]],Stammdaten[Rank Verteilung Ovalität],0))</f>
        <v>#N/A</v>
      </c>
      <c r="AB3100" t="e">
        <f>VLOOKUP(Tabelle1014[[#This Row],[Rank]],Stammdaten[[Rank Verteilung Ovalität]:[Verteilung Ovalität]],2,FALSE)</f>
        <v>#N/A</v>
      </c>
    </row>
    <row r="3101" spans="5:28" x14ac:dyDescent="0.35">
      <c r="E3101">
        <v>3092</v>
      </c>
      <c r="F3101" t="e">
        <f>INDEX(Stammdaten[D Mitte mit Rinde (mm)],MATCH(Tabelle8[[#This Row],[Rank]],Stammdaten[Rank Verteilung D Mitte mit Rinde],0))</f>
        <v>#N/A</v>
      </c>
      <c r="G3101" t="e">
        <f>VLOOKUP(Tabelle8[[#This Row],[Rank]],Stammdaten[[Rank Verteilung D Mitte mit Rinde]:[Verteilung D Mitte mit Rinde]],2,FALSE)</f>
        <v>#N/A</v>
      </c>
      <c r="L3101">
        <v>3092</v>
      </c>
      <c r="M3101" t="e">
        <f>INDEX(Stammdaten[Abholzigkeit (mm/lfm)],MATCH(Tabelle9[[#This Row],[Rank]],Stammdaten[Rank Verteilung Abholzigkeit],0))</f>
        <v>#N/A</v>
      </c>
      <c r="N3101" t="e">
        <f>VLOOKUP(Tabelle9[[#This Row],[Rank]],Stammdaten[[Rank Verteilung Abholzigkeit]:[Verteilung Abholzigkeit]],2,FALSE)</f>
        <v>#N/A</v>
      </c>
      <c r="S3101">
        <v>3092</v>
      </c>
      <c r="T3101" t="e">
        <f>INDEX(Stammdaten[Krümmung (mm/lfm)],MATCH(Tabelle10[[#This Row],[Rank]],Stammdaten[Rank Verteilung Krümmung],0))</f>
        <v>#N/A</v>
      </c>
      <c r="U3101" t="e">
        <f>VLOOKUP(Tabelle10[[#This Row],[Rank]],Stammdaten[[Rank Verteilung Krümmung]:[Verteilung Krümmung]],2,FALSE)</f>
        <v>#N/A</v>
      </c>
      <c r="Z3101">
        <v>3092</v>
      </c>
      <c r="AA3101" t="e">
        <f>INDEX(Stammdaten[Ovalität (']0,1'])],MATCH(Tabelle1014[[#This Row],[Rank]],Stammdaten[Rank Verteilung Ovalität],0))</f>
        <v>#N/A</v>
      </c>
      <c r="AB3101" t="e">
        <f>VLOOKUP(Tabelle1014[[#This Row],[Rank]],Stammdaten[[Rank Verteilung Ovalität]:[Verteilung Ovalität]],2,FALSE)</f>
        <v>#N/A</v>
      </c>
    </row>
    <row r="3102" spans="5:28" x14ac:dyDescent="0.35">
      <c r="E3102">
        <v>3093</v>
      </c>
      <c r="F3102" t="e">
        <f>INDEX(Stammdaten[D Mitte mit Rinde (mm)],MATCH(Tabelle8[[#This Row],[Rank]],Stammdaten[Rank Verteilung D Mitte mit Rinde],0))</f>
        <v>#N/A</v>
      </c>
      <c r="G3102" t="e">
        <f>VLOOKUP(Tabelle8[[#This Row],[Rank]],Stammdaten[[Rank Verteilung D Mitte mit Rinde]:[Verteilung D Mitte mit Rinde]],2,FALSE)</f>
        <v>#N/A</v>
      </c>
      <c r="L3102">
        <v>3093</v>
      </c>
      <c r="M3102" t="e">
        <f>INDEX(Stammdaten[Abholzigkeit (mm/lfm)],MATCH(Tabelle9[[#This Row],[Rank]],Stammdaten[Rank Verteilung Abholzigkeit],0))</f>
        <v>#N/A</v>
      </c>
      <c r="N3102" t="e">
        <f>VLOOKUP(Tabelle9[[#This Row],[Rank]],Stammdaten[[Rank Verteilung Abholzigkeit]:[Verteilung Abholzigkeit]],2,FALSE)</f>
        <v>#N/A</v>
      </c>
      <c r="S3102">
        <v>3093</v>
      </c>
      <c r="T3102" t="e">
        <f>INDEX(Stammdaten[Krümmung (mm/lfm)],MATCH(Tabelle10[[#This Row],[Rank]],Stammdaten[Rank Verteilung Krümmung],0))</f>
        <v>#N/A</v>
      </c>
      <c r="U3102" t="e">
        <f>VLOOKUP(Tabelle10[[#This Row],[Rank]],Stammdaten[[Rank Verteilung Krümmung]:[Verteilung Krümmung]],2,FALSE)</f>
        <v>#N/A</v>
      </c>
      <c r="Z3102">
        <v>3093</v>
      </c>
      <c r="AA3102" t="e">
        <f>INDEX(Stammdaten[Ovalität (']0,1'])],MATCH(Tabelle1014[[#This Row],[Rank]],Stammdaten[Rank Verteilung Ovalität],0))</f>
        <v>#N/A</v>
      </c>
      <c r="AB3102" t="e">
        <f>VLOOKUP(Tabelle1014[[#This Row],[Rank]],Stammdaten[[Rank Verteilung Ovalität]:[Verteilung Ovalität]],2,FALSE)</f>
        <v>#N/A</v>
      </c>
    </row>
    <row r="3103" spans="5:28" x14ac:dyDescent="0.35">
      <c r="E3103">
        <v>3094</v>
      </c>
      <c r="F3103" t="e">
        <f>INDEX(Stammdaten[D Mitte mit Rinde (mm)],MATCH(Tabelle8[[#This Row],[Rank]],Stammdaten[Rank Verteilung D Mitte mit Rinde],0))</f>
        <v>#N/A</v>
      </c>
      <c r="G3103" t="e">
        <f>VLOOKUP(Tabelle8[[#This Row],[Rank]],Stammdaten[[Rank Verteilung D Mitte mit Rinde]:[Verteilung D Mitte mit Rinde]],2,FALSE)</f>
        <v>#N/A</v>
      </c>
      <c r="L3103">
        <v>3094</v>
      </c>
      <c r="M3103" t="e">
        <f>INDEX(Stammdaten[Abholzigkeit (mm/lfm)],MATCH(Tabelle9[[#This Row],[Rank]],Stammdaten[Rank Verteilung Abholzigkeit],0))</f>
        <v>#N/A</v>
      </c>
      <c r="N3103" t="e">
        <f>VLOOKUP(Tabelle9[[#This Row],[Rank]],Stammdaten[[Rank Verteilung Abholzigkeit]:[Verteilung Abholzigkeit]],2,FALSE)</f>
        <v>#N/A</v>
      </c>
      <c r="S3103">
        <v>3094</v>
      </c>
      <c r="T3103" t="e">
        <f>INDEX(Stammdaten[Krümmung (mm/lfm)],MATCH(Tabelle10[[#This Row],[Rank]],Stammdaten[Rank Verteilung Krümmung],0))</f>
        <v>#N/A</v>
      </c>
      <c r="U3103" t="e">
        <f>VLOOKUP(Tabelle10[[#This Row],[Rank]],Stammdaten[[Rank Verteilung Krümmung]:[Verteilung Krümmung]],2,FALSE)</f>
        <v>#N/A</v>
      </c>
      <c r="Z3103">
        <v>3094</v>
      </c>
      <c r="AA3103" t="e">
        <f>INDEX(Stammdaten[Ovalität (']0,1'])],MATCH(Tabelle1014[[#This Row],[Rank]],Stammdaten[Rank Verteilung Ovalität],0))</f>
        <v>#N/A</v>
      </c>
      <c r="AB3103" t="e">
        <f>VLOOKUP(Tabelle1014[[#This Row],[Rank]],Stammdaten[[Rank Verteilung Ovalität]:[Verteilung Ovalität]],2,FALSE)</f>
        <v>#N/A</v>
      </c>
    </row>
    <row r="3104" spans="5:28" x14ac:dyDescent="0.35">
      <c r="E3104">
        <v>3095</v>
      </c>
      <c r="F3104" t="e">
        <f>INDEX(Stammdaten[D Mitte mit Rinde (mm)],MATCH(Tabelle8[[#This Row],[Rank]],Stammdaten[Rank Verteilung D Mitte mit Rinde],0))</f>
        <v>#N/A</v>
      </c>
      <c r="G3104" t="e">
        <f>VLOOKUP(Tabelle8[[#This Row],[Rank]],Stammdaten[[Rank Verteilung D Mitte mit Rinde]:[Verteilung D Mitte mit Rinde]],2,FALSE)</f>
        <v>#N/A</v>
      </c>
      <c r="L3104">
        <v>3095</v>
      </c>
      <c r="M3104" t="e">
        <f>INDEX(Stammdaten[Abholzigkeit (mm/lfm)],MATCH(Tabelle9[[#This Row],[Rank]],Stammdaten[Rank Verteilung Abholzigkeit],0))</f>
        <v>#N/A</v>
      </c>
      <c r="N3104" t="e">
        <f>VLOOKUP(Tabelle9[[#This Row],[Rank]],Stammdaten[[Rank Verteilung Abholzigkeit]:[Verteilung Abholzigkeit]],2,FALSE)</f>
        <v>#N/A</v>
      </c>
      <c r="S3104">
        <v>3095</v>
      </c>
      <c r="T3104" t="e">
        <f>INDEX(Stammdaten[Krümmung (mm/lfm)],MATCH(Tabelle10[[#This Row],[Rank]],Stammdaten[Rank Verteilung Krümmung],0))</f>
        <v>#N/A</v>
      </c>
      <c r="U3104" t="e">
        <f>VLOOKUP(Tabelle10[[#This Row],[Rank]],Stammdaten[[Rank Verteilung Krümmung]:[Verteilung Krümmung]],2,FALSE)</f>
        <v>#N/A</v>
      </c>
      <c r="Z3104">
        <v>3095</v>
      </c>
      <c r="AA3104" t="e">
        <f>INDEX(Stammdaten[Ovalität (']0,1'])],MATCH(Tabelle1014[[#This Row],[Rank]],Stammdaten[Rank Verteilung Ovalität],0))</f>
        <v>#N/A</v>
      </c>
      <c r="AB3104" t="e">
        <f>VLOOKUP(Tabelle1014[[#This Row],[Rank]],Stammdaten[[Rank Verteilung Ovalität]:[Verteilung Ovalität]],2,FALSE)</f>
        <v>#N/A</v>
      </c>
    </row>
    <row r="3105" spans="5:28" x14ac:dyDescent="0.35">
      <c r="E3105">
        <v>3096</v>
      </c>
      <c r="F3105" t="e">
        <f>INDEX(Stammdaten[D Mitte mit Rinde (mm)],MATCH(Tabelle8[[#This Row],[Rank]],Stammdaten[Rank Verteilung D Mitte mit Rinde],0))</f>
        <v>#N/A</v>
      </c>
      <c r="G3105" t="e">
        <f>VLOOKUP(Tabelle8[[#This Row],[Rank]],Stammdaten[[Rank Verteilung D Mitte mit Rinde]:[Verteilung D Mitte mit Rinde]],2,FALSE)</f>
        <v>#N/A</v>
      </c>
      <c r="L3105">
        <v>3096</v>
      </c>
      <c r="M3105" t="e">
        <f>INDEX(Stammdaten[Abholzigkeit (mm/lfm)],MATCH(Tabelle9[[#This Row],[Rank]],Stammdaten[Rank Verteilung Abholzigkeit],0))</f>
        <v>#N/A</v>
      </c>
      <c r="N3105" t="e">
        <f>VLOOKUP(Tabelle9[[#This Row],[Rank]],Stammdaten[[Rank Verteilung Abholzigkeit]:[Verteilung Abholzigkeit]],2,FALSE)</f>
        <v>#N/A</v>
      </c>
      <c r="S3105">
        <v>3096</v>
      </c>
      <c r="T3105" t="e">
        <f>INDEX(Stammdaten[Krümmung (mm/lfm)],MATCH(Tabelle10[[#This Row],[Rank]],Stammdaten[Rank Verteilung Krümmung],0))</f>
        <v>#N/A</v>
      </c>
      <c r="U3105" t="e">
        <f>VLOOKUP(Tabelle10[[#This Row],[Rank]],Stammdaten[[Rank Verteilung Krümmung]:[Verteilung Krümmung]],2,FALSE)</f>
        <v>#N/A</v>
      </c>
      <c r="Z3105">
        <v>3096</v>
      </c>
      <c r="AA3105" t="e">
        <f>INDEX(Stammdaten[Ovalität (']0,1'])],MATCH(Tabelle1014[[#This Row],[Rank]],Stammdaten[Rank Verteilung Ovalität],0))</f>
        <v>#N/A</v>
      </c>
      <c r="AB3105" t="e">
        <f>VLOOKUP(Tabelle1014[[#This Row],[Rank]],Stammdaten[[Rank Verteilung Ovalität]:[Verteilung Ovalität]],2,FALSE)</f>
        <v>#N/A</v>
      </c>
    </row>
    <row r="3106" spans="5:28" x14ac:dyDescent="0.35">
      <c r="E3106">
        <v>3097</v>
      </c>
      <c r="F3106" t="e">
        <f>INDEX(Stammdaten[D Mitte mit Rinde (mm)],MATCH(Tabelle8[[#This Row],[Rank]],Stammdaten[Rank Verteilung D Mitte mit Rinde],0))</f>
        <v>#N/A</v>
      </c>
      <c r="G3106" t="e">
        <f>VLOOKUP(Tabelle8[[#This Row],[Rank]],Stammdaten[[Rank Verteilung D Mitte mit Rinde]:[Verteilung D Mitte mit Rinde]],2,FALSE)</f>
        <v>#N/A</v>
      </c>
      <c r="L3106">
        <v>3097</v>
      </c>
      <c r="M3106" t="e">
        <f>INDEX(Stammdaten[Abholzigkeit (mm/lfm)],MATCH(Tabelle9[[#This Row],[Rank]],Stammdaten[Rank Verteilung Abholzigkeit],0))</f>
        <v>#N/A</v>
      </c>
      <c r="N3106" t="e">
        <f>VLOOKUP(Tabelle9[[#This Row],[Rank]],Stammdaten[[Rank Verteilung Abholzigkeit]:[Verteilung Abholzigkeit]],2,FALSE)</f>
        <v>#N/A</v>
      </c>
      <c r="S3106">
        <v>3097</v>
      </c>
      <c r="T3106" t="e">
        <f>INDEX(Stammdaten[Krümmung (mm/lfm)],MATCH(Tabelle10[[#This Row],[Rank]],Stammdaten[Rank Verteilung Krümmung],0))</f>
        <v>#N/A</v>
      </c>
      <c r="U3106" t="e">
        <f>VLOOKUP(Tabelle10[[#This Row],[Rank]],Stammdaten[[Rank Verteilung Krümmung]:[Verteilung Krümmung]],2,FALSE)</f>
        <v>#N/A</v>
      </c>
      <c r="Z3106">
        <v>3097</v>
      </c>
      <c r="AA3106" t="e">
        <f>INDEX(Stammdaten[Ovalität (']0,1'])],MATCH(Tabelle1014[[#This Row],[Rank]],Stammdaten[Rank Verteilung Ovalität],0))</f>
        <v>#N/A</v>
      </c>
      <c r="AB3106" t="e">
        <f>VLOOKUP(Tabelle1014[[#This Row],[Rank]],Stammdaten[[Rank Verteilung Ovalität]:[Verteilung Ovalität]],2,FALSE)</f>
        <v>#N/A</v>
      </c>
    </row>
    <row r="3107" spans="5:28" x14ac:dyDescent="0.35">
      <c r="E3107">
        <v>3098</v>
      </c>
      <c r="F3107" t="e">
        <f>INDEX(Stammdaten[D Mitte mit Rinde (mm)],MATCH(Tabelle8[[#This Row],[Rank]],Stammdaten[Rank Verteilung D Mitte mit Rinde],0))</f>
        <v>#N/A</v>
      </c>
      <c r="G3107" t="e">
        <f>VLOOKUP(Tabelle8[[#This Row],[Rank]],Stammdaten[[Rank Verteilung D Mitte mit Rinde]:[Verteilung D Mitte mit Rinde]],2,FALSE)</f>
        <v>#N/A</v>
      </c>
      <c r="L3107">
        <v>3098</v>
      </c>
      <c r="M3107" t="e">
        <f>INDEX(Stammdaten[Abholzigkeit (mm/lfm)],MATCH(Tabelle9[[#This Row],[Rank]],Stammdaten[Rank Verteilung Abholzigkeit],0))</f>
        <v>#N/A</v>
      </c>
      <c r="N3107" t="e">
        <f>VLOOKUP(Tabelle9[[#This Row],[Rank]],Stammdaten[[Rank Verteilung Abholzigkeit]:[Verteilung Abholzigkeit]],2,FALSE)</f>
        <v>#N/A</v>
      </c>
      <c r="S3107">
        <v>3098</v>
      </c>
      <c r="T3107" t="e">
        <f>INDEX(Stammdaten[Krümmung (mm/lfm)],MATCH(Tabelle10[[#This Row],[Rank]],Stammdaten[Rank Verteilung Krümmung],0))</f>
        <v>#N/A</v>
      </c>
      <c r="U3107" t="e">
        <f>VLOOKUP(Tabelle10[[#This Row],[Rank]],Stammdaten[[Rank Verteilung Krümmung]:[Verteilung Krümmung]],2,FALSE)</f>
        <v>#N/A</v>
      </c>
      <c r="Z3107">
        <v>3098</v>
      </c>
      <c r="AA3107" t="e">
        <f>INDEX(Stammdaten[Ovalität (']0,1'])],MATCH(Tabelle1014[[#This Row],[Rank]],Stammdaten[Rank Verteilung Ovalität],0))</f>
        <v>#N/A</v>
      </c>
      <c r="AB3107" t="e">
        <f>VLOOKUP(Tabelle1014[[#This Row],[Rank]],Stammdaten[[Rank Verteilung Ovalität]:[Verteilung Ovalität]],2,FALSE)</f>
        <v>#N/A</v>
      </c>
    </row>
    <row r="3108" spans="5:28" x14ac:dyDescent="0.35">
      <c r="E3108">
        <v>3099</v>
      </c>
      <c r="F3108" t="e">
        <f>INDEX(Stammdaten[D Mitte mit Rinde (mm)],MATCH(Tabelle8[[#This Row],[Rank]],Stammdaten[Rank Verteilung D Mitte mit Rinde],0))</f>
        <v>#N/A</v>
      </c>
      <c r="G3108" t="e">
        <f>VLOOKUP(Tabelle8[[#This Row],[Rank]],Stammdaten[[Rank Verteilung D Mitte mit Rinde]:[Verteilung D Mitte mit Rinde]],2,FALSE)</f>
        <v>#N/A</v>
      </c>
      <c r="L3108">
        <v>3099</v>
      </c>
      <c r="M3108" t="e">
        <f>INDEX(Stammdaten[Abholzigkeit (mm/lfm)],MATCH(Tabelle9[[#This Row],[Rank]],Stammdaten[Rank Verteilung Abholzigkeit],0))</f>
        <v>#N/A</v>
      </c>
      <c r="N3108" t="e">
        <f>VLOOKUP(Tabelle9[[#This Row],[Rank]],Stammdaten[[Rank Verteilung Abholzigkeit]:[Verteilung Abholzigkeit]],2,FALSE)</f>
        <v>#N/A</v>
      </c>
      <c r="S3108">
        <v>3099</v>
      </c>
      <c r="T3108" t="e">
        <f>INDEX(Stammdaten[Krümmung (mm/lfm)],MATCH(Tabelle10[[#This Row],[Rank]],Stammdaten[Rank Verteilung Krümmung],0))</f>
        <v>#N/A</v>
      </c>
      <c r="U3108" t="e">
        <f>VLOOKUP(Tabelle10[[#This Row],[Rank]],Stammdaten[[Rank Verteilung Krümmung]:[Verteilung Krümmung]],2,FALSE)</f>
        <v>#N/A</v>
      </c>
      <c r="Z3108">
        <v>3099</v>
      </c>
      <c r="AA3108" t="e">
        <f>INDEX(Stammdaten[Ovalität (']0,1'])],MATCH(Tabelle1014[[#This Row],[Rank]],Stammdaten[Rank Verteilung Ovalität],0))</f>
        <v>#N/A</v>
      </c>
      <c r="AB3108" t="e">
        <f>VLOOKUP(Tabelle1014[[#This Row],[Rank]],Stammdaten[[Rank Verteilung Ovalität]:[Verteilung Ovalität]],2,FALSE)</f>
        <v>#N/A</v>
      </c>
    </row>
    <row r="3109" spans="5:28" x14ac:dyDescent="0.35">
      <c r="E3109">
        <v>3100</v>
      </c>
      <c r="F3109" t="e">
        <f>INDEX(Stammdaten[D Mitte mit Rinde (mm)],MATCH(Tabelle8[[#This Row],[Rank]],Stammdaten[Rank Verteilung D Mitte mit Rinde],0))</f>
        <v>#N/A</v>
      </c>
      <c r="G3109" t="e">
        <f>VLOOKUP(Tabelle8[[#This Row],[Rank]],Stammdaten[[Rank Verteilung D Mitte mit Rinde]:[Verteilung D Mitte mit Rinde]],2,FALSE)</f>
        <v>#N/A</v>
      </c>
      <c r="L3109">
        <v>3100</v>
      </c>
      <c r="M3109" t="e">
        <f>INDEX(Stammdaten[Abholzigkeit (mm/lfm)],MATCH(Tabelle9[[#This Row],[Rank]],Stammdaten[Rank Verteilung Abholzigkeit],0))</f>
        <v>#N/A</v>
      </c>
      <c r="N3109" t="e">
        <f>VLOOKUP(Tabelle9[[#This Row],[Rank]],Stammdaten[[Rank Verteilung Abholzigkeit]:[Verteilung Abholzigkeit]],2,FALSE)</f>
        <v>#N/A</v>
      </c>
      <c r="S3109">
        <v>3100</v>
      </c>
      <c r="T3109" t="e">
        <f>INDEX(Stammdaten[Krümmung (mm/lfm)],MATCH(Tabelle10[[#This Row],[Rank]],Stammdaten[Rank Verteilung Krümmung],0))</f>
        <v>#N/A</v>
      </c>
      <c r="U3109" t="e">
        <f>VLOOKUP(Tabelle10[[#This Row],[Rank]],Stammdaten[[Rank Verteilung Krümmung]:[Verteilung Krümmung]],2,FALSE)</f>
        <v>#N/A</v>
      </c>
      <c r="Z3109">
        <v>3100</v>
      </c>
      <c r="AA3109" t="e">
        <f>INDEX(Stammdaten[Ovalität (']0,1'])],MATCH(Tabelle1014[[#This Row],[Rank]],Stammdaten[Rank Verteilung Ovalität],0))</f>
        <v>#N/A</v>
      </c>
      <c r="AB3109" t="e">
        <f>VLOOKUP(Tabelle1014[[#This Row],[Rank]],Stammdaten[[Rank Verteilung Ovalität]:[Verteilung Ovalität]],2,FALSE)</f>
        <v>#N/A</v>
      </c>
    </row>
    <row r="3110" spans="5:28" x14ac:dyDescent="0.35">
      <c r="E3110">
        <v>3101</v>
      </c>
      <c r="F3110" t="e">
        <f>INDEX(Stammdaten[D Mitte mit Rinde (mm)],MATCH(Tabelle8[[#This Row],[Rank]],Stammdaten[Rank Verteilung D Mitte mit Rinde],0))</f>
        <v>#N/A</v>
      </c>
      <c r="G3110" t="e">
        <f>VLOOKUP(Tabelle8[[#This Row],[Rank]],Stammdaten[[Rank Verteilung D Mitte mit Rinde]:[Verteilung D Mitte mit Rinde]],2,FALSE)</f>
        <v>#N/A</v>
      </c>
      <c r="L3110">
        <v>3101</v>
      </c>
      <c r="M3110" t="e">
        <f>INDEX(Stammdaten[Abholzigkeit (mm/lfm)],MATCH(Tabelle9[[#This Row],[Rank]],Stammdaten[Rank Verteilung Abholzigkeit],0))</f>
        <v>#N/A</v>
      </c>
      <c r="N3110" t="e">
        <f>VLOOKUP(Tabelle9[[#This Row],[Rank]],Stammdaten[[Rank Verteilung Abholzigkeit]:[Verteilung Abholzigkeit]],2,FALSE)</f>
        <v>#N/A</v>
      </c>
      <c r="S3110">
        <v>3101</v>
      </c>
      <c r="T3110" t="e">
        <f>INDEX(Stammdaten[Krümmung (mm/lfm)],MATCH(Tabelle10[[#This Row],[Rank]],Stammdaten[Rank Verteilung Krümmung],0))</f>
        <v>#N/A</v>
      </c>
      <c r="U3110" t="e">
        <f>VLOOKUP(Tabelle10[[#This Row],[Rank]],Stammdaten[[Rank Verteilung Krümmung]:[Verteilung Krümmung]],2,FALSE)</f>
        <v>#N/A</v>
      </c>
      <c r="Z3110">
        <v>3101</v>
      </c>
      <c r="AA3110" t="e">
        <f>INDEX(Stammdaten[Ovalität (']0,1'])],MATCH(Tabelle1014[[#This Row],[Rank]],Stammdaten[Rank Verteilung Ovalität],0))</f>
        <v>#N/A</v>
      </c>
      <c r="AB3110" t="e">
        <f>VLOOKUP(Tabelle1014[[#This Row],[Rank]],Stammdaten[[Rank Verteilung Ovalität]:[Verteilung Ovalität]],2,FALSE)</f>
        <v>#N/A</v>
      </c>
    </row>
    <row r="3111" spans="5:28" x14ac:dyDescent="0.35">
      <c r="E3111">
        <v>3102</v>
      </c>
      <c r="F3111" t="e">
        <f>INDEX(Stammdaten[D Mitte mit Rinde (mm)],MATCH(Tabelle8[[#This Row],[Rank]],Stammdaten[Rank Verteilung D Mitte mit Rinde],0))</f>
        <v>#N/A</v>
      </c>
      <c r="G3111" t="e">
        <f>VLOOKUP(Tabelle8[[#This Row],[Rank]],Stammdaten[[Rank Verteilung D Mitte mit Rinde]:[Verteilung D Mitte mit Rinde]],2,FALSE)</f>
        <v>#N/A</v>
      </c>
      <c r="L3111">
        <v>3102</v>
      </c>
      <c r="M3111" t="e">
        <f>INDEX(Stammdaten[Abholzigkeit (mm/lfm)],MATCH(Tabelle9[[#This Row],[Rank]],Stammdaten[Rank Verteilung Abholzigkeit],0))</f>
        <v>#N/A</v>
      </c>
      <c r="N3111" t="e">
        <f>VLOOKUP(Tabelle9[[#This Row],[Rank]],Stammdaten[[Rank Verteilung Abholzigkeit]:[Verteilung Abholzigkeit]],2,FALSE)</f>
        <v>#N/A</v>
      </c>
      <c r="S3111">
        <v>3102</v>
      </c>
      <c r="T3111" t="e">
        <f>INDEX(Stammdaten[Krümmung (mm/lfm)],MATCH(Tabelle10[[#This Row],[Rank]],Stammdaten[Rank Verteilung Krümmung],0))</f>
        <v>#N/A</v>
      </c>
      <c r="U3111" t="e">
        <f>VLOOKUP(Tabelle10[[#This Row],[Rank]],Stammdaten[[Rank Verteilung Krümmung]:[Verteilung Krümmung]],2,FALSE)</f>
        <v>#N/A</v>
      </c>
      <c r="Z3111">
        <v>3102</v>
      </c>
      <c r="AA3111" t="e">
        <f>INDEX(Stammdaten[Ovalität (']0,1'])],MATCH(Tabelle1014[[#This Row],[Rank]],Stammdaten[Rank Verteilung Ovalität],0))</f>
        <v>#N/A</v>
      </c>
      <c r="AB3111" t="e">
        <f>VLOOKUP(Tabelle1014[[#This Row],[Rank]],Stammdaten[[Rank Verteilung Ovalität]:[Verteilung Ovalität]],2,FALSE)</f>
        <v>#N/A</v>
      </c>
    </row>
    <row r="3112" spans="5:28" x14ac:dyDescent="0.35">
      <c r="E3112">
        <v>3103</v>
      </c>
      <c r="F3112" t="e">
        <f>INDEX(Stammdaten[D Mitte mit Rinde (mm)],MATCH(Tabelle8[[#This Row],[Rank]],Stammdaten[Rank Verteilung D Mitte mit Rinde],0))</f>
        <v>#N/A</v>
      </c>
      <c r="G3112" t="e">
        <f>VLOOKUP(Tabelle8[[#This Row],[Rank]],Stammdaten[[Rank Verteilung D Mitte mit Rinde]:[Verteilung D Mitte mit Rinde]],2,FALSE)</f>
        <v>#N/A</v>
      </c>
      <c r="L3112">
        <v>3103</v>
      </c>
      <c r="M3112" t="e">
        <f>INDEX(Stammdaten[Abholzigkeit (mm/lfm)],MATCH(Tabelle9[[#This Row],[Rank]],Stammdaten[Rank Verteilung Abholzigkeit],0))</f>
        <v>#N/A</v>
      </c>
      <c r="N3112" t="e">
        <f>VLOOKUP(Tabelle9[[#This Row],[Rank]],Stammdaten[[Rank Verteilung Abholzigkeit]:[Verteilung Abholzigkeit]],2,FALSE)</f>
        <v>#N/A</v>
      </c>
      <c r="S3112">
        <v>3103</v>
      </c>
      <c r="T3112" t="e">
        <f>INDEX(Stammdaten[Krümmung (mm/lfm)],MATCH(Tabelle10[[#This Row],[Rank]],Stammdaten[Rank Verteilung Krümmung],0))</f>
        <v>#N/A</v>
      </c>
      <c r="U3112" t="e">
        <f>VLOOKUP(Tabelle10[[#This Row],[Rank]],Stammdaten[[Rank Verteilung Krümmung]:[Verteilung Krümmung]],2,FALSE)</f>
        <v>#N/A</v>
      </c>
      <c r="Z3112">
        <v>3103</v>
      </c>
      <c r="AA3112" t="e">
        <f>INDEX(Stammdaten[Ovalität (']0,1'])],MATCH(Tabelle1014[[#This Row],[Rank]],Stammdaten[Rank Verteilung Ovalität],0))</f>
        <v>#N/A</v>
      </c>
      <c r="AB3112" t="e">
        <f>VLOOKUP(Tabelle1014[[#This Row],[Rank]],Stammdaten[[Rank Verteilung Ovalität]:[Verteilung Ovalität]],2,FALSE)</f>
        <v>#N/A</v>
      </c>
    </row>
    <row r="3113" spans="5:28" x14ac:dyDescent="0.35">
      <c r="E3113">
        <v>3104</v>
      </c>
      <c r="F3113" t="e">
        <f>INDEX(Stammdaten[D Mitte mit Rinde (mm)],MATCH(Tabelle8[[#This Row],[Rank]],Stammdaten[Rank Verteilung D Mitte mit Rinde],0))</f>
        <v>#N/A</v>
      </c>
      <c r="G3113" t="e">
        <f>VLOOKUP(Tabelle8[[#This Row],[Rank]],Stammdaten[[Rank Verteilung D Mitte mit Rinde]:[Verteilung D Mitte mit Rinde]],2,FALSE)</f>
        <v>#N/A</v>
      </c>
      <c r="L3113">
        <v>3104</v>
      </c>
      <c r="M3113" t="e">
        <f>INDEX(Stammdaten[Abholzigkeit (mm/lfm)],MATCH(Tabelle9[[#This Row],[Rank]],Stammdaten[Rank Verteilung Abholzigkeit],0))</f>
        <v>#N/A</v>
      </c>
      <c r="N3113" t="e">
        <f>VLOOKUP(Tabelle9[[#This Row],[Rank]],Stammdaten[[Rank Verteilung Abholzigkeit]:[Verteilung Abholzigkeit]],2,FALSE)</f>
        <v>#N/A</v>
      </c>
      <c r="S3113">
        <v>3104</v>
      </c>
      <c r="T3113" t="e">
        <f>INDEX(Stammdaten[Krümmung (mm/lfm)],MATCH(Tabelle10[[#This Row],[Rank]],Stammdaten[Rank Verteilung Krümmung],0))</f>
        <v>#N/A</v>
      </c>
      <c r="U3113" t="e">
        <f>VLOOKUP(Tabelle10[[#This Row],[Rank]],Stammdaten[[Rank Verteilung Krümmung]:[Verteilung Krümmung]],2,FALSE)</f>
        <v>#N/A</v>
      </c>
      <c r="Z3113">
        <v>3104</v>
      </c>
      <c r="AA3113" t="e">
        <f>INDEX(Stammdaten[Ovalität (']0,1'])],MATCH(Tabelle1014[[#This Row],[Rank]],Stammdaten[Rank Verteilung Ovalität],0))</f>
        <v>#N/A</v>
      </c>
      <c r="AB3113" t="e">
        <f>VLOOKUP(Tabelle1014[[#This Row],[Rank]],Stammdaten[[Rank Verteilung Ovalität]:[Verteilung Ovalität]],2,FALSE)</f>
        <v>#N/A</v>
      </c>
    </row>
    <row r="3114" spans="5:28" x14ac:dyDescent="0.35">
      <c r="E3114">
        <v>3105</v>
      </c>
      <c r="F3114" t="e">
        <f>INDEX(Stammdaten[D Mitte mit Rinde (mm)],MATCH(Tabelle8[[#This Row],[Rank]],Stammdaten[Rank Verteilung D Mitte mit Rinde],0))</f>
        <v>#N/A</v>
      </c>
      <c r="G3114" t="e">
        <f>VLOOKUP(Tabelle8[[#This Row],[Rank]],Stammdaten[[Rank Verteilung D Mitte mit Rinde]:[Verteilung D Mitte mit Rinde]],2,FALSE)</f>
        <v>#N/A</v>
      </c>
      <c r="L3114">
        <v>3105</v>
      </c>
      <c r="M3114" t="e">
        <f>INDEX(Stammdaten[Abholzigkeit (mm/lfm)],MATCH(Tabelle9[[#This Row],[Rank]],Stammdaten[Rank Verteilung Abholzigkeit],0))</f>
        <v>#N/A</v>
      </c>
      <c r="N3114" t="e">
        <f>VLOOKUP(Tabelle9[[#This Row],[Rank]],Stammdaten[[Rank Verteilung Abholzigkeit]:[Verteilung Abholzigkeit]],2,FALSE)</f>
        <v>#N/A</v>
      </c>
      <c r="S3114">
        <v>3105</v>
      </c>
      <c r="T3114" t="e">
        <f>INDEX(Stammdaten[Krümmung (mm/lfm)],MATCH(Tabelle10[[#This Row],[Rank]],Stammdaten[Rank Verteilung Krümmung],0))</f>
        <v>#N/A</v>
      </c>
      <c r="U3114" t="e">
        <f>VLOOKUP(Tabelle10[[#This Row],[Rank]],Stammdaten[[Rank Verteilung Krümmung]:[Verteilung Krümmung]],2,FALSE)</f>
        <v>#N/A</v>
      </c>
      <c r="Z3114">
        <v>3105</v>
      </c>
      <c r="AA3114" t="e">
        <f>INDEX(Stammdaten[Ovalität (']0,1'])],MATCH(Tabelle1014[[#This Row],[Rank]],Stammdaten[Rank Verteilung Ovalität],0))</f>
        <v>#N/A</v>
      </c>
      <c r="AB3114" t="e">
        <f>VLOOKUP(Tabelle1014[[#This Row],[Rank]],Stammdaten[[Rank Verteilung Ovalität]:[Verteilung Ovalität]],2,FALSE)</f>
        <v>#N/A</v>
      </c>
    </row>
    <row r="3115" spans="5:28" x14ac:dyDescent="0.35">
      <c r="E3115">
        <v>3106</v>
      </c>
      <c r="F3115" t="e">
        <f>INDEX(Stammdaten[D Mitte mit Rinde (mm)],MATCH(Tabelle8[[#This Row],[Rank]],Stammdaten[Rank Verteilung D Mitte mit Rinde],0))</f>
        <v>#N/A</v>
      </c>
      <c r="G3115" t="e">
        <f>VLOOKUP(Tabelle8[[#This Row],[Rank]],Stammdaten[[Rank Verteilung D Mitte mit Rinde]:[Verteilung D Mitte mit Rinde]],2,FALSE)</f>
        <v>#N/A</v>
      </c>
      <c r="L3115">
        <v>3106</v>
      </c>
      <c r="M3115" t="e">
        <f>INDEX(Stammdaten[Abholzigkeit (mm/lfm)],MATCH(Tabelle9[[#This Row],[Rank]],Stammdaten[Rank Verteilung Abholzigkeit],0))</f>
        <v>#N/A</v>
      </c>
      <c r="N3115" t="e">
        <f>VLOOKUP(Tabelle9[[#This Row],[Rank]],Stammdaten[[Rank Verteilung Abholzigkeit]:[Verteilung Abholzigkeit]],2,FALSE)</f>
        <v>#N/A</v>
      </c>
      <c r="S3115">
        <v>3106</v>
      </c>
      <c r="T3115" t="e">
        <f>INDEX(Stammdaten[Krümmung (mm/lfm)],MATCH(Tabelle10[[#This Row],[Rank]],Stammdaten[Rank Verteilung Krümmung],0))</f>
        <v>#N/A</v>
      </c>
      <c r="U3115" t="e">
        <f>VLOOKUP(Tabelle10[[#This Row],[Rank]],Stammdaten[[Rank Verteilung Krümmung]:[Verteilung Krümmung]],2,FALSE)</f>
        <v>#N/A</v>
      </c>
      <c r="Z3115">
        <v>3106</v>
      </c>
      <c r="AA3115" t="e">
        <f>INDEX(Stammdaten[Ovalität (']0,1'])],MATCH(Tabelle1014[[#This Row],[Rank]],Stammdaten[Rank Verteilung Ovalität],0))</f>
        <v>#N/A</v>
      </c>
      <c r="AB3115" t="e">
        <f>VLOOKUP(Tabelle1014[[#This Row],[Rank]],Stammdaten[[Rank Verteilung Ovalität]:[Verteilung Ovalität]],2,FALSE)</f>
        <v>#N/A</v>
      </c>
    </row>
    <row r="3116" spans="5:28" x14ac:dyDescent="0.35">
      <c r="E3116">
        <v>3107</v>
      </c>
      <c r="F3116" t="e">
        <f>INDEX(Stammdaten[D Mitte mit Rinde (mm)],MATCH(Tabelle8[[#This Row],[Rank]],Stammdaten[Rank Verteilung D Mitte mit Rinde],0))</f>
        <v>#N/A</v>
      </c>
      <c r="G3116" t="e">
        <f>VLOOKUP(Tabelle8[[#This Row],[Rank]],Stammdaten[[Rank Verteilung D Mitte mit Rinde]:[Verteilung D Mitte mit Rinde]],2,FALSE)</f>
        <v>#N/A</v>
      </c>
      <c r="L3116">
        <v>3107</v>
      </c>
      <c r="M3116" t="e">
        <f>INDEX(Stammdaten[Abholzigkeit (mm/lfm)],MATCH(Tabelle9[[#This Row],[Rank]],Stammdaten[Rank Verteilung Abholzigkeit],0))</f>
        <v>#N/A</v>
      </c>
      <c r="N3116" t="e">
        <f>VLOOKUP(Tabelle9[[#This Row],[Rank]],Stammdaten[[Rank Verteilung Abholzigkeit]:[Verteilung Abholzigkeit]],2,FALSE)</f>
        <v>#N/A</v>
      </c>
      <c r="S3116">
        <v>3107</v>
      </c>
      <c r="T3116" t="e">
        <f>INDEX(Stammdaten[Krümmung (mm/lfm)],MATCH(Tabelle10[[#This Row],[Rank]],Stammdaten[Rank Verteilung Krümmung],0))</f>
        <v>#N/A</v>
      </c>
      <c r="U3116" t="e">
        <f>VLOOKUP(Tabelle10[[#This Row],[Rank]],Stammdaten[[Rank Verteilung Krümmung]:[Verteilung Krümmung]],2,FALSE)</f>
        <v>#N/A</v>
      </c>
      <c r="Z3116">
        <v>3107</v>
      </c>
      <c r="AA3116" t="e">
        <f>INDEX(Stammdaten[Ovalität (']0,1'])],MATCH(Tabelle1014[[#This Row],[Rank]],Stammdaten[Rank Verteilung Ovalität],0))</f>
        <v>#N/A</v>
      </c>
      <c r="AB3116" t="e">
        <f>VLOOKUP(Tabelle1014[[#This Row],[Rank]],Stammdaten[[Rank Verteilung Ovalität]:[Verteilung Ovalität]],2,FALSE)</f>
        <v>#N/A</v>
      </c>
    </row>
    <row r="3117" spans="5:28" x14ac:dyDescent="0.35">
      <c r="E3117">
        <v>3108</v>
      </c>
      <c r="F3117" t="e">
        <f>INDEX(Stammdaten[D Mitte mit Rinde (mm)],MATCH(Tabelle8[[#This Row],[Rank]],Stammdaten[Rank Verteilung D Mitte mit Rinde],0))</f>
        <v>#N/A</v>
      </c>
      <c r="G3117" t="e">
        <f>VLOOKUP(Tabelle8[[#This Row],[Rank]],Stammdaten[[Rank Verteilung D Mitte mit Rinde]:[Verteilung D Mitte mit Rinde]],2,FALSE)</f>
        <v>#N/A</v>
      </c>
      <c r="L3117">
        <v>3108</v>
      </c>
      <c r="M3117" t="e">
        <f>INDEX(Stammdaten[Abholzigkeit (mm/lfm)],MATCH(Tabelle9[[#This Row],[Rank]],Stammdaten[Rank Verteilung Abholzigkeit],0))</f>
        <v>#N/A</v>
      </c>
      <c r="N3117" t="e">
        <f>VLOOKUP(Tabelle9[[#This Row],[Rank]],Stammdaten[[Rank Verteilung Abholzigkeit]:[Verteilung Abholzigkeit]],2,FALSE)</f>
        <v>#N/A</v>
      </c>
      <c r="S3117">
        <v>3108</v>
      </c>
      <c r="T3117" t="e">
        <f>INDEX(Stammdaten[Krümmung (mm/lfm)],MATCH(Tabelle10[[#This Row],[Rank]],Stammdaten[Rank Verteilung Krümmung],0))</f>
        <v>#N/A</v>
      </c>
      <c r="U3117" t="e">
        <f>VLOOKUP(Tabelle10[[#This Row],[Rank]],Stammdaten[[Rank Verteilung Krümmung]:[Verteilung Krümmung]],2,FALSE)</f>
        <v>#N/A</v>
      </c>
      <c r="Z3117">
        <v>3108</v>
      </c>
      <c r="AA3117" t="e">
        <f>INDEX(Stammdaten[Ovalität (']0,1'])],MATCH(Tabelle1014[[#This Row],[Rank]],Stammdaten[Rank Verteilung Ovalität],0))</f>
        <v>#N/A</v>
      </c>
      <c r="AB3117" t="e">
        <f>VLOOKUP(Tabelle1014[[#This Row],[Rank]],Stammdaten[[Rank Verteilung Ovalität]:[Verteilung Ovalität]],2,FALSE)</f>
        <v>#N/A</v>
      </c>
    </row>
    <row r="3118" spans="5:28" x14ac:dyDescent="0.35">
      <c r="E3118">
        <v>3109</v>
      </c>
      <c r="F3118" t="e">
        <f>INDEX(Stammdaten[D Mitte mit Rinde (mm)],MATCH(Tabelle8[[#This Row],[Rank]],Stammdaten[Rank Verteilung D Mitte mit Rinde],0))</f>
        <v>#N/A</v>
      </c>
      <c r="G3118" t="e">
        <f>VLOOKUP(Tabelle8[[#This Row],[Rank]],Stammdaten[[Rank Verteilung D Mitte mit Rinde]:[Verteilung D Mitte mit Rinde]],2,FALSE)</f>
        <v>#N/A</v>
      </c>
      <c r="L3118">
        <v>3109</v>
      </c>
      <c r="M3118" t="e">
        <f>INDEX(Stammdaten[Abholzigkeit (mm/lfm)],MATCH(Tabelle9[[#This Row],[Rank]],Stammdaten[Rank Verteilung Abholzigkeit],0))</f>
        <v>#N/A</v>
      </c>
      <c r="N3118" t="e">
        <f>VLOOKUP(Tabelle9[[#This Row],[Rank]],Stammdaten[[Rank Verteilung Abholzigkeit]:[Verteilung Abholzigkeit]],2,FALSE)</f>
        <v>#N/A</v>
      </c>
      <c r="S3118">
        <v>3109</v>
      </c>
      <c r="T3118" t="e">
        <f>INDEX(Stammdaten[Krümmung (mm/lfm)],MATCH(Tabelle10[[#This Row],[Rank]],Stammdaten[Rank Verteilung Krümmung],0))</f>
        <v>#N/A</v>
      </c>
      <c r="U3118" t="e">
        <f>VLOOKUP(Tabelle10[[#This Row],[Rank]],Stammdaten[[Rank Verteilung Krümmung]:[Verteilung Krümmung]],2,FALSE)</f>
        <v>#N/A</v>
      </c>
      <c r="Z3118">
        <v>3109</v>
      </c>
      <c r="AA3118" t="e">
        <f>INDEX(Stammdaten[Ovalität (']0,1'])],MATCH(Tabelle1014[[#This Row],[Rank]],Stammdaten[Rank Verteilung Ovalität],0))</f>
        <v>#N/A</v>
      </c>
      <c r="AB3118" t="e">
        <f>VLOOKUP(Tabelle1014[[#This Row],[Rank]],Stammdaten[[Rank Verteilung Ovalität]:[Verteilung Ovalität]],2,FALSE)</f>
        <v>#N/A</v>
      </c>
    </row>
    <row r="3119" spans="5:28" x14ac:dyDescent="0.35">
      <c r="E3119">
        <v>3110</v>
      </c>
      <c r="F3119" t="e">
        <f>INDEX(Stammdaten[D Mitte mit Rinde (mm)],MATCH(Tabelle8[[#This Row],[Rank]],Stammdaten[Rank Verteilung D Mitte mit Rinde],0))</f>
        <v>#N/A</v>
      </c>
      <c r="G3119" t="e">
        <f>VLOOKUP(Tabelle8[[#This Row],[Rank]],Stammdaten[[Rank Verteilung D Mitte mit Rinde]:[Verteilung D Mitte mit Rinde]],2,FALSE)</f>
        <v>#N/A</v>
      </c>
      <c r="L3119">
        <v>3110</v>
      </c>
      <c r="M3119" t="e">
        <f>INDEX(Stammdaten[Abholzigkeit (mm/lfm)],MATCH(Tabelle9[[#This Row],[Rank]],Stammdaten[Rank Verteilung Abholzigkeit],0))</f>
        <v>#N/A</v>
      </c>
      <c r="N3119" t="e">
        <f>VLOOKUP(Tabelle9[[#This Row],[Rank]],Stammdaten[[Rank Verteilung Abholzigkeit]:[Verteilung Abholzigkeit]],2,FALSE)</f>
        <v>#N/A</v>
      </c>
      <c r="S3119">
        <v>3110</v>
      </c>
      <c r="T3119" t="e">
        <f>INDEX(Stammdaten[Krümmung (mm/lfm)],MATCH(Tabelle10[[#This Row],[Rank]],Stammdaten[Rank Verteilung Krümmung],0))</f>
        <v>#N/A</v>
      </c>
      <c r="U3119" t="e">
        <f>VLOOKUP(Tabelle10[[#This Row],[Rank]],Stammdaten[[Rank Verteilung Krümmung]:[Verteilung Krümmung]],2,FALSE)</f>
        <v>#N/A</v>
      </c>
      <c r="Z3119">
        <v>3110</v>
      </c>
      <c r="AA3119" t="e">
        <f>INDEX(Stammdaten[Ovalität (']0,1'])],MATCH(Tabelle1014[[#This Row],[Rank]],Stammdaten[Rank Verteilung Ovalität],0))</f>
        <v>#N/A</v>
      </c>
      <c r="AB3119" t="e">
        <f>VLOOKUP(Tabelle1014[[#This Row],[Rank]],Stammdaten[[Rank Verteilung Ovalität]:[Verteilung Ovalität]],2,FALSE)</f>
        <v>#N/A</v>
      </c>
    </row>
    <row r="3120" spans="5:28" x14ac:dyDescent="0.35">
      <c r="E3120">
        <v>3111</v>
      </c>
      <c r="F3120" t="e">
        <f>INDEX(Stammdaten[D Mitte mit Rinde (mm)],MATCH(Tabelle8[[#This Row],[Rank]],Stammdaten[Rank Verteilung D Mitte mit Rinde],0))</f>
        <v>#N/A</v>
      </c>
      <c r="G3120" t="e">
        <f>VLOOKUP(Tabelle8[[#This Row],[Rank]],Stammdaten[[Rank Verteilung D Mitte mit Rinde]:[Verteilung D Mitte mit Rinde]],2,FALSE)</f>
        <v>#N/A</v>
      </c>
      <c r="L3120">
        <v>3111</v>
      </c>
      <c r="M3120" t="e">
        <f>INDEX(Stammdaten[Abholzigkeit (mm/lfm)],MATCH(Tabelle9[[#This Row],[Rank]],Stammdaten[Rank Verteilung Abholzigkeit],0))</f>
        <v>#N/A</v>
      </c>
      <c r="N3120" t="e">
        <f>VLOOKUP(Tabelle9[[#This Row],[Rank]],Stammdaten[[Rank Verteilung Abholzigkeit]:[Verteilung Abholzigkeit]],2,FALSE)</f>
        <v>#N/A</v>
      </c>
      <c r="S3120">
        <v>3111</v>
      </c>
      <c r="T3120" t="e">
        <f>INDEX(Stammdaten[Krümmung (mm/lfm)],MATCH(Tabelle10[[#This Row],[Rank]],Stammdaten[Rank Verteilung Krümmung],0))</f>
        <v>#N/A</v>
      </c>
      <c r="U3120" t="e">
        <f>VLOOKUP(Tabelle10[[#This Row],[Rank]],Stammdaten[[Rank Verteilung Krümmung]:[Verteilung Krümmung]],2,FALSE)</f>
        <v>#N/A</v>
      </c>
      <c r="Z3120">
        <v>3111</v>
      </c>
      <c r="AA3120" t="e">
        <f>INDEX(Stammdaten[Ovalität (']0,1'])],MATCH(Tabelle1014[[#This Row],[Rank]],Stammdaten[Rank Verteilung Ovalität],0))</f>
        <v>#N/A</v>
      </c>
      <c r="AB3120" t="e">
        <f>VLOOKUP(Tabelle1014[[#This Row],[Rank]],Stammdaten[[Rank Verteilung Ovalität]:[Verteilung Ovalität]],2,FALSE)</f>
        <v>#N/A</v>
      </c>
    </row>
    <row r="3121" spans="5:28" x14ac:dyDescent="0.35">
      <c r="E3121">
        <v>3112</v>
      </c>
      <c r="F3121" t="e">
        <f>INDEX(Stammdaten[D Mitte mit Rinde (mm)],MATCH(Tabelle8[[#This Row],[Rank]],Stammdaten[Rank Verteilung D Mitte mit Rinde],0))</f>
        <v>#N/A</v>
      </c>
      <c r="G3121" t="e">
        <f>VLOOKUP(Tabelle8[[#This Row],[Rank]],Stammdaten[[Rank Verteilung D Mitte mit Rinde]:[Verteilung D Mitte mit Rinde]],2,FALSE)</f>
        <v>#N/A</v>
      </c>
      <c r="L3121">
        <v>3112</v>
      </c>
      <c r="M3121" t="e">
        <f>INDEX(Stammdaten[Abholzigkeit (mm/lfm)],MATCH(Tabelle9[[#This Row],[Rank]],Stammdaten[Rank Verteilung Abholzigkeit],0))</f>
        <v>#N/A</v>
      </c>
      <c r="N3121" t="e">
        <f>VLOOKUP(Tabelle9[[#This Row],[Rank]],Stammdaten[[Rank Verteilung Abholzigkeit]:[Verteilung Abholzigkeit]],2,FALSE)</f>
        <v>#N/A</v>
      </c>
      <c r="S3121">
        <v>3112</v>
      </c>
      <c r="T3121" t="e">
        <f>INDEX(Stammdaten[Krümmung (mm/lfm)],MATCH(Tabelle10[[#This Row],[Rank]],Stammdaten[Rank Verteilung Krümmung],0))</f>
        <v>#N/A</v>
      </c>
      <c r="U3121" t="e">
        <f>VLOOKUP(Tabelle10[[#This Row],[Rank]],Stammdaten[[Rank Verteilung Krümmung]:[Verteilung Krümmung]],2,FALSE)</f>
        <v>#N/A</v>
      </c>
      <c r="Z3121">
        <v>3112</v>
      </c>
      <c r="AA3121" t="e">
        <f>INDEX(Stammdaten[Ovalität (']0,1'])],MATCH(Tabelle1014[[#This Row],[Rank]],Stammdaten[Rank Verteilung Ovalität],0))</f>
        <v>#N/A</v>
      </c>
      <c r="AB3121" t="e">
        <f>VLOOKUP(Tabelle1014[[#This Row],[Rank]],Stammdaten[[Rank Verteilung Ovalität]:[Verteilung Ovalität]],2,FALSE)</f>
        <v>#N/A</v>
      </c>
    </row>
    <row r="3122" spans="5:28" x14ac:dyDescent="0.35">
      <c r="E3122">
        <v>3113</v>
      </c>
      <c r="F3122" t="e">
        <f>INDEX(Stammdaten[D Mitte mit Rinde (mm)],MATCH(Tabelle8[[#This Row],[Rank]],Stammdaten[Rank Verteilung D Mitte mit Rinde],0))</f>
        <v>#N/A</v>
      </c>
      <c r="G3122" t="e">
        <f>VLOOKUP(Tabelle8[[#This Row],[Rank]],Stammdaten[[Rank Verteilung D Mitte mit Rinde]:[Verteilung D Mitte mit Rinde]],2,FALSE)</f>
        <v>#N/A</v>
      </c>
      <c r="L3122">
        <v>3113</v>
      </c>
      <c r="M3122" t="e">
        <f>INDEX(Stammdaten[Abholzigkeit (mm/lfm)],MATCH(Tabelle9[[#This Row],[Rank]],Stammdaten[Rank Verteilung Abholzigkeit],0))</f>
        <v>#N/A</v>
      </c>
      <c r="N3122" t="e">
        <f>VLOOKUP(Tabelle9[[#This Row],[Rank]],Stammdaten[[Rank Verteilung Abholzigkeit]:[Verteilung Abholzigkeit]],2,FALSE)</f>
        <v>#N/A</v>
      </c>
      <c r="S3122">
        <v>3113</v>
      </c>
      <c r="T3122" t="e">
        <f>INDEX(Stammdaten[Krümmung (mm/lfm)],MATCH(Tabelle10[[#This Row],[Rank]],Stammdaten[Rank Verteilung Krümmung],0))</f>
        <v>#N/A</v>
      </c>
      <c r="U3122" t="e">
        <f>VLOOKUP(Tabelle10[[#This Row],[Rank]],Stammdaten[[Rank Verteilung Krümmung]:[Verteilung Krümmung]],2,FALSE)</f>
        <v>#N/A</v>
      </c>
      <c r="Z3122">
        <v>3113</v>
      </c>
      <c r="AA3122" t="e">
        <f>INDEX(Stammdaten[Ovalität (']0,1'])],MATCH(Tabelle1014[[#This Row],[Rank]],Stammdaten[Rank Verteilung Ovalität],0))</f>
        <v>#N/A</v>
      </c>
      <c r="AB3122" t="e">
        <f>VLOOKUP(Tabelle1014[[#This Row],[Rank]],Stammdaten[[Rank Verteilung Ovalität]:[Verteilung Ovalität]],2,FALSE)</f>
        <v>#N/A</v>
      </c>
    </row>
    <row r="3123" spans="5:28" x14ac:dyDescent="0.35">
      <c r="E3123">
        <v>3114</v>
      </c>
      <c r="F3123" t="e">
        <f>INDEX(Stammdaten[D Mitte mit Rinde (mm)],MATCH(Tabelle8[[#This Row],[Rank]],Stammdaten[Rank Verteilung D Mitte mit Rinde],0))</f>
        <v>#N/A</v>
      </c>
      <c r="G3123" t="e">
        <f>VLOOKUP(Tabelle8[[#This Row],[Rank]],Stammdaten[[Rank Verteilung D Mitte mit Rinde]:[Verteilung D Mitte mit Rinde]],2,FALSE)</f>
        <v>#N/A</v>
      </c>
      <c r="L3123">
        <v>3114</v>
      </c>
      <c r="M3123" t="e">
        <f>INDEX(Stammdaten[Abholzigkeit (mm/lfm)],MATCH(Tabelle9[[#This Row],[Rank]],Stammdaten[Rank Verteilung Abholzigkeit],0))</f>
        <v>#N/A</v>
      </c>
      <c r="N3123" t="e">
        <f>VLOOKUP(Tabelle9[[#This Row],[Rank]],Stammdaten[[Rank Verteilung Abholzigkeit]:[Verteilung Abholzigkeit]],2,FALSE)</f>
        <v>#N/A</v>
      </c>
      <c r="S3123">
        <v>3114</v>
      </c>
      <c r="T3123" t="e">
        <f>INDEX(Stammdaten[Krümmung (mm/lfm)],MATCH(Tabelle10[[#This Row],[Rank]],Stammdaten[Rank Verteilung Krümmung],0))</f>
        <v>#N/A</v>
      </c>
      <c r="U3123" t="e">
        <f>VLOOKUP(Tabelle10[[#This Row],[Rank]],Stammdaten[[Rank Verteilung Krümmung]:[Verteilung Krümmung]],2,FALSE)</f>
        <v>#N/A</v>
      </c>
      <c r="Z3123">
        <v>3114</v>
      </c>
      <c r="AA3123" t="e">
        <f>INDEX(Stammdaten[Ovalität (']0,1'])],MATCH(Tabelle1014[[#This Row],[Rank]],Stammdaten[Rank Verteilung Ovalität],0))</f>
        <v>#N/A</v>
      </c>
      <c r="AB3123" t="e">
        <f>VLOOKUP(Tabelle1014[[#This Row],[Rank]],Stammdaten[[Rank Verteilung Ovalität]:[Verteilung Ovalität]],2,FALSE)</f>
        <v>#N/A</v>
      </c>
    </row>
    <row r="3124" spans="5:28" x14ac:dyDescent="0.35">
      <c r="E3124">
        <v>3115</v>
      </c>
      <c r="F3124" t="e">
        <f>INDEX(Stammdaten[D Mitte mit Rinde (mm)],MATCH(Tabelle8[[#This Row],[Rank]],Stammdaten[Rank Verteilung D Mitte mit Rinde],0))</f>
        <v>#N/A</v>
      </c>
      <c r="G3124" t="e">
        <f>VLOOKUP(Tabelle8[[#This Row],[Rank]],Stammdaten[[Rank Verteilung D Mitte mit Rinde]:[Verteilung D Mitte mit Rinde]],2,FALSE)</f>
        <v>#N/A</v>
      </c>
      <c r="L3124">
        <v>3115</v>
      </c>
      <c r="M3124" t="e">
        <f>INDEX(Stammdaten[Abholzigkeit (mm/lfm)],MATCH(Tabelle9[[#This Row],[Rank]],Stammdaten[Rank Verteilung Abholzigkeit],0))</f>
        <v>#N/A</v>
      </c>
      <c r="N3124" t="e">
        <f>VLOOKUP(Tabelle9[[#This Row],[Rank]],Stammdaten[[Rank Verteilung Abholzigkeit]:[Verteilung Abholzigkeit]],2,FALSE)</f>
        <v>#N/A</v>
      </c>
      <c r="S3124">
        <v>3115</v>
      </c>
      <c r="T3124" t="e">
        <f>INDEX(Stammdaten[Krümmung (mm/lfm)],MATCH(Tabelle10[[#This Row],[Rank]],Stammdaten[Rank Verteilung Krümmung],0))</f>
        <v>#N/A</v>
      </c>
      <c r="U3124" t="e">
        <f>VLOOKUP(Tabelle10[[#This Row],[Rank]],Stammdaten[[Rank Verteilung Krümmung]:[Verteilung Krümmung]],2,FALSE)</f>
        <v>#N/A</v>
      </c>
      <c r="Z3124">
        <v>3115</v>
      </c>
      <c r="AA3124" t="e">
        <f>INDEX(Stammdaten[Ovalität (']0,1'])],MATCH(Tabelle1014[[#This Row],[Rank]],Stammdaten[Rank Verteilung Ovalität],0))</f>
        <v>#N/A</v>
      </c>
      <c r="AB3124" t="e">
        <f>VLOOKUP(Tabelle1014[[#This Row],[Rank]],Stammdaten[[Rank Verteilung Ovalität]:[Verteilung Ovalität]],2,FALSE)</f>
        <v>#N/A</v>
      </c>
    </row>
    <row r="3125" spans="5:28" x14ac:dyDescent="0.35">
      <c r="E3125">
        <v>3116</v>
      </c>
      <c r="F3125" t="e">
        <f>INDEX(Stammdaten[D Mitte mit Rinde (mm)],MATCH(Tabelle8[[#This Row],[Rank]],Stammdaten[Rank Verteilung D Mitte mit Rinde],0))</f>
        <v>#N/A</v>
      </c>
      <c r="G3125" t="e">
        <f>VLOOKUP(Tabelle8[[#This Row],[Rank]],Stammdaten[[Rank Verteilung D Mitte mit Rinde]:[Verteilung D Mitte mit Rinde]],2,FALSE)</f>
        <v>#N/A</v>
      </c>
      <c r="L3125">
        <v>3116</v>
      </c>
      <c r="M3125" t="e">
        <f>INDEX(Stammdaten[Abholzigkeit (mm/lfm)],MATCH(Tabelle9[[#This Row],[Rank]],Stammdaten[Rank Verteilung Abholzigkeit],0))</f>
        <v>#N/A</v>
      </c>
      <c r="N3125" t="e">
        <f>VLOOKUP(Tabelle9[[#This Row],[Rank]],Stammdaten[[Rank Verteilung Abholzigkeit]:[Verteilung Abholzigkeit]],2,FALSE)</f>
        <v>#N/A</v>
      </c>
      <c r="S3125">
        <v>3116</v>
      </c>
      <c r="T3125" t="e">
        <f>INDEX(Stammdaten[Krümmung (mm/lfm)],MATCH(Tabelle10[[#This Row],[Rank]],Stammdaten[Rank Verteilung Krümmung],0))</f>
        <v>#N/A</v>
      </c>
      <c r="U3125" t="e">
        <f>VLOOKUP(Tabelle10[[#This Row],[Rank]],Stammdaten[[Rank Verteilung Krümmung]:[Verteilung Krümmung]],2,FALSE)</f>
        <v>#N/A</v>
      </c>
      <c r="Z3125">
        <v>3116</v>
      </c>
      <c r="AA3125" t="e">
        <f>INDEX(Stammdaten[Ovalität (']0,1'])],MATCH(Tabelle1014[[#This Row],[Rank]],Stammdaten[Rank Verteilung Ovalität],0))</f>
        <v>#N/A</v>
      </c>
      <c r="AB3125" t="e">
        <f>VLOOKUP(Tabelle1014[[#This Row],[Rank]],Stammdaten[[Rank Verteilung Ovalität]:[Verteilung Ovalität]],2,FALSE)</f>
        <v>#N/A</v>
      </c>
    </row>
    <row r="3126" spans="5:28" x14ac:dyDescent="0.35">
      <c r="E3126">
        <v>3117</v>
      </c>
      <c r="F3126" t="e">
        <f>INDEX(Stammdaten[D Mitte mit Rinde (mm)],MATCH(Tabelle8[[#This Row],[Rank]],Stammdaten[Rank Verteilung D Mitte mit Rinde],0))</f>
        <v>#N/A</v>
      </c>
      <c r="G3126" t="e">
        <f>VLOOKUP(Tabelle8[[#This Row],[Rank]],Stammdaten[[Rank Verteilung D Mitte mit Rinde]:[Verteilung D Mitte mit Rinde]],2,FALSE)</f>
        <v>#N/A</v>
      </c>
      <c r="L3126">
        <v>3117</v>
      </c>
      <c r="M3126" t="e">
        <f>INDEX(Stammdaten[Abholzigkeit (mm/lfm)],MATCH(Tabelle9[[#This Row],[Rank]],Stammdaten[Rank Verteilung Abholzigkeit],0))</f>
        <v>#N/A</v>
      </c>
      <c r="N3126" t="e">
        <f>VLOOKUP(Tabelle9[[#This Row],[Rank]],Stammdaten[[Rank Verteilung Abholzigkeit]:[Verteilung Abholzigkeit]],2,FALSE)</f>
        <v>#N/A</v>
      </c>
      <c r="S3126">
        <v>3117</v>
      </c>
      <c r="T3126" t="e">
        <f>INDEX(Stammdaten[Krümmung (mm/lfm)],MATCH(Tabelle10[[#This Row],[Rank]],Stammdaten[Rank Verteilung Krümmung],0))</f>
        <v>#N/A</v>
      </c>
      <c r="U3126" t="e">
        <f>VLOOKUP(Tabelle10[[#This Row],[Rank]],Stammdaten[[Rank Verteilung Krümmung]:[Verteilung Krümmung]],2,FALSE)</f>
        <v>#N/A</v>
      </c>
      <c r="Z3126">
        <v>3117</v>
      </c>
      <c r="AA3126" t="e">
        <f>INDEX(Stammdaten[Ovalität (']0,1'])],MATCH(Tabelle1014[[#This Row],[Rank]],Stammdaten[Rank Verteilung Ovalität],0))</f>
        <v>#N/A</v>
      </c>
      <c r="AB3126" t="e">
        <f>VLOOKUP(Tabelle1014[[#This Row],[Rank]],Stammdaten[[Rank Verteilung Ovalität]:[Verteilung Ovalität]],2,FALSE)</f>
        <v>#N/A</v>
      </c>
    </row>
    <row r="3127" spans="5:28" x14ac:dyDescent="0.35">
      <c r="E3127">
        <v>3118</v>
      </c>
      <c r="F3127" t="e">
        <f>INDEX(Stammdaten[D Mitte mit Rinde (mm)],MATCH(Tabelle8[[#This Row],[Rank]],Stammdaten[Rank Verteilung D Mitte mit Rinde],0))</f>
        <v>#N/A</v>
      </c>
      <c r="G3127" t="e">
        <f>VLOOKUP(Tabelle8[[#This Row],[Rank]],Stammdaten[[Rank Verteilung D Mitte mit Rinde]:[Verteilung D Mitte mit Rinde]],2,FALSE)</f>
        <v>#N/A</v>
      </c>
      <c r="L3127">
        <v>3118</v>
      </c>
      <c r="M3127" t="e">
        <f>INDEX(Stammdaten[Abholzigkeit (mm/lfm)],MATCH(Tabelle9[[#This Row],[Rank]],Stammdaten[Rank Verteilung Abholzigkeit],0))</f>
        <v>#N/A</v>
      </c>
      <c r="N3127" t="e">
        <f>VLOOKUP(Tabelle9[[#This Row],[Rank]],Stammdaten[[Rank Verteilung Abholzigkeit]:[Verteilung Abholzigkeit]],2,FALSE)</f>
        <v>#N/A</v>
      </c>
      <c r="S3127">
        <v>3118</v>
      </c>
      <c r="T3127" t="e">
        <f>INDEX(Stammdaten[Krümmung (mm/lfm)],MATCH(Tabelle10[[#This Row],[Rank]],Stammdaten[Rank Verteilung Krümmung],0))</f>
        <v>#N/A</v>
      </c>
      <c r="U3127" t="e">
        <f>VLOOKUP(Tabelle10[[#This Row],[Rank]],Stammdaten[[Rank Verteilung Krümmung]:[Verteilung Krümmung]],2,FALSE)</f>
        <v>#N/A</v>
      </c>
      <c r="Z3127">
        <v>3118</v>
      </c>
      <c r="AA3127" t="e">
        <f>INDEX(Stammdaten[Ovalität (']0,1'])],MATCH(Tabelle1014[[#This Row],[Rank]],Stammdaten[Rank Verteilung Ovalität],0))</f>
        <v>#N/A</v>
      </c>
      <c r="AB3127" t="e">
        <f>VLOOKUP(Tabelle1014[[#This Row],[Rank]],Stammdaten[[Rank Verteilung Ovalität]:[Verteilung Ovalität]],2,FALSE)</f>
        <v>#N/A</v>
      </c>
    </row>
    <row r="3128" spans="5:28" x14ac:dyDescent="0.35">
      <c r="E3128">
        <v>3119</v>
      </c>
      <c r="F3128" t="e">
        <f>INDEX(Stammdaten[D Mitte mit Rinde (mm)],MATCH(Tabelle8[[#This Row],[Rank]],Stammdaten[Rank Verteilung D Mitte mit Rinde],0))</f>
        <v>#N/A</v>
      </c>
      <c r="G3128" t="e">
        <f>VLOOKUP(Tabelle8[[#This Row],[Rank]],Stammdaten[[Rank Verteilung D Mitte mit Rinde]:[Verteilung D Mitte mit Rinde]],2,FALSE)</f>
        <v>#N/A</v>
      </c>
      <c r="L3128">
        <v>3119</v>
      </c>
      <c r="M3128" t="e">
        <f>INDEX(Stammdaten[Abholzigkeit (mm/lfm)],MATCH(Tabelle9[[#This Row],[Rank]],Stammdaten[Rank Verteilung Abholzigkeit],0))</f>
        <v>#N/A</v>
      </c>
      <c r="N3128" t="e">
        <f>VLOOKUP(Tabelle9[[#This Row],[Rank]],Stammdaten[[Rank Verteilung Abholzigkeit]:[Verteilung Abholzigkeit]],2,FALSE)</f>
        <v>#N/A</v>
      </c>
      <c r="S3128">
        <v>3119</v>
      </c>
      <c r="T3128" t="e">
        <f>INDEX(Stammdaten[Krümmung (mm/lfm)],MATCH(Tabelle10[[#This Row],[Rank]],Stammdaten[Rank Verteilung Krümmung],0))</f>
        <v>#N/A</v>
      </c>
      <c r="U3128" t="e">
        <f>VLOOKUP(Tabelle10[[#This Row],[Rank]],Stammdaten[[Rank Verteilung Krümmung]:[Verteilung Krümmung]],2,FALSE)</f>
        <v>#N/A</v>
      </c>
      <c r="Z3128">
        <v>3119</v>
      </c>
      <c r="AA3128" t="e">
        <f>INDEX(Stammdaten[Ovalität (']0,1'])],MATCH(Tabelle1014[[#This Row],[Rank]],Stammdaten[Rank Verteilung Ovalität],0))</f>
        <v>#N/A</v>
      </c>
      <c r="AB3128" t="e">
        <f>VLOOKUP(Tabelle1014[[#This Row],[Rank]],Stammdaten[[Rank Verteilung Ovalität]:[Verteilung Ovalität]],2,FALSE)</f>
        <v>#N/A</v>
      </c>
    </row>
    <row r="3129" spans="5:28" x14ac:dyDescent="0.35">
      <c r="E3129">
        <v>3120</v>
      </c>
      <c r="F3129" t="e">
        <f>INDEX(Stammdaten[D Mitte mit Rinde (mm)],MATCH(Tabelle8[[#This Row],[Rank]],Stammdaten[Rank Verteilung D Mitte mit Rinde],0))</f>
        <v>#N/A</v>
      </c>
      <c r="G3129" t="e">
        <f>VLOOKUP(Tabelle8[[#This Row],[Rank]],Stammdaten[[Rank Verteilung D Mitte mit Rinde]:[Verteilung D Mitte mit Rinde]],2,FALSE)</f>
        <v>#N/A</v>
      </c>
      <c r="L3129">
        <v>3120</v>
      </c>
      <c r="M3129" t="e">
        <f>INDEX(Stammdaten[Abholzigkeit (mm/lfm)],MATCH(Tabelle9[[#This Row],[Rank]],Stammdaten[Rank Verteilung Abholzigkeit],0))</f>
        <v>#N/A</v>
      </c>
      <c r="N3129" t="e">
        <f>VLOOKUP(Tabelle9[[#This Row],[Rank]],Stammdaten[[Rank Verteilung Abholzigkeit]:[Verteilung Abholzigkeit]],2,FALSE)</f>
        <v>#N/A</v>
      </c>
      <c r="S3129">
        <v>3120</v>
      </c>
      <c r="T3129" t="e">
        <f>INDEX(Stammdaten[Krümmung (mm/lfm)],MATCH(Tabelle10[[#This Row],[Rank]],Stammdaten[Rank Verteilung Krümmung],0))</f>
        <v>#N/A</v>
      </c>
      <c r="U3129" t="e">
        <f>VLOOKUP(Tabelle10[[#This Row],[Rank]],Stammdaten[[Rank Verteilung Krümmung]:[Verteilung Krümmung]],2,FALSE)</f>
        <v>#N/A</v>
      </c>
      <c r="Z3129">
        <v>3120</v>
      </c>
      <c r="AA3129" t="e">
        <f>INDEX(Stammdaten[Ovalität (']0,1'])],MATCH(Tabelle1014[[#This Row],[Rank]],Stammdaten[Rank Verteilung Ovalität],0))</f>
        <v>#N/A</v>
      </c>
      <c r="AB3129" t="e">
        <f>VLOOKUP(Tabelle1014[[#This Row],[Rank]],Stammdaten[[Rank Verteilung Ovalität]:[Verteilung Ovalität]],2,FALSE)</f>
        <v>#N/A</v>
      </c>
    </row>
    <row r="3130" spans="5:28" x14ac:dyDescent="0.35">
      <c r="E3130">
        <v>3121</v>
      </c>
      <c r="F3130" t="e">
        <f>INDEX(Stammdaten[D Mitte mit Rinde (mm)],MATCH(Tabelle8[[#This Row],[Rank]],Stammdaten[Rank Verteilung D Mitte mit Rinde],0))</f>
        <v>#N/A</v>
      </c>
      <c r="G3130" t="e">
        <f>VLOOKUP(Tabelle8[[#This Row],[Rank]],Stammdaten[[Rank Verteilung D Mitte mit Rinde]:[Verteilung D Mitte mit Rinde]],2,FALSE)</f>
        <v>#N/A</v>
      </c>
      <c r="L3130">
        <v>3121</v>
      </c>
      <c r="M3130" t="e">
        <f>INDEX(Stammdaten[Abholzigkeit (mm/lfm)],MATCH(Tabelle9[[#This Row],[Rank]],Stammdaten[Rank Verteilung Abholzigkeit],0))</f>
        <v>#N/A</v>
      </c>
      <c r="N3130" t="e">
        <f>VLOOKUP(Tabelle9[[#This Row],[Rank]],Stammdaten[[Rank Verteilung Abholzigkeit]:[Verteilung Abholzigkeit]],2,FALSE)</f>
        <v>#N/A</v>
      </c>
      <c r="S3130">
        <v>3121</v>
      </c>
      <c r="T3130" t="e">
        <f>INDEX(Stammdaten[Krümmung (mm/lfm)],MATCH(Tabelle10[[#This Row],[Rank]],Stammdaten[Rank Verteilung Krümmung],0))</f>
        <v>#N/A</v>
      </c>
      <c r="U3130" t="e">
        <f>VLOOKUP(Tabelle10[[#This Row],[Rank]],Stammdaten[[Rank Verteilung Krümmung]:[Verteilung Krümmung]],2,FALSE)</f>
        <v>#N/A</v>
      </c>
      <c r="Z3130">
        <v>3121</v>
      </c>
      <c r="AA3130" t="e">
        <f>INDEX(Stammdaten[Ovalität (']0,1'])],MATCH(Tabelle1014[[#This Row],[Rank]],Stammdaten[Rank Verteilung Ovalität],0))</f>
        <v>#N/A</v>
      </c>
      <c r="AB3130" t="e">
        <f>VLOOKUP(Tabelle1014[[#This Row],[Rank]],Stammdaten[[Rank Verteilung Ovalität]:[Verteilung Ovalität]],2,FALSE)</f>
        <v>#N/A</v>
      </c>
    </row>
    <row r="3131" spans="5:28" x14ac:dyDescent="0.35">
      <c r="E3131">
        <v>3122</v>
      </c>
      <c r="F3131" t="e">
        <f>INDEX(Stammdaten[D Mitte mit Rinde (mm)],MATCH(Tabelle8[[#This Row],[Rank]],Stammdaten[Rank Verteilung D Mitte mit Rinde],0))</f>
        <v>#N/A</v>
      </c>
      <c r="G3131" t="e">
        <f>VLOOKUP(Tabelle8[[#This Row],[Rank]],Stammdaten[[Rank Verteilung D Mitte mit Rinde]:[Verteilung D Mitte mit Rinde]],2,FALSE)</f>
        <v>#N/A</v>
      </c>
      <c r="L3131">
        <v>3122</v>
      </c>
      <c r="M3131" t="e">
        <f>INDEX(Stammdaten[Abholzigkeit (mm/lfm)],MATCH(Tabelle9[[#This Row],[Rank]],Stammdaten[Rank Verteilung Abholzigkeit],0))</f>
        <v>#N/A</v>
      </c>
      <c r="N3131" t="e">
        <f>VLOOKUP(Tabelle9[[#This Row],[Rank]],Stammdaten[[Rank Verteilung Abholzigkeit]:[Verteilung Abholzigkeit]],2,FALSE)</f>
        <v>#N/A</v>
      </c>
      <c r="S3131">
        <v>3122</v>
      </c>
      <c r="T3131" t="e">
        <f>INDEX(Stammdaten[Krümmung (mm/lfm)],MATCH(Tabelle10[[#This Row],[Rank]],Stammdaten[Rank Verteilung Krümmung],0))</f>
        <v>#N/A</v>
      </c>
      <c r="U3131" t="e">
        <f>VLOOKUP(Tabelle10[[#This Row],[Rank]],Stammdaten[[Rank Verteilung Krümmung]:[Verteilung Krümmung]],2,FALSE)</f>
        <v>#N/A</v>
      </c>
      <c r="Z3131">
        <v>3122</v>
      </c>
      <c r="AA3131" t="e">
        <f>INDEX(Stammdaten[Ovalität (']0,1'])],MATCH(Tabelle1014[[#This Row],[Rank]],Stammdaten[Rank Verteilung Ovalität],0))</f>
        <v>#N/A</v>
      </c>
      <c r="AB3131" t="e">
        <f>VLOOKUP(Tabelle1014[[#This Row],[Rank]],Stammdaten[[Rank Verteilung Ovalität]:[Verteilung Ovalität]],2,FALSE)</f>
        <v>#N/A</v>
      </c>
    </row>
    <row r="3132" spans="5:28" x14ac:dyDescent="0.35">
      <c r="E3132">
        <v>3123</v>
      </c>
      <c r="F3132" t="e">
        <f>INDEX(Stammdaten[D Mitte mit Rinde (mm)],MATCH(Tabelle8[[#This Row],[Rank]],Stammdaten[Rank Verteilung D Mitte mit Rinde],0))</f>
        <v>#N/A</v>
      </c>
      <c r="G3132" t="e">
        <f>VLOOKUP(Tabelle8[[#This Row],[Rank]],Stammdaten[[Rank Verteilung D Mitte mit Rinde]:[Verteilung D Mitte mit Rinde]],2,FALSE)</f>
        <v>#N/A</v>
      </c>
      <c r="L3132">
        <v>3123</v>
      </c>
      <c r="M3132" t="e">
        <f>INDEX(Stammdaten[Abholzigkeit (mm/lfm)],MATCH(Tabelle9[[#This Row],[Rank]],Stammdaten[Rank Verteilung Abholzigkeit],0))</f>
        <v>#N/A</v>
      </c>
      <c r="N3132" t="e">
        <f>VLOOKUP(Tabelle9[[#This Row],[Rank]],Stammdaten[[Rank Verteilung Abholzigkeit]:[Verteilung Abholzigkeit]],2,FALSE)</f>
        <v>#N/A</v>
      </c>
      <c r="S3132">
        <v>3123</v>
      </c>
      <c r="T3132" t="e">
        <f>INDEX(Stammdaten[Krümmung (mm/lfm)],MATCH(Tabelle10[[#This Row],[Rank]],Stammdaten[Rank Verteilung Krümmung],0))</f>
        <v>#N/A</v>
      </c>
      <c r="U3132" t="e">
        <f>VLOOKUP(Tabelle10[[#This Row],[Rank]],Stammdaten[[Rank Verteilung Krümmung]:[Verteilung Krümmung]],2,FALSE)</f>
        <v>#N/A</v>
      </c>
      <c r="Z3132">
        <v>3123</v>
      </c>
      <c r="AA3132" t="e">
        <f>INDEX(Stammdaten[Ovalität (']0,1'])],MATCH(Tabelle1014[[#This Row],[Rank]],Stammdaten[Rank Verteilung Ovalität],0))</f>
        <v>#N/A</v>
      </c>
      <c r="AB3132" t="e">
        <f>VLOOKUP(Tabelle1014[[#This Row],[Rank]],Stammdaten[[Rank Verteilung Ovalität]:[Verteilung Ovalität]],2,FALSE)</f>
        <v>#N/A</v>
      </c>
    </row>
    <row r="3133" spans="5:28" x14ac:dyDescent="0.35">
      <c r="E3133">
        <v>3124</v>
      </c>
      <c r="F3133" t="e">
        <f>INDEX(Stammdaten[D Mitte mit Rinde (mm)],MATCH(Tabelle8[[#This Row],[Rank]],Stammdaten[Rank Verteilung D Mitte mit Rinde],0))</f>
        <v>#N/A</v>
      </c>
      <c r="G3133" t="e">
        <f>VLOOKUP(Tabelle8[[#This Row],[Rank]],Stammdaten[[Rank Verteilung D Mitte mit Rinde]:[Verteilung D Mitte mit Rinde]],2,FALSE)</f>
        <v>#N/A</v>
      </c>
      <c r="L3133">
        <v>3124</v>
      </c>
      <c r="M3133" t="e">
        <f>INDEX(Stammdaten[Abholzigkeit (mm/lfm)],MATCH(Tabelle9[[#This Row],[Rank]],Stammdaten[Rank Verteilung Abholzigkeit],0))</f>
        <v>#N/A</v>
      </c>
      <c r="N3133" t="e">
        <f>VLOOKUP(Tabelle9[[#This Row],[Rank]],Stammdaten[[Rank Verteilung Abholzigkeit]:[Verteilung Abholzigkeit]],2,FALSE)</f>
        <v>#N/A</v>
      </c>
      <c r="S3133">
        <v>3124</v>
      </c>
      <c r="T3133" t="e">
        <f>INDEX(Stammdaten[Krümmung (mm/lfm)],MATCH(Tabelle10[[#This Row],[Rank]],Stammdaten[Rank Verteilung Krümmung],0))</f>
        <v>#N/A</v>
      </c>
      <c r="U3133" t="e">
        <f>VLOOKUP(Tabelle10[[#This Row],[Rank]],Stammdaten[[Rank Verteilung Krümmung]:[Verteilung Krümmung]],2,FALSE)</f>
        <v>#N/A</v>
      </c>
      <c r="Z3133">
        <v>3124</v>
      </c>
      <c r="AA3133" t="e">
        <f>INDEX(Stammdaten[Ovalität (']0,1'])],MATCH(Tabelle1014[[#This Row],[Rank]],Stammdaten[Rank Verteilung Ovalität],0))</f>
        <v>#N/A</v>
      </c>
      <c r="AB3133" t="e">
        <f>VLOOKUP(Tabelle1014[[#This Row],[Rank]],Stammdaten[[Rank Verteilung Ovalität]:[Verteilung Ovalität]],2,FALSE)</f>
        <v>#N/A</v>
      </c>
    </row>
    <row r="3134" spans="5:28" x14ac:dyDescent="0.35">
      <c r="E3134">
        <v>3125</v>
      </c>
      <c r="F3134" t="e">
        <f>INDEX(Stammdaten[D Mitte mit Rinde (mm)],MATCH(Tabelle8[[#This Row],[Rank]],Stammdaten[Rank Verteilung D Mitte mit Rinde],0))</f>
        <v>#N/A</v>
      </c>
      <c r="G3134" t="e">
        <f>VLOOKUP(Tabelle8[[#This Row],[Rank]],Stammdaten[[Rank Verteilung D Mitte mit Rinde]:[Verteilung D Mitte mit Rinde]],2,FALSE)</f>
        <v>#N/A</v>
      </c>
      <c r="L3134">
        <v>3125</v>
      </c>
      <c r="M3134" t="e">
        <f>INDEX(Stammdaten[Abholzigkeit (mm/lfm)],MATCH(Tabelle9[[#This Row],[Rank]],Stammdaten[Rank Verteilung Abholzigkeit],0))</f>
        <v>#N/A</v>
      </c>
      <c r="N3134" t="e">
        <f>VLOOKUP(Tabelle9[[#This Row],[Rank]],Stammdaten[[Rank Verteilung Abholzigkeit]:[Verteilung Abholzigkeit]],2,FALSE)</f>
        <v>#N/A</v>
      </c>
      <c r="S3134">
        <v>3125</v>
      </c>
      <c r="T3134" t="e">
        <f>INDEX(Stammdaten[Krümmung (mm/lfm)],MATCH(Tabelle10[[#This Row],[Rank]],Stammdaten[Rank Verteilung Krümmung],0))</f>
        <v>#N/A</v>
      </c>
      <c r="U3134" t="e">
        <f>VLOOKUP(Tabelle10[[#This Row],[Rank]],Stammdaten[[Rank Verteilung Krümmung]:[Verteilung Krümmung]],2,FALSE)</f>
        <v>#N/A</v>
      </c>
      <c r="Z3134">
        <v>3125</v>
      </c>
      <c r="AA3134" t="e">
        <f>INDEX(Stammdaten[Ovalität (']0,1'])],MATCH(Tabelle1014[[#This Row],[Rank]],Stammdaten[Rank Verteilung Ovalität],0))</f>
        <v>#N/A</v>
      </c>
      <c r="AB3134" t="e">
        <f>VLOOKUP(Tabelle1014[[#This Row],[Rank]],Stammdaten[[Rank Verteilung Ovalität]:[Verteilung Ovalität]],2,FALSE)</f>
        <v>#N/A</v>
      </c>
    </row>
    <row r="3135" spans="5:28" x14ac:dyDescent="0.35">
      <c r="E3135">
        <v>3126</v>
      </c>
      <c r="F3135" t="e">
        <f>INDEX(Stammdaten[D Mitte mit Rinde (mm)],MATCH(Tabelle8[[#This Row],[Rank]],Stammdaten[Rank Verteilung D Mitte mit Rinde],0))</f>
        <v>#N/A</v>
      </c>
      <c r="G3135" t="e">
        <f>VLOOKUP(Tabelle8[[#This Row],[Rank]],Stammdaten[[Rank Verteilung D Mitte mit Rinde]:[Verteilung D Mitte mit Rinde]],2,FALSE)</f>
        <v>#N/A</v>
      </c>
      <c r="L3135">
        <v>3126</v>
      </c>
      <c r="M3135" t="e">
        <f>INDEX(Stammdaten[Abholzigkeit (mm/lfm)],MATCH(Tabelle9[[#This Row],[Rank]],Stammdaten[Rank Verteilung Abholzigkeit],0))</f>
        <v>#N/A</v>
      </c>
      <c r="N3135" t="e">
        <f>VLOOKUP(Tabelle9[[#This Row],[Rank]],Stammdaten[[Rank Verteilung Abholzigkeit]:[Verteilung Abholzigkeit]],2,FALSE)</f>
        <v>#N/A</v>
      </c>
      <c r="S3135">
        <v>3126</v>
      </c>
      <c r="T3135" t="e">
        <f>INDEX(Stammdaten[Krümmung (mm/lfm)],MATCH(Tabelle10[[#This Row],[Rank]],Stammdaten[Rank Verteilung Krümmung],0))</f>
        <v>#N/A</v>
      </c>
      <c r="U3135" t="e">
        <f>VLOOKUP(Tabelle10[[#This Row],[Rank]],Stammdaten[[Rank Verteilung Krümmung]:[Verteilung Krümmung]],2,FALSE)</f>
        <v>#N/A</v>
      </c>
      <c r="Z3135">
        <v>3126</v>
      </c>
      <c r="AA3135" t="e">
        <f>INDEX(Stammdaten[Ovalität (']0,1'])],MATCH(Tabelle1014[[#This Row],[Rank]],Stammdaten[Rank Verteilung Ovalität],0))</f>
        <v>#N/A</v>
      </c>
      <c r="AB3135" t="e">
        <f>VLOOKUP(Tabelle1014[[#This Row],[Rank]],Stammdaten[[Rank Verteilung Ovalität]:[Verteilung Ovalität]],2,FALSE)</f>
        <v>#N/A</v>
      </c>
    </row>
    <row r="3136" spans="5:28" x14ac:dyDescent="0.35">
      <c r="E3136">
        <v>3127</v>
      </c>
      <c r="F3136" t="e">
        <f>INDEX(Stammdaten[D Mitte mit Rinde (mm)],MATCH(Tabelle8[[#This Row],[Rank]],Stammdaten[Rank Verteilung D Mitte mit Rinde],0))</f>
        <v>#N/A</v>
      </c>
      <c r="G3136" t="e">
        <f>VLOOKUP(Tabelle8[[#This Row],[Rank]],Stammdaten[[Rank Verteilung D Mitte mit Rinde]:[Verteilung D Mitte mit Rinde]],2,FALSE)</f>
        <v>#N/A</v>
      </c>
      <c r="L3136">
        <v>3127</v>
      </c>
      <c r="M3136" t="e">
        <f>INDEX(Stammdaten[Abholzigkeit (mm/lfm)],MATCH(Tabelle9[[#This Row],[Rank]],Stammdaten[Rank Verteilung Abholzigkeit],0))</f>
        <v>#N/A</v>
      </c>
      <c r="N3136" t="e">
        <f>VLOOKUP(Tabelle9[[#This Row],[Rank]],Stammdaten[[Rank Verteilung Abholzigkeit]:[Verteilung Abholzigkeit]],2,FALSE)</f>
        <v>#N/A</v>
      </c>
      <c r="S3136">
        <v>3127</v>
      </c>
      <c r="T3136" t="e">
        <f>INDEX(Stammdaten[Krümmung (mm/lfm)],MATCH(Tabelle10[[#This Row],[Rank]],Stammdaten[Rank Verteilung Krümmung],0))</f>
        <v>#N/A</v>
      </c>
      <c r="U3136" t="e">
        <f>VLOOKUP(Tabelle10[[#This Row],[Rank]],Stammdaten[[Rank Verteilung Krümmung]:[Verteilung Krümmung]],2,FALSE)</f>
        <v>#N/A</v>
      </c>
      <c r="Z3136">
        <v>3127</v>
      </c>
      <c r="AA3136" t="e">
        <f>INDEX(Stammdaten[Ovalität (']0,1'])],MATCH(Tabelle1014[[#This Row],[Rank]],Stammdaten[Rank Verteilung Ovalität],0))</f>
        <v>#N/A</v>
      </c>
      <c r="AB3136" t="e">
        <f>VLOOKUP(Tabelle1014[[#This Row],[Rank]],Stammdaten[[Rank Verteilung Ovalität]:[Verteilung Ovalität]],2,FALSE)</f>
        <v>#N/A</v>
      </c>
    </row>
    <row r="3137" spans="5:28" x14ac:dyDescent="0.35">
      <c r="E3137">
        <v>3128</v>
      </c>
      <c r="F3137" t="e">
        <f>INDEX(Stammdaten[D Mitte mit Rinde (mm)],MATCH(Tabelle8[[#This Row],[Rank]],Stammdaten[Rank Verteilung D Mitte mit Rinde],0))</f>
        <v>#N/A</v>
      </c>
      <c r="G3137" t="e">
        <f>VLOOKUP(Tabelle8[[#This Row],[Rank]],Stammdaten[[Rank Verteilung D Mitte mit Rinde]:[Verteilung D Mitte mit Rinde]],2,FALSE)</f>
        <v>#N/A</v>
      </c>
      <c r="L3137">
        <v>3128</v>
      </c>
      <c r="M3137" t="e">
        <f>INDEX(Stammdaten[Abholzigkeit (mm/lfm)],MATCH(Tabelle9[[#This Row],[Rank]],Stammdaten[Rank Verteilung Abholzigkeit],0))</f>
        <v>#N/A</v>
      </c>
      <c r="N3137" t="e">
        <f>VLOOKUP(Tabelle9[[#This Row],[Rank]],Stammdaten[[Rank Verteilung Abholzigkeit]:[Verteilung Abholzigkeit]],2,FALSE)</f>
        <v>#N/A</v>
      </c>
      <c r="S3137">
        <v>3128</v>
      </c>
      <c r="T3137" t="e">
        <f>INDEX(Stammdaten[Krümmung (mm/lfm)],MATCH(Tabelle10[[#This Row],[Rank]],Stammdaten[Rank Verteilung Krümmung],0))</f>
        <v>#N/A</v>
      </c>
      <c r="U3137" t="e">
        <f>VLOOKUP(Tabelle10[[#This Row],[Rank]],Stammdaten[[Rank Verteilung Krümmung]:[Verteilung Krümmung]],2,FALSE)</f>
        <v>#N/A</v>
      </c>
      <c r="Z3137">
        <v>3128</v>
      </c>
      <c r="AA3137" t="e">
        <f>INDEX(Stammdaten[Ovalität (']0,1'])],MATCH(Tabelle1014[[#This Row],[Rank]],Stammdaten[Rank Verteilung Ovalität],0))</f>
        <v>#N/A</v>
      </c>
      <c r="AB3137" t="e">
        <f>VLOOKUP(Tabelle1014[[#This Row],[Rank]],Stammdaten[[Rank Verteilung Ovalität]:[Verteilung Ovalität]],2,FALSE)</f>
        <v>#N/A</v>
      </c>
    </row>
    <row r="3138" spans="5:28" x14ac:dyDescent="0.35">
      <c r="E3138">
        <v>3129</v>
      </c>
      <c r="F3138" t="e">
        <f>INDEX(Stammdaten[D Mitte mit Rinde (mm)],MATCH(Tabelle8[[#This Row],[Rank]],Stammdaten[Rank Verteilung D Mitte mit Rinde],0))</f>
        <v>#N/A</v>
      </c>
      <c r="G3138" t="e">
        <f>VLOOKUP(Tabelle8[[#This Row],[Rank]],Stammdaten[[Rank Verteilung D Mitte mit Rinde]:[Verteilung D Mitte mit Rinde]],2,FALSE)</f>
        <v>#N/A</v>
      </c>
      <c r="L3138">
        <v>3129</v>
      </c>
      <c r="M3138" t="e">
        <f>INDEX(Stammdaten[Abholzigkeit (mm/lfm)],MATCH(Tabelle9[[#This Row],[Rank]],Stammdaten[Rank Verteilung Abholzigkeit],0))</f>
        <v>#N/A</v>
      </c>
      <c r="N3138" t="e">
        <f>VLOOKUP(Tabelle9[[#This Row],[Rank]],Stammdaten[[Rank Verteilung Abholzigkeit]:[Verteilung Abholzigkeit]],2,FALSE)</f>
        <v>#N/A</v>
      </c>
      <c r="S3138">
        <v>3129</v>
      </c>
      <c r="T3138" t="e">
        <f>INDEX(Stammdaten[Krümmung (mm/lfm)],MATCH(Tabelle10[[#This Row],[Rank]],Stammdaten[Rank Verteilung Krümmung],0))</f>
        <v>#N/A</v>
      </c>
      <c r="U3138" t="e">
        <f>VLOOKUP(Tabelle10[[#This Row],[Rank]],Stammdaten[[Rank Verteilung Krümmung]:[Verteilung Krümmung]],2,FALSE)</f>
        <v>#N/A</v>
      </c>
      <c r="Z3138">
        <v>3129</v>
      </c>
      <c r="AA3138" t="e">
        <f>INDEX(Stammdaten[Ovalität (']0,1'])],MATCH(Tabelle1014[[#This Row],[Rank]],Stammdaten[Rank Verteilung Ovalität],0))</f>
        <v>#N/A</v>
      </c>
      <c r="AB3138" t="e">
        <f>VLOOKUP(Tabelle1014[[#This Row],[Rank]],Stammdaten[[Rank Verteilung Ovalität]:[Verteilung Ovalität]],2,FALSE)</f>
        <v>#N/A</v>
      </c>
    </row>
    <row r="3139" spans="5:28" x14ac:dyDescent="0.35">
      <c r="E3139">
        <v>3130</v>
      </c>
      <c r="F3139" t="e">
        <f>INDEX(Stammdaten[D Mitte mit Rinde (mm)],MATCH(Tabelle8[[#This Row],[Rank]],Stammdaten[Rank Verteilung D Mitte mit Rinde],0))</f>
        <v>#N/A</v>
      </c>
      <c r="G3139" t="e">
        <f>VLOOKUP(Tabelle8[[#This Row],[Rank]],Stammdaten[[Rank Verteilung D Mitte mit Rinde]:[Verteilung D Mitte mit Rinde]],2,FALSE)</f>
        <v>#N/A</v>
      </c>
      <c r="L3139">
        <v>3130</v>
      </c>
      <c r="M3139" t="e">
        <f>INDEX(Stammdaten[Abholzigkeit (mm/lfm)],MATCH(Tabelle9[[#This Row],[Rank]],Stammdaten[Rank Verteilung Abholzigkeit],0))</f>
        <v>#N/A</v>
      </c>
      <c r="N3139" t="e">
        <f>VLOOKUP(Tabelle9[[#This Row],[Rank]],Stammdaten[[Rank Verteilung Abholzigkeit]:[Verteilung Abholzigkeit]],2,FALSE)</f>
        <v>#N/A</v>
      </c>
      <c r="S3139">
        <v>3130</v>
      </c>
      <c r="T3139" t="e">
        <f>INDEX(Stammdaten[Krümmung (mm/lfm)],MATCH(Tabelle10[[#This Row],[Rank]],Stammdaten[Rank Verteilung Krümmung],0))</f>
        <v>#N/A</v>
      </c>
      <c r="U3139" t="e">
        <f>VLOOKUP(Tabelle10[[#This Row],[Rank]],Stammdaten[[Rank Verteilung Krümmung]:[Verteilung Krümmung]],2,FALSE)</f>
        <v>#N/A</v>
      </c>
      <c r="Z3139">
        <v>3130</v>
      </c>
      <c r="AA3139" t="e">
        <f>INDEX(Stammdaten[Ovalität (']0,1'])],MATCH(Tabelle1014[[#This Row],[Rank]],Stammdaten[Rank Verteilung Ovalität],0))</f>
        <v>#N/A</v>
      </c>
      <c r="AB3139" t="e">
        <f>VLOOKUP(Tabelle1014[[#This Row],[Rank]],Stammdaten[[Rank Verteilung Ovalität]:[Verteilung Ovalität]],2,FALSE)</f>
        <v>#N/A</v>
      </c>
    </row>
    <row r="3140" spans="5:28" x14ac:dyDescent="0.35">
      <c r="E3140">
        <v>3131</v>
      </c>
      <c r="F3140" t="e">
        <f>INDEX(Stammdaten[D Mitte mit Rinde (mm)],MATCH(Tabelle8[[#This Row],[Rank]],Stammdaten[Rank Verteilung D Mitte mit Rinde],0))</f>
        <v>#N/A</v>
      </c>
      <c r="G3140" t="e">
        <f>VLOOKUP(Tabelle8[[#This Row],[Rank]],Stammdaten[[Rank Verteilung D Mitte mit Rinde]:[Verteilung D Mitte mit Rinde]],2,FALSE)</f>
        <v>#N/A</v>
      </c>
      <c r="L3140">
        <v>3131</v>
      </c>
      <c r="M3140" t="e">
        <f>INDEX(Stammdaten[Abholzigkeit (mm/lfm)],MATCH(Tabelle9[[#This Row],[Rank]],Stammdaten[Rank Verteilung Abholzigkeit],0))</f>
        <v>#N/A</v>
      </c>
      <c r="N3140" t="e">
        <f>VLOOKUP(Tabelle9[[#This Row],[Rank]],Stammdaten[[Rank Verteilung Abholzigkeit]:[Verteilung Abholzigkeit]],2,FALSE)</f>
        <v>#N/A</v>
      </c>
      <c r="S3140">
        <v>3131</v>
      </c>
      <c r="T3140" t="e">
        <f>INDEX(Stammdaten[Krümmung (mm/lfm)],MATCH(Tabelle10[[#This Row],[Rank]],Stammdaten[Rank Verteilung Krümmung],0))</f>
        <v>#N/A</v>
      </c>
      <c r="U3140" t="e">
        <f>VLOOKUP(Tabelle10[[#This Row],[Rank]],Stammdaten[[Rank Verteilung Krümmung]:[Verteilung Krümmung]],2,FALSE)</f>
        <v>#N/A</v>
      </c>
      <c r="Z3140">
        <v>3131</v>
      </c>
      <c r="AA3140" t="e">
        <f>INDEX(Stammdaten[Ovalität (']0,1'])],MATCH(Tabelle1014[[#This Row],[Rank]],Stammdaten[Rank Verteilung Ovalität],0))</f>
        <v>#N/A</v>
      </c>
      <c r="AB3140" t="e">
        <f>VLOOKUP(Tabelle1014[[#This Row],[Rank]],Stammdaten[[Rank Verteilung Ovalität]:[Verteilung Ovalität]],2,FALSE)</f>
        <v>#N/A</v>
      </c>
    </row>
    <row r="3141" spans="5:28" x14ac:dyDescent="0.35">
      <c r="E3141">
        <v>3132</v>
      </c>
      <c r="F3141" t="e">
        <f>INDEX(Stammdaten[D Mitte mit Rinde (mm)],MATCH(Tabelle8[[#This Row],[Rank]],Stammdaten[Rank Verteilung D Mitte mit Rinde],0))</f>
        <v>#N/A</v>
      </c>
      <c r="G3141" t="e">
        <f>VLOOKUP(Tabelle8[[#This Row],[Rank]],Stammdaten[[Rank Verteilung D Mitte mit Rinde]:[Verteilung D Mitte mit Rinde]],2,FALSE)</f>
        <v>#N/A</v>
      </c>
      <c r="L3141">
        <v>3132</v>
      </c>
      <c r="M3141" t="e">
        <f>INDEX(Stammdaten[Abholzigkeit (mm/lfm)],MATCH(Tabelle9[[#This Row],[Rank]],Stammdaten[Rank Verteilung Abholzigkeit],0))</f>
        <v>#N/A</v>
      </c>
      <c r="N3141" t="e">
        <f>VLOOKUP(Tabelle9[[#This Row],[Rank]],Stammdaten[[Rank Verteilung Abholzigkeit]:[Verteilung Abholzigkeit]],2,FALSE)</f>
        <v>#N/A</v>
      </c>
      <c r="S3141">
        <v>3132</v>
      </c>
      <c r="T3141" t="e">
        <f>INDEX(Stammdaten[Krümmung (mm/lfm)],MATCH(Tabelle10[[#This Row],[Rank]],Stammdaten[Rank Verteilung Krümmung],0))</f>
        <v>#N/A</v>
      </c>
      <c r="U3141" t="e">
        <f>VLOOKUP(Tabelle10[[#This Row],[Rank]],Stammdaten[[Rank Verteilung Krümmung]:[Verteilung Krümmung]],2,FALSE)</f>
        <v>#N/A</v>
      </c>
      <c r="Z3141">
        <v>3132</v>
      </c>
      <c r="AA3141" t="e">
        <f>INDEX(Stammdaten[Ovalität (']0,1'])],MATCH(Tabelle1014[[#This Row],[Rank]],Stammdaten[Rank Verteilung Ovalität],0))</f>
        <v>#N/A</v>
      </c>
      <c r="AB3141" t="e">
        <f>VLOOKUP(Tabelle1014[[#This Row],[Rank]],Stammdaten[[Rank Verteilung Ovalität]:[Verteilung Ovalität]],2,FALSE)</f>
        <v>#N/A</v>
      </c>
    </row>
    <row r="3142" spans="5:28" x14ac:dyDescent="0.35">
      <c r="E3142">
        <v>3133</v>
      </c>
      <c r="F3142" t="e">
        <f>INDEX(Stammdaten[D Mitte mit Rinde (mm)],MATCH(Tabelle8[[#This Row],[Rank]],Stammdaten[Rank Verteilung D Mitte mit Rinde],0))</f>
        <v>#N/A</v>
      </c>
      <c r="G3142" t="e">
        <f>VLOOKUP(Tabelle8[[#This Row],[Rank]],Stammdaten[[Rank Verteilung D Mitte mit Rinde]:[Verteilung D Mitte mit Rinde]],2,FALSE)</f>
        <v>#N/A</v>
      </c>
      <c r="L3142">
        <v>3133</v>
      </c>
      <c r="M3142" t="e">
        <f>INDEX(Stammdaten[Abholzigkeit (mm/lfm)],MATCH(Tabelle9[[#This Row],[Rank]],Stammdaten[Rank Verteilung Abholzigkeit],0))</f>
        <v>#N/A</v>
      </c>
      <c r="N3142" t="e">
        <f>VLOOKUP(Tabelle9[[#This Row],[Rank]],Stammdaten[[Rank Verteilung Abholzigkeit]:[Verteilung Abholzigkeit]],2,FALSE)</f>
        <v>#N/A</v>
      </c>
      <c r="S3142">
        <v>3133</v>
      </c>
      <c r="T3142" t="e">
        <f>INDEX(Stammdaten[Krümmung (mm/lfm)],MATCH(Tabelle10[[#This Row],[Rank]],Stammdaten[Rank Verteilung Krümmung],0))</f>
        <v>#N/A</v>
      </c>
      <c r="U3142" t="e">
        <f>VLOOKUP(Tabelle10[[#This Row],[Rank]],Stammdaten[[Rank Verteilung Krümmung]:[Verteilung Krümmung]],2,FALSE)</f>
        <v>#N/A</v>
      </c>
      <c r="Z3142">
        <v>3133</v>
      </c>
      <c r="AA3142" t="e">
        <f>INDEX(Stammdaten[Ovalität (']0,1'])],MATCH(Tabelle1014[[#This Row],[Rank]],Stammdaten[Rank Verteilung Ovalität],0))</f>
        <v>#N/A</v>
      </c>
      <c r="AB3142" t="e">
        <f>VLOOKUP(Tabelle1014[[#This Row],[Rank]],Stammdaten[[Rank Verteilung Ovalität]:[Verteilung Ovalität]],2,FALSE)</f>
        <v>#N/A</v>
      </c>
    </row>
    <row r="3143" spans="5:28" x14ac:dyDescent="0.35">
      <c r="E3143">
        <v>3134</v>
      </c>
      <c r="F3143" t="e">
        <f>INDEX(Stammdaten[D Mitte mit Rinde (mm)],MATCH(Tabelle8[[#This Row],[Rank]],Stammdaten[Rank Verteilung D Mitte mit Rinde],0))</f>
        <v>#N/A</v>
      </c>
      <c r="G3143" t="e">
        <f>VLOOKUP(Tabelle8[[#This Row],[Rank]],Stammdaten[[Rank Verteilung D Mitte mit Rinde]:[Verteilung D Mitte mit Rinde]],2,FALSE)</f>
        <v>#N/A</v>
      </c>
      <c r="L3143">
        <v>3134</v>
      </c>
      <c r="M3143" t="e">
        <f>INDEX(Stammdaten[Abholzigkeit (mm/lfm)],MATCH(Tabelle9[[#This Row],[Rank]],Stammdaten[Rank Verteilung Abholzigkeit],0))</f>
        <v>#N/A</v>
      </c>
      <c r="N3143" t="e">
        <f>VLOOKUP(Tabelle9[[#This Row],[Rank]],Stammdaten[[Rank Verteilung Abholzigkeit]:[Verteilung Abholzigkeit]],2,FALSE)</f>
        <v>#N/A</v>
      </c>
      <c r="S3143">
        <v>3134</v>
      </c>
      <c r="T3143" t="e">
        <f>INDEX(Stammdaten[Krümmung (mm/lfm)],MATCH(Tabelle10[[#This Row],[Rank]],Stammdaten[Rank Verteilung Krümmung],0))</f>
        <v>#N/A</v>
      </c>
      <c r="U3143" t="e">
        <f>VLOOKUP(Tabelle10[[#This Row],[Rank]],Stammdaten[[Rank Verteilung Krümmung]:[Verteilung Krümmung]],2,FALSE)</f>
        <v>#N/A</v>
      </c>
      <c r="Z3143">
        <v>3134</v>
      </c>
      <c r="AA3143" t="e">
        <f>INDEX(Stammdaten[Ovalität (']0,1'])],MATCH(Tabelle1014[[#This Row],[Rank]],Stammdaten[Rank Verteilung Ovalität],0))</f>
        <v>#N/A</v>
      </c>
      <c r="AB3143" t="e">
        <f>VLOOKUP(Tabelle1014[[#This Row],[Rank]],Stammdaten[[Rank Verteilung Ovalität]:[Verteilung Ovalität]],2,FALSE)</f>
        <v>#N/A</v>
      </c>
    </row>
    <row r="3144" spans="5:28" x14ac:dyDescent="0.35">
      <c r="E3144">
        <v>3135</v>
      </c>
      <c r="F3144" t="e">
        <f>INDEX(Stammdaten[D Mitte mit Rinde (mm)],MATCH(Tabelle8[[#This Row],[Rank]],Stammdaten[Rank Verteilung D Mitte mit Rinde],0))</f>
        <v>#N/A</v>
      </c>
      <c r="G3144" t="e">
        <f>VLOOKUP(Tabelle8[[#This Row],[Rank]],Stammdaten[[Rank Verteilung D Mitte mit Rinde]:[Verteilung D Mitte mit Rinde]],2,FALSE)</f>
        <v>#N/A</v>
      </c>
      <c r="L3144">
        <v>3135</v>
      </c>
      <c r="M3144" t="e">
        <f>INDEX(Stammdaten[Abholzigkeit (mm/lfm)],MATCH(Tabelle9[[#This Row],[Rank]],Stammdaten[Rank Verteilung Abholzigkeit],0))</f>
        <v>#N/A</v>
      </c>
      <c r="N3144" t="e">
        <f>VLOOKUP(Tabelle9[[#This Row],[Rank]],Stammdaten[[Rank Verteilung Abholzigkeit]:[Verteilung Abholzigkeit]],2,FALSE)</f>
        <v>#N/A</v>
      </c>
      <c r="S3144">
        <v>3135</v>
      </c>
      <c r="T3144" t="e">
        <f>INDEX(Stammdaten[Krümmung (mm/lfm)],MATCH(Tabelle10[[#This Row],[Rank]],Stammdaten[Rank Verteilung Krümmung],0))</f>
        <v>#N/A</v>
      </c>
      <c r="U3144" t="e">
        <f>VLOOKUP(Tabelle10[[#This Row],[Rank]],Stammdaten[[Rank Verteilung Krümmung]:[Verteilung Krümmung]],2,FALSE)</f>
        <v>#N/A</v>
      </c>
      <c r="Z3144">
        <v>3135</v>
      </c>
      <c r="AA3144" t="e">
        <f>INDEX(Stammdaten[Ovalität (']0,1'])],MATCH(Tabelle1014[[#This Row],[Rank]],Stammdaten[Rank Verteilung Ovalität],0))</f>
        <v>#N/A</v>
      </c>
      <c r="AB3144" t="e">
        <f>VLOOKUP(Tabelle1014[[#This Row],[Rank]],Stammdaten[[Rank Verteilung Ovalität]:[Verteilung Ovalität]],2,FALSE)</f>
        <v>#N/A</v>
      </c>
    </row>
    <row r="3145" spans="5:28" x14ac:dyDescent="0.35">
      <c r="E3145">
        <v>3136</v>
      </c>
      <c r="F3145" t="e">
        <f>INDEX(Stammdaten[D Mitte mit Rinde (mm)],MATCH(Tabelle8[[#This Row],[Rank]],Stammdaten[Rank Verteilung D Mitte mit Rinde],0))</f>
        <v>#N/A</v>
      </c>
      <c r="G3145" t="e">
        <f>VLOOKUP(Tabelle8[[#This Row],[Rank]],Stammdaten[[Rank Verteilung D Mitte mit Rinde]:[Verteilung D Mitte mit Rinde]],2,FALSE)</f>
        <v>#N/A</v>
      </c>
      <c r="L3145">
        <v>3136</v>
      </c>
      <c r="M3145" t="e">
        <f>INDEX(Stammdaten[Abholzigkeit (mm/lfm)],MATCH(Tabelle9[[#This Row],[Rank]],Stammdaten[Rank Verteilung Abholzigkeit],0))</f>
        <v>#N/A</v>
      </c>
      <c r="N3145" t="e">
        <f>VLOOKUP(Tabelle9[[#This Row],[Rank]],Stammdaten[[Rank Verteilung Abholzigkeit]:[Verteilung Abholzigkeit]],2,FALSE)</f>
        <v>#N/A</v>
      </c>
      <c r="S3145">
        <v>3136</v>
      </c>
      <c r="T3145" t="e">
        <f>INDEX(Stammdaten[Krümmung (mm/lfm)],MATCH(Tabelle10[[#This Row],[Rank]],Stammdaten[Rank Verteilung Krümmung],0))</f>
        <v>#N/A</v>
      </c>
      <c r="U3145" t="e">
        <f>VLOOKUP(Tabelle10[[#This Row],[Rank]],Stammdaten[[Rank Verteilung Krümmung]:[Verteilung Krümmung]],2,FALSE)</f>
        <v>#N/A</v>
      </c>
      <c r="Z3145">
        <v>3136</v>
      </c>
      <c r="AA3145" t="e">
        <f>INDEX(Stammdaten[Ovalität (']0,1'])],MATCH(Tabelle1014[[#This Row],[Rank]],Stammdaten[Rank Verteilung Ovalität],0))</f>
        <v>#N/A</v>
      </c>
      <c r="AB3145" t="e">
        <f>VLOOKUP(Tabelle1014[[#This Row],[Rank]],Stammdaten[[Rank Verteilung Ovalität]:[Verteilung Ovalität]],2,FALSE)</f>
        <v>#N/A</v>
      </c>
    </row>
    <row r="3146" spans="5:28" x14ac:dyDescent="0.35">
      <c r="E3146">
        <v>3137</v>
      </c>
      <c r="F3146" t="e">
        <f>INDEX(Stammdaten[D Mitte mit Rinde (mm)],MATCH(Tabelle8[[#This Row],[Rank]],Stammdaten[Rank Verteilung D Mitte mit Rinde],0))</f>
        <v>#N/A</v>
      </c>
      <c r="G3146" t="e">
        <f>VLOOKUP(Tabelle8[[#This Row],[Rank]],Stammdaten[[Rank Verteilung D Mitte mit Rinde]:[Verteilung D Mitte mit Rinde]],2,FALSE)</f>
        <v>#N/A</v>
      </c>
      <c r="L3146">
        <v>3137</v>
      </c>
      <c r="M3146" t="e">
        <f>INDEX(Stammdaten[Abholzigkeit (mm/lfm)],MATCH(Tabelle9[[#This Row],[Rank]],Stammdaten[Rank Verteilung Abholzigkeit],0))</f>
        <v>#N/A</v>
      </c>
      <c r="N3146" t="e">
        <f>VLOOKUP(Tabelle9[[#This Row],[Rank]],Stammdaten[[Rank Verteilung Abholzigkeit]:[Verteilung Abholzigkeit]],2,FALSE)</f>
        <v>#N/A</v>
      </c>
      <c r="S3146">
        <v>3137</v>
      </c>
      <c r="T3146" t="e">
        <f>INDEX(Stammdaten[Krümmung (mm/lfm)],MATCH(Tabelle10[[#This Row],[Rank]],Stammdaten[Rank Verteilung Krümmung],0))</f>
        <v>#N/A</v>
      </c>
      <c r="U3146" t="e">
        <f>VLOOKUP(Tabelle10[[#This Row],[Rank]],Stammdaten[[Rank Verteilung Krümmung]:[Verteilung Krümmung]],2,FALSE)</f>
        <v>#N/A</v>
      </c>
      <c r="Z3146">
        <v>3137</v>
      </c>
      <c r="AA3146" t="e">
        <f>INDEX(Stammdaten[Ovalität (']0,1'])],MATCH(Tabelle1014[[#This Row],[Rank]],Stammdaten[Rank Verteilung Ovalität],0))</f>
        <v>#N/A</v>
      </c>
      <c r="AB3146" t="e">
        <f>VLOOKUP(Tabelle1014[[#This Row],[Rank]],Stammdaten[[Rank Verteilung Ovalität]:[Verteilung Ovalität]],2,FALSE)</f>
        <v>#N/A</v>
      </c>
    </row>
    <row r="3147" spans="5:28" x14ac:dyDescent="0.35">
      <c r="E3147">
        <v>3138</v>
      </c>
      <c r="F3147" t="e">
        <f>INDEX(Stammdaten[D Mitte mit Rinde (mm)],MATCH(Tabelle8[[#This Row],[Rank]],Stammdaten[Rank Verteilung D Mitte mit Rinde],0))</f>
        <v>#N/A</v>
      </c>
      <c r="G3147" t="e">
        <f>VLOOKUP(Tabelle8[[#This Row],[Rank]],Stammdaten[[Rank Verteilung D Mitte mit Rinde]:[Verteilung D Mitte mit Rinde]],2,FALSE)</f>
        <v>#N/A</v>
      </c>
      <c r="L3147">
        <v>3138</v>
      </c>
      <c r="M3147" t="e">
        <f>INDEX(Stammdaten[Abholzigkeit (mm/lfm)],MATCH(Tabelle9[[#This Row],[Rank]],Stammdaten[Rank Verteilung Abholzigkeit],0))</f>
        <v>#N/A</v>
      </c>
      <c r="N3147" t="e">
        <f>VLOOKUP(Tabelle9[[#This Row],[Rank]],Stammdaten[[Rank Verteilung Abholzigkeit]:[Verteilung Abholzigkeit]],2,FALSE)</f>
        <v>#N/A</v>
      </c>
      <c r="S3147">
        <v>3138</v>
      </c>
      <c r="T3147" t="e">
        <f>INDEX(Stammdaten[Krümmung (mm/lfm)],MATCH(Tabelle10[[#This Row],[Rank]],Stammdaten[Rank Verteilung Krümmung],0))</f>
        <v>#N/A</v>
      </c>
      <c r="U3147" t="e">
        <f>VLOOKUP(Tabelle10[[#This Row],[Rank]],Stammdaten[[Rank Verteilung Krümmung]:[Verteilung Krümmung]],2,FALSE)</f>
        <v>#N/A</v>
      </c>
      <c r="Z3147">
        <v>3138</v>
      </c>
      <c r="AA3147" t="e">
        <f>INDEX(Stammdaten[Ovalität (']0,1'])],MATCH(Tabelle1014[[#This Row],[Rank]],Stammdaten[Rank Verteilung Ovalität],0))</f>
        <v>#N/A</v>
      </c>
      <c r="AB3147" t="e">
        <f>VLOOKUP(Tabelle1014[[#This Row],[Rank]],Stammdaten[[Rank Verteilung Ovalität]:[Verteilung Ovalität]],2,FALSE)</f>
        <v>#N/A</v>
      </c>
    </row>
    <row r="3148" spans="5:28" x14ac:dyDescent="0.35">
      <c r="E3148">
        <v>3139</v>
      </c>
      <c r="F3148" t="e">
        <f>INDEX(Stammdaten[D Mitte mit Rinde (mm)],MATCH(Tabelle8[[#This Row],[Rank]],Stammdaten[Rank Verteilung D Mitte mit Rinde],0))</f>
        <v>#N/A</v>
      </c>
      <c r="G3148" t="e">
        <f>VLOOKUP(Tabelle8[[#This Row],[Rank]],Stammdaten[[Rank Verteilung D Mitte mit Rinde]:[Verteilung D Mitte mit Rinde]],2,FALSE)</f>
        <v>#N/A</v>
      </c>
      <c r="L3148">
        <v>3139</v>
      </c>
      <c r="M3148" t="e">
        <f>INDEX(Stammdaten[Abholzigkeit (mm/lfm)],MATCH(Tabelle9[[#This Row],[Rank]],Stammdaten[Rank Verteilung Abholzigkeit],0))</f>
        <v>#N/A</v>
      </c>
      <c r="N3148" t="e">
        <f>VLOOKUP(Tabelle9[[#This Row],[Rank]],Stammdaten[[Rank Verteilung Abholzigkeit]:[Verteilung Abholzigkeit]],2,FALSE)</f>
        <v>#N/A</v>
      </c>
      <c r="S3148">
        <v>3139</v>
      </c>
      <c r="T3148" t="e">
        <f>INDEX(Stammdaten[Krümmung (mm/lfm)],MATCH(Tabelle10[[#This Row],[Rank]],Stammdaten[Rank Verteilung Krümmung],0))</f>
        <v>#N/A</v>
      </c>
      <c r="U3148" t="e">
        <f>VLOOKUP(Tabelle10[[#This Row],[Rank]],Stammdaten[[Rank Verteilung Krümmung]:[Verteilung Krümmung]],2,FALSE)</f>
        <v>#N/A</v>
      </c>
      <c r="Z3148">
        <v>3139</v>
      </c>
      <c r="AA3148" t="e">
        <f>INDEX(Stammdaten[Ovalität (']0,1'])],MATCH(Tabelle1014[[#This Row],[Rank]],Stammdaten[Rank Verteilung Ovalität],0))</f>
        <v>#N/A</v>
      </c>
      <c r="AB3148" t="e">
        <f>VLOOKUP(Tabelle1014[[#This Row],[Rank]],Stammdaten[[Rank Verteilung Ovalität]:[Verteilung Ovalität]],2,FALSE)</f>
        <v>#N/A</v>
      </c>
    </row>
    <row r="3149" spans="5:28" x14ac:dyDescent="0.35">
      <c r="E3149">
        <v>3140</v>
      </c>
      <c r="F3149" t="e">
        <f>INDEX(Stammdaten[D Mitte mit Rinde (mm)],MATCH(Tabelle8[[#This Row],[Rank]],Stammdaten[Rank Verteilung D Mitte mit Rinde],0))</f>
        <v>#N/A</v>
      </c>
      <c r="G3149" t="e">
        <f>VLOOKUP(Tabelle8[[#This Row],[Rank]],Stammdaten[[Rank Verteilung D Mitte mit Rinde]:[Verteilung D Mitte mit Rinde]],2,FALSE)</f>
        <v>#N/A</v>
      </c>
      <c r="L3149">
        <v>3140</v>
      </c>
      <c r="M3149" t="e">
        <f>INDEX(Stammdaten[Abholzigkeit (mm/lfm)],MATCH(Tabelle9[[#This Row],[Rank]],Stammdaten[Rank Verteilung Abholzigkeit],0))</f>
        <v>#N/A</v>
      </c>
      <c r="N3149" t="e">
        <f>VLOOKUP(Tabelle9[[#This Row],[Rank]],Stammdaten[[Rank Verteilung Abholzigkeit]:[Verteilung Abholzigkeit]],2,FALSE)</f>
        <v>#N/A</v>
      </c>
      <c r="S3149">
        <v>3140</v>
      </c>
      <c r="T3149" t="e">
        <f>INDEX(Stammdaten[Krümmung (mm/lfm)],MATCH(Tabelle10[[#This Row],[Rank]],Stammdaten[Rank Verteilung Krümmung],0))</f>
        <v>#N/A</v>
      </c>
      <c r="U3149" t="e">
        <f>VLOOKUP(Tabelle10[[#This Row],[Rank]],Stammdaten[[Rank Verteilung Krümmung]:[Verteilung Krümmung]],2,FALSE)</f>
        <v>#N/A</v>
      </c>
      <c r="Z3149">
        <v>3140</v>
      </c>
      <c r="AA3149" t="e">
        <f>INDEX(Stammdaten[Ovalität (']0,1'])],MATCH(Tabelle1014[[#This Row],[Rank]],Stammdaten[Rank Verteilung Ovalität],0))</f>
        <v>#N/A</v>
      </c>
      <c r="AB3149" t="e">
        <f>VLOOKUP(Tabelle1014[[#This Row],[Rank]],Stammdaten[[Rank Verteilung Ovalität]:[Verteilung Ovalität]],2,FALSE)</f>
        <v>#N/A</v>
      </c>
    </row>
    <row r="3150" spans="5:28" x14ac:dyDescent="0.35">
      <c r="E3150">
        <v>3141</v>
      </c>
      <c r="F3150" t="e">
        <f>INDEX(Stammdaten[D Mitte mit Rinde (mm)],MATCH(Tabelle8[[#This Row],[Rank]],Stammdaten[Rank Verteilung D Mitte mit Rinde],0))</f>
        <v>#N/A</v>
      </c>
      <c r="G3150" t="e">
        <f>VLOOKUP(Tabelle8[[#This Row],[Rank]],Stammdaten[[Rank Verteilung D Mitte mit Rinde]:[Verteilung D Mitte mit Rinde]],2,FALSE)</f>
        <v>#N/A</v>
      </c>
      <c r="L3150">
        <v>3141</v>
      </c>
      <c r="M3150" t="e">
        <f>INDEX(Stammdaten[Abholzigkeit (mm/lfm)],MATCH(Tabelle9[[#This Row],[Rank]],Stammdaten[Rank Verteilung Abholzigkeit],0))</f>
        <v>#N/A</v>
      </c>
      <c r="N3150" t="e">
        <f>VLOOKUP(Tabelle9[[#This Row],[Rank]],Stammdaten[[Rank Verteilung Abholzigkeit]:[Verteilung Abholzigkeit]],2,FALSE)</f>
        <v>#N/A</v>
      </c>
      <c r="S3150">
        <v>3141</v>
      </c>
      <c r="T3150" t="e">
        <f>INDEX(Stammdaten[Krümmung (mm/lfm)],MATCH(Tabelle10[[#This Row],[Rank]],Stammdaten[Rank Verteilung Krümmung],0))</f>
        <v>#N/A</v>
      </c>
      <c r="U3150" t="e">
        <f>VLOOKUP(Tabelle10[[#This Row],[Rank]],Stammdaten[[Rank Verteilung Krümmung]:[Verteilung Krümmung]],2,FALSE)</f>
        <v>#N/A</v>
      </c>
      <c r="Z3150">
        <v>3141</v>
      </c>
      <c r="AA3150" t="e">
        <f>INDEX(Stammdaten[Ovalität (']0,1'])],MATCH(Tabelle1014[[#This Row],[Rank]],Stammdaten[Rank Verteilung Ovalität],0))</f>
        <v>#N/A</v>
      </c>
      <c r="AB3150" t="e">
        <f>VLOOKUP(Tabelle1014[[#This Row],[Rank]],Stammdaten[[Rank Verteilung Ovalität]:[Verteilung Ovalität]],2,FALSE)</f>
        <v>#N/A</v>
      </c>
    </row>
    <row r="3151" spans="5:28" x14ac:dyDescent="0.35">
      <c r="E3151">
        <v>3142</v>
      </c>
      <c r="F3151" t="e">
        <f>INDEX(Stammdaten[D Mitte mit Rinde (mm)],MATCH(Tabelle8[[#This Row],[Rank]],Stammdaten[Rank Verteilung D Mitte mit Rinde],0))</f>
        <v>#N/A</v>
      </c>
      <c r="G3151" t="e">
        <f>VLOOKUP(Tabelle8[[#This Row],[Rank]],Stammdaten[[Rank Verteilung D Mitte mit Rinde]:[Verteilung D Mitte mit Rinde]],2,FALSE)</f>
        <v>#N/A</v>
      </c>
      <c r="L3151">
        <v>3142</v>
      </c>
      <c r="M3151" t="e">
        <f>INDEX(Stammdaten[Abholzigkeit (mm/lfm)],MATCH(Tabelle9[[#This Row],[Rank]],Stammdaten[Rank Verteilung Abholzigkeit],0))</f>
        <v>#N/A</v>
      </c>
      <c r="N3151" t="e">
        <f>VLOOKUP(Tabelle9[[#This Row],[Rank]],Stammdaten[[Rank Verteilung Abholzigkeit]:[Verteilung Abholzigkeit]],2,FALSE)</f>
        <v>#N/A</v>
      </c>
      <c r="S3151">
        <v>3142</v>
      </c>
      <c r="T3151" t="e">
        <f>INDEX(Stammdaten[Krümmung (mm/lfm)],MATCH(Tabelle10[[#This Row],[Rank]],Stammdaten[Rank Verteilung Krümmung],0))</f>
        <v>#N/A</v>
      </c>
      <c r="U3151" t="e">
        <f>VLOOKUP(Tabelle10[[#This Row],[Rank]],Stammdaten[[Rank Verteilung Krümmung]:[Verteilung Krümmung]],2,FALSE)</f>
        <v>#N/A</v>
      </c>
      <c r="Z3151">
        <v>3142</v>
      </c>
      <c r="AA3151" t="e">
        <f>INDEX(Stammdaten[Ovalität (']0,1'])],MATCH(Tabelle1014[[#This Row],[Rank]],Stammdaten[Rank Verteilung Ovalität],0))</f>
        <v>#N/A</v>
      </c>
      <c r="AB3151" t="e">
        <f>VLOOKUP(Tabelle1014[[#This Row],[Rank]],Stammdaten[[Rank Verteilung Ovalität]:[Verteilung Ovalität]],2,FALSE)</f>
        <v>#N/A</v>
      </c>
    </row>
    <row r="3152" spans="5:28" x14ac:dyDescent="0.35">
      <c r="E3152">
        <v>3143</v>
      </c>
      <c r="F3152" t="e">
        <f>INDEX(Stammdaten[D Mitte mit Rinde (mm)],MATCH(Tabelle8[[#This Row],[Rank]],Stammdaten[Rank Verteilung D Mitte mit Rinde],0))</f>
        <v>#N/A</v>
      </c>
      <c r="G3152" t="e">
        <f>VLOOKUP(Tabelle8[[#This Row],[Rank]],Stammdaten[[Rank Verteilung D Mitte mit Rinde]:[Verteilung D Mitte mit Rinde]],2,FALSE)</f>
        <v>#N/A</v>
      </c>
      <c r="L3152">
        <v>3143</v>
      </c>
      <c r="M3152" t="e">
        <f>INDEX(Stammdaten[Abholzigkeit (mm/lfm)],MATCH(Tabelle9[[#This Row],[Rank]],Stammdaten[Rank Verteilung Abholzigkeit],0))</f>
        <v>#N/A</v>
      </c>
      <c r="N3152" t="e">
        <f>VLOOKUP(Tabelle9[[#This Row],[Rank]],Stammdaten[[Rank Verteilung Abholzigkeit]:[Verteilung Abholzigkeit]],2,FALSE)</f>
        <v>#N/A</v>
      </c>
      <c r="S3152">
        <v>3143</v>
      </c>
      <c r="T3152" t="e">
        <f>INDEX(Stammdaten[Krümmung (mm/lfm)],MATCH(Tabelle10[[#This Row],[Rank]],Stammdaten[Rank Verteilung Krümmung],0))</f>
        <v>#N/A</v>
      </c>
      <c r="U3152" t="e">
        <f>VLOOKUP(Tabelle10[[#This Row],[Rank]],Stammdaten[[Rank Verteilung Krümmung]:[Verteilung Krümmung]],2,FALSE)</f>
        <v>#N/A</v>
      </c>
      <c r="Z3152">
        <v>3143</v>
      </c>
      <c r="AA3152" t="e">
        <f>INDEX(Stammdaten[Ovalität (']0,1'])],MATCH(Tabelle1014[[#This Row],[Rank]],Stammdaten[Rank Verteilung Ovalität],0))</f>
        <v>#N/A</v>
      </c>
      <c r="AB3152" t="e">
        <f>VLOOKUP(Tabelle1014[[#This Row],[Rank]],Stammdaten[[Rank Verteilung Ovalität]:[Verteilung Ovalität]],2,FALSE)</f>
        <v>#N/A</v>
      </c>
    </row>
    <row r="3153" spans="5:28" x14ac:dyDescent="0.35">
      <c r="E3153">
        <v>3144</v>
      </c>
      <c r="F3153" t="e">
        <f>INDEX(Stammdaten[D Mitte mit Rinde (mm)],MATCH(Tabelle8[[#This Row],[Rank]],Stammdaten[Rank Verteilung D Mitte mit Rinde],0))</f>
        <v>#N/A</v>
      </c>
      <c r="G3153" t="e">
        <f>VLOOKUP(Tabelle8[[#This Row],[Rank]],Stammdaten[[Rank Verteilung D Mitte mit Rinde]:[Verteilung D Mitte mit Rinde]],2,FALSE)</f>
        <v>#N/A</v>
      </c>
      <c r="L3153">
        <v>3144</v>
      </c>
      <c r="M3153" t="e">
        <f>INDEX(Stammdaten[Abholzigkeit (mm/lfm)],MATCH(Tabelle9[[#This Row],[Rank]],Stammdaten[Rank Verteilung Abholzigkeit],0))</f>
        <v>#N/A</v>
      </c>
      <c r="N3153" t="e">
        <f>VLOOKUP(Tabelle9[[#This Row],[Rank]],Stammdaten[[Rank Verteilung Abholzigkeit]:[Verteilung Abholzigkeit]],2,FALSE)</f>
        <v>#N/A</v>
      </c>
      <c r="S3153">
        <v>3144</v>
      </c>
      <c r="T3153" t="e">
        <f>INDEX(Stammdaten[Krümmung (mm/lfm)],MATCH(Tabelle10[[#This Row],[Rank]],Stammdaten[Rank Verteilung Krümmung],0))</f>
        <v>#N/A</v>
      </c>
      <c r="U3153" t="e">
        <f>VLOOKUP(Tabelle10[[#This Row],[Rank]],Stammdaten[[Rank Verteilung Krümmung]:[Verteilung Krümmung]],2,FALSE)</f>
        <v>#N/A</v>
      </c>
      <c r="Z3153">
        <v>3144</v>
      </c>
      <c r="AA3153" t="e">
        <f>INDEX(Stammdaten[Ovalität (']0,1'])],MATCH(Tabelle1014[[#This Row],[Rank]],Stammdaten[Rank Verteilung Ovalität],0))</f>
        <v>#N/A</v>
      </c>
      <c r="AB3153" t="e">
        <f>VLOOKUP(Tabelle1014[[#This Row],[Rank]],Stammdaten[[Rank Verteilung Ovalität]:[Verteilung Ovalität]],2,FALSE)</f>
        <v>#N/A</v>
      </c>
    </row>
    <row r="3154" spans="5:28" x14ac:dyDescent="0.35">
      <c r="E3154">
        <v>3145</v>
      </c>
      <c r="F3154" t="e">
        <f>INDEX(Stammdaten[D Mitte mit Rinde (mm)],MATCH(Tabelle8[[#This Row],[Rank]],Stammdaten[Rank Verteilung D Mitte mit Rinde],0))</f>
        <v>#N/A</v>
      </c>
      <c r="G3154" t="e">
        <f>VLOOKUP(Tabelle8[[#This Row],[Rank]],Stammdaten[[Rank Verteilung D Mitte mit Rinde]:[Verteilung D Mitte mit Rinde]],2,FALSE)</f>
        <v>#N/A</v>
      </c>
      <c r="L3154">
        <v>3145</v>
      </c>
      <c r="M3154" t="e">
        <f>INDEX(Stammdaten[Abholzigkeit (mm/lfm)],MATCH(Tabelle9[[#This Row],[Rank]],Stammdaten[Rank Verteilung Abholzigkeit],0))</f>
        <v>#N/A</v>
      </c>
      <c r="N3154" t="e">
        <f>VLOOKUP(Tabelle9[[#This Row],[Rank]],Stammdaten[[Rank Verteilung Abholzigkeit]:[Verteilung Abholzigkeit]],2,FALSE)</f>
        <v>#N/A</v>
      </c>
      <c r="S3154">
        <v>3145</v>
      </c>
      <c r="T3154" t="e">
        <f>INDEX(Stammdaten[Krümmung (mm/lfm)],MATCH(Tabelle10[[#This Row],[Rank]],Stammdaten[Rank Verteilung Krümmung],0))</f>
        <v>#N/A</v>
      </c>
      <c r="U3154" t="e">
        <f>VLOOKUP(Tabelle10[[#This Row],[Rank]],Stammdaten[[Rank Verteilung Krümmung]:[Verteilung Krümmung]],2,FALSE)</f>
        <v>#N/A</v>
      </c>
      <c r="Z3154">
        <v>3145</v>
      </c>
      <c r="AA3154" t="e">
        <f>INDEX(Stammdaten[Ovalität (']0,1'])],MATCH(Tabelle1014[[#This Row],[Rank]],Stammdaten[Rank Verteilung Ovalität],0))</f>
        <v>#N/A</v>
      </c>
      <c r="AB3154" t="e">
        <f>VLOOKUP(Tabelle1014[[#This Row],[Rank]],Stammdaten[[Rank Verteilung Ovalität]:[Verteilung Ovalität]],2,FALSE)</f>
        <v>#N/A</v>
      </c>
    </row>
    <row r="3155" spans="5:28" x14ac:dyDescent="0.35">
      <c r="E3155">
        <v>3146</v>
      </c>
      <c r="F3155" t="e">
        <f>INDEX(Stammdaten[D Mitte mit Rinde (mm)],MATCH(Tabelle8[[#This Row],[Rank]],Stammdaten[Rank Verteilung D Mitte mit Rinde],0))</f>
        <v>#N/A</v>
      </c>
      <c r="G3155" t="e">
        <f>VLOOKUP(Tabelle8[[#This Row],[Rank]],Stammdaten[[Rank Verteilung D Mitte mit Rinde]:[Verteilung D Mitte mit Rinde]],2,FALSE)</f>
        <v>#N/A</v>
      </c>
      <c r="L3155">
        <v>3146</v>
      </c>
      <c r="M3155" t="e">
        <f>INDEX(Stammdaten[Abholzigkeit (mm/lfm)],MATCH(Tabelle9[[#This Row],[Rank]],Stammdaten[Rank Verteilung Abholzigkeit],0))</f>
        <v>#N/A</v>
      </c>
      <c r="N3155" t="e">
        <f>VLOOKUP(Tabelle9[[#This Row],[Rank]],Stammdaten[[Rank Verteilung Abholzigkeit]:[Verteilung Abholzigkeit]],2,FALSE)</f>
        <v>#N/A</v>
      </c>
      <c r="S3155">
        <v>3146</v>
      </c>
      <c r="T3155" t="e">
        <f>INDEX(Stammdaten[Krümmung (mm/lfm)],MATCH(Tabelle10[[#This Row],[Rank]],Stammdaten[Rank Verteilung Krümmung],0))</f>
        <v>#N/A</v>
      </c>
      <c r="U3155" t="e">
        <f>VLOOKUP(Tabelle10[[#This Row],[Rank]],Stammdaten[[Rank Verteilung Krümmung]:[Verteilung Krümmung]],2,FALSE)</f>
        <v>#N/A</v>
      </c>
      <c r="Z3155">
        <v>3146</v>
      </c>
      <c r="AA3155" t="e">
        <f>INDEX(Stammdaten[Ovalität (']0,1'])],MATCH(Tabelle1014[[#This Row],[Rank]],Stammdaten[Rank Verteilung Ovalität],0))</f>
        <v>#N/A</v>
      </c>
      <c r="AB3155" t="e">
        <f>VLOOKUP(Tabelle1014[[#This Row],[Rank]],Stammdaten[[Rank Verteilung Ovalität]:[Verteilung Ovalität]],2,FALSE)</f>
        <v>#N/A</v>
      </c>
    </row>
    <row r="3156" spans="5:28" x14ac:dyDescent="0.35">
      <c r="E3156">
        <v>3147</v>
      </c>
      <c r="F3156" t="e">
        <f>INDEX(Stammdaten[D Mitte mit Rinde (mm)],MATCH(Tabelle8[[#This Row],[Rank]],Stammdaten[Rank Verteilung D Mitte mit Rinde],0))</f>
        <v>#N/A</v>
      </c>
      <c r="G3156" t="e">
        <f>VLOOKUP(Tabelle8[[#This Row],[Rank]],Stammdaten[[Rank Verteilung D Mitte mit Rinde]:[Verteilung D Mitte mit Rinde]],2,FALSE)</f>
        <v>#N/A</v>
      </c>
      <c r="L3156">
        <v>3147</v>
      </c>
      <c r="M3156" t="e">
        <f>INDEX(Stammdaten[Abholzigkeit (mm/lfm)],MATCH(Tabelle9[[#This Row],[Rank]],Stammdaten[Rank Verteilung Abholzigkeit],0))</f>
        <v>#N/A</v>
      </c>
      <c r="N3156" t="e">
        <f>VLOOKUP(Tabelle9[[#This Row],[Rank]],Stammdaten[[Rank Verteilung Abholzigkeit]:[Verteilung Abholzigkeit]],2,FALSE)</f>
        <v>#N/A</v>
      </c>
      <c r="S3156">
        <v>3147</v>
      </c>
      <c r="T3156" t="e">
        <f>INDEX(Stammdaten[Krümmung (mm/lfm)],MATCH(Tabelle10[[#This Row],[Rank]],Stammdaten[Rank Verteilung Krümmung],0))</f>
        <v>#N/A</v>
      </c>
      <c r="U3156" t="e">
        <f>VLOOKUP(Tabelle10[[#This Row],[Rank]],Stammdaten[[Rank Verteilung Krümmung]:[Verteilung Krümmung]],2,FALSE)</f>
        <v>#N/A</v>
      </c>
      <c r="Z3156">
        <v>3147</v>
      </c>
      <c r="AA3156" t="e">
        <f>INDEX(Stammdaten[Ovalität (']0,1'])],MATCH(Tabelle1014[[#This Row],[Rank]],Stammdaten[Rank Verteilung Ovalität],0))</f>
        <v>#N/A</v>
      </c>
      <c r="AB3156" t="e">
        <f>VLOOKUP(Tabelle1014[[#This Row],[Rank]],Stammdaten[[Rank Verteilung Ovalität]:[Verteilung Ovalität]],2,FALSE)</f>
        <v>#N/A</v>
      </c>
    </row>
    <row r="3157" spans="5:28" x14ac:dyDescent="0.35">
      <c r="E3157">
        <v>3148</v>
      </c>
      <c r="F3157" t="e">
        <f>INDEX(Stammdaten[D Mitte mit Rinde (mm)],MATCH(Tabelle8[[#This Row],[Rank]],Stammdaten[Rank Verteilung D Mitte mit Rinde],0))</f>
        <v>#N/A</v>
      </c>
      <c r="G3157" t="e">
        <f>VLOOKUP(Tabelle8[[#This Row],[Rank]],Stammdaten[[Rank Verteilung D Mitte mit Rinde]:[Verteilung D Mitte mit Rinde]],2,FALSE)</f>
        <v>#N/A</v>
      </c>
      <c r="L3157">
        <v>3148</v>
      </c>
      <c r="M3157" t="e">
        <f>INDEX(Stammdaten[Abholzigkeit (mm/lfm)],MATCH(Tabelle9[[#This Row],[Rank]],Stammdaten[Rank Verteilung Abholzigkeit],0))</f>
        <v>#N/A</v>
      </c>
      <c r="N3157" t="e">
        <f>VLOOKUP(Tabelle9[[#This Row],[Rank]],Stammdaten[[Rank Verteilung Abholzigkeit]:[Verteilung Abholzigkeit]],2,FALSE)</f>
        <v>#N/A</v>
      </c>
      <c r="S3157">
        <v>3148</v>
      </c>
      <c r="T3157" t="e">
        <f>INDEX(Stammdaten[Krümmung (mm/lfm)],MATCH(Tabelle10[[#This Row],[Rank]],Stammdaten[Rank Verteilung Krümmung],0))</f>
        <v>#N/A</v>
      </c>
      <c r="U3157" t="e">
        <f>VLOOKUP(Tabelle10[[#This Row],[Rank]],Stammdaten[[Rank Verteilung Krümmung]:[Verteilung Krümmung]],2,FALSE)</f>
        <v>#N/A</v>
      </c>
      <c r="Z3157">
        <v>3148</v>
      </c>
      <c r="AA3157" t="e">
        <f>INDEX(Stammdaten[Ovalität (']0,1'])],MATCH(Tabelle1014[[#This Row],[Rank]],Stammdaten[Rank Verteilung Ovalität],0))</f>
        <v>#N/A</v>
      </c>
      <c r="AB3157" t="e">
        <f>VLOOKUP(Tabelle1014[[#This Row],[Rank]],Stammdaten[[Rank Verteilung Ovalität]:[Verteilung Ovalität]],2,FALSE)</f>
        <v>#N/A</v>
      </c>
    </row>
    <row r="3158" spans="5:28" x14ac:dyDescent="0.35">
      <c r="E3158">
        <v>3149</v>
      </c>
      <c r="F3158" t="e">
        <f>INDEX(Stammdaten[D Mitte mit Rinde (mm)],MATCH(Tabelle8[[#This Row],[Rank]],Stammdaten[Rank Verteilung D Mitte mit Rinde],0))</f>
        <v>#N/A</v>
      </c>
      <c r="G3158" t="e">
        <f>VLOOKUP(Tabelle8[[#This Row],[Rank]],Stammdaten[[Rank Verteilung D Mitte mit Rinde]:[Verteilung D Mitte mit Rinde]],2,FALSE)</f>
        <v>#N/A</v>
      </c>
      <c r="L3158">
        <v>3149</v>
      </c>
      <c r="M3158" t="e">
        <f>INDEX(Stammdaten[Abholzigkeit (mm/lfm)],MATCH(Tabelle9[[#This Row],[Rank]],Stammdaten[Rank Verteilung Abholzigkeit],0))</f>
        <v>#N/A</v>
      </c>
      <c r="N3158" t="e">
        <f>VLOOKUP(Tabelle9[[#This Row],[Rank]],Stammdaten[[Rank Verteilung Abholzigkeit]:[Verteilung Abholzigkeit]],2,FALSE)</f>
        <v>#N/A</v>
      </c>
      <c r="S3158">
        <v>3149</v>
      </c>
      <c r="T3158" t="e">
        <f>INDEX(Stammdaten[Krümmung (mm/lfm)],MATCH(Tabelle10[[#This Row],[Rank]],Stammdaten[Rank Verteilung Krümmung],0))</f>
        <v>#N/A</v>
      </c>
      <c r="U3158" t="e">
        <f>VLOOKUP(Tabelle10[[#This Row],[Rank]],Stammdaten[[Rank Verteilung Krümmung]:[Verteilung Krümmung]],2,FALSE)</f>
        <v>#N/A</v>
      </c>
      <c r="Z3158">
        <v>3149</v>
      </c>
      <c r="AA3158" t="e">
        <f>INDEX(Stammdaten[Ovalität (']0,1'])],MATCH(Tabelle1014[[#This Row],[Rank]],Stammdaten[Rank Verteilung Ovalität],0))</f>
        <v>#N/A</v>
      </c>
      <c r="AB3158" t="e">
        <f>VLOOKUP(Tabelle1014[[#This Row],[Rank]],Stammdaten[[Rank Verteilung Ovalität]:[Verteilung Ovalität]],2,FALSE)</f>
        <v>#N/A</v>
      </c>
    </row>
    <row r="3159" spans="5:28" x14ac:dyDescent="0.35">
      <c r="E3159">
        <v>3150</v>
      </c>
      <c r="F3159" t="e">
        <f>INDEX(Stammdaten[D Mitte mit Rinde (mm)],MATCH(Tabelle8[[#This Row],[Rank]],Stammdaten[Rank Verteilung D Mitte mit Rinde],0))</f>
        <v>#N/A</v>
      </c>
      <c r="G3159" t="e">
        <f>VLOOKUP(Tabelle8[[#This Row],[Rank]],Stammdaten[[Rank Verteilung D Mitte mit Rinde]:[Verteilung D Mitte mit Rinde]],2,FALSE)</f>
        <v>#N/A</v>
      </c>
      <c r="L3159">
        <v>3150</v>
      </c>
      <c r="M3159" t="e">
        <f>INDEX(Stammdaten[Abholzigkeit (mm/lfm)],MATCH(Tabelle9[[#This Row],[Rank]],Stammdaten[Rank Verteilung Abholzigkeit],0))</f>
        <v>#N/A</v>
      </c>
      <c r="N3159" t="e">
        <f>VLOOKUP(Tabelle9[[#This Row],[Rank]],Stammdaten[[Rank Verteilung Abholzigkeit]:[Verteilung Abholzigkeit]],2,FALSE)</f>
        <v>#N/A</v>
      </c>
      <c r="S3159">
        <v>3150</v>
      </c>
      <c r="T3159" t="e">
        <f>INDEX(Stammdaten[Krümmung (mm/lfm)],MATCH(Tabelle10[[#This Row],[Rank]],Stammdaten[Rank Verteilung Krümmung],0))</f>
        <v>#N/A</v>
      </c>
      <c r="U3159" t="e">
        <f>VLOOKUP(Tabelle10[[#This Row],[Rank]],Stammdaten[[Rank Verteilung Krümmung]:[Verteilung Krümmung]],2,FALSE)</f>
        <v>#N/A</v>
      </c>
      <c r="Z3159">
        <v>3150</v>
      </c>
      <c r="AA3159" t="e">
        <f>INDEX(Stammdaten[Ovalität (']0,1'])],MATCH(Tabelle1014[[#This Row],[Rank]],Stammdaten[Rank Verteilung Ovalität],0))</f>
        <v>#N/A</v>
      </c>
      <c r="AB3159" t="e">
        <f>VLOOKUP(Tabelle1014[[#This Row],[Rank]],Stammdaten[[Rank Verteilung Ovalität]:[Verteilung Ovalität]],2,FALSE)</f>
        <v>#N/A</v>
      </c>
    </row>
    <row r="3160" spans="5:28" x14ac:dyDescent="0.35">
      <c r="E3160">
        <v>3151</v>
      </c>
      <c r="F3160" t="e">
        <f>INDEX(Stammdaten[D Mitte mit Rinde (mm)],MATCH(Tabelle8[[#This Row],[Rank]],Stammdaten[Rank Verteilung D Mitte mit Rinde],0))</f>
        <v>#N/A</v>
      </c>
      <c r="G3160" t="e">
        <f>VLOOKUP(Tabelle8[[#This Row],[Rank]],Stammdaten[[Rank Verteilung D Mitte mit Rinde]:[Verteilung D Mitte mit Rinde]],2,FALSE)</f>
        <v>#N/A</v>
      </c>
      <c r="L3160">
        <v>3151</v>
      </c>
      <c r="M3160" t="e">
        <f>INDEX(Stammdaten[Abholzigkeit (mm/lfm)],MATCH(Tabelle9[[#This Row],[Rank]],Stammdaten[Rank Verteilung Abholzigkeit],0))</f>
        <v>#N/A</v>
      </c>
      <c r="N3160" t="e">
        <f>VLOOKUP(Tabelle9[[#This Row],[Rank]],Stammdaten[[Rank Verteilung Abholzigkeit]:[Verteilung Abholzigkeit]],2,FALSE)</f>
        <v>#N/A</v>
      </c>
      <c r="S3160">
        <v>3151</v>
      </c>
      <c r="T3160" t="e">
        <f>INDEX(Stammdaten[Krümmung (mm/lfm)],MATCH(Tabelle10[[#This Row],[Rank]],Stammdaten[Rank Verteilung Krümmung],0))</f>
        <v>#N/A</v>
      </c>
      <c r="U3160" t="e">
        <f>VLOOKUP(Tabelle10[[#This Row],[Rank]],Stammdaten[[Rank Verteilung Krümmung]:[Verteilung Krümmung]],2,FALSE)</f>
        <v>#N/A</v>
      </c>
      <c r="Z3160">
        <v>3151</v>
      </c>
      <c r="AA3160" t="e">
        <f>INDEX(Stammdaten[Ovalität (']0,1'])],MATCH(Tabelle1014[[#This Row],[Rank]],Stammdaten[Rank Verteilung Ovalität],0))</f>
        <v>#N/A</v>
      </c>
      <c r="AB3160" t="e">
        <f>VLOOKUP(Tabelle1014[[#This Row],[Rank]],Stammdaten[[Rank Verteilung Ovalität]:[Verteilung Ovalität]],2,FALSE)</f>
        <v>#N/A</v>
      </c>
    </row>
    <row r="3161" spans="5:28" x14ac:dyDescent="0.35">
      <c r="E3161">
        <v>3152</v>
      </c>
      <c r="F3161" t="e">
        <f>INDEX(Stammdaten[D Mitte mit Rinde (mm)],MATCH(Tabelle8[[#This Row],[Rank]],Stammdaten[Rank Verteilung D Mitte mit Rinde],0))</f>
        <v>#N/A</v>
      </c>
      <c r="G3161" t="e">
        <f>VLOOKUP(Tabelle8[[#This Row],[Rank]],Stammdaten[[Rank Verteilung D Mitte mit Rinde]:[Verteilung D Mitte mit Rinde]],2,FALSE)</f>
        <v>#N/A</v>
      </c>
      <c r="L3161">
        <v>3152</v>
      </c>
      <c r="M3161" t="e">
        <f>INDEX(Stammdaten[Abholzigkeit (mm/lfm)],MATCH(Tabelle9[[#This Row],[Rank]],Stammdaten[Rank Verteilung Abholzigkeit],0))</f>
        <v>#N/A</v>
      </c>
      <c r="N3161" t="e">
        <f>VLOOKUP(Tabelle9[[#This Row],[Rank]],Stammdaten[[Rank Verteilung Abholzigkeit]:[Verteilung Abholzigkeit]],2,FALSE)</f>
        <v>#N/A</v>
      </c>
      <c r="S3161">
        <v>3152</v>
      </c>
      <c r="T3161" t="e">
        <f>INDEX(Stammdaten[Krümmung (mm/lfm)],MATCH(Tabelle10[[#This Row],[Rank]],Stammdaten[Rank Verteilung Krümmung],0))</f>
        <v>#N/A</v>
      </c>
      <c r="U3161" t="e">
        <f>VLOOKUP(Tabelle10[[#This Row],[Rank]],Stammdaten[[Rank Verteilung Krümmung]:[Verteilung Krümmung]],2,FALSE)</f>
        <v>#N/A</v>
      </c>
      <c r="Z3161">
        <v>3152</v>
      </c>
      <c r="AA3161" t="e">
        <f>INDEX(Stammdaten[Ovalität (']0,1'])],MATCH(Tabelle1014[[#This Row],[Rank]],Stammdaten[Rank Verteilung Ovalität],0))</f>
        <v>#N/A</v>
      </c>
      <c r="AB3161" t="e">
        <f>VLOOKUP(Tabelle1014[[#This Row],[Rank]],Stammdaten[[Rank Verteilung Ovalität]:[Verteilung Ovalität]],2,FALSE)</f>
        <v>#N/A</v>
      </c>
    </row>
    <row r="3162" spans="5:28" x14ac:dyDescent="0.35">
      <c r="E3162">
        <v>3153</v>
      </c>
      <c r="F3162" t="e">
        <f>INDEX(Stammdaten[D Mitte mit Rinde (mm)],MATCH(Tabelle8[[#This Row],[Rank]],Stammdaten[Rank Verteilung D Mitte mit Rinde],0))</f>
        <v>#N/A</v>
      </c>
      <c r="G3162" t="e">
        <f>VLOOKUP(Tabelle8[[#This Row],[Rank]],Stammdaten[[Rank Verteilung D Mitte mit Rinde]:[Verteilung D Mitte mit Rinde]],2,FALSE)</f>
        <v>#N/A</v>
      </c>
      <c r="L3162">
        <v>3153</v>
      </c>
      <c r="M3162" t="e">
        <f>INDEX(Stammdaten[Abholzigkeit (mm/lfm)],MATCH(Tabelle9[[#This Row],[Rank]],Stammdaten[Rank Verteilung Abholzigkeit],0))</f>
        <v>#N/A</v>
      </c>
      <c r="N3162" t="e">
        <f>VLOOKUP(Tabelle9[[#This Row],[Rank]],Stammdaten[[Rank Verteilung Abholzigkeit]:[Verteilung Abholzigkeit]],2,FALSE)</f>
        <v>#N/A</v>
      </c>
      <c r="S3162">
        <v>3153</v>
      </c>
      <c r="T3162" t="e">
        <f>INDEX(Stammdaten[Krümmung (mm/lfm)],MATCH(Tabelle10[[#This Row],[Rank]],Stammdaten[Rank Verteilung Krümmung],0))</f>
        <v>#N/A</v>
      </c>
      <c r="U3162" t="e">
        <f>VLOOKUP(Tabelle10[[#This Row],[Rank]],Stammdaten[[Rank Verteilung Krümmung]:[Verteilung Krümmung]],2,FALSE)</f>
        <v>#N/A</v>
      </c>
      <c r="Z3162">
        <v>3153</v>
      </c>
      <c r="AA3162" t="e">
        <f>INDEX(Stammdaten[Ovalität (']0,1'])],MATCH(Tabelle1014[[#This Row],[Rank]],Stammdaten[Rank Verteilung Ovalität],0))</f>
        <v>#N/A</v>
      </c>
      <c r="AB3162" t="e">
        <f>VLOOKUP(Tabelle1014[[#This Row],[Rank]],Stammdaten[[Rank Verteilung Ovalität]:[Verteilung Ovalität]],2,FALSE)</f>
        <v>#N/A</v>
      </c>
    </row>
    <row r="3163" spans="5:28" x14ac:dyDescent="0.35">
      <c r="E3163">
        <v>3154</v>
      </c>
      <c r="F3163" t="e">
        <f>INDEX(Stammdaten[D Mitte mit Rinde (mm)],MATCH(Tabelle8[[#This Row],[Rank]],Stammdaten[Rank Verteilung D Mitte mit Rinde],0))</f>
        <v>#N/A</v>
      </c>
      <c r="G3163" t="e">
        <f>VLOOKUP(Tabelle8[[#This Row],[Rank]],Stammdaten[[Rank Verteilung D Mitte mit Rinde]:[Verteilung D Mitte mit Rinde]],2,FALSE)</f>
        <v>#N/A</v>
      </c>
      <c r="L3163">
        <v>3154</v>
      </c>
      <c r="M3163" t="e">
        <f>INDEX(Stammdaten[Abholzigkeit (mm/lfm)],MATCH(Tabelle9[[#This Row],[Rank]],Stammdaten[Rank Verteilung Abholzigkeit],0))</f>
        <v>#N/A</v>
      </c>
      <c r="N3163" t="e">
        <f>VLOOKUP(Tabelle9[[#This Row],[Rank]],Stammdaten[[Rank Verteilung Abholzigkeit]:[Verteilung Abholzigkeit]],2,FALSE)</f>
        <v>#N/A</v>
      </c>
      <c r="S3163">
        <v>3154</v>
      </c>
      <c r="T3163" t="e">
        <f>INDEX(Stammdaten[Krümmung (mm/lfm)],MATCH(Tabelle10[[#This Row],[Rank]],Stammdaten[Rank Verteilung Krümmung],0))</f>
        <v>#N/A</v>
      </c>
      <c r="U3163" t="e">
        <f>VLOOKUP(Tabelle10[[#This Row],[Rank]],Stammdaten[[Rank Verteilung Krümmung]:[Verteilung Krümmung]],2,FALSE)</f>
        <v>#N/A</v>
      </c>
      <c r="Z3163">
        <v>3154</v>
      </c>
      <c r="AA3163" t="e">
        <f>INDEX(Stammdaten[Ovalität (']0,1'])],MATCH(Tabelle1014[[#This Row],[Rank]],Stammdaten[Rank Verteilung Ovalität],0))</f>
        <v>#N/A</v>
      </c>
      <c r="AB3163" t="e">
        <f>VLOOKUP(Tabelle1014[[#This Row],[Rank]],Stammdaten[[Rank Verteilung Ovalität]:[Verteilung Ovalität]],2,FALSE)</f>
        <v>#N/A</v>
      </c>
    </row>
    <row r="3164" spans="5:28" x14ac:dyDescent="0.35">
      <c r="E3164">
        <v>3155</v>
      </c>
      <c r="F3164" t="e">
        <f>INDEX(Stammdaten[D Mitte mit Rinde (mm)],MATCH(Tabelle8[[#This Row],[Rank]],Stammdaten[Rank Verteilung D Mitte mit Rinde],0))</f>
        <v>#N/A</v>
      </c>
      <c r="G3164" t="e">
        <f>VLOOKUP(Tabelle8[[#This Row],[Rank]],Stammdaten[[Rank Verteilung D Mitte mit Rinde]:[Verteilung D Mitte mit Rinde]],2,FALSE)</f>
        <v>#N/A</v>
      </c>
      <c r="L3164">
        <v>3155</v>
      </c>
      <c r="M3164" t="e">
        <f>INDEX(Stammdaten[Abholzigkeit (mm/lfm)],MATCH(Tabelle9[[#This Row],[Rank]],Stammdaten[Rank Verteilung Abholzigkeit],0))</f>
        <v>#N/A</v>
      </c>
      <c r="N3164" t="e">
        <f>VLOOKUP(Tabelle9[[#This Row],[Rank]],Stammdaten[[Rank Verteilung Abholzigkeit]:[Verteilung Abholzigkeit]],2,FALSE)</f>
        <v>#N/A</v>
      </c>
      <c r="S3164">
        <v>3155</v>
      </c>
      <c r="T3164" t="e">
        <f>INDEX(Stammdaten[Krümmung (mm/lfm)],MATCH(Tabelle10[[#This Row],[Rank]],Stammdaten[Rank Verteilung Krümmung],0))</f>
        <v>#N/A</v>
      </c>
      <c r="U3164" t="e">
        <f>VLOOKUP(Tabelle10[[#This Row],[Rank]],Stammdaten[[Rank Verteilung Krümmung]:[Verteilung Krümmung]],2,FALSE)</f>
        <v>#N/A</v>
      </c>
      <c r="Z3164">
        <v>3155</v>
      </c>
      <c r="AA3164" t="e">
        <f>INDEX(Stammdaten[Ovalität (']0,1'])],MATCH(Tabelle1014[[#This Row],[Rank]],Stammdaten[Rank Verteilung Ovalität],0))</f>
        <v>#N/A</v>
      </c>
      <c r="AB3164" t="e">
        <f>VLOOKUP(Tabelle1014[[#This Row],[Rank]],Stammdaten[[Rank Verteilung Ovalität]:[Verteilung Ovalität]],2,FALSE)</f>
        <v>#N/A</v>
      </c>
    </row>
    <row r="3165" spans="5:28" x14ac:dyDescent="0.35">
      <c r="E3165">
        <v>3156</v>
      </c>
      <c r="F3165" t="e">
        <f>INDEX(Stammdaten[D Mitte mit Rinde (mm)],MATCH(Tabelle8[[#This Row],[Rank]],Stammdaten[Rank Verteilung D Mitte mit Rinde],0))</f>
        <v>#N/A</v>
      </c>
      <c r="G3165" t="e">
        <f>VLOOKUP(Tabelle8[[#This Row],[Rank]],Stammdaten[[Rank Verteilung D Mitte mit Rinde]:[Verteilung D Mitte mit Rinde]],2,FALSE)</f>
        <v>#N/A</v>
      </c>
      <c r="L3165">
        <v>3156</v>
      </c>
      <c r="M3165" t="e">
        <f>INDEX(Stammdaten[Abholzigkeit (mm/lfm)],MATCH(Tabelle9[[#This Row],[Rank]],Stammdaten[Rank Verteilung Abholzigkeit],0))</f>
        <v>#N/A</v>
      </c>
      <c r="N3165" t="e">
        <f>VLOOKUP(Tabelle9[[#This Row],[Rank]],Stammdaten[[Rank Verteilung Abholzigkeit]:[Verteilung Abholzigkeit]],2,FALSE)</f>
        <v>#N/A</v>
      </c>
      <c r="S3165">
        <v>3156</v>
      </c>
      <c r="T3165" t="e">
        <f>INDEX(Stammdaten[Krümmung (mm/lfm)],MATCH(Tabelle10[[#This Row],[Rank]],Stammdaten[Rank Verteilung Krümmung],0))</f>
        <v>#N/A</v>
      </c>
      <c r="U3165" t="e">
        <f>VLOOKUP(Tabelle10[[#This Row],[Rank]],Stammdaten[[Rank Verteilung Krümmung]:[Verteilung Krümmung]],2,FALSE)</f>
        <v>#N/A</v>
      </c>
      <c r="Z3165">
        <v>3156</v>
      </c>
      <c r="AA3165" t="e">
        <f>INDEX(Stammdaten[Ovalität (']0,1'])],MATCH(Tabelle1014[[#This Row],[Rank]],Stammdaten[Rank Verteilung Ovalität],0))</f>
        <v>#N/A</v>
      </c>
      <c r="AB3165" t="e">
        <f>VLOOKUP(Tabelle1014[[#This Row],[Rank]],Stammdaten[[Rank Verteilung Ovalität]:[Verteilung Ovalität]],2,FALSE)</f>
        <v>#N/A</v>
      </c>
    </row>
    <row r="3166" spans="5:28" x14ac:dyDescent="0.35">
      <c r="E3166">
        <v>3157</v>
      </c>
      <c r="F3166" t="e">
        <f>INDEX(Stammdaten[D Mitte mit Rinde (mm)],MATCH(Tabelle8[[#This Row],[Rank]],Stammdaten[Rank Verteilung D Mitte mit Rinde],0))</f>
        <v>#N/A</v>
      </c>
      <c r="G3166" t="e">
        <f>VLOOKUP(Tabelle8[[#This Row],[Rank]],Stammdaten[[Rank Verteilung D Mitte mit Rinde]:[Verteilung D Mitte mit Rinde]],2,FALSE)</f>
        <v>#N/A</v>
      </c>
      <c r="L3166">
        <v>3157</v>
      </c>
      <c r="M3166" t="e">
        <f>INDEX(Stammdaten[Abholzigkeit (mm/lfm)],MATCH(Tabelle9[[#This Row],[Rank]],Stammdaten[Rank Verteilung Abholzigkeit],0))</f>
        <v>#N/A</v>
      </c>
      <c r="N3166" t="e">
        <f>VLOOKUP(Tabelle9[[#This Row],[Rank]],Stammdaten[[Rank Verteilung Abholzigkeit]:[Verteilung Abholzigkeit]],2,FALSE)</f>
        <v>#N/A</v>
      </c>
      <c r="S3166">
        <v>3157</v>
      </c>
      <c r="T3166" t="e">
        <f>INDEX(Stammdaten[Krümmung (mm/lfm)],MATCH(Tabelle10[[#This Row],[Rank]],Stammdaten[Rank Verteilung Krümmung],0))</f>
        <v>#N/A</v>
      </c>
      <c r="U3166" t="e">
        <f>VLOOKUP(Tabelle10[[#This Row],[Rank]],Stammdaten[[Rank Verteilung Krümmung]:[Verteilung Krümmung]],2,FALSE)</f>
        <v>#N/A</v>
      </c>
      <c r="Z3166">
        <v>3157</v>
      </c>
      <c r="AA3166" t="e">
        <f>INDEX(Stammdaten[Ovalität (']0,1'])],MATCH(Tabelle1014[[#This Row],[Rank]],Stammdaten[Rank Verteilung Ovalität],0))</f>
        <v>#N/A</v>
      </c>
      <c r="AB3166" t="e">
        <f>VLOOKUP(Tabelle1014[[#This Row],[Rank]],Stammdaten[[Rank Verteilung Ovalität]:[Verteilung Ovalität]],2,FALSE)</f>
        <v>#N/A</v>
      </c>
    </row>
    <row r="3167" spans="5:28" x14ac:dyDescent="0.35">
      <c r="E3167">
        <v>3158</v>
      </c>
      <c r="F3167" t="e">
        <f>INDEX(Stammdaten[D Mitte mit Rinde (mm)],MATCH(Tabelle8[[#This Row],[Rank]],Stammdaten[Rank Verteilung D Mitte mit Rinde],0))</f>
        <v>#N/A</v>
      </c>
      <c r="G3167" t="e">
        <f>VLOOKUP(Tabelle8[[#This Row],[Rank]],Stammdaten[[Rank Verteilung D Mitte mit Rinde]:[Verteilung D Mitte mit Rinde]],2,FALSE)</f>
        <v>#N/A</v>
      </c>
      <c r="L3167">
        <v>3158</v>
      </c>
      <c r="M3167" t="e">
        <f>INDEX(Stammdaten[Abholzigkeit (mm/lfm)],MATCH(Tabelle9[[#This Row],[Rank]],Stammdaten[Rank Verteilung Abholzigkeit],0))</f>
        <v>#N/A</v>
      </c>
      <c r="N3167" t="e">
        <f>VLOOKUP(Tabelle9[[#This Row],[Rank]],Stammdaten[[Rank Verteilung Abholzigkeit]:[Verteilung Abholzigkeit]],2,FALSE)</f>
        <v>#N/A</v>
      </c>
      <c r="S3167">
        <v>3158</v>
      </c>
      <c r="T3167" t="e">
        <f>INDEX(Stammdaten[Krümmung (mm/lfm)],MATCH(Tabelle10[[#This Row],[Rank]],Stammdaten[Rank Verteilung Krümmung],0))</f>
        <v>#N/A</v>
      </c>
      <c r="U3167" t="e">
        <f>VLOOKUP(Tabelle10[[#This Row],[Rank]],Stammdaten[[Rank Verteilung Krümmung]:[Verteilung Krümmung]],2,FALSE)</f>
        <v>#N/A</v>
      </c>
      <c r="Z3167">
        <v>3158</v>
      </c>
      <c r="AA3167" t="e">
        <f>INDEX(Stammdaten[Ovalität (']0,1'])],MATCH(Tabelle1014[[#This Row],[Rank]],Stammdaten[Rank Verteilung Ovalität],0))</f>
        <v>#N/A</v>
      </c>
      <c r="AB3167" t="e">
        <f>VLOOKUP(Tabelle1014[[#This Row],[Rank]],Stammdaten[[Rank Verteilung Ovalität]:[Verteilung Ovalität]],2,FALSE)</f>
        <v>#N/A</v>
      </c>
    </row>
    <row r="3168" spans="5:28" x14ac:dyDescent="0.35">
      <c r="E3168">
        <v>3159</v>
      </c>
      <c r="F3168" t="e">
        <f>INDEX(Stammdaten[D Mitte mit Rinde (mm)],MATCH(Tabelle8[[#This Row],[Rank]],Stammdaten[Rank Verteilung D Mitte mit Rinde],0))</f>
        <v>#N/A</v>
      </c>
      <c r="G3168" t="e">
        <f>VLOOKUP(Tabelle8[[#This Row],[Rank]],Stammdaten[[Rank Verteilung D Mitte mit Rinde]:[Verteilung D Mitte mit Rinde]],2,FALSE)</f>
        <v>#N/A</v>
      </c>
      <c r="L3168">
        <v>3159</v>
      </c>
      <c r="M3168" t="e">
        <f>INDEX(Stammdaten[Abholzigkeit (mm/lfm)],MATCH(Tabelle9[[#This Row],[Rank]],Stammdaten[Rank Verteilung Abholzigkeit],0))</f>
        <v>#N/A</v>
      </c>
      <c r="N3168" t="e">
        <f>VLOOKUP(Tabelle9[[#This Row],[Rank]],Stammdaten[[Rank Verteilung Abholzigkeit]:[Verteilung Abholzigkeit]],2,FALSE)</f>
        <v>#N/A</v>
      </c>
      <c r="S3168">
        <v>3159</v>
      </c>
      <c r="T3168" t="e">
        <f>INDEX(Stammdaten[Krümmung (mm/lfm)],MATCH(Tabelle10[[#This Row],[Rank]],Stammdaten[Rank Verteilung Krümmung],0))</f>
        <v>#N/A</v>
      </c>
      <c r="U3168" t="e">
        <f>VLOOKUP(Tabelle10[[#This Row],[Rank]],Stammdaten[[Rank Verteilung Krümmung]:[Verteilung Krümmung]],2,FALSE)</f>
        <v>#N/A</v>
      </c>
      <c r="Z3168">
        <v>3159</v>
      </c>
      <c r="AA3168" t="e">
        <f>INDEX(Stammdaten[Ovalität (']0,1'])],MATCH(Tabelle1014[[#This Row],[Rank]],Stammdaten[Rank Verteilung Ovalität],0))</f>
        <v>#N/A</v>
      </c>
      <c r="AB3168" t="e">
        <f>VLOOKUP(Tabelle1014[[#This Row],[Rank]],Stammdaten[[Rank Verteilung Ovalität]:[Verteilung Ovalität]],2,FALSE)</f>
        <v>#N/A</v>
      </c>
    </row>
    <row r="3169" spans="5:28" x14ac:dyDescent="0.35">
      <c r="E3169">
        <v>3160</v>
      </c>
      <c r="F3169" t="e">
        <f>INDEX(Stammdaten[D Mitte mit Rinde (mm)],MATCH(Tabelle8[[#This Row],[Rank]],Stammdaten[Rank Verteilung D Mitte mit Rinde],0))</f>
        <v>#N/A</v>
      </c>
      <c r="G3169" t="e">
        <f>VLOOKUP(Tabelle8[[#This Row],[Rank]],Stammdaten[[Rank Verteilung D Mitte mit Rinde]:[Verteilung D Mitte mit Rinde]],2,FALSE)</f>
        <v>#N/A</v>
      </c>
      <c r="L3169">
        <v>3160</v>
      </c>
      <c r="M3169" t="e">
        <f>INDEX(Stammdaten[Abholzigkeit (mm/lfm)],MATCH(Tabelle9[[#This Row],[Rank]],Stammdaten[Rank Verteilung Abholzigkeit],0))</f>
        <v>#N/A</v>
      </c>
      <c r="N3169" t="e">
        <f>VLOOKUP(Tabelle9[[#This Row],[Rank]],Stammdaten[[Rank Verteilung Abholzigkeit]:[Verteilung Abholzigkeit]],2,FALSE)</f>
        <v>#N/A</v>
      </c>
      <c r="S3169">
        <v>3160</v>
      </c>
      <c r="T3169" t="e">
        <f>INDEX(Stammdaten[Krümmung (mm/lfm)],MATCH(Tabelle10[[#This Row],[Rank]],Stammdaten[Rank Verteilung Krümmung],0))</f>
        <v>#N/A</v>
      </c>
      <c r="U3169" t="e">
        <f>VLOOKUP(Tabelle10[[#This Row],[Rank]],Stammdaten[[Rank Verteilung Krümmung]:[Verteilung Krümmung]],2,FALSE)</f>
        <v>#N/A</v>
      </c>
      <c r="Z3169">
        <v>3160</v>
      </c>
      <c r="AA3169" t="e">
        <f>INDEX(Stammdaten[Ovalität (']0,1'])],MATCH(Tabelle1014[[#This Row],[Rank]],Stammdaten[Rank Verteilung Ovalität],0))</f>
        <v>#N/A</v>
      </c>
      <c r="AB3169" t="e">
        <f>VLOOKUP(Tabelle1014[[#This Row],[Rank]],Stammdaten[[Rank Verteilung Ovalität]:[Verteilung Ovalität]],2,FALSE)</f>
        <v>#N/A</v>
      </c>
    </row>
    <row r="3170" spans="5:28" x14ac:dyDescent="0.35">
      <c r="E3170">
        <v>3161</v>
      </c>
      <c r="F3170" t="e">
        <f>INDEX(Stammdaten[D Mitte mit Rinde (mm)],MATCH(Tabelle8[[#This Row],[Rank]],Stammdaten[Rank Verteilung D Mitte mit Rinde],0))</f>
        <v>#N/A</v>
      </c>
      <c r="G3170" t="e">
        <f>VLOOKUP(Tabelle8[[#This Row],[Rank]],Stammdaten[[Rank Verteilung D Mitte mit Rinde]:[Verteilung D Mitte mit Rinde]],2,FALSE)</f>
        <v>#N/A</v>
      </c>
      <c r="L3170">
        <v>3161</v>
      </c>
      <c r="M3170" t="e">
        <f>INDEX(Stammdaten[Abholzigkeit (mm/lfm)],MATCH(Tabelle9[[#This Row],[Rank]],Stammdaten[Rank Verteilung Abholzigkeit],0))</f>
        <v>#N/A</v>
      </c>
      <c r="N3170" t="e">
        <f>VLOOKUP(Tabelle9[[#This Row],[Rank]],Stammdaten[[Rank Verteilung Abholzigkeit]:[Verteilung Abholzigkeit]],2,FALSE)</f>
        <v>#N/A</v>
      </c>
      <c r="S3170">
        <v>3161</v>
      </c>
      <c r="T3170" t="e">
        <f>INDEX(Stammdaten[Krümmung (mm/lfm)],MATCH(Tabelle10[[#This Row],[Rank]],Stammdaten[Rank Verteilung Krümmung],0))</f>
        <v>#N/A</v>
      </c>
      <c r="U3170" t="e">
        <f>VLOOKUP(Tabelle10[[#This Row],[Rank]],Stammdaten[[Rank Verteilung Krümmung]:[Verteilung Krümmung]],2,FALSE)</f>
        <v>#N/A</v>
      </c>
      <c r="Z3170">
        <v>3161</v>
      </c>
      <c r="AA3170" t="e">
        <f>INDEX(Stammdaten[Ovalität (']0,1'])],MATCH(Tabelle1014[[#This Row],[Rank]],Stammdaten[Rank Verteilung Ovalität],0))</f>
        <v>#N/A</v>
      </c>
      <c r="AB3170" t="e">
        <f>VLOOKUP(Tabelle1014[[#This Row],[Rank]],Stammdaten[[Rank Verteilung Ovalität]:[Verteilung Ovalität]],2,FALSE)</f>
        <v>#N/A</v>
      </c>
    </row>
    <row r="3171" spans="5:28" x14ac:dyDescent="0.35">
      <c r="E3171">
        <v>3162</v>
      </c>
      <c r="F3171" t="e">
        <f>INDEX(Stammdaten[D Mitte mit Rinde (mm)],MATCH(Tabelle8[[#This Row],[Rank]],Stammdaten[Rank Verteilung D Mitte mit Rinde],0))</f>
        <v>#N/A</v>
      </c>
      <c r="G3171" t="e">
        <f>VLOOKUP(Tabelle8[[#This Row],[Rank]],Stammdaten[[Rank Verteilung D Mitte mit Rinde]:[Verteilung D Mitte mit Rinde]],2,FALSE)</f>
        <v>#N/A</v>
      </c>
      <c r="L3171">
        <v>3162</v>
      </c>
      <c r="M3171" t="e">
        <f>INDEX(Stammdaten[Abholzigkeit (mm/lfm)],MATCH(Tabelle9[[#This Row],[Rank]],Stammdaten[Rank Verteilung Abholzigkeit],0))</f>
        <v>#N/A</v>
      </c>
      <c r="N3171" t="e">
        <f>VLOOKUP(Tabelle9[[#This Row],[Rank]],Stammdaten[[Rank Verteilung Abholzigkeit]:[Verteilung Abholzigkeit]],2,FALSE)</f>
        <v>#N/A</v>
      </c>
      <c r="S3171">
        <v>3162</v>
      </c>
      <c r="T3171" t="e">
        <f>INDEX(Stammdaten[Krümmung (mm/lfm)],MATCH(Tabelle10[[#This Row],[Rank]],Stammdaten[Rank Verteilung Krümmung],0))</f>
        <v>#N/A</v>
      </c>
      <c r="U3171" t="e">
        <f>VLOOKUP(Tabelle10[[#This Row],[Rank]],Stammdaten[[Rank Verteilung Krümmung]:[Verteilung Krümmung]],2,FALSE)</f>
        <v>#N/A</v>
      </c>
      <c r="Z3171">
        <v>3162</v>
      </c>
      <c r="AA3171" t="e">
        <f>INDEX(Stammdaten[Ovalität (']0,1'])],MATCH(Tabelle1014[[#This Row],[Rank]],Stammdaten[Rank Verteilung Ovalität],0))</f>
        <v>#N/A</v>
      </c>
      <c r="AB3171" t="e">
        <f>VLOOKUP(Tabelle1014[[#This Row],[Rank]],Stammdaten[[Rank Verteilung Ovalität]:[Verteilung Ovalität]],2,FALSE)</f>
        <v>#N/A</v>
      </c>
    </row>
    <row r="3172" spans="5:28" x14ac:dyDescent="0.35">
      <c r="E3172">
        <v>3163</v>
      </c>
      <c r="F3172" t="e">
        <f>INDEX(Stammdaten[D Mitte mit Rinde (mm)],MATCH(Tabelle8[[#This Row],[Rank]],Stammdaten[Rank Verteilung D Mitte mit Rinde],0))</f>
        <v>#N/A</v>
      </c>
      <c r="G3172" t="e">
        <f>VLOOKUP(Tabelle8[[#This Row],[Rank]],Stammdaten[[Rank Verteilung D Mitte mit Rinde]:[Verteilung D Mitte mit Rinde]],2,FALSE)</f>
        <v>#N/A</v>
      </c>
      <c r="L3172">
        <v>3163</v>
      </c>
      <c r="M3172" t="e">
        <f>INDEX(Stammdaten[Abholzigkeit (mm/lfm)],MATCH(Tabelle9[[#This Row],[Rank]],Stammdaten[Rank Verteilung Abholzigkeit],0))</f>
        <v>#N/A</v>
      </c>
      <c r="N3172" t="e">
        <f>VLOOKUP(Tabelle9[[#This Row],[Rank]],Stammdaten[[Rank Verteilung Abholzigkeit]:[Verteilung Abholzigkeit]],2,FALSE)</f>
        <v>#N/A</v>
      </c>
      <c r="S3172">
        <v>3163</v>
      </c>
      <c r="T3172" t="e">
        <f>INDEX(Stammdaten[Krümmung (mm/lfm)],MATCH(Tabelle10[[#This Row],[Rank]],Stammdaten[Rank Verteilung Krümmung],0))</f>
        <v>#N/A</v>
      </c>
      <c r="U3172" t="e">
        <f>VLOOKUP(Tabelle10[[#This Row],[Rank]],Stammdaten[[Rank Verteilung Krümmung]:[Verteilung Krümmung]],2,FALSE)</f>
        <v>#N/A</v>
      </c>
      <c r="Z3172">
        <v>3163</v>
      </c>
      <c r="AA3172" t="e">
        <f>INDEX(Stammdaten[Ovalität (']0,1'])],MATCH(Tabelle1014[[#This Row],[Rank]],Stammdaten[Rank Verteilung Ovalität],0))</f>
        <v>#N/A</v>
      </c>
      <c r="AB3172" t="e">
        <f>VLOOKUP(Tabelle1014[[#This Row],[Rank]],Stammdaten[[Rank Verteilung Ovalität]:[Verteilung Ovalität]],2,FALSE)</f>
        <v>#N/A</v>
      </c>
    </row>
    <row r="3173" spans="5:28" x14ac:dyDescent="0.35">
      <c r="E3173">
        <v>3164</v>
      </c>
      <c r="F3173" t="e">
        <f>INDEX(Stammdaten[D Mitte mit Rinde (mm)],MATCH(Tabelle8[[#This Row],[Rank]],Stammdaten[Rank Verteilung D Mitte mit Rinde],0))</f>
        <v>#N/A</v>
      </c>
      <c r="G3173" t="e">
        <f>VLOOKUP(Tabelle8[[#This Row],[Rank]],Stammdaten[[Rank Verteilung D Mitte mit Rinde]:[Verteilung D Mitte mit Rinde]],2,FALSE)</f>
        <v>#N/A</v>
      </c>
      <c r="L3173">
        <v>3164</v>
      </c>
      <c r="M3173" t="e">
        <f>INDEX(Stammdaten[Abholzigkeit (mm/lfm)],MATCH(Tabelle9[[#This Row],[Rank]],Stammdaten[Rank Verteilung Abholzigkeit],0))</f>
        <v>#N/A</v>
      </c>
      <c r="N3173" t="e">
        <f>VLOOKUP(Tabelle9[[#This Row],[Rank]],Stammdaten[[Rank Verteilung Abholzigkeit]:[Verteilung Abholzigkeit]],2,FALSE)</f>
        <v>#N/A</v>
      </c>
      <c r="S3173">
        <v>3164</v>
      </c>
      <c r="T3173" t="e">
        <f>INDEX(Stammdaten[Krümmung (mm/lfm)],MATCH(Tabelle10[[#This Row],[Rank]],Stammdaten[Rank Verteilung Krümmung],0))</f>
        <v>#N/A</v>
      </c>
      <c r="U3173" t="e">
        <f>VLOOKUP(Tabelle10[[#This Row],[Rank]],Stammdaten[[Rank Verteilung Krümmung]:[Verteilung Krümmung]],2,FALSE)</f>
        <v>#N/A</v>
      </c>
      <c r="Z3173">
        <v>3164</v>
      </c>
      <c r="AA3173" t="e">
        <f>INDEX(Stammdaten[Ovalität (']0,1'])],MATCH(Tabelle1014[[#This Row],[Rank]],Stammdaten[Rank Verteilung Ovalität],0))</f>
        <v>#N/A</v>
      </c>
      <c r="AB3173" t="e">
        <f>VLOOKUP(Tabelle1014[[#This Row],[Rank]],Stammdaten[[Rank Verteilung Ovalität]:[Verteilung Ovalität]],2,FALSE)</f>
        <v>#N/A</v>
      </c>
    </row>
    <row r="3174" spans="5:28" x14ac:dyDescent="0.35">
      <c r="E3174">
        <v>3165</v>
      </c>
      <c r="F3174" t="e">
        <f>INDEX(Stammdaten[D Mitte mit Rinde (mm)],MATCH(Tabelle8[[#This Row],[Rank]],Stammdaten[Rank Verteilung D Mitte mit Rinde],0))</f>
        <v>#N/A</v>
      </c>
      <c r="G3174" t="e">
        <f>VLOOKUP(Tabelle8[[#This Row],[Rank]],Stammdaten[[Rank Verteilung D Mitte mit Rinde]:[Verteilung D Mitte mit Rinde]],2,FALSE)</f>
        <v>#N/A</v>
      </c>
      <c r="L3174">
        <v>3165</v>
      </c>
      <c r="M3174" t="e">
        <f>INDEX(Stammdaten[Abholzigkeit (mm/lfm)],MATCH(Tabelle9[[#This Row],[Rank]],Stammdaten[Rank Verteilung Abholzigkeit],0))</f>
        <v>#N/A</v>
      </c>
      <c r="N3174" t="e">
        <f>VLOOKUP(Tabelle9[[#This Row],[Rank]],Stammdaten[[Rank Verteilung Abholzigkeit]:[Verteilung Abholzigkeit]],2,FALSE)</f>
        <v>#N/A</v>
      </c>
      <c r="S3174">
        <v>3165</v>
      </c>
      <c r="T3174" t="e">
        <f>INDEX(Stammdaten[Krümmung (mm/lfm)],MATCH(Tabelle10[[#This Row],[Rank]],Stammdaten[Rank Verteilung Krümmung],0))</f>
        <v>#N/A</v>
      </c>
      <c r="U3174" t="e">
        <f>VLOOKUP(Tabelle10[[#This Row],[Rank]],Stammdaten[[Rank Verteilung Krümmung]:[Verteilung Krümmung]],2,FALSE)</f>
        <v>#N/A</v>
      </c>
      <c r="Z3174">
        <v>3165</v>
      </c>
      <c r="AA3174" t="e">
        <f>INDEX(Stammdaten[Ovalität (']0,1'])],MATCH(Tabelle1014[[#This Row],[Rank]],Stammdaten[Rank Verteilung Ovalität],0))</f>
        <v>#N/A</v>
      </c>
      <c r="AB3174" t="e">
        <f>VLOOKUP(Tabelle1014[[#This Row],[Rank]],Stammdaten[[Rank Verteilung Ovalität]:[Verteilung Ovalität]],2,FALSE)</f>
        <v>#N/A</v>
      </c>
    </row>
    <row r="3175" spans="5:28" x14ac:dyDescent="0.35">
      <c r="E3175">
        <v>3166</v>
      </c>
      <c r="F3175" t="e">
        <f>INDEX(Stammdaten[D Mitte mit Rinde (mm)],MATCH(Tabelle8[[#This Row],[Rank]],Stammdaten[Rank Verteilung D Mitte mit Rinde],0))</f>
        <v>#N/A</v>
      </c>
      <c r="G3175" t="e">
        <f>VLOOKUP(Tabelle8[[#This Row],[Rank]],Stammdaten[[Rank Verteilung D Mitte mit Rinde]:[Verteilung D Mitte mit Rinde]],2,FALSE)</f>
        <v>#N/A</v>
      </c>
      <c r="L3175">
        <v>3166</v>
      </c>
      <c r="M3175" t="e">
        <f>INDEX(Stammdaten[Abholzigkeit (mm/lfm)],MATCH(Tabelle9[[#This Row],[Rank]],Stammdaten[Rank Verteilung Abholzigkeit],0))</f>
        <v>#N/A</v>
      </c>
      <c r="N3175" t="e">
        <f>VLOOKUP(Tabelle9[[#This Row],[Rank]],Stammdaten[[Rank Verteilung Abholzigkeit]:[Verteilung Abholzigkeit]],2,FALSE)</f>
        <v>#N/A</v>
      </c>
      <c r="S3175">
        <v>3166</v>
      </c>
      <c r="T3175" t="e">
        <f>INDEX(Stammdaten[Krümmung (mm/lfm)],MATCH(Tabelle10[[#This Row],[Rank]],Stammdaten[Rank Verteilung Krümmung],0))</f>
        <v>#N/A</v>
      </c>
      <c r="U3175" t="e">
        <f>VLOOKUP(Tabelle10[[#This Row],[Rank]],Stammdaten[[Rank Verteilung Krümmung]:[Verteilung Krümmung]],2,FALSE)</f>
        <v>#N/A</v>
      </c>
      <c r="Z3175">
        <v>3166</v>
      </c>
      <c r="AA3175" t="e">
        <f>INDEX(Stammdaten[Ovalität (']0,1'])],MATCH(Tabelle1014[[#This Row],[Rank]],Stammdaten[Rank Verteilung Ovalität],0))</f>
        <v>#N/A</v>
      </c>
      <c r="AB3175" t="e">
        <f>VLOOKUP(Tabelle1014[[#This Row],[Rank]],Stammdaten[[Rank Verteilung Ovalität]:[Verteilung Ovalität]],2,FALSE)</f>
        <v>#N/A</v>
      </c>
    </row>
    <row r="3176" spans="5:28" x14ac:dyDescent="0.35">
      <c r="E3176">
        <v>3167</v>
      </c>
      <c r="F3176" t="e">
        <f>INDEX(Stammdaten[D Mitte mit Rinde (mm)],MATCH(Tabelle8[[#This Row],[Rank]],Stammdaten[Rank Verteilung D Mitte mit Rinde],0))</f>
        <v>#N/A</v>
      </c>
      <c r="G3176" t="e">
        <f>VLOOKUP(Tabelle8[[#This Row],[Rank]],Stammdaten[[Rank Verteilung D Mitte mit Rinde]:[Verteilung D Mitte mit Rinde]],2,FALSE)</f>
        <v>#N/A</v>
      </c>
      <c r="L3176">
        <v>3167</v>
      </c>
      <c r="M3176" t="e">
        <f>INDEX(Stammdaten[Abholzigkeit (mm/lfm)],MATCH(Tabelle9[[#This Row],[Rank]],Stammdaten[Rank Verteilung Abholzigkeit],0))</f>
        <v>#N/A</v>
      </c>
      <c r="N3176" t="e">
        <f>VLOOKUP(Tabelle9[[#This Row],[Rank]],Stammdaten[[Rank Verteilung Abholzigkeit]:[Verteilung Abholzigkeit]],2,FALSE)</f>
        <v>#N/A</v>
      </c>
      <c r="S3176">
        <v>3167</v>
      </c>
      <c r="T3176" t="e">
        <f>INDEX(Stammdaten[Krümmung (mm/lfm)],MATCH(Tabelle10[[#This Row],[Rank]],Stammdaten[Rank Verteilung Krümmung],0))</f>
        <v>#N/A</v>
      </c>
      <c r="U3176" t="e">
        <f>VLOOKUP(Tabelle10[[#This Row],[Rank]],Stammdaten[[Rank Verteilung Krümmung]:[Verteilung Krümmung]],2,FALSE)</f>
        <v>#N/A</v>
      </c>
      <c r="Z3176">
        <v>3167</v>
      </c>
      <c r="AA3176" t="e">
        <f>INDEX(Stammdaten[Ovalität (']0,1'])],MATCH(Tabelle1014[[#This Row],[Rank]],Stammdaten[Rank Verteilung Ovalität],0))</f>
        <v>#N/A</v>
      </c>
      <c r="AB3176" t="e">
        <f>VLOOKUP(Tabelle1014[[#This Row],[Rank]],Stammdaten[[Rank Verteilung Ovalität]:[Verteilung Ovalität]],2,FALSE)</f>
        <v>#N/A</v>
      </c>
    </row>
    <row r="3177" spans="5:28" x14ac:dyDescent="0.35">
      <c r="E3177">
        <v>3168</v>
      </c>
      <c r="F3177" t="e">
        <f>INDEX(Stammdaten[D Mitte mit Rinde (mm)],MATCH(Tabelle8[[#This Row],[Rank]],Stammdaten[Rank Verteilung D Mitte mit Rinde],0))</f>
        <v>#N/A</v>
      </c>
      <c r="G3177" t="e">
        <f>VLOOKUP(Tabelle8[[#This Row],[Rank]],Stammdaten[[Rank Verteilung D Mitte mit Rinde]:[Verteilung D Mitte mit Rinde]],2,FALSE)</f>
        <v>#N/A</v>
      </c>
      <c r="L3177">
        <v>3168</v>
      </c>
      <c r="M3177" t="e">
        <f>INDEX(Stammdaten[Abholzigkeit (mm/lfm)],MATCH(Tabelle9[[#This Row],[Rank]],Stammdaten[Rank Verteilung Abholzigkeit],0))</f>
        <v>#N/A</v>
      </c>
      <c r="N3177" t="e">
        <f>VLOOKUP(Tabelle9[[#This Row],[Rank]],Stammdaten[[Rank Verteilung Abholzigkeit]:[Verteilung Abholzigkeit]],2,FALSE)</f>
        <v>#N/A</v>
      </c>
      <c r="S3177">
        <v>3168</v>
      </c>
      <c r="T3177" t="e">
        <f>INDEX(Stammdaten[Krümmung (mm/lfm)],MATCH(Tabelle10[[#This Row],[Rank]],Stammdaten[Rank Verteilung Krümmung],0))</f>
        <v>#N/A</v>
      </c>
      <c r="U3177" t="e">
        <f>VLOOKUP(Tabelle10[[#This Row],[Rank]],Stammdaten[[Rank Verteilung Krümmung]:[Verteilung Krümmung]],2,FALSE)</f>
        <v>#N/A</v>
      </c>
      <c r="Z3177">
        <v>3168</v>
      </c>
      <c r="AA3177" t="e">
        <f>INDEX(Stammdaten[Ovalität (']0,1'])],MATCH(Tabelle1014[[#This Row],[Rank]],Stammdaten[Rank Verteilung Ovalität],0))</f>
        <v>#N/A</v>
      </c>
      <c r="AB3177" t="e">
        <f>VLOOKUP(Tabelle1014[[#This Row],[Rank]],Stammdaten[[Rank Verteilung Ovalität]:[Verteilung Ovalität]],2,FALSE)</f>
        <v>#N/A</v>
      </c>
    </row>
    <row r="3178" spans="5:28" x14ac:dyDescent="0.35">
      <c r="E3178">
        <v>3169</v>
      </c>
      <c r="F3178" t="e">
        <f>INDEX(Stammdaten[D Mitte mit Rinde (mm)],MATCH(Tabelle8[[#This Row],[Rank]],Stammdaten[Rank Verteilung D Mitte mit Rinde],0))</f>
        <v>#N/A</v>
      </c>
      <c r="G3178" t="e">
        <f>VLOOKUP(Tabelle8[[#This Row],[Rank]],Stammdaten[[Rank Verteilung D Mitte mit Rinde]:[Verteilung D Mitte mit Rinde]],2,FALSE)</f>
        <v>#N/A</v>
      </c>
      <c r="L3178">
        <v>3169</v>
      </c>
      <c r="M3178" t="e">
        <f>INDEX(Stammdaten[Abholzigkeit (mm/lfm)],MATCH(Tabelle9[[#This Row],[Rank]],Stammdaten[Rank Verteilung Abholzigkeit],0))</f>
        <v>#N/A</v>
      </c>
      <c r="N3178" t="e">
        <f>VLOOKUP(Tabelle9[[#This Row],[Rank]],Stammdaten[[Rank Verteilung Abholzigkeit]:[Verteilung Abholzigkeit]],2,FALSE)</f>
        <v>#N/A</v>
      </c>
      <c r="S3178">
        <v>3169</v>
      </c>
      <c r="T3178" t="e">
        <f>INDEX(Stammdaten[Krümmung (mm/lfm)],MATCH(Tabelle10[[#This Row],[Rank]],Stammdaten[Rank Verteilung Krümmung],0))</f>
        <v>#N/A</v>
      </c>
      <c r="U3178" t="e">
        <f>VLOOKUP(Tabelle10[[#This Row],[Rank]],Stammdaten[[Rank Verteilung Krümmung]:[Verteilung Krümmung]],2,FALSE)</f>
        <v>#N/A</v>
      </c>
      <c r="Z3178">
        <v>3169</v>
      </c>
      <c r="AA3178" t="e">
        <f>INDEX(Stammdaten[Ovalität (']0,1'])],MATCH(Tabelle1014[[#This Row],[Rank]],Stammdaten[Rank Verteilung Ovalität],0))</f>
        <v>#N/A</v>
      </c>
      <c r="AB3178" t="e">
        <f>VLOOKUP(Tabelle1014[[#This Row],[Rank]],Stammdaten[[Rank Verteilung Ovalität]:[Verteilung Ovalität]],2,FALSE)</f>
        <v>#N/A</v>
      </c>
    </row>
    <row r="3179" spans="5:28" x14ac:dyDescent="0.35">
      <c r="E3179">
        <v>3170</v>
      </c>
      <c r="F3179" t="e">
        <f>INDEX(Stammdaten[D Mitte mit Rinde (mm)],MATCH(Tabelle8[[#This Row],[Rank]],Stammdaten[Rank Verteilung D Mitte mit Rinde],0))</f>
        <v>#N/A</v>
      </c>
      <c r="G3179" t="e">
        <f>VLOOKUP(Tabelle8[[#This Row],[Rank]],Stammdaten[[Rank Verteilung D Mitte mit Rinde]:[Verteilung D Mitte mit Rinde]],2,FALSE)</f>
        <v>#N/A</v>
      </c>
      <c r="L3179">
        <v>3170</v>
      </c>
      <c r="M3179" t="e">
        <f>INDEX(Stammdaten[Abholzigkeit (mm/lfm)],MATCH(Tabelle9[[#This Row],[Rank]],Stammdaten[Rank Verteilung Abholzigkeit],0))</f>
        <v>#N/A</v>
      </c>
      <c r="N3179" t="e">
        <f>VLOOKUP(Tabelle9[[#This Row],[Rank]],Stammdaten[[Rank Verteilung Abholzigkeit]:[Verteilung Abholzigkeit]],2,FALSE)</f>
        <v>#N/A</v>
      </c>
      <c r="S3179">
        <v>3170</v>
      </c>
      <c r="T3179" t="e">
        <f>INDEX(Stammdaten[Krümmung (mm/lfm)],MATCH(Tabelle10[[#This Row],[Rank]],Stammdaten[Rank Verteilung Krümmung],0))</f>
        <v>#N/A</v>
      </c>
      <c r="U3179" t="e">
        <f>VLOOKUP(Tabelle10[[#This Row],[Rank]],Stammdaten[[Rank Verteilung Krümmung]:[Verteilung Krümmung]],2,FALSE)</f>
        <v>#N/A</v>
      </c>
      <c r="Z3179">
        <v>3170</v>
      </c>
      <c r="AA3179" t="e">
        <f>INDEX(Stammdaten[Ovalität (']0,1'])],MATCH(Tabelle1014[[#This Row],[Rank]],Stammdaten[Rank Verteilung Ovalität],0))</f>
        <v>#N/A</v>
      </c>
      <c r="AB3179" t="e">
        <f>VLOOKUP(Tabelle1014[[#This Row],[Rank]],Stammdaten[[Rank Verteilung Ovalität]:[Verteilung Ovalität]],2,FALSE)</f>
        <v>#N/A</v>
      </c>
    </row>
    <row r="3180" spans="5:28" x14ac:dyDescent="0.35">
      <c r="E3180">
        <v>3171</v>
      </c>
      <c r="F3180" t="e">
        <f>INDEX(Stammdaten[D Mitte mit Rinde (mm)],MATCH(Tabelle8[[#This Row],[Rank]],Stammdaten[Rank Verteilung D Mitte mit Rinde],0))</f>
        <v>#N/A</v>
      </c>
      <c r="G3180" t="e">
        <f>VLOOKUP(Tabelle8[[#This Row],[Rank]],Stammdaten[[Rank Verteilung D Mitte mit Rinde]:[Verteilung D Mitte mit Rinde]],2,FALSE)</f>
        <v>#N/A</v>
      </c>
      <c r="L3180">
        <v>3171</v>
      </c>
      <c r="M3180" t="e">
        <f>INDEX(Stammdaten[Abholzigkeit (mm/lfm)],MATCH(Tabelle9[[#This Row],[Rank]],Stammdaten[Rank Verteilung Abholzigkeit],0))</f>
        <v>#N/A</v>
      </c>
      <c r="N3180" t="e">
        <f>VLOOKUP(Tabelle9[[#This Row],[Rank]],Stammdaten[[Rank Verteilung Abholzigkeit]:[Verteilung Abholzigkeit]],2,FALSE)</f>
        <v>#N/A</v>
      </c>
      <c r="S3180">
        <v>3171</v>
      </c>
      <c r="T3180" t="e">
        <f>INDEX(Stammdaten[Krümmung (mm/lfm)],MATCH(Tabelle10[[#This Row],[Rank]],Stammdaten[Rank Verteilung Krümmung],0))</f>
        <v>#N/A</v>
      </c>
      <c r="U3180" t="e">
        <f>VLOOKUP(Tabelle10[[#This Row],[Rank]],Stammdaten[[Rank Verteilung Krümmung]:[Verteilung Krümmung]],2,FALSE)</f>
        <v>#N/A</v>
      </c>
      <c r="Z3180">
        <v>3171</v>
      </c>
      <c r="AA3180" t="e">
        <f>INDEX(Stammdaten[Ovalität (']0,1'])],MATCH(Tabelle1014[[#This Row],[Rank]],Stammdaten[Rank Verteilung Ovalität],0))</f>
        <v>#N/A</v>
      </c>
      <c r="AB3180" t="e">
        <f>VLOOKUP(Tabelle1014[[#This Row],[Rank]],Stammdaten[[Rank Verteilung Ovalität]:[Verteilung Ovalität]],2,FALSE)</f>
        <v>#N/A</v>
      </c>
    </row>
    <row r="3181" spans="5:28" x14ac:dyDescent="0.35">
      <c r="E3181">
        <v>3172</v>
      </c>
      <c r="F3181" t="e">
        <f>INDEX(Stammdaten[D Mitte mit Rinde (mm)],MATCH(Tabelle8[[#This Row],[Rank]],Stammdaten[Rank Verteilung D Mitte mit Rinde],0))</f>
        <v>#N/A</v>
      </c>
      <c r="G3181" t="e">
        <f>VLOOKUP(Tabelle8[[#This Row],[Rank]],Stammdaten[[Rank Verteilung D Mitte mit Rinde]:[Verteilung D Mitte mit Rinde]],2,FALSE)</f>
        <v>#N/A</v>
      </c>
      <c r="L3181">
        <v>3172</v>
      </c>
      <c r="M3181" t="e">
        <f>INDEX(Stammdaten[Abholzigkeit (mm/lfm)],MATCH(Tabelle9[[#This Row],[Rank]],Stammdaten[Rank Verteilung Abholzigkeit],0))</f>
        <v>#N/A</v>
      </c>
      <c r="N3181" t="e">
        <f>VLOOKUP(Tabelle9[[#This Row],[Rank]],Stammdaten[[Rank Verteilung Abholzigkeit]:[Verteilung Abholzigkeit]],2,FALSE)</f>
        <v>#N/A</v>
      </c>
      <c r="S3181">
        <v>3172</v>
      </c>
      <c r="T3181" t="e">
        <f>INDEX(Stammdaten[Krümmung (mm/lfm)],MATCH(Tabelle10[[#This Row],[Rank]],Stammdaten[Rank Verteilung Krümmung],0))</f>
        <v>#N/A</v>
      </c>
      <c r="U3181" t="e">
        <f>VLOOKUP(Tabelle10[[#This Row],[Rank]],Stammdaten[[Rank Verteilung Krümmung]:[Verteilung Krümmung]],2,FALSE)</f>
        <v>#N/A</v>
      </c>
      <c r="Z3181">
        <v>3172</v>
      </c>
      <c r="AA3181" t="e">
        <f>INDEX(Stammdaten[Ovalität (']0,1'])],MATCH(Tabelle1014[[#This Row],[Rank]],Stammdaten[Rank Verteilung Ovalität],0))</f>
        <v>#N/A</v>
      </c>
      <c r="AB3181" t="e">
        <f>VLOOKUP(Tabelle1014[[#This Row],[Rank]],Stammdaten[[Rank Verteilung Ovalität]:[Verteilung Ovalität]],2,FALSE)</f>
        <v>#N/A</v>
      </c>
    </row>
    <row r="3182" spans="5:28" x14ac:dyDescent="0.35">
      <c r="E3182">
        <v>3173</v>
      </c>
      <c r="F3182" t="e">
        <f>INDEX(Stammdaten[D Mitte mit Rinde (mm)],MATCH(Tabelle8[[#This Row],[Rank]],Stammdaten[Rank Verteilung D Mitte mit Rinde],0))</f>
        <v>#N/A</v>
      </c>
      <c r="G3182" t="e">
        <f>VLOOKUP(Tabelle8[[#This Row],[Rank]],Stammdaten[[Rank Verteilung D Mitte mit Rinde]:[Verteilung D Mitte mit Rinde]],2,FALSE)</f>
        <v>#N/A</v>
      </c>
      <c r="L3182">
        <v>3173</v>
      </c>
      <c r="M3182" t="e">
        <f>INDEX(Stammdaten[Abholzigkeit (mm/lfm)],MATCH(Tabelle9[[#This Row],[Rank]],Stammdaten[Rank Verteilung Abholzigkeit],0))</f>
        <v>#N/A</v>
      </c>
      <c r="N3182" t="e">
        <f>VLOOKUP(Tabelle9[[#This Row],[Rank]],Stammdaten[[Rank Verteilung Abholzigkeit]:[Verteilung Abholzigkeit]],2,FALSE)</f>
        <v>#N/A</v>
      </c>
      <c r="S3182">
        <v>3173</v>
      </c>
      <c r="T3182" t="e">
        <f>INDEX(Stammdaten[Krümmung (mm/lfm)],MATCH(Tabelle10[[#This Row],[Rank]],Stammdaten[Rank Verteilung Krümmung],0))</f>
        <v>#N/A</v>
      </c>
      <c r="U3182" t="e">
        <f>VLOOKUP(Tabelle10[[#This Row],[Rank]],Stammdaten[[Rank Verteilung Krümmung]:[Verteilung Krümmung]],2,FALSE)</f>
        <v>#N/A</v>
      </c>
      <c r="Z3182">
        <v>3173</v>
      </c>
      <c r="AA3182" t="e">
        <f>INDEX(Stammdaten[Ovalität (']0,1'])],MATCH(Tabelle1014[[#This Row],[Rank]],Stammdaten[Rank Verteilung Ovalität],0))</f>
        <v>#N/A</v>
      </c>
      <c r="AB3182" t="e">
        <f>VLOOKUP(Tabelle1014[[#This Row],[Rank]],Stammdaten[[Rank Verteilung Ovalität]:[Verteilung Ovalität]],2,FALSE)</f>
        <v>#N/A</v>
      </c>
    </row>
    <row r="3183" spans="5:28" x14ac:dyDescent="0.35">
      <c r="E3183">
        <v>3174</v>
      </c>
      <c r="F3183" t="e">
        <f>INDEX(Stammdaten[D Mitte mit Rinde (mm)],MATCH(Tabelle8[[#This Row],[Rank]],Stammdaten[Rank Verteilung D Mitte mit Rinde],0))</f>
        <v>#N/A</v>
      </c>
      <c r="G3183" t="e">
        <f>VLOOKUP(Tabelle8[[#This Row],[Rank]],Stammdaten[[Rank Verteilung D Mitte mit Rinde]:[Verteilung D Mitte mit Rinde]],2,FALSE)</f>
        <v>#N/A</v>
      </c>
      <c r="L3183">
        <v>3174</v>
      </c>
      <c r="M3183" t="e">
        <f>INDEX(Stammdaten[Abholzigkeit (mm/lfm)],MATCH(Tabelle9[[#This Row],[Rank]],Stammdaten[Rank Verteilung Abholzigkeit],0))</f>
        <v>#N/A</v>
      </c>
      <c r="N3183" t="e">
        <f>VLOOKUP(Tabelle9[[#This Row],[Rank]],Stammdaten[[Rank Verteilung Abholzigkeit]:[Verteilung Abholzigkeit]],2,FALSE)</f>
        <v>#N/A</v>
      </c>
      <c r="S3183">
        <v>3174</v>
      </c>
      <c r="T3183" t="e">
        <f>INDEX(Stammdaten[Krümmung (mm/lfm)],MATCH(Tabelle10[[#This Row],[Rank]],Stammdaten[Rank Verteilung Krümmung],0))</f>
        <v>#N/A</v>
      </c>
      <c r="U3183" t="e">
        <f>VLOOKUP(Tabelle10[[#This Row],[Rank]],Stammdaten[[Rank Verteilung Krümmung]:[Verteilung Krümmung]],2,FALSE)</f>
        <v>#N/A</v>
      </c>
      <c r="Z3183">
        <v>3174</v>
      </c>
      <c r="AA3183" t="e">
        <f>INDEX(Stammdaten[Ovalität (']0,1'])],MATCH(Tabelle1014[[#This Row],[Rank]],Stammdaten[Rank Verteilung Ovalität],0))</f>
        <v>#N/A</v>
      </c>
      <c r="AB3183" t="e">
        <f>VLOOKUP(Tabelle1014[[#This Row],[Rank]],Stammdaten[[Rank Verteilung Ovalität]:[Verteilung Ovalität]],2,FALSE)</f>
        <v>#N/A</v>
      </c>
    </row>
    <row r="3184" spans="5:28" x14ac:dyDescent="0.35">
      <c r="E3184">
        <v>3175</v>
      </c>
      <c r="F3184" t="e">
        <f>INDEX(Stammdaten[D Mitte mit Rinde (mm)],MATCH(Tabelle8[[#This Row],[Rank]],Stammdaten[Rank Verteilung D Mitte mit Rinde],0))</f>
        <v>#N/A</v>
      </c>
      <c r="G3184" t="e">
        <f>VLOOKUP(Tabelle8[[#This Row],[Rank]],Stammdaten[[Rank Verteilung D Mitte mit Rinde]:[Verteilung D Mitte mit Rinde]],2,FALSE)</f>
        <v>#N/A</v>
      </c>
      <c r="L3184">
        <v>3175</v>
      </c>
      <c r="M3184" t="e">
        <f>INDEX(Stammdaten[Abholzigkeit (mm/lfm)],MATCH(Tabelle9[[#This Row],[Rank]],Stammdaten[Rank Verteilung Abholzigkeit],0))</f>
        <v>#N/A</v>
      </c>
      <c r="N3184" t="e">
        <f>VLOOKUP(Tabelle9[[#This Row],[Rank]],Stammdaten[[Rank Verteilung Abholzigkeit]:[Verteilung Abholzigkeit]],2,FALSE)</f>
        <v>#N/A</v>
      </c>
      <c r="S3184">
        <v>3175</v>
      </c>
      <c r="T3184" t="e">
        <f>INDEX(Stammdaten[Krümmung (mm/lfm)],MATCH(Tabelle10[[#This Row],[Rank]],Stammdaten[Rank Verteilung Krümmung],0))</f>
        <v>#N/A</v>
      </c>
      <c r="U3184" t="e">
        <f>VLOOKUP(Tabelle10[[#This Row],[Rank]],Stammdaten[[Rank Verteilung Krümmung]:[Verteilung Krümmung]],2,FALSE)</f>
        <v>#N/A</v>
      </c>
      <c r="Z3184">
        <v>3175</v>
      </c>
      <c r="AA3184" t="e">
        <f>INDEX(Stammdaten[Ovalität (']0,1'])],MATCH(Tabelle1014[[#This Row],[Rank]],Stammdaten[Rank Verteilung Ovalität],0))</f>
        <v>#N/A</v>
      </c>
      <c r="AB3184" t="e">
        <f>VLOOKUP(Tabelle1014[[#This Row],[Rank]],Stammdaten[[Rank Verteilung Ovalität]:[Verteilung Ovalität]],2,FALSE)</f>
        <v>#N/A</v>
      </c>
    </row>
    <row r="3185" spans="5:28" x14ac:dyDescent="0.35">
      <c r="E3185">
        <v>3176</v>
      </c>
      <c r="F3185" t="e">
        <f>INDEX(Stammdaten[D Mitte mit Rinde (mm)],MATCH(Tabelle8[[#This Row],[Rank]],Stammdaten[Rank Verteilung D Mitte mit Rinde],0))</f>
        <v>#N/A</v>
      </c>
      <c r="G3185" t="e">
        <f>VLOOKUP(Tabelle8[[#This Row],[Rank]],Stammdaten[[Rank Verteilung D Mitte mit Rinde]:[Verteilung D Mitte mit Rinde]],2,FALSE)</f>
        <v>#N/A</v>
      </c>
      <c r="L3185">
        <v>3176</v>
      </c>
      <c r="M3185" t="e">
        <f>INDEX(Stammdaten[Abholzigkeit (mm/lfm)],MATCH(Tabelle9[[#This Row],[Rank]],Stammdaten[Rank Verteilung Abholzigkeit],0))</f>
        <v>#N/A</v>
      </c>
      <c r="N3185" t="e">
        <f>VLOOKUP(Tabelle9[[#This Row],[Rank]],Stammdaten[[Rank Verteilung Abholzigkeit]:[Verteilung Abholzigkeit]],2,FALSE)</f>
        <v>#N/A</v>
      </c>
      <c r="S3185">
        <v>3176</v>
      </c>
      <c r="T3185" t="e">
        <f>INDEX(Stammdaten[Krümmung (mm/lfm)],MATCH(Tabelle10[[#This Row],[Rank]],Stammdaten[Rank Verteilung Krümmung],0))</f>
        <v>#N/A</v>
      </c>
      <c r="U3185" t="e">
        <f>VLOOKUP(Tabelle10[[#This Row],[Rank]],Stammdaten[[Rank Verteilung Krümmung]:[Verteilung Krümmung]],2,FALSE)</f>
        <v>#N/A</v>
      </c>
      <c r="Z3185">
        <v>3176</v>
      </c>
      <c r="AA3185" t="e">
        <f>INDEX(Stammdaten[Ovalität (']0,1'])],MATCH(Tabelle1014[[#This Row],[Rank]],Stammdaten[Rank Verteilung Ovalität],0))</f>
        <v>#N/A</v>
      </c>
      <c r="AB3185" t="e">
        <f>VLOOKUP(Tabelle1014[[#This Row],[Rank]],Stammdaten[[Rank Verteilung Ovalität]:[Verteilung Ovalität]],2,FALSE)</f>
        <v>#N/A</v>
      </c>
    </row>
    <row r="3186" spans="5:28" x14ac:dyDescent="0.35">
      <c r="E3186">
        <v>3177</v>
      </c>
      <c r="F3186" t="e">
        <f>INDEX(Stammdaten[D Mitte mit Rinde (mm)],MATCH(Tabelle8[[#This Row],[Rank]],Stammdaten[Rank Verteilung D Mitte mit Rinde],0))</f>
        <v>#N/A</v>
      </c>
      <c r="G3186" t="e">
        <f>VLOOKUP(Tabelle8[[#This Row],[Rank]],Stammdaten[[Rank Verteilung D Mitte mit Rinde]:[Verteilung D Mitte mit Rinde]],2,FALSE)</f>
        <v>#N/A</v>
      </c>
      <c r="L3186">
        <v>3177</v>
      </c>
      <c r="M3186" t="e">
        <f>INDEX(Stammdaten[Abholzigkeit (mm/lfm)],MATCH(Tabelle9[[#This Row],[Rank]],Stammdaten[Rank Verteilung Abholzigkeit],0))</f>
        <v>#N/A</v>
      </c>
      <c r="N3186" t="e">
        <f>VLOOKUP(Tabelle9[[#This Row],[Rank]],Stammdaten[[Rank Verteilung Abholzigkeit]:[Verteilung Abholzigkeit]],2,FALSE)</f>
        <v>#N/A</v>
      </c>
      <c r="S3186">
        <v>3177</v>
      </c>
      <c r="T3186" t="e">
        <f>INDEX(Stammdaten[Krümmung (mm/lfm)],MATCH(Tabelle10[[#This Row],[Rank]],Stammdaten[Rank Verteilung Krümmung],0))</f>
        <v>#N/A</v>
      </c>
      <c r="U3186" t="e">
        <f>VLOOKUP(Tabelle10[[#This Row],[Rank]],Stammdaten[[Rank Verteilung Krümmung]:[Verteilung Krümmung]],2,FALSE)</f>
        <v>#N/A</v>
      </c>
      <c r="Z3186">
        <v>3177</v>
      </c>
      <c r="AA3186" t="e">
        <f>INDEX(Stammdaten[Ovalität (']0,1'])],MATCH(Tabelle1014[[#This Row],[Rank]],Stammdaten[Rank Verteilung Ovalität],0))</f>
        <v>#N/A</v>
      </c>
      <c r="AB3186" t="e">
        <f>VLOOKUP(Tabelle1014[[#This Row],[Rank]],Stammdaten[[Rank Verteilung Ovalität]:[Verteilung Ovalität]],2,FALSE)</f>
        <v>#N/A</v>
      </c>
    </row>
    <row r="3187" spans="5:28" x14ac:dyDescent="0.35">
      <c r="E3187">
        <v>3178</v>
      </c>
      <c r="F3187" t="e">
        <f>INDEX(Stammdaten[D Mitte mit Rinde (mm)],MATCH(Tabelle8[[#This Row],[Rank]],Stammdaten[Rank Verteilung D Mitte mit Rinde],0))</f>
        <v>#N/A</v>
      </c>
      <c r="G3187" t="e">
        <f>VLOOKUP(Tabelle8[[#This Row],[Rank]],Stammdaten[[Rank Verteilung D Mitte mit Rinde]:[Verteilung D Mitte mit Rinde]],2,FALSE)</f>
        <v>#N/A</v>
      </c>
      <c r="L3187">
        <v>3178</v>
      </c>
      <c r="M3187" t="e">
        <f>INDEX(Stammdaten[Abholzigkeit (mm/lfm)],MATCH(Tabelle9[[#This Row],[Rank]],Stammdaten[Rank Verteilung Abholzigkeit],0))</f>
        <v>#N/A</v>
      </c>
      <c r="N3187" t="e">
        <f>VLOOKUP(Tabelle9[[#This Row],[Rank]],Stammdaten[[Rank Verteilung Abholzigkeit]:[Verteilung Abholzigkeit]],2,FALSE)</f>
        <v>#N/A</v>
      </c>
      <c r="S3187">
        <v>3178</v>
      </c>
      <c r="T3187" t="e">
        <f>INDEX(Stammdaten[Krümmung (mm/lfm)],MATCH(Tabelle10[[#This Row],[Rank]],Stammdaten[Rank Verteilung Krümmung],0))</f>
        <v>#N/A</v>
      </c>
      <c r="U3187" t="e">
        <f>VLOOKUP(Tabelle10[[#This Row],[Rank]],Stammdaten[[Rank Verteilung Krümmung]:[Verteilung Krümmung]],2,FALSE)</f>
        <v>#N/A</v>
      </c>
      <c r="Z3187">
        <v>3178</v>
      </c>
      <c r="AA3187" t="e">
        <f>INDEX(Stammdaten[Ovalität (']0,1'])],MATCH(Tabelle1014[[#This Row],[Rank]],Stammdaten[Rank Verteilung Ovalität],0))</f>
        <v>#N/A</v>
      </c>
      <c r="AB3187" t="e">
        <f>VLOOKUP(Tabelle1014[[#This Row],[Rank]],Stammdaten[[Rank Verteilung Ovalität]:[Verteilung Ovalität]],2,FALSE)</f>
        <v>#N/A</v>
      </c>
    </row>
    <row r="3188" spans="5:28" x14ac:dyDescent="0.35">
      <c r="E3188">
        <v>3179</v>
      </c>
      <c r="F3188" t="e">
        <f>INDEX(Stammdaten[D Mitte mit Rinde (mm)],MATCH(Tabelle8[[#This Row],[Rank]],Stammdaten[Rank Verteilung D Mitte mit Rinde],0))</f>
        <v>#N/A</v>
      </c>
      <c r="G3188" t="e">
        <f>VLOOKUP(Tabelle8[[#This Row],[Rank]],Stammdaten[[Rank Verteilung D Mitte mit Rinde]:[Verteilung D Mitte mit Rinde]],2,FALSE)</f>
        <v>#N/A</v>
      </c>
      <c r="L3188">
        <v>3179</v>
      </c>
      <c r="M3188" t="e">
        <f>INDEX(Stammdaten[Abholzigkeit (mm/lfm)],MATCH(Tabelle9[[#This Row],[Rank]],Stammdaten[Rank Verteilung Abholzigkeit],0))</f>
        <v>#N/A</v>
      </c>
      <c r="N3188" t="e">
        <f>VLOOKUP(Tabelle9[[#This Row],[Rank]],Stammdaten[[Rank Verteilung Abholzigkeit]:[Verteilung Abholzigkeit]],2,FALSE)</f>
        <v>#N/A</v>
      </c>
      <c r="S3188">
        <v>3179</v>
      </c>
      <c r="T3188" t="e">
        <f>INDEX(Stammdaten[Krümmung (mm/lfm)],MATCH(Tabelle10[[#This Row],[Rank]],Stammdaten[Rank Verteilung Krümmung],0))</f>
        <v>#N/A</v>
      </c>
      <c r="U3188" t="e">
        <f>VLOOKUP(Tabelle10[[#This Row],[Rank]],Stammdaten[[Rank Verteilung Krümmung]:[Verteilung Krümmung]],2,FALSE)</f>
        <v>#N/A</v>
      </c>
      <c r="Z3188">
        <v>3179</v>
      </c>
      <c r="AA3188" t="e">
        <f>INDEX(Stammdaten[Ovalität (']0,1'])],MATCH(Tabelle1014[[#This Row],[Rank]],Stammdaten[Rank Verteilung Ovalität],0))</f>
        <v>#N/A</v>
      </c>
      <c r="AB3188" t="e">
        <f>VLOOKUP(Tabelle1014[[#This Row],[Rank]],Stammdaten[[Rank Verteilung Ovalität]:[Verteilung Ovalität]],2,FALSE)</f>
        <v>#N/A</v>
      </c>
    </row>
    <row r="3189" spans="5:28" x14ac:dyDescent="0.35">
      <c r="E3189">
        <v>3180</v>
      </c>
      <c r="F3189" t="e">
        <f>INDEX(Stammdaten[D Mitte mit Rinde (mm)],MATCH(Tabelle8[[#This Row],[Rank]],Stammdaten[Rank Verteilung D Mitte mit Rinde],0))</f>
        <v>#N/A</v>
      </c>
      <c r="G3189" t="e">
        <f>VLOOKUP(Tabelle8[[#This Row],[Rank]],Stammdaten[[Rank Verteilung D Mitte mit Rinde]:[Verteilung D Mitte mit Rinde]],2,FALSE)</f>
        <v>#N/A</v>
      </c>
      <c r="L3189">
        <v>3180</v>
      </c>
      <c r="M3189" t="e">
        <f>INDEX(Stammdaten[Abholzigkeit (mm/lfm)],MATCH(Tabelle9[[#This Row],[Rank]],Stammdaten[Rank Verteilung Abholzigkeit],0))</f>
        <v>#N/A</v>
      </c>
      <c r="N3189" t="e">
        <f>VLOOKUP(Tabelle9[[#This Row],[Rank]],Stammdaten[[Rank Verteilung Abholzigkeit]:[Verteilung Abholzigkeit]],2,FALSE)</f>
        <v>#N/A</v>
      </c>
      <c r="S3189">
        <v>3180</v>
      </c>
      <c r="T3189" t="e">
        <f>INDEX(Stammdaten[Krümmung (mm/lfm)],MATCH(Tabelle10[[#This Row],[Rank]],Stammdaten[Rank Verteilung Krümmung],0))</f>
        <v>#N/A</v>
      </c>
      <c r="U3189" t="e">
        <f>VLOOKUP(Tabelle10[[#This Row],[Rank]],Stammdaten[[Rank Verteilung Krümmung]:[Verteilung Krümmung]],2,FALSE)</f>
        <v>#N/A</v>
      </c>
      <c r="Z3189">
        <v>3180</v>
      </c>
      <c r="AA3189" t="e">
        <f>INDEX(Stammdaten[Ovalität (']0,1'])],MATCH(Tabelle1014[[#This Row],[Rank]],Stammdaten[Rank Verteilung Ovalität],0))</f>
        <v>#N/A</v>
      </c>
      <c r="AB3189" t="e">
        <f>VLOOKUP(Tabelle1014[[#This Row],[Rank]],Stammdaten[[Rank Verteilung Ovalität]:[Verteilung Ovalität]],2,FALSE)</f>
        <v>#N/A</v>
      </c>
    </row>
    <row r="3190" spans="5:28" x14ac:dyDescent="0.35">
      <c r="E3190">
        <v>3181</v>
      </c>
      <c r="F3190" t="e">
        <f>INDEX(Stammdaten[D Mitte mit Rinde (mm)],MATCH(Tabelle8[[#This Row],[Rank]],Stammdaten[Rank Verteilung D Mitte mit Rinde],0))</f>
        <v>#N/A</v>
      </c>
      <c r="G3190" t="e">
        <f>VLOOKUP(Tabelle8[[#This Row],[Rank]],Stammdaten[[Rank Verteilung D Mitte mit Rinde]:[Verteilung D Mitte mit Rinde]],2,FALSE)</f>
        <v>#N/A</v>
      </c>
      <c r="L3190">
        <v>3181</v>
      </c>
      <c r="M3190" t="e">
        <f>INDEX(Stammdaten[Abholzigkeit (mm/lfm)],MATCH(Tabelle9[[#This Row],[Rank]],Stammdaten[Rank Verteilung Abholzigkeit],0))</f>
        <v>#N/A</v>
      </c>
      <c r="N3190" t="e">
        <f>VLOOKUP(Tabelle9[[#This Row],[Rank]],Stammdaten[[Rank Verteilung Abholzigkeit]:[Verteilung Abholzigkeit]],2,FALSE)</f>
        <v>#N/A</v>
      </c>
      <c r="S3190">
        <v>3181</v>
      </c>
      <c r="T3190" t="e">
        <f>INDEX(Stammdaten[Krümmung (mm/lfm)],MATCH(Tabelle10[[#This Row],[Rank]],Stammdaten[Rank Verteilung Krümmung],0))</f>
        <v>#N/A</v>
      </c>
      <c r="U3190" t="e">
        <f>VLOOKUP(Tabelle10[[#This Row],[Rank]],Stammdaten[[Rank Verteilung Krümmung]:[Verteilung Krümmung]],2,FALSE)</f>
        <v>#N/A</v>
      </c>
      <c r="Z3190">
        <v>3181</v>
      </c>
      <c r="AA3190" t="e">
        <f>INDEX(Stammdaten[Ovalität (']0,1'])],MATCH(Tabelle1014[[#This Row],[Rank]],Stammdaten[Rank Verteilung Ovalität],0))</f>
        <v>#N/A</v>
      </c>
      <c r="AB3190" t="e">
        <f>VLOOKUP(Tabelle1014[[#This Row],[Rank]],Stammdaten[[Rank Verteilung Ovalität]:[Verteilung Ovalität]],2,FALSE)</f>
        <v>#N/A</v>
      </c>
    </row>
    <row r="3191" spans="5:28" x14ac:dyDescent="0.35">
      <c r="E3191">
        <v>3182</v>
      </c>
      <c r="F3191" t="e">
        <f>INDEX(Stammdaten[D Mitte mit Rinde (mm)],MATCH(Tabelle8[[#This Row],[Rank]],Stammdaten[Rank Verteilung D Mitte mit Rinde],0))</f>
        <v>#N/A</v>
      </c>
      <c r="G3191" t="e">
        <f>VLOOKUP(Tabelle8[[#This Row],[Rank]],Stammdaten[[Rank Verteilung D Mitte mit Rinde]:[Verteilung D Mitte mit Rinde]],2,FALSE)</f>
        <v>#N/A</v>
      </c>
      <c r="L3191">
        <v>3182</v>
      </c>
      <c r="M3191" t="e">
        <f>INDEX(Stammdaten[Abholzigkeit (mm/lfm)],MATCH(Tabelle9[[#This Row],[Rank]],Stammdaten[Rank Verteilung Abholzigkeit],0))</f>
        <v>#N/A</v>
      </c>
      <c r="N3191" t="e">
        <f>VLOOKUP(Tabelle9[[#This Row],[Rank]],Stammdaten[[Rank Verteilung Abholzigkeit]:[Verteilung Abholzigkeit]],2,FALSE)</f>
        <v>#N/A</v>
      </c>
      <c r="S3191">
        <v>3182</v>
      </c>
      <c r="T3191" t="e">
        <f>INDEX(Stammdaten[Krümmung (mm/lfm)],MATCH(Tabelle10[[#This Row],[Rank]],Stammdaten[Rank Verteilung Krümmung],0))</f>
        <v>#N/A</v>
      </c>
      <c r="U3191" t="e">
        <f>VLOOKUP(Tabelle10[[#This Row],[Rank]],Stammdaten[[Rank Verteilung Krümmung]:[Verteilung Krümmung]],2,FALSE)</f>
        <v>#N/A</v>
      </c>
      <c r="Z3191">
        <v>3182</v>
      </c>
      <c r="AA3191" t="e">
        <f>INDEX(Stammdaten[Ovalität (']0,1'])],MATCH(Tabelle1014[[#This Row],[Rank]],Stammdaten[Rank Verteilung Ovalität],0))</f>
        <v>#N/A</v>
      </c>
      <c r="AB3191" t="e">
        <f>VLOOKUP(Tabelle1014[[#This Row],[Rank]],Stammdaten[[Rank Verteilung Ovalität]:[Verteilung Ovalität]],2,FALSE)</f>
        <v>#N/A</v>
      </c>
    </row>
    <row r="3192" spans="5:28" x14ac:dyDescent="0.35">
      <c r="E3192">
        <v>3183</v>
      </c>
      <c r="F3192" t="e">
        <f>INDEX(Stammdaten[D Mitte mit Rinde (mm)],MATCH(Tabelle8[[#This Row],[Rank]],Stammdaten[Rank Verteilung D Mitte mit Rinde],0))</f>
        <v>#N/A</v>
      </c>
      <c r="G3192" t="e">
        <f>VLOOKUP(Tabelle8[[#This Row],[Rank]],Stammdaten[[Rank Verteilung D Mitte mit Rinde]:[Verteilung D Mitte mit Rinde]],2,FALSE)</f>
        <v>#N/A</v>
      </c>
      <c r="L3192">
        <v>3183</v>
      </c>
      <c r="M3192" t="e">
        <f>INDEX(Stammdaten[Abholzigkeit (mm/lfm)],MATCH(Tabelle9[[#This Row],[Rank]],Stammdaten[Rank Verteilung Abholzigkeit],0))</f>
        <v>#N/A</v>
      </c>
      <c r="N3192" t="e">
        <f>VLOOKUP(Tabelle9[[#This Row],[Rank]],Stammdaten[[Rank Verteilung Abholzigkeit]:[Verteilung Abholzigkeit]],2,FALSE)</f>
        <v>#N/A</v>
      </c>
      <c r="S3192">
        <v>3183</v>
      </c>
      <c r="T3192" t="e">
        <f>INDEX(Stammdaten[Krümmung (mm/lfm)],MATCH(Tabelle10[[#This Row],[Rank]],Stammdaten[Rank Verteilung Krümmung],0))</f>
        <v>#N/A</v>
      </c>
      <c r="U3192" t="e">
        <f>VLOOKUP(Tabelle10[[#This Row],[Rank]],Stammdaten[[Rank Verteilung Krümmung]:[Verteilung Krümmung]],2,FALSE)</f>
        <v>#N/A</v>
      </c>
      <c r="Z3192">
        <v>3183</v>
      </c>
      <c r="AA3192" t="e">
        <f>INDEX(Stammdaten[Ovalität (']0,1'])],MATCH(Tabelle1014[[#This Row],[Rank]],Stammdaten[Rank Verteilung Ovalität],0))</f>
        <v>#N/A</v>
      </c>
      <c r="AB3192" t="e">
        <f>VLOOKUP(Tabelle1014[[#This Row],[Rank]],Stammdaten[[Rank Verteilung Ovalität]:[Verteilung Ovalität]],2,FALSE)</f>
        <v>#N/A</v>
      </c>
    </row>
    <row r="3193" spans="5:28" x14ac:dyDescent="0.35">
      <c r="E3193">
        <v>3184</v>
      </c>
      <c r="F3193" t="e">
        <f>INDEX(Stammdaten[D Mitte mit Rinde (mm)],MATCH(Tabelle8[[#This Row],[Rank]],Stammdaten[Rank Verteilung D Mitte mit Rinde],0))</f>
        <v>#N/A</v>
      </c>
      <c r="G3193" t="e">
        <f>VLOOKUP(Tabelle8[[#This Row],[Rank]],Stammdaten[[Rank Verteilung D Mitte mit Rinde]:[Verteilung D Mitte mit Rinde]],2,FALSE)</f>
        <v>#N/A</v>
      </c>
      <c r="L3193">
        <v>3184</v>
      </c>
      <c r="M3193" t="e">
        <f>INDEX(Stammdaten[Abholzigkeit (mm/lfm)],MATCH(Tabelle9[[#This Row],[Rank]],Stammdaten[Rank Verteilung Abholzigkeit],0))</f>
        <v>#N/A</v>
      </c>
      <c r="N3193" t="e">
        <f>VLOOKUP(Tabelle9[[#This Row],[Rank]],Stammdaten[[Rank Verteilung Abholzigkeit]:[Verteilung Abholzigkeit]],2,FALSE)</f>
        <v>#N/A</v>
      </c>
      <c r="S3193">
        <v>3184</v>
      </c>
      <c r="T3193" t="e">
        <f>INDEX(Stammdaten[Krümmung (mm/lfm)],MATCH(Tabelle10[[#This Row],[Rank]],Stammdaten[Rank Verteilung Krümmung],0))</f>
        <v>#N/A</v>
      </c>
      <c r="U3193" t="e">
        <f>VLOOKUP(Tabelle10[[#This Row],[Rank]],Stammdaten[[Rank Verteilung Krümmung]:[Verteilung Krümmung]],2,FALSE)</f>
        <v>#N/A</v>
      </c>
      <c r="Z3193">
        <v>3184</v>
      </c>
      <c r="AA3193" t="e">
        <f>INDEX(Stammdaten[Ovalität (']0,1'])],MATCH(Tabelle1014[[#This Row],[Rank]],Stammdaten[Rank Verteilung Ovalität],0))</f>
        <v>#N/A</v>
      </c>
      <c r="AB3193" t="e">
        <f>VLOOKUP(Tabelle1014[[#This Row],[Rank]],Stammdaten[[Rank Verteilung Ovalität]:[Verteilung Ovalität]],2,FALSE)</f>
        <v>#N/A</v>
      </c>
    </row>
    <row r="3194" spans="5:28" x14ac:dyDescent="0.35">
      <c r="E3194">
        <v>3185</v>
      </c>
      <c r="F3194" t="e">
        <f>INDEX(Stammdaten[D Mitte mit Rinde (mm)],MATCH(Tabelle8[[#This Row],[Rank]],Stammdaten[Rank Verteilung D Mitte mit Rinde],0))</f>
        <v>#N/A</v>
      </c>
      <c r="G3194" t="e">
        <f>VLOOKUP(Tabelle8[[#This Row],[Rank]],Stammdaten[[Rank Verteilung D Mitte mit Rinde]:[Verteilung D Mitte mit Rinde]],2,FALSE)</f>
        <v>#N/A</v>
      </c>
      <c r="L3194">
        <v>3185</v>
      </c>
      <c r="M3194" t="e">
        <f>INDEX(Stammdaten[Abholzigkeit (mm/lfm)],MATCH(Tabelle9[[#This Row],[Rank]],Stammdaten[Rank Verteilung Abholzigkeit],0))</f>
        <v>#N/A</v>
      </c>
      <c r="N3194" t="e">
        <f>VLOOKUP(Tabelle9[[#This Row],[Rank]],Stammdaten[[Rank Verteilung Abholzigkeit]:[Verteilung Abholzigkeit]],2,FALSE)</f>
        <v>#N/A</v>
      </c>
      <c r="S3194">
        <v>3185</v>
      </c>
      <c r="T3194" t="e">
        <f>INDEX(Stammdaten[Krümmung (mm/lfm)],MATCH(Tabelle10[[#This Row],[Rank]],Stammdaten[Rank Verteilung Krümmung],0))</f>
        <v>#N/A</v>
      </c>
      <c r="U3194" t="e">
        <f>VLOOKUP(Tabelle10[[#This Row],[Rank]],Stammdaten[[Rank Verteilung Krümmung]:[Verteilung Krümmung]],2,FALSE)</f>
        <v>#N/A</v>
      </c>
      <c r="Z3194">
        <v>3185</v>
      </c>
      <c r="AA3194" t="e">
        <f>INDEX(Stammdaten[Ovalität (']0,1'])],MATCH(Tabelle1014[[#This Row],[Rank]],Stammdaten[Rank Verteilung Ovalität],0))</f>
        <v>#N/A</v>
      </c>
      <c r="AB3194" t="e">
        <f>VLOOKUP(Tabelle1014[[#This Row],[Rank]],Stammdaten[[Rank Verteilung Ovalität]:[Verteilung Ovalität]],2,FALSE)</f>
        <v>#N/A</v>
      </c>
    </row>
    <row r="3195" spans="5:28" x14ac:dyDescent="0.35">
      <c r="E3195">
        <v>3186</v>
      </c>
      <c r="F3195" t="e">
        <f>INDEX(Stammdaten[D Mitte mit Rinde (mm)],MATCH(Tabelle8[[#This Row],[Rank]],Stammdaten[Rank Verteilung D Mitte mit Rinde],0))</f>
        <v>#N/A</v>
      </c>
      <c r="G3195" t="e">
        <f>VLOOKUP(Tabelle8[[#This Row],[Rank]],Stammdaten[[Rank Verteilung D Mitte mit Rinde]:[Verteilung D Mitte mit Rinde]],2,FALSE)</f>
        <v>#N/A</v>
      </c>
      <c r="L3195">
        <v>3186</v>
      </c>
      <c r="M3195" t="e">
        <f>INDEX(Stammdaten[Abholzigkeit (mm/lfm)],MATCH(Tabelle9[[#This Row],[Rank]],Stammdaten[Rank Verteilung Abholzigkeit],0))</f>
        <v>#N/A</v>
      </c>
      <c r="N3195" t="e">
        <f>VLOOKUP(Tabelle9[[#This Row],[Rank]],Stammdaten[[Rank Verteilung Abholzigkeit]:[Verteilung Abholzigkeit]],2,FALSE)</f>
        <v>#N/A</v>
      </c>
      <c r="S3195">
        <v>3186</v>
      </c>
      <c r="T3195" t="e">
        <f>INDEX(Stammdaten[Krümmung (mm/lfm)],MATCH(Tabelle10[[#This Row],[Rank]],Stammdaten[Rank Verteilung Krümmung],0))</f>
        <v>#N/A</v>
      </c>
      <c r="U3195" t="e">
        <f>VLOOKUP(Tabelle10[[#This Row],[Rank]],Stammdaten[[Rank Verteilung Krümmung]:[Verteilung Krümmung]],2,FALSE)</f>
        <v>#N/A</v>
      </c>
      <c r="Z3195">
        <v>3186</v>
      </c>
      <c r="AA3195" t="e">
        <f>INDEX(Stammdaten[Ovalität (']0,1'])],MATCH(Tabelle1014[[#This Row],[Rank]],Stammdaten[Rank Verteilung Ovalität],0))</f>
        <v>#N/A</v>
      </c>
      <c r="AB3195" t="e">
        <f>VLOOKUP(Tabelle1014[[#This Row],[Rank]],Stammdaten[[Rank Verteilung Ovalität]:[Verteilung Ovalität]],2,FALSE)</f>
        <v>#N/A</v>
      </c>
    </row>
    <row r="3196" spans="5:28" x14ac:dyDescent="0.35">
      <c r="E3196">
        <v>3187</v>
      </c>
      <c r="F3196" t="e">
        <f>INDEX(Stammdaten[D Mitte mit Rinde (mm)],MATCH(Tabelle8[[#This Row],[Rank]],Stammdaten[Rank Verteilung D Mitte mit Rinde],0))</f>
        <v>#N/A</v>
      </c>
      <c r="G3196" t="e">
        <f>VLOOKUP(Tabelle8[[#This Row],[Rank]],Stammdaten[[Rank Verteilung D Mitte mit Rinde]:[Verteilung D Mitte mit Rinde]],2,FALSE)</f>
        <v>#N/A</v>
      </c>
      <c r="L3196">
        <v>3187</v>
      </c>
      <c r="M3196" t="e">
        <f>INDEX(Stammdaten[Abholzigkeit (mm/lfm)],MATCH(Tabelle9[[#This Row],[Rank]],Stammdaten[Rank Verteilung Abholzigkeit],0))</f>
        <v>#N/A</v>
      </c>
      <c r="N3196" t="e">
        <f>VLOOKUP(Tabelle9[[#This Row],[Rank]],Stammdaten[[Rank Verteilung Abholzigkeit]:[Verteilung Abholzigkeit]],2,FALSE)</f>
        <v>#N/A</v>
      </c>
      <c r="S3196">
        <v>3187</v>
      </c>
      <c r="T3196" t="e">
        <f>INDEX(Stammdaten[Krümmung (mm/lfm)],MATCH(Tabelle10[[#This Row],[Rank]],Stammdaten[Rank Verteilung Krümmung],0))</f>
        <v>#N/A</v>
      </c>
      <c r="U3196" t="e">
        <f>VLOOKUP(Tabelle10[[#This Row],[Rank]],Stammdaten[[Rank Verteilung Krümmung]:[Verteilung Krümmung]],2,FALSE)</f>
        <v>#N/A</v>
      </c>
      <c r="Z3196">
        <v>3187</v>
      </c>
      <c r="AA3196" t="e">
        <f>INDEX(Stammdaten[Ovalität (']0,1'])],MATCH(Tabelle1014[[#This Row],[Rank]],Stammdaten[Rank Verteilung Ovalität],0))</f>
        <v>#N/A</v>
      </c>
      <c r="AB3196" t="e">
        <f>VLOOKUP(Tabelle1014[[#This Row],[Rank]],Stammdaten[[Rank Verteilung Ovalität]:[Verteilung Ovalität]],2,FALSE)</f>
        <v>#N/A</v>
      </c>
    </row>
    <row r="3197" spans="5:28" x14ac:dyDescent="0.35">
      <c r="E3197">
        <v>3188</v>
      </c>
      <c r="F3197" t="e">
        <f>INDEX(Stammdaten[D Mitte mit Rinde (mm)],MATCH(Tabelle8[[#This Row],[Rank]],Stammdaten[Rank Verteilung D Mitte mit Rinde],0))</f>
        <v>#N/A</v>
      </c>
      <c r="G3197" t="e">
        <f>VLOOKUP(Tabelle8[[#This Row],[Rank]],Stammdaten[[Rank Verteilung D Mitte mit Rinde]:[Verteilung D Mitte mit Rinde]],2,FALSE)</f>
        <v>#N/A</v>
      </c>
      <c r="L3197">
        <v>3188</v>
      </c>
      <c r="M3197" t="e">
        <f>INDEX(Stammdaten[Abholzigkeit (mm/lfm)],MATCH(Tabelle9[[#This Row],[Rank]],Stammdaten[Rank Verteilung Abholzigkeit],0))</f>
        <v>#N/A</v>
      </c>
      <c r="N3197" t="e">
        <f>VLOOKUP(Tabelle9[[#This Row],[Rank]],Stammdaten[[Rank Verteilung Abholzigkeit]:[Verteilung Abholzigkeit]],2,FALSE)</f>
        <v>#N/A</v>
      </c>
      <c r="S3197">
        <v>3188</v>
      </c>
      <c r="T3197" t="e">
        <f>INDEX(Stammdaten[Krümmung (mm/lfm)],MATCH(Tabelle10[[#This Row],[Rank]],Stammdaten[Rank Verteilung Krümmung],0))</f>
        <v>#N/A</v>
      </c>
      <c r="U3197" t="e">
        <f>VLOOKUP(Tabelle10[[#This Row],[Rank]],Stammdaten[[Rank Verteilung Krümmung]:[Verteilung Krümmung]],2,FALSE)</f>
        <v>#N/A</v>
      </c>
      <c r="Z3197">
        <v>3188</v>
      </c>
      <c r="AA3197" t="e">
        <f>INDEX(Stammdaten[Ovalität (']0,1'])],MATCH(Tabelle1014[[#This Row],[Rank]],Stammdaten[Rank Verteilung Ovalität],0))</f>
        <v>#N/A</v>
      </c>
      <c r="AB3197" t="e">
        <f>VLOOKUP(Tabelle1014[[#This Row],[Rank]],Stammdaten[[Rank Verteilung Ovalität]:[Verteilung Ovalität]],2,FALSE)</f>
        <v>#N/A</v>
      </c>
    </row>
    <row r="3198" spans="5:28" x14ac:dyDescent="0.35">
      <c r="E3198">
        <v>3189</v>
      </c>
      <c r="F3198" t="e">
        <f>INDEX(Stammdaten[D Mitte mit Rinde (mm)],MATCH(Tabelle8[[#This Row],[Rank]],Stammdaten[Rank Verteilung D Mitte mit Rinde],0))</f>
        <v>#N/A</v>
      </c>
      <c r="G3198" t="e">
        <f>VLOOKUP(Tabelle8[[#This Row],[Rank]],Stammdaten[[Rank Verteilung D Mitte mit Rinde]:[Verteilung D Mitte mit Rinde]],2,FALSE)</f>
        <v>#N/A</v>
      </c>
      <c r="L3198">
        <v>3189</v>
      </c>
      <c r="M3198" t="e">
        <f>INDEX(Stammdaten[Abholzigkeit (mm/lfm)],MATCH(Tabelle9[[#This Row],[Rank]],Stammdaten[Rank Verteilung Abholzigkeit],0))</f>
        <v>#N/A</v>
      </c>
      <c r="N3198" t="e">
        <f>VLOOKUP(Tabelle9[[#This Row],[Rank]],Stammdaten[[Rank Verteilung Abholzigkeit]:[Verteilung Abholzigkeit]],2,FALSE)</f>
        <v>#N/A</v>
      </c>
      <c r="S3198">
        <v>3189</v>
      </c>
      <c r="T3198" t="e">
        <f>INDEX(Stammdaten[Krümmung (mm/lfm)],MATCH(Tabelle10[[#This Row],[Rank]],Stammdaten[Rank Verteilung Krümmung],0))</f>
        <v>#N/A</v>
      </c>
      <c r="U3198" t="e">
        <f>VLOOKUP(Tabelle10[[#This Row],[Rank]],Stammdaten[[Rank Verteilung Krümmung]:[Verteilung Krümmung]],2,FALSE)</f>
        <v>#N/A</v>
      </c>
      <c r="Z3198">
        <v>3189</v>
      </c>
      <c r="AA3198" t="e">
        <f>INDEX(Stammdaten[Ovalität (']0,1'])],MATCH(Tabelle1014[[#This Row],[Rank]],Stammdaten[Rank Verteilung Ovalität],0))</f>
        <v>#N/A</v>
      </c>
      <c r="AB3198" t="e">
        <f>VLOOKUP(Tabelle1014[[#This Row],[Rank]],Stammdaten[[Rank Verteilung Ovalität]:[Verteilung Ovalität]],2,FALSE)</f>
        <v>#N/A</v>
      </c>
    </row>
    <row r="3199" spans="5:28" x14ac:dyDescent="0.35">
      <c r="E3199">
        <v>3190</v>
      </c>
      <c r="F3199" t="e">
        <f>INDEX(Stammdaten[D Mitte mit Rinde (mm)],MATCH(Tabelle8[[#This Row],[Rank]],Stammdaten[Rank Verteilung D Mitte mit Rinde],0))</f>
        <v>#N/A</v>
      </c>
      <c r="G3199" t="e">
        <f>VLOOKUP(Tabelle8[[#This Row],[Rank]],Stammdaten[[Rank Verteilung D Mitte mit Rinde]:[Verteilung D Mitte mit Rinde]],2,FALSE)</f>
        <v>#N/A</v>
      </c>
      <c r="L3199">
        <v>3190</v>
      </c>
      <c r="M3199" t="e">
        <f>INDEX(Stammdaten[Abholzigkeit (mm/lfm)],MATCH(Tabelle9[[#This Row],[Rank]],Stammdaten[Rank Verteilung Abholzigkeit],0))</f>
        <v>#N/A</v>
      </c>
      <c r="N3199" t="e">
        <f>VLOOKUP(Tabelle9[[#This Row],[Rank]],Stammdaten[[Rank Verteilung Abholzigkeit]:[Verteilung Abholzigkeit]],2,FALSE)</f>
        <v>#N/A</v>
      </c>
      <c r="S3199">
        <v>3190</v>
      </c>
      <c r="T3199" t="e">
        <f>INDEX(Stammdaten[Krümmung (mm/lfm)],MATCH(Tabelle10[[#This Row],[Rank]],Stammdaten[Rank Verteilung Krümmung],0))</f>
        <v>#N/A</v>
      </c>
      <c r="U3199" t="e">
        <f>VLOOKUP(Tabelle10[[#This Row],[Rank]],Stammdaten[[Rank Verteilung Krümmung]:[Verteilung Krümmung]],2,FALSE)</f>
        <v>#N/A</v>
      </c>
      <c r="Z3199">
        <v>3190</v>
      </c>
      <c r="AA3199" t="e">
        <f>INDEX(Stammdaten[Ovalität (']0,1'])],MATCH(Tabelle1014[[#This Row],[Rank]],Stammdaten[Rank Verteilung Ovalität],0))</f>
        <v>#N/A</v>
      </c>
      <c r="AB3199" t="e">
        <f>VLOOKUP(Tabelle1014[[#This Row],[Rank]],Stammdaten[[Rank Verteilung Ovalität]:[Verteilung Ovalität]],2,FALSE)</f>
        <v>#N/A</v>
      </c>
    </row>
    <row r="3200" spans="5:28" x14ac:dyDescent="0.35">
      <c r="E3200">
        <v>3191</v>
      </c>
      <c r="F3200" t="e">
        <f>INDEX(Stammdaten[D Mitte mit Rinde (mm)],MATCH(Tabelle8[[#This Row],[Rank]],Stammdaten[Rank Verteilung D Mitte mit Rinde],0))</f>
        <v>#N/A</v>
      </c>
      <c r="G3200" t="e">
        <f>VLOOKUP(Tabelle8[[#This Row],[Rank]],Stammdaten[[Rank Verteilung D Mitte mit Rinde]:[Verteilung D Mitte mit Rinde]],2,FALSE)</f>
        <v>#N/A</v>
      </c>
      <c r="L3200">
        <v>3191</v>
      </c>
      <c r="M3200" t="e">
        <f>INDEX(Stammdaten[Abholzigkeit (mm/lfm)],MATCH(Tabelle9[[#This Row],[Rank]],Stammdaten[Rank Verteilung Abholzigkeit],0))</f>
        <v>#N/A</v>
      </c>
      <c r="N3200" t="e">
        <f>VLOOKUP(Tabelle9[[#This Row],[Rank]],Stammdaten[[Rank Verteilung Abholzigkeit]:[Verteilung Abholzigkeit]],2,FALSE)</f>
        <v>#N/A</v>
      </c>
      <c r="S3200">
        <v>3191</v>
      </c>
      <c r="T3200" t="e">
        <f>INDEX(Stammdaten[Krümmung (mm/lfm)],MATCH(Tabelle10[[#This Row],[Rank]],Stammdaten[Rank Verteilung Krümmung],0))</f>
        <v>#N/A</v>
      </c>
      <c r="U3200" t="e">
        <f>VLOOKUP(Tabelle10[[#This Row],[Rank]],Stammdaten[[Rank Verteilung Krümmung]:[Verteilung Krümmung]],2,FALSE)</f>
        <v>#N/A</v>
      </c>
      <c r="Z3200">
        <v>3191</v>
      </c>
      <c r="AA3200" t="e">
        <f>INDEX(Stammdaten[Ovalität (']0,1'])],MATCH(Tabelle1014[[#This Row],[Rank]],Stammdaten[Rank Verteilung Ovalität],0))</f>
        <v>#N/A</v>
      </c>
      <c r="AB3200" t="e">
        <f>VLOOKUP(Tabelle1014[[#This Row],[Rank]],Stammdaten[[Rank Verteilung Ovalität]:[Verteilung Ovalität]],2,FALSE)</f>
        <v>#N/A</v>
      </c>
    </row>
    <row r="3201" spans="5:28" x14ac:dyDescent="0.35">
      <c r="E3201">
        <v>3192</v>
      </c>
      <c r="F3201" t="e">
        <f>INDEX(Stammdaten[D Mitte mit Rinde (mm)],MATCH(Tabelle8[[#This Row],[Rank]],Stammdaten[Rank Verteilung D Mitte mit Rinde],0))</f>
        <v>#N/A</v>
      </c>
      <c r="G3201" t="e">
        <f>VLOOKUP(Tabelle8[[#This Row],[Rank]],Stammdaten[[Rank Verteilung D Mitte mit Rinde]:[Verteilung D Mitte mit Rinde]],2,FALSE)</f>
        <v>#N/A</v>
      </c>
      <c r="L3201">
        <v>3192</v>
      </c>
      <c r="M3201" t="e">
        <f>INDEX(Stammdaten[Abholzigkeit (mm/lfm)],MATCH(Tabelle9[[#This Row],[Rank]],Stammdaten[Rank Verteilung Abholzigkeit],0))</f>
        <v>#N/A</v>
      </c>
      <c r="N3201" t="e">
        <f>VLOOKUP(Tabelle9[[#This Row],[Rank]],Stammdaten[[Rank Verteilung Abholzigkeit]:[Verteilung Abholzigkeit]],2,FALSE)</f>
        <v>#N/A</v>
      </c>
      <c r="S3201">
        <v>3192</v>
      </c>
      <c r="T3201" t="e">
        <f>INDEX(Stammdaten[Krümmung (mm/lfm)],MATCH(Tabelle10[[#This Row],[Rank]],Stammdaten[Rank Verteilung Krümmung],0))</f>
        <v>#N/A</v>
      </c>
      <c r="U3201" t="e">
        <f>VLOOKUP(Tabelle10[[#This Row],[Rank]],Stammdaten[[Rank Verteilung Krümmung]:[Verteilung Krümmung]],2,FALSE)</f>
        <v>#N/A</v>
      </c>
      <c r="Z3201">
        <v>3192</v>
      </c>
      <c r="AA3201" t="e">
        <f>INDEX(Stammdaten[Ovalität (']0,1'])],MATCH(Tabelle1014[[#This Row],[Rank]],Stammdaten[Rank Verteilung Ovalität],0))</f>
        <v>#N/A</v>
      </c>
      <c r="AB3201" t="e">
        <f>VLOOKUP(Tabelle1014[[#This Row],[Rank]],Stammdaten[[Rank Verteilung Ovalität]:[Verteilung Ovalität]],2,FALSE)</f>
        <v>#N/A</v>
      </c>
    </row>
    <row r="3202" spans="5:28" x14ac:dyDescent="0.35">
      <c r="E3202">
        <v>3193</v>
      </c>
      <c r="F3202" t="e">
        <f>INDEX(Stammdaten[D Mitte mit Rinde (mm)],MATCH(Tabelle8[[#This Row],[Rank]],Stammdaten[Rank Verteilung D Mitte mit Rinde],0))</f>
        <v>#N/A</v>
      </c>
      <c r="G3202" t="e">
        <f>VLOOKUP(Tabelle8[[#This Row],[Rank]],Stammdaten[[Rank Verteilung D Mitte mit Rinde]:[Verteilung D Mitte mit Rinde]],2,FALSE)</f>
        <v>#N/A</v>
      </c>
      <c r="L3202">
        <v>3193</v>
      </c>
      <c r="M3202" t="e">
        <f>INDEX(Stammdaten[Abholzigkeit (mm/lfm)],MATCH(Tabelle9[[#This Row],[Rank]],Stammdaten[Rank Verteilung Abholzigkeit],0))</f>
        <v>#N/A</v>
      </c>
      <c r="N3202" t="e">
        <f>VLOOKUP(Tabelle9[[#This Row],[Rank]],Stammdaten[[Rank Verteilung Abholzigkeit]:[Verteilung Abholzigkeit]],2,FALSE)</f>
        <v>#N/A</v>
      </c>
      <c r="S3202">
        <v>3193</v>
      </c>
      <c r="T3202" t="e">
        <f>INDEX(Stammdaten[Krümmung (mm/lfm)],MATCH(Tabelle10[[#This Row],[Rank]],Stammdaten[Rank Verteilung Krümmung],0))</f>
        <v>#N/A</v>
      </c>
      <c r="U3202" t="e">
        <f>VLOOKUP(Tabelle10[[#This Row],[Rank]],Stammdaten[[Rank Verteilung Krümmung]:[Verteilung Krümmung]],2,FALSE)</f>
        <v>#N/A</v>
      </c>
      <c r="Z3202">
        <v>3193</v>
      </c>
      <c r="AA3202" t="e">
        <f>INDEX(Stammdaten[Ovalität (']0,1'])],MATCH(Tabelle1014[[#This Row],[Rank]],Stammdaten[Rank Verteilung Ovalität],0))</f>
        <v>#N/A</v>
      </c>
      <c r="AB3202" t="e">
        <f>VLOOKUP(Tabelle1014[[#This Row],[Rank]],Stammdaten[[Rank Verteilung Ovalität]:[Verteilung Ovalität]],2,FALSE)</f>
        <v>#N/A</v>
      </c>
    </row>
    <row r="3203" spans="5:28" x14ac:dyDescent="0.35">
      <c r="E3203">
        <v>3194</v>
      </c>
      <c r="F3203" t="e">
        <f>INDEX(Stammdaten[D Mitte mit Rinde (mm)],MATCH(Tabelle8[[#This Row],[Rank]],Stammdaten[Rank Verteilung D Mitte mit Rinde],0))</f>
        <v>#N/A</v>
      </c>
      <c r="G3203" t="e">
        <f>VLOOKUP(Tabelle8[[#This Row],[Rank]],Stammdaten[[Rank Verteilung D Mitte mit Rinde]:[Verteilung D Mitte mit Rinde]],2,FALSE)</f>
        <v>#N/A</v>
      </c>
      <c r="L3203">
        <v>3194</v>
      </c>
      <c r="M3203" t="e">
        <f>INDEX(Stammdaten[Abholzigkeit (mm/lfm)],MATCH(Tabelle9[[#This Row],[Rank]],Stammdaten[Rank Verteilung Abholzigkeit],0))</f>
        <v>#N/A</v>
      </c>
      <c r="N3203" t="e">
        <f>VLOOKUP(Tabelle9[[#This Row],[Rank]],Stammdaten[[Rank Verteilung Abholzigkeit]:[Verteilung Abholzigkeit]],2,FALSE)</f>
        <v>#N/A</v>
      </c>
      <c r="S3203">
        <v>3194</v>
      </c>
      <c r="T3203" t="e">
        <f>INDEX(Stammdaten[Krümmung (mm/lfm)],MATCH(Tabelle10[[#This Row],[Rank]],Stammdaten[Rank Verteilung Krümmung],0))</f>
        <v>#N/A</v>
      </c>
      <c r="U3203" t="e">
        <f>VLOOKUP(Tabelle10[[#This Row],[Rank]],Stammdaten[[Rank Verteilung Krümmung]:[Verteilung Krümmung]],2,FALSE)</f>
        <v>#N/A</v>
      </c>
      <c r="Z3203">
        <v>3194</v>
      </c>
      <c r="AA3203" t="e">
        <f>INDEX(Stammdaten[Ovalität (']0,1'])],MATCH(Tabelle1014[[#This Row],[Rank]],Stammdaten[Rank Verteilung Ovalität],0))</f>
        <v>#N/A</v>
      </c>
      <c r="AB3203" t="e">
        <f>VLOOKUP(Tabelle1014[[#This Row],[Rank]],Stammdaten[[Rank Verteilung Ovalität]:[Verteilung Ovalität]],2,FALSE)</f>
        <v>#N/A</v>
      </c>
    </row>
    <row r="3204" spans="5:28" x14ac:dyDescent="0.35">
      <c r="E3204">
        <v>3195</v>
      </c>
      <c r="F3204" t="e">
        <f>INDEX(Stammdaten[D Mitte mit Rinde (mm)],MATCH(Tabelle8[[#This Row],[Rank]],Stammdaten[Rank Verteilung D Mitte mit Rinde],0))</f>
        <v>#N/A</v>
      </c>
      <c r="G3204" t="e">
        <f>VLOOKUP(Tabelle8[[#This Row],[Rank]],Stammdaten[[Rank Verteilung D Mitte mit Rinde]:[Verteilung D Mitte mit Rinde]],2,FALSE)</f>
        <v>#N/A</v>
      </c>
      <c r="L3204">
        <v>3195</v>
      </c>
      <c r="M3204" t="e">
        <f>INDEX(Stammdaten[Abholzigkeit (mm/lfm)],MATCH(Tabelle9[[#This Row],[Rank]],Stammdaten[Rank Verteilung Abholzigkeit],0))</f>
        <v>#N/A</v>
      </c>
      <c r="N3204" t="e">
        <f>VLOOKUP(Tabelle9[[#This Row],[Rank]],Stammdaten[[Rank Verteilung Abholzigkeit]:[Verteilung Abholzigkeit]],2,FALSE)</f>
        <v>#N/A</v>
      </c>
      <c r="S3204">
        <v>3195</v>
      </c>
      <c r="T3204" t="e">
        <f>INDEX(Stammdaten[Krümmung (mm/lfm)],MATCH(Tabelle10[[#This Row],[Rank]],Stammdaten[Rank Verteilung Krümmung],0))</f>
        <v>#N/A</v>
      </c>
      <c r="U3204" t="e">
        <f>VLOOKUP(Tabelle10[[#This Row],[Rank]],Stammdaten[[Rank Verteilung Krümmung]:[Verteilung Krümmung]],2,FALSE)</f>
        <v>#N/A</v>
      </c>
      <c r="Z3204">
        <v>3195</v>
      </c>
      <c r="AA3204" t="e">
        <f>INDEX(Stammdaten[Ovalität (']0,1'])],MATCH(Tabelle1014[[#This Row],[Rank]],Stammdaten[Rank Verteilung Ovalität],0))</f>
        <v>#N/A</v>
      </c>
      <c r="AB3204" t="e">
        <f>VLOOKUP(Tabelle1014[[#This Row],[Rank]],Stammdaten[[Rank Verteilung Ovalität]:[Verteilung Ovalität]],2,FALSE)</f>
        <v>#N/A</v>
      </c>
    </row>
    <row r="3205" spans="5:28" x14ac:dyDescent="0.35">
      <c r="E3205">
        <v>3196</v>
      </c>
      <c r="F3205" t="e">
        <f>INDEX(Stammdaten[D Mitte mit Rinde (mm)],MATCH(Tabelle8[[#This Row],[Rank]],Stammdaten[Rank Verteilung D Mitte mit Rinde],0))</f>
        <v>#N/A</v>
      </c>
      <c r="G3205" t="e">
        <f>VLOOKUP(Tabelle8[[#This Row],[Rank]],Stammdaten[[Rank Verteilung D Mitte mit Rinde]:[Verteilung D Mitte mit Rinde]],2,FALSE)</f>
        <v>#N/A</v>
      </c>
      <c r="L3205">
        <v>3196</v>
      </c>
      <c r="M3205" t="e">
        <f>INDEX(Stammdaten[Abholzigkeit (mm/lfm)],MATCH(Tabelle9[[#This Row],[Rank]],Stammdaten[Rank Verteilung Abholzigkeit],0))</f>
        <v>#N/A</v>
      </c>
      <c r="N3205" t="e">
        <f>VLOOKUP(Tabelle9[[#This Row],[Rank]],Stammdaten[[Rank Verteilung Abholzigkeit]:[Verteilung Abholzigkeit]],2,FALSE)</f>
        <v>#N/A</v>
      </c>
      <c r="S3205">
        <v>3196</v>
      </c>
      <c r="T3205" t="e">
        <f>INDEX(Stammdaten[Krümmung (mm/lfm)],MATCH(Tabelle10[[#This Row],[Rank]],Stammdaten[Rank Verteilung Krümmung],0))</f>
        <v>#N/A</v>
      </c>
      <c r="U3205" t="e">
        <f>VLOOKUP(Tabelle10[[#This Row],[Rank]],Stammdaten[[Rank Verteilung Krümmung]:[Verteilung Krümmung]],2,FALSE)</f>
        <v>#N/A</v>
      </c>
      <c r="Z3205">
        <v>3196</v>
      </c>
      <c r="AA3205" t="e">
        <f>INDEX(Stammdaten[Ovalität (']0,1'])],MATCH(Tabelle1014[[#This Row],[Rank]],Stammdaten[Rank Verteilung Ovalität],0))</f>
        <v>#N/A</v>
      </c>
      <c r="AB3205" t="e">
        <f>VLOOKUP(Tabelle1014[[#This Row],[Rank]],Stammdaten[[Rank Verteilung Ovalität]:[Verteilung Ovalität]],2,FALSE)</f>
        <v>#N/A</v>
      </c>
    </row>
    <row r="3206" spans="5:28" x14ac:dyDescent="0.35">
      <c r="E3206">
        <v>3197</v>
      </c>
      <c r="F3206" t="e">
        <f>INDEX(Stammdaten[D Mitte mit Rinde (mm)],MATCH(Tabelle8[[#This Row],[Rank]],Stammdaten[Rank Verteilung D Mitte mit Rinde],0))</f>
        <v>#N/A</v>
      </c>
      <c r="G3206" t="e">
        <f>VLOOKUP(Tabelle8[[#This Row],[Rank]],Stammdaten[[Rank Verteilung D Mitte mit Rinde]:[Verteilung D Mitte mit Rinde]],2,FALSE)</f>
        <v>#N/A</v>
      </c>
      <c r="L3206">
        <v>3197</v>
      </c>
      <c r="M3206" t="e">
        <f>INDEX(Stammdaten[Abholzigkeit (mm/lfm)],MATCH(Tabelle9[[#This Row],[Rank]],Stammdaten[Rank Verteilung Abholzigkeit],0))</f>
        <v>#N/A</v>
      </c>
      <c r="N3206" t="e">
        <f>VLOOKUP(Tabelle9[[#This Row],[Rank]],Stammdaten[[Rank Verteilung Abholzigkeit]:[Verteilung Abholzigkeit]],2,FALSE)</f>
        <v>#N/A</v>
      </c>
      <c r="S3206">
        <v>3197</v>
      </c>
      <c r="T3206" t="e">
        <f>INDEX(Stammdaten[Krümmung (mm/lfm)],MATCH(Tabelle10[[#This Row],[Rank]],Stammdaten[Rank Verteilung Krümmung],0))</f>
        <v>#N/A</v>
      </c>
      <c r="U3206" t="e">
        <f>VLOOKUP(Tabelle10[[#This Row],[Rank]],Stammdaten[[Rank Verteilung Krümmung]:[Verteilung Krümmung]],2,FALSE)</f>
        <v>#N/A</v>
      </c>
      <c r="Z3206">
        <v>3197</v>
      </c>
      <c r="AA3206" t="e">
        <f>INDEX(Stammdaten[Ovalität (']0,1'])],MATCH(Tabelle1014[[#This Row],[Rank]],Stammdaten[Rank Verteilung Ovalität],0))</f>
        <v>#N/A</v>
      </c>
      <c r="AB3206" t="e">
        <f>VLOOKUP(Tabelle1014[[#This Row],[Rank]],Stammdaten[[Rank Verteilung Ovalität]:[Verteilung Ovalität]],2,FALSE)</f>
        <v>#N/A</v>
      </c>
    </row>
    <row r="3207" spans="5:28" x14ac:dyDescent="0.35">
      <c r="E3207">
        <v>3198</v>
      </c>
      <c r="F3207" t="e">
        <f>INDEX(Stammdaten[D Mitte mit Rinde (mm)],MATCH(Tabelle8[[#This Row],[Rank]],Stammdaten[Rank Verteilung D Mitte mit Rinde],0))</f>
        <v>#N/A</v>
      </c>
      <c r="G3207" t="e">
        <f>VLOOKUP(Tabelle8[[#This Row],[Rank]],Stammdaten[[Rank Verteilung D Mitte mit Rinde]:[Verteilung D Mitte mit Rinde]],2,FALSE)</f>
        <v>#N/A</v>
      </c>
      <c r="L3207">
        <v>3198</v>
      </c>
      <c r="M3207" t="e">
        <f>INDEX(Stammdaten[Abholzigkeit (mm/lfm)],MATCH(Tabelle9[[#This Row],[Rank]],Stammdaten[Rank Verteilung Abholzigkeit],0))</f>
        <v>#N/A</v>
      </c>
      <c r="N3207" t="e">
        <f>VLOOKUP(Tabelle9[[#This Row],[Rank]],Stammdaten[[Rank Verteilung Abholzigkeit]:[Verteilung Abholzigkeit]],2,FALSE)</f>
        <v>#N/A</v>
      </c>
      <c r="S3207">
        <v>3198</v>
      </c>
      <c r="T3207" t="e">
        <f>INDEX(Stammdaten[Krümmung (mm/lfm)],MATCH(Tabelle10[[#This Row],[Rank]],Stammdaten[Rank Verteilung Krümmung],0))</f>
        <v>#N/A</v>
      </c>
      <c r="U3207" t="e">
        <f>VLOOKUP(Tabelle10[[#This Row],[Rank]],Stammdaten[[Rank Verteilung Krümmung]:[Verteilung Krümmung]],2,FALSE)</f>
        <v>#N/A</v>
      </c>
      <c r="Z3207">
        <v>3198</v>
      </c>
      <c r="AA3207" t="e">
        <f>INDEX(Stammdaten[Ovalität (']0,1'])],MATCH(Tabelle1014[[#This Row],[Rank]],Stammdaten[Rank Verteilung Ovalität],0))</f>
        <v>#N/A</v>
      </c>
      <c r="AB3207" t="e">
        <f>VLOOKUP(Tabelle1014[[#This Row],[Rank]],Stammdaten[[Rank Verteilung Ovalität]:[Verteilung Ovalität]],2,FALSE)</f>
        <v>#N/A</v>
      </c>
    </row>
    <row r="3208" spans="5:28" x14ac:dyDescent="0.35">
      <c r="E3208">
        <v>3199</v>
      </c>
      <c r="F3208" t="e">
        <f>INDEX(Stammdaten[D Mitte mit Rinde (mm)],MATCH(Tabelle8[[#This Row],[Rank]],Stammdaten[Rank Verteilung D Mitte mit Rinde],0))</f>
        <v>#N/A</v>
      </c>
      <c r="G3208" t="e">
        <f>VLOOKUP(Tabelle8[[#This Row],[Rank]],Stammdaten[[Rank Verteilung D Mitte mit Rinde]:[Verteilung D Mitte mit Rinde]],2,FALSE)</f>
        <v>#N/A</v>
      </c>
      <c r="L3208">
        <v>3199</v>
      </c>
      <c r="M3208" t="e">
        <f>INDEX(Stammdaten[Abholzigkeit (mm/lfm)],MATCH(Tabelle9[[#This Row],[Rank]],Stammdaten[Rank Verteilung Abholzigkeit],0))</f>
        <v>#N/A</v>
      </c>
      <c r="N3208" t="e">
        <f>VLOOKUP(Tabelle9[[#This Row],[Rank]],Stammdaten[[Rank Verteilung Abholzigkeit]:[Verteilung Abholzigkeit]],2,FALSE)</f>
        <v>#N/A</v>
      </c>
      <c r="S3208">
        <v>3199</v>
      </c>
      <c r="T3208" t="e">
        <f>INDEX(Stammdaten[Krümmung (mm/lfm)],MATCH(Tabelle10[[#This Row],[Rank]],Stammdaten[Rank Verteilung Krümmung],0))</f>
        <v>#N/A</v>
      </c>
      <c r="U3208" t="e">
        <f>VLOOKUP(Tabelle10[[#This Row],[Rank]],Stammdaten[[Rank Verteilung Krümmung]:[Verteilung Krümmung]],2,FALSE)</f>
        <v>#N/A</v>
      </c>
      <c r="Z3208">
        <v>3199</v>
      </c>
      <c r="AA3208" t="e">
        <f>INDEX(Stammdaten[Ovalität (']0,1'])],MATCH(Tabelle1014[[#This Row],[Rank]],Stammdaten[Rank Verteilung Ovalität],0))</f>
        <v>#N/A</v>
      </c>
      <c r="AB3208" t="e">
        <f>VLOOKUP(Tabelle1014[[#This Row],[Rank]],Stammdaten[[Rank Verteilung Ovalität]:[Verteilung Ovalität]],2,FALSE)</f>
        <v>#N/A</v>
      </c>
    </row>
    <row r="3209" spans="5:28" x14ac:dyDescent="0.35">
      <c r="E3209">
        <v>3200</v>
      </c>
      <c r="F3209" t="e">
        <f>INDEX(Stammdaten[D Mitte mit Rinde (mm)],MATCH(Tabelle8[[#This Row],[Rank]],Stammdaten[Rank Verteilung D Mitte mit Rinde],0))</f>
        <v>#N/A</v>
      </c>
      <c r="G3209" t="e">
        <f>VLOOKUP(Tabelle8[[#This Row],[Rank]],Stammdaten[[Rank Verteilung D Mitte mit Rinde]:[Verteilung D Mitte mit Rinde]],2,FALSE)</f>
        <v>#N/A</v>
      </c>
      <c r="L3209">
        <v>3200</v>
      </c>
      <c r="M3209" t="e">
        <f>INDEX(Stammdaten[Abholzigkeit (mm/lfm)],MATCH(Tabelle9[[#This Row],[Rank]],Stammdaten[Rank Verteilung Abholzigkeit],0))</f>
        <v>#N/A</v>
      </c>
      <c r="N3209" t="e">
        <f>VLOOKUP(Tabelle9[[#This Row],[Rank]],Stammdaten[[Rank Verteilung Abholzigkeit]:[Verteilung Abholzigkeit]],2,FALSE)</f>
        <v>#N/A</v>
      </c>
      <c r="S3209">
        <v>3200</v>
      </c>
      <c r="T3209" t="e">
        <f>INDEX(Stammdaten[Krümmung (mm/lfm)],MATCH(Tabelle10[[#This Row],[Rank]],Stammdaten[Rank Verteilung Krümmung],0))</f>
        <v>#N/A</v>
      </c>
      <c r="U3209" t="e">
        <f>VLOOKUP(Tabelle10[[#This Row],[Rank]],Stammdaten[[Rank Verteilung Krümmung]:[Verteilung Krümmung]],2,FALSE)</f>
        <v>#N/A</v>
      </c>
      <c r="Z3209">
        <v>3200</v>
      </c>
      <c r="AA3209" t="e">
        <f>INDEX(Stammdaten[Ovalität (']0,1'])],MATCH(Tabelle1014[[#This Row],[Rank]],Stammdaten[Rank Verteilung Ovalität],0))</f>
        <v>#N/A</v>
      </c>
      <c r="AB3209" t="e">
        <f>VLOOKUP(Tabelle1014[[#This Row],[Rank]],Stammdaten[[Rank Verteilung Ovalität]:[Verteilung Ovalität]],2,FALSE)</f>
        <v>#N/A</v>
      </c>
    </row>
    <row r="3210" spans="5:28" x14ac:dyDescent="0.35">
      <c r="E3210">
        <v>3201</v>
      </c>
      <c r="F3210" t="e">
        <f>INDEX(Stammdaten[D Mitte mit Rinde (mm)],MATCH(Tabelle8[[#This Row],[Rank]],Stammdaten[Rank Verteilung D Mitte mit Rinde],0))</f>
        <v>#N/A</v>
      </c>
      <c r="G3210" t="e">
        <f>VLOOKUP(Tabelle8[[#This Row],[Rank]],Stammdaten[[Rank Verteilung D Mitte mit Rinde]:[Verteilung D Mitte mit Rinde]],2,FALSE)</f>
        <v>#N/A</v>
      </c>
      <c r="L3210">
        <v>3201</v>
      </c>
      <c r="M3210" t="e">
        <f>INDEX(Stammdaten[Abholzigkeit (mm/lfm)],MATCH(Tabelle9[[#This Row],[Rank]],Stammdaten[Rank Verteilung Abholzigkeit],0))</f>
        <v>#N/A</v>
      </c>
      <c r="N3210" t="e">
        <f>VLOOKUP(Tabelle9[[#This Row],[Rank]],Stammdaten[[Rank Verteilung Abholzigkeit]:[Verteilung Abholzigkeit]],2,FALSE)</f>
        <v>#N/A</v>
      </c>
      <c r="S3210">
        <v>3201</v>
      </c>
      <c r="T3210" t="e">
        <f>INDEX(Stammdaten[Krümmung (mm/lfm)],MATCH(Tabelle10[[#This Row],[Rank]],Stammdaten[Rank Verteilung Krümmung],0))</f>
        <v>#N/A</v>
      </c>
      <c r="U3210" t="e">
        <f>VLOOKUP(Tabelle10[[#This Row],[Rank]],Stammdaten[[Rank Verteilung Krümmung]:[Verteilung Krümmung]],2,FALSE)</f>
        <v>#N/A</v>
      </c>
      <c r="Z3210">
        <v>3201</v>
      </c>
      <c r="AA3210" t="e">
        <f>INDEX(Stammdaten[Ovalität (']0,1'])],MATCH(Tabelle1014[[#This Row],[Rank]],Stammdaten[Rank Verteilung Ovalität],0))</f>
        <v>#N/A</v>
      </c>
      <c r="AB3210" t="e">
        <f>VLOOKUP(Tabelle1014[[#This Row],[Rank]],Stammdaten[[Rank Verteilung Ovalität]:[Verteilung Ovalität]],2,FALSE)</f>
        <v>#N/A</v>
      </c>
    </row>
    <row r="3211" spans="5:28" x14ac:dyDescent="0.35">
      <c r="E3211">
        <v>3202</v>
      </c>
      <c r="F3211" t="e">
        <f>INDEX(Stammdaten[D Mitte mit Rinde (mm)],MATCH(Tabelle8[[#This Row],[Rank]],Stammdaten[Rank Verteilung D Mitte mit Rinde],0))</f>
        <v>#N/A</v>
      </c>
      <c r="G3211" t="e">
        <f>VLOOKUP(Tabelle8[[#This Row],[Rank]],Stammdaten[[Rank Verteilung D Mitte mit Rinde]:[Verteilung D Mitte mit Rinde]],2,FALSE)</f>
        <v>#N/A</v>
      </c>
      <c r="L3211">
        <v>3202</v>
      </c>
      <c r="M3211" t="e">
        <f>INDEX(Stammdaten[Abholzigkeit (mm/lfm)],MATCH(Tabelle9[[#This Row],[Rank]],Stammdaten[Rank Verteilung Abholzigkeit],0))</f>
        <v>#N/A</v>
      </c>
      <c r="N3211" t="e">
        <f>VLOOKUP(Tabelle9[[#This Row],[Rank]],Stammdaten[[Rank Verteilung Abholzigkeit]:[Verteilung Abholzigkeit]],2,FALSE)</f>
        <v>#N/A</v>
      </c>
      <c r="S3211">
        <v>3202</v>
      </c>
      <c r="T3211" t="e">
        <f>INDEX(Stammdaten[Krümmung (mm/lfm)],MATCH(Tabelle10[[#This Row],[Rank]],Stammdaten[Rank Verteilung Krümmung],0))</f>
        <v>#N/A</v>
      </c>
      <c r="U3211" t="e">
        <f>VLOOKUP(Tabelle10[[#This Row],[Rank]],Stammdaten[[Rank Verteilung Krümmung]:[Verteilung Krümmung]],2,FALSE)</f>
        <v>#N/A</v>
      </c>
      <c r="Z3211">
        <v>3202</v>
      </c>
      <c r="AA3211" t="e">
        <f>INDEX(Stammdaten[Ovalität (']0,1'])],MATCH(Tabelle1014[[#This Row],[Rank]],Stammdaten[Rank Verteilung Ovalität],0))</f>
        <v>#N/A</v>
      </c>
      <c r="AB3211" t="e">
        <f>VLOOKUP(Tabelle1014[[#This Row],[Rank]],Stammdaten[[Rank Verteilung Ovalität]:[Verteilung Ovalität]],2,FALSE)</f>
        <v>#N/A</v>
      </c>
    </row>
    <row r="3212" spans="5:28" x14ac:dyDescent="0.35">
      <c r="E3212">
        <v>3203</v>
      </c>
      <c r="F3212" t="e">
        <f>INDEX(Stammdaten[D Mitte mit Rinde (mm)],MATCH(Tabelle8[[#This Row],[Rank]],Stammdaten[Rank Verteilung D Mitte mit Rinde],0))</f>
        <v>#N/A</v>
      </c>
      <c r="G3212" t="e">
        <f>VLOOKUP(Tabelle8[[#This Row],[Rank]],Stammdaten[[Rank Verteilung D Mitte mit Rinde]:[Verteilung D Mitte mit Rinde]],2,FALSE)</f>
        <v>#N/A</v>
      </c>
      <c r="L3212">
        <v>3203</v>
      </c>
      <c r="M3212" t="e">
        <f>INDEX(Stammdaten[Abholzigkeit (mm/lfm)],MATCH(Tabelle9[[#This Row],[Rank]],Stammdaten[Rank Verteilung Abholzigkeit],0))</f>
        <v>#N/A</v>
      </c>
      <c r="N3212" t="e">
        <f>VLOOKUP(Tabelle9[[#This Row],[Rank]],Stammdaten[[Rank Verteilung Abholzigkeit]:[Verteilung Abholzigkeit]],2,FALSE)</f>
        <v>#N/A</v>
      </c>
      <c r="S3212">
        <v>3203</v>
      </c>
      <c r="T3212" t="e">
        <f>INDEX(Stammdaten[Krümmung (mm/lfm)],MATCH(Tabelle10[[#This Row],[Rank]],Stammdaten[Rank Verteilung Krümmung],0))</f>
        <v>#N/A</v>
      </c>
      <c r="U3212" t="e">
        <f>VLOOKUP(Tabelle10[[#This Row],[Rank]],Stammdaten[[Rank Verteilung Krümmung]:[Verteilung Krümmung]],2,FALSE)</f>
        <v>#N/A</v>
      </c>
      <c r="Z3212">
        <v>3203</v>
      </c>
      <c r="AA3212" t="e">
        <f>INDEX(Stammdaten[Ovalität (']0,1'])],MATCH(Tabelle1014[[#This Row],[Rank]],Stammdaten[Rank Verteilung Ovalität],0))</f>
        <v>#N/A</v>
      </c>
      <c r="AB3212" t="e">
        <f>VLOOKUP(Tabelle1014[[#This Row],[Rank]],Stammdaten[[Rank Verteilung Ovalität]:[Verteilung Ovalität]],2,FALSE)</f>
        <v>#N/A</v>
      </c>
    </row>
    <row r="3213" spans="5:28" x14ac:dyDescent="0.35">
      <c r="E3213">
        <v>3204</v>
      </c>
      <c r="F3213" t="e">
        <f>INDEX(Stammdaten[D Mitte mit Rinde (mm)],MATCH(Tabelle8[[#This Row],[Rank]],Stammdaten[Rank Verteilung D Mitte mit Rinde],0))</f>
        <v>#N/A</v>
      </c>
      <c r="G3213" t="e">
        <f>VLOOKUP(Tabelle8[[#This Row],[Rank]],Stammdaten[[Rank Verteilung D Mitte mit Rinde]:[Verteilung D Mitte mit Rinde]],2,FALSE)</f>
        <v>#N/A</v>
      </c>
      <c r="L3213">
        <v>3204</v>
      </c>
      <c r="M3213" t="e">
        <f>INDEX(Stammdaten[Abholzigkeit (mm/lfm)],MATCH(Tabelle9[[#This Row],[Rank]],Stammdaten[Rank Verteilung Abholzigkeit],0))</f>
        <v>#N/A</v>
      </c>
      <c r="N3213" t="e">
        <f>VLOOKUP(Tabelle9[[#This Row],[Rank]],Stammdaten[[Rank Verteilung Abholzigkeit]:[Verteilung Abholzigkeit]],2,FALSE)</f>
        <v>#N/A</v>
      </c>
      <c r="S3213">
        <v>3204</v>
      </c>
      <c r="T3213" t="e">
        <f>INDEX(Stammdaten[Krümmung (mm/lfm)],MATCH(Tabelle10[[#This Row],[Rank]],Stammdaten[Rank Verteilung Krümmung],0))</f>
        <v>#N/A</v>
      </c>
      <c r="U3213" t="e">
        <f>VLOOKUP(Tabelle10[[#This Row],[Rank]],Stammdaten[[Rank Verteilung Krümmung]:[Verteilung Krümmung]],2,FALSE)</f>
        <v>#N/A</v>
      </c>
      <c r="Z3213">
        <v>3204</v>
      </c>
      <c r="AA3213" t="e">
        <f>INDEX(Stammdaten[Ovalität (']0,1'])],MATCH(Tabelle1014[[#This Row],[Rank]],Stammdaten[Rank Verteilung Ovalität],0))</f>
        <v>#N/A</v>
      </c>
      <c r="AB3213" t="e">
        <f>VLOOKUP(Tabelle1014[[#This Row],[Rank]],Stammdaten[[Rank Verteilung Ovalität]:[Verteilung Ovalität]],2,FALSE)</f>
        <v>#N/A</v>
      </c>
    </row>
    <row r="3214" spans="5:28" x14ac:dyDescent="0.35">
      <c r="E3214">
        <v>3205</v>
      </c>
      <c r="F3214" t="e">
        <f>INDEX(Stammdaten[D Mitte mit Rinde (mm)],MATCH(Tabelle8[[#This Row],[Rank]],Stammdaten[Rank Verteilung D Mitte mit Rinde],0))</f>
        <v>#N/A</v>
      </c>
      <c r="G3214" t="e">
        <f>VLOOKUP(Tabelle8[[#This Row],[Rank]],Stammdaten[[Rank Verteilung D Mitte mit Rinde]:[Verteilung D Mitte mit Rinde]],2,FALSE)</f>
        <v>#N/A</v>
      </c>
      <c r="L3214">
        <v>3205</v>
      </c>
      <c r="M3214" t="e">
        <f>INDEX(Stammdaten[Abholzigkeit (mm/lfm)],MATCH(Tabelle9[[#This Row],[Rank]],Stammdaten[Rank Verteilung Abholzigkeit],0))</f>
        <v>#N/A</v>
      </c>
      <c r="N3214" t="e">
        <f>VLOOKUP(Tabelle9[[#This Row],[Rank]],Stammdaten[[Rank Verteilung Abholzigkeit]:[Verteilung Abholzigkeit]],2,FALSE)</f>
        <v>#N/A</v>
      </c>
      <c r="S3214">
        <v>3205</v>
      </c>
      <c r="T3214" t="e">
        <f>INDEX(Stammdaten[Krümmung (mm/lfm)],MATCH(Tabelle10[[#This Row],[Rank]],Stammdaten[Rank Verteilung Krümmung],0))</f>
        <v>#N/A</v>
      </c>
      <c r="U3214" t="e">
        <f>VLOOKUP(Tabelle10[[#This Row],[Rank]],Stammdaten[[Rank Verteilung Krümmung]:[Verteilung Krümmung]],2,FALSE)</f>
        <v>#N/A</v>
      </c>
      <c r="Z3214">
        <v>3205</v>
      </c>
      <c r="AA3214" t="e">
        <f>INDEX(Stammdaten[Ovalität (']0,1'])],MATCH(Tabelle1014[[#This Row],[Rank]],Stammdaten[Rank Verteilung Ovalität],0))</f>
        <v>#N/A</v>
      </c>
      <c r="AB3214" t="e">
        <f>VLOOKUP(Tabelle1014[[#This Row],[Rank]],Stammdaten[[Rank Verteilung Ovalität]:[Verteilung Ovalität]],2,FALSE)</f>
        <v>#N/A</v>
      </c>
    </row>
    <row r="3215" spans="5:28" x14ac:dyDescent="0.35">
      <c r="E3215">
        <v>3206</v>
      </c>
      <c r="F3215" t="e">
        <f>INDEX(Stammdaten[D Mitte mit Rinde (mm)],MATCH(Tabelle8[[#This Row],[Rank]],Stammdaten[Rank Verteilung D Mitte mit Rinde],0))</f>
        <v>#N/A</v>
      </c>
      <c r="G3215" t="e">
        <f>VLOOKUP(Tabelle8[[#This Row],[Rank]],Stammdaten[[Rank Verteilung D Mitte mit Rinde]:[Verteilung D Mitte mit Rinde]],2,FALSE)</f>
        <v>#N/A</v>
      </c>
      <c r="L3215">
        <v>3206</v>
      </c>
      <c r="M3215" t="e">
        <f>INDEX(Stammdaten[Abholzigkeit (mm/lfm)],MATCH(Tabelle9[[#This Row],[Rank]],Stammdaten[Rank Verteilung Abholzigkeit],0))</f>
        <v>#N/A</v>
      </c>
      <c r="N3215" t="e">
        <f>VLOOKUP(Tabelle9[[#This Row],[Rank]],Stammdaten[[Rank Verteilung Abholzigkeit]:[Verteilung Abholzigkeit]],2,FALSE)</f>
        <v>#N/A</v>
      </c>
      <c r="S3215">
        <v>3206</v>
      </c>
      <c r="T3215" t="e">
        <f>INDEX(Stammdaten[Krümmung (mm/lfm)],MATCH(Tabelle10[[#This Row],[Rank]],Stammdaten[Rank Verteilung Krümmung],0))</f>
        <v>#N/A</v>
      </c>
      <c r="U3215" t="e">
        <f>VLOOKUP(Tabelle10[[#This Row],[Rank]],Stammdaten[[Rank Verteilung Krümmung]:[Verteilung Krümmung]],2,FALSE)</f>
        <v>#N/A</v>
      </c>
      <c r="Z3215">
        <v>3206</v>
      </c>
      <c r="AA3215" t="e">
        <f>INDEX(Stammdaten[Ovalität (']0,1'])],MATCH(Tabelle1014[[#This Row],[Rank]],Stammdaten[Rank Verteilung Ovalität],0))</f>
        <v>#N/A</v>
      </c>
      <c r="AB3215" t="e">
        <f>VLOOKUP(Tabelle1014[[#This Row],[Rank]],Stammdaten[[Rank Verteilung Ovalität]:[Verteilung Ovalität]],2,FALSE)</f>
        <v>#N/A</v>
      </c>
    </row>
    <row r="3216" spans="5:28" x14ac:dyDescent="0.35">
      <c r="E3216">
        <v>3207</v>
      </c>
      <c r="F3216" t="e">
        <f>INDEX(Stammdaten[D Mitte mit Rinde (mm)],MATCH(Tabelle8[[#This Row],[Rank]],Stammdaten[Rank Verteilung D Mitte mit Rinde],0))</f>
        <v>#N/A</v>
      </c>
      <c r="G3216" t="e">
        <f>VLOOKUP(Tabelle8[[#This Row],[Rank]],Stammdaten[[Rank Verteilung D Mitte mit Rinde]:[Verteilung D Mitte mit Rinde]],2,FALSE)</f>
        <v>#N/A</v>
      </c>
      <c r="L3216">
        <v>3207</v>
      </c>
      <c r="M3216" t="e">
        <f>INDEX(Stammdaten[Abholzigkeit (mm/lfm)],MATCH(Tabelle9[[#This Row],[Rank]],Stammdaten[Rank Verteilung Abholzigkeit],0))</f>
        <v>#N/A</v>
      </c>
      <c r="N3216" t="e">
        <f>VLOOKUP(Tabelle9[[#This Row],[Rank]],Stammdaten[[Rank Verteilung Abholzigkeit]:[Verteilung Abholzigkeit]],2,FALSE)</f>
        <v>#N/A</v>
      </c>
      <c r="S3216">
        <v>3207</v>
      </c>
      <c r="T3216" t="e">
        <f>INDEX(Stammdaten[Krümmung (mm/lfm)],MATCH(Tabelle10[[#This Row],[Rank]],Stammdaten[Rank Verteilung Krümmung],0))</f>
        <v>#N/A</v>
      </c>
      <c r="U3216" t="e">
        <f>VLOOKUP(Tabelle10[[#This Row],[Rank]],Stammdaten[[Rank Verteilung Krümmung]:[Verteilung Krümmung]],2,FALSE)</f>
        <v>#N/A</v>
      </c>
      <c r="Z3216">
        <v>3207</v>
      </c>
      <c r="AA3216" t="e">
        <f>INDEX(Stammdaten[Ovalität (']0,1'])],MATCH(Tabelle1014[[#This Row],[Rank]],Stammdaten[Rank Verteilung Ovalität],0))</f>
        <v>#N/A</v>
      </c>
      <c r="AB3216" t="e">
        <f>VLOOKUP(Tabelle1014[[#This Row],[Rank]],Stammdaten[[Rank Verteilung Ovalität]:[Verteilung Ovalität]],2,FALSE)</f>
        <v>#N/A</v>
      </c>
    </row>
    <row r="3217" spans="5:28" x14ac:dyDescent="0.35">
      <c r="E3217">
        <v>3208</v>
      </c>
      <c r="F3217" t="e">
        <f>INDEX(Stammdaten[D Mitte mit Rinde (mm)],MATCH(Tabelle8[[#This Row],[Rank]],Stammdaten[Rank Verteilung D Mitte mit Rinde],0))</f>
        <v>#N/A</v>
      </c>
      <c r="G3217" t="e">
        <f>VLOOKUP(Tabelle8[[#This Row],[Rank]],Stammdaten[[Rank Verteilung D Mitte mit Rinde]:[Verteilung D Mitte mit Rinde]],2,FALSE)</f>
        <v>#N/A</v>
      </c>
      <c r="L3217">
        <v>3208</v>
      </c>
      <c r="M3217" t="e">
        <f>INDEX(Stammdaten[Abholzigkeit (mm/lfm)],MATCH(Tabelle9[[#This Row],[Rank]],Stammdaten[Rank Verteilung Abholzigkeit],0))</f>
        <v>#N/A</v>
      </c>
      <c r="N3217" t="e">
        <f>VLOOKUP(Tabelle9[[#This Row],[Rank]],Stammdaten[[Rank Verteilung Abholzigkeit]:[Verteilung Abholzigkeit]],2,FALSE)</f>
        <v>#N/A</v>
      </c>
      <c r="S3217">
        <v>3208</v>
      </c>
      <c r="T3217" t="e">
        <f>INDEX(Stammdaten[Krümmung (mm/lfm)],MATCH(Tabelle10[[#This Row],[Rank]],Stammdaten[Rank Verteilung Krümmung],0))</f>
        <v>#N/A</v>
      </c>
      <c r="U3217" t="e">
        <f>VLOOKUP(Tabelle10[[#This Row],[Rank]],Stammdaten[[Rank Verteilung Krümmung]:[Verteilung Krümmung]],2,FALSE)</f>
        <v>#N/A</v>
      </c>
      <c r="Z3217">
        <v>3208</v>
      </c>
      <c r="AA3217" t="e">
        <f>INDEX(Stammdaten[Ovalität (']0,1'])],MATCH(Tabelle1014[[#This Row],[Rank]],Stammdaten[Rank Verteilung Ovalität],0))</f>
        <v>#N/A</v>
      </c>
      <c r="AB3217" t="e">
        <f>VLOOKUP(Tabelle1014[[#This Row],[Rank]],Stammdaten[[Rank Verteilung Ovalität]:[Verteilung Ovalität]],2,FALSE)</f>
        <v>#N/A</v>
      </c>
    </row>
    <row r="3218" spans="5:28" x14ac:dyDescent="0.35">
      <c r="E3218">
        <v>3209</v>
      </c>
      <c r="F3218" t="e">
        <f>INDEX(Stammdaten[D Mitte mit Rinde (mm)],MATCH(Tabelle8[[#This Row],[Rank]],Stammdaten[Rank Verteilung D Mitte mit Rinde],0))</f>
        <v>#N/A</v>
      </c>
      <c r="G3218" t="e">
        <f>VLOOKUP(Tabelle8[[#This Row],[Rank]],Stammdaten[[Rank Verteilung D Mitte mit Rinde]:[Verteilung D Mitte mit Rinde]],2,FALSE)</f>
        <v>#N/A</v>
      </c>
      <c r="L3218">
        <v>3209</v>
      </c>
      <c r="M3218" t="e">
        <f>INDEX(Stammdaten[Abholzigkeit (mm/lfm)],MATCH(Tabelle9[[#This Row],[Rank]],Stammdaten[Rank Verteilung Abholzigkeit],0))</f>
        <v>#N/A</v>
      </c>
      <c r="N3218" t="e">
        <f>VLOOKUP(Tabelle9[[#This Row],[Rank]],Stammdaten[[Rank Verteilung Abholzigkeit]:[Verteilung Abholzigkeit]],2,FALSE)</f>
        <v>#N/A</v>
      </c>
      <c r="S3218">
        <v>3209</v>
      </c>
      <c r="T3218" t="e">
        <f>INDEX(Stammdaten[Krümmung (mm/lfm)],MATCH(Tabelle10[[#This Row],[Rank]],Stammdaten[Rank Verteilung Krümmung],0))</f>
        <v>#N/A</v>
      </c>
      <c r="U3218" t="e">
        <f>VLOOKUP(Tabelle10[[#This Row],[Rank]],Stammdaten[[Rank Verteilung Krümmung]:[Verteilung Krümmung]],2,FALSE)</f>
        <v>#N/A</v>
      </c>
      <c r="Z3218">
        <v>3209</v>
      </c>
      <c r="AA3218" t="e">
        <f>INDEX(Stammdaten[Ovalität (']0,1'])],MATCH(Tabelle1014[[#This Row],[Rank]],Stammdaten[Rank Verteilung Ovalität],0))</f>
        <v>#N/A</v>
      </c>
      <c r="AB3218" t="e">
        <f>VLOOKUP(Tabelle1014[[#This Row],[Rank]],Stammdaten[[Rank Verteilung Ovalität]:[Verteilung Ovalität]],2,FALSE)</f>
        <v>#N/A</v>
      </c>
    </row>
    <row r="3219" spans="5:28" x14ac:dyDescent="0.35">
      <c r="E3219">
        <v>3210</v>
      </c>
      <c r="F3219" t="e">
        <f>INDEX(Stammdaten[D Mitte mit Rinde (mm)],MATCH(Tabelle8[[#This Row],[Rank]],Stammdaten[Rank Verteilung D Mitte mit Rinde],0))</f>
        <v>#N/A</v>
      </c>
      <c r="G3219" t="e">
        <f>VLOOKUP(Tabelle8[[#This Row],[Rank]],Stammdaten[[Rank Verteilung D Mitte mit Rinde]:[Verteilung D Mitte mit Rinde]],2,FALSE)</f>
        <v>#N/A</v>
      </c>
      <c r="L3219">
        <v>3210</v>
      </c>
      <c r="M3219" t="e">
        <f>INDEX(Stammdaten[Abholzigkeit (mm/lfm)],MATCH(Tabelle9[[#This Row],[Rank]],Stammdaten[Rank Verteilung Abholzigkeit],0))</f>
        <v>#N/A</v>
      </c>
      <c r="N3219" t="e">
        <f>VLOOKUP(Tabelle9[[#This Row],[Rank]],Stammdaten[[Rank Verteilung Abholzigkeit]:[Verteilung Abholzigkeit]],2,FALSE)</f>
        <v>#N/A</v>
      </c>
      <c r="S3219">
        <v>3210</v>
      </c>
      <c r="T3219" t="e">
        <f>INDEX(Stammdaten[Krümmung (mm/lfm)],MATCH(Tabelle10[[#This Row],[Rank]],Stammdaten[Rank Verteilung Krümmung],0))</f>
        <v>#N/A</v>
      </c>
      <c r="U3219" t="e">
        <f>VLOOKUP(Tabelle10[[#This Row],[Rank]],Stammdaten[[Rank Verteilung Krümmung]:[Verteilung Krümmung]],2,FALSE)</f>
        <v>#N/A</v>
      </c>
      <c r="Z3219">
        <v>3210</v>
      </c>
      <c r="AA3219" t="e">
        <f>INDEX(Stammdaten[Ovalität (']0,1'])],MATCH(Tabelle1014[[#This Row],[Rank]],Stammdaten[Rank Verteilung Ovalität],0))</f>
        <v>#N/A</v>
      </c>
      <c r="AB3219" t="e">
        <f>VLOOKUP(Tabelle1014[[#This Row],[Rank]],Stammdaten[[Rank Verteilung Ovalität]:[Verteilung Ovalität]],2,FALSE)</f>
        <v>#N/A</v>
      </c>
    </row>
    <row r="3220" spans="5:28" x14ac:dyDescent="0.35">
      <c r="E3220">
        <v>3211</v>
      </c>
      <c r="F3220" t="e">
        <f>INDEX(Stammdaten[D Mitte mit Rinde (mm)],MATCH(Tabelle8[[#This Row],[Rank]],Stammdaten[Rank Verteilung D Mitte mit Rinde],0))</f>
        <v>#N/A</v>
      </c>
      <c r="G3220" t="e">
        <f>VLOOKUP(Tabelle8[[#This Row],[Rank]],Stammdaten[[Rank Verteilung D Mitte mit Rinde]:[Verteilung D Mitte mit Rinde]],2,FALSE)</f>
        <v>#N/A</v>
      </c>
      <c r="L3220">
        <v>3211</v>
      </c>
      <c r="M3220" t="e">
        <f>INDEX(Stammdaten[Abholzigkeit (mm/lfm)],MATCH(Tabelle9[[#This Row],[Rank]],Stammdaten[Rank Verteilung Abholzigkeit],0))</f>
        <v>#N/A</v>
      </c>
      <c r="N3220" t="e">
        <f>VLOOKUP(Tabelle9[[#This Row],[Rank]],Stammdaten[[Rank Verteilung Abholzigkeit]:[Verteilung Abholzigkeit]],2,FALSE)</f>
        <v>#N/A</v>
      </c>
      <c r="S3220">
        <v>3211</v>
      </c>
      <c r="T3220" t="e">
        <f>INDEX(Stammdaten[Krümmung (mm/lfm)],MATCH(Tabelle10[[#This Row],[Rank]],Stammdaten[Rank Verteilung Krümmung],0))</f>
        <v>#N/A</v>
      </c>
      <c r="U3220" t="e">
        <f>VLOOKUP(Tabelle10[[#This Row],[Rank]],Stammdaten[[Rank Verteilung Krümmung]:[Verteilung Krümmung]],2,FALSE)</f>
        <v>#N/A</v>
      </c>
      <c r="Z3220">
        <v>3211</v>
      </c>
      <c r="AA3220" t="e">
        <f>INDEX(Stammdaten[Ovalität (']0,1'])],MATCH(Tabelle1014[[#This Row],[Rank]],Stammdaten[Rank Verteilung Ovalität],0))</f>
        <v>#N/A</v>
      </c>
      <c r="AB3220" t="e">
        <f>VLOOKUP(Tabelle1014[[#This Row],[Rank]],Stammdaten[[Rank Verteilung Ovalität]:[Verteilung Ovalität]],2,FALSE)</f>
        <v>#N/A</v>
      </c>
    </row>
    <row r="3221" spans="5:28" x14ac:dyDescent="0.35">
      <c r="E3221">
        <v>3212</v>
      </c>
      <c r="F3221" t="e">
        <f>INDEX(Stammdaten[D Mitte mit Rinde (mm)],MATCH(Tabelle8[[#This Row],[Rank]],Stammdaten[Rank Verteilung D Mitte mit Rinde],0))</f>
        <v>#N/A</v>
      </c>
      <c r="G3221" t="e">
        <f>VLOOKUP(Tabelle8[[#This Row],[Rank]],Stammdaten[[Rank Verteilung D Mitte mit Rinde]:[Verteilung D Mitte mit Rinde]],2,FALSE)</f>
        <v>#N/A</v>
      </c>
      <c r="L3221">
        <v>3212</v>
      </c>
      <c r="M3221" t="e">
        <f>INDEX(Stammdaten[Abholzigkeit (mm/lfm)],MATCH(Tabelle9[[#This Row],[Rank]],Stammdaten[Rank Verteilung Abholzigkeit],0))</f>
        <v>#N/A</v>
      </c>
      <c r="N3221" t="e">
        <f>VLOOKUP(Tabelle9[[#This Row],[Rank]],Stammdaten[[Rank Verteilung Abholzigkeit]:[Verteilung Abholzigkeit]],2,FALSE)</f>
        <v>#N/A</v>
      </c>
      <c r="S3221">
        <v>3212</v>
      </c>
      <c r="T3221" t="e">
        <f>INDEX(Stammdaten[Krümmung (mm/lfm)],MATCH(Tabelle10[[#This Row],[Rank]],Stammdaten[Rank Verteilung Krümmung],0))</f>
        <v>#N/A</v>
      </c>
      <c r="U3221" t="e">
        <f>VLOOKUP(Tabelle10[[#This Row],[Rank]],Stammdaten[[Rank Verteilung Krümmung]:[Verteilung Krümmung]],2,FALSE)</f>
        <v>#N/A</v>
      </c>
      <c r="Z3221">
        <v>3212</v>
      </c>
      <c r="AA3221" t="e">
        <f>INDEX(Stammdaten[Ovalität (']0,1'])],MATCH(Tabelle1014[[#This Row],[Rank]],Stammdaten[Rank Verteilung Ovalität],0))</f>
        <v>#N/A</v>
      </c>
      <c r="AB3221" t="e">
        <f>VLOOKUP(Tabelle1014[[#This Row],[Rank]],Stammdaten[[Rank Verteilung Ovalität]:[Verteilung Ovalität]],2,FALSE)</f>
        <v>#N/A</v>
      </c>
    </row>
    <row r="3222" spans="5:28" x14ac:dyDescent="0.35">
      <c r="E3222">
        <v>3213</v>
      </c>
      <c r="F3222" t="e">
        <f>INDEX(Stammdaten[D Mitte mit Rinde (mm)],MATCH(Tabelle8[[#This Row],[Rank]],Stammdaten[Rank Verteilung D Mitte mit Rinde],0))</f>
        <v>#N/A</v>
      </c>
      <c r="G3222" t="e">
        <f>VLOOKUP(Tabelle8[[#This Row],[Rank]],Stammdaten[[Rank Verteilung D Mitte mit Rinde]:[Verteilung D Mitte mit Rinde]],2,FALSE)</f>
        <v>#N/A</v>
      </c>
      <c r="L3222">
        <v>3213</v>
      </c>
      <c r="M3222" t="e">
        <f>INDEX(Stammdaten[Abholzigkeit (mm/lfm)],MATCH(Tabelle9[[#This Row],[Rank]],Stammdaten[Rank Verteilung Abholzigkeit],0))</f>
        <v>#N/A</v>
      </c>
      <c r="N3222" t="e">
        <f>VLOOKUP(Tabelle9[[#This Row],[Rank]],Stammdaten[[Rank Verteilung Abholzigkeit]:[Verteilung Abholzigkeit]],2,FALSE)</f>
        <v>#N/A</v>
      </c>
      <c r="S3222">
        <v>3213</v>
      </c>
      <c r="T3222" t="e">
        <f>INDEX(Stammdaten[Krümmung (mm/lfm)],MATCH(Tabelle10[[#This Row],[Rank]],Stammdaten[Rank Verteilung Krümmung],0))</f>
        <v>#N/A</v>
      </c>
      <c r="U3222" t="e">
        <f>VLOOKUP(Tabelle10[[#This Row],[Rank]],Stammdaten[[Rank Verteilung Krümmung]:[Verteilung Krümmung]],2,FALSE)</f>
        <v>#N/A</v>
      </c>
      <c r="Z3222">
        <v>3213</v>
      </c>
      <c r="AA3222" t="e">
        <f>INDEX(Stammdaten[Ovalität (']0,1'])],MATCH(Tabelle1014[[#This Row],[Rank]],Stammdaten[Rank Verteilung Ovalität],0))</f>
        <v>#N/A</v>
      </c>
      <c r="AB3222" t="e">
        <f>VLOOKUP(Tabelle1014[[#This Row],[Rank]],Stammdaten[[Rank Verteilung Ovalität]:[Verteilung Ovalität]],2,FALSE)</f>
        <v>#N/A</v>
      </c>
    </row>
    <row r="3223" spans="5:28" x14ac:dyDescent="0.35">
      <c r="E3223">
        <v>3214</v>
      </c>
      <c r="F3223" t="e">
        <f>INDEX(Stammdaten[D Mitte mit Rinde (mm)],MATCH(Tabelle8[[#This Row],[Rank]],Stammdaten[Rank Verteilung D Mitte mit Rinde],0))</f>
        <v>#N/A</v>
      </c>
      <c r="G3223" t="e">
        <f>VLOOKUP(Tabelle8[[#This Row],[Rank]],Stammdaten[[Rank Verteilung D Mitte mit Rinde]:[Verteilung D Mitte mit Rinde]],2,FALSE)</f>
        <v>#N/A</v>
      </c>
      <c r="L3223">
        <v>3214</v>
      </c>
      <c r="M3223" t="e">
        <f>INDEX(Stammdaten[Abholzigkeit (mm/lfm)],MATCH(Tabelle9[[#This Row],[Rank]],Stammdaten[Rank Verteilung Abholzigkeit],0))</f>
        <v>#N/A</v>
      </c>
      <c r="N3223" t="e">
        <f>VLOOKUP(Tabelle9[[#This Row],[Rank]],Stammdaten[[Rank Verteilung Abholzigkeit]:[Verteilung Abholzigkeit]],2,FALSE)</f>
        <v>#N/A</v>
      </c>
      <c r="S3223">
        <v>3214</v>
      </c>
      <c r="T3223" t="e">
        <f>INDEX(Stammdaten[Krümmung (mm/lfm)],MATCH(Tabelle10[[#This Row],[Rank]],Stammdaten[Rank Verteilung Krümmung],0))</f>
        <v>#N/A</v>
      </c>
      <c r="U3223" t="e">
        <f>VLOOKUP(Tabelle10[[#This Row],[Rank]],Stammdaten[[Rank Verteilung Krümmung]:[Verteilung Krümmung]],2,FALSE)</f>
        <v>#N/A</v>
      </c>
      <c r="Z3223">
        <v>3214</v>
      </c>
      <c r="AA3223" t="e">
        <f>INDEX(Stammdaten[Ovalität (']0,1'])],MATCH(Tabelle1014[[#This Row],[Rank]],Stammdaten[Rank Verteilung Ovalität],0))</f>
        <v>#N/A</v>
      </c>
      <c r="AB3223" t="e">
        <f>VLOOKUP(Tabelle1014[[#This Row],[Rank]],Stammdaten[[Rank Verteilung Ovalität]:[Verteilung Ovalität]],2,FALSE)</f>
        <v>#N/A</v>
      </c>
    </row>
    <row r="3224" spans="5:28" x14ac:dyDescent="0.35">
      <c r="E3224">
        <v>3215</v>
      </c>
      <c r="F3224" t="e">
        <f>INDEX(Stammdaten[D Mitte mit Rinde (mm)],MATCH(Tabelle8[[#This Row],[Rank]],Stammdaten[Rank Verteilung D Mitte mit Rinde],0))</f>
        <v>#N/A</v>
      </c>
      <c r="G3224" t="e">
        <f>VLOOKUP(Tabelle8[[#This Row],[Rank]],Stammdaten[[Rank Verteilung D Mitte mit Rinde]:[Verteilung D Mitte mit Rinde]],2,FALSE)</f>
        <v>#N/A</v>
      </c>
      <c r="L3224">
        <v>3215</v>
      </c>
      <c r="M3224" t="e">
        <f>INDEX(Stammdaten[Abholzigkeit (mm/lfm)],MATCH(Tabelle9[[#This Row],[Rank]],Stammdaten[Rank Verteilung Abholzigkeit],0))</f>
        <v>#N/A</v>
      </c>
      <c r="N3224" t="e">
        <f>VLOOKUP(Tabelle9[[#This Row],[Rank]],Stammdaten[[Rank Verteilung Abholzigkeit]:[Verteilung Abholzigkeit]],2,FALSE)</f>
        <v>#N/A</v>
      </c>
      <c r="S3224">
        <v>3215</v>
      </c>
      <c r="T3224" t="e">
        <f>INDEX(Stammdaten[Krümmung (mm/lfm)],MATCH(Tabelle10[[#This Row],[Rank]],Stammdaten[Rank Verteilung Krümmung],0))</f>
        <v>#N/A</v>
      </c>
      <c r="U3224" t="e">
        <f>VLOOKUP(Tabelle10[[#This Row],[Rank]],Stammdaten[[Rank Verteilung Krümmung]:[Verteilung Krümmung]],2,FALSE)</f>
        <v>#N/A</v>
      </c>
      <c r="Z3224">
        <v>3215</v>
      </c>
      <c r="AA3224" t="e">
        <f>INDEX(Stammdaten[Ovalität (']0,1'])],MATCH(Tabelle1014[[#This Row],[Rank]],Stammdaten[Rank Verteilung Ovalität],0))</f>
        <v>#N/A</v>
      </c>
      <c r="AB3224" t="e">
        <f>VLOOKUP(Tabelle1014[[#This Row],[Rank]],Stammdaten[[Rank Verteilung Ovalität]:[Verteilung Ovalität]],2,FALSE)</f>
        <v>#N/A</v>
      </c>
    </row>
    <row r="3225" spans="5:28" x14ac:dyDescent="0.35">
      <c r="E3225">
        <v>3216</v>
      </c>
      <c r="F3225" t="e">
        <f>INDEX(Stammdaten[D Mitte mit Rinde (mm)],MATCH(Tabelle8[[#This Row],[Rank]],Stammdaten[Rank Verteilung D Mitte mit Rinde],0))</f>
        <v>#N/A</v>
      </c>
      <c r="G3225" t="e">
        <f>VLOOKUP(Tabelle8[[#This Row],[Rank]],Stammdaten[[Rank Verteilung D Mitte mit Rinde]:[Verteilung D Mitte mit Rinde]],2,FALSE)</f>
        <v>#N/A</v>
      </c>
      <c r="L3225">
        <v>3216</v>
      </c>
      <c r="M3225" t="e">
        <f>INDEX(Stammdaten[Abholzigkeit (mm/lfm)],MATCH(Tabelle9[[#This Row],[Rank]],Stammdaten[Rank Verteilung Abholzigkeit],0))</f>
        <v>#N/A</v>
      </c>
      <c r="N3225" t="e">
        <f>VLOOKUP(Tabelle9[[#This Row],[Rank]],Stammdaten[[Rank Verteilung Abholzigkeit]:[Verteilung Abholzigkeit]],2,FALSE)</f>
        <v>#N/A</v>
      </c>
      <c r="S3225">
        <v>3216</v>
      </c>
      <c r="T3225" t="e">
        <f>INDEX(Stammdaten[Krümmung (mm/lfm)],MATCH(Tabelle10[[#This Row],[Rank]],Stammdaten[Rank Verteilung Krümmung],0))</f>
        <v>#N/A</v>
      </c>
      <c r="U3225" t="e">
        <f>VLOOKUP(Tabelle10[[#This Row],[Rank]],Stammdaten[[Rank Verteilung Krümmung]:[Verteilung Krümmung]],2,FALSE)</f>
        <v>#N/A</v>
      </c>
      <c r="Z3225">
        <v>3216</v>
      </c>
      <c r="AA3225" t="e">
        <f>INDEX(Stammdaten[Ovalität (']0,1'])],MATCH(Tabelle1014[[#This Row],[Rank]],Stammdaten[Rank Verteilung Ovalität],0))</f>
        <v>#N/A</v>
      </c>
      <c r="AB3225" t="e">
        <f>VLOOKUP(Tabelle1014[[#This Row],[Rank]],Stammdaten[[Rank Verteilung Ovalität]:[Verteilung Ovalität]],2,FALSE)</f>
        <v>#N/A</v>
      </c>
    </row>
    <row r="3226" spans="5:28" x14ac:dyDescent="0.35">
      <c r="E3226">
        <v>3217</v>
      </c>
      <c r="F3226" t="e">
        <f>INDEX(Stammdaten[D Mitte mit Rinde (mm)],MATCH(Tabelle8[[#This Row],[Rank]],Stammdaten[Rank Verteilung D Mitte mit Rinde],0))</f>
        <v>#N/A</v>
      </c>
      <c r="G3226" t="e">
        <f>VLOOKUP(Tabelle8[[#This Row],[Rank]],Stammdaten[[Rank Verteilung D Mitte mit Rinde]:[Verteilung D Mitte mit Rinde]],2,FALSE)</f>
        <v>#N/A</v>
      </c>
      <c r="L3226">
        <v>3217</v>
      </c>
      <c r="M3226" t="e">
        <f>INDEX(Stammdaten[Abholzigkeit (mm/lfm)],MATCH(Tabelle9[[#This Row],[Rank]],Stammdaten[Rank Verteilung Abholzigkeit],0))</f>
        <v>#N/A</v>
      </c>
      <c r="N3226" t="e">
        <f>VLOOKUP(Tabelle9[[#This Row],[Rank]],Stammdaten[[Rank Verteilung Abholzigkeit]:[Verteilung Abholzigkeit]],2,FALSE)</f>
        <v>#N/A</v>
      </c>
      <c r="S3226">
        <v>3217</v>
      </c>
      <c r="T3226" t="e">
        <f>INDEX(Stammdaten[Krümmung (mm/lfm)],MATCH(Tabelle10[[#This Row],[Rank]],Stammdaten[Rank Verteilung Krümmung],0))</f>
        <v>#N/A</v>
      </c>
      <c r="U3226" t="e">
        <f>VLOOKUP(Tabelle10[[#This Row],[Rank]],Stammdaten[[Rank Verteilung Krümmung]:[Verteilung Krümmung]],2,FALSE)</f>
        <v>#N/A</v>
      </c>
      <c r="Z3226">
        <v>3217</v>
      </c>
      <c r="AA3226" t="e">
        <f>INDEX(Stammdaten[Ovalität (']0,1'])],MATCH(Tabelle1014[[#This Row],[Rank]],Stammdaten[Rank Verteilung Ovalität],0))</f>
        <v>#N/A</v>
      </c>
      <c r="AB3226" t="e">
        <f>VLOOKUP(Tabelle1014[[#This Row],[Rank]],Stammdaten[[Rank Verteilung Ovalität]:[Verteilung Ovalität]],2,FALSE)</f>
        <v>#N/A</v>
      </c>
    </row>
    <row r="3227" spans="5:28" x14ac:dyDescent="0.35">
      <c r="E3227">
        <v>3218</v>
      </c>
      <c r="F3227" t="e">
        <f>INDEX(Stammdaten[D Mitte mit Rinde (mm)],MATCH(Tabelle8[[#This Row],[Rank]],Stammdaten[Rank Verteilung D Mitte mit Rinde],0))</f>
        <v>#N/A</v>
      </c>
      <c r="G3227" t="e">
        <f>VLOOKUP(Tabelle8[[#This Row],[Rank]],Stammdaten[[Rank Verteilung D Mitte mit Rinde]:[Verteilung D Mitte mit Rinde]],2,FALSE)</f>
        <v>#N/A</v>
      </c>
      <c r="L3227">
        <v>3218</v>
      </c>
      <c r="M3227" t="e">
        <f>INDEX(Stammdaten[Abholzigkeit (mm/lfm)],MATCH(Tabelle9[[#This Row],[Rank]],Stammdaten[Rank Verteilung Abholzigkeit],0))</f>
        <v>#N/A</v>
      </c>
      <c r="N3227" t="e">
        <f>VLOOKUP(Tabelle9[[#This Row],[Rank]],Stammdaten[[Rank Verteilung Abholzigkeit]:[Verteilung Abholzigkeit]],2,FALSE)</f>
        <v>#N/A</v>
      </c>
      <c r="S3227">
        <v>3218</v>
      </c>
      <c r="T3227" t="e">
        <f>INDEX(Stammdaten[Krümmung (mm/lfm)],MATCH(Tabelle10[[#This Row],[Rank]],Stammdaten[Rank Verteilung Krümmung],0))</f>
        <v>#N/A</v>
      </c>
      <c r="U3227" t="e">
        <f>VLOOKUP(Tabelle10[[#This Row],[Rank]],Stammdaten[[Rank Verteilung Krümmung]:[Verteilung Krümmung]],2,FALSE)</f>
        <v>#N/A</v>
      </c>
      <c r="Z3227">
        <v>3218</v>
      </c>
      <c r="AA3227" t="e">
        <f>INDEX(Stammdaten[Ovalität (']0,1'])],MATCH(Tabelle1014[[#This Row],[Rank]],Stammdaten[Rank Verteilung Ovalität],0))</f>
        <v>#N/A</v>
      </c>
      <c r="AB3227" t="e">
        <f>VLOOKUP(Tabelle1014[[#This Row],[Rank]],Stammdaten[[Rank Verteilung Ovalität]:[Verteilung Ovalität]],2,FALSE)</f>
        <v>#N/A</v>
      </c>
    </row>
    <row r="3228" spans="5:28" x14ac:dyDescent="0.35">
      <c r="E3228">
        <v>3219</v>
      </c>
      <c r="F3228" t="e">
        <f>INDEX(Stammdaten[D Mitte mit Rinde (mm)],MATCH(Tabelle8[[#This Row],[Rank]],Stammdaten[Rank Verteilung D Mitte mit Rinde],0))</f>
        <v>#N/A</v>
      </c>
      <c r="G3228" t="e">
        <f>VLOOKUP(Tabelle8[[#This Row],[Rank]],Stammdaten[[Rank Verteilung D Mitte mit Rinde]:[Verteilung D Mitte mit Rinde]],2,FALSE)</f>
        <v>#N/A</v>
      </c>
      <c r="L3228">
        <v>3219</v>
      </c>
      <c r="M3228" t="e">
        <f>INDEX(Stammdaten[Abholzigkeit (mm/lfm)],MATCH(Tabelle9[[#This Row],[Rank]],Stammdaten[Rank Verteilung Abholzigkeit],0))</f>
        <v>#N/A</v>
      </c>
      <c r="N3228" t="e">
        <f>VLOOKUP(Tabelle9[[#This Row],[Rank]],Stammdaten[[Rank Verteilung Abholzigkeit]:[Verteilung Abholzigkeit]],2,FALSE)</f>
        <v>#N/A</v>
      </c>
      <c r="S3228">
        <v>3219</v>
      </c>
      <c r="T3228" t="e">
        <f>INDEX(Stammdaten[Krümmung (mm/lfm)],MATCH(Tabelle10[[#This Row],[Rank]],Stammdaten[Rank Verteilung Krümmung],0))</f>
        <v>#N/A</v>
      </c>
      <c r="U3228" t="e">
        <f>VLOOKUP(Tabelle10[[#This Row],[Rank]],Stammdaten[[Rank Verteilung Krümmung]:[Verteilung Krümmung]],2,FALSE)</f>
        <v>#N/A</v>
      </c>
      <c r="Z3228">
        <v>3219</v>
      </c>
      <c r="AA3228" t="e">
        <f>INDEX(Stammdaten[Ovalität (']0,1'])],MATCH(Tabelle1014[[#This Row],[Rank]],Stammdaten[Rank Verteilung Ovalität],0))</f>
        <v>#N/A</v>
      </c>
      <c r="AB3228" t="e">
        <f>VLOOKUP(Tabelle1014[[#This Row],[Rank]],Stammdaten[[Rank Verteilung Ovalität]:[Verteilung Ovalität]],2,FALSE)</f>
        <v>#N/A</v>
      </c>
    </row>
    <row r="3229" spans="5:28" x14ac:dyDescent="0.35">
      <c r="E3229">
        <v>3220</v>
      </c>
      <c r="F3229" t="e">
        <f>INDEX(Stammdaten[D Mitte mit Rinde (mm)],MATCH(Tabelle8[[#This Row],[Rank]],Stammdaten[Rank Verteilung D Mitte mit Rinde],0))</f>
        <v>#N/A</v>
      </c>
      <c r="G3229" t="e">
        <f>VLOOKUP(Tabelle8[[#This Row],[Rank]],Stammdaten[[Rank Verteilung D Mitte mit Rinde]:[Verteilung D Mitte mit Rinde]],2,FALSE)</f>
        <v>#N/A</v>
      </c>
      <c r="L3229">
        <v>3220</v>
      </c>
      <c r="M3229" t="e">
        <f>INDEX(Stammdaten[Abholzigkeit (mm/lfm)],MATCH(Tabelle9[[#This Row],[Rank]],Stammdaten[Rank Verteilung Abholzigkeit],0))</f>
        <v>#N/A</v>
      </c>
      <c r="N3229" t="e">
        <f>VLOOKUP(Tabelle9[[#This Row],[Rank]],Stammdaten[[Rank Verteilung Abholzigkeit]:[Verteilung Abholzigkeit]],2,FALSE)</f>
        <v>#N/A</v>
      </c>
      <c r="S3229">
        <v>3220</v>
      </c>
      <c r="T3229" t="e">
        <f>INDEX(Stammdaten[Krümmung (mm/lfm)],MATCH(Tabelle10[[#This Row],[Rank]],Stammdaten[Rank Verteilung Krümmung],0))</f>
        <v>#N/A</v>
      </c>
      <c r="U3229" t="e">
        <f>VLOOKUP(Tabelle10[[#This Row],[Rank]],Stammdaten[[Rank Verteilung Krümmung]:[Verteilung Krümmung]],2,FALSE)</f>
        <v>#N/A</v>
      </c>
      <c r="Z3229">
        <v>3220</v>
      </c>
      <c r="AA3229" t="e">
        <f>INDEX(Stammdaten[Ovalität (']0,1'])],MATCH(Tabelle1014[[#This Row],[Rank]],Stammdaten[Rank Verteilung Ovalität],0))</f>
        <v>#N/A</v>
      </c>
      <c r="AB3229" t="e">
        <f>VLOOKUP(Tabelle1014[[#This Row],[Rank]],Stammdaten[[Rank Verteilung Ovalität]:[Verteilung Ovalität]],2,FALSE)</f>
        <v>#N/A</v>
      </c>
    </row>
    <row r="3230" spans="5:28" x14ac:dyDescent="0.35">
      <c r="E3230">
        <v>3221</v>
      </c>
      <c r="F3230" t="e">
        <f>INDEX(Stammdaten[D Mitte mit Rinde (mm)],MATCH(Tabelle8[[#This Row],[Rank]],Stammdaten[Rank Verteilung D Mitte mit Rinde],0))</f>
        <v>#N/A</v>
      </c>
      <c r="G3230" t="e">
        <f>VLOOKUP(Tabelle8[[#This Row],[Rank]],Stammdaten[[Rank Verteilung D Mitte mit Rinde]:[Verteilung D Mitte mit Rinde]],2,FALSE)</f>
        <v>#N/A</v>
      </c>
      <c r="L3230">
        <v>3221</v>
      </c>
      <c r="M3230" t="e">
        <f>INDEX(Stammdaten[Abholzigkeit (mm/lfm)],MATCH(Tabelle9[[#This Row],[Rank]],Stammdaten[Rank Verteilung Abholzigkeit],0))</f>
        <v>#N/A</v>
      </c>
      <c r="N3230" t="e">
        <f>VLOOKUP(Tabelle9[[#This Row],[Rank]],Stammdaten[[Rank Verteilung Abholzigkeit]:[Verteilung Abholzigkeit]],2,FALSE)</f>
        <v>#N/A</v>
      </c>
      <c r="S3230">
        <v>3221</v>
      </c>
      <c r="T3230" t="e">
        <f>INDEX(Stammdaten[Krümmung (mm/lfm)],MATCH(Tabelle10[[#This Row],[Rank]],Stammdaten[Rank Verteilung Krümmung],0))</f>
        <v>#N/A</v>
      </c>
      <c r="U3230" t="e">
        <f>VLOOKUP(Tabelle10[[#This Row],[Rank]],Stammdaten[[Rank Verteilung Krümmung]:[Verteilung Krümmung]],2,FALSE)</f>
        <v>#N/A</v>
      </c>
      <c r="Z3230">
        <v>3221</v>
      </c>
      <c r="AA3230" t="e">
        <f>INDEX(Stammdaten[Ovalität (']0,1'])],MATCH(Tabelle1014[[#This Row],[Rank]],Stammdaten[Rank Verteilung Ovalität],0))</f>
        <v>#N/A</v>
      </c>
      <c r="AB3230" t="e">
        <f>VLOOKUP(Tabelle1014[[#This Row],[Rank]],Stammdaten[[Rank Verteilung Ovalität]:[Verteilung Ovalität]],2,FALSE)</f>
        <v>#N/A</v>
      </c>
    </row>
    <row r="3231" spans="5:28" x14ac:dyDescent="0.35">
      <c r="E3231">
        <v>3222</v>
      </c>
      <c r="F3231" t="e">
        <f>INDEX(Stammdaten[D Mitte mit Rinde (mm)],MATCH(Tabelle8[[#This Row],[Rank]],Stammdaten[Rank Verteilung D Mitte mit Rinde],0))</f>
        <v>#N/A</v>
      </c>
      <c r="G3231" t="e">
        <f>VLOOKUP(Tabelle8[[#This Row],[Rank]],Stammdaten[[Rank Verteilung D Mitte mit Rinde]:[Verteilung D Mitte mit Rinde]],2,FALSE)</f>
        <v>#N/A</v>
      </c>
      <c r="L3231">
        <v>3222</v>
      </c>
      <c r="M3231" t="e">
        <f>INDEX(Stammdaten[Abholzigkeit (mm/lfm)],MATCH(Tabelle9[[#This Row],[Rank]],Stammdaten[Rank Verteilung Abholzigkeit],0))</f>
        <v>#N/A</v>
      </c>
      <c r="N3231" t="e">
        <f>VLOOKUP(Tabelle9[[#This Row],[Rank]],Stammdaten[[Rank Verteilung Abholzigkeit]:[Verteilung Abholzigkeit]],2,FALSE)</f>
        <v>#N/A</v>
      </c>
      <c r="S3231">
        <v>3222</v>
      </c>
      <c r="T3231" t="e">
        <f>INDEX(Stammdaten[Krümmung (mm/lfm)],MATCH(Tabelle10[[#This Row],[Rank]],Stammdaten[Rank Verteilung Krümmung],0))</f>
        <v>#N/A</v>
      </c>
      <c r="U3231" t="e">
        <f>VLOOKUP(Tabelle10[[#This Row],[Rank]],Stammdaten[[Rank Verteilung Krümmung]:[Verteilung Krümmung]],2,FALSE)</f>
        <v>#N/A</v>
      </c>
      <c r="Z3231">
        <v>3222</v>
      </c>
      <c r="AA3231" t="e">
        <f>INDEX(Stammdaten[Ovalität (']0,1'])],MATCH(Tabelle1014[[#This Row],[Rank]],Stammdaten[Rank Verteilung Ovalität],0))</f>
        <v>#N/A</v>
      </c>
      <c r="AB3231" t="e">
        <f>VLOOKUP(Tabelle1014[[#This Row],[Rank]],Stammdaten[[Rank Verteilung Ovalität]:[Verteilung Ovalität]],2,FALSE)</f>
        <v>#N/A</v>
      </c>
    </row>
    <row r="3232" spans="5:28" x14ac:dyDescent="0.35">
      <c r="E3232">
        <v>3223</v>
      </c>
      <c r="F3232" t="e">
        <f>INDEX(Stammdaten[D Mitte mit Rinde (mm)],MATCH(Tabelle8[[#This Row],[Rank]],Stammdaten[Rank Verteilung D Mitte mit Rinde],0))</f>
        <v>#N/A</v>
      </c>
      <c r="G3232" t="e">
        <f>VLOOKUP(Tabelle8[[#This Row],[Rank]],Stammdaten[[Rank Verteilung D Mitte mit Rinde]:[Verteilung D Mitte mit Rinde]],2,FALSE)</f>
        <v>#N/A</v>
      </c>
      <c r="L3232">
        <v>3223</v>
      </c>
      <c r="M3232" t="e">
        <f>INDEX(Stammdaten[Abholzigkeit (mm/lfm)],MATCH(Tabelle9[[#This Row],[Rank]],Stammdaten[Rank Verteilung Abholzigkeit],0))</f>
        <v>#N/A</v>
      </c>
      <c r="N3232" t="e">
        <f>VLOOKUP(Tabelle9[[#This Row],[Rank]],Stammdaten[[Rank Verteilung Abholzigkeit]:[Verteilung Abholzigkeit]],2,FALSE)</f>
        <v>#N/A</v>
      </c>
      <c r="S3232">
        <v>3223</v>
      </c>
      <c r="T3232" t="e">
        <f>INDEX(Stammdaten[Krümmung (mm/lfm)],MATCH(Tabelle10[[#This Row],[Rank]],Stammdaten[Rank Verteilung Krümmung],0))</f>
        <v>#N/A</v>
      </c>
      <c r="U3232" t="e">
        <f>VLOOKUP(Tabelle10[[#This Row],[Rank]],Stammdaten[[Rank Verteilung Krümmung]:[Verteilung Krümmung]],2,FALSE)</f>
        <v>#N/A</v>
      </c>
      <c r="Z3232">
        <v>3223</v>
      </c>
      <c r="AA3232" t="e">
        <f>INDEX(Stammdaten[Ovalität (']0,1'])],MATCH(Tabelle1014[[#This Row],[Rank]],Stammdaten[Rank Verteilung Ovalität],0))</f>
        <v>#N/A</v>
      </c>
      <c r="AB3232" t="e">
        <f>VLOOKUP(Tabelle1014[[#This Row],[Rank]],Stammdaten[[Rank Verteilung Ovalität]:[Verteilung Ovalität]],2,FALSE)</f>
        <v>#N/A</v>
      </c>
    </row>
    <row r="3233" spans="5:28" x14ac:dyDescent="0.35">
      <c r="E3233">
        <v>3224</v>
      </c>
      <c r="F3233" t="e">
        <f>INDEX(Stammdaten[D Mitte mit Rinde (mm)],MATCH(Tabelle8[[#This Row],[Rank]],Stammdaten[Rank Verteilung D Mitte mit Rinde],0))</f>
        <v>#N/A</v>
      </c>
      <c r="G3233" t="e">
        <f>VLOOKUP(Tabelle8[[#This Row],[Rank]],Stammdaten[[Rank Verteilung D Mitte mit Rinde]:[Verteilung D Mitte mit Rinde]],2,FALSE)</f>
        <v>#N/A</v>
      </c>
      <c r="L3233">
        <v>3224</v>
      </c>
      <c r="M3233" t="e">
        <f>INDEX(Stammdaten[Abholzigkeit (mm/lfm)],MATCH(Tabelle9[[#This Row],[Rank]],Stammdaten[Rank Verteilung Abholzigkeit],0))</f>
        <v>#N/A</v>
      </c>
      <c r="N3233" t="e">
        <f>VLOOKUP(Tabelle9[[#This Row],[Rank]],Stammdaten[[Rank Verteilung Abholzigkeit]:[Verteilung Abholzigkeit]],2,FALSE)</f>
        <v>#N/A</v>
      </c>
      <c r="S3233">
        <v>3224</v>
      </c>
      <c r="T3233" t="e">
        <f>INDEX(Stammdaten[Krümmung (mm/lfm)],MATCH(Tabelle10[[#This Row],[Rank]],Stammdaten[Rank Verteilung Krümmung],0))</f>
        <v>#N/A</v>
      </c>
      <c r="U3233" t="e">
        <f>VLOOKUP(Tabelle10[[#This Row],[Rank]],Stammdaten[[Rank Verteilung Krümmung]:[Verteilung Krümmung]],2,FALSE)</f>
        <v>#N/A</v>
      </c>
      <c r="Z3233">
        <v>3224</v>
      </c>
      <c r="AA3233" t="e">
        <f>INDEX(Stammdaten[Ovalität (']0,1'])],MATCH(Tabelle1014[[#This Row],[Rank]],Stammdaten[Rank Verteilung Ovalität],0))</f>
        <v>#N/A</v>
      </c>
      <c r="AB3233" t="e">
        <f>VLOOKUP(Tabelle1014[[#This Row],[Rank]],Stammdaten[[Rank Verteilung Ovalität]:[Verteilung Ovalität]],2,FALSE)</f>
        <v>#N/A</v>
      </c>
    </row>
    <row r="3234" spans="5:28" x14ac:dyDescent="0.35">
      <c r="E3234">
        <v>3225</v>
      </c>
      <c r="F3234" t="e">
        <f>INDEX(Stammdaten[D Mitte mit Rinde (mm)],MATCH(Tabelle8[[#This Row],[Rank]],Stammdaten[Rank Verteilung D Mitte mit Rinde],0))</f>
        <v>#N/A</v>
      </c>
      <c r="G3234" t="e">
        <f>VLOOKUP(Tabelle8[[#This Row],[Rank]],Stammdaten[[Rank Verteilung D Mitte mit Rinde]:[Verteilung D Mitte mit Rinde]],2,FALSE)</f>
        <v>#N/A</v>
      </c>
      <c r="L3234">
        <v>3225</v>
      </c>
      <c r="M3234" t="e">
        <f>INDEX(Stammdaten[Abholzigkeit (mm/lfm)],MATCH(Tabelle9[[#This Row],[Rank]],Stammdaten[Rank Verteilung Abholzigkeit],0))</f>
        <v>#N/A</v>
      </c>
      <c r="N3234" t="e">
        <f>VLOOKUP(Tabelle9[[#This Row],[Rank]],Stammdaten[[Rank Verteilung Abholzigkeit]:[Verteilung Abholzigkeit]],2,FALSE)</f>
        <v>#N/A</v>
      </c>
      <c r="S3234">
        <v>3225</v>
      </c>
      <c r="T3234" t="e">
        <f>INDEX(Stammdaten[Krümmung (mm/lfm)],MATCH(Tabelle10[[#This Row],[Rank]],Stammdaten[Rank Verteilung Krümmung],0))</f>
        <v>#N/A</v>
      </c>
      <c r="U3234" t="e">
        <f>VLOOKUP(Tabelle10[[#This Row],[Rank]],Stammdaten[[Rank Verteilung Krümmung]:[Verteilung Krümmung]],2,FALSE)</f>
        <v>#N/A</v>
      </c>
      <c r="Z3234">
        <v>3225</v>
      </c>
      <c r="AA3234" t="e">
        <f>INDEX(Stammdaten[Ovalität (']0,1'])],MATCH(Tabelle1014[[#This Row],[Rank]],Stammdaten[Rank Verteilung Ovalität],0))</f>
        <v>#N/A</v>
      </c>
      <c r="AB3234" t="e">
        <f>VLOOKUP(Tabelle1014[[#This Row],[Rank]],Stammdaten[[Rank Verteilung Ovalität]:[Verteilung Ovalität]],2,FALSE)</f>
        <v>#N/A</v>
      </c>
    </row>
    <row r="3235" spans="5:28" x14ac:dyDescent="0.35">
      <c r="E3235">
        <v>3226</v>
      </c>
      <c r="F3235" t="e">
        <f>INDEX(Stammdaten[D Mitte mit Rinde (mm)],MATCH(Tabelle8[[#This Row],[Rank]],Stammdaten[Rank Verteilung D Mitte mit Rinde],0))</f>
        <v>#N/A</v>
      </c>
      <c r="G3235" t="e">
        <f>VLOOKUP(Tabelle8[[#This Row],[Rank]],Stammdaten[[Rank Verteilung D Mitte mit Rinde]:[Verteilung D Mitte mit Rinde]],2,FALSE)</f>
        <v>#N/A</v>
      </c>
      <c r="L3235">
        <v>3226</v>
      </c>
      <c r="M3235" t="e">
        <f>INDEX(Stammdaten[Abholzigkeit (mm/lfm)],MATCH(Tabelle9[[#This Row],[Rank]],Stammdaten[Rank Verteilung Abholzigkeit],0))</f>
        <v>#N/A</v>
      </c>
      <c r="N3235" t="e">
        <f>VLOOKUP(Tabelle9[[#This Row],[Rank]],Stammdaten[[Rank Verteilung Abholzigkeit]:[Verteilung Abholzigkeit]],2,FALSE)</f>
        <v>#N/A</v>
      </c>
      <c r="S3235">
        <v>3226</v>
      </c>
      <c r="T3235" t="e">
        <f>INDEX(Stammdaten[Krümmung (mm/lfm)],MATCH(Tabelle10[[#This Row],[Rank]],Stammdaten[Rank Verteilung Krümmung],0))</f>
        <v>#N/A</v>
      </c>
      <c r="U3235" t="e">
        <f>VLOOKUP(Tabelle10[[#This Row],[Rank]],Stammdaten[[Rank Verteilung Krümmung]:[Verteilung Krümmung]],2,FALSE)</f>
        <v>#N/A</v>
      </c>
      <c r="Z3235">
        <v>3226</v>
      </c>
      <c r="AA3235" t="e">
        <f>INDEX(Stammdaten[Ovalität (']0,1'])],MATCH(Tabelle1014[[#This Row],[Rank]],Stammdaten[Rank Verteilung Ovalität],0))</f>
        <v>#N/A</v>
      </c>
      <c r="AB3235" t="e">
        <f>VLOOKUP(Tabelle1014[[#This Row],[Rank]],Stammdaten[[Rank Verteilung Ovalität]:[Verteilung Ovalität]],2,FALSE)</f>
        <v>#N/A</v>
      </c>
    </row>
    <row r="3236" spans="5:28" x14ac:dyDescent="0.35">
      <c r="E3236">
        <v>3227</v>
      </c>
      <c r="F3236" t="e">
        <f>INDEX(Stammdaten[D Mitte mit Rinde (mm)],MATCH(Tabelle8[[#This Row],[Rank]],Stammdaten[Rank Verteilung D Mitte mit Rinde],0))</f>
        <v>#N/A</v>
      </c>
      <c r="G3236" t="e">
        <f>VLOOKUP(Tabelle8[[#This Row],[Rank]],Stammdaten[[Rank Verteilung D Mitte mit Rinde]:[Verteilung D Mitte mit Rinde]],2,FALSE)</f>
        <v>#N/A</v>
      </c>
      <c r="L3236">
        <v>3227</v>
      </c>
      <c r="M3236" t="e">
        <f>INDEX(Stammdaten[Abholzigkeit (mm/lfm)],MATCH(Tabelle9[[#This Row],[Rank]],Stammdaten[Rank Verteilung Abholzigkeit],0))</f>
        <v>#N/A</v>
      </c>
      <c r="N3236" t="e">
        <f>VLOOKUP(Tabelle9[[#This Row],[Rank]],Stammdaten[[Rank Verteilung Abholzigkeit]:[Verteilung Abholzigkeit]],2,FALSE)</f>
        <v>#N/A</v>
      </c>
      <c r="S3236">
        <v>3227</v>
      </c>
      <c r="T3236" t="e">
        <f>INDEX(Stammdaten[Krümmung (mm/lfm)],MATCH(Tabelle10[[#This Row],[Rank]],Stammdaten[Rank Verteilung Krümmung],0))</f>
        <v>#N/A</v>
      </c>
      <c r="U3236" t="e">
        <f>VLOOKUP(Tabelle10[[#This Row],[Rank]],Stammdaten[[Rank Verteilung Krümmung]:[Verteilung Krümmung]],2,FALSE)</f>
        <v>#N/A</v>
      </c>
      <c r="Z3236">
        <v>3227</v>
      </c>
      <c r="AA3236" t="e">
        <f>INDEX(Stammdaten[Ovalität (']0,1'])],MATCH(Tabelle1014[[#This Row],[Rank]],Stammdaten[Rank Verteilung Ovalität],0))</f>
        <v>#N/A</v>
      </c>
      <c r="AB3236" t="e">
        <f>VLOOKUP(Tabelle1014[[#This Row],[Rank]],Stammdaten[[Rank Verteilung Ovalität]:[Verteilung Ovalität]],2,FALSE)</f>
        <v>#N/A</v>
      </c>
    </row>
    <row r="3237" spans="5:28" x14ac:dyDescent="0.35">
      <c r="E3237">
        <v>3228</v>
      </c>
      <c r="F3237" t="e">
        <f>INDEX(Stammdaten[D Mitte mit Rinde (mm)],MATCH(Tabelle8[[#This Row],[Rank]],Stammdaten[Rank Verteilung D Mitte mit Rinde],0))</f>
        <v>#N/A</v>
      </c>
      <c r="G3237" t="e">
        <f>VLOOKUP(Tabelle8[[#This Row],[Rank]],Stammdaten[[Rank Verteilung D Mitte mit Rinde]:[Verteilung D Mitte mit Rinde]],2,FALSE)</f>
        <v>#N/A</v>
      </c>
      <c r="L3237">
        <v>3228</v>
      </c>
      <c r="M3237" t="e">
        <f>INDEX(Stammdaten[Abholzigkeit (mm/lfm)],MATCH(Tabelle9[[#This Row],[Rank]],Stammdaten[Rank Verteilung Abholzigkeit],0))</f>
        <v>#N/A</v>
      </c>
      <c r="N3237" t="e">
        <f>VLOOKUP(Tabelle9[[#This Row],[Rank]],Stammdaten[[Rank Verteilung Abholzigkeit]:[Verteilung Abholzigkeit]],2,FALSE)</f>
        <v>#N/A</v>
      </c>
      <c r="S3237">
        <v>3228</v>
      </c>
      <c r="T3237" t="e">
        <f>INDEX(Stammdaten[Krümmung (mm/lfm)],MATCH(Tabelle10[[#This Row],[Rank]],Stammdaten[Rank Verteilung Krümmung],0))</f>
        <v>#N/A</v>
      </c>
      <c r="U3237" t="e">
        <f>VLOOKUP(Tabelle10[[#This Row],[Rank]],Stammdaten[[Rank Verteilung Krümmung]:[Verteilung Krümmung]],2,FALSE)</f>
        <v>#N/A</v>
      </c>
      <c r="Z3237">
        <v>3228</v>
      </c>
      <c r="AA3237" t="e">
        <f>INDEX(Stammdaten[Ovalität (']0,1'])],MATCH(Tabelle1014[[#This Row],[Rank]],Stammdaten[Rank Verteilung Ovalität],0))</f>
        <v>#N/A</v>
      </c>
      <c r="AB3237" t="e">
        <f>VLOOKUP(Tabelle1014[[#This Row],[Rank]],Stammdaten[[Rank Verteilung Ovalität]:[Verteilung Ovalität]],2,FALSE)</f>
        <v>#N/A</v>
      </c>
    </row>
    <row r="3238" spans="5:28" x14ac:dyDescent="0.35">
      <c r="E3238">
        <v>3229</v>
      </c>
      <c r="F3238" t="e">
        <f>INDEX(Stammdaten[D Mitte mit Rinde (mm)],MATCH(Tabelle8[[#This Row],[Rank]],Stammdaten[Rank Verteilung D Mitte mit Rinde],0))</f>
        <v>#N/A</v>
      </c>
      <c r="G3238" t="e">
        <f>VLOOKUP(Tabelle8[[#This Row],[Rank]],Stammdaten[[Rank Verteilung D Mitte mit Rinde]:[Verteilung D Mitte mit Rinde]],2,FALSE)</f>
        <v>#N/A</v>
      </c>
      <c r="L3238">
        <v>3229</v>
      </c>
      <c r="M3238" t="e">
        <f>INDEX(Stammdaten[Abholzigkeit (mm/lfm)],MATCH(Tabelle9[[#This Row],[Rank]],Stammdaten[Rank Verteilung Abholzigkeit],0))</f>
        <v>#N/A</v>
      </c>
      <c r="N3238" t="e">
        <f>VLOOKUP(Tabelle9[[#This Row],[Rank]],Stammdaten[[Rank Verteilung Abholzigkeit]:[Verteilung Abholzigkeit]],2,FALSE)</f>
        <v>#N/A</v>
      </c>
      <c r="S3238">
        <v>3229</v>
      </c>
      <c r="T3238" t="e">
        <f>INDEX(Stammdaten[Krümmung (mm/lfm)],MATCH(Tabelle10[[#This Row],[Rank]],Stammdaten[Rank Verteilung Krümmung],0))</f>
        <v>#N/A</v>
      </c>
      <c r="U3238" t="e">
        <f>VLOOKUP(Tabelle10[[#This Row],[Rank]],Stammdaten[[Rank Verteilung Krümmung]:[Verteilung Krümmung]],2,FALSE)</f>
        <v>#N/A</v>
      </c>
      <c r="Z3238">
        <v>3229</v>
      </c>
      <c r="AA3238" t="e">
        <f>INDEX(Stammdaten[Ovalität (']0,1'])],MATCH(Tabelle1014[[#This Row],[Rank]],Stammdaten[Rank Verteilung Ovalität],0))</f>
        <v>#N/A</v>
      </c>
      <c r="AB3238" t="e">
        <f>VLOOKUP(Tabelle1014[[#This Row],[Rank]],Stammdaten[[Rank Verteilung Ovalität]:[Verteilung Ovalität]],2,FALSE)</f>
        <v>#N/A</v>
      </c>
    </row>
    <row r="3239" spans="5:28" x14ac:dyDescent="0.35">
      <c r="E3239">
        <v>3230</v>
      </c>
      <c r="F3239" t="e">
        <f>INDEX(Stammdaten[D Mitte mit Rinde (mm)],MATCH(Tabelle8[[#This Row],[Rank]],Stammdaten[Rank Verteilung D Mitte mit Rinde],0))</f>
        <v>#N/A</v>
      </c>
      <c r="G3239" t="e">
        <f>VLOOKUP(Tabelle8[[#This Row],[Rank]],Stammdaten[[Rank Verteilung D Mitte mit Rinde]:[Verteilung D Mitte mit Rinde]],2,FALSE)</f>
        <v>#N/A</v>
      </c>
      <c r="L3239">
        <v>3230</v>
      </c>
      <c r="M3239" t="e">
        <f>INDEX(Stammdaten[Abholzigkeit (mm/lfm)],MATCH(Tabelle9[[#This Row],[Rank]],Stammdaten[Rank Verteilung Abholzigkeit],0))</f>
        <v>#N/A</v>
      </c>
      <c r="N3239" t="e">
        <f>VLOOKUP(Tabelle9[[#This Row],[Rank]],Stammdaten[[Rank Verteilung Abholzigkeit]:[Verteilung Abholzigkeit]],2,FALSE)</f>
        <v>#N/A</v>
      </c>
      <c r="S3239">
        <v>3230</v>
      </c>
      <c r="T3239" t="e">
        <f>INDEX(Stammdaten[Krümmung (mm/lfm)],MATCH(Tabelle10[[#This Row],[Rank]],Stammdaten[Rank Verteilung Krümmung],0))</f>
        <v>#N/A</v>
      </c>
      <c r="U3239" t="e">
        <f>VLOOKUP(Tabelle10[[#This Row],[Rank]],Stammdaten[[Rank Verteilung Krümmung]:[Verteilung Krümmung]],2,FALSE)</f>
        <v>#N/A</v>
      </c>
      <c r="Z3239">
        <v>3230</v>
      </c>
      <c r="AA3239" t="e">
        <f>INDEX(Stammdaten[Ovalität (']0,1'])],MATCH(Tabelle1014[[#This Row],[Rank]],Stammdaten[Rank Verteilung Ovalität],0))</f>
        <v>#N/A</v>
      </c>
      <c r="AB3239" t="e">
        <f>VLOOKUP(Tabelle1014[[#This Row],[Rank]],Stammdaten[[Rank Verteilung Ovalität]:[Verteilung Ovalität]],2,FALSE)</f>
        <v>#N/A</v>
      </c>
    </row>
    <row r="3240" spans="5:28" x14ac:dyDescent="0.35">
      <c r="E3240">
        <v>3231</v>
      </c>
      <c r="F3240" t="e">
        <f>INDEX(Stammdaten[D Mitte mit Rinde (mm)],MATCH(Tabelle8[[#This Row],[Rank]],Stammdaten[Rank Verteilung D Mitte mit Rinde],0))</f>
        <v>#N/A</v>
      </c>
      <c r="G3240" t="e">
        <f>VLOOKUP(Tabelle8[[#This Row],[Rank]],Stammdaten[[Rank Verteilung D Mitte mit Rinde]:[Verteilung D Mitte mit Rinde]],2,FALSE)</f>
        <v>#N/A</v>
      </c>
      <c r="L3240">
        <v>3231</v>
      </c>
      <c r="M3240" t="e">
        <f>INDEX(Stammdaten[Abholzigkeit (mm/lfm)],MATCH(Tabelle9[[#This Row],[Rank]],Stammdaten[Rank Verteilung Abholzigkeit],0))</f>
        <v>#N/A</v>
      </c>
      <c r="N3240" t="e">
        <f>VLOOKUP(Tabelle9[[#This Row],[Rank]],Stammdaten[[Rank Verteilung Abholzigkeit]:[Verteilung Abholzigkeit]],2,FALSE)</f>
        <v>#N/A</v>
      </c>
      <c r="S3240">
        <v>3231</v>
      </c>
      <c r="T3240" t="e">
        <f>INDEX(Stammdaten[Krümmung (mm/lfm)],MATCH(Tabelle10[[#This Row],[Rank]],Stammdaten[Rank Verteilung Krümmung],0))</f>
        <v>#N/A</v>
      </c>
      <c r="U3240" t="e">
        <f>VLOOKUP(Tabelle10[[#This Row],[Rank]],Stammdaten[[Rank Verteilung Krümmung]:[Verteilung Krümmung]],2,FALSE)</f>
        <v>#N/A</v>
      </c>
      <c r="Z3240">
        <v>3231</v>
      </c>
      <c r="AA3240" t="e">
        <f>INDEX(Stammdaten[Ovalität (']0,1'])],MATCH(Tabelle1014[[#This Row],[Rank]],Stammdaten[Rank Verteilung Ovalität],0))</f>
        <v>#N/A</v>
      </c>
      <c r="AB3240" t="e">
        <f>VLOOKUP(Tabelle1014[[#This Row],[Rank]],Stammdaten[[Rank Verteilung Ovalität]:[Verteilung Ovalität]],2,FALSE)</f>
        <v>#N/A</v>
      </c>
    </row>
    <row r="3241" spans="5:28" x14ac:dyDescent="0.35">
      <c r="E3241">
        <v>3232</v>
      </c>
      <c r="F3241" t="e">
        <f>INDEX(Stammdaten[D Mitte mit Rinde (mm)],MATCH(Tabelle8[[#This Row],[Rank]],Stammdaten[Rank Verteilung D Mitte mit Rinde],0))</f>
        <v>#N/A</v>
      </c>
      <c r="G3241" t="e">
        <f>VLOOKUP(Tabelle8[[#This Row],[Rank]],Stammdaten[[Rank Verteilung D Mitte mit Rinde]:[Verteilung D Mitte mit Rinde]],2,FALSE)</f>
        <v>#N/A</v>
      </c>
      <c r="L3241">
        <v>3232</v>
      </c>
      <c r="M3241" t="e">
        <f>INDEX(Stammdaten[Abholzigkeit (mm/lfm)],MATCH(Tabelle9[[#This Row],[Rank]],Stammdaten[Rank Verteilung Abholzigkeit],0))</f>
        <v>#N/A</v>
      </c>
      <c r="N3241" t="e">
        <f>VLOOKUP(Tabelle9[[#This Row],[Rank]],Stammdaten[[Rank Verteilung Abholzigkeit]:[Verteilung Abholzigkeit]],2,FALSE)</f>
        <v>#N/A</v>
      </c>
      <c r="S3241">
        <v>3232</v>
      </c>
      <c r="T3241" t="e">
        <f>INDEX(Stammdaten[Krümmung (mm/lfm)],MATCH(Tabelle10[[#This Row],[Rank]],Stammdaten[Rank Verteilung Krümmung],0))</f>
        <v>#N/A</v>
      </c>
      <c r="U3241" t="e">
        <f>VLOOKUP(Tabelle10[[#This Row],[Rank]],Stammdaten[[Rank Verteilung Krümmung]:[Verteilung Krümmung]],2,FALSE)</f>
        <v>#N/A</v>
      </c>
      <c r="Z3241">
        <v>3232</v>
      </c>
      <c r="AA3241" t="e">
        <f>INDEX(Stammdaten[Ovalität (']0,1'])],MATCH(Tabelle1014[[#This Row],[Rank]],Stammdaten[Rank Verteilung Ovalität],0))</f>
        <v>#N/A</v>
      </c>
      <c r="AB3241" t="e">
        <f>VLOOKUP(Tabelle1014[[#This Row],[Rank]],Stammdaten[[Rank Verteilung Ovalität]:[Verteilung Ovalität]],2,FALSE)</f>
        <v>#N/A</v>
      </c>
    </row>
    <row r="3242" spans="5:28" x14ac:dyDescent="0.35">
      <c r="E3242">
        <v>3233</v>
      </c>
      <c r="F3242" t="e">
        <f>INDEX(Stammdaten[D Mitte mit Rinde (mm)],MATCH(Tabelle8[[#This Row],[Rank]],Stammdaten[Rank Verteilung D Mitte mit Rinde],0))</f>
        <v>#N/A</v>
      </c>
      <c r="G3242" t="e">
        <f>VLOOKUP(Tabelle8[[#This Row],[Rank]],Stammdaten[[Rank Verteilung D Mitte mit Rinde]:[Verteilung D Mitte mit Rinde]],2,FALSE)</f>
        <v>#N/A</v>
      </c>
      <c r="L3242">
        <v>3233</v>
      </c>
      <c r="M3242" t="e">
        <f>INDEX(Stammdaten[Abholzigkeit (mm/lfm)],MATCH(Tabelle9[[#This Row],[Rank]],Stammdaten[Rank Verteilung Abholzigkeit],0))</f>
        <v>#N/A</v>
      </c>
      <c r="N3242" t="e">
        <f>VLOOKUP(Tabelle9[[#This Row],[Rank]],Stammdaten[[Rank Verteilung Abholzigkeit]:[Verteilung Abholzigkeit]],2,FALSE)</f>
        <v>#N/A</v>
      </c>
      <c r="S3242">
        <v>3233</v>
      </c>
      <c r="T3242" t="e">
        <f>INDEX(Stammdaten[Krümmung (mm/lfm)],MATCH(Tabelle10[[#This Row],[Rank]],Stammdaten[Rank Verteilung Krümmung],0))</f>
        <v>#N/A</v>
      </c>
      <c r="U3242" t="e">
        <f>VLOOKUP(Tabelle10[[#This Row],[Rank]],Stammdaten[[Rank Verteilung Krümmung]:[Verteilung Krümmung]],2,FALSE)</f>
        <v>#N/A</v>
      </c>
      <c r="Z3242">
        <v>3233</v>
      </c>
      <c r="AA3242" t="e">
        <f>INDEX(Stammdaten[Ovalität (']0,1'])],MATCH(Tabelle1014[[#This Row],[Rank]],Stammdaten[Rank Verteilung Ovalität],0))</f>
        <v>#N/A</v>
      </c>
      <c r="AB3242" t="e">
        <f>VLOOKUP(Tabelle1014[[#This Row],[Rank]],Stammdaten[[Rank Verteilung Ovalität]:[Verteilung Ovalität]],2,FALSE)</f>
        <v>#N/A</v>
      </c>
    </row>
    <row r="3243" spans="5:28" x14ac:dyDescent="0.35">
      <c r="E3243">
        <v>3234</v>
      </c>
      <c r="F3243" t="e">
        <f>INDEX(Stammdaten[D Mitte mit Rinde (mm)],MATCH(Tabelle8[[#This Row],[Rank]],Stammdaten[Rank Verteilung D Mitte mit Rinde],0))</f>
        <v>#N/A</v>
      </c>
      <c r="G3243" t="e">
        <f>VLOOKUP(Tabelle8[[#This Row],[Rank]],Stammdaten[[Rank Verteilung D Mitte mit Rinde]:[Verteilung D Mitte mit Rinde]],2,FALSE)</f>
        <v>#N/A</v>
      </c>
      <c r="L3243">
        <v>3234</v>
      </c>
      <c r="M3243" t="e">
        <f>INDEX(Stammdaten[Abholzigkeit (mm/lfm)],MATCH(Tabelle9[[#This Row],[Rank]],Stammdaten[Rank Verteilung Abholzigkeit],0))</f>
        <v>#N/A</v>
      </c>
      <c r="N3243" t="e">
        <f>VLOOKUP(Tabelle9[[#This Row],[Rank]],Stammdaten[[Rank Verteilung Abholzigkeit]:[Verteilung Abholzigkeit]],2,FALSE)</f>
        <v>#N/A</v>
      </c>
      <c r="S3243">
        <v>3234</v>
      </c>
      <c r="T3243" t="e">
        <f>INDEX(Stammdaten[Krümmung (mm/lfm)],MATCH(Tabelle10[[#This Row],[Rank]],Stammdaten[Rank Verteilung Krümmung],0))</f>
        <v>#N/A</v>
      </c>
      <c r="U3243" t="e">
        <f>VLOOKUP(Tabelle10[[#This Row],[Rank]],Stammdaten[[Rank Verteilung Krümmung]:[Verteilung Krümmung]],2,FALSE)</f>
        <v>#N/A</v>
      </c>
      <c r="Z3243">
        <v>3234</v>
      </c>
      <c r="AA3243" t="e">
        <f>INDEX(Stammdaten[Ovalität (']0,1'])],MATCH(Tabelle1014[[#This Row],[Rank]],Stammdaten[Rank Verteilung Ovalität],0))</f>
        <v>#N/A</v>
      </c>
      <c r="AB3243" t="e">
        <f>VLOOKUP(Tabelle1014[[#This Row],[Rank]],Stammdaten[[Rank Verteilung Ovalität]:[Verteilung Ovalität]],2,FALSE)</f>
        <v>#N/A</v>
      </c>
    </row>
    <row r="3244" spans="5:28" x14ac:dyDescent="0.35">
      <c r="E3244">
        <v>3235</v>
      </c>
      <c r="F3244" t="e">
        <f>INDEX(Stammdaten[D Mitte mit Rinde (mm)],MATCH(Tabelle8[[#This Row],[Rank]],Stammdaten[Rank Verteilung D Mitte mit Rinde],0))</f>
        <v>#N/A</v>
      </c>
      <c r="G3244" t="e">
        <f>VLOOKUP(Tabelle8[[#This Row],[Rank]],Stammdaten[[Rank Verteilung D Mitte mit Rinde]:[Verteilung D Mitte mit Rinde]],2,FALSE)</f>
        <v>#N/A</v>
      </c>
      <c r="L3244">
        <v>3235</v>
      </c>
      <c r="M3244" t="e">
        <f>INDEX(Stammdaten[Abholzigkeit (mm/lfm)],MATCH(Tabelle9[[#This Row],[Rank]],Stammdaten[Rank Verteilung Abholzigkeit],0))</f>
        <v>#N/A</v>
      </c>
      <c r="N3244" t="e">
        <f>VLOOKUP(Tabelle9[[#This Row],[Rank]],Stammdaten[[Rank Verteilung Abholzigkeit]:[Verteilung Abholzigkeit]],2,FALSE)</f>
        <v>#N/A</v>
      </c>
      <c r="S3244">
        <v>3235</v>
      </c>
      <c r="T3244" t="e">
        <f>INDEX(Stammdaten[Krümmung (mm/lfm)],MATCH(Tabelle10[[#This Row],[Rank]],Stammdaten[Rank Verteilung Krümmung],0))</f>
        <v>#N/A</v>
      </c>
      <c r="U3244" t="e">
        <f>VLOOKUP(Tabelle10[[#This Row],[Rank]],Stammdaten[[Rank Verteilung Krümmung]:[Verteilung Krümmung]],2,FALSE)</f>
        <v>#N/A</v>
      </c>
      <c r="Z3244">
        <v>3235</v>
      </c>
      <c r="AA3244" t="e">
        <f>INDEX(Stammdaten[Ovalität (']0,1'])],MATCH(Tabelle1014[[#This Row],[Rank]],Stammdaten[Rank Verteilung Ovalität],0))</f>
        <v>#N/A</v>
      </c>
      <c r="AB3244" t="e">
        <f>VLOOKUP(Tabelle1014[[#This Row],[Rank]],Stammdaten[[Rank Verteilung Ovalität]:[Verteilung Ovalität]],2,FALSE)</f>
        <v>#N/A</v>
      </c>
    </row>
    <row r="3245" spans="5:28" x14ac:dyDescent="0.35">
      <c r="E3245">
        <v>3236</v>
      </c>
      <c r="F3245" t="e">
        <f>INDEX(Stammdaten[D Mitte mit Rinde (mm)],MATCH(Tabelle8[[#This Row],[Rank]],Stammdaten[Rank Verteilung D Mitte mit Rinde],0))</f>
        <v>#N/A</v>
      </c>
      <c r="G3245" t="e">
        <f>VLOOKUP(Tabelle8[[#This Row],[Rank]],Stammdaten[[Rank Verteilung D Mitte mit Rinde]:[Verteilung D Mitte mit Rinde]],2,FALSE)</f>
        <v>#N/A</v>
      </c>
      <c r="L3245">
        <v>3236</v>
      </c>
      <c r="M3245" t="e">
        <f>INDEX(Stammdaten[Abholzigkeit (mm/lfm)],MATCH(Tabelle9[[#This Row],[Rank]],Stammdaten[Rank Verteilung Abholzigkeit],0))</f>
        <v>#N/A</v>
      </c>
      <c r="N3245" t="e">
        <f>VLOOKUP(Tabelle9[[#This Row],[Rank]],Stammdaten[[Rank Verteilung Abholzigkeit]:[Verteilung Abholzigkeit]],2,FALSE)</f>
        <v>#N/A</v>
      </c>
      <c r="S3245">
        <v>3236</v>
      </c>
      <c r="T3245" t="e">
        <f>INDEX(Stammdaten[Krümmung (mm/lfm)],MATCH(Tabelle10[[#This Row],[Rank]],Stammdaten[Rank Verteilung Krümmung],0))</f>
        <v>#N/A</v>
      </c>
      <c r="U3245" t="e">
        <f>VLOOKUP(Tabelle10[[#This Row],[Rank]],Stammdaten[[Rank Verteilung Krümmung]:[Verteilung Krümmung]],2,FALSE)</f>
        <v>#N/A</v>
      </c>
      <c r="Z3245">
        <v>3236</v>
      </c>
      <c r="AA3245" t="e">
        <f>INDEX(Stammdaten[Ovalität (']0,1'])],MATCH(Tabelle1014[[#This Row],[Rank]],Stammdaten[Rank Verteilung Ovalität],0))</f>
        <v>#N/A</v>
      </c>
      <c r="AB3245" t="e">
        <f>VLOOKUP(Tabelle1014[[#This Row],[Rank]],Stammdaten[[Rank Verteilung Ovalität]:[Verteilung Ovalität]],2,FALSE)</f>
        <v>#N/A</v>
      </c>
    </row>
    <row r="3246" spans="5:28" x14ac:dyDescent="0.35">
      <c r="E3246">
        <v>3237</v>
      </c>
      <c r="F3246" t="e">
        <f>INDEX(Stammdaten[D Mitte mit Rinde (mm)],MATCH(Tabelle8[[#This Row],[Rank]],Stammdaten[Rank Verteilung D Mitte mit Rinde],0))</f>
        <v>#N/A</v>
      </c>
      <c r="G3246" t="e">
        <f>VLOOKUP(Tabelle8[[#This Row],[Rank]],Stammdaten[[Rank Verteilung D Mitte mit Rinde]:[Verteilung D Mitte mit Rinde]],2,FALSE)</f>
        <v>#N/A</v>
      </c>
      <c r="L3246">
        <v>3237</v>
      </c>
      <c r="M3246" t="e">
        <f>INDEX(Stammdaten[Abholzigkeit (mm/lfm)],MATCH(Tabelle9[[#This Row],[Rank]],Stammdaten[Rank Verteilung Abholzigkeit],0))</f>
        <v>#N/A</v>
      </c>
      <c r="N3246" t="e">
        <f>VLOOKUP(Tabelle9[[#This Row],[Rank]],Stammdaten[[Rank Verteilung Abholzigkeit]:[Verteilung Abholzigkeit]],2,FALSE)</f>
        <v>#N/A</v>
      </c>
      <c r="S3246">
        <v>3237</v>
      </c>
      <c r="T3246" t="e">
        <f>INDEX(Stammdaten[Krümmung (mm/lfm)],MATCH(Tabelle10[[#This Row],[Rank]],Stammdaten[Rank Verteilung Krümmung],0))</f>
        <v>#N/A</v>
      </c>
      <c r="U3246" t="e">
        <f>VLOOKUP(Tabelle10[[#This Row],[Rank]],Stammdaten[[Rank Verteilung Krümmung]:[Verteilung Krümmung]],2,FALSE)</f>
        <v>#N/A</v>
      </c>
      <c r="Z3246">
        <v>3237</v>
      </c>
      <c r="AA3246" t="e">
        <f>INDEX(Stammdaten[Ovalität (']0,1'])],MATCH(Tabelle1014[[#This Row],[Rank]],Stammdaten[Rank Verteilung Ovalität],0))</f>
        <v>#N/A</v>
      </c>
      <c r="AB3246" t="e">
        <f>VLOOKUP(Tabelle1014[[#This Row],[Rank]],Stammdaten[[Rank Verteilung Ovalität]:[Verteilung Ovalität]],2,FALSE)</f>
        <v>#N/A</v>
      </c>
    </row>
    <row r="3247" spans="5:28" x14ac:dyDescent="0.35">
      <c r="E3247">
        <v>3238</v>
      </c>
      <c r="F3247" t="e">
        <f>INDEX(Stammdaten[D Mitte mit Rinde (mm)],MATCH(Tabelle8[[#This Row],[Rank]],Stammdaten[Rank Verteilung D Mitte mit Rinde],0))</f>
        <v>#N/A</v>
      </c>
      <c r="G3247" t="e">
        <f>VLOOKUP(Tabelle8[[#This Row],[Rank]],Stammdaten[[Rank Verteilung D Mitte mit Rinde]:[Verteilung D Mitte mit Rinde]],2,FALSE)</f>
        <v>#N/A</v>
      </c>
      <c r="L3247">
        <v>3238</v>
      </c>
      <c r="M3247" t="e">
        <f>INDEX(Stammdaten[Abholzigkeit (mm/lfm)],MATCH(Tabelle9[[#This Row],[Rank]],Stammdaten[Rank Verteilung Abholzigkeit],0))</f>
        <v>#N/A</v>
      </c>
      <c r="N3247" t="e">
        <f>VLOOKUP(Tabelle9[[#This Row],[Rank]],Stammdaten[[Rank Verteilung Abholzigkeit]:[Verteilung Abholzigkeit]],2,FALSE)</f>
        <v>#N/A</v>
      </c>
      <c r="S3247">
        <v>3238</v>
      </c>
      <c r="T3247" t="e">
        <f>INDEX(Stammdaten[Krümmung (mm/lfm)],MATCH(Tabelle10[[#This Row],[Rank]],Stammdaten[Rank Verteilung Krümmung],0))</f>
        <v>#N/A</v>
      </c>
      <c r="U3247" t="e">
        <f>VLOOKUP(Tabelle10[[#This Row],[Rank]],Stammdaten[[Rank Verteilung Krümmung]:[Verteilung Krümmung]],2,FALSE)</f>
        <v>#N/A</v>
      </c>
      <c r="Z3247">
        <v>3238</v>
      </c>
      <c r="AA3247" t="e">
        <f>INDEX(Stammdaten[Ovalität (']0,1'])],MATCH(Tabelle1014[[#This Row],[Rank]],Stammdaten[Rank Verteilung Ovalität],0))</f>
        <v>#N/A</v>
      </c>
      <c r="AB3247" t="e">
        <f>VLOOKUP(Tabelle1014[[#This Row],[Rank]],Stammdaten[[Rank Verteilung Ovalität]:[Verteilung Ovalität]],2,FALSE)</f>
        <v>#N/A</v>
      </c>
    </row>
    <row r="3248" spans="5:28" x14ac:dyDescent="0.35">
      <c r="E3248">
        <v>3239</v>
      </c>
      <c r="F3248" t="e">
        <f>INDEX(Stammdaten[D Mitte mit Rinde (mm)],MATCH(Tabelle8[[#This Row],[Rank]],Stammdaten[Rank Verteilung D Mitte mit Rinde],0))</f>
        <v>#N/A</v>
      </c>
      <c r="G3248" t="e">
        <f>VLOOKUP(Tabelle8[[#This Row],[Rank]],Stammdaten[[Rank Verteilung D Mitte mit Rinde]:[Verteilung D Mitte mit Rinde]],2,FALSE)</f>
        <v>#N/A</v>
      </c>
      <c r="L3248">
        <v>3239</v>
      </c>
      <c r="M3248" t="e">
        <f>INDEX(Stammdaten[Abholzigkeit (mm/lfm)],MATCH(Tabelle9[[#This Row],[Rank]],Stammdaten[Rank Verteilung Abholzigkeit],0))</f>
        <v>#N/A</v>
      </c>
      <c r="N3248" t="e">
        <f>VLOOKUP(Tabelle9[[#This Row],[Rank]],Stammdaten[[Rank Verteilung Abholzigkeit]:[Verteilung Abholzigkeit]],2,FALSE)</f>
        <v>#N/A</v>
      </c>
      <c r="S3248">
        <v>3239</v>
      </c>
      <c r="T3248" t="e">
        <f>INDEX(Stammdaten[Krümmung (mm/lfm)],MATCH(Tabelle10[[#This Row],[Rank]],Stammdaten[Rank Verteilung Krümmung],0))</f>
        <v>#N/A</v>
      </c>
      <c r="U3248" t="e">
        <f>VLOOKUP(Tabelle10[[#This Row],[Rank]],Stammdaten[[Rank Verteilung Krümmung]:[Verteilung Krümmung]],2,FALSE)</f>
        <v>#N/A</v>
      </c>
      <c r="Z3248">
        <v>3239</v>
      </c>
      <c r="AA3248" t="e">
        <f>INDEX(Stammdaten[Ovalität (']0,1'])],MATCH(Tabelle1014[[#This Row],[Rank]],Stammdaten[Rank Verteilung Ovalität],0))</f>
        <v>#N/A</v>
      </c>
      <c r="AB3248" t="e">
        <f>VLOOKUP(Tabelle1014[[#This Row],[Rank]],Stammdaten[[Rank Verteilung Ovalität]:[Verteilung Ovalität]],2,FALSE)</f>
        <v>#N/A</v>
      </c>
    </row>
    <row r="3249" spans="5:28" x14ac:dyDescent="0.35">
      <c r="E3249">
        <v>3240</v>
      </c>
      <c r="F3249" t="e">
        <f>INDEX(Stammdaten[D Mitte mit Rinde (mm)],MATCH(Tabelle8[[#This Row],[Rank]],Stammdaten[Rank Verteilung D Mitte mit Rinde],0))</f>
        <v>#N/A</v>
      </c>
      <c r="G3249" t="e">
        <f>VLOOKUP(Tabelle8[[#This Row],[Rank]],Stammdaten[[Rank Verteilung D Mitte mit Rinde]:[Verteilung D Mitte mit Rinde]],2,FALSE)</f>
        <v>#N/A</v>
      </c>
      <c r="L3249">
        <v>3240</v>
      </c>
      <c r="M3249" t="e">
        <f>INDEX(Stammdaten[Abholzigkeit (mm/lfm)],MATCH(Tabelle9[[#This Row],[Rank]],Stammdaten[Rank Verteilung Abholzigkeit],0))</f>
        <v>#N/A</v>
      </c>
      <c r="N3249" t="e">
        <f>VLOOKUP(Tabelle9[[#This Row],[Rank]],Stammdaten[[Rank Verteilung Abholzigkeit]:[Verteilung Abholzigkeit]],2,FALSE)</f>
        <v>#N/A</v>
      </c>
      <c r="S3249">
        <v>3240</v>
      </c>
      <c r="T3249" t="e">
        <f>INDEX(Stammdaten[Krümmung (mm/lfm)],MATCH(Tabelle10[[#This Row],[Rank]],Stammdaten[Rank Verteilung Krümmung],0))</f>
        <v>#N/A</v>
      </c>
      <c r="U3249" t="e">
        <f>VLOOKUP(Tabelle10[[#This Row],[Rank]],Stammdaten[[Rank Verteilung Krümmung]:[Verteilung Krümmung]],2,FALSE)</f>
        <v>#N/A</v>
      </c>
      <c r="Z3249">
        <v>3240</v>
      </c>
      <c r="AA3249" t="e">
        <f>INDEX(Stammdaten[Ovalität (']0,1'])],MATCH(Tabelle1014[[#This Row],[Rank]],Stammdaten[Rank Verteilung Ovalität],0))</f>
        <v>#N/A</v>
      </c>
      <c r="AB3249" t="e">
        <f>VLOOKUP(Tabelle1014[[#This Row],[Rank]],Stammdaten[[Rank Verteilung Ovalität]:[Verteilung Ovalität]],2,FALSE)</f>
        <v>#N/A</v>
      </c>
    </row>
    <row r="3250" spans="5:28" x14ac:dyDescent="0.35">
      <c r="E3250">
        <v>3241</v>
      </c>
      <c r="F3250" t="e">
        <f>INDEX(Stammdaten[D Mitte mit Rinde (mm)],MATCH(Tabelle8[[#This Row],[Rank]],Stammdaten[Rank Verteilung D Mitte mit Rinde],0))</f>
        <v>#N/A</v>
      </c>
      <c r="G3250" t="e">
        <f>VLOOKUP(Tabelle8[[#This Row],[Rank]],Stammdaten[[Rank Verteilung D Mitte mit Rinde]:[Verteilung D Mitte mit Rinde]],2,FALSE)</f>
        <v>#N/A</v>
      </c>
      <c r="L3250">
        <v>3241</v>
      </c>
      <c r="M3250" t="e">
        <f>INDEX(Stammdaten[Abholzigkeit (mm/lfm)],MATCH(Tabelle9[[#This Row],[Rank]],Stammdaten[Rank Verteilung Abholzigkeit],0))</f>
        <v>#N/A</v>
      </c>
      <c r="N3250" t="e">
        <f>VLOOKUP(Tabelle9[[#This Row],[Rank]],Stammdaten[[Rank Verteilung Abholzigkeit]:[Verteilung Abholzigkeit]],2,FALSE)</f>
        <v>#N/A</v>
      </c>
      <c r="S3250">
        <v>3241</v>
      </c>
      <c r="T3250" t="e">
        <f>INDEX(Stammdaten[Krümmung (mm/lfm)],MATCH(Tabelle10[[#This Row],[Rank]],Stammdaten[Rank Verteilung Krümmung],0))</f>
        <v>#N/A</v>
      </c>
      <c r="U3250" t="e">
        <f>VLOOKUP(Tabelle10[[#This Row],[Rank]],Stammdaten[[Rank Verteilung Krümmung]:[Verteilung Krümmung]],2,FALSE)</f>
        <v>#N/A</v>
      </c>
      <c r="Z3250">
        <v>3241</v>
      </c>
      <c r="AA3250" t="e">
        <f>INDEX(Stammdaten[Ovalität (']0,1'])],MATCH(Tabelle1014[[#This Row],[Rank]],Stammdaten[Rank Verteilung Ovalität],0))</f>
        <v>#N/A</v>
      </c>
      <c r="AB3250" t="e">
        <f>VLOOKUP(Tabelle1014[[#This Row],[Rank]],Stammdaten[[Rank Verteilung Ovalität]:[Verteilung Ovalität]],2,FALSE)</f>
        <v>#N/A</v>
      </c>
    </row>
    <row r="3251" spans="5:28" x14ac:dyDescent="0.35">
      <c r="E3251">
        <v>3242</v>
      </c>
      <c r="F3251" t="e">
        <f>INDEX(Stammdaten[D Mitte mit Rinde (mm)],MATCH(Tabelle8[[#This Row],[Rank]],Stammdaten[Rank Verteilung D Mitte mit Rinde],0))</f>
        <v>#N/A</v>
      </c>
      <c r="G3251" t="e">
        <f>VLOOKUP(Tabelle8[[#This Row],[Rank]],Stammdaten[[Rank Verteilung D Mitte mit Rinde]:[Verteilung D Mitte mit Rinde]],2,FALSE)</f>
        <v>#N/A</v>
      </c>
      <c r="L3251">
        <v>3242</v>
      </c>
      <c r="M3251" t="e">
        <f>INDEX(Stammdaten[Abholzigkeit (mm/lfm)],MATCH(Tabelle9[[#This Row],[Rank]],Stammdaten[Rank Verteilung Abholzigkeit],0))</f>
        <v>#N/A</v>
      </c>
      <c r="N3251" t="e">
        <f>VLOOKUP(Tabelle9[[#This Row],[Rank]],Stammdaten[[Rank Verteilung Abholzigkeit]:[Verteilung Abholzigkeit]],2,FALSE)</f>
        <v>#N/A</v>
      </c>
      <c r="S3251">
        <v>3242</v>
      </c>
      <c r="T3251" t="e">
        <f>INDEX(Stammdaten[Krümmung (mm/lfm)],MATCH(Tabelle10[[#This Row],[Rank]],Stammdaten[Rank Verteilung Krümmung],0))</f>
        <v>#N/A</v>
      </c>
      <c r="U3251" t="e">
        <f>VLOOKUP(Tabelle10[[#This Row],[Rank]],Stammdaten[[Rank Verteilung Krümmung]:[Verteilung Krümmung]],2,FALSE)</f>
        <v>#N/A</v>
      </c>
      <c r="Z3251">
        <v>3242</v>
      </c>
      <c r="AA3251" t="e">
        <f>INDEX(Stammdaten[Ovalität (']0,1'])],MATCH(Tabelle1014[[#This Row],[Rank]],Stammdaten[Rank Verteilung Ovalität],0))</f>
        <v>#N/A</v>
      </c>
      <c r="AB3251" t="e">
        <f>VLOOKUP(Tabelle1014[[#This Row],[Rank]],Stammdaten[[Rank Verteilung Ovalität]:[Verteilung Ovalität]],2,FALSE)</f>
        <v>#N/A</v>
      </c>
    </row>
    <row r="3252" spans="5:28" x14ac:dyDescent="0.35">
      <c r="E3252">
        <v>3243</v>
      </c>
      <c r="F3252" t="e">
        <f>INDEX(Stammdaten[D Mitte mit Rinde (mm)],MATCH(Tabelle8[[#This Row],[Rank]],Stammdaten[Rank Verteilung D Mitte mit Rinde],0))</f>
        <v>#N/A</v>
      </c>
      <c r="G3252" t="e">
        <f>VLOOKUP(Tabelle8[[#This Row],[Rank]],Stammdaten[[Rank Verteilung D Mitte mit Rinde]:[Verteilung D Mitte mit Rinde]],2,FALSE)</f>
        <v>#N/A</v>
      </c>
      <c r="L3252">
        <v>3243</v>
      </c>
      <c r="M3252" t="e">
        <f>INDEX(Stammdaten[Abholzigkeit (mm/lfm)],MATCH(Tabelle9[[#This Row],[Rank]],Stammdaten[Rank Verteilung Abholzigkeit],0))</f>
        <v>#N/A</v>
      </c>
      <c r="N3252" t="e">
        <f>VLOOKUP(Tabelle9[[#This Row],[Rank]],Stammdaten[[Rank Verteilung Abholzigkeit]:[Verteilung Abholzigkeit]],2,FALSE)</f>
        <v>#N/A</v>
      </c>
      <c r="S3252">
        <v>3243</v>
      </c>
      <c r="T3252" t="e">
        <f>INDEX(Stammdaten[Krümmung (mm/lfm)],MATCH(Tabelle10[[#This Row],[Rank]],Stammdaten[Rank Verteilung Krümmung],0))</f>
        <v>#N/A</v>
      </c>
      <c r="U3252" t="e">
        <f>VLOOKUP(Tabelle10[[#This Row],[Rank]],Stammdaten[[Rank Verteilung Krümmung]:[Verteilung Krümmung]],2,FALSE)</f>
        <v>#N/A</v>
      </c>
      <c r="Z3252">
        <v>3243</v>
      </c>
      <c r="AA3252" t="e">
        <f>INDEX(Stammdaten[Ovalität (']0,1'])],MATCH(Tabelle1014[[#This Row],[Rank]],Stammdaten[Rank Verteilung Ovalität],0))</f>
        <v>#N/A</v>
      </c>
      <c r="AB3252" t="e">
        <f>VLOOKUP(Tabelle1014[[#This Row],[Rank]],Stammdaten[[Rank Verteilung Ovalität]:[Verteilung Ovalität]],2,FALSE)</f>
        <v>#N/A</v>
      </c>
    </row>
    <row r="3253" spans="5:28" x14ac:dyDescent="0.35">
      <c r="E3253">
        <v>3244</v>
      </c>
      <c r="F3253" t="e">
        <f>INDEX(Stammdaten[D Mitte mit Rinde (mm)],MATCH(Tabelle8[[#This Row],[Rank]],Stammdaten[Rank Verteilung D Mitte mit Rinde],0))</f>
        <v>#N/A</v>
      </c>
      <c r="G3253" t="e">
        <f>VLOOKUP(Tabelle8[[#This Row],[Rank]],Stammdaten[[Rank Verteilung D Mitte mit Rinde]:[Verteilung D Mitte mit Rinde]],2,FALSE)</f>
        <v>#N/A</v>
      </c>
      <c r="L3253">
        <v>3244</v>
      </c>
      <c r="M3253" t="e">
        <f>INDEX(Stammdaten[Abholzigkeit (mm/lfm)],MATCH(Tabelle9[[#This Row],[Rank]],Stammdaten[Rank Verteilung Abholzigkeit],0))</f>
        <v>#N/A</v>
      </c>
      <c r="N3253" t="e">
        <f>VLOOKUP(Tabelle9[[#This Row],[Rank]],Stammdaten[[Rank Verteilung Abholzigkeit]:[Verteilung Abholzigkeit]],2,FALSE)</f>
        <v>#N/A</v>
      </c>
      <c r="S3253">
        <v>3244</v>
      </c>
      <c r="T3253" t="e">
        <f>INDEX(Stammdaten[Krümmung (mm/lfm)],MATCH(Tabelle10[[#This Row],[Rank]],Stammdaten[Rank Verteilung Krümmung],0))</f>
        <v>#N/A</v>
      </c>
      <c r="U3253" t="e">
        <f>VLOOKUP(Tabelle10[[#This Row],[Rank]],Stammdaten[[Rank Verteilung Krümmung]:[Verteilung Krümmung]],2,FALSE)</f>
        <v>#N/A</v>
      </c>
      <c r="Z3253">
        <v>3244</v>
      </c>
      <c r="AA3253" t="e">
        <f>INDEX(Stammdaten[Ovalität (']0,1'])],MATCH(Tabelle1014[[#This Row],[Rank]],Stammdaten[Rank Verteilung Ovalität],0))</f>
        <v>#N/A</v>
      </c>
      <c r="AB3253" t="e">
        <f>VLOOKUP(Tabelle1014[[#This Row],[Rank]],Stammdaten[[Rank Verteilung Ovalität]:[Verteilung Ovalität]],2,FALSE)</f>
        <v>#N/A</v>
      </c>
    </row>
    <row r="3254" spans="5:28" x14ac:dyDescent="0.35">
      <c r="E3254">
        <v>3245</v>
      </c>
      <c r="F3254" t="e">
        <f>INDEX(Stammdaten[D Mitte mit Rinde (mm)],MATCH(Tabelle8[[#This Row],[Rank]],Stammdaten[Rank Verteilung D Mitte mit Rinde],0))</f>
        <v>#N/A</v>
      </c>
      <c r="G3254" t="e">
        <f>VLOOKUP(Tabelle8[[#This Row],[Rank]],Stammdaten[[Rank Verteilung D Mitte mit Rinde]:[Verteilung D Mitte mit Rinde]],2,FALSE)</f>
        <v>#N/A</v>
      </c>
      <c r="L3254">
        <v>3245</v>
      </c>
      <c r="M3254" t="e">
        <f>INDEX(Stammdaten[Abholzigkeit (mm/lfm)],MATCH(Tabelle9[[#This Row],[Rank]],Stammdaten[Rank Verteilung Abholzigkeit],0))</f>
        <v>#N/A</v>
      </c>
      <c r="N3254" t="e">
        <f>VLOOKUP(Tabelle9[[#This Row],[Rank]],Stammdaten[[Rank Verteilung Abholzigkeit]:[Verteilung Abholzigkeit]],2,FALSE)</f>
        <v>#N/A</v>
      </c>
      <c r="S3254">
        <v>3245</v>
      </c>
      <c r="T3254" t="e">
        <f>INDEX(Stammdaten[Krümmung (mm/lfm)],MATCH(Tabelle10[[#This Row],[Rank]],Stammdaten[Rank Verteilung Krümmung],0))</f>
        <v>#N/A</v>
      </c>
      <c r="U3254" t="e">
        <f>VLOOKUP(Tabelle10[[#This Row],[Rank]],Stammdaten[[Rank Verteilung Krümmung]:[Verteilung Krümmung]],2,FALSE)</f>
        <v>#N/A</v>
      </c>
      <c r="Z3254">
        <v>3245</v>
      </c>
      <c r="AA3254" t="e">
        <f>INDEX(Stammdaten[Ovalität (']0,1'])],MATCH(Tabelle1014[[#This Row],[Rank]],Stammdaten[Rank Verteilung Ovalität],0))</f>
        <v>#N/A</v>
      </c>
      <c r="AB3254" t="e">
        <f>VLOOKUP(Tabelle1014[[#This Row],[Rank]],Stammdaten[[Rank Verteilung Ovalität]:[Verteilung Ovalität]],2,FALSE)</f>
        <v>#N/A</v>
      </c>
    </row>
    <row r="3255" spans="5:28" x14ac:dyDescent="0.35">
      <c r="E3255">
        <v>3246</v>
      </c>
      <c r="F3255" t="e">
        <f>INDEX(Stammdaten[D Mitte mit Rinde (mm)],MATCH(Tabelle8[[#This Row],[Rank]],Stammdaten[Rank Verteilung D Mitte mit Rinde],0))</f>
        <v>#N/A</v>
      </c>
      <c r="G3255" t="e">
        <f>VLOOKUP(Tabelle8[[#This Row],[Rank]],Stammdaten[[Rank Verteilung D Mitte mit Rinde]:[Verteilung D Mitte mit Rinde]],2,FALSE)</f>
        <v>#N/A</v>
      </c>
      <c r="L3255">
        <v>3246</v>
      </c>
      <c r="M3255" t="e">
        <f>INDEX(Stammdaten[Abholzigkeit (mm/lfm)],MATCH(Tabelle9[[#This Row],[Rank]],Stammdaten[Rank Verteilung Abholzigkeit],0))</f>
        <v>#N/A</v>
      </c>
      <c r="N3255" t="e">
        <f>VLOOKUP(Tabelle9[[#This Row],[Rank]],Stammdaten[[Rank Verteilung Abholzigkeit]:[Verteilung Abholzigkeit]],2,FALSE)</f>
        <v>#N/A</v>
      </c>
      <c r="S3255">
        <v>3246</v>
      </c>
      <c r="T3255" t="e">
        <f>INDEX(Stammdaten[Krümmung (mm/lfm)],MATCH(Tabelle10[[#This Row],[Rank]],Stammdaten[Rank Verteilung Krümmung],0))</f>
        <v>#N/A</v>
      </c>
      <c r="U3255" t="e">
        <f>VLOOKUP(Tabelle10[[#This Row],[Rank]],Stammdaten[[Rank Verteilung Krümmung]:[Verteilung Krümmung]],2,FALSE)</f>
        <v>#N/A</v>
      </c>
      <c r="Z3255">
        <v>3246</v>
      </c>
      <c r="AA3255" t="e">
        <f>INDEX(Stammdaten[Ovalität (']0,1'])],MATCH(Tabelle1014[[#This Row],[Rank]],Stammdaten[Rank Verteilung Ovalität],0))</f>
        <v>#N/A</v>
      </c>
      <c r="AB3255" t="e">
        <f>VLOOKUP(Tabelle1014[[#This Row],[Rank]],Stammdaten[[Rank Verteilung Ovalität]:[Verteilung Ovalität]],2,FALSE)</f>
        <v>#N/A</v>
      </c>
    </row>
    <row r="3256" spans="5:28" x14ac:dyDescent="0.35">
      <c r="E3256">
        <v>3247</v>
      </c>
      <c r="F3256" t="e">
        <f>INDEX(Stammdaten[D Mitte mit Rinde (mm)],MATCH(Tabelle8[[#This Row],[Rank]],Stammdaten[Rank Verteilung D Mitte mit Rinde],0))</f>
        <v>#N/A</v>
      </c>
      <c r="G3256" t="e">
        <f>VLOOKUP(Tabelle8[[#This Row],[Rank]],Stammdaten[[Rank Verteilung D Mitte mit Rinde]:[Verteilung D Mitte mit Rinde]],2,FALSE)</f>
        <v>#N/A</v>
      </c>
      <c r="L3256">
        <v>3247</v>
      </c>
      <c r="M3256" t="e">
        <f>INDEX(Stammdaten[Abholzigkeit (mm/lfm)],MATCH(Tabelle9[[#This Row],[Rank]],Stammdaten[Rank Verteilung Abholzigkeit],0))</f>
        <v>#N/A</v>
      </c>
      <c r="N3256" t="e">
        <f>VLOOKUP(Tabelle9[[#This Row],[Rank]],Stammdaten[[Rank Verteilung Abholzigkeit]:[Verteilung Abholzigkeit]],2,FALSE)</f>
        <v>#N/A</v>
      </c>
      <c r="S3256">
        <v>3247</v>
      </c>
      <c r="T3256" t="e">
        <f>INDEX(Stammdaten[Krümmung (mm/lfm)],MATCH(Tabelle10[[#This Row],[Rank]],Stammdaten[Rank Verteilung Krümmung],0))</f>
        <v>#N/A</v>
      </c>
      <c r="U3256" t="e">
        <f>VLOOKUP(Tabelle10[[#This Row],[Rank]],Stammdaten[[Rank Verteilung Krümmung]:[Verteilung Krümmung]],2,FALSE)</f>
        <v>#N/A</v>
      </c>
      <c r="Z3256">
        <v>3247</v>
      </c>
      <c r="AA3256" t="e">
        <f>INDEX(Stammdaten[Ovalität (']0,1'])],MATCH(Tabelle1014[[#This Row],[Rank]],Stammdaten[Rank Verteilung Ovalität],0))</f>
        <v>#N/A</v>
      </c>
      <c r="AB3256" t="e">
        <f>VLOOKUP(Tabelle1014[[#This Row],[Rank]],Stammdaten[[Rank Verteilung Ovalität]:[Verteilung Ovalität]],2,FALSE)</f>
        <v>#N/A</v>
      </c>
    </row>
    <row r="3257" spans="5:28" x14ac:dyDescent="0.35">
      <c r="E3257">
        <v>3248</v>
      </c>
      <c r="F3257" t="e">
        <f>INDEX(Stammdaten[D Mitte mit Rinde (mm)],MATCH(Tabelle8[[#This Row],[Rank]],Stammdaten[Rank Verteilung D Mitte mit Rinde],0))</f>
        <v>#N/A</v>
      </c>
      <c r="G3257" t="e">
        <f>VLOOKUP(Tabelle8[[#This Row],[Rank]],Stammdaten[[Rank Verteilung D Mitte mit Rinde]:[Verteilung D Mitte mit Rinde]],2,FALSE)</f>
        <v>#N/A</v>
      </c>
      <c r="L3257">
        <v>3248</v>
      </c>
      <c r="M3257" t="e">
        <f>INDEX(Stammdaten[Abholzigkeit (mm/lfm)],MATCH(Tabelle9[[#This Row],[Rank]],Stammdaten[Rank Verteilung Abholzigkeit],0))</f>
        <v>#N/A</v>
      </c>
      <c r="N3257" t="e">
        <f>VLOOKUP(Tabelle9[[#This Row],[Rank]],Stammdaten[[Rank Verteilung Abholzigkeit]:[Verteilung Abholzigkeit]],2,FALSE)</f>
        <v>#N/A</v>
      </c>
      <c r="S3257">
        <v>3248</v>
      </c>
      <c r="T3257" t="e">
        <f>INDEX(Stammdaten[Krümmung (mm/lfm)],MATCH(Tabelle10[[#This Row],[Rank]],Stammdaten[Rank Verteilung Krümmung],0))</f>
        <v>#N/A</v>
      </c>
      <c r="U3257" t="e">
        <f>VLOOKUP(Tabelle10[[#This Row],[Rank]],Stammdaten[[Rank Verteilung Krümmung]:[Verteilung Krümmung]],2,FALSE)</f>
        <v>#N/A</v>
      </c>
      <c r="Z3257">
        <v>3248</v>
      </c>
      <c r="AA3257" t="e">
        <f>INDEX(Stammdaten[Ovalität (']0,1'])],MATCH(Tabelle1014[[#This Row],[Rank]],Stammdaten[Rank Verteilung Ovalität],0))</f>
        <v>#N/A</v>
      </c>
      <c r="AB3257" t="e">
        <f>VLOOKUP(Tabelle1014[[#This Row],[Rank]],Stammdaten[[Rank Verteilung Ovalität]:[Verteilung Ovalität]],2,FALSE)</f>
        <v>#N/A</v>
      </c>
    </row>
    <row r="3258" spans="5:28" x14ac:dyDescent="0.35">
      <c r="E3258">
        <v>3249</v>
      </c>
      <c r="F3258" t="e">
        <f>INDEX(Stammdaten[D Mitte mit Rinde (mm)],MATCH(Tabelle8[[#This Row],[Rank]],Stammdaten[Rank Verteilung D Mitte mit Rinde],0))</f>
        <v>#N/A</v>
      </c>
      <c r="G3258" t="e">
        <f>VLOOKUP(Tabelle8[[#This Row],[Rank]],Stammdaten[[Rank Verteilung D Mitte mit Rinde]:[Verteilung D Mitte mit Rinde]],2,FALSE)</f>
        <v>#N/A</v>
      </c>
      <c r="L3258">
        <v>3249</v>
      </c>
      <c r="M3258" t="e">
        <f>INDEX(Stammdaten[Abholzigkeit (mm/lfm)],MATCH(Tabelle9[[#This Row],[Rank]],Stammdaten[Rank Verteilung Abholzigkeit],0))</f>
        <v>#N/A</v>
      </c>
      <c r="N3258" t="e">
        <f>VLOOKUP(Tabelle9[[#This Row],[Rank]],Stammdaten[[Rank Verteilung Abholzigkeit]:[Verteilung Abholzigkeit]],2,FALSE)</f>
        <v>#N/A</v>
      </c>
      <c r="S3258">
        <v>3249</v>
      </c>
      <c r="T3258" t="e">
        <f>INDEX(Stammdaten[Krümmung (mm/lfm)],MATCH(Tabelle10[[#This Row],[Rank]],Stammdaten[Rank Verteilung Krümmung],0))</f>
        <v>#N/A</v>
      </c>
      <c r="U3258" t="e">
        <f>VLOOKUP(Tabelle10[[#This Row],[Rank]],Stammdaten[[Rank Verteilung Krümmung]:[Verteilung Krümmung]],2,FALSE)</f>
        <v>#N/A</v>
      </c>
      <c r="Z3258">
        <v>3249</v>
      </c>
      <c r="AA3258" t="e">
        <f>INDEX(Stammdaten[Ovalität (']0,1'])],MATCH(Tabelle1014[[#This Row],[Rank]],Stammdaten[Rank Verteilung Ovalität],0))</f>
        <v>#N/A</v>
      </c>
      <c r="AB3258" t="e">
        <f>VLOOKUP(Tabelle1014[[#This Row],[Rank]],Stammdaten[[Rank Verteilung Ovalität]:[Verteilung Ovalität]],2,FALSE)</f>
        <v>#N/A</v>
      </c>
    </row>
    <row r="3259" spans="5:28" x14ac:dyDescent="0.35">
      <c r="E3259">
        <v>3250</v>
      </c>
      <c r="F3259" t="e">
        <f>INDEX(Stammdaten[D Mitte mit Rinde (mm)],MATCH(Tabelle8[[#This Row],[Rank]],Stammdaten[Rank Verteilung D Mitte mit Rinde],0))</f>
        <v>#N/A</v>
      </c>
      <c r="G3259" t="e">
        <f>VLOOKUP(Tabelle8[[#This Row],[Rank]],Stammdaten[[Rank Verteilung D Mitte mit Rinde]:[Verteilung D Mitte mit Rinde]],2,FALSE)</f>
        <v>#N/A</v>
      </c>
      <c r="L3259">
        <v>3250</v>
      </c>
      <c r="M3259" t="e">
        <f>INDEX(Stammdaten[Abholzigkeit (mm/lfm)],MATCH(Tabelle9[[#This Row],[Rank]],Stammdaten[Rank Verteilung Abholzigkeit],0))</f>
        <v>#N/A</v>
      </c>
      <c r="N3259" t="e">
        <f>VLOOKUP(Tabelle9[[#This Row],[Rank]],Stammdaten[[Rank Verteilung Abholzigkeit]:[Verteilung Abholzigkeit]],2,FALSE)</f>
        <v>#N/A</v>
      </c>
      <c r="S3259">
        <v>3250</v>
      </c>
      <c r="T3259" t="e">
        <f>INDEX(Stammdaten[Krümmung (mm/lfm)],MATCH(Tabelle10[[#This Row],[Rank]],Stammdaten[Rank Verteilung Krümmung],0))</f>
        <v>#N/A</v>
      </c>
      <c r="U3259" t="e">
        <f>VLOOKUP(Tabelle10[[#This Row],[Rank]],Stammdaten[[Rank Verteilung Krümmung]:[Verteilung Krümmung]],2,FALSE)</f>
        <v>#N/A</v>
      </c>
      <c r="Z3259">
        <v>3250</v>
      </c>
      <c r="AA3259" t="e">
        <f>INDEX(Stammdaten[Ovalität (']0,1'])],MATCH(Tabelle1014[[#This Row],[Rank]],Stammdaten[Rank Verteilung Ovalität],0))</f>
        <v>#N/A</v>
      </c>
      <c r="AB3259" t="e">
        <f>VLOOKUP(Tabelle1014[[#This Row],[Rank]],Stammdaten[[Rank Verteilung Ovalität]:[Verteilung Ovalität]],2,FALSE)</f>
        <v>#N/A</v>
      </c>
    </row>
    <row r="3260" spans="5:28" x14ac:dyDescent="0.35">
      <c r="E3260">
        <v>3251</v>
      </c>
      <c r="F3260" t="e">
        <f>INDEX(Stammdaten[D Mitte mit Rinde (mm)],MATCH(Tabelle8[[#This Row],[Rank]],Stammdaten[Rank Verteilung D Mitte mit Rinde],0))</f>
        <v>#N/A</v>
      </c>
      <c r="G3260" t="e">
        <f>VLOOKUP(Tabelle8[[#This Row],[Rank]],Stammdaten[[Rank Verteilung D Mitte mit Rinde]:[Verteilung D Mitte mit Rinde]],2,FALSE)</f>
        <v>#N/A</v>
      </c>
      <c r="L3260">
        <v>3251</v>
      </c>
      <c r="M3260" t="e">
        <f>INDEX(Stammdaten[Abholzigkeit (mm/lfm)],MATCH(Tabelle9[[#This Row],[Rank]],Stammdaten[Rank Verteilung Abholzigkeit],0))</f>
        <v>#N/A</v>
      </c>
      <c r="N3260" t="e">
        <f>VLOOKUP(Tabelle9[[#This Row],[Rank]],Stammdaten[[Rank Verteilung Abholzigkeit]:[Verteilung Abholzigkeit]],2,FALSE)</f>
        <v>#N/A</v>
      </c>
      <c r="S3260">
        <v>3251</v>
      </c>
      <c r="T3260" t="e">
        <f>INDEX(Stammdaten[Krümmung (mm/lfm)],MATCH(Tabelle10[[#This Row],[Rank]],Stammdaten[Rank Verteilung Krümmung],0))</f>
        <v>#N/A</v>
      </c>
      <c r="U3260" t="e">
        <f>VLOOKUP(Tabelle10[[#This Row],[Rank]],Stammdaten[[Rank Verteilung Krümmung]:[Verteilung Krümmung]],2,FALSE)</f>
        <v>#N/A</v>
      </c>
      <c r="Z3260">
        <v>3251</v>
      </c>
      <c r="AA3260" t="e">
        <f>INDEX(Stammdaten[Ovalität (']0,1'])],MATCH(Tabelle1014[[#This Row],[Rank]],Stammdaten[Rank Verteilung Ovalität],0))</f>
        <v>#N/A</v>
      </c>
      <c r="AB3260" t="e">
        <f>VLOOKUP(Tabelle1014[[#This Row],[Rank]],Stammdaten[[Rank Verteilung Ovalität]:[Verteilung Ovalität]],2,FALSE)</f>
        <v>#N/A</v>
      </c>
    </row>
    <row r="3261" spans="5:28" x14ac:dyDescent="0.35">
      <c r="E3261">
        <v>3252</v>
      </c>
      <c r="F3261" t="e">
        <f>INDEX(Stammdaten[D Mitte mit Rinde (mm)],MATCH(Tabelle8[[#This Row],[Rank]],Stammdaten[Rank Verteilung D Mitte mit Rinde],0))</f>
        <v>#N/A</v>
      </c>
      <c r="G3261" t="e">
        <f>VLOOKUP(Tabelle8[[#This Row],[Rank]],Stammdaten[[Rank Verteilung D Mitte mit Rinde]:[Verteilung D Mitte mit Rinde]],2,FALSE)</f>
        <v>#N/A</v>
      </c>
      <c r="L3261">
        <v>3252</v>
      </c>
      <c r="M3261" t="e">
        <f>INDEX(Stammdaten[Abholzigkeit (mm/lfm)],MATCH(Tabelle9[[#This Row],[Rank]],Stammdaten[Rank Verteilung Abholzigkeit],0))</f>
        <v>#N/A</v>
      </c>
      <c r="N3261" t="e">
        <f>VLOOKUP(Tabelle9[[#This Row],[Rank]],Stammdaten[[Rank Verteilung Abholzigkeit]:[Verteilung Abholzigkeit]],2,FALSE)</f>
        <v>#N/A</v>
      </c>
      <c r="S3261">
        <v>3252</v>
      </c>
      <c r="T3261" t="e">
        <f>INDEX(Stammdaten[Krümmung (mm/lfm)],MATCH(Tabelle10[[#This Row],[Rank]],Stammdaten[Rank Verteilung Krümmung],0))</f>
        <v>#N/A</v>
      </c>
      <c r="U3261" t="e">
        <f>VLOOKUP(Tabelle10[[#This Row],[Rank]],Stammdaten[[Rank Verteilung Krümmung]:[Verteilung Krümmung]],2,FALSE)</f>
        <v>#N/A</v>
      </c>
      <c r="Z3261">
        <v>3252</v>
      </c>
      <c r="AA3261" t="e">
        <f>INDEX(Stammdaten[Ovalität (']0,1'])],MATCH(Tabelle1014[[#This Row],[Rank]],Stammdaten[Rank Verteilung Ovalität],0))</f>
        <v>#N/A</v>
      </c>
      <c r="AB3261" t="e">
        <f>VLOOKUP(Tabelle1014[[#This Row],[Rank]],Stammdaten[[Rank Verteilung Ovalität]:[Verteilung Ovalität]],2,FALSE)</f>
        <v>#N/A</v>
      </c>
    </row>
    <row r="3262" spans="5:28" x14ac:dyDescent="0.35">
      <c r="E3262">
        <v>3253</v>
      </c>
      <c r="F3262" t="e">
        <f>INDEX(Stammdaten[D Mitte mit Rinde (mm)],MATCH(Tabelle8[[#This Row],[Rank]],Stammdaten[Rank Verteilung D Mitte mit Rinde],0))</f>
        <v>#N/A</v>
      </c>
      <c r="G3262" t="e">
        <f>VLOOKUP(Tabelle8[[#This Row],[Rank]],Stammdaten[[Rank Verteilung D Mitte mit Rinde]:[Verteilung D Mitte mit Rinde]],2,FALSE)</f>
        <v>#N/A</v>
      </c>
      <c r="L3262">
        <v>3253</v>
      </c>
      <c r="M3262" t="e">
        <f>INDEX(Stammdaten[Abholzigkeit (mm/lfm)],MATCH(Tabelle9[[#This Row],[Rank]],Stammdaten[Rank Verteilung Abholzigkeit],0))</f>
        <v>#N/A</v>
      </c>
      <c r="N3262" t="e">
        <f>VLOOKUP(Tabelle9[[#This Row],[Rank]],Stammdaten[[Rank Verteilung Abholzigkeit]:[Verteilung Abholzigkeit]],2,FALSE)</f>
        <v>#N/A</v>
      </c>
      <c r="S3262">
        <v>3253</v>
      </c>
      <c r="T3262" t="e">
        <f>INDEX(Stammdaten[Krümmung (mm/lfm)],MATCH(Tabelle10[[#This Row],[Rank]],Stammdaten[Rank Verteilung Krümmung],0))</f>
        <v>#N/A</v>
      </c>
      <c r="U3262" t="e">
        <f>VLOOKUP(Tabelle10[[#This Row],[Rank]],Stammdaten[[Rank Verteilung Krümmung]:[Verteilung Krümmung]],2,FALSE)</f>
        <v>#N/A</v>
      </c>
      <c r="Z3262">
        <v>3253</v>
      </c>
      <c r="AA3262" t="e">
        <f>INDEX(Stammdaten[Ovalität (']0,1'])],MATCH(Tabelle1014[[#This Row],[Rank]],Stammdaten[Rank Verteilung Ovalität],0))</f>
        <v>#N/A</v>
      </c>
      <c r="AB3262" t="e">
        <f>VLOOKUP(Tabelle1014[[#This Row],[Rank]],Stammdaten[[Rank Verteilung Ovalität]:[Verteilung Ovalität]],2,FALSE)</f>
        <v>#N/A</v>
      </c>
    </row>
    <row r="3263" spans="5:28" x14ac:dyDescent="0.35">
      <c r="E3263">
        <v>3254</v>
      </c>
      <c r="F3263" t="e">
        <f>INDEX(Stammdaten[D Mitte mit Rinde (mm)],MATCH(Tabelle8[[#This Row],[Rank]],Stammdaten[Rank Verteilung D Mitte mit Rinde],0))</f>
        <v>#N/A</v>
      </c>
      <c r="G3263" t="e">
        <f>VLOOKUP(Tabelle8[[#This Row],[Rank]],Stammdaten[[Rank Verteilung D Mitte mit Rinde]:[Verteilung D Mitte mit Rinde]],2,FALSE)</f>
        <v>#N/A</v>
      </c>
      <c r="L3263">
        <v>3254</v>
      </c>
      <c r="M3263" t="e">
        <f>INDEX(Stammdaten[Abholzigkeit (mm/lfm)],MATCH(Tabelle9[[#This Row],[Rank]],Stammdaten[Rank Verteilung Abholzigkeit],0))</f>
        <v>#N/A</v>
      </c>
      <c r="N3263" t="e">
        <f>VLOOKUP(Tabelle9[[#This Row],[Rank]],Stammdaten[[Rank Verteilung Abholzigkeit]:[Verteilung Abholzigkeit]],2,FALSE)</f>
        <v>#N/A</v>
      </c>
      <c r="S3263">
        <v>3254</v>
      </c>
      <c r="T3263" t="e">
        <f>INDEX(Stammdaten[Krümmung (mm/lfm)],MATCH(Tabelle10[[#This Row],[Rank]],Stammdaten[Rank Verteilung Krümmung],0))</f>
        <v>#N/A</v>
      </c>
      <c r="U3263" t="e">
        <f>VLOOKUP(Tabelle10[[#This Row],[Rank]],Stammdaten[[Rank Verteilung Krümmung]:[Verteilung Krümmung]],2,FALSE)</f>
        <v>#N/A</v>
      </c>
      <c r="Z3263">
        <v>3254</v>
      </c>
      <c r="AA3263" t="e">
        <f>INDEX(Stammdaten[Ovalität (']0,1'])],MATCH(Tabelle1014[[#This Row],[Rank]],Stammdaten[Rank Verteilung Ovalität],0))</f>
        <v>#N/A</v>
      </c>
      <c r="AB3263" t="e">
        <f>VLOOKUP(Tabelle1014[[#This Row],[Rank]],Stammdaten[[Rank Verteilung Ovalität]:[Verteilung Ovalität]],2,FALSE)</f>
        <v>#N/A</v>
      </c>
    </row>
    <row r="3264" spans="5:28" x14ac:dyDescent="0.35">
      <c r="E3264">
        <v>3255</v>
      </c>
      <c r="F3264" t="e">
        <f>INDEX(Stammdaten[D Mitte mit Rinde (mm)],MATCH(Tabelle8[[#This Row],[Rank]],Stammdaten[Rank Verteilung D Mitte mit Rinde],0))</f>
        <v>#N/A</v>
      </c>
      <c r="G3264" t="e">
        <f>VLOOKUP(Tabelle8[[#This Row],[Rank]],Stammdaten[[Rank Verteilung D Mitte mit Rinde]:[Verteilung D Mitte mit Rinde]],2,FALSE)</f>
        <v>#N/A</v>
      </c>
      <c r="L3264">
        <v>3255</v>
      </c>
      <c r="M3264" t="e">
        <f>INDEX(Stammdaten[Abholzigkeit (mm/lfm)],MATCH(Tabelle9[[#This Row],[Rank]],Stammdaten[Rank Verteilung Abholzigkeit],0))</f>
        <v>#N/A</v>
      </c>
      <c r="N3264" t="e">
        <f>VLOOKUP(Tabelle9[[#This Row],[Rank]],Stammdaten[[Rank Verteilung Abholzigkeit]:[Verteilung Abholzigkeit]],2,FALSE)</f>
        <v>#N/A</v>
      </c>
      <c r="S3264">
        <v>3255</v>
      </c>
      <c r="T3264" t="e">
        <f>INDEX(Stammdaten[Krümmung (mm/lfm)],MATCH(Tabelle10[[#This Row],[Rank]],Stammdaten[Rank Verteilung Krümmung],0))</f>
        <v>#N/A</v>
      </c>
      <c r="U3264" t="e">
        <f>VLOOKUP(Tabelle10[[#This Row],[Rank]],Stammdaten[[Rank Verteilung Krümmung]:[Verteilung Krümmung]],2,FALSE)</f>
        <v>#N/A</v>
      </c>
      <c r="Z3264">
        <v>3255</v>
      </c>
      <c r="AA3264" t="e">
        <f>INDEX(Stammdaten[Ovalität (']0,1'])],MATCH(Tabelle1014[[#This Row],[Rank]],Stammdaten[Rank Verteilung Ovalität],0))</f>
        <v>#N/A</v>
      </c>
      <c r="AB3264" t="e">
        <f>VLOOKUP(Tabelle1014[[#This Row],[Rank]],Stammdaten[[Rank Verteilung Ovalität]:[Verteilung Ovalität]],2,FALSE)</f>
        <v>#N/A</v>
      </c>
    </row>
    <row r="3265" spans="5:28" x14ac:dyDescent="0.35">
      <c r="E3265">
        <v>3256</v>
      </c>
      <c r="F3265" t="e">
        <f>INDEX(Stammdaten[D Mitte mit Rinde (mm)],MATCH(Tabelle8[[#This Row],[Rank]],Stammdaten[Rank Verteilung D Mitte mit Rinde],0))</f>
        <v>#N/A</v>
      </c>
      <c r="G3265" t="e">
        <f>VLOOKUP(Tabelle8[[#This Row],[Rank]],Stammdaten[[Rank Verteilung D Mitte mit Rinde]:[Verteilung D Mitte mit Rinde]],2,FALSE)</f>
        <v>#N/A</v>
      </c>
      <c r="L3265">
        <v>3256</v>
      </c>
      <c r="M3265" t="e">
        <f>INDEX(Stammdaten[Abholzigkeit (mm/lfm)],MATCH(Tabelle9[[#This Row],[Rank]],Stammdaten[Rank Verteilung Abholzigkeit],0))</f>
        <v>#N/A</v>
      </c>
      <c r="N3265" t="e">
        <f>VLOOKUP(Tabelle9[[#This Row],[Rank]],Stammdaten[[Rank Verteilung Abholzigkeit]:[Verteilung Abholzigkeit]],2,FALSE)</f>
        <v>#N/A</v>
      </c>
      <c r="S3265">
        <v>3256</v>
      </c>
      <c r="T3265" t="e">
        <f>INDEX(Stammdaten[Krümmung (mm/lfm)],MATCH(Tabelle10[[#This Row],[Rank]],Stammdaten[Rank Verteilung Krümmung],0))</f>
        <v>#N/A</v>
      </c>
      <c r="U3265" t="e">
        <f>VLOOKUP(Tabelle10[[#This Row],[Rank]],Stammdaten[[Rank Verteilung Krümmung]:[Verteilung Krümmung]],2,FALSE)</f>
        <v>#N/A</v>
      </c>
      <c r="Z3265">
        <v>3256</v>
      </c>
      <c r="AA3265" t="e">
        <f>INDEX(Stammdaten[Ovalität (']0,1'])],MATCH(Tabelle1014[[#This Row],[Rank]],Stammdaten[Rank Verteilung Ovalität],0))</f>
        <v>#N/A</v>
      </c>
      <c r="AB3265" t="e">
        <f>VLOOKUP(Tabelle1014[[#This Row],[Rank]],Stammdaten[[Rank Verteilung Ovalität]:[Verteilung Ovalität]],2,FALSE)</f>
        <v>#N/A</v>
      </c>
    </row>
    <row r="3266" spans="5:28" x14ac:dyDescent="0.35">
      <c r="E3266">
        <v>3257</v>
      </c>
      <c r="F3266" t="e">
        <f>INDEX(Stammdaten[D Mitte mit Rinde (mm)],MATCH(Tabelle8[[#This Row],[Rank]],Stammdaten[Rank Verteilung D Mitte mit Rinde],0))</f>
        <v>#N/A</v>
      </c>
      <c r="G3266" t="e">
        <f>VLOOKUP(Tabelle8[[#This Row],[Rank]],Stammdaten[[Rank Verteilung D Mitte mit Rinde]:[Verteilung D Mitte mit Rinde]],2,FALSE)</f>
        <v>#N/A</v>
      </c>
      <c r="L3266">
        <v>3257</v>
      </c>
      <c r="M3266" t="e">
        <f>INDEX(Stammdaten[Abholzigkeit (mm/lfm)],MATCH(Tabelle9[[#This Row],[Rank]],Stammdaten[Rank Verteilung Abholzigkeit],0))</f>
        <v>#N/A</v>
      </c>
      <c r="N3266" t="e">
        <f>VLOOKUP(Tabelle9[[#This Row],[Rank]],Stammdaten[[Rank Verteilung Abholzigkeit]:[Verteilung Abholzigkeit]],2,FALSE)</f>
        <v>#N/A</v>
      </c>
      <c r="S3266">
        <v>3257</v>
      </c>
      <c r="T3266" t="e">
        <f>INDEX(Stammdaten[Krümmung (mm/lfm)],MATCH(Tabelle10[[#This Row],[Rank]],Stammdaten[Rank Verteilung Krümmung],0))</f>
        <v>#N/A</v>
      </c>
      <c r="U3266" t="e">
        <f>VLOOKUP(Tabelle10[[#This Row],[Rank]],Stammdaten[[Rank Verteilung Krümmung]:[Verteilung Krümmung]],2,FALSE)</f>
        <v>#N/A</v>
      </c>
      <c r="Z3266">
        <v>3257</v>
      </c>
      <c r="AA3266" t="e">
        <f>INDEX(Stammdaten[Ovalität (']0,1'])],MATCH(Tabelle1014[[#This Row],[Rank]],Stammdaten[Rank Verteilung Ovalität],0))</f>
        <v>#N/A</v>
      </c>
      <c r="AB3266" t="e">
        <f>VLOOKUP(Tabelle1014[[#This Row],[Rank]],Stammdaten[[Rank Verteilung Ovalität]:[Verteilung Ovalität]],2,FALSE)</f>
        <v>#N/A</v>
      </c>
    </row>
    <row r="3267" spans="5:28" x14ac:dyDescent="0.35">
      <c r="E3267">
        <v>3258</v>
      </c>
      <c r="F3267" t="e">
        <f>INDEX(Stammdaten[D Mitte mit Rinde (mm)],MATCH(Tabelle8[[#This Row],[Rank]],Stammdaten[Rank Verteilung D Mitte mit Rinde],0))</f>
        <v>#N/A</v>
      </c>
      <c r="G3267" t="e">
        <f>VLOOKUP(Tabelle8[[#This Row],[Rank]],Stammdaten[[Rank Verteilung D Mitte mit Rinde]:[Verteilung D Mitte mit Rinde]],2,FALSE)</f>
        <v>#N/A</v>
      </c>
      <c r="L3267">
        <v>3258</v>
      </c>
      <c r="M3267" t="e">
        <f>INDEX(Stammdaten[Abholzigkeit (mm/lfm)],MATCH(Tabelle9[[#This Row],[Rank]],Stammdaten[Rank Verteilung Abholzigkeit],0))</f>
        <v>#N/A</v>
      </c>
      <c r="N3267" t="e">
        <f>VLOOKUP(Tabelle9[[#This Row],[Rank]],Stammdaten[[Rank Verteilung Abholzigkeit]:[Verteilung Abholzigkeit]],2,FALSE)</f>
        <v>#N/A</v>
      </c>
      <c r="S3267">
        <v>3258</v>
      </c>
      <c r="T3267" t="e">
        <f>INDEX(Stammdaten[Krümmung (mm/lfm)],MATCH(Tabelle10[[#This Row],[Rank]],Stammdaten[Rank Verteilung Krümmung],0))</f>
        <v>#N/A</v>
      </c>
      <c r="U3267" t="e">
        <f>VLOOKUP(Tabelle10[[#This Row],[Rank]],Stammdaten[[Rank Verteilung Krümmung]:[Verteilung Krümmung]],2,FALSE)</f>
        <v>#N/A</v>
      </c>
      <c r="Z3267">
        <v>3258</v>
      </c>
      <c r="AA3267" t="e">
        <f>INDEX(Stammdaten[Ovalität (']0,1'])],MATCH(Tabelle1014[[#This Row],[Rank]],Stammdaten[Rank Verteilung Ovalität],0))</f>
        <v>#N/A</v>
      </c>
      <c r="AB3267" t="e">
        <f>VLOOKUP(Tabelle1014[[#This Row],[Rank]],Stammdaten[[Rank Verteilung Ovalität]:[Verteilung Ovalität]],2,FALSE)</f>
        <v>#N/A</v>
      </c>
    </row>
    <row r="3268" spans="5:28" x14ac:dyDescent="0.35">
      <c r="E3268">
        <v>3259</v>
      </c>
      <c r="F3268" t="e">
        <f>INDEX(Stammdaten[D Mitte mit Rinde (mm)],MATCH(Tabelle8[[#This Row],[Rank]],Stammdaten[Rank Verteilung D Mitte mit Rinde],0))</f>
        <v>#N/A</v>
      </c>
      <c r="G3268" t="e">
        <f>VLOOKUP(Tabelle8[[#This Row],[Rank]],Stammdaten[[Rank Verteilung D Mitte mit Rinde]:[Verteilung D Mitte mit Rinde]],2,FALSE)</f>
        <v>#N/A</v>
      </c>
      <c r="L3268">
        <v>3259</v>
      </c>
      <c r="M3268" t="e">
        <f>INDEX(Stammdaten[Abholzigkeit (mm/lfm)],MATCH(Tabelle9[[#This Row],[Rank]],Stammdaten[Rank Verteilung Abholzigkeit],0))</f>
        <v>#N/A</v>
      </c>
      <c r="N3268" t="e">
        <f>VLOOKUP(Tabelle9[[#This Row],[Rank]],Stammdaten[[Rank Verteilung Abholzigkeit]:[Verteilung Abholzigkeit]],2,FALSE)</f>
        <v>#N/A</v>
      </c>
      <c r="S3268">
        <v>3259</v>
      </c>
      <c r="T3268" t="e">
        <f>INDEX(Stammdaten[Krümmung (mm/lfm)],MATCH(Tabelle10[[#This Row],[Rank]],Stammdaten[Rank Verteilung Krümmung],0))</f>
        <v>#N/A</v>
      </c>
      <c r="U3268" t="e">
        <f>VLOOKUP(Tabelle10[[#This Row],[Rank]],Stammdaten[[Rank Verteilung Krümmung]:[Verteilung Krümmung]],2,FALSE)</f>
        <v>#N/A</v>
      </c>
      <c r="Z3268">
        <v>3259</v>
      </c>
      <c r="AA3268" t="e">
        <f>INDEX(Stammdaten[Ovalität (']0,1'])],MATCH(Tabelle1014[[#This Row],[Rank]],Stammdaten[Rank Verteilung Ovalität],0))</f>
        <v>#N/A</v>
      </c>
      <c r="AB3268" t="e">
        <f>VLOOKUP(Tabelle1014[[#This Row],[Rank]],Stammdaten[[Rank Verteilung Ovalität]:[Verteilung Ovalität]],2,FALSE)</f>
        <v>#N/A</v>
      </c>
    </row>
    <row r="3269" spans="5:28" x14ac:dyDescent="0.35">
      <c r="E3269">
        <v>3260</v>
      </c>
      <c r="F3269" t="e">
        <f>INDEX(Stammdaten[D Mitte mit Rinde (mm)],MATCH(Tabelle8[[#This Row],[Rank]],Stammdaten[Rank Verteilung D Mitte mit Rinde],0))</f>
        <v>#N/A</v>
      </c>
      <c r="G3269" t="e">
        <f>VLOOKUP(Tabelle8[[#This Row],[Rank]],Stammdaten[[Rank Verteilung D Mitte mit Rinde]:[Verteilung D Mitte mit Rinde]],2,FALSE)</f>
        <v>#N/A</v>
      </c>
      <c r="L3269">
        <v>3260</v>
      </c>
      <c r="M3269" t="e">
        <f>INDEX(Stammdaten[Abholzigkeit (mm/lfm)],MATCH(Tabelle9[[#This Row],[Rank]],Stammdaten[Rank Verteilung Abholzigkeit],0))</f>
        <v>#N/A</v>
      </c>
      <c r="N3269" t="e">
        <f>VLOOKUP(Tabelle9[[#This Row],[Rank]],Stammdaten[[Rank Verteilung Abholzigkeit]:[Verteilung Abholzigkeit]],2,FALSE)</f>
        <v>#N/A</v>
      </c>
      <c r="S3269">
        <v>3260</v>
      </c>
      <c r="T3269" t="e">
        <f>INDEX(Stammdaten[Krümmung (mm/lfm)],MATCH(Tabelle10[[#This Row],[Rank]],Stammdaten[Rank Verteilung Krümmung],0))</f>
        <v>#N/A</v>
      </c>
      <c r="U3269" t="e">
        <f>VLOOKUP(Tabelle10[[#This Row],[Rank]],Stammdaten[[Rank Verteilung Krümmung]:[Verteilung Krümmung]],2,FALSE)</f>
        <v>#N/A</v>
      </c>
      <c r="Z3269">
        <v>3260</v>
      </c>
      <c r="AA3269" t="e">
        <f>INDEX(Stammdaten[Ovalität (']0,1'])],MATCH(Tabelle1014[[#This Row],[Rank]],Stammdaten[Rank Verteilung Ovalität],0))</f>
        <v>#N/A</v>
      </c>
      <c r="AB3269" t="e">
        <f>VLOOKUP(Tabelle1014[[#This Row],[Rank]],Stammdaten[[Rank Verteilung Ovalität]:[Verteilung Ovalität]],2,FALSE)</f>
        <v>#N/A</v>
      </c>
    </row>
    <row r="3270" spans="5:28" x14ac:dyDescent="0.35">
      <c r="E3270">
        <v>3261</v>
      </c>
      <c r="F3270" t="e">
        <f>INDEX(Stammdaten[D Mitte mit Rinde (mm)],MATCH(Tabelle8[[#This Row],[Rank]],Stammdaten[Rank Verteilung D Mitte mit Rinde],0))</f>
        <v>#N/A</v>
      </c>
      <c r="G3270" t="e">
        <f>VLOOKUP(Tabelle8[[#This Row],[Rank]],Stammdaten[[Rank Verteilung D Mitte mit Rinde]:[Verteilung D Mitte mit Rinde]],2,FALSE)</f>
        <v>#N/A</v>
      </c>
      <c r="L3270">
        <v>3261</v>
      </c>
      <c r="M3270" t="e">
        <f>INDEX(Stammdaten[Abholzigkeit (mm/lfm)],MATCH(Tabelle9[[#This Row],[Rank]],Stammdaten[Rank Verteilung Abholzigkeit],0))</f>
        <v>#N/A</v>
      </c>
      <c r="N3270" t="e">
        <f>VLOOKUP(Tabelle9[[#This Row],[Rank]],Stammdaten[[Rank Verteilung Abholzigkeit]:[Verteilung Abholzigkeit]],2,FALSE)</f>
        <v>#N/A</v>
      </c>
      <c r="S3270">
        <v>3261</v>
      </c>
      <c r="T3270" t="e">
        <f>INDEX(Stammdaten[Krümmung (mm/lfm)],MATCH(Tabelle10[[#This Row],[Rank]],Stammdaten[Rank Verteilung Krümmung],0))</f>
        <v>#N/A</v>
      </c>
      <c r="U3270" t="e">
        <f>VLOOKUP(Tabelle10[[#This Row],[Rank]],Stammdaten[[Rank Verteilung Krümmung]:[Verteilung Krümmung]],2,FALSE)</f>
        <v>#N/A</v>
      </c>
      <c r="Z3270">
        <v>3261</v>
      </c>
      <c r="AA3270" t="e">
        <f>INDEX(Stammdaten[Ovalität (']0,1'])],MATCH(Tabelle1014[[#This Row],[Rank]],Stammdaten[Rank Verteilung Ovalität],0))</f>
        <v>#N/A</v>
      </c>
      <c r="AB3270" t="e">
        <f>VLOOKUP(Tabelle1014[[#This Row],[Rank]],Stammdaten[[Rank Verteilung Ovalität]:[Verteilung Ovalität]],2,FALSE)</f>
        <v>#N/A</v>
      </c>
    </row>
    <row r="3271" spans="5:28" x14ac:dyDescent="0.35">
      <c r="E3271">
        <v>3262</v>
      </c>
      <c r="F3271" t="e">
        <f>INDEX(Stammdaten[D Mitte mit Rinde (mm)],MATCH(Tabelle8[[#This Row],[Rank]],Stammdaten[Rank Verteilung D Mitte mit Rinde],0))</f>
        <v>#N/A</v>
      </c>
      <c r="G3271" t="e">
        <f>VLOOKUP(Tabelle8[[#This Row],[Rank]],Stammdaten[[Rank Verteilung D Mitte mit Rinde]:[Verteilung D Mitte mit Rinde]],2,FALSE)</f>
        <v>#N/A</v>
      </c>
      <c r="L3271">
        <v>3262</v>
      </c>
      <c r="M3271" t="e">
        <f>INDEX(Stammdaten[Abholzigkeit (mm/lfm)],MATCH(Tabelle9[[#This Row],[Rank]],Stammdaten[Rank Verteilung Abholzigkeit],0))</f>
        <v>#N/A</v>
      </c>
      <c r="N3271" t="e">
        <f>VLOOKUP(Tabelle9[[#This Row],[Rank]],Stammdaten[[Rank Verteilung Abholzigkeit]:[Verteilung Abholzigkeit]],2,FALSE)</f>
        <v>#N/A</v>
      </c>
      <c r="S3271">
        <v>3262</v>
      </c>
      <c r="T3271" t="e">
        <f>INDEX(Stammdaten[Krümmung (mm/lfm)],MATCH(Tabelle10[[#This Row],[Rank]],Stammdaten[Rank Verteilung Krümmung],0))</f>
        <v>#N/A</v>
      </c>
      <c r="U3271" t="e">
        <f>VLOOKUP(Tabelle10[[#This Row],[Rank]],Stammdaten[[Rank Verteilung Krümmung]:[Verteilung Krümmung]],2,FALSE)</f>
        <v>#N/A</v>
      </c>
      <c r="Z3271">
        <v>3262</v>
      </c>
      <c r="AA3271" t="e">
        <f>INDEX(Stammdaten[Ovalität (']0,1'])],MATCH(Tabelle1014[[#This Row],[Rank]],Stammdaten[Rank Verteilung Ovalität],0))</f>
        <v>#N/A</v>
      </c>
      <c r="AB3271" t="e">
        <f>VLOOKUP(Tabelle1014[[#This Row],[Rank]],Stammdaten[[Rank Verteilung Ovalität]:[Verteilung Ovalität]],2,FALSE)</f>
        <v>#N/A</v>
      </c>
    </row>
    <row r="3272" spans="5:28" x14ac:dyDescent="0.35">
      <c r="E3272">
        <v>3263</v>
      </c>
      <c r="F3272" t="e">
        <f>INDEX(Stammdaten[D Mitte mit Rinde (mm)],MATCH(Tabelle8[[#This Row],[Rank]],Stammdaten[Rank Verteilung D Mitte mit Rinde],0))</f>
        <v>#N/A</v>
      </c>
      <c r="G3272" t="e">
        <f>VLOOKUP(Tabelle8[[#This Row],[Rank]],Stammdaten[[Rank Verteilung D Mitte mit Rinde]:[Verteilung D Mitte mit Rinde]],2,FALSE)</f>
        <v>#N/A</v>
      </c>
      <c r="L3272">
        <v>3263</v>
      </c>
      <c r="M3272" t="e">
        <f>INDEX(Stammdaten[Abholzigkeit (mm/lfm)],MATCH(Tabelle9[[#This Row],[Rank]],Stammdaten[Rank Verteilung Abholzigkeit],0))</f>
        <v>#N/A</v>
      </c>
      <c r="N3272" t="e">
        <f>VLOOKUP(Tabelle9[[#This Row],[Rank]],Stammdaten[[Rank Verteilung Abholzigkeit]:[Verteilung Abholzigkeit]],2,FALSE)</f>
        <v>#N/A</v>
      </c>
      <c r="S3272">
        <v>3263</v>
      </c>
      <c r="T3272" t="e">
        <f>INDEX(Stammdaten[Krümmung (mm/lfm)],MATCH(Tabelle10[[#This Row],[Rank]],Stammdaten[Rank Verteilung Krümmung],0))</f>
        <v>#N/A</v>
      </c>
      <c r="U3272" t="e">
        <f>VLOOKUP(Tabelle10[[#This Row],[Rank]],Stammdaten[[Rank Verteilung Krümmung]:[Verteilung Krümmung]],2,FALSE)</f>
        <v>#N/A</v>
      </c>
      <c r="Z3272">
        <v>3263</v>
      </c>
      <c r="AA3272" t="e">
        <f>INDEX(Stammdaten[Ovalität (']0,1'])],MATCH(Tabelle1014[[#This Row],[Rank]],Stammdaten[Rank Verteilung Ovalität],0))</f>
        <v>#N/A</v>
      </c>
      <c r="AB3272" t="e">
        <f>VLOOKUP(Tabelle1014[[#This Row],[Rank]],Stammdaten[[Rank Verteilung Ovalität]:[Verteilung Ovalität]],2,FALSE)</f>
        <v>#N/A</v>
      </c>
    </row>
    <row r="3273" spans="5:28" x14ac:dyDescent="0.35">
      <c r="E3273">
        <v>3264</v>
      </c>
      <c r="F3273" t="e">
        <f>INDEX(Stammdaten[D Mitte mit Rinde (mm)],MATCH(Tabelle8[[#This Row],[Rank]],Stammdaten[Rank Verteilung D Mitte mit Rinde],0))</f>
        <v>#N/A</v>
      </c>
      <c r="G3273" t="e">
        <f>VLOOKUP(Tabelle8[[#This Row],[Rank]],Stammdaten[[Rank Verteilung D Mitte mit Rinde]:[Verteilung D Mitte mit Rinde]],2,FALSE)</f>
        <v>#N/A</v>
      </c>
      <c r="L3273">
        <v>3264</v>
      </c>
      <c r="M3273" t="e">
        <f>INDEX(Stammdaten[Abholzigkeit (mm/lfm)],MATCH(Tabelle9[[#This Row],[Rank]],Stammdaten[Rank Verteilung Abholzigkeit],0))</f>
        <v>#N/A</v>
      </c>
      <c r="N3273" t="e">
        <f>VLOOKUP(Tabelle9[[#This Row],[Rank]],Stammdaten[[Rank Verteilung Abholzigkeit]:[Verteilung Abholzigkeit]],2,FALSE)</f>
        <v>#N/A</v>
      </c>
      <c r="S3273">
        <v>3264</v>
      </c>
      <c r="T3273" t="e">
        <f>INDEX(Stammdaten[Krümmung (mm/lfm)],MATCH(Tabelle10[[#This Row],[Rank]],Stammdaten[Rank Verteilung Krümmung],0))</f>
        <v>#N/A</v>
      </c>
      <c r="U3273" t="e">
        <f>VLOOKUP(Tabelle10[[#This Row],[Rank]],Stammdaten[[Rank Verteilung Krümmung]:[Verteilung Krümmung]],2,FALSE)</f>
        <v>#N/A</v>
      </c>
      <c r="Z3273">
        <v>3264</v>
      </c>
      <c r="AA3273" t="e">
        <f>INDEX(Stammdaten[Ovalität (']0,1'])],MATCH(Tabelle1014[[#This Row],[Rank]],Stammdaten[Rank Verteilung Ovalität],0))</f>
        <v>#N/A</v>
      </c>
      <c r="AB3273" t="e">
        <f>VLOOKUP(Tabelle1014[[#This Row],[Rank]],Stammdaten[[Rank Verteilung Ovalität]:[Verteilung Ovalität]],2,FALSE)</f>
        <v>#N/A</v>
      </c>
    </row>
    <row r="3274" spans="5:28" x14ac:dyDescent="0.35">
      <c r="E3274">
        <v>3265</v>
      </c>
      <c r="F3274" t="e">
        <f>INDEX(Stammdaten[D Mitte mit Rinde (mm)],MATCH(Tabelle8[[#This Row],[Rank]],Stammdaten[Rank Verteilung D Mitte mit Rinde],0))</f>
        <v>#N/A</v>
      </c>
      <c r="G3274" t="e">
        <f>VLOOKUP(Tabelle8[[#This Row],[Rank]],Stammdaten[[Rank Verteilung D Mitte mit Rinde]:[Verteilung D Mitte mit Rinde]],2,FALSE)</f>
        <v>#N/A</v>
      </c>
      <c r="L3274">
        <v>3265</v>
      </c>
      <c r="M3274" t="e">
        <f>INDEX(Stammdaten[Abholzigkeit (mm/lfm)],MATCH(Tabelle9[[#This Row],[Rank]],Stammdaten[Rank Verteilung Abholzigkeit],0))</f>
        <v>#N/A</v>
      </c>
      <c r="N3274" t="e">
        <f>VLOOKUP(Tabelle9[[#This Row],[Rank]],Stammdaten[[Rank Verteilung Abholzigkeit]:[Verteilung Abholzigkeit]],2,FALSE)</f>
        <v>#N/A</v>
      </c>
      <c r="S3274">
        <v>3265</v>
      </c>
      <c r="T3274" t="e">
        <f>INDEX(Stammdaten[Krümmung (mm/lfm)],MATCH(Tabelle10[[#This Row],[Rank]],Stammdaten[Rank Verteilung Krümmung],0))</f>
        <v>#N/A</v>
      </c>
      <c r="U3274" t="e">
        <f>VLOOKUP(Tabelle10[[#This Row],[Rank]],Stammdaten[[Rank Verteilung Krümmung]:[Verteilung Krümmung]],2,FALSE)</f>
        <v>#N/A</v>
      </c>
      <c r="Z3274">
        <v>3265</v>
      </c>
      <c r="AA3274" t="e">
        <f>INDEX(Stammdaten[Ovalität (']0,1'])],MATCH(Tabelle1014[[#This Row],[Rank]],Stammdaten[Rank Verteilung Ovalität],0))</f>
        <v>#N/A</v>
      </c>
      <c r="AB3274" t="e">
        <f>VLOOKUP(Tabelle1014[[#This Row],[Rank]],Stammdaten[[Rank Verteilung Ovalität]:[Verteilung Ovalität]],2,FALSE)</f>
        <v>#N/A</v>
      </c>
    </row>
    <row r="3275" spans="5:28" x14ac:dyDescent="0.35">
      <c r="E3275">
        <v>3266</v>
      </c>
      <c r="F3275" t="e">
        <f>INDEX(Stammdaten[D Mitte mit Rinde (mm)],MATCH(Tabelle8[[#This Row],[Rank]],Stammdaten[Rank Verteilung D Mitte mit Rinde],0))</f>
        <v>#N/A</v>
      </c>
      <c r="G3275" t="e">
        <f>VLOOKUP(Tabelle8[[#This Row],[Rank]],Stammdaten[[Rank Verteilung D Mitte mit Rinde]:[Verteilung D Mitte mit Rinde]],2,FALSE)</f>
        <v>#N/A</v>
      </c>
      <c r="L3275">
        <v>3266</v>
      </c>
      <c r="M3275" t="e">
        <f>INDEX(Stammdaten[Abholzigkeit (mm/lfm)],MATCH(Tabelle9[[#This Row],[Rank]],Stammdaten[Rank Verteilung Abholzigkeit],0))</f>
        <v>#N/A</v>
      </c>
      <c r="N3275" t="e">
        <f>VLOOKUP(Tabelle9[[#This Row],[Rank]],Stammdaten[[Rank Verteilung Abholzigkeit]:[Verteilung Abholzigkeit]],2,FALSE)</f>
        <v>#N/A</v>
      </c>
      <c r="S3275">
        <v>3266</v>
      </c>
      <c r="T3275" t="e">
        <f>INDEX(Stammdaten[Krümmung (mm/lfm)],MATCH(Tabelle10[[#This Row],[Rank]],Stammdaten[Rank Verteilung Krümmung],0))</f>
        <v>#N/A</v>
      </c>
      <c r="U3275" t="e">
        <f>VLOOKUP(Tabelle10[[#This Row],[Rank]],Stammdaten[[Rank Verteilung Krümmung]:[Verteilung Krümmung]],2,FALSE)</f>
        <v>#N/A</v>
      </c>
      <c r="Z3275">
        <v>3266</v>
      </c>
      <c r="AA3275" t="e">
        <f>INDEX(Stammdaten[Ovalität (']0,1'])],MATCH(Tabelle1014[[#This Row],[Rank]],Stammdaten[Rank Verteilung Ovalität],0))</f>
        <v>#N/A</v>
      </c>
      <c r="AB3275" t="e">
        <f>VLOOKUP(Tabelle1014[[#This Row],[Rank]],Stammdaten[[Rank Verteilung Ovalität]:[Verteilung Ovalität]],2,FALSE)</f>
        <v>#N/A</v>
      </c>
    </row>
    <row r="3276" spans="5:28" x14ac:dyDescent="0.35">
      <c r="E3276">
        <v>3267</v>
      </c>
      <c r="F3276" t="e">
        <f>INDEX(Stammdaten[D Mitte mit Rinde (mm)],MATCH(Tabelle8[[#This Row],[Rank]],Stammdaten[Rank Verteilung D Mitte mit Rinde],0))</f>
        <v>#N/A</v>
      </c>
      <c r="G3276" t="e">
        <f>VLOOKUP(Tabelle8[[#This Row],[Rank]],Stammdaten[[Rank Verteilung D Mitte mit Rinde]:[Verteilung D Mitte mit Rinde]],2,FALSE)</f>
        <v>#N/A</v>
      </c>
      <c r="L3276">
        <v>3267</v>
      </c>
      <c r="M3276" t="e">
        <f>INDEX(Stammdaten[Abholzigkeit (mm/lfm)],MATCH(Tabelle9[[#This Row],[Rank]],Stammdaten[Rank Verteilung Abholzigkeit],0))</f>
        <v>#N/A</v>
      </c>
      <c r="N3276" t="e">
        <f>VLOOKUP(Tabelle9[[#This Row],[Rank]],Stammdaten[[Rank Verteilung Abholzigkeit]:[Verteilung Abholzigkeit]],2,FALSE)</f>
        <v>#N/A</v>
      </c>
      <c r="S3276">
        <v>3267</v>
      </c>
      <c r="T3276" t="e">
        <f>INDEX(Stammdaten[Krümmung (mm/lfm)],MATCH(Tabelle10[[#This Row],[Rank]],Stammdaten[Rank Verteilung Krümmung],0))</f>
        <v>#N/A</v>
      </c>
      <c r="U3276" t="e">
        <f>VLOOKUP(Tabelle10[[#This Row],[Rank]],Stammdaten[[Rank Verteilung Krümmung]:[Verteilung Krümmung]],2,FALSE)</f>
        <v>#N/A</v>
      </c>
      <c r="Z3276">
        <v>3267</v>
      </c>
      <c r="AA3276" t="e">
        <f>INDEX(Stammdaten[Ovalität (']0,1'])],MATCH(Tabelle1014[[#This Row],[Rank]],Stammdaten[Rank Verteilung Ovalität],0))</f>
        <v>#N/A</v>
      </c>
      <c r="AB3276" t="e">
        <f>VLOOKUP(Tabelle1014[[#This Row],[Rank]],Stammdaten[[Rank Verteilung Ovalität]:[Verteilung Ovalität]],2,FALSE)</f>
        <v>#N/A</v>
      </c>
    </row>
    <row r="3277" spans="5:28" x14ac:dyDescent="0.35">
      <c r="E3277">
        <v>3268</v>
      </c>
      <c r="F3277" t="e">
        <f>INDEX(Stammdaten[D Mitte mit Rinde (mm)],MATCH(Tabelle8[[#This Row],[Rank]],Stammdaten[Rank Verteilung D Mitte mit Rinde],0))</f>
        <v>#N/A</v>
      </c>
      <c r="G3277" t="e">
        <f>VLOOKUP(Tabelle8[[#This Row],[Rank]],Stammdaten[[Rank Verteilung D Mitte mit Rinde]:[Verteilung D Mitte mit Rinde]],2,FALSE)</f>
        <v>#N/A</v>
      </c>
      <c r="L3277">
        <v>3268</v>
      </c>
      <c r="M3277" t="e">
        <f>INDEX(Stammdaten[Abholzigkeit (mm/lfm)],MATCH(Tabelle9[[#This Row],[Rank]],Stammdaten[Rank Verteilung Abholzigkeit],0))</f>
        <v>#N/A</v>
      </c>
      <c r="N3277" t="e">
        <f>VLOOKUP(Tabelle9[[#This Row],[Rank]],Stammdaten[[Rank Verteilung Abholzigkeit]:[Verteilung Abholzigkeit]],2,FALSE)</f>
        <v>#N/A</v>
      </c>
      <c r="S3277">
        <v>3268</v>
      </c>
      <c r="T3277" t="e">
        <f>INDEX(Stammdaten[Krümmung (mm/lfm)],MATCH(Tabelle10[[#This Row],[Rank]],Stammdaten[Rank Verteilung Krümmung],0))</f>
        <v>#N/A</v>
      </c>
      <c r="U3277" t="e">
        <f>VLOOKUP(Tabelle10[[#This Row],[Rank]],Stammdaten[[Rank Verteilung Krümmung]:[Verteilung Krümmung]],2,FALSE)</f>
        <v>#N/A</v>
      </c>
      <c r="Z3277">
        <v>3268</v>
      </c>
      <c r="AA3277" t="e">
        <f>INDEX(Stammdaten[Ovalität (']0,1'])],MATCH(Tabelle1014[[#This Row],[Rank]],Stammdaten[Rank Verteilung Ovalität],0))</f>
        <v>#N/A</v>
      </c>
      <c r="AB3277" t="e">
        <f>VLOOKUP(Tabelle1014[[#This Row],[Rank]],Stammdaten[[Rank Verteilung Ovalität]:[Verteilung Ovalität]],2,FALSE)</f>
        <v>#N/A</v>
      </c>
    </row>
    <row r="3278" spans="5:28" x14ac:dyDescent="0.35">
      <c r="E3278">
        <v>3269</v>
      </c>
      <c r="F3278" t="e">
        <f>INDEX(Stammdaten[D Mitte mit Rinde (mm)],MATCH(Tabelle8[[#This Row],[Rank]],Stammdaten[Rank Verteilung D Mitte mit Rinde],0))</f>
        <v>#N/A</v>
      </c>
      <c r="G3278" t="e">
        <f>VLOOKUP(Tabelle8[[#This Row],[Rank]],Stammdaten[[Rank Verteilung D Mitte mit Rinde]:[Verteilung D Mitte mit Rinde]],2,FALSE)</f>
        <v>#N/A</v>
      </c>
      <c r="L3278">
        <v>3269</v>
      </c>
      <c r="M3278" t="e">
        <f>INDEX(Stammdaten[Abholzigkeit (mm/lfm)],MATCH(Tabelle9[[#This Row],[Rank]],Stammdaten[Rank Verteilung Abholzigkeit],0))</f>
        <v>#N/A</v>
      </c>
      <c r="N3278" t="e">
        <f>VLOOKUP(Tabelle9[[#This Row],[Rank]],Stammdaten[[Rank Verteilung Abholzigkeit]:[Verteilung Abholzigkeit]],2,FALSE)</f>
        <v>#N/A</v>
      </c>
      <c r="S3278">
        <v>3269</v>
      </c>
      <c r="T3278" t="e">
        <f>INDEX(Stammdaten[Krümmung (mm/lfm)],MATCH(Tabelle10[[#This Row],[Rank]],Stammdaten[Rank Verteilung Krümmung],0))</f>
        <v>#N/A</v>
      </c>
      <c r="U3278" t="e">
        <f>VLOOKUP(Tabelle10[[#This Row],[Rank]],Stammdaten[[Rank Verteilung Krümmung]:[Verteilung Krümmung]],2,FALSE)</f>
        <v>#N/A</v>
      </c>
      <c r="Z3278">
        <v>3269</v>
      </c>
      <c r="AA3278" t="e">
        <f>INDEX(Stammdaten[Ovalität (']0,1'])],MATCH(Tabelle1014[[#This Row],[Rank]],Stammdaten[Rank Verteilung Ovalität],0))</f>
        <v>#N/A</v>
      </c>
      <c r="AB3278" t="e">
        <f>VLOOKUP(Tabelle1014[[#This Row],[Rank]],Stammdaten[[Rank Verteilung Ovalität]:[Verteilung Ovalität]],2,FALSE)</f>
        <v>#N/A</v>
      </c>
    </row>
    <row r="3279" spans="5:28" x14ac:dyDescent="0.35">
      <c r="E3279">
        <v>3270</v>
      </c>
      <c r="F3279" t="e">
        <f>INDEX(Stammdaten[D Mitte mit Rinde (mm)],MATCH(Tabelle8[[#This Row],[Rank]],Stammdaten[Rank Verteilung D Mitte mit Rinde],0))</f>
        <v>#N/A</v>
      </c>
      <c r="G3279" t="e">
        <f>VLOOKUP(Tabelle8[[#This Row],[Rank]],Stammdaten[[Rank Verteilung D Mitte mit Rinde]:[Verteilung D Mitte mit Rinde]],2,FALSE)</f>
        <v>#N/A</v>
      </c>
      <c r="L3279">
        <v>3270</v>
      </c>
      <c r="M3279" t="e">
        <f>INDEX(Stammdaten[Abholzigkeit (mm/lfm)],MATCH(Tabelle9[[#This Row],[Rank]],Stammdaten[Rank Verteilung Abholzigkeit],0))</f>
        <v>#N/A</v>
      </c>
      <c r="N3279" t="e">
        <f>VLOOKUP(Tabelle9[[#This Row],[Rank]],Stammdaten[[Rank Verteilung Abholzigkeit]:[Verteilung Abholzigkeit]],2,FALSE)</f>
        <v>#N/A</v>
      </c>
      <c r="S3279">
        <v>3270</v>
      </c>
      <c r="T3279" t="e">
        <f>INDEX(Stammdaten[Krümmung (mm/lfm)],MATCH(Tabelle10[[#This Row],[Rank]],Stammdaten[Rank Verteilung Krümmung],0))</f>
        <v>#N/A</v>
      </c>
      <c r="U3279" t="e">
        <f>VLOOKUP(Tabelle10[[#This Row],[Rank]],Stammdaten[[Rank Verteilung Krümmung]:[Verteilung Krümmung]],2,FALSE)</f>
        <v>#N/A</v>
      </c>
      <c r="Z3279">
        <v>3270</v>
      </c>
      <c r="AA3279" t="e">
        <f>INDEX(Stammdaten[Ovalität (']0,1'])],MATCH(Tabelle1014[[#This Row],[Rank]],Stammdaten[Rank Verteilung Ovalität],0))</f>
        <v>#N/A</v>
      </c>
      <c r="AB3279" t="e">
        <f>VLOOKUP(Tabelle1014[[#This Row],[Rank]],Stammdaten[[Rank Verteilung Ovalität]:[Verteilung Ovalität]],2,FALSE)</f>
        <v>#N/A</v>
      </c>
    </row>
    <row r="3280" spans="5:28" x14ac:dyDescent="0.35">
      <c r="E3280">
        <v>3271</v>
      </c>
      <c r="F3280" t="e">
        <f>INDEX(Stammdaten[D Mitte mit Rinde (mm)],MATCH(Tabelle8[[#This Row],[Rank]],Stammdaten[Rank Verteilung D Mitte mit Rinde],0))</f>
        <v>#N/A</v>
      </c>
      <c r="G3280" t="e">
        <f>VLOOKUP(Tabelle8[[#This Row],[Rank]],Stammdaten[[Rank Verteilung D Mitte mit Rinde]:[Verteilung D Mitte mit Rinde]],2,FALSE)</f>
        <v>#N/A</v>
      </c>
      <c r="L3280">
        <v>3271</v>
      </c>
      <c r="M3280" t="e">
        <f>INDEX(Stammdaten[Abholzigkeit (mm/lfm)],MATCH(Tabelle9[[#This Row],[Rank]],Stammdaten[Rank Verteilung Abholzigkeit],0))</f>
        <v>#N/A</v>
      </c>
      <c r="N3280" t="e">
        <f>VLOOKUP(Tabelle9[[#This Row],[Rank]],Stammdaten[[Rank Verteilung Abholzigkeit]:[Verteilung Abholzigkeit]],2,FALSE)</f>
        <v>#N/A</v>
      </c>
      <c r="S3280">
        <v>3271</v>
      </c>
      <c r="T3280" t="e">
        <f>INDEX(Stammdaten[Krümmung (mm/lfm)],MATCH(Tabelle10[[#This Row],[Rank]],Stammdaten[Rank Verteilung Krümmung],0))</f>
        <v>#N/A</v>
      </c>
      <c r="U3280" t="e">
        <f>VLOOKUP(Tabelle10[[#This Row],[Rank]],Stammdaten[[Rank Verteilung Krümmung]:[Verteilung Krümmung]],2,FALSE)</f>
        <v>#N/A</v>
      </c>
      <c r="Z3280">
        <v>3271</v>
      </c>
      <c r="AA3280" t="e">
        <f>INDEX(Stammdaten[Ovalität (']0,1'])],MATCH(Tabelle1014[[#This Row],[Rank]],Stammdaten[Rank Verteilung Ovalität],0))</f>
        <v>#N/A</v>
      </c>
      <c r="AB3280" t="e">
        <f>VLOOKUP(Tabelle1014[[#This Row],[Rank]],Stammdaten[[Rank Verteilung Ovalität]:[Verteilung Ovalität]],2,FALSE)</f>
        <v>#N/A</v>
      </c>
    </row>
    <row r="3281" spans="5:28" x14ac:dyDescent="0.35">
      <c r="E3281">
        <v>3272</v>
      </c>
      <c r="F3281" t="e">
        <f>INDEX(Stammdaten[D Mitte mit Rinde (mm)],MATCH(Tabelle8[[#This Row],[Rank]],Stammdaten[Rank Verteilung D Mitte mit Rinde],0))</f>
        <v>#N/A</v>
      </c>
      <c r="G3281" t="e">
        <f>VLOOKUP(Tabelle8[[#This Row],[Rank]],Stammdaten[[Rank Verteilung D Mitte mit Rinde]:[Verteilung D Mitte mit Rinde]],2,FALSE)</f>
        <v>#N/A</v>
      </c>
      <c r="L3281">
        <v>3272</v>
      </c>
      <c r="M3281" t="e">
        <f>INDEX(Stammdaten[Abholzigkeit (mm/lfm)],MATCH(Tabelle9[[#This Row],[Rank]],Stammdaten[Rank Verteilung Abholzigkeit],0))</f>
        <v>#N/A</v>
      </c>
      <c r="N3281" t="e">
        <f>VLOOKUP(Tabelle9[[#This Row],[Rank]],Stammdaten[[Rank Verteilung Abholzigkeit]:[Verteilung Abholzigkeit]],2,FALSE)</f>
        <v>#N/A</v>
      </c>
      <c r="S3281">
        <v>3272</v>
      </c>
      <c r="T3281" t="e">
        <f>INDEX(Stammdaten[Krümmung (mm/lfm)],MATCH(Tabelle10[[#This Row],[Rank]],Stammdaten[Rank Verteilung Krümmung],0))</f>
        <v>#N/A</v>
      </c>
      <c r="U3281" t="e">
        <f>VLOOKUP(Tabelle10[[#This Row],[Rank]],Stammdaten[[Rank Verteilung Krümmung]:[Verteilung Krümmung]],2,FALSE)</f>
        <v>#N/A</v>
      </c>
      <c r="Z3281">
        <v>3272</v>
      </c>
      <c r="AA3281" t="e">
        <f>INDEX(Stammdaten[Ovalität (']0,1'])],MATCH(Tabelle1014[[#This Row],[Rank]],Stammdaten[Rank Verteilung Ovalität],0))</f>
        <v>#N/A</v>
      </c>
      <c r="AB3281" t="e">
        <f>VLOOKUP(Tabelle1014[[#This Row],[Rank]],Stammdaten[[Rank Verteilung Ovalität]:[Verteilung Ovalität]],2,FALSE)</f>
        <v>#N/A</v>
      </c>
    </row>
    <row r="3282" spans="5:28" x14ac:dyDescent="0.35">
      <c r="E3282">
        <v>3273</v>
      </c>
      <c r="F3282" t="e">
        <f>INDEX(Stammdaten[D Mitte mit Rinde (mm)],MATCH(Tabelle8[[#This Row],[Rank]],Stammdaten[Rank Verteilung D Mitte mit Rinde],0))</f>
        <v>#N/A</v>
      </c>
      <c r="G3282" t="e">
        <f>VLOOKUP(Tabelle8[[#This Row],[Rank]],Stammdaten[[Rank Verteilung D Mitte mit Rinde]:[Verteilung D Mitte mit Rinde]],2,FALSE)</f>
        <v>#N/A</v>
      </c>
      <c r="L3282">
        <v>3273</v>
      </c>
      <c r="M3282" t="e">
        <f>INDEX(Stammdaten[Abholzigkeit (mm/lfm)],MATCH(Tabelle9[[#This Row],[Rank]],Stammdaten[Rank Verteilung Abholzigkeit],0))</f>
        <v>#N/A</v>
      </c>
      <c r="N3282" t="e">
        <f>VLOOKUP(Tabelle9[[#This Row],[Rank]],Stammdaten[[Rank Verteilung Abholzigkeit]:[Verteilung Abholzigkeit]],2,FALSE)</f>
        <v>#N/A</v>
      </c>
      <c r="S3282">
        <v>3273</v>
      </c>
      <c r="T3282" t="e">
        <f>INDEX(Stammdaten[Krümmung (mm/lfm)],MATCH(Tabelle10[[#This Row],[Rank]],Stammdaten[Rank Verteilung Krümmung],0))</f>
        <v>#N/A</v>
      </c>
      <c r="U3282" t="e">
        <f>VLOOKUP(Tabelle10[[#This Row],[Rank]],Stammdaten[[Rank Verteilung Krümmung]:[Verteilung Krümmung]],2,FALSE)</f>
        <v>#N/A</v>
      </c>
      <c r="Z3282">
        <v>3273</v>
      </c>
      <c r="AA3282" t="e">
        <f>INDEX(Stammdaten[Ovalität (']0,1'])],MATCH(Tabelle1014[[#This Row],[Rank]],Stammdaten[Rank Verteilung Ovalität],0))</f>
        <v>#N/A</v>
      </c>
      <c r="AB3282" t="e">
        <f>VLOOKUP(Tabelle1014[[#This Row],[Rank]],Stammdaten[[Rank Verteilung Ovalität]:[Verteilung Ovalität]],2,FALSE)</f>
        <v>#N/A</v>
      </c>
    </row>
    <row r="3283" spans="5:28" x14ac:dyDescent="0.35">
      <c r="E3283">
        <v>3274</v>
      </c>
      <c r="F3283" t="e">
        <f>INDEX(Stammdaten[D Mitte mit Rinde (mm)],MATCH(Tabelle8[[#This Row],[Rank]],Stammdaten[Rank Verteilung D Mitte mit Rinde],0))</f>
        <v>#N/A</v>
      </c>
      <c r="G3283" t="e">
        <f>VLOOKUP(Tabelle8[[#This Row],[Rank]],Stammdaten[[Rank Verteilung D Mitte mit Rinde]:[Verteilung D Mitte mit Rinde]],2,FALSE)</f>
        <v>#N/A</v>
      </c>
      <c r="L3283">
        <v>3274</v>
      </c>
      <c r="M3283" t="e">
        <f>INDEX(Stammdaten[Abholzigkeit (mm/lfm)],MATCH(Tabelle9[[#This Row],[Rank]],Stammdaten[Rank Verteilung Abholzigkeit],0))</f>
        <v>#N/A</v>
      </c>
      <c r="N3283" t="e">
        <f>VLOOKUP(Tabelle9[[#This Row],[Rank]],Stammdaten[[Rank Verteilung Abholzigkeit]:[Verteilung Abholzigkeit]],2,FALSE)</f>
        <v>#N/A</v>
      </c>
      <c r="S3283">
        <v>3274</v>
      </c>
      <c r="T3283" t="e">
        <f>INDEX(Stammdaten[Krümmung (mm/lfm)],MATCH(Tabelle10[[#This Row],[Rank]],Stammdaten[Rank Verteilung Krümmung],0))</f>
        <v>#N/A</v>
      </c>
      <c r="U3283" t="e">
        <f>VLOOKUP(Tabelle10[[#This Row],[Rank]],Stammdaten[[Rank Verteilung Krümmung]:[Verteilung Krümmung]],2,FALSE)</f>
        <v>#N/A</v>
      </c>
      <c r="Z3283">
        <v>3274</v>
      </c>
      <c r="AA3283" t="e">
        <f>INDEX(Stammdaten[Ovalität (']0,1'])],MATCH(Tabelle1014[[#This Row],[Rank]],Stammdaten[Rank Verteilung Ovalität],0))</f>
        <v>#N/A</v>
      </c>
      <c r="AB3283" t="e">
        <f>VLOOKUP(Tabelle1014[[#This Row],[Rank]],Stammdaten[[Rank Verteilung Ovalität]:[Verteilung Ovalität]],2,FALSE)</f>
        <v>#N/A</v>
      </c>
    </row>
    <row r="3284" spans="5:28" x14ac:dyDescent="0.35">
      <c r="E3284">
        <v>3275</v>
      </c>
      <c r="F3284" t="e">
        <f>INDEX(Stammdaten[D Mitte mit Rinde (mm)],MATCH(Tabelle8[[#This Row],[Rank]],Stammdaten[Rank Verteilung D Mitte mit Rinde],0))</f>
        <v>#N/A</v>
      </c>
      <c r="G3284" t="e">
        <f>VLOOKUP(Tabelle8[[#This Row],[Rank]],Stammdaten[[Rank Verteilung D Mitte mit Rinde]:[Verteilung D Mitte mit Rinde]],2,FALSE)</f>
        <v>#N/A</v>
      </c>
      <c r="L3284">
        <v>3275</v>
      </c>
      <c r="M3284" t="e">
        <f>INDEX(Stammdaten[Abholzigkeit (mm/lfm)],MATCH(Tabelle9[[#This Row],[Rank]],Stammdaten[Rank Verteilung Abholzigkeit],0))</f>
        <v>#N/A</v>
      </c>
      <c r="N3284" t="e">
        <f>VLOOKUP(Tabelle9[[#This Row],[Rank]],Stammdaten[[Rank Verteilung Abholzigkeit]:[Verteilung Abholzigkeit]],2,FALSE)</f>
        <v>#N/A</v>
      </c>
      <c r="S3284">
        <v>3275</v>
      </c>
      <c r="T3284" t="e">
        <f>INDEX(Stammdaten[Krümmung (mm/lfm)],MATCH(Tabelle10[[#This Row],[Rank]],Stammdaten[Rank Verteilung Krümmung],0))</f>
        <v>#N/A</v>
      </c>
      <c r="U3284" t="e">
        <f>VLOOKUP(Tabelle10[[#This Row],[Rank]],Stammdaten[[Rank Verteilung Krümmung]:[Verteilung Krümmung]],2,FALSE)</f>
        <v>#N/A</v>
      </c>
      <c r="Z3284">
        <v>3275</v>
      </c>
      <c r="AA3284" t="e">
        <f>INDEX(Stammdaten[Ovalität (']0,1'])],MATCH(Tabelle1014[[#This Row],[Rank]],Stammdaten[Rank Verteilung Ovalität],0))</f>
        <v>#N/A</v>
      </c>
      <c r="AB3284" t="e">
        <f>VLOOKUP(Tabelle1014[[#This Row],[Rank]],Stammdaten[[Rank Verteilung Ovalität]:[Verteilung Ovalität]],2,FALSE)</f>
        <v>#N/A</v>
      </c>
    </row>
    <row r="3285" spans="5:28" x14ac:dyDescent="0.35">
      <c r="E3285">
        <v>3276</v>
      </c>
      <c r="F3285" t="e">
        <f>INDEX(Stammdaten[D Mitte mit Rinde (mm)],MATCH(Tabelle8[[#This Row],[Rank]],Stammdaten[Rank Verteilung D Mitte mit Rinde],0))</f>
        <v>#N/A</v>
      </c>
      <c r="G3285" t="e">
        <f>VLOOKUP(Tabelle8[[#This Row],[Rank]],Stammdaten[[Rank Verteilung D Mitte mit Rinde]:[Verteilung D Mitte mit Rinde]],2,FALSE)</f>
        <v>#N/A</v>
      </c>
      <c r="L3285">
        <v>3276</v>
      </c>
      <c r="M3285" t="e">
        <f>INDEX(Stammdaten[Abholzigkeit (mm/lfm)],MATCH(Tabelle9[[#This Row],[Rank]],Stammdaten[Rank Verteilung Abholzigkeit],0))</f>
        <v>#N/A</v>
      </c>
      <c r="N3285" t="e">
        <f>VLOOKUP(Tabelle9[[#This Row],[Rank]],Stammdaten[[Rank Verteilung Abholzigkeit]:[Verteilung Abholzigkeit]],2,FALSE)</f>
        <v>#N/A</v>
      </c>
      <c r="S3285">
        <v>3276</v>
      </c>
      <c r="T3285" t="e">
        <f>INDEX(Stammdaten[Krümmung (mm/lfm)],MATCH(Tabelle10[[#This Row],[Rank]],Stammdaten[Rank Verteilung Krümmung],0))</f>
        <v>#N/A</v>
      </c>
      <c r="U3285" t="e">
        <f>VLOOKUP(Tabelle10[[#This Row],[Rank]],Stammdaten[[Rank Verteilung Krümmung]:[Verteilung Krümmung]],2,FALSE)</f>
        <v>#N/A</v>
      </c>
      <c r="Z3285">
        <v>3276</v>
      </c>
      <c r="AA3285" t="e">
        <f>INDEX(Stammdaten[Ovalität (']0,1'])],MATCH(Tabelle1014[[#This Row],[Rank]],Stammdaten[Rank Verteilung Ovalität],0))</f>
        <v>#N/A</v>
      </c>
      <c r="AB3285" t="e">
        <f>VLOOKUP(Tabelle1014[[#This Row],[Rank]],Stammdaten[[Rank Verteilung Ovalität]:[Verteilung Ovalität]],2,FALSE)</f>
        <v>#N/A</v>
      </c>
    </row>
    <row r="3286" spans="5:28" x14ac:dyDescent="0.35">
      <c r="E3286">
        <v>3277</v>
      </c>
      <c r="F3286" t="e">
        <f>INDEX(Stammdaten[D Mitte mit Rinde (mm)],MATCH(Tabelle8[[#This Row],[Rank]],Stammdaten[Rank Verteilung D Mitte mit Rinde],0))</f>
        <v>#N/A</v>
      </c>
      <c r="G3286" t="e">
        <f>VLOOKUP(Tabelle8[[#This Row],[Rank]],Stammdaten[[Rank Verteilung D Mitte mit Rinde]:[Verteilung D Mitte mit Rinde]],2,FALSE)</f>
        <v>#N/A</v>
      </c>
      <c r="L3286">
        <v>3277</v>
      </c>
      <c r="M3286" t="e">
        <f>INDEX(Stammdaten[Abholzigkeit (mm/lfm)],MATCH(Tabelle9[[#This Row],[Rank]],Stammdaten[Rank Verteilung Abholzigkeit],0))</f>
        <v>#N/A</v>
      </c>
      <c r="N3286" t="e">
        <f>VLOOKUP(Tabelle9[[#This Row],[Rank]],Stammdaten[[Rank Verteilung Abholzigkeit]:[Verteilung Abholzigkeit]],2,FALSE)</f>
        <v>#N/A</v>
      </c>
      <c r="S3286">
        <v>3277</v>
      </c>
      <c r="T3286" t="e">
        <f>INDEX(Stammdaten[Krümmung (mm/lfm)],MATCH(Tabelle10[[#This Row],[Rank]],Stammdaten[Rank Verteilung Krümmung],0))</f>
        <v>#N/A</v>
      </c>
      <c r="U3286" t="e">
        <f>VLOOKUP(Tabelle10[[#This Row],[Rank]],Stammdaten[[Rank Verteilung Krümmung]:[Verteilung Krümmung]],2,FALSE)</f>
        <v>#N/A</v>
      </c>
      <c r="Z3286">
        <v>3277</v>
      </c>
      <c r="AA3286" t="e">
        <f>INDEX(Stammdaten[Ovalität (']0,1'])],MATCH(Tabelle1014[[#This Row],[Rank]],Stammdaten[Rank Verteilung Ovalität],0))</f>
        <v>#N/A</v>
      </c>
      <c r="AB3286" t="e">
        <f>VLOOKUP(Tabelle1014[[#This Row],[Rank]],Stammdaten[[Rank Verteilung Ovalität]:[Verteilung Ovalität]],2,FALSE)</f>
        <v>#N/A</v>
      </c>
    </row>
    <row r="3287" spans="5:28" x14ac:dyDescent="0.35">
      <c r="E3287">
        <v>3278</v>
      </c>
      <c r="F3287" t="e">
        <f>INDEX(Stammdaten[D Mitte mit Rinde (mm)],MATCH(Tabelle8[[#This Row],[Rank]],Stammdaten[Rank Verteilung D Mitte mit Rinde],0))</f>
        <v>#N/A</v>
      </c>
      <c r="G3287" t="e">
        <f>VLOOKUP(Tabelle8[[#This Row],[Rank]],Stammdaten[[Rank Verteilung D Mitte mit Rinde]:[Verteilung D Mitte mit Rinde]],2,FALSE)</f>
        <v>#N/A</v>
      </c>
      <c r="L3287">
        <v>3278</v>
      </c>
      <c r="M3287" t="e">
        <f>INDEX(Stammdaten[Abholzigkeit (mm/lfm)],MATCH(Tabelle9[[#This Row],[Rank]],Stammdaten[Rank Verteilung Abholzigkeit],0))</f>
        <v>#N/A</v>
      </c>
      <c r="N3287" t="e">
        <f>VLOOKUP(Tabelle9[[#This Row],[Rank]],Stammdaten[[Rank Verteilung Abholzigkeit]:[Verteilung Abholzigkeit]],2,FALSE)</f>
        <v>#N/A</v>
      </c>
      <c r="S3287">
        <v>3278</v>
      </c>
      <c r="T3287" t="e">
        <f>INDEX(Stammdaten[Krümmung (mm/lfm)],MATCH(Tabelle10[[#This Row],[Rank]],Stammdaten[Rank Verteilung Krümmung],0))</f>
        <v>#N/A</v>
      </c>
      <c r="U3287" t="e">
        <f>VLOOKUP(Tabelle10[[#This Row],[Rank]],Stammdaten[[Rank Verteilung Krümmung]:[Verteilung Krümmung]],2,FALSE)</f>
        <v>#N/A</v>
      </c>
      <c r="Z3287">
        <v>3278</v>
      </c>
      <c r="AA3287" t="e">
        <f>INDEX(Stammdaten[Ovalität (']0,1'])],MATCH(Tabelle1014[[#This Row],[Rank]],Stammdaten[Rank Verteilung Ovalität],0))</f>
        <v>#N/A</v>
      </c>
      <c r="AB3287" t="e">
        <f>VLOOKUP(Tabelle1014[[#This Row],[Rank]],Stammdaten[[Rank Verteilung Ovalität]:[Verteilung Ovalität]],2,FALSE)</f>
        <v>#N/A</v>
      </c>
    </row>
    <row r="3288" spans="5:28" x14ac:dyDescent="0.35">
      <c r="E3288">
        <v>3279</v>
      </c>
      <c r="F3288" t="e">
        <f>INDEX(Stammdaten[D Mitte mit Rinde (mm)],MATCH(Tabelle8[[#This Row],[Rank]],Stammdaten[Rank Verteilung D Mitte mit Rinde],0))</f>
        <v>#N/A</v>
      </c>
      <c r="G3288" t="e">
        <f>VLOOKUP(Tabelle8[[#This Row],[Rank]],Stammdaten[[Rank Verteilung D Mitte mit Rinde]:[Verteilung D Mitte mit Rinde]],2,FALSE)</f>
        <v>#N/A</v>
      </c>
      <c r="L3288">
        <v>3279</v>
      </c>
      <c r="M3288" t="e">
        <f>INDEX(Stammdaten[Abholzigkeit (mm/lfm)],MATCH(Tabelle9[[#This Row],[Rank]],Stammdaten[Rank Verteilung Abholzigkeit],0))</f>
        <v>#N/A</v>
      </c>
      <c r="N3288" t="e">
        <f>VLOOKUP(Tabelle9[[#This Row],[Rank]],Stammdaten[[Rank Verteilung Abholzigkeit]:[Verteilung Abholzigkeit]],2,FALSE)</f>
        <v>#N/A</v>
      </c>
      <c r="S3288">
        <v>3279</v>
      </c>
      <c r="T3288" t="e">
        <f>INDEX(Stammdaten[Krümmung (mm/lfm)],MATCH(Tabelle10[[#This Row],[Rank]],Stammdaten[Rank Verteilung Krümmung],0))</f>
        <v>#N/A</v>
      </c>
      <c r="U3288" t="e">
        <f>VLOOKUP(Tabelle10[[#This Row],[Rank]],Stammdaten[[Rank Verteilung Krümmung]:[Verteilung Krümmung]],2,FALSE)</f>
        <v>#N/A</v>
      </c>
      <c r="Z3288">
        <v>3279</v>
      </c>
      <c r="AA3288" t="e">
        <f>INDEX(Stammdaten[Ovalität (']0,1'])],MATCH(Tabelle1014[[#This Row],[Rank]],Stammdaten[Rank Verteilung Ovalität],0))</f>
        <v>#N/A</v>
      </c>
      <c r="AB3288" t="e">
        <f>VLOOKUP(Tabelle1014[[#This Row],[Rank]],Stammdaten[[Rank Verteilung Ovalität]:[Verteilung Ovalität]],2,FALSE)</f>
        <v>#N/A</v>
      </c>
    </row>
    <row r="3289" spans="5:28" x14ac:dyDescent="0.35">
      <c r="E3289">
        <v>3280</v>
      </c>
      <c r="F3289" t="e">
        <f>INDEX(Stammdaten[D Mitte mit Rinde (mm)],MATCH(Tabelle8[[#This Row],[Rank]],Stammdaten[Rank Verteilung D Mitte mit Rinde],0))</f>
        <v>#N/A</v>
      </c>
      <c r="G3289" t="e">
        <f>VLOOKUP(Tabelle8[[#This Row],[Rank]],Stammdaten[[Rank Verteilung D Mitte mit Rinde]:[Verteilung D Mitte mit Rinde]],2,FALSE)</f>
        <v>#N/A</v>
      </c>
      <c r="L3289">
        <v>3280</v>
      </c>
      <c r="M3289" t="e">
        <f>INDEX(Stammdaten[Abholzigkeit (mm/lfm)],MATCH(Tabelle9[[#This Row],[Rank]],Stammdaten[Rank Verteilung Abholzigkeit],0))</f>
        <v>#N/A</v>
      </c>
      <c r="N3289" t="e">
        <f>VLOOKUP(Tabelle9[[#This Row],[Rank]],Stammdaten[[Rank Verteilung Abholzigkeit]:[Verteilung Abholzigkeit]],2,FALSE)</f>
        <v>#N/A</v>
      </c>
      <c r="S3289">
        <v>3280</v>
      </c>
      <c r="T3289" t="e">
        <f>INDEX(Stammdaten[Krümmung (mm/lfm)],MATCH(Tabelle10[[#This Row],[Rank]],Stammdaten[Rank Verteilung Krümmung],0))</f>
        <v>#N/A</v>
      </c>
      <c r="U3289" t="e">
        <f>VLOOKUP(Tabelle10[[#This Row],[Rank]],Stammdaten[[Rank Verteilung Krümmung]:[Verteilung Krümmung]],2,FALSE)</f>
        <v>#N/A</v>
      </c>
      <c r="Z3289">
        <v>3280</v>
      </c>
      <c r="AA3289" t="e">
        <f>INDEX(Stammdaten[Ovalität (']0,1'])],MATCH(Tabelle1014[[#This Row],[Rank]],Stammdaten[Rank Verteilung Ovalität],0))</f>
        <v>#N/A</v>
      </c>
      <c r="AB3289" t="e">
        <f>VLOOKUP(Tabelle1014[[#This Row],[Rank]],Stammdaten[[Rank Verteilung Ovalität]:[Verteilung Ovalität]],2,FALSE)</f>
        <v>#N/A</v>
      </c>
    </row>
    <row r="3290" spans="5:28" x14ac:dyDescent="0.35">
      <c r="E3290">
        <v>3281</v>
      </c>
      <c r="F3290" t="e">
        <f>INDEX(Stammdaten[D Mitte mit Rinde (mm)],MATCH(Tabelle8[[#This Row],[Rank]],Stammdaten[Rank Verteilung D Mitte mit Rinde],0))</f>
        <v>#N/A</v>
      </c>
      <c r="G3290" t="e">
        <f>VLOOKUP(Tabelle8[[#This Row],[Rank]],Stammdaten[[Rank Verteilung D Mitte mit Rinde]:[Verteilung D Mitte mit Rinde]],2,FALSE)</f>
        <v>#N/A</v>
      </c>
      <c r="L3290">
        <v>3281</v>
      </c>
      <c r="M3290" t="e">
        <f>INDEX(Stammdaten[Abholzigkeit (mm/lfm)],MATCH(Tabelle9[[#This Row],[Rank]],Stammdaten[Rank Verteilung Abholzigkeit],0))</f>
        <v>#N/A</v>
      </c>
      <c r="N3290" t="e">
        <f>VLOOKUP(Tabelle9[[#This Row],[Rank]],Stammdaten[[Rank Verteilung Abholzigkeit]:[Verteilung Abholzigkeit]],2,FALSE)</f>
        <v>#N/A</v>
      </c>
      <c r="S3290">
        <v>3281</v>
      </c>
      <c r="T3290" t="e">
        <f>INDEX(Stammdaten[Krümmung (mm/lfm)],MATCH(Tabelle10[[#This Row],[Rank]],Stammdaten[Rank Verteilung Krümmung],0))</f>
        <v>#N/A</v>
      </c>
      <c r="U3290" t="e">
        <f>VLOOKUP(Tabelle10[[#This Row],[Rank]],Stammdaten[[Rank Verteilung Krümmung]:[Verteilung Krümmung]],2,FALSE)</f>
        <v>#N/A</v>
      </c>
      <c r="Z3290">
        <v>3281</v>
      </c>
      <c r="AA3290" t="e">
        <f>INDEX(Stammdaten[Ovalität (']0,1'])],MATCH(Tabelle1014[[#This Row],[Rank]],Stammdaten[Rank Verteilung Ovalität],0))</f>
        <v>#N/A</v>
      </c>
      <c r="AB3290" t="e">
        <f>VLOOKUP(Tabelle1014[[#This Row],[Rank]],Stammdaten[[Rank Verteilung Ovalität]:[Verteilung Ovalität]],2,FALSE)</f>
        <v>#N/A</v>
      </c>
    </row>
    <row r="3291" spans="5:28" x14ac:dyDescent="0.35">
      <c r="E3291">
        <v>3282</v>
      </c>
      <c r="F3291" t="e">
        <f>INDEX(Stammdaten[D Mitte mit Rinde (mm)],MATCH(Tabelle8[[#This Row],[Rank]],Stammdaten[Rank Verteilung D Mitte mit Rinde],0))</f>
        <v>#N/A</v>
      </c>
      <c r="G3291" t="e">
        <f>VLOOKUP(Tabelle8[[#This Row],[Rank]],Stammdaten[[Rank Verteilung D Mitte mit Rinde]:[Verteilung D Mitte mit Rinde]],2,FALSE)</f>
        <v>#N/A</v>
      </c>
      <c r="L3291">
        <v>3282</v>
      </c>
      <c r="M3291" t="e">
        <f>INDEX(Stammdaten[Abholzigkeit (mm/lfm)],MATCH(Tabelle9[[#This Row],[Rank]],Stammdaten[Rank Verteilung Abholzigkeit],0))</f>
        <v>#N/A</v>
      </c>
      <c r="N3291" t="e">
        <f>VLOOKUP(Tabelle9[[#This Row],[Rank]],Stammdaten[[Rank Verteilung Abholzigkeit]:[Verteilung Abholzigkeit]],2,FALSE)</f>
        <v>#N/A</v>
      </c>
      <c r="S3291">
        <v>3282</v>
      </c>
      <c r="T3291" t="e">
        <f>INDEX(Stammdaten[Krümmung (mm/lfm)],MATCH(Tabelle10[[#This Row],[Rank]],Stammdaten[Rank Verteilung Krümmung],0))</f>
        <v>#N/A</v>
      </c>
      <c r="U3291" t="e">
        <f>VLOOKUP(Tabelle10[[#This Row],[Rank]],Stammdaten[[Rank Verteilung Krümmung]:[Verteilung Krümmung]],2,FALSE)</f>
        <v>#N/A</v>
      </c>
      <c r="Z3291">
        <v>3282</v>
      </c>
      <c r="AA3291" t="e">
        <f>INDEX(Stammdaten[Ovalität (']0,1'])],MATCH(Tabelle1014[[#This Row],[Rank]],Stammdaten[Rank Verteilung Ovalität],0))</f>
        <v>#N/A</v>
      </c>
      <c r="AB3291" t="e">
        <f>VLOOKUP(Tabelle1014[[#This Row],[Rank]],Stammdaten[[Rank Verteilung Ovalität]:[Verteilung Ovalität]],2,FALSE)</f>
        <v>#N/A</v>
      </c>
    </row>
    <row r="3292" spans="5:28" x14ac:dyDescent="0.35">
      <c r="E3292">
        <v>3283</v>
      </c>
      <c r="F3292" t="e">
        <f>INDEX(Stammdaten[D Mitte mit Rinde (mm)],MATCH(Tabelle8[[#This Row],[Rank]],Stammdaten[Rank Verteilung D Mitte mit Rinde],0))</f>
        <v>#N/A</v>
      </c>
      <c r="G3292" t="e">
        <f>VLOOKUP(Tabelle8[[#This Row],[Rank]],Stammdaten[[Rank Verteilung D Mitte mit Rinde]:[Verteilung D Mitte mit Rinde]],2,FALSE)</f>
        <v>#N/A</v>
      </c>
      <c r="L3292">
        <v>3283</v>
      </c>
      <c r="M3292" t="e">
        <f>INDEX(Stammdaten[Abholzigkeit (mm/lfm)],MATCH(Tabelle9[[#This Row],[Rank]],Stammdaten[Rank Verteilung Abholzigkeit],0))</f>
        <v>#N/A</v>
      </c>
      <c r="N3292" t="e">
        <f>VLOOKUP(Tabelle9[[#This Row],[Rank]],Stammdaten[[Rank Verteilung Abholzigkeit]:[Verteilung Abholzigkeit]],2,FALSE)</f>
        <v>#N/A</v>
      </c>
      <c r="S3292">
        <v>3283</v>
      </c>
      <c r="T3292" t="e">
        <f>INDEX(Stammdaten[Krümmung (mm/lfm)],MATCH(Tabelle10[[#This Row],[Rank]],Stammdaten[Rank Verteilung Krümmung],0))</f>
        <v>#N/A</v>
      </c>
      <c r="U3292" t="e">
        <f>VLOOKUP(Tabelle10[[#This Row],[Rank]],Stammdaten[[Rank Verteilung Krümmung]:[Verteilung Krümmung]],2,FALSE)</f>
        <v>#N/A</v>
      </c>
      <c r="Z3292">
        <v>3283</v>
      </c>
      <c r="AA3292" t="e">
        <f>INDEX(Stammdaten[Ovalität (']0,1'])],MATCH(Tabelle1014[[#This Row],[Rank]],Stammdaten[Rank Verteilung Ovalität],0))</f>
        <v>#N/A</v>
      </c>
      <c r="AB3292" t="e">
        <f>VLOOKUP(Tabelle1014[[#This Row],[Rank]],Stammdaten[[Rank Verteilung Ovalität]:[Verteilung Ovalität]],2,FALSE)</f>
        <v>#N/A</v>
      </c>
    </row>
    <row r="3293" spans="5:28" x14ac:dyDescent="0.35">
      <c r="E3293">
        <v>3284</v>
      </c>
      <c r="F3293" t="e">
        <f>INDEX(Stammdaten[D Mitte mit Rinde (mm)],MATCH(Tabelle8[[#This Row],[Rank]],Stammdaten[Rank Verteilung D Mitte mit Rinde],0))</f>
        <v>#N/A</v>
      </c>
      <c r="G3293" t="e">
        <f>VLOOKUP(Tabelle8[[#This Row],[Rank]],Stammdaten[[Rank Verteilung D Mitte mit Rinde]:[Verteilung D Mitte mit Rinde]],2,FALSE)</f>
        <v>#N/A</v>
      </c>
      <c r="L3293">
        <v>3284</v>
      </c>
      <c r="M3293" t="e">
        <f>INDEX(Stammdaten[Abholzigkeit (mm/lfm)],MATCH(Tabelle9[[#This Row],[Rank]],Stammdaten[Rank Verteilung Abholzigkeit],0))</f>
        <v>#N/A</v>
      </c>
      <c r="N3293" t="e">
        <f>VLOOKUP(Tabelle9[[#This Row],[Rank]],Stammdaten[[Rank Verteilung Abholzigkeit]:[Verteilung Abholzigkeit]],2,FALSE)</f>
        <v>#N/A</v>
      </c>
      <c r="S3293">
        <v>3284</v>
      </c>
      <c r="T3293" t="e">
        <f>INDEX(Stammdaten[Krümmung (mm/lfm)],MATCH(Tabelle10[[#This Row],[Rank]],Stammdaten[Rank Verteilung Krümmung],0))</f>
        <v>#N/A</v>
      </c>
      <c r="U3293" t="e">
        <f>VLOOKUP(Tabelle10[[#This Row],[Rank]],Stammdaten[[Rank Verteilung Krümmung]:[Verteilung Krümmung]],2,FALSE)</f>
        <v>#N/A</v>
      </c>
      <c r="Z3293">
        <v>3284</v>
      </c>
      <c r="AA3293" t="e">
        <f>INDEX(Stammdaten[Ovalität (']0,1'])],MATCH(Tabelle1014[[#This Row],[Rank]],Stammdaten[Rank Verteilung Ovalität],0))</f>
        <v>#N/A</v>
      </c>
      <c r="AB3293" t="e">
        <f>VLOOKUP(Tabelle1014[[#This Row],[Rank]],Stammdaten[[Rank Verteilung Ovalität]:[Verteilung Ovalität]],2,FALSE)</f>
        <v>#N/A</v>
      </c>
    </row>
    <row r="3294" spans="5:28" x14ac:dyDescent="0.35">
      <c r="E3294">
        <v>3285</v>
      </c>
      <c r="F3294" t="e">
        <f>INDEX(Stammdaten[D Mitte mit Rinde (mm)],MATCH(Tabelle8[[#This Row],[Rank]],Stammdaten[Rank Verteilung D Mitte mit Rinde],0))</f>
        <v>#N/A</v>
      </c>
      <c r="G3294" t="e">
        <f>VLOOKUP(Tabelle8[[#This Row],[Rank]],Stammdaten[[Rank Verteilung D Mitte mit Rinde]:[Verteilung D Mitte mit Rinde]],2,FALSE)</f>
        <v>#N/A</v>
      </c>
      <c r="L3294">
        <v>3285</v>
      </c>
      <c r="M3294" t="e">
        <f>INDEX(Stammdaten[Abholzigkeit (mm/lfm)],MATCH(Tabelle9[[#This Row],[Rank]],Stammdaten[Rank Verteilung Abholzigkeit],0))</f>
        <v>#N/A</v>
      </c>
      <c r="N3294" t="e">
        <f>VLOOKUP(Tabelle9[[#This Row],[Rank]],Stammdaten[[Rank Verteilung Abholzigkeit]:[Verteilung Abholzigkeit]],2,FALSE)</f>
        <v>#N/A</v>
      </c>
      <c r="S3294">
        <v>3285</v>
      </c>
      <c r="T3294" t="e">
        <f>INDEX(Stammdaten[Krümmung (mm/lfm)],MATCH(Tabelle10[[#This Row],[Rank]],Stammdaten[Rank Verteilung Krümmung],0))</f>
        <v>#N/A</v>
      </c>
      <c r="U3294" t="e">
        <f>VLOOKUP(Tabelle10[[#This Row],[Rank]],Stammdaten[[Rank Verteilung Krümmung]:[Verteilung Krümmung]],2,FALSE)</f>
        <v>#N/A</v>
      </c>
      <c r="Z3294">
        <v>3285</v>
      </c>
      <c r="AA3294" t="e">
        <f>INDEX(Stammdaten[Ovalität (']0,1'])],MATCH(Tabelle1014[[#This Row],[Rank]],Stammdaten[Rank Verteilung Ovalität],0))</f>
        <v>#N/A</v>
      </c>
      <c r="AB3294" t="e">
        <f>VLOOKUP(Tabelle1014[[#This Row],[Rank]],Stammdaten[[Rank Verteilung Ovalität]:[Verteilung Ovalität]],2,FALSE)</f>
        <v>#N/A</v>
      </c>
    </row>
    <row r="3295" spans="5:28" x14ac:dyDescent="0.35">
      <c r="E3295">
        <v>3286</v>
      </c>
      <c r="F3295" t="e">
        <f>INDEX(Stammdaten[D Mitte mit Rinde (mm)],MATCH(Tabelle8[[#This Row],[Rank]],Stammdaten[Rank Verteilung D Mitte mit Rinde],0))</f>
        <v>#N/A</v>
      </c>
      <c r="G3295" t="e">
        <f>VLOOKUP(Tabelle8[[#This Row],[Rank]],Stammdaten[[Rank Verteilung D Mitte mit Rinde]:[Verteilung D Mitte mit Rinde]],2,FALSE)</f>
        <v>#N/A</v>
      </c>
      <c r="L3295">
        <v>3286</v>
      </c>
      <c r="M3295" t="e">
        <f>INDEX(Stammdaten[Abholzigkeit (mm/lfm)],MATCH(Tabelle9[[#This Row],[Rank]],Stammdaten[Rank Verteilung Abholzigkeit],0))</f>
        <v>#N/A</v>
      </c>
      <c r="N3295" t="e">
        <f>VLOOKUP(Tabelle9[[#This Row],[Rank]],Stammdaten[[Rank Verteilung Abholzigkeit]:[Verteilung Abholzigkeit]],2,FALSE)</f>
        <v>#N/A</v>
      </c>
      <c r="S3295">
        <v>3286</v>
      </c>
      <c r="T3295" t="e">
        <f>INDEX(Stammdaten[Krümmung (mm/lfm)],MATCH(Tabelle10[[#This Row],[Rank]],Stammdaten[Rank Verteilung Krümmung],0))</f>
        <v>#N/A</v>
      </c>
      <c r="U3295" t="e">
        <f>VLOOKUP(Tabelle10[[#This Row],[Rank]],Stammdaten[[Rank Verteilung Krümmung]:[Verteilung Krümmung]],2,FALSE)</f>
        <v>#N/A</v>
      </c>
      <c r="Z3295">
        <v>3286</v>
      </c>
      <c r="AA3295" t="e">
        <f>INDEX(Stammdaten[Ovalität (']0,1'])],MATCH(Tabelle1014[[#This Row],[Rank]],Stammdaten[Rank Verteilung Ovalität],0))</f>
        <v>#N/A</v>
      </c>
      <c r="AB3295" t="e">
        <f>VLOOKUP(Tabelle1014[[#This Row],[Rank]],Stammdaten[[Rank Verteilung Ovalität]:[Verteilung Ovalität]],2,FALSE)</f>
        <v>#N/A</v>
      </c>
    </row>
    <row r="3296" spans="5:28" x14ac:dyDescent="0.35">
      <c r="E3296">
        <v>3287</v>
      </c>
      <c r="F3296" t="e">
        <f>INDEX(Stammdaten[D Mitte mit Rinde (mm)],MATCH(Tabelle8[[#This Row],[Rank]],Stammdaten[Rank Verteilung D Mitte mit Rinde],0))</f>
        <v>#N/A</v>
      </c>
      <c r="G3296" t="e">
        <f>VLOOKUP(Tabelle8[[#This Row],[Rank]],Stammdaten[[Rank Verteilung D Mitte mit Rinde]:[Verteilung D Mitte mit Rinde]],2,FALSE)</f>
        <v>#N/A</v>
      </c>
      <c r="L3296">
        <v>3287</v>
      </c>
      <c r="M3296" t="e">
        <f>INDEX(Stammdaten[Abholzigkeit (mm/lfm)],MATCH(Tabelle9[[#This Row],[Rank]],Stammdaten[Rank Verteilung Abholzigkeit],0))</f>
        <v>#N/A</v>
      </c>
      <c r="N3296" t="e">
        <f>VLOOKUP(Tabelle9[[#This Row],[Rank]],Stammdaten[[Rank Verteilung Abholzigkeit]:[Verteilung Abholzigkeit]],2,FALSE)</f>
        <v>#N/A</v>
      </c>
      <c r="S3296">
        <v>3287</v>
      </c>
      <c r="T3296" t="e">
        <f>INDEX(Stammdaten[Krümmung (mm/lfm)],MATCH(Tabelle10[[#This Row],[Rank]],Stammdaten[Rank Verteilung Krümmung],0))</f>
        <v>#N/A</v>
      </c>
      <c r="U3296" t="e">
        <f>VLOOKUP(Tabelle10[[#This Row],[Rank]],Stammdaten[[Rank Verteilung Krümmung]:[Verteilung Krümmung]],2,FALSE)</f>
        <v>#N/A</v>
      </c>
      <c r="Z3296">
        <v>3287</v>
      </c>
      <c r="AA3296" t="e">
        <f>INDEX(Stammdaten[Ovalität (']0,1'])],MATCH(Tabelle1014[[#This Row],[Rank]],Stammdaten[Rank Verteilung Ovalität],0))</f>
        <v>#N/A</v>
      </c>
      <c r="AB3296" t="e">
        <f>VLOOKUP(Tabelle1014[[#This Row],[Rank]],Stammdaten[[Rank Verteilung Ovalität]:[Verteilung Ovalität]],2,FALSE)</f>
        <v>#N/A</v>
      </c>
    </row>
    <row r="3297" spans="5:28" x14ac:dyDescent="0.35">
      <c r="E3297">
        <v>3288</v>
      </c>
      <c r="F3297" t="e">
        <f>INDEX(Stammdaten[D Mitte mit Rinde (mm)],MATCH(Tabelle8[[#This Row],[Rank]],Stammdaten[Rank Verteilung D Mitte mit Rinde],0))</f>
        <v>#N/A</v>
      </c>
      <c r="G3297" t="e">
        <f>VLOOKUP(Tabelle8[[#This Row],[Rank]],Stammdaten[[Rank Verteilung D Mitte mit Rinde]:[Verteilung D Mitte mit Rinde]],2,FALSE)</f>
        <v>#N/A</v>
      </c>
      <c r="L3297">
        <v>3288</v>
      </c>
      <c r="M3297" t="e">
        <f>INDEX(Stammdaten[Abholzigkeit (mm/lfm)],MATCH(Tabelle9[[#This Row],[Rank]],Stammdaten[Rank Verteilung Abholzigkeit],0))</f>
        <v>#N/A</v>
      </c>
      <c r="N3297" t="e">
        <f>VLOOKUP(Tabelle9[[#This Row],[Rank]],Stammdaten[[Rank Verteilung Abholzigkeit]:[Verteilung Abholzigkeit]],2,FALSE)</f>
        <v>#N/A</v>
      </c>
      <c r="S3297">
        <v>3288</v>
      </c>
      <c r="T3297" t="e">
        <f>INDEX(Stammdaten[Krümmung (mm/lfm)],MATCH(Tabelle10[[#This Row],[Rank]],Stammdaten[Rank Verteilung Krümmung],0))</f>
        <v>#N/A</v>
      </c>
      <c r="U3297" t="e">
        <f>VLOOKUP(Tabelle10[[#This Row],[Rank]],Stammdaten[[Rank Verteilung Krümmung]:[Verteilung Krümmung]],2,FALSE)</f>
        <v>#N/A</v>
      </c>
      <c r="Z3297">
        <v>3288</v>
      </c>
      <c r="AA3297" t="e">
        <f>INDEX(Stammdaten[Ovalität (']0,1'])],MATCH(Tabelle1014[[#This Row],[Rank]],Stammdaten[Rank Verteilung Ovalität],0))</f>
        <v>#N/A</v>
      </c>
      <c r="AB3297" t="e">
        <f>VLOOKUP(Tabelle1014[[#This Row],[Rank]],Stammdaten[[Rank Verteilung Ovalität]:[Verteilung Ovalität]],2,FALSE)</f>
        <v>#N/A</v>
      </c>
    </row>
    <row r="3298" spans="5:28" x14ac:dyDescent="0.35">
      <c r="E3298">
        <v>3289</v>
      </c>
      <c r="F3298" t="e">
        <f>INDEX(Stammdaten[D Mitte mit Rinde (mm)],MATCH(Tabelle8[[#This Row],[Rank]],Stammdaten[Rank Verteilung D Mitte mit Rinde],0))</f>
        <v>#N/A</v>
      </c>
      <c r="G3298" t="e">
        <f>VLOOKUP(Tabelle8[[#This Row],[Rank]],Stammdaten[[Rank Verteilung D Mitte mit Rinde]:[Verteilung D Mitte mit Rinde]],2,FALSE)</f>
        <v>#N/A</v>
      </c>
      <c r="L3298">
        <v>3289</v>
      </c>
      <c r="M3298" t="e">
        <f>INDEX(Stammdaten[Abholzigkeit (mm/lfm)],MATCH(Tabelle9[[#This Row],[Rank]],Stammdaten[Rank Verteilung Abholzigkeit],0))</f>
        <v>#N/A</v>
      </c>
      <c r="N3298" t="e">
        <f>VLOOKUP(Tabelle9[[#This Row],[Rank]],Stammdaten[[Rank Verteilung Abholzigkeit]:[Verteilung Abholzigkeit]],2,FALSE)</f>
        <v>#N/A</v>
      </c>
      <c r="S3298">
        <v>3289</v>
      </c>
      <c r="T3298" t="e">
        <f>INDEX(Stammdaten[Krümmung (mm/lfm)],MATCH(Tabelle10[[#This Row],[Rank]],Stammdaten[Rank Verteilung Krümmung],0))</f>
        <v>#N/A</v>
      </c>
      <c r="U3298" t="e">
        <f>VLOOKUP(Tabelle10[[#This Row],[Rank]],Stammdaten[[Rank Verteilung Krümmung]:[Verteilung Krümmung]],2,FALSE)</f>
        <v>#N/A</v>
      </c>
      <c r="Z3298">
        <v>3289</v>
      </c>
      <c r="AA3298" t="e">
        <f>INDEX(Stammdaten[Ovalität (']0,1'])],MATCH(Tabelle1014[[#This Row],[Rank]],Stammdaten[Rank Verteilung Ovalität],0))</f>
        <v>#N/A</v>
      </c>
      <c r="AB3298" t="e">
        <f>VLOOKUP(Tabelle1014[[#This Row],[Rank]],Stammdaten[[Rank Verteilung Ovalität]:[Verteilung Ovalität]],2,FALSE)</f>
        <v>#N/A</v>
      </c>
    </row>
    <row r="3299" spans="5:28" x14ac:dyDescent="0.35">
      <c r="E3299">
        <v>3290</v>
      </c>
      <c r="F3299" t="e">
        <f>INDEX(Stammdaten[D Mitte mit Rinde (mm)],MATCH(Tabelle8[[#This Row],[Rank]],Stammdaten[Rank Verteilung D Mitte mit Rinde],0))</f>
        <v>#N/A</v>
      </c>
      <c r="G3299" t="e">
        <f>VLOOKUP(Tabelle8[[#This Row],[Rank]],Stammdaten[[Rank Verteilung D Mitte mit Rinde]:[Verteilung D Mitte mit Rinde]],2,FALSE)</f>
        <v>#N/A</v>
      </c>
      <c r="L3299">
        <v>3290</v>
      </c>
      <c r="M3299" t="e">
        <f>INDEX(Stammdaten[Abholzigkeit (mm/lfm)],MATCH(Tabelle9[[#This Row],[Rank]],Stammdaten[Rank Verteilung Abholzigkeit],0))</f>
        <v>#N/A</v>
      </c>
      <c r="N3299" t="e">
        <f>VLOOKUP(Tabelle9[[#This Row],[Rank]],Stammdaten[[Rank Verteilung Abholzigkeit]:[Verteilung Abholzigkeit]],2,FALSE)</f>
        <v>#N/A</v>
      </c>
      <c r="S3299">
        <v>3290</v>
      </c>
      <c r="T3299" t="e">
        <f>INDEX(Stammdaten[Krümmung (mm/lfm)],MATCH(Tabelle10[[#This Row],[Rank]],Stammdaten[Rank Verteilung Krümmung],0))</f>
        <v>#N/A</v>
      </c>
      <c r="U3299" t="e">
        <f>VLOOKUP(Tabelle10[[#This Row],[Rank]],Stammdaten[[Rank Verteilung Krümmung]:[Verteilung Krümmung]],2,FALSE)</f>
        <v>#N/A</v>
      </c>
      <c r="Z3299">
        <v>3290</v>
      </c>
      <c r="AA3299" t="e">
        <f>INDEX(Stammdaten[Ovalität (']0,1'])],MATCH(Tabelle1014[[#This Row],[Rank]],Stammdaten[Rank Verteilung Ovalität],0))</f>
        <v>#N/A</v>
      </c>
      <c r="AB3299" t="e">
        <f>VLOOKUP(Tabelle1014[[#This Row],[Rank]],Stammdaten[[Rank Verteilung Ovalität]:[Verteilung Ovalität]],2,FALSE)</f>
        <v>#N/A</v>
      </c>
    </row>
    <row r="3300" spans="5:28" x14ac:dyDescent="0.35">
      <c r="E3300">
        <v>3291</v>
      </c>
      <c r="F3300" t="e">
        <f>INDEX(Stammdaten[D Mitte mit Rinde (mm)],MATCH(Tabelle8[[#This Row],[Rank]],Stammdaten[Rank Verteilung D Mitte mit Rinde],0))</f>
        <v>#N/A</v>
      </c>
      <c r="G3300" t="e">
        <f>VLOOKUP(Tabelle8[[#This Row],[Rank]],Stammdaten[[Rank Verteilung D Mitte mit Rinde]:[Verteilung D Mitte mit Rinde]],2,FALSE)</f>
        <v>#N/A</v>
      </c>
      <c r="L3300">
        <v>3291</v>
      </c>
      <c r="M3300" t="e">
        <f>INDEX(Stammdaten[Abholzigkeit (mm/lfm)],MATCH(Tabelle9[[#This Row],[Rank]],Stammdaten[Rank Verteilung Abholzigkeit],0))</f>
        <v>#N/A</v>
      </c>
      <c r="N3300" t="e">
        <f>VLOOKUP(Tabelle9[[#This Row],[Rank]],Stammdaten[[Rank Verteilung Abholzigkeit]:[Verteilung Abholzigkeit]],2,FALSE)</f>
        <v>#N/A</v>
      </c>
      <c r="S3300">
        <v>3291</v>
      </c>
      <c r="T3300" t="e">
        <f>INDEX(Stammdaten[Krümmung (mm/lfm)],MATCH(Tabelle10[[#This Row],[Rank]],Stammdaten[Rank Verteilung Krümmung],0))</f>
        <v>#N/A</v>
      </c>
      <c r="U3300" t="e">
        <f>VLOOKUP(Tabelle10[[#This Row],[Rank]],Stammdaten[[Rank Verteilung Krümmung]:[Verteilung Krümmung]],2,FALSE)</f>
        <v>#N/A</v>
      </c>
      <c r="Z3300">
        <v>3291</v>
      </c>
      <c r="AA3300" t="e">
        <f>INDEX(Stammdaten[Ovalität (']0,1'])],MATCH(Tabelle1014[[#This Row],[Rank]],Stammdaten[Rank Verteilung Ovalität],0))</f>
        <v>#N/A</v>
      </c>
      <c r="AB3300" t="e">
        <f>VLOOKUP(Tabelle1014[[#This Row],[Rank]],Stammdaten[[Rank Verteilung Ovalität]:[Verteilung Ovalität]],2,FALSE)</f>
        <v>#N/A</v>
      </c>
    </row>
    <row r="3301" spans="5:28" x14ac:dyDescent="0.35">
      <c r="E3301">
        <v>3292</v>
      </c>
      <c r="F3301" t="e">
        <f>INDEX(Stammdaten[D Mitte mit Rinde (mm)],MATCH(Tabelle8[[#This Row],[Rank]],Stammdaten[Rank Verteilung D Mitte mit Rinde],0))</f>
        <v>#N/A</v>
      </c>
      <c r="G3301" t="e">
        <f>VLOOKUP(Tabelle8[[#This Row],[Rank]],Stammdaten[[Rank Verteilung D Mitte mit Rinde]:[Verteilung D Mitte mit Rinde]],2,FALSE)</f>
        <v>#N/A</v>
      </c>
      <c r="L3301">
        <v>3292</v>
      </c>
      <c r="M3301" t="e">
        <f>INDEX(Stammdaten[Abholzigkeit (mm/lfm)],MATCH(Tabelle9[[#This Row],[Rank]],Stammdaten[Rank Verteilung Abholzigkeit],0))</f>
        <v>#N/A</v>
      </c>
      <c r="N3301" t="e">
        <f>VLOOKUP(Tabelle9[[#This Row],[Rank]],Stammdaten[[Rank Verteilung Abholzigkeit]:[Verteilung Abholzigkeit]],2,FALSE)</f>
        <v>#N/A</v>
      </c>
      <c r="S3301">
        <v>3292</v>
      </c>
      <c r="T3301" t="e">
        <f>INDEX(Stammdaten[Krümmung (mm/lfm)],MATCH(Tabelle10[[#This Row],[Rank]],Stammdaten[Rank Verteilung Krümmung],0))</f>
        <v>#N/A</v>
      </c>
      <c r="U3301" t="e">
        <f>VLOOKUP(Tabelle10[[#This Row],[Rank]],Stammdaten[[Rank Verteilung Krümmung]:[Verteilung Krümmung]],2,FALSE)</f>
        <v>#N/A</v>
      </c>
      <c r="Z3301">
        <v>3292</v>
      </c>
      <c r="AA3301" t="e">
        <f>INDEX(Stammdaten[Ovalität (']0,1'])],MATCH(Tabelle1014[[#This Row],[Rank]],Stammdaten[Rank Verteilung Ovalität],0))</f>
        <v>#N/A</v>
      </c>
      <c r="AB3301" t="e">
        <f>VLOOKUP(Tabelle1014[[#This Row],[Rank]],Stammdaten[[Rank Verteilung Ovalität]:[Verteilung Ovalität]],2,FALSE)</f>
        <v>#N/A</v>
      </c>
    </row>
    <row r="3302" spans="5:28" x14ac:dyDescent="0.35">
      <c r="E3302">
        <v>3293</v>
      </c>
      <c r="F3302" t="e">
        <f>INDEX(Stammdaten[D Mitte mit Rinde (mm)],MATCH(Tabelle8[[#This Row],[Rank]],Stammdaten[Rank Verteilung D Mitte mit Rinde],0))</f>
        <v>#N/A</v>
      </c>
      <c r="G3302" t="e">
        <f>VLOOKUP(Tabelle8[[#This Row],[Rank]],Stammdaten[[Rank Verteilung D Mitte mit Rinde]:[Verteilung D Mitte mit Rinde]],2,FALSE)</f>
        <v>#N/A</v>
      </c>
      <c r="L3302">
        <v>3293</v>
      </c>
      <c r="M3302" t="e">
        <f>INDEX(Stammdaten[Abholzigkeit (mm/lfm)],MATCH(Tabelle9[[#This Row],[Rank]],Stammdaten[Rank Verteilung Abholzigkeit],0))</f>
        <v>#N/A</v>
      </c>
      <c r="N3302" t="e">
        <f>VLOOKUP(Tabelle9[[#This Row],[Rank]],Stammdaten[[Rank Verteilung Abholzigkeit]:[Verteilung Abholzigkeit]],2,FALSE)</f>
        <v>#N/A</v>
      </c>
      <c r="S3302">
        <v>3293</v>
      </c>
      <c r="T3302" t="e">
        <f>INDEX(Stammdaten[Krümmung (mm/lfm)],MATCH(Tabelle10[[#This Row],[Rank]],Stammdaten[Rank Verteilung Krümmung],0))</f>
        <v>#N/A</v>
      </c>
      <c r="U3302" t="e">
        <f>VLOOKUP(Tabelle10[[#This Row],[Rank]],Stammdaten[[Rank Verteilung Krümmung]:[Verteilung Krümmung]],2,FALSE)</f>
        <v>#N/A</v>
      </c>
      <c r="Z3302">
        <v>3293</v>
      </c>
      <c r="AA3302" t="e">
        <f>INDEX(Stammdaten[Ovalität (']0,1'])],MATCH(Tabelle1014[[#This Row],[Rank]],Stammdaten[Rank Verteilung Ovalität],0))</f>
        <v>#N/A</v>
      </c>
      <c r="AB3302" t="e">
        <f>VLOOKUP(Tabelle1014[[#This Row],[Rank]],Stammdaten[[Rank Verteilung Ovalität]:[Verteilung Ovalität]],2,FALSE)</f>
        <v>#N/A</v>
      </c>
    </row>
    <row r="3303" spans="5:28" x14ac:dyDescent="0.35">
      <c r="E3303">
        <v>3294</v>
      </c>
      <c r="F3303" t="e">
        <f>INDEX(Stammdaten[D Mitte mit Rinde (mm)],MATCH(Tabelle8[[#This Row],[Rank]],Stammdaten[Rank Verteilung D Mitte mit Rinde],0))</f>
        <v>#N/A</v>
      </c>
      <c r="G3303" t="e">
        <f>VLOOKUP(Tabelle8[[#This Row],[Rank]],Stammdaten[[Rank Verteilung D Mitte mit Rinde]:[Verteilung D Mitte mit Rinde]],2,FALSE)</f>
        <v>#N/A</v>
      </c>
      <c r="L3303">
        <v>3294</v>
      </c>
      <c r="M3303" t="e">
        <f>INDEX(Stammdaten[Abholzigkeit (mm/lfm)],MATCH(Tabelle9[[#This Row],[Rank]],Stammdaten[Rank Verteilung Abholzigkeit],0))</f>
        <v>#N/A</v>
      </c>
      <c r="N3303" t="e">
        <f>VLOOKUP(Tabelle9[[#This Row],[Rank]],Stammdaten[[Rank Verteilung Abholzigkeit]:[Verteilung Abholzigkeit]],2,FALSE)</f>
        <v>#N/A</v>
      </c>
      <c r="S3303">
        <v>3294</v>
      </c>
      <c r="T3303" t="e">
        <f>INDEX(Stammdaten[Krümmung (mm/lfm)],MATCH(Tabelle10[[#This Row],[Rank]],Stammdaten[Rank Verteilung Krümmung],0))</f>
        <v>#N/A</v>
      </c>
      <c r="U3303" t="e">
        <f>VLOOKUP(Tabelle10[[#This Row],[Rank]],Stammdaten[[Rank Verteilung Krümmung]:[Verteilung Krümmung]],2,FALSE)</f>
        <v>#N/A</v>
      </c>
      <c r="Z3303">
        <v>3294</v>
      </c>
      <c r="AA3303" t="e">
        <f>INDEX(Stammdaten[Ovalität (']0,1'])],MATCH(Tabelle1014[[#This Row],[Rank]],Stammdaten[Rank Verteilung Ovalität],0))</f>
        <v>#N/A</v>
      </c>
      <c r="AB3303" t="e">
        <f>VLOOKUP(Tabelle1014[[#This Row],[Rank]],Stammdaten[[Rank Verteilung Ovalität]:[Verteilung Ovalität]],2,FALSE)</f>
        <v>#N/A</v>
      </c>
    </row>
    <row r="3304" spans="5:28" x14ac:dyDescent="0.35">
      <c r="E3304">
        <v>3295</v>
      </c>
      <c r="F3304" t="e">
        <f>INDEX(Stammdaten[D Mitte mit Rinde (mm)],MATCH(Tabelle8[[#This Row],[Rank]],Stammdaten[Rank Verteilung D Mitte mit Rinde],0))</f>
        <v>#N/A</v>
      </c>
      <c r="G3304" t="e">
        <f>VLOOKUP(Tabelle8[[#This Row],[Rank]],Stammdaten[[Rank Verteilung D Mitte mit Rinde]:[Verteilung D Mitte mit Rinde]],2,FALSE)</f>
        <v>#N/A</v>
      </c>
      <c r="L3304">
        <v>3295</v>
      </c>
      <c r="M3304" t="e">
        <f>INDEX(Stammdaten[Abholzigkeit (mm/lfm)],MATCH(Tabelle9[[#This Row],[Rank]],Stammdaten[Rank Verteilung Abholzigkeit],0))</f>
        <v>#N/A</v>
      </c>
      <c r="N3304" t="e">
        <f>VLOOKUP(Tabelle9[[#This Row],[Rank]],Stammdaten[[Rank Verteilung Abholzigkeit]:[Verteilung Abholzigkeit]],2,FALSE)</f>
        <v>#N/A</v>
      </c>
      <c r="S3304">
        <v>3295</v>
      </c>
      <c r="T3304" t="e">
        <f>INDEX(Stammdaten[Krümmung (mm/lfm)],MATCH(Tabelle10[[#This Row],[Rank]],Stammdaten[Rank Verteilung Krümmung],0))</f>
        <v>#N/A</v>
      </c>
      <c r="U3304" t="e">
        <f>VLOOKUP(Tabelle10[[#This Row],[Rank]],Stammdaten[[Rank Verteilung Krümmung]:[Verteilung Krümmung]],2,FALSE)</f>
        <v>#N/A</v>
      </c>
      <c r="Z3304">
        <v>3295</v>
      </c>
      <c r="AA3304" t="e">
        <f>INDEX(Stammdaten[Ovalität (']0,1'])],MATCH(Tabelle1014[[#This Row],[Rank]],Stammdaten[Rank Verteilung Ovalität],0))</f>
        <v>#N/A</v>
      </c>
      <c r="AB3304" t="e">
        <f>VLOOKUP(Tabelle1014[[#This Row],[Rank]],Stammdaten[[Rank Verteilung Ovalität]:[Verteilung Ovalität]],2,FALSE)</f>
        <v>#N/A</v>
      </c>
    </row>
    <row r="3305" spans="5:28" x14ac:dyDescent="0.35">
      <c r="E3305">
        <v>3296</v>
      </c>
      <c r="F3305" t="e">
        <f>INDEX(Stammdaten[D Mitte mit Rinde (mm)],MATCH(Tabelle8[[#This Row],[Rank]],Stammdaten[Rank Verteilung D Mitte mit Rinde],0))</f>
        <v>#N/A</v>
      </c>
      <c r="G3305" t="e">
        <f>VLOOKUP(Tabelle8[[#This Row],[Rank]],Stammdaten[[Rank Verteilung D Mitte mit Rinde]:[Verteilung D Mitte mit Rinde]],2,FALSE)</f>
        <v>#N/A</v>
      </c>
      <c r="L3305">
        <v>3296</v>
      </c>
      <c r="M3305" t="e">
        <f>INDEX(Stammdaten[Abholzigkeit (mm/lfm)],MATCH(Tabelle9[[#This Row],[Rank]],Stammdaten[Rank Verteilung Abholzigkeit],0))</f>
        <v>#N/A</v>
      </c>
      <c r="N3305" t="e">
        <f>VLOOKUP(Tabelle9[[#This Row],[Rank]],Stammdaten[[Rank Verteilung Abholzigkeit]:[Verteilung Abholzigkeit]],2,FALSE)</f>
        <v>#N/A</v>
      </c>
      <c r="S3305">
        <v>3296</v>
      </c>
      <c r="T3305" t="e">
        <f>INDEX(Stammdaten[Krümmung (mm/lfm)],MATCH(Tabelle10[[#This Row],[Rank]],Stammdaten[Rank Verteilung Krümmung],0))</f>
        <v>#N/A</v>
      </c>
      <c r="U3305" t="e">
        <f>VLOOKUP(Tabelle10[[#This Row],[Rank]],Stammdaten[[Rank Verteilung Krümmung]:[Verteilung Krümmung]],2,FALSE)</f>
        <v>#N/A</v>
      </c>
      <c r="Z3305">
        <v>3296</v>
      </c>
      <c r="AA3305" t="e">
        <f>INDEX(Stammdaten[Ovalität (']0,1'])],MATCH(Tabelle1014[[#This Row],[Rank]],Stammdaten[Rank Verteilung Ovalität],0))</f>
        <v>#N/A</v>
      </c>
      <c r="AB3305" t="e">
        <f>VLOOKUP(Tabelle1014[[#This Row],[Rank]],Stammdaten[[Rank Verteilung Ovalität]:[Verteilung Ovalität]],2,FALSE)</f>
        <v>#N/A</v>
      </c>
    </row>
    <row r="3306" spans="5:28" x14ac:dyDescent="0.35">
      <c r="E3306">
        <v>3297</v>
      </c>
      <c r="F3306" t="e">
        <f>INDEX(Stammdaten[D Mitte mit Rinde (mm)],MATCH(Tabelle8[[#This Row],[Rank]],Stammdaten[Rank Verteilung D Mitte mit Rinde],0))</f>
        <v>#N/A</v>
      </c>
      <c r="G3306" t="e">
        <f>VLOOKUP(Tabelle8[[#This Row],[Rank]],Stammdaten[[Rank Verteilung D Mitte mit Rinde]:[Verteilung D Mitte mit Rinde]],2,FALSE)</f>
        <v>#N/A</v>
      </c>
      <c r="L3306">
        <v>3297</v>
      </c>
      <c r="M3306" t="e">
        <f>INDEX(Stammdaten[Abholzigkeit (mm/lfm)],MATCH(Tabelle9[[#This Row],[Rank]],Stammdaten[Rank Verteilung Abholzigkeit],0))</f>
        <v>#N/A</v>
      </c>
      <c r="N3306" t="e">
        <f>VLOOKUP(Tabelle9[[#This Row],[Rank]],Stammdaten[[Rank Verteilung Abholzigkeit]:[Verteilung Abholzigkeit]],2,FALSE)</f>
        <v>#N/A</v>
      </c>
      <c r="S3306">
        <v>3297</v>
      </c>
      <c r="T3306" t="e">
        <f>INDEX(Stammdaten[Krümmung (mm/lfm)],MATCH(Tabelle10[[#This Row],[Rank]],Stammdaten[Rank Verteilung Krümmung],0))</f>
        <v>#N/A</v>
      </c>
      <c r="U3306" t="e">
        <f>VLOOKUP(Tabelle10[[#This Row],[Rank]],Stammdaten[[Rank Verteilung Krümmung]:[Verteilung Krümmung]],2,FALSE)</f>
        <v>#N/A</v>
      </c>
      <c r="Z3306">
        <v>3297</v>
      </c>
      <c r="AA3306" t="e">
        <f>INDEX(Stammdaten[Ovalität (']0,1'])],MATCH(Tabelle1014[[#This Row],[Rank]],Stammdaten[Rank Verteilung Ovalität],0))</f>
        <v>#N/A</v>
      </c>
      <c r="AB3306" t="e">
        <f>VLOOKUP(Tabelle1014[[#This Row],[Rank]],Stammdaten[[Rank Verteilung Ovalität]:[Verteilung Ovalität]],2,FALSE)</f>
        <v>#N/A</v>
      </c>
    </row>
    <row r="3307" spans="5:28" x14ac:dyDescent="0.35">
      <c r="E3307">
        <v>3298</v>
      </c>
      <c r="F3307" t="e">
        <f>INDEX(Stammdaten[D Mitte mit Rinde (mm)],MATCH(Tabelle8[[#This Row],[Rank]],Stammdaten[Rank Verteilung D Mitte mit Rinde],0))</f>
        <v>#N/A</v>
      </c>
      <c r="G3307" t="e">
        <f>VLOOKUP(Tabelle8[[#This Row],[Rank]],Stammdaten[[Rank Verteilung D Mitte mit Rinde]:[Verteilung D Mitte mit Rinde]],2,FALSE)</f>
        <v>#N/A</v>
      </c>
      <c r="L3307">
        <v>3298</v>
      </c>
      <c r="M3307" t="e">
        <f>INDEX(Stammdaten[Abholzigkeit (mm/lfm)],MATCH(Tabelle9[[#This Row],[Rank]],Stammdaten[Rank Verteilung Abholzigkeit],0))</f>
        <v>#N/A</v>
      </c>
      <c r="N3307" t="e">
        <f>VLOOKUP(Tabelle9[[#This Row],[Rank]],Stammdaten[[Rank Verteilung Abholzigkeit]:[Verteilung Abholzigkeit]],2,FALSE)</f>
        <v>#N/A</v>
      </c>
      <c r="S3307">
        <v>3298</v>
      </c>
      <c r="T3307" t="e">
        <f>INDEX(Stammdaten[Krümmung (mm/lfm)],MATCH(Tabelle10[[#This Row],[Rank]],Stammdaten[Rank Verteilung Krümmung],0))</f>
        <v>#N/A</v>
      </c>
      <c r="U3307" t="e">
        <f>VLOOKUP(Tabelle10[[#This Row],[Rank]],Stammdaten[[Rank Verteilung Krümmung]:[Verteilung Krümmung]],2,FALSE)</f>
        <v>#N/A</v>
      </c>
      <c r="Z3307">
        <v>3298</v>
      </c>
      <c r="AA3307" t="e">
        <f>INDEX(Stammdaten[Ovalität (']0,1'])],MATCH(Tabelle1014[[#This Row],[Rank]],Stammdaten[Rank Verteilung Ovalität],0))</f>
        <v>#N/A</v>
      </c>
      <c r="AB3307" t="e">
        <f>VLOOKUP(Tabelle1014[[#This Row],[Rank]],Stammdaten[[Rank Verteilung Ovalität]:[Verteilung Ovalität]],2,FALSE)</f>
        <v>#N/A</v>
      </c>
    </row>
    <row r="3308" spans="5:28" x14ac:dyDescent="0.35">
      <c r="E3308">
        <v>3299</v>
      </c>
      <c r="F3308" t="e">
        <f>INDEX(Stammdaten[D Mitte mit Rinde (mm)],MATCH(Tabelle8[[#This Row],[Rank]],Stammdaten[Rank Verteilung D Mitte mit Rinde],0))</f>
        <v>#N/A</v>
      </c>
      <c r="G3308" t="e">
        <f>VLOOKUP(Tabelle8[[#This Row],[Rank]],Stammdaten[[Rank Verteilung D Mitte mit Rinde]:[Verteilung D Mitte mit Rinde]],2,FALSE)</f>
        <v>#N/A</v>
      </c>
      <c r="L3308">
        <v>3299</v>
      </c>
      <c r="M3308" t="e">
        <f>INDEX(Stammdaten[Abholzigkeit (mm/lfm)],MATCH(Tabelle9[[#This Row],[Rank]],Stammdaten[Rank Verteilung Abholzigkeit],0))</f>
        <v>#N/A</v>
      </c>
      <c r="N3308" t="e">
        <f>VLOOKUP(Tabelle9[[#This Row],[Rank]],Stammdaten[[Rank Verteilung Abholzigkeit]:[Verteilung Abholzigkeit]],2,FALSE)</f>
        <v>#N/A</v>
      </c>
      <c r="S3308">
        <v>3299</v>
      </c>
      <c r="T3308" t="e">
        <f>INDEX(Stammdaten[Krümmung (mm/lfm)],MATCH(Tabelle10[[#This Row],[Rank]],Stammdaten[Rank Verteilung Krümmung],0))</f>
        <v>#N/A</v>
      </c>
      <c r="U3308" t="e">
        <f>VLOOKUP(Tabelle10[[#This Row],[Rank]],Stammdaten[[Rank Verteilung Krümmung]:[Verteilung Krümmung]],2,FALSE)</f>
        <v>#N/A</v>
      </c>
      <c r="Z3308">
        <v>3299</v>
      </c>
      <c r="AA3308" t="e">
        <f>INDEX(Stammdaten[Ovalität (']0,1'])],MATCH(Tabelle1014[[#This Row],[Rank]],Stammdaten[Rank Verteilung Ovalität],0))</f>
        <v>#N/A</v>
      </c>
      <c r="AB3308" t="e">
        <f>VLOOKUP(Tabelle1014[[#This Row],[Rank]],Stammdaten[[Rank Verteilung Ovalität]:[Verteilung Ovalität]],2,FALSE)</f>
        <v>#N/A</v>
      </c>
    </row>
    <row r="3309" spans="5:28" x14ac:dyDescent="0.35">
      <c r="E3309">
        <v>3300</v>
      </c>
      <c r="F3309" t="e">
        <f>INDEX(Stammdaten[D Mitte mit Rinde (mm)],MATCH(Tabelle8[[#This Row],[Rank]],Stammdaten[Rank Verteilung D Mitte mit Rinde],0))</f>
        <v>#N/A</v>
      </c>
      <c r="G3309" t="e">
        <f>VLOOKUP(Tabelle8[[#This Row],[Rank]],Stammdaten[[Rank Verteilung D Mitte mit Rinde]:[Verteilung D Mitte mit Rinde]],2,FALSE)</f>
        <v>#N/A</v>
      </c>
      <c r="L3309">
        <v>3300</v>
      </c>
      <c r="M3309" t="e">
        <f>INDEX(Stammdaten[Abholzigkeit (mm/lfm)],MATCH(Tabelle9[[#This Row],[Rank]],Stammdaten[Rank Verteilung Abholzigkeit],0))</f>
        <v>#N/A</v>
      </c>
      <c r="N3309" t="e">
        <f>VLOOKUP(Tabelle9[[#This Row],[Rank]],Stammdaten[[Rank Verteilung Abholzigkeit]:[Verteilung Abholzigkeit]],2,FALSE)</f>
        <v>#N/A</v>
      </c>
      <c r="S3309">
        <v>3300</v>
      </c>
      <c r="T3309" t="e">
        <f>INDEX(Stammdaten[Krümmung (mm/lfm)],MATCH(Tabelle10[[#This Row],[Rank]],Stammdaten[Rank Verteilung Krümmung],0))</f>
        <v>#N/A</v>
      </c>
      <c r="U3309" t="e">
        <f>VLOOKUP(Tabelle10[[#This Row],[Rank]],Stammdaten[[Rank Verteilung Krümmung]:[Verteilung Krümmung]],2,FALSE)</f>
        <v>#N/A</v>
      </c>
      <c r="Z3309">
        <v>3300</v>
      </c>
      <c r="AA3309" t="e">
        <f>INDEX(Stammdaten[Ovalität (']0,1'])],MATCH(Tabelle1014[[#This Row],[Rank]],Stammdaten[Rank Verteilung Ovalität],0))</f>
        <v>#N/A</v>
      </c>
      <c r="AB3309" t="e">
        <f>VLOOKUP(Tabelle1014[[#This Row],[Rank]],Stammdaten[[Rank Verteilung Ovalität]:[Verteilung Ovalität]],2,FALSE)</f>
        <v>#N/A</v>
      </c>
    </row>
    <row r="3310" spans="5:28" x14ac:dyDescent="0.35">
      <c r="E3310">
        <v>3301</v>
      </c>
      <c r="F3310" t="e">
        <f>INDEX(Stammdaten[D Mitte mit Rinde (mm)],MATCH(Tabelle8[[#This Row],[Rank]],Stammdaten[Rank Verteilung D Mitte mit Rinde],0))</f>
        <v>#N/A</v>
      </c>
      <c r="G3310" t="e">
        <f>VLOOKUP(Tabelle8[[#This Row],[Rank]],Stammdaten[[Rank Verteilung D Mitte mit Rinde]:[Verteilung D Mitte mit Rinde]],2,FALSE)</f>
        <v>#N/A</v>
      </c>
      <c r="L3310">
        <v>3301</v>
      </c>
      <c r="M3310" t="e">
        <f>INDEX(Stammdaten[Abholzigkeit (mm/lfm)],MATCH(Tabelle9[[#This Row],[Rank]],Stammdaten[Rank Verteilung Abholzigkeit],0))</f>
        <v>#N/A</v>
      </c>
      <c r="N3310" t="e">
        <f>VLOOKUP(Tabelle9[[#This Row],[Rank]],Stammdaten[[Rank Verteilung Abholzigkeit]:[Verteilung Abholzigkeit]],2,FALSE)</f>
        <v>#N/A</v>
      </c>
      <c r="S3310">
        <v>3301</v>
      </c>
      <c r="T3310" t="e">
        <f>INDEX(Stammdaten[Krümmung (mm/lfm)],MATCH(Tabelle10[[#This Row],[Rank]],Stammdaten[Rank Verteilung Krümmung],0))</f>
        <v>#N/A</v>
      </c>
      <c r="U3310" t="e">
        <f>VLOOKUP(Tabelle10[[#This Row],[Rank]],Stammdaten[[Rank Verteilung Krümmung]:[Verteilung Krümmung]],2,FALSE)</f>
        <v>#N/A</v>
      </c>
      <c r="Z3310">
        <v>3301</v>
      </c>
      <c r="AA3310" t="e">
        <f>INDEX(Stammdaten[Ovalität (']0,1'])],MATCH(Tabelle1014[[#This Row],[Rank]],Stammdaten[Rank Verteilung Ovalität],0))</f>
        <v>#N/A</v>
      </c>
      <c r="AB3310" t="e">
        <f>VLOOKUP(Tabelle1014[[#This Row],[Rank]],Stammdaten[[Rank Verteilung Ovalität]:[Verteilung Ovalität]],2,FALSE)</f>
        <v>#N/A</v>
      </c>
    </row>
    <row r="3311" spans="5:28" x14ac:dyDescent="0.35">
      <c r="E3311">
        <v>3302</v>
      </c>
      <c r="F3311" t="e">
        <f>INDEX(Stammdaten[D Mitte mit Rinde (mm)],MATCH(Tabelle8[[#This Row],[Rank]],Stammdaten[Rank Verteilung D Mitte mit Rinde],0))</f>
        <v>#N/A</v>
      </c>
      <c r="G3311" t="e">
        <f>VLOOKUP(Tabelle8[[#This Row],[Rank]],Stammdaten[[Rank Verteilung D Mitte mit Rinde]:[Verteilung D Mitte mit Rinde]],2,FALSE)</f>
        <v>#N/A</v>
      </c>
      <c r="L3311">
        <v>3302</v>
      </c>
      <c r="M3311" t="e">
        <f>INDEX(Stammdaten[Abholzigkeit (mm/lfm)],MATCH(Tabelle9[[#This Row],[Rank]],Stammdaten[Rank Verteilung Abholzigkeit],0))</f>
        <v>#N/A</v>
      </c>
      <c r="N3311" t="e">
        <f>VLOOKUP(Tabelle9[[#This Row],[Rank]],Stammdaten[[Rank Verteilung Abholzigkeit]:[Verteilung Abholzigkeit]],2,FALSE)</f>
        <v>#N/A</v>
      </c>
      <c r="S3311">
        <v>3302</v>
      </c>
      <c r="T3311" t="e">
        <f>INDEX(Stammdaten[Krümmung (mm/lfm)],MATCH(Tabelle10[[#This Row],[Rank]],Stammdaten[Rank Verteilung Krümmung],0))</f>
        <v>#N/A</v>
      </c>
      <c r="U3311" t="e">
        <f>VLOOKUP(Tabelle10[[#This Row],[Rank]],Stammdaten[[Rank Verteilung Krümmung]:[Verteilung Krümmung]],2,FALSE)</f>
        <v>#N/A</v>
      </c>
      <c r="Z3311">
        <v>3302</v>
      </c>
      <c r="AA3311" t="e">
        <f>INDEX(Stammdaten[Ovalität (']0,1'])],MATCH(Tabelle1014[[#This Row],[Rank]],Stammdaten[Rank Verteilung Ovalität],0))</f>
        <v>#N/A</v>
      </c>
      <c r="AB3311" t="e">
        <f>VLOOKUP(Tabelle1014[[#This Row],[Rank]],Stammdaten[[Rank Verteilung Ovalität]:[Verteilung Ovalität]],2,FALSE)</f>
        <v>#N/A</v>
      </c>
    </row>
    <row r="3312" spans="5:28" x14ac:dyDescent="0.35">
      <c r="E3312">
        <v>3303</v>
      </c>
      <c r="F3312" t="e">
        <f>INDEX(Stammdaten[D Mitte mit Rinde (mm)],MATCH(Tabelle8[[#This Row],[Rank]],Stammdaten[Rank Verteilung D Mitte mit Rinde],0))</f>
        <v>#N/A</v>
      </c>
      <c r="G3312" t="e">
        <f>VLOOKUP(Tabelle8[[#This Row],[Rank]],Stammdaten[[Rank Verteilung D Mitte mit Rinde]:[Verteilung D Mitte mit Rinde]],2,FALSE)</f>
        <v>#N/A</v>
      </c>
      <c r="L3312">
        <v>3303</v>
      </c>
      <c r="M3312" t="e">
        <f>INDEX(Stammdaten[Abholzigkeit (mm/lfm)],MATCH(Tabelle9[[#This Row],[Rank]],Stammdaten[Rank Verteilung Abholzigkeit],0))</f>
        <v>#N/A</v>
      </c>
      <c r="N3312" t="e">
        <f>VLOOKUP(Tabelle9[[#This Row],[Rank]],Stammdaten[[Rank Verteilung Abholzigkeit]:[Verteilung Abholzigkeit]],2,FALSE)</f>
        <v>#N/A</v>
      </c>
      <c r="S3312">
        <v>3303</v>
      </c>
      <c r="T3312" t="e">
        <f>INDEX(Stammdaten[Krümmung (mm/lfm)],MATCH(Tabelle10[[#This Row],[Rank]],Stammdaten[Rank Verteilung Krümmung],0))</f>
        <v>#N/A</v>
      </c>
      <c r="U3312" t="e">
        <f>VLOOKUP(Tabelle10[[#This Row],[Rank]],Stammdaten[[Rank Verteilung Krümmung]:[Verteilung Krümmung]],2,FALSE)</f>
        <v>#N/A</v>
      </c>
      <c r="Z3312">
        <v>3303</v>
      </c>
      <c r="AA3312" t="e">
        <f>INDEX(Stammdaten[Ovalität (']0,1'])],MATCH(Tabelle1014[[#This Row],[Rank]],Stammdaten[Rank Verteilung Ovalität],0))</f>
        <v>#N/A</v>
      </c>
      <c r="AB3312" t="e">
        <f>VLOOKUP(Tabelle1014[[#This Row],[Rank]],Stammdaten[[Rank Verteilung Ovalität]:[Verteilung Ovalität]],2,FALSE)</f>
        <v>#N/A</v>
      </c>
    </row>
    <row r="3313" spans="5:28" x14ac:dyDescent="0.35">
      <c r="E3313">
        <v>3304</v>
      </c>
      <c r="F3313" t="e">
        <f>INDEX(Stammdaten[D Mitte mit Rinde (mm)],MATCH(Tabelle8[[#This Row],[Rank]],Stammdaten[Rank Verteilung D Mitte mit Rinde],0))</f>
        <v>#N/A</v>
      </c>
      <c r="G3313" t="e">
        <f>VLOOKUP(Tabelle8[[#This Row],[Rank]],Stammdaten[[Rank Verteilung D Mitte mit Rinde]:[Verteilung D Mitte mit Rinde]],2,FALSE)</f>
        <v>#N/A</v>
      </c>
      <c r="L3313">
        <v>3304</v>
      </c>
      <c r="M3313" t="e">
        <f>INDEX(Stammdaten[Abholzigkeit (mm/lfm)],MATCH(Tabelle9[[#This Row],[Rank]],Stammdaten[Rank Verteilung Abholzigkeit],0))</f>
        <v>#N/A</v>
      </c>
      <c r="N3313" t="e">
        <f>VLOOKUP(Tabelle9[[#This Row],[Rank]],Stammdaten[[Rank Verteilung Abholzigkeit]:[Verteilung Abholzigkeit]],2,FALSE)</f>
        <v>#N/A</v>
      </c>
      <c r="S3313">
        <v>3304</v>
      </c>
      <c r="T3313" t="e">
        <f>INDEX(Stammdaten[Krümmung (mm/lfm)],MATCH(Tabelle10[[#This Row],[Rank]],Stammdaten[Rank Verteilung Krümmung],0))</f>
        <v>#N/A</v>
      </c>
      <c r="U3313" t="e">
        <f>VLOOKUP(Tabelle10[[#This Row],[Rank]],Stammdaten[[Rank Verteilung Krümmung]:[Verteilung Krümmung]],2,FALSE)</f>
        <v>#N/A</v>
      </c>
      <c r="Z3313">
        <v>3304</v>
      </c>
      <c r="AA3313" t="e">
        <f>INDEX(Stammdaten[Ovalität (']0,1'])],MATCH(Tabelle1014[[#This Row],[Rank]],Stammdaten[Rank Verteilung Ovalität],0))</f>
        <v>#N/A</v>
      </c>
      <c r="AB3313" t="e">
        <f>VLOOKUP(Tabelle1014[[#This Row],[Rank]],Stammdaten[[Rank Verteilung Ovalität]:[Verteilung Ovalität]],2,FALSE)</f>
        <v>#N/A</v>
      </c>
    </row>
    <row r="3314" spans="5:28" x14ac:dyDescent="0.35">
      <c r="E3314">
        <v>3305</v>
      </c>
      <c r="F3314" t="e">
        <f>INDEX(Stammdaten[D Mitte mit Rinde (mm)],MATCH(Tabelle8[[#This Row],[Rank]],Stammdaten[Rank Verteilung D Mitte mit Rinde],0))</f>
        <v>#N/A</v>
      </c>
      <c r="G3314" t="e">
        <f>VLOOKUP(Tabelle8[[#This Row],[Rank]],Stammdaten[[Rank Verteilung D Mitte mit Rinde]:[Verteilung D Mitte mit Rinde]],2,FALSE)</f>
        <v>#N/A</v>
      </c>
      <c r="L3314">
        <v>3305</v>
      </c>
      <c r="M3314" t="e">
        <f>INDEX(Stammdaten[Abholzigkeit (mm/lfm)],MATCH(Tabelle9[[#This Row],[Rank]],Stammdaten[Rank Verteilung Abholzigkeit],0))</f>
        <v>#N/A</v>
      </c>
      <c r="N3314" t="e">
        <f>VLOOKUP(Tabelle9[[#This Row],[Rank]],Stammdaten[[Rank Verteilung Abholzigkeit]:[Verteilung Abholzigkeit]],2,FALSE)</f>
        <v>#N/A</v>
      </c>
      <c r="S3314">
        <v>3305</v>
      </c>
      <c r="T3314" t="e">
        <f>INDEX(Stammdaten[Krümmung (mm/lfm)],MATCH(Tabelle10[[#This Row],[Rank]],Stammdaten[Rank Verteilung Krümmung],0))</f>
        <v>#N/A</v>
      </c>
      <c r="U3314" t="e">
        <f>VLOOKUP(Tabelle10[[#This Row],[Rank]],Stammdaten[[Rank Verteilung Krümmung]:[Verteilung Krümmung]],2,FALSE)</f>
        <v>#N/A</v>
      </c>
      <c r="Z3314">
        <v>3305</v>
      </c>
      <c r="AA3314" t="e">
        <f>INDEX(Stammdaten[Ovalität (']0,1'])],MATCH(Tabelle1014[[#This Row],[Rank]],Stammdaten[Rank Verteilung Ovalität],0))</f>
        <v>#N/A</v>
      </c>
      <c r="AB3314" t="e">
        <f>VLOOKUP(Tabelle1014[[#This Row],[Rank]],Stammdaten[[Rank Verteilung Ovalität]:[Verteilung Ovalität]],2,FALSE)</f>
        <v>#N/A</v>
      </c>
    </row>
    <row r="3315" spans="5:28" x14ac:dyDescent="0.35">
      <c r="E3315">
        <v>3306</v>
      </c>
      <c r="F3315" t="e">
        <f>INDEX(Stammdaten[D Mitte mit Rinde (mm)],MATCH(Tabelle8[[#This Row],[Rank]],Stammdaten[Rank Verteilung D Mitte mit Rinde],0))</f>
        <v>#N/A</v>
      </c>
      <c r="G3315" t="e">
        <f>VLOOKUP(Tabelle8[[#This Row],[Rank]],Stammdaten[[Rank Verteilung D Mitte mit Rinde]:[Verteilung D Mitte mit Rinde]],2,FALSE)</f>
        <v>#N/A</v>
      </c>
      <c r="L3315">
        <v>3306</v>
      </c>
      <c r="M3315" t="e">
        <f>INDEX(Stammdaten[Abholzigkeit (mm/lfm)],MATCH(Tabelle9[[#This Row],[Rank]],Stammdaten[Rank Verteilung Abholzigkeit],0))</f>
        <v>#N/A</v>
      </c>
      <c r="N3315" t="e">
        <f>VLOOKUP(Tabelle9[[#This Row],[Rank]],Stammdaten[[Rank Verteilung Abholzigkeit]:[Verteilung Abholzigkeit]],2,FALSE)</f>
        <v>#N/A</v>
      </c>
      <c r="S3315">
        <v>3306</v>
      </c>
      <c r="T3315" t="e">
        <f>INDEX(Stammdaten[Krümmung (mm/lfm)],MATCH(Tabelle10[[#This Row],[Rank]],Stammdaten[Rank Verteilung Krümmung],0))</f>
        <v>#N/A</v>
      </c>
      <c r="U3315" t="e">
        <f>VLOOKUP(Tabelle10[[#This Row],[Rank]],Stammdaten[[Rank Verteilung Krümmung]:[Verteilung Krümmung]],2,FALSE)</f>
        <v>#N/A</v>
      </c>
      <c r="Z3315">
        <v>3306</v>
      </c>
      <c r="AA3315" t="e">
        <f>INDEX(Stammdaten[Ovalität (']0,1'])],MATCH(Tabelle1014[[#This Row],[Rank]],Stammdaten[Rank Verteilung Ovalität],0))</f>
        <v>#N/A</v>
      </c>
      <c r="AB3315" t="e">
        <f>VLOOKUP(Tabelle1014[[#This Row],[Rank]],Stammdaten[[Rank Verteilung Ovalität]:[Verteilung Ovalität]],2,FALSE)</f>
        <v>#N/A</v>
      </c>
    </row>
    <row r="3316" spans="5:28" x14ac:dyDescent="0.35">
      <c r="E3316">
        <v>3307</v>
      </c>
      <c r="F3316" t="e">
        <f>INDEX(Stammdaten[D Mitte mit Rinde (mm)],MATCH(Tabelle8[[#This Row],[Rank]],Stammdaten[Rank Verteilung D Mitte mit Rinde],0))</f>
        <v>#N/A</v>
      </c>
      <c r="G3316" t="e">
        <f>VLOOKUP(Tabelle8[[#This Row],[Rank]],Stammdaten[[Rank Verteilung D Mitte mit Rinde]:[Verteilung D Mitte mit Rinde]],2,FALSE)</f>
        <v>#N/A</v>
      </c>
      <c r="L3316">
        <v>3307</v>
      </c>
      <c r="M3316" t="e">
        <f>INDEX(Stammdaten[Abholzigkeit (mm/lfm)],MATCH(Tabelle9[[#This Row],[Rank]],Stammdaten[Rank Verteilung Abholzigkeit],0))</f>
        <v>#N/A</v>
      </c>
      <c r="N3316" t="e">
        <f>VLOOKUP(Tabelle9[[#This Row],[Rank]],Stammdaten[[Rank Verteilung Abholzigkeit]:[Verteilung Abholzigkeit]],2,FALSE)</f>
        <v>#N/A</v>
      </c>
      <c r="S3316">
        <v>3307</v>
      </c>
      <c r="T3316" t="e">
        <f>INDEX(Stammdaten[Krümmung (mm/lfm)],MATCH(Tabelle10[[#This Row],[Rank]],Stammdaten[Rank Verteilung Krümmung],0))</f>
        <v>#N/A</v>
      </c>
      <c r="U3316" t="e">
        <f>VLOOKUP(Tabelle10[[#This Row],[Rank]],Stammdaten[[Rank Verteilung Krümmung]:[Verteilung Krümmung]],2,FALSE)</f>
        <v>#N/A</v>
      </c>
      <c r="Z3316">
        <v>3307</v>
      </c>
      <c r="AA3316" t="e">
        <f>INDEX(Stammdaten[Ovalität (']0,1'])],MATCH(Tabelle1014[[#This Row],[Rank]],Stammdaten[Rank Verteilung Ovalität],0))</f>
        <v>#N/A</v>
      </c>
      <c r="AB3316" t="e">
        <f>VLOOKUP(Tabelle1014[[#This Row],[Rank]],Stammdaten[[Rank Verteilung Ovalität]:[Verteilung Ovalität]],2,FALSE)</f>
        <v>#N/A</v>
      </c>
    </row>
    <row r="3317" spans="5:28" x14ac:dyDescent="0.35">
      <c r="E3317">
        <v>3308</v>
      </c>
      <c r="F3317" t="e">
        <f>INDEX(Stammdaten[D Mitte mit Rinde (mm)],MATCH(Tabelle8[[#This Row],[Rank]],Stammdaten[Rank Verteilung D Mitte mit Rinde],0))</f>
        <v>#N/A</v>
      </c>
      <c r="G3317" t="e">
        <f>VLOOKUP(Tabelle8[[#This Row],[Rank]],Stammdaten[[Rank Verteilung D Mitte mit Rinde]:[Verteilung D Mitte mit Rinde]],2,FALSE)</f>
        <v>#N/A</v>
      </c>
      <c r="L3317">
        <v>3308</v>
      </c>
      <c r="M3317" t="e">
        <f>INDEX(Stammdaten[Abholzigkeit (mm/lfm)],MATCH(Tabelle9[[#This Row],[Rank]],Stammdaten[Rank Verteilung Abholzigkeit],0))</f>
        <v>#N/A</v>
      </c>
      <c r="N3317" t="e">
        <f>VLOOKUP(Tabelle9[[#This Row],[Rank]],Stammdaten[[Rank Verteilung Abholzigkeit]:[Verteilung Abholzigkeit]],2,FALSE)</f>
        <v>#N/A</v>
      </c>
      <c r="S3317">
        <v>3308</v>
      </c>
      <c r="T3317" t="e">
        <f>INDEX(Stammdaten[Krümmung (mm/lfm)],MATCH(Tabelle10[[#This Row],[Rank]],Stammdaten[Rank Verteilung Krümmung],0))</f>
        <v>#N/A</v>
      </c>
      <c r="U3317" t="e">
        <f>VLOOKUP(Tabelle10[[#This Row],[Rank]],Stammdaten[[Rank Verteilung Krümmung]:[Verteilung Krümmung]],2,FALSE)</f>
        <v>#N/A</v>
      </c>
      <c r="Z3317">
        <v>3308</v>
      </c>
      <c r="AA3317" t="e">
        <f>INDEX(Stammdaten[Ovalität (']0,1'])],MATCH(Tabelle1014[[#This Row],[Rank]],Stammdaten[Rank Verteilung Ovalität],0))</f>
        <v>#N/A</v>
      </c>
      <c r="AB3317" t="e">
        <f>VLOOKUP(Tabelle1014[[#This Row],[Rank]],Stammdaten[[Rank Verteilung Ovalität]:[Verteilung Ovalität]],2,FALSE)</f>
        <v>#N/A</v>
      </c>
    </row>
    <row r="3318" spans="5:28" x14ac:dyDescent="0.35">
      <c r="E3318">
        <v>3309</v>
      </c>
      <c r="F3318" t="e">
        <f>INDEX(Stammdaten[D Mitte mit Rinde (mm)],MATCH(Tabelle8[[#This Row],[Rank]],Stammdaten[Rank Verteilung D Mitte mit Rinde],0))</f>
        <v>#N/A</v>
      </c>
      <c r="G3318" t="e">
        <f>VLOOKUP(Tabelle8[[#This Row],[Rank]],Stammdaten[[Rank Verteilung D Mitte mit Rinde]:[Verteilung D Mitte mit Rinde]],2,FALSE)</f>
        <v>#N/A</v>
      </c>
      <c r="L3318">
        <v>3309</v>
      </c>
      <c r="M3318" t="e">
        <f>INDEX(Stammdaten[Abholzigkeit (mm/lfm)],MATCH(Tabelle9[[#This Row],[Rank]],Stammdaten[Rank Verteilung Abholzigkeit],0))</f>
        <v>#N/A</v>
      </c>
      <c r="N3318" t="e">
        <f>VLOOKUP(Tabelle9[[#This Row],[Rank]],Stammdaten[[Rank Verteilung Abholzigkeit]:[Verteilung Abholzigkeit]],2,FALSE)</f>
        <v>#N/A</v>
      </c>
      <c r="S3318">
        <v>3309</v>
      </c>
      <c r="T3318" t="e">
        <f>INDEX(Stammdaten[Krümmung (mm/lfm)],MATCH(Tabelle10[[#This Row],[Rank]],Stammdaten[Rank Verteilung Krümmung],0))</f>
        <v>#N/A</v>
      </c>
      <c r="U3318" t="e">
        <f>VLOOKUP(Tabelle10[[#This Row],[Rank]],Stammdaten[[Rank Verteilung Krümmung]:[Verteilung Krümmung]],2,FALSE)</f>
        <v>#N/A</v>
      </c>
      <c r="Z3318">
        <v>3309</v>
      </c>
      <c r="AA3318" t="e">
        <f>INDEX(Stammdaten[Ovalität (']0,1'])],MATCH(Tabelle1014[[#This Row],[Rank]],Stammdaten[Rank Verteilung Ovalität],0))</f>
        <v>#N/A</v>
      </c>
      <c r="AB3318" t="e">
        <f>VLOOKUP(Tabelle1014[[#This Row],[Rank]],Stammdaten[[Rank Verteilung Ovalität]:[Verteilung Ovalität]],2,FALSE)</f>
        <v>#N/A</v>
      </c>
    </row>
    <row r="3319" spans="5:28" x14ac:dyDescent="0.35">
      <c r="E3319">
        <v>3310</v>
      </c>
      <c r="F3319" t="e">
        <f>INDEX(Stammdaten[D Mitte mit Rinde (mm)],MATCH(Tabelle8[[#This Row],[Rank]],Stammdaten[Rank Verteilung D Mitte mit Rinde],0))</f>
        <v>#N/A</v>
      </c>
      <c r="G3319" t="e">
        <f>VLOOKUP(Tabelle8[[#This Row],[Rank]],Stammdaten[[Rank Verteilung D Mitte mit Rinde]:[Verteilung D Mitte mit Rinde]],2,FALSE)</f>
        <v>#N/A</v>
      </c>
      <c r="L3319">
        <v>3310</v>
      </c>
      <c r="M3319" t="e">
        <f>INDEX(Stammdaten[Abholzigkeit (mm/lfm)],MATCH(Tabelle9[[#This Row],[Rank]],Stammdaten[Rank Verteilung Abholzigkeit],0))</f>
        <v>#N/A</v>
      </c>
      <c r="N3319" t="e">
        <f>VLOOKUP(Tabelle9[[#This Row],[Rank]],Stammdaten[[Rank Verteilung Abholzigkeit]:[Verteilung Abholzigkeit]],2,FALSE)</f>
        <v>#N/A</v>
      </c>
      <c r="S3319">
        <v>3310</v>
      </c>
      <c r="T3319" t="e">
        <f>INDEX(Stammdaten[Krümmung (mm/lfm)],MATCH(Tabelle10[[#This Row],[Rank]],Stammdaten[Rank Verteilung Krümmung],0))</f>
        <v>#N/A</v>
      </c>
      <c r="U3319" t="e">
        <f>VLOOKUP(Tabelle10[[#This Row],[Rank]],Stammdaten[[Rank Verteilung Krümmung]:[Verteilung Krümmung]],2,FALSE)</f>
        <v>#N/A</v>
      </c>
      <c r="Z3319">
        <v>3310</v>
      </c>
      <c r="AA3319" t="e">
        <f>INDEX(Stammdaten[Ovalität (']0,1'])],MATCH(Tabelle1014[[#This Row],[Rank]],Stammdaten[Rank Verteilung Ovalität],0))</f>
        <v>#N/A</v>
      </c>
      <c r="AB3319" t="e">
        <f>VLOOKUP(Tabelle1014[[#This Row],[Rank]],Stammdaten[[Rank Verteilung Ovalität]:[Verteilung Ovalität]],2,FALSE)</f>
        <v>#N/A</v>
      </c>
    </row>
    <row r="3320" spans="5:28" x14ac:dyDescent="0.35">
      <c r="E3320">
        <v>3311</v>
      </c>
      <c r="F3320" t="e">
        <f>INDEX(Stammdaten[D Mitte mit Rinde (mm)],MATCH(Tabelle8[[#This Row],[Rank]],Stammdaten[Rank Verteilung D Mitte mit Rinde],0))</f>
        <v>#N/A</v>
      </c>
      <c r="G3320" t="e">
        <f>VLOOKUP(Tabelle8[[#This Row],[Rank]],Stammdaten[[Rank Verteilung D Mitte mit Rinde]:[Verteilung D Mitte mit Rinde]],2,FALSE)</f>
        <v>#N/A</v>
      </c>
      <c r="L3320">
        <v>3311</v>
      </c>
      <c r="M3320" t="e">
        <f>INDEX(Stammdaten[Abholzigkeit (mm/lfm)],MATCH(Tabelle9[[#This Row],[Rank]],Stammdaten[Rank Verteilung Abholzigkeit],0))</f>
        <v>#N/A</v>
      </c>
      <c r="N3320" t="e">
        <f>VLOOKUP(Tabelle9[[#This Row],[Rank]],Stammdaten[[Rank Verteilung Abholzigkeit]:[Verteilung Abholzigkeit]],2,FALSE)</f>
        <v>#N/A</v>
      </c>
      <c r="S3320">
        <v>3311</v>
      </c>
      <c r="T3320" t="e">
        <f>INDEX(Stammdaten[Krümmung (mm/lfm)],MATCH(Tabelle10[[#This Row],[Rank]],Stammdaten[Rank Verteilung Krümmung],0))</f>
        <v>#N/A</v>
      </c>
      <c r="U3320" t="e">
        <f>VLOOKUP(Tabelle10[[#This Row],[Rank]],Stammdaten[[Rank Verteilung Krümmung]:[Verteilung Krümmung]],2,FALSE)</f>
        <v>#N/A</v>
      </c>
      <c r="Z3320">
        <v>3311</v>
      </c>
      <c r="AA3320" t="e">
        <f>INDEX(Stammdaten[Ovalität (']0,1'])],MATCH(Tabelle1014[[#This Row],[Rank]],Stammdaten[Rank Verteilung Ovalität],0))</f>
        <v>#N/A</v>
      </c>
      <c r="AB3320" t="e">
        <f>VLOOKUP(Tabelle1014[[#This Row],[Rank]],Stammdaten[[Rank Verteilung Ovalität]:[Verteilung Ovalität]],2,FALSE)</f>
        <v>#N/A</v>
      </c>
    </row>
    <row r="3321" spans="5:28" x14ac:dyDescent="0.35">
      <c r="E3321">
        <v>3312</v>
      </c>
      <c r="F3321" t="e">
        <f>INDEX(Stammdaten[D Mitte mit Rinde (mm)],MATCH(Tabelle8[[#This Row],[Rank]],Stammdaten[Rank Verteilung D Mitte mit Rinde],0))</f>
        <v>#N/A</v>
      </c>
      <c r="G3321" t="e">
        <f>VLOOKUP(Tabelle8[[#This Row],[Rank]],Stammdaten[[Rank Verteilung D Mitte mit Rinde]:[Verteilung D Mitte mit Rinde]],2,FALSE)</f>
        <v>#N/A</v>
      </c>
      <c r="L3321">
        <v>3312</v>
      </c>
      <c r="M3321" t="e">
        <f>INDEX(Stammdaten[Abholzigkeit (mm/lfm)],MATCH(Tabelle9[[#This Row],[Rank]],Stammdaten[Rank Verteilung Abholzigkeit],0))</f>
        <v>#N/A</v>
      </c>
      <c r="N3321" t="e">
        <f>VLOOKUP(Tabelle9[[#This Row],[Rank]],Stammdaten[[Rank Verteilung Abholzigkeit]:[Verteilung Abholzigkeit]],2,FALSE)</f>
        <v>#N/A</v>
      </c>
      <c r="S3321">
        <v>3312</v>
      </c>
      <c r="T3321" t="e">
        <f>INDEX(Stammdaten[Krümmung (mm/lfm)],MATCH(Tabelle10[[#This Row],[Rank]],Stammdaten[Rank Verteilung Krümmung],0))</f>
        <v>#N/A</v>
      </c>
      <c r="U3321" t="e">
        <f>VLOOKUP(Tabelle10[[#This Row],[Rank]],Stammdaten[[Rank Verteilung Krümmung]:[Verteilung Krümmung]],2,FALSE)</f>
        <v>#N/A</v>
      </c>
      <c r="Z3321">
        <v>3312</v>
      </c>
      <c r="AA3321" t="e">
        <f>INDEX(Stammdaten[Ovalität (']0,1'])],MATCH(Tabelle1014[[#This Row],[Rank]],Stammdaten[Rank Verteilung Ovalität],0))</f>
        <v>#N/A</v>
      </c>
      <c r="AB3321" t="e">
        <f>VLOOKUP(Tabelle1014[[#This Row],[Rank]],Stammdaten[[Rank Verteilung Ovalität]:[Verteilung Ovalität]],2,FALSE)</f>
        <v>#N/A</v>
      </c>
    </row>
    <row r="3322" spans="5:28" x14ac:dyDescent="0.35">
      <c r="E3322">
        <v>3313</v>
      </c>
      <c r="F3322" t="e">
        <f>INDEX(Stammdaten[D Mitte mit Rinde (mm)],MATCH(Tabelle8[[#This Row],[Rank]],Stammdaten[Rank Verteilung D Mitte mit Rinde],0))</f>
        <v>#N/A</v>
      </c>
      <c r="G3322" t="e">
        <f>VLOOKUP(Tabelle8[[#This Row],[Rank]],Stammdaten[[Rank Verteilung D Mitte mit Rinde]:[Verteilung D Mitte mit Rinde]],2,FALSE)</f>
        <v>#N/A</v>
      </c>
      <c r="L3322">
        <v>3313</v>
      </c>
      <c r="M3322" t="e">
        <f>INDEX(Stammdaten[Abholzigkeit (mm/lfm)],MATCH(Tabelle9[[#This Row],[Rank]],Stammdaten[Rank Verteilung Abholzigkeit],0))</f>
        <v>#N/A</v>
      </c>
      <c r="N3322" t="e">
        <f>VLOOKUP(Tabelle9[[#This Row],[Rank]],Stammdaten[[Rank Verteilung Abholzigkeit]:[Verteilung Abholzigkeit]],2,FALSE)</f>
        <v>#N/A</v>
      </c>
      <c r="S3322">
        <v>3313</v>
      </c>
      <c r="T3322" t="e">
        <f>INDEX(Stammdaten[Krümmung (mm/lfm)],MATCH(Tabelle10[[#This Row],[Rank]],Stammdaten[Rank Verteilung Krümmung],0))</f>
        <v>#N/A</v>
      </c>
      <c r="U3322" t="e">
        <f>VLOOKUP(Tabelle10[[#This Row],[Rank]],Stammdaten[[Rank Verteilung Krümmung]:[Verteilung Krümmung]],2,FALSE)</f>
        <v>#N/A</v>
      </c>
      <c r="Z3322">
        <v>3313</v>
      </c>
      <c r="AA3322" t="e">
        <f>INDEX(Stammdaten[Ovalität (']0,1'])],MATCH(Tabelle1014[[#This Row],[Rank]],Stammdaten[Rank Verteilung Ovalität],0))</f>
        <v>#N/A</v>
      </c>
      <c r="AB3322" t="e">
        <f>VLOOKUP(Tabelle1014[[#This Row],[Rank]],Stammdaten[[Rank Verteilung Ovalität]:[Verteilung Ovalität]],2,FALSE)</f>
        <v>#N/A</v>
      </c>
    </row>
    <row r="3323" spans="5:28" x14ac:dyDescent="0.35">
      <c r="E3323">
        <v>3314</v>
      </c>
      <c r="F3323" t="e">
        <f>INDEX(Stammdaten[D Mitte mit Rinde (mm)],MATCH(Tabelle8[[#This Row],[Rank]],Stammdaten[Rank Verteilung D Mitte mit Rinde],0))</f>
        <v>#N/A</v>
      </c>
      <c r="G3323" t="e">
        <f>VLOOKUP(Tabelle8[[#This Row],[Rank]],Stammdaten[[Rank Verteilung D Mitte mit Rinde]:[Verteilung D Mitte mit Rinde]],2,FALSE)</f>
        <v>#N/A</v>
      </c>
      <c r="L3323">
        <v>3314</v>
      </c>
      <c r="M3323" t="e">
        <f>INDEX(Stammdaten[Abholzigkeit (mm/lfm)],MATCH(Tabelle9[[#This Row],[Rank]],Stammdaten[Rank Verteilung Abholzigkeit],0))</f>
        <v>#N/A</v>
      </c>
      <c r="N3323" t="e">
        <f>VLOOKUP(Tabelle9[[#This Row],[Rank]],Stammdaten[[Rank Verteilung Abholzigkeit]:[Verteilung Abholzigkeit]],2,FALSE)</f>
        <v>#N/A</v>
      </c>
      <c r="S3323">
        <v>3314</v>
      </c>
      <c r="T3323" t="e">
        <f>INDEX(Stammdaten[Krümmung (mm/lfm)],MATCH(Tabelle10[[#This Row],[Rank]],Stammdaten[Rank Verteilung Krümmung],0))</f>
        <v>#N/A</v>
      </c>
      <c r="U3323" t="e">
        <f>VLOOKUP(Tabelle10[[#This Row],[Rank]],Stammdaten[[Rank Verteilung Krümmung]:[Verteilung Krümmung]],2,FALSE)</f>
        <v>#N/A</v>
      </c>
      <c r="Z3323">
        <v>3314</v>
      </c>
      <c r="AA3323" t="e">
        <f>INDEX(Stammdaten[Ovalität (']0,1'])],MATCH(Tabelle1014[[#This Row],[Rank]],Stammdaten[Rank Verteilung Ovalität],0))</f>
        <v>#N/A</v>
      </c>
      <c r="AB3323" t="e">
        <f>VLOOKUP(Tabelle1014[[#This Row],[Rank]],Stammdaten[[Rank Verteilung Ovalität]:[Verteilung Ovalität]],2,FALSE)</f>
        <v>#N/A</v>
      </c>
    </row>
    <row r="3324" spans="5:28" x14ac:dyDescent="0.35">
      <c r="E3324">
        <v>3315</v>
      </c>
      <c r="F3324" t="e">
        <f>INDEX(Stammdaten[D Mitte mit Rinde (mm)],MATCH(Tabelle8[[#This Row],[Rank]],Stammdaten[Rank Verteilung D Mitte mit Rinde],0))</f>
        <v>#N/A</v>
      </c>
      <c r="G3324" t="e">
        <f>VLOOKUP(Tabelle8[[#This Row],[Rank]],Stammdaten[[Rank Verteilung D Mitte mit Rinde]:[Verteilung D Mitte mit Rinde]],2,FALSE)</f>
        <v>#N/A</v>
      </c>
      <c r="L3324">
        <v>3315</v>
      </c>
      <c r="M3324" t="e">
        <f>INDEX(Stammdaten[Abholzigkeit (mm/lfm)],MATCH(Tabelle9[[#This Row],[Rank]],Stammdaten[Rank Verteilung Abholzigkeit],0))</f>
        <v>#N/A</v>
      </c>
      <c r="N3324" t="e">
        <f>VLOOKUP(Tabelle9[[#This Row],[Rank]],Stammdaten[[Rank Verteilung Abholzigkeit]:[Verteilung Abholzigkeit]],2,FALSE)</f>
        <v>#N/A</v>
      </c>
      <c r="S3324">
        <v>3315</v>
      </c>
      <c r="T3324" t="e">
        <f>INDEX(Stammdaten[Krümmung (mm/lfm)],MATCH(Tabelle10[[#This Row],[Rank]],Stammdaten[Rank Verteilung Krümmung],0))</f>
        <v>#N/A</v>
      </c>
      <c r="U3324" t="e">
        <f>VLOOKUP(Tabelle10[[#This Row],[Rank]],Stammdaten[[Rank Verteilung Krümmung]:[Verteilung Krümmung]],2,FALSE)</f>
        <v>#N/A</v>
      </c>
      <c r="Z3324">
        <v>3315</v>
      </c>
      <c r="AA3324" t="e">
        <f>INDEX(Stammdaten[Ovalität (']0,1'])],MATCH(Tabelle1014[[#This Row],[Rank]],Stammdaten[Rank Verteilung Ovalität],0))</f>
        <v>#N/A</v>
      </c>
      <c r="AB3324" t="e">
        <f>VLOOKUP(Tabelle1014[[#This Row],[Rank]],Stammdaten[[Rank Verteilung Ovalität]:[Verteilung Ovalität]],2,FALSE)</f>
        <v>#N/A</v>
      </c>
    </row>
    <row r="3325" spans="5:28" x14ac:dyDescent="0.35">
      <c r="E3325">
        <v>3316</v>
      </c>
      <c r="F3325" t="e">
        <f>INDEX(Stammdaten[D Mitte mit Rinde (mm)],MATCH(Tabelle8[[#This Row],[Rank]],Stammdaten[Rank Verteilung D Mitte mit Rinde],0))</f>
        <v>#N/A</v>
      </c>
      <c r="G3325" t="e">
        <f>VLOOKUP(Tabelle8[[#This Row],[Rank]],Stammdaten[[Rank Verteilung D Mitte mit Rinde]:[Verteilung D Mitte mit Rinde]],2,FALSE)</f>
        <v>#N/A</v>
      </c>
      <c r="L3325">
        <v>3316</v>
      </c>
      <c r="M3325" t="e">
        <f>INDEX(Stammdaten[Abholzigkeit (mm/lfm)],MATCH(Tabelle9[[#This Row],[Rank]],Stammdaten[Rank Verteilung Abholzigkeit],0))</f>
        <v>#N/A</v>
      </c>
      <c r="N3325" t="e">
        <f>VLOOKUP(Tabelle9[[#This Row],[Rank]],Stammdaten[[Rank Verteilung Abholzigkeit]:[Verteilung Abholzigkeit]],2,FALSE)</f>
        <v>#N/A</v>
      </c>
      <c r="S3325">
        <v>3316</v>
      </c>
      <c r="T3325" t="e">
        <f>INDEX(Stammdaten[Krümmung (mm/lfm)],MATCH(Tabelle10[[#This Row],[Rank]],Stammdaten[Rank Verteilung Krümmung],0))</f>
        <v>#N/A</v>
      </c>
      <c r="U3325" t="e">
        <f>VLOOKUP(Tabelle10[[#This Row],[Rank]],Stammdaten[[Rank Verteilung Krümmung]:[Verteilung Krümmung]],2,FALSE)</f>
        <v>#N/A</v>
      </c>
      <c r="Z3325">
        <v>3316</v>
      </c>
      <c r="AA3325" t="e">
        <f>INDEX(Stammdaten[Ovalität (']0,1'])],MATCH(Tabelle1014[[#This Row],[Rank]],Stammdaten[Rank Verteilung Ovalität],0))</f>
        <v>#N/A</v>
      </c>
      <c r="AB3325" t="e">
        <f>VLOOKUP(Tabelle1014[[#This Row],[Rank]],Stammdaten[[Rank Verteilung Ovalität]:[Verteilung Ovalität]],2,FALSE)</f>
        <v>#N/A</v>
      </c>
    </row>
    <row r="3326" spans="5:28" x14ac:dyDescent="0.35">
      <c r="E3326">
        <v>3317</v>
      </c>
      <c r="F3326" t="e">
        <f>INDEX(Stammdaten[D Mitte mit Rinde (mm)],MATCH(Tabelle8[[#This Row],[Rank]],Stammdaten[Rank Verteilung D Mitte mit Rinde],0))</f>
        <v>#N/A</v>
      </c>
      <c r="G3326" t="e">
        <f>VLOOKUP(Tabelle8[[#This Row],[Rank]],Stammdaten[[Rank Verteilung D Mitte mit Rinde]:[Verteilung D Mitte mit Rinde]],2,FALSE)</f>
        <v>#N/A</v>
      </c>
      <c r="L3326">
        <v>3317</v>
      </c>
      <c r="M3326" t="e">
        <f>INDEX(Stammdaten[Abholzigkeit (mm/lfm)],MATCH(Tabelle9[[#This Row],[Rank]],Stammdaten[Rank Verteilung Abholzigkeit],0))</f>
        <v>#N/A</v>
      </c>
      <c r="N3326" t="e">
        <f>VLOOKUP(Tabelle9[[#This Row],[Rank]],Stammdaten[[Rank Verteilung Abholzigkeit]:[Verteilung Abholzigkeit]],2,FALSE)</f>
        <v>#N/A</v>
      </c>
      <c r="S3326">
        <v>3317</v>
      </c>
      <c r="T3326" t="e">
        <f>INDEX(Stammdaten[Krümmung (mm/lfm)],MATCH(Tabelle10[[#This Row],[Rank]],Stammdaten[Rank Verteilung Krümmung],0))</f>
        <v>#N/A</v>
      </c>
      <c r="U3326" t="e">
        <f>VLOOKUP(Tabelle10[[#This Row],[Rank]],Stammdaten[[Rank Verteilung Krümmung]:[Verteilung Krümmung]],2,FALSE)</f>
        <v>#N/A</v>
      </c>
      <c r="Z3326">
        <v>3317</v>
      </c>
      <c r="AA3326" t="e">
        <f>INDEX(Stammdaten[Ovalität (']0,1'])],MATCH(Tabelle1014[[#This Row],[Rank]],Stammdaten[Rank Verteilung Ovalität],0))</f>
        <v>#N/A</v>
      </c>
      <c r="AB3326" t="e">
        <f>VLOOKUP(Tabelle1014[[#This Row],[Rank]],Stammdaten[[Rank Verteilung Ovalität]:[Verteilung Ovalität]],2,FALSE)</f>
        <v>#N/A</v>
      </c>
    </row>
    <row r="3327" spans="5:28" x14ac:dyDescent="0.35">
      <c r="E3327">
        <v>3318</v>
      </c>
      <c r="F3327" t="e">
        <f>INDEX(Stammdaten[D Mitte mit Rinde (mm)],MATCH(Tabelle8[[#This Row],[Rank]],Stammdaten[Rank Verteilung D Mitte mit Rinde],0))</f>
        <v>#N/A</v>
      </c>
      <c r="G3327" t="e">
        <f>VLOOKUP(Tabelle8[[#This Row],[Rank]],Stammdaten[[Rank Verteilung D Mitte mit Rinde]:[Verteilung D Mitte mit Rinde]],2,FALSE)</f>
        <v>#N/A</v>
      </c>
      <c r="L3327">
        <v>3318</v>
      </c>
      <c r="M3327" t="e">
        <f>INDEX(Stammdaten[Abholzigkeit (mm/lfm)],MATCH(Tabelle9[[#This Row],[Rank]],Stammdaten[Rank Verteilung Abholzigkeit],0))</f>
        <v>#N/A</v>
      </c>
      <c r="N3327" t="e">
        <f>VLOOKUP(Tabelle9[[#This Row],[Rank]],Stammdaten[[Rank Verteilung Abholzigkeit]:[Verteilung Abholzigkeit]],2,FALSE)</f>
        <v>#N/A</v>
      </c>
      <c r="S3327">
        <v>3318</v>
      </c>
      <c r="T3327" t="e">
        <f>INDEX(Stammdaten[Krümmung (mm/lfm)],MATCH(Tabelle10[[#This Row],[Rank]],Stammdaten[Rank Verteilung Krümmung],0))</f>
        <v>#N/A</v>
      </c>
      <c r="U3327" t="e">
        <f>VLOOKUP(Tabelle10[[#This Row],[Rank]],Stammdaten[[Rank Verteilung Krümmung]:[Verteilung Krümmung]],2,FALSE)</f>
        <v>#N/A</v>
      </c>
      <c r="Z3327">
        <v>3318</v>
      </c>
      <c r="AA3327" t="e">
        <f>INDEX(Stammdaten[Ovalität (']0,1'])],MATCH(Tabelle1014[[#This Row],[Rank]],Stammdaten[Rank Verteilung Ovalität],0))</f>
        <v>#N/A</v>
      </c>
      <c r="AB3327" t="e">
        <f>VLOOKUP(Tabelle1014[[#This Row],[Rank]],Stammdaten[[Rank Verteilung Ovalität]:[Verteilung Ovalität]],2,FALSE)</f>
        <v>#N/A</v>
      </c>
    </row>
    <row r="3328" spans="5:28" x14ac:dyDescent="0.35">
      <c r="E3328">
        <v>3319</v>
      </c>
      <c r="F3328" t="e">
        <f>INDEX(Stammdaten[D Mitte mit Rinde (mm)],MATCH(Tabelle8[[#This Row],[Rank]],Stammdaten[Rank Verteilung D Mitte mit Rinde],0))</f>
        <v>#N/A</v>
      </c>
      <c r="G3328" t="e">
        <f>VLOOKUP(Tabelle8[[#This Row],[Rank]],Stammdaten[[Rank Verteilung D Mitte mit Rinde]:[Verteilung D Mitte mit Rinde]],2,FALSE)</f>
        <v>#N/A</v>
      </c>
      <c r="L3328">
        <v>3319</v>
      </c>
      <c r="M3328" t="e">
        <f>INDEX(Stammdaten[Abholzigkeit (mm/lfm)],MATCH(Tabelle9[[#This Row],[Rank]],Stammdaten[Rank Verteilung Abholzigkeit],0))</f>
        <v>#N/A</v>
      </c>
      <c r="N3328" t="e">
        <f>VLOOKUP(Tabelle9[[#This Row],[Rank]],Stammdaten[[Rank Verteilung Abholzigkeit]:[Verteilung Abholzigkeit]],2,FALSE)</f>
        <v>#N/A</v>
      </c>
      <c r="S3328">
        <v>3319</v>
      </c>
      <c r="T3328" t="e">
        <f>INDEX(Stammdaten[Krümmung (mm/lfm)],MATCH(Tabelle10[[#This Row],[Rank]],Stammdaten[Rank Verteilung Krümmung],0))</f>
        <v>#N/A</v>
      </c>
      <c r="U3328" t="e">
        <f>VLOOKUP(Tabelle10[[#This Row],[Rank]],Stammdaten[[Rank Verteilung Krümmung]:[Verteilung Krümmung]],2,FALSE)</f>
        <v>#N/A</v>
      </c>
      <c r="Z3328">
        <v>3319</v>
      </c>
      <c r="AA3328" t="e">
        <f>INDEX(Stammdaten[Ovalität (']0,1'])],MATCH(Tabelle1014[[#This Row],[Rank]],Stammdaten[Rank Verteilung Ovalität],0))</f>
        <v>#N/A</v>
      </c>
      <c r="AB3328" t="e">
        <f>VLOOKUP(Tabelle1014[[#This Row],[Rank]],Stammdaten[[Rank Verteilung Ovalität]:[Verteilung Ovalität]],2,FALSE)</f>
        <v>#N/A</v>
      </c>
    </row>
    <row r="3329" spans="5:28" x14ac:dyDescent="0.35">
      <c r="E3329">
        <v>3320</v>
      </c>
      <c r="F3329" t="e">
        <f>INDEX(Stammdaten[D Mitte mit Rinde (mm)],MATCH(Tabelle8[[#This Row],[Rank]],Stammdaten[Rank Verteilung D Mitte mit Rinde],0))</f>
        <v>#N/A</v>
      </c>
      <c r="G3329" t="e">
        <f>VLOOKUP(Tabelle8[[#This Row],[Rank]],Stammdaten[[Rank Verteilung D Mitte mit Rinde]:[Verteilung D Mitte mit Rinde]],2,FALSE)</f>
        <v>#N/A</v>
      </c>
      <c r="L3329">
        <v>3320</v>
      </c>
      <c r="M3329" t="e">
        <f>INDEX(Stammdaten[Abholzigkeit (mm/lfm)],MATCH(Tabelle9[[#This Row],[Rank]],Stammdaten[Rank Verteilung Abholzigkeit],0))</f>
        <v>#N/A</v>
      </c>
      <c r="N3329" t="e">
        <f>VLOOKUP(Tabelle9[[#This Row],[Rank]],Stammdaten[[Rank Verteilung Abholzigkeit]:[Verteilung Abholzigkeit]],2,FALSE)</f>
        <v>#N/A</v>
      </c>
      <c r="S3329">
        <v>3320</v>
      </c>
      <c r="T3329" t="e">
        <f>INDEX(Stammdaten[Krümmung (mm/lfm)],MATCH(Tabelle10[[#This Row],[Rank]],Stammdaten[Rank Verteilung Krümmung],0))</f>
        <v>#N/A</v>
      </c>
      <c r="U3329" t="e">
        <f>VLOOKUP(Tabelle10[[#This Row],[Rank]],Stammdaten[[Rank Verteilung Krümmung]:[Verteilung Krümmung]],2,FALSE)</f>
        <v>#N/A</v>
      </c>
      <c r="Z3329">
        <v>3320</v>
      </c>
      <c r="AA3329" t="e">
        <f>INDEX(Stammdaten[Ovalität (']0,1'])],MATCH(Tabelle1014[[#This Row],[Rank]],Stammdaten[Rank Verteilung Ovalität],0))</f>
        <v>#N/A</v>
      </c>
      <c r="AB3329" t="e">
        <f>VLOOKUP(Tabelle1014[[#This Row],[Rank]],Stammdaten[[Rank Verteilung Ovalität]:[Verteilung Ovalität]],2,FALSE)</f>
        <v>#N/A</v>
      </c>
    </row>
    <row r="3330" spans="5:28" x14ac:dyDescent="0.35">
      <c r="E3330">
        <v>3321</v>
      </c>
      <c r="F3330" t="e">
        <f>INDEX(Stammdaten[D Mitte mit Rinde (mm)],MATCH(Tabelle8[[#This Row],[Rank]],Stammdaten[Rank Verteilung D Mitte mit Rinde],0))</f>
        <v>#N/A</v>
      </c>
      <c r="G3330" t="e">
        <f>VLOOKUP(Tabelle8[[#This Row],[Rank]],Stammdaten[[Rank Verteilung D Mitte mit Rinde]:[Verteilung D Mitte mit Rinde]],2,FALSE)</f>
        <v>#N/A</v>
      </c>
      <c r="L3330">
        <v>3321</v>
      </c>
      <c r="M3330" t="e">
        <f>INDEX(Stammdaten[Abholzigkeit (mm/lfm)],MATCH(Tabelle9[[#This Row],[Rank]],Stammdaten[Rank Verteilung Abholzigkeit],0))</f>
        <v>#N/A</v>
      </c>
      <c r="N3330" t="e">
        <f>VLOOKUP(Tabelle9[[#This Row],[Rank]],Stammdaten[[Rank Verteilung Abholzigkeit]:[Verteilung Abholzigkeit]],2,FALSE)</f>
        <v>#N/A</v>
      </c>
      <c r="S3330">
        <v>3321</v>
      </c>
      <c r="T3330" t="e">
        <f>INDEX(Stammdaten[Krümmung (mm/lfm)],MATCH(Tabelle10[[#This Row],[Rank]],Stammdaten[Rank Verteilung Krümmung],0))</f>
        <v>#N/A</v>
      </c>
      <c r="U3330" t="e">
        <f>VLOOKUP(Tabelle10[[#This Row],[Rank]],Stammdaten[[Rank Verteilung Krümmung]:[Verteilung Krümmung]],2,FALSE)</f>
        <v>#N/A</v>
      </c>
      <c r="Z3330">
        <v>3321</v>
      </c>
      <c r="AA3330" t="e">
        <f>INDEX(Stammdaten[Ovalität (']0,1'])],MATCH(Tabelle1014[[#This Row],[Rank]],Stammdaten[Rank Verteilung Ovalität],0))</f>
        <v>#N/A</v>
      </c>
      <c r="AB3330" t="e">
        <f>VLOOKUP(Tabelle1014[[#This Row],[Rank]],Stammdaten[[Rank Verteilung Ovalität]:[Verteilung Ovalität]],2,FALSE)</f>
        <v>#N/A</v>
      </c>
    </row>
    <row r="3331" spans="5:28" x14ac:dyDescent="0.35">
      <c r="E3331">
        <v>3322</v>
      </c>
      <c r="F3331" t="e">
        <f>INDEX(Stammdaten[D Mitte mit Rinde (mm)],MATCH(Tabelle8[[#This Row],[Rank]],Stammdaten[Rank Verteilung D Mitte mit Rinde],0))</f>
        <v>#N/A</v>
      </c>
      <c r="G3331" t="e">
        <f>VLOOKUP(Tabelle8[[#This Row],[Rank]],Stammdaten[[Rank Verteilung D Mitte mit Rinde]:[Verteilung D Mitte mit Rinde]],2,FALSE)</f>
        <v>#N/A</v>
      </c>
      <c r="L3331">
        <v>3322</v>
      </c>
      <c r="M3331" t="e">
        <f>INDEX(Stammdaten[Abholzigkeit (mm/lfm)],MATCH(Tabelle9[[#This Row],[Rank]],Stammdaten[Rank Verteilung Abholzigkeit],0))</f>
        <v>#N/A</v>
      </c>
      <c r="N3331" t="e">
        <f>VLOOKUP(Tabelle9[[#This Row],[Rank]],Stammdaten[[Rank Verteilung Abholzigkeit]:[Verteilung Abholzigkeit]],2,FALSE)</f>
        <v>#N/A</v>
      </c>
      <c r="S3331">
        <v>3322</v>
      </c>
      <c r="T3331" t="e">
        <f>INDEX(Stammdaten[Krümmung (mm/lfm)],MATCH(Tabelle10[[#This Row],[Rank]],Stammdaten[Rank Verteilung Krümmung],0))</f>
        <v>#N/A</v>
      </c>
      <c r="U3331" t="e">
        <f>VLOOKUP(Tabelle10[[#This Row],[Rank]],Stammdaten[[Rank Verteilung Krümmung]:[Verteilung Krümmung]],2,FALSE)</f>
        <v>#N/A</v>
      </c>
      <c r="Z3331">
        <v>3322</v>
      </c>
      <c r="AA3331" t="e">
        <f>INDEX(Stammdaten[Ovalität (']0,1'])],MATCH(Tabelle1014[[#This Row],[Rank]],Stammdaten[Rank Verteilung Ovalität],0))</f>
        <v>#N/A</v>
      </c>
      <c r="AB3331" t="e">
        <f>VLOOKUP(Tabelle1014[[#This Row],[Rank]],Stammdaten[[Rank Verteilung Ovalität]:[Verteilung Ovalität]],2,FALSE)</f>
        <v>#N/A</v>
      </c>
    </row>
    <row r="3332" spans="5:28" x14ac:dyDescent="0.35">
      <c r="E3332">
        <v>3323</v>
      </c>
      <c r="F3332" t="e">
        <f>INDEX(Stammdaten[D Mitte mit Rinde (mm)],MATCH(Tabelle8[[#This Row],[Rank]],Stammdaten[Rank Verteilung D Mitte mit Rinde],0))</f>
        <v>#N/A</v>
      </c>
      <c r="G3332" t="e">
        <f>VLOOKUP(Tabelle8[[#This Row],[Rank]],Stammdaten[[Rank Verteilung D Mitte mit Rinde]:[Verteilung D Mitte mit Rinde]],2,FALSE)</f>
        <v>#N/A</v>
      </c>
      <c r="L3332">
        <v>3323</v>
      </c>
      <c r="M3332" t="e">
        <f>INDEX(Stammdaten[Abholzigkeit (mm/lfm)],MATCH(Tabelle9[[#This Row],[Rank]],Stammdaten[Rank Verteilung Abholzigkeit],0))</f>
        <v>#N/A</v>
      </c>
      <c r="N3332" t="e">
        <f>VLOOKUP(Tabelle9[[#This Row],[Rank]],Stammdaten[[Rank Verteilung Abholzigkeit]:[Verteilung Abholzigkeit]],2,FALSE)</f>
        <v>#N/A</v>
      </c>
      <c r="S3332">
        <v>3323</v>
      </c>
      <c r="T3332" t="e">
        <f>INDEX(Stammdaten[Krümmung (mm/lfm)],MATCH(Tabelle10[[#This Row],[Rank]],Stammdaten[Rank Verteilung Krümmung],0))</f>
        <v>#N/A</v>
      </c>
      <c r="U3332" t="e">
        <f>VLOOKUP(Tabelle10[[#This Row],[Rank]],Stammdaten[[Rank Verteilung Krümmung]:[Verteilung Krümmung]],2,FALSE)</f>
        <v>#N/A</v>
      </c>
      <c r="Z3332">
        <v>3323</v>
      </c>
      <c r="AA3332" t="e">
        <f>INDEX(Stammdaten[Ovalität (']0,1'])],MATCH(Tabelle1014[[#This Row],[Rank]],Stammdaten[Rank Verteilung Ovalität],0))</f>
        <v>#N/A</v>
      </c>
      <c r="AB3332" t="e">
        <f>VLOOKUP(Tabelle1014[[#This Row],[Rank]],Stammdaten[[Rank Verteilung Ovalität]:[Verteilung Ovalität]],2,FALSE)</f>
        <v>#N/A</v>
      </c>
    </row>
    <row r="3333" spans="5:28" x14ac:dyDescent="0.35">
      <c r="E3333">
        <v>3324</v>
      </c>
      <c r="F3333" t="e">
        <f>INDEX(Stammdaten[D Mitte mit Rinde (mm)],MATCH(Tabelle8[[#This Row],[Rank]],Stammdaten[Rank Verteilung D Mitte mit Rinde],0))</f>
        <v>#N/A</v>
      </c>
      <c r="G3333" t="e">
        <f>VLOOKUP(Tabelle8[[#This Row],[Rank]],Stammdaten[[Rank Verteilung D Mitte mit Rinde]:[Verteilung D Mitte mit Rinde]],2,FALSE)</f>
        <v>#N/A</v>
      </c>
      <c r="L3333">
        <v>3324</v>
      </c>
      <c r="M3333" t="e">
        <f>INDEX(Stammdaten[Abholzigkeit (mm/lfm)],MATCH(Tabelle9[[#This Row],[Rank]],Stammdaten[Rank Verteilung Abholzigkeit],0))</f>
        <v>#N/A</v>
      </c>
      <c r="N3333" t="e">
        <f>VLOOKUP(Tabelle9[[#This Row],[Rank]],Stammdaten[[Rank Verteilung Abholzigkeit]:[Verteilung Abholzigkeit]],2,FALSE)</f>
        <v>#N/A</v>
      </c>
      <c r="S3333">
        <v>3324</v>
      </c>
      <c r="T3333" t="e">
        <f>INDEX(Stammdaten[Krümmung (mm/lfm)],MATCH(Tabelle10[[#This Row],[Rank]],Stammdaten[Rank Verteilung Krümmung],0))</f>
        <v>#N/A</v>
      </c>
      <c r="U3333" t="e">
        <f>VLOOKUP(Tabelle10[[#This Row],[Rank]],Stammdaten[[Rank Verteilung Krümmung]:[Verteilung Krümmung]],2,FALSE)</f>
        <v>#N/A</v>
      </c>
      <c r="Z3333">
        <v>3324</v>
      </c>
      <c r="AA3333" t="e">
        <f>INDEX(Stammdaten[Ovalität (']0,1'])],MATCH(Tabelle1014[[#This Row],[Rank]],Stammdaten[Rank Verteilung Ovalität],0))</f>
        <v>#N/A</v>
      </c>
      <c r="AB3333" t="e">
        <f>VLOOKUP(Tabelle1014[[#This Row],[Rank]],Stammdaten[[Rank Verteilung Ovalität]:[Verteilung Ovalität]],2,FALSE)</f>
        <v>#N/A</v>
      </c>
    </row>
    <row r="3334" spans="5:28" x14ac:dyDescent="0.35">
      <c r="E3334">
        <v>3325</v>
      </c>
      <c r="F3334" t="e">
        <f>INDEX(Stammdaten[D Mitte mit Rinde (mm)],MATCH(Tabelle8[[#This Row],[Rank]],Stammdaten[Rank Verteilung D Mitte mit Rinde],0))</f>
        <v>#N/A</v>
      </c>
      <c r="G3334" t="e">
        <f>VLOOKUP(Tabelle8[[#This Row],[Rank]],Stammdaten[[Rank Verteilung D Mitte mit Rinde]:[Verteilung D Mitte mit Rinde]],2,FALSE)</f>
        <v>#N/A</v>
      </c>
      <c r="L3334">
        <v>3325</v>
      </c>
      <c r="M3334" t="e">
        <f>INDEX(Stammdaten[Abholzigkeit (mm/lfm)],MATCH(Tabelle9[[#This Row],[Rank]],Stammdaten[Rank Verteilung Abholzigkeit],0))</f>
        <v>#N/A</v>
      </c>
      <c r="N3334" t="e">
        <f>VLOOKUP(Tabelle9[[#This Row],[Rank]],Stammdaten[[Rank Verteilung Abholzigkeit]:[Verteilung Abholzigkeit]],2,FALSE)</f>
        <v>#N/A</v>
      </c>
      <c r="S3334">
        <v>3325</v>
      </c>
      <c r="T3334" t="e">
        <f>INDEX(Stammdaten[Krümmung (mm/lfm)],MATCH(Tabelle10[[#This Row],[Rank]],Stammdaten[Rank Verteilung Krümmung],0))</f>
        <v>#N/A</v>
      </c>
      <c r="U3334" t="e">
        <f>VLOOKUP(Tabelle10[[#This Row],[Rank]],Stammdaten[[Rank Verteilung Krümmung]:[Verteilung Krümmung]],2,FALSE)</f>
        <v>#N/A</v>
      </c>
      <c r="Z3334">
        <v>3325</v>
      </c>
      <c r="AA3334" t="e">
        <f>INDEX(Stammdaten[Ovalität (']0,1'])],MATCH(Tabelle1014[[#This Row],[Rank]],Stammdaten[Rank Verteilung Ovalität],0))</f>
        <v>#N/A</v>
      </c>
      <c r="AB3334" t="e">
        <f>VLOOKUP(Tabelle1014[[#This Row],[Rank]],Stammdaten[[Rank Verteilung Ovalität]:[Verteilung Ovalität]],2,FALSE)</f>
        <v>#N/A</v>
      </c>
    </row>
    <row r="3335" spans="5:28" x14ac:dyDescent="0.35">
      <c r="E3335">
        <v>3326</v>
      </c>
      <c r="F3335" t="e">
        <f>INDEX(Stammdaten[D Mitte mit Rinde (mm)],MATCH(Tabelle8[[#This Row],[Rank]],Stammdaten[Rank Verteilung D Mitte mit Rinde],0))</f>
        <v>#N/A</v>
      </c>
      <c r="G3335" t="e">
        <f>VLOOKUP(Tabelle8[[#This Row],[Rank]],Stammdaten[[Rank Verteilung D Mitte mit Rinde]:[Verteilung D Mitte mit Rinde]],2,FALSE)</f>
        <v>#N/A</v>
      </c>
      <c r="L3335">
        <v>3326</v>
      </c>
      <c r="M3335" t="e">
        <f>INDEX(Stammdaten[Abholzigkeit (mm/lfm)],MATCH(Tabelle9[[#This Row],[Rank]],Stammdaten[Rank Verteilung Abholzigkeit],0))</f>
        <v>#N/A</v>
      </c>
      <c r="N3335" t="e">
        <f>VLOOKUP(Tabelle9[[#This Row],[Rank]],Stammdaten[[Rank Verteilung Abholzigkeit]:[Verteilung Abholzigkeit]],2,FALSE)</f>
        <v>#N/A</v>
      </c>
      <c r="S3335">
        <v>3326</v>
      </c>
      <c r="T3335" t="e">
        <f>INDEX(Stammdaten[Krümmung (mm/lfm)],MATCH(Tabelle10[[#This Row],[Rank]],Stammdaten[Rank Verteilung Krümmung],0))</f>
        <v>#N/A</v>
      </c>
      <c r="U3335" t="e">
        <f>VLOOKUP(Tabelle10[[#This Row],[Rank]],Stammdaten[[Rank Verteilung Krümmung]:[Verteilung Krümmung]],2,FALSE)</f>
        <v>#N/A</v>
      </c>
      <c r="Z3335">
        <v>3326</v>
      </c>
      <c r="AA3335" t="e">
        <f>INDEX(Stammdaten[Ovalität (']0,1'])],MATCH(Tabelle1014[[#This Row],[Rank]],Stammdaten[Rank Verteilung Ovalität],0))</f>
        <v>#N/A</v>
      </c>
      <c r="AB3335" t="e">
        <f>VLOOKUP(Tabelle1014[[#This Row],[Rank]],Stammdaten[[Rank Verteilung Ovalität]:[Verteilung Ovalität]],2,FALSE)</f>
        <v>#N/A</v>
      </c>
    </row>
    <row r="3336" spans="5:28" x14ac:dyDescent="0.35">
      <c r="E3336">
        <v>3327</v>
      </c>
      <c r="F3336" t="e">
        <f>INDEX(Stammdaten[D Mitte mit Rinde (mm)],MATCH(Tabelle8[[#This Row],[Rank]],Stammdaten[Rank Verteilung D Mitte mit Rinde],0))</f>
        <v>#N/A</v>
      </c>
      <c r="G3336" t="e">
        <f>VLOOKUP(Tabelle8[[#This Row],[Rank]],Stammdaten[[Rank Verteilung D Mitte mit Rinde]:[Verteilung D Mitte mit Rinde]],2,FALSE)</f>
        <v>#N/A</v>
      </c>
      <c r="L3336">
        <v>3327</v>
      </c>
      <c r="M3336" t="e">
        <f>INDEX(Stammdaten[Abholzigkeit (mm/lfm)],MATCH(Tabelle9[[#This Row],[Rank]],Stammdaten[Rank Verteilung Abholzigkeit],0))</f>
        <v>#N/A</v>
      </c>
      <c r="N3336" t="e">
        <f>VLOOKUP(Tabelle9[[#This Row],[Rank]],Stammdaten[[Rank Verteilung Abholzigkeit]:[Verteilung Abholzigkeit]],2,FALSE)</f>
        <v>#N/A</v>
      </c>
      <c r="S3336">
        <v>3327</v>
      </c>
      <c r="T3336" t="e">
        <f>INDEX(Stammdaten[Krümmung (mm/lfm)],MATCH(Tabelle10[[#This Row],[Rank]],Stammdaten[Rank Verteilung Krümmung],0))</f>
        <v>#N/A</v>
      </c>
      <c r="U3336" t="e">
        <f>VLOOKUP(Tabelle10[[#This Row],[Rank]],Stammdaten[[Rank Verteilung Krümmung]:[Verteilung Krümmung]],2,FALSE)</f>
        <v>#N/A</v>
      </c>
      <c r="Z3336">
        <v>3327</v>
      </c>
      <c r="AA3336" t="e">
        <f>INDEX(Stammdaten[Ovalität (']0,1'])],MATCH(Tabelle1014[[#This Row],[Rank]],Stammdaten[Rank Verteilung Ovalität],0))</f>
        <v>#N/A</v>
      </c>
      <c r="AB3336" t="e">
        <f>VLOOKUP(Tabelle1014[[#This Row],[Rank]],Stammdaten[[Rank Verteilung Ovalität]:[Verteilung Ovalität]],2,FALSE)</f>
        <v>#N/A</v>
      </c>
    </row>
    <row r="3337" spans="5:28" x14ac:dyDescent="0.35">
      <c r="E3337">
        <v>3328</v>
      </c>
      <c r="F3337" t="e">
        <f>INDEX(Stammdaten[D Mitte mit Rinde (mm)],MATCH(Tabelle8[[#This Row],[Rank]],Stammdaten[Rank Verteilung D Mitte mit Rinde],0))</f>
        <v>#N/A</v>
      </c>
      <c r="G3337" t="e">
        <f>VLOOKUP(Tabelle8[[#This Row],[Rank]],Stammdaten[[Rank Verteilung D Mitte mit Rinde]:[Verteilung D Mitte mit Rinde]],2,FALSE)</f>
        <v>#N/A</v>
      </c>
      <c r="L3337">
        <v>3328</v>
      </c>
      <c r="M3337" t="e">
        <f>INDEX(Stammdaten[Abholzigkeit (mm/lfm)],MATCH(Tabelle9[[#This Row],[Rank]],Stammdaten[Rank Verteilung Abholzigkeit],0))</f>
        <v>#N/A</v>
      </c>
      <c r="N3337" t="e">
        <f>VLOOKUP(Tabelle9[[#This Row],[Rank]],Stammdaten[[Rank Verteilung Abholzigkeit]:[Verteilung Abholzigkeit]],2,FALSE)</f>
        <v>#N/A</v>
      </c>
      <c r="S3337">
        <v>3328</v>
      </c>
      <c r="T3337" t="e">
        <f>INDEX(Stammdaten[Krümmung (mm/lfm)],MATCH(Tabelle10[[#This Row],[Rank]],Stammdaten[Rank Verteilung Krümmung],0))</f>
        <v>#N/A</v>
      </c>
      <c r="U3337" t="e">
        <f>VLOOKUP(Tabelle10[[#This Row],[Rank]],Stammdaten[[Rank Verteilung Krümmung]:[Verteilung Krümmung]],2,FALSE)</f>
        <v>#N/A</v>
      </c>
      <c r="Z3337">
        <v>3328</v>
      </c>
      <c r="AA3337" t="e">
        <f>INDEX(Stammdaten[Ovalität (']0,1'])],MATCH(Tabelle1014[[#This Row],[Rank]],Stammdaten[Rank Verteilung Ovalität],0))</f>
        <v>#N/A</v>
      </c>
      <c r="AB3337" t="e">
        <f>VLOOKUP(Tabelle1014[[#This Row],[Rank]],Stammdaten[[Rank Verteilung Ovalität]:[Verteilung Ovalität]],2,FALSE)</f>
        <v>#N/A</v>
      </c>
    </row>
    <row r="3338" spans="5:28" x14ac:dyDescent="0.35">
      <c r="E3338">
        <v>3329</v>
      </c>
      <c r="F3338" t="e">
        <f>INDEX(Stammdaten[D Mitte mit Rinde (mm)],MATCH(Tabelle8[[#This Row],[Rank]],Stammdaten[Rank Verteilung D Mitte mit Rinde],0))</f>
        <v>#N/A</v>
      </c>
      <c r="G3338" t="e">
        <f>VLOOKUP(Tabelle8[[#This Row],[Rank]],Stammdaten[[Rank Verteilung D Mitte mit Rinde]:[Verteilung D Mitte mit Rinde]],2,FALSE)</f>
        <v>#N/A</v>
      </c>
      <c r="L3338">
        <v>3329</v>
      </c>
      <c r="M3338" t="e">
        <f>INDEX(Stammdaten[Abholzigkeit (mm/lfm)],MATCH(Tabelle9[[#This Row],[Rank]],Stammdaten[Rank Verteilung Abholzigkeit],0))</f>
        <v>#N/A</v>
      </c>
      <c r="N3338" t="e">
        <f>VLOOKUP(Tabelle9[[#This Row],[Rank]],Stammdaten[[Rank Verteilung Abholzigkeit]:[Verteilung Abholzigkeit]],2,FALSE)</f>
        <v>#N/A</v>
      </c>
      <c r="S3338">
        <v>3329</v>
      </c>
      <c r="T3338" t="e">
        <f>INDEX(Stammdaten[Krümmung (mm/lfm)],MATCH(Tabelle10[[#This Row],[Rank]],Stammdaten[Rank Verteilung Krümmung],0))</f>
        <v>#N/A</v>
      </c>
      <c r="U3338" t="e">
        <f>VLOOKUP(Tabelle10[[#This Row],[Rank]],Stammdaten[[Rank Verteilung Krümmung]:[Verteilung Krümmung]],2,FALSE)</f>
        <v>#N/A</v>
      </c>
      <c r="Z3338">
        <v>3329</v>
      </c>
      <c r="AA3338" t="e">
        <f>INDEX(Stammdaten[Ovalität (']0,1'])],MATCH(Tabelle1014[[#This Row],[Rank]],Stammdaten[Rank Verteilung Ovalität],0))</f>
        <v>#N/A</v>
      </c>
      <c r="AB3338" t="e">
        <f>VLOOKUP(Tabelle1014[[#This Row],[Rank]],Stammdaten[[Rank Verteilung Ovalität]:[Verteilung Ovalität]],2,FALSE)</f>
        <v>#N/A</v>
      </c>
    </row>
    <row r="3339" spans="5:28" x14ac:dyDescent="0.35">
      <c r="E3339">
        <v>3330</v>
      </c>
      <c r="F3339" t="e">
        <f>INDEX(Stammdaten[D Mitte mit Rinde (mm)],MATCH(Tabelle8[[#This Row],[Rank]],Stammdaten[Rank Verteilung D Mitte mit Rinde],0))</f>
        <v>#N/A</v>
      </c>
      <c r="G3339" t="e">
        <f>VLOOKUP(Tabelle8[[#This Row],[Rank]],Stammdaten[[Rank Verteilung D Mitte mit Rinde]:[Verteilung D Mitte mit Rinde]],2,FALSE)</f>
        <v>#N/A</v>
      </c>
      <c r="L3339">
        <v>3330</v>
      </c>
      <c r="M3339" t="e">
        <f>INDEX(Stammdaten[Abholzigkeit (mm/lfm)],MATCH(Tabelle9[[#This Row],[Rank]],Stammdaten[Rank Verteilung Abholzigkeit],0))</f>
        <v>#N/A</v>
      </c>
      <c r="N3339" t="e">
        <f>VLOOKUP(Tabelle9[[#This Row],[Rank]],Stammdaten[[Rank Verteilung Abholzigkeit]:[Verteilung Abholzigkeit]],2,FALSE)</f>
        <v>#N/A</v>
      </c>
      <c r="S3339">
        <v>3330</v>
      </c>
      <c r="T3339" t="e">
        <f>INDEX(Stammdaten[Krümmung (mm/lfm)],MATCH(Tabelle10[[#This Row],[Rank]],Stammdaten[Rank Verteilung Krümmung],0))</f>
        <v>#N/A</v>
      </c>
      <c r="U3339" t="e">
        <f>VLOOKUP(Tabelle10[[#This Row],[Rank]],Stammdaten[[Rank Verteilung Krümmung]:[Verteilung Krümmung]],2,FALSE)</f>
        <v>#N/A</v>
      </c>
      <c r="Z3339">
        <v>3330</v>
      </c>
      <c r="AA3339" t="e">
        <f>INDEX(Stammdaten[Ovalität (']0,1'])],MATCH(Tabelle1014[[#This Row],[Rank]],Stammdaten[Rank Verteilung Ovalität],0))</f>
        <v>#N/A</v>
      </c>
      <c r="AB3339" t="e">
        <f>VLOOKUP(Tabelle1014[[#This Row],[Rank]],Stammdaten[[Rank Verteilung Ovalität]:[Verteilung Ovalität]],2,FALSE)</f>
        <v>#N/A</v>
      </c>
    </row>
    <row r="3340" spans="5:28" x14ac:dyDescent="0.35">
      <c r="E3340">
        <v>3331</v>
      </c>
      <c r="F3340" t="e">
        <f>INDEX(Stammdaten[D Mitte mit Rinde (mm)],MATCH(Tabelle8[[#This Row],[Rank]],Stammdaten[Rank Verteilung D Mitte mit Rinde],0))</f>
        <v>#N/A</v>
      </c>
      <c r="G3340" t="e">
        <f>VLOOKUP(Tabelle8[[#This Row],[Rank]],Stammdaten[[Rank Verteilung D Mitte mit Rinde]:[Verteilung D Mitte mit Rinde]],2,FALSE)</f>
        <v>#N/A</v>
      </c>
      <c r="L3340">
        <v>3331</v>
      </c>
      <c r="M3340" t="e">
        <f>INDEX(Stammdaten[Abholzigkeit (mm/lfm)],MATCH(Tabelle9[[#This Row],[Rank]],Stammdaten[Rank Verteilung Abholzigkeit],0))</f>
        <v>#N/A</v>
      </c>
      <c r="N3340" t="e">
        <f>VLOOKUP(Tabelle9[[#This Row],[Rank]],Stammdaten[[Rank Verteilung Abholzigkeit]:[Verteilung Abholzigkeit]],2,FALSE)</f>
        <v>#N/A</v>
      </c>
      <c r="S3340">
        <v>3331</v>
      </c>
      <c r="T3340" t="e">
        <f>INDEX(Stammdaten[Krümmung (mm/lfm)],MATCH(Tabelle10[[#This Row],[Rank]],Stammdaten[Rank Verteilung Krümmung],0))</f>
        <v>#N/A</v>
      </c>
      <c r="U3340" t="e">
        <f>VLOOKUP(Tabelle10[[#This Row],[Rank]],Stammdaten[[Rank Verteilung Krümmung]:[Verteilung Krümmung]],2,FALSE)</f>
        <v>#N/A</v>
      </c>
      <c r="Z3340">
        <v>3331</v>
      </c>
      <c r="AA3340" t="e">
        <f>INDEX(Stammdaten[Ovalität (']0,1'])],MATCH(Tabelle1014[[#This Row],[Rank]],Stammdaten[Rank Verteilung Ovalität],0))</f>
        <v>#N/A</v>
      </c>
      <c r="AB3340" t="e">
        <f>VLOOKUP(Tabelle1014[[#This Row],[Rank]],Stammdaten[[Rank Verteilung Ovalität]:[Verteilung Ovalität]],2,FALSE)</f>
        <v>#N/A</v>
      </c>
    </row>
    <row r="3341" spans="5:28" x14ac:dyDescent="0.35">
      <c r="E3341">
        <v>3332</v>
      </c>
      <c r="F3341" t="e">
        <f>INDEX(Stammdaten[D Mitte mit Rinde (mm)],MATCH(Tabelle8[[#This Row],[Rank]],Stammdaten[Rank Verteilung D Mitte mit Rinde],0))</f>
        <v>#N/A</v>
      </c>
      <c r="G3341" t="e">
        <f>VLOOKUP(Tabelle8[[#This Row],[Rank]],Stammdaten[[Rank Verteilung D Mitte mit Rinde]:[Verteilung D Mitte mit Rinde]],2,FALSE)</f>
        <v>#N/A</v>
      </c>
      <c r="L3341">
        <v>3332</v>
      </c>
      <c r="M3341" t="e">
        <f>INDEX(Stammdaten[Abholzigkeit (mm/lfm)],MATCH(Tabelle9[[#This Row],[Rank]],Stammdaten[Rank Verteilung Abholzigkeit],0))</f>
        <v>#N/A</v>
      </c>
      <c r="N3341" t="e">
        <f>VLOOKUP(Tabelle9[[#This Row],[Rank]],Stammdaten[[Rank Verteilung Abholzigkeit]:[Verteilung Abholzigkeit]],2,FALSE)</f>
        <v>#N/A</v>
      </c>
      <c r="S3341">
        <v>3332</v>
      </c>
      <c r="T3341" t="e">
        <f>INDEX(Stammdaten[Krümmung (mm/lfm)],MATCH(Tabelle10[[#This Row],[Rank]],Stammdaten[Rank Verteilung Krümmung],0))</f>
        <v>#N/A</v>
      </c>
      <c r="U3341" t="e">
        <f>VLOOKUP(Tabelle10[[#This Row],[Rank]],Stammdaten[[Rank Verteilung Krümmung]:[Verteilung Krümmung]],2,FALSE)</f>
        <v>#N/A</v>
      </c>
      <c r="Z3341">
        <v>3332</v>
      </c>
      <c r="AA3341" t="e">
        <f>INDEX(Stammdaten[Ovalität (']0,1'])],MATCH(Tabelle1014[[#This Row],[Rank]],Stammdaten[Rank Verteilung Ovalität],0))</f>
        <v>#N/A</v>
      </c>
      <c r="AB3341" t="e">
        <f>VLOOKUP(Tabelle1014[[#This Row],[Rank]],Stammdaten[[Rank Verteilung Ovalität]:[Verteilung Ovalität]],2,FALSE)</f>
        <v>#N/A</v>
      </c>
    </row>
    <row r="3342" spans="5:28" x14ac:dyDescent="0.35">
      <c r="E3342">
        <v>3333</v>
      </c>
      <c r="F3342" t="e">
        <f>INDEX(Stammdaten[D Mitte mit Rinde (mm)],MATCH(Tabelle8[[#This Row],[Rank]],Stammdaten[Rank Verteilung D Mitte mit Rinde],0))</f>
        <v>#N/A</v>
      </c>
      <c r="G3342" t="e">
        <f>VLOOKUP(Tabelle8[[#This Row],[Rank]],Stammdaten[[Rank Verteilung D Mitte mit Rinde]:[Verteilung D Mitte mit Rinde]],2,FALSE)</f>
        <v>#N/A</v>
      </c>
      <c r="L3342">
        <v>3333</v>
      </c>
      <c r="M3342" t="e">
        <f>INDEX(Stammdaten[Abholzigkeit (mm/lfm)],MATCH(Tabelle9[[#This Row],[Rank]],Stammdaten[Rank Verteilung Abholzigkeit],0))</f>
        <v>#N/A</v>
      </c>
      <c r="N3342" t="e">
        <f>VLOOKUP(Tabelle9[[#This Row],[Rank]],Stammdaten[[Rank Verteilung Abholzigkeit]:[Verteilung Abholzigkeit]],2,FALSE)</f>
        <v>#N/A</v>
      </c>
      <c r="S3342">
        <v>3333</v>
      </c>
      <c r="T3342" t="e">
        <f>INDEX(Stammdaten[Krümmung (mm/lfm)],MATCH(Tabelle10[[#This Row],[Rank]],Stammdaten[Rank Verteilung Krümmung],0))</f>
        <v>#N/A</v>
      </c>
      <c r="U3342" t="e">
        <f>VLOOKUP(Tabelle10[[#This Row],[Rank]],Stammdaten[[Rank Verteilung Krümmung]:[Verteilung Krümmung]],2,FALSE)</f>
        <v>#N/A</v>
      </c>
      <c r="Z3342">
        <v>3333</v>
      </c>
      <c r="AA3342" t="e">
        <f>INDEX(Stammdaten[Ovalität (']0,1'])],MATCH(Tabelle1014[[#This Row],[Rank]],Stammdaten[Rank Verteilung Ovalität],0))</f>
        <v>#N/A</v>
      </c>
      <c r="AB3342" t="e">
        <f>VLOOKUP(Tabelle1014[[#This Row],[Rank]],Stammdaten[[Rank Verteilung Ovalität]:[Verteilung Ovalität]],2,FALSE)</f>
        <v>#N/A</v>
      </c>
    </row>
    <row r="3343" spans="5:28" x14ac:dyDescent="0.35">
      <c r="E3343">
        <v>3334</v>
      </c>
      <c r="F3343" t="e">
        <f>INDEX(Stammdaten[D Mitte mit Rinde (mm)],MATCH(Tabelle8[[#This Row],[Rank]],Stammdaten[Rank Verteilung D Mitte mit Rinde],0))</f>
        <v>#N/A</v>
      </c>
      <c r="G3343" t="e">
        <f>VLOOKUP(Tabelle8[[#This Row],[Rank]],Stammdaten[[Rank Verteilung D Mitte mit Rinde]:[Verteilung D Mitte mit Rinde]],2,FALSE)</f>
        <v>#N/A</v>
      </c>
      <c r="L3343">
        <v>3334</v>
      </c>
      <c r="M3343" t="e">
        <f>INDEX(Stammdaten[Abholzigkeit (mm/lfm)],MATCH(Tabelle9[[#This Row],[Rank]],Stammdaten[Rank Verteilung Abholzigkeit],0))</f>
        <v>#N/A</v>
      </c>
      <c r="N3343" t="e">
        <f>VLOOKUP(Tabelle9[[#This Row],[Rank]],Stammdaten[[Rank Verteilung Abholzigkeit]:[Verteilung Abholzigkeit]],2,FALSE)</f>
        <v>#N/A</v>
      </c>
      <c r="S3343">
        <v>3334</v>
      </c>
      <c r="T3343" t="e">
        <f>INDEX(Stammdaten[Krümmung (mm/lfm)],MATCH(Tabelle10[[#This Row],[Rank]],Stammdaten[Rank Verteilung Krümmung],0))</f>
        <v>#N/A</v>
      </c>
      <c r="U3343" t="e">
        <f>VLOOKUP(Tabelle10[[#This Row],[Rank]],Stammdaten[[Rank Verteilung Krümmung]:[Verteilung Krümmung]],2,FALSE)</f>
        <v>#N/A</v>
      </c>
      <c r="Z3343">
        <v>3334</v>
      </c>
      <c r="AA3343" t="e">
        <f>INDEX(Stammdaten[Ovalität (']0,1'])],MATCH(Tabelle1014[[#This Row],[Rank]],Stammdaten[Rank Verteilung Ovalität],0))</f>
        <v>#N/A</v>
      </c>
      <c r="AB3343" t="e">
        <f>VLOOKUP(Tabelle1014[[#This Row],[Rank]],Stammdaten[[Rank Verteilung Ovalität]:[Verteilung Ovalität]],2,FALSE)</f>
        <v>#N/A</v>
      </c>
    </row>
    <row r="3344" spans="5:28" x14ac:dyDescent="0.35">
      <c r="E3344">
        <v>3335</v>
      </c>
      <c r="F3344" t="e">
        <f>INDEX(Stammdaten[D Mitte mit Rinde (mm)],MATCH(Tabelle8[[#This Row],[Rank]],Stammdaten[Rank Verteilung D Mitte mit Rinde],0))</f>
        <v>#N/A</v>
      </c>
      <c r="G3344" t="e">
        <f>VLOOKUP(Tabelle8[[#This Row],[Rank]],Stammdaten[[Rank Verteilung D Mitte mit Rinde]:[Verteilung D Mitte mit Rinde]],2,FALSE)</f>
        <v>#N/A</v>
      </c>
      <c r="L3344">
        <v>3335</v>
      </c>
      <c r="M3344" t="e">
        <f>INDEX(Stammdaten[Abholzigkeit (mm/lfm)],MATCH(Tabelle9[[#This Row],[Rank]],Stammdaten[Rank Verteilung Abholzigkeit],0))</f>
        <v>#N/A</v>
      </c>
      <c r="N3344" t="e">
        <f>VLOOKUP(Tabelle9[[#This Row],[Rank]],Stammdaten[[Rank Verteilung Abholzigkeit]:[Verteilung Abholzigkeit]],2,FALSE)</f>
        <v>#N/A</v>
      </c>
      <c r="S3344">
        <v>3335</v>
      </c>
      <c r="T3344" t="e">
        <f>INDEX(Stammdaten[Krümmung (mm/lfm)],MATCH(Tabelle10[[#This Row],[Rank]],Stammdaten[Rank Verteilung Krümmung],0))</f>
        <v>#N/A</v>
      </c>
      <c r="U3344" t="e">
        <f>VLOOKUP(Tabelle10[[#This Row],[Rank]],Stammdaten[[Rank Verteilung Krümmung]:[Verteilung Krümmung]],2,FALSE)</f>
        <v>#N/A</v>
      </c>
      <c r="Z3344">
        <v>3335</v>
      </c>
      <c r="AA3344" t="e">
        <f>INDEX(Stammdaten[Ovalität (']0,1'])],MATCH(Tabelle1014[[#This Row],[Rank]],Stammdaten[Rank Verteilung Ovalität],0))</f>
        <v>#N/A</v>
      </c>
      <c r="AB3344" t="e">
        <f>VLOOKUP(Tabelle1014[[#This Row],[Rank]],Stammdaten[[Rank Verteilung Ovalität]:[Verteilung Ovalität]],2,FALSE)</f>
        <v>#N/A</v>
      </c>
    </row>
    <row r="3345" spans="5:28" x14ac:dyDescent="0.35">
      <c r="E3345">
        <v>3336</v>
      </c>
      <c r="F3345" t="e">
        <f>INDEX(Stammdaten[D Mitte mit Rinde (mm)],MATCH(Tabelle8[[#This Row],[Rank]],Stammdaten[Rank Verteilung D Mitte mit Rinde],0))</f>
        <v>#N/A</v>
      </c>
      <c r="G3345" t="e">
        <f>VLOOKUP(Tabelle8[[#This Row],[Rank]],Stammdaten[[Rank Verteilung D Mitte mit Rinde]:[Verteilung D Mitte mit Rinde]],2,FALSE)</f>
        <v>#N/A</v>
      </c>
      <c r="L3345">
        <v>3336</v>
      </c>
      <c r="M3345" t="e">
        <f>INDEX(Stammdaten[Abholzigkeit (mm/lfm)],MATCH(Tabelle9[[#This Row],[Rank]],Stammdaten[Rank Verteilung Abholzigkeit],0))</f>
        <v>#N/A</v>
      </c>
      <c r="N3345" t="e">
        <f>VLOOKUP(Tabelle9[[#This Row],[Rank]],Stammdaten[[Rank Verteilung Abholzigkeit]:[Verteilung Abholzigkeit]],2,FALSE)</f>
        <v>#N/A</v>
      </c>
      <c r="S3345">
        <v>3336</v>
      </c>
      <c r="T3345" t="e">
        <f>INDEX(Stammdaten[Krümmung (mm/lfm)],MATCH(Tabelle10[[#This Row],[Rank]],Stammdaten[Rank Verteilung Krümmung],0))</f>
        <v>#N/A</v>
      </c>
      <c r="U3345" t="e">
        <f>VLOOKUP(Tabelle10[[#This Row],[Rank]],Stammdaten[[Rank Verteilung Krümmung]:[Verteilung Krümmung]],2,FALSE)</f>
        <v>#N/A</v>
      </c>
      <c r="Z3345">
        <v>3336</v>
      </c>
      <c r="AA3345" t="e">
        <f>INDEX(Stammdaten[Ovalität (']0,1'])],MATCH(Tabelle1014[[#This Row],[Rank]],Stammdaten[Rank Verteilung Ovalität],0))</f>
        <v>#N/A</v>
      </c>
      <c r="AB3345" t="e">
        <f>VLOOKUP(Tabelle1014[[#This Row],[Rank]],Stammdaten[[Rank Verteilung Ovalität]:[Verteilung Ovalität]],2,FALSE)</f>
        <v>#N/A</v>
      </c>
    </row>
    <row r="3346" spans="5:28" x14ac:dyDescent="0.35">
      <c r="E3346">
        <v>3337</v>
      </c>
      <c r="F3346" t="e">
        <f>INDEX(Stammdaten[D Mitte mit Rinde (mm)],MATCH(Tabelle8[[#This Row],[Rank]],Stammdaten[Rank Verteilung D Mitte mit Rinde],0))</f>
        <v>#N/A</v>
      </c>
      <c r="G3346" t="e">
        <f>VLOOKUP(Tabelle8[[#This Row],[Rank]],Stammdaten[[Rank Verteilung D Mitte mit Rinde]:[Verteilung D Mitte mit Rinde]],2,FALSE)</f>
        <v>#N/A</v>
      </c>
      <c r="L3346">
        <v>3337</v>
      </c>
      <c r="M3346" t="e">
        <f>INDEX(Stammdaten[Abholzigkeit (mm/lfm)],MATCH(Tabelle9[[#This Row],[Rank]],Stammdaten[Rank Verteilung Abholzigkeit],0))</f>
        <v>#N/A</v>
      </c>
      <c r="N3346" t="e">
        <f>VLOOKUP(Tabelle9[[#This Row],[Rank]],Stammdaten[[Rank Verteilung Abholzigkeit]:[Verteilung Abholzigkeit]],2,FALSE)</f>
        <v>#N/A</v>
      </c>
      <c r="S3346">
        <v>3337</v>
      </c>
      <c r="T3346" t="e">
        <f>INDEX(Stammdaten[Krümmung (mm/lfm)],MATCH(Tabelle10[[#This Row],[Rank]],Stammdaten[Rank Verteilung Krümmung],0))</f>
        <v>#N/A</v>
      </c>
      <c r="U3346" t="e">
        <f>VLOOKUP(Tabelle10[[#This Row],[Rank]],Stammdaten[[Rank Verteilung Krümmung]:[Verteilung Krümmung]],2,FALSE)</f>
        <v>#N/A</v>
      </c>
      <c r="Z3346">
        <v>3337</v>
      </c>
      <c r="AA3346" t="e">
        <f>INDEX(Stammdaten[Ovalität (']0,1'])],MATCH(Tabelle1014[[#This Row],[Rank]],Stammdaten[Rank Verteilung Ovalität],0))</f>
        <v>#N/A</v>
      </c>
      <c r="AB3346" t="e">
        <f>VLOOKUP(Tabelle1014[[#This Row],[Rank]],Stammdaten[[Rank Verteilung Ovalität]:[Verteilung Ovalität]],2,FALSE)</f>
        <v>#N/A</v>
      </c>
    </row>
    <row r="3347" spans="5:28" x14ac:dyDescent="0.35">
      <c r="E3347">
        <v>3338</v>
      </c>
      <c r="F3347" t="e">
        <f>INDEX(Stammdaten[D Mitte mit Rinde (mm)],MATCH(Tabelle8[[#This Row],[Rank]],Stammdaten[Rank Verteilung D Mitte mit Rinde],0))</f>
        <v>#N/A</v>
      </c>
      <c r="G3347" t="e">
        <f>VLOOKUP(Tabelle8[[#This Row],[Rank]],Stammdaten[[Rank Verteilung D Mitte mit Rinde]:[Verteilung D Mitte mit Rinde]],2,FALSE)</f>
        <v>#N/A</v>
      </c>
      <c r="L3347">
        <v>3338</v>
      </c>
      <c r="M3347" t="e">
        <f>INDEX(Stammdaten[Abholzigkeit (mm/lfm)],MATCH(Tabelle9[[#This Row],[Rank]],Stammdaten[Rank Verteilung Abholzigkeit],0))</f>
        <v>#N/A</v>
      </c>
      <c r="N3347" t="e">
        <f>VLOOKUP(Tabelle9[[#This Row],[Rank]],Stammdaten[[Rank Verteilung Abholzigkeit]:[Verteilung Abholzigkeit]],2,FALSE)</f>
        <v>#N/A</v>
      </c>
      <c r="S3347">
        <v>3338</v>
      </c>
      <c r="T3347" t="e">
        <f>INDEX(Stammdaten[Krümmung (mm/lfm)],MATCH(Tabelle10[[#This Row],[Rank]],Stammdaten[Rank Verteilung Krümmung],0))</f>
        <v>#N/A</v>
      </c>
      <c r="U3347" t="e">
        <f>VLOOKUP(Tabelle10[[#This Row],[Rank]],Stammdaten[[Rank Verteilung Krümmung]:[Verteilung Krümmung]],2,FALSE)</f>
        <v>#N/A</v>
      </c>
      <c r="Z3347">
        <v>3338</v>
      </c>
      <c r="AA3347" t="e">
        <f>INDEX(Stammdaten[Ovalität (']0,1'])],MATCH(Tabelle1014[[#This Row],[Rank]],Stammdaten[Rank Verteilung Ovalität],0))</f>
        <v>#N/A</v>
      </c>
      <c r="AB3347" t="e">
        <f>VLOOKUP(Tabelle1014[[#This Row],[Rank]],Stammdaten[[Rank Verteilung Ovalität]:[Verteilung Ovalität]],2,FALSE)</f>
        <v>#N/A</v>
      </c>
    </row>
    <row r="3348" spans="5:28" x14ac:dyDescent="0.35">
      <c r="E3348">
        <v>3339</v>
      </c>
      <c r="F3348" t="e">
        <f>INDEX(Stammdaten[D Mitte mit Rinde (mm)],MATCH(Tabelle8[[#This Row],[Rank]],Stammdaten[Rank Verteilung D Mitte mit Rinde],0))</f>
        <v>#N/A</v>
      </c>
      <c r="G3348" t="e">
        <f>VLOOKUP(Tabelle8[[#This Row],[Rank]],Stammdaten[[Rank Verteilung D Mitte mit Rinde]:[Verteilung D Mitte mit Rinde]],2,FALSE)</f>
        <v>#N/A</v>
      </c>
      <c r="L3348">
        <v>3339</v>
      </c>
      <c r="M3348" t="e">
        <f>INDEX(Stammdaten[Abholzigkeit (mm/lfm)],MATCH(Tabelle9[[#This Row],[Rank]],Stammdaten[Rank Verteilung Abholzigkeit],0))</f>
        <v>#N/A</v>
      </c>
      <c r="N3348" t="e">
        <f>VLOOKUP(Tabelle9[[#This Row],[Rank]],Stammdaten[[Rank Verteilung Abholzigkeit]:[Verteilung Abholzigkeit]],2,FALSE)</f>
        <v>#N/A</v>
      </c>
      <c r="S3348">
        <v>3339</v>
      </c>
      <c r="T3348" t="e">
        <f>INDEX(Stammdaten[Krümmung (mm/lfm)],MATCH(Tabelle10[[#This Row],[Rank]],Stammdaten[Rank Verteilung Krümmung],0))</f>
        <v>#N/A</v>
      </c>
      <c r="U3348" t="e">
        <f>VLOOKUP(Tabelle10[[#This Row],[Rank]],Stammdaten[[Rank Verteilung Krümmung]:[Verteilung Krümmung]],2,FALSE)</f>
        <v>#N/A</v>
      </c>
      <c r="Z3348">
        <v>3339</v>
      </c>
      <c r="AA3348" t="e">
        <f>INDEX(Stammdaten[Ovalität (']0,1'])],MATCH(Tabelle1014[[#This Row],[Rank]],Stammdaten[Rank Verteilung Ovalität],0))</f>
        <v>#N/A</v>
      </c>
      <c r="AB3348" t="e">
        <f>VLOOKUP(Tabelle1014[[#This Row],[Rank]],Stammdaten[[Rank Verteilung Ovalität]:[Verteilung Ovalität]],2,FALSE)</f>
        <v>#N/A</v>
      </c>
    </row>
    <row r="3349" spans="5:28" x14ac:dyDescent="0.35">
      <c r="E3349">
        <v>3340</v>
      </c>
      <c r="F3349" t="e">
        <f>INDEX(Stammdaten[D Mitte mit Rinde (mm)],MATCH(Tabelle8[[#This Row],[Rank]],Stammdaten[Rank Verteilung D Mitte mit Rinde],0))</f>
        <v>#N/A</v>
      </c>
      <c r="G3349" t="e">
        <f>VLOOKUP(Tabelle8[[#This Row],[Rank]],Stammdaten[[Rank Verteilung D Mitte mit Rinde]:[Verteilung D Mitte mit Rinde]],2,FALSE)</f>
        <v>#N/A</v>
      </c>
      <c r="L3349">
        <v>3340</v>
      </c>
      <c r="M3349" t="e">
        <f>INDEX(Stammdaten[Abholzigkeit (mm/lfm)],MATCH(Tabelle9[[#This Row],[Rank]],Stammdaten[Rank Verteilung Abholzigkeit],0))</f>
        <v>#N/A</v>
      </c>
      <c r="N3349" t="e">
        <f>VLOOKUP(Tabelle9[[#This Row],[Rank]],Stammdaten[[Rank Verteilung Abholzigkeit]:[Verteilung Abholzigkeit]],2,FALSE)</f>
        <v>#N/A</v>
      </c>
      <c r="S3349">
        <v>3340</v>
      </c>
      <c r="T3349" t="e">
        <f>INDEX(Stammdaten[Krümmung (mm/lfm)],MATCH(Tabelle10[[#This Row],[Rank]],Stammdaten[Rank Verteilung Krümmung],0))</f>
        <v>#N/A</v>
      </c>
      <c r="U3349" t="e">
        <f>VLOOKUP(Tabelle10[[#This Row],[Rank]],Stammdaten[[Rank Verteilung Krümmung]:[Verteilung Krümmung]],2,FALSE)</f>
        <v>#N/A</v>
      </c>
      <c r="Z3349">
        <v>3340</v>
      </c>
      <c r="AA3349" t="e">
        <f>INDEX(Stammdaten[Ovalität (']0,1'])],MATCH(Tabelle1014[[#This Row],[Rank]],Stammdaten[Rank Verteilung Ovalität],0))</f>
        <v>#N/A</v>
      </c>
      <c r="AB3349" t="e">
        <f>VLOOKUP(Tabelle1014[[#This Row],[Rank]],Stammdaten[[Rank Verteilung Ovalität]:[Verteilung Ovalität]],2,FALSE)</f>
        <v>#N/A</v>
      </c>
    </row>
    <row r="3350" spans="5:28" x14ac:dyDescent="0.35">
      <c r="E3350">
        <v>3341</v>
      </c>
      <c r="F3350" t="e">
        <f>INDEX(Stammdaten[D Mitte mit Rinde (mm)],MATCH(Tabelle8[[#This Row],[Rank]],Stammdaten[Rank Verteilung D Mitte mit Rinde],0))</f>
        <v>#N/A</v>
      </c>
      <c r="G3350" t="e">
        <f>VLOOKUP(Tabelle8[[#This Row],[Rank]],Stammdaten[[Rank Verteilung D Mitte mit Rinde]:[Verteilung D Mitte mit Rinde]],2,FALSE)</f>
        <v>#N/A</v>
      </c>
      <c r="L3350">
        <v>3341</v>
      </c>
      <c r="M3350" t="e">
        <f>INDEX(Stammdaten[Abholzigkeit (mm/lfm)],MATCH(Tabelle9[[#This Row],[Rank]],Stammdaten[Rank Verteilung Abholzigkeit],0))</f>
        <v>#N/A</v>
      </c>
      <c r="N3350" t="e">
        <f>VLOOKUP(Tabelle9[[#This Row],[Rank]],Stammdaten[[Rank Verteilung Abholzigkeit]:[Verteilung Abholzigkeit]],2,FALSE)</f>
        <v>#N/A</v>
      </c>
      <c r="S3350">
        <v>3341</v>
      </c>
      <c r="T3350" t="e">
        <f>INDEX(Stammdaten[Krümmung (mm/lfm)],MATCH(Tabelle10[[#This Row],[Rank]],Stammdaten[Rank Verteilung Krümmung],0))</f>
        <v>#N/A</v>
      </c>
      <c r="U3350" t="e">
        <f>VLOOKUP(Tabelle10[[#This Row],[Rank]],Stammdaten[[Rank Verteilung Krümmung]:[Verteilung Krümmung]],2,FALSE)</f>
        <v>#N/A</v>
      </c>
      <c r="Z3350">
        <v>3341</v>
      </c>
      <c r="AA3350" t="e">
        <f>INDEX(Stammdaten[Ovalität (']0,1'])],MATCH(Tabelle1014[[#This Row],[Rank]],Stammdaten[Rank Verteilung Ovalität],0))</f>
        <v>#N/A</v>
      </c>
      <c r="AB3350" t="e">
        <f>VLOOKUP(Tabelle1014[[#This Row],[Rank]],Stammdaten[[Rank Verteilung Ovalität]:[Verteilung Ovalität]],2,FALSE)</f>
        <v>#N/A</v>
      </c>
    </row>
    <row r="3351" spans="5:28" x14ac:dyDescent="0.35">
      <c r="E3351">
        <v>3342</v>
      </c>
      <c r="F3351" t="e">
        <f>INDEX(Stammdaten[D Mitte mit Rinde (mm)],MATCH(Tabelle8[[#This Row],[Rank]],Stammdaten[Rank Verteilung D Mitte mit Rinde],0))</f>
        <v>#N/A</v>
      </c>
      <c r="G3351" t="e">
        <f>VLOOKUP(Tabelle8[[#This Row],[Rank]],Stammdaten[[Rank Verteilung D Mitte mit Rinde]:[Verteilung D Mitte mit Rinde]],2,FALSE)</f>
        <v>#N/A</v>
      </c>
      <c r="L3351">
        <v>3342</v>
      </c>
      <c r="M3351" t="e">
        <f>INDEX(Stammdaten[Abholzigkeit (mm/lfm)],MATCH(Tabelle9[[#This Row],[Rank]],Stammdaten[Rank Verteilung Abholzigkeit],0))</f>
        <v>#N/A</v>
      </c>
      <c r="N3351" t="e">
        <f>VLOOKUP(Tabelle9[[#This Row],[Rank]],Stammdaten[[Rank Verteilung Abholzigkeit]:[Verteilung Abholzigkeit]],2,FALSE)</f>
        <v>#N/A</v>
      </c>
      <c r="S3351">
        <v>3342</v>
      </c>
      <c r="T3351" t="e">
        <f>INDEX(Stammdaten[Krümmung (mm/lfm)],MATCH(Tabelle10[[#This Row],[Rank]],Stammdaten[Rank Verteilung Krümmung],0))</f>
        <v>#N/A</v>
      </c>
      <c r="U3351" t="e">
        <f>VLOOKUP(Tabelle10[[#This Row],[Rank]],Stammdaten[[Rank Verteilung Krümmung]:[Verteilung Krümmung]],2,FALSE)</f>
        <v>#N/A</v>
      </c>
      <c r="Z3351">
        <v>3342</v>
      </c>
      <c r="AA3351" t="e">
        <f>INDEX(Stammdaten[Ovalität (']0,1'])],MATCH(Tabelle1014[[#This Row],[Rank]],Stammdaten[Rank Verteilung Ovalität],0))</f>
        <v>#N/A</v>
      </c>
      <c r="AB3351" t="e">
        <f>VLOOKUP(Tabelle1014[[#This Row],[Rank]],Stammdaten[[Rank Verteilung Ovalität]:[Verteilung Ovalität]],2,FALSE)</f>
        <v>#N/A</v>
      </c>
    </row>
    <row r="3352" spans="5:28" x14ac:dyDescent="0.35">
      <c r="E3352">
        <v>3343</v>
      </c>
      <c r="F3352" t="e">
        <f>INDEX(Stammdaten[D Mitte mit Rinde (mm)],MATCH(Tabelle8[[#This Row],[Rank]],Stammdaten[Rank Verteilung D Mitte mit Rinde],0))</f>
        <v>#N/A</v>
      </c>
      <c r="G3352" t="e">
        <f>VLOOKUP(Tabelle8[[#This Row],[Rank]],Stammdaten[[Rank Verteilung D Mitte mit Rinde]:[Verteilung D Mitte mit Rinde]],2,FALSE)</f>
        <v>#N/A</v>
      </c>
      <c r="L3352">
        <v>3343</v>
      </c>
      <c r="M3352" t="e">
        <f>INDEX(Stammdaten[Abholzigkeit (mm/lfm)],MATCH(Tabelle9[[#This Row],[Rank]],Stammdaten[Rank Verteilung Abholzigkeit],0))</f>
        <v>#N/A</v>
      </c>
      <c r="N3352" t="e">
        <f>VLOOKUP(Tabelle9[[#This Row],[Rank]],Stammdaten[[Rank Verteilung Abholzigkeit]:[Verteilung Abholzigkeit]],2,FALSE)</f>
        <v>#N/A</v>
      </c>
      <c r="S3352">
        <v>3343</v>
      </c>
      <c r="T3352" t="e">
        <f>INDEX(Stammdaten[Krümmung (mm/lfm)],MATCH(Tabelle10[[#This Row],[Rank]],Stammdaten[Rank Verteilung Krümmung],0))</f>
        <v>#N/A</v>
      </c>
      <c r="U3352" t="e">
        <f>VLOOKUP(Tabelle10[[#This Row],[Rank]],Stammdaten[[Rank Verteilung Krümmung]:[Verteilung Krümmung]],2,FALSE)</f>
        <v>#N/A</v>
      </c>
      <c r="Z3352">
        <v>3343</v>
      </c>
      <c r="AA3352" t="e">
        <f>INDEX(Stammdaten[Ovalität (']0,1'])],MATCH(Tabelle1014[[#This Row],[Rank]],Stammdaten[Rank Verteilung Ovalität],0))</f>
        <v>#N/A</v>
      </c>
      <c r="AB3352" t="e">
        <f>VLOOKUP(Tabelle1014[[#This Row],[Rank]],Stammdaten[[Rank Verteilung Ovalität]:[Verteilung Ovalität]],2,FALSE)</f>
        <v>#N/A</v>
      </c>
    </row>
    <row r="3353" spans="5:28" x14ac:dyDescent="0.35">
      <c r="E3353">
        <v>3344</v>
      </c>
      <c r="F3353" t="e">
        <f>INDEX(Stammdaten[D Mitte mit Rinde (mm)],MATCH(Tabelle8[[#This Row],[Rank]],Stammdaten[Rank Verteilung D Mitte mit Rinde],0))</f>
        <v>#N/A</v>
      </c>
      <c r="G3353" t="e">
        <f>VLOOKUP(Tabelle8[[#This Row],[Rank]],Stammdaten[[Rank Verteilung D Mitte mit Rinde]:[Verteilung D Mitte mit Rinde]],2,FALSE)</f>
        <v>#N/A</v>
      </c>
      <c r="L3353">
        <v>3344</v>
      </c>
      <c r="M3353" t="e">
        <f>INDEX(Stammdaten[Abholzigkeit (mm/lfm)],MATCH(Tabelle9[[#This Row],[Rank]],Stammdaten[Rank Verteilung Abholzigkeit],0))</f>
        <v>#N/A</v>
      </c>
      <c r="N3353" t="e">
        <f>VLOOKUP(Tabelle9[[#This Row],[Rank]],Stammdaten[[Rank Verteilung Abholzigkeit]:[Verteilung Abholzigkeit]],2,FALSE)</f>
        <v>#N/A</v>
      </c>
      <c r="S3353">
        <v>3344</v>
      </c>
      <c r="T3353" t="e">
        <f>INDEX(Stammdaten[Krümmung (mm/lfm)],MATCH(Tabelle10[[#This Row],[Rank]],Stammdaten[Rank Verteilung Krümmung],0))</f>
        <v>#N/A</v>
      </c>
      <c r="U3353" t="e">
        <f>VLOOKUP(Tabelle10[[#This Row],[Rank]],Stammdaten[[Rank Verteilung Krümmung]:[Verteilung Krümmung]],2,FALSE)</f>
        <v>#N/A</v>
      </c>
      <c r="Z3353">
        <v>3344</v>
      </c>
      <c r="AA3353" t="e">
        <f>INDEX(Stammdaten[Ovalität (']0,1'])],MATCH(Tabelle1014[[#This Row],[Rank]],Stammdaten[Rank Verteilung Ovalität],0))</f>
        <v>#N/A</v>
      </c>
      <c r="AB3353" t="e">
        <f>VLOOKUP(Tabelle1014[[#This Row],[Rank]],Stammdaten[[Rank Verteilung Ovalität]:[Verteilung Ovalität]],2,FALSE)</f>
        <v>#N/A</v>
      </c>
    </row>
    <row r="3354" spans="5:28" x14ac:dyDescent="0.35">
      <c r="E3354">
        <v>3345</v>
      </c>
      <c r="F3354" t="e">
        <f>INDEX(Stammdaten[D Mitte mit Rinde (mm)],MATCH(Tabelle8[[#This Row],[Rank]],Stammdaten[Rank Verteilung D Mitte mit Rinde],0))</f>
        <v>#N/A</v>
      </c>
      <c r="G3354" t="e">
        <f>VLOOKUP(Tabelle8[[#This Row],[Rank]],Stammdaten[[Rank Verteilung D Mitte mit Rinde]:[Verteilung D Mitte mit Rinde]],2,FALSE)</f>
        <v>#N/A</v>
      </c>
      <c r="L3354">
        <v>3345</v>
      </c>
      <c r="M3354" t="e">
        <f>INDEX(Stammdaten[Abholzigkeit (mm/lfm)],MATCH(Tabelle9[[#This Row],[Rank]],Stammdaten[Rank Verteilung Abholzigkeit],0))</f>
        <v>#N/A</v>
      </c>
      <c r="N3354" t="e">
        <f>VLOOKUP(Tabelle9[[#This Row],[Rank]],Stammdaten[[Rank Verteilung Abholzigkeit]:[Verteilung Abholzigkeit]],2,FALSE)</f>
        <v>#N/A</v>
      </c>
      <c r="S3354">
        <v>3345</v>
      </c>
      <c r="T3354" t="e">
        <f>INDEX(Stammdaten[Krümmung (mm/lfm)],MATCH(Tabelle10[[#This Row],[Rank]],Stammdaten[Rank Verteilung Krümmung],0))</f>
        <v>#N/A</v>
      </c>
      <c r="U3354" t="e">
        <f>VLOOKUP(Tabelle10[[#This Row],[Rank]],Stammdaten[[Rank Verteilung Krümmung]:[Verteilung Krümmung]],2,FALSE)</f>
        <v>#N/A</v>
      </c>
      <c r="Z3354">
        <v>3345</v>
      </c>
      <c r="AA3354" t="e">
        <f>INDEX(Stammdaten[Ovalität (']0,1'])],MATCH(Tabelle1014[[#This Row],[Rank]],Stammdaten[Rank Verteilung Ovalität],0))</f>
        <v>#N/A</v>
      </c>
      <c r="AB3354" t="e">
        <f>VLOOKUP(Tabelle1014[[#This Row],[Rank]],Stammdaten[[Rank Verteilung Ovalität]:[Verteilung Ovalität]],2,FALSE)</f>
        <v>#N/A</v>
      </c>
    </row>
    <row r="3355" spans="5:28" x14ac:dyDescent="0.35">
      <c r="E3355">
        <v>3346</v>
      </c>
      <c r="F3355" t="e">
        <f>INDEX(Stammdaten[D Mitte mit Rinde (mm)],MATCH(Tabelle8[[#This Row],[Rank]],Stammdaten[Rank Verteilung D Mitte mit Rinde],0))</f>
        <v>#N/A</v>
      </c>
      <c r="G3355" t="e">
        <f>VLOOKUP(Tabelle8[[#This Row],[Rank]],Stammdaten[[Rank Verteilung D Mitte mit Rinde]:[Verteilung D Mitte mit Rinde]],2,FALSE)</f>
        <v>#N/A</v>
      </c>
      <c r="L3355">
        <v>3346</v>
      </c>
      <c r="M3355" t="e">
        <f>INDEX(Stammdaten[Abholzigkeit (mm/lfm)],MATCH(Tabelle9[[#This Row],[Rank]],Stammdaten[Rank Verteilung Abholzigkeit],0))</f>
        <v>#N/A</v>
      </c>
      <c r="N3355" t="e">
        <f>VLOOKUP(Tabelle9[[#This Row],[Rank]],Stammdaten[[Rank Verteilung Abholzigkeit]:[Verteilung Abholzigkeit]],2,FALSE)</f>
        <v>#N/A</v>
      </c>
      <c r="S3355">
        <v>3346</v>
      </c>
      <c r="T3355" t="e">
        <f>INDEX(Stammdaten[Krümmung (mm/lfm)],MATCH(Tabelle10[[#This Row],[Rank]],Stammdaten[Rank Verteilung Krümmung],0))</f>
        <v>#N/A</v>
      </c>
      <c r="U3355" t="e">
        <f>VLOOKUP(Tabelle10[[#This Row],[Rank]],Stammdaten[[Rank Verteilung Krümmung]:[Verteilung Krümmung]],2,FALSE)</f>
        <v>#N/A</v>
      </c>
      <c r="Z3355">
        <v>3346</v>
      </c>
      <c r="AA3355" t="e">
        <f>INDEX(Stammdaten[Ovalität (']0,1'])],MATCH(Tabelle1014[[#This Row],[Rank]],Stammdaten[Rank Verteilung Ovalität],0))</f>
        <v>#N/A</v>
      </c>
      <c r="AB3355" t="e">
        <f>VLOOKUP(Tabelle1014[[#This Row],[Rank]],Stammdaten[[Rank Verteilung Ovalität]:[Verteilung Ovalität]],2,FALSE)</f>
        <v>#N/A</v>
      </c>
    </row>
    <row r="3356" spans="5:28" x14ac:dyDescent="0.35">
      <c r="E3356">
        <v>3347</v>
      </c>
      <c r="F3356" t="e">
        <f>INDEX(Stammdaten[D Mitte mit Rinde (mm)],MATCH(Tabelle8[[#This Row],[Rank]],Stammdaten[Rank Verteilung D Mitte mit Rinde],0))</f>
        <v>#N/A</v>
      </c>
      <c r="G3356" t="e">
        <f>VLOOKUP(Tabelle8[[#This Row],[Rank]],Stammdaten[[Rank Verteilung D Mitte mit Rinde]:[Verteilung D Mitte mit Rinde]],2,FALSE)</f>
        <v>#N/A</v>
      </c>
      <c r="L3356">
        <v>3347</v>
      </c>
      <c r="M3356" t="e">
        <f>INDEX(Stammdaten[Abholzigkeit (mm/lfm)],MATCH(Tabelle9[[#This Row],[Rank]],Stammdaten[Rank Verteilung Abholzigkeit],0))</f>
        <v>#N/A</v>
      </c>
      <c r="N3356" t="e">
        <f>VLOOKUP(Tabelle9[[#This Row],[Rank]],Stammdaten[[Rank Verteilung Abholzigkeit]:[Verteilung Abholzigkeit]],2,FALSE)</f>
        <v>#N/A</v>
      </c>
      <c r="S3356">
        <v>3347</v>
      </c>
      <c r="T3356" t="e">
        <f>INDEX(Stammdaten[Krümmung (mm/lfm)],MATCH(Tabelle10[[#This Row],[Rank]],Stammdaten[Rank Verteilung Krümmung],0))</f>
        <v>#N/A</v>
      </c>
      <c r="U3356" t="e">
        <f>VLOOKUP(Tabelle10[[#This Row],[Rank]],Stammdaten[[Rank Verteilung Krümmung]:[Verteilung Krümmung]],2,FALSE)</f>
        <v>#N/A</v>
      </c>
      <c r="Z3356">
        <v>3347</v>
      </c>
      <c r="AA3356" t="e">
        <f>INDEX(Stammdaten[Ovalität (']0,1'])],MATCH(Tabelle1014[[#This Row],[Rank]],Stammdaten[Rank Verteilung Ovalität],0))</f>
        <v>#N/A</v>
      </c>
      <c r="AB3356" t="e">
        <f>VLOOKUP(Tabelle1014[[#This Row],[Rank]],Stammdaten[[Rank Verteilung Ovalität]:[Verteilung Ovalität]],2,FALSE)</f>
        <v>#N/A</v>
      </c>
    </row>
    <row r="3357" spans="5:28" x14ac:dyDescent="0.35">
      <c r="E3357">
        <v>3348</v>
      </c>
      <c r="F3357" t="e">
        <f>INDEX(Stammdaten[D Mitte mit Rinde (mm)],MATCH(Tabelle8[[#This Row],[Rank]],Stammdaten[Rank Verteilung D Mitte mit Rinde],0))</f>
        <v>#N/A</v>
      </c>
      <c r="G3357" t="e">
        <f>VLOOKUP(Tabelle8[[#This Row],[Rank]],Stammdaten[[Rank Verteilung D Mitte mit Rinde]:[Verteilung D Mitte mit Rinde]],2,FALSE)</f>
        <v>#N/A</v>
      </c>
      <c r="L3357">
        <v>3348</v>
      </c>
      <c r="M3357" t="e">
        <f>INDEX(Stammdaten[Abholzigkeit (mm/lfm)],MATCH(Tabelle9[[#This Row],[Rank]],Stammdaten[Rank Verteilung Abholzigkeit],0))</f>
        <v>#N/A</v>
      </c>
      <c r="N3357" t="e">
        <f>VLOOKUP(Tabelle9[[#This Row],[Rank]],Stammdaten[[Rank Verteilung Abholzigkeit]:[Verteilung Abholzigkeit]],2,FALSE)</f>
        <v>#N/A</v>
      </c>
      <c r="S3357">
        <v>3348</v>
      </c>
      <c r="T3357" t="e">
        <f>INDEX(Stammdaten[Krümmung (mm/lfm)],MATCH(Tabelle10[[#This Row],[Rank]],Stammdaten[Rank Verteilung Krümmung],0))</f>
        <v>#N/A</v>
      </c>
      <c r="U3357" t="e">
        <f>VLOOKUP(Tabelle10[[#This Row],[Rank]],Stammdaten[[Rank Verteilung Krümmung]:[Verteilung Krümmung]],2,FALSE)</f>
        <v>#N/A</v>
      </c>
      <c r="Z3357">
        <v>3348</v>
      </c>
      <c r="AA3357" t="e">
        <f>INDEX(Stammdaten[Ovalität (']0,1'])],MATCH(Tabelle1014[[#This Row],[Rank]],Stammdaten[Rank Verteilung Ovalität],0))</f>
        <v>#N/A</v>
      </c>
      <c r="AB3357" t="e">
        <f>VLOOKUP(Tabelle1014[[#This Row],[Rank]],Stammdaten[[Rank Verteilung Ovalität]:[Verteilung Ovalität]],2,FALSE)</f>
        <v>#N/A</v>
      </c>
    </row>
    <row r="3358" spans="5:28" x14ac:dyDescent="0.35">
      <c r="E3358">
        <v>3349</v>
      </c>
      <c r="F3358" t="e">
        <f>INDEX(Stammdaten[D Mitte mit Rinde (mm)],MATCH(Tabelle8[[#This Row],[Rank]],Stammdaten[Rank Verteilung D Mitte mit Rinde],0))</f>
        <v>#N/A</v>
      </c>
      <c r="G3358" t="e">
        <f>VLOOKUP(Tabelle8[[#This Row],[Rank]],Stammdaten[[Rank Verteilung D Mitte mit Rinde]:[Verteilung D Mitte mit Rinde]],2,FALSE)</f>
        <v>#N/A</v>
      </c>
      <c r="L3358">
        <v>3349</v>
      </c>
      <c r="M3358" t="e">
        <f>INDEX(Stammdaten[Abholzigkeit (mm/lfm)],MATCH(Tabelle9[[#This Row],[Rank]],Stammdaten[Rank Verteilung Abholzigkeit],0))</f>
        <v>#N/A</v>
      </c>
      <c r="N3358" t="e">
        <f>VLOOKUP(Tabelle9[[#This Row],[Rank]],Stammdaten[[Rank Verteilung Abholzigkeit]:[Verteilung Abholzigkeit]],2,FALSE)</f>
        <v>#N/A</v>
      </c>
      <c r="S3358">
        <v>3349</v>
      </c>
      <c r="T3358" t="e">
        <f>INDEX(Stammdaten[Krümmung (mm/lfm)],MATCH(Tabelle10[[#This Row],[Rank]],Stammdaten[Rank Verteilung Krümmung],0))</f>
        <v>#N/A</v>
      </c>
      <c r="U3358" t="e">
        <f>VLOOKUP(Tabelle10[[#This Row],[Rank]],Stammdaten[[Rank Verteilung Krümmung]:[Verteilung Krümmung]],2,FALSE)</f>
        <v>#N/A</v>
      </c>
      <c r="Z3358">
        <v>3349</v>
      </c>
      <c r="AA3358" t="e">
        <f>INDEX(Stammdaten[Ovalität (']0,1'])],MATCH(Tabelle1014[[#This Row],[Rank]],Stammdaten[Rank Verteilung Ovalität],0))</f>
        <v>#N/A</v>
      </c>
      <c r="AB3358" t="e">
        <f>VLOOKUP(Tabelle1014[[#This Row],[Rank]],Stammdaten[[Rank Verteilung Ovalität]:[Verteilung Ovalität]],2,FALSE)</f>
        <v>#N/A</v>
      </c>
    </row>
    <row r="3359" spans="5:28" x14ac:dyDescent="0.35">
      <c r="E3359">
        <v>3350</v>
      </c>
      <c r="F3359" t="e">
        <f>INDEX(Stammdaten[D Mitte mit Rinde (mm)],MATCH(Tabelle8[[#This Row],[Rank]],Stammdaten[Rank Verteilung D Mitte mit Rinde],0))</f>
        <v>#N/A</v>
      </c>
      <c r="G3359" t="e">
        <f>VLOOKUP(Tabelle8[[#This Row],[Rank]],Stammdaten[[Rank Verteilung D Mitte mit Rinde]:[Verteilung D Mitte mit Rinde]],2,FALSE)</f>
        <v>#N/A</v>
      </c>
      <c r="L3359">
        <v>3350</v>
      </c>
      <c r="M3359" t="e">
        <f>INDEX(Stammdaten[Abholzigkeit (mm/lfm)],MATCH(Tabelle9[[#This Row],[Rank]],Stammdaten[Rank Verteilung Abholzigkeit],0))</f>
        <v>#N/A</v>
      </c>
      <c r="N3359" t="e">
        <f>VLOOKUP(Tabelle9[[#This Row],[Rank]],Stammdaten[[Rank Verteilung Abholzigkeit]:[Verteilung Abholzigkeit]],2,FALSE)</f>
        <v>#N/A</v>
      </c>
      <c r="S3359">
        <v>3350</v>
      </c>
      <c r="T3359" t="e">
        <f>INDEX(Stammdaten[Krümmung (mm/lfm)],MATCH(Tabelle10[[#This Row],[Rank]],Stammdaten[Rank Verteilung Krümmung],0))</f>
        <v>#N/A</v>
      </c>
      <c r="U3359" t="e">
        <f>VLOOKUP(Tabelle10[[#This Row],[Rank]],Stammdaten[[Rank Verteilung Krümmung]:[Verteilung Krümmung]],2,FALSE)</f>
        <v>#N/A</v>
      </c>
      <c r="Z3359">
        <v>3350</v>
      </c>
      <c r="AA3359" t="e">
        <f>INDEX(Stammdaten[Ovalität (']0,1'])],MATCH(Tabelle1014[[#This Row],[Rank]],Stammdaten[Rank Verteilung Ovalität],0))</f>
        <v>#N/A</v>
      </c>
      <c r="AB3359" t="e">
        <f>VLOOKUP(Tabelle1014[[#This Row],[Rank]],Stammdaten[[Rank Verteilung Ovalität]:[Verteilung Ovalität]],2,FALSE)</f>
        <v>#N/A</v>
      </c>
    </row>
    <row r="3360" spans="5:28" x14ac:dyDescent="0.35">
      <c r="E3360">
        <v>3351</v>
      </c>
      <c r="F3360" t="e">
        <f>INDEX(Stammdaten[D Mitte mit Rinde (mm)],MATCH(Tabelle8[[#This Row],[Rank]],Stammdaten[Rank Verteilung D Mitte mit Rinde],0))</f>
        <v>#N/A</v>
      </c>
      <c r="G3360" t="e">
        <f>VLOOKUP(Tabelle8[[#This Row],[Rank]],Stammdaten[[Rank Verteilung D Mitte mit Rinde]:[Verteilung D Mitte mit Rinde]],2,FALSE)</f>
        <v>#N/A</v>
      </c>
      <c r="L3360">
        <v>3351</v>
      </c>
      <c r="M3360" t="e">
        <f>INDEX(Stammdaten[Abholzigkeit (mm/lfm)],MATCH(Tabelle9[[#This Row],[Rank]],Stammdaten[Rank Verteilung Abholzigkeit],0))</f>
        <v>#N/A</v>
      </c>
      <c r="N3360" t="e">
        <f>VLOOKUP(Tabelle9[[#This Row],[Rank]],Stammdaten[[Rank Verteilung Abholzigkeit]:[Verteilung Abholzigkeit]],2,FALSE)</f>
        <v>#N/A</v>
      </c>
      <c r="S3360">
        <v>3351</v>
      </c>
      <c r="T3360" t="e">
        <f>INDEX(Stammdaten[Krümmung (mm/lfm)],MATCH(Tabelle10[[#This Row],[Rank]],Stammdaten[Rank Verteilung Krümmung],0))</f>
        <v>#N/A</v>
      </c>
      <c r="U3360" t="e">
        <f>VLOOKUP(Tabelle10[[#This Row],[Rank]],Stammdaten[[Rank Verteilung Krümmung]:[Verteilung Krümmung]],2,FALSE)</f>
        <v>#N/A</v>
      </c>
      <c r="Z3360">
        <v>3351</v>
      </c>
      <c r="AA3360" t="e">
        <f>INDEX(Stammdaten[Ovalität (']0,1'])],MATCH(Tabelle1014[[#This Row],[Rank]],Stammdaten[Rank Verteilung Ovalität],0))</f>
        <v>#N/A</v>
      </c>
      <c r="AB3360" t="e">
        <f>VLOOKUP(Tabelle1014[[#This Row],[Rank]],Stammdaten[[Rank Verteilung Ovalität]:[Verteilung Ovalität]],2,FALSE)</f>
        <v>#N/A</v>
      </c>
    </row>
    <row r="3361" spans="5:28" x14ac:dyDescent="0.35">
      <c r="E3361">
        <v>3352</v>
      </c>
      <c r="F3361" t="e">
        <f>INDEX(Stammdaten[D Mitte mit Rinde (mm)],MATCH(Tabelle8[[#This Row],[Rank]],Stammdaten[Rank Verteilung D Mitte mit Rinde],0))</f>
        <v>#N/A</v>
      </c>
      <c r="G3361" t="e">
        <f>VLOOKUP(Tabelle8[[#This Row],[Rank]],Stammdaten[[Rank Verteilung D Mitte mit Rinde]:[Verteilung D Mitte mit Rinde]],2,FALSE)</f>
        <v>#N/A</v>
      </c>
      <c r="L3361">
        <v>3352</v>
      </c>
      <c r="M3361" t="e">
        <f>INDEX(Stammdaten[Abholzigkeit (mm/lfm)],MATCH(Tabelle9[[#This Row],[Rank]],Stammdaten[Rank Verteilung Abholzigkeit],0))</f>
        <v>#N/A</v>
      </c>
      <c r="N3361" t="e">
        <f>VLOOKUP(Tabelle9[[#This Row],[Rank]],Stammdaten[[Rank Verteilung Abholzigkeit]:[Verteilung Abholzigkeit]],2,FALSE)</f>
        <v>#N/A</v>
      </c>
      <c r="S3361">
        <v>3352</v>
      </c>
      <c r="T3361" t="e">
        <f>INDEX(Stammdaten[Krümmung (mm/lfm)],MATCH(Tabelle10[[#This Row],[Rank]],Stammdaten[Rank Verteilung Krümmung],0))</f>
        <v>#N/A</v>
      </c>
      <c r="U3361" t="e">
        <f>VLOOKUP(Tabelle10[[#This Row],[Rank]],Stammdaten[[Rank Verteilung Krümmung]:[Verteilung Krümmung]],2,FALSE)</f>
        <v>#N/A</v>
      </c>
      <c r="Z3361">
        <v>3352</v>
      </c>
      <c r="AA3361" t="e">
        <f>INDEX(Stammdaten[Ovalität (']0,1'])],MATCH(Tabelle1014[[#This Row],[Rank]],Stammdaten[Rank Verteilung Ovalität],0))</f>
        <v>#N/A</v>
      </c>
      <c r="AB3361" t="e">
        <f>VLOOKUP(Tabelle1014[[#This Row],[Rank]],Stammdaten[[Rank Verteilung Ovalität]:[Verteilung Ovalität]],2,FALSE)</f>
        <v>#N/A</v>
      </c>
    </row>
    <row r="3362" spans="5:28" x14ac:dyDescent="0.35">
      <c r="E3362">
        <v>3353</v>
      </c>
      <c r="F3362" t="e">
        <f>INDEX(Stammdaten[D Mitte mit Rinde (mm)],MATCH(Tabelle8[[#This Row],[Rank]],Stammdaten[Rank Verteilung D Mitte mit Rinde],0))</f>
        <v>#N/A</v>
      </c>
      <c r="G3362" t="e">
        <f>VLOOKUP(Tabelle8[[#This Row],[Rank]],Stammdaten[[Rank Verteilung D Mitte mit Rinde]:[Verteilung D Mitte mit Rinde]],2,FALSE)</f>
        <v>#N/A</v>
      </c>
      <c r="L3362">
        <v>3353</v>
      </c>
      <c r="M3362" t="e">
        <f>INDEX(Stammdaten[Abholzigkeit (mm/lfm)],MATCH(Tabelle9[[#This Row],[Rank]],Stammdaten[Rank Verteilung Abholzigkeit],0))</f>
        <v>#N/A</v>
      </c>
      <c r="N3362" t="e">
        <f>VLOOKUP(Tabelle9[[#This Row],[Rank]],Stammdaten[[Rank Verteilung Abholzigkeit]:[Verteilung Abholzigkeit]],2,FALSE)</f>
        <v>#N/A</v>
      </c>
      <c r="S3362">
        <v>3353</v>
      </c>
      <c r="T3362" t="e">
        <f>INDEX(Stammdaten[Krümmung (mm/lfm)],MATCH(Tabelle10[[#This Row],[Rank]],Stammdaten[Rank Verteilung Krümmung],0))</f>
        <v>#N/A</v>
      </c>
      <c r="U3362" t="e">
        <f>VLOOKUP(Tabelle10[[#This Row],[Rank]],Stammdaten[[Rank Verteilung Krümmung]:[Verteilung Krümmung]],2,FALSE)</f>
        <v>#N/A</v>
      </c>
      <c r="Z3362">
        <v>3353</v>
      </c>
      <c r="AA3362" t="e">
        <f>INDEX(Stammdaten[Ovalität (']0,1'])],MATCH(Tabelle1014[[#This Row],[Rank]],Stammdaten[Rank Verteilung Ovalität],0))</f>
        <v>#N/A</v>
      </c>
      <c r="AB3362" t="e">
        <f>VLOOKUP(Tabelle1014[[#This Row],[Rank]],Stammdaten[[Rank Verteilung Ovalität]:[Verteilung Ovalität]],2,FALSE)</f>
        <v>#N/A</v>
      </c>
    </row>
    <row r="3363" spans="5:28" x14ac:dyDescent="0.35">
      <c r="E3363">
        <v>3354</v>
      </c>
      <c r="F3363" t="e">
        <f>INDEX(Stammdaten[D Mitte mit Rinde (mm)],MATCH(Tabelle8[[#This Row],[Rank]],Stammdaten[Rank Verteilung D Mitte mit Rinde],0))</f>
        <v>#N/A</v>
      </c>
      <c r="G3363" t="e">
        <f>VLOOKUP(Tabelle8[[#This Row],[Rank]],Stammdaten[[Rank Verteilung D Mitte mit Rinde]:[Verteilung D Mitte mit Rinde]],2,FALSE)</f>
        <v>#N/A</v>
      </c>
      <c r="L3363">
        <v>3354</v>
      </c>
      <c r="M3363" t="e">
        <f>INDEX(Stammdaten[Abholzigkeit (mm/lfm)],MATCH(Tabelle9[[#This Row],[Rank]],Stammdaten[Rank Verteilung Abholzigkeit],0))</f>
        <v>#N/A</v>
      </c>
      <c r="N3363" t="e">
        <f>VLOOKUP(Tabelle9[[#This Row],[Rank]],Stammdaten[[Rank Verteilung Abholzigkeit]:[Verteilung Abholzigkeit]],2,FALSE)</f>
        <v>#N/A</v>
      </c>
      <c r="S3363">
        <v>3354</v>
      </c>
      <c r="T3363" t="e">
        <f>INDEX(Stammdaten[Krümmung (mm/lfm)],MATCH(Tabelle10[[#This Row],[Rank]],Stammdaten[Rank Verteilung Krümmung],0))</f>
        <v>#N/A</v>
      </c>
      <c r="U3363" t="e">
        <f>VLOOKUP(Tabelle10[[#This Row],[Rank]],Stammdaten[[Rank Verteilung Krümmung]:[Verteilung Krümmung]],2,FALSE)</f>
        <v>#N/A</v>
      </c>
      <c r="Z3363">
        <v>3354</v>
      </c>
      <c r="AA3363" t="e">
        <f>INDEX(Stammdaten[Ovalität (']0,1'])],MATCH(Tabelle1014[[#This Row],[Rank]],Stammdaten[Rank Verteilung Ovalität],0))</f>
        <v>#N/A</v>
      </c>
      <c r="AB3363" t="e">
        <f>VLOOKUP(Tabelle1014[[#This Row],[Rank]],Stammdaten[[Rank Verteilung Ovalität]:[Verteilung Ovalität]],2,FALSE)</f>
        <v>#N/A</v>
      </c>
    </row>
    <row r="3364" spans="5:28" x14ac:dyDescent="0.35">
      <c r="E3364">
        <v>3355</v>
      </c>
      <c r="F3364" t="e">
        <f>INDEX(Stammdaten[D Mitte mit Rinde (mm)],MATCH(Tabelle8[[#This Row],[Rank]],Stammdaten[Rank Verteilung D Mitte mit Rinde],0))</f>
        <v>#N/A</v>
      </c>
      <c r="G3364" t="e">
        <f>VLOOKUP(Tabelle8[[#This Row],[Rank]],Stammdaten[[Rank Verteilung D Mitte mit Rinde]:[Verteilung D Mitte mit Rinde]],2,FALSE)</f>
        <v>#N/A</v>
      </c>
      <c r="L3364">
        <v>3355</v>
      </c>
      <c r="M3364" t="e">
        <f>INDEX(Stammdaten[Abholzigkeit (mm/lfm)],MATCH(Tabelle9[[#This Row],[Rank]],Stammdaten[Rank Verteilung Abholzigkeit],0))</f>
        <v>#N/A</v>
      </c>
      <c r="N3364" t="e">
        <f>VLOOKUP(Tabelle9[[#This Row],[Rank]],Stammdaten[[Rank Verteilung Abholzigkeit]:[Verteilung Abholzigkeit]],2,FALSE)</f>
        <v>#N/A</v>
      </c>
      <c r="S3364">
        <v>3355</v>
      </c>
      <c r="T3364" t="e">
        <f>INDEX(Stammdaten[Krümmung (mm/lfm)],MATCH(Tabelle10[[#This Row],[Rank]],Stammdaten[Rank Verteilung Krümmung],0))</f>
        <v>#N/A</v>
      </c>
      <c r="U3364" t="e">
        <f>VLOOKUP(Tabelle10[[#This Row],[Rank]],Stammdaten[[Rank Verteilung Krümmung]:[Verteilung Krümmung]],2,FALSE)</f>
        <v>#N/A</v>
      </c>
      <c r="Z3364">
        <v>3355</v>
      </c>
      <c r="AA3364" t="e">
        <f>INDEX(Stammdaten[Ovalität (']0,1'])],MATCH(Tabelle1014[[#This Row],[Rank]],Stammdaten[Rank Verteilung Ovalität],0))</f>
        <v>#N/A</v>
      </c>
      <c r="AB3364" t="e">
        <f>VLOOKUP(Tabelle1014[[#This Row],[Rank]],Stammdaten[[Rank Verteilung Ovalität]:[Verteilung Ovalität]],2,FALSE)</f>
        <v>#N/A</v>
      </c>
    </row>
    <row r="3365" spans="5:28" x14ac:dyDescent="0.35">
      <c r="E3365">
        <v>3356</v>
      </c>
      <c r="F3365" t="e">
        <f>INDEX(Stammdaten[D Mitte mit Rinde (mm)],MATCH(Tabelle8[[#This Row],[Rank]],Stammdaten[Rank Verteilung D Mitte mit Rinde],0))</f>
        <v>#N/A</v>
      </c>
      <c r="G3365" t="e">
        <f>VLOOKUP(Tabelle8[[#This Row],[Rank]],Stammdaten[[Rank Verteilung D Mitte mit Rinde]:[Verteilung D Mitte mit Rinde]],2,FALSE)</f>
        <v>#N/A</v>
      </c>
      <c r="L3365">
        <v>3356</v>
      </c>
      <c r="M3365" t="e">
        <f>INDEX(Stammdaten[Abholzigkeit (mm/lfm)],MATCH(Tabelle9[[#This Row],[Rank]],Stammdaten[Rank Verteilung Abholzigkeit],0))</f>
        <v>#N/A</v>
      </c>
      <c r="N3365" t="e">
        <f>VLOOKUP(Tabelle9[[#This Row],[Rank]],Stammdaten[[Rank Verteilung Abholzigkeit]:[Verteilung Abholzigkeit]],2,FALSE)</f>
        <v>#N/A</v>
      </c>
      <c r="S3365">
        <v>3356</v>
      </c>
      <c r="T3365" t="e">
        <f>INDEX(Stammdaten[Krümmung (mm/lfm)],MATCH(Tabelle10[[#This Row],[Rank]],Stammdaten[Rank Verteilung Krümmung],0))</f>
        <v>#N/A</v>
      </c>
      <c r="U3365" t="e">
        <f>VLOOKUP(Tabelle10[[#This Row],[Rank]],Stammdaten[[Rank Verteilung Krümmung]:[Verteilung Krümmung]],2,FALSE)</f>
        <v>#N/A</v>
      </c>
      <c r="Z3365">
        <v>3356</v>
      </c>
      <c r="AA3365" t="e">
        <f>INDEX(Stammdaten[Ovalität (']0,1'])],MATCH(Tabelle1014[[#This Row],[Rank]],Stammdaten[Rank Verteilung Ovalität],0))</f>
        <v>#N/A</v>
      </c>
      <c r="AB3365" t="e">
        <f>VLOOKUP(Tabelle1014[[#This Row],[Rank]],Stammdaten[[Rank Verteilung Ovalität]:[Verteilung Ovalität]],2,FALSE)</f>
        <v>#N/A</v>
      </c>
    </row>
    <row r="3366" spans="5:28" x14ac:dyDescent="0.35">
      <c r="E3366">
        <v>3357</v>
      </c>
      <c r="F3366" t="e">
        <f>INDEX(Stammdaten[D Mitte mit Rinde (mm)],MATCH(Tabelle8[[#This Row],[Rank]],Stammdaten[Rank Verteilung D Mitte mit Rinde],0))</f>
        <v>#N/A</v>
      </c>
      <c r="G3366" t="e">
        <f>VLOOKUP(Tabelle8[[#This Row],[Rank]],Stammdaten[[Rank Verteilung D Mitte mit Rinde]:[Verteilung D Mitte mit Rinde]],2,FALSE)</f>
        <v>#N/A</v>
      </c>
      <c r="L3366">
        <v>3357</v>
      </c>
      <c r="M3366" t="e">
        <f>INDEX(Stammdaten[Abholzigkeit (mm/lfm)],MATCH(Tabelle9[[#This Row],[Rank]],Stammdaten[Rank Verteilung Abholzigkeit],0))</f>
        <v>#N/A</v>
      </c>
      <c r="N3366" t="e">
        <f>VLOOKUP(Tabelle9[[#This Row],[Rank]],Stammdaten[[Rank Verteilung Abholzigkeit]:[Verteilung Abholzigkeit]],2,FALSE)</f>
        <v>#N/A</v>
      </c>
      <c r="S3366">
        <v>3357</v>
      </c>
      <c r="T3366" t="e">
        <f>INDEX(Stammdaten[Krümmung (mm/lfm)],MATCH(Tabelle10[[#This Row],[Rank]],Stammdaten[Rank Verteilung Krümmung],0))</f>
        <v>#N/A</v>
      </c>
      <c r="U3366" t="e">
        <f>VLOOKUP(Tabelle10[[#This Row],[Rank]],Stammdaten[[Rank Verteilung Krümmung]:[Verteilung Krümmung]],2,FALSE)</f>
        <v>#N/A</v>
      </c>
      <c r="Z3366">
        <v>3357</v>
      </c>
      <c r="AA3366" t="e">
        <f>INDEX(Stammdaten[Ovalität (']0,1'])],MATCH(Tabelle1014[[#This Row],[Rank]],Stammdaten[Rank Verteilung Ovalität],0))</f>
        <v>#N/A</v>
      </c>
      <c r="AB3366" t="e">
        <f>VLOOKUP(Tabelle1014[[#This Row],[Rank]],Stammdaten[[Rank Verteilung Ovalität]:[Verteilung Ovalität]],2,FALSE)</f>
        <v>#N/A</v>
      </c>
    </row>
    <row r="3367" spans="5:28" x14ac:dyDescent="0.35">
      <c r="E3367">
        <v>3358</v>
      </c>
      <c r="F3367" t="e">
        <f>INDEX(Stammdaten[D Mitte mit Rinde (mm)],MATCH(Tabelle8[[#This Row],[Rank]],Stammdaten[Rank Verteilung D Mitte mit Rinde],0))</f>
        <v>#N/A</v>
      </c>
      <c r="G3367" t="e">
        <f>VLOOKUP(Tabelle8[[#This Row],[Rank]],Stammdaten[[Rank Verteilung D Mitte mit Rinde]:[Verteilung D Mitte mit Rinde]],2,FALSE)</f>
        <v>#N/A</v>
      </c>
      <c r="L3367">
        <v>3358</v>
      </c>
      <c r="M3367" t="e">
        <f>INDEX(Stammdaten[Abholzigkeit (mm/lfm)],MATCH(Tabelle9[[#This Row],[Rank]],Stammdaten[Rank Verteilung Abholzigkeit],0))</f>
        <v>#N/A</v>
      </c>
      <c r="N3367" t="e">
        <f>VLOOKUP(Tabelle9[[#This Row],[Rank]],Stammdaten[[Rank Verteilung Abholzigkeit]:[Verteilung Abholzigkeit]],2,FALSE)</f>
        <v>#N/A</v>
      </c>
      <c r="S3367">
        <v>3358</v>
      </c>
      <c r="T3367" t="e">
        <f>INDEX(Stammdaten[Krümmung (mm/lfm)],MATCH(Tabelle10[[#This Row],[Rank]],Stammdaten[Rank Verteilung Krümmung],0))</f>
        <v>#N/A</v>
      </c>
      <c r="U3367" t="e">
        <f>VLOOKUP(Tabelle10[[#This Row],[Rank]],Stammdaten[[Rank Verteilung Krümmung]:[Verteilung Krümmung]],2,FALSE)</f>
        <v>#N/A</v>
      </c>
      <c r="Z3367">
        <v>3358</v>
      </c>
      <c r="AA3367" t="e">
        <f>INDEX(Stammdaten[Ovalität (']0,1'])],MATCH(Tabelle1014[[#This Row],[Rank]],Stammdaten[Rank Verteilung Ovalität],0))</f>
        <v>#N/A</v>
      </c>
      <c r="AB3367" t="e">
        <f>VLOOKUP(Tabelle1014[[#This Row],[Rank]],Stammdaten[[Rank Verteilung Ovalität]:[Verteilung Ovalität]],2,FALSE)</f>
        <v>#N/A</v>
      </c>
    </row>
    <row r="3368" spans="5:28" x14ac:dyDescent="0.35">
      <c r="E3368">
        <v>3359</v>
      </c>
      <c r="F3368" t="e">
        <f>INDEX(Stammdaten[D Mitte mit Rinde (mm)],MATCH(Tabelle8[[#This Row],[Rank]],Stammdaten[Rank Verteilung D Mitte mit Rinde],0))</f>
        <v>#N/A</v>
      </c>
      <c r="G3368" t="e">
        <f>VLOOKUP(Tabelle8[[#This Row],[Rank]],Stammdaten[[Rank Verteilung D Mitte mit Rinde]:[Verteilung D Mitte mit Rinde]],2,FALSE)</f>
        <v>#N/A</v>
      </c>
      <c r="L3368">
        <v>3359</v>
      </c>
      <c r="M3368" t="e">
        <f>INDEX(Stammdaten[Abholzigkeit (mm/lfm)],MATCH(Tabelle9[[#This Row],[Rank]],Stammdaten[Rank Verteilung Abholzigkeit],0))</f>
        <v>#N/A</v>
      </c>
      <c r="N3368" t="e">
        <f>VLOOKUP(Tabelle9[[#This Row],[Rank]],Stammdaten[[Rank Verteilung Abholzigkeit]:[Verteilung Abholzigkeit]],2,FALSE)</f>
        <v>#N/A</v>
      </c>
      <c r="S3368">
        <v>3359</v>
      </c>
      <c r="T3368" t="e">
        <f>INDEX(Stammdaten[Krümmung (mm/lfm)],MATCH(Tabelle10[[#This Row],[Rank]],Stammdaten[Rank Verteilung Krümmung],0))</f>
        <v>#N/A</v>
      </c>
      <c r="U3368" t="e">
        <f>VLOOKUP(Tabelle10[[#This Row],[Rank]],Stammdaten[[Rank Verteilung Krümmung]:[Verteilung Krümmung]],2,FALSE)</f>
        <v>#N/A</v>
      </c>
      <c r="Z3368">
        <v>3359</v>
      </c>
      <c r="AA3368" t="e">
        <f>INDEX(Stammdaten[Ovalität (']0,1'])],MATCH(Tabelle1014[[#This Row],[Rank]],Stammdaten[Rank Verteilung Ovalität],0))</f>
        <v>#N/A</v>
      </c>
      <c r="AB3368" t="e">
        <f>VLOOKUP(Tabelle1014[[#This Row],[Rank]],Stammdaten[[Rank Verteilung Ovalität]:[Verteilung Ovalität]],2,FALSE)</f>
        <v>#N/A</v>
      </c>
    </row>
    <row r="3369" spans="5:28" x14ac:dyDescent="0.35">
      <c r="E3369">
        <v>3360</v>
      </c>
      <c r="F3369" t="e">
        <f>INDEX(Stammdaten[D Mitte mit Rinde (mm)],MATCH(Tabelle8[[#This Row],[Rank]],Stammdaten[Rank Verteilung D Mitte mit Rinde],0))</f>
        <v>#N/A</v>
      </c>
      <c r="G3369" t="e">
        <f>VLOOKUP(Tabelle8[[#This Row],[Rank]],Stammdaten[[Rank Verteilung D Mitte mit Rinde]:[Verteilung D Mitte mit Rinde]],2,FALSE)</f>
        <v>#N/A</v>
      </c>
      <c r="L3369">
        <v>3360</v>
      </c>
      <c r="M3369" t="e">
        <f>INDEX(Stammdaten[Abholzigkeit (mm/lfm)],MATCH(Tabelle9[[#This Row],[Rank]],Stammdaten[Rank Verteilung Abholzigkeit],0))</f>
        <v>#N/A</v>
      </c>
      <c r="N3369" t="e">
        <f>VLOOKUP(Tabelle9[[#This Row],[Rank]],Stammdaten[[Rank Verteilung Abholzigkeit]:[Verteilung Abholzigkeit]],2,FALSE)</f>
        <v>#N/A</v>
      </c>
      <c r="S3369">
        <v>3360</v>
      </c>
      <c r="T3369" t="e">
        <f>INDEX(Stammdaten[Krümmung (mm/lfm)],MATCH(Tabelle10[[#This Row],[Rank]],Stammdaten[Rank Verteilung Krümmung],0))</f>
        <v>#N/A</v>
      </c>
      <c r="U3369" t="e">
        <f>VLOOKUP(Tabelle10[[#This Row],[Rank]],Stammdaten[[Rank Verteilung Krümmung]:[Verteilung Krümmung]],2,FALSE)</f>
        <v>#N/A</v>
      </c>
      <c r="Z3369">
        <v>3360</v>
      </c>
      <c r="AA3369" t="e">
        <f>INDEX(Stammdaten[Ovalität (']0,1'])],MATCH(Tabelle1014[[#This Row],[Rank]],Stammdaten[Rank Verteilung Ovalität],0))</f>
        <v>#N/A</v>
      </c>
      <c r="AB3369" t="e">
        <f>VLOOKUP(Tabelle1014[[#This Row],[Rank]],Stammdaten[[Rank Verteilung Ovalität]:[Verteilung Ovalität]],2,FALSE)</f>
        <v>#N/A</v>
      </c>
    </row>
    <row r="3370" spans="5:28" x14ac:dyDescent="0.35">
      <c r="E3370">
        <v>3361</v>
      </c>
      <c r="F3370" t="e">
        <f>INDEX(Stammdaten[D Mitte mit Rinde (mm)],MATCH(Tabelle8[[#This Row],[Rank]],Stammdaten[Rank Verteilung D Mitte mit Rinde],0))</f>
        <v>#N/A</v>
      </c>
      <c r="G3370" t="e">
        <f>VLOOKUP(Tabelle8[[#This Row],[Rank]],Stammdaten[[Rank Verteilung D Mitte mit Rinde]:[Verteilung D Mitte mit Rinde]],2,FALSE)</f>
        <v>#N/A</v>
      </c>
      <c r="L3370">
        <v>3361</v>
      </c>
      <c r="M3370" t="e">
        <f>INDEX(Stammdaten[Abholzigkeit (mm/lfm)],MATCH(Tabelle9[[#This Row],[Rank]],Stammdaten[Rank Verteilung Abholzigkeit],0))</f>
        <v>#N/A</v>
      </c>
      <c r="N3370" t="e">
        <f>VLOOKUP(Tabelle9[[#This Row],[Rank]],Stammdaten[[Rank Verteilung Abholzigkeit]:[Verteilung Abholzigkeit]],2,FALSE)</f>
        <v>#N/A</v>
      </c>
      <c r="S3370">
        <v>3361</v>
      </c>
      <c r="T3370" t="e">
        <f>INDEX(Stammdaten[Krümmung (mm/lfm)],MATCH(Tabelle10[[#This Row],[Rank]],Stammdaten[Rank Verteilung Krümmung],0))</f>
        <v>#N/A</v>
      </c>
      <c r="U3370" t="e">
        <f>VLOOKUP(Tabelle10[[#This Row],[Rank]],Stammdaten[[Rank Verteilung Krümmung]:[Verteilung Krümmung]],2,FALSE)</f>
        <v>#N/A</v>
      </c>
      <c r="Z3370">
        <v>3361</v>
      </c>
      <c r="AA3370" t="e">
        <f>INDEX(Stammdaten[Ovalität (']0,1'])],MATCH(Tabelle1014[[#This Row],[Rank]],Stammdaten[Rank Verteilung Ovalität],0))</f>
        <v>#N/A</v>
      </c>
      <c r="AB3370" t="e">
        <f>VLOOKUP(Tabelle1014[[#This Row],[Rank]],Stammdaten[[Rank Verteilung Ovalität]:[Verteilung Ovalität]],2,FALSE)</f>
        <v>#N/A</v>
      </c>
    </row>
    <row r="3371" spans="5:28" x14ac:dyDescent="0.35">
      <c r="E3371">
        <v>3362</v>
      </c>
      <c r="F3371" t="e">
        <f>INDEX(Stammdaten[D Mitte mit Rinde (mm)],MATCH(Tabelle8[[#This Row],[Rank]],Stammdaten[Rank Verteilung D Mitte mit Rinde],0))</f>
        <v>#N/A</v>
      </c>
      <c r="G3371" t="e">
        <f>VLOOKUP(Tabelle8[[#This Row],[Rank]],Stammdaten[[Rank Verteilung D Mitte mit Rinde]:[Verteilung D Mitte mit Rinde]],2,FALSE)</f>
        <v>#N/A</v>
      </c>
      <c r="L3371">
        <v>3362</v>
      </c>
      <c r="M3371" t="e">
        <f>INDEX(Stammdaten[Abholzigkeit (mm/lfm)],MATCH(Tabelle9[[#This Row],[Rank]],Stammdaten[Rank Verteilung Abholzigkeit],0))</f>
        <v>#N/A</v>
      </c>
      <c r="N3371" t="e">
        <f>VLOOKUP(Tabelle9[[#This Row],[Rank]],Stammdaten[[Rank Verteilung Abholzigkeit]:[Verteilung Abholzigkeit]],2,FALSE)</f>
        <v>#N/A</v>
      </c>
      <c r="S3371">
        <v>3362</v>
      </c>
      <c r="T3371" t="e">
        <f>INDEX(Stammdaten[Krümmung (mm/lfm)],MATCH(Tabelle10[[#This Row],[Rank]],Stammdaten[Rank Verteilung Krümmung],0))</f>
        <v>#N/A</v>
      </c>
      <c r="U3371" t="e">
        <f>VLOOKUP(Tabelle10[[#This Row],[Rank]],Stammdaten[[Rank Verteilung Krümmung]:[Verteilung Krümmung]],2,FALSE)</f>
        <v>#N/A</v>
      </c>
      <c r="Z3371">
        <v>3362</v>
      </c>
      <c r="AA3371" t="e">
        <f>INDEX(Stammdaten[Ovalität (']0,1'])],MATCH(Tabelle1014[[#This Row],[Rank]],Stammdaten[Rank Verteilung Ovalität],0))</f>
        <v>#N/A</v>
      </c>
      <c r="AB3371" t="e">
        <f>VLOOKUP(Tabelle1014[[#This Row],[Rank]],Stammdaten[[Rank Verteilung Ovalität]:[Verteilung Ovalität]],2,FALSE)</f>
        <v>#N/A</v>
      </c>
    </row>
    <row r="3372" spans="5:28" x14ac:dyDescent="0.35">
      <c r="E3372">
        <v>3363</v>
      </c>
      <c r="F3372" t="e">
        <f>INDEX(Stammdaten[D Mitte mit Rinde (mm)],MATCH(Tabelle8[[#This Row],[Rank]],Stammdaten[Rank Verteilung D Mitte mit Rinde],0))</f>
        <v>#N/A</v>
      </c>
      <c r="G3372" t="e">
        <f>VLOOKUP(Tabelle8[[#This Row],[Rank]],Stammdaten[[Rank Verteilung D Mitte mit Rinde]:[Verteilung D Mitte mit Rinde]],2,FALSE)</f>
        <v>#N/A</v>
      </c>
      <c r="L3372">
        <v>3363</v>
      </c>
      <c r="M3372" t="e">
        <f>INDEX(Stammdaten[Abholzigkeit (mm/lfm)],MATCH(Tabelle9[[#This Row],[Rank]],Stammdaten[Rank Verteilung Abholzigkeit],0))</f>
        <v>#N/A</v>
      </c>
      <c r="N3372" t="e">
        <f>VLOOKUP(Tabelle9[[#This Row],[Rank]],Stammdaten[[Rank Verteilung Abholzigkeit]:[Verteilung Abholzigkeit]],2,FALSE)</f>
        <v>#N/A</v>
      </c>
      <c r="S3372">
        <v>3363</v>
      </c>
      <c r="T3372" t="e">
        <f>INDEX(Stammdaten[Krümmung (mm/lfm)],MATCH(Tabelle10[[#This Row],[Rank]],Stammdaten[Rank Verteilung Krümmung],0))</f>
        <v>#N/A</v>
      </c>
      <c r="U3372" t="e">
        <f>VLOOKUP(Tabelle10[[#This Row],[Rank]],Stammdaten[[Rank Verteilung Krümmung]:[Verteilung Krümmung]],2,FALSE)</f>
        <v>#N/A</v>
      </c>
      <c r="Z3372">
        <v>3363</v>
      </c>
      <c r="AA3372" t="e">
        <f>INDEX(Stammdaten[Ovalität (']0,1'])],MATCH(Tabelle1014[[#This Row],[Rank]],Stammdaten[Rank Verteilung Ovalität],0))</f>
        <v>#N/A</v>
      </c>
      <c r="AB3372" t="e">
        <f>VLOOKUP(Tabelle1014[[#This Row],[Rank]],Stammdaten[[Rank Verteilung Ovalität]:[Verteilung Ovalität]],2,FALSE)</f>
        <v>#N/A</v>
      </c>
    </row>
    <row r="3373" spans="5:28" x14ac:dyDescent="0.35">
      <c r="E3373">
        <v>3364</v>
      </c>
      <c r="F3373" t="e">
        <f>INDEX(Stammdaten[D Mitte mit Rinde (mm)],MATCH(Tabelle8[[#This Row],[Rank]],Stammdaten[Rank Verteilung D Mitte mit Rinde],0))</f>
        <v>#N/A</v>
      </c>
      <c r="G3373" t="e">
        <f>VLOOKUP(Tabelle8[[#This Row],[Rank]],Stammdaten[[Rank Verteilung D Mitte mit Rinde]:[Verteilung D Mitte mit Rinde]],2,FALSE)</f>
        <v>#N/A</v>
      </c>
      <c r="L3373">
        <v>3364</v>
      </c>
      <c r="M3373" t="e">
        <f>INDEX(Stammdaten[Abholzigkeit (mm/lfm)],MATCH(Tabelle9[[#This Row],[Rank]],Stammdaten[Rank Verteilung Abholzigkeit],0))</f>
        <v>#N/A</v>
      </c>
      <c r="N3373" t="e">
        <f>VLOOKUP(Tabelle9[[#This Row],[Rank]],Stammdaten[[Rank Verteilung Abholzigkeit]:[Verteilung Abholzigkeit]],2,FALSE)</f>
        <v>#N/A</v>
      </c>
      <c r="S3373">
        <v>3364</v>
      </c>
      <c r="T3373" t="e">
        <f>INDEX(Stammdaten[Krümmung (mm/lfm)],MATCH(Tabelle10[[#This Row],[Rank]],Stammdaten[Rank Verteilung Krümmung],0))</f>
        <v>#N/A</v>
      </c>
      <c r="U3373" t="e">
        <f>VLOOKUP(Tabelle10[[#This Row],[Rank]],Stammdaten[[Rank Verteilung Krümmung]:[Verteilung Krümmung]],2,FALSE)</f>
        <v>#N/A</v>
      </c>
      <c r="Z3373">
        <v>3364</v>
      </c>
      <c r="AA3373" t="e">
        <f>INDEX(Stammdaten[Ovalität (']0,1'])],MATCH(Tabelle1014[[#This Row],[Rank]],Stammdaten[Rank Verteilung Ovalität],0))</f>
        <v>#N/A</v>
      </c>
      <c r="AB3373" t="e">
        <f>VLOOKUP(Tabelle1014[[#This Row],[Rank]],Stammdaten[[Rank Verteilung Ovalität]:[Verteilung Ovalität]],2,FALSE)</f>
        <v>#N/A</v>
      </c>
    </row>
    <row r="3374" spans="5:28" x14ac:dyDescent="0.35">
      <c r="E3374">
        <v>3365</v>
      </c>
      <c r="F3374" t="e">
        <f>INDEX(Stammdaten[D Mitte mit Rinde (mm)],MATCH(Tabelle8[[#This Row],[Rank]],Stammdaten[Rank Verteilung D Mitte mit Rinde],0))</f>
        <v>#N/A</v>
      </c>
      <c r="G3374" t="e">
        <f>VLOOKUP(Tabelle8[[#This Row],[Rank]],Stammdaten[[Rank Verteilung D Mitte mit Rinde]:[Verteilung D Mitte mit Rinde]],2,FALSE)</f>
        <v>#N/A</v>
      </c>
      <c r="L3374">
        <v>3365</v>
      </c>
      <c r="M3374" t="e">
        <f>INDEX(Stammdaten[Abholzigkeit (mm/lfm)],MATCH(Tabelle9[[#This Row],[Rank]],Stammdaten[Rank Verteilung Abholzigkeit],0))</f>
        <v>#N/A</v>
      </c>
      <c r="N3374" t="e">
        <f>VLOOKUP(Tabelle9[[#This Row],[Rank]],Stammdaten[[Rank Verteilung Abholzigkeit]:[Verteilung Abholzigkeit]],2,FALSE)</f>
        <v>#N/A</v>
      </c>
      <c r="S3374">
        <v>3365</v>
      </c>
      <c r="T3374" t="e">
        <f>INDEX(Stammdaten[Krümmung (mm/lfm)],MATCH(Tabelle10[[#This Row],[Rank]],Stammdaten[Rank Verteilung Krümmung],0))</f>
        <v>#N/A</v>
      </c>
      <c r="U3374" t="e">
        <f>VLOOKUP(Tabelle10[[#This Row],[Rank]],Stammdaten[[Rank Verteilung Krümmung]:[Verteilung Krümmung]],2,FALSE)</f>
        <v>#N/A</v>
      </c>
      <c r="Z3374">
        <v>3365</v>
      </c>
      <c r="AA3374" t="e">
        <f>INDEX(Stammdaten[Ovalität (']0,1'])],MATCH(Tabelle1014[[#This Row],[Rank]],Stammdaten[Rank Verteilung Ovalität],0))</f>
        <v>#N/A</v>
      </c>
      <c r="AB3374" t="e">
        <f>VLOOKUP(Tabelle1014[[#This Row],[Rank]],Stammdaten[[Rank Verteilung Ovalität]:[Verteilung Ovalität]],2,FALSE)</f>
        <v>#N/A</v>
      </c>
    </row>
    <row r="3375" spans="5:28" x14ac:dyDescent="0.35">
      <c r="E3375">
        <v>3366</v>
      </c>
      <c r="F3375" t="e">
        <f>INDEX(Stammdaten[D Mitte mit Rinde (mm)],MATCH(Tabelle8[[#This Row],[Rank]],Stammdaten[Rank Verteilung D Mitte mit Rinde],0))</f>
        <v>#N/A</v>
      </c>
      <c r="G3375" t="e">
        <f>VLOOKUP(Tabelle8[[#This Row],[Rank]],Stammdaten[[Rank Verteilung D Mitte mit Rinde]:[Verteilung D Mitte mit Rinde]],2,FALSE)</f>
        <v>#N/A</v>
      </c>
      <c r="L3375">
        <v>3366</v>
      </c>
      <c r="M3375" t="e">
        <f>INDEX(Stammdaten[Abholzigkeit (mm/lfm)],MATCH(Tabelle9[[#This Row],[Rank]],Stammdaten[Rank Verteilung Abholzigkeit],0))</f>
        <v>#N/A</v>
      </c>
      <c r="N3375" t="e">
        <f>VLOOKUP(Tabelle9[[#This Row],[Rank]],Stammdaten[[Rank Verteilung Abholzigkeit]:[Verteilung Abholzigkeit]],2,FALSE)</f>
        <v>#N/A</v>
      </c>
      <c r="S3375">
        <v>3366</v>
      </c>
      <c r="T3375" t="e">
        <f>INDEX(Stammdaten[Krümmung (mm/lfm)],MATCH(Tabelle10[[#This Row],[Rank]],Stammdaten[Rank Verteilung Krümmung],0))</f>
        <v>#N/A</v>
      </c>
      <c r="U3375" t="e">
        <f>VLOOKUP(Tabelle10[[#This Row],[Rank]],Stammdaten[[Rank Verteilung Krümmung]:[Verteilung Krümmung]],2,FALSE)</f>
        <v>#N/A</v>
      </c>
      <c r="Z3375">
        <v>3366</v>
      </c>
      <c r="AA3375" t="e">
        <f>INDEX(Stammdaten[Ovalität (']0,1'])],MATCH(Tabelle1014[[#This Row],[Rank]],Stammdaten[Rank Verteilung Ovalität],0))</f>
        <v>#N/A</v>
      </c>
      <c r="AB3375" t="e">
        <f>VLOOKUP(Tabelle1014[[#This Row],[Rank]],Stammdaten[[Rank Verteilung Ovalität]:[Verteilung Ovalität]],2,FALSE)</f>
        <v>#N/A</v>
      </c>
    </row>
    <row r="3376" spans="5:28" x14ac:dyDescent="0.35">
      <c r="E3376">
        <v>3367</v>
      </c>
      <c r="F3376" t="e">
        <f>INDEX(Stammdaten[D Mitte mit Rinde (mm)],MATCH(Tabelle8[[#This Row],[Rank]],Stammdaten[Rank Verteilung D Mitte mit Rinde],0))</f>
        <v>#N/A</v>
      </c>
      <c r="G3376" t="e">
        <f>VLOOKUP(Tabelle8[[#This Row],[Rank]],Stammdaten[[Rank Verteilung D Mitte mit Rinde]:[Verteilung D Mitte mit Rinde]],2,FALSE)</f>
        <v>#N/A</v>
      </c>
      <c r="L3376">
        <v>3367</v>
      </c>
      <c r="M3376" t="e">
        <f>INDEX(Stammdaten[Abholzigkeit (mm/lfm)],MATCH(Tabelle9[[#This Row],[Rank]],Stammdaten[Rank Verteilung Abholzigkeit],0))</f>
        <v>#N/A</v>
      </c>
      <c r="N3376" t="e">
        <f>VLOOKUP(Tabelle9[[#This Row],[Rank]],Stammdaten[[Rank Verteilung Abholzigkeit]:[Verteilung Abholzigkeit]],2,FALSE)</f>
        <v>#N/A</v>
      </c>
      <c r="S3376">
        <v>3367</v>
      </c>
      <c r="T3376" t="e">
        <f>INDEX(Stammdaten[Krümmung (mm/lfm)],MATCH(Tabelle10[[#This Row],[Rank]],Stammdaten[Rank Verteilung Krümmung],0))</f>
        <v>#N/A</v>
      </c>
      <c r="U3376" t="e">
        <f>VLOOKUP(Tabelle10[[#This Row],[Rank]],Stammdaten[[Rank Verteilung Krümmung]:[Verteilung Krümmung]],2,FALSE)</f>
        <v>#N/A</v>
      </c>
      <c r="Z3376">
        <v>3367</v>
      </c>
      <c r="AA3376" t="e">
        <f>INDEX(Stammdaten[Ovalität (']0,1'])],MATCH(Tabelle1014[[#This Row],[Rank]],Stammdaten[Rank Verteilung Ovalität],0))</f>
        <v>#N/A</v>
      </c>
      <c r="AB3376" t="e">
        <f>VLOOKUP(Tabelle1014[[#This Row],[Rank]],Stammdaten[[Rank Verteilung Ovalität]:[Verteilung Ovalität]],2,FALSE)</f>
        <v>#N/A</v>
      </c>
    </row>
    <row r="3377" spans="5:28" x14ac:dyDescent="0.35">
      <c r="E3377">
        <v>3368</v>
      </c>
      <c r="F3377" t="e">
        <f>INDEX(Stammdaten[D Mitte mit Rinde (mm)],MATCH(Tabelle8[[#This Row],[Rank]],Stammdaten[Rank Verteilung D Mitte mit Rinde],0))</f>
        <v>#N/A</v>
      </c>
      <c r="G3377" t="e">
        <f>VLOOKUP(Tabelle8[[#This Row],[Rank]],Stammdaten[[Rank Verteilung D Mitte mit Rinde]:[Verteilung D Mitte mit Rinde]],2,FALSE)</f>
        <v>#N/A</v>
      </c>
      <c r="L3377">
        <v>3368</v>
      </c>
      <c r="M3377" t="e">
        <f>INDEX(Stammdaten[Abholzigkeit (mm/lfm)],MATCH(Tabelle9[[#This Row],[Rank]],Stammdaten[Rank Verteilung Abholzigkeit],0))</f>
        <v>#N/A</v>
      </c>
      <c r="N3377" t="e">
        <f>VLOOKUP(Tabelle9[[#This Row],[Rank]],Stammdaten[[Rank Verteilung Abholzigkeit]:[Verteilung Abholzigkeit]],2,FALSE)</f>
        <v>#N/A</v>
      </c>
      <c r="S3377">
        <v>3368</v>
      </c>
      <c r="T3377" t="e">
        <f>INDEX(Stammdaten[Krümmung (mm/lfm)],MATCH(Tabelle10[[#This Row],[Rank]],Stammdaten[Rank Verteilung Krümmung],0))</f>
        <v>#N/A</v>
      </c>
      <c r="U3377" t="e">
        <f>VLOOKUP(Tabelle10[[#This Row],[Rank]],Stammdaten[[Rank Verteilung Krümmung]:[Verteilung Krümmung]],2,FALSE)</f>
        <v>#N/A</v>
      </c>
      <c r="Z3377">
        <v>3368</v>
      </c>
      <c r="AA3377" t="e">
        <f>INDEX(Stammdaten[Ovalität (']0,1'])],MATCH(Tabelle1014[[#This Row],[Rank]],Stammdaten[Rank Verteilung Ovalität],0))</f>
        <v>#N/A</v>
      </c>
      <c r="AB3377" t="e">
        <f>VLOOKUP(Tabelle1014[[#This Row],[Rank]],Stammdaten[[Rank Verteilung Ovalität]:[Verteilung Ovalität]],2,FALSE)</f>
        <v>#N/A</v>
      </c>
    </row>
    <row r="3378" spans="5:28" x14ac:dyDescent="0.35">
      <c r="E3378">
        <v>3369</v>
      </c>
      <c r="F3378" t="e">
        <f>INDEX(Stammdaten[D Mitte mit Rinde (mm)],MATCH(Tabelle8[[#This Row],[Rank]],Stammdaten[Rank Verteilung D Mitte mit Rinde],0))</f>
        <v>#N/A</v>
      </c>
      <c r="G3378" t="e">
        <f>VLOOKUP(Tabelle8[[#This Row],[Rank]],Stammdaten[[Rank Verteilung D Mitte mit Rinde]:[Verteilung D Mitte mit Rinde]],2,FALSE)</f>
        <v>#N/A</v>
      </c>
      <c r="L3378">
        <v>3369</v>
      </c>
      <c r="M3378" t="e">
        <f>INDEX(Stammdaten[Abholzigkeit (mm/lfm)],MATCH(Tabelle9[[#This Row],[Rank]],Stammdaten[Rank Verteilung Abholzigkeit],0))</f>
        <v>#N/A</v>
      </c>
      <c r="N3378" t="e">
        <f>VLOOKUP(Tabelle9[[#This Row],[Rank]],Stammdaten[[Rank Verteilung Abholzigkeit]:[Verteilung Abholzigkeit]],2,FALSE)</f>
        <v>#N/A</v>
      </c>
      <c r="S3378">
        <v>3369</v>
      </c>
      <c r="T3378" t="e">
        <f>INDEX(Stammdaten[Krümmung (mm/lfm)],MATCH(Tabelle10[[#This Row],[Rank]],Stammdaten[Rank Verteilung Krümmung],0))</f>
        <v>#N/A</v>
      </c>
      <c r="U3378" t="e">
        <f>VLOOKUP(Tabelle10[[#This Row],[Rank]],Stammdaten[[Rank Verteilung Krümmung]:[Verteilung Krümmung]],2,FALSE)</f>
        <v>#N/A</v>
      </c>
      <c r="Z3378">
        <v>3369</v>
      </c>
      <c r="AA3378" t="e">
        <f>INDEX(Stammdaten[Ovalität (']0,1'])],MATCH(Tabelle1014[[#This Row],[Rank]],Stammdaten[Rank Verteilung Ovalität],0))</f>
        <v>#N/A</v>
      </c>
      <c r="AB3378" t="e">
        <f>VLOOKUP(Tabelle1014[[#This Row],[Rank]],Stammdaten[[Rank Verteilung Ovalität]:[Verteilung Ovalität]],2,FALSE)</f>
        <v>#N/A</v>
      </c>
    </row>
    <row r="3379" spans="5:28" x14ac:dyDescent="0.35">
      <c r="E3379">
        <v>3370</v>
      </c>
      <c r="F3379" t="e">
        <f>INDEX(Stammdaten[D Mitte mit Rinde (mm)],MATCH(Tabelle8[[#This Row],[Rank]],Stammdaten[Rank Verteilung D Mitte mit Rinde],0))</f>
        <v>#N/A</v>
      </c>
      <c r="G3379" t="e">
        <f>VLOOKUP(Tabelle8[[#This Row],[Rank]],Stammdaten[[Rank Verteilung D Mitte mit Rinde]:[Verteilung D Mitte mit Rinde]],2,FALSE)</f>
        <v>#N/A</v>
      </c>
      <c r="L3379">
        <v>3370</v>
      </c>
      <c r="M3379" t="e">
        <f>INDEX(Stammdaten[Abholzigkeit (mm/lfm)],MATCH(Tabelle9[[#This Row],[Rank]],Stammdaten[Rank Verteilung Abholzigkeit],0))</f>
        <v>#N/A</v>
      </c>
      <c r="N3379" t="e">
        <f>VLOOKUP(Tabelle9[[#This Row],[Rank]],Stammdaten[[Rank Verteilung Abholzigkeit]:[Verteilung Abholzigkeit]],2,FALSE)</f>
        <v>#N/A</v>
      </c>
      <c r="S3379">
        <v>3370</v>
      </c>
      <c r="T3379" t="e">
        <f>INDEX(Stammdaten[Krümmung (mm/lfm)],MATCH(Tabelle10[[#This Row],[Rank]],Stammdaten[Rank Verteilung Krümmung],0))</f>
        <v>#N/A</v>
      </c>
      <c r="U3379" t="e">
        <f>VLOOKUP(Tabelle10[[#This Row],[Rank]],Stammdaten[[Rank Verteilung Krümmung]:[Verteilung Krümmung]],2,FALSE)</f>
        <v>#N/A</v>
      </c>
      <c r="Z3379">
        <v>3370</v>
      </c>
      <c r="AA3379" t="e">
        <f>INDEX(Stammdaten[Ovalität (']0,1'])],MATCH(Tabelle1014[[#This Row],[Rank]],Stammdaten[Rank Verteilung Ovalität],0))</f>
        <v>#N/A</v>
      </c>
      <c r="AB3379" t="e">
        <f>VLOOKUP(Tabelle1014[[#This Row],[Rank]],Stammdaten[[Rank Verteilung Ovalität]:[Verteilung Ovalität]],2,FALSE)</f>
        <v>#N/A</v>
      </c>
    </row>
    <row r="3380" spans="5:28" x14ac:dyDescent="0.35">
      <c r="E3380">
        <v>3371</v>
      </c>
      <c r="F3380" t="e">
        <f>INDEX(Stammdaten[D Mitte mit Rinde (mm)],MATCH(Tabelle8[[#This Row],[Rank]],Stammdaten[Rank Verteilung D Mitte mit Rinde],0))</f>
        <v>#N/A</v>
      </c>
      <c r="G3380" t="e">
        <f>VLOOKUP(Tabelle8[[#This Row],[Rank]],Stammdaten[[Rank Verteilung D Mitte mit Rinde]:[Verteilung D Mitte mit Rinde]],2,FALSE)</f>
        <v>#N/A</v>
      </c>
      <c r="L3380">
        <v>3371</v>
      </c>
      <c r="M3380" t="e">
        <f>INDEX(Stammdaten[Abholzigkeit (mm/lfm)],MATCH(Tabelle9[[#This Row],[Rank]],Stammdaten[Rank Verteilung Abholzigkeit],0))</f>
        <v>#N/A</v>
      </c>
      <c r="N3380" t="e">
        <f>VLOOKUP(Tabelle9[[#This Row],[Rank]],Stammdaten[[Rank Verteilung Abholzigkeit]:[Verteilung Abholzigkeit]],2,FALSE)</f>
        <v>#N/A</v>
      </c>
      <c r="S3380">
        <v>3371</v>
      </c>
      <c r="T3380" t="e">
        <f>INDEX(Stammdaten[Krümmung (mm/lfm)],MATCH(Tabelle10[[#This Row],[Rank]],Stammdaten[Rank Verteilung Krümmung],0))</f>
        <v>#N/A</v>
      </c>
      <c r="U3380" t="e">
        <f>VLOOKUP(Tabelle10[[#This Row],[Rank]],Stammdaten[[Rank Verteilung Krümmung]:[Verteilung Krümmung]],2,FALSE)</f>
        <v>#N/A</v>
      </c>
      <c r="Z3380">
        <v>3371</v>
      </c>
      <c r="AA3380" t="e">
        <f>INDEX(Stammdaten[Ovalität (']0,1'])],MATCH(Tabelle1014[[#This Row],[Rank]],Stammdaten[Rank Verteilung Ovalität],0))</f>
        <v>#N/A</v>
      </c>
      <c r="AB3380" t="e">
        <f>VLOOKUP(Tabelle1014[[#This Row],[Rank]],Stammdaten[[Rank Verteilung Ovalität]:[Verteilung Ovalität]],2,FALSE)</f>
        <v>#N/A</v>
      </c>
    </row>
    <row r="3381" spans="5:28" x14ac:dyDescent="0.35">
      <c r="E3381">
        <v>3372</v>
      </c>
      <c r="F3381" t="e">
        <f>INDEX(Stammdaten[D Mitte mit Rinde (mm)],MATCH(Tabelle8[[#This Row],[Rank]],Stammdaten[Rank Verteilung D Mitte mit Rinde],0))</f>
        <v>#N/A</v>
      </c>
      <c r="G3381" t="e">
        <f>VLOOKUP(Tabelle8[[#This Row],[Rank]],Stammdaten[[Rank Verteilung D Mitte mit Rinde]:[Verteilung D Mitte mit Rinde]],2,FALSE)</f>
        <v>#N/A</v>
      </c>
      <c r="L3381">
        <v>3372</v>
      </c>
      <c r="M3381" t="e">
        <f>INDEX(Stammdaten[Abholzigkeit (mm/lfm)],MATCH(Tabelle9[[#This Row],[Rank]],Stammdaten[Rank Verteilung Abholzigkeit],0))</f>
        <v>#N/A</v>
      </c>
      <c r="N3381" t="e">
        <f>VLOOKUP(Tabelle9[[#This Row],[Rank]],Stammdaten[[Rank Verteilung Abholzigkeit]:[Verteilung Abholzigkeit]],2,FALSE)</f>
        <v>#N/A</v>
      </c>
      <c r="S3381">
        <v>3372</v>
      </c>
      <c r="T3381" t="e">
        <f>INDEX(Stammdaten[Krümmung (mm/lfm)],MATCH(Tabelle10[[#This Row],[Rank]],Stammdaten[Rank Verteilung Krümmung],0))</f>
        <v>#N/A</v>
      </c>
      <c r="U3381" t="e">
        <f>VLOOKUP(Tabelle10[[#This Row],[Rank]],Stammdaten[[Rank Verteilung Krümmung]:[Verteilung Krümmung]],2,FALSE)</f>
        <v>#N/A</v>
      </c>
      <c r="Z3381">
        <v>3372</v>
      </c>
      <c r="AA3381" t="e">
        <f>INDEX(Stammdaten[Ovalität (']0,1'])],MATCH(Tabelle1014[[#This Row],[Rank]],Stammdaten[Rank Verteilung Ovalität],0))</f>
        <v>#N/A</v>
      </c>
      <c r="AB3381" t="e">
        <f>VLOOKUP(Tabelle1014[[#This Row],[Rank]],Stammdaten[[Rank Verteilung Ovalität]:[Verteilung Ovalität]],2,FALSE)</f>
        <v>#N/A</v>
      </c>
    </row>
    <row r="3382" spans="5:28" x14ac:dyDescent="0.35">
      <c r="E3382">
        <v>3373</v>
      </c>
      <c r="F3382" t="e">
        <f>INDEX(Stammdaten[D Mitte mit Rinde (mm)],MATCH(Tabelle8[[#This Row],[Rank]],Stammdaten[Rank Verteilung D Mitte mit Rinde],0))</f>
        <v>#N/A</v>
      </c>
      <c r="G3382" t="e">
        <f>VLOOKUP(Tabelle8[[#This Row],[Rank]],Stammdaten[[Rank Verteilung D Mitte mit Rinde]:[Verteilung D Mitte mit Rinde]],2,FALSE)</f>
        <v>#N/A</v>
      </c>
      <c r="L3382">
        <v>3373</v>
      </c>
      <c r="M3382" t="e">
        <f>INDEX(Stammdaten[Abholzigkeit (mm/lfm)],MATCH(Tabelle9[[#This Row],[Rank]],Stammdaten[Rank Verteilung Abholzigkeit],0))</f>
        <v>#N/A</v>
      </c>
      <c r="N3382" t="e">
        <f>VLOOKUP(Tabelle9[[#This Row],[Rank]],Stammdaten[[Rank Verteilung Abholzigkeit]:[Verteilung Abholzigkeit]],2,FALSE)</f>
        <v>#N/A</v>
      </c>
      <c r="S3382">
        <v>3373</v>
      </c>
      <c r="T3382" t="e">
        <f>INDEX(Stammdaten[Krümmung (mm/lfm)],MATCH(Tabelle10[[#This Row],[Rank]],Stammdaten[Rank Verteilung Krümmung],0))</f>
        <v>#N/A</v>
      </c>
      <c r="U3382" t="e">
        <f>VLOOKUP(Tabelle10[[#This Row],[Rank]],Stammdaten[[Rank Verteilung Krümmung]:[Verteilung Krümmung]],2,FALSE)</f>
        <v>#N/A</v>
      </c>
      <c r="Z3382">
        <v>3373</v>
      </c>
      <c r="AA3382" t="e">
        <f>INDEX(Stammdaten[Ovalität (']0,1'])],MATCH(Tabelle1014[[#This Row],[Rank]],Stammdaten[Rank Verteilung Ovalität],0))</f>
        <v>#N/A</v>
      </c>
      <c r="AB3382" t="e">
        <f>VLOOKUP(Tabelle1014[[#This Row],[Rank]],Stammdaten[[Rank Verteilung Ovalität]:[Verteilung Ovalität]],2,FALSE)</f>
        <v>#N/A</v>
      </c>
    </row>
    <row r="3383" spans="5:28" x14ac:dyDescent="0.35">
      <c r="E3383">
        <v>3374</v>
      </c>
      <c r="F3383" t="e">
        <f>INDEX(Stammdaten[D Mitte mit Rinde (mm)],MATCH(Tabelle8[[#This Row],[Rank]],Stammdaten[Rank Verteilung D Mitte mit Rinde],0))</f>
        <v>#N/A</v>
      </c>
      <c r="G3383" t="e">
        <f>VLOOKUP(Tabelle8[[#This Row],[Rank]],Stammdaten[[Rank Verteilung D Mitte mit Rinde]:[Verteilung D Mitte mit Rinde]],2,FALSE)</f>
        <v>#N/A</v>
      </c>
      <c r="L3383">
        <v>3374</v>
      </c>
      <c r="M3383" t="e">
        <f>INDEX(Stammdaten[Abholzigkeit (mm/lfm)],MATCH(Tabelle9[[#This Row],[Rank]],Stammdaten[Rank Verteilung Abholzigkeit],0))</f>
        <v>#N/A</v>
      </c>
      <c r="N3383" t="e">
        <f>VLOOKUP(Tabelle9[[#This Row],[Rank]],Stammdaten[[Rank Verteilung Abholzigkeit]:[Verteilung Abholzigkeit]],2,FALSE)</f>
        <v>#N/A</v>
      </c>
      <c r="S3383">
        <v>3374</v>
      </c>
      <c r="T3383" t="e">
        <f>INDEX(Stammdaten[Krümmung (mm/lfm)],MATCH(Tabelle10[[#This Row],[Rank]],Stammdaten[Rank Verteilung Krümmung],0))</f>
        <v>#N/A</v>
      </c>
      <c r="U3383" t="e">
        <f>VLOOKUP(Tabelle10[[#This Row],[Rank]],Stammdaten[[Rank Verteilung Krümmung]:[Verteilung Krümmung]],2,FALSE)</f>
        <v>#N/A</v>
      </c>
      <c r="Z3383">
        <v>3374</v>
      </c>
      <c r="AA3383" t="e">
        <f>INDEX(Stammdaten[Ovalität (']0,1'])],MATCH(Tabelle1014[[#This Row],[Rank]],Stammdaten[Rank Verteilung Ovalität],0))</f>
        <v>#N/A</v>
      </c>
      <c r="AB3383" t="e">
        <f>VLOOKUP(Tabelle1014[[#This Row],[Rank]],Stammdaten[[Rank Verteilung Ovalität]:[Verteilung Ovalität]],2,FALSE)</f>
        <v>#N/A</v>
      </c>
    </row>
    <row r="3384" spans="5:28" x14ac:dyDescent="0.35">
      <c r="E3384">
        <v>3375</v>
      </c>
      <c r="F3384" t="e">
        <f>INDEX(Stammdaten[D Mitte mit Rinde (mm)],MATCH(Tabelle8[[#This Row],[Rank]],Stammdaten[Rank Verteilung D Mitte mit Rinde],0))</f>
        <v>#N/A</v>
      </c>
      <c r="G3384" t="e">
        <f>VLOOKUP(Tabelle8[[#This Row],[Rank]],Stammdaten[[Rank Verteilung D Mitte mit Rinde]:[Verteilung D Mitte mit Rinde]],2,FALSE)</f>
        <v>#N/A</v>
      </c>
      <c r="L3384">
        <v>3375</v>
      </c>
      <c r="M3384" t="e">
        <f>INDEX(Stammdaten[Abholzigkeit (mm/lfm)],MATCH(Tabelle9[[#This Row],[Rank]],Stammdaten[Rank Verteilung Abholzigkeit],0))</f>
        <v>#N/A</v>
      </c>
      <c r="N3384" t="e">
        <f>VLOOKUP(Tabelle9[[#This Row],[Rank]],Stammdaten[[Rank Verteilung Abholzigkeit]:[Verteilung Abholzigkeit]],2,FALSE)</f>
        <v>#N/A</v>
      </c>
      <c r="S3384">
        <v>3375</v>
      </c>
      <c r="T3384" t="e">
        <f>INDEX(Stammdaten[Krümmung (mm/lfm)],MATCH(Tabelle10[[#This Row],[Rank]],Stammdaten[Rank Verteilung Krümmung],0))</f>
        <v>#N/A</v>
      </c>
      <c r="U3384" t="e">
        <f>VLOOKUP(Tabelle10[[#This Row],[Rank]],Stammdaten[[Rank Verteilung Krümmung]:[Verteilung Krümmung]],2,FALSE)</f>
        <v>#N/A</v>
      </c>
      <c r="Z3384">
        <v>3375</v>
      </c>
      <c r="AA3384" t="e">
        <f>INDEX(Stammdaten[Ovalität (']0,1'])],MATCH(Tabelle1014[[#This Row],[Rank]],Stammdaten[Rank Verteilung Ovalität],0))</f>
        <v>#N/A</v>
      </c>
      <c r="AB3384" t="e">
        <f>VLOOKUP(Tabelle1014[[#This Row],[Rank]],Stammdaten[[Rank Verteilung Ovalität]:[Verteilung Ovalität]],2,FALSE)</f>
        <v>#N/A</v>
      </c>
    </row>
    <row r="3385" spans="5:28" x14ac:dyDescent="0.35">
      <c r="E3385">
        <v>3376</v>
      </c>
      <c r="F3385" t="e">
        <f>INDEX(Stammdaten[D Mitte mit Rinde (mm)],MATCH(Tabelle8[[#This Row],[Rank]],Stammdaten[Rank Verteilung D Mitte mit Rinde],0))</f>
        <v>#N/A</v>
      </c>
      <c r="G3385" t="e">
        <f>VLOOKUP(Tabelle8[[#This Row],[Rank]],Stammdaten[[Rank Verteilung D Mitte mit Rinde]:[Verteilung D Mitte mit Rinde]],2,FALSE)</f>
        <v>#N/A</v>
      </c>
      <c r="L3385">
        <v>3376</v>
      </c>
      <c r="M3385" t="e">
        <f>INDEX(Stammdaten[Abholzigkeit (mm/lfm)],MATCH(Tabelle9[[#This Row],[Rank]],Stammdaten[Rank Verteilung Abholzigkeit],0))</f>
        <v>#N/A</v>
      </c>
      <c r="N3385" t="e">
        <f>VLOOKUP(Tabelle9[[#This Row],[Rank]],Stammdaten[[Rank Verteilung Abholzigkeit]:[Verteilung Abholzigkeit]],2,FALSE)</f>
        <v>#N/A</v>
      </c>
      <c r="S3385">
        <v>3376</v>
      </c>
      <c r="T3385" t="e">
        <f>INDEX(Stammdaten[Krümmung (mm/lfm)],MATCH(Tabelle10[[#This Row],[Rank]],Stammdaten[Rank Verteilung Krümmung],0))</f>
        <v>#N/A</v>
      </c>
      <c r="U3385" t="e">
        <f>VLOOKUP(Tabelle10[[#This Row],[Rank]],Stammdaten[[Rank Verteilung Krümmung]:[Verteilung Krümmung]],2,FALSE)</f>
        <v>#N/A</v>
      </c>
      <c r="Z3385">
        <v>3376</v>
      </c>
      <c r="AA3385" t="e">
        <f>INDEX(Stammdaten[Ovalität (']0,1'])],MATCH(Tabelle1014[[#This Row],[Rank]],Stammdaten[Rank Verteilung Ovalität],0))</f>
        <v>#N/A</v>
      </c>
      <c r="AB3385" t="e">
        <f>VLOOKUP(Tabelle1014[[#This Row],[Rank]],Stammdaten[[Rank Verteilung Ovalität]:[Verteilung Ovalität]],2,FALSE)</f>
        <v>#N/A</v>
      </c>
    </row>
    <row r="3386" spans="5:28" x14ac:dyDescent="0.35">
      <c r="E3386">
        <v>3377</v>
      </c>
      <c r="F3386" t="e">
        <f>INDEX(Stammdaten[D Mitte mit Rinde (mm)],MATCH(Tabelle8[[#This Row],[Rank]],Stammdaten[Rank Verteilung D Mitte mit Rinde],0))</f>
        <v>#N/A</v>
      </c>
      <c r="G3386" t="e">
        <f>VLOOKUP(Tabelle8[[#This Row],[Rank]],Stammdaten[[Rank Verteilung D Mitte mit Rinde]:[Verteilung D Mitte mit Rinde]],2,FALSE)</f>
        <v>#N/A</v>
      </c>
      <c r="L3386">
        <v>3377</v>
      </c>
      <c r="M3386" t="e">
        <f>INDEX(Stammdaten[Abholzigkeit (mm/lfm)],MATCH(Tabelle9[[#This Row],[Rank]],Stammdaten[Rank Verteilung Abholzigkeit],0))</f>
        <v>#N/A</v>
      </c>
      <c r="N3386" t="e">
        <f>VLOOKUP(Tabelle9[[#This Row],[Rank]],Stammdaten[[Rank Verteilung Abholzigkeit]:[Verteilung Abholzigkeit]],2,FALSE)</f>
        <v>#N/A</v>
      </c>
      <c r="S3386">
        <v>3377</v>
      </c>
      <c r="T3386" t="e">
        <f>INDEX(Stammdaten[Krümmung (mm/lfm)],MATCH(Tabelle10[[#This Row],[Rank]],Stammdaten[Rank Verteilung Krümmung],0))</f>
        <v>#N/A</v>
      </c>
      <c r="U3386" t="e">
        <f>VLOOKUP(Tabelle10[[#This Row],[Rank]],Stammdaten[[Rank Verteilung Krümmung]:[Verteilung Krümmung]],2,FALSE)</f>
        <v>#N/A</v>
      </c>
      <c r="Z3386">
        <v>3377</v>
      </c>
      <c r="AA3386" t="e">
        <f>INDEX(Stammdaten[Ovalität (']0,1'])],MATCH(Tabelle1014[[#This Row],[Rank]],Stammdaten[Rank Verteilung Ovalität],0))</f>
        <v>#N/A</v>
      </c>
      <c r="AB3386" t="e">
        <f>VLOOKUP(Tabelle1014[[#This Row],[Rank]],Stammdaten[[Rank Verteilung Ovalität]:[Verteilung Ovalität]],2,FALSE)</f>
        <v>#N/A</v>
      </c>
    </row>
    <row r="3387" spans="5:28" x14ac:dyDescent="0.35">
      <c r="E3387">
        <v>3378</v>
      </c>
      <c r="F3387" t="e">
        <f>INDEX(Stammdaten[D Mitte mit Rinde (mm)],MATCH(Tabelle8[[#This Row],[Rank]],Stammdaten[Rank Verteilung D Mitte mit Rinde],0))</f>
        <v>#N/A</v>
      </c>
      <c r="G3387" t="e">
        <f>VLOOKUP(Tabelle8[[#This Row],[Rank]],Stammdaten[[Rank Verteilung D Mitte mit Rinde]:[Verteilung D Mitte mit Rinde]],2,FALSE)</f>
        <v>#N/A</v>
      </c>
      <c r="L3387">
        <v>3378</v>
      </c>
      <c r="M3387" t="e">
        <f>INDEX(Stammdaten[Abholzigkeit (mm/lfm)],MATCH(Tabelle9[[#This Row],[Rank]],Stammdaten[Rank Verteilung Abholzigkeit],0))</f>
        <v>#N/A</v>
      </c>
      <c r="N3387" t="e">
        <f>VLOOKUP(Tabelle9[[#This Row],[Rank]],Stammdaten[[Rank Verteilung Abholzigkeit]:[Verteilung Abholzigkeit]],2,FALSE)</f>
        <v>#N/A</v>
      </c>
      <c r="S3387">
        <v>3378</v>
      </c>
      <c r="T3387" t="e">
        <f>INDEX(Stammdaten[Krümmung (mm/lfm)],MATCH(Tabelle10[[#This Row],[Rank]],Stammdaten[Rank Verteilung Krümmung],0))</f>
        <v>#N/A</v>
      </c>
      <c r="U3387" t="e">
        <f>VLOOKUP(Tabelle10[[#This Row],[Rank]],Stammdaten[[Rank Verteilung Krümmung]:[Verteilung Krümmung]],2,FALSE)</f>
        <v>#N/A</v>
      </c>
      <c r="Z3387">
        <v>3378</v>
      </c>
      <c r="AA3387" t="e">
        <f>INDEX(Stammdaten[Ovalität (']0,1'])],MATCH(Tabelle1014[[#This Row],[Rank]],Stammdaten[Rank Verteilung Ovalität],0))</f>
        <v>#N/A</v>
      </c>
      <c r="AB3387" t="e">
        <f>VLOOKUP(Tabelle1014[[#This Row],[Rank]],Stammdaten[[Rank Verteilung Ovalität]:[Verteilung Ovalität]],2,FALSE)</f>
        <v>#N/A</v>
      </c>
    </row>
    <row r="3388" spans="5:28" x14ac:dyDescent="0.35">
      <c r="E3388">
        <v>3379</v>
      </c>
      <c r="F3388" t="e">
        <f>INDEX(Stammdaten[D Mitte mit Rinde (mm)],MATCH(Tabelle8[[#This Row],[Rank]],Stammdaten[Rank Verteilung D Mitte mit Rinde],0))</f>
        <v>#N/A</v>
      </c>
      <c r="G3388" t="e">
        <f>VLOOKUP(Tabelle8[[#This Row],[Rank]],Stammdaten[[Rank Verteilung D Mitte mit Rinde]:[Verteilung D Mitte mit Rinde]],2,FALSE)</f>
        <v>#N/A</v>
      </c>
      <c r="L3388">
        <v>3379</v>
      </c>
      <c r="M3388" t="e">
        <f>INDEX(Stammdaten[Abholzigkeit (mm/lfm)],MATCH(Tabelle9[[#This Row],[Rank]],Stammdaten[Rank Verteilung Abholzigkeit],0))</f>
        <v>#N/A</v>
      </c>
      <c r="N3388" t="e">
        <f>VLOOKUP(Tabelle9[[#This Row],[Rank]],Stammdaten[[Rank Verteilung Abholzigkeit]:[Verteilung Abholzigkeit]],2,FALSE)</f>
        <v>#N/A</v>
      </c>
      <c r="S3388">
        <v>3379</v>
      </c>
      <c r="T3388" t="e">
        <f>INDEX(Stammdaten[Krümmung (mm/lfm)],MATCH(Tabelle10[[#This Row],[Rank]],Stammdaten[Rank Verteilung Krümmung],0))</f>
        <v>#N/A</v>
      </c>
      <c r="U3388" t="e">
        <f>VLOOKUP(Tabelle10[[#This Row],[Rank]],Stammdaten[[Rank Verteilung Krümmung]:[Verteilung Krümmung]],2,FALSE)</f>
        <v>#N/A</v>
      </c>
      <c r="Z3388">
        <v>3379</v>
      </c>
      <c r="AA3388" t="e">
        <f>INDEX(Stammdaten[Ovalität (']0,1'])],MATCH(Tabelle1014[[#This Row],[Rank]],Stammdaten[Rank Verteilung Ovalität],0))</f>
        <v>#N/A</v>
      </c>
      <c r="AB3388" t="e">
        <f>VLOOKUP(Tabelle1014[[#This Row],[Rank]],Stammdaten[[Rank Verteilung Ovalität]:[Verteilung Ovalität]],2,FALSE)</f>
        <v>#N/A</v>
      </c>
    </row>
    <row r="3389" spans="5:28" x14ac:dyDescent="0.35">
      <c r="E3389">
        <v>3380</v>
      </c>
      <c r="F3389" t="e">
        <f>INDEX(Stammdaten[D Mitte mit Rinde (mm)],MATCH(Tabelle8[[#This Row],[Rank]],Stammdaten[Rank Verteilung D Mitte mit Rinde],0))</f>
        <v>#N/A</v>
      </c>
      <c r="G3389" t="e">
        <f>VLOOKUP(Tabelle8[[#This Row],[Rank]],Stammdaten[[Rank Verteilung D Mitte mit Rinde]:[Verteilung D Mitte mit Rinde]],2,FALSE)</f>
        <v>#N/A</v>
      </c>
      <c r="L3389">
        <v>3380</v>
      </c>
      <c r="M3389" t="e">
        <f>INDEX(Stammdaten[Abholzigkeit (mm/lfm)],MATCH(Tabelle9[[#This Row],[Rank]],Stammdaten[Rank Verteilung Abholzigkeit],0))</f>
        <v>#N/A</v>
      </c>
      <c r="N3389" t="e">
        <f>VLOOKUP(Tabelle9[[#This Row],[Rank]],Stammdaten[[Rank Verteilung Abholzigkeit]:[Verteilung Abholzigkeit]],2,FALSE)</f>
        <v>#N/A</v>
      </c>
      <c r="S3389">
        <v>3380</v>
      </c>
      <c r="T3389" t="e">
        <f>INDEX(Stammdaten[Krümmung (mm/lfm)],MATCH(Tabelle10[[#This Row],[Rank]],Stammdaten[Rank Verteilung Krümmung],0))</f>
        <v>#N/A</v>
      </c>
      <c r="U3389" t="e">
        <f>VLOOKUP(Tabelle10[[#This Row],[Rank]],Stammdaten[[Rank Verteilung Krümmung]:[Verteilung Krümmung]],2,FALSE)</f>
        <v>#N/A</v>
      </c>
      <c r="Z3389">
        <v>3380</v>
      </c>
      <c r="AA3389" t="e">
        <f>INDEX(Stammdaten[Ovalität (']0,1'])],MATCH(Tabelle1014[[#This Row],[Rank]],Stammdaten[Rank Verteilung Ovalität],0))</f>
        <v>#N/A</v>
      </c>
      <c r="AB3389" t="e">
        <f>VLOOKUP(Tabelle1014[[#This Row],[Rank]],Stammdaten[[Rank Verteilung Ovalität]:[Verteilung Ovalität]],2,FALSE)</f>
        <v>#N/A</v>
      </c>
    </row>
    <row r="3390" spans="5:28" x14ac:dyDescent="0.35">
      <c r="E3390">
        <v>3381</v>
      </c>
      <c r="F3390" t="e">
        <f>INDEX(Stammdaten[D Mitte mit Rinde (mm)],MATCH(Tabelle8[[#This Row],[Rank]],Stammdaten[Rank Verteilung D Mitte mit Rinde],0))</f>
        <v>#N/A</v>
      </c>
      <c r="G3390" t="e">
        <f>VLOOKUP(Tabelle8[[#This Row],[Rank]],Stammdaten[[Rank Verteilung D Mitte mit Rinde]:[Verteilung D Mitte mit Rinde]],2,FALSE)</f>
        <v>#N/A</v>
      </c>
      <c r="L3390">
        <v>3381</v>
      </c>
      <c r="M3390" t="e">
        <f>INDEX(Stammdaten[Abholzigkeit (mm/lfm)],MATCH(Tabelle9[[#This Row],[Rank]],Stammdaten[Rank Verteilung Abholzigkeit],0))</f>
        <v>#N/A</v>
      </c>
      <c r="N3390" t="e">
        <f>VLOOKUP(Tabelle9[[#This Row],[Rank]],Stammdaten[[Rank Verteilung Abholzigkeit]:[Verteilung Abholzigkeit]],2,FALSE)</f>
        <v>#N/A</v>
      </c>
      <c r="S3390">
        <v>3381</v>
      </c>
      <c r="T3390" t="e">
        <f>INDEX(Stammdaten[Krümmung (mm/lfm)],MATCH(Tabelle10[[#This Row],[Rank]],Stammdaten[Rank Verteilung Krümmung],0))</f>
        <v>#N/A</v>
      </c>
      <c r="U3390" t="e">
        <f>VLOOKUP(Tabelle10[[#This Row],[Rank]],Stammdaten[[Rank Verteilung Krümmung]:[Verteilung Krümmung]],2,FALSE)</f>
        <v>#N/A</v>
      </c>
      <c r="Z3390">
        <v>3381</v>
      </c>
      <c r="AA3390" t="e">
        <f>INDEX(Stammdaten[Ovalität (']0,1'])],MATCH(Tabelle1014[[#This Row],[Rank]],Stammdaten[Rank Verteilung Ovalität],0))</f>
        <v>#N/A</v>
      </c>
      <c r="AB3390" t="e">
        <f>VLOOKUP(Tabelle1014[[#This Row],[Rank]],Stammdaten[[Rank Verteilung Ovalität]:[Verteilung Ovalität]],2,FALSE)</f>
        <v>#N/A</v>
      </c>
    </row>
    <row r="3391" spans="5:28" x14ac:dyDescent="0.35">
      <c r="E3391">
        <v>3382</v>
      </c>
      <c r="F3391" t="e">
        <f>INDEX(Stammdaten[D Mitte mit Rinde (mm)],MATCH(Tabelle8[[#This Row],[Rank]],Stammdaten[Rank Verteilung D Mitte mit Rinde],0))</f>
        <v>#N/A</v>
      </c>
      <c r="G3391" t="e">
        <f>VLOOKUP(Tabelle8[[#This Row],[Rank]],Stammdaten[[Rank Verteilung D Mitte mit Rinde]:[Verteilung D Mitte mit Rinde]],2,FALSE)</f>
        <v>#N/A</v>
      </c>
      <c r="L3391">
        <v>3382</v>
      </c>
      <c r="M3391" t="e">
        <f>INDEX(Stammdaten[Abholzigkeit (mm/lfm)],MATCH(Tabelle9[[#This Row],[Rank]],Stammdaten[Rank Verteilung Abholzigkeit],0))</f>
        <v>#N/A</v>
      </c>
      <c r="N3391" t="e">
        <f>VLOOKUP(Tabelle9[[#This Row],[Rank]],Stammdaten[[Rank Verteilung Abholzigkeit]:[Verteilung Abholzigkeit]],2,FALSE)</f>
        <v>#N/A</v>
      </c>
      <c r="S3391">
        <v>3382</v>
      </c>
      <c r="T3391" t="e">
        <f>INDEX(Stammdaten[Krümmung (mm/lfm)],MATCH(Tabelle10[[#This Row],[Rank]],Stammdaten[Rank Verteilung Krümmung],0))</f>
        <v>#N/A</v>
      </c>
      <c r="U3391" t="e">
        <f>VLOOKUP(Tabelle10[[#This Row],[Rank]],Stammdaten[[Rank Verteilung Krümmung]:[Verteilung Krümmung]],2,FALSE)</f>
        <v>#N/A</v>
      </c>
      <c r="Z3391">
        <v>3382</v>
      </c>
      <c r="AA3391" t="e">
        <f>INDEX(Stammdaten[Ovalität (']0,1'])],MATCH(Tabelle1014[[#This Row],[Rank]],Stammdaten[Rank Verteilung Ovalität],0))</f>
        <v>#N/A</v>
      </c>
      <c r="AB3391" t="e">
        <f>VLOOKUP(Tabelle1014[[#This Row],[Rank]],Stammdaten[[Rank Verteilung Ovalität]:[Verteilung Ovalität]],2,FALSE)</f>
        <v>#N/A</v>
      </c>
    </row>
    <row r="3392" spans="5:28" x14ac:dyDescent="0.35">
      <c r="E3392">
        <v>3383</v>
      </c>
      <c r="F3392" t="e">
        <f>INDEX(Stammdaten[D Mitte mit Rinde (mm)],MATCH(Tabelle8[[#This Row],[Rank]],Stammdaten[Rank Verteilung D Mitte mit Rinde],0))</f>
        <v>#N/A</v>
      </c>
      <c r="G3392" t="e">
        <f>VLOOKUP(Tabelle8[[#This Row],[Rank]],Stammdaten[[Rank Verteilung D Mitte mit Rinde]:[Verteilung D Mitte mit Rinde]],2,FALSE)</f>
        <v>#N/A</v>
      </c>
      <c r="L3392">
        <v>3383</v>
      </c>
      <c r="M3392" t="e">
        <f>INDEX(Stammdaten[Abholzigkeit (mm/lfm)],MATCH(Tabelle9[[#This Row],[Rank]],Stammdaten[Rank Verteilung Abholzigkeit],0))</f>
        <v>#N/A</v>
      </c>
      <c r="N3392" t="e">
        <f>VLOOKUP(Tabelle9[[#This Row],[Rank]],Stammdaten[[Rank Verteilung Abholzigkeit]:[Verteilung Abholzigkeit]],2,FALSE)</f>
        <v>#N/A</v>
      </c>
      <c r="S3392">
        <v>3383</v>
      </c>
      <c r="T3392" t="e">
        <f>INDEX(Stammdaten[Krümmung (mm/lfm)],MATCH(Tabelle10[[#This Row],[Rank]],Stammdaten[Rank Verteilung Krümmung],0))</f>
        <v>#N/A</v>
      </c>
      <c r="U3392" t="e">
        <f>VLOOKUP(Tabelle10[[#This Row],[Rank]],Stammdaten[[Rank Verteilung Krümmung]:[Verteilung Krümmung]],2,FALSE)</f>
        <v>#N/A</v>
      </c>
      <c r="Z3392">
        <v>3383</v>
      </c>
      <c r="AA3392" t="e">
        <f>INDEX(Stammdaten[Ovalität (']0,1'])],MATCH(Tabelle1014[[#This Row],[Rank]],Stammdaten[Rank Verteilung Ovalität],0))</f>
        <v>#N/A</v>
      </c>
      <c r="AB3392" t="e">
        <f>VLOOKUP(Tabelle1014[[#This Row],[Rank]],Stammdaten[[Rank Verteilung Ovalität]:[Verteilung Ovalität]],2,FALSE)</f>
        <v>#N/A</v>
      </c>
    </row>
    <row r="3393" spans="5:28" x14ac:dyDescent="0.35">
      <c r="E3393">
        <v>3384</v>
      </c>
      <c r="F3393" t="e">
        <f>INDEX(Stammdaten[D Mitte mit Rinde (mm)],MATCH(Tabelle8[[#This Row],[Rank]],Stammdaten[Rank Verteilung D Mitte mit Rinde],0))</f>
        <v>#N/A</v>
      </c>
      <c r="G3393" t="e">
        <f>VLOOKUP(Tabelle8[[#This Row],[Rank]],Stammdaten[[Rank Verteilung D Mitte mit Rinde]:[Verteilung D Mitte mit Rinde]],2,FALSE)</f>
        <v>#N/A</v>
      </c>
      <c r="L3393">
        <v>3384</v>
      </c>
      <c r="M3393" t="e">
        <f>INDEX(Stammdaten[Abholzigkeit (mm/lfm)],MATCH(Tabelle9[[#This Row],[Rank]],Stammdaten[Rank Verteilung Abholzigkeit],0))</f>
        <v>#N/A</v>
      </c>
      <c r="N3393" t="e">
        <f>VLOOKUP(Tabelle9[[#This Row],[Rank]],Stammdaten[[Rank Verteilung Abholzigkeit]:[Verteilung Abholzigkeit]],2,FALSE)</f>
        <v>#N/A</v>
      </c>
      <c r="S3393">
        <v>3384</v>
      </c>
      <c r="T3393" t="e">
        <f>INDEX(Stammdaten[Krümmung (mm/lfm)],MATCH(Tabelle10[[#This Row],[Rank]],Stammdaten[Rank Verteilung Krümmung],0))</f>
        <v>#N/A</v>
      </c>
      <c r="U3393" t="e">
        <f>VLOOKUP(Tabelle10[[#This Row],[Rank]],Stammdaten[[Rank Verteilung Krümmung]:[Verteilung Krümmung]],2,FALSE)</f>
        <v>#N/A</v>
      </c>
      <c r="Z3393">
        <v>3384</v>
      </c>
      <c r="AA3393" t="e">
        <f>INDEX(Stammdaten[Ovalität (']0,1'])],MATCH(Tabelle1014[[#This Row],[Rank]],Stammdaten[Rank Verteilung Ovalität],0))</f>
        <v>#N/A</v>
      </c>
      <c r="AB3393" t="e">
        <f>VLOOKUP(Tabelle1014[[#This Row],[Rank]],Stammdaten[[Rank Verteilung Ovalität]:[Verteilung Ovalität]],2,FALSE)</f>
        <v>#N/A</v>
      </c>
    </row>
    <row r="3394" spans="5:28" x14ac:dyDescent="0.35">
      <c r="E3394">
        <v>3385</v>
      </c>
      <c r="F3394" t="e">
        <f>INDEX(Stammdaten[D Mitte mit Rinde (mm)],MATCH(Tabelle8[[#This Row],[Rank]],Stammdaten[Rank Verteilung D Mitte mit Rinde],0))</f>
        <v>#N/A</v>
      </c>
      <c r="G3394" t="e">
        <f>VLOOKUP(Tabelle8[[#This Row],[Rank]],Stammdaten[[Rank Verteilung D Mitte mit Rinde]:[Verteilung D Mitte mit Rinde]],2,FALSE)</f>
        <v>#N/A</v>
      </c>
      <c r="L3394">
        <v>3385</v>
      </c>
      <c r="M3394" t="e">
        <f>INDEX(Stammdaten[Abholzigkeit (mm/lfm)],MATCH(Tabelle9[[#This Row],[Rank]],Stammdaten[Rank Verteilung Abholzigkeit],0))</f>
        <v>#N/A</v>
      </c>
      <c r="N3394" t="e">
        <f>VLOOKUP(Tabelle9[[#This Row],[Rank]],Stammdaten[[Rank Verteilung Abholzigkeit]:[Verteilung Abholzigkeit]],2,FALSE)</f>
        <v>#N/A</v>
      </c>
      <c r="S3394">
        <v>3385</v>
      </c>
      <c r="T3394" t="e">
        <f>INDEX(Stammdaten[Krümmung (mm/lfm)],MATCH(Tabelle10[[#This Row],[Rank]],Stammdaten[Rank Verteilung Krümmung],0))</f>
        <v>#N/A</v>
      </c>
      <c r="U3394" t="e">
        <f>VLOOKUP(Tabelle10[[#This Row],[Rank]],Stammdaten[[Rank Verteilung Krümmung]:[Verteilung Krümmung]],2,FALSE)</f>
        <v>#N/A</v>
      </c>
      <c r="Z3394">
        <v>3385</v>
      </c>
      <c r="AA3394" t="e">
        <f>INDEX(Stammdaten[Ovalität (']0,1'])],MATCH(Tabelle1014[[#This Row],[Rank]],Stammdaten[Rank Verteilung Ovalität],0))</f>
        <v>#N/A</v>
      </c>
      <c r="AB3394" t="e">
        <f>VLOOKUP(Tabelle1014[[#This Row],[Rank]],Stammdaten[[Rank Verteilung Ovalität]:[Verteilung Ovalität]],2,FALSE)</f>
        <v>#N/A</v>
      </c>
    </row>
    <row r="3395" spans="5:28" x14ac:dyDescent="0.35">
      <c r="E3395">
        <v>3386</v>
      </c>
      <c r="F3395" t="e">
        <f>INDEX(Stammdaten[D Mitte mit Rinde (mm)],MATCH(Tabelle8[[#This Row],[Rank]],Stammdaten[Rank Verteilung D Mitte mit Rinde],0))</f>
        <v>#N/A</v>
      </c>
      <c r="G3395" t="e">
        <f>VLOOKUP(Tabelle8[[#This Row],[Rank]],Stammdaten[[Rank Verteilung D Mitte mit Rinde]:[Verteilung D Mitte mit Rinde]],2,FALSE)</f>
        <v>#N/A</v>
      </c>
      <c r="L3395">
        <v>3386</v>
      </c>
      <c r="M3395" t="e">
        <f>INDEX(Stammdaten[Abholzigkeit (mm/lfm)],MATCH(Tabelle9[[#This Row],[Rank]],Stammdaten[Rank Verteilung Abholzigkeit],0))</f>
        <v>#N/A</v>
      </c>
      <c r="N3395" t="e">
        <f>VLOOKUP(Tabelle9[[#This Row],[Rank]],Stammdaten[[Rank Verteilung Abholzigkeit]:[Verteilung Abholzigkeit]],2,FALSE)</f>
        <v>#N/A</v>
      </c>
      <c r="S3395">
        <v>3386</v>
      </c>
      <c r="T3395" t="e">
        <f>INDEX(Stammdaten[Krümmung (mm/lfm)],MATCH(Tabelle10[[#This Row],[Rank]],Stammdaten[Rank Verteilung Krümmung],0))</f>
        <v>#N/A</v>
      </c>
      <c r="U3395" t="e">
        <f>VLOOKUP(Tabelle10[[#This Row],[Rank]],Stammdaten[[Rank Verteilung Krümmung]:[Verteilung Krümmung]],2,FALSE)</f>
        <v>#N/A</v>
      </c>
      <c r="Z3395">
        <v>3386</v>
      </c>
      <c r="AA3395" t="e">
        <f>INDEX(Stammdaten[Ovalität (']0,1'])],MATCH(Tabelle1014[[#This Row],[Rank]],Stammdaten[Rank Verteilung Ovalität],0))</f>
        <v>#N/A</v>
      </c>
      <c r="AB3395" t="e">
        <f>VLOOKUP(Tabelle1014[[#This Row],[Rank]],Stammdaten[[Rank Verteilung Ovalität]:[Verteilung Ovalität]],2,FALSE)</f>
        <v>#N/A</v>
      </c>
    </row>
    <row r="3396" spans="5:28" x14ac:dyDescent="0.35">
      <c r="E3396">
        <v>3387</v>
      </c>
      <c r="F3396" t="e">
        <f>INDEX(Stammdaten[D Mitte mit Rinde (mm)],MATCH(Tabelle8[[#This Row],[Rank]],Stammdaten[Rank Verteilung D Mitte mit Rinde],0))</f>
        <v>#N/A</v>
      </c>
      <c r="G3396" t="e">
        <f>VLOOKUP(Tabelle8[[#This Row],[Rank]],Stammdaten[[Rank Verteilung D Mitte mit Rinde]:[Verteilung D Mitte mit Rinde]],2,FALSE)</f>
        <v>#N/A</v>
      </c>
      <c r="L3396">
        <v>3387</v>
      </c>
      <c r="M3396" t="e">
        <f>INDEX(Stammdaten[Abholzigkeit (mm/lfm)],MATCH(Tabelle9[[#This Row],[Rank]],Stammdaten[Rank Verteilung Abholzigkeit],0))</f>
        <v>#N/A</v>
      </c>
      <c r="N3396" t="e">
        <f>VLOOKUP(Tabelle9[[#This Row],[Rank]],Stammdaten[[Rank Verteilung Abholzigkeit]:[Verteilung Abholzigkeit]],2,FALSE)</f>
        <v>#N/A</v>
      </c>
      <c r="S3396">
        <v>3387</v>
      </c>
      <c r="T3396" t="e">
        <f>INDEX(Stammdaten[Krümmung (mm/lfm)],MATCH(Tabelle10[[#This Row],[Rank]],Stammdaten[Rank Verteilung Krümmung],0))</f>
        <v>#N/A</v>
      </c>
      <c r="U3396" t="e">
        <f>VLOOKUP(Tabelle10[[#This Row],[Rank]],Stammdaten[[Rank Verteilung Krümmung]:[Verteilung Krümmung]],2,FALSE)</f>
        <v>#N/A</v>
      </c>
      <c r="Z3396">
        <v>3387</v>
      </c>
      <c r="AA3396" t="e">
        <f>INDEX(Stammdaten[Ovalität (']0,1'])],MATCH(Tabelle1014[[#This Row],[Rank]],Stammdaten[Rank Verteilung Ovalität],0))</f>
        <v>#N/A</v>
      </c>
      <c r="AB3396" t="e">
        <f>VLOOKUP(Tabelle1014[[#This Row],[Rank]],Stammdaten[[Rank Verteilung Ovalität]:[Verteilung Ovalität]],2,FALSE)</f>
        <v>#N/A</v>
      </c>
    </row>
    <row r="3397" spans="5:28" x14ac:dyDescent="0.35">
      <c r="E3397">
        <v>3388</v>
      </c>
      <c r="F3397" t="e">
        <f>INDEX(Stammdaten[D Mitte mit Rinde (mm)],MATCH(Tabelle8[[#This Row],[Rank]],Stammdaten[Rank Verteilung D Mitte mit Rinde],0))</f>
        <v>#N/A</v>
      </c>
      <c r="G3397" t="e">
        <f>VLOOKUP(Tabelle8[[#This Row],[Rank]],Stammdaten[[Rank Verteilung D Mitte mit Rinde]:[Verteilung D Mitte mit Rinde]],2,FALSE)</f>
        <v>#N/A</v>
      </c>
      <c r="L3397">
        <v>3388</v>
      </c>
      <c r="M3397" t="e">
        <f>INDEX(Stammdaten[Abholzigkeit (mm/lfm)],MATCH(Tabelle9[[#This Row],[Rank]],Stammdaten[Rank Verteilung Abholzigkeit],0))</f>
        <v>#N/A</v>
      </c>
      <c r="N3397" t="e">
        <f>VLOOKUP(Tabelle9[[#This Row],[Rank]],Stammdaten[[Rank Verteilung Abholzigkeit]:[Verteilung Abholzigkeit]],2,FALSE)</f>
        <v>#N/A</v>
      </c>
      <c r="S3397">
        <v>3388</v>
      </c>
      <c r="T3397" t="e">
        <f>INDEX(Stammdaten[Krümmung (mm/lfm)],MATCH(Tabelle10[[#This Row],[Rank]],Stammdaten[Rank Verteilung Krümmung],0))</f>
        <v>#N/A</v>
      </c>
      <c r="U3397" t="e">
        <f>VLOOKUP(Tabelle10[[#This Row],[Rank]],Stammdaten[[Rank Verteilung Krümmung]:[Verteilung Krümmung]],2,FALSE)</f>
        <v>#N/A</v>
      </c>
      <c r="Z3397">
        <v>3388</v>
      </c>
      <c r="AA3397" t="e">
        <f>INDEX(Stammdaten[Ovalität (']0,1'])],MATCH(Tabelle1014[[#This Row],[Rank]],Stammdaten[Rank Verteilung Ovalität],0))</f>
        <v>#N/A</v>
      </c>
      <c r="AB3397" t="e">
        <f>VLOOKUP(Tabelle1014[[#This Row],[Rank]],Stammdaten[[Rank Verteilung Ovalität]:[Verteilung Ovalität]],2,FALSE)</f>
        <v>#N/A</v>
      </c>
    </row>
    <row r="3398" spans="5:28" x14ac:dyDescent="0.35">
      <c r="E3398">
        <v>3389</v>
      </c>
      <c r="F3398" t="e">
        <f>INDEX(Stammdaten[D Mitte mit Rinde (mm)],MATCH(Tabelle8[[#This Row],[Rank]],Stammdaten[Rank Verteilung D Mitte mit Rinde],0))</f>
        <v>#N/A</v>
      </c>
      <c r="G3398" t="e">
        <f>VLOOKUP(Tabelle8[[#This Row],[Rank]],Stammdaten[[Rank Verteilung D Mitte mit Rinde]:[Verteilung D Mitte mit Rinde]],2,FALSE)</f>
        <v>#N/A</v>
      </c>
      <c r="L3398">
        <v>3389</v>
      </c>
      <c r="M3398" t="e">
        <f>INDEX(Stammdaten[Abholzigkeit (mm/lfm)],MATCH(Tabelle9[[#This Row],[Rank]],Stammdaten[Rank Verteilung Abholzigkeit],0))</f>
        <v>#N/A</v>
      </c>
      <c r="N3398" t="e">
        <f>VLOOKUP(Tabelle9[[#This Row],[Rank]],Stammdaten[[Rank Verteilung Abholzigkeit]:[Verteilung Abholzigkeit]],2,FALSE)</f>
        <v>#N/A</v>
      </c>
      <c r="S3398">
        <v>3389</v>
      </c>
      <c r="T3398" t="e">
        <f>INDEX(Stammdaten[Krümmung (mm/lfm)],MATCH(Tabelle10[[#This Row],[Rank]],Stammdaten[Rank Verteilung Krümmung],0))</f>
        <v>#N/A</v>
      </c>
      <c r="U3398" t="e">
        <f>VLOOKUP(Tabelle10[[#This Row],[Rank]],Stammdaten[[Rank Verteilung Krümmung]:[Verteilung Krümmung]],2,FALSE)</f>
        <v>#N/A</v>
      </c>
      <c r="Z3398">
        <v>3389</v>
      </c>
      <c r="AA3398" t="e">
        <f>INDEX(Stammdaten[Ovalität (']0,1'])],MATCH(Tabelle1014[[#This Row],[Rank]],Stammdaten[Rank Verteilung Ovalität],0))</f>
        <v>#N/A</v>
      </c>
      <c r="AB3398" t="e">
        <f>VLOOKUP(Tabelle1014[[#This Row],[Rank]],Stammdaten[[Rank Verteilung Ovalität]:[Verteilung Ovalität]],2,FALSE)</f>
        <v>#N/A</v>
      </c>
    </row>
    <row r="3399" spans="5:28" x14ac:dyDescent="0.35">
      <c r="E3399">
        <v>3390</v>
      </c>
      <c r="F3399" t="e">
        <f>INDEX(Stammdaten[D Mitte mit Rinde (mm)],MATCH(Tabelle8[[#This Row],[Rank]],Stammdaten[Rank Verteilung D Mitte mit Rinde],0))</f>
        <v>#N/A</v>
      </c>
      <c r="G3399" t="e">
        <f>VLOOKUP(Tabelle8[[#This Row],[Rank]],Stammdaten[[Rank Verteilung D Mitte mit Rinde]:[Verteilung D Mitte mit Rinde]],2,FALSE)</f>
        <v>#N/A</v>
      </c>
      <c r="L3399">
        <v>3390</v>
      </c>
      <c r="M3399" t="e">
        <f>INDEX(Stammdaten[Abholzigkeit (mm/lfm)],MATCH(Tabelle9[[#This Row],[Rank]],Stammdaten[Rank Verteilung Abholzigkeit],0))</f>
        <v>#N/A</v>
      </c>
      <c r="N3399" t="e">
        <f>VLOOKUP(Tabelle9[[#This Row],[Rank]],Stammdaten[[Rank Verteilung Abholzigkeit]:[Verteilung Abholzigkeit]],2,FALSE)</f>
        <v>#N/A</v>
      </c>
      <c r="S3399">
        <v>3390</v>
      </c>
      <c r="T3399" t="e">
        <f>INDEX(Stammdaten[Krümmung (mm/lfm)],MATCH(Tabelle10[[#This Row],[Rank]],Stammdaten[Rank Verteilung Krümmung],0))</f>
        <v>#N/A</v>
      </c>
      <c r="U3399" t="e">
        <f>VLOOKUP(Tabelle10[[#This Row],[Rank]],Stammdaten[[Rank Verteilung Krümmung]:[Verteilung Krümmung]],2,FALSE)</f>
        <v>#N/A</v>
      </c>
      <c r="Z3399">
        <v>3390</v>
      </c>
      <c r="AA3399" t="e">
        <f>INDEX(Stammdaten[Ovalität (']0,1'])],MATCH(Tabelle1014[[#This Row],[Rank]],Stammdaten[Rank Verteilung Ovalität],0))</f>
        <v>#N/A</v>
      </c>
      <c r="AB3399" t="e">
        <f>VLOOKUP(Tabelle1014[[#This Row],[Rank]],Stammdaten[[Rank Verteilung Ovalität]:[Verteilung Ovalität]],2,FALSE)</f>
        <v>#N/A</v>
      </c>
    </row>
    <row r="3400" spans="5:28" x14ac:dyDescent="0.35">
      <c r="E3400">
        <v>3391</v>
      </c>
      <c r="F3400" t="e">
        <f>INDEX(Stammdaten[D Mitte mit Rinde (mm)],MATCH(Tabelle8[[#This Row],[Rank]],Stammdaten[Rank Verteilung D Mitte mit Rinde],0))</f>
        <v>#N/A</v>
      </c>
      <c r="G3400" t="e">
        <f>VLOOKUP(Tabelle8[[#This Row],[Rank]],Stammdaten[[Rank Verteilung D Mitte mit Rinde]:[Verteilung D Mitte mit Rinde]],2,FALSE)</f>
        <v>#N/A</v>
      </c>
      <c r="L3400">
        <v>3391</v>
      </c>
      <c r="M3400" t="e">
        <f>INDEX(Stammdaten[Abholzigkeit (mm/lfm)],MATCH(Tabelle9[[#This Row],[Rank]],Stammdaten[Rank Verteilung Abholzigkeit],0))</f>
        <v>#N/A</v>
      </c>
      <c r="N3400" t="e">
        <f>VLOOKUP(Tabelle9[[#This Row],[Rank]],Stammdaten[[Rank Verteilung Abholzigkeit]:[Verteilung Abholzigkeit]],2,FALSE)</f>
        <v>#N/A</v>
      </c>
      <c r="S3400">
        <v>3391</v>
      </c>
      <c r="T3400" t="e">
        <f>INDEX(Stammdaten[Krümmung (mm/lfm)],MATCH(Tabelle10[[#This Row],[Rank]],Stammdaten[Rank Verteilung Krümmung],0))</f>
        <v>#N/A</v>
      </c>
      <c r="U3400" t="e">
        <f>VLOOKUP(Tabelle10[[#This Row],[Rank]],Stammdaten[[Rank Verteilung Krümmung]:[Verteilung Krümmung]],2,FALSE)</f>
        <v>#N/A</v>
      </c>
      <c r="Z3400">
        <v>3391</v>
      </c>
      <c r="AA3400" t="e">
        <f>INDEX(Stammdaten[Ovalität (']0,1'])],MATCH(Tabelle1014[[#This Row],[Rank]],Stammdaten[Rank Verteilung Ovalität],0))</f>
        <v>#N/A</v>
      </c>
      <c r="AB3400" t="e">
        <f>VLOOKUP(Tabelle1014[[#This Row],[Rank]],Stammdaten[[Rank Verteilung Ovalität]:[Verteilung Ovalität]],2,FALSE)</f>
        <v>#N/A</v>
      </c>
    </row>
    <row r="3401" spans="5:28" x14ac:dyDescent="0.35">
      <c r="E3401">
        <v>3392</v>
      </c>
      <c r="F3401" t="e">
        <f>INDEX(Stammdaten[D Mitte mit Rinde (mm)],MATCH(Tabelle8[[#This Row],[Rank]],Stammdaten[Rank Verteilung D Mitte mit Rinde],0))</f>
        <v>#N/A</v>
      </c>
      <c r="G3401" t="e">
        <f>VLOOKUP(Tabelle8[[#This Row],[Rank]],Stammdaten[[Rank Verteilung D Mitte mit Rinde]:[Verteilung D Mitte mit Rinde]],2,FALSE)</f>
        <v>#N/A</v>
      </c>
      <c r="L3401">
        <v>3392</v>
      </c>
      <c r="M3401" t="e">
        <f>INDEX(Stammdaten[Abholzigkeit (mm/lfm)],MATCH(Tabelle9[[#This Row],[Rank]],Stammdaten[Rank Verteilung Abholzigkeit],0))</f>
        <v>#N/A</v>
      </c>
      <c r="N3401" t="e">
        <f>VLOOKUP(Tabelle9[[#This Row],[Rank]],Stammdaten[[Rank Verteilung Abholzigkeit]:[Verteilung Abholzigkeit]],2,FALSE)</f>
        <v>#N/A</v>
      </c>
      <c r="S3401">
        <v>3392</v>
      </c>
      <c r="T3401" t="e">
        <f>INDEX(Stammdaten[Krümmung (mm/lfm)],MATCH(Tabelle10[[#This Row],[Rank]],Stammdaten[Rank Verteilung Krümmung],0))</f>
        <v>#N/A</v>
      </c>
      <c r="U3401" t="e">
        <f>VLOOKUP(Tabelle10[[#This Row],[Rank]],Stammdaten[[Rank Verteilung Krümmung]:[Verteilung Krümmung]],2,FALSE)</f>
        <v>#N/A</v>
      </c>
      <c r="Z3401">
        <v>3392</v>
      </c>
      <c r="AA3401" t="e">
        <f>INDEX(Stammdaten[Ovalität (']0,1'])],MATCH(Tabelle1014[[#This Row],[Rank]],Stammdaten[Rank Verteilung Ovalität],0))</f>
        <v>#N/A</v>
      </c>
      <c r="AB3401" t="e">
        <f>VLOOKUP(Tabelle1014[[#This Row],[Rank]],Stammdaten[[Rank Verteilung Ovalität]:[Verteilung Ovalität]],2,FALSE)</f>
        <v>#N/A</v>
      </c>
    </row>
    <row r="3402" spans="5:28" x14ac:dyDescent="0.35">
      <c r="E3402">
        <v>3393</v>
      </c>
      <c r="F3402" t="e">
        <f>INDEX(Stammdaten[D Mitte mit Rinde (mm)],MATCH(Tabelle8[[#This Row],[Rank]],Stammdaten[Rank Verteilung D Mitte mit Rinde],0))</f>
        <v>#N/A</v>
      </c>
      <c r="G3402" t="e">
        <f>VLOOKUP(Tabelle8[[#This Row],[Rank]],Stammdaten[[Rank Verteilung D Mitte mit Rinde]:[Verteilung D Mitte mit Rinde]],2,FALSE)</f>
        <v>#N/A</v>
      </c>
      <c r="L3402">
        <v>3393</v>
      </c>
      <c r="M3402" t="e">
        <f>INDEX(Stammdaten[Abholzigkeit (mm/lfm)],MATCH(Tabelle9[[#This Row],[Rank]],Stammdaten[Rank Verteilung Abholzigkeit],0))</f>
        <v>#N/A</v>
      </c>
      <c r="N3402" t="e">
        <f>VLOOKUP(Tabelle9[[#This Row],[Rank]],Stammdaten[[Rank Verteilung Abholzigkeit]:[Verteilung Abholzigkeit]],2,FALSE)</f>
        <v>#N/A</v>
      </c>
      <c r="S3402">
        <v>3393</v>
      </c>
      <c r="T3402" t="e">
        <f>INDEX(Stammdaten[Krümmung (mm/lfm)],MATCH(Tabelle10[[#This Row],[Rank]],Stammdaten[Rank Verteilung Krümmung],0))</f>
        <v>#N/A</v>
      </c>
      <c r="U3402" t="e">
        <f>VLOOKUP(Tabelle10[[#This Row],[Rank]],Stammdaten[[Rank Verteilung Krümmung]:[Verteilung Krümmung]],2,FALSE)</f>
        <v>#N/A</v>
      </c>
      <c r="Z3402">
        <v>3393</v>
      </c>
      <c r="AA3402" t="e">
        <f>INDEX(Stammdaten[Ovalität (']0,1'])],MATCH(Tabelle1014[[#This Row],[Rank]],Stammdaten[Rank Verteilung Ovalität],0))</f>
        <v>#N/A</v>
      </c>
      <c r="AB3402" t="e">
        <f>VLOOKUP(Tabelle1014[[#This Row],[Rank]],Stammdaten[[Rank Verteilung Ovalität]:[Verteilung Ovalität]],2,FALSE)</f>
        <v>#N/A</v>
      </c>
    </row>
    <row r="3403" spans="5:28" x14ac:dyDescent="0.35">
      <c r="E3403">
        <v>3394</v>
      </c>
      <c r="F3403" t="e">
        <f>INDEX(Stammdaten[D Mitte mit Rinde (mm)],MATCH(Tabelle8[[#This Row],[Rank]],Stammdaten[Rank Verteilung D Mitte mit Rinde],0))</f>
        <v>#N/A</v>
      </c>
      <c r="G3403" t="e">
        <f>VLOOKUP(Tabelle8[[#This Row],[Rank]],Stammdaten[[Rank Verteilung D Mitte mit Rinde]:[Verteilung D Mitte mit Rinde]],2,FALSE)</f>
        <v>#N/A</v>
      </c>
      <c r="L3403">
        <v>3394</v>
      </c>
      <c r="M3403" t="e">
        <f>INDEX(Stammdaten[Abholzigkeit (mm/lfm)],MATCH(Tabelle9[[#This Row],[Rank]],Stammdaten[Rank Verteilung Abholzigkeit],0))</f>
        <v>#N/A</v>
      </c>
      <c r="N3403" t="e">
        <f>VLOOKUP(Tabelle9[[#This Row],[Rank]],Stammdaten[[Rank Verteilung Abholzigkeit]:[Verteilung Abholzigkeit]],2,FALSE)</f>
        <v>#N/A</v>
      </c>
      <c r="S3403">
        <v>3394</v>
      </c>
      <c r="T3403" t="e">
        <f>INDEX(Stammdaten[Krümmung (mm/lfm)],MATCH(Tabelle10[[#This Row],[Rank]],Stammdaten[Rank Verteilung Krümmung],0))</f>
        <v>#N/A</v>
      </c>
      <c r="U3403" t="e">
        <f>VLOOKUP(Tabelle10[[#This Row],[Rank]],Stammdaten[[Rank Verteilung Krümmung]:[Verteilung Krümmung]],2,FALSE)</f>
        <v>#N/A</v>
      </c>
      <c r="Z3403">
        <v>3394</v>
      </c>
      <c r="AA3403" t="e">
        <f>INDEX(Stammdaten[Ovalität (']0,1'])],MATCH(Tabelle1014[[#This Row],[Rank]],Stammdaten[Rank Verteilung Ovalität],0))</f>
        <v>#N/A</v>
      </c>
      <c r="AB3403" t="e">
        <f>VLOOKUP(Tabelle1014[[#This Row],[Rank]],Stammdaten[[Rank Verteilung Ovalität]:[Verteilung Ovalität]],2,FALSE)</f>
        <v>#N/A</v>
      </c>
    </row>
    <row r="3404" spans="5:28" x14ac:dyDescent="0.35">
      <c r="E3404">
        <v>3395</v>
      </c>
      <c r="F3404" t="e">
        <f>INDEX(Stammdaten[D Mitte mit Rinde (mm)],MATCH(Tabelle8[[#This Row],[Rank]],Stammdaten[Rank Verteilung D Mitte mit Rinde],0))</f>
        <v>#N/A</v>
      </c>
      <c r="G3404" t="e">
        <f>VLOOKUP(Tabelle8[[#This Row],[Rank]],Stammdaten[[Rank Verteilung D Mitte mit Rinde]:[Verteilung D Mitte mit Rinde]],2,FALSE)</f>
        <v>#N/A</v>
      </c>
      <c r="L3404">
        <v>3395</v>
      </c>
      <c r="M3404" t="e">
        <f>INDEX(Stammdaten[Abholzigkeit (mm/lfm)],MATCH(Tabelle9[[#This Row],[Rank]],Stammdaten[Rank Verteilung Abholzigkeit],0))</f>
        <v>#N/A</v>
      </c>
      <c r="N3404" t="e">
        <f>VLOOKUP(Tabelle9[[#This Row],[Rank]],Stammdaten[[Rank Verteilung Abholzigkeit]:[Verteilung Abholzigkeit]],2,FALSE)</f>
        <v>#N/A</v>
      </c>
      <c r="S3404">
        <v>3395</v>
      </c>
      <c r="T3404" t="e">
        <f>INDEX(Stammdaten[Krümmung (mm/lfm)],MATCH(Tabelle10[[#This Row],[Rank]],Stammdaten[Rank Verteilung Krümmung],0))</f>
        <v>#N/A</v>
      </c>
      <c r="U3404" t="e">
        <f>VLOOKUP(Tabelle10[[#This Row],[Rank]],Stammdaten[[Rank Verteilung Krümmung]:[Verteilung Krümmung]],2,FALSE)</f>
        <v>#N/A</v>
      </c>
      <c r="Z3404">
        <v>3395</v>
      </c>
      <c r="AA3404" t="e">
        <f>INDEX(Stammdaten[Ovalität (']0,1'])],MATCH(Tabelle1014[[#This Row],[Rank]],Stammdaten[Rank Verteilung Ovalität],0))</f>
        <v>#N/A</v>
      </c>
      <c r="AB3404" t="e">
        <f>VLOOKUP(Tabelle1014[[#This Row],[Rank]],Stammdaten[[Rank Verteilung Ovalität]:[Verteilung Ovalität]],2,FALSE)</f>
        <v>#N/A</v>
      </c>
    </row>
    <row r="3405" spans="5:28" x14ac:dyDescent="0.35">
      <c r="E3405">
        <v>3396</v>
      </c>
      <c r="F3405" t="e">
        <f>INDEX(Stammdaten[D Mitte mit Rinde (mm)],MATCH(Tabelle8[[#This Row],[Rank]],Stammdaten[Rank Verteilung D Mitte mit Rinde],0))</f>
        <v>#N/A</v>
      </c>
      <c r="G3405" t="e">
        <f>VLOOKUP(Tabelle8[[#This Row],[Rank]],Stammdaten[[Rank Verteilung D Mitte mit Rinde]:[Verteilung D Mitte mit Rinde]],2,FALSE)</f>
        <v>#N/A</v>
      </c>
      <c r="L3405">
        <v>3396</v>
      </c>
      <c r="M3405" t="e">
        <f>INDEX(Stammdaten[Abholzigkeit (mm/lfm)],MATCH(Tabelle9[[#This Row],[Rank]],Stammdaten[Rank Verteilung Abholzigkeit],0))</f>
        <v>#N/A</v>
      </c>
      <c r="N3405" t="e">
        <f>VLOOKUP(Tabelle9[[#This Row],[Rank]],Stammdaten[[Rank Verteilung Abholzigkeit]:[Verteilung Abholzigkeit]],2,FALSE)</f>
        <v>#N/A</v>
      </c>
      <c r="S3405">
        <v>3396</v>
      </c>
      <c r="T3405" t="e">
        <f>INDEX(Stammdaten[Krümmung (mm/lfm)],MATCH(Tabelle10[[#This Row],[Rank]],Stammdaten[Rank Verteilung Krümmung],0))</f>
        <v>#N/A</v>
      </c>
      <c r="U3405" t="e">
        <f>VLOOKUP(Tabelle10[[#This Row],[Rank]],Stammdaten[[Rank Verteilung Krümmung]:[Verteilung Krümmung]],2,FALSE)</f>
        <v>#N/A</v>
      </c>
      <c r="Z3405">
        <v>3396</v>
      </c>
      <c r="AA3405" t="e">
        <f>INDEX(Stammdaten[Ovalität (']0,1'])],MATCH(Tabelle1014[[#This Row],[Rank]],Stammdaten[Rank Verteilung Ovalität],0))</f>
        <v>#N/A</v>
      </c>
      <c r="AB3405" t="e">
        <f>VLOOKUP(Tabelle1014[[#This Row],[Rank]],Stammdaten[[Rank Verteilung Ovalität]:[Verteilung Ovalität]],2,FALSE)</f>
        <v>#N/A</v>
      </c>
    </row>
    <row r="3406" spans="5:28" x14ac:dyDescent="0.35">
      <c r="E3406">
        <v>3397</v>
      </c>
      <c r="F3406" t="e">
        <f>INDEX(Stammdaten[D Mitte mit Rinde (mm)],MATCH(Tabelle8[[#This Row],[Rank]],Stammdaten[Rank Verteilung D Mitte mit Rinde],0))</f>
        <v>#N/A</v>
      </c>
      <c r="G3406" t="e">
        <f>VLOOKUP(Tabelle8[[#This Row],[Rank]],Stammdaten[[Rank Verteilung D Mitte mit Rinde]:[Verteilung D Mitte mit Rinde]],2,FALSE)</f>
        <v>#N/A</v>
      </c>
      <c r="L3406">
        <v>3397</v>
      </c>
      <c r="M3406" t="e">
        <f>INDEX(Stammdaten[Abholzigkeit (mm/lfm)],MATCH(Tabelle9[[#This Row],[Rank]],Stammdaten[Rank Verteilung Abholzigkeit],0))</f>
        <v>#N/A</v>
      </c>
      <c r="N3406" t="e">
        <f>VLOOKUP(Tabelle9[[#This Row],[Rank]],Stammdaten[[Rank Verteilung Abholzigkeit]:[Verteilung Abholzigkeit]],2,FALSE)</f>
        <v>#N/A</v>
      </c>
      <c r="S3406">
        <v>3397</v>
      </c>
      <c r="T3406" t="e">
        <f>INDEX(Stammdaten[Krümmung (mm/lfm)],MATCH(Tabelle10[[#This Row],[Rank]],Stammdaten[Rank Verteilung Krümmung],0))</f>
        <v>#N/A</v>
      </c>
      <c r="U3406" t="e">
        <f>VLOOKUP(Tabelle10[[#This Row],[Rank]],Stammdaten[[Rank Verteilung Krümmung]:[Verteilung Krümmung]],2,FALSE)</f>
        <v>#N/A</v>
      </c>
      <c r="Z3406">
        <v>3397</v>
      </c>
      <c r="AA3406" t="e">
        <f>INDEX(Stammdaten[Ovalität (']0,1'])],MATCH(Tabelle1014[[#This Row],[Rank]],Stammdaten[Rank Verteilung Ovalität],0))</f>
        <v>#N/A</v>
      </c>
      <c r="AB3406" t="e">
        <f>VLOOKUP(Tabelle1014[[#This Row],[Rank]],Stammdaten[[Rank Verteilung Ovalität]:[Verteilung Ovalität]],2,FALSE)</f>
        <v>#N/A</v>
      </c>
    </row>
    <row r="3407" spans="5:28" x14ac:dyDescent="0.35">
      <c r="E3407">
        <v>3398</v>
      </c>
      <c r="F3407" t="e">
        <f>INDEX(Stammdaten[D Mitte mit Rinde (mm)],MATCH(Tabelle8[[#This Row],[Rank]],Stammdaten[Rank Verteilung D Mitte mit Rinde],0))</f>
        <v>#N/A</v>
      </c>
      <c r="G3407" t="e">
        <f>VLOOKUP(Tabelle8[[#This Row],[Rank]],Stammdaten[[Rank Verteilung D Mitte mit Rinde]:[Verteilung D Mitte mit Rinde]],2,FALSE)</f>
        <v>#N/A</v>
      </c>
      <c r="L3407">
        <v>3398</v>
      </c>
      <c r="M3407" t="e">
        <f>INDEX(Stammdaten[Abholzigkeit (mm/lfm)],MATCH(Tabelle9[[#This Row],[Rank]],Stammdaten[Rank Verteilung Abholzigkeit],0))</f>
        <v>#N/A</v>
      </c>
      <c r="N3407" t="e">
        <f>VLOOKUP(Tabelle9[[#This Row],[Rank]],Stammdaten[[Rank Verteilung Abholzigkeit]:[Verteilung Abholzigkeit]],2,FALSE)</f>
        <v>#N/A</v>
      </c>
      <c r="S3407">
        <v>3398</v>
      </c>
      <c r="T3407" t="e">
        <f>INDEX(Stammdaten[Krümmung (mm/lfm)],MATCH(Tabelle10[[#This Row],[Rank]],Stammdaten[Rank Verteilung Krümmung],0))</f>
        <v>#N/A</v>
      </c>
      <c r="U3407" t="e">
        <f>VLOOKUP(Tabelle10[[#This Row],[Rank]],Stammdaten[[Rank Verteilung Krümmung]:[Verteilung Krümmung]],2,FALSE)</f>
        <v>#N/A</v>
      </c>
      <c r="Z3407">
        <v>3398</v>
      </c>
      <c r="AA3407" t="e">
        <f>INDEX(Stammdaten[Ovalität (']0,1'])],MATCH(Tabelle1014[[#This Row],[Rank]],Stammdaten[Rank Verteilung Ovalität],0))</f>
        <v>#N/A</v>
      </c>
      <c r="AB3407" t="e">
        <f>VLOOKUP(Tabelle1014[[#This Row],[Rank]],Stammdaten[[Rank Verteilung Ovalität]:[Verteilung Ovalität]],2,FALSE)</f>
        <v>#N/A</v>
      </c>
    </row>
    <row r="3408" spans="5:28" x14ac:dyDescent="0.35">
      <c r="E3408">
        <v>3399</v>
      </c>
      <c r="F3408" t="e">
        <f>INDEX(Stammdaten[D Mitte mit Rinde (mm)],MATCH(Tabelle8[[#This Row],[Rank]],Stammdaten[Rank Verteilung D Mitte mit Rinde],0))</f>
        <v>#N/A</v>
      </c>
      <c r="G3408" t="e">
        <f>VLOOKUP(Tabelle8[[#This Row],[Rank]],Stammdaten[[Rank Verteilung D Mitte mit Rinde]:[Verteilung D Mitte mit Rinde]],2,FALSE)</f>
        <v>#N/A</v>
      </c>
      <c r="L3408">
        <v>3399</v>
      </c>
      <c r="M3408" t="e">
        <f>INDEX(Stammdaten[Abholzigkeit (mm/lfm)],MATCH(Tabelle9[[#This Row],[Rank]],Stammdaten[Rank Verteilung Abholzigkeit],0))</f>
        <v>#N/A</v>
      </c>
      <c r="N3408" t="e">
        <f>VLOOKUP(Tabelle9[[#This Row],[Rank]],Stammdaten[[Rank Verteilung Abholzigkeit]:[Verteilung Abholzigkeit]],2,FALSE)</f>
        <v>#N/A</v>
      </c>
      <c r="S3408">
        <v>3399</v>
      </c>
      <c r="T3408" t="e">
        <f>INDEX(Stammdaten[Krümmung (mm/lfm)],MATCH(Tabelle10[[#This Row],[Rank]],Stammdaten[Rank Verteilung Krümmung],0))</f>
        <v>#N/A</v>
      </c>
      <c r="U3408" t="e">
        <f>VLOOKUP(Tabelle10[[#This Row],[Rank]],Stammdaten[[Rank Verteilung Krümmung]:[Verteilung Krümmung]],2,FALSE)</f>
        <v>#N/A</v>
      </c>
      <c r="Z3408">
        <v>3399</v>
      </c>
      <c r="AA3408" t="e">
        <f>INDEX(Stammdaten[Ovalität (']0,1'])],MATCH(Tabelle1014[[#This Row],[Rank]],Stammdaten[Rank Verteilung Ovalität],0))</f>
        <v>#N/A</v>
      </c>
      <c r="AB3408" t="e">
        <f>VLOOKUP(Tabelle1014[[#This Row],[Rank]],Stammdaten[[Rank Verteilung Ovalität]:[Verteilung Ovalität]],2,FALSE)</f>
        <v>#N/A</v>
      </c>
    </row>
    <row r="3409" spans="5:28" x14ac:dyDescent="0.35">
      <c r="E3409">
        <v>3400</v>
      </c>
      <c r="F3409" t="e">
        <f>INDEX(Stammdaten[D Mitte mit Rinde (mm)],MATCH(Tabelle8[[#This Row],[Rank]],Stammdaten[Rank Verteilung D Mitte mit Rinde],0))</f>
        <v>#N/A</v>
      </c>
      <c r="G3409" t="e">
        <f>VLOOKUP(Tabelle8[[#This Row],[Rank]],Stammdaten[[Rank Verteilung D Mitte mit Rinde]:[Verteilung D Mitte mit Rinde]],2,FALSE)</f>
        <v>#N/A</v>
      </c>
      <c r="L3409">
        <v>3400</v>
      </c>
      <c r="M3409" t="e">
        <f>INDEX(Stammdaten[Abholzigkeit (mm/lfm)],MATCH(Tabelle9[[#This Row],[Rank]],Stammdaten[Rank Verteilung Abholzigkeit],0))</f>
        <v>#N/A</v>
      </c>
      <c r="N3409" t="e">
        <f>VLOOKUP(Tabelle9[[#This Row],[Rank]],Stammdaten[[Rank Verteilung Abholzigkeit]:[Verteilung Abholzigkeit]],2,FALSE)</f>
        <v>#N/A</v>
      </c>
      <c r="S3409">
        <v>3400</v>
      </c>
      <c r="T3409" t="e">
        <f>INDEX(Stammdaten[Krümmung (mm/lfm)],MATCH(Tabelle10[[#This Row],[Rank]],Stammdaten[Rank Verteilung Krümmung],0))</f>
        <v>#N/A</v>
      </c>
      <c r="U3409" t="e">
        <f>VLOOKUP(Tabelle10[[#This Row],[Rank]],Stammdaten[[Rank Verteilung Krümmung]:[Verteilung Krümmung]],2,FALSE)</f>
        <v>#N/A</v>
      </c>
      <c r="Z3409">
        <v>3400</v>
      </c>
      <c r="AA3409" t="e">
        <f>INDEX(Stammdaten[Ovalität (']0,1'])],MATCH(Tabelle1014[[#This Row],[Rank]],Stammdaten[Rank Verteilung Ovalität],0))</f>
        <v>#N/A</v>
      </c>
      <c r="AB3409" t="e">
        <f>VLOOKUP(Tabelle1014[[#This Row],[Rank]],Stammdaten[[Rank Verteilung Ovalität]:[Verteilung Ovalität]],2,FALSE)</f>
        <v>#N/A</v>
      </c>
    </row>
    <row r="3410" spans="5:28" x14ac:dyDescent="0.35">
      <c r="E3410">
        <v>3401</v>
      </c>
      <c r="F3410" t="e">
        <f>INDEX(Stammdaten[D Mitte mit Rinde (mm)],MATCH(Tabelle8[[#This Row],[Rank]],Stammdaten[Rank Verteilung D Mitte mit Rinde],0))</f>
        <v>#N/A</v>
      </c>
      <c r="G3410" t="e">
        <f>VLOOKUP(Tabelle8[[#This Row],[Rank]],Stammdaten[[Rank Verteilung D Mitte mit Rinde]:[Verteilung D Mitte mit Rinde]],2,FALSE)</f>
        <v>#N/A</v>
      </c>
      <c r="L3410">
        <v>3401</v>
      </c>
      <c r="M3410" t="e">
        <f>INDEX(Stammdaten[Abholzigkeit (mm/lfm)],MATCH(Tabelle9[[#This Row],[Rank]],Stammdaten[Rank Verteilung Abholzigkeit],0))</f>
        <v>#N/A</v>
      </c>
      <c r="N3410" t="e">
        <f>VLOOKUP(Tabelle9[[#This Row],[Rank]],Stammdaten[[Rank Verteilung Abholzigkeit]:[Verteilung Abholzigkeit]],2,FALSE)</f>
        <v>#N/A</v>
      </c>
      <c r="S3410">
        <v>3401</v>
      </c>
      <c r="T3410" t="e">
        <f>INDEX(Stammdaten[Krümmung (mm/lfm)],MATCH(Tabelle10[[#This Row],[Rank]],Stammdaten[Rank Verteilung Krümmung],0))</f>
        <v>#N/A</v>
      </c>
      <c r="U3410" t="e">
        <f>VLOOKUP(Tabelle10[[#This Row],[Rank]],Stammdaten[[Rank Verteilung Krümmung]:[Verteilung Krümmung]],2,FALSE)</f>
        <v>#N/A</v>
      </c>
      <c r="Z3410">
        <v>3401</v>
      </c>
      <c r="AA3410" t="e">
        <f>INDEX(Stammdaten[Ovalität (']0,1'])],MATCH(Tabelle1014[[#This Row],[Rank]],Stammdaten[Rank Verteilung Ovalität],0))</f>
        <v>#N/A</v>
      </c>
      <c r="AB3410" t="e">
        <f>VLOOKUP(Tabelle1014[[#This Row],[Rank]],Stammdaten[[Rank Verteilung Ovalität]:[Verteilung Ovalität]],2,FALSE)</f>
        <v>#N/A</v>
      </c>
    </row>
    <row r="3411" spans="5:28" x14ac:dyDescent="0.35">
      <c r="E3411">
        <v>3402</v>
      </c>
      <c r="F3411" t="e">
        <f>INDEX(Stammdaten[D Mitte mit Rinde (mm)],MATCH(Tabelle8[[#This Row],[Rank]],Stammdaten[Rank Verteilung D Mitte mit Rinde],0))</f>
        <v>#N/A</v>
      </c>
      <c r="G3411" t="e">
        <f>VLOOKUP(Tabelle8[[#This Row],[Rank]],Stammdaten[[Rank Verteilung D Mitte mit Rinde]:[Verteilung D Mitte mit Rinde]],2,FALSE)</f>
        <v>#N/A</v>
      </c>
      <c r="L3411">
        <v>3402</v>
      </c>
      <c r="M3411" t="e">
        <f>INDEX(Stammdaten[Abholzigkeit (mm/lfm)],MATCH(Tabelle9[[#This Row],[Rank]],Stammdaten[Rank Verteilung Abholzigkeit],0))</f>
        <v>#N/A</v>
      </c>
      <c r="N3411" t="e">
        <f>VLOOKUP(Tabelle9[[#This Row],[Rank]],Stammdaten[[Rank Verteilung Abholzigkeit]:[Verteilung Abholzigkeit]],2,FALSE)</f>
        <v>#N/A</v>
      </c>
      <c r="S3411">
        <v>3402</v>
      </c>
      <c r="T3411" t="e">
        <f>INDEX(Stammdaten[Krümmung (mm/lfm)],MATCH(Tabelle10[[#This Row],[Rank]],Stammdaten[Rank Verteilung Krümmung],0))</f>
        <v>#N/A</v>
      </c>
      <c r="U3411" t="e">
        <f>VLOOKUP(Tabelle10[[#This Row],[Rank]],Stammdaten[[Rank Verteilung Krümmung]:[Verteilung Krümmung]],2,FALSE)</f>
        <v>#N/A</v>
      </c>
      <c r="Z3411">
        <v>3402</v>
      </c>
      <c r="AA3411" t="e">
        <f>INDEX(Stammdaten[Ovalität (']0,1'])],MATCH(Tabelle1014[[#This Row],[Rank]],Stammdaten[Rank Verteilung Ovalität],0))</f>
        <v>#N/A</v>
      </c>
      <c r="AB3411" t="e">
        <f>VLOOKUP(Tabelle1014[[#This Row],[Rank]],Stammdaten[[Rank Verteilung Ovalität]:[Verteilung Ovalität]],2,FALSE)</f>
        <v>#N/A</v>
      </c>
    </row>
    <row r="3412" spans="5:28" x14ac:dyDescent="0.35">
      <c r="E3412">
        <v>3403</v>
      </c>
      <c r="F3412" t="e">
        <f>INDEX(Stammdaten[D Mitte mit Rinde (mm)],MATCH(Tabelle8[[#This Row],[Rank]],Stammdaten[Rank Verteilung D Mitte mit Rinde],0))</f>
        <v>#N/A</v>
      </c>
      <c r="G3412" t="e">
        <f>VLOOKUP(Tabelle8[[#This Row],[Rank]],Stammdaten[[Rank Verteilung D Mitte mit Rinde]:[Verteilung D Mitte mit Rinde]],2,FALSE)</f>
        <v>#N/A</v>
      </c>
      <c r="L3412">
        <v>3403</v>
      </c>
      <c r="M3412" t="e">
        <f>INDEX(Stammdaten[Abholzigkeit (mm/lfm)],MATCH(Tabelle9[[#This Row],[Rank]],Stammdaten[Rank Verteilung Abholzigkeit],0))</f>
        <v>#N/A</v>
      </c>
      <c r="N3412" t="e">
        <f>VLOOKUP(Tabelle9[[#This Row],[Rank]],Stammdaten[[Rank Verteilung Abholzigkeit]:[Verteilung Abholzigkeit]],2,FALSE)</f>
        <v>#N/A</v>
      </c>
      <c r="S3412">
        <v>3403</v>
      </c>
      <c r="T3412" t="e">
        <f>INDEX(Stammdaten[Krümmung (mm/lfm)],MATCH(Tabelle10[[#This Row],[Rank]],Stammdaten[Rank Verteilung Krümmung],0))</f>
        <v>#N/A</v>
      </c>
      <c r="U3412" t="e">
        <f>VLOOKUP(Tabelle10[[#This Row],[Rank]],Stammdaten[[Rank Verteilung Krümmung]:[Verteilung Krümmung]],2,FALSE)</f>
        <v>#N/A</v>
      </c>
      <c r="Z3412">
        <v>3403</v>
      </c>
      <c r="AA3412" t="e">
        <f>INDEX(Stammdaten[Ovalität (']0,1'])],MATCH(Tabelle1014[[#This Row],[Rank]],Stammdaten[Rank Verteilung Ovalität],0))</f>
        <v>#N/A</v>
      </c>
      <c r="AB3412" t="e">
        <f>VLOOKUP(Tabelle1014[[#This Row],[Rank]],Stammdaten[[Rank Verteilung Ovalität]:[Verteilung Ovalität]],2,FALSE)</f>
        <v>#N/A</v>
      </c>
    </row>
    <row r="3413" spans="5:28" x14ac:dyDescent="0.35">
      <c r="E3413">
        <v>3404</v>
      </c>
      <c r="F3413" t="e">
        <f>INDEX(Stammdaten[D Mitte mit Rinde (mm)],MATCH(Tabelle8[[#This Row],[Rank]],Stammdaten[Rank Verteilung D Mitte mit Rinde],0))</f>
        <v>#N/A</v>
      </c>
      <c r="G3413" t="e">
        <f>VLOOKUP(Tabelle8[[#This Row],[Rank]],Stammdaten[[Rank Verteilung D Mitte mit Rinde]:[Verteilung D Mitte mit Rinde]],2,FALSE)</f>
        <v>#N/A</v>
      </c>
      <c r="L3413">
        <v>3404</v>
      </c>
      <c r="M3413" t="e">
        <f>INDEX(Stammdaten[Abholzigkeit (mm/lfm)],MATCH(Tabelle9[[#This Row],[Rank]],Stammdaten[Rank Verteilung Abholzigkeit],0))</f>
        <v>#N/A</v>
      </c>
      <c r="N3413" t="e">
        <f>VLOOKUP(Tabelle9[[#This Row],[Rank]],Stammdaten[[Rank Verteilung Abholzigkeit]:[Verteilung Abholzigkeit]],2,FALSE)</f>
        <v>#N/A</v>
      </c>
      <c r="S3413">
        <v>3404</v>
      </c>
      <c r="T3413" t="e">
        <f>INDEX(Stammdaten[Krümmung (mm/lfm)],MATCH(Tabelle10[[#This Row],[Rank]],Stammdaten[Rank Verteilung Krümmung],0))</f>
        <v>#N/A</v>
      </c>
      <c r="U3413" t="e">
        <f>VLOOKUP(Tabelle10[[#This Row],[Rank]],Stammdaten[[Rank Verteilung Krümmung]:[Verteilung Krümmung]],2,FALSE)</f>
        <v>#N/A</v>
      </c>
      <c r="Z3413">
        <v>3404</v>
      </c>
      <c r="AA3413" t="e">
        <f>INDEX(Stammdaten[Ovalität (']0,1'])],MATCH(Tabelle1014[[#This Row],[Rank]],Stammdaten[Rank Verteilung Ovalität],0))</f>
        <v>#N/A</v>
      </c>
      <c r="AB3413" t="e">
        <f>VLOOKUP(Tabelle1014[[#This Row],[Rank]],Stammdaten[[Rank Verteilung Ovalität]:[Verteilung Ovalität]],2,FALSE)</f>
        <v>#N/A</v>
      </c>
    </row>
    <row r="3414" spans="5:28" x14ac:dyDescent="0.35">
      <c r="E3414">
        <v>3405</v>
      </c>
      <c r="F3414" t="e">
        <f>INDEX(Stammdaten[D Mitte mit Rinde (mm)],MATCH(Tabelle8[[#This Row],[Rank]],Stammdaten[Rank Verteilung D Mitte mit Rinde],0))</f>
        <v>#N/A</v>
      </c>
      <c r="G3414" t="e">
        <f>VLOOKUP(Tabelle8[[#This Row],[Rank]],Stammdaten[[Rank Verteilung D Mitte mit Rinde]:[Verteilung D Mitte mit Rinde]],2,FALSE)</f>
        <v>#N/A</v>
      </c>
      <c r="L3414">
        <v>3405</v>
      </c>
      <c r="M3414" t="e">
        <f>INDEX(Stammdaten[Abholzigkeit (mm/lfm)],MATCH(Tabelle9[[#This Row],[Rank]],Stammdaten[Rank Verteilung Abholzigkeit],0))</f>
        <v>#N/A</v>
      </c>
      <c r="N3414" t="e">
        <f>VLOOKUP(Tabelle9[[#This Row],[Rank]],Stammdaten[[Rank Verteilung Abholzigkeit]:[Verteilung Abholzigkeit]],2,FALSE)</f>
        <v>#N/A</v>
      </c>
      <c r="S3414">
        <v>3405</v>
      </c>
      <c r="T3414" t="e">
        <f>INDEX(Stammdaten[Krümmung (mm/lfm)],MATCH(Tabelle10[[#This Row],[Rank]],Stammdaten[Rank Verteilung Krümmung],0))</f>
        <v>#N/A</v>
      </c>
      <c r="U3414" t="e">
        <f>VLOOKUP(Tabelle10[[#This Row],[Rank]],Stammdaten[[Rank Verteilung Krümmung]:[Verteilung Krümmung]],2,FALSE)</f>
        <v>#N/A</v>
      </c>
      <c r="Z3414">
        <v>3405</v>
      </c>
      <c r="AA3414" t="e">
        <f>INDEX(Stammdaten[Ovalität (']0,1'])],MATCH(Tabelle1014[[#This Row],[Rank]],Stammdaten[Rank Verteilung Ovalität],0))</f>
        <v>#N/A</v>
      </c>
      <c r="AB3414" t="e">
        <f>VLOOKUP(Tabelle1014[[#This Row],[Rank]],Stammdaten[[Rank Verteilung Ovalität]:[Verteilung Ovalität]],2,FALSE)</f>
        <v>#N/A</v>
      </c>
    </row>
    <row r="3415" spans="5:28" x14ac:dyDescent="0.35">
      <c r="E3415">
        <v>3406</v>
      </c>
      <c r="F3415" t="e">
        <f>INDEX(Stammdaten[D Mitte mit Rinde (mm)],MATCH(Tabelle8[[#This Row],[Rank]],Stammdaten[Rank Verteilung D Mitte mit Rinde],0))</f>
        <v>#N/A</v>
      </c>
      <c r="G3415" t="e">
        <f>VLOOKUP(Tabelle8[[#This Row],[Rank]],Stammdaten[[Rank Verteilung D Mitte mit Rinde]:[Verteilung D Mitte mit Rinde]],2,FALSE)</f>
        <v>#N/A</v>
      </c>
      <c r="L3415">
        <v>3406</v>
      </c>
      <c r="M3415" t="e">
        <f>INDEX(Stammdaten[Abholzigkeit (mm/lfm)],MATCH(Tabelle9[[#This Row],[Rank]],Stammdaten[Rank Verteilung Abholzigkeit],0))</f>
        <v>#N/A</v>
      </c>
      <c r="N3415" t="e">
        <f>VLOOKUP(Tabelle9[[#This Row],[Rank]],Stammdaten[[Rank Verteilung Abholzigkeit]:[Verteilung Abholzigkeit]],2,FALSE)</f>
        <v>#N/A</v>
      </c>
      <c r="S3415">
        <v>3406</v>
      </c>
      <c r="T3415" t="e">
        <f>INDEX(Stammdaten[Krümmung (mm/lfm)],MATCH(Tabelle10[[#This Row],[Rank]],Stammdaten[Rank Verteilung Krümmung],0))</f>
        <v>#N/A</v>
      </c>
      <c r="U3415" t="e">
        <f>VLOOKUP(Tabelle10[[#This Row],[Rank]],Stammdaten[[Rank Verteilung Krümmung]:[Verteilung Krümmung]],2,FALSE)</f>
        <v>#N/A</v>
      </c>
      <c r="Z3415">
        <v>3406</v>
      </c>
      <c r="AA3415" t="e">
        <f>INDEX(Stammdaten[Ovalität (']0,1'])],MATCH(Tabelle1014[[#This Row],[Rank]],Stammdaten[Rank Verteilung Ovalität],0))</f>
        <v>#N/A</v>
      </c>
      <c r="AB3415" t="e">
        <f>VLOOKUP(Tabelle1014[[#This Row],[Rank]],Stammdaten[[Rank Verteilung Ovalität]:[Verteilung Ovalität]],2,FALSE)</f>
        <v>#N/A</v>
      </c>
    </row>
    <row r="3416" spans="5:28" x14ac:dyDescent="0.35">
      <c r="E3416">
        <v>3407</v>
      </c>
      <c r="F3416" t="e">
        <f>INDEX(Stammdaten[D Mitte mit Rinde (mm)],MATCH(Tabelle8[[#This Row],[Rank]],Stammdaten[Rank Verteilung D Mitte mit Rinde],0))</f>
        <v>#N/A</v>
      </c>
      <c r="G3416" t="e">
        <f>VLOOKUP(Tabelle8[[#This Row],[Rank]],Stammdaten[[Rank Verteilung D Mitte mit Rinde]:[Verteilung D Mitte mit Rinde]],2,FALSE)</f>
        <v>#N/A</v>
      </c>
      <c r="L3416">
        <v>3407</v>
      </c>
      <c r="M3416" t="e">
        <f>INDEX(Stammdaten[Abholzigkeit (mm/lfm)],MATCH(Tabelle9[[#This Row],[Rank]],Stammdaten[Rank Verteilung Abholzigkeit],0))</f>
        <v>#N/A</v>
      </c>
      <c r="N3416" t="e">
        <f>VLOOKUP(Tabelle9[[#This Row],[Rank]],Stammdaten[[Rank Verteilung Abholzigkeit]:[Verteilung Abholzigkeit]],2,FALSE)</f>
        <v>#N/A</v>
      </c>
      <c r="S3416">
        <v>3407</v>
      </c>
      <c r="T3416" t="e">
        <f>INDEX(Stammdaten[Krümmung (mm/lfm)],MATCH(Tabelle10[[#This Row],[Rank]],Stammdaten[Rank Verteilung Krümmung],0))</f>
        <v>#N/A</v>
      </c>
      <c r="U3416" t="e">
        <f>VLOOKUP(Tabelle10[[#This Row],[Rank]],Stammdaten[[Rank Verteilung Krümmung]:[Verteilung Krümmung]],2,FALSE)</f>
        <v>#N/A</v>
      </c>
      <c r="Z3416">
        <v>3407</v>
      </c>
      <c r="AA3416" t="e">
        <f>INDEX(Stammdaten[Ovalität (']0,1'])],MATCH(Tabelle1014[[#This Row],[Rank]],Stammdaten[Rank Verteilung Ovalität],0))</f>
        <v>#N/A</v>
      </c>
      <c r="AB3416" t="e">
        <f>VLOOKUP(Tabelle1014[[#This Row],[Rank]],Stammdaten[[Rank Verteilung Ovalität]:[Verteilung Ovalität]],2,FALSE)</f>
        <v>#N/A</v>
      </c>
    </row>
    <row r="3417" spans="5:28" x14ac:dyDescent="0.35">
      <c r="E3417">
        <v>3408</v>
      </c>
      <c r="F3417" t="e">
        <f>INDEX(Stammdaten[D Mitte mit Rinde (mm)],MATCH(Tabelle8[[#This Row],[Rank]],Stammdaten[Rank Verteilung D Mitte mit Rinde],0))</f>
        <v>#N/A</v>
      </c>
      <c r="G3417" t="e">
        <f>VLOOKUP(Tabelle8[[#This Row],[Rank]],Stammdaten[[Rank Verteilung D Mitte mit Rinde]:[Verteilung D Mitte mit Rinde]],2,FALSE)</f>
        <v>#N/A</v>
      </c>
      <c r="L3417">
        <v>3408</v>
      </c>
      <c r="M3417" t="e">
        <f>INDEX(Stammdaten[Abholzigkeit (mm/lfm)],MATCH(Tabelle9[[#This Row],[Rank]],Stammdaten[Rank Verteilung Abholzigkeit],0))</f>
        <v>#N/A</v>
      </c>
      <c r="N3417" t="e">
        <f>VLOOKUP(Tabelle9[[#This Row],[Rank]],Stammdaten[[Rank Verteilung Abholzigkeit]:[Verteilung Abholzigkeit]],2,FALSE)</f>
        <v>#N/A</v>
      </c>
      <c r="S3417">
        <v>3408</v>
      </c>
      <c r="T3417" t="e">
        <f>INDEX(Stammdaten[Krümmung (mm/lfm)],MATCH(Tabelle10[[#This Row],[Rank]],Stammdaten[Rank Verteilung Krümmung],0))</f>
        <v>#N/A</v>
      </c>
      <c r="U3417" t="e">
        <f>VLOOKUP(Tabelle10[[#This Row],[Rank]],Stammdaten[[Rank Verteilung Krümmung]:[Verteilung Krümmung]],2,FALSE)</f>
        <v>#N/A</v>
      </c>
      <c r="Z3417">
        <v>3408</v>
      </c>
      <c r="AA3417" t="e">
        <f>INDEX(Stammdaten[Ovalität (']0,1'])],MATCH(Tabelle1014[[#This Row],[Rank]],Stammdaten[Rank Verteilung Ovalität],0))</f>
        <v>#N/A</v>
      </c>
      <c r="AB3417" t="e">
        <f>VLOOKUP(Tabelle1014[[#This Row],[Rank]],Stammdaten[[Rank Verteilung Ovalität]:[Verteilung Ovalität]],2,FALSE)</f>
        <v>#N/A</v>
      </c>
    </row>
    <row r="3418" spans="5:28" x14ac:dyDescent="0.35">
      <c r="E3418">
        <v>3409</v>
      </c>
      <c r="F3418" t="e">
        <f>INDEX(Stammdaten[D Mitte mit Rinde (mm)],MATCH(Tabelle8[[#This Row],[Rank]],Stammdaten[Rank Verteilung D Mitte mit Rinde],0))</f>
        <v>#N/A</v>
      </c>
      <c r="G3418" t="e">
        <f>VLOOKUP(Tabelle8[[#This Row],[Rank]],Stammdaten[[Rank Verteilung D Mitte mit Rinde]:[Verteilung D Mitte mit Rinde]],2,FALSE)</f>
        <v>#N/A</v>
      </c>
      <c r="L3418">
        <v>3409</v>
      </c>
      <c r="M3418" t="e">
        <f>INDEX(Stammdaten[Abholzigkeit (mm/lfm)],MATCH(Tabelle9[[#This Row],[Rank]],Stammdaten[Rank Verteilung Abholzigkeit],0))</f>
        <v>#N/A</v>
      </c>
      <c r="N3418" t="e">
        <f>VLOOKUP(Tabelle9[[#This Row],[Rank]],Stammdaten[[Rank Verteilung Abholzigkeit]:[Verteilung Abholzigkeit]],2,FALSE)</f>
        <v>#N/A</v>
      </c>
      <c r="S3418">
        <v>3409</v>
      </c>
      <c r="T3418" t="e">
        <f>INDEX(Stammdaten[Krümmung (mm/lfm)],MATCH(Tabelle10[[#This Row],[Rank]],Stammdaten[Rank Verteilung Krümmung],0))</f>
        <v>#N/A</v>
      </c>
      <c r="U3418" t="e">
        <f>VLOOKUP(Tabelle10[[#This Row],[Rank]],Stammdaten[[Rank Verteilung Krümmung]:[Verteilung Krümmung]],2,FALSE)</f>
        <v>#N/A</v>
      </c>
      <c r="Z3418">
        <v>3409</v>
      </c>
      <c r="AA3418" t="e">
        <f>INDEX(Stammdaten[Ovalität (']0,1'])],MATCH(Tabelle1014[[#This Row],[Rank]],Stammdaten[Rank Verteilung Ovalität],0))</f>
        <v>#N/A</v>
      </c>
      <c r="AB3418" t="e">
        <f>VLOOKUP(Tabelle1014[[#This Row],[Rank]],Stammdaten[[Rank Verteilung Ovalität]:[Verteilung Ovalität]],2,FALSE)</f>
        <v>#N/A</v>
      </c>
    </row>
    <row r="3419" spans="5:28" x14ac:dyDescent="0.35">
      <c r="E3419">
        <v>3410</v>
      </c>
      <c r="F3419" t="e">
        <f>INDEX(Stammdaten[D Mitte mit Rinde (mm)],MATCH(Tabelle8[[#This Row],[Rank]],Stammdaten[Rank Verteilung D Mitte mit Rinde],0))</f>
        <v>#N/A</v>
      </c>
      <c r="G3419" t="e">
        <f>VLOOKUP(Tabelle8[[#This Row],[Rank]],Stammdaten[[Rank Verteilung D Mitte mit Rinde]:[Verteilung D Mitte mit Rinde]],2,FALSE)</f>
        <v>#N/A</v>
      </c>
      <c r="L3419">
        <v>3410</v>
      </c>
      <c r="M3419" t="e">
        <f>INDEX(Stammdaten[Abholzigkeit (mm/lfm)],MATCH(Tabelle9[[#This Row],[Rank]],Stammdaten[Rank Verteilung Abholzigkeit],0))</f>
        <v>#N/A</v>
      </c>
      <c r="N3419" t="e">
        <f>VLOOKUP(Tabelle9[[#This Row],[Rank]],Stammdaten[[Rank Verteilung Abholzigkeit]:[Verteilung Abholzigkeit]],2,FALSE)</f>
        <v>#N/A</v>
      </c>
      <c r="S3419">
        <v>3410</v>
      </c>
      <c r="T3419" t="e">
        <f>INDEX(Stammdaten[Krümmung (mm/lfm)],MATCH(Tabelle10[[#This Row],[Rank]],Stammdaten[Rank Verteilung Krümmung],0))</f>
        <v>#N/A</v>
      </c>
      <c r="U3419" t="e">
        <f>VLOOKUP(Tabelle10[[#This Row],[Rank]],Stammdaten[[Rank Verteilung Krümmung]:[Verteilung Krümmung]],2,FALSE)</f>
        <v>#N/A</v>
      </c>
      <c r="Z3419">
        <v>3410</v>
      </c>
      <c r="AA3419" t="e">
        <f>INDEX(Stammdaten[Ovalität (']0,1'])],MATCH(Tabelle1014[[#This Row],[Rank]],Stammdaten[Rank Verteilung Ovalität],0))</f>
        <v>#N/A</v>
      </c>
      <c r="AB3419" t="e">
        <f>VLOOKUP(Tabelle1014[[#This Row],[Rank]],Stammdaten[[Rank Verteilung Ovalität]:[Verteilung Ovalität]],2,FALSE)</f>
        <v>#N/A</v>
      </c>
    </row>
    <row r="3420" spans="5:28" x14ac:dyDescent="0.35">
      <c r="E3420">
        <v>3411</v>
      </c>
      <c r="F3420" t="e">
        <f>INDEX(Stammdaten[D Mitte mit Rinde (mm)],MATCH(Tabelle8[[#This Row],[Rank]],Stammdaten[Rank Verteilung D Mitte mit Rinde],0))</f>
        <v>#N/A</v>
      </c>
      <c r="G3420" t="e">
        <f>VLOOKUP(Tabelle8[[#This Row],[Rank]],Stammdaten[[Rank Verteilung D Mitte mit Rinde]:[Verteilung D Mitte mit Rinde]],2,FALSE)</f>
        <v>#N/A</v>
      </c>
      <c r="L3420">
        <v>3411</v>
      </c>
      <c r="M3420" t="e">
        <f>INDEX(Stammdaten[Abholzigkeit (mm/lfm)],MATCH(Tabelle9[[#This Row],[Rank]],Stammdaten[Rank Verteilung Abholzigkeit],0))</f>
        <v>#N/A</v>
      </c>
      <c r="N3420" t="e">
        <f>VLOOKUP(Tabelle9[[#This Row],[Rank]],Stammdaten[[Rank Verteilung Abholzigkeit]:[Verteilung Abholzigkeit]],2,FALSE)</f>
        <v>#N/A</v>
      </c>
      <c r="S3420">
        <v>3411</v>
      </c>
      <c r="T3420" t="e">
        <f>INDEX(Stammdaten[Krümmung (mm/lfm)],MATCH(Tabelle10[[#This Row],[Rank]],Stammdaten[Rank Verteilung Krümmung],0))</f>
        <v>#N/A</v>
      </c>
      <c r="U3420" t="e">
        <f>VLOOKUP(Tabelle10[[#This Row],[Rank]],Stammdaten[[Rank Verteilung Krümmung]:[Verteilung Krümmung]],2,FALSE)</f>
        <v>#N/A</v>
      </c>
      <c r="Z3420">
        <v>3411</v>
      </c>
      <c r="AA3420" t="e">
        <f>INDEX(Stammdaten[Ovalität (']0,1'])],MATCH(Tabelle1014[[#This Row],[Rank]],Stammdaten[Rank Verteilung Ovalität],0))</f>
        <v>#N/A</v>
      </c>
      <c r="AB3420" t="e">
        <f>VLOOKUP(Tabelle1014[[#This Row],[Rank]],Stammdaten[[Rank Verteilung Ovalität]:[Verteilung Ovalität]],2,FALSE)</f>
        <v>#N/A</v>
      </c>
    </row>
    <row r="3421" spans="5:28" x14ac:dyDescent="0.35">
      <c r="E3421">
        <v>3412</v>
      </c>
      <c r="F3421" t="e">
        <f>INDEX(Stammdaten[D Mitte mit Rinde (mm)],MATCH(Tabelle8[[#This Row],[Rank]],Stammdaten[Rank Verteilung D Mitte mit Rinde],0))</f>
        <v>#N/A</v>
      </c>
      <c r="G3421" t="e">
        <f>VLOOKUP(Tabelle8[[#This Row],[Rank]],Stammdaten[[Rank Verteilung D Mitte mit Rinde]:[Verteilung D Mitte mit Rinde]],2,FALSE)</f>
        <v>#N/A</v>
      </c>
      <c r="L3421">
        <v>3412</v>
      </c>
      <c r="M3421" t="e">
        <f>INDEX(Stammdaten[Abholzigkeit (mm/lfm)],MATCH(Tabelle9[[#This Row],[Rank]],Stammdaten[Rank Verteilung Abholzigkeit],0))</f>
        <v>#N/A</v>
      </c>
      <c r="N3421" t="e">
        <f>VLOOKUP(Tabelle9[[#This Row],[Rank]],Stammdaten[[Rank Verteilung Abholzigkeit]:[Verteilung Abholzigkeit]],2,FALSE)</f>
        <v>#N/A</v>
      </c>
      <c r="S3421">
        <v>3412</v>
      </c>
      <c r="T3421" t="e">
        <f>INDEX(Stammdaten[Krümmung (mm/lfm)],MATCH(Tabelle10[[#This Row],[Rank]],Stammdaten[Rank Verteilung Krümmung],0))</f>
        <v>#N/A</v>
      </c>
      <c r="U3421" t="e">
        <f>VLOOKUP(Tabelle10[[#This Row],[Rank]],Stammdaten[[Rank Verteilung Krümmung]:[Verteilung Krümmung]],2,FALSE)</f>
        <v>#N/A</v>
      </c>
      <c r="Z3421">
        <v>3412</v>
      </c>
      <c r="AA3421" t="e">
        <f>INDEX(Stammdaten[Ovalität (']0,1'])],MATCH(Tabelle1014[[#This Row],[Rank]],Stammdaten[Rank Verteilung Ovalität],0))</f>
        <v>#N/A</v>
      </c>
      <c r="AB3421" t="e">
        <f>VLOOKUP(Tabelle1014[[#This Row],[Rank]],Stammdaten[[Rank Verteilung Ovalität]:[Verteilung Ovalität]],2,FALSE)</f>
        <v>#N/A</v>
      </c>
    </row>
    <row r="3422" spans="5:28" x14ac:dyDescent="0.35">
      <c r="E3422">
        <v>3413</v>
      </c>
      <c r="F3422" t="e">
        <f>INDEX(Stammdaten[D Mitte mit Rinde (mm)],MATCH(Tabelle8[[#This Row],[Rank]],Stammdaten[Rank Verteilung D Mitte mit Rinde],0))</f>
        <v>#N/A</v>
      </c>
      <c r="G3422" t="e">
        <f>VLOOKUP(Tabelle8[[#This Row],[Rank]],Stammdaten[[Rank Verteilung D Mitte mit Rinde]:[Verteilung D Mitte mit Rinde]],2,FALSE)</f>
        <v>#N/A</v>
      </c>
      <c r="L3422">
        <v>3413</v>
      </c>
      <c r="M3422" t="e">
        <f>INDEX(Stammdaten[Abholzigkeit (mm/lfm)],MATCH(Tabelle9[[#This Row],[Rank]],Stammdaten[Rank Verteilung Abholzigkeit],0))</f>
        <v>#N/A</v>
      </c>
      <c r="N3422" t="e">
        <f>VLOOKUP(Tabelle9[[#This Row],[Rank]],Stammdaten[[Rank Verteilung Abholzigkeit]:[Verteilung Abholzigkeit]],2,FALSE)</f>
        <v>#N/A</v>
      </c>
      <c r="S3422">
        <v>3413</v>
      </c>
      <c r="T3422" t="e">
        <f>INDEX(Stammdaten[Krümmung (mm/lfm)],MATCH(Tabelle10[[#This Row],[Rank]],Stammdaten[Rank Verteilung Krümmung],0))</f>
        <v>#N/A</v>
      </c>
      <c r="U3422" t="e">
        <f>VLOOKUP(Tabelle10[[#This Row],[Rank]],Stammdaten[[Rank Verteilung Krümmung]:[Verteilung Krümmung]],2,FALSE)</f>
        <v>#N/A</v>
      </c>
      <c r="Z3422">
        <v>3413</v>
      </c>
      <c r="AA3422" t="e">
        <f>INDEX(Stammdaten[Ovalität (']0,1'])],MATCH(Tabelle1014[[#This Row],[Rank]],Stammdaten[Rank Verteilung Ovalität],0))</f>
        <v>#N/A</v>
      </c>
      <c r="AB3422" t="e">
        <f>VLOOKUP(Tabelle1014[[#This Row],[Rank]],Stammdaten[[Rank Verteilung Ovalität]:[Verteilung Ovalität]],2,FALSE)</f>
        <v>#N/A</v>
      </c>
    </row>
    <row r="3423" spans="5:28" x14ac:dyDescent="0.35">
      <c r="E3423">
        <v>3414</v>
      </c>
      <c r="F3423" t="e">
        <f>INDEX(Stammdaten[D Mitte mit Rinde (mm)],MATCH(Tabelle8[[#This Row],[Rank]],Stammdaten[Rank Verteilung D Mitte mit Rinde],0))</f>
        <v>#N/A</v>
      </c>
      <c r="G3423" t="e">
        <f>VLOOKUP(Tabelle8[[#This Row],[Rank]],Stammdaten[[Rank Verteilung D Mitte mit Rinde]:[Verteilung D Mitte mit Rinde]],2,FALSE)</f>
        <v>#N/A</v>
      </c>
      <c r="L3423">
        <v>3414</v>
      </c>
      <c r="M3423" t="e">
        <f>INDEX(Stammdaten[Abholzigkeit (mm/lfm)],MATCH(Tabelle9[[#This Row],[Rank]],Stammdaten[Rank Verteilung Abholzigkeit],0))</f>
        <v>#N/A</v>
      </c>
      <c r="N3423" t="e">
        <f>VLOOKUP(Tabelle9[[#This Row],[Rank]],Stammdaten[[Rank Verteilung Abholzigkeit]:[Verteilung Abholzigkeit]],2,FALSE)</f>
        <v>#N/A</v>
      </c>
      <c r="S3423">
        <v>3414</v>
      </c>
      <c r="T3423" t="e">
        <f>INDEX(Stammdaten[Krümmung (mm/lfm)],MATCH(Tabelle10[[#This Row],[Rank]],Stammdaten[Rank Verteilung Krümmung],0))</f>
        <v>#N/A</v>
      </c>
      <c r="U3423" t="e">
        <f>VLOOKUP(Tabelle10[[#This Row],[Rank]],Stammdaten[[Rank Verteilung Krümmung]:[Verteilung Krümmung]],2,FALSE)</f>
        <v>#N/A</v>
      </c>
      <c r="Z3423">
        <v>3414</v>
      </c>
      <c r="AA3423" t="e">
        <f>INDEX(Stammdaten[Ovalität (']0,1'])],MATCH(Tabelle1014[[#This Row],[Rank]],Stammdaten[Rank Verteilung Ovalität],0))</f>
        <v>#N/A</v>
      </c>
      <c r="AB3423" t="e">
        <f>VLOOKUP(Tabelle1014[[#This Row],[Rank]],Stammdaten[[Rank Verteilung Ovalität]:[Verteilung Ovalität]],2,FALSE)</f>
        <v>#N/A</v>
      </c>
    </row>
    <row r="3424" spans="5:28" x14ac:dyDescent="0.35">
      <c r="E3424">
        <v>3415</v>
      </c>
      <c r="F3424" t="e">
        <f>INDEX(Stammdaten[D Mitte mit Rinde (mm)],MATCH(Tabelle8[[#This Row],[Rank]],Stammdaten[Rank Verteilung D Mitte mit Rinde],0))</f>
        <v>#N/A</v>
      </c>
      <c r="G3424" t="e">
        <f>VLOOKUP(Tabelle8[[#This Row],[Rank]],Stammdaten[[Rank Verteilung D Mitte mit Rinde]:[Verteilung D Mitte mit Rinde]],2,FALSE)</f>
        <v>#N/A</v>
      </c>
      <c r="L3424">
        <v>3415</v>
      </c>
      <c r="M3424" t="e">
        <f>INDEX(Stammdaten[Abholzigkeit (mm/lfm)],MATCH(Tabelle9[[#This Row],[Rank]],Stammdaten[Rank Verteilung Abholzigkeit],0))</f>
        <v>#N/A</v>
      </c>
      <c r="N3424" t="e">
        <f>VLOOKUP(Tabelle9[[#This Row],[Rank]],Stammdaten[[Rank Verteilung Abholzigkeit]:[Verteilung Abholzigkeit]],2,FALSE)</f>
        <v>#N/A</v>
      </c>
      <c r="S3424">
        <v>3415</v>
      </c>
      <c r="T3424" t="e">
        <f>INDEX(Stammdaten[Krümmung (mm/lfm)],MATCH(Tabelle10[[#This Row],[Rank]],Stammdaten[Rank Verteilung Krümmung],0))</f>
        <v>#N/A</v>
      </c>
      <c r="U3424" t="e">
        <f>VLOOKUP(Tabelle10[[#This Row],[Rank]],Stammdaten[[Rank Verteilung Krümmung]:[Verteilung Krümmung]],2,FALSE)</f>
        <v>#N/A</v>
      </c>
      <c r="Z3424">
        <v>3415</v>
      </c>
      <c r="AA3424" t="e">
        <f>INDEX(Stammdaten[Ovalität (']0,1'])],MATCH(Tabelle1014[[#This Row],[Rank]],Stammdaten[Rank Verteilung Ovalität],0))</f>
        <v>#N/A</v>
      </c>
      <c r="AB3424" t="e">
        <f>VLOOKUP(Tabelle1014[[#This Row],[Rank]],Stammdaten[[Rank Verteilung Ovalität]:[Verteilung Ovalität]],2,FALSE)</f>
        <v>#N/A</v>
      </c>
    </row>
    <row r="3425" spans="5:28" x14ac:dyDescent="0.35">
      <c r="E3425">
        <v>3416</v>
      </c>
      <c r="F3425" t="e">
        <f>INDEX(Stammdaten[D Mitte mit Rinde (mm)],MATCH(Tabelle8[[#This Row],[Rank]],Stammdaten[Rank Verteilung D Mitte mit Rinde],0))</f>
        <v>#N/A</v>
      </c>
      <c r="G3425" t="e">
        <f>VLOOKUP(Tabelle8[[#This Row],[Rank]],Stammdaten[[Rank Verteilung D Mitte mit Rinde]:[Verteilung D Mitte mit Rinde]],2,FALSE)</f>
        <v>#N/A</v>
      </c>
      <c r="L3425">
        <v>3416</v>
      </c>
      <c r="M3425" t="e">
        <f>INDEX(Stammdaten[Abholzigkeit (mm/lfm)],MATCH(Tabelle9[[#This Row],[Rank]],Stammdaten[Rank Verteilung Abholzigkeit],0))</f>
        <v>#N/A</v>
      </c>
      <c r="N3425" t="e">
        <f>VLOOKUP(Tabelle9[[#This Row],[Rank]],Stammdaten[[Rank Verteilung Abholzigkeit]:[Verteilung Abholzigkeit]],2,FALSE)</f>
        <v>#N/A</v>
      </c>
      <c r="S3425">
        <v>3416</v>
      </c>
      <c r="T3425" t="e">
        <f>INDEX(Stammdaten[Krümmung (mm/lfm)],MATCH(Tabelle10[[#This Row],[Rank]],Stammdaten[Rank Verteilung Krümmung],0))</f>
        <v>#N/A</v>
      </c>
      <c r="U3425" t="e">
        <f>VLOOKUP(Tabelle10[[#This Row],[Rank]],Stammdaten[[Rank Verteilung Krümmung]:[Verteilung Krümmung]],2,FALSE)</f>
        <v>#N/A</v>
      </c>
      <c r="Z3425">
        <v>3416</v>
      </c>
      <c r="AA3425" t="e">
        <f>INDEX(Stammdaten[Ovalität (']0,1'])],MATCH(Tabelle1014[[#This Row],[Rank]],Stammdaten[Rank Verteilung Ovalität],0))</f>
        <v>#N/A</v>
      </c>
      <c r="AB3425" t="e">
        <f>VLOOKUP(Tabelle1014[[#This Row],[Rank]],Stammdaten[[Rank Verteilung Ovalität]:[Verteilung Ovalität]],2,FALSE)</f>
        <v>#N/A</v>
      </c>
    </row>
    <row r="3426" spans="5:28" x14ac:dyDescent="0.35">
      <c r="E3426">
        <v>3417</v>
      </c>
      <c r="F3426" t="e">
        <f>INDEX(Stammdaten[D Mitte mit Rinde (mm)],MATCH(Tabelle8[[#This Row],[Rank]],Stammdaten[Rank Verteilung D Mitte mit Rinde],0))</f>
        <v>#N/A</v>
      </c>
      <c r="G3426" t="e">
        <f>VLOOKUP(Tabelle8[[#This Row],[Rank]],Stammdaten[[Rank Verteilung D Mitte mit Rinde]:[Verteilung D Mitte mit Rinde]],2,FALSE)</f>
        <v>#N/A</v>
      </c>
      <c r="L3426">
        <v>3417</v>
      </c>
      <c r="M3426" t="e">
        <f>INDEX(Stammdaten[Abholzigkeit (mm/lfm)],MATCH(Tabelle9[[#This Row],[Rank]],Stammdaten[Rank Verteilung Abholzigkeit],0))</f>
        <v>#N/A</v>
      </c>
      <c r="N3426" t="e">
        <f>VLOOKUP(Tabelle9[[#This Row],[Rank]],Stammdaten[[Rank Verteilung Abholzigkeit]:[Verteilung Abholzigkeit]],2,FALSE)</f>
        <v>#N/A</v>
      </c>
      <c r="S3426">
        <v>3417</v>
      </c>
      <c r="T3426" t="e">
        <f>INDEX(Stammdaten[Krümmung (mm/lfm)],MATCH(Tabelle10[[#This Row],[Rank]],Stammdaten[Rank Verteilung Krümmung],0))</f>
        <v>#N/A</v>
      </c>
      <c r="U3426" t="e">
        <f>VLOOKUP(Tabelle10[[#This Row],[Rank]],Stammdaten[[Rank Verteilung Krümmung]:[Verteilung Krümmung]],2,FALSE)</f>
        <v>#N/A</v>
      </c>
      <c r="Z3426">
        <v>3417</v>
      </c>
      <c r="AA3426" t="e">
        <f>INDEX(Stammdaten[Ovalität (']0,1'])],MATCH(Tabelle1014[[#This Row],[Rank]],Stammdaten[Rank Verteilung Ovalität],0))</f>
        <v>#N/A</v>
      </c>
      <c r="AB3426" t="e">
        <f>VLOOKUP(Tabelle1014[[#This Row],[Rank]],Stammdaten[[Rank Verteilung Ovalität]:[Verteilung Ovalität]],2,FALSE)</f>
        <v>#N/A</v>
      </c>
    </row>
    <row r="3427" spans="5:28" x14ac:dyDescent="0.35">
      <c r="E3427">
        <v>3418</v>
      </c>
      <c r="F3427" t="e">
        <f>INDEX(Stammdaten[D Mitte mit Rinde (mm)],MATCH(Tabelle8[[#This Row],[Rank]],Stammdaten[Rank Verteilung D Mitte mit Rinde],0))</f>
        <v>#N/A</v>
      </c>
      <c r="G3427" t="e">
        <f>VLOOKUP(Tabelle8[[#This Row],[Rank]],Stammdaten[[Rank Verteilung D Mitte mit Rinde]:[Verteilung D Mitte mit Rinde]],2,FALSE)</f>
        <v>#N/A</v>
      </c>
      <c r="L3427">
        <v>3418</v>
      </c>
      <c r="M3427" t="e">
        <f>INDEX(Stammdaten[Abholzigkeit (mm/lfm)],MATCH(Tabelle9[[#This Row],[Rank]],Stammdaten[Rank Verteilung Abholzigkeit],0))</f>
        <v>#N/A</v>
      </c>
      <c r="N3427" t="e">
        <f>VLOOKUP(Tabelle9[[#This Row],[Rank]],Stammdaten[[Rank Verteilung Abholzigkeit]:[Verteilung Abholzigkeit]],2,FALSE)</f>
        <v>#N/A</v>
      </c>
      <c r="S3427">
        <v>3418</v>
      </c>
      <c r="T3427" t="e">
        <f>INDEX(Stammdaten[Krümmung (mm/lfm)],MATCH(Tabelle10[[#This Row],[Rank]],Stammdaten[Rank Verteilung Krümmung],0))</f>
        <v>#N/A</v>
      </c>
      <c r="U3427" t="e">
        <f>VLOOKUP(Tabelle10[[#This Row],[Rank]],Stammdaten[[Rank Verteilung Krümmung]:[Verteilung Krümmung]],2,FALSE)</f>
        <v>#N/A</v>
      </c>
      <c r="Z3427">
        <v>3418</v>
      </c>
      <c r="AA3427" t="e">
        <f>INDEX(Stammdaten[Ovalität (']0,1'])],MATCH(Tabelle1014[[#This Row],[Rank]],Stammdaten[Rank Verteilung Ovalität],0))</f>
        <v>#N/A</v>
      </c>
      <c r="AB3427" t="e">
        <f>VLOOKUP(Tabelle1014[[#This Row],[Rank]],Stammdaten[[Rank Verteilung Ovalität]:[Verteilung Ovalität]],2,FALSE)</f>
        <v>#N/A</v>
      </c>
    </row>
    <row r="3428" spans="5:28" x14ac:dyDescent="0.35">
      <c r="E3428">
        <v>3419</v>
      </c>
      <c r="F3428" t="e">
        <f>INDEX(Stammdaten[D Mitte mit Rinde (mm)],MATCH(Tabelle8[[#This Row],[Rank]],Stammdaten[Rank Verteilung D Mitte mit Rinde],0))</f>
        <v>#N/A</v>
      </c>
      <c r="G3428" t="e">
        <f>VLOOKUP(Tabelle8[[#This Row],[Rank]],Stammdaten[[Rank Verteilung D Mitte mit Rinde]:[Verteilung D Mitte mit Rinde]],2,FALSE)</f>
        <v>#N/A</v>
      </c>
      <c r="L3428">
        <v>3419</v>
      </c>
      <c r="M3428" t="e">
        <f>INDEX(Stammdaten[Abholzigkeit (mm/lfm)],MATCH(Tabelle9[[#This Row],[Rank]],Stammdaten[Rank Verteilung Abholzigkeit],0))</f>
        <v>#N/A</v>
      </c>
      <c r="N3428" t="e">
        <f>VLOOKUP(Tabelle9[[#This Row],[Rank]],Stammdaten[[Rank Verteilung Abholzigkeit]:[Verteilung Abholzigkeit]],2,FALSE)</f>
        <v>#N/A</v>
      </c>
      <c r="S3428">
        <v>3419</v>
      </c>
      <c r="T3428" t="e">
        <f>INDEX(Stammdaten[Krümmung (mm/lfm)],MATCH(Tabelle10[[#This Row],[Rank]],Stammdaten[Rank Verteilung Krümmung],0))</f>
        <v>#N/A</v>
      </c>
      <c r="U3428" t="e">
        <f>VLOOKUP(Tabelle10[[#This Row],[Rank]],Stammdaten[[Rank Verteilung Krümmung]:[Verteilung Krümmung]],2,FALSE)</f>
        <v>#N/A</v>
      </c>
      <c r="Z3428">
        <v>3419</v>
      </c>
      <c r="AA3428" t="e">
        <f>INDEX(Stammdaten[Ovalität (']0,1'])],MATCH(Tabelle1014[[#This Row],[Rank]],Stammdaten[Rank Verteilung Ovalität],0))</f>
        <v>#N/A</v>
      </c>
      <c r="AB3428" t="e">
        <f>VLOOKUP(Tabelle1014[[#This Row],[Rank]],Stammdaten[[Rank Verteilung Ovalität]:[Verteilung Ovalität]],2,FALSE)</f>
        <v>#N/A</v>
      </c>
    </row>
    <row r="3429" spans="5:28" x14ac:dyDescent="0.35">
      <c r="E3429">
        <v>3420</v>
      </c>
      <c r="F3429" t="e">
        <f>INDEX(Stammdaten[D Mitte mit Rinde (mm)],MATCH(Tabelle8[[#This Row],[Rank]],Stammdaten[Rank Verteilung D Mitte mit Rinde],0))</f>
        <v>#N/A</v>
      </c>
      <c r="G3429" t="e">
        <f>VLOOKUP(Tabelle8[[#This Row],[Rank]],Stammdaten[[Rank Verteilung D Mitte mit Rinde]:[Verteilung D Mitte mit Rinde]],2,FALSE)</f>
        <v>#N/A</v>
      </c>
      <c r="L3429">
        <v>3420</v>
      </c>
      <c r="M3429" t="e">
        <f>INDEX(Stammdaten[Abholzigkeit (mm/lfm)],MATCH(Tabelle9[[#This Row],[Rank]],Stammdaten[Rank Verteilung Abholzigkeit],0))</f>
        <v>#N/A</v>
      </c>
      <c r="N3429" t="e">
        <f>VLOOKUP(Tabelle9[[#This Row],[Rank]],Stammdaten[[Rank Verteilung Abholzigkeit]:[Verteilung Abholzigkeit]],2,FALSE)</f>
        <v>#N/A</v>
      </c>
      <c r="S3429">
        <v>3420</v>
      </c>
      <c r="T3429" t="e">
        <f>INDEX(Stammdaten[Krümmung (mm/lfm)],MATCH(Tabelle10[[#This Row],[Rank]],Stammdaten[Rank Verteilung Krümmung],0))</f>
        <v>#N/A</v>
      </c>
      <c r="U3429" t="e">
        <f>VLOOKUP(Tabelle10[[#This Row],[Rank]],Stammdaten[[Rank Verteilung Krümmung]:[Verteilung Krümmung]],2,FALSE)</f>
        <v>#N/A</v>
      </c>
      <c r="Z3429">
        <v>3420</v>
      </c>
      <c r="AA3429" t="e">
        <f>INDEX(Stammdaten[Ovalität (']0,1'])],MATCH(Tabelle1014[[#This Row],[Rank]],Stammdaten[Rank Verteilung Ovalität],0))</f>
        <v>#N/A</v>
      </c>
      <c r="AB3429" t="e">
        <f>VLOOKUP(Tabelle1014[[#This Row],[Rank]],Stammdaten[[Rank Verteilung Ovalität]:[Verteilung Ovalität]],2,FALSE)</f>
        <v>#N/A</v>
      </c>
    </row>
    <row r="3430" spans="5:28" x14ac:dyDescent="0.35">
      <c r="E3430">
        <v>3421</v>
      </c>
      <c r="F3430" t="e">
        <f>INDEX(Stammdaten[D Mitte mit Rinde (mm)],MATCH(Tabelle8[[#This Row],[Rank]],Stammdaten[Rank Verteilung D Mitte mit Rinde],0))</f>
        <v>#N/A</v>
      </c>
      <c r="G3430" t="e">
        <f>VLOOKUP(Tabelle8[[#This Row],[Rank]],Stammdaten[[Rank Verteilung D Mitte mit Rinde]:[Verteilung D Mitte mit Rinde]],2,FALSE)</f>
        <v>#N/A</v>
      </c>
      <c r="L3430">
        <v>3421</v>
      </c>
      <c r="M3430" t="e">
        <f>INDEX(Stammdaten[Abholzigkeit (mm/lfm)],MATCH(Tabelle9[[#This Row],[Rank]],Stammdaten[Rank Verteilung Abholzigkeit],0))</f>
        <v>#N/A</v>
      </c>
      <c r="N3430" t="e">
        <f>VLOOKUP(Tabelle9[[#This Row],[Rank]],Stammdaten[[Rank Verteilung Abholzigkeit]:[Verteilung Abholzigkeit]],2,FALSE)</f>
        <v>#N/A</v>
      </c>
      <c r="S3430">
        <v>3421</v>
      </c>
      <c r="T3430" t="e">
        <f>INDEX(Stammdaten[Krümmung (mm/lfm)],MATCH(Tabelle10[[#This Row],[Rank]],Stammdaten[Rank Verteilung Krümmung],0))</f>
        <v>#N/A</v>
      </c>
      <c r="U3430" t="e">
        <f>VLOOKUP(Tabelle10[[#This Row],[Rank]],Stammdaten[[Rank Verteilung Krümmung]:[Verteilung Krümmung]],2,FALSE)</f>
        <v>#N/A</v>
      </c>
      <c r="Z3430">
        <v>3421</v>
      </c>
      <c r="AA3430" t="e">
        <f>INDEX(Stammdaten[Ovalität (']0,1'])],MATCH(Tabelle1014[[#This Row],[Rank]],Stammdaten[Rank Verteilung Ovalität],0))</f>
        <v>#N/A</v>
      </c>
      <c r="AB3430" t="e">
        <f>VLOOKUP(Tabelle1014[[#This Row],[Rank]],Stammdaten[[Rank Verteilung Ovalität]:[Verteilung Ovalität]],2,FALSE)</f>
        <v>#N/A</v>
      </c>
    </row>
    <row r="3431" spans="5:28" x14ac:dyDescent="0.35">
      <c r="E3431">
        <v>3422</v>
      </c>
      <c r="F3431" t="e">
        <f>INDEX(Stammdaten[D Mitte mit Rinde (mm)],MATCH(Tabelle8[[#This Row],[Rank]],Stammdaten[Rank Verteilung D Mitte mit Rinde],0))</f>
        <v>#N/A</v>
      </c>
      <c r="G3431" t="e">
        <f>VLOOKUP(Tabelle8[[#This Row],[Rank]],Stammdaten[[Rank Verteilung D Mitte mit Rinde]:[Verteilung D Mitte mit Rinde]],2,FALSE)</f>
        <v>#N/A</v>
      </c>
      <c r="L3431">
        <v>3422</v>
      </c>
      <c r="M3431" t="e">
        <f>INDEX(Stammdaten[Abholzigkeit (mm/lfm)],MATCH(Tabelle9[[#This Row],[Rank]],Stammdaten[Rank Verteilung Abholzigkeit],0))</f>
        <v>#N/A</v>
      </c>
      <c r="N3431" t="e">
        <f>VLOOKUP(Tabelle9[[#This Row],[Rank]],Stammdaten[[Rank Verteilung Abholzigkeit]:[Verteilung Abholzigkeit]],2,FALSE)</f>
        <v>#N/A</v>
      </c>
      <c r="S3431">
        <v>3422</v>
      </c>
      <c r="T3431" t="e">
        <f>INDEX(Stammdaten[Krümmung (mm/lfm)],MATCH(Tabelle10[[#This Row],[Rank]],Stammdaten[Rank Verteilung Krümmung],0))</f>
        <v>#N/A</v>
      </c>
      <c r="U3431" t="e">
        <f>VLOOKUP(Tabelle10[[#This Row],[Rank]],Stammdaten[[Rank Verteilung Krümmung]:[Verteilung Krümmung]],2,FALSE)</f>
        <v>#N/A</v>
      </c>
      <c r="Z3431">
        <v>3422</v>
      </c>
      <c r="AA3431" t="e">
        <f>INDEX(Stammdaten[Ovalität (']0,1'])],MATCH(Tabelle1014[[#This Row],[Rank]],Stammdaten[Rank Verteilung Ovalität],0))</f>
        <v>#N/A</v>
      </c>
      <c r="AB3431" t="e">
        <f>VLOOKUP(Tabelle1014[[#This Row],[Rank]],Stammdaten[[Rank Verteilung Ovalität]:[Verteilung Ovalität]],2,FALSE)</f>
        <v>#N/A</v>
      </c>
    </row>
    <row r="3432" spans="5:28" x14ac:dyDescent="0.35">
      <c r="E3432">
        <v>3423</v>
      </c>
      <c r="F3432" t="e">
        <f>INDEX(Stammdaten[D Mitte mit Rinde (mm)],MATCH(Tabelle8[[#This Row],[Rank]],Stammdaten[Rank Verteilung D Mitte mit Rinde],0))</f>
        <v>#N/A</v>
      </c>
      <c r="G3432" t="e">
        <f>VLOOKUP(Tabelle8[[#This Row],[Rank]],Stammdaten[[Rank Verteilung D Mitte mit Rinde]:[Verteilung D Mitte mit Rinde]],2,FALSE)</f>
        <v>#N/A</v>
      </c>
      <c r="L3432">
        <v>3423</v>
      </c>
      <c r="M3432" t="e">
        <f>INDEX(Stammdaten[Abholzigkeit (mm/lfm)],MATCH(Tabelle9[[#This Row],[Rank]],Stammdaten[Rank Verteilung Abholzigkeit],0))</f>
        <v>#N/A</v>
      </c>
      <c r="N3432" t="e">
        <f>VLOOKUP(Tabelle9[[#This Row],[Rank]],Stammdaten[[Rank Verteilung Abholzigkeit]:[Verteilung Abholzigkeit]],2,FALSE)</f>
        <v>#N/A</v>
      </c>
      <c r="S3432">
        <v>3423</v>
      </c>
      <c r="T3432" t="e">
        <f>INDEX(Stammdaten[Krümmung (mm/lfm)],MATCH(Tabelle10[[#This Row],[Rank]],Stammdaten[Rank Verteilung Krümmung],0))</f>
        <v>#N/A</v>
      </c>
      <c r="U3432" t="e">
        <f>VLOOKUP(Tabelle10[[#This Row],[Rank]],Stammdaten[[Rank Verteilung Krümmung]:[Verteilung Krümmung]],2,FALSE)</f>
        <v>#N/A</v>
      </c>
      <c r="Z3432">
        <v>3423</v>
      </c>
      <c r="AA3432" t="e">
        <f>INDEX(Stammdaten[Ovalität (']0,1'])],MATCH(Tabelle1014[[#This Row],[Rank]],Stammdaten[Rank Verteilung Ovalität],0))</f>
        <v>#N/A</v>
      </c>
      <c r="AB3432" t="e">
        <f>VLOOKUP(Tabelle1014[[#This Row],[Rank]],Stammdaten[[Rank Verteilung Ovalität]:[Verteilung Ovalität]],2,FALSE)</f>
        <v>#N/A</v>
      </c>
    </row>
    <row r="3433" spans="5:28" x14ac:dyDescent="0.35">
      <c r="E3433">
        <v>3424</v>
      </c>
      <c r="F3433" t="e">
        <f>INDEX(Stammdaten[D Mitte mit Rinde (mm)],MATCH(Tabelle8[[#This Row],[Rank]],Stammdaten[Rank Verteilung D Mitte mit Rinde],0))</f>
        <v>#N/A</v>
      </c>
      <c r="G3433" t="e">
        <f>VLOOKUP(Tabelle8[[#This Row],[Rank]],Stammdaten[[Rank Verteilung D Mitte mit Rinde]:[Verteilung D Mitte mit Rinde]],2,FALSE)</f>
        <v>#N/A</v>
      </c>
      <c r="L3433">
        <v>3424</v>
      </c>
      <c r="M3433" t="e">
        <f>INDEX(Stammdaten[Abholzigkeit (mm/lfm)],MATCH(Tabelle9[[#This Row],[Rank]],Stammdaten[Rank Verteilung Abholzigkeit],0))</f>
        <v>#N/A</v>
      </c>
      <c r="N3433" t="e">
        <f>VLOOKUP(Tabelle9[[#This Row],[Rank]],Stammdaten[[Rank Verteilung Abholzigkeit]:[Verteilung Abholzigkeit]],2,FALSE)</f>
        <v>#N/A</v>
      </c>
      <c r="S3433">
        <v>3424</v>
      </c>
      <c r="T3433" t="e">
        <f>INDEX(Stammdaten[Krümmung (mm/lfm)],MATCH(Tabelle10[[#This Row],[Rank]],Stammdaten[Rank Verteilung Krümmung],0))</f>
        <v>#N/A</v>
      </c>
      <c r="U3433" t="e">
        <f>VLOOKUP(Tabelle10[[#This Row],[Rank]],Stammdaten[[Rank Verteilung Krümmung]:[Verteilung Krümmung]],2,FALSE)</f>
        <v>#N/A</v>
      </c>
      <c r="Z3433">
        <v>3424</v>
      </c>
      <c r="AA3433" t="e">
        <f>INDEX(Stammdaten[Ovalität (']0,1'])],MATCH(Tabelle1014[[#This Row],[Rank]],Stammdaten[Rank Verteilung Ovalität],0))</f>
        <v>#N/A</v>
      </c>
      <c r="AB3433" t="e">
        <f>VLOOKUP(Tabelle1014[[#This Row],[Rank]],Stammdaten[[Rank Verteilung Ovalität]:[Verteilung Ovalität]],2,FALSE)</f>
        <v>#N/A</v>
      </c>
    </row>
    <row r="3434" spans="5:28" x14ac:dyDescent="0.35">
      <c r="E3434">
        <v>3425</v>
      </c>
      <c r="F3434" t="e">
        <f>INDEX(Stammdaten[D Mitte mit Rinde (mm)],MATCH(Tabelle8[[#This Row],[Rank]],Stammdaten[Rank Verteilung D Mitte mit Rinde],0))</f>
        <v>#N/A</v>
      </c>
      <c r="G3434" t="e">
        <f>VLOOKUP(Tabelle8[[#This Row],[Rank]],Stammdaten[[Rank Verteilung D Mitte mit Rinde]:[Verteilung D Mitte mit Rinde]],2,FALSE)</f>
        <v>#N/A</v>
      </c>
      <c r="L3434">
        <v>3425</v>
      </c>
      <c r="M3434" t="e">
        <f>INDEX(Stammdaten[Abholzigkeit (mm/lfm)],MATCH(Tabelle9[[#This Row],[Rank]],Stammdaten[Rank Verteilung Abholzigkeit],0))</f>
        <v>#N/A</v>
      </c>
      <c r="N3434" t="e">
        <f>VLOOKUP(Tabelle9[[#This Row],[Rank]],Stammdaten[[Rank Verteilung Abholzigkeit]:[Verteilung Abholzigkeit]],2,FALSE)</f>
        <v>#N/A</v>
      </c>
      <c r="S3434">
        <v>3425</v>
      </c>
      <c r="T3434" t="e">
        <f>INDEX(Stammdaten[Krümmung (mm/lfm)],MATCH(Tabelle10[[#This Row],[Rank]],Stammdaten[Rank Verteilung Krümmung],0))</f>
        <v>#N/A</v>
      </c>
      <c r="U3434" t="e">
        <f>VLOOKUP(Tabelle10[[#This Row],[Rank]],Stammdaten[[Rank Verteilung Krümmung]:[Verteilung Krümmung]],2,FALSE)</f>
        <v>#N/A</v>
      </c>
      <c r="Z3434">
        <v>3425</v>
      </c>
      <c r="AA3434" t="e">
        <f>INDEX(Stammdaten[Ovalität (']0,1'])],MATCH(Tabelle1014[[#This Row],[Rank]],Stammdaten[Rank Verteilung Ovalität],0))</f>
        <v>#N/A</v>
      </c>
      <c r="AB3434" t="e">
        <f>VLOOKUP(Tabelle1014[[#This Row],[Rank]],Stammdaten[[Rank Verteilung Ovalität]:[Verteilung Ovalität]],2,FALSE)</f>
        <v>#N/A</v>
      </c>
    </row>
    <row r="3435" spans="5:28" x14ac:dyDescent="0.35">
      <c r="E3435">
        <v>3426</v>
      </c>
      <c r="F3435" t="e">
        <f>INDEX(Stammdaten[D Mitte mit Rinde (mm)],MATCH(Tabelle8[[#This Row],[Rank]],Stammdaten[Rank Verteilung D Mitte mit Rinde],0))</f>
        <v>#N/A</v>
      </c>
      <c r="G3435" t="e">
        <f>VLOOKUP(Tabelle8[[#This Row],[Rank]],Stammdaten[[Rank Verteilung D Mitte mit Rinde]:[Verteilung D Mitte mit Rinde]],2,FALSE)</f>
        <v>#N/A</v>
      </c>
      <c r="L3435">
        <v>3426</v>
      </c>
      <c r="M3435" t="e">
        <f>INDEX(Stammdaten[Abholzigkeit (mm/lfm)],MATCH(Tabelle9[[#This Row],[Rank]],Stammdaten[Rank Verteilung Abholzigkeit],0))</f>
        <v>#N/A</v>
      </c>
      <c r="N3435" t="e">
        <f>VLOOKUP(Tabelle9[[#This Row],[Rank]],Stammdaten[[Rank Verteilung Abholzigkeit]:[Verteilung Abholzigkeit]],2,FALSE)</f>
        <v>#N/A</v>
      </c>
      <c r="S3435">
        <v>3426</v>
      </c>
      <c r="T3435" t="e">
        <f>INDEX(Stammdaten[Krümmung (mm/lfm)],MATCH(Tabelle10[[#This Row],[Rank]],Stammdaten[Rank Verteilung Krümmung],0))</f>
        <v>#N/A</v>
      </c>
      <c r="U3435" t="e">
        <f>VLOOKUP(Tabelle10[[#This Row],[Rank]],Stammdaten[[Rank Verteilung Krümmung]:[Verteilung Krümmung]],2,FALSE)</f>
        <v>#N/A</v>
      </c>
      <c r="Z3435">
        <v>3426</v>
      </c>
      <c r="AA3435" t="e">
        <f>INDEX(Stammdaten[Ovalität (']0,1'])],MATCH(Tabelle1014[[#This Row],[Rank]],Stammdaten[Rank Verteilung Ovalität],0))</f>
        <v>#N/A</v>
      </c>
      <c r="AB3435" t="e">
        <f>VLOOKUP(Tabelle1014[[#This Row],[Rank]],Stammdaten[[Rank Verteilung Ovalität]:[Verteilung Ovalität]],2,FALSE)</f>
        <v>#N/A</v>
      </c>
    </row>
    <row r="3436" spans="5:28" x14ac:dyDescent="0.35">
      <c r="E3436">
        <v>3427</v>
      </c>
      <c r="F3436" t="e">
        <f>INDEX(Stammdaten[D Mitte mit Rinde (mm)],MATCH(Tabelle8[[#This Row],[Rank]],Stammdaten[Rank Verteilung D Mitte mit Rinde],0))</f>
        <v>#N/A</v>
      </c>
      <c r="G3436" t="e">
        <f>VLOOKUP(Tabelle8[[#This Row],[Rank]],Stammdaten[[Rank Verteilung D Mitte mit Rinde]:[Verteilung D Mitte mit Rinde]],2,FALSE)</f>
        <v>#N/A</v>
      </c>
      <c r="L3436">
        <v>3427</v>
      </c>
      <c r="M3436" t="e">
        <f>INDEX(Stammdaten[Abholzigkeit (mm/lfm)],MATCH(Tabelle9[[#This Row],[Rank]],Stammdaten[Rank Verteilung Abholzigkeit],0))</f>
        <v>#N/A</v>
      </c>
      <c r="N3436" t="e">
        <f>VLOOKUP(Tabelle9[[#This Row],[Rank]],Stammdaten[[Rank Verteilung Abholzigkeit]:[Verteilung Abholzigkeit]],2,FALSE)</f>
        <v>#N/A</v>
      </c>
      <c r="S3436">
        <v>3427</v>
      </c>
      <c r="T3436" t="e">
        <f>INDEX(Stammdaten[Krümmung (mm/lfm)],MATCH(Tabelle10[[#This Row],[Rank]],Stammdaten[Rank Verteilung Krümmung],0))</f>
        <v>#N/A</v>
      </c>
      <c r="U3436" t="e">
        <f>VLOOKUP(Tabelle10[[#This Row],[Rank]],Stammdaten[[Rank Verteilung Krümmung]:[Verteilung Krümmung]],2,FALSE)</f>
        <v>#N/A</v>
      </c>
      <c r="Z3436">
        <v>3427</v>
      </c>
      <c r="AA3436" t="e">
        <f>INDEX(Stammdaten[Ovalität (']0,1'])],MATCH(Tabelle1014[[#This Row],[Rank]],Stammdaten[Rank Verteilung Ovalität],0))</f>
        <v>#N/A</v>
      </c>
      <c r="AB3436" t="e">
        <f>VLOOKUP(Tabelle1014[[#This Row],[Rank]],Stammdaten[[Rank Verteilung Ovalität]:[Verteilung Ovalität]],2,FALSE)</f>
        <v>#N/A</v>
      </c>
    </row>
    <row r="3437" spans="5:28" x14ac:dyDescent="0.35">
      <c r="E3437">
        <v>3428</v>
      </c>
      <c r="F3437" t="e">
        <f>INDEX(Stammdaten[D Mitte mit Rinde (mm)],MATCH(Tabelle8[[#This Row],[Rank]],Stammdaten[Rank Verteilung D Mitte mit Rinde],0))</f>
        <v>#N/A</v>
      </c>
      <c r="G3437" t="e">
        <f>VLOOKUP(Tabelle8[[#This Row],[Rank]],Stammdaten[[Rank Verteilung D Mitte mit Rinde]:[Verteilung D Mitte mit Rinde]],2,FALSE)</f>
        <v>#N/A</v>
      </c>
      <c r="L3437">
        <v>3428</v>
      </c>
      <c r="M3437" t="e">
        <f>INDEX(Stammdaten[Abholzigkeit (mm/lfm)],MATCH(Tabelle9[[#This Row],[Rank]],Stammdaten[Rank Verteilung Abholzigkeit],0))</f>
        <v>#N/A</v>
      </c>
      <c r="N3437" t="e">
        <f>VLOOKUP(Tabelle9[[#This Row],[Rank]],Stammdaten[[Rank Verteilung Abholzigkeit]:[Verteilung Abholzigkeit]],2,FALSE)</f>
        <v>#N/A</v>
      </c>
      <c r="S3437">
        <v>3428</v>
      </c>
      <c r="T3437" t="e">
        <f>INDEX(Stammdaten[Krümmung (mm/lfm)],MATCH(Tabelle10[[#This Row],[Rank]],Stammdaten[Rank Verteilung Krümmung],0))</f>
        <v>#N/A</v>
      </c>
      <c r="U3437" t="e">
        <f>VLOOKUP(Tabelle10[[#This Row],[Rank]],Stammdaten[[Rank Verteilung Krümmung]:[Verteilung Krümmung]],2,FALSE)</f>
        <v>#N/A</v>
      </c>
      <c r="Z3437">
        <v>3428</v>
      </c>
      <c r="AA3437" t="e">
        <f>INDEX(Stammdaten[Ovalität (']0,1'])],MATCH(Tabelle1014[[#This Row],[Rank]],Stammdaten[Rank Verteilung Ovalität],0))</f>
        <v>#N/A</v>
      </c>
      <c r="AB3437" t="e">
        <f>VLOOKUP(Tabelle1014[[#This Row],[Rank]],Stammdaten[[Rank Verteilung Ovalität]:[Verteilung Ovalität]],2,FALSE)</f>
        <v>#N/A</v>
      </c>
    </row>
    <row r="3438" spans="5:28" x14ac:dyDescent="0.35">
      <c r="E3438">
        <v>3429</v>
      </c>
      <c r="F3438" t="e">
        <f>INDEX(Stammdaten[D Mitte mit Rinde (mm)],MATCH(Tabelle8[[#This Row],[Rank]],Stammdaten[Rank Verteilung D Mitte mit Rinde],0))</f>
        <v>#N/A</v>
      </c>
      <c r="G3438" t="e">
        <f>VLOOKUP(Tabelle8[[#This Row],[Rank]],Stammdaten[[Rank Verteilung D Mitte mit Rinde]:[Verteilung D Mitte mit Rinde]],2,FALSE)</f>
        <v>#N/A</v>
      </c>
      <c r="L3438">
        <v>3429</v>
      </c>
      <c r="M3438" t="e">
        <f>INDEX(Stammdaten[Abholzigkeit (mm/lfm)],MATCH(Tabelle9[[#This Row],[Rank]],Stammdaten[Rank Verteilung Abholzigkeit],0))</f>
        <v>#N/A</v>
      </c>
      <c r="N3438" t="e">
        <f>VLOOKUP(Tabelle9[[#This Row],[Rank]],Stammdaten[[Rank Verteilung Abholzigkeit]:[Verteilung Abholzigkeit]],2,FALSE)</f>
        <v>#N/A</v>
      </c>
      <c r="S3438">
        <v>3429</v>
      </c>
      <c r="T3438" t="e">
        <f>INDEX(Stammdaten[Krümmung (mm/lfm)],MATCH(Tabelle10[[#This Row],[Rank]],Stammdaten[Rank Verteilung Krümmung],0))</f>
        <v>#N/A</v>
      </c>
      <c r="U3438" t="e">
        <f>VLOOKUP(Tabelle10[[#This Row],[Rank]],Stammdaten[[Rank Verteilung Krümmung]:[Verteilung Krümmung]],2,FALSE)</f>
        <v>#N/A</v>
      </c>
      <c r="Z3438">
        <v>3429</v>
      </c>
      <c r="AA3438" t="e">
        <f>INDEX(Stammdaten[Ovalität (']0,1'])],MATCH(Tabelle1014[[#This Row],[Rank]],Stammdaten[Rank Verteilung Ovalität],0))</f>
        <v>#N/A</v>
      </c>
      <c r="AB3438" t="e">
        <f>VLOOKUP(Tabelle1014[[#This Row],[Rank]],Stammdaten[[Rank Verteilung Ovalität]:[Verteilung Ovalität]],2,FALSE)</f>
        <v>#N/A</v>
      </c>
    </row>
    <row r="3439" spans="5:28" x14ac:dyDescent="0.35">
      <c r="E3439">
        <v>3430</v>
      </c>
      <c r="F3439" t="e">
        <f>INDEX(Stammdaten[D Mitte mit Rinde (mm)],MATCH(Tabelle8[[#This Row],[Rank]],Stammdaten[Rank Verteilung D Mitte mit Rinde],0))</f>
        <v>#N/A</v>
      </c>
      <c r="G3439" t="e">
        <f>VLOOKUP(Tabelle8[[#This Row],[Rank]],Stammdaten[[Rank Verteilung D Mitte mit Rinde]:[Verteilung D Mitte mit Rinde]],2,FALSE)</f>
        <v>#N/A</v>
      </c>
      <c r="L3439">
        <v>3430</v>
      </c>
      <c r="M3439" t="e">
        <f>INDEX(Stammdaten[Abholzigkeit (mm/lfm)],MATCH(Tabelle9[[#This Row],[Rank]],Stammdaten[Rank Verteilung Abholzigkeit],0))</f>
        <v>#N/A</v>
      </c>
      <c r="N3439" t="e">
        <f>VLOOKUP(Tabelle9[[#This Row],[Rank]],Stammdaten[[Rank Verteilung Abholzigkeit]:[Verteilung Abholzigkeit]],2,FALSE)</f>
        <v>#N/A</v>
      </c>
      <c r="S3439">
        <v>3430</v>
      </c>
      <c r="T3439" t="e">
        <f>INDEX(Stammdaten[Krümmung (mm/lfm)],MATCH(Tabelle10[[#This Row],[Rank]],Stammdaten[Rank Verteilung Krümmung],0))</f>
        <v>#N/A</v>
      </c>
      <c r="U3439" t="e">
        <f>VLOOKUP(Tabelle10[[#This Row],[Rank]],Stammdaten[[Rank Verteilung Krümmung]:[Verteilung Krümmung]],2,FALSE)</f>
        <v>#N/A</v>
      </c>
      <c r="Z3439">
        <v>3430</v>
      </c>
      <c r="AA3439" t="e">
        <f>INDEX(Stammdaten[Ovalität (']0,1'])],MATCH(Tabelle1014[[#This Row],[Rank]],Stammdaten[Rank Verteilung Ovalität],0))</f>
        <v>#N/A</v>
      </c>
      <c r="AB3439" t="e">
        <f>VLOOKUP(Tabelle1014[[#This Row],[Rank]],Stammdaten[[Rank Verteilung Ovalität]:[Verteilung Ovalität]],2,FALSE)</f>
        <v>#N/A</v>
      </c>
    </row>
    <row r="3440" spans="5:28" x14ac:dyDescent="0.35">
      <c r="E3440">
        <v>3431</v>
      </c>
      <c r="F3440" t="e">
        <f>INDEX(Stammdaten[D Mitte mit Rinde (mm)],MATCH(Tabelle8[[#This Row],[Rank]],Stammdaten[Rank Verteilung D Mitte mit Rinde],0))</f>
        <v>#N/A</v>
      </c>
      <c r="G3440" t="e">
        <f>VLOOKUP(Tabelle8[[#This Row],[Rank]],Stammdaten[[Rank Verteilung D Mitte mit Rinde]:[Verteilung D Mitte mit Rinde]],2,FALSE)</f>
        <v>#N/A</v>
      </c>
      <c r="L3440">
        <v>3431</v>
      </c>
      <c r="M3440" t="e">
        <f>INDEX(Stammdaten[Abholzigkeit (mm/lfm)],MATCH(Tabelle9[[#This Row],[Rank]],Stammdaten[Rank Verteilung Abholzigkeit],0))</f>
        <v>#N/A</v>
      </c>
      <c r="N3440" t="e">
        <f>VLOOKUP(Tabelle9[[#This Row],[Rank]],Stammdaten[[Rank Verteilung Abholzigkeit]:[Verteilung Abholzigkeit]],2,FALSE)</f>
        <v>#N/A</v>
      </c>
      <c r="S3440">
        <v>3431</v>
      </c>
      <c r="T3440" t="e">
        <f>INDEX(Stammdaten[Krümmung (mm/lfm)],MATCH(Tabelle10[[#This Row],[Rank]],Stammdaten[Rank Verteilung Krümmung],0))</f>
        <v>#N/A</v>
      </c>
      <c r="U3440" t="e">
        <f>VLOOKUP(Tabelle10[[#This Row],[Rank]],Stammdaten[[Rank Verteilung Krümmung]:[Verteilung Krümmung]],2,FALSE)</f>
        <v>#N/A</v>
      </c>
      <c r="Z3440">
        <v>3431</v>
      </c>
      <c r="AA3440" t="e">
        <f>INDEX(Stammdaten[Ovalität (']0,1'])],MATCH(Tabelle1014[[#This Row],[Rank]],Stammdaten[Rank Verteilung Ovalität],0))</f>
        <v>#N/A</v>
      </c>
      <c r="AB3440" t="e">
        <f>VLOOKUP(Tabelle1014[[#This Row],[Rank]],Stammdaten[[Rank Verteilung Ovalität]:[Verteilung Ovalität]],2,FALSE)</f>
        <v>#N/A</v>
      </c>
    </row>
    <row r="3441" spans="5:28" x14ac:dyDescent="0.35">
      <c r="E3441">
        <v>3432</v>
      </c>
      <c r="F3441" t="e">
        <f>INDEX(Stammdaten[D Mitte mit Rinde (mm)],MATCH(Tabelle8[[#This Row],[Rank]],Stammdaten[Rank Verteilung D Mitte mit Rinde],0))</f>
        <v>#N/A</v>
      </c>
      <c r="G3441" t="e">
        <f>VLOOKUP(Tabelle8[[#This Row],[Rank]],Stammdaten[[Rank Verteilung D Mitte mit Rinde]:[Verteilung D Mitte mit Rinde]],2,FALSE)</f>
        <v>#N/A</v>
      </c>
      <c r="L3441">
        <v>3432</v>
      </c>
      <c r="M3441" t="e">
        <f>INDEX(Stammdaten[Abholzigkeit (mm/lfm)],MATCH(Tabelle9[[#This Row],[Rank]],Stammdaten[Rank Verteilung Abholzigkeit],0))</f>
        <v>#N/A</v>
      </c>
      <c r="N3441" t="e">
        <f>VLOOKUP(Tabelle9[[#This Row],[Rank]],Stammdaten[[Rank Verteilung Abholzigkeit]:[Verteilung Abholzigkeit]],2,FALSE)</f>
        <v>#N/A</v>
      </c>
      <c r="S3441">
        <v>3432</v>
      </c>
      <c r="T3441" t="e">
        <f>INDEX(Stammdaten[Krümmung (mm/lfm)],MATCH(Tabelle10[[#This Row],[Rank]],Stammdaten[Rank Verteilung Krümmung],0))</f>
        <v>#N/A</v>
      </c>
      <c r="U3441" t="e">
        <f>VLOOKUP(Tabelle10[[#This Row],[Rank]],Stammdaten[[Rank Verteilung Krümmung]:[Verteilung Krümmung]],2,FALSE)</f>
        <v>#N/A</v>
      </c>
      <c r="Z3441">
        <v>3432</v>
      </c>
      <c r="AA3441" t="e">
        <f>INDEX(Stammdaten[Ovalität (']0,1'])],MATCH(Tabelle1014[[#This Row],[Rank]],Stammdaten[Rank Verteilung Ovalität],0))</f>
        <v>#N/A</v>
      </c>
      <c r="AB3441" t="e">
        <f>VLOOKUP(Tabelle1014[[#This Row],[Rank]],Stammdaten[[Rank Verteilung Ovalität]:[Verteilung Ovalität]],2,FALSE)</f>
        <v>#N/A</v>
      </c>
    </row>
    <row r="3442" spans="5:28" x14ac:dyDescent="0.35">
      <c r="E3442">
        <v>3433</v>
      </c>
      <c r="F3442" t="e">
        <f>INDEX(Stammdaten[D Mitte mit Rinde (mm)],MATCH(Tabelle8[[#This Row],[Rank]],Stammdaten[Rank Verteilung D Mitte mit Rinde],0))</f>
        <v>#N/A</v>
      </c>
      <c r="G3442" t="e">
        <f>VLOOKUP(Tabelle8[[#This Row],[Rank]],Stammdaten[[Rank Verteilung D Mitte mit Rinde]:[Verteilung D Mitte mit Rinde]],2,FALSE)</f>
        <v>#N/A</v>
      </c>
      <c r="L3442">
        <v>3433</v>
      </c>
      <c r="M3442" t="e">
        <f>INDEX(Stammdaten[Abholzigkeit (mm/lfm)],MATCH(Tabelle9[[#This Row],[Rank]],Stammdaten[Rank Verteilung Abholzigkeit],0))</f>
        <v>#N/A</v>
      </c>
      <c r="N3442" t="e">
        <f>VLOOKUP(Tabelle9[[#This Row],[Rank]],Stammdaten[[Rank Verteilung Abholzigkeit]:[Verteilung Abholzigkeit]],2,FALSE)</f>
        <v>#N/A</v>
      </c>
      <c r="S3442">
        <v>3433</v>
      </c>
      <c r="T3442" t="e">
        <f>INDEX(Stammdaten[Krümmung (mm/lfm)],MATCH(Tabelle10[[#This Row],[Rank]],Stammdaten[Rank Verteilung Krümmung],0))</f>
        <v>#N/A</v>
      </c>
      <c r="U3442" t="e">
        <f>VLOOKUP(Tabelle10[[#This Row],[Rank]],Stammdaten[[Rank Verteilung Krümmung]:[Verteilung Krümmung]],2,FALSE)</f>
        <v>#N/A</v>
      </c>
      <c r="Z3442">
        <v>3433</v>
      </c>
      <c r="AA3442" t="e">
        <f>INDEX(Stammdaten[Ovalität (']0,1'])],MATCH(Tabelle1014[[#This Row],[Rank]],Stammdaten[Rank Verteilung Ovalität],0))</f>
        <v>#N/A</v>
      </c>
      <c r="AB3442" t="e">
        <f>VLOOKUP(Tabelle1014[[#This Row],[Rank]],Stammdaten[[Rank Verteilung Ovalität]:[Verteilung Ovalität]],2,FALSE)</f>
        <v>#N/A</v>
      </c>
    </row>
    <row r="3443" spans="5:28" x14ac:dyDescent="0.35">
      <c r="E3443">
        <v>3434</v>
      </c>
      <c r="F3443" t="e">
        <f>INDEX(Stammdaten[D Mitte mit Rinde (mm)],MATCH(Tabelle8[[#This Row],[Rank]],Stammdaten[Rank Verteilung D Mitte mit Rinde],0))</f>
        <v>#N/A</v>
      </c>
      <c r="G3443" t="e">
        <f>VLOOKUP(Tabelle8[[#This Row],[Rank]],Stammdaten[[Rank Verteilung D Mitte mit Rinde]:[Verteilung D Mitte mit Rinde]],2,FALSE)</f>
        <v>#N/A</v>
      </c>
      <c r="L3443">
        <v>3434</v>
      </c>
      <c r="M3443" t="e">
        <f>INDEX(Stammdaten[Abholzigkeit (mm/lfm)],MATCH(Tabelle9[[#This Row],[Rank]],Stammdaten[Rank Verteilung Abholzigkeit],0))</f>
        <v>#N/A</v>
      </c>
      <c r="N3443" t="e">
        <f>VLOOKUP(Tabelle9[[#This Row],[Rank]],Stammdaten[[Rank Verteilung Abholzigkeit]:[Verteilung Abholzigkeit]],2,FALSE)</f>
        <v>#N/A</v>
      </c>
      <c r="S3443">
        <v>3434</v>
      </c>
      <c r="T3443" t="e">
        <f>INDEX(Stammdaten[Krümmung (mm/lfm)],MATCH(Tabelle10[[#This Row],[Rank]],Stammdaten[Rank Verteilung Krümmung],0))</f>
        <v>#N/A</v>
      </c>
      <c r="U3443" t="e">
        <f>VLOOKUP(Tabelle10[[#This Row],[Rank]],Stammdaten[[Rank Verteilung Krümmung]:[Verteilung Krümmung]],2,FALSE)</f>
        <v>#N/A</v>
      </c>
      <c r="Z3443">
        <v>3434</v>
      </c>
      <c r="AA3443" t="e">
        <f>INDEX(Stammdaten[Ovalität (']0,1'])],MATCH(Tabelle1014[[#This Row],[Rank]],Stammdaten[Rank Verteilung Ovalität],0))</f>
        <v>#N/A</v>
      </c>
      <c r="AB3443" t="e">
        <f>VLOOKUP(Tabelle1014[[#This Row],[Rank]],Stammdaten[[Rank Verteilung Ovalität]:[Verteilung Ovalität]],2,FALSE)</f>
        <v>#N/A</v>
      </c>
    </row>
    <row r="3444" spans="5:28" x14ac:dyDescent="0.35">
      <c r="E3444">
        <v>3435</v>
      </c>
      <c r="F3444" t="e">
        <f>INDEX(Stammdaten[D Mitte mit Rinde (mm)],MATCH(Tabelle8[[#This Row],[Rank]],Stammdaten[Rank Verteilung D Mitte mit Rinde],0))</f>
        <v>#N/A</v>
      </c>
      <c r="G3444" t="e">
        <f>VLOOKUP(Tabelle8[[#This Row],[Rank]],Stammdaten[[Rank Verteilung D Mitte mit Rinde]:[Verteilung D Mitte mit Rinde]],2,FALSE)</f>
        <v>#N/A</v>
      </c>
      <c r="L3444">
        <v>3435</v>
      </c>
      <c r="M3444" t="e">
        <f>INDEX(Stammdaten[Abholzigkeit (mm/lfm)],MATCH(Tabelle9[[#This Row],[Rank]],Stammdaten[Rank Verteilung Abholzigkeit],0))</f>
        <v>#N/A</v>
      </c>
      <c r="N3444" t="e">
        <f>VLOOKUP(Tabelle9[[#This Row],[Rank]],Stammdaten[[Rank Verteilung Abholzigkeit]:[Verteilung Abholzigkeit]],2,FALSE)</f>
        <v>#N/A</v>
      </c>
      <c r="S3444">
        <v>3435</v>
      </c>
      <c r="T3444" t="e">
        <f>INDEX(Stammdaten[Krümmung (mm/lfm)],MATCH(Tabelle10[[#This Row],[Rank]],Stammdaten[Rank Verteilung Krümmung],0))</f>
        <v>#N/A</v>
      </c>
      <c r="U3444" t="e">
        <f>VLOOKUP(Tabelle10[[#This Row],[Rank]],Stammdaten[[Rank Verteilung Krümmung]:[Verteilung Krümmung]],2,FALSE)</f>
        <v>#N/A</v>
      </c>
      <c r="Z3444">
        <v>3435</v>
      </c>
      <c r="AA3444" t="e">
        <f>INDEX(Stammdaten[Ovalität (']0,1'])],MATCH(Tabelle1014[[#This Row],[Rank]],Stammdaten[Rank Verteilung Ovalität],0))</f>
        <v>#N/A</v>
      </c>
      <c r="AB3444" t="e">
        <f>VLOOKUP(Tabelle1014[[#This Row],[Rank]],Stammdaten[[Rank Verteilung Ovalität]:[Verteilung Ovalität]],2,FALSE)</f>
        <v>#N/A</v>
      </c>
    </row>
    <row r="3445" spans="5:28" x14ac:dyDescent="0.35">
      <c r="E3445">
        <v>3436</v>
      </c>
      <c r="F3445" t="e">
        <f>INDEX(Stammdaten[D Mitte mit Rinde (mm)],MATCH(Tabelle8[[#This Row],[Rank]],Stammdaten[Rank Verteilung D Mitte mit Rinde],0))</f>
        <v>#N/A</v>
      </c>
      <c r="G3445" t="e">
        <f>VLOOKUP(Tabelle8[[#This Row],[Rank]],Stammdaten[[Rank Verteilung D Mitte mit Rinde]:[Verteilung D Mitte mit Rinde]],2,FALSE)</f>
        <v>#N/A</v>
      </c>
      <c r="L3445">
        <v>3436</v>
      </c>
      <c r="M3445" t="e">
        <f>INDEX(Stammdaten[Abholzigkeit (mm/lfm)],MATCH(Tabelle9[[#This Row],[Rank]],Stammdaten[Rank Verteilung Abholzigkeit],0))</f>
        <v>#N/A</v>
      </c>
      <c r="N3445" t="e">
        <f>VLOOKUP(Tabelle9[[#This Row],[Rank]],Stammdaten[[Rank Verteilung Abholzigkeit]:[Verteilung Abholzigkeit]],2,FALSE)</f>
        <v>#N/A</v>
      </c>
      <c r="S3445">
        <v>3436</v>
      </c>
      <c r="T3445" t="e">
        <f>INDEX(Stammdaten[Krümmung (mm/lfm)],MATCH(Tabelle10[[#This Row],[Rank]],Stammdaten[Rank Verteilung Krümmung],0))</f>
        <v>#N/A</v>
      </c>
      <c r="U3445" t="e">
        <f>VLOOKUP(Tabelle10[[#This Row],[Rank]],Stammdaten[[Rank Verteilung Krümmung]:[Verteilung Krümmung]],2,FALSE)</f>
        <v>#N/A</v>
      </c>
      <c r="Z3445">
        <v>3436</v>
      </c>
      <c r="AA3445" t="e">
        <f>INDEX(Stammdaten[Ovalität (']0,1'])],MATCH(Tabelle1014[[#This Row],[Rank]],Stammdaten[Rank Verteilung Ovalität],0))</f>
        <v>#N/A</v>
      </c>
      <c r="AB3445" t="e">
        <f>VLOOKUP(Tabelle1014[[#This Row],[Rank]],Stammdaten[[Rank Verteilung Ovalität]:[Verteilung Ovalität]],2,FALSE)</f>
        <v>#N/A</v>
      </c>
    </row>
    <row r="3446" spans="5:28" x14ac:dyDescent="0.35">
      <c r="E3446">
        <v>3437</v>
      </c>
      <c r="F3446" t="e">
        <f>INDEX(Stammdaten[D Mitte mit Rinde (mm)],MATCH(Tabelle8[[#This Row],[Rank]],Stammdaten[Rank Verteilung D Mitte mit Rinde],0))</f>
        <v>#N/A</v>
      </c>
      <c r="G3446" t="e">
        <f>VLOOKUP(Tabelle8[[#This Row],[Rank]],Stammdaten[[Rank Verteilung D Mitte mit Rinde]:[Verteilung D Mitte mit Rinde]],2,FALSE)</f>
        <v>#N/A</v>
      </c>
      <c r="L3446">
        <v>3437</v>
      </c>
      <c r="M3446" t="e">
        <f>INDEX(Stammdaten[Abholzigkeit (mm/lfm)],MATCH(Tabelle9[[#This Row],[Rank]],Stammdaten[Rank Verteilung Abholzigkeit],0))</f>
        <v>#N/A</v>
      </c>
      <c r="N3446" t="e">
        <f>VLOOKUP(Tabelle9[[#This Row],[Rank]],Stammdaten[[Rank Verteilung Abholzigkeit]:[Verteilung Abholzigkeit]],2,FALSE)</f>
        <v>#N/A</v>
      </c>
      <c r="S3446">
        <v>3437</v>
      </c>
      <c r="T3446" t="e">
        <f>INDEX(Stammdaten[Krümmung (mm/lfm)],MATCH(Tabelle10[[#This Row],[Rank]],Stammdaten[Rank Verteilung Krümmung],0))</f>
        <v>#N/A</v>
      </c>
      <c r="U3446" t="e">
        <f>VLOOKUP(Tabelle10[[#This Row],[Rank]],Stammdaten[[Rank Verteilung Krümmung]:[Verteilung Krümmung]],2,FALSE)</f>
        <v>#N/A</v>
      </c>
      <c r="Z3446">
        <v>3437</v>
      </c>
      <c r="AA3446" t="e">
        <f>INDEX(Stammdaten[Ovalität (']0,1'])],MATCH(Tabelle1014[[#This Row],[Rank]],Stammdaten[Rank Verteilung Ovalität],0))</f>
        <v>#N/A</v>
      </c>
      <c r="AB3446" t="e">
        <f>VLOOKUP(Tabelle1014[[#This Row],[Rank]],Stammdaten[[Rank Verteilung Ovalität]:[Verteilung Ovalität]],2,FALSE)</f>
        <v>#N/A</v>
      </c>
    </row>
    <row r="3447" spans="5:28" x14ac:dyDescent="0.35">
      <c r="E3447">
        <v>3438</v>
      </c>
      <c r="F3447" t="e">
        <f>INDEX(Stammdaten[D Mitte mit Rinde (mm)],MATCH(Tabelle8[[#This Row],[Rank]],Stammdaten[Rank Verteilung D Mitte mit Rinde],0))</f>
        <v>#N/A</v>
      </c>
      <c r="G3447" t="e">
        <f>VLOOKUP(Tabelle8[[#This Row],[Rank]],Stammdaten[[Rank Verteilung D Mitte mit Rinde]:[Verteilung D Mitte mit Rinde]],2,FALSE)</f>
        <v>#N/A</v>
      </c>
      <c r="L3447">
        <v>3438</v>
      </c>
      <c r="M3447" t="e">
        <f>INDEX(Stammdaten[Abholzigkeit (mm/lfm)],MATCH(Tabelle9[[#This Row],[Rank]],Stammdaten[Rank Verteilung Abholzigkeit],0))</f>
        <v>#N/A</v>
      </c>
      <c r="N3447" t="e">
        <f>VLOOKUP(Tabelle9[[#This Row],[Rank]],Stammdaten[[Rank Verteilung Abholzigkeit]:[Verteilung Abholzigkeit]],2,FALSE)</f>
        <v>#N/A</v>
      </c>
      <c r="S3447">
        <v>3438</v>
      </c>
      <c r="T3447" t="e">
        <f>INDEX(Stammdaten[Krümmung (mm/lfm)],MATCH(Tabelle10[[#This Row],[Rank]],Stammdaten[Rank Verteilung Krümmung],0))</f>
        <v>#N/A</v>
      </c>
      <c r="U3447" t="e">
        <f>VLOOKUP(Tabelle10[[#This Row],[Rank]],Stammdaten[[Rank Verteilung Krümmung]:[Verteilung Krümmung]],2,FALSE)</f>
        <v>#N/A</v>
      </c>
      <c r="Z3447">
        <v>3438</v>
      </c>
      <c r="AA3447" t="e">
        <f>INDEX(Stammdaten[Ovalität (']0,1'])],MATCH(Tabelle1014[[#This Row],[Rank]],Stammdaten[Rank Verteilung Ovalität],0))</f>
        <v>#N/A</v>
      </c>
      <c r="AB3447" t="e">
        <f>VLOOKUP(Tabelle1014[[#This Row],[Rank]],Stammdaten[[Rank Verteilung Ovalität]:[Verteilung Ovalität]],2,FALSE)</f>
        <v>#N/A</v>
      </c>
    </row>
    <row r="3448" spans="5:28" x14ac:dyDescent="0.35">
      <c r="E3448">
        <v>3439</v>
      </c>
      <c r="F3448" t="e">
        <f>INDEX(Stammdaten[D Mitte mit Rinde (mm)],MATCH(Tabelle8[[#This Row],[Rank]],Stammdaten[Rank Verteilung D Mitte mit Rinde],0))</f>
        <v>#N/A</v>
      </c>
      <c r="G3448" t="e">
        <f>VLOOKUP(Tabelle8[[#This Row],[Rank]],Stammdaten[[Rank Verteilung D Mitte mit Rinde]:[Verteilung D Mitte mit Rinde]],2,FALSE)</f>
        <v>#N/A</v>
      </c>
      <c r="L3448">
        <v>3439</v>
      </c>
      <c r="M3448" t="e">
        <f>INDEX(Stammdaten[Abholzigkeit (mm/lfm)],MATCH(Tabelle9[[#This Row],[Rank]],Stammdaten[Rank Verteilung Abholzigkeit],0))</f>
        <v>#N/A</v>
      </c>
      <c r="N3448" t="e">
        <f>VLOOKUP(Tabelle9[[#This Row],[Rank]],Stammdaten[[Rank Verteilung Abholzigkeit]:[Verteilung Abholzigkeit]],2,FALSE)</f>
        <v>#N/A</v>
      </c>
      <c r="S3448">
        <v>3439</v>
      </c>
      <c r="T3448" t="e">
        <f>INDEX(Stammdaten[Krümmung (mm/lfm)],MATCH(Tabelle10[[#This Row],[Rank]],Stammdaten[Rank Verteilung Krümmung],0))</f>
        <v>#N/A</v>
      </c>
      <c r="U3448" t="e">
        <f>VLOOKUP(Tabelle10[[#This Row],[Rank]],Stammdaten[[Rank Verteilung Krümmung]:[Verteilung Krümmung]],2,FALSE)</f>
        <v>#N/A</v>
      </c>
      <c r="Z3448">
        <v>3439</v>
      </c>
      <c r="AA3448" t="e">
        <f>INDEX(Stammdaten[Ovalität (']0,1'])],MATCH(Tabelle1014[[#This Row],[Rank]],Stammdaten[Rank Verteilung Ovalität],0))</f>
        <v>#N/A</v>
      </c>
      <c r="AB3448" t="e">
        <f>VLOOKUP(Tabelle1014[[#This Row],[Rank]],Stammdaten[[Rank Verteilung Ovalität]:[Verteilung Ovalität]],2,FALSE)</f>
        <v>#N/A</v>
      </c>
    </row>
    <row r="3449" spans="5:28" x14ac:dyDescent="0.35">
      <c r="E3449">
        <v>3440</v>
      </c>
      <c r="F3449" t="e">
        <f>INDEX(Stammdaten[D Mitte mit Rinde (mm)],MATCH(Tabelle8[[#This Row],[Rank]],Stammdaten[Rank Verteilung D Mitte mit Rinde],0))</f>
        <v>#N/A</v>
      </c>
      <c r="G3449" t="e">
        <f>VLOOKUP(Tabelle8[[#This Row],[Rank]],Stammdaten[[Rank Verteilung D Mitte mit Rinde]:[Verteilung D Mitte mit Rinde]],2,FALSE)</f>
        <v>#N/A</v>
      </c>
      <c r="L3449">
        <v>3440</v>
      </c>
      <c r="M3449" t="e">
        <f>INDEX(Stammdaten[Abholzigkeit (mm/lfm)],MATCH(Tabelle9[[#This Row],[Rank]],Stammdaten[Rank Verteilung Abholzigkeit],0))</f>
        <v>#N/A</v>
      </c>
      <c r="N3449" t="e">
        <f>VLOOKUP(Tabelle9[[#This Row],[Rank]],Stammdaten[[Rank Verteilung Abholzigkeit]:[Verteilung Abholzigkeit]],2,FALSE)</f>
        <v>#N/A</v>
      </c>
      <c r="S3449">
        <v>3440</v>
      </c>
      <c r="T3449" t="e">
        <f>INDEX(Stammdaten[Krümmung (mm/lfm)],MATCH(Tabelle10[[#This Row],[Rank]],Stammdaten[Rank Verteilung Krümmung],0))</f>
        <v>#N/A</v>
      </c>
      <c r="U3449" t="e">
        <f>VLOOKUP(Tabelle10[[#This Row],[Rank]],Stammdaten[[Rank Verteilung Krümmung]:[Verteilung Krümmung]],2,FALSE)</f>
        <v>#N/A</v>
      </c>
      <c r="Z3449">
        <v>3440</v>
      </c>
      <c r="AA3449" t="e">
        <f>INDEX(Stammdaten[Ovalität (']0,1'])],MATCH(Tabelle1014[[#This Row],[Rank]],Stammdaten[Rank Verteilung Ovalität],0))</f>
        <v>#N/A</v>
      </c>
      <c r="AB3449" t="e">
        <f>VLOOKUP(Tabelle1014[[#This Row],[Rank]],Stammdaten[[Rank Verteilung Ovalität]:[Verteilung Ovalität]],2,FALSE)</f>
        <v>#N/A</v>
      </c>
    </row>
    <row r="3450" spans="5:28" x14ac:dyDescent="0.35">
      <c r="E3450">
        <v>3441</v>
      </c>
      <c r="F3450" t="e">
        <f>INDEX(Stammdaten[D Mitte mit Rinde (mm)],MATCH(Tabelle8[[#This Row],[Rank]],Stammdaten[Rank Verteilung D Mitte mit Rinde],0))</f>
        <v>#N/A</v>
      </c>
      <c r="G3450" t="e">
        <f>VLOOKUP(Tabelle8[[#This Row],[Rank]],Stammdaten[[Rank Verteilung D Mitte mit Rinde]:[Verteilung D Mitte mit Rinde]],2,FALSE)</f>
        <v>#N/A</v>
      </c>
      <c r="L3450">
        <v>3441</v>
      </c>
      <c r="M3450" t="e">
        <f>INDEX(Stammdaten[Abholzigkeit (mm/lfm)],MATCH(Tabelle9[[#This Row],[Rank]],Stammdaten[Rank Verteilung Abholzigkeit],0))</f>
        <v>#N/A</v>
      </c>
      <c r="N3450" t="e">
        <f>VLOOKUP(Tabelle9[[#This Row],[Rank]],Stammdaten[[Rank Verteilung Abholzigkeit]:[Verteilung Abholzigkeit]],2,FALSE)</f>
        <v>#N/A</v>
      </c>
      <c r="S3450">
        <v>3441</v>
      </c>
      <c r="T3450" t="e">
        <f>INDEX(Stammdaten[Krümmung (mm/lfm)],MATCH(Tabelle10[[#This Row],[Rank]],Stammdaten[Rank Verteilung Krümmung],0))</f>
        <v>#N/A</v>
      </c>
      <c r="U3450" t="e">
        <f>VLOOKUP(Tabelle10[[#This Row],[Rank]],Stammdaten[[Rank Verteilung Krümmung]:[Verteilung Krümmung]],2,FALSE)</f>
        <v>#N/A</v>
      </c>
      <c r="Z3450">
        <v>3441</v>
      </c>
      <c r="AA3450" t="e">
        <f>INDEX(Stammdaten[Ovalität (']0,1'])],MATCH(Tabelle1014[[#This Row],[Rank]],Stammdaten[Rank Verteilung Ovalität],0))</f>
        <v>#N/A</v>
      </c>
      <c r="AB3450" t="e">
        <f>VLOOKUP(Tabelle1014[[#This Row],[Rank]],Stammdaten[[Rank Verteilung Ovalität]:[Verteilung Ovalität]],2,FALSE)</f>
        <v>#N/A</v>
      </c>
    </row>
    <row r="3451" spans="5:28" x14ac:dyDescent="0.35">
      <c r="E3451">
        <v>3442</v>
      </c>
      <c r="F3451" t="e">
        <f>INDEX(Stammdaten[D Mitte mit Rinde (mm)],MATCH(Tabelle8[[#This Row],[Rank]],Stammdaten[Rank Verteilung D Mitte mit Rinde],0))</f>
        <v>#N/A</v>
      </c>
      <c r="G3451" t="e">
        <f>VLOOKUP(Tabelle8[[#This Row],[Rank]],Stammdaten[[Rank Verteilung D Mitte mit Rinde]:[Verteilung D Mitte mit Rinde]],2,FALSE)</f>
        <v>#N/A</v>
      </c>
      <c r="L3451">
        <v>3442</v>
      </c>
      <c r="M3451" t="e">
        <f>INDEX(Stammdaten[Abholzigkeit (mm/lfm)],MATCH(Tabelle9[[#This Row],[Rank]],Stammdaten[Rank Verteilung Abholzigkeit],0))</f>
        <v>#N/A</v>
      </c>
      <c r="N3451" t="e">
        <f>VLOOKUP(Tabelle9[[#This Row],[Rank]],Stammdaten[[Rank Verteilung Abholzigkeit]:[Verteilung Abholzigkeit]],2,FALSE)</f>
        <v>#N/A</v>
      </c>
      <c r="S3451">
        <v>3442</v>
      </c>
      <c r="T3451" t="e">
        <f>INDEX(Stammdaten[Krümmung (mm/lfm)],MATCH(Tabelle10[[#This Row],[Rank]],Stammdaten[Rank Verteilung Krümmung],0))</f>
        <v>#N/A</v>
      </c>
      <c r="U3451" t="e">
        <f>VLOOKUP(Tabelle10[[#This Row],[Rank]],Stammdaten[[Rank Verteilung Krümmung]:[Verteilung Krümmung]],2,FALSE)</f>
        <v>#N/A</v>
      </c>
      <c r="Z3451">
        <v>3442</v>
      </c>
      <c r="AA3451" t="e">
        <f>INDEX(Stammdaten[Ovalität (']0,1'])],MATCH(Tabelle1014[[#This Row],[Rank]],Stammdaten[Rank Verteilung Ovalität],0))</f>
        <v>#N/A</v>
      </c>
      <c r="AB3451" t="e">
        <f>VLOOKUP(Tabelle1014[[#This Row],[Rank]],Stammdaten[[Rank Verteilung Ovalität]:[Verteilung Ovalität]],2,FALSE)</f>
        <v>#N/A</v>
      </c>
    </row>
    <row r="3452" spans="5:28" x14ac:dyDescent="0.35">
      <c r="E3452">
        <v>3443</v>
      </c>
      <c r="F3452" t="e">
        <f>INDEX(Stammdaten[D Mitte mit Rinde (mm)],MATCH(Tabelle8[[#This Row],[Rank]],Stammdaten[Rank Verteilung D Mitte mit Rinde],0))</f>
        <v>#N/A</v>
      </c>
      <c r="G3452" t="e">
        <f>VLOOKUP(Tabelle8[[#This Row],[Rank]],Stammdaten[[Rank Verteilung D Mitte mit Rinde]:[Verteilung D Mitte mit Rinde]],2,FALSE)</f>
        <v>#N/A</v>
      </c>
      <c r="L3452">
        <v>3443</v>
      </c>
      <c r="M3452" t="e">
        <f>INDEX(Stammdaten[Abholzigkeit (mm/lfm)],MATCH(Tabelle9[[#This Row],[Rank]],Stammdaten[Rank Verteilung Abholzigkeit],0))</f>
        <v>#N/A</v>
      </c>
      <c r="N3452" t="e">
        <f>VLOOKUP(Tabelle9[[#This Row],[Rank]],Stammdaten[[Rank Verteilung Abholzigkeit]:[Verteilung Abholzigkeit]],2,FALSE)</f>
        <v>#N/A</v>
      </c>
      <c r="S3452">
        <v>3443</v>
      </c>
      <c r="T3452" t="e">
        <f>INDEX(Stammdaten[Krümmung (mm/lfm)],MATCH(Tabelle10[[#This Row],[Rank]],Stammdaten[Rank Verteilung Krümmung],0))</f>
        <v>#N/A</v>
      </c>
      <c r="U3452" t="e">
        <f>VLOOKUP(Tabelle10[[#This Row],[Rank]],Stammdaten[[Rank Verteilung Krümmung]:[Verteilung Krümmung]],2,FALSE)</f>
        <v>#N/A</v>
      </c>
      <c r="Z3452">
        <v>3443</v>
      </c>
      <c r="AA3452" t="e">
        <f>INDEX(Stammdaten[Ovalität (']0,1'])],MATCH(Tabelle1014[[#This Row],[Rank]],Stammdaten[Rank Verteilung Ovalität],0))</f>
        <v>#N/A</v>
      </c>
      <c r="AB3452" t="e">
        <f>VLOOKUP(Tabelle1014[[#This Row],[Rank]],Stammdaten[[Rank Verteilung Ovalität]:[Verteilung Ovalität]],2,FALSE)</f>
        <v>#N/A</v>
      </c>
    </row>
    <row r="3453" spans="5:28" x14ac:dyDescent="0.35">
      <c r="E3453">
        <v>3444</v>
      </c>
      <c r="F3453" t="e">
        <f>INDEX(Stammdaten[D Mitte mit Rinde (mm)],MATCH(Tabelle8[[#This Row],[Rank]],Stammdaten[Rank Verteilung D Mitte mit Rinde],0))</f>
        <v>#N/A</v>
      </c>
      <c r="G3453" t="e">
        <f>VLOOKUP(Tabelle8[[#This Row],[Rank]],Stammdaten[[Rank Verteilung D Mitte mit Rinde]:[Verteilung D Mitte mit Rinde]],2,FALSE)</f>
        <v>#N/A</v>
      </c>
      <c r="L3453">
        <v>3444</v>
      </c>
      <c r="M3453" t="e">
        <f>INDEX(Stammdaten[Abholzigkeit (mm/lfm)],MATCH(Tabelle9[[#This Row],[Rank]],Stammdaten[Rank Verteilung Abholzigkeit],0))</f>
        <v>#N/A</v>
      </c>
      <c r="N3453" t="e">
        <f>VLOOKUP(Tabelle9[[#This Row],[Rank]],Stammdaten[[Rank Verteilung Abholzigkeit]:[Verteilung Abholzigkeit]],2,FALSE)</f>
        <v>#N/A</v>
      </c>
      <c r="S3453">
        <v>3444</v>
      </c>
      <c r="T3453" t="e">
        <f>INDEX(Stammdaten[Krümmung (mm/lfm)],MATCH(Tabelle10[[#This Row],[Rank]],Stammdaten[Rank Verteilung Krümmung],0))</f>
        <v>#N/A</v>
      </c>
      <c r="U3453" t="e">
        <f>VLOOKUP(Tabelle10[[#This Row],[Rank]],Stammdaten[[Rank Verteilung Krümmung]:[Verteilung Krümmung]],2,FALSE)</f>
        <v>#N/A</v>
      </c>
      <c r="Z3453">
        <v>3444</v>
      </c>
      <c r="AA3453" t="e">
        <f>INDEX(Stammdaten[Ovalität (']0,1'])],MATCH(Tabelle1014[[#This Row],[Rank]],Stammdaten[Rank Verteilung Ovalität],0))</f>
        <v>#N/A</v>
      </c>
      <c r="AB3453" t="e">
        <f>VLOOKUP(Tabelle1014[[#This Row],[Rank]],Stammdaten[[Rank Verteilung Ovalität]:[Verteilung Ovalität]],2,FALSE)</f>
        <v>#N/A</v>
      </c>
    </row>
    <row r="3454" spans="5:28" x14ac:dyDescent="0.35">
      <c r="E3454">
        <v>3445</v>
      </c>
      <c r="F3454" t="e">
        <f>INDEX(Stammdaten[D Mitte mit Rinde (mm)],MATCH(Tabelle8[[#This Row],[Rank]],Stammdaten[Rank Verteilung D Mitte mit Rinde],0))</f>
        <v>#N/A</v>
      </c>
      <c r="G3454" t="e">
        <f>VLOOKUP(Tabelle8[[#This Row],[Rank]],Stammdaten[[Rank Verteilung D Mitte mit Rinde]:[Verteilung D Mitte mit Rinde]],2,FALSE)</f>
        <v>#N/A</v>
      </c>
      <c r="L3454">
        <v>3445</v>
      </c>
      <c r="M3454" t="e">
        <f>INDEX(Stammdaten[Abholzigkeit (mm/lfm)],MATCH(Tabelle9[[#This Row],[Rank]],Stammdaten[Rank Verteilung Abholzigkeit],0))</f>
        <v>#N/A</v>
      </c>
      <c r="N3454" t="e">
        <f>VLOOKUP(Tabelle9[[#This Row],[Rank]],Stammdaten[[Rank Verteilung Abholzigkeit]:[Verteilung Abholzigkeit]],2,FALSE)</f>
        <v>#N/A</v>
      </c>
      <c r="S3454">
        <v>3445</v>
      </c>
      <c r="T3454" t="e">
        <f>INDEX(Stammdaten[Krümmung (mm/lfm)],MATCH(Tabelle10[[#This Row],[Rank]],Stammdaten[Rank Verteilung Krümmung],0))</f>
        <v>#N/A</v>
      </c>
      <c r="U3454" t="e">
        <f>VLOOKUP(Tabelle10[[#This Row],[Rank]],Stammdaten[[Rank Verteilung Krümmung]:[Verteilung Krümmung]],2,FALSE)</f>
        <v>#N/A</v>
      </c>
      <c r="Z3454">
        <v>3445</v>
      </c>
      <c r="AA3454" t="e">
        <f>INDEX(Stammdaten[Ovalität (']0,1'])],MATCH(Tabelle1014[[#This Row],[Rank]],Stammdaten[Rank Verteilung Ovalität],0))</f>
        <v>#N/A</v>
      </c>
      <c r="AB3454" t="e">
        <f>VLOOKUP(Tabelle1014[[#This Row],[Rank]],Stammdaten[[Rank Verteilung Ovalität]:[Verteilung Ovalität]],2,FALSE)</f>
        <v>#N/A</v>
      </c>
    </row>
    <row r="3455" spans="5:28" x14ac:dyDescent="0.35">
      <c r="E3455">
        <v>3446</v>
      </c>
      <c r="F3455" t="e">
        <f>INDEX(Stammdaten[D Mitte mit Rinde (mm)],MATCH(Tabelle8[[#This Row],[Rank]],Stammdaten[Rank Verteilung D Mitte mit Rinde],0))</f>
        <v>#N/A</v>
      </c>
      <c r="G3455" t="e">
        <f>VLOOKUP(Tabelle8[[#This Row],[Rank]],Stammdaten[[Rank Verteilung D Mitte mit Rinde]:[Verteilung D Mitte mit Rinde]],2,FALSE)</f>
        <v>#N/A</v>
      </c>
      <c r="L3455">
        <v>3446</v>
      </c>
      <c r="M3455" t="e">
        <f>INDEX(Stammdaten[Abholzigkeit (mm/lfm)],MATCH(Tabelle9[[#This Row],[Rank]],Stammdaten[Rank Verteilung Abholzigkeit],0))</f>
        <v>#N/A</v>
      </c>
      <c r="N3455" t="e">
        <f>VLOOKUP(Tabelle9[[#This Row],[Rank]],Stammdaten[[Rank Verteilung Abholzigkeit]:[Verteilung Abholzigkeit]],2,FALSE)</f>
        <v>#N/A</v>
      </c>
      <c r="S3455">
        <v>3446</v>
      </c>
      <c r="T3455" t="e">
        <f>INDEX(Stammdaten[Krümmung (mm/lfm)],MATCH(Tabelle10[[#This Row],[Rank]],Stammdaten[Rank Verteilung Krümmung],0))</f>
        <v>#N/A</v>
      </c>
      <c r="U3455" t="e">
        <f>VLOOKUP(Tabelle10[[#This Row],[Rank]],Stammdaten[[Rank Verteilung Krümmung]:[Verteilung Krümmung]],2,FALSE)</f>
        <v>#N/A</v>
      </c>
      <c r="Z3455">
        <v>3446</v>
      </c>
      <c r="AA3455" t="e">
        <f>INDEX(Stammdaten[Ovalität (']0,1'])],MATCH(Tabelle1014[[#This Row],[Rank]],Stammdaten[Rank Verteilung Ovalität],0))</f>
        <v>#N/A</v>
      </c>
      <c r="AB3455" t="e">
        <f>VLOOKUP(Tabelle1014[[#This Row],[Rank]],Stammdaten[[Rank Verteilung Ovalität]:[Verteilung Ovalität]],2,FALSE)</f>
        <v>#N/A</v>
      </c>
    </row>
    <row r="3456" spans="5:28" x14ac:dyDescent="0.35">
      <c r="E3456">
        <v>3447</v>
      </c>
      <c r="F3456" t="e">
        <f>INDEX(Stammdaten[D Mitte mit Rinde (mm)],MATCH(Tabelle8[[#This Row],[Rank]],Stammdaten[Rank Verteilung D Mitte mit Rinde],0))</f>
        <v>#N/A</v>
      </c>
      <c r="G3456" t="e">
        <f>VLOOKUP(Tabelle8[[#This Row],[Rank]],Stammdaten[[Rank Verteilung D Mitte mit Rinde]:[Verteilung D Mitte mit Rinde]],2,FALSE)</f>
        <v>#N/A</v>
      </c>
      <c r="L3456">
        <v>3447</v>
      </c>
      <c r="M3456" t="e">
        <f>INDEX(Stammdaten[Abholzigkeit (mm/lfm)],MATCH(Tabelle9[[#This Row],[Rank]],Stammdaten[Rank Verteilung Abholzigkeit],0))</f>
        <v>#N/A</v>
      </c>
      <c r="N3456" t="e">
        <f>VLOOKUP(Tabelle9[[#This Row],[Rank]],Stammdaten[[Rank Verteilung Abholzigkeit]:[Verteilung Abholzigkeit]],2,FALSE)</f>
        <v>#N/A</v>
      </c>
      <c r="S3456">
        <v>3447</v>
      </c>
      <c r="T3456" t="e">
        <f>INDEX(Stammdaten[Krümmung (mm/lfm)],MATCH(Tabelle10[[#This Row],[Rank]],Stammdaten[Rank Verteilung Krümmung],0))</f>
        <v>#N/A</v>
      </c>
      <c r="U3456" t="e">
        <f>VLOOKUP(Tabelle10[[#This Row],[Rank]],Stammdaten[[Rank Verteilung Krümmung]:[Verteilung Krümmung]],2,FALSE)</f>
        <v>#N/A</v>
      </c>
      <c r="Z3456">
        <v>3447</v>
      </c>
      <c r="AA3456" t="e">
        <f>INDEX(Stammdaten[Ovalität (']0,1'])],MATCH(Tabelle1014[[#This Row],[Rank]],Stammdaten[Rank Verteilung Ovalität],0))</f>
        <v>#N/A</v>
      </c>
      <c r="AB3456" t="e">
        <f>VLOOKUP(Tabelle1014[[#This Row],[Rank]],Stammdaten[[Rank Verteilung Ovalität]:[Verteilung Ovalität]],2,FALSE)</f>
        <v>#N/A</v>
      </c>
    </row>
    <row r="3457" spans="5:28" x14ac:dyDescent="0.35">
      <c r="E3457">
        <v>3448</v>
      </c>
      <c r="F3457" t="e">
        <f>INDEX(Stammdaten[D Mitte mit Rinde (mm)],MATCH(Tabelle8[[#This Row],[Rank]],Stammdaten[Rank Verteilung D Mitte mit Rinde],0))</f>
        <v>#N/A</v>
      </c>
      <c r="G3457" t="e">
        <f>VLOOKUP(Tabelle8[[#This Row],[Rank]],Stammdaten[[Rank Verteilung D Mitte mit Rinde]:[Verteilung D Mitte mit Rinde]],2,FALSE)</f>
        <v>#N/A</v>
      </c>
      <c r="L3457">
        <v>3448</v>
      </c>
      <c r="M3457" t="e">
        <f>INDEX(Stammdaten[Abholzigkeit (mm/lfm)],MATCH(Tabelle9[[#This Row],[Rank]],Stammdaten[Rank Verteilung Abholzigkeit],0))</f>
        <v>#N/A</v>
      </c>
      <c r="N3457" t="e">
        <f>VLOOKUP(Tabelle9[[#This Row],[Rank]],Stammdaten[[Rank Verteilung Abholzigkeit]:[Verteilung Abholzigkeit]],2,FALSE)</f>
        <v>#N/A</v>
      </c>
      <c r="S3457">
        <v>3448</v>
      </c>
      <c r="T3457" t="e">
        <f>INDEX(Stammdaten[Krümmung (mm/lfm)],MATCH(Tabelle10[[#This Row],[Rank]],Stammdaten[Rank Verteilung Krümmung],0))</f>
        <v>#N/A</v>
      </c>
      <c r="U3457" t="e">
        <f>VLOOKUP(Tabelle10[[#This Row],[Rank]],Stammdaten[[Rank Verteilung Krümmung]:[Verteilung Krümmung]],2,FALSE)</f>
        <v>#N/A</v>
      </c>
      <c r="Z3457">
        <v>3448</v>
      </c>
      <c r="AA3457" t="e">
        <f>INDEX(Stammdaten[Ovalität (']0,1'])],MATCH(Tabelle1014[[#This Row],[Rank]],Stammdaten[Rank Verteilung Ovalität],0))</f>
        <v>#N/A</v>
      </c>
      <c r="AB3457" t="e">
        <f>VLOOKUP(Tabelle1014[[#This Row],[Rank]],Stammdaten[[Rank Verteilung Ovalität]:[Verteilung Ovalität]],2,FALSE)</f>
        <v>#N/A</v>
      </c>
    </row>
    <row r="3458" spans="5:28" x14ac:dyDescent="0.35">
      <c r="E3458">
        <v>3449</v>
      </c>
      <c r="F3458" t="e">
        <f>INDEX(Stammdaten[D Mitte mit Rinde (mm)],MATCH(Tabelle8[[#This Row],[Rank]],Stammdaten[Rank Verteilung D Mitte mit Rinde],0))</f>
        <v>#N/A</v>
      </c>
      <c r="G3458" t="e">
        <f>VLOOKUP(Tabelle8[[#This Row],[Rank]],Stammdaten[[Rank Verteilung D Mitte mit Rinde]:[Verteilung D Mitte mit Rinde]],2,FALSE)</f>
        <v>#N/A</v>
      </c>
      <c r="L3458">
        <v>3449</v>
      </c>
      <c r="M3458" t="e">
        <f>INDEX(Stammdaten[Abholzigkeit (mm/lfm)],MATCH(Tabelle9[[#This Row],[Rank]],Stammdaten[Rank Verteilung Abholzigkeit],0))</f>
        <v>#N/A</v>
      </c>
      <c r="N3458" t="e">
        <f>VLOOKUP(Tabelle9[[#This Row],[Rank]],Stammdaten[[Rank Verteilung Abholzigkeit]:[Verteilung Abholzigkeit]],2,FALSE)</f>
        <v>#N/A</v>
      </c>
      <c r="S3458">
        <v>3449</v>
      </c>
      <c r="T3458" t="e">
        <f>INDEX(Stammdaten[Krümmung (mm/lfm)],MATCH(Tabelle10[[#This Row],[Rank]],Stammdaten[Rank Verteilung Krümmung],0))</f>
        <v>#N/A</v>
      </c>
      <c r="U3458" t="e">
        <f>VLOOKUP(Tabelle10[[#This Row],[Rank]],Stammdaten[[Rank Verteilung Krümmung]:[Verteilung Krümmung]],2,FALSE)</f>
        <v>#N/A</v>
      </c>
      <c r="Z3458">
        <v>3449</v>
      </c>
      <c r="AA3458" t="e">
        <f>INDEX(Stammdaten[Ovalität (']0,1'])],MATCH(Tabelle1014[[#This Row],[Rank]],Stammdaten[Rank Verteilung Ovalität],0))</f>
        <v>#N/A</v>
      </c>
      <c r="AB3458" t="e">
        <f>VLOOKUP(Tabelle1014[[#This Row],[Rank]],Stammdaten[[Rank Verteilung Ovalität]:[Verteilung Ovalität]],2,FALSE)</f>
        <v>#N/A</v>
      </c>
    </row>
    <row r="3459" spans="5:28" x14ac:dyDescent="0.35">
      <c r="E3459">
        <v>3450</v>
      </c>
      <c r="F3459" t="e">
        <f>INDEX(Stammdaten[D Mitte mit Rinde (mm)],MATCH(Tabelle8[[#This Row],[Rank]],Stammdaten[Rank Verteilung D Mitte mit Rinde],0))</f>
        <v>#N/A</v>
      </c>
      <c r="G3459" t="e">
        <f>VLOOKUP(Tabelle8[[#This Row],[Rank]],Stammdaten[[Rank Verteilung D Mitte mit Rinde]:[Verteilung D Mitte mit Rinde]],2,FALSE)</f>
        <v>#N/A</v>
      </c>
      <c r="L3459">
        <v>3450</v>
      </c>
      <c r="M3459" t="e">
        <f>INDEX(Stammdaten[Abholzigkeit (mm/lfm)],MATCH(Tabelle9[[#This Row],[Rank]],Stammdaten[Rank Verteilung Abholzigkeit],0))</f>
        <v>#N/A</v>
      </c>
      <c r="N3459" t="e">
        <f>VLOOKUP(Tabelle9[[#This Row],[Rank]],Stammdaten[[Rank Verteilung Abholzigkeit]:[Verteilung Abholzigkeit]],2,FALSE)</f>
        <v>#N/A</v>
      </c>
      <c r="S3459">
        <v>3450</v>
      </c>
      <c r="T3459" t="e">
        <f>INDEX(Stammdaten[Krümmung (mm/lfm)],MATCH(Tabelle10[[#This Row],[Rank]],Stammdaten[Rank Verteilung Krümmung],0))</f>
        <v>#N/A</v>
      </c>
      <c r="U3459" t="e">
        <f>VLOOKUP(Tabelle10[[#This Row],[Rank]],Stammdaten[[Rank Verteilung Krümmung]:[Verteilung Krümmung]],2,FALSE)</f>
        <v>#N/A</v>
      </c>
      <c r="Z3459">
        <v>3450</v>
      </c>
      <c r="AA3459" t="e">
        <f>INDEX(Stammdaten[Ovalität (']0,1'])],MATCH(Tabelle1014[[#This Row],[Rank]],Stammdaten[Rank Verteilung Ovalität],0))</f>
        <v>#N/A</v>
      </c>
      <c r="AB3459" t="e">
        <f>VLOOKUP(Tabelle1014[[#This Row],[Rank]],Stammdaten[[Rank Verteilung Ovalität]:[Verteilung Ovalität]],2,FALSE)</f>
        <v>#N/A</v>
      </c>
    </row>
    <row r="3460" spans="5:28" x14ac:dyDescent="0.35">
      <c r="E3460">
        <v>3451</v>
      </c>
      <c r="F3460" t="e">
        <f>INDEX(Stammdaten[D Mitte mit Rinde (mm)],MATCH(Tabelle8[[#This Row],[Rank]],Stammdaten[Rank Verteilung D Mitte mit Rinde],0))</f>
        <v>#N/A</v>
      </c>
      <c r="G3460" t="e">
        <f>VLOOKUP(Tabelle8[[#This Row],[Rank]],Stammdaten[[Rank Verteilung D Mitte mit Rinde]:[Verteilung D Mitte mit Rinde]],2,FALSE)</f>
        <v>#N/A</v>
      </c>
      <c r="L3460">
        <v>3451</v>
      </c>
      <c r="M3460" t="e">
        <f>INDEX(Stammdaten[Abholzigkeit (mm/lfm)],MATCH(Tabelle9[[#This Row],[Rank]],Stammdaten[Rank Verteilung Abholzigkeit],0))</f>
        <v>#N/A</v>
      </c>
      <c r="N3460" t="e">
        <f>VLOOKUP(Tabelle9[[#This Row],[Rank]],Stammdaten[[Rank Verteilung Abholzigkeit]:[Verteilung Abholzigkeit]],2,FALSE)</f>
        <v>#N/A</v>
      </c>
      <c r="S3460">
        <v>3451</v>
      </c>
      <c r="T3460" t="e">
        <f>INDEX(Stammdaten[Krümmung (mm/lfm)],MATCH(Tabelle10[[#This Row],[Rank]],Stammdaten[Rank Verteilung Krümmung],0))</f>
        <v>#N/A</v>
      </c>
      <c r="U3460" t="e">
        <f>VLOOKUP(Tabelle10[[#This Row],[Rank]],Stammdaten[[Rank Verteilung Krümmung]:[Verteilung Krümmung]],2,FALSE)</f>
        <v>#N/A</v>
      </c>
      <c r="Z3460">
        <v>3451</v>
      </c>
      <c r="AA3460" t="e">
        <f>INDEX(Stammdaten[Ovalität (']0,1'])],MATCH(Tabelle1014[[#This Row],[Rank]],Stammdaten[Rank Verteilung Ovalität],0))</f>
        <v>#N/A</v>
      </c>
      <c r="AB3460" t="e">
        <f>VLOOKUP(Tabelle1014[[#This Row],[Rank]],Stammdaten[[Rank Verteilung Ovalität]:[Verteilung Ovalität]],2,FALSE)</f>
        <v>#N/A</v>
      </c>
    </row>
    <row r="3461" spans="5:28" x14ac:dyDescent="0.35">
      <c r="E3461">
        <v>3452</v>
      </c>
      <c r="F3461" t="e">
        <f>INDEX(Stammdaten[D Mitte mit Rinde (mm)],MATCH(Tabelle8[[#This Row],[Rank]],Stammdaten[Rank Verteilung D Mitte mit Rinde],0))</f>
        <v>#N/A</v>
      </c>
      <c r="G3461" t="e">
        <f>VLOOKUP(Tabelle8[[#This Row],[Rank]],Stammdaten[[Rank Verteilung D Mitte mit Rinde]:[Verteilung D Mitte mit Rinde]],2,FALSE)</f>
        <v>#N/A</v>
      </c>
      <c r="L3461">
        <v>3452</v>
      </c>
      <c r="M3461" t="e">
        <f>INDEX(Stammdaten[Abholzigkeit (mm/lfm)],MATCH(Tabelle9[[#This Row],[Rank]],Stammdaten[Rank Verteilung Abholzigkeit],0))</f>
        <v>#N/A</v>
      </c>
      <c r="N3461" t="e">
        <f>VLOOKUP(Tabelle9[[#This Row],[Rank]],Stammdaten[[Rank Verteilung Abholzigkeit]:[Verteilung Abholzigkeit]],2,FALSE)</f>
        <v>#N/A</v>
      </c>
      <c r="S3461">
        <v>3452</v>
      </c>
      <c r="T3461" t="e">
        <f>INDEX(Stammdaten[Krümmung (mm/lfm)],MATCH(Tabelle10[[#This Row],[Rank]],Stammdaten[Rank Verteilung Krümmung],0))</f>
        <v>#N/A</v>
      </c>
      <c r="U3461" t="e">
        <f>VLOOKUP(Tabelle10[[#This Row],[Rank]],Stammdaten[[Rank Verteilung Krümmung]:[Verteilung Krümmung]],2,FALSE)</f>
        <v>#N/A</v>
      </c>
      <c r="Z3461">
        <v>3452</v>
      </c>
      <c r="AA3461" t="e">
        <f>INDEX(Stammdaten[Ovalität (']0,1'])],MATCH(Tabelle1014[[#This Row],[Rank]],Stammdaten[Rank Verteilung Ovalität],0))</f>
        <v>#N/A</v>
      </c>
      <c r="AB3461" t="e">
        <f>VLOOKUP(Tabelle1014[[#This Row],[Rank]],Stammdaten[[Rank Verteilung Ovalität]:[Verteilung Ovalität]],2,FALSE)</f>
        <v>#N/A</v>
      </c>
    </row>
    <row r="3462" spans="5:28" x14ac:dyDescent="0.35">
      <c r="E3462">
        <v>3453</v>
      </c>
      <c r="F3462" t="e">
        <f>INDEX(Stammdaten[D Mitte mit Rinde (mm)],MATCH(Tabelle8[[#This Row],[Rank]],Stammdaten[Rank Verteilung D Mitte mit Rinde],0))</f>
        <v>#N/A</v>
      </c>
      <c r="G3462" t="e">
        <f>VLOOKUP(Tabelle8[[#This Row],[Rank]],Stammdaten[[Rank Verteilung D Mitte mit Rinde]:[Verteilung D Mitte mit Rinde]],2,FALSE)</f>
        <v>#N/A</v>
      </c>
      <c r="L3462">
        <v>3453</v>
      </c>
      <c r="M3462" t="e">
        <f>INDEX(Stammdaten[Abholzigkeit (mm/lfm)],MATCH(Tabelle9[[#This Row],[Rank]],Stammdaten[Rank Verteilung Abholzigkeit],0))</f>
        <v>#N/A</v>
      </c>
      <c r="N3462" t="e">
        <f>VLOOKUP(Tabelle9[[#This Row],[Rank]],Stammdaten[[Rank Verteilung Abholzigkeit]:[Verteilung Abholzigkeit]],2,FALSE)</f>
        <v>#N/A</v>
      </c>
      <c r="S3462">
        <v>3453</v>
      </c>
      <c r="T3462" t="e">
        <f>INDEX(Stammdaten[Krümmung (mm/lfm)],MATCH(Tabelle10[[#This Row],[Rank]],Stammdaten[Rank Verteilung Krümmung],0))</f>
        <v>#N/A</v>
      </c>
      <c r="U3462" t="e">
        <f>VLOOKUP(Tabelle10[[#This Row],[Rank]],Stammdaten[[Rank Verteilung Krümmung]:[Verteilung Krümmung]],2,FALSE)</f>
        <v>#N/A</v>
      </c>
      <c r="Z3462">
        <v>3453</v>
      </c>
      <c r="AA3462" t="e">
        <f>INDEX(Stammdaten[Ovalität (']0,1'])],MATCH(Tabelle1014[[#This Row],[Rank]],Stammdaten[Rank Verteilung Ovalität],0))</f>
        <v>#N/A</v>
      </c>
      <c r="AB3462" t="e">
        <f>VLOOKUP(Tabelle1014[[#This Row],[Rank]],Stammdaten[[Rank Verteilung Ovalität]:[Verteilung Ovalität]],2,FALSE)</f>
        <v>#N/A</v>
      </c>
    </row>
    <row r="3463" spans="5:28" x14ac:dyDescent="0.35">
      <c r="E3463">
        <v>3454</v>
      </c>
      <c r="F3463" t="e">
        <f>INDEX(Stammdaten[D Mitte mit Rinde (mm)],MATCH(Tabelle8[[#This Row],[Rank]],Stammdaten[Rank Verteilung D Mitte mit Rinde],0))</f>
        <v>#N/A</v>
      </c>
      <c r="G3463" t="e">
        <f>VLOOKUP(Tabelle8[[#This Row],[Rank]],Stammdaten[[Rank Verteilung D Mitte mit Rinde]:[Verteilung D Mitte mit Rinde]],2,FALSE)</f>
        <v>#N/A</v>
      </c>
      <c r="L3463">
        <v>3454</v>
      </c>
      <c r="M3463" t="e">
        <f>INDEX(Stammdaten[Abholzigkeit (mm/lfm)],MATCH(Tabelle9[[#This Row],[Rank]],Stammdaten[Rank Verteilung Abholzigkeit],0))</f>
        <v>#N/A</v>
      </c>
      <c r="N3463" t="e">
        <f>VLOOKUP(Tabelle9[[#This Row],[Rank]],Stammdaten[[Rank Verteilung Abholzigkeit]:[Verteilung Abholzigkeit]],2,FALSE)</f>
        <v>#N/A</v>
      </c>
      <c r="S3463">
        <v>3454</v>
      </c>
      <c r="T3463" t="e">
        <f>INDEX(Stammdaten[Krümmung (mm/lfm)],MATCH(Tabelle10[[#This Row],[Rank]],Stammdaten[Rank Verteilung Krümmung],0))</f>
        <v>#N/A</v>
      </c>
      <c r="U3463" t="e">
        <f>VLOOKUP(Tabelle10[[#This Row],[Rank]],Stammdaten[[Rank Verteilung Krümmung]:[Verteilung Krümmung]],2,FALSE)</f>
        <v>#N/A</v>
      </c>
      <c r="Z3463">
        <v>3454</v>
      </c>
      <c r="AA3463" t="e">
        <f>INDEX(Stammdaten[Ovalität (']0,1'])],MATCH(Tabelle1014[[#This Row],[Rank]],Stammdaten[Rank Verteilung Ovalität],0))</f>
        <v>#N/A</v>
      </c>
      <c r="AB3463" t="e">
        <f>VLOOKUP(Tabelle1014[[#This Row],[Rank]],Stammdaten[[Rank Verteilung Ovalität]:[Verteilung Ovalität]],2,FALSE)</f>
        <v>#N/A</v>
      </c>
    </row>
    <row r="3464" spans="5:28" x14ac:dyDescent="0.35">
      <c r="E3464">
        <v>3455</v>
      </c>
      <c r="F3464" t="e">
        <f>INDEX(Stammdaten[D Mitte mit Rinde (mm)],MATCH(Tabelle8[[#This Row],[Rank]],Stammdaten[Rank Verteilung D Mitte mit Rinde],0))</f>
        <v>#N/A</v>
      </c>
      <c r="G3464" t="e">
        <f>VLOOKUP(Tabelle8[[#This Row],[Rank]],Stammdaten[[Rank Verteilung D Mitte mit Rinde]:[Verteilung D Mitte mit Rinde]],2,FALSE)</f>
        <v>#N/A</v>
      </c>
      <c r="L3464">
        <v>3455</v>
      </c>
      <c r="M3464" t="e">
        <f>INDEX(Stammdaten[Abholzigkeit (mm/lfm)],MATCH(Tabelle9[[#This Row],[Rank]],Stammdaten[Rank Verteilung Abholzigkeit],0))</f>
        <v>#N/A</v>
      </c>
      <c r="N3464" t="e">
        <f>VLOOKUP(Tabelle9[[#This Row],[Rank]],Stammdaten[[Rank Verteilung Abholzigkeit]:[Verteilung Abholzigkeit]],2,FALSE)</f>
        <v>#N/A</v>
      </c>
      <c r="S3464">
        <v>3455</v>
      </c>
      <c r="T3464" t="e">
        <f>INDEX(Stammdaten[Krümmung (mm/lfm)],MATCH(Tabelle10[[#This Row],[Rank]],Stammdaten[Rank Verteilung Krümmung],0))</f>
        <v>#N/A</v>
      </c>
      <c r="U3464" t="e">
        <f>VLOOKUP(Tabelle10[[#This Row],[Rank]],Stammdaten[[Rank Verteilung Krümmung]:[Verteilung Krümmung]],2,FALSE)</f>
        <v>#N/A</v>
      </c>
      <c r="Z3464">
        <v>3455</v>
      </c>
      <c r="AA3464" t="e">
        <f>INDEX(Stammdaten[Ovalität (']0,1'])],MATCH(Tabelle1014[[#This Row],[Rank]],Stammdaten[Rank Verteilung Ovalität],0))</f>
        <v>#N/A</v>
      </c>
      <c r="AB3464" t="e">
        <f>VLOOKUP(Tabelle1014[[#This Row],[Rank]],Stammdaten[[Rank Verteilung Ovalität]:[Verteilung Ovalität]],2,FALSE)</f>
        <v>#N/A</v>
      </c>
    </row>
    <row r="3465" spans="5:28" x14ac:dyDescent="0.35">
      <c r="E3465">
        <v>3456</v>
      </c>
      <c r="F3465" t="e">
        <f>INDEX(Stammdaten[D Mitte mit Rinde (mm)],MATCH(Tabelle8[[#This Row],[Rank]],Stammdaten[Rank Verteilung D Mitte mit Rinde],0))</f>
        <v>#N/A</v>
      </c>
      <c r="G3465" t="e">
        <f>VLOOKUP(Tabelle8[[#This Row],[Rank]],Stammdaten[[Rank Verteilung D Mitte mit Rinde]:[Verteilung D Mitte mit Rinde]],2,FALSE)</f>
        <v>#N/A</v>
      </c>
      <c r="L3465">
        <v>3456</v>
      </c>
      <c r="M3465" t="e">
        <f>INDEX(Stammdaten[Abholzigkeit (mm/lfm)],MATCH(Tabelle9[[#This Row],[Rank]],Stammdaten[Rank Verteilung Abholzigkeit],0))</f>
        <v>#N/A</v>
      </c>
      <c r="N3465" t="e">
        <f>VLOOKUP(Tabelle9[[#This Row],[Rank]],Stammdaten[[Rank Verteilung Abholzigkeit]:[Verteilung Abholzigkeit]],2,FALSE)</f>
        <v>#N/A</v>
      </c>
      <c r="S3465">
        <v>3456</v>
      </c>
      <c r="T3465" t="e">
        <f>INDEX(Stammdaten[Krümmung (mm/lfm)],MATCH(Tabelle10[[#This Row],[Rank]],Stammdaten[Rank Verteilung Krümmung],0))</f>
        <v>#N/A</v>
      </c>
      <c r="U3465" t="e">
        <f>VLOOKUP(Tabelle10[[#This Row],[Rank]],Stammdaten[[Rank Verteilung Krümmung]:[Verteilung Krümmung]],2,FALSE)</f>
        <v>#N/A</v>
      </c>
      <c r="Z3465">
        <v>3456</v>
      </c>
      <c r="AA3465" t="e">
        <f>INDEX(Stammdaten[Ovalität (']0,1'])],MATCH(Tabelle1014[[#This Row],[Rank]],Stammdaten[Rank Verteilung Ovalität],0))</f>
        <v>#N/A</v>
      </c>
      <c r="AB3465" t="e">
        <f>VLOOKUP(Tabelle1014[[#This Row],[Rank]],Stammdaten[[Rank Verteilung Ovalität]:[Verteilung Ovalität]],2,FALSE)</f>
        <v>#N/A</v>
      </c>
    </row>
    <row r="3466" spans="5:28" x14ac:dyDescent="0.35">
      <c r="E3466">
        <v>3457</v>
      </c>
      <c r="F3466" t="e">
        <f>INDEX(Stammdaten[D Mitte mit Rinde (mm)],MATCH(Tabelle8[[#This Row],[Rank]],Stammdaten[Rank Verteilung D Mitte mit Rinde],0))</f>
        <v>#N/A</v>
      </c>
      <c r="G3466" t="e">
        <f>VLOOKUP(Tabelle8[[#This Row],[Rank]],Stammdaten[[Rank Verteilung D Mitte mit Rinde]:[Verteilung D Mitte mit Rinde]],2,FALSE)</f>
        <v>#N/A</v>
      </c>
      <c r="L3466">
        <v>3457</v>
      </c>
      <c r="M3466" t="e">
        <f>INDEX(Stammdaten[Abholzigkeit (mm/lfm)],MATCH(Tabelle9[[#This Row],[Rank]],Stammdaten[Rank Verteilung Abholzigkeit],0))</f>
        <v>#N/A</v>
      </c>
      <c r="N3466" t="e">
        <f>VLOOKUP(Tabelle9[[#This Row],[Rank]],Stammdaten[[Rank Verteilung Abholzigkeit]:[Verteilung Abholzigkeit]],2,FALSE)</f>
        <v>#N/A</v>
      </c>
      <c r="S3466">
        <v>3457</v>
      </c>
      <c r="T3466" t="e">
        <f>INDEX(Stammdaten[Krümmung (mm/lfm)],MATCH(Tabelle10[[#This Row],[Rank]],Stammdaten[Rank Verteilung Krümmung],0))</f>
        <v>#N/A</v>
      </c>
      <c r="U3466" t="e">
        <f>VLOOKUP(Tabelle10[[#This Row],[Rank]],Stammdaten[[Rank Verteilung Krümmung]:[Verteilung Krümmung]],2,FALSE)</f>
        <v>#N/A</v>
      </c>
      <c r="Z3466">
        <v>3457</v>
      </c>
      <c r="AA3466" t="e">
        <f>INDEX(Stammdaten[Ovalität (']0,1'])],MATCH(Tabelle1014[[#This Row],[Rank]],Stammdaten[Rank Verteilung Ovalität],0))</f>
        <v>#N/A</v>
      </c>
      <c r="AB3466" t="e">
        <f>VLOOKUP(Tabelle1014[[#This Row],[Rank]],Stammdaten[[Rank Verteilung Ovalität]:[Verteilung Ovalität]],2,FALSE)</f>
        <v>#N/A</v>
      </c>
    </row>
    <row r="3467" spans="5:28" x14ac:dyDescent="0.35">
      <c r="E3467">
        <v>3458</v>
      </c>
      <c r="F3467" t="e">
        <f>INDEX(Stammdaten[D Mitte mit Rinde (mm)],MATCH(Tabelle8[[#This Row],[Rank]],Stammdaten[Rank Verteilung D Mitte mit Rinde],0))</f>
        <v>#N/A</v>
      </c>
      <c r="G3467" t="e">
        <f>VLOOKUP(Tabelle8[[#This Row],[Rank]],Stammdaten[[Rank Verteilung D Mitte mit Rinde]:[Verteilung D Mitte mit Rinde]],2,FALSE)</f>
        <v>#N/A</v>
      </c>
      <c r="L3467">
        <v>3458</v>
      </c>
      <c r="M3467" t="e">
        <f>INDEX(Stammdaten[Abholzigkeit (mm/lfm)],MATCH(Tabelle9[[#This Row],[Rank]],Stammdaten[Rank Verteilung Abholzigkeit],0))</f>
        <v>#N/A</v>
      </c>
      <c r="N3467" t="e">
        <f>VLOOKUP(Tabelle9[[#This Row],[Rank]],Stammdaten[[Rank Verteilung Abholzigkeit]:[Verteilung Abholzigkeit]],2,FALSE)</f>
        <v>#N/A</v>
      </c>
      <c r="S3467">
        <v>3458</v>
      </c>
      <c r="T3467" t="e">
        <f>INDEX(Stammdaten[Krümmung (mm/lfm)],MATCH(Tabelle10[[#This Row],[Rank]],Stammdaten[Rank Verteilung Krümmung],0))</f>
        <v>#N/A</v>
      </c>
      <c r="U3467" t="e">
        <f>VLOOKUP(Tabelle10[[#This Row],[Rank]],Stammdaten[[Rank Verteilung Krümmung]:[Verteilung Krümmung]],2,FALSE)</f>
        <v>#N/A</v>
      </c>
      <c r="Z3467">
        <v>3458</v>
      </c>
      <c r="AA3467" t="e">
        <f>INDEX(Stammdaten[Ovalität (']0,1'])],MATCH(Tabelle1014[[#This Row],[Rank]],Stammdaten[Rank Verteilung Ovalität],0))</f>
        <v>#N/A</v>
      </c>
      <c r="AB3467" t="e">
        <f>VLOOKUP(Tabelle1014[[#This Row],[Rank]],Stammdaten[[Rank Verteilung Ovalität]:[Verteilung Ovalität]],2,FALSE)</f>
        <v>#N/A</v>
      </c>
    </row>
    <row r="3468" spans="5:28" x14ac:dyDescent="0.35">
      <c r="E3468">
        <v>3459</v>
      </c>
      <c r="F3468" t="e">
        <f>INDEX(Stammdaten[D Mitte mit Rinde (mm)],MATCH(Tabelle8[[#This Row],[Rank]],Stammdaten[Rank Verteilung D Mitte mit Rinde],0))</f>
        <v>#N/A</v>
      </c>
      <c r="G3468" t="e">
        <f>VLOOKUP(Tabelle8[[#This Row],[Rank]],Stammdaten[[Rank Verteilung D Mitte mit Rinde]:[Verteilung D Mitte mit Rinde]],2,FALSE)</f>
        <v>#N/A</v>
      </c>
      <c r="L3468">
        <v>3459</v>
      </c>
      <c r="M3468" t="e">
        <f>INDEX(Stammdaten[Abholzigkeit (mm/lfm)],MATCH(Tabelle9[[#This Row],[Rank]],Stammdaten[Rank Verteilung Abholzigkeit],0))</f>
        <v>#N/A</v>
      </c>
      <c r="N3468" t="e">
        <f>VLOOKUP(Tabelle9[[#This Row],[Rank]],Stammdaten[[Rank Verteilung Abholzigkeit]:[Verteilung Abholzigkeit]],2,FALSE)</f>
        <v>#N/A</v>
      </c>
      <c r="S3468">
        <v>3459</v>
      </c>
      <c r="T3468" t="e">
        <f>INDEX(Stammdaten[Krümmung (mm/lfm)],MATCH(Tabelle10[[#This Row],[Rank]],Stammdaten[Rank Verteilung Krümmung],0))</f>
        <v>#N/A</v>
      </c>
      <c r="U3468" t="e">
        <f>VLOOKUP(Tabelle10[[#This Row],[Rank]],Stammdaten[[Rank Verteilung Krümmung]:[Verteilung Krümmung]],2,FALSE)</f>
        <v>#N/A</v>
      </c>
      <c r="Z3468">
        <v>3459</v>
      </c>
      <c r="AA3468" t="e">
        <f>INDEX(Stammdaten[Ovalität (']0,1'])],MATCH(Tabelle1014[[#This Row],[Rank]],Stammdaten[Rank Verteilung Ovalität],0))</f>
        <v>#N/A</v>
      </c>
      <c r="AB3468" t="e">
        <f>VLOOKUP(Tabelle1014[[#This Row],[Rank]],Stammdaten[[Rank Verteilung Ovalität]:[Verteilung Ovalität]],2,FALSE)</f>
        <v>#N/A</v>
      </c>
    </row>
    <row r="3469" spans="5:28" x14ac:dyDescent="0.35">
      <c r="E3469">
        <v>3460</v>
      </c>
      <c r="F3469" t="e">
        <f>INDEX(Stammdaten[D Mitte mit Rinde (mm)],MATCH(Tabelle8[[#This Row],[Rank]],Stammdaten[Rank Verteilung D Mitte mit Rinde],0))</f>
        <v>#N/A</v>
      </c>
      <c r="G3469" t="e">
        <f>VLOOKUP(Tabelle8[[#This Row],[Rank]],Stammdaten[[Rank Verteilung D Mitte mit Rinde]:[Verteilung D Mitte mit Rinde]],2,FALSE)</f>
        <v>#N/A</v>
      </c>
      <c r="L3469">
        <v>3460</v>
      </c>
      <c r="M3469" t="e">
        <f>INDEX(Stammdaten[Abholzigkeit (mm/lfm)],MATCH(Tabelle9[[#This Row],[Rank]],Stammdaten[Rank Verteilung Abholzigkeit],0))</f>
        <v>#N/A</v>
      </c>
      <c r="N3469" t="e">
        <f>VLOOKUP(Tabelle9[[#This Row],[Rank]],Stammdaten[[Rank Verteilung Abholzigkeit]:[Verteilung Abholzigkeit]],2,FALSE)</f>
        <v>#N/A</v>
      </c>
      <c r="S3469">
        <v>3460</v>
      </c>
      <c r="T3469" t="e">
        <f>INDEX(Stammdaten[Krümmung (mm/lfm)],MATCH(Tabelle10[[#This Row],[Rank]],Stammdaten[Rank Verteilung Krümmung],0))</f>
        <v>#N/A</v>
      </c>
      <c r="U3469" t="e">
        <f>VLOOKUP(Tabelle10[[#This Row],[Rank]],Stammdaten[[Rank Verteilung Krümmung]:[Verteilung Krümmung]],2,FALSE)</f>
        <v>#N/A</v>
      </c>
      <c r="Z3469">
        <v>3460</v>
      </c>
      <c r="AA3469" t="e">
        <f>INDEX(Stammdaten[Ovalität (']0,1'])],MATCH(Tabelle1014[[#This Row],[Rank]],Stammdaten[Rank Verteilung Ovalität],0))</f>
        <v>#N/A</v>
      </c>
      <c r="AB3469" t="e">
        <f>VLOOKUP(Tabelle1014[[#This Row],[Rank]],Stammdaten[[Rank Verteilung Ovalität]:[Verteilung Ovalität]],2,FALSE)</f>
        <v>#N/A</v>
      </c>
    </row>
    <row r="3470" spans="5:28" x14ac:dyDescent="0.35">
      <c r="E3470">
        <v>3461</v>
      </c>
      <c r="F3470" t="e">
        <f>INDEX(Stammdaten[D Mitte mit Rinde (mm)],MATCH(Tabelle8[[#This Row],[Rank]],Stammdaten[Rank Verteilung D Mitte mit Rinde],0))</f>
        <v>#N/A</v>
      </c>
      <c r="G3470" t="e">
        <f>VLOOKUP(Tabelle8[[#This Row],[Rank]],Stammdaten[[Rank Verteilung D Mitte mit Rinde]:[Verteilung D Mitte mit Rinde]],2,FALSE)</f>
        <v>#N/A</v>
      </c>
      <c r="L3470">
        <v>3461</v>
      </c>
      <c r="M3470" t="e">
        <f>INDEX(Stammdaten[Abholzigkeit (mm/lfm)],MATCH(Tabelle9[[#This Row],[Rank]],Stammdaten[Rank Verteilung Abholzigkeit],0))</f>
        <v>#N/A</v>
      </c>
      <c r="N3470" t="e">
        <f>VLOOKUP(Tabelle9[[#This Row],[Rank]],Stammdaten[[Rank Verteilung Abholzigkeit]:[Verteilung Abholzigkeit]],2,FALSE)</f>
        <v>#N/A</v>
      </c>
      <c r="S3470">
        <v>3461</v>
      </c>
      <c r="T3470" t="e">
        <f>INDEX(Stammdaten[Krümmung (mm/lfm)],MATCH(Tabelle10[[#This Row],[Rank]],Stammdaten[Rank Verteilung Krümmung],0))</f>
        <v>#N/A</v>
      </c>
      <c r="U3470" t="e">
        <f>VLOOKUP(Tabelle10[[#This Row],[Rank]],Stammdaten[[Rank Verteilung Krümmung]:[Verteilung Krümmung]],2,FALSE)</f>
        <v>#N/A</v>
      </c>
      <c r="Z3470">
        <v>3461</v>
      </c>
      <c r="AA3470" t="e">
        <f>INDEX(Stammdaten[Ovalität (']0,1'])],MATCH(Tabelle1014[[#This Row],[Rank]],Stammdaten[Rank Verteilung Ovalität],0))</f>
        <v>#N/A</v>
      </c>
      <c r="AB3470" t="e">
        <f>VLOOKUP(Tabelle1014[[#This Row],[Rank]],Stammdaten[[Rank Verteilung Ovalität]:[Verteilung Ovalität]],2,FALSE)</f>
        <v>#N/A</v>
      </c>
    </row>
    <row r="3471" spans="5:28" x14ac:dyDescent="0.35">
      <c r="E3471">
        <v>3462</v>
      </c>
      <c r="F3471" t="e">
        <f>INDEX(Stammdaten[D Mitte mit Rinde (mm)],MATCH(Tabelle8[[#This Row],[Rank]],Stammdaten[Rank Verteilung D Mitte mit Rinde],0))</f>
        <v>#N/A</v>
      </c>
      <c r="G3471" t="e">
        <f>VLOOKUP(Tabelle8[[#This Row],[Rank]],Stammdaten[[Rank Verteilung D Mitte mit Rinde]:[Verteilung D Mitte mit Rinde]],2,FALSE)</f>
        <v>#N/A</v>
      </c>
      <c r="L3471">
        <v>3462</v>
      </c>
      <c r="M3471" t="e">
        <f>INDEX(Stammdaten[Abholzigkeit (mm/lfm)],MATCH(Tabelle9[[#This Row],[Rank]],Stammdaten[Rank Verteilung Abholzigkeit],0))</f>
        <v>#N/A</v>
      </c>
      <c r="N3471" t="e">
        <f>VLOOKUP(Tabelle9[[#This Row],[Rank]],Stammdaten[[Rank Verteilung Abholzigkeit]:[Verteilung Abholzigkeit]],2,FALSE)</f>
        <v>#N/A</v>
      </c>
      <c r="S3471">
        <v>3462</v>
      </c>
      <c r="T3471" t="e">
        <f>INDEX(Stammdaten[Krümmung (mm/lfm)],MATCH(Tabelle10[[#This Row],[Rank]],Stammdaten[Rank Verteilung Krümmung],0))</f>
        <v>#N/A</v>
      </c>
      <c r="U3471" t="e">
        <f>VLOOKUP(Tabelle10[[#This Row],[Rank]],Stammdaten[[Rank Verteilung Krümmung]:[Verteilung Krümmung]],2,FALSE)</f>
        <v>#N/A</v>
      </c>
      <c r="Z3471">
        <v>3462</v>
      </c>
      <c r="AA3471" t="e">
        <f>INDEX(Stammdaten[Ovalität (']0,1'])],MATCH(Tabelle1014[[#This Row],[Rank]],Stammdaten[Rank Verteilung Ovalität],0))</f>
        <v>#N/A</v>
      </c>
      <c r="AB3471" t="e">
        <f>VLOOKUP(Tabelle1014[[#This Row],[Rank]],Stammdaten[[Rank Verteilung Ovalität]:[Verteilung Ovalität]],2,FALSE)</f>
        <v>#N/A</v>
      </c>
    </row>
    <row r="3472" spans="5:28" x14ac:dyDescent="0.35">
      <c r="E3472">
        <v>3463</v>
      </c>
      <c r="F3472" t="e">
        <f>INDEX(Stammdaten[D Mitte mit Rinde (mm)],MATCH(Tabelle8[[#This Row],[Rank]],Stammdaten[Rank Verteilung D Mitte mit Rinde],0))</f>
        <v>#N/A</v>
      </c>
      <c r="G3472" t="e">
        <f>VLOOKUP(Tabelle8[[#This Row],[Rank]],Stammdaten[[Rank Verteilung D Mitte mit Rinde]:[Verteilung D Mitte mit Rinde]],2,FALSE)</f>
        <v>#N/A</v>
      </c>
      <c r="L3472">
        <v>3463</v>
      </c>
      <c r="M3472" t="e">
        <f>INDEX(Stammdaten[Abholzigkeit (mm/lfm)],MATCH(Tabelle9[[#This Row],[Rank]],Stammdaten[Rank Verteilung Abholzigkeit],0))</f>
        <v>#N/A</v>
      </c>
      <c r="N3472" t="e">
        <f>VLOOKUP(Tabelle9[[#This Row],[Rank]],Stammdaten[[Rank Verteilung Abholzigkeit]:[Verteilung Abholzigkeit]],2,FALSE)</f>
        <v>#N/A</v>
      </c>
      <c r="S3472">
        <v>3463</v>
      </c>
      <c r="T3472" t="e">
        <f>INDEX(Stammdaten[Krümmung (mm/lfm)],MATCH(Tabelle10[[#This Row],[Rank]],Stammdaten[Rank Verteilung Krümmung],0))</f>
        <v>#N/A</v>
      </c>
      <c r="U3472" t="e">
        <f>VLOOKUP(Tabelle10[[#This Row],[Rank]],Stammdaten[[Rank Verteilung Krümmung]:[Verteilung Krümmung]],2,FALSE)</f>
        <v>#N/A</v>
      </c>
      <c r="Z3472">
        <v>3463</v>
      </c>
      <c r="AA3472" t="e">
        <f>INDEX(Stammdaten[Ovalität (']0,1'])],MATCH(Tabelle1014[[#This Row],[Rank]],Stammdaten[Rank Verteilung Ovalität],0))</f>
        <v>#N/A</v>
      </c>
      <c r="AB3472" t="e">
        <f>VLOOKUP(Tabelle1014[[#This Row],[Rank]],Stammdaten[[Rank Verteilung Ovalität]:[Verteilung Ovalität]],2,FALSE)</f>
        <v>#N/A</v>
      </c>
    </row>
    <row r="3473" spans="5:28" x14ac:dyDescent="0.35">
      <c r="E3473">
        <v>3464</v>
      </c>
      <c r="F3473" t="e">
        <f>INDEX(Stammdaten[D Mitte mit Rinde (mm)],MATCH(Tabelle8[[#This Row],[Rank]],Stammdaten[Rank Verteilung D Mitte mit Rinde],0))</f>
        <v>#N/A</v>
      </c>
      <c r="G3473" t="e">
        <f>VLOOKUP(Tabelle8[[#This Row],[Rank]],Stammdaten[[Rank Verteilung D Mitte mit Rinde]:[Verteilung D Mitte mit Rinde]],2,FALSE)</f>
        <v>#N/A</v>
      </c>
      <c r="L3473">
        <v>3464</v>
      </c>
      <c r="M3473" t="e">
        <f>INDEX(Stammdaten[Abholzigkeit (mm/lfm)],MATCH(Tabelle9[[#This Row],[Rank]],Stammdaten[Rank Verteilung Abholzigkeit],0))</f>
        <v>#N/A</v>
      </c>
      <c r="N3473" t="e">
        <f>VLOOKUP(Tabelle9[[#This Row],[Rank]],Stammdaten[[Rank Verteilung Abholzigkeit]:[Verteilung Abholzigkeit]],2,FALSE)</f>
        <v>#N/A</v>
      </c>
      <c r="S3473">
        <v>3464</v>
      </c>
      <c r="T3473" t="e">
        <f>INDEX(Stammdaten[Krümmung (mm/lfm)],MATCH(Tabelle10[[#This Row],[Rank]],Stammdaten[Rank Verteilung Krümmung],0))</f>
        <v>#N/A</v>
      </c>
      <c r="U3473" t="e">
        <f>VLOOKUP(Tabelle10[[#This Row],[Rank]],Stammdaten[[Rank Verteilung Krümmung]:[Verteilung Krümmung]],2,FALSE)</f>
        <v>#N/A</v>
      </c>
      <c r="Z3473">
        <v>3464</v>
      </c>
      <c r="AA3473" t="e">
        <f>INDEX(Stammdaten[Ovalität (']0,1'])],MATCH(Tabelle1014[[#This Row],[Rank]],Stammdaten[Rank Verteilung Ovalität],0))</f>
        <v>#N/A</v>
      </c>
      <c r="AB3473" t="e">
        <f>VLOOKUP(Tabelle1014[[#This Row],[Rank]],Stammdaten[[Rank Verteilung Ovalität]:[Verteilung Ovalität]],2,FALSE)</f>
        <v>#N/A</v>
      </c>
    </row>
    <row r="3474" spans="5:28" x14ac:dyDescent="0.35">
      <c r="E3474">
        <v>3465</v>
      </c>
      <c r="F3474" t="e">
        <f>INDEX(Stammdaten[D Mitte mit Rinde (mm)],MATCH(Tabelle8[[#This Row],[Rank]],Stammdaten[Rank Verteilung D Mitte mit Rinde],0))</f>
        <v>#N/A</v>
      </c>
      <c r="G3474" t="e">
        <f>VLOOKUP(Tabelle8[[#This Row],[Rank]],Stammdaten[[Rank Verteilung D Mitte mit Rinde]:[Verteilung D Mitte mit Rinde]],2,FALSE)</f>
        <v>#N/A</v>
      </c>
      <c r="L3474">
        <v>3465</v>
      </c>
      <c r="M3474" t="e">
        <f>INDEX(Stammdaten[Abholzigkeit (mm/lfm)],MATCH(Tabelle9[[#This Row],[Rank]],Stammdaten[Rank Verteilung Abholzigkeit],0))</f>
        <v>#N/A</v>
      </c>
      <c r="N3474" t="e">
        <f>VLOOKUP(Tabelle9[[#This Row],[Rank]],Stammdaten[[Rank Verteilung Abholzigkeit]:[Verteilung Abholzigkeit]],2,FALSE)</f>
        <v>#N/A</v>
      </c>
      <c r="S3474">
        <v>3465</v>
      </c>
      <c r="T3474" t="e">
        <f>INDEX(Stammdaten[Krümmung (mm/lfm)],MATCH(Tabelle10[[#This Row],[Rank]],Stammdaten[Rank Verteilung Krümmung],0))</f>
        <v>#N/A</v>
      </c>
      <c r="U3474" t="e">
        <f>VLOOKUP(Tabelle10[[#This Row],[Rank]],Stammdaten[[Rank Verteilung Krümmung]:[Verteilung Krümmung]],2,FALSE)</f>
        <v>#N/A</v>
      </c>
      <c r="Z3474">
        <v>3465</v>
      </c>
      <c r="AA3474" t="e">
        <f>INDEX(Stammdaten[Ovalität (']0,1'])],MATCH(Tabelle1014[[#This Row],[Rank]],Stammdaten[Rank Verteilung Ovalität],0))</f>
        <v>#N/A</v>
      </c>
      <c r="AB3474" t="e">
        <f>VLOOKUP(Tabelle1014[[#This Row],[Rank]],Stammdaten[[Rank Verteilung Ovalität]:[Verteilung Ovalität]],2,FALSE)</f>
        <v>#N/A</v>
      </c>
    </row>
    <row r="3475" spans="5:28" x14ac:dyDescent="0.35">
      <c r="E3475">
        <v>3466</v>
      </c>
      <c r="F3475" t="e">
        <f>INDEX(Stammdaten[D Mitte mit Rinde (mm)],MATCH(Tabelle8[[#This Row],[Rank]],Stammdaten[Rank Verteilung D Mitte mit Rinde],0))</f>
        <v>#N/A</v>
      </c>
      <c r="G3475" t="e">
        <f>VLOOKUP(Tabelle8[[#This Row],[Rank]],Stammdaten[[Rank Verteilung D Mitte mit Rinde]:[Verteilung D Mitte mit Rinde]],2,FALSE)</f>
        <v>#N/A</v>
      </c>
      <c r="L3475">
        <v>3466</v>
      </c>
      <c r="M3475" t="e">
        <f>INDEX(Stammdaten[Abholzigkeit (mm/lfm)],MATCH(Tabelle9[[#This Row],[Rank]],Stammdaten[Rank Verteilung Abholzigkeit],0))</f>
        <v>#N/A</v>
      </c>
      <c r="N3475" t="e">
        <f>VLOOKUP(Tabelle9[[#This Row],[Rank]],Stammdaten[[Rank Verteilung Abholzigkeit]:[Verteilung Abholzigkeit]],2,FALSE)</f>
        <v>#N/A</v>
      </c>
      <c r="S3475">
        <v>3466</v>
      </c>
      <c r="T3475" t="e">
        <f>INDEX(Stammdaten[Krümmung (mm/lfm)],MATCH(Tabelle10[[#This Row],[Rank]],Stammdaten[Rank Verteilung Krümmung],0))</f>
        <v>#N/A</v>
      </c>
      <c r="U3475" t="e">
        <f>VLOOKUP(Tabelle10[[#This Row],[Rank]],Stammdaten[[Rank Verteilung Krümmung]:[Verteilung Krümmung]],2,FALSE)</f>
        <v>#N/A</v>
      </c>
      <c r="Z3475">
        <v>3466</v>
      </c>
      <c r="AA3475" t="e">
        <f>INDEX(Stammdaten[Ovalität (']0,1'])],MATCH(Tabelle1014[[#This Row],[Rank]],Stammdaten[Rank Verteilung Ovalität],0))</f>
        <v>#N/A</v>
      </c>
      <c r="AB3475" t="e">
        <f>VLOOKUP(Tabelle1014[[#This Row],[Rank]],Stammdaten[[Rank Verteilung Ovalität]:[Verteilung Ovalität]],2,FALSE)</f>
        <v>#N/A</v>
      </c>
    </row>
    <row r="3476" spans="5:28" x14ac:dyDescent="0.35">
      <c r="E3476">
        <v>3467</v>
      </c>
      <c r="F3476" t="e">
        <f>INDEX(Stammdaten[D Mitte mit Rinde (mm)],MATCH(Tabelle8[[#This Row],[Rank]],Stammdaten[Rank Verteilung D Mitte mit Rinde],0))</f>
        <v>#N/A</v>
      </c>
      <c r="G3476" t="e">
        <f>VLOOKUP(Tabelle8[[#This Row],[Rank]],Stammdaten[[Rank Verteilung D Mitte mit Rinde]:[Verteilung D Mitte mit Rinde]],2,FALSE)</f>
        <v>#N/A</v>
      </c>
      <c r="L3476">
        <v>3467</v>
      </c>
      <c r="M3476" t="e">
        <f>INDEX(Stammdaten[Abholzigkeit (mm/lfm)],MATCH(Tabelle9[[#This Row],[Rank]],Stammdaten[Rank Verteilung Abholzigkeit],0))</f>
        <v>#N/A</v>
      </c>
      <c r="N3476" t="e">
        <f>VLOOKUP(Tabelle9[[#This Row],[Rank]],Stammdaten[[Rank Verteilung Abholzigkeit]:[Verteilung Abholzigkeit]],2,FALSE)</f>
        <v>#N/A</v>
      </c>
      <c r="S3476">
        <v>3467</v>
      </c>
      <c r="T3476" t="e">
        <f>INDEX(Stammdaten[Krümmung (mm/lfm)],MATCH(Tabelle10[[#This Row],[Rank]],Stammdaten[Rank Verteilung Krümmung],0))</f>
        <v>#N/A</v>
      </c>
      <c r="U3476" t="e">
        <f>VLOOKUP(Tabelle10[[#This Row],[Rank]],Stammdaten[[Rank Verteilung Krümmung]:[Verteilung Krümmung]],2,FALSE)</f>
        <v>#N/A</v>
      </c>
      <c r="Z3476">
        <v>3467</v>
      </c>
      <c r="AA3476" t="e">
        <f>INDEX(Stammdaten[Ovalität (']0,1'])],MATCH(Tabelle1014[[#This Row],[Rank]],Stammdaten[Rank Verteilung Ovalität],0))</f>
        <v>#N/A</v>
      </c>
      <c r="AB3476" t="e">
        <f>VLOOKUP(Tabelle1014[[#This Row],[Rank]],Stammdaten[[Rank Verteilung Ovalität]:[Verteilung Ovalität]],2,FALSE)</f>
        <v>#N/A</v>
      </c>
    </row>
    <row r="3477" spans="5:28" x14ac:dyDescent="0.35">
      <c r="E3477">
        <v>3468</v>
      </c>
      <c r="F3477" t="e">
        <f>INDEX(Stammdaten[D Mitte mit Rinde (mm)],MATCH(Tabelle8[[#This Row],[Rank]],Stammdaten[Rank Verteilung D Mitte mit Rinde],0))</f>
        <v>#N/A</v>
      </c>
      <c r="G3477" t="e">
        <f>VLOOKUP(Tabelle8[[#This Row],[Rank]],Stammdaten[[Rank Verteilung D Mitte mit Rinde]:[Verteilung D Mitte mit Rinde]],2,FALSE)</f>
        <v>#N/A</v>
      </c>
      <c r="L3477">
        <v>3468</v>
      </c>
      <c r="M3477" t="e">
        <f>INDEX(Stammdaten[Abholzigkeit (mm/lfm)],MATCH(Tabelle9[[#This Row],[Rank]],Stammdaten[Rank Verteilung Abholzigkeit],0))</f>
        <v>#N/A</v>
      </c>
      <c r="N3477" t="e">
        <f>VLOOKUP(Tabelle9[[#This Row],[Rank]],Stammdaten[[Rank Verteilung Abholzigkeit]:[Verteilung Abholzigkeit]],2,FALSE)</f>
        <v>#N/A</v>
      </c>
      <c r="S3477">
        <v>3468</v>
      </c>
      <c r="T3477" t="e">
        <f>INDEX(Stammdaten[Krümmung (mm/lfm)],MATCH(Tabelle10[[#This Row],[Rank]],Stammdaten[Rank Verteilung Krümmung],0))</f>
        <v>#N/A</v>
      </c>
      <c r="U3477" t="e">
        <f>VLOOKUP(Tabelle10[[#This Row],[Rank]],Stammdaten[[Rank Verteilung Krümmung]:[Verteilung Krümmung]],2,FALSE)</f>
        <v>#N/A</v>
      </c>
      <c r="Z3477">
        <v>3468</v>
      </c>
      <c r="AA3477" t="e">
        <f>INDEX(Stammdaten[Ovalität (']0,1'])],MATCH(Tabelle1014[[#This Row],[Rank]],Stammdaten[Rank Verteilung Ovalität],0))</f>
        <v>#N/A</v>
      </c>
      <c r="AB3477" t="e">
        <f>VLOOKUP(Tabelle1014[[#This Row],[Rank]],Stammdaten[[Rank Verteilung Ovalität]:[Verteilung Ovalität]],2,FALSE)</f>
        <v>#N/A</v>
      </c>
    </row>
    <row r="3478" spans="5:28" x14ac:dyDescent="0.35">
      <c r="E3478">
        <v>3469</v>
      </c>
      <c r="F3478" t="e">
        <f>INDEX(Stammdaten[D Mitte mit Rinde (mm)],MATCH(Tabelle8[[#This Row],[Rank]],Stammdaten[Rank Verteilung D Mitte mit Rinde],0))</f>
        <v>#N/A</v>
      </c>
      <c r="G3478" t="e">
        <f>VLOOKUP(Tabelle8[[#This Row],[Rank]],Stammdaten[[Rank Verteilung D Mitte mit Rinde]:[Verteilung D Mitte mit Rinde]],2,FALSE)</f>
        <v>#N/A</v>
      </c>
      <c r="L3478">
        <v>3469</v>
      </c>
      <c r="M3478" t="e">
        <f>INDEX(Stammdaten[Abholzigkeit (mm/lfm)],MATCH(Tabelle9[[#This Row],[Rank]],Stammdaten[Rank Verteilung Abholzigkeit],0))</f>
        <v>#N/A</v>
      </c>
      <c r="N3478" t="e">
        <f>VLOOKUP(Tabelle9[[#This Row],[Rank]],Stammdaten[[Rank Verteilung Abholzigkeit]:[Verteilung Abholzigkeit]],2,FALSE)</f>
        <v>#N/A</v>
      </c>
      <c r="S3478">
        <v>3469</v>
      </c>
      <c r="T3478" t="e">
        <f>INDEX(Stammdaten[Krümmung (mm/lfm)],MATCH(Tabelle10[[#This Row],[Rank]],Stammdaten[Rank Verteilung Krümmung],0))</f>
        <v>#N/A</v>
      </c>
      <c r="U3478" t="e">
        <f>VLOOKUP(Tabelle10[[#This Row],[Rank]],Stammdaten[[Rank Verteilung Krümmung]:[Verteilung Krümmung]],2,FALSE)</f>
        <v>#N/A</v>
      </c>
      <c r="Z3478">
        <v>3469</v>
      </c>
      <c r="AA3478" t="e">
        <f>INDEX(Stammdaten[Ovalität (']0,1'])],MATCH(Tabelle1014[[#This Row],[Rank]],Stammdaten[Rank Verteilung Ovalität],0))</f>
        <v>#N/A</v>
      </c>
      <c r="AB3478" t="e">
        <f>VLOOKUP(Tabelle1014[[#This Row],[Rank]],Stammdaten[[Rank Verteilung Ovalität]:[Verteilung Ovalität]],2,FALSE)</f>
        <v>#N/A</v>
      </c>
    </row>
    <row r="3479" spans="5:28" x14ac:dyDescent="0.35">
      <c r="E3479">
        <v>3470</v>
      </c>
      <c r="F3479" t="e">
        <f>INDEX(Stammdaten[D Mitte mit Rinde (mm)],MATCH(Tabelle8[[#This Row],[Rank]],Stammdaten[Rank Verteilung D Mitte mit Rinde],0))</f>
        <v>#N/A</v>
      </c>
      <c r="G3479" t="e">
        <f>VLOOKUP(Tabelle8[[#This Row],[Rank]],Stammdaten[[Rank Verteilung D Mitte mit Rinde]:[Verteilung D Mitte mit Rinde]],2,FALSE)</f>
        <v>#N/A</v>
      </c>
      <c r="L3479">
        <v>3470</v>
      </c>
      <c r="M3479" t="e">
        <f>INDEX(Stammdaten[Abholzigkeit (mm/lfm)],MATCH(Tabelle9[[#This Row],[Rank]],Stammdaten[Rank Verteilung Abholzigkeit],0))</f>
        <v>#N/A</v>
      </c>
      <c r="N3479" t="e">
        <f>VLOOKUP(Tabelle9[[#This Row],[Rank]],Stammdaten[[Rank Verteilung Abholzigkeit]:[Verteilung Abholzigkeit]],2,FALSE)</f>
        <v>#N/A</v>
      </c>
      <c r="S3479">
        <v>3470</v>
      </c>
      <c r="T3479" t="e">
        <f>INDEX(Stammdaten[Krümmung (mm/lfm)],MATCH(Tabelle10[[#This Row],[Rank]],Stammdaten[Rank Verteilung Krümmung],0))</f>
        <v>#N/A</v>
      </c>
      <c r="U3479" t="e">
        <f>VLOOKUP(Tabelle10[[#This Row],[Rank]],Stammdaten[[Rank Verteilung Krümmung]:[Verteilung Krümmung]],2,FALSE)</f>
        <v>#N/A</v>
      </c>
      <c r="Z3479">
        <v>3470</v>
      </c>
      <c r="AA3479" t="e">
        <f>INDEX(Stammdaten[Ovalität (']0,1'])],MATCH(Tabelle1014[[#This Row],[Rank]],Stammdaten[Rank Verteilung Ovalität],0))</f>
        <v>#N/A</v>
      </c>
      <c r="AB3479" t="e">
        <f>VLOOKUP(Tabelle1014[[#This Row],[Rank]],Stammdaten[[Rank Verteilung Ovalität]:[Verteilung Ovalität]],2,FALSE)</f>
        <v>#N/A</v>
      </c>
    </row>
    <row r="3480" spans="5:28" x14ac:dyDescent="0.35">
      <c r="E3480">
        <v>3471</v>
      </c>
      <c r="F3480" t="e">
        <f>INDEX(Stammdaten[D Mitte mit Rinde (mm)],MATCH(Tabelle8[[#This Row],[Rank]],Stammdaten[Rank Verteilung D Mitte mit Rinde],0))</f>
        <v>#N/A</v>
      </c>
      <c r="G3480" t="e">
        <f>VLOOKUP(Tabelle8[[#This Row],[Rank]],Stammdaten[[Rank Verteilung D Mitte mit Rinde]:[Verteilung D Mitte mit Rinde]],2,FALSE)</f>
        <v>#N/A</v>
      </c>
      <c r="L3480">
        <v>3471</v>
      </c>
      <c r="M3480" t="e">
        <f>INDEX(Stammdaten[Abholzigkeit (mm/lfm)],MATCH(Tabelle9[[#This Row],[Rank]],Stammdaten[Rank Verteilung Abholzigkeit],0))</f>
        <v>#N/A</v>
      </c>
      <c r="N3480" t="e">
        <f>VLOOKUP(Tabelle9[[#This Row],[Rank]],Stammdaten[[Rank Verteilung Abholzigkeit]:[Verteilung Abholzigkeit]],2,FALSE)</f>
        <v>#N/A</v>
      </c>
      <c r="S3480">
        <v>3471</v>
      </c>
      <c r="T3480" t="e">
        <f>INDEX(Stammdaten[Krümmung (mm/lfm)],MATCH(Tabelle10[[#This Row],[Rank]],Stammdaten[Rank Verteilung Krümmung],0))</f>
        <v>#N/A</v>
      </c>
      <c r="U3480" t="e">
        <f>VLOOKUP(Tabelle10[[#This Row],[Rank]],Stammdaten[[Rank Verteilung Krümmung]:[Verteilung Krümmung]],2,FALSE)</f>
        <v>#N/A</v>
      </c>
      <c r="Z3480">
        <v>3471</v>
      </c>
      <c r="AA3480" t="e">
        <f>INDEX(Stammdaten[Ovalität (']0,1'])],MATCH(Tabelle1014[[#This Row],[Rank]],Stammdaten[Rank Verteilung Ovalität],0))</f>
        <v>#N/A</v>
      </c>
      <c r="AB3480" t="e">
        <f>VLOOKUP(Tabelle1014[[#This Row],[Rank]],Stammdaten[[Rank Verteilung Ovalität]:[Verteilung Ovalität]],2,FALSE)</f>
        <v>#N/A</v>
      </c>
    </row>
    <row r="3481" spans="5:28" x14ac:dyDescent="0.35">
      <c r="E3481">
        <v>3472</v>
      </c>
      <c r="F3481" t="e">
        <f>INDEX(Stammdaten[D Mitte mit Rinde (mm)],MATCH(Tabelle8[[#This Row],[Rank]],Stammdaten[Rank Verteilung D Mitte mit Rinde],0))</f>
        <v>#N/A</v>
      </c>
      <c r="G3481" t="e">
        <f>VLOOKUP(Tabelle8[[#This Row],[Rank]],Stammdaten[[Rank Verteilung D Mitte mit Rinde]:[Verteilung D Mitte mit Rinde]],2,FALSE)</f>
        <v>#N/A</v>
      </c>
      <c r="L3481">
        <v>3472</v>
      </c>
      <c r="M3481" t="e">
        <f>INDEX(Stammdaten[Abholzigkeit (mm/lfm)],MATCH(Tabelle9[[#This Row],[Rank]],Stammdaten[Rank Verteilung Abholzigkeit],0))</f>
        <v>#N/A</v>
      </c>
      <c r="N3481" t="e">
        <f>VLOOKUP(Tabelle9[[#This Row],[Rank]],Stammdaten[[Rank Verteilung Abholzigkeit]:[Verteilung Abholzigkeit]],2,FALSE)</f>
        <v>#N/A</v>
      </c>
      <c r="S3481">
        <v>3472</v>
      </c>
      <c r="T3481" t="e">
        <f>INDEX(Stammdaten[Krümmung (mm/lfm)],MATCH(Tabelle10[[#This Row],[Rank]],Stammdaten[Rank Verteilung Krümmung],0))</f>
        <v>#N/A</v>
      </c>
      <c r="U3481" t="e">
        <f>VLOOKUP(Tabelle10[[#This Row],[Rank]],Stammdaten[[Rank Verteilung Krümmung]:[Verteilung Krümmung]],2,FALSE)</f>
        <v>#N/A</v>
      </c>
      <c r="Z3481">
        <v>3472</v>
      </c>
      <c r="AA3481" t="e">
        <f>INDEX(Stammdaten[Ovalität (']0,1'])],MATCH(Tabelle1014[[#This Row],[Rank]],Stammdaten[Rank Verteilung Ovalität],0))</f>
        <v>#N/A</v>
      </c>
      <c r="AB3481" t="e">
        <f>VLOOKUP(Tabelle1014[[#This Row],[Rank]],Stammdaten[[Rank Verteilung Ovalität]:[Verteilung Ovalität]],2,FALSE)</f>
        <v>#N/A</v>
      </c>
    </row>
    <row r="3482" spans="5:28" x14ac:dyDescent="0.35">
      <c r="E3482">
        <v>3473</v>
      </c>
      <c r="F3482" t="e">
        <f>INDEX(Stammdaten[D Mitte mit Rinde (mm)],MATCH(Tabelle8[[#This Row],[Rank]],Stammdaten[Rank Verteilung D Mitte mit Rinde],0))</f>
        <v>#N/A</v>
      </c>
      <c r="G3482" t="e">
        <f>VLOOKUP(Tabelle8[[#This Row],[Rank]],Stammdaten[[Rank Verteilung D Mitte mit Rinde]:[Verteilung D Mitte mit Rinde]],2,FALSE)</f>
        <v>#N/A</v>
      </c>
      <c r="L3482">
        <v>3473</v>
      </c>
      <c r="M3482" t="e">
        <f>INDEX(Stammdaten[Abholzigkeit (mm/lfm)],MATCH(Tabelle9[[#This Row],[Rank]],Stammdaten[Rank Verteilung Abholzigkeit],0))</f>
        <v>#N/A</v>
      </c>
      <c r="N3482" t="e">
        <f>VLOOKUP(Tabelle9[[#This Row],[Rank]],Stammdaten[[Rank Verteilung Abholzigkeit]:[Verteilung Abholzigkeit]],2,FALSE)</f>
        <v>#N/A</v>
      </c>
      <c r="S3482">
        <v>3473</v>
      </c>
      <c r="T3482" t="e">
        <f>INDEX(Stammdaten[Krümmung (mm/lfm)],MATCH(Tabelle10[[#This Row],[Rank]],Stammdaten[Rank Verteilung Krümmung],0))</f>
        <v>#N/A</v>
      </c>
      <c r="U3482" t="e">
        <f>VLOOKUP(Tabelle10[[#This Row],[Rank]],Stammdaten[[Rank Verteilung Krümmung]:[Verteilung Krümmung]],2,FALSE)</f>
        <v>#N/A</v>
      </c>
      <c r="Z3482">
        <v>3473</v>
      </c>
      <c r="AA3482" t="e">
        <f>INDEX(Stammdaten[Ovalität (']0,1'])],MATCH(Tabelle1014[[#This Row],[Rank]],Stammdaten[Rank Verteilung Ovalität],0))</f>
        <v>#N/A</v>
      </c>
      <c r="AB3482" t="e">
        <f>VLOOKUP(Tabelle1014[[#This Row],[Rank]],Stammdaten[[Rank Verteilung Ovalität]:[Verteilung Ovalität]],2,FALSE)</f>
        <v>#N/A</v>
      </c>
    </row>
    <row r="3483" spans="5:28" x14ac:dyDescent="0.35">
      <c r="E3483">
        <v>3474</v>
      </c>
      <c r="F3483" t="e">
        <f>INDEX(Stammdaten[D Mitte mit Rinde (mm)],MATCH(Tabelle8[[#This Row],[Rank]],Stammdaten[Rank Verteilung D Mitte mit Rinde],0))</f>
        <v>#N/A</v>
      </c>
      <c r="G3483" t="e">
        <f>VLOOKUP(Tabelle8[[#This Row],[Rank]],Stammdaten[[Rank Verteilung D Mitte mit Rinde]:[Verteilung D Mitte mit Rinde]],2,FALSE)</f>
        <v>#N/A</v>
      </c>
      <c r="L3483">
        <v>3474</v>
      </c>
      <c r="M3483" t="e">
        <f>INDEX(Stammdaten[Abholzigkeit (mm/lfm)],MATCH(Tabelle9[[#This Row],[Rank]],Stammdaten[Rank Verteilung Abholzigkeit],0))</f>
        <v>#N/A</v>
      </c>
      <c r="N3483" t="e">
        <f>VLOOKUP(Tabelle9[[#This Row],[Rank]],Stammdaten[[Rank Verteilung Abholzigkeit]:[Verteilung Abholzigkeit]],2,FALSE)</f>
        <v>#N/A</v>
      </c>
      <c r="S3483">
        <v>3474</v>
      </c>
      <c r="T3483" t="e">
        <f>INDEX(Stammdaten[Krümmung (mm/lfm)],MATCH(Tabelle10[[#This Row],[Rank]],Stammdaten[Rank Verteilung Krümmung],0))</f>
        <v>#N/A</v>
      </c>
      <c r="U3483" t="e">
        <f>VLOOKUP(Tabelle10[[#This Row],[Rank]],Stammdaten[[Rank Verteilung Krümmung]:[Verteilung Krümmung]],2,FALSE)</f>
        <v>#N/A</v>
      </c>
      <c r="Z3483">
        <v>3474</v>
      </c>
      <c r="AA3483" t="e">
        <f>INDEX(Stammdaten[Ovalität (']0,1'])],MATCH(Tabelle1014[[#This Row],[Rank]],Stammdaten[Rank Verteilung Ovalität],0))</f>
        <v>#N/A</v>
      </c>
      <c r="AB3483" t="e">
        <f>VLOOKUP(Tabelle1014[[#This Row],[Rank]],Stammdaten[[Rank Verteilung Ovalität]:[Verteilung Ovalität]],2,FALSE)</f>
        <v>#N/A</v>
      </c>
    </row>
    <row r="3484" spans="5:28" x14ac:dyDescent="0.35">
      <c r="E3484">
        <v>3475</v>
      </c>
      <c r="F3484" t="e">
        <f>INDEX(Stammdaten[D Mitte mit Rinde (mm)],MATCH(Tabelle8[[#This Row],[Rank]],Stammdaten[Rank Verteilung D Mitte mit Rinde],0))</f>
        <v>#N/A</v>
      </c>
      <c r="G3484" t="e">
        <f>VLOOKUP(Tabelle8[[#This Row],[Rank]],Stammdaten[[Rank Verteilung D Mitte mit Rinde]:[Verteilung D Mitte mit Rinde]],2,FALSE)</f>
        <v>#N/A</v>
      </c>
      <c r="L3484">
        <v>3475</v>
      </c>
      <c r="M3484" t="e">
        <f>INDEX(Stammdaten[Abholzigkeit (mm/lfm)],MATCH(Tabelle9[[#This Row],[Rank]],Stammdaten[Rank Verteilung Abholzigkeit],0))</f>
        <v>#N/A</v>
      </c>
      <c r="N3484" t="e">
        <f>VLOOKUP(Tabelle9[[#This Row],[Rank]],Stammdaten[[Rank Verteilung Abholzigkeit]:[Verteilung Abholzigkeit]],2,FALSE)</f>
        <v>#N/A</v>
      </c>
      <c r="S3484">
        <v>3475</v>
      </c>
      <c r="T3484" t="e">
        <f>INDEX(Stammdaten[Krümmung (mm/lfm)],MATCH(Tabelle10[[#This Row],[Rank]],Stammdaten[Rank Verteilung Krümmung],0))</f>
        <v>#N/A</v>
      </c>
      <c r="U3484" t="e">
        <f>VLOOKUP(Tabelle10[[#This Row],[Rank]],Stammdaten[[Rank Verteilung Krümmung]:[Verteilung Krümmung]],2,FALSE)</f>
        <v>#N/A</v>
      </c>
      <c r="Z3484">
        <v>3475</v>
      </c>
      <c r="AA3484" t="e">
        <f>INDEX(Stammdaten[Ovalität (']0,1'])],MATCH(Tabelle1014[[#This Row],[Rank]],Stammdaten[Rank Verteilung Ovalität],0))</f>
        <v>#N/A</v>
      </c>
      <c r="AB3484" t="e">
        <f>VLOOKUP(Tabelle1014[[#This Row],[Rank]],Stammdaten[[Rank Verteilung Ovalität]:[Verteilung Ovalität]],2,FALSE)</f>
        <v>#N/A</v>
      </c>
    </row>
    <row r="3485" spans="5:28" x14ac:dyDescent="0.35">
      <c r="E3485">
        <v>3476</v>
      </c>
      <c r="F3485" t="e">
        <f>INDEX(Stammdaten[D Mitte mit Rinde (mm)],MATCH(Tabelle8[[#This Row],[Rank]],Stammdaten[Rank Verteilung D Mitte mit Rinde],0))</f>
        <v>#N/A</v>
      </c>
      <c r="G3485" t="e">
        <f>VLOOKUP(Tabelle8[[#This Row],[Rank]],Stammdaten[[Rank Verteilung D Mitte mit Rinde]:[Verteilung D Mitte mit Rinde]],2,FALSE)</f>
        <v>#N/A</v>
      </c>
      <c r="L3485">
        <v>3476</v>
      </c>
      <c r="M3485" t="e">
        <f>INDEX(Stammdaten[Abholzigkeit (mm/lfm)],MATCH(Tabelle9[[#This Row],[Rank]],Stammdaten[Rank Verteilung Abholzigkeit],0))</f>
        <v>#N/A</v>
      </c>
      <c r="N3485" t="e">
        <f>VLOOKUP(Tabelle9[[#This Row],[Rank]],Stammdaten[[Rank Verteilung Abholzigkeit]:[Verteilung Abholzigkeit]],2,FALSE)</f>
        <v>#N/A</v>
      </c>
      <c r="S3485">
        <v>3476</v>
      </c>
      <c r="T3485" t="e">
        <f>INDEX(Stammdaten[Krümmung (mm/lfm)],MATCH(Tabelle10[[#This Row],[Rank]],Stammdaten[Rank Verteilung Krümmung],0))</f>
        <v>#N/A</v>
      </c>
      <c r="U3485" t="e">
        <f>VLOOKUP(Tabelle10[[#This Row],[Rank]],Stammdaten[[Rank Verteilung Krümmung]:[Verteilung Krümmung]],2,FALSE)</f>
        <v>#N/A</v>
      </c>
      <c r="Z3485">
        <v>3476</v>
      </c>
      <c r="AA3485" t="e">
        <f>INDEX(Stammdaten[Ovalität (']0,1'])],MATCH(Tabelle1014[[#This Row],[Rank]],Stammdaten[Rank Verteilung Ovalität],0))</f>
        <v>#N/A</v>
      </c>
      <c r="AB3485" t="e">
        <f>VLOOKUP(Tabelle1014[[#This Row],[Rank]],Stammdaten[[Rank Verteilung Ovalität]:[Verteilung Ovalität]],2,FALSE)</f>
        <v>#N/A</v>
      </c>
    </row>
    <row r="3486" spans="5:28" x14ac:dyDescent="0.35">
      <c r="E3486">
        <v>3477</v>
      </c>
      <c r="F3486" t="e">
        <f>INDEX(Stammdaten[D Mitte mit Rinde (mm)],MATCH(Tabelle8[[#This Row],[Rank]],Stammdaten[Rank Verteilung D Mitte mit Rinde],0))</f>
        <v>#N/A</v>
      </c>
      <c r="G3486" t="e">
        <f>VLOOKUP(Tabelle8[[#This Row],[Rank]],Stammdaten[[Rank Verteilung D Mitte mit Rinde]:[Verteilung D Mitte mit Rinde]],2,FALSE)</f>
        <v>#N/A</v>
      </c>
      <c r="L3486">
        <v>3477</v>
      </c>
      <c r="M3486" t="e">
        <f>INDEX(Stammdaten[Abholzigkeit (mm/lfm)],MATCH(Tabelle9[[#This Row],[Rank]],Stammdaten[Rank Verteilung Abholzigkeit],0))</f>
        <v>#N/A</v>
      </c>
      <c r="N3486" t="e">
        <f>VLOOKUP(Tabelle9[[#This Row],[Rank]],Stammdaten[[Rank Verteilung Abholzigkeit]:[Verteilung Abholzigkeit]],2,FALSE)</f>
        <v>#N/A</v>
      </c>
      <c r="S3486">
        <v>3477</v>
      </c>
      <c r="T3486" t="e">
        <f>INDEX(Stammdaten[Krümmung (mm/lfm)],MATCH(Tabelle10[[#This Row],[Rank]],Stammdaten[Rank Verteilung Krümmung],0))</f>
        <v>#N/A</v>
      </c>
      <c r="U3486" t="e">
        <f>VLOOKUP(Tabelle10[[#This Row],[Rank]],Stammdaten[[Rank Verteilung Krümmung]:[Verteilung Krümmung]],2,FALSE)</f>
        <v>#N/A</v>
      </c>
      <c r="Z3486">
        <v>3477</v>
      </c>
      <c r="AA3486" t="e">
        <f>INDEX(Stammdaten[Ovalität (']0,1'])],MATCH(Tabelle1014[[#This Row],[Rank]],Stammdaten[Rank Verteilung Ovalität],0))</f>
        <v>#N/A</v>
      </c>
      <c r="AB3486" t="e">
        <f>VLOOKUP(Tabelle1014[[#This Row],[Rank]],Stammdaten[[Rank Verteilung Ovalität]:[Verteilung Ovalität]],2,FALSE)</f>
        <v>#N/A</v>
      </c>
    </row>
    <row r="3487" spans="5:28" x14ac:dyDescent="0.35">
      <c r="E3487">
        <v>3478</v>
      </c>
      <c r="F3487" t="e">
        <f>INDEX(Stammdaten[D Mitte mit Rinde (mm)],MATCH(Tabelle8[[#This Row],[Rank]],Stammdaten[Rank Verteilung D Mitte mit Rinde],0))</f>
        <v>#N/A</v>
      </c>
      <c r="G3487" t="e">
        <f>VLOOKUP(Tabelle8[[#This Row],[Rank]],Stammdaten[[Rank Verteilung D Mitte mit Rinde]:[Verteilung D Mitte mit Rinde]],2,FALSE)</f>
        <v>#N/A</v>
      </c>
      <c r="L3487">
        <v>3478</v>
      </c>
      <c r="M3487" t="e">
        <f>INDEX(Stammdaten[Abholzigkeit (mm/lfm)],MATCH(Tabelle9[[#This Row],[Rank]],Stammdaten[Rank Verteilung Abholzigkeit],0))</f>
        <v>#N/A</v>
      </c>
      <c r="N3487" t="e">
        <f>VLOOKUP(Tabelle9[[#This Row],[Rank]],Stammdaten[[Rank Verteilung Abholzigkeit]:[Verteilung Abholzigkeit]],2,FALSE)</f>
        <v>#N/A</v>
      </c>
      <c r="S3487">
        <v>3478</v>
      </c>
      <c r="T3487" t="e">
        <f>INDEX(Stammdaten[Krümmung (mm/lfm)],MATCH(Tabelle10[[#This Row],[Rank]],Stammdaten[Rank Verteilung Krümmung],0))</f>
        <v>#N/A</v>
      </c>
      <c r="U3487" t="e">
        <f>VLOOKUP(Tabelle10[[#This Row],[Rank]],Stammdaten[[Rank Verteilung Krümmung]:[Verteilung Krümmung]],2,FALSE)</f>
        <v>#N/A</v>
      </c>
      <c r="Z3487">
        <v>3478</v>
      </c>
      <c r="AA3487" t="e">
        <f>INDEX(Stammdaten[Ovalität (']0,1'])],MATCH(Tabelle1014[[#This Row],[Rank]],Stammdaten[Rank Verteilung Ovalität],0))</f>
        <v>#N/A</v>
      </c>
      <c r="AB3487" t="e">
        <f>VLOOKUP(Tabelle1014[[#This Row],[Rank]],Stammdaten[[Rank Verteilung Ovalität]:[Verteilung Ovalität]],2,FALSE)</f>
        <v>#N/A</v>
      </c>
    </row>
    <row r="3488" spans="5:28" x14ac:dyDescent="0.35">
      <c r="E3488">
        <v>3479</v>
      </c>
      <c r="F3488" t="e">
        <f>INDEX(Stammdaten[D Mitte mit Rinde (mm)],MATCH(Tabelle8[[#This Row],[Rank]],Stammdaten[Rank Verteilung D Mitte mit Rinde],0))</f>
        <v>#N/A</v>
      </c>
      <c r="G3488" t="e">
        <f>VLOOKUP(Tabelle8[[#This Row],[Rank]],Stammdaten[[Rank Verteilung D Mitte mit Rinde]:[Verteilung D Mitte mit Rinde]],2,FALSE)</f>
        <v>#N/A</v>
      </c>
      <c r="L3488">
        <v>3479</v>
      </c>
      <c r="M3488" t="e">
        <f>INDEX(Stammdaten[Abholzigkeit (mm/lfm)],MATCH(Tabelle9[[#This Row],[Rank]],Stammdaten[Rank Verteilung Abholzigkeit],0))</f>
        <v>#N/A</v>
      </c>
      <c r="N3488" t="e">
        <f>VLOOKUP(Tabelle9[[#This Row],[Rank]],Stammdaten[[Rank Verteilung Abholzigkeit]:[Verteilung Abholzigkeit]],2,FALSE)</f>
        <v>#N/A</v>
      </c>
      <c r="S3488">
        <v>3479</v>
      </c>
      <c r="T3488" t="e">
        <f>INDEX(Stammdaten[Krümmung (mm/lfm)],MATCH(Tabelle10[[#This Row],[Rank]],Stammdaten[Rank Verteilung Krümmung],0))</f>
        <v>#N/A</v>
      </c>
      <c r="U3488" t="e">
        <f>VLOOKUP(Tabelle10[[#This Row],[Rank]],Stammdaten[[Rank Verteilung Krümmung]:[Verteilung Krümmung]],2,FALSE)</f>
        <v>#N/A</v>
      </c>
      <c r="Z3488">
        <v>3479</v>
      </c>
      <c r="AA3488" t="e">
        <f>INDEX(Stammdaten[Ovalität (']0,1'])],MATCH(Tabelle1014[[#This Row],[Rank]],Stammdaten[Rank Verteilung Ovalität],0))</f>
        <v>#N/A</v>
      </c>
      <c r="AB3488" t="e">
        <f>VLOOKUP(Tabelle1014[[#This Row],[Rank]],Stammdaten[[Rank Verteilung Ovalität]:[Verteilung Ovalität]],2,FALSE)</f>
        <v>#N/A</v>
      </c>
    </row>
    <row r="3489" spans="5:28" x14ac:dyDescent="0.35">
      <c r="E3489">
        <v>3480</v>
      </c>
      <c r="F3489" t="e">
        <f>INDEX(Stammdaten[D Mitte mit Rinde (mm)],MATCH(Tabelle8[[#This Row],[Rank]],Stammdaten[Rank Verteilung D Mitte mit Rinde],0))</f>
        <v>#N/A</v>
      </c>
      <c r="G3489" t="e">
        <f>VLOOKUP(Tabelle8[[#This Row],[Rank]],Stammdaten[[Rank Verteilung D Mitte mit Rinde]:[Verteilung D Mitte mit Rinde]],2,FALSE)</f>
        <v>#N/A</v>
      </c>
      <c r="L3489">
        <v>3480</v>
      </c>
      <c r="M3489" t="e">
        <f>INDEX(Stammdaten[Abholzigkeit (mm/lfm)],MATCH(Tabelle9[[#This Row],[Rank]],Stammdaten[Rank Verteilung Abholzigkeit],0))</f>
        <v>#N/A</v>
      </c>
      <c r="N3489" t="e">
        <f>VLOOKUP(Tabelle9[[#This Row],[Rank]],Stammdaten[[Rank Verteilung Abholzigkeit]:[Verteilung Abholzigkeit]],2,FALSE)</f>
        <v>#N/A</v>
      </c>
      <c r="S3489">
        <v>3480</v>
      </c>
      <c r="T3489" t="e">
        <f>INDEX(Stammdaten[Krümmung (mm/lfm)],MATCH(Tabelle10[[#This Row],[Rank]],Stammdaten[Rank Verteilung Krümmung],0))</f>
        <v>#N/A</v>
      </c>
      <c r="U3489" t="e">
        <f>VLOOKUP(Tabelle10[[#This Row],[Rank]],Stammdaten[[Rank Verteilung Krümmung]:[Verteilung Krümmung]],2,FALSE)</f>
        <v>#N/A</v>
      </c>
      <c r="Z3489">
        <v>3480</v>
      </c>
      <c r="AA3489" t="e">
        <f>INDEX(Stammdaten[Ovalität (']0,1'])],MATCH(Tabelle1014[[#This Row],[Rank]],Stammdaten[Rank Verteilung Ovalität],0))</f>
        <v>#N/A</v>
      </c>
      <c r="AB3489" t="e">
        <f>VLOOKUP(Tabelle1014[[#This Row],[Rank]],Stammdaten[[Rank Verteilung Ovalität]:[Verteilung Ovalität]],2,FALSE)</f>
        <v>#N/A</v>
      </c>
    </row>
    <row r="3490" spans="5:28" x14ac:dyDescent="0.35">
      <c r="E3490">
        <v>3481</v>
      </c>
      <c r="F3490" t="e">
        <f>INDEX(Stammdaten[D Mitte mit Rinde (mm)],MATCH(Tabelle8[[#This Row],[Rank]],Stammdaten[Rank Verteilung D Mitte mit Rinde],0))</f>
        <v>#N/A</v>
      </c>
      <c r="G3490" t="e">
        <f>VLOOKUP(Tabelle8[[#This Row],[Rank]],Stammdaten[[Rank Verteilung D Mitte mit Rinde]:[Verteilung D Mitte mit Rinde]],2,FALSE)</f>
        <v>#N/A</v>
      </c>
      <c r="L3490">
        <v>3481</v>
      </c>
      <c r="M3490" t="e">
        <f>INDEX(Stammdaten[Abholzigkeit (mm/lfm)],MATCH(Tabelle9[[#This Row],[Rank]],Stammdaten[Rank Verteilung Abholzigkeit],0))</f>
        <v>#N/A</v>
      </c>
      <c r="N3490" t="e">
        <f>VLOOKUP(Tabelle9[[#This Row],[Rank]],Stammdaten[[Rank Verteilung Abholzigkeit]:[Verteilung Abholzigkeit]],2,FALSE)</f>
        <v>#N/A</v>
      </c>
      <c r="S3490">
        <v>3481</v>
      </c>
      <c r="T3490" t="e">
        <f>INDEX(Stammdaten[Krümmung (mm/lfm)],MATCH(Tabelle10[[#This Row],[Rank]],Stammdaten[Rank Verteilung Krümmung],0))</f>
        <v>#N/A</v>
      </c>
      <c r="U3490" t="e">
        <f>VLOOKUP(Tabelle10[[#This Row],[Rank]],Stammdaten[[Rank Verteilung Krümmung]:[Verteilung Krümmung]],2,FALSE)</f>
        <v>#N/A</v>
      </c>
      <c r="Z3490">
        <v>3481</v>
      </c>
      <c r="AA3490" t="e">
        <f>INDEX(Stammdaten[Ovalität (']0,1'])],MATCH(Tabelle1014[[#This Row],[Rank]],Stammdaten[Rank Verteilung Ovalität],0))</f>
        <v>#N/A</v>
      </c>
      <c r="AB3490" t="e">
        <f>VLOOKUP(Tabelle1014[[#This Row],[Rank]],Stammdaten[[Rank Verteilung Ovalität]:[Verteilung Ovalität]],2,FALSE)</f>
        <v>#N/A</v>
      </c>
    </row>
    <row r="3491" spans="5:28" x14ac:dyDescent="0.35">
      <c r="E3491">
        <v>3482</v>
      </c>
      <c r="F3491" t="e">
        <f>INDEX(Stammdaten[D Mitte mit Rinde (mm)],MATCH(Tabelle8[[#This Row],[Rank]],Stammdaten[Rank Verteilung D Mitte mit Rinde],0))</f>
        <v>#N/A</v>
      </c>
      <c r="G3491" t="e">
        <f>VLOOKUP(Tabelle8[[#This Row],[Rank]],Stammdaten[[Rank Verteilung D Mitte mit Rinde]:[Verteilung D Mitte mit Rinde]],2,FALSE)</f>
        <v>#N/A</v>
      </c>
      <c r="L3491">
        <v>3482</v>
      </c>
      <c r="M3491" t="e">
        <f>INDEX(Stammdaten[Abholzigkeit (mm/lfm)],MATCH(Tabelle9[[#This Row],[Rank]],Stammdaten[Rank Verteilung Abholzigkeit],0))</f>
        <v>#N/A</v>
      </c>
      <c r="N3491" t="e">
        <f>VLOOKUP(Tabelle9[[#This Row],[Rank]],Stammdaten[[Rank Verteilung Abholzigkeit]:[Verteilung Abholzigkeit]],2,FALSE)</f>
        <v>#N/A</v>
      </c>
      <c r="S3491">
        <v>3482</v>
      </c>
      <c r="T3491" t="e">
        <f>INDEX(Stammdaten[Krümmung (mm/lfm)],MATCH(Tabelle10[[#This Row],[Rank]],Stammdaten[Rank Verteilung Krümmung],0))</f>
        <v>#N/A</v>
      </c>
      <c r="U3491" t="e">
        <f>VLOOKUP(Tabelle10[[#This Row],[Rank]],Stammdaten[[Rank Verteilung Krümmung]:[Verteilung Krümmung]],2,FALSE)</f>
        <v>#N/A</v>
      </c>
      <c r="Z3491">
        <v>3482</v>
      </c>
      <c r="AA3491" t="e">
        <f>INDEX(Stammdaten[Ovalität (']0,1'])],MATCH(Tabelle1014[[#This Row],[Rank]],Stammdaten[Rank Verteilung Ovalität],0))</f>
        <v>#N/A</v>
      </c>
      <c r="AB3491" t="e">
        <f>VLOOKUP(Tabelle1014[[#This Row],[Rank]],Stammdaten[[Rank Verteilung Ovalität]:[Verteilung Ovalität]],2,FALSE)</f>
        <v>#N/A</v>
      </c>
    </row>
    <row r="3492" spans="5:28" x14ac:dyDescent="0.35">
      <c r="E3492">
        <v>3483</v>
      </c>
      <c r="F3492" t="e">
        <f>INDEX(Stammdaten[D Mitte mit Rinde (mm)],MATCH(Tabelle8[[#This Row],[Rank]],Stammdaten[Rank Verteilung D Mitte mit Rinde],0))</f>
        <v>#N/A</v>
      </c>
      <c r="G3492" t="e">
        <f>VLOOKUP(Tabelle8[[#This Row],[Rank]],Stammdaten[[Rank Verteilung D Mitte mit Rinde]:[Verteilung D Mitte mit Rinde]],2,FALSE)</f>
        <v>#N/A</v>
      </c>
      <c r="L3492">
        <v>3483</v>
      </c>
      <c r="M3492" t="e">
        <f>INDEX(Stammdaten[Abholzigkeit (mm/lfm)],MATCH(Tabelle9[[#This Row],[Rank]],Stammdaten[Rank Verteilung Abholzigkeit],0))</f>
        <v>#N/A</v>
      </c>
      <c r="N3492" t="e">
        <f>VLOOKUP(Tabelle9[[#This Row],[Rank]],Stammdaten[[Rank Verteilung Abholzigkeit]:[Verteilung Abholzigkeit]],2,FALSE)</f>
        <v>#N/A</v>
      </c>
      <c r="S3492">
        <v>3483</v>
      </c>
      <c r="T3492" t="e">
        <f>INDEX(Stammdaten[Krümmung (mm/lfm)],MATCH(Tabelle10[[#This Row],[Rank]],Stammdaten[Rank Verteilung Krümmung],0))</f>
        <v>#N/A</v>
      </c>
      <c r="U3492" t="e">
        <f>VLOOKUP(Tabelle10[[#This Row],[Rank]],Stammdaten[[Rank Verteilung Krümmung]:[Verteilung Krümmung]],2,FALSE)</f>
        <v>#N/A</v>
      </c>
      <c r="Z3492">
        <v>3483</v>
      </c>
      <c r="AA3492" t="e">
        <f>INDEX(Stammdaten[Ovalität (']0,1'])],MATCH(Tabelle1014[[#This Row],[Rank]],Stammdaten[Rank Verteilung Ovalität],0))</f>
        <v>#N/A</v>
      </c>
      <c r="AB3492" t="e">
        <f>VLOOKUP(Tabelle1014[[#This Row],[Rank]],Stammdaten[[Rank Verteilung Ovalität]:[Verteilung Ovalität]],2,FALSE)</f>
        <v>#N/A</v>
      </c>
    </row>
    <row r="3493" spans="5:28" x14ac:dyDescent="0.35">
      <c r="E3493">
        <v>3484</v>
      </c>
      <c r="F3493" t="e">
        <f>INDEX(Stammdaten[D Mitte mit Rinde (mm)],MATCH(Tabelle8[[#This Row],[Rank]],Stammdaten[Rank Verteilung D Mitte mit Rinde],0))</f>
        <v>#N/A</v>
      </c>
      <c r="G3493" t="e">
        <f>VLOOKUP(Tabelle8[[#This Row],[Rank]],Stammdaten[[Rank Verteilung D Mitte mit Rinde]:[Verteilung D Mitte mit Rinde]],2,FALSE)</f>
        <v>#N/A</v>
      </c>
      <c r="L3493">
        <v>3484</v>
      </c>
      <c r="M3493" t="e">
        <f>INDEX(Stammdaten[Abholzigkeit (mm/lfm)],MATCH(Tabelle9[[#This Row],[Rank]],Stammdaten[Rank Verteilung Abholzigkeit],0))</f>
        <v>#N/A</v>
      </c>
      <c r="N3493" t="e">
        <f>VLOOKUP(Tabelle9[[#This Row],[Rank]],Stammdaten[[Rank Verteilung Abholzigkeit]:[Verteilung Abholzigkeit]],2,FALSE)</f>
        <v>#N/A</v>
      </c>
      <c r="S3493">
        <v>3484</v>
      </c>
      <c r="T3493" t="e">
        <f>INDEX(Stammdaten[Krümmung (mm/lfm)],MATCH(Tabelle10[[#This Row],[Rank]],Stammdaten[Rank Verteilung Krümmung],0))</f>
        <v>#N/A</v>
      </c>
      <c r="U3493" t="e">
        <f>VLOOKUP(Tabelle10[[#This Row],[Rank]],Stammdaten[[Rank Verteilung Krümmung]:[Verteilung Krümmung]],2,FALSE)</f>
        <v>#N/A</v>
      </c>
      <c r="Z3493">
        <v>3484</v>
      </c>
      <c r="AA3493" t="e">
        <f>INDEX(Stammdaten[Ovalität (']0,1'])],MATCH(Tabelle1014[[#This Row],[Rank]],Stammdaten[Rank Verteilung Ovalität],0))</f>
        <v>#N/A</v>
      </c>
      <c r="AB3493" t="e">
        <f>VLOOKUP(Tabelle1014[[#This Row],[Rank]],Stammdaten[[Rank Verteilung Ovalität]:[Verteilung Ovalität]],2,FALSE)</f>
        <v>#N/A</v>
      </c>
    </row>
    <row r="3494" spans="5:28" x14ac:dyDescent="0.35">
      <c r="E3494">
        <v>3485</v>
      </c>
      <c r="F3494" t="e">
        <f>INDEX(Stammdaten[D Mitte mit Rinde (mm)],MATCH(Tabelle8[[#This Row],[Rank]],Stammdaten[Rank Verteilung D Mitte mit Rinde],0))</f>
        <v>#N/A</v>
      </c>
      <c r="G3494" t="e">
        <f>VLOOKUP(Tabelle8[[#This Row],[Rank]],Stammdaten[[Rank Verteilung D Mitte mit Rinde]:[Verteilung D Mitte mit Rinde]],2,FALSE)</f>
        <v>#N/A</v>
      </c>
      <c r="L3494">
        <v>3485</v>
      </c>
      <c r="M3494" t="e">
        <f>INDEX(Stammdaten[Abholzigkeit (mm/lfm)],MATCH(Tabelle9[[#This Row],[Rank]],Stammdaten[Rank Verteilung Abholzigkeit],0))</f>
        <v>#N/A</v>
      </c>
      <c r="N3494" t="e">
        <f>VLOOKUP(Tabelle9[[#This Row],[Rank]],Stammdaten[[Rank Verteilung Abholzigkeit]:[Verteilung Abholzigkeit]],2,FALSE)</f>
        <v>#N/A</v>
      </c>
      <c r="S3494">
        <v>3485</v>
      </c>
      <c r="T3494" t="e">
        <f>INDEX(Stammdaten[Krümmung (mm/lfm)],MATCH(Tabelle10[[#This Row],[Rank]],Stammdaten[Rank Verteilung Krümmung],0))</f>
        <v>#N/A</v>
      </c>
      <c r="U3494" t="e">
        <f>VLOOKUP(Tabelle10[[#This Row],[Rank]],Stammdaten[[Rank Verteilung Krümmung]:[Verteilung Krümmung]],2,FALSE)</f>
        <v>#N/A</v>
      </c>
      <c r="Z3494">
        <v>3485</v>
      </c>
      <c r="AA3494" t="e">
        <f>INDEX(Stammdaten[Ovalität (']0,1'])],MATCH(Tabelle1014[[#This Row],[Rank]],Stammdaten[Rank Verteilung Ovalität],0))</f>
        <v>#N/A</v>
      </c>
      <c r="AB3494" t="e">
        <f>VLOOKUP(Tabelle1014[[#This Row],[Rank]],Stammdaten[[Rank Verteilung Ovalität]:[Verteilung Ovalität]],2,FALSE)</f>
        <v>#N/A</v>
      </c>
    </row>
    <row r="3495" spans="5:28" x14ac:dyDescent="0.35">
      <c r="E3495">
        <v>3486</v>
      </c>
      <c r="F3495" t="e">
        <f>INDEX(Stammdaten[D Mitte mit Rinde (mm)],MATCH(Tabelle8[[#This Row],[Rank]],Stammdaten[Rank Verteilung D Mitte mit Rinde],0))</f>
        <v>#N/A</v>
      </c>
      <c r="G3495" t="e">
        <f>VLOOKUP(Tabelle8[[#This Row],[Rank]],Stammdaten[[Rank Verteilung D Mitte mit Rinde]:[Verteilung D Mitte mit Rinde]],2,FALSE)</f>
        <v>#N/A</v>
      </c>
      <c r="L3495">
        <v>3486</v>
      </c>
      <c r="M3495" t="e">
        <f>INDEX(Stammdaten[Abholzigkeit (mm/lfm)],MATCH(Tabelle9[[#This Row],[Rank]],Stammdaten[Rank Verteilung Abholzigkeit],0))</f>
        <v>#N/A</v>
      </c>
      <c r="N3495" t="e">
        <f>VLOOKUP(Tabelle9[[#This Row],[Rank]],Stammdaten[[Rank Verteilung Abholzigkeit]:[Verteilung Abholzigkeit]],2,FALSE)</f>
        <v>#N/A</v>
      </c>
      <c r="S3495">
        <v>3486</v>
      </c>
      <c r="T3495" t="e">
        <f>INDEX(Stammdaten[Krümmung (mm/lfm)],MATCH(Tabelle10[[#This Row],[Rank]],Stammdaten[Rank Verteilung Krümmung],0))</f>
        <v>#N/A</v>
      </c>
      <c r="U3495" t="e">
        <f>VLOOKUP(Tabelle10[[#This Row],[Rank]],Stammdaten[[Rank Verteilung Krümmung]:[Verteilung Krümmung]],2,FALSE)</f>
        <v>#N/A</v>
      </c>
      <c r="Z3495">
        <v>3486</v>
      </c>
      <c r="AA3495" t="e">
        <f>INDEX(Stammdaten[Ovalität (']0,1'])],MATCH(Tabelle1014[[#This Row],[Rank]],Stammdaten[Rank Verteilung Ovalität],0))</f>
        <v>#N/A</v>
      </c>
      <c r="AB3495" t="e">
        <f>VLOOKUP(Tabelle1014[[#This Row],[Rank]],Stammdaten[[Rank Verteilung Ovalität]:[Verteilung Ovalität]],2,FALSE)</f>
        <v>#N/A</v>
      </c>
    </row>
    <row r="3496" spans="5:28" x14ac:dyDescent="0.35">
      <c r="E3496">
        <v>3487</v>
      </c>
      <c r="F3496" t="e">
        <f>INDEX(Stammdaten[D Mitte mit Rinde (mm)],MATCH(Tabelle8[[#This Row],[Rank]],Stammdaten[Rank Verteilung D Mitte mit Rinde],0))</f>
        <v>#N/A</v>
      </c>
      <c r="G3496" t="e">
        <f>VLOOKUP(Tabelle8[[#This Row],[Rank]],Stammdaten[[Rank Verteilung D Mitte mit Rinde]:[Verteilung D Mitte mit Rinde]],2,FALSE)</f>
        <v>#N/A</v>
      </c>
      <c r="L3496">
        <v>3487</v>
      </c>
      <c r="M3496" t="e">
        <f>INDEX(Stammdaten[Abholzigkeit (mm/lfm)],MATCH(Tabelle9[[#This Row],[Rank]],Stammdaten[Rank Verteilung Abholzigkeit],0))</f>
        <v>#N/A</v>
      </c>
      <c r="N3496" t="e">
        <f>VLOOKUP(Tabelle9[[#This Row],[Rank]],Stammdaten[[Rank Verteilung Abholzigkeit]:[Verteilung Abholzigkeit]],2,FALSE)</f>
        <v>#N/A</v>
      </c>
      <c r="S3496">
        <v>3487</v>
      </c>
      <c r="T3496" t="e">
        <f>INDEX(Stammdaten[Krümmung (mm/lfm)],MATCH(Tabelle10[[#This Row],[Rank]],Stammdaten[Rank Verteilung Krümmung],0))</f>
        <v>#N/A</v>
      </c>
      <c r="U3496" t="e">
        <f>VLOOKUP(Tabelle10[[#This Row],[Rank]],Stammdaten[[Rank Verteilung Krümmung]:[Verteilung Krümmung]],2,FALSE)</f>
        <v>#N/A</v>
      </c>
      <c r="Z3496">
        <v>3487</v>
      </c>
      <c r="AA3496" t="e">
        <f>INDEX(Stammdaten[Ovalität (']0,1'])],MATCH(Tabelle1014[[#This Row],[Rank]],Stammdaten[Rank Verteilung Ovalität],0))</f>
        <v>#N/A</v>
      </c>
      <c r="AB3496" t="e">
        <f>VLOOKUP(Tabelle1014[[#This Row],[Rank]],Stammdaten[[Rank Verteilung Ovalität]:[Verteilung Ovalität]],2,FALSE)</f>
        <v>#N/A</v>
      </c>
    </row>
    <row r="3497" spans="5:28" x14ac:dyDescent="0.35">
      <c r="E3497">
        <v>3488</v>
      </c>
      <c r="F3497" t="e">
        <f>INDEX(Stammdaten[D Mitte mit Rinde (mm)],MATCH(Tabelle8[[#This Row],[Rank]],Stammdaten[Rank Verteilung D Mitte mit Rinde],0))</f>
        <v>#N/A</v>
      </c>
      <c r="G3497" t="e">
        <f>VLOOKUP(Tabelle8[[#This Row],[Rank]],Stammdaten[[Rank Verteilung D Mitte mit Rinde]:[Verteilung D Mitte mit Rinde]],2,FALSE)</f>
        <v>#N/A</v>
      </c>
      <c r="L3497">
        <v>3488</v>
      </c>
      <c r="M3497" t="e">
        <f>INDEX(Stammdaten[Abholzigkeit (mm/lfm)],MATCH(Tabelle9[[#This Row],[Rank]],Stammdaten[Rank Verteilung Abholzigkeit],0))</f>
        <v>#N/A</v>
      </c>
      <c r="N3497" t="e">
        <f>VLOOKUP(Tabelle9[[#This Row],[Rank]],Stammdaten[[Rank Verteilung Abholzigkeit]:[Verteilung Abholzigkeit]],2,FALSE)</f>
        <v>#N/A</v>
      </c>
      <c r="S3497">
        <v>3488</v>
      </c>
      <c r="T3497" t="e">
        <f>INDEX(Stammdaten[Krümmung (mm/lfm)],MATCH(Tabelle10[[#This Row],[Rank]],Stammdaten[Rank Verteilung Krümmung],0))</f>
        <v>#N/A</v>
      </c>
      <c r="U3497" t="e">
        <f>VLOOKUP(Tabelle10[[#This Row],[Rank]],Stammdaten[[Rank Verteilung Krümmung]:[Verteilung Krümmung]],2,FALSE)</f>
        <v>#N/A</v>
      </c>
      <c r="Z3497">
        <v>3488</v>
      </c>
      <c r="AA3497" t="e">
        <f>INDEX(Stammdaten[Ovalität (']0,1'])],MATCH(Tabelle1014[[#This Row],[Rank]],Stammdaten[Rank Verteilung Ovalität],0))</f>
        <v>#N/A</v>
      </c>
      <c r="AB3497" t="e">
        <f>VLOOKUP(Tabelle1014[[#This Row],[Rank]],Stammdaten[[Rank Verteilung Ovalität]:[Verteilung Ovalität]],2,FALSE)</f>
        <v>#N/A</v>
      </c>
    </row>
    <row r="3498" spans="5:28" x14ac:dyDescent="0.35">
      <c r="E3498">
        <v>3489</v>
      </c>
      <c r="F3498" t="e">
        <f>INDEX(Stammdaten[D Mitte mit Rinde (mm)],MATCH(Tabelle8[[#This Row],[Rank]],Stammdaten[Rank Verteilung D Mitte mit Rinde],0))</f>
        <v>#N/A</v>
      </c>
      <c r="G3498" t="e">
        <f>VLOOKUP(Tabelle8[[#This Row],[Rank]],Stammdaten[[Rank Verteilung D Mitte mit Rinde]:[Verteilung D Mitte mit Rinde]],2,FALSE)</f>
        <v>#N/A</v>
      </c>
      <c r="L3498">
        <v>3489</v>
      </c>
      <c r="M3498" t="e">
        <f>INDEX(Stammdaten[Abholzigkeit (mm/lfm)],MATCH(Tabelle9[[#This Row],[Rank]],Stammdaten[Rank Verteilung Abholzigkeit],0))</f>
        <v>#N/A</v>
      </c>
      <c r="N3498" t="e">
        <f>VLOOKUP(Tabelle9[[#This Row],[Rank]],Stammdaten[[Rank Verteilung Abholzigkeit]:[Verteilung Abholzigkeit]],2,FALSE)</f>
        <v>#N/A</v>
      </c>
      <c r="S3498">
        <v>3489</v>
      </c>
      <c r="T3498" t="e">
        <f>INDEX(Stammdaten[Krümmung (mm/lfm)],MATCH(Tabelle10[[#This Row],[Rank]],Stammdaten[Rank Verteilung Krümmung],0))</f>
        <v>#N/A</v>
      </c>
      <c r="U3498" t="e">
        <f>VLOOKUP(Tabelle10[[#This Row],[Rank]],Stammdaten[[Rank Verteilung Krümmung]:[Verteilung Krümmung]],2,FALSE)</f>
        <v>#N/A</v>
      </c>
      <c r="Z3498">
        <v>3489</v>
      </c>
      <c r="AA3498" t="e">
        <f>INDEX(Stammdaten[Ovalität (']0,1'])],MATCH(Tabelle1014[[#This Row],[Rank]],Stammdaten[Rank Verteilung Ovalität],0))</f>
        <v>#N/A</v>
      </c>
      <c r="AB3498" t="e">
        <f>VLOOKUP(Tabelle1014[[#This Row],[Rank]],Stammdaten[[Rank Verteilung Ovalität]:[Verteilung Ovalität]],2,FALSE)</f>
        <v>#N/A</v>
      </c>
    </row>
    <row r="3499" spans="5:28" x14ac:dyDescent="0.35">
      <c r="E3499">
        <v>3490</v>
      </c>
      <c r="F3499" t="e">
        <f>INDEX(Stammdaten[D Mitte mit Rinde (mm)],MATCH(Tabelle8[[#This Row],[Rank]],Stammdaten[Rank Verteilung D Mitte mit Rinde],0))</f>
        <v>#N/A</v>
      </c>
      <c r="G3499" t="e">
        <f>VLOOKUP(Tabelle8[[#This Row],[Rank]],Stammdaten[[Rank Verteilung D Mitte mit Rinde]:[Verteilung D Mitte mit Rinde]],2,FALSE)</f>
        <v>#N/A</v>
      </c>
      <c r="L3499">
        <v>3490</v>
      </c>
      <c r="M3499" t="e">
        <f>INDEX(Stammdaten[Abholzigkeit (mm/lfm)],MATCH(Tabelle9[[#This Row],[Rank]],Stammdaten[Rank Verteilung Abholzigkeit],0))</f>
        <v>#N/A</v>
      </c>
      <c r="N3499" t="e">
        <f>VLOOKUP(Tabelle9[[#This Row],[Rank]],Stammdaten[[Rank Verteilung Abholzigkeit]:[Verteilung Abholzigkeit]],2,FALSE)</f>
        <v>#N/A</v>
      </c>
      <c r="S3499">
        <v>3490</v>
      </c>
      <c r="T3499" t="e">
        <f>INDEX(Stammdaten[Krümmung (mm/lfm)],MATCH(Tabelle10[[#This Row],[Rank]],Stammdaten[Rank Verteilung Krümmung],0))</f>
        <v>#N/A</v>
      </c>
      <c r="U3499" t="e">
        <f>VLOOKUP(Tabelle10[[#This Row],[Rank]],Stammdaten[[Rank Verteilung Krümmung]:[Verteilung Krümmung]],2,FALSE)</f>
        <v>#N/A</v>
      </c>
      <c r="Z3499">
        <v>3490</v>
      </c>
      <c r="AA3499" t="e">
        <f>INDEX(Stammdaten[Ovalität (']0,1'])],MATCH(Tabelle1014[[#This Row],[Rank]],Stammdaten[Rank Verteilung Ovalität],0))</f>
        <v>#N/A</v>
      </c>
      <c r="AB3499" t="e">
        <f>VLOOKUP(Tabelle1014[[#This Row],[Rank]],Stammdaten[[Rank Verteilung Ovalität]:[Verteilung Ovalität]],2,FALSE)</f>
        <v>#N/A</v>
      </c>
    </row>
    <row r="3500" spans="5:28" x14ac:dyDescent="0.35">
      <c r="E3500">
        <v>3491</v>
      </c>
      <c r="F3500" t="e">
        <f>INDEX(Stammdaten[D Mitte mit Rinde (mm)],MATCH(Tabelle8[[#This Row],[Rank]],Stammdaten[Rank Verteilung D Mitte mit Rinde],0))</f>
        <v>#N/A</v>
      </c>
      <c r="G3500" t="e">
        <f>VLOOKUP(Tabelle8[[#This Row],[Rank]],Stammdaten[[Rank Verteilung D Mitte mit Rinde]:[Verteilung D Mitte mit Rinde]],2,FALSE)</f>
        <v>#N/A</v>
      </c>
      <c r="L3500">
        <v>3491</v>
      </c>
      <c r="M3500" t="e">
        <f>INDEX(Stammdaten[Abholzigkeit (mm/lfm)],MATCH(Tabelle9[[#This Row],[Rank]],Stammdaten[Rank Verteilung Abholzigkeit],0))</f>
        <v>#N/A</v>
      </c>
      <c r="N3500" t="e">
        <f>VLOOKUP(Tabelle9[[#This Row],[Rank]],Stammdaten[[Rank Verteilung Abholzigkeit]:[Verteilung Abholzigkeit]],2,FALSE)</f>
        <v>#N/A</v>
      </c>
      <c r="S3500">
        <v>3491</v>
      </c>
      <c r="T3500" t="e">
        <f>INDEX(Stammdaten[Krümmung (mm/lfm)],MATCH(Tabelle10[[#This Row],[Rank]],Stammdaten[Rank Verteilung Krümmung],0))</f>
        <v>#N/A</v>
      </c>
      <c r="U3500" t="e">
        <f>VLOOKUP(Tabelle10[[#This Row],[Rank]],Stammdaten[[Rank Verteilung Krümmung]:[Verteilung Krümmung]],2,FALSE)</f>
        <v>#N/A</v>
      </c>
      <c r="Z3500">
        <v>3491</v>
      </c>
      <c r="AA3500" t="e">
        <f>INDEX(Stammdaten[Ovalität (']0,1'])],MATCH(Tabelle1014[[#This Row],[Rank]],Stammdaten[Rank Verteilung Ovalität],0))</f>
        <v>#N/A</v>
      </c>
      <c r="AB3500" t="e">
        <f>VLOOKUP(Tabelle1014[[#This Row],[Rank]],Stammdaten[[Rank Verteilung Ovalität]:[Verteilung Ovalität]],2,FALSE)</f>
        <v>#N/A</v>
      </c>
    </row>
    <row r="3501" spans="5:28" x14ac:dyDescent="0.35">
      <c r="E3501">
        <v>3492</v>
      </c>
      <c r="F3501" t="e">
        <f>INDEX(Stammdaten[D Mitte mit Rinde (mm)],MATCH(Tabelle8[[#This Row],[Rank]],Stammdaten[Rank Verteilung D Mitte mit Rinde],0))</f>
        <v>#N/A</v>
      </c>
      <c r="G3501" t="e">
        <f>VLOOKUP(Tabelle8[[#This Row],[Rank]],Stammdaten[[Rank Verteilung D Mitte mit Rinde]:[Verteilung D Mitte mit Rinde]],2,FALSE)</f>
        <v>#N/A</v>
      </c>
      <c r="L3501">
        <v>3492</v>
      </c>
      <c r="M3501" t="e">
        <f>INDEX(Stammdaten[Abholzigkeit (mm/lfm)],MATCH(Tabelle9[[#This Row],[Rank]],Stammdaten[Rank Verteilung Abholzigkeit],0))</f>
        <v>#N/A</v>
      </c>
      <c r="N3501" t="e">
        <f>VLOOKUP(Tabelle9[[#This Row],[Rank]],Stammdaten[[Rank Verteilung Abholzigkeit]:[Verteilung Abholzigkeit]],2,FALSE)</f>
        <v>#N/A</v>
      </c>
      <c r="S3501">
        <v>3492</v>
      </c>
      <c r="T3501" t="e">
        <f>INDEX(Stammdaten[Krümmung (mm/lfm)],MATCH(Tabelle10[[#This Row],[Rank]],Stammdaten[Rank Verteilung Krümmung],0))</f>
        <v>#N/A</v>
      </c>
      <c r="U3501" t="e">
        <f>VLOOKUP(Tabelle10[[#This Row],[Rank]],Stammdaten[[Rank Verteilung Krümmung]:[Verteilung Krümmung]],2,FALSE)</f>
        <v>#N/A</v>
      </c>
      <c r="Z3501">
        <v>3492</v>
      </c>
      <c r="AA3501" t="e">
        <f>INDEX(Stammdaten[Ovalität (']0,1'])],MATCH(Tabelle1014[[#This Row],[Rank]],Stammdaten[Rank Verteilung Ovalität],0))</f>
        <v>#N/A</v>
      </c>
      <c r="AB3501" t="e">
        <f>VLOOKUP(Tabelle1014[[#This Row],[Rank]],Stammdaten[[Rank Verteilung Ovalität]:[Verteilung Ovalität]],2,FALSE)</f>
        <v>#N/A</v>
      </c>
    </row>
    <row r="3502" spans="5:28" x14ac:dyDescent="0.35">
      <c r="E3502">
        <v>3493</v>
      </c>
      <c r="F3502" t="e">
        <f>INDEX(Stammdaten[D Mitte mit Rinde (mm)],MATCH(Tabelle8[[#This Row],[Rank]],Stammdaten[Rank Verteilung D Mitte mit Rinde],0))</f>
        <v>#N/A</v>
      </c>
      <c r="G3502" t="e">
        <f>VLOOKUP(Tabelle8[[#This Row],[Rank]],Stammdaten[[Rank Verteilung D Mitte mit Rinde]:[Verteilung D Mitte mit Rinde]],2,FALSE)</f>
        <v>#N/A</v>
      </c>
      <c r="L3502">
        <v>3493</v>
      </c>
      <c r="M3502" t="e">
        <f>INDEX(Stammdaten[Abholzigkeit (mm/lfm)],MATCH(Tabelle9[[#This Row],[Rank]],Stammdaten[Rank Verteilung Abholzigkeit],0))</f>
        <v>#N/A</v>
      </c>
      <c r="N3502" t="e">
        <f>VLOOKUP(Tabelle9[[#This Row],[Rank]],Stammdaten[[Rank Verteilung Abholzigkeit]:[Verteilung Abholzigkeit]],2,FALSE)</f>
        <v>#N/A</v>
      </c>
      <c r="S3502">
        <v>3493</v>
      </c>
      <c r="T3502" t="e">
        <f>INDEX(Stammdaten[Krümmung (mm/lfm)],MATCH(Tabelle10[[#This Row],[Rank]],Stammdaten[Rank Verteilung Krümmung],0))</f>
        <v>#N/A</v>
      </c>
      <c r="U3502" t="e">
        <f>VLOOKUP(Tabelle10[[#This Row],[Rank]],Stammdaten[[Rank Verteilung Krümmung]:[Verteilung Krümmung]],2,FALSE)</f>
        <v>#N/A</v>
      </c>
      <c r="Z3502">
        <v>3493</v>
      </c>
      <c r="AA3502" t="e">
        <f>INDEX(Stammdaten[Ovalität (']0,1'])],MATCH(Tabelle1014[[#This Row],[Rank]],Stammdaten[Rank Verteilung Ovalität],0))</f>
        <v>#N/A</v>
      </c>
      <c r="AB3502" t="e">
        <f>VLOOKUP(Tabelle1014[[#This Row],[Rank]],Stammdaten[[Rank Verteilung Ovalität]:[Verteilung Ovalität]],2,FALSE)</f>
        <v>#N/A</v>
      </c>
    </row>
    <row r="3503" spans="5:28" x14ac:dyDescent="0.35">
      <c r="E3503">
        <v>3494</v>
      </c>
      <c r="F3503" t="e">
        <f>INDEX(Stammdaten[D Mitte mit Rinde (mm)],MATCH(Tabelle8[[#This Row],[Rank]],Stammdaten[Rank Verteilung D Mitte mit Rinde],0))</f>
        <v>#N/A</v>
      </c>
      <c r="G3503" t="e">
        <f>VLOOKUP(Tabelle8[[#This Row],[Rank]],Stammdaten[[Rank Verteilung D Mitte mit Rinde]:[Verteilung D Mitte mit Rinde]],2,FALSE)</f>
        <v>#N/A</v>
      </c>
      <c r="L3503">
        <v>3494</v>
      </c>
      <c r="M3503" t="e">
        <f>INDEX(Stammdaten[Abholzigkeit (mm/lfm)],MATCH(Tabelle9[[#This Row],[Rank]],Stammdaten[Rank Verteilung Abholzigkeit],0))</f>
        <v>#N/A</v>
      </c>
      <c r="N3503" t="e">
        <f>VLOOKUP(Tabelle9[[#This Row],[Rank]],Stammdaten[[Rank Verteilung Abholzigkeit]:[Verteilung Abholzigkeit]],2,FALSE)</f>
        <v>#N/A</v>
      </c>
      <c r="S3503">
        <v>3494</v>
      </c>
      <c r="T3503" t="e">
        <f>INDEX(Stammdaten[Krümmung (mm/lfm)],MATCH(Tabelle10[[#This Row],[Rank]],Stammdaten[Rank Verteilung Krümmung],0))</f>
        <v>#N/A</v>
      </c>
      <c r="U3503" t="e">
        <f>VLOOKUP(Tabelle10[[#This Row],[Rank]],Stammdaten[[Rank Verteilung Krümmung]:[Verteilung Krümmung]],2,FALSE)</f>
        <v>#N/A</v>
      </c>
      <c r="Z3503">
        <v>3494</v>
      </c>
      <c r="AA3503" t="e">
        <f>INDEX(Stammdaten[Ovalität (']0,1'])],MATCH(Tabelle1014[[#This Row],[Rank]],Stammdaten[Rank Verteilung Ovalität],0))</f>
        <v>#N/A</v>
      </c>
      <c r="AB3503" t="e">
        <f>VLOOKUP(Tabelle1014[[#This Row],[Rank]],Stammdaten[[Rank Verteilung Ovalität]:[Verteilung Ovalität]],2,FALSE)</f>
        <v>#N/A</v>
      </c>
    </row>
    <row r="3504" spans="5:28" x14ac:dyDescent="0.35">
      <c r="E3504">
        <v>3495</v>
      </c>
      <c r="F3504" t="e">
        <f>INDEX(Stammdaten[D Mitte mit Rinde (mm)],MATCH(Tabelle8[[#This Row],[Rank]],Stammdaten[Rank Verteilung D Mitte mit Rinde],0))</f>
        <v>#N/A</v>
      </c>
      <c r="G3504" t="e">
        <f>VLOOKUP(Tabelle8[[#This Row],[Rank]],Stammdaten[[Rank Verteilung D Mitte mit Rinde]:[Verteilung D Mitte mit Rinde]],2,FALSE)</f>
        <v>#N/A</v>
      </c>
      <c r="L3504">
        <v>3495</v>
      </c>
      <c r="M3504" t="e">
        <f>INDEX(Stammdaten[Abholzigkeit (mm/lfm)],MATCH(Tabelle9[[#This Row],[Rank]],Stammdaten[Rank Verteilung Abholzigkeit],0))</f>
        <v>#N/A</v>
      </c>
      <c r="N3504" t="e">
        <f>VLOOKUP(Tabelle9[[#This Row],[Rank]],Stammdaten[[Rank Verteilung Abholzigkeit]:[Verteilung Abholzigkeit]],2,FALSE)</f>
        <v>#N/A</v>
      </c>
      <c r="S3504">
        <v>3495</v>
      </c>
      <c r="T3504" t="e">
        <f>INDEX(Stammdaten[Krümmung (mm/lfm)],MATCH(Tabelle10[[#This Row],[Rank]],Stammdaten[Rank Verteilung Krümmung],0))</f>
        <v>#N/A</v>
      </c>
      <c r="U3504" t="e">
        <f>VLOOKUP(Tabelle10[[#This Row],[Rank]],Stammdaten[[Rank Verteilung Krümmung]:[Verteilung Krümmung]],2,FALSE)</f>
        <v>#N/A</v>
      </c>
      <c r="Z3504">
        <v>3495</v>
      </c>
      <c r="AA3504" t="e">
        <f>INDEX(Stammdaten[Ovalität (']0,1'])],MATCH(Tabelle1014[[#This Row],[Rank]],Stammdaten[Rank Verteilung Ovalität],0))</f>
        <v>#N/A</v>
      </c>
      <c r="AB3504" t="e">
        <f>VLOOKUP(Tabelle1014[[#This Row],[Rank]],Stammdaten[[Rank Verteilung Ovalität]:[Verteilung Ovalität]],2,FALSE)</f>
        <v>#N/A</v>
      </c>
    </row>
    <row r="3505" spans="5:28" x14ac:dyDescent="0.35">
      <c r="E3505">
        <v>3496</v>
      </c>
      <c r="F3505" t="e">
        <f>INDEX(Stammdaten[D Mitte mit Rinde (mm)],MATCH(Tabelle8[[#This Row],[Rank]],Stammdaten[Rank Verteilung D Mitte mit Rinde],0))</f>
        <v>#N/A</v>
      </c>
      <c r="G3505" t="e">
        <f>VLOOKUP(Tabelle8[[#This Row],[Rank]],Stammdaten[[Rank Verteilung D Mitte mit Rinde]:[Verteilung D Mitte mit Rinde]],2,FALSE)</f>
        <v>#N/A</v>
      </c>
      <c r="L3505">
        <v>3496</v>
      </c>
      <c r="M3505" t="e">
        <f>INDEX(Stammdaten[Abholzigkeit (mm/lfm)],MATCH(Tabelle9[[#This Row],[Rank]],Stammdaten[Rank Verteilung Abholzigkeit],0))</f>
        <v>#N/A</v>
      </c>
      <c r="N3505" t="e">
        <f>VLOOKUP(Tabelle9[[#This Row],[Rank]],Stammdaten[[Rank Verteilung Abholzigkeit]:[Verteilung Abholzigkeit]],2,FALSE)</f>
        <v>#N/A</v>
      </c>
      <c r="S3505">
        <v>3496</v>
      </c>
      <c r="T3505" t="e">
        <f>INDEX(Stammdaten[Krümmung (mm/lfm)],MATCH(Tabelle10[[#This Row],[Rank]],Stammdaten[Rank Verteilung Krümmung],0))</f>
        <v>#N/A</v>
      </c>
      <c r="U3505" t="e">
        <f>VLOOKUP(Tabelle10[[#This Row],[Rank]],Stammdaten[[Rank Verteilung Krümmung]:[Verteilung Krümmung]],2,FALSE)</f>
        <v>#N/A</v>
      </c>
      <c r="Z3505">
        <v>3496</v>
      </c>
      <c r="AA3505" t="e">
        <f>INDEX(Stammdaten[Ovalität (']0,1'])],MATCH(Tabelle1014[[#This Row],[Rank]],Stammdaten[Rank Verteilung Ovalität],0))</f>
        <v>#N/A</v>
      </c>
      <c r="AB3505" t="e">
        <f>VLOOKUP(Tabelle1014[[#This Row],[Rank]],Stammdaten[[Rank Verteilung Ovalität]:[Verteilung Ovalität]],2,FALSE)</f>
        <v>#N/A</v>
      </c>
    </row>
    <row r="3506" spans="5:28" x14ac:dyDescent="0.35">
      <c r="E3506">
        <v>3497</v>
      </c>
      <c r="F3506" t="e">
        <f>INDEX(Stammdaten[D Mitte mit Rinde (mm)],MATCH(Tabelle8[[#This Row],[Rank]],Stammdaten[Rank Verteilung D Mitte mit Rinde],0))</f>
        <v>#N/A</v>
      </c>
      <c r="G3506" t="e">
        <f>VLOOKUP(Tabelle8[[#This Row],[Rank]],Stammdaten[[Rank Verteilung D Mitte mit Rinde]:[Verteilung D Mitte mit Rinde]],2,FALSE)</f>
        <v>#N/A</v>
      </c>
      <c r="L3506">
        <v>3497</v>
      </c>
      <c r="M3506" t="e">
        <f>INDEX(Stammdaten[Abholzigkeit (mm/lfm)],MATCH(Tabelle9[[#This Row],[Rank]],Stammdaten[Rank Verteilung Abholzigkeit],0))</f>
        <v>#N/A</v>
      </c>
      <c r="N3506" t="e">
        <f>VLOOKUP(Tabelle9[[#This Row],[Rank]],Stammdaten[[Rank Verteilung Abholzigkeit]:[Verteilung Abholzigkeit]],2,FALSE)</f>
        <v>#N/A</v>
      </c>
      <c r="S3506">
        <v>3497</v>
      </c>
      <c r="T3506" t="e">
        <f>INDEX(Stammdaten[Krümmung (mm/lfm)],MATCH(Tabelle10[[#This Row],[Rank]],Stammdaten[Rank Verteilung Krümmung],0))</f>
        <v>#N/A</v>
      </c>
      <c r="U3506" t="e">
        <f>VLOOKUP(Tabelle10[[#This Row],[Rank]],Stammdaten[[Rank Verteilung Krümmung]:[Verteilung Krümmung]],2,FALSE)</f>
        <v>#N/A</v>
      </c>
      <c r="Z3506">
        <v>3497</v>
      </c>
      <c r="AA3506" t="e">
        <f>INDEX(Stammdaten[Ovalität (']0,1'])],MATCH(Tabelle1014[[#This Row],[Rank]],Stammdaten[Rank Verteilung Ovalität],0))</f>
        <v>#N/A</v>
      </c>
      <c r="AB3506" t="e">
        <f>VLOOKUP(Tabelle1014[[#This Row],[Rank]],Stammdaten[[Rank Verteilung Ovalität]:[Verteilung Ovalität]],2,FALSE)</f>
        <v>#N/A</v>
      </c>
    </row>
    <row r="3507" spans="5:28" x14ac:dyDescent="0.35">
      <c r="E3507">
        <v>3498</v>
      </c>
      <c r="F3507" t="e">
        <f>INDEX(Stammdaten[D Mitte mit Rinde (mm)],MATCH(Tabelle8[[#This Row],[Rank]],Stammdaten[Rank Verteilung D Mitte mit Rinde],0))</f>
        <v>#N/A</v>
      </c>
      <c r="G3507" t="e">
        <f>VLOOKUP(Tabelle8[[#This Row],[Rank]],Stammdaten[[Rank Verteilung D Mitte mit Rinde]:[Verteilung D Mitte mit Rinde]],2,FALSE)</f>
        <v>#N/A</v>
      </c>
      <c r="L3507">
        <v>3498</v>
      </c>
      <c r="M3507" t="e">
        <f>INDEX(Stammdaten[Abholzigkeit (mm/lfm)],MATCH(Tabelle9[[#This Row],[Rank]],Stammdaten[Rank Verteilung Abholzigkeit],0))</f>
        <v>#N/A</v>
      </c>
      <c r="N3507" t="e">
        <f>VLOOKUP(Tabelle9[[#This Row],[Rank]],Stammdaten[[Rank Verteilung Abholzigkeit]:[Verteilung Abholzigkeit]],2,FALSE)</f>
        <v>#N/A</v>
      </c>
      <c r="S3507">
        <v>3498</v>
      </c>
      <c r="T3507" t="e">
        <f>INDEX(Stammdaten[Krümmung (mm/lfm)],MATCH(Tabelle10[[#This Row],[Rank]],Stammdaten[Rank Verteilung Krümmung],0))</f>
        <v>#N/A</v>
      </c>
      <c r="U3507" t="e">
        <f>VLOOKUP(Tabelle10[[#This Row],[Rank]],Stammdaten[[Rank Verteilung Krümmung]:[Verteilung Krümmung]],2,FALSE)</f>
        <v>#N/A</v>
      </c>
      <c r="Z3507">
        <v>3498</v>
      </c>
      <c r="AA3507" t="e">
        <f>INDEX(Stammdaten[Ovalität (']0,1'])],MATCH(Tabelle1014[[#This Row],[Rank]],Stammdaten[Rank Verteilung Ovalität],0))</f>
        <v>#N/A</v>
      </c>
      <c r="AB3507" t="e">
        <f>VLOOKUP(Tabelle1014[[#This Row],[Rank]],Stammdaten[[Rank Verteilung Ovalität]:[Verteilung Ovalität]],2,FALSE)</f>
        <v>#N/A</v>
      </c>
    </row>
    <row r="3508" spans="5:28" x14ac:dyDescent="0.35">
      <c r="E3508">
        <v>3499</v>
      </c>
      <c r="F3508" t="e">
        <f>INDEX(Stammdaten[D Mitte mit Rinde (mm)],MATCH(Tabelle8[[#This Row],[Rank]],Stammdaten[Rank Verteilung D Mitte mit Rinde],0))</f>
        <v>#N/A</v>
      </c>
      <c r="G3508" t="e">
        <f>VLOOKUP(Tabelle8[[#This Row],[Rank]],Stammdaten[[Rank Verteilung D Mitte mit Rinde]:[Verteilung D Mitte mit Rinde]],2,FALSE)</f>
        <v>#N/A</v>
      </c>
      <c r="L3508">
        <v>3499</v>
      </c>
      <c r="M3508" t="e">
        <f>INDEX(Stammdaten[Abholzigkeit (mm/lfm)],MATCH(Tabelle9[[#This Row],[Rank]],Stammdaten[Rank Verteilung Abholzigkeit],0))</f>
        <v>#N/A</v>
      </c>
      <c r="N3508" t="e">
        <f>VLOOKUP(Tabelle9[[#This Row],[Rank]],Stammdaten[[Rank Verteilung Abholzigkeit]:[Verteilung Abholzigkeit]],2,FALSE)</f>
        <v>#N/A</v>
      </c>
      <c r="S3508">
        <v>3499</v>
      </c>
      <c r="T3508" t="e">
        <f>INDEX(Stammdaten[Krümmung (mm/lfm)],MATCH(Tabelle10[[#This Row],[Rank]],Stammdaten[Rank Verteilung Krümmung],0))</f>
        <v>#N/A</v>
      </c>
      <c r="U3508" t="e">
        <f>VLOOKUP(Tabelle10[[#This Row],[Rank]],Stammdaten[[Rank Verteilung Krümmung]:[Verteilung Krümmung]],2,FALSE)</f>
        <v>#N/A</v>
      </c>
      <c r="Z3508">
        <v>3499</v>
      </c>
      <c r="AA3508" t="e">
        <f>INDEX(Stammdaten[Ovalität (']0,1'])],MATCH(Tabelle1014[[#This Row],[Rank]],Stammdaten[Rank Verteilung Ovalität],0))</f>
        <v>#N/A</v>
      </c>
      <c r="AB3508" t="e">
        <f>VLOOKUP(Tabelle1014[[#This Row],[Rank]],Stammdaten[[Rank Verteilung Ovalität]:[Verteilung Ovalität]],2,FALSE)</f>
        <v>#N/A</v>
      </c>
    </row>
    <row r="3509" spans="5:28" x14ac:dyDescent="0.35">
      <c r="E3509">
        <v>3500</v>
      </c>
      <c r="F3509" t="e">
        <f>INDEX(Stammdaten[D Mitte mit Rinde (mm)],MATCH(Tabelle8[[#This Row],[Rank]],Stammdaten[Rank Verteilung D Mitte mit Rinde],0))</f>
        <v>#N/A</v>
      </c>
      <c r="G3509" t="e">
        <f>VLOOKUP(Tabelle8[[#This Row],[Rank]],Stammdaten[[Rank Verteilung D Mitte mit Rinde]:[Verteilung D Mitte mit Rinde]],2,FALSE)</f>
        <v>#N/A</v>
      </c>
      <c r="L3509">
        <v>3500</v>
      </c>
      <c r="M3509" t="e">
        <f>INDEX(Stammdaten[Abholzigkeit (mm/lfm)],MATCH(Tabelle9[[#This Row],[Rank]],Stammdaten[Rank Verteilung Abholzigkeit],0))</f>
        <v>#N/A</v>
      </c>
      <c r="N3509" t="e">
        <f>VLOOKUP(Tabelle9[[#This Row],[Rank]],Stammdaten[[Rank Verteilung Abholzigkeit]:[Verteilung Abholzigkeit]],2,FALSE)</f>
        <v>#N/A</v>
      </c>
      <c r="S3509">
        <v>3500</v>
      </c>
      <c r="T3509" t="e">
        <f>INDEX(Stammdaten[Krümmung (mm/lfm)],MATCH(Tabelle10[[#This Row],[Rank]],Stammdaten[Rank Verteilung Krümmung],0))</f>
        <v>#N/A</v>
      </c>
      <c r="U3509" t="e">
        <f>VLOOKUP(Tabelle10[[#This Row],[Rank]],Stammdaten[[Rank Verteilung Krümmung]:[Verteilung Krümmung]],2,FALSE)</f>
        <v>#N/A</v>
      </c>
      <c r="Z3509">
        <v>3500</v>
      </c>
      <c r="AA3509" t="e">
        <f>INDEX(Stammdaten[Ovalität (']0,1'])],MATCH(Tabelle1014[[#This Row],[Rank]],Stammdaten[Rank Verteilung Ovalität],0))</f>
        <v>#N/A</v>
      </c>
      <c r="AB3509" t="e">
        <f>VLOOKUP(Tabelle1014[[#This Row],[Rank]],Stammdaten[[Rank Verteilung Ovalität]:[Verteilung Ovalität]],2,FALSE)</f>
        <v>#N/A</v>
      </c>
    </row>
    <row r="3510" spans="5:28" x14ac:dyDescent="0.35">
      <c r="E3510">
        <v>3501</v>
      </c>
      <c r="F3510" t="e">
        <f>INDEX(Stammdaten[D Mitte mit Rinde (mm)],MATCH(Tabelle8[[#This Row],[Rank]],Stammdaten[Rank Verteilung D Mitte mit Rinde],0))</f>
        <v>#N/A</v>
      </c>
      <c r="G3510" t="e">
        <f>VLOOKUP(Tabelle8[[#This Row],[Rank]],Stammdaten[[Rank Verteilung D Mitte mit Rinde]:[Verteilung D Mitte mit Rinde]],2,FALSE)</f>
        <v>#N/A</v>
      </c>
      <c r="L3510">
        <v>3501</v>
      </c>
      <c r="M3510" t="e">
        <f>INDEX(Stammdaten[Abholzigkeit (mm/lfm)],MATCH(Tabelle9[[#This Row],[Rank]],Stammdaten[Rank Verteilung Abholzigkeit],0))</f>
        <v>#N/A</v>
      </c>
      <c r="N3510" t="e">
        <f>VLOOKUP(Tabelle9[[#This Row],[Rank]],Stammdaten[[Rank Verteilung Abholzigkeit]:[Verteilung Abholzigkeit]],2,FALSE)</f>
        <v>#N/A</v>
      </c>
      <c r="S3510">
        <v>3501</v>
      </c>
      <c r="T3510" t="e">
        <f>INDEX(Stammdaten[Krümmung (mm/lfm)],MATCH(Tabelle10[[#This Row],[Rank]],Stammdaten[Rank Verteilung Krümmung],0))</f>
        <v>#N/A</v>
      </c>
      <c r="U3510" t="e">
        <f>VLOOKUP(Tabelle10[[#This Row],[Rank]],Stammdaten[[Rank Verteilung Krümmung]:[Verteilung Krümmung]],2,FALSE)</f>
        <v>#N/A</v>
      </c>
      <c r="Z3510">
        <v>3501</v>
      </c>
      <c r="AA3510" t="e">
        <f>INDEX(Stammdaten[Ovalität (']0,1'])],MATCH(Tabelle1014[[#This Row],[Rank]],Stammdaten[Rank Verteilung Ovalität],0))</f>
        <v>#N/A</v>
      </c>
      <c r="AB3510" t="e">
        <f>VLOOKUP(Tabelle1014[[#This Row],[Rank]],Stammdaten[[Rank Verteilung Ovalität]:[Verteilung Ovalität]],2,FALSE)</f>
        <v>#N/A</v>
      </c>
    </row>
    <row r="3511" spans="5:28" x14ac:dyDescent="0.35">
      <c r="E3511">
        <v>3502</v>
      </c>
      <c r="F3511" t="e">
        <f>INDEX(Stammdaten[D Mitte mit Rinde (mm)],MATCH(Tabelle8[[#This Row],[Rank]],Stammdaten[Rank Verteilung D Mitte mit Rinde],0))</f>
        <v>#N/A</v>
      </c>
      <c r="G3511" t="e">
        <f>VLOOKUP(Tabelle8[[#This Row],[Rank]],Stammdaten[[Rank Verteilung D Mitte mit Rinde]:[Verteilung D Mitte mit Rinde]],2,FALSE)</f>
        <v>#N/A</v>
      </c>
      <c r="L3511">
        <v>3502</v>
      </c>
      <c r="M3511" t="e">
        <f>INDEX(Stammdaten[Abholzigkeit (mm/lfm)],MATCH(Tabelle9[[#This Row],[Rank]],Stammdaten[Rank Verteilung Abholzigkeit],0))</f>
        <v>#N/A</v>
      </c>
      <c r="N3511" t="e">
        <f>VLOOKUP(Tabelle9[[#This Row],[Rank]],Stammdaten[[Rank Verteilung Abholzigkeit]:[Verteilung Abholzigkeit]],2,FALSE)</f>
        <v>#N/A</v>
      </c>
      <c r="S3511">
        <v>3502</v>
      </c>
      <c r="T3511" t="e">
        <f>INDEX(Stammdaten[Krümmung (mm/lfm)],MATCH(Tabelle10[[#This Row],[Rank]],Stammdaten[Rank Verteilung Krümmung],0))</f>
        <v>#N/A</v>
      </c>
      <c r="U3511" t="e">
        <f>VLOOKUP(Tabelle10[[#This Row],[Rank]],Stammdaten[[Rank Verteilung Krümmung]:[Verteilung Krümmung]],2,FALSE)</f>
        <v>#N/A</v>
      </c>
      <c r="Z3511">
        <v>3502</v>
      </c>
      <c r="AA3511" t="e">
        <f>INDEX(Stammdaten[Ovalität (']0,1'])],MATCH(Tabelle1014[[#This Row],[Rank]],Stammdaten[Rank Verteilung Ovalität],0))</f>
        <v>#N/A</v>
      </c>
      <c r="AB3511" t="e">
        <f>VLOOKUP(Tabelle1014[[#This Row],[Rank]],Stammdaten[[Rank Verteilung Ovalität]:[Verteilung Ovalität]],2,FALSE)</f>
        <v>#N/A</v>
      </c>
    </row>
    <row r="3512" spans="5:28" x14ac:dyDescent="0.35">
      <c r="E3512">
        <v>3503</v>
      </c>
      <c r="F3512" t="e">
        <f>INDEX(Stammdaten[D Mitte mit Rinde (mm)],MATCH(Tabelle8[[#This Row],[Rank]],Stammdaten[Rank Verteilung D Mitte mit Rinde],0))</f>
        <v>#N/A</v>
      </c>
      <c r="G3512" t="e">
        <f>VLOOKUP(Tabelle8[[#This Row],[Rank]],Stammdaten[[Rank Verteilung D Mitte mit Rinde]:[Verteilung D Mitte mit Rinde]],2,FALSE)</f>
        <v>#N/A</v>
      </c>
      <c r="L3512">
        <v>3503</v>
      </c>
      <c r="M3512" t="e">
        <f>INDEX(Stammdaten[Abholzigkeit (mm/lfm)],MATCH(Tabelle9[[#This Row],[Rank]],Stammdaten[Rank Verteilung Abholzigkeit],0))</f>
        <v>#N/A</v>
      </c>
      <c r="N3512" t="e">
        <f>VLOOKUP(Tabelle9[[#This Row],[Rank]],Stammdaten[[Rank Verteilung Abholzigkeit]:[Verteilung Abholzigkeit]],2,FALSE)</f>
        <v>#N/A</v>
      </c>
      <c r="S3512">
        <v>3503</v>
      </c>
      <c r="T3512" t="e">
        <f>INDEX(Stammdaten[Krümmung (mm/lfm)],MATCH(Tabelle10[[#This Row],[Rank]],Stammdaten[Rank Verteilung Krümmung],0))</f>
        <v>#N/A</v>
      </c>
      <c r="U3512" t="e">
        <f>VLOOKUP(Tabelle10[[#This Row],[Rank]],Stammdaten[[Rank Verteilung Krümmung]:[Verteilung Krümmung]],2,FALSE)</f>
        <v>#N/A</v>
      </c>
      <c r="Z3512">
        <v>3503</v>
      </c>
      <c r="AA3512" t="e">
        <f>INDEX(Stammdaten[Ovalität (']0,1'])],MATCH(Tabelle1014[[#This Row],[Rank]],Stammdaten[Rank Verteilung Ovalität],0))</f>
        <v>#N/A</v>
      </c>
      <c r="AB3512" t="e">
        <f>VLOOKUP(Tabelle1014[[#This Row],[Rank]],Stammdaten[[Rank Verteilung Ovalität]:[Verteilung Ovalität]],2,FALSE)</f>
        <v>#N/A</v>
      </c>
    </row>
    <row r="3513" spans="5:28" x14ac:dyDescent="0.35">
      <c r="E3513">
        <v>3504</v>
      </c>
      <c r="F3513" t="e">
        <f>INDEX(Stammdaten[D Mitte mit Rinde (mm)],MATCH(Tabelle8[[#This Row],[Rank]],Stammdaten[Rank Verteilung D Mitte mit Rinde],0))</f>
        <v>#N/A</v>
      </c>
      <c r="G3513" t="e">
        <f>VLOOKUP(Tabelle8[[#This Row],[Rank]],Stammdaten[[Rank Verteilung D Mitte mit Rinde]:[Verteilung D Mitte mit Rinde]],2,FALSE)</f>
        <v>#N/A</v>
      </c>
      <c r="L3513">
        <v>3504</v>
      </c>
      <c r="M3513" t="e">
        <f>INDEX(Stammdaten[Abholzigkeit (mm/lfm)],MATCH(Tabelle9[[#This Row],[Rank]],Stammdaten[Rank Verteilung Abholzigkeit],0))</f>
        <v>#N/A</v>
      </c>
      <c r="N3513" t="e">
        <f>VLOOKUP(Tabelle9[[#This Row],[Rank]],Stammdaten[[Rank Verteilung Abholzigkeit]:[Verteilung Abholzigkeit]],2,FALSE)</f>
        <v>#N/A</v>
      </c>
      <c r="S3513">
        <v>3504</v>
      </c>
      <c r="T3513" t="e">
        <f>INDEX(Stammdaten[Krümmung (mm/lfm)],MATCH(Tabelle10[[#This Row],[Rank]],Stammdaten[Rank Verteilung Krümmung],0))</f>
        <v>#N/A</v>
      </c>
      <c r="U3513" t="e">
        <f>VLOOKUP(Tabelle10[[#This Row],[Rank]],Stammdaten[[Rank Verteilung Krümmung]:[Verteilung Krümmung]],2,FALSE)</f>
        <v>#N/A</v>
      </c>
      <c r="Z3513">
        <v>3504</v>
      </c>
      <c r="AA3513" t="e">
        <f>INDEX(Stammdaten[Ovalität (']0,1'])],MATCH(Tabelle1014[[#This Row],[Rank]],Stammdaten[Rank Verteilung Ovalität],0))</f>
        <v>#N/A</v>
      </c>
      <c r="AB3513" t="e">
        <f>VLOOKUP(Tabelle1014[[#This Row],[Rank]],Stammdaten[[Rank Verteilung Ovalität]:[Verteilung Ovalität]],2,FALSE)</f>
        <v>#N/A</v>
      </c>
    </row>
    <row r="3514" spans="5:28" x14ac:dyDescent="0.35">
      <c r="E3514">
        <v>3505</v>
      </c>
      <c r="F3514" t="e">
        <f>INDEX(Stammdaten[D Mitte mit Rinde (mm)],MATCH(Tabelle8[[#This Row],[Rank]],Stammdaten[Rank Verteilung D Mitte mit Rinde],0))</f>
        <v>#N/A</v>
      </c>
      <c r="G3514" t="e">
        <f>VLOOKUP(Tabelle8[[#This Row],[Rank]],Stammdaten[[Rank Verteilung D Mitte mit Rinde]:[Verteilung D Mitte mit Rinde]],2,FALSE)</f>
        <v>#N/A</v>
      </c>
      <c r="L3514">
        <v>3505</v>
      </c>
      <c r="M3514" t="e">
        <f>INDEX(Stammdaten[Abholzigkeit (mm/lfm)],MATCH(Tabelle9[[#This Row],[Rank]],Stammdaten[Rank Verteilung Abholzigkeit],0))</f>
        <v>#N/A</v>
      </c>
      <c r="N3514" t="e">
        <f>VLOOKUP(Tabelle9[[#This Row],[Rank]],Stammdaten[[Rank Verteilung Abholzigkeit]:[Verteilung Abholzigkeit]],2,FALSE)</f>
        <v>#N/A</v>
      </c>
      <c r="S3514">
        <v>3505</v>
      </c>
      <c r="T3514" t="e">
        <f>INDEX(Stammdaten[Krümmung (mm/lfm)],MATCH(Tabelle10[[#This Row],[Rank]],Stammdaten[Rank Verteilung Krümmung],0))</f>
        <v>#N/A</v>
      </c>
      <c r="U3514" t="e">
        <f>VLOOKUP(Tabelle10[[#This Row],[Rank]],Stammdaten[[Rank Verteilung Krümmung]:[Verteilung Krümmung]],2,FALSE)</f>
        <v>#N/A</v>
      </c>
      <c r="Z3514">
        <v>3505</v>
      </c>
      <c r="AA3514" t="e">
        <f>INDEX(Stammdaten[Ovalität (']0,1'])],MATCH(Tabelle1014[[#This Row],[Rank]],Stammdaten[Rank Verteilung Ovalität],0))</f>
        <v>#N/A</v>
      </c>
      <c r="AB3514" t="e">
        <f>VLOOKUP(Tabelle1014[[#This Row],[Rank]],Stammdaten[[Rank Verteilung Ovalität]:[Verteilung Ovalität]],2,FALSE)</f>
        <v>#N/A</v>
      </c>
    </row>
    <row r="3515" spans="5:28" x14ac:dyDescent="0.35">
      <c r="E3515">
        <v>3506</v>
      </c>
      <c r="F3515" t="e">
        <f>INDEX(Stammdaten[D Mitte mit Rinde (mm)],MATCH(Tabelle8[[#This Row],[Rank]],Stammdaten[Rank Verteilung D Mitte mit Rinde],0))</f>
        <v>#N/A</v>
      </c>
      <c r="G3515" t="e">
        <f>VLOOKUP(Tabelle8[[#This Row],[Rank]],Stammdaten[[Rank Verteilung D Mitte mit Rinde]:[Verteilung D Mitte mit Rinde]],2,FALSE)</f>
        <v>#N/A</v>
      </c>
      <c r="L3515">
        <v>3506</v>
      </c>
      <c r="M3515" t="e">
        <f>INDEX(Stammdaten[Abholzigkeit (mm/lfm)],MATCH(Tabelle9[[#This Row],[Rank]],Stammdaten[Rank Verteilung Abholzigkeit],0))</f>
        <v>#N/A</v>
      </c>
      <c r="N3515" t="e">
        <f>VLOOKUP(Tabelle9[[#This Row],[Rank]],Stammdaten[[Rank Verteilung Abholzigkeit]:[Verteilung Abholzigkeit]],2,FALSE)</f>
        <v>#N/A</v>
      </c>
      <c r="S3515">
        <v>3506</v>
      </c>
      <c r="T3515" t="e">
        <f>INDEX(Stammdaten[Krümmung (mm/lfm)],MATCH(Tabelle10[[#This Row],[Rank]],Stammdaten[Rank Verteilung Krümmung],0))</f>
        <v>#N/A</v>
      </c>
      <c r="U3515" t="e">
        <f>VLOOKUP(Tabelle10[[#This Row],[Rank]],Stammdaten[[Rank Verteilung Krümmung]:[Verteilung Krümmung]],2,FALSE)</f>
        <v>#N/A</v>
      </c>
      <c r="Z3515">
        <v>3506</v>
      </c>
      <c r="AA3515" t="e">
        <f>INDEX(Stammdaten[Ovalität (']0,1'])],MATCH(Tabelle1014[[#This Row],[Rank]],Stammdaten[Rank Verteilung Ovalität],0))</f>
        <v>#N/A</v>
      </c>
      <c r="AB3515" t="e">
        <f>VLOOKUP(Tabelle1014[[#This Row],[Rank]],Stammdaten[[Rank Verteilung Ovalität]:[Verteilung Ovalität]],2,FALSE)</f>
        <v>#N/A</v>
      </c>
    </row>
    <row r="3516" spans="5:28" x14ac:dyDescent="0.35">
      <c r="E3516">
        <v>3507</v>
      </c>
      <c r="F3516" t="e">
        <f>INDEX(Stammdaten[D Mitte mit Rinde (mm)],MATCH(Tabelle8[[#This Row],[Rank]],Stammdaten[Rank Verteilung D Mitte mit Rinde],0))</f>
        <v>#N/A</v>
      </c>
      <c r="G3516" t="e">
        <f>VLOOKUP(Tabelle8[[#This Row],[Rank]],Stammdaten[[Rank Verteilung D Mitte mit Rinde]:[Verteilung D Mitte mit Rinde]],2,FALSE)</f>
        <v>#N/A</v>
      </c>
      <c r="L3516">
        <v>3507</v>
      </c>
      <c r="M3516" t="e">
        <f>INDEX(Stammdaten[Abholzigkeit (mm/lfm)],MATCH(Tabelle9[[#This Row],[Rank]],Stammdaten[Rank Verteilung Abholzigkeit],0))</f>
        <v>#N/A</v>
      </c>
      <c r="N3516" t="e">
        <f>VLOOKUP(Tabelle9[[#This Row],[Rank]],Stammdaten[[Rank Verteilung Abholzigkeit]:[Verteilung Abholzigkeit]],2,FALSE)</f>
        <v>#N/A</v>
      </c>
      <c r="S3516">
        <v>3507</v>
      </c>
      <c r="T3516" t="e">
        <f>INDEX(Stammdaten[Krümmung (mm/lfm)],MATCH(Tabelle10[[#This Row],[Rank]],Stammdaten[Rank Verteilung Krümmung],0))</f>
        <v>#N/A</v>
      </c>
      <c r="U3516" t="e">
        <f>VLOOKUP(Tabelle10[[#This Row],[Rank]],Stammdaten[[Rank Verteilung Krümmung]:[Verteilung Krümmung]],2,FALSE)</f>
        <v>#N/A</v>
      </c>
      <c r="Z3516">
        <v>3507</v>
      </c>
      <c r="AA3516" t="e">
        <f>INDEX(Stammdaten[Ovalität (']0,1'])],MATCH(Tabelle1014[[#This Row],[Rank]],Stammdaten[Rank Verteilung Ovalität],0))</f>
        <v>#N/A</v>
      </c>
      <c r="AB3516" t="e">
        <f>VLOOKUP(Tabelle1014[[#This Row],[Rank]],Stammdaten[[Rank Verteilung Ovalität]:[Verteilung Ovalität]],2,FALSE)</f>
        <v>#N/A</v>
      </c>
    </row>
    <row r="3517" spans="5:28" x14ac:dyDescent="0.35">
      <c r="E3517">
        <v>3508</v>
      </c>
      <c r="F3517" t="e">
        <f>INDEX(Stammdaten[D Mitte mit Rinde (mm)],MATCH(Tabelle8[[#This Row],[Rank]],Stammdaten[Rank Verteilung D Mitte mit Rinde],0))</f>
        <v>#N/A</v>
      </c>
      <c r="G3517" t="e">
        <f>VLOOKUP(Tabelle8[[#This Row],[Rank]],Stammdaten[[Rank Verteilung D Mitte mit Rinde]:[Verteilung D Mitte mit Rinde]],2,FALSE)</f>
        <v>#N/A</v>
      </c>
      <c r="L3517">
        <v>3508</v>
      </c>
      <c r="M3517" t="e">
        <f>INDEX(Stammdaten[Abholzigkeit (mm/lfm)],MATCH(Tabelle9[[#This Row],[Rank]],Stammdaten[Rank Verteilung Abholzigkeit],0))</f>
        <v>#N/A</v>
      </c>
      <c r="N3517" t="e">
        <f>VLOOKUP(Tabelle9[[#This Row],[Rank]],Stammdaten[[Rank Verteilung Abholzigkeit]:[Verteilung Abholzigkeit]],2,FALSE)</f>
        <v>#N/A</v>
      </c>
      <c r="S3517">
        <v>3508</v>
      </c>
      <c r="T3517" t="e">
        <f>INDEX(Stammdaten[Krümmung (mm/lfm)],MATCH(Tabelle10[[#This Row],[Rank]],Stammdaten[Rank Verteilung Krümmung],0))</f>
        <v>#N/A</v>
      </c>
      <c r="U3517" t="e">
        <f>VLOOKUP(Tabelle10[[#This Row],[Rank]],Stammdaten[[Rank Verteilung Krümmung]:[Verteilung Krümmung]],2,FALSE)</f>
        <v>#N/A</v>
      </c>
      <c r="Z3517">
        <v>3508</v>
      </c>
      <c r="AA3517" t="e">
        <f>INDEX(Stammdaten[Ovalität (']0,1'])],MATCH(Tabelle1014[[#This Row],[Rank]],Stammdaten[Rank Verteilung Ovalität],0))</f>
        <v>#N/A</v>
      </c>
      <c r="AB3517" t="e">
        <f>VLOOKUP(Tabelle1014[[#This Row],[Rank]],Stammdaten[[Rank Verteilung Ovalität]:[Verteilung Ovalität]],2,FALSE)</f>
        <v>#N/A</v>
      </c>
    </row>
    <row r="3518" spans="5:28" x14ac:dyDescent="0.35">
      <c r="E3518">
        <v>3509</v>
      </c>
      <c r="F3518" t="e">
        <f>INDEX(Stammdaten[D Mitte mit Rinde (mm)],MATCH(Tabelle8[[#This Row],[Rank]],Stammdaten[Rank Verteilung D Mitte mit Rinde],0))</f>
        <v>#N/A</v>
      </c>
      <c r="G3518" t="e">
        <f>VLOOKUP(Tabelle8[[#This Row],[Rank]],Stammdaten[[Rank Verteilung D Mitte mit Rinde]:[Verteilung D Mitte mit Rinde]],2,FALSE)</f>
        <v>#N/A</v>
      </c>
      <c r="L3518">
        <v>3509</v>
      </c>
      <c r="M3518" t="e">
        <f>INDEX(Stammdaten[Abholzigkeit (mm/lfm)],MATCH(Tabelle9[[#This Row],[Rank]],Stammdaten[Rank Verteilung Abholzigkeit],0))</f>
        <v>#N/A</v>
      </c>
      <c r="N3518" t="e">
        <f>VLOOKUP(Tabelle9[[#This Row],[Rank]],Stammdaten[[Rank Verteilung Abholzigkeit]:[Verteilung Abholzigkeit]],2,FALSE)</f>
        <v>#N/A</v>
      </c>
      <c r="S3518">
        <v>3509</v>
      </c>
      <c r="T3518" t="e">
        <f>INDEX(Stammdaten[Krümmung (mm/lfm)],MATCH(Tabelle10[[#This Row],[Rank]],Stammdaten[Rank Verteilung Krümmung],0))</f>
        <v>#N/A</v>
      </c>
      <c r="U3518" t="e">
        <f>VLOOKUP(Tabelle10[[#This Row],[Rank]],Stammdaten[[Rank Verteilung Krümmung]:[Verteilung Krümmung]],2,FALSE)</f>
        <v>#N/A</v>
      </c>
      <c r="Z3518">
        <v>3509</v>
      </c>
      <c r="AA3518" t="e">
        <f>INDEX(Stammdaten[Ovalität (']0,1'])],MATCH(Tabelle1014[[#This Row],[Rank]],Stammdaten[Rank Verteilung Ovalität],0))</f>
        <v>#N/A</v>
      </c>
      <c r="AB3518" t="e">
        <f>VLOOKUP(Tabelle1014[[#This Row],[Rank]],Stammdaten[[Rank Verteilung Ovalität]:[Verteilung Ovalität]],2,FALSE)</f>
        <v>#N/A</v>
      </c>
    </row>
    <row r="3519" spans="5:28" x14ac:dyDescent="0.35">
      <c r="E3519">
        <v>3510</v>
      </c>
      <c r="F3519" t="e">
        <f>INDEX(Stammdaten[D Mitte mit Rinde (mm)],MATCH(Tabelle8[[#This Row],[Rank]],Stammdaten[Rank Verteilung D Mitte mit Rinde],0))</f>
        <v>#N/A</v>
      </c>
      <c r="G3519" t="e">
        <f>VLOOKUP(Tabelle8[[#This Row],[Rank]],Stammdaten[[Rank Verteilung D Mitte mit Rinde]:[Verteilung D Mitte mit Rinde]],2,FALSE)</f>
        <v>#N/A</v>
      </c>
      <c r="L3519">
        <v>3510</v>
      </c>
      <c r="M3519" t="e">
        <f>INDEX(Stammdaten[Abholzigkeit (mm/lfm)],MATCH(Tabelle9[[#This Row],[Rank]],Stammdaten[Rank Verteilung Abholzigkeit],0))</f>
        <v>#N/A</v>
      </c>
      <c r="N3519" t="e">
        <f>VLOOKUP(Tabelle9[[#This Row],[Rank]],Stammdaten[[Rank Verteilung Abholzigkeit]:[Verteilung Abholzigkeit]],2,FALSE)</f>
        <v>#N/A</v>
      </c>
      <c r="S3519">
        <v>3510</v>
      </c>
      <c r="T3519" t="e">
        <f>INDEX(Stammdaten[Krümmung (mm/lfm)],MATCH(Tabelle10[[#This Row],[Rank]],Stammdaten[Rank Verteilung Krümmung],0))</f>
        <v>#N/A</v>
      </c>
      <c r="U3519" t="e">
        <f>VLOOKUP(Tabelle10[[#This Row],[Rank]],Stammdaten[[Rank Verteilung Krümmung]:[Verteilung Krümmung]],2,FALSE)</f>
        <v>#N/A</v>
      </c>
      <c r="Z3519">
        <v>3510</v>
      </c>
      <c r="AA3519" t="e">
        <f>INDEX(Stammdaten[Ovalität (']0,1'])],MATCH(Tabelle1014[[#This Row],[Rank]],Stammdaten[Rank Verteilung Ovalität],0))</f>
        <v>#N/A</v>
      </c>
      <c r="AB3519" t="e">
        <f>VLOOKUP(Tabelle1014[[#This Row],[Rank]],Stammdaten[[Rank Verteilung Ovalität]:[Verteilung Ovalität]],2,FALSE)</f>
        <v>#N/A</v>
      </c>
    </row>
    <row r="3520" spans="5:28" x14ac:dyDescent="0.35">
      <c r="E3520">
        <v>3511</v>
      </c>
      <c r="F3520" t="e">
        <f>INDEX(Stammdaten[D Mitte mit Rinde (mm)],MATCH(Tabelle8[[#This Row],[Rank]],Stammdaten[Rank Verteilung D Mitte mit Rinde],0))</f>
        <v>#N/A</v>
      </c>
      <c r="G3520" t="e">
        <f>VLOOKUP(Tabelle8[[#This Row],[Rank]],Stammdaten[[Rank Verteilung D Mitte mit Rinde]:[Verteilung D Mitte mit Rinde]],2,FALSE)</f>
        <v>#N/A</v>
      </c>
      <c r="L3520">
        <v>3511</v>
      </c>
      <c r="M3520" t="e">
        <f>INDEX(Stammdaten[Abholzigkeit (mm/lfm)],MATCH(Tabelle9[[#This Row],[Rank]],Stammdaten[Rank Verteilung Abholzigkeit],0))</f>
        <v>#N/A</v>
      </c>
      <c r="N3520" t="e">
        <f>VLOOKUP(Tabelle9[[#This Row],[Rank]],Stammdaten[[Rank Verteilung Abholzigkeit]:[Verteilung Abholzigkeit]],2,FALSE)</f>
        <v>#N/A</v>
      </c>
      <c r="S3520">
        <v>3511</v>
      </c>
      <c r="T3520" t="e">
        <f>INDEX(Stammdaten[Krümmung (mm/lfm)],MATCH(Tabelle10[[#This Row],[Rank]],Stammdaten[Rank Verteilung Krümmung],0))</f>
        <v>#N/A</v>
      </c>
      <c r="U3520" t="e">
        <f>VLOOKUP(Tabelle10[[#This Row],[Rank]],Stammdaten[[Rank Verteilung Krümmung]:[Verteilung Krümmung]],2,FALSE)</f>
        <v>#N/A</v>
      </c>
      <c r="Z3520">
        <v>3511</v>
      </c>
      <c r="AA3520" t="e">
        <f>INDEX(Stammdaten[Ovalität (']0,1'])],MATCH(Tabelle1014[[#This Row],[Rank]],Stammdaten[Rank Verteilung Ovalität],0))</f>
        <v>#N/A</v>
      </c>
      <c r="AB3520" t="e">
        <f>VLOOKUP(Tabelle1014[[#This Row],[Rank]],Stammdaten[[Rank Verteilung Ovalität]:[Verteilung Ovalität]],2,FALSE)</f>
        <v>#N/A</v>
      </c>
    </row>
    <row r="3521" spans="5:28" x14ac:dyDescent="0.35">
      <c r="E3521">
        <v>3512</v>
      </c>
      <c r="F3521" t="e">
        <f>INDEX(Stammdaten[D Mitte mit Rinde (mm)],MATCH(Tabelle8[[#This Row],[Rank]],Stammdaten[Rank Verteilung D Mitte mit Rinde],0))</f>
        <v>#N/A</v>
      </c>
      <c r="G3521" t="e">
        <f>VLOOKUP(Tabelle8[[#This Row],[Rank]],Stammdaten[[Rank Verteilung D Mitte mit Rinde]:[Verteilung D Mitte mit Rinde]],2,FALSE)</f>
        <v>#N/A</v>
      </c>
      <c r="L3521">
        <v>3512</v>
      </c>
      <c r="M3521" t="e">
        <f>INDEX(Stammdaten[Abholzigkeit (mm/lfm)],MATCH(Tabelle9[[#This Row],[Rank]],Stammdaten[Rank Verteilung Abholzigkeit],0))</f>
        <v>#N/A</v>
      </c>
      <c r="N3521" t="e">
        <f>VLOOKUP(Tabelle9[[#This Row],[Rank]],Stammdaten[[Rank Verteilung Abholzigkeit]:[Verteilung Abholzigkeit]],2,FALSE)</f>
        <v>#N/A</v>
      </c>
      <c r="S3521">
        <v>3512</v>
      </c>
      <c r="T3521" t="e">
        <f>INDEX(Stammdaten[Krümmung (mm/lfm)],MATCH(Tabelle10[[#This Row],[Rank]],Stammdaten[Rank Verteilung Krümmung],0))</f>
        <v>#N/A</v>
      </c>
      <c r="U3521" t="e">
        <f>VLOOKUP(Tabelle10[[#This Row],[Rank]],Stammdaten[[Rank Verteilung Krümmung]:[Verteilung Krümmung]],2,FALSE)</f>
        <v>#N/A</v>
      </c>
      <c r="Z3521">
        <v>3512</v>
      </c>
      <c r="AA3521" t="e">
        <f>INDEX(Stammdaten[Ovalität (']0,1'])],MATCH(Tabelle1014[[#This Row],[Rank]],Stammdaten[Rank Verteilung Ovalität],0))</f>
        <v>#N/A</v>
      </c>
      <c r="AB3521" t="e">
        <f>VLOOKUP(Tabelle1014[[#This Row],[Rank]],Stammdaten[[Rank Verteilung Ovalität]:[Verteilung Ovalität]],2,FALSE)</f>
        <v>#N/A</v>
      </c>
    </row>
    <row r="3522" spans="5:28" x14ac:dyDescent="0.35">
      <c r="E3522">
        <v>3513</v>
      </c>
      <c r="F3522" t="e">
        <f>INDEX(Stammdaten[D Mitte mit Rinde (mm)],MATCH(Tabelle8[[#This Row],[Rank]],Stammdaten[Rank Verteilung D Mitte mit Rinde],0))</f>
        <v>#N/A</v>
      </c>
      <c r="G3522" t="e">
        <f>VLOOKUP(Tabelle8[[#This Row],[Rank]],Stammdaten[[Rank Verteilung D Mitte mit Rinde]:[Verteilung D Mitte mit Rinde]],2,FALSE)</f>
        <v>#N/A</v>
      </c>
      <c r="L3522">
        <v>3513</v>
      </c>
      <c r="M3522" t="e">
        <f>INDEX(Stammdaten[Abholzigkeit (mm/lfm)],MATCH(Tabelle9[[#This Row],[Rank]],Stammdaten[Rank Verteilung Abholzigkeit],0))</f>
        <v>#N/A</v>
      </c>
      <c r="N3522" t="e">
        <f>VLOOKUP(Tabelle9[[#This Row],[Rank]],Stammdaten[[Rank Verteilung Abholzigkeit]:[Verteilung Abholzigkeit]],2,FALSE)</f>
        <v>#N/A</v>
      </c>
      <c r="S3522">
        <v>3513</v>
      </c>
      <c r="T3522" t="e">
        <f>INDEX(Stammdaten[Krümmung (mm/lfm)],MATCH(Tabelle10[[#This Row],[Rank]],Stammdaten[Rank Verteilung Krümmung],0))</f>
        <v>#N/A</v>
      </c>
      <c r="U3522" t="e">
        <f>VLOOKUP(Tabelle10[[#This Row],[Rank]],Stammdaten[[Rank Verteilung Krümmung]:[Verteilung Krümmung]],2,FALSE)</f>
        <v>#N/A</v>
      </c>
      <c r="Z3522">
        <v>3513</v>
      </c>
      <c r="AA3522" t="e">
        <f>INDEX(Stammdaten[Ovalität (']0,1'])],MATCH(Tabelle1014[[#This Row],[Rank]],Stammdaten[Rank Verteilung Ovalität],0))</f>
        <v>#N/A</v>
      </c>
      <c r="AB3522" t="e">
        <f>VLOOKUP(Tabelle1014[[#This Row],[Rank]],Stammdaten[[Rank Verteilung Ovalität]:[Verteilung Ovalität]],2,FALSE)</f>
        <v>#N/A</v>
      </c>
    </row>
    <row r="3523" spans="5:28" x14ac:dyDescent="0.35">
      <c r="E3523">
        <v>3514</v>
      </c>
      <c r="F3523" t="e">
        <f>INDEX(Stammdaten[D Mitte mit Rinde (mm)],MATCH(Tabelle8[[#This Row],[Rank]],Stammdaten[Rank Verteilung D Mitte mit Rinde],0))</f>
        <v>#N/A</v>
      </c>
      <c r="G3523" t="e">
        <f>VLOOKUP(Tabelle8[[#This Row],[Rank]],Stammdaten[[Rank Verteilung D Mitte mit Rinde]:[Verteilung D Mitte mit Rinde]],2,FALSE)</f>
        <v>#N/A</v>
      </c>
      <c r="L3523">
        <v>3514</v>
      </c>
      <c r="M3523" t="e">
        <f>INDEX(Stammdaten[Abholzigkeit (mm/lfm)],MATCH(Tabelle9[[#This Row],[Rank]],Stammdaten[Rank Verteilung Abholzigkeit],0))</f>
        <v>#N/A</v>
      </c>
      <c r="N3523" t="e">
        <f>VLOOKUP(Tabelle9[[#This Row],[Rank]],Stammdaten[[Rank Verteilung Abholzigkeit]:[Verteilung Abholzigkeit]],2,FALSE)</f>
        <v>#N/A</v>
      </c>
      <c r="S3523">
        <v>3514</v>
      </c>
      <c r="T3523" t="e">
        <f>INDEX(Stammdaten[Krümmung (mm/lfm)],MATCH(Tabelle10[[#This Row],[Rank]],Stammdaten[Rank Verteilung Krümmung],0))</f>
        <v>#N/A</v>
      </c>
      <c r="U3523" t="e">
        <f>VLOOKUP(Tabelle10[[#This Row],[Rank]],Stammdaten[[Rank Verteilung Krümmung]:[Verteilung Krümmung]],2,FALSE)</f>
        <v>#N/A</v>
      </c>
      <c r="Z3523">
        <v>3514</v>
      </c>
      <c r="AA3523" t="e">
        <f>INDEX(Stammdaten[Ovalität (']0,1'])],MATCH(Tabelle1014[[#This Row],[Rank]],Stammdaten[Rank Verteilung Ovalität],0))</f>
        <v>#N/A</v>
      </c>
      <c r="AB3523" t="e">
        <f>VLOOKUP(Tabelle1014[[#This Row],[Rank]],Stammdaten[[Rank Verteilung Ovalität]:[Verteilung Ovalität]],2,FALSE)</f>
        <v>#N/A</v>
      </c>
    </row>
    <row r="3524" spans="5:28" x14ac:dyDescent="0.35">
      <c r="E3524">
        <v>3515</v>
      </c>
      <c r="F3524" t="e">
        <f>INDEX(Stammdaten[D Mitte mit Rinde (mm)],MATCH(Tabelle8[[#This Row],[Rank]],Stammdaten[Rank Verteilung D Mitte mit Rinde],0))</f>
        <v>#N/A</v>
      </c>
      <c r="G3524" t="e">
        <f>VLOOKUP(Tabelle8[[#This Row],[Rank]],Stammdaten[[Rank Verteilung D Mitte mit Rinde]:[Verteilung D Mitte mit Rinde]],2,FALSE)</f>
        <v>#N/A</v>
      </c>
      <c r="L3524">
        <v>3515</v>
      </c>
      <c r="M3524" t="e">
        <f>INDEX(Stammdaten[Abholzigkeit (mm/lfm)],MATCH(Tabelle9[[#This Row],[Rank]],Stammdaten[Rank Verteilung Abholzigkeit],0))</f>
        <v>#N/A</v>
      </c>
      <c r="N3524" t="e">
        <f>VLOOKUP(Tabelle9[[#This Row],[Rank]],Stammdaten[[Rank Verteilung Abholzigkeit]:[Verteilung Abholzigkeit]],2,FALSE)</f>
        <v>#N/A</v>
      </c>
      <c r="S3524">
        <v>3515</v>
      </c>
      <c r="T3524" t="e">
        <f>INDEX(Stammdaten[Krümmung (mm/lfm)],MATCH(Tabelle10[[#This Row],[Rank]],Stammdaten[Rank Verteilung Krümmung],0))</f>
        <v>#N/A</v>
      </c>
      <c r="U3524" t="e">
        <f>VLOOKUP(Tabelle10[[#This Row],[Rank]],Stammdaten[[Rank Verteilung Krümmung]:[Verteilung Krümmung]],2,FALSE)</f>
        <v>#N/A</v>
      </c>
      <c r="Z3524">
        <v>3515</v>
      </c>
      <c r="AA3524" t="e">
        <f>INDEX(Stammdaten[Ovalität (']0,1'])],MATCH(Tabelle1014[[#This Row],[Rank]],Stammdaten[Rank Verteilung Ovalität],0))</f>
        <v>#N/A</v>
      </c>
      <c r="AB3524" t="e">
        <f>VLOOKUP(Tabelle1014[[#This Row],[Rank]],Stammdaten[[Rank Verteilung Ovalität]:[Verteilung Ovalität]],2,FALSE)</f>
        <v>#N/A</v>
      </c>
    </row>
    <row r="3525" spans="5:28" x14ac:dyDescent="0.35">
      <c r="E3525">
        <v>3516</v>
      </c>
      <c r="F3525" t="e">
        <f>INDEX(Stammdaten[D Mitte mit Rinde (mm)],MATCH(Tabelle8[[#This Row],[Rank]],Stammdaten[Rank Verteilung D Mitte mit Rinde],0))</f>
        <v>#N/A</v>
      </c>
      <c r="G3525" t="e">
        <f>VLOOKUP(Tabelle8[[#This Row],[Rank]],Stammdaten[[Rank Verteilung D Mitte mit Rinde]:[Verteilung D Mitte mit Rinde]],2,FALSE)</f>
        <v>#N/A</v>
      </c>
      <c r="L3525">
        <v>3516</v>
      </c>
      <c r="M3525" t="e">
        <f>INDEX(Stammdaten[Abholzigkeit (mm/lfm)],MATCH(Tabelle9[[#This Row],[Rank]],Stammdaten[Rank Verteilung Abholzigkeit],0))</f>
        <v>#N/A</v>
      </c>
      <c r="N3525" t="e">
        <f>VLOOKUP(Tabelle9[[#This Row],[Rank]],Stammdaten[[Rank Verteilung Abholzigkeit]:[Verteilung Abholzigkeit]],2,FALSE)</f>
        <v>#N/A</v>
      </c>
      <c r="S3525">
        <v>3516</v>
      </c>
      <c r="T3525" t="e">
        <f>INDEX(Stammdaten[Krümmung (mm/lfm)],MATCH(Tabelle10[[#This Row],[Rank]],Stammdaten[Rank Verteilung Krümmung],0))</f>
        <v>#N/A</v>
      </c>
      <c r="U3525" t="e">
        <f>VLOOKUP(Tabelle10[[#This Row],[Rank]],Stammdaten[[Rank Verteilung Krümmung]:[Verteilung Krümmung]],2,FALSE)</f>
        <v>#N/A</v>
      </c>
      <c r="Z3525">
        <v>3516</v>
      </c>
      <c r="AA3525" t="e">
        <f>INDEX(Stammdaten[Ovalität (']0,1'])],MATCH(Tabelle1014[[#This Row],[Rank]],Stammdaten[Rank Verteilung Ovalität],0))</f>
        <v>#N/A</v>
      </c>
      <c r="AB3525" t="e">
        <f>VLOOKUP(Tabelle1014[[#This Row],[Rank]],Stammdaten[[Rank Verteilung Ovalität]:[Verteilung Ovalität]],2,FALSE)</f>
        <v>#N/A</v>
      </c>
    </row>
    <row r="3526" spans="5:28" x14ac:dyDescent="0.35">
      <c r="E3526">
        <v>3517</v>
      </c>
      <c r="F3526" t="e">
        <f>INDEX(Stammdaten[D Mitte mit Rinde (mm)],MATCH(Tabelle8[[#This Row],[Rank]],Stammdaten[Rank Verteilung D Mitte mit Rinde],0))</f>
        <v>#N/A</v>
      </c>
      <c r="G3526" t="e">
        <f>VLOOKUP(Tabelle8[[#This Row],[Rank]],Stammdaten[[Rank Verteilung D Mitte mit Rinde]:[Verteilung D Mitte mit Rinde]],2,FALSE)</f>
        <v>#N/A</v>
      </c>
      <c r="L3526">
        <v>3517</v>
      </c>
      <c r="M3526" t="e">
        <f>INDEX(Stammdaten[Abholzigkeit (mm/lfm)],MATCH(Tabelle9[[#This Row],[Rank]],Stammdaten[Rank Verteilung Abholzigkeit],0))</f>
        <v>#N/A</v>
      </c>
      <c r="N3526" t="e">
        <f>VLOOKUP(Tabelle9[[#This Row],[Rank]],Stammdaten[[Rank Verteilung Abholzigkeit]:[Verteilung Abholzigkeit]],2,FALSE)</f>
        <v>#N/A</v>
      </c>
      <c r="S3526">
        <v>3517</v>
      </c>
      <c r="T3526" t="e">
        <f>INDEX(Stammdaten[Krümmung (mm/lfm)],MATCH(Tabelle10[[#This Row],[Rank]],Stammdaten[Rank Verteilung Krümmung],0))</f>
        <v>#N/A</v>
      </c>
      <c r="U3526" t="e">
        <f>VLOOKUP(Tabelle10[[#This Row],[Rank]],Stammdaten[[Rank Verteilung Krümmung]:[Verteilung Krümmung]],2,FALSE)</f>
        <v>#N/A</v>
      </c>
      <c r="Z3526">
        <v>3517</v>
      </c>
      <c r="AA3526" t="e">
        <f>INDEX(Stammdaten[Ovalität (']0,1'])],MATCH(Tabelle1014[[#This Row],[Rank]],Stammdaten[Rank Verteilung Ovalität],0))</f>
        <v>#N/A</v>
      </c>
      <c r="AB3526" t="e">
        <f>VLOOKUP(Tabelle1014[[#This Row],[Rank]],Stammdaten[[Rank Verteilung Ovalität]:[Verteilung Ovalität]],2,FALSE)</f>
        <v>#N/A</v>
      </c>
    </row>
    <row r="3527" spans="5:28" x14ac:dyDescent="0.35">
      <c r="E3527">
        <v>3518</v>
      </c>
      <c r="F3527" t="e">
        <f>INDEX(Stammdaten[D Mitte mit Rinde (mm)],MATCH(Tabelle8[[#This Row],[Rank]],Stammdaten[Rank Verteilung D Mitte mit Rinde],0))</f>
        <v>#N/A</v>
      </c>
      <c r="G3527" t="e">
        <f>VLOOKUP(Tabelle8[[#This Row],[Rank]],Stammdaten[[Rank Verteilung D Mitte mit Rinde]:[Verteilung D Mitte mit Rinde]],2,FALSE)</f>
        <v>#N/A</v>
      </c>
      <c r="L3527">
        <v>3518</v>
      </c>
      <c r="M3527" t="e">
        <f>INDEX(Stammdaten[Abholzigkeit (mm/lfm)],MATCH(Tabelle9[[#This Row],[Rank]],Stammdaten[Rank Verteilung Abholzigkeit],0))</f>
        <v>#N/A</v>
      </c>
      <c r="N3527" t="e">
        <f>VLOOKUP(Tabelle9[[#This Row],[Rank]],Stammdaten[[Rank Verteilung Abholzigkeit]:[Verteilung Abholzigkeit]],2,FALSE)</f>
        <v>#N/A</v>
      </c>
      <c r="S3527">
        <v>3518</v>
      </c>
      <c r="T3527" t="e">
        <f>INDEX(Stammdaten[Krümmung (mm/lfm)],MATCH(Tabelle10[[#This Row],[Rank]],Stammdaten[Rank Verteilung Krümmung],0))</f>
        <v>#N/A</v>
      </c>
      <c r="U3527" t="e">
        <f>VLOOKUP(Tabelle10[[#This Row],[Rank]],Stammdaten[[Rank Verteilung Krümmung]:[Verteilung Krümmung]],2,FALSE)</f>
        <v>#N/A</v>
      </c>
      <c r="Z3527">
        <v>3518</v>
      </c>
      <c r="AA3527" t="e">
        <f>INDEX(Stammdaten[Ovalität (']0,1'])],MATCH(Tabelle1014[[#This Row],[Rank]],Stammdaten[Rank Verteilung Ovalität],0))</f>
        <v>#N/A</v>
      </c>
      <c r="AB3527" t="e">
        <f>VLOOKUP(Tabelle1014[[#This Row],[Rank]],Stammdaten[[Rank Verteilung Ovalität]:[Verteilung Ovalität]],2,FALSE)</f>
        <v>#N/A</v>
      </c>
    </row>
    <row r="3528" spans="5:28" x14ac:dyDescent="0.35">
      <c r="E3528">
        <v>3519</v>
      </c>
      <c r="F3528" t="e">
        <f>INDEX(Stammdaten[D Mitte mit Rinde (mm)],MATCH(Tabelle8[[#This Row],[Rank]],Stammdaten[Rank Verteilung D Mitte mit Rinde],0))</f>
        <v>#N/A</v>
      </c>
      <c r="G3528" t="e">
        <f>VLOOKUP(Tabelle8[[#This Row],[Rank]],Stammdaten[[Rank Verteilung D Mitte mit Rinde]:[Verteilung D Mitte mit Rinde]],2,FALSE)</f>
        <v>#N/A</v>
      </c>
      <c r="L3528">
        <v>3519</v>
      </c>
      <c r="M3528" t="e">
        <f>INDEX(Stammdaten[Abholzigkeit (mm/lfm)],MATCH(Tabelle9[[#This Row],[Rank]],Stammdaten[Rank Verteilung Abholzigkeit],0))</f>
        <v>#N/A</v>
      </c>
      <c r="N3528" t="e">
        <f>VLOOKUP(Tabelle9[[#This Row],[Rank]],Stammdaten[[Rank Verteilung Abholzigkeit]:[Verteilung Abholzigkeit]],2,FALSE)</f>
        <v>#N/A</v>
      </c>
      <c r="S3528">
        <v>3519</v>
      </c>
      <c r="T3528" t="e">
        <f>INDEX(Stammdaten[Krümmung (mm/lfm)],MATCH(Tabelle10[[#This Row],[Rank]],Stammdaten[Rank Verteilung Krümmung],0))</f>
        <v>#N/A</v>
      </c>
      <c r="U3528" t="e">
        <f>VLOOKUP(Tabelle10[[#This Row],[Rank]],Stammdaten[[Rank Verteilung Krümmung]:[Verteilung Krümmung]],2,FALSE)</f>
        <v>#N/A</v>
      </c>
      <c r="Z3528">
        <v>3519</v>
      </c>
      <c r="AA3528" t="e">
        <f>INDEX(Stammdaten[Ovalität (']0,1'])],MATCH(Tabelle1014[[#This Row],[Rank]],Stammdaten[Rank Verteilung Ovalität],0))</f>
        <v>#N/A</v>
      </c>
      <c r="AB3528" t="e">
        <f>VLOOKUP(Tabelle1014[[#This Row],[Rank]],Stammdaten[[Rank Verteilung Ovalität]:[Verteilung Ovalität]],2,FALSE)</f>
        <v>#N/A</v>
      </c>
    </row>
    <row r="3529" spans="5:28" x14ac:dyDescent="0.35">
      <c r="E3529">
        <v>3520</v>
      </c>
      <c r="F3529" t="e">
        <f>INDEX(Stammdaten[D Mitte mit Rinde (mm)],MATCH(Tabelle8[[#This Row],[Rank]],Stammdaten[Rank Verteilung D Mitte mit Rinde],0))</f>
        <v>#N/A</v>
      </c>
      <c r="G3529" t="e">
        <f>VLOOKUP(Tabelle8[[#This Row],[Rank]],Stammdaten[[Rank Verteilung D Mitte mit Rinde]:[Verteilung D Mitte mit Rinde]],2,FALSE)</f>
        <v>#N/A</v>
      </c>
      <c r="L3529">
        <v>3520</v>
      </c>
      <c r="M3529" t="e">
        <f>INDEX(Stammdaten[Abholzigkeit (mm/lfm)],MATCH(Tabelle9[[#This Row],[Rank]],Stammdaten[Rank Verteilung Abholzigkeit],0))</f>
        <v>#N/A</v>
      </c>
      <c r="N3529" t="e">
        <f>VLOOKUP(Tabelle9[[#This Row],[Rank]],Stammdaten[[Rank Verteilung Abholzigkeit]:[Verteilung Abholzigkeit]],2,FALSE)</f>
        <v>#N/A</v>
      </c>
      <c r="S3529">
        <v>3520</v>
      </c>
      <c r="T3529" t="e">
        <f>INDEX(Stammdaten[Krümmung (mm/lfm)],MATCH(Tabelle10[[#This Row],[Rank]],Stammdaten[Rank Verteilung Krümmung],0))</f>
        <v>#N/A</v>
      </c>
      <c r="U3529" t="e">
        <f>VLOOKUP(Tabelle10[[#This Row],[Rank]],Stammdaten[[Rank Verteilung Krümmung]:[Verteilung Krümmung]],2,FALSE)</f>
        <v>#N/A</v>
      </c>
      <c r="Z3529">
        <v>3520</v>
      </c>
      <c r="AA3529" t="e">
        <f>INDEX(Stammdaten[Ovalität (']0,1'])],MATCH(Tabelle1014[[#This Row],[Rank]],Stammdaten[Rank Verteilung Ovalität],0))</f>
        <v>#N/A</v>
      </c>
      <c r="AB3529" t="e">
        <f>VLOOKUP(Tabelle1014[[#This Row],[Rank]],Stammdaten[[Rank Verteilung Ovalität]:[Verteilung Ovalität]],2,FALSE)</f>
        <v>#N/A</v>
      </c>
    </row>
    <row r="3530" spans="5:28" x14ac:dyDescent="0.35">
      <c r="E3530">
        <v>3521</v>
      </c>
      <c r="F3530" t="e">
        <f>INDEX(Stammdaten[D Mitte mit Rinde (mm)],MATCH(Tabelle8[[#This Row],[Rank]],Stammdaten[Rank Verteilung D Mitte mit Rinde],0))</f>
        <v>#N/A</v>
      </c>
      <c r="G3530" t="e">
        <f>VLOOKUP(Tabelle8[[#This Row],[Rank]],Stammdaten[[Rank Verteilung D Mitte mit Rinde]:[Verteilung D Mitte mit Rinde]],2,FALSE)</f>
        <v>#N/A</v>
      </c>
      <c r="L3530">
        <v>3521</v>
      </c>
      <c r="M3530" t="e">
        <f>INDEX(Stammdaten[Abholzigkeit (mm/lfm)],MATCH(Tabelle9[[#This Row],[Rank]],Stammdaten[Rank Verteilung Abholzigkeit],0))</f>
        <v>#N/A</v>
      </c>
      <c r="N3530" t="e">
        <f>VLOOKUP(Tabelle9[[#This Row],[Rank]],Stammdaten[[Rank Verteilung Abholzigkeit]:[Verteilung Abholzigkeit]],2,FALSE)</f>
        <v>#N/A</v>
      </c>
      <c r="S3530">
        <v>3521</v>
      </c>
      <c r="T3530" t="e">
        <f>INDEX(Stammdaten[Krümmung (mm/lfm)],MATCH(Tabelle10[[#This Row],[Rank]],Stammdaten[Rank Verteilung Krümmung],0))</f>
        <v>#N/A</v>
      </c>
      <c r="U3530" t="e">
        <f>VLOOKUP(Tabelle10[[#This Row],[Rank]],Stammdaten[[Rank Verteilung Krümmung]:[Verteilung Krümmung]],2,FALSE)</f>
        <v>#N/A</v>
      </c>
      <c r="Z3530">
        <v>3521</v>
      </c>
      <c r="AA3530" t="e">
        <f>INDEX(Stammdaten[Ovalität (']0,1'])],MATCH(Tabelle1014[[#This Row],[Rank]],Stammdaten[Rank Verteilung Ovalität],0))</f>
        <v>#N/A</v>
      </c>
      <c r="AB3530" t="e">
        <f>VLOOKUP(Tabelle1014[[#This Row],[Rank]],Stammdaten[[Rank Verteilung Ovalität]:[Verteilung Ovalität]],2,FALSE)</f>
        <v>#N/A</v>
      </c>
    </row>
    <row r="3531" spans="5:28" x14ac:dyDescent="0.35">
      <c r="E3531">
        <v>3522</v>
      </c>
      <c r="F3531" t="e">
        <f>INDEX(Stammdaten[D Mitte mit Rinde (mm)],MATCH(Tabelle8[[#This Row],[Rank]],Stammdaten[Rank Verteilung D Mitte mit Rinde],0))</f>
        <v>#N/A</v>
      </c>
      <c r="G3531" t="e">
        <f>VLOOKUP(Tabelle8[[#This Row],[Rank]],Stammdaten[[Rank Verteilung D Mitte mit Rinde]:[Verteilung D Mitte mit Rinde]],2,FALSE)</f>
        <v>#N/A</v>
      </c>
      <c r="L3531">
        <v>3522</v>
      </c>
      <c r="M3531" t="e">
        <f>INDEX(Stammdaten[Abholzigkeit (mm/lfm)],MATCH(Tabelle9[[#This Row],[Rank]],Stammdaten[Rank Verteilung Abholzigkeit],0))</f>
        <v>#N/A</v>
      </c>
      <c r="N3531" t="e">
        <f>VLOOKUP(Tabelle9[[#This Row],[Rank]],Stammdaten[[Rank Verteilung Abholzigkeit]:[Verteilung Abholzigkeit]],2,FALSE)</f>
        <v>#N/A</v>
      </c>
      <c r="S3531">
        <v>3522</v>
      </c>
      <c r="T3531" t="e">
        <f>INDEX(Stammdaten[Krümmung (mm/lfm)],MATCH(Tabelle10[[#This Row],[Rank]],Stammdaten[Rank Verteilung Krümmung],0))</f>
        <v>#N/A</v>
      </c>
      <c r="U3531" t="e">
        <f>VLOOKUP(Tabelle10[[#This Row],[Rank]],Stammdaten[[Rank Verteilung Krümmung]:[Verteilung Krümmung]],2,FALSE)</f>
        <v>#N/A</v>
      </c>
      <c r="Z3531">
        <v>3522</v>
      </c>
      <c r="AA3531" t="e">
        <f>INDEX(Stammdaten[Ovalität (']0,1'])],MATCH(Tabelle1014[[#This Row],[Rank]],Stammdaten[Rank Verteilung Ovalität],0))</f>
        <v>#N/A</v>
      </c>
      <c r="AB3531" t="e">
        <f>VLOOKUP(Tabelle1014[[#This Row],[Rank]],Stammdaten[[Rank Verteilung Ovalität]:[Verteilung Ovalität]],2,FALSE)</f>
        <v>#N/A</v>
      </c>
    </row>
    <row r="3532" spans="5:28" x14ac:dyDescent="0.35">
      <c r="E3532">
        <v>3523</v>
      </c>
      <c r="F3532" t="e">
        <f>INDEX(Stammdaten[D Mitte mit Rinde (mm)],MATCH(Tabelle8[[#This Row],[Rank]],Stammdaten[Rank Verteilung D Mitte mit Rinde],0))</f>
        <v>#N/A</v>
      </c>
      <c r="G3532" t="e">
        <f>VLOOKUP(Tabelle8[[#This Row],[Rank]],Stammdaten[[Rank Verteilung D Mitte mit Rinde]:[Verteilung D Mitte mit Rinde]],2,FALSE)</f>
        <v>#N/A</v>
      </c>
      <c r="L3532">
        <v>3523</v>
      </c>
      <c r="M3532" t="e">
        <f>INDEX(Stammdaten[Abholzigkeit (mm/lfm)],MATCH(Tabelle9[[#This Row],[Rank]],Stammdaten[Rank Verteilung Abholzigkeit],0))</f>
        <v>#N/A</v>
      </c>
      <c r="N3532" t="e">
        <f>VLOOKUP(Tabelle9[[#This Row],[Rank]],Stammdaten[[Rank Verteilung Abholzigkeit]:[Verteilung Abholzigkeit]],2,FALSE)</f>
        <v>#N/A</v>
      </c>
      <c r="S3532">
        <v>3523</v>
      </c>
      <c r="T3532" t="e">
        <f>INDEX(Stammdaten[Krümmung (mm/lfm)],MATCH(Tabelle10[[#This Row],[Rank]],Stammdaten[Rank Verteilung Krümmung],0))</f>
        <v>#N/A</v>
      </c>
      <c r="U3532" t="e">
        <f>VLOOKUP(Tabelle10[[#This Row],[Rank]],Stammdaten[[Rank Verteilung Krümmung]:[Verteilung Krümmung]],2,FALSE)</f>
        <v>#N/A</v>
      </c>
      <c r="Z3532">
        <v>3523</v>
      </c>
      <c r="AA3532" t="e">
        <f>INDEX(Stammdaten[Ovalität (']0,1'])],MATCH(Tabelle1014[[#This Row],[Rank]],Stammdaten[Rank Verteilung Ovalität],0))</f>
        <v>#N/A</v>
      </c>
      <c r="AB3532" t="e">
        <f>VLOOKUP(Tabelle1014[[#This Row],[Rank]],Stammdaten[[Rank Verteilung Ovalität]:[Verteilung Ovalität]],2,FALSE)</f>
        <v>#N/A</v>
      </c>
    </row>
    <row r="3533" spans="5:28" x14ac:dyDescent="0.35">
      <c r="E3533">
        <v>3524</v>
      </c>
      <c r="F3533" t="e">
        <f>INDEX(Stammdaten[D Mitte mit Rinde (mm)],MATCH(Tabelle8[[#This Row],[Rank]],Stammdaten[Rank Verteilung D Mitte mit Rinde],0))</f>
        <v>#N/A</v>
      </c>
      <c r="G3533" t="e">
        <f>VLOOKUP(Tabelle8[[#This Row],[Rank]],Stammdaten[[Rank Verteilung D Mitte mit Rinde]:[Verteilung D Mitte mit Rinde]],2,FALSE)</f>
        <v>#N/A</v>
      </c>
      <c r="L3533">
        <v>3524</v>
      </c>
      <c r="M3533" t="e">
        <f>INDEX(Stammdaten[Abholzigkeit (mm/lfm)],MATCH(Tabelle9[[#This Row],[Rank]],Stammdaten[Rank Verteilung Abholzigkeit],0))</f>
        <v>#N/A</v>
      </c>
      <c r="N3533" t="e">
        <f>VLOOKUP(Tabelle9[[#This Row],[Rank]],Stammdaten[[Rank Verteilung Abholzigkeit]:[Verteilung Abholzigkeit]],2,FALSE)</f>
        <v>#N/A</v>
      </c>
      <c r="S3533">
        <v>3524</v>
      </c>
      <c r="T3533" t="e">
        <f>INDEX(Stammdaten[Krümmung (mm/lfm)],MATCH(Tabelle10[[#This Row],[Rank]],Stammdaten[Rank Verteilung Krümmung],0))</f>
        <v>#N/A</v>
      </c>
      <c r="U3533" t="e">
        <f>VLOOKUP(Tabelle10[[#This Row],[Rank]],Stammdaten[[Rank Verteilung Krümmung]:[Verteilung Krümmung]],2,FALSE)</f>
        <v>#N/A</v>
      </c>
      <c r="Z3533">
        <v>3524</v>
      </c>
      <c r="AA3533" t="e">
        <f>INDEX(Stammdaten[Ovalität (']0,1'])],MATCH(Tabelle1014[[#This Row],[Rank]],Stammdaten[Rank Verteilung Ovalität],0))</f>
        <v>#N/A</v>
      </c>
      <c r="AB3533" t="e">
        <f>VLOOKUP(Tabelle1014[[#This Row],[Rank]],Stammdaten[[Rank Verteilung Ovalität]:[Verteilung Ovalität]],2,FALSE)</f>
        <v>#N/A</v>
      </c>
    </row>
    <row r="3534" spans="5:28" x14ac:dyDescent="0.35">
      <c r="E3534">
        <v>3525</v>
      </c>
      <c r="F3534" t="e">
        <f>INDEX(Stammdaten[D Mitte mit Rinde (mm)],MATCH(Tabelle8[[#This Row],[Rank]],Stammdaten[Rank Verteilung D Mitte mit Rinde],0))</f>
        <v>#N/A</v>
      </c>
      <c r="G3534" t="e">
        <f>VLOOKUP(Tabelle8[[#This Row],[Rank]],Stammdaten[[Rank Verteilung D Mitte mit Rinde]:[Verteilung D Mitte mit Rinde]],2,FALSE)</f>
        <v>#N/A</v>
      </c>
      <c r="L3534">
        <v>3525</v>
      </c>
      <c r="M3534" t="e">
        <f>INDEX(Stammdaten[Abholzigkeit (mm/lfm)],MATCH(Tabelle9[[#This Row],[Rank]],Stammdaten[Rank Verteilung Abholzigkeit],0))</f>
        <v>#N/A</v>
      </c>
      <c r="N3534" t="e">
        <f>VLOOKUP(Tabelle9[[#This Row],[Rank]],Stammdaten[[Rank Verteilung Abholzigkeit]:[Verteilung Abholzigkeit]],2,FALSE)</f>
        <v>#N/A</v>
      </c>
      <c r="S3534">
        <v>3525</v>
      </c>
      <c r="T3534" t="e">
        <f>INDEX(Stammdaten[Krümmung (mm/lfm)],MATCH(Tabelle10[[#This Row],[Rank]],Stammdaten[Rank Verteilung Krümmung],0))</f>
        <v>#N/A</v>
      </c>
      <c r="U3534" t="e">
        <f>VLOOKUP(Tabelle10[[#This Row],[Rank]],Stammdaten[[Rank Verteilung Krümmung]:[Verteilung Krümmung]],2,FALSE)</f>
        <v>#N/A</v>
      </c>
      <c r="Z3534">
        <v>3525</v>
      </c>
      <c r="AA3534" t="e">
        <f>INDEX(Stammdaten[Ovalität (']0,1'])],MATCH(Tabelle1014[[#This Row],[Rank]],Stammdaten[Rank Verteilung Ovalität],0))</f>
        <v>#N/A</v>
      </c>
      <c r="AB3534" t="e">
        <f>VLOOKUP(Tabelle1014[[#This Row],[Rank]],Stammdaten[[Rank Verteilung Ovalität]:[Verteilung Ovalität]],2,FALSE)</f>
        <v>#N/A</v>
      </c>
    </row>
    <row r="3535" spans="5:28" x14ac:dyDescent="0.35">
      <c r="E3535">
        <v>3526</v>
      </c>
      <c r="F3535" t="e">
        <f>INDEX(Stammdaten[D Mitte mit Rinde (mm)],MATCH(Tabelle8[[#This Row],[Rank]],Stammdaten[Rank Verteilung D Mitte mit Rinde],0))</f>
        <v>#N/A</v>
      </c>
      <c r="G3535" t="e">
        <f>VLOOKUP(Tabelle8[[#This Row],[Rank]],Stammdaten[[Rank Verteilung D Mitte mit Rinde]:[Verteilung D Mitte mit Rinde]],2,FALSE)</f>
        <v>#N/A</v>
      </c>
      <c r="L3535">
        <v>3526</v>
      </c>
      <c r="M3535" t="e">
        <f>INDEX(Stammdaten[Abholzigkeit (mm/lfm)],MATCH(Tabelle9[[#This Row],[Rank]],Stammdaten[Rank Verteilung Abholzigkeit],0))</f>
        <v>#N/A</v>
      </c>
      <c r="N3535" t="e">
        <f>VLOOKUP(Tabelle9[[#This Row],[Rank]],Stammdaten[[Rank Verteilung Abholzigkeit]:[Verteilung Abholzigkeit]],2,FALSE)</f>
        <v>#N/A</v>
      </c>
      <c r="S3535">
        <v>3526</v>
      </c>
      <c r="T3535" t="e">
        <f>INDEX(Stammdaten[Krümmung (mm/lfm)],MATCH(Tabelle10[[#This Row],[Rank]],Stammdaten[Rank Verteilung Krümmung],0))</f>
        <v>#N/A</v>
      </c>
      <c r="U3535" t="e">
        <f>VLOOKUP(Tabelle10[[#This Row],[Rank]],Stammdaten[[Rank Verteilung Krümmung]:[Verteilung Krümmung]],2,FALSE)</f>
        <v>#N/A</v>
      </c>
      <c r="Z3535">
        <v>3526</v>
      </c>
      <c r="AA3535" t="e">
        <f>INDEX(Stammdaten[Ovalität (']0,1'])],MATCH(Tabelle1014[[#This Row],[Rank]],Stammdaten[Rank Verteilung Ovalität],0))</f>
        <v>#N/A</v>
      </c>
      <c r="AB3535" t="e">
        <f>VLOOKUP(Tabelle1014[[#This Row],[Rank]],Stammdaten[[Rank Verteilung Ovalität]:[Verteilung Ovalität]],2,FALSE)</f>
        <v>#N/A</v>
      </c>
    </row>
    <row r="3536" spans="5:28" x14ac:dyDescent="0.35">
      <c r="E3536">
        <v>3527</v>
      </c>
      <c r="F3536" t="e">
        <f>INDEX(Stammdaten[D Mitte mit Rinde (mm)],MATCH(Tabelle8[[#This Row],[Rank]],Stammdaten[Rank Verteilung D Mitte mit Rinde],0))</f>
        <v>#N/A</v>
      </c>
      <c r="G3536" t="e">
        <f>VLOOKUP(Tabelle8[[#This Row],[Rank]],Stammdaten[[Rank Verteilung D Mitte mit Rinde]:[Verteilung D Mitte mit Rinde]],2,FALSE)</f>
        <v>#N/A</v>
      </c>
      <c r="L3536">
        <v>3527</v>
      </c>
      <c r="M3536" t="e">
        <f>INDEX(Stammdaten[Abholzigkeit (mm/lfm)],MATCH(Tabelle9[[#This Row],[Rank]],Stammdaten[Rank Verteilung Abholzigkeit],0))</f>
        <v>#N/A</v>
      </c>
      <c r="N3536" t="e">
        <f>VLOOKUP(Tabelle9[[#This Row],[Rank]],Stammdaten[[Rank Verteilung Abholzigkeit]:[Verteilung Abholzigkeit]],2,FALSE)</f>
        <v>#N/A</v>
      </c>
      <c r="S3536">
        <v>3527</v>
      </c>
      <c r="T3536" t="e">
        <f>INDEX(Stammdaten[Krümmung (mm/lfm)],MATCH(Tabelle10[[#This Row],[Rank]],Stammdaten[Rank Verteilung Krümmung],0))</f>
        <v>#N/A</v>
      </c>
      <c r="U3536" t="e">
        <f>VLOOKUP(Tabelle10[[#This Row],[Rank]],Stammdaten[[Rank Verteilung Krümmung]:[Verteilung Krümmung]],2,FALSE)</f>
        <v>#N/A</v>
      </c>
      <c r="Z3536">
        <v>3527</v>
      </c>
      <c r="AA3536" t="e">
        <f>INDEX(Stammdaten[Ovalität (']0,1'])],MATCH(Tabelle1014[[#This Row],[Rank]],Stammdaten[Rank Verteilung Ovalität],0))</f>
        <v>#N/A</v>
      </c>
      <c r="AB3536" t="e">
        <f>VLOOKUP(Tabelle1014[[#This Row],[Rank]],Stammdaten[[Rank Verteilung Ovalität]:[Verteilung Ovalität]],2,FALSE)</f>
        <v>#N/A</v>
      </c>
    </row>
    <row r="3537" spans="5:28" x14ac:dyDescent="0.35">
      <c r="E3537">
        <v>3528</v>
      </c>
      <c r="F3537" t="e">
        <f>INDEX(Stammdaten[D Mitte mit Rinde (mm)],MATCH(Tabelle8[[#This Row],[Rank]],Stammdaten[Rank Verteilung D Mitte mit Rinde],0))</f>
        <v>#N/A</v>
      </c>
      <c r="G3537" t="e">
        <f>VLOOKUP(Tabelle8[[#This Row],[Rank]],Stammdaten[[Rank Verteilung D Mitte mit Rinde]:[Verteilung D Mitte mit Rinde]],2,FALSE)</f>
        <v>#N/A</v>
      </c>
      <c r="L3537">
        <v>3528</v>
      </c>
      <c r="M3537" t="e">
        <f>INDEX(Stammdaten[Abholzigkeit (mm/lfm)],MATCH(Tabelle9[[#This Row],[Rank]],Stammdaten[Rank Verteilung Abholzigkeit],0))</f>
        <v>#N/A</v>
      </c>
      <c r="N3537" t="e">
        <f>VLOOKUP(Tabelle9[[#This Row],[Rank]],Stammdaten[[Rank Verteilung Abholzigkeit]:[Verteilung Abholzigkeit]],2,FALSE)</f>
        <v>#N/A</v>
      </c>
      <c r="S3537">
        <v>3528</v>
      </c>
      <c r="T3537" t="e">
        <f>INDEX(Stammdaten[Krümmung (mm/lfm)],MATCH(Tabelle10[[#This Row],[Rank]],Stammdaten[Rank Verteilung Krümmung],0))</f>
        <v>#N/A</v>
      </c>
      <c r="U3537" t="e">
        <f>VLOOKUP(Tabelle10[[#This Row],[Rank]],Stammdaten[[Rank Verteilung Krümmung]:[Verteilung Krümmung]],2,FALSE)</f>
        <v>#N/A</v>
      </c>
      <c r="Z3537">
        <v>3528</v>
      </c>
      <c r="AA3537" t="e">
        <f>INDEX(Stammdaten[Ovalität (']0,1'])],MATCH(Tabelle1014[[#This Row],[Rank]],Stammdaten[Rank Verteilung Ovalität],0))</f>
        <v>#N/A</v>
      </c>
      <c r="AB3537" t="e">
        <f>VLOOKUP(Tabelle1014[[#This Row],[Rank]],Stammdaten[[Rank Verteilung Ovalität]:[Verteilung Ovalität]],2,FALSE)</f>
        <v>#N/A</v>
      </c>
    </row>
    <row r="3538" spans="5:28" x14ac:dyDescent="0.35">
      <c r="E3538">
        <v>3529</v>
      </c>
      <c r="F3538" t="e">
        <f>INDEX(Stammdaten[D Mitte mit Rinde (mm)],MATCH(Tabelle8[[#This Row],[Rank]],Stammdaten[Rank Verteilung D Mitte mit Rinde],0))</f>
        <v>#N/A</v>
      </c>
      <c r="G3538" t="e">
        <f>VLOOKUP(Tabelle8[[#This Row],[Rank]],Stammdaten[[Rank Verteilung D Mitte mit Rinde]:[Verteilung D Mitte mit Rinde]],2,FALSE)</f>
        <v>#N/A</v>
      </c>
      <c r="L3538">
        <v>3529</v>
      </c>
      <c r="M3538" t="e">
        <f>INDEX(Stammdaten[Abholzigkeit (mm/lfm)],MATCH(Tabelle9[[#This Row],[Rank]],Stammdaten[Rank Verteilung Abholzigkeit],0))</f>
        <v>#N/A</v>
      </c>
      <c r="N3538" t="e">
        <f>VLOOKUP(Tabelle9[[#This Row],[Rank]],Stammdaten[[Rank Verteilung Abholzigkeit]:[Verteilung Abholzigkeit]],2,FALSE)</f>
        <v>#N/A</v>
      </c>
      <c r="S3538">
        <v>3529</v>
      </c>
      <c r="T3538" t="e">
        <f>INDEX(Stammdaten[Krümmung (mm/lfm)],MATCH(Tabelle10[[#This Row],[Rank]],Stammdaten[Rank Verteilung Krümmung],0))</f>
        <v>#N/A</v>
      </c>
      <c r="U3538" t="e">
        <f>VLOOKUP(Tabelle10[[#This Row],[Rank]],Stammdaten[[Rank Verteilung Krümmung]:[Verteilung Krümmung]],2,FALSE)</f>
        <v>#N/A</v>
      </c>
      <c r="Z3538">
        <v>3529</v>
      </c>
      <c r="AA3538" t="e">
        <f>INDEX(Stammdaten[Ovalität (']0,1'])],MATCH(Tabelle1014[[#This Row],[Rank]],Stammdaten[Rank Verteilung Ovalität],0))</f>
        <v>#N/A</v>
      </c>
      <c r="AB3538" t="e">
        <f>VLOOKUP(Tabelle1014[[#This Row],[Rank]],Stammdaten[[Rank Verteilung Ovalität]:[Verteilung Ovalität]],2,FALSE)</f>
        <v>#N/A</v>
      </c>
    </row>
    <row r="3539" spans="5:28" x14ac:dyDescent="0.35">
      <c r="E3539">
        <v>3530</v>
      </c>
      <c r="F3539" t="e">
        <f>INDEX(Stammdaten[D Mitte mit Rinde (mm)],MATCH(Tabelle8[[#This Row],[Rank]],Stammdaten[Rank Verteilung D Mitte mit Rinde],0))</f>
        <v>#N/A</v>
      </c>
      <c r="G3539" t="e">
        <f>VLOOKUP(Tabelle8[[#This Row],[Rank]],Stammdaten[[Rank Verteilung D Mitte mit Rinde]:[Verteilung D Mitte mit Rinde]],2,FALSE)</f>
        <v>#N/A</v>
      </c>
      <c r="L3539">
        <v>3530</v>
      </c>
      <c r="M3539" t="e">
        <f>INDEX(Stammdaten[Abholzigkeit (mm/lfm)],MATCH(Tabelle9[[#This Row],[Rank]],Stammdaten[Rank Verteilung Abholzigkeit],0))</f>
        <v>#N/A</v>
      </c>
      <c r="N3539" t="e">
        <f>VLOOKUP(Tabelle9[[#This Row],[Rank]],Stammdaten[[Rank Verteilung Abholzigkeit]:[Verteilung Abholzigkeit]],2,FALSE)</f>
        <v>#N/A</v>
      </c>
      <c r="S3539">
        <v>3530</v>
      </c>
      <c r="T3539" t="e">
        <f>INDEX(Stammdaten[Krümmung (mm/lfm)],MATCH(Tabelle10[[#This Row],[Rank]],Stammdaten[Rank Verteilung Krümmung],0))</f>
        <v>#N/A</v>
      </c>
      <c r="U3539" t="e">
        <f>VLOOKUP(Tabelle10[[#This Row],[Rank]],Stammdaten[[Rank Verteilung Krümmung]:[Verteilung Krümmung]],2,FALSE)</f>
        <v>#N/A</v>
      </c>
      <c r="Z3539">
        <v>3530</v>
      </c>
      <c r="AA3539" t="e">
        <f>INDEX(Stammdaten[Ovalität (']0,1'])],MATCH(Tabelle1014[[#This Row],[Rank]],Stammdaten[Rank Verteilung Ovalität],0))</f>
        <v>#N/A</v>
      </c>
      <c r="AB3539" t="e">
        <f>VLOOKUP(Tabelle1014[[#This Row],[Rank]],Stammdaten[[Rank Verteilung Ovalität]:[Verteilung Ovalität]],2,FALSE)</f>
        <v>#N/A</v>
      </c>
    </row>
    <row r="3540" spans="5:28" x14ac:dyDescent="0.35">
      <c r="E3540">
        <v>3531</v>
      </c>
      <c r="F3540" t="e">
        <f>INDEX(Stammdaten[D Mitte mit Rinde (mm)],MATCH(Tabelle8[[#This Row],[Rank]],Stammdaten[Rank Verteilung D Mitte mit Rinde],0))</f>
        <v>#N/A</v>
      </c>
      <c r="G3540" t="e">
        <f>VLOOKUP(Tabelle8[[#This Row],[Rank]],Stammdaten[[Rank Verteilung D Mitte mit Rinde]:[Verteilung D Mitte mit Rinde]],2,FALSE)</f>
        <v>#N/A</v>
      </c>
      <c r="L3540">
        <v>3531</v>
      </c>
      <c r="M3540" t="e">
        <f>INDEX(Stammdaten[Abholzigkeit (mm/lfm)],MATCH(Tabelle9[[#This Row],[Rank]],Stammdaten[Rank Verteilung Abholzigkeit],0))</f>
        <v>#N/A</v>
      </c>
      <c r="N3540" t="e">
        <f>VLOOKUP(Tabelle9[[#This Row],[Rank]],Stammdaten[[Rank Verteilung Abholzigkeit]:[Verteilung Abholzigkeit]],2,FALSE)</f>
        <v>#N/A</v>
      </c>
      <c r="S3540">
        <v>3531</v>
      </c>
      <c r="T3540" t="e">
        <f>INDEX(Stammdaten[Krümmung (mm/lfm)],MATCH(Tabelle10[[#This Row],[Rank]],Stammdaten[Rank Verteilung Krümmung],0))</f>
        <v>#N/A</v>
      </c>
      <c r="U3540" t="e">
        <f>VLOOKUP(Tabelle10[[#This Row],[Rank]],Stammdaten[[Rank Verteilung Krümmung]:[Verteilung Krümmung]],2,FALSE)</f>
        <v>#N/A</v>
      </c>
      <c r="Z3540">
        <v>3531</v>
      </c>
      <c r="AA3540" t="e">
        <f>INDEX(Stammdaten[Ovalität (']0,1'])],MATCH(Tabelle1014[[#This Row],[Rank]],Stammdaten[Rank Verteilung Ovalität],0))</f>
        <v>#N/A</v>
      </c>
      <c r="AB3540" t="e">
        <f>VLOOKUP(Tabelle1014[[#This Row],[Rank]],Stammdaten[[Rank Verteilung Ovalität]:[Verteilung Ovalität]],2,FALSE)</f>
        <v>#N/A</v>
      </c>
    </row>
    <row r="3541" spans="5:28" x14ac:dyDescent="0.35">
      <c r="E3541">
        <v>3532</v>
      </c>
      <c r="F3541" t="e">
        <f>INDEX(Stammdaten[D Mitte mit Rinde (mm)],MATCH(Tabelle8[[#This Row],[Rank]],Stammdaten[Rank Verteilung D Mitte mit Rinde],0))</f>
        <v>#N/A</v>
      </c>
      <c r="G3541" t="e">
        <f>VLOOKUP(Tabelle8[[#This Row],[Rank]],Stammdaten[[Rank Verteilung D Mitte mit Rinde]:[Verteilung D Mitte mit Rinde]],2,FALSE)</f>
        <v>#N/A</v>
      </c>
      <c r="L3541">
        <v>3532</v>
      </c>
      <c r="M3541" t="e">
        <f>INDEX(Stammdaten[Abholzigkeit (mm/lfm)],MATCH(Tabelle9[[#This Row],[Rank]],Stammdaten[Rank Verteilung Abholzigkeit],0))</f>
        <v>#N/A</v>
      </c>
      <c r="N3541" t="e">
        <f>VLOOKUP(Tabelle9[[#This Row],[Rank]],Stammdaten[[Rank Verteilung Abholzigkeit]:[Verteilung Abholzigkeit]],2,FALSE)</f>
        <v>#N/A</v>
      </c>
      <c r="S3541">
        <v>3532</v>
      </c>
      <c r="T3541" t="e">
        <f>INDEX(Stammdaten[Krümmung (mm/lfm)],MATCH(Tabelle10[[#This Row],[Rank]],Stammdaten[Rank Verteilung Krümmung],0))</f>
        <v>#N/A</v>
      </c>
      <c r="U3541" t="e">
        <f>VLOOKUP(Tabelle10[[#This Row],[Rank]],Stammdaten[[Rank Verteilung Krümmung]:[Verteilung Krümmung]],2,FALSE)</f>
        <v>#N/A</v>
      </c>
      <c r="Z3541">
        <v>3532</v>
      </c>
      <c r="AA3541" t="e">
        <f>INDEX(Stammdaten[Ovalität (']0,1'])],MATCH(Tabelle1014[[#This Row],[Rank]],Stammdaten[Rank Verteilung Ovalität],0))</f>
        <v>#N/A</v>
      </c>
      <c r="AB3541" t="e">
        <f>VLOOKUP(Tabelle1014[[#This Row],[Rank]],Stammdaten[[Rank Verteilung Ovalität]:[Verteilung Ovalität]],2,FALSE)</f>
        <v>#N/A</v>
      </c>
    </row>
    <row r="3542" spans="5:28" x14ac:dyDescent="0.35">
      <c r="E3542">
        <v>3533</v>
      </c>
      <c r="F3542" t="e">
        <f>INDEX(Stammdaten[D Mitte mit Rinde (mm)],MATCH(Tabelle8[[#This Row],[Rank]],Stammdaten[Rank Verteilung D Mitte mit Rinde],0))</f>
        <v>#N/A</v>
      </c>
      <c r="G3542" t="e">
        <f>VLOOKUP(Tabelle8[[#This Row],[Rank]],Stammdaten[[Rank Verteilung D Mitte mit Rinde]:[Verteilung D Mitte mit Rinde]],2,FALSE)</f>
        <v>#N/A</v>
      </c>
      <c r="L3542">
        <v>3533</v>
      </c>
      <c r="M3542" t="e">
        <f>INDEX(Stammdaten[Abholzigkeit (mm/lfm)],MATCH(Tabelle9[[#This Row],[Rank]],Stammdaten[Rank Verteilung Abholzigkeit],0))</f>
        <v>#N/A</v>
      </c>
      <c r="N3542" t="e">
        <f>VLOOKUP(Tabelle9[[#This Row],[Rank]],Stammdaten[[Rank Verteilung Abholzigkeit]:[Verteilung Abholzigkeit]],2,FALSE)</f>
        <v>#N/A</v>
      </c>
      <c r="S3542">
        <v>3533</v>
      </c>
      <c r="T3542" t="e">
        <f>INDEX(Stammdaten[Krümmung (mm/lfm)],MATCH(Tabelle10[[#This Row],[Rank]],Stammdaten[Rank Verteilung Krümmung],0))</f>
        <v>#N/A</v>
      </c>
      <c r="U3542" t="e">
        <f>VLOOKUP(Tabelle10[[#This Row],[Rank]],Stammdaten[[Rank Verteilung Krümmung]:[Verteilung Krümmung]],2,FALSE)</f>
        <v>#N/A</v>
      </c>
      <c r="Z3542">
        <v>3533</v>
      </c>
      <c r="AA3542" t="e">
        <f>INDEX(Stammdaten[Ovalität (']0,1'])],MATCH(Tabelle1014[[#This Row],[Rank]],Stammdaten[Rank Verteilung Ovalität],0))</f>
        <v>#N/A</v>
      </c>
      <c r="AB3542" t="e">
        <f>VLOOKUP(Tabelle1014[[#This Row],[Rank]],Stammdaten[[Rank Verteilung Ovalität]:[Verteilung Ovalität]],2,FALSE)</f>
        <v>#N/A</v>
      </c>
    </row>
    <row r="3543" spans="5:28" x14ac:dyDescent="0.35">
      <c r="E3543">
        <v>3534</v>
      </c>
      <c r="F3543" t="e">
        <f>INDEX(Stammdaten[D Mitte mit Rinde (mm)],MATCH(Tabelle8[[#This Row],[Rank]],Stammdaten[Rank Verteilung D Mitte mit Rinde],0))</f>
        <v>#N/A</v>
      </c>
      <c r="G3543" t="e">
        <f>VLOOKUP(Tabelle8[[#This Row],[Rank]],Stammdaten[[Rank Verteilung D Mitte mit Rinde]:[Verteilung D Mitte mit Rinde]],2,FALSE)</f>
        <v>#N/A</v>
      </c>
      <c r="L3543">
        <v>3534</v>
      </c>
      <c r="M3543" t="e">
        <f>INDEX(Stammdaten[Abholzigkeit (mm/lfm)],MATCH(Tabelle9[[#This Row],[Rank]],Stammdaten[Rank Verteilung Abholzigkeit],0))</f>
        <v>#N/A</v>
      </c>
      <c r="N3543" t="e">
        <f>VLOOKUP(Tabelle9[[#This Row],[Rank]],Stammdaten[[Rank Verteilung Abholzigkeit]:[Verteilung Abholzigkeit]],2,FALSE)</f>
        <v>#N/A</v>
      </c>
      <c r="S3543">
        <v>3534</v>
      </c>
      <c r="T3543" t="e">
        <f>INDEX(Stammdaten[Krümmung (mm/lfm)],MATCH(Tabelle10[[#This Row],[Rank]],Stammdaten[Rank Verteilung Krümmung],0))</f>
        <v>#N/A</v>
      </c>
      <c r="U3543" t="e">
        <f>VLOOKUP(Tabelle10[[#This Row],[Rank]],Stammdaten[[Rank Verteilung Krümmung]:[Verteilung Krümmung]],2,FALSE)</f>
        <v>#N/A</v>
      </c>
      <c r="Z3543">
        <v>3534</v>
      </c>
      <c r="AA3543" t="e">
        <f>INDEX(Stammdaten[Ovalität (']0,1'])],MATCH(Tabelle1014[[#This Row],[Rank]],Stammdaten[Rank Verteilung Ovalität],0))</f>
        <v>#N/A</v>
      </c>
      <c r="AB3543" t="e">
        <f>VLOOKUP(Tabelle1014[[#This Row],[Rank]],Stammdaten[[Rank Verteilung Ovalität]:[Verteilung Ovalität]],2,FALSE)</f>
        <v>#N/A</v>
      </c>
    </row>
    <row r="3544" spans="5:28" x14ac:dyDescent="0.35">
      <c r="E3544">
        <v>3535</v>
      </c>
      <c r="F3544" t="e">
        <f>INDEX(Stammdaten[D Mitte mit Rinde (mm)],MATCH(Tabelle8[[#This Row],[Rank]],Stammdaten[Rank Verteilung D Mitte mit Rinde],0))</f>
        <v>#N/A</v>
      </c>
      <c r="G3544" t="e">
        <f>VLOOKUP(Tabelle8[[#This Row],[Rank]],Stammdaten[[Rank Verteilung D Mitte mit Rinde]:[Verteilung D Mitte mit Rinde]],2,FALSE)</f>
        <v>#N/A</v>
      </c>
      <c r="L3544">
        <v>3535</v>
      </c>
      <c r="M3544" t="e">
        <f>INDEX(Stammdaten[Abholzigkeit (mm/lfm)],MATCH(Tabelle9[[#This Row],[Rank]],Stammdaten[Rank Verteilung Abholzigkeit],0))</f>
        <v>#N/A</v>
      </c>
      <c r="N3544" t="e">
        <f>VLOOKUP(Tabelle9[[#This Row],[Rank]],Stammdaten[[Rank Verteilung Abholzigkeit]:[Verteilung Abholzigkeit]],2,FALSE)</f>
        <v>#N/A</v>
      </c>
      <c r="S3544">
        <v>3535</v>
      </c>
      <c r="T3544" t="e">
        <f>INDEX(Stammdaten[Krümmung (mm/lfm)],MATCH(Tabelle10[[#This Row],[Rank]],Stammdaten[Rank Verteilung Krümmung],0))</f>
        <v>#N/A</v>
      </c>
      <c r="U3544" t="e">
        <f>VLOOKUP(Tabelle10[[#This Row],[Rank]],Stammdaten[[Rank Verteilung Krümmung]:[Verteilung Krümmung]],2,FALSE)</f>
        <v>#N/A</v>
      </c>
      <c r="Z3544">
        <v>3535</v>
      </c>
      <c r="AA3544" t="e">
        <f>INDEX(Stammdaten[Ovalität (']0,1'])],MATCH(Tabelle1014[[#This Row],[Rank]],Stammdaten[Rank Verteilung Ovalität],0))</f>
        <v>#N/A</v>
      </c>
      <c r="AB3544" t="e">
        <f>VLOOKUP(Tabelle1014[[#This Row],[Rank]],Stammdaten[[Rank Verteilung Ovalität]:[Verteilung Ovalität]],2,FALSE)</f>
        <v>#N/A</v>
      </c>
    </row>
    <row r="3545" spans="5:28" x14ac:dyDescent="0.35">
      <c r="E3545">
        <v>3536</v>
      </c>
      <c r="F3545" t="e">
        <f>INDEX(Stammdaten[D Mitte mit Rinde (mm)],MATCH(Tabelle8[[#This Row],[Rank]],Stammdaten[Rank Verteilung D Mitte mit Rinde],0))</f>
        <v>#N/A</v>
      </c>
      <c r="G3545" t="e">
        <f>VLOOKUP(Tabelle8[[#This Row],[Rank]],Stammdaten[[Rank Verteilung D Mitte mit Rinde]:[Verteilung D Mitte mit Rinde]],2,FALSE)</f>
        <v>#N/A</v>
      </c>
      <c r="L3545">
        <v>3536</v>
      </c>
      <c r="M3545" t="e">
        <f>INDEX(Stammdaten[Abholzigkeit (mm/lfm)],MATCH(Tabelle9[[#This Row],[Rank]],Stammdaten[Rank Verteilung Abholzigkeit],0))</f>
        <v>#N/A</v>
      </c>
      <c r="N3545" t="e">
        <f>VLOOKUP(Tabelle9[[#This Row],[Rank]],Stammdaten[[Rank Verteilung Abholzigkeit]:[Verteilung Abholzigkeit]],2,FALSE)</f>
        <v>#N/A</v>
      </c>
      <c r="S3545">
        <v>3536</v>
      </c>
      <c r="T3545" t="e">
        <f>INDEX(Stammdaten[Krümmung (mm/lfm)],MATCH(Tabelle10[[#This Row],[Rank]],Stammdaten[Rank Verteilung Krümmung],0))</f>
        <v>#N/A</v>
      </c>
      <c r="U3545" t="e">
        <f>VLOOKUP(Tabelle10[[#This Row],[Rank]],Stammdaten[[Rank Verteilung Krümmung]:[Verteilung Krümmung]],2,FALSE)</f>
        <v>#N/A</v>
      </c>
      <c r="Z3545">
        <v>3536</v>
      </c>
      <c r="AA3545" t="e">
        <f>INDEX(Stammdaten[Ovalität (']0,1'])],MATCH(Tabelle1014[[#This Row],[Rank]],Stammdaten[Rank Verteilung Ovalität],0))</f>
        <v>#N/A</v>
      </c>
      <c r="AB3545" t="e">
        <f>VLOOKUP(Tabelle1014[[#This Row],[Rank]],Stammdaten[[Rank Verteilung Ovalität]:[Verteilung Ovalität]],2,FALSE)</f>
        <v>#N/A</v>
      </c>
    </row>
    <row r="3546" spans="5:28" x14ac:dyDescent="0.35">
      <c r="E3546">
        <v>3537</v>
      </c>
      <c r="F3546" t="e">
        <f>INDEX(Stammdaten[D Mitte mit Rinde (mm)],MATCH(Tabelle8[[#This Row],[Rank]],Stammdaten[Rank Verteilung D Mitte mit Rinde],0))</f>
        <v>#N/A</v>
      </c>
      <c r="G3546" t="e">
        <f>VLOOKUP(Tabelle8[[#This Row],[Rank]],Stammdaten[[Rank Verteilung D Mitte mit Rinde]:[Verteilung D Mitte mit Rinde]],2,FALSE)</f>
        <v>#N/A</v>
      </c>
      <c r="L3546">
        <v>3537</v>
      </c>
      <c r="M3546" t="e">
        <f>INDEX(Stammdaten[Abholzigkeit (mm/lfm)],MATCH(Tabelle9[[#This Row],[Rank]],Stammdaten[Rank Verteilung Abholzigkeit],0))</f>
        <v>#N/A</v>
      </c>
      <c r="N3546" t="e">
        <f>VLOOKUP(Tabelle9[[#This Row],[Rank]],Stammdaten[[Rank Verteilung Abholzigkeit]:[Verteilung Abholzigkeit]],2,FALSE)</f>
        <v>#N/A</v>
      </c>
      <c r="S3546">
        <v>3537</v>
      </c>
      <c r="T3546" t="e">
        <f>INDEX(Stammdaten[Krümmung (mm/lfm)],MATCH(Tabelle10[[#This Row],[Rank]],Stammdaten[Rank Verteilung Krümmung],0))</f>
        <v>#N/A</v>
      </c>
      <c r="U3546" t="e">
        <f>VLOOKUP(Tabelle10[[#This Row],[Rank]],Stammdaten[[Rank Verteilung Krümmung]:[Verteilung Krümmung]],2,FALSE)</f>
        <v>#N/A</v>
      </c>
      <c r="Z3546">
        <v>3537</v>
      </c>
      <c r="AA3546" t="e">
        <f>INDEX(Stammdaten[Ovalität (']0,1'])],MATCH(Tabelle1014[[#This Row],[Rank]],Stammdaten[Rank Verteilung Ovalität],0))</f>
        <v>#N/A</v>
      </c>
      <c r="AB3546" t="e">
        <f>VLOOKUP(Tabelle1014[[#This Row],[Rank]],Stammdaten[[Rank Verteilung Ovalität]:[Verteilung Ovalität]],2,FALSE)</f>
        <v>#N/A</v>
      </c>
    </row>
    <row r="3547" spans="5:28" x14ac:dyDescent="0.35">
      <c r="E3547">
        <v>3538</v>
      </c>
      <c r="F3547" t="e">
        <f>INDEX(Stammdaten[D Mitte mit Rinde (mm)],MATCH(Tabelle8[[#This Row],[Rank]],Stammdaten[Rank Verteilung D Mitte mit Rinde],0))</f>
        <v>#N/A</v>
      </c>
      <c r="G3547" t="e">
        <f>VLOOKUP(Tabelle8[[#This Row],[Rank]],Stammdaten[[Rank Verteilung D Mitte mit Rinde]:[Verteilung D Mitte mit Rinde]],2,FALSE)</f>
        <v>#N/A</v>
      </c>
      <c r="L3547">
        <v>3538</v>
      </c>
      <c r="M3547" t="e">
        <f>INDEX(Stammdaten[Abholzigkeit (mm/lfm)],MATCH(Tabelle9[[#This Row],[Rank]],Stammdaten[Rank Verteilung Abholzigkeit],0))</f>
        <v>#N/A</v>
      </c>
      <c r="N3547" t="e">
        <f>VLOOKUP(Tabelle9[[#This Row],[Rank]],Stammdaten[[Rank Verteilung Abholzigkeit]:[Verteilung Abholzigkeit]],2,FALSE)</f>
        <v>#N/A</v>
      </c>
      <c r="S3547">
        <v>3538</v>
      </c>
      <c r="T3547" t="e">
        <f>INDEX(Stammdaten[Krümmung (mm/lfm)],MATCH(Tabelle10[[#This Row],[Rank]],Stammdaten[Rank Verteilung Krümmung],0))</f>
        <v>#N/A</v>
      </c>
      <c r="U3547" t="e">
        <f>VLOOKUP(Tabelle10[[#This Row],[Rank]],Stammdaten[[Rank Verteilung Krümmung]:[Verteilung Krümmung]],2,FALSE)</f>
        <v>#N/A</v>
      </c>
      <c r="Z3547">
        <v>3538</v>
      </c>
      <c r="AA3547" t="e">
        <f>INDEX(Stammdaten[Ovalität (']0,1'])],MATCH(Tabelle1014[[#This Row],[Rank]],Stammdaten[Rank Verteilung Ovalität],0))</f>
        <v>#N/A</v>
      </c>
      <c r="AB3547" t="e">
        <f>VLOOKUP(Tabelle1014[[#This Row],[Rank]],Stammdaten[[Rank Verteilung Ovalität]:[Verteilung Ovalität]],2,FALSE)</f>
        <v>#N/A</v>
      </c>
    </row>
    <row r="3548" spans="5:28" x14ac:dyDescent="0.35">
      <c r="E3548">
        <v>3539</v>
      </c>
      <c r="F3548" t="e">
        <f>INDEX(Stammdaten[D Mitte mit Rinde (mm)],MATCH(Tabelle8[[#This Row],[Rank]],Stammdaten[Rank Verteilung D Mitte mit Rinde],0))</f>
        <v>#N/A</v>
      </c>
      <c r="G3548" t="e">
        <f>VLOOKUP(Tabelle8[[#This Row],[Rank]],Stammdaten[[Rank Verteilung D Mitte mit Rinde]:[Verteilung D Mitte mit Rinde]],2,FALSE)</f>
        <v>#N/A</v>
      </c>
      <c r="L3548">
        <v>3539</v>
      </c>
      <c r="M3548" t="e">
        <f>INDEX(Stammdaten[Abholzigkeit (mm/lfm)],MATCH(Tabelle9[[#This Row],[Rank]],Stammdaten[Rank Verteilung Abholzigkeit],0))</f>
        <v>#N/A</v>
      </c>
      <c r="N3548" t="e">
        <f>VLOOKUP(Tabelle9[[#This Row],[Rank]],Stammdaten[[Rank Verteilung Abholzigkeit]:[Verteilung Abholzigkeit]],2,FALSE)</f>
        <v>#N/A</v>
      </c>
      <c r="S3548">
        <v>3539</v>
      </c>
      <c r="T3548" t="e">
        <f>INDEX(Stammdaten[Krümmung (mm/lfm)],MATCH(Tabelle10[[#This Row],[Rank]],Stammdaten[Rank Verteilung Krümmung],0))</f>
        <v>#N/A</v>
      </c>
      <c r="U3548" t="e">
        <f>VLOOKUP(Tabelle10[[#This Row],[Rank]],Stammdaten[[Rank Verteilung Krümmung]:[Verteilung Krümmung]],2,FALSE)</f>
        <v>#N/A</v>
      </c>
      <c r="Z3548">
        <v>3539</v>
      </c>
      <c r="AA3548" t="e">
        <f>INDEX(Stammdaten[Ovalität (']0,1'])],MATCH(Tabelle1014[[#This Row],[Rank]],Stammdaten[Rank Verteilung Ovalität],0))</f>
        <v>#N/A</v>
      </c>
      <c r="AB3548" t="e">
        <f>VLOOKUP(Tabelle1014[[#This Row],[Rank]],Stammdaten[[Rank Verteilung Ovalität]:[Verteilung Ovalität]],2,FALSE)</f>
        <v>#N/A</v>
      </c>
    </row>
    <row r="3549" spans="5:28" x14ac:dyDescent="0.35">
      <c r="E3549">
        <v>3540</v>
      </c>
      <c r="F3549" t="e">
        <f>INDEX(Stammdaten[D Mitte mit Rinde (mm)],MATCH(Tabelle8[[#This Row],[Rank]],Stammdaten[Rank Verteilung D Mitte mit Rinde],0))</f>
        <v>#N/A</v>
      </c>
      <c r="G3549" t="e">
        <f>VLOOKUP(Tabelle8[[#This Row],[Rank]],Stammdaten[[Rank Verteilung D Mitte mit Rinde]:[Verteilung D Mitte mit Rinde]],2,FALSE)</f>
        <v>#N/A</v>
      </c>
      <c r="L3549">
        <v>3540</v>
      </c>
      <c r="M3549" t="e">
        <f>INDEX(Stammdaten[Abholzigkeit (mm/lfm)],MATCH(Tabelle9[[#This Row],[Rank]],Stammdaten[Rank Verteilung Abholzigkeit],0))</f>
        <v>#N/A</v>
      </c>
      <c r="N3549" t="e">
        <f>VLOOKUP(Tabelle9[[#This Row],[Rank]],Stammdaten[[Rank Verteilung Abholzigkeit]:[Verteilung Abholzigkeit]],2,FALSE)</f>
        <v>#N/A</v>
      </c>
      <c r="S3549">
        <v>3540</v>
      </c>
      <c r="T3549" t="e">
        <f>INDEX(Stammdaten[Krümmung (mm/lfm)],MATCH(Tabelle10[[#This Row],[Rank]],Stammdaten[Rank Verteilung Krümmung],0))</f>
        <v>#N/A</v>
      </c>
      <c r="U3549" t="e">
        <f>VLOOKUP(Tabelle10[[#This Row],[Rank]],Stammdaten[[Rank Verteilung Krümmung]:[Verteilung Krümmung]],2,FALSE)</f>
        <v>#N/A</v>
      </c>
      <c r="Z3549">
        <v>3540</v>
      </c>
      <c r="AA3549" t="e">
        <f>INDEX(Stammdaten[Ovalität (']0,1'])],MATCH(Tabelle1014[[#This Row],[Rank]],Stammdaten[Rank Verteilung Ovalität],0))</f>
        <v>#N/A</v>
      </c>
      <c r="AB3549" t="e">
        <f>VLOOKUP(Tabelle1014[[#This Row],[Rank]],Stammdaten[[Rank Verteilung Ovalität]:[Verteilung Ovalität]],2,FALSE)</f>
        <v>#N/A</v>
      </c>
    </row>
    <row r="3550" spans="5:28" x14ac:dyDescent="0.35">
      <c r="E3550">
        <v>3541</v>
      </c>
      <c r="F3550" t="e">
        <f>INDEX(Stammdaten[D Mitte mit Rinde (mm)],MATCH(Tabelle8[[#This Row],[Rank]],Stammdaten[Rank Verteilung D Mitte mit Rinde],0))</f>
        <v>#N/A</v>
      </c>
      <c r="G3550" t="e">
        <f>VLOOKUP(Tabelle8[[#This Row],[Rank]],Stammdaten[[Rank Verteilung D Mitte mit Rinde]:[Verteilung D Mitte mit Rinde]],2,FALSE)</f>
        <v>#N/A</v>
      </c>
      <c r="L3550">
        <v>3541</v>
      </c>
      <c r="M3550" t="e">
        <f>INDEX(Stammdaten[Abholzigkeit (mm/lfm)],MATCH(Tabelle9[[#This Row],[Rank]],Stammdaten[Rank Verteilung Abholzigkeit],0))</f>
        <v>#N/A</v>
      </c>
      <c r="N3550" t="e">
        <f>VLOOKUP(Tabelle9[[#This Row],[Rank]],Stammdaten[[Rank Verteilung Abholzigkeit]:[Verteilung Abholzigkeit]],2,FALSE)</f>
        <v>#N/A</v>
      </c>
      <c r="S3550">
        <v>3541</v>
      </c>
      <c r="T3550" t="e">
        <f>INDEX(Stammdaten[Krümmung (mm/lfm)],MATCH(Tabelle10[[#This Row],[Rank]],Stammdaten[Rank Verteilung Krümmung],0))</f>
        <v>#N/A</v>
      </c>
      <c r="U3550" t="e">
        <f>VLOOKUP(Tabelle10[[#This Row],[Rank]],Stammdaten[[Rank Verteilung Krümmung]:[Verteilung Krümmung]],2,FALSE)</f>
        <v>#N/A</v>
      </c>
      <c r="Z3550">
        <v>3541</v>
      </c>
      <c r="AA3550" t="e">
        <f>INDEX(Stammdaten[Ovalität (']0,1'])],MATCH(Tabelle1014[[#This Row],[Rank]],Stammdaten[Rank Verteilung Ovalität],0))</f>
        <v>#N/A</v>
      </c>
      <c r="AB3550" t="e">
        <f>VLOOKUP(Tabelle1014[[#This Row],[Rank]],Stammdaten[[Rank Verteilung Ovalität]:[Verteilung Ovalität]],2,FALSE)</f>
        <v>#N/A</v>
      </c>
    </row>
    <row r="3551" spans="5:28" x14ac:dyDescent="0.35">
      <c r="E3551">
        <v>3542</v>
      </c>
      <c r="F3551" t="e">
        <f>INDEX(Stammdaten[D Mitte mit Rinde (mm)],MATCH(Tabelle8[[#This Row],[Rank]],Stammdaten[Rank Verteilung D Mitte mit Rinde],0))</f>
        <v>#N/A</v>
      </c>
      <c r="G3551" t="e">
        <f>VLOOKUP(Tabelle8[[#This Row],[Rank]],Stammdaten[[Rank Verteilung D Mitte mit Rinde]:[Verteilung D Mitte mit Rinde]],2,FALSE)</f>
        <v>#N/A</v>
      </c>
      <c r="L3551">
        <v>3542</v>
      </c>
      <c r="M3551" t="e">
        <f>INDEX(Stammdaten[Abholzigkeit (mm/lfm)],MATCH(Tabelle9[[#This Row],[Rank]],Stammdaten[Rank Verteilung Abholzigkeit],0))</f>
        <v>#N/A</v>
      </c>
      <c r="N3551" t="e">
        <f>VLOOKUP(Tabelle9[[#This Row],[Rank]],Stammdaten[[Rank Verteilung Abholzigkeit]:[Verteilung Abholzigkeit]],2,FALSE)</f>
        <v>#N/A</v>
      </c>
      <c r="S3551">
        <v>3542</v>
      </c>
      <c r="T3551" t="e">
        <f>INDEX(Stammdaten[Krümmung (mm/lfm)],MATCH(Tabelle10[[#This Row],[Rank]],Stammdaten[Rank Verteilung Krümmung],0))</f>
        <v>#N/A</v>
      </c>
      <c r="U3551" t="e">
        <f>VLOOKUP(Tabelle10[[#This Row],[Rank]],Stammdaten[[Rank Verteilung Krümmung]:[Verteilung Krümmung]],2,FALSE)</f>
        <v>#N/A</v>
      </c>
      <c r="Z3551">
        <v>3542</v>
      </c>
      <c r="AA3551" t="e">
        <f>INDEX(Stammdaten[Ovalität (']0,1'])],MATCH(Tabelle1014[[#This Row],[Rank]],Stammdaten[Rank Verteilung Ovalität],0))</f>
        <v>#N/A</v>
      </c>
      <c r="AB3551" t="e">
        <f>VLOOKUP(Tabelle1014[[#This Row],[Rank]],Stammdaten[[Rank Verteilung Ovalität]:[Verteilung Ovalität]],2,FALSE)</f>
        <v>#N/A</v>
      </c>
    </row>
    <row r="3552" spans="5:28" x14ac:dyDescent="0.35">
      <c r="E3552">
        <v>3543</v>
      </c>
      <c r="F3552" t="e">
        <f>INDEX(Stammdaten[D Mitte mit Rinde (mm)],MATCH(Tabelle8[[#This Row],[Rank]],Stammdaten[Rank Verteilung D Mitte mit Rinde],0))</f>
        <v>#N/A</v>
      </c>
      <c r="G3552" t="e">
        <f>VLOOKUP(Tabelle8[[#This Row],[Rank]],Stammdaten[[Rank Verteilung D Mitte mit Rinde]:[Verteilung D Mitte mit Rinde]],2,FALSE)</f>
        <v>#N/A</v>
      </c>
      <c r="L3552">
        <v>3543</v>
      </c>
      <c r="M3552" t="e">
        <f>INDEX(Stammdaten[Abholzigkeit (mm/lfm)],MATCH(Tabelle9[[#This Row],[Rank]],Stammdaten[Rank Verteilung Abholzigkeit],0))</f>
        <v>#N/A</v>
      </c>
      <c r="N3552" t="e">
        <f>VLOOKUP(Tabelle9[[#This Row],[Rank]],Stammdaten[[Rank Verteilung Abholzigkeit]:[Verteilung Abholzigkeit]],2,FALSE)</f>
        <v>#N/A</v>
      </c>
      <c r="S3552">
        <v>3543</v>
      </c>
      <c r="T3552" t="e">
        <f>INDEX(Stammdaten[Krümmung (mm/lfm)],MATCH(Tabelle10[[#This Row],[Rank]],Stammdaten[Rank Verteilung Krümmung],0))</f>
        <v>#N/A</v>
      </c>
      <c r="U3552" t="e">
        <f>VLOOKUP(Tabelle10[[#This Row],[Rank]],Stammdaten[[Rank Verteilung Krümmung]:[Verteilung Krümmung]],2,FALSE)</f>
        <v>#N/A</v>
      </c>
      <c r="Z3552">
        <v>3543</v>
      </c>
      <c r="AA3552" t="e">
        <f>INDEX(Stammdaten[Ovalität (']0,1'])],MATCH(Tabelle1014[[#This Row],[Rank]],Stammdaten[Rank Verteilung Ovalität],0))</f>
        <v>#N/A</v>
      </c>
      <c r="AB3552" t="e">
        <f>VLOOKUP(Tabelle1014[[#This Row],[Rank]],Stammdaten[[Rank Verteilung Ovalität]:[Verteilung Ovalität]],2,FALSE)</f>
        <v>#N/A</v>
      </c>
    </row>
    <row r="3553" spans="5:28" x14ac:dyDescent="0.35">
      <c r="E3553">
        <v>3544</v>
      </c>
      <c r="F3553" t="e">
        <f>INDEX(Stammdaten[D Mitte mit Rinde (mm)],MATCH(Tabelle8[[#This Row],[Rank]],Stammdaten[Rank Verteilung D Mitte mit Rinde],0))</f>
        <v>#N/A</v>
      </c>
      <c r="G3553" t="e">
        <f>VLOOKUP(Tabelle8[[#This Row],[Rank]],Stammdaten[[Rank Verteilung D Mitte mit Rinde]:[Verteilung D Mitte mit Rinde]],2,FALSE)</f>
        <v>#N/A</v>
      </c>
      <c r="L3553">
        <v>3544</v>
      </c>
      <c r="M3553" t="e">
        <f>INDEX(Stammdaten[Abholzigkeit (mm/lfm)],MATCH(Tabelle9[[#This Row],[Rank]],Stammdaten[Rank Verteilung Abholzigkeit],0))</f>
        <v>#N/A</v>
      </c>
      <c r="N3553" t="e">
        <f>VLOOKUP(Tabelle9[[#This Row],[Rank]],Stammdaten[[Rank Verteilung Abholzigkeit]:[Verteilung Abholzigkeit]],2,FALSE)</f>
        <v>#N/A</v>
      </c>
      <c r="S3553">
        <v>3544</v>
      </c>
      <c r="T3553" t="e">
        <f>INDEX(Stammdaten[Krümmung (mm/lfm)],MATCH(Tabelle10[[#This Row],[Rank]],Stammdaten[Rank Verteilung Krümmung],0))</f>
        <v>#N/A</v>
      </c>
      <c r="U3553" t="e">
        <f>VLOOKUP(Tabelle10[[#This Row],[Rank]],Stammdaten[[Rank Verteilung Krümmung]:[Verteilung Krümmung]],2,FALSE)</f>
        <v>#N/A</v>
      </c>
      <c r="Z3553">
        <v>3544</v>
      </c>
      <c r="AA3553" t="e">
        <f>INDEX(Stammdaten[Ovalität (']0,1'])],MATCH(Tabelle1014[[#This Row],[Rank]],Stammdaten[Rank Verteilung Ovalität],0))</f>
        <v>#N/A</v>
      </c>
      <c r="AB3553" t="e">
        <f>VLOOKUP(Tabelle1014[[#This Row],[Rank]],Stammdaten[[Rank Verteilung Ovalität]:[Verteilung Ovalität]],2,FALSE)</f>
        <v>#N/A</v>
      </c>
    </row>
    <row r="3554" spans="5:28" x14ac:dyDescent="0.35">
      <c r="E3554">
        <v>3545</v>
      </c>
      <c r="F3554" t="e">
        <f>INDEX(Stammdaten[D Mitte mit Rinde (mm)],MATCH(Tabelle8[[#This Row],[Rank]],Stammdaten[Rank Verteilung D Mitte mit Rinde],0))</f>
        <v>#N/A</v>
      </c>
      <c r="G3554" t="e">
        <f>VLOOKUP(Tabelle8[[#This Row],[Rank]],Stammdaten[[Rank Verteilung D Mitte mit Rinde]:[Verteilung D Mitte mit Rinde]],2,FALSE)</f>
        <v>#N/A</v>
      </c>
      <c r="L3554">
        <v>3545</v>
      </c>
      <c r="M3554" t="e">
        <f>INDEX(Stammdaten[Abholzigkeit (mm/lfm)],MATCH(Tabelle9[[#This Row],[Rank]],Stammdaten[Rank Verteilung Abholzigkeit],0))</f>
        <v>#N/A</v>
      </c>
      <c r="N3554" t="e">
        <f>VLOOKUP(Tabelle9[[#This Row],[Rank]],Stammdaten[[Rank Verteilung Abholzigkeit]:[Verteilung Abholzigkeit]],2,FALSE)</f>
        <v>#N/A</v>
      </c>
      <c r="S3554">
        <v>3545</v>
      </c>
      <c r="T3554" t="e">
        <f>INDEX(Stammdaten[Krümmung (mm/lfm)],MATCH(Tabelle10[[#This Row],[Rank]],Stammdaten[Rank Verteilung Krümmung],0))</f>
        <v>#N/A</v>
      </c>
      <c r="U3554" t="e">
        <f>VLOOKUP(Tabelle10[[#This Row],[Rank]],Stammdaten[[Rank Verteilung Krümmung]:[Verteilung Krümmung]],2,FALSE)</f>
        <v>#N/A</v>
      </c>
      <c r="Z3554">
        <v>3545</v>
      </c>
      <c r="AA3554" t="e">
        <f>INDEX(Stammdaten[Ovalität (']0,1'])],MATCH(Tabelle1014[[#This Row],[Rank]],Stammdaten[Rank Verteilung Ovalität],0))</f>
        <v>#N/A</v>
      </c>
      <c r="AB3554" t="e">
        <f>VLOOKUP(Tabelle1014[[#This Row],[Rank]],Stammdaten[[Rank Verteilung Ovalität]:[Verteilung Ovalität]],2,FALSE)</f>
        <v>#N/A</v>
      </c>
    </row>
    <row r="3555" spans="5:28" x14ac:dyDescent="0.35">
      <c r="E3555">
        <v>3546</v>
      </c>
      <c r="F3555" t="e">
        <f>INDEX(Stammdaten[D Mitte mit Rinde (mm)],MATCH(Tabelle8[[#This Row],[Rank]],Stammdaten[Rank Verteilung D Mitte mit Rinde],0))</f>
        <v>#N/A</v>
      </c>
      <c r="G3555" t="e">
        <f>VLOOKUP(Tabelle8[[#This Row],[Rank]],Stammdaten[[Rank Verteilung D Mitte mit Rinde]:[Verteilung D Mitte mit Rinde]],2,FALSE)</f>
        <v>#N/A</v>
      </c>
      <c r="L3555">
        <v>3546</v>
      </c>
      <c r="M3555" t="e">
        <f>INDEX(Stammdaten[Abholzigkeit (mm/lfm)],MATCH(Tabelle9[[#This Row],[Rank]],Stammdaten[Rank Verteilung Abholzigkeit],0))</f>
        <v>#N/A</v>
      </c>
      <c r="N3555" t="e">
        <f>VLOOKUP(Tabelle9[[#This Row],[Rank]],Stammdaten[[Rank Verteilung Abholzigkeit]:[Verteilung Abholzigkeit]],2,FALSE)</f>
        <v>#N/A</v>
      </c>
      <c r="S3555">
        <v>3546</v>
      </c>
      <c r="T3555" t="e">
        <f>INDEX(Stammdaten[Krümmung (mm/lfm)],MATCH(Tabelle10[[#This Row],[Rank]],Stammdaten[Rank Verteilung Krümmung],0))</f>
        <v>#N/A</v>
      </c>
      <c r="U3555" t="e">
        <f>VLOOKUP(Tabelle10[[#This Row],[Rank]],Stammdaten[[Rank Verteilung Krümmung]:[Verteilung Krümmung]],2,FALSE)</f>
        <v>#N/A</v>
      </c>
      <c r="Z3555">
        <v>3546</v>
      </c>
      <c r="AA3555" t="e">
        <f>INDEX(Stammdaten[Ovalität (']0,1'])],MATCH(Tabelle1014[[#This Row],[Rank]],Stammdaten[Rank Verteilung Ovalität],0))</f>
        <v>#N/A</v>
      </c>
      <c r="AB3555" t="e">
        <f>VLOOKUP(Tabelle1014[[#This Row],[Rank]],Stammdaten[[Rank Verteilung Ovalität]:[Verteilung Ovalität]],2,FALSE)</f>
        <v>#N/A</v>
      </c>
    </row>
    <row r="3556" spans="5:28" x14ac:dyDescent="0.35">
      <c r="E3556">
        <v>3547</v>
      </c>
      <c r="F3556" t="e">
        <f>INDEX(Stammdaten[D Mitte mit Rinde (mm)],MATCH(Tabelle8[[#This Row],[Rank]],Stammdaten[Rank Verteilung D Mitte mit Rinde],0))</f>
        <v>#N/A</v>
      </c>
      <c r="G3556" t="e">
        <f>VLOOKUP(Tabelle8[[#This Row],[Rank]],Stammdaten[[Rank Verteilung D Mitte mit Rinde]:[Verteilung D Mitte mit Rinde]],2,FALSE)</f>
        <v>#N/A</v>
      </c>
      <c r="L3556">
        <v>3547</v>
      </c>
      <c r="M3556" t="e">
        <f>INDEX(Stammdaten[Abholzigkeit (mm/lfm)],MATCH(Tabelle9[[#This Row],[Rank]],Stammdaten[Rank Verteilung Abholzigkeit],0))</f>
        <v>#N/A</v>
      </c>
      <c r="N3556" t="e">
        <f>VLOOKUP(Tabelle9[[#This Row],[Rank]],Stammdaten[[Rank Verteilung Abholzigkeit]:[Verteilung Abholzigkeit]],2,FALSE)</f>
        <v>#N/A</v>
      </c>
      <c r="S3556">
        <v>3547</v>
      </c>
      <c r="T3556" t="e">
        <f>INDEX(Stammdaten[Krümmung (mm/lfm)],MATCH(Tabelle10[[#This Row],[Rank]],Stammdaten[Rank Verteilung Krümmung],0))</f>
        <v>#N/A</v>
      </c>
      <c r="U3556" t="e">
        <f>VLOOKUP(Tabelle10[[#This Row],[Rank]],Stammdaten[[Rank Verteilung Krümmung]:[Verteilung Krümmung]],2,FALSE)</f>
        <v>#N/A</v>
      </c>
      <c r="Z3556">
        <v>3547</v>
      </c>
      <c r="AA3556" t="e">
        <f>INDEX(Stammdaten[Ovalität (']0,1'])],MATCH(Tabelle1014[[#This Row],[Rank]],Stammdaten[Rank Verteilung Ovalität],0))</f>
        <v>#N/A</v>
      </c>
      <c r="AB3556" t="e">
        <f>VLOOKUP(Tabelle1014[[#This Row],[Rank]],Stammdaten[[Rank Verteilung Ovalität]:[Verteilung Ovalität]],2,FALSE)</f>
        <v>#N/A</v>
      </c>
    </row>
    <row r="3557" spans="5:28" x14ac:dyDescent="0.35">
      <c r="E3557">
        <v>3548</v>
      </c>
      <c r="F3557" t="e">
        <f>INDEX(Stammdaten[D Mitte mit Rinde (mm)],MATCH(Tabelle8[[#This Row],[Rank]],Stammdaten[Rank Verteilung D Mitte mit Rinde],0))</f>
        <v>#N/A</v>
      </c>
      <c r="G3557" t="e">
        <f>VLOOKUP(Tabelle8[[#This Row],[Rank]],Stammdaten[[Rank Verteilung D Mitte mit Rinde]:[Verteilung D Mitte mit Rinde]],2,FALSE)</f>
        <v>#N/A</v>
      </c>
      <c r="L3557">
        <v>3548</v>
      </c>
      <c r="M3557" t="e">
        <f>INDEX(Stammdaten[Abholzigkeit (mm/lfm)],MATCH(Tabelle9[[#This Row],[Rank]],Stammdaten[Rank Verteilung Abholzigkeit],0))</f>
        <v>#N/A</v>
      </c>
      <c r="N3557" t="e">
        <f>VLOOKUP(Tabelle9[[#This Row],[Rank]],Stammdaten[[Rank Verteilung Abholzigkeit]:[Verteilung Abholzigkeit]],2,FALSE)</f>
        <v>#N/A</v>
      </c>
      <c r="S3557">
        <v>3548</v>
      </c>
      <c r="T3557" t="e">
        <f>INDEX(Stammdaten[Krümmung (mm/lfm)],MATCH(Tabelle10[[#This Row],[Rank]],Stammdaten[Rank Verteilung Krümmung],0))</f>
        <v>#N/A</v>
      </c>
      <c r="U3557" t="e">
        <f>VLOOKUP(Tabelle10[[#This Row],[Rank]],Stammdaten[[Rank Verteilung Krümmung]:[Verteilung Krümmung]],2,FALSE)</f>
        <v>#N/A</v>
      </c>
      <c r="Z3557">
        <v>3548</v>
      </c>
      <c r="AA3557" t="e">
        <f>INDEX(Stammdaten[Ovalität (']0,1'])],MATCH(Tabelle1014[[#This Row],[Rank]],Stammdaten[Rank Verteilung Ovalität],0))</f>
        <v>#N/A</v>
      </c>
      <c r="AB3557" t="e">
        <f>VLOOKUP(Tabelle1014[[#This Row],[Rank]],Stammdaten[[Rank Verteilung Ovalität]:[Verteilung Ovalität]],2,FALSE)</f>
        <v>#N/A</v>
      </c>
    </row>
    <row r="3558" spans="5:28" x14ac:dyDescent="0.35">
      <c r="E3558">
        <v>3549</v>
      </c>
      <c r="F3558" t="e">
        <f>INDEX(Stammdaten[D Mitte mit Rinde (mm)],MATCH(Tabelle8[[#This Row],[Rank]],Stammdaten[Rank Verteilung D Mitte mit Rinde],0))</f>
        <v>#N/A</v>
      </c>
      <c r="G3558" t="e">
        <f>VLOOKUP(Tabelle8[[#This Row],[Rank]],Stammdaten[[Rank Verteilung D Mitte mit Rinde]:[Verteilung D Mitte mit Rinde]],2,FALSE)</f>
        <v>#N/A</v>
      </c>
      <c r="L3558">
        <v>3549</v>
      </c>
      <c r="M3558" t="e">
        <f>INDEX(Stammdaten[Abholzigkeit (mm/lfm)],MATCH(Tabelle9[[#This Row],[Rank]],Stammdaten[Rank Verteilung Abholzigkeit],0))</f>
        <v>#N/A</v>
      </c>
      <c r="N3558" t="e">
        <f>VLOOKUP(Tabelle9[[#This Row],[Rank]],Stammdaten[[Rank Verteilung Abholzigkeit]:[Verteilung Abholzigkeit]],2,FALSE)</f>
        <v>#N/A</v>
      </c>
      <c r="S3558">
        <v>3549</v>
      </c>
      <c r="T3558" t="e">
        <f>INDEX(Stammdaten[Krümmung (mm/lfm)],MATCH(Tabelle10[[#This Row],[Rank]],Stammdaten[Rank Verteilung Krümmung],0))</f>
        <v>#N/A</v>
      </c>
      <c r="U3558" t="e">
        <f>VLOOKUP(Tabelle10[[#This Row],[Rank]],Stammdaten[[Rank Verteilung Krümmung]:[Verteilung Krümmung]],2,FALSE)</f>
        <v>#N/A</v>
      </c>
      <c r="Z3558">
        <v>3549</v>
      </c>
      <c r="AA3558" t="e">
        <f>INDEX(Stammdaten[Ovalität (']0,1'])],MATCH(Tabelle1014[[#This Row],[Rank]],Stammdaten[Rank Verteilung Ovalität],0))</f>
        <v>#N/A</v>
      </c>
      <c r="AB3558" t="e">
        <f>VLOOKUP(Tabelle1014[[#This Row],[Rank]],Stammdaten[[Rank Verteilung Ovalität]:[Verteilung Ovalität]],2,FALSE)</f>
        <v>#N/A</v>
      </c>
    </row>
    <row r="3559" spans="5:28" x14ac:dyDescent="0.35">
      <c r="E3559">
        <v>3550</v>
      </c>
      <c r="F3559" t="e">
        <f>INDEX(Stammdaten[D Mitte mit Rinde (mm)],MATCH(Tabelle8[[#This Row],[Rank]],Stammdaten[Rank Verteilung D Mitte mit Rinde],0))</f>
        <v>#N/A</v>
      </c>
      <c r="G3559" t="e">
        <f>VLOOKUP(Tabelle8[[#This Row],[Rank]],Stammdaten[[Rank Verteilung D Mitte mit Rinde]:[Verteilung D Mitte mit Rinde]],2,FALSE)</f>
        <v>#N/A</v>
      </c>
      <c r="L3559">
        <v>3550</v>
      </c>
      <c r="M3559" t="e">
        <f>INDEX(Stammdaten[Abholzigkeit (mm/lfm)],MATCH(Tabelle9[[#This Row],[Rank]],Stammdaten[Rank Verteilung Abholzigkeit],0))</f>
        <v>#N/A</v>
      </c>
      <c r="N3559" t="e">
        <f>VLOOKUP(Tabelle9[[#This Row],[Rank]],Stammdaten[[Rank Verteilung Abholzigkeit]:[Verteilung Abholzigkeit]],2,FALSE)</f>
        <v>#N/A</v>
      </c>
      <c r="S3559">
        <v>3550</v>
      </c>
      <c r="T3559" t="e">
        <f>INDEX(Stammdaten[Krümmung (mm/lfm)],MATCH(Tabelle10[[#This Row],[Rank]],Stammdaten[Rank Verteilung Krümmung],0))</f>
        <v>#N/A</v>
      </c>
      <c r="U3559" t="e">
        <f>VLOOKUP(Tabelle10[[#This Row],[Rank]],Stammdaten[[Rank Verteilung Krümmung]:[Verteilung Krümmung]],2,FALSE)</f>
        <v>#N/A</v>
      </c>
      <c r="Z3559">
        <v>3550</v>
      </c>
      <c r="AA3559" t="e">
        <f>INDEX(Stammdaten[Ovalität (']0,1'])],MATCH(Tabelle1014[[#This Row],[Rank]],Stammdaten[Rank Verteilung Ovalität],0))</f>
        <v>#N/A</v>
      </c>
      <c r="AB3559" t="e">
        <f>VLOOKUP(Tabelle1014[[#This Row],[Rank]],Stammdaten[[Rank Verteilung Ovalität]:[Verteilung Ovalität]],2,FALSE)</f>
        <v>#N/A</v>
      </c>
    </row>
    <row r="3560" spans="5:28" x14ac:dyDescent="0.35">
      <c r="E3560">
        <v>3551</v>
      </c>
      <c r="F3560" t="e">
        <f>INDEX(Stammdaten[D Mitte mit Rinde (mm)],MATCH(Tabelle8[[#This Row],[Rank]],Stammdaten[Rank Verteilung D Mitte mit Rinde],0))</f>
        <v>#N/A</v>
      </c>
      <c r="G3560" t="e">
        <f>VLOOKUP(Tabelle8[[#This Row],[Rank]],Stammdaten[[Rank Verteilung D Mitte mit Rinde]:[Verteilung D Mitte mit Rinde]],2,FALSE)</f>
        <v>#N/A</v>
      </c>
      <c r="L3560">
        <v>3551</v>
      </c>
      <c r="M3560" t="e">
        <f>INDEX(Stammdaten[Abholzigkeit (mm/lfm)],MATCH(Tabelle9[[#This Row],[Rank]],Stammdaten[Rank Verteilung Abholzigkeit],0))</f>
        <v>#N/A</v>
      </c>
      <c r="N3560" t="e">
        <f>VLOOKUP(Tabelle9[[#This Row],[Rank]],Stammdaten[[Rank Verteilung Abholzigkeit]:[Verteilung Abholzigkeit]],2,FALSE)</f>
        <v>#N/A</v>
      </c>
      <c r="S3560">
        <v>3551</v>
      </c>
      <c r="T3560" t="e">
        <f>INDEX(Stammdaten[Krümmung (mm/lfm)],MATCH(Tabelle10[[#This Row],[Rank]],Stammdaten[Rank Verteilung Krümmung],0))</f>
        <v>#N/A</v>
      </c>
      <c r="U3560" t="e">
        <f>VLOOKUP(Tabelle10[[#This Row],[Rank]],Stammdaten[[Rank Verteilung Krümmung]:[Verteilung Krümmung]],2,FALSE)</f>
        <v>#N/A</v>
      </c>
      <c r="Z3560">
        <v>3551</v>
      </c>
      <c r="AA3560" t="e">
        <f>INDEX(Stammdaten[Ovalität (']0,1'])],MATCH(Tabelle1014[[#This Row],[Rank]],Stammdaten[Rank Verteilung Ovalität],0))</f>
        <v>#N/A</v>
      </c>
      <c r="AB3560" t="e">
        <f>VLOOKUP(Tabelle1014[[#This Row],[Rank]],Stammdaten[[Rank Verteilung Ovalität]:[Verteilung Ovalität]],2,FALSE)</f>
        <v>#N/A</v>
      </c>
    </row>
    <row r="3561" spans="5:28" x14ac:dyDescent="0.35">
      <c r="E3561">
        <v>3552</v>
      </c>
      <c r="F3561" t="e">
        <f>INDEX(Stammdaten[D Mitte mit Rinde (mm)],MATCH(Tabelle8[[#This Row],[Rank]],Stammdaten[Rank Verteilung D Mitte mit Rinde],0))</f>
        <v>#N/A</v>
      </c>
      <c r="G3561" t="e">
        <f>VLOOKUP(Tabelle8[[#This Row],[Rank]],Stammdaten[[Rank Verteilung D Mitte mit Rinde]:[Verteilung D Mitte mit Rinde]],2,FALSE)</f>
        <v>#N/A</v>
      </c>
      <c r="L3561">
        <v>3552</v>
      </c>
      <c r="M3561" t="e">
        <f>INDEX(Stammdaten[Abholzigkeit (mm/lfm)],MATCH(Tabelle9[[#This Row],[Rank]],Stammdaten[Rank Verteilung Abholzigkeit],0))</f>
        <v>#N/A</v>
      </c>
      <c r="N3561" t="e">
        <f>VLOOKUP(Tabelle9[[#This Row],[Rank]],Stammdaten[[Rank Verteilung Abholzigkeit]:[Verteilung Abholzigkeit]],2,FALSE)</f>
        <v>#N/A</v>
      </c>
      <c r="S3561">
        <v>3552</v>
      </c>
      <c r="T3561" t="e">
        <f>INDEX(Stammdaten[Krümmung (mm/lfm)],MATCH(Tabelle10[[#This Row],[Rank]],Stammdaten[Rank Verteilung Krümmung],0))</f>
        <v>#N/A</v>
      </c>
      <c r="U3561" t="e">
        <f>VLOOKUP(Tabelle10[[#This Row],[Rank]],Stammdaten[[Rank Verteilung Krümmung]:[Verteilung Krümmung]],2,FALSE)</f>
        <v>#N/A</v>
      </c>
      <c r="Z3561">
        <v>3552</v>
      </c>
      <c r="AA3561" t="e">
        <f>INDEX(Stammdaten[Ovalität (']0,1'])],MATCH(Tabelle1014[[#This Row],[Rank]],Stammdaten[Rank Verteilung Ovalität],0))</f>
        <v>#N/A</v>
      </c>
      <c r="AB3561" t="e">
        <f>VLOOKUP(Tabelle1014[[#This Row],[Rank]],Stammdaten[[Rank Verteilung Ovalität]:[Verteilung Ovalität]],2,FALSE)</f>
        <v>#N/A</v>
      </c>
    </row>
    <row r="3562" spans="5:28" x14ac:dyDescent="0.35">
      <c r="E3562">
        <v>3553</v>
      </c>
      <c r="F3562" t="e">
        <f>INDEX(Stammdaten[D Mitte mit Rinde (mm)],MATCH(Tabelle8[[#This Row],[Rank]],Stammdaten[Rank Verteilung D Mitte mit Rinde],0))</f>
        <v>#N/A</v>
      </c>
      <c r="G3562" t="e">
        <f>VLOOKUP(Tabelle8[[#This Row],[Rank]],Stammdaten[[Rank Verteilung D Mitte mit Rinde]:[Verteilung D Mitte mit Rinde]],2,FALSE)</f>
        <v>#N/A</v>
      </c>
      <c r="L3562">
        <v>3553</v>
      </c>
      <c r="M3562" t="e">
        <f>INDEX(Stammdaten[Abholzigkeit (mm/lfm)],MATCH(Tabelle9[[#This Row],[Rank]],Stammdaten[Rank Verteilung Abholzigkeit],0))</f>
        <v>#N/A</v>
      </c>
      <c r="N3562" t="e">
        <f>VLOOKUP(Tabelle9[[#This Row],[Rank]],Stammdaten[[Rank Verteilung Abholzigkeit]:[Verteilung Abholzigkeit]],2,FALSE)</f>
        <v>#N/A</v>
      </c>
      <c r="S3562">
        <v>3553</v>
      </c>
      <c r="T3562" t="e">
        <f>INDEX(Stammdaten[Krümmung (mm/lfm)],MATCH(Tabelle10[[#This Row],[Rank]],Stammdaten[Rank Verteilung Krümmung],0))</f>
        <v>#N/A</v>
      </c>
      <c r="U3562" t="e">
        <f>VLOOKUP(Tabelle10[[#This Row],[Rank]],Stammdaten[[Rank Verteilung Krümmung]:[Verteilung Krümmung]],2,FALSE)</f>
        <v>#N/A</v>
      </c>
      <c r="Z3562">
        <v>3553</v>
      </c>
      <c r="AA3562" t="e">
        <f>INDEX(Stammdaten[Ovalität (']0,1'])],MATCH(Tabelle1014[[#This Row],[Rank]],Stammdaten[Rank Verteilung Ovalität],0))</f>
        <v>#N/A</v>
      </c>
      <c r="AB3562" t="e">
        <f>VLOOKUP(Tabelle1014[[#This Row],[Rank]],Stammdaten[[Rank Verteilung Ovalität]:[Verteilung Ovalität]],2,FALSE)</f>
        <v>#N/A</v>
      </c>
    </row>
    <row r="3563" spans="5:28" x14ac:dyDescent="0.35">
      <c r="E3563">
        <v>3554</v>
      </c>
      <c r="F3563" t="e">
        <f>INDEX(Stammdaten[D Mitte mit Rinde (mm)],MATCH(Tabelle8[[#This Row],[Rank]],Stammdaten[Rank Verteilung D Mitte mit Rinde],0))</f>
        <v>#N/A</v>
      </c>
      <c r="G3563" t="e">
        <f>VLOOKUP(Tabelle8[[#This Row],[Rank]],Stammdaten[[Rank Verteilung D Mitte mit Rinde]:[Verteilung D Mitte mit Rinde]],2,FALSE)</f>
        <v>#N/A</v>
      </c>
      <c r="L3563">
        <v>3554</v>
      </c>
      <c r="M3563" t="e">
        <f>INDEX(Stammdaten[Abholzigkeit (mm/lfm)],MATCH(Tabelle9[[#This Row],[Rank]],Stammdaten[Rank Verteilung Abholzigkeit],0))</f>
        <v>#N/A</v>
      </c>
      <c r="N3563" t="e">
        <f>VLOOKUP(Tabelle9[[#This Row],[Rank]],Stammdaten[[Rank Verteilung Abholzigkeit]:[Verteilung Abholzigkeit]],2,FALSE)</f>
        <v>#N/A</v>
      </c>
      <c r="S3563">
        <v>3554</v>
      </c>
      <c r="T3563" t="e">
        <f>INDEX(Stammdaten[Krümmung (mm/lfm)],MATCH(Tabelle10[[#This Row],[Rank]],Stammdaten[Rank Verteilung Krümmung],0))</f>
        <v>#N/A</v>
      </c>
      <c r="U3563" t="e">
        <f>VLOOKUP(Tabelle10[[#This Row],[Rank]],Stammdaten[[Rank Verteilung Krümmung]:[Verteilung Krümmung]],2,FALSE)</f>
        <v>#N/A</v>
      </c>
      <c r="Z3563">
        <v>3554</v>
      </c>
      <c r="AA3563" t="e">
        <f>INDEX(Stammdaten[Ovalität (']0,1'])],MATCH(Tabelle1014[[#This Row],[Rank]],Stammdaten[Rank Verteilung Ovalität],0))</f>
        <v>#N/A</v>
      </c>
      <c r="AB3563" t="e">
        <f>VLOOKUP(Tabelle1014[[#This Row],[Rank]],Stammdaten[[Rank Verteilung Ovalität]:[Verteilung Ovalität]],2,FALSE)</f>
        <v>#N/A</v>
      </c>
    </row>
    <row r="3564" spans="5:28" x14ac:dyDescent="0.35">
      <c r="E3564">
        <v>3555</v>
      </c>
      <c r="F3564" t="e">
        <f>INDEX(Stammdaten[D Mitte mit Rinde (mm)],MATCH(Tabelle8[[#This Row],[Rank]],Stammdaten[Rank Verteilung D Mitte mit Rinde],0))</f>
        <v>#N/A</v>
      </c>
      <c r="G3564" t="e">
        <f>VLOOKUP(Tabelle8[[#This Row],[Rank]],Stammdaten[[Rank Verteilung D Mitte mit Rinde]:[Verteilung D Mitte mit Rinde]],2,FALSE)</f>
        <v>#N/A</v>
      </c>
      <c r="L3564">
        <v>3555</v>
      </c>
      <c r="M3564" t="e">
        <f>INDEX(Stammdaten[Abholzigkeit (mm/lfm)],MATCH(Tabelle9[[#This Row],[Rank]],Stammdaten[Rank Verteilung Abholzigkeit],0))</f>
        <v>#N/A</v>
      </c>
      <c r="N3564" t="e">
        <f>VLOOKUP(Tabelle9[[#This Row],[Rank]],Stammdaten[[Rank Verteilung Abholzigkeit]:[Verteilung Abholzigkeit]],2,FALSE)</f>
        <v>#N/A</v>
      </c>
      <c r="S3564">
        <v>3555</v>
      </c>
      <c r="T3564" t="e">
        <f>INDEX(Stammdaten[Krümmung (mm/lfm)],MATCH(Tabelle10[[#This Row],[Rank]],Stammdaten[Rank Verteilung Krümmung],0))</f>
        <v>#N/A</v>
      </c>
      <c r="U3564" t="e">
        <f>VLOOKUP(Tabelle10[[#This Row],[Rank]],Stammdaten[[Rank Verteilung Krümmung]:[Verteilung Krümmung]],2,FALSE)</f>
        <v>#N/A</v>
      </c>
      <c r="Z3564">
        <v>3555</v>
      </c>
      <c r="AA3564" t="e">
        <f>INDEX(Stammdaten[Ovalität (']0,1'])],MATCH(Tabelle1014[[#This Row],[Rank]],Stammdaten[Rank Verteilung Ovalität],0))</f>
        <v>#N/A</v>
      </c>
      <c r="AB3564" t="e">
        <f>VLOOKUP(Tabelle1014[[#This Row],[Rank]],Stammdaten[[Rank Verteilung Ovalität]:[Verteilung Ovalität]],2,FALSE)</f>
        <v>#N/A</v>
      </c>
    </row>
    <row r="3565" spans="5:28" x14ac:dyDescent="0.35">
      <c r="E3565">
        <v>3556</v>
      </c>
      <c r="F3565" t="e">
        <f>INDEX(Stammdaten[D Mitte mit Rinde (mm)],MATCH(Tabelle8[[#This Row],[Rank]],Stammdaten[Rank Verteilung D Mitte mit Rinde],0))</f>
        <v>#N/A</v>
      </c>
      <c r="G3565" t="e">
        <f>VLOOKUP(Tabelle8[[#This Row],[Rank]],Stammdaten[[Rank Verteilung D Mitte mit Rinde]:[Verteilung D Mitte mit Rinde]],2,FALSE)</f>
        <v>#N/A</v>
      </c>
      <c r="L3565">
        <v>3556</v>
      </c>
      <c r="M3565" t="e">
        <f>INDEX(Stammdaten[Abholzigkeit (mm/lfm)],MATCH(Tabelle9[[#This Row],[Rank]],Stammdaten[Rank Verteilung Abholzigkeit],0))</f>
        <v>#N/A</v>
      </c>
      <c r="N3565" t="e">
        <f>VLOOKUP(Tabelle9[[#This Row],[Rank]],Stammdaten[[Rank Verteilung Abholzigkeit]:[Verteilung Abholzigkeit]],2,FALSE)</f>
        <v>#N/A</v>
      </c>
      <c r="S3565">
        <v>3556</v>
      </c>
      <c r="T3565" t="e">
        <f>INDEX(Stammdaten[Krümmung (mm/lfm)],MATCH(Tabelle10[[#This Row],[Rank]],Stammdaten[Rank Verteilung Krümmung],0))</f>
        <v>#N/A</v>
      </c>
      <c r="U3565" t="e">
        <f>VLOOKUP(Tabelle10[[#This Row],[Rank]],Stammdaten[[Rank Verteilung Krümmung]:[Verteilung Krümmung]],2,FALSE)</f>
        <v>#N/A</v>
      </c>
      <c r="Z3565">
        <v>3556</v>
      </c>
      <c r="AA3565" t="e">
        <f>INDEX(Stammdaten[Ovalität (']0,1'])],MATCH(Tabelle1014[[#This Row],[Rank]],Stammdaten[Rank Verteilung Ovalität],0))</f>
        <v>#N/A</v>
      </c>
      <c r="AB3565" t="e">
        <f>VLOOKUP(Tabelle1014[[#This Row],[Rank]],Stammdaten[[Rank Verteilung Ovalität]:[Verteilung Ovalität]],2,FALSE)</f>
        <v>#N/A</v>
      </c>
    </row>
    <row r="3566" spans="5:28" x14ac:dyDescent="0.35">
      <c r="E3566">
        <v>3557</v>
      </c>
      <c r="F3566" t="e">
        <f>INDEX(Stammdaten[D Mitte mit Rinde (mm)],MATCH(Tabelle8[[#This Row],[Rank]],Stammdaten[Rank Verteilung D Mitte mit Rinde],0))</f>
        <v>#N/A</v>
      </c>
      <c r="G3566" t="e">
        <f>VLOOKUP(Tabelle8[[#This Row],[Rank]],Stammdaten[[Rank Verteilung D Mitte mit Rinde]:[Verteilung D Mitte mit Rinde]],2,FALSE)</f>
        <v>#N/A</v>
      </c>
      <c r="L3566">
        <v>3557</v>
      </c>
      <c r="M3566" t="e">
        <f>INDEX(Stammdaten[Abholzigkeit (mm/lfm)],MATCH(Tabelle9[[#This Row],[Rank]],Stammdaten[Rank Verteilung Abholzigkeit],0))</f>
        <v>#N/A</v>
      </c>
      <c r="N3566" t="e">
        <f>VLOOKUP(Tabelle9[[#This Row],[Rank]],Stammdaten[[Rank Verteilung Abholzigkeit]:[Verteilung Abholzigkeit]],2,FALSE)</f>
        <v>#N/A</v>
      </c>
      <c r="S3566">
        <v>3557</v>
      </c>
      <c r="T3566" t="e">
        <f>INDEX(Stammdaten[Krümmung (mm/lfm)],MATCH(Tabelle10[[#This Row],[Rank]],Stammdaten[Rank Verteilung Krümmung],0))</f>
        <v>#N/A</v>
      </c>
      <c r="U3566" t="e">
        <f>VLOOKUP(Tabelle10[[#This Row],[Rank]],Stammdaten[[Rank Verteilung Krümmung]:[Verteilung Krümmung]],2,FALSE)</f>
        <v>#N/A</v>
      </c>
      <c r="Z3566">
        <v>3557</v>
      </c>
      <c r="AA3566" t="e">
        <f>INDEX(Stammdaten[Ovalität (']0,1'])],MATCH(Tabelle1014[[#This Row],[Rank]],Stammdaten[Rank Verteilung Ovalität],0))</f>
        <v>#N/A</v>
      </c>
      <c r="AB3566" t="e">
        <f>VLOOKUP(Tabelle1014[[#This Row],[Rank]],Stammdaten[[Rank Verteilung Ovalität]:[Verteilung Ovalität]],2,FALSE)</f>
        <v>#N/A</v>
      </c>
    </row>
    <row r="3567" spans="5:28" x14ac:dyDescent="0.35">
      <c r="E3567">
        <v>3558</v>
      </c>
      <c r="F3567" t="e">
        <f>INDEX(Stammdaten[D Mitte mit Rinde (mm)],MATCH(Tabelle8[[#This Row],[Rank]],Stammdaten[Rank Verteilung D Mitte mit Rinde],0))</f>
        <v>#N/A</v>
      </c>
      <c r="G3567" t="e">
        <f>VLOOKUP(Tabelle8[[#This Row],[Rank]],Stammdaten[[Rank Verteilung D Mitte mit Rinde]:[Verteilung D Mitte mit Rinde]],2,FALSE)</f>
        <v>#N/A</v>
      </c>
      <c r="L3567">
        <v>3558</v>
      </c>
      <c r="M3567" t="e">
        <f>INDEX(Stammdaten[Abholzigkeit (mm/lfm)],MATCH(Tabelle9[[#This Row],[Rank]],Stammdaten[Rank Verteilung Abholzigkeit],0))</f>
        <v>#N/A</v>
      </c>
      <c r="N3567" t="e">
        <f>VLOOKUP(Tabelle9[[#This Row],[Rank]],Stammdaten[[Rank Verteilung Abholzigkeit]:[Verteilung Abholzigkeit]],2,FALSE)</f>
        <v>#N/A</v>
      </c>
      <c r="S3567">
        <v>3558</v>
      </c>
      <c r="T3567" t="e">
        <f>INDEX(Stammdaten[Krümmung (mm/lfm)],MATCH(Tabelle10[[#This Row],[Rank]],Stammdaten[Rank Verteilung Krümmung],0))</f>
        <v>#N/A</v>
      </c>
      <c r="U3567" t="e">
        <f>VLOOKUP(Tabelle10[[#This Row],[Rank]],Stammdaten[[Rank Verteilung Krümmung]:[Verteilung Krümmung]],2,FALSE)</f>
        <v>#N/A</v>
      </c>
      <c r="Z3567">
        <v>3558</v>
      </c>
      <c r="AA3567" t="e">
        <f>INDEX(Stammdaten[Ovalität (']0,1'])],MATCH(Tabelle1014[[#This Row],[Rank]],Stammdaten[Rank Verteilung Ovalität],0))</f>
        <v>#N/A</v>
      </c>
      <c r="AB3567" t="e">
        <f>VLOOKUP(Tabelle1014[[#This Row],[Rank]],Stammdaten[[Rank Verteilung Ovalität]:[Verteilung Ovalität]],2,FALSE)</f>
        <v>#N/A</v>
      </c>
    </row>
    <row r="3568" spans="5:28" x14ac:dyDescent="0.35">
      <c r="E3568">
        <v>3559</v>
      </c>
      <c r="F3568" t="e">
        <f>INDEX(Stammdaten[D Mitte mit Rinde (mm)],MATCH(Tabelle8[[#This Row],[Rank]],Stammdaten[Rank Verteilung D Mitte mit Rinde],0))</f>
        <v>#N/A</v>
      </c>
      <c r="G3568" t="e">
        <f>VLOOKUP(Tabelle8[[#This Row],[Rank]],Stammdaten[[Rank Verteilung D Mitte mit Rinde]:[Verteilung D Mitte mit Rinde]],2,FALSE)</f>
        <v>#N/A</v>
      </c>
      <c r="L3568">
        <v>3559</v>
      </c>
      <c r="M3568" t="e">
        <f>INDEX(Stammdaten[Abholzigkeit (mm/lfm)],MATCH(Tabelle9[[#This Row],[Rank]],Stammdaten[Rank Verteilung Abholzigkeit],0))</f>
        <v>#N/A</v>
      </c>
      <c r="N3568" t="e">
        <f>VLOOKUP(Tabelle9[[#This Row],[Rank]],Stammdaten[[Rank Verteilung Abholzigkeit]:[Verteilung Abholzigkeit]],2,FALSE)</f>
        <v>#N/A</v>
      </c>
      <c r="S3568">
        <v>3559</v>
      </c>
      <c r="T3568" t="e">
        <f>INDEX(Stammdaten[Krümmung (mm/lfm)],MATCH(Tabelle10[[#This Row],[Rank]],Stammdaten[Rank Verteilung Krümmung],0))</f>
        <v>#N/A</v>
      </c>
      <c r="U3568" t="e">
        <f>VLOOKUP(Tabelle10[[#This Row],[Rank]],Stammdaten[[Rank Verteilung Krümmung]:[Verteilung Krümmung]],2,FALSE)</f>
        <v>#N/A</v>
      </c>
      <c r="Z3568">
        <v>3559</v>
      </c>
      <c r="AA3568" t="e">
        <f>INDEX(Stammdaten[Ovalität (']0,1'])],MATCH(Tabelle1014[[#This Row],[Rank]],Stammdaten[Rank Verteilung Ovalität],0))</f>
        <v>#N/A</v>
      </c>
      <c r="AB3568" t="e">
        <f>VLOOKUP(Tabelle1014[[#This Row],[Rank]],Stammdaten[[Rank Verteilung Ovalität]:[Verteilung Ovalität]],2,FALSE)</f>
        <v>#N/A</v>
      </c>
    </row>
    <row r="3569" spans="5:28" x14ac:dyDescent="0.35">
      <c r="E3569">
        <v>3560</v>
      </c>
      <c r="F3569" t="e">
        <f>INDEX(Stammdaten[D Mitte mit Rinde (mm)],MATCH(Tabelle8[[#This Row],[Rank]],Stammdaten[Rank Verteilung D Mitte mit Rinde],0))</f>
        <v>#N/A</v>
      </c>
      <c r="G3569" t="e">
        <f>VLOOKUP(Tabelle8[[#This Row],[Rank]],Stammdaten[[Rank Verteilung D Mitte mit Rinde]:[Verteilung D Mitte mit Rinde]],2,FALSE)</f>
        <v>#N/A</v>
      </c>
      <c r="L3569">
        <v>3560</v>
      </c>
      <c r="M3569" t="e">
        <f>INDEX(Stammdaten[Abholzigkeit (mm/lfm)],MATCH(Tabelle9[[#This Row],[Rank]],Stammdaten[Rank Verteilung Abholzigkeit],0))</f>
        <v>#N/A</v>
      </c>
      <c r="N3569" t="e">
        <f>VLOOKUP(Tabelle9[[#This Row],[Rank]],Stammdaten[[Rank Verteilung Abholzigkeit]:[Verteilung Abholzigkeit]],2,FALSE)</f>
        <v>#N/A</v>
      </c>
      <c r="S3569">
        <v>3560</v>
      </c>
      <c r="T3569" t="e">
        <f>INDEX(Stammdaten[Krümmung (mm/lfm)],MATCH(Tabelle10[[#This Row],[Rank]],Stammdaten[Rank Verteilung Krümmung],0))</f>
        <v>#N/A</v>
      </c>
      <c r="U3569" t="e">
        <f>VLOOKUP(Tabelle10[[#This Row],[Rank]],Stammdaten[[Rank Verteilung Krümmung]:[Verteilung Krümmung]],2,FALSE)</f>
        <v>#N/A</v>
      </c>
      <c r="Z3569">
        <v>3560</v>
      </c>
      <c r="AA3569" t="e">
        <f>INDEX(Stammdaten[Ovalität (']0,1'])],MATCH(Tabelle1014[[#This Row],[Rank]],Stammdaten[Rank Verteilung Ovalität],0))</f>
        <v>#N/A</v>
      </c>
      <c r="AB3569" t="e">
        <f>VLOOKUP(Tabelle1014[[#This Row],[Rank]],Stammdaten[[Rank Verteilung Ovalität]:[Verteilung Ovalität]],2,FALSE)</f>
        <v>#N/A</v>
      </c>
    </row>
    <row r="3570" spans="5:28" x14ac:dyDescent="0.35">
      <c r="E3570">
        <v>3561</v>
      </c>
      <c r="F3570" t="e">
        <f>INDEX(Stammdaten[D Mitte mit Rinde (mm)],MATCH(Tabelle8[[#This Row],[Rank]],Stammdaten[Rank Verteilung D Mitte mit Rinde],0))</f>
        <v>#N/A</v>
      </c>
      <c r="G3570" t="e">
        <f>VLOOKUP(Tabelle8[[#This Row],[Rank]],Stammdaten[[Rank Verteilung D Mitte mit Rinde]:[Verteilung D Mitte mit Rinde]],2,FALSE)</f>
        <v>#N/A</v>
      </c>
      <c r="L3570">
        <v>3561</v>
      </c>
      <c r="M3570" t="e">
        <f>INDEX(Stammdaten[Abholzigkeit (mm/lfm)],MATCH(Tabelle9[[#This Row],[Rank]],Stammdaten[Rank Verteilung Abholzigkeit],0))</f>
        <v>#N/A</v>
      </c>
      <c r="N3570" t="e">
        <f>VLOOKUP(Tabelle9[[#This Row],[Rank]],Stammdaten[[Rank Verteilung Abholzigkeit]:[Verteilung Abholzigkeit]],2,FALSE)</f>
        <v>#N/A</v>
      </c>
      <c r="S3570">
        <v>3561</v>
      </c>
      <c r="T3570" t="e">
        <f>INDEX(Stammdaten[Krümmung (mm/lfm)],MATCH(Tabelle10[[#This Row],[Rank]],Stammdaten[Rank Verteilung Krümmung],0))</f>
        <v>#N/A</v>
      </c>
      <c r="U3570" t="e">
        <f>VLOOKUP(Tabelle10[[#This Row],[Rank]],Stammdaten[[Rank Verteilung Krümmung]:[Verteilung Krümmung]],2,FALSE)</f>
        <v>#N/A</v>
      </c>
      <c r="Z3570">
        <v>3561</v>
      </c>
      <c r="AA3570" t="e">
        <f>INDEX(Stammdaten[Ovalität (']0,1'])],MATCH(Tabelle1014[[#This Row],[Rank]],Stammdaten[Rank Verteilung Ovalität],0))</f>
        <v>#N/A</v>
      </c>
      <c r="AB3570" t="e">
        <f>VLOOKUP(Tabelle1014[[#This Row],[Rank]],Stammdaten[[Rank Verteilung Ovalität]:[Verteilung Ovalität]],2,FALSE)</f>
        <v>#N/A</v>
      </c>
    </row>
    <row r="3571" spans="5:28" x14ac:dyDescent="0.35">
      <c r="E3571">
        <v>3562</v>
      </c>
      <c r="F3571" t="e">
        <f>INDEX(Stammdaten[D Mitte mit Rinde (mm)],MATCH(Tabelle8[[#This Row],[Rank]],Stammdaten[Rank Verteilung D Mitte mit Rinde],0))</f>
        <v>#N/A</v>
      </c>
      <c r="G3571" t="e">
        <f>VLOOKUP(Tabelle8[[#This Row],[Rank]],Stammdaten[[Rank Verteilung D Mitte mit Rinde]:[Verteilung D Mitte mit Rinde]],2,FALSE)</f>
        <v>#N/A</v>
      </c>
      <c r="L3571">
        <v>3562</v>
      </c>
      <c r="M3571" t="e">
        <f>INDEX(Stammdaten[Abholzigkeit (mm/lfm)],MATCH(Tabelle9[[#This Row],[Rank]],Stammdaten[Rank Verteilung Abholzigkeit],0))</f>
        <v>#N/A</v>
      </c>
      <c r="N3571" t="e">
        <f>VLOOKUP(Tabelle9[[#This Row],[Rank]],Stammdaten[[Rank Verteilung Abholzigkeit]:[Verteilung Abholzigkeit]],2,FALSE)</f>
        <v>#N/A</v>
      </c>
      <c r="S3571">
        <v>3562</v>
      </c>
      <c r="T3571" t="e">
        <f>INDEX(Stammdaten[Krümmung (mm/lfm)],MATCH(Tabelle10[[#This Row],[Rank]],Stammdaten[Rank Verteilung Krümmung],0))</f>
        <v>#N/A</v>
      </c>
      <c r="U3571" t="e">
        <f>VLOOKUP(Tabelle10[[#This Row],[Rank]],Stammdaten[[Rank Verteilung Krümmung]:[Verteilung Krümmung]],2,FALSE)</f>
        <v>#N/A</v>
      </c>
      <c r="Z3571">
        <v>3562</v>
      </c>
      <c r="AA3571" t="e">
        <f>INDEX(Stammdaten[Ovalität (']0,1'])],MATCH(Tabelle1014[[#This Row],[Rank]],Stammdaten[Rank Verteilung Ovalität],0))</f>
        <v>#N/A</v>
      </c>
      <c r="AB3571" t="e">
        <f>VLOOKUP(Tabelle1014[[#This Row],[Rank]],Stammdaten[[Rank Verteilung Ovalität]:[Verteilung Ovalität]],2,FALSE)</f>
        <v>#N/A</v>
      </c>
    </row>
    <row r="3572" spans="5:28" x14ac:dyDescent="0.35">
      <c r="E3572">
        <v>3563</v>
      </c>
      <c r="F3572" t="e">
        <f>INDEX(Stammdaten[D Mitte mit Rinde (mm)],MATCH(Tabelle8[[#This Row],[Rank]],Stammdaten[Rank Verteilung D Mitte mit Rinde],0))</f>
        <v>#N/A</v>
      </c>
      <c r="G3572" t="e">
        <f>VLOOKUP(Tabelle8[[#This Row],[Rank]],Stammdaten[[Rank Verteilung D Mitte mit Rinde]:[Verteilung D Mitte mit Rinde]],2,FALSE)</f>
        <v>#N/A</v>
      </c>
      <c r="L3572">
        <v>3563</v>
      </c>
      <c r="M3572" t="e">
        <f>INDEX(Stammdaten[Abholzigkeit (mm/lfm)],MATCH(Tabelle9[[#This Row],[Rank]],Stammdaten[Rank Verteilung Abholzigkeit],0))</f>
        <v>#N/A</v>
      </c>
      <c r="N3572" t="e">
        <f>VLOOKUP(Tabelle9[[#This Row],[Rank]],Stammdaten[[Rank Verteilung Abholzigkeit]:[Verteilung Abholzigkeit]],2,FALSE)</f>
        <v>#N/A</v>
      </c>
      <c r="S3572">
        <v>3563</v>
      </c>
      <c r="T3572" t="e">
        <f>INDEX(Stammdaten[Krümmung (mm/lfm)],MATCH(Tabelle10[[#This Row],[Rank]],Stammdaten[Rank Verteilung Krümmung],0))</f>
        <v>#N/A</v>
      </c>
      <c r="U3572" t="e">
        <f>VLOOKUP(Tabelle10[[#This Row],[Rank]],Stammdaten[[Rank Verteilung Krümmung]:[Verteilung Krümmung]],2,FALSE)</f>
        <v>#N/A</v>
      </c>
      <c r="Z3572">
        <v>3563</v>
      </c>
      <c r="AA3572" t="e">
        <f>INDEX(Stammdaten[Ovalität (']0,1'])],MATCH(Tabelle1014[[#This Row],[Rank]],Stammdaten[Rank Verteilung Ovalität],0))</f>
        <v>#N/A</v>
      </c>
      <c r="AB3572" t="e">
        <f>VLOOKUP(Tabelle1014[[#This Row],[Rank]],Stammdaten[[Rank Verteilung Ovalität]:[Verteilung Ovalität]],2,FALSE)</f>
        <v>#N/A</v>
      </c>
    </row>
    <row r="3573" spans="5:28" x14ac:dyDescent="0.35">
      <c r="E3573">
        <v>3564</v>
      </c>
      <c r="F3573" t="e">
        <f>INDEX(Stammdaten[D Mitte mit Rinde (mm)],MATCH(Tabelle8[[#This Row],[Rank]],Stammdaten[Rank Verteilung D Mitte mit Rinde],0))</f>
        <v>#N/A</v>
      </c>
      <c r="G3573" t="e">
        <f>VLOOKUP(Tabelle8[[#This Row],[Rank]],Stammdaten[[Rank Verteilung D Mitte mit Rinde]:[Verteilung D Mitte mit Rinde]],2,FALSE)</f>
        <v>#N/A</v>
      </c>
      <c r="L3573">
        <v>3564</v>
      </c>
      <c r="M3573" t="e">
        <f>INDEX(Stammdaten[Abholzigkeit (mm/lfm)],MATCH(Tabelle9[[#This Row],[Rank]],Stammdaten[Rank Verteilung Abholzigkeit],0))</f>
        <v>#N/A</v>
      </c>
      <c r="N3573" t="e">
        <f>VLOOKUP(Tabelle9[[#This Row],[Rank]],Stammdaten[[Rank Verteilung Abholzigkeit]:[Verteilung Abholzigkeit]],2,FALSE)</f>
        <v>#N/A</v>
      </c>
      <c r="S3573">
        <v>3564</v>
      </c>
      <c r="T3573" t="e">
        <f>INDEX(Stammdaten[Krümmung (mm/lfm)],MATCH(Tabelle10[[#This Row],[Rank]],Stammdaten[Rank Verteilung Krümmung],0))</f>
        <v>#N/A</v>
      </c>
      <c r="U3573" t="e">
        <f>VLOOKUP(Tabelle10[[#This Row],[Rank]],Stammdaten[[Rank Verteilung Krümmung]:[Verteilung Krümmung]],2,FALSE)</f>
        <v>#N/A</v>
      </c>
      <c r="Z3573">
        <v>3564</v>
      </c>
      <c r="AA3573" t="e">
        <f>INDEX(Stammdaten[Ovalität (']0,1'])],MATCH(Tabelle1014[[#This Row],[Rank]],Stammdaten[Rank Verteilung Ovalität],0))</f>
        <v>#N/A</v>
      </c>
      <c r="AB3573" t="e">
        <f>VLOOKUP(Tabelle1014[[#This Row],[Rank]],Stammdaten[[Rank Verteilung Ovalität]:[Verteilung Ovalität]],2,FALSE)</f>
        <v>#N/A</v>
      </c>
    </row>
    <row r="3574" spans="5:28" x14ac:dyDescent="0.35">
      <c r="E3574">
        <v>3565</v>
      </c>
      <c r="F3574" t="e">
        <f>INDEX(Stammdaten[D Mitte mit Rinde (mm)],MATCH(Tabelle8[[#This Row],[Rank]],Stammdaten[Rank Verteilung D Mitte mit Rinde],0))</f>
        <v>#N/A</v>
      </c>
      <c r="G3574" t="e">
        <f>VLOOKUP(Tabelle8[[#This Row],[Rank]],Stammdaten[[Rank Verteilung D Mitte mit Rinde]:[Verteilung D Mitte mit Rinde]],2,FALSE)</f>
        <v>#N/A</v>
      </c>
      <c r="L3574">
        <v>3565</v>
      </c>
      <c r="M3574" t="e">
        <f>INDEX(Stammdaten[Abholzigkeit (mm/lfm)],MATCH(Tabelle9[[#This Row],[Rank]],Stammdaten[Rank Verteilung Abholzigkeit],0))</f>
        <v>#N/A</v>
      </c>
      <c r="N3574" t="e">
        <f>VLOOKUP(Tabelle9[[#This Row],[Rank]],Stammdaten[[Rank Verteilung Abholzigkeit]:[Verteilung Abholzigkeit]],2,FALSE)</f>
        <v>#N/A</v>
      </c>
      <c r="S3574">
        <v>3565</v>
      </c>
      <c r="T3574" t="e">
        <f>INDEX(Stammdaten[Krümmung (mm/lfm)],MATCH(Tabelle10[[#This Row],[Rank]],Stammdaten[Rank Verteilung Krümmung],0))</f>
        <v>#N/A</v>
      </c>
      <c r="U3574" t="e">
        <f>VLOOKUP(Tabelle10[[#This Row],[Rank]],Stammdaten[[Rank Verteilung Krümmung]:[Verteilung Krümmung]],2,FALSE)</f>
        <v>#N/A</v>
      </c>
      <c r="Z3574">
        <v>3565</v>
      </c>
      <c r="AA3574" t="e">
        <f>INDEX(Stammdaten[Ovalität (']0,1'])],MATCH(Tabelle1014[[#This Row],[Rank]],Stammdaten[Rank Verteilung Ovalität],0))</f>
        <v>#N/A</v>
      </c>
      <c r="AB3574" t="e">
        <f>VLOOKUP(Tabelle1014[[#This Row],[Rank]],Stammdaten[[Rank Verteilung Ovalität]:[Verteilung Ovalität]],2,FALSE)</f>
        <v>#N/A</v>
      </c>
    </row>
    <row r="3575" spans="5:28" x14ac:dyDescent="0.35">
      <c r="E3575">
        <v>3566</v>
      </c>
      <c r="F3575" t="e">
        <f>INDEX(Stammdaten[D Mitte mit Rinde (mm)],MATCH(Tabelle8[[#This Row],[Rank]],Stammdaten[Rank Verteilung D Mitte mit Rinde],0))</f>
        <v>#N/A</v>
      </c>
      <c r="G3575" t="e">
        <f>VLOOKUP(Tabelle8[[#This Row],[Rank]],Stammdaten[[Rank Verteilung D Mitte mit Rinde]:[Verteilung D Mitte mit Rinde]],2,FALSE)</f>
        <v>#N/A</v>
      </c>
      <c r="L3575">
        <v>3566</v>
      </c>
      <c r="M3575" t="e">
        <f>INDEX(Stammdaten[Abholzigkeit (mm/lfm)],MATCH(Tabelle9[[#This Row],[Rank]],Stammdaten[Rank Verteilung Abholzigkeit],0))</f>
        <v>#N/A</v>
      </c>
      <c r="N3575" t="e">
        <f>VLOOKUP(Tabelle9[[#This Row],[Rank]],Stammdaten[[Rank Verteilung Abholzigkeit]:[Verteilung Abholzigkeit]],2,FALSE)</f>
        <v>#N/A</v>
      </c>
      <c r="S3575">
        <v>3566</v>
      </c>
      <c r="T3575" t="e">
        <f>INDEX(Stammdaten[Krümmung (mm/lfm)],MATCH(Tabelle10[[#This Row],[Rank]],Stammdaten[Rank Verteilung Krümmung],0))</f>
        <v>#N/A</v>
      </c>
      <c r="U3575" t="e">
        <f>VLOOKUP(Tabelle10[[#This Row],[Rank]],Stammdaten[[Rank Verteilung Krümmung]:[Verteilung Krümmung]],2,FALSE)</f>
        <v>#N/A</v>
      </c>
      <c r="Z3575">
        <v>3566</v>
      </c>
      <c r="AA3575" t="e">
        <f>INDEX(Stammdaten[Ovalität (']0,1'])],MATCH(Tabelle1014[[#This Row],[Rank]],Stammdaten[Rank Verteilung Ovalität],0))</f>
        <v>#N/A</v>
      </c>
      <c r="AB3575" t="e">
        <f>VLOOKUP(Tabelle1014[[#This Row],[Rank]],Stammdaten[[Rank Verteilung Ovalität]:[Verteilung Ovalität]],2,FALSE)</f>
        <v>#N/A</v>
      </c>
    </row>
    <row r="3576" spans="5:28" x14ac:dyDescent="0.35">
      <c r="E3576">
        <v>3567</v>
      </c>
      <c r="F3576" t="e">
        <f>INDEX(Stammdaten[D Mitte mit Rinde (mm)],MATCH(Tabelle8[[#This Row],[Rank]],Stammdaten[Rank Verteilung D Mitte mit Rinde],0))</f>
        <v>#N/A</v>
      </c>
      <c r="G3576" t="e">
        <f>VLOOKUP(Tabelle8[[#This Row],[Rank]],Stammdaten[[Rank Verteilung D Mitte mit Rinde]:[Verteilung D Mitte mit Rinde]],2,FALSE)</f>
        <v>#N/A</v>
      </c>
      <c r="L3576">
        <v>3567</v>
      </c>
      <c r="M3576" t="e">
        <f>INDEX(Stammdaten[Abholzigkeit (mm/lfm)],MATCH(Tabelle9[[#This Row],[Rank]],Stammdaten[Rank Verteilung Abholzigkeit],0))</f>
        <v>#N/A</v>
      </c>
      <c r="N3576" t="e">
        <f>VLOOKUP(Tabelle9[[#This Row],[Rank]],Stammdaten[[Rank Verteilung Abholzigkeit]:[Verteilung Abholzigkeit]],2,FALSE)</f>
        <v>#N/A</v>
      </c>
      <c r="S3576">
        <v>3567</v>
      </c>
      <c r="T3576" t="e">
        <f>INDEX(Stammdaten[Krümmung (mm/lfm)],MATCH(Tabelle10[[#This Row],[Rank]],Stammdaten[Rank Verteilung Krümmung],0))</f>
        <v>#N/A</v>
      </c>
      <c r="U3576" t="e">
        <f>VLOOKUP(Tabelle10[[#This Row],[Rank]],Stammdaten[[Rank Verteilung Krümmung]:[Verteilung Krümmung]],2,FALSE)</f>
        <v>#N/A</v>
      </c>
      <c r="Z3576">
        <v>3567</v>
      </c>
      <c r="AA3576" t="e">
        <f>INDEX(Stammdaten[Ovalität (']0,1'])],MATCH(Tabelle1014[[#This Row],[Rank]],Stammdaten[Rank Verteilung Ovalität],0))</f>
        <v>#N/A</v>
      </c>
      <c r="AB3576" t="e">
        <f>VLOOKUP(Tabelle1014[[#This Row],[Rank]],Stammdaten[[Rank Verteilung Ovalität]:[Verteilung Ovalität]],2,FALSE)</f>
        <v>#N/A</v>
      </c>
    </row>
    <row r="3577" spans="5:28" x14ac:dyDescent="0.35">
      <c r="E3577">
        <v>3568</v>
      </c>
      <c r="F3577" t="e">
        <f>INDEX(Stammdaten[D Mitte mit Rinde (mm)],MATCH(Tabelle8[[#This Row],[Rank]],Stammdaten[Rank Verteilung D Mitte mit Rinde],0))</f>
        <v>#N/A</v>
      </c>
      <c r="G3577" t="e">
        <f>VLOOKUP(Tabelle8[[#This Row],[Rank]],Stammdaten[[Rank Verteilung D Mitte mit Rinde]:[Verteilung D Mitte mit Rinde]],2,FALSE)</f>
        <v>#N/A</v>
      </c>
      <c r="L3577">
        <v>3568</v>
      </c>
      <c r="M3577" t="e">
        <f>INDEX(Stammdaten[Abholzigkeit (mm/lfm)],MATCH(Tabelle9[[#This Row],[Rank]],Stammdaten[Rank Verteilung Abholzigkeit],0))</f>
        <v>#N/A</v>
      </c>
      <c r="N3577" t="e">
        <f>VLOOKUP(Tabelle9[[#This Row],[Rank]],Stammdaten[[Rank Verteilung Abholzigkeit]:[Verteilung Abholzigkeit]],2,FALSE)</f>
        <v>#N/A</v>
      </c>
      <c r="S3577">
        <v>3568</v>
      </c>
      <c r="T3577" t="e">
        <f>INDEX(Stammdaten[Krümmung (mm/lfm)],MATCH(Tabelle10[[#This Row],[Rank]],Stammdaten[Rank Verteilung Krümmung],0))</f>
        <v>#N/A</v>
      </c>
      <c r="U3577" t="e">
        <f>VLOOKUP(Tabelle10[[#This Row],[Rank]],Stammdaten[[Rank Verteilung Krümmung]:[Verteilung Krümmung]],2,FALSE)</f>
        <v>#N/A</v>
      </c>
      <c r="Z3577">
        <v>3568</v>
      </c>
      <c r="AA3577" t="e">
        <f>INDEX(Stammdaten[Ovalität (']0,1'])],MATCH(Tabelle1014[[#This Row],[Rank]],Stammdaten[Rank Verteilung Ovalität],0))</f>
        <v>#N/A</v>
      </c>
      <c r="AB3577" t="e">
        <f>VLOOKUP(Tabelle1014[[#This Row],[Rank]],Stammdaten[[Rank Verteilung Ovalität]:[Verteilung Ovalität]],2,FALSE)</f>
        <v>#N/A</v>
      </c>
    </row>
    <row r="3578" spans="5:28" x14ac:dyDescent="0.35">
      <c r="E3578">
        <v>3569</v>
      </c>
      <c r="F3578" t="e">
        <f>INDEX(Stammdaten[D Mitte mit Rinde (mm)],MATCH(Tabelle8[[#This Row],[Rank]],Stammdaten[Rank Verteilung D Mitte mit Rinde],0))</f>
        <v>#N/A</v>
      </c>
      <c r="G3578" t="e">
        <f>VLOOKUP(Tabelle8[[#This Row],[Rank]],Stammdaten[[Rank Verteilung D Mitte mit Rinde]:[Verteilung D Mitte mit Rinde]],2,FALSE)</f>
        <v>#N/A</v>
      </c>
      <c r="L3578">
        <v>3569</v>
      </c>
      <c r="M3578" t="e">
        <f>INDEX(Stammdaten[Abholzigkeit (mm/lfm)],MATCH(Tabelle9[[#This Row],[Rank]],Stammdaten[Rank Verteilung Abholzigkeit],0))</f>
        <v>#N/A</v>
      </c>
      <c r="N3578" t="e">
        <f>VLOOKUP(Tabelle9[[#This Row],[Rank]],Stammdaten[[Rank Verteilung Abholzigkeit]:[Verteilung Abholzigkeit]],2,FALSE)</f>
        <v>#N/A</v>
      </c>
      <c r="S3578">
        <v>3569</v>
      </c>
      <c r="T3578" t="e">
        <f>INDEX(Stammdaten[Krümmung (mm/lfm)],MATCH(Tabelle10[[#This Row],[Rank]],Stammdaten[Rank Verteilung Krümmung],0))</f>
        <v>#N/A</v>
      </c>
      <c r="U3578" t="e">
        <f>VLOOKUP(Tabelle10[[#This Row],[Rank]],Stammdaten[[Rank Verteilung Krümmung]:[Verteilung Krümmung]],2,FALSE)</f>
        <v>#N/A</v>
      </c>
      <c r="Z3578">
        <v>3569</v>
      </c>
      <c r="AA3578" t="e">
        <f>INDEX(Stammdaten[Ovalität (']0,1'])],MATCH(Tabelle1014[[#This Row],[Rank]],Stammdaten[Rank Verteilung Ovalität],0))</f>
        <v>#N/A</v>
      </c>
      <c r="AB3578" t="e">
        <f>VLOOKUP(Tabelle1014[[#This Row],[Rank]],Stammdaten[[Rank Verteilung Ovalität]:[Verteilung Ovalität]],2,FALSE)</f>
        <v>#N/A</v>
      </c>
    </row>
    <row r="3579" spans="5:28" x14ac:dyDescent="0.35">
      <c r="E3579">
        <v>3570</v>
      </c>
      <c r="F3579" t="e">
        <f>INDEX(Stammdaten[D Mitte mit Rinde (mm)],MATCH(Tabelle8[[#This Row],[Rank]],Stammdaten[Rank Verteilung D Mitte mit Rinde],0))</f>
        <v>#N/A</v>
      </c>
      <c r="G3579" t="e">
        <f>VLOOKUP(Tabelle8[[#This Row],[Rank]],Stammdaten[[Rank Verteilung D Mitte mit Rinde]:[Verteilung D Mitte mit Rinde]],2,FALSE)</f>
        <v>#N/A</v>
      </c>
      <c r="L3579">
        <v>3570</v>
      </c>
      <c r="M3579" t="e">
        <f>INDEX(Stammdaten[Abholzigkeit (mm/lfm)],MATCH(Tabelle9[[#This Row],[Rank]],Stammdaten[Rank Verteilung Abholzigkeit],0))</f>
        <v>#N/A</v>
      </c>
      <c r="N3579" t="e">
        <f>VLOOKUP(Tabelle9[[#This Row],[Rank]],Stammdaten[[Rank Verteilung Abholzigkeit]:[Verteilung Abholzigkeit]],2,FALSE)</f>
        <v>#N/A</v>
      </c>
      <c r="S3579">
        <v>3570</v>
      </c>
      <c r="T3579" t="e">
        <f>INDEX(Stammdaten[Krümmung (mm/lfm)],MATCH(Tabelle10[[#This Row],[Rank]],Stammdaten[Rank Verteilung Krümmung],0))</f>
        <v>#N/A</v>
      </c>
      <c r="U3579" t="e">
        <f>VLOOKUP(Tabelle10[[#This Row],[Rank]],Stammdaten[[Rank Verteilung Krümmung]:[Verteilung Krümmung]],2,FALSE)</f>
        <v>#N/A</v>
      </c>
      <c r="Z3579">
        <v>3570</v>
      </c>
      <c r="AA3579" t="e">
        <f>INDEX(Stammdaten[Ovalität (']0,1'])],MATCH(Tabelle1014[[#This Row],[Rank]],Stammdaten[Rank Verteilung Ovalität],0))</f>
        <v>#N/A</v>
      </c>
      <c r="AB3579" t="e">
        <f>VLOOKUP(Tabelle1014[[#This Row],[Rank]],Stammdaten[[Rank Verteilung Ovalität]:[Verteilung Ovalität]],2,FALSE)</f>
        <v>#N/A</v>
      </c>
    </row>
    <row r="3580" spans="5:28" x14ac:dyDescent="0.35">
      <c r="E3580">
        <v>3571</v>
      </c>
      <c r="F3580" t="e">
        <f>INDEX(Stammdaten[D Mitte mit Rinde (mm)],MATCH(Tabelle8[[#This Row],[Rank]],Stammdaten[Rank Verteilung D Mitte mit Rinde],0))</f>
        <v>#N/A</v>
      </c>
      <c r="G3580" t="e">
        <f>VLOOKUP(Tabelle8[[#This Row],[Rank]],Stammdaten[[Rank Verteilung D Mitte mit Rinde]:[Verteilung D Mitte mit Rinde]],2,FALSE)</f>
        <v>#N/A</v>
      </c>
      <c r="L3580">
        <v>3571</v>
      </c>
      <c r="M3580" t="e">
        <f>INDEX(Stammdaten[Abholzigkeit (mm/lfm)],MATCH(Tabelle9[[#This Row],[Rank]],Stammdaten[Rank Verteilung Abholzigkeit],0))</f>
        <v>#N/A</v>
      </c>
      <c r="N3580" t="e">
        <f>VLOOKUP(Tabelle9[[#This Row],[Rank]],Stammdaten[[Rank Verteilung Abholzigkeit]:[Verteilung Abholzigkeit]],2,FALSE)</f>
        <v>#N/A</v>
      </c>
      <c r="S3580">
        <v>3571</v>
      </c>
      <c r="T3580" t="e">
        <f>INDEX(Stammdaten[Krümmung (mm/lfm)],MATCH(Tabelle10[[#This Row],[Rank]],Stammdaten[Rank Verteilung Krümmung],0))</f>
        <v>#N/A</v>
      </c>
      <c r="U3580" t="e">
        <f>VLOOKUP(Tabelle10[[#This Row],[Rank]],Stammdaten[[Rank Verteilung Krümmung]:[Verteilung Krümmung]],2,FALSE)</f>
        <v>#N/A</v>
      </c>
      <c r="Z3580">
        <v>3571</v>
      </c>
      <c r="AA3580" t="e">
        <f>INDEX(Stammdaten[Ovalität (']0,1'])],MATCH(Tabelle1014[[#This Row],[Rank]],Stammdaten[Rank Verteilung Ovalität],0))</f>
        <v>#N/A</v>
      </c>
      <c r="AB3580" t="e">
        <f>VLOOKUP(Tabelle1014[[#This Row],[Rank]],Stammdaten[[Rank Verteilung Ovalität]:[Verteilung Ovalität]],2,FALSE)</f>
        <v>#N/A</v>
      </c>
    </row>
    <row r="3581" spans="5:28" x14ac:dyDescent="0.35">
      <c r="E3581">
        <v>3572</v>
      </c>
      <c r="F3581" t="e">
        <f>INDEX(Stammdaten[D Mitte mit Rinde (mm)],MATCH(Tabelle8[[#This Row],[Rank]],Stammdaten[Rank Verteilung D Mitte mit Rinde],0))</f>
        <v>#N/A</v>
      </c>
      <c r="G3581" t="e">
        <f>VLOOKUP(Tabelle8[[#This Row],[Rank]],Stammdaten[[Rank Verteilung D Mitte mit Rinde]:[Verteilung D Mitte mit Rinde]],2,FALSE)</f>
        <v>#N/A</v>
      </c>
      <c r="L3581">
        <v>3572</v>
      </c>
      <c r="M3581" t="e">
        <f>INDEX(Stammdaten[Abholzigkeit (mm/lfm)],MATCH(Tabelle9[[#This Row],[Rank]],Stammdaten[Rank Verteilung Abholzigkeit],0))</f>
        <v>#N/A</v>
      </c>
      <c r="N3581" t="e">
        <f>VLOOKUP(Tabelle9[[#This Row],[Rank]],Stammdaten[[Rank Verteilung Abholzigkeit]:[Verteilung Abholzigkeit]],2,FALSE)</f>
        <v>#N/A</v>
      </c>
      <c r="S3581">
        <v>3572</v>
      </c>
      <c r="T3581" t="e">
        <f>INDEX(Stammdaten[Krümmung (mm/lfm)],MATCH(Tabelle10[[#This Row],[Rank]],Stammdaten[Rank Verteilung Krümmung],0))</f>
        <v>#N/A</v>
      </c>
      <c r="U3581" t="e">
        <f>VLOOKUP(Tabelle10[[#This Row],[Rank]],Stammdaten[[Rank Verteilung Krümmung]:[Verteilung Krümmung]],2,FALSE)</f>
        <v>#N/A</v>
      </c>
      <c r="Z3581">
        <v>3572</v>
      </c>
      <c r="AA3581" t="e">
        <f>INDEX(Stammdaten[Ovalität (']0,1'])],MATCH(Tabelle1014[[#This Row],[Rank]],Stammdaten[Rank Verteilung Ovalität],0))</f>
        <v>#N/A</v>
      </c>
      <c r="AB3581" t="e">
        <f>VLOOKUP(Tabelle1014[[#This Row],[Rank]],Stammdaten[[Rank Verteilung Ovalität]:[Verteilung Ovalität]],2,FALSE)</f>
        <v>#N/A</v>
      </c>
    </row>
    <row r="3582" spans="5:28" x14ac:dyDescent="0.35">
      <c r="E3582">
        <v>3573</v>
      </c>
      <c r="F3582" t="e">
        <f>INDEX(Stammdaten[D Mitte mit Rinde (mm)],MATCH(Tabelle8[[#This Row],[Rank]],Stammdaten[Rank Verteilung D Mitte mit Rinde],0))</f>
        <v>#N/A</v>
      </c>
      <c r="G3582" t="e">
        <f>VLOOKUP(Tabelle8[[#This Row],[Rank]],Stammdaten[[Rank Verteilung D Mitte mit Rinde]:[Verteilung D Mitte mit Rinde]],2,FALSE)</f>
        <v>#N/A</v>
      </c>
      <c r="L3582">
        <v>3573</v>
      </c>
      <c r="M3582" t="e">
        <f>INDEX(Stammdaten[Abholzigkeit (mm/lfm)],MATCH(Tabelle9[[#This Row],[Rank]],Stammdaten[Rank Verteilung Abholzigkeit],0))</f>
        <v>#N/A</v>
      </c>
      <c r="N3582" t="e">
        <f>VLOOKUP(Tabelle9[[#This Row],[Rank]],Stammdaten[[Rank Verteilung Abholzigkeit]:[Verteilung Abholzigkeit]],2,FALSE)</f>
        <v>#N/A</v>
      </c>
      <c r="S3582">
        <v>3573</v>
      </c>
      <c r="T3582" t="e">
        <f>INDEX(Stammdaten[Krümmung (mm/lfm)],MATCH(Tabelle10[[#This Row],[Rank]],Stammdaten[Rank Verteilung Krümmung],0))</f>
        <v>#N/A</v>
      </c>
      <c r="U3582" t="e">
        <f>VLOOKUP(Tabelle10[[#This Row],[Rank]],Stammdaten[[Rank Verteilung Krümmung]:[Verteilung Krümmung]],2,FALSE)</f>
        <v>#N/A</v>
      </c>
      <c r="Z3582">
        <v>3573</v>
      </c>
      <c r="AA3582" t="e">
        <f>INDEX(Stammdaten[Ovalität (']0,1'])],MATCH(Tabelle1014[[#This Row],[Rank]],Stammdaten[Rank Verteilung Ovalität],0))</f>
        <v>#N/A</v>
      </c>
      <c r="AB3582" t="e">
        <f>VLOOKUP(Tabelle1014[[#This Row],[Rank]],Stammdaten[[Rank Verteilung Ovalität]:[Verteilung Ovalität]],2,FALSE)</f>
        <v>#N/A</v>
      </c>
    </row>
    <row r="3583" spans="5:28" x14ac:dyDescent="0.35">
      <c r="E3583">
        <v>3574</v>
      </c>
      <c r="F3583" t="e">
        <f>INDEX(Stammdaten[D Mitte mit Rinde (mm)],MATCH(Tabelle8[[#This Row],[Rank]],Stammdaten[Rank Verteilung D Mitte mit Rinde],0))</f>
        <v>#N/A</v>
      </c>
      <c r="G3583" t="e">
        <f>VLOOKUP(Tabelle8[[#This Row],[Rank]],Stammdaten[[Rank Verteilung D Mitte mit Rinde]:[Verteilung D Mitte mit Rinde]],2,FALSE)</f>
        <v>#N/A</v>
      </c>
      <c r="L3583">
        <v>3574</v>
      </c>
      <c r="M3583" t="e">
        <f>INDEX(Stammdaten[Abholzigkeit (mm/lfm)],MATCH(Tabelle9[[#This Row],[Rank]],Stammdaten[Rank Verteilung Abholzigkeit],0))</f>
        <v>#N/A</v>
      </c>
      <c r="N3583" t="e">
        <f>VLOOKUP(Tabelle9[[#This Row],[Rank]],Stammdaten[[Rank Verteilung Abholzigkeit]:[Verteilung Abholzigkeit]],2,FALSE)</f>
        <v>#N/A</v>
      </c>
      <c r="S3583">
        <v>3574</v>
      </c>
      <c r="T3583" t="e">
        <f>INDEX(Stammdaten[Krümmung (mm/lfm)],MATCH(Tabelle10[[#This Row],[Rank]],Stammdaten[Rank Verteilung Krümmung],0))</f>
        <v>#N/A</v>
      </c>
      <c r="U3583" t="e">
        <f>VLOOKUP(Tabelle10[[#This Row],[Rank]],Stammdaten[[Rank Verteilung Krümmung]:[Verteilung Krümmung]],2,FALSE)</f>
        <v>#N/A</v>
      </c>
      <c r="Z3583">
        <v>3574</v>
      </c>
      <c r="AA3583" t="e">
        <f>INDEX(Stammdaten[Ovalität (']0,1'])],MATCH(Tabelle1014[[#This Row],[Rank]],Stammdaten[Rank Verteilung Ovalität],0))</f>
        <v>#N/A</v>
      </c>
      <c r="AB3583" t="e">
        <f>VLOOKUP(Tabelle1014[[#This Row],[Rank]],Stammdaten[[Rank Verteilung Ovalität]:[Verteilung Ovalität]],2,FALSE)</f>
        <v>#N/A</v>
      </c>
    </row>
    <row r="3584" spans="5:28" x14ac:dyDescent="0.35">
      <c r="E3584">
        <v>3575</v>
      </c>
      <c r="F3584" t="e">
        <f>INDEX(Stammdaten[D Mitte mit Rinde (mm)],MATCH(Tabelle8[[#This Row],[Rank]],Stammdaten[Rank Verteilung D Mitte mit Rinde],0))</f>
        <v>#N/A</v>
      </c>
      <c r="G3584" t="e">
        <f>VLOOKUP(Tabelle8[[#This Row],[Rank]],Stammdaten[[Rank Verteilung D Mitte mit Rinde]:[Verteilung D Mitte mit Rinde]],2,FALSE)</f>
        <v>#N/A</v>
      </c>
      <c r="L3584">
        <v>3575</v>
      </c>
      <c r="M3584" t="e">
        <f>INDEX(Stammdaten[Abholzigkeit (mm/lfm)],MATCH(Tabelle9[[#This Row],[Rank]],Stammdaten[Rank Verteilung Abholzigkeit],0))</f>
        <v>#N/A</v>
      </c>
      <c r="N3584" t="e">
        <f>VLOOKUP(Tabelle9[[#This Row],[Rank]],Stammdaten[[Rank Verteilung Abholzigkeit]:[Verteilung Abholzigkeit]],2,FALSE)</f>
        <v>#N/A</v>
      </c>
      <c r="S3584">
        <v>3575</v>
      </c>
      <c r="T3584" t="e">
        <f>INDEX(Stammdaten[Krümmung (mm/lfm)],MATCH(Tabelle10[[#This Row],[Rank]],Stammdaten[Rank Verteilung Krümmung],0))</f>
        <v>#N/A</v>
      </c>
      <c r="U3584" t="e">
        <f>VLOOKUP(Tabelle10[[#This Row],[Rank]],Stammdaten[[Rank Verteilung Krümmung]:[Verteilung Krümmung]],2,FALSE)</f>
        <v>#N/A</v>
      </c>
      <c r="Z3584">
        <v>3575</v>
      </c>
      <c r="AA3584" t="e">
        <f>INDEX(Stammdaten[Ovalität (']0,1'])],MATCH(Tabelle1014[[#This Row],[Rank]],Stammdaten[Rank Verteilung Ovalität],0))</f>
        <v>#N/A</v>
      </c>
      <c r="AB3584" t="e">
        <f>VLOOKUP(Tabelle1014[[#This Row],[Rank]],Stammdaten[[Rank Verteilung Ovalität]:[Verteilung Ovalität]],2,FALSE)</f>
        <v>#N/A</v>
      </c>
    </row>
    <row r="3585" spans="5:28" x14ac:dyDescent="0.35">
      <c r="E3585">
        <v>3576</v>
      </c>
      <c r="F3585" t="e">
        <f>INDEX(Stammdaten[D Mitte mit Rinde (mm)],MATCH(Tabelle8[[#This Row],[Rank]],Stammdaten[Rank Verteilung D Mitte mit Rinde],0))</f>
        <v>#N/A</v>
      </c>
      <c r="G3585" t="e">
        <f>VLOOKUP(Tabelle8[[#This Row],[Rank]],Stammdaten[[Rank Verteilung D Mitte mit Rinde]:[Verteilung D Mitte mit Rinde]],2,FALSE)</f>
        <v>#N/A</v>
      </c>
      <c r="L3585">
        <v>3576</v>
      </c>
      <c r="M3585" t="e">
        <f>INDEX(Stammdaten[Abholzigkeit (mm/lfm)],MATCH(Tabelle9[[#This Row],[Rank]],Stammdaten[Rank Verteilung Abholzigkeit],0))</f>
        <v>#N/A</v>
      </c>
      <c r="N3585" t="e">
        <f>VLOOKUP(Tabelle9[[#This Row],[Rank]],Stammdaten[[Rank Verteilung Abholzigkeit]:[Verteilung Abholzigkeit]],2,FALSE)</f>
        <v>#N/A</v>
      </c>
      <c r="S3585">
        <v>3576</v>
      </c>
      <c r="T3585" t="e">
        <f>INDEX(Stammdaten[Krümmung (mm/lfm)],MATCH(Tabelle10[[#This Row],[Rank]],Stammdaten[Rank Verteilung Krümmung],0))</f>
        <v>#N/A</v>
      </c>
      <c r="U3585" t="e">
        <f>VLOOKUP(Tabelle10[[#This Row],[Rank]],Stammdaten[[Rank Verteilung Krümmung]:[Verteilung Krümmung]],2,FALSE)</f>
        <v>#N/A</v>
      </c>
      <c r="Z3585">
        <v>3576</v>
      </c>
      <c r="AA3585" t="e">
        <f>INDEX(Stammdaten[Ovalität (']0,1'])],MATCH(Tabelle1014[[#This Row],[Rank]],Stammdaten[Rank Verteilung Ovalität],0))</f>
        <v>#N/A</v>
      </c>
      <c r="AB3585" t="e">
        <f>VLOOKUP(Tabelle1014[[#This Row],[Rank]],Stammdaten[[Rank Verteilung Ovalität]:[Verteilung Ovalität]],2,FALSE)</f>
        <v>#N/A</v>
      </c>
    </row>
    <row r="3586" spans="5:28" x14ac:dyDescent="0.35">
      <c r="E3586">
        <v>3577</v>
      </c>
      <c r="F3586" t="e">
        <f>INDEX(Stammdaten[D Mitte mit Rinde (mm)],MATCH(Tabelle8[[#This Row],[Rank]],Stammdaten[Rank Verteilung D Mitte mit Rinde],0))</f>
        <v>#N/A</v>
      </c>
      <c r="G3586" t="e">
        <f>VLOOKUP(Tabelle8[[#This Row],[Rank]],Stammdaten[[Rank Verteilung D Mitte mit Rinde]:[Verteilung D Mitte mit Rinde]],2,FALSE)</f>
        <v>#N/A</v>
      </c>
      <c r="L3586">
        <v>3577</v>
      </c>
      <c r="M3586" t="e">
        <f>INDEX(Stammdaten[Abholzigkeit (mm/lfm)],MATCH(Tabelle9[[#This Row],[Rank]],Stammdaten[Rank Verteilung Abholzigkeit],0))</f>
        <v>#N/A</v>
      </c>
      <c r="N3586" t="e">
        <f>VLOOKUP(Tabelle9[[#This Row],[Rank]],Stammdaten[[Rank Verteilung Abholzigkeit]:[Verteilung Abholzigkeit]],2,FALSE)</f>
        <v>#N/A</v>
      </c>
      <c r="S3586">
        <v>3577</v>
      </c>
      <c r="T3586" t="e">
        <f>INDEX(Stammdaten[Krümmung (mm/lfm)],MATCH(Tabelle10[[#This Row],[Rank]],Stammdaten[Rank Verteilung Krümmung],0))</f>
        <v>#N/A</v>
      </c>
      <c r="U3586" t="e">
        <f>VLOOKUP(Tabelle10[[#This Row],[Rank]],Stammdaten[[Rank Verteilung Krümmung]:[Verteilung Krümmung]],2,FALSE)</f>
        <v>#N/A</v>
      </c>
      <c r="Z3586">
        <v>3577</v>
      </c>
      <c r="AA3586" t="e">
        <f>INDEX(Stammdaten[Ovalität (']0,1'])],MATCH(Tabelle1014[[#This Row],[Rank]],Stammdaten[Rank Verteilung Ovalität],0))</f>
        <v>#N/A</v>
      </c>
      <c r="AB3586" t="e">
        <f>VLOOKUP(Tabelle1014[[#This Row],[Rank]],Stammdaten[[Rank Verteilung Ovalität]:[Verteilung Ovalität]],2,FALSE)</f>
        <v>#N/A</v>
      </c>
    </row>
    <row r="3587" spans="5:28" x14ac:dyDescent="0.35">
      <c r="E3587">
        <v>3578</v>
      </c>
      <c r="F3587" t="e">
        <f>INDEX(Stammdaten[D Mitte mit Rinde (mm)],MATCH(Tabelle8[[#This Row],[Rank]],Stammdaten[Rank Verteilung D Mitte mit Rinde],0))</f>
        <v>#N/A</v>
      </c>
      <c r="G3587" t="e">
        <f>VLOOKUP(Tabelle8[[#This Row],[Rank]],Stammdaten[[Rank Verteilung D Mitte mit Rinde]:[Verteilung D Mitte mit Rinde]],2,FALSE)</f>
        <v>#N/A</v>
      </c>
      <c r="L3587">
        <v>3578</v>
      </c>
      <c r="M3587" t="e">
        <f>INDEX(Stammdaten[Abholzigkeit (mm/lfm)],MATCH(Tabelle9[[#This Row],[Rank]],Stammdaten[Rank Verteilung Abholzigkeit],0))</f>
        <v>#N/A</v>
      </c>
      <c r="N3587" t="e">
        <f>VLOOKUP(Tabelle9[[#This Row],[Rank]],Stammdaten[[Rank Verteilung Abholzigkeit]:[Verteilung Abholzigkeit]],2,FALSE)</f>
        <v>#N/A</v>
      </c>
      <c r="S3587">
        <v>3578</v>
      </c>
      <c r="T3587" t="e">
        <f>INDEX(Stammdaten[Krümmung (mm/lfm)],MATCH(Tabelle10[[#This Row],[Rank]],Stammdaten[Rank Verteilung Krümmung],0))</f>
        <v>#N/A</v>
      </c>
      <c r="U3587" t="e">
        <f>VLOOKUP(Tabelle10[[#This Row],[Rank]],Stammdaten[[Rank Verteilung Krümmung]:[Verteilung Krümmung]],2,FALSE)</f>
        <v>#N/A</v>
      </c>
      <c r="Z3587">
        <v>3578</v>
      </c>
      <c r="AA3587" t="e">
        <f>INDEX(Stammdaten[Ovalität (']0,1'])],MATCH(Tabelle1014[[#This Row],[Rank]],Stammdaten[Rank Verteilung Ovalität],0))</f>
        <v>#N/A</v>
      </c>
      <c r="AB3587" t="e">
        <f>VLOOKUP(Tabelle1014[[#This Row],[Rank]],Stammdaten[[Rank Verteilung Ovalität]:[Verteilung Ovalität]],2,FALSE)</f>
        <v>#N/A</v>
      </c>
    </row>
    <row r="3588" spans="5:28" x14ac:dyDescent="0.35">
      <c r="E3588">
        <v>3579</v>
      </c>
      <c r="F3588" t="e">
        <f>INDEX(Stammdaten[D Mitte mit Rinde (mm)],MATCH(Tabelle8[[#This Row],[Rank]],Stammdaten[Rank Verteilung D Mitte mit Rinde],0))</f>
        <v>#N/A</v>
      </c>
      <c r="G3588" t="e">
        <f>VLOOKUP(Tabelle8[[#This Row],[Rank]],Stammdaten[[Rank Verteilung D Mitte mit Rinde]:[Verteilung D Mitte mit Rinde]],2,FALSE)</f>
        <v>#N/A</v>
      </c>
      <c r="L3588">
        <v>3579</v>
      </c>
      <c r="M3588" t="e">
        <f>INDEX(Stammdaten[Abholzigkeit (mm/lfm)],MATCH(Tabelle9[[#This Row],[Rank]],Stammdaten[Rank Verteilung Abholzigkeit],0))</f>
        <v>#N/A</v>
      </c>
      <c r="N3588" t="e">
        <f>VLOOKUP(Tabelle9[[#This Row],[Rank]],Stammdaten[[Rank Verteilung Abholzigkeit]:[Verteilung Abholzigkeit]],2,FALSE)</f>
        <v>#N/A</v>
      </c>
      <c r="S3588">
        <v>3579</v>
      </c>
      <c r="T3588" t="e">
        <f>INDEX(Stammdaten[Krümmung (mm/lfm)],MATCH(Tabelle10[[#This Row],[Rank]],Stammdaten[Rank Verteilung Krümmung],0))</f>
        <v>#N/A</v>
      </c>
      <c r="U3588" t="e">
        <f>VLOOKUP(Tabelle10[[#This Row],[Rank]],Stammdaten[[Rank Verteilung Krümmung]:[Verteilung Krümmung]],2,FALSE)</f>
        <v>#N/A</v>
      </c>
      <c r="Z3588">
        <v>3579</v>
      </c>
      <c r="AA3588" t="e">
        <f>INDEX(Stammdaten[Ovalität (']0,1'])],MATCH(Tabelle1014[[#This Row],[Rank]],Stammdaten[Rank Verteilung Ovalität],0))</f>
        <v>#N/A</v>
      </c>
      <c r="AB3588" t="e">
        <f>VLOOKUP(Tabelle1014[[#This Row],[Rank]],Stammdaten[[Rank Verteilung Ovalität]:[Verteilung Ovalität]],2,FALSE)</f>
        <v>#N/A</v>
      </c>
    </row>
    <row r="3589" spans="5:28" x14ac:dyDescent="0.35">
      <c r="E3589">
        <v>3580</v>
      </c>
      <c r="F3589" t="e">
        <f>INDEX(Stammdaten[D Mitte mit Rinde (mm)],MATCH(Tabelle8[[#This Row],[Rank]],Stammdaten[Rank Verteilung D Mitte mit Rinde],0))</f>
        <v>#N/A</v>
      </c>
      <c r="G3589" t="e">
        <f>VLOOKUP(Tabelle8[[#This Row],[Rank]],Stammdaten[[Rank Verteilung D Mitte mit Rinde]:[Verteilung D Mitte mit Rinde]],2,FALSE)</f>
        <v>#N/A</v>
      </c>
      <c r="L3589">
        <v>3580</v>
      </c>
      <c r="M3589" t="e">
        <f>INDEX(Stammdaten[Abholzigkeit (mm/lfm)],MATCH(Tabelle9[[#This Row],[Rank]],Stammdaten[Rank Verteilung Abholzigkeit],0))</f>
        <v>#N/A</v>
      </c>
      <c r="N3589" t="e">
        <f>VLOOKUP(Tabelle9[[#This Row],[Rank]],Stammdaten[[Rank Verteilung Abholzigkeit]:[Verteilung Abholzigkeit]],2,FALSE)</f>
        <v>#N/A</v>
      </c>
      <c r="S3589">
        <v>3580</v>
      </c>
      <c r="T3589" t="e">
        <f>INDEX(Stammdaten[Krümmung (mm/lfm)],MATCH(Tabelle10[[#This Row],[Rank]],Stammdaten[Rank Verteilung Krümmung],0))</f>
        <v>#N/A</v>
      </c>
      <c r="U3589" t="e">
        <f>VLOOKUP(Tabelle10[[#This Row],[Rank]],Stammdaten[[Rank Verteilung Krümmung]:[Verteilung Krümmung]],2,FALSE)</f>
        <v>#N/A</v>
      </c>
      <c r="Z3589">
        <v>3580</v>
      </c>
      <c r="AA3589" t="e">
        <f>INDEX(Stammdaten[Ovalität (']0,1'])],MATCH(Tabelle1014[[#This Row],[Rank]],Stammdaten[Rank Verteilung Ovalität],0))</f>
        <v>#N/A</v>
      </c>
      <c r="AB3589" t="e">
        <f>VLOOKUP(Tabelle1014[[#This Row],[Rank]],Stammdaten[[Rank Verteilung Ovalität]:[Verteilung Ovalität]],2,FALSE)</f>
        <v>#N/A</v>
      </c>
    </row>
    <row r="3590" spans="5:28" x14ac:dyDescent="0.35">
      <c r="E3590">
        <v>3581</v>
      </c>
      <c r="F3590" t="e">
        <f>INDEX(Stammdaten[D Mitte mit Rinde (mm)],MATCH(Tabelle8[[#This Row],[Rank]],Stammdaten[Rank Verteilung D Mitte mit Rinde],0))</f>
        <v>#N/A</v>
      </c>
      <c r="G3590" t="e">
        <f>VLOOKUP(Tabelle8[[#This Row],[Rank]],Stammdaten[[Rank Verteilung D Mitte mit Rinde]:[Verteilung D Mitte mit Rinde]],2,FALSE)</f>
        <v>#N/A</v>
      </c>
      <c r="L3590">
        <v>3581</v>
      </c>
      <c r="M3590" t="e">
        <f>INDEX(Stammdaten[Abholzigkeit (mm/lfm)],MATCH(Tabelle9[[#This Row],[Rank]],Stammdaten[Rank Verteilung Abholzigkeit],0))</f>
        <v>#N/A</v>
      </c>
      <c r="N3590" t="e">
        <f>VLOOKUP(Tabelle9[[#This Row],[Rank]],Stammdaten[[Rank Verteilung Abholzigkeit]:[Verteilung Abholzigkeit]],2,FALSE)</f>
        <v>#N/A</v>
      </c>
      <c r="S3590">
        <v>3581</v>
      </c>
      <c r="T3590" t="e">
        <f>INDEX(Stammdaten[Krümmung (mm/lfm)],MATCH(Tabelle10[[#This Row],[Rank]],Stammdaten[Rank Verteilung Krümmung],0))</f>
        <v>#N/A</v>
      </c>
      <c r="U3590" t="e">
        <f>VLOOKUP(Tabelle10[[#This Row],[Rank]],Stammdaten[[Rank Verteilung Krümmung]:[Verteilung Krümmung]],2,FALSE)</f>
        <v>#N/A</v>
      </c>
      <c r="Z3590">
        <v>3581</v>
      </c>
      <c r="AA3590" t="e">
        <f>INDEX(Stammdaten[Ovalität (']0,1'])],MATCH(Tabelle1014[[#This Row],[Rank]],Stammdaten[Rank Verteilung Ovalität],0))</f>
        <v>#N/A</v>
      </c>
      <c r="AB3590" t="e">
        <f>VLOOKUP(Tabelle1014[[#This Row],[Rank]],Stammdaten[[Rank Verteilung Ovalität]:[Verteilung Ovalität]],2,FALSE)</f>
        <v>#N/A</v>
      </c>
    </row>
    <row r="3591" spans="5:28" x14ac:dyDescent="0.35">
      <c r="E3591">
        <v>3582</v>
      </c>
      <c r="F3591" t="e">
        <f>INDEX(Stammdaten[D Mitte mit Rinde (mm)],MATCH(Tabelle8[[#This Row],[Rank]],Stammdaten[Rank Verteilung D Mitte mit Rinde],0))</f>
        <v>#N/A</v>
      </c>
      <c r="G3591" t="e">
        <f>VLOOKUP(Tabelle8[[#This Row],[Rank]],Stammdaten[[Rank Verteilung D Mitte mit Rinde]:[Verteilung D Mitte mit Rinde]],2,FALSE)</f>
        <v>#N/A</v>
      </c>
      <c r="L3591">
        <v>3582</v>
      </c>
      <c r="M3591" t="e">
        <f>INDEX(Stammdaten[Abholzigkeit (mm/lfm)],MATCH(Tabelle9[[#This Row],[Rank]],Stammdaten[Rank Verteilung Abholzigkeit],0))</f>
        <v>#N/A</v>
      </c>
      <c r="N3591" t="e">
        <f>VLOOKUP(Tabelle9[[#This Row],[Rank]],Stammdaten[[Rank Verteilung Abholzigkeit]:[Verteilung Abholzigkeit]],2,FALSE)</f>
        <v>#N/A</v>
      </c>
      <c r="S3591">
        <v>3582</v>
      </c>
      <c r="T3591" t="e">
        <f>INDEX(Stammdaten[Krümmung (mm/lfm)],MATCH(Tabelle10[[#This Row],[Rank]],Stammdaten[Rank Verteilung Krümmung],0))</f>
        <v>#N/A</v>
      </c>
      <c r="U3591" t="e">
        <f>VLOOKUP(Tabelle10[[#This Row],[Rank]],Stammdaten[[Rank Verteilung Krümmung]:[Verteilung Krümmung]],2,FALSE)</f>
        <v>#N/A</v>
      </c>
      <c r="Z3591">
        <v>3582</v>
      </c>
      <c r="AA3591" t="e">
        <f>INDEX(Stammdaten[Ovalität (']0,1'])],MATCH(Tabelle1014[[#This Row],[Rank]],Stammdaten[Rank Verteilung Ovalität],0))</f>
        <v>#N/A</v>
      </c>
      <c r="AB3591" t="e">
        <f>VLOOKUP(Tabelle1014[[#This Row],[Rank]],Stammdaten[[Rank Verteilung Ovalität]:[Verteilung Ovalität]],2,FALSE)</f>
        <v>#N/A</v>
      </c>
    </row>
    <row r="3592" spans="5:28" x14ac:dyDescent="0.35">
      <c r="E3592">
        <v>3583</v>
      </c>
      <c r="F3592" t="e">
        <f>INDEX(Stammdaten[D Mitte mit Rinde (mm)],MATCH(Tabelle8[[#This Row],[Rank]],Stammdaten[Rank Verteilung D Mitte mit Rinde],0))</f>
        <v>#N/A</v>
      </c>
      <c r="G3592" t="e">
        <f>VLOOKUP(Tabelle8[[#This Row],[Rank]],Stammdaten[[Rank Verteilung D Mitte mit Rinde]:[Verteilung D Mitte mit Rinde]],2,FALSE)</f>
        <v>#N/A</v>
      </c>
      <c r="L3592">
        <v>3583</v>
      </c>
      <c r="M3592" t="e">
        <f>INDEX(Stammdaten[Abholzigkeit (mm/lfm)],MATCH(Tabelle9[[#This Row],[Rank]],Stammdaten[Rank Verteilung Abholzigkeit],0))</f>
        <v>#N/A</v>
      </c>
      <c r="N3592" t="e">
        <f>VLOOKUP(Tabelle9[[#This Row],[Rank]],Stammdaten[[Rank Verteilung Abholzigkeit]:[Verteilung Abholzigkeit]],2,FALSE)</f>
        <v>#N/A</v>
      </c>
      <c r="S3592">
        <v>3583</v>
      </c>
      <c r="T3592" t="e">
        <f>INDEX(Stammdaten[Krümmung (mm/lfm)],MATCH(Tabelle10[[#This Row],[Rank]],Stammdaten[Rank Verteilung Krümmung],0))</f>
        <v>#N/A</v>
      </c>
      <c r="U3592" t="e">
        <f>VLOOKUP(Tabelle10[[#This Row],[Rank]],Stammdaten[[Rank Verteilung Krümmung]:[Verteilung Krümmung]],2,FALSE)</f>
        <v>#N/A</v>
      </c>
      <c r="Z3592">
        <v>3583</v>
      </c>
      <c r="AA3592" t="e">
        <f>INDEX(Stammdaten[Ovalität (']0,1'])],MATCH(Tabelle1014[[#This Row],[Rank]],Stammdaten[Rank Verteilung Ovalität],0))</f>
        <v>#N/A</v>
      </c>
      <c r="AB3592" t="e">
        <f>VLOOKUP(Tabelle1014[[#This Row],[Rank]],Stammdaten[[Rank Verteilung Ovalität]:[Verteilung Ovalität]],2,FALSE)</f>
        <v>#N/A</v>
      </c>
    </row>
    <row r="3593" spans="5:28" x14ac:dyDescent="0.35">
      <c r="E3593">
        <v>3584</v>
      </c>
      <c r="F3593" t="e">
        <f>INDEX(Stammdaten[D Mitte mit Rinde (mm)],MATCH(Tabelle8[[#This Row],[Rank]],Stammdaten[Rank Verteilung D Mitte mit Rinde],0))</f>
        <v>#N/A</v>
      </c>
      <c r="G3593" t="e">
        <f>VLOOKUP(Tabelle8[[#This Row],[Rank]],Stammdaten[[Rank Verteilung D Mitte mit Rinde]:[Verteilung D Mitte mit Rinde]],2,FALSE)</f>
        <v>#N/A</v>
      </c>
      <c r="L3593">
        <v>3584</v>
      </c>
      <c r="M3593" t="e">
        <f>INDEX(Stammdaten[Abholzigkeit (mm/lfm)],MATCH(Tabelle9[[#This Row],[Rank]],Stammdaten[Rank Verteilung Abholzigkeit],0))</f>
        <v>#N/A</v>
      </c>
      <c r="N3593" t="e">
        <f>VLOOKUP(Tabelle9[[#This Row],[Rank]],Stammdaten[[Rank Verteilung Abholzigkeit]:[Verteilung Abholzigkeit]],2,FALSE)</f>
        <v>#N/A</v>
      </c>
      <c r="S3593">
        <v>3584</v>
      </c>
      <c r="T3593" t="e">
        <f>INDEX(Stammdaten[Krümmung (mm/lfm)],MATCH(Tabelle10[[#This Row],[Rank]],Stammdaten[Rank Verteilung Krümmung],0))</f>
        <v>#N/A</v>
      </c>
      <c r="U3593" t="e">
        <f>VLOOKUP(Tabelle10[[#This Row],[Rank]],Stammdaten[[Rank Verteilung Krümmung]:[Verteilung Krümmung]],2,FALSE)</f>
        <v>#N/A</v>
      </c>
      <c r="Z3593">
        <v>3584</v>
      </c>
      <c r="AA3593" t="e">
        <f>INDEX(Stammdaten[Ovalität (']0,1'])],MATCH(Tabelle1014[[#This Row],[Rank]],Stammdaten[Rank Verteilung Ovalität],0))</f>
        <v>#N/A</v>
      </c>
      <c r="AB3593" t="e">
        <f>VLOOKUP(Tabelle1014[[#This Row],[Rank]],Stammdaten[[Rank Verteilung Ovalität]:[Verteilung Ovalität]],2,FALSE)</f>
        <v>#N/A</v>
      </c>
    </row>
    <row r="3594" spans="5:28" x14ac:dyDescent="0.35">
      <c r="E3594">
        <v>3585</v>
      </c>
      <c r="F3594" t="e">
        <f>INDEX(Stammdaten[D Mitte mit Rinde (mm)],MATCH(Tabelle8[[#This Row],[Rank]],Stammdaten[Rank Verteilung D Mitte mit Rinde],0))</f>
        <v>#N/A</v>
      </c>
      <c r="G3594" t="e">
        <f>VLOOKUP(Tabelle8[[#This Row],[Rank]],Stammdaten[[Rank Verteilung D Mitte mit Rinde]:[Verteilung D Mitte mit Rinde]],2,FALSE)</f>
        <v>#N/A</v>
      </c>
      <c r="L3594">
        <v>3585</v>
      </c>
      <c r="M3594" t="e">
        <f>INDEX(Stammdaten[Abholzigkeit (mm/lfm)],MATCH(Tabelle9[[#This Row],[Rank]],Stammdaten[Rank Verteilung Abholzigkeit],0))</f>
        <v>#N/A</v>
      </c>
      <c r="N3594" t="e">
        <f>VLOOKUP(Tabelle9[[#This Row],[Rank]],Stammdaten[[Rank Verteilung Abholzigkeit]:[Verteilung Abholzigkeit]],2,FALSE)</f>
        <v>#N/A</v>
      </c>
      <c r="S3594">
        <v>3585</v>
      </c>
      <c r="T3594" t="e">
        <f>INDEX(Stammdaten[Krümmung (mm/lfm)],MATCH(Tabelle10[[#This Row],[Rank]],Stammdaten[Rank Verteilung Krümmung],0))</f>
        <v>#N/A</v>
      </c>
      <c r="U3594" t="e">
        <f>VLOOKUP(Tabelle10[[#This Row],[Rank]],Stammdaten[[Rank Verteilung Krümmung]:[Verteilung Krümmung]],2,FALSE)</f>
        <v>#N/A</v>
      </c>
      <c r="Z3594">
        <v>3585</v>
      </c>
      <c r="AA3594" t="e">
        <f>INDEX(Stammdaten[Ovalität (']0,1'])],MATCH(Tabelle1014[[#This Row],[Rank]],Stammdaten[Rank Verteilung Ovalität],0))</f>
        <v>#N/A</v>
      </c>
      <c r="AB3594" t="e">
        <f>VLOOKUP(Tabelle1014[[#This Row],[Rank]],Stammdaten[[Rank Verteilung Ovalität]:[Verteilung Ovalität]],2,FALSE)</f>
        <v>#N/A</v>
      </c>
    </row>
    <row r="3595" spans="5:28" x14ac:dyDescent="0.35">
      <c r="E3595">
        <v>3586</v>
      </c>
      <c r="F3595" t="e">
        <f>INDEX(Stammdaten[D Mitte mit Rinde (mm)],MATCH(Tabelle8[[#This Row],[Rank]],Stammdaten[Rank Verteilung D Mitte mit Rinde],0))</f>
        <v>#N/A</v>
      </c>
      <c r="G3595" t="e">
        <f>VLOOKUP(Tabelle8[[#This Row],[Rank]],Stammdaten[[Rank Verteilung D Mitte mit Rinde]:[Verteilung D Mitte mit Rinde]],2,FALSE)</f>
        <v>#N/A</v>
      </c>
      <c r="L3595">
        <v>3586</v>
      </c>
      <c r="M3595" t="e">
        <f>INDEX(Stammdaten[Abholzigkeit (mm/lfm)],MATCH(Tabelle9[[#This Row],[Rank]],Stammdaten[Rank Verteilung Abholzigkeit],0))</f>
        <v>#N/A</v>
      </c>
      <c r="N3595" t="e">
        <f>VLOOKUP(Tabelle9[[#This Row],[Rank]],Stammdaten[[Rank Verteilung Abholzigkeit]:[Verteilung Abholzigkeit]],2,FALSE)</f>
        <v>#N/A</v>
      </c>
      <c r="S3595">
        <v>3586</v>
      </c>
      <c r="T3595" t="e">
        <f>INDEX(Stammdaten[Krümmung (mm/lfm)],MATCH(Tabelle10[[#This Row],[Rank]],Stammdaten[Rank Verteilung Krümmung],0))</f>
        <v>#N/A</v>
      </c>
      <c r="U3595" t="e">
        <f>VLOOKUP(Tabelle10[[#This Row],[Rank]],Stammdaten[[Rank Verteilung Krümmung]:[Verteilung Krümmung]],2,FALSE)</f>
        <v>#N/A</v>
      </c>
      <c r="Z3595">
        <v>3586</v>
      </c>
      <c r="AA3595" t="e">
        <f>INDEX(Stammdaten[Ovalität (']0,1'])],MATCH(Tabelle1014[[#This Row],[Rank]],Stammdaten[Rank Verteilung Ovalität],0))</f>
        <v>#N/A</v>
      </c>
      <c r="AB3595" t="e">
        <f>VLOOKUP(Tabelle1014[[#This Row],[Rank]],Stammdaten[[Rank Verteilung Ovalität]:[Verteilung Ovalität]],2,FALSE)</f>
        <v>#N/A</v>
      </c>
    </row>
    <row r="3596" spans="5:28" x14ac:dyDescent="0.35">
      <c r="E3596">
        <v>3587</v>
      </c>
      <c r="F3596" t="e">
        <f>INDEX(Stammdaten[D Mitte mit Rinde (mm)],MATCH(Tabelle8[[#This Row],[Rank]],Stammdaten[Rank Verteilung D Mitte mit Rinde],0))</f>
        <v>#N/A</v>
      </c>
      <c r="G3596" t="e">
        <f>VLOOKUP(Tabelle8[[#This Row],[Rank]],Stammdaten[[Rank Verteilung D Mitte mit Rinde]:[Verteilung D Mitte mit Rinde]],2,FALSE)</f>
        <v>#N/A</v>
      </c>
      <c r="L3596">
        <v>3587</v>
      </c>
      <c r="M3596" t="e">
        <f>INDEX(Stammdaten[Abholzigkeit (mm/lfm)],MATCH(Tabelle9[[#This Row],[Rank]],Stammdaten[Rank Verteilung Abholzigkeit],0))</f>
        <v>#N/A</v>
      </c>
      <c r="N3596" t="e">
        <f>VLOOKUP(Tabelle9[[#This Row],[Rank]],Stammdaten[[Rank Verteilung Abholzigkeit]:[Verteilung Abholzigkeit]],2,FALSE)</f>
        <v>#N/A</v>
      </c>
      <c r="S3596">
        <v>3587</v>
      </c>
      <c r="T3596" t="e">
        <f>INDEX(Stammdaten[Krümmung (mm/lfm)],MATCH(Tabelle10[[#This Row],[Rank]],Stammdaten[Rank Verteilung Krümmung],0))</f>
        <v>#N/A</v>
      </c>
      <c r="U3596" t="e">
        <f>VLOOKUP(Tabelle10[[#This Row],[Rank]],Stammdaten[[Rank Verteilung Krümmung]:[Verteilung Krümmung]],2,FALSE)</f>
        <v>#N/A</v>
      </c>
      <c r="Z3596">
        <v>3587</v>
      </c>
      <c r="AA3596" t="e">
        <f>INDEX(Stammdaten[Ovalität (']0,1'])],MATCH(Tabelle1014[[#This Row],[Rank]],Stammdaten[Rank Verteilung Ovalität],0))</f>
        <v>#N/A</v>
      </c>
      <c r="AB3596" t="e">
        <f>VLOOKUP(Tabelle1014[[#This Row],[Rank]],Stammdaten[[Rank Verteilung Ovalität]:[Verteilung Ovalität]],2,FALSE)</f>
        <v>#N/A</v>
      </c>
    </row>
    <row r="3597" spans="5:28" x14ac:dyDescent="0.35">
      <c r="E3597">
        <v>3588</v>
      </c>
      <c r="F3597" t="e">
        <f>INDEX(Stammdaten[D Mitte mit Rinde (mm)],MATCH(Tabelle8[[#This Row],[Rank]],Stammdaten[Rank Verteilung D Mitte mit Rinde],0))</f>
        <v>#N/A</v>
      </c>
      <c r="G3597" t="e">
        <f>VLOOKUP(Tabelle8[[#This Row],[Rank]],Stammdaten[[Rank Verteilung D Mitte mit Rinde]:[Verteilung D Mitte mit Rinde]],2,FALSE)</f>
        <v>#N/A</v>
      </c>
      <c r="L3597">
        <v>3588</v>
      </c>
      <c r="M3597" t="e">
        <f>INDEX(Stammdaten[Abholzigkeit (mm/lfm)],MATCH(Tabelle9[[#This Row],[Rank]],Stammdaten[Rank Verteilung Abholzigkeit],0))</f>
        <v>#N/A</v>
      </c>
      <c r="N3597" t="e">
        <f>VLOOKUP(Tabelle9[[#This Row],[Rank]],Stammdaten[[Rank Verteilung Abholzigkeit]:[Verteilung Abholzigkeit]],2,FALSE)</f>
        <v>#N/A</v>
      </c>
      <c r="S3597">
        <v>3588</v>
      </c>
      <c r="T3597" t="e">
        <f>INDEX(Stammdaten[Krümmung (mm/lfm)],MATCH(Tabelle10[[#This Row],[Rank]],Stammdaten[Rank Verteilung Krümmung],0))</f>
        <v>#N/A</v>
      </c>
      <c r="U3597" t="e">
        <f>VLOOKUP(Tabelle10[[#This Row],[Rank]],Stammdaten[[Rank Verteilung Krümmung]:[Verteilung Krümmung]],2,FALSE)</f>
        <v>#N/A</v>
      </c>
      <c r="Z3597">
        <v>3588</v>
      </c>
      <c r="AA3597" t="e">
        <f>INDEX(Stammdaten[Ovalität (']0,1'])],MATCH(Tabelle1014[[#This Row],[Rank]],Stammdaten[Rank Verteilung Ovalität],0))</f>
        <v>#N/A</v>
      </c>
      <c r="AB3597" t="e">
        <f>VLOOKUP(Tabelle1014[[#This Row],[Rank]],Stammdaten[[Rank Verteilung Ovalität]:[Verteilung Ovalität]],2,FALSE)</f>
        <v>#N/A</v>
      </c>
    </row>
    <row r="3598" spans="5:28" x14ac:dyDescent="0.35">
      <c r="E3598">
        <v>3589</v>
      </c>
      <c r="F3598" t="e">
        <f>INDEX(Stammdaten[D Mitte mit Rinde (mm)],MATCH(Tabelle8[[#This Row],[Rank]],Stammdaten[Rank Verteilung D Mitte mit Rinde],0))</f>
        <v>#N/A</v>
      </c>
      <c r="G3598" t="e">
        <f>VLOOKUP(Tabelle8[[#This Row],[Rank]],Stammdaten[[Rank Verteilung D Mitte mit Rinde]:[Verteilung D Mitte mit Rinde]],2,FALSE)</f>
        <v>#N/A</v>
      </c>
      <c r="L3598">
        <v>3589</v>
      </c>
      <c r="M3598" t="e">
        <f>INDEX(Stammdaten[Abholzigkeit (mm/lfm)],MATCH(Tabelle9[[#This Row],[Rank]],Stammdaten[Rank Verteilung Abholzigkeit],0))</f>
        <v>#N/A</v>
      </c>
      <c r="N3598" t="e">
        <f>VLOOKUP(Tabelle9[[#This Row],[Rank]],Stammdaten[[Rank Verteilung Abholzigkeit]:[Verteilung Abholzigkeit]],2,FALSE)</f>
        <v>#N/A</v>
      </c>
      <c r="S3598">
        <v>3589</v>
      </c>
      <c r="T3598" t="e">
        <f>INDEX(Stammdaten[Krümmung (mm/lfm)],MATCH(Tabelle10[[#This Row],[Rank]],Stammdaten[Rank Verteilung Krümmung],0))</f>
        <v>#N/A</v>
      </c>
      <c r="U3598" t="e">
        <f>VLOOKUP(Tabelle10[[#This Row],[Rank]],Stammdaten[[Rank Verteilung Krümmung]:[Verteilung Krümmung]],2,FALSE)</f>
        <v>#N/A</v>
      </c>
      <c r="Z3598">
        <v>3589</v>
      </c>
      <c r="AA3598" t="e">
        <f>INDEX(Stammdaten[Ovalität (']0,1'])],MATCH(Tabelle1014[[#This Row],[Rank]],Stammdaten[Rank Verteilung Ovalität],0))</f>
        <v>#N/A</v>
      </c>
      <c r="AB3598" t="e">
        <f>VLOOKUP(Tabelle1014[[#This Row],[Rank]],Stammdaten[[Rank Verteilung Ovalität]:[Verteilung Ovalität]],2,FALSE)</f>
        <v>#N/A</v>
      </c>
    </row>
    <row r="3599" spans="5:28" x14ac:dyDescent="0.35">
      <c r="E3599">
        <v>3590</v>
      </c>
      <c r="F3599" t="e">
        <f>INDEX(Stammdaten[D Mitte mit Rinde (mm)],MATCH(Tabelle8[[#This Row],[Rank]],Stammdaten[Rank Verteilung D Mitte mit Rinde],0))</f>
        <v>#N/A</v>
      </c>
      <c r="G3599" t="e">
        <f>VLOOKUP(Tabelle8[[#This Row],[Rank]],Stammdaten[[Rank Verteilung D Mitte mit Rinde]:[Verteilung D Mitte mit Rinde]],2,FALSE)</f>
        <v>#N/A</v>
      </c>
      <c r="L3599">
        <v>3590</v>
      </c>
      <c r="M3599" t="e">
        <f>INDEX(Stammdaten[Abholzigkeit (mm/lfm)],MATCH(Tabelle9[[#This Row],[Rank]],Stammdaten[Rank Verteilung Abholzigkeit],0))</f>
        <v>#N/A</v>
      </c>
      <c r="N3599" t="e">
        <f>VLOOKUP(Tabelle9[[#This Row],[Rank]],Stammdaten[[Rank Verteilung Abholzigkeit]:[Verteilung Abholzigkeit]],2,FALSE)</f>
        <v>#N/A</v>
      </c>
      <c r="S3599">
        <v>3590</v>
      </c>
      <c r="T3599" t="e">
        <f>INDEX(Stammdaten[Krümmung (mm/lfm)],MATCH(Tabelle10[[#This Row],[Rank]],Stammdaten[Rank Verteilung Krümmung],0))</f>
        <v>#N/A</v>
      </c>
      <c r="U3599" t="e">
        <f>VLOOKUP(Tabelle10[[#This Row],[Rank]],Stammdaten[[Rank Verteilung Krümmung]:[Verteilung Krümmung]],2,FALSE)</f>
        <v>#N/A</v>
      </c>
      <c r="Z3599">
        <v>3590</v>
      </c>
      <c r="AA3599" t="e">
        <f>INDEX(Stammdaten[Ovalität (']0,1'])],MATCH(Tabelle1014[[#This Row],[Rank]],Stammdaten[Rank Verteilung Ovalität],0))</f>
        <v>#N/A</v>
      </c>
      <c r="AB3599" t="e">
        <f>VLOOKUP(Tabelle1014[[#This Row],[Rank]],Stammdaten[[Rank Verteilung Ovalität]:[Verteilung Ovalität]],2,FALSE)</f>
        <v>#N/A</v>
      </c>
    </row>
    <row r="3600" spans="5:28" x14ac:dyDescent="0.35">
      <c r="E3600">
        <v>3591</v>
      </c>
      <c r="F3600" t="e">
        <f>INDEX(Stammdaten[D Mitte mit Rinde (mm)],MATCH(Tabelle8[[#This Row],[Rank]],Stammdaten[Rank Verteilung D Mitte mit Rinde],0))</f>
        <v>#N/A</v>
      </c>
      <c r="G3600" t="e">
        <f>VLOOKUP(Tabelle8[[#This Row],[Rank]],Stammdaten[[Rank Verteilung D Mitte mit Rinde]:[Verteilung D Mitte mit Rinde]],2,FALSE)</f>
        <v>#N/A</v>
      </c>
      <c r="L3600">
        <v>3591</v>
      </c>
      <c r="M3600" t="e">
        <f>INDEX(Stammdaten[Abholzigkeit (mm/lfm)],MATCH(Tabelle9[[#This Row],[Rank]],Stammdaten[Rank Verteilung Abholzigkeit],0))</f>
        <v>#N/A</v>
      </c>
      <c r="N3600" t="e">
        <f>VLOOKUP(Tabelle9[[#This Row],[Rank]],Stammdaten[[Rank Verteilung Abholzigkeit]:[Verteilung Abholzigkeit]],2,FALSE)</f>
        <v>#N/A</v>
      </c>
      <c r="S3600">
        <v>3591</v>
      </c>
      <c r="T3600" t="e">
        <f>INDEX(Stammdaten[Krümmung (mm/lfm)],MATCH(Tabelle10[[#This Row],[Rank]],Stammdaten[Rank Verteilung Krümmung],0))</f>
        <v>#N/A</v>
      </c>
      <c r="U3600" t="e">
        <f>VLOOKUP(Tabelle10[[#This Row],[Rank]],Stammdaten[[Rank Verteilung Krümmung]:[Verteilung Krümmung]],2,FALSE)</f>
        <v>#N/A</v>
      </c>
      <c r="Z3600">
        <v>3591</v>
      </c>
      <c r="AA3600" t="e">
        <f>INDEX(Stammdaten[Ovalität (']0,1'])],MATCH(Tabelle1014[[#This Row],[Rank]],Stammdaten[Rank Verteilung Ovalität],0))</f>
        <v>#N/A</v>
      </c>
      <c r="AB3600" t="e">
        <f>VLOOKUP(Tabelle1014[[#This Row],[Rank]],Stammdaten[[Rank Verteilung Ovalität]:[Verteilung Ovalität]],2,FALSE)</f>
        <v>#N/A</v>
      </c>
    </row>
    <row r="3601" spans="5:28" x14ac:dyDescent="0.35">
      <c r="E3601">
        <v>3592</v>
      </c>
      <c r="F3601" t="e">
        <f>INDEX(Stammdaten[D Mitte mit Rinde (mm)],MATCH(Tabelle8[[#This Row],[Rank]],Stammdaten[Rank Verteilung D Mitte mit Rinde],0))</f>
        <v>#N/A</v>
      </c>
      <c r="G3601" t="e">
        <f>VLOOKUP(Tabelle8[[#This Row],[Rank]],Stammdaten[[Rank Verteilung D Mitte mit Rinde]:[Verteilung D Mitte mit Rinde]],2,FALSE)</f>
        <v>#N/A</v>
      </c>
      <c r="L3601">
        <v>3592</v>
      </c>
      <c r="M3601" t="e">
        <f>INDEX(Stammdaten[Abholzigkeit (mm/lfm)],MATCH(Tabelle9[[#This Row],[Rank]],Stammdaten[Rank Verteilung Abholzigkeit],0))</f>
        <v>#N/A</v>
      </c>
      <c r="N3601" t="e">
        <f>VLOOKUP(Tabelle9[[#This Row],[Rank]],Stammdaten[[Rank Verteilung Abholzigkeit]:[Verteilung Abholzigkeit]],2,FALSE)</f>
        <v>#N/A</v>
      </c>
      <c r="S3601">
        <v>3592</v>
      </c>
      <c r="T3601" t="e">
        <f>INDEX(Stammdaten[Krümmung (mm/lfm)],MATCH(Tabelle10[[#This Row],[Rank]],Stammdaten[Rank Verteilung Krümmung],0))</f>
        <v>#N/A</v>
      </c>
      <c r="U3601" t="e">
        <f>VLOOKUP(Tabelle10[[#This Row],[Rank]],Stammdaten[[Rank Verteilung Krümmung]:[Verteilung Krümmung]],2,FALSE)</f>
        <v>#N/A</v>
      </c>
      <c r="Z3601">
        <v>3592</v>
      </c>
      <c r="AA3601" t="e">
        <f>INDEX(Stammdaten[Ovalität (']0,1'])],MATCH(Tabelle1014[[#This Row],[Rank]],Stammdaten[Rank Verteilung Ovalität],0))</f>
        <v>#N/A</v>
      </c>
      <c r="AB3601" t="e">
        <f>VLOOKUP(Tabelle1014[[#This Row],[Rank]],Stammdaten[[Rank Verteilung Ovalität]:[Verteilung Ovalität]],2,FALSE)</f>
        <v>#N/A</v>
      </c>
    </row>
    <row r="3602" spans="5:28" x14ac:dyDescent="0.35">
      <c r="E3602">
        <v>3593</v>
      </c>
      <c r="F3602" t="e">
        <f>INDEX(Stammdaten[D Mitte mit Rinde (mm)],MATCH(Tabelle8[[#This Row],[Rank]],Stammdaten[Rank Verteilung D Mitte mit Rinde],0))</f>
        <v>#N/A</v>
      </c>
      <c r="G3602" t="e">
        <f>VLOOKUP(Tabelle8[[#This Row],[Rank]],Stammdaten[[Rank Verteilung D Mitte mit Rinde]:[Verteilung D Mitte mit Rinde]],2,FALSE)</f>
        <v>#N/A</v>
      </c>
      <c r="L3602">
        <v>3593</v>
      </c>
      <c r="M3602" t="e">
        <f>INDEX(Stammdaten[Abholzigkeit (mm/lfm)],MATCH(Tabelle9[[#This Row],[Rank]],Stammdaten[Rank Verteilung Abholzigkeit],0))</f>
        <v>#N/A</v>
      </c>
      <c r="N3602" t="e">
        <f>VLOOKUP(Tabelle9[[#This Row],[Rank]],Stammdaten[[Rank Verteilung Abholzigkeit]:[Verteilung Abholzigkeit]],2,FALSE)</f>
        <v>#N/A</v>
      </c>
      <c r="S3602">
        <v>3593</v>
      </c>
      <c r="T3602" t="e">
        <f>INDEX(Stammdaten[Krümmung (mm/lfm)],MATCH(Tabelle10[[#This Row],[Rank]],Stammdaten[Rank Verteilung Krümmung],0))</f>
        <v>#N/A</v>
      </c>
      <c r="U3602" t="e">
        <f>VLOOKUP(Tabelle10[[#This Row],[Rank]],Stammdaten[[Rank Verteilung Krümmung]:[Verteilung Krümmung]],2,FALSE)</f>
        <v>#N/A</v>
      </c>
      <c r="Z3602">
        <v>3593</v>
      </c>
      <c r="AA3602" t="e">
        <f>INDEX(Stammdaten[Ovalität (']0,1'])],MATCH(Tabelle1014[[#This Row],[Rank]],Stammdaten[Rank Verteilung Ovalität],0))</f>
        <v>#N/A</v>
      </c>
      <c r="AB3602" t="e">
        <f>VLOOKUP(Tabelle1014[[#This Row],[Rank]],Stammdaten[[Rank Verteilung Ovalität]:[Verteilung Ovalität]],2,FALSE)</f>
        <v>#N/A</v>
      </c>
    </row>
    <row r="3603" spans="5:28" x14ac:dyDescent="0.35">
      <c r="E3603">
        <v>3594</v>
      </c>
      <c r="F3603" t="e">
        <f>INDEX(Stammdaten[D Mitte mit Rinde (mm)],MATCH(Tabelle8[[#This Row],[Rank]],Stammdaten[Rank Verteilung D Mitte mit Rinde],0))</f>
        <v>#N/A</v>
      </c>
      <c r="G3603" t="e">
        <f>VLOOKUP(Tabelle8[[#This Row],[Rank]],Stammdaten[[Rank Verteilung D Mitte mit Rinde]:[Verteilung D Mitte mit Rinde]],2,FALSE)</f>
        <v>#N/A</v>
      </c>
      <c r="L3603">
        <v>3594</v>
      </c>
      <c r="M3603" t="e">
        <f>INDEX(Stammdaten[Abholzigkeit (mm/lfm)],MATCH(Tabelle9[[#This Row],[Rank]],Stammdaten[Rank Verteilung Abholzigkeit],0))</f>
        <v>#N/A</v>
      </c>
      <c r="N3603" t="e">
        <f>VLOOKUP(Tabelle9[[#This Row],[Rank]],Stammdaten[[Rank Verteilung Abholzigkeit]:[Verteilung Abholzigkeit]],2,FALSE)</f>
        <v>#N/A</v>
      </c>
      <c r="S3603">
        <v>3594</v>
      </c>
      <c r="T3603" t="e">
        <f>INDEX(Stammdaten[Krümmung (mm/lfm)],MATCH(Tabelle10[[#This Row],[Rank]],Stammdaten[Rank Verteilung Krümmung],0))</f>
        <v>#N/A</v>
      </c>
      <c r="U3603" t="e">
        <f>VLOOKUP(Tabelle10[[#This Row],[Rank]],Stammdaten[[Rank Verteilung Krümmung]:[Verteilung Krümmung]],2,FALSE)</f>
        <v>#N/A</v>
      </c>
      <c r="Z3603">
        <v>3594</v>
      </c>
      <c r="AA3603" t="e">
        <f>INDEX(Stammdaten[Ovalität (']0,1'])],MATCH(Tabelle1014[[#This Row],[Rank]],Stammdaten[Rank Verteilung Ovalität],0))</f>
        <v>#N/A</v>
      </c>
      <c r="AB3603" t="e">
        <f>VLOOKUP(Tabelle1014[[#This Row],[Rank]],Stammdaten[[Rank Verteilung Ovalität]:[Verteilung Ovalität]],2,FALSE)</f>
        <v>#N/A</v>
      </c>
    </row>
    <row r="3604" spans="5:28" x14ac:dyDescent="0.35">
      <c r="E3604">
        <v>3595</v>
      </c>
      <c r="F3604" t="e">
        <f>INDEX(Stammdaten[D Mitte mit Rinde (mm)],MATCH(Tabelle8[[#This Row],[Rank]],Stammdaten[Rank Verteilung D Mitte mit Rinde],0))</f>
        <v>#N/A</v>
      </c>
      <c r="G3604" t="e">
        <f>VLOOKUP(Tabelle8[[#This Row],[Rank]],Stammdaten[[Rank Verteilung D Mitte mit Rinde]:[Verteilung D Mitte mit Rinde]],2,FALSE)</f>
        <v>#N/A</v>
      </c>
      <c r="L3604">
        <v>3595</v>
      </c>
      <c r="M3604" t="e">
        <f>INDEX(Stammdaten[Abholzigkeit (mm/lfm)],MATCH(Tabelle9[[#This Row],[Rank]],Stammdaten[Rank Verteilung Abholzigkeit],0))</f>
        <v>#N/A</v>
      </c>
      <c r="N3604" t="e">
        <f>VLOOKUP(Tabelle9[[#This Row],[Rank]],Stammdaten[[Rank Verteilung Abholzigkeit]:[Verteilung Abholzigkeit]],2,FALSE)</f>
        <v>#N/A</v>
      </c>
      <c r="S3604">
        <v>3595</v>
      </c>
      <c r="T3604" t="e">
        <f>INDEX(Stammdaten[Krümmung (mm/lfm)],MATCH(Tabelle10[[#This Row],[Rank]],Stammdaten[Rank Verteilung Krümmung],0))</f>
        <v>#N/A</v>
      </c>
      <c r="U3604" t="e">
        <f>VLOOKUP(Tabelle10[[#This Row],[Rank]],Stammdaten[[Rank Verteilung Krümmung]:[Verteilung Krümmung]],2,FALSE)</f>
        <v>#N/A</v>
      </c>
      <c r="Z3604">
        <v>3595</v>
      </c>
      <c r="AA3604" t="e">
        <f>INDEX(Stammdaten[Ovalität (']0,1'])],MATCH(Tabelle1014[[#This Row],[Rank]],Stammdaten[Rank Verteilung Ovalität],0))</f>
        <v>#N/A</v>
      </c>
      <c r="AB3604" t="e">
        <f>VLOOKUP(Tabelle1014[[#This Row],[Rank]],Stammdaten[[Rank Verteilung Ovalität]:[Verteilung Ovalität]],2,FALSE)</f>
        <v>#N/A</v>
      </c>
    </row>
    <row r="3605" spans="5:28" x14ac:dyDescent="0.35">
      <c r="E3605">
        <v>3596</v>
      </c>
      <c r="F3605" t="e">
        <f>INDEX(Stammdaten[D Mitte mit Rinde (mm)],MATCH(Tabelle8[[#This Row],[Rank]],Stammdaten[Rank Verteilung D Mitte mit Rinde],0))</f>
        <v>#N/A</v>
      </c>
      <c r="G3605" t="e">
        <f>VLOOKUP(Tabelle8[[#This Row],[Rank]],Stammdaten[[Rank Verteilung D Mitte mit Rinde]:[Verteilung D Mitte mit Rinde]],2,FALSE)</f>
        <v>#N/A</v>
      </c>
      <c r="L3605">
        <v>3596</v>
      </c>
      <c r="M3605" t="e">
        <f>INDEX(Stammdaten[Abholzigkeit (mm/lfm)],MATCH(Tabelle9[[#This Row],[Rank]],Stammdaten[Rank Verteilung Abholzigkeit],0))</f>
        <v>#N/A</v>
      </c>
      <c r="N3605" t="e">
        <f>VLOOKUP(Tabelle9[[#This Row],[Rank]],Stammdaten[[Rank Verteilung Abholzigkeit]:[Verteilung Abholzigkeit]],2,FALSE)</f>
        <v>#N/A</v>
      </c>
      <c r="S3605">
        <v>3596</v>
      </c>
      <c r="T3605" t="e">
        <f>INDEX(Stammdaten[Krümmung (mm/lfm)],MATCH(Tabelle10[[#This Row],[Rank]],Stammdaten[Rank Verteilung Krümmung],0))</f>
        <v>#N/A</v>
      </c>
      <c r="U3605" t="e">
        <f>VLOOKUP(Tabelle10[[#This Row],[Rank]],Stammdaten[[Rank Verteilung Krümmung]:[Verteilung Krümmung]],2,FALSE)</f>
        <v>#N/A</v>
      </c>
      <c r="Z3605">
        <v>3596</v>
      </c>
      <c r="AA3605" t="e">
        <f>INDEX(Stammdaten[Ovalität (']0,1'])],MATCH(Tabelle1014[[#This Row],[Rank]],Stammdaten[Rank Verteilung Ovalität],0))</f>
        <v>#N/A</v>
      </c>
      <c r="AB3605" t="e">
        <f>VLOOKUP(Tabelle1014[[#This Row],[Rank]],Stammdaten[[Rank Verteilung Ovalität]:[Verteilung Ovalität]],2,FALSE)</f>
        <v>#N/A</v>
      </c>
    </row>
    <row r="3606" spans="5:28" x14ac:dyDescent="0.35">
      <c r="E3606">
        <v>3597</v>
      </c>
      <c r="F3606" t="e">
        <f>INDEX(Stammdaten[D Mitte mit Rinde (mm)],MATCH(Tabelle8[[#This Row],[Rank]],Stammdaten[Rank Verteilung D Mitte mit Rinde],0))</f>
        <v>#N/A</v>
      </c>
      <c r="G3606" t="e">
        <f>VLOOKUP(Tabelle8[[#This Row],[Rank]],Stammdaten[[Rank Verteilung D Mitte mit Rinde]:[Verteilung D Mitte mit Rinde]],2,FALSE)</f>
        <v>#N/A</v>
      </c>
      <c r="L3606">
        <v>3597</v>
      </c>
      <c r="M3606" t="e">
        <f>INDEX(Stammdaten[Abholzigkeit (mm/lfm)],MATCH(Tabelle9[[#This Row],[Rank]],Stammdaten[Rank Verteilung Abholzigkeit],0))</f>
        <v>#N/A</v>
      </c>
      <c r="N3606" t="e">
        <f>VLOOKUP(Tabelle9[[#This Row],[Rank]],Stammdaten[[Rank Verteilung Abholzigkeit]:[Verteilung Abholzigkeit]],2,FALSE)</f>
        <v>#N/A</v>
      </c>
      <c r="S3606">
        <v>3597</v>
      </c>
      <c r="T3606" t="e">
        <f>INDEX(Stammdaten[Krümmung (mm/lfm)],MATCH(Tabelle10[[#This Row],[Rank]],Stammdaten[Rank Verteilung Krümmung],0))</f>
        <v>#N/A</v>
      </c>
      <c r="U3606" t="e">
        <f>VLOOKUP(Tabelle10[[#This Row],[Rank]],Stammdaten[[Rank Verteilung Krümmung]:[Verteilung Krümmung]],2,FALSE)</f>
        <v>#N/A</v>
      </c>
      <c r="Z3606">
        <v>3597</v>
      </c>
      <c r="AA3606" t="e">
        <f>INDEX(Stammdaten[Ovalität (']0,1'])],MATCH(Tabelle1014[[#This Row],[Rank]],Stammdaten[Rank Verteilung Ovalität],0))</f>
        <v>#N/A</v>
      </c>
      <c r="AB3606" t="e">
        <f>VLOOKUP(Tabelle1014[[#This Row],[Rank]],Stammdaten[[Rank Verteilung Ovalität]:[Verteilung Ovalität]],2,FALSE)</f>
        <v>#N/A</v>
      </c>
    </row>
    <row r="3607" spans="5:28" x14ac:dyDescent="0.35">
      <c r="E3607">
        <v>3598</v>
      </c>
      <c r="F3607" t="e">
        <f>INDEX(Stammdaten[D Mitte mit Rinde (mm)],MATCH(Tabelle8[[#This Row],[Rank]],Stammdaten[Rank Verteilung D Mitte mit Rinde],0))</f>
        <v>#N/A</v>
      </c>
      <c r="G3607" t="e">
        <f>VLOOKUP(Tabelle8[[#This Row],[Rank]],Stammdaten[[Rank Verteilung D Mitte mit Rinde]:[Verteilung D Mitte mit Rinde]],2,FALSE)</f>
        <v>#N/A</v>
      </c>
      <c r="L3607">
        <v>3598</v>
      </c>
      <c r="M3607" t="e">
        <f>INDEX(Stammdaten[Abholzigkeit (mm/lfm)],MATCH(Tabelle9[[#This Row],[Rank]],Stammdaten[Rank Verteilung Abholzigkeit],0))</f>
        <v>#N/A</v>
      </c>
      <c r="N3607" t="e">
        <f>VLOOKUP(Tabelle9[[#This Row],[Rank]],Stammdaten[[Rank Verteilung Abholzigkeit]:[Verteilung Abholzigkeit]],2,FALSE)</f>
        <v>#N/A</v>
      </c>
      <c r="S3607">
        <v>3598</v>
      </c>
      <c r="T3607" t="e">
        <f>INDEX(Stammdaten[Krümmung (mm/lfm)],MATCH(Tabelle10[[#This Row],[Rank]],Stammdaten[Rank Verteilung Krümmung],0))</f>
        <v>#N/A</v>
      </c>
      <c r="U3607" t="e">
        <f>VLOOKUP(Tabelle10[[#This Row],[Rank]],Stammdaten[[Rank Verteilung Krümmung]:[Verteilung Krümmung]],2,FALSE)</f>
        <v>#N/A</v>
      </c>
      <c r="Z3607">
        <v>3598</v>
      </c>
      <c r="AA3607" t="e">
        <f>INDEX(Stammdaten[Ovalität (']0,1'])],MATCH(Tabelle1014[[#This Row],[Rank]],Stammdaten[Rank Verteilung Ovalität],0))</f>
        <v>#N/A</v>
      </c>
      <c r="AB3607" t="e">
        <f>VLOOKUP(Tabelle1014[[#This Row],[Rank]],Stammdaten[[Rank Verteilung Ovalität]:[Verteilung Ovalität]],2,FALSE)</f>
        <v>#N/A</v>
      </c>
    </row>
    <row r="3608" spans="5:28" x14ac:dyDescent="0.35">
      <c r="E3608">
        <v>3599</v>
      </c>
      <c r="F3608" t="e">
        <f>INDEX(Stammdaten[D Mitte mit Rinde (mm)],MATCH(Tabelle8[[#This Row],[Rank]],Stammdaten[Rank Verteilung D Mitte mit Rinde],0))</f>
        <v>#N/A</v>
      </c>
      <c r="G3608" t="e">
        <f>VLOOKUP(Tabelle8[[#This Row],[Rank]],Stammdaten[[Rank Verteilung D Mitte mit Rinde]:[Verteilung D Mitte mit Rinde]],2,FALSE)</f>
        <v>#N/A</v>
      </c>
      <c r="L3608">
        <v>3599</v>
      </c>
      <c r="M3608" t="e">
        <f>INDEX(Stammdaten[Abholzigkeit (mm/lfm)],MATCH(Tabelle9[[#This Row],[Rank]],Stammdaten[Rank Verteilung Abholzigkeit],0))</f>
        <v>#N/A</v>
      </c>
      <c r="N3608" t="e">
        <f>VLOOKUP(Tabelle9[[#This Row],[Rank]],Stammdaten[[Rank Verteilung Abholzigkeit]:[Verteilung Abholzigkeit]],2,FALSE)</f>
        <v>#N/A</v>
      </c>
      <c r="S3608">
        <v>3599</v>
      </c>
      <c r="T3608" t="e">
        <f>INDEX(Stammdaten[Krümmung (mm/lfm)],MATCH(Tabelle10[[#This Row],[Rank]],Stammdaten[Rank Verteilung Krümmung],0))</f>
        <v>#N/A</v>
      </c>
      <c r="U3608" t="e">
        <f>VLOOKUP(Tabelle10[[#This Row],[Rank]],Stammdaten[[Rank Verteilung Krümmung]:[Verteilung Krümmung]],2,FALSE)</f>
        <v>#N/A</v>
      </c>
      <c r="Z3608">
        <v>3599</v>
      </c>
      <c r="AA3608" t="e">
        <f>INDEX(Stammdaten[Ovalität (']0,1'])],MATCH(Tabelle1014[[#This Row],[Rank]],Stammdaten[Rank Verteilung Ovalität],0))</f>
        <v>#N/A</v>
      </c>
      <c r="AB3608" t="e">
        <f>VLOOKUP(Tabelle1014[[#This Row],[Rank]],Stammdaten[[Rank Verteilung Ovalität]:[Verteilung Ovalität]],2,FALSE)</f>
        <v>#N/A</v>
      </c>
    </row>
    <row r="3609" spans="5:28" x14ac:dyDescent="0.35">
      <c r="E3609">
        <v>3600</v>
      </c>
      <c r="F3609" t="e">
        <f>INDEX(Stammdaten[D Mitte mit Rinde (mm)],MATCH(Tabelle8[[#This Row],[Rank]],Stammdaten[Rank Verteilung D Mitte mit Rinde],0))</f>
        <v>#N/A</v>
      </c>
      <c r="G3609" t="e">
        <f>VLOOKUP(Tabelle8[[#This Row],[Rank]],Stammdaten[[Rank Verteilung D Mitte mit Rinde]:[Verteilung D Mitte mit Rinde]],2,FALSE)</f>
        <v>#N/A</v>
      </c>
      <c r="L3609">
        <v>3600</v>
      </c>
      <c r="M3609" t="e">
        <f>INDEX(Stammdaten[Abholzigkeit (mm/lfm)],MATCH(Tabelle9[[#This Row],[Rank]],Stammdaten[Rank Verteilung Abholzigkeit],0))</f>
        <v>#N/A</v>
      </c>
      <c r="N3609" t="e">
        <f>VLOOKUP(Tabelle9[[#This Row],[Rank]],Stammdaten[[Rank Verteilung Abholzigkeit]:[Verteilung Abholzigkeit]],2,FALSE)</f>
        <v>#N/A</v>
      </c>
      <c r="S3609">
        <v>3600</v>
      </c>
      <c r="T3609" t="e">
        <f>INDEX(Stammdaten[Krümmung (mm/lfm)],MATCH(Tabelle10[[#This Row],[Rank]],Stammdaten[Rank Verteilung Krümmung],0))</f>
        <v>#N/A</v>
      </c>
      <c r="U3609" t="e">
        <f>VLOOKUP(Tabelle10[[#This Row],[Rank]],Stammdaten[[Rank Verteilung Krümmung]:[Verteilung Krümmung]],2,FALSE)</f>
        <v>#N/A</v>
      </c>
      <c r="Z3609">
        <v>3600</v>
      </c>
      <c r="AA3609" t="e">
        <f>INDEX(Stammdaten[Ovalität (']0,1'])],MATCH(Tabelle1014[[#This Row],[Rank]],Stammdaten[Rank Verteilung Ovalität],0))</f>
        <v>#N/A</v>
      </c>
      <c r="AB3609" t="e">
        <f>VLOOKUP(Tabelle1014[[#This Row],[Rank]],Stammdaten[[Rank Verteilung Ovalität]:[Verteilung Ovalität]],2,FALSE)</f>
        <v>#N/A</v>
      </c>
    </row>
    <row r="3610" spans="5:28" x14ac:dyDescent="0.35">
      <c r="E3610">
        <v>3601</v>
      </c>
      <c r="F3610" t="e">
        <f>INDEX(Stammdaten[D Mitte mit Rinde (mm)],MATCH(Tabelle8[[#This Row],[Rank]],Stammdaten[Rank Verteilung D Mitte mit Rinde],0))</f>
        <v>#N/A</v>
      </c>
      <c r="G3610" t="e">
        <f>VLOOKUP(Tabelle8[[#This Row],[Rank]],Stammdaten[[Rank Verteilung D Mitte mit Rinde]:[Verteilung D Mitte mit Rinde]],2,FALSE)</f>
        <v>#N/A</v>
      </c>
      <c r="L3610">
        <v>3601</v>
      </c>
      <c r="M3610" t="e">
        <f>INDEX(Stammdaten[Abholzigkeit (mm/lfm)],MATCH(Tabelle9[[#This Row],[Rank]],Stammdaten[Rank Verteilung Abholzigkeit],0))</f>
        <v>#N/A</v>
      </c>
      <c r="N3610" t="e">
        <f>VLOOKUP(Tabelle9[[#This Row],[Rank]],Stammdaten[[Rank Verteilung Abholzigkeit]:[Verteilung Abholzigkeit]],2,FALSE)</f>
        <v>#N/A</v>
      </c>
      <c r="S3610">
        <v>3601</v>
      </c>
      <c r="T3610" t="e">
        <f>INDEX(Stammdaten[Krümmung (mm/lfm)],MATCH(Tabelle10[[#This Row],[Rank]],Stammdaten[Rank Verteilung Krümmung],0))</f>
        <v>#N/A</v>
      </c>
      <c r="U3610" t="e">
        <f>VLOOKUP(Tabelle10[[#This Row],[Rank]],Stammdaten[[Rank Verteilung Krümmung]:[Verteilung Krümmung]],2,FALSE)</f>
        <v>#N/A</v>
      </c>
      <c r="Z3610">
        <v>3601</v>
      </c>
      <c r="AA3610" t="e">
        <f>INDEX(Stammdaten[Ovalität (']0,1'])],MATCH(Tabelle1014[[#This Row],[Rank]],Stammdaten[Rank Verteilung Ovalität],0))</f>
        <v>#N/A</v>
      </c>
      <c r="AB3610" t="e">
        <f>VLOOKUP(Tabelle1014[[#This Row],[Rank]],Stammdaten[[Rank Verteilung Ovalität]:[Verteilung Ovalität]],2,FALSE)</f>
        <v>#N/A</v>
      </c>
    </row>
    <row r="3611" spans="5:28" x14ac:dyDescent="0.35">
      <c r="E3611">
        <v>3602</v>
      </c>
      <c r="F3611" t="e">
        <f>INDEX(Stammdaten[D Mitte mit Rinde (mm)],MATCH(Tabelle8[[#This Row],[Rank]],Stammdaten[Rank Verteilung D Mitte mit Rinde],0))</f>
        <v>#N/A</v>
      </c>
      <c r="G3611" t="e">
        <f>VLOOKUP(Tabelle8[[#This Row],[Rank]],Stammdaten[[Rank Verteilung D Mitte mit Rinde]:[Verteilung D Mitte mit Rinde]],2,FALSE)</f>
        <v>#N/A</v>
      </c>
      <c r="L3611">
        <v>3602</v>
      </c>
      <c r="M3611" t="e">
        <f>INDEX(Stammdaten[Abholzigkeit (mm/lfm)],MATCH(Tabelle9[[#This Row],[Rank]],Stammdaten[Rank Verteilung Abholzigkeit],0))</f>
        <v>#N/A</v>
      </c>
      <c r="N3611" t="e">
        <f>VLOOKUP(Tabelle9[[#This Row],[Rank]],Stammdaten[[Rank Verteilung Abholzigkeit]:[Verteilung Abholzigkeit]],2,FALSE)</f>
        <v>#N/A</v>
      </c>
      <c r="S3611">
        <v>3602</v>
      </c>
      <c r="T3611" t="e">
        <f>INDEX(Stammdaten[Krümmung (mm/lfm)],MATCH(Tabelle10[[#This Row],[Rank]],Stammdaten[Rank Verteilung Krümmung],0))</f>
        <v>#N/A</v>
      </c>
      <c r="U3611" t="e">
        <f>VLOOKUP(Tabelle10[[#This Row],[Rank]],Stammdaten[[Rank Verteilung Krümmung]:[Verteilung Krümmung]],2,FALSE)</f>
        <v>#N/A</v>
      </c>
      <c r="Z3611">
        <v>3602</v>
      </c>
      <c r="AA3611" t="e">
        <f>INDEX(Stammdaten[Ovalität (']0,1'])],MATCH(Tabelle1014[[#This Row],[Rank]],Stammdaten[Rank Verteilung Ovalität],0))</f>
        <v>#N/A</v>
      </c>
      <c r="AB3611" t="e">
        <f>VLOOKUP(Tabelle1014[[#This Row],[Rank]],Stammdaten[[Rank Verteilung Ovalität]:[Verteilung Ovalität]],2,FALSE)</f>
        <v>#N/A</v>
      </c>
    </row>
    <row r="3612" spans="5:28" x14ac:dyDescent="0.35">
      <c r="E3612">
        <v>3603</v>
      </c>
      <c r="F3612" t="e">
        <f>INDEX(Stammdaten[D Mitte mit Rinde (mm)],MATCH(Tabelle8[[#This Row],[Rank]],Stammdaten[Rank Verteilung D Mitte mit Rinde],0))</f>
        <v>#N/A</v>
      </c>
      <c r="G3612" t="e">
        <f>VLOOKUP(Tabelle8[[#This Row],[Rank]],Stammdaten[[Rank Verteilung D Mitte mit Rinde]:[Verteilung D Mitte mit Rinde]],2,FALSE)</f>
        <v>#N/A</v>
      </c>
      <c r="L3612">
        <v>3603</v>
      </c>
      <c r="M3612" t="e">
        <f>INDEX(Stammdaten[Abholzigkeit (mm/lfm)],MATCH(Tabelle9[[#This Row],[Rank]],Stammdaten[Rank Verteilung Abholzigkeit],0))</f>
        <v>#N/A</v>
      </c>
      <c r="N3612" t="e">
        <f>VLOOKUP(Tabelle9[[#This Row],[Rank]],Stammdaten[[Rank Verteilung Abholzigkeit]:[Verteilung Abholzigkeit]],2,FALSE)</f>
        <v>#N/A</v>
      </c>
      <c r="S3612">
        <v>3603</v>
      </c>
      <c r="T3612" t="e">
        <f>INDEX(Stammdaten[Krümmung (mm/lfm)],MATCH(Tabelle10[[#This Row],[Rank]],Stammdaten[Rank Verteilung Krümmung],0))</f>
        <v>#N/A</v>
      </c>
      <c r="U3612" t="e">
        <f>VLOOKUP(Tabelle10[[#This Row],[Rank]],Stammdaten[[Rank Verteilung Krümmung]:[Verteilung Krümmung]],2,FALSE)</f>
        <v>#N/A</v>
      </c>
      <c r="Z3612">
        <v>3603</v>
      </c>
      <c r="AA3612" t="e">
        <f>INDEX(Stammdaten[Ovalität (']0,1'])],MATCH(Tabelle1014[[#This Row],[Rank]],Stammdaten[Rank Verteilung Ovalität],0))</f>
        <v>#N/A</v>
      </c>
      <c r="AB3612" t="e">
        <f>VLOOKUP(Tabelle1014[[#This Row],[Rank]],Stammdaten[[Rank Verteilung Ovalität]:[Verteilung Ovalität]],2,FALSE)</f>
        <v>#N/A</v>
      </c>
    </row>
    <row r="3613" spans="5:28" x14ac:dyDescent="0.35">
      <c r="E3613">
        <v>3604</v>
      </c>
      <c r="F3613" t="e">
        <f>INDEX(Stammdaten[D Mitte mit Rinde (mm)],MATCH(Tabelle8[[#This Row],[Rank]],Stammdaten[Rank Verteilung D Mitte mit Rinde],0))</f>
        <v>#N/A</v>
      </c>
      <c r="G3613" t="e">
        <f>VLOOKUP(Tabelle8[[#This Row],[Rank]],Stammdaten[[Rank Verteilung D Mitte mit Rinde]:[Verteilung D Mitte mit Rinde]],2,FALSE)</f>
        <v>#N/A</v>
      </c>
      <c r="L3613">
        <v>3604</v>
      </c>
      <c r="M3613" t="e">
        <f>INDEX(Stammdaten[Abholzigkeit (mm/lfm)],MATCH(Tabelle9[[#This Row],[Rank]],Stammdaten[Rank Verteilung Abholzigkeit],0))</f>
        <v>#N/A</v>
      </c>
      <c r="N3613" t="e">
        <f>VLOOKUP(Tabelle9[[#This Row],[Rank]],Stammdaten[[Rank Verteilung Abholzigkeit]:[Verteilung Abholzigkeit]],2,FALSE)</f>
        <v>#N/A</v>
      </c>
      <c r="S3613">
        <v>3604</v>
      </c>
      <c r="T3613" t="e">
        <f>INDEX(Stammdaten[Krümmung (mm/lfm)],MATCH(Tabelle10[[#This Row],[Rank]],Stammdaten[Rank Verteilung Krümmung],0))</f>
        <v>#N/A</v>
      </c>
      <c r="U3613" t="e">
        <f>VLOOKUP(Tabelle10[[#This Row],[Rank]],Stammdaten[[Rank Verteilung Krümmung]:[Verteilung Krümmung]],2,FALSE)</f>
        <v>#N/A</v>
      </c>
      <c r="Z3613">
        <v>3604</v>
      </c>
      <c r="AA3613" t="e">
        <f>INDEX(Stammdaten[Ovalität (']0,1'])],MATCH(Tabelle1014[[#This Row],[Rank]],Stammdaten[Rank Verteilung Ovalität],0))</f>
        <v>#N/A</v>
      </c>
      <c r="AB3613" t="e">
        <f>VLOOKUP(Tabelle1014[[#This Row],[Rank]],Stammdaten[[Rank Verteilung Ovalität]:[Verteilung Ovalität]],2,FALSE)</f>
        <v>#N/A</v>
      </c>
    </row>
    <row r="3614" spans="5:28" x14ac:dyDescent="0.35">
      <c r="E3614">
        <v>3605</v>
      </c>
      <c r="F3614" t="e">
        <f>INDEX(Stammdaten[D Mitte mit Rinde (mm)],MATCH(Tabelle8[[#This Row],[Rank]],Stammdaten[Rank Verteilung D Mitte mit Rinde],0))</f>
        <v>#N/A</v>
      </c>
      <c r="G3614" t="e">
        <f>VLOOKUP(Tabelle8[[#This Row],[Rank]],Stammdaten[[Rank Verteilung D Mitte mit Rinde]:[Verteilung D Mitte mit Rinde]],2,FALSE)</f>
        <v>#N/A</v>
      </c>
      <c r="L3614">
        <v>3605</v>
      </c>
      <c r="M3614" t="e">
        <f>INDEX(Stammdaten[Abholzigkeit (mm/lfm)],MATCH(Tabelle9[[#This Row],[Rank]],Stammdaten[Rank Verteilung Abholzigkeit],0))</f>
        <v>#N/A</v>
      </c>
      <c r="N3614" t="e">
        <f>VLOOKUP(Tabelle9[[#This Row],[Rank]],Stammdaten[[Rank Verteilung Abholzigkeit]:[Verteilung Abholzigkeit]],2,FALSE)</f>
        <v>#N/A</v>
      </c>
      <c r="S3614">
        <v>3605</v>
      </c>
      <c r="T3614" t="e">
        <f>INDEX(Stammdaten[Krümmung (mm/lfm)],MATCH(Tabelle10[[#This Row],[Rank]],Stammdaten[Rank Verteilung Krümmung],0))</f>
        <v>#N/A</v>
      </c>
      <c r="U3614" t="e">
        <f>VLOOKUP(Tabelle10[[#This Row],[Rank]],Stammdaten[[Rank Verteilung Krümmung]:[Verteilung Krümmung]],2,FALSE)</f>
        <v>#N/A</v>
      </c>
      <c r="Z3614">
        <v>3605</v>
      </c>
      <c r="AA3614" t="e">
        <f>INDEX(Stammdaten[Ovalität (']0,1'])],MATCH(Tabelle1014[[#This Row],[Rank]],Stammdaten[Rank Verteilung Ovalität],0))</f>
        <v>#N/A</v>
      </c>
      <c r="AB3614" t="e">
        <f>VLOOKUP(Tabelle1014[[#This Row],[Rank]],Stammdaten[[Rank Verteilung Ovalität]:[Verteilung Ovalität]],2,FALSE)</f>
        <v>#N/A</v>
      </c>
    </row>
    <row r="3615" spans="5:28" x14ac:dyDescent="0.35">
      <c r="E3615">
        <v>3606</v>
      </c>
      <c r="F3615" t="e">
        <f>INDEX(Stammdaten[D Mitte mit Rinde (mm)],MATCH(Tabelle8[[#This Row],[Rank]],Stammdaten[Rank Verteilung D Mitte mit Rinde],0))</f>
        <v>#N/A</v>
      </c>
      <c r="G3615" t="e">
        <f>VLOOKUP(Tabelle8[[#This Row],[Rank]],Stammdaten[[Rank Verteilung D Mitte mit Rinde]:[Verteilung D Mitte mit Rinde]],2,FALSE)</f>
        <v>#N/A</v>
      </c>
      <c r="L3615">
        <v>3606</v>
      </c>
      <c r="M3615" t="e">
        <f>INDEX(Stammdaten[Abholzigkeit (mm/lfm)],MATCH(Tabelle9[[#This Row],[Rank]],Stammdaten[Rank Verteilung Abholzigkeit],0))</f>
        <v>#N/A</v>
      </c>
      <c r="N3615" t="e">
        <f>VLOOKUP(Tabelle9[[#This Row],[Rank]],Stammdaten[[Rank Verteilung Abholzigkeit]:[Verteilung Abholzigkeit]],2,FALSE)</f>
        <v>#N/A</v>
      </c>
      <c r="S3615">
        <v>3606</v>
      </c>
      <c r="T3615" t="e">
        <f>INDEX(Stammdaten[Krümmung (mm/lfm)],MATCH(Tabelle10[[#This Row],[Rank]],Stammdaten[Rank Verteilung Krümmung],0))</f>
        <v>#N/A</v>
      </c>
      <c r="U3615" t="e">
        <f>VLOOKUP(Tabelle10[[#This Row],[Rank]],Stammdaten[[Rank Verteilung Krümmung]:[Verteilung Krümmung]],2,FALSE)</f>
        <v>#N/A</v>
      </c>
      <c r="Z3615">
        <v>3606</v>
      </c>
      <c r="AA3615" t="e">
        <f>INDEX(Stammdaten[Ovalität (']0,1'])],MATCH(Tabelle1014[[#This Row],[Rank]],Stammdaten[Rank Verteilung Ovalität],0))</f>
        <v>#N/A</v>
      </c>
      <c r="AB3615" t="e">
        <f>VLOOKUP(Tabelle1014[[#This Row],[Rank]],Stammdaten[[Rank Verteilung Ovalität]:[Verteilung Ovalität]],2,FALSE)</f>
        <v>#N/A</v>
      </c>
    </row>
    <row r="3616" spans="5:28" x14ac:dyDescent="0.35">
      <c r="E3616">
        <v>3607</v>
      </c>
      <c r="F3616" t="e">
        <f>INDEX(Stammdaten[D Mitte mit Rinde (mm)],MATCH(Tabelle8[[#This Row],[Rank]],Stammdaten[Rank Verteilung D Mitte mit Rinde],0))</f>
        <v>#N/A</v>
      </c>
      <c r="G3616" t="e">
        <f>VLOOKUP(Tabelle8[[#This Row],[Rank]],Stammdaten[[Rank Verteilung D Mitte mit Rinde]:[Verteilung D Mitte mit Rinde]],2,FALSE)</f>
        <v>#N/A</v>
      </c>
      <c r="L3616">
        <v>3607</v>
      </c>
      <c r="M3616" t="e">
        <f>INDEX(Stammdaten[Abholzigkeit (mm/lfm)],MATCH(Tabelle9[[#This Row],[Rank]],Stammdaten[Rank Verteilung Abholzigkeit],0))</f>
        <v>#N/A</v>
      </c>
      <c r="N3616" t="e">
        <f>VLOOKUP(Tabelle9[[#This Row],[Rank]],Stammdaten[[Rank Verteilung Abholzigkeit]:[Verteilung Abholzigkeit]],2,FALSE)</f>
        <v>#N/A</v>
      </c>
      <c r="S3616">
        <v>3607</v>
      </c>
      <c r="T3616" t="e">
        <f>INDEX(Stammdaten[Krümmung (mm/lfm)],MATCH(Tabelle10[[#This Row],[Rank]],Stammdaten[Rank Verteilung Krümmung],0))</f>
        <v>#N/A</v>
      </c>
      <c r="U3616" t="e">
        <f>VLOOKUP(Tabelle10[[#This Row],[Rank]],Stammdaten[[Rank Verteilung Krümmung]:[Verteilung Krümmung]],2,FALSE)</f>
        <v>#N/A</v>
      </c>
      <c r="Z3616">
        <v>3607</v>
      </c>
      <c r="AA3616" t="e">
        <f>INDEX(Stammdaten[Ovalität (']0,1'])],MATCH(Tabelle1014[[#This Row],[Rank]],Stammdaten[Rank Verteilung Ovalität],0))</f>
        <v>#N/A</v>
      </c>
      <c r="AB3616" t="e">
        <f>VLOOKUP(Tabelle1014[[#This Row],[Rank]],Stammdaten[[Rank Verteilung Ovalität]:[Verteilung Ovalität]],2,FALSE)</f>
        <v>#N/A</v>
      </c>
    </row>
    <row r="3617" spans="5:28" x14ac:dyDescent="0.35">
      <c r="E3617">
        <v>3608</v>
      </c>
      <c r="F3617" t="e">
        <f>INDEX(Stammdaten[D Mitte mit Rinde (mm)],MATCH(Tabelle8[[#This Row],[Rank]],Stammdaten[Rank Verteilung D Mitte mit Rinde],0))</f>
        <v>#N/A</v>
      </c>
      <c r="G3617" t="e">
        <f>VLOOKUP(Tabelle8[[#This Row],[Rank]],Stammdaten[[Rank Verteilung D Mitte mit Rinde]:[Verteilung D Mitte mit Rinde]],2,FALSE)</f>
        <v>#N/A</v>
      </c>
      <c r="L3617">
        <v>3608</v>
      </c>
      <c r="M3617" t="e">
        <f>INDEX(Stammdaten[Abholzigkeit (mm/lfm)],MATCH(Tabelle9[[#This Row],[Rank]],Stammdaten[Rank Verteilung Abholzigkeit],0))</f>
        <v>#N/A</v>
      </c>
      <c r="N3617" t="e">
        <f>VLOOKUP(Tabelle9[[#This Row],[Rank]],Stammdaten[[Rank Verteilung Abholzigkeit]:[Verteilung Abholzigkeit]],2,FALSE)</f>
        <v>#N/A</v>
      </c>
      <c r="S3617">
        <v>3608</v>
      </c>
      <c r="T3617" t="e">
        <f>INDEX(Stammdaten[Krümmung (mm/lfm)],MATCH(Tabelle10[[#This Row],[Rank]],Stammdaten[Rank Verteilung Krümmung],0))</f>
        <v>#N/A</v>
      </c>
      <c r="U3617" t="e">
        <f>VLOOKUP(Tabelle10[[#This Row],[Rank]],Stammdaten[[Rank Verteilung Krümmung]:[Verteilung Krümmung]],2,FALSE)</f>
        <v>#N/A</v>
      </c>
      <c r="Z3617">
        <v>3608</v>
      </c>
      <c r="AA3617" t="e">
        <f>INDEX(Stammdaten[Ovalität (']0,1'])],MATCH(Tabelle1014[[#This Row],[Rank]],Stammdaten[Rank Verteilung Ovalität],0))</f>
        <v>#N/A</v>
      </c>
      <c r="AB3617" t="e">
        <f>VLOOKUP(Tabelle1014[[#This Row],[Rank]],Stammdaten[[Rank Verteilung Ovalität]:[Verteilung Ovalität]],2,FALSE)</f>
        <v>#N/A</v>
      </c>
    </row>
    <row r="3618" spans="5:28" x14ac:dyDescent="0.35">
      <c r="E3618">
        <v>3609</v>
      </c>
      <c r="F3618" t="e">
        <f>INDEX(Stammdaten[D Mitte mit Rinde (mm)],MATCH(Tabelle8[[#This Row],[Rank]],Stammdaten[Rank Verteilung D Mitte mit Rinde],0))</f>
        <v>#N/A</v>
      </c>
      <c r="G3618" t="e">
        <f>VLOOKUP(Tabelle8[[#This Row],[Rank]],Stammdaten[[Rank Verteilung D Mitte mit Rinde]:[Verteilung D Mitte mit Rinde]],2,FALSE)</f>
        <v>#N/A</v>
      </c>
      <c r="L3618">
        <v>3609</v>
      </c>
      <c r="M3618" t="e">
        <f>INDEX(Stammdaten[Abholzigkeit (mm/lfm)],MATCH(Tabelle9[[#This Row],[Rank]],Stammdaten[Rank Verteilung Abholzigkeit],0))</f>
        <v>#N/A</v>
      </c>
      <c r="N3618" t="e">
        <f>VLOOKUP(Tabelle9[[#This Row],[Rank]],Stammdaten[[Rank Verteilung Abholzigkeit]:[Verteilung Abholzigkeit]],2,FALSE)</f>
        <v>#N/A</v>
      </c>
      <c r="S3618">
        <v>3609</v>
      </c>
      <c r="T3618" t="e">
        <f>INDEX(Stammdaten[Krümmung (mm/lfm)],MATCH(Tabelle10[[#This Row],[Rank]],Stammdaten[Rank Verteilung Krümmung],0))</f>
        <v>#N/A</v>
      </c>
      <c r="U3618" t="e">
        <f>VLOOKUP(Tabelle10[[#This Row],[Rank]],Stammdaten[[Rank Verteilung Krümmung]:[Verteilung Krümmung]],2,FALSE)</f>
        <v>#N/A</v>
      </c>
      <c r="Z3618">
        <v>3609</v>
      </c>
      <c r="AA3618" t="e">
        <f>INDEX(Stammdaten[Ovalität (']0,1'])],MATCH(Tabelle1014[[#This Row],[Rank]],Stammdaten[Rank Verteilung Ovalität],0))</f>
        <v>#N/A</v>
      </c>
      <c r="AB3618" t="e">
        <f>VLOOKUP(Tabelle1014[[#This Row],[Rank]],Stammdaten[[Rank Verteilung Ovalität]:[Verteilung Ovalität]],2,FALSE)</f>
        <v>#N/A</v>
      </c>
    </row>
    <row r="3619" spans="5:28" x14ac:dyDescent="0.35">
      <c r="E3619">
        <v>3610</v>
      </c>
      <c r="F3619" t="e">
        <f>INDEX(Stammdaten[D Mitte mit Rinde (mm)],MATCH(Tabelle8[[#This Row],[Rank]],Stammdaten[Rank Verteilung D Mitte mit Rinde],0))</f>
        <v>#N/A</v>
      </c>
      <c r="G3619" t="e">
        <f>VLOOKUP(Tabelle8[[#This Row],[Rank]],Stammdaten[[Rank Verteilung D Mitte mit Rinde]:[Verteilung D Mitte mit Rinde]],2,FALSE)</f>
        <v>#N/A</v>
      </c>
      <c r="L3619">
        <v>3610</v>
      </c>
      <c r="M3619" t="e">
        <f>INDEX(Stammdaten[Abholzigkeit (mm/lfm)],MATCH(Tabelle9[[#This Row],[Rank]],Stammdaten[Rank Verteilung Abholzigkeit],0))</f>
        <v>#N/A</v>
      </c>
      <c r="N3619" t="e">
        <f>VLOOKUP(Tabelle9[[#This Row],[Rank]],Stammdaten[[Rank Verteilung Abholzigkeit]:[Verteilung Abholzigkeit]],2,FALSE)</f>
        <v>#N/A</v>
      </c>
      <c r="S3619">
        <v>3610</v>
      </c>
      <c r="T3619" t="e">
        <f>INDEX(Stammdaten[Krümmung (mm/lfm)],MATCH(Tabelle10[[#This Row],[Rank]],Stammdaten[Rank Verteilung Krümmung],0))</f>
        <v>#N/A</v>
      </c>
      <c r="U3619" t="e">
        <f>VLOOKUP(Tabelle10[[#This Row],[Rank]],Stammdaten[[Rank Verteilung Krümmung]:[Verteilung Krümmung]],2,FALSE)</f>
        <v>#N/A</v>
      </c>
      <c r="Z3619">
        <v>3610</v>
      </c>
      <c r="AA3619" t="e">
        <f>INDEX(Stammdaten[Ovalität (']0,1'])],MATCH(Tabelle1014[[#This Row],[Rank]],Stammdaten[Rank Verteilung Ovalität],0))</f>
        <v>#N/A</v>
      </c>
      <c r="AB3619" t="e">
        <f>VLOOKUP(Tabelle1014[[#This Row],[Rank]],Stammdaten[[Rank Verteilung Ovalität]:[Verteilung Ovalität]],2,FALSE)</f>
        <v>#N/A</v>
      </c>
    </row>
    <row r="3620" spans="5:28" x14ac:dyDescent="0.35">
      <c r="E3620">
        <v>3611</v>
      </c>
      <c r="F3620" t="e">
        <f>INDEX(Stammdaten[D Mitte mit Rinde (mm)],MATCH(Tabelle8[[#This Row],[Rank]],Stammdaten[Rank Verteilung D Mitte mit Rinde],0))</f>
        <v>#N/A</v>
      </c>
      <c r="G3620" t="e">
        <f>VLOOKUP(Tabelle8[[#This Row],[Rank]],Stammdaten[[Rank Verteilung D Mitte mit Rinde]:[Verteilung D Mitte mit Rinde]],2,FALSE)</f>
        <v>#N/A</v>
      </c>
      <c r="L3620">
        <v>3611</v>
      </c>
      <c r="M3620" t="e">
        <f>INDEX(Stammdaten[Abholzigkeit (mm/lfm)],MATCH(Tabelle9[[#This Row],[Rank]],Stammdaten[Rank Verteilung Abholzigkeit],0))</f>
        <v>#N/A</v>
      </c>
      <c r="N3620" t="e">
        <f>VLOOKUP(Tabelle9[[#This Row],[Rank]],Stammdaten[[Rank Verteilung Abholzigkeit]:[Verteilung Abholzigkeit]],2,FALSE)</f>
        <v>#N/A</v>
      </c>
      <c r="S3620">
        <v>3611</v>
      </c>
      <c r="T3620" t="e">
        <f>INDEX(Stammdaten[Krümmung (mm/lfm)],MATCH(Tabelle10[[#This Row],[Rank]],Stammdaten[Rank Verteilung Krümmung],0))</f>
        <v>#N/A</v>
      </c>
      <c r="U3620" t="e">
        <f>VLOOKUP(Tabelle10[[#This Row],[Rank]],Stammdaten[[Rank Verteilung Krümmung]:[Verteilung Krümmung]],2,FALSE)</f>
        <v>#N/A</v>
      </c>
      <c r="Z3620">
        <v>3611</v>
      </c>
      <c r="AA3620" t="e">
        <f>INDEX(Stammdaten[Ovalität (']0,1'])],MATCH(Tabelle1014[[#This Row],[Rank]],Stammdaten[Rank Verteilung Ovalität],0))</f>
        <v>#N/A</v>
      </c>
      <c r="AB3620" t="e">
        <f>VLOOKUP(Tabelle1014[[#This Row],[Rank]],Stammdaten[[Rank Verteilung Ovalität]:[Verteilung Ovalität]],2,FALSE)</f>
        <v>#N/A</v>
      </c>
    </row>
    <row r="3621" spans="5:28" x14ac:dyDescent="0.35">
      <c r="E3621">
        <v>3612</v>
      </c>
      <c r="F3621" t="e">
        <f>INDEX(Stammdaten[D Mitte mit Rinde (mm)],MATCH(Tabelle8[[#This Row],[Rank]],Stammdaten[Rank Verteilung D Mitte mit Rinde],0))</f>
        <v>#N/A</v>
      </c>
      <c r="G3621" t="e">
        <f>VLOOKUP(Tabelle8[[#This Row],[Rank]],Stammdaten[[Rank Verteilung D Mitte mit Rinde]:[Verteilung D Mitte mit Rinde]],2,FALSE)</f>
        <v>#N/A</v>
      </c>
      <c r="L3621">
        <v>3612</v>
      </c>
      <c r="M3621" t="e">
        <f>INDEX(Stammdaten[Abholzigkeit (mm/lfm)],MATCH(Tabelle9[[#This Row],[Rank]],Stammdaten[Rank Verteilung Abholzigkeit],0))</f>
        <v>#N/A</v>
      </c>
      <c r="N3621" t="e">
        <f>VLOOKUP(Tabelle9[[#This Row],[Rank]],Stammdaten[[Rank Verteilung Abholzigkeit]:[Verteilung Abholzigkeit]],2,FALSE)</f>
        <v>#N/A</v>
      </c>
      <c r="S3621">
        <v>3612</v>
      </c>
      <c r="T3621" t="e">
        <f>INDEX(Stammdaten[Krümmung (mm/lfm)],MATCH(Tabelle10[[#This Row],[Rank]],Stammdaten[Rank Verteilung Krümmung],0))</f>
        <v>#N/A</v>
      </c>
      <c r="U3621" t="e">
        <f>VLOOKUP(Tabelle10[[#This Row],[Rank]],Stammdaten[[Rank Verteilung Krümmung]:[Verteilung Krümmung]],2,FALSE)</f>
        <v>#N/A</v>
      </c>
      <c r="Z3621">
        <v>3612</v>
      </c>
      <c r="AA3621" t="e">
        <f>INDEX(Stammdaten[Ovalität (']0,1'])],MATCH(Tabelle1014[[#This Row],[Rank]],Stammdaten[Rank Verteilung Ovalität],0))</f>
        <v>#N/A</v>
      </c>
      <c r="AB3621" t="e">
        <f>VLOOKUP(Tabelle1014[[#This Row],[Rank]],Stammdaten[[Rank Verteilung Ovalität]:[Verteilung Ovalität]],2,FALSE)</f>
        <v>#N/A</v>
      </c>
    </row>
    <row r="3622" spans="5:28" x14ac:dyDescent="0.35">
      <c r="E3622">
        <v>3613</v>
      </c>
      <c r="F3622" t="e">
        <f>INDEX(Stammdaten[D Mitte mit Rinde (mm)],MATCH(Tabelle8[[#This Row],[Rank]],Stammdaten[Rank Verteilung D Mitte mit Rinde],0))</f>
        <v>#N/A</v>
      </c>
      <c r="G3622" t="e">
        <f>VLOOKUP(Tabelle8[[#This Row],[Rank]],Stammdaten[[Rank Verteilung D Mitte mit Rinde]:[Verteilung D Mitte mit Rinde]],2,FALSE)</f>
        <v>#N/A</v>
      </c>
      <c r="L3622">
        <v>3613</v>
      </c>
      <c r="M3622" t="e">
        <f>INDEX(Stammdaten[Abholzigkeit (mm/lfm)],MATCH(Tabelle9[[#This Row],[Rank]],Stammdaten[Rank Verteilung Abholzigkeit],0))</f>
        <v>#N/A</v>
      </c>
      <c r="N3622" t="e">
        <f>VLOOKUP(Tabelle9[[#This Row],[Rank]],Stammdaten[[Rank Verteilung Abholzigkeit]:[Verteilung Abholzigkeit]],2,FALSE)</f>
        <v>#N/A</v>
      </c>
      <c r="S3622">
        <v>3613</v>
      </c>
      <c r="T3622" t="e">
        <f>INDEX(Stammdaten[Krümmung (mm/lfm)],MATCH(Tabelle10[[#This Row],[Rank]],Stammdaten[Rank Verteilung Krümmung],0))</f>
        <v>#N/A</v>
      </c>
      <c r="U3622" t="e">
        <f>VLOOKUP(Tabelle10[[#This Row],[Rank]],Stammdaten[[Rank Verteilung Krümmung]:[Verteilung Krümmung]],2,FALSE)</f>
        <v>#N/A</v>
      </c>
      <c r="Z3622">
        <v>3613</v>
      </c>
      <c r="AA3622" t="e">
        <f>INDEX(Stammdaten[Ovalität (']0,1'])],MATCH(Tabelle1014[[#This Row],[Rank]],Stammdaten[Rank Verteilung Ovalität],0))</f>
        <v>#N/A</v>
      </c>
      <c r="AB3622" t="e">
        <f>VLOOKUP(Tabelle1014[[#This Row],[Rank]],Stammdaten[[Rank Verteilung Ovalität]:[Verteilung Ovalität]],2,FALSE)</f>
        <v>#N/A</v>
      </c>
    </row>
    <row r="3623" spans="5:28" x14ac:dyDescent="0.35">
      <c r="E3623">
        <v>3614</v>
      </c>
      <c r="F3623" t="e">
        <f>INDEX(Stammdaten[D Mitte mit Rinde (mm)],MATCH(Tabelle8[[#This Row],[Rank]],Stammdaten[Rank Verteilung D Mitte mit Rinde],0))</f>
        <v>#N/A</v>
      </c>
      <c r="G3623" t="e">
        <f>VLOOKUP(Tabelle8[[#This Row],[Rank]],Stammdaten[[Rank Verteilung D Mitte mit Rinde]:[Verteilung D Mitte mit Rinde]],2,FALSE)</f>
        <v>#N/A</v>
      </c>
      <c r="L3623">
        <v>3614</v>
      </c>
      <c r="M3623" t="e">
        <f>INDEX(Stammdaten[Abholzigkeit (mm/lfm)],MATCH(Tabelle9[[#This Row],[Rank]],Stammdaten[Rank Verteilung Abholzigkeit],0))</f>
        <v>#N/A</v>
      </c>
      <c r="N3623" t="e">
        <f>VLOOKUP(Tabelle9[[#This Row],[Rank]],Stammdaten[[Rank Verteilung Abholzigkeit]:[Verteilung Abholzigkeit]],2,FALSE)</f>
        <v>#N/A</v>
      </c>
      <c r="S3623">
        <v>3614</v>
      </c>
      <c r="T3623" t="e">
        <f>INDEX(Stammdaten[Krümmung (mm/lfm)],MATCH(Tabelle10[[#This Row],[Rank]],Stammdaten[Rank Verteilung Krümmung],0))</f>
        <v>#N/A</v>
      </c>
      <c r="U3623" t="e">
        <f>VLOOKUP(Tabelle10[[#This Row],[Rank]],Stammdaten[[Rank Verteilung Krümmung]:[Verteilung Krümmung]],2,FALSE)</f>
        <v>#N/A</v>
      </c>
      <c r="Z3623">
        <v>3614</v>
      </c>
      <c r="AA3623" t="e">
        <f>INDEX(Stammdaten[Ovalität (']0,1'])],MATCH(Tabelle1014[[#This Row],[Rank]],Stammdaten[Rank Verteilung Ovalität],0))</f>
        <v>#N/A</v>
      </c>
      <c r="AB3623" t="e">
        <f>VLOOKUP(Tabelle1014[[#This Row],[Rank]],Stammdaten[[Rank Verteilung Ovalität]:[Verteilung Ovalität]],2,FALSE)</f>
        <v>#N/A</v>
      </c>
    </row>
    <row r="3624" spans="5:28" x14ac:dyDescent="0.35">
      <c r="E3624">
        <v>3615</v>
      </c>
      <c r="F3624" t="e">
        <f>INDEX(Stammdaten[D Mitte mit Rinde (mm)],MATCH(Tabelle8[[#This Row],[Rank]],Stammdaten[Rank Verteilung D Mitte mit Rinde],0))</f>
        <v>#N/A</v>
      </c>
      <c r="G3624" t="e">
        <f>VLOOKUP(Tabelle8[[#This Row],[Rank]],Stammdaten[[Rank Verteilung D Mitte mit Rinde]:[Verteilung D Mitte mit Rinde]],2,FALSE)</f>
        <v>#N/A</v>
      </c>
      <c r="L3624">
        <v>3615</v>
      </c>
      <c r="M3624" t="e">
        <f>INDEX(Stammdaten[Abholzigkeit (mm/lfm)],MATCH(Tabelle9[[#This Row],[Rank]],Stammdaten[Rank Verteilung Abholzigkeit],0))</f>
        <v>#N/A</v>
      </c>
      <c r="N3624" t="e">
        <f>VLOOKUP(Tabelle9[[#This Row],[Rank]],Stammdaten[[Rank Verteilung Abholzigkeit]:[Verteilung Abholzigkeit]],2,FALSE)</f>
        <v>#N/A</v>
      </c>
      <c r="S3624">
        <v>3615</v>
      </c>
      <c r="T3624" t="e">
        <f>INDEX(Stammdaten[Krümmung (mm/lfm)],MATCH(Tabelle10[[#This Row],[Rank]],Stammdaten[Rank Verteilung Krümmung],0))</f>
        <v>#N/A</v>
      </c>
      <c r="U3624" t="e">
        <f>VLOOKUP(Tabelle10[[#This Row],[Rank]],Stammdaten[[Rank Verteilung Krümmung]:[Verteilung Krümmung]],2,FALSE)</f>
        <v>#N/A</v>
      </c>
      <c r="Z3624">
        <v>3615</v>
      </c>
      <c r="AA3624" t="e">
        <f>INDEX(Stammdaten[Ovalität (']0,1'])],MATCH(Tabelle1014[[#This Row],[Rank]],Stammdaten[Rank Verteilung Ovalität],0))</f>
        <v>#N/A</v>
      </c>
      <c r="AB3624" t="e">
        <f>VLOOKUP(Tabelle1014[[#This Row],[Rank]],Stammdaten[[Rank Verteilung Ovalität]:[Verteilung Ovalität]],2,FALSE)</f>
        <v>#N/A</v>
      </c>
    </row>
    <row r="3625" spans="5:28" x14ac:dyDescent="0.35">
      <c r="E3625">
        <v>3616</v>
      </c>
      <c r="F3625" t="e">
        <f>INDEX(Stammdaten[D Mitte mit Rinde (mm)],MATCH(Tabelle8[[#This Row],[Rank]],Stammdaten[Rank Verteilung D Mitte mit Rinde],0))</f>
        <v>#N/A</v>
      </c>
      <c r="G3625" t="e">
        <f>VLOOKUP(Tabelle8[[#This Row],[Rank]],Stammdaten[[Rank Verteilung D Mitte mit Rinde]:[Verteilung D Mitte mit Rinde]],2,FALSE)</f>
        <v>#N/A</v>
      </c>
      <c r="L3625">
        <v>3616</v>
      </c>
      <c r="M3625" t="e">
        <f>INDEX(Stammdaten[Abholzigkeit (mm/lfm)],MATCH(Tabelle9[[#This Row],[Rank]],Stammdaten[Rank Verteilung Abholzigkeit],0))</f>
        <v>#N/A</v>
      </c>
      <c r="N3625" t="e">
        <f>VLOOKUP(Tabelle9[[#This Row],[Rank]],Stammdaten[[Rank Verteilung Abholzigkeit]:[Verteilung Abholzigkeit]],2,FALSE)</f>
        <v>#N/A</v>
      </c>
      <c r="S3625">
        <v>3616</v>
      </c>
      <c r="T3625" t="e">
        <f>INDEX(Stammdaten[Krümmung (mm/lfm)],MATCH(Tabelle10[[#This Row],[Rank]],Stammdaten[Rank Verteilung Krümmung],0))</f>
        <v>#N/A</v>
      </c>
      <c r="U3625" t="e">
        <f>VLOOKUP(Tabelle10[[#This Row],[Rank]],Stammdaten[[Rank Verteilung Krümmung]:[Verteilung Krümmung]],2,FALSE)</f>
        <v>#N/A</v>
      </c>
      <c r="Z3625">
        <v>3616</v>
      </c>
      <c r="AA3625" t="e">
        <f>INDEX(Stammdaten[Ovalität (']0,1'])],MATCH(Tabelle1014[[#This Row],[Rank]],Stammdaten[Rank Verteilung Ovalität],0))</f>
        <v>#N/A</v>
      </c>
      <c r="AB3625" t="e">
        <f>VLOOKUP(Tabelle1014[[#This Row],[Rank]],Stammdaten[[Rank Verteilung Ovalität]:[Verteilung Ovalität]],2,FALSE)</f>
        <v>#N/A</v>
      </c>
    </row>
    <row r="3626" spans="5:28" x14ac:dyDescent="0.35">
      <c r="E3626">
        <v>3617</v>
      </c>
      <c r="F3626" t="e">
        <f>INDEX(Stammdaten[D Mitte mit Rinde (mm)],MATCH(Tabelle8[[#This Row],[Rank]],Stammdaten[Rank Verteilung D Mitte mit Rinde],0))</f>
        <v>#N/A</v>
      </c>
      <c r="G3626" t="e">
        <f>VLOOKUP(Tabelle8[[#This Row],[Rank]],Stammdaten[[Rank Verteilung D Mitte mit Rinde]:[Verteilung D Mitte mit Rinde]],2,FALSE)</f>
        <v>#N/A</v>
      </c>
      <c r="L3626">
        <v>3617</v>
      </c>
      <c r="M3626" t="e">
        <f>INDEX(Stammdaten[Abholzigkeit (mm/lfm)],MATCH(Tabelle9[[#This Row],[Rank]],Stammdaten[Rank Verteilung Abholzigkeit],0))</f>
        <v>#N/A</v>
      </c>
      <c r="N3626" t="e">
        <f>VLOOKUP(Tabelle9[[#This Row],[Rank]],Stammdaten[[Rank Verteilung Abholzigkeit]:[Verteilung Abholzigkeit]],2,FALSE)</f>
        <v>#N/A</v>
      </c>
      <c r="S3626">
        <v>3617</v>
      </c>
      <c r="T3626" t="e">
        <f>INDEX(Stammdaten[Krümmung (mm/lfm)],MATCH(Tabelle10[[#This Row],[Rank]],Stammdaten[Rank Verteilung Krümmung],0))</f>
        <v>#N/A</v>
      </c>
      <c r="U3626" t="e">
        <f>VLOOKUP(Tabelle10[[#This Row],[Rank]],Stammdaten[[Rank Verteilung Krümmung]:[Verteilung Krümmung]],2,FALSE)</f>
        <v>#N/A</v>
      </c>
      <c r="Z3626">
        <v>3617</v>
      </c>
      <c r="AA3626" t="e">
        <f>INDEX(Stammdaten[Ovalität (']0,1'])],MATCH(Tabelle1014[[#This Row],[Rank]],Stammdaten[Rank Verteilung Ovalität],0))</f>
        <v>#N/A</v>
      </c>
      <c r="AB3626" t="e">
        <f>VLOOKUP(Tabelle1014[[#This Row],[Rank]],Stammdaten[[Rank Verteilung Ovalität]:[Verteilung Ovalität]],2,FALSE)</f>
        <v>#N/A</v>
      </c>
    </row>
    <row r="3627" spans="5:28" x14ac:dyDescent="0.35">
      <c r="E3627">
        <v>3618</v>
      </c>
      <c r="F3627" t="e">
        <f>INDEX(Stammdaten[D Mitte mit Rinde (mm)],MATCH(Tabelle8[[#This Row],[Rank]],Stammdaten[Rank Verteilung D Mitte mit Rinde],0))</f>
        <v>#N/A</v>
      </c>
      <c r="G3627" t="e">
        <f>VLOOKUP(Tabelle8[[#This Row],[Rank]],Stammdaten[[Rank Verteilung D Mitte mit Rinde]:[Verteilung D Mitte mit Rinde]],2,FALSE)</f>
        <v>#N/A</v>
      </c>
      <c r="L3627">
        <v>3618</v>
      </c>
      <c r="M3627" t="e">
        <f>INDEX(Stammdaten[Abholzigkeit (mm/lfm)],MATCH(Tabelle9[[#This Row],[Rank]],Stammdaten[Rank Verteilung Abholzigkeit],0))</f>
        <v>#N/A</v>
      </c>
      <c r="N3627" t="e">
        <f>VLOOKUP(Tabelle9[[#This Row],[Rank]],Stammdaten[[Rank Verteilung Abholzigkeit]:[Verteilung Abholzigkeit]],2,FALSE)</f>
        <v>#N/A</v>
      </c>
      <c r="S3627">
        <v>3618</v>
      </c>
      <c r="T3627" t="e">
        <f>INDEX(Stammdaten[Krümmung (mm/lfm)],MATCH(Tabelle10[[#This Row],[Rank]],Stammdaten[Rank Verteilung Krümmung],0))</f>
        <v>#N/A</v>
      </c>
      <c r="U3627" t="e">
        <f>VLOOKUP(Tabelle10[[#This Row],[Rank]],Stammdaten[[Rank Verteilung Krümmung]:[Verteilung Krümmung]],2,FALSE)</f>
        <v>#N/A</v>
      </c>
      <c r="Z3627">
        <v>3618</v>
      </c>
      <c r="AA3627" t="e">
        <f>INDEX(Stammdaten[Ovalität (']0,1'])],MATCH(Tabelle1014[[#This Row],[Rank]],Stammdaten[Rank Verteilung Ovalität],0))</f>
        <v>#N/A</v>
      </c>
      <c r="AB3627" t="e">
        <f>VLOOKUP(Tabelle1014[[#This Row],[Rank]],Stammdaten[[Rank Verteilung Ovalität]:[Verteilung Ovalität]],2,FALSE)</f>
        <v>#N/A</v>
      </c>
    </row>
    <row r="3628" spans="5:28" x14ac:dyDescent="0.35">
      <c r="E3628">
        <v>3619</v>
      </c>
      <c r="F3628" t="e">
        <f>INDEX(Stammdaten[D Mitte mit Rinde (mm)],MATCH(Tabelle8[[#This Row],[Rank]],Stammdaten[Rank Verteilung D Mitte mit Rinde],0))</f>
        <v>#N/A</v>
      </c>
      <c r="G3628" t="e">
        <f>VLOOKUP(Tabelle8[[#This Row],[Rank]],Stammdaten[[Rank Verteilung D Mitte mit Rinde]:[Verteilung D Mitte mit Rinde]],2,FALSE)</f>
        <v>#N/A</v>
      </c>
      <c r="L3628">
        <v>3619</v>
      </c>
      <c r="M3628" t="e">
        <f>INDEX(Stammdaten[Abholzigkeit (mm/lfm)],MATCH(Tabelle9[[#This Row],[Rank]],Stammdaten[Rank Verteilung Abholzigkeit],0))</f>
        <v>#N/A</v>
      </c>
      <c r="N3628" t="e">
        <f>VLOOKUP(Tabelle9[[#This Row],[Rank]],Stammdaten[[Rank Verteilung Abholzigkeit]:[Verteilung Abholzigkeit]],2,FALSE)</f>
        <v>#N/A</v>
      </c>
      <c r="S3628">
        <v>3619</v>
      </c>
      <c r="T3628" t="e">
        <f>INDEX(Stammdaten[Krümmung (mm/lfm)],MATCH(Tabelle10[[#This Row],[Rank]],Stammdaten[Rank Verteilung Krümmung],0))</f>
        <v>#N/A</v>
      </c>
      <c r="U3628" t="e">
        <f>VLOOKUP(Tabelle10[[#This Row],[Rank]],Stammdaten[[Rank Verteilung Krümmung]:[Verteilung Krümmung]],2,FALSE)</f>
        <v>#N/A</v>
      </c>
      <c r="Z3628">
        <v>3619</v>
      </c>
      <c r="AA3628" t="e">
        <f>INDEX(Stammdaten[Ovalität (']0,1'])],MATCH(Tabelle1014[[#This Row],[Rank]],Stammdaten[Rank Verteilung Ovalität],0))</f>
        <v>#N/A</v>
      </c>
      <c r="AB3628" t="e">
        <f>VLOOKUP(Tabelle1014[[#This Row],[Rank]],Stammdaten[[Rank Verteilung Ovalität]:[Verteilung Ovalität]],2,FALSE)</f>
        <v>#N/A</v>
      </c>
    </row>
    <row r="3629" spans="5:28" x14ac:dyDescent="0.35">
      <c r="E3629">
        <v>3620</v>
      </c>
      <c r="F3629" t="e">
        <f>INDEX(Stammdaten[D Mitte mit Rinde (mm)],MATCH(Tabelle8[[#This Row],[Rank]],Stammdaten[Rank Verteilung D Mitte mit Rinde],0))</f>
        <v>#N/A</v>
      </c>
      <c r="G3629" t="e">
        <f>VLOOKUP(Tabelle8[[#This Row],[Rank]],Stammdaten[[Rank Verteilung D Mitte mit Rinde]:[Verteilung D Mitte mit Rinde]],2,FALSE)</f>
        <v>#N/A</v>
      </c>
      <c r="L3629">
        <v>3620</v>
      </c>
      <c r="M3629" t="e">
        <f>INDEX(Stammdaten[Abholzigkeit (mm/lfm)],MATCH(Tabelle9[[#This Row],[Rank]],Stammdaten[Rank Verteilung Abholzigkeit],0))</f>
        <v>#N/A</v>
      </c>
      <c r="N3629" t="e">
        <f>VLOOKUP(Tabelle9[[#This Row],[Rank]],Stammdaten[[Rank Verteilung Abholzigkeit]:[Verteilung Abholzigkeit]],2,FALSE)</f>
        <v>#N/A</v>
      </c>
      <c r="S3629">
        <v>3620</v>
      </c>
      <c r="T3629" t="e">
        <f>INDEX(Stammdaten[Krümmung (mm/lfm)],MATCH(Tabelle10[[#This Row],[Rank]],Stammdaten[Rank Verteilung Krümmung],0))</f>
        <v>#N/A</v>
      </c>
      <c r="U3629" t="e">
        <f>VLOOKUP(Tabelle10[[#This Row],[Rank]],Stammdaten[[Rank Verteilung Krümmung]:[Verteilung Krümmung]],2,FALSE)</f>
        <v>#N/A</v>
      </c>
      <c r="Z3629">
        <v>3620</v>
      </c>
      <c r="AA3629" t="e">
        <f>INDEX(Stammdaten[Ovalität (']0,1'])],MATCH(Tabelle1014[[#This Row],[Rank]],Stammdaten[Rank Verteilung Ovalität],0))</f>
        <v>#N/A</v>
      </c>
      <c r="AB3629" t="e">
        <f>VLOOKUP(Tabelle1014[[#This Row],[Rank]],Stammdaten[[Rank Verteilung Ovalität]:[Verteilung Ovalität]],2,FALSE)</f>
        <v>#N/A</v>
      </c>
    </row>
    <row r="3630" spans="5:28" x14ac:dyDescent="0.35">
      <c r="E3630">
        <v>3621</v>
      </c>
      <c r="F3630" t="e">
        <f>INDEX(Stammdaten[D Mitte mit Rinde (mm)],MATCH(Tabelle8[[#This Row],[Rank]],Stammdaten[Rank Verteilung D Mitte mit Rinde],0))</f>
        <v>#N/A</v>
      </c>
      <c r="G3630" t="e">
        <f>VLOOKUP(Tabelle8[[#This Row],[Rank]],Stammdaten[[Rank Verteilung D Mitte mit Rinde]:[Verteilung D Mitte mit Rinde]],2,FALSE)</f>
        <v>#N/A</v>
      </c>
      <c r="L3630">
        <v>3621</v>
      </c>
      <c r="M3630" t="e">
        <f>INDEX(Stammdaten[Abholzigkeit (mm/lfm)],MATCH(Tabelle9[[#This Row],[Rank]],Stammdaten[Rank Verteilung Abholzigkeit],0))</f>
        <v>#N/A</v>
      </c>
      <c r="N3630" t="e">
        <f>VLOOKUP(Tabelle9[[#This Row],[Rank]],Stammdaten[[Rank Verteilung Abholzigkeit]:[Verteilung Abholzigkeit]],2,FALSE)</f>
        <v>#N/A</v>
      </c>
      <c r="S3630">
        <v>3621</v>
      </c>
      <c r="T3630" t="e">
        <f>INDEX(Stammdaten[Krümmung (mm/lfm)],MATCH(Tabelle10[[#This Row],[Rank]],Stammdaten[Rank Verteilung Krümmung],0))</f>
        <v>#N/A</v>
      </c>
      <c r="U3630" t="e">
        <f>VLOOKUP(Tabelle10[[#This Row],[Rank]],Stammdaten[[Rank Verteilung Krümmung]:[Verteilung Krümmung]],2,FALSE)</f>
        <v>#N/A</v>
      </c>
      <c r="Z3630">
        <v>3621</v>
      </c>
      <c r="AA3630" t="e">
        <f>INDEX(Stammdaten[Ovalität (']0,1'])],MATCH(Tabelle1014[[#This Row],[Rank]],Stammdaten[Rank Verteilung Ovalität],0))</f>
        <v>#N/A</v>
      </c>
      <c r="AB3630" t="e">
        <f>VLOOKUP(Tabelle1014[[#This Row],[Rank]],Stammdaten[[Rank Verteilung Ovalität]:[Verteilung Ovalität]],2,FALSE)</f>
        <v>#N/A</v>
      </c>
    </row>
    <row r="3631" spans="5:28" x14ac:dyDescent="0.35">
      <c r="E3631">
        <v>3622</v>
      </c>
      <c r="F3631" t="e">
        <f>INDEX(Stammdaten[D Mitte mit Rinde (mm)],MATCH(Tabelle8[[#This Row],[Rank]],Stammdaten[Rank Verteilung D Mitte mit Rinde],0))</f>
        <v>#N/A</v>
      </c>
      <c r="G3631" t="e">
        <f>VLOOKUP(Tabelle8[[#This Row],[Rank]],Stammdaten[[Rank Verteilung D Mitte mit Rinde]:[Verteilung D Mitte mit Rinde]],2,FALSE)</f>
        <v>#N/A</v>
      </c>
      <c r="L3631">
        <v>3622</v>
      </c>
      <c r="M3631" t="e">
        <f>INDEX(Stammdaten[Abholzigkeit (mm/lfm)],MATCH(Tabelle9[[#This Row],[Rank]],Stammdaten[Rank Verteilung Abholzigkeit],0))</f>
        <v>#N/A</v>
      </c>
      <c r="N3631" t="e">
        <f>VLOOKUP(Tabelle9[[#This Row],[Rank]],Stammdaten[[Rank Verteilung Abholzigkeit]:[Verteilung Abholzigkeit]],2,FALSE)</f>
        <v>#N/A</v>
      </c>
      <c r="S3631">
        <v>3622</v>
      </c>
      <c r="T3631" t="e">
        <f>INDEX(Stammdaten[Krümmung (mm/lfm)],MATCH(Tabelle10[[#This Row],[Rank]],Stammdaten[Rank Verteilung Krümmung],0))</f>
        <v>#N/A</v>
      </c>
      <c r="U3631" t="e">
        <f>VLOOKUP(Tabelle10[[#This Row],[Rank]],Stammdaten[[Rank Verteilung Krümmung]:[Verteilung Krümmung]],2,FALSE)</f>
        <v>#N/A</v>
      </c>
      <c r="Z3631">
        <v>3622</v>
      </c>
      <c r="AA3631" t="e">
        <f>INDEX(Stammdaten[Ovalität (']0,1'])],MATCH(Tabelle1014[[#This Row],[Rank]],Stammdaten[Rank Verteilung Ovalität],0))</f>
        <v>#N/A</v>
      </c>
      <c r="AB3631" t="e">
        <f>VLOOKUP(Tabelle1014[[#This Row],[Rank]],Stammdaten[[Rank Verteilung Ovalität]:[Verteilung Ovalität]],2,FALSE)</f>
        <v>#N/A</v>
      </c>
    </row>
    <row r="3632" spans="5:28" x14ac:dyDescent="0.35">
      <c r="E3632">
        <v>3623</v>
      </c>
      <c r="F3632" t="e">
        <f>INDEX(Stammdaten[D Mitte mit Rinde (mm)],MATCH(Tabelle8[[#This Row],[Rank]],Stammdaten[Rank Verteilung D Mitte mit Rinde],0))</f>
        <v>#N/A</v>
      </c>
      <c r="G3632" t="e">
        <f>VLOOKUP(Tabelle8[[#This Row],[Rank]],Stammdaten[[Rank Verteilung D Mitte mit Rinde]:[Verteilung D Mitte mit Rinde]],2,FALSE)</f>
        <v>#N/A</v>
      </c>
      <c r="L3632">
        <v>3623</v>
      </c>
      <c r="M3632" t="e">
        <f>INDEX(Stammdaten[Abholzigkeit (mm/lfm)],MATCH(Tabelle9[[#This Row],[Rank]],Stammdaten[Rank Verteilung Abholzigkeit],0))</f>
        <v>#N/A</v>
      </c>
      <c r="N3632" t="e">
        <f>VLOOKUP(Tabelle9[[#This Row],[Rank]],Stammdaten[[Rank Verteilung Abholzigkeit]:[Verteilung Abholzigkeit]],2,FALSE)</f>
        <v>#N/A</v>
      </c>
      <c r="S3632">
        <v>3623</v>
      </c>
      <c r="T3632" t="e">
        <f>INDEX(Stammdaten[Krümmung (mm/lfm)],MATCH(Tabelle10[[#This Row],[Rank]],Stammdaten[Rank Verteilung Krümmung],0))</f>
        <v>#N/A</v>
      </c>
      <c r="U3632" t="e">
        <f>VLOOKUP(Tabelle10[[#This Row],[Rank]],Stammdaten[[Rank Verteilung Krümmung]:[Verteilung Krümmung]],2,FALSE)</f>
        <v>#N/A</v>
      </c>
      <c r="Z3632">
        <v>3623</v>
      </c>
      <c r="AA3632" t="e">
        <f>INDEX(Stammdaten[Ovalität (']0,1'])],MATCH(Tabelle1014[[#This Row],[Rank]],Stammdaten[Rank Verteilung Ovalität],0))</f>
        <v>#N/A</v>
      </c>
      <c r="AB3632" t="e">
        <f>VLOOKUP(Tabelle1014[[#This Row],[Rank]],Stammdaten[[Rank Verteilung Ovalität]:[Verteilung Ovalität]],2,FALSE)</f>
        <v>#N/A</v>
      </c>
    </row>
    <row r="3633" spans="5:28" x14ac:dyDescent="0.35">
      <c r="E3633">
        <v>3624</v>
      </c>
      <c r="F3633" t="e">
        <f>INDEX(Stammdaten[D Mitte mit Rinde (mm)],MATCH(Tabelle8[[#This Row],[Rank]],Stammdaten[Rank Verteilung D Mitte mit Rinde],0))</f>
        <v>#N/A</v>
      </c>
      <c r="G3633" t="e">
        <f>VLOOKUP(Tabelle8[[#This Row],[Rank]],Stammdaten[[Rank Verteilung D Mitte mit Rinde]:[Verteilung D Mitte mit Rinde]],2,FALSE)</f>
        <v>#N/A</v>
      </c>
      <c r="L3633">
        <v>3624</v>
      </c>
      <c r="M3633" t="e">
        <f>INDEX(Stammdaten[Abholzigkeit (mm/lfm)],MATCH(Tabelle9[[#This Row],[Rank]],Stammdaten[Rank Verteilung Abholzigkeit],0))</f>
        <v>#N/A</v>
      </c>
      <c r="N3633" t="e">
        <f>VLOOKUP(Tabelle9[[#This Row],[Rank]],Stammdaten[[Rank Verteilung Abholzigkeit]:[Verteilung Abholzigkeit]],2,FALSE)</f>
        <v>#N/A</v>
      </c>
      <c r="S3633">
        <v>3624</v>
      </c>
      <c r="T3633" t="e">
        <f>INDEX(Stammdaten[Krümmung (mm/lfm)],MATCH(Tabelle10[[#This Row],[Rank]],Stammdaten[Rank Verteilung Krümmung],0))</f>
        <v>#N/A</v>
      </c>
      <c r="U3633" t="e">
        <f>VLOOKUP(Tabelle10[[#This Row],[Rank]],Stammdaten[[Rank Verteilung Krümmung]:[Verteilung Krümmung]],2,FALSE)</f>
        <v>#N/A</v>
      </c>
      <c r="Z3633">
        <v>3624</v>
      </c>
      <c r="AA3633" t="e">
        <f>INDEX(Stammdaten[Ovalität (']0,1'])],MATCH(Tabelle1014[[#This Row],[Rank]],Stammdaten[Rank Verteilung Ovalität],0))</f>
        <v>#N/A</v>
      </c>
      <c r="AB3633" t="e">
        <f>VLOOKUP(Tabelle1014[[#This Row],[Rank]],Stammdaten[[Rank Verteilung Ovalität]:[Verteilung Ovalität]],2,FALSE)</f>
        <v>#N/A</v>
      </c>
    </row>
    <row r="3634" spans="5:28" x14ac:dyDescent="0.35">
      <c r="E3634">
        <v>3625</v>
      </c>
      <c r="F3634" t="e">
        <f>INDEX(Stammdaten[D Mitte mit Rinde (mm)],MATCH(Tabelle8[[#This Row],[Rank]],Stammdaten[Rank Verteilung D Mitte mit Rinde],0))</f>
        <v>#N/A</v>
      </c>
      <c r="G3634" t="e">
        <f>VLOOKUP(Tabelle8[[#This Row],[Rank]],Stammdaten[[Rank Verteilung D Mitte mit Rinde]:[Verteilung D Mitte mit Rinde]],2,FALSE)</f>
        <v>#N/A</v>
      </c>
      <c r="L3634">
        <v>3625</v>
      </c>
      <c r="M3634" t="e">
        <f>INDEX(Stammdaten[Abholzigkeit (mm/lfm)],MATCH(Tabelle9[[#This Row],[Rank]],Stammdaten[Rank Verteilung Abholzigkeit],0))</f>
        <v>#N/A</v>
      </c>
      <c r="N3634" t="e">
        <f>VLOOKUP(Tabelle9[[#This Row],[Rank]],Stammdaten[[Rank Verteilung Abholzigkeit]:[Verteilung Abholzigkeit]],2,FALSE)</f>
        <v>#N/A</v>
      </c>
      <c r="S3634">
        <v>3625</v>
      </c>
      <c r="T3634" t="e">
        <f>INDEX(Stammdaten[Krümmung (mm/lfm)],MATCH(Tabelle10[[#This Row],[Rank]],Stammdaten[Rank Verteilung Krümmung],0))</f>
        <v>#N/A</v>
      </c>
      <c r="U3634" t="e">
        <f>VLOOKUP(Tabelle10[[#This Row],[Rank]],Stammdaten[[Rank Verteilung Krümmung]:[Verteilung Krümmung]],2,FALSE)</f>
        <v>#N/A</v>
      </c>
      <c r="Z3634">
        <v>3625</v>
      </c>
      <c r="AA3634" t="e">
        <f>INDEX(Stammdaten[Ovalität (']0,1'])],MATCH(Tabelle1014[[#This Row],[Rank]],Stammdaten[Rank Verteilung Ovalität],0))</f>
        <v>#N/A</v>
      </c>
      <c r="AB3634" t="e">
        <f>VLOOKUP(Tabelle1014[[#This Row],[Rank]],Stammdaten[[Rank Verteilung Ovalität]:[Verteilung Ovalität]],2,FALSE)</f>
        <v>#N/A</v>
      </c>
    </row>
    <row r="3635" spans="5:28" x14ac:dyDescent="0.35">
      <c r="E3635">
        <v>3626</v>
      </c>
      <c r="F3635" t="e">
        <f>INDEX(Stammdaten[D Mitte mit Rinde (mm)],MATCH(Tabelle8[[#This Row],[Rank]],Stammdaten[Rank Verteilung D Mitte mit Rinde],0))</f>
        <v>#N/A</v>
      </c>
      <c r="G3635" t="e">
        <f>VLOOKUP(Tabelle8[[#This Row],[Rank]],Stammdaten[[Rank Verteilung D Mitte mit Rinde]:[Verteilung D Mitte mit Rinde]],2,FALSE)</f>
        <v>#N/A</v>
      </c>
      <c r="L3635">
        <v>3626</v>
      </c>
      <c r="M3635" t="e">
        <f>INDEX(Stammdaten[Abholzigkeit (mm/lfm)],MATCH(Tabelle9[[#This Row],[Rank]],Stammdaten[Rank Verteilung Abholzigkeit],0))</f>
        <v>#N/A</v>
      </c>
      <c r="N3635" t="e">
        <f>VLOOKUP(Tabelle9[[#This Row],[Rank]],Stammdaten[[Rank Verteilung Abholzigkeit]:[Verteilung Abholzigkeit]],2,FALSE)</f>
        <v>#N/A</v>
      </c>
      <c r="S3635">
        <v>3626</v>
      </c>
      <c r="T3635" t="e">
        <f>INDEX(Stammdaten[Krümmung (mm/lfm)],MATCH(Tabelle10[[#This Row],[Rank]],Stammdaten[Rank Verteilung Krümmung],0))</f>
        <v>#N/A</v>
      </c>
      <c r="U3635" t="e">
        <f>VLOOKUP(Tabelle10[[#This Row],[Rank]],Stammdaten[[Rank Verteilung Krümmung]:[Verteilung Krümmung]],2,FALSE)</f>
        <v>#N/A</v>
      </c>
      <c r="Z3635">
        <v>3626</v>
      </c>
      <c r="AA3635" t="e">
        <f>INDEX(Stammdaten[Ovalität (']0,1'])],MATCH(Tabelle1014[[#This Row],[Rank]],Stammdaten[Rank Verteilung Ovalität],0))</f>
        <v>#N/A</v>
      </c>
      <c r="AB3635" t="e">
        <f>VLOOKUP(Tabelle1014[[#This Row],[Rank]],Stammdaten[[Rank Verteilung Ovalität]:[Verteilung Ovalität]],2,FALSE)</f>
        <v>#N/A</v>
      </c>
    </row>
    <row r="3636" spans="5:28" x14ac:dyDescent="0.35">
      <c r="E3636">
        <v>3627</v>
      </c>
      <c r="F3636" t="e">
        <f>INDEX(Stammdaten[D Mitte mit Rinde (mm)],MATCH(Tabelle8[[#This Row],[Rank]],Stammdaten[Rank Verteilung D Mitte mit Rinde],0))</f>
        <v>#N/A</v>
      </c>
      <c r="G3636" t="e">
        <f>VLOOKUP(Tabelle8[[#This Row],[Rank]],Stammdaten[[Rank Verteilung D Mitte mit Rinde]:[Verteilung D Mitte mit Rinde]],2,FALSE)</f>
        <v>#N/A</v>
      </c>
      <c r="L3636">
        <v>3627</v>
      </c>
      <c r="M3636" t="e">
        <f>INDEX(Stammdaten[Abholzigkeit (mm/lfm)],MATCH(Tabelle9[[#This Row],[Rank]],Stammdaten[Rank Verteilung Abholzigkeit],0))</f>
        <v>#N/A</v>
      </c>
      <c r="N3636" t="e">
        <f>VLOOKUP(Tabelle9[[#This Row],[Rank]],Stammdaten[[Rank Verteilung Abholzigkeit]:[Verteilung Abholzigkeit]],2,FALSE)</f>
        <v>#N/A</v>
      </c>
      <c r="S3636">
        <v>3627</v>
      </c>
      <c r="T3636" t="e">
        <f>INDEX(Stammdaten[Krümmung (mm/lfm)],MATCH(Tabelle10[[#This Row],[Rank]],Stammdaten[Rank Verteilung Krümmung],0))</f>
        <v>#N/A</v>
      </c>
      <c r="U3636" t="e">
        <f>VLOOKUP(Tabelle10[[#This Row],[Rank]],Stammdaten[[Rank Verteilung Krümmung]:[Verteilung Krümmung]],2,FALSE)</f>
        <v>#N/A</v>
      </c>
      <c r="Z3636">
        <v>3627</v>
      </c>
      <c r="AA3636" t="e">
        <f>INDEX(Stammdaten[Ovalität (']0,1'])],MATCH(Tabelle1014[[#This Row],[Rank]],Stammdaten[Rank Verteilung Ovalität],0))</f>
        <v>#N/A</v>
      </c>
      <c r="AB3636" t="e">
        <f>VLOOKUP(Tabelle1014[[#This Row],[Rank]],Stammdaten[[Rank Verteilung Ovalität]:[Verteilung Ovalität]],2,FALSE)</f>
        <v>#N/A</v>
      </c>
    </row>
    <row r="3637" spans="5:28" x14ac:dyDescent="0.35">
      <c r="E3637">
        <v>3628</v>
      </c>
      <c r="F3637" t="e">
        <f>INDEX(Stammdaten[D Mitte mit Rinde (mm)],MATCH(Tabelle8[[#This Row],[Rank]],Stammdaten[Rank Verteilung D Mitte mit Rinde],0))</f>
        <v>#N/A</v>
      </c>
      <c r="G3637" t="e">
        <f>VLOOKUP(Tabelle8[[#This Row],[Rank]],Stammdaten[[Rank Verteilung D Mitte mit Rinde]:[Verteilung D Mitte mit Rinde]],2,FALSE)</f>
        <v>#N/A</v>
      </c>
      <c r="L3637">
        <v>3628</v>
      </c>
      <c r="M3637" t="e">
        <f>INDEX(Stammdaten[Abholzigkeit (mm/lfm)],MATCH(Tabelle9[[#This Row],[Rank]],Stammdaten[Rank Verteilung Abholzigkeit],0))</f>
        <v>#N/A</v>
      </c>
      <c r="N3637" t="e">
        <f>VLOOKUP(Tabelle9[[#This Row],[Rank]],Stammdaten[[Rank Verteilung Abholzigkeit]:[Verteilung Abholzigkeit]],2,FALSE)</f>
        <v>#N/A</v>
      </c>
      <c r="S3637">
        <v>3628</v>
      </c>
      <c r="T3637" t="e">
        <f>INDEX(Stammdaten[Krümmung (mm/lfm)],MATCH(Tabelle10[[#This Row],[Rank]],Stammdaten[Rank Verteilung Krümmung],0))</f>
        <v>#N/A</v>
      </c>
      <c r="U3637" t="e">
        <f>VLOOKUP(Tabelle10[[#This Row],[Rank]],Stammdaten[[Rank Verteilung Krümmung]:[Verteilung Krümmung]],2,FALSE)</f>
        <v>#N/A</v>
      </c>
      <c r="Z3637">
        <v>3628</v>
      </c>
      <c r="AA3637" t="e">
        <f>INDEX(Stammdaten[Ovalität (']0,1'])],MATCH(Tabelle1014[[#This Row],[Rank]],Stammdaten[Rank Verteilung Ovalität],0))</f>
        <v>#N/A</v>
      </c>
      <c r="AB3637" t="e">
        <f>VLOOKUP(Tabelle1014[[#This Row],[Rank]],Stammdaten[[Rank Verteilung Ovalität]:[Verteilung Ovalität]],2,FALSE)</f>
        <v>#N/A</v>
      </c>
    </row>
    <row r="3638" spans="5:28" x14ac:dyDescent="0.35">
      <c r="E3638">
        <v>3629</v>
      </c>
      <c r="F3638" t="e">
        <f>INDEX(Stammdaten[D Mitte mit Rinde (mm)],MATCH(Tabelle8[[#This Row],[Rank]],Stammdaten[Rank Verteilung D Mitte mit Rinde],0))</f>
        <v>#N/A</v>
      </c>
      <c r="G3638" t="e">
        <f>VLOOKUP(Tabelle8[[#This Row],[Rank]],Stammdaten[[Rank Verteilung D Mitte mit Rinde]:[Verteilung D Mitte mit Rinde]],2,FALSE)</f>
        <v>#N/A</v>
      </c>
      <c r="L3638">
        <v>3629</v>
      </c>
      <c r="M3638" t="e">
        <f>INDEX(Stammdaten[Abholzigkeit (mm/lfm)],MATCH(Tabelle9[[#This Row],[Rank]],Stammdaten[Rank Verteilung Abholzigkeit],0))</f>
        <v>#N/A</v>
      </c>
      <c r="N3638" t="e">
        <f>VLOOKUP(Tabelle9[[#This Row],[Rank]],Stammdaten[[Rank Verteilung Abholzigkeit]:[Verteilung Abholzigkeit]],2,FALSE)</f>
        <v>#N/A</v>
      </c>
      <c r="S3638">
        <v>3629</v>
      </c>
      <c r="T3638" t="e">
        <f>INDEX(Stammdaten[Krümmung (mm/lfm)],MATCH(Tabelle10[[#This Row],[Rank]],Stammdaten[Rank Verteilung Krümmung],0))</f>
        <v>#N/A</v>
      </c>
      <c r="U3638" t="e">
        <f>VLOOKUP(Tabelle10[[#This Row],[Rank]],Stammdaten[[Rank Verteilung Krümmung]:[Verteilung Krümmung]],2,FALSE)</f>
        <v>#N/A</v>
      </c>
      <c r="Z3638">
        <v>3629</v>
      </c>
      <c r="AA3638" t="e">
        <f>INDEX(Stammdaten[Ovalität (']0,1'])],MATCH(Tabelle1014[[#This Row],[Rank]],Stammdaten[Rank Verteilung Ovalität],0))</f>
        <v>#N/A</v>
      </c>
      <c r="AB3638" t="e">
        <f>VLOOKUP(Tabelle1014[[#This Row],[Rank]],Stammdaten[[Rank Verteilung Ovalität]:[Verteilung Ovalität]],2,FALSE)</f>
        <v>#N/A</v>
      </c>
    </row>
    <row r="3639" spans="5:28" x14ac:dyDescent="0.35">
      <c r="E3639">
        <v>3630</v>
      </c>
      <c r="F3639" t="e">
        <f>INDEX(Stammdaten[D Mitte mit Rinde (mm)],MATCH(Tabelle8[[#This Row],[Rank]],Stammdaten[Rank Verteilung D Mitte mit Rinde],0))</f>
        <v>#N/A</v>
      </c>
      <c r="G3639" t="e">
        <f>VLOOKUP(Tabelle8[[#This Row],[Rank]],Stammdaten[[Rank Verteilung D Mitte mit Rinde]:[Verteilung D Mitte mit Rinde]],2,FALSE)</f>
        <v>#N/A</v>
      </c>
      <c r="L3639">
        <v>3630</v>
      </c>
      <c r="M3639" t="e">
        <f>INDEX(Stammdaten[Abholzigkeit (mm/lfm)],MATCH(Tabelle9[[#This Row],[Rank]],Stammdaten[Rank Verteilung Abholzigkeit],0))</f>
        <v>#N/A</v>
      </c>
      <c r="N3639" t="e">
        <f>VLOOKUP(Tabelle9[[#This Row],[Rank]],Stammdaten[[Rank Verteilung Abholzigkeit]:[Verteilung Abholzigkeit]],2,FALSE)</f>
        <v>#N/A</v>
      </c>
      <c r="S3639">
        <v>3630</v>
      </c>
      <c r="T3639" t="e">
        <f>INDEX(Stammdaten[Krümmung (mm/lfm)],MATCH(Tabelle10[[#This Row],[Rank]],Stammdaten[Rank Verteilung Krümmung],0))</f>
        <v>#N/A</v>
      </c>
      <c r="U3639" t="e">
        <f>VLOOKUP(Tabelle10[[#This Row],[Rank]],Stammdaten[[Rank Verteilung Krümmung]:[Verteilung Krümmung]],2,FALSE)</f>
        <v>#N/A</v>
      </c>
      <c r="Z3639">
        <v>3630</v>
      </c>
      <c r="AA3639" t="e">
        <f>INDEX(Stammdaten[Ovalität (']0,1'])],MATCH(Tabelle1014[[#This Row],[Rank]],Stammdaten[Rank Verteilung Ovalität],0))</f>
        <v>#N/A</v>
      </c>
      <c r="AB3639" t="e">
        <f>VLOOKUP(Tabelle1014[[#This Row],[Rank]],Stammdaten[[Rank Verteilung Ovalität]:[Verteilung Ovalität]],2,FALSE)</f>
        <v>#N/A</v>
      </c>
    </row>
    <row r="3640" spans="5:28" x14ac:dyDescent="0.35">
      <c r="E3640">
        <v>3631</v>
      </c>
      <c r="F3640" t="e">
        <f>INDEX(Stammdaten[D Mitte mit Rinde (mm)],MATCH(Tabelle8[[#This Row],[Rank]],Stammdaten[Rank Verteilung D Mitte mit Rinde],0))</f>
        <v>#N/A</v>
      </c>
      <c r="G3640" t="e">
        <f>VLOOKUP(Tabelle8[[#This Row],[Rank]],Stammdaten[[Rank Verteilung D Mitte mit Rinde]:[Verteilung D Mitte mit Rinde]],2,FALSE)</f>
        <v>#N/A</v>
      </c>
      <c r="L3640">
        <v>3631</v>
      </c>
      <c r="M3640" t="e">
        <f>INDEX(Stammdaten[Abholzigkeit (mm/lfm)],MATCH(Tabelle9[[#This Row],[Rank]],Stammdaten[Rank Verteilung Abholzigkeit],0))</f>
        <v>#N/A</v>
      </c>
      <c r="N3640" t="e">
        <f>VLOOKUP(Tabelle9[[#This Row],[Rank]],Stammdaten[[Rank Verteilung Abholzigkeit]:[Verteilung Abholzigkeit]],2,FALSE)</f>
        <v>#N/A</v>
      </c>
      <c r="S3640">
        <v>3631</v>
      </c>
      <c r="T3640" t="e">
        <f>INDEX(Stammdaten[Krümmung (mm/lfm)],MATCH(Tabelle10[[#This Row],[Rank]],Stammdaten[Rank Verteilung Krümmung],0))</f>
        <v>#N/A</v>
      </c>
      <c r="U3640" t="e">
        <f>VLOOKUP(Tabelle10[[#This Row],[Rank]],Stammdaten[[Rank Verteilung Krümmung]:[Verteilung Krümmung]],2,FALSE)</f>
        <v>#N/A</v>
      </c>
      <c r="Z3640">
        <v>3631</v>
      </c>
      <c r="AA3640" t="e">
        <f>INDEX(Stammdaten[Ovalität (']0,1'])],MATCH(Tabelle1014[[#This Row],[Rank]],Stammdaten[Rank Verteilung Ovalität],0))</f>
        <v>#N/A</v>
      </c>
      <c r="AB3640" t="e">
        <f>VLOOKUP(Tabelle1014[[#This Row],[Rank]],Stammdaten[[Rank Verteilung Ovalität]:[Verteilung Ovalität]],2,FALSE)</f>
        <v>#N/A</v>
      </c>
    </row>
    <row r="3641" spans="5:28" x14ac:dyDescent="0.35">
      <c r="E3641">
        <v>3632</v>
      </c>
      <c r="F3641" t="e">
        <f>INDEX(Stammdaten[D Mitte mit Rinde (mm)],MATCH(Tabelle8[[#This Row],[Rank]],Stammdaten[Rank Verteilung D Mitte mit Rinde],0))</f>
        <v>#N/A</v>
      </c>
      <c r="G3641" t="e">
        <f>VLOOKUP(Tabelle8[[#This Row],[Rank]],Stammdaten[[Rank Verteilung D Mitte mit Rinde]:[Verteilung D Mitte mit Rinde]],2,FALSE)</f>
        <v>#N/A</v>
      </c>
      <c r="L3641">
        <v>3632</v>
      </c>
      <c r="M3641" t="e">
        <f>INDEX(Stammdaten[Abholzigkeit (mm/lfm)],MATCH(Tabelle9[[#This Row],[Rank]],Stammdaten[Rank Verteilung Abholzigkeit],0))</f>
        <v>#N/A</v>
      </c>
      <c r="N3641" t="e">
        <f>VLOOKUP(Tabelle9[[#This Row],[Rank]],Stammdaten[[Rank Verteilung Abholzigkeit]:[Verteilung Abholzigkeit]],2,FALSE)</f>
        <v>#N/A</v>
      </c>
      <c r="S3641">
        <v>3632</v>
      </c>
      <c r="T3641" t="e">
        <f>INDEX(Stammdaten[Krümmung (mm/lfm)],MATCH(Tabelle10[[#This Row],[Rank]],Stammdaten[Rank Verteilung Krümmung],0))</f>
        <v>#N/A</v>
      </c>
      <c r="U3641" t="e">
        <f>VLOOKUP(Tabelle10[[#This Row],[Rank]],Stammdaten[[Rank Verteilung Krümmung]:[Verteilung Krümmung]],2,FALSE)</f>
        <v>#N/A</v>
      </c>
      <c r="Z3641">
        <v>3632</v>
      </c>
      <c r="AA3641" t="e">
        <f>INDEX(Stammdaten[Ovalität (']0,1'])],MATCH(Tabelle1014[[#This Row],[Rank]],Stammdaten[Rank Verteilung Ovalität],0))</f>
        <v>#N/A</v>
      </c>
      <c r="AB3641" t="e">
        <f>VLOOKUP(Tabelle1014[[#This Row],[Rank]],Stammdaten[[Rank Verteilung Ovalität]:[Verteilung Ovalität]],2,FALSE)</f>
        <v>#N/A</v>
      </c>
    </row>
    <row r="3642" spans="5:28" x14ac:dyDescent="0.35">
      <c r="E3642">
        <v>3633</v>
      </c>
      <c r="F3642" t="e">
        <f>INDEX(Stammdaten[D Mitte mit Rinde (mm)],MATCH(Tabelle8[[#This Row],[Rank]],Stammdaten[Rank Verteilung D Mitte mit Rinde],0))</f>
        <v>#N/A</v>
      </c>
      <c r="G3642" t="e">
        <f>VLOOKUP(Tabelle8[[#This Row],[Rank]],Stammdaten[[Rank Verteilung D Mitte mit Rinde]:[Verteilung D Mitte mit Rinde]],2,FALSE)</f>
        <v>#N/A</v>
      </c>
      <c r="L3642">
        <v>3633</v>
      </c>
      <c r="M3642" t="e">
        <f>INDEX(Stammdaten[Abholzigkeit (mm/lfm)],MATCH(Tabelle9[[#This Row],[Rank]],Stammdaten[Rank Verteilung Abholzigkeit],0))</f>
        <v>#N/A</v>
      </c>
      <c r="N3642" t="e">
        <f>VLOOKUP(Tabelle9[[#This Row],[Rank]],Stammdaten[[Rank Verteilung Abholzigkeit]:[Verteilung Abholzigkeit]],2,FALSE)</f>
        <v>#N/A</v>
      </c>
      <c r="S3642">
        <v>3633</v>
      </c>
      <c r="T3642" t="e">
        <f>INDEX(Stammdaten[Krümmung (mm/lfm)],MATCH(Tabelle10[[#This Row],[Rank]],Stammdaten[Rank Verteilung Krümmung],0))</f>
        <v>#N/A</v>
      </c>
      <c r="U3642" t="e">
        <f>VLOOKUP(Tabelle10[[#This Row],[Rank]],Stammdaten[[Rank Verteilung Krümmung]:[Verteilung Krümmung]],2,FALSE)</f>
        <v>#N/A</v>
      </c>
      <c r="Z3642">
        <v>3633</v>
      </c>
      <c r="AA3642" t="e">
        <f>INDEX(Stammdaten[Ovalität (']0,1'])],MATCH(Tabelle1014[[#This Row],[Rank]],Stammdaten[Rank Verteilung Ovalität],0))</f>
        <v>#N/A</v>
      </c>
      <c r="AB3642" t="e">
        <f>VLOOKUP(Tabelle1014[[#This Row],[Rank]],Stammdaten[[Rank Verteilung Ovalität]:[Verteilung Ovalität]],2,FALSE)</f>
        <v>#N/A</v>
      </c>
    </row>
    <row r="3643" spans="5:28" x14ac:dyDescent="0.35">
      <c r="E3643">
        <v>3634</v>
      </c>
      <c r="F3643" t="e">
        <f>INDEX(Stammdaten[D Mitte mit Rinde (mm)],MATCH(Tabelle8[[#This Row],[Rank]],Stammdaten[Rank Verteilung D Mitte mit Rinde],0))</f>
        <v>#N/A</v>
      </c>
      <c r="G3643" t="e">
        <f>VLOOKUP(Tabelle8[[#This Row],[Rank]],Stammdaten[[Rank Verteilung D Mitte mit Rinde]:[Verteilung D Mitte mit Rinde]],2,FALSE)</f>
        <v>#N/A</v>
      </c>
      <c r="L3643">
        <v>3634</v>
      </c>
      <c r="M3643" t="e">
        <f>INDEX(Stammdaten[Abholzigkeit (mm/lfm)],MATCH(Tabelle9[[#This Row],[Rank]],Stammdaten[Rank Verteilung Abholzigkeit],0))</f>
        <v>#N/A</v>
      </c>
      <c r="N3643" t="e">
        <f>VLOOKUP(Tabelle9[[#This Row],[Rank]],Stammdaten[[Rank Verteilung Abholzigkeit]:[Verteilung Abholzigkeit]],2,FALSE)</f>
        <v>#N/A</v>
      </c>
      <c r="S3643">
        <v>3634</v>
      </c>
      <c r="T3643" t="e">
        <f>INDEX(Stammdaten[Krümmung (mm/lfm)],MATCH(Tabelle10[[#This Row],[Rank]],Stammdaten[Rank Verteilung Krümmung],0))</f>
        <v>#N/A</v>
      </c>
      <c r="U3643" t="e">
        <f>VLOOKUP(Tabelle10[[#This Row],[Rank]],Stammdaten[[Rank Verteilung Krümmung]:[Verteilung Krümmung]],2,FALSE)</f>
        <v>#N/A</v>
      </c>
      <c r="Z3643">
        <v>3634</v>
      </c>
      <c r="AA3643" t="e">
        <f>INDEX(Stammdaten[Ovalität (']0,1'])],MATCH(Tabelle1014[[#This Row],[Rank]],Stammdaten[Rank Verteilung Ovalität],0))</f>
        <v>#N/A</v>
      </c>
      <c r="AB3643" t="e">
        <f>VLOOKUP(Tabelle1014[[#This Row],[Rank]],Stammdaten[[Rank Verteilung Ovalität]:[Verteilung Ovalität]],2,FALSE)</f>
        <v>#N/A</v>
      </c>
    </row>
    <row r="3644" spans="5:28" x14ac:dyDescent="0.35">
      <c r="E3644">
        <v>3635</v>
      </c>
      <c r="F3644" t="e">
        <f>INDEX(Stammdaten[D Mitte mit Rinde (mm)],MATCH(Tabelle8[[#This Row],[Rank]],Stammdaten[Rank Verteilung D Mitte mit Rinde],0))</f>
        <v>#N/A</v>
      </c>
      <c r="G3644" t="e">
        <f>VLOOKUP(Tabelle8[[#This Row],[Rank]],Stammdaten[[Rank Verteilung D Mitte mit Rinde]:[Verteilung D Mitte mit Rinde]],2,FALSE)</f>
        <v>#N/A</v>
      </c>
      <c r="L3644">
        <v>3635</v>
      </c>
      <c r="M3644" t="e">
        <f>INDEX(Stammdaten[Abholzigkeit (mm/lfm)],MATCH(Tabelle9[[#This Row],[Rank]],Stammdaten[Rank Verteilung Abholzigkeit],0))</f>
        <v>#N/A</v>
      </c>
      <c r="N3644" t="e">
        <f>VLOOKUP(Tabelle9[[#This Row],[Rank]],Stammdaten[[Rank Verteilung Abholzigkeit]:[Verteilung Abholzigkeit]],2,FALSE)</f>
        <v>#N/A</v>
      </c>
      <c r="S3644">
        <v>3635</v>
      </c>
      <c r="T3644" t="e">
        <f>INDEX(Stammdaten[Krümmung (mm/lfm)],MATCH(Tabelle10[[#This Row],[Rank]],Stammdaten[Rank Verteilung Krümmung],0))</f>
        <v>#N/A</v>
      </c>
      <c r="U3644" t="e">
        <f>VLOOKUP(Tabelle10[[#This Row],[Rank]],Stammdaten[[Rank Verteilung Krümmung]:[Verteilung Krümmung]],2,FALSE)</f>
        <v>#N/A</v>
      </c>
      <c r="Z3644">
        <v>3635</v>
      </c>
      <c r="AA3644" t="e">
        <f>INDEX(Stammdaten[Ovalität (']0,1'])],MATCH(Tabelle1014[[#This Row],[Rank]],Stammdaten[Rank Verteilung Ovalität],0))</f>
        <v>#N/A</v>
      </c>
      <c r="AB3644" t="e">
        <f>VLOOKUP(Tabelle1014[[#This Row],[Rank]],Stammdaten[[Rank Verteilung Ovalität]:[Verteilung Ovalität]],2,FALSE)</f>
        <v>#N/A</v>
      </c>
    </row>
    <row r="3645" spans="5:28" x14ac:dyDescent="0.35">
      <c r="E3645">
        <v>3636</v>
      </c>
      <c r="F3645" t="e">
        <f>INDEX(Stammdaten[D Mitte mit Rinde (mm)],MATCH(Tabelle8[[#This Row],[Rank]],Stammdaten[Rank Verteilung D Mitte mit Rinde],0))</f>
        <v>#N/A</v>
      </c>
      <c r="G3645" t="e">
        <f>VLOOKUP(Tabelle8[[#This Row],[Rank]],Stammdaten[[Rank Verteilung D Mitte mit Rinde]:[Verteilung D Mitte mit Rinde]],2,FALSE)</f>
        <v>#N/A</v>
      </c>
      <c r="L3645">
        <v>3636</v>
      </c>
      <c r="M3645" t="e">
        <f>INDEX(Stammdaten[Abholzigkeit (mm/lfm)],MATCH(Tabelle9[[#This Row],[Rank]],Stammdaten[Rank Verteilung Abholzigkeit],0))</f>
        <v>#N/A</v>
      </c>
      <c r="N3645" t="e">
        <f>VLOOKUP(Tabelle9[[#This Row],[Rank]],Stammdaten[[Rank Verteilung Abholzigkeit]:[Verteilung Abholzigkeit]],2,FALSE)</f>
        <v>#N/A</v>
      </c>
      <c r="S3645">
        <v>3636</v>
      </c>
      <c r="T3645" t="e">
        <f>INDEX(Stammdaten[Krümmung (mm/lfm)],MATCH(Tabelle10[[#This Row],[Rank]],Stammdaten[Rank Verteilung Krümmung],0))</f>
        <v>#N/A</v>
      </c>
      <c r="U3645" t="e">
        <f>VLOOKUP(Tabelle10[[#This Row],[Rank]],Stammdaten[[Rank Verteilung Krümmung]:[Verteilung Krümmung]],2,FALSE)</f>
        <v>#N/A</v>
      </c>
      <c r="Z3645">
        <v>3636</v>
      </c>
      <c r="AA3645" t="e">
        <f>INDEX(Stammdaten[Ovalität (']0,1'])],MATCH(Tabelle1014[[#This Row],[Rank]],Stammdaten[Rank Verteilung Ovalität],0))</f>
        <v>#N/A</v>
      </c>
      <c r="AB3645" t="e">
        <f>VLOOKUP(Tabelle1014[[#This Row],[Rank]],Stammdaten[[Rank Verteilung Ovalität]:[Verteilung Ovalität]],2,FALSE)</f>
        <v>#N/A</v>
      </c>
    </row>
    <row r="3646" spans="5:28" x14ac:dyDescent="0.35">
      <c r="E3646">
        <v>3637</v>
      </c>
      <c r="F3646" t="e">
        <f>INDEX(Stammdaten[D Mitte mit Rinde (mm)],MATCH(Tabelle8[[#This Row],[Rank]],Stammdaten[Rank Verteilung D Mitte mit Rinde],0))</f>
        <v>#N/A</v>
      </c>
      <c r="G3646" t="e">
        <f>VLOOKUP(Tabelle8[[#This Row],[Rank]],Stammdaten[[Rank Verteilung D Mitte mit Rinde]:[Verteilung D Mitte mit Rinde]],2,FALSE)</f>
        <v>#N/A</v>
      </c>
      <c r="L3646">
        <v>3637</v>
      </c>
      <c r="M3646" t="e">
        <f>INDEX(Stammdaten[Abholzigkeit (mm/lfm)],MATCH(Tabelle9[[#This Row],[Rank]],Stammdaten[Rank Verteilung Abholzigkeit],0))</f>
        <v>#N/A</v>
      </c>
      <c r="N3646" t="e">
        <f>VLOOKUP(Tabelle9[[#This Row],[Rank]],Stammdaten[[Rank Verteilung Abholzigkeit]:[Verteilung Abholzigkeit]],2,FALSE)</f>
        <v>#N/A</v>
      </c>
      <c r="S3646">
        <v>3637</v>
      </c>
      <c r="T3646" t="e">
        <f>INDEX(Stammdaten[Krümmung (mm/lfm)],MATCH(Tabelle10[[#This Row],[Rank]],Stammdaten[Rank Verteilung Krümmung],0))</f>
        <v>#N/A</v>
      </c>
      <c r="U3646" t="e">
        <f>VLOOKUP(Tabelle10[[#This Row],[Rank]],Stammdaten[[Rank Verteilung Krümmung]:[Verteilung Krümmung]],2,FALSE)</f>
        <v>#N/A</v>
      </c>
      <c r="Z3646">
        <v>3637</v>
      </c>
      <c r="AA3646" t="e">
        <f>INDEX(Stammdaten[Ovalität (']0,1'])],MATCH(Tabelle1014[[#This Row],[Rank]],Stammdaten[Rank Verteilung Ovalität],0))</f>
        <v>#N/A</v>
      </c>
      <c r="AB3646" t="e">
        <f>VLOOKUP(Tabelle1014[[#This Row],[Rank]],Stammdaten[[Rank Verteilung Ovalität]:[Verteilung Ovalität]],2,FALSE)</f>
        <v>#N/A</v>
      </c>
    </row>
    <row r="3647" spans="5:28" x14ac:dyDescent="0.35">
      <c r="E3647">
        <v>3638</v>
      </c>
      <c r="F3647" t="e">
        <f>INDEX(Stammdaten[D Mitte mit Rinde (mm)],MATCH(Tabelle8[[#This Row],[Rank]],Stammdaten[Rank Verteilung D Mitte mit Rinde],0))</f>
        <v>#N/A</v>
      </c>
      <c r="G3647" t="e">
        <f>VLOOKUP(Tabelle8[[#This Row],[Rank]],Stammdaten[[Rank Verteilung D Mitte mit Rinde]:[Verteilung D Mitte mit Rinde]],2,FALSE)</f>
        <v>#N/A</v>
      </c>
      <c r="L3647">
        <v>3638</v>
      </c>
      <c r="M3647" t="e">
        <f>INDEX(Stammdaten[Abholzigkeit (mm/lfm)],MATCH(Tabelle9[[#This Row],[Rank]],Stammdaten[Rank Verteilung Abholzigkeit],0))</f>
        <v>#N/A</v>
      </c>
      <c r="N3647" t="e">
        <f>VLOOKUP(Tabelle9[[#This Row],[Rank]],Stammdaten[[Rank Verteilung Abholzigkeit]:[Verteilung Abholzigkeit]],2,FALSE)</f>
        <v>#N/A</v>
      </c>
      <c r="S3647">
        <v>3638</v>
      </c>
      <c r="T3647" t="e">
        <f>INDEX(Stammdaten[Krümmung (mm/lfm)],MATCH(Tabelle10[[#This Row],[Rank]],Stammdaten[Rank Verteilung Krümmung],0))</f>
        <v>#N/A</v>
      </c>
      <c r="U3647" t="e">
        <f>VLOOKUP(Tabelle10[[#This Row],[Rank]],Stammdaten[[Rank Verteilung Krümmung]:[Verteilung Krümmung]],2,FALSE)</f>
        <v>#N/A</v>
      </c>
      <c r="Z3647">
        <v>3638</v>
      </c>
      <c r="AA3647" t="e">
        <f>INDEX(Stammdaten[Ovalität (']0,1'])],MATCH(Tabelle1014[[#This Row],[Rank]],Stammdaten[Rank Verteilung Ovalität],0))</f>
        <v>#N/A</v>
      </c>
      <c r="AB3647" t="e">
        <f>VLOOKUP(Tabelle1014[[#This Row],[Rank]],Stammdaten[[Rank Verteilung Ovalität]:[Verteilung Ovalität]],2,FALSE)</f>
        <v>#N/A</v>
      </c>
    </row>
    <row r="3648" spans="5:28" x14ac:dyDescent="0.35">
      <c r="E3648">
        <v>3639</v>
      </c>
      <c r="F3648" t="e">
        <f>INDEX(Stammdaten[D Mitte mit Rinde (mm)],MATCH(Tabelle8[[#This Row],[Rank]],Stammdaten[Rank Verteilung D Mitte mit Rinde],0))</f>
        <v>#N/A</v>
      </c>
      <c r="G3648" t="e">
        <f>VLOOKUP(Tabelle8[[#This Row],[Rank]],Stammdaten[[Rank Verteilung D Mitte mit Rinde]:[Verteilung D Mitte mit Rinde]],2,FALSE)</f>
        <v>#N/A</v>
      </c>
      <c r="L3648">
        <v>3639</v>
      </c>
      <c r="M3648" t="e">
        <f>INDEX(Stammdaten[Abholzigkeit (mm/lfm)],MATCH(Tabelle9[[#This Row],[Rank]],Stammdaten[Rank Verteilung Abholzigkeit],0))</f>
        <v>#N/A</v>
      </c>
      <c r="N3648" t="e">
        <f>VLOOKUP(Tabelle9[[#This Row],[Rank]],Stammdaten[[Rank Verteilung Abholzigkeit]:[Verteilung Abholzigkeit]],2,FALSE)</f>
        <v>#N/A</v>
      </c>
      <c r="S3648">
        <v>3639</v>
      </c>
      <c r="T3648" t="e">
        <f>INDEX(Stammdaten[Krümmung (mm/lfm)],MATCH(Tabelle10[[#This Row],[Rank]],Stammdaten[Rank Verteilung Krümmung],0))</f>
        <v>#N/A</v>
      </c>
      <c r="U3648" t="e">
        <f>VLOOKUP(Tabelle10[[#This Row],[Rank]],Stammdaten[[Rank Verteilung Krümmung]:[Verteilung Krümmung]],2,FALSE)</f>
        <v>#N/A</v>
      </c>
      <c r="Z3648">
        <v>3639</v>
      </c>
      <c r="AA3648" t="e">
        <f>INDEX(Stammdaten[Ovalität (']0,1'])],MATCH(Tabelle1014[[#This Row],[Rank]],Stammdaten[Rank Verteilung Ovalität],0))</f>
        <v>#N/A</v>
      </c>
      <c r="AB3648" t="e">
        <f>VLOOKUP(Tabelle1014[[#This Row],[Rank]],Stammdaten[[Rank Verteilung Ovalität]:[Verteilung Ovalität]],2,FALSE)</f>
        <v>#N/A</v>
      </c>
    </row>
    <row r="3649" spans="5:28" x14ac:dyDescent="0.35">
      <c r="E3649">
        <v>3640</v>
      </c>
      <c r="F3649" t="e">
        <f>INDEX(Stammdaten[D Mitte mit Rinde (mm)],MATCH(Tabelle8[[#This Row],[Rank]],Stammdaten[Rank Verteilung D Mitte mit Rinde],0))</f>
        <v>#N/A</v>
      </c>
      <c r="G3649" t="e">
        <f>VLOOKUP(Tabelle8[[#This Row],[Rank]],Stammdaten[[Rank Verteilung D Mitte mit Rinde]:[Verteilung D Mitte mit Rinde]],2,FALSE)</f>
        <v>#N/A</v>
      </c>
      <c r="L3649">
        <v>3640</v>
      </c>
      <c r="M3649" t="e">
        <f>INDEX(Stammdaten[Abholzigkeit (mm/lfm)],MATCH(Tabelle9[[#This Row],[Rank]],Stammdaten[Rank Verteilung Abholzigkeit],0))</f>
        <v>#N/A</v>
      </c>
      <c r="N3649" t="e">
        <f>VLOOKUP(Tabelle9[[#This Row],[Rank]],Stammdaten[[Rank Verteilung Abholzigkeit]:[Verteilung Abholzigkeit]],2,FALSE)</f>
        <v>#N/A</v>
      </c>
      <c r="S3649">
        <v>3640</v>
      </c>
      <c r="T3649" t="e">
        <f>INDEX(Stammdaten[Krümmung (mm/lfm)],MATCH(Tabelle10[[#This Row],[Rank]],Stammdaten[Rank Verteilung Krümmung],0))</f>
        <v>#N/A</v>
      </c>
      <c r="U3649" t="e">
        <f>VLOOKUP(Tabelle10[[#This Row],[Rank]],Stammdaten[[Rank Verteilung Krümmung]:[Verteilung Krümmung]],2,FALSE)</f>
        <v>#N/A</v>
      </c>
      <c r="Z3649">
        <v>3640</v>
      </c>
      <c r="AA3649" t="e">
        <f>INDEX(Stammdaten[Ovalität (']0,1'])],MATCH(Tabelle1014[[#This Row],[Rank]],Stammdaten[Rank Verteilung Ovalität],0))</f>
        <v>#N/A</v>
      </c>
      <c r="AB3649" t="e">
        <f>VLOOKUP(Tabelle1014[[#This Row],[Rank]],Stammdaten[[Rank Verteilung Ovalität]:[Verteilung Ovalität]],2,FALSE)</f>
        <v>#N/A</v>
      </c>
    </row>
    <row r="3650" spans="5:28" x14ac:dyDescent="0.35">
      <c r="E3650">
        <v>3641</v>
      </c>
      <c r="F3650" t="e">
        <f>INDEX(Stammdaten[D Mitte mit Rinde (mm)],MATCH(Tabelle8[[#This Row],[Rank]],Stammdaten[Rank Verteilung D Mitte mit Rinde],0))</f>
        <v>#N/A</v>
      </c>
      <c r="G3650" t="e">
        <f>VLOOKUP(Tabelle8[[#This Row],[Rank]],Stammdaten[[Rank Verteilung D Mitte mit Rinde]:[Verteilung D Mitte mit Rinde]],2,FALSE)</f>
        <v>#N/A</v>
      </c>
      <c r="L3650">
        <v>3641</v>
      </c>
      <c r="M3650" t="e">
        <f>INDEX(Stammdaten[Abholzigkeit (mm/lfm)],MATCH(Tabelle9[[#This Row],[Rank]],Stammdaten[Rank Verteilung Abholzigkeit],0))</f>
        <v>#N/A</v>
      </c>
      <c r="N3650" t="e">
        <f>VLOOKUP(Tabelle9[[#This Row],[Rank]],Stammdaten[[Rank Verteilung Abholzigkeit]:[Verteilung Abholzigkeit]],2,FALSE)</f>
        <v>#N/A</v>
      </c>
      <c r="S3650">
        <v>3641</v>
      </c>
      <c r="T3650" t="e">
        <f>INDEX(Stammdaten[Krümmung (mm/lfm)],MATCH(Tabelle10[[#This Row],[Rank]],Stammdaten[Rank Verteilung Krümmung],0))</f>
        <v>#N/A</v>
      </c>
      <c r="U3650" t="e">
        <f>VLOOKUP(Tabelle10[[#This Row],[Rank]],Stammdaten[[Rank Verteilung Krümmung]:[Verteilung Krümmung]],2,FALSE)</f>
        <v>#N/A</v>
      </c>
      <c r="Z3650">
        <v>3641</v>
      </c>
      <c r="AA3650" t="e">
        <f>INDEX(Stammdaten[Ovalität (']0,1'])],MATCH(Tabelle1014[[#This Row],[Rank]],Stammdaten[Rank Verteilung Ovalität],0))</f>
        <v>#N/A</v>
      </c>
      <c r="AB3650" t="e">
        <f>VLOOKUP(Tabelle1014[[#This Row],[Rank]],Stammdaten[[Rank Verteilung Ovalität]:[Verteilung Ovalität]],2,FALSE)</f>
        <v>#N/A</v>
      </c>
    </row>
    <row r="3651" spans="5:28" x14ac:dyDescent="0.35">
      <c r="E3651">
        <v>3642</v>
      </c>
      <c r="F3651" t="e">
        <f>INDEX(Stammdaten[D Mitte mit Rinde (mm)],MATCH(Tabelle8[[#This Row],[Rank]],Stammdaten[Rank Verteilung D Mitte mit Rinde],0))</f>
        <v>#N/A</v>
      </c>
      <c r="G3651" t="e">
        <f>VLOOKUP(Tabelle8[[#This Row],[Rank]],Stammdaten[[Rank Verteilung D Mitte mit Rinde]:[Verteilung D Mitte mit Rinde]],2,FALSE)</f>
        <v>#N/A</v>
      </c>
      <c r="L3651">
        <v>3642</v>
      </c>
      <c r="M3651" t="e">
        <f>INDEX(Stammdaten[Abholzigkeit (mm/lfm)],MATCH(Tabelle9[[#This Row],[Rank]],Stammdaten[Rank Verteilung Abholzigkeit],0))</f>
        <v>#N/A</v>
      </c>
      <c r="N3651" t="e">
        <f>VLOOKUP(Tabelle9[[#This Row],[Rank]],Stammdaten[[Rank Verteilung Abholzigkeit]:[Verteilung Abholzigkeit]],2,FALSE)</f>
        <v>#N/A</v>
      </c>
      <c r="S3651">
        <v>3642</v>
      </c>
      <c r="T3651" t="e">
        <f>INDEX(Stammdaten[Krümmung (mm/lfm)],MATCH(Tabelle10[[#This Row],[Rank]],Stammdaten[Rank Verteilung Krümmung],0))</f>
        <v>#N/A</v>
      </c>
      <c r="U3651" t="e">
        <f>VLOOKUP(Tabelle10[[#This Row],[Rank]],Stammdaten[[Rank Verteilung Krümmung]:[Verteilung Krümmung]],2,FALSE)</f>
        <v>#N/A</v>
      </c>
      <c r="Z3651">
        <v>3642</v>
      </c>
      <c r="AA3651" t="e">
        <f>INDEX(Stammdaten[Ovalität (']0,1'])],MATCH(Tabelle1014[[#This Row],[Rank]],Stammdaten[Rank Verteilung Ovalität],0))</f>
        <v>#N/A</v>
      </c>
      <c r="AB3651" t="e">
        <f>VLOOKUP(Tabelle1014[[#This Row],[Rank]],Stammdaten[[Rank Verteilung Ovalität]:[Verteilung Ovalität]],2,FALSE)</f>
        <v>#N/A</v>
      </c>
    </row>
    <row r="3652" spans="5:28" x14ac:dyDescent="0.35">
      <c r="E3652">
        <v>3643</v>
      </c>
      <c r="F3652" t="e">
        <f>INDEX(Stammdaten[D Mitte mit Rinde (mm)],MATCH(Tabelle8[[#This Row],[Rank]],Stammdaten[Rank Verteilung D Mitte mit Rinde],0))</f>
        <v>#N/A</v>
      </c>
      <c r="G3652" t="e">
        <f>VLOOKUP(Tabelle8[[#This Row],[Rank]],Stammdaten[[Rank Verteilung D Mitte mit Rinde]:[Verteilung D Mitte mit Rinde]],2,FALSE)</f>
        <v>#N/A</v>
      </c>
      <c r="L3652">
        <v>3643</v>
      </c>
      <c r="M3652" t="e">
        <f>INDEX(Stammdaten[Abholzigkeit (mm/lfm)],MATCH(Tabelle9[[#This Row],[Rank]],Stammdaten[Rank Verteilung Abholzigkeit],0))</f>
        <v>#N/A</v>
      </c>
      <c r="N3652" t="e">
        <f>VLOOKUP(Tabelle9[[#This Row],[Rank]],Stammdaten[[Rank Verteilung Abholzigkeit]:[Verteilung Abholzigkeit]],2,FALSE)</f>
        <v>#N/A</v>
      </c>
      <c r="S3652">
        <v>3643</v>
      </c>
      <c r="T3652" t="e">
        <f>INDEX(Stammdaten[Krümmung (mm/lfm)],MATCH(Tabelle10[[#This Row],[Rank]],Stammdaten[Rank Verteilung Krümmung],0))</f>
        <v>#N/A</v>
      </c>
      <c r="U3652" t="e">
        <f>VLOOKUP(Tabelle10[[#This Row],[Rank]],Stammdaten[[Rank Verteilung Krümmung]:[Verteilung Krümmung]],2,FALSE)</f>
        <v>#N/A</v>
      </c>
      <c r="Z3652">
        <v>3643</v>
      </c>
      <c r="AA3652" t="e">
        <f>INDEX(Stammdaten[Ovalität (']0,1'])],MATCH(Tabelle1014[[#This Row],[Rank]],Stammdaten[Rank Verteilung Ovalität],0))</f>
        <v>#N/A</v>
      </c>
      <c r="AB3652" t="e">
        <f>VLOOKUP(Tabelle1014[[#This Row],[Rank]],Stammdaten[[Rank Verteilung Ovalität]:[Verteilung Ovalität]],2,FALSE)</f>
        <v>#N/A</v>
      </c>
    </row>
    <row r="3653" spans="5:28" x14ac:dyDescent="0.35">
      <c r="E3653">
        <v>3644</v>
      </c>
      <c r="F3653" t="e">
        <f>INDEX(Stammdaten[D Mitte mit Rinde (mm)],MATCH(Tabelle8[[#This Row],[Rank]],Stammdaten[Rank Verteilung D Mitte mit Rinde],0))</f>
        <v>#N/A</v>
      </c>
      <c r="G3653" t="e">
        <f>VLOOKUP(Tabelle8[[#This Row],[Rank]],Stammdaten[[Rank Verteilung D Mitte mit Rinde]:[Verteilung D Mitte mit Rinde]],2,FALSE)</f>
        <v>#N/A</v>
      </c>
      <c r="L3653">
        <v>3644</v>
      </c>
      <c r="M3653" t="e">
        <f>INDEX(Stammdaten[Abholzigkeit (mm/lfm)],MATCH(Tabelle9[[#This Row],[Rank]],Stammdaten[Rank Verteilung Abholzigkeit],0))</f>
        <v>#N/A</v>
      </c>
      <c r="N3653" t="e">
        <f>VLOOKUP(Tabelle9[[#This Row],[Rank]],Stammdaten[[Rank Verteilung Abholzigkeit]:[Verteilung Abholzigkeit]],2,FALSE)</f>
        <v>#N/A</v>
      </c>
      <c r="S3653">
        <v>3644</v>
      </c>
      <c r="T3653" t="e">
        <f>INDEX(Stammdaten[Krümmung (mm/lfm)],MATCH(Tabelle10[[#This Row],[Rank]],Stammdaten[Rank Verteilung Krümmung],0))</f>
        <v>#N/A</v>
      </c>
      <c r="U3653" t="e">
        <f>VLOOKUP(Tabelle10[[#This Row],[Rank]],Stammdaten[[Rank Verteilung Krümmung]:[Verteilung Krümmung]],2,FALSE)</f>
        <v>#N/A</v>
      </c>
      <c r="Z3653">
        <v>3644</v>
      </c>
      <c r="AA3653" t="e">
        <f>INDEX(Stammdaten[Ovalität (']0,1'])],MATCH(Tabelle1014[[#This Row],[Rank]],Stammdaten[Rank Verteilung Ovalität],0))</f>
        <v>#N/A</v>
      </c>
      <c r="AB3653" t="e">
        <f>VLOOKUP(Tabelle1014[[#This Row],[Rank]],Stammdaten[[Rank Verteilung Ovalität]:[Verteilung Ovalität]],2,FALSE)</f>
        <v>#N/A</v>
      </c>
    </row>
    <row r="3654" spans="5:28" x14ac:dyDescent="0.35">
      <c r="E3654">
        <v>3645</v>
      </c>
      <c r="F3654" t="e">
        <f>INDEX(Stammdaten[D Mitte mit Rinde (mm)],MATCH(Tabelle8[[#This Row],[Rank]],Stammdaten[Rank Verteilung D Mitte mit Rinde],0))</f>
        <v>#N/A</v>
      </c>
      <c r="G3654" t="e">
        <f>VLOOKUP(Tabelle8[[#This Row],[Rank]],Stammdaten[[Rank Verteilung D Mitte mit Rinde]:[Verteilung D Mitte mit Rinde]],2,FALSE)</f>
        <v>#N/A</v>
      </c>
      <c r="L3654">
        <v>3645</v>
      </c>
      <c r="M3654" t="e">
        <f>INDEX(Stammdaten[Abholzigkeit (mm/lfm)],MATCH(Tabelle9[[#This Row],[Rank]],Stammdaten[Rank Verteilung Abholzigkeit],0))</f>
        <v>#N/A</v>
      </c>
      <c r="N3654" t="e">
        <f>VLOOKUP(Tabelle9[[#This Row],[Rank]],Stammdaten[[Rank Verteilung Abholzigkeit]:[Verteilung Abholzigkeit]],2,FALSE)</f>
        <v>#N/A</v>
      </c>
      <c r="S3654">
        <v>3645</v>
      </c>
      <c r="T3654" t="e">
        <f>INDEX(Stammdaten[Krümmung (mm/lfm)],MATCH(Tabelle10[[#This Row],[Rank]],Stammdaten[Rank Verteilung Krümmung],0))</f>
        <v>#N/A</v>
      </c>
      <c r="U3654" t="e">
        <f>VLOOKUP(Tabelle10[[#This Row],[Rank]],Stammdaten[[Rank Verteilung Krümmung]:[Verteilung Krümmung]],2,FALSE)</f>
        <v>#N/A</v>
      </c>
      <c r="Z3654">
        <v>3645</v>
      </c>
      <c r="AA3654" t="e">
        <f>INDEX(Stammdaten[Ovalität (']0,1'])],MATCH(Tabelle1014[[#This Row],[Rank]],Stammdaten[Rank Verteilung Ovalität],0))</f>
        <v>#N/A</v>
      </c>
      <c r="AB3654" t="e">
        <f>VLOOKUP(Tabelle1014[[#This Row],[Rank]],Stammdaten[[Rank Verteilung Ovalität]:[Verteilung Ovalität]],2,FALSE)</f>
        <v>#N/A</v>
      </c>
    </row>
    <row r="3655" spans="5:28" x14ac:dyDescent="0.35">
      <c r="E3655">
        <v>3646</v>
      </c>
      <c r="F3655" t="e">
        <f>INDEX(Stammdaten[D Mitte mit Rinde (mm)],MATCH(Tabelle8[[#This Row],[Rank]],Stammdaten[Rank Verteilung D Mitte mit Rinde],0))</f>
        <v>#N/A</v>
      </c>
      <c r="G3655" t="e">
        <f>VLOOKUP(Tabelle8[[#This Row],[Rank]],Stammdaten[[Rank Verteilung D Mitte mit Rinde]:[Verteilung D Mitte mit Rinde]],2,FALSE)</f>
        <v>#N/A</v>
      </c>
      <c r="L3655">
        <v>3646</v>
      </c>
      <c r="M3655" t="e">
        <f>INDEX(Stammdaten[Abholzigkeit (mm/lfm)],MATCH(Tabelle9[[#This Row],[Rank]],Stammdaten[Rank Verteilung Abholzigkeit],0))</f>
        <v>#N/A</v>
      </c>
      <c r="N3655" t="e">
        <f>VLOOKUP(Tabelle9[[#This Row],[Rank]],Stammdaten[[Rank Verteilung Abholzigkeit]:[Verteilung Abholzigkeit]],2,FALSE)</f>
        <v>#N/A</v>
      </c>
      <c r="S3655">
        <v>3646</v>
      </c>
      <c r="T3655" t="e">
        <f>INDEX(Stammdaten[Krümmung (mm/lfm)],MATCH(Tabelle10[[#This Row],[Rank]],Stammdaten[Rank Verteilung Krümmung],0))</f>
        <v>#N/A</v>
      </c>
      <c r="U3655" t="e">
        <f>VLOOKUP(Tabelle10[[#This Row],[Rank]],Stammdaten[[Rank Verteilung Krümmung]:[Verteilung Krümmung]],2,FALSE)</f>
        <v>#N/A</v>
      </c>
      <c r="Z3655">
        <v>3646</v>
      </c>
      <c r="AA3655" t="e">
        <f>INDEX(Stammdaten[Ovalität (']0,1'])],MATCH(Tabelle1014[[#This Row],[Rank]],Stammdaten[Rank Verteilung Ovalität],0))</f>
        <v>#N/A</v>
      </c>
      <c r="AB3655" t="e">
        <f>VLOOKUP(Tabelle1014[[#This Row],[Rank]],Stammdaten[[Rank Verteilung Ovalität]:[Verteilung Ovalität]],2,FALSE)</f>
        <v>#N/A</v>
      </c>
    </row>
    <row r="3656" spans="5:28" x14ac:dyDescent="0.35">
      <c r="E3656">
        <v>3647</v>
      </c>
      <c r="F3656" t="e">
        <f>INDEX(Stammdaten[D Mitte mit Rinde (mm)],MATCH(Tabelle8[[#This Row],[Rank]],Stammdaten[Rank Verteilung D Mitte mit Rinde],0))</f>
        <v>#N/A</v>
      </c>
      <c r="G3656" t="e">
        <f>VLOOKUP(Tabelle8[[#This Row],[Rank]],Stammdaten[[Rank Verteilung D Mitte mit Rinde]:[Verteilung D Mitte mit Rinde]],2,FALSE)</f>
        <v>#N/A</v>
      </c>
      <c r="L3656">
        <v>3647</v>
      </c>
      <c r="M3656" t="e">
        <f>INDEX(Stammdaten[Abholzigkeit (mm/lfm)],MATCH(Tabelle9[[#This Row],[Rank]],Stammdaten[Rank Verteilung Abholzigkeit],0))</f>
        <v>#N/A</v>
      </c>
      <c r="N3656" t="e">
        <f>VLOOKUP(Tabelle9[[#This Row],[Rank]],Stammdaten[[Rank Verteilung Abholzigkeit]:[Verteilung Abholzigkeit]],2,FALSE)</f>
        <v>#N/A</v>
      </c>
      <c r="S3656">
        <v>3647</v>
      </c>
      <c r="T3656" t="e">
        <f>INDEX(Stammdaten[Krümmung (mm/lfm)],MATCH(Tabelle10[[#This Row],[Rank]],Stammdaten[Rank Verteilung Krümmung],0))</f>
        <v>#N/A</v>
      </c>
      <c r="U3656" t="e">
        <f>VLOOKUP(Tabelle10[[#This Row],[Rank]],Stammdaten[[Rank Verteilung Krümmung]:[Verteilung Krümmung]],2,FALSE)</f>
        <v>#N/A</v>
      </c>
      <c r="Z3656">
        <v>3647</v>
      </c>
      <c r="AA3656" t="e">
        <f>INDEX(Stammdaten[Ovalität (']0,1'])],MATCH(Tabelle1014[[#This Row],[Rank]],Stammdaten[Rank Verteilung Ovalität],0))</f>
        <v>#N/A</v>
      </c>
      <c r="AB3656" t="e">
        <f>VLOOKUP(Tabelle1014[[#This Row],[Rank]],Stammdaten[[Rank Verteilung Ovalität]:[Verteilung Ovalität]],2,FALSE)</f>
        <v>#N/A</v>
      </c>
    </row>
    <row r="3657" spans="5:28" x14ac:dyDescent="0.35">
      <c r="E3657">
        <v>3648</v>
      </c>
      <c r="F3657" t="e">
        <f>INDEX(Stammdaten[D Mitte mit Rinde (mm)],MATCH(Tabelle8[[#This Row],[Rank]],Stammdaten[Rank Verteilung D Mitte mit Rinde],0))</f>
        <v>#N/A</v>
      </c>
      <c r="G3657" t="e">
        <f>VLOOKUP(Tabelle8[[#This Row],[Rank]],Stammdaten[[Rank Verteilung D Mitte mit Rinde]:[Verteilung D Mitte mit Rinde]],2,FALSE)</f>
        <v>#N/A</v>
      </c>
      <c r="L3657">
        <v>3648</v>
      </c>
      <c r="M3657" t="e">
        <f>INDEX(Stammdaten[Abholzigkeit (mm/lfm)],MATCH(Tabelle9[[#This Row],[Rank]],Stammdaten[Rank Verteilung Abholzigkeit],0))</f>
        <v>#N/A</v>
      </c>
      <c r="N3657" t="e">
        <f>VLOOKUP(Tabelle9[[#This Row],[Rank]],Stammdaten[[Rank Verteilung Abholzigkeit]:[Verteilung Abholzigkeit]],2,FALSE)</f>
        <v>#N/A</v>
      </c>
      <c r="S3657">
        <v>3648</v>
      </c>
      <c r="T3657" t="e">
        <f>INDEX(Stammdaten[Krümmung (mm/lfm)],MATCH(Tabelle10[[#This Row],[Rank]],Stammdaten[Rank Verteilung Krümmung],0))</f>
        <v>#N/A</v>
      </c>
      <c r="U3657" t="e">
        <f>VLOOKUP(Tabelle10[[#This Row],[Rank]],Stammdaten[[Rank Verteilung Krümmung]:[Verteilung Krümmung]],2,FALSE)</f>
        <v>#N/A</v>
      </c>
      <c r="Z3657">
        <v>3648</v>
      </c>
      <c r="AA3657" t="e">
        <f>INDEX(Stammdaten[Ovalität (']0,1'])],MATCH(Tabelle1014[[#This Row],[Rank]],Stammdaten[Rank Verteilung Ovalität],0))</f>
        <v>#N/A</v>
      </c>
      <c r="AB3657" t="e">
        <f>VLOOKUP(Tabelle1014[[#This Row],[Rank]],Stammdaten[[Rank Verteilung Ovalität]:[Verteilung Ovalität]],2,FALSE)</f>
        <v>#N/A</v>
      </c>
    </row>
    <row r="3658" spans="5:28" x14ac:dyDescent="0.35">
      <c r="E3658">
        <v>3649</v>
      </c>
      <c r="F3658" t="e">
        <f>INDEX(Stammdaten[D Mitte mit Rinde (mm)],MATCH(Tabelle8[[#This Row],[Rank]],Stammdaten[Rank Verteilung D Mitte mit Rinde],0))</f>
        <v>#N/A</v>
      </c>
      <c r="G3658" t="e">
        <f>VLOOKUP(Tabelle8[[#This Row],[Rank]],Stammdaten[[Rank Verteilung D Mitte mit Rinde]:[Verteilung D Mitte mit Rinde]],2,FALSE)</f>
        <v>#N/A</v>
      </c>
      <c r="L3658">
        <v>3649</v>
      </c>
      <c r="M3658" t="e">
        <f>INDEX(Stammdaten[Abholzigkeit (mm/lfm)],MATCH(Tabelle9[[#This Row],[Rank]],Stammdaten[Rank Verteilung Abholzigkeit],0))</f>
        <v>#N/A</v>
      </c>
      <c r="N3658" t="e">
        <f>VLOOKUP(Tabelle9[[#This Row],[Rank]],Stammdaten[[Rank Verteilung Abholzigkeit]:[Verteilung Abholzigkeit]],2,FALSE)</f>
        <v>#N/A</v>
      </c>
      <c r="S3658">
        <v>3649</v>
      </c>
      <c r="T3658" t="e">
        <f>INDEX(Stammdaten[Krümmung (mm/lfm)],MATCH(Tabelle10[[#This Row],[Rank]],Stammdaten[Rank Verteilung Krümmung],0))</f>
        <v>#N/A</v>
      </c>
      <c r="U3658" t="e">
        <f>VLOOKUP(Tabelle10[[#This Row],[Rank]],Stammdaten[[Rank Verteilung Krümmung]:[Verteilung Krümmung]],2,FALSE)</f>
        <v>#N/A</v>
      </c>
      <c r="Z3658">
        <v>3649</v>
      </c>
      <c r="AA3658" t="e">
        <f>INDEX(Stammdaten[Ovalität (']0,1'])],MATCH(Tabelle1014[[#This Row],[Rank]],Stammdaten[Rank Verteilung Ovalität],0))</f>
        <v>#N/A</v>
      </c>
      <c r="AB3658" t="e">
        <f>VLOOKUP(Tabelle1014[[#This Row],[Rank]],Stammdaten[[Rank Verteilung Ovalität]:[Verteilung Ovalität]],2,FALSE)</f>
        <v>#N/A</v>
      </c>
    </row>
    <row r="3659" spans="5:28" x14ac:dyDescent="0.35">
      <c r="E3659">
        <v>3650</v>
      </c>
      <c r="F3659" t="e">
        <f>INDEX(Stammdaten[D Mitte mit Rinde (mm)],MATCH(Tabelle8[[#This Row],[Rank]],Stammdaten[Rank Verteilung D Mitte mit Rinde],0))</f>
        <v>#N/A</v>
      </c>
      <c r="G3659" t="e">
        <f>VLOOKUP(Tabelle8[[#This Row],[Rank]],Stammdaten[[Rank Verteilung D Mitte mit Rinde]:[Verteilung D Mitte mit Rinde]],2,FALSE)</f>
        <v>#N/A</v>
      </c>
      <c r="L3659">
        <v>3650</v>
      </c>
      <c r="M3659" t="e">
        <f>INDEX(Stammdaten[Abholzigkeit (mm/lfm)],MATCH(Tabelle9[[#This Row],[Rank]],Stammdaten[Rank Verteilung Abholzigkeit],0))</f>
        <v>#N/A</v>
      </c>
      <c r="N3659" t="e">
        <f>VLOOKUP(Tabelle9[[#This Row],[Rank]],Stammdaten[[Rank Verteilung Abholzigkeit]:[Verteilung Abholzigkeit]],2,FALSE)</f>
        <v>#N/A</v>
      </c>
      <c r="S3659">
        <v>3650</v>
      </c>
      <c r="T3659" t="e">
        <f>INDEX(Stammdaten[Krümmung (mm/lfm)],MATCH(Tabelle10[[#This Row],[Rank]],Stammdaten[Rank Verteilung Krümmung],0))</f>
        <v>#N/A</v>
      </c>
      <c r="U3659" t="e">
        <f>VLOOKUP(Tabelle10[[#This Row],[Rank]],Stammdaten[[Rank Verteilung Krümmung]:[Verteilung Krümmung]],2,FALSE)</f>
        <v>#N/A</v>
      </c>
      <c r="Z3659">
        <v>3650</v>
      </c>
      <c r="AA3659" t="e">
        <f>INDEX(Stammdaten[Ovalität (']0,1'])],MATCH(Tabelle1014[[#This Row],[Rank]],Stammdaten[Rank Verteilung Ovalität],0))</f>
        <v>#N/A</v>
      </c>
      <c r="AB3659" t="e">
        <f>VLOOKUP(Tabelle1014[[#This Row],[Rank]],Stammdaten[[Rank Verteilung Ovalität]:[Verteilung Ovalität]],2,FALSE)</f>
        <v>#N/A</v>
      </c>
    </row>
    <row r="3660" spans="5:28" x14ac:dyDescent="0.35">
      <c r="E3660">
        <v>3651</v>
      </c>
      <c r="F3660" t="e">
        <f>INDEX(Stammdaten[D Mitte mit Rinde (mm)],MATCH(Tabelle8[[#This Row],[Rank]],Stammdaten[Rank Verteilung D Mitte mit Rinde],0))</f>
        <v>#N/A</v>
      </c>
      <c r="G3660" t="e">
        <f>VLOOKUP(Tabelle8[[#This Row],[Rank]],Stammdaten[[Rank Verteilung D Mitte mit Rinde]:[Verteilung D Mitte mit Rinde]],2,FALSE)</f>
        <v>#N/A</v>
      </c>
      <c r="L3660">
        <v>3651</v>
      </c>
      <c r="M3660" t="e">
        <f>INDEX(Stammdaten[Abholzigkeit (mm/lfm)],MATCH(Tabelle9[[#This Row],[Rank]],Stammdaten[Rank Verteilung Abholzigkeit],0))</f>
        <v>#N/A</v>
      </c>
      <c r="N3660" t="e">
        <f>VLOOKUP(Tabelle9[[#This Row],[Rank]],Stammdaten[[Rank Verteilung Abholzigkeit]:[Verteilung Abholzigkeit]],2,FALSE)</f>
        <v>#N/A</v>
      </c>
      <c r="S3660">
        <v>3651</v>
      </c>
      <c r="T3660" t="e">
        <f>INDEX(Stammdaten[Krümmung (mm/lfm)],MATCH(Tabelle10[[#This Row],[Rank]],Stammdaten[Rank Verteilung Krümmung],0))</f>
        <v>#N/A</v>
      </c>
      <c r="U3660" t="e">
        <f>VLOOKUP(Tabelle10[[#This Row],[Rank]],Stammdaten[[Rank Verteilung Krümmung]:[Verteilung Krümmung]],2,FALSE)</f>
        <v>#N/A</v>
      </c>
      <c r="Z3660">
        <v>3651</v>
      </c>
      <c r="AA3660" t="e">
        <f>INDEX(Stammdaten[Ovalität (']0,1'])],MATCH(Tabelle1014[[#This Row],[Rank]],Stammdaten[Rank Verteilung Ovalität],0))</f>
        <v>#N/A</v>
      </c>
      <c r="AB3660" t="e">
        <f>VLOOKUP(Tabelle1014[[#This Row],[Rank]],Stammdaten[[Rank Verteilung Ovalität]:[Verteilung Ovalität]],2,FALSE)</f>
        <v>#N/A</v>
      </c>
    </row>
    <row r="3661" spans="5:28" x14ac:dyDescent="0.35">
      <c r="E3661">
        <v>3652</v>
      </c>
      <c r="F3661" t="e">
        <f>INDEX(Stammdaten[D Mitte mit Rinde (mm)],MATCH(Tabelle8[[#This Row],[Rank]],Stammdaten[Rank Verteilung D Mitte mit Rinde],0))</f>
        <v>#N/A</v>
      </c>
      <c r="G3661" t="e">
        <f>VLOOKUP(Tabelle8[[#This Row],[Rank]],Stammdaten[[Rank Verteilung D Mitte mit Rinde]:[Verteilung D Mitte mit Rinde]],2,FALSE)</f>
        <v>#N/A</v>
      </c>
      <c r="L3661">
        <v>3652</v>
      </c>
      <c r="M3661" t="e">
        <f>INDEX(Stammdaten[Abholzigkeit (mm/lfm)],MATCH(Tabelle9[[#This Row],[Rank]],Stammdaten[Rank Verteilung Abholzigkeit],0))</f>
        <v>#N/A</v>
      </c>
      <c r="N3661" t="e">
        <f>VLOOKUP(Tabelle9[[#This Row],[Rank]],Stammdaten[[Rank Verteilung Abholzigkeit]:[Verteilung Abholzigkeit]],2,FALSE)</f>
        <v>#N/A</v>
      </c>
      <c r="S3661">
        <v>3652</v>
      </c>
      <c r="T3661" t="e">
        <f>INDEX(Stammdaten[Krümmung (mm/lfm)],MATCH(Tabelle10[[#This Row],[Rank]],Stammdaten[Rank Verteilung Krümmung],0))</f>
        <v>#N/A</v>
      </c>
      <c r="U3661" t="e">
        <f>VLOOKUP(Tabelle10[[#This Row],[Rank]],Stammdaten[[Rank Verteilung Krümmung]:[Verteilung Krümmung]],2,FALSE)</f>
        <v>#N/A</v>
      </c>
      <c r="Z3661">
        <v>3652</v>
      </c>
      <c r="AA3661" t="e">
        <f>INDEX(Stammdaten[Ovalität (']0,1'])],MATCH(Tabelle1014[[#This Row],[Rank]],Stammdaten[Rank Verteilung Ovalität],0))</f>
        <v>#N/A</v>
      </c>
      <c r="AB3661" t="e">
        <f>VLOOKUP(Tabelle1014[[#This Row],[Rank]],Stammdaten[[Rank Verteilung Ovalität]:[Verteilung Ovalität]],2,FALSE)</f>
        <v>#N/A</v>
      </c>
    </row>
    <row r="3662" spans="5:28" x14ac:dyDescent="0.35">
      <c r="E3662">
        <v>3653</v>
      </c>
      <c r="F3662" t="e">
        <f>INDEX(Stammdaten[D Mitte mit Rinde (mm)],MATCH(Tabelle8[[#This Row],[Rank]],Stammdaten[Rank Verteilung D Mitte mit Rinde],0))</f>
        <v>#N/A</v>
      </c>
      <c r="G3662" t="e">
        <f>VLOOKUP(Tabelle8[[#This Row],[Rank]],Stammdaten[[Rank Verteilung D Mitte mit Rinde]:[Verteilung D Mitte mit Rinde]],2,FALSE)</f>
        <v>#N/A</v>
      </c>
      <c r="L3662">
        <v>3653</v>
      </c>
      <c r="M3662" t="e">
        <f>INDEX(Stammdaten[Abholzigkeit (mm/lfm)],MATCH(Tabelle9[[#This Row],[Rank]],Stammdaten[Rank Verteilung Abholzigkeit],0))</f>
        <v>#N/A</v>
      </c>
      <c r="N3662" t="e">
        <f>VLOOKUP(Tabelle9[[#This Row],[Rank]],Stammdaten[[Rank Verteilung Abholzigkeit]:[Verteilung Abholzigkeit]],2,FALSE)</f>
        <v>#N/A</v>
      </c>
      <c r="S3662">
        <v>3653</v>
      </c>
      <c r="T3662" t="e">
        <f>INDEX(Stammdaten[Krümmung (mm/lfm)],MATCH(Tabelle10[[#This Row],[Rank]],Stammdaten[Rank Verteilung Krümmung],0))</f>
        <v>#N/A</v>
      </c>
      <c r="U3662" t="e">
        <f>VLOOKUP(Tabelle10[[#This Row],[Rank]],Stammdaten[[Rank Verteilung Krümmung]:[Verteilung Krümmung]],2,FALSE)</f>
        <v>#N/A</v>
      </c>
      <c r="Z3662">
        <v>3653</v>
      </c>
      <c r="AA3662" t="e">
        <f>INDEX(Stammdaten[Ovalität (']0,1'])],MATCH(Tabelle1014[[#This Row],[Rank]],Stammdaten[Rank Verteilung Ovalität],0))</f>
        <v>#N/A</v>
      </c>
      <c r="AB3662" t="e">
        <f>VLOOKUP(Tabelle1014[[#This Row],[Rank]],Stammdaten[[Rank Verteilung Ovalität]:[Verteilung Ovalität]],2,FALSE)</f>
        <v>#N/A</v>
      </c>
    </row>
    <row r="3663" spans="5:28" x14ac:dyDescent="0.35">
      <c r="E3663">
        <v>3654</v>
      </c>
      <c r="F3663" t="e">
        <f>INDEX(Stammdaten[D Mitte mit Rinde (mm)],MATCH(Tabelle8[[#This Row],[Rank]],Stammdaten[Rank Verteilung D Mitte mit Rinde],0))</f>
        <v>#N/A</v>
      </c>
      <c r="G3663" t="e">
        <f>VLOOKUP(Tabelle8[[#This Row],[Rank]],Stammdaten[[Rank Verteilung D Mitte mit Rinde]:[Verteilung D Mitte mit Rinde]],2,FALSE)</f>
        <v>#N/A</v>
      </c>
      <c r="L3663">
        <v>3654</v>
      </c>
      <c r="M3663" t="e">
        <f>INDEX(Stammdaten[Abholzigkeit (mm/lfm)],MATCH(Tabelle9[[#This Row],[Rank]],Stammdaten[Rank Verteilung Abholzigkeit],0))</f>
        <v>#N/A</v>
      </c>
      <c r="N3663" t="e">
        <f>VLOOKUP(Tabelle9[[#This Row],[Rank]],Stammdaten[[Rank Verteilung Abholzigkeit]:[Verteilung Abholzigkeit]],2,FALSE)</f>
        <v>#N/A</v>
      </c>
      <c r="S3663">
        <v>3654</v>
      </c>
      <c r="T3663" t="e">
        <f>INDEX(Stammdaten[Krümmung (mm/lfm)],MATCH(Tabelle10[[#This Row],[Rank]],Stammdaten[Rank Verteilung Krümmung],0))</f>
        <v>#N/A</v>
      </c>
      <c r="U3663" t="e">
        <f>VLOOKUP(Tabelle10[[#This Row],[Rank]],Stammdaten[[Rank Verteilung Krümmung]:[Verteilung Krümmung]],2,FALSE)</f>
        <v>#N/A</v>
      </c>
      <c r="Z3663">
        <v>3654</v>
      </c>
      <c r="AA3663" t="e">
        <f>INDEX(Stammdaten[Ovalität (']0,1'])],MATCH(Tabelle1014[[#This Row],[Rank]],Stammdaten[Rank Verteilung Ovalität],0))</f>
        <v>#N/A</v>
      </c>
      <c r="AB3663" t="e">
        <f>VLOOKUP(Tabelle1014[[#This Row],[Rank]],Stammdaten[[Rank Verteilung Ovalität]:[Verteilung Ovalität]],2,FALSE)</f>
        <v>#N/A</v>
      </c>
    </row>
    <row r="3664" spans="5:28" x14ac:dyDescent="0.35">
      <c r="E3664">
        <v>3655</v>
      </c>
      <c r="F3664" t="e">
        <f>INDEX(Stammdaten[D Mitte mit Rinde (mm)],MATCH(Tabelle8[[#This Row],[Rank]],Stammdaten[Rank Verteilung D Mitte mit Rinde],0))</f>
        <v>#N/A</v>
      </c>
      <c r="G3664" t="e">
        <f>VLOOKUP(Tabelle8[[#This Row],[Rank]],Stammdaten[[Rank Verteilung D Mitte mit Rinde]:[Verteilung D Mitte mit Rinde]],2,FALSE)</f>
        <v>#N/A</v>
      </c>
      <c r="L3664">
        <v>3655</v>
      </c>
      <c r="M3664" t="e">
        <f>INDEX(Stammdaten[Abholzigkeit (mm/lfm)],MATCH(Tabelle9[[#This Row],[Rank]],Stammdaten[Rank Verteilung Abholzigkeit],0))</f>
        <v>#N/A</v>
      </c>
      <c r="N3664" t="e">
        <f>VLOOKUP(Tabelle9[[#This Row],[Rank]],Stammdaten[[Rank Verteilung Abholzigkeit]:[Verteilung Abholzigkeit]],2,FALSE)</f>
        <v>#N/A</v>
      </c>
      <c r="S3664">
        <v>3655</v>
      </c>
      <c r="T3664" t="e">
        <f>INDEX(Stammdaten[Krümmung (mm/lfm)],MATCH(Tabelle10[[#This Row],[Rank]],Stammdaten[Rank Verteilung Krümmung],0))</f>
        <v>#N/A</v>
      </c>
      <c r="U3664" t="e">
        <f>VLOOKUP(Tabelle10[[#This Row],[Rank]],Stammdaten[[Rank Verteilung Krümmung]:[Verteilung Krümmung]],2,FALSE)</f>
        <v>#N/A</v>
      </c>
      <c r="Z3664">
        <v>3655</v>
      </c>
      <c r="AA3664" t="e">
        <f>INDEX(Stammdaten[Ovalität (']0,1'])],MATCH(Tabelle1014[[#This Row],[Rank]],Stammdaten[Rank Verteilung Ovalität],0))</f>
        <v>#N/A</v>
      </c>
      <c r="AB3664" t="e">
        <f>VLOOKUP(Tabelle1014[[#This Row],[Rank]],Stammdaten[[Rank Verteilung Ovalität]:[Verteilung Ovalität]],2,FALSE)</f>
        <v>#N/A</v>
      </c>
    </row>
    <row r="3665" spans="5:28" x14ac:dyDescent="0.35">
      <c r="E3665">
        <v>3656</v>
      </c>
      <c r="F3665" t="e">
        <f>INDEX(Stammdaten[D Mitte mit Rinde (mm)],MATCH(Tabelle8[[#This Row],[Rank]],Stammdaten[Rank Verteilung D Mitte mit Rinde],0))</f>
        <v>#N/A</v>
      </c>
      <c r="G3665" t="e">
        <f>VLOOKUP(Tabelle8[[#This Row],[Rank]],Stammdaten[[Rank Verteilung D Mitte mit Rinde]:[Verteilung D Mitte mit Rinde]],2,FALSE)</f>
        <v>#N/A</v>
      </c>
      <c r="L3665">
        <v>3656</v>
      </c>
      <c r="M3665" t="e">
        <f>INDEX(Stammdaten[Abholzigkeit (mm/lfm)],MATCH(Tabelle9[[#This Row],[Rank]],Stammdaten[Rank Verteilung Abholzigkeit],0))</f>
        <v>#N/A</v>
      </c>
      <c r="N3665" t="e">
        <f>VLOOKUP(Tabelle9[[#This Row],[Rank]],Stammdaten[[Rank Verteilung Abholzigkeit]:[Verteilung Abholzigkeit]],2,FALSE)</f>
        <v>#N/A</v>
      </c>
      <c r="S3665">
        <v>3656</v>
      </c>
      <c r="T3665" t="e">
        <f>INDEX(Stammdaten[Krümmung (mm/lfm)],MATCH(Tabelle10[[#This Row],[Rank]],Stammdaten[Rank Verteilung Krümmung],0))</f>
        <v>#N/A</v>
      </c>
      <c r="U3665" t="e">
        <f>VLOOKUP(Tabelle10[[#This Row],[Rank]],Stammdaten[[Rank Verteilung Krümmung]:[Verteilung Krümmung]],2,FALSE)</f>
        <v>#N/A</v>
      </c>
      <c r="Z3665">
        <v>3656</v>
      </c>
      <c r="AA3665" t="e">
        <f>INDEX(Stammdaten[Ovalität (']0,1'])],MATCH(Tabelle1014[[#This Row],[Rank]],Stammdaten[Rank Verteilung Ovalität],0))</f>
        <v>#N/A</v>
      </c>
      <c r="AB3665" t="e">
        <f>VLOOKUP(Tabelle1014[[#This Row],[Rank]],Stammdaten[[Rank Verteilung Ovalität]:[Verteilung Ovalität]],2,FALSE)</f>
        <v>#N/A</v>
      </c>
    </row>
    <row r="3666" spans="5:28" x14ac:dyDescent="0.35">
      <c r="E3666">
        <v>3657</v>
      </c>
      <c r="F3666" t="e">
        <f>INDEX(Stammdaten[D Mitte mit Rinde (mm)],MATCH(Tabelle8[[#This Row],[Rank]],Stammdaten[Rank Verteilung D Mitte mit Rinde],0))</f>
        <v>#N/A</v>
      </c>
      <c r="G3666" t="e">
        <f>VLOOKUP(Tabelle8[[#This Row],[Rank]],Stammdaten[[Rank Verteilung D Mitte mit Rinde]:[Verteilung D Mitte mit Rinde]],2,FALSE)</f>
        <v>#N/A</v>
      </c>
      <c r="L3666">
        <v>3657</v>
      </c>
      <c r="M3666" t="e">
        <f>INDEX(Stammdaten[Abholzigkeit (mm/lfm)],MATCH(Tabelle9[[#This Row],[Rank]],Stammdaten[Rank Verteilung Abholzigkeit],0))</f>
        <v>#N/A</v>
      </c>
      <c r="N3666" t="e">
        <f>VLOOKUP(Tabelle9[[#This Row],[Rank]],Stammdaten[[Rank Verteilung Abholzigkeit]:[Verteilung Abholzigkeit]],2,FALSE)</f>
        <v>#N/A</v>
      </c>
      <c r="S3666">
        <v>3657</v>
      </c>
      <c r="T3666" t="e">
        <f>INDEX(Stammdaten[Krümmung (mm/lfm)],MATCH(Tabelle10[[#This Row],[Rank]],Stammdaten[Rank Verteilung Krümmung],0))</f>
        <v>#N/A</v>
      </c>
      <c r="U3666" t="e">
        <f>VLOOKUP(Tabelle10[[#This Row],[Rank]],Stammdaten[[Rank Verteilung Krümmung]:[Verteilung Krümmung]],2,FALSE)</f>
        <v>#N/A</v>
      </c>
      <c r="Z3666">
        <v>3657</v>
      </c>
      <c r="AA3666" t="e">
        <f>INDEX(Stammdaten[Ovalität (']0,1'])],MATCH(Tabelle1014[[#This Row],[Rank]],Stammdaten[Rank Verteilung Ovalität],0))</f>
        <v>#N/A</v>
      </c>
      <c r="AB3666" t="e">
        <f>VLOOKUP(Tabelle1014[[#This Row],[Rank]],Stammdaten[[Rank Verteilung Ovalität]:[Verteilung Ovalität]],2,FALSE)</f>
        <v>#N/A</v>
      </c>
    </row>
    <row r="3667" spans="5:28" x14ac:dyDescent="0.35">
      <c r="E3667">
        <v>3658</v>
      </c>
      <c r="F3667" t="e">
        <f>INDEX(Stammdaten[D Mitte mit Rinde (mm)],MATCH(Tabelle8[[#This Row],[Rank]],Stammdaten[Rank Verteilung D Mitte mit Rinde],0))</f>
        <v>#N/A</v>
      </c>
      <c r="G3667" t="e">
        <f>VLOOKUP(Tabelle8[[#This Row],[Rank]],Stammdaten[[Rank Verteilung D Mitte mit Rinde]:[Verteilung D Mitte mit Rinde]],2,FALSE)</f>
        <v>#N/A</v>
      </c>
      <c r="L3667">
        <v>3658</v>
      </c>
      <c r="M3667" t="e">
        <f>INDEX(Stammdaten[Abholzigkeit (mm/lfm)],MATCH(Tabelle9[[#This Row],[Rank]],Stammdaten[Rank Verteilung Abholzigkeit],0))</f>
        <v>#N/A</v>
      </c>
      <c r="N3667" t="e">
        <f>VLOOKUP(Tabelle9[[#This Row],[Rank]],Stammdaten[[Rank Verteilung Abholzigkeit]:[Verteilung Abholzigkeit]],2,FALSE)</f>
        <v>#N/A</v>
      </c>
      <c r="S3667">
        <v>3658</v>
      </c>
      <c r="T3667" t="e">
        <f>INDEX(Stammdaten[Krümmung (mm/lfm)],MATCH(Tabelle10[[#This Row],[Rank]],Stammdaten[Rank Verteilung Krümmung],0))</f>
        <v>#N/A</v>
      </c>
      <c r="U3667" t="e">
        <f>VLOOKUP(Tabelle10[[#This Row],[Rank]],Stammdaten[[Rank Verteilung Krümmung]:[Verteilung Krümmung]],2,FALSE)</f>
        <v>#N/A</v>
      </c>
      <c r="Z3667">
        <v>3658</v>
      </c>
      <c r="AA3667" t="e">
        <f>INDEX(Stammdaten[Ovalität (']0,1'])],MATCH(Tabelle1014[[#This Row],[Rank]],Stammdaten[Rank Verteilung Ovalität],0))</f>
        <v>#N/A</v>
      </c>
      <c r="AB3667" t="e">
        <f>VLOOKUP(Tabelle1014[[#This Row],[Rank]],Stammdaten[[Rank Verteilung Ovalität]:[Verteilung Ovalität]],2,FALSE)</f>
        <v>#N/A</v>
      </c>
    </row>
    <row r="3668" spans="5:28" x14ac:dyDescent="0.35">
      <c r="E3668">
        <v>3659</v>
      </c>
      <c r="F3668" t="e">
        <f>INDEX(Stammdaten[D Mitte mit Rinde (mm)],MATCH(Tabelle8[[#This Row],[Rank]],Stammdaten[Rank Verteilung D Mitte mit Rinde],0))</f>
        <v>#N/A</v>
      </c>
      <c r="G3668" t="e">
        <f>VLOOKUP(Tabelle8[[#This Row],[Rank]],Stammdaten[[Rank Verteilung D Mitte mit Rinde]:[Verteilung D Mitte mit Rinde]],2,FALSE)</f>
        <v>#N/A</v>
      </c>
      <c r="L3668">
        <v>3659</v>
      </c>
      <c r="M3668" t="e">
        <f>INDEX(Stammdaten[Abholzigkeit (mm/lfm)],MATCH(Tabelle9[[#This Row],[Rank]],Stammdaten[Rank Verteilung Abholzigkeit],0))</f>
        <v>#N/A</v>
      </c>
      <c r="N3668" t="e">
        <f>VLOOKUP(Tabelle9[[#This Row],[Rank]],Stammdaten[[Rank Verteilung Abholzigkeit]:[Verteilung Abholzigkeit]],2,FALSE)</f>
        <v>#N/A</v>
      </c>
      <c r="S3668">
        <v>3659</v>
      </c>
      <c r="T3668" t="e">
        <f>INDEX(Stammdaten[Krümmung (mm/lfm)],MATCH(Tabelle10[[#This Row],[Rank]],Stammdaten[Rank Verteilung Krümmung],0))</f>
        <v>#N/A</v>
      </c>
      <c r="U3668" t="e">
        <f>VLOOKUP(Tabelle10[[#This Row],[Rank]],Stammdaten[[Rank Verteilung Krümmung]:[Verteilung Krümmung]],2,FALSE)</f>
        <v>#N/A</v>
      </c>
      <c r="Z3668">
        <v>3659</v>
      </c>
      <c r="AA3668" t="e">
        <f>INDEX(Stammdaten[Ovalität (']0,1'])],MATCH(Tabelle1014[[#This Row],[Rank]],Stammdaten[Rank Verteilung Ovalität],0))</f>
        <v>#N/A</v>
      </c>
      <c r="AB3668" t="e">
        <f>VLOOKUP(Tabelle1014[[#This Row],[Rank]],Stammdaten[[Rank Verteilung Ovalität]:[Verteilung Ovalität]],2,FALSE)</f>
        <v>#N/A</v>
      </c>
    </row>
    <row r="3669" spans="5:28" x14ac:dyDescent="0.35">
      <c r="E3669">
        <v>3660</v>
      </c>
      <c r="F3669" t="e">
        <f>INDEX(Stammdaten[D Mitte mit Rinde (mm)],MATCH(Tabelle8[[#This Row],[Rank]],Stammdaten[Rank Verteilung D Mitte mit Rinde],0))</f>
        <v>#N/A</v>
      </c>
      <c r="G3669" t="e">
        <f>VLOOKUP(Tabelle8[[#This Row],[Rank]],Stammdaten[[Rank Verteilung D Mitte mit Rinde]:[Verteilung D Mitte mit Rinde]],2,FALSE)</f>
        <v>#N/A</v>
      </c>
      <c r="L3669">
        <v>3660</v>
      </c>
      <c r="M3669" t="e">
        <f>INDEX(Stammdaten[Abholzigkeit (mm/lfm)],MATCH(Tabelle9[[#This Row],[Rank]],Stammdaten[Rank Verteilung Abholzigkeit],0))</f>
        <v>#N/A</v>
      </c>
      <c r="N3669" t="e">
        <f>VLOOKUP(Tabelle9[[#This Row],[Rank]],Stammdaten[[Rank Verteilung Abholzigkeit]:[Verteilung Abholzigkeit]],2,FALSE)</f>
        <v>#N/A</v>
      </c>
      <c r="S3669">
        <v>3660</v>
      </c>
      <c r="T3669" t="e">
        <f>INDEX(Stammdaten[Krümmung (mm/lfm)],MATCH(Tabelle10[[#This Row],[Rank]],Stammdaten[Rank Verteilung Krümmung],0))</f>
        <v>#N/A</v>
      </c>
      <c r="U3669" t="e">
        <f>VLOOKUP(Tabelle10[[#This Row],[Rank]],Stammdaten[[Rank Verteilung Krümmung]:[Verteilung Krümmung]],2,FALSE)</f>
        <v>#N/A</v>
      </c>
      <c r="Z3669">
        <v>3660</v>
      </c>
      <c r="AA3669" t="e">
        <f>INDEX(Stammdaten[Ovalität (']0,1'])],MATCH(Tabelle1014[[#This Row],[Rank]],Stammdaten[Rank Verteilung Ovalität],0))</f>
        <v>#N/A</v>
      </c>
      <c r="AB3669" t="e">
        <f>VLOOKUP(Tabelle1014[[#This Row],[Rank]],Stammdaten[[Rank Verteilung Ovalität]:[Verteilung Ovalität]],2,FALSE)</f>
        <v>#N/A</v>
      </c>
    </row>
    <row r="3670" spans="5:28" x14ac:dyDescent="0.35">
      <c r="E3670">
        <v>3661</v>
      </c>
      <c r="F3670" t="e">
        <f>INDEX(Stammdaten[D Mitte mit Rinde (mm)],MATCH(Tabelle8[[#This Row],[Rank]],Stammdaten[Rank Verteilung D Mitte mit Rinde],0))</f>
        <v>#N/A</v>
      </c>
      <c r="G3670" t="e">
        <f>VLOOKUP(Tabelle8[[#This Row],[Rank]],Stammdaten[[Rank Verteilung D Mitte mit Rinde]:[Verteilung D Mitte mit Rinde]],2,FALSE)</f>
        <v>#N/A</v>
      </c>
      <c r="L3670">
        <v>3661</v>
      </c>
      <c r="M3670" t="e">
        <f>INDEX(Stammdaten[Abholzigkeit (mm/lfm)],MATCH(Tabelle9[[#This Row],[Rank]],Stammdaten[Rank Verteilung Abholzigkeit],0))</f>
        <v>#N/A</v>
      </c>
      <c r="N3670" t="e">
        <f>VLOOKUP(Tabelle9[[#This Row],[Rank]],Stammdaten[[Rank Verteilung Abholzigkeit]:[Verteilung Abholzigkeit]],2,FALSE)</f>
        <v>#N/A</v>
      </c>
      <c r="S3670">
        <v>3661</v>
      </c>
      <c r="T3670" t="e">
        <f>INDEX(Stammdaten[Krümmung (mm/lfm)],MATCH(Tabelle10[[#This Row],[Rank]],Stammdaten[Rank Verteilung Krümmung],0))</f>
        <v>#N/A</v>
      </c>
      <c r="U3670" t="e">
        <f>VLOOKUP(Tabelle10[[#This Row],[Rank]],Stammdaten[[Rank Verteilung Krümmung]:[Verteilung Krümmung]],2,FALSE)</f>
        <v>#N/A</v>
      </c>
      <c r="Z3670">
        <v>3661</v>
      </c>
      <c r="AA3670" t="e">
        <f>INDEX(Stammdaten[Ovalität (']0,1'])],MATCH(Tabelle1014[[#This Row],[Rank]],Stammdaten[Rank Verteilung Ovalität],0))</f>
        <v>#N/A</v>
      </c>
      <c r="AB3670" t="e">
        <f>VLOOKUP(Tabelle1014[[#This Row],[Rank]],Stammdaten[[Rank Verteilung Ovalität]:[Verteilung Ovalität]],2,FALSE)</f>
        <v>#N/A</v>
      </c>
    </row>
    <row r="3671" spans="5:28" x14ac:dyDescent="0.35">
      <c r="E3671">
        <v>3662</v>
      </c>
      <c r="F3671" t="e">
        <f>INDEX(Stammdaten[D Mitte mit Rinde (mm)],MATCH(Tabelle8[[#This Row],[Rank]],Stammdaten[Rank Verteilung D Mitte mit Rinde],0))</f>
        <v>#N/A</v>
      </c>
      <c r="G3671" t="e">
        <f>VLOOKUP(Tabelle8[[#This Row],[Rank]],Stammdaten[[Rank Verteilung D Mitte mit Rinde]:[Verteilung D Mitte mit Rinde]],2,FALSE)</f>
        <v>#N/A</v>
      </c>
      <c r="L3671">
        <v>3662</v>
      </c>
      <c r="M3671" t="e">
        <f>INDEX(Stammdaten[Abholzigkeit (mm/lfm)],MATCH(Tabelle9[[#This Row],[Rank]],Stammdaten[Rank Verteilung Abholzigkeit],0))</f>
        <v>#N/A</v>
      </c>
      <c r="N3671" t="e">
        <f>VLOOKUP(Tabelle9[[#This Row],[Rank]],Stammdaten[[Rank Verteilung Abholzigkeit]:[Verteilung Abholzigkeit]],2,FALSE)</f>
        <v>#N/A</v>
      </c>
      <c r="S3671">
        <v>3662</v>
      </c>
      <c r="T3671" t="e">
        <f>INDEX(Stammdaten[Krümmung (mm/lfm)],MATCH(Tabelle10[[#This Row],[Rank]],Stammdaten[Rank Verteilung Krümmung],0))</f>
        <v>#N/A</v>
      </c>
      <c r="U3671" t="e">
        <f>VLOOKUP(Tabelle10[[#This Row],[Rank]],Stammdaten[[Rank Verteilung Krümmung]:[Verteilung Krümmung]],2,FALSE)</f>
        <v>#N/A</v>
      </c>
      <c r="Z3671">
        <v>3662</v>
      </c>
      <c r="AA3671" t="e">
        <f>INDEX(Stammdaten[Ovalität (']0,1'])],MATCH(Tabelle1014[[#This Row],[Rank]],Stammdaten[Rank Verteilung Ovalität],0))</f>
        <v>#N/A</v>
      </c>
      <c r="AB3671" t="e">
        <f>VLOOKUP(Tabelle1014[[#This Row],[Rank]],Stammdaten[[Rank Verteilung Ovalität]:[Verteilung Ovalität]],2,FALSE)</f>
        <v>#N/A</v>
      </c>
    </row>
    <row r="3672" spans="5:28" x14ac:dyDescent="0.35">
      <c r="E3672">
        <v>3663</v>
      </c>
      <c r="F3672" t="e">
        <f>INDEX(Stammdaten[D Mitte mit Rinde (mm)],MATCH(Tabelle8[[#This Row],[Rank]],Stammdaten[Rank Verteilung D Mitte mit Rinde],0))</f>
        <v>#N/A</v>
      </c>
      <c r="G3672" t="e">
        <f>VLOOKUP(Tabelle8[[#This Row],[Rank]],Stammdaten[[Rank Verteilung D Mitte mit Rinde]:[Verteilung D Mitte mit Rinde]],2,FALSE)</f>
        <v>#N/A</v>
      </c>
      <c r="L3672">
        <v>3663</v>
      </c>
      <c r="M3672" t="e">
        <f>INDEX(Stammdaten[Abholzigkeit (mm/lfm)],MATCH(Tabelle9[[#This Row],[Rank]],Stammdaten[Rank Verteilung Abholzigkeit],0))</f>
        <v>#N/A</v>
      </c>
      <c r="N3672" t="e">
        <f>VLOOKUP(Tabelle9[[#This Row],[Rank]],Stammdaten[[Rank Verteilung Abholzigkeit]:[Verteilung Abholzigkeit]],2,FALSE)</f>
        <v>#N/A</v>
      </c>
      <c r="S3672">
        <v>3663</v>
      </c>
      <c r="T3672" t="e">
        <f>INDEX(Stammdaten[Krümmung (mm/lfm)],MATCH(Tabelle10[[#This Row],[Rank]],Stammdaten[Rank Verteilung Krümmung],0))</f>
        <v>#N/A</v>
      </c>
      <c r="U3672" t="e">
        <f>VLOOKUP(Tabelle10[[#This Row],[Rank]],Stammdaten[[Rank Verteilung Krümmung]:[Verteilung Krümmung]],2,FALSE)</f>
        <v>#N/A</v>
      </c>
      <c r="Z3672">
        <v>3663</v>
      </c>
      <c r="AA3672" t="e">
        <f>INDEX(Stammdaten[Ovalität (']0,1'])],MATCH(Tabelle1014[[#This Row],[Rank]],Stammdaten[Rank Verteilung Ovalität],0))</f>
        <v>#N/A</v>
      </c>
      <c r="AB3672" t="e">
        <f>VLOOKUP(Tabelle1014[[#This Row],[Rank]],Stammdaten[[Rank Verteilung Ovalität]:[Verteilung Ovalität]],2,FALSE)</f>
        <v>#N/A</v>
      </c>
    </row>
    <row r="3673" spans="5:28" x14ac:dyDescent="0.35">
      <c r="E3673">
        <v>3664</v>
      </c>
      <c r="F3673" t="e">
        <f>INDEX(Stammdaten[D Mitte mit Rinde (mm)],MATCH(Tabelle8[[#This Row],[Rank]],Stammdaten[Rank Verteilung D Mitte mit Rinde],0))</f>
        <v>#N/A</v>
      </c>
      <c r="G3673" t="e">
        <f>VLOOKUP(Tabelle8[[#This Row],[Rank]],Stammdaten[[Rank Verteilung D Mitte mit Rinde]:[Verteilung D Mitte mit Rinde]],2,FALSE)</f>
        <v>#N/A</v>
      </c>
      <c r="L3673">
        <v>3664</v>
      </c>
      <c r="M3673" t="e">
        <f>INDEX(Stammdaten[Abholzigkeit (mm/lfm)],MATCH(Tabelle9[[#This Row],[Rank]],Stammdaten[Rank Verteilung Abholzigkeit],0))</f>
        <v>#N/A</v>
      </c>
      <c r="N3673" t="e">
        <f>VLOOKUP(Tabelle9[[#This Row],[Rank]],Stammdaten[[Rank Verteilung Abholzigkeit]:[Verteilung Abholzigkeit]],2,FALSE)</f>
        <v>#N/A</v>
      </c>
      <c r="S3673">
        <v>3664</v>
      </c>
      <c r="T3673" t="e">
        <f>INDEX(Stammdaten[Krümmung (mm/lfm)],MATCH(Tabelle10[[#This Row],[Rank]],Stammdaten[Rank Verteilung Krümmung],0))</f>
        <v>#N/A</v>
      </c>
      <c r="U3673" t="e">
        <f>VLOOKUP(Tabelle10[[#This Row],[Rank]],Stammdaten[[Rank Verteilung Krümmung]:[Verteilung Krümmung]],2,FALSE)</f>
        <v>#N/A</v>
      </c>
      <c r="Z3673">
        <v>3664</v>
      </c>
      <c r="AA3673" t="e">
        <f>INDEX(Stammdaten[Ovalität (']0,1'])],MATCH(Tabelle1014[[#This Row],[Rank]],Stammdaten[Rank Verteilung Ovalität],0))</f>
        <v>#N/A</v>
      </c>
      <c r="AB3673" t="e">
        <f>VLOOKUP(Tabelle1014[[#This Row],[Rank]],Stammdaten[[Rank Verteilung Ovalität]:[Verteilung Ovalität]],2,FALSE)</f>
        <v>#N/A</v>
      </c>
    </row>
    <row r="3674" spans="5:28" x14ac:dyDescent="0.35">
      <c r="E3674">
        <v>3665</v>
      </c>
      <c r="F3674" t="e">
        <f>INDEX(Stammdaten[D Mitte mit Rinde (mm)],MATCH(Tabelle8[[#This Row],[Rank]],Stammdaten[Rank Verteilung D Mitte mit Rinde],0))</f>
        <v>#N/A</v>
      </c>
      <c r="G3674" t="e">
        <f>VLOOKUP(Tabelle8[[#This Row],[Rank]],Stammdaten[[Rank Verteilung D Mitte mit Rinde]:[Verteilung D Mitte mit Rinde]],2,FALSE)</f>
        <v>#N/A</v>
      </c>
      <c r="L3674">
        <v>3665</v>
      </c>
      <c r="M3674" t="e">
        <f>INDEX(Stammdaten[Abholzigkeit (mm/lfm)],MATCH(Tabelle9[[#This Row],[Rank]],Stammdaten[Rank Verteilung Abholzigkeit],0))</f>
        <v>#N/A</v>
      </c>
      <c r="N3674" t="e">
        <f>VLOOKUP(Tabelle9[[#This Row],[Rank]],Stammdaten[[Rank Verteilung Abholzigkeit]:[Verteilung Abholzigkeit]],2,FALSE)</f>
        <v>#N/A</v>
      </c>
      <c r="S3674">
        <v>3665</v>
      </c>
      <c r="T3674" t="e">
        <f>INDEX(Stammdaten[Krümmung (mm/lfm)],MATCH(Tabelle10[[#This Row],[Rank]],Stammdaten[Rank Verteilung Krümmung],0))</f>
        <v>#N/A</v>
      </c>
      <c r="U3674" t="e">
        <f>VLOOKUP(Tabelle10[[#This Row],[Rank]],Stammdaten[[Rank Verteilung Krümmung]:[Verteilung Krümmung]],2,FALSE)</f>
        <v>#N/A</v>
      </c>
      <c r="Z3674">
        <v>3665</v>
      </c>
      <c r="AA3674" t="e">
        <f>INDEX(Stammdaten[Ovalität (']0,1'])],MATCH(Tabelle1014[[#This Row],[Rank]],Stammdaten[Rank Verteilung Ovalität],0))</f>
        <v>#N/A</v>
      </c>
      <c r="AB3674" t="e">
        <f>VLOOKUP(Tabelle1014[[#This Row],[Rank]],Stammdaten[[Rank Verteilung Ovalität]:[Verteilung Ovalität]],2,FALSE)</f>
        <v>#N/A</v>
      </c>
    </row>
    <row r="3675" spans="5:28" x14ac:dyDescent="0.35">
      <c r="E3675">
        <v>3666</v>
      </c>
      <c r="F3675" t="e">
        <f>INDEX(Stammdaten[D Mitte mit Rinde (mm)],MATCH(Tabelle8[[#This Row],[Rank]],Stammdaten[Rank Verteilung D Mitte mit Rinde],0))</f>
        <v>#N/A</v>
      </c>
      <c r="G3675" t="e">
        <f>VLOOKUP(Tabelle8[[#This Row],[Rank]],Stammdaten[[Rank Verteilung D Mitte mit Rinde]:[Verteilung D Mitte mit Rinde]],2,FALSE)</f>
        <v>#N/A</v>
      </c>
      <c r="L3675">
        <v>3666</v>
      </c>
      <c r="M3675" t="e">
        <f>INDEX(Stammdaten[Abholzigkeit (mm/lfm)],MATCH(Tabelle9[[#This Row],[Rank]],Stammdaten[Rank Verteilung Abholzigkeit],0))</f>
        <v>#N/A</v>
      </c>
      <c r="N3675" t="e">
        <f>VLOOKUP(Tabelle9[[#This Row],[Rank]],Stammdaten[[Rank Verteilung Abholzigkeit]:[Verteilung Abholzigkeit]],2,FALSE)</f>
        <v>#N/A</v>
      </c>
      <c r="S3675">
        <v>3666</v>
      </c>
      <c r="T3675" t="e">
        <f>INDEX(Stammdaten[Krümmung (mm/lfm)],MATCH(Tabelle10[[#This Row],[Rank]],Stammdaten[Rank Verteilung Krümmung],0))</f>
        <v>#N/A</v>
      </c>
      <c r="U3675" t="e">
        <f>VLOOKUP(Tabelle10[[#This Row],[Rank]],Stammdaten[[Rank Verteilung Krümmung]:[Verteilung Krümmung]],2,FALSE)</f>
        <v>#N/A</v>
      </c>
      <c r="Z3675">
        <v>3666</v>
      </c>
      <c r="AA3675" t="e">
        <f>INDEX(Stammdaten[Ovalität (']0,1'])],MATCH(Tabelle1014[[#This Row],[Rank]],Stammdaten[Rank Verteilung Ovalität],0))</f>
        <v>#N/A</v>
      </c>
      <c r="AB3675" t="e">
        <f>VLOOKUP(Tabelle1014[[#This Row],[Rank]],Stammdaten[[Rank Verteilung Ovalität]:[Verteilung Ovalität]],2,FALSE)</f>
        <v>#N/A</v>
      </c>
    </row>
    <row r="3676" spans="5:28" x14ac:dyDescent="0.35">
      <c r="E3676">
        <v>3667</v>
      </c>
      <c r="F3676" t="e">
        <f>INDEX(Stammdaten[D Mitte mit Rinde (mm)],MATCH(Tabelle8[[#This Row],[Rank]],Stammdaten[Rank Verteilung D Mitte mit Rinde],0))</f>
        <v>#N/A</v>
      </c>
      <c r="G3676" t="e">
        <f>VLOOKUP(Tabelle8[[#This Row],[Rank]],Stammdaten[[Rank Verteilung D Mitte mit Rinde]:[Verteilung D Mitte mit Rinde]],2,FALSE)</f>
        <v>#N/A</v>
      </c>
      <c r="L3676">
        <v>3667</v>
      </c>
      <c r="M3676" t="e">
        <f>INDEX(Stammdaten[Abholzigkeit (mm/lfm)],MATCH(Tabelle9[[#This Row],[Rank]],Stammdaten[Rank Verteilung Abholzigkeit],0))</f>
        <v>#N/A</v>
      </c>
      <c r="N3676" t="e">
        <f>VLOOKUP(Tabelle9[[#This Row],[Rank]],Stammdaten[[Rank Verteilung Abholzigkeit]:[Verteilung Abholzigkeit]],2,FALSE)</f>
        <v>#N/A</v>
      </c>
      <c r="S3676">
        <v>3667</v>
      </c>
      <c r="T3676" t="e">
        <f>INDEX(Stammdaten[Krümmung (mm/lfm)],MATCH(Tabelle10[[#This Row],[Rank]],Stammdaten[Rank Verteilung Krümmung],0))</f>
        <v>#N/A</v>
      </c>
      <c r="U3676" t="e">
        <f>VLOOKUP(Tabelle10[[#This Row],[Rank]],Stammdaten[[Rank Verteilung Krümmung]:[Verteilung Krümmung]],2,FALSE)</f>
        <v>#N/A</v>
      </c>
      <c r="Z3676">
        <v>3667</v>
      </c>
      <c r="AA3676" t="e">
        <f>INDEX(Stammdaten[Ovalität (']0,1'])],MATCH(Tabelle1014[[#This Row],[Rank]],Stammdaten[Rank Verteilung Ovalität],0))</f>
        <v>#N/A</v>
      </c>
      <c r="AB3676" t="e">
        <f>VLOOKUP(Tabelle1014[[#This Row],[Rank]],Stammdaten[[Rank Verteilung Ovalität]:[Verteilung Ovalität]],2,FALSE)</f>
        <v>#N/A</v>
      </c>
    </row>
    <row r="3677" spans="5:28" x14ac:dyDescent="0.35">
      <c r="E3677">
        <v>3668</v>
      </c>
      <c r="F3677" t="e">
        <f>INDEX(Stammdaten[D Mitte mit Rinde (mm)],MATCH(Tabelle8[[#This Row],[Rank]],Stammdaten[Rank Verteilung D Mitte mit Rinde],0))</f>
        <v>#N/A</v>
      </c>
      <c r="G3677" t="e">
        <f>VLOOKUP(Tabelle8[[#This Row],[Rank]],Stammdaten[[Rank Verteilung D Mitte mit Rinde]:[Verteilung D Mitte mit Rinde]],2,FALSE)</f>
        <v>#N/A</v>
      </c>
      <c r="L3677">
        <v>3668</v>
      </c>
      <c r="M3677" t="e">
        <f>INDEX(Stammdaten[Abholzigkeit (mm/lfm)],MATCH(Tabelle9[[#This Row],[Rank]],Stammdaten[Rank Verteilung Abholzigkeit],0))</f>
        <v>#N/A</v>
      </c>
      <c r="N3677" t="e">
        <f>VLOOKUP(Tabelle9[[#This Row],[Rank]],Stammdaten[[Rank Verteilung Abholzigkeit]:[Verteilung Abholzigkeit]],2,FALSE)</f>
        <v>#N/A</v>
      </c>
      <c r="S3677">
        <v>3668</v>
      </c>
      <c r="T3677" t="e">
        <f>INDEX(Stammdaten[Krümmung (mm/lfm)],MATCH(Tabelle10[[#This Row],[Rank]],Stammdaten[Rank Verteilung Krümmung],0))</f>
        <v>#N/A</v>
      </c>
      <c r="U3677" t="e">
        <f>VLOOKUP(Tabelle10[[#This Row],[Rank]],Stammdaten[[Rank Verteilung Krümmung]:[Verteilung Krümmung]],2,FALSE)</f>
        <v>#N/A</v>
      </c>
      <c r="Z3677">
        <v>3668</v>
      </c>
      <c r="AA3677" t="e">
        <f>INDEX(Stammdaten[Ovalität (']0,1'])],MATCH(Tabelle1014[[#This Row],[Rank]],Stammdaten[Rank Verteilung Ovalität],0))</f>
        <v>#N/A</v>
      </c>
      <c r="AB3677" t="e">
        <f>VLOOKUP(Tabelle1014[[#This Row],[Rank]],Stammdaten[[Rank Verteilung Ovalität]:[Verteilung Ovalität]],2,FALSE)</f>
        <v>#N/A</v>
      </c>
    </row>
    <row r="3678" spans="5:28" x14ac:dyDescent="0.35">
      <c r="E3678">
        <v>3669</v>
      </c>
      <c r="F3678" t="e">
        <f>INDEX(Stammdaten[D Mitte mit Rinde (mm)],MATCH(Tabelle8[[#This Row],[Rank]],Stammdaten[Rank Verteilung D Mitte mit Rinde],0))</f>
        <v>#N/A</v>
      </c>
      <c r="G3678" t="e">
        <f>VLOOKUP(Tabelle8[[#This Row],[Rank]],Stammdaten[[Rank Verteilung D Mitte mit Rinde]:[Verteilung D Mitte mit Rinde]],2,FALSE)</f>
        <v>#N/A</v>
      </c>
      <c r="L3678">
        <v>3669</v>
      </c>
      <c r="M3678" t="e">
        <f>INDEX(Stammdaten[Abholzigkeit (mm/lfm)],MATCH(Tabelle9[[#This Row],[Rank]],Stammdaten[Rank Verteilung Abholzigkeit],0))</f>
        <v>#N/A</v>
      </c>
      <c r="N3678" t="e">
        <f>VLOOKUP(Tabelle9[[#This Row],[Rank]],Stammdaten[[Rank Verteilung Abholzigkeit]:[Verteilung Abholzigkeit]],2,FALSE)</f>
        <v>#N/A</v>
      </c>
      <c r="S3678">
        <v>3669</v>
      </c>
      <c r="T3678" t="e">
        <f>INDEX(Stammdaten[Krümmung (mm/lfm)],MATCH(Tabelle10[[#This Row],[Rank]],Stammdaten[Rank Verteilung Krümmung],0))</f>
        <v>#N/A</v>
      </c>
      <c r="U3678" t="e">
        <f>VLOOKUP(Tabelle10[[#This Row],[Rank]],Stammdaten[[Rank Verteilung Krümmung]:[Verteilung Krümmung]],2,FALSE)</f>
        <v>#N/A</v>
      </c>
      <c r="Z3678">
        <v>3669</v>
      </c>
      <c r="AA3678" t="e">
        <f>INDEX(Stammdaten[Ovalität (']0,1'])],MATCH(Tabelle1014[[#This Row],[Rank]],Stammdaten[Rank Verteilung Ovalität],0))</f>
        <v>#N/A</v>
      </c>
      <c r="AB3678" t="e">
        <f>VLOOKUP(Tabelle1014[[#This Row],[Rank]],Stammdaten[[Rank Verteilung Ovalität]:[Verteilung Ovalität]],2,FALSE)</f>
        <v>#N/A</v>
      </c>
    </row>
    <row r="3679" spans="5:28" x14ac:dyDescent="0.35">
      <c r="E3679">
        <v>3670</v>
      </c>
      <c r="F3679" t="e">
        <f>INDEX(Stammdaten[D Mitte mit Rinde (mm)],MATCH(Tabelle8[[#This Row],[Rank]],Stammdaten[Rank Verteilung D Mitte mit Rinde],0))</f>
        <v>#N/A</v>
      </c>
      <c r="G3679" t="e">
        <f>VLOOKUP(Tabelle8[[#This Row],[Rank]],Stammdaten[[Rank Verteilung D Mitte mit Rinde]:[Verteilung D Mitte mit Rinde]],2,FALSE)</f>
        <v>#N/A</v>
      </c>
      <c r="L3679">
        <v>3670</v>
      </c>
      <c r="M3679" t="e">
        <f>INDEX(Stammdaten[Abholzigkeit (mm/lfm)],MATCH(Tabelle9[[#This Row],[Rank]],Stammdaten[Rank Verteilung Abholzigkeit],0))</f>
        <v>#N/A</v>
      </c>
      <c r="N3679" t="e">
        <f>VLOOKUP(Tabelle9[[#This Row],[Rank]],Stammdaten[[Rank Verteilung Abholzigkeit]:[Verteilung Abholzigkeit]],2,FALSE)</f>
        <v>#N/A</v>
      </c>
      <c r="S3679">
        <v>3670</v>
      </c>
      <c r="T3679" t="e">
        <f>INDEX(Stammdaten[Krümmung (mm/lfm)],MATCH(Tabelle10[[#This Row],[Rank]],Stammdaten[Rank Verteilung Krümmung],0))</f>
        <v>#N/A</v>
      </c>
      <c r="U3679" t="e">
        <f>VLOOKUP(Tabelle10[[#This Row],[Rank]],Stammdaten[[Rank Verteilung Krümmung]:[Verteilung Krümmung]],2,FALSE)</f>
        <v>#N/A</v>
      </c>
      <c r="Z3679">
        <v>3670</v>
      </c>
      <c r="AA3679" t="e">
        <f>INDEX(Stammdaten[Ovalität (']0,1'])],MATCH(Tabelle1014[[#This Row],[Rank]],Stammdaten[Rank Verteilung Ovalität],0))</f>
        <v>#N/A</v>
      </c>
      <c r="AB3679" t="e">
        <f>VLOOKUP(Tabelle1014[[#This Row],[Rank]],Stammdaten[[Rank Verteilung Ovalität]:[Verteilung Ovalität]],2,FALSE)</f>
        <v>#N/A</v>
      </c>
    </row>
    <row r="3680" spans="5:28" x14ac:dyDescent="0.35">
      <c r="E3680">
        <v>3671</v>
      </c>
      <c r="F3680" t="e">
        <f>INDEX(Stammdaten[D Mitte mit Rinde (mm)],MATCH(Tabelle8[[#This Row],[Rank]],Stammdaten[Rank Verteilung D Mitte mit Rinde],0))</f>
        <v>#N/A</v>
      </c>
      <c r="G3680" t="e">
        <f>VLOOKUP(Tabelle8[[#This Row],[Rank]],Stammdaten[[Rank Verteilung D Mitte mit Rinde]:[Verteilung D Mitte mit Rinde]],2,FALSE)</f>
        <v>#N/A</v>
      </c>
      <c r="L3680">
        <v>3671</v>
      </c>
      <c r="M3680" t="e">
        <f>INDEX(Stammdaten[Abholzigkeit (mm/lfm)],MATCH(Tabelle9[[#This Row],[Rank]],Stammdaten[Rank Verteilung Abholzigkeit],0))</f>
        <v>#N/A</v>
      </c>
      <c r="N3680" t="e">
        <f>VLOOKUP(Tabelle9[[#This Row],[Rank]],Stammdaten[[Rank Verteilung Abholzigkeit]:[Verteilung Abholzigkeit]],2,FALSE)</f>
        <v>#N/A</v>
      </c>
      <c r="S3680">
        <v>3671</v>
      </c>
      <c r="T3680" t="e">
        <f>INDEX(Stammdaten[Krümmung (mm/lfm)],MATCH(Tabelle10[[#This Row],[Rank]],Stammdaten[Rank Verteilung Krümmung],0))</f>
        <v>#N/A</v>
      </c>
      <c r="U3680" t="e">
        <f>VLOOKUP(Tabelle10[[#This Row],[Rank]],Stammdaten[[Rank Verteilung Krümmung]:[Verteilung Krümmung]],2,FALSE)</f>
        <v>#N/A</v>
      </c>
      <c r="Z3680">
        <v>3671</v>
      </c>
      <c r="AA3680" t="e">
        <f>INDEX(Stammdaten[Ovalität (']0,1'])],MATCH(Tabelle1014[[#This Row],[Rank]],Stammdaten[Rank Verteilung Ovalität],0))</f>
        <v>#N/A</v>
      </c>
      <c r="AB3680" t="e">
        <f>VLOOKUP(Tabelle1014[[#This Row],[Rank]],Stammdaten[[Rank Verteilung Ovalität]:[Verteilung Ovalität]],2,FALSE)</f>
        <v>#N/A</v>
      </c>
    </row>
    <row r="3681" spans="5:28" x14ac:dyDescent="0.35">
      <c r="E3681">
        <v>3672</v>
      </c>
      <c r="F3681" t="e">
        <f>INDEX(Stammdaten[D Mitte mit Rinde (mm)],MATCH(Tabelle8[[#This Row],[Rank]],Stammdaten[Rank Verteilung D Mitte mit Rinde],0))</f>
        <v>#N/A</v>
      </c>
      <c r="G3681" t="e">
        <f>VLOOKUP(Tabelle8[[#This Row],[Rank]],Stammdaten[[Rank Verteilung D Mitte mit Rinde]:[Verteilung D Mitte mit Rinde]],2,FALSE)</f>
        <v>#N/A</v>
      </c>
      <c r="L3681">
        <v>3672</v>
      </c>
      <c r="M3681" t="e">
        <f>INDEX(Stammdaten[Abholzigkeit (mm/lfm)],MATCH(Tabelle9[[#This Row],[Rank]],Stammdaten[Rank Verteilung Abholzigkeit],0))</f>
        <v>#N/A</v>
      </c>
      <c r="N3681" t="e">
        <f>VLOOKUP(Tabelle9[[#This Row],[Rank]],Stammdaten[[Rank Verteilung Abholzigkeit]:[Verteilung Abholzigkeit]],2,FALSE)</f>
        <v>#N/A</v>
      </c>
      <c r="S3681">
        <v>3672</v>
      </c>
      <c r="T3681" t="e">
        <f>INDEX(Stammdaten[Krümmung (mm/lfm)],MATCH(Tabelle10[[#This Row],[Rank]],Stammdaten[Rank Verteilung Krümmung],0))</f>
        <v>#N/A</v>
      </c>
      <c r="U3681" t="e">
        <f>VLOOKUP(Tabelle10[[#This Row],[Rank]],Stammdaten[[Rank Verteilung Krümmung]:[Verteilung Krümmung]],2,FALSE)</f>
        <v>#N/A</v>
      </c>
      <c r="Z3681">
        <v>3672</v>
      </c>
      <c r="AA3681" t="e">
        <f>INDEX(Stammdaten[Ovalität (']0,1'])],MATCH(Tabelle1014[[#This Row],[Rank]],Stammdaten[Rank Verteilung Ovalität],0))</f>
        <v>#N/A</v>
      </c>
      <c r="AB3681" t="e">
        <f>VLOOKUP(Tabelle1014[[#This Row],[Rank]],Stammdaten[[Rank Verteilung Ovalität]:[Verteilung Ovalität]],2,FALSE)</f>
        <v>#N/A</v>
      </c>
    </row>
    <row r="3682" spans="5:28" x14ac:dyDescent="0.35">
      <c r="E3682">
        <v>3673</v>
      </c>
      <c r="F3682" t="e">
        <f>INDEX(Stammdaten[D Mitte mit Rinde (mm)],MATCH(Tabelle8[[#This Row],[Rank]],Stammdaten[Rank Verteilung D Mitte mit Rinde],0))</f>
        <v>#N/A</v>
      </c>
      <c r="G3682" t="e">
        <f>VLOOKUP(Tabelle8[[#This Row],[Rank]],Stammdaten[[Rank Verteilung D Mitte mit Rinde]:[Verteilung D Mitte mit Rinde]],2,FALSE)</f>
        <v>#N/A</v>
      </c>
      <c r="L3682">
        <v>3673</v>
      </c>
      <c r="M3682" t="e">
        <f>INDEX(Stammdaten[Abholzigkeit (mm/lfm)],MATCH(Tabelle9[[#This Row],[Rank]],Stammdaten[Rank Verteilung Abholzigkeit],0))</f>
        <v>#N/A</v>
      </c>
      <c r="N3682" t="e">
        <f>VLOOKUP(Tabelle9[[#This Row],[Rank]],Stammdaten[[Rank Verteilung Abholzigkeit]:[Verteilung Abholzigkeit]],2,FALSE)</f>
        <v>#N/A</v>
      </c>
      <c r="S3682">
        <v>3673</v>
      </c>
      <c r="T3682" t="e">
        <f>INDEX(Stammdaten[Krümmung (mm/lfm)],MATCH(Tabelle10[[#This Row],[Rank]],Stammdaten[Rank Verteilung Krümmung],0))</f>
        <v>#N/A</v>
      </c>
      <c r="U3682" t="e">
        <f>VLOOKUP(Tabelle10[[#This Row],[Rank]],Stammdaten[[Rank Verteilung Krümmung]:[Verteilung Krümmung]],2,FALSE)</f>
        <v>#N/A</v>
      </c>
      <c r="Z3682">
        <v>3673</v>
      </c>
      <c r="AA3682" t="e">
        <f>INDEX(Stammdaten[Ovalität (']0,1'])],MATCH(Tabelle1014[[#This Row],[Rank]],Stammdaten[Rank Verteilung Ovalität],0))</f>
        <v>#N/A</v>
      </c>
      <c r="AB3682" t="e">
        <f>VLOOKUP(Tabelle1014[[#This Row],[Rank]],Stammdaten[[Rank Verteilung Ovalität]:[Verteilung Ovalität]],2,FALSE)</f>
        <v>#N/A</v>
      </c>
    </row>
    <row r="3683" spans="5:28" x14ac:dyDescent="0.35">
      <c r="E3683">
        <v>3674</v>
      </c>
      <c r="F3683" t="e">
        <f>INDEX(Stammdaten[D Mitte mit Rinde (mm)],MATCH(Tabelle8[[#This Row],[Rank]],Stammdaten[Rank Verteilung D Mitte mit Rinde],0))</f>
        <v>#N/A</v>
      </c>
      <c r="G3683" t="e">
        <f>VLOOKUP(Tabelle8[[#This Row],[Rank]],Stammdaten[[Rank Verteilung D Mitte mit Rinde]:[Verteilung D Mitte mit Rinde]],2,FALSE)</f>
        <v>#N/A</v>
      </c>
      <c r="L3683">
        <v>3674</v>
      </c>
      <c r="M3683" t="e">
        <f>INDEX(Stammdaten[Abholzigkeit (mm/lfm)],MATCH(Tabelle9[[#This Row],[Rank]],Stammdaten[Rank Verteilung Abholzigkeit],0))</f>
        <v>#N/A</v>
      </c>
      <c r="N3683" t="e">
        <f>VLOOKUP(Tabelle9[[#This Row],[Rank]],Stammdaten[[Rank Verteilung Abholzigkeit]:[Verteilung Abholzigkeit]],2,FALSE)</f>
        <v>#N/A</v>
      </c>
      <c r="S3683">
        <v>3674</v>
      </c>
      <c r="T3683" t="e">
        <f>INDEX(Stammdaten[Krümmung (mm/lfm)],MATCH(Tabelle10[[#This Row],[Rank]],Stammdaten[Rank Verteilung Krümmung],0))</f>
        <v>#N/A</v>
      </c>
      <c r="U3683" t="e">
        <f>VLOOKUP(Tabelle10[[#This Row],[Rank]],Stammdaten[[Rank Verteilung Krümmung]:[Verteilung Krümmung]],2,FALSE)</f>
        <v>#N/A</v>
      </c>
      <c r="Z3683">
        <v>3674</v>
      </c>
      <c r="AA3683" t="e">
        <f>INDEX(Stammdaten[Ovalität (']0,1'])],MATCH(Tabelle1014[[#This Row],[Rank]],Stammdaten[Rank Verteilung Ovalität],0))</f>
        <v>#N/A</v>
      </c>
      <c r="AB3683" t="e">
        <f>VLOOKUP(Tabelle1014[[#This Row],[Rank]],Stammdaten[[Rank Verteilung Ovalität]:[Verteilung Ovalität]],2,FALSE)</f>
        <v>#N/A</v>
      </c>
    </row>
    <row r="3684" spans="5:28" x14ac:dyDescent="0.35">
      <c r="E3684">
        <v>3675</v>
      </c>
      <c r="F3684" t="e">
        <f>INDEX(Stammdaten[D Mitte mit Rinde (mm)],MATCH(Tabelle8[[#This Row],[Rank]],Stammdaten[Rank Verteilung D Mitte mit Rinde],0))</f>
        <v>#N/A</v>
      </c>
      <c r="G3684" t="e">
        <f>VLOOKUP(Tabelle8[[#This Row],[Rank]],Stammdaten[[Rank Verteilung D Mitte mit Rinde]:[Verteilung D Mitte mit Rinde]],2,FALSE)</f>
        <v>#N/A</v>
      </c>
      <c r="L3684">
        <v>3675</v>
      </c>
      <c r="M3684" t="e">
        <f>INDEX(Stammdaten[Abholzigkeit (mm/lfm)],MATCH(Tabelle9[[#This Row],[Rank]],Stammdaten[Rank Verteilung Abholzigkeit],0))</f>
        <v>#N/A</v>
      </c>
      <c r="N3684" t="e">
        <f>VLOOKUP(Tabelle9[[#This Row],[Rank]],Stammdaten[[Rank Verteilung Abholzigkeit]:[Verteilung Abholzigkeit]],2,FALSE)</f>
        <v>#N/A</v>
      </c>
      <c r="S3684">
        <v>3675</v>
      </c>
      <c r="T3684" t="e">
        <f>INDEX(Stammdaten[Krümmung (mm/lfm)],MATCH(Tabelle10[[#This Row],[Rank]],Stammdaten[Rank Verteilung Krümmung],0))</f>
        <v>#N/A</v>
      </c>
      <c r="U3684" t="e">
        <f>VLOOKUP(Tabelle10[[#This Row],[Rank]],Stammdaten[[Rank Verteilung Krümmung]:[Verteilung Krümmung]],2,FALSE)</f>
        <v>#N/A</v>
      </c>
      <c r="Z3684">
        <v>3675</v>
      </c>
      <c r="AA3684" t="e">
        <f>INDEX(Stammdaten[Ovalität (']0,1'])],MATCH(Tabelle1014[[#This Row],[Rank]],Stammdaten[Rank Verteilung Ovalität],0))</f>
        <v>#N/A</v>
      </c>
      <c r="AB3684" t="e">
        <f>VLOOKUP(Tabelle1014[[#This Row],[Rank]],Stammdaten[[Rank Verteilung Ovalität]:[Verteilung Ovalität]],2,FALSE)</f>
        <v>#N/A</v>
      </c>
    </row>
    <row r="3685" spans="5:28" x14ac:dyDescent="0.35">
      <c r="E3685">
        <v>3676</v>
      </c>
      <c r="F3685" t="e">
        <f>INDEX(Stammdaten[D Mitte mit Rinde (mm)],MATCH(Tabelle8[[#This Row],[Rank]],Stammdaten[Rank Verteilung D Mitte mit Rinde],0))</f>
        <v>#N/A</v>
      </c>
      <c r="G3685" t="e">
        <f>VLOOKUP(Tabelle8[[#This Row],[Rank]],Stammdaten[[Rank Verteilung D Mitte mit Rinde]:[Verteilung D Mitte mit Rinde]],2,FALSE)</f>
        <v>#N/A</v>
      </c>
      <c r="L3685">
        <v>3676</v>
      </c>
      <c r="M3685" t="e">
        <f>INDEX(Stammdaten[Abholzigkeit (mm/lfm)],MATCH(Tabelle9[[#This Row],[Rank]],Stammdaten[Rank Verteilung Abholzigkeit],0))</f>
        <v>#N/A</v>
      </c>
      <c r="N3685" t="e">
        <f>VLOOKUP(Tabelle9[[#This Row],[Rank]],Stammdaten[[Rank Verteilung Abholzigkeit]:[Verteilung Abholzigkeit]],2,FALSE)</f>
        <v>#N/A</v>
      </c>
      <c r="S3685">
        <v>3676</v>
      </c>
      <c r="T3685" t="e">
        <f>INDEX(Stammdaten[Krümmung (mm/lfm)],MATCH(Tabelle10[[#This Row],[Rank]],Stammdaten[Rank Verteilung Krümmung],0))</f>
        <v>#N/A</v>
      </c>
      <c r="U3685" t="e">
        <f>VLOOKUP(Tabelle10[[#This Row],[Rank]],Stammdaten[[Rank Verteilung Krümmung]:[Verteilung Krümmung]],2,FALSE)</f>
        <v>#N/A</v>
      </c>
      <c r="Z3685">
        <v>3676</v>
      </c>
      <c r="AA3685" t="e">
        <f>INDEX(Stammdaten[Ovalität (']0,1'])],MATCH(Tabelle1014[[#This Row],[Rank]],Stammdaten[Rank Verteilung Ovalität],0))</f>
        <v>#N/A</v>
      </c>
      <c r="AB3685" t="e">
        <f>VLOOKUP(Tabelle1014[[#This Row],[Rank]],Stammdaten[[Rank Verteilung Ovalität]:[Verteilung Ovalität]],2,FALSE)</f>
        <v>#N/A</v>
      </c>
    </row>
    <row r="3686" spans="5:28" x14ac:dyDescent="0.35">
      <c r="E3686">
        <v>3677</v>
      </c>
      <c r="F3686" t="e">
        <f>INDEX(Stammdaten[D Mitte mit Rinde (mm)],MATCH(Tabelle8[[#This Row],[Rank]],Stammdaten[Rank Verteilung D Mitte mit Rinde],0))</f>
        <v>#N/A</v>
      </c>
      <c r="G3686" t="e">
        <f>VLOOKUP(Tabelle8[[#This Row],[Rank]],Stammdaten[[Rank Verteilung D Mitte mit Rinde]:[Verteilung D Mitte mit Rinde]],2,FALSE)</f>
        <v>#N/A</v>
      </c>
      <c r="L3686">
        <v>3677</v>
      </c>
      <c r="M3686" t="e">
        <f>INDEX(Stammdaten[Abholzigkeit (mm/lfm)],MATCH(Tabelle9[[#This Row],[Rank]],Stammdaten[Rank Verteilung Abholzigkeit],0))</f>
        <v>#N/A</v>
      </c>
      <c r="N3686" t="e">
        <f>VLOOKUP(Tabelle9[[#This Row],[Rank]],Stammdaten[[Rank Verteilung Abholzigkeit]:[Verteilung Abholzigkeit]],2,FALSE)</f>
        <v>#N/A</v>
      </c>
      <c r="S3686">
        <v>3677</v>
      </c>
      <c r="T3686" t="e">
        <f>INDEX(Stammdaten[Krümmung (mm/lfm)],MATCH(Tabelle10[[#This Row],[Rank]],Stammdaten[Rank Verteilung Krümmung],0))</f>
        <v>#N/A</v>
      </c>
      <c r="U3686" t="e">
        <f>VLOOKUP(Tabelle10[[#This Row],[Rank]],Stammdaten[[Rank Verteilung Krümmung]:[Verteilung Krümmung]],2,FALSE)</f>
        <v>#N/A</v>
      </c>
      <c r="Z3686">
        <v>3677</v>
      </c>
      <c r="AA3686" t="e">
        <f>INDEX(Stammdaten[Ovalität (']0,1'])],MATCH(Tabelle1014[[#This Row],[Rank]],Stammdaten[Rank Verteilung Ovalität],0))</f>
        <v>#N/A</v>
      </c>
      <c r="AB3686" t="e">
        <f>VLOOKUP(Tabelle1014[[#This Row],[Rank]],Stammdaten[[Rank Verteilung Ovalität]:[Verteilung Ovalität]],2,FALSE)</f>
        <v>#N/A</v>
      </c>
    </row>
    <row r="3687" spans="5:28" x14ac:dyDescent="0.35">
      <c r="E3687">
        <v>3678</v>
      </c>
      <c r="F3687" t="e">
        <f>INDEX(Stammdaten[D Mitte mit Rinde (mm)],MATCH(Tabelle8[[#This Row],[Rank]],Stammdaten[Rank Verteilung D Mitte mit Rinde],0))</f>
        <v>#N/A</v>
      </c>
      <c r="G3687" t="e">
        <f>VLOOKUP(Tabelle8[[#This Row],[Rank]],Stammdaten[[Rank Verteilung D Mitte mit Rinde]:[Verteilung D Mitte mit Rinde]],2,FALSE)</f>
        <v>#N/A</v>
      </c>
      <c r="L3687">
        <v>3678</v>
      </c>
      <c r="M3687" t="e">
        <f>INDEX(Stammdaten[Abholzigkeit (mm/lfm)],MATCH(Tabelle9[[#This Row],[Rank]],Stammdaten[Rank Verteilung Abholzigkeit],0))</f>
        <v>#N/A</v>
      </c>
      <c r="N3687" t="e">
        <f>VLOOKUP(Tabelle9[[#This Row],[Rank]],Stammdaten[[Rank Verteilung Abholzigkeit]:[Verteilung Abholzigkeit]],2,FALSE)</f>
        <v>#N/A</v>
      </c>
      <c r="S3687">
        <v>3678</v>
      </c>
      <c r="T3687" t="e">
        <f>INDEX(Stammdaten[Krümmung (mm/lfm)],MATCH(Tabelle10[[#This Row],[Rank]],Stammdaten[Rank Verteilung Krümmung],0))</f>
        <v>#N/A</v>
      </c>
      <c r="U3687" t="e">
        <f>VLOOKUP(Tabelle10[[#This Row],[Rank]],Stammdaten[[Rank Verteilung Krümmung]:[Verteilung Krümmung]],2,FALSE)</f>
        <v>#N/A</v>
      </c>
      <c r="Z3687">
        <v>3678</v>
      </c>
      <c r="AA3687" t="e">
        <f>INDEX(Stammdaten[Ovalität (']0,1'])],MATCH(Tabelle1014[[#This Row],[Rank]],Stammdaten[Rank Verteilung Ovalität],0))</f>
        <v>#N/A</v>
      </c>
      <c r="AB3687" t="e">
        <f>VLOOKUP(Tabelle1014[[#This Row],[Rank]],Stammdaten[[Rank Verteilung Ovalität]:[Verteilung Ovalität]],2,FALSE)</f>
        <v>#N/A</v>
      </c>
    </row>
    <row r="3688" spans="5:28" x14ac:dyDescent="0.35">
      <c r="E3688">
        <v>3679</v>
      </c>
      <c r="F3688" t="e">
        <f>INDEX(Stammdaten[D Mitte mit Rinde (mm)],MATCH(Tabelle8[[#This Row],[Rank]],Stammdaten[Rank Verteilung D Mitte mit Rinde],0))</f>
        <v>#N/A</v>
      </c>
      <c r="G3688" t="e">
        <f>VLOOKUP(Tabelle8[[#This Row],[Rank]],Stammdaten[[Rank Verteilung D Mitte mit Rinde]:[Verteilung D Mitte mit Rinde]],2,FALSE)</f>
        <v>#N/A</v>
      </c>
      <c r="L3688">
        <v>3679</v>
      </c>
      <c r="M3688" t="e">
        <f>INDEX(Stammdaten[Abholzigkeit (mm/lfm)],MATCH(Tabelle9[[#This Row],[Rank]],Stammdaten[Rank Verteilung Abholzigkeit],0))</f>
        <v>#N/A</v>
      </c>
      <c r="N3688" t="e">
        <f>VLOOKUP(Tabelle9[[#This Row],[Rank]],Stammdaten[[Rank Verteilung Abholzigkeit]:[Verteilung Abholzigkeit]],2,FALSE)</f>
        <v>#N/A</v>
      </c>
      <c r="S3688">
        <v>3679</v>
      </c>
      <c r="T3688" t="e">
        <f>INDEX(Stammdaten[Krümmung (mm/lfm)],MATCH(Tabelle10[[#This Row],[Rank]],Stammdaten[Rank Verteilung Krümmung],0))</f>
        <v>#N/A</v>
      </c>
      <c r="U3688" t="e">
        <f>VLOOKUP(Tabelle10[[#This Row],[Rank]],Stammdaten[[Rank Verteilung Krümmung]:[Verteilung Krümmung]],2,FALSE)</f>
        <v>#N/A</v>
      </c>
      <c r="Z3688">
        <v>3679</v>
      </c>
      <c r="AA3688" t="e">
        <f>INDEX(Stammdaten[Ovalität (']0,1'])],MATCH(Tabelle1014[[#This Row],[Rank]],Stammdaten[Rank Verteilung Ovalität],0))</f>
        <v>#N/A</v>
      </c>
      <c r="AB3688" t="e">
        <f>VLOOKUP(Tabelle1014[[#This Row],[Rank]],Stammdaten[[Rank Verteilung Ovalität]:[Verteilung Ovalität]],2,FALSE)</f>
        <v>#N/A</v>
      </c>
    </row>
    <row r="3689" spans="5:28" x14ac:dyDescent="0.35">
      <c r="E3689">
        <v>3680</v>
      </c>
      <c r="F3689" t="e">
        <f>INDEX(Stammdaten[D Mitte mit Rinde (mm)],MATCH(Tabelle8[[#This Row],[Rank]],Stammdaten[Rank Verteilung D Mitte mit Rinde],0))</f>
        <v>#N/A</v>
      </c>
      <c r="G3689" t="e">
        <f>VLOOKUP(Tabelle8[[#This Row],[Rank]],Stammdaten[[Rank Verteilung D Mitte mit Rinde]:[Verteilung D Mitte mit Rinde]],2,FALSE)</f>
        <v>#N/A</v>
      </c>
      <c r="L3689">
        <v>3680</v>
      </c>
      <c r="M3689" t="e">
        <f>INDEX(Stammdaten[Abholzigkeit (mm/lfm)],MATCH(Tabelle9[[#This Row],[Rank]],Stammdaten[Rank Verteilung Abholzigkeit],0))</f>
        <v>#N/A</v>
      </c>
      <c r="N3689" t="e">
        <f>VLOOKUP(Tabelle9[[#This Row],[Rank]],Stammdaten[[Rank Verteilung Abholzigkeit]:[Verteilung Abholzigkeit]],2,FALSE)</f>
        <v>#N/A</v>
      </c>
      <c r="S3689">
        <v>3680</v>
      </c>
      <c r="T3689" t="e">
        <f>INDEX(Stammdaten[Krümmung (mm/lfm)],MATCH(Tabelle10[[#This Row],[Rank]],Stammdaten[Rank Verteilung Krümmung],0))</f>
        <v>#N/A</v>
      </c>
      <c r="U3689" t="e">
        <f>VLOOKUP(Tabelle10[[#This Row],[Rank]],Stammdaten[[Rank Verteilung Krümmung]:[Verteilung Krümmung]],2,FALSE)</f>
        <v>#N/A</v>
      </c>
      <c r="Z3689">
        <v>3680</v>
      </c>
      <c r="AA3689" t="e">
        <f>INDEX(Stammdaten[Ovalität (']0,1'])],MATCH(Tabelle1014[[#This Row],[Rank]],Stammdaten[Rank Verteilung Ovalität],0))</f>
        <v>#N/A</v>
      </c>
      <c r="AB3689" t="e">
        <f>VLOOKUP(Tabelle1014[[#This Row],[Rank]],Stammdaten[[Rank Verteilung Ovalität]:[Verteilung Ovalität]],2,FALSE)</f>
        <v>#N/A</v>
      </c>
    </row>
    <row r="3690" spans="5:28" x14ac:dyDescent="0.35">
      <c r="E3690">
        <v>3681</v>
      </c>
      <c r="F3690" t="e">
        <f>INDEX(Stammdaten[D Mitte mit Rinde (mm)],MATCH(Tabelle8[[#This Row],[Rank]],Stammdaten[Rank Verteilung D Mitte mit Rinde],0))</f>
        <v>#N/A</v>
      </c>
      <c r="G3690" t="e">
        <f>VLOOKUP(Tabelle8[[#This Row],[Rank]],Stammdaten[[Rank Verteilung D Mitte mit Rinde]:[Verteilung D Mitte mit Rinde]],2,FALSE)</f>
        <v>#N/A</v>
      </c>
      <c r="L3690">
        <v>3681</v>
      </c>
      <c r="M3690" t="e">
        <f>INDEX(Stammdaten[Abholzigkeit (mm/lfm)],MATCH(Tabelle9[[#This Row],[Rank]],Stammdaten[Rank Verteilung Abholzigkeit],0))</f>
        <v>#N/A</v>
      </c>
      <c r="N3690" t="e">
        <f>VLOOKUP(Tabelle9[[#This Row],[Rank]],Stammdaten[[Rank Verteilung Abholzigkeit]:[Verteilung Abholzigkeit]],2,FALSE)</f>
        <v>#N/A</v>
      </c>
      <c r="S3690">
        <v>3681</v>
      </c>
      <c r="T3690" t="e">
        <f>INDEX(Stammdaten[Krümmung (mm/lfm)],MATCH(Tabelle10[[#This Row],[Rank]],Stammdaten[Rank Verteilung Krümmung],0))</f>
        <v>#N/A</v>
      </c>
      <c r="U3690" t="e">
        <f>VLOOKUP(Tabelle10[[#This Row],[Rank]],Stammdaten[[Rank Verteilung Krümmung]:[Verteilung Krümmung]],2,FALSE)</f>
        <v>#N/A</v>
      </c>
      <c r="Z3690">
        <v>3681</v>
      </c>
      <c r="AA3690" t="e">
        <f>INDEX(Stammdaten[Ovalität (']0,1'])],MATCH(Tabelle1014[[#This Row],[Rank]],Stammdaten[Rank Verteilung Ovalität],0))</f>
        <v>#N/A</v>
      </c>
      <c r="AB3690" t="e">
        <f>VLOOKUP(Tabelle1014[[#This Row],[Rank]],Stammdaten[[Rank Verteilung Ovalität]:[Verteilung Ovalität]],2,FALSE)</f>
        <v>#N/A</v>
      </c>
    </row>
    <row r="3691" spans="5:28" x14ac:dyDescent="0.35">
      <c r="E3691">
        <v>3682</v>
      </c>
      <c r="F3691" t="e">
        <f>INDEX(Stammdaten[D Mitte mit Rinde (mm)],MATCH(Tabelle8[[#This Row],[Rank]],Stammdaten[Rank Verteilung D Mitte mit Rinde],0))</f>
        <v>#N/A</v>
      </c>
      <c r="G3691" t="e">
        <f>VLOOKUP(Tabelle8[[#This Row],[Rank]],Stammdaten[[Rank Verteilung D Mitte mit Rinde]:[Verteilung D Mitte mit Rinde]],2,FALSE)</f>
        <v>#N/A</v>
      </c>
      <c r="L3691">
        <v>3682</v>
      </c>
      <c r="M3691" t="e">
        <f>INDEX(Stammdaten[Abholzigkeit (mm/lfm)],MATCH(Tabelle9[[#This Row],[Rank]],Stammdaten[Rank Verteilung Abholzigkeit],0))</f>
        <v>#N/A</v>
      </c>
      <c r="N3691" t="e">
        <f>VLOOKUP(Tabelle9[[#This Row],[Rank]],Stammdaten[[Rank Verteilung Abholzigkeit]:[Verteilung Abholzigkeit]],2,FALSE)</f>
        <v>#N/A</v>
      </c>
      <c r="S3691">
        <v>3682</v>
      </c>
      <c r="T3691" t="e">
        <f>INDEX(Stammdaten[Krümmung (mm/lfm)],MATCH(Tabelle10[[#This Row],[Rank]],Stammdaten[Rank Verteilung Krümmung],0))</f>
        <v>#N/A</v>
      </c>
      <c r="U3691" t="e">
        <f>VLOOKUP(Tabelle10[[#This Row],[Rank]],Stammdaten[[Rank Verteilung Krümmung]:[Verteilung Krümmung]],2,FALSE)</f>
        <v>#N/A</v>
      </c>
      <c r="Z3691">
        <v>3682</v>
      </c>
      <c r="AA3691" t="e">
        <f>INDEX(Stammdaten[Ovalität (']0,1'])],MATCH(Tabelle1014[[#This Row],[Rank]],Stammdaten[Rank Verteilung Ovalität],0))</f>
        <v>#N/A</v>
      </c>
      <c r="AB3691" t="e">
        <f>VLOOKUP(Tabelle1014[[#This Row],[Rank]],Stammdaten[[Rank Verteilung Ovalität]:[Verteilung Ovalität]],2,FALSE)</f>
        <v>#N/A</v>
      </c>
    </row>
    <row r="3692" spans="5:28" x14ac:dyDescent="0.35">
      <c r="E3692">
        <v>3683</v>
      </c>
      <c r="F3692" t="e">
        <f>INDEX(Stammdaten[D Mitte mit Rinde (mm)],MATCH(Tabelle8[[#This Row],[Rank]],Stammdaten[Rank Verteilung D Mitte mit Rinde],0))</f>
        <v>#N/A</v>
      </c>
      <c r="G3692" t="e">
        <f>VLOOKUP(Tabelle8[[#This Row],[Rank]],Stammdaten[[Rank Verteilung D Mitte mit Rinde]:[Verteilung D Mitte mit Rinde]],2,FALSE)</f>
        <v>#N/A</v>
      </c>
      <c r="L3692">
        <v>3683</v>
      </c>
      <c r="M3692" t="e">
        <f>INDEX(Stammdaten[Abholzigkeit (mm/lfm)],MATCH(Tabelle9[[#This Row],[Rank]],Stammdaten[Rank Verteilung Abholzigkeit],0))</f>
        <v>#N/A</v>
      </c>
      <c r="N3692" t="e">
        <f>VLOOKUP(Tabelle9[[#This Row],[Rank]],Stammdaten[[Rank Verteilung Abholzigkeit]:[Verteilung Abholzigkeit]],2,FALSE)</f>
        <v>#N/A</v>
      </c>
      <c r="S3692">
        <v>3683</v>
      </c>
      <c r="T3692" t="e">
        <f>INDEX(Stammdaten[Krümmung (mm/lfm)],MATCH(Tabelle10[[#This Row],[Rank]],Stammdaten[Rank Verteilung Krümmung],0))</f>
        <v>#N/A</v>
      </c>
      <c r="U3692" t="e">
        <f>VLOOKUP(Tabelle10[[#This Row],[Rank]],Stammdaten[[Rank Verteilung Krümmung]:[Verteilung Krümmung]],2,FALSE)</f>
        <v>#N/A</v>
      </c>
      <c r="Z3692">
        <v>3683</v>
      </c>
      <c r="AA3692" t="e">
        <f>INDEX(Stammdaten[Ovalität (']0,1'])],MATCH(Tabelle1014[[#This Row],[Rank]],Stammdaten[Rank Verteilung Ovalität],0))</f>
        <v>#N/A</v>
      </c>
      <c r="AB3692" t="e">
        <f>VLOOKUP(Tabelle1014[[#This Row],[Rank]],Stammdaten[[Rank Verteilung Ovalität]:[Verteilung Ovalität]],2,FALSE)</f>
        <v>#N/A</v>
      </c>
    </row>
    <row r="3693" spans="5:28" x14ac:dyDescent="0.35">
      <c r="E3693">
        <v>3684</v>
      </c>
      <c r="F3693" t="e">
        <f>INDEX(Stammdaten[D Mitte mit Rinde (mm)],MATCH(Tabelle8[[#This Row],[Rank]],Stammdaten[Rank Verteilung D Mitte mit Rinde],0))</f>
        <v>#N/A</v>
      </c>
      <c r="G3693" t="e">
        <f>VLOOKUP(Tabelle8[[#This Row],[Rank]],Stammdaten[[Rank Verteilung D Mitte mit Rinde]:[Verteilung D Mitte mit Rinde]],2,FALSE)</f>
        <v>#N/A</v>
      </c>
      <c r="L3693">
        <v>3684</v>
      </c>
      <c r="M3693" t="e">
        <f>INDEX(Stammdaten[Abholzigkeit (mm/lfm)],MATCH(Tabelle9[[#This Row],[Rank]],Stammdaten[Rank Verteilung Abholzigkeit],0))</f>
        <v>#N/A</v>
      </c>
      <c r="N3693" t="e">
        <f>VLOOKUP(Tabelle9[[#This Row],[Rank]],Stammdaten[[Rank Verteilung Abholzigkeit]:[Verteilung Abholzigkeit]],2,FALSE)</f>
        <v>#N/A</v>
      </c>
      <c r="S3693">
        <v>3684</v>
      </c>
      <c r="T3693" t="e">
        <f>INDEX(Stammdaten[Krümmung (mm/lfm)],MATCH(Tabelle10[[#This Row],[Rank]],Stammdaten[Rank Verteilung Krümmung],0))</f>
        <v>#N/A</v>
      </c>
      <c r="U3693" t="e">
        <f>VLOOKUP(Tabelle10[[#This Row],[Rank]],Stammdaten[[Rank Verteilung Krümmung]:[Verteilung Krümmung]],2,FALSE)</f>
        <v>#N/A</v>
      </c>
      <c r="Z3693">
        <v>3684</v>
      </c>
      <c r="AA3693" t="e">
        <f>INDEX(Stammdaten[Ovalität (']0,1'])],MATCH(Tabelle1014[[#This Row],[Rank]],Stammdaten[Rank Verteilung Ovalität],0))</f>
        <v>#N/A</v>
      </c>
      <c r="AB3693" t="e">
        <f>VLOOKUP(Tabelle1014[[#This Row],[Rank]],Stammdaten[[Rank Verteilung Ovalität]:[Verteilung Ovalität]],2,FALSE)</f>
        <v>#N/A</v>
      </c>
    </row>
    <row r="3694" spans="5:28" x14ac:dyDescent="0.35">
      <c r="E3694">
        <v>3685</v>
      </c>
      <c r="F3694" t="e">
        <f>INDEX(Stammdaten[D Mitte mit Rinde (mm)],MATCH(Tabelle8[[#This Row],[Rank]],Stammdaten[Rank Verteilung D Mitte mit Rinde],0))</f>
        <v>#N/A</v>
      </c>
      <c r="G3694" t="e">
        <f>VLOOKUP(Tabelle8[[#This Row],[Rank]],Stammdaten[[Rank Verteilung D Mitte mit Rinde]:[Verteilung D Mitte mit Rinde]],2,FALSE)</f>
        <v>#N/A</v>
      </c>
      <c r="L3694">
        <v>3685</v>
      </c>
      <c r="M3694" t="e">
        <f>INDEX(Stammdaten[Abholzigkeit (mm/lfm)],MATCH(Tabelle9[[#This Row],[Rank]],Stammdaten[Rank Verteilung Abholzigkeit],0))</f>
        <v>#N/A</v>
      </c>
      <c r="N3694" t="e">
        <f>VLOOKUP(Tabelle9[[#This Row],[Rank]],Stammdaten[[Rank Verteilung Abholzigkeit]:[Verteilung Abholzigkeit]],2,FALSE)</f>
        <v>#N/A</v>
      </c>
      <c r="S3694">
        <v>3685</v>
      </c>
      <c r="T3694" t="e">
        <f>INDEX(Stammdaten[Krümmung (mm/lfm)],MATCH(Tabelle10[[#This Row],[Rank]],Stammdaten[Rank Verteilung Krümmung],0))</f>
        <v>#N/A</v>
      </c>
      <c r="U3694" t="e">
        <f>VLOOKUP(Tabelle10[[#This Row],[Rank]],Stammdaten[[Rank Verteilung Krümmung]:[Verteilung Krümmung]],2,FALSE)</f>
        <v>#N/A</v>
      </c>
      <c r="Z3694">
        <v>3685</v>
      </c>
      <c r="AA3694" t="e">
        <f>INDEX(Stammdaten[Ovalität (']0,1'])],MATCH(Tabelle1014[[#This Row],[Rank]],Stammdaten[Rank Verteilung Ovalität],0))</f>
        <v>#N/A</v>
      </c>
      <c r="AB3694" t="e">
        <f>VLOOKUP(Tabelle1014[[#This Row],[Rank]],Stammdaten[[Rank Verteilung Ovalität]:[Verteilung Ovalität]],2,FALSE)</f>
        <v>#N/A</v>
      </c>
    </row>
    <row r="3695" spans="5:28" x14ac:dyDescent="0.35">
      <c r="E3695">
        <v>3686</v>
      </c>
      <c r="F3695" t="e">
        <f>INDEX(Stammdaten[D Mitte mit Rinde (mm)],MATCH(Tabelle8[[#This Row],[Rank]],Stammdaten[Rank Verteilung D Mitte mit Rinde],0))</f>
        <v>#N/A</v>
      </c>
      <c r="G3695" t="e">
        <f>VLOOKUP(Tabelle8[[#This Row],[Rank]],Stammdaten[[Rank Verteilung D Mitte mit Rinde]:[Verteilung D Mitte mit Rinde]],2,FALSE)</f>
        <v>#N/A</v>
      </c>
      <c r="L3695">
        <v>3686</v>
      </c>
      <c r="M3695" t="e">
        <f>INDEX(Stammdaten[Abholzigkeit (mm/lfm)],MATCH(Tabelle9[[#This Row],[Rank]],Stammdaten[Rank Verteilung Abholzigkeit],0))</f>
        <v>#N/A</v>
      </c>
      <c r="N3695" t="e">
        <f>VLOOKUP(Tabelle9[[#This Row],[Rank]],Stammdaten[[Rank Verteilung Abholzigkeit]:[Verteilung Abholzigkeit]],2,FALSE)</f>
        <v>#N/A</v>
      </c>
      <c r="S3695">
        <v>3686</v>
      </c>
      <c r="T3695" t="e">
        <f>INDEX(Stammdaten[Krümmung (mm/lfm)],MATCH(Tabelle10[[#This Row],[Rank]],Stammdaten[Rank Verteilung Krümmung],0))</f>
        <v>#N/A</v>
      </c>
      <c r="U3695" t="e">
        <f>VLOOKUP(Tabelle10[[#This Row],[Rank]],Stammdaten[[Rank Verteilung Krümmung]:[Verteilung Krümmung]],2,FALSE)</f>
        <v>#N/A</v>
      </c>
      <c r="Z3695">
        <v>3686</v>
      </c>
      <c r="AA3695" t="e">
        <f>INDEX(Stammdaten[Ovalität (']0,1'])],MATCH(Tabelle1014[[#This Row],[Rank]],Stammdaten[Rank Verteilung Ovalität],0))</f>
        <v>#N/A</v>
      </c>
      <c r="AB3695" t="e">
        <f>VLOOKUP(Tabelle1014[[#This Row],[Rank]],Stammdaten[[Rank Verteilung Ovalität]:[Verteilung Ovalität]],2,FALSE)</f>
        <v>#N/A</v>
      </c>
    </row>
    <row r="3696" spans="5:28" x14ac:dyDescent="0.35">
      <c r="E3696">
        <v>3687</v>
      </c>
      <c r="F3696" t="e">
        <f>INDEX(Stammdaten[D Mitte mit Rinde (mm)],MATCH(Tabelle8[[#This Row],[Rank]],Stammdaten[Rank Verteilung D Mitte mit Rinde],0))</f>
        <v>#N/A</v>
      </c>
      <c r="G3696" t="e">
        <f>VLOOKUP(Tabelle8[[#This Row],[Rank]],Stammdaten[[Rank Verteilung D Mitte mit Rinde]:[Verteilung D Mitte mit Rinde]],2,FALSE)</f>
        <v>#N/A</v>
      </c>
      <c r="L3696">
        <v>3687</v>
      </c>
      <c r="M3696" t="e">
        <f>INDEX(Stammdaten[Abholzigkeit (mm/lfm)],MATCH(Tabelle9[[#This Row],[Rank]],Stammdaten[Rank Verteilung Abholzigkeit],0))</f>
        <v>#N/A</v>
      </c>
      <c r="N3696" t="e">
        <f>VLOOKUP(Tabelle9[[#This Row],[Rank]],Stammdaten[[Rank Verteilung Abholzigkeit]:[Verteilung Abholzigkeit]],2,FALSE)</f>
        <v>#N/A</v>
      </c>
      <c r="S3696">
        <v>3687</v>
      </c>
      <c r="T3696" t="e">
        <f>INDEX(Stammdaten[Krümmung (mm/lfm)],MATCH(Tabelle10[[#This Row],[Rank]],Stammdaten[Rank Verteilung Krümmung],0))</f>
        <v>#N/A</v>
      </c>
      <c r="U3696" t="e">
        <f>VLOOKUP(Tabelle10[[#This Row],[Rank]],Stammdaten[[Rank Verteilung Krümmung]:[Verteilung Krümmung]],2,FALSE)</f>
        <v>#N/A</v>
      </c>
      <c r="Z3696">
        <v>3687</v>
      </c>
      <c r="AA3696" t="e">
        <f>INDEX(Stammdaten[Ovalität (']0,1'])],MATCH(Tabelle1014[[#This Row],[Rank]],Stammdaten[Rank Verteilung Ovalität],0))</f>
        <v>#N/A</v>
      </c>
      <c r="AB3696" t="e">
        <f>VLOOKUP(Tabelle1014[[#This Row],[Rank]],Stammdaten[[Rank Verteilung Ovalität]:[Verteilung Ovalität]],2,FALSE)</f>
        <v>#N/A</v>
      </c>
    </row>
    <row r="3697" spans="5:28" x14ac:dyDescent="0.35">
      <c r="E3697">
        <v>3688</v>
      </c>
      <c r="F3697" t="e">
        <f>INDEX(Stammdaten[D Mitte mit Rinde (mm)],MATCH(Tabelle8[[#This Row],[Rank]],Stammdaten[Rank Verteilung D Mitte mit Rinde],0))</f>
        <v>#N/A</v>
      </c>
      <c r="G3697" t="e">
        <f>VLOOKUP(Tabelle8[[#This Row],[Rank]],Stammdaten[[Rank Verteilung D Mitte mit Rinde]:[Verteilung D Mitte mit Rinde]],2,FALSE)</f>
        <v>#N/A</v>
      </c>
      <c r="L3697">
        <v>3688</v>
      </c>
      <c r="M3697" t="e">
        <f>INDEX(Stammdaten[Abholzigkeit (mm/lfm)],MATCH(Tabelle9[[#This Row],[Rank]],Stammdaten[Rank Verteilung Abholzigkeit],0))</f>
        <v>#N/A</v>
      </c>
      <c r="N3697" t="e">
        <f>VLOOKUP(Tabelle9[[#This Row],[Rank]],Stammdaten[[Rank Verteilung Abholzigkeit]:[Verteilung Abholzigkeit]],2,FALSE)</f>
        <v>#N/A</v>
      </c>
      <c r="S3697">
        <v>3688</v>
      </c>
      <c r="T3697" t="e">
        <f>INDEX(Stammdaten[Krümmung (mm/lfm)],MATCH(Tabelle10[[#This Row],[Rank]],Stammdaten[Rank Verteilung Krümmung],0))</f>
        <v>#N/A</v>
      </c>
      <c r="U3697" t="e">
        <f>VLOOKUP(Tabelle10[[#This Row],[Rank]],Stammdaten[[Rank Verteilung Krümmung]:[Verteilung Krümmung]],2,FALSE)</f>
        <v>#N/A</v>
      </c>
      <c r="Z3697">
        <v>3688</v>
      </c>
      <c r="AA3697" t="e">
        <f>INDEX(Stammdaten[Ovalität (']0,1'])],MATCH(Tabelle1014[[#This Row],[Rank]],Stammdaten[Rank Verteilung Ovalität],0))</f>
        <v>#N/A</v>
      </c>
      <c r="AB3697" t="e">
        <f>VLOOKUP(Tabelle1014[[#This Row],[Rank]],Stammdaten[[Rank Verteilung Ovalität]:[Verteilung Ovalität]],2,FALSE)</f>
        <v>#N/A</v>
      </c>
    </row>
    <row r="3698" spans="5:28" x14ac:dyDescent="0.35">
      <c r="E3698">
        <v>3689</v>
      </c>
      <c r="F3698" t="e">
        <f>INDEX(Stammdaten[D Mitte mit Rinde (mm)],MATCH(Tabelle8[[#This Row],[Rank]],Stammdaten[Rank Verteilung D Mitte mit Rinde],0))</f>
        <v>#N/A</v>
      </c>
      <c r="G3698" t="e">
        <f>VLOOKUP(Tabelle8[[#This Row],[Rank]],Stammdaten[[Rank Verteilung D Mitte mit Rinde]:[Verteilung D Mitte mit Rinde]],2,FALSE)</f>
        <v>#N/A</v>
      </c>
      <c r="L3698">
        <v>3689</v>
      </c>
      <c r="M3698" t="e">
        <f>INDEX(Stammdaten[Abholzigkeit (mm/lfm)],MATCH(Tabelle9[[#This Row],[Rank]],Stammdaten[Rank Verteilung Abholzigkeit],0))</f>
        <v>#N/A</v>
      </c>
      <c r="N3698" t="e">
        <f>VLOOKUP(Tabelle9[[#This Row],[Rank]],Stammdaten[[Rank Verteilung Abholzigkeit]:[Verteilung Abholzigkeit]],2,FALSE)</f>
        <v>#N/A</v>
      </c>
      <c r="S3698">
        <v>3689</v>
      </c>
      <c r="T3698" t="e">
        <f>INDEX(Stammdaten[Krümmung (mm/lfm)],MATCH(Tabelle10[[#This Row],[Rank]],Stammdaten[Rank Verteilung Krümmung],0))</f>
        <v>#N/A</v>
      </c>
      <c r="U3698" t="e">
        <f>VLOOKUP(Tabelle10[[#This Row],[Rank]],Stammdaten[[Rank Verteilung Krümmung]:[Verteilung Krümmung]],2,FALSE)</f>
        <v>#N/A</v>
      </c>
      <c r="Z3698">
        <v>3689</v>
      </c>
      <c r="AA3698" t="e">
        <f>INDEX(Stammdaten[Ovalität (']0,1'])],MATCH(Tabelle1014[[#This Row],[Rank]],Stammdaten[Rank Verteilung Ovalität],0))</f>
        <v>#N/A</v>
      </c>
      <c r="AB3698" t="e">
        <f>VLOOKUP(Tabelle1014[[#This Row],[Rank]],Stammdaten[[Rank Verteilung Ovalität]:[Verteilung Ovalität]],2,FALSE)</f>
        <v>#N/A</v>
      </c>
    </row>
    <row r="3699" spans="5:28" x14ac:dyDescent="0.35">
      <c r="E3699">
        <v>3690</v>
      </c>
      <c r="F3699" t="e">
        <f>INDEX(Stammdaten[D Mitte mit Rinde (mm)],MATCH(Tabelle8[[#This Row],[Rank]],Stammdaten[Rank Verteilung D Mitte mit Rinde],0))</f>
        <v>#N/A</v>
      </c>
      <c r="G3699" t="e">
        <f>VLOOKUP(Tabelle8[[#This Row],[Rank]],Stammdaten[[Rank Verteilung D Mitte mit Rinde]:[Verteilung D Mitte mit Rinde]],2,FALSE)</f>
        <v>#N/A</v>
      </c>
      <c r="L3699">
        <v>3690</v>
      </c>
      <c r="M3699" t="e">
        <f>INDEX(Stammdaten[Abholzigkeit (mm/lfm)],MATCH(Tabelle9[[#This Row],[Rank]],Stammdaten[Rank Verteilung Abholzigkeit],0))</f>
        <v>#N/A</v>
      </c>
      <c r="N3699" t="e">
        <f>VLOOKUP(Tabelle9[[#This Row],[Rank]],Stammdaten[[Rank Verteilung Abholzigkeit]:[Verteilung Abholzigkeit]],2,FALSE)</f>
        <v>#N/A</v>
      </c>
      <c r="S3699">
        <v>3690</v>
      </c>
      <c r="T3699" t="e">
        <f>INDEX(Stammdaten[Krümmung (mm/lfm)],MATCH(Tabelle10[[#This Row],[Rank]],Stammdaten[Rank Verteilung Krümmung],0))</f>
        <v>#N/A</v>
      </c>
      <c r="U3699" t="e">
        <f>VLOOKUP(Tabelle10[[#This Row],[Rank]],Stammdaten[[Rank Verteilung Krümmung]:[Verteilung Krümmung]],2,FALSE)</f>
        <v>#N/A</v>
      </c>
      <c r="Z3699">
        <v>3690</v>
      </c>
      <c r="AA3699" t="e">
        <f>INDEX(Stammdaten[Ovalität (']0,1'])],MATCH(Tabelle1014[[#This Row],[Rank]],Stammdaten[Rank Verteilung Ovalität],0))</f>
        <v>#N/A</v>
      </c>
      <c r="AB3699" t="e">
        <f>VLOOKUP(Tabelle1014[[#This Row],[Rank]],Stammdaten[[Rank Verteilung Ovalität]:[Verteilung Ovalität]],2,FALSE)</f>
        <v>#N/A</v>
      </c>
    </row>
    <row r="3700" spans="5:28" x14ac:dyDescent="0.35">
      <c r="E3700">
        <v>3691</v>
      </c>
      <c r="F3700" t="e">
        <f>INDEX(Stammdaten[D Mitte mit Rinde (mm)],MATCH(Tabelle8[[#This Row],[Rank]],Stammdaten[Rank Verteilung D Mitte mit Rinde],0))</f>
        <v>#N/A</v>
      </c>
      <c r="G3700" t="e">
        <f>VLOOKUP(Tabelle8[[#This Row],[Rank]],Stammdaten[[Rank Verteilung D Mitte mit Rinde]:[Verteilung D Mitte mit Rinde]],2,FALSE)</f>
        <v>#N/A</v>
      </c>
      <c r="L3700">
        <v>3691</v>
      </c>
      <c r="M3700" t="e">
        <f>INDEX(Stammdaten[Abholzigkeit (mm/lfm)],MATCH(Tabelle9[[#This Row],[Rank]],Stammdaten[Rank Verteilung Abholzigkeit],0))</f>
        <v>#N/A</v>
      </c>
      <c r="N3700" t="e">
        <f>VLOOKUP(Tabelle9[[#This Row],[Rank]],Stammdaten[[Rank Verteilung Abholzigkeit]:[Verteilung Abholzigkeit]],2,FALSE)</f>
        <v>#N/A</v>
      </c>
      <c r="S3700">
        <v>3691</v>
      </c>
      <c r="T3700" t="e">
        <f>INDEX(Stammdaten[Krümmung (mm/lfm)],MATCH(Tabelle10[[#This Row],[Rank]],Stammdaten[Rank Verteilung Krümmung],0))</f>
        <v>#N/A</v>
      </c>
      <c r="U3700" t="e">
        <f>VLOOKUP(Tabelle10[[#This Row],[Rank]],Stammdaten[[Rank Verteilung Krümmung]:[Verteilung Krümmung]],2,FALSE)</f>
        <v>#N/A</v>
      </c>
      <c r="Z3700">
        <v>3691</v>
      </c>
      <c r="AA3700" t="e">
        <f>INDEX(Stammdaten[Ovalität (']0,1'])],MATCH(Tabelle1014[[#This Row],[Rank]],Stammdaten[Rank Verteilung Ovalität],0))</f>
        <v>#N/A</v>
      </c>
      <c r="AB3700" t="e">
        <f>VLOOKUP(Tabelle1014[[#This Row],[Rank]],Stammdaten[[Rank Verteilung Ovalität]:[Verteilung Ovalität]],2,FALSE)</f>
        <v>#N/A</v>
      </c>
    </row>
    <row r="3701" spans="5:28" x14ac:dyDescent="0.35">
      <c r="E3701">
        <v>3692</v>
      </c>
      <c r="F3701" t="e">
        <f>INDEX(Stammdaten[D Mitte mit Rinde (mm)],MATCH(Tabelle8[[#This Row],[Rank]],Stammdaten[Rank Verteilung D Mitte mit Rinde],0))</f>
        <v>#N/A</v>
      </c>
      <c r="G3701" t="e">
        <f>VLOOKUP(Tabelle8[[#This Row],[Rank]],Stammdaten[[Rank Verteilung D Mitte mit Rinde]:[Verteilung D Mitte mit Rinde]],2,FALSE)</f>
        <v>#N/A</v>
      </c>
      <c r="L3701">
        <v>3692</v>
      </c>
      <c r="M3701" t="e">
        <f>INDEX(Stammdaten[Abholzigkeit (mm/lfm)],MATCH(Tabelle9[[#This Row],[Rank]],Stammdaten[Rank Verteilung Abholzigkeit],0))</f>
        <v>#N/A</v>
      </c>
      <c r="N3701" t="e">
        <f>VLOOKUP(Tabelle9[[#This Row],[Rank]],Stammdaten[[Rank Verteilung Abholzigkeit]:[Verteilung Abholzigkeit]],2,FALSE)</f>
        <v>#N/A</v>
      </c>
      <c r="S3701">
        <v>3692</v>
      </c>
      <c r="T3701" t="e">
        <f>INDEX(Stammdaten[Krümmung (mm/lfm)],MATCH(Tabelle10[[#This Row],[Rank]],Stammdaten[Rank Verteilung Krümmung],0))</f>
        <v>#N/A</v>
      </c>
      <c r="U3701" t="e">
        <f>VLOOKUP(Tabelle10[[#This Row],[Rank]],Stammdaten[[Rank Verteilung Krümmung]:[Verteilung Krümmung]],2,FALSE)</f>
        <v>#N/A</v>
      </c>
      <c r="Z3701">
        <v>3692</v>
      </c>
      <c r="AA3701" t="e">
        <f>INDEX(Stammdaten[Ovalität (']0,1'])],MATCH(Tabelle1014[[#This Row],[Rank]],Stammdaten[Rank Verteilung Ovalität],0))</f>
        <v>#N/A</v>
      </c>
      <c r="AB3701" t="e">
        <f>VLOOKUP(Tabelle1014[[#This Row],[Rank]],Stammdaten[[Rank Verteilung Ovalität]:[Verteilung Ovalität]],2,FALSE)</f>
        <v>#N/A</v>
      </c>
    </row>
    <row r="3702" spans="5:28" x14ac:dyDescent="0.35">
      <c r="E3702">
        <v>3693</v>
      </c>
      <c r="F3702" t="e">
        <f>INDEX(Stammdaten[D Mitte mit Rinde (mm)],MATCH(Tabelle8[[#This Row],[Rank]],Stammdaten[Rank Verteilung D Mitte mit Rinde],0))</f>
        <v>#N/A</v>
      </c>
      <c r="G3702" t="e">
        <f>VLOOKUP(Tabelle8[[#This Row],[Rank]],Stammdaten[[Rank Verteilung D Mitte mit Rinde]:[Verteilung D Mitte mit Rinde]],2,FALSE)</f>
        <v>#N/A</v>
      </c>
      <c r="L3702">
        <v>3693</v>
      </c>
      <c r="M3702" t="e">
        <f>INDEX(Stammdaten[Abholzigkeit (mm/lfm)],MATCH(Tabelle9[[#This Row],[Rank]],Stammdaten[Rank Verteilung Abholzigkeit],0))</f>
        <v>#N/A</v>
      </c>
      <c r="N3702" t="e">
        <f>VLOOKUP(Tabelle9[[#This Row],[Rank]],Stammdaten[[Rank Verteilung Abholzigkeit]:[Verteilung Abholzigkeit]],2,FALSE)</f>
        <v>#N/A</v>
      </c>
      <c r="S3702">
        <v>3693</v>
      </c>
      <c r="T3702" t="e">
        <f>INDEX(Stammdaten[Krümmung (mm/lfm)],MATCH(Tabelle10[[#This Row],[Rank]],Stammdaten[Rank Verteilung Krümmung],0))</f>
        <v>#N/A</v>
      </c>
      <c r="U3702" t="e">
        <f>VLOOKUP(Tabelle10[[#This Row],[Rank]],Stammdaten[[Rank Verteilung Krümmung]:[Verteilung Krümmung]],2,FALSE)</f>
        <v>#N/A</v>
      </c>
      <c r="Z3702">
        <v>3693</v>
      </c>
      <c r="AA3702" t="e">
        <f>INDEX(Stammdaten[Ovalität (']0,1'])],MATCH(Tabelle1014[[#This Row],[Rank]],Stammdaten[Rank Verteilung Ovalität],0))</f>
        <v>#N/A</v>
      </c>
      <c r="AB3702" t="e">
        <f>VLOOKUP(Tabelle1014[[#This Row],[Rank]],Stammdaten[[Rank Verteilung Ovalität]:[Verteilung Ovalität]],2,FALSE)</f>
        <v>#N/A</v>
      </c>
    </row>
    <row r="3703" spans="5:28" x14ac:dyDescent="0.35">
      <c r="E3703">
        <v>3694</v>
      </c>
      <c r="F3703" t="e">
        <f>INDEX(Stammdaten[D Mitte mit Rinde (mm)],MATCH(Tabelle8[[#This Row],[Rank]],Stammdaten[Rank Verteilung D Mitte mit Rinde],0))</f>
        <v>#N/A</v>
      </c>
      <c r="G3703" t="e">
        <f>VLOOKUP(Tabelle8[[#This Row],[Rank]],Stammdaten[[Rank Verteilung D Mitte mit Rinde]:[Verteilung D Mitte mit Rinde]],2,FALSE)</f>
        <v>#N/A</v>
      </c>
      <c r="L3703">
        <v>3694</v>
      </c>
      <c r="M3703" t="e">
        <f>INDEX(Stammdaten[Abholzigkeit (mm/lfm)],MATCH(Tabelle9[[#This Row],[Rank]],Stammdaten[Rank Verteilung Abholzigkeit],0))</f>
        <v>#N/A</v>
      </c>
      <c r="N3703" t="e">
        <f>VLOOKUP(Tabelle9[[#This Row],[Rank]],Stammdaten[[Rank Verteilung Abholzigkeit]:[Verteilung Abholzigkeit]],2,FALSE)</f>
        <v>#N/A</v>
      </c>
      <c r="S3703">
        <v>3694</v>
      </c>
      <c r="T3703" t="e">
        <f>INDEX(Stammdaten[Krümmung (mm/lfm)],MATCH(Tabelle10[[#This Row],[Rank]],Stammdaten[Rank Verteilung Krümmung],0))</f>
        <v>#N/A</v>
      </c>
      <c r="U3703" t="e">
        <f>VLOOKUP(Tabelle10[[#This Row],[Rank]],Stammdaten[[Rank Verteilung Krümmung]:[Verteilung Krümmung]],2,FALSE)</f>
        <v>#N/A</v>
      </c>
      <c r="Z3703">
        <v>3694</v>
      </c>
      <c r="AA3703" t="e">
        <f>INDEX(Stammdaten[Ovalität (']0,1'])],MATCH(Tabelle1014[[#This Row],[Rank]],Stammdaten[Rank Verteilung Ovalität],0))</f>
        <v>#N/A</v>
      </c>
      <c r="AB3703" t="e">
        <f>VLOOKUP(Tabelle1014[[#This Row],[Rank]],Stammdaten[[Rank Verteilung Ovalität]:[Verteilung Ovalität]],2,FALSE)</f>
        <v>#N/A</v>
      </c>
    </row>
    <row r="3704" spans="5:28" x14ac:dyDescent="0.35">
      <c r="E3704">
        <v>3695</v>
      </c>
      <c r="F3704" t="e">
        <f>INDEX(Stammdaten[D Mitte mit Rinde (mm)],MATCH(Tabelle8[[#This Row],[Rank]],Stammdaten[Rank Verteilung D Mitte mit Rinde],0))</f>
        <v>#N/A</v>
      </c>
      <c r="G3704" t="e">
        <f>VLOOKUP(Tabelle8[[#This Row],[Rank]],Stammdaten[[Rank Verteilung D Mitte mit Rinde]:[Verteilung D Mitte mit Rinde]],2,FALSE)</f>
        <v>#N/A</v>
      </c>
      <c r="L3704">
        <v>3695</v>
      </c>
      <c r="M3704" t="e">
        <f>INDEX(Stammdaten[Abholzigkeit (mm/lfm)],MATCH(Tabelle9[[#This Row],[Rank]],Stammdaten[Rank Verteilung Abholzigkeit],0))</f>
        <v>#N/A</v>
      </c>
      <c r="N3704" t="e">
        <f>VLOOKUP(Tabelle9[[#This Row],[Rank]],Stammdaten[[Rank Verteilung Abholzigkeit]:[Verteilung Abholzigkeit]],2,FALSE)</f>
        <v>#N/A</v>
      </c>
      <c r="S3704">
        <v>3695</v>
      </c>
      <c r="T3704" t="e">
        <f>INDEX(Stammdaten[Krümmung (mm/lfm)],MATCH(Tabelle10[[#This Row],[Rank]],Stammdaten[Rank Verteilung Krümmung],0))</f>
        <v>#N/A</v>
      </c>
      <c r="U3704" t="e">
        <f>VLOOKUP(Tabelle10[[#This Row],[Rank]],Stammdaten[[Rank Verteilung Krümmung]:[Verteilung Krümmung]],2,FALSE)</f>
        <v>#N/A</v>
      </c>
      <c r="Z3704">
        <v>3695</v>
      </c>
      <c r="AA3704" t="e">
        <f>INDEX(Stammdaten[Ovalität (']0,1'])],MATCH(Tabelle1014[[#This Row],[Rank]],Stammdaten[Rank Verteilung Ovalität],0))</f>
        <v>#N/A</v>
      </c>
      <c r="AB3704" t="e">
        <f>VLOOKUP(Tabelle1014[[#This Row],[Rank]],Stammdaten[[Rank Verteilung Ovalität]:[Verteilung Ovalität]],2,FALSE)</f>
        <v>#N/A</v>
      </c>
    </row>
    <row r="3705" spans="5:28" x14ac:dyDescent="0.35">
      <c r="E3705">
        <v>3696</v>
      </c>
      <c r="F3705" t="e">
        <f>INDEX(Stammdaten[D Mitte mit Rinde (mm)],MATCH(Tabelle8[[#This Row],[Rank]],Stammdaten[Rank Verteilung D Mitte mit Rinde],0))</f>
        <v>#N/A</v>
      </c>
      <c r="G3705" t="e">
        <f>VLOOKUP(Tabelle8[[#This Row],[Rank]],Stammdaten[[Rank Verteilung D Mitte mit Rinde]:[Verteilung D Mitte mit Rinde]],2,FALSE)</f>
        <v>#N/A</v>
      </c>
      <c r="L3705">
        <v>3696</v>
      </c>
      <c r="M3705" t="e">
        <f>INDEX(Stammdaten[Abholzigkeit (mm/lfm)],MATCH(Tabelle9[[#This Row],[Rank]],Stammdaten[Rank Verteilung Abholzigkeit],0))</f>
        <v>#N/A</v>
      </c>
      <c r="N3705" t="e">
        <f>VLOOKUP(Tabelle9[[#This Row],[Rank]],Stammdaten[[Rank Verteilung Abholzigkeit]:[Verteilung Abholzigkeit]],2,FALSE)</f>
        <v>#N/A</v>
      </c>
      <c r="S3705">
        <v>3696</v>
      </c>
      <c r="T3705" t="e">
        <f>INDEX(Stammdaten[Krümmung (mm/lfm)],MATCH(Tabelle10[[#This Row],[Rank]],Stammdaten[Rank Verteilung Krümmung],0))</f>
        <v>#N/A</v>
      </c>
      <c r="U3705" t="e">
        <f>VLOOKUP(Tabelle10[[#This Row],[Rank]],Stammdaten[[Rank Verteilung Krümmung]:[Verteilung Krümmung]],2,FALSE)</f>
        <v>#N/A</v>
      </c>
      <c r="Z3705">
        <v>3696</v>
      </c>
      <c r="AA3705" t="e">
        <f>INDEX(Stammdaten[Ovalität (']0,1'])],MATCH(Tabelle1014[[#This Row],[Rank]],Stammdaten[Rank Verteilung Ovalität],0))</f>
        <v>#N/A</v>
      </c>
      <c r="AB3705" t="e">
        <f>VLOOKUP(Tabelle1014[[#This Row],[Rank]],Stammdaten[[Rank Verteilung Ovalität]:[Verteilung Ovalität]],2,FALSE)</f>
        <v>#N/A</v>
      </c>
    </row>
    <row r="3706" spans="5:28" x14ac:dyDescent="0.35">
      <c r="E3706">
        <v>3697</v>
      </c>
      <c r="F3706" t="e">
        <f>INDEX(Stammdaten[D Mitte mit Rinde (mm)],MATCH(Tabelle8[[#This Row],[Rank]],Stammdaten[Rank Verteilung D Mitte mit Rinde],0))</f>
        <v>#N/A</v>
      </c>
      <c r="G3706" t="e">
        <f>VLOOKUP(Tabelle8[[#This Row],[Rank]],Stammdaten[[Rank Verteilung D Mitte mit Rinde]:[Verteilung D Mitte mit Rinde]],2,FALSE)</f>
        <v>#N/A</v>
      </c>
      <c r="L3706">
        <v>3697</v>
      </c>
      <c r="M3706" t="e">
        <f>INDEX(Stammdaten[Abholzigkeit (mm/lfm)],MATCH(Tabelle9[[#This Row],[Rank]],Stammdaten[Rank Verteilung Abholzigkeit],0))</f>
        <v>#N/A</v>
      </c>
      <c r="N3706" t="e">
        <f>VLOOKUP(Tabelle9[[#This Row],[Rank]],Stammdaten[[Rank Verteilung Abholzigkeit]:[Verteilung Abholzigkeit]],2,FALSE)</f>
        <v>#N/A</v>
      </c>
      <c r="S3706">
        <v>3697</v>
      </c>
      <c r="T3706" t="e">
        <f>INDEX(Stammdaten[Krümmung (mm/lfm)],MATCH(Tabelle10[[#This Row],[Rank]],Stammdaten[Rank Verteilung Krümmung],0))</f>
        <v>#N/A</v>
      </c>
      <c r="U3706" t="e">
        <f>VLOOKUP(Tabelle10[[#This Row],[Rank]],Stammdaten[[Rank Verteilung Krümmung]:[Verteilung Krümmung]],2,FALSE)</f>
        <v>#N/A</v>
      </c>
      <c r="Z3706">
        <v>3697</v>
      </c>
      <c r="AA3706" t="e">
        <f>INDEX(Stammdaten[Ovalität (']0,1'])],MATCH(Tabelle1014[[#This Row],[Rank]],Stammdaten[Rank Verteilung Ovalität],0))</f>
        <v>#N/A</v>
      </c>
      <c r="AB3706" t="e">
        <f>VLOOKUP(Tabelle1014[[#This Row],[Rank]],Stammdaten[[Rank Verteilung Ovalität]:[Verteilung Ovalität]],2,FALSE)</f>
        <v>#N/A</v>
      </c>
    </row>
    <row r="3707" spans="5:28" x14ac:dyDescent="0.35">
      <c r="E3707">
        <v>3698</v>
      </c>
      <c r="F3707" t="e">
        <f>INDEX(Stammdaten[D Mitte mit Rinde (mm)],MATCH(Tabelle8[[#This Row],[Rank]],Stammdaten[Rank Verteilung D Mitte mit Rinde],0))</f>
        <v>#N/A</v>
      </c>
      <c r="G3707" t="e">
        <f>VLOOKUP(Tabelle8[[#This Row],[Rank]],Stammdaten[[Rank Verteilung D Mitte mit Rinde]:[Verteilung D Mitte mit Rinde]],2,FALSE)</f>
        <v>#N/A</v>
      </c>
      <c r="L3707">
        <v>3698</v>
      </c>
      <c r="M3707" t="e">
        <f>INDEX(Stammdaten[Abholzigkeit (mm/lfm)],MATCH(Tabelle9[[#This Row],[Rank]],Stammdaten[Rank Verteilung Abholzigkeit],0))</f>
        <v>#N/A</v>
      </c>
      <c r="N3707" t="e">
        <f>VLOOKUP(Tabelle9[[#This Row],[Rank]],Stammdaten[[Rank Verteilung Abholzigkeit]:[Verteilung Abholzigkeit]],2,FALSE)</f>
        <v>#N/A</v>
      </c>
      <c r="S3707">
        <v>3698</v>
      </c>
      <c r="T3707" t="e">
        <f>INDEX(Stammdaten[Krümmung (mm/lfm)],MATCH(Tabelle10[[#This Row],[Rank]],Stammdaten[Rank Verteilung Krümmung],0))</f>
        <v>#N/A</v>
      </c>
      <c r="U3707" t="e">
        <f>VLOOKUP(Tabelle10[[#This Row],[Rank]],Stammdaten[[Rank Verteilung Krümmung]:[Verteilung Krümmung]],2,FALSE)</f>
        <v>#N/A</v>
      </c>
      <c r="Z3707">
        <v>3698</v>
      </c>
      <c r="AA3707" t="e">
        <f>INDEX(Stammdaten[Ovalität (']0,1'])],MATCH(Tabelle1014[[#This Row],[Rank]],Stammdaten[Rank Verteilung Ovalität],0))</f>
        <v>#N/A</v>
      </c>
      <c r="AB3707" t="e">
        <f>VLOOKUP(Tabelle1014[[#This Row],[Rank]],Stammdaten[[Rank Verteilung Ovalität]:[Verteilung Ovalität]],2,FALSE)</f>
        <v>#N/A</v>
      </c>
    </row>
    <row r="3708" spans="5:28" x14ac:dyDescent="0.35">
      <c r="E3708">
        <v>3699</v>
      </c>
      <c r="F3708" t="e">
        <f>INDEX(Stammdaten[D Mitte mit Rinde (mm)],MATCH(Tabelle8[[#This Row],[Rank]],Stammdaten[Rank Verteilung D Mitte mit Rinde],0))</f>
        <v>#N/A</v>
      </c>
      <c r="G3708" t="e">
        <f>VLOOKUP(Tabelle8[[#This Row],[Rank]],Stammdaten[[Rank Verteilung D Mitte mit Rinde]:[Verteilung D Mitte mit Rinde]],2,FALSE)</f>
        <v>#N/A</v>
      </c>
      <c r="L3708">
        <v>3699</v>
      </c>
      <c r="M3708" t="e">
        <f>INDEX(Stammdaten[Abholzigkeit (mm/lfm)],MATCH(Tabelle9[[#This Row],[Rank]],Stammdaten[Rank Verteilung Abholzigkeit],0))</f>
        <v>#N/A</v>
      </c>
      <c r="N3708" t="e">
        <f>VLOOKUP(Tabelle9[[#This Row],[Rank]],Stammdaten[[Rank Verteilung Abholzigkeit]:[Verteilung Abholzigkeit]],2,FALSE)</f>
        <v>#N/A</v>
      </c>
      <c r="S3708">
        <v>3699</v>
      </c>
      <c r="T3708" t="e">
        <f>INDEX(Stammdaten[Krümmung (mm/lfm)],MATCH(Tabelle10[[#This Row],[Rank]],Stammdaten[Rank Verteilung Krümmung],0))</f>
        <v>#N/A</v>
      </c>
      <c r="U3708" t="e">
        <f>VLOOKUP(Tabelle10[[#This Row],[Rank]],Stammdaten[[Rank Verteilung Krümmung]:[Verteilung Krümmung]],2,FALSE)</f>
        <v>#N/A</v>
      </c>
      <c r="Z3708">
        <v>3699</v>
      </c>
      <c r="AA3708" t="e">
        <f>INDEX(Stammdaten[Ovalität (']0,1'])],MATCH(Tabelle1014[[#This Row],[Rank]],Stammdaten[Rank Verteilung Ovalität],0))</f>
        <v>#N/A</v>
      </c>
      <c r="AB3708" t="e">
        <f>VLOOKUP(Tabelle1014[[#This Row],[Rank]],Stammdaten[[Rank Verteilung Ovalität]:[Verteilung Ovalität]],2,FALSE)</f>
        <v>#N/A</v>
      </c>
    </row>
    <row r="3709" spans="5:28" x14ac:dyDescent="0.35">
      <c r="E3709">
        <v>3700</v>
      </c>
      <c r="F3709" t="e">
        <f>INDEX(Stammdaten[D Mitte mit Rinde (mm)],MATCH(Tabelle8[[#This Row],[Rank]],Stammdaten[Rank Verteilung D Mitte mit Rinde],0))</f>
        <v>#N/A</v>
      </c>
      <c r="G3709" t="e">
        <f>VLOOKUP(Tabelle8[[#This Row],[Rank]],Stammdaten[[Rank Verteilung D Mitte mit Rinde]:[Verteilung D Mitte mit Rinde]],2,FALSE)</f>
        <v>#N/A</v>
      </c>
      <c r="L3709">
        <v>3700</v>
      </c>
      <c r="M3709" t="e">
        <f>INDEX(Stammdaten[Abholzigkeit (mm/lfm)],MATCH(Tabelle9[[#This Row],[Rank]],Stammdaten[Rank Verteilung Abholzigkeit],0))</f>
        <v>#N/A</v>
      </c>
      <c r="N3709" t="e">
        <f>VLOOKUP(Tabelle9[[#This Row],[Rank]],Stammdaten[[Rank Verteilung Abholzigkeit]:[Verteilung Abholzigkeit]],2,FALSE)</f>
        <v>#N/A</v>
      </c>
      <c r="S3709">
        <v>3700</v>
      </c>
      <c r="T3709" t="e">
        <f>INDEX(Stammdaten[Krümmung (mm/lfm)],MATCH(Tabelle10[[#This Row],[Rank]],Stammdaten[Rank Verteilung Krümmung],0))</f>
        <v>#N/A</v>
      </c>
      <c r="U3709" t="e">
        <f>VLOOKUP(Tabelle10[[#This Row],[Rank]],Stammdaten[[Rank Verteilung Krümmung]:[Verteilung Krümmung]],2,FALSE)</f>
        <v>#N/A</v>
      </c>
      <c r="Z3709">
        <v>3700</v>
      </c>
      <c r="AA3709" t="e">
        <f>INDEX(Stammdaten[Ovalität (']0,1'])],MATCH(Tabelle1014[[#This Row],[Rank]],Stammdaten[Rank Verteilung Ovalität],0))</f>
        <v>#N/A</v>
      </c>
      <c r="AB3709" t="e">
        <f>VLOOKUP(Tabelle1014[[#This Row],[Rank]],Stammdaten[[Rank Verteilung Ovalität]:[Verteilung Ovalität]],2,FALSE)</f>
        <v>#N/A</v>
      </c>
    </row>
    <row r="3710" spans="5:28" x14ac:dyDescent="0.35">
      <c r="E3710">
        <v>3701</v>
      </c>
      <c r="F3710" t="e">
        <f>INDEX(Stammdaten[D Mitte mit Rinde (mm)],MATCH(Tabelle8[[#This Row],[Rank]],Stammdaten[Rank Verteilung D Mitte mit Rinde],0))</f>
        <v>#N/A</v>
      </c>
      <c r="G3710" t="e">
        <f>VLOOKUP(Tabelle8[[#This Row],[Rank]],Stammdaten[[Rank Verteilung D Mitte mit Rinde]:[Verteilung D Mitte mit Rinde]],2,FALSE)</f>
        <v>#N/A</v>
      </c>
      <c r="L3710">
        <v>3701</v>
      </c>
      <c r="M3710" t="e">
        <f>INDEX(Stammdaten[Abholzigkeit (mm/lfm)],MATCH(Tabelle9[[#This Row],[Rank]],Stammdaten[Rank Verteilung Abholzigkeit],0))</f>
        <v>#N/A</v>
      </c>
      <c r="N3710" t="e">
        <f>VLOOKUP(Tabelle9[[#This Row],[Rank]],Stammdaten[[Rank Verteilung Abholzigkeit]:[Verteilung Abholzigkeit]],2,FALSE)</f>
        <v>#N/A</v>
      </c>
      <c r="S3710">
        <v>3701</v>
      </c>
      <c r="T3710" t="e">
        <f>INDEX(Stammdaten[Krümmung (mm/lfm)],MATCH(Tabelle10[[#This Row],[Rank]],Stammdaten[Rank Verteilung Krümmung],0))</f>
        <v>#N/A</v>
      </c>
      <c r="U3710" t="e">
        <f>VLOOKUP(Tabelle10[[#This Row],[Rank]],Stammdaten[[Rank Verteilung Krümmung]:[Verteilung Krümmung]],2,FALSE)</f>
        <v>#N/A</v>
      </c>
      <c r="Z3710">
        <v>3701</v>
      </c>
      <c r="AA3710" t="e">
        <f>INDEX(Stammdaten[Ovalität (']0,1'])],MATCH(Tabelle1014[[#This Row],[Rank]],Stammdaten[Rank Verteilung Ovalität],0))</f>
        <v>#N/A</v>
      </c>
      <c r="AB3710" t="e">
        <f>VLOOKUP(Tabelle1014[[#This Row],[Rank]],Stammdaten[[Rank Verteilung Ovalität]:[Verteilung Ovalität]],2,FALSE)</f>
        <v>#N/A</v>
      </c>
    </row>
    <row r="3711" spans="5:28" x14ac:dyDescent="0.35">
      <c r="E3711">
        <v>3702</v>
      </c>
      <c r="F3711" t="e">
        <f>INDEX(Stammdaten[D Mitte mit Rinde (mm)],MATCH(Tabelle8[[#This Row],[Rank]],Stammdaten[Rank Verteilung D Mitte mit Rinde],0))</f>
        <v>#N/A</v>
      </c>
      <c r="G3711" t="e">
        <f>VLOOKUP(Tabelle8[[#This Row],[Rank]],Stammdaten[[Rank Verteilung D Mitte mit Rinde]:[Verteilung D Mitte mit Rinde]],2,FALSE)</f>
        <v>#N/A</v>
      </c>
      <c r="L3711">
        <v>3702</v>
      </c>
      <c r="M3711" t="e">
        <f>INDEX(Stammdaten[Abholzigkeit (mm/lfm)],MATCH(Tabelle9[[#This Row],[Rank]],Stammdaten[Rank Verteilung Abholzigkeit],0))</f>
        <v>#N/A</v>
      </c>
      <c r="N3711" t="e">
        <f>VLOOKUP(Tabelle9[[#This Row],[Rank]],Stammdaten[[Rank Verteilung Abholzigkeit]:[Verteilung Abholzigkeit]],2,FALSE)</f>
        <v>#N/A</v>
      </c>
      <c r="S3711">
        <v>3702</v>
      </c>
      <c r="T3711" t="e">
        <f>INDEX(Stammdaten[Krümmung (mm/lfm)],MATCH(Tabelle10[[#This Row],[Rank]],Stammdaten[Rank Verteilung Krümmung],0))</f>
        <v>#N/A</v>
      </c>
      <c r="U3711" t="e">
        <f>VLOOKUP(Tabelle10[[#This Row],[Rank]],Stammdaten[[Rank Verteilung Krümmung]:[Verteilung Krümmung]],2,FALSE)</f>
        <v>#N/A</v>
      </c>
      <c r="Z3711">
        <v>3702</v>
      </c>
      <c r="AA3711" t="e">
        <f>INDEX(Stammdaten[Ovalität (']0,1'])],MATCH(Tabelle1014[[#This Row],[Rank]],Stammdaten[Rank Verteilung Ovalität],0))</f>
        <v>#N/A</v>
      </c>
      <c r="AB3711" t="e">
        <f>VLOOKUP(Tabelle1014[[#This Row],[Rank]],Stammdaten[[Rank Verteilung Ovalität]:[Verteilung Ovalität]],2,FALSE)</f>
        <v>#N/A</v>
      </c>
    </row>
    <row r="3712" spans="5:28" x14ac:dyDescent="0.35">
      <c r="E3712">
        <v>3703</v>
      </c>
      <c r="F3712" t="e">
        <f>INDEX(Stammdaten[D Mitte mit Rinde (mm)],MATCH(Tabelle8[[#This Row],[Rank]],Stammdaten[Rank Verteilung D Mitte mit Rinde],0))</f>
        <v>#N/A</v>
      </c>
      <c r="G3712" t="e">
        <f>VLOOKUP(Tabelle8[[#This Row],[Rank]],Stammdaten[[Rank Verteilung D Mitte mit Rinde]:[Verteilung D Mitte mit Rinde]],2,FALSE)</f>
        <v>#N/A</v>
      </c>
      <c r="L3712">
        <v>3703</v>
      </c>
      <c r="M3712" t="e">
        <f>INDEX(Stammdaten[Abholzigkeit (mm/lfm)],MATCH(Tabelle9[[#This Row],[Rank]],Stammdaten[Rank Verteilung Abholzigkeit],0))</f>
        <v>#N/A</v>
      </c>
      <c r="N3712" t="e">
        <f>VLOOKUP(Tabelle9[[#This Row],[Rank]],Stammdaten[[Rank Verteilung Abholzigkeit]:[Verteilung Abholzigkeit]],2,FALSE)</f>
        <v>#N/A</v>
      </c>
      <c r="S3712">
        <v>3703</v>
      </c>
      <c r="T3712" t="e">
        <f>INDEX(Stammdaten[Krümmung (mm/lfm)],MATCH(Tabelle10[[#This Row],[Rank]],Stammdaten[Rank Verteilung Krümmung],0))</f>
        <v>#N/A</v>
      </c>
      <c r="U3712" t="e">
        <f>VLOOKUP(Tabelle10[[#This Row],[Rank]],Stammdaten[[Rank Verteilung Krümmung]:[Verteilung Krümmung]],2,FALSE)</f>
        <v>#N/A</v>
      </c>
      <c r="Z3712">
        <v>3703</v>
      </c>
      <c r="AA3712" t="e">
        <f>INDEX(Stammdaten[Ovalität (']0,1'])],MATCH(Tabelle1014[[#This Row],[Rank]],Stammdaten[Rank Verteilung Ovalität],0))</f>
        <v>#N/A</v>
      </c>
      <c r="AB3712" t="e">
        <f>VLOOKUP(Tabelle1014[[#This Row],[Rank]],Stammdaten[[Rank Verteilung Ovalität]:[Verteilung Ovalität]],2,FALSE)</f>
        <v>#N/A</v>
      </c>
    </row>
    <row r="3713" spans="5:28" x14ac:dyDescent="0.35">
      <c r="E3713">
        <v>3704</v>
      </c>
      <c r="F3713" t="e">
        <f>INDEX(Stammdaten[D Mitte mit Rinde (mm)],MATCH(Tabelle8[[#This Row],[Rank]],Stammdaten[Rank Verteilung D Mitte mit Rinde],0))</f>
        <v>#N/A</v>
      </c>
      <c r="G3713" t="e">
        <f>VLOOKUP(Tabelle8[[#This Row],[Rank]],Stammdaten[[Rank Verteilung D Mitte mit Rinde]:[Verteilung D Mitte mit Rinde]],2,FALSE)</f>
        <v>#N/A</v>
      </c>
      <c r="L3713">
        <v>3704</v>
      </c>
      <c r="M3713" t="e">
        <f>INDEX(Stammdaten[Abholzigkeit (mm/lfm)],MATCH(Tabelle9[[#This Row],[Rank]],Stammdaten[Rank Verteilung Abholzigkeit],0))</f>
        <v>#N/A</v>
      </c>
      <c r="N3713" t="e">
        <f>VLOOKUP(Tabelle9[[#This Row],[Rank]],Stammdaten[[Rank Verteilung Abholzigkeit]:[Verteilung Abholzigkeit]],2,FALSE)</f>
        <v>#N/A</v>
      </c>
      <c r="S3713">
        <v>3704</v>
      </c>
      <c r="T3713" t="e">
        <f>INDEX(Stammdaten[Krümmung (mm/lfm)],MATCH(Tabelle10[[#This Row],[Rank]],Stammdaten[Rank Verteilung Krümmung],0))</f>
        <v>#N/A</v>
      </c>
      <c r="U3713" t="e">
        <f>VLOOKUP(Tabelle10[[#This Row],[Rank]],Stammdaten[[Rank Verteilung Krümmung]:[Verteilung Krümmung]],2,FALSE)</f>
        <v>#N/A</v>
      </c>
      <c r="Z3713">
        <v>3704</v>
      </c>
      <c r="AA3713" t="e">
        <f>INDEX(Stammdaten[Ovalität (']0,1'])],MATCH(Tabelle1014[[#This Row],[Rank]],Stammdaten[Rank Verteilung Ovalität],0))</f>
        <v>#N/A</v>
      </c>
      <c r="AB3713" t="e">
        <f>VLOOKUP(Tabelle1014[[#This Row],[Rank]],Stammdaten[[Rank Verteilung Ovalität]:[Verteilung Ovalität]],2,FALSE)</f>
        <v>#N/A</v>
      </c>
    </row>
    <row r="3714" spans="5:28" x14ac:dyDescent="0.35">
      <c r="E3714">
        <v>3705</v>
      </c>
      <c r="F3714" t="e">
        <f>INDEX(Stammdaten[D Mitte mit Rinde (mm)],MATCH(Tabelle8[[#This Row],[Rank]],Stammdaten[Rank Verteilung D Mitte mit Rinde],0))</f>
        <v>#N/A</v>
      </c>
      <c r="G3714" t="e">
        <f>VLOOKUP(Tabelle8[[#This Row],[Rank]],Stammdaten[[Rank Verteilung D Mitte mit Rinde]:[Verteilung D Mitte mit Rinde]],2,FALSE)</f>
        <v>#N/A</v>
      </c>
      <c r="L3714">
        <v>3705</v>
      </c>
      <c r="M3714" t="e">
        <f>INDEX(Stammdaten[Abholzigkeit (mm/lfm)],MATCH(Tabelle9[[#This Row],[Rank]],Stammdaten[Rank Verteilung Abholzigkeit],0))</f>
        <v>#N/A</v>
      </c>
      <c r="N3714" t="e">
        <f>VLOOKUP(Tabelle9[[#This Row],[Rank]],Stammdaten[[Rank Verteilung Abholzigkeit]:[Verteilung Abholzigkeit]],2,FALSE)</f>
        <v>#N/A</v>
      </c>
      <c r="S3714">
        <v>3705</v>
      </c>
      <c r="T3714" t="e">
        <f>INDEX(Stammdaten[Krümmung (mm/lfm)],MATCH(Tabelle10[[#This Row],[Rank]],Stammdaten[Rank Verteilung Krümmung],0))</f>
        <v>#N/A</v>
      </c>
      <c r="U3714" t="e">
        <f>VLOOKUP(Tabelle10[[#This Row],[Rank]],Stammdaten[[Rank Verteilung Krümmung]:[Verteilung Krümmung]],2,FALSE)</f>
        <v>#N/A</v>
      </c>
      <c r="Z3714">
        <v>3705</v>
      </c>
      <c r="AA3714" t="e">
        <f>INDEX(Stammdaten[Ovalität (']0,1'])],MATCH(Tabelle1014[[#This Row],[Rank]],Stammdaten[Rank Verteilung Ovalität],0))</f>
        <v>#N/A</v>
      </c>
      <c r="AB3714" t="e">
        <f>VLOOKUP(Tabelle1014[[#This Row],[Rank]],Stammdaten[[Rank Verteilung Ovalität]:[Verteilung Ovalität]],2,FALSE)</f>
        <v>#N/A</v>
      </c>
    </row>
    <row r="3715" spans="5:28" x14ac:dyDescent="0.35">
      <c r="E3715">
        <v>3706</v>
      </c>
      <c r="F3715" t="e">
        <f>INDEX(Stammdaten[D Mitte mit Rinde (mm)],MATCH(Tabelle8[[#This Row],[Rank]],Stammdaten[Rank Verteilung D Mitte mit Rinde],0))</f>
        <v>#N/A</v>
      </c>
      <c r="G3715" t="e">
        <f>VLOOKUP(Tabelle8[[#This Row],[Rank]],Stammdaten[[Rank Verteilung D Mitte mit Rinde]:[Verteilung D Mitte mit Rinde]],2,FALSE)</f>
        <v>#N/A</v>
      </c>
      <c r="L3715">
        <v>3706</v>
      </c>
      <c r="M3715" t="e">
        <f>INDEX(Stammdaten[Abholzigkeit (mm/lfm)],MATCH(Tabelle9[[#This Row],[Rank]],Stammdaten[Rank Verteilung Abholzigkeit],0))</f>
        <v>#N/A</v>
      </c>
      <c r="N3715" t="e">
        <f>VLOOKUP(Tabelle9[[#This Row],[Rank]],Stammdaten[[Rank Verteilung Abholzigkeit]:[Verteilung Abholzigkeit]],2,FALSE)</f>
        <v>#N/A</v>
      </c>
      <c r="S3715">
        <v>3706</v>
      </c>
      <c r="T3715" t="e">
        <f>INDEX(Stammdaten[Krümmung (mm/lfm)],MATCH(Tabelle10[[#This Row],[Rank]],Stammdaten[Rank Verteilung Krümmung],0))</f>
        <v>#N/A</v>
      </c>
      <c r="U3715" t="e">
        <f>VLOOKUP(Tabelle10[[#This Row],[Rank]],Stammdaten[[Rank Verteilung Krümmung]:[Verteilung Krümmung]],2,FALSE)</f>
        <v>#N/A</v>
      </c>
      <c r="Z3715">
        <v>3706</v>
      </c>
      <c r="AA3715" t="e">
        <f>INDEX(Stammdaten[Ovalität (']0,1'])],MATCH(Tabelle1014[[#This Row],[Rank]],Stammdaten[Rank Verteilung Ovalität],0))</f>
        <v>#N/A</v>
      </c>
      <c r="AB3715" t="e">
        <f>VLOOKUP(Tabelle1014[[#This Row],[Rank]],Stammdaten[[Rank Verteilung Ovalität]:[Verteilung Ovalität]],2,FALSE)</f>
        <v>#N/A</v>
      </c>
    </row>
    <row r="3716" spans="5:28" x14ac:dyDescent="0.35">
      <c r="E3716">
        <v>3707</v>
      </c>
      <c r="F3716" t="e">
        <f>INDEX(Stammdaten[D Mitte mit Rinde (mm)],MATCH(Tabelle8[[#This Row],[Rank]],Stammdaten[Rank Verteilung D Mitte mit Rinde],0))</f>
        <v>#N/A</v>
      </c>
      <c r="G3716" t="e">
        <f>VLOOKUP(Tabelle8[[#This Row],[Rank]],Stammdaten[[Rank Verteilung D Mitte mit Rinde]:[Verteilung D Mitte mit Rinde]],2,FALSE)</f>
        <v>#N/A</v>
      </c>
      <c r="L3716">
        <v>3707</v>
      </c>
      <c r="M3716" t="e">
        <f>INDEX(Stammdaten[Abholzigkeit (mm/lfm)],MATCH(Tabelle9[[#This Row],[Rank]],Stammdaten[Rank Verteilung Abholzigkeit],0))</f>
        <v>#N/A</v>
      </c>
      <c r="N3716" t="e">
        <f>VLOOKUP(Tabelle9[[#This Row],[Rank]],Stammdaten[[Rank Verteilung Abholzigkeit]:[Verteilung Abholzigkeit]],2,FALSE)</f>
        <v>#N/A</v>
      </c>
      <c r="S3716">
        <v>3707</v>
      </c>
      <c r="T3716" t="e">
        <f>INDEX(Stammdaten[Krümmung (mm/lfm)],MATCH(Tabelle10[[#This Row],[Rank]],Stammdaten[Rank Verteilung Krümmung],0))</f>
        <v>#N/A</v>
      </c>
      <c r="U3716" t="e">
        <f>VLOOKUP(Tabelle10[[#This Row],[Rank]],Stammdaten[[Rank Verteilung Krümmung]:[Verteilung Krümmung]],2,FALSE)</f>
        <v>#N/A</v>
      </c>
      <c r="Z3716">
        <v>3707</v>
      </c>
      <c r="AA3716" t="e">
        <f>INDEX(Stammdaten[Ovalität (']0,1'])],MATCH(Tabelle1014[[#This Row],[Rank]],Stammdaten[Rank Verteilung Ovalität],0))</f>
        <v>#N/A</v>
      </c>
      <c r="AB3716" t="e">
        <f>VLOOKUP(Tabelle1014[[#This Row],[Rank]],Stammdaten[[Rank Verteilung Ovalität]:[Verteilung Ovalität]],2,FALSE)</f>
        <v>#N/A</v>
      </c>
    </row>
    <row r="3717" spans="5:28" x14ac:dyDescent="0.35">
      <c r="E3717">
        <v>3708</v>
      </c>
      <c r="F3717" t="e">
        <f>INDEX(Stammdaten[D Mitte mit Rinde (mm)],MATCH(Tabelle8[[#This Row],[Rank]],Stammdaten[Rank Verteilung D Mitte mit Rinde],0))</f>
        <v>#N/A</v>
      </c>
      <c r="G3717" t="e">
        <f>VLOOKUP(Tabelle8[[#This Row],[Rank]],Stammdaten[[Rank Verteilung D Mitte mit Rinde]:[Verteilung D Mitte mit Rinde]],2,FALSE)</f>
        <v>#N/A</v>
      </c>
      <c r="L3717">
        <v>3708</v>
      </c>
      <c r="M3717" t="e">
        <f>INDEX(Stammdaten[Abholzigkeit (mm/lfm)],MATCH(Tabelle9[[#This Row],[Rank]],Stammdaten[Rank Verteilung Abholzigkeit],0))</f>
        <v>#N/A</v>
      </c>
      <c r="N3717" t="e">
        <f>VLOOKUP(Tabelle9[[#This Row],[Rank]],Stammdaten[[Rank Verteilung Abholzigkeit]:[Verteilung Abholzigkeit]],2,FALSE)</f>
        <v>#N/A</v>
      </c>
      <c r="S3717">
        <v>3708</v>
      </c>
      <c r="T3717" t="e">
        <f>INDEX(Stammdaten[Krümmung (mm/lfm)],MATCH(Tabelle10[[#This Row],[Rank]],Stammdaten[Rank Verteilung Krümmung],0))</f>
        <v>#N/A</v>
      </c>
      <c r="U3717" t="e">
        <f>VLOOKUP(Tabelle10[[#This Row],[Rank]],Stammdaten[[Rank Verteilung Krümmung]:[Verteilung Krümmung]],2,FALSE)</f>
        <v>#N/A</v>
      </c>
      <c r="Z3717">
        <v>3708</v>
      </c>
      <c r="AA3717" t="e">
        <f>INDEX(Stammdaten[Ovalität (']0,1'])],MATCH(Tabelle1014[[#This Row],[Rank]],Stammdaten[Rank Verteilung Ovalität],0))</f>
        <v>#N/A</v>
      </c>
      <c r="AB3717" t="e">
        <f>VLOOKUP(Tabelle1014[[#This Row],[Rank]],Stammdaten[[Rank Verteilung Ovalität]:[Verteilung Ovalität]],2,FALSE)</f>
        <v>#N/A</v>
      </c>
    </row>
    <row r="3718" spans="5:28" x14ac:dyDescent="0.35">
      <c r="E3718">
        <v>3709</v>
      </c>
      <c r="F3718" t="e">
        <f>INDEX(Stammdaten[D Mitte mit Rinde (mm)],MATCH(Tabelle8[[#This Row],[Rank]],Stammdaten[Rank Verteilung D Mitte mit Rinde],0))</f>
        <v>#N/A</v>
      </c>
      <c r="G3718" t="e">
        <f>VLOOKUP(Tabelle8[[#This Row],[Rank]],Stammdaten[[Rank Verteilung D Mitte mit Rinde]:[Verteilung D Mitte mit Rinde]],2,FALSE)</f>
        <v>#N/A</v>
      </c>
      <c r="L3718">
        <v>3709</v>
      </c>
      <c r="M3718" t="e">
        <f>INDEX(Stammdaten[Abholzigkeit (mm/lfm)],MATCH(Tabelle9[[#This Row],[Rank]],Stammdaten[Rank Verteilung Abholzigkeit],0))</f>
        <v>#N/A</v>
      </c>
      <c r="N3718" t="e">
        <f>VLOOKUP(Tabelle9[[#This Row],[Rank]],Stammdaten[[Rank Verteilung Abholzigkeit]:[Verteilung Abholzigkeit]],2,FALSE)</f>
        <v>#N/A</v>
      </c>
      <c r="S3718">
        <v>3709</v>
      </c>
      <c r="T3718" t="e">
        <f>INDEX(Stammdaten[Krümmung (mm/lfm)],MATCH(Tabelle10[[#This Row],[Rank]],Stammdaten[Rank Verteilung Krümmung],0))</f>
        <v>#N/A</v>
      </c>
      <c r="U3718" t="e">
        <f>VLOOKUP(Tabelle10[[#This Row],[Rank]],Stammdaten[[Rank Verteilung Krümmung]:[Verteilung Krümmung]],2,FALSE)</f>
        <v>#N/A</v>
      </c>
      <c r="Z3718">
        <v>3709</v>
      </c>
      <c r="AA3718" t="e">
        <f>INDEX(Stammdaten[Ovalität (']0,1'])],MATCH(Tabelle1014[[#This Row],[Rank]],Stammdaten[Rank Verteilung Ovalität],0))</f>
        <v>#N/A</v>
      </c>
      <c r="AB3718" t="e">
        <f>VLOOKUP(Tabelle1014[[#This Row],[Rank]],Stammdaten[[Rank Verteilung Ovalität]:[Verteilung Ovalität]],2,FALSE)</f>
        <v>#N/A</v>
      </c>
    </row>
    <row r="3719" spans="5:28" x14ac:dyDescent="0.35">
      <c r="E3719">
        <v>3710</v>
      </c>
      <c r="F3719" t="e">
        <f>INDEX(Stammdaten[D Mitte mit Rinde (mm)],MATCH(Tabelle8[[#This Row],[Rank]],Stammdaten[Rank Verteilung D Mitte mit Rinde],0))</f>
        <v>#N/A</v>
      </c>
      <c r="G3719" t="e">
        <f>VLOOKUP(Tabelle8[[#This Row],[Rank]],Stammdaten[[Rank Verteilung D Mitte mit Rinde]:[Verteilung D Mitte mit Rinde]],2,FALSE)</f>
        <v>#N/A</v>
      </c>
      <c r="L3719">
        <v>3710</v>
      </c>
      <c r="M3719" t="e">
        <f>INDEX(Stammdaten[Abholzigkeit (mm/lfm)],MATCH(Tabelle9[[#This Row],[Rank]],Stammdaten[Rank Verteilung Abholzigkeit],0))</f>
        <v>#N/A</v>
      </c>
      <c r="N3719" t="e">
        <f>VLOOKUP(Tabelle9[[#This Row],[Rank]],Stammdaten[[Rank Verteilung Abholzigkeit]:[Verteilung Abholzigkeit]],2,FALSE)</f>
        <v>#N/A</v>
      </c>
      <c r="S3719">
        <v>3710</v>
      </c>
      <c r="T3719" t="e">
        <f>INDEX(Stammdaten[Krümmung (mm/lfm)],MATCH(Tabelle10[[#This Row],[Rank]],Stammdaten[Rank Verteilung Krümmung],0))</f>
        <v>#N/A</v>
      </c>
      <c r="U3719" t="e">
        <f>VLOOKUP(Tabelle10[[#This Row],[Rank]],Stammdaten[[Rank Verteilung Krümmung]:[Verteilung Krümmung]],2,FALSE)</f>
        <v>#N/A</v>
      </c>
      <c r="Z3719">
        <v>3710</v>
      </c>
      <c r="AA3719" t="e">
        <f>INDEX(Stammdaten[Ovalität (']0,1'])],MATCH(Tabelle1014[[#This Row],[Rank]],Stammdaten[Rank Verteilung Ovalität],0))</f>
        <v>#N/A</v>
      </c>
      <c r="AB3719" t="e">
        <f>VLOOKUP(Tabelle1014[[#This Row],[Rank]],Stammdaten[[Rank Verteilung Ovalität]:[Verteilung Ovalität]],2,FALSE)</f>
        <v>#N/A</v>
      </c>
    </row>
    <row r="3720" spans="5:28" x14ac:dyDescent="0.35">
      <c r="E3720">
        <v>3711</v>
      </c>
      <c r="F3720" t="e">
        <f>INDEX(Stammdaten[D Mitte mit Rinde (mm)],MATCH(Tabelle8[[#This Row],[Rank]],Stammdaten[Rank Verteilung D Mitte mit Rinde],0))</f>
        <v>#N/A</v>
      </c>
      <c r="G3720" t="e">
        <f>VLOOKUP(Tabelle8[[#This Row],[Rank]],Stammdaten[[Rank Verteilung D Mitte mit Rinde]:[Verteilung D Mitte mit Rinde]],2,FALSE)</f>
        <v>#N/A</v>
      </c>
      <c r="L3720">
        <v>3711</v>
      </c>
      <c r="M3720" t="e">
        <f>INDEX(Stammdaten[Abholzigkeit (mm/lfm)],MATCH(Tabelle9[[#This Row],[Rank]],Stammdaten[Rank Verteilung Abholzigkeit],0))</f>
        <v>#N/A</v>
      </c>
      <c r="N3720" t="e">
        <f>VLOOKUP(Tabelle9[[#This Row],[Rank]],Stammdaten[[Rank Verteilung Abholzigkeit]:[Verteilung Abholzigkeit]],2,FALSE)</f>
        <v>#N/A</v>
      </c>
      <c r="S3720">
        <v>3711</v>
      </c>
      <c r="T3720" t="e">
        <f>INDEX(Stammdaten[Krümmung (mm/lfm)],MATCH(Tabelle10[[#This Row],[Rank]],Stammdaten[Rank Verteilung Krümmung],0))</f>
        <v>#N/A</v>
      </c>
      <c r="U3720" t="e">
        <f>VLOOKUP(Tabelle10[[#This Row],[Rank]],Stammdaten[[Rank Verteilung Krümmung]:[Verteilung Krümmung]],2,FALSE)</f>
        <v>#N/A</v>
      </c>
      <c r="Z3720">
        <v>3711</v>
      </c>
      <c r="AA3720" t="e">
        <f>INDEX(Stammdaten[Ovalität (']0,1'])],MATCH(Tabelle1014[[#This Row],[Rank]],Stammdaten[Rank Verteilung Ovalität],0))</f>
        <v>#N/A</v>
      </c>
      <c r="AB3720" t="e">
        <f>VLOOKUP(Tabelle1014[[#This Row],[Rank]],Stammdaten[[Rank Verteilung Ovalität]:[Verteilung Ovalität]],2,FALSE)</f>
        <v>#N/A</v>
      </c>
    </row>
    <row r="3721" spans="5:28" x14ac:dyDescent="0.35">
      <c r="E3721">
        <v>3712</v>
      </c>
      <c r="F3721" t="e">
        <f>INDEX(Stammdaten[D Mitte mit Rinde (mm)],MATCH(Tabelle8[[#This Row],[Rank]],Stammdaten[Rank Verteilung D Mitte mit Rinde],0))</f>
        <v>#N/A</v>
      </c>
      <c r="G3721" t="e">
        <f>VLOOKUP(Tabelle8[[#This Row],[Rank]],Stammdaten[[Rank Verteilung D Mitte mit Rinde]:[Verteilung D Mitte mit Rinde]],2,FALSE)</f>
        <v>#N/A</v>
      </c>
      <c r="L3721">
        <v>3712</v>
      </c>
      <c r="M3721" t="e">
        <f>INDEX(Stammdaten[Abholzigkeit (mm/lfm)],MATCH(Tabelle9[[#This Row],[Rank]],Stammdaten[Rank Verteilung Abholzigkeit],0))</f>
        <v>#N/A</v>
      </c>
      <c r="N3721" t="e">
        <f>VLOOKUP(Tabelle9[[#This Row],[Rank]],Stammdaten[[Rank Verteilung Abholzigkeit]:[Verteilung Abholzigkeit]],2,FALSE)</f>
        <v>#N/A</v>
      </c>
      <c r="S3721">
        <v>3712</v>
      </c>
      <c r="T3721" t="e">
        <f>INDEX(Stammdaten[Krümmung (mm/lfm)],MATCH(Tabelle10[[#This Row],[Rank]],Stammdaten[Rank Verteilung Krümmung],0))</f>
        <v>#N/A</v>
      </c>
      <c r="U3721" t="e">
        <f>VLOOKUP(Tabelle10[[#This Row],[Rank]],Stammdaten[[Rank Verteilung Krümmung]:[Verteilung Krümmung]],2,FALSE)</f>
        <v>#N/A</v>
      </c>
      <c r="Z3721">
        <v>3712</v>
      </c>
      <c r="AA3721" t="e">
        <f>INDEX(Stammdaten[Ovalität (']0,1'])],MATCH(Tabelle1014[[#This Row],[Rank]],Stammdaten[Rank Verteilung Ovalität],0))</f>
        <v>#N/A</v>
      </c>
      <c r="AB3721" t="e">
        <f>VLOOKUP(Tabelle1014[[#This Row],[Rank]],Stammdaten[[Rank Verteilung Ovalität]:[Verteilung Ovalität]],2,FALSE)</f>
        <v>#N/A</v>
      </c>
    </row>
    <row r="3722" spans="5:28" x14ac:dyDescent="0.35">
      <c r="E3722">
        <v>3713</v>
      </c>
      <c r="F3722" t="e">
        <f>INDEX(Stammdaten[D Mitte mit Rinde (mm)],MATCH(Tabelle8[[#This Row],[Rank]],Stammdaten[Rank Verteilung D Mitte mit Rinde],0))</f>
        <v>#N/A</v>
      </c>
      <c r="G3722" t="e">
        <f>VLOOKUP(Tabelle8[[#This Row],[Rank]],Stammdaten[[Rank Verteilung D Mitte mit Rinde]:[Verteilung D Mitte mit Rinde]],2,FALSE)</f>
        <v>#N/A</v>
      </c>
      <c r="L3722">
        <v>3713</v>
      </c>
      <c r="M3722" t="e">
        <f>INDEX(Stammdaten[Abholzigkeit (mm/lfm)],MATCH(Tabelle9[[#This Row],[Rank]],Stammdaten[Rank Verteilung Abholzigkeit],0))</f>
        <v>#N/A</v>
      </c>
      <c r="N3722" t="e">
        <f>VLOOKUP(Tabelle9[[#This Row],[Rank]],Stammdaten[[Rank Verteilung Abholzigkeit]:[Verteilung Abholzigkeit]],2,FALSE)</f>
        <v>#N/A</v>
      </c>
      <c r="S3722">
        <v>3713</v>
      </c>
      <c r="T3722" t="e">
        <f>INDEX(Stammdaten[Krümmung (mm/lfm)],MATCH(Tabelle10[[#This Row],[Rank]],Stammdaten[Rank Verteilung Krümmung],0))</f>
        <v>#N/A</v>
      </c>
      <c r="U3722" t="e">
        <f>VLOOKUP(Tabelle10[[#This Row],[Rank]],Stammdaten[[Rank Verteilung Krümmung]:[Verteilung Krümmung]],2,FALSE)</f>
        <v>#N/A</v>
      </c>
      <c r="Z3722">
        <v>3713</v>
      </c>
      <c r="AA3722" t="e">
        <f>INDEX(Stammdaten[Ovalität (']0,1'])],MATCH(Tabelle1014[[#This Row],[Rank]],Stammdaten[Rank Verteilung Ovalität],0))</f>
        <v>#N/A</v>
      </c>
      <c r="AB3722" t="e">
        <f>VLOOKUP(Tabelle1014[[#This Row],[Rank]],Stammdaten[[Rank Verteilung Ovalität]:[Verteilung Ovalität]],2,FALSE)</f>
        <v>#N/A</v>
      </c>
    </row>
    <row r="3723" spans="5:28" x14ac:dyDescent="0.35">
      <c r="E3723">
        <v>3714</v>
      </c>
      <c r="F3723" t="e">
        <f>INDEX(Stammdaten[D Mitte mit Rinde (mm)],MATCH(Tabelle8[[#This Row],[Rank]],Stammdaten[Rank Verteilung D Mitte mit Rinde],0))</f>
        <v>#N/A</v>
      </c>
      <c r="G3723" t="e">
        <f>VLOOKUP(Tabelle8[[#This Row],[Rank]],Stammdaten[[Rank Verteilung D Mitte mit Rinde]:[Verteilung D Mitte mit Rinde]],2,FALSE)</f>
        <v>#N/A</v>
      </c>
      <c r="L3723">
        <v>3714</v>
      </c>
      <c r="M3723" t="e">
        <f>INDEX(Stammdaten[Abholzigkeit (mm/lfm)],MATCH(Tabelle9[[#This Row],[Rank]],Stammdaten[Rank Verteilung Abholzigkeit],0))</f>
        <v>#N/A</v>
      </c>
      <c r="N3723" t="e">
        <f>VLOOKUP(Tabelle9[[#This Row],[Rank]],Stammdaten[[Rank Verteilung Abholzigkeit]:[Verteilung Abholzigkeit]],2,FALSE)</f>
        <v>#N/A</v>
      </c>
      <c r="S3723">
        <v>3714</v>
      </c>
      <c r="T3723" t="e">
        <f>INDEX(Stammdaten[Krümmung (mm/lfm)],MATCH(Tabelle10[[#This Row],[Rank]],Stammdaten[Rank Verteilung Krümmung],0))</f>
        <v>#N/A</v>
      </c>
      <c r="U3723" t="e">
        <f>VLOOKUP(Tabelle10[[#This Row],[Rank]],Stammdaten[[Rank Verteilung Krümmung]:[Verteilung Krümmung]],2,FALSE)</f>
        <v>#N/A</v>
      </c>
      <c r="Z3723">
        <v>3714</v>
      </c>
      <c r="AA3723" t="e">
        <f>INDEX(Stammdaten[Ovalität (']0,1'])],MATCH(Tabelle1014[[#This Row],[Rank]],Stammdaten[Rank Verteilung Ovalität],0))</f>
        <v>#N/A</v>
      </c>
      <c r="AB3723" t="e">
        <f>VLOOKUP(Tabelle1014[[#This Row],[Rank]],Stammdaten[[Rank Verteilung Ovalität]:[Verteilung Ovalität]],2,FALSE)</f>
        <v>#N/A</v>
      </c>
    </row>
    <row r="3724" spans="5:28" x14ac:dyDescent="0.35">
      <c r="E3724">
        <v>3715</v>
      </c>
      <c r="F3724" t="e">
        <f>INDEX(Stammdaten[D Mitte mit Rinde (mm)],MATCH(Tabelle8[[#This Row],[Rank]],Stammdaten[Rank Verteilung D Mitte mit Rinde],0))</f>
        <v>#N/A</v>
      </c>
      <c r="G3724" t="e">
        <f>VLOOKUP(Tabelle8[[#This Row],[Rank]],Stammdaten[[Rank Verteilung D Mitte mit Rinde]:[Verteilung D Mitte mit Rinde]],2,FALSE)</f>
        <v>#N/A</v>
      </c>
      <c r="L3724">
        <v>3715</v>
      </c>
      <c r="M3724" t="e">
        <f>INDEX(Stammdaten[Abholzigkeit (mm/lfm)],MATCH(Tabelle9[[#This Row],[Rank]],Stammdaten[Rank Verteilung Abholzigkeit],0))</f>
        <v>#N/A</v>
      </c>
      <c r="N3724" t="e">
        <f>VLOOKUP(Tabelle9[[#This Row],[Rank]],Stammdaten[[Rank Verteilung Abholzigkeit]:[Verteilung Abholzigkeit]],2,FALSE)</f>
        <v>#N/A</v>
      </c>
      <c r="S3724">
        <v>3715</v>
      </c>
      <c r="T3724" t="e">
        <f>INDEX(Stammdaten[Krümmung (mm/lfm)],MATCH(Tabelle10[[#This Row],[Rank]],Stammdaten[Rank Verteilung Krümmung],0))</f>
        <v>#N/A</v>
      </c>
      <c r="U3724" t="e">
        <f>VLOOKUP(Tabelle10[[#This Row],[Rank]],Stammdaten[[Rank Verteilung Krümmung]:[Verteilung Krümmung]],2,FALSE)</f>
        <v>#N/A</v>
      </c>
      <c r="Z3724">
        <v>3715</v>
      </c>
      <c r="AA3724" t="e">
        <f>INDEX(Stammdaten[Ovalität (']0,1'])],MATCH(Tabelle1014[[#This Row],[Rank]],Stammdaten[Rank Verteilung Ovalität],0))</f>
        <v>#N/A</v>
      </c>
      <c r="AB3724" t="e">
        <f>VLOOKUP(Tabelle1014[[#This Row],[Rank]],Stammdaten[[Rank Verteilung Ovalität]:[Verteilung Ovalität]],2,FALSE)</f>
        <v>#N/A</v>
      </c>
    </row>
    <row r="3725" spans="5:28" x14ac:dyDescent="0.35">
      <c r="E3725">
        <v>3716</v>
      </c>
      <c r="F3725" t="e">
        <f>INDEX(Stammdaten[D Mitte mit Rinde (mm)],MATCH(Tabelle8[[#This Row],[Rank]],Stammdaten[Rank Verteilung D Mitte mit Rinde],0))</f>
        <v>#N/A</v>
      </c>
      <c r="G3725" t="e">
        <f>VLOOKUP(Tabelle8[[#This Row],[Rank]],Stammdaten[[Rank Verteilung D Mitte mit Rinde]:[Verteilung D Mitte mit Rinde]],2,FALSE)</f>
        <v>#N/A</v>
      </c>
      <c r="L3725">
        <v>3716</v>
      </c>
      <c r="M3725" t="e">
        <f>INDEX(Stammdaten[Abholzigkeit (mm/lfm)],MATCH(Tabelle9[[#This Row],[Rank]],Stammdaten[Rank Verteilung Abholzigkeit],0))</f>
        <v>#N/A</v>
      </c>
      <c r="N3725" t="e">
        <f>VLOOKUP(Tabelle9[[#This Row],[Rank]],Stammdaten[[Rank Verteilung Abholzigkeit]:[Verteilung Abholzigkeit]],2,FALSE)</f>
        <v>#N/A</v>
      </c>
      <c r="S3725">
        <v>3716</v>
      </c>
      <c r="T3725" t="e">
        <f>INDEX(Stammdaten[Krümmung (mm/lfm)],MATCH(Tabelle10[[#This Row],[Rank]],Stammdaten[Rank Verteilung Krümmung],0))</f>
        <v>#N/A</v>
      </c>
      <c r="U3725" t="e">
        <f>VLOOKUP(Tabelle10[[#This Row],[Rank]],Stammdaten[[Rank Verteilung Krümmung]:[Verteilung Krümmung]],2,FALSE)</f>
        <v>#N/A</v>
      </c>
      <c r="Z3725">
        <v>3716</v>
      </c>
      <c r="AA3725" t="e">
        <f>INDEX(Stammdaten[Ovalität (']0,1'])],MATCH(Tabelle1014[[#This Row],[Rank]],Stammdaten[Rank Verteilung Ovalität],0))</f>
        <v>#N/A</v>
      </c>
      <c r="AB3725" t="e">
        <f>VLOOKUP(Tabelle1014[[#This Row],[Rank]],Stammdaten[[Rank Verteilung Ovalität]:[Verteilung Ovalität]],2,FALSE)</f>
        <v>#N/A</v>
      </c>
    </row>
    <row r="3726" spans="5:28" x14ac:dyDescent="0.35">
      <c r="E3726">
        <v>3717</v>
      </c>
      <c r="F3726" t="e">
        <f>INDEX(Stammdaten[D Mitte mit Rinde (mm)],MATCH(Tabelle8[[#This Row],[Rank]],Stammdaten[Rank Verteilung D Mitte mit Rinde],0))</f>
        <v>#N/A</v>
      </c>
      <c r="G3726" t="e">
        <f>VLOOKUP(Tabelle8[[#This Row],[Rank]],Stammdaten[[Rank Verteilung D Mitte mit Rinde]:[Verteilung D Mitte mit Rinde]],2,FALSE)</f>
        <v>#N/A</v>
      </c>
      <c r="L3726">
        <v>3717</v>
      </c>
      <c r="M3726" t="e">
        <f>INDEX(Stammdaten[Abholzigkeit (mm/lfm)],MATCH(Tabelle9[[#This Row],[Rank]],Stammdaten[Rank Verteilung Abholzigkeit],0))</f>
        <v>#N/A</v>
      </c>
      <c r="N3726" t="e">
        <f>VLOOKUP(Tabelle9[[#This Row],[Rank]],Stammdaten[[Rank Verteilung Abholzigkeit]:[Verteilung Abholzigkeit]],2,FALSE)</f>
        <v>#N/A</v>
      </c>
      <c r="S3726">
        <v>3717</v>
      </c>
      <c r="T3726" t="e">
        <f>INDEX(Stammdaten[Krümmung (mm/lfm)],MATCH(Tabelle10[[#This Row],[Rank]],Stammdaten[Rank Verteilung Krümmung],0))</f>
        <v>#N/A</v>
      </c>
      <c r="U3726" t="e">
        <f>VLOOKUP(Tabelle10[[#This Row],[Rank]],Stammdaten[[Rank Verteilung Krümmung]:[Verteilung Krümmung]],2,FALSE)</f>
        <v>#N/A</v>
      </c>
      <c r="Z3726">
        <v>3717</v>
      </c>
      <c r="AA3726" t="e">
        <f>INDEX(Stammdaten[Ovalität (']0,1'])],MATCH(Tabelle1014[[#This Row],[Rank]],Stammdaten[Rank Verteilung Ovalität],0))</f>
        <v>#N/A</v>
      </c>
      <c r="AB3726" t="e">
        <f>VLOOKUP(Tabelle1014[[#This Row],[Rank]],Stammdaten[[Rank Verteilung Ovalität]:[Verteilung Ovalität]],2,FALSE)</f>
        <v>#N/A</v>
      </c>
    </row>
    <row r="3727" spans="5:28" x14ac:dyDescent="0.35">
      <c r="E3727">
        <v>3718</v>
      </c>
      <c r="F3727" t="e">
        <f>INDEX(Stammdaten[D Mitte mit Rinde (mm)],MATCH(Tabelle8[[#This Row],[Rank]],Stammdaten[Rank Verteilung D Mitte mit Rinde],0))</f>
        <v>#N/A</v>
      </c>
      <c r="G3727" t="e">
        <f>VLOOKUP(Tabelle8[[#This Row],[Rank]],Stammdaten[[Rank Verteilung D Mitte mit Rinde]:[Verteilung D Mitte mit Rinde]],2,FALSE)</f>
        <v>#N/A</v>
      </c>
      <c r="L3727">
        <v>3718</v>
      </c>
      <c r="M3727" t="e">
        <f>INDEX(Stammdaten[Abholzigkeit (mm/lfm)],MATCH(Tabelle9[[#This Row],[Rank]],Stammdaten[Rank Verteilung Abholzigkeit],0))</f>
        <v>#N/A</v>
      </c>
      <c r="N3727" t="e">
        <f>VLOOKUP(Tabelle9[[#This Row],[Rank]],Stammdaten[[Rank Verteilung Abholzigkeit]:[Verteilung Abholzigkeit]],2,FALSE)</f>
        <v>#N/A</v>
      </c>
      <c r="S3727">
        <v>3718</v>
      </c>
      <c r="T3727" t="e">
        <f>INDEX(Stammdaten[Krümmung (mm/lfm)],MATCH(Tabelle10[[#This Row],[Rank]],Stammdaten[Rank Verteilung Krümmung],0))</f>
        <v>#N/A</v>
      </c>
      <c r="U3727" t="e">
        <f>VLOOKUP(Tabelle10[[#This Row],[Rank]],Stammdaten[[Rank Verteilung Krümmung]:[Verteilung Krümmung]],2,FALSE)</f>
        <v>#N/A</v>
      </c>
      <c r="Z3727">
        <v>3718</v>
      </c>
      <c r="AA3727" t="e">
        <f>INDEX(Stammdaten[Ovalität (']0,1'])],MATCH(Tabelle1014[[#This Row],[Rank]],Stammdaten[Rank Verteilung Ovalität],0))</f>
        <v>#N/A</v>
      </c>
      <c r="AB3727" t="e">
        <f>VLOOKUP(Tabelle1014[[#This Row],[Rank]],Stammdaten[[Rank Verteilung Ovalität]:[Verteilung Ovalität]],2,FALSE)</f>
        <v>#N/A</v>
      </c>
    </row>
    <row r="3728" spans="5:28" x14ac:dyDescent="0.35">
      <c r="E3728">
        <v>3719</v>
      </c>
      <c r="F3728" t="e">
        <f>INDEX(Stammdaten[D Mitte mit Rinde (mm)],MATCH(Tabelle8[[#This Row],[Rank]],Stammdaten[Rank Verteilung D Mitte mit Rinde],0))</f>
        <v>#N/A</v>
      </c>
      <c r="G3728" t="e">
        <f>VLOOKUP(Tabelle8[[#This Row],[Rank]],Stammdaten[[Rank Verteilung D Mitte mit Rinde]:[Verteilung D Mitte mit Rinde]],2,FALSE)</f>
        <v>#N/A</v>
      </c>
      <c r="L3728">
        <v>3719</v>
      </c>
      <c r="M3728" t="e">
        <f>INDEX(Stammdaten[Abholzigkeit (mm/lfm)],MATCH(Tabelle9[[#This Row],[Rank]],Stammdaten[Rank Verteilung Abholzigkeit],0))</f>
        <v>#N/A</v>
      </c>
      <c r="N3728" t="e">
        <f>VLOOKUP(Tabelle9[[#This Row],[Rank]],Stammdaten[[Rank Verteilung Abholzigkeit]:[Verteilung Abholzigkeit]],2,FALSE)</f>
        <v>#N/A</v>
      </c>
      <c r="S3728">
        <v>3719</v>
      </c>
      <c r="T3728" t="e">
        <f>INDEX(Stammdaten[Krümmung (mm/lfm)],MATCH(Tabelle10[[#This Row],[Rank]],Stammdaten[Rank Verteilung Krümmung],0))</f>
        <v>#N/A</v>
      </c>
      <c r="U3728" t="e">
        <f>VLOOKUP(Tabelle10[[#This Row],[Rank]],Stammdaten[[Rank Verteilung Krümmung]:[Verteilung Krümmung]],2,FALSE)</f>
        <v>#N/A</v>
      </c>
      <c r="Z3728">
        <v>3719</v>
      </c>
      <c r="AA3728" t="e">
        <f>INDEX(Stammdaten[Ovalität (']0,1'])],MATCH(Tabelle1014[[#This Row],[Rank]],Stammdaten[Rank Verteilung Ovalität],0))</f>
        <v>#N/A</v>
      </c>
      <c r="AB3728" t="e">
        <f>VLOOKUP(Tabelle1014[[#This Row],[Rank]],Stammdaten[[Rank Verteilung Ovalität]:[Verteilung Ovalität]],2,FALSE)</f>
        <v>#N/A</v>
      </c>
    </row>
    <row r="3729" spans="5:28" x14ac:dyDescent="0.35">
      <c r="E3729">
        <v>3720</v>
      </c>
      <c r="F3729" t="e">
        <f>INDEX(Stammdaten[D Mitte mit Rinde (mm)],MATCH(Tabelle8[[#This Row],[Rank]],Stammdaten[Rank Verteilung D Mitte mit Rinde],0))</f>
        <v>#N/A</v>
      </c>
      <c r="G3729" t="e">
        <f>VLOOKUP(Tabelle8[[#This Row],[Rank]],Stammdaten[[Rank Verteilung D Mitte mit Rinde]:[Verteilung D Mitte mit Rinde]],2,FALSE)</f>
        <v>#N/A</v>
      </c>
      <c r="L3729">
        <v>3720</v>
      </c>
      <c r="M3729" t="e">
        <f>INDEX(Stammdaten[Abholzigkeit (mm/lfm)],MATCH(Tabelle9[[#This Row],[Rank]],Stammdaten[Rank Verteilung Abholzigkeit],0))</f>
        <v>#N/A</v>
      </c>
      <c r="N3729" t="e">
        <f>VLOOKUP(Tabelle9[[#This Row],[Rank]],Stammdaten[[Rank Verteilung Abholzigkeit]:[Verteilung Abholzigkeit]],2,FALSE)</f>
        <v>#N/A</v>
      </c>
      <c r="S3729">
        <v>3720</v>
      </c>
      <c r="T3729" t="e">
        <f>INDEX(Stammdaten[Krümmung (mm/lfm)],MATCH(Tabelle10[[#This Row],[Rank]],Stammdaten[Rank Verteilung Krümmung],0))</f>
        <v>#N/A</v>
      </c>
      <c r="U3729" t="e">
        <f>VLOOKUP(Tabelle10[[#This Row],[Rank]],Stammdaten[[Rank Verteilung Krümmung]:[Verteilung Krümmung]],2,FALSE)</f>
        <v>#N/A</v>
      </c>
      <c r="Z3729">
        <v>3720</v>
      </c>
      <c r="AA3729" t="e">
        <f>INDEX(Stammdaten[Ovalität (']0,1'])],MATCH(Tabelle1014[[#This Row],[Rank]],Stammdaten[Rank Verteilung Ovalität],0))</f>
        <v>#N/A</v>
      </c>
      <c r="AB3729" t="e">
        <f>VLOOKUP(Tabelle1014[[#This Row],[Rank]],Stammdaten[[Rank Verteilung Ovalität]:[Verteilung Ovalität]],2,FALSE)</f>
        <v>#N/A</v>
      </c>
    </row>
    <row r="3730" spans="5:28" x14ac:dyDescent="0.35">
      <c r="E3730">
        <v>3721</v>
      </c>
      <c r="F3730" t="e">
        <f>INDEX(Stammdaten[D Mitte mit Rinde (mm)],MATCH(Tabelle8[[#This Row],[Rank]],Stammdaten[Rank Verteilung D Mitte mit Rinde],0))</f>
        <v>#N/A</v>
      </c>
      <c r="G3730" t="e">
        <f>VLOOKUP(Tabelle8[[#This Row],[Rank]],Stammdaten[[Rank Verteilung D Mitte mit Rinde]:[Verteilung D Mitte mit Rinde]],2,FALSE)</f>
        <v>#N/A</v>
      </c>
      <c r="L3730">
        <v>3721</v>
      </c>
      <c r="M3730" t="e">
        <f>INDEX(Stammdaten[Abholzigkeit (mm/lfm)],MATCH(Tabelle9[[#This Row],[Rank]],Stammdaten[Rank Verteilung Abholzigkeit],0))</f>
        <v>#N/A</v>
      </c>
      <c r="N3730" t="e">
        <f>VLOOKUP(Tabelle9[[#This Row],[Rank]],Stammdaten[[Rank Verteilung Abholzigkeit]:[Verteilung Abholzigkeit]],2,FALSE)</f>
        <v>#N/A</v>
      </c>
      <c r="S3730">
        <v>3721</v>
      </c>
      <c r="T3730" t="e">
        <f>INDEX(Stammdaten[Krümmung (mm/lfm)],MATCH(Tabelle10[[#This Row],[Rank]],Stammdaten[Rank Verteilung Krümmung],0))</f>
        <v>#N/A</v>
      </c>
      <c r="U3730" t="e">
        <f>VLOOKUP(Tabelle10[[#This Row],[Rank]],Stammdaten[[Rank Verteilung Krümmung]:[Verteilung Krümmung]],2,FALSE)</f>
        <v>#N/A</v>
      </c>
      <c r="Z3730">
        <v>3721</v>
      </c>
      <c r="AA3730" t="e">
        <f>INDEX(Stammdaten[Ovalität (']0,1'])],MATCH(Tabelle1014[[#This Row],[Rank]],Stammdaten[Rank Verteilung Ovalität],0))</f>
        <v>#N/A</v>
      </c>
      <c r="AB3730" t="e">
        <f>VLOOKUP(Tabelle1014[[#This Row],[Rank]],Stammdaten[[Rank Verteilung Ovalität]:[Verteilung Ovalität]],2,FALSE)</f>
        <v>#N/A</v>
      </c>
    </row>
    <row r="3731" spans="5:28" x14ac:dyDescent="0.35">
      <c r="E3731">
        <v>3722</v>
      </c>
      <c r="F3731" t="e">
        <f>INDEX(Stammdaten[D Mitte mit Rinde (mm)],MATCH(Tabelle8[[#This Row],[Rank]],Stammdaten[Rank Verteilung D Mitte mit Rinde],0))</f>
        <v>#N/A</v>
      </c>
      <c r="G3731" t="e">
        <f>VLOOKUP(Tabelle8[[#This Row],[Rank]],Stammdaten[[Rank Verteilung D Mitte mit Rinde]:[Verteilung D Mitte mit Rinde]],2,FALSE)</f>
        <v>#N/A</v>
      </c>
      <c r="L3731">
        <v>3722</v>
      </c>
      <c r="M3731" t="e">
        <f>INDEX(Stammdaten[Abholzigkeit (mm/lfm)],MATCH(Tabelle9[[#This Row],[Rank]],Stammdaten[Rank Verteilung Abholzigkeit],0))</f>
        <v>#N/A</v>
      </c>
      <c r="N3731" t="e">
        <f>VLOOKUP(Tabelle9[[#This Row],[Rank]],Stammdaten[[Rank Verteilung Abholzigkeit]:[Verteilung Abholzigkeit]],2,FALSE)</f>
        <v>#N/A</v>
      </c>
      <c r="S3731">
        <v>3722</v>
      </c>
      <c r="T3731" t="e">
        <f>INDEX(Stammdaten[Krümmung (mm/lfm)],MATCH(Tabelle10[[#This Row],[Rank]],Stammdaten[Rank Verteilung Krümmung],0))</f>
        <v>#N/A</v>
      </c>
      <c r="U3731" t="e">
        <f>VLOOKUP(Tabelle10[[#This Row],[Rank]],Stammdaten[[Rank Verteilung Krümmung]:[Verteilung Krümmung]],2,FALSE)</f>
        <v>#N/A</v>
      </c>
      <c r="Z3731">
        <v>3722</v>
      </c>
      <c r="AA3731" t="e">
        <f>INDEX(Stammdaten[Ovalität (']0,1'])],MATCH(Tabelle1014[[#This Row],[Rank]],Stammdaten[Rank Verteilung Ovalität],0))</f>
        <v>#N/A</v>
      </c>
      <c r="AB3731" t="e">
        <f>VLOOKUP(Tabelle1014[[#This Row],[Rank]],Stammdaten[[Rank Verteilung Ovalität]:[Verteilung Ovalität]],2,FALSE)</f>
        <v>#N/A</v>
      </c>
    </row>
    <row r="3732" spans="5:28" x14ac:dyDescent="0.35">
      <c r="E3732">
        <v>3723</v>
      </c>
      <c r="F3732" t="e">
        <f>INDEX(Stammdaten[D Mitte mit Rinde (mm)],MATCH(Tabelle8[[#This Row],[Rank]],Stammdaten[Rank Verteilung D Mitte mit Rinde],0))</f>
        <v>#N/A</v>
      </c>
      <c r="G3732" t="e">
        <f>VLOOKUP(Tabelle8[[#This Row],[Rank]],Stammdaten[[Rank Verteilung D Mitte mit Rinde]:[Verteilung D Mitte mit Rinde]],2,FALSE)</f>
        <v>#N/A</v>
      </c>
      <c r="L3732">
        <v>3723</v>
      </c>
      <c r="M3732" t="e">
        <f>INDEX(Stammdaten[Abholzigkeit (mm/lfm)],MATCH(Tabelle9[[#This Row],[Rank]],Stammdaten[Rank Verteilung Abholzigkeit],0))</f>
        <v>#N/A</v>
      </c>
      <c r="N3732" t="e">
        <f>VLOOKUP(Tabelle9[[#This Row],[Rank]],Stammdaten[[Rank Verteilung Abholzigkeit]:[Verteilung Abholzigkeit]],2,FALSE)</f>
        <v>#N/A</v>
      </c>
      <c r="S3732">
        <v>3723</v>
      </c>
      <c r="T3732" t="e">
        <f>INDEX(Stammdaten[Krümmung (mm/lfm)],MATCH(Tabelle10[[#This Row],[Rank]],Stammdaten[Rank Verteilung Krümmung],0))</f>
        <v>#N/A</v>
      </c>
      <c r="U3732" t="e">
        <f>VLOOKUP(Tabelle10[[#This Row],[Rank]],Stammdaten[[Rank Verteilung Krümmung]:[Verteilung Krümmung]],2,FALSE)</f>
        <v>#N/A</v>
      </c>
      <c r="Z3732">
        <v>3723</v>
      </c>
      <c r="AA3732" t="e">
        <f>INDEX(Stammdaten[Ovalität (']0,1'])],MATCH(Tabelle1014[[#This Row],[Rank]],Stammdaten[Rank Verteilung Ovalität],0))</f>
        <v>#N/A</v>
      </c>
      <c r="AB3732" t="e">
        <f>VLOOKUP(Tabelle1014[[#This Row],[Rank]],Stammdaten[[Rank Verteilung Ovalität]:[Verteilung Ovalität]],2,FALSE)</f>
        <v>#N/A</v>
      </c>
    </row>
    <row r="3733" spans="5:28" x14ac:dyDescent="0.35">
      <c r="E3733">
        <v>3724</v>
      </c>
      <c r="F3733" t="e">
        <f>INDEX(Stammdaten[D Mitte mit Rinde (mm)],MATCH(Tabelle8[[#This Row],[Rank]],Stammdaten[Rank Verteilung D Mitte mit Rinde],0))</f>
        <v>#N/A</v>
      </c>
      <c r="G3733" t="e">
        <f>VLOOKUP(Tabelle8[[#This Row],[Rank]],Stammdaten[[Rank Verteilung D Mitte mit Rinde]:[Verteilung D Mitte mit Rinde]],2,FALSE)</f>
        <v>#N/A</v>
      </c>
      <c r="L3733">
        <v>3724</v>
      </c>
      <c r="M3733" t="e">
        <f>INDEX(Stammdaten[Abholzigkeit (mm/lfm)],MATCH(Tabelle9[[#This Row],[Rank]],Stammdaten[Rank Verteilung Abholzigkeit],0))</f>
        <v>#N/A</v>
      </c>
      <c r="N3733" t="e">
        <f>VLOOKUP(Tabelle9[[#This Row],[Rank]],Stammdaten[[Rank Verteilung Abholzigkeit]:[Verteilung Abholzigkeit]],2,FALSE)</f>
        <v>#N/A</v>
      </c>
      <c r="S3733">
        <v>3724</v>
      </c>
      <c r="T3733" t="e">
        <f>INDEX(Stammdaten[Krümmung (mm/lfm)],MATCH(Tabelle10[[#This Row],[Rank]],Stammdaten[Rank Verteilung Krümmung],0))</f>
        <v>#N/A</v>
      </c>
      <c r="U3733" t="e">
        <f>VLOOKUP(Tabelle10[[#This Row],[Rank]],Stammdaten[[Rank Verteilung Krümmung]:[Verteilung Krümmung]],2,FALSE)</f>
        <v>#N/A</v>
      </c>
      <c r="Z3733">
        <v>3724</v>
      </c>
      <c r="AA3733" t="e">
        <f>INDEX(Stammdaten[Ovalität (']0,1'])],MATCH(Tabelle1014[[#This Row],[Rank]],Stammdaten[Rank Verteilung Ovalität],0))</f>
        <v>#N/A</v>
      </c>
      <c r="AB3733" t="e">
        <f>VLOOKUP(Tabelle1014[[#This Row],[Rank]],Stammdaten[[Rank Verteilung Ovalität]:[Verteilung Ovalität]],2,FALSE)</f>
        <v>#N/A</v>
      </c>
    </row>
    <row r="3734" spans="5:28" x14ac:dyDescent="0.35">
      <c r="E3734">
        <v>3725</v>
      </c>
      <c r="F3734" t="e">
        <f>INDEX(Stammdaten[D Mitte mit Rinde (mm)],MATCH(Tabelle8[[#This Row],[Rank]],Stammdaten[Rank Verteilung D Mitte mit Rinde],0))</f>
        <v>#N/A</v>
      </c>
      <c r="G3734" t="e">
        <f>VLOOKUP(Tabelle8[[#This Row],[Rank]],Stammdaten[[Rank Verteilung D Mitte mit Rinde]:[Verteilung D Mitte mit Rinde]],2,FALSE)</f>
        <v>#N/A</v>
      </c>
      <c r="L3734">
        <v>3725</v>
      </c>
      <c r="M3734" t="e">
        <f>INDEX(Stammdaten[Abholzigkeit (mm/lfm)],MATCH(Tabelle9[[#This Row],[Rank]],Stammdaten[Rank Verteilung Abholzigkeit],0))</f>
        <v>#N/A</v>
      </c>
      <c r="N3734" t="e">
        <f>VLOOKUP(Tabelle9[[#This Row],[Rank]],Stammdaten[[Rank Verteilung Abholzigkeit]:[Verteilung Abholzigkeit]],2,FALSE)</f>
        <v>#N/A</v>
      </c>
      <c r="S3734">
        <v>3725</v>
      </c>
      <c r="T3734" t="e">
        <f>INDEX(Stammdaten[Krümmung (mm/lfm)],MATCH(Tabelle10[[#This Row],[Rank]],Stammdaten[Rank Verteilung Krümmung],0))</f>
        <v>#N/A</v>
      </c>
      <c r="U3734" t="e">
        <f>VLOOKUP(Tabelle10[[#This Row],[Rank]],Stammdaten[[Rank Verteilung Krümmung]:[Verteilung Krümmung]],2,FALSE)</f>
        <v>#N/A</v>
      </c>
      <c r="Z3734">
        <v>3725</v>
      </c>
      <c r="AA3734" t="e">
        <f>INDEX(Stammdaten[Ovalität (']0,1'])],MATCH(Tabelle1014[[#This Row],[Rank]],Stammdaten[Rank Verteilung Ovalität],0))</f>
        <v>#N/A</v>
      </c>
      <c r="AB3734" t="e">
        <f>VLOOKUP(Tabelle1014[[#This Row],[Rank]],Stammdaten[[Rank Verteilung Ovalität]:[Verteilung Ovalität]],2,FALSE)</f>
        <v>#N/A</v>
      </c>
    </row>
    <row r="3735" spans="5:28" x14ac:dyDescent="0.35">
      <c r="E3735">
        <v>3726</v>
      </c>
      <c r="F3735" t="e">
        <f>INDEX(Stammdaten[D Mitte mit Rinde (mm)],MATCH(Tabelle8[[#This Row],[Rank]],Stammdaten[Rank Verteilung D Mitte mit Rinde],0))</f>
        <v>#N/A</v>
      </c>
      <c r="G3735" t="e">
        <f>VLOOKUP(Tabelle8[[#This Row],[Rank]],Stammdaten[[Rank Verteilung D Mitte mit Rinde]:[Verteilung D Mitte mit Rinde]],2,FALSE)</f>
        <v>#N/A</v>
      </c>
      <c r="L3735">
        <v>3726</v>
      </c>
      <c r="M3735" t="e">
        <f>INDEX(Stammdaten[Abholzigkeit (mm/lfm)],MATCH(Tabelle9[[#This Row],[Rank]],Stammdaten[Rank Verteilung Abholzigkeit],0))</f>
        <v>#N/A</v>
      </c>
      <c r="N3735" t="e">
        <f>VLOOKUP(Tabelle9[[#This Row],[Rank]],Stammdaten[[Rank Verteilung Abholzigkeit]:[Verteilung Abholzigkeit]],2,FALSE)</f>
        <v>#N/A</v>
      </c>
      <c r="S3735">
        <v>3726</v>
      </c>
      <c r="T3735" t="e">
        <f>INDEX(Stammdaten[Krümmung (mm/lfm)],MATCH(Tabelle10[[#This Row],[Rank]],Stammdaten[Rank Verteilung Krümmung],0))</f>
        <v>#N/A</v>
      </c>
      <c r="U3735" t="e">
        <f>VLOOKUP(Tabelle10[[#This Row],[Rank]],Stammdaten[[Rank Verteilung Krümmung]:[Verteilung Krümmung]],2,FALSE)</f>
        <v>#N/A</v>
      </c>
      <c r="Z3735">
        <v>3726</v>
      </c>
      <c r="AA3735" t="e">
        <f>INDEX(Stammdaten[Ovalität (']0,1'])],MATCH(Tabelle1014[[#This Row],[Rank]],Stammdaten[Rank Verteilung Ovalität],0))</f>
        <v>#N/A</v>
      </c>
      <c r="AB3735" t="e">
        <f>VLOOKUP(Tabelle1014[[#This Row],[Rank]],Stammdaten[[Rank Verteilung Ovalität]:[Verteilung Ovalität]],2,FALSE)</f>
        <v>#N/A</v>
      </c>
    </row>
    <row r="3736" spans="5:28" x14ac:dyDescent="0.35">
      <c r="E3736">
        <v>3727</v>
      </c>
      <c r="F3736" t="e">
        <f>INDEX(Stammdaten[D Mitte mit Rinde (mm)],MATCH(Tabelle8[[#This Row],[Rank]],Stammdaten[Rank Verteilung D Mitte mit Rinde],0))</f>
        <v>#N/A</v>
      </c>
      <c r="G3736" t="e">
        <f>VLOOKUP(Tabelle8[[#This Row],[Rank]],Stammdaten[[Rank Verteilung D Mitte mit Rinde]:[Verteilung D Mitte mit Rinde]],2,FALSE)</f>
        <v>#N/A</v>
      </c>
      <c r="L3736">
        <v>3727</v>
      </c>
      <c r="M3736" t="e">
        <f>INDEX(Stammdaten[Abholzigkeit (mm/lfm)],MATCH(Tabelle9[[#This Row],[Rank]],Stammdaten[Rank Verteilung Abholzigkeit],0))</f>
        <v>#N/A</v>
      </c>
      <c r="N3736" t="e">
        <f>VLOOKUP(Tabelle9[[#This Row],[Rank]],Stammdaten[[Rank Verteilung Abholzigkeit]:[Verteilung Abholzigkeit]],2,FALSE)</f>
        <v>#N/A</v>
      </c>
      <c r="S3736">
        <v>3727</v>
      </c>
      <c r="T3736" t="e">
        <f>INDEX(Stammdaten[Krümmung (mm/lfm)],MATCH(Tabelle10[[#This Row],[Rank]],Stammdaten[Rank Verteilung Krümmung],0))</f>
        <v>#N/A</v>
      </c>
      <c r="U3736" t="e">
        <f>VLOOKUP(Tabelle10[[#This Row],[Rank]],Stammdaten[[Rank Verteilung Krümmung]:[Verteilung Krümmung]],2,FALSE)</f>
        <v>#N/A</v>
      </c>
      <c r="Z3736">
        <v>3727</v>
      </c>
      <c r="AA3736" t="e">
        <f>INDEX(Stammdaten[Ovalität (']0,1'])],MATCH(Tabelle1014[[#This Row],[Rank]],Stammdaten[Rank Verteilung Ovalität],0))</f>
        <v>#N/A</v>
      </c>
      <c r="AB3736" t="e">
        <f>VLOOKUP(Tabelle1014[[#This Row],[Rank]],Stammdaten[[Rank Verteilung Ovalität]:[Verteilung Ovalität]],2,FALSE)</f>
        <v>#N/A</v>
      </c>
    </row>
    <row r="3737" spans="5:28" x14ac:dyDescent="0.35">
      <c r="E3737">
        <v>3728</v>
      </c>
      <c r="F3737" t="e">
        <f>INDEX(Stammdaten[D Mitte mit Rinde (mm)],MATCH(Tabelle8[[#This Row],[Rank]],Stammdaten[Rank Verteilung D Mitte mit Rinde],0))</f>
        <v>#N/A</v>
      </c>
      <c r="G3737" t="e">
        <f>VLOOKUP(Tabelle8[[#This Row],[Rank]],Stammdaten[[Rank Verteilung D Mitte mit Rinde]:[Verteilung D Mitte mit Rinde]],2,FALSE)</f>
        <v>#N/A</v>
      </c>
      <c r="L3737">
        <v>3728</v>
      </c>
      <c r="M3737" t="e">
        <f>INDEX(Stammdaten[Abholzigkeit (mm/lfm)],MATCH(Tabelle9[[#This Row],[Rank]],Stammdaten[Rank Verteilung Abholzigkeit],0))</f>
        <v>#N/A</v>
      </c>
      <c r="N3737" t="e">
        <f>VLOOKUP(Tabelle9[[#This Row],[Rank]],Stammdaten[[Rank Verteilung Abholzigkeit]:[Verteilung Abholzigkeit]],2,FALSE)</f>
        <v>#N/A</v>
      </c>
      <c r="S3737">
        <v>3728</v>
      </c>
      <c r="T3737" t="e">
        <f>INDEX(Stammdaten[Krümmung (mm/lfm)],MATCH(Tabelle10[[#This Row],[Rank]],Stammdaten[Rank Verteilung Krümmung],0))</f>
        <v>#N/A</v>
      </c>
      <c r="U3737" t="e">
        <f>VLOOKUP(Tabelle10[[#This Row],[Rank]],Stammdaten[[Rank Verteilung Krümmung]:[Verteilung Krümmung]],2,FALSE)</f>
        <v>#N/A</v>
      </c>
      <c r="Z3737">
        <v>3728</v>
      </c>
      <c r="AA3737" t="e">
        <f>INDEX(Stammdaten[Ovalität (']0,1'])],MATCH(Tabelle1014[[#This Row],[Rank]],Stammdaten[Rank Verteilung Ovalität],0))</f>
        <v>#N/A</v>
      </c>
      <c r="AB3737" t="e">
        <f>VLOOKUP(Tabelle1014[[#This Row],[Rank]],Stammdaten[[Rank Verteilung Ovalität]:[Verteilung Ovalität]],2,FALSE)</f>
        <v>#N/A</v>
      </c>
    </row>
    <row r="3738" spans="5:28" x14ac:dyDescent="0.35">
      <c r="E3738">
        <v>3729</v>
      </c>
      <c r="F3738" t="e">
        <f>INDEX(Stammdaten[D Mitte mit Rinde (mm)],MATCH(Tabelle8[[#This Row],[Rank]],Stammdaten[Rank Verteilung D Mitte mit Rinde],0))</f>
        <v>#N/A</v>
      </c>
      <c r="G3738" t="e">
        <f>VLOOKUP(Tabelle8[[#This Row],[Rank]],Stammdaten[[Rank Verteilung D Mitte mit Rinde]:[Verteilung D Mitte mit Rinde]],2,FALSE)</f>
        <v>#N/A</v>
      </c>
      <c r="L3738">
        <v>3729</v>
      </c>
      <c r="M3738" t="e">
        <f>INDEX(Stammdaten[Abholzigkeit (mm/lfm)],MATCH(Tabelle9[[#This Row],[Rank]],Stammdaten[Rank Verteilung Abholzigkeit],0))</f>
        <v>#N/A</v>
      </c>
      <c r="N3738" t="e">
        <f>VLOOKUP(Tabelle9[[#This Row],[Rank]],Stammdaten[[Rank Verteilung Abholzigkeit]:[Verteilung Abholzigkeit]],2,FALSE)</f>
        <v>#N/A</v>
      </c>
      <c r="S3738">
        <v>3729</v>
      </c>
      <c r="T3738" t="e">
        <f>INDEX(Stammdaten[Krümmung (mm/lfm)],MATCH(Tabelle10[[#This Row],[Rank]],Stammdaten[Rank Verteilung Krümmung],0))</f>
        <v>#N/A</v>
      </c>
      <c r="U3738" t="e">
        <f>VLOOKUP(Tabelle10[[#This Row],[Rank]],Stammdaten[[Rank Verteilung Krümmung]:[Verteilung Krümmung]],2,FALSE)</f>
        <v>#N/A</v>
      </c>
      <c r="Z3738">
        <v>3729</v>
      </c>
      <c r="AA3738" t="e">
        <f>INDEX(Stammdaten[Ovalität (']0,1'])],MATCH(Tabelle1014[[#This Row],[Rank]],Stammdaten[Rank Verteilung Ovalität],0))</f>
        <v>#N/A</v>
      </c>
      <c r="AB3738" t="e">
        <f>VLOOKUP(Tabelle1014[[#This Row],[Rank]],Stammdaten[[Rank Verteilung Ovalität]:[Verteilung Ovalität]],2,FALSE)</f>
        <v>#N/A</v>
      </c>
    </row>
    <row r="3739" spans="5:28" x14ac:dyDescent="0.35">
      <c r="E3739">
        <v>3730</v>
      </c>
      <c r="F3739" t="e">
        <f>INDEX(Stammdaten[D Mitte mit Rinde (mm)],MATCH(Tabelle8[[#This Row],[Rank]],Stammdaten[Rank Verteilung D Mitte mit Rinde],0))</f>
        <v>#N/A</v>
      </c>
      <c r="G3739" t="e">
        <f>VLOOKUP(Tabelle8[[#This Row],[Rank]],Stammdaten[[Rank Verteilung D Mitte mit Rinde]:[Verteilung D Mitte mit Rinde]],2,FALSE)</f>
        <v>#N/A</v>
      </c>
      <c r="L3739">
        <v>3730</v>
      </c>
      <c r="M3739" t="e">
        <f>INDEX(Stammdaten[Abholzigkeit (mm/lfm)],MATCH(Tabelle9[[#This Row],[Rank]],Stammdaten[Rank Verteilung Abholzigkeit],0))</f>
        <v>#N/A</v>
      </c>
      <c r="N3739" t="e">
        <f>VLOOKUP(Tabelle9[[#This Row],[Rank]],Stammdaten[[Rank Verteilung Abholzigkeit]:[Verteilung Abholzigkeit]],2,FALSE)</f>
        <v>#N/A</v>
      </c>
      <c r="S3739">
        <v>3730</v>
      </c>
      <c r="T3739" t="e">
        <f>INDEX(Stammdaten[Krümmung (mm/lfm)],MATCH(Tabelle10[[#This Row],[Rank]],Stammdaten[Rank Verteilung Krümmung],0))</f>
        <v>#N/A</v>
      </c>
      <c r="U3739" t="e">
        <f>VLOOKUP(Tabelle10[[#This Row],[Rank]],Stammdaten[[Rank Verteilung Krümmung]:[Verteilung Krümmung]],2,FALSE)</f>
        <v>#N/A</v>
      </c>
      <c r="Z3739">
        <v>3730</v>
      </c>
      <c r="AA3739" t="e">
        <f>INDEX(Stammdaten[Ovalität (']0,1'])],MATCH(Tabelle1014[[#This Row],[Rank]],Stammdaten[Rank Verteilung Ovalität],0))</f>
        <v>#N/A</v>
      </c>
      <c r="AB3739" t="e">
        <f>VLOOKUP(Tabelle1014[[#This Row],[Rank]],Stammdaten[[Rank Verteilung Ovalität]:[Verteilung Ovalität]],2,FALSE)</f>
        <v>#N/A</v>
      </c>
    </row>
    <row r="3740" spans="5:28" x14ac:dyDescent="0.35">
      <c r="E3740">
        <v>3731</v>
      </c>
      <c r="F3740" t="e">
        <f>INDEX(Stammdaten[D Mitte mit Rinde (mm)],MATCH(Tabelle8[[#This Row],[Rank]],Stammdaten[Rank Verteilung D Mitte mit Rinde],0))</f>
        <v>#N/A</v>
      </c>
      <c r="G3740" t="e">
        <f>VLOOKUP(Tabelle8[[#This Row],[Rank]],Stammdaten[[Rank Verteilung D Mitte mit Rinde]:[Verteilung D Mitte mit Rinde]],2,FALSE)</f>
        <v>#N/A</v>
      </c>
      <c r="L3740">
        <v>3731</v>
      </c>
      <c r="M3740" t="e">
        <f>INDEX(Stammdaten[Abholzigkeit (mm/lfm)],MATCH(Tabelle9[[#This Row],[Rank]],Stammdaten[Rank Verteilung Abholzigkeit],0))</f>
        <v>#N/A</v>
      </c>
      <c r="N3740" t="e">
        <f>VLOOKUP(Tabelle9[[#This Row],[Rank]],Stammdaten[[Rank Verteilung Abholzigkeit]:[Verteilung Abholzigkeit]],2,FALSE)</f>
        <v>#N/A</v>
      </c>
      <c r="S3740">
        <v>3731</v>
      </c>
      <c r="T3740" t="e">
        <f>INDEX(Stammdaten[Krümmung (mm/lfm)],MATCH(Tabelle10[[#This Row],[Rank]],Stammdaten[Rank Verteilung Krümmung],0))</f>
        <v>#N/A</v>
      </c>
      <c r="U3740" t="e">
        <f>VLOOKUP(Tabelle10[[#This Row],[Rank]],Stammdaten[[Rank Verteilung Krümmung]:[Verteilung Krümmung]],2,FALSE)</f>
        <v>#N/A</v>
      </c>
      <c r="Z3740">
        <v>3731</v>
      </c>
      <c r="AA3740" t="e">
        <f>INDEX(Stammdaten[Ovalität (']0,1'])],MATCH(Tabelle1014[[#This Row],[Rank]],Stammdaten[Rank Verteilung Ovalität],0))</f>
        <v>#N/A</v>
      </c>
      <c r="AB3740" t="e">
        <f>VLOOKUP(Tabelle1014[[#This Row],[Rank]],Stammdaten[[Rank Verteilung Ovalität]:[Verteilung Ovalität]],2,FALSE)</f>
        <v>#N/A</v>
      </c>
    </row>
    <row r="3741" spans="5:28" x14ac:dyDescent="0.35">
      <c r="E3741">
        <v>3732</v>
      </c>
      <c r="F3741" t="e">
        <f>INDEX(Stammdaten[D Mitte mit Rinde (mm)],MATCH(Tabelle8[[#This Row],[Rank]],Stammdaten[Rank Verteilung D Mitte mit Rinde],0))</f>
        <v>#N/A</v>
      </c>
      <c r="G3741" t="e">
        <f>VLOOKUP(Tabelle8[[#This Row],[Rank]],Stammdaten[[Rank Verteilung D Mitte mit Rinde]:[Verteilung D Mitte mit Rinde]],2,FALSE)</f>
        <v>#N/A</v>
      </c>
      <c r="L3741">
        <v>3732</v>
      </c>
      <c r="M3741" t="e">
        <f>INDEX(Stammdaten[Abholzigkeit (mm/lfm)],MATCH(Tabelle9[[#This Row],[Rank]],Stammdaten[Rank Verteilung Abholzigkeit],0))</f>
        <v>#N/A</v>
      </c>
      <c r="N3741" t="e">
        <f>VLOOKUP(Tabelle9[[#This Row],[Rank]],Stammdaten[[Rank Verteilung Abholzigkeit]:[Verteilung Abholzigkeit]],2,FALSE)</f>
        <v>#N/A</v>
      </c>
      <c r="S3741">
        <v>3732</v>
      </c>
      <c r="T3741" t="e">
        <f>INDEX(Stammdaten[Krümmung (mm/lfm)],MATCH(Tabelle10[[#This Row],[Rank]],Stammdaten[Rank Verteilung Krümmung],0))</f>
        <v>#N/A</v>
      </c>
      <c r="U3741" t="e">
        <f>VLOOKUP(Tabelle10[[#This Row],[Rank]],Stammdaten[[Rank Verteilung Krümmung]:[Verteilung Krümmung]],2,FALSE)</f>
        <v>#N/A</v>
      </c>
      <c r="Z3741">
        <v>3732</v>
      </c>
      <c r="AA3741" t="e">
        <f>INDEX(Stammdaten[Ovalität (']0,1'])],MATCH(Tabelle1014[[#This Row],[Rank]],Stammdaten[Rank Verteilung Ovalität],0))</f>
        <v>#N/A</v>
      </c>
      <c r="AB3741" t="e">
        <f>VLOOKUP(Tabelle1014[[#This Row],[Rank]],Stammdaten[[Rank Verteilung Ovalität]:[Verteilung Ovalität]],2,FALSE)</f>
        <v>#N/A</v>
      </c>
    </row>
    <row r="3742" spans="5:28" x14ac:dyDescent="0.35">
      <c r="E3742">
        <v>3733</v>
      </c>
      <c r="F3742" t="e">
        <f>INDEX(Stammdaten[D Mitte mit Rinde (mm)],MATCH(Tabelle8[[#This Row],[Rank]],Stammdaten[Rank Verteilung D Mitte mit Rinde],0))</f>
        <v>#N/A</v>
      </c>
      <c r="G3742" t="e">
        <f>VLOOKUP(Tabelle8[[#This Row],[Rank]],Stammdaten[[Rank Verteilung D Mitte mit Rinde]:[Verteilung D Mitte mit Rinde]],2,FALSE)</f>
        <v>#N/A</v>
      </c>
      <c r="L3742">
        <v>3733</v>
      </c>
      <c r="M3742" t="e">
        <f>INDEX(Stammdaten[Abholzigkeit (mm/lfm)],MATCH(Tabelle9[[#This Row],[Rank]],Stammdaten[Rank Verteilung Abholzigkeit],0))</f>
        <v>#N/A</v>
      </c>
      <c r="N3742" t="e">
        <f>VLOOKUP(Tabelle9[[#This Row],[Rank]],Stammdaten[[Rank Verteilung Abholzigkeit]:[Verteilung Abholzigkeit]],2,FALSE)</f>
        <v>#N/A</v>
      </c>
      <c r="S3742">
        <v>3733</v>
      </c>
      <c r="T3742" t="e">
        <f>INDEX(Stammdaten[Krümmung (mm/lfm)],MATCH(Tabelle10[[#This Row],[Rank]],Stammdaten[Rank Verteilung Krümmung],0))</f>
        <v>#N/A</v>
      </c>
      <c r="U3742" t="e">
        <f>VLOOKUP(Tabelle10[[#This Row],[Rank]],Stammdaten[[Rank Verteilung Krümmung]:[Verteilung Krümmung]],2,FALSE)</f>
        <v>#N/A</v>
      </c>
      <c r="Z3742">
        <v>3733</v>
      </c>
      <c r="AA3742" t="e">
        <f>INDEX(Stammdaten[Ovalität (']0,1'])],MATCH(Tabelle1014[[#This Row],[Rank]],Stammdaten[Rank Verteilung Ovalität],0))</f>
        <v>#N/A</v>
      </c>
      <c r="AB3742" t="e">
        <f>VLOOKUP(Tabelle1014[[#This Row],[Rank]],Stammdaten[[Rank Verteilung Ovalität]:[Verteilung Ovalität]],2,FALSE)</f>
        <v>#N/A</v>
      </c>
    </row>
    <row r="3743" spans="5:28" x14ac:dyDescent="0.35">
      <c r="E3743">
        <v>3734</v>
      </c>
      <c r="F3743" t="e">
        <f>INDEX(Stammdaten[D Mitte mit Rinde (mm)],MATCH(Tabelle8[[#This Row],[Rank]],Stammdaten[Rank Verteilung D Mitte mit Rinde],0))</f>
        <v>#N/A</v>
      </c>
      <c r="G3743" t="e">
        <f>VLOOKUP(Tabelle8[[#This Row],[Rank]],Stammdaten[[Rank Verteilung D Mitte mit Rinde]:[Verteilung D Mitte mit Rinde]],2,FALSE)</f>
        <v>#N/A</v>
      </c>
      <c r="L3743">
        <v>3734</v>
      </c>
      <c r="M3743" t="e">
        <f>INDEX(Stammdaten[Abholzigkeit (mm/lfm)],MATCH(Tabelle9[[#This Row],[Rank]],Stammdaten[Rank Verteilung Abholzigkeit],0))</f>
        <v>#N/A</v>
      </c>
      <c r="N3743" t="e">
        <f>VLOOKUP(Tabelle9[[#This Row],[Rank]],Stammdaten[[Rank Verteilung Abholzigkeit]:[Verteilung Abholzigkeit]],2,FALSE)</f>
        <v>#N/A</v>
      </c>
      <c r="S3743">
        <v>3734</v>
      </c>
      <c r="T3743" t="e">
        <f>INDEX(Stammdaten[Krümmung (mm/lfm)],MATCH(Tabelle10[[#This Row],[Rank]],Stammdaten[Rank Verteilung Krümmung],0))</f>
        <v>#N/A</v>
      </c>
      <c r="U3743" t="e">
        <f>VLOOKUP(Tabelle10[[#This Row],[Rank]],Stammdaten[[Rank Verteilung Krümmung]:[Verteilung Krümmung]],2,FALSE)</f>
        <v>#N/A</v>
      </c>
      <c r="Z3743">
        <v>3734</v>
      </c>
      <c r="AA3743" t="e">
        <f>INDEX(Stammdaten[Ovalität (']0,1'])],MATCH(Tabelle1014[[#This Row],[Rank]],Stammdaten[Rank Verteilung Ovalität],0))</f>
        <v>#N/A</v>
      </c>
      <c r="AB3743" t="e">
        <f>VLOOKUP(Tabelle1014[[#This Row],[Rank]],Stammdaten[[Rank Verteilung Ovalität]:[Verteilung Ovalität]],2,FALSE)</f>
        <v>#N/A</v>
      </c>
    </row>
    <row r="3744" spans="5:28" x14ac:dyDescent="0.35">
      <c r="E3744">
        <v>3735</v>
      </c>
      <c r="F3744" t="e">
        <f>INDEX(Stammdaten[D Mitte mit Rinde (mm)],MATCH(Tabelle8[[#This Row],[Rank]],Stammdaten[Rank Verteilung D Mitte mit Rinde],0))</f>
        <v>#N/A</v>
      </c>
      <c r="G3744" t="e">
        <f>VLOOKUP(Tabelle8[[#This Row],[Rank]],Stammdaten[[Rank Verteilung D Mitte mit Rinde]:[Verteilung D Mitte mit Rinde]],2,FALSE)</f>
        <v>#N/A</v>
      </c>
      <c r="L3744">
        <v>3735</v>
      </c>
      <c r="M3744" t="e">
        <f>INDEX(Stammdaten[Abholzigkeit (mm/lfm)],MATCH(Tabelle9[[#This Row],[Rank]],Stammdaten[Rank Verteilung Abholzigkeit],0))</f>
        <v>#N/A</v>
      </c>
      <c r="N3744" t="e">
        <f>VLOOKUP(Tabelle9[[#This Row],[Rank]],Stammdaten[[Rank Verteilung Abholzigkeit]:[Verteilung Abholzigkeit]],2,FALSE)</f>
        <v>#N/A</v>
      </c>
      <c r="S3744">
        <v>3735</v>
      </c>
      <c r="T3744" t="e">
        <f>INDEX(Stammdaten[Krümmung (mm/lfm)],MATCH(Tabelle10[[#This Row],[Rank]],Stammdaten[Rank Verteilung Krümmung],0))</f>
        <v>#N/A</v>
      </c>
      <c r="U3744" t="e">
        <f>VLOOKUP(Tabelle10[[#This Row],[Rank]],Stammdaten[[Rank Verteilung Krümmung]:[Verteilung Krümmung]],2,FALSE)</f>
        <v>#N/A</v>
      </c>
      <c r="Z3744">
        <v>3735</v>
      </c>
      <c r="AA3744" t="e">
        <f>INDEX(Stammdaten[Ovalität (']0,1'])],MATCH(Tabelle1014[[#This Row],[Rank]],Stammdaten[Rank Verteilung Ovalität],0))</f>
        <v>#N/A</v>
      </c>
      <c r="AB3744" t="e">
        <f>VLOOKUP(Tabelle1014[[#This Row],[Rank]],Stammdaten[[Rank Verteilung Ovalität]:[Verteilung Ovalität]],2,FALSE)</f>
        <v>#N/A</v>
      </c>
    </row>
    <row r="3745" spans="5:28" x14ac:dyDescent="0.35">
      <c r="E3745">
        <v>3736</v>
      </c>
      <c r="F3745" t="e">
        <f>INDEX(Stammdaten[D Mitte mit Rinde (mm)],MATCH(Tabelle8[[#This Row],[Rank]],Stammdaten[Rank Verteilung D Mitte mit Rinde],0))</f>
        <v>#N/A</v>
      </c>
      <c r="G3745" t="e">
        <f>VLOOKUP(Tabelle8[[#This Row],[Rank]],Stammdaten[[Rank Verteilung D Mitte mit Rinde]:[Verteilung D Mitte mit Rinde]],2,FALSE)</f>
        <v>#N/A</v>
      </c>
      <c r="L3745">
        <v>3736</v>
      </c>
      <c r="M3745" t="e">
        <f>INDEX(Stammdaten[Abholzigkeit (mm/lfm)],MATCH(Tabelle9[[#This Row],[Rank]],Stammdaten[Rank Verteilung Abholzigkeit],0))</f>
        <v>#N/A</v>
      </c>
      <c r="N3745" t="e">
        <f>VLOOKUP(Tabelle9[[#This Row],[Rank]],Stammdaten[[Rank Verteilung Abholzigkeit]:[Verteilung Abholzigkeit]],2,FALSE)</f>
        <v>#N/A</v>
      </c>
      <c r="S3745">
        <v>3736</v>
      </c>
      <c r="T3745" t="e">
        <f>INDEX(Stammdaten[Krümmung (mm/lfm)],MATCH(Tabelle10[[#This Row],[Rank]],Stammdaten[Rank Verteilung Krümmung],0))</f>
        <v>#N/A</v>
      </c>
      <c r="U3745" t="e">
        <f>VLOOKUP(Tabelle10[[#This Row],[Rank]],Stammdaten[[Rank Verteilung Krümmung]:[Verteilung Krümmung]],2,FALSE)</f>
        <v>#N/A</v>
      </c>
      <c r="Z3745">
        <v>3736</v>
      </c>
      <c r="AA3745" t="e">
        <f>INDEX(Stammdaten[Ovalität (']0,1'])],MATCH(Tabelle1014[[#This Row],[Rank]],Stammdaten[Rank Verteilung Ovalität],0))</f>
        <v>#N/A</v>
      </c>
      <c r="AB3745" t="e">
        <f>VLOOKUP(Tabelle1014[[#This Row],[Rank]],Stammdaten[[Rank Verteilung Ovalität]:[Verteilung Ovalität]],2,FALSE)</f>
        <v>#N/A</v>
      </c>
    </row>
    <row r="3746" spans="5:28" x14ac:dyDescent="0.35">
      <c r="E3746">
        <v>3737</v>
      </c>
      <c r="F3746" t="e">
        <f>INDEX(Stammdaten[D Mitte mit Rinde (mm)],MATCH(Tabelle8[[#This Row],[Rank]],Stammdaten[Rank Verteilung D Mitte mit Rinde],0))</f>
        <v>#N/A</v>
      </c>
      <c r="G3746" t="e">
        <f>VLOOKUP(Tabelle8[[#This Row],[Rank]],Stammdaten[[Rank Verteilung D Mitte mit Rinde]:[Verteilung D Mitte mit Rinde]],2,FALSE)</f>
        <v>#N/A</v>
      </c>
      <c r="L3746">
        <v>3737</v>
      </c>
      <c r="M3746" t="e">
        <f>INDEX(Stammdaten[Abholzigkeit (mm/lfm)],MATCH(Tabelle9[[#This Row],[Rank]],Stammdaten[Rank Verteilung Abholzigkeit],0))</f>
        <v>#N/A</v>
      </c>
      <c r="N3746" t="e">
        <f>VLOOKUP(Tabelle9[[#This Row],[Rank]],Stammdaten[[Rank Verteilung Abholzigkeit]:[Verteilung Abholzigkeit]],2,FALSE)</f>
        <v>#N/A</v>
      </c>
      <c r="S3746">
        <v>3737</v>
      </c>
      <c r="T3746" t="e">
        <f>INDEX(Stammdaten[Krümmung (mm/lfm)],MATCH(Tabelle10[[#This Row],[Rank]],Stammdaten[Rank Verteilung Krümmung],0))</f>
        <v>#N/A</v>
      </c>
      <c r="U3746" t="e">
        <f>VLOOKUP(Tabelle10[[#This Row],[Rank]],Stammdaten[[Rank Verteilung Krümmung]:[Verteilung Krümmung]],2,FALSE)</f>
        <v>#N/A</v>
      </c>
      <c r="Z3746">
        <v>3737</v>
      </c>
      <c r="AA3746" t="e">
        <f>INDEX(Stammdaten[Ovalität (']0,1'])],MATCH(Tabelle1014[[#This Row],[Rank]],Stammdaten[Rank Verteilung Ovalität],0))</f>
        <v>#N/A</v>
      </c>
      <c r="AB3746" t="e">
        <f>VLOOKUP(Tabelle1014[[#This Row],[Rank]],Stammdaten[[Rank Verteilung Ovalität]:[Verteilung Ovalität]],2,FALSE)</f>
        <v>#N/A</v>
      </c>
    </row>
    <row r="3747" spans="5:28" x14ac:dyDescent="0.35">
      <c r="E3747">
        <v>3738</v>
      </c>
      <c r="F3747" t="e">
        <f>INDEX(Stammdaten[D Mitte mit Rinde (mm)],MATCH(Tabelle8[[#This Row],[Rank]],Stammdaten[Rank Verteilung D Mitte mit Rinde],0))</f>
        <v>#N/A</v>
      </c>
      <c r="G3747" t="e">
        <f>VLOOKUP(Tabelle8[[#This Row],[Rank]],Stammdaten[[Rank Verteilung D Mitte mit Rinde]:[Verteilung D Mitte mit Rinde]],2,FALSE)</f>
        <v>#N/A</v>
      </c>
      <c r="L3747">
        <v>3738</v>
      </c>
      <c r="M3747" t="e">
        <f>INDEX(Stammdaten[Abholzigkeit (mm/lfm)],MATCH(Tabelle9[[#This Row],[Rank]],Stammdaten[Rank Verteilung Abholzigkeit],0))</f>
        <v>#N/A</v>
      </c>
      <c r="N3747" t="e">
        <f>VLOOKUP(Tabelle9[[#This Row],[Rank]],Stammdaten[[Rank Verteilung Abholzigkeit]:[Verteilung Abholzigkeit]],2,FALSE)</f>
        <v>#N/A</v>
      </c>
      <c r="S3747">
        <v>3738</v>
      </c>
      <c r="T3747" t="e">
        <f>INDEX(Stammdaten[Krümmung (mm/lfm)],MATCH(Tabelle10[[#This Row],[Rank]],Stammdaten[Rank Verteilung Krümmung],0))</f>
        <v>#N/A</v>
      </c>
      <c r="U3747" t="e">
        <f>VLOOKUP(Tabelle10[[#This Row],[Rank]],Stammdaten[[Rank Verteilung Krümmung]:[Verteilung Krümmung]],2,FALSE)</f>
        <v>#N/A</v>
      </c>
      <c r="Z3747">
        <v>3738</v>
      </c>
      <c r="AA3747" t="e">
        <f>INDEX(Stammdaten[Ovalität (']0,1'])],MATCH(Tabelle1014[[#This Row],[Rank]],Stammdaten[Rank Verteilung Ovalität],0))</f>
        <v>#N/A</v>
      </c>
      <c r="AB3747" t="e">
        <f>VLOOKUP(Tabelle1014[[#This Row],[Rank]],Stammdaten[[Rank Verteilung Ovalität]:[Verteilung Ovalität]],2,FALSE)</f>
        <v>#N/A</v>
      </c>
    </row>
    <row r="3748" spans="5:28" x14ac:dyDescent="0.35">
      <c r="E3748">
        <v>3739</v>
      </c>
      <c r="F3748" t="e">
        <f>INDEX(Stammdaten[D Mitte mit Rinde (mm)],MATCH(Tabelle8[[#This Row],[Rank]],Stammdaten[Rank Verteilung D Mitte mit Rinde],0))</f>
        <v>#N/A</v>
      </c>
      <c r="G3748" t="e">
        <f>VLOOKUP(Tabelle8[[#This Row],[Rank]],Stammdaten[[Rank Verteilung D Mitte mit Rinde]:[Verteilung D Mitte mit Rinde]],2,FALSE)</f>
        <v>#N/A</v>
      </c>
      <c r="L3748">
        <v>3739</v>
      </c>
      <c r="M3748" t="e">
        <f>INDEX(Stammdaten[Abholzigkeit (mm/lfm)],MATCH(Tabelle9[[#This Row],[Rank]],Stammdaten[Rank Verteilung Abholzigkeit],0))</f>
        <v>#N/A</v>
      </c>
      <c r="N3748" t="e">
        <f>VLOOKUP(Tabelle9[[#This Row],[Rank]],Stammdaten[[Rank Verteilung Abholzigkeit]:[Verteilung Abholzigkeit]],2,FALSE)</f>
        <v>#N/A</v>
      </c>
      <c r="S3748">
        <v>3739</v>
      </c>
      <c r="T3748" t="e">
        <f>INDEX(Stammdaten[Krümmung (mm/lfm)],MATCH(Tabelle10[[#This Row],[Rank]],Stammdaten[Rank Verteilung Krümmung],0))</f>
        <v>#N/A</v>
      </c>
      <c r="U3748" t="e">
        <f>VLOOKUP(Tabelle10[[#This Row],[Rank]],Stammdaten[[Rank Verteilung Krümmung]:[Verteilung Krümmung]],2,FALSE)</f>
        <v>#N/A</v>
      </c>
      <c r="Z3748">
        <v>3739</v>
      </c>
      <c r="AA3748" t="e">
        <f>INDEX(Stammdaten[Ovalität (']0,1'])],MATCH(Tabelle1014[[#This Row],[Rank]],Stammdaten[Rank Verteilung Ovalität],0))</f>
        <v>#N/A</v>
      </c>
      <c r="AB3748" t="e">
        <f>VLOOKUP(Tabelle1014[[#This Row],[Rank]],Stammdaten[[Rank Verteilung Ovalität]:[Verteilung Ovalität]],2,FALSE)</f>
        <v>#N/A</v>
      </c>
    </row>
    <row r="3749" spans="5:28" x14ac:dyDescent="0.35">
      <c r="E3749">
        <v>3740</v>
      </c>
      <c r="F3749" t="e">
        <f>INDEX(Stammdaten[D Mitte mit Rinde (mm)],MATCH(Tabelle8[[#This Row],[Rank]],Stammdaten[Rank Verteilung D Mitte mit Rinde],0))</f>
        <v>#N/A</v>
      </c>
      <c r="G3749" t="e">
        <f>VLOOKUP(Tabelle8[[#This Row],[Rank]],Stammdaten[[Rank Verteilung D Mitte mit Rinde]:[Verteilung D Mitte mit Rinde]],2,FALSE)</f>
        <v>#N/A</v>
      </c>
      <c r="L3749">
        <v>3740</v>
      </c>
      <c r="M3749" t="e">
        <f>INDEX(Stammdaten[Abholzigkeit (mm/lfm)],MATCH(Tabelle9[[#This Row],[Rank]],Stammdaten[Rank Verteilung Abholzigkeit],0))</f>
        <v>#N/A</v>
      </c>
      <c r="N3749" t="e">
        <f>VLOOKUP(Tabelle9[[#This Row],[Rank]],Stammdaten[[Rank Verteilung Abholzigkeit]:[Verteilung Abholzigkeit]],2,FALSE)</f>
        <v>#N/A</v>
      </c>
      <c r="S3749">
        <v>3740</v>
      </c>
      <c r="T3749" t="e">
        <f>INDEX(Stammdaten[Krümmung (mm/lfm)],MATCH(Tabelle10[[#This Row],[Rank]],Stammdaten[Rank Verteilung Krümmung],0))</f>
        <v>#N/A</v>
      </c>
      <c r="U3749" t="e">
        <f>VLOOKUP(Tabelle10[[#This Row],[Rank]],Stammdaten[[Rank Verteilung Krümmung]:[Verteilung Krümmung]],2,FALSE)</f>
        <v>#N/A</v>
      </c>
      <c r="Z3749">
        <v>3740</v>
      </c>
      <c r="AA3749" t="e">
        <f>INDEX(Stammdaten[Ovalität (']0,1'])],MATCH(Tabelle1014[[#This Row],[Rank]],Stammdaten[Rank Verteilung Ovalität],0))</f>
        <v>#N/A</v>
      </c>
      <c r="AB3749" t="e">
        <f>VLOOKUP(Tabelle1014[[#This Row],[Rank]],Stammdaten[[Rank Verteilung Ovalität]:[Verteilung Ovalität]],2,FALSE)</f>
        <v>#N/A</v>
      </c>
    </row>
    <row r="3750" spans="5:28" x14ac:dyDescent="0.35">
      <c r="E3750">
        <v>3741</v>
      </c>
      <c r="F3750" t="e">
        <f>INDEX(Stammdaten[D Mitte mit Rinde (mm)],MATCH(Tabelle8[[#This Row],[Rank]],Stammdaten[Rank Verteilung D Mitte mit Rinde],0))</f>
        <v>#N/A</v>
      </c>
      <c r="G3750" t="e">
        <f>VLOOKUP(Tabelle8[[#This Row],[Rank]],Stammdaten[[Rank Verteilung D Mitte mit Rinde]:[Verteilung D Mitte mit Rinde]],2,FALSE)</f>
        <v>#N/A</v>
      </c>
      <c r="L3750">
        <v>3741</v>
      </c>
      <c r="M3750" t="e">
        <f>INDEX(Stammdaten[Abholzigkeit (mm/lfm)],MATCH(Tabelle9[[#This Row],[Rank]],Stammdaten[Rank Verteilung Abholzigkeit],0))</f>
        <v>#N/A</v>
      </c>
      <c r="N3750" t="e">
        <f>VLOOKUP(Tabelle9[[#This Row],[Rank]],Stammdaten[[Rank Verteilung Abholzigkeit]:[Verteilung Abholzigkeit]],2,FALSE)</f>
        <v>#N/A</v>
      </c>
      <c r="S3750">
        <v>3741</v>
      </c>
      <c r="T3750" t="e">
        <f>INDEX(Stammdaten[Krümmung (mm/lfm)],MATCH(Tabelle10[[#This Row],[Rank]],Stammdaten[Rank Verteilung Krümmung],0))</f>
        <v>#N/A</v>
      </c>
      <c r="U3750" t="e">
        <f>VLOOKUP(Tabelle10[[#This Row],[Rank]],Stammdaten[[Rank Verteilung Krümmung]:[Verteilung Krümmung]],2,FALSE)</f>
        <v>#N/A</v>
      </c>
      <c r="Z3750">
        <v>3741</v>
      </c>
      <c r="AA3750" t="e">
        <f>INDEX(Stammdaten[Ovalität (']0,1'])],MATCH(Tabelle1014[[#This Row],[Rank]],Stammdaten[Rank Verteilung Ovalität],0))</f>
        <v>#N/A</v>
      </c>
      <c r="AB3750" t="e">
        <f>VLOOKUP(Tabelle1014[[#This Row],[Rank]],Stammdaten[[Rank Verteilung Ovalität]:[Verteilung Ovalität]],2,FALSE)</f>
        <v>#N/A</v>
      </c>
    </row>
    <row r="3751" spans="5:28" x14ac:dyDescent="0.35">
      <c r="E3751">
        <v>3742</v>
      </c>
      <c r="F3751" t="e">
        <f>INDEX(Stammdaten[D Mitte mit Rinde (mm)],MATCH(Tabelle8[[#This Row],[Rank]],Stammdaten[Rank Verteilung D Mitte mit Rinde],0))</f>
        <v>#N/A</v>
      </c>
      <c r="G3751" t="e">
        <f>VLOOKUP(Tabelle8[[#This Row],[Rank]],Stammdaten[[Rank Verteilung D Mitte mit Rinde]:[Verteilung D Mitte mit Rinde]],2,FALSE)</f>
        <v>#N/A</v>
      </c>
      <c r="L3751">
        <v>3742</v>
      </c>
      <c r="M3751" t="e">
        <f>INDEX(Stammdaten[Abholzigkeit (mm/lfm)],MATCH(Tabelle9[[#This Row],[Rank]],Stammdaten[Rank Verteilung Abholzigkeit],0))</f>
        <v>#N/A</v>
      </c>
      <c r="N3751" t="e">
        <f>VLOOKUP(Tabelle9[[#This Row],[Rank]],Stammdaten[[Rank Verteilung Abholzigkeit]:[Verteilung Abholzigkeit]],2,FALSE)</f>
        <v>#N/A</v>
      </c>
      <c r="S3751">
        <v>3742</v>
      </c>
      <c r="T3751" t="e">
        <f>INDEX(Stammdaten[Krümmung (mm/lfm)],MATCH(Tabelle10[[#This Row],[Rank]],Stammdaten[Rank Verteilung Krümmung],0))</f>
        <v>#N/A</v>
      </c>
      <c r="U3751" t="e">
        <f>VLOOKUP(Tabelle10[[#This Row],[Rank]],Stammdaten[[Rank Verteilung Krümmung]:[Verteilung Krümmung]],2,FALSE)</f>
        <v>#N/A</v>
      </c>
      <c r="Z3751">
        <v>3742</v>
      </c>
      <c r="AA3751" t="e">
        <f>INDEX(Stammdaten[Ovalität (']0,1'])],MATCH(Tabelle1014[[#This Row],[Rank]],Stammdaten[Rank Verteilung Ovalität],0))</f>
        <v>#N/A</v>
      </c>
      <c r="AB3751" t="e">
        <f>VLOOKUP(Tabelle1014[[#This Row],[Rank]],Stammdaten[[Rank Verteilung Ovalität]:[Verteilung Ovalität]],2,FALSE)</f>
        <v>#N/A</v>
      </c>
    </row>
    <row r="3752" spans="5:28" x14ac:dyDescent="0.35">
      <c r="E3752">
        <v>3743</v>
      </c>
      <c r="F3752" t="e">
        <f>INDEX(Stammdaten[D Mitte mit Rinde (mm)],MATCH(Tabelle8[[#This Row],[Rank]],Stammdaten[Rank Verteilung D Mitte mit Rinde],0))</f>
        <v>#N/A</v>
      </c>
      <c r="G3752" t="e">
        <f>VLOOKUP(Tabelle8[[#This Row],[Rank]],Stammdaten[[Rank Verteilung D Mitte mit Rinde]:[Verteilung D Mitte mit Rinde]],2,FALSE)</f>
        <v>#N/A</v>
      </c>
      <c r="L3752">
        <v>3743</v>
      </c>
      <c r="M3752" t="e">
        <f>INDEX(Stammdaten[Abholzigkeit (mm/lfm)],MATCH(Tabelle9[[#This Row],[Rank]],Stammdaten[Rank Verteilung Abholzigkeit],0))</f>
        <v>#N/A</v>
      </c>
      <c r="N3752" t="e">
        <f>VLOOKUP(Tabelle9[[#This Row],[Rank]],Stammdaten[[Rank Verteilung Abholzigkeit]:[Verteilung Abholzigkeit]],2,FALSE)</f>
        <v>#N/A</v>
      </c>
      <c r="S3752">
        <v>3743</v>
      </c>
      <c r="T3752" t="e">
        <f>INDEX(Stammdaten[Krümmung (mm/lfm)],MATCH(Tabelle10[[#This Row],[Rank]],Stammdaten[Rank Verteilung Krümmung],0))</f>
        <v>#N/A</v>
      </c>
      <c r="U3752" t="e">
        <f>VLOOKUP(Tabelle10[[#This Row],[Rank]],Stammdaten[[Rank Verteilung Krümmung]:[Verteilung Krümmung]],2,FALSE)</f>
        <v>#N/A</v>
      </c>
      <c r="Z3752">
        <v>3743</v>
      </c>
      <c r="AA3752" t="e">
        <f>INDEX(Stammdaten[Ovalität (']0,1'])],MATCH(Tabelle1014[[#This Row],[Rank]],Stammdaten[Rank Verteilung Ovalität],0))</f>
        <v>#N/A</v>
      </c>
      <c r="AB3752" t="e">
        <f>VLOOKUP(Tabelle1014[[#This Row],[Rank]],Stammdaten[[Rank Verteilung Ovalität]:[Verteilung Ovalität]],2,FALSE)</f>
        <v>#N/A</v>
      </c>
    </row>
    <row r="3753" spans="5:28" x14ac:dyDescent="0.35">
      <c r="E3753">
        <v>3744</v>
      </c>
      <c r="F3753" t="e">
        <f>INDEX(Stammdaten[D Mitte mit Rinde (mm)],MATCH(Tabelle8[[#This Row],[Rank]],Stammdaten[Rank Verteilung D Mitte mit Rinde],0))</f>
        <v>#N/A</v>
      </c>
      <c r="G3753" t="e">
        <f>VLOOKUP(Tabelle8[[#This Row],[Rank]],Stammdaten[[Rank Verteilung D Mitte mit Rinde]:[Verteilung D Mitte mit Rinde]],2,FALSE)</f>
        <v>#N/A</v>
      </c>
      <c r="L3753">
        <v>3744</v>
      </c>
      <c r="M3753" t="e">
        <f>INDEX(Stammdaten[Abholzigkeit (mm/lfm)],MATCH(Tabelle9[[#This Row],[Rank]],Stammdaten[Rank Verteilung Abholzigkeit],0))</f>
        <v>#N/A</v>
      </c>
      <c r="N3753" t="e">
        <f>VLOOKUP(Tabelle9[[#This Row],[Rank]],Stammdaten[[Rank Verteilung Abholzigkeit]:[Verteilung Abholzigkeit]],2,FALSE)</f>
        <v>#N/A</v>
      </c>
      <c r="S3753">
        <v>3744</v>
      </c>
      <c r="T3753" t="e">
        <f>INDEX(Stammdaten[Krümmung (mm/lfm)],MATCH(Tabelle10[[#This Row],[Rank]],Stammdaten[Rank Verteilung Krümmung],0))</f>
        <v>#N/A</v>
      </c>
      <c r="U3753" t="e">
        <f>VLOOKUP(Tabelle10[[#This Row],[Rank]],Stammdaten[[Rank Verteilung Krümmung]:[Verteilung Krümmung]],2,FALSE)</f>
        <v>#N/A</v>
      </c>
      <c r="Z3753">
        <v>3744</v>
      </c>
      <c r="AA3753" t="e">
        <f>INDEX(Stammdaten[Ovalität (']0,1'])],MATCH(Tabelle1014[[#This Row],[Rank]],Stammdaten[Rank Verteilung Ovalität],0))</f>
        <v>#N/A</v>
      </c>
      <c r="AB3753" t="e">
        <f>VLOOKUP(Tabelle1014[[#This Row],[Rank]],Stammdaten[[Rank Verteilung Ovalität]:[Verteilung Ovalität]],2,FALSE)</f>
        <v>#N/A</v>
      </c>
    </row>
    <row r="3754" spans="5:28" x14ac:dyDescent="0.35">
      <c r="E3754">
        <v>3745</v>
      </c>
      <c r="F3754" t="e">
        <f>INDEX(Stammdaten[D Mitte mit Rinde (mm)],MATCH(Tabelle8[[#This Row],[Rank]],Stammdaten[Rank Verteilung D Mitte mit Rinde],0))</f>
        <v>#N/A</v>
      </c>
      <c r="G3754" t="e">
        <f>VLOOKUP(Tabelle8[[#This Row],[Rank]],Stammdaten[[Rank Verteilung D Mitte mit Rinde]:[Verteilung D Mitte mit Rinde]],2,FALSE)</f>
        <v>#N/A</v>
      </c>
      <c r="L3754">
        <v>3745</v>
      </c>
      <c r="M3754" t="e">
        <f>INDEX(Stammdaten[Abholzigkeit (mm/lfm)],MATCH(Tabelle9[[#This Row],[Rank]],Stammdaten[Rank Verteilung Abholzigkeit],0))</f>
        <v>#N/A</v>
      </c>
      <c r="N3754" t="e">
        <f>VLOOKUP(Tabelle9[[#This Row],[Rank]],Stammdaten[[Rank Verteilung Abholzigkeit]:[Verteilung Abholzigkeit]],2,FALSE)</f>
        <v>#N/A</v>
      </c>
      <c r="S3754">
        <v>3745</v>
      </c>
      <c r="T3754" t="e">
        <f>INDEX(Stammdaten[Krümmung (mm/lfm)],MATCH(Tabelle10[[#This Row],[Rank]],Stammdaten[Rank Verteilung Krümmung],0))</f>
        <v>#N/A</v>
      </c>
      <c r="U3754" t="e">
        <f>VLOOKUP(Tabelle10[[#This Row],[Rank]],Stammdaten[[Rank Verteilung Krümmung]:[Verteilung Krümmung]],2,FALSE)</f>
        <v>#N/A</v>
      </c>
      <c r="Z3754">
        <v>3745</v>
      </c>
      <c r="AA3754" t="e">
        <f>INDEX(Stammdaten[Ovalität (']0,1'])],MATCH(Tabelle1014[[#This Row],[Rank]],Stammdaten[Rank Verteilung Ovalität],0))</f>
        <v>#N/A</v>
      </c>
      <c r="AB3754" t="e">
        <f>VLOOKUP(Tabelle1014[[#This Row],[Rank]],Stammdaten[[Rank Verteilung Ovalität]:[Verteilung Ovalität]],2,FALSE)</f>
        <v>#N/A</v>
      </c>
    </row>
    <row r="3755" spans="5:28" x14ac:dyDescent="0.35">
      <c r="E3755">
        <v>3746</v>
      </c>
      <c r="F3755" t="e">
        <f>INDEX(Stammdaten[D Mitte mit Rinde (mm)],MATCH(Tabelle8[[#This Row],[Rank]],Stammdaten[Rank Verteilung D Mitte mit Rinde],0))</f>
        <v>#N/A</v>
      </c>
      <c r="G3755" t="e">
        <f>VLOOKUP(Tabelle8[[#This Row],[Rank]],Stammdaten[[Rank Verteilung D Mitte mit Rinde]:[Verteilung D Mitte mit Rinde]],2,FALSE)</f>
        <v>#N/A</v>
      </c>
      <c r="L3755">
        <v>3746</v>
      </c>
      <c r="M3755" t="e">
        <f>INDEX(Stammdaten[Abholzigkeit (mm/lfm)],MATCH(Tabelle9[[#This Row],[Rank]],Stammdaten[Rank Verteilung Abholzigkeit],0))</f>
        <v>#N/A</v>
      </c>
      <c r="N3755" t="e">
        <f>VLOOKUP(Tabelle9[[#This Row],[Rank]],Stammdaten[[Rank Verteilung Abholzigkeit]:[Verteilung Abholzigkeit]],2,FALSE)</f>
        <v>#N/A</v>
      </c>
      <c r="S3755">
        <v>3746</v>
      </c>
      <c r="T3755" t="e">
        <f>INDEX(Stammdaten[Krümmung (mm/lfm)],MATCH(Tabelle10[[#This Row],[Rank]],Stammdaten[Rank Verteilung Krümmung],0))</f>
        <v>#N/A</v>
      </c>
      <c r="U3755" t="e">
        <f>VLOOKUP(Tabelle10[[#This Row],[Rank]],Stammdaten[[Rank Verteilung Krümmung]:[Verteilung Krümmung]],2,FALSE)</f>
        <v>#N/A</v>
      </c>
      <c r="Z3755">
        <v>3746</v>
      </c>
      <c r="AA3755" t="e">
        <f>INDEX(Stammdaten[Ovalität (']0,1'])],MATCH(Tabelle1014[[#This Row],[Rank]],Stammdaten[Rank Verteilung Ovalität],0))</f>
        <v>#N/A</v>
      </c>
      <c r="AB3755" t="e">
        <f>VLOOKUP(Tabelle1014[[#This Row],[Rank]],Stammdaten[[Rank Verteilung Ovalität]:[Verteilung Ovalität]],2,FALSE)</f>
        <v>#N/A</v>
      </c>
    </row>
    <row r="3756" spans="5:28" x14ac:dyDescent="0.35">
      <c r="E3756">
        <v>3747</v>
      </c>
      <c r="F3756" t="e">
        <f>INDEX(Stammdaten[D Mitte mit Rinde (mm)],MATCH(Tabelle8[[#This Row],[Rank]],Stammdaten[Rank Verteilung D Mitte mit Rinde],0))</f>
        <v>#N/A</v>
      </c>
      <c r="G3756" t="e">
        <f>VLOOKUP(Tabelle8[[#This Row],[Rank]],Stammdaten[[Rank Verteilung D Mitte mit Rinde]:[Verteilung D Mitte mit Rinde]],2,FALSE)</f>
        <v>#N/A</v>
      </c>
      <c r="L3756">
        <v>3747</v>
      </c>
      <c r="M3756" t="e">
        <f>INDEX(Stammdaten[Abholzigkeit (mm/lfm)],MATCH(Tabelle9[[#This Row],[Rank]],Stammdaten[Rank Verteilung Abholzigkeit],0))</f>
        <v>#N/A</v>
      </c>
      <c r="N3756" t="e">
        <f>VLOOKUP(Tabelle9[[#This Row],[Rank]],Stammdaten[[Rank Verteilung Abholzigkeit]:[Verteilung Abholzigkeit]],2,FALSE)</f>
        <v>#N/A</v>
      </c>
      <c r="S3756">
        <v>3747</v>
      </c>
      <c r="T3756" t="e">
        <f>INDEX(Stammdaten[Krümmung (mm/lfm)],MATCH(Tabelle10[[#This Row],[Rank]],Stammdaten[Rank Verteilung Krümmung],0))</f>
        <v>#N/A</v>
      </c>
      <c r="U3756" t="e">
        <f>VLOOKUP(Tabelle10[[#This Row],[Rank]],Stammdaten[[Rank Verteilung Krümmung]:[Verteilung Krümmung]],2,FALSE)</f>
        <v>#N/A</v>
      </c>
      <c r="Z3756">
        <v>3747</v>
      </c>
      <c r="AA3756" t="e">
        <f>INDEX(Stammdaten[Ovalität (']0,1'])],MATCH(Tabelle1014[[#This Row],[Rank]],Stammdaten[Rank Verteilung Ovalität],0))</f>
        <v>#N/A</v>
      </c>
      <c r="AB3756" t="e">
        <f>VLOOKUP(Tabelle1014[[#This Row],[Rank]],Stammdaten[[Rank Verteilung Ovalität]:[Verteilung Ovalität]],2,FALSE)</f>
        <v>#N/A</v>
      </c>
    </row>
    <row r="3757" spans="5:28" x14ac:dyDescent="0.35">
      <c r="E3757">
        <v>3748</v>
      </c>
      <c r="F3757" t="e">
        <f>INDEX(Stammdaten[D Mitte mit Rinde (mm)],MATCH(Tabelle8[[#This Row],[Rank]],Stammdaten[Rank Verteilung D Mitte mit Rinde],0))</f>
        <v>#N/A</v>
      </c>
      <c r="G3757" t="e">
        <f>VLOOKUP(Tabelle8[[#This Row],[Rank]],Stammdaten[[Rank Verteilung D Mitte mit Rinde]:[Verteilung D Mitte mit Rinde]],2,FALSE)</f>
        <v>#N/A</v>
      </c>
      <c r="L3757">
        <v>3748</v>
      </c>
      <c r="M3757" t="e">
        <f>INDEX(Stammdaten[Abholzigkeit (mm/lfm)],MATCH(Tabelle9[[#This Row],[Rank]],Stammdaten[Rank Verteilung Abholzigkeit],0))</f>
        <v>#N/A</v>
      </c>
      <c r="N3757" t="e">
        <f>VLOOKUP(Tabelle9[[#This Row],[Rank]],Stammdaten[[Rank Verteilung Abholzigkeit]:[Verteilung Abholzigkeit]],2,FALSE)</f>
        <v>#N/A</v>
      </c>
      <c r="S3757">
        <v>3748</v>
      </c>
      <c r="T3757" t="e">
        <f>INDEX(Stammdaten[Krümmung (mm/lfm)],MATCH(Tabelle10[[#This Row],[Rank]],Stammdaten[Rank Verteilung Krümmung],0))</f>
        <v>#N/A</v>
      </c>
      <c r="U3757" t="e">
        <f>VLOOKUP(Tabelle10[[#This Row],[Rank]],Stammdaten[[Rank Verteilung Krümmung]:[Verteilung Krümmung]],2,FALSE)</f>
        <v>#N/A</v>
      </c>
      <c r="Z3757">
        <v>3748</v>
      </c>
      <c r="AA3757" t="e">
        <f>INDEX(Stammdaten[Ovalität (']0,1'])],MATCH(Tabelle1014[[#This Row],[Rank]],Stammdaten[Rank Verteilung Ovalität],0))</f>
        <v>#N/A</v>
      </c>
      <c r="AB3757" t="e">
        <f>VLOOKUP(Tabelle1014[[#This Row],[Rank]],Stammdaten[[Rank Verteilung Ovalität]:[Verteilung Ovalität]],2,FALSE)</f>
        <v>#N/A</v>
      </c>
    </row>
    <row r="3758" spans="5:28" x14ac:dyDescent="0.35">
      <c r="E3758">
        <v>3749</v>
      </c>
      <c r="F3758" t="e">
        <f>INDEX(Stammdaten[D Mitte mit Rinde (mm)],MATCH(Tabelle8[[#This Row],[Rank]],Stammdaten[Rank Verteilung D Mitte mit Rinde],0))</f>
        <v>#N/A</v>
      </c>
      <c r="G3758" t="e">
        <f>VLOOKUP(Tabelle8[[#This Row],[Rank]],Stammdaten[[Rank Verteilung D Mitte mit Rinde]:[Verteilung D Mitte mit Rinde]],2,FALSE)</f>
        <v>#N/A</v>
      </c>
      <c r="L3758">
        <v>3749</v>
      </c>
      <c r="M3758" t="e">
        <f>INDEX(Stammdaten[Abholzigkeit (mm/lfm)],MATCH(Tabelle9[[#This Row],[Rank]],Stammdaten[Rank Verteilung Abholzigkeit],0))</f>
        <v>#N/A</v>
      </c>
      <c r="N3758" t="e">
        <f>VLOOKUP(Tabelle9[[#This Row],[Rank]],Stammdaten[[Rank Verteilung Abholzigkeit]:[Verteilung Abholzigkeit]],2,FALSE)</f>
        <v>#N/A</v>
      </c>
      <c r="S3758">
        <v>3749</v>
      </c>
      <c r="T3758" t="e">
        <f>INDEX(Stammdaten[Krümmung (mm/lfm)],MATCH(Tabelle10[[#This Row],[Rank]],Stammdaten[Rank Verteilung Krümmung],0))</f>
        <v>#N/A</v>
      </c>
      <c r="U3758" t="e">
        <f>VLOOKUP(Tabelle10[[#This Row],[Rank]],Stammdaten[[Rank Verteilung Krümmung]:[Verteilung Krümmung]],2,FALSE)</f>
        <v>#N/A</v>
      </c>
      <c r="Z3758">
        <v>3749</v>
      </c>
      <c r="AA3758" t="e">
        <f>INDEX(Stammdaten[Ovalität (']0,1'])],MATCH(Tabelle1014[[#This Row],[Rank]],Stammdaten[Rank Verteilung Ovalität],0))</f>
        <v>#N/A</v>
      </c>
      <c r="AB3758" t="e">
        <f>VLOOKUP(Tabelle1014[[#This Row],[Rank]],Stammdaten[[Rank Verteilung Ovalität]:[Verteilung Ovalität]],2,FALSE)</f>
        <v>#N/A</v>
      </c>
    </row>
    <row r="3759" spans="5:28" x14ac:dyDescent="0.35">
      <c r="E3759">
        <v>3750</v>
      </c>
      <c r="F3759" t="e">
        <f>INDEX(Stammdaten[D Mitte mit Rinde (mm)],MATCH(Tabelle8[[#This Row],[Rank]],Stammdaten[Rank Verteilung D Mitte mit Rinde],0))</f>
        <v>#N/A</v>
      </c>
      <c r="G3759" t="e">
        <f>VLOOKUP(Tabelle8[[#This Row],[Rank]],Stammdaten[[Rank Verteilung D Mitte mit Rinde]:[Verteilung D Mitte mit Rinde]],2,FALSE)</f>
        <v>#N/A</v>
      </c>
      <c r="L3759">
        <v>3750</v>
      </c>
      <c r="M3759" t="e">
        <f>INDEX(Stammdaten[Abholzigkeit (mm/lfm)],MATCH(Tabelle9[[#This Row],[Rank]],Stammdaten[Rank Verteilung Abholzigkeit],0))</f>
        <v>#N/A</v>
      </c>
      <c r="N3759" t="e">
        <f>VLOOKUP(Tabelle9[[#This Row],[Rank]],Stammdaten[[Rank Verteilung Abholzigkeit]:[Verteilung Abholzigkeit]],2,FALSE)</f>
        <v>#N/A</v>
      </c>
      <c r="S3759">
        <v>3750</v>
      </c>
      <c r="T3759" t="e">
        <f>INDEX(Stammdaten[Krümmung (mm/lfm)],MATCH(Tabelle10[[#This Row],[Rank]],Stammdaten[Rank Verteilung Krümmung],0))</f>
        <v>#N/A</v>
      </c>
      <c r="U3759" t="e">
        <f>VLOOKUP(Tabelle10[[#This Row],[Rank]],Stammdaten[[Rank Verteilung Krümmung]:[Verteilung Krümmung]],2,FALSE)</f>
        <v>#N/A</v>
      </c>
      <c r="Z3759">
        <v>3750</v>
      </c>
      <c r="AA3759" t="e">
        <f>INDEX(Stammdaten[Ovalität (']0,1'])],MATCH(Tabelle1014[[#This Row],[Rank]],Stammdaten[Rank Verteilung Ovalität],0))</f>
        <v>#N/A</v>
      </c>
      <c r="AB3759" t="e">
        <f>VLOOKUP(Tabelle1014[[#This Row],[Rank]],Stammdaten[[Rank Verteilung Ovalität]:[Verteilung Ovalität]],2,FALSE)</f>
        <v>#N/A</v>
      </c>
    </row>
    <row r="3760" spans="5:28" x14ac:dyDescent="0.35">
      <c r="E3760">
        <v>3751</v>
      </c>
      <c r="F3760" t="e">
        <f>INDEX(Stammdaten[D Mitte mit Rinde (mm)],MATCH(Tabelle8[[#This Row],[Rank]],Stammdaten[Rank Verteilung D Mitte mit Rinde],0))</f>
        <v>#N/A</v>
      </c>
      <c r="G3760" t="e">
        <f>VLOOKUP(Tabelle8[[#This Row],[Rank]],Stammdaten[[Rank Verteilung D Mitte mit Rinde]:[Verteilung D Mitte mit Rinde]],2,FALSE)</f>
        <v>#N/A</v>
      </c>
      <c r="L3760">
        <v>3751</v>
      </c>
      <c r="M3760" t="e">
        <f>INDEX(Stammdaten[Abholzigkeit (mm/lfm)],MATCH(Tabelle9[[#This Row],[Rank]],Stammdaten[Rank Verteilung Abholzigkeit],0))</f>
        <v>#N/A</v>
      </c>
      <c r="N3760" t="e">
        <f>VLOOKUP(Tabelle9[[#This Row],[Rank]],Stammdaten[[Rank Verteilung Abholzigkeit]:[Verteilung Abholzigkeit]],2,FALSE)</f>
        <v>#N/A</v>
      </c>
      <c r="S3760">
        <v>3751</v>
      </c>
      <c r="T3760" t="e">
        <f>INDEX(Stammdaten[Krümmung (mm/lfm)],MATCH(Tabelle10[[#This Row],[Rank]],Stammdaten[Rank Verteilung Krümmung],0))</f>
        <v>#N/A</v>
      </c>
      <c r="U3760" t="e">
        <f>VLOOKUP(Tabelle10[[#This Row],[Rank]],Stammdaten[[Rank Verteilung Krümmung]:[Verteilung Krümmung]],2,FALSE)</f>
        <v>#N/A</v>
      </c>
      <c r="Z3760">
        <v>3751</v>
      </c>
      <c r="AA3760" t="e">
        <f>INDEX(Stammdaten[Ovalität (']0,1'])],MATCH(Tabelle1014[[#This Row],[Rank]],Stammdaten[Rank Verteilung Ovalität],0))</f>
        <v>#N/A</v>
      </c>
      <c r="AB3760" t="e">
        <f>VLOOKUP(Tabelle1014[[#This Row],[Rank]],Stammdaten[[Rank Verteilung Ovalität]:[Verteilung Ovalität]],2,FALSE)</f>
        <v>#N/A</v>
      </c>
    </row>
    <row r="3761" spans="5:28" x14ac:dyDescent="0.35">
      <c r="E3761">
        <v>3752</v>
      </c>
      <c r="F3761" t="e">
        <f>INDEX(Stammdaten[D Mitte mit Rinde (mm)],MATCH(Tabelle8[[#This Row],[Rank]],Stammdaten[Rank Verteilung D Mitte mit Rinde],0))</f>
        <v>#N/A</v>
      </c>
      <c r="G3761" t="e">
        <f>VLOOKUP(Tabelle8[[#This Row],[Rank]],Stammdaten[[Rank Verteilung D Mitte mit Rinde]:[Verteilung D Mitte mit Rinde]],2,FALSE)</f>
        <v>#N/A</v>
      </c>
      <c r="L3761">
        <v>3752</v>
      </c>
      <c r="M3761" t="e">
        <f>INDEX(Stammdaten[Abholzigkeit (mm/lfm)],MATCH(Tabelle9[[#This Row],[Rank]],Stammdaten[Rank Verteilung Abholzigkeit],0))</f>
        <v>#N/A</v>
      </c>
      <c r="N3761" t="e">
        <f>VLOOKUP(Tabelle9[[#This Row],[Rank]],Stammdaten[[Rank Verteilung Abholzigkeit]:[Verteilung Abholzigkeit]],2,FALSE)</f>
        <v>#N/A</v>
      </c>
      <c r="S3761">
        <v>3752</v>
      </c>
      <c r="T3761" t="e">
        <f>INDEX(Stammdaten[Krümmung (mm/lfm)],MATCH(Tabelle10[[#This Row],[Rank]],Stammdaten[Rank Verteilung Krümmung],0))</f>
        <v>#N/A</v>
      </c>
      <c r="U3761" t="e">
        <f>VLOOKUP(Tabelle10[[#This Row],[Rank]],Stammdaten[[Rank Verteilung Krümmung]:[Verteilung Krümmung]],2,FALSE)</f>
        <v>#N/A</v>
      </c>
      <c r="Z3761">
        <v>3752</v>
      </c>
      <c r="AA3761" t="e">
        <f>INDEX(Stammdaten[Ovalität (']0,1'])],MATCH(Tabelle1014[[#This Row],[Rank]],Stammdaten[Rank Verteilung Ovalität],0))</f>
        <v>#N/A</v>
      </c>
      <c r="AB3761" t="e">
        <f>VLOOKUP(Tabelle1014[[#This Row],[Rank]],Stammdaten[[Rank Verteilung Ovalität]:[Verteilung Ovalität]],2,FALSE)</f>
        <v>#N/A</v>
      </c>
    </row>
    <row r="3762" spans="5:28" x14ac:dyDescent="0.35">
      <c r="E3762">
        <v>3753</v>
      </c>
      <c r="F3762" t="e">
        <f>INDEX(Stammdaten[D Mitte mit Rinde (mm)],MATCH(Tabelle8[[#This Row],[Rank]],Stammdaten[Rank Verteilung D Mitte mit Rinde],0))</f>
        <v>#N/A</v>
      </c>
      <c r="G3762" t="e">
        <f>VLOOKUP(Tabelle8[[#This Row],[Rank]],Stammdaten[[Rank Verteilung D Mitte mit Rinde]:[Verteilung D Mitte mit Rinde]],2,FALSE)</f>
        <v>#N/A</v>
      </c>
      <c r="L3762">
        <v>3753</v>
      </c>
      <c r="M3762" t="e">
        <f>INDEX(Stammdaten[Abholzigkeit (mm/lfm)],MATCH(Tabelle9[[#This Row],[Rank]],Stammdaten[Rank Verteilung Abholzigkeit],0))</f>
        <v>#N/A</v>
      </c>
      <c r="N3762" t="e">
        <f>VLOOKUP(Tabelle9[[#This Row],[Rank]],Stammdaten[[Rank Verteilung Abholzigkeit]:[Verteilung Abholzigkeit]],2,FALSE)</f>
        <v>#N/A</v>
      </c>
      <c r="S3762">
        <v>3753</v>
      </c>
      <c r="T3762" t="e">
        <f>INDEX(Stammdaten[Krümmung (mm/lfm)],MATCH(Tabelle10[[#This Row],[Rank]],Stammdaten[Rank Verteilung Krümmung],0))</f>
        <v>#N/A</v>
      </c>
      <c r="U3762" t="e">
        <f>VLOOKUP(Tabelle10[[#This Row],[Rank]],Stammdaten[[Rank Verteilung Krümmung]:[Verteilung Krümmung]],2,FALSE)</f>
        <v>#N/A</v>
      </c>
      <c r="Z3762">
        <v>3753</v>
      </c>
      <c r="AA3762" t="e">
        <f>INDEX(Stammdaten[Ovalität (']0,1'])],MATCH(Tabelle1014[[#This Row],[Rank]],Stammdaten[Rank Verteilung Ovalität],0))</f>
        <v>#N/A</v>
      </c>
      <c r="AB3762" t="e">
        <f>VLOOKUP(Tabelle1014[[#This Row],[Rank]],Stammdaten[[Rank Verteilung Ovalität]:[Verteilung Ovalität]],2,FALSE)</f>
        <v>#N/A</v>
      </c>
    </row>
    <row r="3763" spans="5:28" x14ac:dyDescent="0.35">
      <c r="E3763">
        <v>3754</v>
      </c>
      <c r="F3763" t="e">
        <f>INDEX(Stammdaten[D Mitte mit Rinde (mm)],MATCH(Tabelle8[[#This Row],[Rank]],Stammdaten[Rank Verteilung D Mitte mit Rinde],0))</f>
        <v>#N/A</v>
      </c>
      <c r="G3763" t="e">
        <f>VLOOKUP(Tabelle8[[#This Row],[Rank]],Stammdaten[[Rank Verteilung D Mitte mit Rinde]:[Verteilung D Mitte mit Rinde]],2,FALSE)</f>
        <v>#N/A</v>
      </c>
      <c r="L3763">
        <v>3754</v>
      </c>
      <c r="M3763" t="e">
        <f>INDEX(Stammdaten[Abholzigkeit (mm/lfm)],MATCH(Tabelle9[[#This Row],[Rank]],Stammdaten[Rank Verteilung Abholzigkeit],0))</f>
        <v>#N/A</v>
      </c>
      <c r="N3763" t="e">
        <f>VLOOKUP(Tabelle9[[#This Row],[Rank]],Stammdaten[[Rank Verteilung Abholzigkeit]:[Verteilung Abholzigkeit]],2,FALSE)</f>
        <v>#N/A</v>
      </c>
      <c r="S3763">
        <v>3754</v>
      </c>
      <c r="T3763" t="e">
        <f>INDEX(Stammdaten[Krümmung (mm/lfm)],MATCH(Tabelle10[[#This Row],[Rank]],Stammdaten[Rank Verteilung Krümmung],0))</f>
        <v>#N/A</v>
      </c>
      <c r="U3763" t="e">
        <f>VLOOKUP(Tabelle10[[#This Row],[Rank]],Stammdaten[[Rank Verteilung Krümmung]:[Verteilung Krümmung]],2,FALSE)</f>
        <v>#N/A</v>
      </c>
      <c r="Z3763">
        <v>3754</v>
      </c>
      <c r="AA3763" t="e">
        <f>INDEX(Stammdaten[Ovalität (']0,1'])],MATCH(Tabelle1014[[#This Row],[Rank]],Stammdaten[Rank Verteilung Ovalität],0))</f>
        <v>#N/A</v>
      </c>
      <c r="AB3763" t="e">
        <f>VLOOKUP(Tabelle1014[[#This Row],[Rank]],Stammdaten[[Rank Verteilung Ovalität]:[Verteilung Ovalität]],2,FALSE)</f>
        <v>#N/A</v>
      </c>
    </row>
    <row r="3764" spans="5:28" x14ac:dyDescent="0.35">
      <c r="E3764">
        <v>3755</v>
      </c>
      <c r="F3764" t="e">
        <f>INDEX(Stammdaten[D Mitte mit Rinde (mm)],MATCH(Tabelle8[[#This Row],[Rank]],Stammdaten[Rank Verteilung D Mitte mit Rinde],0))</f>
        <v>#N/A</v>
      </c>
      <c r="G3764" t="e">
        <f>VLOOKUP(Tabelle8[[#This Row],[Rank]],Stammdaten[[Rank Verteilung D Mitte mit Rinde]:[Verteilung D Mitte mit Rinde]],2,FALSE)</f>
        <v>#N/A</v>
      </c>
      <c r="L3764">
        <v>3755</v>
      </c>
      <c r="M3764" t="e">
        <f>INDEX(Stammdaten[Abholzigkeit (mm/lfm)],MATCH(Tabelle9[[#This Row],[Rank]],Stammdaten[Rank Verteilung Abholzigkeit],0))</f>
        <v>#N/A</v>
      </c>
      <c r="N3764" t="e">
        <f>VLOOKUP(Tabelle9[[#This Row],[Rank]],Stammdaten[[Rank Verteilung Abholzigkeit]:[Verteilung Abholzigkeit]],2,FALSE)</f>
        <v>#N/A</v>
      </c>
      <c r="S3764">
        <v>3755</v>
      </c>
      <c r="T3764" t="e">
        <f>INDEX(Stammdaten[Krümmung (mm/lfm)],MATCH(Tabelle10[[#This Row],[Rank]],Stammdaten[Rank Verteilung Krümmung],0))</f>
        <v>#N/A</v>
      </c>
      <c r="U3764" t="e">
        <f>VLOOKUP(Tabelle10[[#This Row],[Rank]],Stammdaten[[Rank Verteilung Krümmung]:[Verteilung Krümmung]],2,FALSE)</f>
        <v>#N/A</v>
      </c>
      <c r="Z3764">
        <v>3755</v>
      </c>
      <c r="AA3764" t="e">
        <f>INDEX(Stammdaten[Ovalität (']0,1'])],MATCH(Tabelle1014[[#This Row],[Rank]],Stammdaten[Rank Verteilung Ovalität],0))</f>
        <v>#N/A</v>
      </c>
      <c r="AB3764" t="e">
        <f>VLOOKUP(Tabelle1014[[#This Row],[Rank]],Stammdaten[[Rank Verteilung Ovalität]:[Verteilung Ovalität]],2,FALSE)</f>
        <v>#N/A</v>
      </c>
    </row>
    <row r="3765" spans="5:28" x14ac:dyDescent="0.35">
      <c r="E3765">
        <v>3756</v>
      </c>
      <c r="F3765" t="e">
        <f>INDEX(Stammdaten[D Mitte mit Rinde (mm)],MATCH(Tabelle8[[#This Row],[Rank]],Stammdaten[Rank Verteilung D Mitte mit Rinde],0))</f>
        <v>#N/A</v>
      </c>
      <c r="G3765" t="e">
        <f>VLOOKUP(Tabelle8[[#This Row],[Rank]],Stammdaten[[Rank Verteilung D Mitte mit Rinde]:[Verteilung D Mitte mit Rinde]],2,FALSE)</f>
        <v>#N/A</v>
      </c>
      <c r="L3765">
        <v>3756</v>
      </c>
      <c r="M3765" t="e">
        <f>INDEX(Stammdaten[Abholzigkeit (mm/lfm)],MATCH(Tabelle9[[#This Row],[Rank]],Stammdaten[Rank Verteilung Abholzigkeit],0))</f>
        <v>#N/A</v>
      </c>
      <c r="N3765" t="e">
        <f>VLOOKUP(Tabelle9[[#This Row],[Rank]],Stammdaten[[Rank Verteilung Abholzigkeit]:[Verteilung Abholzigkeit]],2,FALSE)</f>
        <v>#N/A</v>
      </c>
      <c r="S3765">
        <v>3756</v>
      </c>
      <c r="T3765" t="e">
        <f>INDEX(Stammdaten[Krümmung (mm/lfm)],MATCH(Tabelle10[[#This Row],[Rank]],Stammdaten[Rank Verteilung Krümmung],0))</f>
        <v>#N/A</v>
      </c>
      <c r="U3765" t="e">
        <f>VLOOKUP(Tabelle10[[#This Row],[Rank]],Stammdaten[[Rank Verteilung Krümmung]:[Verteilung Krümmung]],2,FALSE)</f>
        <v>#N/A</v>
      </c>
      <c r="Z3765">
        <v>3756</v>
      </c>
      <c r="AA3765" t="e">
        <f>INDEX(Stammdaten[Ovalität (']0,1'])],MATCH(Tabelle1014[[#This Row],[Rank]],Stammdaten[Rank Verteilung Ovalität],0))</f>
        <v>#N/A</v>
      </c>
      <c r="AB3765" t="e">
        <f>VLOOKUP(Tabelle1014[[#This Row],[Rank]],Stammdaten[[Rank Verteilung Ovalität]:[Verteilung Ovalität]],2,FALSE)</f>
        <v>#N/A</v>
      </c>
    </row>
    <row r="3766" spans="5:28" x14ac:dyDescent="0.35">
      <c r="E3766">
        <v>3757</v>
      </c>
      <c r="F3766" t="e">
        <f>INDEX(Stammdaten[D Mitte mit Rinde (mm)],MATCH(Tabelle8[[#This Row],[Rank]],Stammdaten[Rank Verteilung D Mitte mit Rinde],0))</f>
        <v>#N/A</v>
      </c>
      <c r="G3766" t="e">
        <f>VLOOKUP(Tabelle8[[#This Row],[Rank]],Stammdaten[[Rank Verteilung D Mitte mit Rinde]:[Verteilung D Mitte mit Rinde]],2,FALSE)</f>
        <v>#N/A</v>
      </c>
      <c r="L3766">
        <v>3757</v>
      </c>
      <c r="M3766" t="e">
        <f>INDEX(Stammdaten[Abholzigkeit (mm/lfm)],MATCH(Tabelle9[[#This Row],[Rank]],Stammdaten[Rank Verteilung Abholzigkeit],0))</f>
        <v>#N/A</v>
      </c>
      <c r="N3766" t="e">
        <f>VLOOKUP(Tabelle9[[#This Row],[Rank]],Stammdaten[[Rank Verteilung Abholzigkeit]:[Verteilung Abholzigkeit]],2,FALSE)</f>
        <v>#N/A</v>
      </c>
      <c r="S3766">
        <v>3757</v>
      </c>
      <c r="T3766" t="e">
        <f>INDEX(Stammdaten[Krümmung (mm/lfm)],MATCH(Tabelle10[[#This Row],[Rank]],Stammdaten[Rank Verteilung Krümmung],0))</f>
        <v>#N/A</v>
      </c>
      <c r="U3766" t="e">
        <f>VLOOKUP(Tabelle10[[#This Row],[Rank]],Stammdaten[[Rank Verteilung Krümmung]:[Verteilung Krümmung]],2,FALSE)</f>
        <v>#N/A</v>
      </c>
      <c r="Z3766">
        <v>3757</v>
      </c>
      <c r="AA3766" t="e">
        <f>INDEX(Stammdaten[Ovalität (']0,1'])],MATCH(Tabelle1014[[#This Row],[Rank]],Stammdaten[Rank Verteilung Ovalität],0))</f>
        <v>#N/A</v>
      </c>
      <c r="AB3766" t="e">
        <f>VLOOKUP(Tabelle1014[[#This Row],[Rank]],Stammdaten[[Rank Verteilung Ovalität]:[Verteilung Ovalität]],2,FALSE)</f>
        <v>#N/A</v>
      </c>
    </row>
    <row r="3767" spans="5:28" x14ac:dyDescent="0.35">
      <c r="E3767">
        <v>3758</v>
      </c>
      <c r="F3767" t="e">
        <f>INDEX(Stammdaten[D Mitte mit Rinde (mm)],MATCH(Tabelle8[[#This Row],[Rank]],Stammdaten[Rank Verteilung D Mitte mit Rinde],0))</f>
        <v>#N/A</v>
      </c>
      <c r="G3767" t="e">
        <f>VLOOKUP(Tabelle8[[#This Row],[Rank]],Stammdaten[[Rank Verteilung D Mitte mit Rinde]:[Verteilung D Mitte mit Rinde]],2,FALSE)</f>
        <v>#N/A</v>
      </c>
      <c r="L3767">
        <v>3758</v>
      </c>
      <c r="M3767" t="e">
        <f>INDEX(Stammdaten[Abholzigkeit (mm/lfm)],MATCH(Tabelle9[[#This Row],[Rank]],Stammdaten[Rank Verteilung Abholzigkeit],0))</f>
        <v>#N/A</v>
      </c>
      <c r="N3767" t="e">
        <f>VLOOKUP(Tabelle9[[#This Row],[Rank]],Stammdaten[[Rank Verteilung Abholzigkeit]:[Verteilung Abholzigkeit]],2,FALSE)</f>
        <v>#N/A</v>
      </c>
      <c r="S3767">
        <v>3758</v>
      </c>
      <c r="T3767" t="e">
        <f>INDEX(Stammdaten[Krümmung (mm/lfm)],MATCH(Tabelle10[[#This Row],[Rank]],Stammdaten[Rank Verteilung Krümmung],0))</f>
        <v>#N/A</v>
      </c>
      <c r="U3767" t="e">
        <f>VLOOKUP(Tabelle10[[#This Row],[Rank]],Stammdaten[[Rank Verteilung Krümmung]:[Verteilung Krümmung]],2,FALSE)</f>
        <v>#N/A</v>
      </c>
      <c r="Z3767">
        <v>3758</v>
      </c>
      <c r="AA3767" t="e">
        <f>INDEX(Stammdaten[Ovalität (']0,1'])],MATCH(Tabelle1014[[#This Row],[Rank]],Stammdaten[Rank Verteilung Ovalität],0))</f>
        <v>#N/A</v>
      </c>
      <c r="AB3767" t="e">
        <f>VLOOKUP(Tabelle1014[[#This Row],[Rank]],Stammdaten[[Rank Verteilung Ovalität]:[Verteilung Ovalität]],2,FALSE)</f>
        <v>#N/A</v>
      </c>
    </row>
    <row r="3768" spans="5:28" x14ac:dyDescent="0.35">
      <c r="E3768">
        <v>3759</v>
      </c>
      <c r="F3768" t="e">
        <f>INDEX(Stammdaten[D Mitte mit Rinde (mm)],MATCH(Tabelle8[[#This Row],[Rank]],Stammdaten[Rank Verteilung D Mitte mit Rinde],0))</f>
        <v>#N/A</v>
      </c>
      <c r="G3768" t="e">
        <f>VLOOKUP(Tabelle8[[#This Row],[Rank]],Stammdaten[[Rank Verteilung D Mitte mit Rinde]:[Verteilung D Mitte mit Rinde]],2,FALSE)</f>
        <v>#N/A</v>
      </c>
      <c r="L3768">
        <v>3759</v>
      </c>
      <c r="M3768" t="e">
        <f>INDEX(Stammdaten[Abholzigkeit (mm/lfm)],MATCH(Tabelle9[[#This Row],[Rank]],Stammdaten[Rank Verteilung Abholzigkeit],0))</f>
        <v>#N/A</v>
      </c>
      <c r="N3768" t="e">
        <f>VLOOKUP(Tabelle9[[#This Row],[Rank]],Stammdaten[[Rank Verteilung Abholzigkeit]:[Verteilung Abholzigkeit]],2,FALSE)</f>
        <v>#N/A</v>
      </c>
      <c r="S3768">
        <v>3759</v>
      </c>
      <c r="T3768" t="e">
        <f>INDEX(Stammdaten[Krümmung (mm/lfm)],MATCH(Tabelle10[[#This Row],[Rank]],Stammdaten[Rank Verteilung Krümmung],0))</f>
        <v>#N/A</v>
      </c>
      <c r="U3768" t="e">
        <f>VLOOKUP(Tabelle10[[#This Row],[Rank]],Stammdaten[[Rank Verteilung Krümmung]:[Verteilung Krümmung]],2,FALSE)</f>
        <v>#N/A</v>
      </c>
      <c r="Z3768">
        <v>3759</v>
      </c>
      <c r="AA3768" t="e">
        <f>INDEX(Stammdaten[Ovalität (']0,1'])],MATCH(Tabelle1014[[#This Row],[Rank]],Stammdaten[Rank Verteilung Ovalität],0))</f>
        <v>#N/A</v>
      </c>
      <c r="AB3768" t="e">
        <f>VLOOKUP(Tabelle1014[[#This Row],[Rank]],Stammdaten[[Rank Verteilung Ovalität]:[Verteilung Ovalität]],2,FALSE)</f>
        <v>#N/A</v>
      </c>
    </row>
    <row r="3769" spans="5:28" x14ac:dyDescent="0.35">
      <c r="E3769">
        <v>3760</v>
      </c>
      <c r="F3769" t="e">
        <f>INDEX(Stammdaten[D Mitte mit Rinde (mm)],MATCH(Tabelle8[[#This Row],[Rank]],Stammdaten[Rank Verteilung D Mitte mit Rinde],0))</f>
        <v>#N/A</v>
      </c>
      <c r="G3769" t="e">
        <f>VLOOKUP(Tabelle8[[#This Row],[Rank]],Stammdaten[[Rank Verteilung D Mitte mit Rinde]:[Verteilung D Mitte mit Rinde]],2,FALSE)</f>
        <v>#N/A</v>
      </c>
      <c r="L3769">
        <v>3760</v>
      </c>
      <c r="M3769" t="e">
        <f>INDEX(Stammdaten[Abholzigkeit (mm/lfm)],MATCH(Tabelle9[[#This Row],[Rank]],Stammdaten[Rank Verteilung Abholzigkeit],0))</f>
        <v>#N/A</v>
      </c>
      <c r="N3769" t="e">
        <f>VLOOKUP(Tabelle9[[#This Row],[Rank]],Stammdaten[[Rank Verteilung Abholzigkeit]:[Verteilung Abholzigkeit]],2,FALSE)</f>
        <v>#N/A</v>
      </c>
      <c r="S3769">
        <v>3760</v>
      </c>
      <c r="T3769" t="e">
        <f>INDEX(Stammdaten[Krümmung (mm/lfm)],MATCH(Tabelle10[[#This Row],[Rank]],Stammdaten[Rank Verteilung Krümmung],0))</f>
        <v>#N/A</v>
      </c>
      <c r="U3769" t="e">
        <f>VLOOKUP(Tabelle10[[#This Row],[Rank]],Stammdaten[[Rank Verteilung Krümmung]:[Verteilung Krümmung]],2,FALSE)</f>
        <v>#N/A</v>
      </c>
      <c r="Z3769">
        <v>3760</v>
      </c>
      <c r="AA3769" t="e">
        <f>INDEX(Stammdaten[Ovalität (']0,1'])],MATCH(Tabelle1014[[#This Row],[Rank]],Stammdaten[Rank Verteilung Ovalität],0))</f>
        <v>#N/A</v>
      </c>
      <c r="AB3769" t="e">
        <f>VLOOKUP(Tabelle1014[[#This Row],[Rank]],Stammdaten[[Rank Verteilung Ovalität]:[Verteilung Ovalität]],2,FALSE)</f>
        <v>#N/A</v>
      </c>
    </row>
    <row r="3770" spans="5:28" x14ac:dyDescent="0.35">
      <c r="E3770">
        <v>3761</v>
      </c>
      <c r="F3770" t="e">
        <f>INDEX(Stammdaten[D Mitte mit Rinde (mm)],MATCH(Tabelle8[[#This Row],[Rank]],Stammdaten[Rank Verteilung D Mitte mit Rinde],0))</f>
        <v>#N/A</v>
      </c>
      <c r="G3770" t="e">
        <f>VLOOKUP(Tabelle8[[#This Row],[Rank]],Stammdaten[[Rank Verteilung D Mitte mit Rinde]:[Verteilung D Mitte mit Rinde]],2,FALSE)</f>
        <v>#N/A</v>
      </c>
      <c r="L3770">
        <v>3761</v>
      </c>
      <c r="M3770" t="e">
        <f>INDEX(Stammdaten[Abholzigkeit (mm/lfm)],MATCH(Tabelle9[[#This Row],[Rank]],Stammdaten[Rank Verteilung Abholzigkeit],0))</f>
        <v>#N/A</v>
      </c>
      <c r="N3770" t="e">
        <f>VLOOKUP(Tabelle9[[#This Row],[Rank]],Stammdaten[[Rank Verteilung Abholzigkeit]:[Verteilung Abholzigkeit]],2,FALSE)</f>
        <v>#N/A</v>
      </c>
      <c r="S3770">
        <v>3761</v>
      </c>
      <c r="T3770" t="e">
        <f>INDEX(Stammdaten[Krümmung (mm/lfm)],MATCH(Tabelle10[[#This Row],[Rank]],Stammdaten[Rank Verteilung Krümmung],0))</f>
        <v>#N/A</v>
      </c>
      <c r="U3770" t="e">
        <f>VLOOKUP(Tabelle10[[#This Row],[Rank]],Stammdaten[[Rank Verteilung Krümmung]:[Verteilung Krümmung]],2,FALSE)</f>
        <v>#N/A</v>
      </c>
      <c r="Z3770">
        <v>3761</v>
      </c>
      <c r="AA3770" t="e">
        <f>INDEX(Stammdaten[Ovalität (']0,1'])],MATCH(Tabelle1014[[#This Row],[Rank]],Stammdaten[Rank Verteilung Ovalität],0))</f>
        <v>#N/A</v>
      </c>
      <c r="AB3770" t="e">
        <f>VLOOKUP(Tabelle1014[[#This Row],[Rank]],Stammdaten[[Rank Verteilung Ovalität]:[Verteilung Ovalität]],2,FALSE)</f>
        <v>#N/A</v>
      </c>
    </row>
    <row r="3771" spans="5:28" x14ac:dyDescent="0.35">
      <c r="E3771">
        <v>3762</v>
      </c>
      <c r="F3771" t="e">
        <f>INDEX(Stammdaten[D Mitte mit Rinde (mm)],MATCH(Tabelle8[[#This Row],[Rank]],Stammdaten[Rank Verteilung D Mitte mit Rinde],0))</f>
        <v>#N/A</v>
      </c>
      <c r="G3771" t="e">
        <f>VLOOKUP(Tabelle8[[#This Row],[Rank]],Stammdaten[[Rank Verteilung D Mitte mit Rinde]:[Verteilung D Mitte mit Rinde]],2,FALSE)</f>
        <v>#N/A</v>
      </c>
      <c r="L3771">
        <v>3762</v>
      </c>
      <c r="M3771" t="e">
        <f>INDEX(Stammdaten[Abholzigkeit (mm/lfm)],MATCH(Tabelle9[[#This Row],[Rank]],Stammdaten[Rank Verteilung Abholzigkeit],0))</f>
        <v>#N/A</v>
      </c>
      <c r="N3771" t="e">
        <f>VLOOKUP(Tabelle9[[#This Row],[Rank]],Stammdaten[[Rank Verteilung Abholzigkeit]:[Verteilung Abholzigkeit]],2,FALSE)</f>
        <v>#N/A</v>
      </c>
      <c r="S3771">
        <v>3762</v>
      </c>
      <c r="T3771" t="e">
        <f>INDEX(Stammdaten[Krümmung (mm/lfm)],MATCH(Tabelle10[[#This Row],[Rank]],Stammdaten[Rank Verteilung Krümmung],0))</f>
        <v>#N/A</v>
      </c>
      <c r="U3771" t="e">
        <f>VLOOKUP(Tabelle10[[#This Row],[Rank]],Stammdaten[[Rank Verteilung Krümmung]:[Verteilung Krümmung]],2,FALSE)</f>
        <v>#N/A</v>
      </c>
      <c r="Z3771">
        <v>3762</v>
      </c>
      <c r="AA3771" t="e">
        <f>INDEX(Stammdaten[Ovalität (']0,1'])],MATCH(Tabelle1014[[#This Row],[Rank]],Stammdaten[Rank Verteilung Ovalität],0))</f>
        <v>#N/A</v>
      </c>
      <c r="AB3771" t="e">
        <f>VLOOKUP(Tabelle1014[[#This Row],[Rank]],Stammdaten[[Rank Verteilung Ovalität]:[Verteilung Ovalität]],2,FALSE)</f>
        <v>#N/A</v>
      </c>
    </row>
    <row r="3772" spans="5:28" x14ac:dyDescent="0.35">
      <c r="E3772">
        <v>3763</v>
      </c>
      <c r="F3772" t="e">
        <f>INDEX(Stammdaten[D Mitte mit Rinde (mm)],MATCH(Tabelle8[[#This Row],[Rank]],Stammdaten[Rank Verteilung D Mitte mit Rinde],0))</f>
        <v>#N/A</v>
      </c>
      <c r="G3772" t="e">
        <f>VLOOKUP(Tabelle8[[#This Row],[Rank]],Stammdaten[[Rank Verteilung D Mitte mit Rinde]:[Verteilung D Mitte mit Rinde]],2,FALSE)</f>
        <v>#N/A</v>
      </c>
      <c r="L3772">
        <v>3763</v>
      </c>
      <c r="M3772" t="e">
        <f>INDEX(Stammdaten[Abholzigkeit (mm/lfm)],MATCH(Tabelle9[[#This Row],[Rank]],Stammdaten[Rank Verteilung Abholzigkeit],0))</f>
        <v>#N/A</v>
      </c>
      <c r="N3772" t="e">
        <f>VLOOKUP(Tabelle9[[#This Row],[Rank]],Stammdaten[[Rank Verteilung Abholzigkeit]:[Verteilung Abholzigkeit]],2,FALSE)</f>
        <v>#N/A</v>
      </c>
      <c r="S3772">
        <v>3763</v>
      </c>
      <c r="T3772" t="e">
        <f>INDEX(Stammdaten[Krümmung (mm/lfm)],MATCH(Tabelle10[[#This Row],[Rank]],Stammdaten[Rank Verteilung Krümmung],0))</f>
        <v>#N/A</v>
      </c>
      <c r="U3772" t="e">
        <f>VLOOKUP(Tabelle10[[#This Row],[Rank]],Stammdaten[[Rank Verteilung Krümmung]:[Verteilung Krümmung]],2,FALSE)</f>
        <v>#N/A</v>
      </c>
      <c r="Z3772">
        <v>3763</v>
      </c>
      <c r="AA3772" t="e">
        <f>INDEX(Stammdaten[Ovalität (']0,1'])],MATCH(Tabelle1014[[#This Row],[Rank]],Stammdaten[Rank Verteilung Ovalität],0))</f>
        <v>#N/A</v>
      </c>
      <c r="AB3772" t="e">
        <f>VLOOKUP(Tabelle1014[[#This Row],[Rank]],Stammdaten[[Rank Verteilung Ovalität]:[Verteilung Ovalität]],2,FALSE)</f>
        <v>#N/A</v>
      </c>
    </row>
    <row r="3773" spans="5:28" x14ac:dyDescent="0.35">
      <c r="E3773">
        <v>3764</v>
      </c>
      <c r="F3773" t="e">
        <f>INDEX(Stammdaten[D Mitte mit Rinde (mm)],MATCH(Tabelle8[[#This Row],[Rank]],Stammdaten[Rank Verteilung D Mitte mit Rinde],0))</f>
        <v>#N/A</v>
      </c>
      <c r="G3773" t="e">
        <f>VLOOKUP(Tabelle8[[#This Row],[Rank]],Stammdaten[[Rank Verteilung D Mitte mit Rinde]:[Verteilung D Mitte mit Rinde]],2,FALSE)</f>
        <v>#N/A</v>
      </c>
      <c r="L3773">
        <v>3764</v>
      </c>
      <c r="M3773" t="e">
        <f>INDEX(Stammdaten[Abholzigkeit (mm/lfm)],MATCH(Tabelle9[[#This Row],[Rank]],Stammdaten[Rank Verteilung Abholzigkeit],0))</f>
        <v>#N/A</v>
      </c>
      <c r="N3773" t="e">
        <f>VLOOKUP(Tabelle9[[#This Row],[Rank]],Stammdaten[[Rank Verteilung Abholzigkeit]:[Verteilung Abholzigkeit]],2,FALSE)</f>
        <v>#N/A</v>
      </c>
      <c r="S3773">
        <v>3764</v>
      </c>
      <c r="T3773" t="e">
        <f>INDEX(Stammdaten[Krümmung (mm/lfm)],MATCH(Tabelle10[[#This Row],[Rank]],Stammdaten[Rank Verteilung Krümmung],0))</f>
        <v>#N/A</v>
      </c>
      <c r="U3773" t="e">
        <f>VLOOKUP(Tabelle10[[#This Row],[Rank]],Stammdaten[[Rank Verteilung Krümmung]:[Verteilung Krümmung]],2,FALSE)</f>
        <v>#N/A</v>
      </c>
      <c r="Z3773">
        <v>3764</v>
      </c>
      <c r="AA3773" t="e">
        <f>INDEX(Stammdaten[Ovalität (']0,1'])],MATCH(Tabelle1014[[#This Row],[Rank]],Stammdaten[Rank Verteilung Ovalität],0))</f>
        <v>#N/A</v>
      </c>
      <c r="AB3773" t="e">
        <f>VLOOKUP(Tabelle1014[[#This Row],[Rank]],Stammdaten[[Rank Verteilung Ovalität]:[Verteilung Ovalität]],2,FALSE)</f>
        <v>#N/A</v>
      </c>
    </row>
    <row r="3774" spans="5:28" x14ac:dyDescent="0.35">
      <c r="E3774">
        <v>3765</v>
      </c>
      <c r="F3774" t="e">
        <f>INDEX(Stammdaten[D Mitte mit Rinde (mm)],MATCH(Tabelle8[[#This Row],[Rank]],Stammdaten[Rank Verteilung D Mitte mit Rinde],0))</f>
        <v>#N/A</v>
      </c>
      <c r="G3774" t="e">
        <f>VLOOKUP(Tabelle8[[#This Row],[Rank]],Stammdaten[[Rank Verteilung D Mitte mit Rinde]:[Verteilung D Mitte mit Rinde]],2,FALSE)</f>
        <v>#N/A</v>
      </c>
      <c r="L3774">
        <v>3765</v>
      </c>
      <c r="M3774" t="e">
        <f>INDEX(Stammdaten[Abholzigkeit (mm/lfm)],MATCH(Tabelle9[[#This Row],[Rank]],Stammdaten[Rank Verteilung Abholzigkeit],0))</f>
        <v>#N/A</v>
      </c>
      <c r="N3774" t="e">
        <f>VLOOKUP(Tabelle9[[#This Row],[Rank]],Stammdaten[[Rank Verteilung Abholzigkeit]:[Verteilung Abholzigkeit]],2,FALSE)</f>
        <v>#N/A</v>
      </c>
      <c r="S3774">
        <v>3765</v>
      </c>
      <c r="T3774" t="e">
        <f>INDEX(Stammdaten[Krümmung (mm/lfm)],MATCH(Tabelle10[[#This Row],[Rank]],Stammdaten[Rank Verteilung Krümmung],0))</f>
        <v>#N/A</v>
      </c>
      <c r="U3774" t="e">
        <f>VLOOKUP(Tabelle10[[#This Row],[Rank]],Stammdaten[[Rank Verteilung Krümmung]:[Verteilung Krümmung]],2,FALSE)</f>
        <v>#N/A</v>
      </c>
      <c r="Z3774">
        <v>3765</v>
      </c>
      <c r="AA3774" t="e">
        <f>INDEX(Stammdaten[Ovalität (']0,1'])],MATCH(Tabelle1014[[#This Row],[Rank]],Stammdaten[Rank Verteilung Ovalität],0))</f>
        <v>#N/A</v>
      </c>
      <c r="AB3774" t="e">
        <f>VLOOKUP(Tabelle1014[[#This Row],[Rank]],Stammdaten[[Rank Verteilung Ovalität]:[Verteilung Ovalität]],2,FALSE)</f>
        <v>#N/A</v>
      </c>
    </row>
    <row r="3775" spans="5:28" x14ac:dyDescent="0.35">
      <c r="E3775">
        <v>3766</v>
      </c>
      <c r="F3775" t="e">
        <f>INDEX(Stammdaten[D Mitte mit Rinde (mm)],MATCH(Tabelle8[[#This Row],[Rank]],Stammdaten[Rank Verteilung D Mitte mit Rinde],0))</f>
        <v>#N/A</v>
      </c>
      <c r="G3775" t="e">
        <f>VLOOKUP(Tabelle8[[#This Row],[Rank]],Stammdaten[[Rank Verteilung D Mitte mit Rinde]:[Verteilung D Mitte mit Rinde]],2,FALSE)</f>
        <v>#N/A</v>
      </c>
      <c r="L3775">
        <v>3766</v>
      </c>
      <c r="M3775" t="e">
        <f>INDEX(Stammdaten[Abholzigkeit (mm/lfm)],MATCH(Tabelle9[[#This Row],[Rank]],Stammdaten[Rank Verteilung Abholzigkeit],0))</f>
        <v>#N/A</v>
      </c>
      <c r="N3775" t="e">
        <f>VLOOKUP(Tabelle9[[#This Row],[Rank]],Stammdaten[[Rank Verteilung Abholzigkeit]:[Verteilung Abholzigkeit]],2,FALSE)</f>
        <v>#N/A</v>
      </c>
      <c r="S3775">
        <v>3766</v>
      </c>
      <c r="T3775" t="e">
        <f>INDEX(Stammdaten[Krümmung (mm/lfm)],MATCH(Tabelle10[[#This Row],[Rank]],Stammdaten[Rank Verteilung Krümmung],0))</f>
        <v>#N/A</v>
      </c>
      <c r="U3775" t="e">
        <f>VLOOKUP(Tabelle10[[#This Row],[Rank]],Stammdaten[[Rank Verteilung Krümmung]:[Verteilung Krümmung]],2,FALSE)</f>
        <v>#N/A</v>
      </c>
      <c r="Z3775">
        <v>3766</v>
      </c>
      <c r="AA3775" t="e">
        <f>INDEX(Stammdaten[Ovalität (']0,1'])],MATCH(Tabelle1014[[#This Row],[Rank]],Stammdaten[Rank Verteilung Ovalität],0))</f>
        <v>#N/A</v>
      </c>
      <c r="AB3775" t="e">
        <f>VLOOKUP(Tabelle1014[[#This Row],[Rank]],Stammdaten[[Rank Verteilung Ovalität]:[Verteilung Ovalität]],2,FALSE)</f>
        <v>#N/A</v>
      </c>
    </row>
    <row r="3776" spans="5:28" x14ac:dyDescent="0.35">
      <c r="E3776">
        <v>3767</v>
      </c>
      <c r="F3776" t="e">
        <f>INDEX(Stammdaten[D Mitte mit Rinde (mm)],MATCH(Tabelle8[[#This Row],[Rank]],Stammdaten[Rank Verteilung D Mitte mit Rinde],0))</f>
        <v>#N/A</v>
      </c>
      <c r="G3776" t="e">
        <f>VLOOKUP(Tabelle8[[#This Row],[Rank]],Stammdaten[[Rank Verteilung D Mitte mit Rinde]:[Verteilung D Mitte mit Rinde]],2,FALSE)</f>
        <v>#N/A</v>
      </c>
      <c r="L3776">
        <v>3767</v>
      </c>
      <c r="M3776" t="e">
        <f>INDEX(Stammdaten[Abholzigkeit (mm/lfm)],MATCH(Tabelle9[[#This Row],[Rank]],Stammdaten[Rank Verteilung Abholzigkeit],0))</f>
        <v>#N/A</v>
      </c>
      <c r="N3776" t="e">
        <f>VLOOKUP(Tabelle9[[#This Row],[Rank]],Stammdaten[[Rank Verteilung Abholzigkeit]:[Verteilung Abholzigkeit]],2,FALSE)</f>
        <v>#N/A</v>
      </c>
      <c r="S3776">
        <v>3767</v>
      </c>
      <c r="T3776" t="e">
        <f>INDEX(Stammdaten[Krümmung (mm/lfm)],MATCH(Tabelle10[[#This Row],[Rank]],Stammdaten[Rank Verteilung Krümmung],0))</f>
        <v>#N/A</v>
      </c>
      <c r="U3776" t="e">
        <f>VLOOKUP(Tabelle10[[#This Row],[Rank]],Stammdaten[[Rank Verteilung Krümmung]:[Verteilung Krümmung]],2,FALSE)</f>
        <v>#N/A</v>
      </c>
      <c r="Z3776">
        <v>3767</v>
      </c>
      <c r="AA3776" t="e">
        <f>INDEX(Stammdaten[Ovalität (']0,1'])],MATCH(Tabelle1014[[#This Row],[Rank]],Stammdaten[Rank Verteilung Ovalität],0))</f>
        <v>#N/A</v>
      </c>
      <c r="AB3776" t="e">
        <f>VLOOKUP(Tabelle1014[[#This Row],[Rank]],Stammdaten[[Rank Verteilung Ovalität]:[Verteilung Ovalität]],2,FALSE)</f>
        <v>#N/A</v>
      </c>
    </row>
    <row r="3777" spans="5:28" x14ac:dyDescent="0.35">
      <c r="E3777">
        <v>3768</v>
      </c>
      <c r="F3777" t="e">
        <f>INDEX(Stammdaten[D Mitte mit Rinde (mm)],MATCH(Tabelle8[[#This Row],[Rank]],Stammdaten[Rank Verteilung D Mitte mit Rinde],0))</f>
        <v>#N/A</v>
      </c>
      <c r="G3777" t="e">
        <f>VLOOKUP(Tabelle8[[#This Row],[Rank]],Stammdaten[[Rank Verteilung D Mitte mit Rinde]:[Verteilung D Mitte mit Rinde]],2,FALSE)</f>
        <v>#N/A</v>
      </c>
      <c r="L3777">
        <v>3768</v>
      </c>
      <c r="M3777" t="e">
        <f>INDEX(Stammdaten[Abholzigkeit (mm/lfm)],MATCH(Tabelle9[[#This Row],[Rank]],Stammdaten[Rank Verteilung Abholzigkeit],0))</f>
        <v>#N/A</v>
      </c>
      <c r="N3777" t="e">
        <f>VLOOKUP(Tabelle9[[#This Row],[Rank]],Stammdaten[[Rank Verteilung Abholzigkeit]:[Verteilung Abholzigkeit]],2,FALSE)</f>
        <v>#N/A</v>
      </c>
      <c r="S3777">
        <v>3768</v>
      </c>
      <c r="T3777" t="e">
        <f>INDEX(Stammdaten[Krümmung (mm/lfm)],MATCH(Tabelle10[[#This Row],[Rank]],Stammdaten[Rank Verteilung Krümmung],0))</f>
        <v>#N/A</v>
      </c>
      <c r="U3777" t="e">
        <f>VLOOKUP(Tabelle10[[#This Row],[Rank]],Stammdaten[[Rank Verteilung Krümmung]:[Verteilung Krümmung]],2,FALSE)</f>
        <v>#N/A</v>
      </c>
      <c r="Z3777">
        <v>3768</v>
      </c>
      <c r="AA3777" t="e">
        <f>INDEX(Stammdaten[Ovalität (']0,1'])],MATCH(Tabelle1014[[#This Row],[Rank]],Stammdaten[Rank Verteilung Ovalität],0))</f>
        <v>#N/A</v>
      </c>
      <c r="AB3777" t="e">
        <f>VLOOKUP(Tabelle1014[[#This Row],[Rank]],Stammdaten[[Rank Verteilung Ovalität]:[Verteilung Ovalität]],2,FALSE)</f>
        <v>#N/A</v>
      </c>
    </row>
    <row r="3778" spans="5:28" x14ac:dyDescent="0.35">
      <c r="E3778">
        <v>3769</v>
      </c>
      <c r="F3778" t="e">
        <f>INDEX(Stammdaten[D Mitte mit Rinde (mm)],MATCH(Tabelle8[[#This Row],[Rank]],Stammdaten[Rank Verteilung D Mitte mit Rinde],0))</f>
        <v>#N/A</v>
      </c>
      <c r="G3778" t="e">
        <f>VLOOKUP(Tabelle8[[#This Row],[Rank]],Stammdaten[[Rank Verteilung D Mitte mit Rinde]:[Verteilung D Mitte mit Rinde]],2,FALSE)</f>
        <v>#N/A</v>
      </c>
      <c r="L3778">
        <v>3769</v>
      </c>
      <c r="M3778" t="e">
        <f>INDEX(Stammdaten[Abholzigkeit (mm/lfm)],MATCH(Tabelle9[[#This Row],[Rank]],Stammdaten[Rank Verteilung Abholzigkeit],0))</f>
        <v>#N/A</v>
      </c>
      <c r="N3778" t="e">
        <f>VLOOKUP(Tabelle9[[#This Row],[Rank]],Stammdaten[[Rank Verteilung Abholzigkeit]:[Verteilung Abholzigkeit]],2,FALSE)</f>
        <v>#N/A</v>
      </c>
      <c r="S3778">
        <v>3769</v>
      </c>
      <c r="T3778" t="e">
        <f>INDEX(Stammdaten[Krümmung (mm/lfm)],MATCH(Tabelle10[[#This Row],[Rank]],Stammdaten[Rank Verteilung Krümmung],0))</f>
        <v>#N/A</v>
      </c>
      <c r="U3778" t="e">
        <f>VLOOKUP(Tabelle10[[#This Row],[Rank]],Stammdaten[[Rank Verteilung Krümmung]:[Verteilung Krümmung]],2,FALSE)</f>
        <v>#N/A</v>
      </c>
      <c r="Z3778">
        <v>3769</v>
      </c>
      <c r="AA3778" t="e">
        <f>INDEX(Stammdaten[Ovalität (']0,1'])],MATCH(Tabelle1014[[#This Row],[Rank]],Stammdaten[Rank Verteilung Ovalität],0))</f>
        <v>#N/A</v>
      </c>
      <c r="AB3778" t="e">
        <f>VLOOKUP(Tabelle1014[[#This Row],[Rank]],Stammdaten[[Rank Verteilung Ovalität]:[Verteilung Ovalität]],2,FALSE)</f>
        <v>#N/A</v>
      </c>
    </row>
    <row r="3779" spans="5:28" x14ac:dyDescent="0.35">
      <c r="E3779">
        <v>3770</v>
      </c>
      <c r="F3779" t="e">
        <f>INDEX(Stammdaten[D Mitte mit Rinde (mm)],MATCH(Tabelle8[[#This Row],[Rank]],Stammdaten[Rank Verteilung D Mitte mit Rinde],0))</f>
        <v>#N/A</v>
      </c>
      <c r="G3779" t="e">
        <f>VLOOKUP(Tabelle8[[#This Row],[Rank]],Stammdaten[[Rank Verteilung D Mitte mit Rinde]:[Verteilung D Mitte mit Rinde]],2,FALSE)</f>
        <v>#N/A</v>
      </c>
      <c r="L3779">
        <v>3770</v>
      </c>
      <c r="M3779" t="e">
        <f>INDEX(Stammdaten[Abholzigkeit (mm/lfm)],MATCH(Tabelle9[[#This Row],[Rank]],Stammdaten[Rank Verteilung Abholzigkeit],0))</f>
        <v>#N/A</v>
      </c>
      <c r="N3779" t="e">
        <f>VLOOKUP(Tabelle9[[#This Row],[Rank]],Stammdaten[[Rank Verteilung Abholzigkeit]:[Verteilung Abholzigkeit]],2,FALSE)</f>
        <v>#N/A</v>
      </c>
      <c r="S3779">
        <v>3770</v>
      </c>
      <c r="T3779" t="e">
        <f>INDEX(Stammdaten[Krümmung (mm/lfm)],MATCH(Tabelle10[[#This Row],[Rank]],Stammdaten[Rank Verteilung Krümmung],0))</f>
        <v>#N/A</v>
      </c>
      <c r="U3779" t="e">
        <f>VLOOKUP(Tabelle10[[#This Row],[Rank]],Stammdaten[[Rank Verteilung Krümmung]:[Verteilung Krümmung]],2,FALSE)</f>
        <v>#N/A</v>
      </c>
      <c r="Z3779">
        <v>3770</v>
      </c>
      <c r="AA3779" t="e">
        <f>INDEX(Stammdaten[Ovalität (']0,1'])],MATCH(Tabelle1014[[#This Row],[Rank]],Stammdaten[Rank Verteilung Ovalität],0))</f>
        <v>#N/A</v>
      </c>
      <c r="AB3779" t="e">
        <f>VLOOKUP(Tabelle1014[[#This Row],[Rank]],Stammdaten[[Rank Verteilung Ovalität]:[Verteilung Ovalität]],2,FALSE)</f>
        <v>#N/A</v>
      </c>
    </row>
    <row r="3780" spans="5:28" x14ac:dyDescent="0.35">
      <c r="E3780">
        <v>3771</v>
      </c>
      <c r="F3780" t="e">
        <f>INDEX(Stammdaten[D Mitte mit Rinde (mm)],MATCH(Tabelle8[[#This Row],[Rank]],Stammdaten[Rank Verteilung D Mitte mit Rinde],0))</f>
        <v>#N/A</v>
      </c>
      <c r="G3780" t="e">
        <f>VLOOKUP(Tabelle8[[#This Row],[Rank]],Stammdaten[[Rank Verteilung D Mitte mit Rinde]:[Verteilung D Mitte mit Rinde]],2,FALSE)</f>
        <v>#N/A</v>
      </c>
      <c r="L3780">
        <v>3771</v>
      </c>
      <c r="M3780" t="e">
        <f>INDEX(Stammdaten[Abholzigkeit (mm/lfm)],MATCH(Tabelle9[[#This Row],[Rank]],Stammdaten[Rank Verteilung Abholzigkeit],0))</f>
        <v>#N/A</v>
      </c>
      <c r="N3780" t="e">
        <f>VLOOKUP(Tabelle9[[#This Row],[Rank]],Stammdaten[[Rank Verteilung Abholzigkeit]:[Verteilung Abholzigkeit]],2,FALSE)</f>
        <v>#N/A</v>
      </c>
      <c r="S3780">
        <v>3771</v>
      </c>
      <c r="T3780" t="e">
        <f>INDEX(Stammdaten[Krümmung (mm/lfm)],MATCH(Tabelle10[[#This Row],[Rank]],Stammdaten[Rank Verteilung Krümmung],0))</f>
        <v>#N/A</v>
      </c>
      <c r="U3780" t="e">
        <f>VLOOKUP(Tabelle10[[#This Row],[Rank]],Stammdaten[[Rank Verteilung Krümmung]:[Verteilung Krümmung]],2,FALSE)</f>
        <v>#N/A</v>
      </c>
      <c r="Z3780">
        <v>3771</v>
      </c>
      <c r="AA3780" t="e">
        <f>INDEX(Stammdaten[Ovalität (']0,1'])],MATCH(Tabelle1014[[#This Row],[Rank]],Stammdaten[Rank Verteilung Ovalität],0))</f>
        <v>#N/A</v>
      </c>
      <c r="AB3780" t="e">
        <f>VLOOKUP(Tabelle1014[[#This Row],[Rank]],Stammdaten[[Rank Verteilung Ovalität]:[Verteilung Ovalität]],2,FALSE)</f>
        <v>#N/A</v>
      </c>
    </row>
    <row r="3781" spans="5:28" x14ac:dyDescent="0.35">
      <c r="E3781">
        <v>3772</v>
      </c>
      <c r="F3781" t="e">
        <f>INDEX(Stammdaten[D Mitte mit Rinde (mm)],MATCH(Tabelle8[[#This Row],[Rank]],Stammdaten[Rank Verteilung D Mitte mit Rinde],0))</f>
        <v>#N/A</v>
      </c>
      <c r="G3781" t="e">
        <f>VLOOKUP(Tabelle8[[#This Row],[Rank]],Stammdaten[[Rank Verteilung D Mitte mit Rinde]:[Verteilung D Mitte mit Rinde]],2,FALSE)</f>
        <v>#N/A</v>
      </c>
      <c r="L3781">
        <v>3772</v>
      </c>
      <c r="M3781" t="e">
        <f>INDEX(Stammdaten[Abholzigkeit (mm/lfm)],MATCH(Tabelle9[[#This Row],[Rank]],Stammdaten[Rank Verteilung Abholzigkeit],0))</f>
        <v>#N/A</v>
      </c>
      <c r="N3781" t="e">
        <f>VLOOKUP(Tabelle9[[#This Row],[Rank]],Stammdaten[[Rank Verteilung Abholzigkeit]:[Verteilung Abholzigkeit]],2,FALSE)</f>
        <v>#N/A</v>
      </c>
      <c r="S3781">
        <v>3772</v>
      </c>
      <c r="T3781" t="e">
        <f>INDEX(Stammdaten[Krümmung (mm/lfm)],MATCH(Tabelle10[[#This Row],[Rank]],Stammdaten[Rank Verteilung Krümmung],0))</f>
        <v>#N/A</v>
      </c>
      <c r="U3781" t="e">
        <f>VLOOKUP(Tabelle10[[#This Row],[Rank]],Stammdaten[[Rank Verteilung Krümmung]:[Verteilung Krümmung]],2,FALSE)</f>
        <v>#N/A</v>
      </c>
      <c r="Z3781">
        <v>3772</v>
      </c>
      <c r="AA3781" t="e">
        <f>INDEX(Stammdaten[Ovalität (']0,1'])],MATCH(Tabelle1014[[#This Row],[Rank]],Stammdaten[Rank Verteilung Ovalität],0))</f>
        <v>#N/A</v>
      </c>
      <c r="AB3781" t="e">
        <f>VLOOKUP(Tabelle1014[[#This Row],[Rank]],Stammdaten[[Rank Verteilung Ovalität]:[Verteilung Ovalität]],2,FALSE)</f>
        <v>#N/A</v>
      </c>
    </row>
    <row r="3782" spans="5:28" x14ac:dyDescent="0.35">
      <c r="E3782">
        <v>3773</v>
      </c>
      <c r="F3782" t="e">
        <f>INDEX(Stammdaten[D Mitte mit Rinde (mm)],MATCH(Tabelle8[[#This Row],[Rank]],Stammdaten[Rank Verteilung D Mitte mit Rinde],0))</f>
        <v>#N/A</v>
      </c>
      <c r="G3782" t="e">
        <f>VLOOKUP(Tabelle8[[#This Row],[Rank]],Stammdaten[[Rank Verteilung D Mitte mit Rinde]:[Verteilung D Mitte mit Rinde]],2,FALSE)</f>
        <v>#N/A</v>
      </c>
      <c r="L3782">
        <v>3773</v>
      </c>
      <c r="M3782" t="e">
        <f>INDEX(Stammdaten[Abholzigkeit (mm/lfm)],MATCH(Tabelle9[[#This Row],[Rank]],Stammdaten[Rank Verteilung Abholzigkeit],0))</f>
        <v>#N/A</v>
      </c>
      <c r="N3782" t="e">
        <f>VLOOKUP(Tabelle9[[#This Row],[Rank]],Stammdaten[[Rank Verteilung Abholzigkeit]:[Verteilung Abholzigkeit]],2,FALSE)</f>
        <v>#N/A</v>
      </c>
      <c r="S3782">
        <v>3773</v>
      </c>
      <c r="T3782" t="e">
        <f>INDEX(Stammdaten[Krümmung (mm/lfm)],MATCH(Tabelle10[[#This Row],[Rank]],Stammdaten[Rank Verteilung Krümmung],0))</f>
        <v>#N/A</v>
      </c>
      <c r="U3782" t="e">
        <f>VLOOKUP(Tabelle10[[#This Row],[Rank]],Stammdaten[[Rank Verteilung Krümmung]:[Verteilung Krümmung]],2,FALSE)</f>
        <v>#N/A</v>
      </c>
      <c r="Z3782">
        <v>3773</v>
      </c>
      <c r="AA3782" t="e">
        <f>INDEX(Stammdaten[Ovalität (']0,1'])],MATCH(Tabelle1014[[#This Row],[Rank]],Stammdaten[Rank Verteilung Ovalität],0))</f>
        <v>#N/A</v>
      </c>
      <c r="AB3782" t="e">
        <f>VLOOKUP(Tabelle1014[[#This Row],[Rank]],Stammdaten[[Rank Verteilung Ovalität]:[Verteilung Ovalität]],2,FALSE)</f>
        <v>#N/A</v>
      </c>
    </row>
    <row r="3783" spans="5:28" x14ac:dyDescent="0.35">
      <c r="E3783">
        <v>3774</v>
      </c>
      <c r="F3783" t="e">
        <f>INDEX(Stammdaten[D Mitte mit Rinde (mm)],MATCH(Tabelle8[[#This Row],[Rank]],Stammdaten[Rank Verteilung D Mitte mit Rinde],0))</f>
        <v>#N/A</v>
      </c>
      <c r="G3783" t="e">
        <f>VLOOKUP(Tabelle8[[#This Row],[Rank]],Stammdaten[[Rank Verteilung D Mitte mit Rinde]:[Verteilung D Mitte mit Rinde]],2,FALSE)</f>
        <v>#N/A</v>
      </c>
      <c r="L3783">
        <v>3774</v>
      </c>
      <c r="M3783" t="e">
        <f>INDEX(Stammdaten[Abholzigkeit (mm/lfm)],MATCH(Tabelle9[[#This Row],[Rank]],Stammdaten[Rank Verteilung Abholzigkeit],0))</f>
        <v>#N/A</v>
      </c>
      <c r="N3783" t="e">
        <f>VLOOKUP(Tabelle9[[#This Row],[Rank]],Stammdaten[[Rank Verteilung Abholzigkeit]:[Verteilung Abholzigkeit]],2,FALSE)</f>
        <v>#N/A</v>
      </c>
      <c r="S3783">
        <v>3774</v>
      </c>
      <c r="T3783" t="e">
        <f>INDEX(Stammdaten[Krümmung (mm/lfm)],MATCH(Tabelle10[[#This Row],[Rank]],Stammdaten[Rank Verteilung Krümmung],0))</f>
        <v>#N/A</v>
      </c>
      <c r="U3783" t="e">
        <f>VLOOKUP(Tabelle10[[#This Row],[Rank]],Stammdaten[[Rank Verteilung Krümmung]:[Verteilung Krümmung]],2,FALSE)</f>
        <v>#N/A</v>
      </c>
      <c r="Z3783">
        <v>3774</v>
      </c>
      <c r="AA3783" t="e">
        <f>INDEX(Stammdaten[Ovalität (']0,1'])],MATCH(Tabelle1014[[#This Row],[Rank]],Stammdaten[Rank Verteilung Ovalität],0))</f>
        <v>#N/A</v>
      </c>
      <c r="AB3783" t="e">
        <f>VLOOKUP(Tabelle1014[[#This Row],[Rank]],Stammdaten[[Rank Verteilung Ovalität]:[Verteilung Ovalität]],2,FALSE)</f>
        <v>#N/A</v>
      </c>
    </row>
    <row r="3784" spans="5:28" x14ac:dyDescent="0.35">
      <c r="E3784">
        <v>3775</v>
      </c>
      <c r="F3784" t="e">
        <f>INDEX(Stammdaten[D Mitte mit Rinde (mm)],MATCH(Tabelle8[[#This Row],[Rank]],Stammdaten[Rank Verteilung D Mitte mit Rinde],0))</f>
        <v>#N/A</v>
      </c>
      <c r="G3784" t="e">
        <f>VLOOKUP(Tabelle8[[#This Row],[Rank]],Stammdaten[[Rank Verteilung D Mitte mit Rinde]:[Verteilung D Mitte mit Rinde]],2,FALSE)</f>
        <v>#N/A</v>
      </c>
      <c r="L3784">
        <v>3775</v>
      </c>
      <c r="M3784" t="e">
        <f>INDEX(Stammdaten[Abholzigkeit (mm/lfm)],MATCH(Tabelle9[[#This Row],[Rank]],Stammdaten[Rank Verteilung Abholzigkeit],0))</f>
        <v>#N/A</v>
      </c>
      <c r="N3784" t="e">
        <f>VLOOKUP(Tabelle9[[#This Row],[Rank]],Stammdaten[[Rank Verteilung Abholzigkeit]:[Verteilung Abholzigkeit]],2,FALSE)</f>
        <v>#N/A</v>
      </c>
      <c r="S3784">
        <v>3775</v>
      </c>
      <c r="T3784" t="e">
        <f>INDEX(Stammdaten[Krümmung (mm/lfm)],MATCH(Tabelle10[[#This Row],[Rank]],Stammdaten[Rank Verteilung Krümmung],0))</f>
        <v>#N/A</v>
      </c>
      <c r="U3784" t="e">
        <f>VLOOKUP(Tabelle10[[#This Row],[Rank]],Stammdaten[[Rank Verteilung Krümmung]:[Verteilung Krümmung]],2,FALSE)</f>
        <v>#N/A</v>
      </c>
      <c r="Z3784">
        <v>3775</v>
      </c>
      <c r="AA3784" t="e">
        <f>INDEX(Stammdaten[Ovalität (']0,1'])],MATCH(Tabelle1014[[#This Row],[Rank]],Stammdaten[Rank Verteilung Ovalität],0))</f>
        <v>#N/A</v>
      </c>
      <c r="AB3784" t="e">
        <f>VLOOKUP(Tabelle1014[[#This Row],[Rank]],Stammdaten[[Rank Verteilung Ovalität]:[Verteilung Ovalität]],2,FALSE)</f>
        <v>#N/A</v>
      </c>
    </row>
    <row r="3785" spans="5:28" x14ac:dyDescent="0.35">
      <c r="E3785">
        <v>3776</v>
      </c>
      <c r="F3785" t="e">
        <f>INDEX(Stammdaten[D Mitte mit Rinde (mm)],MATCH(Tabelle8[[#This Row],[Rank]],Stammdaten[Rank Verteilung D Mitte mit Rinde],0))</f>
        <v>#N/A</v>
      </c>
      <c r="G3785" t="e">
        <f>VLOOKUP(Tabelle8[[#This Row],[Rank]],Stammdaten[[Rank Verteilung D Mitte mit Rinde]:[Verteilung D Mitte mit Rinde]],2,FALSE)</f>
        <v>#N/A</v>
      </c>
      <c r="L3785">
        <v>3776</v>
      </c>
      <c r="M3785" t="e">
        <f>INDEX(Stammdaten[Abholzigkeit (mm/lfm)],MATCH(Tabelle9[[#This Row],[Rank]],Stammdaten[Rank Verteilung Abholzigkeit],0))</f>
        <v>#N/A</v>
      </c>
      <c r="N3785" t="e">
        <f>VLOOKUP(Tabelle9[[#This Row],[Rank]],Stammdaten[[Rank Verteilung Abholzigkeit]:[Verteilung Abholzigkeit]],2,FALSE)</f>
        <v>#N/A</v>
      </c>
      <c r="S3785">
        <v>3776</v>
      </c>
      <c r="T3785" t="e">
        <f>INDEX(Stammdaten[Krümmung (mm/lfm)],MATCH(Tabelle10[[#This Row],[Rank]],Stammdaten[Rank Verteilung Krümmung],0))</f>
        <v>#N/A</v>
      </c>
      <c r="U3785" t="e">
        <f>VLOOKUP(Tabelle10[[#This Row],[Rank]],Stammdaten[[Rank Verteilung Krümmung]:[Verteilung Krümmung]],2,FALSE)</f>
        <v>#N/A</v>
      </c>
      <c r="Z3785">
        <v>3776</v>
      </c>
      <c r="AA3785" t="e">
        <f>INDEX(Stammdaten[Ovalität (']0,1'])],MATCH(Tabelle1014[[#This Row],[Rank]],Stammdaten[Rank Verteilung Ovalität],0))</f>
        <v>#N/A</v>
      </c>
      <c r="AB3785" t="e">
        <f>VLOOKUP(Tabelle1014[[#This Row],[Rank]],Stammdaten[[Rank Verteilung Ovalität]:[Verteilung Ovalität]],2,FALSE)</f>
        <v>#N/A</v>
      </c>
    </row>
    <row r="3786" spans="5:28" x14ac:dyDescent="0.35">
      <c r="E3786">
        <v>3777</v>
      </c>
      <c r="F3786" t="e">
        <f>INDEX(Stammdaten[D Mitte mit Rinde (mm)],MATCH(Tabelle8[[#This Row],[Rank]],Stammdaten[Rank Verteilung D Mitte mit Rinde],0))</f>
        <v>#N/A</v>
      </c>
      <c r="G3786" t="e">
        <f>VLOOKUP(Tabelle8[[#This Row],[Rank]],Stammdaten[[Rank Verteilung D Mitte mit Rinde]:[Verteilung D Mitte mit Rinde]],2,FALSE)</f>
        <v>#N/A</v>
      </c>
      <c r="L3786">
        <v>3777</v>
      </c>
      <c r="M3786" t="e">
        <f>INDEX(Stammdaten[Abholzigkeit (mm/lfm)],MATCH(Tabelle9[[#This Row],[Rank]],Stammdaten[Rank Verteilung Abholzigkeit],0))</f>
        <v>#N/A</v>
      </c>
      <c r="N3786" t="e">
        <f>VLOOKUP(Tabelle9[[#This Row],[Rank]],Stammdaten[[Rank Verteilung Abholzigkeit]:[Verteilung Abholzigkeit]],2,FALSE)</f>
        <v>#N/A</v>
      </c>
      <c r="S3786">
        <v>3777</v>
      </c>
      <c r="T3786" t="e">
        <f>INDEX(Stammdaten[Krümmung (mm/lfm)],MATCH(Tabelle10[[#This Row],[Rank]],Stammdaten[Rank Verteilung Krümmung],0))</f>
        <v>#N/A</v>
      </c>
      <c r="U3786" t="e">
        <f>VLOOKUP(Tabelle10[[#This Row],[Rank]],Stammdaten[[Rank Verteilung Krümmung]:[Verteilung Krümmung]],2,FALSE)</f>
        <v>#N/A</v>
      </c>
      <c r="Z3786">
        <v>3777</v>
      </c>
      <c r="AA3786" t="e">
        <f>INDEX(Stammdaten[Ovalität (']0,1'])],MATCH(Tabelle1014[[#This Row],[Rank]],Stammdaten[Rank Verteilung Ovalität],0))</f>
        <v>#N/A</v>
      </c>
      <c r="AB3786" t="e">
        <f>VLOOKUP(Tabelle1014[[#This Row],[Rank]],Stammdaten[[Rank Verteilung Ovalität]:[Verteilung Ovalität]],2,FALSE)</f>
        <v>#N/A</v>
      </c>
    </row>
    <row r="3787" spans="5:28" x14ac:dyDescent="0.35">
      <c r="E3787">
        <v>3778</v>
      </c>
      <c r="F3787" t="e">
        <f>INDEX(Stammdaten[D Mitte mit Rinde (mm)],MATCH(Tabelle8[[#This Row],[Rank]],Stammdaten[Rank Verteilung D Mitte mit Rinde],0))</f>
        <v>#N/A</v>
      </c>
      <c r="G3787" t="e">
        <f>VLOOKUP(Tabelle8[[#This Row],[Rank]],Stammdaten[[Rank Verteilung D Mitte mit Rinde]:[Verteilung D Mitte mit Rinde]],2,FALSE)</f>
        <v>#N/A</v>
      </c>
      <c r="L3787">
        <v>3778</v>
      </c>
      <c r="M3787" t="e">
        <f>INDEX(Stammdaten[Abholzigkeit (mm/lfm)],MATCH(Tabelle9[[#This Row],[Rank]],Stammdaten[Rank Verteilung Abholzigkeit],0))</f>
        <v>#N/A</v>
      </c>
      <c r="N3787" t="e">
        <f>VLOOKUP(Tabelle9[[#This Row],[Rank]],Stammdaten[[Rank Verteilung Abholzigkeit]:[Verteilung Abholzigkeit]],2,FALSE)</f>
        <v>#N/A</v>
      </c>
      <c r="S3787">
        <v>3778</v>
      </c>
      <c r="T3787" t="e">
        <f>INDEX(Stammdaten[Krümmung (mm/lfm)],MATCH(Tabelle10[[#This Row],[Rank]],Stammdaten[Rank Verteilung Krümmung],0))</f>
        <v>#N/A</v>
      </c>
      <c r="U3787" t="e">
        <f>VLOOKUP(Tabelle10[[#This Row],[Rank]],Stammdaten[[Rank Verteilung Krümmung]:[Verteilung Krümmung]],2,FALSE)</f>
        <v>#N/A</v>
      </c>
      <c r="Z3787">
        <v>3778</v>
      </c>
      <c r="AA3787" t="e">
        <f>INDEX(Stammdaten[Ovalität (']0,1'])],MATCH(Tabelle1014[[#This Row],[Rank]],Stammdaten[Rank Verteilung Ovalität],0))</f>
        <v>#N/A</v>
      </c>
      <c r="AB3787" t="e">
        <f>VLOOKUP(Tabelle1014[[#This Row],[Rank]],Stammdaten[[Rank Verteilung Ovalität]:[Verteilung Ovalität]],2,FALSE)</f>
        <v>#N/A</v>
      </c>
    </row>
    <row r="3788" spans="5:28" x14ac:dyDescent="0.35">
      <c r="E3788">
        <v>3779</v>
      </c>
      <c r="F3788" t="e">
        <f>INDEX(Stammdaten[D Mitte mit Rinde (mm)],MATCH(Tabelle8[[#This Row],[Rank]],Stammdaten[Rank Verteilung D Mitte mit Rinde],0))</f>
        <v>#N/A</v>
      </c>
      <c r="G3788" t="e">
        <f>VLOOKUP(Tabelle8[[#This Row],[Rank]],Stammdaten[[Rank Verteilung D Mitte mit Rinde]:[Verteilung D Mitte mit Rinde]],2,FALSE)</f>
        <v>#N/A</v>
      </c>
      <c r="L3788">
        <v>3779</v>
      </c>
      <c r="M3788" t="e">
        <f>INDEX(Stammdaten[Abholzigkeit (mm/lfm)],MATCH(Tabelle9[[#This Row],[Rank]],Stammdaten[Rank Verteilung Abholzigkeit],0))</f>
        <v>#N/A</v>
      </c>
      <c r="N3788" t="e">
        <f>VLOOKUP(Tabelle9[[#This Row],[Rank]],Stammdaten[[Rank Verteilung Abholzigkeit]:[Verteilung Abholzigkeit]],2,FALSE)</f>
        <v>#N/A</v>
      </c>
      <c r="S3788">
        <v>3779</v>
      </c>
      <c r="T3788" t="e">
        <f>INDEX(Stammdaten[Krümmung (mm/lfm)],MATCH(Tabelle10[[#This Row],[Rank]],Stammdaten[Rank Verteilung Krümmung],0))</f>
        <v>#N/A</v>
      </c>
      <c r="U3788" t="e">
        <f>VLOOKUP(Tabelle10[[#This Row],[Rank]],Stammdaten[[Rank Verteilung Krümmung]:[Verteilung Krümmung]],2,FALSE)</f>
        <v>#N/A</v>
      </c>
      <c r="Z3788">
        <v>3779</v>
      </c>
      <c r="AA3788" t="e">
        <f>INDEX(Stammdaten[Ovalität (']0,1'])],MATCH(Tabelle1014[[#This Row],[Rank]],Stammdaten[Rank Verteilung Ovalität],0))</f>
        <v>#N/A</v>
      </c>
      <c r="AB3788" t="e">
        <f>VLOOKUP(Tabelle1014[[#This Row],[Rank]],Stammdaten[[Rank Verteilung Ovalität]:[Verteilung Ovalität]],2,FALSE)</f>
        <v>#N/A</v>
      </c>
    </row>
    <row r="3789" spans="5:28" x14ac:dyDescent="0.35">
      <c r="E3789">
        <v>3780</v>
      </c>
      <c r="F3789" t="e">
        <f>INDEX(Stammdaten[D Mitte mit Rinde (mm)],MATCH(Tabelle8[[#This Row],[Rank]],Stammdaten[Rank Verteilung D Mitte mit Rinde],0))</f>
        <v>#N/A</v>
      </c>
      <c r="G3789" t="e">
        <f>VLOOKUP(Tabelle8[[#This Row],[Rank]],Stammdaten[[Rank Verteilung D Mitte mit Rinde]:[Verteilung D Mitte mit Rinde]],2,FALSE)</f>
        <v>#N/A</v>
      </c>
      <c r="L3789">
        <v>3780</v>
      </c>
      <c r="M3789" t="e">
        <f>INDEX(Stammdaten[Abholzigkeit (mm/lfm)],MATCH(Tabelle9[[#This Row],[Rank]],Stammdaten[Rank Verteilung Abholzigkeit],0))</f>
        <v>#N/A</v>
      </c>
      <c r="N3789" t="e">
        <f>VLOOKUP(Tabelle9[[#This Row],[Rank]],Stammdaten[[Rank Verteilung Abholzigkeit]:[Verteilung Abholzigkeit]],2,FALSE)</f>
        <v>#N/A</v>
      </c>
      <c r="S3789">
        <v>3780</v>
      </c>
      <c r="T3789" t="e">
        <f>INDEX(Stammdaten[Krümmung (mm/lfm)],MATCH(Tabelle10[[#This Row],[Rank]],Stammdaten[Rank Verteilung Krümmung],0))</f>
        <v>#N/A</v>
      </c>
      <c r="U3789" t="e">
        <f>VLOOKUP(Tabelle10[[#This Row],[Rank]],Stammdaten[[Rank Verteilung Krümmung]:[Verteilung Krümmung]],2,FALSE)</f>
        <v>#N/A</v>
      </c>
      <c r="Z3789">
        <v>3780</v>
      </c>
      <c r="AA3789" t="e">
        <f>INDEX(Stammdaten[Ovalität (']0,1'])],MATCH(Tabelle1014[[#This Row],[Rank]],Stammdaten[Rank Verteilung Ovalität],0))</f>
        <v>#N/A</v>
      </c>
      <c r="AB3789" t="e">
        <f>VLOOKUP(Tabelle1014[[#This Row],[Rank]],Stammdaten[[Rank Verteilung Ovalität]:[Verteilung Ovalität]],2,FALSE)</f>
        <v>#N/A</v>
      </c>
    </row>
    <row r="3790" spans="5:28" x14ac:dyDescent="0.35">
      <c r="E3790">
        <v>3781</v>
      </c>
      <c r="F3790" t="e">
        <f>INDEX(Stammdaten[D Mitte mit Rinde (mm)],MATCH(Tabelle8[[#This Row],[Rank]],Stammdaten[Rank Verteilung D Mitte mit Rinde],0))</f>
        <v>#N/A</v>
      </c>
      <c r="G3790" t="e">
        <f>VLOOKUP(Tabelle8[[#This Row],[Rank]],Stammdaten[[Rank Verteilung D Mitte mit Rinde]:[Verteilung D Mitte mit Rinde]],2,FALSE)</f>
        <v>#N/A</v>
      </c>
      <c r="L3790">
        <v>3781</v>
      </c>
      <c r="M3790" t="e">
        <f>INDEX(Stammdaten[Abholzigkeit (mm/lfm)],MATCH(Tabelle9[[#This Row],[Rank]],Stammdaten[Rank Verteilung Abholzigkeit],0))</f>
        <v>#N/A</v>
      </c>
      <c r="N3790" t="e">
        <f>VLOOKUP(Tabelle9[[#This Row],[Rank]],Stammdaten[[Rank Verteilung Abholzigkeit]:[Verteilung Abholzigkeit]],2,FALSE)</f>
        <v>#N/A</v>
      </c>
      <c r="S3790">
        <v>3781</v>
      </c>
      <c r="T3790" t="e">
        <f>INDEX(Stammdaten[Krümmung (mm/lfm)],MATCH(Tabelle10[[#This Row],[Rank]],Stammdaten[Rank Verteilung Krümmung],0))</f>
        <v>#N/A</v>
      </c>
      <c r="U3790" t="e">
        <f>VLOOKUP(Tabelle10[[#This Row],[Rank]],Stammdaten[[Rank Verteilung Krümmung]:[Verteilung Krümmung]],2,FALSE)</f>
        <v>#N/A</v>
      </c>
      <c r="Z3790">
        <v>3781</v>
      </c>
      <c r="AA3790" t="e">
        <f>INDEX(Stammdaten[Ovalität (']0,1'])],MATCH(Tabelle1014[[#This Row],[Rank]],Stammdaten[Rank Verteilung Ovalität],0))</f>
        <v>#N/A</v>
      </c>
      <c r="AB3790" t="e">
        <f>VLOOKUP(Tabelle1014[[#This Row],[Rank]],Stammdaten[[Rank Verteilung Ovalität]:[Verteilung Ovalität]],2,FALSE)</f>
        <v>#N/A</v>
      </c>
    </row>
    <row r="3791" spans="5:28" x14ac:dyDescent="0.35">
      <c r="E3791">
        <v>3782</v>
      </c>
      <c r="F3791" t="e">
        <f>INDEX(Stammdaten[D Mitte mit Rinde (mm)],MATCH(Tabelle8[[#This Row],[Rank]],Stammdaten[Rank Verteilung D Mitte mit Rinde],0))</f>
        <v>#N/A</v>
      </c>
      <c r="G3791" t="e">
        <f>VLOOKUP(Tabelle8[[#This Row],[Rank]],Stammdaten[[Rank Verteilung D Mitte mit Rinde]:[Verteilung D Mitte mit Rinde]],2,FALSE)</f>
        <v>#N/A</v>
      </c>
      <c r="L3791">
        <v>3782</v>
      </c>
      <c r="M3791" t="e">
        <f>INDEX(Stammdaten[Abholzigkeit (mm/lfm)],MATCH(Tabelle9[[#This Row],[Rank]],Stammdaten[Rank Verteilung Abholzigkeit],0))</f>
        <v>#N/A</v>
      </c>
      <c r="N3791" t="e">
        <f>VLOOKUP(Tabelle9[[#This Row],[Rank]],Stammdaten[[Rank Verteilung Abholzigkeit]:[Verteilung Abholzigkeit]],2,FALSE)</f>
        <v>#N/A</v>
      </c>
      <c r="S3791">
        <v>3782</v>
      </c>
      <c r="T3791" t="e">
        <f>INDEX(Stammdaten[Krümmung (mm/lfm)],MATCH(Tabelle10[[#This Row],[Rank]],Stammdaten[Rank Verteilung Krümmung],0))</f>
        <v>#N/A</v>
      </c>
      <c r="U3791" t="e">
        <f>VLOOKUP(Tabelle10[[#This Row],[Rank]],Stammdaten[[Rank Verteilung Krümmung]:[Verteilung Krümmung]],2,FALSE)</f>
        <v>#N/A</v>
      </c>
      <c r="Z3791">
        <v>3782</v>
      </c>
      <c r="AA3791" t="e">
        <f>INDEX(Stammdaten[Ovalität (']0,1'])],MATCH(Tabelle1014[[#This Row],[Rank]],Stammdaten[Rank Verteilung Ovalität],0))</f>
        <v>#N/A</v>
      </c>
      <c r="AB3791" t="e">
        <f>VLOOKUP(Tabelle1014[[#This Row],[Rank]],Stammdaten[[Rank Verteilung Ovalität]:[Verteilung Ovalität]],2,FALSE)</f>
        <v>#N/A</v>
      </c>
    </row>
    <row r="3792" spans="5:28" x14ac:dyDescent="0.35">
      <c r="E3792">
        <v>3783</v>
      </c>
      <c r="F3792" t="e">
        <f>INDEX(Stammdaten[D Mitte mit Rinde (mm)],MATCH(Tabelle8[[#This Row],[Rank]],Stammdaten[Rank Verteilung D Mitte mit Rinde],0))</f>
        <v>#N/A</v>
      </c>
      <c r="G3792" t="e">
        <f>VLOOKUP(Tabelle8[[#This Row],[Rank]],Stammdaten[[Rank Verteilung D Mitte mit Rinde]:[Verteilung D Mitte mit Rinde]],2,FALSE)</f>
        <v>#N/A</v>
      </c>
      <c r="L3792">
        <v>3783</v>
      </c>
      <c r="M3792" t="e">
        <f>INDEX(Stammdaten[Abholzigkeit (mm/lfm)],MATCH(Tabelle9[[#This Row],[Rank]],Stammdaten[Rank Verteilung Abholzigkeit],0))</f>
        <v>#N/A</v>
      </c>
      <c r="N3792" t="e">
        <f>VLOOKUP(Tabelle9[[#This Row],[Rank]],Stammdaten[[Rank Verteilung Abholzigkeit]:[Verteilung Abholzigkeit]],2,FALSE)</f>
        <v>#N/A</v>
      </c>
      <c r="S3792">
        <v>3783</v>
      </c>
      <c r="T3792" t="e">
        <f>INDEX(Stammdaten[Krümmung (mm/lfm)],MATCH(Tabelle10[[#This Row],[Rank]],Stammdaten[Rank Verteilung Krümmung],0))</f>
        <v>#N/A</v>
      </c>
      <c r="U3792" t="e">
        <f>VLOOKUP(Tabelle10[[#This Row],[Rank]],Stammdaten[[Rank Verteilung Krümmung]:[Verteilung Krümmung]],2,FALSE)</f>
        <v>#N/A</v>
      </c>
      <c r="Z3792">
        <v>3783</v>
      </c>
      <c r="AA3792" t="e">
        <f>INDEX(Stammdaten[Ovalität (']0,1'])],MATCH(Tabelle1014[[#This Row],[Rank]],Stammdaten[Rank Verteilung Ovalität],0))</f>
        <v>#N/A</v>
      </c>
      <c r="AB3792" t="e">
        <f>VLOOKUP(Tabelle1014[[#This Row],[Rank]],Stammdaten[[Rank Verteilung Ovalität]:[Verteilung Ovalität]],2,FALSE)</f>
        <v>#N/A</v>
      </c>
    </row>
    <row r="3793" spans="5:28" x14ac:dyDescent="0.35">
      <c r="E3793">
        <v>3784</v>
      </c>
      <c r="F3793" t="e">
        <f>INDEX(Stammdaten[D Mitte mit Rinde (mm)],MATCH(Tabelle8[[#This Row],[Rank]],Stammdaten[Rank Verteilung D Mitte mit Rinde],0))</f>
        <v>#N/A</v>
      </c>
      <c r="G3793" t="e">
        <f>VLOOKUP(Tabelle8[[#This Row],[Rank]],Stammdaten[[Rank Verteilung D Mitte mit Rinde]:[Verteilung D Mitte mit Rinde]],2,FALSE)</f>
        <v>#N/A</v>
      </c>
      <c r="L3793">
        <v>3784</v>
      </c>
      <c r="M3793" t="e">
        <f>INDEX(Stammdaten[Abholzigkeit (mm/lfm)],MATCH(Tabelle9[[#This Row],[Rank]],Stammdaten[Rank Verteilung Abholzigkeit],0))</f>
        <v>#N/A</v>
      </c>
      <c r="N3793" t="e">
        <f>VLOOKUP(Tabelle9[[#This Row],[Rank]],Stammdaten[[Rank Verteilung Abholzigkeit]:[Verteilung Abholzigkeit]],2,FALSE)</f>
        <v>#N/A</v>
      </c>
      <c r="S3793">
        <v>3784</v>
      </c>
      <c r="T3793" t="e">
        <f>INDEX(Stammdaten[Krümmung (mm/lfm)],MATCH(Tabelle10[[#This Row],[Rank]],Stammdaten[Rank Verteilung Krümmung],0))</f>
        <v>#N/A</v>
      </c>
      <c r="U3793" t="e">
        <f>VLOOKUP(Tabelle10[[#This Row],[Rank]],Stammdaten[[Rank Verteilung Krümmung]:[Verteilung Krümmung]],2,FALSE)</f>
        <v>#N/A</v>
      </c>
      <c r="Z3793">
        <v>3784</v>
      </c>
      <c r="AA3793" t="e">
        <f>INDEX(Stammdaten[Ovalität (']0,1'])],MATCH(Tabelle1014[[#This Row],[Rank]],Stammdaten[Rank Verteilung Ovalität],0))</f>
        <v>#N/A</v>
      </c>
      <c r="AB3793" t="e">
        <f>VLOOKUP(Tabelle1014[[#This Row],[Rank]],Stammdaten[[Rank Verteilung Ovalität]:[Verteilung Ovalität]],2,FALSE)</f>
        <v>#N/A</v>
      </c>
    </row>
    <row r="3794" spans="5:28" x14ac:dyDescent="0.35">
      <c r="E3794">
        <v>3785</v>
      </c>
      <c r="F3794" t="e">
        <f>INDEX(Stammdaten[D Mitte mit Rinde (mm)],MATCH(Tabelle8[[#This Row],[Rank]],Stammdaten[Rank Verteilung D Mitte mit Rinde],0))</f>
        <v>#N/A</v>
      </c>
      <c r="G3794" t="e">
        <f>VLOOKUP(Tabelle8[[#This Row],[Rank]],Stammdaten[[Rank Verteilung D Mitte mit Rinde]:[Verteilung D Mitte mit Rinde]],2,FALSE)</f>
        <v>#N/A</v>
      </c>
      <c r="L3794">
        <v>3785</v>
      </c>
      <c r="M3794" t="e">
        <f>INDEX(Stammdaten[Abholzigkeit (mm/lfm)],MATCH(Tabelle9[[#This Row],[Rank]],Stammdaten[Rank Verteilung Abholzigkeit],0))</f>
        <v>#N/A</v>
      </c>
      <c r="N3794" t="e">
        <f>VLOOKUP(Tabelle9[[#This Row],[Rank]],Stammdaten[[Rank Verteilung Abholzigkeit]:[Verteilung Abholzigkeit]],2,FALSE)</f>
        <v>#N/A</v>
      </c>
      <c r="S3794">
        <v>3785</v>
      </c>
      <c r="T3794" t="e">
        <f>INDEX(Stammdaten[Krümmung (mm/lfm)],MATCH(Tabelle10[[#This Row],[Rank]],Stammdaten[Rank Verteilung Krümmung],0))</f>
        <v>#N/A</v>
      </c>
      <c r="U3794" t="e">
        <f>VLOOKUP(Tabelle10[[#This Row],[Rank]],Stammdaten[[Rank Verteilung Krümmung]:[Verteilung Krümmung]],2,FALSE)</f>
        <v>#N/A</v>
      </c>
      <c r="Z3794">
        <v>3785</v>
      </c>
      <c r="AA3794" t="e">
        <f>INDEX(Stammdaten[Ovalität (']0,1'])],MATCH(Tabelle1014[[#This Row],[Rank]],Stammdaten[Rank Verteilung Ovalität],0))</f>
        <v>#N/A</v>
      </c>
      <c r="AB3794" t="e">
        <f>VLOOKUP(Tabelle1014[[#This Row],[Rank]],Stammdaten[[Rank Verteilung Ovalität]:[Verteilung Ovalität]],2,FALSE)</f>
        <v>#N/A</v>
      </c>
    </row>
    <row r="3795" spans="5:28" x14ac:dyDescent="0.35">
      <c r="E3795">
        <v>3786</v>
      </c>
      <c r="F3795" t="e">
        <f>INDEX(Stammdaten[D Mitte mit Rinde (mm)],MATCH(Tabelle8[[#This Row],[Rank]],Stammdaten[Rank Verteilung D Mitte mit Rinde],0))</f>
        <v>#N/A</v>
      </c>
      <c r="G3795" t="e">
        <f>VLOOKUP(Tabelle8[[#This Row],[Rank]],Stammdaten[[Rank Verteilung D Mitte mit Rinde]:[Verteilung D Mitte mit Rinde]],2,FALSE)</f>
        <v>#N/A</v>
      </c>
      <c r="L3795">
        <v>3786</v>
      </c>
      <c r="M3795" t="e">
        <f>INDEX(Stammdaten[Abholzigkeit (mm/lfm)],MATCH(Tabelle9[[#This Row],[Rank]],Stammdaten[Rank Verteilung Abholzigkeit],0))</f>
        <v>#N/A</v>
      </c>
      <c r="N3795" t="e">
        <f>VLOOKUP(Tabelle9[[#This Row],[Rank]],Stammdaten[[Rank Verteilung Abholzigkeit]:[Verteilung Abholzigkeit]],2,FALSE)</f>
        <v>#N/A</v>
      </c>
      <c r="S3795">
        <v>3786</v>
      </c>
      <c r="T3795" t="e">
        <f>INDEX(Stammdaten[Krümmung (mm/lfm)],MATCH(Tabelle10[[#This Row],[Rank]],Stammdaten[Rank Verteilung Krümmung],0))</f>
        <v>#N/A</v>
      </c>
      <c r="U3795" t="e">
        <f>VLOOKUP(Tabelle10[[#This Row],[Rank]],Stammdaten[[Rank Verteilung Krümmung]:[Verteilung Krümmung]],2,FALSE)</f>
        <v>#N/A</v>
      </c>
      <c r="Z3795">
        <v>3786</v>
      </c>
      <c r="AA3795" t="e">
        <f>INDEX(Stammdaten[Ovalität (']0,1'])],MATCH(Tabelle1014[[#This Row],[Rank]],Stammdaten[Rank Verteilung Ovalität],0))</f>
        <v>#N/A</v>
      </c>
      <c r="AB3795" t="e">
        <f>VLOOKUP(Tabelle1014[[#This Row],[Rank]],Stammdaten[[Rank Verteilung Ovalität]:[Verteilung Ovalität]],2,FALSE)</f>
        <v>#N/A</v>
      </c>
    </row>
    <row r="3796" spans="5:28" x14ac:dyDescent="0.35">
      <c r="E3796">
        <v>3787</v>
      </c>
      <c r="F3796" t="e">
        <f>INDEX(Stammdaten[D Mitte mit Rinde (mm)],MATCH(Tabelle8[[#This Row],[Rank]],Stammdaten[Rank Verteilung D Mitte mit Rinde],0))</f>
        <v>#N/A</v>
      </c>
      <c r="G3796" t="e">
        <f>VLOOKUP(Tabelle8[[#This Row],[Rank]],Stammdaten[[Rank Verteilung D Mitte mit Rinde]:[Verteilung D Mitte mit Rinde]],2,FALSE)</f>
        <v>#N/A</v>
      </c>
      <c r="L3796">
        <v>3787</v>
      </c>
      <c r="M3796" t="e">
        <f>INDEX(Stammdaten[Abholzigkeit (mm/lfm)],MATCH(Tabelle9[[#This Row],[Rank]],Stammdaten[Rank Verteilung Abholzigkeit],0))</f>
        <v>#N/A</v>
      </c>
      <c r="N3796" t="e">
        <f>VLOOKUP(Tabelle9[[#This Row],[Rank]],Stammdaten[[Rank Verteilung Abholzigkeit]:[Verteilung Abholzigkeit]],2,FALSE)</f>
        <v>#N/A</v>
      </c>
      <c r="S3796">
        <v>3787</v>
      </c>
      <c r="T3796" t="e">
        <f>INDEX(Stammdaten[Krümmung (mm/lfm)],MATCH(Tabelle10[[#This Row],[Rank]],Stammdaten[Rank Verteilung Krümmung],0))</f>
        <v>#N/A</v>
      </c>
      <c r="U3796" t="e">
        <f>VLOOKUP(Tabelle10[[#This Row],[Rank]],Stammdaten[[Rank Verteilung Krümmung]:[Verteilung Krümmung]],2,FALSE)</f>
        <v>#N/A</v>
      </c>
      <c r="Z3796">
        <v>3787</v>
      </c>
      <c r="AA3796" t="e">
        <f>INDEX(Stammdaten[Ovalität (']0,1'])],MATCH(Tabelle1014[[#This Row],[Rank]],Stammdaten[Rank Verteilung Ovalität],0))</f>
        <v>#N/A</v>
      </c>
      <c r="AB3796" t="e">
        <f>VLOOKUP(Tabelle1014[[#This Row],[Rank]],Stammdaten[[Rank Verteilung Ovalität]:[Verteilung Ovalität]],2,FALSE)</f>
        <v>#N/A</v>
      </c>
    </row>
    <row r="3797" spans="5:28" x14ac:dyDescent="0.35">
      <c r="E3797">
        <v>3788</v>
      </c>
      <c r="F3797" t="e">
        <f>INDEX(Stammdaten[D Mitte mit Rinde (mm)],MATCH(Tabelle8[[#This Row],[Rank]],Stammdaten[Rank Verteilung D Mitte mit Rinde],0))</f>
        <v>#N/A</v>
      </c>
      <c r="G3797" t="e">
        <f>VLOOKUP(Tabelle8[[#This Row],[Rank]],Stammdaten[[Rank Verteilung D Mitte mit Rinde]:[Verteilung D Mitte mit Rinde]],2,FALSE)</f>
        <v>#N/A</v>
      </c>
      <c r="L3797">
        <v>3788</v>
      </c>
      <c r="M3797" t="e">
        <f>INDEX(Stammdaten[Abholzigkeit (mm/lfm)],MATCH(Tabelle9[[#This Row],[Rank]],Stammdaten[Rank Verteilung Abholzigkeit],0))</f>
        <v>#N/A</v>
      </c>
      <c r="N3797" t="e">
        <f>VLOOKUP(Tabelle9[[#This Row],[Rank]],Stammdaten[[Rank Verteilung Abholzigkeit]:[Verteilung Abholzigkeit]],2,FALSE)</f>
        <v>#N/A</v>
      </c>
      <c r="S3797">
        <v>3788</v>
      </c>
      <c r="T3797" t="e">
        <f>INDEX(Stammdaten[Krümmung (mm/lfm)],MATCH(Tabelle10[[#This Row],[Rank]],Stammdaten[Rank Verteilung Krümmung],0))</f>
        <v>#N/A</v>
      </c>
      <c r="U3797" t="e">
        <f>VLOOKUP(Tabelle10[[#This Row],[Rank]],Stammdaten[[Rank Verteilung Krümmung]:[Verteilung Krümmung]],2,FALSE)</f>
        <v>#N/A</v>
      </c>
      <c r="Z3797">
        <v>3788</v>
      </c>
      <c r="AA3797" t="e">
        <f>INDEX(Stammdaten[Ovalität (']0,1'])],MATCH(Tabelle1014[[#This Row],[Rank]],Stammdaten[Rank Verteilung Ovalität],0))</f>
        <v>#N/A</v>
      </c>
      <c r="AB3797" t="e">
        <f>VLOOKUP(Tabelle1014[[#This Row],[Rank]],Stammdaten[[Rank Verteilung Ovalität]:[Verteilung Ovalität]],2,FALSE)</f>
        <v>#N/A</v>
      </c>
    </row>
    <row r="3798" spans="5:28" x14ac:dyDescent="0.35">
      <c r="E3798">
        <v>3789</v>
      </c>
      <c r="F3798" t="e">
        <f>INDEX(Stammdaten[D Mitte mit Rinde (mm)],MATCH(Tabelle8[[#This Row],[Rank]],Stammdaten[Rank Verteilung D Mitte mit Rinde],0))</f>
        <v>#N/A</v>
      </c>
      <c r="G3798" t="e">
        <f>VLOOKUP(Tabelle8[[#This Row],[Rank]],Stammdaten[[Rank Verteilung D Mitte mit Rinde]:[Verteilung D Mitte mit Rinde]],2,FALSE)</f>
        <v>#N/A</v>
      </c>
      <c r="L3798">
        <v>3789</v>
      </c>
      <c r="M3798" t="e">
        <f>INDEX(Stammdaten[Abholzigkeit (mm/lfm)],MATCH(Tabelle9[[#This Row],[Rank]],Stammdaten[Rank Verteilung Abholzigkeit],0))</f>
        <v>#N/A</v>
      </c>
      <c r="N3798" t="e">
        <f>VLOOKUP(Tabelle9[[#This Row],[Rank]],Stammdaten[[Rank Verteilung Abholzigkeit]:[Verteilung Abholzigkeit]],2,FALSE)</f>
        <v>#N/A</v>
      </c>
      <c r="S3798">
        <v>3789</v>
      </c>
      <c r="T3798" t="e">
        <f>INDEX(Stammdaten[Krümmung (mm/lfm)],MATCH(Tabelle10[[#This Row],[Rank]],Stammdaten[Rank Verteilung Krümmung],0))</f>
        <v>#N/A</v>
      </c>
      <c r="U3798" t="e">
        <f>VLOOKUP(Tabelle10[[#This Row],[Rank]],Stammdaten[[Rank Verteilung Krümmung]:[Verteilung Krümmung]],2,FALSE)</f>
        <v>#N/A</v>
      </c>
      <c r="Z3798">
        <v>3789</v>
      </c>
      <c r="AA3798" t="e">
        <f>INDEX(Stammdaten[Ovalität (']0,1'])],MATCH(Tabelle1014[[#This Row],[Rank]],Stammdaten[Rank Verteilung Ovalität],0))</f>
        <v>#N/A</v>
      </c>
      <c r="AB3798" t="e">
        <f>VLOOKUP(Tabelle1014[[#This Row],[Rank]],Stammdaten[[Rank Verteilung Ovalität]:[Verteilung Ovalität]],2,FALSE)</f>
        <v>#N/A</v>
      </c>
    </row>
    <row r="3799" spans="5:28" x14ac:dyDescent="0.35">
      <c r="E3799">
        <v>3790</v>
      </c>
      <c r="F3799" t="e">
        <f>INDEX(Stammdaten[D Mitte mit Rinde (mm)],MATCH(Tabelle8[[#This Row],[Rank]],Stammdaten[Rank Verteilung D Mitte mit Rinde],0))</f>
        <v>#N/A</v>
      </c>
      <c r="G3799" t="e">
        <f>VLOOKUP(Tabelle8[[#This Row],[Rank]],Stammdaten[[Rank Verteilung D Mitte mit Rinde]:[Verteilung D Mitte mit Rinde]],2,FALSE)</f>
        <v>#N/A</v>
      </c>
      <c r="L3799">
        <v>3790</v>
      </c>
      <c r="M3799" t="e">
        <f>INDEX(Stammdaten[Abholzigkeit (mm/lfm)],MATCH(Tabelle9[[#This Row],[Rank]],Stammdaten[Rank Verteilung Abholzigkeit],0))</f>
        <v>#N/A</v>
      </c>
      <c r="N3799" t="e">
        <f>VLOOKUP(Tabelle9[[#This Row],[Rank]],Stammdaten[[Rank Verteilung Abholzigkeit]:[Verteilung Abholzigkeit]],2,FALSE)</f>
        <v>#N/A</v>
      </c>
      <c r="S3799">
        <v>3790</v>
      </c>
      <c r="T3799" t="e">
        <f>INDEX(Stammdaten[Krümmung (mm/lfm)],MATCH(Tabelle10[[#This Row],[Rank]],Stammdaten[Rank Verteilung Krümmung],0))</f>
        <v>#N/A</v>
      </c>
      <c r="U3799" t="e">
        <f>VLOOKUP(Tabelle10[[#This Row],[Rank]],Stammdaten[[Rank Verteilung Krümmung]:[Verteilung Krümmung]],2,FALSE)</f>
        <v>#N/A</v>
      </c>
      <c r="Z3799">
        <v>3790</v>
      </c>
      <c r="AA3799" t="e">
        <f>INDEX(Stammdaten[Ovalität (']0,1'])],MATCH(Tabelle1014[[#This Row],[Rank]],Stammdaten[Rank Verteilung Ovalität],0))</f>
        <v>#N/A</v>
      </c>
      <c r="AB3799" t="e">
        <f>VLOOKUP(Tabelle1014[[#This Row],[Rank]],Stammdaten[[Rank Verteilung Ovalität]:[Verteilung Ovalität]],2,FALSE)</f>
        <v>#N/A</v>
      </c>
    </row>
    <row r="3800" spans="5:28" x14ac:dyDescent="0.35">
      <c r="E3800">
        <v>3791</v>
      </c>
      <c r="F3800" t="e">
        <f>INDEX(Stammdaten[D Mitte mit Rinde (mm)],MATCH(Tabelle8[[#This Row],[Rank]],Stammdaten[Rank Verteilung D Mitte mit Rinde],0))</f>
        <v>#N/A</v>
      </c>
      <c r="G3800" t="e">
        <f>VLOOKUP(Tabelle8[[#This Row],[Rank]],Stammdaten[[Rank Verteilung D Mitte mit Rinde]:[Verteilung D Mitte mit Rinde]],2,FALSE)</f>
        <v>#N/A</v>
      </c>
      <c r="L3800">
        <v>3791</v>
      </c>
      <c r="M3800" t="e">
        <f>INDEX(Stammdaten[Abholzigkeit (mm/lfm)],MATCH(Tabelle9[[#This Row],[Rank]],Stammdaten[Rank Verteilung Abholzigkeit],0))</f>
        <v>#N/A</v>
      </c>
      <c r="N3800" t="e">
        <f>VLOOKUP(Tabelle9[[#This Row],[Rank]],Stammdaten[[Rank Verteilung Abholzigkeit]:[Verteilung Abholzigkeit]],2,FALSE)</f>
        <v>#N/A</v>
      </c>
      <c r="S3800">
        <v>3791</v>
      </c>
      <c r="T3800" t="e">
        <f>INDEX(Stammdaten[Krümmung (mm/lfm)],MATCH(Tabelle10[[#This Row],[Rank]],Stammdaten[Rank Verteilung Krümmung],0))</f>
        <v>#N/A</v>
      </c>
      <c r="U3800" t="e">
        <f>VLOOKUP(Tabelle10[[#This Row],[Rank]],Stammdaten[[Rank Verteilung Krümmung]:[Verteilung Krümmung]],2,FALSE)</f>
        <v>#N/A</v>
      </c>
      <c r="Z3800">
        <v>3791</v>
      </c>
      <c r="AA3800" t="e">
        <f>INDEX(Stammdaten[Ovalität (']0,1'])],MATCH(Tabelle1014[[#This Row],[Rank]],Stammdaten[Rank Verteilung Ovalität],0))</f>
        <v>#N/A</v>
      </c>
      <c r="AB3800" t="e">
        <f>VLOOKUP(Tabelle1014[[#This Row],[Rank]],Stammdaten[[Rank Verteilung Ovalität]:[Verteilung Ovalität]],2,FALSE)</f>
        <v>#N/A</v>
      </c>
    </row>
    <row r="3801" spans="5:28" x14ac:dyDescent="0.35">
      <c r="E3801">
        <v>3792</v>
      </c>
      <c r="F3801" t="e">
        <f>INDEX(Stammdaten[D Mitte mit Rinde (mm)],MATCH(Tabelle8[[#This Row],[Rank]],Stammdaten[Rank Verteilung D Mitte mit Rinde],0))</f>
        <v>#N/A</v>
      </c>
      <c r="G3801" t="e">
        <f>VLOOKUP(Tabelle8[[#This Row],[Rank]],Stammdaten[[Rank Verteilung D Mitte mit Rinde]:[Verteilung D Mitte mit Rinde]],2,FALSE)</f>
        <v>#N/A</v>
      </c>
      <c r="L3801">
        <v>3792</v>
      </c>
      <c r="M3801" t="e">
        <f>INDEX(Stammdaten[Abholzigkeit (mm/lfm)],MATCH(Tabelle9[[#This Row],[Rank]],Stammdaten[Rank Verteilung Abholzigkeit],0))</f>
        <v>#N/A</v>
      </c>
      <c r="N3801" t="e">
        <f>VLOOKUP(Tabelle9[[#This Row],[Rank]],Stammdaten[[Rank Verteilung Abholzigkeit]:[Verteilung Abholzigkeit]],2,FALSE)</f>
        <v>#N/A</v>
      </c>
      <c r="S3801">
        <v>3792</v>
      </c>
      <c r="T3801" t="e">
        <f>INDEX(Stammdaten[Krümmung (mm/lfm)],MATCH(Tabelle10[[#This Row],[Rank]],Stammdaten[Rank Verteilung Krümmung],0))</f>
        <v>#N/A</v>
      </c>
      <c r="U3801" t="e">
        <f>VLOOKUP(Tabelle10[[#This Row],[Rank]],Stammdaten[[Rank Verteilung Krümmung]:[Verteilung Krümmung]],2,FALSE)</f>
        <v>#N/A</v>
      </c>
      <c r="Z3801">
        <v>3792</v>
      </c>
      <c r="AA3801" t="e">
        <f>INDEX(Stammdaten[Ovalität (']0,1'])],MATCH(Tabelle1014[[#This Row],[Rank]],Stammdaten[Rank Verteilung Ovalität],0))</f>
        <v>#N/A</v>
      </c>
      <c r="AB3801" t="e">
        <f>VLOOKUP(Tabelle1014[[#This Row],[Rank]],Stammdaten[[Rank Verteilung Ovalität]:[Verteilung Ovalität]],2,FALSE)</f>
        <v>#N/A</v>
      </c>
    </row>
    <row r="3802" spans="5:28" x14ac:dyDescent="0.35">
      <c r="E3802">
        <v>3793</v>
      </c>
      <c r="F3802" t="e">
        <f>INDEX(Stammdaten[D Mitte mit Rinde (mm)],MATCH(Tabelle8[[#This Row],[Rank]],Stammdaten[Rank Verteilung D Mitte mit Rinde],0))</f>
        <v>#N/A</v>
      </c>
      <c r="G3802" t="e">
        <f>VLOOKUP(Tabelle8[[#This Row],[Rank]],Stammdaten[[Rank Verteilung D Mitte mit Rinde]:[Verteilung D Mitte mit Rinde]],2,FALSE)</f>
        <v>#N/A</v>
      </c>
      <c r="L3802">
        <v>3793</v>
      </c>
      <c r="M3802" t="e">
        <f>INDEX(Stammdaten[Abholzigkeit (mm/lfm)],MATCH(Tabelle9[[#This Row],[Rank]],Stammdaten[Rank Verteilung Abholzigkeit],0))</f>
        <v>#N/A</v>
      </c>
      <c r="N3802" t="e">
        <f>VLOOKUP(Tabelle9[[#This Row],[Rank]],Stammdaten[[Rank Verteilung Abholzigkeit]:[Verteilung Abholzigkeit]],2,FALSE)</f>
        <v>#N/A</v>
      </c>
      <c r="S3802">
        <v>3793</v>
      </c>
      <c r="T3802" t="e">
        <f>INDEX(Stammdaten[Krümmung (mm/lfm)],MATCH(Tabelle10[[#This Row],[Rank]],Stammdaten[Rank Verteilung Krümmung],0))</f>
        <v>#N/A</v>
      </c>
      <c r="U3802" t="e">
        <f>VLOOKUP(Tabelle10[[#This Row],[Rank]],Stammdaten[[Rank Verteilung Krümmung]:[Verteilung Krümmung]],2,FALSE)</f>
        <v>#N/A</v>
      </c>
      <c r="Z3802">
        <v>3793</v>
      </c>
      <c r="AA3802" t="e">
        <f>INDEX(Stammdaten[Ovalität (']0,1'])],MATCH(Tabelle1014[[#This Row],[Rank]],Stammdaten[Rank Verteilung Ovalität],0))</f>
        <v>#N/A</v>
      </c>
      <c r="AB3802" t="e">
        <f>VLOOKUP(Tabelle1014[[#This Row],[Rank]],Stammdaten[[Rank Verteilung Ovalität]:[Verteilung Ovalität]],2,FALSE)</f>
        <v>#N/A</v>
      </c>
    </row>
    <row r="3803" spans="5:28" x14ac:dyDescent="0.35">
      <c r="E3803">
        <v>3794</v>
      </c>
      <c r="F3803" t="e">
        <f>INDEX(Stammdaten[D Mitte mit Rinde (mm)],MATCH(Tabelle8[[#This Row],[Rank]],Stammdaten[Rank Verteilung D Mitte mit Rinde],0))</f>
        <v>#N/A</v>
      </c>
      <c r="G3803" t="e">
        <f>VLOOKUP(Tabelle8[[#This Row],[Rank]],Stammdaten[[Rank Verteilung D Mitte mit Rinde]:[Verteilung D Mitte mit Rinde]],2,FALSE)</f>
        <v>#N/A</v>
      </c>
      <c r="L3803">
        <v>3794</v>
      </c>
      <c r="M3803" t="e">
        <f>INDEX(Stammdaten[Abholzigkeit (mm/lfm)],MATCH(Tabelle9[[#This Row],[Rank]],Stammdaten[Rank Verteilung Abholzigkeit],0))</f>
        <v>#N/A</v>
      </c>
      <c r="N3803" t="e">
        <f>VLOOKUP(Tabelle9[[#This Row],[Rank]],Stammdaten[[Rank Verteilung Abholzigkeit]:[Verteilung Abholzigkeit]],2,FALSE)</f>
        <v>#N/A</v>
      </c>
      <c r="S3803">
        <v>3794</v>
      </c>
      <c r="T3803" t="e">
        <f>INDEX(Stammdaten[Krümmung (mm/lfm)],MATCH(Tabelle10[[#This Row],[Rank]],Stammdaten[Rank Verteilung Krümmung],0))</f>
        <v>#N/A</v>
      </c>
      <c r="U3803" t="e">
        <f>VLOOKUP(Tabelle10[[#This Row],[Rank]],Stammdaten[[Rank Verteilung Krümmung]:[Verteilung Krümmung]],2,FALSE)</f>
        <v>#N/A</v>
      </c>
      <c r="Z3803">
        <v>3794</v>
      </c>
      <c r="AA3803" t="e">
        <f>INDEX(Stammdaten[Ovalität (']0,1'])],MATCH(Tabelle1014[[#This Row],[Rank]],Stammdaten[Rank Verteilung Ovalität],0))</f>
        <v>#N/A</v>
      </c>
      <c r="AB3803" t="e">
        <f>VLOOKUP(Tabelle1014[[#This Row],[Rank]],Stammdaten[[Rank Verteilung Ovalität]:[Verteilung Ovalität]],2,FALSE)</f>
        <v>#N/A</v>
      </c>
    </row>
    <row r="3804" spans="5:28" x14ac:dyDescent="0.35">
      <c r="E3804">
        <v>3795</v>
      </c>
      <c r="F3804" t="e">
        <f>INDEX(Stammdaten[D Mitte mit Rinde (mm)],MATCH(Tabelle8[[#This Row],[Rank]],Stammdaten[Rank Verteilung D Mitte mit Rinde],0))</f>
        <v>#N/A</v>
      </c>
      <c r="G3804" t="e">
        <f>VLOOKUP(Tabelle8[[#This Row],[Rank]],Stammdaten[[Rank Verteilung D Mitte mit Rinde]:[Verteilung D Mitte mit Rinde]],2,FALSE)</f>
        <v>#N/A</v>
      </c>
      <c r="L3804">
        <v>3795</v>
      </c>
      <c r="M3804" t="e">
        <f>INDEX(Stammdaten[Abholzigkeit (mm/lfm)],MATCH(Tabelle9[[#This Row],[Rank]],Stammdaten[Rank Verteilung Abholzigkeit],0))</f>
        <v>#N/A</v>
      </c>
      <c r="N3804" t="e">
        <f>VLOOKUP(Tabelle9[[#This Row],[Rank]],Stammdaten[[Rank Verteilung Abholzigkeit]:[Verteilung Abholzigkeit]],2,FALSE)</f>
        <v>#N/A</v>
      </c>
      <c r="S3804">
        <v>3795</v>
      </c>
      <c r="T3804" t="e">
        <f>INDEX(Stammdaten[Krümmung (mm/lfm)],MATCH(Tabelle10[[#This Row],[Rank]],Stammdaten[Rank Verteilung Krümmung],0))</f>
        <v>#N/A</v>
      </c>
      <c r="U3804" t="e">
        <f>VLOOKUP(Tabelle10[[#This Row],[Rank]],Stammdaten[[Rank Verteilung Krümmung]:[Verteilung Krümmung]],2,FALSE)</f>
        <v>#N/A</v>
      </c>
      <c r="Z3804">
        <v>3795</v>
      </c>
      <c r="AA3804" t="e">
        <f>INDEX(Stammdaten[Ovalität (']0,1'])],MATCH(Tabelle1014[[#This Row],[Rank]],Stammdaten[Rank Verteilung Ovalität],0))</f>
        <v>#N/A</v>
      </c>
      <c r="AB3804" t="e">
        <f>VLOOKUP(Tabelle1014[[#This Row],[Rank]],Stammdaten[[Rank Verteilung Ovalität]:[Verteilung Ovalität]],2,FALSE)</f>
        <v>#N/A</v>
      </c>
    </row>
    <row r="3805" spans="5:28" x14ac:dyDescent="0.35">
      <c r="E3805">
        <v>3796</v>
      </c>
      <c r="F3805" t="e">
        <f>INDEX(Stammdaten[D Mitte mit Rinde (mm)],MATCH(Tabelle8[[#This Row],[Rank]],Stammdaten[Rank Verteilung D Mitte mit Rinde],0))</f>
        <v>#N/A</v>
      </c>
      <c r="G3805" t="e">
        <f>VLOOKUP(Tabelle8[[#This Row],[Rank]],Stammdaten[[Rank Verteilung D Mitte mit Rinde]:[Verteilung D Mitte mit Rinde]],2,FALSE)</f>
        <v>#N/A</v>
      </c>
      <c r="L3805">
        <v>3796</v>
      </c>
      <c r="M3805" t="e">
        <f>INDEX(Stammdaten[Abholzigkeit (mm/lfm)],MATCH(Tabelle9[[#This Row],[Rank]],Stammdaten[Rank Verteilung Abholzigkeit],0))</f>
        <v>#N/A</v>
      </c>
      <c r="N3805" t="e">
        <f>VLOOKUP(Tabelle9[[#This Row],[Rank]],Stammdaten[[Rank Verteilung Abholzigkeit]:[Verteilung Abholzigkeit]],2,FALSE)</f>
        <v>#N/A</v>
      </c>
      <c r="S3805">
        <v>3796</v>
      </c>
      <c r="T3805" t="e">
        <f>INDEX(Stammdaten[Krümmung (mm/lfm)],MATCH(Tabelle10[[#This Row],[Rank]],Stammdaten[Rank Verteilung Krümmung],0))</f>
        <v>#N/A</v>
      </c>
      <c r="U3805" t="e">
        <f>VLOOKUP(Tabelle10[[#This Row],[Rank]],Stammdaten[[Rank Verteilung Krümmung]:[Verteilung Krümmung]],2,FALSE)</f>
        <v>#N/A</v>
      </c>
      <c r="Z3805">
        <v>3796</v>
      </c>
      <c r="AA3805" t="e">
        <f>INDEX(Stammdaten[Ovalität (']0,1'])],MATCH(Tabelle1014[[#This Row],[Rank]],Stammdaten[Rank Verteilung Ovalität],0))</f>
        <v>#N/A</v>
      </c>
      <c r="AB3805" t="e">
        <f>VLOOKUP(Tabelle1014[[#This Row],[Rank]],Stammdaten[[Rank Verteilung Ovalität]:[Verteilung Ovalität]],2,FALSE)</f>
        <v>#N/A</v>
      </c>
    </row>
    <row r="3806" spans="5:28" x14ac:dyDescent="0.35">
      <c r="E3806">
        <v>3797</v>
      </c>
      <c r="F3806" t="e">
        <f>INDEX(Stammdaten[D Mitte mit Rinde (mm)],MATCH(Tabelle8[[#This Row],[Rank]],Stammdaten[Rank Verteilung D Mitte mit Rinde],0))</f>
        <v>#N/A</v>
      </c>
      <c r="G3806" t="e">
        <f>VLOOKUP(Tabelle8[[#This Row],[Rank]],Stammdaten[[Rank Verteilung D Mitte mit Rinde]:[Verteilung D Mitte mit Rinde]],2,FALSE)</f>
        <v>#N/A</v>
      </c>
      <c r="L3806">
        <v>3797</v>
      </c>
      <c r="M3806" t="e">
        <f>INDEX(Stammdaten[Abholzigkeit (mm/lfm)],MATCH(Tabelle9[[#This Row],[Rank]],Stammdaten[Rank Verteilung Abholzigkeit],0))</f>
        <v>#N/A</v>
      </c>
      <c r="N3806" t="e">
        <f>VLOOKUP(Tabelle9[[#This Row],[Rank]],Stammdaten[[Rank Verteilung Abholzigkeit]:[Verteilung Abholzigkeit]],2,FALSE)</f>
        <v>#N/A</v>
      </c>
      <c r="S3806">
        <v>3797</v>
      </c>
      <c r="T3806" t="e">
        <f>INDEX(Stammdaten[Krümmung (mm/lfm)],MATCH(Tabelle10[[#This Row],[Rank]],Stammdaten[Rank Verteilung Krümmung],0))</f>
        <v>#N/A</v>
      </c>
      <c r="U3806" t="e">
        <f>VLOOKUP(Tabelle10[[#This Row],[Rank]],Stammdaten[[Rank Verteilung Krümmung]:[Verteilung Krümmung]],2,FALSE)</f>
        <v>#N/A</v>
      </c>
      <c r="Z3806">
        <v>3797</v>
      </c>
      <c r="AA3806" t="e">
        <f>INDEX(Stammdaten[Ovalität (']0,1'])],MATCH(Tabelle1014[[#This Row],[Rank]],Stammdaten[Rank Verteilung Ovalität],0))</f>
        <v>#N/A</v>
      </c>
      <c r="AB3806" t="e">
        <f>VLOOKUP(Tabelle1014[[#This Row],[Rank]],Stammdaten[[Rank Verteilung Ovalität]:[Verteilung Ovalität]],2,FALSE)</f>
        <v>#N/A</v>
      </c>
    </row>
    <row r="3807" spans="5:28" x14ac:dyDescent="0.35">
      <c r="E3807">
        <v>3798</v>
      </c>
      <c r="F3807" t="e">
        <f>INDEX(Stammdaten[D Mitte mit Rinde (mm)],MATCH(Tabelle8[[#This Row],[Rank]],Stammdaten[Rank Verteilung D Mitte mit Rinde],0))</f>
        <v>#N/A</v>
      </c>
      <c r="G3807" t="e">
        <f>VLOOKUP(Tabelle8[[#This Row],[Rank]],Stammdaten[[Rank Verteilung D Mitte mit Rinde]:[Verteilung D Mitte mit Rinde]],2,FALSE)</f>
        <v>#N/A</v>
      </c>
      <c r="L3807">
        <v>3798</v>
      </c>
      <c r="M3807" t="e">
        <f>INDEX(Stammdaten[Abholzigkeit (mm/lfm)],MATCH(Tabelle9[[#This Row],[Rank]],Stammdaten[Rank Verteilung Abholzigkeit],0))</f>
        <v>#N/A</v>
      </c>
      <c r="N3807" t="e">
        <f>VLOOKUP(Tabelle9[[#This Row],[Rank]],Stammdaten[[Rank Verteilung Abholzigkeit]:[Verteilung Abholzigkeit]],2,FALSE)</f>
        <v>#N/A</v>
      </c>
      <c r="S3807">
        <v>3798</v>
      </c>
      <c r="T3807" t="e">
        <f>INDEX(Stammdaten[Krümmung (mm/lfm)],MATCH(Tabelle10[[#This Row],[Rank]],Stammdaten[Rank Verteilung Krümmung],0))</f>
        <v>#N/A</v>
      </c>
      <c r="U3807" t="e">
        <f>VLOOKUP(Tabelle10[[#This Row],[Rank]],Stammdaten[[Rank Verteilung Krümmung]:[Verteilung Krümmung]],2,FALSE)</f>
        <v>#N/A</v>
      </c>
      <c r="Z3807">
        <v>3798</v>
      </c>
      <c r="AA3807" t="e">
        <f>INDEX(Stammdaten[Ovalität (']0,1'])],MATCH(Tabelle1014[[#This Row],[Rank]],Stammdaten[Rank Verteilung Ovalität],0))</f>
        <v>#N/A</v>
      </c>
      <c r="AB3807" t="e">
        <f>VLOOKUP(Tabelle1014[[#This Row],[Rank]],Stammdaten[[Rank Verteilung Ovalität]:[Verteilung Ovalität]],2,FALSE)</f>
        <v>#N/A</v>
      </c>
    </row>
    <row r="3808" spans="5:28" x14ac:dyDescent="0.35">
      <c r="E3808">
        <v>3799</v>
      </c>
      <c r="F3808" t="e">
        <f>INDEX(Stammdaten[D Mitte mit Rinde (mm)],MATCH(Tabelle8[[#This Row],[Rank]],Stammdaten[Rank Verteilung D Mitte mit Rinde],0))</f>
        <v>#N/A</v>
      </c>
      <c r="G3808" t="e">
        <f>VLOOKUP(Tabelle8[[#This Row],[Rank]],Stammdaten[[Rank Verteilung D Mitte mit Rinde]:[Verteilung D Mitte mit Rinde]],2,FALSE)</f>
        <v>#N/A</v>
      </c>
      <c r="L3808">
        <v>3799</v>
      </c>
      <c r="M3808" t="e">
        <f>INDEX(Stammdaten[Abholzigkeit (mm/lfm)],MATCH(Tabelle9[[#This Row],[Rank]],Stammdaten[Rank Verteilung Abholzigkeit],0))</f>
        <v>#N/A</v>
      </c>
      <c r="N3808" t="e">
        <f>VLOOKUP(Tabelle9[[#This Row],[Rank]],Stammdaten[[Rank Verteilung Abholzigkeit]:[Verteilung Abholzigkeit]],2,FALSE)</f>
        <v>#N/A</v>
      </c>
      <c r="S3808">
        <v>3799</v>
      </c>
      <c r="T3808" t="e">
        <f>INDEX(Stammdaten[Krümmung (mm/lfm)],MATCH(Tabelle10[[#This Row],[Rank]],Stammdaten[Rank Verteilung Krümmung],0))</f>
        <v>#N/A</v>
      </c>
      <c r="U3808" t="e">
        <f>VLOOKUP(Tabelle10[[#This Row],[Rank]],Stammdaten[[Rank Verteilung Krümmung]:[Verteilung Krümmung]],2,FALSE)</f>
        <v>#N/A</v>
      </c>
      <c r="Z3808">
        <v>3799</v>
      </c>
      <c r="AA3808" t="e">
        <f>INDEX(Stammdaten[Ovalität (']0,1'])],MATCH(Tabelle1014[[#This Row],[Rank]],Stammdaten[Rank Verteilung Ovalität],0))</f>
        <v>#N/A</v>
      </c>
      <c r="AB3808" t="e">
        <f>VLOOKUP(Tabelle1014[[#This Row],[Rank]],Stammdaten[[Rank Verteilung Ovalität]:[Verteilung Ovalität]],2,FALSE)</f>
        <v>#N/A</v>
      </c>
    </row>
    <row r="3809" spans="5:28" x14ac:dyDescent="0.35">
      <c r="E3809">
        <v>3800</v>
      </c>
      <c r="F3809" t="e">
        <f>INDEX(Stammdaten[D Mitte mit Rinde (mm)],MATCH(Tabelle8[[#This Row],[Rank]],Stammdaten[Rank Verteilung D Mitte mit Rinde],0))</f>
        <v>#N/A</v>
      </c>
      <c r="G3809" t="e">
        <f>VLOOKUP(Tabelle8[[#This Row],[Rank]],Stammdaten[[Rank Verteilung D Mitte mit Rinde]:[Verteilung D Mitte mit Rinde]],2,FALSE)</f>
        <v>#N/A</v>
      </c>
      <c r="L3809">
        <v>3800</v>
      </c>
      <c r="M3809" t="e">
        <f>INDEX(Stammdaten[Abholzigkeit (mm/lfm)],MATCH(Tabelle9[[#This Row],[Rank]],Stammdaten[Rank Verteilung Abholzigkeit],0))</f>
        <v>#N/A</v>
      </c>
      <c r="N3809" t="e">
        <f>VLOOKUP(Tabelle9[[#This Row],[Rank]],Stammdaten[[Rank Verteilung Abholzigkeit]:[Verteilung Abholzigkeit]],2,FALSE)</f>
        <v>#N/A</v>
      </c>
      <c r="S3809">
        <v>3800</v>
      </c>
      <c r="T3809" t="e">
        <f>INDEX(Stammdaten[Krümmung (mm/lfm)],MATCH(Tabelle10[[#This Row],[Rank]],Stammdaten[Rank Verteilung Krümmung],0))</f>
        <v>#N/A</v>
      </c>
      <c r="U3809" t="e">
        <f>VLOOKUP(Tabelle10[[#This Row],[Rank]],Stammdaten[[Rank Verteilung Krümmung]:[Verteilung Krümmung]],2,FALSE)</f>
        <v>#N/A</v>
      </c>
      <c r="Z3809">
        <v>3800</v>
      </c>
      <c r="AA3809" t="e">
        <f>INDEX(Stammdaten[Ovalität (']0,1'])],MATCH(Tabelle1014[[#This Row],[Rank]],Stammdaten[Rank Verteilung Ovalität],0))</f>
        <v>#N/A</v>
      </c>
      <c r="AB3809" t="e">
        <f>VLOOKUP(Tabelle1014[[#This Row],[Rank]],Stammdaten[[Rank Verteilung Ovalität]:[Verteilung Ovalität]],2,FALSE)</f>
        <v>#N/A</v>
      </c>
    </row>
    <row r="3810" spans="5:28" x14ac:dyDescent="0.35">
      <c r="E3810">
        <v>3801</v>
      </c>
      <c r="F3810" t="e">
        <f>INDEX(Stammdaten[D Mitte mit Rinde (mm)],MATCH(Tabelle8[[#This Row],[Rank]],Stammdaten[Rank Verteilung D Mitte mit Rinde],0))</f>
        <v>#N/A</v>
      </c>
      <c r="G3810" t="e">
        <f>VLOOKUP(Tabelle8[[#This Row],[Rank]],Stammdaten[[Rank Verteilung D Mitte mit Rinde]:[Verteilung D Mitte mit Rinde]],2,FALSE)</f>
        <v>#N/A</v>
      </c>
      <c r="L3810">
        <v>3801</v>
      </c>
      <c r="M3810" t="e">
        <f>INDEX(Stammdaten[Abholzigkeit (mm/lfm)],MATCH(Tabelle9[[#This Row],[Rank]],Stammdaten[Rank Verteilung Abholzigkeit],0))</f>
        <v>#N/A</v>
      </c>
      <c r="N3810" t="e">
        <f>VLOOKUP(Tabelle9[[#This Row],[Rank]],Stammdaten[[Rank Verteilung Abholzigkeit]:[Verteilung Abholzigkeit]],2,FALSE)</f>
        <v>#N/A</v>
      </c>
      <c r="S3810">
        <v>3801</v>
      </c>
      <c r="T3810" t="e">
        <f>INDEX(Stammdaten[Krümmung (mm/lfm)],MATCH(Tabelle10[[#This Row],[Rank]],Stammdaten[Rank Verteilung Krümmung],0))</f>
        <v>#N/A</v>
      </c>
      <c r="U3810" t="e">
        <f>VLOOKUP(Tabelle10[[#This Row],[Rank]],Stammdaten[[Rank Verteilung Krümmung]:[Verteilung Krümmung]],2,FALSE)</f>
        <v>#N/A</v>
      </c>
      <c r="Z3810">
        <v>3801</v>
      </c>
      <c r="AA3810" t="e">
        <f>INDEX(Stammdaten[Ovalität (']0,1'])],MATCH(Tabelle1014[[#This Row],[Rank]],Stammdaten[Rank Verteilung Ovalität],0))</f>
        <v>#N/A</v>
      </c>
      <c r="AB3810" t="e">
        <f>VLOOKUP(Tabelle1014[[#This Row],[Rank]],Stammdaten[[Rank Verteilung Ovalität]:[Verteilung Ovalität]],2,FALSE)</f>
        <v>#N/A</v>
      </c>
    </row>
    <row r="3811" spans="5:28" x14ac:dyDescent="0.35">
      <c r="E3811">
        <v>3802</v>
      </c>
      <c r="F3811" t="e">
        <f>INDEX(Stammdaten[D Mitte mit Rinde (mm)],MATCH(Tabelle8[[#This Row],[Rank]],Stammdaten[Rank Verteilung D Mitte mit Rinde],0))</f>
        <v>#N/A</v>
      </c>
      <c r="G3811" t="e">
        <f>VLOOKUP(Tabelle8[[#This Row],[Rank]],Stammdaten[[Rank Verteilung D Mitte mit Rinde]:[Verteilung D Mitte mit Rinde]],2,FALSE)</f>
        <v>#N/A</v>
      </c>
      <c r="L3811">
        <v>3802</v>
      </c>
      <c r="M3811" t="e">
        <f>INDEX(Stammdaten[Abholzigkeit (mm/lfm)],MATCH(Tabelle9[[#This Row],[Rank]],Stammdaten[Rank Verteilung Abholzigkeit],0))</f>
        <v>#N/A</v>
      </c>
      <c r="N3811" t="e">
        <f>VLOOKUP(Tabelle9[[#This Row],[Rank]],Stammdaten[[Rank Verteilung Abholzigkeit]:[Verteilung Abholzigkeit]],2,FALSE)</f>
        <v>#N/A</v>
      </c>
      <c r="S3811">
        <v>3802</v>
      </c>
      <c r="T3811" t="e">
        <f>INDEX(Stammdaten[Krümmung (mm/lfm)],MATCH(Tabelle10[[#This Row],[Rank]],Stammdaten[Rank Verteilung Krümmung],0))</f>
        <v>#N/A</v>
      </c>
      <c r="U3811" t="e">
        <f>VLOOKUP(Tabelle10[[#This Row],[Rank]],Stammdaten[[Rank Verteilung Krümmung]:[Verteilung Krümmung]],2,FALSE)</f>
        <v>#N/A</v>
      </c>
      <c r="Z3811">
        <v>3802</v>
      </c>
      <c r="AA3811" t="e">
        <f>INDEX(Stammdaten[Ovalität (']0,1'])],MATCH(Tabelle1014[[#This Row],[Rank]],Stammdaten[Rank Verteilung Ovalität],0))</f>
        <v>#N/A</v>
      </c>
      <c r="AB3811" t="e">
        <f>VLOOKUP(Tabelle1014[[#This Row],[Rank]],Stammdaten[[Rank Verteilung Ovalität]:[Verteilung Ovalität]],2,FALSE)</f>
        <v>#N/A</v>
      </c>
    </row>
    <row r="3812" spans="5:28" x14ac:dyDescent="0.35">
      <c r="E3812">
        <v>3803</v>
      </c>
      <c r="F3812" t="e">
        <f>INDEX(Stammdaten[D Mitte mit Rinde (mm)],MATCH(Tabelle8[[#This Row],[Rank]],Stammdaten[Rank Verteilung D Mitte mit Rinde],0))</f>
        <v>#N/A</v>
      </c>
      <c r="G3812" t="e">
        <f>VLOOKUP(Tabelle8[[#This Row],[Rank]],Stammdaten[[Rank Verteilung D Mitte mit Rinde]:[Verteilung D Mitte mit Rinde]],2,FALSE)</f>
        <v>#N/A</v>
      </c>
      <c r="L3812">
        <v>3803</v>
      </c>
      <c r="M3812" t="e">
        <f>INDEX(Stammdaten[Abholzigkeit (mm/lfm)],MATCH(Tabelle9[[#This Row],[Rank]],Stammdaten[Rank Verteilung Abholzigkeit],0))</f>
        <v>#N/A</v>
      </c>
      <c r="N3812" t="e">
        <f>VLOOKUP(Tabelle9[[#This Row],[Rank]],Stammdaten[[Rank Verteilung Abholzigkeit]:[Verteilung Abholzigkeit]],2,FALSE)</f>
        <v>#N/A</v>
      </c>
      <c r="S3812">
        <v>3803</v>
      </c>
      <c r="T3812" t="e">
        <f>INDEX(Stammdaten[Krümmung (mm/lfm)],MATCH(Tabelle10[[#This Row],[Rank]],Stammdaten[Rank Verteilung Krümmung],0))</f>
        <v>#N/A</v>
      </c>
      <c r="U3812" t="e">
        <f>VLOOKUP(Tabelle10[[#This Row],[Rank]],Stammdaten[[Rank Verteilung Krümmung]:[Verteilung Krümmung]],2,FALSE)</f>
        <v>#N/A</v>
      </c>
      <c r="Z3812">
        <v>3803</v>
      </c>
      <c r="AA3812" t="e">
        <f>INDEX(Stammdaten[Ovalität (']0,1'])],MATCH(Tabelle1014[[#This Row],[Rank]],Stammdaten[Rank Verteilung Ovalität],0))</f>
        <v>#N/A</v>
      </c>
      <c r="AB3812" t="e">
        <f>VLOOKUP(Tabelle1014[[#This Row],[Rank]],Stammdaten[[Rank Verteilung Ovalität]:[Verteilung Ovalität]],2,FALSE)</f>
        <v>#N/A</v>
      </c>
    </row>
    <row r="3813" spans="5:28" x14ac:dyDescent="0.35">
      <c r="E3813">
        <v>3804</v>
      </c>
      <c r="F3813" t="e">
        <f>INDEX(Stammdaten[D Mitte mit Rinde (mm)],MATCH(Tabelle8[[#This Row],[Rank]],Stammdaten[Rank Verteilung D Mitte mit Rinde],0))</f>
        <v>#N/A</v>
      </c>
      <c r="G3813" t="e">
        <f>VLOOKUP(Tabelle8[[#This Row],[Rank]],Stammdaten[[Rank Verteilung D Mitte mit Rinde]:[Verteilung D Mitte mit Rinde]],2,FALSE)</f>
        <v>#N/A</v>
      </c>
      <c r="L3813">
        <v>3804</v>
      </c>
      <c r="M3813" t="e">
        <f>INDEX(Stammdaten[Abholzigkeit (mm/lfm)],MATCH(Tabelle9[[#This Row],[Rank]],Stammdaten[Rank Verteilung Abholzigkeit],0))</f>
        <v>#N/A</v>
      </c>
      <c r="N3813" t="e">
        <f>VLOOKUP(Tabelle9[[#This Row],[Rank]],Stammdaten[[Rank Verteilung Abholzigkeit]:[Verteilung Abholzigkeit]],2,FALSE)</f>
        <v>#N/A</v>
      </c>
      <c r="S3813">
        <v>3804</v>
      </c>
      <c r="T3813" t="e">
        <f>INDEX(Stammdaten[Krümmung (mm/lfm)],MATCH(Tabelle10[[#This Row],[Rank]],Stammdaten[Rank Verteilung Krümmung],0))</f>
        <v>#N/A</v>
      </c>
      <c r="U3813" t="e">
        <f>VLOOKUP(Tabelle10[[#This Row],[Rank]],Stammdaten[[Rank Verteilung Krümmung]:[Verteilung Krümmung]],2,FALSE)</f>
        <v>#N/A</v>
      </c>
      <c r="Z3813">
        <v>3804</v>
      </c>
      <c r="AA3813" t="e">
        <f>INDEX(Stammdaten[Ovalität (']0,1'])],MATCH(Tabelle1014[[#This Row],[Rank]],Stammdaten[Rank Verteilung Ovalität],0))</f>
        <v>#N/A</v>
      </c>
      <c r="AB3813" t="e">
        <f>VLOOKUP(Tabelle1014[[#This Row],[Rank]],Stammdaten[[Rank Verteilung Ovalität]:[Verteilung Ovalität]],2,FALSE)</f>
        <v>#N/A</v>
      </c>
    </row>
    <row r="3814" spans="5:28" x14ac:dyDescent="0.35">
      <c r="E3814">
        <v>3805</v>
      </c>
      <c r="F3814" t="e">
        <f>INDEX(Stammdaten[D Mitte mit Rinde (mm)],MATCH(Tabelle8[[#This Row],[Rank]],Stammdaten[Rank Verteilung D Mitte mit Rinde],0))</f>
        <v>#N/A</v>
      </c>
      <c r="G3814" t="e">
        <f>VLOOKUP(Tabelle8[[#This Row],[Rank]],Stammdaten[[Rank Verteilung D Mitte mit Rinde]:[Verteilung D Mitte mit Rinde]],2,FALSE)</f>
        <v>#N/A</v>
      </c>
      <c r="L3814">
        <v>3805</v>
      </c>
      <c r="M3814" t="e">
        <f>INDEX(Stammdaten[Abholzigkeit (mm/lfm)],MATCH(Tabelle9[[#This Row],[Rank]],Stammdaten[Rank Verteilung Abholzigkeit],0))</f>
        <v>#N/A</v>
      </c>
      <c r="N3814" t="e">
        <f>VLOOKUP(Tabelle9[[#This Row],[Rank]],Stammdaten[[Rank Verteilung Abholzigkeit]:[Verteilung Abholzigkeit]],2,FALSE)</f>
        <v>#N/A</v>
      </c>
      <c r="S3814">
        <v>3805</v>
      </c>
      <c r="T3814" t="e">
        <f>INDEX(Stammdaten[Krümmung (mm/lfm)],MATCH(Tabelle10[[#This Row],[Rank]],Stammdaten[Rank Verteilung Krümmung],0))</f>
        <v>#N/A</v>
      </c>
      <c r="U3814" t="e">
        <f>VLOOKUP(Tabelle10[[#This Row],[Rank]],Stammdaten[[Rank Verteilung Krümmung]:[Verteilung Krümmung]],2,FALSE)</f>
        <v>#N/A</v>
      </c>
      <c r="Z3814">
        <v>3805</v>
      </c>
      <c r="AA3814" t="e">
        <f>INDEX(Stammdaten[Ovalität (']0,1'])],MATCH(Tabelle1014[[#This Row],[Rank]],Stammdaten[Rank Verteilung Ovalität],0))</f>
        <v>#N/A</v>
      </c>
      <c r="AB3814" t="e">
        <f>VLOOKUP(Tabelle1014[[#This Row],[Rank]],Stammdaten[[Rank Verteilung Ovalität]:[Verteilung Ovalität]],2,FALSE)</f>
        <v>#N/A</v>
      </c>
    </row>
    <row r="3815" spans="5:28" x14ac:dyDescent="0.35">
      <c r="E3815">
        <v>3806</v>
      </c>
      <c r="F3815" t="e">
        <f>INDEX(Stammdaten[D Mitte mit Rinde (mm)],MATCH(Tabelle8[[#This Row],[Rank]],Stammdaten[Rank Verteilung D Mitte mit Rinde],0))</f>
        <v>#N/A</v>
      </c>
      <c r="G3815" t="e">
        <f>VLOOKUP(Tabelle8[[#This Row],[Rank]],Stammdaten[[Rank Verteilung D Mitte mit Rinde]:[Verteilung D Mitte mit Rinde]],2,FALSE)</f>
        <v>#N/A</v>
      </c>
      <c r="L3815">
        <v>3806</v>
      </c>
      <c r="M3815" t="e">
        <f>INDEX(Stammdaten[Abholzigkeit (mm/lfm)],MATCH(Tabelle9[[#This Row],[Rank]],Stammdaten[Rank Verteilung Abholzigkeit],0))</f>
        <v>#N/A</v>
      </c>
      <c r="N3815" t="e">
        <f>VLOOKUP(Tabelle9[[#This Row],[Rank]],Stammdaten[[Rank Verteilung Abholzigkeit]:[Verteilung Abholzigkeit]],2,FALSE)</f>
        <v>#N/A</v>
      </c>
      <c r="S3815">
        <v>3806</v>
      </c>
      <c r="T3815" t="e">
        <f>INDEX(Stammdaten[Krümmung (mm/lfm)],MATCH(Tabelle10[[#This Row],[Rank]],Stammdaten[Rank Verteilung Krümmung],0))</f>
        <v>#N/A</v>
      </c>
      <c r="U3815" t="e">
        <f>VLOOKUP(Tabelle10[[#This Row],[Rank]],Stammdaten[[Rank Verteilung Krümmung]:[Verteilung Krümmung]],2,FALSE)</f>
        <v>#N/A</v>
      </c>
      <c r="Z3815">
        <v>3806</v>
      </c>
      <c r="AA3815" t="e">
        <f>INDEX(Stammdaten[Ovalität (']0,1'])],MATCH(Tabelle1014[[#This Row],[Rank]],Stammdaten[Rank Verteilung Ovalität],0))</f>
        <v>#N/A</v>
      </c>
      <c r="AB3815" t="e">
        <f>VLOOKUP(Tabelle1014[[#This Row],[Rank]],Stammdaten[[Rank Verteilung Ovalität]:[Verteilung Ovalität]],2,FALSE)</f>
        <v>#N/A</v>
      </c>
    </row>
    <row r="3816" spans="5:28" x14ac:dyDescent="0.35">
      <c r="E3816">
        <v>3807</v>
      </c>
      <c r="F3816" t="e">
        <f>INDEX(Stammdaten[D Mitte mit Rinde (mm)],MATCH(Tabelle8[[#This Row],[Rank]],Stammdaten[Rank Verteilung D Mitte mit Rinde],0))</f>
        <v>#N/A</v>
      </c>
      <c r="G3816" t="e">
        <f>VLOOKUP(Tabelle8[[#This Row],[Rank]],Stammdaten[[Rank Verteilung D Mitte mit Rinde]:[Verteilung D Mitte mit Rinde]],2,FALSE)</f>
        <v>#N/A</v>
      </c>
      <c r="L3816">
        <v>3807</v>
      </c>
      <c r="M3816" t="e">
        <f>INDEX(Stammdaten[Abholzigkeit (mm/lfm)],MATCH(Tabelle9[[#This Row],[Rank]],Stammdaten[Rank Verteilung Abholzigkeit],0))</f>
        <v>#N/A</v>
      </c>
      <c r="N3816" t="e">
        <f>VLOOKUP(Tabelle9[[#This Row],[Rank]],Stammdaten[[Rank Verteilung Abholzigkeit]:[Verteilung Abholzigkeit]],2,FALSE)</f>
        <v>#N/A</v>
      </c>
      <c r="S3816">
        <v>3807</v>
      </c>
      <c r="T3816" t="e">
        <f>INDEX(Stammdaten[Krümmung (mm/lfm)],MATCH(Tabelle10[[#This Row],[Rank]],Stammdaten[Rank Verteilung Krümmung],0))</f>
        <v>#N/A</v>
      </c>
      <c r="U3816" t="e">
        <f>VLOOKUP(Tabelle10[[#This Row],[Rank]],Stammdaten[[Rank Verteilung Krümmung]:[Verteilung Krümmung]],2,FALSE)</f>
        <v>#N/A</v>
      </c>
      <c r="Z3816">
        <v>3807</v>
      </c>
      <c r="AA3816" t="e">
        <f>INDEX(Stammdaten[Ovalität (']0,1'])],MATCH(Tabelle1014[[#This Row],[Rank]],Stammdaten[Rank Verteilung Ovalität],0))</f>
        <v>#N/A</v>
      </c>
      <c r="AB3816" t="e">
        <f>VLOOKUP(Tabelle1014[[#This Row],[Rank]],Stammdaten[[Rank Verteilung Ovalität]:[Verteilung Ovalität]],2,FALSE)</f>
        <v>#N/A</v>
      </c>
    </row>
    <row r="3817" spans="5:28" x14ac:dyDescent="0.35">
      <c r="E3817">
        <v>3808</v>
      </c>
      <c r="F3817" t="e">
        <f>INDEX(Stammdaten[D Mitte mit Rinde (mm)],MATCH(Tabelle8[[#This Row],[Rank]],Stammdaten[Rank Verteilung D Mitte mit Rinde],0))</f>
        <v>#N/A</v>
      </c>
      <c r="G3817" t="e">
        <f>VLOOKUP(Tabelle8[[#This Row],[Rank]],Stammdaten[[Rank Verteilung D Mitte mit Rinde]:[Verteilung D Mitte mit Rinde]],2,FALSE)</f>
        <v>#N/A</v>
      </c>
      <c r="L3817">
        <v>3808</v>
      </c>
      <c r="M3817" t="e">
        <f>INDEX(Stammdaten[Abholzigkeit (mm/lfm)],MATCH(Tabelle9[[#This Row],[Rank]],Stammdaten[Rank Verteilung Abholzigkeit],0))</f>
        <v>#N/A</v>
      </c>
      <c r="N3817" t="e">
        <f>VLOOKUP(Tabelle9[[#This Row],[Rank]],Stammdaten[[Rank Verteilung Abholzigkeit]:[Verteilung Abholzigkeit]],2,FALSE)</f>
        <v>#N/A</v>
      </c>
      <c r="S3817">
        <v>3808</v>
      </c>
      <c r="T3817" t="e">
        <f>INDEX(Stammdaten[Krümmung (mm/lfm)],MATCH(Tabelle10[[#This Row],[Rank]],Stammdaten[Rank Verteilung Krümmung],0))</f>
        <v>#N/A</v>
      </c>
      <c r="U3817" t="e">
        <f>VLOOKUP(Tabelle10[[#This Row],[Rank]],Stammdaten[[Rank Verteilung Krümmung]:[Verteilung Krümmung]],2,FALSE)</f>
        <v>#N/A</v>
      </c>
      <c r="Z3817">
        <v>3808</v>
      </c>
      <c r="AA3817" t="e">
        <f>INDEX(Stammdaten[Ovalität (']0,1'])],MATCH(Tabelle1014[[#This Row],[Rank]],Stammdaten[Rank Verteilung Ovalität],0))</f>
        <v>#N/A</v>
      </c>
      <c r="AB3817" t="e">
        <f>VLOOKUP(Tabelle1014[[#This Row],[Rank]],Stammdaten[[Rank Verteilung Ovalität]:[Verteilung Ovalität]],2,FALSE)</f>
        <v>#N/A</v>
      </c>
    </row>
    <row r="3818" spans="5:28" x14ac:dyDescent="0.35">
      <c r="E3818">
        <v>3809</v>
      </c>
      <c r="F3818" t="e">
        <f>INDEX(Stammdaten[D Mitte mit Rinde (mm)],MATCH(Tabelle8[[#This Row],[Rank]],Stammdaten[Rank Verteilung D Mitte mit Rinde],0))</f>
        <v>#N/A</v>
      </c>
      <c r="G3818" t="e">
        <f>VLOOKUP(Tabelle8[[#This Row],[Rank]],Stammdaten[[Rank Verteilung D Mitte mit Rinde]:[Verteilung D Mitte mit Rinde]],2,FALSE)</f>
        <v>#N/A</v>
      </c>
      <c r="L3818">
        <v>3809</v>
      </c>
      <c r="M3818" t="e">
        <f>INDEX(Stammdaten[Abholzigkeit (mm/lfm)],MATCH(Tabelle9[[#This Row],[Rank]],Stammdaten[Rank Verteilung Abholzigkeit],0))</f>
        <v>#N/A</v>
      </c>
      <c r="N3818" t="e">
        <f>VLOOKUP(Tabelle9[[#This Row],[Rank]],Stammdaten[[Rank Verteilung Abholzigkeit]:[Verteilung Abholzigkeit]],2,FALSE)</f>
        <v>#N/A</v>
      </c>
      <c r="S3818">
        <v>3809</v>
      </c>
      <c r="T3818" t="e">
        <f>INDEX(Stammdaten[Krümmung (mm/lfm)],MATCH(Tabelle10[[#This Row],[Rank]],Stammdaten[Rank Verteilung Krümmung],0))</f>
        <v>#N/A</v>
      </c>
      <c r="U3818" t="e">
        <f>VLOOKUP(Tabelle10[[#This Row],[Rank]],Stammdaten[[Rank Verteilung Krümmung]:[Verteilung Krümmung]],2,FALSE)</f>
        <v>#N/A</v>
      </c>
      <c r="Z3818">
        <v>3809</v>
      </c>
      <c r="AA3818" t="e">
        <f>INDEX(Stammdaten[Ovalität (']0,1'])],MATCH(Tabelle1014[[#This Row],[Rank]],Stammdaten[Rank Verteilung Ovalität],0))</f>
        <v>#N/A</v>
      </c>
      <c r="AB3818" t="e">
        <f>VLOOKUP(Tabelle1014[[#This Row],[Rank]],Stammdaten[[Rank Verteilung Ovalität]:[Verteilung Ovalität]],2,FALSE)</f>
        <v>#N/A</v>
      </c>
    </row>
    <row r="3819" spans="5:28" x14ac:dyDescent="0.35">
      <c r="E3819">
        <v>3810</v>
      </c>
      <c r="F3819" t="e">
        <f>INDEX(Stammdaten[D Mitte mit Rinde (mm)],MATCH(Tabelle8[[#This Row],[Rank]],Stammdaten[Rank Verteilung D Mitte mit Rinde],0))</f>
        <v>#N/A</v>
      </c>
      <c r="G3819" t="e">
        <f>VLOOKUP(Tabelle8[[#This Row],[Rank]],Stammdaten[[Rank Verteilung D Mitte mit Rinde]:[Verteilung D Mitte mit Rinde]],2,FALSE)</f>
        <v>#N/A</v>
      </c>
      <c r="L3819">
        <v>3810</v>
      </c>
      <c r="M3819" t="e">
        <f>INDEX(Stammdaten[Abholzigkeit (mm/lfm)],MATCH(Tabelle9[[#This Row],[Rank]],Stammdaten[Rank Verteilung Abholzigkeit],0))</f>
        <v>#N/A</v>
      </c>
      <c r="N3819" t="e">
        <f>VLOOKUP(Tabelle9[[#This Row],[Rank]],Stammdaten[[Rank Verteilung Abholzigkeit]:[Verteilung Abholzigkeit]],2,FALSE)</f>
        <v>#N/A</v>
      </c>
      <c r="S3819">
        <v>3810</v>
      </c>
      <c r="T3819" t="e">
        <f>INDEX(Stammdaten[Krümmung (mm/lfm)],MATCH(Tabelle10[[#This Row],[Rank]],Stammdaten[Rank Verteilung Krümmung],0))</f>
        <v>#N/A</v>
      </c>
      <c r="U3819" t="e">
        <f>VLOOKUP(Tabelle10[[#This Row],[Rank]],Stammdaten[[Rank Verteilung Krümmung]:[Verteilung Krümmung]],2,FALSE)</f>
        <v>#N/A</v>
      </c>
      <c r="Z3819">
        <v>3810</v>
      </c>
      <c r="AA3819" t="e">
        <f>INDEX(Stammdaten[Ovalität (']0,1'])],MATCH(Tabelle1014[[#This Row],[Rank]],Stammdaten[Rank Verteilung Ovalität],0))</f>
        <v>#N/A</v>
      </c>
      <c r="AB3819" t="e">
        <f>VLOOKUP(Tabelle1014[[#This Row],[Rank]],Stammdaten[[Rank Verteilung Ovalität]:[Verteilung Ovalität]],2,FALSE)</f>
        <v>#N/A</v>
      </c>
    </row>
    <row r="3820" spans="5:28" x14ac:dyDescent="0.35">
      <c r="E3820">
        <v>3811</v>
      </c>
      <c r="F3820" t="e">
        <f>INDEX(Stammdaten[D Mitte mit Rinde (mm)],MATCH(Tabelle8[[#This Row],[Rank]],Stammdaten[Rank Verteilung D Mitte mit Rinde],0))</f>
        <v>#N/A</v>
      </c>
      <c r="G3820" t="e">
        <f>VLOOKUP(Tabelle8[[#This Row],[Rank]],Stammdaten[[Rank Verteilung D Mitte mit Rinde]:[Verteilung D Mitte mit Rinde]],2,FALSE)</f>
        <v>#N/A</v>
      </c>
      <c r="L3820">
        <v>3811</v>
      </c>
      <c r="M3820" t="e">
        <f>INDEX(Stammdaten[Abholzigkeit (mm/lfm)],MATCH(Tabelle9[[#This Row],[Rank]],Stammdaten[Rank Verteilung Abholzigkeit],0))</f>
        <v>#N/A</v>
      </c>
      <c r="N3820" t="e">
        <f>VLOOKUP(Tabelle9[[#This Row],[Rank]],Stammdaten[[Rank Verteilung Abholzigkeit]:[Verteilung Abholzigkeit]],2,FALSE)</f>
        <v>#N/A</v>
      </c>
      <c r="S3820">
        <v>3811</v>
      </c>
      <c r="T3820" t="e">
        <f>INDEX(Stammdaten[Krümmung (mm/lfm)],MATCH(Tabelle10[[#This Row],[Rank]],Stammdaten[Rank Verteilung Krümmung],0))</f>
        <v>#N/A</v>
      </c>
      <c r="U3820" t="e">
        <f>VLOOKUP(Tabelle10[[#This Row],[Rank]],Stammdaten[[Rank Verteilung Krümmung]:[Verteilung Krümmung]],2,FALSE)</f>
        <v>#N/A</v>
      </c>
      <c r="Z3820">
        <v>3811</v>
      </c>
      <c r="AA3820" t="e">
        <f>INDEX(Stammdaten[Ovalität (']0,1'])],MATCH(Tabelle1014[[#This Row],[Rank]],Stammdaten[Rank Verteilung Ovalität],0))</f>
        <v>#N/A</v>
      </c>
      <c r="AB3820" t="e">
        <f>VLOOKUP(Tabelle1014[[#This Row],[Rank]],Stammdaten[[Rank Verteilung Ovalität]:[Verteilung Ovalität]],2,FALSE)</f>
        <v>#N/A</v>
      </c>
    </row>
    <row r="3821" spans="5:28" x14ac:dyDescent="0.35">
      <c r="E3821">
        <v>3812</v>
      </c>
      <c r="F3821" t="e">
        <f>INDEX(Stammdaten[D Mitte mit Rinde (mm)],MATCH(Tabelle8[[#This Row],[Rank]],Stammdaten[Rank Verteilung D Mitte mit Rinde],0))</f>
        <v>#N/A</v>
      </c>
      <c r="G3821" t="e">
        <f>VLOOKUP(Tabelle8[[#This Row],[Rank]],Stammdaten[[Rank Verteilung D Mitte mit Rinde]:[Verteilung D Mitte mit Rinde]],2,FALSE)</f>
        <v>#N/A</v>
      </c>
      <c r="L3821">
        <v>3812</v>
      </c>
      <c r="M3821" t="e">
        <f>INDEX(Stammdaten[Abholzigkeit (mm/lfm)],MATCH(Tabelle9[[#This Row],[Rank]],Stammdaten[Rank Verteilung Abholzigkeit],0))</f>
        <v>#N/A</v>
      </c>
      <c r="N3821" t="e">
        <f>VLOOKUP(Tabelle9[[#This Row],[Rank]],Stammdaten[[Rank Verteilung Abholzigkeit]:[Verteilung Abholzigkeit]],2,FALSE)</f>
        <v>#N/A</v>
      </c>
      <c r="S3821">
        <v>3812</v>
      </c>
      <c r="T3821" t="e">
        <f>INDEX(Stammdaten[Krümmung (mm/lfm)],MATCH(Tabelle10[[#This Row],[Rank]],Stammdaten[Rank Verteilung Krümmung],0))</f>
        <v>#N/A</v>
      </c>
      <c r="U3821" t="e">
        <f>VLOOKUP(Tabelle10[[#This Row],[Rank]],Stammdaten[[Rank Verteilung Krümmung]:[Verteilung Krümmung]],2,FALSE)</f>
        <v>#N/A</v>
      </c>
      <c r="Z3821">
        <v>3812</v>
      </c>
      <c r="AA3821" t="e">
        <f>INDEX(Stammdaten[Ovalität (']0,1'])],MATCH(Tabelle1014[[#This Row],[Rank]],Stammdaten[Rank Verteilung Ovalität],0))</f>
        <v>#N/A</v>
      </c>
      <c r="AB3821" t="e">
        <f>VLOOKUP(Tabelle1014[[#This Row],[Rank]],Stammdaten[[Rank Verteilung Ovalität]:[Verteilung Ovalität]],2,FALSE)</f>
        <v>#N/A</v>
      </c>
    </row>
    <row r="3822" spans="5:28" x14ac:dyDescent="0.35">
      <c r="E3822">
        <v>3813</v>
      </c>
      <c r="F3822" t="e">
        <f>INDEX(Stammdaten[D Mitte mit Rinde (mm)],MATCH(Tabelle8[[#This Row],[Rank]],Stammdaten[Rank Verteilung D Mitte mit Rinde],0))</f>
        <v>#N/A</v>
      </c>
      <c r="G3822" t="e">
        <f>VLOOKUP(Tabelle8[[#This Row],[Rank]],Stammdaten[[Rank Verteilung D Mitte mit Rinde]:[Verteilung D Mitte mit Rinde]],2,FALSE)</f>
        <v>#N/A</v>
      </c>
      <c r="L3822">
        <v>3813</v>
      </c>
      <c r="M3822" t="e">
        <f>INDEX(Stammdaten[Abholzigkeit (mm/lfm)],MATCH(Tabelle9[[#This Row],[Rank]],Stammdaten[Rank Verteilung Abholzigkeit],0))</f>
        <v>#N/A</v>
      </c>
      <c r="N3822" t="e">
        <f>VLOOKUP(Tabelle9[[#This Row],[Rank]],Stammdaten[[Rank Verteilung Abholzigkeit]:[Verteilung Abholzigkeit]],2,FALSE)</f>
        <v>#N/A</v>
      </c>
      <c r="S3822">
        <v>3813</v>
      </c>
      <c r="T3822" t="e">
        <f>INDEX(Stammdaten[Krümmung (mm/lfm)],MATCH(Tabelle10[[#This Row],[Rank]],Stammdaten[Rank Verteilung Krümmung],0))</f>
        <v>#N/A</v>
      </c>
      <c r="U3822" t="e">
        <f>VLOOKUP(Tabelle10[[#This Row],[Rank]],Stammdaten[[Rank Verteilung Krümmung]:[Verteilung Krümmung]],2,FALSE)</f>
        <v>#N/A</v>
      </c>
      <c r="Z3822">
        <v>3813</v>
      </c>
      <c r="AA3822" t="e">
        <f>INDEX(Stammdaten[Ovalität (']0,1'])],MATCH(Tabelle1014[[#This Row],[Rank]],Stammdaten[Rank Verteilung Ovalität],0))</f>
        <v>#N/A</v>
      </c>
      <c r="AB3822" t="e">
        <f>VLOOKUP(Tabelle1014[[#This Row],[Rank]],Stammdaten[[Rank Verteilung Ovalität]:[Verteilung Ovalität]],2,FALSE)</f>
        <v>#N/A</v>
      </c>
    </row>
    <row r="3823" spans="5:28" x14ac:dyDescent="0.35">
      <c r="E3823">
        <v>3814</v>
      </c>
      <c r="F3823" t="e">
        <f>INDEX(Stammdaten[D Mitte mit Rinde (mm)],MATCH(Tabelle8[[#This Row],[Rank]],Stammdaten[Rank Verteilung D Mitte mit Rinde],0))</f>
        <v>#N/A</v>
      </c>
      <c r="G3823" t="e">
        <f>VLOOKUP(Tabelle8[[#This Row],[Rank]],Stammdaten[[Rank Verteilung D Mitte mit Rinde]:[Verteilung D Mitte mit Rinde]],2,FALSE)</f>
        <v>#N/A</v>
      </c>
      <c r="L3823">
        <v>3814</v>
      </c>
      <c r="M3823" t="e">
        <f>INDEX(Stammdaten[Abholzigkeit (mm/lfm)],MATCH(Tabelle9[[#This Row],[Rank]],Stammdaten[Rank Verteilung Abholzigkeit],0))</f>
        <v>#N/A</v>
      </c>
      <c r="N3823" t="e">
        <f>VLOOKUP(Tabelle9[[#This Row],[Rank]],Stammdaten[[Rank Verteilung Abholzigkeit]:[Verteilung Abholzigkeit]],2,FALSE)</f>
        <v>#N/A</v>
      </c>
      <c r="S3823">
        <v>3814</v>
      </c>
      <c r="T3823" t="e">
        <f>INDEX(Stammdaten[Krümmung (mm/lfm)],MATCH(Tabelle10[[#This Row],[Rank]],Stammdaten[Rank Verteilung Krümmung],0))</f>
        <v>#N/A</v>
      </c>
      <c r="U3823" t="e">
        <f>VLOOKUP(Tabelle10[[#This Row],[Rank]],Stammdaten[[Rank Verteilung Krümmung]:[Verteilung Krümmung]],2,FALSE)</f>
        <v>#N/A</v>
      </c>
      <c r="Z3823">
        <v>3814</v>
      </c>
      <c r="AA3823" t="e">
        <f>INDEX(Stammdaten[Ovalität (']0,1'])],MATCH(Tabelle1014[[#This Row],[Rank]],Stammdaten[Rank Verteilung Ovalität],0))</f>
        <v>#N/A</v>
      </c>
      <c r="AB3823" t="e">
        <f>VLOOKUP(Tabelle1014[[#This Row],[Rank]],Stammdaten[[Rank Verteilung Ovalität]:[Verteilung Ovalität]],2,FALSE)</f>
        <v>#N/A</v>
      </c>
    </row>
    <row r="3824" spans="5:28" x14ac:dyDescent="0.35">
      <c r="E3824">
        <v>3815</v>
      </c>
      <c r="F3824" t="e">
        <f>INDEX(Stammdaten[D Mitte mit Rinde (mm)],MATCH(Tabelle8[[#This Row],[Rank]],Stammdaten[Rank Verteilung D Mitte mit Rinde],0))</f>
        <v>#N/A</v>
      </c>
      <c r="G3824" t="e">
        <f>VLOOKUP(Tabelle8[[#This Row],[Rank]],Stammdaten[[Rank Verteilung D Mitte mit Rinde]:[Verteilung D Mitte mit Rinde]],2,FALSE)</f>
        <v>#N/A</v>
      </c>
      <c r="L3824">
        <v>3815</v>
      </c>
      <c r="M3824" t="e">
        <f>INDEX(Stammdaten[Abholzigkeit (mm/lfm)],MATCH(Tabelle9[[#This Row],[Rank]],Stammdaten[Rank Verteilung Abholzigkeit],0))</f>
        <v>#N/A</v>
      </c>
      <c r="N3824" t="e">
        <f>VLOOKUP(Tabelle9[[#This Row],[Rank]],Stammdaten[[Rank Verteilung Abholzigkeit]:[Verteilung Abholzigkeit]],2,FALSE)</f>
        <v>#N/A</v>
      </c>
      <c r="S3824">
        <v>3815</v>
      </c>
      <c r="T3824" t="e">
        <f>INDEX(Stammdaten[Krümmung (mm/lfm)],MATCH(Tabelle10[[#This Row],[Rank]],Stammdaten[Rank Verteilung Krümmung],0))</f>
        <v>#N/A</v>
      </c>
      <c r="U3824" t="e">
        <f>VLOOKUP(Tabelle10[[#This Row],[Rank]],Stammdaten[[Rank Verteilung Krümmung]:[Verteilung Krümmung]],2,FALSE)</f>
        <v>#N/A</v>
      </c>
      <c r="Z3824">
        <v>3815</v>
      </c>
      <c r="AA3824" t="e">
        <f>INDEX(Stammdaten[Ovalität (']0,1'])],MATCH(Tabelle1014[[#This Row],[Rank]],Stammdaten[Rank Verteilung Ovalität],0))</f>
        <v>#N/A</v>
      </c>
      <c r="AB3824" t="e">
        <f>VLOOKUP(Tabelle1014[[#This Row],[Rank]],Stammdaten[[Rank Verteilung Ovalität]:[Verteilung Ovalität]],2,FALSE)</f>
        <v>#N/A</v>
      </c>
    </row>
    <row r="3825" spans="5:28" x14ac:dyDescent="0.35">
      <c r="E3825">
        <v>3816</v>
      </c>
      <c r="F3825" t="e">
        <f>INDEX(Stammdaten[D Mitte mit Rinde (mm)],MATCH(Tabelle8[[#This Row],[Rank]],Stammdaten[Rank Verteilung D Mitte mit Rinde],0))</f>
        <v>#N/A</v>
      </c>
      <c r="G3825" t="e">
        <f>VLOOKUP(Tabelle8[[#This Row],[Rank]],Stammdaten[[Rank Verteilung D Mitte mit Rinde]:[Verteilung D Mitte mit Rinde]],2,FALSE)</f>
        <v>#N/A</v>
      </c>
      <c r="L3825">
        <v>3816</v>
      </c>
      <c r="M3825" t="e">
        <f>INDEX(Stammdaten[Abholzigkeit (mm/lfm)],MATCH(Tabelle9[[#This Row],[Rank]],Stammdaten[Rank Verteilung Abholzigkeit],0))</f>
        <v>#N/A</v>
      </c>
      <c r="N3825" t="e">
        <f>VLOOKUP(Tabelle9[[#This Row],[Rank]],Stammdaten[[Rank Verteilung Abholzigkeit]:[Verteilung Abholzigkeit]],2,FALSE)</f>
        <v>#N/A</v>
      </c>
      <c r="S3825">
        <v>3816</v>
      </c>
      <c r="T3825" t="e">
        <f>INDEX(Stammdaten[Krümmung (mm/lfm)],MATCH(Tabelle10[[#This Row],[Rank]],Stammdaten[Rank Verteilung Krümmung],0))</f>
        <v>#N/A</v>
      </c>
      <c r="U3825" t="e">
        <f>VLOOKUP(Tabelle10[[#This Row],[Rank]],Stammdaten[[Rank Verteilung Krümmung]:[Verteilung Krümmung]],2,FALSE)</f>
        <v>#N/A</v>
      </c>
      <c r="Z3825">
        <v>3816</v>
      </c>
      <c r="AA3825" t="e">
        <f>INDEX(Stammdaten[Ovalität (']0,1'])],MATCH(Tabelle1014[[#This Row],[Rank]],Stammdaten[Rank Verteilung Ovalität],0))</f>
        <v>#N/A</v>
      </c>
      <c r="AB3825" t="e">
        <f>VLOOKUP(Tabelle1014[[#This Row],[Rank]],Stammdaten[[Rank Verteilung Ovalität]:[Verteilung Ovalität]],2,FALSE)</f>
        <v>#N/A</v>
      </c>
    </row>
    <row r="3826" spans="5:28" x14ac:dyDescent="0.35">
      <c r="E3826">
        <v>3817</v>
      </c>
      <c r="F3826" t="e">
        <f>INDEX(Stammdaten[D Mitte mit Rinde (mm)],MATCH(Tabelle8[[#This Row],[Rank]],Stammdaten[Rank Verteilung D Mitte mit Rinde],0))</f>
        <v>#N/A</v>
      </c>
      <c r="G3826" t="e">
        <f>VLOOKUP(Tabelle8[[#This Row],[Rank]],Stammdaten[[Rank Verteilung D Mitte mit Rinde]:[Verteilung D Mitte mit Rinde]],2,FALSE)</f>
        <v>#N/A</v>
      </c>
      <c r="L3826">
        <v>3817</v>
      </c>
      <c r="M3826" t="e">
        <f>INDEX(Stammdaten[Abholzigkeit (mm/lfm)],MATCH(Tabelle9[[#This Row],[Rank]],Stammdaten[Rank Verteilung Abholzigkeit],0))</f>
        <v>#N/A</v>
      </c>
      <c r="N3826" t="e">
        <f>VLOOKUP(Tabelle9[[#This Row],[Rank]],Stammdaten[[Rank Verteilung Abholzigkeit]:[Verteilung Abholzigkeit]],2,FALSE)</f>
        <v>#N/A</v>
      </c>
      <c r="S3826">
        <v>3817</v>
      </c>
      <c r="T3826" t="e">
        <f>INDEX(Stammdaten[Krümmung (mm/lfm)],MATCH(Tabelle10[[#This Row],[Rank]],Stammdaten[Rank Verteilung Krümmung],0))</f>
        <v>#N/A</v>
      </c>
      <c r="U3826" t="e">
        <f>VLOOKUP(Tabelle10[[#This Row],[Rank]],Stammdaten[[Rank Verteilung Krümmung]:[Verteilung Krümmung]],2,FALSE)</f>
        <v>#N/A</v>
      </c>
      <c r="Z3826">
        <v>3817</v>
      </c>
      <c r="AA3826" t="e">
        <f>INDEX(Stammdaten[Ovalität (']0,1'])],MATCH(Tabelle1014[[#This Row],[Rank]],Stammdaten[Rank Verteilung Ovalität],0))</f>
        <v>#N/A</v>
      </c>
      <c r="AB3826" t="e">
        <f>VLOOKUP(Tabelle1014[[#This Row],[Rank]],Stammdaten[[Rank Verteilung Ovalität]:[Verteilung Ovalität]],2,FALSE)</f>
        <v>#N/A</v>
      </c>
    </row>
    <row r="3827" spans="5:28" x14ac:dyDescent="0.35">
      <c r="E3827">
        <v>3818</v>
      </c>
      <c r="F3827" t="e">
        <f>INDEX(Stammdaten[D Mitte mit Rinde (mm)],MATCH(Tabelle8[[#This Row],[Rank]],Stammdaten[Rank Verteilung D Mitte mit Rinde],0))</f>
        <v>#N/A</v>
      </c>
      <c r="G3827" t="e">
        <f>VLOOKUP(Tabelle8[[#This Row],[Rank]],Stammdaten[[Rank Verteilung D Mitte mit Rinde]:[Verteilung D Mitte mit Rinde]],2,FALSE)</f>
        <v>#N/A</v>
      </c>
      <c r="L3827">
        <v>3818</v>
      </c>
      <c r="M3827" t="e">
        <f>INDEX(Stammdaten[Abholzigkeit (mm/lfm)],MATCH(Tabelle9[[#This Row],[Rank]],Stammdaten[Rank Verteilung Abholzigkeit],0))</f>
        <v>#N/A</v>
      </c>
      <c r="N3827" t="e">
        <f>VLOOKUP(Tabelle9[[#This Row],[Rank]],Stammdaten[[Rank Verteilung Abholzigkeit]:[Verteilung Abholzigkeit]],2,FALSE)</f>
        <v>#N/A</v>
      </c>
      <c r="S3827">
        <v>3818</v>
      </c>
      <c r="T3827" t="e">
        <f>INDEX(Stammdaten[Krümmung (mm/lfm)],MATCH(Tabelle10[[#This Row],[Rank]],Stammdaten[Rank Verteilung Krümmung],0))</f>
        <v>#N/A</v>
      </c>
      <c r="U3827" t="e">
        <f>VLOOKUP(Tabelle10[[#This Row],[Rank]],Stammdaten[[Rank Verteilung Krümmung]:[Verteilung Krümmung]],2,FALSE)</f>
        <v>#N/A</v>
      </c>
      <c r="Z3827">
        <v>3818</v>
      </c>
      <c r="AA3827" t="e">
        <f>INDEX(Stammdaten[Ovalität (']0,1'])],MATCH(Tabelle1014[[#This Row],[Rank]],Stammdaten[Rank Verteilung Ovalität],0))</f>
        <v>#N/A</v>
      </c>
      <c r="AB3827" t="e">
        <f>VLOOKUP(Tabelle1014[[#This Row],[Rank]],Stammdaten[[Rank Verteilung Ovalität]:[Verteilung Ovalität]],2,FALSE)</f>
        <v>#N/A</v>
      </c>
    </row>
    <row r="3828" spans="5:28" x14ac:dyDescent="0.35">
      <c r="E3828">
        <v>3819</v>
      </c>
      <c r="F3828" t="e">
        <f>INDEX(Stammdaten[D Mitte mit Rinde (mm)],MATCH(Tabelle8[[#This Row],[Rank]],Stammdaten[Rank Verteilung D Mitte mit Rinde],0))</f>
        <v>#N/A</v>
      </c>
      <c r="G3828" t="e">
        <f>VLOOKUP(Tabelle8[[#This Row],[Rank]],Stammdaten[[Rank Verteilung D Mitte mit Rinde]:[Verteilung D Mitte mit Rinde]],2,FALSE)</f>
        <v>#N/A</v>
      </c>
      <c r="L3828">
        <v>3819</v>
      </c>
      <c r="M3828" t="e">
        <f>INDEX(Stammdaten[Abholzigkeit (mm/lfm)],MATCH(Tabelle9[[#This Row],[Rank]],Stammdaten[Rank Verteilung Abholzigkeit],0))</f>
        <v>#N/A</v>
      </c>
      <c r="N3828" t="e">
        <f>VLOOKUP(Tabelle9[[#This Row],[Rank]],Stammdaten[[Rank Verteilung Abholzigkeit]:[Verteilung Abholzigkeit]],2,FALSE)</f>
        <v>#N/A</v>
      </c>
      <c r="S3828">
        <v>3819</v>
      </c>
      <c r="T3828" t="e">
        <f>INDEX(Stammdaten[Krümmung (mm/lfm)],MATCH(Tabelle10[[#This Row],[Rank]],Stammdaten[Rank Verteilung Krümmung],0))</f>
        <v>#N/A</v>
      </c>
      <c r="U3828" t="e">
        <f>VLOOKUP(Tabelle10[[#This Row],[Rank]],Stammdaten[[Rank Verteilung Krümmung]:[Verteilung Krümmung]],2,FALSE)</f>
        <v>#N/A</v>
      </c>
      <c r="Z3828">
        <v>3819</v>
      </c>
      <c r="AA3828" t="e">
        <f>INDEX(Stammdaten[Ovalität (']0,1'])],MATCH(Tabelle1014[[#This Row],[Rank]],Stammdaten[Rank Verteilung Ovalität],0))</f>
        <v>#N/A</v>
      </c>
      <c r="AB3828" t="e">
        <f>VLOOKUP(Tabelle1014[[#This Row],[Rank]],Stammdaten[[Rank Verteilung Ovalität]:[Verteilung Ovalität]],2,FALSE)</f>
        <v>#N/A</v>
      </c>
    </row>
    <row r="3829" spans="5:28" x14ac:dyDescent="0.35">
      <c r="E3829">
        <v>3820</v>
      </c>
      <c r="F3829" t="e">
        <f>INDEX(Stammdaten[D Mitte mit Rinde (mm)],MATCH(Tabelle8[[#This Row],[Rank]],Stammdaten[Rank Verteilung D Mitte mit Rinde],0))</f>
        <v>#N/A</v>
      </c>
      <c r="G3829" t="e">
        <f>VLOOKUP(Tabelle8[[#This Row],[Rank]],Stammdaten[[Rank Verteilung D Mitte mit Rinde]:[Verteilung D Mitte mit Rinde]],2,FALSE)</f>
        <v>#N/A</v>
      </c>
      <c r="L3829">
        <v>3820</v>
      </c>
      <c r="M3829" t="e">
        <f>INDEX(Stammdaten[Abholzigkeit (mm/lfm)],MATCH(Tabelle9[[#This Row],[Rank]],Stammdaten[Rank Verteilung Abholzigkeit],0))</f>
        <v>#N/A</v>
      </c>
      <c r="N3829" t="e">
        <f>VLOOKUP(Tabelle9[[#This Row],[Rank]],Stammdaten[[Rank Verteilung Abholzigkeit]:[Verteilung Abholzigkeit]],2,FALSE)</f>
        <v>#N/A</v>
      </c>
      <c r="S3829">
        <v>3820</v>
      </c>
      <c r="T3829" t="e">
        <f>INDEX(Stammdaten[Krümmung (mm/lfm)],MATCH(Tabelle10[[#This Row],[Rank]],Stammdaten[Rank Verteilung Krümmung],0))</f>
        <v>#N/A</v>
      </c>
      <c r="U3829" t="e">
        <f>VLOOKUP(Tabelle10[[#This Row],[Rank]],Stammdaten[[Rank Verteilung Krümmung]:[Verteilung Krümmung]],2,FALSE)</f>
        <v>#N/A</v>
      </c>
      <c r="Z3829">
        <v>3820</v>
      </c>
      <c r="AA3829" t="e">
        <f>INDEX(Stammdaten[Ovalität (']0,1'])],MATCH(Tabelle1014[[#This Row],[Rank]],Stammdaten[Rank Verteilung Ovalität],0))</f>
        <v>#N/A</v>
      </c>
      <c r="AB3829" t="e">
        <f>VLOOKUP(Tabelle1014[[#This Row],[Rank]],Stammdaten[[Rank Verteilung Ovalität]:[Verteilung Ovalität]],2,FALSE)</f>
        <v>#N/A</v>
      </c>
    </row>
    <row r="3830" spans="5:28" x14ac:dyDescent="0.35">
      <c r="E3830">
        <v>3821</v>
      </c>
      <c r="F3830" t="e">
        <f>INDEX(Stammdaten[D Mitte mit Rinde (mm)],MATCH(Tabelle8[[#This Row],[Rank]],Stammdaten[Rank Verteilung D Mitte mit Rinde],0))</f>
        <v>#N/A</v>
      </c>
      <c r="G3830" t="e">
        <f>VLOOKUP(Tabelle8[[#This Row],[Rank]],Stammdaten[[Rank Verteilung D Mitte mit Rinde]:[Verteilung D Mitte mit Rinde]],2,FALSE)</f>
        <v>#N/A</v>
      </c>
      <c r="L3830">
        <v>3821</v>
      </c>
      <c r="M3830" t="e">
        <f>INDEX(Stammdaten[Abholzigkeit (mm/lfm)],MATCH(Tabelle9[[#This Row],[Rank]],Stammdaten[Rank Verteilung Abholzigkeit],0))</f>
        <v>#N/A</v>
      </c>
      <c r="N3830" t="e">
        <f>VLOOKUP(Tabelle9[[#This Row],[Rank]],Stammdaten[[Rank Verteilung Abholzigkeit]:[Verteilung Abholzigkeit]],2,FALSE)</f>
        <v>#N/A</v>
      </c>
      <c r="S3830">
        <v>3821</v>
      </c>
      <c r="T3830" t="e">
        <f>INDEX(Stammdaten[Krümmung (mm/lfm)],MATCH(Tabelle10[[#This Row],[Rank]],Stammdaten[Rank Verteilung Krümmung],0))</f>
        <v>#N/A</v>
      </c>
      <c r="U3830" t="e">
        <f>VLOOKUP(Tabelle10[[#This Row],[Rank]],Stammdaten[[Rank Verteilung Krümmung]:[Verteilung Krümmung]],2,FALSE)</f>
        <v>#N/A</v>
      </c>
      <c r="Z3830">
        <v>3821</v>
      </c>
      <c r="AA3830" t="e">
        <f>INDEX(Stammdaten[Ovalität (']0,1'])],MATCH(Tabelle1014[[#This Row],[Rank]],Stammdaten[Rank Verteilung Ovalität],0))</f>
        <v>#N/A</v>
      </c>
      <c r="AB3830" t="e">
        <f>VLOOKUP(Tabelle1014[[#This Row],[Rank]],Stammdaten[[Rank Verteilung Ovalität]:[Verteilung Ovalität]],2,FALSE)</f>
        <v>#N/A</v>
      </c>
    </row>
    <row r="3831" spans="5:28" x14ac:dyDescent="0.35">
      <c r="E3831">
        <v>3822</v>
      </c>
      <c r="F3831" t="e">
        <f>INDEX(Stammdaten[D Mitte mit Rinde (mm)],MATCH(Tabelle8[[#This Row],[Rank]],Stammdaten[Rank Verteilung D Mitte mit Rinde],0))</f>
        <v>#N/A</v>
      </c>
      <c r="G3831" t="e">
        <f>VLOOKUP(Tabelle8[[#This Row],[Rank]],Stammdaten[[Rank Verteilung D Mitte mit Rinde]:[Verteilung D Mitte mit Rinde]],2,FALSE)</f>
        <v>#N/A</v>
      </c>
      <c r="L3831">
        <v>3822</v>
      </c>
      <c r="M3831" t="e">
        <f>INDEX(Stammdaten[Abholzigkeit (mm/lfm)],MATCH(Tabelle9[[#This Row],[Rank]],Stammdaten[Rank Verteilung Abholzigkeit],0))</f>
        <v>#N/A</v>
      </c>
      <c r="N3831" t="e">
        <f>VLOOKUP(Tabelle9[[#This Row],[Rank]],Stammdaten[[Rank Verteilung Abholzigkeit]:[Verteilung Abholzigkeit]],2,FALSE)</f>
        <v>#N/A</v>
      </c>
      <c r="S3831">
        <v>3822</v>
      </c>
      <c r="T3831" t="e">
        <f>INDEX(Stammdaten[Krümmung (mm/lfm)],MATCH(Tabelle10[[#This Row],[Rank]],Stammdaten[Rank Verteilung Krümmung],0))</f>
        <v>#N/A</v>
      </c>
      <c r="U3831" t="e">
        <f>VLOOKUP(Tabelle10[[#This Row],[Rank]],Stammdaten[[Rank Verteilung Krümmung]:[Verteilung Krümmung]],2,FALSE)</f>
        <v>#N/A</v>
      </c>
      <c r="Z3831">
        <v>3822</v>
      </c>
      <c r="AA3831" t="e">
        <f>INDEX(Stammdaten[Ovalität (']0,1'])],MATCH(Tabelle1014[[#This Row],[Rank]],Stammdaten[Rank Verteilung Ovalität],0))</f>
        <v>#N/A</v>
      </c>
      <c r="AB3831" t="e">
        <f>VLOOKUP(Tabelle1014[[#This Row],[Rank]],Stammdaten[[Rank Verteilung Ovalität]:[Verteilung Ovalität]],2,FALSE)</f>
        <v>#N/A</v>
      </c>
    </row>
    <row r="3832" spans="5:28" x14ac:dyDescent="0.35">
      <c r="E3832">
        <v>3823</v>
      </c>
      <c r="F3832" t="e">
        <f>INDEX(Stammdaten[D Mitte mit Rinde (mm)],MATCH(Tabelle8[[#This Row],[Rank]],Stammdaten[Rank Verteilung D Mitte mit Rinde],0))</f>
        <v>#N/A</v>
      </c>
      <c r="G3832" t="e">
        <f>VLOOKUP(Tabelle8[[#This Row],[Rank]],Stammdaten[[Rank Verteilung D Mitte mit Rinde]:[Verteilung D Mitte mit Rinde]],2,FALSE)</f>
        <v>#N/A</v>
      </c>
      <c r="L3832">
        <v>3823</v>
      </c>
      <c r="M3832" t="e">
        <f>INDEX(Stammdaten[Abholzigkeit (mm/lfm)],MATCH(Tabelle9[[#This Row],[Rank]],Stammdaten[Rank Verteilung Abholzigkeit],0))</f>
        <v>#N/A</v>
      </c>
      <c r="N3832" t="e">
        <f>VLOOKUP(Tabelle9[[#This Row],[Rank]],Stammdaten[[Rank Verteilung Abholzigkeit]:[Verteilung Abholzigkeit]],2,FALSE)</f>
        <v>#N/A</v>
      </c>
      <c r="S3832">
        <v>3823</v>
      </c>
      <c r="T3832" t="e">
        <f>INDEX(Stammdaten[Krümmung (mm/lfm)],MATCH(Tabelle10[[#This Row],[Rank]],Stammdaten[Rank Verteilung Krümmung],0))</f>
        <v>#N/A</v>
      </c>
      <c r="U3832" t="e">
        <f>VLOOKUP(Tabelle10[[#This Row],[Rank]],Stammdaten[[Rank Verteilung Krümmung]:[Verteilung Krümmung]],2,FALSE)</f>
        <v>#N/A</v>
      </c>
      <c r="Z3832">
        <v>3823</v>
      </c>
      <c r="AA3832" t="e">
        <f>INDEX(Stammdaten[Ovalität (']0,1'])],MATCH(Tabelle1014[[#This Row],[Rank]],Stammdaten[Rank Verteilung Ovalität],0))</f>
        <v>#N/A</v>
      </c>
      <c r="AB3832" t="e">
        <f>VLOOKUP(Tabelle1014[[#This Row],[Rank]],Stammdaten[[Rank Verteilung Ovalität]:[Verteilung Ovalität]],2,FALSE)</f>
        <v>#N/A</v>
      </c>
    </row>
    <row r="3833" spans="5:28" x14ac:dyDescent="0.35">
      <c r="E3833">
        <v>3824</v>
      </c>
      <c r="F3833" t="e">
        <f>INDEX(Stammdaten[D Mitte mit Rinde (mm)],MATCH(Tabelle8[[#This Row],[Rank]],Stammdaten[Rank Verteilung D Mitte mit Rinde],0))</f>
        <v>#N/A</v>
      </c>
      <c r="G3833" t="e">
        <f>VLOOKUP(Tabelle8[[#This Row],[Rank]],Stammdaten[[Rank Verteilung D Mitte mit Rinde]:[Verteilung D Mitte mit Rinde]],2,FALSE)</f>
        <v>#N/A</v>
      </c>
      <c r="L3833">
        <v>3824</v>
      </c>
      <c r="M3833" t="e">
        <f>INDEX(Stammdaten[Abholzigkeit (mm/lfm)],MATCH(Tabelle9[[#This Row],[Rank]],Stammdaten[Rank Verteilung Abholzigkeit],0))</f>
        <v>#N/A</v>
      </c>
      <c r="N3833" t="e">
        <f>VLOOKUP(Tabelle9[[#This Row],[Rank]],Stammdaten[[Rank Verteilung Abholzigkeit]:[Verteilung Abholzigkeit]],2,FALSE)</f>
        <v>#N/A</v>
      </c>
      <c r="S3833">
        <v>3824</v>
      </c>
      <c r="T3833" t="e">
        <f>INDEX(Stammdaten[Krümmung (mm/lfm)],MATCH(Tabelle10[[#This Row],[Rank]],Stammdaten[Rank Verteilung Krümmung],0))</f>
        <v>#N/A</v>
      </c>
      <c r="U3833" t="e">
        <f>VLOOKUP(Tabelle10[[#This Row],[Rank]],Stammdaten[[Rank Verteilung Krümmung]:[Verteilung Krümmung]],2,FALSE)</f>
        <v>#N/A</v>
      </c>
      <c r="Z3833">
        <v>3824</v>
      </c>
      <c r="AA3833" t="e">
        <f>INDEX(Stammdaten[Ovalität (']0,1'])],MATCH(Tabelle1014[[#This Row],[Rank]],Stammdaten[Rank Verteilung Ovalität],0))</f>
        <v>#N/A</v>
      </c>
      <c r="AB3833" t="e">
        <f>VLOOKUP(Tabelle1014[[#This Row],[Rank]],Stammdaten[[Rank Verteilung Ovalität]:[Verteilung Ovalität]],2,FALSE)</f>
        <v>#N/A</v>
      </c>
    </row>
    <row r="3834" spans="5:28" x14ac:dyDescent="0.35">
      <c r="E3834">
        <v>3825</v>
      </c>
      <c r="F3834" t="e">
        <f>INDEX(Stammdaten[D Mitte mit Rinde (mm)],MATCH(Tabelle8[[#This Row],[Rank]],Stammdaten[Rank Verteilung D Mitte mit Rinde],0))</f>
        <v>#N/A</v>
      </c>
      <c r="G3834" t="e">
        <f>VLOOKUP(Tabelle8[[#This Row],[Rank]],Stammdaten[[Rank Verteilung D Mitte mit Rinde]:[Verteilung D Mitte mit Rinde]],2,FALSE)</f>
        <v>#N/A</v>
      </c>
      <c r="L3834">
        <v>3825</v>
      </c>
      <c r="M3834" t="e">
        <f>INDEX(Stammdaten[Abholzigkeit (mm/lfm)],MATCH(Tabelle9[[#This Row],[Rank]],Stammdaten[Rank Verteilung Abholzigkeit],0))</f>
        <v>#N/A</v>
      </c>
      <c r="N3834" t="e">
        <f>VLOOKUP(Tabelle9[[#This Row],[Rank]],Stammdaten[[Rank Verteilung Abholzigkeit]:[Verteilung Abholzigkeit]],2,FALSE)</f>
        <v>#N/A</v>
      </c>
      <c r="S3834">
        <v>3825</v>
      </c>
      <c r="T3834" t="e">
        <f>INDEX(Stammdaten[Krümmung (mm/lfm)],MATCH(Tabelle10[[#This Row],[Rank]],Stammdaten[Rank Verteilung Krümmung],0))</f>
        <v>#N/A</v>
      </c>
      <c r="U3834" t="e">
        <f>VLOOKUP(Tabelle10[[#This Row],[Rank]],Stammdaten[[Rank Verteilung Krümmung]:[Verteilung Krümmung]],2,FALSE)</f>
        <v>#N/A</v>
      </c>
      <c r="Z3834">
        <v>3825</v>
      </c>
      <c r="AA3834" t="e">
        <f>INDEX(Stammdaten[Ovalität (']0,1'])],MATCH(Tabelle1014[[#This Row],[Rank]],Stammdaten[Rank Verteilung Ovalität],0))</f>
        <v>#N/A</v>
      </c>
      <c r="AB3834" t="e">
        <f>VLOOKUP(Tabelle1014[[#This Row],[Rank]],Stammdaten[[Rank Verteilung Ovalität]:[Verteilung Ovalität]],2,FALSE)</f>
        <v>#N/A</v>
      </c>
    </row>
    <row r="3835" spans="5:28" x14ac:dyDescent="0.35">
      <c r="E3835">
        <v>3826</v>
      </c>
      <c r="F3835" t="e">
        <f>INDEX(Stammdaten[D Mitte mit Rinde (mm)],MATCH(Tabelle8[[#This Row],[Rank]],Stammdaten[Rank Verteilung D Mitte mit Rinde],0))</f>
        <v>#N/A</v>
      </c>
      <c r="G3835" t="e">
        <f>VLOOKUP(Tabelle8[[#This Row],[Rank]],Stammdaten[[Rank Verteilung D Mitte mit Rinde]:[Verteilung D Mitte mit Rinde]],2,FALSE)</f>
        <v>#N/A</v>
      </c>
      <c r="L3835">
        <v>3826</v>
      </c>
      <c r="M3835" t="e">
        <f>INDEX(Stammdaten[Abholzigkeit (mm/lfm)],MATCH(Tabelle9[[#This Row],[Rank]],Stammdaten[Rank Verteilung Abholzigkeit],0))</f>
        <v>#N/A</v>
      </c>
      <c r="N3835" t="e">
        <f>VLOOKUP(Tabelle9[[#This Row],[Rank]],Stammdaten[[Rank Verteilung Abholzigkeit]:[Verteilung Abholzigkeit]],2,FALSE)</f>
        <v>#N/A</v>
      </c>
      <c r="S3835">
        <v>3826</v>
      </c>
      <c r="T3835" t="e">
        <f>INDEX(Stammdaten[Krümmung (mm/lfm)],MATCH(Tabelle10[[#This Row],[Rank]],Stammdaten[Rank Verteilung Krümmung],0))</f>
        <v>#N/A</v>
      </c>
      <c r="U3835" t="e">
        <f>VLOOKUP(Tabelle10[[#This Row],[Rank]],Stammdaten[[Rank Verteilung Krümmung]:[Verteilung Krümmung]],2,FALSE)</f>
        <v>#N/A</v>
      </c>
      <c r="Z3835">
        <v>3826</v>
      </c>
      <c r="AA3835" t="e">
        <f>INDEX(Stammdaten[Ovalität (']0,1'])],MATCH(Tabelle1014[[#This Row],[Rank]],Stammdaten[Rank Verteilung Ovalität],0))</f>
        <v>#N/A</v>
      </c>
      <c r="AB3835" t="e">
        <f>VLOOKUP(Tabelle1014[[#This Row],[Rank]],Stammdaten[[Rank Verteilung Ovalität]:[Verteilung Ovalität]],2,FALSE)</f>
        <v>#N/A</v>
      </c>
    </row>
    <row r="3836" spans="5:28" x14ac:dyDescent="0.35">
      <c r="E3836">
        <v>3827</v>
      </c>
      <c r="F3836" t="e">
        <f>INDEX(Stammdaten[D Mitte mit Rinde (mm)],MATCH(Tabelle8[[#This Row],[Rank]],Stammdaten[Rank Verteilung D Mitte mit Rinde],0))</f>
        <v>#N/A</v>
      </c>
      <c r="G3836" t="e">
        <f>VLOOKUP(Tabelle8[[#This Row],[Rank]],Stammdaten[[Rank Verteilung D Mitte mit Rinde]:[Verteilung D Mitte mit Rinde]],2,FALSE)</f>
        <v>#N/A</v>
      </c>
      <c r="L3836">
        <v>3827</v>
      </c>
      <c r="M3836" t="e">
        <f>INDEX(Stammdaten[Abholzigkeit (mm/lfm)],MATCH(Tabelle9[[#This Row],[Rank]],Stammdaten[Rank Verteilung Abholzigkeit],0))</f>
        <v>#N/A</v>
      </c>
      <c r="N3836" t="e">
        <f>VLOOKUP(Tabelle9[[#This Row],[Rank]],Stammdaten[[Rank Verteilung Abholzigkeit]:[Verteilung Abholzigkeit]],2,FALSE)</f>
        <v>#N/A</v>
      </c>
      <c r="S3836">
        <v>3827</v>
      </c>
      <c r="T3836" t="e">
        <f>INDEX(Stammdaten[Krümmung (mm/lfm)],MATCH(Tabelle10[[#This Row],[Rank]],Stammdaten[Rank Verteilung Krümmung],0))</f>
        <v>#N/A</v>
      </c>
      <c r="U3836" t="e">
        <f>VLOOKUP(Tabelle10[[#This Row],[Rank]],Stammdaten[[Rank Verteilung Krümmung]:[Verteilung Krümmung]],2,FALSE)</f>
        <v>#N/A</v>
      </c>
      <c r="Z3836">
        <v>3827</v>
      </c>
      <c r="AA3836" t="e">
        <f>INDEX(Stammdaten[Ovalität (']0,1'])],MATCH(Tabelle1014[[#This Row],[Rank]],Stammdaten[Rank Verteilung Ovalität],0))</f>
        <v>#N/A</v>
      </c>
      <c r="AB3836" t="e">
        <f>VLOOKUP(Tabelle1014[[#This Row],[Rank]],Stammdaten[[Rank Verteilung Ovalität]:[Verteilung Ovalität]],2,FALSE)</f>
        <v>#N/A</v>
      </c>
    </row>
    <row r="3837" spans="5:28" x14ac:dyDescent="0.35">
      <c r="E3837">
        <v>3828</v>
      </c>
      <c r="F3837" t="e">
        <f>INDEX(Stammdaten[D Mitte mit Rinde (mm)],MATCH(Tabelle8[[#This Row],[Rank]],Stammdaten[Rank Verteilung D Mitte mit Rinde],0))</f>
        <v>#N/A</v>
      </c>
      <c r="G3837" t="e">
        <f>VLOOKUP(Tabelle8[[#This Row],[Rank]],Stammdaten[[Rank Verteilung D Mitte mit Rinde]:[Verteilung D Mitte mit Rinde]],2,FALSE)</f>
        <v>#N/A</v>
      </c>
      <c r="L3837">
        <v>3828</v>
      </c>
      <c r="M3837" t="e">
        <f>INDEX(Stammdaten[Abholzigkeit (mm/lfm)],MATCH(Tabelle9[[#This Row],[Rank]],Stammdaten[Rank Verteilung Abholzigkeit],0))</f>
        <v>#N/A</v>
      </c>
      <c r="N3837" t="e">
        <f>VLOOKUP(Tabelle9[[#This Row],[Rank]],Stammdaten[[Rank Verteilung Abholzigkeit]:[Verteilung Abholzigkeit]],2,FALSE)</f>
        <v>#N/A</v>
      </c>
      <c r="S3837">
        <v>3828</v>
      </c>
      <c r="T3837" t="e">
        <f>INDEX(Stammdaten[Krümmung (mm/lfm)],MATCH(Tabelle10[[#This Row],[Rank]],Stammdaten[Rank Verteilung Krümmung],0))</f>
        <v>#N/A</v>
      </c>
      <c r="U3837" t="e">
        <f>VLOOKUP(Tabelle10[[#This Row],[Rank]],Stammdaten[[Rank Verteilung Krümmung]:[Verteilung Krümmung]],2,FALSE)</f>
        <v>#N/A</v>
      </c>
      <c r="Z3837">
        <v>3828</v>
      </c>
      <c r="AA3837" t="e">
        <f>INDEX(Stammdaten[Ovalität (']0,1'])],MATCH(Tabelle1014[[#This Row],[Rank]],Stammdaten[Rank Verteilung Ovalität],0))</f>
        <v>#N/A</v>
      </c>
      <c r="AB3837" t="e">
        <f>VLOOKUP(Tabelle1014[[#This Row],[Rank]],Stammdaten[[Rank Verteilung Ovalität]:[Verteilung Ovalität]],2,FALSE)</f>
        <v>#N/A</v>
      </c>
    </row>
    <row r="3838" spans="5:28" x14ac:dyDescent="0.35">
      <c r="E3838">
        <v>3829</v>
      </c>
      <c r="F3838" t="e">
        <f>INDEX(Stammdaten[D Mitte mit Rinde (mm)],MATCH(Tabelle8[[#This Row],[Rank]],Stammdaten[Rank Verteilung D Mitte mit Rinde],0))</f>
        <v>#N/A</v>
      </c>
      <c r="G3838" t="e">
        <f>VLOOKUP(Tabelle8[[#This Row],[Rank]],Stammdaten[[Rank Verteilung D Mitte mit Rinde]:[Verteilung D Mitte mit Rinde]],2,FALSE)</f>
        <v>#N/A</v>
      </c>
      <c r="L3838">
        <v>3829</v>
      </c>
      <c r="M3838" t="e">
        <f>INDEX(Stammdaten[Abholzigkeit (mm/lfm)],MATCH(Tabelle9[[#This Row],[Rank]],Stammdaten[Rank Verteilung Abholzigkeit],0))</f>
        <v>#N/A</v>
      </c>
      <c r="N3838" t="e">
        <f>VLOOKUP(Tabelle9[[#This Row],[Rank]],Stammdaten[[Rank Verteilung Abholzigkeit]:[Verteilung Abholzigkeit]],2,FALSE)</f>
        <v>#N/A</v>
      </c>
      <c r="S3838">
        <v>3829</v>
      </c>
      <c r="T3838" t="e">
        <f>INDEX(Stammdaten[Krümmung (mm/lfm)],MATCH(Tabelle10[[#This Row],[Rank]],Stammdaten[Rank Verteilung Krümmung],0))</f>
        <v>#N/A</v>
      </c>
      <c r="U3838" t="e">
        <f>VLOOKUP(Tabelle10[[#This Row],[Rank]],Stammdaten[[Rank Verteilung Krümmung]:[Verteilung Krümmung]],2,FALSE)</f>
        <v>#N/A</v>
      </c>
      <c r="Z3838">
        <v>3829</v>
      </c>
      <c r="AA3838" t="e">
        <f>INDEX(Stammdaten[Ovalität (']0,1'])],MATCH(Tabelle1014[[#This Row],[Rank]],Stammdaten[Rank Verteilung Ovalität],0))</f>
        <v>#N/A</v>
      </c>
      <c r="AB3838" t="e">
        <f>VLOOKUP(Tabelle1014[[#This Row],[Rank]],Stammdaten[[Rank Verteilung Ovalität]:[Verteilung Ovalität]],2,FALSE)</f>
        <v>#N/A</v>
      </c>
    </row>
    <row r="3839" spans="5:28" x14ac:dyDescent="0.35">
      <c r="E3839">
        <v>3830</v>
      </c>
      <c r="F3839" t="e">
        <f>INDEX(Stammdaten[D Mitte mit Rinde (mm)],MATCH(Tabelle8[[#This Row],[Rank]],Stammdaten[Rank Verteilung D Mitte mit Rinde],0))</f>
        <v>#N/A</v>
      </c>
      <c r="G3839" t="e">
        <f>VLOOKUP(Tabelle8[[#This Row],[Rank]],Stammdaten[[Rank Verteilung D Mitte mit Rinde]:[Verteilung D Mitte mit Rinde]],2,FALSE)</f>
        <v>#N/A</v>
      </c>
      <c r="L3839">
        <v>3830</v>
      </c>
      <c r="M3839" t="e">
        <f>INDEX(Stammdaten[Abholzigkeit (mm/lfm)],MATCH(Tabelle9[[#This Row],[Rank]],Stammdaten[Rank Verteilung Abholzigkeit],0))</f>
        <v>#N/A</v>
      </c>
      <c r="N3839" t="e">
        <f>VLOOKUP(Tabelle9[[#This Row],[Rank]],Stammdaten[[Rank Verteilung Abholzigkeit]:[Verteilung Abholzigkeit]],2,FALSE)</f>
        <v>#N/A</v>
      </c>
      <c r="S3839">
        <v>3830</v>
      </c>
      <c r="T3839" t="e">
        <f>INDEX(Stammdaten[Krümmung (mm/lfm)],MATCH(Tabelle10[[#This Row],[Rank]],Stammdaten[Rank Verteilung Krümmung],0))</f>
        <v>#N/A</v>
      </c>
      <c r="U3839" t="e">
        <f>VLOOKUP(Tabelle10[[#This Row],[Rank]],Stammdaten[[Rank Verteilung Krümmung]:[Verteilung Krümmung]],2,FALSE)</f>
        <v>#N/A</v>
      </c>
      <c r="Z3839">
        <v>3830</v>
      </c>
      <c r="AA3839" t="e">
        <f>INDEX(Stammdaten[Ovalität (']0,1'])],MATCH(Tabelle1014[[#This Row],[Rank]],Stammdaten[Rank Verteilung Ovalität],0))</f>
        <v>#N/A</v>
      </c>
      <c r="AB3839" t="e">
        <f>VLOOKUP(Tabelle1014[[#This Row],[Rank]],Stammdaten[[Rank Verteilung Ovalität]:[Verteilung Ovalität]],2,FALSE)</f>
        <v>#N/A</v>
      </c>
    </row>
    <row r="3840" spans="5:28" x14ac:dyDescent="0.35">
      <c r="E3840">
        <v>3831</v>
      </c>
      <c r="F3840" t="e">
        <f>INDEX(Stammdaten[D Mitte mit Rinde (mm)],MATCH(Tabelle8[[#This Row],[Rank]],Stammdaten[Rank Verteilung D Mitte mit Rinde],0))</f>
        <v>#N/A</v>
      </c>
      <c r="G3840" t="e">
        <f>VLOOKUP(Tabelle8[[#This Row],[Rank]],Stammdaten[[Rank Verteilung D Mitte mit Rinde]:[Verteilung D Mitte mit Rinde]],2,FALSE)</f>
        <v>#N/A</v>
      </c>
      <c r="L3840">
        <v>3831</v>
      </c>
      <c r="M3840" t="e">
        <f>INDEX(Stammdaten[Abholzigkeit (mm/lfm)],MATCH(Tabelle9[[#This Row],[Rank]],Stammdaten[Rank Verteilung Abholzigkeit],0))</f>
        <v>#N/A</v>
      </c>
      <c r="N3840" t="e">
        <f>VLOOKUP(Tabelle9[[#This Row],[Rank]],Stammdaten[[Rank Verteilung Abholzigkeit]:[Verteilung Abholzigkeit]],2,FALSE)</f>
        <v>#N/A</v>
      </c>
      <c r="S3840">
        <v>3831</v>
      </c>
      <c r="T3840" t="e">
        <f>INDEX(Stammdaten[Krümmung (mm/lfm)],MATCH(Tabelle10[[#This Row],[Rank]],Stammdaten[Rank Verteilung Krümmung],0))</f>
        <v>#N/A</v>
      </c>
      <c r="U3840" t="e">
        <f>VLOOKUP(Tabelle10[[#This Row],[Rank]],Stammdaten[[Rank Verteilung Krümmung]:[Verteilung Krümmung]],2,FALSE)</f>
        <v>#N/A</v>
      </c>
      <c r="Z3840">
        <v>3831</v>
      </c>
      <c r="AA3840" t="e">
        <f>INDEX(Stammdaten[Ovalität (']0,1'])],MATCH(Tabelle1014[[#This Row],[Rank]],Stammdaten[Rank Verteilung Ovalität],0))</f>
        <v>#N/A</v>
      </c>
      <c r="AB3840" t="e">
        <f>VLOOKUP(Tabelle1014[[#This Row],[Rank]],Stammdaten[[Rank Verteilung Ovalität]:[Verteilung Ovalität]],2,FALSE)</f>
        <v>#N/A</v>
      </c>
    </row>
    <row r="3841" spans="5:28" x14ac:dyDescent="0.35">
      <c r="E3841">
        <v>3832</v>
      </c>
      <c r="F3841" t="e">
        <f>INDEX(Stammdaten[D Mitte mit Rinde (mm)],MATCH(Tabelle8[[#This Row],[Rank]],Stammdaten[Rank Verteilung D Mitte mit Rinde],0))</f>
        <v>#N/A</v>
      </c>
      <c r="G3841" t="e">
        <f>VLOOKUP(Tabelle8[[#This Row],[Rank]],Stammdaten[[Rank Verteilung D Mitte mit Rinde]:[Verteilung D Mitte mit Rinde]],2,FALSE)</f>
        <v>#N/A</v>
      </c>
      <c r="L3841">
        <v>3832</v>
      </c>
      <c r="M3841" t="e">
        <f>INDEX(Stammdaten[Abholzigkeit (mm/lfm)],MATCH(Tabelle9[[#This Row],[Rank]],Stammdaten[Rank Verteilung Abholzigkeit],0))</f>
        <v>#N/A</v>
      </c>
      <c r="N3841" t="e">
        <f>VLOOKUP(Tabelle9[[#This Row],[Rank]],Stammdaten[[Rank Verteilung Abholzigkeit]:[Verteilung Abholzigkeit]],2,FALSE)</f>
        <v>#N/A</v>
      </c>
      <c r="S3841">
        <v>3832</v>
      </c>
      <c r="T3841" t="e">
        <f>INDEX(Stammdaten[Krümmung (mm/lfm)],MATCH(Tabelle10[[#This Row],[Rank]],Stammdaten[Rank Verteilung Krümmung],0))</f>
        <v>#N/A</v>
      </c>
      <c r="U3841" t="e">
        <f>VLOOKUP(Tabelle10[[#This Row],[Rank]],Stammdaten[[Rank Verteilung Krümmung]:[Verteilung Krümmung]],2,FALSE)</f>
        <v>#N/A</v>
      </c>
      <c r="Z3841">
        <v>3832</v>
      </c>
      <c r="AA3841" t="e">
        <f>INDEX(Stammdaten[Ovalität (']0,1'])],MATCH(Tabelle1014[[#This Row],[Rank]],Stammdaten[Rank Verteilung Ovalität],0))</f>
        <v>#N/A</v>
      </c>
      <c r="AB3841" t="e">
        <f>VLOOKUP(Tabelle1014[[#This Row],[Rank]],Stammdaten[[Rank Verteilung Ovalität]:[Verteilung Ovalität]],2,FALSE)</f>
        <v>#N/A</v>
      </c>
    </row>
    <row r="3842" spans="5:28" x14ac:dyDescent="0.35">
      <c r="E3842">
        <v>3833</v>
      </c>
      <c r="F3842" t="e">
        <f>INDEX(Stammdaten[D Mitte mit Rinde (mm)],MATCH(Tabelle8[[#This Row],[Rank]],Stammdaten[Rank Verteilung D Mitte mit Rinde],0))</f>
        <v>#N/A</v>
      </c>
      <c r="G3842" t="e">
        <f>VLOOKUP(Tabelle8[[#This Row],[Rank]],Stammdaten[[Rank Verteilung D Mitte mit Rinde]:[Verteilung D Mitte mit Rinde]],2,FALSE)</f>
        <v>#N/A</v>
      </c>
      <c r="L3842">
        <v>3833</v>
      </c>
      <c r="M3842" t="e">
        <f>INDEX(Stammdaten[Abholzigkeit (mm/lfm)],MATCH(Tabelle9[[#This Row],[Rank]],Stammdaten[Rank Verteilung Abholzigkeit],0))</f>
        <v>#N/A</v>
      </c>
      <c r="N3842" t="e">
        <f>VLOOKUP(Tabelle9[[#This Row],[Rank]],Stammdaten[[Rank Verteilung Abholzigkeit]:[Verteilung Abholzigkeit]],2,FALSE)</f>
        <v>#N/A</v>
      </c>
      <c r="S3842">
        <v>3833</v>
      </c>
      <c r="T3842" t="e">
        <f>INDEX(Stammdaten[Krümmung (mm/lfm)],MATCH(Tabelle10[[#This Row],[Rank]],Stammdaten[Rank Verteilung Krümmung],0))</f>
        <v>#N/A</v>
      </c>
      <c r="U3842" t="e">
        <f>VLOOKUP(Tabelle10[[#This Row],[Rank]],Stammdaten[[Rank Verteilung Krümmung]:[Verteilung Krümmung]],2,FALSE)</f>
        <v>#N/A</v>
      </c>
      <c r="Z3842">
        <v>3833</v>
      </c>
      <c r="AA3842" t="e">
        <f>INDEX(Stammdaten[Ovalität (']0,1'])],MATCH(Tabelle1014[[#This Row],[Rank]],Stammdaten[Rank Verteilung Ovalität],0))</f>
        <v>#N/A</v>
      </c>
      <c r="AB3842" t="e">
        <f>VLOOKUP(Tabelle1014[[#This Row],[Rank]],Stammdaten[[Rank Verteilung Ovalität]:[Verteilung Ovalität]],2,FALSE)</f>
        <v>#N/A</v>
      </c>
    </row>
    <row r="3843" spans="5:28" x14ac:dyDescent="0.35">
      <c r="E3843">
        <v>3834</v>
      </c>
      <c r="F3843" t="e">
        <f>INDEX(Stammdaten[D Mitte mit Rinde (mm)],MATCH(Tabelle8[[#This Row],[Rank]],Stammdaten[Rank Verteilung D Mitte mit Rinde],0))</f>
        <v>#N/A</v>
      </c>
      <c r="G3843" t="e">
        <f>VLOOKUP(Tabelle8[[#This Row],[Rank]],Stammdaten[[Rank Verteilung D Mitte mit Rinde]:[Verteilung D Mitte mit Rinde]],2,FALSE)</f>
        <v>#N/A</v>
      </c>
      <c r="L3843">
        <v>3834</v>
      </c>
      <c r="M3843" t="e">
        <f>INDEX(Stammdaten[Abholzigkeit (mm/lfm)],MATCH(Tabelle9[[#This Row],[Rank]],Stammdaten[Rank Verteilung Abholzigkeit],0))</f>
        <v>#N/A</v>
      </c>
      <c r="N3843" t="e">
        <f>VLOOKUP(Tabelle9[[#This Row],[Rank]],Stammdaten[[Rank Verteilung Abholzigkeit]:[Verteilung Abholzigkeit]],2,FALSE)</f>
        <v>#N/A</v>
      </c>
      <c r="S3843">
        <v>3834</v>
      </c>
      <c r="T3843" t="e">
        <f>INDEX(Stammdaten[Krümmung (mm/lfm)],MATCH(Tabelle10[[#This Row],[Rank]],Stammdaten[Rank Verteilung Krümmung],0))</f>
        <v>#N/A</v>
      </c>
      <c r="U3843" t="e">
        <f>VLOOKUP(Tabelle10[[#This Row],[Rank]],Stammdaten[[Rank Verteilung Krümmung]:[Verteilung Krümmung]],2,FALSE)</f>
        <v>#N/A</v>
      </c>
      <c r="Z3843">
        <v>3834</v>
      </c>
      <c r="AA3843" t="e">
        <f>INDEX(Stammdaten[Ovalität (']0,1'])],MATCH(Tabelle1014[[#This Row],[Rank]],Stammdaten[Rank Verteilung Ovalität],0))</f>
        <v>#N/A</v>
      </c>
      <c r="AB3843" t="e">
        <f>VLOOKUP(Tabelle1014[[#This Row],[Rank]],Stammdaten[[Rank Verteilung Ovalität]:[Verteilung Ovalität]],2,FALSE)</f>
        <v>#N/A</v>
      </c>
    </row>
    <row r="3844" spans="5:28" x14ac:dyDescent="0.35">
      <c r="E3844">
        <v>3835</v>
      </c>
      <c r="F3844" t="e">
        <f>INDEX(Stammdaten[D Mitte mit Rinde (mm)],MATCH(Tabelle8[[#This Row],[Rank]],Stammdaten[Rank Verteilung D Mitte mit Rinde],0))</f>
        <v>#N/A</v>
      </c>
      <c r="G3844" t="e">
        <f>VLOOKUP(Tabelle8[[#This Row],[Rank]],Stammdaten[[Rank Verteilung D Mitte mit Rinde]:[Verteilung D Mitte mit Rinde]],2,FALSE)</f>
        <v>#N/A</v>
      </c>
      <c r="L3844">
        <v>3835</v>
      </c>
      <c r="M3844" t="e">
        <f>INDEX(Stammdaten[Abholzigkeit (mm/lfm)],MATCH(Tabelle9[[#This Row],[Rank]],Stammdaten[Rank Verteilung Abholzigkeit],0))</f>
        <v>#N/A</v>
      </c>
      <c r="N3844" t="e">
        <f>VLOOKUP(Tabelle9[[#This Row],[Rank]],Stammdaten[[Rank Verteilung Abholzigkeit]:[Verteilung Abholzigkeit]],2,FALSE)</f>
        <v>#N/A</v>
      </c>
      <c r="S3844">
        <v>3835</v>
      </c>
      <c r="T3844" t="e">
        <f>INDEX(Stammdaten[Krümmung (mm/lfm)],MATCH(Tabelle10[[#This Row],[Rank]],Stammdaten[Rank Verteilung Krümmung],0))</f>
        <v>#N/A</v>
      </c>
      <c r="U3844" t="e">
        <f>VLOOKUP(Tabelle10[[#This Row],[Rank]],Stammdaten[[Rank Verteilung Krümmung]:[Verteilung Krümmung]],2,FALSE)</f>
        <v>#N/A</v>
      </c>
      <c r="Z3844">
        <v>3835</v>
      </c>
      <c r="AA3844" t="e">
        <f>INDEX(Stammdaten[Ovalität (']0,1'])],MATCH(Tabelle1014[[#This Row],[Rank]],Stammdaten[Rank Verteilung Ovalität],0))</f>
        <v>#N/A</v>
      </c>
      <c r="AB3844" t="e">
        <f>VLOOKUP(Tabelle1014[[#This Row],[Rank]],Stammdaten[[Rank Verteilung Ovalität]:[Verteilung Ovalität]],2,FALSE)</f>
        <v>#N/A</v>
      </c>
    </row>
    <row r="3845" spans="5:28" x14ac:dyDescent="0.35">
      <c r="E3845">
        <v>3836</v>
      </c>
      <c r="F3845" t="e">
        <f>INDEX(Stammdaten[D Mitte mit Rinde (mm)],MATCH(Tabelle8[[#This Row],[Rank]],Stammdaten[Rank Verteilung D Mitte mit Rinde],0))</f>
        <v>#N/A</v>
      </c>
      <c r="G3845" t="e">
        <f>VLOOKUP(Tabelle8[[#This Row],[Rank]],Stammdaten[[Rank Verteilung D Mitte mit Rinde]:[Verteilung D Mitte mit Rinde]],2,FALSE)</f>
        <v>#N/A</v>
      </c>
      <c r="L3845">
        <v>3836</v>
      </c>
      <c r="M3845" t="e">
        <f>INDEX(Stammdaten[Abholzigkeit (mm/lfm)],MATCH(Tabelle9[[#This Row],[Rank]],Stammdaten[Rank Verteilung Abholzigkeit],0))</f>
        <v>#N/A</v>
      </c>
      <c r="N3845" t="e">
        <f>VLOOKUP(Tabelle9[[#This Row],[Rank]],Stammdaten[[Rank Verteilung Abholzigkeit]:[Verteilung Abholzigkeit]],2,FALSE)</f>
        <v>#N/A</v>
      </c>
      <c r="S3845">
        <v>3836</v>
      </c>
      <c r="T3845" t="e">
        <f>INDEX(Stammdaten[Krümmung (mm/lfm)],MATCH(Tabelle10[[#This Row],[Rank]],Stammdaten[Rank Verteilung Krümmung],0))</f>
        <v>#N/A</v>
      </c>
      <c r="U3845" t="e">
        <f>VLOOKUP(Tabelle10[[#This Row],[Rank]],Stammdaten[[Rank Verteilung Krümmung]:[Verteilung Krümmung]],2,FALSE)</f>
        <v>#N/A</v>
      </c>
      <c r="Z3845">
        <v>3836</v>
      </c>
      <c r="AA3845" t="e">
        <f>INDEX(Stammdaten[Ovalität (']0,1'])],MATCH(Tabelle1014[[#This Row],[Rank]],Stammdaten[Rank Verteilung Ovalität],0))</f>
        <v>#N/A</v>
      </c>
      <c r="AB3845" t="e">
        <f>VLOOKUP(Tabelle1014[[#This Row],[Rank]],Stammdaten[[Rank Verteilung Ovalität]:[Verteilung Ovalität]],2,FALSE)</f>
        <v>#N/A</v>
      </c>
    </row>
    <row r="3846" spans="5:28" x14ac:dyDescent="0.35">
      <c r="E3846">
        <v>3837</v>
      </c>
      <c r="F3846" t="e">
        <f>INDEX(Stammdaten[D Mitte mit Rinde (mm)],MATCH(Tabelle8[[#This Row],[Rank]],Stammdaten[Rank Verteilung D Mitte mit Rinde],0))</f>
        <v>#N/A</v>
      </c>
      <c r="G3846" t="e">
        <f>VLOOKUP(Tabelle8[[#This Row],[Rank]],Stammdaten[[Rank Verteilung D Mitte mit Rinde]:[Verteilung D Mitte mit Rinde]],2,FALSE)</f>
        <v>#N/A</v>
      </c>
      <c r="L3846">
        <v>3837</v>
      </c>
      <c r="M3846" t="e">
        <f>INDEX(Stammdaten[Abholzigkeit (mm/lfm)],MATCH(Tabelle9[[#This Row],[Rank]],Stammdaten[Rank Verteilung Abholzigkeit],0))</f>
        <v>#N/A</v>
      </c>
      <c r="N3846" t="e">
        <f>VLOOKUP(Tabelle9[[#This Row],[Rank]],Stammdaten[[Rank Verteilung Abholzigkeit]:[Verteilung Abholzigkeit]],2,FALSE)</f>
        <v>#N/A</v>
      </c>
      <c r="S3846">
        <v>3837</v>
      </c>
      <c r="T3846" t="e">
        <f>INDEX(Stammdaten[Krümmung (mm/lfm)],MATCH(Tabelle10[[#This Row],[Rank]],Stammdaten[Rank Verteilung Krümmung],0))</f>
        <v>#N/A</v>
      </c>
      <c r="U3846" t="e">
        <f>VLOOKUP(Tabelle10[[#This Row],[Rank]],Stammdaten[[Rank Verteilung Krümmung]:[Verteilung Krümmung]],2,FALSE)</f>
        <v>#N/A</v>
      </c>
      <c r="Z3846">
        <v>3837</v>
      </c>
      <c r="AA3846" t="e">
        <f>INDEX(Stammdaten[Ovalität (']0,1'])],MATCH(Tabelle1014[[#This Row],[Rank]],Stammdaten[Rank Verteilung Ovalität],0))</f>
        <v>#N/A</v>
      </c>
      <c r="AB3846" t="e">
        <f>VLOOKUP(Tabelle1014[[#This Row],[Rank]],Stammdaten[[Rank Verteilung Ovalität]:[Verteilung Ovalität]],2,FALSE)</f>
        <v>#N/A</v>
      </c>
    </row>
    <row r="3847" spans="5:28" x14ac:dyDescent="0.35">
      <c r="E3847">
        <v>3838</v>
      </c>
      <c r="F3847" t="e">
        <f>INDEX(Stammdaten[D Mitte mit Rinde (mm)],MATCH(Tabelle8[[#This Row],[Rank]],Stammdaten[Rank Verteilung D Mitte mit Rinde],0))</f>
        <v>#N/A</v>
      </c>
      <c r="G3847" t="e">
        <f>VLOOKUP(Tabelle8[[#This Row],[Rank]],Stammdaten[[Rank Verteilung D Mitte mit Rinde]:[Verteilung D Mitte mit Rinde]],2,FALSE)</f>
        <v>#N/A</v>
      </c>
      <c r="L3847">
        <v>3838</v>
      </c>
      <c r="M3847" t="e">
        <f>INDEX(Stammdaten[Abholzigkeit (mm/lfm)],MATCH(Tabelle9[[#This Row],[Rank]],Stammdaten[Rank Verteilung Abholzigkeit],0))</f>
        <v>#N/A</v>
      </c>
      <c r="N3847" t="e">
        <f>VLOOKUP(Tabelle9[[#This Row],[Rank]],Stammdaten[[Rank Verteilung Abholzigkeit]:[Verteilung Abholzigkeit]],2,FALSE)</f>
        <v>#N/A</v>
      </c>
      <c r="S3847">
        <v>3838</v>
      </c>
      <c r="T3847" t="e">
        <f>INDEX(Stammdaten[Krümmung (mm/lfm)],MATCH(Tabelle10[[#This Row],[Rank]],Stammdaten[Rank Verteilung Krümmung],0))</f>
        <v>#N/A</v>
      </c>
      <c r="U3847" t="e">
        <f>VLOOKUP(Tabelle10[[#This Row],[Rank]],Stammdaten[[Rank Verteilung Krümmung]:[Verteilung Krümmung]],2,FALSE)</f>
        <v>#N/A</v>
      </c>
      <c r="Z3847">
        <v>3838</v>
      </c>
      <c r="AA3847" t="e">
        <f>INDEX(Stammdaten[Ovalität (']0,1'])],MATCH(Tabelle1014[[#This Row],[Rank]],Stammdaten[Rank Verteilung Ovalität],0))</f>
        <v>#N/A</v>
      </c>
      <c r="AB3847" t="e">
        <f>VLOOKUP(Tabelle1014[[#This Row],[Rank]],Stammdaten[[Rank Verteilung Ovalität]:[Verteilung Ovalität]],2,FALSE)</f>
        <v>#N/A</v>
      </c>
    </row>
    <row r="3848" spans="5:28" x14ac:dyDescent="0.35">
      <c r="E3848">
        <v>3839</v>
      </c>
      <c r="F3848" t="e">
        <f>INDEX(Stammdaten[D Mitte mit Rinde (mm)],MATCH(Tabelle8[[#This Row],[Rank]],Stammdaten[Rank Verteilung D Mitte mit Rinde],0))</f>
        <v>#N/A</v>
      </c>
      <c r="G3848" t="e">
        <f>VLOOKUP(Tabelle8[[#This Row],[Rank]],Stammdaten[[Rank Verteilung D Mitte mit Rinde]:[Verteilung D Mitte mit Rinde]],2,FALSE)</f>
        <v>#N/A</v>
      </c>
      <c r="L3848">
        <v>3839</v>
      </c>
      <c r="M3848" t="e">
        <f>INDEX(Stammdaten[Abholzigkeit (mm/lfm)],MATCH(Tabelle9[[#This Row],[Rank]],Stammdaten[Rank Verteilung Abholzigkeit],0))</f>
        <v>#N/A</v>
      </c>
      <c r="N3848" t="e">
        <f>VLOOKUP(Tabelle9[[#This Row],[Rank]],Stammdaten[[Rank Verteilung Abholzigkeit]:[Verteilung Abholzigkeit]],2,FALSE)</f>
        <v>#N/A</v>
      </c>
      <c r="S3848">
        <v>3839</v>
      </c>
      <c r="T3848" t="e">
        <f>INDEX(Stammdaten[Krümmung (mm/lfm)],MATCH(Tabelle10[[#This Row],[Rank]],Stammdaten[Rank Verteilung Krümmung],0))</f>
        <v>#N/A</v>
      </c>
      <c r="U3848" t="e">
        <f>VLOOKUP(Tabelle10[[#This Row],[Rank]],Stammdaten[[Rank Verteilung Krümmung]:[Verteilung Krümmung]],2,FALSE)</f>
        <v>#N/A</v>
      </c>
      <c r="Z3848">
        <v>3839</v>
      </c>
      <c r="AA3848" t="e">
        <f>INDEX(Stammdaten[Ovalität (']0,1'])],MATCH(Tabelle1014[[#This Row],[Rank]],Stammdaten[Rank Verteilung Ovalität],0))</f>
        <v>#N/A</v>
      </c>
      <c r="AB3848" t="e">
        <f>VLOOKUP(Tabelle1014[[#This Row],[Rank]],Stammdaten[[Rank Verteilung Ovalität]:[Verteilung Ovalität]],2,FALSE)</f>
        <v>#N/A</v>
      </c>
    </row>
    <row r="3849" spans="5:28" x14ac:dyDescent="0.35">
      <c r="E3849">
        <v>3840</v>
      </c>
      <c r="F3849" t="e">
        <f>INDEX(Stammdaten[D Mitte mit Rinde (mm)],MATCH(Tabelle8[[#This Row],[Rank]],Stammdaten[Rank Verteilung D Mitte mit Rinde],0))</f>
        <v>#N/A</v>
      </c>
      <c r="G3849" t="e">
        <f>VLOOKUP(Tabelle8[[#This Row],[Rank]],Stammdaten[[Rank Verteilung D Mitte mit Rinde]:[Verteilung D Mitte mit Rinde]],2,FALSE)</f>
        <v>#N/A</v>
      </c>
      <c r="L3849">
        <v>3840</v>
      </c>
      <c r="M3849" t="e">
        <f>INDEX(Stammdaten[Abholzigkeit (mm/lfm)],MATCH(Tabelle9[[#This Row],[Rank]],Stammdaten[Rank Verteilung Abholzigkeit],0))</f>
        <v>#N/A</v>
      </c>
      <c r="N3849" t="e">
        <f>VLOOKUP(Tabelle9[[#This Row],[Rank]],Stammdaten[[Rank Verteilung Abholzigkeit]:[Verteilung Abholzigkeit]],2,FALSE)</f>
        <v>#N/A</v>
      </c>
      <c r="S3849">
        <v>3840</v>
      </c>
      <c r="T3849" t="e">
        <f>INDEX(Stammdaten[Krümmung (mm/lfm)],MATCH(Tabelle10[[#This Row],[Rank]],Stammdaten[Rank Verteilung Krümmung],0))</f>
        <v>#N/A</v>
      </c>
      <c r="U3849" t="e">
        <f>VLOOKUP(Tabelle10[[#This Row],[Rank]],Stammdaten[[Rank Verteilung Krümmung]:[Verteilung Krümmung]],2,FALSE)</f>
        <v>#N/A</v>
      </c>
      <c r="Z3849">
        <v>3840</v>
      </c>
      <c r="AA3849" t="e">
        <f>INDEX(Stammdaten[Ovalität (']0,1'])],MATCH(Tabelle1014[[#This Row],[Rank]],Stammdaten[Rank Verteilung Ovalität],0))</f>
        <v>#N/A</v>
      </c>
      <c r="AB3849" t="e">
        <f>VLOOKUP(Tabelle1014[[#This Row],[Rank]],Stammdaten[[Rank Verteilung Ovalität]:[Verteilung Ovalität]],2,FALSE)</f>
        <v>#N/A</v>
      </c>
    </row>
    <row r="3850" spans="5:28" x14ac:dyDescent="0.35">
      <c r="E3850">
        <v>3841</v>
      </c>
      <c r="F3850" t="e">
        <f>INDEX(Stammdaten[D Mitte mit Rinde (mm)],MATCH(Tabelle8[[#This Row],[Rank]],Stammdaten[Rank Verteilung D Mitte mit Rinde],0))</f>
        <v>#N/A</v>
      </c>
      <c r="G3850" t="e">
        <f>VLOOKUP(Tabelle8[[#This Row],[Rank]],Stammdaten[[Rank Verteilung D Mitte mit Rinde]:[Verteilung D Mitte mit Rinde]],2,FALSE)</f>
        <v>#N/A</v>
      </c>
      <c r="L3850">
        <v>3841</v>
      </c>
      <c r="M3850" t="e">
        <f>INDEX(Stammdaten[Abholzigkeit (mm/lfm)],MATCH(Tabelle9[[#This Row],[Rank]],Stammdaten[Rank Verteilung Abholzigkeit],0))</f>
        <v>#N/A</v>
      </c>
      <c r="N3850" t="e">
        <f>VLOOKUP(Tabelle9[[#This Row],[Rank]],Stammdaten[[Rank Verteilung Abholzigkeit]:[Verteilung Abholzigkeit]],2,FALSE)</f>
        <v>#N/A</v>
      </c>
      <c r="S3850">
        <v>3841</v>
      </c>
      <c r="T3850" t="e">
        <f>INDEX(Stammdaten[Krümmung (mm/lfm)],MATCH(Tabelle10[[#This Row],[Rank]],Stammdaten[Rank Verteilung Krümmung],0))</f>
        <v>#N/A</v>
      </c>
      <c r="U3850" t="e">
        <f>VLOOKUP(Tabelle10[[#This Row],[Rank]],Stammdaten[[Rank Verteilung Krümmung]:[Verteilung Krümmung]],2,FALSE)</f>
        <v>#N/A</v>
      </c>
      <c r="Z3850">
        <v>3841</v>
      </c>
      <c r="AA3850" t="e">
        <f>INDEX(Stammdaten[Ovalität (']0,1'])],MATCH(Tabelle1014[[#This Row],[Rank]],Stammdaten[Rank Verteilung Ovalität],0))</f>
        <v>#N/A</v>
      </c>
      <c r="AB3850" t="e">
        <f>VLOOKUP(Tabelle1014[[#This Row],[Rank]],Stammdaten[[Rank Verteilung Ovalität]:[Verteilung Ovalität]],2,FALSE)</f>
        <v>#N/A</v>
      </c>
    </row>
    <row r="3851" spans="5:28" x14ac:dyDescent="0.35">
      <c r="E3851">
        <v>3842</v>
      </c>
      <c r="F3851" t="e">
        <f>INDEX(Stammdaten[D Mitte mit Rinde (mm)],MATCH(Tabelle8[[#This Row],[Rank]],Stammdaten[Rank Verteilung D Mitte mit Rinde],0))</f>
        <v>#N/A</v>
      </c>
      <c r="G3851" t="e">
        <f>VLOOKUP(Tabelle8[[#This Row],[Rank]],Stammdaten[[Rank Verteilung D Mitte mit Rinde]:[Verteilung D Mitte mit Rinde]],2,FALSE)</f>
        <v>#N/A</v>
      </c>
      <c r="L3851">
        <v>3842</v>
      </c>
      <c r="M3851" t="e">
        <f>INDEX(Stammdaten[Abholzigkeit (mm/lfm)],MATCH(Tabelle9[[#This Row],[Rank]],Stammdaten[Rank Verteilung Abholzigkeit],0))</f>
        <v>#N/A</v>
      </c>
      <c r="N3851" t="e">
        <f>VLOOKUP(Tabelle9[[#This Row],[Rank]],Stammdaten[[Rank Verteilung Abholzigkeit]:[Verteilung Abholzigkeit]],2,FALSE)</f>
        <v>#N/A</v>
      </c>
      <c r="S3851">
        <v>3842</v>
      </c>
      <c r="T3851" t="e">
        <f>INDEX(Stammdaten[Krümmung (mm/lfm)],MATCH(Tabelle10[[#This Row],[Rank]],Stammdaten[Rank Verteilung Krümmung],0))</f>
        <v>#N/A</v>
      </c>
      <c r="U3851" t="e">
        <f>VLOOKUP(Tabelle10[[#This Row],[Rank]],Stammdaten[[Rank Verteilung Krümmung]:[Verteilung Krümmung]],2,FALSE)</f>
        <v>#N/A</v>
      </c>
      <c r="Z3851">
        <v>3842</v>
      </c>
      <c r="AA3851" t="e">
        <f>INDEX(Stammdaten[Ovalität (']0,1'])],MATCH(Tabelle1014[[#This Row],[Rank]],Stammdaten[Rank Verteilung Ovalität],0))</f>
        <v>#N/A</v>
      </c>
      <c r="AB3851" t="e">
        <f>VLOOKUP(Tabelle1014[[#This Row],[Rank]],Stammdaten[[Rank Verteilung Ovalität]:[Verteilung Ovalität]],2,FALSE)</f>
        <v>#N/A</v>
      </c>
    </row>
    <row r="3852" spans="5:28" x14ac:dyDescent="0.35">
      <c r="E3852">
        <v>3843</v>
      </c>
      <c r="F3852" t="e">
        <f>INDEX(Stammdaten[D Mitte mit Rinde (mm)],MATCH(Tabelle8[[#This Row],[Rank]],Stammdaten[Rank Verteilung D Mitte mit Rinde],0))</f>
        <v>#N/A</v>
      </c>
      <c r="G3852" t="e">
        <f>VLOOKUP(Tabelle8[[#This Row],[Rank]],Stammdaten[[Rank Verteilung D Mitte mit Rinde]:[Verteilung D Mitte mit Rinde]],2,FALSE)</f>
        <v>#N/A</v>
      </c>
      <c r="L3852">
        <v>3843</v>
      </c>
      <c r="M3852" t="e">
        <f>INDEX(Stammdaten[Abholzigkeit (mm/lfm)],MATCH(Tabelle9[[#This Row],[Rank]],Stammdaten[Rank Verteilung Abholzigkeit],0))</f>
        <v>#N/A</v>
      </c>
      <c r="N3852" t="e">
        <f>VLOOKUP(Tabelle9[[#This Row],[Rank]],Stammdaten[[Rank Verteilung Abholzigkeit]:[Verteilung Abholzigkeit]],2,FALSE)</f>
        <v>#N/A</v>
      </c>
      <c r="S3852">
        <v>3843</v>
      </c>
      <c r="T3852" t="e">
        <f>INDEX(Stammdaten[Krümmung (mm/lfm)],MATCH(Tabelle10[[#This Row],[Rank]],Stammdaten[Rank Verteilung Krümmung],0))</f>
        <v>#N/A</v>
      </c>
      <c r="U3852" t="e">
        <f>VLOOKUP(Tabelle10[[#This Row],[Rank]],Stammdaten[[Rank Verteilung Krümmung]:[Verteilung Krümmung]],2,FALSE)</f>
        <v>#N/A</v>
      </c>
      <c r="Z3852">
        <v>3843</v>
      </c>
      <c r="AA3852" t="e">
        <f>INDEX(Stammdaten[Ovalität (']0,1'])],MATCH(Tabelle1014[[#This Row],[Rank]],Stammdaten[Rank Verteilung Ovalität],0))</f>
        <v>#N/A</v>
      </c>
      <c r="AB3852" t="e">
        <f>VLOOKUP(Tabelle1014[[#This Row],[Rank]],Stammdaten[[Rank Verteilung Ovalität]:[Verteilung Ovalität]],2,FALSE)</f>
        <v>#N/A</v>
      </c>
    </row>
    <row r="3853" spans="5:28" x14ac:dyDescent="0.35">
      <c r="E3853">
        <v>3844</v>
      </c>
      <c r="F3853" t="e">
        <f>INDEX(Stammdaten[D Mitte mit Rinde (mm)],MATCH(Tabelle8[[#This Row],[Rank]],Stammdaten[Rank Verteilung D Mitte mit Rinde],0))</f>
        <v>#N/A</v>
      </c>
      <c r="G3853" t="e">
        <f>VLOOKUP(Tabelle8[[#This Row],[Rank]],Stammdaten[[Rank Verteilung D Mitte mit Rinde]:[Verteilung D Mitte mit Rinde]],2,FALSE)</f>
        <v>#N/A</v>
      </c>
      <c r="L3853">
        <v>3844</v>
      </c>
      <c r="M3853" t="e">
        <f>INDEX(Stammdaten[Abholzigkeit (mm/lfm)],MATCH(Tabelle9[[#This Row],[Rank]],Stammdaten[Rank Verteilung Abholzigkeit],0))</f>
        <v>#N/A</v>
      </c>
      <c r="N3853" t="e">
        <f>VLOOKUP(Tabelle9[[#This Row],[Rank]],Stammdaten[[Rank Verteilung Abholzigkeit]:[Verteilung Abholzigkeit]],2,FALSE)</f>
        <v>#N/A</v>
      </c>
      <c r="S3853">
        <v>3844</v>
      </c>
      <c r="T3853" t="e">
        <f>INDEX(Stammdaten[Krümmung (mm/lfm)],MATCH(Tabelle10[[#This Row],[Rank]],Stammdaten[Rank Verteilung Krümmung],0))</f>
        <v>#N/A</v>
      </c>
      <c r="U3853" t="e">
        <f>VLOOKUP(Tabelle10[[#This Row],[Rank]],Stammdaten[[Rank Verteilung Krümmung]:[Verteilung Krümmung]],2,FALSE)</f>
        <v>#N/A</v>
      </c>
      <c r="Z3853">
        <v>3844</v>
      </c>
      <c r="AA3853" t="e">
        <f>INDEX(Stammdaten[Ovalität (']0,1'])],MATCH(Tabelle1014[[#This Row],[Rank]],Stammdaten[Rank Verteilung Ovalität],0))</f>
        <v>#N/A</v>
      </c>
      <c r="AB3853" t="e">
        <f>VLOOKUP(Tabelle1014[[#This Row],[Rank]],Stammdaten[[Rank Verteilung Ovalität]:[Verteilung Ovalität]],2,FALSE)</f>
        <v>#N/A</v>
      </c>
    </row>
    <row r="3854" spans="5:28" x14ac:dyDescent="0.35">
      <c r="E3854">
        <v>3845</v>
      </c>
      <c r="F3854" t="e">
        <f>INDEX(Stammdaten[D Mitte mit Rinde (mm)],MATCH(Tabelle8[[#This Row],[Rank]],Stammdaten[Rank Verteilung D Mitte mit Rinde],0))</f>
        <v>#N/A</v>
      </c>
      <c r="G3854" t="e">
        <f>VLOOKUP(Tabelle8[[#This Row],[Rank]],Stammdaten[[Rank Verteilung D Mitte mit Rinde]:[Verteilung D Mitte mit Rinde]],2,FALSE)</f>
        <v>#N/A</v>
      </c>
      <c r="L3854">
        <v>3845</v>
      </c>
      <c r="M3854" t="e">
        <f>INDEX(Stammdaten[Abholzigkeit (mm/lfm)],MATCH(Tabelle9[[#This Row],[Rank]],Stammdaten[Rank Verteilung Abholzigkeit],0))</f>
        <v>#N/A</v>
      </c>
      <c r="N3854" t="e">
        <f>VLOOKUP(Tabelle9[[#This Row],[Rank]],Stammdaten[[Rank Verteilung Abholzigkeit]:[Verteilung Abholzigkeit]],2,FALSE)</f>
        <v>#N/A</v>
      </c>
      <c r="S3854">
        <v>3845</v>
      </c>
      <c r="T3854" t="e">
        <f>INDEX(Stammdaten[Krümmung (mm/lfm)],MATCH(Tabelle10[[#This Row],[Rank]],Stammdaten[Rank Verteilung Krümmung],0))</f>
        <v>#N/A</v>
      </c>
      <c r="U3854" t="e">
        <f>VLOOKUP(Tabelle10[[#This Row],[Rank]],Stammdaten[[Rank Verteilung Krümmung]:[Verteilung Krümmung]],2,FALSE)</f>
        <v>#N/A</v>
      </c>
      <c r="Z3854">
        <v>3845</v>
      </c>
      <c r="AA3854" t="e">
        <f>INDEX(Stammdaten[Ovalität (']0,1'])],MATCH(Tabelle1014[[#This Row],[Rank]],Stammdaten[Rank Verteilung Ovalität],0))</f>
        <v>#N/A</v>
      </c>
      <c r="AB3854" t="e">
        <f>VLOOKUP(Tabelle1014[[#This Row],[Rank]],Stammdaten[[Rank Verteilung Ovalität]:[Verteilung Ovalität]],2,FALSE)</f>
        <v>#N/A</v>
      </c>
    </row>
    <row r="3855" spans="5:28" x14ac:dyDescent="0.35">
      <c r="E3855">
        <v>3846</v>
      </c>
      <c r="F3855" t="e">
        <f>INDEX(Stammdaten[D Mitte mit Rinde (mm)],MATCH(Tabelle8[[#This Row],[Rank]],Stammdaten[Rank Verteilung D Mitte mit Rinde],0))</f>
        <v>#N/A</v>
      </c>
      <c r="G3855" t="e">
        <f>VLOOKUP(Tabelle8[[#This Row],[Rank]],Stammdaten[[Rank Verteilung D Mitte mit Rinde]:[Verteilung D Mitte mit Rinde]],2,FALSE)</f>
        <v>#N/A</v>
      </c>
      <c r="L3855">
        <v>3846</v>
      </c>
      <c r="M3855" t="e">
        <f>INDEX(Stammdaten[Abholzigkeit (mm/lfm)],MATCH(Tabelle9[[#This Row],[Rank]],Stammdaten[Rank Verteilung Abholzigkeit],0))</f>
        <v>#N/A</v>
      </c>
      <c r="N3855" t="e">
        <f>VLOOKUP(Tabelle9[[#This Row],[Rank]],Stammdaten[[Rank Verteilung Abholzigkeit]:[Verteilung Abholzigkeit]],2,FALSE)</f>
        <v>#N/A</v>
      </c>
      <c r="S3855">
        <v>3846</v>
      </c>
      <c r="T3855" t="e">
        <f>INDEX(Stammdaten[Krümmung (mm/lfm)],MATCH(Tabelle10[[#This Row],[Rank]],Stammdaten[Rank Verteilung Krümmung],0))</f>
        <v>#N/A</v>
      </c>
      <c r="U3855" t="e">
        <f>VLOOKUP(Tabelle10[[#This Row],[Rank]],Stammdaten[[Rank Verteilung Krümmung]:[Verteilung Krümmung]],2,FALSE)</f>
        <v>#N/A</v>
      </c>
      <c r="Z3855">
        <v>3846</v>
      </c>
      <c r="AA3855" t="e">
        <f>INDEX(Stammdaten[Ovalität (']0,1'])],MATCH(Tabelle1014[[#This Row],[Rank]],Stammdaten[Rank Verteilung Ovalität],0))</f>
        <v>#N/A</v>
      </c>
      <c r="AB3855" t="e">
        <f>VLOOKUP(Tabelle1014[[#This Row],[Rank]],Stammdaten[[Rank Verteilung Ovalität]:[Verteilung Ovalität]],2,FALSE)</f>
        <v>#N/A</v>
      </c>
    </row>
    <row r="3856" spans="5:28" x14ac:dyDescent="0.35">
      <c r="E3856">
        <v>3847</v>
      </c>
      <c r="F3856" t="e">
        <f>INDEX(Stammdaten[D Mitte mit Rinde (mm)],MATCH(Tabelle8[[#This Row],[Rank]],Stammdaten[Rank Verteilung D Mitte mit Rinde],0))</f>
        <v>#N/A</v>
      </c>
      <c r="G3856" t="e">
        <f>VLOOKUP(Tabelle8[[#This Row],[Rank]],Stammdaten[[Rank Verteilung D Mitte mit Rinde]:[Verteilung D Mitte mit Rinde]],2,FALSE)</f>
        <v>#N/A</v>
      </c>
      <c r="L3856">
        <v>3847</v>
      </c>
      <c r="M3856" t="e">
        <f>INDEX(Stammdaten[Abholzigkeit (mm/lfm)],MATCH(Tabelle9[[#This Row],[Rank]],Stammdaten[Rank Verteilung Abholzigkeit],0))</f>
        <v>#N/A</v>
      </c>
      <c r="N3856" t="e">
        <f>VLOOKUP(Tabelle9[[#This Row],[Rank]],Stammdaten[[Rank Verteilung Abholzigkeit]:[Verteilung Abholzigkeit]],2,FALSE)</f>
        <v>#N/A</v>
      </c>
      <c r="S3856">
        <v>3847</v>
      </c>
      <c r="T3856" t="e">
        <f>INDEX(Stammdaten[Krümmung (mm/lfm)],MATCH(Tabelle10[[#This Row],[Rank]],Stammdaten[Rank Verteilung Krümmung],0))</f>
        <v>#N/A</v>
      </c>
      <c r="U3856" t="e">
        <f>VLOOKUP(Tabelle10[[#This Row],[Rank]],Stammdaten[[Rank Verteilung Krümmung]:[Verteilung Krümmung]],2,FALSE)</f>
        <v>#N/A</v>
      </c>
      <c r="Z3856">
        <v>3847</v>
      </c>
      <c r="AA3856" t="e">
        <f>INDEX(Stammdaten[Ovalität (']0,1'])],MATCH(Tabelle1014[[#This Row],[Rank]],Stammdaten[Rank Verteilung Ovalität],0))</f>
        <v>#N/A</v>
      </c>
      <c r="AB3856" t="e">
        <f>VLOOKUP(Tabelle1014[[#This Row],[Rank]],Stammdaten[[Rank Verteilung Ovalität]:[Verteilung Ovalität]],2,FALSE)</f>
        <v>#N/A</v>
      </c>
    </row>
    <row r="3857" spans="5:28" x14ac:dyDescent="0.35">
      <c r="E3857">
        <v>3848</v>
      </c>
      <c r="F3857" t="e">
        <f>INDEX(Stammdaten[D Mitte mit Rinde (mm)],MATCH(Tabelle8[[#This Row],[Rank]],Stammdaten[Rank Verteilung D Mitte mit Rinde],0))</f>
        <v>#N/A</v>
      </c>
      <c r="G3857" t="e">
        <f>VLOOKUP(Tabelle8[[#This Row],[Rank]],Stammdaten[[Rank Verteilung D Mitte mit Rinde]:[Verteilung D Mitte mit Rinde]],2,FALSE)</f>
        <v>#N/A</v>
      </c>
      <c r="L3857">
        <v>3848</v>
      </c>
      <c r="M3857" t="e">
        <f>INDEX(Stammdaten[Abholzigkeit (mm/lfm)],MATCH(Tabelle9[[#This Row],[Rank]],Stammdaten[Rank Verteilung Abholzigkeit],0))</f>
        <v>#N/A</v>
      </c>
      <c r="N3857" t="e">
        <f>VLOOKUP(Tabelle9[[#This Row],[Rank]],Stammdaten[[Rank Verteilung Abholzigkeit]:[Verteilung Abholzigkeit]],2,FALSE)</f>
        <v>#N/A</v>
      </c>
      <c r="S3857">
        <v>3848</v>
      </c>
      <c r="T3857" t="e">
        <f>INDEX(Stammdaten[Krümmung (mm/lfm)],MATCH(Tabelle10[[#This Row],[Rank]],Stammdaten[Rank Verteilung Krümmung],0))</f>
        <v>#N/A</v>
      </c>
      <c r="U3857" t="e">
        <f>VLOOKUP(Tabelle10[[#This Row],[Rank]],Stammdaten[[Rank Verteilung Krümmung]:[Verteilung Krümmung]],2,FALSE)</f>
        <v>#N/A</v>
      </c>
      <c r="Z3857">
        <v>3848</v>
      </c>
      <c r="AA3857" t="e">
        <f>INDEX(Stammdaten[Ovalität (']0,1'])],MATCH(Tabelle1014[[#This Row],[Rank]],Stammdaten[Rank Verteilung Ovalität],0))</f>
        <v>#N/A</v>
      </c>
      <c r="AB3857" t="e">
        <f>VLOOKUP(Tabelle1014[[#This Row],[Rank]],Stammdaten[[Rank Verteilung Ovalität]:[Verteilung Ovalität]],2,FALSE)</f>
        <v>#N/A</v>
      </c>
    </row>
    <row r="3858" spans="5:28" x14ac:dyDescent="0.35">
      <c r="E3858">
        <v>3849</v>
      </c>
      <c r="F3858" t="e">
        <f>INDEX(Stammdaten[D Mitte mit Rinde (mm)],MATCH(Tabelle8[[#This Row],[Rank]],Stammdaten[Rank Verteilung D Mitte mit Rinde],0))</f>
        <v>#N/A</v>
      </c>
      <c r="G3858" t="e">
        <f>VLOOKUP(Tabelle8[[#This Row],[Rank]],Stammdaten[[Rank Verteilung D Mitte mit Rinde]:[Verteilung D Mitte mit Rinde]],2,FALSE)</f>
        <v>#N/A</v>
      </c>
      <c r="L3858">
        <v>3849</v>
      </c>
      <c r="M3858" t="e">
        <f>INDEX(Stammdaten[Abholzigkeit (mm/lfm)],MATCH(Tabelle9[[#This Row],[Rank]],Stammdaten[Rank Verteilung Abholzigkeit],0))</f>
        <v>#N/A</v>
      </c>
      <c r="N3858" t="e">
        <f>VLOOKUP(Tabelle9[[#This Row],[Rank]],Stammdaten[[Rank Verteilung Abholzigkeit]:[Verteilung Abholzigkeit]],2,FALSE)</f>
        <v>#N/A</v>
      </c>
      <c r="S3858">
        <v>3849</v>
      </c>
      <c r="T3858" t="e">
        <f>INDEX(Stammdaten[Krümmung (mm/lfm)],MATCH(Tabelle10[[#This Row],[Rank]],Stammdaten[Rank Verteilung Krümmung],0))</f>
        <v>#N/A</v>
      </c>
      <c r="U3858" t="e">
        <f>VLOOKUP(Tabelle10[[#This Row],[Rank]],Stammdaten[[Rank Verteilung Krümmung]:[Verteilung Krümmung]],2,FALSE)</f>
        <v>#N/A</v>
      </c>
      <c r="Z3858">
        <v>3849</v>
      </c>
      <c r="AA3858" t="e">
        <f>INDEX(Stammdaten[Ovalität (']0,1'])],MATCH(Tabelle1014[[#This Row],[Rank]],Stammdaten[Rank Verteilung Ovalität],0))</f>
        <v>#N/A</v>
      </c>
      <c r="AB3858" t="e">
        <f>VLOOKUP(Tabelle1014[[#This Row],[Rank]],Stammdaten[[Rank Verteilung Ovalität]:[Verteilung Ovalität]],2,FALSE)</f>
        <v>#N/A</v>
      </c>
    </row>
    <row r="3859" spans="5:28" x14ac:dyDescent="0.35">
      <c r="E3859">
        <v>3850</v>
      </c>
      <c r="F3859" t="e">
        <f>INDEX(Stammdaten[D Mitte mit Rinde (mm)],MATCH(Tabelle8[[#This Row],[Rank]],Stammdaten[Rank Verteilung D Mitte mit Rinde],0))</f>
        <v>#N/A</v>
      </c>
      <c r="G3859" t="e">
        <f>VLOOKUP(Tabelle8[[#This Row],[Rank]],Stammdaten[[Rank Verteilung D Mitte mit Rinde]:[Verteilung D Mitte mit Rinde]],2,FALSE)</f>
        <v>#N/A</v>
      </c>
      <c r="L3859">
        <v>3850</v>
      </c>
      <c r="M3859" t="e">
        <f>INDEX(Stammdaten[Abholzigkeit (mm/lfm)],MATCH(Tabelle9[[#This Row],[Rank]],Stammdaten[Rank Verteilung Abholzigkeit],0))</f>
        <v>#N/A</v>
      </c>
      <c r="N3859" t="e">
        <f>VLOOKUP(Tabelle9[[#This Row],[Rank]],Stammdaten[[Rank Verteilung Abholzigkeit]:[Verteilung Abholzigkeit]],2,FALSE)</f>
        <v>#N/A</v>
      </c>
      <c r="S3859">
        <v>3850</v>
      </c>
      <c r="T3859" t="e">
        <f>INDEX(Stammdaten[Krümmung (mm/lfm)],MATCH(Tabelle10[[#This Row],[Rank]],Stammdaten[Rank Verteilung Krümmung],0))</f>
        <v>#N/A</v>
      </c>
      <c r="U3859" t="e">
        <f>VLOOKUP(Tabelle10[[#This Row],[Rank]],Stammdaten[[Rank Verteilung Krümmung]:[Verteilung Krümmung]],2,FALSE)</f>
        <v>#N/A</v>
      </c>
      <c r="Z3859">
        <v>3850</v>
      </c>
      <c r="AA3859" t="e">
        <f>INDEX(Stammdaten[Ovalität (']0,1'])],MATCH(Tabelle1014[[#This Row],[Rank]],Stammdaten[Rank Verteilung Ovalität],0))</f>
        <v>#N/A</v>
      </c>
      <c r="AB3859" t="e">
        <f>VLOOKUP(Tabelle1014[[#This Row],[Rank]],Stammdaten[[Rank Verteilung Ovalität]:[Verteilung Ovalität]],2,FALSE)</f>
        <v>#N/A</v>
      </c>
    </row>
    <row r="3860" spans="5:28" x14ac:dyDescent="0.35">
      <c r="E3860">
        <v>3851</v>
      </c>
      <c r="F3860" t="e">
        <f>INDEX(Stammdaten[D Mitte mit Rinde (mm)],MATCH(Tabelle8[[#This Row],[Rank]],Stammdaten[Rank Verteilung D Mitte mit Rinde],0))</f>
        <v>#N/A</v>
      </c>
      <c r="G3860" t="e">
        <f>VLOOKUP(Tabelle8[[#This Row],[Rank]],Stammdaten[[Rank Verteilung D Mitte mit Rinde]:[Verteilung D Mitte mit Rinde]],2,FALSE)</f>
        <v>#N/A</v>
      </c>
      <c r="L3860">
        <v>3851</v>
      </c>
      <c r="M3860" t="e">
        <f>INDEX(Stammdaten[Abholzigkeit (mm/lfm)],MATCH(Tabelle9[[#This Row],[Rank]],Stammdaten[Rank Verteilung Abholzigkeit],0))</f>
        <v>#N/A</v>
      </c>
      <c r="N3860" t="e">
        <f>VLOOKUP(Tabelle9[[#This Row],[Rank]],Stammdaten[[Rank Verteilung Abholzigkeit]:[Verteilung Abholzigkeit]],2,FALSE)</f>
        <v>#N/A</v>
      </c>
      <c r="S3860">
        <v>3851</v>
      </c>
      <c r="T3860" t="e">
        <f>INDEX(Stammdaten[Krümmung (mm/lfm)],MATCH(Tabelle10[[#This Row],[Rank]],Stammdaten[Rank Verteilung Krümmung],0))</f>
        <v>#N/A</v>
      </c>
      <c r="U3860" t="e">
        <f>VLOOKUP(Tabelle10[[#This Row],[Rank]],Stammdaten[[Rank Verteilung Krümmung]:[Verteilung Krümmung]],2,FALSE)</f>
        <v>#N/A</v>
      </c>
      <c r="Z3860">
        <v>3851</v>
      </c>
      <c r="AA3860" t="e">
        <f>INDEX(Stammdaten[Ovalität (']0,1'])],MATCH(Tabelle1014[[#This Row],[Rank]],Stammdaten[Rank Verteilung Ovalität],0))</f>
        <v>#N/A</v>
      </c>
      <c r="AB3860" t="e">
        <f>VLOOKUP(Tabelle1014[[#This Row],[Rank]],Stammdaten[[Rank Verteilung Ovalität]:[Verteilung Ovalität]],2,FALSE)</f>
        <v>#N/A</v>
      </c>
    </row>
    <row r="3861" spans="5:28" x14ac:dyDescent="0.35">
      <c r="E3861">
        <v>3852</v>
      </c>
      <c r="F3861" t="e">
        <f>INDEX(Stammdaten[D Mitte mit Rinde (mm)],MATCH(Tabelle8[[#This Row],[Rank]],Stammdaten[Rank Verteilung D Mitte mit Rinde],0))</f>
        <v>#N/A</v>
      </c>
      <c r="G3861" t="e">
        <f>VLOOKUP(Tabelle8[[#This Row],[Rank]],Stammdaten[[Rank Verteilung D Mitte mit Rinde]:[Verteilung D Mitte mit Rinde]],2,FALSE)</f>
        <v>#N/A</v>
      </c>
      <c r="L3861">
        <v>3852</v>
      </c>
      <c r="M3861" t="e">
        <f>INDEX(Stammdaten[Abholzigkeit (mm/lfm)],MATCH(Tabelle9[[#This Row],[Rank]],Stammdaten[Rank Verteilung Abholzigkeit],0))</f>
        <v>#N/A</v>
      </c>
      <c r="N3861" t="e">
        <f>VLOOKUP(Tabelle9[[#This Row],[Rank]],Stammdaten[[Rank Verteilung Abholzigkeit]:[Verteilung Abholzigkeit]],2,FALSE)</f>
        <v>#N/A</v>
      </c>
      <c r="S3861">
        <v>3852</v>
      </c>
      <c r="T3861" t="e">
        <f>INDEX(Stammdaten[Krümmung (mm/lfm)],MATCH(Tabelle10[[#This Row],[Rank]],Stammdaten[Rank Verteilung Krümmung],0))</f>
        <v>#N/A</v>
      </c>
      <c r="U3861" t="e">
        <f>VLOOKUP(Tabelle10[[#This Row],[Rank]],Stammdaten[[Rank Verteilung Krümmung]:[Verteilung Krümmung]],2,FALSE)</f>
        <v>#N/A</v>
      </c>
      <c r="Z3861">
        <v>3852</v>
      </c>
      <c r="AA3861" t="e">
        <f>INDEX(Stammdaten[Ovalität (']0,1'])],MATCH(Tabelle1014[[#This Row],[Rank]],Stammdaten[Rank Verteilung Ovalität],0))</f>
        <v>#N/A</v>
      </c>
      <c r="AB3861" t="e">
        <f>VLOOKUP(Tabelle1014[[#This Row],[Rank]],Stammdaten[[Rank Verteilung Ovalität]:[Verteilung Ovalität]],2,FALSE)</f>
        <v>#N/A</v>
      </c>
    </row>
    <row r="3862" spans="5:28" x14ac:dyDescent="0.35">
      <c r="E3862">
        <v>3853</v>
      </c>
      <c r="F3862" t="e">
        <f>INDEX(Stammdaten[D Mitte mit Rinde (mm)],MATCH(Tabelle8[[#This Row],[Rank]],Stammdaten[Rank Verteilung D Mitte mit Rinde],0))</f>
        <v>#N/A</v>
      </c>
      <c r="G3862" t="e">
        <f>VLOOKUP(Tabelle8[[#This Row],[Rank]],Stammdaten[[Rank Verteilung D Mitte mit Rinde]:[Verteilung D Mitte mit Rinde]],2,FALSE)</f>
        <v>#N/A</v>
      </c>
      <c r="L3862">
        <v>3853</v>
      </c>
      <c r="M3862" t="e">
        <f>INDEX(Stammdaten[Abholzigkeit (mm/lfm)],MATCH(Tabelle9[[#This Row],[Rank]],Stammdaten[Rank Verteilung Abholzigkeit],0))</f>
        <v>#N/A</v>
      </c>
      <c r="N3862" t="e">
        <f>VLOOKUP(Tabelle9[[#This Row],[Rank]],Stammdaten[[Rank Verteilung Abholzigkeit]:[Verteilung Abholzigkeit]],2,FALSE)</f>
        <v>#N/A</v>
      </c>
      <c r="S3862">
        <v>3853</v>
      </c>
      <c r="T3862" t="e">
        <f>INDEX(Stammdaten[Krümmung (mm/lfm)],MATCH(Tabelle10[[#This Row],[Rank]],Stammdaten[Rank Verteilung Krümmung],0))</f>
        <v>#N/A</v>
      </c>
      <c r="U3862" t="e">
        <f>VLOOKUP(Tabelle10[[#This Row],[Rank]],Stammdaten[[Rank Verteilung Krümmung]:[Verteilung Krümmung]],2,FALSE)</f>
        <v>#N/A</v>
      </c>
      <c r="Z3862">
        <v>3853</v>
      </c>
      <c r="AA3862" t="e">
        <f>INDEX(Stammdaten[Ovalität (']0,1'])],MATCH(Tabelle1014[[#This Row],[Rank]],Stammdaten[Rank Verteilung Ovalität],0))</f>
        <v>#N/A</v>
      </c>
      <c r="AB3862" t="e">
        <f>VLOOKUP(Tabelle1014[[#This Row],[Rank]],Stammdaten[[Rank Verteilung Ovalität]:[Verteilung Ovalität]],2,FALSE)</f>
        <v>#N/A</v>
      </c>
    </row>
    <row r="3863" spans="5:28" x14ac:dyDescent="0.35">
      <c r="E3863">
        <v>3854</v>
      </c>
      <c r="F3863" t="e">
        <f>INDEX(Stammdaten[D Mitte mit Rinde (mm)],MATCH(Tabelle8[[#This Row],[Rank]],Stammdaten[Rank Verteilung D Mitte mit Rinde],0))</f>
        <v>#N/A</v>
      </c>
      <c r="G3863" t="e">
        <f>VLOOKUP(Tabelle8[[#This Row],[Rank]],Stammdaten[[Rank Verteilung D Mitte mit Rinde]:[Verteilung D Mitte mit Rinde]],2,FALSE)</f>
        <v>#N/A</v>
      </c>
      <c r="L3863">
        <v>3854</v>
      </c>
      <c r="M3863" t="e">
        <f>INDEX(Stammdaten[Abholzigkeit (mm/lfm)],MATCH(Tabelle9[[#This Row],[Rank]],Stammdaten[Rank Verteilung Abholzigkeit],0))</f>
        <v>#N/A</v>
      </c>
      <c r="N3863" t="e">
        <f>VLOOKUP(Tabelle9[[#This Row],[Rank]],Stammdaten[[Rank Verteilung Abholzigkeit]:[Verteilung Abholzigkeit]],2,FALSE)</f>
        <v>#N/A</v>
      </c>
      <c r="S3863">
        <v>3854</v>
      </c>
      <c r="T3863" t="e">
        <f>INDEX(Stammdaten[Krümmung (mm/lfm)],MATCH(Tabelle10[[#This Row],[Rank]],Stammdaten[Rank Verteilung Krümmung],0))</f>
        <v>#N/A</v>
      </c>
      <c r="U3863" t="e">
        <f>VLOOKUP(Tabelle10[[#This Row],[Rank]],Stammdaten[[Rank Verteilung Krümmung]:[Verteilung Krümmung]],2,FALSE)</f>
        <v>#N/A</v>
      </c>
      <c r="Z3863">
        <v>3854</v>
      </c>
      <c r="AA3863" t="e">
        <f>INDEX(Stammdaten[Ovalität (']0,1'])],MATCH(Tabelle1014[[#This Row],[Rank]],Stammdaten[Rank Verteilung Ovalität],0))</f>
        <v>#N/A</v>
      </c>
      <c r="AB3863" t="e">
        <f>VLOOKUP(Tabelle1014[[#This Row],[Rank]],Stammdaten[[Rank Verteilung Ovalität]:[Verteilung Ovalität]],2,FALSE)</f>
        <v>#N/A</v>
      </c>
    </row>
    <row r="3864" spans="5:28" x14ac:dyDescent="0.35">
      <c r="E3864">
        <v>3855</v>
      </c>
      <c r="F3864" t="e">
        <f>INDEX(Stammdaten[D Mitte mit Rinde (mm)],MATCH(Tabelle8[[#This Row],[Rank]],Stammdaten[Rank Verteilung D Mitte mit Rinde],0))</f>
        <v>#N/A</v>
      </c>
      <c r="G3864" t="e">
        <f>VLOOKUP(Tabelle8[[#This Row],[Rank]],Stammdaten[[Rank Verteilung D Mitte mit Rinde]:[Verteilung D Mitte mit Rinde]],2,FALSE)</f>
        <v>#N/A</v>
      </c>
      <c r="L3864">
        <v>3855</v>
      </c>
      <c r="M3864" t="e">
        <f>INDEX(Stammdaten[Abholzigkeit (mm/lfm)],MATCH(Tabelle9[[#This Row],[Rank]],Stammdaten[Rank Verteilung Abholzigkeit],0))</f>
        <v>#N/A</v>
      </c>
      <c r="N3864" t="e">
        <f>VLOOKUP(Tabelle9[[#This Row],[Rank]],Stammdaten[[Rank Verteilung Abholzigkeit]:[Verteilung Abholzigkeit]],2,FALSE)</f>
        <v>#N/A</v>
      </c>
      <c r="S3864">
        <v>3855</v>
      </c>
      <c r="T3864" t="e">
        <f>INDEX(Stammdaten[Krümmung (mm/lfm)],MATCH(Tabelle10[[#This Row],[Rank]],Stammdaten[Rank Verteilung Krümmung],0))</f>
        <v>#N/A</v>
      </c>
      <c r="U3864" t="e">
        <f>VLOOKUP(Tabelle10[[#This Row],[Rank]],Stammdaten[[Rank Verteilung Krümmung]:[Verteilung Krümmung]],2,FALSE)</f>
        <v>#N/A</v>
      </c>
      <c r="Z3864">
        <v>3855</v>
      </c>
      <c r="AA3864" t="e">
        <f>INDEX(Stammdaten[Ovalität (']0,1'])],MATCH(Tabelle1014[[#This Row],[Rank]],Stammdaten[Rank Verteilung Ovalität],0))</f>
        <v>#N/A</v>
      </c>
      <c r="AB3864" t="e">
        <f>VLOOKUP(Tabelle1014[[#This Row],[Rank]],Stammdaten[[Rank Verteilung Ovalität]:[Verteilung Ovalität]],2,FALSE)</f>
        <v>#N/A</v>
      </c>
    </row>
    <row r="3865" spans="5:28" x14ac:dyDescent="0.35">
      <c r="E3865">
        <v>3856</v>
      </c>
      <c r="F3865" t="e">
        <f>INDEX(Stammdaten[D Mitte mit Rinde (mm)],MATCH(Tabelle8[[#This Row],[Rank]],Stammdaten[Rank Verteilung D Mitte mit Rinde],0))</f>
        <v>#N/A</v>
      </c>
      <c r="G3865" t="e">
        <f>VLOOKUP(Tabelle8[[#This Row],[Rank]],Stammdaten[[Rank Verteilung D Mitte mit Rinde]:[Verteilung D Mitte mit Rinde]],2,FALSE)</f>
        <v>#N/A</v>
      </c>
      <c r="L3865">
        <v>3856</v>
      </c>
      <c r="M3865" t="e">
        <f>INDEX(Stammdaten[Abholzigkeit (mm/lfm)],MATCH(Tabelle9[[#This Row],[Rank]],Stammdaten[Rank Verteilung Abholzigkeit],0))</f>
        <v>#N/A</v>
      </c>
      <c r="N3865" t="e">
        <f>VLOOKUP(Tabelle9[[#This Row],[Rank]],Stammdaten[[Rank Verteilung Abholzigkeit]:[Verteilung Abholzigkeit]],2,FALSE)</f>
        <v>#N/A</v>
      </c>
      <c r="S3865">
        <v>3856</v>
      </c>
      <c r="T3865" t="e">
        <f>INDEX(Stammdaten[Krümmung (mm/lfm)],MATCH(Tabelle10[[#This Row],[Rank]],Stammdaten[Rank Verteilung Krümmung],0))</f>
        <v>#N/A</v>
      </c>
      <c r="U3865" t="e">
        <f>VLOOKUP(Tabelle10[[#This Row],[Rank]],Stammdaten[[Rank Verteilung Krümmung]:[Verteilung Krümmung]],2,FALSE)</f>
        <v>#N/A</v>
      </c>
      <c r="Z3865">
        <v>3856</v>
      </c>
      <c r="AA3865" t="e">
        <f>INDEX(Stammdaten[Ovalität (']0,1'])],MATCH(Tabelle1014[[#This Row],[Rank]],Stammdaten[Rank Verteilung Ovalität],0))</f>
        <v>#N/A</v>
      </c>
      <c r="AB3865" t="e">
        <f>VLOOKUP(Tabelle1014[[#This Row],[Rank]],Stammdaten[[Rank Verteilung Ovalität]:[Verteilung Ovalität]],2,FALSE)</f>
        <v>#N/A</v>
      </c>
    </row>
    <row r="3866" spans="5:28" x14ac:dyDescent="0.35">
      <c r="E3866">
        <v>3857</v>
      </c>
      <c r="F3866" t="e">
        <f>INDEX(Stammdaten[D Mitte mit Rinde (mm)],MATCH(Tabelle8[[#This Row],[Rank]],Stammdaten[Rank Verteilung D Mitte mit Rinde],0))</f>
        <v>#N/A</v>
      </c>
      <c r="G3866" t="e">
        <f>VLOOKUP(Tabelle8[[#This Row],[Rank]],Stammdaten[[Rank Verteilung D Mitte mit Rinde]:[Verteilung D Mitte mit Rinde]],2,FALSE)</f>
        <v>#N/A</v>
      </c>
      <c r="L3866">
        <v>3857</v>
      </c>
      <c r="M3866" t="e">
        <f>INDEX(Stammdaten[Abholzigkeit (mm/lfm)],MATCH(Tabelle9[[#This Row],[Rank]],Stammdaten[Rank Verteilung Abholzigkeit],0))</f>
        <v>#N/A</v>
      </c>
      <c r="N3866" t="e">
        <f>VLOOKUP(Tabelle9[[#This Row],[Rank]],Stammdaten[[Rank Verteilung Abholzigkeit]:[Verteilung Abholzigkeit]],2,FALSE)</f>
        <v>#N/A</v>
      </c>
      <c r="S3866">
        <v>3857</v>
      </c>
      <c r="T3866" t="e">
        <f>INDEX(Stammdaten[Krümmung (mm/lfm)],MATCH(Tabelle10[[#This Row],[Rank]],Stammdaten[Rank Verteilung Krümmung],0))</f>
        <v>#N/A</v>
      </c>
      <c r="U3866" t="e">
        <f>VLOOKUP(Tabelle10[[#This Row],[Rank]],Stammdaten[[Rank Verteilung Krümmung]:[Verteilung Krümmung]],2,FALSE)</f>
        <v>#N/A</v>
      </c>
      <c r="Z3866">
        <v>3857</v>
      </c>
      <c r="AA3866" t="e">
        <f>INDEX(Stammdaten[Ovalität (']0,1'])],MATCH(Tabelle1014[[#This Row],[Rank]],Stammdaten[Rank Verteilung Ovalität],0))</f>
        <v>#N/A</v>
      </c>
      <c r="AB3866" t="e">
        <f>VLOOKUP(Tabelle1014[[#This Row],[Rank]],Stammdaten[[Rank Verteilung Ovalität]:[Verteilung Ovalität]],2,FALSE)</f>
        <v>#N/A</v>
      </c>
    </row>
    <row r="3867" spans="5:28" x14ac:dyDescent="0.35">
      <c r="E3867">
        <v>3858</v>
      </c>
      <c r="F3867" t="e">
        <f>INDEX(Stammdaten[D Mitte mit Rinde (mm)],MATCH(Tabelle8[[#This Row],[Rank]],Stammdaten[Rank Verteilung D Mitte mit Rinde],0))</f>
        <v>#N/A</v>
      </c>
      <c r="G3867" t="e">
        <f>VLOOKUP(Tabelle8[[#This Row],[Rank]],Stammdaten[[Rank Verteilung D Mitte mit Rinde]:[Verteilung D Mitte mit Rinde]],2,FALSE)</f>
        <v>#N/A</v>
      </c>
      <c r="L3867">
        <v>3858</v>
      </c>
      <c r="M3867" t="e">
        <f>INDEX(Stammdaten[Abholzigkeit (mm/lfm)],MATCH(Tabelle9[[#This Row],[Rank]],Stammdaten[Rank Verteilung Abholzigkeit],0))</f>
        <v>#N/A</v>
      </c>
      <c r="N3867" t="e">
        <f>VLOOKUP(Tabelle9[[#This Row],[Rank]],Stammdaten[[Rank Verteilung Abholzigkeit]:[Verteilung Abholzigkeit]],2,FALSE)</f>
        <v>#N/A</v>
      </c>
      <c r="S3867">
        <v>3858</v>
      </c>
      <c r="T3867" t="e">
        <f>INDEX(Stammdaten[Krümmung (mm/lfm)],MATCH(Tabelle10[[#This Row],[Rank]],Stammdaten[Rank Verteilung Krümmung],0))</f>
        <v>#N/A</v>
      </c>
      <c r="U3867" t="e">
        <f>VLOOKUP(Tabelle10[[#This Row],[Rank]],Stammdaten[[Rank Verteilung Krümmung]:[Verteilung Krümmung]],2,FALSE)</f>
        <v>#N/A</v>
      </c>
      <c r="Z3867">
        <v>3858</v>
      </c>
      <c r="AA3867" t="e">
        <f>INDEX(Stammdaten[Ovalität (']0,1'])],MATCH(Tabelle1014[[#This Row],[Rank]],Stammdaten[Rank Verteilung Ovalität],0))</f>
        <v>#N/A</v>
      </c>
      <c r="AB3867" t="e">
        <f>VLOOKUP(Tabelle1014[[#This Row],[Rank]],Stammdaten[[Rank Verteilung Ovalität]:[Verteilung Ovalität]],2,FALSE)</f>
        <v>#N/A</v>
      </c>
    </row>
    <row r="3868" spans="5:28" x14ac:dyDescent="0.35">
      <c r="E3868">
        <v>3859</v>
      </c>
      <c r="F3868" t="e">
        <f>INDEX(Stammdaten[D Mitte mit Rinde (mm)],MATCH(Tabelle8[[#This Row],[Rank]],Stammdaten[Rank Verteilung D Mitte mit Rinde],0))</f>
        <v>#N/A</v>
      </c>
      <c r="G3868" t="e">
        <f>VLOOKUP(Tabelle8[[#This Row],[Rank]],Stammdaten[[Rank Verteilung D Mitte mit Rinde]:[Verteilung D Mitte mit Rinde]],2,FALSE)</f>
        <v>#N/A</v>
      </c>
      <c r="L3868">
        <v>3859</v>
      </c>
      <c r="M3868" t="e">
        <f>INDEX(Stammdaten[Abholzigkeit (mm/lfm)],MATCH(Tabelle9[[#This Row],[Rank]],Stammdaten[Rank Verteilung Abholzigkeit],0))</f>
        <v>#N/A</v>
      </c>
      <c r="N3868" t="e">
        <f>VLOOKUP(Tabelle9[[#This Row],[Rank]],Stammdaten[[Rank Verteilung Abholzigkeit]:[Verteilung Abholzigkeit]],2,FALSE)</f>
        <v>#N/A</v>
      </c>
      <c r="S3868">
        <v>3859</v>
      </c>
      <c r="T3868" t="e">
        <f>INDEX(Stammdaten[Krümmung (mm/lfm)],MATCH(Tabelle10[[#This Row],[Rank]],Stammdaten[Rank Verteilung Krümmung],0))</f>
        <v>#N/A</v>
      </c>
      <c r="U3868" t="e">
        <f>VLOOKUP(Tabelle10[[#This Row],[Rank]],Stammdaten[[Rank Verteilung Krümmung]:[Verteilung Krümmung]],2,FALSE)</f>
        <v>#N/A</v>
      </c>
      <c r="Z3868">
        <v>3859</v>
      </c>
      <c r="AA3868" t="e">
        <f>INDEX(Stammdaten[Ovalität (']0,1'])],MATCH(Tabelle1014[[#This Row],[Rank]],Stammdaten[Rank Verteilung Ovalität],0))</f>
        <v>#N/A</v>
      </c>
      <c r="AB3868" t="e">
        <f>VLOOKUP(Tabelle1014[[#This Row],[Rank]],Stammdaten[[Rank Verteilung Ovalität]:[Verteilung Ovalität]],2,FALSE)</f>
        <v>#N/A</v>
      </c>
    </row>
    <row r="3869" spans="5:28" x14ac:dyDescent="0.35">
      <c r="E3869">
        <v>3860</v>
      </c>
      <c r="F3869" t="e">
        <f>INDEX(Stammdaten[D Mitte mit Rinde (mm)],MATCH(Tabelle8[[#This Row],[Rank]],Stammdaten[Rank Verteilung D Mitte mit Rinde],0))</f>
        <v>#N/A</v>
      </c>
      <c r="G3869" t="e">
        <f>VLOOKUP(Tabelle8[[#This Row],[Rank]],Stammdaten[[Rank Verteilung D Mitte mit Rinde]:[Verteilung D Mitte mit Rinde]],2,FALSE)</f>
        <v>#N/A</v>
      </c>
      <c r="L3869">
        <v>3860</v>
      </c>
      <c r="M3869" t="e">
        <f>INDEX(Stammdaten[Abholzigkeit (mm/lfm)],MATCH(Tabelle9[[#This Row],[Rank]],Stammdaten[Rank Verteilung Abholzigkeit],0))</f>
        <v>#N/A</v>
      </c>
      <c r="N3869" t="e">
        <f>VLOOKUP(Tabelle9[[#This Row],[Rank]],Stammdaten[[Rank Verteilung Abholzigkeit]:[Verteilung Abholzigkeit]],2,FALSE)</f>
        <v>#N/A</v>
      </c>
      <c r="S3869">
        <v>3860</v>
      </c>
      <c r="T3869" t="e">
        <f>INDEX(Stammdaten[Krümmung (mm/lfm)],MATCH(Tabelle10[[#This Row],[Rank]],Stammdaten[Rank Verteilung Krümmung],0))</f>
        <v>#N/A</v>
      </c>
      <c r="U3869" t="e">
        <f>VLOOKUP(Tabelle10[[#This Row],[Rank]],Stammdaten[[Rank Verteilung Krümmung]:[Verteilung Krümmung]],2,FALSE)</f>
        <v>#N/A</v>
      </c>
      <c r="Z3869">
        <v>3860</v>
      </c>
      <c r="AA3869" t="e">
        <f>INDEX(Stammdaten[Ovalität (']0,1'])],MATCH(Tabelle1014[[#This Row],[Rank]],Stammdaten[Rank Verteilung Ovalität],0))</f>
        <v>#N/A</v>
      </c>
      <c r="AB3869" t="e">
        <f>VLOOKUP(Tabelle1014[[#This Row],[Rank]],Stammdaten[[Rank Verteilung Ovalität]:[Verteilung Ovalität]],2,FALSE)</f>
        <v>#N/A</v>
      </c>
    </row>
    <row r="3870" spans="5:28" x14ac:dyDescent="0.35">
      <c r="E3870">
        <v>3861</v>
      </c>
      <c r="F3870" t="e">
        <f>INDEX(Stammdaten[D Mitte mit Rinde (mm)],MATCH(Tabelle8[[#This Row],[Rank]],Stammdaten[Rank Verteilung D Mitte mit Rinde],0))</f>
        <v>#N/A</v>
      </c>
      <c r="G3870" t="e">
        <f>VLOOKUP(Tabelle8[[#This Row],[Rank]],Stammdaten[[Rank Verteilung D Mitte mit Rinde]:[Verteilung D Mitte mit Rinde]],2,FALSE)</f>
        <v>#N/A</v>
      </c>
      <c r="L3870">
        <v>3861</v>
      </c>
      <c r="M3870" t="e">
        <f>INDEX(Stammdaten[Abholzigkeit (mm/lfm)],MATCH(Tabelle9[[#This Row],[Rank]],Stammdaten[Rank Verteilung Abholzigkeit],0))</f>
        <v>#N/A</v>
      </c>
      <c r="N3870" t="e">
        <f>VLOOKUP(Tabelle9[[#This Row],[Rank]],Stammdaten[[Rank Verteilung Abholzigkeit]:[Verteilung Abholzigkeit]],2,FALSE)</f>
        <v>#N/A</v>
      </c>
      <c r="S3870">
        <v>3861</v>
      </c>
      <c r="T3870" t="e">
        <f>INDEX(Stammdaten[Krümmung (mm/lfm)],MATCH(Tabelle10[[#This Row],[Rank]],Stammdaten[Rank Verteilung Krümmung],0))</f>
        <v>#N/A</v>
      </c>
      <c r="U3870" t="e">
        <f>VLOOKUP(Tabelle10[[#This Row],[Rank]],Stammdaten[[Rank Verteilung Krümmung]:[Verteilung Krümmung]],2,FALSE)</f>
        <v>#N/A</v>
      </c>
      <c r="Z3870">
        <v>3861</v>
      </c>
      <c r="AA3870" t="e">
        <f>INDEX(Stammdaten[Ovalität (']0,1'])],MATCH(Tabelle1014[[#This Row],[Rank]],Stammdaten[Rank Verteilung Ovalität],0))</f>
        <v>#N/A</v>
      </c>
      <c r="AB3870" t="e">
        <f>VLOOKUP(Tabelle1014[[#This Row],[Rank]],Stammdaten[[Rank Verteilung Ovalität]:[Verteilung Ovalität]],2,FALSE)</f>
        <v>#N/A</v>
      </c>
    </row>
    <row r="3871" spans="5:28" x14ac:dyDescent="0.35">
      <c r="E3871">
        <v>3862</v>
      </c>
      <c r="F3871" t="e">
        <f>INDEX(Stammdaten[D Mitte mit Rinde (mm)],MATCH(Tabelle8[[#This Row],[Rank]],Stammdaten[Rank Verteilung D Mitte mit Rinde],0))</f>
        <v>#N/A</v>
      </c>
      <c r="G3871" t="e">
        <f>VLOOKUP(Tabelle8[[#This Row],[Rank]],Stammdaten[[Rank Verteilung D Mitte mit Rinde]:[Verteilung D Mitte mit Rinde]],2,FALSE)</f>
        <v>#N/A</v>
      </c>
      <c r="L3871">
        <v>3862</v>
      </c>
      <c r="M3871" t="e">
        <f>INDEX(Stammdaten[Abholzigkeit (mm/lfm)],MATCH(Tabelle9[[#This Row],[Rank]],Stammdaten[Rank Verteilung Abholzigkeit],0))</f>
        <v>#N/A</v>
      </c>
      <c r="N3871" t="e">
        <f>VLOOKUP(Tabelle9[[#This Row],[Rank]],Stammdaten[[Rank Verteilung Abholzigkeit]:[Verteilung Abholzigkeit]],2,FALSE)</f>
        <v>#N/A</v>
      </c>
      <c r="S3871">
        <v>3862</v>
      </c>
      <c r="T3871" t="e">
        <f>INDEX(Stammdaten[Krümmung (mm/lfm)],MATCH(Tabelle10[[#This Row],[Rank]],Stammdaten[Rank Verteilung Krümmung],0))</f>
        <v>#N/A</v>
      </c>
      <c r="U3871" t="e">
        <f>VLOOKUP(Tabelle10[[#This Row],[Rank]],Stammdaten[[Rank Verteilung Krümmung]:[Verteilung Krümmung]],2,FALSE)</f>
        <v>#N/A</v>
      </c>
      <c r="Z3871">
        <v>3862</v>
      </c>
      <c r="AA3871" t="e">
        <f>INDEX(Stammdaten[Ovalität (']0,1'])],MATCH(Tabelle1014[[#This Row],[Rank]],Stammdaten[Rank Verteilung Ovalität],0))</f>
        <v>#N/A</v>
      </c>
      <c r="AB3871" t="e">
        <f>VLOOKUP(Tabelle1014[[#This Row],[Rank]],Stammdaten[[Rank Verteilung Ovalität]:[Verteilung Ovalität]],2,FALSE)</f>
        <v>#N/A</v>
      </c>
    </row>
    <row r="3872" spans="5:28" x14ac:dyDescent="0.35">
      <c r="E3872">
        <v>3863</v>
      </c>
      <c r="F3872" t="e">
        <f>INDEX(Stammdaten[D Mitte mit Rinde (mm)],MATCH(Tabelle8[[#This Row],[Rank]],Stammdaten[Rank Verteilung D Mitte mit Rinde],0))</f>
        <v>#N/A</v>
      </c>
      <c r="G3872" t="e">
        <f>VLOOKUP(Tabelle8[[#This Row],[Rank]],Stammdaten[[Rank Verteilung D Mitte mit Rinde]:[Verteilung D Mitte mit Rinde]],2,FALSE)</f>
        <v>#N/A</v>
      </c>
      <c r="L3872">
        <v>3863</v>
      </c>
      <c r="M3872" t="e">
        <f>INDEX(Stammdaten[Abholzigkeit (mm/lfm)],MATCH(Tabelle9[[#This Row],[Rank]],Stammdaten[Rank Verteilung Abholzigkeit],0))</f>
        <v>#N/A</v>
      </c>
      <c r="N3872" t="e">
        <f>VLOOKUP(Tabelle9[[#This Row],[Rank]],Stammdaten[[Rank Verteilung Abholzigkeit]:[Verteilung Abholzigkeit]],2,FALSE)</f>
        <v>#N/A</v>
      </c>
      <c r="S3872">
        <v>3863</v>
      </c>
      <c r="T3872" t="e">
        <f>INDEX(Stammdaten[Krümmung (mm/lfm)],MATCH(Tabelle10[[#This Row],[Rank]],Stammdaten[Rank Verteilung Krümmung],0))</f>
        <v>#N/A</v>
      </c>
      <c r="U3872" t="e">
        <f>VLOOKUP(Tabelle10[[#This Row],[Rank]],Stammdaten[[Rank Verteilung Krümmung]:[Verteilung Krümmung]],2,FALSE)</f>
        <v>#N/A</v>
      </c>
      <c r="Z3872">
        <v>3863</v>
      </c>
      <c r="AA3872" t="e">
        <f>INDEX(Stammdaten[Ovalität (']0,1'])],MATCH(Tabelle1014[[#This Row],[Rank]],Stammdaten[Rank Verteilung Ovalität],0))</f>
        <v>#N/A</v>
      </c>
      <c r="AB3872" t="e">
        <f>VLOOKUP(Tabelle1014[[#This Row],[Rank]],Stammdaten[[Rank Verteilung Ovalität]:[Verteilung Ovalität]],2,FALSE)</f>
        <v>#N/A</v>
      </c>
    </row>
    <row r="3873" spans="5:28" x14ac:dyDescent="0.35">
      <c r="E3873">
        <v>3864</v>
      </c>
      <c r="F3873" t="e">
        <f>INDEX(Stammdaten[D Mitte mit Rinde (mm)],MATCH(Tabelle8[[#This Row],[Rank]],Stammdaten[Rank Verteilung D Mitte mit Rinde],0))</f>
        <v>#N/A</v>
      </c>
      <c r="G3873" t="e">
        <f>VLOOKUP(Tabelle8[[#This Row],[Rank]],Stammdaten[[Rank Verteilung D Mitte mit Rinde]:[Verteilung D Mitte mit Rinde]],2,FALSE)</f>
        <v>#N/A</v>
      </c>
      <c r="L3873">
        <v>3864</v>
      </c>
      <c r="M3873" t="e">
        <f>INDEX(Stammdaten[Abholzigkeit (mm/lfm)],MATCH(Tabelle9[[#This Row],[Rank]],Stammdaten[Rank Verteilung Abholzigkeit],0))</f>
        <v>#N/A</v>
      </c>
      <c r="N3873" t="e">
        <f>VLOOKUP(Tabelle9[[#This Row],[Rank]],Stammdaten[[Rank Verteilung Abholzigkeit]:[Verteilung Abholzigkeit]],2,FALSE)</f>
        <v>#N/A</v>
      </c>
      <c r="S3873">
        <v>3864</v>
      </c>
      <c r="T3873" t="e">
        <f>INDEX(Stammdaten[Krümmung (mm/lfm)],MATCH(Tabelle10[[#This Row],[Rank]],Stammdaten[Rank Verteilung Krümmung],0))</f>
        <v>#N/A</v>
      </c>
      <c r="U3873" t="e">
        <f>VLOOKUP(Tabelle10[[#This Row],[Rank]],Stammdaten[[Rank Verteilung Krümmung]:[Verteilung Krümmung]],2,FALSE)</f>
        <v>#N/A</v>
      </c>
      <c r="Z3873">
        <v>3864</v>
      </c>
      <c r="AA3873" t="e">
        <f>INDEX(Stammdaten[Ovalität (']0,1'])],MATCH(Tabelle1014[[#This Row],[Rank]],Stammdaten[Rank Verteilung Ovalität],0))</f>
        <v>#N/A</v>
      </c>
      <c r="AB3873" t="e">
        <f>VLOOKUP(Tabelle1014[[#This Row],[Rank]],Stammdaten[[Rank Verteilung Ovalität]:[Verteilung Ovalität]],2,FALSE)</f>
        <v>#N/A</v>
      </c>
    </row>
    <row r="3874" spans="5:28" x14ac:dyDescent="0.35">
      <c r="E3874">
        <v>3865</v>
      </c>
      <c r="F3874" t="e">
        <f>INDEX(Stammdaten[D Mitte mit Rinde (mm)],MATCH(Tabelle8[[#This Row],[Rank]],Stammdaten[Rank Verteilung D Mitte mit Rinde],0))</f>
        <v>#N/A</v>
      </c>
      <c r="G3874" t="e">
        <f>VLOOKUP(Tabelle8[[#This Row],[Rank]],Stammdaten[[Rank Verteilung D Mitte mit Rinde]:[Verteilung D Mitte mit Rinde]],2,FALSE)</f>
        <v>#N/A</v>
      </c>
      <c r="L3874">
        <v>3865</v>
      </c>
      <c r="M3874" t="e">
        <f>INDEX(Stammdaten[Abholzigkeit (mm/lfm)],MATCH(Tabelle9[[#This Row],[Rank]],Stammdaten[Rank Verteilung Abholzigkeit],0))</f>
        <v>#N/A</v>
      </c>
      <c r="N3874" t="e">
        <f>VLOOKUP(Tabelle9[[#This Row],[Rank]],Stammdaten[[Rank Verteilung Abholzigkeit]:[Verteilung Abholzigkeit]],2,FALSE)</f>
        <v>#N/A</v>
      </c>
      <c r="S3874">
        <v>3865</v>
      </c>
      <c r="T3874" t="e">
        <f>INDEX(Stammdaten[Krümmung (mm/lfm)],MATCH(Tabelle10[[#This Row],[Rank]],Stammdaten[Rank Verteilung Krümmung],0))</f>
        <v>#N/A</v>
      </c>
      <c r="U3874" t="e">
        <f>VLOOKUP(Tabelle10[[#This Row],[Rank]],Stammdaten[[Rank Verteilung Krümmung]:[Verteilung Krümmung]],2,FALSE)</f>
        <v>#N/A</v>
      </c>
      <c r="Z3874">
        <v>3865</v>
      </c>
      <c r="AA3874" t="e">
        <f>INDEX(Stammdaten[Ovalität (']0,1'])],MATCH(Tabelle1014[[#This Row],[Rank]],Stammdaten[Rank Verteilung Ovalität],0))</f>
        <v>#N/A</v>
      </c>
      <c r="AB3874" t="e">
        <f>VLOOKUP(Tabelle1014[[#This Row],[Rank]],Stammdaten[[Rank Verteilung Ovalität]:[Verteilung Ovalität]],2,FALSE)</f>
        <v>#N/A</v>
      </c>
    </row>
    <row r="3875" spans="5:28" x14ac:dyDescent="0.35">
      <c r="E3875">
        <v>3866</v>
      </c>
      <c r="F3875" t="e">
        <f>INDEX(Stammdaten[D Mitte mit Rinde (mm)],MATCH(Tabelle8[[#This Row],[Rank]],Stammdaten[Rank Verteilung D Mitte mit Rinde],0))</f>
        <v>#N/A</v>
      </c>
      <c r="G3875" t="e">
        <f>VLOOKUP(Tabelle8[[#This Row],[Rank]],Stammdaten[[Rank Verteilung D Mitte mit Rinde]:[Verteilung D Mitte mit Rinde]],2,FALSE)</f>
        <v>#N/A</v>
      </c>
      <c r="L3875">
        <v>3866</v>
      </c>
      <c r="M3875" t="e">
        <f>INDEX(Stammdaten[Abholzigkeit (mm/lfm)],MATCH(Tabelle9[[#This Row],[Rank]],Stammdaten[Rank Verteilung Abholzigkeit],0))</f>
        <v>#N/A</v>
      </c>
      <c r="N3875" t="e">
        <f>VLOOKUP(Tabelle9[[#This Row],[Rank]],Stammdaten[[Rank Verteilung Abholzigkeit]:[Verteilung Abholzigkeit]],2,FALSE)</f>
        <v>#N/A</v>
      </c>
      <c r="S3875">
        <v>3866</v>
      </c>
      <c r="T3875" t="e">
        <f>INDEX(Stammdaten[Krümmung (mm/lfm)],MATCH(Tabelle10[[#This Row],[Rank]],Stammdaten[Rank Verteilung Krümmung],0))</f>
        <v>#N/A</v>
      </c>
      <c r="U3875" t="e">
        <f>VLOOKUP(Tabelle10[[#This Row],[Rank]],Stammdaten[[Rank Verteilung Krümmung]:[Verteilung Krümmung]],2,FALSE)</f>
        <v>#N/A</v>
      </c>
      <c r="Z3875">
        <v>3866</v>
      </c>
      <c r="AA3875" t="e">
        <f>INDEX(Stammdaten[Ovalität (']0,1'])],MATCH(Tabelle1014[[#This Row],[Rank]],Stammdaten[Rank Verteilung Ovalität],0))</f>
        <v>#N/A</v>
      </c>
      <c r="AB3875" t="e">
        <f>VLOOKUP(Tabelle1014[[#This Row],[Rank]],Stammdaten[[Rank Verteilung Ovalität]:[Verteilung Ovalität]],2,FALSE)</f>
        <v>#N/A</v>
      </c>
    </row>
    <row r="3876" spans="5:28" x14ac:dyDescent="0.35">
      <c r="E3876">
        <v>3867</v>
      </c>
      <c r="F3876" t="e">
        <f>INDEX(Stammdaten[D Mitte mit Rinde (mm)],MATCH(Tabelle8[[#This Row],[Rank]],Stammdaten[Rank Verteilung D Mitte mit Rinde],0))</f>
        <v>#N/A</v>
      </c>
      <c r="G3876" t="e">
        <f>VLOOKUP(Tabelle8[[#This Row],[Rank]],Stammdaten[[Rank Verteilung D Mitte mit Rinde]:[Verteilung D Mitte mit Rinde]],2,FALSE)</f>
        <v>#N/A</v>
      </c>
      <c r="L3876">
        <v>3867</v>
      </c>
      <c r="M3876" t="e">
        <f>INDEX(Stammdaten[Abholzigkeit (mm/lfm)],MATCH(Tabelle9[[#This Row],[Rank]],Stammdaten[Rank Verteilung Abholzigkeit],0))</f>
        <v>#N/A</v>
      </c>
      <c r="N3876" t="e">
        <f>VLOOKUP(Tabelle9[[#This Row],[Rank]],Stammdaten[[Rank Verteilung Abholzigkeit]:[Verteilung Abholzigkeit]],2,FALSE)</f>
        <v>#N/A</v>
      </c>
      <c r="S3876">
        <v>3867</v>
      </c>
      <c r="T3876" t="e">
        <f>INDEX(Stammdaten[Krümmung (mm/lfm)],MATCH(Tabelle10[[#This Row],[Rank]],Stammdaten[Rank Verteilung Krümmung],0))</f>
        <v>#N/A</v>
      </c>
      <c r="U3876" t="e">
        <f>VLOOKUP(Tabelle10[[#This Row],[Rank]],Stammdaten[[Rank Verteilung Krümmung]:[Verteilung Krümmung]],2,FALSE)</f>
        <v>#N/A</v>
      </c>
      <c r="Z3876">
        <v>3867</v>
      </c>
      <c r="AA3876" t="e">
        <f>INDEX(Stammdaten[Ovalität (']0,1'])],MATCH(Tabelle1014[[#This Row],[Rank]],Stammdaten[Rank Verteilung Ovalität],0))</f>
        <v>#N/A</v>
      </c>
      <c r="AB3876" t="e">
        <f>VLOOKUP(Tabelle1014[[#This Row],[Rank]],Stammdaten[[Rank Verteilung Ovalität]:[Verteilung Ovalität]],2,FALSE)</f>
        <v>#N/A</v>
      </c>
    </row>
    <row r="3877" spans="5:28" x14ac:dyDescent="0.35">
      <c r="E3877">
        <v>3868</v>
      </c>
      <c r="F3877" t="e">
        <f>INDEX(Stammdaten[D Mitte mit Rinde (mm)],MATCH(Tabelle8[[#This Row],[Rank]],Stammdaten[Rank Verteilung D Mitte mit Rinde],0))</f>
        <v>#N/A</v>
      </c>
      <c r="G3877" t="e">
        <f>VLOOKUP(Tabelle8[[#This Row],[Rank]],Stammdaten[[Rank Verteilung D Mitte mit Rinde]:[Verteilung D Mitte mit Rinde]],2,FALSE)</f>
        <v>#N/A</v>
      </c>
      <c r="L3877">
        <v>3868</v>
      </c>
      <c r="M3877" t="e">
        <f>INDEX(Stammdaten[Abholzigkeit (mm/lfm)],MATCH(Tabelle9[[#This Row],[Rank]],Stammdaten[Rank Verteilung Abholzigkeit],0))</f>
        <v>#N/A</v>
      </c>
      <c r="N3877" t="e">
        <f>VLOOKUP(Tabelle9[[#This Row],[Rank]],Stammdaten[[Rank Verteilung Abholzigkeit]:[Verteilung Abholzigkeit]],2,FALSE)</f>
        <v>#N/A</v>
      </c>
      <c r="S3877">
        <v>3868</v>
      </c>
      <c r="T3877" t="e">
        <f>INDEX(Stammdaten[Krümmung (mm/lfm)],MATCH(Tabelle10[[#This Row],[Rank]],Stammdaten[Rank Verteilung Krümmung],0))</f>
        <v>#N/A</v>
      </c>
      <c r="U3877" t="e">
        <f>VLOOKUP(Tabelle10[[#This Row],[Rank]],Stammdaten[[Rank Verteilung Krümmung]:[Verteilung Krümmung]],2,FALSE)</f>
        <v>#N/A</v>
      </c>
      <c r="Z3877">
        <v>3868</v>
      </c>
      <c r="AA3877" t="e">
        <f>INDEX(Stammdaten[Ovalität (']0,1'])],MATCH(Tabelle1014[[#This Row],[Rank]],Stammdaten[Rank Verteilung Ovalität],0))</f>
        <v>#N/A</v>
      </c>
      <c r="AB3877" t="e">
        <f>VLOOKUP(Tabelle1014[[#This Row],[Rank]],Stammdaten[[Rank Verteilung Ovalität]:[Verteilung Ovalität]],2,FALSE)</f>
        <v>#N/A</v>
      </c>
    </row>
    <row r="3878" spans="5:28" x14ac:dyDescent="0.35">
      <c r="E3878">
        <v>3869</v>
      </c>
      <c r="F3878" t="e">
        <f>INDEX(Stammdaten[D Mitte mit Rinde (mm)],MATCH(Tabelle8[[#This Row],[Rank]],Stammdaten[Rank Verteilung D Mitte mit Rinde],0))</f>
        <v>#N/A</v>
      </c>
      <c r="G3878" t="e">
        <f>VLOOKUP(Tabelle8[[#This Row],[Rank]],Stammdaten[[Rank Verteilung D Mitte mit Rinde]:[Verteilung D Mitte mit Rinde]],2,FALSE)</f>
        <v>#N/A</v>
      </c>
      <c r="L3878">
        <v>3869</v>
      </c>
      <c r="M3878" t="e">
        <f>INDEX(Stammdaten[Abholzigkeit (mm/lfm)],MATCH(Tabelle9[[#This Row],[Rank]],Stammdaten[Rank Verteilung Abholzigkeit],0))</f>
        <v>#N/A</v>
      </c>
      <c r="N3878" t="e">
        <f>VLOOKUP(Tabelle9[[#This Row],[Rank]],Stammdaten[[Rank Verteilung Abholzigkeit]:[Verteilung Abholzigkeit]],2,FALSE)</f>
        <v>#N/A</v>
      </c>
      <c r="S3878">
        <v>3869</v>
      </c>
      <c r="T3878" t="e">
        <f>INDEX(Stammdaten[Krümmung (mm/lfm)],MATCH(Tabelle10[[#This Row],[Rank]],Stammdaten[Rank Verteilung Krümmung],0))</f>
        <v>#N/A</v>
      </c>
      <c r="U3878" t="e">
        <f>VLOOKUP(Tabelle10[[#This Row],[Rank]],Stammdaten[[Rank Verteilung Krümmung]:[Verteilung Krümmung]],2,FALSE)</f>
        <v>#N/A</v>
      </c>
      <c r="Z3878">
        <v>3869</v>
      </c>
      <c r="AA3878" t="e">
        <f>INDEX(Stammdaten[Ovalität (']0,1'])],MATCH(Tabelle1014[[#This Row],[Rank]],Stammdaten[Rank Verteilung Ovalität],0))</f>
        <v>#N/A</v>
      </c>
      <c r="AB3878" t="e">
        <f>VLOOKUP(Tabelle1014[[#This Row],[Rank]],Stammdaten[[Rank Verteilung Ovalität]:[Verteilung Ovalität]],2,FALSE)</f>
        <v>#N/A</v>
      </c>
    </row>
    <row r="3879" spans="5:28" x14ac:dyDescent="0.35">
      <c r="E3879">
        <v>3870</v>
      </c>
      <c r="F3879" t="e">
        <f>INDEX(Stammdaten[D Mitte mit Rinde (mm)],MATCH(Tabelle8[[#This Row],[Rank]],Stammdaten[Rank Verteilung D Mitte mit Rinde],0))</f>
        <v>#N/A</v>
      </c>
      <c r="G3879" t="e">
        <f>VLOOKUP(Tabelle8[[#This Row],[Rank]],Stammdaten[[Rank Verteilung D Mitte mit Rinde]:[Verteilung D Mitte mit Rinde]],2,FALSE)</f>
        <v>#N/A</v>
      </c>
      <c r="L3879">
        <v>3870</v>
      </c>
      <c r="M3879" t="e">
        <f>INDEX(Stammdaten[Abholzigkeit (mm/lfm)],MATCH(Tabelle9[[#This Row],[Rank]],Stammdaten[Rank Verteilung Abholzigkeit],0))</f>
        <v>#N/A</v>
      </c>
      <c r="N3879" t="e">
        <f>VLOOKUP(Tabelle9[[#This Row],[Rank]],Stammdaten[[Rank Verteilung Abholzigkeit]:[Verteilung Abholzigkeit]],2,FALSE)</f>
        <v>#N/A</v>
      </c>
      <c r="S3879">
        <v>3870</v>
      </c>
      <c r="T3879" t="e">
        <f>INDEX(Stammdaten[Krümmung (mm/lfm)],MATCH(Tabelle10[[#This Row],[Rank]],Stammdaten[Rank Verteilung Krümmung],0))</f>
        <v>#N/A</v>
      </c>
      <c r="U3879" t="e">
        <f>VLOOKUP(Tabelle10[[#This Row],[Rank]],Stammdaten[[Rank Verteilung Krümmung]:[Verteilung Krümmung]],2,FALSE)</f>
        <v>#N/A</v>
      </c>
      <c r="Z3879">
        <v>3870</v>
      </c>
      <c r="AA3879" t="e">
        <f>INDEX(Stammdaten[Ovalität (']0,1'])],MATCH(Tabelle1014[[#This Row],[Rank]],Stammdaten[Rank Verteilung Ovalität],0))</f>
        <v>#N/A</v>
      </c>
      <c r="AB3879" t="e">
        <f>VLOOKUP(Tabelle1014[[#This Row],[Rank]],Stammdaten[[Rank Verteilung Ovalität]:[Verteilung Ovalität]],2,FALSE)</f>
        <v>#N/A</v>
      </c>
    </row>
    <row r="3880" spans="5:28" x14ac:dyDescent="0.35">
      <c r="E3880">
        <v>3871</v>
      </c>
      <c r="F3880" t="e">
        <f>INDEX(Stammdaten[D Mitte mit Rinde (mm)],MATCH(Tabelle8[[#This Row],[Rank]],Stammdaten[Rank Verteilung D Mitte mit Rinde],0))</f>
        <v>#N/A</v>
      </c>
      <c r="G3880" t="e">
        <f>VLOOKUP(Tabelle8[[#This Row],[Rank]],Stammdaten[[Rank Verteilung D Mitte mit Rinde]:[Verteilung D Mitte mit Rinde]],2,FALSE)</f>
        <v>#N/A</v>
      </c>
      <c r="L3880">
        <v>3871</v>
      </c>
      <c r="M3880" t="e">
        <f>INDEX(Stammdaten[Abholzigkeit (mm/lfm)],MATCH(Tabelle9[[#This Row],[Rank]],Stammdaten[Rank Verteilung Abholzigkeit],0))</f>
        <v>#N/A</v>
      </c>
      <c r="N3880" t="e">
        <f>VLOOKUP(Tabelle9[[#This Row],[Rank]],Stammdaten[[Rank Verteilung Abholzigkeit]:[Verteilung Abholzigkeit]],2,FALSE)</f>
        <v>#N/A</v>
      </c>
      <c r="S3880">
        <v>3871</v>
      </c>
      <c r="T3880" t="e">
        <f>INDEX(Stammdaten[Krümmung (mm/lfm)],MATCH(Tabelle10[[#This Row],[Rank]],Stammdaten[Rank Verteilung Krümmung],0))</f>
        <v>#N/A</v>
      </c>
      <c r="U3880" t="e">
        <f>VLOOKUP(Tabelle10[[#This Row],[Rank]],Stammdaten[[Rank Verteilung Krümmung]:[Verteilung Krümmung]],2,FALSE)</f>
        <v>#N/A</v>
      </c>
      <c r="Z3880">
        <v>3871</v>
      </c>
      <c r="AA3880" t="e">
        <f>INDEX(Stammdaten[Ovalität (']0,1'])],MATCH(Tabelle1014[[#This Row],[Rank]],Stammdaten[Rank Verteilung Ovalität],0))</f>
        <v>#N/A</v>
      </c>
      <c r="AB3880" t="e">
        <f>VLOOKUP(Tabelle1014[[#This Row],[Rank]],Stammdaten[[Rank Verteilung Ovalität]:[Verteilung Ovalität]],2,FALSE)</f>
        <v>#N/A</v>
      </c>
    </row>
    <row r="3881" spans="5:28" x14ac:dyDescent="0.35">
      <c r="E3881">
        <v>3872</v>
      </c>
      <c r="F3881" t="e">
        <f>INDEX(Stammdaten[D Mitte mit Rinde (mm)],MATCH(Tabelle8[[#This Row],[Rank]],Stammdaten[Rank Verteilung D Mitte mit Rinde],0))</f>
        <v>#N/A</v>
      </c>
      <c r="G3881" t="e">
        <f>VLOOKUP(Tabelle8[[#This Row],[Rank]],Stammdaten[[Rank Verteilung D Mitte mit Rinde]:[Verteilung D Mitte mit Rinde]],2,FALSE)</f>
        <v>#N/A</v>
      </c>
      <c r="L3881">
        <v>3872</v>
      </c>
      <c r="M3881" t="e">
        <f>INDEX(Stammdaten[Abholzigkeit (mm/lfm)],MATCH(Tabelle9[[#This Row],[Rank]],Stammdaten[Rank Verteilung Abholzigkeit],0))</f>
        <v>#N/A</v>
      </c>
      <c r="N3881" t="e">
        <f>VLOOKUP(Tabelle9[[#This Row],[Rank]],Stammdaten[[Rank Verteilung Abholzigkeit]:[Verteilung Abholzigkeit]],2,FALSE)</f>
        <v>#N/A</v>
      </c>
      <c r="S3881">
        <v>3872</v>
      </c>
      <c r="T3881" t="e">
        <f>INDEX(Stammdaten[Krümmung (mm/lfm)],MATCH(Tabelle10[[#This Row],[Rank]],Stammdaten[Rank Verteilung Krümmung],0))</f>
        <v>#N/A</v>
      </c>
      <c r="U3881" t="e">
        <f>VLOOKUP(Tabelle10[[#This Row],[Rank]],Stammdaten[[Rank Verteilung Krümmung]:[Verteilung Krümmung]],2,FALSE)</f>
        <v>#N/A</v>
      </c>
      <c r="Z3881">
        <v>3872</v>
      </c>
      <c r="AA3881" t="e">
        <f>INDEX(Stammdaten[Ovalität (']0,1'])],MATCH(Tabelle1014[[#This Row],[Rank]],Stammdaten[Rank Verteilung Ovalität],0))</f>
        <v>#N/A</v>
      </c>
      <c r="AB3881" t="e">
        <f>VLOOKUP(Tabelle1014[[#This Row],[Rank]],Stammdaten[[Rank Verteilung Ovalität]:[Verteilung Ovalität]],2,FALSE)</f>
        <v>#N/A</v>
      </c>
    </row>
    <row r="3882" spans="5:28" x14ac:dyDescent="0.35">
      <c r="E3882">
        <v>3873</v>
      </c>
      <c r="F3882" t="e">
        <f>INDEX(Stammdaten[D Mitte mit Rinde (mm)],MATCH(Tabelle8[[#This Row],[Rank]],Stammdaten[Rank Verteilung D Mitte mit Rinde],0))</f>
        <v>#N/A</v>
      </c>
      <c r="G3882" t="e">
        <f>VLOOKUP(Tabelle8[[#This Row],[Rank]],Stammdaten[[Rank Verteilung D Mitte mit Rinde]:[Verteilung D Mitte mit Rinde]],2,FALSE)</f>
        <v>#N/A</v>
      </c>
      <c r="L3882">
        <v>3873</v>
      </c>
      <c r="M3882" t="e">
        <f>INDEX(Stammdaten[Abholzigkeit (mm/lfm)],MATCH(Tabelle9[[#This Row],[Rank]],Stammdaten[Rank Verteilung Abholzigkeit],0))</f>
        <v>#N/A</v>
      </c>
      <c r="N3882" t="e">
        <f>VLOOKUP(Tabelle9[[#This Row],[Rank]],Stammdaten[[Rank Verteilung Abholzigkeit]:[Verteilung Abholzigkeit]],2,FALSE)</f>
        <v>#N/A</v>
      </c>
      <c r="S3882">
        <v>3873</v>
      </c>
      <c r="T3882" t="e">
        <f>INDEX(Stammdaten[Krümmung (mm/lfm)],MATCH(Tabelle10[[#This Row],[Rank]],Stammdaten[Rank Verteilung Krümmung],0))</f>
        <v>#N/A</v>
      </c>
      <c r="U3882" t="e">
        <f>VLOOKUP(Tabelle10[[#This Row],[Rank]],Stammdaten[[Rank Verteilung Krümmung]:[Verteilung Krümmung]],2,FALSE)</f>
        <v>#N/A</v>
      </c>
      <c r="Z3882">
        <v>3873</v>
      </c>
      <c r="AA3882" t="e">
        <f>INDEX(Stammdaten[Ovalität (']0,1'])],MATCH(Tabelle1014[[#This Row],[Rank]],Stammdaten[Rank Verteilung Ovalität],0))</f>
        <v>#N/A</v>
      </c>
      <c r="AB3882" t="e">
        <f>VLOOKUP(Tabelle1014[[#This Row],[Rank]],Stammdaten[[Rank Verteilung Ovalität]:[Verteilung Ovalität]],2,FALSE)</f>
        <v>#N/A</v>
      </c>
    </row>
    <row r="3883" spans="5:28" x14ac:dyDescent="0.35">
      <c r="E3883">
        <v>3874</v>
      </c>
      <c r="F3883" t="e">
        <f>INDEX(Stammdaten[D Mitte mit Rinde (mm)],MATCH(Tabelle8[[#This Row],[Rank]],Stammdaten[Rank Verteilung D Mitte mit Rinde],0))</f>
        <v>#N/A</v>
      </c>
      <c r="G3883" t="e">
        <f>VLOOKUP(Tabelle8[[#This Row],[Rank]],Stammdaten[[Rank Verteilung D Mitte mit Rinde]:[Verteilung D Mitte mit Rinde]],2,FALSE)</f>
        <v>#N/A</v>
      </c>
      <c r="L3883">
        <v>3874</v>
      </c>
      <c r="M3883" t="e">
        <f>INDEX(Stammdaten[Abholzigkeit (mm/lfm)],MATCH(Tabelle9[[#This Row],[Rank]],Stammdaten[Rank Verteilung Abholzigkeit],0))</f>
        <v>#N/A</v>
      </c>
      <c r="N3883" t="e">
        <f>VLOOKUP(Tabelle9[[#This Row],[Rank]],Stammdaten[[Rank Verteilung Abholzigkeit]:[Verteilung Abholzigkeit]],2,FALSE)</f>
        <v>#N/A</v>
      </c>
      <c r="S3883">
        <v>3874</v>
      </c>
      <c r="T3883" t="e">
        <f>INDEX(Stammdaten[Krümmung (mm/lfm)],MATCH(Tabelle10[[#This Row],[Rank]],Stammdaten[Rank Verteilung Krümmung],0))</f>
        <v>#N/A</v>
      </c>
      <c r="U3883" t="e">
        <f>VLOOKUP(Tabelle10[[#This Row],[Rank]],Stammdaten[[Rank Verteilung Krümmung]:[Verteilung Krümmung]],2,FALSE)</f>
        <v>#N/A</v>
      </c>
      <c r="Z3883">
        <v>3874</v>
      </c>
      <c r="AA3883" t="e">
        <f>INDEX(Stammdaten[Ovalität (']0,1'])],MATCH(Tabelle1014[[#This Row],[Rank]],Stammdaten[Rank Verteilung Ovalität],0))</f>
        <v>#N/A</v>
      </c>
      <c r="AB3883" t="e">
        <f>VLOOKUP(Tabelle1014[[#This Row],[Rank]],Stammdaten[[Rank Verteilung Ovalität]:[Verteilung Ovalität]],2,FALSE)</f>
        <v>#N/A</v>
      </c>
    </row>
    <row r="3884" spans="5:28" x14ac:dyDescent="0.35">
      <c r="E3884">
        <v>3875</v>
      </c>
      <c r="F3884" t="e">
        <f>INDEX(Stammdaten[D Mitte mit Rinde (mm)],MATCH(Tabelle8[[#This Row],[Rank]],Stammdaten[Rank Verteilung D Mitte mit Rinde],0))</f>
        <v>#N/A</v>
      </c>
      <c r="G3884" t="e">
        <f>VLOOKUP(Tabelle8[[#This Row],[Rank]],Stammdaten[[Rank Verteilung D Mitte mit Rinde]:[Verteilung D Mitte mit Rinde]],2,FALSE)</f>
        <v>#N/A</v>
      </c>
      <c r="L3884">
        <v>3875</v>
      </c>
      <c r="M3884" t="e">
        <f>INDEX(Stammdaten[Abholzigkeit (mm/lfm)],MATCH(Tabelle9[[#This Row],[Rank]],Stammdaten[Rank Verteilung Abholzigkeit],0))</f>
        <v>#N/A</v>
      </c>
      <c r="N3884" t="e">
        <f>VLOOKUP(Tabelle9[[#This Row],[Rank]],Stammdaten[[Rank Verteilung Abholzigkeit]:[Verteilung Abholzigkeit]],2,FALSE)</f>
        <v>#N/A</v>
      </c>
      <c r="S3884">
        <v>3875</v>
      </c>
      <c r="T3884" t="e">
        <f>INDEX(Stammdaten[Krümmung (mm/lfm)],MATCH(Tabelle10[[#This Row],[Rank]],Stammdaten[Rank Verteilung Krümmung],0))</f>
        <v>#N/A</v>
      </c>
      <c r="U3884" t="e">
        <f>VLOOKUP(Tabelle10[[#This Row],[Rank]],Stammdaten[[Rank Verteilung Krümmung]:[Verteilung Krümmung]],2,FALSE)</f>
        <v>#N/A</v>
      </c>
      <c r="Z3884">
        <v>3875</v>
      </c>
      <c r="AA3884" t="e">
        <f>INDEX(Stammdaten[Ovalität (']0,1'])],MATCH(Tabelle1014[[#This Row],[Rank]],Stammdaten[Rank Verteilung Ovalität],0))</f>
        <v>#N/A</v>
      </c>
      <c r="AB3884" t="e">
        <f>VLOOKUP(Tabelle1014[[#This Row],[Rank]],Stammdaten[[Rank Verteilung Ovalität]:[Verteilung Ovalität]],2,FALSE)</f>
        <v>#N/A</v>
      </c>
    </row>
    <row r="3885" spans="5:28" x14ac:dyDescent="0.35">
      <c r="E3885">
        <v>3876</v>
      </c>
      <c r="F3885" t="e">
        <f>INDEX(Stammdaten[D Mitte mit Rinde (mm)],MATCH(Tabelle8[[#This Row],[Rank]],Stammdaten[Rank Verteilung D Mitte mit Rinde],0))</f>
        <v>#N/A</v>
      </c>
      <c r="G3885" t="e">
        <f>VLOOKUP(Tabelle8[[#This Row],[Rank]],Stammdaten[[Rank Verteilung D Mitte mit Rinde]:[Verteilung D Mitte mit Rinde]],2,FALSE)</f>
        <v>#N/A</v>
      </c>
      <c r="L3885">
        <v>3876</v>
      </c>
      <c r="M3885" t="e">
        <f>INDEX(Stammdaten[Abholzigkeit (mm/lfm)],MATCH(Tabelle9[[#This Row],[Rank]],Stammdaten[Rank Verteilung Abholzigkeit],0))</f>
        <v>#N/A</v>
      </c>
      <c r="N3885" t="e">
        <f>VLOOKUP(Tabelle9[[#This Row],[Rank]],Stammdaten[[Rank Verteilung Abholzigkeit]:[Verteilung Abholzigkeit]],2,FALSE)</f>
        <v>#N/A</v>
      </c>
      <c r="S3885">
        <v>3876</v>
      </c>
      <c r="T3885" t="e">
        <f>INDEX(Stammdaten[Krümmung (mm/lfm)],MATCH(Tabelle10[[#This Row],[Rank]],Stammdaten[Rank Verteilung Krümmung],0))</f>
        <v>#N/A</v>
      </c>
      <c r="U3885" t="e">
        <f>VLOOKUP(Tabelle10[[#This Row],[Rank]],Stammdaten[[Rank Verteilung Krümmung]:[Verteilung Krümmung]],2,FALSE)</f>
        <v>#N/A</v>
      </c>
      <c r="Z3885">
        <v>3876</v>
      </c>
      <c r="AA3885" t="e">
        <f>INDEX(Stammdaten[Ovalität (']0,1'])],MATCH(Tabelle1014[[#This Row],[Rank]],Stammdaten[Rank Verteilung Ovalität],0))</f>
        <v>#N/A</v>
      </c>
      <c r="AB3885" t="e">
        <f>VLOOKUP(Tabelle1014[[#This Row],[Rank]],Stammdaten[[Rank Verteilung Ovalität]:[Verteilung Ovalität]],2,FALSE)</f>
        <v>#N/A</v>
      </c>
    </row>
    <row r="3886" spans="5:28" x14ac:dyDescent="0.35">
      <c r="E3886">
        <v>3877</v>
      </c>
      <c r="F3886" t="e">
        <f>INDEX(Stammdaten[D Mitte mit Rinde (mm)],MATCH(Tabelle8[[#This Row],[Rank]],Stammdaten[Rank Verteilung D Mitte mit Rinde],0))</f>
        <v>#N/A</v>
      </c>
      <c r="G3886" t="e">
        <f>VLOOKUP(Tabelle8[[#This Row],[Rank]],Stammdaten[[Rank Verteilung D Mitte mit Rinde]:[Verteilung D Mitte mit Rinde]],2,FALSE)</f>
        <v>#N/A</v>
      </c>
      <c r="L3886">
        <v>3877</v>
      </c>
      <c r="M3886" t="e">
        <f>INDEX(Stammdaten[Abholzigkeit (mm/lfm)],MATCH(Tabelle9[[#This Row],[Rank]],Stammdaten[Rank Verteilung Abholzigkeit],0))</f>
        <v>#N/A</v>
      </c>
      <c r="N3886" t="e">
        <f>VLOOKUP(Tabelle9[[#This Row],[Rank]],Stammdaten[[Rank Verteilung Abholzigkeit]:[Verteilung Abholzigkeit]],2,FALSE)</f>
        <v>#N/A</v>
      </c>
      <c r="S3886">
        <v>3877</v>
      </c>
      <c r="T3886" t="e">
        <f>INDEX(Stammdaten[Krümmung (mm/lfm)],MATCH(Tabelle10[[#This Row],[Rank]],Stammdaten[Rank Verteilung Krümmung],0))</f>
        <v>#N/A</v>
      </c>
      <c r="U3886" t="e">
        <f>VLOOKUP(Tabelle10[[#This Row],[Rank]],Stammdaten[[Rank Verteilung Krümmung]:[Verteilung Krümmung]],2,FALSE)</f>
        <v>#N/A</v>
      </c>
      <c r="Z3886">
        <v>3877</v>
      </c>
      <c r="AA3886" t="e">
        <f>INDEX(Stammdaten[Ovalität (']0,1'])],MATCH(Tabelle1014[[#This Row],[Rank]],Stammdaten[Rank Verteilung Ovalität],0))</f>
        <v>#N/A</v>
      </c>
      <c r="AB3886" t="e">
        <f>VLOOKUP(Tabelle1014[[#This Row],[Rank]],Stammdaten[[Rank Verteilung Ovalität]:[Verteilung Ovalität]],2,FALSE)</f>
        <v>#N/A</v>
      </c>
    </row>
    <row r="3887" spans="5:28" x14ac:dyDescent="0.35">
      <c r="E3887">
        <v>3878</v>
      </c>
      <c r="F3887" t="e">
        <f>INDEX(Stammdaten[D Mitte mit Rinde (mm)],MATCH(Tabelle8[[#This Row],[Rank]],Stammdaten[Rank Verteilung D Mitte mit Rinde],0))</f>
        <v>#N/A</v>
      </c>
      <c r="G3887" t="e">
        <f>VLOOKUP(Tabelle8[[#This Row],[Rank]],Stammdaten[[Rank Verteilung D Mitte mit Rinde]:[Verteilung D Mitte mit Rinde]],2,FALSE)</f>
        <v>#N/A</v>
      </c>
      <c r="L3887">
        <v>3878</v>
      </c>
      <c r="M3887" t="e">
        <f>INDEX(Stammdaten[Abholzigkeit (mm/lfm)],MATCH(Tabelle9[[#This Row],[Rank]],Stammdaten[Rank Verteilung Abholzigkeit],0))</f>
        <v>#N/A</v>
      </c>
      <c r="N3887" t="e">
        <f>VLOOKUP(Tabelle9[[#This Row],[Rank]],Stammdaten[[Rank Verteilung Abholzigkeit]:[Verteilung Abholzigkeit]],2,FALSE)</f>
        <v>#N/A</v>
      </c>
      <c r="S3887">
        <v>3878</v>
      </c>
      <c r="T3887" t="e">
        <f>INDEX(Stammdaten[Krümmung (mm/lfm)],MATCH(Tabelle10[[#This Row],[Rank]],Stammdaten[Rank Verteilung Krümmung],0))</f>
        <v>#N/A</v>
      </c>
      <c r="U3887" t="e">
        <f>VLOOKUP(Tabelle10[[#This Row],[Rank]],Stammdaten[[Rank Verteilung Krümmung]:[Verteilung Krümmung]],2,FALSE)</f>
        <v>#N/A</v>
      </c>
      <c r="Z3887">
        <v>3878</v>
      </c>
      <c r="AA3887" t="e">
        <f>INDEX(Stammdaten[Ovalität (']0,1'])],MATCH(Tabelle1014[[#This Row],[Rank]],Stammdaten[Rank Verteilung Ovalität],0))</f>
        <v>#N/A</v>
      </c>
      <c r="AB3887" t="e">
        <f>VLOOKUP(Tabelle1014[[#This Row],[Rank]],Stammdaten[[Rank Verteilung Ovalität]:[Verteilung Ovalität]],2,FALSE)</f>
        <v>#N/A</v>
      </c>
    </row>
    <row r="3888" spans="5:28" x14ac:dyDescent="0.35">
      <c r="E3888">
        <v>3879</v>
      </c>
      <c r="F3888" t="e">
        <f>INDEX(Stammdaten[D Mitte mit Rinde (mm)],MATCH(Tabelle8[[#This Row],[Rank]],Stammdaten[Rank Verteilung D Mitte mit Rinde],0))</f>
        <v>#N/A</v>
      </c>
      <c r="G3888" t="e">
        <f>VLOOKUP(Tabelle8[[#This Row],[Rank]],Stammdaten[[Rank Verteilung D Mitte mit Rinde]:[Verteilung D Mitte mit Rinde]],2,FALSE)</f>
        <v>#N/A</v>
      </c>
      <c r="L3888">
        <v>3879</v>
      </c>
      <c r="M3888" t="e">
        <f>INDEX(Stammdaten[Abholzigkeit (mm/lfm)],MATCH(Tabelle9[[#This Row],[Rank]],Stammdaten[Rank Verteilung Abholzigkeit],0))</f>
        <v>#N/A</v>
      </c>
      <c r="N3888" t="e">
        <f>VLOOKUP(Tabelle9[[#This Row],[Rank]],Stammdaten[[Rank Verteilung Abholzigkeit]:[Verteilung Abholzigkeit]],2,FALSE)</f>
        <v>#N/A</v>
      </c>
      <c r="S3888">
        <v>3879</v>
      </c>
      <c r="T3888" t="e">
        <f>INDEX(Stammdaten[Krümmung (mm/lfm)],MATCH(Tabelle10[[#This Row],[Rank]],Stammdaten[Rank Verteilung Krümmung],0))</f>
        <v>#N/A</v>
      </c>
      <c r="U3888" t="e">
        <f>VLOOKUP(Tabelle10[[#This Row],[Rank]],Stammdaten[[Rank Verteilung Krümmung]:[Verteilung Krümmung]],2,FALSE)</f>
        <v>#N/A</v>
      </c>
      <c r="Z3888">
        <v>3879</v>
      </c>
      <c r="AA3888" t="e">
        <f>INDEX(Stammdaten[Ovalität (']0,1'])],MATCH(Tabelle1014[[#This Row],[Rank]],Stammdaten[Rank Verteilung Ovalität],0))</f>
        <v>#N/A</v>
      </c>
      <c r="AB3888" t="e">
        <f>VLOOKUP(Tabelle1014[[#This Row],[Rank]],Stammdaten[[Rank Verteilung Ovalität]:[Verteilung Ovalität]],2,FALSE)</f>
        <v>#N/A</v>
      </c>
    </row>
    <row r="3889" spans="5:28" x14ac:dyDescent="0.35">
      <c r="E3889">
        <v>3880</v>
      </c>
      <c r="F3889" t="e">
        <f>INDEX(Stammdaten[D Mitte mit Rinde (mm)],MATCH(Tabelle8[[#This Row],[Rank]],Stammdaten[Rank Verteilung D Mitte mit Rinde],0))</f>
        <v>#N/A</v>
      </c>
      <c r="G3889" t="e">
        <f>VLOOKUP(Tabelle8[[#This Row],[Rank]],Stammdaten[[Rank Verteilung D Mitte mit Rinde]:[Verteilung D Mitte mit Rinde]],2,FALSE)</f>
        <v>#N/A</v>
      </c>
      <c r="L3889">
        <v>3880</v>
      </c>
      <c r="M3889" t="e">
        <f>INDEX(Stammdaten[Abholzigkeit (mm/lfm)],MATCH(Tabelle9[[#This Row],[Rank]],Stammdaten[Rank Verteilung Abholzigkeit],0))</f>
        <v>#N/A</v>
      </c>
      <c r="N3889" t="e">
        <f>VLOOKUP(Tabelle9[[#This Row],[Rank]],Stammdaten[[Rank Verteilung Abholzigkeit]:[Verteilung Abholzigkeit]],2,FALSE)</f>
        <v>#N/A</v>
      </c>
      <c r="S3889">
        <v>3880</v>
      </c>
      <c r="T3889" t="e">
        <f>INDEX(Stammdaten[Krümmung (mm/lfm)],MATCH(Tabelle10[[#This Row],[Rank]],Stammdaten[Rank Verteilung Krümmung],0))</f>
        <v>#N/A</v>
      </c>
      <c r="U3889" t="e">
        <f>VLOOKUP(Tabelle10[[#This Row],[Rank]],Stammdaten[[Rank Verteilung Krümmung]:[Verteilung Krümmung]],2,FALSE)</f>
        <v>#N/A</v>
      </c>
      <c r="Z3889">
        <v>3880</v>
      </c>
      <c r="AA3889" t="e">
        <f>INDEX(Stammdaten[Ovalität (']0,1'])],MATCH(Tabelle1014[[#This Row],[Rank]],Stammdaten[Rank Verteilung Ovalität],0))</f>
        <v>#N/A</v>
      </c>
      <c r="AB3889" t="e">
        <f>VLOOKUP(Tabelle1014[[#This Row],[Rank]],Stammdaten[[Rank Verteilung Ovalität]:[Verteilung Ovalität]],2,FALSE)</f>
        <v>#N/A</v>
      </c>
    </row>
    <row r="3890" spans="5:28" x14ac:dyDescent="0.35">
      <c r="E3890">
        <v>3881</v>
      </c>
      <c r="F3890" t="e">
        <f>INDEX(Stammdaten[D Mitte mit Rinde (mm)],MATCH(Tabelle8[[#This Row],[Rank]],Stammdaten[Rank Verteilung D Mitte mit Rinde],0))</f>
        <v>#N/A</v>
      </c>
      <c r="G3890" t="e">
        <f>VLOOKUP(Tabelle8[[#This Row],[Rank]],Stammdaten[[Rank Verteilung D Mitte mit Rinde]:[Verteilung D Mitte mit Rinde]],2,FALSE)</f>
        <v>#N/A</v>
      </c>
      <c r="L3890">
        <v>3881</v>
      </c>
      <c r="M3890" t="e">
        <f>INDEX(Stammdaten[Abholzigkeit (mm/lfm)],MATCH(Tabelle9[[#This Row],[Rank]],Stammdaten[Rank Verteilung Abholzigkeit],0))</f>
        <v>#N/A</v>
      </c>
      <c r="N3890" t="e">
        <f>VLOOKUP(Tabelle9[[#This Row],[Rank]],Stammdaten[[Rank Verteilung Abholzigkeit]:[Verteilung Abholzigkeit]],2,FALSE)</f>
        <v>#N/A</v>
      </c>
      <c r="S3890">
        <v>3881</v>
      </c>
      <c r="T3890" t="e">
        <f>INDEX(Stammdaten[Krümmung (mm/lfm)],MATCH(Tabelle10[[#This Row],[Rank]],Stammdaten[Rank Verteilung Krümmung],0))</f>
        <v>#N/A</v>
      </c>
      <c r="U3890" t="e">
        <f>VLOOKUP(Tabelle10[[#This Row],[Rank]],Stammdaten[[Rank Verteilung Krümmung]:[Verteilung Krümmung]],2,FALSE)</f>
        <v>#N/A</v>
      </c>
      <c r="Z3890">
        <v>3881</v>
      </c>
      <c r="AA3890" t="e">
        <f>INDEX(Stammdaten[Ovalität (']0,1'])],MATCH(Tabelle1014[[#This Row],[Rank]],Stammdaten[Rank Verteilung Ovalität],0))</f>
        <v>#N/A</v>
      </c>
      <c r="AB3890" t="e">
        <f>VLOOKUP(Tabelle1014[[#This Row],[Rank]],Stammdaten[[Rank Verteilung Ovalität]:[Verteilung Ovalität]],2,FALSE)</f>
        <v>#N/A</v>
      </c>
    </row>
    <row r="3891" spans="5:28" x14ac:dyDescent="0.35">
      <c r="E3891">
        <v>3882</v>
      </c>
      <c r="F3891" t="e">
        <f>INDEX(Stammdaten[D Mitte mit Rinde (mm)],MATCH(Tabelle8[[#This Row],[Rank]],Stammdaten[Rank Verteilung D Mitte mit Rinde],0))</f>
        <v>#N/A</v>
      </c>
      <c r="G3891" t="e">
        <f>VLOOKUP(Tabelle8[[#This Row],[Rank]],Stammdaten[[Rank Verteilung D Mitte mit Rinde]:[Verteilung D Mitte mit Rinde]],2,FALSE)</f>
        <v>#N/A</v>
      </c>
      <c r="L3891">
        <v>3882</v>
      </c>
      <c r="M3891" t="e">
        <f>INDEX(Stammdaten[Abholzigkeit (mm/lfm)],MATCH(Tabelle9[[#This Row],[Rank]],Stammdaten[Rank Verteilung Abholzigkeit],0))</f>
        <v>#N/A</v>
      </c>
      <c r="N3891" t="e">
        <f>VLOOKUP(Tabelle9[[#This Row],[Rank]],Stammdaten[[Rank Verteilung Abholzigkeit]:[Verteilung Abholzigkeit]],2,FALSE)</f>
        <v>#N/A</v>
      </c>
      <c r="S3891">
        <v>3882</v>
      </c>
      <c r="T3891" t="e">
        <f>INDEX(Stammdaten[Krümmung (mm/lfm)],MATCH(Tabelle10[[#This Row],[Rank]],Stammdaten[Rank Verteilung Krümmung],0))</f>
        <v>#N/A</v>
      </c>
      <c r="U3891" t="e">
        <f>VLOOKUP(Tabelle10[[#This Row],[Rank]],Stammdaten[[Rank Verteilung Krümmung]:[Verteilung Krümmung]],2,FALSE)</f>
        <v>#N/A</v>
      </c>
      <c r="Z3891">
        <v>3882</v>
      </c>
      <c r="AA3891" t="e">
        <f>INDEX(Stammdaten[Ovalität (']0,1'])],MATCH(Tabelle1014[[#This Row],[Rank]],Stammdaten[Rank Verteilung Ovalität],0))</f>
        <v>#N/A</v>
      </c>
      <c r="AB3891" t="e">
        <f>VLOOKUP(Tabelle1014[[#This Row],[Rank]],Stammdaten[[Rank Verteilung Ovalität]:[Verteilung Ovalität]],2,FALSE)</f>
        <v>#N/A</v>
      </c>
    </row>
    <row r="3892" spans="5:28" x14ac:dyDescent="0.35">
      <c r="E3892">
        <v>3883</v>
      </c>
      <c r="F3892" t="e">
        <f>INDEX(Stammdaten[D Mitte mit Rinde (mm)],MATCH(Tabelle8[[#This Row],[Rank]],Stammdaten[Rank Verteilung D Mitte mit Rinde],0))</f>
        <v>#N/A</v>
      </c>
      <c r="G3892" t="e">
        <f>VLOOKUP(Tabelle8[[#This Row],[Rank]],Stammdaten[[Rank Verteilung D Mitte mit Rinde]:[Verteilung D Mitte mit Rinde]],2,FALSE)</f>
        <v>#N/A</v>
      </c>
      <c r="L3892">
        <v>3883</v>
      </c>
      <c r="M3892" t="e">
        <f>INDEX(Stammdaten[Abholzigkeit (mm/lfm)],MATCH(Tabelle9[[#This Row],[Rank]],Stammdaten[Rank Verteilung Abholzigkeit],0))</f>
        <v>#N/A</v>
      </c>
      <c r="N3892" t="e">
        <f>VLOOKUP(Tabelle9[[#This Row],[Rank]],Stammdaten[[Rank Verteilung Abholzigkeit]:[Verteilung Abholzigkeit]],2,FALSE)</f>
        <v>#N/A</v>
      </c>
      <c r="S3892">
        <v>3883</v>
      </c>
      <c r="T3892" t="e">
        <f>INDEX(Stammdaten[Krümmung (mm/lfm)],MATCH(Tabelle10[[#This Row],[Rank]],Stammdaten[Rank Verteilung Krümmung],0))</f>
        <v>#N/A</v>
      </c>
      <c r="U3892" t="e">
        <f>VLOOKUP(Tabelle10[[#This Row],[Rank]],Stammdaten[[Rank Verteilung Krümmung]:[Verteilung Krümmung]],2,FALSE)</f>
        <v>#N/A</v>
      </c>
      <c r="Z3892">
        <v>3883</v>
      </c>
      <c r="AA3892" t="e">
        <f>INDEX(Stammdaten[Ovalität (']0,1'])],MATCH(Tabelle1014[[#This Row],[Rank]],Stammdaten[Rank Verteilung Ovalität],0))</f>
        <v>#N/A</v>
      </c>
      <c r="AB3892" t="e">
        <f>VLOOKUP(Tabelle1014[[#This Row],[Rank]],Stammdaten[[Rank Verteilung Ovalität]:[Verteilung Ovalität]],2,FALSE)</f>
        <v>#N/A</v>
      </c>
    </row>
    <row r="3893" spans="5:28" x14ac:dyDescent="0.35">
      <c r="E3893">
        <v>3884</v>
      </c>
      <c r="F3893" t="e">
        <f>INDEX(Stammdaten[D Mitte mit Rinde (mm)],MATCH(Tabelle8[[#This Row],[Rank]],Stammdaten[Rank Verteilung D Mitte mit Rinde],0))</f>
        <v>#N/A</v>
      </c>
      <c r="G3893" t="e">
        <f>VLOOKUP(Tabelle8[[#This Row],[Rank]],Stammdaten[[Rank Verteilung D Mitte mit Rinde]:[Verteilung D Mitte mit Rinde]],2,FALSE)</f>
        <v>#N/A</v>
      </c>
      <c r="L3893">
        <v>3884</v>
      </c>
      <c r="M3893" t="e">
        <f>INDEX(Stammdaten[Abholzigkeit (mm/lfm)],MATCH(Tabelle9[[#This Row],[Rank]],Stammdaten[Rank Verteilung Abholzigkeit],0))</f>
        <v>#N/A</v>
      </c>
      <c r="N3893" t="e">
        <f>VLOOKUP(Tabelle9[[#This Row],[Rank]],Stammdaten[[Rank Verteilung Abholzigkeit]:[Verteilung Abholzigkeit]],2,FALSE)</f>
        <v>#N/A</v>
      </c>
      <c r="S3893">
        <v>3884</v>
      </c>
      <c r="T3893" t="e">
        <f>INDEX(Stammdaten[Krümmung (mm/lfm)],MATCH(Tabelle10[[#This Row],[Rank]],Stammdaten[Rank Verteilung Krümmung],0))</f>
        <v>#N/A</v>
      </c>
      <c r="U3893" t="e">
        <f>VLOOKUP(Tabelle10[[#This Row],[Rank]],Stammdaten[[Rank Verteilung Krümmung]:[Verteilung Krümmung]],2,FALSE)</f>
        <v>#N/A</v>
      </c>
      <c r="Z3893">
        <v>3884</v>
      </c>
      <c r="AA3893" t="e">
        <f>INDEX(Stammdaten[Ovalität (']0,1'])],MATCH(Tabelle1014[[#This Row],[Rank]],Stammdaten[Rank Verteilung Ovalität],0))</f>
        <v>#N/A</v>
      </c>
      <c r="AB3893" t="e">
        <f>VLOOKUP(Tabelle1014[[#This Row],[Rank]],Stammdaten[[Rank Verteilung Ovalität]:[Verteilung Ovalität]],2,FALSE)</f>
        <v>#N/A</v>
      </c>
    </row>
    <row r="3894" spans="5:28" x14ac:dyDescent="0.35">
      <c r="E3894">
        <v>3885</v>
      </c>
      <c r="F3894" t="e">
        <f>INDEX(Stammdaten[D Mitte mit Rinde (mm)],MATCH(Tabelle8[[#This Row],[Rank]],Stammdaten[Rank Verteilung D Mitte mit Rinde],0))</f>
        <v>#N/A</v>
      </c>
      <c r="G3894" t="e">
        <f>VLOOKUP(Tabelle8[[#This Row],[Rank]],Stammdaten[[Rank Verteilung D Mitte mit Rinde]:[Verteilung D Mitte mit Rinde]],2,FALSE)</f>
        <v>#N/A</v>
      </c>
      <c r="L3894">
        <v>3885</v>
      </c>
      <c r="M3894" t="e">
        <f>INDEX(Stammdaten[Abholzigkeit (mm/lfm)],MATCH(Tabelle9[[#This Row],[Rank]],Stammdaten[Rank Verteilung Abholzigkeit],0))</f>
        <v>#N/A</v>
      </c>
      <c r="N3894" t="e">
        <f>VLOOKUP(Tabelle9[[#This Row],[Rank]],Stammdaten[[Rank Verteilung Abholzigkeit]:[Verteilung Abholzigkeit]],2,FALSE)</f>
        <v>#N/A</v>
      </c>
      <c r="S3894">
        <v>3885</v>
      </c>
      <c r="T3894" t="e">
        <f>INDEX(Stammdaten[Krümmung (mm/lfm)],MATCH(Tabelle10[[#This Row],[Rank]],Stammdaten[Rank Verteilung Krümmung],0))</f>
        <v>#N/A</v>
      </c>
      <c r="U3894" t="e">
        <f>VLOOKUP(Tabelle10[[#This Row],[Rank]],Stammdaten[[Rank Verteilung Krümmung]:[Verteilung Krümmung]],2,FALSE)</f>
        <v>#N/A</v>
      </c>
      <c r="Z3894">
        <v>3885</v>
      </c>
      <c r="AA3894" t="e">
        <f>INDEX(Stammdaten[Ovalität (']0,1'])],MATCH(Tabelle1014[[#This Row],[Rank]],Stammdaten[Rank Verteilung Ovalität],0))</f>
        <v>#N/A</v>
      </c>
      <c r="AB3894" t="e">
        <f>VLOOKUP(Tabelle1014[[#This Row],[Rank]],Stammdaten[[Rank Verteilung Ovalität]:[Verteilung Ovalität]],2,FALSE)</f>
        <v>#N/A</v>
      </c>
    </row>
    <row r="3895" spans="5:28" x14ac:dyDescent="0.35">
      <c r="E3895">
        <v>3886</v>
      </c>
      <c r="F3895" t="e">
        <f>INDEX(Stammdaten[D Mitte mit Rinde (mm)],MATCH(Tabelle8[[#This Row],[Rank]],Stammdaten[Rank Verteilung D Mitte mit Rinde],0))</f>
        <v>#N/A</v>
      </c>
      <c r="G3895" t="e">
        <f>VLOOKUP(Tabelle8[[#This Row],[Rank]],Stammdaten[[Rank Verteilung D Mitte mit Rinde]:[Verteilung D Mitte mit Rinde]],2,FALSE)</f>
        <v>#N/A</v>
      </c>
      <c r="L3895">
        <v>3886</v>
      </c>
      <c r="M3895" t="e">
        <f>INDEX(Stammdaten[Abholzigkeit (mm/lfm)],MATCH(Tabelle9[[#This Row],[Rank]],Stammdaten[Rank Verteilung Abholzigkeit],0))</f>
        <v>#N/A</v>
      </c>
      <c r="N3895" t="e">
        <f>VLOOKUP(Tabelle9[[#This Row],[Rank]],Stammdaten[[Rank Verteilung Abholzigkeit]:[Verteilung Abholzigkeit]],2,FALSE)</f>
        <v>#N/A</v>
      </c>
      <c r="S3895">
        <v>3886</v>
      </c>
      <c r="T3895" t="e">
        <f>INDEX(Stammdaten[Krümmung (mm/lfm)],MATCH(Tabelle10[[#This Row],[Rank]],Stammdaten[Rank Verteilung Krümmung],0))</f>
        <v>#N/A</v>
      </c>
      <c r="U3895" t="e">
        <f>VLOOKUP(Tabelle10[[#This Row],[Rank]],Stammdaten[[Rank Verteilung Krümmung]:[Verteilung Krümmung]],2,FALSE)</f>
        <v>#N/A</v>
      </c>
      <c r="Z3895">
        <v>3886</v>
      </c>
      <c r="AA3895" t="e">
        <f>INDEX(Stammdaten[Ovalität (']0,1'])],MATCH(Tabelle1014[[#This Row],[Rank]],Stammdaten[Rank Verteilung Ovalität],0))</f>
        <v>#N/A</v>
      </c>
      <c r="AB3895" t="e">
        <f>VLOOKUP(Tabelle1014[[#This Row],[Rank]],Stammdaten[[Rank Verteilung Ovalität]:[Verteilung Ovalität]],2,FALSE)</f>
        <v>#N/A</v>
      </c>
    </row>
    <row r="3896" spans="5:28" x14ac:dyDescent="0.35">
      <c r="E3896">
        <v>3887</v>
      </c>
      <c r="F3896" t="e">
        <f>INDEX(Stammdaten[D Mitte mit Rinde (mm)],MATCH(Tabelle8[[#This Row],[Rank]],Stammdaten[Rank Verteilung D Mitte mit Rinde],0))</f>
        <v>#N/A</v>
      </c>
      <c r="G3896" t="e">
        <f>VLOOKUP(Tabelle8[[#This Row],[Rank]],Stammdaten[[Rank Verteilung D Mitte mit Rinde]:[Verteilung D Mitte mit Rinde]],2,FALSE)</f>
        <v>#N/A</v>
      </c>
      <c r="L3896">
        <v>3887</v>
      </c>
      <c r="M3896" t="e">
        <f>INDEX(Stammdaten[Abholzigkeit (mm/lfm)],MATCH(Tabelle9[[#This Row],[Rank]],Stammdaten[Rank Verteilung Abholzigkeit],0))</f>
        <v>#N/A</v>
      </c>
      <c r="N3896" t="e">
        <f>VLOOKUP(Tabelle9[[#This Row],[Rank]],Stammdaten[[Rank Verteilung Abholzigkeit]:[Verteilung Abholzigkeit]],2,FALSE)</f>
        <v>#N/A</v>
      </c>
      <c r="S3896">
        <v>3887</v>
      </c>
      <c r="T3896" t="e">
        <f>INDEX(Stammdaten[Krümmung (mm/lfm)],MATCH(Tabelle10[[#This Row],[Rank]],Stammdaten[Rank Verteilung Krümmung],0))</f>
        <v>#N/A</v>
      </c>
      <c r="U3896" t="e">
        <f>VLOOKUP(Tabelle10[[#This Row],[Rank]],Stammdaten[[Rank Verteilung Krümmung]:[Verteilung Krümmung]],2,FALSE)</f>
        <v>#N/A</v>
      </c>
      <c r="Z3896">
        <v>3887</v>
      </c>
      <c r="AA3896" t="e">
        <f>INDEX(Stammdaten[Ovalität (']0,1'])],MATCH(Tabelle1014[[#This Row],[Rank]],Stammdaten[Rank Verteilung Ovalität],0))</f>
        <v>#N/A</v>
      </c>
      <c r="AB3896" t="e">
        <f>VLOOKUP(Tabelle1014[[#This Row],[Rank]],Stammdaten[[Rank Verteilung Ovalität]:[Verteilung Ovalität]],2,FALSE)</f>
        <v>#N/A</v>
      </c>
    </row>
    <row r="3897" spans="5:28" x14ac:dyDescent="0.35">
      <c r="E3897">
        <v>3888</v>
      </c>
      <c r="F3897" t="e">
        <f>INDEX(Stammdaten[D Mitte mit Rinde (mm)],MATCH(Tabelle8[[#This Row],[Rank]],Stammdaten[Rank Verteilung D Mitte mit Rinde],0))</f>
        <v>#N/A</v>
      </c>
      <c r="G3897" t="e">
        <f>VLOOKUP(Tabelle8[[#This Row],[Rank]],Stammdaten[[Rank Verteilung D Mitte mit Rinde]:[Verteilung D Mitte mit Rinde]],2,FALSE)</f>
        <v>#N/A</v>
      </c>
      <c r="L3897">
        <v>3888</v>
      </c>
      <c r="M3897" t="e">
        <f>INDEX(Stammdaten[Abholzigkeit (mm/lfm)],MATCH(Tabelle9[[#This Row],[Rank]],Stammdaten[Rank Verteilung Abholzigkeit],0))</f>
        <v>#N/A</v>
      </c>
      <c r="N3897" t="e">
        <f>VLOOKUP(Tabelle9[[#This Row],[Rank]],Stammdaten[[Rank Verteilung Abholzigkeit]:[Verteilung Abholzigkeit]],2,FALSE)</f>
        <v>#N/A</v>
      </c>
      <c r="S3897">
        <v>3888</v>
      </c>
      <c r="T3897" t="e">
        <f>INDEX(Stammdaten[Krümmung (mm/lfm)],MATCH(Tabelle10[[#This Row],[Rank]],Stammdaten[Rank Verteilung Krümmung],0))</f>
        <v>#N/A</v>
      </c>
      <c r="U3897" t="e">
        <f>VLOOKUP(Tabelle10[[#This Row],[Rank]],Stammdaten[[Rank Verteilung Krümmung]:[Verteilung Krümmung]],2,FALSE)</f>
        <v>#N/A</v>
      </c>
      <c r="Z3897">
        <v>3888</v>
      </c>
      <c r="AA3897" t="e">
        <f>INDEX(Stammdaten[Ovalität (']0,1'])],MATCH(Tabelle1014[[#This Row],[Rank]],Stammdaten[Rank Verteilung Ovalität],0))</f>
        <v>#N/A</v>
      </c>
      <c r="AB3897" t="e">
        <f>VLOOKUP(Tabelle1014[[#This Row],[Rank]],Stammdaten[[Rank Verteilung Ovalität]:[Verteilung Ovalität]],2,FALSE)</f>
        <v>#N/A</v>
      </c>
    </row>
    <row r="3898" spans="5:28" x14ac:dyDescent="0.35">
      <c r="E3898">
        <v>3889</v>
      </c>
      <c r="F3898" t="e">
        <f>INDEX(Stammdaten[D Mitte mit Rinde (mm)],MATCH(Tabelle8[[#This Row],[Rank]],Stammdaten[Rank Verteilung D Mitte mit Rinde],0))</f>
        <v>#N/A</v>
      </c>
      <c r="G3898" t="e">
        <f>VLOOKUP(Tabelle8[[#This Row],[Rank]],Stammdaten[[Rank Verteilung D Mitte mit Rinde]:[Verteilung D Mitte mit Rinde]],2,FALSE)</f>
        <v>#N/A</v>
      </c>
      <c r="L3898">
        <v>3889</v>
      </c>
      <c r="M3898" t="e">
        <f>INDEX(Stammdaten[Abholzigkeit (mm/lfm)],MATCH(Tabelle9[[#This Row],[Rank]],Stammdaten[Rank Verteilung Abholzigkeit],0))</f>
        <v>#N/A</v>
      </c>
      <c r="N3898" t="e">
        <f>VLOOKUP(Tabelle9[[#This Row],[Rank]],Stammdaten[[Rank Verteilung Abholzigkeit]:[Verteilung Abholzigkeit]],2,FALSE)</f>
        <v>#N/A</v>
      </c>
      <c r="S3898">
        <v>3889</v>
      </c>
      <c r="T3898" t="e">
        <f>INDEX(Stammdaten[Krümmung (mm/lfm)],MATCH(Tabelle10[[#This Row],[Rank]],Stammdaten[Rank Verteilung Krümmung],0))</f>
        <v>#N/A</v>
      </c>
      <c r="U3898" t="e">
        <f>VLOOKUP(Tabelle10[[#This Row],[Rank]],Stammdaten[[Rank Verteilung Krümmung]:[Verteilung Krümmung]],2,FALSE)</f>
        <v>#N/A</v>
      </c>
      <c r="Z3898">
        <v>3889</v>
      </c>
      <c r="AA3898" t="e">
        <f>INDEX(Stammdaten[Ovalität (']0,1'])],MATCH(Tabelle1014[[#This Row],[Rank]],Stammdaten[Rank Verteilung Ovalität],0))</f>
        <v>#N/A</v>
      </c>
      <c r="AB3898" t="e">
        <f>VLOOKUP(Tabelle1014[[#This Row],[Rank]],Stammdaten[[Rank Verteilung Ovalität]:[Verteilung Ovalität]],2,FALSE)</f>
        <v>#N/A</v>
      </c>
    </row>
    <row r="3899" spans="5:28" x14ac:dyDescent="0.35">
      <c r="E3899">
        <v>3890</v>
      </c>
      <c r="F3899" t="e">
        <f>INDEX(Stammdaten[D Mitte mit Rinde (mm)],MATCH(Tabelle8[[#This Row],[Rank]],Stammdaten[Rank Verteilung D Mitte mit Rinde],0))</f>
        <v>#N/A</v>
      </c>
      <c r="G3899" t="e">
        <f>VLOOKUP(Tabelle8[[#This Row],[Rank]],Stammdaten[[Rank Verteilung D Mitte mit Rinde]:[Verteilung D Mitte mit Rinde]],2,FALSE)</f>
        <v>#N/A</v>
      </c>
      <c r="L3899">
        <v>3890</v>
      </c>
      <c r="M3899" t="e">
        <f>INDEX(Stammdaten[Abholzigkeit (mm/lfm)],MATCH(Tabelle9[[#This Row],[Rank]],Stammdaten[Rank Verteilung Abholzigkeit],0))</f>
        <v>#N/A</v>
      </c>
      <c r="N3899" t="e">
        <f>VLOOKUP(Tabelle9[[#This Row],[Rank]],Stammdaten[[Rank Verteilung Abholzigkeit]:[Verteilung Abholzigkeit]],2,FALSE)</f>
        <v>#N/A</v>
      </c>
      <c r="S3899">
        <v>3890</v>
      </c>
      <c r="T3899" t="e">
        <f>INDEX(Stammdaten[Krümmung (mm/lfm)],MATCH(Tabelle10[[#This Row],[Rank]],Stammdaten[Rank Verteilung Krümmung],0))</f>
        <v>#N/A</v>
      </c>
      <c r="U3899" t="e">
        <f>VLOOKUP(Tabelle10[[#This Row],[Rank]],Stammdaten[[Rank Verteilung Krümmung]:[Verteilung Krümmung]],2,FALSE)</f>
        <v>#N/A</v>
      </c>
      <c r="Z3899">
        <v>3890</v>
      </c>
      <c r="AA3899" t="e">
        <f>INDEX(Stammdaten[Ovalität (']0,1'])],MATCH(Tabelle1014[[#This Row],[Rank]],Stammdaten[Rank Verteilung Ovalität],0))</f>
        <v>#N/A</v>
      </c>
      <c r="AB3899" t="e">
        <f>VLOOKUP(Tabelle1014[[#This Row],[Rank]],Stammdaten[[Rank Verteilung Ovalität]:[Verteilung Ovalität]],2,FALSE)</f>
        <v>#N/A</v>
      </c>
    </row>
    <row r="3900" spans="5:28" x14ac:dyDescent="0.35">
      <c r="E3900">
        <v>3891</v>
      </c>
      <c r="F3900" t="e">
        <f>INDEX(Stammdaten[D Mitte mit Rinde (mm)],MATCH(Tabelle8[[#This Row],[Rank]],Stammdaten[Rank Verteilung D Mitte mit Rinde],0))</f>
        <v>#N/A</v>
      </c>
      <c r="G3900" t="e">
        <f>VLOOKUP(Tabelle8[[#This Row],[Rank]],Stammdaten[[Rank Verteilung D Mitte mit Rinde]:[Verteilung D Mitte mit Rinde]],2,FALSE)</f>
        <v>#N/A</v>
      </c>
      <c r="L3900">
        <v>3891</v>
      </c>
      <c r="M3900" t="e">
        <f>INDEX(Stammdaten[Abholzigkeit (mm/lfm)],MATCH(Tabelle9[[#This Row],[Rank]],Stammdaten[Rank Verteilung Abholzigkeit],0))</f>
        <v>#N/A</v>
      </c>
      <c r="N3900" t="e">
        <f>VLOOKUP(Tabelle9[[#This Row],[Rank]],Stammdaten[[Rank Verteilung Abholzigkeit]:[Verteilung Abholzigkeit]],2,FALSE)</f>
        <v>#N/A</v>
      </c>
      <c r="S3900">
        <v>3891</v>
      </c>
      <c r="T3900" t="e">
        <f>INDEX(Stammdaten[Krümmung (mm/lfm)],MATCH(Tabelle10[[#This Row],[Rank]],Stammdaten[Rank Verteilung Krümmung],0))</f>
        <v>#N/A</v>
      </c>
      <c r="U3900" t="e">
        <f>VLOOKUP(Tabelle10[[#This Row],[Rank]],Stammdaten[[Rank Verteilung Krümmung]:[Verteilung Krümmung]],2,FALSE)</f>
        <v>#N/A</v>
      </c>
      <c r="Z3900">
        <v>3891</v>
      </c>
      <c r="AA3900" t="e">
        <f>INDEX(Stammdaten[Ovalität (']0,1'])],MATCH(Tabelle1014[[#This Row],[Rank]],Stammdaten[Rank Verteilung Ovalität],0))</f>
        <v>#N/A</v>
      </c>
      <c r="AB3900" t="e">
        <f>VLOOKUP(Tabelle1014[[#This Row],[Rank]],Stammdaten[[Rank Verteilung Ovalität]:[Verteilung Ovalität]],2,FALSE)</f>
        <v>#N/A</v>
      </c>
    </row>
    <row r="3901" spans="5:28" x14ac:dyDescent="0.35">
      <c r="E3901">
        <v>3892</v>
      </c>
      <c r="F3901" t="e">
        <f>INDEX(Stammdaten[D Mitte mit Rinde (mm)],MATCH(Tabelle8[[#This Row],[Rank]],Stammdaten[Rank Verteilung D Mitte mit Rinde],0))</f>
        <v>#N/A</v>
      </c>
      <c r="G3901" t="e">
        <f>VLOOKUP(Tabelle8[[#This Row],[Rank]],Stammdaten[[Rank Verteilung D Mitte mit Rinde]:[Verteilung D Mitte mit Rinde]],2,FALSE)</f>
        <v>#N/A</v>
      </c>
      <c r="L3901">
        <v>3892</v>
      </c>
      <c r="M3901" t="e">
        <f>INDEX(Stammdaten[Abholzigkeit (mm/lfm)],MATCH(Tabelle9[[#This Row],[Rank]],Stammdaten[Rank Verteilung Abholzigkeit],0))</f>
        <v>#N/A</v>
      </c>
      <c r="N3901" t="e">
        <f>VLOOKUP(Tabelle9[[#This Row],[Rank]],Stammdaten[[Rank Verteilung Abholzigkeit]:[Verteilung Abholzigkeit]],2,FALSE)</f>
        <v>#N/A</v>
      </c>
      <c r="S3901">
        <v>3892</v>
      </c>
      <c r="T3901" t="e">
        <f>INDEX(Stammdaten[Krümmung (mm/lfm)],MATCH(Tabelle10[[#This Row],[Rank]],Stammdaten[Rank Verteilung Krümmung],0))</f>
        <v>#N/A</v>
      </c>
      <c r="U3901" t="e">
        <f>VLOOKUP(Tabelle10[[#This Row],[Rank]],Stammdaten[[Rank Verteilung Krümmung]:[Verteilung Krümmung]],2,FALSE)</f>
        <v>#N/A</v>
      </c>
      <c r="Z3901">
        <v>3892</v>
      </c>
      <c r="AA3901" t="e">
        <f>INDEX(Stammdaten[Ovalität (']0,1'])],MATCH(Tabelle1014[[#This Row],[Rank]],Stammdaten[Rank Verteilung Ovalität],0))</f>
        <v>#N/A</v>
      </c>
      <c r="AB3901" t="e">
        <f>VLOOKUP(Tabelle1014[[#This Row],[Rank]],Stammdaten[[Rank Verteilung Ovalität]:[Verteilung Ovalität]],2,FALSE)</f>
        <v>#N/A</v>
      </c>
    </row>
    <row r="3902" spans="5:28" x14ac:dyDescent="0.35">
      <c r="E3902">
        <v>3893</v>
      </c>
      <c r="F3902" t="e">
        <f>INDEX(Stammdaten[D Mitte mit Rinde (mm)],MATCH(Tabelle8[[#This Row],[Rank]],Stammdaten[Rank Verteilung D Mitte mit Rinde],0))</f>
        <v>#N/A</v>
      </c>
      <c r="G3902" t="e">
        <f>VLOOKUP(Tabelle8[[#This Row],[Rank]],Stammdaten[[Rank Verteilung D Mitte mit Rinde]:[Verteilung D Mitte mit Rinde]],2,FALSE)</f>
        <v>#N/A</v>
      </c>
      <c r="L3902">
        <v>3893</v>
      </c>
      <c r="M3902" t="e">
        <f>INDEX(Stammdaten[Abholzigkeit (mm/lfm)],MATCH(Tabelle9[[#This Row],[Rank]],Stammdaten[Rank Verteilung Abholzigkeit],0))</f>
        <v>#N/A</v>
      </c>
      <c r="N3902" t="e">
        <f>VLOOKUP(Tabelle9[[#This Row],[Rank]],Stammdaten[[Rank Verteilung Abholzigkeit]:[Verteilung Abholzigkeit]],2,FALSE)</f>
        <v>#N/A</v>
      </c>
      <c r="S3902">
        <v>3893</v>
      </c>
      <c r="T3902" t="e">
        <f>INDEX(Stammdaten[Krümmung (mm/lfm)],MATCH(Tabelle10[[#This Row],[Rank]],Stammdaten[Rank Verteilung Krümmung],0))</f>
        <v>#N/A</v>
      </c>
      <c r="U3902" t="e">
        <f>VLOOKUP(Tabelle10[[#This Row],[Rank]],Stammdaten[[Rank Verteilung Krümmung]:[Verteilung Krümmung]],2,FALSE)</f>
        <v>#N/A</v>
      </c>
      <c r="Z3902">
        <v>3893</v>
      </c>
      <c r="AA3902" t="e">
        <f>INDEX(Stammdaten[Ovalität (']0,1'])],MATCH(Tabelle1014[[#This Row],[Rank]],Stammdaten[Rank Verteilung Ovalität],0))</f>
        <v>#N/A</v>
      </c>
      <c r="AB3902" t="e">
        <f>VLOOKUP(Tabelle1014[[#This Row],[Rank]],Stammdaten[[Rank Verteilung Ovalität]:[Verteilung Ovalität]],2,FALSE)</f>
        <v>#N/A</v>
      </c>
    </row>
    <row r="3903" spans="5:28" x14ac:dyDescent="0.35">
      <c r="E3903">
        <v>3894</v>
      </c>
      <c r="F3903" t="e">
        <f>INDEX(Stammdaten[D Mitte mit Rinde (mm)],MATCH(Tabelle8[[#This Row],[Rank]],Stammdaten[Rank Verteilung D Mitte mit Rinde],0))</f>
        <v>#N/A</v>
      </c>
      <c r="G3903" t="e">
        <f>VLOOKUP(Tabelle8[[#This Row],[Rank]],Stammdaten[[Rank Verteilung D Mitte mit Rinde]:[Verteilung D Mitte mit Rinde]],2,FALSE)</f>
        <v>#N/A</v>
      </c>
      <c r="L3903">
        <v>3894</v>
      </c>
      <c r="M3903" t="e">
        <f>INDEX(Stammdaten[Abholzigkeit (mm/lfm)],MATCH(Tabelle9[[#This Row],[Rank]],Stammdaten[Rank Verteilung Abholzigkeit],0))</f>
        <v>#N/A</v>
      </c>
      <c r="N3903" t="e">
        <f>VLOOKUP(Tabelle9[[#This Row],[Rank]],Stammdaten[[Rank Verteilung Abholzigkeit]:[Verteilung Abholzigkeit]],2,FALSE)</f>
        <v>#N/A</v>
      </c>
      <c r="S3903">
        <v>3894</v>
      </c>
      <c r="T3903" t="e">
        <f>INDEX(Stammdaten[Krümmung (mm/lfm)],MATCH(Tabelle10[[#This Row],[Rank]],Stammdaten[Rank Verteilung Krümmung],0))</f>
        <v>#N/A</v>
      </c>
      <c r="U3903" t="e">
        <f>VLOOKUP(Tabelle10[[#This Row],[Rank]],Stammdaten[[Rank Verteilung Krümmung]:[Verteilung Krümmung]],2,FALSE)</f>
        <v>#N/A</v>
      </c>
      <c r="Z3903">
        <v>3894</v>
      </c>
      <c r="AA3903" t="e">
        <f>INDEX(Stammdaten[Ovalität (']0,1'])],MATCH(Tabelle1014[[#This Row],[Rank]],Stammdaten[Rank Verteilung Ovalität],0))</f>
        <v>#N/A</v>
      </c>
      <c r="AB3903" t="e">
        <f>VLOOKUP(Tabelle1014[[#This Row],[Rank]],Stammdaten[[Rank Verteilung Ovalität]:[Verteilung Ovalität]],2,FALSE)</f>
        <v>#N/A</v>
      </c>
    </row>
    <row r="3904" spans="5:28" x14ac:dyDescent="0.35">
      <c r="E3904">
        <v>3895</v>
      </c>
      <c r="F3904" t="e">
        <f>INDEX(Stammdaten[D Mitte mit Rinde (mm)],MATCH(Tabelle8[[#This Row],[Rank]],Stammdaten[Rank Verteilung D Mitte mit Rinde],0))</f>
        <v>#N/A</v>
      </c>
      <c r="G3904" t="e">
        <f>VLOOKUP(Tabelle8[[#This Row],[Rank]],Stammdaten[[Rank Verteilung D Mitte mit Rinde]:[Verteilung D Mitte mit Rinde]],2,FALSE)</f>
        <v>#N/A</v>
      </c>
      <c r="L3904">
        <v>3895</v>
      </c>
      <c r="M3904" t="e">
        <f>INDEX(Stammdaten[Abholzigkeit (mm/lfm)],MATCH(Tabelle9[[#This Row],[Rank]],Stammdaten[Rank Verteilung Abholzigkeit],0))</f>
        <v>#N/A</v>
      </c>
      <c r="N3904" t="e">
        <f>VLOOKUP(Tabelle9[[#This Row],[Rank]],Stammdaten[[Rank Verteilung Abholzigkeit]:[Verteilung Abholzigkeit]],2,FALSE)</f>
        <v>#N/A</v>
      </c>
      <c r="S3904">
        <v>3895</v>
      </c>
      <c r="T3904" t="e">
        <f>INDEX(Stammdaten[Krümmung (mm/lfm)],MATCH(Tabelle10[[#This Row],[Rank]],Stammdaten[Rank Verteilung Krümmung],0))</f>
        <v>#N/A</v>
      </c>
      <c r="U3904" t="e">
        <f>VLOOKUP(Tabelle10[[#This Row],[Rank]],Stammdaten[[Rank Verteilung Krümmung]:[Verteilung Krümmung]],2,FALSE)</f>
        <v>#N/A</v>
      </c>
      <c r="Z3904">
        <v>3895</v>
      </c>
      <c r="AA3904" t="e">
        <f>INDEX(Stammdaten[Ovalität (']0,1'])],MATCH(Tabelle1014[[#This Row],[Rank]],Stammdaten[Rank Verteilung Ovalität],0))</f>
        <v>#N/A</v>
      </c>
      <c r="AB3904" t="e">
        <f>VLOOKUP(Tabelle1014[[#This Row],[Rank]],Stammdaten[[Rank Verteilung Ovalität]:[Verteilung Ovalität]],2,FALSE)</f>
        <v>#N/A</v>
      </c>
    </row>
    <row r="3905" spans="5:28" x14ac:dyDescent="0.35">
      <c r="E3905">
        <v>3896</v>
      </c>
      <c r="F3905" t="e">
        <f>INDEX(Stammdaten[D Mitte mit Rinde (mm)],MATCH(Tabelle8[[#This Row],[Rank]],Stammdaten[Rank Verteilung D Mitte mit Rinde],0))</f>
        <v>#N/A</v>
      </c>
      <c r="G3905" t="e">
        <f>VLOOKUP(Tabelle8[[#This Row],[Rank]],Stammdaten[[Rank Verteilung D Mitte mit Rinde]:[Verteilung D Mitte mit Rinde]],2,FALSE)</f>
        <v>#N/A</v>
      </c>
      <c r="L3905">
        <v>3896</v>
      </c>
      <c r="M3905" t="e">
        <f>INDEX(Stammdaten[Abholzigkeit (mm/lfm)],MATCH(Tabelle9[[#This Row],[Rank]],Stammdaten[Rank Verteilung Abholzigkeit],0))</f>
        <v>#N/A</v>
      </c>
      <c r="N3905" t="e">
        <f>VLOOKUP(Tabelle9[[#This Row],[Rank]],Stammdaten[[Rank Verteilung Abholzigkeit]:[Verteilung Abholzigkeit]],2,FALSE)</f>
        <v>#N/A</v>
      </c>
      <c r="S3905">
        <v>3896</v>
      </c>
      <c r="T3905" t="e">
        <f>INDEX(Stammdaten[Krümmung (mm/lfm)],MATCH(Tabelle10[[#This Row],[Rank]],Stammdaten[Rank Verteilung Krümmung],0))</f>
        <v>#N/A</v>
      </c>
      <c r="U3905" t="e">
        <f>VLOOKUP(Tabelle10[[#This Row],[Rank]],Stammdaten[[Rank Verteilung Krümmung]:[Verteilung Krümmung]],2,FALSE)</f>
        <v>#N/A</v>
      </c>
      <c r="Z3905">
        <v>3896</v>
      </c>
      <c r="AA3905" t="e">
        <f>INDEX(Stammdaten[Ovalität (']0,1'])],MATCH(Tabelle1014[[#This Row],[Rank]],Stammdaten[Rank Verteilung Ovalität],0))</f>
        <v>#N/A</v>
      </c>
      <c r="AB3905" t="e">
        <f>VLOOKUP(Tabelle1014[[#This Row],[Rank]],Stammdaten[[Rank Verteilung Ovalität]:[Verteilung Ovalität]],2,FALSE)</f>
        <v>#N/A</v>
      </c>
    </row>
    <row r="3906" spans="5:28" x14ac:dyDescent="0.35">
      <c r="E3906">
        <v>3897</v>
      </c>
      <c r="F3906" t="e">
        <f>INDEX(Stammdaten[D Mitte mit Rinde (mm)],MATCH(Tabelle8[[#This Row],[Rank]],Stammdaten[Rank Verteilung D Mitte mit Rinde],0))</f>
        <v>#N/A</v>
      </c>
      <c r="G3906" t="e">
        <f>VLOOKUP(Tabelle8[[#This Row],[Rank]],Stammdaten[[Rank Verteilung D Mitte mit Rinde]:[Verteilung D Mitte mit Rinde]],2,FALSE)</f>
        <v>#N/A</v>
      </c>
      <c r="L3906">
        <v>3897</v>
      </c>
      <c r="M3906" t="e">
        <f>INDEX(Stammdaten[Abholzigkeit (mm/lfm)],MATCH(Tabelle9[[#This Row],[Rank]],Stammdaten[Rank Verteilung Abholzigkeit],0))</f>
        <v>#N/A</v>
      </c>
      <c r="N3906" t="e">
        <f>VLOOKUP(Tabelle9[[#This Row],[Rank]],Stammdaten[[Rank Verteilung Abholzigkeit]:[Verteilung Abholzigkeit]],2,FALSE)</f>
        <v>#N/A</v>
      </c>
      <c r="S3906">
        <v>3897</v>
      </c>
      <c r="T3906" t="e">
        <f>INDEX(Stammdaten[Krümmung (mm/lfm)],MATCH(Tabelle10[[#This Row],[Rank]],Stammdaten[Rank Verteilung Krümmung],0))</f>
        <v>#N/A</v>
      </c>
      <c r="U3906" t="e">
        <f>VLOOKUP(Tabelle10[[#This Row],[Rank]],Stammdaten[[Rank Verteilung Krümmung]:[Verteilung Krümmung]],2,FALSE)</f>
        <v>#N/A</v>
      </c>
      <c r="Z3906">
        <v>3897</v>
      </c>
      <c r="AA3906" t="e">
        <f>INDEX(Stammdaten[Ovalität (']0,1'])],MATCH(Tabelle1014[[#This Row],[Rank]],Stammdaten[Rank Verteilung Ovalität],0))</f>
        <v>#N/A</v>
      </c>
      <c r="AB3906" t="e">
        <f>VLOOKUP(Tabelle1014[[#This Row],[Rank]],Stammdaten[[Rank Verteilung Ovalität]:[Verteilung Ovalität]],2,FALSE)</f>
        <v>#N/A</v>
      </c>
    </row>
    <row r="3907" spans="5:28" x14ac:dyDescent="0.35">
      <c r="E3907">
        <v>3898</v>
      </c>
      <c r="F3907" t="e">
        <f>INDEX(Stammdaten[D Mitte mit Rinde (mm)],MATCH(Tabelle8[[#This Row],[Rank]],Stammdaten[Rank Verteilung D Mitte mit Rinde],0))</f>
        <v>#N/A</v>
      </c>
      <c r="G3907" t="e">
        <f>VLOOKUP(Tabelle8[[#This Row],[Rank]],Stammdaten[[Rank Verteilung D Mitte mit Rinde]:[Verteilung D Mitte mit Rinde]],2,FALSE)</f>
        <v>#N/A</v>
      </c>
      <c r="L3907">
        <v>3898</v>
      </c>
      <c r="M3907" t="e">
        <f>INDEX(Stammdaten[Abholzigkeit (mm/lfm)],MATCH(Tabelle9[[#This Row],[Rank]],Stammdaten[Rank Verteilung Abholzigkeit],0))</f>
        <v>#N/A</v>
      </c>
      <c r="N3907" t="e">
        <f>VLOOKUP(Tabelle9[[#This Row],[Rank]],Stammdaten[[Rank Verteilung Abholzigkeit]:[Verteilung Abholzigkeit]],2,FALSE)</f>
        <v>#N/A</v>
      </c>
      <c r="S3907">
        <v>3898</v>
      </c>
      <c r="T3907" t="e">
        <f>INDEX(Stammdaten[Krümmung (mm/lfm)],MATCH(Tabelle10[[#This Row],[Rank]],Stammdaten[Rank Verteilung Krümmung],0))</f>
        <v>#N/A</v>
      </c>
      <c r="U3907" t="e">
        <f>VLOOKUP(Tabelle10[[#This Row],[Rank]],Stammdaten[[Rank Verteilung Krümmung]:[Verteilung Krümmung]],2,FALSE)</f>
        <v>#N/A</v>
      </c>
      <c r="Z3907">
        <v>3898</v>
      </c>
      <c r="AA3907" t="e">
        <f>INDEX(Stammdaten[Ovalität (']0,1'])],MATCH(Tabelle1014[[#This Row],[Rank]],Stammdaten[Rank Verteilung Ovalität],0))</f>
        <v>#N/A</v>
      </c>
      <c r="AB3907" t="e">
        <f>VLOOKUP(Tabelle1014[[#This Row],[Rank]],Stammdaten[[Rank Verteilung Ovalität]:[Verteilung Ovalität]],2,FALSE)</f>
        <v>#N/A</v>
      </c>
    </row>
    <row r="3908" spans="5:28" x14ac:dyDescent="0.35">
      <c r="E3908">
        <v>3899</v>
      </c>
      <c r="F3908" t="e">
        <f>INDEX(Stammdaten[D Mitte mit Rinde (mm)],MATCH(Tabelle8[[#This Row],[Rank]],Stammdaten[Rank Verteilung D Mitte mit Rinde],0))</f>
        <v>#N/A</v>
      </c>
      <c r="G3908" t="e">
        <f>VLOOKUP(Tabelle8[[#This Row],[Rank]],Stammdaten[[Rank Verteilung D Mitte mit Rinde]:[Verteilung D Mitte mit Rinde]],2,FALSE)</f>
        <v>#N/A</v>
      </c>
      <c r="L3908">
        <v>3899</v>
      </c>
      <c r="M3908" t="e">
        <f>INDEX(Stammdaten[Abholzigkeit (mm/lfm)],MATCH(Tabelle9[[#This Row],[Rank]],Stammdaten[Rank Verteilung Abholzigkeit],0))</f>
        <v>#N/A</v>
      </c>
      <c r="N3908" t="e">
        <f>VLOOKUP(Tabelle9[[#This Row],[Rank]],Stammdaten[[Rank Verteilung Abholzigkeit]:[Verteilung Abholzigkeit]],2,FALSE)</f>
        <v>#N/A</v>
      </c>
      <c r="S3908">
        <v>3899</v>
      </c>
      <c r="T3908" t="e">
        <f>INDEX(Stammdaten[Krümmung (mm/lfm)],MATCH(Tabelle10[[#This Row],[Rank]],Stammdaten[Rank Verteilung Krümmung],0))</f>
        <v>#N/A</v>
      </c>
      <c r="U3908" t="e">
        <f>VLOOKUP(Tabelle10[[#This Row],[Rank]],Stammdaten[[Rank Verteilung Krümmung]:[Verteilung Krümmung]],2,FALSE)</f>
        <v>#N/A</v>
      </c>
      <c r="Z3908">
        <v>3899</v>
      </c>
      <c r="AA3908" t="e">
        <f>INDEX(Stammdaten[Ovalität (']0,1'])],MATCH(Tabelle1014[[#This Row],[Rank]],Stammdaten[Rank Verteilung Ovalität],0))</f>
        <v>#N/A</v>
      </c>
      <c r="AB3908" t="e">
        <f>VLOOKUP(Tabelle1014[[#This Row],[Rank]],Stammdaten[[Rank Verteilung Ovalität]:[Verteilung Ovalität]],2,FALSE)</f>
        <v>#N/A</v>
      </c>
    </row>
    <row r="3909" spans="5:28" x14ac:dyDescent="0.35">
      <c r="E3909">
        <v>3900</v>
      </c>
      <c r="F3909" t="e">
        <f>INDEX(Stammdaten[D Mitte mit Rinde (mm)],MATCH(Tabelle8[[#This Row],[Rank]],Stammdaten[Rank Verteilung D Mitte mit Rinde],0))</f>
        <v>#N/A</v>
      </c>
      <c r="G3909" t="e">
        <f>VLOOKUP(Tabelle8[[#This Row],[Rank]],Stammdaten[[Rank Verteilung D Mitte mit Rinde]:[Verteilung D Mitte mit Rinde]],2,FALSE)</f>
        <v>#N/A</v>
      </c>
      <c r="L3909">
        <v>3900</v>
      </c>
      <c r="M3909" t="e">
        <f>INDEX(Stammdaten[Abholzigkeit (mm/lfm)],MATCH(Tabelle9[[#This Row],[Rank]],Stammdaten[Rank Verteilung Abholzigkeit],0))</f>
        <v>#N/A</v>
      </c>
      <c r="N3909" t="e">
        <f>VLOOKUP(Tabelle9[[#This Row],[Rank]],Stammdaten[[Rank Verteilung Abholzigkeit]:[Verteilung Abholzigkeit]],2,FALSE)</f>
        <v>#N/A</v>
      </c>
      <c r="S3909">
        <v>3900</v>
      </c>
      <c r="T3909" t="e">
        <f>INDEX(Stammdaten[Krümmung (mm/lfm)],MATCH(Tabelle10[[#This Row],[Rank]],Stammdaten[Rank Verteilung Krümmung],0))</f>
        <v>#N/A</v>
      </c>
      <c r="U3909" t="e">
        <f>VLOOKUP(Tabelle10[[#This Row],[Rank]],Stammdaten[[Rank Verteilung Krümmung]:[Verteilung Krümmung]],2,FALSE)</f>
        <v>#N/A</v>
      </c>
      <c r="Z3909">
        <v>3900</v>
      </c>
      <c r="AA3909" t="e">
        <f>INDEX(Stammdaten[Ovalität (']0,1'])],MATCH(Tabelle1014[[#This Row],[Rank]],Stammdaten[Rank Verteilung Ovalität],0))</f>
        <v>#N/A</v>
      </c>
      <c r="AB3909" t="e">
        <f>VLOOKUP(Tabelle1014[[#This Row],[Rank]],Stammdaten[[Rank Verteilung Ovalität]:[Verteilung Ovalität]],2,FALSE)</f>
        <v>#N/A</v>
      </c>
    </row>
    <row r="3910" spans="5:28" x14ac:dyDescent="0.35">
      <c r="E3910">
        <v>3901</v>
      </c>
      <c r="F3910" t="e">
        <f>INDEX(Stammdaten[D Mitte mit Rinde (mm)],MATCH(Tabelle8[[#This Row],[Rank]],Stammdaten[Rank Verteilung D Mitte mit Rinde],0))</f>
        <v>#N/A</v>
      </c>
      <c r="G3910" t="e">
        <f>VLOOKUP(Tabelle8[[#This Row],[Rank]],Stammdaten[[Rank Verteilung D Mitte mit Rinde]:[Verteilung D Mitte mit Rinde]],2,FALSE)</f>
        <v>#N/A</v>
      </c>
      <c r="L3910">
        <v>3901</v>
      </c>
      <c r="M3910" t="e">
        <f>INDEX(Stammdaten[Abholzigkeit (mm/lfm)],MATCH(Tabelle9[[#This Row],[Rank]],Stammdaten[Rank Verteilung Abholzigkeit],0))</f>
        <v>#N/A</v>
      </c>
      <c r="N3910" t="e">
        <f>VLOOKUP(Tabelle9[[#This Row],[Rank]],Stammdaten[[Rank Verteilung Abholzigkeit]:[Verteilung Abholzigkeit]],2,FALSE)</f>
        <v>#N/A</v>
      </c>
      <c r="S3910">
        <v>3901</v>
      </c>
      <c r="T3910" t="e">
        <f>INDEX(Stammdaten[Krümmung (mm/lfm)],MATCH(Tabelle10[[#This Row],[Rank]],Stammdaten[Rank Verteilung Krümmung],0))</f>
        <v>#N/A</v>
      </c>
      <c r="U3910" t="e">
        <f>VLOOKUP(Tabelle10[[#This Row],[Rank]],Stammdaten[[Rank Verteilung Krümmung]:[Verteilung Krümmung]],2,FALSE)</f>
        <v>#N/A</v>
      </c>
      <c r="Z3910">
        <v>3901</v>
      </c>
      <c r="AA3910" t="e">
        <f>INDEX(Stammdaten[Ovalität (']0,1'])],MATCH(Tabelle1014[[#This Row],[Rank]],Stammdaten[Rank Verteilung Ovalität],0))</f>
        <v>#N/A</v>
      </c>
      <c r="AB3910" t="e">
        <f>VLOOKUP(Tabelle1014[[#This Row],[Rank]],Stammdaten[[Rank Verteilung Ovalität]:[Verteilung Ovalität]],2,FALSE)</f>
        <v>#N/A</v>
      </c>
    </row>
    <row r="3911" spans="5:28" x14ac:dyDescent="0.35">
      <c r="E3911">
        <v>3902</v>
      </c>
      <c r="F3911" t="e">
        <f>INDEX(Stammdaten[D Mitte mit Rinde (mm)],MATCH(Tabelle8[[#This Row],[Rank]],Stammdaten[Rank Verteilung D Mitte mit Rinde],0))</f>
        <v>#N/A</v>
      </c>
      <c r="G3911" t="e">
        <f>VLOOKUP(Tabelle8[[#This Row],[Rank]],Stammdaten[[Rank Verteilung D Mitte mit Rinde]:[Verteilung D Mitte mit Rinde]],2,FALSE)</f>
        <v>#N/A</v>
      </c>
      <c r="L3911">
        <v>3902</v>
      </c>
      <c r="M3911" t="e">
        <f>INDEX(Stammdaten[Abholzigkeit (mm/lfm)],MATCH(Tabelle9[[#This Row],[Rank]],Stammdaten[Rank Verteilung Abholzigkeit],0))</f>
        <v>#N/A</v>
      </c>
      <c r="N3911" t="e">
        <f>VLOOKUP(Tabelle9[[#This Row],[Rank]],Stammdaten[[Rank Verteilung Abholzigkeit]:[Verteilung Abholzigkeit]],2,FALSE)</f>
        <v>#N/A</v>
      </c>
      <c r="S3911">
        <v>3902</v>
      </c>
      <c r="T3911" t="e">
        <f>INDEX(Stammdaten[Krümmung (mm/lfm)],MATCH(Tabelle10[[#This Row],[Rank]],Stammdaten[Rank Verteilung Krümmung],0))</f>
        <v>#N/A</v>
      </c>
      <c r="U3911" t="e">
        <f>VLOOKUP(Tabelle10[[#This Row],[Rank]],Stammdaten[[Rank Verteilung Krümmung]:[Verteilung Krümmung]],2,FALSE)</f>
        <v>#N/A</v>
      </c>
      <c r="Z3911">
        <v>3902</v>
      </c>
      <c r="AA3911" t="e">
        <f>INDEX(Stammdaten[Ovalität (']0,1'])],MATCH(Tabelle1014[[#This Row],[Rank]],Stammdaten[Rank Verteilung Ovalität],0))</f>
        <v>#N/A</v>
      </c>
      <c r="AB3911" t="e">
        <f>VLOOKUP(Tabelle1014[[#This Row],[Rank]],Stammdaten[[Rank Verteilung Ovalität]:[Verteilung Ovalität]],2,FALSE)</f>
        <v>#N/A</v>
      </c>
    </row>
    <row r="3912" spans="5:28" x14ac:dyDescent="0.35">
      <c r="E3912">
        <v>3903</v>
      </c>
      <c r="F3912" t="e">
        <f>INDEX(Stammdaten[D Mitte mit Rinde (mm)],MATCH(Tabelle8[[#This Row],[Rank]],Stammdaten[Rank Verteilung D Mitte mit Rinde],0))</f>
        <v>#N/A</v>
      </c>
      <c r="G3912" t="e">
        <f>VLOOKUP(Tabelle8[[#This Row],[Rank]],Stammdaten[[Rank Verteilung D Mitte mit Rinde]:[Verteilung D Mitte mit Rinde]],2,FALSE)</f>
        <v>#N/A</v>
      </c>
      <c r="L3912">
        <v>3903</v>
      </c>
      <c r="M3912" t="e">
        <f>INDEX(Stammdaten[Abholzigkeit (mm/lfm)],MATCH(Tabelle9[[#This Row],[Rank]],Stammdaten[Rank Verteilung Abholzigkeit],0))</f>
        <v>#N/A</v>
      </c>
      <c r="N3912" t="e">
        <f>VLOOKUP(Tabelle9[[#This Row],[Rank]],Stammdaten[[Rank Verteilung Abholzigkeit]:[Verteilung Abholzigkeit]],2,FALSE)</f>
        <v>#N/A</v>
      </c>
      <c r="S3912">
        <v>3903</v>
      </c>
      <c r="T3912" t="e">
        <f>INDEX(Stammdaten[Krümmung (mm/lfm)],MATCH(Tabelle10[[#This Row],[Rank]],Stammdaten[Rank Verteilung Krümmung],0))</f>
        <v>#N/A</v>
      </c>
      <c r="U3912" t="e">
        <f>VLOOKUP(Tabelle10[[#This Row],[Rank]],Stammdaten[[Rank Verteilung Krümmung]:[Verteilung Krümmung]],2,FALSE)</f>
        <v>#N/A</v>
      </c>
      <c r="Z3912">
        <v>3903</v>
      </c>
      <c r="AA3912" t="e">
        <f>INDEX(Stammdaten[Ovalität (']0,1'])],MATCH(Tabelle1014[[#This Row],[Rank]],Stammdaten[Rank Verteilung Ovalität],0))</f>
        <v>#N/A</v>
      </c>
      <c r="AB3912" t="e">
        <f>VLOOKUP(Tabelle1014[[#This Row],[Rank]],Stammdaten[[Rank Verteilung Ovalität]:[Verteilung Ovalität]],2,FALSE)</f>
        <v>#N/A</v>
      </c>
    </row>
    <row r="3913" spans="5:28" x14ac:dyDescent="0.35">
      <c r="E3913">
        <v>3904</v>
      </c>
      <c r="F3913" t="e">
        <f>INDEX(Stammdaten[D Mitte mit Rinde (mm)],MATCH(Tabelle8[[#This Row],[Rank]],Stammdaten[Rank Verteilung D Mitte mit Rinde],0))</f>
        <v>#N/A</v>
      </c>
      <c r="G3913" t="e">
        <f>VLOOKUP(Tabelle8[[#This Row],[Rank]],Stammdaten[[Rank Verteilung D Mitte mit Rinde]:[Verteilung D Mitte mit Rinde]],2,FALSE)</f>
        <v>#N/A</v>
      </c>
      <c r="L3913">
        <v>3904</v>
      </c>
      <c r="M3913" t="e">
        <f>INDEX(Stammdaten[Abholzigkeit (mm/lfm)],MATCH(Tabelle9[[#This Row],[Rank]],Stammdaten[Rank Verteilung Abholzigkeit],0))</f>
        <v>#N/A</v>
      </c>
      <c r="N3913" t="e">
        <f>VLOOKUP(Tabelle9[[#This Row],[Rank]],Stammdaten[[Rank Verteilung Abholzigkeit]:[Verteilung Abholzigkeit]],2,FALSE)</f>
        <v>#N/A</v>
      </c>
      <c r="S3913">
        <v>3904</v>
      </c>
      <c r="T3913" t="e">
        <f>INDEX(Stammdaten[Krümmung (mm/lfm)],MATCH(Tabelle10[[#This Row],[Rank]],Stammdaten[Rank Verteilung Krümmung],0))</f>
        <v>#N/A</v>
      </c>
      <c r="U3913" t="e">
        <f>VLOOKUP(Tabelle10[[#This Row],[Rank]],Stammdaten[[Rank Verteilung Krümmung]:[Verteilung Krümmung]],2,FALSE)</f>
        <v>#N/A</v>
      </c>
      <c r="Z3913">
        <v>3904</v>
      </c>
      <c r="AA3913" t="e">
        <f>INDEX(Stammdaten[Ovalität (']0,1'])],MATCH(Tabelle1014[[#This Row],[Rank]],Stammdaten[Rank Verteilung Ovalität],0))</f>
        <v>#N/A</v>
      </c>
      <c r="AB3913" t="e">
        <f>VLOOKUP(Tabelle1014[[#This Row],[Rank]],Stammdaten[[Rank Verteilung Ovalität]:[Verteilung Ovalität]],2,FALSE)</f>
        <v>#N/A</v>
      </c>
    </row>
    <row r="3914" spans="5:28" x14ac:dyDescent="0.35">
      <c r="E3914">
        <v>3905</v>
      </c>
      <c r="F3914" t="e">
        <f>INDEX(Stammdaten[D Mitte mit Rinde (mm)],MATCH(Tabelle8[[#This Row],[Rank]],Stammdaten[Rank Verteilung D Mitte mit Rinde],0))</f>
        <v>#N/A</v>
      </c>
      <c r="G3914" t="e">
        <f>VLOOKUP(Tabelle8[[#This Row],[Rank]],Stammdaten[[Rank Verteilung D Mitte mit Rinde]:[Verteilung D Mitte mit Rinde]],2,FALSE)</f>
        <v>#N/A</v>
      </c>
      <c r="L3914">
        <v>3905</v>
      </c>
      <c r="M3914" t="e">
        <f>INDEX(Stammdaten[Abholzigkeit (mm/lfm)],MATCH(Tabelle9[[#This Row],[Rank]],Stammdaten[Rank Verteilung Abholzigkeit],0))</f>
        <v>#N/A</v>
      </c>
      <c r="N3914" t="e">
        <f>VLOOKUP(Tabelle9[[#This Row],[Rank]],Stammdaten[[Rank Verteilung Abholzigkeit]:[Verteilung Abholzigkeit]],2,FALSE)</f>
        <v>#N/A</v>
      </c>
      <c r="S3914">
        <v>3905</v>
      </c>
      <c r="T3914" t="e">
        <f>INDEX(Stammdaten[Krümmung (mm/lfm)],MATCH(Tabelle10[[#This Row],[Rank]],Stammdaten[Rank Verteilung Krümmung],0))</f>
        <v>#N/A</v>
      </c>
      <c r="U3914" t="e">
        <f>VLOOKUP(Tabelle10[[#This Row],[Rank]],Stammdaten[[Rank Verteilung Krümmung]:[Verteilung Krümmung]],2,FALSE)</f>
        <v>#N/A</v>
      </c>
      <c r="Z3914">
        <v>3905</v>
      </c>
      <c r="AA3914" t="e">
        <f>INDEX(Stammdaten[Ovalität (']0,1'])],MATCH(Tabelle1014[[#This Row],[Rank]],Stammdaten[Rank Verteilung Ovalität],0))</f>
        <v>#N/A</v>
      </c>
      <c r="AB3914" t="e">
        <f>VLOOKUP(Tabelle1014[[#This Row],[Rank]],Stammdaten[[Rank Verteilung Ovalität]:[Verteilung Ovalität]],2,FALSE)</f>
        <v>#N/A</v>
      </c>
    </row>
    <row r="3915" spans="5:28" x14ac:dyDescent="0.35">
      <c r="E3915">
        <v>3906</v>
      </c>
      <c r="F3915" t="e">
        <f>INDEX(Stammdaten[D Mitte mit Rinde (mm)],MATCH(Tabelle8[[#This Row],[Rank]],Stammdaten[Rank Verteilung D Mitte mit Rinde],0))</f>
        <v>#N/A</v>
      </c>
      <c r="G3915" t="e">
        <f>VLOOKUP(Tabelle8[[#This Row],[Rank]],Stammdaten[[Rank Verteilung D Mitte mit Rinde]:[Verteilung D Mitte mit Rinde]],2,FALSE)</f>
        <v>#N/A</v>
      </c>
      <c r="L3915">
        <v>3906</v>
      </c>
      <c r="M3915" t="e">
        <f>INDEX(Stammdaten[Abholzigkeit (mm/lfm)],MATCH(Tabelle9[[#This Row],[Rank]],Stammdaten[Rank Verteilung Abholzigkeit],0))</f>
        <v>#N/A</v>
      </c>
      <c r="N3915" t="e">
        <f>VLOOKUP(Tabelle9[[#This Row],[Rank]],Stammdaten[[Rank Verteilung Abholzigkeit]:[Verteilung Abholzigkeit]],2,FALSE)</f>
        <v>#N/A</v>
      </c>
      <c r="S3915">
        <v>3906</v>
      </c>
      <c r="T3915" t="e">
        <f>INDEX(Stammdaten[Krümmung (mm/lfm)],MATCH(Tabelle10[[#This Row],[Rank]],Stammdaten[Rank Verteilung Krümmung],0))</f>
        <v>#N/A</v>
      </c>
      <c r="U3915" t="e">
        <f>VLOOKUP(Tabelle10[[#This Row],[Rank]],Stammdaten[[Rank Verteilung Krümmung]:[Verteilung Krümmung]],2,FALSE)</f>
        <v>#N/A</v>
      </c>
      <c r="Z3915">
        <v>3906</v>
      </c>
      <c r="AA3915" t="e">
        <f>INDEX(Stammdaten[Ovalität (']0,1'])],MATCH(Tabelle1014[[#This Row],[Rank]],Stammdaten[Rank Verteilung Ovalität],0))</f>
        <v>#N/A</v>
      </c>
      <c r="AB3915" t="e">
        <f>VLOOKUP(Tabelle1014[[#This Row],[Rank]],Stammdaten[[Rank Verteilung Ovalität]:[Verteilung Ovalität]],2,FALSE)</f>
        <v>#N/A</v>
      </c>
    </row>
    <row r="3916" spans="5:28" x14ac:dyDescent="0.35">
      <c r="E3916">
        <v>3907</v>
      </c>
      <c r="F3916" t="e">
        <f>INDEX(Stammdaten[D Mitte mit Rinde (mm)],MATCH(Tabelle8[[#This Row],[Rank]],Stammdaten[Rank Verteilung D Mitte mit Rinde],0))</f>
        <v>#N/A</v>
      </c>
      <c r="G3916" t="e">
        <f>VLOOKUP(Tabelle8[[#This Row],[Rank]],Stammdaten[[Rank Verteilung D Mitte mit Rinde]:[Verteilung D Mitte mit Rinde]],2,FALSE)</f>
        <v>#N/A</v>
      </c>
      <c r="L3916">
        <v>3907</v>
      </c>
      <c r="M3916" t="e">
        <f>INDEX(Stammdaten[Abholzigkeit (mm/lfm)],MATCH(Tabelle9[[#This Row],[Rank]],Stammdaten[Rank Verteilung Abholzigkeit],0))</f>
        <v>#N/A</v>
      </c>
      <c r="N3916" t="e">
        <f>VLOOKUP(Tabelle9[[#This Row],[Rank]],Stammdaten[[Rank Verteilung Abholzigkeit]:[Verteilung Abholzigkeit]],2,FALSE)</f>
        <v>#N/A</v>
      </c>
      <c r="S3916">
        <v>3907</v>
      </c>
      <c r="T3916" t="e">
        <f>INDEX(Stammdaten[Krümmung (mm/lfm)],MATCH(Tabelle10[[#This Row],[Rank]],Stammdaten[Rank Verteilung Krümmung],0))</f>
        <v>#N/A</v>
      </c>
      <c r="U3916" t="e">
        <f>VLOOKUP(Tabelle10[[#This Row],[Rank]],Stammdaten[[Rank Verteilung Krümmung]:[Verteilung Krümmung]],2,FALSE)</f>
        <v>#N/A</v>
      </c>
      <c r="Z3916">
        <v>3907</v>
      </c>
      <c r="AA3916" t="e">
        <f>INDEX(Stammdaten[Ovalität (']0,1'])],MATCH(Tabelle1014[[#This Row],[Rank]],Stammdaten[Rank Verteilung Ovalität],0))</f>
        <v>#N/A</v>
      </c>
      <c r="AB3916" t="e">
        <f>VLOOKUP(Tabelle1014[[#This Row],[Rank]],Stammdaten[[Rank Verteilung Ovalität]:[Verteilung Ovalität]],2,FALSE)</f>
        <v>#N/A</v>
      </c>
    </row>
    <row r="3917" spans="5:28" x14ac:dyDescent="0.35">
      <c r="E3917">
        <v>3908</v>
      </c>
      <c r="F3917" t="e">
        <f>INDEX(Stammdaten[D Mitte mit Rinde (mm)],MATCH(Tabelle8[[#This Row],[Rank]],Stammdaten[Rank Verteilung D Mitte mit Rinde],0))</f>
        <v>#N/A</v>
      </c>
      <c r="G3917" t="e">
        <f>VLOOKUP(Tabelle8[[#This Row],[Rank]],Stammdaten[[Rank Verteilung D Mitte mit Rinde]:[Verteilung D Mitte mit Rinde]],2,FALSE)</f>
        <v>#N/A</v>
      </c>
      <c r="L3917">
        <v>3908</v>
      </c>
      <c r="M3917" t="e">
        <f>INDEX(Stammdaten[Abholzigkeit (mm/lfm)],MATCH(Tabelle9[[#This Row],[Rank]],Stammdaten[Rank Verteilung Abholzigkeit],0))</f>
        <v>#N/A</v>
      </c>
      <c r="N3917" t="e">
        <f>VLOOKUP(Tabelle9[[#This Row],[Rank]],Stammdaten[[Rank Verteilung Abholzigkeit]:[Verteilung Abholzigkeit]],2,FALSE)</f>
        <v>#N/A</v>
      </c>
      <c r="S3917">
        <v>3908</v>
      </c>
      <c r="T3917" t="e">
        <f>INDEX(Stammdaten[Krümmung (mm/lfm)],MATCH(Tabelle10[[#This Row],[Rank]],Stammdaten[Rank Verteilung Krümmung],0))</f>
        <v>#N/A</v>
      </c>
      <c r="U3917" t="e">
        <f>VLOOKUP(Tabelle10[[#This Row],[Rank]],Stammdaten[[Rank Verteilung Krümmung]:[Verteilung Krümmung]],2,FALSE)</f>
        <v>#N/A</v>
      </c>
      <c r="Z3917">
        <v>3908</v>
      </c>
      <c r="AA3917" t="e">
        <f>INDEX(Stammdaten[Ovalität (']0,1'])],MATCH(Tabelle1014[[#This Row],[Rank]],Stammdaten[Rank Verteilung Ovalität],0))</f>
        <v>#N/A</v>
      </c>
      <c r="AB3917" t="e">
        <f>VLOOKUP(Tabelle1014[[#This Row],[Rank]],Stammdaten[[Rank Verteilung Ovalität]:[Verteilung Ovalität]],2,FALSE)</f>
        <v>#N/A</v>
      </c>
    </row>
    <row r="3918" spans="5:28" x14ac:dyDescent="0.35">
      <c r="E3918">
        <v>3909</v>
      </c>
      <c r="F3918" t="e">
        <f>INDEX(Stammdaten[D Mitte mit Rinde (mm)],MATCH(Tabelle8[[#This Row],[Rank]],Stammdaten[Rank Verteilung D Mitte mit Rinde],0))</f>
        <v>#N/A</v>
      </c>
      <c r="G3918" t="e">
        <f>VLOOKUP(Tabelle8[[#This Row],[Rank]],Stammdaten[[Rank Verteilung D Mitte mit Rinde]:[Verteilung D Mitte mit Rinde]],2,FALSE)</f>
        <v>#N/A</v>
      </c>
      <c r="L3918">
        <v>3909</v>
      </c>
      <c r="M3918" t="e">
        <f>INDEX(Stammdaten[Abholzigkeit (mm/lfm)],MATCH(Tabelle9[[#This Row],[Rank]],Stammdaten[Rank Verteilung Abholzigkeit],0))</f>
        <v>#N/A</v>
      </c>
      <c r="N3918" t="e">
        <f>VLOOKUP(Tabelle9[[#This Row],[Rank]],Stammdaten[[Rank Verteilung Abholzigkeit]:[Verteilung Abholzigkeit]],2,FALSE)</f>
        <v>#N/A</v>
      </c>
      <c r="S3918">
        <v>3909</v>
      </c>
      <c r="T3918" t="e">
        <f>INDEX(Stammdaten[Krümmung (mm/lfm)],MATCH(Tabelle10[[#This Row],[Rank]],Stammdaten[Rank Verteilung Krümmung],0))</f>
        <v>#N/A</v>
      </c>
      <c r="U3918" t="e">
        <f>VLOOKUP(Tabelle10[[#This Row],[Rank]],Stammdaten[[Rank Verteilung Krümmung]:[Verteilung Krümmung]],2,FALSE)</f>
        <v>#N/A</v>
      </c>
      <c r="Z3918">
        <v>3909</v>
      </c>
      <c r="AA3918" t="e">
        <f>INDEX(Stammdaten[Ovalität (']0,1'])],MATCH(Tabelle1014[[#This Row],[Rank]],Stammdaten[Rank Verteilung Ovalität],0))</f>
        <v>#N/A</v>
      </c>
      <c r="AB3918" t="e">
        <f>VLOOKUP(Tabelle1014[[#This Row],[Rank]],Stammdaten[[Rank Verteilung Ovalität]:[Verteilung Ovalität]],2,FALSE)</f>
        <v>#N/A</v>
      </c>
    </row>
    <row r="3919" spans="5:28" x14ac:dyDescent="0.35">
      <c r="E3919">
        <v>3910</v>
      </c>
      <c r="F3919" t="e">
        <f>INDEX(Stammdaten[D Mitte mit Rinde (mm)],MATCH(Tabelle8[[#This Row],[Rank]],Stammdaten[Rank Verteilung D Mitte mit Rinde],0))</f>
        <v>#N/A</v>
      </c>
      <c r="G3919" t="e">
        <f>VLOOKUP(Tabelle8[[#This Row],[Rank]],Stammdaten[[Rank Verteilung D Mitte mit Rinde]:[Verteilung D Mitte mit Rinde]],2,FALSE)</f>
        <v>#N/A</v>
      </c>
      <c r="L3919">
        <v>3910</v>
      </c>
      <c r="M3919" t="e">
        <f>INDEX(Stammdaten[Abholzigkeit (mm/lfm)],MATCH(Tabelle9[[#This Row],[Rank]],Stammdaten[Rank Verteilung Abholzigkeit],0))</f>
        <v>#N/A</v>
      </c>
      <c r="N3919" t="e">
        <f>VLOOKUP(Tabelle9[[#This Row],[Rank]],Stammdaten[[Rank Verteilung Abholzigkeit]:[Verteilung Abholzigkeit]],2,FALSE)</f>
        <v>#N/A</v>
      </c>
      <c r="S3919">
        <v>3910</v>
      </c>
      <c r="T3919" t="e">
        <f>INDEX(Stammdaten[Krümmung (mm/lfm)],MATCH(Tabelle10[[#This Row],[Rank]],Stammdaten[Rank Verteilung Krümmung],0))</f>
        <v>#N/A</v>
      </c>
      <c r="U3919" t="e">
        <f>VLOOKUP(Tabelle10[[#This Row],[Rank]],Stammdaten[[Rank Verteilung Krümmung]:[Verteilung Krümmung]],2,FALSE)</f>
        <v>#N/A</v>
      </c>
      <c r="Z3919">
        <v>3910</v>
      </c>
      <c r="AA3919" t="e">
        <f>INDEX(Stammdaten[Ovalität (']0,1'])],MATCH(Tabelle1014[[#This Row],[Rank]],Stammdaten[Rank Verteilung Ovalität],0))</f>
        <v>#N/A</v>
      </c>
      <c r="AB3919" t="e">
        <f>VLOOKUP(Tabelle1014[[#This Row],[Rank]],Stammdaten[[Rank Verteilung Ovalität]:[Verteilung Ovalität]],2,FALSE)</f>
        <v>#N/A</v>
      </c>
    </row>
    <row r="3920" spans="5:28" x14ac:dyDescent="0.35">
      <c r="E3920">
        <v>3911</v>
      </c>
      <c r="F3920" t="e">
        <f>INDEX(Stammdaten[D Mitte mit Rinde (mm)],MATCH(Tabelle8[[#This Row],[Rank]],Stammdaten[Rank Verteilung D Mitte mit Rinde],0))</f>
        <v>#N/A</v>
      </c>
      <c r="G3920" t="e">
        <f>VLOOKUP(Tabelle8[[#This Row],[Rank]],Stammdaten[[Rank Verteilung D Mitte mit Rinde]:[Verteilung D Mitte mit Rinde]],2,FALSE)</f>
        <v>#N/A</v>
      </c>
      <c r="L3920">
        <v>3911</v>
      </c>
      <c r="M3920" t="e">
        <f>INDEX(Stammdaten[Abholzigkeit (mm/lfm)],MATCH(Tabelle9[[#This Row],[Rank]],Stammdaten[Rank Verteilung Abholzigkeit],0))</f>
        <v>#N/A</v>
      </c>
      <c r="N3920" t="e">
        <f>VLOOKUP(Tabelle9[[#This Row],[Rank]],Stammdaten[[Rank Verteilung Abholzigkeit]:[Verteilung Abholzigkeit]],2,FALSE)</f>
        <v>#N/A</v>
      </c>
      <c r="S3920">
        <v>3911</v>
      </c>
      <c r="T3920" t="e">
        <f>INDEX(Stammdaten[Krümmung (mm/lfm)],MATCH(Tabelle10[[#This Row],[Rank]],Stammdaten[Rank Verteilung Krümmung],0))</f>
        <v>#N/A</v>
      </c>
      <c r="U3920" t="e">
        <f>VLOOKUP(Tabelle10[[#This Row],[Rank]],Stammdaten[[Rank Verteilung Krümmung]:[Verteilung Krümmung]],2,FALSE)</f>
        <v>#N/A</v>
      </c>
      <c r="Z3920">
        <v>3911</v>
      </c>
      <c r="AA3920" t="e">
        <f>INDEX(Stammdaten[Ovalität (']0,1'])],MATCH(Tabelle1014[[#This Row],[Rank]],Stammdaten[Rank Verteilung Ovalität],0))</f>
        <v>#N/A</v>
      </c>
      <c r="AB3920" t="e">
        <f>VLOOKUP(Tabelle1014[[#This Row],[Rank]],Stammdaten[[Rank Verteilung Ovalität]:[Verteilung Ovalität]],2,FALSE)</f>
        <v>#N/A</v>
      </c>
    </row>
    <row r="3921" spans="5:28" x14ac:dyDescent="0.35">
      <c r="E3921">
        <v>3912</v>
      </c>
      <c r="F3921" t="e">
        <f>INDEX(Stammdaten[D Mitte mit Rinde (mm)],MATCH(Tabelle8[[#This Row],[Rank]],Stammdaten[Rank Verteilung D Mitte mit Rinde],0))</f>
        <v>#N/A</v>
      </c>
      <c r="G3921" t="e">
        <f>VLOOKUP(Tabelle8[[#This Row],[Rank]],Stammdaten[[Rank Verteilung D Mitte mit Rinde]:[Verteilung D Mitte mit Rinde]],2,FALSE)</f>
        <v>#N/A</v>
      </c>
      <c r="L3921">
        <v>3912</v>
      </c>
      <c r="M3921" t="e">
        <f>INDEX(Stammdaten[Abholzigkeit (mm/lfm)],MATCH(Tabelle9[[#This Row],[Rank]],Stammdaten[Rank Verteilung Abholzigkeit],0))</f>
        <v>#N/A</v>
      </c>
      <c r="N3921" t="e">
        <f>VLOOKUP(Tabelle9[[#This Row],[Rank]],Stammdaten[[Rank Verteilung Abholzigkeit]:[Verteilung Abholzigkeit]],2,FALSE)</f>
        <v>#N/A</v>
      </c>
      <c r="S3921">
        <v>3912</v>
      </c>
      <c r="T3921" t="e">
        <f>INDEX(Stammdaten[Krümmung (mm/lfm)],MATCH(Tabelle10[[#This Row],[Rank]],Stammdaten[Rank Verteilung Krümmung],0))</f>
        <v>#N/A</v>
      </c>
      <c r="U3921" t="e">
        <f>VLOOKUP(Tabelle10[[#This Row],[Rank]],Stammdaten[[Rank Verteilung Krümmung]:[Verteilung Krümmung]],2,FALSE)</f>
        <v>#N/A</v>
      </c>
      <c r="Z3921">
        <v>3912</v>
      </c>
      <c r="AA3921" t="e">
        <f>INDEX(Stammdaten[Ovalität (']0,1'])],MATCH(Tabelle1014[[#This Row],[Rank]],Stammdaten[Rank Verteilung Ovalität],0))</f>
        <v>#N/A</v>
      </c>
      <c r="AB3921" t="e">
        <f>VLOOKUP(Tabelle1014[[#This Row],[Rank]],Stammdaten[[Rank Verteilung Ovalität]:[Verteilung Ovalität]],2,FALSE)</f>
        <v>#N/A</v>
      </c>
    </row>
    <row r="3922" spans="5:28" x14ac:dyDescent="0.35">
      <c r="E3922">
        <v>3913</v>
      </c>
      <c r="F3922" t="e">
        <f>INDEX(Stammdaten[D Mitte mit Rinde (mm)],MATCH(Tabelle8[[#This Row],[Rank]],Stammdaten[Rank Verteilung D Mitte mit Rinde],0))</f>
        <v>#N/A</v>
      </c>
      <c r="G3922" t="e">
        <f>VLOOKUP(Tabelle8[[#This Row],[Rank]],Stammdaten[[Rank Verteilung D Mitte mit Rinde]:[Verteilung D Mitte mit Rinde]],2,FALSE)</f>
        <v>#N/A</v>
      </c>
      <c r="L3922">
        <v>3913</v>
      </c>
      <c r="M3922" t="e">
        <f>INDEX(Stammdaten[Abholzigkeit (mm/lfm)],MATCH(Tabelle9[[#This Row],[Rank]],Stammdaten[Rank Verteilung Abholzigkeit],0))</f>
        <v>#N/A</v>
      </c>
      <c r="N3922" t="e">
        <f>VLOOKUP(Tabelle9[[#This Row],[Rank]],Stammdaten[[Rank Verteilung Abholzigkeit]:[Verteilung Abholzigkeit]],2,FALSE)</f>
        <v>#N/A</v>
      </c>
      <c r="S3922">
        <v>3913</v>
      </c>
      <c r="T3922" t="e">
        <f>INDEX(Stammdaten[Krümmung (mm/lfm)],MATCH(Tabelle10[[#This Row],[Rank]],Stammdaten[Rank Verteilung Krümmung],0))</f>
        <v>#N/A</v>
      </c>
      <c r="U3922" t="e">
        <f>VLOOKUP(Tabelle10[[#This Row],[Rank]],Stammdaten[[Rank Verteilung Krümmung]:[Verteilung Krümmung]],2,FALSE)</f>
        <v>#N/A</v>
      </c>
      <c r="Z3922">
        <v>3913</v>
      </c>
      <c r="AA3922" t="e">
        <f>INDEX(Stammdaten[Ovalität (']0,1'])],MATCH(Tabelle1014[[#This Row],[Rank]],Stammdaten[Rank Verteilung Ovalität],0))</f>
        <v>#N/A</v>
      </c>
      <c r="AB3922" t="e">
        <f>VLOOKUP(Tabelle1014[[#This Row],[Rank]],Stammdaten[[Rank Verteilung Ovalität]:[Verteilung Ovalität]],2,FALSE)</f>
        <v>#N/A</v>
      </c>
    </row>
    <row r="3923" spans="5:28" x14ac:dyDescent="0.35">
      <c r="E3923">
        <v>3914</v>
      </c>
      <c r="F3923" t="e">
        <f>INDEX(Stammdaten[D Mitte mit Rinde (mm)],MATCH(Tabelle8[[#This Row],[Rank]],Stammdaten[Rank Verteilung D Mitte mit Rinde],0))</f>
        <v>#N/A</v>
      </c>
      <c r="G3923" t="e">
        <f>VLOOKUP(Tabelle8[[#This Row],[Rank]],Stammdaten[[Rank Verteilung D Mitte mit Rinde]:[Verteilung D Mitte mit Rinde]],2,FALSE)</f>
        <v>#N/A</v>
      </c>
      <c r="L3923">
        <v>3914</v>
      </c>
      <c r="M3923" t="e">
        <f>INDEX(Stammdaten[Abholzigkeit (mm/lfm)],MATCH(Tabelle9[[#This Row],[Rank]],Stammdaten[Rank Verteilung Abholzigkeit],0))</f>
        <v>#N/A</v>
      </c>
      <c r="N3923" t="e">
        <f>VLOOKUP(Tabelle9[[#This Row],[Rank]],Stammdaten[[Rank Verteilung Abholzigkeit]:[Verteilung Abholzigkeit]],2,FALSE)</f>
        <v>#N/A</v>
      </c>
      <c r="S3923">
        <v>3914</v>
      </c>
      <c r="T3923" t="e">
        <f>INDEX(Stammdaten[Krümmung (mm/lfm)],MATCH(Tabelle10[[#This Row],[Rank]],Stammdaten[Rank Verteilung Krümmung],0))</f>
        <v>#N/A</v>
      </c>
      <c r="U3923" t="e">
        <f>VLOOKUP(Tabelle10[[#This Row],[Rank]],Stammdaten[[Rank Verteilung Krümmung]:[Verteilung Krümmung]],2,FALSE)</f>
        <v>#N/A</v>
      </c>
      <c r="Z3923">
        <v>3914</v>
      </c>
      <c r="AA3923" t="e">
        <f>INDEX(Stammdaten[Ovalität (']0,1'])],MATCH(Tabelle1014[[#This Row],[Rank]],Stammdaten[Rank Verteilung Ovalität],0))</f>
        <v>#N/A</v>
      </c>
      <c r="AB3923" t="e">
        <f>VLOOKUP(Tabelle1014[[#This Row],[Rank]],Stammdaten[[Rank Verteilung Ovalität]:[Verteilung Ovalität]],2,FALSE)</f>
        <v>#N/A</v>
      </c>
    </row>
    <row r="3924" spans="5:28" x14ac:dyDescent="0.35">
      <c r="E3924">
        <v>3915</v>
      </c>
      <c r="F3924" t="e">
        <f>INDEX(Stammdaten[D Mitte mit Rinde (mm)],MATCH(Tabelle8[[#This Row],[Rank]],Stammdaten[Rank Verteilung D Mitte mit Rinde],0))</f>
        <v>#N/A</v>
      </c>
      <c r="G3924" t="e">
        <f>VLOOKUP(Tabelle8[[#This Row],[Rank]],Stammdaten[[Rank Verteilung D Mitte mit Rinde]:[Verteilung D Mitte mit Rinde]],2,FALSE)</f>
        <v>#N/A</v>
      </c>
      <c r="L3924">
        <v>3915</v>
      </c>
      <c r="M3924" t="e">
        <f>INDEX(Stammdaten[Abholzigkeit (mm/lfm)],MATCH(Tabelle9[[#This Row],[Rank]],Stammdaten[Rank Verteilung Abholzigkeit],0))</f>
        <v>#N/A</v>
      </c>
      <c r="N3924" t="e">
        <f>VLOOKUP(Tabelle9[[#This Row],[Rank]],Stammdaten[[Rank Verteilung Abholzigkeit]:[Verteilung Abholzigkeit]],2,FALSE)</f>
        <v>#N/A</v>
      </c>
      <c r="S3924">
        <v>3915</v>
      </c>
      <c r="T3924" t="e">
        <f>INDEX(Stammdaten[Krümmung (mm/lfm)],MATCH(Tabelle10[[#This Row],[Rank]],Stammdaten[Rank Verteilung Krümmung],0))</f>
        <v>#N/A</v>
      </c>
      <c r="U3924" t="e">
        <f>VLOOKUP(Tabelle10[[#This Row],[Rank]],Stammdaten[[Rank Verteilung Krümmung]:[Verteilung Krümmung]],2,FALSE)</f>
        <v>#N/A</v>
      </c>
      <c r="Z3924">
        <v>3915</v>
      </c>
      <c r="AA3924" t="e">
        <f>INDEX(Stammdaten[Ovalität (']0,1'])],MATCH(Tabelle1014[[#This Row],[Rank]],Stammdaten[Rank Verteilung Ovalität],0))</f>
        <v>#N/A</v>
      </c>
      <c r="AB3924" t="e">
        <f>VLOOKUP(Tabelle1014[[#This Row],[Rank]],Stammdaten[[Rank Verteilung Ovalität]:[Verteilung Ovalität]],2,FALSE)</f>
        <v>#N/A</v>
      </c>
    </row>
    <row r="3925" spans="5:28" x14ac:dyDescent="0.35">
      <c r="E3925">
        <v>3916</v>
      </c>
      <c r="F3925" t="e">
        <f>INDEX(Stammdaten[D Mitte mit Rinde (mm)],MATCH(Tabelle8[[#This Row],[Rank]],Stammdaten[Rank Verteilung D Mitte mit Rinde],0))</f>
        <v>#N/A</v>
      </c>
      <c r="G3925" t="e">
        <f>VLOOKUP(Tabelle8[[#This Row],[Rank]],Stammdaten[[Rank Verteilung D Mitte mit Rinde]:[Verteilung D Mitte mit Rinde]],2,FALSE)</f>
        <v>#N/A</v>
      </c>
      <c r="L3925">
        <v>3916</v>
      </c>
      <c r="M3925" t="e">
        <f>INDEX(Stammdaten[Abholzigkeit (mm/lfm)],MATCH(Tabelle9[[#This Row],[Rank]],Stammdaten[Rank Verteilung Abholzigkeit],0))</f>
        <v>#N/A</v>
      </c>
      <c r="N3925" t="e">
        <f>VLOOKUP(Tabelle9[[#This Row],[Rank]],Stammdaten[[Rank Verteilung Abholzigkeit]:[Verteilung Abholzigkeit]],2,FALSE)</f>
        <v>#N/A</v>
      </c>
      <c r="S3925">
        <v>3916</v>
      </c>
      <c r="T3925" t="e">
        <f>INDEX(Stammdaten[Krümmung (mm/lfm)],MATCH(Tabelle10[[#This Row],[Rank]],Stammdaten[Rank Verteilung Krümmung],0))</f>
        <v>#N/A</v>
      </c>
      <c r="U3925" t="e">
        <f>VLOOKUP(Tabelle10[[#This Row],[Rank]],Stammdaten[[Rank Verteilung Krümmung]:[Verteilung Krümmung]],2,FALSE)</f>
        <v>#N/A</v>
      </c>
      <c r="Z3925">
        <v>3916</v>
      </c>
      <c r="AA3925" t="e">
        <f>INDEX(Stammdaten[Ovalität (']0,1'])],MATCH(Tabelle1014[[#This Row],[Rank]],Stammdaten[Rank Verteilung Ovalität],0))</f>
        <v>#N/A</v>
      </c>
      <c r="AB3925" t="e">
        <f>VLOOKUP(Tabelle1014[[#This Row],[Rank]],Stammdaten[[Rank Verteilung Ovalität]:[Verteilung Ovalität]],2,FALSE)</f>
        <v>#N/A</v>
      </c>
    </row>
    <row r="3926" spans="5:28" x14ac:dyDescent="0.35">
      <c r="E3926">
        <v>3917</v>
      </c>
      <c r="F3926" t="e">
        <f>INDEX(Stammdaten[D Mitte mit Rinde (mm)],MATCH(Tabelle8[[#This Row],[Rank]],Stammdaten[Rank Verteilung D Mitte mit Rinde],0))</f>
        <v>#N/A</v>
      </c>
      <c r="G3926" t="e">
        <f>VLOOKUP(Tabelle8[[#This Row],[Rank]],Stammdaten[[Rank Verteilung D Mitte mit Rinde]:[Verteilung D Mitte mit Rinde]],2,FALSE)</f>
        <v>#N/A</v>
      </c>
      <c r="L3926">
        <v>3917</v>
      </c>
      <c r="M3926" t="e">
        <f>INDEX(Stammdaten[Abholzigkeit (mm/lfm)],MATCH(Tabelle9[[#This Row],[Rank]],Stammdaten[Rank Verteilung Abholzigkeit],0))</f>
        <v>#N/A</v>
      </c>
      <c r="N3926" t="e">
        <f>VLOOKUP(Tabelle9[[#This Row],[Rank]],Stammdaten[[Rank Verteilung Abholzigkeit]:[Verteilung Abholzigkeit]],2,FALSE)</f>
        <v>#N/A</v>
      </c>
      <c r="S3926">
        <v>3917</v>
      </c>
      <c r="T3926" t="e">
        <f>INDEX(Stammdaten[Krümmung (mm/lfm)],MATCH(Tabelle10[[#This Row],[Rank]],Stammdaten[Rank Verteilung Krümmung],0))</f>
        <v>#N/A</v>
      </c>
      <c r="U3926" t="e">
        <f>VLOOKUP(Tabelle10[[#This Row],[Rank]],Stammdaten[[Rank Verteilung Krümmung]:[Verteilung Krümmung]],2,FALSE)</f>
        <v>#N/A</v>
      </c>
      <c r="Z3926">
        <v>3917</v>
      </c>
      <c r="AA3926" t="e">
        <f>INDEX(Stammdaten[Ovalität (']0,1'])],MATCH(Tabelle1014[[#This Row],[Rank]],Stammdaten[Rank Verteilung Ovalität],0))</f>
        <v>#N/A</v>
      </c>
      <c r="AB3926" t="e">
        <f>VLOOKUP(Tabelle1014[[#This Row],[Rank]],Stammdaten[[Rank Verteilung Ovalität]:[Verteilung Ovalität]],2,FALSE)</f>
        <v>#N/A</v>
      </c>
    </row>
    <row r="3927" spans="5:28" x14ac:dyDescent="0.35">
      <c r="E3927">
        <v>3918</v>
      </c>
      <c r="F3927" t="e">
        <f>INDEX(Stammdaten[D Mitte mit Rinde (mm)],MATCH(Tabelle8[[#This Row],[Rank]],Stammdaten[Rank Verteilung D Mitte mit Rinde],0))</f>
        <v>#N/A</v>
      </c>
      <c r="G3927" t="e">
        <f>VLOOKUP(Tabelle8[[#This Row],[Rank]],Stammdaten[[Rank Verteilung D Mitte mit Rinde]:[Verteilung D Mitte mit Rinde]],2,FALSE)</f>
        <v>#N/A</v>
      </c>
      <c r="L3927">
        <v>3918</v>
      </c>
      <c r="M3927" t="e">
        <f>INDEX(Stammdaten[Abholzigkeit (mm/lfm)],MATCH(Tabelle9[[#This Row],[Rank]],Stammdaten[Rank Verteilung Abholzigkeit],0))</f>
        <v>#N/A</v>
      </c>
      <c r="N3927" t="e">
        <f>VLOOKUP(Tabelle9[[#This Row],[Rank]],Stammdaten[[Rank Verteilung Abholzigkeit]:[Verteilung Abholzigkeit]],2,FALSE)</f>
        <v>#N/A</v>
      </c>
      <c r="S3927">
        <v>3918</v>
      </c>
      <c r="T3927" t="e">
        <f>INDEX(Stammdaten[Krümmung (mm/lfm)],MATCH(Tabelle10[[#This Row],[Rank]],Stammdaten[Rank Verteilung Krümmung],0))</f>
        <v>#N/A</v>
      </c>
      <c r="U3927" t="e">
        <f>VLOOKUP(Tabelle10[[#This Row],[Rank]],Stammdaten[[Rank Verteilung Krümmung]:[Verteilung Krümmung]],2,FALSE)</f>
        <v>#N/A</v>
      </c>
      <c r="Z3927">
        <v>3918</v>
      </c>
      <c r="AA3927" t="e">
        <f>INDEX(Stammdaten[Ovalität (']0,1'])],MATCH(Tabelle1014[[#This Row],[Rank]],Stammdaten[Rank Verteilung Ovalität],0))</f>
        <v>#N/A</v>
      </c>
      <c r="AB3927" t="e">
        <f>VLOOKUP(Tabelle1014[[#This Row],[Rank]],Stammdaten[[Rank Verteilung Ovalität]:[Verteilung Ovalität]],2,FALSE)</f>
        <v>#N/A</v>
      </c>
    </row>
    <row r="3928" spans="5:28" x14ac:dyDescent="0.35">
      <c r="E3928">
        <v>3919</v>
      </c>
      <c r="F3928" t="e">
        <f>INDEX(Stammdaten[D Mitte mit Rinde (mm)],MATCH(Tabelle8[[#This Row],[Rank]],Stammdaten[Rank Verteilung D Mitte mit Rinde],0))</f>
        <v>#N/A</v>
      </c>
      <c r="G3928" t="e">
        <f>VLOOKUP(Tabelle8[[#This Row],[Rank]],Stammdaten[[Rank Verteilung D Mitte mit Rinde]:[Verteilung D Mitte mit Rinde]],2,FALSE)</f>
        <v>#N/A</v>
      </c>
      <c r="L3928">
        <v>3919</v>
      </c>
      <c r="M3928" t="e">
        <f>INDEX(Stammdaten[Abholzigkeit (mm/lfm)],MATCH(Tabelle9[[#This Row],[Rank]],Stammdaten[Rank Verteilung Abholzigkeit],0))</f>
        <v>#N/A</v>
      </c>
      <c r="N3928" t="e">
        <f>VLOOKUP(Tabelle9[[#This Row],[Rank]],Stammdaten[[Rank Verteilung Abholzigkeit]:[Verteilung Abholzigkeit]],2,FALSE)</f>
        <v>#N/A</v>
      </c>
      <c r="S3928">
        <v>3919</v>
      </c>
      <c r="T3928" t="e">
        <f>INDEX(Stammdaten[Krümmung (mm/lfm)],MATCH(Tabelle10[[#This Row],[Rank]],Stammdaten[Rank Verteilung Krümmung],0))</f>
        <v>#N/A</v>
      </c>
      <c r="U3928" t="e">
        <f>VLOOKUP(Tabelle10[[#This Row],[Rank]],Stammdaten[[Rank Verteilung Krümmung]:[Verteilung Krümmung]],2,FALSE)</f>
        <v>#N/A</v>
      </c>
      <c r="Z3928">
        <v>3919</v>
      </c>
      <c r="AA3928" t="e">
        <f>INDEX(Stammdaten[Ovalität (']0,1'])],MATCH(Tabelle1014[[#This Row],[Rank]],Stammdaten[Rank Verteilung Ovalität],0))</f>
        <v>#N/A</v>
      </c>
      <c r="AB3928" t="e">
        <f>VLOOKUP(Tabelle1014[[#This Row],[Rank]],Stammdaten[[Rank Verteilung Ovalität]:[Verteilung Ovalität]],2,FALSE)</f>
        <v>#N/A</v>
      </c>
    </row>
    <row r="3929" spans="5:28" x14ac:dyDescent="0.35">
      <c r="E3929">
        <v>3920</v>
      </c>
      <c r="F3929" t="e">
        <f>INDEX(Stammdaten[D Mitte mit Rinde (mm)],MATCH(Tabelle8[[#This Row],[Rank]],Stammdaten[Rank Verteilung D Mitte mit Rinde],0))</f>
        <v>#N/A</v>
      </c>
      <c r="G3929" t="e">
        <f>VLOOKUP(Tabelle8[[#This Row],[Rank]],Stammdaten[[Rank Verteilung D Mitte mit Rinde]:[Verteilung D Mitte mit Rinde]],2,FALSE)</f>
        <v>#N/A</v>
      </c>
      <c r="L3929">
        <v>3920</v>
      </c>
      <c r="M3929" t="e">
        <f>INDEX(Stammdaten[Abholzigkeit (mm/lfm)],MATCH(Tabelle9[[#This Row],[Rank]],Stammdaten[Rank Verteilung Abholzigkeit],0))</f>
        <v>#N/A</v>
      </c>
      <c r="N3929" t="e">
        <f>VLOOKUP(Tabelle9[[#This Row],[Rank]],Stammdaten[[Rank Verteilung Abholzigkeit]:[Verteilung Abholzigkeit]],2,FALSE)</f>
        <v>#N/A</v>
      </c>
      <c r="S3929">
        <v>3920</v>
      </c>
      <c r="T3929" t="e">
        <f>INDEX(Stammdaten[Krümmung (mm/lfm)],MATCH(Tabelle10[[#This Row],[Rank]],Stammdaten[Rank Verteilung Krümmung],0))</f>
        <v>#N/A</v>
      </c>
      <c r="U3929" t="e">
        <f>VLOOKUP(Tabelle10[[#This Row],[Rank]],Stammdaten[[Rank Verteilung Krümmung]:[Verteilung Krümmung]],2,FALSE)</f>
        <v>#N/A</v>
      </c>
      <c r="Z3929">
        <v>3920</v>
      </c>
      <c r="AA3929" t="e">
        <f>INDEX(Stammdaten[Ovalität (']0,1'])],MATCH(Tabelle1014[[#This Row],[Rank]],Stammdaten[Rank Verteilung Ovalität],0))</f>
        <v>#N/A</v>
      </c>
      <c r="AB3929" t="e">
        <f>VLOOKUP(Tabelle1014[[#This Row],[Rank]],Stammdaten[[Rank Verteilung Ovalität]:[Verteilung Ovalität]],2,FALSE)</f>
        <v>#N/A</v>
      </c>
    </row>
    <row r="3930" spans="5:28" x14ac:dyDescent="0.35">
      <c r="E3930">
        <v>3921</v>
      </c>
      <c r="F3930" t="e">
        <f>INDEX(Stammdaten[D Mitte mit Rinde (mm)],MATCH(Tabelle8[[#This Row],[Rank]],Stammdaten[Rank Verteilung D Mitte mit Rinde],0))</f>
        <v>#N/A</v>
      </c>
      <c r="G3930" t="e">
        <f>VLOOKUP(Tabelle8[[#This Row],[Rank]],Stammdaten[[Rank Verteilung D Mitte mit Rinde]:[Verteilung D Mitte mit Rinde]],2,FALSE)</f>
        <v>#N/A</v>
      </c>
      <c r="L3930">
        <v>3921</v>
      </c>
      <c r="M3930" t="e">
        <f>INDEX(Stammdaten[Abholzigkeit (mm/lfm)],MATCH(Tabelle9[[#This Row],[Rank]],Stammdaten[Rank Verteilung Abholzigkeit],0))</f>
        <v>#N/A</v>
      </c>
      <c r="N3930" t="e">
        <f>VLOOKUP(Tabelle9[[#This Row],[Rank]],Stammdaten[[Rank Verteilung Abholzigkeit]:[Verteilung Abholzigkeit]],2,FALSE)</f>
        <v>#N/A</v>
      </c>
      <c r="S3930">
        <v>3921</v>
      </c>
      <c r="T3930" t="e">
        <f>INDEX(Stammdaten[Krümmung (mm/lfm)],MATCH(Tabelle10[[#This Row],[Rank]],Stammdaten[Rank Verteilung Krümmung],0))</f>
        <v>#N/A</v>
      </c>
      <c r="U3930" t="e">
        <f>VLOOKUP(Tabelle10[[#This Row],[Rank]],Stammdaten[[Rank Verteilung Krümmung]:[Verteilung Krümmung]],2,FALSE)</f>
        <v>#N/A</v>
      </c>
      <c r="Z3930">
        <v>3921</v>
      </c>
      <c r="AA3930" t="e">
        <f>INDEX(Stammdaten[Ovalität (']0,1'])],MATCH(Tabelle1014[[#This Row],[Rank]],Stammdaten[Rank Verteilung Ovalität],0))</f>
        <v>#N/A</v>
      </c>
      <c r="AB3930" t="e">
        <f>VLOOKUP(Tabelle1014[[#This Row],[Rank]],Stammdaten[[Rank Verteilung Ovalität]:[Verteilung Ovalität]],2,FALSE)</f>
        <v>#N/A</v>
      </c>
    </row>
    <row r="3931" spans="5:28" x14ac:dyDescent="0.35">
      <c r="E3931">
        <v>3922</v>
      </c>
      <c r="F3931" t="e">
        <f>INDEX(Stammdaten[D Mitte mit Rinde (mm)],MATCH(Tabelle8[[#This Row],[Rank]],Stammdaten[Rank Verteilung D Mitte mit Rinde],0))</f>
        <v>#N/A</v>
      </c>
      <c r="G3931" t="e">
        <f>VLOOKUP(Tabelle8[[#This Row],[Rank]],Stammdaten[[Rank Verteilung D Mitte mit Rinde]:[Verteilung D Mitte mit Rinde]],2,FALSE)</f>
        <v>#N/A</v>
      </c>
      <c r="L3931">
        <v>3922</v>
      </c>
      <c r="M3931" t="e">
        <f>INDEX(Stammdaten[Abholzigkeit (mm/lfm)],MATCH(Tabelle9[[#This Row],[Rank]],Stammdaten[Rank Verteilung Abholzigkeit],0))</f>
        <v>#N/A</v>
      </c>
      <c r="N3931" t="e">
        <f>VLOOKUP(Tabelle9[[#This Row],[Rank]],Stammdaten[[Rank Verteilung Abholzigkeit]:[Verteilung Abholzigkeit]],2,FALSE)</f>
        <v>#N/A</v>
      </c>
      <c r="S3931">
        <v>3922</v>
      </c>
      <c r="T3931" t="e">
        <f>INDEX(Stammdaten[Krümmung (mm/lfm)],MATCH(Tabelle10[[#This Row],[Rank]],Stammdaten[Rank Verteilung Krümmung],0))</f>
        <v>#N/A</v>
      </c>
      <c r="U3931" t="e">
        <f>VLOOKUP(Tabelle10[[#This Row],[Rank]],Stammdaten[[Rank Verteilung Krümmung]:[Verteilung Krümmung]],2,FALSE)</f>
        <v>#N/A</v>
      </c>
      <c r="Z3931">
        <v>3922</v>
      </c>
      <c r="AA3931" t="e">
        <f>INDEX(Stammdaten[Ovalität (']0,1'])],MATCH(Tabelle1014[[#This Row],[Rank]],Stammdaten[Rank Verteilung Ovalität],0))</f>
        <v>#N/A</v>
      </c>
      <c r="AB3931" t="e">
        <f>VLOOKUP(Tabelle1014[[#This Row],[Rank]],Stammdaten[[Rank Verteilung Ovalität]:[Verteilung Ovalität]],2,FALSE)</f>
        <v>#N/A</v>
      </c>
    </row>
    <row r="3932" spans="5:28" x14ac:dyDescent="0.35">
      <c r="E3932">
        <v>3923</v>
      </c>
      <c r="F3932" t="e">
        <f>INDEX(Stammdaten[D Mitte mit Rinde (mm)],MATCH(Tabelle8[[#This Row],[Rank]],Stammdaten[Rank Verteilung D Mitte mit Rinde],0))</f>
        <v>#N/A</v>
      </c>
      <c r="G3932" t="e">
        <f>VLOOKUP(Tabelle8[[#This Row],[Rank]],Stammdaten[[Rank Verteilung D Mitte mit Rinde]:[Verteilung D Mitte mit Rinde]],2,FALSE)</f>
        <v>#N/A</v>
      </c>
      <c r="L3932">
        <v>3923</v>
      </c>
      <c r="M3932" t="e">
        <f>INDEX(Stammdaten[Abholzigkeit (mm/lfm)],MATCH(Tabelle9[[#This Row],[Rank]],Stammdaten[Rank Verteilung Abholzigkeit],0))</f>
        <v>#N/A</v>
      </c>
      <c r="N3932" t="e">
        <f>VLOOKUP(Tabelle9[[#This Row],[Rank]],Stammdaten[[Rank Verteilung Abholzigkeit]:[Verteilung Abholzigkeit]],2,FALSE)</f>
        <v>#N/A</v>
      </c>
      <c r="S3932">
        <v>3923</v>
      </c>
      <c r="T3932" t="e">
        <f>INDEX(Stammdaten[Krümmung (mm/lfm)],MATCH(Tabelle10[[#This Row],[Rank]],Stammdaten[Rank Verteilung Krümmung],0))</f>
        <v>#N/A</v>
      </c>
      <c r="U3932" t="e">
        <f>VLOOKUP(Tabelle10[[#This Row],[Rank]],Stammdaten[[Rank Verteilung Krümmung]:[Verteilung Krümmung]],2,FALSE)</f>
        <v>#N/A</v>
      </c>
      <c r="Z3932">
        <v>3923</v>
      </c>
      <c r="AA3932" t="e">
        <f>INDEX(Stammdaten[Ovalität (']0,1'])],MATCH(Tabelle1014[[#This Row],[Rank]],Stammdaten[Rank Verteilung Ovalität],0))</f>
        <v>#N/A</v>
      </c>
      <c r="AB3932" t="e">
        <f>VLOOKUP(Tabelle1014[[#This Row],[Rank]],Stammdaten[[Rank Verteilung Ovalität]:[Verteilung Ovalität]],2,FALSE)</f>
        <v>#N/A</v>
      </c>
    </row>
    <row r="3933" spans="5:28" x14ac:dyDescent="0.35">
      <c r="E3933">
        <v>3924</v>
      </c>
      <c r="F3933" t="e">
        <f>INDEX(Stammdaten[D Mitte mit Rinde (mm)],MATCH(Tabelle8[[#This Row],[Rank]],Stammdaten[Rank Verteilung D Mitte mit Rinde],0))</f>
        <v>#N/A</v>
      </c>
      <c r="G3933" t="e">
        <f>VLOOKUP(Tabelle8[[#This Row],[Rank]],Stammdaten[[Rank Verteilung D Mitte mit Rinde]:[Verteilung D Mitte mit Rinde]],2,FALSE)</f>
        <v>#N/A</v>
      </c>
      <c r="L3933">
        <v>3924</v>
      </c>
      <c r="M3933" t="e">
        <f>INDEX(Stammdaten[Abholzigkeit (mm/lfm)],MATCH(Tabelle9[[#This Row],[Rank]],Stammdaten[Rank Verteilung Abholzigkeit],0))</f>
        <v>#N/A</v>
      </c>
      <c r="N3933" t="e">
        <f>VLOOKUP(Tabelle9[[#This Row],[Rank]],Stammdaten[[Rank Verteilung Abholzigkeit]:[Verteilung Abholzigkeit]],2,FALSE)</f>
        <v>#N/A</v>
      </c>
      <c r="S3933">
        <v>3924</v>
      </c>
      <c r="T3933" t="e">
        <f>INDEX(Stammdaten[Krümmung (mm/lfm)],MATCH(Tabelle10[[#This Row],[Rank]],Stammdaten[Rank Verteilung Krümmung],0))</f>
        <v>#N/A</v>
      </c>
      <c r="U3933" t="e">
        <f>VLOOKUP(Tabelle10[[#This Row],[Rank]],Stammdaten[[Rank Verteilung Krümmung]:[Verteilung Krümmung]],2,FALSE)</f>
        <v>#N/A</v>
      </c>
      <c r="Z3933">
        <v>3924</v>
      </c>
      <c r="AA3933" t="e">
        <f>INDEX(Stammdaten[Ovalität (']0,1'])],MATCH(Tabelle1014[[#This Row],[Rank]],Stammdaten[Rank Verteilung Ovalität],0))</f>
        <v>#N/A</v>
      </c>
      <c r="AB3933" t="e">
        <f>VLOOKUP(Tabelle1014[[#This Row],[Rank]],Stammdaten[[Rank Verteilung Ovalität]:[Verteilung Ovalität]],2,FALSE)</f>
        <v>#N/A</v>
      </c>
    </row>
    <row r="3934" spans="5:28" x14ac:dyDescent="0.35">
      <c r="E3934">
        <v>3925</v>
      </c>
      <c r="F3934" t="e">
        <f>INDEX(Stammdaten[D Mitte mit Rinde (mm)],MATCH(Tabelle8[[#This Row],[Rank]],Stammdaten[Rank Verteilung D Mitte mit Rinde],0))</f>
        <v>#N/A</v>
      </c>
      <c r="G3934" t="e">
        <f>VLOOKUP(Tabelle8[[#This Row],[Rank]],Stammdaten[[Rank Verteilung D Mitte mit Rinde]:[Verteilung D Mitte mit Rinde]],2,FALSE)</f>
        <v>#N/A</v>
      </c>
      <c r="L3934">
        <v>3925</v>
      </c>
      <c r="M3934" t="e">
        <f>INDEX(Stammdaten[Abholzigkeit (mm/lfm)],MATCH(Tabelle9[[#This Row],[Rank]],Stammdaten[Rank Verteilung Abholzigkeit],0))</f>
        <v>#N/A</v>
      </c>
      <c r="N3934" t="e">
        <f>VLOOKUP(Tabelle9[[#This Row],[Rank]],Stammdaten[[Rank Verteilung Abholzigkeit]:[Verteilung Abholzigkeit]],2,FALSE)</f>
        <v>#N/A</v>
      </c>
      <c r="S3934">
        <v>3925</v>
      </c>
      <c r="T3934" t="e">
        <f>INDEX(Stammdaten[Krümmung (mm/lfm)],MATCH(Tabelle10[[#This Row],[Rank]],Stammdaten[Rank Verteilung Krümmung],0))</f>
        <v>#N/A</v>
      </c>
      <c r="U3934" t="e">
        <f>VLOOKUP(Tabelle10[[#This Row],[Rank]],Stammdaten[[Rank Verteilung Krümmung]:[Verteilung Krümmung]],2,FALSE)</f>
        <v>#N/A</v>
      </c>
      <c r="Z3934">
        <v>3925</v>
      </c>
      <c r="AA3934" t="e">
        <f>INDEX(Stammdaten[Ovalität (']0,1'])],MATCH(Tabelle1014[[#This Row],[Rank]],Stammdaten[Rank Verteilung Ovalität],0))</f>
        <v>#N/A</v>
      </c>
      <c r="AB3934" t="e">
        <f>VLOOKUP(Tabelle1014[[#This Row],[Rank]],Stammdaten[[Rank Verteilung Ovalität]:[Verteilung Ovalität]],2,FALSE)</f>
        <v>#N/A</v>
      </c>
    </row>
    <row r="3935" spans="5:28" x14ac:dyDescent="0.35">
      <c r="E3935">
        <v>3926</v>
      </c>
      <c r="F3935" t="e">
        <f>INDEX(Stammdaten[D Mitte mit Rinde (mm)],MATCH(Tabelle8[[#This Row],[Rank]],Stammdaten[Rank Verteilung D Mitte mit Rinde],0))</f>
        <v>#N/A</v>
      </c>
      <c r="G3935" t="e">
        <f>VLOOKUP(Tabelle8[[#This Row],[Rank]],Stammdaten[[Rank Verteilung D Mitte mit Rinde]:[Verteilung D Mitte mit Rinde]],2,FALSE)</f>
        <v>#N/A</v>
      </c>
      <c r="L3935">
        <v>3926</v>
      </c>
      <c r="M3935" t="e">
        <f>INDEX(Stammdaten[Abholzigkeit (mm/lfm)],MATCH(Tabelle9[[#This Row],[Rank]],Stammdaten[Rank Verteilung Abholzigkeit],0))</f>
        <v>#N/A</v>
      </c>
      <c r="N3935" t="e">
        <f>VLOOKUP(Tabelle9[[#This Row],[Rank]],Stammdaten[[Rank Verteilung Abholzigkeit]:[Verteilung Abholzigkeit]],2,FALSE)</f>
        <v>#N/A</v>
      </c>
      <c r="S3935">
        <v>3926</v>
      </c>
      <c r="T3935" t="e">
        <f>INDEX(Stammdaten[Krümmung (mm/lfm)],MATCH(Tabelle10[[#This Row],[Rank]],Stammdaten[Rank Verteilung Krümmung],0))</f>
        <v>#N/A</v>
      </c>
      <c r="U3935" t="e">
        <f>VLOOKUP(Tabelle10[[#This Row],[Rank]],Stammdaten[[Rank Verteilung Krümmung]:[Verteilung Krümmung]],2,FALSE)</f>
        <v>#N/A</v>
      </c>
      <c r="Z3935">
        <v>3926</v>
      </c>
      <c r="AA3935" t="e">
        <f>INDEX(Stammdaten[Ovalität (']0,1'])],MATCH(Tabelle1014[[#This Row],[Rank]],Stammdaten[Rank Verteilung Ovalität],0))</f>
        <v>#N/A</v>
      </c>
      <c r="AB3935" t="e">
        <f>VLOOKUP(Tabelle1014[[#This Row],[Rank]],Stammdaten[[Rank Verteilung Ovalität]:[Verteilung Ovalität]],2,FALSE)</f>
        <v>#N/A</v>
      </c>
    </row>
    <row r="3936" spans="5:28" x14ac:dyDescent="0.35">
      <c r="E3936">
        <v>3927</v>
      </c>
      <c r="F3936" t="e">
        <f>INDEX(Stammdaten[D Mitte mit Rinde (mm)],MATCH(Tabelle8[[#This Row],[Rank]],Stammdaten[Rank Verteilung D Mitte mit Rinde],0))</f>
        <v>#N/A</v>
      </c>
      <c r="G3936" t="e">
        <f>VLOOKUP(Tabelle8[[#This Row],[Rank]],Stammdaten[[Rank Verteilung D Mitte mit Rinde]:[Verteilung D Mitte mit Rinde]],2,FALSE)</f>
        <v>#N/A</v>
      </c>
      <c r="L3936">
        <v>3927</v>
      </c>
      <c r="M3936" t="e">
        <f>INDEX(Stammdaten[Abholzigkeit (mm/lfm)],MATCH(Tabelle9[[#This Row],[Rank]],Stammdaten[Rank Verteilung Abholzigkeit],0))</f>
        <v>#N/A</v>
      </c>
      <c r="N3936" t="e">
        <f>VLOOKUP(Tabelle9[[#This Row],[Rank]],Stammdaten[[Rank Verteilung Abholzigkeit]:[Verteilung Abholzigkeit]],2,FALSE)</f>
        <v>#N/A</v>
      </c>
      <c r="S3936">
        <v>3927</v>
      </c>
      <c r="T3936" t="e">
        <f>INDEX(Stammdaten[Krümmung (mm/lfm)],MATCH(Tabelle10[[#This Row],[Rank]],Stammdaten[Rank Verteilung Krümmung],0))</f>
        <v>#N/A</v>
      </c>
      <c r="U3936" t="e">
        <f>VLOOKUP(Tabelle10[[#This Row],[Rank]],Stammdaten[[Rank Verteilung Krümmung]:[Verteilung Krümmung]],2,FALSE)</f>
        <v>#N/A</v>
      </c>
      <c r="Z3936">
        <v>3927</v>
      </c>
      <c r="AA3936" t="e">
        <f>INDEX(Stammdaten[Ovalität (']0,1'])],MATCH(Tabelle1014[[#This Row],[Rank]],Stammdaten[Rank Verteilung Ovalität],0))</f>
        <v>#N/A</v>
      </c>
      <c r="AB3936" t="e">
        <f>VLOOKUP(Tabelle1014[[#This Row],[Rank]],Stammdaten[[Rank Verteilung Ovalität]:[Verteilung Ovalität]],2,FALSE)</f>
        <v>#N/A</v>
      </c>
    </row>
    <row r="3937" spans="5:28" x14ac:dyDescent="0.35">
      <c r="E3937">
        <v>3928</v>
      </c>
      <c r="F3937" t="e">
        <f>INDEX(Stammdaten[D Mitte mit Rinde (mm)],MATCH(Tabelle8[[#This Row],[Rank]],Stammdaten[Rank Verteilung D Mitte mit Rinde],0))</f>
        <v>#N/A</v>
      </c>
      <c r="G3937" t="e">
        <f>VLOOKUP(Tabelle8[[#This Row],[Rank]],Stammdaten[[Rank Verteilung D Mitte mit Rinde]:[Verteilung D Mitte mit Rinde]],2,FALSE)</f>
        <v>#N/A</v>
      </c>
      <c r="L3937">
        <v>3928</v>
      </c>
      <c r="M3937" t="e">
        <f>INDEX(Stammdaten[Abholzigkeit (mm/lfm)],MATCH(Tabelle9[[#This Row],[Rank]],Stammdaten[Rank Verteilung Abholzigkeit],0))</f>
        <v>#N/A</v>
      </c>
      <c r="N3937" t="e">
        <f>VLOOKUP(Tabelle9[[#This Row],[Rank]],Stammdaten[[Rank Verteilung Abholzigkeit]:[Verteilung Abholzigkeit]],2,FALSE)</f>
        <v>#N/A</v>
      </c>
      <c r="S3937">
        <v>3928</v>
      </c>
      <c r="T3937" t="e">
        <f>INDEX(Stammdaten[Krümmung (mm/lfm)],MATCH(Tabelle10[[#This Row],[Rank]],Stammdaten[Rank Verteilung Krümmung],0))</f>
        <v>#N/A</v>
      </c>
      <c r="U3937" t="e">
        <f>VLOOKUP(Tabelle10[[#This Row],[Rank]],Stammdaten[[Rank Verteilung Krümmung]:[Verteilung Krümmung]],2,FALSE)</f>
        <v>#N/A</v>
      </c>
      <c r="Z3937">
        <v>3928</v>
      </c>
      <c r="AA3937" t="e">
        <f>INDEX(Stammdaten[Ovalität (']0,1'])],MATCH(Tabelle1014[[#This Row],[Rank]],Stammdaten[Rank Verteilung Ovalität],0))</f>
        <v>#N/A</v>
      </c>
      <c r="AB3937" t="e">
        <f>VLOOKUP(Tabelle1014[[#This Row],[Rank]],Stammdaten[[Rank Verteilung Ovalität]:[Verteilung Ovalität]],2,FALSE)</f>
        <v>#N/A</v>
      </c>
    </row>
    <row r="3938" spans="5:28" x14ac:dyDescent="0.35">
      <c r="E3938">
        <v>3929</v>
      </c>
      <c r="F3938" t="e">
        <f>INDEX(Stammdaten[D Mitte mit Rinde (mm)],MATCH(Tabelle8[[#This Row],[Rank]],Stammdaten[Rank Verteilung D Mitte mit Rinde],0))</f>
        <v>#N/A</v>
      </c>
      <c r="G3938" t="e">
        <f>VLOOKUP(Tabelle8[[#This Row],[Rank]],Stammdaten[[Rank Verteilung D Mitte mit Rinde]:[Verteilung D Mitte mit Rinde]],2,FALSE)</f>
        <v>#N/A</v>
      </c>
      <c r="L3938">
        <v>3929</v>
      </c>
      <c r="M3938" t="e">
        <f>INDEX(Stammdaten[Abholzigkeit (mm/lfm)],MATCH(Tabelle9[[#This Row],[Rank]],Stammdaten[Rank Verteilung Abholzigkeit],0))</f>
        <v>#N/A</v>
      </c>
      <c r="N3938" t="e">
        <f>VLOOKUP(Tabelle9[[#This Row],[Rank]],Stammdaten[[Rank Verteilung Abholzigkeit]:[Verteilung Abholzigkeit]],2,FALSE)</f>
        <v>#N/A</v>
      </c>
      <c r="S3938">
        <v>3929</v>
      </c>
      <c r="T3938" t="e">
        <f>INDEX(Stammdaten[Krümmung (mm/lfm)],MATCH(Tabelle10[[#This Row],[Rank]],Stammdaten[Rank Verteilung Krümmung],0))</f>
        <v>#N/A</v>
      </c>
      <c r="U3938" t="e">
        <f>VLOOKUP(Tabelle10[[#This Row],[Rank]],Stammdaten[[Rank Verteilung Krümmung]:[Verteilung Krümmung]],2,FALSE)</f>
        <v>#N/A</v>
      </c>
      <c r="Z3938">
        <v>3929</v>
      </c>
      <c r="AA3938" t="e">
        <f>INDEX(Stammdaten[Ovalität (']0,1'])],MATCH(Tabelle1014[[#This Row],[Rank]],Stammdaten[Rank Verteilung Ovalität],0))</f>
        <v>#N/A</v>
      </c>
      <c r="AB3938" t="e">
        <f>VLOOKUP(Tabelle1014[[#This Row],[Rank]],Stammdaten[[Rank Verteilung Ovalität]:[Verteilung Ovalität]],2,FALSE)</f>
        <v>#N/A</v>
      </c>
    </row>
    <row r="3939" spans="5:28" x14ac:dyDescent="0.35">
      <c r="E3939">
        <v>3930</v>
      </c>
      <c r="F3939" t="e">
        <f>INDEX(Stammdaten[D Mitte mit Rinde (mm)],MATCH(Tabelle8[[#This Row],[Rank]],Stammdaten[Rank Verteilung D Mitte mit Rinde],0))</f>
        <v>#N/A</v>
      </c>
      <c r="G3939" t="e">
        <f>VLOOKUP(Tabelle8[[#This Row],[Rank]],Stammdaten[[Rank Verteilung D Mitte mit Rinde]:[Verteilung D Mitte mit Rinde]],2,FALSE)</f>
        <v>#N/A</v>
      </c>
      <c r="L3939">
        <v>3930</v>
      </c>
      <c r="M3939" t="e">
        <f>INDEX(Stammdaten[Abholzigkeit (mm/lfm)],MATCH(Tabelle9[[#This Row],[Rank]],Stammdaten[Rank Verteilung Abholzigkeit],0))</f>
        <v>#N/A</v>
      </c>
      <c r="N3939" t="e">
        <f>VLOOKUP(Tabelle9[[#This Row],[Rank]],Stammdaten[[Rank Verteilung Abholzigkeit]:[Verteilung Abholzigkeit]],2,FALSE)</f>
        <v>#N/A</v>
      </c>
      <c r="S3939">
        <v>3930</v>
      </c>
      <c r="T3939" t="e">
        <f>INDEX(Stammdaten[Krümmung (mm/lfm)],MATCH(Tabelle10[[#This Row],[Rank]],Stammdaten[Rank Verteilung Krümmung],0))</f>
        <v>#N/A</v>
      </c>
      <c r="U3939" t="e">
        <f>VLOOKUP(Tabelle10[[#This Row],[Rank]],Stammdaten[[Rank Verteilung Krümmung]:[Verteilung Krümmung]],2,FALSE)</f>
        <v>#N/A</v>
      </c>
      <c r="Z3939">
        <v>3930</v>
      </c>
      <c r="AA3939" t="e">
        <f>INDEX(Stammdaten[Ovalität (']0,1'])],MATCH(Tabelle1014[[#This Row],[Rank]],Stammdaten[Rank Verteilung Ovalität],0))</f>
        <v>#N/A</v>
      </c>
      <c r="AB3939" t="e">
        <f>VLOOKUP(Tabelle1014[[#This Row],[Rank]],Stammdaten[[Rank Verteilung Ovalität]:[Verteilung Ovalität]],2,FALSE)</f>
        <v>#N/A</v>
      </c>
    </row>
    <row r="3940" spans="5:28" x14ac:dyDescent="0.35">
      <c r="E3940">
        <v>3931</v>
      </c>
      <c r="F3940" t="e">
        <f>INDEX(Stammdaten[D Mitte mit Rinde (mm)],MATCH(Tabelle8[[#This Row],[Rank]],Stammdaten[Rank Verteilung D Mitte mit Rinde],0))</f>
        <v>#N/A</v>
      </c>
      <c r="G3940" t="e">
        <f>VLOOKUP(Tabelle8[[#This Row],[Rank]],Stammdaten[[Rank Verteilung D Mitte mit Rinde]:[Verteilung D Mitte mit Rinde]],2,FALSE)</f>
        <v>#N/A</v>
      </c>
      <c r="L3940">
        <v>3931</v>
      </c>
      <c r="M3940" t="e">
        <f>INDEX(Stammdaten[Abholzigkeit (mm/lfm)],MATCH(Tabelle9[[#This Row],[Rank]],Stammdaten[Rank Verteilung Abholzigkeit],0))</f>
        <v>#N/A</v>
      </c>
      <c r="N3940" t="e">
        <f>VLOOKUP(Tabelle9[[#This Row],[Rank]],Stammdaten[[Rank Verteilung Abholzigkeit]:[Verteilung Abholzigkeit]],2,FALSE)</f>
        <v>#N/A</v>
      </c>
      <c r="S3940">
        <v>3931</v>
      </c>
      <c r="T3940" t="e">
        <f>INDEX(Stammdaten[Krümmung (mm/lfm)],MATCH(Tabelle10[[#This Row],[Rank]],Stammdaten[Rank Verteilung Krümmung],0))</f>
        <v>#N/A</v>
      </c>
      <c r="U3940" t="e">
        <f>VLOOKUP(Tabelle10[[#This Row],[Rank]],Stammdaten[[Rank Verteilung Krümmung]:[Verteilung Krümmung]],2,FALSE)</f>
        <v>#N/A</v>
      </c>
      <c r="Z3940">
        <v>3931</v>
      </c>
      <c r="AA3940" t="e">
        <f>INDEX(Stammdaten[Ovalität (']0,1'])],MATCH(Tabelle1014[[#This Row],[Rank]],Stammdaten[Rank Verteilung Ovalität],0))</f>
        <v>#N/A</v>
      </c>
      <c r="AB3940" t="e">
        <f>VLOOKUP(Tabelle1014[[#This Row],[Rank]],Stammdaten[[Rank Verteilung Ovalität]:[Verteilung Ovalität]],2,FALSE)</f>
        <v>#N/A</v>
      </c>
    </row>
    <row r="3941" spans="5:28" x14ac:dyDescent="0.35">
      <c r="E3941">
        <v>3932</v>
      </c>
      <c r="F3941" t="e">
        <f>INDEX(Stammdaten[D Mitte mit Rinde (mm)],MATCH(Tabelle8[[#This Row],[Rank]],Stammdaten[Rank Verteilung D Mitte mit Rinde],0))</f>
        <v>#N/A</v>
      </c>
      <c r="G3941" t="e">
        <f>VLOOKUP(Tabelle8[[#This Row],[Rank]],Stammdaten[[Rank Verteilung D Mitte mit Rinde]:[Verteilung D Mitte mit Rinde]],2,FALSE)</f>
        <v>#N/A</v>
      </c>
      <c r="L3941">
        <v>3932</v>
      </c>
      <c r="M3941" t="e">
        <f>INDEX(Stammdaten[Abholzigkeit (mm/lfm)],MATCH(Tabelle9[[#This Row],[Rank]],Stammdaten[Rank Verteilung Abholzigkeit],0))</f>
        <v>#N/A</v>
      </c>
      <c r="N3941" t="e">
        <f>VLOOKUP(Tabelle9[[#This Row],[Rank]],Stammdaten[[Rank Verteilung Abholzigkeit]:[Verteilung Abholzigkeit]],2,FALSE)</f>
        <v>#N/A</v>
      </c>
      <c r="S3941">
        <v>3932</v>
      </c>
      <c r="T3941" t="e">
        <f>INDEX(Stammdaten[Krümmung (mm/lfm)],MATCH(Tabelle10[[#This Row],[Rank]],Stammdaten[Rank Verteilung Krümmung],0))</f>
        <v>#N/A</v>
      </c>
      <c r="U3941" t="e">
        <f>VLOOKUP(Tabelle10[[#This Row],[Rank]],Stammdaten[[Rank Verteilung Krümmung]:[Verteilung Krümmung]],2,FALSE)</f>
        <v>#N/A</v>
      </c>
      <c r="Z3941">
        <v>3932</v>
      </c>
      <c r="AA3941" t="e">
        <f>INDEX(Stammdaten[Ovalität (']0,1'])],MATCH(Tabelle1014[[#This Row],[Rank]],Stammdaten[Rank Verteilung Ovalität],0))</f>
        <v>#N/A</v>
      </c>
      <c r="AB3941" t="e">
        <f>VLOOKUP(Tabelle1014[[#This Row],[Rank]],Stammdaten[[Rank Verteilung Ovalität]:[Verteilung Ovalität]],2,FALSE)</f>
        <v>#N/A</v>
      </c>
    </row>
    <row r="3942" spans="5:28" x14ac:dyDescent="0.35">
      <c r="E3942">
        <v>3933</v>
      </c>
      <c r="F3942" t="e">
        <f>INDEX(Stammdaten[D Mitte mit Rinde (mm)],MATCH(Tabelle8[[#This Row],[Rank]],Stammdaten[Rank Verteilung D Mitte mit Rinde],0))</f>
        <v>#N/A</v>
      </c>
      <c r="G3942" t="e">
        <f>VLOOKUP(Tabelle8[[#This Row],[Rank]],Stammdaten[[Rank Verteilung D Mitte mit Rinde]:[Verteilung D Mitte mit Rinde]],2,FALSE)</f>
        <v>#N/A</v>
      </c>
      <c r="L3942">
        <v>3933</v>
      </c>
      <c r="M3942" t="e">
        <f>INDEX(Stammdaten[Abholzigkeit (mm/lfm)],MATCH(Tabelle9[[#This Row],[Rank]],Stammdaten[Rank Verteilung Abholzigkeit],0))</f>
        <v>#N/A</v>
      </c>
      <c r="N3942" t="e">
        <f>VLOOKUP(Tabelle9[[#This Row],[Rank]],Stammdaten[[Rank Verteilung Abholzigkeit]:[Verteilung Abholzigkeit]],2,FALSE)</f>
        <v>#N/A</v>
      </c>
      <c r="S3942">
        <v>3933</v>
      </c>
      <c r="T3942" t="e">
        <f>INDEX(Stammdaten[Krümmung (mm/lfm)],MATCH(Tabelle10[[#This Row],[Rank]],Stammdaten[Rank Verteilung Krümmung],0))</f>
        <v>#N/A</v>
      </c>
      <c r="U3942" t="e">
        <f>VLOOKUP(Tabelle10[[#This Row],[Rank]],Stammdaten[[Rank Verteilung Krümmung]:[Verteilung Krümmung]],2,FALSE)</f>
        <v>#N/A</v>
      </c>
      <c r="Z3942">
        <v>3933</v>
      </c>
      <c r="AA3942" t="e">
        <f>INDEX(Stammdaten[Ovalität (']0,1'])],MATCH(Tabelle1014[[#This Row],[Rank]],Stammdaten[Rank Verteilung Ovalität],0))</f>
        <v>#N/A</v>
      </c>
      <c r="AB3942" t="e">
        <f>VLOOKUP(Tabelle1014[[#This Row],[Rank]],Stammdaten[[Rank Verteilung Ovalität]:[Verteilung Ovalität]],2,FALSE)</f>
        <v>#N/A</v>
      </c>
    </row>
    <row r="3943" spans="5:28" x14ac:dyDescent="0.35">
      <c r="E3943">
        <v>3934</v>
      </c>
      <c r="F3943" t="e">
        <f>INDEX(Stammdaten[D Mitte mit Rinde (mm)],MATCH(Tabelle8[[#This Row],[Rank]],Stammdaten[Rank Verteilung D Mitte mit Rinde],0))</f>
        <v>#N/A</v>
      </c>
      <c r="G3943" t="e">
        <f>VLOOKUP(Tabelle8[[#This Row],[Rank]],Stammdaten[[Rank Verteilung D Mitte mit Rinde]:[Verteilung D Mitte mit Rinde]],2,FALSE)</f>
        <v>#N/A</v>
      </c>
      <c r="L3943">
        <v>3934</v>
      </c>
      <c r="M3943" t="e">
        <f>INDEX(Stammdaten[Abholzigkeit (mm/lfm)],MATCH(Tabelle9[[#This Row],[Rank]],Stammdaten[Rank Verteilung Abholzigkeit],0))</f>
        <v>#N/A</v>
      </c>
      <c r="N3943" t="e">
        <f>VLOOKUP(Tabelle9[[#This Row],[Rank]],Stammdaten[[Rank Verteilung Abholzigkeit]:[Verteilung Abholzigkeit]],2,FALSE)</f>
        <v>#N/A</v>
      </c>
      <c r="S3943">
        <v>3934</v>
      </c>
      <c r="T3943" t="e">
        <f>INDEX(Stammdaten[Krümmung (mm/lfm)],MATCH(Tabelle10[[#This Row],[Rank]],Stammdaten[Rank Verteilung Krümmung],0))</f>
        <v>#N/A</v>
      </c>
      <c r="U3943" t="e">
        <f>VLOOKUP(Tabelle10[[#This Row],[Rank]],Stammdaten[[Rank Verteilung Krümmung]:[Verteilung Krümmung]],2,FALSE)</f>
        <v>#N/A</v>
      </c>
      <c r="Z3943">
        <v>3934</v>
      </c>
      <c r="AA3943" t="e">
        <f>INDEX(Stammdaten[Ovalität (']0,1'])],MATCH(Tabelle1014[[#This Row],[Rank]],Stammdaten[Rank Verteilung Ovalität],0))</f>
        <v>#N/A</v>
      </c>
      <c r="AB3943" t="e">
        <f>VLOOKUP(Tabelle1014[[#This Row],[Rank]],Stammdaten[[Rank Verteilung Ovalität]:[Verteilung Ovalität]],2,FALSE)</f>
        <v>#N/A</v>
      </c>
    </row>
    <row r="3944" spans="5:28" x14ac:dyDescent="0.35">
      <c r="E3944">
        <v>3935</v>
      </c>
      <c r="F3944" t="e">
        <f>INDEX(Stammdaten[D Mitte mit Rinde (mm)],MATCH(Tabelle8[[#This Row],[Rank]],Stammdaten[Rank Verteilung D Mitte mit Rinde],0))</f>
        <v>#N/A</v>
      </c>
      <c r="G3944" t="e">
        <f>VLOOKUP(Tabelle8[[#This Row],[Rank]],Stammdaten[[Rank Verteilung D Mitte mit Rinde]:[Verteilung D Mitte mit Rinde]],2,FALSE)</f>
        <v>#N/A</v>
      </c>
      <c r="L3944">
        <v>3935</v>
      </c>
      <c r="M3944" t="e">
        <f>INDEX(Stammdaten[Abholzigkeit (mm/lfm)],MATCH(Tabelle9[[#This Row],[Rank]],Stammdaten[Rank Verteilung Abholzigkeit],0))</f>
        <v>#N/A</v>
      </c>
      <c r="N3944" t="e">
        <f>VLOOKUP(Tabelle9[[#This Row],[Rank]],Stammdaten[[Rank Verteilung Abholzigkeit]:[Verteilung Abholzigkeit]],2,FALSE)</f>
        <v>#N/A</v>
      </c>
      <c r="S3944">
        <v>3935</v>
      </c>
      <c r="T3944" t="e">
        <f>INDEX(Stammdaten[Krümmung (mm/lfm)],MATCH(Tabelle10[[#This Row],[Rank]],Stammdaten[Rank Verteilung Krümmung],0))</f>
        <v>#N/A</v>
      </c>
      <c r="U3944" t="e">
        <f>VLOOKUP(Tabelle10[[#This Row],[Rank]],Stammdaten[[Rank Verteilung Krümmung]:[Verteilung Krümmung]],2,FALSE)</f>
        <v>#N/A</v>
      </c>
      <c r="Z3944">
        <v>3935</v>
      </c>
      <c r="AA3944" t="e">
        <f>INDEX(Stammdaten[Ovalität (']0,1'])],MATCH(Tabelle1014[[#This Row],[Rank]],Stammdaten[Rank Verteilung Ovalität],0))</f>
        <v>#N/A</v>
      </c>
      <c r="AB3944" t="e">
        <f>VLOOKUP(Tabelle1014[[#This Row],[Rank]],Stammdaten[[Rank Verteilung Ovalität]:[Verteilung Ovalität]],2,FALSE)</f>
        <v>#N/A</v>
      </c>
    </row>
    <row r="3945" spans="5:28" x14ac:dyDescent="0.35">
      <c r="E3945">
        <v>3936</v>
      </c>
      <c r="F3945" t="e">
        <f>INDEX(Stammdaten[D Mitte mit Rinde (mm)],MATCH(Tabelle8[[#This Row],[Rank]],Stammdaten[Rank Verteilung D Mitte mit Rinde],0))</f>
        <v>#N/A</v>
      </c>
      <c r="G3945" t="e">
        <f>VLOOKUP(Tabelle8[[#This Row],[Rank]],Stammdaten[[Rank Verteilung D Mitte mit Rinde]:[Verteilung D Mitte mit Rinde]],2,FALSE)</f>
        <v>#N/A</v>
      </c>
      <c r="L3945">
        <v>3936</v>
      </c>
      <c r="M3945" t="e">
        <f>INDEX(Stammdaten[Abholzigkeit (mm/lfm)],MATCH(Tabelle9[[#This Row],[Rank]],Stammdaten[Rank Verteilung Abholzigkeit],0))</f>
        <v>#N/A</v>
      </c>
      <c r="N3945" t="e">
        <f>VLOOKUP(Tabelle9[[#This Row],[Rank]],Stammdaten[[Rank Verteilung Abholzigkeit]:[Verteilung Abholzigkeit]],2,FALSE)</f>
        <v>#N/A</v>
      </c>
      <c r="S3945">
        <v>3936</v>
      </c>
      <c r="T3945" t="e">
        <f>INDEX(Stammdaten[Krümmung (mm/lfm)],MATCH(Tabelle10[[#This Row],[Rank]],Stammdaten[Rank Verteilung Krümmung],0))</f>
        <v>#N/A</v>
      </c>
      <c r="U3945" t="e">
        <f>VLOOKUP(Tabelle10[[#This Row],[Rank]],Stammdaten[[Rank Verteilung Krümmung]:[Verteilung Krümmung]],2,FALSE)</f>
        <v>#N/A</v>
      </c>
      <c r="Z3945">
        <v>3936</v>
      </c>
      <c r="AA3945" t="e">
        <f>INDEX(Stammdaten[Ovalität (']0,1'])],MATCH(Tabelle1014[[#This Row],[Rank]],Stammdaten[Rank Verteilung Ovalität],0))</f>
        <v>#N/A</v>
      </c>
      <c r="AB3945" t="e">
        <f>VLOOKUP(Tabelle1014[[#This Row],[Rank]],Stammdaten[[Rank Verteilung Ovalität]:[Verteilung Ovalität]],2,FALSE)</f>
        <v>#N/A</v>
      </c>
    </row>
    <row r="3946" spans="5:28" x14ac:dyDescent="0.35">
      <c r="E3946">
        <v>3937</v>
      </c>
      <c r="F3946" t="e">
        <f>INDEX(Stammdaten[D Mitte mit Rinde (mm)],MATCH(Tabelle8[[#This Row],[Rank]],Stammdaten[Rank Verteilung D Mitte mit Rinde],0))</f>
        <v>#N/A</v>
      </c>
      <c r="G3946" t="e">
        <f>VLOOKUP(Tabelle8[[#This Row],[Rank]],Stammdaten[[Rank Verteilung D Mitte mit Rinde]:[Verteilung D Mitte mit Rinde]],2,FALSE)</f>
        <v>#N/A</v>
      </c>
      <c r="L3946">
        <v>3937</v>
      </c>
      <c r="M3946" t="e">
        <f>INDEX(Stammdaten[Abholzigkeit (mm/lfm)],MATCH(Tabelle9[[#This Row],[Rank]],Stammdaten[Rank Verteilung Abholzigkeit],0))</f>
        <v>#N/A</v>
      </c>
      <c r="N3946" t="e">
        <f>VLOOKUP(Tabelle9[[#This Row],[Rank]],Stammdaten[[Rank Verteilung Abholzigkeit]:[Verteilung Abholzigkeit]],2,FALSE)</f>
        <v>#N/A</v>
      </c>
      <c r="S3946">
        <v>3937</v>
      </c>
      <c r="T3946" t="e">
        <f>INDEX(Stammdaten[Krümmung (mm/lfm)],MATCH(Tabelle10[[#This Row],[Rank]],Stammdaten[Rank Verteilung Krümmung],0))</f>
        <v>#N/A</v>
      </c>
      <c r="U3946" t="e">
        <f>VLOOKUP(Tabelle10[[#This Row],[Rank]],Stammdaten[[Rank Verteilung Krümmung]:[Verteilung Krümmung]],2,FALSE)</f>
        <v>#N/A</v>
      </c>
      <c r="Z3946">
        <v>3937</v>
      </c>
      <c r="AA3946" t="e">
        <f>INDEX(Stammdaten[Ovalität (']0,1'])],MATCH(Tabelle1014[[#This Row],[Rank]],Stammdaten[Rank Verteilung Ovalität],0))</f>
        <v>#N/A</v>
      </c>
      <c r="AB3946" t="e">
        <f>VLOOKUP(Tabelle1014[[#This Row],[Rank]],Stammdaten[[Rank Verteilung Ovalität]:[Verteilung Ovalität]],2,FALSE)</f>
        <v>#N/A</v>
      </c>
    </row>
    <row r="3947" spans="5:28" x14ac:dyDescent="0.35">
      <c r="E3947">
        <v>3938</v>
      </c>
      <c r="F3947" t="e">
        <f>INDEX(Stammdaten[D Mitte mit Rinde (mm)],MATCH(Tabelle8[[#This Row],[Rank]],Stammdaten[Rank Verteilung D Mitte mit Rinde],0))</f>
        <v>#N/A</v>
      </c>
      <c r="G3947" t="e">
        <f>VLOOKUP(Tabelle8[[#This Row],[Rank]],Stammdaten[[Rank Verteilung D Mitte mit Rinde]:[Verteilung D Mitte mit Rinde]],2,FALSE)</f>
        <v>#N/A</v>
      </c>
      <c r="L3947">
        <v>3938</v>
      </c>
      <c r="M3947" t="e">
        <f>INDEX(Stammdaten[Abholzigkeit (mm/lfm)],MATCH(Tabelle9[[#This Row],[Rank]],Stammdaten[Rank Verteilung Abholzigkeit],0))</f>
        <v>#N/A</v>
      </c>
      <c r="N3947" t="e">
        <f>VLOOKUP(Tabelle9[[#This Row],[Rank]],Stammdaten[[Rank Verteilung Abholzigkeit]:[Verteilung Abholzigkeit]],2,FALSE)</f>
        <v>#N/A</v>
      </c>
      <c r="S3947">
        <v>3938</v>
      </c>
      <c r="T3947" t="e">
        <f>INDEX(Stammdaten[Krümmung (mm/lfm)],MATCH(Tabelle10[[#This Row],[Rank]],Stammdaten[Rank Verteilung Krümmung],0))</f>
        <v>#N/A</v>
      </c>
      <c r="U3947" t="e">
        <f>VLOOKUP(Tabelle10[[#This Row],[Rank]],Stammdaten[[Rank Verteilung Krümmung]:[Verteilung Krümmung]],2,FALSE)</f>
        <v>#N/A</v>
      </c>
      <c r="Z3947">
        <v>3938</v>
      </c>
      <c r="AA3947" t="e">
        <f>INDEX(Stammdaten[Ovalität (']0,1'])],MATCH(Tabelle1014[[#This Row],[Rank]],Stammdaten[Rank Verteilung Ovalität],0))</f>
        <v>#N/A</v>
      </c>
      <c r="AB3947" t="e">
        <f>VLOOKUP(Tabelle1014[[#This Row],[Rank]],Stammdaten[[Rank Verteilung Ovalität]:[Verteilung Ovalität]],2,FALSE)</f>
        <v>#N/A</v>
      </c>
    </row>
    <row r="3948" spans="5:28" x14ac:dyDescent="0.35">
      <c r="E3948">
        <v>3939</v>
      </c>
      <c r="F3948" t="e">
        <f>INDEX(Stammdaten[D Mitte mit Rinde (mm)],MATCH(Tabelle8[[#This Row],[Rank]],Stammdaten[Rank Verteilung D Mitte mit Rinde],0))</f>
        <v>#N/A</v>
      </c>
      <c r="G3948" t="e">
        <f>VLOOKUP(Tabelle8[[#This Row],[Rank]],Stammdaten[[Rank Verteilung D Mitte mit Rinde]:[Verteilung D Mitte mit Rinde]],2,FALSE)</f>
        <v>#N/A</v>
      </c>
      <c r="L3948">
        <v>3939</v>
      </c>
      <c r="M3948" t="e">
        <f>INDEX(Stammdaten[Abholzigkeit (mm/lfm)],MATCH(Tabelle9[[#This Row],[Rank]],Stammdaten[Rank Verteilung Abholzigkeit],0))</f>
        <v>#N/A</v>
      </c>
      <c r="N3948" t="e">
        <f>VLOOKUP(Tabelle9[[#This Row],[Rank]],Stammdaten[[Rank Verteilung Abholzigkeit]:[Verteilung Abholzigkeit]],2,FALSE)</f>
        <v>#N/A</v>
      </c>
      <c r="S3948">
        <v>3939</v>
      </c>
      <c r="T3948" t="e">
        <f>INDEX(Stammdaten[Krümmung (mm/lfm)],MATCH(Tabelle10[[#This Row],[Rank]],Stammdaten[Rank Verteilung Krümmung],0))</f>
        <v>#N/A</v>
      </c>
      <c r="U3948" t="e">
        <f>VLOOKUP(Tabelle10[[#This Row],[Rank]],Stammdaten[[Rank Verteilung Krümmung]:[Verteilung Krümmung]],2,FALSE)</f>
        <v>#N/A</v>
      </c>
      <c r="Z3948">
        <v>3939</v>
      </c>
      <c r="AA3948" t="e">
        <f>INDEX(Stammdaten[Ovalität (']0,1'])],MATCH(Tabelle1014[[#This Row],[Rank]],Stammdaten[Rank Verteilung Ovalität],0))</f>
        <v>#N/A</v>
      </c>
      <c r="AB3948" t="e">
        <f>VLOOKUP(Tabelle1014[[#This Row],[Rank]],Stammdaten[[Rank Verteilung Ovalität]:[Verteilung Ovalität]],2,FALSE)</f>
        <v>#N/A</v>
      </c>
    </row>
    <row r="3949" spans="5:28" x14ac:dyDescent="0.35">
      <c r="E3949">
        <v>3940</v>
      </c>
      <c r="F3949" t="e">
        <f>INDEX(Stammdaten[D Mitte mit Rinde (mm)],MATCH(Tabelle8[[#This Row],[Rank]],Stammdaten[Rank Verteilung D Mitte mit Rinde],0))</f>
        <v>#N/A</v>
      </c>
      <c r="G3949" t="e">
        <f>VLOOKUP(Tabelle8[[#This Row],[Rank]],Stammdaten[[Rank Verteilung D Mitte mit Rinde]:[Verteilung D Mitte mit Rinde]],2,FALSE)</f>
        <v>#N/A</v>
      </c>
      <c r="L3949">
        <v>3940</v>
      </c>
      <c r="M3949" t="e">
        <f>INDEX(Stammdaten[Abholzigkeit (mm/lfm)],MATCH(Tabelle9[[#This Row],[Rank]],Stammdaten[Rank Verteilung Abholzigkeit],0))</f>
        <v>#N/A</v>
      </c>
      <c r="N3949" t="e">
        <f>VLOOKUP(Tabelle9[[#This Row],[Rank]],Stammdaten[[Rank Verteilung Abholzigkeit]:[Verteilung Abholzigkeit]],2,FALSE)</f>
        <v>#N/A</v>
      </c>
      <c r="S3949">
        <v>3940</v>
      </c>
      <c r="T3949" t="e">
        <f>INDEX(Stammdaten[Krümmung (mm/lfm)],MATCH(Tabelle10[[#This Row],[Rank]],Stammdaten[Rank Verteilung Krümmung],0))</f>
        <v>#N/A</v>
      </c>
      <c r="U3949" t="e">
        <f>VLOOKUP(Tabelle10[[#This Row],[Rank]],Stammdaten[[Rank Verteilung Krümmung]:[Verteilung Krümmung]],2,FALSE)</f>
        <v>#N/A</v>
      </c>
      <c r="Z3949">
        <v>3940</v>
      </c>
      <c r="AA3949" t="e">
        <f>INDEX(Stammdaten[Ovalität (']0,1'])],MATCH(Tabelle1014[[#This Row],[Rank]],Stammdaten[Rank Verteilung Ovalität],0))</f>
        <v>#N/A</v>
      </c>
      <c r="AB3949" t="e">
        <f>VLOOKUP(Tabelle1014[[#This Row],[Rank]],Stammdaten[[Rank Verteilung Ovalität]:[Verteilung Ovalität]],2,FALSE)</f>
        <v>#N/A</v>
      </c>
    </row>
    <row r="3950" spans="5:28" x14ac:dyDescent="0.35">
      <c r="E3950">
        <v>3941</v>
      </c>
      <c r="F3950" t="e">
        <f>INDEX(Stammdaten[D Mitte mit Rinde (mm)],MATCH(Tabelle8[[#This Row],[Rank]],Stammdaten[Rank Verteilung D Mitte mit Rinde],0))</f>
        <v>#N/A</v>
      </c>
      <c r="G3950" t="e">
        <f>VLOOKUP(Tabelle8[[#This Row],[Rank]],Stammdaten[[Rank Verteilung D Mitte mit Rinde]:[Verteilung D Mitte mit Rinde]],2,FALSE)</f>
        <v>#N/A</v>
      </c>
      <c r="L3950">
        <v>3941</v>
      </c>
      <c r="M3950" t="e">
        <f>INDEX(Stammdaten[Abholzigkeit (mm/lfm)],MATCH(Tabelle9[[#This Row],[Rank]],Stammdaten[Rank Verteilung Abholzigkeit],0))</f>
        <v>#N/A</v>
      </c>
      <c r="N3950" t="e">
        <f>VLOOKUP(Tabelle9[[#This Row],[Rank]],Stammdaten[[Rank Verteilung Abholzigkeit]:[Verteilung Abholzigkeit]],2,FALSE)</f>
        <v>#N/A</v>
      </c>
      <c r="S3950">
        <v>3941</v>
      </c>
      <c r="T3950" t="e">
        <f>INDEX(Stammdaten[Krümmung (mm/lfm)],MATCH(Tabelle10[[#This Row],[Rank]],Stammdaten[Rank Verteilung Krümmung],0))</f>
        <v>#N/A</v>
      </c>
      <c r="U3950" t="e">
        <f>VLOOKUP(Tabelle10[[#This Row],[Rank]],Stammdaten[[Rank Verteilung Krümmung]:[Verteilung Krümmung]],2,FALSE)</f>
        <v>#N/A</v>
      </c>
      <c r="Z3950">
        <v>3941</v>
      </c>
      <c r="AA3950" t="e">
        <f>INDEX(Stammdaten[Ovalität (']0,1'])],MATCH(Tabelle1014[[#This Row],[Rank]],Stammdaten[Rank Verteilung Ovalität],0))</f>
        <v>#N/A</v>
      </c>
      <c r="AB3950" t="e">
        <f>VLOOKUP(Tabelle1014[[#This Row],[Rank]],Stammdaten[[Rank Verteilung Ovalität]:[Verteilung Ovalität]],2,FALSE)</f>
        <v>#N/A</v>
      </c>
    </row>
    <row r="3951" spans="5:28" x14ac:dyDescent="0.35">
      <c r="E3951">
        <v>3942</v>
      </c>
      <c r="F3951" t="e">
        <f>INDEX(Stammdaten[D Mitte mit Rinde (mm)],MATCH(Tabelle8[[#This Row],[Rank]],Stammdaten[Rank Verteilung D Mitte mit Rinde],0))</f>
        <v>#N/A</v>
      </c>
      <c r="G3951" t="e">
        <f>VLOOKUP(Tabelle8[[#This Row],[Rank]],Stammdaten[[Rank Verteilung D Mitte mit Rinde]:[Verteilung D Mitte mit Rinde]],2,FALSE)</f>
        <v>#N/A</v>
      </c>
      <c r="L3951">
        <v>3942</v>
      </c>
      <c r="M3951" t="e">
        <f>INDEX(Stammdaten[Abholzigkeit (mm/lfm)],MATCH(Tabelle9[[#This Row],[Rank]],Stammdaten[Rank Verteilung Abholzigkeit],0))</f>
        <v>#N/A</v>
      </c>
      <c r="N3951" t="e">
        <f>VLOOKUP(Tabelle9[[#This Row],[Rank]],Stammdaten[[Rank Verteilung Abholzigkeit]:[Verteilung Abholzigkeit]],2,FALSE)</f>
        <v>#N/A</v>
      </c>
      <c r="S3951">
        <v>3942</v>
      </c>
      <c r="T3951" t="e">
        <f>INDEX(Stammdaten[Krümmung (mm/lfm)],MATCH(Tabelle10[[#This Row],[Rank]],Stammdaten[Rank Verteilung Krümmung],0))</f>
        <v>#N/A</v>
      </c>
      <c r="U3951" t="e">
        <f>VLOOKUP(Tabelle10[[#This Row],[Rank]],Stammdaten[[Rank Verteilung Krümmung]:[Verteilung Krümmung]],2,FALSE)</f>
        <v>#N/A</v>
      </c>
      <c r="Z3951">
        <v>3942</v>
      </c>
      <c r="AA3951" t="e">
        <f>INDEX(Stammdaten[Ovalität (']0,1'])],MATCH(Tabelle1014[[#This Row],[Rank]],Stammdaten[Rank Verteilung Ovalität],0))</f>
        <v>#N/A</v>
      </c>
      <c r="AB3951" t="e">
        <f>VLOOKUP(Tabelle1014[[#This Row],[Rank]],Stammdaten[[Rank Verteilung Ovalität]:[Verteilung Ovalität]],2,FALSE)</f>
        <v>#N/A</v>
      </c>
    </row>
    <row r="3952" spans="5:28" x14ac:dyDescent="0.35">
      <c r="E3952">
        <v>3943</v>
      </c>
      <c r="F3952" t="e">
        <f>INDEX(Stammdaten[D Mitte mit Rinde (mm)],MATCH(Tabelle8[[#This Row],[Rank]],Stammdaten[Rank Verteilung D Mitte mit Rinde],0))</f>
        <v>#N/A</v>
      </c>
      <c r="G3952" t="e">
        <f>VLOOKUP(Tabelle8[[#This Row],[Rank]],Stammdaten[[Rank Verteilung D Mitte mit Rinde]:[Verteilung D Mitte mit Rinde]],2,FALSE)</f>
        <v>#N/A</v>
      </c>
      <c r="L3952">
        <v>3943</v>
      </c>
      <c r="M3952" t="e">
        <f>INDEX(Stammdaten[Abholzigkeit (mm/lfm)],MATCH(Tabelle9[[#This Row],[Rank]],Stammdaten[Rank Verteilung Abholzigkeit],0))</f>
        <v>#N/A</v>
      </c>
      <c r="N3952" t="e">
        <f>VLOOKUP(Tabelle9[[#This Row],[Rank]],Stammdaten[[Rank Verteilung Abholzigkeit]:[Verteilung Abholzigkeit]],2,FALSE)</f>
        <v>#N/A</v>
      </c>
      <c r="S3952">
        <v>3943</v>
      </c>
      <c r="T3952" t="e">
        <f>INDEX(Stammdaten[Krümmung (mm/lfm)],MATCH(Tabelle10[[#This Row],[Rank]],Stammdaten[Rank Verteilung Krümmung],0))</f>
        <v>#N/A</v>
      </c>
      <c r="U3952" t="e">
        <f>VLOOKUP(Tabelle10[[#This Row],[Rank]],Stammdaten[[Rank Verteilung Krümmung]:[Verteilung Krümmung]],2,FALSE)</f>
        <v>#N/A</v>
      </c>
      <c r="Z3952">
        <v>3943</v>
      </c>
      <c r="AA3952" t="e">
        <f>INDEX(Stammdaten[Ovalität (']0,1'])],MATCH(Tabelle1014[[#This Row],[Rank]],Stammdaten[Rank Verteilung Ovalität],0))</f>
        <v>#N/A</v>
      </c>
      <c r="AB3952" t="e">
        <f>VLOOKUP(Tabelle1014[[#This Row],[Rank]],Stammdaten[[Rank Verteilung Ovalität]:[Verteilung Ovalität]],2,FALSE)</f>
        <v>#N/A</v>
      </c>
    </row>
    <row r="3953" spans="5:28" x14ac:dyDescent="0.35">
      <c r="E3953">
        <v>3944</v>
      </c>
      <c r="F3953" t="e">
        <f>INDEX(Stammdaten[D Mitte mit Rinde (mm)],MATCH(Tabelle8[[#This Row],[Rank]],Stammdaten[Rank Verteilung D Mitte mit Rinde],0))</f>
        <v>#N/A</v>
      </c>
      <c r="G3953" t="e">
        <f>VLOOKUP(Tabelle8[[#This Row],[Rank]],Stammdaten[[Rank Verteilung D Mitte mit Rinde]:[Verteilung D Mitte mit Rinde]],2,FALSE)</f>
        <v>#N/A</v>
      </c>
      <c r="L3953">
        <v>3944</v>
      </c>
      <c r="M3953" t="e">
        <f>INDEX(Stammdaten[Abholzigkeit (mm/lfm)],MATCH(Tabelle9[[#This Row],[Rank]],Stammdaten[Rank Verteilung Abholzigkeit],0))</f>
        <v>#N/A</v>
      </c>
      <c r="N3953" t="e">
        <f>VLOOKUP(Tabelle9[[#This Row],[Rank]],Stammdaten[[Rank Verteilung Abholzigkeit]:[Verteilung Abholzigkeit]],2,FALSE)</f>
        <v>#N/A</v>
      </c>
      <c r="S3953">
        <v>3944</v>
      </c>
      <c r="T3953" t="e">
        <f>INDEX(Stammdaten[Krümmung (mm/lfm)],MATCH(Tabelle10[[#This Row],[Rank]],Stammdaten[Rank Verteilung Krümmung],0))</f>
        <v>#N/A</v>
      </c>
      <c r="U3953" t="e">
        <f>VLOOKUP(Tabelle10[[#This Row],[Rank]],Stammdaten[[Rank Verteilung Krümmung]:[Verteilung Krümmung]],2,FALSE)</f>
        <v>#N/A</v>
      </c>
      <c r="Z3953">
        <v>3944</v>
      </c>
      <c r="AA3953" t="e">
        <f>INDEX(Stammdaten[Ovalität (']0,1'])],MATCH(Tabelle1014[[#This Row],[Rank]],Stammdaten[Rank Verteilung Ovalität],0))</f>
        <v>#N/A</v>
      </c>
      <c r="AB3953" t="e">
        <f>VLOOKUP(Tabelle1014[[#This Row],[Rank]],Stammdaten[[Rank Verteilung Ovalität]:[Verteilung Ovalität]],2,FALSE)</f>
        <v>#N/A</v>
      </c>
    </row>
    <row r="3954" spans="5:28" x14ac:dyDescent="0.35">
      <c r="E3954">
        <v>3945</v>
      </c>
      <c r="F3954" t="e">
        <f>INDEX(Stammdaten[D Mitte mit Rinde (mm)],MATCH(Tabelle8[[#This Row],[Rank]],Stammdaten[Rank Verteilung D Mitte mit Rinde],0))</f>
        <v>#N/A</v>
      </c>
      <c r="G3954" t="e">
        <f>VLOOKUP(Tabelle8[[#This Row],[Rank]],Stammdaten[[Rank Verteilung D Mitte mit Rinde]:[Verteilung D Mitte mit Rinde]],2,FALSE)</f>
        <v>#N/A</v>
      </c>
      <c r="L3954">
        <v>3945</v>
      </c>
      <c r="M3954" t="e">
        <f>INDEX(Stammdaten[Abholzigkeit (mm/lfm)],MATCH(Tabelle9[[#This Row],[Rank]],Stammdaten[Rank Verteilung Abholzigkeit],0))</f>
        <v>#N/A</v>
      </c>
      <c r="N3954" t="e">
        <f>VLOOKUP(Tabelle9[[#This Row],[Rank]],Stammdaten[[Rank Verteilung Abholzigkeit]:[Verteilung Abholzigkeit]],2,FALSE)</f>
        <v>#N/A</v>
      </c>
      <c r="S3954">
        <v>3945</v>
      </c>
      <c r="T3954" t="e">
        <f>INDEX(Stammdaten[Krümmung (mm/lfm)],MATCH(Tabelle10[[#This Row],[Rank]],Stammdaten[Rank Verteilung Krümmung],0))</f>
        <v>#N/A</v>
      </c>
      <c r="U3954" t="e">
        <f>VLOOKUP(Tabelle10[[#This Row],[Rank]],Stammdaten[[Rank Verteilung Krümmung]:[Verteilung Krümmung]],2,FALSE)</f>
        <v>#N/A</v>
      </c>
      <c r="Z3954">
        <v>3945</v>
      </c>
      <c r="AA3954" t="e">
        <f>INDEX(Stammdaten[Ovalität (']0,1'])],MATCH(Tabelle1014[[#This Row],[Rank]],Stammdaten[Rank Verteilung Ovalität],0))</f>
        <v>#N/A</v>
      </c>
      <c r="AB3954" t="e">
        <f>VLOOKUP(Tabelle1014[[#This Row],[Rank]],Stammdaten[[Rank Verteilung Ovalität]:[Verteilung Ovalität]],2,FALSE)</f>
        <v>#N/A</v>
      </c>
    </row>
    <row r="3955" spans="5:28" x14ac:dyDescent="0.35">
      <c r="E3955">
        <v>3946</v>
      </c>
      <c r="F3955" t="e">
        <f>INDEX(Stammdaten[D Mitte mit Rinde (mm)],MATCH(Tabelle8[[#This Row],[Rank]],Stammdaten[Rank Verteilung D Mitte mit Rinde],0))</f>
        <v>#N/A</v>
      </c>
      <c r="G3955" t="e">
        <f>VLOOKUP(Tabelle8[[#This Row],[Rank]],Stammdaten[[Rank Verteilung D Mitte mit Rinde]:[Verteilung D Mitte mit Rinde]],2,FALSE)</f>
        <v>#N/A</v>
      </c>
      <c r="L3955">
        <v>3946</v>
      </c>
      <c r="M3955" t="e">
        <f>INDEX(Stammdaten[Abholzigkeit (mm/lfm)],MATCH(Tabelle9[[#This Row],[Rank]],Stammdaten[Rank Verteilung Abholzigkeit],0))</f>
        <v>#N/A</v>
      </c>
      <c r="N3955" t="e">
        <f>VLOOKUP(Tabelle9[[#This Row],[Rank]],Stammdaten[[Rank Verteilung Abholzigkeit]:[Verteilung Abholzigkeit]],2,FALSE)</f>
        <v>#N/A</v>
      </c>
      <c r="S3955">
        <v>3946</v>
      </c>
      <c r="T3955" t="e">
        <f>INDEX(Stammdaten[Krümmung (mm/lfm)],MATCH(Tabelle10[[#This Row],[Rank]],Stammdaten[Rank Verteilung Krümmung],0))</f>
        <v>#N/A</v>
      </c>
      <c r="U3955" t="e">
        <f>VLOOKUP(Tabelle10[[#This Row],[Rank]],Stammdaten[[Rank Verteilung Krümmung]:[Verteilung Krümmung]],2,FALSE)</f>
        <v>#N/A</v>
      </c>
      <c r="Z3955">
        <v>3946</v>
      </c>
      <c r="AA3955" t="e">
        <f>INDEX(Stammdaten[Ovalität (']0,1'])],MATCH(Tabelle1014[[#This Row],[Rank]],Stammdaten[Rank Verteilung Ovalität],0))</f>
        <v>#N/A</v>
      </c>
      <c r="AB3955" t="e">
        <f>VLOOKUP(Tabelle1014[[#This Row],[Rank]],Stammdaten[[Rank Verteilung Ovalität]:[Verteilung Ovalität]],2,FALSE)</f>
        <v>#N/A</v>
      </c>
    </row>
    <row r="3956" spans="5:28" x14ac:dyDescent="0.35">
      <c r="E3956">
        <v>3947</v>
      </c>
      <c r="F3956" t="e">
        <f>INDEX(Stammdaten[D Mitte mit Rinde (mm)],MATCH(Tabelle8[[#This Row],[Rank]],Stammdaten[Rank Verteilung D Mitte mit Rinde],0))</f>
        <v>#N/A</v>
      </c>
      <c r="G3956" t="e">
        <f>VLOOKUP(Tabelle8[[#This Row],[Rank]],Stammdaten[[Rank Verteilung D Mitte mit Rinde]:[Verteilung D Mitte mit Rinde]],2,FALSE)</f>
        <v>#N/A</v>
      </c>
      <c r="L3956">
        <v>3947</v>
      </c>
      <c r="M3956" t="e">
        <f>INDEX(Stammdaten[Abholzigkeit (mm/lfm)],MATCH(Tabelle9[[#This Row],[Rank]],Stammdaten[Rank Verteilung Abholzigkeit],0))</f>
        <v>#N/A</v>
      </c>
      <c r="N3956" t="e">
        <f>VLOOKUP(Tabelle9[[#This Row],[Rank]],Stammdaten[[Rank Verteilung Abholzigkeit]:[Verteilung Abholzigkeit]],2,FALSE)</f>
        <v>#N/A</v>
      </c>
      <c r="S3956">
        <v>3947</v>
      </c>
      <c r="T3956" t="e">
        <f>INDEX(Stammdaten[Krümmung (mm/lfm)],MATCH(Tabelle10[[#This Row],[Rank]],Stammdaten[Rank Verteilung Krümmung],0))</f>
        <v>#N/A</v>
      </c>
      <c r="U3956" t="e">
        <f>VLOOKUP(Tabelle10[[#This Row],[Rank]],Stammdaten[[Rank Verteilung Krümmung]:[Verteilung Krümmung]],2,FALSE)</f>
        <v>#N/A</v>
      </c>
      <c r="Z3956">
        <v>3947</v>
      </c>
      <c r="AA3956" t="e">
        <f>INDEX(Stammdaten[Ovalität (']0,1'])],MATCH(Tabelle1014[[#This Row],[Rank]],Stammdaten[Rank Verteilung Ovalität],0))</f>
        <v>#N/A</v>
      </c>
      <c r="AB3956" t="e">
        <f>VLOOKUP(Tabelle1014[[#This Row],[Rank]],Stammdaten[[Rank Verteilung Ovalität]:[Verteilung Ovalität]],2,FALSE)</f>
        <v>#N/A</v>
      </c>
    </row>
    <row r="3957" spans="5:28" x14ac:dyDescent="0.35">
      <c r="E3957">
        <v>3948</v>
      </c>
      <c r="F3957" t="e">
        <f>INDEX(Stammdaten[D Mitte mit Rinde (mm)],MATCH(Tabelle8[[#This Row],[Rank]],Stammdaten[Rank Verteilung D Mitte mit Rinde],0))</f>
        <v>#N/A</v>
      </c>
      <c r="G3957" t="e">
        <f>VLOOKUP(Tabelle8[[#This Row],[Rank]],Stammdaten[[Rank Verteilung D Mitte mit Rinde]:[Verteilung D Mitte mit Rinde]],2,FALSE)</f>
        <v>#N/A</v>
      </c>
      <c r="L3957">
        <v>3948</v>
      </c>
      <c r="M3957" t="e">
        <f>INDEX(Stammdaten[Abholzigkeit (mm/lfm)],MATCH(Tabelle9[[#This Row],[Rank]],Stammdaten[Rank Verteilung Abholzigkeit],0))</f>
        <v>#N/A</v>
      </c>
      <c r="N3957" t="e">
        <f>VLOOKUP(Tabelle9[[#This Row],[Rank]],Stammdaten[[Rank Verteilung Abholzigkeit]:[Verteilung Abholzigkeit]],2,FALSE)</f>
        <v>#N/A</v>
      </c>
      <c r="S3957">
        <v>3948</v>
      </c>
      <c r="T3957" t="e">
        <f>INDEX(Stammdaten[Krümmung (mm/lfm)],MATCH(Tabelle10[[#This Row],[Rank]],Stammdaten[Rank Verteilung Krümmung],0))</f>
        <v>#N/A</v>
      </c>
      <c r="U3957" t="e">
        <f>VLOOKUP(Tabelle10[[#This Row],[Rank]],Stammdaten[[Rank Verteilung Krümmung]:[Verteilung Krümmung]],2,FALSE)</f>
        <v>#N/A</v>
      </c>
      <c r="Z3957">
        <v>3948</v>
      </c>
      <c r="AA3957" t="e">
        <f>INDEX(Stammdaten[Ovalität (']0,1'])],MATCH(Tabelle1014[[#This Row],[Rank]],Stammdaten[Rank Verteilung Ovalität],0))</f>
        <v>#N/A</v>
      </c>
      <c r="AB3957" t="e">
        <f>VLOOKUP(Tabelle1014[[#This Row],[Rank]],Stammdaten[[Rank Verteilung Ovalität]:[Verteilung Ovalität]],2,FALSE)</f>
        <v>#N/A</v>
      </c>
    </row>
    <row r="3958" spans="5:28" x14ac:dyDescent="0.35">
      <c r="E3958">
        <v>3949</v>
      </c>
      <c r="F3958" t="e">
        <f>INDEX(Stammdaten[D Mitte mit Rinde (mm)],MATCH(Tabelle8[[#This Row],[Rank]],Stammdaten[Rank Verteilung D Mitte mit Rinde],0))</f>
        <v>#N/A</v>
      </c>
      <c r="G3958" t="e">
        <f>VLOOKUP(Tabelle8[[#This Row],[Rank]],Stammdaten[[Rank Verteilung D Mitte mit Rinde]:[Verteilung D Mitte mit Rinde]],2,FALSE)</f>
        <v>#N/A</v>
      </c>
      <c r="L3958">
        <v>3949</v>
      </c>
      <c r="M3958" t="e">
        <f>INDEX(Stammdaten[Abholzigkeit (mm/lfm)],MATCH(Tabelle9[[#This Row],[Rank]],Stammdaten[Rank Verteilung Abholzigkeit],0))</f>
        <v>#N/A</v>
      </c>
      <c r="N3958" t="e">
        <f>VLOOKUP(Tabelle9[[#This Row],[Rank]],Stammdaten[[Rank Verteilung Abholzigkeit]:[Verteilung Abholzigkeit]],2,FALSE)</f>
        <v>#N/A</v>
      </c>
      <c r="S3958">
        <v>3949</v>
      </c>
      <c r="T3958" t="e">
        <f>INDEX(Stammdaten[Krümmung (mm/lfm)],MATCH(Tabelle10[[#This Row],[Rank]],Stammdaten[Rank Verteilung Krümmung],0))</f>
        <v>#N/A</v>
      </c>
      <c r="U3958" t="e">
        <f>VLOOKUP(Tabelle10[[#This Row],[Rank]],Stammdaten[[Rank Verteilung Krümmung]:[Verteilung Krümmung]],2,FALSE)</f>
        <v>#N/A</v>
      </c>
      <c r="Z3958">
        <v>3949</v>
      </c>
      <c r="AA3958" t="e">
        <f>INDEX(Stammdaten[Ovalität (']0,1'])],MATCH(Tabelle1014[[#This Row],[Rank]],Stammdaten[Rank Verteilung Ovalität],0))</f>
        <v>#N/A</v>
      </c>
      <c r="AB3958" t="e">
        <f>VLOOKUP(Tabelle1014[[#This Row],[Rank]],Stammdaten[[Rank Verteilung Ovalität]:[Verteilung Ovalität]],2,FALSE)</f>
        <v>#N/A</v>
      </c>
    </row>
    <row r="3959" spans="5:28" x14ac:dyDescent="0.35">
      <c r="E3959">
        <v>3950</v>
      </c>
      <c r="F3959" t="e">
        <f>INDEX(Stammdaten[D Mitte mit Rinde (mm)],MATCH(Tabelle8[[#This Row],[Rank]],Stammdaten[Rank Verteilung D Mitte mit Rinde],0))</f>
        <v>#N/A</v>
      </c>
      <c r="G3959" t="e">
        <f>VLOOKUP(Tabelle8[[#This Row],[Rank]],Stammdaten[[Rank Verteilung D Mitte mit Rinde]:[Verteilung D Mitte mit Rinde]],2,FALSE)</f>
        <v>#N/A</v>
      </c>
      <c r="L3959">
        <v>3950</v>
      </c>
      <c r="M3959" t="e">
        <f>INDEX(Stammdaten[Abholzigkeit (mm/lfm)],MATCH(Tabelle9[[#This Row],[Rank]],Stammdaten[Rank Verteilung Abholzigkeit],0))</f>
        <v>#N/A</v>
      </c>
      <c r="N3959" t="e">
        <f>VLOOKUP(Tabelle9[[#This Row],[Rank]],Stammdaten[[Rank Verteilung Abholzigkeit]:[Verteilung Abholzigkeit]],2,FALSE)</f>
        <v>#N/A</v>
      </c>
      <c r="S3959">
        <v>3950</v>
      </c>
      <c r="T3959" t="e">
        <f>INDEX(Stammdaten[Krümmung (mm/lfm)],MATCH(Tabelle10[[#This Row],[Rank]],Stammdaten[Rank Verteilung Krümmung],0))</f>
        <v>#N/A</v>
      </c>
      <c r="U3959" t="e">
        <f>VLOOKUP(Tabelle10[[#This Row],[Rank]],Stammdaten[[Rank Verteilung Krümmung]:[Verteilung Krümmung]],2,FALSE)</f>
        <v>#N/A</v>
      </c>
      <c r="Z3959">
        <v>3950</v>
      </c>
      <c r="AA3959" t="e">
        <f>INDEX(Stammdaten[Ovalität (']0,1'])],MATCH(Tabelle1014[[#This Row],[Rank]],Stammdaten[Rank Verteilung Ovalität],0))</f>
        <v>#N/A</v>
      </c>
      <c r="AB3959" t="e">
        <f>VLOOKUP(Tabelle1014[[#This Row],[Rank]],Stammdaten[[Rank Verteilung Ovalität]:[Verteilung Ovalität]],2,FALSE)</f>
        <v>#N/A</v>
      </c>
    </row>
    <row r="3960" spans="5:28" x14ac:dyDescent="0.35">
      <c r="E3960">
        <v>3951</v>
      </c>
      <c r="F3960" t="e">
        <f>INDEX(Stammdaten[D Mitte mit Rinde (mm)],MATCH(Tabelle8[[#This Row],[Rank]],Stammdaten[Rank Verteilung D Mitte mit Rinde],0))</f>
        <v>#N/A</v>
      </c>
      <c r="G3960" t="e">
        <f>VLOOKUP(Tabelle8[[#This Row],[Rank]],Stammdaten[[Rank Verteilung D Mitte mit Rinde]:[Verteilung D Mitte mit Rinde]],2,FALSE)</f>
        <v>#N/A</v>
      </c>
      <c r="L3960">
        <v>3951</v>
      </c>
      <c r="M3960" t="e">
        <f>INDEX(Stammdaten[Abholzigkeit (mm/lfm)],MATCH(Tabelle9[[#This Row],[Rank]],Stammdaten[Rank Verteilung Abholzigkeit],0))</f>
        <v>#N/A</v>
      </c>
      <c r="N3960" t="e">
        <f>VLOOKUP(Tabelle9[[#This Row],[Rank]],Stammdaten[[Rank Verteilung Abholzigkeit]:[Verteilung Abholzigkeit]],2,FALSE)</f>
        <v>#N/A</v>
      </c>
      <c r="S3960">
        <v>3951</v>
      </c>
      <c r="T3960" t="e">
        <f>INDEX(Stammdaten[Krümmung (mm/lfm)],MATCH(Tabelle10[[#This Row],[Rank]],Stammdaten[Rank Verteilung Krümmung],0))</f>
        <v>#N/A</v>
      </c>
      <c r="U3960" t="e">
        <f>VLOOKUP(Tabelle10[[#This Row],[Rank]],Stammdaten[[Rank Verteilung Krümmung]:[Verteilung Krümmung]],2,FALSE)</f>
        <v>#N/A</v>
      </c>
      <c r="Z3960">
        <v>3951</v>
      </c>
      <c r="AA3960" t="e">
        <f>INDEX(Stammdaten[Ovalität (']0,1'])],MATCH(Tabelle1014[[#This Row],[Rank]],Stammdaten[Rank Verteilung Ovalität],0))</f>
        <v>#N/A</v>
      </c>
      <c r="AB3960" t="e">
        <f>VLOOKUP(Tabelle1014[[#This Row],[Rank]],Stammdaten[[Rank Verteilung Ovalität]:[Verteilung Ovalität]],2,FALSE)</f>
        <v>#N/A</v>
      </c>
    </row>
    <row r="3961" spans="5:28" x14ac:dyDescent="0.35">
      <c r="E3961">
        <v>3952</v>
      </c>
      <c r="F3961" t="e">
        <f>INDEX(Stammdaten[D Mitte mit Rinde (mm)],MATCH(Tabelle8[[#This Row],[Rank]],Stammdaten[Rank Verteilung D Mitte mit Rinde],0))</f>
        <v>#N/A</v>
      </c>
      <c r="G3961" t="e">
        <f>VLOOKUP(Tabelle8[[#This Row],[Rank]],Stammdaten[[Rank Verteilung D Mitte mit Rinde]:[Verteilung D Mitte mit Rinde]],2,FALSE)</f>
        <v>#N/A</v>
      </c>
      <c r="L3961">
        <v>3952</v>
      </c>
      <c r="M3961" t="e">
        <f>INDEX(Stammdaten[Abholzigkeit (mm/lfm)],MATCH(Tabelle9[[#This Row],[Rank]],Stammdaten[Rank Verteilung Abholzigkeit],0))</f>
        <v>#N/A</v>
      </c>
      <c r="N3961" t="e">
        <f>VLOOKUP(Tabelle9[[#This Row],[Rank]],Stammdaten[[Rank Verteilung Abholzigkeit]:[Verteilung Abholzigkeit]],2,FALSE)</f>
        <v>#N/A</v>
      </c>
      <c r="S3961">
        <v>3952</v>
      </c>
      <c r="T3961" t="e">
        <f>INDEX(Stammdaten[Krümmung (mm/lfm)],MATCH(Tabelle10[[#This Row],[Rank]],Stammdaten[Rank Verteilung Krümmung],0))</f>
        <v>#N/A</v>
      </c>
      <c r="U3961" t="e">
        <f>VLOOKUP(Tabelle10[[#This Row],[Rank]],Stammdaten[[Rank Verteilung Krümmung]:[Verteilung Krümmung]],2,FALSE)</f>
        <v>#N/A</v>
      </c>
      <c r="Z3961">
        <v>3952</v>
      </c>
      <c r="AA3961" t="e">
        <f>INDEX(Stammdaten[Ovalität (']0,1'])],MATCH(Tabelle1014[[#This Row],[Rank]],Stammdaten[Rank Verteilung Ovalität],0))</f>
        <v>#N/A</v>
      </c>
      <c r="AB3961" t="e">
        <f>VLOOKUP(Tabelle1014[[#This Row],[Rank]],Stammdaten[[Rank Verteilung Ovalität]:[Verteilung Ovalität]],2,FALSE)</f>
        <v>#N/A</v>
      </c>
    </row>
    <row r="3962" spans="5:28" x14ac:dyDescent="0.35">
      <c r="E3962">
        <v>3953</v>
      </c>
      <c r="F3962" t="e">
        <f>INDEX(Stammdaten[D Mitte mit Rinde (mm)],MATCH(Tabelle8[[#This Row],[Rank]],Stammdaten[Rank Verteilung D Mitte mit Rinde],0))</f>
        <v>#N/A</v>
      </c>
      <c r="G3962" t="e">
        <f>VLOOKUP(Tabelle8[[#This Row],[Rank]],Stammdaten[[Rank Verteilung D Mitte mit Rinde]:[Verteilung D Mitte mit Rinde]],2,FALSE)</f>
        <v>#N/A</v>
      </c>
      <c r="L3962">
        <v>3953</v>
      </c>
      <c r="M3962" t="e">
        <f>INDEX(Stammdaten[Abholzigkeit (mm/lfm)],MATCH(Tabelle9[[#This Row],[Rank]],Stammdaten[Rank Verteilung Abholzigkeit],0))</f>
        <v>#N/A</v>
      </c>
      <c r="N3962" t="e">
        <f>VLOOKUP(Tabelle9[[#This Row],[Rank]],Stammdaten[[Rank Verteilung Abholzigkeit]:[Verteilung Abholzigkeit]],2,FALSE)</f>
        <v>#N/A</v>
      </c>
      <c r="S3962">
        <v>3953</v>
      </c>
      <c r="T3962" t="e">
        <f>INDEX(Stammdaten[Krümmung (mm/lfm)],MATCH(Tabelle10[[#This Row],[Rank]],Stammdaten[Rank Verteilung Krümmung],0))</f>
        <v>#N/A</v>
      </c>
      <c r="U3962" t="e">
        <f>VLOOKUP(Tabelle10[[#This Row],[Rank]],Stammdaten[[Rank Verteilung Krümmung]:[Verteilung Krümmung]],2,FALSE)</f>
        <v>#N/A</v>
      </c>
      <c r="Z3962">
        <v>3953</v>
      </c>
      <c r="AA3962" t="e">
        <f>INDEX(Stammdaten[Ovalität (']0,1'])],MATCH(Tabelle1014[[#This Row],[Rank]],Stammdaten[Rank Verteilung Ovalität],0))</f>
        <v>#N/A</v>
      </c>
      <c r="AB3962" t="e">
        <f>VLOOKUP(Tabelle1014[[#This Row],[Rank]],Stammdaten[[Rank Verteilung Ovalität]:[Verteilung Ovalität]],2,FALSE)</f>
        <v>#N/A</v>
      </c>
    </row>
    <row r="3963" spans="5:28" x14ac:dyDescent="0.35">
      <c r="E3963">
        <v>3954</v>
      </c>
      <c r="F3963" t="e">
        <f>INDEX(Stammdaten[D Mitte mit Rinde (mm)],MATCH(Tabelle8[[#This Row],[Rank]],Stammdaten[Rank Verteilung D Mitte mit Rinde],0))</f>
        <v>#N/A</v>
      </c>
      <c r="G3963" t="e">
        <f>VLOOKUP(Tabelle8[[#This Row],[Rank]],Stammdaten[[Rank Verteilung D Mitte mit Rinde]:[Verteilung D Mitte mit Rinde]],2,FALSE)</f>
        <v>#N/A</v>
      </c>
      <c r="L3963">
        <v>3954</v>
      </c>
      <c r="M3963" t="e">
        <f>INDEX(Stammdaten[Abholzigkeit (mm/lfm)],MATCH(Tabelle9[[#This Row],[Rank]],Stammdaten[Rank Verteilung Abholzigkeit],0))</f>
        <v>#N/A</v>
      </c>
      <c r="N3963" t="e">
        <f>VLOOKUP(Tabelle9[[#This Row],[Rank]],Stammdaten[[Rank Verteilung Abholzigkeit]:[Verteilung Abholzigkeit]],2,FALSE)</f>
        <v>#N/A</v>
      </c>
      <c r="S3963">
        <v>3954</v>
      </c>
      <c r="T3963" t="e">
        <f>INDEX(Stammdaten[Krümmung (mm/lfm)],MATCH(Tabelle10[[#This Row],[Rank]],Stammdaten[Rank Verteilung Krümmung],0))</f>
        <v>#N/A</v>
      </c>
      <c r="U3963" t="e">
        <f>VLOOKUP(Tabelle10[[#This Row],[Rank]],Stammdaten[[Rank Verteilung Krümmung]:[Verteilung Krümmung]],2,FALSE)</f>
        <v>#N/A</v>
      </c>
      <c r="Z3963">
        <v>3954</v>
      </c>
      <c r="AA3963" t="e">
        <f>INDEX(Stammdaten[Ovalität (']0,1'])],MATCH(Tabelle1014[[#This Row],[Rank]],Stammdaten[Rank Verteilung Ovalität],0))</f>
        <v>#N/A</v>
      </c>
      <c r="AB3963" t="e">
        <f>VLOOKUP(Tabelle1014[[#This Row],[Rank]],Stammdaten[[Rank Verteilung Ovalität]:[Verteilung Ovalität]],2,FALSE)</f>
        <v>#N/A</v>
      </c>
    </row>
    <row r="3964" spans="5:28" x14ac:dyDescent="0.35">
      <c r="E3964">
        <v>3955</v>
      </c>
      <c r="F3964" t="e">
        <f>INDEX(Stammdaten[D Mitte mit Rinde (mm)],MATCH(Tabelle8[[#This Row],[Rank]],Stammdaten[Rank Verteilung D Mitte mit Rinde],0))</f>
        <v>#N/A</v>
      </c>
      <c r="G3964" t="e">
        <f>VLOOKUP(Tabelle8[[#This Row],[Rank]],Stammdaten[[Rank Verteilung D Mitte mit Rinde]:[Verteilung D Mitte mit Rinde]],2,FALSE)</f>
        <v>#N/A</v>
      </c>
      <c r="L3964">
        <v>3955</v>
      </c>
      <c r="M3964" t="e">
        <f>INDEX(Stammdaten[Abholzigkeit (mm/lfm)],MATCH(Tabelle9[[#This Row],[Rank]],Stammdaten[Rank Verteilung Abholzigkeit],0))</f>
        <v>#N/A</v>
      </c>
      <c r="N3964" t="e">
        <f>VLOOKUP(Tabelle9[[#This Row],[Rank]],Stammdaten[[Rank Verteilung Abholzigkeit]:[Verteilung Abholzigkeit]],2,FALSE)</f>
        <v>#N/A</v>
      </c>
      <c r="S3964">
        <v>3955</v>
      </c>
      <c r="T3964" t="e">
        <f>INDEX(Stammdaten[Krümmung (mm/lfm)],MATCH(Tabelle10[[#This Row],[Rank]],Stammdaten[Rank Verteilung Krümmung],0))</f>
        <v>#N/A</v>
      </c>
      <c r="U3964" t="e">
        <f>VLOOKUP(Tabelle10[[#This Row],[Rank]],Stammdaten[[Rank Verteilung Krümmung]:[Verteilung Krümmung]],2,FALSE)</f>
        <v>#N/A</v>
      </c>
      <c r="Z3964">
        <v>3955</v>
      </c>
      <c r="AA3964" t="e">
        <f>INDEX(Stammdaten[Ovalität (']0,1'])],MATCH(Tabelle1014[[#This Row],[Rank]],Stammdaten[Rank Verteilung Ovalität],0))</f>
        <v>#N/A</v>
      </c>
      <c r="AB3964" t="e">
        <f>VLOOKUP(Tabelle1014[[#This Row],[Rank]],Stammdaten[[Rank Verteilung Ovalität]:[Verteilung Ovalität]],2,FALSE)</f>
        <v>#N/A</v>
      </c>
    </row>
    <row r="3965" spans="5:28" x14ac:dyDescent="0.35">
      <c r="E3965">
        <v>3956</v>
      </c>
      <c r="F3965" t="e">
        <f>INDEX(Stammdaten[D Mitte mit Rinde (mm)],MATCH(Tabelle8[[#This Row],[Rank]],Stammdaten[Rank Verteilung D Mitte mit Rinde],0))</f>
        <v>#N/A</v>
      </c>
      <c r="G3965" t="e">
        <f>VLOOKUP(Tabelle8[[#This Row],[Rank]],Stammdaten[[Rank Verteilung D Mitte mit Rinde]:[Verteilung D Mitte mit Rinde]],2,FALSE)</f>
        <v>#N/A</v>
      </c>
      <c r="L3965">
        <v>3956</v>
      </c>
      <c r="M3965" t="e">
        <f>INDEX(Stammdaten[Abholzigkeit (mm/lfm)],MATCH(Tabelle9[[#This Row],[Rank]],Stammdaten[Rank Verteilung Abholzigkeit],0))</f>
        <v>#N/A</v>
      </c>
      <c r="N3965" t="e">
        <f>VLOOKUP(Tabelle9[[#This Row],[Rank]],Stammdaten[[Rank Verteilung Abholzigkeit]:[Verteilung Abholzigkeit]],2,FALSE)</f>
        <v>#N/A</v>
      </c>
      <c r="S3965">
        <v>3956</v>
      </c>
      <c r="T3965" t="e">
        <f>INDEX(Stammdaten[Krümmung (mm/lfm)],MATCH(Tabelle10[[#This Row],[Rank]],Stammdaten[Rank Verteilung Krümmung],0))</f>
        <v>#N/A</v>
      </c>
      <c r="U3965" t="e">
        <f>VLOOKUP(Tabelle10[[#This Row],[Rank]],Stammdaten[[Rank Verteilung Krümmung]:[Verteilung Krümmung]],2,FALSE)</f>
        <v>#N/A</v>
      </c>
      <c r="Z3965">
        <v>3956</v>
      </c>
      <c r="AA3965" t="e">
        <f>INDEX(Stammdaten[Ovalität (']0,1'])],MATCH(Tabelle1014[[#This Row],[Rank]],Stammdaten[Rank Verteilung Ovalität],0))</f>
        <v>#N/A</v>
      </c>
      <c r="AB3965" t="e">
        <f>VLOOKUP(Tabelle1014[[#This Row],[Rank]],Stammdaten[[Rank Verteilung Ovalität]:[Verteilung Ovalität]],2,FALSE)</f>
        <v>#N/A</v>
      </c>
    </row>
    <row r="3966" spans="5:28" x14ac:dyDescent="0.35">
      <c r="E3966">
        <v>3957</v>
      </c>
      <c r="F3966" t="e">
        <f>INDEX(Stammdaten[D Mitte mit Rinde (mm)],MATCH(Tabelle8[[#This Row],[Rank]],Stammdaten[Rank Verteilung D Mitte mit Rinde],0))</f>
        <v>#N/A</v>
      </c>
      <c r="G3966" t="e">
        <f>VLOOKUP(Tabelle8[[#This Row],[Rank]],Stammdaten[[Rank Verteilung D Mitte mit Rinde]:[Verteilung D Mitte mit Rinde]],2,FALSE)</f>
        <v>#N/A</v>
      </c>
      <c r="L3966">
        <v>3957</v>
      </c>
      <c r="M3966" t="e">
        <f>INDEX(Stammdaten[Abholzigkeit (mm/lfm)],MATCH(Tabelle9[[#This Row],[Rank]],Stammdaten[Rank Verteilung Abholzigkeit],0))</f>
        <v>#N/A</v>
      </c>
      <c r="N3966" t="e">
        <f>VLOOKUP(Tabelle9[[#This Row],[Rank]],Stammdaten[[Rank Verteilung Abholzigkeit]:[Verteilung Abholzigkeit]],2,FALSE)</f>
        <v>#N/A</v>
      </c>
      <c r="S3966">
        <v>3957</v>
      </c>
      <c r="T3966" t="e">
        <f>INDEX(Stammdaten[Krümmung (mm/lfm)],MATCH(Tabelle10[[#This Row],[Rank]],Stammdaten[Rank Verteilung Krümmung],0))</f>
        <v>#N/A</v>
      </c>
      <c r="U3966" t="e">
        <f>VLOOKUP(Tabelle10[[#This Row],[Rank]],Stammdaten[[Rank Verteilung Krümmung]:[Verteilung Krümmung]],2,FALSE)</f>
        <v>#N/A</v>
      </c>
      <c r="Z3966">
        <v>3957</v>
      </c>
      <c r="AA3966" t="e">
        <f>INDEX(Stammdaten[Ovalität (']0,1'])],MATCH(Tabelle1014[[#This Row],[Rank]],Stammdaten[Rank Verteilung Ovalität],0))</f>
        <v>#N/A</v>
      </c>
      <c r="AB3966" t="e">
        <f>VLOOKUP(Tabelle1014[[#This Row],[Rank]],Stammdaten[[Rank Verteilung Ovalität]:[Verteilung Ovalität]],2,FALSE)</f>
        <v>#N/A</v>
      </c>
    </row>
    <row r="3967" spans="5:28" x14ac:dyDescent="0.35">
      <c r="E3967">
        <v>3958</v>
      </c>
      <c r="F3967" t="e">
        <f>INDEX(Stammdaten[D Mitte mit Rinde (mm)],MATCH(Tabelle8[[#This Row],[Rank]],Stammdaten[Rank Verteilung D Mitte mit Rinde],0))</f>
        <v>#N/A</v>
      </c>
      <c r="G3967" t="e">
        <f>VLOOKUP(Tabelle8[[#This Row],[Rank]],Stammdaten[[Rank Verteilung D Mitte mit Rinde]:[Verteilung D Mitte mit Rinde]],2,FALSE)</f>
        <v>#N/A</v>
      </c>
      <c r="L3967">
        <v>3958</v>
      </c>
      <c r="M3967" t="e">
        <f>INDEX(Stammdaten[Abholzigkeit (mm/lfm)],MATCH(Tabelle9[[#This Row],[Rank]],Stammdaten[Rank Verteilung Abholzigkeit],0))</f>
        <v>#N/A</v>
      </c>
      <c r="N3967" t="e">
        <f>VLOOKUP(Tabelle9[[#This Row],[Rank]],Stammdaten[[Rank Verteilung Abholzigkeit]:[Verteilung Abholzigkeit]],2,FALSE)</f>
        <v>#N/A</v>
      </c>
      <c r="S3967">
        <v>3958</v>
      </c>
      <c r="T3967" t="e">
        <f>INDEX(Stammdaten[Krümmung (mm/lfm)],MATCH(Tabelle10[[#This Row],[Rank]],Stammdaten[Rank Verteilung Krümmung],0))</f>
        <v>#N/A</v>
      </c>
      <c r="U3967" t="e">
        <f>VLOOKUP(Tabelle10[[#This Row],[Rank]],Stammdaten[[Rank Verteilung Krümmung]:[Verteilung Krümmung]],2,FALSE)</f>
        <v>#N/A</v>
      </c>
      <c r="Z3967">
        <v>3958</v>
      </c>
      <c r="AA3967" t="e">
        <f>INDEX(Stammdaten[Ovalität (']0,1'])],MATCH(Tabelle1014[[#This Row],[Rank]],Stammdaten[Rank Verteilung Ovalität],0))</f>
        <v>#N/A</v>
      </c>
      <c r="AB3967" t="e">
        <f>VLOOKUP(Tabelle1014[[#This Row],[Rank]],Stammdaten[[Rank Verteilung Ovalität]:[Verteilung Ovalität]],2,FALSE)</f>
        <v>#N/A</v>
      </c>
    </row>
    <row r="3968" spans="5:28" x14ac:dyDescent="0.35">
      <c r="E3968">
        <v>3959</v>
      </c>
      <c r="F3968" t="e">
        <f>INDEX(Stammdaten[D Mitte mit Rinde (mm)],MATCH(Tabelle8[[#This Row],[Rank]],Stammdaten[Rank Verteilung D Mitte mit Rinde],0))</f>
        <v>#N/A</v>
      </c>
      <c r="G3968" t="e">
        <f>VLOOKUP(Tabelle8[[#This Row],[Rank]],Stammdaten[[Rank Verteilung D Mitte mit Rinde]:[Verteilung D Mitte mit Rinde]],2,FALSE)</f>
        <v>#N/A</v>
      </c>
      <c r="L3968">
        <v>3959</v>
      </c>
      <c r="M3968" t="e">
        <f>INDEX(Stammdaten[Abholzigkeit (mm/lfm)],MATCH(Tabelle9[[#This Row],[Rank]],Stammdaten[Rank Verteilung Abholzigkeit],0))</f>
        <v>#N/A</v>
      </c>
      <c r="N3968" t="e">
        <f>VLOOKUP(Tabelle9[[#This Row],[Rank]],Stammdaten[[Rank Verteilung Abholzigkeit]:[Verteilung Abholzigkeit]],2,FALSE)</f>
        <v>#N/A</v>
      </c>
      <c r="S3968">
        <v>3959</v>
      </c>
      <c r="T3968" t="e">
        <f>INDEX(Stammdaten[Krümmung (mm/lfm)],MATCH(Tabelle10[[#This Row],[Rank]],Stammdaten[Rank Verteilung Krümmung],0))</f>
        <v>#N/A</v>
      </c>
      <c r="U3968" t="e">
        <f>VLOOKUP(Tabelle10[[#This Row],[Rank]],Stammdaten[[Rank Verteilung Krümmung]:[Verteilung Krümmung]],2,FALSE)</f>
        <v>#N/A</v>
      </c>
      <c r="Z3968">
        <v>3959</v>
      </c>
      <c r="AA3968" t="e">
        <f>INDEX(Stammdaten[Ovalität (']0,1'])],MATCH(Tabelle1014[[#This Row],[Rank]],Stammdaten[Rank Verteilung Ovalität],0))</f>
        <v>#N/A</v>
      </c>
      <c r="AB3968" t="e">
        <f>VLOOKUP(Tabelle1014[[#This Row],[Rank]],Stammdaten[[Rank Verteilung Ovalität]:[Verteilung Ovalität]],2,FALSE)</f>
        <v>#N/A</v>
      </c>
    </row>
    <row r="3969" spans="5:28" x14ac:dyDescent="0.35">
      <c r="E3969">
        <v>3960</v>
      </c>
      <c r="F3969" t="e">
        <f>INDEX(Stammdaten[D Mitte mit Rinde (mm)],MATCH(Tabelle8[[#This Row],[Rank]],Stammdaten[Rank Verteilung D Mitte mit Rinde],0))</f>
        <v>#N/A</v>
      </c>
      <c r="G3969" t="e">
        <f>VLOOKUP(Tabelle8[[#This Row],[Rank]],Stammdaten[[Rank Verteilung D Mitte mit Rinde]:[Verteilung D Mitte mit Rinde]],2,FALSE)</f>
        <v>#N/A</v>
      </c>
      <c r="L3969">
        <v>3960</v>
      </c>
      <c r="M3969" t="e">
        <f>INDEX(Stammdaten[Abholzigkeit (mm/lfm)],MATCH(Tabelle9[[#This Row],[Rank]],Stammdaten[Rank Verteilung Abholzigkeit],0))</f>
        <v>#N/A</v>
      </c>
      <c r="N3969" t="e">
        <f>VLOOKUP(Tabelle9[[#This Row],[Rank]],Stammdaten[[Rank Verteilung Abholzigkeit]:[Verteilung Abholzigkeit]],2,FALSE)</f>
        <v>#N/A</v>
      </c>
      <c r="S3969">
        <v>3960</v>
      </c>
      <c r="T3969" t="e">
        <f>INDEX(Stammdaten[Krümmung (mm/lfm)],MATCH(Tabelle10[[#This Row],[Rank]],Stammdaten[Rank Verteilung Krümmung],0))</f>
        <v>#N/A</v>
      </c>
      <c r="U3969" t="e">
        <f>VLOOKUP(Tabelle10[[#This Row],[Rank]],Stammdaten[[Rank Verteilung Krümmung]:[Verteilung Krümmung]],2,FALSE)</f>
        <v>#N/A</v>
      </c>
      <c r="Z3969">
        <v>3960</v>
      </c>
      <c r="AA3969" t="e">
        <f>INDEX(Stammdaten[Ovalität (']0,1'])],MATCH(Tabelle1014[[#This Row],[Rank]],Stammdaten[Rank Verteilung Ovalität],0))</f>
        <v>#N/A</v>
      </c>
      <c r="AB3969" t="e">
        <f>VLOOKUP(Tabelle1014[[#This Row],[Rank]],Stammdaten[[Rank Verteilung Ovalität]:[Verteilung Ovalität]],2,FALSE)</f>
        <v>#N/A</v>
      </c>
    </row>
    <row r="3970" spans="5:28" x14ac:dyDescent="0.35">
      <c r="E3970">
        <v>3961</v>
      </c>
      <c r="F3970" t="e">
        <f>INDEX(Stammdaten[D Mitte mit Rinde (mm)],MATCH(Tabelle8[[#This Row],[Rank]],Stammdaten[Rank Verteilung D Mitte mit Rinde],0))</f>
        <v>#N/A</v>
      </c>
      <c r="G3970" t="e">
        <f>VLOOKUP(Tabelle8[[#This Row],[Rank]],Stammdaten[[Rank Verteilung D Mitte mit Rinde]:[Verteilung D Mitte mit Rinde]],2,FALSE)</f>
        <v>#N/A</v>
      </c>
      <c r="L3970">
        <v>3961</v>
      </c>
      <c r="M3970" t="e">
        <f>INDEX(Stammdaten[Abholzigkeit (mm/lfm)],MATCH(Tabelle9[[#This Row],[Rank]],Stammdaten[Rank Verteilung Abholzigkeit],0))</f>
        <v>#N/A</v>
      </c>
      <c r="N3970" t="e">
        <f>VLOOKUP(Tabelle9[[#This Row],[Rank]],Stammdaten[[Rank Verteilung Abholzigkeit]:[Verteilung Abholzigkeit]],2,FALSE)</f>
        <v>#N/A</v>
      </c>
      <c r="S3970">
        <v>3961</v>
      </c>
      <c r="T3970" t="e">
        <f>INDEX(Stammdaten[Krümmung (mm/lfm)],MATCH(Tabelle10[[#This Row],[Rank]],Stammdaten[Rank Verteilung Krümmung],0))</f>
        <v>#N/A</v>
      </c>
      <c r="U3970" t="e">
        <f>VLOOKUP(Tabelle10[[#This Row],[Rank]],Stammdaten[[Rank Verteilung Krümmung]:[Verteilung Krümmung]],2,FALSE)</f>
        <v>#N/A</v>
      </c>
      <c r="Z3970">
        <v>3961</v>
      </c>
      <c r="AA3970" t="e">
        <f>INDEX(Stammdaten[Ovalität (']0,1'])],MATCH(Tabelle1014[[#This Row],[Rank]],Stammdaten[Rank Verteilung Ovalität],0))</f>
        <v>#N/A</v>
      </c>
      <c r="AB3970" t="e">
        <f>VLOOKUP(Tabelle1014[[#This Row],[Rank]],Stammdaten[[Rank Verteilung Ovalität]:[Verteilung Ovalität]],2,FALSE)</f>
        <v>#N/A</v>
      </c>
    </row>
    <row r="3971" spans="5:28" x14ac:dyDescent="0.35">
      <c r="E3971">
        <v>3962</v>
      </c>
      <c r="F3971" t="e">
        <f>INDEX(Stammdaten[D Mitte mit Rinde (mm)],MATCH(Tabelle8[[#This Row],[Rank]],Stammdaten[Rank Verteilung D Mitte mit Rinde],0))</f>
        <v>#N/A</v>
      </c>
      <c r="G3971" t="e">
        <f>VLOOKUP(Tabelle8[[#This Row],[Rank]],Stammdaten[[Rank Verteilung D Mitte mit Rinde]:[Verteilung D Mitte mit Rinde]],2,FALSE)</f>
        <v>#N/A</v>
      </c>
      <c r="L3971">
        <v>3962</v>
      </c>
      <c r="M3971" t="e">
        <f>INDEX(Stammdaten[Abholzigkeit (mm/lfm)],MATCH(Tabelle9[[#This Row],[Rank]],Stammdaten[Rank Verteilung Abholzigkeit],0))</f>
        <v>#N/A</v>
      </c>
      <c r="N3971" t="e">
        <f>VLOOKUP(Tabelle9[[#This Row],[Rank]],Stammdaten[[Rank Verteilung Abholzigkeit]:[Verteilung Abholzigkeit]],2,FALSE)</f>
        <v>#N/A</v>
      </c>
      <c r="S3971">
        <v>3962</v>
      </c>
      <c r="T3971" t="e">
        <f>INDEX(Stammdaten[Krümmung (mm/lfm)],MATCH(Tabelle10[[#This Row],[Rank]],Stammdaten[Rank Verteilung Krümmung],0))</f>
        <v>#N/A</v>
      </c>
      <c r="U3971" t="e">
        <f>VLOOKUP(Tabelle10[[#This Row],[Rank]],Stammdaten[[Rank Verteilung Krümmung]:[Verteilung Krümmung]],2,FALSE)</f>
        <v>#N/A</v>
      </c>
      <c r="Z3971">
        <v>3962</v>
      </c>
      <c r="AA3971" t="e">
        <f>INDEX(Stammdaten[Ovalität (']0,1'])],MATCH(Tabelle1014[[#This Row],[Rank]],Stammdaten[Rank Verteilung Ovalität],0))</f>
        <v>#N/A</v>
      </c>
      <c r="AB3971" t="e">
        <f>VLOOKUP(Tabelle1014[[#This Row],[Rank]],Stammdaten[[Rank Verteilung Ovalität]:[Verteilung Ovalität]],2,FALSE)</f>
        <v>#N/A</v>
      </c>
    </row>
    <row r="3972" spans="5:28" x14ac:dyDescent="0.35">
      <c r="E3972">
        <v>3963</v>
      </c>
      <c r="F3972" t="e">
        <f>INDEX(Stammdaten[D Mitte mit Rinde (mm)],MATCH(Tabelle8[[#This Row],[Rank]],Stammdaten[Rank Verteilung D Mitte mit Rinde],0))</f>
        <v>#N/A</v>
      </c>
      <c r="G3972" t="e">
        <f>VLOOKUP(Tabelle8[[#This Row],[Rank]],Stammdaten[[Rank Verteilung D Mitte mit Rinde]:[Verteilung D Mitte mit Rinde]],2,FALSE)</f>
        <v>#N/A</v>
      </c>
      <c r="L3972">
        <v>3963</v>
      </c>
      <c r="M3972" t="e">
        <f>INDEX(Stammdaten[Abholzigkeit (mm/lfm)],MATCH(Tabelle9[[#This Row],[Rank]],Stammdaten[Rank Verteilung Abholzigkeit],0))</f>
        <v>#N/A</v>
      </c>
      <c r="N3972" t="e">
        <f>VLOOKUP(Tabelle9[[#This Row],[Rank]],Stammdaten[[Rank Verteilung Abholzigkeit]:[Verteilung Abholzigkeit]],2,FALSE)</f>
        <v>#N/A</v>
      </c>
      <c r="S3972">
        <v>3963</v>
      </c>
      <c r="T3972" t="e">
        <f>INDEX(Stammdaten[Krümmung (mm/lfm)],MATCH(Tabelle10[[#This Row],[Rank]],Stammdaten[Rank Verteilung Krümmung],0))</f>
        <v>#N/A</v>
      </c>
      <c r="U3972" t="e">
        <f>VLOOKUP(Tabelle10[[#This Row],[Rank]],Stammdaten[[Rank Verteilung Krümmung]:[Verteilung Krümmung]],2,FALSE)</f>
        <v>#N/A</v>
      </c>
      <c r="Z3972">
        <v>3963</v>
      </c>
      <c r="AA3972" t="e">
        <f>INDEX(Stammdaten[Ovalität (']0,1'])],MATCH(Tabelle1014[[#This Row],[Rank]],Stammdaten[Rank Verteilung Ovalität],0))</f>
        <v>#N/A</v>
      </c>
      <c r="AB3972" t="e">
        <f>VLOOKUP(Tabelle1014[[#This Row],[Rank]],Stammdaten[[Rank Verteilung Ovalität]:[Verteilung Ovalität]],2,FALSE)</f>
        <v>#N/A</v>
      </c>
    </row>
    <row r="3973" spans="5:28" x14ac:dyDescent="0.35">
      <c r="E3973">
        <v>3964</v>
      </c>
      <c r="F3973" t="e">
        <f>INDEX(Stammdaten[D Mitte mit Rinde (mm)],MATCH(Tabelle8[[#This Row],[Rank]],Stammdaten[Rank Verteilung D Mitte mit Rinde],0))</f>
        <v>#N/A</v>
      </c>
      <c r="G3973" t="e">
        <f>VLOOKUP(Tabelle8[[#This Row],[Rank]],Stammdaten[[Rank Verteilung D Mitte mit Rinde]:[Verteilung D Mitte mit Rinde]],2,FALSE)</f>
        <v>#N/A</v>
      </c>
      <c r="L3973">
        <v>3964</v>
      </c>
      <c r="M3973" t="e">
        <f>INDEX(Stammdaten[Abholzigkeit (mm/lfm)],MATCH(Tabelle9[[#This Row],[Rank]],Stammdaten[Rank Verteilung Abholzigkeit],0))</f>
        <v>#N/A</v>
      </c>
      <c r="N3973" t="e">
        <f>VLOOKUP(Tabelle9[[#This Row],[Rank]],Stammdaten[[Rank Verteilung Abholzigkeit]:[Verteilung Abholzigkeit]],2,FALSE)</f>
        <v>#N/A</v>
      </c>
      <c r="S3973">
        <v>3964</v>
      </c>
      <c r="T3973" t="e">
        <f>INDEX(Stammdaten[Krümmung (mm/lfm)],MATCH(Tabelle10[[#This Row],[Rank]],Stammdaten[Rank Verteilung Krümmung],0))</f>
        <v>#N/A</v>
      </c>
      <c r="U3973" t="e">
        <f>VLOOKUP(Tabelle10[[#This Row],[Rank]],Stammdaten[[Rank Verteilung Krümmung]:[Verteilung Krümmung]],2,FALSE)</f>
        <v>#N/A</v>
      </c>
      <c r="Z3973">
        <v>3964</v>
      </c>
      <c r="AA3973" t="e">
        <f>INDEX(Stammdaten[Ovalität (']0,1'])],MATCH(Tabelle1014[[#This Row],[Rank]],Stammdaten[Rank Verteilung Ovalität],0))</f>
        <v>#N/A</v>
      </c>
      <c r="AB3973" t="e">
        <f>VLOOKUP(Tabelle1014[[#This Row],[Rank]],Stammdaten[[Rank Verteilung Ovalität]:[Verteilung Ovalität]],2,FALSE)</f>
        <v>#N/A</v>
      </c>
    </row>
    <row r="3974" spans="5:28" x14ac:dyDescent="0.35">
      <c r="E3974">
        <v>3965</v>
      </c>
      <c r="F3974" t="e">
        <f>INDEX(Stammdaten[D Mitte mit Rinde (mm)],MATCH(Tabelle8[[#This Row],[Rank]],Stammdaten[Rank Verteilung D Mitte mit Rinde],0))</f>
        <v>#N/A</v>
      </c>
      <c r="G3974" t="e">
        <f>VLOOKUP(Tabelle8[[#This Row],[Rank]],Stammdaten[[Rank Verteilung D Mitte mit Rinde]:[Verteilung D Mitte mit Rinde]],2,FALSE)</f>
        <v>#N/A</v>
      </c>
      <c r="L3974">
        <v>3965</v>
      </c>
      <c r="M3974" t="e">
        <f>INDEX(Stammdaten[Abholzigkeit (mm/lfm)],MATCH(Tabelle9[[#This Row],[Rank]],Stammdaten[Rank Verteilung Abholzigkeit],0))</f>
        <v>#N/A</v>
      </c>
      <c r="N3974" t="e">
        <f>VLOOKUP(Tabelle9[[#This Row],[Rank]],Stammdaten[[Rank Verteilung Abholzigkeit]:[Verteilung Abholzigkeit]],2,FALSE)</f>
        <v>#N/A</v>
      </c>
      <c r="S3974">
        <v>3965</v>
      </c>
      <c r="T3974" t="e">
        <f>INDEX(Stammdaten[Krümmung (mm/lfm)],MATCH(Tabelle10[[#This Row],[Rank]],Stammdaten[Rank Verteilung Krümmung],0))</f>
        <v>#N/A</v>
      </c>
      <c r="U3974" t="e">
        <f>VLOOKUP(Tabelle10[[#This Row],[Rank]],Stammdaten[[Rank Verteilung Krümmung]:[Verteilung Krümmung]],2,FALSE)</f>
        <v>#N/A</v>
      </c>
      <c r="Z3974">
        <v>3965</v>
      </c>
      <c r="AA3974" t="e">
        <f>INDEX(Stammdaten[Ovalität (']0,1'])],MATCH(Tabelle1014[[#This Row],[Rank]],Stammdaten[Rank Verteilung Ovalität],0))</f>
        <v>#N/A</v>
      </c>
      <c r="AB3974" t="e">
        <f>VLOOKUP(Tabelle1014[[#This Row],[Rank]],Stammdaten[[Rank Verteilung Ovalität]:[Verteilung Ovalität]],2,FALSE)</f>
        <v>#N/A</v>
      </c>
    </row>
    <row r="3975" spans="5:28" x14ac:dyDescent="0.35">
      <c r="E3975">
        <v>3966</v>
      </c>
      <c r="F3975" t="e">
        <f>INDEX(Stammdaten[D Mitte mit Rinde (mm)],MATCH(Tabelle8[[#This Row],[Rank]],Stammdaten[Rank Verteilung D Mitte mit Rinde],0))</f>
        <v>#N/A</v>
      </c>
      <c r="G3975" t="e">
        <f>VLOOKUP(Tabelle8[[#This Row],[Rank]],Stammdaten[[Rank Verteilung D Mitte mit Rinde]:[Verteilung D Mitte mit Rinde]],2,FALSE)</f>
        <v>#N/A</v>
      </c>
      <c r="L3975">
        <v>3966</v>
      </c>
      <c r="M3975" t="e">
        <f>INDEX(Stammdaten[Abholzigkeit (mm/lfm)],MATCH(Tabelle9[[#This Row],[Rank]],Stammdaten[Rank Verteilung Abholzigkeit],0))</f>
        <v>#N/A</v>
      </c>
      <c r="N3975" t="e">
        <f>VLOOKUP(Tabelle9[[#This Row],[Rank]],Stammdaten[[Rank Verteilung Abholzigkeit]:[Verteilung Abholzigkeit]],2,FALSE)</f>
        <v>#N/A</v>
      </c>
      <c r="S3975">
        <v>3966</v>
      </c>
      <c r="T3975" t="e">
        <f>INDEX(Stammdaten[Krümmung (mm/lfm)],MATCH(Tabelle10[[#This Row],[Rank]],Stammdaten[Rank Verteilung Krümmung],0))</f>
        <v>#N/A</v>
      </c>
      <c r="U3975" t="e">
        <f>VLOOKUP(Tabelle10[[#This Row],[Rank]],Stammdaten[[Rank Verteilung Krümmung]:[Verteilung Krümmung]],2,FALSE)</f>
        <v>#N/A</v>
      </c>
      <c r="Z3975">
        <v>3966</v>
      </c>
      <c r="AA3975" t="e">
        <f>INDEX(Stammdaten[Ovalität (']0,1'])],MATCH(Tabelle1014[[#This Row],[Rank]],Stammdaten[Rank Verteilung Ovalität],0))</f>
        <v>#N/A</v>
      </c>
      <c r="AB3975" t="e">
        <f>VLOOKUP(Tabelle1014[[#This Row],[Rank]],Stammdaten[[Rank Verteilung Ovalität]:[Verteilung Ovalität]],2,FALSE)</f>
        <v>#N/A</v>
      </c>
    </row>
    <row r="3976" spans="5:28" x14ac:dyDescent="0.35">
      <c r="E3976">
        <v>3967</v>
      </c>
      <c r="F3976" t="e">
        <f>INDEX(Stammdaten[D Mitte mit Rinde (mm)],MATCH(Tabelle8[[#This Row],[Rank]],Stammdaten[Rank Verteilung D Mitte mit Rinde],0))</f>
        <v>#N/A</v>
      </c>
      <c r="G3976" t="e">
        <f>VLOOKUP(Tabelle8[[#This Row],[Rank]],Stammdaten[[Rank Verteilung D Mitte mit Rinde]:[Verteilung D Mitte mit Rinde]],2,FALSE)</f>
        <v>#N/A</v>
      </c>
      <c r="L3976">
        <v>3967</v>
      </c>
      <c r="M3976" t="e">
        <f>INDEX(Stammdaten[Abholzigkeit (mm/lfm)],MATCH(Tabelle9[[#This Row],[Rank]],Stammdaten[Rank Verteilung Abholzigkeit],0))</f>
        <v>#N/A</v>
      </c>
      <c r="N3976" t="e">
        <f>VLOOKUP(Tabelle9[[#This Row],[Rank]],Stammdaten[[Rank Verteilung Abholzigkeit]:[Verteilung Abholzigkeit]],2,FALSE)</f>
        <v>#N/A</v>
      </c>
      <c r="S3976">
        <v>3967</v>
      </c>
      <c r="T3976" t="e">
        <f>INDEX(Stammdaten[Krümmung (mm/lfm)],MATCH(Tabelle10[[#This Row],[Rank]],Stammdaten[Rank Verteilung Krümmung],0))</f>
        <v>#N/A</v>
      </c>
      <c r="U3976" t="e">
        <f>VLOOKUP(Tabelle10[[#This Row],[Rank]],Stammdaten[[Rank Verteilung Krümmung]:[Verteilung Krümmung]],2,FALSE)</f>
        <v>#N/A</v>
      </c>
      <c r="Z3976">
        <v>3967</v>
      </c>
      <c r="AA3976" t="e">
        <f>INDEX(Stammdaten[Ovalität (']0,1'])],MATCH(Tabelle1014[[#This Row],[Rank]],Stammdaten[Rank Verteilung Ovalität],0))</f>
        <v>#N/A</v>
      </c>
      <c r="AB3976" t="e">
        <f>VLOOKUP(Tabelle1014[[#This Row],[Rank]],Stammdaten[[Rank Verteilung Ovalität]:[Verteilung Ovalität]],2,FALSE)</f>
        <v>#N/A</v>
      </c>
    </row>
    <row r="3977" spans="5:28" x14ac:dyDescent="0.35">
      <c r="E3977">
        <v>3968</v>
      </c>
      <c r="F3977" t="e">
        <f>INDEX(Stammdaten[D Mitte mit Rinde (mm)],MATCH(Tabelle8[[#This Row],[Rank]],Stammdaten[Rank Verteilung D Mitte mit Rinde],0))</f>
        <v>#N/A</v>
      </c>
      <c r="G3977" t="e">
        <f>VLOOKUP(Tabelle8[[#This Row],[Rank]],Stammdaten[[Rank Verteilung D Mitte mit Rinde]:[Verteilung D Mitte mit Rinde]],2,FALSE)</f>
        <v>#N/A</v>
      </c>
      <c r="L3977">
        <v>3968</v>
      </c>
      <c r="M3977" t="e">
        <f>INDEX(Stammdaten[Abholzigkeit (mm/lfm)],MATCH(Tabelle9[[#This Row],[Rank]],Stammdaten[Rank Verteilung Abholzigkeit],0))</f>
        <v>#N/A</v>
      </c>
      <c r="N3977" t="e">
        <f>VLOOKUP(Tabelle9[[#This Row],[Rank]],Stammdaten[[Rank Verteilung Abholzigkeit]:[Verteilung Abholzigkeit]],2,FALSE)</f>
        <v>#N/A</v>
      </c>
      <c r="S3977">
        <v>3968</v>
      </c>
      <c r="T3977" t="e">
        <f>INDEX(Stammdaten[Krümmung (mm/lfm)],MATCH(Tabelle10[[#This Row],[Rank]],Stammdaten[Rank Verteilung Krümmung],0))</f>
        <v>#N/A</v>
      </c>
      <c r="U3977" t="e">
        <f>VLOOKUP(Tabelle10[[#This Row],[Rank]],Stammdaten[[Rank Verteilung Krümmung]:[Verteilung Krümmung]],2,FALSE)</f>
        <v>#N/A</v>
      </c>
      <c r="Z3977">
        <v>3968</v>
      </c>
      <c r="AA3977" t="e">
        <f>INDEX(Stammdaten[Ovalität (']0,1'])],MATCH(Tabelle1014[[#This Row],[Rank]],Stammdaten[Rank Verteilung Ovalität],0))</f>
        <v>#N/A</v>
      </c>
      <c r="AB3977" t="e">
        <f>VLOOKUP(Tabelle1014[[#This Row],[Rank]],Stammdaten[[Rank Verteilung Ovalität]:[Verteilung Ovalität]],2,FALSE)</f>
        <v>#N/A</v>
      </c>
    </row>
    <row r="3978" spans="5:28" x14ac:dyDescent="0.35">
      <c r="E3978">
        <v>3969</v>
      </c>
      <c r="F3978" t="e">
        <f>INDEX(Stammdaten[D Mitte mit Rinde (mm)],MATCH(Tabelle8[[#This Row],[Rank]],Stammdaten[Rank Verteilung D Mitte mit Rinde],0))</f>
        <v>#N/A</v>
      </c>
      <c r="G3978" t="e">
        <f>VLOOKUP(Tabelle8[[#This Row],[Rank]],Stammdaten[[Rank Verteilung D Mitte mit Rinde]:[Verteilung D Mitte mit Rinde]],2,FALSE)</f>
        <v>#N/A</v>
      </c>
      <c r="L3978">
        <v>3969</v>
      </c>
      <c r="M3978" t="e">
        <f>INDEX(Stammdaten[Abholzigkeit (mm/lfm)],MATCH(Tabelle9[[#This Row],[Rank]],Stammdaten[Rank Verteilung Abholzigkeit],0))</f>
        <v>#N/A</v>
      </c>
      <c r="N3978" t="e">
        <f>VLOOKUP(Tabelle9[[#This Row],[Rank]],Stammdaten[[Rank Verteilung Abholzigkeit]:[Verteilung Abholzigkeit]],2,FALSE)</f>
        <v>#N/A</v>
      </c>
      <c r="S3978">
        <v>3969</v>
      </c>
      <c r="T3978" t="e">
        <f>INDEX(Stammdaten[Krümmung (mm/lfm)],MATCH(Tabelle10[[#This Row],[Rank]],Stammdaten[Rank Verteilung Krümmung],0))</f>
        <v>#N/A</v>
      </c>
      <c r="U3978" t="e">
        <f>VLOOKUP(Tabelle10[[#This Row],[Rank]],Stammdaten[[Rank Verteilung Krümmung]:[Verteilung Krümmung]],2,FALSE)</f>
        <v>#N/A</v>
      </c>
      <c r="Z3978">
        <v>3969</v>
      </c>
      <c r="AA3978" t="e">
        <f>INDEX(Stammdaten[Ovalität (']0,1'])],MATCH(Tabelle1014[[#This Row],[Rank]],Stammdaten[Rank Verteilung Ovalität],0))</f>
        <v>#N/A</v>
      </c>
      <c r="AB3978" t="e">
        <f>VLOOKUP(Tabelle1014[[#This Row],[Rank]],Stammdaten[[Rank Verteilung Ovalität]:[Verteilung Ovalität]],2,FALSE)</f>
        <v>#N/A</v>
      </c>
    </row>
    <row r="3979" spans="5:28" x14ac:dyDescent="0.35">
      <c r="E3979">
        <v>3970</v>
      </c>
      <c r="F3979" t="e">
        <f>INDEX(Stammdaten[D Mitte mit Rinde (mm)],MATCH(Tabelle8[[#This Row],[Rank]],Stammdaten[Rank Verteilung D Mitte mit Rinde],0))</f>
        <v>#N/A</v>
      </c>
      <c r="G3979" t="e">
        <f>VLOOKUP(Tabelle8[[#This Row],[Rank]],Stammdaten[[Rank Verteilung D Mitte mit Rinde]:[Verteilung D Mitte mit Rinde]],2,FALSE)</f>
        <v>#N/A</v>
      </c>
      <c r="L3979">
        <v>3970</v>
      </c>
      <c r="M3979" t="e">
        <f>INDEX(Stammdaten[Abholzigkeit (mm/lfm)],MATCH(Tabelle9[[#This Row],[Rank]],Stammdaten[Rank Verteilung Abholzigkeit],0))</f>
        <v>#N/A</v>
      </c>
      <c r="N3979" t="e">
        <f>VLOOKUP(Tabelle9[[#This Row],[Rank]],Stammdaten[[Rank Verteilung Abholzigkeit]:[Verteilung Abholzigkeit]],2,FALSE)</f>
        <v>#N/A</v>
      </c>
      <c r="S3979">
        <v>3970</v>
      </c>
      <c r="T3979" t="e">
        <f>INDEX(Stammdaten[Krümmung (mm/lfm)],MATCH(Tabelle10[[#This Row],[Rank]],Stammdaten[Rank Verteilung Krümmung],0))</f>
        <v>#N/A</v>
      </c>
      <c r="U3979" t="e">
        <f>VLOOKUP(Tabelle10[[#This Row],[Rank]],Stammdaten[[Rank Verteilung Krümmung]:[Verteilung Krümmung]],2,FALSE)</f>
        <v>#N/A</v>
      </c>
      <c r="Z3979">
        <v>3970</v>
      </c>
      <c r="AA3979" t="e">
        <f>INDEX(Stammdaten[Ovalität (']0,1'])],MATCH(Tabelle1014[[#This Row],[Rank]],Stammdaten[Rank Verteilung Ovalität],0))</f>
        <v>#N/A</v>
      </c>
      <c r="AB3979" t="e">
        <f>VLOOKUP(Tabelle1014[[#This Row],[Rank]],Stammdaten[[Rank Verteilung Ovalität]:[Verteilung Ovalität]],2,FALSE)</f>
        <v>#N/A</v>
      </c>
    </row>
    <row r="3980" spans="5:28" x14ac:dyDescent="0.35">
      <c r="E3980">
        <v>3971</v>
      </c>
      <c r="F3980" t="e">
        <f>INDEX(Stammdaten[D Mitte mit Rinde (mm)],MATCH(Tabelle8[[#This Row],[Rank]],Stammdaten[Rank Verteilung D Mitte mit Rinde],0))</f>
        <v>#N/A</v>
      </c>
      <c r="G3980" t="e">
        <f>VLOOKUP(Tabelle8[[#This Row],[Rank]],Stammdaten[[Rank Verteilung D Mitte mit Rinde]:[Verteilung D Mitte mit Rinde]],2,FALSE)</f>
        <v>#N/A</v>
      </c>
      <c r="L3980">
        <v>3971</v>
      </c>
      <c r="M3980" t="e">
        <f>INDEX(Stammdaten[Abholzigkeit (mm/lfm)],MATCH(Tabelle9[[#This Row],[Rank]],Stammdaten[Rank Verteilung Abholzigkeit],0))</f>
        <v>#N/A</v>
      </c>
      <c r="N3980" t="e">
        <f>VLOOKUP(Tabelle9[[#This Row],[Rank]],Stammdaten[[Rank Verteilung Abholzigkeit]:[Verteilung Abholzigkeit]],2,FALSE)</f>
        <v>#N/A</v>
      </c>
      <c r="S3980">
        <v>3971</v>
      </c>
      <c r="T3980" t="e">
        <f>INDEX(Stammdaten[Krümmung (mm/lfm)],MATCH(Tabelle10[[#This Row],[Rank]],Stammdaten[Rank Verteilung Krümmung],0))</f>
        <v>#N/A</v>
      </c>
      <c r="U3980" t="e">
        <f>VLOOKUP(Tabelle10[[#This Row],[Rank]],Stammdaten[[Rank Verteilung Krümmung]:[Verteilung Krümmung]],2,FALSE)</f>
        <v>#N/A</v>
      </c>
      <c r="Z3980">
        <v>3971</v>
      </c>
      <c r="AA3980" t="e">
        <f>INDEX(Stammdaten[Ovalität (']0,1'])],MATCH(Tabelle1014[[#This Row],[Rank]],Stammdaten[Rank Verteilung Ovalität],0))</f>
        <v>#N/A</v>
      </c>
      <c r="AB3980" t="e">
        <f>VLOOKUP(Tabelle1014[[#This Row],[Rank]],Stammdaten[[Rank Verteilung Ovalität]:[Verteilung Ovalität]],2,FALSE)</f>
        <v>#N/A</v>
      </c>
    </row>
    <row r="3981" spans="5:28" x14ac:dyDescent="0.35">
      <c r="E3981">
        <v>3972</v>
      </c>
      <c r="F3981" t="e">
        <f>INDEX(Stammdaten[D Mitte mit Rinde (mm)],MATCH(Tabelle8[[#This Row],[Rank]],Stammdaten[Rank Verteilung D Mitte mit Rinde],0))</f>
        <v>#N/A</v>
      </c>
      <c r="G3981" t="e">
        <f>VLOOKUP(Tabelle8[[#This Row],[Rank]],Stammdaten[[Rank Verteilung D Mitte mit Rinde]:[Verteilung D Mitte mit Rinde]],2,FALSE)</f>
        <v>#N/A</v>
      </c>
      <c r="L3981">
        <v>3972</v>
      </c>
      <c r="M3981" t="e">
        <f>INDEX(Stammdaten[Abholzigkeit (mm/lfm)],MATCH(Tabelle9[[#This Row],[Rank]],Stammdaten[Rank Verteilung Abholzigkeit],0))</f>
        <v>#N/A</v>
      </c>
      <c r="N3981" t="e">
        <f>VLOOKUP(Tabelle9[[#This Row],[Rank]],Stammdaten[[Rank Verteilung Abholzigkeit]:[Verteilung Abholzigkeit]],2,FALSE)</f>
        <v>#N/A</v>
      </c>
      <c r="S3981">
        <v>3972</v>
      </c>
      <c r="T3981" t="e">
        <f>INDEX(Stammdaten[Krümmung (mm/lfm)],MATCH(Tabelle10[[#This Row],[Rank]],Stammdaten[Rank Verteilung Krümmung],0))</f>
        <v>#N/A</v>
      </c>
      <c r="U3981" t="e">
        <f>VLOOKUP(Tabelle10[[#This Row],[Rank]],Stammdaten[[Rank Verteilung Krümmung]:[Verteilung Krümmung]],2,FALSE)</f>
        <v>#N/A</v>
      </c>
      <c r="Z3981">
        <v>3972</v>
      </c>
      <c r="AA3981" t="e">
        <f>INDEX(Stammdaten[Ovalität (']0,1'])],MATCH(Tabelle1014[[#This Row],[Rank]],Stammdaten[Rank Verteilung Ovalität],0))</f>
        <v>#N/A</v>
      </c>
      <c r="AB3981" t="e">
        <f>VLOOKUP(Tabelle1014[[#This Row],[Rank]],Stammdaten[[Rank Verteilung Ovalität]:[Verteilung Ovalität]],2,FALSE)</f>
        <v>#N/A</v>
      </c>
    </row>
    <row r="3982" spans="5:28" x14ac:dyDescent="0.35">
      <c r="E3982">
        <v>3973</v>
      </c>
      <c r="F3982" t="e">
        <f>INDEX(Stammdaten[D Mitte mit Rinde (mm)],MATCH(Tabelle8[[#This Row],[Rank]],Stammdaten[Rank Verteilung D Mitte mit Rinde],0))</f>
        <v>#N/A</v>
      </c>
      <c r="G3982" t="e">
        <f>VLOOKUP(Tabelle8[[#This Row],[Rank]],Stammdaten[[Rank Verteilung D Mitte mit Rinde]:[Verteilung D Mitte mit Rinde]],2,FALSE)</f>
        <v>#N/A</v>
      </c>
      <c r="L3982">
        <v>3973</v>
      </c>
      <c r="M3982" t="e">
        <f>INDEX(Stammdaten[Abholzigkeit (mm/lfm)],MATCH(Tabelle9[[#This Row],[Rank]],Stammdaten[Rank Verteilung Abholzigkeit],0))</f>
        <v>#N/A</v>
      </c>
      <c r="N3982" t="e">
        <f>VLOOKUP(Tabelle9[[#This Row],[Rank]],Stammdaten[[Rank Verteilung Abholzigkeit]:[Verteilung Abholzigkeit]],2,FALSE)</f>
        <v>#N/A</v>
      </c>
      <c r="S3982">
        <v>3973</v>
      </c>
      <c r="T3982" t="e">
        <f>INDEX(Stammdaten[Krümmung (mm/lfm)],MATCH(Tabelle10[[#This Row],[Rank]],Stammdaten[Rank Verteilung Krümmung],0))</f>
        <v>#N/A</v>
      </c>
      <c r="U3982" t="e">
        <f>VLOOKUP(Tabelle10[[#This Row],[Rank]],Stammdaten[[Rank Verteilung Krümmung]:[Verteilung Krümmung]],2,FALSE)</f>
        <v>#N/A</v>
      </c>
      <c r="Z3982">
        <v>3973</v>
      </c>
      <c r="AA3982" t="e">
        <f>INDEX(Stammdaten[Ovalität (']0,1'])],MATCH(Tabelle1014[[#This Row],[Rank]],Stammdaten[Rank Verteilung Ovalität],0))</f>
        <v>#N/A</v>
      </c>
      <c r="AB3982" t="e">
        <f>VLOOKUP(Tabelle1014[[#This Row],[Rank]],Stammdaten[[Rank Verteilung Ovalität]:[Verteilung Ovalität]],2,FALSE)</f>
        <v>#N/A</v>
      </c>
    </row>
    <row r="3983" spans="5:28" x14ac:dyDescent="0.35">
      <c r="E3983">
        <v>3974</v>
      </c>
      <c r="F3983" t="e">
        <f>INDEX(Stammdaten[D Mitte mit Rinde (mm)],MATCH(Tabelle8[[#This Row],[Rank]],Stammdaten[Rank Verteilung D Mitte mit Rinde],0))</f>
        <v>#N/A</v>
      </c>
      <c r="G3983" t="e">
        <f>VLOOKUP(Tabelle8[[#This Row],[Rank]],Stammdaten[[Rank Verteilung D Mitte mit Rinde]:[Verteilung D Mitte mit Rinde]],2,FALSE)</f>
        <v>#N/A</v>
      </c>
      <c r="L3983">
        <v>3974</v>
      </c>
      <c r="M3983" t="e">
        <f>INDEX(Stammdaten[Abholzigkeit (mm/lfm)],MATCH(Tabelle9[[#This Row],[Rank]],Stammdaten[Rank Verteilung Abholzigkeit],0))</f>
        <v>#N/A</v>
      </c>
      <c r="N3983" t="e">
        <f>VLOOKUP(Tabelle9[[#This Row],[Rank]],Stammdaten[[Rank Verteilung Abholzigkeit]:[Verteilung Abholzigkeit]],2,FALSE)</f>
        <v>#N/A</v>
      </c>
      <c r="S3983">
        <v>3974</v>
      </c>
      <c r="T3983" t="e">
        <f>INDEX(Stammdaten[Krümmung (mm/lfm)],MATCH(Tabelle10[[#This Row],[Rank]],Stammdaten[Rank Verteilung Krümmung],0))</f>
        <v>#N/A</v>
      </c>
      <c r="U3983" t="e">
        <f>VLOOKUP(Tabelle10[[#This Row],[Rank]],Stammdaten[[Rank Verteilung Krümmung]:[Verteilung Krümmung]],2,FALSE)</f>
        <v>#N/A</v>
      </c>
      <c r="Z3983">
        <v>3974</v>
      </c>
      <c r="AA3983" t="e">
        <f>INDEX(Stammdaten[Ovalität (']0,1'])],MATCH(Tabelle1014[[#This Row],[Rank]],Stammdaten[Rank Verteilung Ovalität],0))</f>
        <v>#N/A</v>
      </c>
      <c r="AB3983" t="e">
        <f>VLOOKUP(Tabelle1014[[#This Row],[Rank]],Stammdaten[[Rank Verteilung Ovalität]:[Verteilung Ovalität]],2,FALSE)</f>
        <v>#N/A</v>
      </c>
    </row>
    <row r="3984" spans="5:28" x14ac:dyDescent="0.35">
      <c r="E3984">
        <v>3975</v>
      </c>
      <c r="F3984" t="e">
        <f>INDEX(Stammdaten[D Mitte mit Rinde (mm)],MATCH(Tabelle8[[#This Row],[Rank]],Stammdaten[Rank Verteilung D Mitte mit Rinde],0))</f>
        <v>#N/A</v>
      </c>
      <c r="G3984" t="e">
        <f>VLOOKUP(Tabelle8[[#This Row],[Rank]],Stammdaten[[Rank Verteilung D Mitte mit Rinde]:[Verteilung D Mitte mit Rinde]],2,FALSE)</f>
        <v>#N/A</v>
      </c>
      <c r="L3984">
        <v>3975</v>
      </c>
      <c r="M3984" t="e">
        <f>INDEX(Stammdaten[Abholzigkeit (mm/lfm)],MATCH(Tabelle9[[#This Row],[Rank]],Stammdaten[Rank Verteilung Abholzigkeit],0))</f>
        <v>#N/A</v>
      </c>
      <c r="N3984" t="e">
        <f>VLOOKUP(Tabelle9[[#This Row],[Rank]],Stammdaten[[Rank Verteilung Abholzigkeit]:[Verteilung Abholzigkeit]],2,FALSE)</f>
        <v>#N/A</v>
      </c>
      <c r="S3984">
        <v>3975</v>
      </c>
      <c r="T3984" t="e">
        <f>INDEX(Stammdaten[Krümmung (mm/lfm)],MATCH(Tabelle10[[#This Row],[Rank]],Stammdaten[Rank Verteilung Krümmung],0))</f>
        <v>#N/A</v>
      </c>
      <c r="U3984" t="e">
        <f>VLOOKUP(Tabelle10[[#This Row],[Rank]],Stammdaten[[Rank Verteilung Krümmung]:[Verteilung Krümmung]],2,FALSE)</f>
        <v>#N/A</v>
      </c>
      <c r="Z3984">
        <v>3975</v>
      </c>
      <c r="AA3984" t="e">
        <f>INDEX(Stammdaten[Ovalität (']0,1'])],MATCH(Tabelle1014[[#This Row],[Rank]],Stammdaten[Rank Verteilung Ovalität],0))</f>
        <v>#N/A</v>
      </c>
      <c r="AB3984" t="e">
        <f>VLOOKUP(Tabelle1014[[#This Row],[Rank]],Stammdaten[[Rank Verteilung Ovalität]:[Verteilung Ovalität]],2,FALSE)</f>
        <v>#N/A</v>
      </c>
    </row>
    <row r="3985" spans="5:28" x14ac:dyDescent="0.35">
      <c r="E3985">
        <v>3976</v>
      </c>
      <c r="F3985" t="e">
        <f>INDEX(Stammdaten[D Mitte mit Rinde (mm)],MATCH(Tabelle8[[#This Row],[Rank]],Stammdaten[Rank Verteilung D Mitte mit Rinde],0))</f>
        <v>#N/A</v>
      </c>
      <c r="G3985" t="e">
        <f>VLOOKUP(Tabelle8[[#This Row],[Rank]],Stammdaten[[Rank Verteilung D Mitte mit Rinde]:[Verteilung D Mitte mit Rinde]],2,FALSE)</f>
        <v>#N/A</v>
      </c>
      <c r="L3985">
        <v>3976</v>
      </c>
      <c r="M3985" t="e">
        <f>INDEX(Stammdaten[Abholzigkeit (mm/lfm)],MATCH(Tabelle9[[#This Row],[Rank]],Stammdaten[Rank Verteilung Abholzigkeit],0))</f>
        <v>#N/A</v>
      </c>
      <c r="N3985" t="e">
        <f>VLOOKUP(Tabelle9[[#This Row],[Rank]],Stammdaten[[Rank Verteilung Abholzigkeit]:[Verteilung Abholzigkeit]],2,FALSE)</f>
        <v>#N/A</v>
      </c>
      <c r="S3985">
        <v>3976</v>
      </c>
      <c r="T3985" t="e">
        <f>INDEX(Stammdaten[Krümmung (mm/lfm)],MATCH(Tabelle10[[#This Row],[Rank]],Stammdaten[Rank Verteilung Krümmung],0))</f>
        <v>#N/A</v>
      </c>
      <c r="U3985" t="e">
        <f>VLOOKUP(Tabelle10[[#This Row],[Rank]],Stammdaten[[Rank Verteilung Krümmung]:[Verteilung Krümmung]],2,FALSE)</f>
        <v>#N/A</v>
      </c>
      <c r="Z3985">
        <v>3976</v>
      </c>
      <c r="AA3985" t="e">
        <f>INDEX(Stammdaten[Ovalität (']0,1'])],MATCH(Tabelle1014[[#This Row],[Rank]],Stammdaten[Rank Verteilung Ovalität],0))</f>
        <v>#N/A</v>
      </c>
      <c r="AB3985" t="e">
        <f>VLOOKUP(Tabelle1014[[#This Row],[Rank]],Stammdaten[[Rank Verteilung Ovalität]:[Verteilung Ovalität]],2,FALSE)</f>
        <v>#N/A</v>
      </c>
    </row>
    <row r="3986" spans="5:28" x14ac:dyDescent="0.35">
      <c r="E3986">
        <v>3977</v>
      </c>
      <c r="F3986" t="e">
        <f>INDEX(Stammdaten[D Mitte mit Rinde (mm)],MATCH(Tabelle8[[#This Row],[Rank]],Stammdaten[Rank Verteilung D Mitte mit Rinde],0))</f>
        <v>#N/A</v>
      </c>
      <c r="G3986" t="e">
        <f>VLOOKUP(Tabelle8[[#This Row],[Rank]],Stammdaten[[Rank Verteilung D Mitte mit Rinde]:[Verteilung D Mitte mit Rinde]],2,FALSE)</f>
        <v>#N/A</v>
      </c>
      <c r="L3986">
        <v>3977</v>
      </c>
      <c r="M3986" t="e">
        <f>INDEX(Stammdaten[Abholzigkeit (mm/lfm)],MATCH(Tabelle9[[#This Row],[Rank]],Stammdaten[Rank Verteilung Abholzigkeit],0))</f>
        <v>#N/A</v>
      </c>
      <c r="N3986" t="e">
        <f>VLOOKUP(Tabelle9[[#This Row],[Rank]],Stammdaten[[Rank Verteilung Abholzigkeit]:[Verteilung Abholzigkeit]],2,FALSE)</f>
        <v>#N/A</v>
      </c>
      <c r="S3986">
        <v>3977</v>
      </c>
      <c r="T3986" t="e">
        <f>INDEX(Stammdaten[Krümmung (mm/lfm)],MATCH(Tabelle10[[#This Row],[Rank]],Stammdaten[Rank Verteilung Krümmung],0))</f>
        <v>#N/A</v>
      </c>
      <c r="U3986" t="e">
        <f>VLOOKUP(Tabelle10[[#This Row],[Rank]],Stammdaten[[Rank Verteilung Krümmung]:[Verteilung Krümmung]],2,FALSE)</f>
        <v>#N/A</v>
      </c>
      <c r="Z3986">
        <v>3977</v>
      </c>
      <c r="AA3986" t="e">
        <f>INDEX(Stammdaten[Ovalität (']0,1'])],MATCH(Tabelle1014[[#This Row],[Rank]],Stammdaten[Rank Verteilung Ovalität],0))</f>
        <v>#N/A</v>
      </c>
      <c r="AB3986" t="e">
        <f>VLOOKUP(Tabelle1014[[#This Row],[Rank]],Stammdaten[[Rank Verteilung Ovalität]:[Verteilung Ovalität]],2,FALSE)</f>
        <v>#N/A</v>
      </c>
    </row>
    <row r="3987" spans="5:28" x14ac:dyDescent="0.35">
      <c r="E3987">
        <v>3978</v>
      </c>
      <c r="F3987" t="e">
        <f>INDEX(Stammdaten[D Mitte mit Rinde (mm)],MATCH(Tabelle8[[#This Row],[Rank]],Stammdaten[Rank Verteilung D Mitte mit Rinde],0))</f>
        <v>#N/A</v>
      </c>
      <c r="G3987" t="e">
        <f>VLOOKUP(Tabelle8[[#This Row],[Rank]],Stammdaten[[Rank Verteilung D Mitte mit Rinde]:[Verteilung D Mitte mit Rinde]],2,FALSE)</f>
        <v>#N/A</v>
      </c>
      <c r="L3987">
        <v>3978</v>
      </c>
      <c r="M3987" t="e">
        <f>INDEX(Stammdaten[Abholzigkeit (mm/lfm)],MATCH(Tabelle9[[#This Row],[Rank]],Stammdaten[Rank Verteilung Abholzigkeit],0))</f>
        <v>#N/A</v>
      </c>
      <c r="N3987" t="e">
        <f>VLOOKUP(Tabelle9[[#This Row],[Rank]],Stammdaten[[Rank Verteilung Abholzigkeit]:[Verteilung Abholzigkeit]],2,FALSE)</f>
        <v>#N/A</v>
      </c>
      <c r="S3987">
        <v>3978</v>
      </c>
      <c r="T3987" t="e">
        <f>INDEX(Stammdaten[Krümmung (mm/lfm)],MATCH(Tabelle10[[#This Row],[Rank]],Stammdaten[Rank Verteilung Krümmung],0))</f>
        <v>#N/A</v>
      </c>
      <c r="U3987" t="e">
        <f>VLOOKUP(Tabelle10[[#This Row],[Rank]],Stammdaten[[Rank Verteilung Krümmung]:[Verteilung Krümmung]],2,FALSE)</f>
        <v>#N/A</v>
      </c>
      <c r="Z3987">
        <v>3978</v>
      </c>
      <c r="AA3987" t="e">
        <f>INDEX(Stammdaten[Ovalität (']0,1'])],MATCH(Tabelle1014[[#This Row],[Rank]],Stammdaten[Rank Verteilung Ovalität],0))</f>
        <v>#N/A</v>
      </c>
      <c r="AB3987" t="e">
        <f>VLOOKUP(Tabelle1014[[#This Row],[Rank]],Stammdaten[[Rank Verteilung Ovalität]:[Verteilung Ovalität]],2,FALSE)</f>
        <v>#N/A</v>
      </c>
    </row>
    <row r="3988" spans="5:28" x14ac:dyDescent="0.35">
      <c r="E3988">
        <v>3979</v>
      </c>
      <c r="F3988" t="e">
        <f>INDEX(Stammdaten[D Mitte mit Rinde (mm)],MATCH(Tabelle8[[#This Row],[Rank]],Stammdaten[Rank Verteilung D Mitte mit Rinde],0))</f>
        <v>#N/A</v>
      </c>
      <c r="G3988" t="e">
        <f>VLOOKUP(Tabelle8[[#This Row],[Rank]],Stammdaten[[Rank Verteilung D Mitte mit Rinde]:[Verteilung D Mitte mit Rinde]],2,FALSE)</f>
        <v>#N/A</v>
      </c>
      <c r="L3988">
        <v>3979</v>
      </c>
      <c r="M3988" t="e">
        <f>INDEX(Stammdaten[Abholzigkeit (mm/lfm)],MATCH(Tabelle9[[#This Row],[Rank]],Stammdaten[Rank Verteilung Abholzigkeit],0))</f>
        <v>#N/A</v>
      </c>
      <c r="N3988" t="e">
        <f>VLOOKUP(Tabelle9[[#This Row],[Rank]],Stammdaten[[Rank Verteilung Abholzigkeit]:[Verteilung Abholzigkeit]],2,FALSE)</f>
        <v>#N/A</v>
      </c>
      <c r="S3988">
        <v>3979</v>
      </c>
      <c r="T3988" t="e">
        <f>INDEX(Stammdaten[Krümmung (mm/lfm)],MATCH(Tabelle10[[#This Row],[Rank]],Stammdaten[Rank Verteilung Krümmung],0))</f>
        <v>#N/A</v>
      </c>
      <c r="U3988" t="e">
        <f>VLOOKUP(Tabelle10[[#This Row],[Rank]],Stammdaten[[Rank Verteilung Krümmung]:[Verteilung Krümmung]],2,FALSE)</f>
        <v>#N/A</v>
      </c>
      <c r="Z3988">
        <v>3979</v>
      </c>
      <c r="AA3988" t="e">
        <f>INDEX(Stammdaten[Ovalität (']0,1'])],MATCH(Tabelle1014[[#This Row],[Rank]],Stammdaten[Rank Verteilung Ovalität],0))</f>
        <v>#N/A</v>
      </c>
      <c r="AB3988" t="e">
        <f>VLOOKUP(Tabelle1014[[#This Row],[Rank]],Stammdaten[[Rank Verteilung Ovalität]:[Verteilung Ovalität]],2,FALSE)</f>
        <v>#N/A</v>
      </c>
    </row>
    <row r="3989" spans="5:28" x14ac:dyDescent="0.35">
      <c r="E3989">
        <v>3980</v>
      </c>
      <c r="F3989" t="e">
        <f>INDEX(Stammdaten[D Mitte mit Rinde (mm)],MATCH(Tabelle8[[#This Row],[Rank]],Stammdaten[Rank Verteilung D Mitte mit Rinde],0))</f>
        <v>#N/A</v>
      </c>
      <c r="G3989" t="e">
        <f>VLOOKUP(Tabelle8[[#This Row],[Rank]],Stammdaten[[Rank Verteilung D Mitte mit Rinde]:[Verteilung D Mitte mit Rinde]],2,FALSE)</f>
        <v>#N/A</v>
      </c>
      <c r="L3989">
        <v>3980</v>
      </c>
      <c r="M3989" t="e">
        <f>INDEX(Stammdaten[Abholzigkeit (mm/lfm)],MATCH(Tabelle9[[#This Row],[Rank]],Stammdaten[Rank Verteilung Abholzigkeit],0))</f>
        <v>#N/A</v>
      </c>
      <c r="N3989" t="e">
        <f>VLOOKUP(Tabelle9[[#This Row],[Rank]],Stammdaten[[Rank Verteilung Abholzigkeit]:[Verteilung Abholzigkeit]],2,FALSE)</f>
        <v>#N/A</v>
      </c>
      <c r="S3989">
        <v>3980</v>
      </c>
      <c r="T3989" t="e">
        <f>INDEX(Stammdaten[Krümmung (mm/lfm)],MATCH(Tabelle10[[#This Row],[Rank]],Stammdaten[Rank Verteilung Krümmung],0))</f>
        <v>#N/A</v>
      </c>
      <c r="U3989" t="e">
        <f>VLOOKUP(Tabelle10[[#This Row],[Rank]],Stammdaten[[Rank Verteilung Krümmung]:[Verteilung Krümmung]],2,FALSE)</f>
        <v>#N/A</v>
      </c>
      <c r="Z3989">
        <v>3980</v>
      </c>
      <c r="AA3989" t="e">
        <f>INDEX(Stammdaten[Ovalität (']0,1'])],MATCH(Tabelle1014[[#This Row],[Rank]],Stammdaten[Rank Verteilung Ovalität],0))</f>
        <v>#N/A</v>
      </c>
      <c r="AB3989" t="e">
        <f>VLOOKUP(Tabelle1014[[#This Row],[Rank]],Stammdaten[[Rank Verteilung Ovalität]:[Verteilung Ovalität]],2,FALSE)</f>
        <v>#N/A</v>
      </c>
    </row>
    <row r="3990" spans="5:28" x14ac:dyDescent="0.35">
      <c r="E3990">
        <v>3981</v>
      </c>
      <c r="F3990" t="e">
        <f>INDEX(Stammdaten[D Mitte mit Rinde (mm)],MATCH(Tabelle8[[#This Row],[Rank]],Stammdaten[Rank Verteilung D Mitte mit Rinde],0))</f>
        <v>#N/A</v>
      </c>
      <c r="G3990" t="e">
        <f>VLOOKUP(Tabelle8[[#This Row],[Rank]],Stammdaten[[Rank Verteilung D Mitte mit Rinde]:[Verteilung D Mitte mit Rinde]],2,FALSE)</f>
        <v>#N/A</v>
      </c>
      <c r="L3990">
        <v>3981</v>
      </c>
      <c r="M3990" t="e">
        <f>INDEX(Stammdaten[Abholzigkeit (mm/lfm)],MATCH(Tabelle9[[#This Row],[Rank]],Stammdaten[Rank Verteilung Abholzigkeit],0))</f>
        <v>#N/A</v>
      </c>
      <c r="N3990" t="e">
        <f>VLOOKUP(Tabelle9[[#This Row],[Rank]],Stammdaten[[Rank Verteilung Abholzigkeit]:[Verteilung Abholzigkeit]],2,FALSE)</f>
        <v>#N/A</v>
      </c>
      <c r="S3990">
        <v>3981</v>
      </c>
      <c r="T3990" t="e">
        <f>INDEX(Stammdaten[Krümmung (mm/lfm)],MATCH(Tabelle10[[#This Row],[Rank]],Stammdaten[Rank Verteilung Krümmung],0))</f>
        <v>#N/A</v>
      </c>
      <c r="U3990" t="e">
        <f>VLOOKUP(Tabelle10[[#This Row],[Rank]],Stammdaten[[Rank Verteilung Krümmung]:[Verteilung Krümmung]],2,FALSE)</f>
        <v>#N/A</v>
      </c>
      <c r="Z3990">
        <v>3981</v>
      </c>
      <c r="AA3990" t="e">
        <f>INDEX(Stammdaten[Ovalität (']0,1'])],MATCH(Tabelle1014[[#This Row],[Rank]],Stammdaten[Rank Verteilung Ovalität],0))</f>
        <v>#N/A</v>
      </c>
      <c r="AB3990" t="e">
        <f>VLOOKUP(Tabelle1014[[#This Row],[Rank]],Stammdaten[[Rank Verteilung Ovalität]:[Verteilung Ovalität]],2,FALSE)</f>
        <v>#N/A</v>
      </c>
    </row>
    <row r="3991" spans="5:28" x14ac:dyDescent="0.35">
      <c r="E3991">
        <v>3982</v>
      </c>
      <c r="F3991" t="e">
        <f>INDEX(Stammdaten[D Mitte mit Rinde (mm)],MATCH(Tabelle8[[#This Row],[Rank]],Stammdaten[Rank Verteilung D Mitte mit Rinde],0))</f>
        <v>#N/A</v>
      </c>
      <c r="G3991" t="e">
        <f>VLOOKUP(Tabelle8[[#This Row],[Rank]],Stammdaten[[Rank Verteilung D Mitte mit Rinde]:[Verteilung D Mitte mit Rinde]],2,FALSE)</f>
        <v>#N/A</v>
      </c>
      <c r="L3991">
        <v>3982</v>
      </c>
      <c r="M3991" t="e">
        <f>INDEX(Stammdaten[Abholzigkeit (mm/lfm)],MATCH(Tabelle9[[#This Row],[Rank]],Stammdaten[Rank Verteilung Abholzigkeit],0))</f>
        <v>#N/A</v>
      </c>
      <c r="N3991" t="e">
        <f>VLOOKUP(Tabelle9[[#This Row],[Rank]],Stammdaten[[Rank Verteilung Abholzigkeit]:[Verteilung Abholzigkeit]],2,FALSE)</f>
        <v>#N/A</v>
      </c>
      <c r="S3991">
        <v>3982</v>
      </c>
      <c r="T3991" t="e">
        <f>INDEX(Stammdaten[Krümmung (mm/lfm)],MATCH(Tabelle10[[#This Row],[Rank]],Stammdaten[Rank Verteilung Krümmung],0))</f>
        <v>#N/A</v>
      </c>
      <c r="U3991" t="e">
        <f>VLOOKUP(Tabelle10[[#This Row],[Rank]],Stammdaten[[Rank Verteilung Krümmung]:[Verteilung Krümmung]],2,FALSE)</f>
        <v>#N/A</v>
      </c>
      <c r="Z3991">
        <v>3982</v>
      </c>
      <c r="AA3991" t="e">
        <f>INDEX(Stammdaten[Ovalität (']0,1'])],MATCH(Tabelle1014[[#This Row],[Rank]],Stammdaten[Rank Verteilung Ovalität],0))</f>
        <v>#N/A</v>
      </c>
      <c r="AB3991" t="e">
        <f>VLOOKUP(Tabelle1014[[#This Row],[Rank]],Stammdaten[[Rank Verteilung Ovalität]:[Verteilung Ovalität]],2,FALSE)</f>
        <v>#N/A</v>
      </c>
    </row>
    <row r="3992" spans="5:28" x14ac:dyDescent="0.35">
      <c r="E3992">
        <v>3983</v>
      </c>
      <c r="F3992" t="e">
        <f>INDEX(Stammdaten[D Mitte mit Rinde (mm)],MATCH(Tabelle8[[#This Row],[Rank]],Stammdaten[Rank Verteilung D Mitte mit Rinde],0))</f>
        <v>#N/A</v>
      </c>
      <c r="G3992" t="e">
        <f>VLOOKUP(Tabelle8[[#This Row],[Rank]],Stammdaten[[Rank Verteilung D Mitte mit Rinde]:[Verteilung D Mitte mit Rinde]],2,FALSE)</f>
        <v>#N/A</v>
      </c>
      <c r="L3992">
        <v>3983</v>
      </c>
      <c r="M3992" t="e">
        <f>INDEX(Stammdaten[Abholzigkeit (mm/lfm)],MATCH(Tabelle9[[#This Row],[Rank]],Stammdaten[Rank Verteilung Abholzigkeit],0))</f>
        <v>#N/A</v>
      </c>
      <c r="N3992" t="e">
        <f>VLOOKUP(Tabelle9[[#This Row],[Rank]],Stammdaten[[Rank Verteilung Abholzigkeit]:[Verteilung Abholzigkeit]],2,FALSE)</f>
        <v>#N/A</v>
      </c>
      <c r="S3992">
        <v>3983</v>
      </c>
      <c r="T3992" t="e">
        <f>INDEX(Stammdaten[Krümmung (mm/lfm)],MATCH(Tabelle10[[#This Row],[Rank]],Stammdaten[Rank Verteilung Krümmung],0))</f>
        <v>#N/A</v>
      </c>
      <c r="U3992" t="e">
        <f>VLOOKUP(Tabelle10[[#This Row],[Rank]],Stammdaten[[Rank Verteilung Krümmung]:[Verteilung Krümmung]],2,FALSE)</f>
        <v>#N/A</v>
      </c>
      <c r="Z3992">
        <v>3983</v>
      </c>
      <c r="AA3992" t="e">
        <f>INDEX(Stammdaten[Ovalität (']0,1'])],MATCH(Tabelle1014[[#This Row],[Rank]],Stammdaten[Rank Verteilung Ovalität],0))</f>
        <v>#N/A</v>
      </c>
      <c r="AB3992" t="e">
        <f>VLOOKUP(Tabelle1014[[#This Row],[Rank]],Stammdaten[[Rank Verteilung Ovalität]:[Verteilung Ovalität]],2,FALSE)</f>
        <v>#N/A</v>
      </c>
    </row>
    <row r="3993" spans="5:28" x14ac:dyDescent="0.35">
      <c r="E3993">
        <v>3984</v>
      </c>
      <c r="F3993" t="e">
        <f>INDEX(Stammdaten[D Mitte mit Rinde (mm)],MATCH(Tabelle8[[#This Row],[Rank]],Stammdaten[Rank Verteilung D Mitte mit Rinde],0))</f>
        <v>#N/A</v>
      </c>
      <c r="G3993" t="e">
        <f>VLOOKUP(Tabelle8[[#This Row],[Rank]],Stammdaten[[Rank Verteilung D Mitte mit Rinde]:[Verteilung D Mitte mit Rinde]],2,FALSE)</f>
        <v>#N/A</v>
      </c>
      <c r="L3993">
        <v>3984</v>
      </c>
      <c r="M3993" t="e">
        <f>INDEX(Stammdaten[Abholzigkeit (mm/lfm)],MATCH(Tabelle9[[#This Row],[Rank]],Stammdaten[Rank Verteilung Abholzigkeit],0))</f>
        <v>#N/A</v>
      </c>
      <c r="N3993" t="e">
        <f>VLOOKUP(Tabelle9[[#This Row],[Rank]],Stammdaten[[Rank Verteilung Abholzigkeit]:[Verteilung Abholzigkeit]],2,FALSE)</f>
        <v>#N/A</v>
      </c>
      <c r="S3993">
        <v>3984</v>
      </c>
      <c r="T3993" t="e">
        <f>INDEX(Stammdaten[Krümmung (mm/lfm)],MATCH(Tabelle10[[#This Row],[Rank]],Stammdaten[Rank Verteilung Krümmung],0))</f>
        <v>#N/A</v>
      </c>
      <c r="U3993" t="e">
        <f>VLOOKUP(Tabelle10[[#This Row],[Rank]],Stammdaten[[Rank Verteilung Krümmung]:[Verteilung Krümmung]],2,FALSE)</f>
        <v>#N/A</v>
      </c>
      <c r="Z3993">
        <v>3984</v>
      </c>
      <c r="AA3993" t="e">
        <f>INDEX(Stammdaten[Ovalität (']0,1'])],MATCH(Tabelle1014[[#This Row],[Rank]],Stammdaten[Rank Verteilung Ovalität],0))</f>
        <v>#N/A</v>
      </c>
      <c r="AB3993" t="e">
        <f>VLOOKUP(Tabelle1014[[#This Row],[Rank]],Stammdaten[[Rank Verteilung Ovalität]:[Verteilung Ovalität]],2,FALSE)</f>
        <v>#N/A</v>
      </c>
    </row>
    <row r="3994" spans="5:28" x14ac:dyDescent="0.35">
      <c r="E3994">
        <v>3985</v>
      </c>
      <c r="F3994" t="e">
        <f>INDEX(Stammdaten[D Mitte mit Rinde (mm)],MATCH(Tabelle8[[#This Row],[Rank]],Stammdaten[Rank Verteilung D Mitte mit Rinde],0))</f>
        <v>#N/A</v>
      </c>
      <c r="G3994" t="e">
        <f>VLOOKUP(Tabelle8[[#This Row],[Rank]],Stammdaten[[Rank Verteilung D Mitte mit Rinde]:[Verteilung D Mitte mit Rinde]],2,FALSE)</f>
        <v>#N/A</v>
      </c>
      <c r="L3994">
        <v>3985</v>
      </c>
      <c r="M3994" t="e">
        <f>INDEX(Stammdaten[Abholzigkeit (mm/lfm)],MATCH(Tabelle9[[#This Row],[Rank]],Stammdaten[Rank Verteilung Abholzigkeit],0))</f>
        <v>#N/A</v>
      </c>
      <c r="N3994" t="e">
        <f>VLOOKUP(Tabelle9[[#This Row],[Rank]],Stammdaten[[Rank Verteilung Abholzigkeit]:[Verteilung Abholzigkeit]],2,FALSE)</f>
        <v>#N/A</v>
      </c>
      <c r="S3994">
        <v>3985</v>
      </c>
      <c r="T3994" t="e">
        <f>INDEX(Stammdaten[Krümmung (mm/lfm)],MATCH(Tabelle10[[#This Row],[Rank]],Stammdaten[Rank Verteilung Krümmung],0))</f>
        <v>#N/A</v>
      </c>
      <c r="U3994" t="e">
        <f>VLOOKUP(Tabelle10[[#This Row],[Rank]],Stammdaten[[Rank Verteilung Krümmung]:[Verteilung Krümmung]],2,FALSE)</f>
        <v>#N/A</v>
      </c>
      <c r="Z3994">
        <v>3985</v>
      </c>
      <c r="AA3994" t="e">
        <f>INDEX(Stammdaten[Ovalität (']0,1'])],MATCH(Tabelle1014[[#This Row],[Rank]],Stammdaten[Rank Verteilung Ovalität],0))</f>
        <v>#N/A</v>
      </c>
      <c r="AB3994" t="e">
        <f>VLOOKUP(Tabelle1014[[#This Row],[Rank]],Stammdaten[[Rank Verteilung Ovalität]:[Verteilung Ovalität]],2,FALSE)</f>
        <v>#N/A</v>
      </c>
    </row>
    <row r="3995" spans="5:28" x14ac:dyDescent="0.35">
      <c r="E3995">
        <v>3986</v>
      </c>
      <c r="F3995" t="e">
        <f>INDEX(Stammdaten[D Mitte mit Rinde (mm)],MATCH(Tabelle8[[#This Row],[Rank]],Stammdaten[Rank Verteilung D Mitte mit Rinde],0))</f>
        <v>#N/A</v>
      </c>
      <c r="G3995" t="e">
        <f>VLOOKUP(Tabelle8[[#This Row],[Rank]],Stammdaten[[Rank Verteilung D Mitte mit Rinde]:[Verteilung D Mitte mit Rinde]],2,FALSE)</f>
        <v>#N/A</v>
      </c>
      <c r="L3995">
        <v>3986</v>
      </c>
      <c r="M3995" t="e">
        <f>INDEX(Stammdaten[Abholzigkeit (mm/lfm)],MATCH(Tabelle9[[#This Row],[Rank]],Stammdaten[Rank Verteilung Abholzigkeit],0))</f>
        <v>#N/A</v>
      </c>
      <c r="N3995" t="e">
        <f>VLOOKUP(Tabelle9[[#This Row],[Rank]],Stammdaten[[Rank Verteilung Abholzigkeit]:[Verteilung Abholzigkeit]],2,FALSE)</f>
        <v>#N/A</v>
      </c>
      <c r="S3995">
        <v>3986</v>
      </c>
      <c r="T3995" t="e">
        <f>INDEX(Stammdaten[Krümmung (mm/lfm)],MATCH(Tabelle10[[#This Row],[Rank]],Stammdaten[Rank Verteilung Krümmung],0))</f>
        <v>#N/A</v>
      </c>
      <c r="U3995" t="e">
        <f>VLOOKUP(Tabelle10[[#This Row],[Rank]],Stammdaten[[Rank Verteilung Krümmung]:[Verteilung Krümmung]],2,FALSE)</f>
        <v>#N/A</v>
      </c>
      <c r="Z3995">
        <v>3986</v>
      </c>
      <c r="AA3995" t="e">
        <f>INDEX(Stammdaten[Ovalität (']0,1'])],MATCH(Tabelle1014[[#This Row],[Rank]],Stammdaten[Rank Verteilung Ovalität],0))</f>
        <v>#N/A</v>
      </c>
      <c r="AB3995" t="e">
        <f>VLOOKUP(Tabelle1014[[#This Row],[Rank]],Stammdaten[[Rank Verteilung Ovalität]:[Verteilung Ovalität]],2,FALSE)</f>
        <v>#N/A</v>
      </c>
    </row>
    <row r="3996" spans="5:28" x14ac:dyDescent="0.35">
      <c r="E3996">
        <v>3987</v>
      </c>
      <c r="F3996" t="e">
        <f>INDEX(Stammdaten[D Mitte mit Rinde (mm)],MATCH(Tabelle8[[#This Row],[Rank]],Stammdaten[Rank Verteilung D Mitte mit Rinde],0))</f>
        <v>#N/A</v>
      </c>
      <c r="G3996" t="e">
        <f>VLOOKUP(Tabelle8[[#This Row],[Rank]],Stammdaten[[Rank Verteilung D Mitte mit Rinde]:[Verteilung D Mitte mit Rinde]],2,FALSE)</f>
        <v>#N/A</v>
      </c>
      <c r="L3996">
        <v>3987</v>
      </c>
      <c r="M3996" t="e">
        <f>INDEX(Stammdaten[Abholzigkeit (mm/lfm)],MATCH(Tabelle9[[#This Row],[Rank]],Stammdaten[Rank Verteilung Abholzigkeit],0))</f>
        <v>#N/A</v>
      </c>
      <c r="N3996" t="e">
        <f>VLOOKUP(Tabelle9[[#This Row],[Rank]],Stammdaten[[Rank Verteilung Abholzigkeit]:[Verteilung Abholzigkeit]],2,FALSE)</f>
        <v>#N/A</v>
      </c>
      <c r="S3996">
        <v>3987</v>
      </c>
      <c r="T3996" t="e">
        <f>INDEX(Stammdaten[Krümmung (mm/lfm)],MATCH(Tabelle10[[#This Row],[Rank]],Stammdaten[Rank Verteilung Krümmung],0))</f>
        <v>#N/A</v>
      </c>
      <c r="U3996" t="e">
        <f>VLOOKUP(Tabelle10[[#This Row],[Rank]],Stammdaten[[Rank Verteilung Krümmung]:[Verteilung Krümmung]],2,FALSE)</f>
        <v>#N/A</v>
      </c>
      <c r="Z3996">
        <v>3987</v>
      </c>
      <c r="AA3996" t="e">
        <f>INDEX(Stammdaten[Ovalität (']0,1'])],MATCH(Tabelle1014[[#This Row],[Rank]],Stammdaten[Rank Verteilung Ovalität],0))</f>
        <v>#N/A</v>
      </c>
      <c r="AB3996" t="e">
        <f>VLOOKUP(Tabelle1014[[#This Row],[Rank]],Stammdaten[[Rank Verteilung Ovalität]:[Verteilung Ovalität]],2,FALSE)</f>
        <v>#N/A</v>
      </c>
    </row>
    <row r="3997" spans="5:28" x14ac:dyDescent="0.35">
      <c r="E3997">
        <v>3988</v>
      </c>
      <c r="F3997" t="e">
        <f>INDEX(Stammdaten[D Mitte mit Rinde (mm)],MATCH(Tabelle8[[#This Row],[Rank]],Stammdaten[Rank Verteilung D Mitte mit Rinde],0))</f>
        <v>#N/A</v>
      </c>
      <c r="G3997" t="e">
        <f>VLOOKUP(Tabelle8[[#This Row],[Rank]],Stammdaten[[Rank Verteilung D Mitte mit Rinde]:[Verteilung D Mitte mit Rinde]],2,FALSE)</f>
        <v>#N/A</v>
      </c>
      <c r="L3997">
        <v>3988</v>
      </c>
      <c r="M3997" t="e">
        <f>INDEX(Stammdaten[Abholzigkeit (mm/lfm)],MATCH(Tabelle9[[#This Row],[Rank]],Stammdaten[Rank Verteilung Abholzigkeit],0))</f>
        <v>#N/A</v>
      </c>
      <c r="N3997" t="e">
        <f>VLOOKUP(Tabelle9[[#This Row],[Rank]],Stammdaten[[Rank Verteilung Abholzigkeit]:[Verteilung Abholzigkeit]],2,FALSE)</f>
        <v>#N/A</v>
      </c>
      <c r="S3997">
        <v>3988</v>
      </c>
      <c r="T3997" t="e">
        <f>INDEX(Stammdaten[Krümmung (mm/lfm)],MATCH(Tabelle10[[#This Row],[Rank]],Stammdaten[Rank Verteilung Krümmung],0))</f>
        <v>#N/A</v>
      </c>
      <c r="U3997" t="e">
        <f>VLOOKUP(Tabelle10[[#This Row],[Rank]],Stammdaten[[Rank Verteilung Krümmung]:[Verteilung Krümmung]],2,FALSE)</f>
        <v>#N/A</v>
      </c>
      <c r="Z3997">
        <v>3988</v>
      </c>
      <c r="AA3997" t="e">
        <f>INDEX(Stammdaten[Ovalität (']0,1'])],MATCH(Tabelle1014[[#This Row],[Rank]],Stammdaten[Rank Verteilung Ovalität],0))</f>
        <v>#N/A</v>
      </c>
      <c r="AB3997" t="e">
        <f>VLOOKUP(Tabelle1014[[#This Row],[Rank]],Stammdaten[[Rank Verteilung Ovalität]:[Verteilung Ovalität]],2,FALSE)</f>
        <v>#N/A</v>
      </c>
    </row>
    <row r="3998" spans="5:28" x14ac:dyDescent="0.35">
      <c r="E3998">
        <v>3989</v>
      </c>
      <c r="F3998" t="e">
        <f>INDEX(Stammdaten[D Mitte mit Rinde (mm)],MATCH(Tabelle8[[#This Row],[Rank]],Stammdaten[Rank Verteilung D Mitte mit Rinde],0))</f>
        <v>#N/A</v>
      </c>
      <c r="G3998" t="e">
        <f>VLOOKUP(Tabelle8[[#This Row],[Rank]],Stammdaten[[Rank Verteilung D Mitte mit Rinde]:[Verteilung D Mitte mit Rinde]],2,FALSE)</f>
        <v>#N/A</v>
      </c>
      <c r="L3998">
        <v>3989</v>
      </c>
      <c r="M3998" t="e">
        <f>INDEX(Stammdaten[Abholzigkeit (mm/lfm)],MATCH(Tabelle9[[#This Row],[Rank]],Stammdaten[Rank Verteilung Abholzigkeit],0))</f>
        <v>#N/A</v>
      </c>
      <c r="N3998" t="e">
        <f>VLOOKUP(Tabelle9[[#This Row],[Rank]],Stammdaten[[Rank Verteilung Abholzigkeit]:[Verteilung Abholzigkeit]],2,FALSE)</f>
        <v>#N/A</v>
      </c>
      <c r="S3998">
        <v>3989</v>
      </c>
      <c r="T3998" t="e">
        <f>INDEX(Stammdaten[Krümmung (mm/lfm)],MATCH(Tabelle10[[#This Row],[Rank]],Stammdaten[Rank Verteilung Krümmung],0))</f>
        <v>#N/A</v>
      </c>
      <c r="U3998" t="e">
        <f>VLOOKUP(Tabelle10[[#This Row],[Rank]],Stammdaten[[Rank Verteilung Krümmung]:[Verteilung Krümmung]],2,FALSE)</f>
        <v>#N/A</v>
      </c>
      <c r="Z3998">
        <v>3989</v>
      </c>
      <c r="AA3998" t="e">
        <f>INDEX(Stammdaten[Ovalität (']0,1'])],MATCH(Tabelle1014[[#This Row],[Rank]],Stammdaten[Rank Verteilung Ovalität],0))</f>
        <v>#N/A</v>
      </c>
      <c r="AB3998" t="e">
        <f>VLOOKUP(Tabelle1014[[#This Row],[Rank]],Stammdaten[[Rank Verteilung Ovalität]:[Verteilung Ovalität]],2,FALSE)</f>
        <v>#N/A</v>
      </c>
    </row>
    <row r="3999" spans="5:28" x14ac:dyDescent="0.35">
      <c r="E3999">
        <v>3990</v>
      </c>
      <c r="F3999" t="e">
        <f>INDEX(Stammdaten[D Mitte mit Rinde (mm)],MATCH(Tabelle8[[#This Row],[Rank]],Stammdaten[Rank Verteilung D Mitte mit Rinde],0))</f>
        <v>#N/A</v>
      </c>
      <c r="G3999" t="e">
        <f>VLOOKUP(Tabelle8[[#This Row],[Rank]],Stammdaten[[Rank Verteilung D Mitte mit Rinde]:[Verteilung D Mitte mit Rinde]],2,FALSE)</f>
        <v>#N/A</v>
      </c>
      <c r="L3999">
        <v>3990</v>
      </c>
      <c r="M3999" t="e">
        <f>INDEX(Stammdaten[Abholzigkeit (mm/lfm)],MATCH(Tabelle9[[#This Row],[Rank]],Stammdaten[Rank Verteilung Abholzigkeit],0))</f>
        <v>#N/A</v>
      </c>
      <c r="N3999" t="e">
        <f>VLOOKUP(Tabelle9[[#This Row],[Rank]],Stammdaten[[Rank Verteilung Abholzigkeit]:[Verteilung Abholzigkeit]],2,FALSE)</f>
        <v>#N/A</v>
      </c>
      <c r="S3999">
        <v>3990</v>
      </c>
      <c r="T3999" t="e">
        <f>INDEX(Stammdaten[Krümmung (mm/lfm)],MATCH(Tabelle10[[#This Row],[Rank]],Stammdaten[Rank Verteilung Krümmung],0))</f>
        <v>#N/A</v>
      </c>
      <c r="U3999" t="e">
        <f>VLOOKUP(Tabelle10[[#This Row],[Rank]],Stammdaten[[Rank Verteilung Krümmung]:[Verteilung Krümmung]],2,FALSE)</f>
        <v>#N/A</v>
      </c>
      <c r="Z3999">
        <v>3990</v>
      </c>
      <c r="AA3999" t="e">
        <f>INDEX(Stammdaten[Ovalität (']0,1'])],MATCH(Tabelle1014[[#This Row],[Rank]],Stammdaten[Rank Verteilung Ovalität],0))</f>
        <v>#N/A</v>
      </c>
      <c r="AB3999" t="e">
        <f>VLOOKUP(Tabelle1014[[#This Row],[Rank]],Stammdaten[[Rank Verteilung Ovalität]:[Verteilung Ovalität]],2,FALSE)</f>
        <v>#N/A</v>
      </c>
    </row>
    <row r="4000" spans="5:28" x14ac:dyDescent="0.35">
      <c r="E4000">
        <v>3991</v>
      </c>
      <c r="F4000" t="e">
        <f>INDEX(Stammdaten[D Mitte mit Rinde (mm)],MATCH(Tabelle8[[#This Row],[Rank]],Stammdaten[Rank Verteilung D Mitte mit Rinde],0))</f>
        <v>#N/A</v>
      </c>
      <c r="G4000" t="e">
        <f>VLOOKUP(Tabelle8[[#This Row],[Rank]],Stammdaten[[Rank Verteilung D Mitte mit Rinde]:[Verteilung D Mitte mit Rinde]],2,FALSE)</f>
        <v>#N/A</v>
      </c>
      <c r="L4000">
        <v>3991</v>
      </c>
      <c r="M4000" t="e">
        <f>INDEX(Stammdaten[Abholzigkeit (mm/lfm)],MATCH(Tabelle9[[#This Row],[Rank]],Stammdaten[Rank Verteilung Abholzigkeit],0))</f>
        <v>#N/A</v>
      </c>
      <c r="N4000" t="e">
        <f>VLOOKUP(Tabelle9[[#This Row],[Rank]],Stammdaten[[Rank Verteilung Abholzigkeit]:[Verteilung Abholzigkeit]],2,FALSE)</f>
        <v>#N/A</v>
      </c>
      <c r="S4000">
        <v>3991</v>
      </c>
      <c r="T4000" t="e">
        <f>INDEX(Stammdaten[Krümmung (mm/lfm)],MATCH(Tabelle10[[#This Row],[Rank]],Stammdaten[Rank Verteilung Krümmung],0))</f>
        <v>#N/A</v>
      </c>
      <c r="U4000" t="e">
        <f>VLOOKUP(Tabelle10[[#This Row],[Rank]],Stammdaten[[Rank Verteilung Krümmung]:[Verteilung Krümmung]],2,FALSE)</f>
        <v>#N/A</v>
      </c>
      <c r="Z4000">
        <v>3991</v>
      </c>
      <c r="AA4000" t="e">
        <f>INDEX(Stammdaten[Ovalität (']0,1'])],MATCH(Tabelle1014[[#This Row],[Rank]],Stammdaten[Rank Verteilung Ovalität],0))</f>
        <v>#N/A</v>
      </c>
      <c r="AB4000" t="e">
        <f>VLOOKUP(Tabelle1014[[#This Row],[Rank]],Stammdaten[[Rank Verteilung Ovalität]:[Verteilung Ovalität]],2,FALSE)</f>
        <v>#N/A</v>
      </c>
    </row>
    <row r="4001" spans="5:28" x14ac:dyDescent="0.35">
      <c r="E4001">
        <v>3992</v>
      </c>
      <c r="F4001" t="e">
        <f>INDEX(Stammdaten[D Mitte mit Rinde (mm)],MATCH(Tabelle8[[#This Row],[Rank]],Stammdaten[Rank Verteilung D Mitte mit Rinde],0))</f>
        <v>#N/A</v>
      </c>
      <c r="G4001" t="e">
        <f>VLOOKUP(Tabelle8[[#This Row],[Rank]],Stammdaten[[Rank Verteilung D Mitte mit Rinde]:[Verteilung D Mitte mit Rinde]],2,FALSE)</f>
        <v>#N/A</v>
      </c>
      <c r="L4001">
        <v>3992</v>
      </c>
      <c r="M4001" t="e">
        <f>INDEX(Stammdaten[Abholzigkeit (mm/lfm)],MATCH(Tabelle9[[#This Row],[Rank]],Stammdaten[Rank Verteilung Abholzigkeit],0))</f>
        <v>#N/A</v>
      </c>
      <c r="N4001" t="e">
        <f>VLOOKUP(Tabelle9[[#This Row],[Rank]],Stammdaten[[Rank Verteilung Abholzigkeit]:[Verteilung Abholzigkeit]],2,FALSE)</f>
        <v>#N/A</v>
      </c>
      <c r="S4001">
        <v>3992</v>
      </c>
      <c r="T4001" t="e">
        <f>INDEX(Stammdaten[Krümmung (mm/lfm)],MATCH(Tabelle10[[#This Row],[Rank]],Stammdaten[Rank Verteilung Krümmung],0))</f>
        <v>#N/A</v>
      </c>
      <c r="U4001" t="e">
        <f>VLOOKUP(Tabelle10[[#This Row],[Rank]],Stammdaten[[Rank Verteilung Krümmung]:[Verteilung Krümmung]],2,FALSE)</f>
        <v>#N/A</v>
      </c>
      <c r="Z4001">
        <v>3992</v>
      </c>
      <c r="AA4001" t="e">
        <f>INDEX(Stammdaten[Ovalität (']0,1'])],MATCH(Tabelle1014[[#This Row],[Rank]],Stammdaten[Rank Verteilung Ovalität],0))</f>
        <v>#N/A</v>
      </c>
      <c r="AB4001" t="e">
        <f>VLOOKUP(Tabelle1014[[#This Row],[Rank]],Stammdaten[[Rank Verteilung Ovalität]:[Verteilung Ovalität]],2,FALSE)</f>
        <v>#N/A</v>
      </c>
    </row>
    <row r="4002" spans="5:28" x14ac:dyDescent="0.35">
      <c r="E4002">
        <v>3993</v>
      </c>
      <c r="F4002" t="e">
        <f>INDEX(Stammdaten[D Mitte mit Rinde (mm)],MATCH(Tabelle8[[#This Row],[Rank]],Stammdaten[Rank Verteilung D Mitte mit Rinde],0))</f>
        <v>#N/A</v>
      </c>
      <c r="G4002" t="e">
        <f>VLOOKUP(Tabelle8[[#This Row],[Rank]],Stammdaten[[Rank Verteilung D Mitte mit Rinde]:[Verteilung D Mitte mit Rinde]],2,FALSE)</f>
        <v>#N/A</v>
      </c>
      <c r="L4002">
        <v>3993</v>
      </c>
      <c r="M4002" t="e">
        <f>INDEX(Stammdaten[Abholzigkeit (mm/lfm)],MATCH(Tabelle9[[#This Row],[Rank]],Stammdaten[Rank Verteilung Abholzigkeit],0))</f>
        <v>#N/A</v>
      </c>
      <c r="N4002" t="e">
        <f>VLOOKUP(Tabelle9[[#This Row],[Rank]],Stammdaten[[Rank Verteilung Abholzigkeit]:[Verteilung Abholzigkeit]],2,FALSE)</f>
        <v>#N/A</v>
      </c>
      <c r="S4002">
        <v>3993</v>
      </c>
      <c r="T4002" t="e">
        <f>INDEX(Stammdaten[Krümmung (mm/lfm)],MATCH(Tabelle10[[#This Row],[Rank]],Stammdaten[Rank Verteilung Krümmung],0))</f>
        <v>#N/A</v>
      </c>
      <c r="U4002" t="e">
        <f>VLOOKUP(Tabelle10[[#This Row],[Rank]],Stammdaten[[Rank Verteilung Krümmung]:[Verteilung Krümmung]],2,FALSE)</f>
        <v>#N/A</v>
      </c>
      <c r="Z4002">
        <v>3993</v>
      </c>
      <c r="AA4002" t="e">
        <f>INDEX(Stammdaten[Ovalität (']0,1'])],MATCH(Tabelle1014[[#This Row],[Rank]],Stammdaten[Rank Verteilung Ovalität],0))</f>
        <v>#N/A</v>
      </c>
      <c r="AB4002" t="e">
        <f>VLOOKUP(Tabelle1014[[#This Row],[Rank]],Stammdaten[[Rank Verteilung Ovalität]:[Verteilung Ovalität]],2,FALSE)</f>
        <v>#N/A</v>
      </c>
    </row>
    <row r="4003" spans="5:28" x14ac:dyDescent="0.35">
      <c r="E4003">
        <v>3994</v>
      </c>
      <c r="F4003" t="e">
        <f>INDEX(Stammdaten[D Mitte mit Rinde (mm)],MATCH(Tabelle8[[#This Row],[Rank]],Stammdaten[Rank Verteilung D Mitte mit Rinde],0))</f>
        <v>#N/A</v>
      </c>
      <c r="G4003" t="e">
        <f>VLOOKUP(Tabelle8[[#This Row],[Rank]],Stammdaten[[Rank Verteilung D Mitte mit Rinde]:[Verteilung D Mitte mit Rinde]],2,FALSE)</f>
        <v>#N/A</v>
      </c>
      <c r="L4003">
        <v>3994</v>
      </c>
      <c r="M4003" t="e">
        <f>INDEX(Stammdaten[Abholzigkeit (mm/lfm)],MATCH(Tabelle9[[#This Row],[Rank]],Stammdaten[Rank Verteilung Abholzigkeit],0))</f>
        <v>#N/A</v>
      </c>
      <c r="N4003" t="e">
        <f>VLOOKUP(Tabelle9[[#This Row],[Rank]],Stammdaten[[Rank Verteilung Abholzigkeit]:[Verteilung Abholzigkeit]],2,FALSE)</f>
        <v>#N/A</v>
      </c>
      <c r="S4003">
        <v>3994</v>
      </c>
      <c r="T4003" t="e">
        <f>INDEX(Stammdaten[Krümmung (mm/lfm)],MATCH(Tabelle10[[#This Row],[Rank]],Stammdaten[Rank Verteilung Krümmung],0))</f>
        <v>#N/A</v>
      </c>
      <c r="U4003" t="e">
        <f>VLOOKUP(Tabelle10[[#This Row],[Rank]],Stammdaten[[Rank Verteilung Krümmung]:[Verteilung Krümmung]],2,FALSE)</f>
        <v>#N/A</v>
      </c>
      <c r="Z4003">
        <v>3994</v>
      </c>
      <c r="AA4003" t="e">
        <f>INDEX(Stammdaten[Ovalität (']0,1'])],MATCH(Tabelle1014[[#This Row],[Rank]],Stammdaten[Rank Verteilung Ovalität],0))</f>
        <v>#N/A</v>
      </c>
      <c r="AB4003" t="e">
        <f>VLOOKUP(Tabelle1014[[#This Row],[Rank]],Stammdaten[[Rank Verteilung Ovalität]:[Verteilung Ovalität]],2,FALSE)</f>
        <v>#N/A</v>
      </c>
    </row>
    <row r="4004" spans="5:28" x14ac:dyDescent="0.35">
      <c r="E4004">
        <v>3995</v>
      </c>
      <c r="F4004" t="e">
        <f>INDEX(Stammdaten[D Mitte mit Rinde (mm)],MATCH(Tabelle8[[#This Row],[Rank]],Stammdaten[Rank Verteilung D Mitte mit Rinde],0))</f>
        <v>#N/A</v>
      </c>
      <c r="G4004" t="e">
        <f>VLOOKUP(Tabelle8[[#This Row],[Rank]],Stammdaten[[Rank Verteilung D Mitte mit Rinde]:[Verteilung D Mitte mit Rinde]],2,FALSE)</f>
        <v>#N/A</v>
      </c>
      <c r="L4004">
        <v>3995</v>
      </c>
      <c r="M4004" t="e">
        <f>INDEX(Stammdaten[Abholzigkeit (mm/lfm)],MATCH(Tabelle9[[#This Row],[Rank]],Stammdaten[Rank Verteilung Abholzigkeit],0))</f>
        <v>#N/A</v>
      </c>
      <c r="N4004" t="e">
        <f>VLOOKUP(Tabelle9[[#This Row],[Rank]],Stammdaten[[Rank Verteilung Abholzigkeit]:[Verteilung Abholzigkeit]],2,FALSE)</f>
        <v>#N/A</v>
      </c>
      <c r="S4004">
        <v>3995</v>
      </c>
      <c r="T4004" t="e">
        <f>INDEX(Stammdaten[Krümmung (mm/lfm)],MATCH(Tabelle10[[#This Row],[Rank]],Stammdaten[Rank Verteilung Krümmung],0))</f>
        <v>#N/A</v>
      </c>
      <c r="U4004" t="e">
        <f>VLOOKUP(Tabelle10[[#This Row],[Rank]],Stammdaten[[Rank Verteilung Krümmung]:[Verteilung Krümmung]],2,FALSE)</f>
        <v>#N/A</v>
      </c>
      <c r="Z4004">
        <v>3995</v>
      </c>
      <c r="AA4004" t="e">
        <f>INDEX(Stammdaten[Ovalität (']0,1'])],MATCH(Tabelle1014[[#This Row],[Rank]],Stammdaten[Rank Verteilung Ovalität],0))</f>
        <v>#N/A</v>
      </c>
      <c r="AB4004" t="e">
        <f>VLOOKUP(Tabelle1014[[#This Row],[Rank]],Stammdaten[[Rank Verteilung Ovalität]:[Verteilung Ovalität]],2,FALSE)</f>
        <v>#N/A</v>
      </c>
    </row>
    <row r="4005" spans="5:28" x14ac:dyDescent="0.35">
      <c r="E4005">
        <v>3996</v>
      </c>
      <c r="F4005" t="e">
        <f>INDEX(Stammdaten[D Mitte mit Rinde (mm)],MATCH(Tabelle8[[#This Row],[Rank]],Stammdaten[Rank Verteilung D Mitte mit Rinde],0))</f>
        <v>#N/A</v>
      </c>
      <c r="G4005" t="e">
        <f>VLOOKUP(Tabelle8[[#This Row],[Rank]],Stammdaten[[Rank Verteilung D Mitte mit Rinde]:[Verteilung D Mitte mit Rinde]],2,FALSE)</f>
        <v>#N/A</v>
      </c>
      <c r="L4005">
        <v>3996</v>
      </c>
      <c r="M4005" t="e">
        <f>INDEX(Stammdaten[Abholzigkeit (mm/lfm)],MATCH(Tabelle9[[#This Row],[Rank]],Stammdaten[Rank Verteilung Abholzigkeit],0))</f>
        <v>#N/A</v>
      </c>
      <c r="N4005" t="e">
        <f>VLOOKUP(Tabelle9[[#This Row],[Rank]],Stammdaten[[Rank Verteilung Abholzigkeit]:[Verteilung Abholzigkeit]],2,FALSE)</f>
        <v>#N/A</v>
      </c>
      <c r="S4005">
        <v>3996</v>
      </c>
      <c r="T4005" t="e">
        <f>INDEX(Stammdaten[Krümmung (mm/lfm)],MATCH(Tabelle10[[#This Row],[Rank]],Stammdaten[Rank Verteilung Krümmung],0))</f>
        <v>#N/A</v>
      </c>
      <c r="U4005" t="e">
        <f>VLOOKUP(Tabelle10[[#This Row],[Rank]],Stammdaten[[Rank Verteilung Krümmung]:[Verteilung Krümmung]],2,FALSE)</f>
        <v>#N/A</v>
      </c>
      <c r="Z4005">
        <v>3996</v>
      </c>
      <c r="AA4005" t="e">
        <f>INDEX(Stammdaten[Ovalität (']0,1'])],MATCH(Tabelle1014[[#This Row],[Rank]],Stammdaten[Rank Verteilung Ovalität],0))</f>
        <v>#N/A</v>
      </c>
      <c r="AB4005" t="e">
        <f>VLOOKUP(Tabelle1014[[#This Row],[Rank]],Stammdaten[[Rank Verteilung Ovalität]:[Verteilung Ovalität]],2,FALSE)</f>
        <v>#N/A</v>
      </c>
    </row>
    <row r="4006" spans="5:28" x14ac:dyDescent="0.35">
      <c r="E4006">
        <v>3997</v>
      </c>
      <c r="F4006" t="e">
        <f>INDEX(Stammdaten[D Mitte mit Rinde (mm)],MATCH(Tabelle8[[#This Row],[Rank]],Stammdaten[Rank Verteilung D Mitte mit Rinde],0))</f>
        <v>#N/A</v>
      </c>
      <c r="G4006" t="e">
        <f>VLOOKUP(Tabelle8[[#This Row],[Rank]],Stammdaten[[Rank Verteilung D Mitte mit Rinde]:[Verteilung D Mitte mit Rinde]],2,FALSE)</f>
        <v>#N/A</v>
      </c>
      <c r="L4006">
        <v>3997</v>
      </c>
      <c r="M4006" t="e">
        <f>INDEX(Stammdaten[Abholzigkeit (mm/lfm)],MATCH(Tabelle9[[#This Row],[Rank]],Stammdaten[Rank Verteilung Abholzigkeit],0))</f>
        <v>#N/A</v>
      </c>
      <c r="N4006" t="e">
        <f>VLOOKUP(Tabelle9[[#This Row],[Rank]],Stammdaten[[Rank Verteilung Abholzigkeit]:[Verteilung Abholzigkeit]],2,FALSE)</f>
        <v>#N/A</v>
      </c>
      <c r="S4006">
        <v>3997</v>
      </c>
      <c r="T4006" t="e">
        <f>INDEX(Stammdaten[Krümmung (mm/lfm)],MATCH(Tabelle10[[#This Row],[Rank]],Stammdaten[Rank Verteilung Krümmung],0))</f>
        <v>#N/A</v>
      </c>
      <c r="U4006" t="e">
        <f>VLOOKUP(Tabelle10[[#This Row],[Rank]],Stammdaten[[Rank Verteilung Krümmung]:[Verteilung Krümmung]],2,FALSE)</f>
        <v>#N/A</v>
      </c>
      <c r="Z4006">
        <v>3997</v>
      </c>
      <c r="AA4006" t="e">
        <f>INDEX(Stammdaten[Ovalität (']0,1'])],MATCH(Tabelle1014[[#This Row],[Rank]],Stammdaten[Rank Verteilung Ovalität],0))</f>
        <v>#N/A</v>
      </c>
      <c r="AB4006" t="e">
        <f>VLOOKUP(Tabelle1014[[#This Row],[Rank]],Stammdaten[[Rank Verteilung Ovalität]:[Verteilung Ovalität]],2,FALSE)</f>
        <v>#N/A</v>
      </c>
    </row>
    <row r="4007" spans="5:28" x14ac:dyDescent="0.35">
      <c r="E4007">
        <v>3998</v>
      </c>
      <c r="F4007" t="e">
        <f>INDEX(Stammdaten[D Mitte mit Rinde (mm)],MATCH(Tabelle8[[#This Row],[Rank]],Stammdaten[Rank Verteilung D Mitte mit Rinde],0))</f>
        <v>#N/A</v>
      </c>
      <c r="G4007" t="e">
        <f>VLOOKUP(Tabelle8[[#This Row],[Rank]],Stammdaten[[Rank Verteilung D Mitte mit Rinde]:[Verteilung D Mitte mit Rinde]],2,FALSE)</f>
        <v>#N/A</v>
      </c>
      <c r="L4007">
        <v>3998</v>
      </c>
      <c r="M4007" t="e">
        <f>INDEX(Stammdaten[Abholzigkeit (mm/lfm)],MATCH(Tabelle9[[#This Row],[Rank]],Stammdaten[Rank Verteilung Abholzigkeit],0))</f>
        <v>#N/A</v>
      </c>
      <c r="N4007" t="e">
        <f>VLOOKUP(Tabelle9[[#This Row],[Rank]],Stammdaten[[Rank Verteilung Abholzigkeit]:[Verteilung Abholzigkeit]],2,FALSE)</f>
        <v>#N/A</v>
      </c>
      <c r="S4007">
        <v>3998</v>
      </c>
      <c r="T4007" t="e">
        <f>INDEX(Stammdaten[Krümmung (mm/lfm)],MATCH(Tabelle10[[#This Row],[Rank]],Stammdaten[Rank Verteilung Krümmung],0))</f>
        <v>#N/A</v>
      </c>
      <c r="U4007" t="e">
        <f>VLOOKUP(Tabelle10[[#This Row],[Rank]],Stammdaten[[Rank Verteilung Krümmung]:[Verteilung Krümmung]],2,FALSE)</f>
        <v>#N/A</v>
      </c>
      <c r="Z4007">
        <v>3998</v>
      </c>
      <c r="AA4007" t="e">
        <f>INDEX(Stammdaten[Ovalität (']0,1'])],MATCH(Tabelle1014[[#This Row],[Rank]],Stammdaten[Rank Verteilung Ovalität],0))</f>
        <v>#N/A</v>
      </c>
      <c r="AB4007" t="e">
        <f>VLOOKUP(Tabelle1014[[#This Row],[Rank]],Stammdaten[[Rank Verteilung Ovalität]:[Verteilung Ovalität]],2,FALSE)</f>
        <v>#N/A</v>
      </c>
    </row>
    <row r="4008" spans="5:28" x14ac:dyDescent="0.35">
      <c r="E4008">
        <v>3999</v>
      </c>
      <c r="F4008" t="e">
        <f>INDEX(Stammdaten[D Mitte mit Rinde (mm)],MATCH(Tabelle8[[#This Row],[Rank]],Stammdaten[Rank Verteilung D Mitte mit Rinde],0))</f>
        <v>#N/A</v>
      </c>
      <c r="G4008" t="e">
        <f>VLOOKUP(Tabelle8[[#This Row],[Rank]],Stammdaten[[Rank Verteilung D Mitte mit Rinde]:[Verteilung D Mitte mit Rinde]],2,FALSE)</f>
        <v>#N/A</v>
      </c>
      <c r="L4008">
        <v>3999</v>
      </c>
      <c r="M4008" t="e">
        <f>INDEX(Stammdaten[Abholzigkeit (mm/lfm)],MATCH(Tabelle9[[#This Row],[Rank]],Stammdaten[Rank Verteilung Abholzigkeit],0))</f>
        <v>#N/A</v>
      </c>
      <c r="N4008" t="e">
        <f>VLOOKUP(Tabelle9[[#This Row],[Rank]],Stammdaten[[Rank Verteilung Abholzigkeit]:[Verteilung Abholzigkeit]],2,FALSE)</f>
        <v>#N/A</v>
      </c>
      <c r="S4008">
        <v>3999</v>
      </c>
      <c r="T4008" t="e">
        <f>INDEX(Stammdaten[Krümmung (mm/lfm)],MATCH(Tabelle10[[#This Row],[Rank]],Stammdaten[Rank Verteilung Krümmung],0))</f>
        <v>#N/A</v>
      </c>
      <c r="U4008" t="e">
        <f>VLOOKUP(Tabelle10[[#This Row],[Rank]],Stammdaten[[Rank Verteilung Krümmung]:[Verteilung Krümmung]],2,FALSE)</f>
        <v>#N/A</v>
      </c>
      <c r="Z4008">
        <v>3999</v>
      </c>
      <c r="AA4008" t="e">
        <f>INDEX(Stammdaten[Ovalität (']0,1'])],MATCH(Tabelle1014[[#This Row],[Rank]],Stammdaten[Rank Verteilung Ovalität],0))</f>
        <v>#N/A</v>
      </c>
      <c r="AB4008" t="e">
        <f>VLOOKUP(Tabelle1014[[#This Row],[Rank]],Stammdaten[[Rank Verteilung Ovalität]:[Verteilung Ovalität]],2,FALSE)</f>
        <v>#N/A</v>
      </c>
    </row>
    <row r="4009" spans="5:28" x14ac:dyDescent="0.35">
      <c r="E4009">
        <v>4000</v>
      </c>
      <c r="F4009" t="e">
        <f>INDEX(Stammdaten[D Mitte mit Rinde (mm)],MATCH(Tabelle8[[#This Row],[Rank]],Stammdaten[Rank Verteilung D Mitte mit Rinde],0))</f>
        <v>#N/A</v>
      </c>
      <c r="G4009" t="e">
        <f>VLOOKUP(Tabelle8[[#This Row],[Rank]],Stammdaten[[Rank Verteilung D Mitte mit Rinde]:[Verteilung D Mitte mit Rinde]],2,FALSE)</f>
        <v>#N/A</v>
      </c>
      <c r="L4009">
        <v>4000</v>
      </c>
      <c r="M4009" t="e">
        <f>INDEX(Stammdaten[Abholzigkeit (mm/lfm)],MATCH(Tabelle9[[#This Row],[Rank]],Stammdaten[Rank Verteilung Abholzigkeit],0))</f>
        <v>#N/A</v>
      </c>
      <c r="N4009" t="e">
        <f>VLOOKUP(Tabelle9[[#This Row],[Rank]],Stammdaten[[Rank Verteilung Abholzigkeit]:[Verteilung Abholzigkeit]],2,FALSE)</f>
        <v>#N/A</v>
      </c>
      <c r="S4009">
        <v>4000</v>
      </c>
      <c r="T4009" t="e">
        <f>INDEX(Stammdaten[Krümmung (mm/lfm)],MATCH(Tabelle10[[#This Row],[Rank]],Stammdaten[Rank Verteilung Krümmung],0))</f>
        <v>#N/A</v>
      </c>
      <c r="U4009" t="e">
        <f>VLOOKUP(Tabelle10[[#This Row],[Rank]],Stammdaten[[Rank Verteilung Krümmung]:[Verteilung Krümmung]],2,FALSE)</f>
        <v>#N/A</v>
      </c>
      <c r="Z4009">
        <v>4000</v>
      </c>
      <c r="AA4009" t="e">
        <f>INDEX(Stammdaten[Ovalität (']0,1'])],MATCH(Tabelle1014[[#This Row],[Rank]],Stammdaten[Rank Verteilung Ovalität],0))</f>
        <v>#N/A</v>
      </c>
      <c r="AB4009" t="e">
        <f>VLOOKUP(Tabelle1014[[#This Row],[Rank]],Stammdaten[[Rank Verteilung Ovalität]:[Verteilung Ovalität]],2,FALSE)</f>
        <v>#N/A</v>
      </c>
    </row>
    <row r="4010" spans="5:28" x14ac:dyDescent="0.35">
      <c r="E4010">
        <v>4001</v>
      </c>
      <c r="F4010" t="e">
        <f>INDEX(Stammdaten[D Mitte mit Rinde (mm)],MATCH(Tabelle8[[#This Row],[Rank]],Stammdaten[Rank Verteilung D Mitte mit Rinde],0))</f>
        <v>#N/A</v>
      </c>
      <c r="G4010" t="e">
        <f>VLOOKUP(Tabelle8[[#This Row],[Rank]],Stammdaten[[Rank Verteilung D Mitte mit Rinde]:[Verteilung D Mitte mit Rinde]],2,FALSE)</f>
        <v>#N/A</v>
      </c>
      <c r="L4010">
        <v>4001</v>
      </c>
      <c r="M4010" t="e">
        <f>INDEX(Stammdaten[Abholzigkeit (mm/lfm)],MATCH(Tabelle9[[#This Row],[Rank]],Stammdaten[Rank Verteilung Abholzigkeit],0))</f>
        <v>#N/A</v>
      </c>
      <c r="N4010" t="e">
        <f>VLOOKUP(Tabelle9[[#This Row],[Rank]],Stammdaten[[Rank Verteilung Abholzigkeit]:[Verteilung Abholzigkeit]],2,FALSE)</f>
        <v>#N/A</v>
      </c>
      <c r="S4010">
        <v>4001</v>
      </c>
      <c r="T4010" t="e">
        <f>INDEX(Stammdaten[Krümmung (mm/lfm)],MATCH(Tabelle10[[#This Row],[Rank]],Stammdaten[Rank Verteilung Krümmung],0))</f>
        <v>#N/A</v>
      </c>
      <c r="U4010" t="e">
        <f>VLOOKUP(Tabelle10[[#This Row],[Rank]],Stammdaten[[Rank Verteilung Krümmung]:[Verteilung Krümmung]],2,FALSE)</f>
        <v>#N/A</v>
      </c>
      <c r="Z4010">
        <v>4001</v>
      </c>
      <c r="AA4010" t="e">
        <f>INDEX(Stammdaten[Ovalität (']0,1'])],MATCH(Tabelle1014[[#This Row],[Rank]],Stammdaten[Rank Verteilung Ovalität],0))</f>
        <v>#N/A</v>
      </c>
      <c r="AB4010" t="e">
        <f>VLOOKUP(Tabelle1014[[#This Row],[Rank]],Stammdaten[[Rank Verteilung Ovalität]:[Verteilung Ovalität]],2,FALSE)</f>
        <v>#N/A</v>
      </c>
    </row>
    <row r="4011" spans="5:28" x14ac:dyDescent="0.35">
      <c r="E4011">
        <v>4002</v>
      </c>
      <c r="F4011" t="e">
        <f>INDEX(Stammdaten[D Mitte mit Rinde (mm)],MATCH(Tabelle8[[#This Row],[Rank]],Stammdaten[Rank Verteilung D Mitte mit Rinde],0))</f>
        <v>#N/A</v>
      </c>
      <c r="G4011" t="e">
        <f>VLOOKUP(Tabelle8[[#This Row],[Rank]],Stammdaten[[Rank Verteilung D Mitte mit Rinde]:[Verteilung D Mitte mit Rinde]],2,FALSE)</f>
        <v>#N/A</v>
      </c>
      <c r="L4011">
        <v>4002</v>
      </c>
      <c r="M4011" t="e">
        <f>INDEX(Stammdaten[Abholzigkeit (mm/lfm)],MATCH(Tabelle9[[#This Row],[Rank]],Stammdaten[Rank Verteilung Abholzigkeit],0))</f>
        <v>#N/A</v>
      </c>
      <c r="N4011" t="e">
        <f>VLOOKUP(Tabelle9[[#This Row],[Rank]],Stammdaten[[Rank Verteilung Abholzigkeit]:[Verteilung Abholzigkeit]],2,FALSE)</f>
        <v>#N/A</v>
      </c>
      <c r="S4011">
        <v>4002</v>
      </c>
      <c r="T4011" t="e">
        <f>INDEX(Stammdaten[Krümmung (mm/lfm)],MATCH(Tabelle10[[#This Row],[Rank]],Stammdaten[Rank Verteilung Krümmung],0))</f>
        <v>#N/A</v>
      </c>
      <c r="U4011" t="e">
        <f>VLOOKUP(Tabelle10[[#This Row],[Rank]],Stammdaten[[Rank Verteilung Krümmung]:[Verteilung Krümmung]],2,FALSE)</f>
        <v>#N/A</v>
      </c>
      <c r="Z4011">
        <v>4002</v>
      </c>
      <c r="AA4011" t="e">
        <f>INDEX(Stammdaten[Ovalität (']0,1'])],MATCH(Tabelle1014[[#This Row],[Rank]],Stammdaten[Rank Verteilung Ovalität],0))</f>
        <v>#N/A</v>
      </c>
      <c r="AB4011" t="e">
        <f>VLOOKUP(Tabelle1014[[#This Row],[Rank]],Stammdaten[[Rank Verteilung Ovalität]:[Verteilung Ovalität]],2,FALSE)</f>
        <v>#N/A</v>
      </c>
    </row>
    <row r="4012" spans="5:28" x14ac:dyDescent="0.35">
      <c r="E4012">
        <v>4003</v>
      </c>
      <c r="F4012" t="e">
        <f>INDEX(Stammdaten[D Mitte mit Rinde (mm)],MATCH(Tabelle8[[#This Row],[Rank]],Stammdaten[Rank Verteilung D Mitte mit Rinde],0))</f>
        <v>#N/A</v>
      </c>
      <c r="G4012" t="e">
        <f>VLOOKUP(Tabelle8[[#This Row],[Rank]],Stammdaten[[Rank Verteilung D Mitte mit Rinde]:[Verteilung D Mitte mit Rinde]],2,FALSE)</f>
        <v>#N/A</v>
      </c>
      <c r="L4012">
        <v>4003</v>
      </c>
      <c r="M4012" t="e">
        <f>INDEX(Stammdaten[Abholzigkeit (mm/lfm)],MATCH(Tabelle9[[#This Row],[Rank]],Stammdaten[Rank Verteilung Abholzigkeit],0))</f>
        <v>#N/A</v>
      </c>
      <c r="N4012" t="e">
        <f>VLOOKUP(Tabelle9[[#This Row],[Rank]],Stammdaten[[Rank Verteilung Abholzigkeit]:[Verteilung Abholzigkeit]],2,FALSE)</f>
        <v>#N/A</v>
      </c>
      <c r="S4012">
        <v>4003</v>
      </c>
      <c r="T4012" t="e">
        <f>INDEX(Stammdaten[Krümmung (mm/lfm)],MATCH(Tabelle10[[#This Row],[Rank]],Stammdaten[Rank Verteilung Krümmung],0))</f>
        <v>#N/A</v>
      </c>
      <c r="U4012" t="e">
        <f>VLOOKUP(Tabelle10[[#This Row],[Rank]],Stammdaten[[Rank Verteilung Krümmung]:[Verteilung Krümmung]],2,FALSE)</f>
        <v>#N/A</v>
      </c>
      <c r="Z4012">
        <v>4003</v>
      </c>
      <c r="AA4012" t="e">
        <f>INDEX(Stammdaten[Ovalität (']0,1'])],MATCH(Tabelle1014[[#This Row],[Rank]],Stammdaten[Rank Verteilung Ovalität],0))</f>
        <v>#N/A</v>
      </c>
      <c r="AB4012" t="e">
        <f>VLOOKUP(Tabelle1014[[#This Row],[Rank]],Stammdaten[[Rank Verteilung Ovalität]:[Verteilung Ovalität]],2,FALSE)</f>
        <v>#N/A</v>
      </c>
    </row>
    <row r="4013" spans="5:28" x14ac:dyDescent="0.35">
      <c r="E4013">
        <v>4004</v>
      </c>
      <c r="F4013" t="e">
        <f>INDEX(Stammdaten[D Mitte mit Rinde (mm)],MATCH(Tabelle8[[#This Row],[Rank]],Stammdaten[Rank Verteilung D Mitte mit Rinde],0))</f>
        <v>#N/A</v>
      </c>
      <c r="G4013" t="e">
        <f>VLOOKUP(Tabelle8[[#This Row],[Rank]],Stammdaten[[Rank Verteilung D Mitte mit Rinde]:[Verteilung D Mitte mit Rinde]],2,FALSE)</f>
        <v>#N/A</v>
      </c>
      <c r="L4013">
        <v>4004</v>
      </c>
      <c r="M4013" t="e">
        <f>INDEX(Stammdaten[Abholzigkeit (mm/lfm)],MATCH(Tabelle9[[#This Row],[Rank]],Stammdaten[Rank Verteilung Abholzigkeit],0))</f>
        <v>#N/A</v>
      </c>
      <c r="N4013" t="e">
        <f>VLOOKUP(Tabelle9[[#This Row],[Rank]],Stammdaten[[Rank Verteilung Abholzigkeit]:[Verteilung Abholzigkeit]],2,FALSE)</f>
        <v>#N/A</v>
      </c>
      <c r="S4013">
        <v>4004</v>
      </c>
      <c r="T4013" t="e">
        <f>INDEX(Stammdaten[Krümmung (mm/lfm)],MATCH(Tabelle10[[#This Row],[Rank]],Stammdaten[Rank Verteilung Krümmung],0))</f>
        <v>#N/A</v>
      </c>
      <c r="U4013" t="e">
        <f>VLOOKUP(Tabelle10[[#This Row],[Rank]],Stammdaten[[Rank Verteilung Krümmung]:[Verteilung Krümmung]],2,FALSE)</f>
        <v>#N/A</v>
      </c>
      <c r="Z4013">
        <v>4004</v>
      </c>
      <c r="AA4013" t="e">
        <f>INDEX(Stammdaten[Ovalität (']0,1'])],MATCH(Tabelle1014[[#This Row],[Rank]],Stammdaten[Rank Verteilung Ovalität],0))</f>
        <v>#N/A</v>
      </c>
      <c r="AB4013" t="e">
        <f>VLOOKUP(Tabelle1014[[#This Row],[Rank]],Stammdaten[[Rank Verteilung Ovalität]:[Verteilung Ovalität]],2,FALSE)</f>
        <v>#N/A</v>
      </c>
    </row>
    <row r="4014" spans="5:28" x14ac:dyDescent="0.35">
      <c r="E4014">
        <v>4005</v>
      </c>
      <c r="F4014" t="e">
        <f>INDEX(Stammdaten[D Mitte mit Rinde (mm)],MATCH(Tabelle8[[#This Row],[Rank]],Stammdaten[Rank Verteilung D Mitte mit Rinde],0))</f>
        <v>#N/A</v>
      </c>
      <c r="G4014" t="e">
        <f>VLOOKUP(Tabelle8[[#This Row],[Rank]],Stammdaten[[Rank Verteilung D Mitte mit Rinde]:[Verteilung D Mitte mit Rinde]],2,FALSE)</f>
        <v>#N/A</v>
      </c>
      <c r="L4014">
        <v>4005</v>
      </c>
      <c r="M4014" t="e">
        <f>INDEX(Stammdaten[Abholzigkeit (mm/lfm)],MATCH(Tabelle9[[#This Row],[Rank]],Stammdaten[Rank Verteilung Abholzigkeit],0))</f>
        <v>#N/A</v>
      </c>
      <c r="N4014" t="e">
        <f>VLOOKUP(Tabelle9[[#This Row],[Rank]],Stammdaten[[Rank Verteilung Abholzigkeit]:[Verteilung Abholzigkeit]],2,FALSE)</f>
        <v>#N/A</v>
      </c>
      <c r="S4014">
        <v>4005</v>
      </c>
      <c r="T4014" t="e">
        <f>INDEX(Stammdaten[Krümmung (mm/lfm)],MATCH(Tabelle10[[#This Row],[Rank]],Stammdaten[Rank Verteilung Krümmung],0))</f>
        <v>#N/A</v>
      </c>
      <c r="U4014" t="e">
        <f>VLOOKUP(Tabelle10[[#This Row],[Rank]],Stammdaten[[Rank Verteilung Krümmung]:[Verteilung Krümmung]],2,FALSE)</f>
        <v>#N/A</v>
      </c>
      <c r="Z4014">
        <v>4005</v>
      </c>
      <c r="AA4014" t="e">
        <f>INDEX(Stammdaten[Ovalität (']0,1'])],MATCH(Tabelle1014[[#This Row],[Rank]],Stammdaten[Rank Verteilung Ovalität],0))</f>
        <v>#N/A</v>
      </c>
      <c r="AB4014" t="e">
        <f>VLOOKUP(Tabelle1014[[#This Row],[Rank]],Stammdaten[[Rank Verteilung Ovalität]:[Verteilung Ovalität]],2,FALSE)</f>
        <v>#N/A</v>
      </c>
    </row>
    <row r="4015" spans="5:28" x14ac:dyDescent="0.35">
      <c r="E4015">
        <v>4006</v>
      </c>
      <c r="F4015" t="e">
        <f>INDEX(Stammdaten[D Mitte mit Rinde (mm)],MATCH(Tabelle8[[#This Row],[Rank]],Stammdaten[Rank Verteilung D Mitte mit Rinde],0))</f>
        <v>#N/A</v>
      </c>
      <c r="G4015" t="e">
        <f>VLOOKUP(Tabelle8[[#This Row],[Rank]],Stammdaten[[Rank Verteilung D Mitte mit Rinde]:[Verteilung D Mitte mit Rinde]],2,FALSE)</f>
        <v>#N/A</v>
      </c>
      <c r="L4015">
        <v>4006</v>
      </c>
      <c r="M4015" t="e">
        <f>INDEX(Stammdaten[Abholzigkeit (mm/lfm)],MATCH(Tabelle9[[#This Row],[Rank]],Stammdaten[Rank Verteilung Abholzigkeit],0))</f>
        <v>#N/A</v>
      </c>
      <c r="N4015" t="e">
        <f>VLOOKUP(Tabelle9[[#This Row],[Rank]],Stammdaten[[Rank Verteilung Abholzigkeit]:[Verteilung Abholzigkeit]],2,FALSE)</f>
        <v>#N/A</v>
      </c>
      <c r="S4015">
        <v>4006</v>
      </c>
      <c r="T4015" t="e">
        <f>INDEX(Stammdaten[Krümmung (mm/lfm)],MATCH(Tabelle10[[#This Row],[Rank]],Stammdaten[Rank Verteilung Krümmung],0))</f>
        <v>#N/A</v>
      </c>
      <c r="U4015" t="e">
        <f>VLOOKUP(Tabelle10[[#This Row],[Rank]],Stammdaten[[Rank Verteilung Krümmung]:[Verteilung Krümmung]],2,FALSE)</f>
        <v>#N/A</v>
      </c>
      <c r="Z4015">
        <v>4006</v>
      </c>
      <c r="AA4015" t="e">
        <f>INDEX(Stammdaten[Ovalität (']0,1'])],MATCH(Tabelle1014[[#This Row],[Rank]],Stammdaten[Rank Verteilung Ovalität],0))</f>
        <v>#N/A</v>
      </c>
      <c r="AB4015" t="e">
        <f>VLOOKUP(Tabelle1014[[#This Row],[Rank]],Stammdaten[[Rank Verteilung Ovalität]:[Verteilung Ovalität]],2,FALSE)</f>
        <v>#N/A</v>
      </c>
    </row>
    <row r="4016" spans="5:28" x14ac:dyDescent="0.35">
      <c r="E4016">
        <v>4007</v>
      </c>
      <c r="F4016" t="e">
        <f>INDEX(Stammdaten[D Mitte mit Rinde (mm)],MATCH(Tabelle8[[#This Row],[Rank]],Stammdaten[Rank Verteilung D Mitte mit Rinde],0))</f>
        <v>#N/A</v>
      </c>
      <c r="G4016" t="e">
        <f>VLOOKUP(Tabelle8[[#This Row],[Rank]],Stammdaten[[Rank Verteilung D Mitte mit Rinde]:[Verteilung D Mitte mit Rinde]],2,FALSE)</f>
        <v>#N/A</v>
      </c>
      <c r="L4016">
        <v>4007</v>
      </c>
      <c r="M4016" t="e">
        <f>INDEX(Stammdaten[Abholzigkeit (mm/lfm)],MATCH(Tabelle9[[#This Row],[Rank]],Stammdaten[Rank Verteilung Abholzigkeit],0))</f>
        <v>#N/A</v>
      </c>
      <c r="N4016" t="e">
        <f>VLOOKUP(Tabelle9[[#This Row],[Rank]],Stammdaten[[Rank Verteilung Abholzigkeit]:[Verteilung Abholzigkeit]],2,FALSE)</f>
        <v>#N/A</v>
      </c>
      <c r="S4016">
        <v>4007</v>
      </c>
      <c r="T4016" t="e">
        <f>INDEX(Stammdaten[Krümmung (mm/lfm)],MATCH(Tabelle10[[#This Row],[Rank]],Stammdaten[Rank Verteilung Krümmung],0))</f>
        <v>#N/A</v>
      </c>
      <c r="U4016" t="e">
        <f>VLOOKUP(Tabelle10[[#This Row],[Rank]],Stammdaten[[Rank Verteilung Krümmung]:[Verteilung Krümmung]],2,FALSE)</f>
        <v>#N/A</v>
      </c>
      <c r="Z4016">
        <v>4007</v>
      </c>
      <c r="AA4016" t="e">
        <f>INDEX(Stammdaten[Ovalität (']0,1'])],MATCH(Tabelle1014[[#This Row],[Rank]],Stammdaten[Rank Verteilung Ovalität],0))</f>
        <v>#N/A</v>
      </c>
      <c r="AB4016" t="e">
        <f>VLOOKUP(Tabelle1014[[#This Row],[Rank]],Stammdaten[[Rank Verteilung Ovalität]:[Verteilung Ovalität]],2,FALSE)</f>
        <v>#N/A</v>
      </c>
    </row>
    <row r="4017" spans="5:28" x14ac:dyDescent="0.35">
      <c r="E4017">
        <v>4008</v>
      </c>
      <c r="F4017" t="e">
        <f>INDEX(Stammdaten[D Mitte mit Rinde (mm)],MATCH(Tabelle8[[#This Row],[Rank]],Stammdaten[Rank Verteilung D Mitte mit Rinde],0))</f>
        <v>#N/A</v>
      </c>
      <c r="G4017" t="e">
        <f>VLOOKUP(Tabelle8[[#This Row],[Rank]],Stammdaten[[Rank Verteilung D Mitte mit Rinde]:[Verteilung D Mitte mit Rinde]],2,FALSE)</f>
        <v>#N/A</v>
      </c>
      <c r="L4017">
        <v>4008</v>
      </c>
      <c r="M4017" t="e">
        <f>INDEX(Stammdaten[Abholzigkeit (mm/lfm)],MATCH(Tabelle9[[#This Row],[Rank]],Stammdaten[Rank Verteilung Abholzigkeit],0))</f>
        <v>#N/A</v>
      </c>
      <c r="N4017" t="e">
        <f>VLOOKUP(Tabelle9[[#This Row],[Rank]],Stammdaten[[Rank Verteilung Abholzigkeit]:[Verteilung Abholzigkeit]],2,FALSE)</f>
        <v>#N/A</v>
      </c>
      <c r="S4017">
        <v>4008</v>
      </c>
      <c r="T4017" t="e">
        <f>INDEX(Stammdaten[Krümmung (mm/lfm)],MATCH(Tabelle10[[#This Row],[Rank]],Stammdaten[Rank Verteilung Krümmung],0))</f>
        <v>#N/A</v>
      </c>
      <c r="U4017" t="e">
        <f>VLOOKUP(Tabelle10[[#This Row],[Rank]],Stammdaten[[Rank Verteilung Krümmung]:[Verteilung Krümmung]],2,FALSE)</f>
        <v>#N/A</v>
      </c>
      <c r="Z4017">
        <v>4008</v>
      </c>
      <c r="AA4017" t="e">
        <f>INDEX(Stammdaten[Ovalität (']0,1'])],MATCH(Tabelle1014[[#This Row],[Rank]],Stammdaten[Rank Verteilung Ovalität],0))</f>
        <v>#N/A</v>
      </c>
      <c r="AB4017" t="e">
        <f>VLOOKUP(Tabelle1014[[#This Row],[Rank]],Stammdaten[[Rank Verteilung Ovalität]:[Verteilung Ovalität]],2,FALSE)</f>
        <v>#N/A</v>
      </c>
    </row>
    <row r="4018" spans="5:28" x14ac:dyDescent="0.35">
      <c r="E4018">
        <v>4009</v>
      </c>
      <c r="F4018" t="e">
        <f>INDEX(Stammdaten[D Mitte mit Rinde (mm)],MATCH(Tabelle8[[#This Row],[Rank]],Stammdaten[Rank Verteilung D Mitte mit Rinde],0))</f>
        <v>#N/A</v>
      </c>
      <c r="G4018" t="e">
        <f>VLOOKUP(Tabelle8[[#This Row],[Rank]],Stammdaten[[Rank Verteilung D Mitte mit Rinde]:[Verteilung D Mitte mit Rinde]],2,FALSE)</f>
        <v>#N/A</v>
      </c>
      <c r="L4018">
        <v>4009</v>
      </c>
      <c r="M4018" t="e">
        <f>INDEX(Stammdaten[Abholzigkeit (mm/lfm)],MATCH(Tabelle9[[#This Row],[Rank]],Stammdaten[Rank Verteilung Abholzigkeit],0))</f>
        <v>#N/A</v>
      </c>
      <c r="N4018" t="e">
        <f>VLOOKUP(Tabelle9[[#This Row],[Rank]],Stammdaten[[Rank Verteilung Abholzigkeit]:[Verteilung Abholzigkeit]],2,FALSE)</f>
        <v>#N/A</v>
      </c>
      <c r="S4018">
        <v>4009</v>
      </c>
      <c r="T4018" t="e">
        <f>INDEX(Stammdaten[Krümmung (mm/lfm)],MATCH(Tabelle10[[#This Row],[Rank]],Stammdaten[Rank Verteilung Krümmung],0))</f>
        <v>#N/A</v>
      </c>
      <c r="U4018" t="e">
        <f>VLOOKUP(Tabelle10[[#This Row],[Rank]],Stammdaten[[Rank Verteilung Krümmung]:[Verteilung Krümmung]],2,FALSE)</f>
        <v>#N/A</v>
      </c>
      <c r="Z4018">
        <v>4009</v>
      </c>
      <c r="AA4018" t="e">
        <f>INDEX(Stammdaten[Ovalität (']0,1'])],MATCH(Tabelle1014[[#This Row],[Rank]],Stammdaten[Rank Verteilung Ovalität],0))</f>
        <v>#N/A</v>
      </c>
      <c r="AB4018" t="e">
        <f>VLOOKUP(Tabelle1014[[#This Row],[Rank]],Stammdaten[[Rank Verteilung Ovalität]:[Verteilung Ovalität]],2,FALSE)</f>
        <v>#N/A</v>
      </c>
    </row>
    <row r="4019" spans="5:28" x14ac:dyDescent="0.35">
      <c r="E4019">
        <v>4010</v>
      </c>
      <c r="F4019" t="e">
        <f>INDEX(Stammdaten[D Mitte mit Rinde (mm)],MATCH(Tabelle8[[#This Row],[Rank]],Stammdaten[Rank Verteilung D Mitte mit Rinde],0))</f>
        <v>#N/A</v>
      </c>
      <c r="G4019" t="e">
        <f>VLOOKUP(Tabelle8[[#This Row],[Rank]],Stammdaten[[Rank Verteilung D Mitte mit Rinde]:[Verteilung D Mitte mit Rinde]],2,FALSE)</f>
        <v>#N/A</v>
      </c>
      <c r="L4019">
        <v>4010</v>
      </c>
      <c r="M4019" t="e">
        <f>INDEX(Stammdaten[Abholzigkeit (mm/lfm)],MATCH(Tabelle9[[#This Row],[Rank]],Stammdaten[Rank Verteilung Abholzigkeit],0))</f>
        <v>#N/A</v>
      </c>
      <c r="N4019" t="e">
        <f>VLOOKUP(Tabelle9[[#This Row],[Rank]],Stammdaten[[Rank Verteilung Abholzigkeit]:[Verteilung Abholzigkeit]],2,FALSE)</f>
        <v>#N/A</v>
      </c>
      <c r="S4019">
        <v>4010</v>
      </c>
      <c r="T4019" t="e">
        <f>INDEX(Stammdaten[Krümmung (mm/lfm)],MATCH(Tabelle10[[#This Row],[Rank]],Stammdaten[Rank Verteilung Krümmung],0))</f>
        <v>#N/A</v>
      </c>
      <c r="U4019" t="e">
        <f>VLOOKUP(Tabelle10[[#This Row],[Rank]],Stammdaten[[Rank Verteilung Krümmung]:[Verteilung Krümmung]],2,FALSE)</f>
        <v>#N/A</v>
      </c>
      <c r="Z4019">
        <v>4010</v>
      </c>
      <c r="AA4019" t="e">
        <f>INDEX(Stammdaten[Ovalität (']0,1'])],MATCH(Tabelle1014[[#This Row],[Rank]],Stammdaten[Rank Verteilung Ovalität],0))</f>
        <v>#N/A</v>
      </c>
      <c r="AB4019" t="e">
        <f>VLOOKUP(Tabelle1014[[#This Row],[Rank]],Stammdaten[[Rank Verteilung Ovalität]:[Verteilung Ovalität]],2,FALSE)</f>
        <v>#N/A</v>
      </c>
    </row>
    <row r="4020" spans="5:28" x14ac:dyDescent="0.35">
      <c r="E4020">
        <v>4011</v>
      </c>
      <c r="F4020" t="e">
        <f>INDEX(Stammdaten[D Mitte mit Rinde (mm)],MATCH(Tabelle8[[#This Row],[Rank]],Stammdaten[Rank Verteilung D Mitte mit Rinde],0))</f>
        <v>#N/A</v>
      </c>
      <c r="G4020" t="e">
        <f>VLOOKUP(Tabelle8[[#This Row],[Rank]],Stammdaten[[Rank Verteilung D Mitte mit Rinde]:[Verteilung D Mitte mit Rinde]],2,FALSE)</f>
        <v>#N/A</v>
      </c>
      <c r="L4020">
        <v>4011</v>
      </c>
      <c r="M4020" t="e">
        <f>INDEX(Stammdaten[Abholzigkeit (mm/lfm)],MATCH(Tabelle9[[#This Row],[Rank]],Stammdaten[Rank Verteilung Abholzigkeit],0))</f>
        <v>#N/A</v>
      </c>
      <c r="N4020" t="e">
        <f>VLOOKUP(Tabelle9[[#This Row],[Rank]],Stammdaten[[Rank Verteilung Abholzigkeit]:[Verteilung Abholzigkeit]],2,FALSE)</f>
        <v>#N/A</v>
      </c>
      <c r="S4020">
        <v>4011</v>
      </c>
      <c r="T4020" t="e">
        <f>INDEX(Stammdaten[Krümmung (mm/lfm)],MATCH(Tabelle10[[#This Row],[Rank]],Stammdaten[Rank Verteilung Krümmung],0))</f>
        <v>#N/A</v>
      </c>
      <c r="U4020" t="e">
        <f>VLOOKUP(Tabelle10[[#This Row],[Rank]],Stammdaten[[Rank Verteilung Krümmung]:[Verteilung Krümmung]],2,FALSE)</f>
        <v>#N/A</v>
      </c>
      <c r="Z4020">
        <v>4011</v>
      </c>
      <c r="AA4020" t="e">
        <f>INDEX(Stammdaten[Ovalität (']0,1'])],MATCH(Tabelle1014[[#This Row],[Rank]],Stammdaten[Rank Verteilung Ovalität],0))</f>
        <v>#N/A</v>
      </c>
      <c r="AB4020" t="e">
        <f>VLOOKUP(Tabelle1014[[#This Row],[Rank]],Stammdaten[[Rank Verteilung Ovalität]:[Verteilung Ovalität]],2,FALSE)</f>
        <v>#N/A</v>
      </c>
    </row>
    <row r="4021" spans="5:28" x14ac:dyDescent="0.35">
      <c r="E4021">
        <v>4012</v>
      </c>
      <c r="F4021" t="e">
        <f>INDEX(Stammdaten[D Mitte mit Rinde (mm)],MATCH(Tabelle8[[#This Row],[Rank]],Stammdaten[Rank Verteilung D Mitte mit Rinde],0))</f>
        <v>#N/A</v>
      </c>
      <c r="G4021" t="e">
        <f>VLOOKUP(Tabelle8[[#This Row],[Rank]],Stammdaten[[Rank Verteilung D Mitte mit Rinde]:[Verteilung D Mitte mit Rinde]],2,FALSE)</f>
        <v>#N/A</v>
      </c>
      <c r="L4021">
        <v>4012</v>
      </c>
      <c r="M4021" t="e">
        <f>INDEX(Stammdaten[Abholzigkeit (mm/lfm)],MATCH(Tabelle9[[#This Row],[Rank]],Stammdaten[Rank Verteilung Abholzigkeit],0))</f>
        <v>#N/A</v>
      </c>
      <c r="N4021" t="e">
        <f>VLOOKUP(Tabelle9[[#This Row],[Rank]],Stammdaten[[Rank Verteilung Abholzigkeit]:[Verteilung Abholzigkeit]],2,FALSE)</f>
        <v>#N/A</v>
      </c>
      <c r="S4021">
        <v>4012</v>
      </c>
      <c r="T4021" t="e">
        <f>INDEX(Stammdaten[Krümmung (mm/lfm)],MATCH(Tabelle10[[#This Row],[Rank]],Stammdaten[Rank Verteilung Krümmung],0))</f>
        <v>#N/A</v>
      </c>
      <c r="U4021" t="e">
        <f>VLOOKUP(Tabelle10[[#This Row],[Rank]],Stammdaten[[Rank Verteilung Krümmung]:[Verteilung Krümmung]],2,FALSE)</f>
        <v>#N/A</v>
      </c>
      <c r="Z4021">
        <v>4012</v>
      </c>
      <c r="AA4021" t="e">
        <f>INDEX(Stammdaten[Ovalität (']0,1'])],MATCH(Tabelle1014[[#This Row],[Rank]],Stammdaten[Rank Verteilung Ovalität],0))</f>
        <v>#N/A</v>
      </c>
      <c r="AB4021" t="e">
        <f>VLOOKUP(Tabelle1014[[#This Row],[Rank]],Stammdaten[[Rank Verteilung Ovalität]:[Verteilung Ovalität]],2,FALSE)</f>
        <v>#N/A</v>
      </c>
    </row>
    <row r="4022" spans="5:28" x14ac:dyDescent="0.35">
      <c r="E4022">
        <v>4013</v>
      </c>
      <c r="F4022" t="e">
        <f>INDEX(Stammdaten[D Mitte mit Rinde (mm)],MATCH(Tabelle8[[#This Row],[Rank]],Stammdaten[Rank Verteilung D Mitte mit Rinde],0))</f>
        <v>#N/A</v>
      </c>
      <c r="G4022" t="e">
        <f>VLOOKUP(Tabelle8[[#This Row],[Rank]],Stammdaten[[Rank Verteilung D Mitte mit Rinde]:[Verteilung D Mitte mit Rinde]],2,FALSE)</f>
        <v>#N/A</v>
      </c>
      <c r="L4022">
        <v>4013</v>
      </c>
      <c r="M4022" t="e">
        <f>INDEX(Stammdaten[Abholzigkeit (mm/lfm)],MATCH(Tabelle9[[#This Row],[Rank]],Stammdaten[Rank Verteilung Abholzigkeit],0))</f>
        <v>#N/A</v>
      </c>
      <c r="N4022" t="e">
        <f>VLOOKUP(Tabelle9[[#This Row],[Rank]],Stammdaten[[Rank Verteilung Abholzigkeit]:[Verteilung Abholzigkeit]],2,FALSE)</f>
        <v>#N/A</v>
      </c>
      <c r="S4022">
        <v>4013</v>
      </c>
      <c r="T4022" t="e">
        <f>INDEX(Stammdaten[Krümmung (mm/lfm)],MATCH(Tabelle10[[#This Row],[Rank]],Stammdaten[Rank Verteilung Krümmung],0))</f>
        <v>#N/A</v>
      </c>
      <c r="U4022" t="e">
        <f>VLOOKUP(Tabelle10[[#This Row],[Rank]],Stammdaten[[Rank Verteilung Krümmung]:[Verteilung Krümmung]],2,FALSE)</f>
        <v>#N/A</v>
      </c>
      <c r="Z4022">
        <v>4013</v>
      </c>
      <c r="AA4022" t="e">
        <f>INDEX(Stammdaten[Ovalität (']0,1'])],MATCH(Tabelle1014[[#This Row],[Rank]],Stammdaten[Rank Verteilung Ovalität],0))</f>
        <v>#N/A</v>
      </c>
      <c r="AB4022" t="e">
        <f>VLOOKUP(Tabelle1014[[#This Row],[Rank]],Stammdaten[[Rank Verteilung Ovalität]:[Verteilung Ovalität]],2,FALSE)</f>
        <v>#N/A</v>
      </c>
    </row>
    <row r="4023" spans="5:28" x14ac:dyDescent="0.35">
      <c r="E4023">
        <v>4014</v>
      </c>
      <c r="F4023" t="e">
        <f>INDEX(Stammdaten[D Mitte mit Rinde (mm)],MATCH(Tabelle8[[#This Row],[Rank]],Stammdaten[Rank Verteilung D Mitte mit Rinde],0))</f>
        <v>#N/A</v>
      </c>
      <c r="G4023" t="e">
        <f>VLOOKUP(Tabelle8[[#This Row],[Rank]],Stammdaten[[Rank Verteilung D Mitte mit Rinde]:[Verteilung D Mitte mit Rinde]],2,FALSE)</f>
        <v>#N/A</v>
      </c>
      <c r="L4023">
        <v>4014</v>
      </c>
      <c r="M4023" t="e">
        <f>INDEX(Stammdaten[Abholzigkeit (mm/lfm)],MATCH(Tabelle9[[#This Row],[Rank]],Stammdaten[Rank Verteilung Abholzigkeit],0))</f>
        <v>#N/A</v>
      </c>
      <c r="N4023" t="e">
        <f>VLOOKUP(Tabelle9[[#This Row],[Rank]],Stammdaten[[Rank Verteilung Abholzigkeit]:[Verteilung Abholzigkeit]],2,FALSE)</f>
        <v>#N/A</v>
      </c>
      <c r="S4023">
        <v>4014</v>
      </c>
      <c r="T4023" t="e">
        <f>INDEX(Stammdaten[Krümmung (mm/lfm)],MATCH(Tabelle10[[#This Row],[Rank]],Stammdaten[Rank Verteilung Krümmung],0))</f>
        <v>#N/A</v>
      </c>
      <c r="U4023" t="e">
        <f>VLOOKUP(Tabelle10[[#This Row],[Rank]],Stammdaten[[Rank Verteilung Krümmung]:[Verteilung Krümmung]],2,FALSE)</f>
        <v>#N/A</v>
      </c>
      <c r="Z4023">
        <v>4014</v>
      </c>
      <c r="AA4023" t="e">
        <f>INDEX(Stammdaten[Ovalität (']0,1'])],MATCH(Tabelle1014[[#This Row],[Rank]],Stammdaten[Rank Verteilung Ovalität],0))</f>
        <v>#N/A</v>
      </c>
      <c r="AB4023" t="e">
        <f>VLOOKUP(Tabelle1014[[#This Row],[Rank]],Stammdaten[[Rank Verteilung Ovalität]:[Verteilung Ovalität]],2,FALSE)</f>
        <v>#N/A</v>
      </c>
    </row>
    <row r="4024" spans="5:28" x14ac:dyDescent="0.35">
      <c r="E4024">
        <v>4015</v>
      </c>
      <c r="F4024" t="e">
        <f>INDEX(Stammdaten[D Mitte mit Rinde (mm)],MATCH(Tabelle8[[#This Row],[Rank]],Stammdaten[Rank Verteilung D Mitte mit Rinde],0))</f>
        <v>#N/A</v>
      </c>
      <c r="G4024" t="e">
        <f>VLOOKUP(Tabelle8[[#This Row],[Rank]],Stammdaten[[Rank Verteilung D Mitte mit Rinde]:[Verteilung D Mitte mit Rinde]],2,FALSE)</f>
        <v>#N/A</v>
      </c>
      <c r="L4024">
        <v>4015</v>
      </c>
      <c r="M4024" t="e">
        <f>INDEX(Stammdaten[Abholzigkeit (mm/lfm)],MATCH(Tabelle9[[#This Row],[Rank]],Stammdaten[Rank Verteilung Abholzigkeit],0))</f>
        <v>#N/A</v>
      </c>
      <c r="N4024" t="e">
        <f>VLOOKUP(Tabelle9[[#This Row],[Rank]],Stammdaten[[Rank Verteilung Abholzigkeit]:[Verteilung Abholzigkeit]],2,FALSE)</f>
        <v>#N/A</v>
      </c>
      <c r="S4024">
        <v>4015</v>
      </c>
      <c r="T4024" t="e">
        <f>INDEX(Stammdaten[Krümmung (mm/lfm)],MATCH(Tabelle10[[#This Row],[Rank]],Stammdaten[Rank Verteilung Krümmung],0))</f>
        <v>#N/A</v>
      </c>
      <c r="U4024" t="e">
        <f>VLOOKUP(Tabelle10[[#This Row],[Rank]],Stammdaten[[Rank Verteilung Krümmung]:[Verteilung Krümmung]],2,FALSE)</f>
        <v>#N/A</v>
      </c>
      <c r="Z4024">
        <v>4015</v>
      </c>
      <c r="AA4024" t="e">
        <f>INDEX(Stammdaten[Ovalität (']0,1'])],MATCH(Tabelle1014[[#This Row],[Rank]],Stammdaten[Rank Verteilung Ovalität],0))</f>
        <v>#N/A</v>
      </c>
      <c r="AB4024" t="e">
        <f>VLOOKUP(Tabelle1014[[#This Row],[Rank]],Stammdaten[[Rank Verteilung Ovalität]:[Verteilung Ovalität]],2,FALSE)</f>
        <v>#N/A</v>
      </c>
    </row>
    <row r="4025" spans="5:28" x14ac:dyDescent="0.35">
      <c r="E4025">
        <v>4016</v>
      </c>
      <c r="F4025" t="e">
        <f>INDEX(Stammdaten[D Mitte mit Rinde (mm)],MATCH(Tabelle8[[#This Row],[Rank]],Stammdaten[Rank Verteilung D Mitte mit Rinde],0))</f>
        <v>#N/A</v>
      </c>
      <c r="G4025" t="e">
        <f>VLOOKUP(Tabelle8[[#This Row],[Rank]],Stammdaten[[Rank Verteilung D Mitte mit Rinde]:[Verteilung D Mitte mit Rinde]],2,FALSE)</f>
        <v>#N/A</v>
      </c>
      <c r="L4025">
        <v>4016</v>
      </c>
      <c r="M4025" t="e">
        <f>INDEX(Stammdaten[Abholzigkeit (mm/lfm)],MATCH(Tabelle9[[#This Row],[Rank]],Stammdaten[Rank Verteilung Abholzigkeit],0))</f>
        <v>#N/A</v>
      </c>
      <c r="N4025" t="e">
        <f>VLOOKUP(Tabelle9[[#This Row],[Rank]],Stammdaten[[Rank Verteilung Abholzigkeit]:[Verteilung Abholzigkeit]],2,FALSE)</f>
        <v>#N/A</v>
      </c>
      <c r="S4025">
        <v>4016</v>
      </c>
      <c r="T4025" t="e">
        <f>INDEX(Stammdaten[Krümmung (mm/lfm)],MATCH(Tabelle10[[#This Row],[Rank]],Stammdaten[Rank Verteilung Krümmung],0))</f>
        <v>#N/A</v>
      </c>
      <c r="U4025" t="e">
        <f>VLOOKUP(Tabelle10[[#This Row],[Rank]],Stammdaten[[Rank Verteilung Krümmung]:[Verteilung Krümmung]],2,FALSE)</f>
        <v>#N/A</v>
      </c>
      <c r="Z4025">
        <v>4016</v>
      </c>
      <c r="AA4025" t="e">
        <f>INDEX(Stammdaten[Ovalität (']0,1'])],MATCH(Tabelle1014[[#This Row],[Rank]],Stammdaten[Rank Verteilung Ovalität],0))</f>
        <v>#N/A</v>
      </c>
      <c r="AB4025" t="e">
        <f>VLOOKUP(Tabelle1014[[#This Row],[Rank]],Stammdaten[[Rank Verteilung Ovalität]:[Verteilung Ovalität]],2,FALSE)</f>
        <v>#N/A</v>
      </c>
    </row>
    <row r="4026" spans="5:28" x14ac:dyDescent="0.35">
      <c r="E4026">
        <v>4017</v>
      </c>
      <c r="F4026" t="e">
        <f>INDEX(Stammdaten[D Mitte mit Rinde (mm)],MATCH(Tabelle8[[#This Row],[Rank]],Stammdaten[Rank Verteilung D Mitte mit Rinde],0))</f>
        <v>#N/A</v>
      </c>
      <c r="G4026" t="e">
        <f>VLOOKUP(Tabelle8[[#This Row],[Rank]],Stammdaten[[Rank Verteilung D Mitte mit Rinde]:[Verteilung D Mitte mit Rinde]],2,FALSE)</f>
        <v>#N/A</v>
      </c>
      <c r="L4026">
        <v>4017</v>
      </c>
      <c r="M4026" t="e">
        <f>INDEX(Stammdaten[Abholzigkeit (mm/lfm)],MATCH(Tabelle9[[#This Row],[Rank]],Stammdaten[Rank Verteilung Abholzigkeit],0))</f>
        <v>#N/A</v>
      </c>
      <c r="N4026" t="e">
        <f>VLOOKUP(Tabelle9[[#This Row],[Rank]],Stammdaten[[Rank Verteilung Abholzigkeit]:[Verteilung Abholzigkeit]],2,FALSE)</f>
        <v>#N/A</v>
      </c>
      <c r="S4026">
        <v>4017</v>
      </c>
      <c r="T4026" t="e">
        <f>INDEX(Stammdaten[Krümmung (mm/lfm)],MATCH(Tabelle10[[#This Row],[Rank]],Stammdaten[Rank Verteilung Krümmung],0))</f>
        <v>#N/A</v>
      </c>
      <c r="U4026" t="e">
        <f>VLOOKUP(Tabelle10[[#This Row],[Rank]],Stammdaten[[Rank Verteilung Krümmung]:[Verteilung Krümmung]],2,FALSE)</f>
        <v>#N/A</v>
      </c>
      <c r="Z4026">
        <v>4017</v>
      </c>
      <c r="AA4026" t="e">
        <f>INDEX(Stammdaten[Ovalität (']0,1'])],MATCH(Tabelle1014[[#This Row],[Rank]],Stammdaten[Rank Verteilung Ovalität],0))</f>
        <v>#N/A</v>
      </c>
      <c r="AB4026" t="e">
        <f>VLOOKUP(Tabelle1014[[#This Row],[Rank]],Stammdaten[[Rank Verteilung Ovalität]:[Verteilung Ovalität]],2,FALSE)</f>
        <v>#N/A</v>
      </c>
    </row>
    <row r="4027" spans="5:28" x14ac:dyDescent="0.35">
      <c r="E4027">
        <v>4018</v>
      </c>
      <c r="F4027" t="e">
        <f>INDEX(Stammdaten[D Mitte mit Rinde (mm)],MATCH(Tabelle8[[#This Row],[Rank]],Stammdaten[Rank Verteilung D Mitte mit Rinde],0))</f>
        <v>#N/A</v>
      </c>
      <c r="G4027" t="e">
        <f>VLOOKUP(Tabelle8[[#This Row],[Rank]],Stammdaten[[Rank Verteilung D Mitte mit Rinde]:[Verteilung D Mitte mit Rinde]],2,FALSE)</f>
        <v>#N/A</v>
      </c>
      <c r="L4027">
        <v>4018</v>
      </c>
      <c r="M4027" t="e">
        <f>INDEX(Stammdaten[Abholzigkeit (mm/lfm)],MATCH(Tabelle9[[#This Row],[Rank]],Stammdaten[Rank Verteilung Abholzigkeit],0))</f>
        <v>#N/A</v>
      </c>
      <c r="N4027" t="e">
        <f>VLOOKUP(Tabelle9[[#This Row],[Rank]],Stammdaten[[Rank Verteilung Abholzigkeit]:[Verteilung Abholzigkeit]],2,FALSE)</f>
        <v>#N/A</v>
      </c>
      <c r="S4027">
        <v>4018</v>
      </c>
      <c r="T4027" t="e">
        <f>INDEX(Stammdaten[Krümmung (mm/lfm)],MATCH(Tabelle10[[#This Row],[Rank]],Stammdaten[Rank Verteilung Krümmung],0))</f>
        <v>#N/A</v>
      </c>
      <c r="U4027" t="e">
        <f>VLOOKUP(Tabelle10[[#This Row],[Rank]],Stammdaten[[Rank Verteilung Krümmung]:[Verteilung Krümmung]],2,FALSE)</f>
        <v>#N/A</v>
      </c>
      <c r="Z4027">
        <v>4018</v>
      </c>
      <c r="AA4027" t="e">
        <f>INDEX(Stammdaten[Ovalität (']0,1'])],MATCH(Tabelle1014[[#This Row],[Rank]],Stammdaten[Rank Verteilung Ovalität],0))</f>
        <v>#N/A</v>
      </c>
      <c r="AB4027" t="e">
        <f>VLOOKUP(Tabelle1014[[#This Row],[Rank]],Stammdaten[[Rank Verteilung Ovalität]:[Verteilung Ovalität]],2,FALSE)</f>
        <v>#N/A</v>
      </c>
    </row>
    <row r="4028" spans="5:28" x14ac:dyDescent="0.35">
      <c r="E4028">
        <v>4019</v>
      </c>
      <c r="F4028" t="e">
        <f>INDEX(Stammdaten[D Mitte mit Rinde (mm)],MATCH(Tabelle8[[#This Row],[Rank]],Stammdaten[Rank Verteilung D Mitte mit Rinde],0))</f>
        <v>#N/A</v>
      </c>
      <c r="G4028" t="e">
        <f>VLOOKUP(Tabelle8[[#This Row],[Rank]],Stammdaten[[Rank Verteilung D Mitte mit Rinde]:[Verteilung D Mitte mit Rinde]],2,FALSE)</f>
        <v>#N/A</v>
      </c>
      <c r="L4028">
        <v>4019</v>
      </c>
      <c r="M4028" t="e">
        <f>INDEX(Stammdaten[Abholzigkeit (mm/lfm)],MATCH(Tabelle9[[#This Row],[Rank]],Stammdaten[Rank Verteilung Abholzigkeit],0))</f>
        <v>#N/A</v>
      </c>
      <c r="N4028" t="e">
        <f>VLOOKUP(Tabelle9[[#This Row],[Rank]],Stammdaten[[Rank Verteilung Abholzigkeit]:[Verteilung Abholzigkeit]],2,FALSE)</f>
        <v>#N/A</v>
      </c>
      <c r="S4028">
        <v>4019</v>
      </c>
      <c r="T4028" t="e">
        <f>INDEX(Stammdaten[Krümmung (mm/lfm)],MATCH(Tabelle10[[#This Row],[Rank]],Stammdaten[Rank Verteilung Krümmung],0))</f>
        <v>#N/A</v>
      </c>
      <c r="U4028" t="e">
        <f>VLOOKUP(Tabelle10[[#This Row],[Rank]],Stammdaten[[Rank Verteilung Krümmung]:[Verteilung Krümmung]],2,FALSE)</f>
        <v>#N/A</v>
      </c>
      <c r="Z4028">
        <v>4019</v>
      </c>
      <c r="AA4028" t="e">
        <f>INDEX(Stammdaten[Ovalität (']0,1'])],MATCH(Tabelle1014[[#This Row],[Rank]],Stammdaten[Rank Verteilung Ovalität],0))</f>
        <v>#N/A</v>
      </c>
      <c r="AB4028" t="e">
        <f>VLOOKUP(Tabelle1014[[#This Row],[Rank]],Stammdaten[[Rank Verteilung Ovalität]:[Verteilung Ovalität]],2,FALSE)</f>
        <v>#N/A</v>
      </c>
    </row>
    <row r="4029" spans="5:28" x14ac:dyDescent="0.35">
      <c r="E4029">
        <v>4020</v>
      </c>
      <c r="F4029" t="e">
        <f>INDEX(Stammdaten[D Mitte mit Rinde (mm)],MATCH(Tabelle8[[#This Row],[Rank]],Stammdaten[Rank Verteilung D Mitte mit Rinde],0))</f>
        <v>#N/A</v>
      </c>
      <c r="G4029" t="e">
        <f>VLOOKUP(Tabelle8[[#This Row],[Rank]],Stammdaten[[Rank Verteilung D Mitte mit Rinde]:[Verteilung D Mitte mit Rinde]],2,FALSE)</f>
        <v>#N/A</v>
      </c>
      <c r="L4029">
        <v>4020</v>
      </c>
      <c r="M4029" t="e">
        <f>INDEX(Stammdaten[Abholzigkeit (mm/lfm)],MATCH(Tabelle9[[#This Row],[Rank]],Stammdaten[Rank Verteilung Abholzigkeit],0))</f>
        <v>#N/A</v>
      </c>
      <c r="N4029" t="e">
        <f>VLOOKUP(Tabelle9[[#This Row],[Rank]],Stammdaten[[Rank Verteilung Abholzigkeit]:[Verteilung Abholzigkeit]],2,FALSE)</f>
        <v>#N/A</v>
      </c>
      <c r="S4029">
        <v>4020</v>
      </c>
      <c r="T4029" t="e">
        <f>INDEX(Stammdaten[Krümmung (mm/lfm)],MATCH(Tabelle10[[#This Row],[Rank]],Stammdaten[Rank Verteilung Krümmung],0))</f>
        <v>#N/A</v>
      </c>
      <c r="U4029" t="e">
        <f>VLOOKUP(Tabelle10[[#This Row],[Rank]],Stammdaten[[Rank Verteilung Krümmung]:[Verteilung Krümmung]],2,FALSE)</f>
        <v>#N/A</v>
      </c>
      <c r="Z4029">
        <v>4020</v>
      </c>
      <c r="AA4029" t="e">
        <f>INDEX(Stammdaten[Ovalität (']0,1'])],MATCH(Tabelle1014[[#This Row],[Rank]],Stammdaten[Rank Verteilung Ovalität],0))</f>
        <v>#N/A</v>
      </c>
      <c r="AB4029" t="e">
        <f>VLOOKUP(Tabelle1014[[#This Row],[Rank]],Stammdaten[[Rank Verteilung Ovalität]:[Verteilung Ovalität]],2,FALSE)</f>
        <v>#N/A</v>
      </c>
    </row>
    <row r="4030" spans="5:28" x14ac:dyDescent="0.35">
      <c r="E4030">
        <v>4021</v>
      </c>
      <c r="F4030" t="e">
        <f>INDEX(Stammdaten[D Mitte mit Rinde (mm)],MATCH(Tabelle8[[#This Row],[Rank]],Stammdaten[Rank Verteilung D Mitte mit Rinde],0))</f>
        <v>#N/A</v>
      </c>
      <c r="G4030" t="e">
        <f>VLOOKUP(Tabelle8[[#This Row],[Rank]],Stammdaten[[Rank Verteilung D Mitte mit Rinde]:[Verteilung D Mitte mit Rinde]],2,FALSE)</f>
        <v>#N/A</v>
      </c>
      <c r="L4030">
        <v>4021</v>
      </c>
      <c r="M4030" t="e">
        <f>INDEX(Stammdaten[Abholzigkeit (mm/lfm)],MATCH(Tabelle9[[#This Row],[Rank]],Stammdaten[Rank Verteilung Abholzigkeit],0))</f>
        <v>#N/A</v>
      </c>
      <c r="N4030" t="e">
        <f>VLOOKUP(Tabelle9[[#This Row],[Rank]],Stammdaten[[Rank Verteilung Abholzigkeit]:[Verteilung Abholzigkeit]],2,FALSE)</f>
        <v>#N/A</v>
      </c>
      <c r="S4030">
        <v>4021</v>
      </c>
      <c r="T4030" t="e">
        <f>INDEX(Stammdaten[Krümmung (mm/lfm)],MATCH(Tabelle10[[#This Row],[Rank]],Stammdaten[Rank Verteilung Krümmung],0))</f>
        <v>#N/A</v>
      </c>
      <c r="U4030" t="e">
        <f>VLOOKUP(Tabelle10[[#This Row],[Rank]],Stammdaten[[Rank Verteilung Krümmung]:[Verteilung Krümmung]],2,FALSE)</f>
        <v>#N/A</v>
      </c>
      <c r="Z4030">
        <v>4021</v>
      </c>
      <c r="AA4030" t="e">
        <f>INDEX(Stammdaten[Ovalität (']0,1'])],MATCH(Tabelle1014[[#This Row],[Rank]],Stammdaten[Rank Verteilung Ovalität],0))</f>
        <v>#N/A</v>
      </c>
      <c r="AB4030" t="e">
        <f>VLOOKUP(Tabelle1014[[#This Row],[Rank]],Stammdaten[[Rank Verteilung Ovalität]:[Verteilung Ovalität]],2,FALSE)</f>
        <v>#N/A</v>
      </c>
    </row>
    <row r="4031" spans="5:28" x14ac:dyDescent="0.35">
      <c r="E4031">
        <v>4022</v>
      </c>
      <c r="F4031" t="e">
        <f>INDEX(Stammdaten[D Mitte mit Rinde (mm)],MATCH(Tabelle8[[#This Row],[Rank]],Stammdaten[Rank Verteilung D Mitte mit Rinde],0))</f>
        <v>#N/A</v>
      </c>
      <c r="G4031" t="e">
        <f>VLOOKUP(Tabelle8[[#This Row],[Rank]],Stammdaten[[Rank Verteilung D Mitte mit Rinde]:[Verteilung D Mitte mit Rinde]],2,FALSE)</f>
        <v>#N/A</v>
      </c>
      <c r="L4031">
        <v>4022</v>
      </c>
      <c r="M4031" t="e">
        <f>INDEX(Stammdaten[Abholzigkeit (mm/lfm)],MATCH(Tabelle9[[#This Row],[Rank]],Stammdaten[Rank Verteilung Abholzigkeit],0))</f>
        <v>#N/A</v>
      </c>
      <c r="N4031" t="e">
        <f>VLOOKUP(Tabelle9[[#This Row],[Rank]],Stammdaten[[Rank Verteilung Abholzigkeit]:[Verteilung Abholzigkeit]],2,FALSE)</f>
        <v>#N/A</v>
      </c>
      <c r="S4031">
        <v>4022</v>
      </c>
      <c r="T4031" t="e">
        <f>INDEX(Stammdaten[Krümmung (mm/lfm)],MATCH(Tabelle10[[#This Row],[Rank]],Stammdaten[Rank Verteilung Krümmung],0))</f>
        <v>#N/A</v>
      </c>
      <c r="U4031" t="e">
        <f>VLOOKUP(Tabelle10[[#This Row],[Rank]],Stammdaten[[Rank Verteilung Krümmung]:[Verteilung Krümmung]],2,FALSE)</f>
        <v>#N/A</v>
      </c>
      <c r="Z4031">
        <v>4022</v>
      </c>
      <c r="AA4031" t="e">
        <f>INDEX(Stammdaten[Ovalität (']0,1'])],MATCH(Tabelle1014[[#This Row],[Rank]],Stammdaten[Rank Verteilung Ovalität],0))</f>
        <v>#N/A</v>
      </c>
      <c r="AB4031" t="e">
        <f>VLOOKUP(Tabelle1014[[#This Row],[Rank]],Stammdaten[[Rank Verteilung Ovalität]:[Verteilung Ovalität]],2,FALSE)</f>
        <v>#N/A</v>
      </c>
    </row>
    <row r="4032" spans="5:28" x14ac:dyDescent="0.35">
      <c r="E4032">
        <v>4023</v>
      </c>
      <c r="F4032" t="e">
        <f>INDEX(Stammdaten[D Mitte mit Rinde (mm)],MATCH(Tabelle8[[#This Row],[Rank]],Stammdaten[Rank Verteilung D Mitte mit Rinde],0))</f>
        <v>#N/A</v>
      </c>
      <c r="G4032" t="e">
        <f>VLOOKUP(Tabelle8[[#This Row],[Rank]],Stammdaten[[Rank Verteilung D Mitte mit Rinde]:[Verteilung D Mitte mit Rinde]],2,FALSE)</f>
        <v>#N/A</v>
      </c>
      <c r="L4032">
        <v>4023</v>
      </c>
      <c r="M4032" t="e">
        <f>INDEX(Stammdaten[Abholzigkeit (mm/lfm)],MATCH(Tabelle9[[#This Row],[Rank]],Stammdaten[Rank Verteilung Abholzigkeit],0))</f>
        <v>#N/A</v>
      </c>
      <c r="N4032" t="e">
        <f>VLOOKUP(Tabelle9[[#This Row],[Rank]],Stammdaten[[Rank Verteilung Abholzigkeit]:[Verteilung Abholzigkeit]],2,FALSE)</f>
        <v>#N/A</v>
      </c>
      <c r="S4032">
        <v>4023</v>
      </c>
      <c r="T4032" t="e">
        <f>INDEX(Stammdaten[Krümmung (mm/lfm)],MATCH(Tabelle10[[#This Row],[Rank]],Stammdaten[Rank Verteilung Krümmung],0))</f>
        <v>#N/A</v>
      </c>
      <c r="U4032" t="e">
        <f>VLOOKUP(Tabelle10[[#This Row],[Rank]],Stammdaten[[Rank Verteilung Krümmung]:[Verteilung Krümmung]],2,FALSE)</f>
        <v>#N/A</v>
      </c>
      <c r="Z4032">
        <v>4023</v>
      </c>
      <c r="AA4032" t="e">
        <f>INDEX(Stammdaten[Ovalität (']0,1'])],MATCH(Tabelle1014[[#This Row],[Rank]],Stammdaten[Rank Verteilung Ovalität],0))</f>
        <v>#N/A</v>
      </c>
      <c r="AB4032" t="e">
        <f>VLOOKUP(Tabelle1014[[#This Row],[Rank]],Stammdaten[[Rank Verteilung Ovalität]:[Verteilung Ovalität]],2,FALSE)</f>
        <v>#N/A</v>
      </c>
    </row>
    <row r="4033" spans="5:28" x14ac:dyDescent="0.35">
      <c r="E4033">
        <v>4024</v>
      </c>
      <c r="F4033" t="e">
        <f>INDEX(Stammdaten[D Mitte mit Rinde (mm)],MATCH(Tabelle8[[#This Row],[Rank]],Stammdaten[Rank Verteilung D Mitte mit Rinde],0))</f>
        <v>#N/A</v>
      </c>
      <c r="G4033" t="e">
        <f>VLOOKUP(Tabelle8[[#This Row],[Rank]],Stammdaten[[Rank Verteilung D Mitte mit Rinde]:[Verteilung D Mitte mit Rinde]],2,FALSE)</f>
        <v>#N/A</v>
      </c>
      <c r="L4033">
        <v>4024</v>
      </c>
      <c r="M4033" t="e">
        <f>INDEX(Stammdaten[Abholzigkeit (mm/lfm)],MATCH(Tabelle9[[#This Row],[Rank]],Stammdaten[Rank Verteilung Abholzigkeit],0))</f>
        <v>#N/A</v>
      </c>
      <c r="N4033" t="e">
        <f>VLOOKUP(Tabelle9[[#This Row],[Rank]],Stammdaten[[Rank Verteilung Abholzigkeit]:[Verteilung Abholzigkeit]],2,FALSE)</f>
        <v>#N/A</v>
      </c>
      <c r="S4033">
        <v>4024</v>
      </c>
      <c r="T4033" t="e">
        <f>INDEX(Stammdaten[Krümmung (mm/lfm)],MATCH(Tabelle10[[#This Row],[Rank]],Stammdaten[Rank Verteilung Krümmung],0))</f>
        <v>#N/A</v>
      </c>
      <c r="U4033" t="e">
        <f>VLOOKUP(Tabelle10[[#This Row],[Rank]],Stammdaten[[Rank Verteilung Krümmung]:[Verteilung Krümmung]],2,FALSE)</f>
        <v>#N/A</v>
      </c>
      <c r="Z4033">
        <v>4024</v>
      </c>
      <c r="AA4033" t="e">
        <f>INDEX(Stammdaten[Ovalität (']0,1'])],MATCH(Tabelle1014[[#This Row],[Rank]],Stammdaten[Rank Verteilung Ovalität],0))</f>
        <v>#N/A</v>
      </c>
      <c r="AB4033" t="e">
        <f>VLOOKUP(Tabelle1014[[#This Row],[Rank]],Stammdaten[[Rank Verteilung Ovalität]:[Verteilung Ovalität]],2,FALSE)</f>
        <v>#N/A</v>
      </c>
    </row>
    <row r="4034" spans="5:28" x14ac:dyDescent="0.35">
      <c r="E4034">
        <v>4025</v>
      </c>
      <c r="F4034" t="e">
        <f>INDEX(Stammdaten[D Mitte mit Rinde (mm)],MATCH(Tabelle8[[#This Row],[Rank]],Stammdaten[Rank Verteilung D Mitte mit Rinde],0))</f>
        <v>#N/A</v>
      </c>
      <c r="G4034" t="e">
        <f>VLOOKUP(Tabelle8[[#This Row],[Rank]],Stammdaten[[Rank Verteilung D Mitte mit Rinde]:[Verteilung D Mitte mit Rinde]],2,FALSE)</f>
        <v>#N/A</v>
      </c>
      <c r="L4034">
        <v>4025</v>
      </c>
      <c r="M4034" t="e">
        <f>INDEX(Stammdaten[Abholzigkeit (mm/lfm)],MATCH(Tabelle9[[#This Row],[Rank]],Stammdaten[Rank Verteilung Abholzigkeit],0))</f>
        <v>#N/A</v>
      </c>
      <c r="N4034" t="e">
        <f>VLOOKUP(Tabelle9[[#This Row],[Rank]],Stammdaten[[Rank Verteilung Abholzigkeit]:[Verteilung Abholzigkeit]],2,FALSE)</f>
        <v>#N/A</v>
      </c>
      <c r="S4034">
        <v>4025</v>
      </c>
      <c r="T4034" t="e">
        <f>INDEX(Stammdaten[Krümmung (mm/lfm)],MATCH(Tabelle10[[#This Row],[Rank]],Stammdaten[Rank Verteilung Krümmung],0))</f>
        <v>#N/A</v>
      </c>
      <c r="U4034" t="e">
        <f>VLOOKUP(Tabelle10[[#This Row],[Rank]],Stammdaten[[Rank Verteilung Krümmung]:[Verteilung Krümmung]],2,FALSE)</f>
        <v>#N/A</v>
      </c>
      <c r="Z4034">
        <v>4025</v>
      </c>
      <c r="AA4034" t="e">
        <f>INDEX(Stammdaten[Ovalität (']0,1'])],MATCH(Tabelle1014[[#This Row],[Rank]],Stammdaten[Rank Verteilung Ovalität],0))</f>
        <v>#N/A</v>
      </c>
      <c r="AB4034" t="e">
        <f>VLOOKUP(Tabelle1014[[#This Row],[Rank]],Stammdaten[[Rank Verteilung Ovalität]:[Verteilung Ovalität]],2,FALSE)</f>
        <v>#N/A</v>
      </c>
    </row>
    <row r="4035" spans="5:28" x14ac:dyDescent="0.35">
      <c r="E4035">
        <v>4026</v>
      </c>
      <c r="F4035" t="e">
        <f>INDEX(Stammdaten[D Mitte mit Rinde (mm)],MATCH(Tabelle8[[#This Row],[Rank]],Stammdaten[Rank Verteilung D Mitte mit Rinde],0))</f>
        <v>#N/A</v>
      </c>
      <c r="G4035" t="e">
        <f>VLOOKUP(Tabelle8[[#This Row],[Rank]],Stammdaten[[Rank Verteilung D Mitte mit Rinde]:[Verteilung D Mitte mit Rinde]],2,FALSE)</f>
        <v>#N/A</v>
      </c>
      <c r="L4035">
        <v>4026</v>
      </c>
      <c r="M4035" t="e">
        <f>INDEX(Stammdaten[Abholzigkeit (mm/lfm)],MATCH(Tabelle9[[#This Row],[Rank]],Stammdaten[Rank Verteilung Abholzigkeit],0))</f>
        <v>#N/A</v>
      </c>
      <c r="N4035" t="e">
        <f>VLOOKUP(Tabelle9[[#This Row],[Rank]],Stammdaten[[Rank Verteilung Abholzigkeit]:[Verteilung Abholzigkeit]],2,FALSE)</f>
        <v>#N/A</v>
      </c>
      <c r="S4035">
        <v>4026</v>
      </c>
      <c r="T4035" t="e">
        <f>INDEX(Stammdaten[Krümmung (mm/lfm)],MATCH(Tabelle10[[#This Row],[Rank]],Stammdaten[Rank Verteilung Krümmung],0))</f>
        <v>#N/A</v>
      </c>
      <c r="U4035" t="e">
        <f>VLOOKUP(Tabelle10[[#This Row],[Rank]],Stammdaten[[Rank Verteilung Krümmung]:[Verteilung Krümmung]],2,FALSE)</f>
        <v>#N/A</v>
      </c>
      <c r="Z4035">
        <v>4026</v>
      </c>
      <c r="AA4035" t="e">
        <f>INDEX(Stammdaten[Ovalität (']0,1'])],MATCH(Tabelle1014[[#This Row],[Rank]],Stammdaten[Rank Verteilung Ovalität],0))</f>
        <v>#N/A</v>
      </c>
      <c r="AB4035" t="e">
        <f>VLOOKUP(Tabelle1014[[#This Row],[Rank]],Stammdaten[[Rank Verteilung Ovalität]:[Verteilung Ovalität]],2,FALSE)</f>
        <v>#N/A</v>
      </c>
    </row>
    <row r="4036" spans="5:28" x14ac:dyDescent="0.35">
      <c r="E4036">
        <v>4027</v>
      </c>
      <c r="F4036" t="e">
        <f>INDEX(Stammdaten[D Mitte mit Rinde (mm)],MATCH(Tabelle8[[#This Row],[Rank]],Stammdaten[Rank Verteilung D Mitte mit Rinde],0))</f>
        <v>#N/A</v>
      </c>
      <c r="G4036" t="e">
        <f>VLOOKUP(Tabelle8[[#This Row],[Rank]],Stammdaten[[Rank Verteilung D Mitte mit Rinde]:[Verteilung D Mitte mit Rinde]],2,FALSE)</f>
        <v>#N/A</v>
      </c>
      <c r="L4036">
        <v>4027</v>
      </c>
      <c r="M4036" t="e">
        <f>INDEX(Stammdaten[Abholzigkeit (mm/lfm)],MATCH(Tabelle9[[#This Row],[Rank]],Stammdaten[Rank Verteilung Abholzigkeit],0))</f>
        <v>#N/A</v>
      </c>
      <c r="N4036" t="e">
        <f>VLOOKUP(Tabelle9[[#This Row],[Rank]],Stammdaten[[Rank Verteilung Abholzigkeit]:[Verteilung Abholzigkeit]],2,FALSE)</f>
        <v>#N/A</v>
      </c>
      <c r="S4036">
        <v>4027</v>
      </c>
      <c r="T4036" t="e">
        <f>INDEX(Stammdaten[Krümmung (mm/lfm)],MATCH(Tabelle10[[#This Row],[Rank]],Stammdaten[Rank Verteilung Krümmung],0))</f>
        <v>#N/A</v>
      </c>
      <c r="U4036" t="e">
        <f>VLOOKUP(Tabelle10[[#This Row],[Rank]],Stammdaten[[Rank Verteilung Krümmung]:[Verteilung Krümmung]],2,FALSE)</f>
        <v>#N/A</v>
      </c>
      <c r="Z4036">
        <v>4027</v>
      </c>
      <c r="AA4036" t="e">
        <f>INDEX(Stammdaten[Ovalität (']0,1'])],MATCH(Tabelle1014[[#This Row],[Rank]],Stammdaten[Rank Verteilung Ovalität],0))</f>
        <v>#N/A</v>
      </c>
      <c r="AB4036" t="e">
        <f>VLOOKUP(Tabelle1014[[#This Row],[Rank]],Stammdaten[[Rank Verteilung Ovalität]:[Verteilung Ovalität]],2,FALSE)</f>
        <v>#N/A</v>
      </c>
    </row>
    <row r="4037" spans="5:28" x14ac:dyDescent="0.35">
      <c r="E4037">
        <v>4028</v>
      </c>
      <c r="F4037" t="e">
        <f>INDEX(Stammdaten[D Mitte mit Rinde (mm)],MATCH(Tabelle8[[#This Row],[Rank]],Stammdaten[Rank Verteilung D Mitte mit Rinde],0))</f>
        <v>#N/A</v>
      </c>
      <c r="G4037" t="e">
        <f>VLOOKUP(Tabelle8[[#This Row],[Rank]],Stammdaten[[Rank Verteilung D Mitte mit Rinde]:[Verteilung D Mitte mit Rinde]],2,FALSE)</f>
        <v>#N/A</v>
      </c>
      <c r="L4037">
        <v>4028</v>
      </c>
      <c r="M4037" t="e">
        <f>INDEX(Stammdaten[Abholzigkeit (mm/lfm)],MATCH(Tabelle9[[#This Row],[Rank]],Stammdaten[Rank Verteilung Abholzigkeit],0))</f>
        <v>#N/A</v>
      </c>
      <c r="N4037" t="e">
        <f>VLOOKUP(Tabelle9[[#This Row],[Rank]],Stammdaten[[Rank Verteilung Abholzigkeit]:[Verteilung Abholzigkeit]],2,FALSE)</f>
        <v>#N/A</v>
      </c>
      <c r="S4037">
        <v>4028</v>
      </c>
      <c r="T4037" t="e">
        <f>INDEX(Stammdaten[Krümmung (mm/lfm)],MATCH(Tabelle10[[#This Row],[Rank]],Stammdaten[Rank Verteilung Krümmung],0))</f>
        <v>#N/A</v>
      </c>
      <c r="U4037" t="e">
        <f>VLOOKUP(Tabelle10[[#This Row],[Rank]],Stammdaten[[Rank Verteilung Krümmung]:[Verteilung Krümmung]],2,FALSE)</f>
        <v>#N/A</v>
      </c>
      <c r="Z4037">
        <v>4028</v>
      </c>
      <c r="AA4037" t="e">
        <f>INDEX(Stammdaten[Ovalität (']0,1'])],MATCH(Tabelle1014[[#This Row],[Rank]],Stammdaten[Rank Verteilung Ovalität],0))</f>
        <v>#N/A</v>
      </c>
      <c r="AB4037" t="e">
        <f>VLOOKUP(Tabelle1014[[#This Row],[Rank]],Stammdaten[[Rank Verteilung Ovalität]:[Verteilung Ovalität]],2,FALSE)</f>
        <v>#N/A</v>
      </c>
    </row>
    <row r="4038" spans="5:28" x14ac:dyDescent="0.35">
      <c r="E4038">
        <v>4029</v>
      </c>
      <c r="F4038" t="e">
        <f>INDEX(Stammdaten[D Mitte mit Rinde (mm)],MATCH(Tabelle8[[#This Row],[Rank]],Stammdaten[Rank Verteilung D Mitte mit Rinde],0))</f>
        <v>#N/A</v>
      </c>
      <c r="G4038" t="e">
        <f>VLOOKUP(Tabelle8[[#This Row],[Rank]],Stammdaten[[Rank Verteilung D Mitte mit Rinde]:[Verteilung D Mitte mit Rinde]],2,FALSE)</f>
        <v>#N/A</v>
      </c>
      <c r="L4038">
        <v>4029</v>
      </c>
      <c r="M4038" t="e">
        <f>INDEX(Stammdaten[Abholzigkeit (mm/lfm)],MATCH(Tabelle9[[#This Row],[Rank]],Stammdaten[Rank Verteilung Abholzigkeit],0))</f>
        <v>#N/A</v>
      </c>
      <c r="N4038" t="e">
        <f>VLOOKUP(Tabelle9[[#This Row],[Rank]],Stammdaten[[Rank Verteilung Abholzigkeit]:[Verteilung Abholzigkeit]],2,FALSE)</f>
        <v>#N/A</v>
      </c>
      <c r="S4038">
        <v>4029</v>
      </c>
      <c r="T4038" t="e">
        <f>INDEX(Stammdaten[Krümmung (mm/lfm)],MATCH(Tabelle10[[#This Row],[Rank]],Stammdaten[Rank Verteilung Krümmung],0))</f>
        <v>#N/A</v>
      </c>
      <c r="U4038" t="e">
        <f>VLOOKUP(Tabelle10[[#This Row],[Rank]],Stammdaten[[Rank Verteilung Krümmung]:[Verteilung Krümmung]],2,FALSE)</f>
        <v>#N/A</v>
      </c>
      <c r="Z4038">
        <v>4029</v>
      </c>
      <c r="AA4038" t="e">
        <f>INDEX(Stammdaten[Ovalität (']0,1'])],MATCH(Tabelle1014[[#This Row],[Rank]],Stammdaten[Rank Verteilung Ovalität],0))</f>
        <v>#N/A</v>
      </c>
      <c r="AB4038" t="e">
        <f>VLOOKUP(Tabelle1014[[#This Row],[Rank]],Stammdaten[[Rank Verteilung Ovalität]:[Verteilung Ovalität]],2,FALSE)</f>
        <v>#N/A</v>
      </c>
    </row>
    <row r="4039" spans="5:28" x14ac:dyDescent="0.35">
      <c r="E4039">
        <v>4030</v>
      </c>
      <c r="F4039" t="e">
        <f>INDEX(Stammdaten[D Mitte mit Rinde (mm)],MATCH(Tabelle8[[#This Row],[Rank]],Stammdaten[Rank Verteilung D Mitte mit Rinde],0))</f>
        <v>#N/A</v>
      </c>
      <c r="G4039" t="e">
        <f>VLOOKUP(Tabelle8[[#This Row],[Rank]],Stammdaten[[Rank Verteilung D Mitte mit Rinde]:[Verteilung D Mitte mit Rinde]],2,FALSE)</f>
        <v>#N/A</v>
      </c>
      <c r="L4039">
        <v>4030</v>
      </c>
      <c r="M4039" t="e">
        <f>INDEX(Stammdaten[Abholzigkeit (mm/lfm)],MATCH(Tabelle9[[#This Row],[Rank]],Stammdaten[Rank Verteilung Abholzigkeit],0))</f>
        <v>#N/A</v>
      </c>
      <c r="N4039" t="e">
        <f>VLOOKUP(Tabelle9[[#This Row],[Rank]],Stammdaten[[Rank Verteilung Abholzigkeit]:[Verteilung Abholzigkeit]],2,FALSE)</f>
        <v>#N/A</v>
      </c>
      <c r="S4039">
        <v>4030</v>
      </c>
      <c r="T4039" t="e">
        <f>INDEX(Stammdaten[Krümmung (mm/lfm)],MATCH(Tabelle10[[#This Row],[Rank]],Stammdaten[Rank Verteilung Krümmung],0))</f>
        <v>#N/A</v>
      </c>
      <c r="U4039" t="e">
        <f>VLOOKUP(Tabelle10[[#This Row],[Rank]],Stammdaten[[Rank Verteilung Krümmung]:[Verteilung Krümmung]],2,FALSE)</f>
        <v>#N/A</v>
      </c>
      <c r="Z4039">
        <v>4030</v>
      </c>
      <c r="AA4039" t="e">
        <f>INDEX(Stammdaten[Ovalität (']0,1'])],MATCH(Tabelle1014[[#This Row],[Rank]],Stammdaten[Rank Verteilung Ovalität],0))</f>
        <v>#N/A</v>
      </c>
      <c r="AB4039" t="e">
        <f>VLOOKUP(Tabelle1014[[#This Row],[Rank]],Stammdaten[[Rank Verteilung Ovalität]:[Verteilung Ovalität]],2,FALSE)</f>
        <v>#N/A</v>
      </c>
    </row>
    <row r="4040" spans="5:28" x14ac:dyDescent="0.35">
      <c r="E4040">
        <v>4031</v>
      </c>
      <c r="F4040" t="e">
        <f>INDEX(Stammdaten[D Mitte mit Rinde (mm)],MATCH(Tabelle8[[#This Row],[Rank]],Stammdaten[Rank Verteilung D Mitte mit Rinde],0))</f>
        <v>#N/A</v>
      </c>
      <c r="G4040" t="e">
        <f>VLOOKUP(Tabelle8[[#This Row],[Rank]],Stammdaten[[Rank Verteilung D Mitte mit Rinde]:[Verteilung D Mitte mit Rinde]],2,FALSE)</f>
        <v>#N/A</v>
      </c>
      <c r="L4040">
        <v>4031</v>
      </c>
      <c r="M4040" t="e">
        <f>INDEX(Stammdaten[Abholzigkeit (mm/lfm)],MATCH(Tabelle9[[#This Row],[Rank]],Stammdaten[Rank Verteilung Abholzigkeit],0))</f>
        <v>#N/A</v>
      </c>
      <c r="N4040" t="e">
        <f>VLOOKUP(Tabelle9[[#This Row],[Rank]],Stammdaten[[Rank Verteilung Abholzigkeit]:[Verteilung Abholzigkeit]],2,FALSE)</f>
        <v>#N/A</v>
      </c>
      <c r="S4040">
        <v>4031</v>
      </c>
      <c r="T4040" t="e">
        <f>INDEX(Stammdaten[Krümmung (mm/lfm)],MATCH(Tabelle10[[#This Row],[Rank]],Stammdaten[Rank Verteilung Krümmung],0))</f>
        <v>#N/A</v>
      </c>
      <c r="U4040" t="e">
        <f>VLOOKUP(Tabelle10[[#This Row],[Rank]],Stammdaten[[Rank Verteilung Krümmung]:[Verteilung Krümmung]],2,FALSE)</f>
        <v>#N/A</v>
      </c>
      <c r="Z4040">
        <v>4031</v>
      </c>
      <c r="AA4040" t="e">
        <f>INDEX(Stammdaten[Ovalität (']0,1'])],MATCH(Tabelle1014[[#This Row],[Rank]],Stammdaten[Rank Verteilung Ovalität],0))</f>
        <v>#N/A</v>
      </c>
      <c r="AB4040" t="e">
        <f>VLOOKUP(Tabelle1014[[#This Row],[Rank]],Stammdaten[[Rank Verteilung Ovalität]:[Verteilung Ovalität]],2,FALSE)</f>
        <v>#N/A</v>
      </c>
    </row>
    <row r="4041" spans="5:28" x14ac:dyDescent="0.35">
      <c r="E4041">
        <v>4032</v>
      </c>
      <c r="F4041" t="e">
        <f>INDEX(Stammdaten[D Mitte mit Rinde (mm)],MATCH(Tabelle8[[#This Row],[Rank]],Stammdaten[Rank Verteilung D Mitte mit Rinde],0))</f>
        <v>#N/A</v>
      </c>
      <c r="G4041" t="e">
        <f>VLOOKUP(Tabelle8[[#This Row],[Rank]],Stammdaten[[Rank Verteilung D Mitte mit Rinde]:[Verteilung D Mitte mit Rinde]],2,FALSE)</f>
        <v>#N/A</v>
      </c>
      <c r="L4041">
        <v>4032</v>
      </c>
      <c r="M4041" t="e">
        <f>INDEX(Stammdaten[Abholzigkeit (mm/lfm)],MATCH(Tabelle9[[#This Row],[Rank]],Stammdaten[Rank Verteilung Abholzigkeit],0))</f>
        <v>#N/A</v>
      </c>
      <c r="N4041" t="e">
        <f>VLOOKUP(Tabelle9[[#This Row],[Rank]],Stammdaten[[Rank Verteilung Abholzigkeit]:[Verteilung Abholzigkeit]],2,FALSE)</f>
        <v>#N/A</v>
      </c>
      <c r="S4041">
        <v>4032</v>
      </c>
      <c r="T4041" t="e">
        <f>INDEX(Stammdaten[Krümmung (mm/lfm)],MATCH(Tabelle10[[#This Row],[Rank]],Stammdaten[Rank Verteilung Krümmung],0))</f>
        <v>#N/A</v>
      </c>
      <c r="U4041" t="e">
        <f>VLOOKUP(Tabelle10[[#This Row],[Rank]],Stammdaten[[Rank Verteilung Krümmung]:[Verteilung Krümmung]],2,FALSE)</f>
        <v>#N/A</v>
      </c>
      <c r="Z4041">
        <v>4032</v>
      </c>
      <c r="AA4041" t="e">
        <f>INDEX(Stammdaten[Ovalität (']0,1'])],MATCH(Tabelle1014[[#This Row],[Rank]],Stammdaten[Rank Verteilung Ovalität],0))</f>
        <v>#N/A</v>
      </c>
      <c r="AB4041" t="e">
        <f>VLOOKUP(Tabelle1014[[#This Row],[Rank]],Stammdaten[[Rank Verteilung Ovalität]:[Verteilung Ovalität]],2,FALSE)</f>
        <v>#N/A</v>
      </c>
    </row>
    <row r="4042" spans="5:28" x14ac:dyDescent="0.35">
      <c r="E4042">
        <v>4033</v>
      </c>
      <c r="F4042" t="e">
        <f>INDEX(Stammdaten[D Mitte mit Rinde (mm)],MATCH(Tabelle8[[#This Row],[Rank]],Stammdaten[Rank Verteilung D Mitte mit Rinde],0))</f>
        <v>#N/A</v>
      </c>
      <c r="G4042" t="e">
        <f>VLOOKUP(Tabelle8[[#This Row],[Rank]],Stammdaten[[Rank Verteilung D Mitte mit Rinde]:[Verteilung D Mitte mit Rinde]],2,FALSE)</f>
        <v>#N/A</v>
      </c>
      <c r="L4042">
        <v>4033</v>
      </c>
      <c r="M4042" t="e">
        <f>INDEX(Stammdaten[Abholzigkeit (mm/lfm)],MATCH(Tabelle9[[#This Row],[Rank]],Stammdaten[Rank Verteilung Abholzigkeit],0))</f>
        <v>#N/A</v>
      </c>
      <c r="N4042" t="e">
        <f>VLOOKUP(Tabelle9[[#This Row],[Rank]],Stammdaten[[Rank Verteilung Abholzigkeit]:[Verteilung Abholzigkeit]],2,FALSE)</f>
        <v>#N/A</v>
      </c>
      <c r="S4042">
        <v>4033</v>
      </c>
      <c r="T4042" t="e">
        <f>INDEX(Stammdaten[Krümmung (mm/lfm)],MATCH(Tabelle10[[#This Row],[Rank]],Stammdaten[Rank Verteilung Krümmung],0))</f>
        <v>#N/A</v>
      </c>
      <c r="U4042" t="e">
        <f>VLOOKUP(Tabelle10[[#This Row],[Rank]],Stammdaten[[Rank Verteilung Krümmung]:[Verteilung Krümmung]],2,FALSE)</f>
        <v>#N/A</v>
      </c>
      <c r="Z4042">
        <v>4033</v>
      </c>
      <c r="AA4042" t="e">
        <f>INDEX(Stammdaten[Ovalität (']0,1'])],MATCH(Tabelle1014[[#This Row],[Rank]],Stammdaten[Rank Verteilung Ovalität],0))</f>
        <v>#N/A</v>
      </c>
      <c r="AB4042" t="e">
        <f>VLOOKUP(Tabelle1014[[#This Row],[Rank]],Stammdaten[[Rank Verteilung Ovalität]:[Verteilung Ovalität]],2,FALSE)</f>
        <v>#N/A</v>
      </c>
    </row>
    <row r="4043" spans="5:28" x14ac:dyDescent="0.35">
      <c r="E4043">
        <v>4034</v>
      </c>
      <c r="F4043" t="e">
        <f>INDEX(Stammdaten[D Mitte mit Rinde (mm)],MATCH(Tabelle8[[#This Row],[Rank]],Stammdaten[Rank Verteilung D Mitte mit Rinde],0))</f>
        <v>#N/A</v>
      </c>
      <c r="G4043" t="e">
        <f>VLOOKUP(Tabelle8[[#This Row],[Rank]],Stammdaten[[Rank Verteilung D Mitte mit Rinde]:[Verteilung D Mitte mit Rinde]],2,FALSE)</f>
        <v>#N/A</v>
      </c>
      <c r="L4043">
        <v>4034</v>
      </c>
      <c r="M4043" t="e">
        <f>INDEX(Stammdaten[Abholzigkeit (mm/lfm)],MATCH(Tabelle9[[#This Row],[Rank]],Stammdaten[Rank Verteilung Abholzigkeit],0))</f>
        <v>#N/A</v>
      </c>
      <c r="N4043" t="e">
        <f>VLOOKUP(Tabelle9[[#This Row],[Rank]],Stammdaten[[Rank Verteilung Abholzigkeit]:[Verteilung Abholzigkeit]],2,FALSE)</f>
        <v>#N/A</v>
      </c>
      <c r="S4043">
        <v>4034</v>
      </c>
      <c r="T4043" t="e">
        <f>INDEX(Stammdaten[Krümmung (mm/lfm)],MATCH(Tabelle10[[#This Row],[Rank]],Stammdaten[Rank Verteilung Krümmung],0))</f>
        <v>#N/A</v>
      </c>
      <c r="U4043" t="e">
        <f>VLOOKUP(Tabelle10[[#This Row],[Rank]],Stammdaten[[Rank Verteilung Krümmung]:[Verteilung Krümmung]],2,FALSE)</f>
        <v>#N/A</v>
      </c>
      <c r="Z4043">
        <v>4034</v>
      </c>
      <c r="AA4043" t="e">
        <f>INDEX(Stammdaten[Ovalität (']0,1'])],MATCH(Tabelle1014[[#This Row],[Rank]],Stammdaten[Rank Verteilung Ovalität],0))</f>
        <v>#N/A</v>
      </c>
      <c r="AB4043" t="e">
        <f>VLOOKUP(Tabelle1014[[#This Row],[Rank]],Stammdaten[[Rank Verteilung Ovalität]:[Verteilung Ovalität]],2,FALSE)</f>
        <v>#N/A</v>
      </c>
    </row>
    <row r="4044" spans="5:28" x14ac:dyDescent="0.35">
      <c r="E4044">
        <v>4035</v>
      </c>
      <c r="F4044" t="e">
        <f>INDEX(Stammdaten[D Mitte mit Rinde (mm)],MATCH(Tabelle8[[#This Row],[Rank]],Stammdaten[Rank Verteilung D Mitte mit Rinde],0))</f>
        <v>#N/A</v>
      </c>
      <c r="G4044" t="e">
        <f>VLOOKUP(Tabelle8[[#This Row],[Rank]],Stammdaten[[Rank Verteilung D Mitte mit Rinde]:[Verteilung D Mitte mit Rinde]],2,FALSE)</f>
        <v>#N/A</v>
      </c>
      <c r="L4044">
        <v>4035</v>
      </c>
      <c r="M4044" t="e">
        <f>INDEX(Stammdaten[Abholzigkeit (mm/lfm)],MATCH(Tabelle9[[#This Row],[Rank]],Stammdaten[Rank Verteilung Abholzigkeit],0))</f>
        <v>#N/A</v>
      </c>
      <c r="N4044" t="e">
        <f>VLOOKUP(Tabelle9[[#This Row],[Rank]],Stammdaten[[Rank Verteilung Abholzigkeit]:[Verteilung Abholzigkeit]],2,FALSE)</f>
        <v>#N/A</v>
      </c>
      <c r="S4044">
        <v>4035</v>
      </c>
      <c r="T4044" t="e">
        <f>INDEX(Stammdaten[Krümmung (mm/lfm)],MATCH(Tabelle10[[#This Row],[Rank]],Stammdaten[Rank Verteilung Krümmung],0))</f>
        <v>#N/A</v>
      </c>
      <c r="U4044" t="e">
        <f>VLOOKUP(Tabelle10[[#This Row],[Rank]],Stammdaten[[Rank Verteilung Krümmung]:[Verteilung Krümmung]],2,FALSE)</f>
        <v>#N/A</v>
      </c>
      <c r="Z4044">
        <v>4035</v>
      </c>
      <c r="AA4044" t="e">
        <f>INDEX(Stammdaten[Ovalität (']0,1'])],MATCH(Tabelle1014[[#This Row],[Rank]],Stammdaten[Rank Verteilung Ovalität],0))</f>
        <v>#N/A</v>
      </c>
      <c r="AB4044" t="e">
        <f>VLOOKUP(Tabelle1014[[#This Row],[Rank]],Stammdaten[[Rank Verteilung Ovalität]:[Verteilung Ovalität]],2,FALSE)</f>
        <v>#N/A</v>
      </c>
    </row>
    <row r="4045" spans="5:28" x14ac:dyDescent="0.35">
      <c r="E4045">
        <v>4036</v>
      </c>
      <c r="F4045" t="e">
        <f>INDEX(Stammdaten[D Mitte mit Rinde (mm)],MATCH(Tabelle8[[#This Row],[Rank]],Stammdaten[Rank Verteilung D Mitte mit Rinde],0))</f>
        <v>#N/A</v>
      </c>
      <c r="G4045" t="e">
        <f>VLOOKUP(Tabelle8[[#This Row],[Rank]],Stammdaten[[Rank Verteilung D Mitte mit Rinde]:[Verteilung D Mitte mit Rinde]],2,FALSE)</f>
        <v>#N/A</v>
      </c>
      <c r="L4045">
        <v>4036</v>
      </c>
      <c r="M4045" t="e">
        <f>INDEX(Stammdaten[Abholzigkeit (mm/lfm)],MATCH(Tabelle9[[#This Row],[Rank]],Stammdaten[Rank Verteilung Abholzigkeit],0))</f>
        <v>#N/A</v>
      </c>
      <c r="N4045" t="e">
        <f>VLOOKUP(Tabelle9[[#This Row],[Rank]],Stammdaten[[Rank Verteilung Abholzigkeit]:[Verteilung Abholzigkeit]],2,FALSE)</f>
        <v>#N/A</v>
      </c>
      <c r="S4045">
        <v>4036</v>
      </c>
      <c r="T4045" t="e">
        <f>INDEX(Stammdaten[Krümmung (mm/lfm)],MATCH(Tabelle10[[#This Row],[Rank]],Stammdaten[Rank Verteilung Krümmung],0))</f>
        <v>#N/A</v>
      </c>
      <c r="U4045" t="e">
        <f>VLOOKUP(Tabelle10[[#This Row],[Rank]],Stammdaten[[Rank Verteilung Krümmung]:[Verteilung Krümmung]],2,FALSE)</f>
        <v>#N/A</v>
      </c>
      <c r="Z4045">
        <v>4036</v>
      </c>
      <c r="AA4045" t="e">
        <f>INDEX(Stammdaten[Ovalität (']0,1'])],MATCH(Tabelle1014[[#This Row],[Rank]],Stammdaten[Rank Verteilung Ovalität],0))</f>
        <v>#N/A</v>
      </c>
      <c r="AB4045" t="e">
        <f>VLOOKUP(Tabelle1014[[#This Row],[Rank]],Stammdaten[[Rank Verteilung Ovalität]:[Verteilung Ovalität]],2,FALSE)</f>
        <v>#N/A</v>
      </c>
    </row>
    <row r="4046" spans="5:28" x14ac:dyDescent="0.35">
      <c r="E4046">
        <v>4037</v>
      </c>
      <c r="F4046" t="e">
        <f>INDEX(Stammdaten[D Mitte mit Rinde (mm)],MATCH(Tabelle8[[#This Row],[Rank]],Stammdaten[Rank Verteilung D Mitte mit Rinde],0))</f>
        <v>#N/A</v>
      </c>
      <c r="G4046" t="e">
        <f>VLOOKUP(Tabelle8[[#This Row],[Rank]],Stammdaten[[Rank Verteilung D Mitte mit Rinde]:[Verteilung D Mitte mit Rinde]],2,FALSE)</f>
        <v>#N/A</v>
      </c>
      <c r="L4046">
        <v>4037</v>
      </c>
      <c r="M4046" t="e">
        <f>INDEX(Stammdaten[Abholzigkeit (mm/lfm)],MATCH(Tabelle9[[#This Row],[Rank]],Stammdaten[Rank Verteilung Abholzigkeit],0))</f>
        <v>#N/A</v>
      </c>
      <c r="N4046" t="e">
        <f>VLOOKUP(Tabelle9[[#This Row],[Rank]],Stammdaten[[Rank Verteilung Abholzigkeit]:[Verteilung Abholzigkeit]],2,FALSE)</f>
        <v>#N/A</v>
      </c>
      <c r="S4046">
        <v>4037</v>
      </c>
      <c r="T4046" t="e">
        <f>INDEX(Stammdaten[Krümmung (mm/lfm)],MATCH(Tabelle10[[#This Row],[Rank]],Stammdaten[Rank Verteilung Krümmung],0))</f>
        <v>#N/A</v>
      </c>
      <c r="U4046" t="e">
        <f>VLOOKUP(Tabelle10[[#This Row],[Rank]],Stammdaten[[Rank Verteilung Krümmung]:[Verteilung Krümmung]],2,FALSE)</f>
        <v>#N/A</v>
      </c>
      <c r="Z4046">
        <v>4037</v>
      </c>
      <c r="AA4046" t="e">
        <f>INDEX(Stammdaten[Ovalität (']0,1'])],MATCH(Tabelle1014[[#This Row],[Rank]],Stammdaten[Rank Verteilung Ovalität],0))</f>
        <v>#N/A</v>
      </c>
      <c r="AB4046" t="e">
        <f>VLOOKUP(Tabelle1014[[#This Row],[Rank]],Stammdaten[[Rank Verteilung Ovalität]:[Verteilung Ovalität]],2,FALSE)</f>
        <v>#N/A</v>
      </c>
    </row>
    <row r="4047" spans="5:28" x14ac:dyDescent="0.35">
      <c r="E4047">
        <v>4038</v>
      </c>
      <c r="F4047" t="e">
        <f>INDEX(Stammdaten[D Mitte mit Rinde (mm)],MATCH(Tabelle8[[#This Row],[Rank]],Stammdaten[Rank Verteilung D Mitte mit Rinde],0))</f>
        <v>#N/A</v>
      </c>
      <c r="G4047" t="e">
        <f>VLOOKUP(Tabelle8[[#This Row],[Rank]],Stammdaten[[Rank Verteilung D Mitte mit Rinde]:[Verteilung D Mitte mit Rinde]],2,FALSE)</f>
        <v>#N/A</v>
      </c>
      <c r="L4047">
        <v>4038</v>
      </c>
      <c r="M4047" t="e">
        <f>INDEX(Stammdaten[Abholzigkeit (mm/lfm)],MATCH(Tabelle9[[#This Row],[Rank]],Stammdaten[Rank Verteilung Abholzigkeit],0))</f>
        <v>#N/A</v>
      </c>
      <c r="N4047" t="e">
        <f>VLOOKUP(Tabelle9[[#This Row],[Rank]],Stammdaten[[Rank Verteilung Abholzigkeit]:[Verteilung Abholzigkeit]],2,FALSE)</f>
        <v>#N/A</v>
      </c>
      <c r="S4047">
        <v>4038</v>
      </c>
      <c r="T4047" t="e">
        <f>INDEX(Stammdaten[Krümmung (mm/lfm)],MATCH(Tabelle10[[#This Row],[Rank]],Stammdaten[Rank Verteilung Krümmung],0))</f>
        <v>#N/A</v>
      </c>
      <c r="U4047" t="e">
        <f>VLOOKUP(Tabelle10[[#This Row],[Rank]],Stammdaten[[Rank Verteilung Krümmung]:[Verteilung Krümmung]],2,FALSE)</f>
        <v>#N/A</v>
      </c>
      <c r="Z4047">
        <v>4038</v>
      </c>
      <c r="AA4047" t="e">
        <f>INDEX(Stammdaten[Ovalität (']0,1'])],MATCH(Tabelle1014[[#This Row],[Rank]],Stammdaten[Rank Verteilung Ovalität],0))</f>
        <v>#N/A</v>
      </c>
      <c r="AB4047" t="e">
        <f>VLOOKUP(Tabelle1014[[#This Row],[Rank]],Stammdaten[[Rank Verteilung Ovalität]:[Verteilung Ovalität]],2,FALSE)</f>
        <v>#N/A</v>
      </c>
    </row>
    <row r="4048" spans="5:28" x14ac:dyDescent="0.35">
      <c r="E4048">
        <v>4039</v>
      </c>
      <c r="F4048" t="e">
        <f>INDEX(Stammdaten[D Mitte mit Rinde (mm)],MATCH(Tabelle8[[#This Row],[Rank]],Stammdaten[Rank Verteilung D Mitte mit Rinde],0))</f>
        <v>#N/A</v>
      </c>
      <c r="G4048" t="e">
        <f>VLOOKUP(Tabelle8[[#This Row],[Rank]],Stammdaten[[Rank Verteilung D Mitte mit Rinde]:[Verteilung D Mitte mit Rinde]],2,FALSE)</f>
        <v>#N/A</v>
      </c>
      <c r="L4048">
        <v>4039</v>
      </c>
      <c r="M4048" t="e">
        <f>INDEX(Stammdaten[Abholzigkeit (mm/lfm)],MATCH(Tabelle9[[#This Row],[Rank]],Stammdaten[Rank Verteilung Abholzigkeit],0))</f>
        <v>#N/A</v>
      </c>
      <c r="N4048" t="e">
        <f>VLOOKUP(Tabelle9[[#This Row],[Rank]],Stammdaten[[Rank Verteilung Abholzigkeit]:[Verteilung Abholzigkeit]],2,FALSE)</f>
        <v>#N/A</v>
      </c>
      <c r="S4048">
        <v>4039</v>
      </c>
      <c r="T4048" t="e">
        <f>INDEX(Stammdaten[Krümmung (mm/lfm)],MATCH(Tabelle10[[#This Row],[Rank]],Stammdaten[Rank Verteilung Krümmung],0))</f>
        <v>#N/A</v>
      </c>
      <c r="U4048" t="e">
        <f>VLOOKUP(Tabelle10[[#This Row],[Rank]],Stammdaten[[Rank Verteilung Krümmung]:[Verteilung Krümmung]],2,FALSE)</f>
        <v>#N/A</v>
      </c>
      <c r="Z4048">
        <v>4039</v>
      </c>
      <c r="AA4048" t="e">
        <f>INDEX(Stammdaten[Ovalität (']0,1'])],MATCH(Tabelle1014[[#This Row],[Rank]],Stammdaten[Rank Verteilung Ovalität],0))</f>
        <v>#N/A</v>
      </c>
      <c r="AB4048" t="e">
        <f>VLOOKUP(Tabelle1014[[#This Row],[Rank]],Stammdaten[[Rank Verteilung Ovalität]:[Verteilung Ovalität]],2,FALSE)</f>
        <v>#N/A</v>
      </c>
    </row>
    <row r="4049" spans="5:28" x14ac:dyDescent="0.35">
      <c r="E4049">
        <v>4040</v>
      </c>
      <c r="F4049" t="e">
        <f>INDEX(Stammdaten[D Mitte mit Rinde (mm)],MATCH(Tabelle8[[#This Row],[Rank]],Stammdaten[Rank Verteilung D Mitte mit Rinde],0))</f>
        <v>#N/A</v>
      </c>
      <c r="G4049" t="e">
        <f>VLOOKUP(Tabelle8[[#This Row],[Rank]],Stammdaten[[Rank Verteilung D Mitte mit Rinde]:[Verteilung D Mitte mit Rinde]],2,FALSE)</f>
        <v>#N/A</v>
      </c>
      <c r="L4049">
        <v>4040</v>
      </c>
      <c r="M4049" t="e">
        <f>INDEX(Stammdaten[Abholzigkeit (mm/lfm)],MATCH(Tabelle9[[#This Row],[Rank]],Stammdaten[Rank Verteilung Abholzigkeit],0))</f>
        <v>#N/A</v>
      </c>
      <c r="N4049" t="e">
        <f>VLOOKUP(Tabelle9[[#This Row],[Rank]],Stammdaten[[Rank Verteilung Abholzigkeit]:[Verteilung Abholzigkeit]],2,FALSE)</f>
        <v>#N/A</v>
      </c>
      <c r="S4049">
        <v>4040</v>
      </c>
      <c r="T4049" t="e">
        <f>INDEX(Stammdaten[Krümmung (mm/lfm)],MATCH(Tabelle10[[#This Row],[Rank]],Stammdaten[Rank Verteilung Krümmung],0))</f>
        <v>#N/A</v>
      </c>
      <c r="U4049" t="e">
        <f>VLOOKUP(Tabelle10[[#This Row],[Rank]],Stammdaten[[Rank Verteilung Krümmung]:[Verteilung Krümmung]],2,FALSE)</f>
        <v>#N/A</v>
      </c>
      <c r="Z4049">
        <v>4040</v>
      </c>
      <c r="AA4049" t="e">
        <f>INDEX(Stammdaten[Ovalität (']0,1'])],MATCH(Tabelle1014[[#This Row],[Rank]],Stammdaten[Rank Verteilung Ovalität],0))</f>
        <v>#N/A</v>
      </c>
      <c r="AB4049" t="e">
        <f>VLOOKUP(Tabelle1014[[#This Row],[Rank]],Stammdaten[[Rank Verteilung Ovalität]:[Verteilung Ovalität]],2,FALSE)</f>
        <v>#N/A</v>
      </c>
    </row>
    <row r="4050" spans="5:28" x14ac:dyDescent="0.35">
      <c r="E4050">
        <v>4041</v>
      </c>
      <c r="F4050" t="e">
        <f>INDEX(Stammdaten[D Mitte mit Rinde (mm)],MATCH(Tabelle8[[#This Row],[Rank]],Stammdaten[Rank Verteilung D Mitte mit Rinde],0))</f>
        <v>#N/A</v>
      </c>
      <c r="G4050" t="e">
        <f>VLOOKUP(Tabelle8[[#This Row],[Rank]],Stammdaten[[Rank Verteilung D Mitte mit Rinde]:[Verteilung D Mitte mit Rinde]],2,FALSE)</f>
        <v>#N/A</v>
      </c>
      <c r="L4050">
        <v>4041</v>
      </c>
      <c r="M4050" t="e">
        <f>INDEX(Stammdaten[Abholzigkeit (mm/lfm)],MATCH(Tabelle9[[#This Row],[Rank]],Stammdaten[Rank Verteilung Abholzigkeit],0))</f>
        <v>#N/A</v>
      </c>
      <c r="N4050" t="e">
        <f>VLOOKUP(Tabelle9[[#This Row],[Rank]],Stammdaten[[Rank Verteilung Abholzigkeit]:[Verteilung Abholzigkeit]],2,FALSE)</f>
        <v>#N/A</v>
      </c>
      <c r="S4050">
        <v>4041</v>
      </c>
      <c r="T4050" t="e">
        <f>INDEX(Stammdaten[Krümmung (mm/lfm)],MATCH(Tabelle10[[#This Row],[Rank]],Stammdaten[Rank Verteilung Krümmung],0))</f>
        <v>#N/A</v>
      </c>
      <c r="U4050" t="e">
        <f>VLOOKUP(Tabelle10[[#This Row],[Rank]],Stammdaten[[Rank Verteilung Krümmung]:[Verteilung Krümmung]],2,FALSE)</f>
        <v>#N/A</v>
      </c>
      <c r="Z4050">
        <v>4041</v>
      </c>
      <c r="AA4050" t="e">
        <f>INDEX(Stammdaten[Ovalität (']0,1'])],MATCH(Tabelle1014[[#This Row],[Rank]],Stammdaten[Rank Verteilung Ovalität],0))</f>
        <v>#N/A</v>
      </c>
      <c r="AB4050" t="e">
        <f>VLOOKUP(Tabelle1014[[#This Row],[Rank]],Stammdaten[[Rank Verteilung Ovalität]:[Verteilung Ovalität]],2,FALSE)</f>
        <v>#N/A</v>
      </c>
    </row>
    <row r="4051" spans="5:28" x14ac:dyDescent="0.35">
      <c r="E4051">
        <v>4042</v>
      </c>
      <c r="F4051" t="e">
        <f>INDEX(Stammdaten[D Mitte mit Rinde (mm)],MATCH(Tabelle8[[#This Row],[Rank]],Stammdaten[Rank Verteilung D Mitte mit Rinde],0))</f>
        <v>#N/A</v>
      </c>
      <c r="G4051" t="e">
        <f>VLOOKUP(Tabelle8[[#This Row],[Rank]],Stammdaten[[Rank Verteilung D Mitte mit Rinde]:[Verteilung D Mitte mit Rinde]],2,FALSE)</f>
        <v>#N/A</v>
      </c>
      <c r="L4051">
        <v>4042</v>
      </c>
      <c r="M4051" t="e">
        <f>INDEX(Stammdaten[Abholzigkeit (mm/lfm)],MATCH(Tabelle9[[#This Row],[Rank]],Stammdaten[Rank Verteilung Abholzigkeit],0))</f>
        <v>#N/A</v>
      </c>
      <c r="N4051" t="e">
        <f>VLOOKUP(Tabelle9[[#This Row],[Rank]],Stammdaten[[Rank Verteilung Abholzigkeit]:[Verteilung Abholzigkeit]],2,FALSE)</f>
        <v>#N/A</v>
      </c>
      <c r="S4051">
        <v>4042</v>
      </c>
      <c r="T4051" t="e">
        <f>INDEX(Stammdaten[Krümmung (mm/lfm)],MATCH(Tabelle10[[#This Row],[Rank]],Stammdaten[Rank Verteilung Krümmung],0))</f>
        <v>#N/A</v>
      </c>
      <c r="U4051" t="e">
        <f>VLOOKUP(Tabelle10[[#This Row],[Rank]],Stammdaten[[Rank Verteilung Krümmung]:[Verteilung Krümmung]],2,FALSE)</f>
        <v>#N/A</v>
      </c>
      <c r="Z4051">
        <v>4042</v>
      </c>
      <c r="AA4051" t="e">
        <f>INDEX(Stammdaten[Ovalität (']0,1'])],MATCH(Tabelle1014[[#This Row],[Rank]],Stammdaten[Rank Verteilung Ovalität],0))</f>
        <v>#N/A</v>
      </c>
      <c r="AB4051" t="e">
        <f>VLOOKUP(Tabelle1014[[#This Row],[Rank]],Stammdaten[[Rank Verteilung Ovalität]:[Verteilung Ovalität]],2,FALSE)</f>
        <v>#N/A</v>
      </c>
    </row>
    <row r="4052" spans="5:28" x14ac:dyDescent="0.35">
      <c r="E4052">
        <v>4043</v>
      </c>
      <c r="F4052" t="e">
        <f>INDEX(Stammdaten[D Mitte mit Rinde (mm)],MATCH(Tabelle8[[#This Row],[Rank]],Stammdaten[Rank Verteilung D Mitte mit Rinde],0))</f>
        <v>#N/A</v>
      </c>
      <c r="G4052" t="e">
        <f>VLOOKUP(Tabelle8[[#This Row],[Rank]],Stammdaten[[Rank Verteilung D Mitte mit Rinde]:[Verteilung D Mitte mit Rinde]],2,FALSE)</f>
        <v>#N/A</v>
      </c>
      <c r="L4052">
        <v>4043</v>
      </c>
      <c r="M4052" t="e">
        <f>INDEX(Stammdaten[Abholzigkeit (mm/lfm)],MATCH(Tabelle9[[#This Row],[Rank]],Stammdaten[Rank Verteilung Abholzigkeit],0))</f>
        <v>#N/A</v>
      </c>
      <c r="N4052" t="e">
        <f>VLOOKUP(Tabelle9[[#This Row],[Rank]],Stammdaten[[Rank Verteilung Abholzigkeit]:[Verteilung Abholzigkeit]],2,FALSE)</f>
        <v>#N/A</v>
      </c>
      <c r="S4052">
        <v>4043</v>
      </c>
      <c r="T4052" t="e">
        <f>INDEX(Stammdaten[Krümmung (mm/lfm)],MATCH(Tabelle10[[#This Row],[Rank]],Stammdaten[Rank Verteilung Krümmung],0))</f>
        <v>#N/A</v>
      </c>
      <c r="U4052" t="e">
        <f>VLOOKUP(Tabelle10[[#This Row],[Rank]],Stammdaten[[Rank Verteilung Krümmung]:[Verteilung Krümmung]],2,FALSE)</f>
        <v>#N/A</v>
      </c>
      <c r="Z4052">
        <v>4043</v>
      </c>
      <c r="AA4052" t="e">
        <f>INDEX(Stammdaten[Ovalität (']0,1'])],MATCH(Tabelle1014[[#This Row],[Rank]],Stammdaten[Rank Verteilung Ovalität],0))</f>
        <v>#N/A</v>
      </c>
      <c r="AB4052" t="e">
        <f>VLOOKUP(Tabelle1014[[#This Row],[Rank]],Stammdaten[[Rank Verteilung Ovalität]:[Verteilung Ovalität]],2,FALSE)</f>
        <v>#N/A</v>
      </c>
    </row>
    <row r="4053" spans="5:28" x14ac:dyDescent="0.35">
      <c r="E4053">
        <v>4044</v>
      </c>
      <c r="F4053" t="e">
        <f>INDEX(Stammdaten[D Mitte mit Rinde (mm)],MATCH(Tabelle8[[#This Row],[Rank]],Stammdaten[Rank Verteilung D Mitte mit Rinde],0))</f>
        <v>#N/A</v>
      </c>
      <c r="G4053" t="e">
        <f>VLOOKUP(Tabelle8[[#This Row],[Rank]],Stammdaten[[Rank Verteilung D Mitte mit Rinde]:[Verteilung D Mitte mit Rinde]],2,FALSE)</f>
        <v>#N/A</v>
      </c>
      <c r="L4053">
        <v>4044</v>
      </c>
      <c r="M4053" t="e">
        <f>INDEX(Stammdaten[Abholzigkeit (mm/lfm)],MATCH(Tabelle9[[#This Row],[Rank]],Stammdaten[Rank Verteilung Abholzigkeit],0))</f>
        <v>#N/A</v>
      </c>
      <c r="N4053" t="e">
        <f>VLOOKUP(Tabelle9[[#This Row],[Rank]],Stammdaten[[Rank Verteilung Abholzigkeit]:[Verteilung Abholzigkeit]],2,FALSE)</f>
        <v>#N/A</v>
      </c>
      <c r="S4053">
        <v>4044</v>
      </c>
      <c r="T4053" t="e">
        <f>INDEX(Stammdaten[Krümmung (mm/lfm)],MATCH(Tabelle10[[#This Row],[Rank]],Stammdaten[Rank Verteilung Krümmung],0))</f>
        <v>#N/A</v>
      </c>
      <c r="U4053" t="e">
        <f>VLOOKUP(Tabelle10[[#This Row],[Rank]],Stammdaten[[Rank Verteilung Krümmung]:[Verteilung Krümmung]],2,FALSE)</f>
        <v>#N/A</v>
      </c>
      <c r="Z4053">
        <v>4044</v>
      </c>
      <c r="AA4053" t="e">
        <f>INDEX(Stammdaten[Ovalität (']0,1'])],MATCH(Tabelle1014[[#This Row],[Rank]],Stammdaten[Rank Verteilung Ovalität],0))</f>
        <v>#N/A</v>
      </c>
      <c r="AB4053" t="e">
        <f>VLOOKUP(Tabelle1014[[#This Row],[Rank]],Stammdaten[[Rank Verteilung Ovalität]:[Verteilung Ovalität]],2,FALSE)</f>
        <v>#N/A</v>
      </c>
    </row>
    <row r="4054" spans="5:28" x14ac:dyDescent="0.35">
      <c r="E4054">
        <v>4045</v>
      </c>
      <c r="F4054" t="e">
        <f>INDEX(Stammdaten[D Mitte mit Rinde (mm)],MATCH(Tabelle8[[#This Row],[Rank]],Stammdaten[Rank Verteilung D Mitte mit Rinde],0))</f>
        <v>#N/A</v>
      </c>
      <c r="G4054" t="e">
        <f>VLOOKUP(Tabelle8[[#This Row],[Rank]],Stammdaten[[Rank Verteilung D Mitte mit Rinde]:[Verteilung D Mitte mit Rinde]],2,FALSE)</f>
        <v>#N/A</v>
      </c>
      <c r="L4054">
        <v>4045</v>
      </c>
      <c r="M4054" t="e">
        <f>INDEX(Stammdaten[Abholzigkeit (mm/lfm)],MATCH(Tabelle9[[#This Row],[Rank]],Stammdaten[Rank Verteilung Abholzigkeit],0))</f>
        <v>#N/A</v>
      </c>
      <c r="N4054" t="e">
        <f>VLOOKUP(Tabelle9[[#This Row],[Rank]],Stammdaten[[Rank Verteilung Abholzigkeit]:[Verteilung Abholzigkeit]],2,FALSE)</f>
        <v>#N/A</v>
      </c>
      <c r="S4054">
        <v>4045</v>
      </c>
      <c r="T4054" t="e">
        <f>INDEX(Stammdaten[Krümmung (mm/lfm)],MATCH(Tabelle10[[#This Row],[Rank]],Stammdaten[Rank Verteilung Krümmung],0))</f>
        <v>#N/A</v>
      </c>
      <c r="U4054" t="e">
        <f>VLOOKUP(Tabelle10[[#This Row],[Rank]],Stammdaten[[Rank Verteilung Krümmung]:[Verteilung Krümmung]],2,FALSE)</f>
        <v>#N/A</v>
      </c>
      <c r="Z4054">
        <v>4045</v>
      </c>
      <c r="AA4054" t="e">
        <f>INDEX(Stammdaten[Ovalität (']0,1'])],MATCH(Tabelle1014[[#This Row],[Rank]],Stammdaten[Rank Verteilung Ovalität],0))</f>
        <v>#N/A</v>
      </c>
      <c r="AB4054" t="e">
        <f>VLOOKUP(Tabelle1014[[#This Row],[Rank]],Stammdaten[[Rank Verteilung Ovalität]:[Verteilung Ovalität]],2,FALSE)</f>
        <v>#N/A</v>
      </c>
    </row>
    <row r="4055" spans="5:28" x14ac:dyDescent="0.35">
      <c r="E4055">
        <v>4046</v>
      </c>
      <c r="F4055" t="e">
        <f>INDEX(Stammdaten[D Mitte mit Rinde (mm)],MATCH(Tabelle8[[#This Row],[Rank]],Stammdaten[Rank Verteilung D Mitte mit Rinde],0))</f>
        <v>#N/A</v>
      </c>
      <c r="G4055" t="e">
        <f>VLOOKUP(Tabelle8[[#This Row],[Rank]],Stammdaten[[Rank Verteilung D Mitte mit Rinde]:[Verteilung D Mitte mit Rinde]],2,FALSE)</f>
        <v>#N/A</v>
      </c>
      <c r="L4055">
        <v>4046</v>
      </c>
      <c r="M4055" t="e">
        <f>INDEX(Stammdaten[Abholzigkeit (mm/lfm)],MATCH(Tabelle9[[#This Row],[Rank]],Stammdaten[Rank Verteilung Abholzigkeit],0))</f>
        <v>#N/A</v>
      </c>
      <c r="N4055" t="e">
        <f>VLOOKUP(Tabelle9[[#This Row],[Rank]],Stammdaten[[Rank Verteilung Abholzigkeit]:[Verteilung Abholzigkeit]],2,FALSE)</f>
        <v>#N/A</v>
      </c>
      <c r="S4055">
        <v>4046</v>
      </c>
      <c r="T4055" t="e">
        <f>INDEX(Stammdaten[Krümmung (mm/lfm)],MATCH(Tabelle10[[#This Row],[Rank]],Stammdaten[Rank Verteilung Krümmung],0))</f>
        <v>#N/A</v>
      </c>
      <c r="U4055" t="e">
        <f>VLOOKUP(Tabelle10[[#This Row],[Rank]],Stammdaten[[Rank Verteilung Krümmung]:[Verteilung Krümmung]],2,FALSE)</f>
        <v>#N/A</v>
      </c>
      <c r="Z4055">
        <v>4046</v>
      </c>
      <c r="AA4055" t="e">
        <f>INDEX(Stammdaten[Ovalität (']0,1'])],MATCH(Tabelle1014[[#This Row],[Rank]],Stammdaten[Rank Verteilung Ovalität],0))</f>
        <v>#N/A</v>
      </c>
      <c r="AB4055" t="e">
        <f>VLOOKUP(Tabelle1014[[#This Row],[Rank]],Stammdaten[[Rank Verteilung Ovalität]:[Verteilung Ovalität]],2,FALSE)</f>
        <v>#N/A</v>
      </c>
    </row>
    <row r="4056" spans="5:28" x14ac:dyDescent="0.35">
      <c r="E4056">
        <v>4047</v>
      </c>
      <c r="F4056" t="e">
        <f>INDEX(Stammdaten[D Mitte mit Rinde (mm)],MATCH(Tabelle8[[#This Row],[Rank]],Stammdaten[Rank Verteilung D Mitte mit Rinde],0))</f>
        <v>#N/A</v>
      </c>
      <c r="G4056" t="e">
        <f>VLOOKUP(Tabelle8[[#This Row],[Rank]],Stammdaten[[Rank Verteilung D Mitte mit Rinde]:[Verteilung D Mitte mit Rinde]],2,FALSE)</f>
        <v>#N/A</v>
      </c>
      <c r="L4056">
        <v>4047</v>
      </c>
      <c r="M4056" t="e">
        <f>INDEX(Stammdaten[Abholzigkeit (mm/lfm)],MATCH(Tabelle9[[#This Row],[Rank]],Stammdaten[Rank Verteilung Abholzigkeit],0))</f>
        <v>#N/A</v>
      </c>
      <c r="N4056" t="e">
        <f>VLOOKUP(Tabelle9[[#This Row],[Rank]],Stammdaten[[Rank Verteilung Abholzigkeit]:[Verteilung Abholzigkeit]],2,FALSE)</f>
        <v>#N/A</v>
      </c>
      <c r="S4056">
        <v>4047</v>
      </c>
      <c r="T4056" t="e">
        <f>INDEX(Stammdaten[Krümmung (mm/lfm)],MATCH(Tabelle10[[#This Row],[Rank]],Stammdaten[Rank Verteilung Krümmung],0))</f>
        <v>#N/A</v>
      </c>
      <c r="U4056" t="e">
        <f>VLOOKUP(Tabelle10[[#This Row],[Rank]],Stammdaten[[Rank Verteilung Krümmung]:[Verteilung Krümmung]],2,FALSE)</f>
        <v>#N/A</v>
      </c>
      <c r="Z4056">
        <v>4047</v>
      </c>
      <c r="AA4056" t="e">
        <f>INDEX(Stammdaten[Ovalität (']0,1'])],MATCH(Tabelle1014[[#This Row],[Rank]],Stammdaten[Rank Verteilung Ovalität],0))</f>
        <v>#N/A</v>
      </c>
      <c r="AB4056" t="e">
        <f>VLOOKUP(Tabelle1014[[#This Row],[Rank]],Stammdaten[[Rank Verteilung Ovalität]:[Verteilung Ovalität]],2,FALSE)</f>
        <v>#N/A</v>
      </c>
    </row>
    <row r="4057" spans="5:28" x14ac:dyDescent="0.35">
      <c r="E4057">
        <v>4048</v>
      </c>
      <c r="F4057" t="e">
        <f>INDEX(Stammdaten[D Mitte mit Rinde (mm)],MATCH(Tabelle8[[#This Row],[Rank]],Stammdaten[Rank Verteilung D Mitte mit Rinde],0))</f>
        <v>#N/A</v>
      </c>
      <c r="G4057" t="e">
        <f>VLOOKUP(Tabelle8[[#This Row],[Rank]],Stammdaten[[Rank Verteilung D Mitte mit Rinde]:[Verteilung D Mitte mit Rinde]],2,FALSE)</f>
        <v>#N/A</v>
      </c>
      <c r="L4057">
        <v>4048</v>
      </c>
      <c r="M4057" t="e">
        <f>INDEX(Stammdaten[Abholzigkeit (mm/lfm)],MATCH(Tabelle9[[#This Row],[Rank]],Stammdaten[Rank Verteilung Abholzigkeit],0))</f>
        <v>#N/A</v>
      </c>
      <c r="N4057" t="e">
        <f>VLOOKUP(Tabelle9[[#This Row],[Rank]],Stammdaten[[Rank Verteilung Abholzigkeit]:[Verteilung Abholzigkeit]],2,FALSE)</f>
        <v>#N/A</v>
      </c>
      <c r="S4057">
        <v>4048</v>
      </c>
      <c r="T4057" t="e">
        <f>INDEX(Stammdaten[Krümmung (mm/lfm)],MATCH(Tabelle10[[#This Row],[Rank]],Stammdaten[Rank Verteilung Krümmung],0))</f>
        <v>#N/A</v>
      </c>
      <c r="U4057" t="e">
        <f>VLOOKUP(Tabelle10[[#This Row],[Rank]],Stammdaten[[Rank Verteilung Krümmung]:[Verteilung Krümmung]],2,FALSE)</f>
        <v>#N/A</v>
      </c>
      <c r="Z4057">
        <v>4048</v>
      </c>
      <c r="AA4057" t="e">
        <f>INDEX(Stammdaten[Ovalität (']0,1'])],MATCH(Tabelle1014[[#This Row],[Rank]],Stammdaten[Rank Verteilung Ovalität],0))</f>
        <v>#N/A</v>
      </c>
      <c r="AB4057" t="e">
        <f>VLOOKUP(Tabelle1014[[#This Row],[Rank]],Stammdaten[[Rank Verteilung Ovalität]:[Verteilung Ovalität]],2,FALSE)</f>
        <v>#N/A</v>
      </c>
    </row>
    <row r="4058" spans="5:28" x14ac:dyDescent="0.35">
      <c r="E4058">
        <v>4049</v>
      </c>
      <c r="F4058" t="e">
        <f>INDEX(Stammdaten[D Mitte mit Rinde (mm)],MATCH(Tabelle8[[#This Row],[Rank]],Stammdaten[Rank Verteilung D Mitte mit Rinde],0))</f>
        <v>#N/A</v>
      </c>
      <c r="G4058" t="e">
        <f>VLOOKUP(Tabelle8[[#This Row],[Rank]],Stammdaten[[Rank Verteilung D Mitte mit Rinde]:[Verteilung D Mitte mit Rinde]],2,FALSE)</f>
        <v>#N/A</v>
      </c>
      <c r="L4058">
        <v>4049</v>
      </c>
      <c r="M4058" t="e">
        <f>INDEX(Stammdaten[Abholzigkeit (mm/lfm)],MATCH(Tabelle9[[#This Row],[Rank]],Stammdaten[Rank Verteilung Abholzigkeit],0))</f>
        <v>#N/A</v>
      </c>
      <c r="N4058" t="e">
        <f>VLOOKUP(Tabelle9[[#This Row],[Rank]],Stammdaten[[Rank Verteilung Abholzigkeit]:[Verteilung Abholzigkeit]],2,FALSE)</f>
        <v>#N/A</v>
      </c>
      <c r="S4058">
        <v>4049</v>
      </c>
      <c r="T4058" t="e">
        <f>INDEX(Stammdaten[Krümmung (mm/lfm)],MATCH(Tabelle10[[#This Row],[Rank]],Stammdaten[Rank Verteilung Krümmung],0))</f>
        <v>#N/A</v>
      </c>
      <c r="U4058" t="e">
        <f>VLOOKUP(Tabelle10[[#This Row],[Rank]],Stammdaten[[Rank Verteilung Krümmung]:[Verteilung Krümmung]],2,FALSE)</f>
        <v>#N/A</v>
      </c>
      <c r="Z4058">
        <v>4049</v>
      </c>
      <c r="AA4058" t="e">
        <f>INDEX(Stammdaten[Ovalität (']0,1'])],MATCH(Tabelle1014[[#This Row],[Rank]],Stammdaten[Rank Verteilung Ovalität],0))</f>
        <v>#N/A</v>
      </c>
      <c r="AB4058" t="e">
        <f>VLOOKUP(Tabelle1014[[#This Row],[Rank]],Stammdaten[[Rank Verteilung Ovalität]:[Verteilung Ovalität]],2,FALSE)</f>
        <v>#N/A</v>
      </c>
    </row>
    <row r="4059" spans="5:28" x14ac:dyDescent="0.35">
      <c r="E4059">
        <v>4050</v>
      </c>
      <c r="F4059" t="e">
        <f>INDEX(Stammdaten[D Mitte mit Rinde (mm)],MATCH(Tabelle8[[#This Row],[Rank]],Stammdaten[Rank Verteilung D Mitte mit Rinde],0))</f>
        <v>#N/A</v>
      </c>
      <c r="G4059" t="e">
        <f>VLOOKUP(Tabelle8[[#This Row],[Rank]],Stammdaten[[Rank Verteilung D Mitte mit Rinde]:[Verteilung D Mitte mit Rinde]],2,FALSE)</f>
        <v>#N/A</v>
      </c>
      <c r="L4059">
        <v>4050</v>
      </c>
      <c r="M4059" t="e">
        <f>INDEX(Stammdaten[Abholzigkeit (mm/lfm)],MATCH(Tabelle9[[#This Row],[Rank]],Stammdaten[Rank Verteilung Abholzigkeit],0))</f>
        <v>#N/A</v>
      </c>
      <c r="N4059" t="e">
        <f>VLOOKUP(Tabelle9[[#This Row],[Rank]],Stammdaten[[Rank Verteilung Abholzigkeit]:[Verteilung Abholzigkeit]],2,FALSE)</f>
        <v>#N/A</v>
      </c>
      <c r="S4059">
        <v>4050</v>
      </c>
      <c r="T4059" t="e">
        <f>INDEX(Stammdaten[Krümmung (mm/lfm)],MATCH(Tabelle10[[#This Row],[Rank]],Stammdaten[Rank Verteilung Krümmung],0))</f>
        <v>#N/A</v>
      </c>
      <c r="U4059" t="e">
        <f>VLOOKUP(Tabelle10[[#This Row],[Rank]],Stammdaten[[Rank Verteilung Krümmung]:[Verteilung Krümmung]],2,FALSE)</f>
        <v>#N/A</v>
      </c>
      <c r="Z4059">
        <v>4050</v>
      </c>
      <c r="AA4059" t="e">
        <f>INDEX(Stammdaten[Ovalität (']0,1'])],MATCH(Tabelle1014[[#This Row],[Rank]],Stammdaten[Rank Verteilung Ovalität],0))</f>
        <v>#N/A</v>
      </c>
      <c r="AB4059" t="e">
        <f>VLOOKUP(Tabelle1014[[#This Row],[Rank]],Stammdaten[[Rank Verteilung Ovalität]:[Verteilung Ovalität]],2,FALSE)</f>
        <v>#N/A</v>
      </c>
    </row>
    <row r="4060" spans="5:28" x14ac:dyDescent="0.35">
      <c r="E4060">
        <v>4051</v>
      </c>
      <c r="F4060" t="e">
        <f>INDEX(Stammdaten[D Mitte mit Rinde (mm)],MATCH(Tabelle8[[#This Row],[Rank]],Stammdaten[Rank Verteilung D Mitte mit Rinde],0))</f>
        <v>#N/A</v>
      </c>
      <c r="G4060" t="e">
        <f>VLOOKUP(Tabelle8[[#This Row],[Rank]],Stammdaten[[Rank Verteilung D Mitte mit Rinde]:[Verteilung D Mitte mit Rinde]],2,FALSE)</f>
        <v>#N/A</v>
      </c>
      <c r="L4060">
        <v>4051</v>
      </c>
      <c r="M4060" t="e">
        <f>INDEX(Stammdaten[Abholzigkeit (mm/lfm)],MATCH(Tabelle9[[#This Row],[Rank]],Stammdaten[Rank Verteilung Abholzigkeit],0))</f>
        <v>#N/A</v>
      </c>
      <c r="N4060" t="e">
        <f>VLOOKUP(Tabelle9[[#This Row],[Rank]],Stammdaten[[Rank Verteilung Abholzigkeit]:[Verteilung Abholzigkeit]],2,FALSE)</f>
        <v>#N/A</v>
      </c>
      <c r="S4060">
        <v>4051</v>
      </c>
      <c r="T4060" t="e">
        <f>INDEX(Stammdaten[Krümmung (mm/lfm)],MATCH(Tabelle10[[#This Row],[Rank]],Stammdaten[Rank Verteilung Krümmung],0))</f>
        <v>#N/A</v>
      </c>
      <c r="U4060" t="e">
        <f>VLOOKUP(Tabelle10[[#This Row],[Rank]],Stammdaten[[Rank Verteilung Krümmung]:[Verteilung Krümmung]],2,FALSE)</f>
        <v>#N/A</v>
      </c>
      <c r="Z4060">
        <v>4051</v>
      </c>
      <c r="AA4060" t="e">
        <f>INDEX(Stammdaten[Ovalität (']0,1'])],MATCH(Tabelle1014[[#This Row],[Rank]],Stammdaten[Rank Verteilung Ovalität],0))</f>
        <v>#N/A</v>
      </c>
      <c r="AB4060" t="e">
        <f>VLOOKUP(Tabelle1014[[#This Row],[Rank]],Stammdaten[[Rank Verteilung Ovalität]:[Verteilung Ovalität]],2,FALSE)</f>
        <v>#N/A</v>
      </c>
    </row>
    <row r="4061" spans="5:28" x14ac:dyDescent="0.35">
      <c r="E4061">
        <v>4052</v>
      </c>
      <c r="F4061" t="e">
        <f>INDEX(Stammdaten[D Mitte mit Rinde (mm)],MATCH(Tabelle8[[#This Row],[Rank]],Stammdaten[Rank Verteilung D Mitte mit Rinde],0))</f>
        <v>#N/A</v>
      </c>
      <c r="G4061" t="e">
        <f>VLOOKUP(Tabelle8[[#This Row],[Rank]],Stammdaten[[Rank Verteilung D Mitte mit Rinde]:[Verteilung D Mitte mit Rinde]],2,FALSE)</f>
        <v>#N/A</v>
      </c>
      <c r="L4061">
        <v>4052</v>
      </c>
      <c r="M4061" t="e">
        <f>INDEX(Stammdaten[Abholzigkeit (mm/lfm)],MATCH(Tabelle9[[#This Row],[Rank]],Stammdaten[Rank Verteilung Abholzigkeit],0))</f>
        <v>#N/A</v>
      </c>
      <c r="N4061" t="e">
        <f>VLOOKUP(Tabelle9[[#This Row],[Rank]],Stammdaten[[Rank Verteilung Abholzigkeit]:[Verteilung Abholzigkeit]],2,FALSE)</f>
        <v>#N/A</v>
      </c>
      <c r="S4061">
        <v>4052</v>
      </c>
      <c r="T4061" t="e">
        <f>INDEX(Stammdaten[Krümmung (mm/lfm)],MATCH(Tabelle10[[#This Row],[Rank]],Stammdaten[Rank Verteilung Krümmung],0))</f>
        <v>#N/A</v>
      </c>
      <c r="U4061" t="e">
        <f>VLOOKUP(Tabelle10[[#This Row],[Rank]],Stammdaten[[Rank Verteilung Krümmung]:[Verteilung Krümmung]],2,FALSE)</f>
        <v>#N/A</v>
      </c>
      <c r="Z4061">
        <v>4052</v>
      </c>
      <c r="AA4061" t="e">
        <f>INDEX(Stammdaten[Ovalität (']0,1'])],MATCH(Tabelle1014[[#This Row],[Rank]],Stammdaten[Rank Verteilung Ovalität],0))</f>
        <v>#N/A</v>
      </c>
      <c r="AB4061" t="e">
        <f>VLOOKUP(Tabelle1014[[#This Row],[Rank]],Stammdaten[[Rank Verteilung Ovalität]:[Verteilung Ovalität]],2,FALSE)</f>
        <v>#N/A</v>
      </c>
    </row>
    <row r="4062" spans="5:28" x14ac:dyDescent="0.35">
      <c r="E4062">
        <v>4053</v>
      </c>
      <c r="F4062" t="e">
        <f>INDEX(Stammdaten[D Mitte mit Rinde (mm)],MATCH(Tabelle8[[#This Row],[Rank]],Stammdaten[Rank Verteilung D Mitte mit Rinde],0))</f>
        <v>#N/A</v>
      </c>
      <c r="G4062" t="e">
        <f>VLOOKUP(Tabelle8[[#This Row],[Rank]],Stammdaten[[Rank Verteilung D Mitte mit Rinde]:[Verteilung D Mitte mit Rinde]],2,FALSE)</f>
        <v>#N/A</v>
      </c>
      <c r="L4062">
        <v>4053</v>
      </c>
      <c r="M4062" t="e">
        <f>INDEX(Stammdaten[Abholzigkeit (mm/lfm)],MATCH(Tabelle9[[#This Row],[Rank]],Stammdaten[Rank Verteilung Abholzigkeit],0))</f>
        <v>#N/A</v>
      </c>
      <c r="N4062" t="e">
        <f>VLOOKUP(Tabelle9[[#This Row],[Rank]],Stammdaten[[Rank Verteilung Abholzigkeit]:[Verteilung Abholzigkeit]],2,FALSE)</f>
        <v>#N/A</v>
      </c>
      <c r="S4062">
        <v>4053</v>
      </c>
      <c r="T4062" t="e">
        <f>INDEX(Stammdaten[Krümmung (mm/lfm)],MATCH(Tabelle10[[#This Row],[Rank]],Stammdaten[Rank Verteilung Krümmung],0))</f>
        <v>#N/A</v>
      </c>
      <c r="U4062" t="e">
        <f>VLOOKUP(Tabelle10[[#This Row],[Rank]],Stammdaten[[Rank Verteilung Krümmung]:[Verteilung Krümmung]],2,FALSE)</f>
        <v>#N/A</v>
      </c>
      <c r="Z4062">
        <v>4053</v>
      </c>
      <c r="AA4062" t="e">
        <f>INDEX(Stammdaten[Ovalität (']0,1'])],MATCH(Tabelle1014[[#This Row],[Rank]],Stammdaten[Rank Verteilung Ovalität],0))</f>
        <v>#N/A</v>
      </c>
      <c r="AB4062" t="e">
        <f>VLOOKUP(Tabelle1014[[#This Row],[Rank]],Stammdaten[[Rank Verteilung Ovalität]:[Verteilung Ovalität]],2,FALSE)</f>
        <v>#N/A</v>
      </c>
    </row>
    <row r="4063" spans="5:28" x14ac:dyDescent="0.35">
      <c r="E4063">
        <v>4054</v>
      </c>
      <c r="F4063" t="e">
        <f>INDEX(Stammdaten[D Mitte mit Rinde (mm)],MATCH(Tabelle8[[#This Row],[Rank]],Stammdaten[Rank Verteilung D Mitte mit Rinde],0))</f>
        <v>#N/A</v>
      </c>
      <c r="G4063" t="e">
        <f>VLOOKUP(Tabelle8[[#This Row],[Rank]],Stammdaten[[Rank Verteilung D Mitte mit Rinde]:[Verteilung D Mitte mit Rinde]],2,FALSE)</f>
        <v>#N/A</v>
      </c>
      <c r="L4063">
        <v>4054</v>
      </c>
      <c r="M4063" t="e">
        <f>INDEX(Stammdaten[Abholzigkeit (mm/lfm)],MATCH(Tabelle9[[#This Row],[Rank]],Stammdaten[Rank Verteilung Abholzigkeit],0))</f>
        <v>#N/A</v>
      </c>
      <c r="N4063" t="e">
        <f>VLOOKUP(Tabelle9[[#This Row],[Rank]],Stammdaten[[Rank Verteilung Abholzigkeit]:[Verteilung Abholzigkeit]],2,FALSE)</f>
        <v>#N/A</v>
      </c>
      <c r="S4063">
        <v>4054</v>
      </c>
      <c r="T4063" t="e">
        <f>INDEX(Stammdaten[Krümmung (mm/lfm)],MATCH(Tabelle10[[#This Row],[Rank]],Stammdaten[Rank Verteilung Krümmung],0))</f>
        <v>#N/A</v>
      </c>
      <c r="U4063" t="e">
        <f>VLOOKUP(Tabelle10[[#This Row],[Rank]],Stammdaten[[Rank Verteilung Krümmung]:[Verteilung Krümmung]],2,FALSE)</f>
        <v>#N/A</v>
      </c>
      <c r="Z4063">
        <v>4054</v>
      </c>
      <c r="AA4063" t="e">
        <f>INDEX(Stammdaten[Ovalität (']0,1'])],MATCH(Tabelle1014[[#This Row],[Rank]],Stammdaten[Rank Verteilung Ovalität],0))</f>
        <v>#N/A</v>
      </c>
      <c r="AB4063" t="e">
        <f>VLOOKUP(Tabelle1014[[#This Row],[Rank]],Stammdaten[[Rank Verteilung Ovalität]:[Verteilung Ovalität]],2,FALSE)</f>
        <v>#N/A</v>
      </c>
    </row>
    <row r="4064" spans="5:28" x14ac:dyDescent="0.35">
      <c r="E4064">
        <v>4055</v>
      </c>
      <c r="F4064" t="e">
        <f>INDEX(Stammdaten[D Mitte mit Rinde (mm)],MATCH(Tabelle8[[#This Row],[Rank]],Stammdaten[Rank Verteilung D Mitte mit Rinde],0))</f>
        <v>#N/A</v>
      </c>
      <c r="G4064" t="e">
        <f>VLOOKUP(Tabelle8[[#This Row],[Rank]],Stammdaten[[Rank Verteilung D Mitte mit Rinde]:[Verteilung D Mitte mit Rinde]],2,FALSE)</f>
        <v>#N/A</v>
      </c>
      <c r="L4064">
        <v>4055</v>
      </c>
      <c r="M4064" t="e">
        <f>INDEX(Stammdaten[Abholzigkeit (mm/lfm)],MATCH(Tabelle9[[#This Row],[Rank]],Stammdaten[Rank Verteilung Abholzigkeit],0))</f>
        <v>#N/A</v>
      </c>
      <c r="N4064" t="e">
        <f>VLOOKUP(Tabelle9[[#This Row],[Rank]],Stammdaten[[Rank Verteilung Abholzigkeit]:[Verteilung Abholzigkeit]],2,FALSE)</f>
        <v>#N/A</v>
      </c>
      <c r="S4064">
        <v>4055</v>
      </c>
      <c r="T4064" t="e">
        <f>INDEX(Stammdaten[Krümmung (mm/lfm)],MATCH(Tabelle10[[#This Row],[Rank]],Stammdaten[Rank Verteilung Krümmung],0))</f>
        <v>#N/A</v>
      </c>
      <c r="U4064" t="e">
        <f>VLOOKUP(Tabelle10[[#This Row],[Rank]],Stammdaten[[Rank Verteilung Krümmung]:[Verteilung Krümmung]],2,FALSE)</f>
        <v>#N/A</v>
      </c>
      <c r="Z4064">
        <v>4055</v>
      </c>
      <c r="AA4064" t="e">
        <f>INDEX(Stammdaten[Ovalität (']0,1'])],MATCH(Tabelle1014[[#This Row],[Rank]],Stammdaten[Rank Verteilung Ovalität],0))</f>
        <v>#N/A</v>
      </c>
      <c r="AB4064" t="e">
        <f>VLOOKUP(Tabelle1014[[#This Row],[Rank]],Stammdaten[[Rank Verteilung Ovalität]:[Verteilung Ovalität]],2,FALSE)</f>
        <v>#N/A</v>
      </c>
    </row>
    <row r="4065" spans="5:28" x14ac:dyDescent="0.35">
      <c r="E4065">
        <v>4056</v>
      </c>
      <c r="F4065" t="e">
        <f>INDEX(Stammdaten[D Mitte mit Rinde (mm)],MATCH(Tabelle8[[#This Row],[Rank]],Stammdaten[Rank Verteilung D Mitte mit Rinde],0))</f>
        <v>#N/A</v>
      </c>
      <c r="G4065" t="e">
        <f>VLOOKUP(Tabelle8[[#This Row],[Rank]],Stammdaten[[Rank Verteilung D Mitte mit Rinde]:[Verteilung D Mitte mit Rinde]],2,FALSE)</f>
        <v>#N/A</v>
      </c>
      <c r="L4065">
        <v>4056</v>
      </c>
      <c r="M4065" t="e">
        <f>INDEX(Stammdaten[Abholzigkeit (mm/lfm)],MATCH(Tabelle9[[#This Row],[Rank]],Stammdaten[Rank Verteilung Abholzigkeit],0))</f>
        <v>#N/A</v>
      </c>
      <c r="N4065" t="e">
        <f>VLOOKUP(Tabelle9[[#This Row],[Rank]],Stammdaten[[Rank Verteilung Abholzigkeit]:[Verteilung Abholzigkeit]],2,FALSE)</f>
        <v>#N/A</v>
      </c>
      <c r="S4065">
        <v>4056</v>
      </c>
      <c r="T4065" t="e">
        <f>INDEX(Stammdaten[Krümmung (mm/lfm)],MATCH(Tabelle10[[#This Row],[Rank]],Stammdaten[Rank Verteilung Krümmung],0))</f>
        <v>#N/A</v>
      </c>
      <c r="U4065" t="e">
        <f>VLOOKUP(Tabelle10[[#This Row],[Rank]],Stammdaten[[Rank Verteilung Krümmung]:[Verteilung Krümmung]],2,FALSE)</f>
        <v>#N/A</v>
      </c>
      <c r="Z4065">
        <v>4056</v>
      </c>
      <c r="AA4065" t="e">
        <f>INDEX(Stammdaten[Ovalität (']0,1'])],MATCH(Tabelle1014[[#This Row],[Rank]],Stammdaten[Rank Verteilung Ovalität],0))</f>
        <v>#N/A</v>
      </c>
      <c r="AB4065" t="e">
        <f>VLOOKUP(Tabelle1014[[#This Row],[Rank]],Stammdaten[[Rank Verteilung Ovalität]:[Verteilung Ovalität]],2,FALSE)</f>
        <v>#N/A</v>
      </c>
    </row>
    <row r="4066" spans="5:28" x14ac:dyDescent="0.35">
      <c r="E4066">
        <v>4057</v>
      </c>
      <c r="F4066" t="e">
        <f>INDEX(Stammdaten[D Mitte mit Rinde (mm)],MATCH(Tabelle8[[#This Row],[Rank]],Stammdaten[Rank Verteilung D Mitte mit Rinde],0))</f>
        <v>#N/A</v>
      </c>
      <c r="G4066" t="e">
        <f>VLOOKUP(Tabelle8[[#This Row],[Rank]],Stammdaten[[Rank Verteilung D Mitte mit Rinde]:[Verteilung D Mitte mit Rinde]],2,FALSE)</f>
        <v>#N/A</v>
      </c>
      <c r="L4066">
        <v>4057</v>
      </c>
      <c r="M4066" t="e">
        <f>INDEX(Stammdaten[Abholzigkeit (mm/lfm)],MATCH(Tabelle9[[#This Row],[Rank]],Stammdaten[Rank Verteilung Abholzigkeit],0))</f>
        <v>#N/A</v>
      </c>
      <c r="N4066" t="e">
        <f>VLOOKUP(Tabelle9[[#This Row],[Rank]],Stammdaten[[Rank Verteilung Abholzigkeit]:[Verteilung Abholzigkeit]],2,FALSE)</f>
        <v>#N/A</v>
      </c>
      <c r="S4066">
        <v>4057</v>
      </c>
      <c r="T4066" t="e">
        <f>INDEX(Stammdaten[Krümmung (mm/lfm)],MATCH(Tabelle10[[#This Row],[Rank]],Stammdaten[Rank Verteilung Krümmung],0))</f>
        <v>#N/A</v>
      </c>
      <c r="U4066" t="e">
        <f>VLOOKUP(Tabelle10[[#This Row],[Rank]],Stammdaten[[Rank Verteilung Krümmung]:[Verteilung Krümmung]],2,FALSE)</f>
        <v>#N/A</v>
      </c>
      <c r="Z4066">
        <v>4057</v>
      </c>
      <c r="AA4066" t="e">
        <f>INDEX(Stammdaten[Ovalität (']0,1'])],MATCH(Tabelle1014[[#This Row],[Rank]],Stammdaten[Rank Verteilung Ovalität],0))</f>
        <v>#N/A</v>
      </c>
      <c r="AB4066" t="e">
        <f>VLOOKUP(Tabelle1014[[#This Row],[Rank]],Stammdaten[[Rank Verteilung Ovalität]:[Verteilung Ovalität]],2,FALSE)</f>
        <v>#N/A</v>
      </c>
    </row>
    <row r="4067" spans="5:28" x14ac:dyDescent="0.35">
      <c r="E4067">
        <v>4058</v>
      </c>
      <c r="F4067" t="e">
        <f>INDEX(Stammdaten[D Mitte mit Rinde (mm)],MATCH(Tabelle8[[#This Row],[Rank]],Stammdaten[Rank Verteilung D Mitte mit Rinde],0))</f>
        <v>#N/A</v>
      </c>
      <c r="G4067" t="e">
        <f>VLOOKUP(Tabelle8[[#This Row],[Rank]],Stammdaten[[Rank Verteilung D Mitte mit Rinde]:[Verteilung D Mitte mit Rinde]],2,FALSE)</f>
        <v>#N/A</v>
      </c>
      <c r="L4067">
        <v>4058</v>
      </c>
      <c r="M4067" t="e">
        <f>INDEX(Stammdaten[Abholzigkeit (mm/lfm)],MATCH(Tabelle9[[#This Row],[Rank]],Stammdaten[Rank Verteilung Abholzigkeit],0))</f>
        <v>#N/A</v>
      </c>
      <c r="N4067" t="e">
        <f>VLOOKUP(Tabelle9[[#This Row],[Rank]],Stammdaten[[Rank Verteilung Abholzigkeit]:[Verteilung Abholzigkeit]],2,FALSE)</f>
        <v>#N/A</v>
      </c>
      <c r="S4067">
        <v>4058</v>
      </c>
      <c r="T4067" t="e">
        <f>INDEX(Stammdaten[Krümmung (mm/lfm)],MATCH(Tabelle10[[#This Row],[Rank]],Stammdaten[Rank Verteilung Krümmung],0))</f>
        <v>#N/A</v>
      </c>
      <c r="U4067" t="e">
        <f>VLOOKUP(Tabelle10[[#This Row],[Rank]],Stammdaten[[Rank Verteilung Krümmung]:[Verteilung Krümmung]],2,FALSE)</f>
        <v>#N/A</v>
      </c>
      <c r="Z4067">
        <v>4058</v>
      </c>
      <c r="AA4067" t="e">
        <f>INDEX(Stammdaten[Ovalität (']0,1'])],MATCH(Tabelle1014[[#This Row],[Rank]],Stammdaten[Rank Verteilung Ovalität],0))</f>
        <v>#N/A</v>
      </c>
      <c r="AB4067" t="e">
        <f>VLOOKUP(Tabelle1014[[#This Row],[Rank]],Stammdaten[[Rank Verteilung Ovalität]:[Verteilung Ovalität]],2,FALSE)</f>
        <v>#N/A</v>
      </c>
    </row>
    <row r="4068" spans="5:28" x14ac:dyDescent="0.35">
      <c r="E4068">
        <v>4059</v>
      </c>
      <c r="F4068" t="e">
        <f>INDEX(Stammdaten[D Mitte mit Rinde (mm)],MATCH(Tabelle8[[#This Row],[Rank]],Stammdaten[Rank Verteilung D Mitte mit Rinde],0))</f>
        <v>#N/A</v>
      </c>
      <c r="G4068" t="e">
        <f>VLOOKUP(Tabelle8[[#This Row],[Rank]],Stammdaten[[Rank Verteilung D Mitte mit Rinde]:[Verteilung D Mitte mit Rinde]],2,FALSE)</f>
        <v>#N/A</v>
      </c>
      <c r="L4068">
        <v>4059</v>
      </c>
      <c r="M4068" t="e">
        <f>INDEX(Stammdaten[Abholzigkeit (mm/lfm)],MATCH(Tabelle9[[#This Row],[Rank]],Stammdaten[Rank Verteilung Abholzigkeit],0))</f>
        <v>#N/A</v>
      </c>
      <c r="N4068" t="e">
        <f>VLOOKUP(Tabelle9[[#This Row],[Rank]],Stammdaten[[Rank Verteilung Abholzigkeit]:[Verteilung Abholzigkeit]],2,FALSE)</f>
        <v>#N/A</v>
      </c>
      <c r="S4068">
        <v>4059</v>
      </c>
      <c r="T4068" t="e">
        <f>INDEX(Stammdaten[Krümmung (mm/lfm)],MATCH(Tabelle10[[#This Row],[Rank]],Stammdaten[Rank Verteilung Krümmung],0))</f>
        <v>#N/A</v>
      </c>
      <c r="U4068" t="e">
        <f>VLOOKUP(Tabelle10[[#This Row],[Rank]],Stammdaten[[Rank Verteilung Krümmung]:[Verteilung Krümmung]],2,FALSE)</f>
        <v>#N/A</v>
      </c>
      <c r="Z4068">
        <v>4059</v>
      </c>
      <c r="AA4068" t="e">
        <f>INDEX(Stammdaten[Ovalität (']0,1'])],MATCH(Tabelle1014[[#This Row],[Rank]],Stammdaten[Rank Verteilung Ovalität],0))</f>
        <v>#N/A</v>
      </c>
      <c r="AB4068" t="e">
        <f>VLOOKUP(Tabelle1014[[#This Row],[Rank]],Stammdaten[[Rank Verteilung Ovalität]:[Verteilung Ovalität]],2,FALSE)</f>
        <v>#N/A</v>
      </c>
    </row>
    <row r="4069" spans="5:28" x14ac:dyDescent="0.35">
      <c r="E4069">
        <v>4060</v>
      </c>
      <c r="F4069" t="e">
        <f>INDEX(Stammdaten[D Mitte mit Rinde (mm)],MATCH(Tabelle8[[#This Row],[Rank]],Stammdaten[Rank Verteilung D Mitte mit Rinde],0))</f>
        <v>#N/A</v>
      </c>
      <c r="G4069" t="e">
        <f>VLOOKUP(Tabelle8[[#This Row],[Rank]],Stammdaten[[Rank Verteilung D Mitte mit Rinde]:[Verteilung D Mitte mit Rinde]],2,FALSE)</f>
        <v>#N/A</v>
      </c>
      <c r="L4069">
        <v>4060</v>
      </c>
      <c r="M4069" t="e">
        <f>INDEX(Stammdaten[Abholzigkeit (mm/lfm)],MATCH(Tabelle9[[#This Row],[Rank]],Stammdaten[Rank Verteilung Abholzigkeit],0))</f>
        <v>#N/A</v>
      </c>
      <c r="N4069" t="e">
        <f>VLOOKUP(Tabelle9[[#This Row],[Rank]],Stammdaten[[Rank Verteilung Abholzigkeit]:[Verteilung Abholzigkeit]],2,FALSE)</f>
        <v>#N/A</v>
      </c>
      <c r="S4069">
        <v>4060</v>
      </c>
      <c r="T4069" t="e">
        <f>INDEX(Stammdaten[Krümmung (mm/lfm)],MATCH(Tabelle10[[#This Row],[Rank]],Stammdaten[Rank Verteilung Krümmung],0))</f>
        <v>#N/A</v>
      </c>
      <c r="U4069" t="e">
        <f>VLOOKUP(Tabelle10[[#This Row],[Rank]],Stammdaten[[Rank Verteilung Krümmung]:[Verteilung Krümmung]],2,FALSE)</f>
        <v>#N/A</v>
      </c>
      <c r="Z4069">
        <v>4060</v>
      </c>
      <c r="AA4069" t="e">
        <f>INDEX(Stammdaten[Ovalität (']0,1'])],MATCH(Tabelle1014[[#This Row],[Rank]],Stammdaten[Rank Verteilung Ovalität],0))</f>
        <v>#N/A</v>
      </c>
      <c r="AB4069" t="e">
        <f>VLOOKUP(Tabelle1014[[#This Row],[Rank]],Stammdaten[[Rank Verteilung Ovalität]:[Verteilung Ovalität]],2,FALSE)</f>
        <v>#N/A</v>
      </c>
    </row>
    <row r="4070" spans="5:28" x14ac:dyDescent="0.35">
      <c r="E4070">
        <v>4061</v>
      </c>
      <c r="F4070" t="e">
        <f>INDEX(Stammdaten[D Mitte mit Rinde (mm)],MATCH(Tabelle8[[#This Row],[Rank]],Stammdaten[Rank Verteilung D Mitte mit Rinde],0))</f>
        <v>#N/A</v>
      </c>
      <c r="G4070" t="e">
        <f>VLOOKUP(Tabelle8[[#This Row],[Rank]],Stammdaten[[Rank Verteilung D Mitte mit Rinde]:[Verteilung D Mitte mit Rinde]],2,FALSE)</f>
        <v>#N/A</v>
      </c>
      <c r="L4070">
        <v>4061</v>
      </c>
      <c r="M4070" t="e">
        <f>INDEX(Stammdaten[Abholzigkeit (mm/lfm)],MATCH(Tabelle9[[#This Row],[Rank]],Stammdaten[Rank Verteilung Abholzigkeit],0))</f>
        <v>#N/A</v>
      </c>
      <c r="N4070" t="e">
        <f>VLOOKUP(Tabelle9[[#This Row],[Rank]],Stammdaten[[Rank Verteilung Abholzigkeit]:[Verteilung Abholzigkeit]],2,FALSE)</f>
        <v>#N/A</v>
      </c>
      <c r="S4070">
        <v>4061</v>
      </c>
      <c r="T4070" t="e">
        <f>INDEX(Stammdaten[Krümmung (mm/lfm)],MATCH(Tabelle10[[#This Row],[Rank]],Stammdaten[Rank Verteilung Krümmung],0))</f>
        <v>#N/A</v>
      </c>
      <c r="U4070" t="e">
        <f>VLOOKUP(Tabelle10[[#This Row],[Rank]],Stammdaten[[Rank Verteilung Krümmung]:[Verteilung Krümmung]],2,FALSE)</f>
        <v>#N/A</v>
      </c>
      <c r="Z4070">
        <v>4061</v>
      </c>
      <c r="AA4070" t="e">
        <f>INDEX(Stammdaten[Ovalität (']0,1'])],MATCH(Tabelle1014[[#This Row],[Rank]],Stammdaten[Rank Verteilung Ovalität],0))</f>
        <v>#N/A</v>
      </c>
      <c r="AB4070" t="e">
        <f>VLOOKUP(Tabelle1014[[#This Row],[Rank]],Stammdaten[[Rank Verteilung Ovalität]:[Verteilung Ovalität]],2,FALSE)</f>
        <v>#N/A</v>
      </c>
    </row>
    <row r="4071" spans="5:28" x14ac:dyDescent="0.35">
      <c r="E4071">
        <v>4062</v>
      </c>
      <c r="F4071" t="e">
        <f>INDEX(Stammdaten[D Mitte mit Rinde (mm)],MATCH(Tabelle8[[#This Row],[Rank]],Stammdaten[Rank Verteilung D Mitte mit Rinde],0))</f>
        <v>#N/A</v>
      </c>
      <c r="G4071" t="e">
        <f>VLOOKUP(Tabelle8[[#This Row],[Rank]],Stammdaten[[Rank Verteilung D Mitte mit Rinde]:[Verteilung D Mitte mit Rinde]],2,FALSE)</f>
        <v>#N/A</v>
      </c>
      <c r="L4071">
        <v>4062</v>
      </c>
      <c r="M4071" t="e">
        <f>INDEX(Stammdaten[Abholzigkeit (mm/lfm)],MATCH(Tabelle9[[#This Row],[Rank]],Stammdaten[Rank Verteilung Abholzigkeit],0))</f>
        <v>#N/A</v>
      </c>
      <c r="N4071" t="e">
        <f>VLOOKUP(Tabelle9[[#This Row],[Rank]],Stammdaten[[Rank Verteilung Abholzigkeit]:[Verteilung Abholzigkeit]],2,FALSE)</f>
        <v>#N/A</v>
      </c>
      <c r="S4071">
        <v>4062</v>
      </c>
      <c r="T4071" t="e">
        <f>INDEX(Stammdaten[Krümmung (mm/lfm)],MATCH(Tabelle10[[#This Row],[Rank]],Stammdaten[Rank Verteilung Krümmung],0))</f>
        <v>#N/A</v>
      </c>
      <c r="U4071" t="e">
        <f>VLOOKUP(Tabelle10[[#This Row],[Rank]],Stammdaten[[Rank Verteilung Krümmung]:[Verteilung Krümmung]],2,FALSE)</f>
        <v>#N/A</v>
      </c>
      <c r="Z4071">
        <v>4062</v>
      </c>
      <c r="AA4071" t="e">
        <f>INDEX(Stammdaten[Ovalität (']0,1'])],MATCH(Tabelle1014[[#This Row],[Rank]],Stammdaten[Rank Verteilung Ovalität],0))</f>
        <v>#N/A</v>
      </c>
      <c r="AB4071" t="e">
        <f>VLOOKUP(Tabelle1014[[#This Row],[Rank]],Stammdaten[[Rank Verteilung Ovalität]:[Verteilung Ovalität]],2,FALSE)</f>
        <v>#N/A</v>
      </c>
    </row>
    <row r="4072" spans="5:28" x14ac:dyDescent="0.35">
      <c r="E4072">
        <v>4063</v>
      </c>
      <c r="F4072" t="e">
        <f>INDEX(Stammdaten[D Mitte mit Rinde (mm)],MATCH(Tabelle8[[#This Row],[Rank]],Stammdaten[Rank Verteilung D Mitte mit Rinde],0))</f>
        <v>#N/A</v>
      </c>
      <c r="G4072" t="e">
        <f>VLOOKUP(Tabelle8[[#This Row],[Rank]],Stammdaten[[Rank Verteilung D Mitte mit Rinde]:[Verteilung D Mitte mit Rinde]],2,FALSE)</f>
        <v>#N/A</v>
      </c>
      <c r="L4072">
        <v>4063</v>
      </c>
      <c r="M4072" t="e">
        <f>INDEX(Stammdaten[Abholzigkeit (mm/lfm)],MATCH(Tabelle9[[#This Row],[Rank]],Stammdaten[Rank Verteilung Abholzigkeit],0))</f>
        <v>#N/A</v>
      </c>
      <c r="N4072" t="e">
        <f>VLOOKUP(Tabelle9[[#This Row],[Rank]],Stammdaten[[Rank Verteilung Abholzigkeit]:[Verteilung Abholzigkeit]],2,FALSE)</f>
        <v>#N/A</v>
      </c>
      <c r="S4072">
        <v>4063</v>
      </c>
      <c r="T4072" t="e">
        <f>INDEX(Stammdaten[Krümmung (mm/lfm)],MATCH(Tabelle10[[#This Row],[Rank]],Stammdaten[Rank Verteilung Krümmung],0))</f>
        <v>#N/A</v>
      </c>
      <c r="U4072" t="e">
        <f>VLOOKUP(Tabelle10[[#This Row],[Rank]],Stammdaten[[Rank Verteilung Krümmung]:[Verteilung Krümmung]],2,FALSE)</f>
        <v>#N/A</v>
      </c>
      <c r="Z4072">
        <v>4063</v>
      </c>
      <c r="AA4072" t="e">
        <f>INDEX(Stammdaten[Ovalität (']0,1'])],MATCH(Tabelle1014[[#This Row],[Rank]],Stammdaten[Rank Verteilung Ovalität],0))</f>
        <v>#N/A</v>
      </c>
      <c r="AB4072" t="e">
        <f>VLOOKUP(Tabelle1014[[#This Row],[Rank]],Stammdaten[[Rank Verteilung Ovalität]:[Verteilung Ovalität]],2,FALSE)</f>
        <v>#N/A</v>
      </c>
    </row>
    <row r="4073" spans="5:28" x14ac:dyDescent="0.35">
      <c r="E4073">
        <v>4064</v>
      </c>
      <c r="F4073" t="e">
        <f>INDEX(Stammdaten[D Mitte mit Rinde (mm)],MATCH(Tabelle8[[#This Row],[Rank]],Stammdaten[Rank Verteilung D Mitte mit Rinde],0))</f>
        <v>#N/A</v>
      </c>
      <c r="G4073" t="e">
        <f>VLOOKUP(Tabelle8[[#This Row],[Rank]],Stammdaten[[Rank Verteilung D Mitte mit Rinde]:[Verteilung D Mitte mit Rinde]],2,FALSE)</f>
        <v>#N/A</v>
      </c>
      <c r="L4073">
        <v>4064</v>
      </c>
      <c r="M4073" t="e">
        <f>INDEX(Stammdaten[Abholzigkeit (mm/lfm)],MATCH(Tabelle9[[#This Row],[Rank]],Stammdaten[Rank Verteilung Abholzigkeit],0))</f>
        <v>#N/A</v>
      </c>
      <c r="N4073" t="e">
        <f>VLOOKUP(Tabelle9[[#This Row],[Rank]],Stammdaten[[Rank Verteilung Abholzigkeit]:[Verteilung Abholzigkeit]],2,FALSE)</f>
        <v>#N/A</v>
      </c>
      <c r="S4073">
        <v>4064</v>
      </c>
      <c r="T4073" t="e">
        <f>INDEX(Stammdaten[Krümmung (mm/lfm)],MATCH(Tabelle10[[#This Row],[Rank]],Stammdaten[Rank Verteilung Krümmung],0))</f>
        <v>#N/A</v>
      </c>
      <c r="U4073" t="e">
        <f>VLOOKUP(Tabelle10[[#This Row],[Rank]],Stammdaten[[Rank Verteilung Krümmung]:[Verteilung Krümmung]],2,FALSE)</f>
        <v>#N/A</v>
      </c>
      <c r="Z4073">
        <v>4064</v>
      </c>
      <c r="AA4073" t="e">
        <f>INDEX(Stammdaten[Ovalität (']0,1'])],MATCH(Tabelle1014[[#This Row],[Rank]],Stammdaten[Rank Verteilung Ovalität],0))</f>
        <v>#N/A</v>
      </c>
      <c r="AB4073" t="e">
        <f>VLOOKUP(Tabelle1014[[#This Row],[Rank]],Stammdaten[[Rank Verteilung Ovalität]:[Verteilung Ovalität]],2,FALSE)</f>
        <v>#N/A</v>
      </c>
    </row>
    <row r="4074" spans="5:28" x14ac:dyDescent="0.35">
      <c r="E4074">
        <v>4065</v>
      </c>
      <c r="F4074" t="e">
        <f>INDEX(Stammdaten[D Mitte mit Rinde (mm)],MATCH(Tabelle8[[#This Row],[Rank]],Stammdaten[Rank Verteilung D Mitte mit Rinde],0))</f>
        <v>#N/A</v>
      </c>
      <c r="G4074" t="e">
        <f>VLOOKUP(Tabelle8[[#This Row],[Rank]],Stammdaten[[Rank Verteilung D Mitte mit Rinde]:[Verteilung D Mitte mit Rinde]],2,FALSE)</f>
        <v>#N/A</v>
      </c>
      <c r="L4074">
        <v>4065</v>
      </c>
      <c r="M4074" t="e">
        <f>INDEX(Stammdaten[Abholzigkeit (mm/lfm)],MATCH(Tabelle9[[#This Row],[Rank]],Stammdaten[Rank Verteilung Abholzigkeit],0))</f>
        <v>#N/A</v>
      </c>
      <c r="N4074" t="e">
        <f>VLOOKUP(Tabelle9[[#This Row],[Rank]],Stammdaten[[Rank Verteilung Abholzigkeit]:[Verteilung Abholzigkeit]],2,FALSE)</f>
        <v>#N/A</v>
      </c>
      <c r="S4074">
        <v>4065</v>
      </c>
      <c r="T4074" t="e">
        <f>INDEX(Stammdaten[Krümmung (mm/lfm)],MATCH(Tabelle10[[#This Row],[Rank]],Stammdaten[Rank Verteilung Krümmung],0))</f>
        <v>#N/A</v>
      </c>
      <c r="U4074" t="e">
        <f>VLOOKUP(Tabelle10[[#This Row],[Rank]],Stammdaten[[Rank Verteilung Krümmung]:[Verteilung Krümmung]],2,FALSE)</f>
        <v>#N/A</v>
      </c>
      <c r="Z4074">
        <v>4065</v>
      </c>
      <c r="AA4074" t="e">
        <f>INDEX(Stammdaten[Ovalität (']0,1'])],MATCH(Tabelle1014[[#This Row],[Rank]],Stammdaten[Rank Verteilung Ovalität],0))</f>
        <v>#N/A</v>
      </c>
      <c r="AB4074" t="e">
        <f>VLOOKUP(Tabelle1014[[#This Row],[Rank]],Stammdaten[[Rank Verteilung Ovalität]:[Verteilung Ovalität]],2,FALSE)</f>
        <v>#N/A</v>
      </c>
    </row>
    <row r="4075" spans="5:28" x14ac:dyDescent="0.35">
      <c r="E4075">
        <v>4066</v>
      </c>
      <c r="F4075" t="e">
        <f>INDEX(Stammdaten[D Mitte mit Rinde (mm)],MATCH(Tabelle8[[#This Row],[Rank]],Stammdaten[Rank Verteilung D Mitte mit Rinde],0))</f>
        <v>#N/A</v>
      </c>
      <c r="G4075" t="e">
        <f>VLOOKUP(Tabelle8[[#This Row],[Rank]],Stammdaten[[Rank Verteilung D Mitte mit Rinde]:[Verteilung D Mitte mit Rinde]],2,FALSE)</f>
        <v>#N/A</v>
      </c>
      <c r="L4075">
        <v>4066</v>
      </c>
      <c r="M4075" t="e">
        <f>INDEX(Stammdaten[Abholzigkeit (mm/lfm)],MATCH(Tabelle9[[#This Row],[Rank]],Stammdaten[Rank Verteilung Abholzigkeit],0))</f>
        <v>#N/A</v>
      </c>
      <c r="N4075" t="e">
        <f>VLOOKUP(Tabelle9[[#This Row],[Rank]],Stammdaten[[Rank Verteilung Abholzigkeit]:[Verteilung Abholzigkeit]],2,FALSE)</f>
        <v>#N/A</v>
      </c>
      <c r="S4075">
        <v>4066</v>
      </c>
      <c r="T4075" t="e">
        <f>INDEX(Stammdaten[Krümmung (mm/lfm)],MATCH(Tabelle10[[#This Row],[Rank]],Stammdaten[Rank Verteilung Krümmung],0))</f>
        <v>#N/A</v>
      </c>
      <c r="U4075" t="e">
        <f>VLOOKUP(Tabelle10[[#This Row],[Rank]],Stammdaten[[Rank Verteilung Krümmung]:[Verteilung Krümmung]],2,FALSE)</f>
        <v>#N/A</v>
      </c>
      <c r="Z4075">
        <v>4066</v>
      </c>
      <c r="AA4075" t="e">
        <f>INDEX(Stammdaten[Ovalität (']0,1'])],MATCH(Tabelle1014[[#This Row],[Rank]],Stammdaten[Rank Verteilung Ovalität],0))</f>
        <v>#N/A</v>
      </c>
      <c r="AB4075" t="e">
        <f>VLOOKUP(Tabelle1014[[#This Row],[Rank]],Stammdaten[[Rank Verteilung Ovalität]:[Verteilung Ovalität]],2,FALSE)</f>
        <v>#N/A</v>
      </c>
    </row>
    <row r="4076" spans="5:28" x14ac:dyDescent="0.35">
      <c r="E4076">
        <v>4067</v>
      </c>
      <c r="F4076" t="e">
        <f>INDEX(Stammdaten[D Mitte mit Rinde (mm)],MATCH(Tabelle8[[#This Row],[Rank]],Stammdaten[Rank Verteilung D Mitte mit Rinde],0))</f>
        <v>#N/A</v>
      </c>
      <c r="G4076" t="e">
        <f>VLOOKUP(Tabelle8[[#This Row],[Rank]],Stammdaten[[Rank Verteilung D Mitte mit Rinde]:[Verteilung D Mitte mit Rinde]],2,FALSE)</f>
        <v>#N/A</v>
      </c>
      <c r="L4076">
        <v>4067</v>
      </c>
      <c r="M4076" t="e">
        <f>INDEX(Stammdaten[Abholzigkeit (mm/lfm)],MATCH(Tabelle9[[#This Row],[Rank]],Stammdaten[Rank Verteilung Abholzigkeit],0))</f>
        <v>#N/A</v>
      </c>
      <c r="N4076" t="e">
        <f>VLOOKUP(Tabelle9[[#This Row],[Rank]],Stammdaten[[Rank Verteilung Abholzigkeit]:[Verteilung Abholzigkeit]],2,FALSE)</f>
        <v>#N/A</v>
      </c>
      <c r="S4076">
        <v>4067</v>
      </c>
      <c r="T4076" t="e">
        <f>INDEX(Stammdaten[Krümmung (mm/lfm)],MATCH(Tabelle10[[#This Row],[Rank]],Stammdaten[Rank Verteilung Krümmung],0))</f>
        <v>#N/A</v>
      </c>
      <c r="U4076" t="e">
        <f>VLOOKUP(Tabelle10[[#This Row],[Rank]],Stammdaten[[Rank Verteilung Krümmung]:[Verteilung Krümmung]],2,FALSE)</f>
        <v>#N/A</v>
      </c>
      <c r="Z4076">
        <v>4067</v>
      </c>
      <c r="AA4076" t="e">
        <f>INDEX(Stammdaten[Ovalität (']0,1'])],MATCH(Tabelle1014[[#This Row],[Rank]],Stammdaten[Rank Verteilung Ovalität],0))</f>
        <v>#N/A</v>
      </c>
      <c r="AB4076" t="e">
        <f>VLOOKUP(Tabelle1014[[#This Row],[Rank]],Stammdaten[[Rank Verteilung Ovalität]:[Verteilung Ovalität]],2,FALSE)</f>
        <v>#N/A</v>
      </c>
    </row>
    <row r="4077" spans="5:28" x14ac:dyDescent="0.35">
      <c r="E4077">
        <v>4068</v>
      </c>
      <c r="F4077" t="e">
        <f>INDEX(Stammdaten[D Mitte mit Rinde (mm)],MATCH(Tabelle8[[#This Row],[Rank]],Stammdaten[Rank Verteilung D Mitte mit Rinde],0))</f>
        <v>#N/A</v>
      </c>
      <c r="G4077" t="e">
        <f>VLOOKUP(Tabelle8[[#This Row],[Rank]],Stammdaten[[Rank Verteilung D Mitte mit Rinde]:[Verteilung D Mitte mit Rinde]],2,FALSE)</f>
        <v>#N/A</v>
      </c>
      <c r="L4077">
        <v>4068</v>
      </c>
      <c r="M4077" t="e">
        <f>INDEX(Stammdaten[Abholzigkeit (mm/lfm)],MATCH(Tabelle9[[#This Row],[Rank]],Stammdaten[Rank Verteilung Abholzigkeit],0))</f>
        <v>#N/A</v>
      </c>
      <c r="N4077" t="e">
        <f>VLOOKUP(Tabelle9[[#This Row],[Rank]],Stammdaten[[Rank Verteilung Abholzigkeit]:[Verteilung Abholzigkeit]],2,FALSE)</f>
        <v>#N/A</v>
      </c>
      <c r="S4077">
        <v>4068</v>
      </c>
      <c r="T4077" t="e">
        <f>INDEX(Stammdaten[Krümmung (mm/lfm)],MATCH(Tabelle10[[#This Row],[Rank]],Stammdaten[Rank Verteilung Krümmung],0))</f>
        <v>#N/A</v>
      </c>
      <c r="U4077" t="e">
        <f>VLOOKUP(Tabelle10[[#This Row],[Rank]],Stammdaten[[Rank Verteilung Krümmung]:[Verteilung Krümmung]],2,FALSE)</f>
        <v>#N/A</v>
      </c>
      <c r="Z4077">
        <v>4068</v>
      </c>
      <c r="AA4077" t="e">
        <f>INDEX(Stammdaten[Ovalität (']0,1'])],MATCH(Tabelle1014[[#This Row],[Rank]],Stammdaten[Rank Verteilung Ovalität],0))</f>
        <v>#N/A</v>
      </c>
      <c r="AB4077" t="e">
        <f>VLOOKUP(Tabelle1014[[#This Row],[Rank]],Stammdaten[[Rank Verteilung Ovalität]:[Verteilung Ovalität]],2,FALSE)</f>
        <v>#N/A</v>
      </c>
    </row>
    <row r="4078" spans="5:28" x14ac:dyDescent="0.35">
      <c r="E4078">
        <v>4069</v>
      </c>
      <c r="F4078" t="e">
        <f>INDEX(Stammdaten[D Mitte mit Rinde (mm)],MATCH(Tabelle8[[#This Row],[Rank]],Stammdaten[Rank Verteilung D Mitte mit Rinde],0))</f>
        <v>#N/A</v>
      </c>
      <c r="G4078" t="e">
        <f>VLOOKUP(Tabelle8[[#This Row],[Rank]],Stammdaten[[Rank Verteilung D Mitte mit Rinde]:[Verteilung D Mitte mit Rinde]],2,FALSE)</f>
        <v>#N/A</v>
      </c>
      <c r="L4078">
        <v>4069</v>
      </c>
      <c r="M4078" t="e">
        <f>INDEX(Stammdaten[Abholzigkeit (mm/lfm)],MATCH(Tabelle9[[#This Row],[Rank]],Stammdaten[Rank Verteilung Abholzigkeit],0))</f>
        <v>#N/A</v>
      </c>
      <c r="N4078" t="e">
        <f>VLOOKUP(Tabelle9[[#This Row],[Rank]],Stammdaten[[Rank Verteilung Abholzigkeit]:[Verteilung Abholzigkeit]],2,FALSE)</f>
        <v>#N/A</v>
      </c>
      <c r="S4078">
        <v>4069</v>
      </c>
      <c r="T4078" t="e">
        <f>INDEX(Stammdaten[Krümmung (mm/lfm)],MATCH(Tabelle10[[#This Row],[Rank]],Stammdaten[Rank Verteilung Krümmung],0))</f>
        <v>#N/A</v>
      </c>
      <c r="U4078" t="e">
        <f>VLOOKUP(Tabelle10[[#This Row],[Rank]],Stammdaten[[Rank Verteilung Krümmung]:[Verteilung Krümmung]],2,FALSE)</f>
        <v>#N/A</v>
      </c>
      <c r="Z4078">
        <v>4069</v>
      </c>
      <c r="AA4078" t="e">
        <f>INDEX(Stammdaten[Ovalität (']0,1'])],MATCH(Tabelle1014[[#This Row],[Rank]],Stammdaten[Rank Verteilung Ovalität],0))</f>
        <v>#N/A</v>
      </c>
      <c r="AB4078" t="e">
        <f>VLOOKUP(Tabelle1014[[#This Row],[Rank]],Stammdaten[[Rank Verteilung Ovalität]:[Verteilung Ovalität]],2,FALSE)</f>
        <v>#N/A</v>
      </c>
    </row>
    <row r="4079" spans="5:28" x14ac:dyDescent="0.35">
      <c r="E4079">
        <v>4070</v>
      </c>
      <c r="F4079" t="e">
        <f>INDEX(Stammdaten[D Mitte mit Rinde (mm)],MATCH(Tabelle8[[#This Row],[Rank]],Stammdaten[Rank Verteilung D Mitte mit Rinde],0))</f>
        <v>#N/A</v>
      </c>
      <c r="G4079" t="e">
        <f>VLOOKUP(Tabelle8[[#This Row],[Rank]],Stammdaten[[Rank Verteilung D Mitte mit Rinde]:[Verteilung D Mitte mit Rinde]],2,FALSE)</f>
        <v>#N/A</v>
      </c>
      <c r="L4079">
        <v>4070</v>
      </c>
      <c r="M4079" t="e">
        <f>INDEX(Stammdaten[Abholzigkeit (mm/lfm)],MATCH(Tabelle9[[#This Row],[Rank]],Stammdaten[Rank Verteilung Abholzigkeit],0))</f>
        <v>#N/A</v>
      </c>
      <c r="N4079" t="e">
        <f>VLOOKUP(Tabelle9[[#This Row],[Rank]],Stammdaten[[Rank Verteilung Abholzigkeit]:[Verteilung Abholzigkeit]],2,FALSE)</f>
        <v>#N/A</v>
      </c>
      <c r="S4079">
        <v>4070</v>
      </c>
      <c r="T4079" t="e">
        <f>INDEX(Stammdaten[Krümmung (mm/lfm)],MATCH(Tabelle10[[#This Row],[Rank]],Stammdaten[Rank Verteilung Krümmung],0))</f>
        <v>#N/A</v>
      </c>
      <c r="U4079" t="e">
        <f>VLOOKUP(Tabelle10[[#This Row],[Rank]],Stammdaten[[Rank Verteilung Krümmung]:[Verteilung Krümmung]],2,FALSE)</f>
        <v>#N/A</v>
      </c>
      <c r="Z4079">
        <v>4070</v>
      </c>
      <c r="AA4079" t="e">
        <f>INDEX(Stammdaten[Ovalität (']0,1'])],MATCH(Tabelle1014[[#This Row],[Rank]],Stammdaten[Rank Verteilung Ovalität],0))</f>
        <v>#N/A</v>
      </c>
      <c r="AB4079" t="e">
        <f>VLOOKUP(Tabelle1014[[#This Row],[Rank]],Stammdaten[[Rank Verteilung Ovalität]:[Verteilung Ovalität]],2,FALSE)</f>
        <v>#N/A</v>
      </c>
    </row>
    <row r="4080" spans="5:28" x14ac:dyDescent="0.35">
      <c r="E4080">
        <v>4071</v>
      </c>
      <c r="F4080" t="e">
        <f>INDEX(Stammdaten[D Mitte mit Rinde (mm)],MATCH(Tabelle8[[#This Row],[Rank]],Stammdaten[Rank Verteilung D Mitte mit Rinde],0))</f>
        <v>#N/A</v>
      </c>
      <c r="G4080" t="e">
        <f>VLOOKUP(Tabelle8[[#This Row],[Rank]],Stammdaten[[Rank Verteilung D Mitte mit Rinde]:[Verteilung D Mitte mit Rinde]],2,FALSE)</f>
        <v>#N/A</v>
      </c>
      <c r="L4080">
        <v>4071</v>
      </c>
      <c r="M4080" t="e">
        <f>INDEX(Stammdaten[Abholzigkeit (mm/lfm)],MATCH(Tabelle9[[#This Row],[Rank]],Stammdaten[Rank Verteilung Abholzigkeit],0))</f>
        <v>#N/A</v>
      </c>
      <c r="N4080" t="e">
        <f>VLOOKUP(Tabelle9[[#This Row],[Rank]],Stammdaten[[Rank Verteilung Abholzigkeit]:[Verteilung Abholzigkeit]],2,FALSE)</f>
        <v>#N/A</v>
      </c>
      <c r="S4080">
        <v>4071</v>
      </c>
      <c r="T4080" t="e">
        <f>INDEX(Stammdaten[Krümmung (mm/lfm)],MATCH(Tabelle10[[#This Row],[Rank]],Stammdaten[Rank Verteilung Krümmung],0))</f>
        <v>#N/A</v>
      </c>
      <c r="U4080" t="e">
        <f>VLOOKUP(Tabelle10[[#This Row],[Rank]],Stammdaten[[Rank Verteilung Krümmung]:[Verteilung Krümmung]],2,FALSE)</f>
        <v>#N/A</v>
      </c>
      <c r="Z4080">
        <v>4071</v>
      </c>
      <c r="AA4080" t="e">
        <f>INDEX(Stammdaten[Ovalität (']0,1'])],MATCH(Tabelle1014[[#This Row],[Rank]],Stammdaten[Rank Verteilung Ovalität],0))</f>
        <v>#N/A</v>
      </c>
      <c r="AB4080" t="e">
        <f>VLOOKUP(Tabelle1014[[#This Row],[Rank]],Stammdaten[[Rank Verteilung Ovalität]:[Verteilung Ovalität]],2,FALSE)</f>
        <v>#N/A</v>
      </c>
    </row>
    <row r="4081" spans="5:28" x14ac:dyDescent="0.35">
      <c r="E4081">
        <v>4072</v>
      </c>
      <c r="F4081" t="e">
        <f>INDEX(Stammdaten[D Mitte mit Rinde (mm)],MATCH(Tabelle8[[#This Row],[Rank]],Stammdaten[Rank Verteilung D Mitte mit Rinde],0))</f>
        <v>#N/A</v>
      </c>
      <c r="G4081" t="e">
        <f>VLOOKUP(Tabelle8[[#This Row],[Rank]],Stammdaten[[Rank Verteilung D Mitte mit Rinde]:[Verteilung D Mitte mit Rinde]],2,FALSE)</f>
        <v>#N/A</v>
      </c>
      <c r="L4081">
        <v>4072</v>
      </c>
      <c r="M4081" t="e">
        <f>INDEX(Stammdaten[Abholzigkeit (mm/lfm)],MATCH(Tabelle9[[#This Row],[Rank]],Stammdaten[Rank Verteilung Abholzigkeit],0))</f>
        <v>#N/A</v>
      </c>
      <c r="N4081" t="e">
        <f>VLOOKUP(Tabelle9[[#This Row],[Rank]],Stammdaten[[Rank Verteilung Abholzigkeit]:[Verteilung Abholzigkeit]],2,FALSE)</f>
        <v>#N/A</v>
      </c>
      <c r="S4081">
        <v>4072</v>
      </c>
      <c r="T4081" t="e">
        <f>INDEX(Stammdaten[Krümmung (mm/lfm)],MATCH(Tabelle10[[#This Row],[Rank]],Stammdaten[Rank Verteilung Krümmung],0))</f>
        <v>#N/A</v>
      </c>
      <c r="U4081" t="e">
        <f>VLOOKUP(Tabelle10[[#This Row],[Rank]],Stammdaten[[Rank Verteilung Krümmung]:[Verteilung Krümmung]],2,FALSE)</f>
        <v>#N/A</v>
      </c>
      <c r="Z4081">
        <v>4072</v>
      </c>
      <c r="AA4081" t="e">
        <f>INDEX(Stammdaten[Ovalität (']0,1'])],MATCH(Tabelle1014[[#This Row],[Rank]],Stammdaten[Rank Verteilung Ovalität],0))</f>
        <v>#N/A</v>
      </c>
      <c r="AB4081" t="e">
        <f>VLOOKUP(Tabelle1014[[#This Row],[Rank]],Stammdaten[[Rank Verteilung Ovalität]:[Verteilung Ovalität]],2,FALSE)</f>
        <v>#N/A</v>
      </c>
    </row>
    <row r="4082" spans="5:28" x14ac:dyDescent="0.35">
      <c r="E4082">
        <v>4073</v>
      </c>
      <c r="F4082" t="e">
        <f>INDEX(Stammdaten[D Mitte mit Rinde (mm)],MATCH(Tabelle8[[#This Row],[Rank]],Stammdaten[Rank Verteilung D Mitte mit Rinde],0))</f>
        <v>#N/A</v>
      </c>
      <c r="G4082" t="e">
        <f>VLOOKUP(Tabelle8[[#This Row],[Rank]],Stammdaten[[Rank Verteilung D Mitte mit Rinde]:[Verteilung D Mitte mit Rinde]],2,FALSE)</f>
        <v>#N/A</v>
      </c>
      <c r="L4082">
        <v>4073</v>
      </c>
      <c r="M4082" t="e">
        <f>INDEX(Stammdaten[Abholzigkeit (mm/lfm)],MATCH(Tabelle9[[#This Row],[Rank]],Stammdaten[Rank Verteilung Abholzigkeit],0))</f>
        <v>#N/A</v>
      </c>
      <c r="N4082" t="e">
        <f>VLOOKUP(Tabelle9[[#This Row],[Rank]],Stammdaten[[Rank Verteilung Abholzigkeit]:[Verteilung Abholzigkeit]],2,FALSE)</f>
        <v>#N/A</v>
      </c>
      <c r="S4082">
        <v>4073</v>
      </c>
      <c r="T4082" t="e">
        <f>INDEX(Stammdaten[Krümmung (mm/lfm)],MATCH(Tabelle10[[#This Row],[Rank]],Stammdaten[Rank Verteilung Krümmung],0))</f>
        <v>#N/A</v>
      </c>
      <c r="U4082" t="e">
        <f>VLOOKUP(Tabelle10[[#This Row],[Rank]],Stammdaten[[Rank Verteilung Krümmung]:[Verteilung Krümmung]],2,FALSE)</f>
        <v>#N/A</v>
      </c>
      <c r="Z4082">
        <v>4073</v>
      </c>
      <c r="AA4082" t="e">
        <f>INDEX(Stammdaten[Ovalität (']0,1'])],MATCH(Tabelle1014[[#This Row],[Rank]],Stammdaten[Rank Verteilung Ovalität],0))</f>
        <v>#N/A</v>
      </c>
      <c r="AB4082" t="e">
        <f>VLOOKUP(Tabelle1014[[#This Row],[Rank]],Stammdaten[[Rank Verteilung Ovalität]:[Verteilung Ovalität]],2,FALSE)</f>
        <v>#N/A</v>
      </c>
    </row>
    <row r="4083" spans="5:28" x14ac:dyDescent="0.35">
      <c r="E4083">
        <v>4074</v>
      </c>
      <c r="F4083" t="e">
        <f>INDEX(Stammdaten[D Mitte mit Rinde (mm)],MATCH(Tabelle8[[#This Row],[Rank]],Stammdaten[Rank Verteilung D Mitte mit Rinde],0))</f>
        <v>#N/A</v>
      </c>
      <c r="G4083" t="e">
        <f>VLOOKUP(Tabelle8[[#This Row],[Rank]],Stammdaten[[Rank Verteilung D Mitte mit Rinde]:[Verteilung D Mitte mit Rinde]],2,FALSE)</f>
        <v>#N/A</v>
      </c>
      <c r="L4083">
        <v>4074</v>
      </c>
      <c r="M4083" t="e">
        <f>INDEX(Stammdaten[Abholzigkeit (mm/lfm)],MATCH(Tabelle9[[#This Row],[Rank]],Stammdaten[Rank Verteilung Abholzigkeit],0))</f>
        <v>#N/A</v>
      </c>
      <c r="N4083" t="e">
        <f>VLOOKUP(Tabelle9[[#This Row],[Rank]],Stammdaten[[Rank Verteilung Abholzigkeit]:[Verteilung Abholzigkeit]],2,FALSE)</f>
        <v>#N/A</v>
      </c>
      <c r="S4083">
        <v>4074</v>
      </c>
      <c r="T4083" t="e">
        <f>INDEX(Stammdaten[Krümmung (mm/lfm)],MATCH(Tabelle10[[#This Row],[Rank]],Stammdaten[Rank Verteilung Krümmung],0))</f>
        <v>#N/A</v>
      </c>
      <c r="U4083" t="e">
        <f>VLOOKUP(Tabelle10[[#This Row],[Rank]],Stammdaten[[Rank Verteilung Krümmung]:[Verteilung Krümmung]],2,FALSE)</f>
        <v>#N/A</v>
      </c>
      <c r="Z4083">
        <v>4074</v>
      </c>
      <c r="AA4083" t="e">
        <f>INDEX(Stammdaten[Ovalität (']0,1'])],MATCH(Tabelle1014[[#This Row],[Rank]],Stammdaten[Rank Verteilung Ovalität],0))</f>
        <v>#N/A</v>
      </c>
      <c r="AB4083" t="e">
        <f>VLOOKUP(Tabelle1014[[#This Row],[Rank]],Stammdaten[[Rank Verteilung Ovalität]:[Verteilung Ovalität]],2,FALSE)</f>
        <v>#N/A</v>
      </c>
    </row>
    <row r="4084" spans="5:28" x14ac:dyDescent="0.35">
      <c r="E4084">
        <v>4075</v>
      </c>
      <c r="F4084" t="e">
        <f>INDEX(Stammdaten[D Mitte mit Rinde (mm)],MATCH(Tabelle8[[#This Row],[Rank]],Stammdaten[Rank Verteilung D Mitte mit Rinde],0))</f>
        <v>#N/A</v>
      </c>
      <c r="G4084" t="e">
        <f>VLOOKUP(Tabelle8[[#This Row],[Rank]],Stammdaten[[Rank Verteilung D Mitte mit Rinde]:[Verteilung D Mitte mit Rinde]],2,FALSE)</f>
        <v>#N/A</v>
      </c>
      <c r="L4084">
        <v>4075</v>
      </c>
      <c r="M4084" t="e">
        <f>INDEX(Stammdaten[Abholzigkeit (mm/lfm)],MATCH(Tabelle9[[#This Row],[Rank]],Stammdaten[Rank Verteilung Abholzigkeit],0))</f>
        <v>#N/A</v>
      </c>
      <c r="N4084" t="e">
        <f>VLOOKUP(Tabelle9[[#This Row],[Rank]],Stammdaten[[Rank Verteilung Abholzigkeit]:[Verteilung Abholzigkeit]],2,FALSE)</f>
        <v>#N/A</v>
      </c>
      <c r="S4084">
        <v>4075</v>
      </c>
      <c r="T4084" t="e">
        <f>INDEX(Stammdaten[Krümmung (mm/lfm)],MATCH(Tabelle10[[#This Row],[Rank]],Stammdaten[Rank Verteilung Krümmung],0))</f>
        <v>#N/A</v>
      </c>
      <c r="U4084" t="e">
        <f>VLOOKUP(Tabelle10[[#This Row],[Rank]],Stammdaten[[Rank Verteilung Krümmung]:[Verteilung Krümmung]],2,FALSE)</f>
        <v>#N/A</v>
      </c>
      <c r="Z4084">
        <v>4075</v>
      </c>
      <c r="AA4084" t="e">
        <f>INDEX(Stammdaten[Ovalität (']0,1'])],MATCH(Tabelle1014[[#This Row],[Rank]],Stammdaten[Rank Verteilung Ovalität],0))</f>
        <v>#N/A</v>
      </c>
      <c r="AB4084" t="e">
        <f>VLOOKUP(Tabelle1014[[#This Row],[Rank]],Stammdaten[[Rank Verteilung Ovalität]:[Verteilung Ovalität]],2,FALSE)</f>
        <v>#N/A</v>
      </c>
    </row>
    <row r="4085" spans="5:28" x14ac:dyDescent="0.35">
      <c r="E4085">
        <v>4076</v>
      </c>
      <c r="F4085" t="e">
        <f>INDEX(Stammdaten[D Mitte mit Rinde (mm)],MATCH(Tabelle8[[#This Row],[Rank]],Stammdaten[Rank Verteilung D Mitte mit Rinde],0))</f>
        <v>#N/A</v>
      </c>
      <c r="G4085" t="e">
        <f>VLOOKUP(Tabelle8[[#This Row],[Rank]],Stammdaten[[Rank Verteilung D Mitte mit Rinde]:[Verteilung D Mitte mit Rinde]],2,FALSE)</f>
        <v>#N/A</v>
      </c>
      <c r="L4085">
        <v>4076</v>
      </c>
      <c r="M4085" t="e">
        <f>INDEX(Stammdaten[Abholzigkeit (mm/lfm)],MATCH(Tabelle9[[#This Row],[Rank]],Stammdaten[Rank Verteilung Abholzigkeit],0))</f>
        <v>#N/A</v>
      </c>
      <c r="N4085" t="e">
        <f>VLOOKUP(Tabelle9[[#This Row],[Rank]],Stammdaten[[Rank Verteilung Abholzigkeit]:[Verteilung Abholzigkeit]],2,FALSE)</f>
        <v>#N/A</v>
      </c>
      <c r="S4085">
        <v>4076</v>
      </c>
      <c r="T4085" t="e">
        <f>INDEX(Stammdaten[Krümmung (mm/lfm)],MATCH(Tabelle10[[#This Row],[Rank]],Stammdaten[Rank Verteilung Krümmung],0))</f>
        <v>#N/A</v>
      </c>
      <c r="U4085" t="e">
        <f>VLOOKUP(Tabelle10[[#This Row],[Rank]],Stammdaten[[Rank Verteilung Krümmung]:[Verteilung Krümmung]],2,FALSE)</f>
        <v>#N/A</v>
      </c>
      <c r="Z4085">
        <v>4076</v>
      </c>
      <c r="AA4085" t="e">
        <f>INDEX(Stammdaten[Ovalität (']0,1'])],MATCH(Tabelle1014[[#This Row],[Rank]],Stammdaten[Rank Verteilung Ovalität],0))</f>
        <v>#N/A</v>
      </c>
      <c r="AB4085" t="e">
        <f>VLOOKUP(Tabelle1014[[#This Row],[Rank]],Stammdaten[[Rank Verteilung Ovalität]:[Verteilung Ovalität]],2,FALSE)</f>
        <v>#N/A</v>
      </c>
    </row>
    <row r="4086" spans="5:28" x14ac:dyDescent="0.35">
      <c r="E4086">
        <v>4077</v>
      </c>
      <c r="F4086" t="e">
        <f>INDEX(Stammdaten[D Mitte mit Rinde (mm)],MATCH(Tabelle8[[#This Row],[Rank]],Stammdaten[Rank Verteilung D Mitte mit Rinde],0))</f>
        <v>#N/A</v>
      </c>
      <c r="G4086" t="e">
        <f>VLOOKUP(Tabelle8[[#This Row],[Rank]],Stammdaten[[Rank Verteilung D Mitte mit Rinde]:[Verteilung D Mitte mit Rinde]],2,FALSE)</f>
        <v>#N/A</v>
      </c>
      <c r="L4086">
        <v>4077</v>
      </c>
      <c r="M4086" t="e">
        <f>INDEX(Stammdaten[Abholzigkeit (mm/lfm)],MATCH(Tabelle9[[#This Row],[Rank]],Stammdaten[Rank Verteilung Abholzigkeit],0))</f>
        <v>#N/A</v>
      </c>
      <c r="N4086" t="e">
        <f>VLOOKUP(Tabelle9[[#This Row],[Rank]],Stammdaten[[Rank Verteilung Abholzigkeit]:[Verteilung Abholzigkeit]],2,FALSE)</f>
        <v>#N/A</v>
      </c>
      <c r="S4086">
        <v>4077</v>
      </c>
      <c r="T4086" t="e">
        <f>INDEX(Stammdaten[Krümmung (mm/lfm)],MATCH(Tabelle10[[#This Row],[Rank]],Stammdaten[Rank Verteilung Krümmung],0))</f>
        <v>#N/A</v>
      </c>
      <c r="U4086" t="e">
        <f>VLOOKUP(Tabelle10[[#This Row],[Rank]],Stammdaten[[Rank Verteilung Krümmung]:[Verteilung Krümmung]],2,FALSE)</f>
        <v>#N/A</v>
      </c>
      <c r="Z4086">
        <v>4077</v>
      </c>
      <c r="AA4086" t="e">
        <f>INDEX(Stammdaten[Ovalität (']0,1'])],MATCH(Tabelle1014[[#This Row],[Rank]],Stammdaten[Rank Verteilung Ovalität],0))</f>
        <v>#N/A</v>
      </c>
      <c r="AB4086" t="e">
        <f>VLOOKUP(Tabelle1014[[#This Row],[Rank]],Stammdaten[[Rank Verteilung Ovalität]:[Verteilung Ovalität]],2,FALSE)</f>
        <v>#N/A</v>
      </c>
    </row>
    <row r="4087" spans="5:28" x14ac:dyDescent="0.35">
      <c r="E4087">
        <v>4078</v>
      </c>
      <c r="F4087" t="e">
        <f>INDEX(Stammdaten[D Mitte mit Rinde (mm)],MATCH(Tabelle8[[#This Row],[Rank]],Stammdaten[Rank Verteilung D Mitte mit Rinde],0))</f>
        <v>#N/A</v>
      </c>
      <c r="G4087" t="e">
        <f>VLOOKUP(Tabelle8[[#This Row],[Rank]],Stammdaten[[Rank Verteilung D Mitte mit Rinde]:[Verteilung D Mitte mit Rinde]],2,FALSE)</f>
        <v>#N/A</v>
      </c>
      <c r="L4087">
        <v>4078</v>
      </c>
      <c r="M4087" t="e">
        <f>INDEX(Stammdaten[Abholzigkeit (mm/lfm)],MATCH(Tabelle9[[#This Row],[Rank]],Stammdaten[Rank Verteilung Abholzigkeit],0))</f>
        <v>#N/A</v>
      </c>
      <c r="N4087" t="e">
        <f>VLOOKUP(Tabelle9[[#This Row],[Rank]],Stammdaten[[Rank Verteilung Abholzigkeit]:[Verteilung Abholzigkeit]],2,FALSE)</f>
        <v>#N/A</v>
      </c>
      <c r="S4087">
        <v>4078</v>
      </c>
      <c r="T4087" t="e">
        <f>INDEX(Stammdaten[Krümmung (mm/lfm)],MATCH(Tabelle10[[#This Row],[Rank]],Stammdaten[Rank Verteilung Krümmung],0))</f>
        <v>#N/A</v>
      </c>
      <c r="U4087" t="e">
        <f>VLOOKUP(Tabelle10[[#This Row],[Rank]],Stammdaten[[Rank Verteilung Krümmung]:[Verteilung Krümmung]],2,FALSE)</f>
        <v>#N/A</v>
      </c>
      <c r="Z4087">
        <v>4078</v>
      </c>
      <c r="AA4087" t="e">
        <f>INDEX(Stammdaten[Ovalität (']0,1'])],MATCH(Tabelle1014[[#This Row],[Rank]],Stammdaten[Rank Verteilung Ovalität],0))</f>
        <v>#N/A</v>
      </c>
      <c r="AB4087" t="e">
        <f>VLOOKUP(Tabelle1014[[#This Row],[Rank]],Stammdaten[[Rank Verteilung Ovalität]:[Verteilung Ovalität]],2,FALSE)</f>
        <v>#N/A</v>
      </c>
    </row>
    <row r="4088" spans="5:28" x14ac:dyDescent="0.35">
      <c r="E4088">
        <v>4079</v>
      </c>
      <c r="F4088" t="e">
        <f>INDEX(Stammdaten[D Mitte mit Rinde (mm)],MATCH(Tabelle8[[#This Row],[Rank]],Stammdaten[Rank Verteilung D Mitte mit Rinde],0))</f>
        <v>#N/A</v>
      </c>
      <c r="G4088" t="e">
        <f>VLOOKUP(Tabelle8[[#This Row],[Rank]],Stammdaten[[Rank Verteilung D Mitte mit Rinde]:[Verteilung D Mitte mit Rinde]],2,FALSE)</f>
        <v>#N/A</v>
      </c>
      <c r="L4088">
        <v>4079</v>
      </c>
      <c r="M4088" t="e">
        <f>INDEX(Stammdaten[Abholzigkeit (mm/lfm)],MATCH(Tabelle9[[#This Row],[Rank]],Stammdaten[Rank Verteilung Abholzigkeit],0))</f>
        <v>#N/A</v>
      </c>
      <c r="N4088" t="e">
        <f>VLOOKUP(Tabelle9[[#This Row],[Rank]],Stammdaten[[Rank Verteilung Abholzigkeit]:[Verteilung Abholzigkeit]],2,FALSE)</f>
        <v>#N/A</v>
      </c>
      <c r="S4088">
        <v>4079</v>
      </c>
      <c r="T4088" t="e">
        <f>INDEX(Stammdaten[Krümmung (mm/lfm)],MATCH(Tabelle10[[#This Row],[Rank]],Stammdaten[Rank Verteilung Krümmung],0))</f>
        <v>#N/A</v>
      </c>
      <c r="U4088" t="e">
        <f>VLOOKUP(Tabelle10[[#This Row],[Rank]],Stammdaten[[Rank Verteilung Krümmung]:[Verteilung Krümmung]],2,FALSE)</f>
        <v>#N/A</v>
      </c>
      <c r="Z4088">
        <v>4079</v>
      </c>
      <c r="AA4088" t="e">
        <f>INDEX(Stammdaten[Ovalität (']0,1'])],MATCH(Tabelle1014[[#This Row],[Rank]],Stammdaten[Rank Verteilung Ovalität],0))</f>
        <v>#N/A</v>
      </c>
      <c r="AB4088" t="e">
        <f>VLOOKUP(Tabelle1014[[#This Row],[Rank]],Stammdaten[[Rank Verteilung Ovalität]:[Verteilung Ovalität]],2,FALSE)</f>
        <v>#N/A</v>
      </c>
    </row>
    <row r="4089" spans="5:28" x14ac:dyDescent="0.35">
      <c r="E4089">
        <v>4080</v>
      </c>
      <c r="F4089" t="e">
        <f>INDEX(Stammdaten[D Mitte mit Rinde (mm)],MATCH(Tabelle8[[#This Row],[Rank]],Stammdaten[Rank Verteilung D Mitte mit Rinde],0))</f>
        <v>#N/A</v>
      </c>
      <c r="G4089" t="e">
        <f>VLOOKUP(Tabelle8[[#This Row],[Rank]],Stammdaten[[Rank Verteilung D Mitte mit Rinde]:[Verteilung D Mitte mit Rinde]],2,FALSE)</f>
        <v>#N/A</v>
      </c>
      <c r="L4089">
        <v>4080</v>
      </c>
      <c r="M4089" t="e">
        <f>INDEX(Stammdaten[Abholzigkeit (mm/lfm)],MATCH(Tabelle9[[#This Row],[Rank]],Stammdaten[Rank Verteilung Abholzigkeit],0))</f>
        <v>#N/A</v>
      </c>
      <c r="N4089" t="e">
        <f>VLOOKUP(Tabelle9[[#This Row],[Rank]],Stammdaten[[Rank Verteilung Abholzigkeit]:[Verteilung Abholzigkeit]],2,FALSE)</f>
        <v>#N/A</v>
      </c>
      <c r="S4089">
        <v>4080</v>
      </c>
      <c r="T4089" t="e">
        <f>INDEX(Stammdaten[Krümmung (mm/lfm)],MATCH(Tabelle10[[#This Row],[Rank]],Stammdaten[Rank Verteilung Krümmung],0))</f>
        <v>#N/A</v>
      </c>
      <c r="U4089" t="e">
        <f>VLOOKUP(Tabelle10[[#This Row],[Rank]],Stammdaten[[Rank Verteilung Krümmung]:[Verteilung Krümmung]],2,FALSE)</f>
        <v>#N/A</v>
      </c>
      <c r="Z4089">
        <v>4080</v>
      </c>
      <c r="AA4089" t="e">
        <f>INDEX(Stammdaten[Ovalität (']0,1'])],MATCH(Tabelle1014[[#This Row],[Rank]],Stammdaten[Rank Verteilung Ovalität],0))</f>
        <v>#N/A</v>
      </c>
      <c r="AB4089" t="e">
        <f>VLOOKUP(Tabelle1014[[#This Row],[Rank]],Stammdaten[[Rank Verteilung Ovalität]:[Verteilung Ovalität]],2,FALSE)</f>
        <v>#N/A</v>
      </c>
    </row>
    <row r="4090" spans="5:28" x14ac:dyDescent="0.35">
      <c r="E4090">
        <v>4081</v>
      </c>
      <c r="F4090" t="e">
        <f>INDEX(Stammdaten[D Mitte mit Rinde (mm)],MATCH(Tabelle8[[#This Row],[Rank]],Stammdaten[Rank Verteilung D Mitte mit Rinde],0))</f>
        <v>#N/A</v>
      </c>
      <c r="G4090" t="e">
        <f>VLOOKUP(Tabelle8[[#This Row],[Rank]],Stammdaten[[Rank Verteilung D Mitte mit Rinde]:[Verteilung D Mitte mit Rinde]],2,FALSE)</f>
        <v>#N/A</v>
      </c>
      <c r="L4090">
        <v>4081</v>
      </c>
      <c r="M4090" t="e">
        <f>INDEX(Stammdaten[Abholzigkeit (mm/lfm)],MATCH(Tabelle9[[#This Row],[Rank]],Stammdaten[Rank Verteilung Abholzigkeit],0))</f>
        <v>#N/A</v>
      </c>
      <c r="N4090" t="e">
        <f>VLOOKUP(Tabelle9[[#This Row],[Rank]],Stammdaten[[Rank Verteilung Abholzigkeit]:[Verteilung Abholzigkeit]],2,FALSE)</f>
        <v>#N/A</v>
      </c>
      <c r="S4090">
        <v>4081</v>
      </c>
      <c r="T4090" t="e">
        <f>INDEX(Stammdaten[Krümmung (mm/lfm)],MATCH(Tabelle10[[#This Row],[Rank]],Stammdaten[Rank Verteilung Krümmung],0))</f>
        <v>#N/A</v>
      </c>
      <c r="U4090" t="e">
        <f>VLOOKUP(Tabelle10[[#This Row],[Rank]],Stammdaten[[Rank Verteilung Krümmung]:[Verteilung Krümmung]],2,FALSE)</f>
        <v>#N/A</v>
      </c>
      <c r="Z4090">
        <v>4081</v>
      </c>
      <c r="AA4090" t="e">
        <f>INDEX(Stammdaten[Ovalität (']0,1'])],MATCH(Tabelle1014[[#This Row],[Rank]],Stammdaten[Rank Verteilung Ovalität],0))</f>
        <v>#N/A</v>
      </c>
      <c r="AB4090" t="e">
        <f>VLOOKUP(Tabelle1014[[#This Row],[Rank]],Stammdaten[[Rank Verteilung Ovalität]:[Verteilung Ovalität]],2,FALSE)</f>
        <v>#N/A</v>
      </c>
    </row>
    <row r="4091" spans="5:28" x14ac:dyDescent="0.35">
      <c r="E4091">
        <v>4082</v>
      </c>
      <c r="F4091" t="e">
        <f>INDEX(Stammdaten[D Mitte mit Rinde (mm)],MATCH(Tabelle8[[#This Row],[Rank]],Stammdaten[Rank Verteilung D Mitte mit Rinde],0))</f>
        <v>#N/A</v>
      </c>
      <c r="G4091" t="e">
        <f>VLOOKUP(Tabelle8[[#This Row],[Rank]],Stammdaten[[Rank Verteilung D Mitte mit Rinde]:[Verteilung D Mitte mit Rinde]],2,FALSE)</f>
        <v>#N/A</v>
      </c>
      <c r="L4091">
        <v>4082</v>
      </c>
      <c r="M4091" t="e">
        <f>INDEX(Stammdaten[Abholzigkeit (mm/lfm)],MATCH(Tabelle9[[#This Row],[Rank]],Stammdaten[Rank Verteilung Abholzigkeit],0))</f>
        <v>#N/A</v>
      </c>
      <c r="N4091" t="e">
        <f>VLOOKUP(Tabelle9[[#This Row],[Rank]],Stammdaten[[Rank Verteilung Abholzigkeit]:[Verteilung Abholzigkeit]],2,FALSE)</f>
        <v>#N/A</v>
      </c>
      <c r="S4091">
        <v>4082</v>
      </c>
      <c r="T4091" t="e">
        <f>INDEX(Stammdaten[Krümmung (mm/lfm)],MATCH(Tabelle10[[#This Row],[Rank]],Stammdaten[Rank Verteilung Krümmung],0))</f>
        <v>#N/A</v>
      </c>
      <c r="U4091" t="e">
        <f>VLOOKUP(Tabelle10[[#This Row],[Rank]],Stammdaten[[Rank Verteilung Krümmung]:[Verteilung Krümmung]],2,FALSE)</f>
        <v>#N/A</v>
      </c>
      <c r="Z4091">
        <v>4082</v>
      </c>
      <c r="AA4091" t="e">
        <f>INDEX(Stammdaten[Ovalität (']0,1'])],MATCH(Tabelle1014[[#This Row],[Rank]],Stammdaten[Rank Verteilung Ovalität],0))</f>
        <v>#N/A</v>
      </c>
      <c r="AB4091" t="e">
        <f>VLOOKUP(Tabelle1014[[#This Row],[Rank]],Stammdaten[[Rank Verteilung Ovalität]:[Verteilung Ovalität]],2,FALSE)</f>
        <v>#N/A</v>
      </c>
    </row>
    <row r="4092" spans="5:28" x14ac:dyDescent="0.35">
      <c r="E4092">
        <v>4083</v>
      </c>
      <c r="F4092" t="e">
        <f>INDEX(Stammdaten[D Mitte mit Rinde (mm)],MATCH(Tabelle8[[#This Row],[Rank]],Stammdaten[Rank Verteilung D Mitte mit Rinde],0))</f>
        <v>#N/A</v>
      </c>
      <c r="G4092" t="e">
        <f>VLOOKUP(Tabelle8[[#This Row],[Rank]],Stammdaten[[Rank Verteilung D Mitte mit Rinde]:[Verteilung D Mitte mit Rinde]],2,FALSE)</f>
        <v>#N/A</v>
      </c>
      <c r="L4092">
        <v>4083</v>
      </c>
      <c r="M4092" t="e">
        <f>INDEX(Stammdaten[Abholzigkeit (mm/lfm)],MATCH(Tabelle9[[#This Row],[Rank]],Stammdaten[Rank Verteilung Abholzigkeit],0))</f>
        <v>#N/A</v>
      </c>
      <c r="N4092" t="e">
        <f>VLOOKUP(Tabelle9[[#This Row],[Rank]],Stammdaten[[Rank Verteilung Abholzigkeit]:[Verteilung Abholzigkeit]],2,FALSE)</f>
        <v>#N/A</v>
      </c>
      <c r="S4092">
        <v>4083</v>
      </c>
      <c r="T4092" t="e">
        <f>INDEX(Stammdaten[Krümmung (mm/lfm)],MATCH(Tabelle10[[#This Row],[Rank]],Stammdaten[Rank Verteilung Krümmung],0))</f>
        <v>#N/A</v>
      </c>
      <c r="U4092" t="e">
        <f>VLOOKUP(Tabelle10[[#This Row],[Rank]],Stammdaten[[Rank Verteilung Krümmung]:[Verteilung Krümmung]],2,FALSE)</f>
        <v>#N/A</v>
      </c>
      <c r="Z4092">
        <v>4083</v>
      </c>
      <c r="AA4092" t="e">
        <f>INDEX(Stammdaten[Ovalität (']0,1'])],MATCH(Tabelle1014[[#This Row],[Rank]],Stammdaten[Rank Verteilung Ovalität],0))</f>
        <v>#N/A</v>
      </c>
      <c r="AB4092" t="e">
        <f>VLOOKUP(Tabelle1014[[#This Row],[Rank]],Stammdaten[[Rank Verteilung Ovalität]:[Verteilung Ovalität]],2,FALSE)</f>
        <v>#N/A</v>
      </c>
    </row>
    <row r="4093" spans="5:28" x14ac:dyDescent="0.35">
      <c r="E4093">
        <v>4084</v>
      </c>
      <c r="F4093" t="e">
        <f>INDEX(Stammdaten[D Mitte mit Rinde (mm)],MATCH(Tabelle8[[#This Row],[Rank]],Stammdaten[Rank Verteilung D Mitte mit Rinde],0))</f>
        <v>#N/A</v>
      </c>
      <c r="G4093" t="e">
        <f>VLOOKUP(Tabelle8[[#This Row],[Rank]],Stammdaten[[Rank Verteilung D Mitte mit Rinde]:[Verteilung D Mitte mit Rinde]],2,FALSE)</f>
        <v>#N/A</v>
      </c>
      <c r="L4093">
        <v>4084</v>
      </c>
      <c r="M4093" t="e">
        <f>INDEX(Stammdaten[Abholzigkeit (mm/lfm)],MATCH(Tabelle9[[#This Row],[Rank]],Stammdaten[Rank Verteilung Abholzigkeit],0))</f>
        <v>#N/A</v>
      </c>
      <c r="N4093" t="e">
        <f>VLOOKUP(Tabelle9[[#This Row],[Rank]],Stammdaten[[Rank Verteilung Abholzigkeit]:[Verteilung Abholzigkeit]],2,FALSE)</f>
        <v>#N/A</v>
      </c>
      <c r="S4093">
        <v>4084</v>
      </c>
      <c r="T4093" t="e">
        <f>INDEX(Stammdaten[Krümmung (mm/lfm)],MATCH(Tabelle10[[#This Row],[Rank]],Stammdaten[Rank Verteilung Krümmung],0))</f>
        <v>#N/A</v>
      </c>
      <c r="U4093" t="e">
        <f>VLOOKUP(Tabelle10[[#This Row],[Rank]],Stammdaten[[Rank Verteilung Krümmung]:[Verteilung Krümmung]],2,FALSE)</f>
        <v>#N/A</v>
      </c>
      <c r="Z4093">
        <v>4084</v>
      </c>
      <c r="AA4093" t="e">
        <f>INDEX(Stammdaten[Ovalität (']0,1'])],MATCH(Tabelle1014[[#This Row],[Rank]],Stammdaten[Rank Verteilung Ovalität],0))</f>
        <v>#N/A</v>
      </c>
      <c r="AB4093" t="e">
        <f>VLOOKUP(Tabelle1014[[#This Row],[Rank]],Stammdaten[[Rank Verteilung Ovalität]:[Verteilung Ovalität]],2,FALSE)</f>
        <v>#N/A</v>
      </c>
    </row>
    <row r="4094" spans="5:28" x14ac:dyDescent="0.35">
      <c r="E4094">
        <v>4085</v>
      </c>
      <c r="F4094" t="e">
        <f>INDEX(Stammdaten[D Mitte mit Rinde (mm)],MATCH(Tabelle8[[#This Row],[Rank]],Stammdaten[Rank Verteilung D Mitte mit Rinde],0))</f>
        <v>#N/A</v>
      </c>
      <c r="G4094" t="e">
        <f>VLOOKUP(Tabelle8[[#This Row],[Rank]],Stammdaten[[Rank Verteilung D Mitte mit Rinde]:[Verteilung D Mitte mit Rinde]],2,FALSE)</f>
        <v>#N/A</v>
      </c>
      <c r="L4094">
        <v>4085</v>
      </c>
      <c r="M4094" t="e">
        <f>INDEX(Stammdaten[Abholzigkeit (mm/lfm)],MATCH(Tabelle9[[#This Row],[Rank]],Stammdaten[Rank Verteilung Abholzigkeit],0))</f>
        <v>#N/A</v>
      </c>
      <c r="N4094" t="e">
        <f>VLOOKUP(Tabelle9[[#This Row],[Rank]],Stammdaten[[Rank Verteilung Abholzigkeit]:[Verteilung Abholzigkeit]],2,FALSE)</f>
        <v>#N/A</v>
      </c>
      <c r="S4094">
        <v>4085</v>
      </c>
      <c r="T4094" t="e">
        <f>INDEX(Stammdaten[Krümmung (mm/lfm)],MATCH(Tabelle10[[#This Row],[Rank]],Stammdaten[Rank Verteilung Krümmung],0))</f>
        <v>#N/A</v>
      </c>
      <c r="U4094" t="e">
        <f>VLOOKUP(Tabelle10[[#This Row],[Rank]],Stammdaten[[Rank Verteilung Krümmung]:[Verteilung Krümmung]],2,FALSE)</f>
        <v>#N/A</v>
      </c>
      <c r="Z4094">
        <v>4085</v>
      </c>
      <c r="AA4094" t="e">
        <f>INDEX(Stammdaten[Ovalität (']0,1'])],MATCH(Tabelle1014[[#This Row],[Rank]],Stammdaten[Rank Verteilung Ovalität],0))</f>
        <v>#N/A</v>
      </c>
      <c r="AB4094" t="e">
        <f>VLOOKUP(Tabelle1014[[#This Row],[Rank]],Stammdaten[[Rank Verteilung Ovalität]:[Verteilung Ovalität]],2,FALSE)</f>
        <v>#N/A</v>
      </c>
    </row>
    <row r="4095" spans="5:28" x14ac:dyDescent="0.35">
      <c r="E4095">
        <v>4086</v>
      </c>
      <c r="F4095" t="e">
        <f>INDEX(Stammdaten[D Mitte mit Rinde (mm)],MATCH(Tabelle8[[#This Row],[Rank]],Stammdaten[Rank Verteilung D Mitte mit Rinde],0))</f>
        <v>#N/A</v>
      </c>
      <c r="G4095" t="e">
        <f>VLOOKUP(Tabelle8[[#This Row],[Rank]],Stammdaten[[Rank Verteilung D Mitte mit Rinde]:[Verteilung D Mitte mit Rinde]],2,FALSE)</f>
        <v>#N/A</v>
      </c>
      <c r="L4095">
        <v>4086</v>
      </c>
      <c r="M4095" t="e">
        <f>INDEX(Stammdaten[Abholzigkeit (mm/lfm)],MATCH(Tabelle9[[#This Row],[Rank]],Stammdaten[Rank Verteilung Abholzigkeit],0))</f>
        <v>#N/A</v>
      </c>
      <c r="N4095" t="e">
        <f>VLOOKUP(Tabelle9[[#This Row],[Rank]],Stammdaten[[Rank Verteilung Abholzigkeit]:[Verteilung Abholzigkeit]],2,FALSE)</f>
        <v>#N/A</v>
      </c>
      <c r="S4095">
        <v>4086</v>
      </c>
      <c r="T4095" t="e">
        <f>INDEX(Stammdaten[Krümmung (mm/lfm)],MATCH(Tabelle10[[#This Row],[Rank]],Stammdaten[Rank Verteilung Krümmung],0))</f>
        <v>#N/A</v>
      </c>
      <c r="U4095" t="e">
        <f>VLOOKUP(Tabelle10[[#This Row],[Rank]],Stammdaten[[Rank Verteilung Krümmung]:[Verteilung Krümmung]],2,FALSE)</f>
        <v>#N/A</v>
      </c>
      <c r="Z4095">
        <v>4086</v>
      </c>
      <c r="AA4095" t="e">
        <f>INDEX(Stammdaten[Ovalität (']0,1'])],MATCH(Tabelle1014[[#This Row],[Rank]],Stammdaten[Rank Verteilung Ovalität],0))</f>
        <v>#N/A</v>
      </c>
      <c r="AB4095" t="e">
        <f>VLOOKUP(Tabelle1014[[#This Row],[Rank]],Stammdaten[[Rank Verteilung Ovalität]:[Verteilung Ovalität]],2,FALSE)</f>
        <v>#N/A</v>
      </c>
    </row>
    <row r="4096" spans="5:28" x14ac:dyDescent="0.35">
      <c r="E4096">
        <v>4087</v>
      </c>
      <c r="F4096" t="e">
        <f>INDEX(Stammdaten[D Mitte mit Rinde (mm)],MATCH(Tabelle8[[#This Row],[Rank]],Stammdaten[Rank Verteilung D Mitte mit Rinde],0))</f>
        <v>#N/A</v>
      </c>
      <c r="G4096" t="e">
        <f>VLOOKUP(Tabelle8[[#This Row],[Rank]],Stammdaten[[Rank Verteilung D Mitte mit Rinde]:[Verteilung D Mitte mit Rinde]],2,FALSE)</f>
        <v>#N/A</v>
      </c>
      <c r="L4096">
        <v>4087</v>
      </c>
      <c r="M4096" t="e">
        <f>INDEX(Stammdaten[Abholzigkeit (mm/lfm)],MATCH(Tabelle9[[#This Row],[Rank]],Stammdaten[Rank Verteilung Abholzigkeit],0))</f>
        <v>#N/A</v>
      </c>
      <c r="N4096" t="e">
        <f>VLOOKUP(Tabelle9[[#This Row],[Rank]],Stammdaten[[Rank Verteilung Abholzigkeit]:[Verteilung Abholzigkeit]],2,FALSE)</f>
        <v>#N/A</v>
      </c>
      <c r="S4096">
        <v>4087</v>
      </c>
      <c r="T4096" t="e">
        <f>INDEX(Stammdaten[Krümmung (mm/lfm)],MATCH(Tabelle10[[#This Row],[Rank]],Stammdaten[Rank Verteilung Krümmung],0))</f>
        <v>#N/A</v>
      </c>
      <c r="U4096" t="e">
        <f>VLOOKUP(Tabelle10[[#This Row],[Rank]],Stammdaten[[Rank Verteilung Krümmung]:[Verteilung Krümmung]],2,FALSE)</f>
        <v>#N/A</v>
      </c>
      <c r="Z4096">
        <v>4087</v>
      </c>
      <c r="AA4096" t="e">
        <f>INDEX(Stammdaten[Ovalität (']0,1'])],MATCH(Tabelle1014[[#This Row],[Rank]],Stammdaten[Rank Verteilung Ovalität],0))</f>
        <v>#N/A</v>
      </c>
      <c r="AB4096" t="e">
        <f>VLOOKUP(Tabelle1014[[#This Row],[Rank]],Stammdaten[[Rank Verteilung Ovalität]:[Verteilung Ovalität]],2,FALSE)</f>
        <v>#N/A</v>
      </c>
    </row>
    <row r="4097" spans="5:28" x14ac:dyDescent="0.35">
      <c r="E4097">
        <v>4088</v>
      </c>
      <c r="F4097" t="e">
        <f>INDEX(Stammdaten[D Mitte mit Rinde (mm)],MATCH(Tabelle8[[#This Row],[Rank]],Stammdaten[Rank Verteilung D Mitte mit Rinde],0))</f>
        <v>#N/A</v>
      </c>
      <c r="G4097" t="e">
        <f>VLOOKUP(Tabelle8[[#This Row],[Rank]],Stammdaten[[Rank Verteilung D Mitte mit Rinde]:[Verteilung D Mitte mit Rinde]],2,FALSE)</f>
        <v>#N/A</v>
      </c>
      <c r="L4097">
        <v>4088</v>
      </c>
      <c r="M4097" t="e">
        <f>INDEX(Stammdaten[Abholzigkeit (mm/lfm)],MATCH(Tabelle9[[#This Row],[Rank]],Stammdaten[Rank Verteilung Abholzigkeit],0))</f>
        <v>#N/A</v>
      </c>
      <c r="N4097" t="e">
        <f>VLOOKUP(Tabelle9[[#This Row],[Rank]],Stammdaten[[Rank Verteilung Abholzigkeit]:[Verteilung Abholzigkeit]],2,FALSE)</f>
        <v>#N/A</v>
      </c>
      <c r="S4097">
        <v>4088</v>
      </c>
      <c r="T4097" t="e">
        <f>INDEX(Stammdaten[Krümmung (mm/lfm)],MATCH(Tabelle10[[#This Row],[Rank]],Stammdaten[Rank Verteilung Krümmung],0))</f>
        <v>#N/A</v>
      </c>
      <c r="U4097" t="e">
        <f>VLOOKUP(Tabelle10[[#This Row],[Rank]],Stammdaten[[Rank Verteilung Krümmung]:[Verteilung Krümmung]],2,FALSE)</f>
        <v>#N/A</v>
      </c>
      <c r="Z4097">
        <v>4088</v>
      </c>
      <c r="AA4097" t="e">
        <f>INDEX(Stammdaten[Ovalität (']0,1'])],MATCH(Tabelle1014[[#This Row],[Rank]],Stammdaten[Rank Verteilung Ovalität],0))</f>
        <v>#N/A</v>
      </c>
      <c r="AB4097" t="e">
        <f>VLOOKUP(Tabelle1014[[#This Row],[Rank]],Stammdaten[[Rank Verteilung Ovalität]:[Verteilung Ovalität]],2,FALSE)</f>
        <v>#N/A</v>
      </c>
    </row>
    <row r="4098" spans="5:28" x14ac:dyDescent="0.35">
      <c r="E4098">
        <v>4089</v>
      </c>
      <c r="F4098" t="e">
        <f>INDEX(Stammdaten[D Mitte mit Rinde (mm)],MATCH(Tabelle8[[#This Row],[Rank]],Stammdaten[Rank Verteilung D Mitte mit Rinde],0))</f>
        <v>#N/A</v>
      </c>
      <c r="G4098" t="e">
        <f>VLOOKUP(Tabelle8[[#This Row],[Rank]],Stammdaten[[Rank Verteilung D Mitte mit Rinde]:[Verteilung D Mitte mit Rinde]],2,FALSE)</f>
        <v>#N/A</v>
      </c>
      <c r="L4098">
        <v>4089</v>
      </c>
      <c r="M4098" t="e">
        <f>INDEX(Stammdaten[Abholzigkeit (mm/lfm)],MATCH(Tabelle9[[#This Row],[Rank]],Stammdaten[Rank Verteilung Abholzigkeit],0))</f>
        <v>#N/A</v>
      </c>
      <c r="N4098" t="e">
        <f>VLOOKUP(Tabelle9[[#This Row],[Rank]],Stammdaten[[Rank Verteilung Abholzigkeit]:[Verteilung Abholzigkeit]],2,FALSE)</f>
        <v>#N/A</v>
      </c>
      <c r="S4098">
        <v>4089</v>
      </c>
      <c r="T4098" t="e">
        <f>INDEX(Stammdaten[Krümmung (mm/lfm)],MATCH(Tabelle10[[#This Row],[Rank]],Stammdaten[Rank Verteilung Krümmung],0))</f>
        <v>#N/A</v>
      </c>
      <c r="U4098" t="e">
        <f>VLOOKUP(Tabelle10[[#This Row],[Rank]],Stammdaten[[Rank Verteilung Krümmung]:[Verteilung Krümmung]],2,FALSE)</f>
        <v>#N/A</v>
      </c>
      <c r="Z4098">
        <v>4089</v>
      </c>
      <c r="AA4098" t="e">
        <f>INDEX(Stammdaten[Ovalität (']0,1'])],MATCH(Tabelle1014[[#This Row],[Rank]],Stammdaten[Rank Verteilung Ovalität],0))</f>
        <v>#N/A</v>
      </c>
      <c r="AB4098" t="e">
        <f>VLOOKUP(Tabelle1014[[#This Row],[Rank]],Stammdaten[[Rank Verteilung Ovalität]:[Verteilung Ovalität]],2,FALSE)</f>
        <v>#N/A</v>
      </c>
    </row>
    <row r="4099" spans="5:28" x14ac:dyDescent="0.35">
      <c r="E4099">
        <v>4090</v>
      </c>
      <c r="F4099" t="e">
        <f>INDEX(Stammdaten[D Mitte mit Rinde (mm)],MATCH(Tabelle8[[#This Row],[Rank]],Stammdaten[Rank Verteilung D Mitte mit Rinde],0))</f>
        <v>#N/A</v>
      </c>
      <c r="G4099" t="e">
        <f>VLOOKUP(Tabelle8[[#This Row],[Rank]],Stammdaten[[Rank Verteilung D Mitte mit Rinde]:[Verteilung D Mitte mit Rinde]],2,FALSE)</f>
        <v>#N/A</v>
      </c>
      <c r="L4099">
        <v>4090</v>
      </c>
      <c r="M4099" t="e">
        <f>INDEX(Stammdaten[Abholzigkeit (mm/lfm)],MATCH(Tabelle9[[#This Row],[Rank]],Stammdaten[Rank Verteilung Abholzigkeit],0))</f>
        <v>#N/A</v>
      </c>
      <c r="N4099" t="e">
        <f>VLOOKUP(Tabelle9[[#This Row],[Rank]],Stammdaten[[Rank Verteilung Abholzigkeit]:[Verteilung Abholzigkeit]],2,FALSE)</f>
        <v>#N/A</v>
      </c>
      <c r="S4099">
        <v>4090</v>
      </c>
      <c r="T4099" t="e">
        <f>INDEX(Stammdaten[Krümmung (mm/lfm)],MATCH(Tabelle10[[#This Row],[Rank]],Stammdaten[Rank Verteilung Krümmung],0))</f>
        <v>#N/A</v>
      </c>
      <c r="U4099" t="e">
        <f>VLOOKUP(Tabelle10[[#This Row],[Rank]],Stammdaten[[Rank Verteilung Krümmung]:[Verteilung Krümmung]],2,FALSE)</f>
        <v>#N/A</v>
      </c>
      <c r="Z4099">
        <v>4090</v>
      </c>
      <c r="AA4099" t="e">
        <f>INDEX(Stammdaten[Ovalität (']0,1'])],MATCH(Tabelle1014[[#This Row],[Rank]],Stammdaten[Rank Verteilung Ovalität],0))</f>
        <v>#N/A</v>
      </c>
      <c r="AB4099" t="e">
        <f>VLOOKUP(Tabelle1014[[#This Row],[Rank]],Stammdaten[[Rank Verteilung Ovalität]:[Verteilung Ovalität]],2,FALSE)</f>
        <v>#N/A</v>
      </c>
    </row>
    <row r="4100" spans="5:28" x14ac:dyDescent="0.35">
      <c r="E4100">
        <v>4091</v>
      </c>
      <c r="F4100" t="e">
        <f>INDEX(Stammdaten[D Mitte mit Rinde (mm)],MATCH(Tabelle8[[#This Row],[Rank]],Stammdaten[Rank Verteilung D Mitte mit Rinde],0))</f>
        <v>#N/A</v>
      </c>
      <c r="G4100" t="e">
        <f>VLOOKUP(Tabelle8[[#This Row],[Rank]],Stammdaten[[Rank Verteilung D Mitte mit Rinde]:[Verteilung D Mitte mit Rinde]],2,FALSE)</f>
        <v>#N/A</v>
      </c>
      <c r="L4100">
        <v>4091</v>
      </c>
      <c r="M4100" t="e">
        <f>INDEX(Stammdaten[Abholzigkeit (mm/lfm)],MATCH(Tabelle9[[#This Row],[Rank]],Stammdaten[Rank Verteilung Abholzigkeit],0))</f>
        <v>#N/A</v>
      </c>
      <c r="N4100" t="e">
        <f>VLOOKUP(Tabelle9[[#This Row],[Rank]],Stammdaten[[Rank Verteilung Abholzigkeit]:[Verteilung Abholzigkeit]],2,FALSE)</f>
        <v>#N/A</v>
      </c>
      <c r="S4100">
        <v>4091</v>
      </c>
      <c r="T4100" t="e">
        <f>INDEX(Stammdaten[Krümmung (mm/lfm)],MATCH(Tabelle10[[#This Row],[Rank]],Stammdaten[Rank Verteilung Krümmung],0))</f>
        <v>#N/A</v>
      </c>
      <c r="U4100" t="e">
        <f>VLOOKUP(Tabelle10[[#This Row],[Rank]],Stammdaten[[Rank Verteilung Krümmung]:[Verteilung Krümmung]],2,FALSE)</f>
        <v>#N/A</v>
      </c>
      <c r="Z4100">
        <v>4091</v>
      </c>
      <c r="AA4100" t="e">
        <f>INDEX(Stammdaten[Ovalität (']0,1'])],MATCH(Tabelle1014[[#This Row],[Rank]],Stammdaten[Rank Verteilung Ovalität],0))</f>
        <v>#N/A</v>
      </c>
      <c r="AB4100" t="e">
        <f>VLOOKUP(Tabelle1014[[#This Row],[Rank]],Stammdaten[[Rank Verteilung Ovalität]:[Verteilung Ovalität]],2,FALSE)</f>
        <v>#N/A</v>
      </c>
    </row>
    <row r="4101" spans="5:28" x14ac:dyDescent="0.35">
      <c r="E4101">
        <v>4092</v>
      </c>
      <c r="F4101" t="e">
        <f>INDEX(Stammdaten[D Mitte mit Rinde (mm)],MATCH(Tabelle8[[#This Row],[Rank]],Stammdaten[Rank Verteilung D Mitte mit Rinde],0))</f>
        <v>#N/A</v>
      </c>
      <c r="G4101" t="e">
        <f>VLOOKUP(Tabelle8[[#This Row],[Rank]],Stammdaten[[Rank Verteilung D Mitte mit Rinde]:[Verteilung D Mitte mit Rinde]],2,FALSE)</f>
        <v>#N/A</v>
      </c>
      <c r="L4101">
        <v>4092</v>
      </c>
      <c r="M4101" t="e">
        <f>INDEX(Stammdaten[Abholzigkeit (mm/lfm)],MATCH(Tabelle9[[#This Row],[Rank]],Stammdaten[Rank Verteilung Abholzigkeit],0))</f>
        <v>#N/A</v>
      </c>
      <c r="N4101" t="e">
        <f>VLOOKUP(Tabelle9[[#This Row],[Rank]],Stammdaten[[Rank Verteilung Abholzigkeit]:[Verteilung Abholzigkeit]],2,FALSE)</f>
        <v>#N/A</v>
      </c>
      <c r="S4101">
        <v>4092</v>
      </c>
      <c r="T4101" t="e">
        <f>INDEX(Stammdaten[Krümmung (mm/lfm)],MATCH(Tabelle10[[#This Row],[Rank]],Stammdaten[Rank Verteilung Krümmung],0))</f>
        <v>#N/A</v>
      </c>
      <c r="U4101" t="e">
        <f>VLOOKUP(Tabelle10[[#This Row],[Rank]],Stammdaten[[Rank Verteilung Krümmung]:[Verteilung Krümmung]],2,FALSE)</f>
        <v>#N/A</v>
      </c>
      <c r="Z4101">
        <v>4092</v>
      </c>
      <c r="AA4101" t="e">
        <f>INDEX(Stammdaten[Ovalität (']0,1'])],MATCH(Tabelle1014[[#This Row],[Rank]],Stammdaten[Rank Verteilung Ovalität],0))</f>
        <v>#N/A</v>
      </c>
      <c r="AB4101" t="e">
        <f>VLOOKUP(Tabelle1014[[#This Row],[Rank]],Stammdaten[[Rank Verteilung Ovalität]:[Verteilung Ovalität]],2,FALSE)</f>
        <v>#N/A</v>
      </c>
    </row>
    <row r="4102" spans="5:28" x14ac:dyDescent="0.35">
      <c r="E4102">
        <v>4093</v>
      </c>
      <c r="F4102" t="e">
        <f>INDEX(Stammdaten[D Mitte mit Rinde (mm)],MATCH(Tabelle8[[#This Row],[Rank]],Stammdaten[Rank Verteilung D Mitte mit Rinde],0))</f>
        <v>#N/A</v>
      </c>
      <c r="G4102" t="e">
        <f>VLOOKUP(Tabelle8[[#This Row],[Rank]],Stammdaten[[Rank Verteilung D Mitte mit Rinde]:[Verteilung D Mitte mit Rinde]],2,FALSE)</f>
        <v>#N/A</v>
      </c>
      <c r="L4102">
        <v>4093</v>
      </c>
      <c r="M4102" t="e">
        <f>INDEX(Stammdaten[Abholzigkeit (mm/lfm)],MATCH(Tabelle9[[#This Row],[Rank]],Stammdaten[Rank Verteilung Abholzigkeit],0))</f>
        <v>#N/A</v>
      </c>
      <c r="N4102" t="e">
        <f>VLOOKUP(Tabelle9[[#This Row],[Rank]],Stammdaten[[Rank Verteilung Abholzigkeit]:[Verteilung Abholzigkeit]],2,FALSE)</f>
        <v>#N/A</v>
      </c>
      <c r="S4102">
        <v>4093</v>
      </c>
      <c r="T4102" t="e">
        <f>INDEX(Stammdaten[Krümmung (mm/lfm)],MATCH(Tabelle10[[#This Row],[Rank]],Stammdaten[Rank Verteilung Krümmung],0))</f>
        <v>#N/A</v>
      </c>
      <c r="U4102" t="e">
        <f>VLOOKUP(Tabelle10[[#This Row],[Rank]],Stammdaten[[Rank Verteilung Krümmung]:[Verteilung Krümmung]],2,FALSE)</f>
        <v>#N/A</v>
      </c>
      <c r="Z4102">
        <v>4093</v>
      </c>
      <c r="AA4102" t="e">
        <f>INDEX(Stammdaten[Ovalität (']0,1'])],MATCH(Tabelle1014[[#This Row],[Rank]],Stammdaten[Rank Verteilung Ovalität],0))</f>
        <v>#N/A</v>
      </c>
      <c r="AB4102" t="e">
        <f>VLOOKUP(Tabelle1014[[#This Row],[Rank]],Stammdaten[[Rank Verteilung Ovalität]:[Verteilung Ovalität]],2,FALSE)</f>
        <v>#N/A</v>
      </c>
    </row>
    <row r="4103" spans="5:28" x14ac:dyDescent="0.35">
      <c r="E4103">
        <v>4094</v>
      </c>
      <c r="F4103" t="e">
        <f>INDEX(Stammdaten[D Mitte mit Rinde (mm)],MATCH(Tabelle8[[#This Row],[Rank]],Stammdaten[Rank Verteilung D Mitte mit Rinde],0))</f>
        <v>#N/A</v>
      </c>
      <c r="G4103" t="e">
        <f>VLOOKUP(Tabelle8[[#This Row],[Rank]],Stammdaten[[Rank Verteilung D Mitte mit Rinde]:[Verteilung D Mitte mit Rinde]],2,FALSE)</f>
        <v>#N/A</v>
      </c>
      <c r="L4103">
        <v>4094</v>
      </c>
      <c r="M4103" t="e">
        <f>INDEX(Stammdaten[Abholzigkeit (mm/lfm)],MATCH(Tabelle9[[#This Row],[Rank]],Stammdaten[Rank Verteilung Abholzigkeit],0))</f>
        <v>#N/A</v>
      </c>
      <c r="N4103" t="e">
        <f>VLOOKUP(Tabelle9[[#This Row],[Rank]],Stammdaten[[Rank Verteilung Abholzigkeit]:[Verteilung Abholzigkeit]],2,FALSE)</f>
        <v>#N/A</v>
      </c>
      <c r="S4103">
        <v>4094</v>
      </c>
      <c r="T4103" t="e">
        <f>INDEX(Stammdaten[Krümmung (mm/lfm)],MATCH(Tabelle10[[#This Row],[Rank]],Stammdaten[Rank Verteilung Krümmung],0))</f>
        <v>#N/A</v>
      </c>
      <c r="U4103" t="e">
        <f>VLOOKUP(Tabelle10[[#This Row],[Rank]],Stammdaten[[Rank Verteilung Krümmung]:[Verteilung Krümmung]],2,FALSE)</f>
        <v>#N/A</v>
      </c>
      <c r="Z4103">
        <v>4094</v>
      </c>
      <c r="AA4103" t="e">
        <f>INDEX(Stammdaten[Ovalität (']0,1'])],MATCH(Tabelle1014[[#This Row],[Rank]],Stammdaten[Rank Verteilung Ovalität],0))</f>
        <v>#N/A</v>
      </c>
      <c r="AB4103" t="e">
        <f>VLOOKUP(Tabelle1014[[#This Row],[Rank]],Stammdaten[[Rank Verteilung Ovalität]:[Verteilung Ovalität]],2,FALSE)</f>
        <v>#N/A</v>
      </c>
    </row>
    <row r="4104" spans="5:28" x14ac:dyDescent="0.35">
      <c r="E4104">
        <v>4095</v>
      </c>
      <c r="F4104" t="e">
        <f>INDEX(Stammdaten[D Mitte mit Rinde (mm)],MATCH(Tabelle8[[#This Row],[Rank]],Stammdaten[Rank Verteilung D Mitte mit Rinde],0))</f>
        <v>#N/A</v>
      </c>
      <c r="G4104" t="e">
        <f>VLOOKUP(Tabelle8[[#This Row],[Rank]],Stammdaten[[Rank Verteilung D Mitte mit Rinde]:[Verteilung D Mitte mit Rinde]],2,FALSE)</f>
        <v>#N/A</v>
      </c>
      <c r="L4104">
        <v>4095</v>
      </c>
      <c r="M4104" t="e">
        <f>INDEX(Stammdaten[Abholzigkeit (mm/lfm)],MATCH(Tabelle9[[#This Row],[Rank]],Stammdaten[Rank Verteilung Abholzigkeit],0))</f>
        <v>#N/A</v>
      </c>
      <c r="N4104" t="e">
        <f>VLOOKUP(Tabelle9[[#This Row],[Rank]],Stammdaten[[Rank Verteilung Abholzigkeit]:[Verteilung Abholzigkeit]],2,FALSE)</f>
        <v>#N/A</v>
      </c>
      <c r="S4104">
        <v>4095</v>
      </c>
      <c r="T4104" t="e">
        <f>INDEX(Stammdaten[Krümmung (mm/lfm)],MATCH(Tabelle10[[#This Row],[Rank]],Stammdaten[Rank Verteilung Krümmung],0))</f>
        <v>#N/A</v>
      </c>
      <c r="U4104" t="e">
        <f>VLOOKUP(Tabelle10[[#This Row],[Rank]],Stammdaten[[Rank Verteilung Krümmung]:[Verteilung Krümmung]],2,FALSE)</f>
        <v>#N/A</v>
      </c>
      <c r="Z4104">
        <v>4095</v>
      </c>
      <c r="AA4104" t="e">
        <f>INDEX(Stammdaten[Ovalität (']0,1'])],MATCH(Tabelle1014[[#This Row],[Rank]],Stammdaten[Rank Verteilung Ovalität],0))</f>
        <v>#N/A</v>
      </c>
      <c r="AB4104" t="e">
        <f>VLOOKUP(Tabelle1014[[#This Row],[Rank]],Stammdaten[[Rank Verteilung Ovalität]:[Verteilung Ovalität]],2,FALSE)</f>
        <v>#N/A</v>
      </c>
    </row>
    <row r="4105" spans="5:28" x14ac:dyDescent="0.35">
      <c r="E4105">
        <v>4096</v>
      </c>
      <c r="F4105" t="e">
        <f>INDEX(Stammdaten[D Mitte mit Rinde (mm)],MATCH(Tabelle8[[#This Row],[Rank]],Stammdaten[Rank Verteilung D Mitte mit Rinde],0))</f>
        <v>#N/A</v>
      </c>
      <c r="G4105" t="e">
        <f>VLOOKUP(Tabelle8[[#This Row],[Rank]],Stammdaten[[Rank Verteilung D Mitte mit Rinde]:[Verteilung D Mitte mit Rinde]],2,FALSE)</f>
        <v>#N/A</v>
      </c>
      <c r="L4105">
        <v>4096</v>
      </c>
      <c r="M4105" t="e">
        <f>INDEX(Stammdaten[Abholzigkeit (mm/lfm)],MATCH(Tabelle9[[#This Row],[Rank]],Stammdaten[Rank Verteilung Abholzigkeit],0))</f>
        <v>#N/A</v>
      </c>
      <c r="N4105" t="e">
        <f>VLOOKUP(Tabelle9[[#This Row],[Rank]],Stammdaten[[Rank Verteilung Abholzigkeit]:[Verteilung Abholzigkeit]],2,FALSE)</f>
        <v>#N/A</v>
      </c>
      <c r="S4105">
        <v>4096</v>
      </c>
      <c r="T4105" t="e">
        <f>INDEX(Stammdaten[Krümmung (mm/lfm)],MATCH(Tabelle10[[#This Row],[Rank]],Stammdaten[Rank Verteilung Krümmung],0))</f>
        <v>#N/A</v>
      </c>
      <c r="U4105" t="e">
        <f>VLOOKUP(Tabelle10[[#This Row],[Rank]],Stammdaten[[Rank Verteilung Krümmung]:[Verteilung Krümmung]],2,FALSE)</f>
        <v>#N/A</v>
      </c>
      <c r="Z4105">
        <v>4096</v>
      </c>
      <c r="AA4105" t="e">
        <f>INDEX(Stammdaten[Ovalität (']0,1'])],MATCH(Tabelle1014[[#This Row],[Rank]],Stammdaten[Rank Verteilung Ovalität],0))</f>
        <v>#N/A</v>
      </c>
      <c r="AB4105" t="e">
        <f>VLOOKUP(Tabelle1014[[#This Row],[Rank]],Stammdaten[[Rank Verteilung Ovalität]:[Verteilung Ovalität]],2,FALSE)</f>
        <v>#N/A</v>
      </c>
    </row>
    <row r="4106" spans="5:28" x14ac:dyDescent="0.35">
      <c r="E4106">
        <v>4097</v>
      </c>
      <c r="F4106" t="e">
        <f>INDEX(Stammdaten[D Mitte mit Rinde (mm)],MATCH(Tabelle8[[#This Row],[Rank]],Stammdaten[Rank Verteilung D Mitte mit Rinde],0))</f>
        <v>#N/A</v>
      </c>
      <c r="G4106" t="e">
        <f>VLOOKUP(Tabelle8[[#This Row],[Rank]],Stammdaten[[Rank Verteilung D Mitte mit Rinde]:[Verteilung D Mitte mit Rinde]],2,FALSE)</f>
        <v>#N/A</v>
      </c>
      <c r="L4106">
        <v>4097</v>
      </c>
      <c r="M4106" t="e">
        <f>INDEX(Stammdaten[Abholzigkeit (mm/lfm)],MATCH(Tabelle9[[#This Row],[Rank]],Stammdaten[Rank Verteilung Abholzigkeit],0))</f>
        <v>#N/A</v>
      </c>
      <c r="N4106" t="e">
        <f>VLOOKUP(Tabelle9[[#This Row],[Rank]],Stammdaten[[Rank Verteilung Abholzigkeit]:[Verteilung Abholzigkeit]],2,FALSE)</f>
        <v>#N/A</v>
      </c>
      <c r="S4106">
        <v>4097</v>
      </c>
      <c r="T4106" t="e">
        <f>INDEX(Stammdaten[Krümmung (mm/lfm)],MATCH(Tabelle10[[#This Row],[Rank]],Stammdaten[Rank Verteilung Krümmung],0))</f>
        <v>#N/A</v>
      </c>
      <c r="U4106" t="e">
        <f>VLOOKUP(Tabelle10[[#This Row],[Rank]],Stammdaten[[Rank Verteilung Krümmung]:[Verteilung Krümmung]],2,FALSE)</f>
        <v>#N/A</v>
      </c>
      <c r="Z4106">
        <v>4097</v>
      </c>
      <c r="AA4106" t="e">
        <f>INDEX(Stammdaten[Ovalität (']0,1'])],MATCH(Tabelle1014[[#This Row],[Rank]],Stammdaten[Rank Verteilung Ovalität],0))</f>
        <v>#N/A</v>
      </c>
      <c r="AB4106" t="e">
        <f>VLOOKUP(Tabelle1014[[#This Row],[Rank]],Stammdaten[[Rank Verteilung Ovalität]:[Verteilung Ovalität]],2,FALSE)</f>
        <v>#N/A</v>
      </c>
    </row>
    <row r="4107" spans="5:28" x14ac:dyDescent="0.35">
      <c r="E4107">
        <v>4098</v>
      </c>
      <c r="F4107" t="e">
        <f>INDEX(Stammdaten[D Mitte mit Rinde (mm)],MATCH(Tabelle8[[#This Row],[Rank]],Stammdaten[Rank Verteilung D Mitte mit Rinde],0))</f>
        <v>#N/A</v>
      </c>
      <c r="G4107" t="e">
        <f>VLOOKUP(Tabelle8[[#This Row],[Rank]],Stammdaten[[Rank Verteilung D Mitte mit Rinde]:[Verteilung D Mitte mit Rinde]],2,FALSE)</f>
        <v>#N/A</v>
      </c>
      <c r="L4107">
        <v>4098</v>
      </c>
      <c r="M4107" t="e">
        <f>INDEX(Stammdaten[Abholzigkeit (mm/lfm)],MATCH(Tabelle9[[#This Row],[Rank]],Stammdaten[Rank Verteilung Abholzigkeit],0))</f>
        <v>#N/A</v>
      </c>
      <c r="N4107" t="e">
        <f>VLOOKUP(Tabelle9[[#This Row],[Rank]],Stammdaten[[Rank Verteilung Abholzigkeit]:[Verteilung Abholzigkeit]],2,FALSE)</f>
        <v>#N/A</v>
      </c>
      <c r="S4107">
        <v>4098</v>
      </c>
      <c r="T4107" t="e">
        <f>INDEX(Stammdaten[Krümmung (mm/lfm)],MATCH(Tabelle10[[#This Row],[Rank]],Stammdaten[Rank Verteilung Krümmung],0))</f>
        <v>#N/A</v>
      </c>
      <c r="U4107" t="e">
        <f>VLOOKUP(Tabelle10[[#This Row],[Rank]],Stammdaten[[Rank Verteilung Krümmung]:[Verteilung Krümmung]],2,FALSE)</f>
        <v>#N/A</v>
      </c>
      <c r="Z4107">
        <v>4098</v>
      </c>
      <c r="AA4107" t="e">
        <f>INDEX(Stammdaten[Ovalität (']0,1'])],MATCH(Tabelle1014[[#This Row],[Rank]],Stammdaten[Rank Verteilung Ovalität],0))</f>
        <v>#N/A</v>
      </c>
      <c r="AB4107" t="e">
        <f>VLOOKUP(Tabelle1014[[#This Row],[Rank]],Stammdaten[[Rank Verteilung Ovalität]:[Verteilung Ovalität]],2,FALSE)</f>
        <v>#N/A</v>
      </c>
    </row>
    <row r="4108" spans="5:28" x14ac:dyDescent="0.35">
      <c r="E4108">
        <v>4099</v>
      </c>
      <c r="F4108" t="e">
        <f>INDEX(Stammdaten[D Mitte mit Rinde (mm)],MATCH(Tabelle8[[#This Row],[Rank]],Stammdaten[Rank Verteilung D Mitte mit Rinde],0))</f>
        <v>#N/A</v>
      </c>
      <c r="G4108" t="e">
        <f>VLOOKUP(Tabelle8[[#This Row],[Rank]],Stammdaten[[Rank Verteilung D Mitte mit Rinde]:[Verteilung D Mitte mit Rinde]],2,FALSE)</f>
        <v>#N/A</v>
      </c>
      <c r="L4108">
        <v>4099</v>
      </c>
      <c r="M4108" t="e">
        <f>INDEX(Stammdaten[Abholzigkeit (mm/lfm)],MATCH(Tabelle9[[#This Row],[Rank]],Stammdaten[Rank Verteilung Abholzigkeit],0))</f>
        <v>#N/A</v>
      </c>
      <c r="N4108" t="e">
        <f>VLOOKUP(Tabelle9[[#This Row],[Rank]],Stammdaten[[Rank Verteilung Abholzigkeit]:[Verteilung Abholzigkeit]],2,FALSE)</f>
        <v>#N/A</v>
      </c>
      <c r="S4108">
        <v>4099</v>
      </c>
      <c r="T4108" t="e">
        <f>INDEX(Stammdaten[Krümmung (mm/lfm)],MATCH(Tabelle10[[#This Row],[Rank]],Stammdaten[Rank Verteilung Krümmung],0))</f>
        <v>#N/A</v>
      </c>
      <c r="U4108" t="e">
        <f>VLOOKUP(Tabelle10[[#This Row],[Rank]],Stammdaten[[Rank Verteilung Krümmung]:[Verteilung Krümmung]],2,FALSE)</f>
        <v>#N/A</v>
      </c>
      <c r="Z4108">
        <v>4099</v>
      </c>
      <c r="AA4108" t="e">
        <f>INDEX(Stammdaten[Ovalität (']0,1'])],MATCH(Tabelle1014[[#This Row],[Rank]],Stammdaten[Rank Verteilung Ovalität],0))</f>
        <v>#N/A</v>
      </c>
      <c r="AB4108" t="e">
        <f>VLOOKUP(Tabelle1014[[#This Row],[Rank]],Stammdaten[[Rank Verteilung Ovalität]:[Verteilung Ovalität]],2,FALSE)</f>
        <v>#N/A</v>
      </c>
    </row>
    <row r="4109" spans="5:28" x14ac:dyDescent="0.35">
      <c r="E4109">
        <v>4100</v>
      </c>
      <c r="F4109" t="e">
        <f>INDEX(Stammdaten[D Mitte mit Rinde (mm)],MATCH(Tabelle8[[#This Row],[Rank]],Stammdaten[Rank Verteilung D Mitte mit Rinde],0))</f>
        <v>#N/A</v>
      </c>
      <c r="G4109" t="e">
        <f>VLOOKUP(Tabelle8[[#This Row],[Rank]],Stammdaten[[Rank Verteilung D Mitte mit Rinde]:[Verteilung D Mitte mit Rinde]],2,FALSE)</f>
        <v>#N/A</v>
      </c>
      <c r="L4109">
        <v>4100</v>
      </c>
      <c r="M4109" t="e">
        <f>INDEX(Stammdaten[Abholzigkeit (mm/lfm)],MATCH(Tabelle9[[#This Row],[Rank]],Stammdaten[Rank Verteilung Abholzigkeit],0))</f>
        <v>#N/A</v>
      </c>
      <c r="N4109" t="e">
        <f>VLOOKUP(Tabelle9[[#This Row],[Rank]],Stammdaten[[Rank Verteilung Abholzigkeit]:[Verteilung Abholzigkeit]],2,FALSE)</f>
        <v>#N/A</v>
      </c>
      <c r="S4109">
        <v>4100</v>
      </c>
      <c r="T4109" t="e">
        <f>INDEX(Stammdaten[Krümmung (mm/lfm)],MATCH(Tabelle10[[#This Row],[Rank]],Stammdaten[Rank Verteilung Krümmung],0))</f>
        <v>#N/A</v>
      </c>
      <c r="U4109" t="e">
        <f>VLOOKUP(Tabelle10[[#This Row],[Rank]],Stammdaten[[Rank Verteilung Krümmung]:[Verteilung Krümmung]],2,FALSE)</f>
        <v>#N/A</v>
      </c>
      <c r="Z4109">
        <v>4100</v>
      </c>
      <c r="AA4109" t="e">
        <f>INDEX(Stammdaten[Ovalität (']0,1'])],MATCH(Tabelle1014[[#This Row],[Rank]],Stammdaten[Rank Verteilung Ovalität],0))</f>
        <v>#N/A</v>
      </c>
      <c r="AB4109" t="e">
        <f>VLOOKUP(Tabelle1014[[#This Row],[Rank]],Stammdaten[[Rank Verteilung Ovalität]:[Verteilung Ovalität]],2,FALSE)</f>
        <v>#N/A</v>
      </c>
    </row>
    <row r="4110" spans="5:28" x14ac:dyDescent="0.35">
      <c r="E4110">
        <v>4101</v>
      </c>
      <c r="F4110" t="e">
        <f>INDEX(Stammdaten[D Mitte mit Rinde (mm)],MATCH(Tabelle8[[#This Row],[Rank]],Stammdaten[Rank Verteilung D Mitte mit Rinde],0))</f>
        <v>#N/A</v>
      </c>
      <c r="G4110" t="e">
        <f>VLOOKUP(Tabelle8[[#This Row],[Rank]],Stammdaten[[Rank Verteilung D Mitte mit Rinde]:[Verteilung D Mitte mit Rinde]],2,FALSE)</f>
        <v>#N/A</v>
      </c>
      <c r="L4110">
        <v>4101</v>
      </c>
      <c r="M4110" t="e">
        <f>INDEX(Stammdaten[Abholzigkeit (mm/lfm)],MATCH(Tabelle9[[#This Row],[Rank]],Stammdaten[Rank Verteilung Abholzigkeit],0))</f>
        <v>#N/A</v>
      </c>
      <c r="N4110" t="e">
        <f>VLOOKUP(Tabelle9[[#This Row],[Rank]],Stammdaten[[Rank Verteilung Abholzigkeit]:[Verteilung Abholzigkeit]],2,FALSE)</f>
        <v>#N/A</v>
      </c>
      <c r="S4110">
        <v>4101</v>
      </c>
      <c r="T4110" t="e">
        <f>INDEX(Stammdaten[Krümmung (mm/lfm)],MATCH(Tabelle10[[#This Row],[Rank]],Stammdaten[Rank Verteilung Krümmung],0))</f>
        <v>#N/A</v>
      </c>
      <c r="U4110" t="e">
        <f>VLOOKUP(Tabelle10[[#This Row],[Rank]],Stammdaten[[Rank Verteilung Krümmung]:[Verteilung Krümmung]],2,FALSE)</f>
        <v>#N/A</v>
      </c>
      <c r="Z4110">
        <v>4101</v>
      </c>
      <c r="AA4110" t="e">
        <f>INDEX(Stammdaten[Ovalität (']0,1'])],MATCH(Tabelle1014[[#This Row],[Rank]],Stammdaten[Rank Verteilung Ovalität],0))</f>
        <v>#N/A</v>
      </c>
      <c r="AB4110" t="e">
        <f>VLOOKUP(Tabelle1014[[#This Row],[Rank]],Stammdaten[[Rank Verteilung Ovalität]:[Verteilung Ovalität]],2,FALSE)</f>
        <v>#N/A</v>
      </c>
    </row>
    <row r="4111" spans="5:28" x14ac:dyDescent="0.35">
      <c r="E4111">
        <v>4102</v>
      </c>
      <c r="F4111" t="e">
        <f>INDEX(Stammdaten[D Mitte mit Rinde (mm)],MATCH(Tabelle8[[#This Row],[Rank]],Stammdaten[Rank Verteilung D Mitte mit Rinde],0))</f>
        <v>#N/A</v>
      </c>
      <c r="G4111" t="e">
        <f>VLOOKUP(Tabelle8[[#This Row],[Rank]],Stammdaten[[Rank Verteilung D Mitte mit Rinde]:[Verteilung D Mitte mit Rinde]],2,FALSE)</f>
        <v>#N/A</v>
      </c>
      <c r="L4111">
        <v>4102</v>
      </c>
      <c r="M4111" t="e">
        <f>INDEX(Stammdaten[Abholzigkeit (mm/lfm)],MATCH(Tabelle9[[#This Row],[Rank]],Stammdaten[Rank Verteilung Abholzigkeit],0))</f>
        <v>#N/A</v>
      </c>
      <c r="N4111" t="e">
        <f>VLOOKUP(Tabelle9[[#This Row],[Rank]],Stammdaten[[Rank Verteilung Abholzigkeit]:[Verteilung Abholzigkeit]],2,FALSE)</f>
        <v>#N/A</v>
      </c>
      <c r="S4111">
        <v>4102</v>
      </c>
      <c r="T4111" t="e">
        <f>INDEX(Stammdaten[Krümmung (mm/lfm)],MATCH(Tabelle10[[#This Row],[Rank]],Stammdaten[Rank Verteilung Krümmung],0))</f>
        <v>#N/A</v>
      </c>
      <c r="U4111" t="e">
        <f>VLOOKUP(Tabelle10[[#This Row],[Rank]],Stammdaten[[Rank Verteilung Krümmung]:[Verteilung Krümmung]],2,FALSE)</f>
        <v>#N/A</v>
      </c>
      <c r="Z4111">
        <v>4102</v>
      </c>
      <c r="AA4111" t="e">
        <f>INDEX(Stammdaten[Ovalität (']0,1'])],MATCH(Tabelle1014[[#This Row],[Rank]],Stammdaten[Rank Verteilung Ovalität],0))</f>
        <v>#N/A</v>
      </c>
      <c r="AB4111" t="e">
        <f>VLOOKUP(Tabelle1014[[#This Row],[Rank]],Stammdaten[[Rank Verteilung Ovalität]:[Verteilung Ovalität]],2,FALSE)</f>
        <v>#N/A</v>
      </c>
    </row>
    <row r="4112" spans="5:28" x14ac:dyDescent="0.35">
      <c r="E4112">
        <v>4103</v>
      </c>
      <c r="F4112" t="e">
        <f>INDEX(Stammdaten[D Mitte mit Rinde (mm)],MATCH(Tabelle8[[#This Row],[Rank]],Stammdaten[Rank Verteilung D Mitte mit Rinde],0))</f>
        <v>#N/A</v>
      </c>
      <c r="G4112" t="e">
        <f>VLOOKUP(Tabelle8[[#This Row],[Rank]],Stammdaten[[Rank Verteilung D Mitte mit Rinde]:[Verteilung D Mitte mit Rinde]],2,FALSE)</f>
        <v>#N/A</v>
      </c>
      <c r="L4112">
        <v>4103</v>
      </c>
      <c r="M4112" t="e">
        <f>INDEX(Stammdaten[Abholzigkeit (mm/lfm)],MATCH(Tabelle9[[#This Row],[Rank]],Stammdaten[Rank Verteilung Abholzigkeit],0))</f>
        <v>#N/A</v>
      </c>
      <c r="N4112" t="e">
        <f>VLOOKUP(Tabelle9[[#This Row],[Rank]],Stammdaten[[Rank Verteilung Abholzigkeit]:[Verteilung Abholzigkeit]],2,FALSE)</f>
        <v>#N/A</v>
      </c>
      <c r="S4112">
        <v>4103</v>
      </c>
      <c r="T4112" t="e">
        <f>INDEX(Stammdaten[Krümmung (mm/lfm)],MATCH(Tabelle10[[#This Row],[Rank]],Stammdaten[Rank Verteilung Krümmung],0))</f>
        <v>#N/A</v>
      </c>
      <c r="U4112" t="e">
        <f>VLOOKUP(Tabelle10[[#This Row],[Rank]],Stammdaten[[Rank Verteilung Krümmung]:[Verteilung Krümmung]],2,FALSE)</f>
        <v>#N/A</v>
      </c>
      <c r="Z4112">
        <v>4103</v>
      </c>
      <c r="AA4112" t="e">
        <f>INDEX(Stammdaten[Ovalität (']0,1'])],MATCH(Tabelle1014[[#This Row],[Rank]],Stammdaten[Rank Verteilung Ovalität],0))</f>
        <v>#N/A</v>
      </c>
      <c r="AB4112" t="e">
        <f>VLOOKUP(Tabelle1014[[#This Row],[Rank]],Stammdaten[[Rank Verteilung Ovalität]:[Verteilung Ovalität]],2,FALSE)</f>
        <v>#N/A</v>
      </c>
    </row>
    <row r="4113" spans="5:28" x14ac:dyDescent="0.35">
      <c r="E4113">
        <v>4104</v>
      </c>
      <c r="F4113" t="e">
        <f>INDEX(Stammdaten[D Mitte mit Rinde (mm)],MATCH(Tabelle8[[#This Row],[Rank]],Stammdaten[Rank Verteilung D Mitte mit Rinde],0))</f>
        <v>#N/A</v>
      </c>
      <c r="G4113" t="e">
        <f>VLOOKUP(Tabelle8[[#This Row],[Rank]],Stammdaten[[Rank Verteilung D Mitte mit Rinde]:[Verteilung D Mitte mit Rinde]],2,FALSE)</f>
        <v>#N/A</v>
      </c>
      <c r="L4113">
        <v>4104</v>
      </c>
      <c r="M4113" t="e">
        <f>INDEX(Stammdaten[Abholzigkeit (mm/lfm)],MATCH(Tabelle9[[#This Row],[Rank]],Stammdaten[Rank Verteilung Abholzigkeit],0))</f>
        <v>#N/A</v>
      </c>
      <c r="N4113" t="e">
        <f>VLOOKUP(Tabelle9[[#This Row],[Rank]],Stammdaten[[Rank Verteilung Abholzigkeit]:[Verteilung Abholzigkeit]],2,FALSE)</f>
        <v>#N/A</v>
      </c>
      <c r="S4113">
        <v>4104</v>
      </c>
      <c r="T4113" t="e">
        <f>INDEX(Stammdaten[Krümmung (mm/lfm)],MATCH(Tabelle10[[#This Row],[Rank]],Stammdaten[Rank Verteilung Krümmung],0))</f>
        <v>#N/A</v>
      </c>
      <c r="U4113" t="e">
        <f>VLOOKUP(Tabelle10[[#This Row],[Rank]],Stammdaten[[Rank Verteilung Krümmung]:[Verteilung Krümmung]],2,FALSE)</f>
        <v>#N/A</v>
      </c>
      <c r="Z4113">
        <v>4104</v>
      </c>
      <c r="AA4113" t="e">
        <f>INDEX(Stammdaten[Ovalität (']0,1'])],MATCH(Tabelle1014[[#This Row],[Rank]],Stammdaten[Rank Verteilung Ovalität],0))</f>
        <v>#N/A</v>
      </c>
      <c r="AB4113" t="e">
        <f>VLOOKUP(Tabelle1014[[#This Row],[Rank]],Stammdaten[[Rank Verteilung Ovalität]:[Verteilung Ovalität]],2,FALSE)</f>
        <v>#N/A</v>
      </c>
    </row>
    <row r="4114" spans="5:28" x14ac:dyDescent="0.35">
      <c r="E4114">
        <v>4105</v>
      </c>
      <c r="F4114" t="e">
        <f>INDEX(Stammdaten[D Mitte mit Rinde (mm)],MATCH(Tabelle8[[#This Row],[Rank]],Stammdaten[Rank Verteilung D Mitte mit Rinde],0))</f>
        <v>#N/A</v>
      </c>
      <c r="G4114" t="e">
        <f>VLOOKUP(Tabelle8[[#This Row],[Rank]],Stammdaten[[Rank Verteilung D Mitte mit Rinde]:[Verteilung D Mitte mit Rinde]],2,FALSE)</f>
        <v>#N/A</v>
      </c>
      <c r="L4114">
        <v>4105</v>
      </c>
      <c r="M4114" t="e">
        <f>INDEX(Stammdaten[Abholzigkeit (mm/lfm)],MATCH(Tabelle9[[#This Row],[Rank]],Stammdaten[Rank Verteilung Abholzigkeit],0))</f>
        <v>#N/A</v>
      </c>
      <c r="N4114" t="e">
        <f>VLOOKUP(Tabelle9[[#This Row],[Rank]],Stammdaten[[Rank Verteilung Abholzigkeit]:[Verteilung Abholzigkeit]],2,FALSE)</f>
        <v>#N/A</v>
      </c>
      <c r="S4114">
        <v>4105</v>
      </c>
      <c r="T4114" t="e">
        <f>INDEX(Stammdaten[Krümmung (mm/lfm)],MATCH(Tabelle10[[#This Row],[Rank]],Stammdaten[Rank Verteilung Krümmung],0))</f>
        <v>#N/A</v>
      </c>
      <c r="U4114" t="e">
        <f>VLOOKUP(Tabelle10[[#This Row],[Rank]],Stammdaten[[Rank Verteilung Krümmung]:[Verteilung Krümmung]],2,FALSE)</f>
        <v>#N/A</v>
      </c>
      <c r="Z4114">
        <v>4105</v>
      </c>
      <c r="AA4114" t="e">
        <f>INDEX(Stammdaten[Ovalität (']0,1'])],MATCH(Tabelle1014[[#This Row],[Rank]],Stammdaten[Rank Verteilung Ovalität],0))</f>
        <v>#N/A</v>
      </c>
      <c r="AB4114" t="e">
        <f>VLOOKUP(Tabelle1014[[#This Row],[Rank]],Stammdaten[[Rank Verteilung Ovalität]:[Verteilung Ovalität]],2,FALSE)</f>
        <v>#N/A</v>
      </c>
    </row>
    <row r="4115" spans="5:28" x14ac:dyDescent="0.35">
      <c r="E4115">
        <v>4106</v>
      </c>
      <c r="F4115" t="e">
        <f>INDEX(Stammdaten[D Mitte mit Rinde (mm)],MATCH(Tabelle8[[#This Row],[Rank]],Stammdaten[Rank Verteilung D Mitte mit Rinde],0))</f>
        <v>#N/A</v>
      </c>
      <c r="G4115" t="e">
        <f>VLOOKUP(Tabelle8[[#This Row],[Rank]],Stammdaten[[Rank Verteilung D Mitte mit Rinde]:[Verteilung D Mitte mit Rinde]],2,FALSE)</f>
        <v>#N/A</v>
      </c>
      <c r="L4115">
        <v>4106</v>
      </c>
      <c r="M4115" t="e">
        <f>INDEX(Stammdaten[Abholzigkeit (mm/lfm)],MATCH(Tabelle9[[#This Row],[Rank]],Stammdaten[Rank Verteilung Abholzigkeit],0))</f>
        <v>#N/A</v>
      </c>
      <c r="N4115" t="e">
        <f>VLOOKUP(Tabelle9[[#This Row],[Rank]],Stammdaten[[Rank Verteilung Abholzigkeit]:[Verteilung Abholzigkeit]],2,FALSE)</f>
        <v>#N/A</v>
      </c>
      <c r="S4115">
        <v>4106</v>
      </c>
      <c r="T4115" t="e">
        <f>INDEX(Stammdaten[Krümmung (mm/lfm)],MATCH(Tabelle10[[#This Row],[Rank]],Stammdaten[Rank Verteilung Krümmung],0))</f>
        <v>#N/A</v>
      </c>
      <c r="U4115" t="e">
        <f>VLOOKUP(Tabelle10[[#This Row],[Rank]],Stammdaten[[Rank Verteilung Krümmung]:[Verteilung Krümmung]],2,FALSE)</f>
        <v>#N/A</v>
      </c>
      <c r="Z4115">
        <v>4106</v>
      </c>
      <c r="AA4115" t="e">
        <f>INDEX(Stammdaten[Ovalität (']0,1'])],MATCH(Tabelle1014[[#This Row],[Rank]],Stammdaten[Rank Verteilung Ovalität],0))</f>
        <v>#N/A</v>
      </c>
      <c r="AB4115" t="e">
        <f>VLOOKUP(Tabelle1014[[#This Row],[Rank]],Stammdaten[[Rank Verteilung Ovalität]:[Verteilung Ovalität]],2,FALSE)</f>
        <v>#N/A</v>
      </c>
    </row>
    <row r="4116" spans="5:28" x14ac:dyDescent="0.35">
      <c r="E4116">
        <v>4107</v>
      </c>
      <c r="F4116" t="e">
        <f>INDEX(Stammdaten[D Mitte mit Rinde (mm)],MATCH(Tabelle8[[#This Row],[Rank]],Stammdaten[Rank Verteilung D Mitte mit Rinde],0))</f>
        <v>#N/A</v>
      </c>
      <c r="G4116" t="e">
        <f>VLOOKUP(Tabelle8[[#This Row],[Rank]],Stammdaten[[Rank Verteilung D Mitte mit Rinde]:[Verteilung D Mitte mit Rinde]],2,FALSE)</f>
        <v>#N/A</v>
      </c>
      <c r="L4116">
        <v>4107</v>
      </c>
      <c r="M4116" t="e">
        <f>INDEX(Stammdaten[Abholzigkeit (mm/lfm)],MATCH(Tabelle9[[#This Row],[Rank]],Stammdaten[Rank Verteilung Abholzigkeit],0))</f>
        <v>#N/A</v>
      </c>
      <c r="N4116" t="e">
        <f>VLOOKUP(Tabelle9[[#This Row],[Rank]],Stammdaten[[Rank Verteilung Abholzigkeit]:[Verteilung Abholzigkeit]],2,FALSE)</f>
        <v>#N/A</v>
      </c>
      <c r="S4116">
        <v>4107</v>
      </c>
      <c r="T4116" t="e">
        <f>INDEX(Stammdaten[Krümmung (mm/lfm)],MATCH(Tabelle10[[#This Row],[Rank]],Stammdaten[Rank Verteilung Krümmung],0))</f>
        <v>#N/A</v>
      </c>
      <c r="U4116" t="e">
        <f>VLOOKUP(Tabelle10[[#This Row],[Rank]],Stammdaten[[Rank Verteilung Krümmung]:[Verteilung Krümmung]],2,FALSE)</f>
        <v>#N/A</v>
      </c>
      <c r="Z4116">
        <v>4107</v>
      </c>
      <c r="AA4116" t="e">
        <f>INDEX(Stammdaten[Ovalität (']0,1'])],MATCH(Tabelle1014[[#This Row],[Rank]],Stammdaten[Rank Verteilung Ovalität],0))</f>
        <v>#N/A</v>
      </c>
      <c r="AB4116" t="e">
        <f>VLOOKUP(Tabelle1014[[#This Row],[Rank]],Stammdaten[[Rank Verteilung Ovalität]:[Verteilung Ovalität]],2,FALSE)</f>
        <v>#N/A</v>
      </c>
    </row>
    <row r="4117" spans="5:28" x14ac:dyDescent="0.35">
      <c r="E4117">
        <v>4108</v>
      </c>
      <c r="F4117" t="e">
        <f>INDEX(Stammdaten[D Mitte mit Rinde (mm)],MATCH(Tabelle8[[#This Row],[Rank]],Stammdaten[Rank Verteilung D Mitte mit Rinde],0))</f>
        <v>#N/A</v>
      </c>
      <c r="G4117" t="e">
        <f>VLOOKUP(Tabelle8[[#This Row],[Rank]],Stammdaten[[Rank Verteilung D Mitte mit Rinde]:[Verteilung D Mitte mit Rinde]],2,FALSE)</f>
        <v>#N/A</v>
      </c>
      <c r="L4117">
        <v>4108</v>
      </c>
      <c r="M4117" t="e">
        <f>INDEX(Stammdaten[Abholzigkeit (mm/lfm)],MATCH(Tabelle9[[#This Row],[Rank]],Stammdaten[Rank Verteilung Abholzigkeit],0))</f>
        <v>#N/A</v>
      </c>
      <c r="N4117" t="e">
        <f>VLOOKUP(Tabelle9[[#This Row],[Rank]],Stammdaten[[Rank Verteilung Abholzigkeit]:[Verteilung Abholzigkeit]],2,FALSE)</f>
        <v>#N/A</v>
      </c>
      <c r="S4117">
        <v>4108</v>
      </c>
      <c r="T4117" t="e">
        <f>INDEX(Stammdaten[Krümmung (mm/lfm)],MATCH(Tabelle10[[#This Row],[Rank]],Stammdaten[Rank Verteilung Krümmung],0))</f>
        <v>#N/A</v>
      </c>
      <c r="U4117" t="e">
        <f>VLOOKUP(Tabelle10[[#This Row],[Rank]],Stammdaten[[Rank Verteilung Krümmung]:[Verteilung Krümmung]],2,FALSE)</f>
        <v>#N/A</v>
      </c>
      <c r="Z4117">
        <v>4108</v>
      </c>
      <c r="AA4117" t="e">
        <f>INDEX(Stammdaten[Ovalität (']0,1'])],MATCH(Tabelle1014[[#This Row],[Rank]],Stammdaten[Rank Verteilung Ovalität],0))</f>
        <v>#N/A</v>
      </c>
      <c r="AB4117" t="e">
        <f>VLOOKUP(Tabelle1014[[#This Row],[Rank]],Stammdaten[[Rank Verteilung Ovalität]:[Verteilung Ovalität]],2,FALSE)</f>
        <v>#N/A</v>
      </c>
    </row>
    <row r="4118" spans="5:28" x14ac:dyDescent="0.35">
      <c r="E4118">
        <v>4109</v>
      </c>
      <c r="F4118" t="e">
        <f>INDEX(Stammdaten[D Mitte mit Rinde (mm)],MATCH(Tabelle8[[#This Row],[Rank]],Stammdaten[Rank Verteilung D Mitte mit Rinde],0))</f>
        <v>#N/A</v>
      </c>
      <c r="G4118" t="e">
        <f>VLOOKUP(Tabelle8[[#This Row],[Rank]],Stammdaten[[Rank Verteilung D Mitte mit Rinde]:[Verteilung D Mitte mit Rinde]],2,FALSE)</f>
        <v>#N/A</v>
      </c>
      <c r="L4118">
        <v>4109</v>
      </c>
      <c r="M4118" t="e">
        <f>INDEX(Stammdaten[Abholzigkeit (mm/lfm)],MATCH(Tabelle9[[#This Row],[Rank]],Stammdaten[Rank Verteilung Abholzigkeit],0))</f>
        <v>#N/A</v>
      </c>
      <c r="N4118" t="e">
        <f>VLOOKUP(Tabelle9[[#This Row],[Rank]],Stammdaten[[Rank Verteilung Abholzigkeit]:[Verteilung Abholzigkeit]],2,FALSE)</f>
        <v>#N/A</v>
      </c>
      <c r="S4118">
        <v>4109</v>
      </c>
      <c r="T4118" t="e">
        <f>INDEX(Stammdaten[Krümmung (mm/lfm)],MATCH(Tabelle10[[#This Row],[Rank]],Stammdaten[Rank Verteilung Krümmung],0))</f>
        <v>#N/A</v>
      </c>
      <c r="U4118" t="e">
        <f>VLOOKUP(Tabelle10[[#This Row],[Rank]],Stammdaten[[Rank Verteilung Krümmung]:[Verteilung Krümmung]],2,FALSE)</f>
        <v>#N/A</v>
      </c>
      <c r="Z4118">
        <v>4109</v>
      </c>
      <c r="AA4118" t="e">
        <f>INDEX(Stammdaten[Ovalität (']0,1'])],MATCH(Tabelle1014[[#This Row],[Rank]],Stammdaten[Rank Verteilung Ovalität],0))</f>
        <v>#N/A</v>
      </c>
      <c r="AB4118" t="e">
        <f>VLOOKUP(Tabelle1014[[#This Row],[Rank]],Stammdaten[[Rank Verteilung Ovalität]:[Verteilung Ovalität]],2,FALSE)</f>
        <v>#N/A</v>
      </c>
    </row>
    <row r="4119" spans="5:28" x14ac:dyDescent="0.35">
      <c r="E4119">
        <v>4110</v>
      </c>
      <c r="F4119" t="e">
        <f>INDEX(Stammdaten[D Mitte mit Rinde (mm)],MATCH(Tabelle8[[#This Row],[Rank]],Stammdaten[Rank Verteilung D Mitte mit Rinde],0))</f>
        <v>#N/A</v>
      </c>
      <c r="G4119" t="e">
        <f>VLOOKUP(Tabelle8[[#This Row],[Rank]],Stammdaten[[Rank Verteilung D Mitte mit Rinde]:[Verteilung D Mitte mit Rinde]],2,FALSE)</f>
        <v>#N/A</v>
      </c>
      <c r="L4119">
        <v>4110</v>
      </c>
      <c r="M4119" t="e">
        <f>INDEX(Stammdaten[Abholzigkeit (mm/lfm)],MATCH(Tabelle9[[#This Row],[Rank]],Stammdaten[Rank Verteilung Abholzigkeit],0))</f>
        <v>#N/A</v>
      </c>
      <c r="N4119" t="e">
        <f>VLOOKUP(Tabelle9[[#This Row],[Rank]],Stammdaten[[Rank Verteilung Abholzigkeit]:[Verteilung Abholzigkeit]],2,FALSE)</f>
        <v>#N/A</v>
      </c>
      <c r="S4119">
        <v>4110</v>
      </c>
      <c r="T4119" t="e">
        <f>INDEX(Stammdaten[Krümmung (mm/lfm)],MATCH(Tabelle10[[#This Row],[Rank]],Stammdaten[Rank Verteilung Krümmung],0))</f>
        <v>#N/A</v>
      </c>
      <c r="U4119" t="e">
        <f>VLOOKUP(Tabelle10[[#This Row],[Rank]],Stammdaten[[Rank Verteilung Krümmung]:[Verteilung Krümmung]],2,FALSE)</f>
        <v>#N/A</v>
      </c>
      <c r="Z4119">
        <v>4110</v>
      </c>
      <c r="AA4119" t="e">
        <f>INDEX(Stammdaten[Ovalität (']0,1'])],MATCH(Tabelle1014[[#This Row],[Rank]],Stammdaten[Rank Verteilung Ovalität],0))</f>
        <v>#N/A</v>
      </c>
      <c r="AB4119" t="e">
        <f>VLOOKUP(Tabelle1014[[#This Row],[Rank]],Stammdaten[[Rank Verteilung Ovalität]:[Verteilung Ovalität]],2,FALSE)</f>
        <v>#N/A</v>
      </c>
    </row>
    <row r="4120" spans="5:28" x14ac:dyDescent="0.35">
      <c r="E4120">
        <v>4111</v>
      </c>
      <c r="F4120" t="e">
        <f>INDEX(Stammdaten[D Mitte mit Rinde (mm)],MATCH(Tabelle8[[#This Row],[Rank]],Stammdaten[Rank Verteilung D Mitte mit Rinde],0))</f>
        <v>#N/A</v>
      </c>
      <c r="G4120" t="e">
        <f>VLOOKUP(Tabelle8[[#This Row],[Rank]],Stammdaten[[Rank Verteilung D Mitte mit Rinde]:[Verteilung D Mitte mit Rinde]],2,FALSE)</f>
        <v>#N/A</v>
      </c>
      <c r="L4120">
        <v>4111</v>
      </c>
      <c r="M4120" t="e">
        <f>INDEX(Stammdaten[Abholzigkeit (mm/lfm)],MATCH(Tabelle9[[#This Row],[Rank]],Stammdaten[Rank Verteilung Abholzigkeit],0))</f>
        <v>#N/A</v>
      </c>
      <c r="N4120" t="e">
        <f>VLOOKUP(Tabelle9[[#This Row],[Rank]],Stammdaten[[Rank Verteilung Abholzigkeit]:[Verteilung Abholzigkeit]],2,FALSE)</f>
        <v>#N/A</v>
      </c>
      <c r="S4120">
        <v>4111</v>
      </c>
      <c r="T4120" t="e">
        <f>INDEX(Stammdaten[Krümmung (mm/lfm)],MATCH(Tabelle10[[#This Row],[Rank]],Stammdaten[Rank Verteilung Krümmung],0))</f>
        <v>#N/A</v>
      </c>
      <c r="U4120" t="e">
        <f>VLOOKUP(Tabelle10[[#This Row],[Rank]],Stammdaten[[Rank Verteilung Krümmung]:[Verteilung Krümmung]],2,FALSE)</f>
        <v>#N/A</v>
      </c>
      <c r="Z4120">
        <v>4111</v>
      </c>
      <c r="AA4120" t="e">
        <f>INDEX(Stammdaten[Ovalität (']0,1'])],MATCH(Tabelle1014[[#This Row],[Rank]],Stammdaten[Rank Verteilung Ovalität],0))</f>
        <v>#N/A</v>
      </c>
      <c r="AB4120" t="e">
        <f>VLOOKUP(Tabelle1014[[#This Row],[Rank]],Stammdaten[[Rank Verteilung Ovalität]:[Verteilung Ovalität]],2,FALSE)</f>
        <v>#N/A</v>
      </c>
    </row>
    <row r="4121" spans="5:28" x14ac:dyDescent="0.35">
      <c r="E4121">
        <v>4112</v>
      </c>
      <c r="F4121" t="e">
        <f>INDEX(Stammdaten[D Mitte mit Rinde (mm)],MATCH(Tabelle8[[#This Row],[Rank]],Stammdaten[Rank Verteilung D Mitte mit Rinde],0))</f>
        <v>#N/A</v>
      </c>
      <c r="G4121" t="e">
        <f>VLOOKUP(Tabelle8[[#This Row],[Rank]],Stammdaten[[Rank Verteilung D Mitte mit Rinde]:[Verteilung D Mitte mit Rinde]],2,FALSE)</f>
        <v>#N/A</v>
      </c>
      <c r="L4121">
        <v>4112</v>
      </c>
      <c r="M4121" t="e">
        <f>INDEX(Stammdaten[Abholzigkeit (mm/lfm)],MATCH(Tabelle9[[#This Row],[Rank]],Stammdaten[Rank Verteilung Abholzigkeit],0))</f>
        <v>#N/A</v>
      </c>
      <c r="N4121" t="e">
        <f>VLOOKUP(Tabelle9[[#This Row],[Rank]],Stammdaten[[Rank Verteilung Abholzigkeit]:[Verteilung Abholzigkeit]],2,FALSE)</f>
        <v>#N/A</v>
      </c>
      <c r="S4121">
        <v>4112</v>
      </c>
      <c r="T4121" t="e">
        <f>INDEX(Stammdaten[Krümmung (mm/lfm)],MATCH(Tabelle10[[#This Row],[Rank]],Stammdaten[Rank Verteilung Krümmung],0))</f>
        <v>#N/A</v>
      </c>
      <c r="U4121" t="e">
        <f>VLOOKUP(Tabelle10[[#This Row],[Rank]],Stammdaten[[Rank Verteilung Krümmung]:[Verteilung Krümmung]],2,FALSE)</f>
        <v>#N/A</v>
      </c>
      <c r="Z4121">
        <v>4112</v>
      </c>
      <c r="AA4121" t="e">
        <f>INDEX(Stammdaten[Ovalität (']0,1'])],MATCH(Tabelle1014[[#This Row],[Rank]],Stammdaten[Rank Verteilung Ovalität],0))</f>
        <v>#N/A</v>
      </c>
      <c r="AB4121" t="e">
        <f>VLOOKUP(Tabelle1014[[#This Row],[Rank]],Stammdaten[[Rank Verteilung Ovalität]:[Verteilung Ovalität]],2,FALSE)</f>
        <v>#N/A</v>
      </c>
    </row>
    <row r="4122" spans="5:28" x14ac:dyDescent="0.35">
      <c r="E4122">
        <v>4113</v>
      </c>
      <c r="F4122" t="e">
        <f>INDEX(Stammdaten[D Mitte mit Rinde (mm)],MATCH(Tabelle8[[#This Row],[Rank]],Stammdaten[Rank Verteilung D Mitte mit Rinde],0))</f>
        <v>#N/A</v>
      </c>
      <c r="G4122" t="e">
        <f>VLOOKUP(Tabelle8[[#This Row],[Rank]],Stammdaten[[Rank Verteilung D Mitte mit Rinde]:[Verteilung D Mitte mit Rinde]],2,FALSE)</f>
        <v>#N/A</v>
      </c>
      <c r="L4122">
        <v>4113</v>
      </c>
      <c r="M4122" t="e">
        <f>INDEX(Stammdaten[Abholzigkeit (mm/lfm)],MATCH(Tabelle9[[#This Row],[Rank]],Stammdaten[Rank Verteilung Abholzigkeit],0))</f>
        <v>#N/A</v>
      </c>
      <c r="N4122" t="e">
        <f>VLOOKUP(Tabelle9[[#This Row],[Rank]],Stammdaten[[Rank Verteilung Abholzigkeit]:[Verteilung Abholzigkeit]],2,FALSE)</f>
        <v>#N/A</v>
      </c>
      <c r="S4122">
        <v>4113</v>
      </c>
      <c r="T4122" t="e">
        <f>INDEX(Stammdaten[Krümmung (mm/lfm)],MATCH(Tabelle10[[#This Row],[Rank]],Stammdaten[Rank Verteilung Krümmung],0))</f>
        <v>#N/A</v>
      </c>
      <c r="U4122" t="e">
        <f>VLOOKUP(Tabelle10[[#This Row],[Rank]],Stammdaten[[Rank Verteilung Krümmung]:[Verteilung Krümmung]],2,FALSE)</f>
        <v>#N/A</v>
      </c>
      <c r="Z4122">
        <v>4113</v>
      </c>
      <c r="AA4122" t="e">
        <f>INDEX(Stammdaten[Ovalität (']0,1'])],MATCH(Tabelle1014[[#This Row],[Rank]],Stammdaten[Rank Verteilung Ovalität],0))</f>
        <v>#N/A</v>
      </c>
      <c r="AB4122" t="e">
        <f>VLOOKUP(Tabelle1014[[#This Row],[Rank]],Stammdaten[[Rank Verteilung Ovalität]:[Verteilung Ovalität]],2,FALSE)</f>
        <v>#N/A</v>
      </c>
    </row>
    <row r="4123" spans="5:28" x14ac:dyDescent="0.35">
      <c r="E4123">
        <v>4114</v>
      </c>
      <c r="F4123" t="e">
        <f>INDEX(Stammdaten[D Mitte mit Rinde (mm)],MATCH(Tabelle8[[#This Row],[Rank]],Stammdaten[Rank Verteilung D Mitte mit Rinde],0))</f>
        <v>#N/A</v>
      </c>
      <c r="G4123" t="e">
        <f>VLOOKUP(Tabelle8[[#This Row],[Rank]],Stammdaten[[Rank Verteilung D Mitte mit Rinde]:[Verteilung D Mitte mit Rinde]],2,FALSE)</f>
        <v>#N/A</v>
      </c>
      <c r="L4123">
        <v>4114</v>
      </c>
      <c r="M4123" t="e">
        <f>INDEX(Stammdaten[Abholzigkeit (mm/lfm)],MATCH(Tabelle9[[#This Row],[Rank]],Stammdaten[Rank Verteilung Abholzigkeit],0))</f>
        <v>#N/A</v>
      </c>
      <c r="N4123" t="e">
        <f>VLOOKUP(Tabelle9[[#This Row],[Rank]],Stammdaten[[Rank Verteilung Abholzigkeit]:[Verteilung Abholzigkeit]],2,FALSE)</f>
        <v>#N/A</v>
      </c>
      <c r="S4123">
        <v>4114</v>
      </c>
      <c r="T4123" t="e">
        <f>INDEX(Stammdaten[Krümmung (mm/lfm)],MATCH(Tabelle10[[#This Row],[Rank]],Stammdaten[Rank Verteilung Krümmung],0))</f>
        <v>#N/A</v>
      </c>
      <c r="U4123" t="e">
        <f>VLOOKUP(Tabelle10[[#This Row],[Rank]],Stammdaten[[Rank Verteilung Krümmung]:[Verteilung Krümmung]],2,FALSE)</f>
        <v>#N/A</v>
      </c>
      <c r="Z4123">
        <v>4114</v>
      </c>
      <c r="AA4123" t="e">
        <f>INDEX(Stammdaten[Ovalität (']0,1'])],MATCH(Tabelle1014[[#This Row],[Rank]],Stammdaten[Rank Verteilung Ovalität],0))</f>
        <v>#N/A</v>
      </c>
      <c r="AB4123" t="e">
        <f>VLOOKUP(Tabelle1014[[#This Row],[Rank]],Stammdaten[[Rank Verteilung Ovalität]:[Verteilung Ovalität]],2,FALSE)</f>
        <v>#N/A</v>
      </c>
    </row>
    <row r="4124" spans="5:28" x14ac:dyDescent="0.35">
      <c r="E4124">
        <v>4115</v>
      </c>
      <c r="F4124" t="e">
        <f>INDEX(Stammdaten[D Mitte mit Rinde (mm)],MATCH(Tabelle8[[#This Row],[Rank]],Stammdaten[Rank Verteilung D Mitte mit Rinde],0))</f>
        <v>#N/A</v>
      </c>
      <c r="G4124" t="e">
        <f>VLOOKUP(Tabelle8[[#This Row],[Rank]],Stammdaten[[Rank Verteilung D Mitte mit Rinde]:[Verteilung D Mitte mit Rinde]],2,FALSE)</f>
        <v>#N/A</v>
      </c>
      <c r="L4124">
        <v>4115</v>
      </c>
      <c r="M4124" t="e">
        <f>INDEX(Stammdaten[Abholzigkeit (mm/lfm)],MATCH(Tabelle9[[#This Row],[Rank]],Stammdaten[Rank Verteilung Abholzigkeit],0))</f>
        <v>#N/A</v>
      </c>
      <c r="N4124" t="e">
        <f>VLOOKUP(Tabelle9[[#This Row],[Rank]],Stammdaten[[Rank Verteilung Abholzigkeit]:[Verteilung Abholzigkeit]],2,FALSE)</f>
        <v>#N/A</v>
      </c>
      <c r="S4124">
        <v>4115</v>
      </c>
      <c r="T4124" t="e">
        <f>INDEX(Stammdaten[Krümmung (mm/lfm)],MATCH(Tabelle10[[#This Row],[Rank]],Stammdaten[Rank Verteilung Krümmung],0))</f>
        <v>#N/A</v>
      </c>
      <c r="U4124" t="e">
        <f>VLOOKUP(Tabelle10[[#This Row],[Rank]],Stammdaten[[Rank Verteilung Krümmung]:[Verteilung Krümmung]],2,FALSE)</f>
        <v>#N/A</v>
      </c>
      <c r="Z4124">
        <v>4115</v>
      </c>
      <c r="AA4124" t="e">
        <f>INDEX(Stammdaten[Ovalität (']0,1'])],MATCH(Tabelle1014[[#This Row],[Rank]],Stammdaten[Rank Verteilung Ovalität],0))</f>
        <v>#N/A</v>
      </c>
      <c r="AB4124" t="e">
        <f>VLOOKUP(Tabelle1014[[#This Row],[Rank]],Stammdaten[[Rank Verteilung Ovalität]:[Verteilung Ovalität]],2,FALSE)</f>
        <v>#N/A</v>
      </c>
    </row>
    <row r="4125" spans="5:28" x14ac:dyDescent="0.35">
      <c r="E4125">
        <v>4116</v>
      </c>
      <c r="F4125" t="e">
        <f>INDEX(Stammdaten[D Mitte mit Rinde (mm)],MATCH(Tabelle8[[#This Row],[Rank]],Stammdaten[Rank Verteilung D Mitte mit Rinde],0))</f>
        <v>#N/A</v>
      </c>
      <c r="G4125" t="e">
        <f>VLOOKUP(Tabelle8[[#This Row],[Rank]],Stammdaten[[Rank Verteilung D Mitte mit Rinde]:[Verteilung D Mitte mit Rinde]],2,FALSE)</f>
        <v>#N/A</v>
      </c>
      <c r="L4125">
        <v>4116</v>
      </c>
      <c r="M4125" t="e">
        <f>INDEX(Stammdaten[Abholzigkeit (mm/lfm)],MATCH(Tabelle9[[#This Row],[Rank]],Stammdaten[Rank Verteilung Abholzigkeit],0))</f>
        <v>#N/A</v>
      </c>
      <c r="N4125" t="e">
        <f>VLOOKUP(Tabelle9[[#This Row],[Rank]],Stammdaten[[Rank Verteilung Abholzigkeit]:[Verteilung Abholzigkeit]],2,FALSE)</f>
        <v>#N/A</v>
      </c>
      <c r="S4125">
        <v>4116</v>
      </c>
      <c r="T4125" t="e">
        <f>INDEX(Stammdaten[Krümmung (mm/lfm)],MATCH(Tabelle10[[#This Row],[Rank]],Stammdaten[Rank Verteilung Krümmung],0))</f>
        <v>#N/A</v>
      </c>
      <c r="U4125" t="e">
        <f>VLOOKUP(Tabelle10[[#This Row],[Rank]],Stammdaten[[Rank Verteilung Krümmung]:[Verteilung Krümmung]],2,FALSE)</f>
        <v>#N/A</v>
      </c>
      <c r="Z4125">
        <v>4116</v>
      </c>
      <c r="AA4125" t="e">
        <f>INDEX(Stammdaten[Ovalität (']0,1'])],MATCH(Tabelle1014[[#This Row],[Rank]],Stammdaten[Rank Verteilung Ovalität],0))</f>
        <v>#N/A</v>
      </c>
      <c r="AB4125" t="e">
        <f>VLOOKUP(Tabelle1014[[#This Row],[Rank]],Stammdaten[[Rank Verteilung Ovalität]:[Verteilung Ovalität]],2,FALSE)</f>
        <v>#N/A</v>
      </c>
    </row>
    <row r="4126" spans="5:28" x14ac:dyDescent="0.35">
      <c r="E4126">
        <v>4117</v>
      </c>
      <c r="F4126" t="e">
        <f>INDEX(Stammdaten[D Mitte mit Rinde (mm)],MATCH(Tabelle8[[#This Row],[Rank]],Stammdaten[Rank Verteilung D Mitte mit Rinde],0))</f>
        <v>#N/A</v>
      </c>
      <c r="G4126" t="e">
        <f>VLOOKUP(Tabelle8[[#This Row],[Rank]],Stammdaten[[Rank Verteilung D Mitte mit Rinde]:[Verteilung D Mitte mit Rinde]],2,FALSE)</f>
        <v>#N/A</v>
      </c>
      <c r="L4126">
        <v>4117</v>
      </c>
      <c r="M4126" t="e">
        <f>INDEX(Stammdaten[Abholzigkeit (mm/lfm)],MATCH(Tabelle9[[#This Row],[Rank]],Stammdaten[Rank Verteilung Abholzigkeit],0))</f>
        <v>#N/A</v>
      </c>
      <c r="N4126" t="e">
        <f>VLOOKUP(Tabelle9[[#This Row],[Rank]],Stammdaten[[Rank Verteilung Abholzigkeit]:[Verteilung Abholzigkeit]],2,FALSE)</f>
        <v>#N/A</v>
      </c>
      <c r="S4126">
        <v>4117</v>
      </c>
      <c r="T4126" t="e">
        <f>INDEX(Stammdaten[Krümmung (mm/lfm)],MATCH(Tabelle10[[#This Row],[Rank]],Stammdaten[Rank Verteilung Krümmung],0))</f>
        <v>#N/A</v>
      </c>
      <c r="U4126" t="e">
        <f>VLOOKUP(Tabelle10[[#This Row],[Rank]],Stammdaten[[Rank Verteilung Krümmung]:[Verteilung Krümmung]],2,FALSE)</f>
        <v>#N/A</v>
      </c>
      <c r="Z4126">
        <v>4117</v>
      </c>
      <c r="AA4126" t="e">
        <f>INDEX(Stammdaten[Ovalität (']0,1'])],MATCH(Tabelle1014[[#This Row],[Rank]],Stammdaten[Rank Verteilung Ovalität],0))</f>
        <v>#N/A</v>
      </c>
      <c r="AB4126" t="e">
        <f>VLOOKUP(Tabelle1014[[#This Row],[Rank]],Stammdaten[[Rank Verteilung Ovalität]:[Verteilung Ovalität]],2,FALSE)</f>
        <v>#N/A</v>
      </c>
    </row>
    <row r="4127" spans="5:28" x14ac:dyDescent="0.35">
      <c r="E4127">
        <v>4118</v>
      </c>
      <c r="F4127" t="e">
        <f>INDEX(Stammdaten[D Mitte mit Rinde (mm)],MATCH(Tabelle8[[#This Row],[Rank]],Stammdaten[Rank Verteilung D Mitte mit Rinde],0))</f>
        <v>#N/A</v>
      </c>
      <c r="G4127" t="e">
        <f>VLOOKUP(Tabelle8[[#This Row],[Rank]],Stammdaten[[Rank Verteilung D Mitte mit Rinde]:[Verteilung D Mitte mit Rinde]],2,FALSE)</f>
        <v>#N/A</v>
      </c>
      <c r="L4127">
        <v>4118</v>
      </c>
      <c r="M4127" t="e">
        <f>INDEX(Stammdaten[Abholzigkeit (mm/lfm)],MATCH(Tabelle9[[#This Row],[Rank]],Stammdaten[Rank Verteilung Abholzigkeit],0))</f>
        <v>#N/A</v>
      </c>
      <c r="N4127" t="e">
        <f>VLOOKUP(Tabelle9[[#This Row],[Rank]],Stammdaten[[Rank Verteilung Abholzigkeit]:[Verteilung Abholzigkeit]],2,FALSE)</f>
        <v>#N/A</v>
      </c>
      <c r="S4127">
        <v>4118</v>
      </c>
      <c r="T4127" t="e">
        <f>INDEX(Stammdaten[Krümmung (mm/lfm)],MATCH(Tabelle10[[#This Row],[Rank]],Stammdaten[Rank Verteilung Krümmung],0))</f>
        <v>#N/A</v>
      </c>
      <c r="U4127" t="e">
        <f>VLOOKUP(Tabelle10[[#This Row],[Rank]],Stammdaten[[Rank Verteilung Krümmung]:[Verteilung Krümmung]],2,FALSE)</f>
        <v>#N/A</v>
      </c>
      <c r="Z4127">
        <v>4118</v>
      </c>
      <c r="AA4127" t="e">
        <f>INDEX(Stammdaten[Ovalität (']0,1'])],MATCH(Tabelle1014[[#This Row],[Rank]],Stammdaten[Rank Verteilung Ovalität],0))</f>
        <v>#N/A</v>
      </c>
      <c r="AB4127" t="e">
        <f>VLOOKUP(Tabelle1014[[#This Row],[Rank]],Stammdaten[[Rank Verteilung Ovalität]:[Verteilung Ovalität]],2,FALSE)</f>
        <v>#N/A</v>
      </c>
    </row>
    <row r="4128" spans="5:28" x14ac:dyDescent="0.35">
      <c r="E4128">
        <v>4119</v>
      </c>
      <c r="F4128" t="e">
        <f>INDEX(Stammdaten[D Mitte mit Rinde (mm)],MATCH(Tabelle8[[#This Row],[Rank]],Stammdaten[Rank Verteilung D Mitte mit Rinde],0))</f>
        <v>#N/A</v>
      </c>
      <c r="G4128" t="e">
        <f>VLOOKUP(Tabelle8[[#This Row],[Rank]],Stammdaten[[Rank Verteilung D Mitte mit Rinde]:[Verteilung D Mitte mit Rinde]],2,FALSE)</f>
        <v>#N/A</v>
      </c>
      <c r="L4128">
        <v>4119</v>
      </c>
      <c r="M4128" t="e">
        <f>INDEX(Stammdaten[Abholzigkeit (mm/lfm)],MATCH(Tabelle9[[#This Row],[Rank]],Stammdaten[Rank Verteilung Abholzigkeit],0))</f>
        <v>#N/A</v>
      </c>
      <c r="N4128" t="e">
        <f>VLOOKUP(Tabelle9[[#This Row],[Rank]],Stammdaten[[Rank Verteilung Abholzigkeit]:[Verteilung Abholzigkeit]],2,FALSE)</f>
        <v>#N/A</v>
      </c>
      <c r="S4128">
        <v>4119</v>
      </c>
      <c r="T4128" t="e">
        <f>INDEX(Stammdaten[Krümmung (mm/lfm)],MATCH(Tabelle10[[#This Row],[Rank]],Stammdaten[Rank Verteilung Krümmung],0))</f>
        <v>#N/A</v>
      </c>
      <c r="U4128" t="e">
        <f>VLOOKUP(Tabelle10[[#This Row],[Rank]],Stammdaten[[Rank Verteilung Krümmung]:[Verteilung Krümmung]],2,FALSE)</f>
        <v>#N/A</v>
      </c>
      <c r="Z4128">
        <v>4119</v>
      </c>
      <c r="AA4128" t="e">
        <f>INDEX(Stammdaten[Ovalität (']0,1'])],MATCH(Tabelle1014[[#This Row],[Rank]],Stammdaten[Rank Verteilung Ovalität],0))</f>
        <v>#N/A</v>
      </c>
      <c r="AB4128" t="e">
        <f>VLOOKUP(Tabelle1014[[#This Row],[Rank]],Stammdaten[[Rank Verteilung Ovalität]:[Verteilung Ovalität]],2,FALSE)</f>
        <v>#N/A</v>
      </c>
    </row>
    <row r="4129" spans="5:28" x14ac:dyDescent="0.35">
      <c r="E4129">
        <v>4120</v>
      </c>
      <c r="F4129" t="e">
        <f>INDEX(Stammdaten[D Mitte mit Rinde (mm)],MATCH(Tabelle8[[#This Row],[Rank]],Stammdaten[Rank Verteilung D Mitte mit Rinde],0))</f>
        <v>#N/A</v>
      </c>
      <c r="G4129" t="e">
        <f>VLOOKUP(Tabelle8[[#This Row],[Rank]],Stammdaten[[Rank Verteilung D Mitte mit Rinde]:[Verteilung D Mitte mit Rinde]],2,FALSE)</f>
        <v>#N/A</v>
      </c>
      <c r="L4129">
        <v>4120</v>
      </c>
      <c r="M4129" t="e">
        <f>INDEX(Stammdaten[Abholzigkeit (mm/lfm)],MATCH(Tabelle9[[#This Row],[Rank]],Stammdaten[Rank Verteilung Abholzigkeit],0))</f>
        <v>#N/A</v>
      </c>
      <c r="N4129" t="e">
        <f>VLOOKUP(Tabelle9[[#This Row],[Rank]],Stammdaten[[Rank Verteilung Abholzigkeit]:[Verteilung Abholzigkeit]],2,FALSE)</f>
        <v>#N/A</v>
      </c>
      <c r="S4129">
        <v>4120</v>
      </c>
      <c r="T4129" t="e">
        <f>INDEX(Stammdaten[Krümmung (mm/lfm)],MATCH(Tabelle10[[#This Row],[Rank]],Stammdaten[Rank Verteilung Krümmung],0))</f>
        <v>#N/A</v>
      </c>
      <c r="U4129" t="e">
        <f>VLOOKUP(Tabelle10[[#This Row],[Rank]],Stammdaten[[Rank Verteilung Krümmung]:[Verteilung Krümmung]],2,FALSE)</f>
        <v>#N/A</v>
      </c>
      <c r="Z4129">
        <v>4120</v>
      </c>
      <c r="AA4129" t="e">
        <f>INDEX(Stammdaten[Ovalität (']0,1'])],MATCH(Tabelle1014[[#This Row],[Rank]],Stammdaten[Rank Verteilung Ovalität],0))</f>
        <v>#N/A</v>
      </c>
      <c r="AB4129" t="e">
        <f>VLOOKUP(Tabelle1014[[#This Row],[Rank]],Stammdaten[[Rank Verteilung Ovalität]:[Verteilung Ovalität]],2,FALSE)</f>
        <v>#N/A</v>
      </c>
    </row>
    <row r="4130" spans="5:28" x14ac:dyDescent="0.35">
      <c r="E4130">
        <v>4121</v>
      </c>
      <c r="F4130" t="e">
        <f>INDEX(Stammdaten[D Mitte mit Rinde (mm)],MATCH(Tabelle8[[#This Row],[Rank]],Stammdaten[Rank Verteilung D Mitte mit Rinde],0))</f>
        <v>#N/A</v>
      </c>
      <c r="G4130" t="e">
        <f>VLOOKUP(Tabelle8[[#This Row],[Rank]],Stammdaten[[Rank Verteilung D Mitte mit Rinde]:[Verteilung D Mitte mit Rinde]],2,FALSE)</f>
        <v>#N/A</v>
      </c>
      <c r="L4130">
        <v>4121</v>
      </c>
      <c r="M4130" t="e">
        <f>INDEX(Stammdaten[Abholzigkeit (mm/lfm)],MATCH(Tabelle9[[#This Row],[Rank]],Stammdaten[Rank Verteilung Abholzigkeit],0))</f>
        <v>#N/A</v>
      </c>
      <c r="N4130" t="e">
        <f>VLOOKUP(Tabelle9[[#This Row],[Rank]],Stammdaten[[Rank Verteilung Abholzigkeit]:[Verteilung Abholzigkeit]],2,FALSE)</f>
        <v>#N/A</v>
      </c>
      <c r="S4130">
        <v>4121</v>
      </c>
      <c r="T4130" t="e">
        <f>INDEX(Stammdaten[Krümmung (mm/lfm)],MATCH(Tabelle10[[#This Row],[Rank]],Stammdaten[Rank Verteilung Krümmung],0))</f>
        <v>#N/A</v>
      </c>
      <c r="U4130" t="e">
        <f>VLOOKUP(Tabelle10[[#This Row],[Rank]],Stammdaten[[Rank Verteilung Krümmung]:[Verteilung Krümmung]],2,FALSE)</f>
        <v>#N/A</v>
      </c>
      <c r="Z4130">
        <v>4121</v>
      </c>
      <c r="AA4130" t="e">
        <f>INDEX(Stammdaten[Ovalität (']0,1'])],MATCH(Tabelle1014[[#This Row],[Rank]],Stammdaten[Rank Verteilung Ovalität],0))</f>
        <v>#N/A</v>
      </c>
      <c r="AB4130" t="e">
        <f>VLOOKUP(Tabelle1014[[#This Row],[Rank]],Stammdaten[[Rank Verteilung Ovalität]:[Verteilung Ovalität]],2,FALSE)</f>
        <v>#N/A</v>
      </c>
    </row>
    <row r="4131" spans="5:28" x14ac:dyDescent="0.35">
      <c r="E4131">
        <v>4122</v>
      </c>
      <c r="F4131" t="e">
        <f>INDEX(Stammdaten[D Mitte mit Rinde (mm)],MATCH(Tabelle8[[#This Row],[Rank]],Stammdaten[Rank Verteilung D Mitte mit Rinde],0))</f>
        <v>#N/A</v>
      </c>
      <c r="G4131" t="e">
        <f>VLOOKUP(Tabelle8[[#This Row],[Rank]],Stammdaten[[Rank Verteilung D Mitte mit Rinde]:[Verteilung D Mitte mit Rinde]],2,FALSE)</f>
        <v>#N/A</v>
      </c>
      <c r="L4131">
        <v>4122</v>
      </c>
      <c r="M4131" t="e">
        <f>INDEX(Stammdaten[Abholzigkeit (mm/lfm)],MATCH(Tabelle9[[#This Row],[Rank]],Stammdaten[Rank Verteilung Abholzigkeit],0))</f>
        <v>#N/A</v>
      </c>
      <c r="N4131" t="e">
        <f>VLOOKUP(Tabelle9[[#This Row],[Rank]],Stammdaten[[Rank Verteilung Abholzigkeit]:[Verteilung Abholzigkeit]],2,FALSE)</f>
        <v>#N/A</v>
      </c>
      <c r="S4131">
        <v>4122</v>
      </c>
      <c r="T4131" t="e">
        <f>INDEX(Stammdaten[Krümmung (mm/lfm)],MATCH(Tabelle10[[#This Row],[Rank]],Stammdaten[Rank Verteilung Krümmung],0))</f>
        <v>#N/A</v>
      </c>
      <c r="U4131" t="e">
        <f>VLOOKUP(Tabelle10[[#This Row],[Rank]],Stammdaten[[Rank Verteilung Krümmung]:[Verteilung Krümmung]],2,FALSE)</f>
        <v>#N/A</v>
      </c>
      <c r="Z4131">
        <v>4122</v>
      </c>
      <c r="AA4131" t="e">
        <f>INDEX(Stammdaten[Ovalität (']0,1'])],MATCH(Tabelle1014[[#This Row],[Rank]],Stammdaten[Rank Verteilung Ovalität],0))</f>
        <v>#N/A</v>
      </c>
      <c r="AB4131" t="e">
        <f>VLOOKUP(Tabelle1014[[#This Row],[Rank]],Stammdaten[[Rank Verteilung Ovalität]:[Verteilung Ovalität]],2,FALSE)</f>
        <v>#N/A</v>
      </c>
    </row>
    <row r="4132" spans="5:28" x14ac:dyDescent="0.35">
      <c r="E4132">
        <v>4123</v>
      </c>
      <c r="F4132" t="e">
        <f>INDEX(Stammdaten[D Mitte mit Rinde (mm)],MATCH(Tabelle8[[#This Row],[Rank]],Stammdaten[Rank Verteilung D Mitte mit Rinde],0))</f>
        <v>#N/A</v>
      </c>
      <c r="G4132" t="e">
        <f>VLOOKUP(Tabelle8[[#This Row],[Rank]],Stammdaten[[Rank Verteilung D Mitte mit Rinde]:[Verteilung D Mitte mit Rinde]],2,FALSE)</f>
        <v>#N/A</v>
      </c>
      <c r="L4132">
        <v>4123</v>
      </c>
      <c r="M4132" t="e">
        <f>INDEX(Stammdaten[Abholzigkeit (mm/lfm)],MATCH(Tabelle9[[#This Row],[Rank]],Stammdaten[Rank Verteilung Abholzigkeit],0))</f>
        <v>#N/A</v>
      </c>
      <c r="N4132" t="e">
        <f>VLOOKUP(Tabelle9[[#This Row],[Rank]],Stammdaten[[Rank Verteilung Abholzigkeit]:[Verteilung Abholzigkeit]],2,FALSE)</f>
        <v>#N/A</v>
      </c>
      <c r="S4132">
        <v>4123</v>
      </c>
      <c r="T4132" t="e">
        <f>INDEX(Stammdaten[Krümmung (mm/lfm)],MATCH(Tabelle10[[#This Row],[Rank]],Stammdaten[Rank Verteilung Krümmung],0))</f>
        <v>#N/A</v>
      </c>
      <c r="U4132" t="e">
        <f>VLOOKUP(Tabelle10[[#This Row],[Rank]],Stammdaten[[Rank Verteilung Krümmung]:[Verteilung Krümmung]],2,FALSE)</f>
        <v>#N/A</v>
      </c>
      <c r="Z4132">
        <v>4123</v>
      </c>
      <c r="AA4132" t="e">
        <f>INDEX(Stammdaten[Ovalität (']0,1'])],MATCH(Tabelle1014[[#This Row],[Rank]],Stammdaten[Rank Verteilung Ovalität],0))</f>
        <v>#N/A</v>
      </c>
      <c r="AB4132" t="e">
        <f>VLOOKUP(Tabelle1014[[#This Row],[Rank]],Stammdaten[[Rank Verteilung Ovalität]:[Verteilung Ovalität]],2,FALSE)</f>
        <v>#N/A</v>
      </c>
    </row>
    <row r="4133" spans="5:28" x14ac:dyDescent="0.35">
      <c r="E4133">
        <v>4124</v>
      </c>
      <c r="F4133" t="e">
        <f>INDEX(Stammdaten[D Mitte mit Rinde (mm)],MATCH(Tabelle8[[#This Row],[Rank]],Stammdaten[Rank Verteilung D Mitte mit Rinde],0))</f>
        <v>#N/A</v>
      </c>
      <c r="G4133" t="e">
        <f>VLOOKUP(Tabelle8[[#This Row],[Rank]],Stammdaten[[Rank Verteilung D Mitte mit Rinde]:[Verteilung D Mitte mit Rinde]],2,FALSE)</f>
        <v>#N/A</v>
      </c>
      <c r="L4133">
        <v>4124</v>
      </c>
      <c r="M4133" t="e">
        <f>INDEX(Stammdaten[Abholzigkeit (mm/lfm)],MATCH(Tabelle9[[#This Row],[Rank]],Stammdaten[Rank Verteilung Abholzigkeit],0))</f>
        <v>#N/A</v>
      </c>
      <c r="N4133" t="e">
        <f>VLOOKUP(Tabelle9[[#This Row],[Rank]],Stammdaten[[Rank Verteilung Abholzigkeit]:[Verteilung Abholzigkeit]],2,FALSE)</f>
        <v>#N/A</v>
      </c>
      <c r="S4133">
        <v>4124</v>
      </c>
      <c r="T4133" t="e">
        <f>INDEX(Stammdaten[Krümmung (mm/lfm)],MATCH(Tabelle10[[#This Row],[Rank]],Stammdaten[Rank Verteilung Krümmung],0))</f>
        <v>#N/A</v>
      </c>
      <c r="U4133" t="e">
        <f>VLOOKUP(Tabelle10[[#This Row],[Rank]],Stammdaten[[Rank Verteilung Krümmung]:[Verteilung Krümmung]],2,FALSE)</f>
        <v>#N/A</v>
      </c>
      <c r="Z4133">
        <v>4124</v>
      </c>
      <c r="AA4133" t="e">
        <f>INDEX(Stammdaten[Ovalität (']0,1'])],MATCH(Tabelle1014[[#This Row],[Rank]],Stammdaten[Rank Verteilung Ovalität],0))</f>
        <v>#N/A</v>
      </c>
      <c r="AB4133" t="e">
        <f>VLOOKUP(Tabelle1014[[#This Row],[Rank]],Stammdaten[[Rank Verteilung Ovalität]:[Verteilung Ovalität]],2,FALSE)</f>
        <v>#N/A</v>
      </c>
    </row>
    <row r="4134" spans="5:28" x14ac:dyDescent="0.35">
      <c r="E4134">
        <v>4125</v>
      </c>
      <c r="F4134" t="e">
        <f>INDEX(Stammdaten[D Mitte mit Rinde (mm)],MATCH(Tabelle8[[#This Row],[Rank]],Stammdaten[Rank Verteilung D Mitte mit Rinde],0))</f>
        <v>#N/A</v>
      </c>
      <c r="G4134" t="e">
        <f>VLOOKUP(Tabelle8[[#This Row],[Rank]],Stammdaten[[Rank Verteilung D Mitte mit Rinde]:[Verteilung D Mitte mit Rinde]],2,FALSE)</f>
        <v>#N/A</v>
      </c>
      <c r="L4134">
        <v>4125</v>
      </c>
      <c r="M4134" t="e">
        <f>INDEX(Stammdaten[Abholzigkeit (mm/lfm)],MATCH(Tabelle9[[#This Row],[Rank]],Stammdaten[Rank Verteilung Abholzigkeit],0))</f>
        <v>#N/A</v>
      </c>
      <c r="N4134" t="e">
        <f>VLOOKUP(Tabelle9[[#This Row],[Rank]],Stammdaten[[Rank Verteilung Abholzigkeit]:[Verteilung Abholzigkeit]],2,FALSE)</f>
        <v>#N/A</v>
      </c>
      <c r="S4134">
        <v>4125</v>
      </c>
      <c r="T4134" t="e">
        <f>INDEX(Stammdaten[Krümmung (mm/lfm)],MATCH(Tabelle10[[#This Row],[Rank]],Stammdaten[Rank Verteilung Krümmung],0))</f>
        <v>#N/A</v>
      </c>
      <c r="U4134" t="e">
        <f>VLOOKUP(Tabelle10[[#This Row],[Rank]],Stammdaten[[Rank Verteilung Krümmung]:[Verteilung Krümmung]],2,FALSE)</f>
        <v>#N/A</v>
      </c>
      <c r="Z4134">
        <v>4125</v>
      </c>
      <c r="AA4134" t="e">
        <f>INDEX(Stammdaten[Ovalität (']0,1'])],MATCH(Tabelle1014[[#This Row],[Rank]],Stammdaten[Rank Verteilung Ovalität],0))</f>
        <v>#N/A</v>
      </c>
      <c r="AB4134" t="e">
        <f>VLOOKUP(Tabelle1014[[#This Row],[Rank]],Stammdaten[[Rank Verteilung Ovalität]:[Verteilung Ovalität]],2,FALSE)</f>
        <v>#N/A</v>
      </c>
    </row>
    <row r="4135" spans="5:28" x14ac:dyDescent="0.35">
      <c r="E4135">
        <v>4126</v>
      </c>
      <c r="F4135" t="e">
        <f>INDEX(Stammdaten[D Mitte mit Rinde (mm)],MATCH(Tabelle8[[#This Row],[Rank]],Stammdaten[Rank Verteilung D Mitte mit Rinde],0))</f>
        <v>#N/A</v>
      </c>
      <c r="G4135" t="e">
        <f>VLOOKUP(Tabelle8[[#This Row],[Rank]],Stammdaten[[Rank Verteilung D Mitte mit Rinde]:[Verteilung D Mitte mit Rinde]],2,FALSE)</f>
        <v>#N/A</v>
      </c>
      <c r="L4135">
        <v>4126</v>
      </c>
      <c r="M4135" t="e">
        <f>INDEX(Stammdaten[Abholzigkeit (mm/lfm)],MATCH(Tabelle9[[#This Row],[Rank]],Stammdaten[Rank Verteilung Abholzigkeit],0))</f>
        <v>#N/A</v>
      </c>
      <c r="N4135" t="e">
        <f>VLOOKUP(Tabelle9[[#This Row],[Rank]],Stammdaten[[Rank Verteilung Abholzigkeit]:[Verteilung Abholzigkeit]],2,FALSE)</f>
        <v>#N/A</v>
      </c>
      <c r="S4135">
        <v>4126</v>
      </c>
      <c r="T4135" t="e">
        <f>INDEX(Stammdaten[Krümmung (mm/lfm)],MATCH(Tabelle10[[#This Row],[Rank]],Stammdaten[Rank Verteilung Krümmung],0))</f>
        <v>#N/A</v>
      </c>
      <c r="U4135" t="e">
        <f>VLOOKUP(Tabelle10[[#This Row],[Rank]],Stammdaten[[Rank Verteilung Krümmung]:[Verteilung Krümmung]],2,FALSE)</f>
        <v>#N/A</v>
      </c>
      <c r="Z4135">
        <v>4126</v>
      </c>
      <c r="AA4135" t="e">
        <f>INDEX(Stammdaten[Ovalität (']0,1'])],MATCH(Tabelle1014[[#This Row],[Rank]],Stammdaten[Rank Verteilung Ovalität],0))</f>
        <v>#N/A</v>
      </c>
      <c r="AB4135" t="e">
        <f>VLOOKUP(Tabelle1014[[#This Row],[Rank]],Stammdaten[[Rank Verteilung Ovalität]:[Verteilung Ovalität]],2,FALSE)</f>
        <v>#N/A</v>
      </c>
    </row>
    <row r="4136" spans="5:28" x14ac:dyDescent="0.35">
      <c r="E4136">
        <v>4127</v>
      </c>
      <c r="F4136" t="e">
        <f>INDEX(Stammdaten[D Mitte mit Rinde (mm)],MATCH(Tabelle8[[#This Row],[Rank]],Stammdaten[Rank Verteilung D Mitte mit Rinde],0))</f>
        <v>#N/A</v>
      </c>
      <c r="G4136" t="e">
        <f>VLOOKUP(Tabelle8[[#This Row],[Rank]],Stammdaten[[Rank Verteilung D Mitte mit Rinde]:[Verteilung D Mitte mit Rinde]],2,FALSE)</f>
        <v>#N/A</v>
      </c>
      <c r="L4136">
        <v>4127</v>
      </c>
      <c r="M4136" t="e">
        <f>INDEX(Stammdaten[Abholzigkeit (mm/lfm)],MATCH(Tabelle9[[#This Row],[Rank]],Stammdaten[Rank Verteilung Abholzigkeit],0))</f>
        <v>#N/A</v>
      </c>
      <c r="N4136" t="e">
        <f>VLOOKUP(Tabelle9[[#This Row],[Rank]],Stammdaten[[Rank Verteilung Abholzigkeit]:[Verteilung Abholzigkeit]],2,FALSE)</f>
        <v>#N/A</v>
      </c>
      <c r="S4136">
        <v>4127</v>
      </c>
      <c r="T4136" t="e">
        <f>INDEX(Stammdaten[Krümmung (mm/lfm)],MATCH(Tabelle10[[#This Row],[Rank]],Stammdaten[Rank Verteilung Krümmung],0))</f>
        <v>#N/A</v>
      </c>
      <c r="U4136" t="e">
        <f>VLOOKUP(Tabelle10[[#This Row],[Rank]],Stammdaten[[Rank Verteilung Krümmung]:[Verteilung Krümmung]],2,FALSE)</f>
        <v>#N/A</v>
      </c>
      <c r="Z4136">
        <v>4127</v>
      </c>
      <c r="AA4136" t="e">
        <f>INDEX(Stammdaten[Ovalität (']0,1'])],MATCH(Tabelle1014[[#This Row],[Rank]],Stammdaten[Rank Verteilung Ovalität],0))</f>
        <v>#N/A</v>
      </c>
      <c r="AB4136" t="e">
        <f>VLOOKUP(Tabelle1014[[#This Row],[Rank]],Stammdaten[[Rank Verteilung Ovalität]:[Verteilung Ovalität]],2,FALSE)</f>
        <v>#N/A</v>
      </c>
    </row>
    <row r="4137" spans="5:28" x14ac:dyDescent="0.35">
      <c r="E4137">
        <v>4128</v>
      </c>
      <c r="F4137" t="e">
        <f>INDEX(Stammdaten[D Mitte mit Rinde (mm)],MATCH(Tabelle8[[#This Row],[Rank]],Stammdaten[Rank Verteilung D Mitte mit Rinde],0))</f>
        <v>#N/A</v>
      </c>
      <c r="G4137" t="e">
        <f>VLOOKUP(Tabelle8[[#This Row],[Rank]],Stammdaten[[Rank Verteilung D Mitte mit Rinde]:[Verteilung D Mitte mit Rinde]],2,FALSE)</f>
        <v>#N/A</v>
      </c>
      <c r="L4137">
        <v>4128</v>
      </c>
      <c r="M4137" t="e">
        <f>INDEX(Stammdaten[Abholzigkeit (mm/lfm)],MATCH(Tabelle9[[#This Row],[Rank]],Stammdaten[Rank Verteilung Abholzigkeit],0))</f>
        <v>#N/A</v>
      </c>
      <c r="N4137" t="e">
        <f>VLOOKUP(Tabelle9[[#This Row],[Rank]],Stammdaten[[Rank Verteilung Abholzigkeit]:[Verteilung Abholzigkeit]],2,FALSE)</f>
        <v>#N/A</v>
      </c>
      <c r="S4137">
        <v>4128</v>
      </c>
      <c r="T4137" t="e">
        <f>INDEX(Stammdaten[Krümmung (mm/lfm)],MATCH(Tabelle10[[#This Row],[Rank]],Stammdaten[Rank Verteilung Krümmung],0))</f>
        <v>#N/A</v>
      </c>
      <c r="U4137" t="e">
        <f>VLOOKUP(Tabelle10[[#This Row],[Rank]],Stammdaten[[Rank Verteilung Krümmung]:[Verteilung Krümmung]],2,FALSE)</f>
        <v>#N/A</v>
      </c>
      <c r="Z4137">
        <v>4128</v>
      </c>
      <c r="AA4137" t="e">
        <f>INDEX(Stammdaten[Ovalität (']0,1'])],MATCH(Tabelle1014[[#This Row],[Rank]],Stammdaten[Rank Verteilung Ovalität],0))</f>
        <v>#N/A</v>
      </c>
      <c r="AB4137" t="e">
        <f>VLOOKUP(Tabelle1014[[#This Row],[Rank]],Stammdaten[[Rank Verteilung Ovalität]:[Verteilung Ovalität]],2,FALSE)</f>
        <v>#N/A</v>
      </c>
    </row>
    <row r="4138" spans="5:28" x14ac:dyDescent="0.35">
      <c r="E4138">
        <v>4129</v>
      </c>
      <c r="F4138" t="e">
        <f>INDEX(Stammdaten[D Mitte mit Rinde (mm)],MATCH(Tabelle8[[#This Row],[Rank]],Stammdaten[Rank Verteilung D Mitte mit Rinde],0))</f>
        <v>#N/A</v>
      </c>
      <c r="G4138" t="e">
        <f>VLOOKUP(Tabelle8[[#This Row],[Rank]],Stammdaten[[Rank Verteilung D Mitte mit Rinde]:[Verteilung D Mitte mit Rinde]],2,FALSE)</f>
        <v>#N/A</v>
      </c>
      <c r="L4138">
        <v>4129</v>
      </c>
      <c r="M4138" t="e">
        <f>INDEX(Stammdaten[Abholzigkeit (mm/lfm)],MATCH(Tabelle9[[#This Row],[Rank]],Stammdaten[Rank Verteilung Abholzigkeit],0))</f>
        <v>#N/A</v>
      </c>
      <c r="N4138" t="e">
        <f>VLOOKUP(Tabelle9[[#This Row],[Rank]],Stammdaten[[Rank Verteilung Abholzigkeit]:[Verteilung Abholzigkeit]],2,FALSE)</f>
        <v>#N/A</v>
      </c>
      <c r="S4138">
        <v>4129</v>
      </c>
      <c r="T4138" t="e">
        <f>INDEX(Stammdaten[Krümmung (mm/lfm)],MATCH(Tabelle10[[#This Row],[Rank]],Stammdaten[Rank Verteilung Krümmung],0))</f>
        <v>#N/A</v>
      </c>
      <c r="U4138" t="e">
        <f>VLOOKUP(Tabelle10[[#This Row],[Rank]],Stammdaten[[Rank Verteilung Krümmung]:[Verteilung Krümmung]],2,FALSE)</f>
        <v>#N/A</v>
      </c>
      <c r="Z4138">
        <v>4129</v>
      </c>
      <c r="AA4138" t="e">
        <f>INDEX(Stammdaten[Ovalität (']0,1'])],MATCH(Tabelle1014[[#This Row],[Rank]],Stammdaten[Rank Verteilung Ovalität],0))</f>
        <v>#N/A</v>
      </c>
      <c r="AB4138" t="e">
        <f>VLOOKUP(Tabelle1014[[#This Row],[Rank]],Stammdaten[[Rank Verteilung Ovalität]:[Verteilung Ovalität]],2,FALSE)</f>
        <v>#N/A</v>
      </c>
    </row>
    <row r="4139" spans="5:28" x14ac:dyDescent="0.35">
      <c r="E4139">
        <v>4130</v>
      </c>
      <c r="F4139" t="e">
        <f>INDEX(Stammdaten[D Mitte mit Rinde (mm)],MATCH(Tabelle8[[#This Row],[Rank]],Stammdaten[Rank Verteilung D Mitte mit Rinde],0))</f>
        <v>#N/A</v>
      </c>
      <c r="G4139" t="e">
        <f>VLOOKUP(Tabelle8[[#This Row],[Rank]],Stammdaten[[Rank Verteilung D Mitte mit Rinde]:[Verteilung D Mitte mit Rinde]],2,FALSE)</f>
        <v>#N/A</v>
      </c>
      <c r="L4139">
        <v>4130</v>
      </c>
      <c r="M4139" t="e">
        <f>INDEX(Stammdaten[Abholzigkeit (mm/lfm)],MATCH(Tabelle9[[#This Row],[Rank]],Stammdaten[Rank Verteilung Abholzigkeit],0))</f>
        <v>#N/A</v>
      </c>
      <c r="N4139" t="e">
        <f>VLOOKUP(Tabelle9[[#This Row],[Rank]],Stammdaten[[Rank Verteilung Abholzigkeit]:[Verteilung Abholzigkeit]],2,FALSE)</f>
        <v>#N/A</v>
      </c>
      <c r="S4139">
        <v>4130</v>
      </c>
      <c r="T4139" t="e">
        <f>INDEX(Stammdaten[Krümmung (mm/lfm)],MATCH(Tabelle10[[#This Row],[Rank]],Stammdaten[Rank Verteilung Krümmung],0))</f>
        <v>#N/A</v>
      </c>
      <c r="U4139" t="e">
        <f>VLOOKUP(Tabelle10[[#This Row],[Rank]],Stammdaten[[Rank Verteilung Krümmung]:[Verteilung Krümmung]],2,FALSE)</f>
        <v>#N/A</v>
      </c>
      <c r="Z4139">
        <v>4130</v>
      </c>
      <c r="AA4139" t="e">
        <f>INDEX(Stammdaten[Ovalität (']0,1'])],MATCH(Tabelle1014[[#This Row],[Rank]],Stammdaten[Rank Verteilung Ovalität],0))</f>
        <v>#N/A</v>
      </c>
      <c r="AB4139" t="e">
        <f>VLOOKUP(Tabelle1014[[#This Row],[Rank]],Stammdaten[[Rank Verteilung Ovalität]:[Verteilung Ovalität]],2,FALSE)</f>
        <v>#N/A</v>
      </c>
    </row>
    <row r="4140" spans="5:28" x14ac:dyDescent="0.35">
      <c r="E4140">
        <v>4131</v>
      </c>
      <c r="F4140" t="e">
        <f>INDEX(Stammdaten[D Mitte mit Rinde (mm)],MATCH(Tabelle8[[#This Row],[Rank]],Stammdaten[Rank Verteilung D Mitte mit Rinde],0))</f>
        <v>#N/A</v>
      </c>
      <c r="G4140" t="e">
        <f>VLOOKUP(Tabelle8[[#This Row],[Rank]],Stammdaten[[Rank Verteilung D Mitte mit Rinde]:[Verteilung D Mitte mit Rinde]],2,FALSE)</f>
        <v>#N/A</v>
      </c>
      <c r="L4140">
        <v>4131</v>
      </c>
      <c r="M4140" t="e">
        <f>INDEX(Stammdaten[Abholzigkeit (mm/lfm)],MATCH(Tabelle9[[#This Row],[Rank]],Stammdaten[Rank Verteilung Abholzigkeit],0))</f>
        <v>#N/A</v>
      </c>
      <c r="N4140" t="e">
        <f>VLOOKUP(Tabelle9[[#This Row],[Rank]],Stammdaten[[Rank Verteilung Abholzigkeit]:[Verteilung Abholzigkeit]],2,FALSE)</f>
        <v>#N/A</v>
      </c>
      <c r="S4140">
        <v>4131</v>
      </c>
      <c r="T4140" t="e">
        <f>INDEX(Stammdaten[Krümmung (mm/lfm)],MATCH(Tabelle10[[#This Row],[Rank]],Stammdaten[Rank Verteilung Krümmung],0))</f>
        <v>#N/A</v>
      </c>
      <c r="U4140" t="e">
        <f>VLOOKUP(Tabelle10[[#This Row],[Rank]],Stammdaten[[Rank Verteilung Krümmung]:[Verteilung Krümmung]],2,FALSE)</f>
        <v>#N/A</v>
      </c>
      <c r="Z4140">
        <v>4131</v>
      </c>
      <c r="AA4140" t="e">
        <f>INDEX(Stammdaten[Ovalität (']0,1'])],MATCH(Tabelle1014[[#This Row],[Rank]],Stammdaten[Rank Verteilung Ovalität],0))</f>
        <v>#N/A</v>
      </c>
      <c r="AB4140" t="e">
        <f>VLOOKUP(Tabelle1014[[#This Row],[Rank]],Stammdaten[[Rank Verteilung Ovalität]:[Verteilung Ovalität]],2,FALSE)</f>
        <v>#N/A</v>
      </c>
    </row>
    <row r="4141" spans="5:28" x14ac:dyDescent="0.35">
      <c r="E4141">
        <v>4132</v>
      </c>
      <c r="F4141" t="e">
        <f>INDEX(Stammdaten[D Mitte mit Rinde (mm)],MATCH(Tabelle8[[#This Row],[Rank]],Stammdaten[Rank Verteilung D Mitte mit Rinde],0))</f>
        <v>#N/A</v>
      </c>
      <c r="G4141" t="e">
        <f>VLOOKUP(Tabelle8[[#This Row],[Rank]],Stammdaten[[Rank Verteilung D Mitte mit Rinde]:[Verteilung D Mitte mit Rinde]],2,FALSE)</f>
        <v>#N/A</v>
      </c>
      <c r="L4141">
        <v>4132</v>
      </c>
      <c r="M4141" t="e">
        <f>INDEX(Stammdaten[Abholzigkeit (mm/lfm)],MATCH(Tabelle9[[#This Row],[Rank]],Stammdaten[Rank Verteilung Abholzigkeit],0))</f>
        <v>#N/A</v>
      </c>
      <c r="N4141" t="e">
        <f>VLOOKUP(Tabelle9[[#This Row],[Rank]],Stammdaten[[Rank Verteilung Abholzigkeit]:[Verteilung Abholzigkeit]],2,FALSE)</f>
        <v>#N/A</v>
      </c>
      <c r="S4141">
        <v>4132</v>
      </c>
      <c r="T4141" t="e">
        <f>INDEX(Stammdaten[Krümmung (mm/lfm)],MATCH(Tabelle10[[#This Row],[Rank]],Stammdaten[Rank Verteilung Krümmung],0))</f>
        <v>#N/A</v>
      </c>
      <c r="U4141" t="e">
        <f>VLOOKUP(Tabelle10[[#This Row],[Rank]],Stammdaten[[Rank Verteilung Krümmung]:[Verteilung Krümmung]],2,FALSE)</f>
        <v>#N/A</v>
      </c>
      <c r="Z4141">
        <v>4132</v>
      </c>
      <c r="AA4141" t="e">
        <f>INDEX(Stammdaten[Ovalität (']0,1'])],MATCH(Tabelle1014[[#This Row],[Rank]],Stammdaten[Rank Verteilung Ovalität],0))</f>
        <v>#N/A</v>
      </c>
      <c r="AB4141" t="e">
        <f>VLOOKUP(Tabelle1014[[#This Row],[Rank]],Stammdaten[[Rank Verteilung Ovalität]:[Verteilung Ovalität]],2,FALSE)</f>
        <v>#N/A</v>
      </c>
    </row>
    <row r="4142" spans="5:28" x14ac:dyDescent="0.35">
      <c r="E4142">
        <v>4133</v>
      </c>
      <c r="F4142" t="e">
        <f>INDEX(Stammdaten[D Mitte mit Rinde (mm)],MATCH(Tabelle8[[#This Row],[Rank]],Stammdaten[Rank Verteilung D Mitte mit Rinde],0))</f>
        <v>#N/A</v>
      </c>
      <c r="G4142" t="e">
        <f>VLOOKUP(Tabelle8[[#This Row],[Rank]],Stammdaten[[Rank Verteilung D Mitte mit Rinde]:[Verteilung D Mitte mit Rinde]],2,FALSE)</f>
        <v>#N/A</v>
      </c>
      <c r="L4142">
        <v>4133</v>
      </c>
      <c r="M4142" t="e">
        <f>INDEX(Stammdaten[Abholzigkeit (mm/lfm)],MATCH(Tabelle9[[#This Row],[Rank]],Stammdaten[Rank Verteilung Abholzigkeit],0))</f>
        <v>#N/A</v>
      </c>
      <c r="N4142" t="e">
        <f>VLOOKUP(Tabelle9[[#This Row],[Rank]],Stammdaten[[Rank Verteilung Abholzigkeit]:[Verteilung Abholzigkeit]],2,FALSE)</f>
        <v>#N/A</v>
      </c>
      <c r="S4142">
        <v>4133</v>
      </c>
      <c r="T4142" t="e">
        <f>INDEX(Stammdaten[Krümmung (mm/lfm)],MATCH(Tabelle10[[#This Row],[Rank]],Stammdaten[Rank Verteilung Krümmung],0))</f>
        <v>#N/A</v>
      </c>
      <c r="U4142" t="e">
        <f>VLOOKUP(Tabelle10[[#This Row],[Rank]],Stammdaten[[Rank Verteilung Krümmung]:[Verteilung Krümmung]],2,FALSE)</f>
        <v>#N/A</v>
      </c>
      <c r="Z4142">
        <v>4133</v>
      </c>
      <c r="AA4142" t="e">
        <f>INDEX(Stammdaten[Ovalität (']0,1'])],MATCH(Tabelle1014[[#This Row],[Rank]],Stammdaten[Rank Verteilung Ovalität],0))</f>
        <v>#N/A</v>
      </c>
      <c r="AB4142" t="e">
        <f>VLOOKUP(Tabelle1014[[#This Row],[Rank]],Stammdaten[[Rank Verteilung Ovalität]:[Verteilung Ovalität]],2,FALSE)</f>
        <v>#N/A</v>
      </c>
    </row>
    <row r="4143" spans="5:28" x14ac:dyDescent="0.35">
      <c r="E4143">
        <v>4134</v>
      </c>
      <c r="F4143" t="e">
        <f>INDEX(Stammdaten[D Mitte mit Rinde (mm)],MATCH(Tabelle8[[#This Row],[Rank]],Stammdaten[Rank Verteilung D Mitte mit Rinde],0))</f>
        <v>#N/A</v>
      </c>
      <c r="G4143" t="e">
        <f>VLOOKUP(Tabelle8[[#This Row],[Rank]],Stammdaten[[Rank Verteilung D Mitte mit Rinde]:[Verteilung D Mitte mit Rinde]],2,FALSE)</f>
        <v>#N/A</v>
      </c>
      <c r="L4143">
        <v>4134</v>
      </c>
      <c r="M4143" t="e">
        <f>INDEX(Stammdaten[Abholzigkeit (mm/lfm)],MATCH(Tabelle9[[#This Row],[Rank]],Stammdaten[Rank Verteilung Abholzigkeit],0))</f>
        <v>#N/A</v>
      </c>
      <c r="N4143" t="e">
        <f>VLOOKUP(Tabelle9[[#This Row],[Rank]],Stammdaten[[Rank Verteilung Abholzigkeit]:[Verteilung Abholzigkeit]],2,FALSE)</f>
        <v>#N/A</v>
      </c>
      <c r="S4143">
        <v>4134</v>
      </c>
      <c r="T4143" t="e">
        <f>INDEX(Stammdaten[Krümmung (mm/lfm)],MATCH(Tabelle10[[#This Row],[Rank]],Stammdaten[Rank Verteilung Krümmung],0))</f>
        <v>#N/A</v>
      </c>
      <c r="U4143" t="e">
        <f>VLOOKUP(Tabelle10[[#This Row],[Rank]],Stammdaten[[Rank Verteilung Krümmung]:[Verteilung Krümmung]],2,FALSE)</f>
        <v>#N/A</v>
      </c>
      <c r="Z4143">
        <v>4134</v>
      </c>
      <c r="AA4143" t="e">
        <f>INDEX(Stammdaten[Ovalität (']0,1'])],MATCH(Tabelle1014[[#This Row],[Rank]],Stammdaten[Rank Verteilung Ovalität],0))</f>
        <v>#N/A</v>
      </c>
      <c r="AB4143" t="e">
        <f>VLOOKUP(Tabelle1014[[#This Row],[Rank]],Stammdaten[[Rank Verteilung Ovalität]:[Verteilung Ovalität]],2,FALSE)</f>
        <v>#N/A</v>
      </c>
    </row>
    <row r="4144" spans="5:28" x14ac:dyDescent="0.35">
      <c r="E4144">
        <v>4135</v>
      </c>
      <c r="F4144" t="e">
        <f>INDEX(Stammdaten[D Mitte mit Rinde (mm)],MATCH(Tabelle8[[#This Row],[Rank]],Stammdaten[Rank Verteilung D Mitte mit Rinde],0))</f>
        <v>#N/A</v>
      </c>
      <c r="G4144" t="e">
        <f>VLOOKUP(Tabelle8[[#This Row],[Rank]],Stammdaten[[Rank Verteilung D Mitte mit Rinde]:[Verteilung D Mitte mit Rinde]],2,FALSE)</f>
        <v>#N/A</v>
      </c>
      <c r="L4144">
        <v>4135</v>
      </c>
      <c r="M4144" t="e">
        <f>INDEX(Stammdaten[Abholzigkeit (mm/lfm)],MATCH(Tabelle9[[#This Row],[Rank]],Stammdaten[Rank Verteilung Abholzigkeit],0))</f>
        <v>#N/A</v>
      </c>
      <c r="N4144" t="e">
        <f>VLOOKUP(Tabelle9[[#This Row],[Rank]],Stammdaten[[Rank Verteilung Abholzigkeit]:[Verteilung Abholzigkeit]],2,FALSE)</f>
        <v>#N/A</v>
      </c>
      <c r="S4144">
        <v>4135</v>
      </c>
      <c r="T4144" t="e">
        <f>INDEX(Stammdaten[Krümmung (mm/lfm)],MATCH(Tabelle10[[#This Row],[Rank]],Stammdaten[Rank Verteilung Krümmung],0))</f>
        <v>#N/A</v>
      </c>
      <c r="U4144" t="e">
        <f>VLOOKUP(Tabelle10[[#This Row],[Rank]],Stammdaten[[Rank Verteilung Krümmung]:[Verteilung Krümmung]],2,FALSE)</f>
        <v>#N/A</v>
      </c>
      <c r="Z4144">
        <v>4135</v>
      </c>
      <c r="AA4144" t="e">
        <f>INDEX(Stammdaten[Ovalität (']0,1'])],MATCH(Tabelle1014[[#This Row],[Rank]],Stammdaten[Rank Verteilung Ovalität],0))</f>
        <v>#N/A</v>
      </c>
      <c r="AB4144" t="e">
        <f>VLOOKUP(Tabelle1014[[#This Row],[Rank]],Stammdaten[[Rank Verteilung Ovalität]:[Verteilung Ovalität]],2,FALSE)</f>
        <v>#N/A</v>
      </c>
    </row>
    <row r="4145" spans="5:28" x14ac:dyDescent="0.35">
      <c r="E4145">
        <v>4136</v>
      </c>
      <c r="F4145" t="e">
        <f>INDEX(Stammdaten[D Mitte mit Rinde (mm)],MATCH(Tabelle8[[#This Row],[Rank]],Stammdaten[Rank Verteilung D Mitte mit Rinde],0))</f>
        <v>#N/A</v>
      </c>
      <c r="G4145" t="e">
        <f>VLOOKUP(Tabelle8[[#This Row],[Rank]],Stammdaten[[Rank Verteilung D Mitte mit Rinde]:[Verteilung D Mitte mit Rinde]],2,FALSE)</f>
        <v>#N/A</v>
      </c>
      <c r="L4145">
        <v>4136</v>
      </c>
      <c r="M4145" t="e">
        <f>INDEX(Stammdaten[Abholzigkeit (mm/lfm)],MATCH(Tabelle9[[#This Row],[Rank]],Stammdaten[Rank Verteilung Abholzigkeit],0))</f>
        <v>#N/A</v>
      </c>
      <c r="N4145" t="e">
        <f>VLOOKUP(Tabelle9[[#This Row],[Rank]],Stammdaten[[Rank Verteilung Abholzigkeit]:[Verteilung Abholzigkeit]],2,FALSE)</f>
        <v>#N/A</v>
      </c>
      <c r="S4145">
        <v>4136</v>
      </c>
      <c r="T4145" t="e">
        <f>INDEX(Stammdaten[Krümmung (mm/lfm)],MATCH(Tabelle10[[#This Row],[Rank]],Stammdaten[Rank Verteilung Krümmung],0))</f>
        <v>#N/A</v>
      </c>
      <c r="U4145" t="e">
        <f>VLOOKUP(Tabelle10[[#This Row],[Rank]],Stammdaten[[Rank Verteilung Krümmung]:[Verteilung Krümmung]],2,FALSE)</f>
        <v>#N/A</v>
      </c>
      <c r="Z4145">
        <v>4136</v>
      </c>
      <c r="AA4145" t="e">
        <f>INDEX(Stammdaten[Ovalität (']0,1'])],MATCH(Tabelle1014[[#This Row],[Rank]],Stammdaten[Rank Verteilung Ovalität],0))</f>
        <v>#N/A</v>
      </c>
      <c r="AB4145" t="e">
        <f>VLOOKUP(Tabelle1014[[#This Row],[Rank]],Stammdaten[[Rank Verteilung Ovalität]:[Verteilung Ovalität]],2,FALSE)</f>
        <v>#N/A</v>
      </c>
    </row>
    <row r="4146" spans="5:28" x14ac:dyDescent="0.35">
      <c r="E4146">
        <v>4137</v>
      </c>
      <c r="F4146" t="e">
        <f>INDEX(Stammdaten[D Mitte mit Rinde (mm)],MATCH(Tabelle8[[#This Row],[Rank]],Stammdaten[Rank Verteilung D Mitte mit Rinde],0))</f>
        <v>#N/A</v>
      </c>
      <c r="G4146" t="e">
        <f>VLOOKUP(Tabelle8[[#This Row],[Rank]],Stammdaten[[Rank Verteilung D Mitte mit Rinde]:[Verteilung D Mitte mit Rinde]],2,FALSE)</f>
        <v>#N/A</v>
      </c>
      <c r="L4146">
        <v>4137</v>
      </c>
      <c r="M4146" t="e">
        <f>INDEX(Stammdaten[Abholzigkeit (mm/lfm)],MATCH(Tabelle9[[#This Row],[Rank]],Stammdaten[Rank Verteilung Abholzigkeit],0))</f>
        <v>#N/A</v>
      </c>
      <c r="N4146" t="e">
        <f>VLOOKUP(Tabelle9[[#This Row],[Rank]],Stammdaten[[Rank Verteilung Abholzigkeit]:[Verteilung Abholzigkeit]],2,FALSE)</f>
        <v>#N/A</v>
      </c>
      <c r="S4146">
        <v>4137</v>
      </c>
      <c r="T4146" t="e">
        <f>INDEX(Stammdaten[Krümmung (mm/lfm)],MATCH(Tabelle10[[#This Row],[Rank]],Stammdaten[Rank Verteilung Krümmung],0))</f>
        <v>#N/A</v>
      </c>
      <c r="U4146" t="e">
        <f>VLOOKUP(Tabelle10[[#This Row],[Rank]],Stammdaten[[Rank Verteilung Krümmung]:[Verteilung Krümmung]],2,FALSE)</f>
        <v>#N/A</v>
      </c>
      <c r="Z4146">
        <v>4137</v>
      </c>
      <c r="AA4146" t="e">
        <f>INDEX(Stammdaten[Ovalität (']0,1'])],MATCH(Tabelle1014[[#This Row],[Rank]],Stammdaten[Rank Verteilung Ovalität],0))</f>
        <v>#N/A</v>
      </c>
      <c r="AB4146" t="e">
        <f>VLOOKUP(Tabelle1014[[#This Row],[Rank]],Stammdaten[[Rank Verteilung Ovalität]:[Verteilung Ovalität]],2,FALSE)</f>
        <v>#N/A</v>
      </c>
    </row>
    <row r="4147" spans="5:28" x14ac:dyDescent="0.35">
      <c r="E4147">
        <v>4138</v>
      </c>
      <c r="F4147" t="e">
        <f>INDEX(Stammdaten[D Mitte mit Rinde (mm)],MATCH(Tabelle8[[#This Row],[Rank]],Stammdaten[Rank Verteilung D Mitte mit Rinde],0))</f>
        <v>#N/A</v>
      </c>
      <c r="G4147" t="e">
        <f>VLOOKUP(Tabelle8[[#This Row],[Rank]],Stammdaten[[Rank Verteilung D Mitte mit Rinde]:[Verteilung D Mitte mit Rinde]],2,FALSE)</f>
        <v>#N/A</v>
      </c>
      <c r="L4147">
        <v>4138</v>
      </c>
      <c r="M4147" t="e">
        <f>INDEX(Stammdaten[Abholzigkeit (mm/lfm)],MATCH(Tabelle9[[#This Row],[Rank]],Stammdaten[Rank Verteilung Abholzigkeit],0))</f>
        <v>#N/A</v>
      </c>
      <c r="N4147" t="e">
        <f>VLOOKUP(Tabelle9[[#This Row],[Rank]],Stammdaten[[Rank Verteilung Abholzigkeit]:[Verteilung Abholzigkeit]],2,FALSE)</f>
        <v>#N/A</v>
      </c>
      <c r="S4147">
        <v>4138</v>
      </c>
      <c r="T4147" t="e">
        <f>INDEX(Stammdaten[Krümmung (mm/lfm)],MATCH(Tabelle10[[#This Row],[Rank]],Stammdaten[Rank Verteilung Krümmung],0))</f>
        <v>#N/A</v>
      </c>
      <c r="U4147" t="e">
        <f>VLOOKUP(Tabelle10[[#This Row],[Rank]],Stammdaten[[Rank Verteilung Krümmung]:[Verteilung Krümmung]],2,FALSE)</f>
        <v>#N/A</v>
      </c>
      <c r="Z4147">
        <v>4138</v>
      </c>
      <c r="AA4147" t="e">
        <f>INDEX(Stammdaten[Ovalität (']0,1'])],MATCH(Tabelle1014[[#This Row],[Rank]],Stammdaten[Rank Verteilung Ovalität],0))</f>
        <v>#N/A</v>
      </c>
      <c r="AB4147" t="e">
        <f>VLOOKUP(Tabelle1014[[#This Row],[Rank]],Stammdaten[[Rank Verteilung Ovalität]:[Verteilung Ovalität]],2,FALSE)</f>
        <v>#N/A</v>
      </c>
    </row>
    <row r="4148" spans="5:28" x14ac:dyDescent="0.35">
      <c r="E4148">
        <v>4139</v>
      </c>
      <c r="F4148" t="e">
        <f>INDEX(Stammdaten[D Mitte mit Rinde (mm)],MATCH(Tabelle8[[#This Row],[Rank]],Stammdaten[Rank Verteilung D Mitte mit Rinde],0))</f>
        <v>#N/A</v>
      </c>
      <c r="G4148" t="e">
        <f>VLOOKUP(Tabelle8[[#This Row],[Rank]],Stammdaten[[Rank Verteilung D Mitte mit Rinde]:[Verteilung D Mitte mit Rinde]],2,FALSE)</f>
        <v>#N/A</v>
      </c>
      <c r="L4148">
        <v>4139</v>
      </c>
      <c r="M4148" t="e">
        <f>INDEX(Stammdaten[Abholzigkeit (mm/lfm)],MATCH(Tabelle9[[#This Row],[Rank]],Stammdaten[Rank Verteilung Abholzigkeit],0))</f>
        <v>#N/A</v>
      </c>
      <c r="N4148" t="e">
        <f>VLOOKUP(Tabelle9[[#This Row],[Rank]],Stammdaten[[Rank Verteilung Abholzigkeit]:[Verteilung Abholzigkeit]],2,FALSE)</f>
        <v>#N/A</v>
      </c>
      <c r="S4148">
        <v>4139</v>
      </c>
      <c r="T4148" t="e">
        <f>INDEX(Stammdaten[Krümmung (mm/lfm)],MATCH(Tabelle10[[#This Row],[Rank]],Stammdaten[Rank Verteilung Krümmung],0))</f>
        <v>#N/A</v>
      </c>
      <c r="U4148" t="e">
        <f>VLOOKUP(Tabelle10[[#This Row],[Rank]],Stammdaten[[Rank Verteilung Krümmung]:[Verteilung Krümmung]],2,FALSE)</f>
        <v>#N/A</v>
      </c>
      <c r="Z4148">
        <v>4139</v>
      </c>
      <c r="AA4148" t="e">
        <f>INDEX(Stammdaten[Ovalität (']0,1'])],MATCH(Tabelle1014[[#This Row],[Rank]],Stammdaten[Rank Verteilung Ovalität],0))</f>
        <v>#N/A</v>
      </c>
      <c r="AB4148" t="e">
        <f>VLOOKUP(Tabelle1014[[#This Row],[Rank]],Stammdaten[[Rank Verteilung Ovalität]:[Verteilung Ovalität]],2,FALSE)</f>
        <v>#N/A</v>
      </c>
    </row>
    <row r="4149" spans="5:28" x14ac:dyDescent="0.35">
      <c r="E4149">
        <v>4140</v>
      </c>
      <c r="F4149" t="e">
        <f>INDEX(Stammdaten[D Mitte mit Rinde (mm)],MATCH(Tabelle8[[#This Row],[Rank]],Stammdaten[Rank Verteilung D Mitte mit Rinde],0))</f>
        <v>#N/A</v>
      </c>
      <c r="G4149" t="e">
        <f>VLOOKUP(Tabelle8[[#This Row],[Rank]],Stammdaten[[Rank Verteilung D Mitte mit Rinde]:[Verteilung D Mitte mit Rinde]],2,FALSE)</f>
        <v>#N/A</v>
      </c>
      <c r="L4149">
        <v>4140</v>
      </c>
      <c r="M4149" t="e">
        <f>INDEX(Stammdaten[Abholzigkeit (mm/lfm)],MATCH(Tabelle9[[#This Row],[Rank]],Stammdaten[Rank Verteilung Abholzigkeit],0))</f>
        <v>#N/A</v>
      </c>
      <c r="N4149" t="e">
        <f>VLOOKUP(Tabelle9[[#This Row],[Rank]],Stammdaten[[Rank Verteilung Abholzigkeit]:[Verteilung Abholzigkeit]],2,FALSE)</f>
        <v>#N/A</v>
      </c>
      <c r="S4149">
        <v>4140</v>
      </c>
      <c r="T4149" t="e">
        <f>INDEX(Stammdaten[Krümmung (mm/lfm)],MATCH(Tabelle10[[#This Row],[Rank]],Stammdaten[Rank Verteilung Krümmung],0))</f>
        <v>#N/A</v>
      </c>
      <c r="U4149" t="e">
        <f>VLOOKUP(Tabelle10[[#This Row],[Rank]],Stammdaten[[Rank Verteilung Krümmung]:[Verteilung Krümmung]],2,FALSE)</f>
        <v>#N/A</v>
      </c>
      <c r="Z4149">
        <v>4140</v>
      </c>
      <c r="AA4149" t="e">
        <f>INDEX(Stammdaten[Ovalität (']0,1'])],MATCH(Tabelle1014[[#This Row],[Rank]],Stammdaten[Rank Verteilung Ovalität],0))</f>
        <v>#N/A</v>
      </c>
      <c r="AB4149" t="e">
        <f>VLOOKUP(Tabelle1014[[#This Row],[Rank]],Stammdaten[[Rank Verteilung Ovalität]:[Verteilung Ovalität]],2,FALSE)</f>
        <v>#N/A</v>
      </c>
    </row>
    <row r="4150" spans="5:28" x14ac:dyDescent="0.35">
      <c r="E4150">
        <v>4141</v>
      </c>
      <c r="F4150" t="e">
        <f>INDEX(Stammdaten[D Mitte mit Rinde (mm)],MATCH(Tabelle8[[#This Row],[Rank]],Stammdaten[Rank Verteilung D Mitte mit Rinde],0))</f>
        <v>#N/A</v>
      </c>
      <c r="G4150" t="e">
        <f>VLOOKUP(Tabelle8[[#This Row],[Rank]],Stammdaten[[Rank Verteilung D Mitte mit Rinde]:[Verteilung D Mitte mit Rinde]],2,FALSE)</f>
        <v>#N/A</v>
      </c>
      <c r="L4150">
        <v>4141</v>
      </c>
      <c r="M4150" t="e">
        <f>INDEX(Stammdaten[Abholzigkeit (mm/lfm)],MATCH(Tabelle9[[#This Row],[Rank]],Stammdaten[Rank Verteilung Abholzigkeit],0))</f>
        <v>#N/A</v>
      </c>
      <c r="N4150" t="e">
        <f>VLOOKUP(Tabelle9[[#This Row],[Rank]],Stammdaten[[Rank Verteilung Abholzigkeit]:[Verteilung Abholzigkeit]],2,FALSE)</f>
        <v>#N/A</v>
      </c>
      <c r="S4150">
        <v>4141</v>
      </c>
      <c r="T4150" t="e">
        <f>INDEX(Stammdaten[Krümmung (mm/lfm)],MATCH(Tabelle10[[#This Row],[Rank]],Stammdaten[Rank Verteilung Krümmung],0))</f>
        <v>#N/A</v>
      </c>
      <c r="U4150" t="e">
        <f>VLOOKUP(Tabelle10[[#This Row],[Rank]],Stammdaten[[Rank Verteilung Krümmung]:[Verteilung Krümmung]],2,FALSE)</f>
        <v>#N/A</v>
      </c>
      <c r="Z4150">
        <v>4141</v>
      </c>
      <c r="AA4150" t="e">
        <f>INDEX(Stammdaten[Ovalität (']0,1'])],MATCH(Tabelle1014[[#This Row],[Rank]],Stammdaten[Rank Verteilung Ovalität],0))</f>
        <v>#N/A</v>
      </c>
      <c r="AB4150" t="e">
        <f>VLOOKUP(Tabelle1014[[#This Row],[Rank]],Stammdaten[[Rank Verteilung Ovalität]:[Verteilung Ovalität]],2,FALSE)</f>
        <v>#N/A</v>
      </c>
    </row>
    <row r="4151" spans="5:28" x14ac:dyDescent="0.35">
      <c r="E4151">
        <v>4142</v>
      </c>
      <c r="F4151" t="e">
        <f>INDEX(Stammdaten[D Mitte mit Rinde (mm)],MATCH(Tabelle8[[#This Row],[Rank]],Stammdaten[Rank Verteilung D Mitte mit Rinde],0))</f>
        <v>#N/A</v>
      </c>
      <c r="G4151" t="e">
        <f>VLOOKUP(Tabelle8[[#This Row],[Rank]],Stammdaten[[Rank Verteilung D Mitte mit Rinde]:[Verteilung D Mitte mit Rinde]],2,FALSE)</f>
        <v>#N/A</v>
      </c>
      <c r="L4151">
        <v>4142</v>
      </c>
      <c r="M4151" t="e">
        <f>INDEX(Stammdaten[Abholzigkeit (mm/lfm)],MATCH(Tabelle9[[#This Row],[Rank]],Stammdaten[Rank Verteilung Abholzigkeit],0))</f>
        <v>#N/A</v>
      </c>
      <c r="N4151" t="e">
        <f>VLOOKUP(Tabelle9[[#This Row],[Rank]],Stammdaten[[Rank Verteilung Abholzigkeit]:[Verteilung Abholzigkeit]],2,FALSE)</f>
        <v>#N/A</v>
      </c>
      <c r="S4151">
        <v>4142</v>
      </c>
      <c r="T4151" t="e">
        <f>INDEX(Stammdaten[Krümmung (mm/lfm)],MATCH(Tabelle10[[#This Row],[Rank]],Stammdaten[Rank Verteilung Krümmung],0))</f>
        <v>#N/A</v>
      </c>
      <c r="U4151" t="e">
        <f>VLOOKUP(Tabelle10[[#This Row],[Rank]],Stammdaten[[Rank Verteilung Krümmung]:[Verteilung Krümmung]],2,FALSE)</f>
        <v>#N/A</v>
      </c>
      <c r="Z4151">
        <v>4142</v>
      </c>
      <c r="AA4151" t="e">
        <f>INDEX(Stammdaten[Ovalität (']0,1'])],MATCH(Tabelle1014[[#This Row],[Rank]],Stammdaten[Rank Verteilung Ovalität],0))</f>
        <v>#N/A</v>
      </c>
      <c r="AB4151" t="e">
        <f>VLOOKUP(Tabelle1014[[#This Row],[Rank]],Stammdaten[[Rank Verteilung Ovalität]:[Verteilung Ovalität]],2,FALSE)</f>
        <v>#N/A</v>
      </c>
    </row>
    <row r="4152" spans="5:28" x14ac:dyDescent="0.35">
      <c r="E4152">
        <v>4143</v>
      </c>
      <c r="F4152" t="e">
        <f>INDEX(Stammdaten[D Mitte mit Rinde (mm)],MATCH(Tabelle8[[#This Row],[Rank]],Stammdaten[Rank Verteilung D Mitte mit Rinde],0))</f>
        <v>#N/A</v>
      </c>
      <c r="G4152" t="e">
        <f>VLOOKUP(Tabelle8[[#This Row],[Rank]],Stammdaten[[Rank Verteilung D Mitte mit Rinde]:[Verteilung D Mitte mit Rinde]],2,FALSE)</f>
        <v>#N/A</v>
      </c>
      <c r="L4152">
        <v>4143</v>
      </c>
      <c r="M4152" t="e">
        <f>INDEX(Stammdaten[Abholzigkeit (mm/lfm)],MATCH(Tabelle9[[#This Row],[Rank]],Stammdaten[Rank Verteilung Abholzigkeit],0))</f>
        <v>#N/A</v>
      </c>
      <c r="N4152" t="e">
        <f>VLOOKUP(Tabelle9[[#This Row],[Rank]],Stammdaten[[Rank Verteilung Abholzigkeit]:[Verteilung Abholzigkeit]],2,FALSE)</f>
        <v>#N/A</v>
      </c>
      <c r="S4152">
        <v>4143</v>
      </c>
      <c r="T4152" t="e">
        <f>INDEX(Stammdaten[Krümmung (mm/lfm)],MATCH(Tabelle10[[#This Row],[Rank]],Stammdaten[Rank Verteilung Krümmung],0))</f>
        <v>#N/A</v>
      </c>
      <c r="U4152" t="e">
        <f>VLOOKUP(Tabelle10[[#This Row],[Rank]],Stammdaten[[Rank Verteilung Krümmung]:[Verteilung Krümmung]],2,FALSE)</f>
        <v>#N/A</v>
      </c>
      <c r="Z4152">
        <v>4143</v>
      </c>
      <c r="AA4152" t="e">
        <f>INDEX(Stammdaten[Ovalität (']0,1'])],MATCH(Tabelle1014[[#This Row],[Rank]],Stammdaten[Rank Verteilung Ovalität],0))</f>
        <v>#N/A</v>
      </c>
      <c r="AB4152" t="e">
        <f>VLOOKUP(Tabelle1014[[#This Row],[Rank]],Stammdaten[[Rank Verteilung Ovalität]:[Verteilung Ovalität]],2,FALSE)</f>
        <v>#N/A</v>
      </c>
    </row>
    <row r="4153" spans="5:28" x14ac:dyDescent="0.35">
      <c r="E4153">
        <v>4144</v>
      </c>
      <c r="F4153" t="e">
        <f>INDEX(Stammdaten[D Mitte mit Rinde (mm)],MATCH(Tabelle8[[#This Row],[Rank]],Stammdaten[Rank Verteilung D Mitte mit Rinde],0))</f>
        <v>#N/A</v>
      </c>
      <c r="G4153" t="e">
        <f>VLOOKUP(Tabelle8[[#This Row],[Rank]],Stammdaten[[Rank Verteilung D Mitte mit Rinde]:[Verteilung D Mitte mit Rinde]],2,FALSE)</f>
        <v>#N/A</v>
      </c>
      <c r="L4153">
        <v>4144</v>
      </c>
      <c r="M4153" t="e">
        <f>INDEX(Stammdaten[Abholzigkeit (mm/lfm)],MATCH(Tabelle9[[#This Row],[Rank]],Stammdaten[Rank Verteilung Abholzigkeit],0))</f>
        <v>#N/A</v>
      </c>
      <c r="N4153" t="e">
        <f>VLOOKUP(Tabelle9[[#This Row],[Rank]],Stammdaten[[Rank Verteilung Abholzigkeit]:[Verteilung Abholzigkeit]],2,FALSE)</f>
        <v>#N/A</v>
      </c>
      <c r="S4153">
        <v>4144</v>
      </c>
      <c r="T4153" t="e">
        <f>INDEX(Stammdaten[Krümmung (mm/lfm)],MATCH(Tabelle10[[#This Row],[Rank]],Stammdaten[Rank Verteilung Krümmung],0))</f>
        <v>#N/A</v>
      </c>
      <c r="U4153" t="e">
        <f>VLOOKUP(Tabelle10[[#This Row],[Rank]],Stammdaten[[Rank Verteilung Krümmung]:[Verteilung Krümmung]],2,FALSE)</f>
        <v>#N/A</v>
      </c>
      <c r="Z4153">
        <v>4144</v>
      </c>
      <c r="AA4153" t="e">
        <f>INDEX(Stammdaten[Ovalität (']0,1'])],MATCH(Tabelle1014[[#This Row],[Rank]],Stammdaten[Rank Verteilung Ovalität],0))</f>
        <v>#N/A</v>
      </c>
      <c r="AB4153" t="e">
        <f>VLOOKUP(Tabelle1014[[#This Row],[Rank]],Stammdaten[[Rank Verteilung Ovalität]:[Verteilung Ovalität]],2,FALSE)</f>
        <v>#N/A</v>
      </c>
    </row>
    <row r="4154" spans="5:28" x14ac:dyDescent="0.35">
      <c r="E4154">
        <v>4145</v>
      </c>
      <c r="F4154" t="e">
        <f>INDEX(Stammdaten[D Mitte mit Rinde (mm)],MATCH(Tabelle8[[#This Row],[Rank]],Stammdaten[Rank Verteilung D Mitte mit Rinde],0))</f>
        <v>#N/A</v>
      </c>
      <c r="G4154" t="e">
        <f>VLOOKUP(Tabelle8[[#This Row],[Rank]],Stammdaten[[Rank Verteilung D Mitte mit Rinde]:[Verteilung D Mitte mit Rinde]],2,FALSE)</f>
        <v>#N/A</v>
      </c>
      <c r="L4154">
        <v>4145</v>
      </c>
      <c r="M4154" t="e">
        <f>INDEX(Stammdaten[Abholzigkeit (mm/lfm)],MATCH(Tabelle9[[#This Row],[Rank]],Stammdaten[Rank Verteilung Abholzigkeit],0))</f>
        <v>#N/A</v>
      </c>
      <c r="N4154" t="e">
        <f>VLOOKUP(Tabelle9[[#This Row],[Rank]],Stammdaten[[Rank Verteilung Abholzigkeit]:[Verteilung Abholzigkeit]],2,FALSE)</f>
        <v>#N/A</v>
      </c>
      <c r="S4154">
        <v>4145</v>
      </c>
      <c r="T4154" t="e">
        <f>INDEX(Stammdaten[Krümmung (mm/lfm)],MATCH(Tabelle10[[#This Row],[Rank]],Stammdaten[Rank Verteilung Krümmung],0))</f>
        <v>#N/A</v>
      </c>
      <c r="U4154" t="e">
        <f>VLOOKUP(Tabelle10[[#This Row],[Rank]],Stammdaten[[Rank Verteilung Krümmung]:[Verteilung Krümmung]],2,FALSE)</f>
        <v>#N/A</v>
      </c>
      <c r="Z4154">
        <v>4145</v>
      </c>
      <c r="AA4154" t="e">
        <f>INDEX(Stammdaten[Ovalität (']0,1'])],MATCH(Tabelle1014[[#This Row],[Rank]],Stammdaten[Rank Verteilung Ovalität],0))</f>
        <v>#N/A</v>
      </c>
      <c r="AB4154" t="e">
        <f>VLOOKUP(Tabelle1014[[#This Row],[Rank]],Stammdaten[[Rank Verteilung Ovalität]:[Verteilung Ovalität]],2,FALSE)</f>
        <v>#N/A</v>
      </c>
    </row>
    <row r="4155" spans="5:28" x14ac:dyDescent="0.35">
      <c r="E4155">
        <v>4146</v>
      </c>
      <c r="F4155" t="e">
        <f>INDEX(Stammdaten[D Mitte mit Rinde (mm)],MATCH(Tabelle8[[#This Row],[Rank]],Stammdaten[Rank Verteilung D Mitte mit Rinde],0))</f>
        <v>#N/A</v>
      </c>
      <c r="G4155" t="e">
        <f>VLOOKUP(Tabelle8[[#This Row],[Rank]],Stammdaten[[Rank Verteilung D Mitte mit Rinde]:[Verteilung D Mitte mit Rinde]],2,FALSE)</f>
        <v>#N/A</v>
      </c>
      <c r="L4155">
        <v>4146</v>
      </c>
      <c r="M4155" t="e">
        <f>INDEX(Stammdaten[Abholzigkeit (mm/lfm)],MATCH(Tabelle9[[#This Row],[Rank]],Stammdaten[Rank Verteilung Abholzigkeit],0))</f>
        <v>#N/A</v>
      </c>
      <c r="N4155" t="e">
        <f>VLOOKUP(Tabelle9[[#This Row],[Rank]],Stammdaten[[Rank Verteilung Abholzigkeit]:[Verteilung Abholzigkeit]],2,FALSE)</f>
        <v>#N/A</v>
      </c>
      <c r="S4155">
        <v>4146</v>
      </c>
      <c r="T4155" t="e">
        <f>INDEX(Stammdaten[Krümmung (mm/lfm)],MATCH(Tabelle10[[#This Row],[Rank]],Stammdaten[Rank Verteilung Krümmung],0))</f>
        <v>#N/A</v>
      </c>
      <c r="U4155" t="e">
        <f>VLOOKUP(Tabelle10[[#This Row],[Rank]],Stammdaten[[Rank Verteilung Krümmung]:[Verteilung Krümmung]],2,FALSE)</f>
        <v>#N/A</v>
      </c>
      <c r="Z4155">
        <v>4146</v>
      </c>
      <c r="AA4155" t="e">
        <f>INDEX(Stammdaten[Ovalität (']0,1'])],MATCH(Tabelle1014[[#This Row],[Rank]],Stammdaten[Rank Verteilung Ovalität],0))</f>
        <v>#N/A</v>
      </c>
      <c r="AB4155" t="e">
        <f>VLOOKUP(Tabelle1014[[#This Row],[Rank]],Stammdaten[[Rank Verteilung Ovalität]:[Verteilung Ovalität]],2,FALSE)</f>
        <v>#N/A</v>
      </c>
    </row>
    <row r="4156" spans="5:28" x14ac:dyDescent="0.35">
      <c r="E4156">
        <v>4147</v>
      </c>
      <c r="F4156" t="e">
        <f>INDEX(Stammdaten[D Mitte mit Rinde (mm)],MATCH(Tabelle8[[#This Row],[Rank]],Stammdaten[Rank Verteilung D Mitte mit Rinde],0))</f>
        <v>#N/A</v>
      </c>
      <c r="G4156" t="e">
        <f>VLOOKUP(Tabelle8[[#This Row],[Rank]],Stammdaten[[Rank Verteilung D Mitte mit Rinde]:[Verteilung D Mitte mit Rinde]],2,FALSE)</f>
        <v>#N/A</v>
      </c>
      <c r="L4156">
        <v>4147</v>
      </c>
      <c r="M4156" t="e">
        <f>INDEX(Stammdaten[Abholzigkeit (mm/lfm)],MATCH(Tabelle9[[#This Row],[Rank]],Stammdaten[Rank Verteilung Abholzigkeit],0))</f>
        <v>#N/A</v>
      </c>
      <c r="N4156" t="e">
        <f>VLOOKUP(Tabelle9[[#This Row],[Rank]],Stammdaten[[Rank Verteilung Abholzigkeit]:[Verteilung Abholzigkeit]],2,FALSE)</f>
        <v>#N/A</v>
      </c>
      <c r="S4156">
        <v>4147</v>
      </c>
      <c r="T4156" t="e">
        <f>INDEX(Stammdaten[Krümmung (mm/lfm)],MATCH(Tabelle10[[#This Row],[Rank]],Stammdaten[Rank Verteilung Krümmung],0))</f>
        <v>#N/A</v>
      </c>
      <c r="U4156" t="e">
        <f>VLOOKUP(Tabelle10[[#This Row],[Rank]],Stammdaten[[Rank Verteilung Krümmung]:[Verteilung Krümmung]],2,FALSE)</f>
        <v>#N/A</v>
      </c>
      <c r="Z4156">
        <v>4147</v>
      </c>
      <c r="AA4156" t="e">
        <f>INDEX(Stammdaten[Ovalität (']0,1'])],MATCH(Tabelle1014[[#This Row],[Rank]],Stammdaten[Rank Verteilung Ovalität],0))</f>
        <v>#N/A</v>
      </c>
      <c r="AB4156" t="e">
        <f>VLOOKUP(Tabelle1014[[#This Row],[Rank]],Stammdaten[[Rank Verteilung Ovalität]:[Verteilung Ovalität]],2,FALSE)</f>
        <v>#N/A</v>
      </c>
    </row>
    <row r="4157" spans="5:28" x14ac:dyDescent="0.35">
      <c r="E4157">
        <v>4148</v>
      </c>
      <c r="F4157" t="e">
        <f>INDEX(Stammdaten[D Mitte mit Rinde (mm)],MATCH(Tabelle8[[#This Row],[Rank]],Stammdaten[Rank Verteilung D Mitte mit Rinde],0))</f>
        <v>#N/A</v>
      </c>
      <c r="G4157" t="e">
        <f>VLOOKUP(Tabelle8[[#This Row],[Rank]],Stammdaten[[Rank Verteilung D Mitte mit Rinde]:[Verteilung D Mitte mit Rinde]],2,FALSE)</f>
        <v>#N/A</v>
      </c>
      <c r="L4157">
        <v>4148</v>
      </c>
      <c r="M4157" t="e">
        <f>INDEX(Stammdaten[Abholzigkeit (mm/lfm)],MATCH(Tabelle9[[#This Row],[Rank]],Stammdaten[Rank Verteilung Abholzigkeit],0))</f>
        <v>#N/A</v>
      </c>
      <c r="N4157" t="e">
        <f>VLOOKUP(Tabelle9[[#This Row],[Rank]],Stammdaten[[Rank Verteilung Abholzigkeit]:[Verteilung Abholzigkeit]],2,FALSE)</f>
        <v>#N/A</v>
      </c>
      <c r="S4157">
        <v>4148</v>
      </c>
      <c r="T4157" t="e">
        <f>INDEX(Stammdaten[Krümmung (mm/lfm)],MATCH(Tabelle10[[#This Row],[Rank]],Stammdaten[Rank Verteilung Krümmung],0))</f>
        <v>#N/A</v>
      </c>
      <c r="U4157" t="e">
        <f>VLOOKUP(Tabelle10[[#This Row],[Rank]],Stammdaten[[Rank Verteilung Krümmung]:[Verteilung Krümmung]],2,FALSE)</f>
        <v>#N/A</v>
      </c>
      <c r="Z4157">
        <v>4148</v>
      </c>
      <c r="AA4157" t="e">
        <f>INDEX(Stammdaten[Ovalität (']0,1'])],MATCH(Tabelle1014[[#This Row],[Rank]],Stammdaten[Rank Verteilung Ovalität],0))</f>
        <v>#N/A</v>
      </c>
      <c r="AB4157" t="e">
        <f>VLOOKUP(Tabelle1014[[#This Row],[Rank]],Stammdaten[[Rank Verteilung Ovalität]:[Verteilung Ovalität]],2,FALSE)</f>
        <v>#N/A</v>
      </c>
    </row>
    <row r="4158" spans="5:28" x14ac:dyDescent="0.35">
      <c r="E4158">
        <v>4149</v>
      </c>
      <c r="F4158" t="e">
        <f>INDEX(Stammdaten[D Mitte mit Rinde (mm)],MATCH(Tabelle8[[#This Row],[Rank]],Stammdaten[Rank Verteilung D Mitte mit Rinde],0))</f>
        <v>#N/A</v>
      </c>
      <c r="G4158" t="e">
        <f>VLOOKUP(Tabelle8[[#This Row],[Rank]],Stammdaten[[Rank Verteilung D Mitte mit Rinde]:[Verteilung D Mitte mit Rinde]],2,FALSE)</f>
        <v>#N/A</v>
      </c>
      <c r="L4158">
        <v>4149</v>
      </c>
      <c r="M4158" t="e">
        <f>INDEX(Stammdaten[Abholzigkeit (mm/lfm)],MATCH(Tabelle9[[#This Row],[Rank]],Stammdaten[Rank Verteilung Abholzigkeit],0))</f>
        <v>#N/A</v>
      </c>
      <c r="N4158" t="e">
        <f>VLOOKUP(Tabelle9[[#This Row],[Rank]],Stammdaten[[Rank Verteilung Abholzigkeit]:[Verteilung Abholzigkeit]],2,FALSE)</f>
        <v>#N/A</v>
      </c>
      <c r="S4158">
        <v>4149</v>
      </c>
      <c r="T4158" t="e">
        <f>INDEX(Stammdaten[Krümmung (mm/lfm)],MATCH(Tabelle10[[#This Row],[Rank]],Stammdaten[Rank Verteilung Krümmung],0))</f>
        <v>#N/A</v>
      </c>
      <c r="U4158" t="e">
        <f>VLOOKUP(Tabelle10[[#This Row],[Rank]],Stammdaten[[Rank Verteilung Krümmung]:[Verteilung Krümmung]],2,FALSE)</f>
        <v>#N/A</v>
      </c>
      <c r="Z4158">
        <v>4149</v>
      </c>
      <c r="AA4158" t="e">
        <f>INDEX(Stammdaten[Ovalität (']0,1'])],MATCH(Tabelle1014[[#This Row],[Rank]],Stammdaten[Rank Verteilung Ovalität],0))</f>
        <v>#N/A</v>
      </c>
      <c r="AB4158" t="e">
        <f>VLOOKUP(Tabelle1014[[#This Row],[Rank]],Stammdaten[[Rank Verteilung Ovalität]:[Verteilung Ovalität]],2,FALSE)</f>
        <v>#N/A</v>
      </c>
    </row>
    <row r="4159" spans="5:28" x14ac:dyDescent="0.35">
      <c r="E4159">
        <v>4150</v>
      </c>
      <c r="F4159" t="e">
        <f>INDEX(Stammdaten[D Mitte mit Rinde (mm)],MATCH(Tabelle8[[#This Row],[Rank]],Stammdaten[Rank Verteilung D Mitte mit Rinde],0))</f>
        <v>#N/A</v>
      </c>
      <c r="G4159" t="e">
        <f>VLOOKUP(Tabelle8[[#This Row],[Rank]],Stammdaten[[Rank Verteilung D Mitte mit Rinde]:[Verteilung D Mitte mit Rinde]],2,FALSE)</f>
        <v>#N/A</v>
      </c>
      <c r="L4159">
        <v>4150</v>
      </c>
      <c r="M4159" t="e">
        <f>INDEX(Stammdaten[Abholzigkeit (mm/lfm)],MATCH(Tabelle9[[#This Row],[Rank]],Stammdaten[Rank Verteilung Abholzigkeit],0))</f>
        <v>#N/A</v>
      </c>
      <c r="N4159" t="e">
        <f>VLOOKUP(Tabelle9[[#This Row],[Rank]],Stammdaten[[Rank Verteilung Abholzigkeit]:[Verteilung Abholzigkeit]],2,FALSE)</f>
        <v>#N/A</v>
      </c>
      <c r="S4159">
        <v>4150</v>
      </c>
      <c r="T4159" t="e">
        <f>INDEX(Stammdaten[Krümmung (mm/lfm)],MATCH(Tabelle10[[#This Row],[Rank]],Stammdaten[Rank Verteilung Krümmung],0))</f>
        <v>#N/A</v>
      </c>
      <c r="U4159" t="e">
        <f>VLOOKUP(Tabelle10[[#This Row],[Rank]],Stammdaten[[Rank Verteilung Krümmung]:[Verteilung Krümmung]],2,FALSE)</f>
        <v>#N/A</v>
      </c>
      <c r="Z4159">
        <v>4150</v>
      </c>
      <c r="AA4159" t="e">
        <f>INDEX(Stammdaten[Ovalität (']0,1'])],MATCH(Tabelle1014[[#This Row],[Rank]],Stammdaten[Rank Verteilung Ovalität],0))</f>
        <v>#N/A</v>
      </c>
      <c r="AB4159" t="e">
        <f>VLOOKUP(Tabelle1014[[#This Row],[Rank]],Stammdaten[[Rank Verteilung Ovalität]:[Verteilung Ovalität]],2,FALSE)</f>
        <v>#N/A</v>
      </c>
    </row>
    <row r="4160" spans="5:28" x14ac:dyDescent="0.35">
      <c r="E4160">
        <v>4151</v>
      </c>
      <c r="F4160" t="e">
        <f>INDEX(Stammdaten[D Mitte mit Rinde (mm)],MATCH(Tabelle8[[#This Row],[Rank]],Stammdaten[Rank Verteilung D Mitte mit Rinde],0))</f>
        <v>#N/A</v>
      </c>
      <c r="G4160" t="e">
        <f>VLOOKUP(Tabelle8[[#This Row],[Rank]],Stammdaten[[Rank Verteilung D Mitte mit Rinde]:[Verteilung D Mitte mit Rinde]],2,FALSE)</f>
        <v>#N/A</v>
      </c>
      <c r="L4160">
        <v>4151</v>
      </c>
      <c r="M4160" t="e">
        <f>INDEX(Stammdaten[Abholzigkeit (mm/lfm)],MATCH(Tabelle9[[#This Row],[Rank]],Stammdaten[Rank Verteilung Abholzigkeit],0))</f>
        <v>#N/A</v>
      </c>
      <c r="N4160" t="e">
        <f>VLOOKUP(Tabelle9[[#This Row],[Rank]],Stammdaten[[Rank Verteilung Abholzigkeit]:[Verteilung Abholzigkeit]],2,FALSE)</f>
        <v>#N/A</v>
      </c>
      <c r="S4160">
        <v>4151</v>
      </c>
      <c r="T4160" t="e">
        <f>INDEX(Stammdaten[Krümmung (mm/lfm)],MATCH(Tabelle10[[#This Row],[Rank]],Stammdaten[Rank Verteilung Krümmung],0))</f>
        <v>#N/A</v>
      </c>
      <c r="U4160" t="e">
        <f>VLOOKUP(Tabelle10[[#This Row],[Rank]],Stammdaten[[Rank Verteilung Krümmung]:[Verteilung Krümmung]],2,FALSE)</f>
        <v>#N/A</v>
      </c>
      <c r="Z4160">
        <v>4151</v>
      </c>
      <c r="AA4160" t="e">
        <f>INDEX(Stammdaten[Ovalität (']0,1'])],MATCH(Tabelle1014[[#This Row],[Rank]],Stammdaten[Rank Verteilung Ovalität],0))</f>
        <v>#N/A</v>
      </c>
      <c r="AB4160" t="e">
        <f>VLOOKUP(Tabelle1014[[#This Row],[Rank]],Stammdaten[[Rank Verteilung Ovalität]:[Verteilung Ovalität]],2,FALSE)</f>
        <v>#N/A</v>
      </c>
    </row>
    <row r="4161" spans="5:28" x14ac:dyDescent="0.35">
      <c r="E4161">
        <v>4152</v>
      </c>
      <c r="F4161" t="e">
        <f>INDEX(Stammdaten[D Mitte mit Rinde (mm)],MATCH(Tabelle8[[#This Row],[Rank]],Stammdaten[Rank Verteilung D Mitte mit Rinde],0))</f>
        <v>#N/A</v>
      </c>
      <c r="G4161" t="e">
        <f>VLOOKUP(Tabelle8[[#This Row],[Rank]],Stammdaten[[Rank Verteilung D Mitte mit Rinde]:[Verteilung D Mitte mit Rinde]],2,FALSE)</f>
        <v>#N/A</v>
      </c>
      <c r="L4161">
        <v>4152</v>
      </c>
      <c r="M4161" t="e">
        <f>INDEX(Stammdaten[Abholzigkeit (mm/lfm)],MATCH(Tabelle9[[#This Row],[Rank]],Stammdaten[Rank Verteilung Abholzigkeit],0))</f>
        <v>#N/A</v>
      </c>
      <c r="N4161" t="e">
        <f>VLOOKUP(Tabelle9[[#This Row],[Rank]],Stammdaten[[Rank Verteilung Abholzigkeit]:[Verteilung Abholzigkeit]],2,FALSE)</f>
        <v>#N/A</v>
      </c>
      <c r="S4161">
        <v>4152</v>
      </c>
      <c r="T4161" t="e">
        <f>INDEX(Stammdaten[Krümmung (mm/lfm)],MATCH(Tabelle10[[#This Row],[Rank]],Stammdaten[Rank Verteilung Krümmung],0))</f>
        <v>#N/A</v>
      </c>
      <c r="U4161" t="e">
        <f>VLOOKUP(Tabelle10[[#This Row],[Rank]],Stammdaten[[Rank Verteilung Krümmung]:[Verteilung Krümmung]],2,FALSE)</f>
        <v>#N/A</v>
      </c>
      <c r="Z4161">
        <v>4152</v>
      </c>
      <c r="AA4161" t="e">
        <f>INDEX(Stammdaten[Ovalität (']0,1'])],MATCH(Tabelle1014[[#This Row],[Rank]],Stammdaten[Rank Verteilung Ovalität],0))</f>
        <v>#N/A</v>
      </c>
      <c r="AB4161" t="e">
        <f>VLOOKUP(Tabelle1014[[#This Row],[Rank]],Stammdaten[[Rank Verteilung Ovalität]:[Verteilung Ovalität]],2,FALSE)</f>
        <v>#N/A</v>
      </c>
    </row>
    <row r="4162" spans="5:28" x14ac:dyDescent="0.35">
      <c r="E4162">
        <v>4153</v>
      </c>
      <c r="F4162" t="e">
        <f>INDEX(Stammdaten[D Mitte mit Rinde (mm)],MATCH(Tabelle8[[#This Row],[Rank]],Stammdaten[Rank Verteilung D Mitte mit Rinde],0))</f>
        <v>#N/A</v>
      </c>
      <c r="G4162" t="e">
        <f>VLOOKUP(Tabelle8[[#This Row],[Rank]],Stammdaten[[Rank Verteilung D Mitte mit Rinde]:[Verteilung D Mitte mit Rinde]],2,FALSE)</f>
        <v>#N/A</v>
      </c>
      <c r="L4162">
        <v>4153</v>
      </c>
      <c r="M4162" t="e">
        <f>INDEX(Stammdaten[Abholzigkeit (mm/lfm)],MATCH(Tabelle9[[#This Row],[Rank]],Stammdaten[Rank Verteilung Abholzigkeit],0))</f>
        <v>#N/A</v>
      </c>
      <c r="N4162" t="e">
        <f>VLOOKUP(Tabelle9[[#This Row],[Rank]],Stammdaten[[Rank Verteilung Abholzigkeit]:[Verteilung Abholzigkeit]],2,FALSE)</f>
        <v>#N/A</v>
      </c>
      <c r="S4162">
        <v>4153</v>
      </c>
      <c r="T4162" t="e">
        <f>INDEX(Stammdaten[Krümmung (mm/lfm)],MATCH(Tabelle10[[#This Row],[Rank]],Stammdaten[Rank Verteilung Krümmung],0))</f>
        <v>#N/A</v>
      </c>
      <c r="U4162" t="e">
        <f>VLOOKUP(Tabelle10[[#This Row],[Rank]],Stammdaten[[Rank Verteilung Krümmung]:[Verteilung Krümmung]],2,FALSE)</f>
        <v>#N/A</v>
      </c>
      <c r="Z4162">
        <v>4153</v>
      </c>
      <c r="AA4162" t="e">
        <f>INDEX(Stammdaten[Ovalität (']0,1'])],MATCH(Tabelle1014[[#This Row],[Rank]],Stammdaten[Rank Verteilung Ovalität],0))</f>
        <v>#N/A</v>
      </c>
      <c r="AB4162" t="e">
        <f>VLOOKUP(Tabelle1014[[#This Row],[Rank]],Stammdaten[[Rank Verteilung Ovalität]:[Verteilung Ovalität]],2,FALSE)</f>
        <v>#N/A</v>
      </c>
    </row>
    <row r="4163" spans="5:28" x14ac:dyDescent="0.35">
      <c r="E4163">
        <v>4154</v>
      </c>
      <c r="F4163" t="e">
        <f>INDEX(Stammdaten[D Mitte mit Rinde (mm)],MATCH(Tabelle8[[#This Row],[Rank]],Stammdaten[Rank Verteilung D Mitte mit Rinde],0))</f>
        <v>#N/A</v>
      </c>
      <c r="G4163" t="e">
        <f>VLOOKUP(Tabelle8[[#This Row],[Rank]],Stammdaten[[Rank Verteilung D Mitte mit Rinde]:[Verteilung D Mitte mit Rinde]],2,FALSE)</f>
        <v>#N/A</v>
      </c>
      <c r="L4163">
        <v>4154</v>
      </c>
      <c r="M4163" t="e">
        <f>INDEX(Stammdaten[Abholzigkeit (mm/lfm)],MATCH(Tabelle9[[#This Row],[Rank]],Stammdaten[Rank Verteilung Abholzigkeit],0))</f>
        <v>#N/A</v>
      </c>
      <c r="N4163" t="e">
        <f>VLOOKUP(Tabelle9[[#This Row],[Rank]],Stammdaten[[Rank Verteilung Abholzigkeit]:[Verteilung Abholzigkeit]],2,FALSE)</f>
        <v>#N/A</v>
      </c>
      <c r="S4163">
        <v>4154</v>
      </c>
      <c r="T4163" t="e">
        <f>INDEX(Stammdaten[Krümmung (mm/lfm)],MATCH(Tabelle10[[#This Row],[Rank]],Stammdaten[Rank Verteilung Krümmung],0))</f>
        <v>#N/A</v>
      </c>
      <c r="U4163" t="e">
        <f>VLOOKUP(Tabelle10[[#This Row],[Rank]],Stammdaten[[Rank Verteilung Krümmung]:[Verteilung Krümmung]],2,FALSE)</f>
        <v>#N/A</v>
      </c>
      <c r="Z4163">
        <v>4154</v>
      </c>
      <c r="AA4163" t="e">
        <f>INDEX(Stammdaten[Ovalität (']0,1'])],MATCH(Tabelle1014[[#This Row],[Rank]],Stammdaten[Rank Verteilung Ovalität],0))</f>
        <v>#N/A</v>
      </c>
      <c r="AB4163" t="e">
        <f>VLOOKUP(Tabelle1014[[#This Row],[Rank]],Stammdaten[[Rank Verteilung Ovalität]:[Verteilung Ovalität]],2,FALSE)</f>
        <v>#N/A</v>
      </c>
    </row>
    <row r="4164" spans="5:28" x14ac:dyDescent="0.35">
      <c r="E4164">
        <v>4155</v>
      </c>
      <c r="F4164" t="e">
        <f>INDEX(Stammdaten[D Mitte mit Rinde (mm)],MATCH(Tabelle8[[#This Row],[Rank]],Stammdaten[Rank Verteilung D Mitte mit Rinde],0))</f>
        <v>#N/A</v>
      </c>
      <c r="G4164" t="e">
        <f>VLOOKUP(Tabelle8[[#This Row],[Rank]],Stammdaten[[Rank Verteilung D Mitte mit Rinde]:[Verteilung D Mitte mit Rinde]],2,FALSE)</f>
        <v>#N/A</v>
      </c>
      <c r="L4164">
        <v>4155</v>
      </c>
      <c r="M4164" t="e">
        <f>INDEX(Stammdaten[Abholzigkeit (mm/lfm)],MATCH(Tabelle9[[#This Row],[Rank]],Stammdaten[Rank Verteilung Abholzigkeit],0))</f>
        <v>#N/A</v>
      </c>
      <c r="N4164" t="e">
        <f>VLOOKUP(Tabelle9[[#This Row],[Rank]],Stammdaten[[Rank Verteilung Abholzigkeit]:[Verteilung Abholzigkeit]],2,FALSE)</f>
        <v>#N/A</v>
      </c>
      <c r="S4164">
        <v>4155</v>
      </c>
      <c r="T4164" t="e">
        <f>INDEX(Stammdaten[Krümmung (mm/lfm)],MATCH(Tabelle10[[#This Row],[Rank]],Stammdaten[Rank Verteilung Krümmung],0))</f>
        <v>#N/A</v>
      </c>
      <c r="U4164" t="e">
        <f>VLOOKUP(Tabelle10[[#This Row],[Rank]],Stammdaten[[Rank Verteilung Krümmung]:[Verteilung Krümmung]],2,FALSE)</f>
        <v>#N/A</v>
      </c>
      <c r="Z4164">
        <v>4155</v>
      </c>
      <c r="AA4164" t="e">
        <f>INDEX(Stammdaten[Ovalität (']0,1'])],MATCH(Tabelle1014[[#This Row],[Rank]],Stammdaten[Rank Verteilung Ovalität],0))</f>
        <v>#N/A</v>
      </c>
      <c r="AB4164" t="e">
        <f>VLOOKUP(Tabelle1014[[#This Row],[Rank]],Stammdaten[[Rank Verteilung Ovalität]:[Verteilung Ovalität]],2,FALSE)</f>
        <v>#N/A</v>
      </c>
    </row>
    <row r="4165" spans="5:28" x14ac:dyDescent="0.35">
      <c r="E4165">
        <v>4156</v>
      </c>
      <c r="F4165" t="e">
        <f>INDEX(Stammdaten[D Mitte mit Rinde (mm)],MATCH(Tabelle8[[#This Row],[Rank]],Stammdaten[Rank Verteilung D Mitte mit Rinde],0))</f>
        <v>#N/A</v>
      </c>
      <c r="G4165" t="e">
        <f>VLOOKUP(Tabelle8[[#This Row],[Rank]],Stammdaten[[Rank Verteilung D Mitte mit Rinde]:[Verteilung D Mitte mit Rinde]],2,FALSE)</f>
        <v>#N/A</v>
      </c>
      <c r="L4165">
        <v>4156</v>
      </c>
      <c r="M4165" t="e">
        <f>INDEX(Stammdaten[Abholzigkeit (mm/lfm)],MATCH(Tabelle9[[#This Row],[Rank]],Stammdaten[Rank Verteilung Abholzigkeit],0))</f>
        <v>#N/A</v>
      </c>
      <c r="N4165" t="e">
        <f>VLOOKUP(Tabelle9[[#This Row],[Rank]],Stammdaten[[Rank Verteilung Abholzigkeit]:[Verteilung Abholzigkeit]],2,FALSE)</f>
        <v>#N/A</v>
      </c>
      <c r="S4165">
        <v>4156</v>
      </c>
      <c r="T4165" t="e">
        <f>INDEX(Stammdaten[Krümmung (mm/lfm)],MATCH(Tabelle10[[#This Row],[Rank]],Stammdaten[Rank Verteilung Krümmung],0))</f>
        <v>#N/A</v>
      </c>
      <c r="U4165" t="e">
        <f>VLOOKUP(Tabelle10[[#This Row],[Rank]],Stammdaten[[Rank Verteilung Krümmung]:[Verteilung Krümmung]],2,FALSE)</f>
        <v>#N/A</v>
      </c>
      <c r="Z4165">
        <v>4156</v>
      </c>
      <c r="AA4165" t="e">
        <f>INDEX(Stammdaten[Ovalität (']0,1'])],MATCH(Tabelle1014[[#This Row],[Rank]],Stammdaten[Rank Verteilung Ovalität],0))</f>
        <v>#N/A</v>
      </c>
      <c r="AB4165" t="e">
        <f>VLOOKUP(Tabelle1014[[#This Row],[Rank]],Stammdaten[[Rank Verteilung Ovalität]:[Verteilung Ovalität]],2,FALSE)</f>
        <v>#N/A</v>
      </c>
    </row>
    <row r="4166" spans="5:28" x14ac:dyDescent="0.35">
      <c r="E4166">
        <v>4157</v>
      </c>
      <c r="F4166" t="e">
        <f>INDEX(Stammdaten[D Mitte mit Rinde (mm)],MATCH(Tabelle8[[#This Row],[Rank]],Stammdaten[Rank Verteilung D Mitte mit Rinde],0))</f>
        <v>#N/A</v>
      </c>
      <c r="G4166" t="e">
        <f>VLOOKUP(Tabelle8[[#This Row],[Rank]],Stammdaten[[Rank Verteilung D Mitte mit Rinde]:[Verteilung D Mitte mit Rinde]],2,FALSE)</f>
        <v>#N/A</v>
      </c>
      <c r="L4166">
        <v>4157</v>
      </c>
      <c r="M4166" t="e">
        <f>INDEX(Stammdaten[Abholzigkeit (mm/lfm)],MATCH(Tabelle9[[#This Row],[Rank]],Stammdaten[Rank Verteilung Abholzigkeit],0))</f>
        <v>#N/A</v>
      </c>
      <c r="N4166" t="e">
        <f>VLOOKUP(Tabelle9[[#This Row],[Rank]],Stammdaten[[Rank Verteilung Abholzigkeit]:[Verteilung Abholzigkeit]],2,FALSE)</f>
        <v>#N/A</v>
      </c>
      <c r="S4166">
        <v>4157</v>
      </c>
      <c r="T4166" t="e">
        <f>INDEX(Stammdaten[Krümmung (mm/lfm)],MATCH(Tabelle10[[#This Row],[Rank]],Stammdaten[Rank Verteilung Krümmung],0))</f>
        <v>#N/A</v>
      </c>
      <c r="U4166" t="e">
        <f>VLOOKUP(Tabelle10[[#This Row],[Rank]],Stammdaten[[Rank Verteilung Krümmung]:[Verteilung Krümmung]],2,FALSE)</f>
        <v>#N/A</v>
      </c>
      <c r="Z4166">
        <v>4157</v>
      </c>
      <c r="AA4166" t="e">
        <f>INDEX(Stammdaten[Ovalität (']0,1'])],MATCH(Tabelle1014[[#This Row],[Rank]],Stammdaten[Rank Verteilung Ovalität],0))</f>
        <v>#N/A</v>
      </c>
      <c r="AB4166" t="e">
        <f>VLOOKUP(Tabelle1014[[#This Row],[Rank]],Stammdaten[[Rank Verteilung Ovalität]:[Verteilung Ovalität]],2,FALSE)</f>
        <v>#N/A</v>
      </c>
    </row>
    <row r="4167" spans="5:28" x14ac:dyDescent="0.35">
      <c r="E4167">
        <v>4158</v>
      </c>
      <c r="F4167" t="e">
        <f>INDEX(Stammdaten[D Mitte mit Rinde (mm)],MATCH(Tabelle8[[#This Row],[Rank]],Stammdaten[Rank Verteilung D Mitte mit Rinde],0))</f>
        <v>#N/A</v>
      </c>
      <c r="G4167" t="e">
        <f>VLOOKUP(Tabelle8[[#This Row],[Rank]],Stammdaten[[Rank Verteilung D Mitte mit Rinde]:[Verteilung D Mitte mit Rinde]],2,FALSE)</f>
        <v>#N/A</v>
      </c>
      <c r="L4167">
        <v>4158</v>
      </c>
      <c r="M4167" t="e">
        <f>INDEX(Stammdaten[Abholzigkeit (mm/lfm)],MATCH(Tabelle9[[#This Row],[Rank]],Stammdaten[Rank Verteilung Abholzigkeit],0))</f>
        <v>#N/A</v>
      </c>
      <c r="N4167" t="e">
        <f>VLOOKUP(Tabelle9[[#This Row],[Rank]],Stammdaten[[Rank Verteilung Abholzigkeit]:[Verteilung Abholzigkeit]],2,FALSE)</f>
        <v>#N/A</v>
      </c>
      <c r="S4167">
        <v>4158</v>
      </c>
      <c r="T4167" t="e">
        <f>INDEX(Stammdaten[Krümmung (mm/lfm)],MATCH(Tabelle10[[#This Row],[Rank]],Stammdaten[Rank Verteilung Krümmung],0))</f>
        <v>#N/A</v>
      </c>
      <c r="U4167" t="e">
        <f>VLOOKUP(Tabelle10[[#This Row],[Rank]],Stammdaten[[Rank Verteilung Krümmung]:[Verteilung Krümmung]],2,FALSE)</f>
        <v>#N/A</v>
      </c>
      <c r="Z4167">
        <v>4158</v>
      </c>
      <c r="AA4167" t="e">
        <f>INDEX(Stammdaten[Ovalität (']0,1'])],MATCH(Tabelle1014[[#This Row],[Rank]],Stammdaten[Rank Verteilung Ovalität],0))</f>
        <v>#N/A</v>
      </c>
      <c r="AB4167" t="e">
        <f>VLOOKUP(Tabelle1014[[#This Row],[Rank]],Stammdaten[[Rank Verteilung Ovalität]:[Verteilung Ovalität]],2,FALSE)</f>
        <v>#N/A</v>
      </c>
    </row>
    <row r="4168" spans="5:28" x14ac:dyDescent="0.35">
      <c r="E4168">
        <v>4159</v>
      </c>
      <c r="F4168" t="e">
        <f>INDEX(Stammdaten[D Mitte mit Rinde (mm)],MATCH(Tabelle8[[#This Row],[Rank]],Stammdaten[Rank Verteilung D Mitte mit Rinde],0))</f>
        <v>#N/A</v>
      </c>
      <c r="G4168" t="e">
        <f>VLOOKUP(Tabelle8[[#This Row],[Rank]],Stammdaten[[Rank Verteilung D Mitte mit Rinde]:[Verteilung D Mitte mit Rinde]],2,FALSE)</f>
        <v>#N/A</v>
      </c>
      <c r="L4168">
        <v>4159</v>
      </c>
      <c r="M4168" t="e">
        <f>INDEX(Stammdaten[Abholzigkeit (mm/lfm)],MATCH(Tabelle9[[#This Row],[Rank]],Stammdaten[Rank Verteilung Abholzigkeit],0))</f>
        <v>#N/A</v>
      </c>
      <c r="N4168" t="e">
        <f>VLOOKUP(Tabelle9[[#This Row],[Rank]],Stammdaten[[Rank Verteilung Abholzigkeit]:[Verteilung Abholzigkeit]],2,FALSE)</f>
        <v>#N/A</v>
      </c>
      <c r="S4168">
        <v>4159</v>
      </c>
      <c r="T4168" t="e">
        <f>INDEX(Stammdaten[Krümmung (mm/lfm)],MATCH(Tabelle10[[#This Row],[Rank]],Stammdaten[Rank Verteilung Krümmung],0))</f>
        <v>#N/A</v>
      </c>
      <c r="U4168" t="e">
        <f>VLOOKUP(Tabelle10[[#This Row],[Rank]],Stammdaten[[Rank Verteilung Krümmung]:[Verteilung Krümmung]],2,FALSE)</f>
        <v>#N/A</v>
      </c>
      <c r="Z4168">
        <v>4159</v>
      </c>
      <c r="AA4168" t="e">
        <f>INDEX(Stammdaten[Ovalität (']0,1'])],MATCH(Tabelle1014[[#This Row],[Rank]],Stammdaten[Rank Verteilung Ovalität],0))</f>
        <v>#N/A</v>
      </c>
      <c r="AB4168" t="e">
        <f>VLOOKUP(Tabelle1014[[#This Row],[Rank]],Stammdaten[[Rank Verteilung Ovalität]:[Verteilung Ovalität]],2,FALSE)</f>
        <v>#N/A</v>
      </c>
    </row>
    <row r="4169" spans="5:28" x14ac:dyDescent="0.35">
      <c r="E4169">
        <v>4160</v>
      </c>
      <c r="F4169" t="e">
        <f>INDEX(Stammdaten[D Mitte mit Rinde (mm)],MATCH(Tabelle8[[#This Row],[Rank]],Stammdaten[Rank Verteilung D Mitte mit Rinde],0))</f>
        <v>#N/A</v>
      </c>
      <c r="G4169" t="e">
        <f>VLOOKUP(Tabelle8[[#This Row],[Rank]],Stammdaten[[Rank Verteilung D Mitte mit Rinde]:[Verteilung D Mitte mit Rinde]],2,FALSE)</f>
        <v>#N/A</v>
      </c>
      <c r="L4169">
        <v>4160</v>
      </c>
      <c r="M4169" t="e">
        <f>INDEX(Stammdaten[Abholzigkeit (mm/lfm)],MATCH(Tabelle9[[#This Row],[Rank]],Stammdaten[Rank Verteilung Abholzigkeit],0))</f>
        <v>#N/A</v>
      </c>
      <c r="N4169" t="e">
        <f>VLOOKUP(Tabelle9[[#This Row],[Rank]],Stammdaten[[Rank Verteilung Abholzigkeit]:[Verteilung Abholzigkeit]],2,FALSE)</f>
        <v>#N/A</v>
      </c>
      <c r="S4169">
        <v>4160</v>
      </c>
      <c r="T4169" t="e">
        <f>INDEX(Stammdaten[Krümmung (mm/lfm)],MATCH(Tabelle10[[#This Row],[Rank]],Stammdaten[Rank Verteilung Krümmung],0))</f>
        <v>#N/A</v>
      </c>
      <c r="U4169" t="e">
        <f>VLOOKUP(Tabelle10[[#This Row],[Rank]],Stammdaten[[Rank Verteilung Krümmung]:[Verteilung Krümmung]],2,FALSE)</f>
        <v>#N/A</v>
      </c>
      <c r="Z4169">
        <v>4160</v>
      </c>
      <c r="AA4169" t="e">
        <f>INDEX(Stammdaten[Ovalität (']0,1'])],MATCH(Tabelle1014[[#This Row],[Rank]],Stammdaten[Rank Verteilung Ovalität],0))</f>
        <v>#N/A</v>
      </c>
      <c r="AB4169" t="e">
        <f>VLOOKUP(Tabelle1014[[#This Row],[Rank]],Stammdaten[[Rank Verteilung Ovalität]:[Verteilung Ovalität]],2,FALSE)</f>
        <v>#N/A</v>
      </c>
    </row>
    <row r="4170" spans="5:28" x14ac:dyDescent="0.35">
      <c r="E4170">
        <v>4161</v>
      </c>
      <c r="F4170" t="e">
        <f>INDEX(Stammdaten[D Mitte mit Rinde (mm)],MATCH(Tabelle8[[#This Row],[Rank]],Stammdaten[Rank Verteilung D Mitte mit Rinde],0))</f>
        <v>#N/A</v>
      </c>
      <c r="G4170" t="e">
        <f>VLOOKUP(Tabelle8[[#This Row],[Rank]],Stammdaten[[Rank Verteilung D Mitte mit Rinde]:[Verteilung D Mitte mit Rinde]],2,FALSE)</f>
        <v>#N/A</v>
      </c>
      <c r="L4170">
        <v>4161</v>
      </c>
      <c r="M4170" t="e">
        <f>INDEX(Stammdaten[Abholzigkeit (mm/lfm)],MATCH(Tabelle9[[#This Row],[Rank]],Stammdaten[Rank Verteilung Abholzigkeit],0))</f>
        <v>#N/A</v>
      </c>
      <c r="N4170" t="e">
        <f>VLOOKUP(Tabelle9[[#This Row],[Rank]],Stammdaten[[Rank Verteilung Abholzigkeit]:[Verteilung Abholzigkeit]],2,FALSE)</f>
        <v>#N/A</v>
      </c>
      <c r="S4170">
        <v>4161</v>
      </c>
      <c r="T4170" t="e">
        <f>INDEX(Stammdaten[Krümmung (mm/lfm)],MATCH(Tabelle10[[#This Row],[Rank]],Stammdaten[Rank Verteilung Krümmung],0))</f>
        <v>#N/A</v>
      </c>
      <c r="U4170" t="e">
        <f>VLOOKUP(Tabelle10[[#This Row],[Rank]],Stammdaten[[Rank Verteilung Krümmung]:[Verteilung Krümmung]],2,FALSE)</f>
        <v>#N/A</v>
      </c>
      <c r="Z4170">
        <v>4161</v>
      </c>
      <c r="AA4170" t="e">
        <f>INDEX(Stammdaten[Ovalität (']0,1'])],MATCH(Tabelle1014[[#This Row],[Rank]],Stammdaten[Rank Verteilung Ovalität],0))</f>
        <v>#N/A</v>
      </c>
      <c r="AB4170" t="e">
        <f>VLOOKUP(Tabelle1014[[#This Row],[Rank]],Stammdaten[[Rank Verteilung Ovalität]:[Verteilung Ovalität]],2,FALSE)</f>
        <v>#N/A</v>
      </c>
    </row>
    <row r="4171" spans="5:28" x14ac:dyDescent="0.35">
      <c r="E4171">
        <v>4162</v>
      </c>
      <c r="F4171" t="e">
        <f>INDEX(Stammdaten[D Mitte mit Rinde (mm)],MATCH(Tabelle8[[#This Row],[Rank]],Stammdaten[Rank Verteilung D Mitte mit Rinde],0))</f>
        <v>#N/A</v>
      </c>
      <c r="G4171" t="e">
        <f>VLOOKUP(Tabelle8[[#This Row],[Rank]],Stammdaten[[Rank Verteilung D Mitte mit Rinde]:[Verteilung D Mitte mit Rinde]],2,FALSE)</f>
        <v>#N/A</v>
      </c>
      <c r="L4171">
        <v>4162</v>
      </c>
      <c r="M4171" t="e">
        <f>INDEX(Stammdaten[Abholzigkeit (mm/lfm)],MATCH(Tabelle9[[#This Row],[Rank]],Stammdaten[Rank Verteilung Abholzigkeit],0))</f>
        <v>#N/A</v>
      </c>
      <c r="N4171" t="e">
        <f>VLOOKUP(Tabelle9[[#This Row],[Rank]],Stammdaten[[Rank Verteilung Abholzigkeit]:[Verteilung Abholzigkeit]],2,FALSE)</f>
        <v>#N/A</v>
      </c>
      <c r="S4171">
        <v>4162</v>
      </c>
      <c r="T4171" t="e">
        <f>INDEX(Stammdaten[Krümmung (mm/lfm)],MATCH(Tabelle10[[#This Row],[Rank]],Stammdaten[Rank Verteilung Krümmung],0))</f>
        <v>#N/A</v>
      </c>
      <c r="U4171" t="e">
        <f>VLOOKUP(Tabelle10[[#This Row],[Rank]],Stammdaten[[Rank Verteilung Krümmung]:[Verteilung Krümmung]],2,FALSE)</f>
        <v>#N/A</v>
      </c>
      <c r="Z4171">
        <v>4162</v>
      </c>
      <c r="AA4171" t="e">
        <f>INDEX(Stammdaten[Ovalität (']0,1'])],MATCH(Tabelle1014[[#This Row],[Rank]],Stammdaten[Rank Verteilung Ovalität],0))</f>
        <v>#N/A</v>
      </c>
      <c r="AB4171" t="e">
        <f>VLOOKUP(Tabelle1014[[#This Row],[Rank]],Stammdaten[[Rank Verteilung Ovalität]:[Verteilung Ovalität]],2,FALSE)</f>
        <v>#N/A</v>
      </c>
    </row>
    <row r="4172" spans="5:28" x14ac:dyDescent="0.35">
      <c r="E4172">
        <v>4163</v>
      </c>
      <c r="F4172" t="e">
        <f>INDEX(Stammdaten[D Mitte mit Rinde (mm)],MATCH(Tabelle8[[#This Row],[Rank]],Stammdaten[Rank Verteilung D Mitte mit Rinde],0))</f>
        <v>#N/A</v>
      </c>
      <c r="G4172" t="e">
        <f>VLOOKUP(Tabelle8[[#This Row],[Rank]],Stammdaten[[Rank Verteilung D Mitte mit Rinde]:[Verteilung D Mitte mit Rinde]],2,FALSE)</f>
        <v>#N/A</v>
      </c>
      <c r="L4172">
        <v>4163</v>
      </c>
      <c r="M4172" t="e">
        <f>INDEX(Stammdaten[Abholzigkeit (mm/lfm)],MATCH(Tabelle9[[#This Row],[Rank]],Stammdaten[Rank Verteilung Abholzigkeit],0))</f>
        <v>#N/A</v>
      </c>
      <c r="N4172" t="e">
        <f>VLOOKUP(Tabelle9[[#This Row],[Rank]],Stammdaten[[Rank Verteilung Abholzigkeit]:[Verteilung Abholzigkeit]],2,FALSE)</f>
        <v>#N/A</v>
      </c>
      <c r="S4172">
        <v>4163</v>
      </c>
      <c r="T4172" t="e">
        <f>INDEX(Stammdaten[Krümmung (mm/lfm)],MATCH(Tabelle10[[#This Row],[Rank]],Stammdaten[Rank Verteilung Krümmung],0))</f>
        <v>#N/A</v>
      </c>
      <c r="U4172" t="e">
        <f>VLOOKUP(Tabelle10[[#This Row],[Rank]],Stammdaten[[Rank Verteilung Krümmung]:[Verteilung Krümmung]],2,FALSE)</f>
        <v>#N/A</v>
      </c>
      <c r="Z4172">
        <v>4163</v>
      </c>
      <c r="AA4172" t="e">
        <f>INDEX(Stammdaten[Ovalität (']0,1'])],MATCH(Tabelle1014[[#This Row],[Rank]],Stammdaten[Rank Verteilung Ovalität],0))</f>
        <v>#N/A</v>
      </c>
      <c r="AB4172" t="e">
        <f>VLOOKUP(Tabelle1014[[#This Row],[Rank]],Stammdaten[[Rank Verteilung Ovalität]:[Verteilung Ovalität]],2,FALSE)</f>
        <v>#N/A</v>
      </c>
    </row>
    <row r="4173" spans="5:28" x14ac:dyDescent="0.35">
      <c r="E4173">
        <v>4164</v>
      </c>
      <c r="F4173" t="e">
        <f>INDEX(Stammdaten[D Mitte mit Rinde (mm)],MATCH(Tabelle8[[#This Row],[Rank]],Stammdaten[Rank Verteilung D Mitte mit Rinde],0))</f>
        <v>#N/A</v>
      </c>
      <c r="G4173" t="e">
        <f>VLOOKUP(Tabelle8[[#This Row],[Rank]],Stammdaten[[Rank Verteilung D Mitte mit Rinde]:[Verteilung D Mitte mit Rinde]],2,FALSE)</f>
        <v>#N/A</v>
      </c>
      <c r="L4173">
        <v>4164</v>
      </c>
      <c r="M4173" t="e">
        <f>INDEX(Stammdaten[Abholzigkeit (mm/lfm)],MATCH(Tabelle9[[#This Row],[Rank]],Stammdaten[Rank Verteilung Abholzigkeit],0))</f>
        <v>#N/A</v>
      </c>
      <c r="N4173" t="e">
        <f>VLOOKUP(Tabelle9[[#This Row],[Rank]],Stammdaten[[Rank Verteilung Abholzigkeit]:[Verteilung Abholzigkeit]],2,FALSE)</f>
        <v>#N/A</v>
      </c>
      <c r="S4173">
        <v>4164</v>
      </c>
      <c r="T4173" t="e">
        <f>INDEX(Stammdaten[Krümmung (mm/lfm)],MATCH(Tabelle10[[#This Row],[Rank]],Stammdaten[Rank Verteilung Krümmung],0))</f>
        <v>#N/A</v>
      </c>
      <c r="U4173" t="e">
        <f>VLOOKUP(Tabelle10[[#This Row],[Rank]],Stammdaten[[Rank Verteilung Krümmung]:[Verteilung Krümmung]],2,FALSE)</f>
        <v>#N/A</v>
      </c>
      <c r="Z4173">
        <v>4164</v>
      </c>
      <c r="AA4173" t="e">
        <f>INDEX(Stammdaten[Ovalität (']0,1'])],MATCH(Tabelle1014[[#This Row],[Rank]],Stammdaten[Rank Verteilung Ovalität],0))</f>
        <v>#N/A</v>
      </c>
      <c r="AB4173" t="e">
        <f>VLOOKUP(Tabelle1014[[#This Row],[Rank]],Stammdaten[[Rank Verteilung Ovalität]:[Verteilung Ovalität]],2,FALSE)</f>
        <v>#N/A</v>
      </c>
    </row>
    <row r="4174" spans="5:28" x14ac:dyDescent="0.35">
      <c r="E4174">
        <v>4165</v>
      </c>
      <c r="F4174" t="e">
        <f>INDEX(Stammdaten[D Mitte mit Rinde (mm)],MATCH(Tabelle8[[#This Row],[Rank]],Stammdaten[Rank Verteilung D Mitte mit Rinde],0))</f>
        <v>#N/A</v>
      </c>
      <c r="G4174" t="e">
        <f>VLOOKUP(Tabelle8[[#This Row],[Rank]],Stammdaten[[Rank Verteilung D Mitte mit Rinde]:[Verteilung D Mitte mit Rinde]],2,FALSE)</f>
        <v>#N/A</v>
      </c>
      <c r="L4174">
        <v>4165</v>
      </c>
      <c r="M4174" t="e">
        <f>INDEX(Stammdaten[Abholzigkeit (mm/lfm)],MATCH(Tabelle9[[#This Row],[Rank]],Stammdaten[Rank Verteilung Abholzigkeit],0))</f>
        <v>#N/A</v>
      </c>
      <c r="N4174" t="e">
        <f>VLOOKUP(Tabelle9[[#This Row],[Rank]],Stammdaten[[Rank Verteilung Abholzigkeit]:[Verteilung Abholzigkeit]],2,FALSE)</f>
        <v>#N/A</v>
      </c>
      <c r="S4174">
        <v>4165</v>
      </c>
      <c r="T4174" t="e">
        <f>INDEX(Stammdaten[Krümmung (mm/lfm)],MATCH(Tabelle10[[#This Row],[Rank]],Stammdaten[Rank Verteilung Krümmung],0))</f>
        <v>#N/A</v>
      </c>
      <c r="U4174" t="e">
        <f>VLOOKUP(Tabelle10[[#This Row],[Rank]],Stammdaten[[Rank Verteilung Krümmung]:[Verteilung Krümmung]],2,FALSE)</f>
        <v>#N/A</v>
      </c>
      <c r="Z4174">
        <v>4165</v>
      </c>
      <c r="AA4174" t="e">
        <f>INDEX(Stammdaten[Ovalität (']0,1'])],MATCH(Tabelle1014[[#This Row],[Rank]],Stammdaten[Rank Verteilung Ovalität],0))</f>
        <v>#N/A</v>
      </c>
      <c r="AB4174" t="e">
        <f>VLOOKUP(Tabelle1014[[#This Row],[Rank]],Stammdaten[[Rank Verteilung Ovalität]:[Verteilung Ovalität]],2,FALSE)</f>
        <v>#N/A</v>
      </c>
    </row>
    <row r="4175" spans="5:28" x14ac:dyDescent="0.35">
      <c r="E4175">
        <v>4166</v>
      </c>
      <c r="F4175" t="e">
        <f>INDEX(Stammdaten[D Mitte mit Rinde (mm)],MATCH(Tabelle8[[#This Row],[Rank]],Stammdaten[Rank Verteilung D Mitte mit Rinde],0))</f>
        <v>#N/A</v>
      </c>
      <c r="G4175" t="e">
        <f>VLOOKUP(Tabelle8[[#This Row],[Rank]],Stammdaten[[Rank Verteilung D Mitte mit Rinde]:[Verteilung D Mitte mit Rinde]],2,FALSE)</f>
        <v>#N/A</v>
      </c>
      <c r="L4175">
        <v>4166</v>
      </c>
      <c r="M4175" t="e">
        <f>INDEX(Stammdaten[Abholzigkeit (mm/lfm)],MATCH(Tabelle9[[#This Row],[Rank]],Stammdaten[Rank Verteilung Abholzigkeit],0))</f>
        <v>#N/A</v>
      </c>
      <c r="N4175" t="e">
        <f>VLOOKUP(Tabelle9[[#This Row],[Rank]],Stammdaten[[Rank Verteilung Abholzigkeit]:[Verteilung Abholzigkeit]],2,FALSE)</f>
        <v>#N/A</v>
      </c>
      <c r="S4175">
        <v>4166</v>
      </c>
      <c r="T4175" t="e">
        <f>INDEX(Stammdaten[Krümmung (mm/lfm)],MATCH(Tabelle10[[#This Row],[Rank]],Stammdaten[Rank Verteilung Krümmung],0))</f>
        <v>#N/A</v>
      </c>
      <c r="U4175" t="e">
        <f>VLOOKUP(Tabelle10[[#This Row],[Rank]],Stammdaten[[Rank Verteilung Krümmung]:[Verteilung Krümmung]],2,FALSE)</f>
        <v>#N/A</v>
      </c>
      <c r="Z4175">
        <v>4166</v>
      </c>
      <c r="AA4175" t="e">
        <f>INDEX(Stammdaten[Ovalität (']0,1'])],MATCH(Tabelle1014[[#This Row],[Rank]],Stammdaten[Rank Verteilung Ovalität],0))</f>
        <v>#N/A</v>
      </c>
      <c r="AB4175" t="e">
        <f>VLOOKUP(Tabelle1014[[#This Row],[Rank]],Stammdaten[[Rank Verteilung Ovalität]:[Verteilung Ovalität]],2,FALSE)</f>
        <v>#N/A</v>
      </c>
    </row>
    <row r="4176" spans="5:28" x14ac:dyDescent="0.35">
      <c r="E4176">
        <v>4167</v>
      </c>
      <c r="F4176" t="e">
        <f>INDEX(Stammdaten[D Mitte mit Rinde (mm)],MATCH(Tabelle8[[#This Row],[Rank]],Stammdaten[Rank Verteilung D Mitte mit Rinde],0))</f>
        <v>#N/A</v>
      </c>
      <c r="G4176" t="e">
        <f>VLOOKUP(Tabelle8[[#This Row],[Rank]],Stammdaten[[Rank Verteilung D Mitte mit Rinde]:[Verteilung D Mitte mit Rinde]],2,FALSE)</f>
        <v>#N/A</v>
      </c>
      <c r="L4176">
        <v>4167</v>
      </c>
      <c r="M4176" t="e">
        <f>INDEX(Stammdaten[Abholzigkeit (mm/lfm)],MATCH(Tabelle9[[#This Row],[Rank]],Stammdaten[Rank Verteilung Abholzigkeit],0))</f>
        <v>#N/A</v>
      </c>
      <c r="N4176" t="e">
        <f>VLOOKUP(Tabelle9[[#This Row],[Rank]],Stammdaten[[Rank Verteilung Abholzigkeit]:[Verteilung Abholzigkeit]],2,FALSE)</f>
        <v>#N/A</v>
      </c>
      <c r="S4176">
        <v>4167</v>
      </c>
      <c r="T4176" t="e">
        <f>INDEX(Stammdaten[Krümmung (mm/lfm)],MATCH(Tabelle10[[#This Row],[Rank]],Stammdaten[Rank Verteilung Krümmung],0))</f>
        <v>#N/A</v>
      </c>
      <c r="U4176" t="e">
        <f>VLOOKUP(Tabelle10[[#This Row],[Rank]],Stammdaten[[Rank Verteilung Krümmung]:[Verteilung Krümmung]],2,FALSE)</f>
        <v>#N/A</v>
      </c>
      <c r="Z4176">
        <v>4167</v>
      </c>
      <c r="AA4176" t="e">
        <f>INDEX(Stammdaten[Ovalität (']0,1'])],MATCH(Tabelle1014[[#This Row],[Rank]],Stammdaten[Rank Verteilung Ovalität],0))</f>
        <v>#N/A</v>
      </c>
      <c r="AB4176" t="e">
        <f>VLOOKUP(Tabelle1014[[#This Row],[Rank]],Stammdaten[[Rank Verteilung Ovalität]:[Verteilung Ovalität]],2,FALSE)</f>
        <v>#N/A</v>
      </c>
    </row>
    <row r="4177" spans="5:28" x14ac:dyDescent="0.35">
      <c r="E4177">
        <v>4168</v>
      </c>
      <c r="F4177" t="e">
        <f>INDEX(Stammdaten[D Mitte mit Rinde (mm)],MATCH(Tabelle8[[#This Row],[Rank]],Stammdaten[Rank Verteilung D Mitte mit Rinde],0))</f>
        <v>#N/A</v>
      </c>
      <c r="G4177" t="e">
        <f>VLOOKUP(Tabelle8[[#This Row],[Rank]],Stammdaten[[Rank Verteilung D Mitte mit Rinde]:[Verteilung D Mitte mit Rinde]],2,FALSE)</f>
        <v>#N/A</v>
      </c>
      <c r="L4177">
        <v>4168</v>
      </c>
      <c r="M4177" t="e">
        <f>INDEX(Stammdaten[Abholzigkeit (mm/lfm)],MATCH(Tabelle9[[#This Row],[Rank]],Stammdaten[Rank Verteilung Abholzigkeit],0))</f>
        <v>#N/A</v>
      </c>
      <c r="N4177" t="e">
        <f>VLOOKUP(Tabelle9[[#This Row],[Rank]],Stammdaten[[Rank Verteilung Abholzigkeit]:[Verteilung Abholzigkeit]],2,FALSE)</f>
        <v>#N/A</v>
      </c>
      <c r="S4177">
        <v>4168</v>
      </c>
      <c r="T4177" t="e">
        <f>INDEX(Stammdaten[Krümmung (mm/lfm)],MATCH(Tabelle10[[#This Row],[Rank]],Stammdaten[Rank Verteilung Krümmung],0))</f>
        <v>#N/A</v>
      </c>
      <c r="U4177" t="e">
        <f>VLOOKUP(Tabelle10[[#This Row],[Rank]],Stammdaten[[Rank Verteilung Krümmung]:[Verteilung Krümmung]],2,FALSE)</f>
        <v>#N/A</v>
      </c>
      <c r="Z4177">
        <v>4168</v>
      </c>
      <c r="AA4177" t="e">
        <f>INDEX(Stammdaten[Ovalität (']0,1'])],MATCH(Tabelle1014[[#This Row],[Rank]],Stammdaten[Rank Verteilung Ovalität],0))</f>
        <v>#N/A</v>
      </c>
      <c r="AB4177" t="e">
        <f>VLOOKUP(Tabelle1014[[#This Row],[Rank]],Stammdaten[[Rank Verteilung Ovalität]:[Verteilung Ovalität]],2,FALSE)</f>
        <v>#N/A</v>
      </c>
    </row>
    <row r="4178" spans="5:28" x14ac:dyDescent="0.35">
      <c r="E4178">
        <v>4169</v>
      </c>
      <c r="F4178" t="e">
        <f>INDEX(Stammdaten[D Mitte mit Rinde (mm)],MATCH(Tabelle8[[#This Row],[Rank]],Stammdaten[Rank Verteilung D Mitte mit Rinde],0))</f>
        <v>#N/A</v>
      </c>
      <c r="G4178" t="e">
        <f>VLOOKUP(Tabelle8[[#This Row],[Rank]],Stammdaten[[Rank Verteilung D Mitte mit Rinde]:[Verteilung D Mitte mit Rinde]],2,FALSE)</f>
        <v>#N/A</v>
      </c>
      <c r="L4178">
        <v>4169</v>
      </c>
      <c r="M4178" t="e">
        <f>INDEX(Stammdaten[Abholzigkeit (mm/lfm)],MATCH(Tabelle9[[#This Row],[Rank]],Stammdaten[Rank Verteilung Abholzigkeit],0))</f>
        <v>#N/A</v>
      </c>
      <c r="N4178" t="e">
        <f>VLOOKUP(Tabelle9[[#This Row],[Rank]],Stammdaten[[Rank Verteilung Abholzigkeit]:[Verteilung Abholzigkeit]],2,FALSE)</f>
        <v>#N/A</v>
      </c>
      <c r="S4178">
        <v>4169</v>
      </c>
      <c r="T4178" t="e">
        <f>INDEX(Stammdaten[Krümmung (mm/lfm)],MATCH(Tabelle10[[#This Row],[Rank]],Stammdaten[Rank Verteilung Krümmung],0))</f>
        <v>#N/A</v>
      </c>
      <c r="U4178" t="e">
        <f>VLOOKUP(Tabelle10[[#This Row],[Rank]],Stammdaten[[Rank Verteilung Krümmung]:[Verteilung Krümmung]],2,FALSE)</f>
        <v>#N/A</v>
      </c>
      <c r="Z4178">
        <v>4169</v>
      </c>
      <c r="AA4178" t="e">
        <f>INDEX(Stammdaten[Ovalität (']0,1'])],MATCH(Tabelle1014[[#This Row],[Rank]],Stammdaten[Rank Verteilung Ovalität],0))</f>
        <v>#N/A</v>
      </c>
      <c r="AB4178" t="e">
        <f>VLOOKUP(Tabelle1014[[#This Row],[Rank]],Stammdaten[[Rank Verteilung Ovalität]:[Verteilung Ovalität]],2,FALSE)</f>
        <v>#N/A</v>
      </c>
    </row>
    <row r="4179" spans="5:28" x14ac:dyDescent="0.35">
      <c r="E4179">
        <v>4170</v>
      </c>
      <c r="F4179" t="e">
        <f>INDEX(Stammdaten[D Mitte mit Rinde (mm)],MATCH(Tabelle8[[#This Row],[Rank]],Stammdaten[Rank Verteilung D Mitte mit Rinde],0))</f>
        <v>#N/A</v>
      </c>
      <c r="G4179" t="e">
        <f>VLOOKUP(Tabelle8[[#This Row],[Rank]],Stammdaten[[Rank Verteilung D Mitte mit Rinde]:[Verteilung D Mitte mit Rinde]],2,FALSE)</f>
        <v>#N/A</v>
      </c>
      <c r="L4179">
        <v>4170</v>
      </c>
      <c r="M4179" t="e">
        <f>INDEX(Stammdaten[Abholzigkeit (mm/lfm)],MATCH(Tabelle9[[#This Row],[Rank]],Stammdaten[Rank Verteilung Abholzigkeit],0))</f>
        <v>#N/A</v>
      </c>
      <c r="N4179" t="e">
        <f>VLOOKUP(Tabelle9[[#This Row],[Rank]],Stammdaten[[Rank Verteilung Abholzigkeit]:[Verteilung Abholzigkeit]],2,FALSE)</f>
        <v>#N/A</v>
      </c>
      <c r="S4179">
        <v>4170</v>
      </c>
      <c r="T4179" t="e">
        <f>INDEX(Stammdaten[Krümmung (mm/lfm)],MATCH(Tabelle10[[#This Row],[Rank]],Stammdaten[Rank Verteilung Krümmung],0))</f>
        <v>#N/A</v>
      </c>
      <c r="U4179" t="e">
        <f>VLOOKUP(Tabelle10[[#This Row],[Rank]],Stammdaten[[Rank Verteilung Krümmung]:[Verteilung Krümmung]],2,FALSE)</f>
        <v>#N/A</v>
      </c>
      <c r="Z4179">
        <v>4170</v>
      </c>
      <c r="AA4179" t="e">
        <f>INDEX(Stammdaten[Ovalität (']0,1'])],MATCH(Tabelle1014[[#This Row],[Rank]],Stammdaten[Rank Verteilung Ovalität],0))</f>
        <v>#N/A</v>
      </c>
      <c r="AB4179" t="e">
        <f>VLOOKUP(Tabelle1014[[#This Row],[Rank]],Stammdaten[[Rank Verteilung Ovalität]:[Verteilung Ovalität]],2,FALSE)</f>
        <v>#N/A</v>
      </c>
    </row>
    <row r="4180" spans="5:28" x14ac:dyDescent="0.35">
      <c r="E4180">
        <v>4171</v>
      </c>
      <c r="F4180" t="e">
        <f>INDEX(Stammdaten[D Mitte mit Rinde (mm)],MATCH(Tabelle8[[#This Row],[Rank]],Stammdaten[Rank Verteilung D Mitte mit Rinde],0))</f>
        <v>#N/A</v>
      </c>
      <c r="G4180" t="e">
        <f>VLOOKUP(Tabelle8[[#This Row],[Rank]],Stammdaten[[Rank Verteilung D Mitte mit Rinde]:[Verteilung D Mitte mit Rinde]],2,FALSE)</f>
        <v>#N/A</v>
      </c>
      <c r="L4180">
        <v>4171</v>
      </c>
      <c r="M4180" t="e">
        <f>INDEX(Stammdaten[Abholzigkeit (mm/lfm)],MATCH(Tabelle9[[#This Row],[Rank]],Stammdaten[Rank Verteilung Abholzigkeit],0))</f>
        <v>#N/A</v>
      </c>
      <c r="N4180" t="e">
        <f>VLOOKUP(Tabelle9[[#This Row],[Rank]],Stammdaten[[Rank Verteilung Abholzigkeit]:[Verteilung Abholzigkeit]],2,FALSE)</f>
        <v>#N/A</v>
      </c>
      <c r="S4180">
        <v>4171</v>
      </c>
      <c r="T4180" t="e">
        <f>INDEX(Stammdaten[Krümmung (mm/lfm)],MATCH(Tabelle10[[#This Row],[Rank]],Stammdaten[Rank Verteilung Krümmung],0))</f>
        <v>#N/A</v>
      </c>
      <c r="U4180" t="e">
        <f>VLOOKUP(Tabelle10[[#This Row],[Rank]],Stammdaten[[Rank Verteilung Krümmung]:[Verteilung Krümmung]],2,FALSE)</f>
        <v>#N/A</v>
      </c>
      <c r="Z4180">
        <v>4171</v>
      </c>
      <c r="AA4180" t="e">
        <f>INDEX(Stammdaten[Ovalität (']0,1'])],MATCH(Tabelle1014[[#This Row],[Rank]],Stammdaten[Rank Verteilung Ovalität],0))</f>
        <v>#N/A</v>
      </c>
      <c r="AB4180" t="e">
        <f>VLOOKUP(Tabelle1014[[#This Row],[Rank]],Stammdaten[[Rank Verteilung Ovalität]:[Verteilung Ovalität]],2,FALSE)</f>
        <v>#N/A</v>
      </c>
    </row>
    <row r="4181" spans="5:28" x14ac:dyDescent="0.35">
      <c r="E4181">
        <v>4172</v>
      </c>
      <c r="F4181" t="e">
        <f>INDEX(Stammdaten[D Mitte mit Rinde (mm)],MATCH(Tabelle8[[#This Row],[Rank]],Stammdaten[Rank Verteilung D Mitte mit Rinde],0))</f>
        <v>#N/A</v>
      </c>
      <c r="G4181" t="e">
        <f>VLOOKUP(Tabelle8[[#This Row],[Rank]],Stammdaten[[Rank Verteilung D Mitte mit Rinde]:[Verteilung D Mitte mit Rinde]],2,FALSE)</f>
        <v>#N/A</v>
      </c>
      <c r="L4181">
        <v>4172</v>
      </c>
      <c r="M4181" t="e">
        <f>INDEX(Stammdaten[Abholzigkeit (mm/lfm)],MATCH(Tabelle9[[#This Row],[Rank]],Stammdaten[Rank Verteilung Abholzigkeit],0))</f>
        <v>#N/A</v>
      </c>
      <c r="N4181" t="e">
        <f>VLOOKUP(Tabelle9[[#This Row],[Rank]],Stammdaten[[Rank Verteilung Abholzigkeit]:[Verteilung Abholzigkeit]],2,FALSE)</f>
        <v>#N/A</v>
      </c>
      <c r="S4181">
        <v>4172</v>
      </c>
      <c r="T4181" t="e">
        <f>INDEX(Stammdaten[Krümmung (mm/lfm)],MATCH(Tabelle10[[#This Row],[Rank]],Stammdaten[Rank Verteilung Krümmung],0))</f>
        <v>#N/A</v>
      </c>
      <c r="U4181" t="e">
        <f>VLOOKUP(Tabelle10[[#This Row],[Rank]],Stammdaten[[Rank Verteilung Krümmung]:[Verteilung Krümmung]],2,FALSE)</f>
        <v>#N/A</v>
      </c>
      <c r="Z4181">
        <v>4172</v>
      </c>
      <c r="AA4181" t="e">
        <f>INDEX(Stammdaten[Ovalität (']0,1'])],MATCH(Tabelle1014[[#This Row],[Rank]],Stammdaten[Rank Verteilung Ovalität],0))</f>
        <v>#N/A</v>
      </c>
      <c r="AB4181" t="e">
        <f>VLOOKUP(Tabelle1014[[#This Row],[Rank]],Stammdaten[[Rank Verteilung Ovalität]:[Verteilung Ovalität]],2,FALSE)</f>
        <v>#N/A</v>
      </c>
    </row>
    <row r="4182" spans="5:28" x14ac:dyDescent="0.35">
      <c r="E4182">
        <v>4173</v>
      </c>
      <c r="F4182" t="e">
        <f>INDEX(Stammdaten[D Mitte mit Rinde (mm)],MATCH(Tabelle8[[#This Row],[Rank]],Stammdaten[Rank Verteilung D Mitte mit Rinde],0))</f>
        <v>#N/A</v>
      </c>
      <c r="G4182" t="e">
        <f>VLOOKUP(Tabelle8[[#This Row],[Rank]],Stammdaten[[Rank Verteilung D Mitte mit Rinde]:[Verteilung D Mitte mit Rinde]],2,FALSE)</f>
        <v>#N/A</v>
      </c>
      <c r="L4182">
        <v>4173</v>
      </c>
      <c r="M4182" t="e">
        <f>INDEX(Stammdaten[Abholzigkeit (mm/lfm)],MATCH(Tabelle9[[#This Row],[Rank]],Stammdaten[Rank Verteilung Abholzigkeit],0))</f>
        <v>#N/A</v>
      </c>
      <c r="N4182" t="e">
        <f>VLOOKUP(Tabelle9[[#This Row],[Rank]],Stammdaten[[Rank Verteilung Abholzigkeit]:[Verteilung Abholzigkeit]],2,FALSE)</f>
        <v>#N/A</v>
      </c>
      <c r="S4182">
        <v>4173</v>
      </c>
      <c r="T4182" t="e">
        <f>INDEX(Stammdaten[Krümmung (mm/lfm)],MATCH(Tabelle10[[#This Row],[Rank]],Stammdaten[Rank Verteilung Krümmung],0))</f>
        <v>#N/A</v>
      </c>
      <c r="U4182" t="e">
        <f>VLOOKUP(Tabelle10[[#This Row],[Rank]],Stammdaten[[Rank Verteilung Krümmung]:[Verteilung Krümmung]],2,FALSE)</f>
        <v>#N/A</v>
      </c>
      <c r="Z4182">
        <v>4173</v>
      </c>
      <c r="AA4182" t="e">
        <f>INDEX(Stammdaten[Ovalität (']0,1'])],MATCH(Tabelle1014[[#This Row],[Rank]],Stammdaten[Rank Verteilung Ovalität],0))</f>
        <v>#N/A</v>
      </c>
      <c r="AB4182" t="e">
        <f>VLOOKUP(Tabelle1014[[#This Row],[Rank]],Stammdaten[[Rank Verteilung Ovalität]:[Verteilung Ovalität]],2,FALSE)</f>
        <v>#N/A</v>
      </c>
    </row>
    <row r="4183" spans="5:28" x14ac:dyDescent="0.35">
      <c r="E4183">
        <v>4174</v>
      </c>
      <c r="F4183" t="e">
        <f>INDEX(Stammdaten[D Mitte mit Rinde (mm)],MATCH(Tabelle8[[#This Row],[Rank]],Stammdaten[Rank Verteilung D Mitte mit Rinde],0))</f>
        <v>#N/A</v>
      </c>
      <c r="G4183" t="e">
        <f>VLOOKUP(Tabelle8[[#This Row],[Rank]],Stammdaten[[Rank Verteilung D Mitte mit Rinde]:[Verteilung D Mitte mit Rinde]],2,FALSE)</f>
        <v>#N/A</v>
      </c>
      <c r="L4183">
        <v>4174</v>
      </c>
      <c r="M4183" t="e">
        <f>INDEX(Stammdaten[Abholzigkeit (mm/lfm)],MATCH(Tabelle9[[#This Row],[Rank]],Stammdaten[Rank Verteilung Abholzigkeit],0))</f>
        <v>#N/A</v>
      </c>
      <c r="N4183" t="e">
        <f>VLOOKUP(Tabelle9[[#This Row],[Rank]],Stammdaten[[Rank Verteilung Abholzigkeit]:[Verteilung Abholzigkeit]],2,FALSE)</f>
        <v>#N/A</v>
      </c>
      <c r="S4183">
        <v>4174</v>
      </c>
      <c r="T4183" t="e">
        <f>INDEX(Stammdaten[Krümmung (mm/lfm)],MATCH(Tabelle10[[#This Row],[Rank]],Stammdaten[Rank Verteilung Krümmung],0))</f>
        <v>#N/A</v>
      </c>
      <c r="U4183" t="e">
        <f>VLOOKUP(Tabelle10[[#This Row],[Rank]],Stammdaten[[Rank Verteilung Krümmung]:[Verteilung Krümmung]],2,FALSE)</f>
        <v>#N/A</v>
      </c>
      <c r="Z4183">
        <v>4174</v>
      </c>
      <c r="AA4183" t="e">
        <f>INDEX(Stammdaten[Ovalität (']0,1'])],MATCH(Tabelle1014[[#This Row],[Rank]],Stammdaten[Rank Verteilung Ovalität],0))</f>
        <v>#N/A</v>
      </c>
      <c r="AB4183" t="e">
        <f>VLOOKUP(Tabelle1014[[#This Row],[Rank]],Stammdaten[[Rank Verteilung Ovalität]:[Verteilung Ovalität]],2,FALSE)</f>
        <v>#N/A</v>
      </c>
    </row>
    <row r="4184" spans="5:28" x14ac:dyDescent="0.35">
      <c r="E4184">
        <v>4175</v>
      </c>
      <c r="F4184" t="e">
        <f>INDEX(Stammdaten[D Mitte mit Rinde (mm)],MATCH(Tabelle8[[#This Row],[Rank]],Stammdaten[Rank Verteilung D Mitte mit Rinde],0))</f>
        <v>#N/A</v>
      </c>
      <c r="G4184" t="e">
        <f>VLOOKUP(Tabelle8[[#This Row],[Rank]],Stammdaten[[Rank Verteilung D Mitte mit Rinde]:[Verteilung D Mitte mit Rinde]],2,FALSE)</f>
        <v>#N/A</v>
      </c>
      <c r="L4184">
        <v>4175</v>
      </c>
      <c r="M4184" t="e">
        <f>INDEX(Stammdaten[Abholzigkeit (mm/lfm)],MATCH(Tabelle9[[#This Row],[Rank]],Stammdaten[Rank Verteilung Abholzigkeit],0))</f>
        <v>#N/A</v>
      </c>
      <c r="N4184" t="e">
        <f>VLOOKUP(Tabelle9[[#This Row],[Rank]],Stammdaten[[Rank Verteilung Abholzigkeit]:[Verteilung Abholzigkeit]],2,FALSE)</f>
        <v>#N/A</v>
      </c>
      <c r="S4184">
        <v>4175</v>
      </c>
      <c r="T4184" t="e">
        <f>INDEX(Stammdaten[Krümmung (mm/lfm)],MATCH(Tabelle10[[#This Row],[Rank]],Stammdaten[Rank Verteilung Krümmung],0))</f>
        <v>#N/A</v>
      </c>
      <c r="U4184" t="e">
        <f>VLOOKUP(Tabelle10[[#This Row],[Rank]],Stammdaten[[Rank Verteilung Krümmung]:[Verteilung Krümmung]],2,FALSE)</f>
        <v>#N/A</v>
      </c>
      <c r="Z4184">
        <v>4175</v>
      </c>
      <c r="AA4184" t="e">
        <f>INDEX(Stammdaten[Ovalität (']0,1'])],MATCH(Tabelle1014[[#This Row],[Rank]],Stammdaten[Rank Verteilung Ovalität],0))</f>
        <v>#N/A</v>
      </c>
      <c r="AB4184" t="e">
        <f>VLOOKUP(Tabelle1014[[#This Row],[Rank]],Stammdaten[[Rank Verteilung Ovalität]:[Verteilung Ovalität]],2,FALSE)</f>
        <v>#N/A</v>
      </c>
    </row>
    <row r="4185" spans="5:28" x14ac:dyDescent="0.35">
      <c r="E4185">
        <v>4176</v>
      </c>
      <c r="F4185" t="e">
        <f>INDEX(Stammdaten[D Mitte mit Rinde (mm)],MATCH(Tabelle8[[#This Row],[Rank]],Stammdaten[Rank Verteilung D Mitte mit Rinde],0))</f>
        <v>#N/A</v>
      </c>
      <c r="G4185" t="e">
        <f>VLOOKUP(Tabelle8[[#This Row],[Rank]],Stammdaten[[Rank Verteilung D Mitte mit Rinde]:[Verteilung D Mitte mit Rinde]],2,FALSE)</f>
        <v>#N/A</v>
      </c>
      <c r="L4185">
        <v>4176</v>
      </c>
      <c r="M4185" t="e">
        <f>INDEX(Stammdaten[Abholzigkeit (mm/lfm)],MATCH(Tabelle9[[#This Row],[Rank]],Stammdaten[Rank Verteilung Abholzigkeit],0))</f>
        <v>#N/A</v>
      </c>
      <c r="N4185" t="e">
        <f>VLOOKUP(Tabelle9[[#This Row],[Rank]],Stammdaten[[Rank Verteilung Abholzigkeit]:[Verteilung Abholzigkeit]],2,FALSE)</f>
        <v>#N/A</v>
      </c>
      <c r="S4185">
        <v>4176</v>
      </c>
      <c r="T4185" t="e">
        <f>INDEX(Stammdaten[Krümmung (mm/lfm)],MATCH(Tabelle10[[#This Row],[Rank]],Stammdaten[Rank Verteilung Krümmung],0))</f>
        <v>#N/A</v>
      </c>
      <c r="U4185" t="e">
        <f>VLOOKUP(Tabelle10[[#This Row],[Rank]],Stammdaten[[Rank Verteilung Krümmung]:[Verteilung Krümmung]],2,FALSE)</f>
        <v>#N/A</v>
      </c>
      <c r="Z4185">
        <v>4176</v>
      </c>
      <c r="AA4185" t="e">
        <f>INDEX(Stammdaten[Ovalität (']0,1'])],MATCH(Tabelle1014[[#This Row],[Rank]],Stammdaten[Rank Verteilung Ovalität],0))</f>
        <v>#N/A</v>
      </c>
      <c r="AB4185" t="e">
        <f>VLOOKUP(Tabelle1014[[#This Row],[Rank]],Stammdaten[[Rank Verteilung Ovalität]:[Verteilung Ovalität]],2,FALSE)</f>
        <v>#N/A</v>
      </c>
    </row>
    <row r="4186" spans="5:28" x14ac:dyDescent="0.35">
      <c r="E4186">
        <v>4177</v>
      </c>
      <c r="F4186" t="e">
        <f>INDEX(Stammdaten[D Mitte mit Rinde (mm)],MATCH(Tabelle8[[#This Row],[Rank]],Stammdaten[Rank Verteilung D Mitte mit Rinde],0))</f>
        <v>#N/A</v>
      </c>
      <c r="G4186" t="e">
        <f>VLOOKUP(Tabelle8[[#This Row],[Rank]],Stammdaten[[Rank Verteilung D Mitte mit Rinde]:[Verteilung D Mitte mit Rinde]],2,FALSE)</f>
        <v>#N/A</v>
      </c>
      <c r="L4186">
        <v>4177</v>
      </c>
      <c r="M4186" t="e">
        <f>INDEX(Stammdaten[Abholzigkeit (mm/lfm)],MATCH(Tabelle9[[#This Row],[Rank]],Stammdaten[Rank Verteilung Abholzigkeit],0))</f>
        <v>#N/A</v>
      </c>
      <c r="N4186" t="e">
        <f>VLOOKUP(Tabelle9[[#This Row],[Rank]],Stammdaten[[Rank Verteilung Abholzigkeit]:[Verteilung Abholzigkeit]],2,FALSE)</f>
        <v>#N/A</v>
      </c>
      <c r="S4186">
        <v>4177</v>
      </c>
      <c r="T4186" t="e">
        <f>INDEX(Stammdaten[Krümmung (mm/lfm)],MATCH(Tabelle10[[#This Row],[Rank]],Stammdaten[Rank Verteilung Krümmung],0))</f>
        <v>#N/A</v>
      </c>
      <c r="U4186" t="e">
        <f>VLOOKUP(Tabelle10[[#This Row],[Rank]],Stammdaten[[Rank Verteilung Krümmung]:[Verteilung Krümmung]],2,FALSE)</f>
        <v>#N/A</v>
      </c>
      <c r="Z4186">
        <v>4177</v>
      </c>
      <c r="AA4186" t="e">
        <f>INDEX(Stammdaten[Ovalität (']0,1'])],MATCH(Tabelle1014[[#This Row],[Rank]],Stammdaten[Rank Verteilung Ovalität],0))</f>
        <v>#N/A</v>
      </c>
      <c r="AB4186" t="e">
        <f>VLOOKUP(Tabelle1014[[#This Row],[Rank]],Stammdaten[[Rank Verteilung Ovalität]:[Verteilung Ovalität]],2,FALSE)</f>
        <v>#N/A</v>
      </c>
    </row>
    <row r="4187" spans="5:28" x14ac:dyDescent="0.35">
      <c r="E4187">
        <v>4178</v>
      </c>
      <c r="F4187" t="e">
        <f>INDEX(Stammdaten[D Mitte mit Rinde (mm)],MATCH(Tabelle8[[#This Row],[Rank]],Stammdaten[Rank Verteilung D Mitte mit Rinde],0))</f>
        <v>#N/A</v>
      </c>
      <c r="G4187" t="e">
        <f>VLOOKUP(Tabelle8[[#This Row],[Rank]],Stammdaten[[Rank Verteilung D Mitte mit Rinde]:[Verteilung D Mitte mit Rinde]],2,FALSE)</f>
        <v>#N/A</v>
      </c>
      <c r="L4187">
        <v>4178</v>
      </c>
      <c r="M4187" t="e">
        <f>INDEX(Stammdaten[Abholzigkeit (mm/lfm)],MATCH(Tabelle9[[#This Row],[Rank]],Stammdaten[Rank Verteilung Abholzigkeit],0))</f>
        <v>#N/A</v>
      </c>
      <c r="N4187" t="e">
        <f>VLOOKUP(Tabelle9[[#This Row],[Rank]],Stammdaten[[Rank Verteilung Abholzigkeit]:[Verteilung Abholzigkeit]],2,FALSE)</f>
        <v>#N/A</v>
      </c>
      <c r="S4187">
        <v>4178</v>
      </c>
      <c r="T4187" t="e">
        <f>INDEX(Stammdaten[Krümmung (mm/lfm)],MATCH(Tabelle10[[#This Row],[Rank]],Stammdaten[Rank Verteilung Krümmung],0))</f>
        <v>#N/A</v>
      </c>
      <c r="U4187" t="e">
        <f>VLOOKUP(Tabelle10[[#This Row],[Rank]],Stammdaten[[Rank Verteilung Krümmung]:[Verteilung Krümmung]],2,FALSE)</f>
        <v>#N/A</v>
      </c>
      <c r="Z4187">
        <v>4178</v>
      </c>
      <c r="AA4187" t="e">
        <f>INDEX(Stammdaten[Ovalität (']0,1'])],MATCH(Tabelle1014[[#This Row],[Rank]],Stammdaten[Rank Verteilung Ovalität],0))</f>
        <v>#N/A</v>
      </c>
      <c r="AB4187" t="e">
        <f>VLOOKUP(Tabelle1014[[#This Row],[Rank]],Stammdaten[[Rank Verteilung Ovalität]:[Verteilung Ovalität]],2,FALSE)</f>
        <v>#N/A</v>
      </c>
    </row>
    <row r="4188" spans="5:28" x14ac:dyDescent="0.35">
      <c r="E4188">
        <v>4179</v>
      </c>
      <c r="F4188" t="e">
        <f>INDEX(Stammdaten[D Mitte mit Rinde (mm)],MATCH(Tabelle8[[#This Row],[Rank]],Stammdaten[Rank Verteilung D Mitte mit Rinde],0))</f>
        <v>#N/A</v>
      </c>
      <c r="G4188" t="e">
        <f>VLOOKUP(Tabelle8[[#This Row],[Rank]],Stammdaten[[Rank Verteilung D Mitte mit Rinde]:[Verteilung D Mitte mit Rinde]],2,FALSE)</f>
        <v>#N/A</v>
      </c>
      <c r="L4188">
        <v>4179</v>
      </c>
      <c r="M4188" t="e">
        <f>INDEX(Stammdaten[Abholzigkeit (mm/lfm)],MATCH(Tabelle9[[#This Row],[Rank]],Stammdaten[Rank Verteilung Abholzigkeit],0))</f>
        <v>#N/A</v>
      </c>
      <c r="N4188" t="e">
        <f>VLOOKUP(Tabelle9[[#This Row],[Rank]],Stammdaten[[Rank Verteilung Abholzigkeit]:[Verteilung Abholzigkeit]],2,FALSE)</f>
        <v>#N/A</v>
      </c>
      <c r="S4188">
        <v>4179</v>
      </c>
      <c r="T4188" t="e">
        <f>INDEX(Stammdaten[Krümmung (mm/lfm)],MATCH(Tabelle10[[#This Row],[Rank]],Stammdaten[Rank Verteilung Krümmung],0))</f>
        <v>#N/A</v>
      </c>
      <c r="U4188" t="e">
        <f>VLOOKUP(Tabelle10[[#This Row],[Rank]],Stammdaten[[Rank Verteilung Krümmung]:[Verteilung Krümmung]],2,FALSE)</f>
        <v>#N/A</v>
      </c>
      <c r="Z4188">
        <v>4179</v>
      </c>
      <c r="AA4188" t="e">
        <f>INDEX(Stammdaten[Ovalität (']0,1'])],MATCH(Tabelle1014[[#This Row],[Rank]],Stammdaten[Rank Verteilung Ovalität],0))</f>
        <v>#N/A</v>
      </c>
      <c r="AB4188" t="e">
        <f>VLOOKUP(Tabelle1014[[#This Row],[Rank]],Stammdaten[[Rank Verteilung Ovalität]:[Verteilung Ovalität]],2,FALSE)</f>
        <v>#N/A</v>
      </c>
    </row>
    <row r="4189" spans="5:28" x14ac:dyDescent="0.35">
      <c r="E4189">
        <v>4180</v>
      </c>
      <c r="F4189" t="e">
        <f>INDEX(Stammdaten[D Mitte mit Rinde (mm)],MATCH(Tabelle8[[#This Row],[Rank]],Stammdaten[Rank Verteilung D Mitte mit Rinde],0))</f>
        <v>#N/A</v>
      </c>
      <c r="G4189" t="e">
        <f>VLOOKUP(Tabelle8[[#This Row],[Rank]],Stammdaten[[Rank Verteilung D Mitte mit Rinde]:[Verteilung D Mitte mit Rinde]],2,FALSE)</f>
        <v>#N/A</v>
      </c>
      <c r="L4189">
        <v>4180</v>
      </c>
      <c r="M4189" t="e">
        <f>INDEX(Stammdaten[Abholzigkeit (mm/lfm)],MATCH(Tabelle9[[#This Row],[Rank]],Stammdaten[Rank Verteilung Abholzigkeit],0))</f>
        <v>#N/A</v>
      </c>
      <c r="N4189" t="e">
        <f>VLOOKUP(Tabelle9[[#This Row],[Rank]],Stammdaten[[Rank Verteilung Abholzigkeit]:[Verteilung Abholzigkeit]],2,FALSE)</f>
        <v>#N/A</v>
      </c>
      <c r="S4189">
        <v>4180</v>
      </c>
      <c r="T4189" t="e">
        <f>INDEX(Stammdaten[Krümmung (mm/lfm)],MATCH(Tabelle10[[#This Row],[Rank]],Stammdaten[Rank Verteilung Krümmung],0))</f>
        <v>#N/A</v>
      </c>
      <c r="U4189" t="e">
        <f>VLOOKUP(Tabelle10[[#This Row],[Rank]],Stammdaten[[Rank Verteilung Krümmung]:[Verteilung Krümmung]],2,FALSE)</f>
        <v>#N/A</v>
      </c>
      <c r="Z4189">
        <v>4180</v>
      </c>
      <c r="AA4189" t="e">
        <f>INDEX(Stammdaten[Ovalität (']0,1'])],MATCH(Tabelle1014[[#This Row],[Rank]],Stammdaten[Rank Verteilung Ovalität],0))</f>
        <v>#N/A</v>
      </c>
      <c r="AB4189" t="e">
        <f>VLOOKUP(Tabelle1014[[#This Row],[Rank]],Stammdaten[[Rank Verteilung Ovalität]:[Verteilung Ovalität]],2,FALSE)</f>
        <v>#N/A</v>
      </c>
    </row>
    <row r="4190" spans="5:28" x14ac:dyDescent="0.35">
      <c r="E4190">
        <v>4181</v>
      </c>
      <c r="F4190" t="e">
        <f>INDEX(Stammdaten[D Mitte mit Rinde (mm)],MATCH(Tabelle8[[#This Row],[Rank]],Stammdaten[Rank Verteilung D Mitte mit Rinde],0))</f>
        <v>#N/A</v>
      </c>
      <c r="G4190" t="e">
        <f>VLOOKUP(Tabelle8[[#This Row],[Rank]],Stammdaten[[Rank Verteilung D Mitte mit Rinde]:[Verteilung D Mitte mit Rinde]],2,FALSE)</f>
        <v>#N/A</v>
      </c>
      <c r="L4190">
        <v>4181</v>
      </c>
      <c r="M4190" t="e">
        <f>INDEX(Stammdaten[Abholzigkeit (mm/lfm)],MATCH(Tabelle9[[#This Row],[Rank]],Stammdaten[Rank Verteilung Abholzigkeit],0))</f>
        <v>#N/A</v>
      </c>
      <c r="N4190" t="e">
        <f>VLOOKUP(Tabelle9[[#This Row],[Rank]],Stammdaten[[Rank Verteilung Abholzigkeit]:[Verteilung Abholzigkeit]],2,FALSE)</f>
        <v>#N/A</v>
      </c>
      <c r="S4190">
        <v>4181</v>
      </c>
      <c r="T4190" t="e">
        <f>INDEX(Stammdaten[Krümmung (mm/lfm)],MATCH(Tabelle10[[#This Row],[Rank]],Stammdaten[Rank Verteilung Krümmung],0))</f>
        <v>#N/A</v>
      </c>
      <c r="U4190" t="e">
        <f>VLOOKUP(Tabelle10[[#This Row],[Rank]],Stammdaten[[Rank Verteilung Krümmung]:[Verteilung Krümmung]],2,FALSE)</f>
        <v>#N/A</v>
      </c>
      <c r="Z4190">
        <v>4181</v>
      </c>
      <c r="AA4190" t="e">
        <f>INDEX(Stammdaten[Ovalität (']0,1'])],MATCH(Tabelle1014[[#This Row],[Rank]],Stammdaten[Rank Verteilung Ovalität],0))</f>
        <v>#N/A</v>
      </c>
      <c r="AB4190" t="e">
        <f>VLOOKUP(Tabelle1014[[#This Row],[Rank]],Stammdaten[[Rank Verteilung Ovalität]:[Verteilung Ovalität]],2,FALSE)</f>
        <v>#N/A</v>
      </c>
    </row>
    <row r="4191" spans="5:28" x14ac:dyDescent="0.35">
      <c r="E4191">
        <v>4182</v>
      </c>
      <c r="F4191" t="e">
        <f>INDEX(Stammdaten[D Mitte mit Rinde (mm)],MATCH(Tabelle8[[#This Row],[Rank]],Stammdaten[Rank Verteilung D Mitte mit Rinde],0))</f>
        <v>#N/A</v>
      </c>
      <c r="G4191" t="e">
        <f>VLOOKUP(Tabelle8[[#This Row],[Rank]],Stammdaten[[Rank Verteilung D Mitte mit Rinde]:[Verteilung D Mitte mit Rinde]],2,FALSE)</f>
        <v>#N/A</v>
      </c>
      <c r="L4191">
        <v>4182</v>
      </c>
      <c r="M4191" t="e">
        <f>INDEX(Stammdaten[Abholzigkeit (mm/lfm)],MATCH(Tabelle9[[#This Row],[Rank]],Stammdaten[Rank Verteilung Abholzigkeit],0))</f>
        <v>#N/A</v>
      </c>
      <c r="N4191" t="e">
        <f>VLOOKUP(Tabelle9[[#This Row],[Rank]],Stammdaten[[Rank Verteilung Abholzigkeit]:[Verteilung Abholzigkeit]],2,FALSE)</f>
        <v>#N/A</v>
      </c>
      <c r="S4191">
        <v>4182</v>
      </c>
      <c r="T4191" t="e">
        <f>INDEX(Stammdaten[Krümmung (mm/lfm)],MATCH(Tabelle10[[#This Row],[Rank]],Stammdaten[Rank Verteilung Krümmung],0))</f>
        <v>#N/A</v>
      </c>
      <c r="U4191" t="e">
        <f>VLOOKUP(Tabelle10[[#This Row],[Rank]],Stammdaten[[Rank Verteilung Krümmung]:[Verteilung Krümmung]],2,FALSE)</f>
        <v>#N/A</v>
      </c>
      <c r="Z4191">
        <v>4182</v>
      </c>
      <c r="AA4191" t="e">
        <f>INDEX(Stammdaten[Ovalität (']0,1'])],MATCH(Tabelle1014[[#This Row],[Rank]],Stammdaten[Rank Verteilung Ovalität],0))</f>
        <v>#N/A</v>
      </c>
      <c r="AB4191" t="e">
        <f>VLOOKUP(Tabelle1014[[#This Row],[Rank]],Stammdaten[[Rank Verteilung Ovalität]:[Verteilung Ovalität]],2,FALSE)</f>
        <v>#N/A</v>
      </c>
    </row>
    <row r="4192" spans="5:28" x14ac:dyDescent="0.35">
      <c r="E4192">
        <v>4183</v>
      </c>
      <c r="F4192" t="e">
        <f>INDEX(Stammdaten[D Mitte mit Rinde (mm)],MATCH(Tabelle8[[#This Row],[Rank]],Stammdaten[Rank Verteilung D Mitte mit Rinde],0))</f>
        <v>#N/A</v>
      </c>
      <c r="G4192" t="e">
        <f>VLOOKUP(Tabelle8[[#This Row],[Rank]],Stammdaten[[Rank Verteilung D Mitte mit Rinde]:[Verteilung D Mitte mit Rinde]],2,FALSE)</f>
        <v>#N/A</v>
      </c>
      <c r="L4192">
        <v>4183</v>
      </c>
      <c r="M4192" t="e">
        <f>INDEX(Stammdaten[Abholzigkeit (mm/lfm)],MATCH(Tabelle9[[#This Row],[Rank]],Stammdaten[Rank Verteilung Abholzigkeit],0))</f>
        <v>#N/A</v>
      </c>
      <c r="N4192" t="e">
        <f>VLOOKUP(Tabelle9[[#This Row],[Rank]],Stammdaten[[Rank Verteilung Abholzigkeit]:[Verteilung Abholzigkeit]],2,FALSE)</f>
        <v>#N/A</v>
      </c>
      <c r="S4192">
        <v>4183</v>
      </c>
      <c r="T4192" t="e">
        <f>INDEX(Stammdaten[Krümmung (mm/lfm)],MATCH(Tabelle10[[#This Row],[Rank]],Stammdaten[Rank Verteilung Krümmung],0))</f>
        <v>#N/A</v>
      </c>
      <c r="U4192" t="e">
        <f>VLOOKUP(Tabelle10[[#This Row],[Rank]],Stammdaten[[Rank Verteilung Krümmung]:[Verteilung Krümmung]],2,FALSE)</f>
        <v>#N/A</v>
      </c>
      <c r="Z4192">
        <v>4183</v>
      </c>
      <c r="AA4192" t="e">
        <f>INDEX(Stammdaten[Ovalität (']0,1'])],MATCH(Tabelle1014[[#This Row],[Rank]],Stammdaten[Rank Verteilung Ovalität],0))</f>
        <v>#N/A</v>
      </c>
      <c r="AB4192" t="e">
        <f>VLOOKUP(Tabelle1014[[#This Row],[Rank]],Stammdaten[[Rank Verteilung Ovalität]:[Verteilung Ovalität]],2,FALSE)</f>
        <v>#N/A</v>
      </c>
    </row>
    <row r="4193" spans="5:28" x14ac:dyDescent="0.35">
      <c r="E4193">
        <v>4184</v>
      </c>
      <c r="F4193" t="e">
        <f>INDEX(Stammdaten[D Mitte mit Rinde (mm)],MATCH(Tabelle8[[#This Row],[Rank]],Stammdaten[Rank Verteilung D Mitte mit Rinde],0))</f>
        <v>#N/A</v>
      </c>
      <c r="G4193" t="e">
        <f>VLOOKUP(Tabelle8[[#This Row],[Rank]],Stammdaten[[Rank Verteilung D Mitte mit Rinde]:[Verteilung D Mitte mit Rinde]],2,FALSE)</f>
        <v>#N/A</v>
      </c>
      <c r="L4193">
        <v>4184</v>
      </c>
      <c r="M4193" t="e">
        <f>INDEX(Stammdaten[Abholzigkeit (mm/lfm)],MATCH(Tabelle9[[#This Row],[Rank]],Stammdaten[Rank Verteilung Abholzigkeit],0))</f>
        <v>#N/A</v>
      </c>
      <c r="N4193" t="e">
        <f>VLOOKUP(Tabelle9[[#This Row],[Rank]],Stammdaten[[Rank Verteilung Abholzigkeit]:[Verteilung Abholzigkeit]],2,FALSE)</f>
        <v>#N/A</v>
      </c>
      <c r="S4193">
        <v>4184</v>
      </c>
      <c r="T4193" t="e">
        <f>INDEX(Stammdaten[Krümmung (mm/lfm)],MATCH(Tabelle10[[#This Row],[Rank]],Stammdaten[Rank Verteilung Krümmung],0))</f>
        <v>#N/A</v>
      </c>
      <c r="U4193" t="e">
        <f>VLOOKUP(Tabelle10[[#This Row],[Rank]],Stammdaten[[Rank Verteilung Krümmung]:[Verteilung Krümmung]],2,FALSE)</f>
        <v>#N/A</v>
      </c>
      <c r="Z4193">
        <v>4184</v>
      </c>
      <c r="AA4193" t="e">
        <f>INDEX(Stammdaten[Ovalität (']0,1'])],MATCH(Tabelle1014[[#This Row],[Rank]],Stammdaten[Rank Verteilung Ovalität],0))</f>
        <v>#N/A</v>
      </c>
      <c r="AB4193" t="e">
        <f>VLOOKUP(Tabelle1014[[#This Row],[Rank]],Stammdaten[[Rank Verteilung Ovalität]:[Verteilung Ovalität]],2,FALSE)</f>
        <v>#N/A</v>
      </c>
    </row>
    <row r="4194" spans="5:28" x14ac:dyDescent="0.35">
      <c r="E4194">
        <v>4185</v>
      </c>
      <c r="F4194" t="e">
        <f>INDEX(Stammdaten[D Mitte mit Rinde (mm)],MATCH(Tabelle8[[#This Row],[Rank]],Stammdaten[Rank Verteilung D Mitte mit Rinde],0))</f>
        <v>#N/A</v>
      </c>
      <c r="G4194" t="e">
        <f>VLOOKUP(Tabelle8[[#This Row],[Rank]],Stammdaten[[Rank Verteilung D Mitte mit Rinde]:[Verteilung D Mitte mit Rinde]],2,FALSE)</f>
        <v>#N/A</v>
      </c>
      <c r="L4194">
        <v>4185</v>
      </c>
      <c r="M4194" t="e">
        <f>INDEX(Stammdaten[Abholzigkeit (mm/lfm)],MATCH(Tabelle9[[#This Row],[Rank]],Stammdaten[Rank Verteilung Abholzigkeit],0))</f>
        <v>#N/A</v>
      </c>
      <c r="N4194" t="e">
        <f>VLOOKUP(Tabelle9[[#This Row],[Rank]],Stammdaten[[Rank Verteilung Abholzigkeit]:[Verteilung Abholzigkeit]],2,FALSE)</f>
        <v>#N/A</v>
      </c>
      <c r="S4194">
        <v>4185</v>
      </c>
      <c r="T4194" t="e">
        <f>INDEX(Stammdaten[Krümmung (mm/lfm)],MATCH(Tabelle10[[#This Row],[Rank]],Stammdaten[Rank Verteilung Krümmung],0))</f>
        <v>#N/A</v>
      </c>
      <c r="U4194" t="e">
        <f>VLOOKUP(Tabelle10[[#This Row],[Rank]],Stammdaten[[Rank Verteilung Krümmung]:[Verteilung Krümmung]],2,FALSE)</f>
        <v>#N/A</v>
      </c>
      <c r="Z4194">
        <v>4185</v>
      </c>
      <c r="AA4194" t="e">
        <f>INDEX(Stammdaten[Ovalität (']0,1'])],MATCH(Tabelle1014[[#This Row],[Rank]],Stammdaten[Rank Verteilung Ovalität],0))</f>
        <v>#N/A</v>
      </c>
      <c r="AB4194" t="e">
        <f>VLOOKUP(Tabelle1014[[#This Row],[Rank]],Stammdaten[[Rank Verteilung Ovalität]:[Verteilung Ovalität]],2,FALSE)</f>
        <v>#N/A</v>
      </c>
    </row>
    <row r="4195" spans="5:28" x14ac:dyDescent="0.35">
      <c r="E4195">
        <v>4186</v>
      </c>
      <c r="F4195" t="e">
        <f>INDEX(Stammdaten[D Mitte mit Rinde (mm)],MATCH(Tabelle8[[#This Row],[Rank]],Stammdaten[Rank Verteilung D Mitte mit Rinde],0))</f>
        <v>#N/A</v>
      </c>
      <c r="G4195" t="e">
        <f>VLOOKUP(Tabelle8[[#This Row],[Rank]],Stammdaten[[Rank Verteilung D Mitte mit Rinde]:[Verteilung D Mitte mit Rinde]],2,FALSE)</f>
        <v>#N/A</v>
      </c>
      <c r="L4195">
        <v>4186</v>
      </c>
      <c r="M4195" t="e">
        <f>INDEX(Stammdaten[Abholzigkeit (mm/lfm)],MATCH(Tabelle9[[#This Row],[Rank]],Stammdaten[Rank Verteilung Abholzigkeit],0))</f>
        <v>#N/A</v>
      </c>
      <c r="N4195" t="e">
        <f>VLOOKUP(Tabelle9[[#This Row],[Rank]],Stammdaten[[Rank Verteilung Abholzigkeit]:[Verteilung Abholzigkeit]],2,FALSE)</f>
        <v>#N/A</v>
      </c>
      <c r="S4195">
        <v>4186</v>
      </c>
      <c r="T4195" t="e">
        <f>INDEX(Stammdaten[Krümmung (mm/lfm)],MATCH(Tabelle10[[#This Row],[Rank]],Stammdaten[Rank Verteilung Krümmung],0))</f>
        <v>#N/A</v>
      </c>
      <c r="U4195" t="e">
        <f>VLOOKUP(Tabelle10[[#This Row],[Rank]],Stammdaten[[Rank Verteilung Krümmung]:[Verteilung Krümmung]],2,FALSE)</f>
        <v>#N/A</v>
      </c>
      <c r="Z4195">
        <v>4186</v>
      </c>
      <c r="AA4195" t="e">
        <f>INDEX(Stammdaten[Ovalität (']0,1'])],MATCH(Tabelle1014[[#This Row],[Rank]],Stammdaten[Rank Verteilung Ovalität],0))</f>
        <v>#N/A</v>
      </c>
      <c r="AB4195" t="e">
        <f>VLOOKUP(Tabelle1014[[#This Row],[Rank]],Stammdaten[[Rank Verteilung Ovalität]:[Verteilung Ovalität]],2,FALSE)</f>
        <v>#N/A</v>
      </c>
    </row>
    <row r="4196" spans="5:28" x14ac:dyDescent="0.35">
      <c r="E4196">
        <v>4187</v>
      </c>
      <c r="F4196" t="e">
        <f>INDEX(Stammdaten[D Mitte mit Rinde (mm)],MATCH(Tabelle8[[#This Row],[Rank]],Stammdaten[Rank Verteilung D Mitte mit Rinde],0))</f>
        <v>#N/A</v>
      </c>
      <c r="G4196" t="e">
        <f>VLOOKUP(Tabelle8[[#This Row],[Rank]],Stammdaten[[Rank Verteilung D Mitte mit Rinde]:[Verteilung D Mitte mit Rinde]],2,FALSE)</f>
        <v>#N/A</v>
      </c>
      <c r="L4196">
        <v>4187</v>
      </c>
      <c r="M4196" t="e">
        <f>INDEX(Stammdaten[Abholzigkeit (mm/lfm)],MATCH(Tabelle9[[#This Row],[Rank]],Stammdaten[Rank Verteilung Abholzigkeit],0))</f>
        <v>#N/A</v>
      </c>
      <c r="N4196" t="e">
        <f>VLOOKUP(Tabelle9[[#This Row],[Rank]],Stammdaten[[Rank Verteilung Abholzigkeit]:[Verteilung Abholzigkeit]],2,FALSE)</f>
        <v>#N/A</v>
      </c>
      <c r="S4196">
        <v>4187</v>
      </c>
      <c r="T4196" t="e">
        <f>INDEX(Stammdaten[Krümmung (mm/lfm)],MATCH(Tabelle10[[#This Row],[Rank]],Stammdaten[Rank Verteilung Krümmung],0))</f>
        <v>#N/A</v>
      </c>
      <c r="U4196" t="e">
        <f>VLOOKUP(Tabelle10[[#This Row],[Rank]],Stammdaten[[Rank Verteilung Krümmung]:[Verteilung Krümmung]],2,FALSE)</f>
        <v>#N/A</v>
      </c>
      <c r="Z4196">
        <v>4187</v>
      </c>
      <c r="AA4196" t="e">
        <f>INDEX(Stammdaten[Ovalität (']0,1'])],MATCH(Tabelle1014[[#This Row],[Rank]],Stammdaten[Rank Verteilung Ovalität],0))</f>
        <v>#N/A</v>
      </c>
      <c r="AB4196" t="e">
        <f>VLOOKUP(Tabelle1014[[#This Row],[Rank]],Stammdaten[[Rank Verteilung Ovalität]:[Verteilung Ovalität]],2,FALSE)</f>
        <v>#N/A</v>
      </c>
    </row>
    <row r="4197" spans="5:28" x14ac:dyDescent="0.35">
      <c r="E4197">
        <v>4188</v>
      </c>
      <c r="F4197" t="e">
        <f>INDEX(Stammdaten[D Mitte mit Rinde (mm)],MATCH(Tabelle8[[#This Row],[Rank]],Stammdaten[Rank Verteilung D Mitte mit Rinde],0))</f>
        <v>#N/A</v>
      </c>
      <c r="G4197" t="e">
        <f>VLOOKUP(Tabelle8[[#This Row],[Rank]],Stammdaten[[Rank Verteilung D Mitte mit Rinde]:[Verteilung D Mitte mit Rinde]],2,FALSE)</f>
        <v>#N/A</v>
      </c>
      <c r="L4197">
        <v>4188</v>
      </c>
      <c r="M4197" t="e">
        <f>INDEX(Stammdaten[Abholzigkeit (mm/lfm)],MATCH(Tabelle9[[#This Row],[Rank]],Stammdaten[Rank Verteilung Abholzigkeit],0))</f>
        <v>#N/A</v>
      </c>
      <c r="N4197" t="e">
        <f>VLOOKUP(Tabelle9[[#This Row],[Rank]],Stammdaten[[Rank Verteilung Abholzigkeit]:[Verteilung Abholzigkeit]],2,FALSE)</f>
        <v>#N/A</v>
      </c>
      <c r="S4197">
        <v>4188</v>
      </c>
      <c r="T4197" t="e">
        <f>INDEX(Stammdaten[Krümmung (mm/lfm)],MATCH(Tabelle10[[#This Row],[Rank]],Stammdaten[Rank Verteilung Krümmung],0))</f>
        <v>#N/A</v>
      </c>
      <c r="U4197" t="e">
        <f>VLOOKUP(Tabelle10[[#This Row],[Rank]],Stammdaten[[Rank Verteilung Krümmung]:[Verteilung Krümmung]],2,FALSE)</f>
        <v>#N/A</v>
      </c>
      <c r="Z4197">
        <v>4188</v>
      </c>
      <c r="AA4197" t="e">
        <f>INDEX(Stammdaten[Ovalität (']0,1'])],MATCH(Tabelle1014[[#This Row],[Rank]],Stammdaten[Rank Verteilung Ovalität],0))</f>
        <v>#N/A</v>
      </c>
      <c r="AB4197" t="e">
        <f>VLOOKUP(Tabelle1014[[#This Row],[Rank]],Stammdaten[[Rank Verteilung Ovalität]:[Verteilung Ovalität]],2,FALSE)</f>
        <v>#N/A</v>
      </c>
    </row>
    <row r="4198" spans="5:28" x14ac:dyDescent="0.35">
      <c r="E4198">
        <v>4189</v>
      </c>
      <c r="F4198" t="e">
        <f>INDEX(Stammdaten[D Mitte mit Rinde (mm)],MATCH(Tabelle8[[#This Row],[Rank]],Stammdaten[Rank Verteilung D Mitte mit Rinde],0))</f>
        <v>#N/A</v>
      </c>
      <c r="G4198" t="e">
        <f>VLOOKUP(Tabelle8[[#This Row],[Rank]],Stammdaten[[Rank Verteilung D Mitte mit Rinde]:[Verteilung D Mitte mit Rinde]],2,FALSE)</f>
        <v>#N/A</v>
      </c>
      <c r="L4198">
        <v>4189</v>
      </c>
      <c r="M4198" t="e">
        <f>INDEX(Stammdaten[Abholzigkeit (mm/lfm)],MATCH(Tabelle9[[#This Row],[Rank]],Stammdaten[Rank Verteilung Abholzigkeit],0))</f>
        <v>#N/A</v>
      </c>
      <c r="N4198" t="e">
        <f>VLOOKUP(Tabelle9[[#This Row],[Rank]],Stammdaten[[Rank Verteilung Abholzigkeit]:[Verteilung Abholzigkeit]],2,FALSE)</f>
        <v>#N/A</v>
      </c>
      <c r="S4198">
        <v>4189</v>
      </c>
      <c r="T4198" t="e">
        <f>INDEX(Stammdaten[Krümmung (mm/lfm)],MATCH(Tabelle10[[#This Row],[Rank]],Stammdaten[Rank Verteilung Krümmung],0))</f>
        <v>#N/A</v>
      </c>
      <c r="U4198" t="e">
        <f>VLOOKUP(Tabelle10[[#This Row],[Rank]],Stammdaten[[Rank Verteilung Krümmung]:[Verteilung Krümmung]],2,FALSE)</f>
        <v>#N/A</v>
      </c>
      <c r="Z4198">
        <v>4189</v>
      </c>
      <c r="AA4198" t="e">
        <f>INDEX(Stammdaten[Ovalität (']0,1'])],MATCH(Tabelle1014[[#This Row],[Rank]],Stammdaten[Rank Verteilung Ovalität],0))</f>
        <v>#N/A</v>
      </c>
      <c r="AB4198" t="e">
        <f>VLOOKUP(Tabelle1014[[#This Row],[Rank]],Stammdaten[[Rank Verteilung Ovalität]:[Verteilung Ovalität]],2,FALSE)</f>
        <v>#N/A</v>
      </c>
    </row>
    <row r="4199" spans="5:28" x14ac:dyDescent="0.35">
      <c r="E4199">
        <v>4190</v>
      </c>
      <c r="F4199" t="e">
        <f>INDEX(Stammdaten[D Mitte mit Rinde (mm)],MATCH(Tabelle8[[#This Row],[Rank]],Stammdaten[Rank Verteilung D Mitte mit Rinde],0))</f>
        <v>#N/A</v>
      </c>
      <c r="G4199" t="e">
        <f>VLOOKUP(Tabelle8[[#This Row],[Rank]],Stammdaten[[Rank Verteilung D Mitte mit Rinde]:[Verteilung D Mitte mit Rinde]],2,FALSE)</f>
        <v>#N/A</v>
      </c>
      <c r="L4199">
        <v>4190</v>
      </c>
      <c r="M4199" t="e">
        <f>INDEX(Stammdaten[Abholzigkeit (mm/lfm)],MATCH(Tabelle9[[#This Row],[Rank]],Stammdaten[Rank Verteilung Abholzigkeit],0))</f>
        <v>#N/A</v>
      </c>
      <c r="N4199" t="e">
        <f>VLOOKUP(Tabelle9[[#This Row],[Rank]],Stammdaten[[Rank Verteilung Abholzigkeit]:[Verteilung Abholzigkeit]],2,FALSE)</f>
        <v>#N/A</v>
      </c>
      <c r="S4199">
        <v>4190</v>
      </c>
      <c r="T4199" t="e">
        <f>INDEX(Stammdaten[Krümmung (mm/lfm)],MATCH(Tabelle10[[#This Row],[Rank]],Stammdaten[Rank Verteilung Krümmung],0))</f>
        <v>#N/A</v>
      </c>
      <c r="U4199" t="e">
        <f>VLOOKUP(Tabelle10[[#This Row],[Rank]],Stammdaten[[Rank Verteilung Krümmung]:[Verteilung Krümmung]],2,FALSE)</f>
        <v>#N/A</v>
      </c>
      <c r="Z4199">
        <v>4190</v>
      </c>
      <c r="AA4199" t="e">
        <f>INDEX(Stammdaten[Ovalität (']0,1'])],MATCH(Tabelle1014[[#This Row],[Rank]],Stammdaten[Rank Verteilung Ovalität],0))</f>
        <v>#N/A</v>
      </c>
      <c r="AB4199" t="e">
        <f>VLOOKUP(Tabelle1014[[#This Row],[Rank]],Stammdaten[[Rank Verteilung Ovalität]:[Verteilung Ovalität]],2,FALSE)</f>
        <v>#N/A</v>
      </c>
    </row>
    <row r="4200" spans="5:28" x14ac:dyDescent="0.35">
      <c r="E4200">
        <v>4191</v>
      </c>
      <c r="F4200" t="e">
        <f>INDEX(Stammdaten[D Mitte mit Rinde (mm)],MATCH(Tabelle8[[#This Row],[Rank]],Stammdaten[Rank Verteilung D Mitte mit Rinde],0))</f>
        <v>#N/A</v>
      </c>
      <c r="G4200" t="e">
        <f>VLOOKUP(Tabelle8[[#This Row],[Rank]],Stammdaten[[Rank Verteilung D Mitte mit Rinde]:[Verteilung D Mitte mit Rinde]],2,FALSE)</f>
        <v>#N/A</v>
      </c>
      <c r="L4200">
        <v>4191</v>
      </c>
      <c r="M4200" t="e">
        <f>INDEX(Stammdaten[Abholzigkeit (mm/lfm)],MATCH(Tabelle9[[#This Row],[Rank]],Stammdaten[Rank Verteilung Abholzigkeit],0))</f>
        <v>#N/A</v>
      </c>
      <c r="N4200" t="e">
        <f>VLOOKUP(Tabelle9[[#This Row],[Rank]],Stammdaten[[Rank Verteilung Abholzigkeit]:[Verteilung Abholzigkeit]],2,FALSE)</f>
        <v>#N/A</v>
      </c>
      <c r="S4200">
        <v>4191</v>
      </c>
      <c r="T4200" t="e">
        <f>INDEX(Stammdaten[Krümmung (mm/lfm)],MATCH(Tabelle10[[#This Row],[Rank]],Stammdaten[Rank Verteilung Krümmung],0))</f>
        <v>#N/A</v>
      </c>
      <c r="U4200" t="e">
        <f>VLOOKUP(Tabelle10[[#This Row],[Rank]],Stammdaten[[Rank Verteilung Krümmung]:[Verteilung Krümmung]],2,FALSE)</f>
        <v>#N/A</v>
      </c>
      <c r="Z4200">
        <v>4191</v>
      </c>
      <c r="AA4200" t="e">
        <f>INDEX(Stammdaten[Ovalität (']0,1'])],MATCH(Tabelle1014[[#This Row],[Rank]],Stammdaten[Rank Verteilung Ovalität],0))</f>
        <v>#N/A</v>
      </c>
      <c r="AB4200" t="e">
        <f>VLOOKUP(Tabelle1014[[#This Row],[Rank]],Stammdaten[[Rank Verteilung Ovalität]:[Verteilung Ovalität]],2,FALSE)</f>
        <v>#N/A</v>
      </c>
    </row>
    <row r="4201" spans="5:28" x14ac:dyDescent="0.35">
      <c r="E4201">
        <v>4192</v>
      </c>
      <c r="F4201" t="e">
        <f>INDEX(Stammdaten[D Mitte mit Rinde (mm)],MATCH(Tabelle8[[#This Row],[Rank]],Stammdaten[Rank Verteilung D Mitte mit Rinde],0))</f>
        <v>#N/A</v>
      </c>
      <c r="G4201" t="e">
        <f>VLOOKUP(Tabelle8[[#This Row],[Rank]],Stammdaten[[Rank Verteilung D Mitte mit Rinde]:[Verteilung D Mitte mit Rinde]],2,FALSE)</f>
        <v>#N/A</v>
      </c>
      <c r="L4201">
        <v>4192</v>
      </c>
      <c r="M4201" t="e">
        <f>INDEX(Stammdaten[Abholzigkeit (mm/lfm)],MATCH(Tabelle9[[#This Row],[Rank]],Stammdaten[Rank Verteilung Abholzigkeit],0))</f>
        <v>#N/A</v>
      </c>
      <c r="N4201" t="e">
        <f>VLOOKUP(Tabelle9[[#This Row],[Rank]],Stammdaten[[Rank Verteilung Abholzigkeit]:[Verteilung Abholzigkeit]],2,FALSE)</f>
        <v>#N/A</v>
      </c>
      <c r="S4201">
        <v>4192</v>
      </c>
      <c r="T4201" t="e">
        <f>INDEX(Stammdaten[Krümmung (mm/lfm)],MATCH(Tabelle10[[#This Row],[Rank]],Stammdaten[Rank Verteilung Krümmung],0))</f>
        <v>#N/A</v>
      </c>
      <c r="U4201" t="e">
        <f>VLOOKUP(Tabelle10[[#This Row],[Rank]],Stammdaten[[Rank Verteilung Krümmung]:[Verteilung Krümmung]],2,FALSE)</f>
        <v>#N/A</v>
      </c>
      <c r="Z4201">
        <v>4192</v>
      </c>
      <c r="AA4201" t="e">
        <f>INDEX(Stammdaten[Ovalität (']0,1'])],MATCH(Tabelle1014[[#This Row],[Rank]],Stammdaten[Rank Verteilung Ovalität],0))</f>
        <v>#N/A</v>
      </c>
      <c r="AB4201" t="e">
        <f>VLOOKUP(Tabelle1014[[#This Row],[Rank]],Stammdaten[[Rank Verteilung Ovalität]:[Verteilung Ovalität]],2,FALSE)</f>
        <v>#N/A</v>
      </c>
    </row>
    <row r="4202" spans="5:28" x14ac:dyDescent="0.35">
      <c r="E4202">
        <v>4193</v>
      </c>
      <c r="F4202" t="e">
        <f>INDEX(Stammdaten[D Mitte mit Rinde (mm)],MATCH(Tabelle8[[#This Row],[Rank]],Stammdaten[Rank Verteilung D Mitte mit Rinde],0))</f>
        <v>#N/A</v>
      </c>
      <c r="G4202" t="e">
        <f>VLOOKUP(Tabelle8[[#This Row],[Rank]],Stammdaten[[Rank Verteilung D Mitte mit Rinde]:[Verteilung D Mitte mit Rinde]],2,FALSE)</f>
        <v>#N/A</v>
      </c>
      <c r="L4202">
        <v>4193</v>
      </c>
      <c r="M4202" t="e">
        <f>INDEX(Stammdaten[Abholzigkeit (mm/lfm)],MATCH(Tabelle9[[#This Row],[Rank]],Stammdaten[Rank Verteilung Abholzigkeit],0))</f>
        <v>#N/A</v>
      </c>
      <c r="N4202" t="e">
        <f>VLOOKUP(Tabelle9[[#This Row],[Rank]],Stammdaten[[Rank Verteilung Abholzigkeit]:[Verteilung Abholzigkeit]],2,FALSE)</f>
        <v>#N/A</v>
      </c>
      <c r="S4202">
        <v>4193</v>
      </c>
      <c r="T4202" t="e">
        <f>INDEX(Stammdaten[Krümmung (mm/lfm)],MATCH(Tabelle10[[#This Row],[Rank]],Stammdaten[Rank Verteilung Krümmung],0))</f>
        <v>#N/A</v>
      </c>
      <c r="U4202" t="e">
        <f>VLOOKUP(Tabelle10[[#This Row],[Rank]],Stammdaten[[Rank Verteilung Krümmung]:[Verteilung Krümmung]],2,FALSE)</f>
        <v>#N/A</v>
      </c>
      <c r="Z4202">
        <v>4193</v>
      </c>
      <c r="AA4202" t="e">
        <f>INDEX(Stammdaten[Ovalität (']0,1'])],MATCH(Tabelle1014[[#This Row],[Rank]],Stammdaten[Rank Verteilung Ovalität],0))</f>
        <v>#N/A</v>
      </c>
      <c r="AB4202" t="e">
        <f>VLOOKUP(Tabelle1014[[#This Row],[Rank]],Stammdaten[[Rank Verteilung Ovalität]:[Verteilung Ovalität]],2,FALSE)</f>
        <v>#N/A</v>
      </c>
    </row>
    <row r="4203" spans="5:28" x14ac:dyDescent="0.35">
      <c r="E4203">
        <v>4194</v>
      </c>
      <c r="F4203" t="e">
        <f>INDEX(Stammdaten[D Mitte mit Rinde (mm)],MATCH(Tabelle8[[#This Row],[Rank]],Stammdaten[Rank Verteilung D Mitte mit Rinde],0))</f>
        <v>#N/A</v>
      </c>
      <c r="G4203" t="e">
        <f>VLOOKUP(Tabelle8[[#This Row],[Rank]],Stammdaten[[Rank Verteilung D Mitte mit Rinde]:[Verteilung D Mitte mit Rinde]],2,FALSE)</f>
        <v>#N/A</v>
      </c>
      <c r="L4203">
        <v>4194</v>
      </c>
      <c r="M4203" t="e">
        <f>INDEX(Stammdaten[Abholzigkeit (mm/lfm)],MATCH(Tabelle9[[#This Row],[Rank]],Stammdaten[Rank Verteilung Abholzigkeit],0))</f>
        <v>#N/A</v>
      </c>
      <c r="N4203" t="e">
        <f>VLOOKUP(Tabelle9[[#This Row],[Rank]],Stammdaten[[Rank Verteilung Abholzigkeit]:[Verteilung Abholzigkeit]],2,FALSE)</f>
        <v>#N/A</v>
      </c>
      <c r="S4203">
        <v>4194</v>
      </c>
      <c r="T4203" t="e">
        <f>INDEX(Stammdaten[Krümmung (mm/lfm)],MATCH(Tabelle10[[#This Row],[Rank]],Stammdaten[Rank Verteilung Krümmung],0))</f>
        <v>#N/A</v>
      </c>
      <c r="U4203" t="e">
        <f>VLOOKUP(Tabelle10[[#This Row],[Rank]],Stammdaten[[Rank Verteilung Krümmung]:[Verteilung Krümmung]],2,FALSE)</f>
        <v>#N/A</v>
      </c>
      <c r="Z4203">
        <v>4194</v>
      </c>
      <c r="AA4203" t="e">
        <f>INDEX(Stammdaten[Ovalität (']0,1'])],MATCH(Tabelle1014[[#This Row],[Rank]],Stammdaten[Rank Verteilung Ovalität],0))</f>
        <v>#N/A</v>
      </c>
      <c r="AB4203" t="e">
        <f>VLOOKUP(Tabelle1014[[#This Row],[Rank]],Stammdaten[[Rank Verteilung Ovalität]:[Verteilung Ovalität]],2,FALSE)</f>
        <v>#N/A</v>
      </c>
    </row>
    <row r="4204" spans="5:28" x14ac:dyDescent="0.35">
      <c r="E4204">
        <v>4195</v>
      </c>
      <c r="F4204" t="e">
        <f>INDEX(Stammdaten[D Mitte mit Rinde (mm)],MATCH(Tabelle8[[#This Row],[Rank]],Stammdaten[Rank Verteilung D Mitte mit Rinde],0))</f>
        <v>#N/A</v>
      </c>
      <c r="G4204" t="e">
        <f>VLOOKUP(Tabelle8[[#This Row],[Rank]],Stammdaten[[Rank Verteilung D Mitte mit Rinde]:[Verteilung D Mitte mit Rinde]],2,FALSE)</f>
        <v>#N/A</v>
      </c>
      <c r="L4204">
        <v>4195</v>
      </c>
      <c r="M4204" t="e">
        <f>INDEX(Stammdaten[Abholzigkeit (mm/lfm)],MATCH(Tabelle9[[#This Row],[Rank]],Stammdaten[Rank Verteilung Abholzigkeit],0))</f>
        <v>#N/A</v>
      </c>
      <c r="N4204" t="e">
        <f>VLOOKUP(Tabelle9[[#This Row],[Rank]],Stammdaten[[Rank Verteilung Abholzigkeit]:[Verteilung Abholzigkeit]],2,FALSE)</f>
        <v>#N/A</v>
      </c>
      <c r="S4204">
        <v>4195</v>
      </c>
      <c r="T4204" t="e">
        <f>INDEX(Stammdaten[Krümmung (mm/lfm)],MATCH(Tabelle10[[#This Row],[Rank]],Stammdaten[Rank Verteilung Krümmung],0))</f>
        <v>#N/A</v>
      </c>
      <c r="U4204" t="e">
        <f>VLOOKUP(Tabelle10[[#This Row],[Rank]],Stammdaten[[Rank Verteilung Krümmung]:[Verteilung Krümmung]],2,FALSE)</f>
        <v>#N/A</v>
      </c>
      <c r="Z4204">
        <v>4195</v>
      </c>
      <c r="AA4204" t="e">
        <f>INDEX(Stammdaten[Ovalität (']0,1'])],MATCH(Tabelle1014[[#This Row],[Rank]],Stammdaten[Rank Verteilung Ovalität],0))</f>
        <v>#N/A</v>
      </c>
      <c r="AB4204" t="e">
        <f>VLOOKUP(Tabelle1014[[#This Row],[Rank]],Stammdaten[[Rank Verteilung Ovalität]:[Verteilung Ovalität]],2,FALSE)</f>
        <v>#N/A</v>
      </c>
    </row>
    <row r="4205" spans="5:28" x14ac:dyDescent="0.35">
      <c r="E4205">
        <v>4196</v>
      </c>
      <c r="F4205" t="e">
        <f>INDEX(Stammdaten[D Mitte mit Rinde (mm)],MATCH(Tabelle8[[#This Row],[Rank]],Stammdaten[Rank Verteilung D Mitte mit Rinde],0))</f>
        <v>#N/A</v>
      </c>
      <c r="G4205" t="e">
        <f>VLOOKUP(Tabelle8[[#This Row],[Rank]],Stammdaten[[Rank Verteilung D Mitte mit Rinde]:[Verteilung D Mitte mit Rinde]],2,FALSE)</f>
        <v>#N/A</v>
      </c>
      <c r="L4205">
        <v>4196</v>
      </c>
      <c r="M4205" t="e">
        <f>INDEX(Stammdaten[Abholzigkeit (mm/lfm)],MATCH(Tabelle9[[#This Row],[Rank]],Stammdaten[Rank Verteilung Abholzigkeit],0))</f>
        <v>#N/A</v>
      </c>
      <c r="N4205" t="e">
        <f>VLOOKUP(Tabelle9[[#This Row],[Rank]],Stammdaten[[Rank Verteilung Abholzigkeit]:[Verteilung Abholzigkeit]],2,FALSE)</f>
        <v>#N/A</v>
      </c>
      <c r="S4205">
        <v>4196</v>
      </c>
      <c r="T4205" t="e">
        <f>INDEX(Stammdaten[Krümmung (mm/lfm)],MATCH(Tabelle10[[#This Row],[Rank]],Stammdaten[Rank Verteilung Krümmung],0))</f>
        <v>#N/A</v>
      </c>
      <c r="U4205" t="e">
        <f>VLOOKUP(Tabelle10[[#This Row],[Rank]],Stammdaten[[Rank Verteilung Krümmung]:[Verteilung Krümmung]],2,FALSE)</f>
        <v>#N/A</v>
      </c>
      <c r="Z4205">
        <v>4196</v>
      </c>
      <c r="AA4205" t="e">
        <f>INDEX(Stammdaten[Ovalität (']0,1'])],MATCH(Tabelle1014[[#This Row],[Rank]],Stammdaten[Rank Verteilung Ovalität],0))</f>
        <v>#N/A</v>
      </c>
      <c r="AB4205" t="e">
        <f>VLOOKUP(Tabelle1014[[#This Row],[Rank]],Stammdaten[[Rank Verteilung Ovalität]:[Verteilung Ovalität]],2,FALSE)</f>
        <v>#N/A</v>
      </c>
    </row>
    <row r="4206" spans="5:28" x14ac:dyDescent="0.35">
      <c r="E4206">
        <v>4197</v>
      </c>
      <c r="F4206" t="e">
        <f>INDEX(Stammdaten[D Mitte mit Rinde (mm)],MATCH(Tabelle8[[#This Row],[Rank]],Stammdaten[Rank Verteilung D Mitte mit Rinde],0))</f>
        <v>#N/A</v>
      </c>
      <c r="G4206" t="e">
        <f>VLOOKUP(Tabelle8[[#This Row],[Rank]],Stammdaten[[Rank Verteilung D Mitte mit Rinde]:[Verteilung D Mitte mit Rinde]],2,FALSE)</f>
        <v>#N/A</v>
      </c>
      <c r="L4206">
        <v>4197</v>
      </c>
      <c r="M4206" t="e">
        <f>INDEX(Stammdaten[Abholzigkeit (mm/lfm)],MATCH(Tabelle9[[#This Row],[Rank]],Stammdaten[Rank Verteilung Abholzigkeit],0))</f>
        <v>#N/A</v>
      </c>
      <c r="N4206" t="e">
        <f>VLOOKUP(Tabelle9[[#This Row],[Rank]],Stammdaten[[Rank Verteilung Abholzigkeit]:[Verteilung Abholzigkeit]],2,FALSE)</f>
        <v>#N/A</v>
      </c>
      <c r="S4206">
        <v>4197</v>
      </c>
      <c r="T4206" t="e">
        <f>INDEX(Stammdaten[Krümmung (mm/lfm)],MATCH(Tabelle10[[#This Row],[Rank]],Stammdaten[Rank Verteilung Krümmung],0))</f>
        <v>#N/A</v>
      </c>
      <c r="U4206" t="e">
        <f>VLOOKUP(Tabelle10[[#This Row],[Rank]],Stammdaten[[Rank Verteilung Krümmung]:[Verteilung Krümmung]],2,FALSE)</f>
        <v>#N/A</v>
      </c>
      <c r="Z4206">
        <v>4197</v>
      </c>
      <c r="AA4206" t="e">
        <f>INDEX(Stammdaten[Ovalität (']0,1'])],MATCH(Tabelle1014[[#This Row],[Rank]],Stammdaten[Rank Verteilung Ovalität],0))</f>
        <v>#N/A</v>
      </c>
      <c r="AB4206" t="e">
        <f>VLOOKUP(Tabelle1014[[#This Row],[Rank]],Stammdaten[[Rank Verteilung Ovalität]:[Verteilung Ovalität]],2,FALSE)</f>
        <v>#N/A</v>
      </c>
    </row>
    <row r="4207" spans="5:28" x14ac:dyDescent="0.35">
      <c r="E4207">
        <v>4198</v>
      </c>
      <c r="F4207" t="e">
        <f>INDEX(Stammdaten[D Mitte mit Rinde (mm)],MATCH(Tabelle8[[#This Row],[Rank]],Stammdaten[Rank Verteilung D Mitte mit Rinde],0))</f>
        <v>#N/A</v>
      </c>
      <c r="G4207" t="e">
        <f>VLOOKUP(Tabelle8[[#This Row],[Rank]],Stammdaten[[Rank Verteilung D Mitte mit Rinde]:[Verteilung D Mitte mit Rinde]],2,FALSE)</f>
        <v>#N/A</v>
      </c>
      <c r="L4207">
        <v>4198</v>
      </c>
      <c r="M4207" t="e">
        <f>INDEX(Stammdaten[Abholzigkeit (mm/lfm)],MATCH(Tabelle9[[#This Row],[Rank]],Stammdaten[Rank Verteilung Abholzigkeit],0))</f>
        <v>#N/A</v>
      </c>
      <c r="N4207" t="e">
        <f>VLOOKUP(Tabelle9[[#This Row],[Rank]],Stammdaten[[Rank Verteilung Abholzigkeit]:[Verteilung Abholzigkeit]],2,FALSE)</f>
        <v>#N/A</v>
      </c>
      <c r="S4207">
        <v>4198</v>
      </c>
      <c r="T4207" t="e">
        <f>INDEX(Stammdaten[Krümmung (mm/lfm)],MATCH(Tabelle10[[#This Row],[Rank]],Stammdaten[Rank Verteilung Krümmung],0))</f>
        <v>#N/A</v>
      </c>
      <c r="U4207" t="e">
        <f>VLOOKUP(Tabelle10[[#This Row],[Rank]],Stammdaten[[Rank Verteilung Krümmung]:[Verteilung Krümmung]],2,FALSE)</f>
        <v>#N/A</v>
      </c>
      <c r="Z4207">
        <v>4198</v>
      </c>
      <c r="AA4207" t="e">
        <f>INDEX(Stammdaten[Ovalität (']0,1'])],MATCH(Tabelle1014[[#This Row],[Rank]],Stammdaten[Rank Verteilung Ovalität],0))</f>
        <v>#N/A</v>
      </c>
      <c r="AB4207" t="e">
        <f>VLOOKUP(Tabelle1014[[#This Row],[Rank]],Stammdaten[[Rank Verteilung Ovalität]:[Verteilung Ovalität]],2,FALSE)</f>
        <v>#N/A</v>
      </c>
    </row>
    <row r="4208" spans="5:28" x14ac:dyDescent="0.35">
      <c r="E4208">
        <v>4199</v>
      </c>
      <c r="F4208" t="e">
        <f>INDEX(Stammdaten[D Mitte mit Rinde (mm)],MATCH(Tabelle8[[#This Row],[Rank]],Stammdaten[Rank Verteilung D Mitte mit Rinde],0))</f>
        <v>#N/A</v>
      </c>
      <c r="G4208" t="e">
        <f>VLOOKUP(Tabelle8[[#This Row],[Rank]],Stammdaten[[Rank Verteilung D Mitte mit Rinde]:[Verteilung D Mitte mit Rinde]],2,FALSE)</f>
        <v>#N/A</v>
      </c>
      <c r="L4208">
        <v>4199</v>
      </c>
      <c r="M4208" t="e">
        <f>INDEX(Stammdaten[Abholzigkeit (mm/lfm)],MATCH(Tabelle9[[#This Row],[Rank]],Stammdaten[Rank Verteilung Abholzigkeit],0))</f>
        <v>#N/A</v>
      </c>
      <c r="N4208" t="e">
        <f>VLOOKUP(Tabelle9[[#This Row],[Rank]],Stammdaten[[Rank Verteilung Abholzigkeit]:[Verteilung Abholzigkeit]],2,FALSE)</f>
        <v>#N/A</v>
      </c>
      <c r="S4208">
        <v>4199</v>
      </c>
      <c r="T4208" t="e">
        <f>INDEX(Stammdaten[Krümmung (mm/lfm)],MATCH(Tabelle10[[#This Row],[Rank]],Stammdaten[Rank Verteilung Krümmung],0))</f>
        <v>#N/A</v>
      </c>
      <c r="U4208" t="e">
        <f>VLOOKUP(Tabelle10[[#This Row],[Rank]],Stammdaten[[Rank Verteilung Krümmung]:[Verteilung Krümmung]],2,FALSE)</f>
        <v>#N/A</v>
      </c>
      <c r="Z4208">
        <v>4199</v>
      </c>
      <c r="AA4208" t="e">
        <f>INDEX(Stammdaten[Ovalität (']0,1'])],MATCH(Tabelle1014[[#This Row],[Rank]],Stammdaten[Rank Verteilung Ovalität],0))</f>
        <v>#N/A</v>
      </c>
      <c r="AB4208" t="e">
        <f>VLOOKUP(Tabelle1014[[#This Row],[Rank]],Stammdaten[[Rank Verteilung Ovalität]:[Verteilung Ovalität]],2,FALSE)</f>
        <v>#N/A</v>
      </c>
    </row>
    <row r="4209" spans="5:28" x14ac:dyDescent="0.35">
      <c r="E4209">
        <v>4200</v>
      </c>
      <c r="F4209" t="e">
        <f>INDEX(Stammdaten[D Mitte mit Rinde (mm)],MATCH(Tabelle8[[#This Row],[Rank]],Stammdaten[Rank Verteilung D Mitte mit Rinde],0))</f>
        <v>#N/A</v>
      </c>
      <c r="G4209" t="e">
        <f>VLOOKUP(Tabelle8[[#This Row],[Rank]],Stammdaten[[Rank Verteilung D Mitte mit Rinde]:[Verteilung D Mitte mit Rinde]],2,FALSE)</f>
        <v>#N/A</v>
      </c>
      <c r="L4209">
        <v>4200</v>
      </c>
      <c r="M4209" t="e">
        <f>INDEX(Stammdaten[Abholzigkeit (mm/lfm)],MATCH(Tabelle9[[#This Row],[Rank]],Stammdaten[Rank Verteilung Abholzigkeit],0))</f>
        <v>#N/A</v>
      </c>
      <c r="N4209" t="e">
        <f>VLOOKUP(Tabelle9[[#This Row],[Rank]],Stammdaten[[Rank Verteilung Abholzigkeit]:[Verteilung Abholzigkeit]],2,FALSE)</f>
        <v>#N/A</v>
      </c>
      <c r="S4209">
        <v>4200</v>
      </c>
      <c r="T4209" t="e">
        <f>INDEX(Stammdaten[Krümmung (mm/lfm)],MATCH(Tabelle10[[#This Row],[Rank]],Stammdaten[Rank Verteilung Krümmung],0))</f>
        <v>#N/A</v>
      </c>
      <c r="U4209" t="e">
        <f>VLOOKUP(Tabelle10[[#This Row],[Rank]],Stammdaten[[Rank Verteilung Krümmung]:[Verteilung Krümmung]],2,FALSE)</f>
        <v>#N/A</v>
      </c>
      <c r="Z4209">
        <v>4200</v>
      </c>
      <c r="AA4209" t="e">
        <f>INDEX(Stammdaten[Ovalität (']0,1'])],MATCH(Tabelle1014[[#This Row],[Rank]],Stammdaten[Rank Verteilung Ovalität],0))</f>
        <v>#N/A</v>
      </c>
      <c r="AB4209" t="e">
        <f>VLOOKUP(Tabelle1014[[#This Row],[Rank]],Stammdaten[[Rank Verteilung Ovalität]:[Verteilung Ovalität]],2,FALSE)</f>
        <v>#N/A</v>
      </c>
    </row>
    <row r="4210" spans="5:28" x14ac:dyDescent="0.35">
      <c r="E4210">
        <v>4201</v>
      </c>
      <c r="F4210" t="e">
        <f>INDEX(Stammdaten[D Mitte mit Rinde (mm)],MATCH(Tabelle8[[#This Row],[Rank]],Stammdaten[Rank Verteilung D Mitte mit Rinde],0))</f>
        <v>#N/A</v>
      </c>
      <c r="G4210" t="e">
        <f>VLOOKUP(Tabelle8[[#This Row],[Rank]],Stammdaten[[Rank Verteilung D Mitte mit Rinde]:[Verteilung D Mitte mit Rinde]],2,FALSE)</f>
        <v>#N/A</v>
      </c>
      <c r="L4210">
        <v>4201</v>
      </c>
      <c r="M4210" t="e">
        <f>INDEX(Stammdaten[Abholzigkeit (mm/lfm)],MATCH(Tabelle9[[#This Row],[Rank]],Stammdaten[Rank Verteilung Abholzigkeit],0))</f>
        <v>#N/A</v>
      </c>
      <c r="N4210" t="e">
        <f>VLOOKUP(Tabelle9[[#This Row],[Rank]],Stammdaten[[Rank Verteilung Abholzigkeit]:[Verteilung Abholzigkeit]],2,FALSE)</f>
        <v>#N/A</v>
      </c>
      <c r="S4210">
        <v>4201</v>
      </c>
      <c r="T4210" t="e">
        <f>INDEX(Stammdaten[Krümmung (mm/lfm)],MATCH(Tabelle10[[#This Row],[Rank]],Stammdaten[Rank Verteilung Krümmung],0))</f>
        <v>#N/A</v>
      </c>
      <c r="U4210" t="e">
        <f>VLOOKUP(Tabelle10[[#This Row],[Rank]],Stammdaten[[Rank Verteilung Krümmung]:[Verteilung Krümmung]],2,FALSE)</f>
        <v>#N/A</v>
      </c>
      <c r="Z4210">
        <v>4201</v>
      </c>
      <c r="AA4210" t="e">
        <f>INDEX(Stammdaten[Ovalität (']0,1'])],MATCH(Tabelle1014[[#This Row],[Rank]],Stammdaten[Rank Verteilung Ovalität],0))</f>
        <v>#N/A</v>
      </c>
      <c r="AB4210" t="e">
        <f>VLOOKUP(Tabelle1014[[#This Row],[Rank]],Stammdaten[[Rank Verteilung Ovalität]:[Verteilung Ovalität]],2,FALSE)</f>
        <v>#N/A</v>
      </c>
    </row>
    <row r="4211" spans="5:28" x14ac:dyDescent="0.35">
      <c r="E4211">
        <v>4202</v>
      </c>
      <c r="F4211" t="e">
        <f>INDEX(Stammdaten[D Mitte mit Rinde (mm)],MATCH(Tabelle8[[#This Row],[Rank]],Stammdaten[Rank Verteilung D Mitte mit Rinde],0))</f>
        <v>#N/A</v>
      </c>
      <c r="G4211" t="e">
        <f>VLOOKUP(Tabelle8[[#This Row],[Rank]],Stammdaten[[Rank Verteilung D Mitte mit Rinde]:[Verteilung D Mitte mit Rinde]],2,FALSE)</f>
        <v>#N/A</v>
      </c>
      <c r="L4211">
        <v>4202</v>
      </c>
      <c r="M4211" t="e">
        <f>INDEX(Stammdaten[Abholzigkeit (mm/lfm)],MATCH(Tabelle9[[#This Row],[Rank]],Stammdaten[Rank Verteilung Abholzigkeit],0))</f>
        <v>#N/A</v>
      </c>
      <c r="N4211" t="e">
        <f>VLOOKUP(Tabelle9[[#This Row],[Rank]],Stammdaten[[Rank Verteilung Abholzigkeit]:[Verteilung Abholzigkeit]],2,FALSE)</f>
        <v>#N/A</v>
      </c>
      <c r="S4211">
        <v>4202</v>
      </c>
      <c r="T4211" t="e">
        <f>INDEX(Stammdaten[Krümmung (mm/lfm)],MATCH(Tabelle10[[#This Row],[Rank]],Stammdaten[Rank Verteilung Krümmung],0))</f>
        <v>#N/A</v>
      </c>
      <c r="U4211" t="e">
        <f>VLOOKUP(Tabelle10[[#This Row],[Rank]],Stammdaten[[Rank Verteilung Krümmung]:[Verteilung Krümmung]],2,FALSE)</f>
        <v>#N/A</v>
      </c>
      <c r="Z4211">
        <v>4202</v>
      </c>
      <c r="AA4211" t="e">
        <f>INDEX(Stammdaten[Ovalität (']0,1'])],MATCH(Tabelle1014[[#This Row],[Rank]],Stammdaten[Rank Verteilung Ovalität],0))</f>
        <v>#N/A</v>
      </c>
      <c r="AB4211" t="e">
        <f>VLOOKUP(Tabelle1014[[#This Row],[Rank]],Stammdaten[[Rank Verteilung Ovalität]:[Verteilung Ovalität]],2,FALSE)</f>
        <v>#N/A</v>
      </c>
    </row>
    <row r="4212" spans="5:28" x14ac:dyDescent="0.35">
      <c r="E4212">
        <v>4203</v>
      </c>
      <c r="F4212" t="e">
        <f>INDEX(Stammdaten[D Mitte mit Rinde (mm)],MATCH(Tabelle8[[#This Row],[Rank]],Stammdaten[Rank Verteilung D Mitte mit Rinde],0))</f>
        <v>#N/A</v>
      </c>
      <c r="G4212" t="e">
        <f>VLOOKUP(Tabelle8[[#This Row],[Rank]],Stammdaten[[Rank Verteilung D Mitte mit Rinde]:[Verteilung D Mitte mit Rinde]],2,FALSE)</f>
        <v>#N/A</v>
      </c>
      <c r="L4212">
        <v>4203</v>
      </c>
      <c r="M4212" t="e">
        <f>INDEX(Stammdaten[Abholzigkeit (mm/lfm)],MATCH(Tabelle9[[#This Row],[Rank]],Stammdaten[Rank Verteilung Abholzigkeit],0))</f>
        <v>#N/A</v>
      </c>
      <c r="N4212" t="e">
        <f>VLOOKUP(Tabelle9[[#This Row],[Rank]],Stammdaten[[Rank Verteilung Abholzigkeit]:[Verteilung Abholzigkeit]],2,FALSE)</f>
        <v>#N/A</v>
      </c>
      <c r="S4212">
        <v>4203</v>
      </c>
      <c r="T4212" t="e">
        <f>INDEX(Stammdaten[Krümmung (mm/lfm)],MATCH(Tabelle10[[#This Row],[Rank]],Stammdaten[Rank Verteilung Krümmung],0))</f>
        <v>#N/A</v>
      </c>
      <c r="U4212" t="e">
        <f>VLOOKUP(Tabelle10[[#This Row],[Rank]],Stammdaten[[Rank Verteilung Krümmung]:[Verteilung Krümmung]],2,FALSE)</f>
        <v>#N/A</v>
      </c>
      <c r="Z4212">
        <v>4203</v>
      </c>
      <c r="AA4212" t="e">
        <f>INDEX(Stammdaten[Ovalität (']0,1'])],MATCH(Tabelle1014[[#This Row],[Rank]],Stammdaten[Rank Verteilung Ovalität],0))</f>
        <v>#N/A</v>
      </c>
      <c r="AB4212" t="e">
        <f>VLOOKUP(Tabelle1014[[#This Row],[Rank]],Stammdaten[[Rank Verteilung Ovalität]:[Verteilung Ovalität]],2,FALSE)</f>
        <v>#N/A</v>
      </c>
    </row>
    <row r="4213" spans="5:28" x14ac:dyDescent="0.35">
      <c r="E4213">
        <v>4204</v>
      </c>
      <c r="F4213" t="e">
        <f>INDEX(Stammdaten[D Mitte mit Rinde (mm)],MATCH(Tabelle8[[#This Row],[Rank]],Stammdaten[Rank Verteilung D Mitte mit Rinde],0))</f>
        <v>#N/A</v>
      </c>
      <c r="G4213" t="e">
        <f>VLOOKUP(Tabelle8[[#This Row],[Rank]],Stammdaten[[Rank Verteilung D Mitte mit Rinde]:[Verteilung D Mitte mit Rinde]],2,FALSE)</f>
        <v>#N/A</v>
      </c>
      <c r="L4213">
        <v>4204</v>
      </c>
      <c r="M4213" t="e">
        <f>INDEX(Stammdaten[Abholzigkeit (mm/lfm)],MATCH(Tabelle9[[#This Row],[Rank]],Stammdaten[Rank Verteilung Abholzigkeit],0))</f>
        <v>#N/A</v>
      </c>
      <c r="N4213" t="e">
        <f>VLOOKUP(Tabelle9[[#This Row],[Rank]],Stammdaten[[Rank Verteilung Abholzigkeit]:[Verteilung Abholzigkeit]],2,FALSE)</f>
        <v>#N/A</v>
      </c>
      <c r="S4213">
        <v>4204</v>
      </c>
      <c r="T4213" t="e">
        <f>INDEX(Stammdaten[Krümmung (mm/lfm)],MATCH(Tabelle10[[#This Row],[Rank]],Stammdaten[Rank Verteilung Krümmung],0))</f>
        <v>#N/A</v>
      </c>
      <c r="U4213" t="e">
        <f>VLOOKUP(Tabelle10[[#This Row],[Rank]],Stammdaten[[Rank Verteilung Krümmung]:[Verteilung Krümmung]],2,FALSE)</f>
        <v>#N/A</v>
      </c>
      <c r="Z4213">
        <v>4204</v>
      </c>
      <c r="AA4213" t="e">
        <f>INDEX(Stammdaten[Ovalität (']0,1'])],MATCH(Tabelle1014[[#This Row],[Rank]],Stammdaten[Rank Verteilung Ovalität],0))</f>
        <v>#N/A</v>
      </c>
      <c r="AB4213" t="e">
        <f>VLOOKUP(Tabelle1014[[#This Row],[Rank]],Stammdaten[[Rank Verteilung Ovalität]:[Verteilung Ovalität]],2,FALSE)</f>
        <v>#N/A</v>
      </c>
    </row>
    <row r="4214" spans="5:28" x14ac:dyDescent="0.35">
      <c r="E4214">
        <v>4205</v>
      </c>
      <c r="F4214" t="e">
        <f>INDEX(Stammdaten[D Mitte mit Rinde (mm)],MATCH(Tabelle8[[#This Row],[Rank]],Stammdaten[Rank Verteilung D Mitte mit Rinde],0))</f>
        <v>#N/A</v>
      </c>
      <c r="G4214" t="e">
        <f>VLOOKUP(Tabelle8[[#This Row],[Rank]],Stammdaten[[Rank Verteilung D Mitte mit Rinde]:[Verteilung D Mitte mit Rinde]],2,FALSE)</f>
        <v>#N/A</v>
      </c>
      <c r="L4214">
        <v>4205</v>
      </c>
      <c r="M4214" t="e">
        <f>INDEX(Stammdaten[Abholzigkeit (mm/lfm)],MATCH(Tabelle9[[#This Row],[Rank]],Stammdaten[Rank Verteilung Abholzigkeit],0))</f>
        <v>#N/A</v>
      </c>
      <c r="N4214" t="e">
        <f>VLOOKUP(Tabelle9[[#This Row],[Rank]],Stammdaten[[Rank Verteilung Abholzigkeit]:[Verteilung Abholzigkeit]],2,FALSE)</f>
        <v>#N/A</v>
      </c>
      <c r="S4214">
        <v>4205</v>
      </c>
      <c r="T4214" t="e">
        <f>INDEX(Stammdaten[Krümmung (mm/lfm)],MATCH(Tabelle10[[#This Row],[Rank]],Stammdaten[Rank Verteilung Krümmung],0))</f>
        <v>#N/A</v>
      </c>
      <c r="U4214" t="e">
        <f>VLOOKUP(Tabelle10[[#This Row],[Rank]],Stammdaten[[Rank Verteilung Krümmung]:[Verteilung Krümmung]],2,FALSE)</f>
        <v>#N/A</v>
      </c>
      <c r="Z4214">
        <v>4205</v>
      </c>
      <c r="AA4214" t="e">
        <f>INDEX(Stammdaten[Ovalität (']0,1'])],MATCH(Tabelle1014[[#This Row],[Rank]],Stammdaten[Rank Verteilung Ovalität],0))</f>
        <v>#N/A</v>
      </c>
      <c r="AB4214" t="e">
        <f>VLOOKUP(Tabelle1014[[#This Row],[Rank]],Stammdaten[[Rank Verteilung Ovalität]:[Verteilung Ovalität]],2,FALSE)</f>
        <v>#N/A</v>
      </c>
    </row>
    <row r="4215" spans="5:28" x14ac:dyDescent="0.35">
      <c r="E4215">
        <v>4206</v>
      </c>
      <c r="F4215" t="e">
        <f>INDEX(Stammdaten[D Mitte mit Rinde (mm)],MATCH(Tabelle8[[#This Row],[Rank]],Stammdaten[Rank Verteilung D Mitte mit Rinde],0))</f>
        <v>#N/A</v>
      </c>
      <c r="G4215" t="e">
        <f>VLOOKUP(Tabelle8[[#This Row],[Rank]],Stammdaten[[Rank Verteilung D Mitte mit Rinde]:[Verteilung D Mitte mit Rinde]],2,FALSE)</f>
        <v>#N/A</v>
      </c>
      <c r="L4215">
        <v>4206</v>
      </c>
      <c r="M4215" t="e">
        <f>INDEX(Stammdaten[Abholzigkeit (mm/lfm)],MATCH(Tabelle9[[#This Row],[Rank]],Stammdaten[Rank Verteilung Abholzigkeit],0))</f>
        <v>#N/A</v>
      </c>
      <c r="N4215" t="e">
        <f>VLOOKUP(Tabelle9[[#This Row],[Rank]],Stammdaten[[Rank Verteilung Abholzigkeit]:[Verteilung Abholzigkeit]],2,FALSE)</f>
        <v>#N/A</v>
      </c>
      <c r="S4215">
        <v>4206</v>
      </c>
      <c r="T4215" t="e">
        <f>INDEX(Stammdaten[Krümmung (mm/lfm)],MATCH(Tabelle10[[#This Row],[Rank]],Stammdaten[Rank Verteilung Krümmung],0))</f>
        <v>#N/A</v>
      </c>
      <c r="U4215" t="e">
        <f>VLOOKUP(Tabelle10[[#This Row],[Rank]],Stammdaten[[Rank Verteilung Krümmung]:[Verteilung Krümmung]],2,FALSE)</f>
        <v>#N/A</v>
      </c>
      <c r="Z4215">
        <v>4206</v>
      </c>
      <c r="AA4215" t="e">
        <f>INDEX(Stammdaten[Ovalität (']0,1'])],MATCH(Tabelle1014[[#This Row],[Rank]],Stammdaten[Rank Verteilung Ovalität],0))</f>
        <v>#N/A</v>
      </c>
      <c r="AB4215" t="e">
        <f>VLOOKUP(Tabelle1014[[#This Row],[Rank]],Stammdaten[[Rank Verteilung Ovalität]:[Verteilung Ovalität]],2,FALSE)</f>
        <v>#N/A</v>
      </c>
    </row>
    <row r="4216" spans="5:28" x14ac:dyDescent="0.35">
      <c r="E4216">
        <v>4207</v>
      </c>
      <c r="F4216" t="e">
        <f>INDEX(Stammdaten[D Mitte mit Rinde (mm)],MATCH(Tabelle8[[#This Row],[Rank]],Stammdaten[Rank Verteilung D Mitte mit Rinde],0))</f>
        <v>#N/A</v>
      </c>
      <c r="G4216" t="e">
        <f>VLOOKUP(Tabelle8[[#This Row],[Rank]],Stammdaten[[Rank Verteilung D Mitte mit Rinde]:[Verteilung D Mitte mit Rinde]],2,FALSE)</f>
        <v>#N/A</v>
      </c>
      <c r="L4216">
        <v>4207</v>
      </c>
      <c r="M4216" t="e">
        <f>INDEX(Stammdaten[Abholzigkeit (mm/lfm)],MATCH(Tabelle9[[#This Row],[Rank]],Stammdaten[Rank Verteilung Abholzigkeit],0))</f>
        <v>#N/A</v>
      </c>
      <c r="N4216" t="e">
        <f>VLOOKUP(Tabelle9[[#This Row],[Rank]],Stammdaten[[Rank Verteilung Abholzigkeit]:[Verteilung Abholzigkeit]],2,FALSE)</f>
        <v>#N/A</v>
      </c>
      <c r="S4216">
        <v>4207</v>
      </c>
      <c r="T4216" t="e">
        <f>INDEX(Stammdaten[Krümmung (mm/lfm)],MATCH(Tabelle10[[#This Row],[Rank]],Stammdaten[Rank Verteilung Krümmung],0))</f>
        <v>#N/A</v>
      </c>
      <c r="U4216" t="e">
        <f>VLOOKUP(Tabelle10[[#This Row],[Rank]],Stammdaten[[Rank Verteilung Krümmung]:[Verteilung Krümmung]],2,FALSE)</f>
        <v>#N/A</v>
      </c>
      <c r="Z4216">
        <v>4207</v>
      </c>
      <c r="AA4216" t="e">
        <f>INDEX(Stammdaten[Ovalität (']0,1'])],MATCH(Tabelle1014[[#This Row],[Rank]],Stammdaten[Rank Verteilung Ovalität],0))</f>
        <v>#N/A</v>
      </c>
      <c r="AB4216" t="e">
        <f>VLOOKUP(Tabelle1014[[#This Row],[Rank]],Stammdaten[[Rank Verteilung Ovalität]:[Verteilung Ovalität]],2,FALSE)</f>
        <v>#N/A</v>
      </c>
    </row>
    <row r="4217" spans="5:28" x14ac:dyDescent="0.35">
      <c r="E4217">
        <v>4208</v>
      </c>
      <c r="F4217" t="e">
        <f>INDEX(Stammdaten[D Mitte mit Rinde (mm)],MATCH(Tabelle8[[#This Row],[Rank]],Stammdaten[Rank Verteilung D Mitte mit Rinde],0))</f>
        <v>#N/A</v>
      </c>
      <c r="G4217" t="e">
        <f>VLOOKUP(Tabelle8[[#This Row],[Rank]],Stammdaten[[Rank Verteilung D Mitte mit Rinde]:[Verteilung D Mitte mit Rinde]],2,FALSE)</f>
        <v>#N/A</v>
      </c>
      <c r="L4217">
        <v>4208</v>
      </c>
      <c r="M4217" t="e">
        <f>INDEX(Stammdaten[Abholzigkeit (mm/lfm)],MATCH(Tabelle9[[#This Row],[Rank]],Stammdaten[Rank Verteilung Abholzigkeit],0))</f>
        <v>#N/A</v>
      </c>
      <c r="N4217" t="e">
        <f>VLOOKUP(Tabelle9[[#This Row],[Rank]],Stammdaten[[Rank Verteilung Abholzigkeit]:[Verteilung Abholzigkeit]],2,FALSE)</f>
        <v>#N/A</v>
      </c>
      <c r="S4217">
        <v>4208</v>
      </c>
      <c r="T4217" t="e">
        <f>INDEX(Stammdaten[Krümmung (mm/lfm)],MATCH(Tabelle10[[#This Row],[Rank]],Stammdaten[Rank Verteilung Krümmung],0))</f>
        <v>#N/A</v>
      </c>
      <c r="U4217" t="e">
        <f>VLOOKUP(Tabelle10[[#This Row],[Rank]],Stammdaten[[Rank Verteilung Krümmung]:[Verteilung Krümmung]],2,FALSE)</f>
        <v>#N/A</v>
      </c>
      <c r="Z4217">
        <v>4208</v>
      </c>
      <c r="AA4217" t="e">
        <f>INDEX(Stammdaten[Ovalität (']0,1'])],MATCH(Tabelle1014[[#This Row],[Rank]],Stammdaten[Rank Verteilung Ovalität],0))</f>
        <v>#N/A</v>
      </c>
      <c r="AB4217" t="e">
        <f>VLOOKUP(Tabelle1014[[#This Row],[Rank]],Stammdaten[[Rank Verteilung Ovalität]:[Verteilung Ovalität]],2,FALSE)</f>
        <v>#N/A</v>
      </c>
    </row>
    <row r="4218" spans="5:28" x14ac:dyDescent="0.35">
      <c r="E4218">
        <v>4209</v>
      </c>
      <c r="F4218" t="e">
        <f>INDEX(Stammdaten[D Mitte mit Rinde (mm)],MATCH(Tabelle8[[#This Row],[Rank]],Stammdaten[Rank Verteilung D Mitte mit Rinde],0))</f>
        <v>#N/A</v>
      </c>
      <c r="G4218" t="e">
        <f>VLOOKUP(Tabelle8[[#This Row],[Rank]],Stammdaten[[Rank Verteilung D Mitte mit Rinde]:[Verteilung D Mitte mit Rinde]],2,FALSE)</f>
        <v>#N/A</v>
      </c>
      <c r="L4218">
        <v>4209</v>
      </c>
      <c r="M4218" t="e">
        <f>INDEX(Stammdaten[Abholzigkeit (mm/lfm)],MATCH(Tabelle9[[#This Row],[Rank]],Stammdaten[Rank Verteilung Abholzigkeit],0))</f>
        <v>#N/A</v>
      </c>
      <c r="N4218" t="e">
        <f>VLOOKUP(Tabelle9[[#This Row],[Rank]],Stammdaten[[Rank Verteilung Abholzigkeit]:[Verteilung Abholzigkeit]],2,FALSE)</f>
        <v>#N/A</v>
      </c>
      <c r="S4218">
        <v>4209</v>
      </c>
      <c r="T4218" t="e">
        <f>INDEX(Stammdaten[Krümmung (mm/lfm)],MATCH(Tabelle10[[#This Row],[Rank]],Stammdaten[Rank Verteilung Krümmung],0))</f>
        <v>#N/A</v>
      </c>
      <c r="U4218" t="e">
        <f>VLOOKUP(Tabelle10[[#This Row],[Rank]],Stammdaten[[Rank Verteilung Krümmung]:[Verteilung Krümmung]],2,FALSE)</f>
        <v>#N/A</v>
      </c>
      <c r="Z4218">
        <v>4209</v>
      </c>
      <c r="AA4218" t="e">
        <f>INDEX(Stammdaten[Ovalität (']0,1'])],MATCH(Tabelle1014[[#This Row],[Rank]],Stammdaten[Rank Verteilung Ovalität],0))</f>
        <v>#N/A</v>
      </c>
      <c r="AB4218" t="e">
        <f>VLOOKUP(Tabelle1014[[#This Row],[Rank]],Stammdaten[[Rank Verteilung Ovalität]:[Verteilung Ovalität]],2,FALSE)</f>
        <v>#N/A</v>
      </c>
    </row>
    <row r="4219" spans="5:28" x14ac:dyDescent="0.35">
      <c r="E4219">
        <v>4210</v>
      </c>
      <c r="F4219" t="e">
        <f>INDEX(Stammdaten[D Mitte mit Rinde (mm)],MATCH(Tabelle8[[#This Row],[Rank]],Stammdaten[Rank Verteilung D Mitte mit Rinde],0))</f>
        <v>#N/A</v>
      </c>
      <c r="G4219" t="e">
        <f>VLOOKUP(Tabelle8[[#This Row],[Rank]],Stammdaten[[Rank Verteilung D Mitte mit Rinde]:[Verteilung D Mitte mit Rinde]],2,FALSE)</f>
        <v>#N/A</v>
      </c>
      <c r="L4219">
        <v>4210</v>
      </c>
      <c r="M4219" t="e">
        <f>INDEX(Stammdaten[Abholzigkeit (mm/lfm)],MATCH(Tabelle9[[#This Row],[Rank]],Stammdaten[Rank Verteilung Abholzigkeit],0))</f>
        <v>#N/A</v>
      </c>
      <c r="N4219" t="e">
        <f>VLOOKUP(Tabelle9[[#This Row],[Rank]],Stammdaten[[Rank Verteilung Abholzigkeit]:[Verteilung Abholzigkeit]],2,FALSE)</f>
        <v>#N/A</v>
      </c>
      <c r="S4219">
        <v>4210</v>
      </c>
      <c r="T4219" t="e">
        <f>INDEX(Stammdaten[Krümmung (mm/lfm)],MATCH(Tabelle10[[#This Row],[Rank]],Stammdaten[Rank Verteilung Krümmung],0))</f>
        <v>#N/A</v>
      </c>
      <c r="U4219" t="e">
        <f>VLOOKUP(Tabelle10[[#This Row],[Rank]],Stammdaten[[Rank Verteilung Krümmung]:[Verteilung Krümmung]],2,FALSE)</f>
        <v>#N/A</v>
      </c>
      <c r="Z4219">
        <v>4210</v>
      </c>
      <c r="AA4219" t="e">
        <f>INDEX(Stammdaten[Ovalität (']0,1'])],MATCH(Tabelle1014[[#This Row],[Rank]],Stammdaten[Rank Verteilung Ovalität],0))</f>
        <v>#N/A</v>
      </c>
      <c r="AB4219" t="e">
        <f>VLOOKUP(Tabelle1014[[#This Row],[Rank]],Stammdaten[[Rank Verteilung Ovalität]:[Verteilung Ovalität]],2,FALSE)</f>
        <v>#N/A</v>
      </c>
    </row>
    <row r="4220" spans="5:28" x14ac:dyDescent="0.35">
      <c r="E4220">
        <v>4211</v>
      </c>
      <c r="F4220" t="e">
        <f>INDEX(Stammdaten[D Mitte mit Rinde (mm)],MATCH(Tabelle8[[#This Row],[Rank]],Stammdaten[Rank Verteilung D Mitte mit Rinde],0))</f>
        <v>#N/A</v>
      </c>
      <c r="G4220" t="e">
        <f>VLOOKUP(Tabelle8[[#This Row],[Rank]],Stammdaten[[Rank Verteilung D Mitte mit Rinde]:[Verteilung D Mitte mit Rinde]],2,FALSE)</f>
        <v>#N/A</v>
      </c>
      <c r="L4220">
        <v>4211</v>
      </c>
      <c r="M4220" t="e">
        <f>INDEX(Stammdaten[Abholzigkeit (mm/lfm)],MATCH(Tabelle9[[#This Row],[Rank]],Stammdaten[Rank Verteilung Abholzigkeit],0))</f>
        <v>#N/A</v>
      </c>
      <c r="N4220" t="e">
        <f>VLOOKUP(Tabelle9[[#This Row],[Rank]],Stammdaten[[Rank Verteilung Abholzigkeit]:[Verteilung Abholzigkeit]],2,FALSE)</f>
        <v>#N/A</v>
      </c>
      <c r="S4220">
        <v>4211</v>
      </c>
      <c r="T4220" t="e">
        <f>INDEX(Stammdaten[Krümmung (mm/lfm)],MATCH(Tabelle10[[#This Row],[Rank]],Stammdaten[Rank Verteilung Krümmung],0))</f>
        <v>#N/A</v>
      </c>
      <c r="U4220" t="e">
        <f>VLOOKUP(Tabelle10[[#This Row],[Rank]],Stammdaten[[Rank Verteilung Krümmung]:[Verteilung Krümmung]],2,FALSE)</f>
        <v>#N/A</v>
      </c>
      <c r="Z4220">
        <v>4211</v>
      </c>
      <c r="AA4220" t="e">
        <f>INDEX(Stammdaten[Ovalität (']0,1'])],MATCH(Tabelle1014[[#This Row],[Rank]],Stammdaten[Rank Verteilung Ovalität],0))</f>
        <v>#N/A</v>
      </c>
      <c r="AB4220" t="e">
        <f>VLOOKUP(Tabelle1014[[#This Row],[Rank]],Stammdaten[[Rank Verteilung Ovalität]:[Verteilung Ovalität]],2,FALSE)</f>
        <v>#N/A</v>
      </c>
    </row>
    <row r="4221" spans="5:28" x14ac:dyDescent="0.35">
      <c r="E4221">
        <v>4212</v>
      </c>
      <c r="F4221" t="e">
        <f>INDEX(Stammdaten[D Mitte mit Rinde (mm)],MATCH(Tabelle8[[#This Row],[Rank]],Stammdaten[Rank Verteilung D Mitte mit Rinde],0))</f>
        <v>#N/A</v>
      </c>
      <c r="G4221" t="e">
        <f>VLOOKUP(Tabelle8[[#This Row],[Rank]],Stammdaten[[Rank Verteilung D Mitte mit Rinde]:[Verteilung D Mitte mit Rinde]],2,FALSE)</f>
        <v>#N/A</v>
      </c>
      <c r="L4221">
        <v>4212</v>
      </c>
      <c r="M4221" t="e">
        <f>INDEX(Stammdaten[Abholzigkeit (mm/lfm)],MATCH(Tabelle9[[#This Row],[Rank]],Stammdaten[Rank Verteilung Abholzigkeit],0))</f>
        <v>#N/A</v>
      </c>
      <c r="N4221" t="e">
        <f>VLOOKUP(Tabelle9[[#This Row],[Rank]],Stammdaten[[Rank Verteilung Abholzigkeit]:[Verteilung Abholzigkeit]],2,FALSE)</f>
        <v>#N/A</v>
      </c>
      <c r="S4221">
        <v>4212</v>
      </c>
      <c r="T4221" t="e">
        <f>INDEX(Stammdaten[Krümmung (mm/lfm)],MATCH(Tabelle10[[#This Row],[Rank]],Stammdaten[Rank Verteilung Krümmung],0))</f>
        <v>#N/A</v>
      </c>
      <c r="U4221" t="e">
        <f>VLOOKUP(Tabelle10[[#This Row],[Rank]],Stammdaten[[Rank Verteilung Krümmung]:[Verteilung Krümmung]],2,FALSE)</f>
        <v>#N/A</v>
      </c>
      <c r="Z4221">
        <v>4212</v>
      </c>
      <c r="AA4221" t="e">
        <f>INDEX(Stammdaten[Ovalität (']0,1'])],MATCH(Tabelle1014[[#This Row],[Rank]],Stammdaten[Rank Verteilung Ovalität],0))</f>
        <v>#N/A</v>
      </c>
      <c r="AB4221" t="e">
        <f>VLOOKUP(Tabelle1014[[#This Row],[Rank]],Stammdaten[[Rank Verteilung Ovalität]:[Verteilung Ovalität]],2,FALSE)</f>
        <v>#N/A</v>
      </c>
    </row>
    <row r="4222" spans="5:28" x14ac:dyDescent="0.35">
      <c r="E4222">
        <v>4213</v>
      </c>
      <c r="F4222" t="e">
        <f>INDEX(Stammdaten[D Mitte mit Rinde (mm)],MATCH(Tabelle8[[#This Row],[Rank]],Stammdaten[Rank Verteilung D Mitte mit Rinde],0))</f>
        <v>#N/A</v>
      </c>
      <c r="G4222" t="e">
        <f>VLOOKUP(Tabelle8[[#This Row],[Rank]],Stammdaten[[Rank Verteilung D Mitte mit Rinde]:[Verteilung D Mitte mit Rinde]],2,FALSE)</f>
        <v>#N/A</v>
      </c>
      <c r="L4222">
        <v>4213</v>
      </c>
      <c r="M4222" t="e">
        <f>INDEX(Stammdaten[Abholzigkeit (mm/lfm)],MATCH(Tabelle9[[#This Row],[Rank]],Stammdaten[Rank Verteilung Abholzigkeit],0))</f>
        <v>#N/A</v>
      </c>
      <c r="N4222" t="e">
        <f>VLOOKUP(Tabelle9[[#This Row],[Rank]],Stammdaten[[Rank Verteilung Abholzigkeit]:[Verteilung Abholzigkeit]],2,FALSE)</f>
        <v>#N/A</v>
      </c>
      <c r="S4222">
        <v>4213</v>
      </c>
      <c r="T4222" t="e">
        <f>INDEX(Stammdaten[Krümmung (mm/lfm)],MATCH(Tabelle10[[#This Row],[Rank]],Stammdaten[Rank Verteilung Krümmung],0))</f>
        <v>#N/A</v>
      </c>
      <c r="U4222" t="e">
        <f>VLOOKUP(Tabelle10[[#This Row],[Rank]],Stammdaten[[Rank Verteilung Krümmung]:[Verteilung Krümmung]],2,FALSE)</f>
        <v>#N/A</v>
      </c>
      <c r="Z4222">
        <v>4213</v>
      </c>
      <c r="AA4222" t="e">
        <f>INDEX(Stammdaten[Ovalität (']0,1'])],MATCH(Tabelle1014[[#This Row],[Rank]],Stammdaten[Rank Verteilung Ovalität],0))</f>
        <v>#N/A</v>
      </c>
      <c r="AB4222" t="e">
        <f>VLOOKUP(Tabelle1014[[#This Row],[Rank]],Stammdaten[[Rank Verteilung Ovalität]:[Verteilung Ovalität]],2,FALSE)</f>
        <v>#N/A</v>
      </c>
    </row>
    <row r="4223" spans="5:28" x14ac:dyDescent="0.35">
      <c r="E4223">
        <v>4214</v>
      </c>
      <c r="F4223" t="e">
        <f>INDEX(Stammdaten[D Mitte mit Rinde (mm)],MATCH(Tabelle8[[#This Row],[Rank]],Stammdaten[Rank Verteilung D Mitte mit Rinde],0))</f>
        <v>#N/A</v>
      </c>
      <c r="G4223" t="e">
        <f>VLOOKUP(Tabelle8[[#This Row],[Rank]],Stammdaten[[Rank Verteilung D Mitte mit Rinde]:[Verteilung D Mitte mit Rinde]],2,FALSE)</f>
        <v>#N/A</v>
      </c>
      <c r="L4223">
        <v>4214</v>
      </c>
      <c r="M4223" t="e">
        <f>INDEX(Stammdaten[Abholzigkeit (mm/lfm)],MATCH(Tabelle9[[#This Row],[Rank]],Stammdaten[Rank Verteilung Abholzigkeit],0))</f>
        <v>#N/A</v>
      </c>
      <c r="N4223" t="e">
        <f>VLOOKUP(Tabelle9[[#This Row],[Rank]],Stammdaten[[Rank Verteilung Abholzigkeit]:[Verteilung Abholzigkeit]],2,FALSE)</f>
        <v>#N/A</v>
      </c>
      <c r="S4223">
        <v>4214</v>
      </c>
      <c r="T4223" t="e">
        <f>INDEX(Stammdaten[Krümmung (mm/lfm)],MATCH(Tabelle10[[#This Row],[Rank]],Stammdaten[Rank Verteilung Krümmung],0))</f>
        <v>#N/A</v>
      </c>
      <c r="U4223" t="e">
        <f>VLOOKUP(Tabelle10[[#This Row],[Rank]],Stammdaten[[Rank Verteilung Krümmung]:[Verteilung Krümmung]],2,FALSE)</f>
        <v>#N/A</v>
      </c>
      <c r="Z4223">
        <v>4214</v>
      </c>
      <c r="AA4223" t="e">
        <f>INDEX(Stammdaten[Ovalität (']0,1'])],MATCH(Tabelle1014[[#This Row],[Rank]],Stammdaten[Rank Verteilung Ovalität],0))</f>
        <v>#N/A</v>
      </c>
      <c r="AB4223" t="e">
        <f>VLOOKUP(Tabelle1014[[#This Row],[Rank]],Stammdaten[[Rank Verteilung Ovalität]:[Verteilung Ovalität]],2,FALSE)</f>
        <v>#N/A</v>
      </c>
    </row>
    <row r="4224" spans="5:28" x14ac:dyDescent="0.35">
      <c r="E4224">
        <v>4215</v>
      </c>
      <c r="F4224" t="e">
        <f>INDEX(Stammdaten[D Mitte mit Rinde (mm)],MATCH(Tabelle8[[#This Row],[Rank]],Stammdaten[Rank Verteilung D Mitte mit Rinde],0))</f>
        <v>#N/A</v>
      </c>
      <c r="G4224" t="e">
        <f>VLOOKUP(Tabelle8[[#This Row],[Rank]],Stammdaten[[Rank Verteilung D Mitte mit Rinde]:[Verteilung D Mitte mit Rinde]],2,FALSE)</f>
        <v>#N/A</v>
      </c>
      <c r="L4224">
        <v>4215</v>
      </c>
      <c r="M4224" t="e">
        <f>INDEX(Stammdaten[Abholzigkeit (mm/lfm)],MATCH(Tabelle9[[#This Row],[Rank]],Stammdaten[Rank Verteilung Abholzigkeit],0))</f>
        <v>#N/A</v>
      </c>
      <c r="N4224" t="e">
        <f>VLOOKUP(Tabelle9[[#This Row],[Rank]],Stammdaten[[Rank Verteilung Abholzigkeit]:[Verteilung Abholzigkeit]],2,FALSE)</f>
        <v>#N/A</v>
      </c>
      <c r="S4224">
        <v>4215</v>
      </c>
      <c r="T4224" t="e">
        <f>INDEX(Stammdaten[Krümmung (mm/lfm)],MATCH(Tabelle10[[#This Row],[Rank]],Stammdaten[Rank Verteilung Krümmung],0))</f>
        <v>#N/A</v>
      </c>
      <c r="U4224" t="e">
        <f>VLOOKUP(Tabelle10[[#This Row],[Rank]],Stammdaten[[Rank Verteilung Krümmung]:[Verteilung Krümmung]],2,FALSE)</f>
        <v>#N/A</v>
      </c>
      <c r="Z4224">
        <v>4215</v>
      </c>
      <c r="AA4224" t="e">
        <f>INDEX(Stammdaten[Ovalität (']0,1'])],MATCH(Tabelle1014[[#This Row],[Rank]],Stammdaten[Rank Verteilung Ovalität],0))</f>
        <v>#N/A</v>
      </c>
      <c r="AB4224" t="e">
        <f>VLOOKUP(Tabelle1014[[#This Row],[Rank]],Stammdaten[[Rank Verteilung Ovalität]:[Verteilung Ovalität]],2,FALSE)</f>
        <v>#N/A</v>
      </c>
    </row>
    <row r="4225" spans="5:28" x14ac:dyDescent="0.35">
      <c r="E4225">
        <v>4216</v>
      </c>
      <c r="F4225" t="e">
        <f>INDEX(Stammdaten[D Mitte mit Rinde (mm)],MATCH(Tabelle8[[#This Row],[Rank]],Stammdaten[Rank Verteilung D Mitte mit Rinde],0))</f>
        <v>#N/A</v>
      </c>
      <c r="G4225" t="e">
        <f>VLOOKUP(Tabelle8[[#This Row],[Rank]],Stammdaten[[Rank Verteilung D Mitte mit Rinde]:[Verteilung D Mitte mit Rinde]],2,FALSE)</f>
        <v>#N/A</v>
      </c>
      <c r="L4225">
        <v>4216</v>
      </c>
      <c r="M4225" t="e">
        <f>INDEX(Stammdaten[Abholzigkeit (mm/lfm)],MATCH(Tabelle9[[#This Row],[Rank]],Stammdaten[Rank Verteilung Abholzigkeit],0))</f>
        <v>#N/A</v>
      </c>
      <c r="N4225" t="e">
        <f>VLOOKUP(Tabelle9[[#This Row],[Rank]],Stammdaten[[Rank Verteilung Abholzigkeit]:[Verteilung Abholzigkeit]],2,FALSE)</f>
        <v>#N/A</v>
      </c>
      <c r="S4225">
        <v>4216</v>
      </c>
      <c r="T4225" t="e">
        <f>INDEX(Stammdaten[Krümmung (mm/lfm)],MATCH(Tabelle10[[#This Row],[Rank]],Stammdaten[Rank Verteilung Krümmung],0))</f>
        <v>#N/A</v>
      </c>
      <c r="U4225" t="e">
        <f>VLOOKUP(Tabelle10[[#This Row],[Rank]],Stammdaten[[Rank Verteilung Krümmung]:[Verteilung Krümmung]],2,FALSE)</f>
        <v>#N/A</v>
      </c>
      <c r="Z4225">
        <v>4216</v>
      </c>
      <c r="AA4225" t="e">
        <f>INDEX(Stammdaten[Ovalität (']0,1'])],MATCH(Tabelle1014[[#This Row],[Rank]],Stammdaten[Rank Verteilung Ovalität],0))</f>
        <v>#N/A</v>
      </c>
      <c r="AB4225" t="e">
        <f>VLOOKUP(Tabelle1014[[#This Row],[Rank]],Stammdaten[[Rank Verteilung Ovalität]:[Verteilung Ovalität]],2,FALSE)</f>
        <v>#N/A</v>
      </c>
    </row>
    <row r="4226" spans="5:28" x14ac:dyDescent="0.35">
      <c r="E4226">
        <v>4217</v>
      </c>
      <c r="F4226" t="e">
        <f>INDEX(Stammdaten[D Mitte mit Rinde (mm)],MATCH(Tabelle8[[#This Row],[Rank]],Stammdaten[Rank Verteilung D Mitte mit Rinde],0))</f>
        <v>#N/A</v>
      </c>
      <c r="G4226" t="e">
        <f>VLOOKUP(Tabelle8[[#This Row],[Rank]],Stammdaten[[Rank Verteilung D Mitte mit Rinde]:[Verteilung D Mitte mit Rinde]],2,FALSE)</f>
        <v>#N/A</v>
      </c>
      <c r="L4226">
        <v>4217</v>
      </c>
      <c r="M4226" t="e">
        <f>INDEX(Stammdaten[Abholzigkeit (mm/lfm)],MATCH(Tabelle9[[#This Row],[Rank]],Stammdaten[Rank Verteilung Abholzigkeit],0))</f>
        <v>#N/A</v>
      </c>
      <c r="N4226" t="e">
        <f>VLOOKUP(Tabelle9[[#This Row],[Rank]],Stammdaten[[Rank Verteilung Abholzigkeit]:[Verteilung Abholzigkeit]],2,FALSE)</f>
        <v>#N/A</v>
      </c>
      <c r="S4226">
        <v>4217</v>
      </c>
      <c r="T4226" t="e">
        <f>INDEX(Stammdaten[Krümmung (mm/lfm)],MATCH(Tabelle10[[#This Row],[Rank]],Stammdaten[Rank Verteilung Krümmung],0))</f>
        <v>#N/A</v>
      </c>
      <c r="U4226" t="e">
        <f>VLOOKUP(Tabelle10[[#This Row],[Rank]],Stammdaten[[Rank Verteilung Krümmung]:[Verteilung Krümmung]],2,FALSE)</f>
        <v>#N/A</v>
      </c>
      <c r="Z4226">
        <v>4217</v>
      </c>
      <c r="AA4226" t="e">
        <f>INDEX(Stammdaten[Ovalität (']0,1'])],MATCH(Tabelle1014[[#This Row],[Rank]],Stammdaten[Rank Verteilung Ovalität],0))</f>
        <v>#N/A</v>
      </c>
      <c r="AB4226" t="e">
        <f>VLOOKUP(Tabelle1014[[#This Row],[Rank]],Stammdaten[[Rank Verteilung Ovalität]:[Verteilung Ovalität]],2,FALSE)</f>
        <v>#N/A</v>
      </c>
    </row>
    <row r="4227" spans="5:28" x14ac:dyDescent="0.35">
      <c r="E4227">
        <v>4218</v>
      </c>
      <c r="F4227" t="e">
        <f>INDEX(Stammdaten[D Mitte mit Rinde (mm)],MATCH(Tabelle8[[#This Row],[Rank]],Stammdaten[Rank Verteilung D Mitte mit Rinde],0))</f>
        <v>#N/A</v>
      </c>
      <c r="G4227" t="e">
        <f>VLOOKUP(Tabelle8[[#This Row],[Rank]],Stammdaten[[Rank Verteilung D Mitte mit Rinde]:[Verteilung D Mitte mit Rinde]],2,FALSE)</f>
        <v>#N/A</v>
      </c>
      <c r="L4227">
        <v>4218</v>
      </c>
      <c r="M4227" t="e">
        <f>INDEX(Stammdaten[Abholzigkeit (mm/lfm)],MATCH(Tabelle9[[#This Row],[Rank]],Stammdaten[Rank Verteilung Abholzigkeit],0))</f>
        <v>#N/A</v>
      </c>
      <c r="N4227" t="e">
        <f>VLOOKUP(Tabelle9[[#This Row],[Rank]],Stammdaten[[Rank Verteilung Abholzigkeit]:[Verteilung Abholzigkeit]],2,FALSE)</f>
        <v>#N/A</v>
      </c>
      <c r="S4227">
        <v>4218</v>
      </c>
      <c r="T4227" t="e">
        <f>INDEX(Stammdaten[Krümmung (mm/lfm)],MATCH(Tabelle10[[#This Row],[Rank]],Stammdaten[Rank Verteilung Krümmung],0))</f>
        <v>#N/A</v>
      </c>
      <c r="U4227" t="e">
        <f>VLOOKUP(Tabelle10[[#This Row],[Rank]],Stammdaten[[Rank Verteilung Krümmung]:[Verteilung Krümmung]],2,FALSE)</f>
        <v>#N/A</v>
      </c>
      <c r="Z4227">
        <v>4218</v>
      </c>
      <c r="AA4227" t="e">
        <f>INDEX(Stammdaten[Ovalität (']0,1'])],MATCH(Tabelle1014[[#This Row],[Rank]],Stammdaten[Rank Verteilung Ovalität],0))</f>
        <v>#N/A</v>
      </c>
      <c r="AB4227" t="e">
        <f>VLOOKUP(Tabelle1014[[#This Row],[Rank]],Stammdaten[[Rank Verteilung Ovalität]:[Verteilung Ovalität]],2,FALSE)</f>
        <v>#N/A</v>
      </c>
    </row>
    <row r="4228" spans="5:28" x14ac:dyDescent="0.35">
      <c r="E4228">
        <v>4219</v>
      </c>
      <c r="F4228" t="e">
        <f>INDEX(Stammdaten[D Mitte mit Rinde (mm)],MATCH(Tabelle8[[#This Row],[Rank]],Stammdaten[Rank Verteilung D Mitte mit Rinde],0))</f>
        <v>#N/A</v>
      </c>
      <c r="G4228" t="e">
        <f>VLOOKUP(Tabelle8[[#This Row],[Rank]],Stammdaten[[Rank Verteilung D Mitte mit Rinde]:[Verteilung D Mitte mit Rinde]],2,FALSE)</f>
        <v>#N/A</v>
      </c>
      <c r="L4228">
        <v>4219</v>
      </c>
      <c r="M4228" t="e">
        <f>INDEX(Stammdaten[Abholzigkeit (mm/lfm)],MATCH(Tabelle9[[#This Row],[Rank]],Stammdaten[Rank Verteilung Abholzigkeit],0))</f>
        <v>#N/A</v>
      </c>
      <c r="N4228" t="e">
        <f>VLOOKUP(Tabelle9[[#This Row],[Rank]],Stammdaten[[Rank Verteilung Abholzigkeit]:[Verteilung Abholzigkeit]],2,FALSE)</f>
        <v>#N/A</v>
      </c>
      <c r="S4228">
        <v>4219</v>
      </c>
      <c r="T4228" t="e">
        <f>INDEX(Stammdaten[Krümmung (mm/lfm)],MATCH(Tabelle10[[#This Row],[Rank]],Stammdaten[Rank Verteilung Krümmung],0))</f>
        <v>#N/A</v>
      </c>
      <c r="U4228" t="e">
        <f>VLOOKUP(Tabelle10[[#This Row],[Rank]],Stammdaten[[Rank Verteilung Krümmung]:[Verteilung Krümmung]],2,FALSE)</f>
        <v>#N/A</v>
      </c>
      <c r="Z4228">
        <v>4219</v>
      </c>
      <c r="AA4228" t="e">
        <f>INDEX(Stammdaten[Ovalität (']0,1'])],MATCH(Tabelle1014[[#This Row],[Rank]],Stammdaten[Rank Verteilung Ovalität],0))</f>
        <v>#N/A</v>
      </c>
      <c r="AB4228" t="e">
        <f>VLOOKUP(Tabelle1014[[#This Row],[Rank]],Stammdaten[[Rank Verteilung Ovalität]:[Verteilung Ovalität]],2,FALSE)</f>
        <v>#N/A</v>
      </c>
    </row>
    <row r="4229" spans="5:28" x14ac:dyDescent="0.35">
      <c r="E4229">
        <v>4220</v>
      </c>
      <c r="F4229" t="e">
        <f>INDEX(Stammdaten[D Mitte mit Rinde (mm)],MATCH(Tabelle8[[#This Row],[Rank]],Stammdaten[Rank Verteilung D Mitte mit Rinde],0))</f>
        <v>#N/A</v>
      </c>
      <c r="G4229" t="e">
        <f>VLOOKUP(Tabelle8[[#This Row],[Rank]],Stammdaten[[Rank Verteilung D Mitte mit Rinde]:[Verteilung D Mitte mit Rinde]],2,FALSE)</f>
        <v>#N/A</v>
      </c>
      <c r="L4229">
        <v>4220</v>
      </c>
      <c r="M4229" t="e">
        <f>INDEX(Stammdaten[Abholzigkeit (mm/lfm)],MATCH(Tabelle9[[#This Row],[Rank]],Stammdaten[Rank Verteilung Abholzigkeit],0))</f>
        <v>#N/A</v>
      </c>
      <c r="N4229" t="e">
        <f>VLOOKUP(Tabelle9[[#This Row],[Rank]],Stammdaten[[Rank Verteilung Abholzigkeit]:[Verteilung Abholzigkeit]],2,FALSE)</f>
        <v>#N/A</v>
      </c>
      <c r="S4229">
        <v>4220</v>
      </c>
      <c r="T4229" t="e">
        <f>INDEX(Stammdaten[Krümmung (mm/lfm)],MATCH(Tabelle10[[#This Row],[Rank]],Stammdaten[Rank Verteilung Krümmung],0))</f>
        <v>#N/A</v>
      </c>
      <c r="U4229" t="e">
        <f>VLOOKUP(Tabelle10[[#This Row],[Rank]],Stammdaten[[Rank Verteilung Krümmung]:[Verteilung Krümmung]],2,FALSE)</f>
        <v>#N/A</v>
      </c>
      <c r="Z4229">
        <v>4220</v>
      </c>
      <c r="AA4229" t="e">
        <f>INDEX(Stammdaten[Ovalität (']0,1'])],MATCH(Tabelle1014[[#This Row],[Rank]],Stammdaten[Rank Verteilung Ovalität],0))</f>
        <v>#N/A</v>
      </c>
      <c r="AB4229" t="e">
        <f>VLOOKUP(Tabelle1014[[#This Row],[Rank]],Stammdaten[[Rank Verteilung Ovalität]:[Verteilung Ovalität]],2,FALSE)</f>
        <v>#N/A</v>
      </c>
    </row>
    <row r="4230" spans="5:28" x14ac:dyDescent="0.35">
      <c r="E4230">
        <v>4221</v>
      </c>
      <c r="F4230" t="e">
        <f>INDEX(Stammdaten[D Mitte mit Rinde (mm)],MATCH(Tabelle8[[#This Row],[Rank]],Stammdaten[Rank Verteilung D Mitte mit Rinde],0))</f>
        <v>#N/A</v>
      </c>
      <c r="G4230" t="e">
        <f>VLOOKUP(Tabelle8[[#This Row],[Rank]],Stammdaten[[Rank Verteilung D Mitte mit Rinde]:[Verteilung D Mitte mit Rinde]],2,FALSE)</f>
        <v>#N/A</v>
      </c>
      <c r="L4230">
        <v>4221</v>
      </c>
      <c r="M4230" t="e">
        <f>INDEX(Stammdaten[Abholzigkeit (mm/lfm)],MATCH(Tabelle9[[#This Row],[Rank]],Stammdaten[Rank Verteilung Abholzigkeit],0))</f>
        <v>#N/A</v>
      </c>
      <c r="N4230" t="e">
        <f>VLOOKUP(Tabelle9[[#This Row],[Rank]],Stammdaten[[Rank Verteilung Abholzigkeit]:[Verteilung Abholzigkeit]],2,FALSE)</f>
        <v>#N/A</v>
      </c>
      <c r="S4230">
        <v>4221</v>
      </c>
      <c r="T4230" t="e">
        <f>INDEX(Stammdaten[Krümmung (mm/lfm)],MATCH(Tabelle10[[#This Row],[Rank]],Stammdaten[Rank Verteilung Krümmung],0))</f>
        <v>#N/A</v>
      </c>
      <c r="U4230" t="e">
        <f>VLOOKUP(Tabelle10[[#This Row],[Rank]],Stammdaten[[Rank Verteilung Krümmung]:[Verteilung Krümmung]],2,FALSE)</f>
        <v>#N/A</v>
      </c>
      <c r="Z4230">
        <v>4221</v>
      </c>
      <c r="AA4230" t="e">
        <f>INDEX(Stammdaten[Ovalität (']0,1'])],MATCH(Tabelle1014[[#This Row],[Rank]],Stammdaten[Rank Verteilung Ovalität],0))</f>
        <v>#N/A</v>
      </c>
      <c r="AB4230" t="e">
        <f>VLOOKUP(Tabelle1014[[#This Row],[Rank]],Stammdaten[[Rank Verteilung Ovalität]:[Verteilung Ovalität]],2,FALSE)</f>
        <v>#N/A</v>
      </c>
    </row>
    <row r="4231" spans="5:28" x14ac:dyDescent="0.35">
      <c r="E4231">
        <v>4222</v>
      </c>
      <c r="F4231" t="e">
        <f>INDEX(Stammdaten[D Mitte mit Rinde (mm)],MATCH(Tabelle8[[#This Row],[Rank]],Stammdaten[Rank Verteilung D Mitte mit Rinde],0))</f>
        <v>#N/A</v>
      </c>
      <c r="G4231" t="e">
        <f>VLOOKUP(Tabelle8[[#This Row],[Rank]],Stammdaten[[Rank Verteilung D Mitte mit Rinde]:[Verteilung D Mitte mit Rinde]],2,FALSE)</f>
        <v>#N/A</v>
      </c>
      <c r="L4231">
        <v>4222</v>
      </c>
      <c r="M4231" t="e">
        <f>INDEX(Stammdaten[Abholzigkeit (mm/lfm)],MATCH(Tabelle9[[#This Row],[Rank]],Stammdaten[Rank Verteilung Abholzigkeit],0))</f>
        <v>#N/A</v>
      </c>
      <c r="N4231" t="e">
        <f>VLOOKUP(Tabelle9[[#This Row],[Rank]],Stammdaten[[Rank Verteilung Abholzigkeit]:[Verteilung Abholzigkeit]],2,FALSE)</f>
        <v>#N/A</v>
      </c>
      <c r="S4231">
        <v>4222</v>
      </c>
      <c r="T4231" t="e">
        <f>INDEX(Stammdaten[Krümmung (mm/lfm)],MATCH(Tabelle10[[#This Row],[Rank]],Stammdaten[Rank Verteilung Krümmung],0))</f>
        <v>#N/A</v>
      </c>
      <c r="U4231" t="e">
        <f>VLOOKUP(Tabelle10[[#This Row],[Rank]],Stammdaten[[Rank Verteilung Krümmung]:[Verteilung Krümmung]],2,FALSE)</f>
        <v>#N/A</v>
      </c>
      <c r="Z4231">
        <v>4222</v>
      </c>
      <c r="AA4231" t="e">
        <f>INDEX(Stammdaten[Ovalität (']0,1'])],MATCH(Tabelle1014[[#This Row],[Rank]],Stammdaten[Rank Verteilung Ovalität],0))</f>
        <v>#N/A</v>
      </c>
      <c r="AB4231" t="e">
        <f>VLOOKUP(Tabelle1014[[#This Row],[Rank]],Stammdaten[[Rank Verteilung Ovalität]:[Verteilung Ovalität]],2,FALSE)</f>
        <v>#N/A</v>
      </c>
    </row>
    <row r="4232" spans="5:28" x14ac:dyDescent="0.35">
      <c r="E4232">
        <v>4223</v>
      </c>
      <c r="F4232" t="e">
        <f>INDEX(Stammdaten[D Mitte mit Rinde (mm)],MATCH(Tabelle8[[#This Row],[Rank]],Stammdaten[Rank Verteilung D Mitte mit Rinde],0))</f>
        <v>#N/A</v>
      </c>
      <c r="G4232" t="e">
        <f>VLOOKUP(Tabelle8[[#This Row],[Rank]],Stammdaten[[Rank Verteilung D Mitte mit Rinde]:[Verteilung D Mitte mit Rinde]],2,FALSE)</f>
        <v>#N/A</v>
      </c>
      <c r="L4232">
        <v>4223</v>
      </c>
      <c r="M4232" t="e">
        <f>INDEX(Stammdaten[Abholzigkeit (mm/lfm)],MATCH(Tabelle9[[#This Row],[Rank]],Stammdaten[Rank Verteilung Abholzigkeit],0))</f>
        <v>#N/A</v>
      </c>
      <c r="N4232" t="e">
        <f>VLOOKUP(Tabelle9[[#This Row],[Rank]],Stammdaten[[Rank Verteilung Abholzigkeit]:[Verteilung Abholzigkeit]],2,FALSE)</f>
        <v>#N/A</v>
      </c>
      <c r="S4232">
        <v>4223</v>
      </c>
      <c r="T4232" t="e">
        <f>INDEX(Stammdaten[Krümmung (mm/lfm)],MATCH(Tabelle10[[#This Row],[Rank]],Stammdaten[Rank Verteilung Krümmung],0))</f>
        <v>#N/A</v>
      </c>
      <c r="U4232" t="e">
        <f>VLOOKUP(Tabelle10[[#This Row],[Rank]],Stammdaten[[Rank Verteilung Krümmung]:[Verteilung Krümmung]],2,FALSE)</f>
        <v>#N/A</v>
      </c>
      <c r="Z4232">
        <v>4223</v>
      </c>
      <c r="AA4232" t="e">
        <f>INDEX(Stammdaten[Ovalität (']0,1'])],MATCH(Tabelle1014[[#This Row],[Rank]],Stammdaten[Rank Verteilung Ovalität],0))</f>
        <v>#N/A</v>
      </c>
      <c r="AB4232" t="e">
        <f>VLOOKUP(Tabelle1014[[#This Row],[Rank]],Stammdaten[[Rank Verteilung Ovalität]:[Verteilung Ovalität]],2,FALSE)</f>
        <v>#N/A</v>
      </c>
    </row>
    <row r="4233" spans="5:28" x14ac:dyDescent="0.35">
      <c r="E4233">
        <v>4224</v>
      </c>
      <c r="F4233" t="e">
        <f>INDEX(Stammdaten[D Mitte mit Rinde (mm)],MATCH(Tabelle8[[#This Row],[Rank]],Stammdaten[Rank Verteilung D Mitte mit Rinde],0))</f>
        <v>#N/A</v>
      </c>
      <c r="G4233" t="e">
        <f>VLOOKUP(Tabelle8[[#This Row],[Rank]],Stammdaten[[Rank Verteilung D Mitte mit Rinde]:[Verteilung D Mitte mit Rinde]],2,FALSE)</f>
        <v>#N/A</v>
      </c>
      <c r="L4233">
        <v>4224</v>
      </c>
      <c r="M4233" t="e">
        <f>INDEX(Stammdaten[Abholzigkeit (mm/lfm)],MATCH(Tabelle9[[#This Row],[Rank]],Stammdaten[Rank Verteilung Abholzigkeit],0))</f>
        <v>#N/A</v>
      </c>
      <c r="N4233" t="e">
        <f>VLOOKUP(Tabelle9[[#This Row],[Rank]],Stammdaten[[Rank Verteilung Abholzigkeit]:[Verteilung Abholzigkeit]],2,FALSE)</f>
        <v>#N/A</v>
      </c>
      <c r="S4233">
        <v>4224</v>
      </c>
      <c r="T4233" t="e">
        <f>INDEX(Stammdaten[Krümmung (mm/lfm)],MATCH(Tabelle10[[#This Row],[Rank]],Stammdaten[Rank Verteilung Krümmung],0))</f>
        <v>#N/A</v>
      </c>
      <c r="U4233" t="e">
        <f>VLOOKUP(Tabelle10[[#This Row],[Rank]],Stammdaten[[Rank Verteilung Krümmung]:[Verteilung Krümmung]],2,FALSE)</f>
        <v>#N/A</v>
      </c>
      <c r="Z4233">
        <v>4224</v>
      </c>
      <c r="AA4233" t="e">
        <f>INDEX(Stammdaten[Ovalität (']0,1'])],MATCH(Tabelle1014[[#This Row],[Rank]],Stammdaten[Rank Verteilung Ovalität],0))</f>
        <v>#N/A</v>
      </c>
      <c r="AB4233" t="e">
        <f>VLOOKUP(Tabelle1014[[#This Row],[Rank]],Stammdaten[[Rank Verteilung Ovalität]:[Verteilung Ovalität]],2,FALSE)</f>
        <v>#N/A</v>
      </c>
    </row>
    <row r="4234" spans="5:28" x14ac:dyDescent="0.35">
      <c r="E4234">
        <v>4225</v>
      </c>
      <c r="F4234" t="e">
        <f>INDEX(Stammdaten[D Mitte mit Rinde (mm)],MATCH(Tabelle8[[#This Row],[Rank]],Stammdaten[Rank Verteilung D Mitte mit Rinde],0))</f>
        <v>#N/A</v>
      </c>
      <c r="G4234" t="e">
        <f>VLOOKUP(Tabelle8[[#This Row],[Rank]],Stammdaten[[Rank Verteilung D Mitte mit Rinde]:[Verteilung D Mitte mit Rinde]],2,FALSE)</f>
        <v>#N/A</v>
      </c>
      <c r="L4234">
        <v>4225</v>
      </c>
      <c r="M4234" t="e">
        <f>INDEX(Stammdaten[Abholzigkeit (mm/lfm)],MATCH(Tabelle9[[#This Row],[Rank]],Stammdaten[Rank Verteilung Abholzigkeit],0))</f>
        <v>#N/A</v>
      </c>
      <c r="N4234" t="e">
        <f>VLOOKUP(Tabelle9[[#This Row],[Rank]],Stammdaten[[Rank Verteilung Abholzigkeit]:[Verteilung Abholzigkeit]],2,FALSE)</f>
        <v>#N/A</v>
      </c>
      <c r="S4234">
        <v>4225</v>
      </c>
      <c r="T4234" t="e">
        <f>INDEX(Stammdaten[Krümmung (mm/lfm)],MATCH(Tabelle10[[#This Row],[Rank]],Stammdaten[Rank Verteilung Krümmung],0))</f>
        <v>#N/A</v>
      </c>
      <c r="U4234" t="e">
        <f>VLOOKUP(Tabelle10[[#This Row],[Rank]],Stammdaten[[Rank Verteilung Krümmung]:[Verteilung Krümmung]],2,FALSE)</f>
        <v>#N/A</v>
      </c>
      <c r="Z4234">
        <v>4225</v>
      </c>
      <c r="AA4234" t="e">
        <f>INDEX(Stammdaten[Ovalität (']0,1'])],MATCH(Tabelle1014[[#This Row],[Rank]],Stammdaten[Rank Verteilung Ovalität],0))</f>
        <v>#N/A</v>
      </c>
      <c r="AB4234" t="e">
        <f>VLOOKUP(Tabelle1014[[#This Row],[Rank]],Stammdaten[[Rank Verteilung Ovalität]:[Verteilung Ovalität]],2,FALSE)</f>
        <v>#N/A</v>
      </c>
    </row>
    <row r="4235" spans="5:28" x14ac:dyDescent="0.35">
      <c r="E4235">
        <v>4226</v>
      </c>
      <c r="F4235" t="e">
        <f>INDEX(Stammdaten[D Mitte mit Rinde (mm)],MATCH(Tabelle8[[#This Row],[Rank]],Stammdaten[Rank Verteilung D Mitte mit Rinde],0))</f>
        <v>#N/A</v>
      </c>
      <c r="G4235" t="e">
        <f>VLOOKUP(Tabelle8[[#This Row],[Rank]],Stammdaten[[Rank Verteilung D Mitte mit Rinde]:[Verteilung D Mitte mit Rinde]],2,FALSE)</f>
        <v>#N/A</v>
      </c>
      <c r="L4235">
        <v>4226</v>
      </c>
      <c r="M4235" t="e">
        <f>INDEX(Stammdaten[Abholzigkeit (mm/lfm)],MATCH(Tabelle9[[#This Row],[Rank]],Stammdaten[Rank Verteilung Abholzigkeit],0))</f>
        <v>#N/A</v>
      </c>
      <c r="N4235" t="e">
        <f>VLOOKUP(Tabelle9[[#This Row],[Rank]],Stammdaten[[Rank Verteilung Abholzigkeit]:[Verteilung Abholzigkeit]],2,FALSE)</f>
        <v>#N/A</v>
      </c>
      <c r="S4235">
        <v>4226</v>
      </c>
      <c r="T4235" t="e">
        <f>INDEX(Stammdaten[Krümmung (mm/lfm)],MATCH(Tabelle10[[#This Row],[Rank]],Stammdaten[Rank Verteilung Krümmung],0))</f>
        <v>#N/A</v>
      </c>
      <c r="U4235" t="e">
        <f>VLOOKUP(Tabelle10[[#This Row],[Rank]],Stammdaten[[Rank Verteilung Krümmung]:[Verteilung Krümmung]],2,FALSE)</f>
        <v>#N/A</v>
      </c>
      <c r="Z4235">
        <v>4226</v>
      </c>
      <c r="AA4235" t="e">
        <f>INDEX(Stammdaten[Ovalität (']0,1'])],MATCH(Tabelle1014[[#This Row],[Rank]],Stammdaten[Rank Verteilung Ovalität],0))</f>
        <v>#N/A</v>
      </c>
      <c r="AB4235" t="e">
        <f>VLOOKUP(Tabelle1014[[#This Row],[Rank]],Stammdaten[[Rank Verteilung Ovalität]:[Verteilung Ovalität]],2,FALSE)</f>
        <v>#N/A</v>
      </c>
    </row>
    <row r="4236" spans="5:28" x14ac:dyDescent="0.35">
      <c r="E4236">
        <v>4227</v>
      </c>
      <c r="F4236" t="e">
        <f>INDEX(Stammdaten[D Mitte mit Rinde (mm)],MATCH(Tabelle8[[#This Row],[Rank]],Stammdaten[Rank Verteilung D Mitte mit Rinde],0))</f>
        <v>#N/A</v>
      </c>
      <c r="G4236" t="e">
        <f>VLOOKUP(Tabelle8[[#This Row],[Rank]],Stammdaten[[Rank Verteilung D Mitte mit Rinde]:[Verteilung D Mitte mit Rinde]],2,FALSE)</f>
        <v>#N/A</v>
      </c>
      <c r="L4236">
        <v>4227</v>
      </c>
      <c r="M4236" t="e">
        <f>INDEX(Stammdaten[Abholzigkeit (mm/lfm)],MATCH(Tabelle9[[#This Row],[Rank]],Stammdaten[Rank Verteilung Abholzigkeit],0))</f>
        <v>#N/A</v>
      </c>
      <c r="N4236" t="e">
        <f>VLOOKUP(Tabelle9[[#This Row],[Rank]],Stammdaten[[Rank Verteilung Abholzigkeit]:[Verteilung Abholzigkeit]],2,FALSE)</f>
        <v>#N/A</v>
      </c>
      <c r="S4236">
        <v>4227</v>
      </c>
      <c r="T4236" t="e">
        <f>INDEX(Stammdaten[Krümmung (mm/lfm)],MATCH(Tabelle10[[#This Row],[Rank]],Stammdaten[Rank Verteilung Krümmung],0))</f>
        <v>#N/A</v>
      </c>
      <c r="U4236" t="e">
        <f>VLOOKUP(Tabelle10[[#This Row],[Rank]],Stammdaten[[Rank Verteilung Krümmung]:[Verteilung Krümmung]],2,FALSE)</f>
        <v>#N/A</v>
      </c>
      <c r="Z4236">
        <v>4227</v>
      </c>
      <c r="AA4236" t="e">
        <f>INDEX(Stammdaten[Ovalität (']0,1'])],MATCH(Tabelle1014[[#This Row],[Rank]],Stammdaten[Rank Verteilung Ovalität],0))</f>
        <v>#N/A</v>
      </c>
      <c r="AB4236" t="e">
        <f>VLOOKUP(Tabelle1014[[#This Row],[Rank]],Stammdaten[[Rank Verteilung Ovalität]:[Verteilung Ovalität]],2,FALSE)</f>
        <v>#N/A</v>
      </c>
    </row>
    <row r="4237" spans="5:28" x14ac:dyDescent="0.35">
      <c r="E4237">
        <v>4228</v>
      </c>
      <c r="F4237" t="e">
        <f>INDEX(Stammdaten[D Mitte mit Rinde (mm)],MATCH(Tabelle8[[#This Row],[Rank]],Stammdaten[Rank Verteilung D Mitte mit Rinde],0))</f>
        <v>#N/A</v>
      </c>
      <c r="G4237" t="e">
        <f>VLOOKUP(Tabelle8[[#This Row],[Rank]],Stammdaten[[Rank Verteilung D Mitte mit Rinde]:[Verteilung D Mitte mit Rinde]],2,FALSE)</f>
        <v>#N/A</v>
      </c>
      <c r="L4237">
        <v>4228</v>
      </c>
      <c r="M4237" t="e">
        <f>INDEX(Stammdaten[Abholzigkeit (mm/lfm)],MATCH(Tabelle9[[#This Row],[Rank]],Stammdaten[Rank Verteilung Abholzigkeit],0))</f>
        <v>#N/A</v>
      </c>
      <c r="N4237" t="e">
        <f>VLOOKUP(Tabelle9[[#This Row],[Rank]],Stammdaten[[Rank Verteilung Abholzigkeit]:[Verteilung Abholzigkeit]],2,FALSE)</f>
        <v>#N/A</v>
      </c>
      <c r="S4237">
        <v>4228</v>
      </c>
      <c r="T4237" t="e">
        <f>INDEX(Stammdaten[Krümmung (mm/lfm)],MATCH(Tabelle10[[#This Row],[Rank]],Stammdaten[Rank Verteilung Krümmung],0))</f>
        <v>#N/A</v>
      </c>
      <c r="U4237" t="e">
        <f>VLOOKUP(Tabelle10[[#This Row],[Rank]],Stammdaten[[Rank Verteilung Krümmung]:[Verteilung Krümmung]],2,FALSE)</f>
        <v>#N/A</v>
      </c>
      <c r="Z4237">
        <v>4228</v>
      </c>
      <c r="AA4237" t="e">
        <f>INDEX(Stammdaten[Ovalität (']0,1'])],MATCH(Tabelle1014[[#This Row],[Rank]],Stammdaten[Rank Verteilung Ovalität],0))</f>
        <v>#N/A</v>
      </c>
      <c r="AB4237" t="e">
        <f>VLOOKUP(Tabelle1014[[#This Row],[Rank]],Stammdaten[[Rank Verteilung Ovalität]:[Verteilung Ovalität]],2,FALSE)</f>
        <v>#N/A</v>
      </c>
    </row>
    <row r="4238" spans="5:28" x14ac:dyDescent="0.35">
      <c r="E4238">
        <v>4229</v>
      </c>
      <c r="F4238" t="e">
        <f>INDEX(Stammdaten[D Mitte mit Rinde (mm)],MATCH(Tabelle8[[#This Row],[Rank]],Stammdaten[Rank Verteilung D Mitte mit Rinde],0))</f>
        <v>#N/A</v>
      </c>
      <c r="G4238" t="e">
        <f>VLOOKUP(Tabelle8[[#This Row],[Rank]],Stammdaten[[Rank Verteilung D Mitte mit Rinde]:[Verteilung D Mitte mit Rinde]],2,FALSE)</f>
        <v>#N/A</v>
      </c>
      <c r="L4238">
        <v>4229</v>
      </c>
      <c r="M4238" t="e">
        <f>INDEX(Stammdaten[Abholzigkeit (mm/lfm)],MATCH(Tabelle9[[#This Row],[Rank]],Stammdaten[Rank Verteilung Abholzigkeit],0))</f>
        <v>#N/A</v>
      </c>
      <c r="N4238" t="e">
        <f>VLOOKUP(Tabelle9[[#This Row],[Rank]],Stammdaten[[Rank Verteilung Abholzigkeit]:[Verteilung Abholzigkeit]],2,FALSE)</f>
        <v>#N/A</v>
      </c>
      <c r="S4238">
        <v>4229</v>
      </c>
      <c r="T4238" t="e">
        <f>INDEX(Stammdaten[Krümmung (mm/lfm)],MATCH(Tabelle10[[#This Row],[Rank]],Stammdaten[Rank Verteilung Krümmung],0))</f>
        <v>#N/A</v>
      </c>
      <c r="U4238" t="e">
        <f>VLOOKUP(Tabelle10[[#This Row],[Rank]],Stammdaten[[Rank Verteilung Krümmung]:[Verteilung Krümmung]],2,FALSE)</f>
        <v>#N/A</v>
      </c>
      <c r="Z4238">
        <v>4229</v>
      </c>
      <c r="AA4238" t="e">
        <f>INDEX(Stammdaten[Ovalität (']0,1'])],MATCH(Tabelle1014[[#This Row],[Rank]],Stammdaten[Rank Verteilung Ovalität],0))</f>
        <v>#N/A</v>
      </c>
      <c r="AB4238" t="e">
        <f>VLOOKUP(Tabelle1014[[#This Row],[Rank]],Stammdaten[[Rank Verteilung Ovalität]:[Verteilung Ovalität]],2,FALSE)</f>
        <v>#N/A</v>
      </c>
    </row>
    <row r="4239" spans="5:28" x14ac:dyDescent="0.35">
      <c r="E4239">
        <v>4230</v>
      </c>
      <c r="F4239" t="e">
        <f>INDEX(Stammdaten[D Mitte mit Rinde (mm)],MATCH(Tabelle8[[#This Row],[Rank]],Stammdaten[Rank Verteilung D Mitte mit Rinde],0))</f>
        <v>#N/A</v>
      </c>
      <c r="G4239" t="e">
        <f>VLOOKUP(Tabelle8[[#This Row],[Rank]],Stammdaten[[Rank Verteilung D Mitte mit Rinde]:[Verteilung D Mitte mit Rinde]],2,FALSE)</f>
        <v>#N/A</v>
      </c>
      <c r="L4239">
        <v>4230</v>
      </c>
      <c r="M4239" t="e">
        <f>INDEX(Stammdaten[Abholzigkeit (mm/lfm)],MATCH(Tabelle9[[#This Row],[Rank]],Stammdaten[Rank Verteilung Abholzigkeit],0))</f>
        <v>#N/A</v>
      </c>
      <c r="N4239" t="e">
        <f>VLOOKUP(Tabelle9[[#This Row],[Rank]],Stammdaten[[Rank Verteilung Abholzigkeit]:[Verteilung Abholzigkeit]],2,FALSE)</f>
        <v>#N/A</v>
      </c>
      <c r="S4239">
        <v>4230</v>
      </c>
      <c r="T4239" t="e">
        <f>INDEX(Stammdaten[Krümmung (mm/lfm)],MATCH(Tabelle10[[#This Row],[Rank]],Stammdaten[Rank Verteilung Krümmung],0))</f>
        <v>#N/A</v>
      </c>
      <c r="U4239" t="e">
        <f>VLOOKUP(Tabelle10[[#This Row],[Rank]],Stammdaten[[Rank Verteilung Krümmung]:[Verteilung Krümmung]],2,FALSE)</f>
        <v>#N/A</v>
      </c>
      <c r="Z4239">
        <v>4230</v>
      </c>
      <c r="AA4239" t="e">
        <f>INDEX(Stammdaten[Ovalität (']0,1'])],MATCH(Tabelle1014[[#This Row],[Rank]],Stammdaten[Rank Verteilung Ovalität],0))</f>
        <v>#N/A</v>
      </c>
      <c r="AB4239" t="e">
        <f>VLOOKUP(Tabelle1014[[#This Row],[Rank]],Stammdaten[[Rank Verteilung Ovalität]:[Verteilung Ovalität]],2,FALSE)</f>
        <v>#N/A</v>
      </c>
    </row>
    <row r="4240" spans="5:28" x14ac:dyDescent="0.35">
      <c r="E4240">
        <v>4231</v>
      </c>
      <c r="F4240" t="e">
        <f>INDEX(Stammdaten[D Mitte mit Rinde (mm)],MATCH(Tabelle8[[#This Row],[Rank]],Stammdaten[Rank Verteilung D Mitte mit Rinde],0))</f>
        <v>#N/A</v>
      </c>
      <c r="G4240" t="e">
        <f>VLOOKUP(Tabelle8[[#This Row],[Rank]],Stammdaten[[Rank Verteilung D Mitte mit Rinde]:[Verteilung D Mitte mit Rinde]],2,FALSE)</f>
        <v>#N/A</v>
      </c>
      <c r="L4240">
        <v>4231</v>
      </c>
      <c r="M4240" t="e">
        <f>INDEX(Stammdaten[Abholzigkeit (mm/lfm)],MATCH(Tabelle9[[#This Row],[Rank]],Stammdaten[Rank Verteilung Abholzigkeit],0))</f>
        <v>#N/A</v>
      </c>
      <c r="N4240" t="e">
        <f>VLOOKUP(Tabelle9[[#This Row],[Rank]],Stammdaten[[Rank Verteilung Abholzigkeit]:[Verteilung Abholzigkeit]],2,FALSE)</f>
        <v>#N/A</v>
      </c>
      <c r="S4240">
        <v>4231</v>
      </c>
      <c r="T4240" t="e">
        <f>INDEX(Stammdaten[Krümmung (mm/lfm)],MATCH(Tabelle10[[#This Row],[Rank]],Stammdaten[Rank Verteilung Krümmung],0))</f>
        <v>#N/A</v>
      </c>
      <c r="U4240" t="e">
        <f>VLOOKUP(Tabelle10[[#This Row],[Rank]],Stammdaten[[Rank Verteilung Krümmung]:[Verteilung Krümmung]],2,FALSE)</f>
        <v>#N/A</v>
      </c>
      <c r="Z4240">
        <v>4231</v>
      </c>
      <c r="AA4240" t="e">
        <f>INDEX(Stammdaten[Ovalität (']0,1'])],MATCH(Tabelle1014[[#This Row],[Rank]],Stammdaten[Rank Verteilung Ovalität],0))</f>
        <v>#N/A</v>
      </c>
      <c r="AB4240" t="e">
        <f>VLOOKUP(Tabelle1014[[#This Row],[Rank]],Stammdaten[[Rank Verteilung Ovalität]:[Verteilung Ovalität]],2,FALSE)</f>
        <v>#N/A</v>
      </c>
    </row>
    <row r="4241" spans="5:28" x14ac:dyDescent="0.35">
      <c r="E4241">
        <v>4232</v>
      </c>
      <c r="F4241" t="e">
        <f>INDEX(Stammdaten[D Mitte mit Rinde (mm)],MATCH(Tabelle8[[#This Row],[Rank]],Stammdaten[Rank Verteilung D Mitte mit Rinde],0))</f>
        <v>#N/A</v>
      </c>
      <c r="G4241" t="e">
        <f>VLOOKUP(Tabelle8[[#This Row],[Rank]],Stammdaten[[Rank Verteilung D Mitte mit Rinde]:[Verteilung D Mitte mit Rinde]],2,FALSE)</f>
        <v>#N/A</v>
      </c>
      <c r="L4241">
        <v>4232</v>
      </c>
      <c r="M4241" t="e">
        <f>INDEX(Stammdaten[Abholzigkeit (mm/lfm)],MATCH(Tabelle9[[#This Row],[Rank]],Stammdaten[Rank Verteilung Abholzigkeit],0))</f>
        <v>#N/A</v>
      </c>
      <c r="N4241" t="e">
        <f>VLOOKUP(Tabelle9[[#This Row],[Rank]],Stammdaten[[Rank Verteilung Abholzigkeit]:[Verteilung Abholzigkeit]],2,FALSE)</f>
        <v>#N/A</v>
      </c>
      <c r="S4241">
        <v>4232</v>
      </c>
      <c r="T4241" t="e">
        <f>INDEX(Stammdaten[Krümmung (mm/lfm)],MATCH(Tabelle10[[#This Row],[Rank]],Stammdaten[Rank Verteilung Krümmung],0))</f>
        <v>#N/A</v>
      </c>
      <c r="U4241" t="e">
        <f>VLOOKUP(Tabelle10[[#This Row],[Rank]],Stammdaten[[Rank Verteilung Krümmung]:[Verteilung Krümmung]],2,FALSE)</f>
        <v>#N/A</v>
      </c>
      <c r="Z4241">
        <v>4232</v>
      </c>
      <c r="AA4241" t="e">
        <f>INDEX(Stammdaten[Ovalität (']0,1'])],MATCH(Tabelle1014[[#This Row],[Rank]],Stammdaten[Rank Verteilung Ovalität],0))</f>
        <v>#N/A</v>
      </c>
      <c r="AB4241" t="e">
        <f>VLOOKUP(Tabelle1014[[#This Row],[Rank]],Stammdaten[[Rank Verteilung Ovalität]:[Verteilung Ovalität]],2,FALSE)</f>
        <v>#N/A</v>
      </c>
    </row>
    <row r="4242" spans="5:28" x14ac:dyDescent="0.35">
      <c r="E4242">
        <v>4233</v>
      </c>
      <c r="F4242" t="e">
        <f>INDEX(Stammdaten[D Mitte mit Rinde (mm)],MATCH(Tabelle8[[#This Row],[Rank]],Stammdaten[Rank Verteilung D Mitte mit Rinde],0))</f>
        <v>#N/A</v>
      </c>
      <c r="G4242" t="e">
        <f>VLOOKUP(Tabelle8[[#This Row],[Rank]],Stammdaten[[Rank Verteilung D Mitte mit Rinde]:[Verteilung D Mitte mit Rinde]],2,FALSE)</f>
        <v>#N/A</v>
      </c>
      <c r="L4242">
        <v>4233</v>
      </c>
      <c r="M4242" t="e">
        <f>INDEX(Stammdaten[Abholzigkeit (mm/lfm)],MATCH(Tabelle9[[#This Row],[Rank]],Stammdaten[Rank Verteilung Abholzigkeit],0))</f>
        <v>#N/A</v>
      </c>
      <c r="N4242" t="e">
        <f>VLOOKUP(Tabelle9[[#This Row],[Rank]],Stammdaten[[Rank Verteilung Abholzigkeit]:[Verteilung Abholzigkeit]],2,FALSE)</f>
        <v>#N/A</v>
      </c>
      <c r="S4242">
        <v>4233</v>
      </c>
      <c r="T4242" t="e">
        <f>INDEX(Stammdaten[Krümmung (mm/lfm)],MATCH(Tabelle10[[#This Row],[Rank]],Stammdaten[Rank Verteilung Krümmung],0))</f>
        <v>#N/A</v>
      </c>
      <c r="U4242" t="e">
        <f>VLOOKUP(Tabelle10[[#This Row],[Rank]],Stammdaten[[Rank Verteilung Krümmung]:[Verteilung Krümmung]],2,FALSE)</f>
        <v>#N/A</v>
      </c>
      <c r="Z4242">
        <v>4233</v>
      </c>
      <c r="AA4242" t="e">
        <f>INDEX(Stammdaten[Ovalität (']0,1'])],MATCH(Tabelle1014[[#This Row],[Rank]],Stammdaten[Rank Verteilung Ovalität],0))</f>
        <v>#N/A</v>
      </c>
      <c r="AB4242" t="e">
        <f>VLOOKUP(Tabelle1014[[#This Row],[Rank]],Stammdaten[[Rank Verteilung Ovalität]:[Verteilung Ovalität]],2,FALSE)</f>
        <v>#N/A</v>
      </c>
    </row>
    <row r="4243" spans="5:28" x14ac:dyDescent="0.35">
      <c r="E4243">
        <v>4234</v>
      </c>
      <c r="F4243" t="e">
        <f>INDEX(Stammdaten[D Mitte mit Rinde (mm)],MATCH(Tabelle8[[#This Row],[Rank]],Stammdaten[Rank Verteilung D Mitte mit Rinde],0))</f>
        <v>#N/A</v>
      </c>
      <c r="G4243" t="e">
        <f>VLOOKUP(Tabelle8[[#This Row],[Rank]],Stammdaten[[Rank Verteilung D Mitte mit Rinde]:[Verteilung D Mitte mit Rinde]],2,FALSE)</f>
        <v>#N/A</v>
      </c>
      <c r="L4243">
        <v>4234</v>
      </c>
      <c r="M4243" t="e">
        <f>INDEX(Stammdaten[Abholzigkeit (mm/lfm)],MATCH(Tabelle9[[#This Row],[Rank]],Stammdaten[Rank Verteilung Abholzigkeit],0))</f>
        <v>#N/A</v>
      </c>
      <c r="N4243" t="e">
        <f>VLOOKUP(Tabelle9[[#This Row],[Rank]],Stammdaten[[Rank Verteilung Abholzigkeit]:[Verteilung Abholzigkeit]],2,FALSE)</f>
        <v>#N/A</v>
      </c>
      <c r="S4243">
        <v>4234</v>
      </c>
      <c r="T4243" t="e">
        <f>INDEX(Stammdaten[Krümmung (mm/lfm)],MATCH(Tabelle10[[#This Row],[Rank]],Stammdaten[Rank Verteilung Krümmung],0))</f>
        <v>#N/A</v>
      </c>
      <c r="U4243" t="e">
        <f>VLOOKUP(Tabelle10[[#This Row],[Rank]],Stammdaten[[Rank Verteilung Krümmung]:[Verteilung Krümmung]],2,FALSE)</f>
        <v>#N/A</v>
      </c>
      <c r="Z4243">
        <v>4234</v>
      </c>
      <c r="AA4243" t="e">
        <f>INDEX(Stammdaten[Ovalität (']0,1'])],MATCH(Tabelle1014[[#This Row],[Rank]],Stammdaten[Rank Verteilung Ovalität],0))</f>
        <v>#N/A</v>
      </c>
      <c r="AB4243" t="e">
        <f>VLOOKUP(Tabelle1014[[#This Row],[Rank]],Stammdaten[[Rank Verteilung Ovalität]:[Verteilung Ovalität]],2,FALSE)</f>
        <v>#N/A</v>
      </c>
    </row>
    <row r="4244" spans="5:28" x14ac:dyDescent="0.35">
      <c r="E4244">
        <v>4235</v>
      </c>
      <c r="F4244" t="e">
        <f>INDEX(Stammdaten[D Mitte mit Rinde (mm)],MATCH(Tabelle8[[#This Row],[Rank]],Stammdaten[Rank Verteilung D Mitte mit Rinde],0))</f>
        <v>#N/A</v>
      </c>
      <c r="G4244" t="e">
        <f>VLOOKUP(Tabelle8[[#This Row],[Rank]],Stammdaten[[Rank Verteilung D Mitte mit Rinde]:[Verteilung D Mitte mit Rinde]],2,FALSE)</f>
        <v>#N/A</v>
      </c>
      <c r="L4244">
        <v>4235</v>
      </c>
      <c r="M4244" t="e">
        <f>INDEX(Stammdaten[Abholzigkeit (mm/lfm)],MATCH(Tabelle9[[#This Row],[Rank]],Stammdaten[Rank Verteilung Abholzigkeit],0))</f>
        <v>#N/A</v>
      </c>
      <c r="N4244" t="e">
        <f>VLOOKUP(Tabelle9[[#This Row],[Rank]],Stammdaten[[Rank Verteilung Abholzigkeit]:[Verteilung Abholzigkeit]],2,FALSE)</f>
        <v>#N/A</v>
      </c>
      <c r="S4244">
        <v>4235</v>
      </c>
      <c r="T4244" t="e">
        <f>INDEX(Stammdaten[Krümmung (mm/lfm)],MATCH(Tabelle10[[#This Row],[Rank]],Stammdaten[Rank Verteilung Krümmung],0))</f>
        <v>#N/A</v>
      </c>
      <c r="U4244" t="e">
        <f>VLOOKUP(Tabelle10[[#This Row],[Rank]],Stammdaten[[Rank Verteilung Krümmung]:[Verteilung Krümmung]],2,FALSE)</f>
        <v>#N/A</v>
      </c>
      <c r="Z4244">
        <v>4235</v>
      </c>
      <c r="AA4244" t="e">
        <f>INDEX(Stammdaten[Ovalität (']0,1'])],MATCH(Tabelle1014[[#This Row],[Rank]],Stammdaten[Rank Verteilung Ovalität],0))</f>
        <v>#N/A</v>
      </c>
      <c r="AB4244" t="e">
        <f>VLOOKUP(Tabelle1014[[#This Row],[Rank]],Stammdaten[[Rank Verteilung Ovalität]:[Verteilung Ovalität]],2,FALSE)</f>
        <v>#N/A</v>
      </c>
    </row>
    <row r="4245" spans="5:28" x14ac:dyDescent="0.35">
      <c r="E4245">
        <v>4236</v>
      </c>
      <c r="F4245" t="e">
        <f>INDEX(Stammdaten[D Mitte mit Rinde (mm)],MATCH(Tabelle8[[#This Row],[Rank]],Stammdaten[Rank Verteilung D Mitte mit Rinde],0))</f>
        <v>#N/A</v>
      </c>
      <c r="G4245" t="e">
        <f>VLOOKUP(Tabelle8[[#This Row],[Rank]],Stammdaten[[Rank Verteilung D Mitte mit Rinde]:[Verteilung D Mitte mit Rinde]],2,FALSE)</f>
        <v>#N/A</v>
      </c>
      <c r="L4245">
        <v>4236</v>
      </c>
      <c r="M4245" t="e">
        <f>INDEX(Stammdaten[Abholzigkeit (mm/lfm)],MATCH(Tabelle9[[#This Row],[Rank]],Stammdaten[Rank Verteilung Abholzigkeit],0))</f>
        <v>#N/A</v>
      </c>
      <c r="N4245" t="e">
        <f>VLOOKUP(Tabelle9[[#This Row],[Rank]],Stammdaten[[Rank Verteilung Abholzigkeit]:[Verteilung Abholzigkeit]],2,FALSE)</f>
        <v>#N/A</v>
      </c>
      <c r="S4245">
        <v>4236</v>
      </c>
      <c r="T4245" t="e">
        <f>INDEX(Stammdaten[Krümmung (mm/lfm)],MATCH(Tabelle10[[#This Row],[Rank]],Stammdaten[Rank Verteilung Krümmung],0))</f>
        <v>#N/A</v>
      </c>
      <c r="U4245" t="e">
        <f>VLOOKUP(Tabelle10[[#This Row],[Rank]],Stammdaten[[Rank Verteilung Krümmung]:[Verteilung Krümmung]],2,FALSE)</f>
        <v>#N/A</v>
      </c>
      <c r="Z4245">
        <v>4236</v>
      </c>
      <c r="AA4245" t="e">
        <f>INDEX(Stammdaten[Ovalität (']0,1'])],MATCH(Tabelle1014[[#This Row],[Rank]],Stammdaten[Rank Verteilung Ovalität],0))</f>
        <v>#N/A</v>
      </c>
      <c r="AB4245" t="e">
        <f>VLOOKUP(Tabelle1014[[#This Row],[Rank]],Stammdaten[[Rank Verteilung Ovalität]:[Verteilung Ovalität]],2,FALSE)</f>
        <v>#N/A</v>
      </c>
    </row>
    <row r="4246" spans="5:28" x14ac:dyDescent="0.35">
      <c r="E4246">
        <v>4237</v>
      </c>
      <c r="F4246" t="e">
        <f>INDEX(Stammdaten[D Mitte mit Rinde (mm)],MATCH(Tabelle8[[#This Row],[Rank]],Stammdaten[Rank Verteilung D Mitte mit Rinde],0))</f>
        <v>#N/A</v>
      </c>
      <c r="G4246" t="e">
        <f>VLOOKUP(Tabelle8[[#This Row],[Rank]],Stammdaten[[Rank Verteilung D Mitte mit Rinde]:[Verteilung D Mitte mit Rinde]],2,FALSE)</f>
        <v>#N/A</v>
      </c>
      <c r="L4246">
        <v>4237</v>
      </c>
      <c r="M4246" t="e">
        <f>INDEX(Stammdaten[Abholzigkeit (mm/lfm)],MATCH(Tabelle9[[#This Row],[Rank]],Stammdaten[Rank Verteilung Abholzigkeit],0))</f>
        <v>#N/A</v>
      </c>
      <c r="N4246" t="e">
        <f>VLOOKUP(Tabelle9[[#This Row],[Rank]],Stammdaten[[Rank Verteilung Abholzigkeit]:[Verteilung Abholzigkeit]],2,FALSE)</f>
        <v>#N/A</v>
      </c>
      <c r="S4246">
        <v>4237</v>
      </c>
      <c r="T4246" t="e">
        <f>INDEX(Stammdaten[Krümmung (mm/lfm)],MATCH(Tabelle10[[#This Row],[Rank]],Stammdaten[Rank Verteilung Krümmung],0))</f>
        <v>#N/A</v>
      </c>
      <c r="U4246" t="e">
        <f>VLOOKUP(Tabelle10[[#This Row],[Rank]],Stammdaten[[Rank Verteilung Krümmung]:[Verteilung Krümmung]],2,FALSE)</f>
        <v>#N/A</v>
      </c>
      <c r="Z4246">
        <v>4237</v>
      </c>
      <c r="AA4246" t="e">
        <f>INDEX(Stammdaten[Ovalität (']0,1'])],MATCH(Tabelle1014[[#This Row],[Rank]],Stammdaten[Rank Verteilung Ovalität],0))</f>
        <v>#N/A</v>
      </c>
      <c r="AB4246" t="e">
        <f>VLOOKUP(Tabelle1014[[#This Row],[Rank]],Stammdaten[[Rank Verteilung Ovalität]:[Verteilung Ovalität]],2,FALSE)</f>
        <v>#N/A</v>
      </c>
    </row>
    <row r="4247" spans="5:28" x14ac:dyDescent="0.35">
      <c r="E4247">
        <v>4238</v>
      </c>
      <c r="F4247" t="e">
        <f>INDEX(Stammdaten[D Mitte mit Rinde (mm)],MATCH(Tabelle8[[#This Row],[Rank]],Stammdaten[Rank Verteilung D Mitte mit Rinde],0))</f>
        <v>#N/A</v>
      </c>
      <c r="G4247" t="e">
        <f>VLOOKUP(Tabelle8[[#This Row],[Rank]],Stammdaten[[Rank Verteilung D Mitte mit Rinde]:[Verteilung D Mitte mit Rinde]],2,FALSE)</f>
        <v>#N/A</v>
      </c>
      <c r="L4247">
        <v>4238</v>
      </c>
      <c r="M4247" t="e">
        <f>INDEX(Stammdaten[Abholzigkeit (mm/lfm)],MATCH(Tabelle9[[#This Row],[Rank]],Stammdaten[Rank Verteilung Abholzigkeit],0))</f>
        <v>#N/A</v>
      </c>
      <c r="N4247" t="e">
        <f>VLOOKUP(Tabelle9[[#This Row],[Rank]],Stammdaten[[Rank Verteilung Abholzigkeit]:[Verteilung Abholzigkeit]],2,FALSE)</f>
        <v>#N/A</v>
      </c>
      <c r="S4247">
        <v>4238</v>
      </c>
      <c r="T4247" t="e">
        <f>INDEX(Stammdaten[Krümmung (mm/lfm)],MATCH(Tabelle10[[#This Row],[Rank]],Stammdaten[Rank Verteilung Krümmung],0))</f>
        <v>#N/A</v>
      </c>
      <c r="U4247" t="e">
        <f>VLOOKUP(Tabelle10[[#This Row],[Rank]],Stammdaten[[Rank Verteilung Krümmung]:[Verteilung Krümmung]],2,FALSE)</f>
        <v>#N/A</v>
      </c>
      <c r="Z4247">
        <v>4238</v>
      </c>
      <c r="AA4247" t="e">
        <f>INDEX(Stammdaten[Ovalität (']0,1'])],MATCH(Tabelle1014[[#This Row],[Rank]],Stammdaten[Rank Verteilung Ovalität],0))</f>
        <v>#N/A</v>
      </c>
      <c r="AB4247" t="e">
        <f>VLOOKUP(Tabelle1014[[#This Row],[Rank]],Stammdaten[[Rank Verteilung Ovalität]:[Verteilung Ovalität]],2,FALSE)</f>
        <v>#N/A</v>
      </c>
    </row>
    <row r="4248" spans="5:28" x14ac:dyDescent="0.35">
      <c r="E4248">
        <v>4239</v>
      </c>
      <c r="F4248" t="e">
        <f>INDEX(Stammdaten[D Mitte mit Rinde (mm)],MATCH(Tabelle8[[#This Row],[Rank]],Stammdaten[Rank Verteilung D Mitte mit Rinde],0))</f>
        <v>#N/A</v>
      </c>
      <c r="G4248" t="e">
        <f>VLOOKUP(Tabelle8[[#This Row],[Rank]],Stammdaten[[Rank Verteilung D Mitte mit Rinde]:[Verteilung D Mitte mit Rinde]],2,FALSE)</f>
        <v>#N/A</v>
      </c>
      <c r="L4248">
        <v>4239</v>
      </c>
      <c r="M4248" t="e">
        <f>INDEX(Stammdaten[Abholzigkeit (mm/lfm)],MATCH(Tabelle9[[#This Row],[Rank]],Stammdaten[Rank Verteilung Abholzigkeit],0))</f>
        <v>#N/A</v>
      </c>
      <c r="N4248" t="e">
        <f>VLOOKUP(Tabelle9[[#This Row],[Rank]],Stammdaten[[Rank Verteilung Abholzigkeit]:[Verteilung Abholzigkeit]],2,FALSE)</f>
        <v>#N/A</v>
      </c>
      <c r="S4248">
        <v>4239</v>
      </c>
      <c r="T4248" t="e">
        <f>INDEX(Stammdaten[Krümmung (mm/lfm)],MATCH(Tabelle10[[#This Row],[Rank]],Stammdaten[Rank Verteilung Krümmung],0))</f>
        <v>#N/A</v>
      </c>
      <c r="U4248" t="e">
        <f>VLOOKUP(Tabelle10[[#This Row],[Rank]],Stammdaten[[Rank Verteilung Krümmung]:[Verteilung Krümmung]],2,FALSE)</f>
        <v>#N/A</v>
      </c>
      <c r="Z4248">
        <v>4239</v>
      </c>
      <c r="AA4248" t="e">
        <f>INDEX(Stammdaten[Ovalität (']0,1'])],MATCH(Tabelle1014[[#This Row],[Rank]],Stammdaten[Rank Verteilung Ovalität],0))</f>
        <v>#N/A</v>
      </c>
      <c r="AB4248" t="e">
        <f>VLOOKUP(Tabelle1014[[#This Row],[Rank]],Stammdaten[[Rank Verteilung Ovalität]:[Verteilung Ovalität]],2,FALSE)</f>
        <v>#N/A</v>
      </c>
    </row>
    <row r="4249" spans="5:28" x14ac:dyDescent="0.35">
      <c r="E4249">
        <v>4240</v>
      </c>
      <c r="F4249" t="e">
        <f>INDEX(Stammdaten[D Mitte mit Rinde (mm)],MATCH(Tabelle8[[#This Row],[Rank]],Stammdaten[Rank Verteilung D Mitte mit Rinde],0))</f>
        <v>#N/A</v>
      </c>
      <c r="G4249" t="e">
        <f>VLOOKUP(Tabelle8[[#This Row],[Rank]],Stammdaten[[Rank Verteilung D Mitte mit Rinde]:[Verteilung D Mitte mit Rinde]],2,FALSE)</f>
        <v>#N/A</v>
      </c>
      <c r="L4249">
        <v>4240</v>
      </c>
      <c r="M4249" t="e">
        <f>INDEX(Stammdaten[Abholzigkeit (mm/lfm)],MATCH(Tabelle9[[#This Row],[Rank]],Stammdaten[Rank Verteilung Abholzigkeit],0))</f>
        <v>#N/A</v>
      </c>
      <c r="N4249" t="e">
        <f>VLOOKUP(Tabelle9[[#This Row],[Rank]],Stammdaten[[Rank Verteilung Abholzigkeit]:[Verteilung Abholzigkeit]],2,FALSE)</f>
        <v>#N/A</v>
      </c>
      <c r="S4249">
        <v>4240</v>
      </c>
      <c r="T4249" t="e">
        <f>INDEX(Stammdaten[Krümmung (mm/lfm)],MATCH(Tabelle10[[#This Row],[Rank]],Stammdaten[Rank Verteilung Krümmung],0))</f>
        <v>#N/A</v>
      </c>
      <c r="U4249" t="e">
        <f>VLOOKUP(Tabelle10[[#This Row],[Rank]],Stammdaten[[Rank Verteilung Krümmung]:[Verteilung Krümmung]],2,FALSE)</f>
        <v>#N/A</v>
      </c>
      <c r="Z4249">
        <v>4240</v>
      </c>
      <c r="AA4249" t="e">
        <f>INDEX(Stammdaten[Ovalität (']0,1'])],MATCH(Tabelle1014[[#This Row],[Rank]],Stammdaten[Rank Verteilung Ovalität],0))</f>
        <v>#N/A</v>
      </c>
      <c r="AB4249" t="e">
        <f>VLOOKUP(Tabelle1014[[#This Row],[Rank]],Stammdaten[[Rank Verteilung Ovalität]:[Verteilung Ovalität]],2,FALSE)</f>
        <v>#N/A</v>
      </c>
    </row>
    <row r="4250" spans="5:28" x14ac:dyDescent="0.35">
      <c r="E4250">
        <v>4241</v>
      </c>
      <c r="F4250" t="e">
        <f>INDEX(Stammdaten[D Mitte mit Rinde (mm)],MATCH(Tabelle8[[#This Row],[Rank]],Stammdaten[Rank Verteilung D Mitte mit Rinde],0))</f>
        <v>#N/A</v>
      </c>
      <c r="G4250" t="e">
        <f>VLOOKUP(Tabelle8[[#This Row],[Rank]],Stammdaten[[Rank Verteilung D Mitte mit Rinde]:[Verteilung D Mitte mit Rinde]],2,FALSE)</f>
        <v>#N/A</v>
      </c>
      <c r="L4250">
        <v>4241</v>
      </c>
      <c r="M4250" t="e">
        <f>INDEX(Stammdaten[Abholzigkeit (mm/lfm)],MATCH(Tabelle9[[#This Row],[Rank]],Stammdaten[Rank Verteilung Abholzigkeit],0))</f>
        <v>#N/A</v>
      </c>
      <c r="N4250" t="e">
        <f>VLOOKUP(Tabelle9[[#This Row],[Rank]],Stammdaten[[Rank Verteilung Abholzigkeit]:[Verteilung Abholzigkeit]],2,FALSE)</f>
        <v>#N/A</v>
      </c>
      <c r="S4250">
        <v>4241</v>
      </c>
      <c r="T4250" t="e">
        <f>INDEX(Stammdaten[Krümmung (mm/lfm)],MATCH(Tabelle10[[#This Row],[Rank]],Stammdaten[Rank Verteilung Krümmung],0))</f>
        <v>#N/A</v>
      </c>
      <c r="U4250" t="e">
        <f>VLOOKUP(Tabelle10[[#This Row],[Rank]],Stammdaten[[Rank Verteilung Krümmung]:[Verteilung Krümmung]],2,FALSE)</f>
        <v>#N/A</v>
      </c>
      <c r="Z4250">
        <v>4241</v>
      </c>
      <c r="AA4250" t="e">
        <f>INDEX(Stammdaten[Ovalität (']0,1'])],MATCH(Tabelle1014[[#This Row],[Rank]],Stammdaten[Rank Verteilung Ovalität],0))</f>
        <v>#N/A</v>
      </c>
      <c r="AB4250" t="e">
        <f>VLOOKUP(Tabelle1014[[#This Row],[Rank]],Stammdaten[[Rank Verteilung Ovalität]:[Verteilung Ovalität]],2,FALSE)</f>
        <v>#N/A</v>
      </c>
    </row>
    <row r="4251" spans="5:28" x14ac:dyDescent="0.35">
      <c r="E4251">
        <v>4242</v>
      </c>
      <c r="F4251" t="e">
        <f>INDEX(Stammdaten[D Mitte mit Rinde (mm)],MATCH(Tabelle8[[#This Row],[Rank]],Stammdaten[Rank Verteilung D Mitte mit Rinde],0))</f>
        <v>#N/A</v>
      </c>
      <c r="G4251" t="e">
        <f>VLOOKUP(Tabelle8[[#This Row],[Rank]],Stammdaten[[Rank Verteilung D Mitte mit Rinde]:[Verteilung D Mitte mit Rinde]],2,FALSE)</f>
        <v>#N/A</v>
      </c>
      <c r="L4251">
        <v>4242</v>
      </c>
      <c r="M4251" t="e">
        <f>INDEX(Stammdaten[Abholzigkeit (mm/lfm)],MATCH(Tabelle9[[#This Row],[Rank]],Stammdaten[Rank Verteilung Abholzigkeit],0))</f>
        <v>#N/A</v>
      </c>
      <c r="N4251" t="e">
        <f>VLOOKUP(Tabelle9[[#This Row],[Rank]],Stammdaten[[Rank Verteilung Abholzigkeit]:[Verteilung Abholzigkeit]],2,FALSE)</f>
        <v>#N/A</v>
      </c>
      <c r="S4251">
        <v>4242</v>
      </c>
      <c r="T4251" t="e">
        <f>INDEX(Stammdaten[Krümmung (mm/lfm)],MATCH(Tabelle10[[#This Row],[Rank]],Stammdaten[Rank Verteilung Krümmung],0))</f>
        <v>#N/A</v>
      </c>
      <c r="U4251" t="e">
        <f>VLOOKUP(Tabelle10[[#This Row],[Rank]],Stammdaten[[Rank Verteilung Krümmung]:[Verteilung Krümmung]],2,FALSE)</f>
        <v>#N/A</v>
      </c>
      <c r="Z4251">
        <v>4242</v>
      </c>
      <c r="AA4251" t="e">
        <f>INDEX(Stammdaten[Ovalität (']0,1'])],MATCH(Tabelle1014[[#This Row],[Rank]],Stammdaten[Rank Verteilung Ovalität],0))</f>
        <v>#N/A</v>
      </c>
      <c r="AB4251" t="e">
        <f>VLOOKUP(Tabelle1014[[#This Row],[Rank]],Stammdaten[[Rank Verteilung Ovalität]:[Verteilung Ovalität]],2,FALSE)</f>
        <v>#N/A</v>
      </c>
    </row>
    <row r="4252" spans="5:28" x14ac:dyDescent="0.35">
      <c r="E4252">
        <v>4243</v>
      </c>
      <c r="F4252" t="e">
        <f>INDEX(Stammdaten[D Mitte mit Rinde (mm)],MATCH(Tabelle8[[#This Row],[Rank]],Stammdaten[Rank Verteilung D Mitte mit Rinde],0))</f>
        <v>#N/A</v>
      </c>
      <c r="G4252" t="e">
        <f>VLOOKUP(Tabelle8[[#This Row],[Rank]],Stammdaten[[Rank Verteilung D Mitte mit Rinde]:[Verteilung D Mitte mit Rinde]],2,FALSE)</f>
        <v>#N/A</v>
      </c>
      <c r="L4252">
        <v>4243</v>
      </c>
      <c r="M4252" t="e">
        <f>INDEX(Stammdaten[Abholzigkeit (mm/lfm)],MATCH(Tabelle9[[#This Row],[Rank]],Stammdaten[Rank Verteilung Abholzigkeit],0))</f>
        <v>#N/A</v>
      </c>
      <c r="N4252" t="e">
        <f>VLOOKUP(Tabelle9[[#This Row],[Rank]],Stammdaten[[Rank Verteilung Abholzigkeit]:[Verteilung Abholzigkeit]],2,FALSE)</f>
        <v>#N/A</v>
      </c>
      <c r="S4252">
        <v>4243</v>
      </c>
      <c r="T4252" t="e">
        <f>INDEX(Stammdaten[Krümmung (mm/lfm)],MATCH(Tabelle10[[#This Row],[Rank]],Stammdaten[Rank Verteilung Krümmung],0))</f>
        <v>#N/A</v>
      </c>
      <c r="U4252" t="e">
        <f>VLOOKUP(Tabelle10[[#This Row],[Rank]],Stammdaten[[Rank Verteilung Krümmung]:[Verteilung Krümmung]],2,FALSE)</f>
        <v>#N/A</v>
      </c>
      <c r="Z4252">
        <v>4243</v>
      </c>
      <c r="AA4252" t="e">
        <f>INDEX(Stammdaten[Ovalität (']0,1'])],MATCH(Tabelle1014[[#This Row],[Rank]],Stammdaten[Rank Verteilung Ovalität],0))</f>
        <v>#N/A</v>
      </c>
      <c r="AB4252" t="e">
        <f>VLOOKUP(Tabelle1014[[#This Row],[Rank]],Stammdaten[[Rank Verteilung Ovalität]:[Verteilung Ovalität]],2,FALSE)</f>
        <v>#N/A</v>
      </c>
    </row>
    <row r="4253" spans="5:28" x14ac:dyDescent="0.35">
      <c r="E4253">
        <v>4244</v>
      </c>
      <c r="F4253" t="e">
        <f>INDEX(Stammdaten[D Mitte mit Rinde (mm)],MATCH(Tabelle8[[#This Row],[Rank]],Stammdaten[Rank Verteilung D Mitte mit Rinde],0))</f>
        <v>#N/A</v>
      </c>
      <c r="G4253" t="e">
        <f>VLOOKUP(Tabelle8[[#This Row],[Rank]],Stammdaten[[Rank Verteilung D Mitte mit Rinde]:[Verteilung D Mitte mit Rinde]],2,FALSE)</f>
        <v>#N/A</v>
      </c>
      <c r="L4253">
        <v>4244</v>
      </c>
      <c r="M4253" t="e">
        <f>INDEX(Stammdaten[Abholzigkeit (mm/lfm)],MATCH(Tabelle9[[#This Row],[Rank]],Stammdaten[Rank Verteilung Abholzigkeit],0))</f>
        <v>#N/A</v>
      </c>
      <c r="N4253" t="e">
        <f>VLOOKUP(Tabelle9[[#This Row],[Rank]],Stammdaten[[Rank Verteilung Abholzigkeit]:[Verteilung Abholzigkeit]],2,FALSE)</f>
        <v>#N/A</v>
      </c>
      <c r="S4253">
        <v>4244</v>
      </c>
      <c r="T4253" t="e">
        <f>INDEX(Stammdaten[Krümmung (mm/lfm)],MATCH(Tabelle10[[#This Row],[Rank]],Stammdaten[Rank Verteilung Krümmung],0))</f>
        <v>#N/A</v>
      </c>
      <c r="U4253" t="e">
        <f>VLOOKUP(Tabelle10[[#This Row],[Rank]],Stammdaten[[Rank Verteilung Krümmung]:[Verteilung Krümmung]],2,FALSE)</f>
        <v>#N/A</v>
      </c>
      <c r="Z4253">
        <v>4244</v>
      </c>
      <c r="AA4253" t="e">
        <f>INDEX(Stammdaten[Ovalität (']0,1'])],MATCH(Tabelle1014[[#This Row],[Rank]],Stammdaten[Rank Verteilung Ovalität],0))</f>
        <v>#N/A</v>
      </c>
      <c r="AB4253" t="e">
        <f>VLOOKUP(Tabelle1014[[#This Row],[Rank]],Stammdaten[[Rank Verteilung Ovalität]:[Verteilung Ovalität]],2,FALSE)</f>
        <v>#N/A</v>
      </c>
    </row>
    <row r="4254" spans="5:28" x14ac:dyDescent="0.35">
      <c r="E4254">
        <v>4245</v>
      </c>
      <c r="F4254" t="e">
        <f>INDEX(Stammdaten[D Mitte mit Rinde (mm)],MATCH(Tabelle8[[#This Row],[Rank]],Stammdaten[Rank Verteilung D Mitte mit Rinde],0))</f>
        <v>#N/A</v>
      </c>
      <c r="G4254" t="e">
        <f>VLOOKUP(Tabelle8[[#This Row],[Rank]],Stammdaten[[Rank Verteilung D Mitte mit Rinde]:[Verteilung D Mitte mit Rinde]],2,FALSE)</f>
        <v>#N/A</v>
      </c>
      <c r="L4254">
        <v>4245</v>
      </c>
      <c r="M4254" t="e">
        <f>INDEX(Stammdaten[Abholzigkeit (mm/lfm)],MATCH(Tabelle9[[#This Row],[Rank]],Stammdaten[Rank Verteilung Abholzigkeit],0))</f>
        <v>#N/A</v>
      </c>
      <c r="N4254" t="e">
        <f>VLOOKUP(Tabelle9[[#This Row],[Rank]],Stammdaten[[Rank Verteilung Abholzigkeit]:[Verteilung Abholzigkeit]],2,FALSE)</f>
        <v>#N/A</v>
      </c>
      <c r="S4254">
        <v>4245</v>
      </c>
      <c r="T4254" t="e">
        <f>INDEX(Stammdaten[Krümmung (mm/lfm)],MATCH(Tabelle10[[#This Row],[Rank]],Stammdaten[Rank Verteilung Krümmung],0))</f>
        <v>#N/A</v>
      </c>
      <c r="U4254" t="e">
        <f>VLOOKUP(Tabelle10[[#This Row],[Rank]],Stammdaten[[Rank Verteilung Krümmung]:[Verteilung Krümmung]],2,FALSE)</f>
        <v>#N/A</v>
      </c>
      <c r="Z4254">
        <v>4245</v>
      </c>
      <c r="AA4254" t="e">
        <f>INDEX(Stammdaten[Ovalität (']0,1'])],MATCH(Tabelle1014[[#This Row],[Rank]],Stammdaten[Rank Verteilung Ovalität],0))</f>
        <v>#N/A</v>
      </c>
      <c r="AB4254" t="e">
        <f>VLOOKUP(Tabelle1014[[#This Row],[Rank]],Stammdaten[[Rank Verteilung Ovalität]:[Verteilung Ovalität]],2,FALSE)</f>
        <v>#N/A</v>
      </c>
    </row>
    <row r="4255" spans="5:28" x14ac:dyDescent="0.35">
      <c r="E4255">
        <v>4246</v>
      </c>
      <c r="F4255" t="e">
        <f>INDEX(Stammdaten[D Mitte mit Rinde (mm)],MATCH(Tabelle8[[#This Row],[Rank]],Stammdaten[Rank Verteilung D Mitte mit Rinde],0))</f>
        <v>#N/A</v>
      </c>
      <c r="G4255" t="e">
        <f>VLOOKUP(Tabelle8[[#This Row],[Rank]],Stammdaten[[Rank Verteilung D Mitte mit Rinde]:[Verteilung D Mitte mit Rinde]],2,FALSE)</f>
        <v>#N/A</v>
      </c>
      <c r="L4255">
        <v>4246</v>
      </c>
      <c r="M4255" t="e">
        <f>INDEX(Stammdaten[Abholzigkeit (mm/lfm)],MATCH(Tabelle9[[#This Row],[Rank]],Stammdaten[Rank Verteilung Abholzigkeit],0))</f>
        <v>#N/A</v>
      </c>
      <c r="N4255" t="e">
        <f>VLOOKUP(Tabelle9[[#This Row],[Rank]],Stammdaten[[Rank Verteilung Abholzigkeit]:[Verteilung Abholzigkeit]],2,FALSE)</f>
        <v>#N/A</v>
      </c>
      <c r="S4255">
        <v>4246</v>
      </c>
      <c r="T4255" t="e">
        <f>INDEX(Stammdaten[Krümmung (mm/lfm)],MATCH(Tabelle10[[#This Row],[Rank]],Stammdaten[Rank Verteilung Krümmung],0))</f>
        <v>#N/A</v>
      </c>
      <c r="U4255" t="e">
        <f>VLOOKUP(Tabelle10[[#This Row],[Rank]],Stammdaten[[Rank Verteilung Krümmung]:[Verteilung Krümmung]],2,FALSE)</f>
        <v>#N/A</v>
      </c>
      <c r="Z4255">
        <v>4246</v>
      </c>
      <c r="AA4255" t="e">
        <f>INDEX(Stammdaten[Ovalität (']0,1'])],MATCH(Tabelle1014[[#This Row],[Rank]],Stammdaten[Rank Verteilung Ovalität],0))</f>
        <v>#N/A</v>
      </c>
      <c r="AB4255" t="e">
        <f>VLOOKUP(Tabelle1014[[#This Row],[Rank]],Stammdaten[[Rank Verteilung Ovalität]:[Verteilung Ovalität]],2,FALSE)</f>
        <v>#N/A</v>
      </c>
    </row>
    <row r="4256" spans="5:28" x14ac:dyDescent="0.35">
      <c r="E4256">
        <v>4247</v>
      </c>
      <c r="F4256" t="e">
        <f>INDEX(Stammdaten[D Mitte mit Rinde (mm)],MATCH(Tabelle8[[#This Row],[Rank]],Stammdaten[Rank Verteilung D Mitte mit Rinde],0))</f>
        <v>#N/A</v>
      </c>
      <c r="G4256" t="e">
        <f>VLOOKUP(Tabelle8[[#This Row],[Rank]],Stammdaten[[Rank Verteilung D Mitte mit Rinde]:[Verteilung D Mitte mit Rinde]],2,FALSE)</f>
        <v>#N/A</v>
      </c>
      <c r="L4256">
        <v>4247</v>
      </c>
      <c r="M4256" t="e">
        <f>INDEX(Stammdaten[Abholzigkeit (mm/lfm)],MATCH(Tabelle9[[#This Row],[Rank]],Stammdaten[Rank Verteilung Abholzigkeit],0))</f>
        <v>#N/A</v>
      </c>
      <c r="N4256" t="e">
        <f>VLOOKUP(Tabelle9[[#This Row],[Rank]],Stammdaten[[Rank Verteilung Abholzigkeit]:[Verteilung Abholzigkeit]],2,FALSE)</f>
        <v>#N/A</v>
      </c>
      <c r="S4256">
        <v>4247</v>
      </c>
      <c r="T4256" t="e">
        <f>INDEX(Stammdaten[Krümmung (mm/lfm)],MATCH(Tabelle10[[#This Row],[Rank]],Stammdaten[Rank Verteilung Krümmung],0))</f>
        <v>#N/A</v>
      </c>
      <c r="U4256" t="e">
        <f>VLOOKUP(Tabelle10[[#This Row],[Rank]],Stammdaten[[Rank Verteilung Krümmung]:[Verteilung Krümmung]],2,FALSE)</f>
        <v>#N/A</v>
      </c>
      <c r="Z4256">
        <v>4247</v>
      </c>
      <c r="AA4256" t="e">
        <f>INDEX(Stammdaten[Ovalität (']0,1'])],MATCH(Tabelle1014[[#This Row],[Rank]],Stammdaten[Rank Verteilung Ovalität],0))</f>
        <v>#N/A</v>
      </c>
      <c r="AB4256" t="e">
        <f>VLOOKUP(Tabelle1014[[#This Row],[Rank]],Stammdaten[[Rank Verteilung Ovalität]:[Verteilung Ovalität]],2,FALSE)</f>
        <v>#N/A</v>
      </c>
    </row>
    <row r="4257" spans="5:28" x14ac:dyDescent="0.35">
      <c r="E4257">
        <v>4248</v>
      </c>
      <c r="F4257" t="e">
        <f>INDEX(Stammdaten[D Mitte mit Rinde (mm)],MATCH(Tabelle8[[#This Row],[Rank]],Stammdaten[Rank Verteilung D Mitte mit Rinde],0))</f>
        <v>#N/A</v>
      </c>
      <c r="G4257" t="e">
        <f>VLOOKUP(Tabelle8[[#This Row],[Rank]],Stammdaten[[Rank Verteilung D Mitte mit Rinde]:[Verteilung D Mitte mit Rinde]],2,FALSE)</f>
        <v>#N/A</v>
      </c>
      <c r="L4257">
        <v>4248</v>
      </c>
      <c r="M4257" t="e">
        <f>INDEX(Stammdaten[Abholzigkeit (mm/lfm)],MATCH(Tabelle9[[#This Row],[Rank]],Stammdaten[Rank Verteilung Abholzigkeit],0))</f>
        <v>#N/A</v>
      </c>
      <c r="N4257" t="e">
        <f>VLOOKUP(Tabelle9[[#This Row],[Rank]],Stammdaten[[Rank Verteilung Abholzigkeit]:[Verteilung Abholzigkeit]],2,FALSE)</f>
        <v>#N/A</v>
      </c>
      <c r="S4257">
        <v>4248</v>
      </c>
      <c r="T4257" t="e">
        <f>INDEX(Stammdaten[Krümmung (mm/lfm)],MATCH(Tabelle10[[#This Row],[Rank]],Stammdaten[Rank Verteilung Krümmung],0))</f>
        <v>#N/A</v>
      </c>
      <c r="U4257" t="e">
        <f>VLOOKUP(Tabelle10[[#This Row],[Rank]],Stammdaten[[Rank Verteilung Krümmung]:[Verteilung Krümmung]],2,FALSE)</f>
        <v>#N/A</v>
      </c>
      <c r="Z4257">
        <v>4248</v>
      </c>
      <c r="AA4257" t="e">
        <f>INDEX(Stammdaten[Ovalität (']0,1'])],MATCH(Tabelle1014[[#This Row],[Rank]],Stammdaten[Rank Verteilung Ovalität],0))</f>
        <v>#N/A</v>
      </c>
      <c r="AB4257" t="e">
        <f>VLOOKUP(Tabelle1014[[#This Row],[Rank]],Stammdaten[[Rank Verteilung Ovalität]:[Verteilung Ovalität]],2,FALSE)</f>
        <v>#N/A</v>
      </c>
    </row>
    <row r="4258" spans="5:28" x14ac:dyDescent="0.35">
      <c r="E4258">
        <v>4249</v>
      </c>
      <c r="F4258" t="e">
        <f>INDEX(Stammdaten[D Mitte mit Rinde (mm)],MATCH(Tabelle8[[#This Row],[Rank]],Stammdaten[Rank Verteilung D Mitte mit Rinde],0))</f>
        <v>#N/A</v>
      </c>
      <c r="G4258" t="e">
        <f>VLOOKUP(Tabelle8[[#This Row],[Rank]],Stammdaten[[Rank Verteilung D Mitte mit Rinde]:[Verteilung D Mitte mit Rinde]],2,FALSE)</f>
        <v>#N/A</v>
      </c>
      <c r="L4258">
        <v>4249</v>
      </c>
      <c r="M4258" t="e">
        <f>INDEX(Stammdaten[Abholzigkeit (mm/lfm)],MATCH(Tabelle9[[#This Row],[Rank]],Stammdaten[Rank Verteilung Abholzigkeit],0))</f>
        <v>#N/A</v>
      </c>
      <c r="N4258" t="e">
        <f>VLOOKUP(Tabelle9[[#This Row],[Rank]],Stammdaten[[Rank Verteilung Abholzigkeit]:[Verteilung Abholzigkeit]],2,FALSE)</f>
        <v>#N/A</v>
      </c>
      <c r="S4258">
        <v>4249</v>
      </c>
      <c r="T4258" t="e">
        <f>INDEX(Stammdaten[Krümmung (mm/lfm)],MATCH(Tabelle10[[#This Row],[Rank]],Stammdaten[Rank Verteilung Krümmung],0))</f>
        <v>#N/A</v>
      </c>
      <c r="U4258" t="e">
        <f>VLOOKUP(Tabelle10[[#This Row],[Rank]],Stammdaten[[Rank Verteilung Krümmung]:[Verteilung Krümmung]],2,FALSE)</f>
        <v>#N/A</v>
      </c>
      <c r="Z4258">
        <v>4249</v>
      </c>
      <c r="AA4258" t="e">
        <f>INDEX(Stammdaten[Ovalität (']0,1'])],MATCH(Tabelle1014[[#This Row],[Rank]],Stammdaten[Rank Verteilung Ovalität],0))</f>
        <v>#N/A</v>
      </c>
      <c r="AB4258" t="e">
        <f>VLOOKUP(Tabelle1014[[#This Row],[Rank]],Stammdaten[[Rank Verteilung Ovalität]:[Verteilung Ovalität]],2,FALSE)</f>
        <v>#N/A</v>
      </c>
    </row>
    <row r="4259" spans="5:28" x14ac:dyDescent="0.35">
      <c r="E4259">
        <v>4250</v>
      </c>
      <c r="F4259" t="e">
        <f>INDEX(Stammdaten[D Mitte mit Rinde (mm)],MATCH(Tabelle8[[#This Row],[Rank]],Stammdaten[Rank Verteilung D Mitte mit Rinde],0))</f>
        <v>#N/A</v>
      </c>
      <c r="G4259" t="e">
        <f>VLOOKUP(Tabelle8[[#This Row],[Rank]],Stammdaten[[Rank Verteilung D Mitte mit Rinde]:[Verteilung D Mitte mit Rinde]],2,FALSE)</f>
        <v>#N/A</v>
      </c>
      <c r="L4259">
        <v>4250</v>
      </c>
      <c r="M4259" t="e">
        <f>INDEX(Stammdaten[Abholzigkeit (mm/lfm)],MATCH(Tabelle9[[#This Row],[Rank]],Stammdaten[Rank Verteilung Abholzigkeit],0))</f>
        <v>#N/A</v>
      </c>
      <c r="N4259" t="e">
        <f>VLOOKUP(Tabelle9[[#This Row],[Rank]],Stammdaten[[Rank Verteilung Abholzigkeit]:[Verteilung Abholzigkeit]],2,FALSE)</f>
        <v>#N/A</v>
      </c>
      <c r="S4259">
        <v>4250</v>
      </c>
      <c r="T4259" t="e">
        <f>INDEX(Stammdaten[Krümmung (mm/lfm)],MATCH(Tabelle10[[#This Row],[Rank]],Stammdaten[Rank Verteilung Krümmung],0))</f>
        <v>#N/A</v>
      </c>
      <c r="U4259" t="e">
        <f>VLOOKUP(Tabelle10[[#This Row],[Rank]],Stammdaten[[Rank Verteilung Krümmung]:[Verteilung Krümmung]],2,FALSE)</f>
        <v>#N/A</v>
      </c>
      <c r="Z4259">
        <v>4250</v>
      </c>
      <c r="AA4259" t="e">
        <f>INDEX(Stammdaten[Ovalität (']0,1'])],MATCH(Tabelle1014[[#This Row],[Rank]],Stammdaten[Rank Verteilung Ovalität],0))</f>
        <v>#N/A</v>
      </c>
      <c r="AB4259" t="e">
        <f>VLOOKUP(Tabelle1014[[#This Row],[Rank]],Stammdaten[[Rank Verteilung Ovalität]:[Verteilung Ovalität]],2,FALSE)</f>
        <v>#N/A</v>
      </c>
    </row>
    <row r="4260" spans="5:28" x14ac:dyDescent="0.35">
      <c r="E4260">
        <v>4251</v>
      </c>
      <c r="F4260" t="e">
        <f>INDEX(Stammdaten[D Mitte mit Rinde (mm)],MATCH(Tabelle8[[#This Row],[Rank]],Stammdaten[Rank Verteilung D Mitte mit Rinde],0))</f>
        <v>#N/A</v>
      </c>
      <c r="G4260" t="e">
        <f>VLOOKUP(Tabelle8[[#This Row],[Rank]],Stammdaten[[Rank Verteilung D Mitte mit Rinde]:[Verteilung D Mitte mit Rinde]],2,FALSE)</f>
        <v>#N/A</v>
      </c>
      <c r="L4260">
        <v>4251</v>
      </c>
      <c r="M4260" t="e">
        <f>INDEX(Stammdaten[Abholzigkeit (mm/lfm)],MATCH(Tabelle9[[#This Row],[Rank]],Stammdaten[Rank Verteilung Abholzigkeit],0))</f>
        <v>#N/A</v>
      </c>
      <c r="N4260" t="e">
        <f>VLOOKUP(Tabelle9[[#This Row],[Rank]],Stammdaten[[Rank Verteilung Abholzigkeit]:[Verteilung Abholzigkeit]],2,FALSE)</f>
        <v>#N/A</v>
      </c>
      <c r="S4260">
        <v>4251</v>
      </c>
      <c r="T4260" t="e">
        <f>INDEX(Stammdaten[Krümmung (mm/lfm)],MATCH(Tabelle10[[#This Row],[Rank]],Stammdaten[Rank Verteilung Krümmung],0))</f>
        <v>#N/A</v>
      </c>
      <c r="U4260" t="e">
        <f>VLOOKUP(Tabelle10[[#This Row],[Rank]],Stammdaten[[Rank Verteilung Krümmung]:[Verteilung Krümmung]],2,FALSE)</f>
        <v>#N/A</v>
      </c>
      <c r="Z4260">
        <v>4251</v>
      </c>
      <c r="AA4260" t="e">
        <f>INDEX(Stammdaten[Ovalität (']0,1'])],MATCH(Tabelle1014[[#This Row],[Rank]],Stammdaten[Rank Verteilung Ovalität],0))</f>
        <v>#N/A</v>
      </c>
      <c r="AB4260" t="e">
        <f>VLOOKUP(Tabelle1014[[#This Row],[Rank]],Stammdaten[[Rank Verteilung Ovalität]:[Verteilung Ovalität]],2,FALSE)</f>
        <v>#N/A</v>
      </c>
    </row>
    <row r="4261" spans="5:28" x14ac:dyDescent="0.35">
      <c r="E4261">
        <v>4252</v>
      </c>
      <c r="F4261" t="e">
        <f>INDEX(Stammdaten[D Mitte mit Rinde (mm)],MATCH(Tabelle8[[#This Row],[Rank]],Stammdaten[Rank Verteilung D Mitte mit Rinde],0))</f>
        <v>#N/A</v>
      </c>
      <c r="G4261" t="e">
        <f>VLOOKUP(Tabelle8[[#This Row],[Rank]],Stammdaten[[Rank Verteilung D Mitte mit Rinde]:[Verteilung D Mitte mit Rinde]],2,FALSE)</f>
        <v>#N/A</v>
      </c>
      <c r="L4261">
        <v>4252</v>
      </c>
      <c r="M4261" t="e">
        <f>INDEX(Stammdaten[Abholzigkeit (mm/lfm)],MATCH(Tabelle9[[#This Row],[Rank]],Stammdaten[Rank Verteilung Abholzigkeit],0))</f>
        <v>#N/A</v>
      </c>
      <c r="N4261" t="e">
        <f>VLOOKUP(Tabelle9[[#This Row],[Rank]],Stammdaten[[Rank Verteilung Abholzigkeit]:[Verteilung Abholzigkeit]],2,FALSE)</f>
        <v>#N/A</v>
      </c>
      <c r="S4261">
        <v>4252</v>
      </c>
      <c r="T4261" t="e">
        <f>INDEX(Stammdaten[Krümmung (mm/lfm)],MATCH(Tabelle10[[#This Row],[Rank]],Stammdaten[Rank Verteilung Krümmung],0))</f>
        <v>#N/A</v>
      </c>
      <c r="U4261" t="e">
        <f>VLOOKUP(Tabelle10[[#This Row],[Rank]],Stammdaten[[Rank Verteilung Krümmung]:[Verteilung Krümmung]],2,FALSE)</f>
        <v>#N/A</v>
      </c>
      <c r="Z4261">
        <v>4252</v>
      </c>
      <c r="AA4261" t="e">
        <f>INDEX(Stammdaten[Ovalität (']0,1'])],MATCH(Tabelle1014[[#This Row],[Rank]],Stammdaten[Rank Verteilung Ovalität],0))</f>
        <v>#N/A</v>
      </c>
      <c r="AB4261" t="e">
        <f>VLOOKUP(Tabelle1014[[#This Row],[Rank]],Stammdaten[[Rank Verteilung Ovalität]:[Verteilung Ovalität]],2,FALSE)</f>
        <v>#N/A</v>
      </c>
    </row>
    <row r="4262" spans="5:28" x14ac:dyDescent="0.35">
      <c r="E4262">
        <v>4253</v>
      </c>
      <c r="F4262" t="e">
        <f>INDEX(Stammdaten[D Mitte mit Rinde (mm)],MATCH(Tabelle8[[#This Row],[Rank]],Stammdaten[Rank Verteilung D Mitte mit Rinde],0))</f>
        <v>#N/A</v>
      </c>
      <c r="G4262" t="e">
        <f>VLOOKUP(Tabelle8[[#This Row],[Rank]],Stammdaten[[Rank Verteilung D Mitte mit Rinde]:[Verteilung D Mitte mit Rinde]],2,FALSE)</f>
        <v>#N/A</v>
      </c>
      <c r="L4262">
        <v>4253</v>
      </c>
      <c r="M4262" t="e">
        <f>INDEX(Stammdaten[Abholzigkeit (mm/lfm)],MATCH(Tabelle9[[#This Row],[Rank]],Stammdaten[Rank Verteilung Abholzigkeit],0))</f>
        <v>#N/A</v>
      </c>
      <c r="N4262" t="e">
        <f>VLOOKUP(Tabelle9[[#This Row],[Rank]],Stammdaten[[Rank Verteilung Abholzigkeit]:[Verteilung Abholzigkeit]],2,FALSE)</f>
        <v>#N/A</v>
      </c>
      <c r="S4262">
        <v>4253</v>
      </c>
      <c r="T4262" t="e">
        <f>INDEX(Stammdaten[Krümmung (mm/lfm)],MATCH(Tabelle10[[#This Row],[Rank]],Stammdaten[Rank Verteilung Krümmung],0))</f>
        <v>#N/A</v>
      </c>
      <c r="U4262" t="e">
        <f>VLOOKUP(Tabelle10[[#This Row],[Rank]],Stammdaten[[Rank Verteilung Krümmung]:[Verteilung Krümmung]],2,FALSE)</f>
        <v>#N/A</v>
      </c>
      <c r="Z4262">
        <v>4253</v>
      </c>
      <c r="AA4262" t="e">
        <f>INDEX(Stammdaten[Ovalität (']0,1'])],MATCH(Tabelle1014[[#This Row],[Rank]],Stammdaten[Rank Verteilung Ovalität],0))</f>
        <v>#N/A</v>
      </c>
      <c r="AB4262" t="e">
        <f>VLOOKUP(Tabelle1014[[#This Row],[Rank]],Stammdaten[[Rank Verteilung Ovalität]:[Verteilung Ovalität]],2,FALSE)</f>
        <v>#N/A</v>
      </c>
    </row>
    <row r="4263" spans="5:28" x14ac:dyDescent="0.35">
      <c r="E4263">
        <v>4254</v>
      </c>
      <c r="F4263" t="e">
        <f>INDEX(Stammdaten[D Mitte mit Rinde (mm)],MATCH(Tabelle8[[#This Row],[Rank]],Stammdaten[Rank Verteilung D Mitte mit Rinde],0))</f>
        <v>#N/A</v>
      </c>
      <c r="G4263" t="e">
        <f>VLOOKUP(Tabelle8[[#This Row],[Rank]],Stammdaten[[Rank Verteilung D Mitte mit Rinde]:[Verteilung D Mitte mit Rinde]],2,FALSE)</f>
        <v>#N/A</v>
      </c>
      <c r="L4263">
        <v>4254</v>
      </c>
      <c r="M4263" t="e">
        <f>INDEX(Stammdaten[Abholzigkeit (mm/lfm)],MATCH(Tabelle9[[#This Row],[Rank]],Stammdaten[Rank Verteilung Abholzigkeit],0))</f>
        <v>#N/A</v>
      </c>
      <c r="N4263" t="e">
        <f>VLOOKUP(Tabelle9[[#This Row],[Rank]],Stammdaten[[Rank Verteilung Abholzigkeit]:[Verteilung Abholzigkeit]],2,FALSE)</f>
        <v>#N/A</v>
      </c>
      <c r="S4263">
        <v>4254</v>
      </c>
      <c r="T4263" t="e">
        <f>INDEX(Stammdaten[Krümmung (mm/lfm)],MATCH(Tabelle10[[#This Row],[Rank]],Stammdaten[Rank Verteilung Krümmung],0))</f>
        <v>#N/A</v>
      </c>
      <c r="U4263" t="e">
        <f>VLOOKUP(Tabelle10[[#This Row],[Rank]],Stammdaten[[Rank Verteilung Krümmung]:[Verteilung Krümmung]],2,FALSE)</f>
        <v>#N/A</v>
      </c>
      <c r="Z4263">
        <v>4254</v>
      </c>
      <c r="AA4263" t="e">
        <f>INDEX(Stammdaten[Ovalität (']0,1'])],MATCH(Tabelle1014[[#This Row],[Rank]],Stammdaten[Rank Verteilung Ovalität],0))</f>
        <v>#N/A</v>
      </c>
      <c r="AB4263" t="e">
        <f>VLOOKUP(Tabelle1014[[#This Row],[Rank]],Stammdaten[[Rank Verteilung Ovalität]:[Verteilung Ovalität]],2,FALSE)</f>
        <v>#N/A</v>
      </c>
    </row>
    <row r="4264" spans="5:28" x14ac:dyDescent="0.35">
      <c r="E4264">
        <v>4255</v>
      </c>
      <c r="F4264" t="e">
        <f>INDEX(Stammdaten[D Mitte mit Rinde (mm)],MATCH(Tabelle8[[#This Row],[Rank]],Stammdaten[Rank Verteilung D Mitte mit Rinde],0))</f>
        <v>#N/A</v>
      </c>
      <c r="G4264" t="e">
        <f>VLOOKUP(Tabelle8[[#This Row],[Rank]],Stammdaten[[Rank Verteilung D Mitte mit Rinde]:[Verteilung D Mitte mit Rinde]],2,FALSE)</f>
        <v>#N/A</v>
      </c>
      <c r="L4264">
        <v>4255</v>
      </c>
      <c r="M4264" t="e">
        <f>INDEX(Stammdaten[Abholzigkeit (mm/lfm)],MATCH(Tabelle9[[#This Row],[Rank]],Stammdaten[Rank Verteilung Abholzigkeit],0))</f>
        <v>#N/A</v>
      </c>
      <c r="N4264" t="e">
        <f>VLOOKUP(Tabelle9[[#This Row],[Rank]],Stammdaten[[Rank Verteilung Abholzigkeit]:[Verteilung Abholzigkeit]],2,FALSE)</f>
        <v>#N/A</v>
      </c>
      <c r="S4264">
        <v>4255</v>
      </c>
      <c r="T4264" t="e">
        <f>INDEX(Stammdaten[Krümmung (mm/lfm)],MATCH(Tabelle10[[#This Row],[Rank]],Stammdaten[Rank Verteilung Krümmung],0))</f>
        <v>#N/A</v>
      </c>
      <c r="U4264" t="e">
        <f>VLOOKUP(Tabelle10[[#This Row],[Rank]],Stammdaten[[Rank Verteilung Krümmung]:[Verteilung Krümmung]],2,FALSE)</f>
        <v>#N/A</v>
      </c>
      <c r="Z4264">
        <v>4255</v>
      </c>
      <c r="AA4264" t="e">
        <f>INDEX(Stammdaten[Ovalität (']0,1'])],MATCH(Tabelle1014[[#This Row],[Rank]],Stammdaten[Rank Verteilung Ovalität],0))</f>
        <v>#N/A</v>
      </c>
      <c r="AB4264" t="e">
        <f>VLOOKUP(Tabelle1014[[#This Row],[Rank]],Stammdaten[[Rank Verteilung Ovalität]:[Verteilung Ovalität]],2,FALSE)</f>
        <v>#N/A</v>
      </c>
    </row>
    <row r="4265" spans="5:28" x14ac:dyDescent="0.35">
      <c r="E4265">
        <v>4256</v>
      </c>
      <c r="F4265" t="e">
        <f>INDEX(Stammdaten[D Mitte mit Rinde (mm)],MATCH(Tabelle8[[#This Row],[Rank]],Stammdaten[Rank Verteilung D Mitte mit Rinde],0))</f>
        <v>#N/A</v>
      </c>
      <c r="G4265" t="e">
        <f>VLOOKUP(Tabelle8[[#This Row],[Rank]],Stammdaten[[Rank Verteilung D Mitte mit Rinde]:[Verteilung D Mitte mit Rinde]],2,FALSE)</f>
        <v>#N/A</v>
      </c>
      <c r="L4265">
        <v>4256</v>
      </c>
      <c r="M4265" t="e">
        <f>INDEX(Stammdaten[Abholzigkeit (mm/lfm)],MATCH(Tabelle9[[#This Row],[Rank]],Stammdaten[Rank Verteilung Abholzigkeit],0))</f>
        <v>#N/A</v>
      </c>
      <c r="N4265" t="e">
        <f>VLOOKUP(Tabelle9[[#This Row],[Rank]],Stammdaten[[Rank Verteilung Abholzigkeit]:[Verteilung Abholzigkeit]],2,FALSE)</f>
        <v>#N/A</v>
      </c>
      <c r="S4265">
        <v>4256</v>
      </c>
      <c r="T4265" t="e">
        <f>INDEX(Stammdaten[Krümmung (mm/lfm)],MATCH(Tabelle10[[#This Row],[Rank]],Stammdaten[Rank Verteilung Krümmung],0))</f>
        <v>#N/A</v>
      </c>
      <c r="U4265" t="e">
        <f>VLOOKUP(Tabelle10[[#This Row],[Rank]],Stammdaten[[Rank Verteilung Krümmung]:[Verteilung Krümmung]],2,FALSE)</f>
        <v>#N/A</v>
      </c>
      <c r="Z4265">
        <v>4256</v>
      </c>
      <c r="AA4265" t="e">
        <f>INDEX(Stammdaten[Ovalität (']0,1'])],MATCH(Tabelle1014[[#This Row],[Rank]],Stammdaten[Rank Verteilung Ovalität],0))</f>
        <v>#N/A</v>
      </c>
      <c r="AB4265" t="e">
        <f>VLOOKUP(Tabelle1014[[#This Row],[Rank]],Stammdaten[[Rank Verteilung Ovalität]:[Verteilung Ovalität]],2,FALSE)</f>
        <v>#N/A</v>
      </c>
    </row>
    <row r="4266" spans="5:28" x14ac:dyDescent="0.35">
      <c r="E4266">
        <v>4257</v>
      </c>
      <c r="F4266" t="e">
        <f>INDEX(Stammdaten[D Mitte mit Rinde (mm)],MATCH(Tabelle8[[#This Row],[Rank]],Stammdaten[Rank Verteilung D Mitte mit Rinde],0))</f>
        <v>#N/A</v>
      </c>
      <c r="G4266" t="e">
        <f>VLOOKUP(Tabelle8[[#This Row],[Rank]],Stammdaten[[Rank Verteilung D Mitte mit Rinde]:[Verteilung D Mitte mit Rinde]],2,FALSE)</f>
        <v>#N/A</v>
      </c>
      <c r="L4266">
        <v>4257</v>
      </c>
      <c r="M4266" t="e">
        <f>INDEX(Stammdaten[Abholzigkeit (mm/lfm)],MATCH(Tabelle9[[#This Row],[Rank]],Stammdaten[Rank Verteilung Abholzigkeit],0))</f>
        <v>#N/A</v>
      </c>
      <c r="N4266" t="e">
        <f>VLOOKUP(Tabelle9[[#This Row],[Rank]],Stammdaten[[Rank Verteilung Abholzigkeit]:[Verteilung Abholzigkeit]],2,FALSE)</f>
        <v>#N/A</v>
      </c>
      <c r="S4266">
        <v>4257</v>
      </c>
      <c r="T4266" t="e">
        <f>INDEX(Stammdaten[Krümmung (mm/lfm)],MATCH(Tabelle10[[#This Row],[Rank]],Stammdaten[Rank Verteilung Krümmung],0))</f>
        <v>#N/A</v>
      </c>
      <c r="U4266" t="e">
        <f>VLOOKUP(Tabelle10[[#This Row],[Rank]],Stammdaten[[Rank Verteilung Krümmung]:[Verteilung Krümmung]],2,FALSE)</f>
        <v>#N/A</v>
      </c>
      <c r="Z4266">
        <v>4257</v>
      </c>
      <c r="AA4266" t="e">
        <f>INDEX(Stammdaten[Ovalität (']0,1'])],MATCH(Tabelle1014[[#This Row],[Rank]],Stammdaten[Rank Verteilung Ovalität],0))</f>
        <v>#N/A</v>
      </c>
      <c r="AB4266" t="e">
        <f>VLOOKUP(Tabelle1014[[#This Row],[Rank]],Stammdaten[[Rank Verteilung Ovalität]:[Verteilung Ovalität]],2,FALSE)</f>
        <v>#N/A</v>
      </c>
    </row>
    <row r="4267" spans="5:28" x14ac:dyDescent="0.35">
      <c r="E4267">
        <v>4258</v>
      </c>
      <c r="F4267" t="e">
        <f>INDEX(Stammdaten[D Mitte mit Rinde (mm)],MATCH(Tabelle8[[#This Row],[Rank]],Stammdaten[Rank Verteilung D Mitte mit Rinde],0))</f>
        <v>#N/A</v>
      </c>
      <c r="G4267" t="e">
        <f>VLOOKUP(Tabelle8[[#This Row],[Rank]],Stammdaten[[Rank Verteilung D Mitte mit Rinde]:[Verteilung D Mitte mit Rinde]],2,FALSE)</f>
        <v>#N/A</v>
      </c>
      <c r="L4267">
        <v>4258</v>
      </c>
      <c r="M4267" t="e">
        <f>INDEX(Stammdaten[Abholzigkeit (mm/lfm)],MATCH(Tabelle9[[#This Row],[Rank]],Stammdaten[Rank Verteilung Abholzigkeit],0))</f>
        <v>#N/A</v>
      </c>
      <c r="N4267" t="e">
        <f>VLOOKUP(Tabelle9[[#This Row],[Rank]],Stammdaten[[Rank Verteilung Abholzigkeit]:[Verteilung Abholzigkeit]],2,FALSE)</f>
        <v>#N/A</v>
      </c>
      <c r="S4267">
        <v>4258</v>
      </c>
      <c r="T4267" t="e">
        <f>INDEX(Stammdaten[Krümmung (mm/lfm)],MATCH(Tabelle10[[#This Row],[Rank]],Stammdaten[Rank Verteilung Krümmung],0))</f>
        <v>#N/A</v>
      </c>
      <c r="U4267" t="e">
        <f>VLOOKUP(Tabelle10[[#This Row],[Rank]],Stammdaten[[Rank Verteilung Krümmung]:[Verteilung Krümmung]],2,FALSE)</f>
        <v>#N/A</v>
      </c>
      <c r="Z4267">
        <v>4258</v>
      </c>
      <c r="AA4267" t="e">
        <f>INDEX(Stammdaten[Ovalität (']0,1'])],MATCH(Tabelle1014[[#This Row],[Rank]],Stammdaten[Rank Verteilung Ovalität],0))</f>
        <v>#N/A</v>
      </c>
      <c r="AB4267" t="e">
        <f>VLOOKUP(Tabelle1014[[#This Row],[Rank]],Stammdaten[[Rank Verteilung Ovalität]:[Verteilung Ovalität]],2,FALSE)</f>
        <v>#N/A</v>
      </c>
    </row>
    <row r="4268" spans="5:28" x14ac:dyDescent="0.35">
      <c r="E4268">
        <v>4259</v>
      </c>
      <c r="F4268" t="e">
        <f>INDEX(Stammdaten[D Mitte mit Rinde (mm)],MATCH(Tabelle8[[#This Row],[Rank]],Stammdaten[Rank Verteilung D Mitte mit Rinde],0))</f>
        <v>#N/A</v>
      </c>
      <c r="G4268" t="e">
        <f>VLOOKUP(Tabelle8[[#This Row],[Rank]],Stammdaten[[Rank Verteilung D Mitte mit Rinde]:[Verteilung D Mitte mit Rinde]],2,FALSE)</f>
        <v>#N/A</v>
      </c>
      <c r="L4268">
        <v>4259</v>
      </c>
      <c r="M4268" t="e">
        <f>INDEX(Stammdaten[Abholzigkeit (mm/lfm)],MATCH(Tabelle9[[#This Row],[Rank]],Stammdaten[Rank Verteilung Abholzigkeit],0))</f>
        <v>#N/A</v>
      </c>
      <c r="N4268" t="e">
        <f>VLOOKUP(Tabelle9[[#This Row],[Rank]],Stammdaten[[Rank Verteilung Abholzigkeit]:[Verteilung Abholzigkeit]],2,FALSE)</f>
        <v>#N/A</v>
      </c>
      <c r="S4268">
        <v>4259</v>
      </c>
      <c r="T4268" t="e">
        <f>INDEX(Stammdaten[Krümmung (mm/lfm)],MATCH(Tabelle10[[#This Row],[Rank]],Stammdaten[Rank Verteilung Krümmung],0))</f>
        <v>#N/A</v>
      </c>
      <c r="U4268" t="e">
        <f>VLOOKUP(Tabelle10[[#This Row],[Rank]],Stammdaten[[Rank Verteilung Krümmung]:[Verteilung Krümmung]],2,FALSE)</f>
        <v>#N/A</v>
      </c>
      <c r="Z4268">
        <v>4259</v>
      </c>
      <c r="AA4268" t="e">
        <f>INDEX(Stammdaten[Ovalität (']0,1'])],MATCH(Tabelle1014[[#This Row],[Rank]],Stammdaten[Rank Verteilung Ovalität],0))</f>
        <v>#N/A</v>
      </c>
      <c r="AB4268" t="e">
        <f>VLOOKUP(Tabelle1014[[#This Row],[Rank]],Stammdaten[[Rank Verteilung Ovalität]:[Verteilung Ovalität]],2,FALSE)</f>
        <v>#N/A</v>
      </c>
    </row>
    <row r="4269" spans="5:28" x14ac:dyDescent="0.35">
      <c r="E4269">
        <v>4260</v>
      </c>
      <c r="F4269" t="e">
        <f>INDEX(Stammdaten[D Mitte mit Rinde (mm)],MATCH(Tabelle8[[#This Row],[Rank]],Stammdaten[Rank Verteilung D Mitte mit Rinde],0))</f>
        <v>#N/A</v>
      </c>
      <c r="G4269" t="e">
        <f>VLOOKUP(Tabelle8[[#This Row],[Rank]],Stammdaten[[Rank Verteilung D Mitte mit Rinde]:[Verteilung D Mitte mit Rinde]],2,FALSE)</f>
        <v>#N/A</v>
      </c>
      <c r="L4269">
        <v>4260</v>
      </c>
      <c r="M4269" t="e">
        <f>INDEX(Stammdaten[Abholzigkeit (mm/lfm)],MATCH(Tabelle9[[#This Row],[Rank]],Stammdaten[Rank Verteilung Abholzigkeit],0))</f>
        <v>#N/A</v>
      </c>
      <c r="N4269" t="e">
        <f>VLOOKUP(Tabelle9[[#This Row],[Rank]],Stammdaten[[Rank Verteilung Abholzigkeit]:[Verteilung Abholzigkeit]],2,FALSE)</f>
        <v>#N/A</v>
      </c>
      <c r="S4269">
        <v>4260</v>
      </c>
      <c r="T4269" t="e">
        <f>INDEX(Stammdaten[Krümmung (mm/lfm)],MATCH(Tabelle10[[#This Row],[Rank]],Stammdaten[Rank Verteilung Krümmung],0))</f>
        <v>#N/A</v>
      </c>
      <c r="U4269" t="e">
        <f>VLOOKUP(Tabelle10[[#This Row],[Rank]],Stammdaten[[Rank Verteilung Krümmung]:[Verteilung Krümmung]],2,FALSE)</f>
        <v>#N/A</v>
      </c>
      <c r="Z4269">
        <v>4260</v>
      </c>
      <c r="AA4269" t="e">
        <f>INDEX(Stammdaten[Ovalität (']0,1'])],MATCH(Tabelle1014[[#This Row],[Rank]],Stammdaten[Rank Verteilung Ovalität],0))</f>
        <v>#N/A</v>
      </c>
      <c r="AB4269" t="e">
        <f>VLOOKUP(Tabelle1014[[#This Row],[Rank]],Stammdaten[[Rank Verteilung Ovalität]:[Verteilung Ovalität]],2,FALSE)</f>
        <v>#N/A</v>
      </c>
    </row>
    <row r="4270" spans="5:28" x14ac:dyDescent="0.35">
      <c r="E4270">
        <v>4261</v>
      </c>
      <c r="F4270" t="e">
        <f>INDEX(Stammdaten[D Mitte mit Rinde (mm)],MATCH(Tabelle8[[#This Row],[Rank]],Stammdaten[Rank Verteilung D Mitte mit Rinde],0))</f>
        <v>#N/A</v>
      </c>
      <c r="G4270" t="e">
        <f>VLOOKUP(Tabelle8[[#This Row],[Rank]],Stammdaten[[Rank Verteilung D Mitte mit Rinde]:[Verteilung D Mitte mit Rinde]],2,FALSE)</f>
        <v>#N/A</v>
      </c>
      <c r="L4270">
        <v>4261</v>
      </c>
      <c r="M4270" t="e">
        <f>INDEX(Stammdaten[Abholzigkeit (mm/lfm)],MATCH(Tabelle9[[#This Row],[Rank]],Stammdaten[Rank Verteilung Abholzigkeit],0))</f>
        <v>#N/A</v>
      </c>
      <c r="N4270" t="e">
        <f>VLOOKUP(Tabelle9[[#This Row],[Rank]],Stammdaten[[Rank Verteilung Abholzigkeit]:[Verteilung Abholzigkeit]],2,FALSE)</f>
        <v>#N/A</v>
      </c>
      <c r="S4270">
        <v>4261</v>
      </c>
      <c r="T4270" t="e">
        <f>INDEX(Stammdaten[Krümmung (mm/lfm)],MATCH(Tabelle10[[#This Row],[Rank]],Stammdaten[Rank Verteilung Krümmung],0))</f>
        <v>#N/A</v>
      </c>
      <c r="U4270" t="e">
        <f>VLOOKUP(Tabelle10[[#This Row],[Rank]],Stammdaten[[Rank Verteilung Krümmung]:[Verteilung Krümmung]],2,FALSE)</f>
        <v>#N/A</v>
      </c>
      <c r="Z4270">
        <v>4261</v>
      </c>
      <c r="AA4270" t="e">
        <f>INDEX(Stammdaten[Ovalität (']0,1'])],MATCH(Tabelle1014[[#This Row],[Rank]],Stammdaten[Rank Verteilung Ovalität],0))</f>
        <v>#N/A</v>
      </c>
      <c r="AB4270" t="e">
        <f>VLOOKUP(Tabelle1014[[#This Row],[Rank]],Stammdaten[[Rank Verteilung Ovalität]:[Verteilung Ovalität]],2,FALSE)</f>
        <v>#N/A</v>
      </c>
    </row>
    <row r="4271" spans="5:28" x14ac:dyDescent="0.35">
      <c r="E4271">
        <v>4262</v>
      </c>
      <c r="F4271" t="e">
        <f>INDEX(Stammdaten[D Mitte mit Rinde (mm)],MATCH(Tabelle8[[#This Row],[Rank]],Stammdaten[Rank Verteilung D Mitte mit Rinde],0))</f>
        <v>#N/A</v>
      </c>
      <c r="G4271" t="e">
        <f>VLOOKUP(Tabelle8[[#This Row],[Rank]],Stammdaten[[Rank Verteilung D Mitte mit Rinde]:[Verteilung D Mitte mit Rinde]],2,FALSE)</f>
        <v>#N/A</v>
      </c>
      <c r="L4271">
        <v>4262</v>
      </c>
      <c r="M4271" t="e">
        <f>INDEX(Stammdaten[Abholzigkeit (mm/lfm)],MATCH(Tabelle9[[#This Row],[Rank]],Stammdaten[Rank Verteilung Abholzigkeit],0))</f>
        <v>#N/A</v>
      </c>
      <c r="N4271" t="e">
        <f>VLOOKUP(Tabelle9[[#This Row],[Rank]],Stammdaten[[Rank Verteilung Abholzigkeit]:[Verteilung Abholzigkeit]],2,FALSE)</f>
        <v>#N/A</v>
      </c>
      <c r="S4271">
        <v>4262</v>
      </c>
      <c r="T4271" t="e">
        <f>INDEX(Stammdaten[Krümmung (mm/lfm)],MATCH(Tabelle10[[#This Row],[Rank]],Stammdaten[Rank Verteilung Krümmung],0))</f>
        <v>#N/A</v>
      </c>
      <c r="U4271" t="e">
        <f>VLOOKUP(Tabelle10[[#This Row],[Rank]],Stammdaten[[Rank Verteilung Krümmung]:[Verteilung Krümmung]],2,FALSE)</f>
        <v>#N/A</v>
      </c>
      <c r="Z4271">
        <v>4262</v>
      </c>
      <c r="AA4271" t="e">
        <f>INDEX(Stammdaten[Ovalität (']0,1'])],MATCH(Tabelle1014[[#This Row],[Rank]],Stammdaten[Rank Verteilung Ovalität],0))</f>
        <v>#N/A</v>
      </c>
      <c r="AB4271" t="e">
        <f>VLOOKUP(Tabelle1014[[#This Row],[Rank]],Stammdaten[[Rank Verteilung Ovalität]:[Verteilung Ovalität]],2,FALSE)</f>
        <v>#N/A</v>
      </c>
    </row>
    <row r="4272" spans="5:28" x14ac:dyDescent="0.35">
      <c r="E4272">
        <v>4263</v>
      </c>
      <c r="F4272" t="e">
        <f>INDEX(Stammdaten[D Mitte mit Rinde (mm)],MATCH(Tabelle8[[#This Row],[Rank]],Stammdaten[Rank Verteilung D Mitte mit Rinde],0))</f>
        <v>#N/A</v>
      </c>
      <c r="G4272" t="e">
        <f>VLOOKUP(Tabelle8[[#This Row],[Rank]],Stammdaten[[Rank Verteilung D Mitte mit Rinde]:[Verteilung D Mitte mit Rinde]],2,FALSE)</f>
        <v>#N/A</v>
      </c>
      <c r="L4272">
        <v>4263</v>
      </c>
      <c r="M4272" t="e">
        <f>INDEX(Stammdaten[Abholzigkeit (mm/lfm)],MATCH(Tabelle9[[#This Row],[Rank]],Stammdaten[Rank Verteilung Abholzigkeit],0))</f>
        <v>#N/A</v>
      </c>
      <c r="N4272" t="e">
        <f>VLOOKUP(Tabelle9[[#This Row],[Rank]],Stammdaten[[Rank Verteilung Abholzigkeit]:[Verteilung Abholzigkeit]],2,FALSE)</f>
        <v>#N/A</v>
      </c>
      <c r="S4272">
        <v>4263</v>
      </c>
      <c r="T4272" t="e">
        <f>INDEX(Stammdaten[Krümmung (mm/lfm)],MATCH(Tabelle10[[#This Row],[Rank]],Stammdaten[Rank Verteilung Krümmung],0))</f>
        <v>#N/A</v>
      </c>
      <c r="U4272" t="e">
        <f>VLOOKUP(Tabelle10[[#This Row],[Rank]],Stammdaten[[Rank Verteilung Krümmung]:[Verteilung Krümmung]],2,FALSE)</f>
        <v>#N/A</v>
      </c>
      <c r="Z4272">
        <v>4263</v>
      </c>
      <c r="AA4272" t="e">
        <f>INDEX(Stammdaten[Ovalität (']0,1'])],MATCH(Tabelle1014[[#This Row],[Rank]],Stammdaten[Rank Verteilung Ovalität],0))</f>
        <v>#N/A</v>
      </c>
      <c r="AB4272" t="e">
        <f>VLOOKUP(Tabelle1014[[#This Row],[Rank]],Stammdaten[[Rank Verteilung Ovalität]:[Verteilung Ovalität]],2,FALSE)</f>
        <v>#N/A</v>
      </c>
    </row>
    <row r="4273" spans="5:28" x14ac:dyDescent="0.35">
      <c r="E4273">
        <v>4264</v>
      </c>
      <c r="F4273" t="e">
        <f>INDEX(Stammdaten[D Mitte mit Rinde (mm)],MATCH(Tabelle8[[#This Row],[Rank]],Stammdaten[Rank Verteilung D Mitte mit Rinde],0))</f>
        <v>#N/A</v>
      </c>
      <c r="G4273" t="e">
        <f>VLOOKUP(Tabelle8[[#This Row],[Rank]],Stammdaten[[Rank Verteilung D Mitte mit Rinde]:[Verteilung D Mitte mit Rinde]],2,FALSE)</f>
        <v>#N/A</v>
      </c>
      <c r="L4273">
        <v>4264</v>
      </c>
      <c r="M4273" t="e">
        <f>INDEX(Stammdaten[Abholzigkeit (mm/lfm)],MATCH(Tabelle9[[#This Row],[Rank]],Stammdaten[Rank Verteilung Abholzigkeit],0))</f>
        <v>#N/A</v>
      </c>
      <c r="N4273" t="e">
        <f>VLOOKUP(Tabelle9[[#This Row],[Rank]],Stammdaten[[Rank Verteilung Abholzigkeit]:[Verteilung Abholzigkeit]],2,FALSE)</f>
        <v>#N/A</v>
      </c>
      <c r="S4273">
        <v>4264</v>
      </c>
      <c r="T4273" t="e">
        <f>INDEX(Stammdaten[Krümmung (mm/lfm)],MATCH(Tabelle10[[#This Row],[Rank]],Stammdaten[Rank Verteilung Krümmung],0))</f>
        <v>#N/A</v>
      </c>
      <c r="U4273" t="e">
        <f>VLOOKUP(Tabelle10[[#This Row],[Rank]],Stammdaten[[Rank Verteilung Krümmung]:[Verteilung Krümmung]],2,FALSE)</f>
        <v>#N/A</v>
      </c>
      <c r="Z4273">
        <v>4264</v>
      </c>
      <c r="AA4273" t="e">
        <f>INDEX(Stammdaten[Ovalität (']0,1'])],MATCH(Tabelle1014[[#This Row],[Rank]],Stammdaten[Rank Verteilung Ovalität],0))</f>
        <v>#N/A</v>
      </c>
      <c r="AB4273" t="e">
        <f>VLOOKUP(Tabelle1014[[#This Row],[Rank]],Stammdaten[[Rank Verteilung Ovalität]:[Verteilung Ovalität]],2,FALSE)</f>
        <v>#N/A</v>
      </c>
    </row>
    <row r="4274" spans="5:28" x14ac:dyDescent="0.35">
      <c r="E4274">
        <v>4265</v>
      </c>
      <c r="F4274" t="e">
        <f>INDEX(Stammdaten[D Mitte mit Rinde (mm)],MATCH(Tabelle8[[#This Row],[Rank]],Stammdaten[Rank Verteilung D Mitte mit Rinde],0))</f>
        <v>#N/A</v>
      </c>
      <c r="G4274" t="e">
        <f>VLOOKUP(Tabelle8[[#This Row],[Rank]],Stammdaten[[Rank Verteilung D Mitte mit Rinde]:[Verteilung D Mitte mit Rinde]],2,FALSE)</f>
        <v>#N/A</v>
      </c>
      <c r="L4274">
        <v>4265</v>
      </c>
      <c r="M4274" t="e">
        <f>INDEX(Stammdaten[Abholzigkeit (mm/lfm)],MATCH(Tabelle9[[#This Row],[Rank]],Stammdaten[Rank Verteilung Abholzigkeit],0))</f>
        <v>#N/A</v>
      </c>
      <c r="N4274" t="e">
        <f>VLOOKUP(Tabelle9[[#This Row],[Rank]],Stammdaten[[Rank Verteilung Abholzigkeit]:[Verteilung Abholzigkeit]],2,FALSE)</f>
        <v>#N/A</v>
      </c>
      <c r="S4274">
        <v>4265</v>
      </c>
      <c r="T4274" t="e">
        <f>INDEX(Stammdaten[Krümmung (mm/lfm)],MATCH(Tabelle10[[#This Row],[Rank]],Stammdaten[Rank Verteilung Krümmung],0))</f>
        <v>#N/A</v>
      </c>
      <c r="U4274" t="e">
        <f>VLOOKUP(Tabelle10[[#This Row],[Rank]],Stammdaten[[Rank Verteilung Krümmung]:[Verteilung Krümmung]],2,FALSE)</f>
        <v>#N/A</v>
      </c>
      <c r="Z4274">
        <v>4265</v>
      </c>
      <c r="AA4274" t="e">
        <f>INDEX(Stammdaten[Ovalität (']0,1'])],MATCH(Tabelle1014[[#This Row],[Rank]],Stammdaten[Rank Verteilung Ovalität],0))</f>
        <v>#N/A</v>
      </c>
      <c r="AB4274" t="e">
        <f>VLOOKUP(Tabelle1014[[#This Row],[Rank]],Stammdaten[[Rank Verteilung Ovalität]:[Verteilung Ovalität]],2,FALSE)</f>
        <v>#N/A</v>
      </c>
    </row>
    <row r="4275" spans="5:28" x14ac:dyDescent="0.35">
      <c r="E4275">
        <v>4266</v>
      </c>
      <c r="F4275" t="e">
        <f>INDEX(Stammdaten[D Mitte mit Rinde (mm)],MATCH(Tabelle8[[#This Row],[Rank]],Stammdaten[Rank Verteilung D Mitte mit Rinde],0))</f>
        <v>#N/A</v>
      </c>
      <c r="G4275" t="e">
        <f>VLOOKUP(Tabelle8[[#This Row],[Rank]],Stammdaten[[Rank Verteilung D Mitte mit Rinde]:[Verteilung D Mitte mit Rinde]],2,FALSE)</f>
        <v>#N/A</v>
      </c>
      <c r="L4275">
        <v>4266</v>
      </c>
      <c r="M4275" t="e">
        <f>INDEX(Stammdaten[Abholzigkeit (mm/lfm)],MATCH(Tabelle9[[#This Row],[Rank]],Stammdaten[Rank Verteilung Abholzigkeit],0))</f>
        <v>#N/A</v>
      </c>
      <c r="N4275" t="e">
        <f>VLOOKUP(Tabelle9[[#This Row],[Rank]],Stammdaten[[Rank Verteilung Abholzigkeit]:[Verteilung Abholzigkeit]],2,FALSE)</f>
        <v>#N/A</v>
      </c>
      <c r="S4275">
        <v>4266</v>
      </c>
      <c r="T4275" t="e">
        <f>INDEX(Stammdaten[Krümmung (mm/lfm)],MATCH(Tabelle10[[#This Row],[Rank]],Stammdaten[Rank Verteilung Krümmung],0))</f>
        <v>#N/A</v>
      </c>
      <c r="U4275" t="e">
        <f>VLOOKUP(Tabelle10[[#This Row],[Rank]],Stammdaten[[Rank Verteilung Krümmung]:[Verteilung Krümmung]],2,FALSE)</f>
        <v>#N/A</v>
      </c>
      <c r="Z4275">
        <v>4266</v>
      </c>
      <c r="AA4275" t="e">
        <f>INDEX(Stammdaten[Ovalität (']0,1'])],MATCH(Tabelle1014[[#This Row],[Rank]],Stammdaten[Rank Verteilung Ovalität],0))</f>
        <v>#N/A</v>
      </c>
      <c r="AB4275" t="e">
        <f>VLOOKUP(Tabelle1014[[#This Row],[Rank]],Stammdaten[[Rank Verteilung Ovalität]:[Verteilung Ovalität]],2,FALSE)</f>
        <v>#N/A</v>
      </c>
    </row>
    <row r="4276" spans="5:28" x14ac:dyDescent="0.35">
      <c r="E4276">
        <v>4267</v>
      </c>
      <c r="F4276" t="e">
        <f>INDEX(Stammdaten[D Mitte mit Rinde (mm)],MATCH(Tabelle8[[#This Row],[Rank]],Stammdaten[Rank Verteilung D Mitte mit Rinde],0))</f>
        <v>#N/A</v>
      </c>
      <c r="G4276" t="e">
        <f>VLOOKUP(Tabelle8[[#This Row],[Rank]],Stammdaten[[Rank Verteilung D Mitte mit Rinde]:[Verteilung D Mitte mit Rinde]],2,FALSE)</f>
        <v>#N/A</v>
      </c>
      <c r="L4276">
        <v>4267</v>
      </c>
      <c r="M4276" t="e">
        <f>INDEX(Stammdaten[Abholzigkeit (mm/lfm)],MATCH(Tabelle9[[#This Row],[Rank]],Stammdaten[Rank Verteilung Abholzigkeit],0))</f>
        <v>#N/A</v>
      </c>
      <c r="N4276" t="e">
        <f>VLOOKUP(Tabelle9[[#This Row],[Rank]],Stammdaten[[Rank Verteilung Abholzigkeit]:[Verteilung Abholzigkeit]],2,FALSE)</f>
        <v>#N/A</v>
      </c>
      <c r="S4276">
        <v>4267</v>
      </c>
      <c r="T4276" t="e">
        <f>INDEX(Stammdaten[Krümmung (mm/lfm)],MATCH(Tabelle10[[#This Row],[Rank]],Stammdaten[Rank Verteilung Krümmung],0))</f>
        <v>#N/A</v>
      </c>
      <c r="U4276" t="e">
        <f>VLOOKUP(Tabelle10[[#This Row],[Rank]],Stammdaten[[Rank Verteilung Krümmung]:[Verteilung Krümmung]],2,FALSE)</f>
        <v>#N/A</v>
      </c>
      <c r="Z4276">
        <v>4267</v>
      </c>
      <c r="AA4276" t="e">
        <f>INDEX(Stammdaten[Ovalität (']0,1'])],MATCH(Tabelle1014[[#This Row],[Rank]],Stammdaten[Rank Verteilung Ovalität],0))</f>
        <v>#N/A</v>
      </c>
      <c r="AB4276" t="e">
        <f>VLOOKUP(Tabelle1014[[#This Row],[Rank]],Stammdaten[[Rank Verteilung Ovalität]:[Verteilung Ovalität]],2,FALSE)</f>
        <v>#N/A</v>
      </c>
    </row>
    <row r="4277" spans="5:28" x14ac:dyDescent="0.35">
      <c r="E4277">
        <v>4268</v>
      </c>
      <c r="F4277" t="e">
        <f>INDEX(Stammdaten[D Mitte mit Rinde (mm)],MATCH(Tabelle8[[#This Row],[Rank]],Stammdaten[Rank Verteilung D Mitte mit Rinde],0))</f>
        <v>#N/A</v>
      </c>
      <c r="G4277" t="e">
        <f>VLOOKUP(Tabelle8[[#This Row],[Rank]],Stammdaten[[Rank Verteilung D Mitte mit Rinde]:[Verteilung D Mitte mit Rinde]],2,FALSE)</f>
        <v>#N/A</v>
      </c>
      <c r="L4277">
        <v>4268</v>
      </c>
      <c r="M4277" t="e">
        <f>INDEX(Stammdaten[Abholzigkeit (mm/lfm)],MATCH(Tabelle9[[#This Row],[Rank]],Stammdaten[Rank Verteilung Abholzigkeit],0))</f>
        <v>#N/A</v>
      </c>
      <c r="N4277" t="e">
        <f>VLOOKUP(Tabelle9[[#This Row],[Rank]],Stammdaten[[Rank Verteilung Abholzigkeit]:[Verteilung Abholzigkeit]],2,FALSE)</f>
        <v>#N/A</v>
      </c>
      <c r="S4277">
        <v>4268</v>
      </c>
      <c r="T4277" t="e">
        <f>INDEX(Stammdaten[Krümmung (mm/lfm)],MATCH(Tabelle10[[#This Row],[Rank]],Stammdaten[Rank Verteilung Krümmung],0))</f>
        <v>#N/A</v>
      </c>
      <c r="U4277" t="e">
        <f>VLOOKUP(Tabelle10[[#This Row],[Rank]],Stammdaten[[Rank Verteilung Krümmung]:[Verteilung Krümmung]],2,FALSE)</f>
        <v>#N/A</v>
      </c>
      <c r="Z4277">
        <v>4268</v>
      </c>
      <c r="AA4277" t="e">
        <f>INDEX(Stammdaten[Ovalität (']0,1'])],MATCH(Tabelle1014[[#This Row],[Rank]],Stammdaten[Rank Verteilung Ovalität],0))</f>
        <v>#N/A</v>
      </c>
      <c r="AB4277" t="e">
        <f>VLOOKUP(Tabelle1014[[#This Row],[Rank]],Stammdaten[[Rank Verteilung Ovalität]:[Verteilung Ovalität]],2,FALSE)</f>
        <v>#N/A</v>
      </c>
    </row>
    <row r="4278" spans="5:28" x14ac:dyDescent="0.35">
      <c r="E4278">
        <v>4269</v>
      </c>
      <c r="F4278" t="e">
        <f>INDEX(Stammdaten[D Mitte mit Rinde (mm)],MATCH(Tabelle8[[#This Row],[Rank]],Stammdaten[Rank Verteilung D Mitte mit Rinde],0))</f>
        <v>#N/A</v>
      </c>
      <c r="G4278" t="e">
        <f>VLOOKUP(Tabelle8[[#This Row],[Rank]],Stammdaten[[Rank Verteilung D Mitte mit Rinde]:[Verteilung D Mitte mit Rinde]],2,FALSE)</f>
        <v>#N/A</v>
      </c>
      <c r="L4278">
        <v>4269</v>
      </c>
      <c r="M4278" t="e">
        <f>INDEX(Stammdaten[Abholzigkeit (mm/lfm)],MATCH(Tabelle9[[#This Row],[Rank]],Stammdaten[Rank Verteilung Abholzigkeit],0))</f>
        <v>#N/A</v>
      </c>
      <c r="N4278" t="e">
        <f>VLOOKUP(Tabelle9[[#This Row],[Rank]],Stammdaten[[Rank Verteilung Abholzigkeit]:[Verteilung Abholzigkeit]],2,FALSE)</f>
        <v>#N/A</v>
      </c>
      <c r="S4278">
        <v>4269</v>
      </c>
      <c r="T4278" t="e">
        <f>INDEX(Stammdaten[Krümmung (mm/lfm)],MATCH(Tabelle10[[#This Row],[Rank]],Stammdaten[Rank Verteilung Krümmung],0))</f>
        <v>#N/A</v>
      </c>
      <c r="U4278" t="e">
        <f>VLOOKUP(Tabelle10[[#This Row],[Rank]],Stammdaten[[Rank Verteilung Krümmung]:[Verteilung Krümmung]],2,FALSE)</f>
        <v>#N/A</v>
      </c>
      <c r="Z4278">
        <v>4269</v>
      </c>
      <c r="AA4278" t="e">
        <f>INDEX(Stammdaten[Ovalität (']0,1'])],MATCH(Tabelle1014[[#This Row],[Rank]],Stammdaten[Rank Verteilung Ovalität],0))</f>
        <v>#N/A</v>
      </c>
      <c r="AB4278" t="e">
        <f>VLOOKUP(Tabelle1014[[#This Row],[Rank]],Stammdaten[[Rank Verteilung Ovalität]:[Verteilung Ovalität]],2,FALSE)</f>
        <v>#N/A</v>
      </c>
    </row>
    <row r="4279" spans="5:28" x14ac:dyDescent="0.35">
      <c r="E4279">
        <v>4270</v>
      </c>
      <c r="F4279" t="e">
        <f>INDEX(Stammdaten[D Mitte mit Rinde (mm)],MATCH(Tabelle8[[#This Row],[Rank]],Stammdaten[Rank Verteilung D Mitte mit Rinde],0))</f>
        <v>#N/A</v>
      </c>
      <c r="G4279" t="e">
        <f>VLOOKUP(Tabelle8[[#This Row],[Rank]],Stammdaten[[Rank Verteilung D Mitte mit Rinde]:[Verteilung D Mitte mit Rinde]],2,FALSE)</f>
        <v>#N/A</v>
      </c>
      <c r="L4279">
        <v>4270</v>
      </c>
      <c r="M4279" t="e">
        <f>INDEX(Stammdaten[Abholzigkeit (mm/lfm)],MATCH(Tabelle9[[#This Row],[Rank]],Stammdaten[Rank Verteilung Abholzigkeit],0))</f>
        <v>#N/A</v>
      </c>
      <c r="N4279" t="e">
        <f>VLOOKUP(Tabelle9[[#This Row],[Rank]],Stammdaten[[Rank Verteilung Abholzigkeit]:[Verteilung Abholzigkeit]],2,FALSE)</f>
        <v>#N/A</v>
      </c>
      <c r="S4279">
        <v>4270</v>
      </c>
      <c r="T4279" t="e">
        <f>INDEX(Stammdaten[Krümmung (mm/lfm)],MATCH(Tabelle10[[#This Row],[Rank]],Stammdaten[Rank Verteilung Krümmung],0))</f>
        <v>#N/A</v>
      </c>
      <c r="U4279" t="e">
        <f>VLOOKUP(Tabelle10[[#This Row],[Rank]],Stammdaten[[Rank Verteilung Krümmung]:[Verteilung Krümmung]],2,FALSE)</f>
        <v>#N/A</v>
      </c>
      <c r="Z4279">
        <v>4270</v>
      </c>
      <c r="AA4279" t="e">
        <f>INDEX(Stammdaten[Ovalität (']0,1'])],MATCH(Tabelle1014[[#This Row],[Rank]],Stammdaten[Rank Verteilung Ovalität],0))</f>
        <v>#N/A</v>
      </c>
      <c r="AB4279" t="e">
        <f>VLOOKUP(Tabelle1014[[#This Row],[Rank]],Stammdaten[[Rank Verteilung Ovalität]:[Verteilung Ovalität]],2,FALSE)</f>
        <v>#N/A</v>
      </c>
    </row>
    <row r="4280" spans="5:28" x14ac:dyDescent="0.35">
      <c r="E4280">
        <v>4271</v>
      </c>
      <c r="F4280" t="e">
        <f>INDEX(Stammdaten[D Mitte mit Rinde (mm)],MATCH(Tabelle8[[#This Row],[Rank]],Stammdaten[Rank Verteilung D Mitte mit Rinde],0))</f>
        <v>#N/A</v>
      </c>
      <c r="G4280" t="e">
        <f>VLOOKUP(Tabelle8[[#This Row],[Rank]],Stammdaten[[Rank Verteilung D Mitte mit Rinde]:[Verteilung D Mitte mit Rinde]],2,FALSE)</f>
        <v>#N/A</v>
      </c>
      <c r="L4280">
        <v>4271</v>
      </c>
      <c r="M4280" t="e">
        <f>INDEX(Stammdaten[Abholzigkeit (mm/lfm)],MATCH(Tabelle9[[#This Row],[Rank]],Stammdaten[Rank Verteilung Abholzigkeit],0))</f>
        <v>#N/A</v>
      </c>
      <c r="N4280" t="e">
        <f>VLOOKUP(Tabelle9[[#This Row],[Rank]],Stammdaten[[Rank Verteilung Abholzigkeit]:[Verteilung Abholzigkeit]],2,FALSE)</f>
        <v>#N/A</v>
      </c>
      <c r="S4280">
        <v>4271</v>
      </c>
      <c r="T4280" t="e">
        <f>INDEX(Stammdaten[Krümmung (mm/lfm)],MATCH(Tabelle10[[#This Row],[Rank]],Stammdaten[Rank Verteilung Krümmung],0))</f>
        <v>#N/A</v>
      </c>
      <c r="U4280" t="e">
        <f>VLOOKUP(Tabelle10[[#This Row],[Rank]],Stammdaten[[Rank Verteilung Krümmung]:[Verteilung Krümmung]],2,FALSE)</f>
        <v>#N/A</v>
      </c>
      <c r="Z4280">
        <v>4271</v>
      </c>
      <c r="AA4280" t="e">
        <f>INDEX(Stammdaten[Ovalität (']0,1'])],MATCH(Tabelle1014[[#This Row],[Rank]],Stammdaten[Rank Verteilung Ovalität],0))</f>
        <v>#N/A</v>
      </c>
      <c r="AB4280" t="e">
        <f>VLOOKUP(Tabelle1014[[#This Row],[Rank]],Stammdaten[[Rank Verteilung Ovalität]:[Verteilung Ovalität]],2,FALSE)</f>
        <v>#N/A</v>
      </c>
    </row>
    <row r="4281" spans="5:28" x14ac:dyDescent="0.35">
      <c r="E4281">
        <v>4272</v>
      </c>
      <c r="F4281" t="e">
        <f>INDEX(Stammdaten[D Mitte mit Rinde (mm)],MATCH(Tabelle8[[#This Row],[Rank]],Stammdaten[Rank Verteilung D Mitte mit Rinde],0))</f>
        <v>#N/A</v>
      </c>
      <c r="G4281" t="e">
        <f>VLOOKUP(Tabelle8[[#This Row],[Rank]],Stammdaten[[Rank Verteilung D Mitte mit Rinde]:[Verteilung D Mitte mit Rinde]],2,FALSE)</f>
        <v>#N/A</v>
      </c>
      <c r="L4281">
        <v>4272</v>
      </c>
      <c r="M4281" t="e">
        <f>INDEX(Stammdaten[Abholzigkeit (mm/lfm)],MATCH(Tabelle9[[#This Row],[Rank]],Stammdaten[Rank Verteilung Abholzigkeit],0))</f>
        <v>#N/A</v>
      </c>
      <c r="N4281" t="e">
        <f>VLOOKUP(Tabelle9[[#This Row],[Rank]],Stammdaten[[Rank Verteilung Abholzigkeit]:[Verteilung Abholzigkeit]],2,FALSE)</f>
        <v>#N/A</v>
      </c>
      <c r="S4281">
        <v>4272</v>
      </c>
      <c r="T4281" t="e">
        <f>INDEX(Stammdaten[Krümmung (mm/lfm)],MATCH(Tabelle10[[#This Row],[Rank]],Stammdaten[Rank Verteilung Krümmung],0))</f>
        <v>#N/A</v>
      </c>
      <c r="U4281" t="e">
        <f>VLOOKUP(Tabelle10[[#This Row],[Rank]],Stammdaten[[Rank Verteilung Krümmung]:[Verteilung Krümmung]],2,FALSE)</f>
        <v>#N/A</v>
      </c>
      <c r="Z4281">
        <v>4272</v>
      </c>
      <c r="AA4281" t="e">
        <f>INDEX(Stammdaten[Ovalität (']0,1'])],MATCH(Tabelle1014[[#This Row],[Rank]],Stammdaten[Rank Verteilung Ovalität],0))</f>
        <v>#N/A</v>
      </c>
      <c r="AB4281" t="e">
        <f>VLOOKUP(Tabelle1014[[#This Row],[Rank]],Stammdaten[[Rank Verteilung Ovalität]:[Verteilung Ovalität]],2,FALSE)</f>
        <v>#N/A</v>
      </c>
    </row>
    <row r="4282" spans="5:28" x14ac:dyDescent="0.35">
      <c r="E4282">
        <v>4273</v>
      </c>
      <c r="F4282" t="e">
        <f>INDEX(Stammdaten[D Mitte mit Rinde (mm)],MATCH(Tabelle8[[#This Row],[Rank]],Stammdaten[Rank Verteilung D Mitte mit Rinde],0))</f>
        <v>#N/A</v>
      </c>
      <c r="G4282" t="e">
        <f>VLOOKUP(Tabelle8[[#This Row],[Rank]],Stammdaten[[Rank Verteilung D Mitte mit Rinde]:[Verteilung D Mitte mit Rinde]],2,FALSE)</f>
        <v>#N/A</v>
      </c>
      <c r="L4282">
        <v>4273</v>
      </c>
      <c r="M4282" t="e">
        <f>INDEX(Stammdaten[Abholzigkeit (mm/lfm)],MATCH(Tabelle9[[#This Row],[Rank]],Stammdaten[Rank Verteilung Abholzigkeit],0))</f>
        <v>#N/A</v>
      </c>
      <c r="N4282" t="e">
        <f>VLOOKUP(Tabelle9[[#This Row],[Rank]],Stammdaten[[Rank Verteilung Abholzigkeit]:[Verteilung Abholzigkeit]],2,FALSE)</f>
        <v>#N/A</v>
      </c>
      <c r="S4282">
        <v>4273</v>
      </c>
      <c r="T4282" t="e">
        <f>INDEX(Stammdaten[Krümmung (mm/lfm)],MATCH(Tabelle10[[#This Row],[Rank]],Stammdaten[Rank Verteilung Krümmung],0))</f>
        <v>#N/A</v>
      </c>
      <c r="U4282" t="e">
        <f>VLOOKUP(Tabelle10[[#This Row],[Rank]],Stammdaten[[Rank Verteilung Krümmung]:[Verteilung Krümmung]],2,FALSE)</f>
        <v>#N/A</v>
      </c>
      <c r="Z4282">
        <v>4273</v>
      </c>
      <c r="AA4282" t="e">
        <f>INDEX(Stammdaten[Ovalität (']0,1'])],MATCH(Tabelle1014[[#This Row],[Rank]],Stammdaten[Rank Verteilung Ovalität],0))</f>
        <v>#N/A</v>
      </c>
      <c r="AB4282" t="e">
        <f>VLOOKUP(Tabelle1014[[#This Row],[Rank]],Stammdaten[[Rank Verteilung Ovalität]:[Verteilung Ovalität]],2,FALSE)</f>
        <v>#N/A</v>
      </c>
    </row>
    <row r="4283" spans="5:28" x14ac:dyDescent="0.35">
      <c r="E4283">
        <v>4274</v>
      </c>
      <c r="F4283" t="e">
        <f>INDEX(Stammdaten[D Mitte mit Rinde (mm)],MATCH(Tabelle8[[#This Row],[Rank]],Stammdaten[Rank Verteilung D Mitte mit Rinde],0))</f>
        <v>#N/A</v>
      </c>
      <c r="G4283" t="e">
        <f>VLOOKUP(Tabelle8[[#This Row],[Rank]],Stammdaten[[Rank Verteilung D Mitte mit Rinde]:[Verteilung D Mitte mit Rinde]],2,FALSE)</f>
        <v>#N/A</v>
      </c>
      <c r="L4283">
        <v>4274</v>
      </c>
      <c r="M4283" t="e">
        <f>INDEX(Stammdaten[Abholzigkeit (mm/lfm)],MATCH(Tabelle9[[#This Row],[Rank]],Stammdaten[Rank Verteilung Abholzigkeit],0))</f>
        <v>#N/A</v>
      </c>
      <c r="N4283" t="e">
        <f>VLOOKUP(Tabelle9[[#This Row],[Rank]],Stammdaten[[Rank Verteilung Abholzigkeit]:[Verteilung Abholzigkeit]],2,FALSE)</f>
        <v>#N/A</v>
      </c>
      <c r="S4283">
        <v>4274</v>
      </c>
      <c r="T4283" t="e">
        <f>INDEX(Stammdaten[Krümmung (mm/lfm)],MATCH(Tabelle10[[#This Row],[Rank]],Stammdaten[Rank Verteilung Krümmung],0))</f>
        <v>#N/A</v>
      </c>
      <c r="U4283" t="e">
        <f>VLOOKUP(Tabelle10[[#This Row],[Rank]],Stammdaten[[Rank Verteilung Krümmung]:[Verteilung Krümmung]],2,FALSE)</f>
        <v>#N/A</v>
      </c>
      <c r="Z4283">
        <v>4274</v>
      </c>
      <c r="AA4283" t="e">
        <f>INDEX(Stammdaten[Ovalität (']0,1'])],MATCH(Tabelle1014[[#This Row],[Rank]],Stammdaten[Rank Verteilung Ovalität],0))</f>
        <v>#N/A</v>
      </c>
      <c r="AB4283" t="e">
        <f>VLOOKUP(Tabelle1014[[#This Row],[Rank]],Stammdaten[[Rank Verteilung Ovalität]:[Verteilung Ovalität]],2,FALSE)</f>
        <v>#N/A</v>
      </c>
    </row>
    <row r="4284" spans="5:28" x14ac:dyDescent="0.35">
      <c r="E4284">
        <v>4275</v>
      </c>
      <c r="F4284" t="e">
        <f>INDEX(Stammdaten[D Mitte mit Rinde (mm)],MATCH(Tabelle8[[#This Row],[Rank]],Stammdaten[Rank Verteilung D Mitte mit Rinde],0))</f>
        <v>#N/A</v>
      </c>
      <c r="G4284" t="e">
        <f>VLOOKUP(Tabelle8[[#This Row],[Rank]],Stammdaten[[Rank Verteilung D Mitte mit Rinde]:[Verteilung D Mitte mit Rinde]],2,FALSE)</f>
        <v>#N/A</v>
      </c>
      <c r="L4284">
        <v>4275</v>
      </c>
      <c r="M4284" t="e">
        <f>INDEX(Stammdaten[Abholzigkeit (mm/lfm)],MATCH(Tabelle9[[#This Row],[Rank]],Stammdaten[Rank Verteilung Abholzigkeit],0))</f>
        <v>#N/A</v>
      </c>
      <c r="N4284" t="e">
        <f>VLOOKUP(Tabelle9[[#This Row],[Rank]],Stammdaten[[Rank Verteilung Abholzigkeit]:[Verteilung Abholzigkeit]],2,FALSE)</f>
        <v>#N/A</v>
      </c>
      <c r="S4284">
        <v>4275</v>
      </c>
      <c r="T4284" t="e">
        <f>INDEX(Stammdaten[Krümmung (mm/lfm)],MATCH(Tabelle10[[#This Row],[Rank]],Stammdaten[Rank Verteilung Krümmung],0))</f>
        <v>#N/A</v>
      </c>
      <c r="U4284" t="e">
        <f>VLOOKUP(Tabelle10[[#This Row],[Rank]],Stammdaten[[Rank Verteilung Krümmung]:[Verteilung Krümmung]],2,FALSE)</f>
        <v>#N/A</v>
      </c>
      <c r="Z4284">
        <v>4275</v>
      </c>
      <c r="AA4284" t="e">
        <f>INDEX(Stammdaten[Ovalität (']0,1'])],MATCH(Tabelle1014[[#This Row],[Rank]],Stammdaten[Rank Verteilung Ovalität],0))</f>
        <v>#N/A</v>
      </c>
      <c r="AB4284" t="e">
        <f>VLOOKUP(Tabelle1014[[#This Row],[Rank]],Stammdaten[[Rank Verteilung Ovalität]:[Verteilung Ovalität]],2,FALSE)</f>
        <v>#N/A</v>
      </c>
    </row>
    <row r="4285" spans="5:28" x14ac:dyDescent="0.35">
      <c r="E4285">
        <v>4276</v>
      </c>
      <c r="F4285" t="e">
        <f>INDEX(Stammdaten[D Mitte mit Rinde (mm)],MATCH(Tabelle8[[#This Row],[Rank]],Stammdaten[Rank Verteilung D Mitte mit Rinde],0))</f>
        <v>#N/A</v>
      </c>
      <c r="G4285" t="e">
        <f>VLOOKUP(Tabelle8[[#This Row],[Rank]],Stammdaten[[Rank Verteilung D Mitte mit Rinde]:[Verteilung D Mitte mit Rinde]],2,FALSE)</f>
        <v>#N/A</v>
      </c>
      <c r="L4285">
        <v>4276</v>
      </c>
      <c r="M4285" t="e">
        <f>INDEX(Stammdaten[Abholzigkeit (mm/lfm)],MATCH(Tabelle9[[#This Row],[Rank]],Stammdaten[Rank Verteilung Abholzigkeit],0))</f>
        <v>#N/A</v>
      </c>
      <c r="N4285" t="e">
        <f>VLOOKUP(Tabelle9[[#This Row],[Rank]],Stammdaten[[Rank Verteilung Abholzigkeit]:[Verteilung Abholzigkeit]],2,FALSE)</f>
        <v>#N/A</v>
      </c>
      <c r="S4285">
        <v>4276</v>
      </c>
      <c r="T4285" t="e">
        <f>INDEX(Stammdaten[Krümmung (mm/lfm)],MATCH(Tabelle10[[#This Row],[Rank]],Stammdaten[Rank Verteilung Krümmung],0))</f>
        <v>#N/A</v>
      </c>
      <c r="U4285" t="e">
        <f>VLOOKUP(Tabelle10[[#This Row],[Rank]],Stammdaten[[Rank Verteilung Krümmung]:[Verteilung Krümmung]],2,FALSE)</f>
        <v>#N/A</v>
      </c>
      <c r="Z4285">
        <v>4276</v>
      </c>
      <c r="AA4285" t="e">
        <f>INDEX(Stammdaten[Ovalität (']0,1'])],MATCH(Tabelle1014[[#This Row],[Rank]],Stammdaten[Rank Verteilung Ovalität],0))</f>
        <v>#N/A</v>
      </c>
      <c r="AB4285" t="e">
        <f>VLOOKUP(Tabelle1014[[#This Row],[Rank]],Stammdaten[[Rank Verteilung Ovalität]:[Verteilung Ovalität]],2,FALSE)</f>
        <v>#N/A</v>
      </c>
    </row>
    <row r="4286" spans="5:28" x14ac:dyDescent="0.35">
      <c r="E4286">
        <v>4277</v>
      </c>
      <c r="F4286" t="e">
        <f>INDEX(Stammdaten[D Mitte mit Rinde (mm)],MATCH(Tabelle8[[#This Row],[Rank]],Stammdaten[Rank Verteilung D Mitte mit Rinde],0))</f>
        <v>#N/A</v>
      </c>
      <c r="G4286" t="e">
        <f>VLOOKUP(Tabelle8[[#This Row],[Rank]],Stammdaten[[Rank Verteilung D Mitte mit Rinde]:[Verteilung D Mitte mit Rinde]],2,FALSE)</f>
        <v>#N/A</v>
      </c>
      <c r="L4286">
        <v>4277</v>
      </c>
      <c r="M4286" t="e">
        <f>INDEX(Stammdaten[Abholzigkeit (mm/lfm)],MATCH(Tabelle9[[#This Row],[Rank]],Stammdaten[Rank Verteilung Abholzigkeit],0))</f>
        <v>#N/A</v>
      </c>
      <c r="N4286" t="e">
        <f>VLOOKUP(Tabelle9[[#This Row],[Rank]],Stammdaten[[Rank Verteilung Abholzigkeit]:[Verteilung Abholzigkeit]],2,FALSE)</f>
        <v>#N/A</v>
      </c>
      <c r="S4286">
        <v>4277</v>
      </c>
      <c r="T4286" t="e">
        <f>INDEX(Stammdaten[Krümmung (mm/lfm)],MATCH(Tabelle10[[#This Row],[Rank]],Stammdaten[Rank Verteilung Krümmung],0))</f>
        <v>#N/A</v>
      </c>
      <c r="U4286" t="e">
        <f>VLOOKUP(Tabelle10[[#This Row],[Rank]],Stammdaten[[Rank Verteilung Krümmung]:[Verteilung Krümmung]],2,FALSE)</f>
        <v>#N/A</v>
      </c>
      <c r="Z4286">
        <v>4277</v>
      </c>
      <c r="AA4286" t="e">
        <f>INDEX(Stammdaten[Ovalität (']0,1'])],MATCH(Tabelle1014[[#This Row],[Rank]],Stammdaten[Rank Verteilung Ovalität],0))</f>
        <v>#N/A</v>
      </c>
      <c r="AB4286" t="e">
        <f>VLOOKUP(Tabelle1014[[#This Row],[Rank]],Stammdaten[[Rank Verteilung Ovalität]:[Verteilung Ovalität]],2,FALSE)</f>
        <v>#N/A</v>
      </c>
    </row>
    <row r="4287" spans="5:28" x14ac:dyDescent="0.35">
      <c r="E4287">
        <v>4278</v>
      </c>
      <c r="F4287" t="e">
        <f>INDEX(Stammdaten[D Mitte mit Rinde (mm)],MATCH(Tabelle8[[#This Row],[Rank]],Stammdaten[Rank Verteilung D Mitte mit Rinde],0))</f>
        <v>#N/A</v>
      </c>
      <c r="G4287" t="e">
        <f>VLOOKUP(Tabelle8[[#This Row],[Rank]],Stammdaten[[Rank Verteilung D Mitte mit Rinde]:[Verteilung D Mitte mit Rinde]],2,FALSE)</f>
        <v>#N/A</v>
      </c>
      <c r="L4287">
        <v>4278</v>
      </c>
      <c r="M4287" t="e">
        <f>INDEX(Stammdaten[Abholzigkeit (mm/lfm)],MATCH(Tabelle9[[#This Row],[Rank]],Stammdaten[Rank Verteilung Abholzigkeit],0))</f>
        <v>#N/A</v>
      </c>
      <c r="N4287" t="e">
        <f>VLOOKUP(Tabelle9[[#This Row],[Rank]],Stammdaten[[Rank Verteilung Abholzigkeit]:[Verteilung Abholzigkeit]],2,FALSE)</f>
        <v>#N/A</v>
      </c>
      <c r="S4287">
        <v>4278</v>
      </c>
      <c r="T4287" t="e">
        <f>INDEX(Stammdaten[Krümmung (mm/lfm)],MATCH(Tabelle10[[#This Row],[Rank]],Stammdaten[Rank Verteilung Krümmung],0))</f>
        <v>#N/A</v>
      </c>
      <c r="U4287" t="e">
        <f>VLOOKUP(Tabelle10[[#This Row],[Rank]],Stammdaten[[Rank Verteilung Krümmung]:[Verteilung Krümmung]],2,FALSE)</f>
        <v>#N/A</v>
      </c>
      <c r="Z4287">
        <v>4278</v>
      </c>
      <c r="AA4287" t="e">
        <f>INDEX(Stammdaten[Ovalität (']0,1'])],MATCH(Tabelle1014[[#This Row],[Rank]],Stammdaten[Rank Verteilung Ovalität],0))</f>
        <v>#N/A</v>
      </c>
      <c r="AB4287" t="e">
        <f>VLOOKUP(Tabelle1014[[#This Row],[Rank]],Stammdaten[[Rank Verteilung Ovalität]:[Verteilung Ovalität]],2,FALSE)</f>
        <v>#N/A</v>
      </c>
    </row>
    <row r="4288" spans="5:28" x14ac:dyDescent="0.35">
      <c r="E4288">
        <v>4279</v>
      </c>
      <c r="F4288" t="e">
        <f>INDEX(Stammdaten[D Mitte mit Rinde (mm)],MATCH(Tabelle8[[#This Row],[Rank]],Stammdaten[Rank Verteilung D Mitte mit Rinde],0))</f>
        <v>#N/A</v>
      </c>
      <c r="G4288" t="e">
        <f>VLOOKUP(Tabelle8[[#This Row],[Rank]],Stammdaten[[Rank Verteilung D Mitte mit Rinde]:[Verteilung D Mitte mit Rinde]],2,FALSE)</f>
        <v>#N/A</v>
      </c>
      <c r="L4288">
        <v>4279</v>
      </c>
      <c r="M4288" t="e">
        <f>INDEX(Stammdaten[Abholzigkeit (mm/lfm)],MATCH(Tabelle9[[#This Row],[Rank]],Stammdaten[Rank Verteilung Abholzigkeit],0))</f>
        <v>#N/A</v>
      </c>
      <c r="N4288" t="e">
        <f>VLOOKUP(Tabelle9[[#This Row],[Rank]],Stammdaten[[Rank Verteilung Abholzigkeit]:[Verteilung Abholzigkeit]],2,FALSE)</f>
        <v>#N/A</v>
      </c>
      <c r="S4288">
        <v>4279</v>
      </c>
      <c r="T4288" t="e">
        <f>INDEX(Stammdaten[Krümmung (mm/lfm)],MATCH(Tabelle10[[#This Row],[Rank]],Stammdaten[Rank Verteilung Krümmung],0))</f>
        <v>#N/A</v>
      </c>
      <c r="U4288" t="e">
        <f>VLOOKUP(Tabelle10[[#This Row],[Rank]],Stammdaten[[Rank Verteilung Krümmung]:[Verteilung Krümmung]],2,FALSE)</f>
        <v>#N/A</v>
      </c>
      <c r="Z4288">
        <v>4279</v>
      </c>
      <c r="AA4288" t="e">
        <f>INDEX(Stammdaten[Ovalität (']0,1'])],MATCH(Tabelle1014[[#This Row],[Rank]],Stammdaten[Rank Verteilung Ovalität],0))</f>
        <v>#N/A</v>
      </c>
      <c r="AB4288" t="e">
        <f>VLOOKUP(Tabelle1014[[#This Row],[Rank]],Stammdaten[[Rank Verteilung Ovalität]:[Verteilung Ovalität]],2,FALSE)</f>
        <v>#N/A</v>
      </c>
    </row>
    <row r="4289" spans="5:28" x14ac:dyDescent="0.35">
      <c r="E4289">
        <v>4280</v>
      </c>
      <c r="F4289" t="e">
        <f>INDEX(Stammdaten[D Mitte mit Rinde (mm)],MATCH(Tabelle8[[#This Row],[Rank]],Stammdaten[Rank Verteilung D Mitte mit Rinde],0))</f>
        <v>#N/A</v>
      </c>
      <c r="G4289" t="e">
        <f>VLOOKUP(Tabelle8[[#This Row],[Rank]],Stammdaten[[Rank Verteilung D Mitte mit Rinde]:[Verteilung D Mitte mit Rinde]],2,FALSE)</f>
        <v>#N/A</v>
      </c>
      <c r="L4289">
        <v>4280</v>
      </c>
      <c r="M4289" t="e">
        <f>INDEX(Stammdaten[Abholzigkeit (mm/lfm)],MATCH(Tabelle9[[#This Row],[Rank]],Stammdaten[Rank Verteilung Abholzigkeit],0))</f>
        <v>#N/A</v>
      </c>
      <c r="N4289" t="e">
        <f>VLOOKUP(Tabelle9[[#This Row],[Rank]],Stammdaten[[Rank Verteilung Abholzigkeit]:[Verteilung Abholzigkeit]],2,FALSE)</f>
        <v>#N/A</v>
      </c>
      <c r="S4289">
        <v>4280</v>
      </c>
      <c r="T4289" t="e">
        <f>INDEX(Stammdaten[Krümmung (mm/lfm)],MATCH(Tabelle10[[#This Row],[Rank]],Stammdaten[Rank Verteilung Krümmung],0))</f>
        <v>#N/A</v>
      </c>
      <c r="U4289" t="e">
        <f>VLOOKUP(Tabelle10[[#This Row],[Rank]],Stammdaten[[Rank Verteilung Krümmung]:[Verteilung Krümmung]],2,FALSE)</f>
        <v>#N/A</v>
      </c>
      <c r="Z4289">
        <v>4280</v>
      </c>
      <c r="AA4289" t="e">
        <f>INDEX(Stammdaten[Ovalität (']0,1'])],MATCH(Tabelle1014[[#This Row],[Rank]],Stammdaten[Rank Verteilung Ovalität],0))</f>
        <v>#N/A</v>
      </c>
      <c r="AB4289" t="e">
        <f>VLOOKUP(Tabelle1014[[#This Row],[Rank]],Stammdaten[[Rank Verteilung Ovalität]:[Verteilung Ovalität]],2,FALSE)</f>
        <v>#N/A</v>
      </c>
    </row>
    <row r="4290" spans="5:28" x14ac:dyDescent="0.35">
      <c r="E4290">
        <v>4281</v>
      </c>
      <c r="F4290" t="e">
        <f>INDEX(Stammdaten[D Mitte mit Rinde (mm)],MATCH(Tabelle8[[#This Row],[Rank]],Stammdaten[Rank Verteilung D Mitte mit Rinde],0))</f>
        <v>#N/A</v>
      </c>
      <c r="G4290" t="e">
        <f>VLOOKUP(Tabelle8[[#This Row],[Rank]],Stammdaten[[Rank Verteilung D Mitte mit Rinde]:[Verteilung D Mitte mit Rinde]],2,FALSE)</f>
        <v>#N/A</v>
      </c>
      <c r="L4290">
        <v>4281</v>
      </c>
      <c r="M4290" t="e">
        <f>INDEX(Stammdaten[Abholzigkeit (mm/lfm)],MATCH(Tabelle9[[#This Row],[Rank]],Stammdaten[Rank Verteilung Abholzigkeit],0))</f>
        <v>#N/A</v>
      </c>
      <c r="N4290" t="e">
        <f>VLOOKUP(Tabelle9[[#This Row],[Rank]],Stammdaten[[Rank Verteilung Abholzigkeit]:[Verteilung Abholzigkeit]],2,FALSE)</f>
        <v>#N/A</v>
      </c>
      <c r="S4290">
        <v>4281</v>
      </c>
      <c r="T4290" t="e">
        <f>INDEX(Stammdaten[Krümmung (mm/lfm)],MATCH(Tabelle10[[#This Row],[Rank]],Stammdaten[Rank Verteilung Krümmung],0))</f>
        <v>#N/A</v>
      </c>
      <c r="U4290" t="e">
        <f>VLOOKUP(Tabelle10[[#This Row],[Rank]],Stammdaten[[Rank Verteilung Krümmung]:[Verteilung Krümmung]],2,FALSE)</f>
        <v>#N/A</v>
      </c>
      <c r="Z4290">
        <v>4281</v>
      </c>
      <c r="AA4290" t="e">
        <f>INDEX(Stammdaten[Ovalität (']0,1'])],MATCH(Tabelle1014[[#This Row],[Rank]],Stammdaten[Rank Verteilung Ovalität],0))</f>
        <v>#N/A</v>
      </c>
      <c r="AB4290" t="e">
        <f>VLOOKUP(Tabelle1014[[#This Row],[Rank]],Stammdaten[[Rank Verteilung Ovalität]:[Verteilung Ovalität]],2,FALSE)</f>
        <v>#N/A</v>
      </c>
    </row>
    <row r="4291" spans="5:28" x14ac:dyDescent="0.35">
      <c r="E4291">
        <v>4282</v>
      </c>
      <c r="F4291" t="e">
        <f>INDEX(Stammdaten[D Mitte mit Rinde (mm)],MATCH(Tabelle8[[#This Row],[Rank]],Stammdaten[Rank Verteilung D Mitte mit Rinde],0))</f>
        <v>#N/A</v>
      </c>
      <c r="G4291" t="e">
        <f>VLOOKUP(Tabelle8[[#This Row],[Rank]],Stammdaten[[Rank Verteilung D Mitte mit Rinde]:[Verteilung D Mitte mit Rinde]],2,FALSE)</f>
        <v>#N/A</v>
      </c>
      <c r="L4291">
        <v>4282</v>
      </c>
      <c r="M4291" t="e">
        <f>INDEX(Stammdaten[Abholzigkeit (mm/lfm)],MATCH(Tabelle9[[#This Row],[Rank]],Stammdaten[Rank Verteilung Abholzigkeit],0))</f>
        <v>#N/A</v>
      </c>
      <c r="N4291" t="e">
        <f>VLOOKUP(Tabelle9[[#This Row],[Rank]],Stammdaten[[Rank Verteilung Abholzigkeit]:[Verteilung Abholzigkeit]],2,FALSE)</f>
        <v>#N/A</v>
      </c>
      <c r="S4291">
        <v>4282</v>
      </c>
      <c r="T4291" t="e">
        <f>INDEX(Stammdaten[Krümmung (mm/lfm)],MATCH(Tabelle10[[#This Row],[Rank]],Stammdaten[Rank Verteilung Krümmung],0))</f>
        <v>#N/A</v>
      </c>
      <c r="U4291" t="e">
        <f>VLOOKUP(Tabelle10[[#This Row],[Rank]],Stammdaten[[Rank Verteilung Krümmung]:[Verteilung Krümmung]],2,FALSE)</f>
        <v>#N/A</v>
      </c>
      <c r="Z4291">
        <v>4282</v>
      </c>
      <c r="AA4291" t="e">
        <f>INDEX(Stammdaten[Ovalität (']0,1'])],MATCH(Tabelle1014[[#This Row],[Rank]],Stammdaten[Rank Verteilung Ovalität],0))</f>
        <v>#N/A</v>
      </c>
      <c r="AB4291" t="e">
        <f>VLOOKUP(Tabelle1014[[#This Row],[Rank]],Stammdaten[[Rank Verteilung Ovalität]:[Verteilung Ovalität]],2,FALSE)</f>
        <v>#N/A</v>
      </c>
    </row>
    <row r="4292" spans="5:28" x14ac:dyDescent="0.35">
      <c r="E4292">
        <v>4283</v>
      </c>
      <c r="F4292" t="e">
        <f>INDEX(Stammdaten[D Mitte mit Rinde (mm)],MATCH(Tabelle8[[#This Row],[Rank]],Stammdaten[Rank Verteilung D Mitte mit Rinde],0))</f>
        <v>#N/A</v>
      </c>
      <c r="G4292" t="e">
        <f>VLOOKUP(Tabelle8[[#This Row],[Rank]],Stammdaten[[Rank Verteilung D Mitte mit Rinde]:[Verteilung D Mitte mit Rinde]],2,FALSE)</f>
        <v>#N/A</v>
      </c>
      <c r="L4292">
        <v>4283</v>
      </c>
      <c r="M4292" t="e">
        <f>INDEX(Stammdaten[Abholzigkeit (mm/lfm)],MATCH(Tabelle9[[#This Row],[Rank]],Stammdaten[Rank Verteilung Abholzigkeit],0))</f>
        <v>#N/A</v>
      </c>
      <c r="N4292" t="e">
        <f>VLOOKUP(Tabelle9[[#This Row],[Rank]],Stammdaten[[Rank Verteilung Abholzigkeit]:[Verteilung Abholzigkeit]],2,FALSE)</f>
        <v>#N/A</v>
      </c>
      <c r="S4292">
        <v>4283</v>
      </c>
      <c r="T4292" t="e">
        <f>INDEX(Stammdaten[Krümmung (mm/lfm)],MATCH(Tabelle10[[#This Row],[Rank]],Stammdaten[Rank Verteilung Krümmung],0))</f>
        <v>#N/A</v>
      </c>
      <c r="U4292" t="e">
        <f>VLOOKUP(Tabelle10[[#This Row],[Rank]],Stammdaten[[Rank Verteilung Krümmung]:[Verteilung Krümmung]],2,FALSE)</f>
        <v>#N/A</v>
      </c>
      <c r="Z4292">
        <v>4283</v>
      </c>
      <c r="AA4292" t="e">
        <f>INDEX(Stammdaten[Ovalität (']0,1'])],MATCH(Tabelle1014[[#This Row],[Rank]],Stammdaten[Rank Verteilung Ovalität],0))</f>
        <v>#N/A</v>
      </c>
      <c r="AB4292" t="e">
        <f>VLOOKUP(Tabelle1014[[#This Row],[Rank]],Stammdaten[[Rank Verteilung Ovalität]:[Verteilung Ovalität]],2,FALSE)</f>
        <v>#N/A</v>
      </c>
    </row>
    <row r="4293" spans="5:28" x14ac:dyDescent="0.35">
      <c r="E4293">
        <v>4284</v>
      </c>
      <c r="F4293" t="e">
        <f>INDEX(Stammdaten[D Mitte mit Rinde (mm)],MATCH(Tabelle8[[#This Row],[Rank]],Stammdaten[Rank Verteilung D Mitte mit Rinde],0))</f>
        <v>#N/A</v>
      </c>
      <c r="G4293" t="e">
        <f>VLOOKUP(Tabelle8[[#This Row],[Rank]],Stammdaten[[Rank Verteilung D Mitte mit Rinde]:[Verteilung D Mitte mit Rinde]],2,FALSE)</f>
        <v>#N/A</v>
      </c>
      <c r="L4293">
        <v>4284</v>
      </c>
      <c r="M4293" t="e">
        <f>INDEX(Stammdaten[Abholzigkeit (mm/lfm)],MATCH(Tabelle9[[#This Row],[Rank]],Stammdaten[Rank Verteilung Abholzigkeit],0))</f>
        <v>#N/A</v>
      </c>
      <c r="N4293" t="e">
        <f>VLOOKUP(Tabelle9[[#This Row],[Rank]],Stammdaten[[Rank Verteilung Abholzigkeit]:[Verteilung Abholzigkeit]],2,FALSE)</f>
        <v>#N/A</v>
      </c>
      <c r="S4293">
        <v>4284</v>
      </c>
      <c r="T4293" t="e">
        <f>INDEX(Stammdaten[Krümmung (mm/lfm)],MATCH(Tabelle10[[#This Row],[Rank]],Stammdaten[Rank Verteilung Krümmung],0))</f>
        <v>#N/A</v>
      </c>
      <c r="U4293" t="e">
        <f>VLOOKUP(Tabelle10[[#This Row],[Rank]],Stammdaten[[Rank Verteilung Krümmung]:[Verteilung Krümmung]],2,FALSE)</f>
        <v>#N/A</v>
      </c>
      <c r="Z4293">
        <v>4284</v>
      </c>
      <c r="AA4293" t="e">
        <f>INDEX(Stammdaten[Ovalität (']0,1'])],MATCH(Tabelle1014[[#This Row],[Rank]],Stammdaten[Rank Verteilung Ovalität],0))</f>
        <v>#N/A</v>
      </c>
      <c r="AB4293" t="e">
        <f>VLOOKUP(Tabelle1014[[#This Row],[Rank]],Stammdaten[[Rank Verteilung Ovalität]:[Verteilung Ovalität]],2,FALSE)</f>
        <v>#N/A</v>
      </c>
    </row>
    <row r="4294" spans="5:28" x14ac:dyDescent="0.35">
      <c r="E4294">
        <v>4285</v>
      </c>
      <c r="F4294" t="e">
        <f>INDEX(Stammdaten[D Mitte mit Rinde (mm)],MATCH(Tabelle8[[#This Row],[Rank]],Stammdaten[Rank Verteilung D Mitte mit Rinde],0))</f>
        <v>#N/A</v>
      </c>
      <c r="G4294" t="e">
        <f>VLOOKUP(Tabelle8[[#This Row],[Rank]],Stammdaten[[Rank Verteilung D Mitte mit Rinde]:[Verteilung D Mitte mit Rinde]],2,FALSE)</f>
        <v>#N/A</v>
      </c>
      <c r="L4294">
        <v>4285</v>
      </c>
      <c r="M4294" t="e">
        <f>INDEX(Stammdaten[Abholzigkeit (mm/lfm)],MATCH(Tabelle9[[#This Row],[Rank]],Stammdaten[Rank Verteilung Abholzigkeit],0))</f>
        <v>#N/A</v>
      </c>
      <c r="N4294" t="e">
        <f>VLOOKUP(Tabelle9[[#This Row],[Rank]],Stammdaten[[Rank Verteilung Abholzigkeit]:[Verteilung Abholzigkeit]],2,FALSE)</f>
        <v>#N/A</v>
      </c>
      <c r="S4294">
        <v>4285</v>
      </c>
      <c r="T4294" t="e">
        <f>INDEX(Stammdaten[Krümmung (mm/lfm)],MATCH(Tabelle10[[#This Row],[Rank]],Stammdaten[Rank Verteilung Krümmung],0))</f>
        <v>#N/A</v>
      </c>
      <c r="U4294" t="e">
        <f>VLOOKUP(Tabelle10[[#This Row],[Rank]],Stammdaten[[Rank Verteilung Krümmung]:[Verteilung Krümmung]],2,FALSE)</f>
        <v>#N/A</v>
      </c>
      <c r="Z4294">
        <v>4285</v>
      </c>
      <c r="AA4294" t="e">
        <f>INDEX(Stammdaten[Ovalität (']0,1'])],MATCH(Tabelle1014[[#This Row],[Rank]],Stammdaten[Rank Verteilung Ovalität],0))</f>
        <v>#N/A</v>
      </c>
      <c r="AB4294" t="e">
        <f>VLOOKUP(Tabelle1014[[#This Row],[Rank]],Stammdaten[[Rank Verteilung Ovalität]:[Verteilung Ovalität]],2,FALSE)</f>
        <v>#N/A</v>
      </c>
    </row>
    <row r="4295" spans="5:28" x14ac:dyDescent="0.35">
      <c r="E4295">
        <v>4286</v>
      </c>
      <c r="F4295" t="e">
        <f>INDEX(Stammdaten[D Mitte mit Rinde (mm)],MATCH(Tabelle8[[#This Row],[Rank]],Stammdaten[Rank Verteilung D Mitte mit Rinde],0))</f>
        <v>#N/A</v>
      </c>
      <c r="G4295" t="e">
        <f>VLOOKUP(Tabelle8[[#This Row],[Rank]],Stammdaten[[Rank Verteilung D Mitte mit Rinde]:[Verteilung D Mitte mit Rinde]],2,FALSE)</f>
        <v>#N/A</v>
      </c>
      <c r="L4295">
        <v>4286</v>
      </c>
      <c r="M4295" t="e">
        <f>INDEX(Stammdaten[Abholzigkeit (mm/lfm)],MATCH(Tabelle9[[#This Row],[Rank]],Stammdaten[Rank Verteilung Abholzigkeit],0))</f>
        <v>#N/A</v>
      </c>
      <c r="N4295" t="e">
        <f>VLOOKUP(Tabelle9[[#This Row],[Rank]],Stammdaten[[Rank Verteilung Abholzigkeit]:[Verteilung Abholzigkeit]],2,FALSE)</f>
        <v>#N/A</v>
      </c>
      <c r="S4295">
        <v>4286</v>
      </c>
      <c r="T4295" t="e">
        <f>INDEX(Stammdaten[Krümmung (mm/lfm)],MATCH(Tabelle10[[#This Row],[Rank]],Stammdaten[Rank Verteilung Krümmung],0))</f>
        <v>#N/A</v>
      </c>
      <c r="U4295" t="e">
        <f>VLOOKUP(Tabelle10[[#This Row],[Rank]],Stammdaten[[Rank Verteilung Krümmung]:[Verteilung Krümmung]],2,FALSE)</f>
        <v>#N/A</v>
      </c>
      <c r="Z4295">
        <v>4286</v>
      </c>
      <c r="AA4295" t="e">
        <f>INDEX(Stammdaten[Ovalität (']0,1'])],MATCH(Tabelle1014[[#This Row],[Rank]],Stammdaten[Rank Verteilung Ovalität],0))</f>
        <v>#N/A</v>
      </c>
      <c r="AB4295" t="e">
        <f>VLOOKUP(Tabelle1014[[#This Row],[Rank]],Stammdaten[[Rank Verteilung Ovalität]:[Verteilung Ovalität]],2,FALSE)</f>
        <v>#N/A</v>
      </c>
    </row>
    <row r="4296" spans="5:28" x14ac:dyDescent="0.35">
      <c r="E4296">
        <v>4287</v>
      </c>
      <c r="F4296" t="e">
        <f>INDEX(Stammdaten[D Mitte mit Rinde (mm)],MATCH(Tabelle8[[#This Row],[Rank]],Stammdaten[Rank Verteilung D Mitte mit Rinde],0))</f>
        <v>#N/A</v>
      </c>
      <c r="G4296" t="e">
        <f>VLOOKUP(Tabelle8[[#This Row],[Rank]],Stammdaten[[Rank Verteilung D Mitte mit Rinde]:[Verteilung D Mitte mit Rinde]],2,FALSE)</f>
        <v>#N/A</v>
      </c>
      <c r="L4296">
        <v>4287</v>
      </c>
      <c r="M4296" t="e">
        <f>INDEX(Stammdaten[Abholzigkeit (mm/lfm)],MATCH(Tabelle9[[#This Row],[Rank]],Stammdaten[Rank Verteilung Abholzigkeit],0))</f>
        <v>#N/A</v>
      </c>
      <c r="N4296" t="e">
        <f>VLOOKUP(Tabelle9[[#This Row],[Rank]],Stammdaten[[Rank Verteilung Abholzigkeit]:[Verteilung Abholzigkeit]],2,FALSE)</f>
        <v>#N/A</v>
      </c>
      <c r="S4296">
        <v>4287</v>
      </c>
      <c r="T4296" t="e">
        <f>INDEX(Stammdaten[Krümmung (mm/lfm)],MATCH(Tabelle10[[#This Row],[Rank]],Stammdaten[Rank Verteilung Krümmung],0))</f>
        <v>#N/A</v>
      </c>
      <c r="U4296" t="e">
        <f>VLOOKUP(Tabelle10[[#This Row],[Rank]],Stammdaten[[Rank Verteilung Krümmung]:[Verteilung Krümmung]],2,FALSE)</f>
        <v>#N/A</v>
      </c>
      <c r="Z4296">
        <v>4287</v>
      </c>
      <c r="AA4296" t="e">
        <f>INDEX(Stammdaten[Ovalität (']0,1'])],MATCH(Tabelle1014[[#This Row],[Rank]],Stammdaten[Rank Verteilung Ovalität],0))</f>
        <v>#N/A</v>
      </c>
      <c r="AB4296" t="e">
        <f>VLOOKUP(Tabelle1014[[#This Row],[Rank]],Stammdaten[[Rank Verteilung Ovalität]:[Verteilung Ovalität]],2,FALSE)</f>
        <v>#N/A</v>
      </c>
    </row>
    <row r="4297" spans="5:28" x14ac:dyDescent="0.35">
      <c r="E4297">
        <v>4288</v>
      </c>
      <c r="F4297" t="e">
        <f>INDEX(Stammdaten[D Mitte mit Rinde (mm)],MATCH(Tabelle8[[#This Row],[Rank]],Stammdaten[Rank Verteilung D Mitte mit Rinde],0))</f>
        <v>#N/A</v>
      </c>
      <c r="G4297" t="e">
        <f>VLOOKUP(Tabelle8[[#This Row],[Rank]],Stammdaten[[Rank Verteilung D Mitte mit Rinde]:[Verteilung D Mitte mit Rinde]],2,FALSE)</f>
        <v>#N/A</v>
      </c>
      <c r="L4297">
        <v>4288</v>
      </c>
      <c r="M4297" t="e">
        <f>INDEX(Stammdaten[Abholzigkeit (mm/lfm)],MATCH(Tabelle9[[#This Row],[Rank]],Stammdaten[Rank Verteilung Abholzigkeit],0))</f>
        <v>#N/A</v>
      </c>
      <c r="N4297" t="e">
        <f>VLOOKUP(Tabelle9[[#This Row],[Rank]],Stammdaten[[Rank Verteilung Abholzigkeit]:[Verteilung Abholzigkeit]],2,FALSE)</f>
        <v>#N/A</v>
      </c>
      <c r="S4297">
        <v>4288</v>
      </c>
      <c r="T4297" t="e">
        <f>INDEX(Stammdaten[Krümmung (mm/lfm)],MATCH(Tabelle10[[#This Row],[Rank]],Stammdaten[Rank Verteilung Krümmung],0))</f>
        <v>#N/A</v>
      </c>
      <c r="U4297" t="e">
        <f>VLOOKUP(Tabelle10[[#This Row],[Rank]],Stammdaten[[Rank Verteilung Krümmung]:[Verteilung Krümmung]],2,FALSE)</f>
        <v>#N/A</v>
      </c>
      <c r="Z4297">
        <v>4288</v>
      </c>
      <c r="AA4297" t="e">
        <f>INDEX(Stammdaten[Ovalität (']0,1'])],MATCH(Tabelle1014[[#This Row],[Rank]],Stammdaten[Rank Verteilung Ovalität],0))</f>
        <v>#N/A</v>
      </c>
      <c r="AB4297" t="e">
        <f>VLOOKUP(Tabelle1014[[#This Row],[Rank]],Stammdaten[[Rank Verteilung Ovalität]:[Verteilung Ovalität]],2,FALSE)</f>
        <v>#N/A</v>
      </c>
    </row>
    <row r="4298" spans="5:28" x14ac:dyDescent="0.35">
      <c r="E4298">
        <v>4289</v>
      </c>
      <c r="F4298" t="e">
        <f>INDEX(Stammdaten[D Mitte mit Rinde (mm)],MATCH(Tabelle8[[#This Row],[Rank]],Stammdaten[Rank Verteilung D Mitte mit Rinde],0))</f>
        <v>#N/A</v>
      </c>
      <c r="G4298" t="e">
        <f>VLOOKUP(Tabelle8[[#This Row],[Rank]],Stammdaten[[Rank Verteilung D Mitte mit Rinde]:[Verteilung D Mitte mit Rinde]],2,FALSE)</f>
        <v>#N/A</v>
      </c>
      <c r="L4298">
        <v>4289</v>
      </c>
      <c r="M4298" t="e">
        <f>INDEX(Stammdaten[Abholzigkeit (mm/lfm)],MATCH(Tabelle9[[#This Row],[Rank]],Stammdaten[Rank Verteilung Abholzigkeit],0))</f>
        <v>#N/A</v>
      </c>
      <c r="N4298" t="e">
        <f>VLOOKUP(Tabelle9[[#This Row],[Rank]],Stammdaten[[Rank Verteilung Abholzigkeit]:[Verteilung Abholzigkeit]],2,FALSE)</f>
        <v>#N/A</v>
      </c>
      <c r="S4298">
        <v>4289</v>
      </c>
      <c r="T4298" t="e">
        <f>INDEX(Stammdaten[Krümmung (mm/lfm)],MATCH(Tabelle10[[#This Row],[Rank]],Stammdaten[Rank Verteilung Krümmung],0))</f>
        <v>#N/A</v>
      </c>
      <c r="U4298" t="e">
        <f>VLOOKUP(Tabelle10[[#This Row],[Rank]],Stammdaten[[Rank Verteilung Krümmung]:[Verteilung Krümmung]],2,FALSE)</f>
        <v>#N/A</v>
      </c>
      <c r="Z4298">
        <v>4289</v>
      </c>
      <c r="AA4298" t="e">
        <f>INDEX(Stammdaten[Ovalität (']0,1'])],MATCH(Tabelle1014[[#This Row],[Rank]],Stammdaten[Rank Verteilung Ovalität],0))</f>
        <v>#N/A</v>
      </c>
      <c r="AB4298" t="e">
        <f>VLOOKUP(Tabelle1014[[#This Row],[Rank]],Stammdaten[[Rank Verteilung Ovalität]:[Verteilung Ovalität]],2,FALSE)</f>
        <v>#N/A</v>
      </c>
    </row>
    <row r="4299" spans="5:28" x14ac:dyDescent="0.35">
      <c r="E4299">
        <v>4290</v>
      </c>
      <c r="F4299" t="e">
        <f>INDEX(Stammdaten[D Mitte mit Rinde (mm)],MATCH(Tabelle8[[#This Row],[Rank]],Stammdaten[Rank Verteilung D Mitte mit Rinde],0))</f>
        <v>#N/A</v>
      </c>
      <c r="G4299" t="e">
        <f>VLOOKUP(Tabelle8[[#This Row],[Rank]],Stammdaten[[Rank Verteilung D Mitte mit Rinde]:[Verteilung D Mitte mit Rinde]],2,FALSE)</f>
        <v>#N/A</v>
      </c>
      <c r="L4299">
        <v>4290</v>
      </c>
      <c r="M4299" t="e">
        <f>INDEX(Stammdaten[Abholzigkeit (mm/lfm)],MATCH(Tabelle9[[#This Row],[Rank]],Stammdaten[Rank Verteilung Abholzigkeit],0))</f>
        <v>#N/A</v>
      </c>
      <c r="N4299" t="e">
        <f>VLOOKUP(Tabelle9[[#This Row],[Rank]],Stammdaten[[Rank Verteilung Abholzigkeit]:[Verteilung Abholzigkeit]],2,FALSE)</f>
        <v>#N/A</v>
      </c>
      <c r="S4299">
        <v>4290</v>
      </c>
      <c r="T4299" t="e">
        <f>INDEX(Stammdaten[Krümmung (mm/lfm)],MATCH(Tabelle10[[#This Row],[Rank]],Stammdaten[Rank Verteilung Krümmung],0))</f>
        <v>#N/A</v>
      </c>
      <c r="U4299" t="e">
        <f>VLOOKUP(Tabelle10[[#This Row],[Rank]],Stammdaten[[Rank Verteilung Krümmung]:[Verteilung Krümmung]],2,FALSE)</f>
        <v>#N/A</v>
      </c>
      <c r="Z4299">
        <v>4290</v>
      </c>
      <c r="AA4299" t="e">
        <f>INDEX(Stammdaten[Ovalität (']0,1'])],MATCH(Tabelle1014[[#This Row],[Rank]],Stammdaten[Rank Verteilung Ovalität],0))</f>
        <v>#N/A</v>
      </c>
      <c r="AB4299" t="e">
        <f>VLOOKUP(Tabelle1014[[#This Row],[Rank]],Stammdaten[[Rank Verteilung Ovalität]:[Verteilung Ovalität]],2,FALSE)</f>
        <v>#N/A</v>
      </c>
    </row>
    <row r="4300" spans="5:28" x14ac:dyDescent="0.35">
      <c r="E4300">
        <v>4291</v>
      </c>
      <c r="F4300" t="e">
        <f>INDEX(Stammdaten[D Mitte mit Rinde (mm)],MATCH(Tabelle8[[#This Row],[Rank]],Stammdaten[Rank Verteilung D Mitte mit Rinde],0))</f>
        <v>#N/A</v>
      </c>
      <c r="G4300" t="e">
        <f>VLOOKUP(Tabelle8[[#This Row],[Rank]],Stammdaten[[Rank Verteilung D Mitte mit Rinde]:[Verteilung D Mitte mit Rinde]],2,FALSE)</f>
        <v>#N/A</v>
      </c>
      <c r="L4300">
        <v>4291</v>
      </c>
      <c r="M4300" t="e">
        <f>INDEX(Stammdaten[Abholzigkeit (mm/lfm)],MATCH(Tabelle9[[#This Row],[Rank]],Stammdaten[Rank Verteilung Abholzigkeit],0))</f>
        <v>#N/A</v>
      </c>
      <c r="N4300" t="e">
        <f>VLOOKUP(Tabelle9[[#This Row],[Rank]],Stammdaten[[Rank Verteilung Abholzigkeit]:[Verteilung Abholzigkeit]],2,FALSE)</f>
        <v>#N/A</v>
      </c>
      <c r="S4300">
        <v>4291</v>
      </c>
      <c r="T4300" t="e">
        <f>INDEX(Stammdaten[Krümmung (mm/lfm)],MATCH(Tabelle10[[#This Row],[Rank]],Stammdaten[Rank Verteilung Krümmung],0))</f>
        <v>#N/A</v>
      </c>
      <c r="U4300" t="e">
        <f>VLOOKUP(Tabelle10[[#This Row],[Rank]],Stammdaten[[Rank Verteilung Krümmung]:[Verteilung Krümmung]],2,FALSE)</f>
        <v>#N/A</v>
      </c>
      <c r="Z4300">
        <v>4291</v>
      </c>
      <c r="AA4300" t="e">
        <f>INDEX(Stammdaten[Ovalität (']0,1'])],MATCH(Tabelle1014[[#This Row],[Rank]],Stammdaten[Rank Verteilung Ovalität],0))</f>
        <v>#N/A</v>
      </c>
      <c r="AB4300" t="e">
        <f>VLOOKUP(Tabelle1014[[#This Row],[Rank]],Stammdaten[[Rank Verteilung Ovalität]:[Verteilung Ovalität]],2,FALSE)</f>
        <v>#N/A</v>
      </c>
    </row>
    <row r="4301" spans="5:28" x14ac:dyDescent="0.35">
      <c r="E4301">
        <v>4292</v>
      </c>
      <c r="F4301" t="e">
        <f>INDEX(Stammdaten[D Mitte mit Rinde (mm)],MATCH(Tabelle8[[#This Row],[Rank]],Stammdaten[Rank Verteilung D Mitte mit Rinde],0))</f>
        <v>#N/A</v>
      </c>
      <c r="G4301" t="e">
        <f>VLOOKUP(Tabelle8[[#This Row],[Rank]],Stammdaten[[Rank Verteilung D Mitte mit Rinde]:[Verteilung D Mitte mit Rinde]],2,FALSE)</f>
        <v>#N/A</v>
      </c>
      <c r="L4301">
        <v>4292</v>
      </c>
      <c r="M4301" t="e">
        <f>INDEX(Stammdaten[Abholzigkeit (mm/lfm)],MATCH(Tabelle9[[#This Row],[Rank]],Stammdaten[Rank Verteilung Abholzigkeit],0))</f>
        <v>#N/A</v>
      </c>
      <c r="N4301" t="e">
        <f>VLOOKUP(Tabelle9[[#This Row],[Rank]],Stammdaten[[Rank Verteilung Abholzigkeit]:[Verteilung Abholzigkeit]],2,FALSE)</f>
        <v>#N/A</v>
      </c>
      <c r="S4301">
        <v>4292</v>
      </c>
      <c r="T4301" t="e">
        <f>INDEX(Stammdaten[Krümmung (mm/lfm)],MATCH(Tabelle10[[#This Row],[Rank]],Stammdaten[Rank Verteilung Krümmung],0))</f>
        <v>#N/A</v>
      </c>
      <c r="U4301" t="e">
        <f>VLOOKUP(Tabelle10[[#This Row],[Rank]],Stammdaten[[Rank Verteilung Krümmung]:[Verteilung Krümmung]],2,FALSE)</f>
        <v>#N/A</v>
      </c>
      <c r="Z4301">
        <v>4292</v>
      </c>
      <c r="AA4301" t="e">
        <f>INDEX(Stammdaten[Ovalität (']0,1'])],MATCH(Tabelle1014[[#This Row],[Rank]],Stammdaten[Rank Verteilung Ovalität],0))</f>
        <v>#N/A</v>
      </c>
      <c r="AB4301" t="e">
        <f>VLOOKUP(Tabelle1014[[#This Row],[Rank]],Stammdaten[[Rank Verteilung Ovalität]:[Verteilung Ovalität]],2,FALSE)</f>
        <v>#N/A</v>
      </c>
    </row>
    <row r="4302" spans="5:28" x14ac:dyDescent="0.35">
      <c r="E4302">
        <v>4293</v>
      </c>
      <c r="F4302" t="e">
        <f>INDEX(Stammdaten[D Mitte mit Rinde (mm)],MATCH(Tabelle8[[#This Row],[Rank]],Stammdaten[Rank Verteilung D Mitte mit Rinde],0))</f>
        <v>#N/A</v>
      </c>
      <c r="G4302" t="e">
        <f>VLOOKUP(Tabelle8[[#This Row],[Rank]],Stammdaten[[Rank Verteilung D Mitte mit Rinde]:[Verteilung D Mitte mit Rinde]],2,FALSE)</f>
        <v>#N/A</v>
      </c>
      <c r="L4302">
        <v>4293</v>
      </c>
      <c r="M4302" t="e">
        <f>INDEX(Stammdaten[Abholzigkeit (mm/lfm)],MATCH(Tabelle9[[#This Row],[Rank]],Stammdaten[Rank Verteilung Abholzigkeit],0))</f>
        <v>#N/A</v>
      </c>
      <c r="N4302" t="e">
        <f>VLOOKUP(Tabelle9[[#This Row],[Rank]],Stammdaten[[Rank Verteilung Abholzigkeit]:[Verteilung Abholzigkeit]],2,FALSE)</f>
        <v>#N/A</v>
      </c>
      <c r="S4302">
        <v>4293</v>
      </c>
      <c r="T4302" t="e">
        <f>INDEX(Stammdaten[Krümmung (mm/lfm)],MATCH(Tabelle10[[#This Row],[Rank]],Stammdaten[Rank Verteilung Krümmung],0))</f>
        <v>#N/A</v>
      </c>
      <c r="U4302" t="e">
        <f>VLOOKUP(Tabelle10[[#This Row],[Rank]],Stammdaten[[Rank Verteilung Krümmung]:[Verteilung Krümmung]],2,FALSE)</f>
        <v>#N/A</v>
      </c>
      <c r="Z4302">
        <v>4293</v>
      </c>
      <c r="AA4302" t="e">
        <f>INDEX(Stammdaten[Ovalität (']0,1'])],MATCH(Tabelle1014[[#This Row],[Rank]],Stammdaten[Rank Verteilung Ovalität],0))</f>
        <v>#N/A</v>
      </c>
      <c r="AB4302" t="e">
        <f>VLOOKUP(Tabelle1014[[#This Row],[Rank]],Stammdaten[[Rank Verteilung Ovalität]:[Verteilung Ovalität]],2,FALSE)</f>
        <v>#N/A</v>
      </c>
    </row>
    <row r="4303" spans="5:28" x14ac:dyDescent="0.35">
      <c r="E4303">
        <v>4294</v>
      </c>
      <c r="F4303" t="e">
        <f>INDEX(Stammdaten[D Mitte mit Rinde (mm)],MATCH(Tabelle8[[#This Row],[Rank]],Stammdaten[Rank Verteilung D Mitte mit Rinde],0))</f>
        <v>#N/A</v>
      </c>
      <c r="G4303" t="e">
        <f>VLOOKUP(Tabelle8[[#This Row],[Rank]],Stammdaten[[Rank Verteilung D Mitte mit Rinde]:[Verteilung D Mitte mit Rinde]],2,FALSE)</f>
        <v>#N/A</v>
      </c>
      <c r="L4303">
        <v>4294</v>
      </c>
      <c r="M4303" t="e">
        <f>INDEX(Stammdaten[Abholzigkeit (mm/lfm)],MATCH(Tabelle9[[#This Row],[Rank]],Stammdaten[Rank Verteilung Abholzigkeit],0))</f>
        <v>#N/A</v>
      </c>
      <c r="N4303" t="e">
        <f>VLOOKUP(Tabelle9[[#This Row],[Rank]],Stammdaten[[Rank Verteilung Abholzigkeit]:[Verteilung Abholzigkeit]],2,FALSE)</f>
        <v>#N/A</v>
      </c>
      <c r="S4303">
        <v>4294</v>
      </c>
      <c r="T4303" t="e">
        <f>INDEX(Stammdaten[Krümmung (mm/lfm)],MATCH(Tabelle10[[#This Row],[Rank]],Stammdaten[Rank Verteilung Krümmung],0))</f>
        <v>#N/A</v>
      </c>
      <c r="U4303" t="e">
        <f>VLOOKUP(Tabelle10[[#This Row],[Rank]],Stammdaten[[Rank Verteilung Krümmung]:[Verteilung Krümmung]],2,FALSE)</f>
        <v>#N/A</v>
      </c>
      <c r="Z4303">
        <v>4294</v>
      </c>
      <c r="AA4303" t="e">
        <f>INDEX(Stammdaten[Ovalität (']0,1'])],MATCH(Tabelle1014[[#This Row],[Rank]],Stammdaten[Rank Verteilung Ovalität],0))</f>
        <v>#N/A</v>
      </c>
      <c r="AB4303" t="e">
        <f>VLOOKUP(Tabelle1014[[#This Row],[Rank]],Stammdaten[[Rank Verteilung Ovalität]:[Verteilung Ovalität]],2,FALSE)</f>
        <v>#N/A</v>
      </c>
    </row>
    <row r="4304" spans="5:28" x14ac:dyDescent="0.35">
      <c r="E4304">
        <v>4295</v>
      </c>
      <c r="F4304" t="e">
        <f>INDEX(Stammdaten[D Mitte mit Rinde (mm)],MATCH(Tabelle8[[#This Row],[Rank]],Stammdaten[Rank Verteilung D Mitte mit Rinde],0))</f>
        <v>#N/A</v>
      </c>
      <c r="G4304" t="e">
        <f>VLOOKUP(Tabelle8[[#This Row],[Rank]],Stammdaten[[Rank Verteilung D Mitte mit Rinde]:[Verteilung D Mitte mit Rinde]],2,FALSE)</f>
        <v>#N/A</v>
      </c>
      <c r="L4304">
        <v>4295</v>
      </c>
      <c r="M4304" t="e">
        <f>INDEX(Stammdaten[Abholzigkeit (mm/lfm)],MATCH(Tabelle9[[#This Row],[Rank]],Stammdaten[Rank Verteilung Abholzigkeit],0))</f>
        <v>#N/A</v>
      </c>
      <c r="N4304" t="e">
        <f>VLOOKUP(Tabelle9[[#This Row],[Rank]],Stammdaten[[Rank Verteilung Abholzigkeit]:[Verteilung Abholzigkeit]],2,FALSE)</f>
        <v>#N/A</v>
      </c>
      <c r="S4304">
        <v>4295</v>
      </c>
      <c r="T4304" t="e">
        <f>INDEX(Stammdaten[Krümmung (mm/lfm)],MATCH(Tabelle10[[#This Row],[Rank]],Stammdaten[Rank Verteilung Krümmung],0))</f>
        <v>#N/A</v>
      </c>
      <c r="U4304" t="e">
        <f>VLOOKUP(Tabelle10[[#This Row],[Rank]],Stammdaten[[Rank Verteilung Krümmung]:[Verteilung Krümmung]],2,FALSE)</f>
        <v>#N/A</v>
      </c>
      <c r="Z4304">
        <v>4295</v>
      </c>
      <c r="AA4304" t="e">
        <f>INDEX(Stammdaten[Ovalität (']0,1'])],MATCH(Tabelle1014[[#This Row],[Rank]],Stammdaten[Rank Verteilung Ovalität],0))</f>
        <v>#N/A</v>
      </c>
      <c r="AB4304" t="e">
        <f>VLOOKUP(Tabelle1014[[#This Row],[Rank]],Stammdaten[[Rank Verteilung Ovalität]:[Verteilung Ovalität]],2,FALSE)</f>
        <v>#N/A</v>
      </c>
    </row>
    <row r="4305" spans="5:28" x14ac:dyDescent="0.35">
      <c r="E4305">
        <v>4296</v>
      </c>
      <c r="F4305" t="e">
        <f>INDEX(Stammdaten[D Mitte mit Rinde (mm)],MATCH(Tabelle8[[#This Row],[Rank]],Stammdaten[Rank Verteilung D Mitte mit Rinde],0))</f>
        <v>#N/A</v>
      </c>
      <c r="G4305" t="e">
        <f>VLOOKUP(Tabelle8[[#This Row],[Rank]],Stammdaten[[Rank Verteilung D Mitte mit Rinde]:[Verteilung D Mitte mit Rinde]],2,FALSE)</f>
        <v>#N/A</v>
      </c>
      <c r="L4305">
        <v>4296</v>
      </c>
      <c r="M4305" t="e">
        <f>INDEX(Stammdaten[Abholzigkeit (mm/lfm)],MATCH(Tabelle9[[#This Row],[Rank]],Stammdaten[Rank Verteilung Abholzigkeit],0))</f>
        <v>#N/A</v>
      </c>
      <c r="N4305" t="e">
        <f>VLOOKUP(Tabelle9[[#This Row],[Rank]],Stammdaten[[Rank Verteilung Abholzigkeit]:[Verteilung Abholzigkeit]],2,FALSE)</f>
        <v>#N/A</v>
      </c>
      <c r="S4305">
        <v>4296</v>
      </c>
      <c r="T4305" t="e">
        <f>INDEX(Stammdaten[Krümmung (mm/lfm)],MATCH(Tabelle10[[#This Row],[Rank]],Stammdaten[Rank Verteilung Krümmung],0))</f>
        <v>#N/A</v>
      </c>
      <c r="U4305" t="e">
        <f>VLOOKUP(Tabelle10[[#This Row],[Rank]],Stammdaten[[Rank Verteilung Krümmung]:[Verteilung Krümmung]],2,FALSE)</f>
        <v>#N/A</v>
      </c>
      <c r="Z4305">
        <v>4296</v>
      </c>
      <c r="AA4305" t="e">
        <f>INDEX(Stammdaten[Ovalität (']0,1'])],MATCH(Tabelle1014[[#This Row],[Rank]],Stammdaten[Rank Verteilung Ovalität],0))</f>
        <v>#N/A</v>
      </c>
      <c r="AB4305" t="e">
        <f>VLOOKUP(Tabelle1014[[#This Row],[Rank]],Stammdaten[[Rank Verteilung Ovalität]:[Verteilung Ovalität]],2,FALSE)</f>
        <v>#N/A</v>
      </c>
    </row>
    <row r="4306" spans="5:28" x14ac:dyDescent="0.35">
      <c r="E4306">
        <v>4297</v>
      </c>
      <c r="F4306" t="e">
        <f>INDEX(Stammdaten[D Mitte mit Rinde (mm)],MATCH(Tabelle8[[#This Row],[Rank]],Stammdaten[Rank Verteilung D Mitte mit Rinde],0))</f>
        <v>#N/A</v>
      </c>
      <c r="G4306" t="e">
        <f>VLOOKUP(Tabelle8[[#This Row],[Rank]],Stammdaten[[Rank Verteilung D Mitte mit Rinde]:[Verteilung D Mitte mit Rinde]],2,FALSE)</f>
        <v>#N/A</v>
      </c>
      <c r="L4306">
        <v>4297</v>
      </c>
      <c r="M4306" t="e">
        <f>INDEX(Stammdaten[Abholzigkeit (mm/lfm)],MATCH(Tabelle9[[#This Row],[Rank]],Stammdaten[Rank Verteilung Abholzigkeit],0))</f>
        <v>#N/A</v>
      </c>
      <c r="N4306" t="e">
        <f>VLOOKUP(Tabelle9[[#This Row],[Rank]],Stammdaten[[Rank Verteilung Abholzigkeit]:[Verteilung Abholzigkeit]],2,FALSE)</f>
        <v>#N/A</v>
      </c>
      <c r="S4306">
        <v>4297</v>
      </c>
      <c r="T4306" t="e">
        <f>INDEX(Stammdaten[Krümmung (mm/lfm)],MATCH(Tabelle10[[#This Row],[Rank]],Stammdaten[Rank Verteilung Krümmung],0))</f>
        <v>#N/A</v>
      </c>
      <c r="U4306" t="e">
        <f>VLOOKUP(Tabelle10[[#This Row],[Rank]],Stammdaten[[Rank Verteilung Krümmung]:[Verteilung Krümmung]],2,FALSE)</f>
        <v>#N/A</v>
      </c>
      <c r="Z4306">
        <v>4297</v>
      </c>
      <c r="AA4306" t="e">
        <f>INDEX(Stammdaten[Ovalität (']0,1'])],MATCH(Tabelle1014[[#This Row],[Rank]],Stammdaten[Rank Verteilung Ovalität],0))</f>
        <v>#N/A</v>
      </c>
      <c r="AB4306" t="e">
        <f>VLOOKUP(Tabelle1014[[#This Row],[Rank]],Stammdaten[[Rank Verteilung Ovalität]:[Verteilung Ovalität]],2,FALSE)</f>
        <v>#N/A</v>
      </c>
    </row>
    <row r="4307" spans="5:28" x14ac:dyDescent="0.35">
      <c r="E4307">
        <v>4298</v>
      </c>
      <c r="F4307" t="e">
        <f>INDEX(Stammdaten[D Mitte mit Rinde (mm)],MATCH(Tabelle8[[#This Row],[Rank]],Stammdaten[Rank Verteilung D Mitte mit Rinde],0))</f>
        <v>#N/A</v>
      </c>
      <c r="G4307" t="e">
        <f>VLOOKUP(Tabelle8[[#This Row],[Rank]],Stammdaten[[Rank Verteilung D Mitte mit Rinde]:[Verteilung D Mitte mit Rinde]],2,FALSE)</f>
        <v>#N/A</v>
      </c>
      <c r="L4307">
        <v>4298</v>
      </c>
      <c r="M4307" t="e">
        <f>INDEX(Stammdaten[Abholzigkeit (mm/lfm)],MATCH(Tabelle9[[#This Row],[Rank]],Stammdaten[Rank Verteilung Abholzigkeit],0))</f>
        <v>#N/A</v>
      </c>
      <c r="N4307" t="e">
        <f>VLOOKUP(Tabelle9[[#This Row],[Rank]],Stammdaten[[Rank Verteilung Abholzigkeit]:[Verteilung Abholzigkeit]],2,FALSE)</f>
        <v>#N/A</v>
      </c>
      <c r="S4307">
        <v>4298</v>
      </c>
      <c r="T4307" t="e">
        <f>INDEX(Stammdaten[Krümmung (mm/lfm)],MATCH(Tabelle10[[#This Row],[Rank]],Stammdaten[Rank Verteilung Krümmung],0))</f>
        <v>#N/A</v>
      </c>
      <c r="U4307" t="e">
        <f>VLOOKUP(Tabelle10[[#This Row],[Rank]],Stammdaten[[Rank Verteilung Krümmung]:[Verteilung Krümmung]],2,FALSE)</f>
        <v>#N/A</v>
      </c>
      <c r="Z4307">
        <v>4298</v>
      </c>
      <c r="AA4307" t="e">
        <f>INDEX(Stammdaten[Ovalität (']0,1'])],MATCH(Tabelle1014[[#This Row],[Rank]],Stammdaten[Rank Verteilung Ovalität],0))</f>
        <v>#N/A</v>
      </c>
      <c r="AB4307" t="e">
        <f>VLOOKUP(Tabelle1014[[#This Row],[Rank]],Stammdaten[[Rank Verteilung Ovalität]:[Verteilung Ovalität]],2,FALSE)</f>
        <v>#N/A</v>
      </c>
    </row>
    <row r="4308" spans="5:28" x14ac:dyDescent="0.35">
      <c r="E4308">
        <v>4299</v>
      </c>
      <c r="F4308" t="e">
        <f>INDEX(Stammdaten[D Mitte mit Rinde (mm)],MATCH(Tabelle8[[#This Row],[Rank]],Stammdaten[Rank Verteilung D Mitte mit Rinde],0))</f>
        <v>#N/A</v>
      </c>
      <c r="G4308" t="e">
        <f>VLOOKUP(Tabelle8[[#This Row],[Rank]],Stammdaten[[Rank Verteilung D Mitte mit Rinde]:[Verteilung D Mitte mit Rinde]],2,FALSE)</f>
        <v>#N/A</v>
      </c>
      <c r="L4308">
        <v>4299</v>
      </c>
      <c r="M4308" t="e">
        <f>INDEX(Stammdaten[Abholzigkeit (mm/lfm)],MATCH(Tabelle9[[#This Row],[Rank]],Stammdaten[Rank Verteilung Abholzigkeit],0))</f>
        <v>#N/A</v>
      </c>
      <c r="N4308" t="e">
        <f>VLOOKUP(Tabelle9[[#This Row],[Rank]],Stammdaten[[Rank Verteilung Abholzigkeit]:[Verteilung Abholzigkeit]],2,FALSE)</f>
        <v>#N/A</v>
      </c>
      <c r="S4308">
        <v>4299</v>
      </c>
      <c r="T4308" t="e">
        <f>INDEX(Stammdaten[Krümmung (mm/lfm)],MATCH(Tabelle10[[#This Row],[Rank]],Stammdaten[Rank Verteilung Krümmung],0))</f>
        <v>#N/A</v>
      </c>
      <c r="U4308" t="e">
        <f>VLOOKUP(Tabelle10[[#This Row],[Rank]],Stammdaten[[Rank Verteilung Krümmung]:[Verteilung Krümmung]],2,FALSE)</f>
        <v>#N/A</v>
      </c>
      <c r="Z4308">
        <v>4299</v>
      </c>
      <c r="AA4308" t="e">
        <f>INDEX(Stammdaten[Ovalität (']0,1'])],MATCH(Tabelle1014[[#This Row],[Rank]],Stammdaten[Rank Verteilung Ovalität],0))</f>
        <v>#N/A</v>
      </c>
      <c r="AB4308" t="e">
        <f>VLOOKUP(Tabelle1014[[#This Row],[Rank]],Stammdaten[[Rank Verteilung Ovalität]:[Verteilung Ovalität]],2,FALSE)</f>
        <v>#N/A</v>
      </c>
    </row>
    <row r="4309" spans="5:28" x14ac:dyDescent="0.35">
      <c r="E4309">
        <v>4300</v>
      </c>
      <c r="F4309" t="e">
        <f>INDEX(Stammdaten[D Mitte mit Rinde (mm)],MATCH(Tabelle8[[#This Row],[Rank]],Stammdaten[Rank Verteilung D Mitte mit Rinde],0))</f>
        <v>#N/A</v>
      </c>
      <c r="G4309" t="e">
        <f>VLOOKUP(Tabelle8[[#This Row],[Rank]],Stammdaten[[Rank Verteilung D Mitte mit Rinde]:[Verteilung D Mitte mit Rinde]],2,FALSE)</f>
        <v>#N/A</v>
      </c>
      <c r="L4309">
        <v>4300</v>
      </c>
      <c r="M4309" t="e">
        <f>INDEX(Stammdaten[Abholzigkeit (mm/lfm)],MATCH(Tabelle9[[#This Row],[Rank]],Stammdaten[Rank Verteilung Abholzigkeit],0))</f>
        <v>#N/A</v>
      </c>
      <c r="N4309" t="e">
        <f>VLOOKUP(Tabelle9[[#This Row],[Rank]],Stammdaten[[Rank Verteilung Abholzigkeit]:[Verteilung Abholzigkeit]],2,FALSE)</f>
        <v>#N/A</v>
      </c>
      <c r="S4309">
        <v>4300</v>
      </c>
      <c r="T4309" t="e">
        <f>INDEX(Stammdaten[Krümmung (mm/lfm)],MATCH(Tabelle10[[#This Row],[Rank]],Stammdaten[Rank Verteilung Krümmung],0))</f>
        <v>#N/A</v>
      </c>
      <c r="U4309" t="e">
        <f>VLOOKUP(Tabelle10[[#This Row],[Rank]],Stammdaten[[Rank Verteilung Krümmung]:[Verteilung Krümmung]],2,FALSE)</f>
        <v>#N/A</v>
      </c>
      <c r="Z4309">
        <v>4300</v>
      </c>
      <c r="AA4309" t="e">
        <f>INDEX(Stammdaten[Ovalität (']0,1'])],MATCH(Tabelle1014[[#This Row],[Rank]],Stammdaten[Rank Verteilung Ovalität],0))</f>
        <v>#N/A</v>
      </c>
      <c r="AB4309" t="e">
        <f>VLOOKUP(Tabelle1014[[#This Row],[Rank]],Stammdaten[[Rank Verteilung Ovalität]:[Verteilung Ovalität]],2,FALSE)</f>
        <v>#N/A</v>
      </c>
    </row>
    <row r="4310" spans="5:28" x14ac:dyDescent="0.35">
      <c r="E4310">
        <v>4301</v>
      </c>
      <c r="F4310" t="e">
        <f>INDEX(Stammdaten[D Mitte mit Rinde (mm)],MATCH(Tabelle8[[#This Row],[Rank]],Stammdaten[Rank Verteilung D Mitte mit Rinde],0))</f>
        <v>#N/A</v>
      </c>
      <c r="G4310" t="e">
        <f>VLOOKUP(Tabelle8[[#This Row],[Rank]],Stammdaten[[Rank Verteilung D Mitte mit Rinde]:[Verteilung D Mitte mit Rinde]],2,FALSE)</f>
        <v>#N/A</v>
      </c>
      <c r="L4310">
        <v>4301</v>
      </c>
      <c r="M4310" t="e">
        <f>INDEX(Stammdaten[Abholzigkeit (mm/lfm)],MATCH(Tabelle9[[#This Row],[Rank]],Stammdaten[Rank Verteilung Abholzigkeit],0))</f>
        <v>#N/A</v>
      </c>
      <c r="N4310" t="e">
        <f>VLOOKUP(Tabelle9[[#This Row],[Rank]],Stammdaten[[Rank Verteilung Abholzigkeit]:[Verteilung Abholzigkeit]],2,FALSE)</f>
        <v>#N/A</v>
      </c>
      <c r="S4310">
        <v>4301</v>
      </c>
      <c r="T4310" t="e">
        <f>INDEX(Stammdaten[Krümmung (mm/lfm)],MATCH(Tabelle10[[#This Row],[Rank]],Stammdaten[Rank Verteilung Krümmung],0))</f>
        <v>#N/A</v>
      </c>
      <c r="U4310" t="e">
        <f>VLOOKUP(Tabelle10[[#This Row],[Rank]],Stammdaten[[Rank Verteilung Krümmung]:[Verteilung Krümmung]],2,FALSE)</f>
        <v>#N/A</v>
      </c>
      <c r="Z4310">
        <v>4301</v>
      </c>
      <c r="AA4310" t="e">
        <f>INDEX(Stammdaten[Ovalität (']0,1'])],MATCH(Tabelle1014[[#This Row],[Rank]],Stammdaten[Rank Verteilung Ovalität],0))</f>
        <v>#N/A</v>
      </c>
      <c r="AB4310" t="e">
        <f>VLOOKUP(Tabelle1014[[#This Row],[Rank]],Stammdaten[[Rank Verteilung Ovalität]:[Verteilung Ovalität]],2,FALSE)</f>
        <v>#N/A</v>
      </c>
    </row>
    <row r="4311" spans="5:28" x14ac:dyDescent="0.35">
      <c r="E4311">
        <v>4302</v>
      </c>
      <c r="F4311" t="e">
        <f>INDEX(Stammdaten[D Mitte mit Rinde (mm)],MATCH(Tabelle8[[#This Row],[Rank]],Stammdaten[Rank Verteilung D Mitte mit Rinde],0))</f>
        <v>#N/A</v>
      </c>
      <c r="G4311" t="e">
        <f>VLOOKUP(Tabelle8[[#This Row],[Rank]],Stammdaten[[Rank Verteilung D Mitte mit Rinde]:[Verteilung D Mitte mit Rinde]],2,FALSE)</f>
        <v>#N/A</v>
      </c>
      <c r="L4311">
        <v>4302</v>
      </c>
      <c r="M4311" t="e">
        <f>INDEX(Stammdaten[Abholzigkeit (mm/lfm)],MATCH(Tabelle9[[#This Row],[Rank]],Stammdaten[Rank Verteilung Abholzigkeit],0))</f>
        <v>#N/A</v>
      </c>
      <c r="N4311" t="e">
        <f>VLOOKUP(Tabelle9[[#This Row],[Rank]],Stammdaten[[Rank Verteilung Abholzigkeit]:[Verteilung Abholzigkeit]],2,FALSE)</f>
        <v>#N/A</v>
      </c>
      <c r="S4311">
        <v>4302</v>
      </c>
      <c r="T4311" t="e">
        <f>INDEX(Stammdaten[Krümmung (mm/lfm)],MATCH(Tabelle10[[#This Row],[Rank]],Stammdaten[Rank Verteilung Krümmung],0))</f>
        <v>#N/A</v>
      </c>
      <c r="U4311" t="e">
        <f>VLOOKUP(Tabelle10[[#This Row],[Rank]],Stammdaten[[Rank Verteilung Krümmung]:[Verteilung Krümmung]],2,FALSE)</f>
        <v>#N/A</v>
      </c>
      <c r="Z4311">
        <v>4302</v>
      </c>
      <c r="AA4311" t="e">
        <f>INDEX(Stammdaten[Ovalität (']0,1'])],MATCH(Tabelle1014[[#This Row],[Rank]],Stammdaten[Rank Verteilung Ovalität],0))</f>
        <v>#N/A</v>
      </c>
      <c r="AB4311" t="e">
        <f>VLOOKUP(Tabelle1014[[#This Row],[Rank]],Stammdaten[[Rank Verteilung Ovalität]:[Verteilung Ovalität]],2,FALSE)</f>
        <v>#N/A</v>
      </c>
    </row>
    <row r="4312" spans="5:28" x14ac:dyDescent="0.35">
      <c r="E4312">
        <v>4303</v>
      </c>
      <c r="F4312" t="e">
        <f>INDEX(Stammdaten[D Mitte mit Rinde (mm)],MATCH(Tabelle8[[#This Row],[Rank]],Stammdaten[Rank Verteilung D Mitte mit Rinde],0))</f>
        <v>#N/A</v>
      </c>
      <c r="G4312" t="e">
        <f>VLOOKUP(Tabelle8[[#This Row],[Rank]],Stammdaten[[Rank Verteilung D Mitte mit Rinde]:[Verteilung D Mitte mit Rinde]],2,FALSE)</f>
        <v>#N/A</v>
      </c>
      <c r="L4312">
        <v>4303</v>
      </c>
      <c r="M4312" t="e">
        <f>INDEX(Stammdaten[Abholzigkeit (mm/lfm)],MATCH(Tabelle9[[#This Row],[Rank]],Stammdaten[Rank Verteilung Abholzigkeit],0))</f>
        <v>#N/A</v>
      </c>
      <c r="N4312" t="e">
        <f>VLOOKUP(Tabelle9[[#This Row],[Rank]],Stammdaten[[Rank Verteilung Abholzigkeit]:[Verteilung Abholzigkeit]],2,FALSE)</f>
        <v>#N/A</v>
      </c>
      <c r="S4312">
        <v>4303</v>
      </c>
      <c r="T4312" t="e">
        <f>INDEX(Stammdaten[Krümmung (mm/lfm)],MATCH(Tabelle10[[#This Row],[Rank]],Stammdaten[Rank Verteilung Krümmung],0))</f>
        <v>#N/A</v>
      </c>
      <c r="U4312" t="e">
        <f>VLOOKUP(Tabelle10[[#This Row],[Rank]],Stammdaten[[Rank Verteilung Krümmung]:[Verteilung Krümmung]],2,FALSE)</f>
        <v>#N/A</v>
      </c>
      <c r="Z4312">
        <v>4303</v>
      </c>
      <c r="AA4312" t="e">
        <f>INDEX(Stammdaten[Ovalität (']0,1'])],MATCH(Tabelle1014[[#This Row],[Rank]],Stammdaten[Rank Verteilung Ovalität],0))</f>
        <v>#N/A</v>
      </c>
      <c r="AB4312" t="e">
        <f>VLOOKUP(Tabelle1014[[#This Row],[Rank]],Stammdaten[[Rank Verteilung Ovalität]:[Verteilung Ovalität]],2,FALSE)</f>
        <v>#N/A</v>
      </c>
    </row>
    <row r="4313" spans="5:28" x14ac:dyDescent="0.35">
      <c r="E4313">
        <v>4304</v>
      </c>
      <c r="F4313" t="e">
        <f>INDEX(Stammdaten[D Mitte mit Rinde (mm)],MATCH(Tabelle8[[#This Row],[Rank]],Stammdaten[Rank Verteilung D Mitte mit Rinde],0))</f>
        <v>#N/A</v>
      </c>
      <c r="G4313" t="e">
        <f>VLOOKUP(Tabelle8[[#This Row],[Rank]],Stammdaten[[Rank Verteilung D Mitte mit Rinde]:[Verteilung D Mitte mit Rinde]],2,FALSE)</f>
        <v>#N/A</v>
      </c>
      <c r="L4313">
        <v>4304</v>
      </c>
      <c r="M4313" t="e">
        <f>INDEX(Stammdaten[Abholzigkeit (mm/lfm)],MATCH(Tabelle9[[#This Row],[Rank]],Stammdaten[Rank Verteilung Abholzigkeit],0))</f>
        <v>#N/A</v>
      </c>
      <c r="N4313" t="e">
        <f>VLOOKUP(Tabelle9[[#This Row],[Rank]],Stammdaten[[Rank Verteilung Abholzigkeit]:[Verteilung Abholzigkeit]],2,FALSE)</f>
        <v>#N/A</v>
      </c>
      <c r="S4313">
        <v>4304</v>
      </c>
      <c r="T4313" t="e">
        <f>INDEX(Stammdaten[Krümmung (mm/lfm)],MATCH(Tabelle10[[#This Row],[Rank]],Stammdaten[Rank Verteilung Krümmung],0))</f>
        <v>#N/A</v>
      </c>
      <c r="U4313" t="e">
        <f>VLOOKUP(Tabelle10[[#This Row],[Rank]],Stammdaten[[Rank Verteilung Krümmung]:[Verteilung Krümmung]],2,FALSE)</f>
        <v>#N/A</v>
      </c>
      <c r="Z4313">
        <v>4304</v>
      </c>
      <c r="AA4313" t="e">
        <f>INDEX(Stammdaten[Ovalität (']0,1'])],MATCH(Tabelle1014[[#This Row],[Rank]],Stammdaten[Rank Verteilung Ovalität],0))</f>
        <v>#N/A</v>
      </c>
      <c r="AB4313" t="e">
        <f>VLOOKUP(Tabelle1014[[#This Row],[Rank]],Stammdaten[[Rank Verteilung Ovalität]:[Verteilung Ovalität]],2,FALSE)</f>
        <v>#N/A</v>
      </c>
    </row>
    <row r="4314" spans="5:28" x14ac:dyDescent="0.35">
      <c r="E4314">
        <v>4305</v>
      </c>
      <c r="F4314" t="e">
        <f>INDEX(Stammdaten[D Mitte mit Rinde (mm)],MATCH(Tabelle8[[#This Row],[Rank]],Stammdaten[Rank Verteilung D Mitte mit Rinde],0))</f>
        <v>#N/A</v>
      </c>
      <c r="G4314" t="e">
        <f>VLOOKUP(Tabelle8[[#This Row],[Rank]],Stammdaten[[Rank Verteilung D Mitte mit Rinde]:[Verteilung D Mitte mit Rinde]],2,FALSE)</f>
        <v>#N/A</v>
      </c>
      <c r="L4314">
        <v>4305</v>
      </c>
      <c r="M4314" t="e">
        <f>INDEX(Stammdaten[Abholzigkeit (mm/lfm)],MATCH(Tabelle9[[#This Row],[Rank]],Stammdaten[Rank Verteilung Abholzigkeit],0))</f>
        <v>#N/A</v>
      </c>
      <c r="N4314" t="e">
        <f>VLOOKUP(Tabelle9[[#This Row],[Rank]],Stammdaten[[Rank Verteilung Abholzigkeit]:[Verteilung Abholzigkeit]],2,FALSE)</f>
        <v>#N/A</v>
      </c>
      <c r="S4314">
        <v>4305</v>
      </c>
      <c r="T4314" t="e">
        <f>INDEX(Stammdaten[Krümmung (mm/lfm)],MATCH(Tabelle10[[#This Row],[Rank]],Stammdaten[Rank Verteilung Krümmung],0))</f>
        <v>#N/A</v>
      </c>
      <c r="U4314" t="e">
        <f>VLOOKUP(Tabelle10[[#This Row],[Rank]],Stammdaten[[Rank Verteilung Krümmung]:[Verteilung Krümmung]],2,FALSE)</f>
        <v>#N/A</v>
      </c>
      <c r="Z4314">
        <v>4305</v>
      </c>
      <c r="AA4314" t="e">
        <f>INDEX(Stammdaten[Ovalität (']0,1'])],MATCH(Tabelle1014[[#This Row],[Rank]],Stammdaten[Rank Verteilung Ovalität],0))</f>
        <v>#N/A</v>
      </c>
      <c r="AB4314" t="e">
        <f>VLOOKUP(Tabelle1014[[#This Row],[Rank]],Stammdaten[[Rank Verteilung Ovalität]:[Verteilung Ovalität]],2,FALSE)</f>
        <v>#N/A</v>
      </c>
    </row>
    <row r="4315" spans="5:28" x14ac:dyDescent="0.35">
      <c r="E4315">
        <v>4306</v>
      </c>
      <c r="F4315" t="e">
        <f>INDEX(Stammdaten[D Mitte mit Rinde (mm)],MATCH(Tabelle8[[#This Row],[Rank]],Stammdaten[Rank Verteilung D Mitte mit Rinde],0))</f>
        <v>#N/A</v>
      </c>
      <c r="G4315" t="e">
        <f>VLOOKUP(Tabelle8[[#This Row],[Rank]],Stammdaten[[Rank Verteilung D Mitte mit Rinde]:[Verteilung D Mitte mit Rinde]],2,FALSE)</f>
        <v>#N/A</v>
      </c>
      <c r="L4315">
        <v>4306</v>
      </c>
      <c r="M4315" t="e">
        <f>INDEX(Stammdaten[Abholzigkeit (mm/lfm)],MATCH(Tabelle9[[#This Row],[Rank]],Stammdaten[Rank Verteilung Abholzigkeit],0))</f>
        <v>#N/A</v>
      </c>
      <c r="N4315" t="e">
        <f>VLOOKUP(Tabelle9[[#This Row],[Rank]],Stammdaten[[Rank Verteilung Abholzigkeit]:[Verteilung Abholzigkeit]],2,FALSE)</f>
        <v>#N/A</v>
      </c>
      <c r="S4315">
        <v>4306</v>
      </c>
      <c r="T4315" t="e">
        <f>INDEX(Stammdaten[Krümmung (mm/lfm)],MATCH(Tabelle10[[#This Row],[Rank]],Stammdaten[Rank Verteilung Krümmung],0))</f>
        <v>#N/A</v>
      </c>
      <c r="U4315" t="e">
        <f>VLOOKUP(Tabelle10[[#This Row],[Rank]],Stammdaten[[Rank Verteilung Krümmung]:[Verteilung Krümmung]],2,FALSE)</f>
        <v>#N/A</v>
      </c>
      <c r="Z4315">
        <v>4306</v>
      </c>
      <c r="AA4315" t="e">
        <f>INDEX(Stammdaten[Ovalität (']0,1'])],MATCH(Tabelle1014[[#This Row],[Rank]],Stammdaten[Rank Verteilung Ovalität],0))</f>
        <v>#N/A</v>
      </c>
      <c r="AB4315" t="e">
        <f>VLOOKUP(Tabelle1014[[#This Row],[Rank]],Stammdaten[[Rank Verteilung Ovalität]:[Verteilung Ovalität]],2,FALSE)</f>
        <v>#N/A</v>
      </c>
    </row>
    <row r="4316" spans="5:28" x14ac:dyDescent="0.35">
      <c r="E4316">
        <v>4307</v>
      </c>
      <c r="F4316" t="e">
        <f>INDEX(Stammdaten[D Mitte mit Rinde (mm)],MATCH(Tabelle8[[#This Row],[Rank]],Stammdaten[Rank Verteilung D Mitte mit Rinde],0))</f>
        <v>#N/A</v>
      </c>
      <c r="G4316" t="e">
        <f>VLOOKUP(Tabelle8[[#This Row],[Rank]],Stammdaten[[Rank Verteilung D Mitte mit Rinde]:[Verteilung D Mitte mit Rinde]],2,FALSE)</f>
        <v>#N/A</v>
      </c>
      <c r="L4316">
        <v>4307</v>
      </c>
      <c r="M4316" t="e">
        <f>INDEX(Stammdaten[Abholzigkeit (mm/lfm)],MATCH(Tabelle9[[#This Row],[Rank]],Stammdaten[Rank Verteilung Abholzigkeit],0))</f>
        <v>#N/A</v>
      </c>
      <c r="N4316" t="e">
        <f>VLOOKUP(Tabelle9[[#This Row],[Rank]],Stammdaten[[Rank Verteilung Abholzigkeit]:[Verteilung Abholzigkeit]],2,FALSE)</f>
        <v>#N/A</v>
      </c>
      <c r="S4316">
        <v>4307</v>
      </c>
      <c r="T4316" t="e">
        <f>INDEX(Stammdaten[Krümmung (mm/lfm)],MATCH(Tabelle10[[#This Row],[Rank]],Stammdaten[Rank Verteilung Krümmung],0))</f>
        <v>#N/A</v>
      </c>
      <c r="U4316" t="e">
        <f>VLOOKUP(Tabelle10[[#This Row],[Rank]],Stammdaten[[Rank Verteilung Krümmung]:[Verteilung Krümmung]],2,FALSE)</f>
        <v>#N/A</v>
      </c>
      <c r="Z4316">
        <v>4307</v>
      </c>
      <c r="AA4316" t="e">
        <f>INDEX(Stammdaten[Ovalität (']0,1'])],MATCH(Tabelle1014[[#This Row],[Rank]],Stammdaten[Rank Verteilung Ovalität],0))</f>
        <v>#N/A</v>
      </c>
      <c r="AB4316" t="e">
        <f>VLOOKUP(Tabelle1014[[#This Row],[Rank]],Stammdaten[[Rank Verteilung Ovalität]:[Verteilung Ovalität]],2,FALSE)</f>
        <v>#N/A</v>
      </c>
    </row>
    <row r="4317" spans="5:28" x14ac:dyDescent="0.35">
      <c r="E4317">
        <v>4308</v>
      </c>
      <c r="F4317" t="e">
        <f>INDEX(Stammdaten[D Mitte mit Rinde (mm)],MATCH(Tabelle8[[#This Row],[Rank]],Stammdaten[Rank Verteilung D Mitte mit Rinde],0))</f>
        <v>#N/A</v>
      </c>
      <c r="G4317" t="e">
        <f>VLOOKUP(Tabelle8[[#This Row],[Rank]],Stammdaten[[Rank Verteilung D Mitte mit Rinde]:[Verteilung D Mitte mit Rinde]],2,FALSE)</f>
        <v>#N/A</v>
      </c>
      <c r="L4317">
        <v>4308</v>
      </c>
      <c r="M4317" t="e">
        <f>INDEX(Stammdaten[Abholzigkeit (mm/lfm)],MATCH(Tabelle9[[#This Row],[Rank]],Stammdaten[Rank Verteilung Abholzigkeit],0))</f>
        <v>#N/A</v>
      </c>
      <c r="N4317" t="e">
        <f>VLOOKUP(Tabelle9[[#This Row],[Rank]],Stammdaten[[Rank Verteilung Abholzigkeit]:[Verteilung Abholzigkeit]],2,FALSE)</f>
        <v>#N/A</v>
      </c>
      <c r="S4317">
        <v>4308</v>
      </c>
      <c r="T4317" t="e">
        <f>INDEX(Stammdaten[Krümmung (mm/lfm)],MATCH(Tabelle10[[#This Row],[Rank]],Stammdaten[Rank Verteilung Krümmung],0))</f>
        <v>#N/A</v>
      </c>
      <c r="U4317" t="e">
        <f>VLOOKUP(Tabelle10[[#This Row],[Rank]],Stammdaten[[Rank Verteilung Krümmung]:[Verteilung Krümmung]],2,FALSE)</f>
        <v>#N/A</v>
      </c>
      <c r="Z4317">
        <v>4308</v>
      </c>
      <c r="AA4317" t="e">
        <f>INDEX(Stammdaten[Ovalität (']0,1'])],MATCH(Tabelle1014[[#This Row],[Rank]],Stammdaten[Rank Verteilung Ovalität],0))</f>
        <v>#N/A</v>
      </c>
      <c r="AB4317" t="e">
        <f>VLOOKUP(Tabelle1014[[#This Row],[Rank]],Stammdaten[[Rank Verteilung Ovalität]:[Verteilung Ovalität]],2,FALSE)</f>
        <v>#N/A</v>
      </c>
    </row>
    <row r="4318" spans="5:28" x14ac:dyDescent="0.35">
      <c r="E4318">
        <v>4309</v>
      </c>
      <c r="F4318" t="e">
        <f>INDEX(Stammdaten[D Mitte mit Rinde (mm)],MATCH(Tabelle8[[#This Row],[Rank]],Stammdaten[Rank Verteilung D Mitte mit Rinde],0))</f>
        <v>#N/A</v>
      </c>
      <c r="G4318" t="e">
        <f>VLOOKUP(Tabelle8[[#This Row],[Rank]],Stammdaten[[Rank Verteilung D Mitte mit Rinde]:[Verteilung D Mitte mit Rinde]],2,FALSE)</f>
        <v>#N/A</v>
      </c>
      <c r="L4318">
        <v>4309</v>
      </c>
      <c r="M4318" t="e">
        <f>INDEX(Stammdaten[Abholzigkeit (mm/lfm)],MATCH(Tabelle9[[#This Row],[Rank]],Stammdaten[Rank Verteilung Abholzigkeit],0))</f>
        <v>#N/A</v>
      </c>
      <c r="N4318" t="e">
        <f>VLOOKUP(Tabelle9[[#This Row],[Rank]],Stammdaten[[Rank Verteilung Abholzigkeit]:[Verteilung Abholzigkeit]],2,FALSE)</f>
        <v>#N/A</v>
      </c>
      <c r="S4318">
        <v>4309</v>
      </c>
      <c r="T4318" t="e">
        <f>INDEX(Stammdaten[Krümmung (mm/lfm)],MATCH(Tabelle10[[#This Row],[Rank]],Stammdaten[Rank Verteilung Krümmung],0))</f>
        <v>#N/A</v>
      </c>
      <c r="U4318" t="e">
        <f>VLOOKUP(Tabelle10[[#This Row],[Rank]],Stammdaten[[Rank Verteilung Krümmung]:[Verteilung Krümmung]],2,FALSE)</f>
        <v>#N/A</v>
      </c>
      <c r="Z4318">
        <v>4309</v>
      </c>
      <c r="AA4318" t="e">
        <f>INDEX(Stammdaten[Ovalität (']0,1'])],MATCH(Tabelle1014[[#This Row],[Rank]],Stammdaten[Rank Verteilung Ovalität],0))</f>
        <v>#N/A</v>
      </c>
      <c r="AB4318" t="e">
        <f>VLOOKUP(Tabelle1014[[#This Row],[Rank]],Stammdaten[[Rank Verteilung Ovalität]:[Verteilung Ovalität]],2,FALSE)</f>
        <v>#N/A</v>
      </c>
    </row>
    <row r="4319" spans="5:28" x14ac:dyDescent="0.35">
      <c r="E4319">
        <v>4310</v>
      </c>
      <c r="F4319" t="e">
        <f>INDEX(Stammdaten[D Mitte mit Rinde (mm)],MATCH(Tabelle8[[#This Row],[Rank]],Stammdaten[Rank Verteilung D Mitte mit Rinde],0))</f>
        <v>#N/A</v>
      </c>
      <c r="G4319" t="e">
        <f>VLOOKUP(Tabelle8[[#This Row],[Rank]],Stammdaten[[Rank Verteilung D Mitte mit Rinde]:[Verteilung D Mitte mit Rinde]],2,FALSE)</f>
        <v>#N/A</v>
      </c>
      <c r="L4319">
        <v>4310</v>
      </c>
      <c r="M4319" t="e">
        <f>INDEX(Stammdaten[Abholzigkeit (mm/lfm)],MATCH(Tabelle9[[#This Row],[Rank]],Stammdaten[Rank Verteilung Abholzigkeit],0))</f>
        <v>#N/A</v>
      </c>
      <c r="N4319" t="e">
        <f>VLOOKUP(Tabelle9[[#This Row],[Rank]],Stammdaten[[Rank Verteilung Abholzigkeit]:[Verteilung Abholzigkeit]],2,FALSE)</f>
        <v>#N/A</v>
      </c>
      <c r="S4319">
        <v>4310</v>
      </c>
      <c r="T4319" t="e">
        <f>INDEX(Stammdaten[Krümmung (mm/lfm)],MATCH(Tabelle10[[#This Row],[Rank]],Stammdaten[Rank Verteilung Krümmung],0))</f>
        <v>#N/A</v>
      </c>
      <c r="U4319" t="e">
        <f>VLOOKUP(Tabelle10[[#This Row],[Rank]],Stammdaten[[Rank Verteilung Krümmung]:[Verteilung Krümmung]],2,FALSE)</f>
        <v>#N/A</v>
      </c>
      <c r="Z4319">
        <v>4310</v>
      </c>
      <c r="AA4319" t="e">
        <f>INDEX(Stammdaten[Ovalität (']0,1'])],MATCH(Tabelle1014[[#This Row],[Rank]],Stammdaten[Rank Verteilung Ovalität],0))</f>
        <v>#N/A</v>
      </c>
      <c r="AB4319" t="e">
        <f>VLOOKUP(Tabelle1014[[#This Row],[Rank]],Stammdaten[[Rank Verteilung Ovalität]:[Verteilung Ovalität]],2,FALSE)</f>
        <v>#N/A</v>
      </c>
    </row>
    <row r="4320" spans="5:28" x14ac:dyDescent="0.35">
      <c r="E4320">
        <v>4311</v>
      </c>
      <c r="F4320" t="e">
        <f>INDEX(Stammdaten[D Mitte mit Rinde (mm)],MATCH(Tabelle8[[#This Row],[Rank]],Stammdaten[Rank Verteilung D Mitte mit Rinde],0))</f>
        <v>#N/A</v>
      </c>
      <c r="G4320" t="e">
        <f>VLOOKUP(Tabelle8[[#This Row],[Rank]],Stammdaten[[Rank Verteilung D Mitte mit Rinde]:[Verteilung D Mitte mit Rinde]],2,FALSE)</f>
        <v>#N/A</v>
      </c>
      <c r="L4320">
        <v>4311</v>
      </c>
      <c r="M4320" t="e">
        <f>INDEX(Stammdaten[Abholzigkeit (mm/lfm)],MATCH(Tabelle9[[#This Row],[Rank]],Stammdaten[Rank Verteilung Abholzigkeit],0))</f>
        <v>#N/A</v>
      </c>
      <c r="N4320" t="e">
        <f>VLOOKUP(Tabelle9[[#This Row],[Rank]],Stammdaten[[Rank Verteilung Abholzigkeit]:[Verteilung Abholzigkeit]],2,FALSE)</f>
        <v>#N/A</v>
      </c>
      <c r="S4320">
        <v>4311</v>
      </c>
      <c r="T4320" t="e">
        <f>INDEX(Stammdaten[Krümmung (mm/lfm)],MATCH(Tabelle10[[#This Row],[Rank]],Stammdaten[Rank Verteilung Krümmung],0))</f>
        <v>#N/A</v>
      </c>
      <c r="U4320" t="e">
        <f>VLOOKUP(Tabelle10[[#This Row],[Rank]],Stammdaten[[Rank Verteilung Krümmung]:[Verteilung Krümmung]],2,FALSE)</f>
        <v>#N/A</v>
      </c>
      <c r="Z4320">
        <v>4311</v>
      </c>
      <c r="AA4320" t="e">
        <f>INDEX(Stammdaten[Ovalität (']0,1'])],MATCH(Tabelle1014[[#This Row],[Rank]],Stammdaten[Rank Verteilung Ovalität],0))</f>
        <v>#N/A</v>
      </c>
      <c r="AB4320" t="e">
        <f>VLOOKUP(Tabelle1014[[#This Row],[Rank]],Stammdaten[[Rank Verteilung Ovalität]:[Verteilung Ovalität]],2,FALSE)</f>
        <v>#N/A</v>
      </c>
    </row>
    <row r="4321" spans="5:28" x14ac:dyDescent="0.35">
      <c r="E4321">
        <v>4312</v>
      </c>
      <c r="F4321" t="e">
        <f>INDEX(Stammdaten[D Mitte mit Rinde (mm)],MATCH(Tabelle8[[#This Row],[Rank]],Stammdaten[Rank Verteilung D Mitte mit Rinde],0))</f>
        <v>#N/A</v>
      </c>
      <c r="G4321" t="e">
        <f>VLOOKUP(Tabelle8[[#This Row],[Rank]],Stammdaten[[Rank Verteilung D Mitte mit Rinde]:[Verteilung D Mitte mit Rinde]],2,FALSE)</f>
        <v>#N/A</v>
      </c>
      <c r="L4321">
        <v>4312</v>
      </c>
      <c r="M4321" t="e">
        <f>INDEX(Stammdaten[Abholzigkeit (mm/lfm)],MATCH(Tabelle9[[#This Row],[Rank]],Stammdaten[Rank Verteilung Abholzigkeit],0))</f>
        <v>#N/A</v>
      </c>
      <c r="N4321" t="e">
        <f>VLOOKUP(Tabelle9[[#This Row],[Rank]],Stammdaten[[Rank Verteilung Abholzigkeit]:[Verteilung Abholzigkeit]],2,FALSE)</f>
        <v>#N/A</v>
      </c>
      <c r="S4321">
        <v>4312</v>
      </c>
      <c r="T4321" t="e">
        <f>INDEX(Stammdaten[Krümmung (mm/lfm)],MATCH(Tabelle10[[#This Row],[Rank]],Stammdaten[Rank Verteilung Krümmung],0))</f>
        <v>#N/A</v>
      </c>
      <c r="U4321" t="e">
        <f>VLOOKUP(Tabelle10[[#This Row],[Rank]],Stammdaten[[Rank Verteilung Krümmung]:[Verteilung Krümmung]],2,FALSE)</f>
        <v>#N/A</v>
      </c>
      <c r="Z4321">
        <v>4312</v>
      </c>
      <c r="AA4321" t="e">
        <f>INDEX(Stammdaten[Ovalität (']0,1'])],MATCH(Tabelle1014[[#This Row],[Rank]],Stammdaten[Rank Verteilung Ovalität],0))</f>
        <v>#N/A</v>
      </c>
      <c r="AB4321" t="e">
        <f>VLOOKUP(Tabelle1014[[#This Row],[Rank]],Stammdaten[[Rank Verteilung Ovalität]:[Verteilung Ovalität]],2,FALSE)</f>
        <v>#N/A</v>
      </c>
    </row>
    <row r="4322" spans="5:28" x14ac:dyDescent="0.35">
      <c r="E4322">
        <v>4313</v>
      </c>
      <c r="F4322" t="e">
        <f>INDEX(Stammdaten[D Mitte mit Rinde (mm)],MATCH(Tabelle8[[#This Row],[Rank]],Stammdaten[Rank Verteilung D Mitte mit Rinde],0))</f>
        <v>#N/A</v>
      </c>
      <c r="G4322" t="e">
        <f>VLOOKUP(Tabelle8[[#This Row],[Rank]],Stammdaten[[Rank Verteilung D Mitte mit Rinde]:[Verteilung D Mitte mit Rinde]],2,FALSE)</f>
        <v>#N/A</v>
      </c>
      <c r="L4322">
        <v>4313</v>
      </c>
      <c r="M4322" t="e">
        <f>INDEX(Stammdaten[Abholzigkeit (mm/lfm)],MATCH(Tabelle9[[#This Row],[Rank]],Stammdaten[Rank Verteilung Abholzigkeit],0))</f>
        <v>#N/A</v>
      </c>
      <c r="N4322" t="e">
        <f>VLOOKUP(Tabelle9[[#This Row],[Rank]],Stammdaten[[Rank Verteilung Abholzigkeit]:[Verteilung Abholzigkeit]],2,FALSE)</f>
        <v>#N/A</v>
      </c>
      <c r="S4322">
        <v>4313</v>
      </c>
      <c r="T4322" t="e">
        <f>INDEX(Stammdaten[Krümmung (mm/lfm)],MATCH(Tabelle10[[#This Row],[Rank]],Stammdaten[Rank Verteilung Krümmung],0))</f>
        <v>#N/A</v>
      </c>
      <c r="U4322" t="e">
        <f>VLOOKUP(Tabelle10[[#This Row],[Rank]],Stammdaten[[Rank Verteilung Krümmung]:[Verteilung Krümmung]],2,FALSE)</f>
        <v>#N/A</v>
      </c>
      <c r="Z4322">
        <v>4313</v>
      </c>
      <c r="AA4322" t="e">
        <f>INDEX(Stammdaten[Ovalität (']0,1'])],MATCH(Tabelle1014[[#This Row],[Rank]],Stammdaten[Rank Verteilung Ovalität],0))</f>
        <v>#N/A</v>
      </c>
      <c r="AB4322" t="e">
        <f>VLOOKUP(Tabelle1014[[#This Row],[Rank]],Stammdaten[[Rank Verteilung Ovalität]:[Verteilung Ovalität]],2,FALSE)</f>
        <v>#N/A</v>
      </c>
    </row>
    <row r="4323" spans="5:28" x14ac:dyDescent="0.35">
      <c r="E4323">
        <v>4314</v>
      </c>
      <c r="F4323" t="e">
        <f>INDEX(Stammdaten[D Mitte mit Rinde (mm)],MATCH(Tabelle8[[#This Row],[Rank]],Stammdaten[Rank Verteilung D Mitte mit Rinde],0))</f>
        <v>#N/A</v>
      </c>
      <c r="G4323" t="e">
        <f>VLOOKUP(Tabelle8[[#This Row],[Rank]],Stammdaten[[Rank Verteilung D Mitte mit Rinde]:[Verteilung D Mitte mit Rinde]],2,FALSE)</f>
        <v>#N/A</v>
      </c>
      <c r="L4323">
        <v>4314</v>
      </c>
      <c r="M4323" t="e">
        <f>INDEX(Stammdaten[Abholzigkeit (mm/lfm)],MATCH(Tabelle9[[#This Row],[Rank]],Stammdaten[Rank Verteilung Abholzigkeit],0))</f>
        <v>#N/A</v>
      </c>
      <c r="N4323" t="e">
        <f>VLOOKUP(Tabelle9[[#This Row],[Rank]],Stammdaten[[Rank Verteilung Abholzigkeit]:[Verteilung Abholzigkeit]],2,FALSE)</f>
        <v>#N/A</v>
      </c>
      <c r="S4323">
        <v>4314</v>
      </c>
      <c r="T4323" t="e">
        <f>INDEX(Stammdaten[Krümmung (mm/lfm)],MATCH(Tabelle10[[#This Row],[Rank]],Stammdaten[Rank Verteilung Krümmung],0))</f>
        <v>#N/A</v>
      </c>
      <c r="U4323" t="e">
        <f>VLOOKUP(Tabelle10[[#This Row],[Rank]],Stammdaten[[Rank Verteilung Krümmung]:[Verteilung Krümmung]],2,FALSE)</f>
        <v>#N/A</v>
      </c>
      <c r="Z4323">
        <v>4314</v>
      </c>
      <c r="AA4323" t="e">
        <f>INDEX(Stammdaten[Ovalität (']0,1'])],MATCH(Tabelle1014[[#This Row],[Rank]],Stammdaten[Rank Verteilung Ovalität],0))</f>
        <v>#N/A</v>
      </c>
      <c r="AB4323" t="e">
        <f>VLOOKUP(Tabelle1014[[#This Row],[Rank]],Stammdaten[[Rank Verteilung Ovalität]:[Verteilung Ovalität]],2,FALSE)</f>
        <v>#N/A</v>
      </c>
    </row>
    <row r="4324" spans="5:28" x14ac:dyDescent="0.35">
      <c r="E4324">
        <v>4315</v>
      </c>
      <c r="F4324" t="e">
        <f>INDEX(Stammdaten[D Mitte mit Rinde (mm)],MATCH(Tabelle8[[#This Row],[Rank]],Stammdaten[Rank Verteilung D Mitte mit Rinde],0))</f>
        <v>#N/A</v>
      </c>
      <c r="G4324" t="e">
        <f>VLOOKUP(Tabelle8[[#This Row],[Rank]],Stammdaten[[Rank Verteilung D Mitte mit Rinde]:[Verteilung D Mitte mit Rinde]],2,FALSE)</f>
        <v>#N/A</v>
      </c>
      <c r="L4324">
        <v>4315</v>
      </c>
      <c r="M4324" t="e">
        <f>INDEX(Stammdaten[Abholzigkeit (mm/lfm)],MATCH(Tabelle9[[#This Row],[Rank]],Stammdaten[Rank Verteilung Abholzigkeit],0))</f>
        <v>#N/A</v>
      </c>
      <c r="N4324" t="e">
        <f>VLOOKUP(Tabelle9[[#This Row],[Rank]],Stammdaten[[Rank Verteilung Abholzigkeit]:[Verteilung Abholzigkeit]],2,FALSE)</f>
        <v>#N/A</v>
      </c>
      <c r="S4324">
        <v>4315</v>
      </c>
      <c r="T4324" t="e">
        <f>INDEX(Stammdaten[Krümmung (mm/lfm)],MATCH(Tabelle10[[#This Row],[Rank]],Stammdaten[Rank Verteilung Krümmung],0))</f>
        <v>#N/A</v>
      </c>
      <c r="U4324" t="e">
        <f>VLOOKUP(Tabelle10[[#This Row],[Rank]],Stammdaten[[Rank Verteilung Krümmung]:[Verteilung Krümmung]],2,FALSE)</f>
        <v>#N/A</v>
      </c>
      <c r="Z4324">
        <v>4315</v>
      </c>
      <c r="AA4324" t="e">
        <f>INDEX(Stammdaten[Ovalität (']0,1'])],MATCH(Tabelle1014[[#This Row],[Rank]],Stammdaten[Rank Verteilung Ovalität],0))</f>
        <v>#N/A</v>
      </c>
      <c r="AB4324" t="e">
        <f>VLOOKUP(Tabelle1014[[#This Row],[Rank]],Stammdaten[[Rank Verteilung Ovalität]:[Verteilung Ovalität]],2,FALSE)</f>
        <v>#N/A</v>
      </c>
    </row>
    <row r="4325" spans="5:28" x14ac:dyDescent="0.35">
      <c r="E4325">
        <v>4316</v>
      </c>
      <c r="F4325" t="e">
        <f>INDEX(Stammdaten[D Mitte mit Rinde (mm)],MATCH(Tabelle8[[#This Row],[Rank]],Stammdaten[Rank Verteilung D Mitte mit Rinde],0))</f>
        <v>#N/A</v>
      </c>
      <c r="G4325" t="e">
        <f>VLOOKUP(Tabelle8[[#This Row],[Rank]],Stammdaten[[Rank Verteilung D Mitte mit Rinde]:[Verteilung D Mitte mit Rinde]],2,FALSE)</f>
        <v>#N/A</v>
      </c>
      <c r="L4325">
        <v>4316</v>
      </c>
      <c r="M4325" t="e">
        <f>INDEX(Stammdaten[Abholzigkeit (mm/lfm)],MATCH(Tabelle9[[#This Row],[Rank]],Stammdaten[Rank Verteilung Abholzigkeit],0))</f>
        <v>#N/A</v>
      </c>
      <c r="N4325" t="e">
        <f>VLOOKUP(Tabelle9[[#This Row],[Rank]],Stammdaten[[Rank Verteilung Abholzigkeit]:[Verteilung Abholzigkeit]],2,FALSE)</f>
        <v>#N/A</v>
      </c>
      <c r="S4325">
        <v>4316</v>
      </c>
      <c r="T4325" t="e">
        <f>INDEX(Stammdaten[Krümmung (mm/lfm)],MATCH(Tabelle10[[#This Row],[Rank]],Stammdaten[Rank Verteilung Krümmung],0))</f>
        <v>#N/A</v>
      </c>
      <c r="U4325" t="e">
        <f>VLOOKUP(Tabelle10[[#This Row],[Rank]],Stammdaten[[Rank Verteilung Krümmung]:[Verteilung Krümmung]],2,FALSE)</f>
        <v>#N/A</v>
      </c>
      <c r="Z4325">
        <v>4316</v>
      </c>
      <c r="AA4325" t="e">
        <f>INDEX(Stammdaten[Ovalität (']0,1'])],MATCH(Tabelle1014[[#This Row],[Rank]],Stammdaten[Rank Verteilung Ovalität],0))</f>
        <v>#N/A</v>
      </c>
      <c r="AB4325" t="e">
        <f>VLOOKUP(Tabelle1014[[#This Row],[Rank]],Stammdaten[[Rank Verteilung Ovalität]:[Verteilung Ovalität]],2,FALSE)</f>
        <v>#N/A</v>
      </c>
    </row>
    <row r="4326" spans="5:28" x14ac:dyDescent="0.35">
      <c r="E4326">
        <v>4317</v>
      </c>
      <c r="F4326" t="e">
        <f>INDEX(Stammdaten[D Mitte mit Rinde (mm)],MATCH(Tabelle8[[#This Row],[Rank]],Stammdaten[Rank Verteilung D Mitte mit Rinde],0))</f>
        <v>#N/A</v>
      </c>
      <c r="G4326" t="e">
        <f>VLOOKUP(Tabelle8[[#This Row],[Rank]],Stammdaten[[Rank Verteilung D Mitte mit Rinde]:[Verteilung D Mitte mit Rinde]],2,FALSE)</f>
        <v>#N/A</v>
      </c>
      <c r="L4326">
        <v>4317</v>
      </c>
      <c r="M4326" t="e">
        <f>INDEX(Stammdaten[Abholzigkeit (mm/lfm)],MATCH(Tabelle9[[#This Row],[Rank]],Stammdaten[Rank Verteilung Abholzigkeit],0))</f>
        <v>#N/A</v>
      </c>
      <c r="N4326" t="e">
        <f>VLOOKUP(Tabelle9[[#This Row],[Rank]],Stammdaten[[Rank Verteilung Abholzigkeit]:[Verteilung Abholzigkeit]],2,FALSE)</f>
        <v>#N/A</v>
      </c>
      <c r="S4326">
        <v>4317</v>
      </c>
      <c r="T4326" t="e">
        <f>INDEX(Stammdaten[Krümmung (mm/lfm)],MATCH(Tabelle10[[#This Row],[Rank]],Stammdaten[Rank Verteilung Krümmung],0))</f>
        <v>#N/A</v>
      </c>
      <c r="U4326" t="e">
        <f>VLOOKUP(Tabelle10[[#This Row],[Rank]],Stammdaten[[Rank Verteilung Krümmung]:[Verteilung Krümmung]],2,FALSE)</f>
        <v>#N/A</v>
      </c>
      <c r="Z4326">
        <v>4317</v>
      </c>
      <c r="AA4326" t="e">
        <f>INDEX(Stammdaten[Ovalität (']0,1'])],MATCH(Tabelle1014[[#This Row],[Rank]],Stammdaten[Rank Verteilung Ovalität],0))</f>
        <v>#N/A</v>
      </c>
      <c r="AB4326" t="e">
        <f>VLOOKUP(Tabelle1014[[#This Row],[Rank]],Stammdaten[[Rank Verteilung Ovalität]:[Verteilung Ovalität]],2,FALSE)</f>
        <v>#N/A</v>
      </c>
    </row>
    <row r="4327" spans="5:28" x14ac:dyDescent="0.35">
      <c r="E4327">
        <v>4318</v>
      </c>
      <c r="F4327" t="e">
        <f>INDEX(Stammdaten[D Mitte mit Rinde (mm)],MATCH(Tabelle8[[#This Row],[Rank]],Stammdaten[Rank Verteilung D Mitte mit Rinde],0))</f>
        <v>#N/A</v>
      </c>
      <c r="G4327" t="e">
        <f>VLOOKUP(Tabelle8[[#This Row],[Rank]],Stammdaten[[Rank Verteilung D Mitte mit Rinde]:[Verteilung D Mitte mit Rinde]],2,FALSE)</f>
        <v>#N/A</v>
      </c>
      <c r="L4327">
        <v>4318</v>
      </c>
      <c r="M4327" t="e">
        <f>INDEX(Stammdaten[Abholzigkeit (mm/lfm)],MATCH(Tabelle9[[#This Row],[Rank]],Stammdaten[Rank Verteilung Abholzigkeit],0))</f>
        <v>#N/A</v>
      </c>
      <c r="N4327" t="e">
        <f>VLOOKUP(Tabelle9[[#This Row],[Rank]],Stammdaten[[Rank Verteilung Abholzigkeit]:[Verteilung Abholzigkeit]],2,FALSE)</f>
        <v>#N/A</v>
      </c>
      <c r="S4327">
        <v>4318</v>
      </c>
      <c r="T4327" t="e">
        <f>INDEX(Stammdaten[Krümmung (mm/lfm)],MATCH(Tabelle10[[#This Row],[Rank]],Stammdaten[Rank Verteilung Krümmung],0))</f>
        <v>#N/A</v>
      </c>
      <c r="U4327" t="e">
        <f>VLOOKUP(Tabelle10[[#This Row],[Rank]],Stammdaten[[Rank Verteilung Krümmung]:[Verteilung Krümmung]],2,FALSE)</f>
        <v>#N/A</v>
      </c>
      <c r="Z4327">
        <v>4318</v>
      </c>
      <c r="AA4327" t="e">
        <f>INDEX(Stammdaten[Ovalität (']0,1'])],MATCH(Tabelle1014[[#This Row],[Rank]],Stammdaten[Rank Verteilung Ovalität],0))</f>
        <v>#N/A</v>
      </c>
      <c r="AB4327" t="e">
        <f>VLOOKUP(Tabelle1014[[#This Row],[Rank]],Stammdaten[[Rank Verteilung Ovalität]:[Verteilung Ovalität]],2,FALSE)</f>
        <v>#N/A</v>
      </c>
    </row>
    <row r="4328" spans="5:28" x14ac:dyDescent="0.35">
      <c r="E4328">
        <v>4319</v>
      </c>
      <c r="F4328" t="e">
        <f>INDEX(Stammdaten[D Mitte mit Rinde (mm)],MATCH(Tabelle8[[#This Row],[Rank]],Stammdaten[Rank Verteilung D Mitte mit Rinde],0))</f>
        <v>#N/A</v>
      </c>
      <c r="G4328" t="e">
        <f>VLOOKUP(Tabelle8[[#This Row],[Rank]],Stammdaten[[Rank Verteilung D Mitte mit Rinde]:[Verteilung D Mitte mit Rinde]],2,FALSE)</f>
        <v>#N/A</v>
      </c>
      <c r="L4328">
        <v>4319</v>
      </c>
      <c r="M4328" t="e">
        <f>INDEX(Stammdaten[Abholzigkeit (mm/lfm)],MATCH(Tabelle9[[#This Row],[Rank]],Stammdaten[Rank Verteilung Abholzigkeit],0))</f>
        <v>#N/A</v>
      </c>
      <c r="N4328" t="e">
        <f>VLOOKUP(Tabelle9[[#This Row],[Rank]],Stammdaten[[Rank Verteilung Abholzigkeit]:[Verteilung Abholzigkeit]],2,FALSE)</f>
        <v>#N/A</v>
      </c>
      <c r="S4328">
        <v>4319</v>
      </c>
      <c r="T4328" t="e">
        <f>INDEX(Stammdaten[Krümmung (mm/lfm)],MATCH(Tabelle10[[#This Row],[Rank]],Stammdaten[Rank Verteilung Krümmung],0))</f>
        <v>#N/A</v>
      </c>
      <c r="U4328" t="e">
        <f>VLOOKUP(Tabelle10[[#This Row],[Rank]],Stammdaten[[Rank Verteilung Krümmung]:[Verteilung Krümmung]],2,FALSE)</f>
        <v>#N/A</v>
      </c>
      <c r="Z4328">
        <v>4319</v>
      </c>
      <c r="AA4328" t="e">
        <f>INDEX(Stammdaten[Ovalität (']0,1'])],MATCH(Tabelle1014[[#This Row],[Rank]],Stammdaten[Rank Verteilung Ovalität],0))</f>
        <v>#N/A</v>
      </c>
      <c r="AB4328" t="e">
        <f>VLOOKUP(Tabelle1014[[#This Row],[Rank]],Stammdaten[[Rank Verteilung Ovalität]:[Verteilung Ovalität]],2,FALSE)</f>
        <v>#N/A</v>
      </c>
    </row>
    <row r="4329" spans="5:28" x14ac:dyDescent="0.35">
      <c r="E4329">
        <v>4320</v>
      </c>
      <c r="F4329" t="e">
        <f>INDEX(Stammdaten[D Mitte mit Rinde (mm)],MATCH(Tabelle8[[#This Row],[Rank]],Stammdaten[Rank Verteilung D Mitte mit Rinde],0))</f>
        <v>#N/A</v>
      </c>
      <c r="G4329" t="e">
        <f>VLOOKUP(Tabelle8[[#This Row],[Rank]],Stammdaten[[Rank Verteilung D Mitte mit Rinde]:[Verteilung D Mitte mit Rinde]],2,FALSE)</f>
        <v>#N/A</v>
      </c>
      <c r="L4329">
        <v>4320</v>
      </c>
      <c r="M4329" t="e">
        <f>INDEX(Stammdaten[Abholzigkeit (mm/lfm)],MATCH(Tabelle9[[#This Row],[Rank]],Stammdaten[Rank Verteilung Abholzigkeit],0))</f>
        <v>#N/A</v>
      </c>
      <c r="N4329" t="e">
        <f>VLOOKUP(Tabelle9[[#This Row],[Rank]],Stammdaten[[Rank Verteilung Abholzigkeit]:[Verteilung Abholzigkeit]],2,FALSE)</f>
        <v>#N/A</v>
      </c>
      <c r="S4329">
        <v>4320</v>
      </c>
      <c r="T4329" t="e">
        <f>INDEX(Stammdaten[Krümmung (mm/lfm)],MATCH(Tabelle10[[#This Row],[Rank]],Stammdaten[Rank Verteilung Krümmung],0))</f>
        <v>#N/A</v>
      </c>
      <c r="U4329" t="e">
        <f>VLOOKUP(Tabelle10[[#This Row],[Rank]],Stammdaten[[Rank Verteilung Krümmung]:[Verteilung Krümmung]],2,FALSE)</f>
        <v>#N/A</v>
      </c>
      <c r="Z4329">
        <v>4320</v>
      </c>
      <c r="AA4329" t="e">
        <f>INDEX(Stammdaten[Ovalität (']0,1'])],MATCH(Tabelle1014[[#This Row],[Rank]],Stammdaten[Rank Verteilung Ovalität],0))</f>
        <v>#N/A</v>
      </c>
      <c r="AB4329" t="e">
        <f>VLOOKUP(Tabelle1014[[#This Row],[Rank]],Stammdaten[[Rank Verteilung Ovalität]:[Verteilung Ovalität]],2,FALSE)</f>
        <v>#N/A</v>
      </c>
    </row>
    <row r="4330" spans="5:28" x14ac:dyDescent="0.35">
      <c r="E4330">
        <v>4321</v>
      </c>
      <c r="F4330" t="e">
        <f>INDEX(Stammdaten[D Mitte mit Rinde (mm)],MATCH(Tabelle8[[#This Row],[Rank]],Stammdaten[Rank Verteilung D Mitte mit Rinde],0))</f>
        <v>#N/A</v>
      </c>
      <c r="G4330" t="e">
        <f>VLOOKUP(Tabelle8[[#This Row],[Rank]],Stammdaten[[Rank Verteilung D Mitte mit Rinde]:[Verteilung D Mitte mit Rinde]],2,FALSE)</f>
        <v>#N/A</v>
      </c>
      <c r="L4330">
        <v>4321</v>
      </c>
      <c r="M4330" t="e">
        <f>INDEX(Stammdaten[Abholzigkeit (mm/lfm)],MATCH(Tabelle9[[#This Row],[Rank]],Stammdaten[Rank Verteilung Abholzigkeit],0))</f>
        <v>#N/A</v>
      </c>
      <c r="N4330" t="e">
        <f>VLOOKUP(Tabelle9[[#This Row],[Rank]],Stammdaten[[Rank Verteilung Abholzigkeit]:[Verteilung Abholzigkeit]],2,FALSE)</f>
        <v>#N/A</v>
      </c>
      <c r="S4330">
        <v>4321</v>
      </c>
      <c r="T4330" t="e">
        <f>INDEX(Stammdaten[Krümmung (mm/lfm)],MATCH(Tabelle10[[#This Row],[Rank]],Stammdaten[Rank Verteilung Krümmung],0))</f>
        <v>#N/A</v>
      </c>
      <c r="U4330" t="e">
        <f>VLOOKUP(Tabelle10[[#This Row],[Rank]],Stammdaten[[Rank Verteilung Krümmung]:[Verteilung Krümmung]],2,FALSE)</f>
        <v>#N/A</v>
      </c>
      <c r="Z4330">
        <v>4321</v>
      </c>
      <c r="AA4330" t="e">
        <f>INDEX(Stammdaten[Ovalität (']0,1'])],MATCH(Tabelle1014[[#This Row],[Rank]],Stammdaten[Rank Verteilung Ovalität],0))</f>
        <v>#N/A</v>
      </c>
      <c r="AB4330" t="e">
        <f>VLOOKUP(Tabelle1014[[#This Row],[Rank]],Stammdaten[[Rank Verteilung Ovalität]:[Verteilung Ovalität]],2,FALSE)</f>
        <v>#N/A</v>
      </c>
    </row>
    <row r="4331" spans="5:28" x14ac:dyDescent="0.35">
      <c r="E4331">
        <v>4322</v>
      </c>
      <c r="F4331" t="e">
        <f>INDEX(Stammdaten[D Mitte mit Rinde (mm)],MATCH(Tabelle8[[#This Row],[Rank]],Stammdaten[Rank Verteilung D Mitte mit Rinde],0))</f>
        <v>#N/A</v>
      </c>
      <c r="G4331" t="e">
        <f>VLOOKUP(Tabelle8[[#This Row],[Rank]],Stammdaten[[Rank Verteilung D Mitte mit Rinde]:[Verteilung D Mitte mit Rinde]],2,FALSE)</f>
        <v>#N/A</v>
      </c>
      <c r="L4331">
        <v>4322</v>
      </c>
      <c r="M4331" t="e">
        <f>INDEX(Stammdaten[Abholzigkeit (mm/lfm)],MATCH(Tabelle9[[#This Row],[Rank]],Stammdaten[Rank Verteilung Abholzigkeit],0))</f>
        <v>#N/A</v>
      </c>
      <c r="N4331" t="e">
        <f>VLOOKUP(Tabelle9[[#This Row],[Rank]],Stammdaten[[Rank Verteilung Abholzigkeit]:[Verteilung Abholzigkeit]],2,FALSE)</f>
        <v>#N/A</v>
      </c>
      <c r="S4331">
        <v>4322</v>
      </c>
      <c r="T4331" t="e">
        <f>INDEX(Stammdaten[Krümmung (mm/lfm)],MATCH(Tabelle10[[#This Row],[Rank]],Stammdaten[Rank Verteilung Krümmung],0))</f>
        <v>#N/A</v>
      </c>
      <c r="U4331" t="e">
        <f>VLOOKUP(Tabelle10[[#This Row],[Rank]],Stammdaten[[Rank Verteilung Krümmung]:[Verteilung Krümmung]],2,FALSE)</f>
        <v>#N/A</v>
      </c>
      <c r="Z4331">
        <v>4322</v>
      </c>
      <c r="AA4331" t="e">
        <f>INDEX(Stammdaten[Ovalität (']0,1'])],MATCH(Tabelle1014[[#This Row],[Rank]],Stammdaten[Rank Verteilung Ovalität],0))</f>
        <v>#N/A</v>
      </c>
      <c r="AB4331" t="e">
        <f>VLOOKUP(Tabelle1014[[#This Row],[Rank]],Stammdaten[[Rank Verteilung Ovalität]:[Verteilung Ovalität]],2,FALSE)</f>
        <v>#N/A</v>
      </c>
    </row>
    <row r="4332" spans="5:28" x14ac:dyDescent="0.35">
      <c r="E4332">
        <v>4323</v>
      </c>
      <c r="F4332" t="e">
        <f>INDEX(Stammdaten[D Mitte mit Rinde (mm)],MATCH(Tabelle8[[#This Row],[Rank]],Stammdaten[Rank Verteilung D Mitte mit Rinde],0))</f>
        <v>#N/A</v>
      </c>
      <c r="G4332" t="e">
        <f>VLOOKUP(Tabelle8[[#This Row],[Rank]],Stammdaten[[Rank Verteilung D Mitte mit Rinde]:[Verteilung D Mitte mit Rinde]],2,FALSE)</f>
        <v>#N/A</v>
      </c>
      <c r="L4332">
        <v>4323</v>
      </c>
      <c r="M4332" t="e">
        <f>INDEX(Stammdaten[Abholzigkeit (mm/lfm)],MATCH(Tabelle9[[#This Row],[Rank]],Stammdaten[Rank Verteilung Abholzigkeit],0))</f>
        <v>#N/A</v>
      </c>
      <c r="N4332" t="e">
        <f>VLOOKUP(Tabelle9[[#This Row],[Rank]],Stammdaten[[Rank Verteilung Abholzigkeit]:[Verteilung Abholzigkeit]],2,FALSE)</f>
        <v>#N/A</v>
      </c>
      <c r="S4332">
        <v>4323</v>
      </c>
      <c r="T4332" t="e">
        <f>INDEX(Stammdaten[Krümmung (mm/lfm)],MATCH(Tabelle10[[#This Row],[Rank]],Stammdaten[Rank Verteilung Krümmung],0))</f>
        <v>#N/A</v>
      </c>
      <c r="U4332" t="e">
        <f>VLOOKUP(Tabelle10[[#This Row],[Rank]],Stammdaten[[Rank Verteilung Krümmung]:[Verteilung Krümmung]],2,FALSE)</f>
        <v>#N/A</v>
      </c>
      <c r="Z4332">
        <v>4323</v>
      </c>
      <c r="AA4332" t="e">
        <f>INDEX(Stammdaten[Ovalität (']0,1'])],MATCH(Tabelle1014[[#This Row],[Rank]],Stammdaten[Rank Verteilung Ovalität],0))</f>
        <v>#N/A</v>
      </c>
      <c r="AB4332" t="e">
        <f>VLOOKUP(Tabelle1014[[#This Row],[Rank]],Stammdaten[[Rank Verteilung Ovalität]:[Verteilung Ovalität]],2,FALSE)</f>
        <v>#N/A</v>
      </c>
    </row>
    <row r="4333" spans="5:28" x14ac:dyDescent="0.35">
      <c r="E4333">
        <v>4324</v>
      </c>
      <c r="F4333" t="e">
        <f>INDEX(Stammdaten[D Mitte mit Rinde (mm)],MATCH(Tabelle8[[#This Row],[Rank]],Stammdaten[Rank Verteilung D Mitte mit Rinde],0))</f>
        <v>#N/A</v>
      </c>
      <c r="G4333" t="e">
        <f>VLOOKUP(Tabelle8[[#This Row],[Rank]],Stammdaten[[Rank Verteilung D Mitte mit Rinde]:[Verteilung D Mitte mit Rinde]],2,FALSE)</f>
        <v>#N/A</v>
      </c>
      <c r="L4333">
        <v>4324</v>
      </c>
      <c r="M4333" t="e">
        <f>INDEX(Stammdaten[Abholzigkeit (mm/lfm)],MATCH(Tabelle9[[#This Row],[Rank]],Stammdaten[Rank Verteilung Abholzigkeit],0))</f>
        <v>#N/A</v>
      </c>
      <c r="N4333" t="e">
        <f>VLOOKUP(Tabelle9[[#This Row],[Rank]],Stammdaten[[Rank Verteilung Abholzigkeit]:[Verteilung Abholzigkeit]],2,FALSE)</f>
        <v>#N/A</v>
      </c>
      <c r="S4333">
        <v>4324</v>
      </c>
      <c r="T4333" t="e">
        <f>INDEX(Stammdaten[Krümmung (mm/lfm)],MATCH(Tabelle10[[#This Row],[Rank]],Stammdaten[Rank Verteilung Krümmung],0))</f>
        <v>#N/A</v>
      </c>
      <c r="U4333" t="e">
        <f>VLOOKUP(Tabelle10[[#This Row],[Rank]],Stammdaten[[Rank Verteilung Krümmung]:[Verteilung Krümmung]],2,FALSE)</f>
        <v>#N/A</v>
      </c>
      <c r="Z4333">
        <v>4324</v>
      </c>
      <c r="AA4333" t="e">
        <f>INDEX(Stammdaten[Ovalität (']0,1'])],MATCH(Tabelle1014[[#This Row],[Rank]],Stammdaten[Rank Verteilung Ovalität],0))</f>
        <v>#N/A</v>
      </c>
      <c r="AB4333" t="e">
        <f>VLOOKUP(Tabelle1014[[#This Row],[Rank]],Stammdaten[[Rank Verteilung Ovalität]:[Verteilung Ovalität]],2,FALSE)</f>
        <v>#N/A</v>
      </c>
    </row>
    <row r="4334" spans="5:28" x14ac:dyDescent="0.35">
      <c r="E4334">
        <v>4325</v>
      </c>
      <c r="F4334" t="e">
        <f>INDEX(Stammdaten[D Mitte mit Rinde (mm)],MATCH(Tabelle8[[#This Row],[Rank]],Stammdaten[Rank Verteilung D Mitte mit Rinde],0))</f>
        <v>#N/A</v>
      </c>
      <c r="G4334" t="e">
        <f>VLOOKUP(Tabelle8[[#This Row],[Rank]],Stammdaten[[Rank Verteilung D Mitte mit Rinde]:[Verteilung D Mitte mit Rinde]],2,FALSE)</f>
        <v>#N/A</v>
      </c>
      <c r="L4334">
        <v>4325</v>
      </c>
      <c r="M4334" t="e">
        <f>INDEX(Stammdaten[Abholzigkeit (mm/lfm)],MATCH(Tabelle9[[#This Row],[Rank]],Stammdaten[Rank Verteilung Abholzigkeit],0))</f>
        <v>#N/A</v>
      </c>
      <c r="N4334" t="e">
        <f>VLOOKUP(Tabelle9[[#This Row],[Rank]],Stammdaten[[Rank Verteilung Abholzigkeit]:[Verteilung Abholzigkeit]],2,FALSE)</f>
        <v>#N/A</v>
      </c>
      <c r="S4334">
        <v>4325</v>
      </c>
      <c r="T4334" t="e">
        <f>INDEX(Stammdaten[Krümmung (mm/lfm)],MATCH(Tabelle10[[#This Row],[Rank]],Stammdaten[Rank Verteilung Krümmung],0))</f>
        <v>#N/A</v>
      </c>
      <c r="U4334" t="e">
        <f>VLOOKUP(Tabelle10[[#This Row],[Rank]],Stammdaten[[Rank Verteilung Krümmung]:[Verteilung Krümmung]],2,FALSE)</f>
        <v>#N/A</v>
      </c>
      <c r="Z4334">
        <v>4325</v>
      </c>
      <c r="AA4334" t="e">
        <f>INDEX(Stammdaten[Ovalität (']0,1'])],MATCH(Tabelle1014[[#This Row],[Rank]],Stammdaten[Rank Verteilung Ovalität],0))</f>
        <v>#N/A</v>
      </c>
      <c r="AB4334" t="e">
        <f>VLOOKUP(Tabelle1014[[#This Row],[Rank]],Stammdaten[[Rank Verteilung Ovalität]:[Verteilung Ovalität]],2,FALSE)</f>
        <v>#N/A</v>
      </c>
    </row>
    <row r="4335" spans="5:28" x14ac:dyDescent="0.35">
      <c r="E4335">
        <v>4326</v>
      </c>
      <c r="F4335" t="e">
        <f>INDEX(Stammdaten[D Mitte mit Rinde (mm)],MATCH(Tabelle8[[#This Row],[Rank]],Stammdaten[Rank Verteilung D Mitte mit Rinde],0))</f>
        <v>#N/A</v>
      </c>
      <c r="G4335" t="e">
        <f>VLOOKUP(Tabelle8[[#This Row],[Rank]],Stammdaten[[Rank Verteilung D Mitte mit Rinde]:[Verteilung D Mitte mit Rinde]],2,FALSE)</f>
        <v>#N/A</v>
      </c>
      <c r="L4335">
        <v>4326</v>
      </c>
      <c r="M4335" t="e">
        <f>INDEX(Stammdaten[Abholzigkeit (mm/lfm)],MATCH(Tabelle9[[#This Row],[Rank]],Stammdaten[Rank Verteilung Abholzigkeit],0))</f>
        <v>#N/A</v>
      </c>
      <c r="N4335" t="e">
        <f>VLOOKUP(Tabelle9[[#This Row],[Rank]],Stammdaten[[Rank Verteilung Abholzigkeit]:[Verteilung Abholzigkeit]],2,FALSE)</f>
        <v>#N/A</v>
      </c>
      <c r="S4335">
        <v>4326</v>
      </c>
      <c r="T4335" t="e">
        <f>INDEX(Stammdaten[Krümmung (mm/lfm)],MATCH(Tabelle10[[#This Row],[Rank]],Stammdaten[Rank Verteilung Krümmung],0))</f>
        <v>#N/A</v>
      </c>
      <c r="U4335" t="e">
        <f>VLOOKUP(Tabelle10[[#This Row],[Rank]],Stammdaten[[Rank Verteilung Krümmung]:[Verteilung Krümmung]],2,FALSE)</f>
        <v>#N/A</v>
      </c>
      <c r="Z4335">
        <v>4326</v>
      </c>
      <c r="AA4335" t="e">
        <f>INDEX(Stammdaten[Ovalität (']0,1'])],MATCH(Tabelle1014[[#This Row],[Rank]],Stammdaten[Rank Verteilung Ovalität],0))</f>
        <v>#N/A</v>
      </c>
      <c r="AB4335" t="e">
        <f>VLOOKUP(Tabelle1014[[#This Row],[Rank]],Stammdaten[[Rank Verteilung Ovalität]:[Verteilung Ovalität]],2,FALSE)</f>
        <v>#N/A</v>
      </c>
    </row>
    <row r="4336" spans="5:28" x14ac:dyDescent="0.35">
      <c r="E4336">
        <v>4327</v>
      </c>
      <c r="F4336" t="e">
        <f>INDEX(Stammdaten[D Mitte mit Rinde (mm)],MATCH(Tabelle8[[#This Row],[Rank]],Stammdaten[Rank Verteilung D Mitte mit Rinde],0))</f>
        <v>#N/A</v>
      </c>
      <c r="G4336" t="e">
        <f>VLOOKUP(Tabelle8[[#This Row],[Rank]],Stammdaten[[Rank Verteilung D Mitte mit Rinde]:[Verteilung D Mitte mit Rinde]],2,FALSE)</f>
        <v>#N/A</v>
      </c>
      <c r="L4336">
        <v>4327</v>
      </c>
      <c r="M4336" t="e">
        <f>INDEX(Stammdaten[Abholzigkeit (mm/lfm)],MATCH(Tabelle9[[#This Row],[Rank]],Stammdaten[Rank Verteilung Abholzigkeit],0))</f>
        <v>#N/A</v>
      </c>
      <c r="N4336" t="e">
        <f>VLOOKUP(Tabelle9[[#This Row],[Rank]],Stammdaten[[Rank Verteilung Abholzigkeit]:[Verteilung Abholzigkeit]],2,FALSE)</f>
        <v>#N/A</v>
      </c>
      <c r="S4336">
        <v>4327</v>
      </c>
      <c r="T4336" t="e">
        <f>INDEX(Stammdaten[Krümmung (mm/lfm)],MATCH(Tabelle10[[#This Row],[Rank]],Stammdaten[Rank Verteilung Krümmung],0))</f>
        <v>#N/A</v>
      </c>
      <c r="U4336" t="e">
        <f>VLOOKUP(Tabelle10[[#This Row],[Rank]],Stammdaten[[Rank Verteilung Krümmung]:[Verteilung Krümmung]],2,FALSE)</f>
        <v>#N/A</v>
      </c>
      <c r="Z4336">
        <v>4327</v>
      </c>
      <c r="AA4336" t="e">
        <f>INDEX(Stammdaten[Ovalität (']0,1'])],MATCH(Tabelle1014[[#This Row],[Rank]],Stammdaten[Rank Verteilung Ovalität],0))</f>
        <v>#N/A</v>
      </c>
      <c r="AB4336" t="e">
        <f>VLOOKUP(Tabelle1014[[#This Row],[Rank]],Stammdaten[[Rank Verteilung Ovalität]:[Verteilung Ovalität]],2,FALSE)</f>
        <v>#N/A</v>
      </c>
    </row>
    <row r="4337" spans="5:28" x14ac:dyDescent="0.35">
      <c r="E4337">
        <v>4328</v>
      </c>
      <c r="F4337" t="e">
        <f>INDEX(Stammdaten[D Mitte mit Rinde (mm)],MATCH(Tabelle8[[#This Row],[Rank]],Stammdaten[Rank Verteilung D Mitte mit Rinde],0))</f>
        <v>#N/A</v>
      </c>
      <c r="G4337" t="e">
        <f>VLOOKUP(Tabelle8[[#This Row],[Rank]],Stammdaten[[Rank Verteilung D Mitte mit Rinde]:[Verteilung D Mitte mit Rinde]],2,FALSE)</f>
        <v>#N/A</v>
      </c>
      <c r="L4337">
        <v>4328</v>
      </c>
      <c r="M4337" t="e">
        <f>INDEX(Stammdaten[Abholzigkeit (mm/lfm)],MATCH(Tabelle9[[#This Row],[Rank]],Stammdaten[Rank Verteilung Abholzigkeit],0))</f>
        <v>#N/A</v>
      </c>
      <c r="N4337" t="e">
        <f>VLOOKUP(Tabelle9[[#This Row],[Rank]],Stammdaten[[Rank Verteilung Abholzigkeit]:[Verteilung Abholzigkeit]],2,FALSE)</f>
        <v>#N/A</v>
      </c>
      <c r="S4337">
        <v>4328</v>
      </c>
      <c r="T4337" t="e">
        <f>INDEX(Stammdaten[Krümmung (mm/lfm)],MATCH(Tabelle10[[#This Row],[Rank]],Stammdaten[Rank Verteilung Krümmung],0))</f>
        <v>#N/A</v>
      </c>
      <c r="U4337" t="e">
        <f>VLOOKUP(Tabelle10[[#This Row],[Rank]],Stammdaten[[Rank Verteilung Krümmung]:[Verteilung Krümmung]],2,FALSE)</f>
        <v>#N/A</v>
      </c>
      <c r="Z4337">
        <v>4328</v>
      </c>
      <c r="AA4337" t="e">
        <f>INDEX(Stammdaten[Ovalität (']0,1'])],MATCH(Tabelle1014[[#This Row],[Rank]],Stammdaten[Rank Verteilung Ovalität],0))</f>
        <v>#N/A</v>
      </c>
      <c r="AB4337" t="e">
        <f>VLOOKUP(Tabelle1014[[#This Row],[Rank]],Stammdaten[[Rank Verteilung Ovalität]:[Verteilung Ovalität]],2,FALSE)</f>
        <v>#N/A</v>
      </c>
    </row>
    <row r="4338" spans="5:28" x14ac:dyDescent="0.35">
      <c r="E4338">
        <v>4329</v>
      </c>
      <c r="F4338" t="e">
        <f>INDEX(Stammdaten[D Mitte mit Rinde (mm)],MATCH(Tabelle8[[#This Row],[Rank]],Stammdaten[Rank Verteilung D Mitte mit Rinde],0))</f>
        <v>#N/A</v>
      </c>
      <c r="G4338" t="e">
        <f>VLOOKUP(Tabelle8[[#This Row],[Rank]],Stammdaten[[Rank Verteilung D Mitte mit Rinde]:[Verteilung D Mitte mit Rinde]],2,FALSE)</f>
        <v>#N/A</v>
      </c>
      <c r="L4338">
        <v>4329</v>
      </c>
      <c r="M4338" t="e">
        <f>INDEX(Stammdaten[Abholzigkeit (mm/lfm)],MATCH(Tabelle9[[#This Row],[Rank]],Stammdaten[Rank Verteilung Abholzigkeit],0))</f>
        <v>#N/A</v>
      </c>
      <c r="N4338" t="e">
        <f>VLOOKUP(Tabelle9[[#This Row],[Rank]],Stammdaten[[Rank Verteilung Abholzigkeit]:[Verteilung Abholzigkeit]],2,FALSE)</f>
        <v>#N/A</v>
      </c>
      <c r="S4338">
        <v>4329</v>
      </c>
      <c r="T4338" t="e">
        <f>INDEX(Stammdaten[Krümmung (mm/lfm)],MATCH(Tabelle10[[#This Row],[Rank]],Stammdaten[Rank Verteilung Krümmung],0))</f>
        <v>#N/A</v>
      </c>
      <c r="U4338" t="e">
        <f>VLOOKUP(Tabelle10[[#This Row],[Rank]],Stammdaten[[Rank Verteilung Krümmung]:[Verteilung Krümmung]],2,FALSE)</f>
        <v>#N/A</v>
      </c>
      <c r="Z4338">
        <v>4329</v>
      </c>
      <c r="AA4338" t="e">
        <f>INDEX(Stammdaten[Ovalität (']0,1'])],MATCH(Tabelle1014[[#This Row],[Rank]],Stammdaten[Rank Verteilung Ovalität],0))</f>
        <v>#N/A</v>
      </c>
      <c r="AB4338" t="e">
        <f>VLOOKUP(Tabelle1014[[#This Row],[Rank]],Stammdaten[[Rank Verteilung Ovalität]:[Verteilung Ovalität]],2,FALSE)</f>
        <v>#N/A</v>
      </c>
    </row>
    <row r="4339" spans="5:28" x14ac:dyDescent="0.35">
      <c r="E4339">
        <v>4330</v>
      </c>
      <c r="F4339" t="e">
        <f>INDEX(Stammdaten[D Mitte mit Rinde (mm)],MATCH(Tabelle8[[#This Row],[Rank]],Stammdaten[Rank Verteilung D Mitte mit Rinde],0))</f>
        <v>#N/A</v>
      </c>
      <c r="G4339" t="e">
        <f>VLOOKUP(Tabelle8[[#This Row],[Rank]],Stammdaten[[Rank Verteilung D Mitte mit Rinde]:[Verteilung D Mitte mit Rinde]],2,FALSE)</f>
        <v>#N/A</v>
      </c>
      <c r="L4339">
        <v>4330</v>
      </c>
      <c r="M4339" t="e">
        <f>INDEX(Stammdaten[Abholzigkeit (mm/lfm)],MATCH(Tabelle9[[#This Row],[Rank]],Stammdaten[Rank Verteilung Abholzigkeit],0))</f>
        <v>#N/A</v>
      </c>
      <c r="N4339" t="e">
        <f>VLOOKUP(Tabelle9[[#This Row],[Rank]],Stammdaten[[Rank Verteilung Abholzigkeit]:[Verteilung Abholzigkeit]],2,FALSE)</f>
        <v>#N/A</v>
      </c>
      <c r="S4339">
        <v>4330</v>
      </c>
      <c r="T4339" t="e">
        <f>INDEX(Stammdaten[Krümmung (mm/lfm)],MATCH(Tabelle10[[#This Row],[Rank]],Stammdaten[Rank Verteilung Krümmung],0))</f>
        <v>#N/A</v>
      </c>
      <c r="U4339" t="e">
        <f>VLOOKUP(Tabelle10[[#This Row],[Rank]],Stammdaten[[Rank Verteilung Krümmung]:[Verteilung Krümmung]],2,FALSE)</f>
        <v>#N/A</v>
      </c>
      <c r="Z4339">
        <v>4330</v>
      </c>
      <c r="AA4339" t="e">
        <f>INDEX(Stammdaten[Ovalität (']0,1'])],MATCH(Tabelle1014[[#This Row],[Rank]],Stammdaten[Rank Verteilung Ovalität],0))</f>
        <v>#N/A</v>
      </c>
      <c r="AB4339" t="e">
        <f>VLOOKUP(Tabelle1014[[#This Row],[Rank]],Stammdaten[[Rank Verteilung Ovalität]:[Verteilung Ovalität]],2,FALSE)</f>
        <v>#N/A</v>
      </c>
    </row>
    <row r="4340" spans="5:28" x14ac:dyDescent="0.35">
      <c r="E4340">
        <v>4331</v>
      </c>
      <c r="F4340" t="e">
        <f>INDEX(Stammdaten[D Mitte mit Rinde (mm)],MATCH(Tabelle8[[#This Row],[Rank]],Stammdaten[Rank Verteilung D Mitte mit Rinde],0))</f>
        <v>#N/A</v>
      </c>
      <c r="G4340" t="e">
        <f>VLOOKUP(Tabelle8[[#This Row],[Rank]],Stammdaten[[Rank Verteilung D Mitte mit Rinde]:[Verteilung D Mitte mit Rinde]],2,FALSE)</f>
        <v>#N/A</v>
      </c>
      <c r="L4340">
        <v>4331</v>
      </c>
      <c r="M4340" t="e">
        <f>INDEX(Stammdaten[Abholzigkeit (mm/lfm)],MATCH(Tabelle9[[#This Row],[Rank]],Stammdaten[Rank Verteilung Abholzigkeit],0))</f>
        <v>#N/A</v>
      </c>
      <c r="N4340" t="e">
        <f>VLOOKUP(Tabelle9[[#This Row],[Rank]],Stammdaten[[Rank Verteilung Abholzigkeit]:[Verteilung Abholzigkeit]],2,FALSE)</f>
        <v>#N/A</v>
      </c>
      <c r="S4340">
        <v>4331</v>
      </c>
      <c r="T4340" t="e">
        <f>INDEX(Stammdaten[Krümmung (mm/lfm)],MATCH(Tabelle10[[#This Row],[Rank]],Stammdaten[Rank Verteilung Krümmung],0))</f>
        <v>#N/A</v>
      </c>
      <c r="U4340" t="e">
        <f>VLOOKUP(Tabelle10[[#This Row],[Rank]],Stammdaten[[Rank Verteilung Krümmung]:[Verteilung Krümmung]],2,FALSE)</f>
        <v>#N/A</v>
      </c>
      <c r="Z4340">
        <v>4331</v>
      </c>
      <c r="AA4340" t="e">
        <f>INDEX(Stammdaten[Ovalität (']0,1'])],MATCH(Tabelle1014[[#This Row],[Rank]],Stammdaten[Rank Verteilung Ovalität],0))</f>
        <v>#N/A</v>
      </c>
      <c r="AB4340" t="e">
        <f>VLOOKUP(Tabelle1014[[#This Row],[Rank]],Stammdaten[[Rank Verteilung Ovalität]:[Verteilung Ovalität]],2,FALSE)</f>
        <v>#N/A</v>
      </c>
    </row>
    <row r="4341" spans="5:28" x14ac:dyDescent="0.35">
      <c r="E4341">
        <v>4332</v>
      </c>
      <c r="F4341" t="e">
        <f>INDEX(Stammdaten[D Mitte mit Rinde (mm)],MATCH(Tabelle8[[#This Row],[Rank]],Stammdaten[Rank Verteilung D Mitte mit Rinde],0))</f>
        <v>#N/A</v>
      </c>
      <c r="G4341" t="e">
        <f>VLOOKUP(Tabelle8[[#This Row],[Rank]],Stammdaten[[Rank Verteilung D Mitte mit Rinde]:[Verteilung D Mitte mit Rinde]],2,FALSE)</f>
        <v>#N/A</v>
      </c>
      <c r="L4341">
        <v>4332</v>
      </c>
      <c r="M4341" t="e">
        <f>INDEX(Stammdaten[Abholzigkeit (mm/lfm)],MATCH(Tabelle9[[#This Row],[Rank]],Stammdaten[Rank Verteilung Abholzigkeit],0))</f>
        <v>#N/A</v>
      </c>
      <c r="N4341" t="e">
        <f>VLOOKUP(Tabelle9[[#This Row],[Rank]],Stammdaten[[Rank Verteilung Abholzigkeit]:[Verteilung Abholzigkeit]],2,FALSE)</f>
        <v>#N/A</v>
      </c>
      <c r="S4341">
        <v>4332</v>
      </c>
      <c r="T4341" t="e">
        <f>INDEX(Stammdaten[Krümmung (mm/lfm)],MATCH(Tabelle10[[#This Row],[Rank]],Stammdaten[Rank Verteilung Krümmung],0))</f>
        <v>#N/A</v>
      </c>
      <c r="U4341" t="e">
        <f>VLOOKUP(Tabelle10[[#This Row],[Rank]],Stammdaten[[Rank Verteilung Krümmung]:[Verteilung Krümmung]],2,FALSE)</f>
        <v>#N/A</v>
      </c>
      <c r="Z4341">
        <v>4332</v>
      </c>
      <c r="AA4341" t="e">
        <f>INDEX(Stammdaten[Ovalität (']0,1'])],MATCH(Tabelle1014[[#This Row],[Rank]],Stammdaten[Rank Verteilung Ovalität],0))</f>
        <v>#N/A</v>
      </c>
      <c r="AB4341" t="e">
        <f>VLOOKUP(Tabelle1014[[#This Row],[Rank]],Stammdaten[[Rank Verteilung Ovalität]:[Verteilung Ovalität]],2,FALSE)</f>
        <v>#N/A</v>
      </c>
    </row>
    <row r="4342" spans="5:28" x14ac:dyDescent="0.35">
      <c r="E4342">
        <v>4333</v>
      </c>
      <c r="F4342" t="e">
        <f>INDEX(Stammdaten[D Mitte mit Rinde (mm)],MATCH(Tabelle8[[#This Row],[Rank]],Stammdaten[Rank Verteilung D Mitte mit Rinde],0))</f>
        <v>#N/A</v>
      </c>
      <c r="G4342" t="e">
        <f>VLOOKUP(Tabelle8[[#This Row],[Rank]],Stammdaten[[Rank Verteilung D Mitte mit Rinde]:[Verteilung D Mitte mit Rinde]],2,FALSE)</f>
        <v>#N/A</v>
      </c>
      <c r="L4342">
        <v>4333</v>
      </c>
      <c r="M4342" t="e">
        <f>INDEX(Stammdaten[Abholzigkeit (mm/lfm)],MATCH(Tabelle9[[#This Row],[Rank]],Stammdaten[Rank Verteilung Abholzigkeit],0))</f>
        <v>#N/A</v>
      </c>
      <c r="N4342" t="e">
        <f>VLOOKUP(Tabelle9[[#This Row],[Rank]],Stammdaten[[Rank Verteilung Abholzigkeit]:[Verteilung Abholzigkeit]],2,FALSE)</f>
        <v>#N/A</v>
      </c>
      <c r="S4342">
        <v>4333</v>
      </c>
      <c r="T4342" t="e">
        <f>INDEX(Stammdaten[Krümmung (mm/lfm)],MATCH(Tabelle10[[#This Row],[Rank]],Stammdaten[Rank Verteilung Krümmung],0))</f>
        <v>#N/A</v>
      </c>
      <c r="U4342" t="e">
        <f>VLOOKUP(Tabelle10[[#This Row],[Rank]],Stammdaten[[Rank Verteilung Krümmung]:[Verteilung Krümmung]],2,FALSE)</f>
        <v>#N/A</v>
      </c>
      <c r="Z4342">
        <v>4333</v>
      </c>
      <c r="AA4342" t="e">
        <f>INDEX(Stammdaten[Ovalität (']0,1'])],MATCH(Tabelle1014[[#This Row],[Rank]],Stammdaten[Rank Verteilung Ovalität],0))</f>
        <v>#N/A</v>
      </c>
      <c r="AB4342" t="e">
        <f>VLOOKUP(Tabelle1014[[#This Row],[Rank]],Stammdaten[[Rank Verteilung Ovalität]:[Verteilung Ovalität]],2,FALSE)</f>
        <v>#N/A</v>
      </c>
    </row>
    <row r="4343" spans="5:28" x14ac:dyDescent="0.35">
      <c r="E4343">
        <v>4334</v>
      </c>
      <c r="F4343" t="e">
        <f>INDEX(Stammdaten[D Mitte mit Rinde (mm)],MATCH(Tabelle8[[#This Row],[Rank]],Stammdaten[Rank Verteilung D Mitte mit Rinde],0))</f>
        <v>#N/A</v>
      </c>
      <c r="G4343" t="e">
        <f>VLOOKUP(Tabelle8[[#This Row],[Rank]],Stammdaten[[Rank Verteilung D Mitte mit Rinde]:[Verteilung D Mitte mit Rinde]],2,FALSE)</f>
        <v>#N/A</v>
      </c>
      <c r="L4343">
        <v>4334</v>
      </c>
      <c r="M4343" t="e">
        <f>INDEX(Stammdaten[Abholzigkeit (mm/lfm)],MATCH(Tabelle9[[#This Row],[Rank]],Stammdaten[Rank Verteilung Abholzigkeit],0))</f>
        <v>#N/A</v>
      </c>
      <c r="N4343" t="e">
        <f>VLOOKUP(Tabelle9[[#This Row],[Rank]],Stammdaten[[Rank Verteilung Abholzigkeit]:[Verteilung Abholzigkeit]],2,FALSE)</f>
        <v>#N/A</v>
      </c>
      <c r="S4343">
        <v>4334</v>
      </c>
      <c r="T4343" t="e">
        <f>INDEX(Stammdaten[Krümmung (mm/lfm)],MATCH(Tabelle10[[#This Row],[Rank]],Stammdaten[Rank Verteilung Krümmung],0))</f>
        <v>#N/A</v>
      </c>
      <c r="U4343" t="e">
        <f>VLOOKUP(Tabelle10[[#This Row],[Rank]],Stammdaten[[Rank Verteilung Krümmung]:[Verteilung Krümmung]],2,FALSE)</f>
        <v>#N/A</v>
      </c>
      <c r="Z4343">
        <v>4334</v>
      </c>
      <c r="AA4343" t="e">
        <f>INDEX(Stammdaten[Ovalität (']0,1'])],MATCH(Tabelle1014[[#This Row],[Rank]],Stammdaten[Rank Verteilung Ovalität],0))</f>
        <v>#N/A</v>
      </c>
      <c r="AB4343" t="e">
        <f>VLOOKUP(Tabelle1014[[#This Row],[Rank]],Stammdaten[[Rank Verteilung Ovalität]:[Verteilung Ovalität]],2,FALSE)</f>
        <v>#N/A</v>
      </c>
    </row>
    <row r="4344" spans="5:28" x14ac:dyDescent="0.35">
      <c r="E4344">
        <v>4335</v>
      </c>
      <c r="F4344" t="e">
        <f>INDEX(Stammdaten[D Mitte mit Rinde (mm)],MATCH(Tabelle8[[#This Row],[Rank]],Stammdaten[Rank Verteilung D Mitte mit Rinde],0))</f>
        <v>#N/A</v>
      </c>
      <c r="G4344" t="e">
        <f>VLOOKUP(Tabelle8[[#This Row],[Rank]],Stammdaten[[Rank Verteilung D Mitte mit Rinde]:[Verteilung D Mitte mit Rinde]],2,FALSE)</f>
        <v>#N/A</v>
      </c>
      <c r="L4344">
        <v>4335</v>
      </c>
      <c r="M4344" t="e">
        <f>INDEX(Stammdaten[Abholzigkeit (mm/lfm)],MATCH(Tabelle9[[#This Row],[Rank]],Stammdaten[Rank Verteilung Abholzigkeit],0))</f>
        <v>#N/A</v>
      </c>
      <c r="N4344" t="e">
        <f>VLOOKUP(Tabelle9[[#This Row],[Rank]],Stammdaten[[Rank Verteilung Abholzigkeit]:[Verteilung Abholzigkeit]],2,FALSE)</f>
        <v>#N/A</v>
      </c>
      <c r="S4344">
        <v>4335</v>
      </c>
      <c r="T4344" t="e">
        <f>INDEX(Stammdaten[Krümmung (mm/lfm)],MATCH(Tabelle10[[#This Row],[Rank]],Stammdaten[Rank Verteilung Krümmung],0))</f>
        <v>#N/A</v>
      </c>
      <c r="U4344" t="e">
        <f>VLOOKUP(Tabelle10[[#This Row],[Rank]],Stammdaten[[Rank Verteilung Krümmung]:[Verteilung Krümmung]],2,FALSE)</f>
        <v>#N/A</v>
      </c>
      <c r="Z4344">
        <v>4335</v>
      </c>
      <c r="AA4344" t="e">
        <f>INDEX(Stammdaten[Ovalität (']0,1'])],MATCH(Tabelle1014[[#This Row],[Rank]],Stammdaten[Rank Verteilung Ovalität],0))</f>
        <v>#N/A</v>
      </c>
      <c r="AB4344" t="e">
        <f>VLOOKUP(Tabelle1014[[#This Row],[Rank]],Stammdaten[[Rank Verteilung Ovalität]:[Verteilung Ovalität]],2,FALSE)</f>
        <v>#N/A</v>
      </c>
    </row>
    <row r="4345" spans="5:28" x14ac:dyDescent="0.35">
      <c r="E4345">
        <v>4336</v>
      </c>
      <c r="F4345" t="e">
        <f>INDEX(Stammdaten[D Mitte mit Rinde (mm)],MATCH(Tabelle8[[#This Row],[Rank]],Stammdaten[Rank Verteilung D Mitte mit Rinde],0))</f>
        <v>#N/A</v>
      </c>
      <c r="G4345" t="e">
        <f>VLOOKUP(Tabelle8[[#This Row],[Rank]],Stammdaten[[Rank Verteilung D Mitte mit Rinde]:[Verteilung D Mitte mit Rinde]],2,FALSE)</f>
        <v>#N/A</v>
      </c>
      <c r="L4345">
        <v>4336</v>
      </c>
      <c r="M4345" t="e">
        <f>INDEX(Stammdaten[Abholzigkeit (mm/lfm)],MATCH(Tabelle9[[#This Row],[Rank]],Stammdaten[Rank Verteilung Abholzigkeit],0))</f>
        <v>#N/A</v>
      </c>
      <c r="N4345" t="e">
        <f>VLOOKUP(Tabelle9[[#This Row],[Rank]],Stammdaten[[Rank Verteilung Abholzigkeit]:[Verteilung Abholzigkeit]],2,FALSE)</f>
        <v>#N/A</v>
      </c>
      <c r="S4345">
        <v>4336</v>
      </c>
      <c r="T4345" t="e">
        <f>INDEX(Stammdaten[Krümmung (mm/lfm)],MATCH(Tabelle10[[#This Row],[Rank]],Stammdaten[Rank Verteilung Krümmung],0))</f>
        <v>#N/A</v>
      </c>
      <c r="U4345" t="e">
        <f>VLOOKUP(Tabelle10[[#This Row],[Rank]],Stammdaten[[Rank Verteilung Krümmung]:[Verteilung Krümmung]],2,FALSE)</f>
        <v>#N/A</v>
      </c>
      <c r="Z4345">
        <v>4336</v>
      </c>
      <c r="AA4345" t="e">
        <f>INDEX(Stammdaten[Ovalität (']0,1'])],MATCH(Tabelle1014[[#This Row],[Rank]],Stammdaten[Rank Verteilung Ovalität],0))</f>
        <v>#N/A</v>
      </c>
      <c r="AB4345" t="e">
        <f>VLOOKUP(Tabelle1014[[#This Row],[Rank]],Stammdaten[[Rank Verteilung Ovalität]:[Verteilung Ovalität]],2,FALSE)</f>
        <v>#N/A</v>
      </c>
    </row>
    <row r="4346" spans="5:28" x14ac:dyDescent="0.35">
      <c r="E4346">
        <v>4337</v>
      </c>
      <c r="F4346" t="e">
        <f>INDEX(Stammdaten[D Mitte mit Rinde (mm)],MATCH(Tabelle8[[#This Row],[Rank]],Stammdaten[Rank Verteilung D Mitte mit Rinde],0))</f>
        <v>#N/A</v>
      </c>
      <c r="G4346" t="e">
        <f>VLOOKUP(Tabelle8[[#This Row],[Rank]],Stammdaten[[Rank Verteilung D Mitte mit Rinde]:[Verteilung D Mitte mit Rinde]],2,FALSE)</f>
        <v>#N/A</v>
      </c>
      <c r="L4346">
        <v>4337</v>
      </c>
      <c r="M4346" t="e">
        <f>INDEX(Stammdaten[Abholzigkeit (mm/lfm)],MATCH(Tabelle9[[#This Row],[Rank]],Stammdaten[Rank Verteilung Abholzigkeit],0))</f>
        <v>#N/A</v>
      </c>
      <c r="N4346" t="e">
        <f>VLOOKUP(Tabelle9[[#This Row],[Rank]],Stammdaten[[Rank Verteilung Abholzigkeit]:[Verteilung Abholzigkeit]],2,FALSE)</f>
        <v>#N/A</v>
      </c>
      <c r="S4346">
        <v>4337</v>
      </c>
      <c r="T4346" t="e">
        <f>INDEX(Stammdaten[Krümmung (mm/lfm)],MATCH(Tabelle10[[#This Row],[Rank]],Stammdaten[Rank Verteilung Krümmung],0))</f>
        <v>#N/A</v>
      </c>
      <c r="U4346" t="e">
        <f>VLOOKUP(Tabelle10[[#This Row],[Rank]],Stammdaten[[Rank Verteilung Krümmung]:[Verteilung Krümmung]],2,FALSE)</f>
        <v>#N/A</v>
      </c>
      <c r="Z4346">
        <v>4337</v>
      </c>
      <c r="AA4346" t="e">
        <f>INDEX(Stammdaten[Ovalität (']0,1'])],MATCH(Tabelle1014[[#This Row],[Rank]],Stammdaten[Rank Verteilung Ovalität],0))</f>
        <v>#N/A</v>
      </c>
      <c r="AB4346" t="e">
        <f>VLOOKUP(Tabelle1014[[#This Row],[Rank]],Stammdaten[[Rank Verteilung Ovalität]:[Verteilung Ovalität]],2,FALSE)</f>
        <v>#N/A</v>
      </c>
    </row>
    <row r="4347" spans="5:28" x14ac:dyDescent="0.35">
      <c r="E4347">
        <v>4338</v>
      </c>
      <c r="F4347" t="e">
        <f>INDEX(Stammdaten[D Mitte mit Rinde (mm)],MATCH(Tabelle8[[#This Row],[Rank]],Stammdaten[Rank Verteilung D Mitte mit Rinde],0))</f>
        <v>#N/A</v>
      </c>
      <c r="G4347" t="e">
        <f>VLOOKUP(Tabelle8[[#This Row],[Rank]],Stammdaten[[Rank Verteilung D Mitte mit Rinde]:[Verteilung D Mitte mit Rinde]],2,FALSE)</f>
        <v>#N/A</v>
      </c>
      <c r="L4347">
        <v>4338</v>
      </c>
      <c r="M4347" t="e">
        <f>INDEX(Stammdaten[Abholzigkeit (mm/lfm)],MATCH(Tabelle9[[#This Row],[Rank]],Stammdaten[Rank Verteilung Abholzigkeit],0))</f>
        <v>#N/A</v>
      </c>
      <c r="N4347" t="e">
        <f>VLOOKUP(Tabelle9[[#This Row],[Rank]],Stammdaten[[Rank Verteilung Abholzigkeit]:[Verteilung Abholzigkeit]],2,FALSE)</f>
        <v>#N/A</v>
      </c>
      <c r="S4347">
        <v>4338</v>
      </c>
      <c r="T4347" t="e">
        <f>INDEX(Stammdaten[Krümmung (mm/lfm)],MATCH(Tabelle10[[#This Row],[Rank]],Stammdaten[Rank Verteilung Krümmung],0))</f>
        <v>#N/A</v>
      </c>
      <c r="U4347" t="e">
        <f>VLOOKUP(Tabelle10[[#This Row],[Rank]],Stammdaten[[Rank Verteilung Krümmung]:[Verteilung Krümmung]],2,FALSE)</f>
        <v>#N/A</v>
      </c>
      <c r="Z4347">
        <v>4338</v>
      </c>
      <c r="AA4347" t="e">
        <f>INDEX(Stammdaten[Ovalität (']0,1'])],MATCH(Tabelle1014[[#This Row],[Rank]],Stammdaten[Rank Verteilung Ovalität],0))</f>
        <v>#N/A</v>
      </c>
      <c r="AB4347" t="e">
        <f>VLOOKUP(Tabelle1014[[#This Row],[Rank]],Stammdaten[[Rank Verteilung Ovalität]:[Verteilung Ovalität]],2,FALSE)</f>
        <v>#N/A</v>
      </c>
    </row>
    <row r="4348" spans="5:28" x14ac:dyDescent="0.35">
      <c r="E4348">
        <v>4339</v>
      </c>
      <c r="F4348" t="e">
        <f>INDEX(Stammdaten[D Mitte mit Rinde (mm)],MATCH(Tabelle8[[#This Row],[Rank]],Stammdaten[Rank Verteilung D Mitte mit Rinde],0))</f>
        <v>#N/A</v>
      </c>
      <c r="G4348" t="e">
        <f>VLOOKUP(Tabelle8[[#This Row],[Rank]],Stammdaten[[Rank Verteilung D Mitte mit Rinde]:[Verteilung D Mitte mit Rinde]],2,FALSE)</f>
        <v>#N/A</v>
      </c>
      <c r="L4348">
        <v>4339</v>
      </c>
      <c r="M4348" t="e">
        <f>INDEX(Stammdaten[Abholzigkeit (mm/lfm)],MATCH(Tabelle9[[#This Row],[Rank]],Stammdaten[Rank Verteilung Abholzigkeit],0))</f>
        <v>#N/A</v>
      </c>
      <c r="N4348" t="e">
        <f>VLOOKUP(Tabelle9[[#This Row],[Rank]],Stammdaten[[Rank Verteilung Abholzigkeit]:[Verteilung Abholzigkeit]],2,FALSE)</f>
        <v>#N/A</v>
      </c>
      <c r="S4348">
        <v>4339</v>
      </c>
      <c r="T4348" t="e">
        <f>INDEX(Stammdaten[Krümmung (mm/lfm)],MATCH(Tabelle10[[#This Row],[Rank]],Stammdaten[Rank Verteilung Krümmung],0))</f>
        <v>#N/A</v>
      </c>
      <c r="U4348" t="e">
        <f>VLOOKUP(Tabelle10[[#This Row],[Rank]],Stammdaten[[Rank Verteilung Krümmung]:[Verteilung Krümmung]],2,FALSE)</f>
        <v>#N/A</v>
      </c>
      <c r="Z4348">
        <v>4339</v>
      </c>
      <c r="AA4348" t="e">
        <f>INDEX(Stammdaten[Ovalität (']0,1'])],MATCH(Tabelle1014[[#This Row],[Rank]],Stammdaten[Rank Verteilung Ovalität],0))</f>
        <v>#N/A</v>
      </c>
      <c r="AB4348" t="e">
        <f>VLOOKUP(Tabelle1014[[#This Row],[Rank]],Stammdaten[[Rank Verteilung Ovalität]:[Verteilung Ovalität]],2,FALSE)</f>
        <v>#N/A</v>
      </c>
    </row>
    <row r="4349" spans="5:28" x14ac:dyDescent="0.35">
      <c r="E4349">
        <v>4340</v>
      </c>
      <c r="F4349" t="e">
        <f>INDEX(Stammdaten[D Mitte mit Rinde (mm)],MATCH(Tabelle8[[#This Row],[Rank]],Stammdaten[Rank Verteilung D Mitte mit Rinde],0))</f>
        <v>#N/A</v>
      </c>
      <c r="G4349" t="e">
        <f>VLOOKUP(Tabelle8[[#This Row],[Rank]],Stammdaten[[Rank Verteilung D Mitte mit Rinde]:[Verteilung D Mitte mit Rinde]],2,FALSE)</f>
        <v>#N/A</v>
      </c>
      <c r="L4349">
        <v>4340</v>
      </c>
      <c r="M4349" t="e">
        <f>INDEX(Stammdaten[Abholzigkeit (mm/lfm)],MATCH(Tabelle9[[#This Row],[Rank]],Stammdaten[Rank Verteilung Abholzigkeit],0))</f>
        <v>#N/A</v>
      </c>
      <c r="N4349" t="e">
        <f>VLOOKUP(Tabelle9[[#This Row],[Rank]],Stammdaten[[Rank Verteilung Abholzigkeit]:[Verteilung Abholzigkeit]],2,FALSE)</f>
        <v>#N/A</v>
      </c>
      <c r="S4349">
        <v>4340</v>
      </c>
      <c r="T4349" t="e">
        <f>INDEX(Stammdaten[Krümmung (mm/lfm)],MATCH(Tabelle10[[#This Row],[Rank]],Stammdaten[Rank Verteilung Krümmung],0))</f>
        <v>#N/A</v>
      </c>
      <c r="U4349" t="e">
        <f>VLOOKUP(Tabelle10[[#This Row],[Rank]],Stammdaten[[Rank Verteilung Krümmung]:[Verteilung Krümmung]],2,FALSE)</f>
        <v>#N/A</v>
      </c>
      <c r="Z4349">
        <v>4340</v>
      </c>
      <c r="AA4349" t="e">
        <f>INDEX(Stammdaten[Ovalität (']0,1'])],MATCH(Tabelle1014[[#This Row],[Rank]],Stammdaten[Rank Verteilung Ovalität],0))</f>
        <v>#N/A</v>
      </c>
      <c r="AB4349" t="e">
        <f>VLOOKUP(Tabelle1014[[#This Row],[Rank]],Stammdaten[[Rank Verteilung Ovalität]:[Verteilung Ovalität]],2,FALSE)</f>
        <v>#N/A</v>
      </c>
    </row>
    <row r="4350" spans="5:28" x14ac:dyDescent="0.35">
      <c r="E4350">
        <v>4341</v>
      </c>
      <c r="F4350" t="e">
        <f>INDEX(Stammdaten[D Mitte mit Rinde (mm)],MATCH(Tabelle8[[#This Row],[Rank]],Stammdaten[Rank Verteilung D Mitte mit Rinde],0))</f>
        <v>#N/A</v>
      </c>
      <c r="G4350" t="e">
        <f>VLOOKUP(Tabelle8[[#This Row],[Rank]],Stammdaten[[Rank Verteilung D Mitte mit Rinde]:[Verteilung D Mitte mit Rinde]],2,FALSE)</f>
        <v>#N/A</v>
      </c>
      <c r="L4350">
        <v>4341</v>
      </c>
      <c r="M4350" t="e">
        <f>INDEX(Stammdaten[Abholzigkeit (mm/lfm)],MATCH(Tabelle9[[#This Row],[Rank]],Stammdaten[Rank Verteilung Abholzigkeit],0))</f>
        <v>#N/A</v>
      </c>
      <c r="N4350" t="e">
        <f>VLOOKUP(Tabelle9[[#This Row],[Rank]],Stammdaten[[Rank Verteilung Abholzigkeit]:[Verteilung Abholzigkeit]],2,FALSE)</f>
        <v>#N/A</v>
      </c>
      <c r="S4350">
        <v>4341</v>
      </c>
      <c r="T4350" t="e">
        <f>INDEX(Stammdaten[Krümmung (mm/lfm)],MATCH(Tabelle10[[#This Row],[Rank]],Stammdaten[Rank Verteilung Krümmung],0))</f>
        <v>#N/A</v>
      </c>
      <c r="U4350" t="e">
        <f>VLOOKUP(Tabelle10[[#This Row],[Rank]],Stammdaten[[Rank Verteilung Krümmung]:[Verteilung Krümmung]],2,FALSE)</f>
        <v>#N/A</v>
      </c>
      <c r="Z4350">
        <v>4341</v>
      </c>
      <c r="AA4350" t="e">
        <f>INDEX(Stammdaten[Ovalität (']0,1'])],MATCH(Tabelle1014[[#This Row],[Rank]],Stammdaten[Rank Verteilung Ovalität],0))</f>
        <v>#N/A</v>
      </c>
      <c r="AB4350" t="e">
        <f>VLOOKUP(Tabelle1014[[#This Row],[Rank]],Stammdaten[[Rank Verteilung Ovalität]:[Verteilung Ovalität]],2,FALSE)</f>
        <v>#N/A</v>
      </c>
    </row>
    <row r="4351" spans="5:28" x14ac:dyDescent="0.35">
      <c r="E4351">
        <v>4342</v>
      </c>
      <c r="F4351" t="e">
        <f>INDEX(Stammdaten[D Mitte mit Rinde (mm)],MATCH(Tabelle8[[#This Row],[Rank]],Stammdaten[Rank Verteilung D Mitte mit Rinde],0))</f>
        <v>#N/A</v>
      </c>
      <c r="G4351" t="e">
        <f>VLOOKUP(Tabelle8[[#This Row],[Rank]],Stammdaten[[Rank Verteilung D Mitte mit Rinde]:[Verteilung D Mitte mit Rinde]],2,FALSE)</f>
        <v>#N/A</v>
      </c>
      <c r="L4351">
        <v>4342</v>
      </c>
      <c r="M4351" t="e">
        <f>INDEX(Stammdaten[Abholzigkeit (mm/lfm)],MATCH(Tabelle9[[#This Row],[Rank]],Stammdaten[Rank Verteilung Abholzigkeit],0))</f>
        <v>#N/A</v>
      </c>
      <c r="N4351" t="e">
        <f>VLOOKUP(Tabelle9[[#This Row],[Rank]],Stammdaten[[Rank Verteilung Abholzigkeit]:[Verteilung Abholzigkeit]],2,FALSE)</f>
        <v>#N/A</v>
      </c>
      <c r="S4351">
        <v>4342</v>
      </c>
      <c r="T4351" t="e">
        <f>INDEX(Stammdaten[Krümmung (mm/lfm)],MATCH(Tabelle10[[#This Row],[Rank]],Stammdaten[Rank Verteilung Krümmung],0))</f>
        <v>#N/A</v>
      </c>
      <c r="U4351" t="e">
        <f>VLOOKUP(Tabelle10[[#This Row],[Rank]],Stammdaten[[Rank Verteilung Krümmung]:[Verteilung Krümmung]],2,FALSE)</f>
        <v>#N/A</v>
      </c>
      <c r="Z4351">
        <v>4342</v>
      </c>
      <c r="AA4351" t="e">
        <f>INDEX(Stammdaten[Ovalität (']0,1'])],MATCH(Tabelle1014[[#This Row],[Rank]],Stammdaten[Rank Verteilung Ovalität],0))</f>
        <v>#N/A</v>
      </c>
      <c r="AB4351" t="e">
        <f>VLOOKUP(Tabelle1014[[#This Row],[Rank]],Stammdaten[[Rank Verteilung Ovalität]:[Verteilung Ovalität]],2,FALSE)</f>
        <v>#N/A</v>
      </c>
    </row>
    <row r="4352" spans="5:28" x14ac:dyDescent="0.35">
      <c r="E4352">
        <v>4343</v>
      </c>
      <c r="F4352" t="e">
        <f>INDEX(Stammdaten[D Mitte mit Rinde (mm)],MATCH(Tabelle8[[#This Row],[Rank]],Stammdaten[Rank Verteilung D Mitte mit Rinde],0))</f>
        <v>#N/A</v>
      </c>
      <c r="G4352" t="e">
        <f>VLOOKUP(Tabelle8[[#This Row],[Rank]],Stammdaten[[Rank Verteilung D Mitte mit Rinde]:[Verteilung D Mitte mit Rinde]],2,FALSE)</f>
        <v>#N/A</v>
      </c>
      <c r="L4352">
        <v>4343</v>
      </c>
      <c r="M4352" t="e">
        <f>INDEX(Stammdaten[Abholzigkeit (mm/lfm)],MATCH(Tabelle9[[#This Row],[Rank]],Stammdaten[Rank Verteilung Abholzigkeit],0))</f>
        <v>#N/A</v>
      </c>
      <c r="N4352" t="e">
        <f>VLOOKUP(Tabelle9[[#This Row],[Rank]],Stammdaten[[Rank Verteilung Abholzigkeit]:[Verteilung Abholzigkeit]],2,FALSE)</f>
        <v>#N/A</v>
      </c>
      <c r="S4352">
        <v>4343</v>
      </c>
      <c r="T4352" t="e">
        <f>INDEX(Stammdaten[Krümmung (mm/lfm)],MATCH(Tabelle10[[#This Row],[Rank]],Stammdaten[Rank Verteilung Krümmung],0))</f>
        <v>#N/A</v>
      </c>
      <c r="U4352" t="e">
        <f>VLOOKUP(Tabelle10[[#This Row],[Rank]],Stammdaten[[Rank Verteilung Krümmung]:[Verteilung Krümmung]],2,FALSE)</f>
        <v>#N/A</v>
      </c>
      <c r="Z4352">
        <v>4343</v>
      </c>
      <c r="AA4352" t="e">
        <f>INDEX(Stammdaten[Ovalität (']0,1'])],MATCH(Tabelle1014[[#This Row],[Rank]],Stammdaten[Rank Verteilung Ovalität],0))</f>
        <v>#N/A</v>
      </c>
      <c r="AB4352" t="e">
        <f>VLOOKUP(Tabelle1014[[#This Row],[Rank]],Stammdaten[[Rank Verteilung Ovalität]:[Verteilung Ovalität]],2,FALSE)</f>
        <v>#N/A</v>
      </c>
    </row>
    <row r="4353" spans="5:28" x14ac:dyDescent="0.35">
      <c r="E4353">
        <v>4344</v>
      </c>
      <c r="F4353" t="e">
        <f>INDEX(Stammdaten[D Mitte mit Rinde (mm)],MATCH(Tabelle8[[#This Row],[Rank]],Stammdaten[Rank Verteilung D Mitte mit Rinde],0))</f>
        <v>#N/A</v>
      </c>
      <c r="G4353" t="e">
        <f>VLOOKUP(Tabelle8[[#This Row],[Rank]],Stammdaten[[Rank Verteilung D Mitte mit Rinde]:[Verteilung D Mitte mit Rinde]],2,FALSE)</f>
        <v>#N/A</v>
      </c>
      <c r="L4353">
        <v>4344</v>
      </c>
      <c r="M4353" t="e">
        <f>INDEX(Stammdaten[Abholzigkeit (mm/lfm)],MATCH(Tabelle9[[#This Row],[Rank]],Stammdaten[Rank Verteilung Abholzigkeit],0))</f>
        <v>#N/A</v>
      </c>
      <c r="N4353" t="e">
        <f>VLOOKUP(Tabelle9[[#This Row],[Rank]],Stammdaten[[Rank Verteilung Abholzigkeit]:[Verteilung Abholzigkeit]],2,FALSE)</f>
        <v>#N/A</v>
      </c>
      <c r="S4353">
        <v>4344</v>
      </c>
      <c r="T4353" t="e">
        <f>INDEX(Stammdaten[Krümmung (mm/lfm)],MATCH(Tabelle10[[#This Row],[Rank]],Stammdaten[Rank Verteilung Krümmung],0))</f>
        <v>#N/A</v>
      </c>
      <c r="U4353" t="e">
        <f>VLOOKUP(Tabelle10[[#This Row],[Rank]],Stammdaten[[Rank Verteilung Krümmung]:[Verteilung Krümmung]],2,FALSE)</f>
        <v>#N/A</v>
      </c>
      <c r="Z4353">
        <v>4344</v>
      </c>
      <c r="AA4353" t="e">
        <f>INDEX(Stammdaten[Ovalität (']0,1'])],MATCH(Tabelle1014[[#This Row],[Rank]],Stammdaten[Rank Verteilung Ovalität],0))</f>
        <v>#N/A</v>
      </c>
      <c r="AB4353" t="e">
        <f>VLOOKUP(Tabelle1014[[#This Row],[Rank]],Stammdaten[[Rank Verteilung Ovalität]:[Verteilung Ovalität]],2,FALSE)</f>
        <v>#N/A</v>
      </c>
    </row>
    <row r="4354" spans="5:28" x14ac:dyDescent="0.35">
      <c r="E4354">
        <v>4345</v>
      </c>
      <c r="F4354" t="e">
        <f>INDEX(Stammdaten[D Mitte mit Rinde (mm)],MATCH(Tabelle8[[#This Row],[Rank]],Stammdaten[Rank Verteilung D Mitte mit Rinde],0))</f>
        <v>#N/A</v>
      </c>
      <c r="G4354" t="e">
        <f>VLOOKUP(Tabelle8[[#This Row],[Rank]],Stammdaten[[Rank Verteilung D Mitte mit Rinde]:[Verteilung D Mitte mit Rinde]],2,FALSE)</f>
        <v>#N/A</v>
      </c>
      <c r="L4354">
        <v>4345</v>
      </c>
      <c r="M4354" t="e">
        <f>INDEX(Stammdaten[Abholzigkeit (mm/lfm)],MATCH(Tabelle9[[#This Row],[Rank]],Stammdaten[Rank Verteilung Abholzigkeit],0))</f>
        <v>#N/A</v>
      </c>
      <c r="N4354" t="e">
        <f>VLOOKUP(Tabelle9[[#This Row],[Rank]],Stammdaten[[Rank Verteilung Abholzigkeit]:[Verteilung Abholzigkeit]],2,FALSE)</f>
        <v>#N/A</v>
      </c>
      <c r="S4354">
        <v>4345</v>
      </c>
      <c r="T4354" t="e">
        <f>INDEX(Stammdaten[Krümmung (mm/lfm)],MATCH(Tabelle10[[#This Row],[Rank]],Stammdaten[Rank Verteilung Krümmung],0))</f>
        <v>#N/A</v>
      </c>
      <c r="U4354" t="e">
        <f>VLOOKUP(Tabelle10[[#This Row],[Rank]],Stammdaten[[Rank Verteilung Krümmung]:[Verteilung Krümmung]],2,FALSE)</f>
        <v>#N/A</v>
      </c>
      <c r="Z4354">
        <v>4345</v>
      </c>
      <c r="AA4354" t="e">
        <f>INDEX(Stammdaten[Ovalität (']0,1'])],MATCH(Tabelle1014[[#This Row],[Rank]],Stammdaten[Rank Verteilung Ovalität],0))</f>
        <v>#N/A</v>
      </c>
      <c r="AB4354" t="e">
        <f>VLOOKUP(Tabelle1014[[#This Row],[Rank]],Stammdaten[[Rank Verteilung Ovalität]:[Verteilung Ovalität]],2,FALSE)</f>
        <v>#N/A</v>
      </c>
    </row>
    <row r="4355" spans="5:28" x14ac:dyDescent="0.35">
      <c r="E4355">
        <v>4346</v>
      </c>
      <c r="F4355" t="e">
        <f>INDEX(Stammdaten[D Mitte mit Rinde (mm)],MATCH(Tabelle8[[#This Row],[Rank]],Stammdaten[Rank Verteilung D Mitte mit Rinde],0))</f>
        <v>#N/A</v>
      </c>
      <c r="G4355" t="e">
        <f>VLOOKUP(Tabelle8[[#This Row],[Rank]],Stammdaten[[Rank Verteilung D Mitte mit Rinde]:[Verteilung D Mitte mit Rinde]],2,FALSE)</f>
        <v>#N/A</v>
      </c>
      <c r="L4355">
        <v>4346</v>
      </c>
      <c r="M4355" t="e">
        <f>INDEX(Stammdaten[Abholzigkeit (mm/lfm)],MATCH(Tabelle9[[#This Row],[Rank]],Stammdaten[Rank Verteilung Abholzigkeit],0))</f>
        <v>#N/A</v>
      </c>
      <c r="N4355" t="e">
        <f>VLOOKUP(Tabelle9[[#This Row],[Rank]],Stammdaten[[Rank Verteilung Abholzigkeit]:[Verteilung Abholzigkeit]],2,FALSE)</f>
        <v>#N/A</v>
      </c>
      <c r="S4355">
        <v>4346</v>
      </c>
      <c r="T4355" t="e">
        <f>INDEX(Stammdaten[Krümmung (mm/lfm)],MATCH(Tabelle10[[#This Row],[Rank]],Stammdaten[Rank Verteilung Krümmung],0))</f>
        <v>#N/A</v>
      </c>
      <c r="U4355" t="e">
        <f>VLOOKUP(Tabelle10[[#This Row],[Rank]],Stammdaten[[Rank Verteilung Krümmung]:[Verteilung Krümmung]],2,FALSE)</f>
        <v>#N/A</v>
      </c>
      <c r="Z4355">
        <v>4346</v>
      </c>
      <c r="AA4355" t="e">
        <f>INDEX(Stammdaten[Ovalität (']0,1'])],MATCH(Tabelle1014[[#This Row],[Rank]],Stammdaten[Rank Verteilung Ovalität],0))</f>
        <v>#N/A</v>
      </c>
      <c r="AB4355" t="e">
        <f>VLOOKUP(Tabelle1014[[#This Row],[Rank]],Stammdaten[[Rank Verteilung Ovalität]:[Verteilung Ovalität]],2,FALSE)</f>
        <v>#N/A</v>
      </c>
    </row>
    <row r="4356" spans="5:28" x14ac:dyDescent="0.35">
      <c r="E4356">
        <v>4347</v>
      </c>
      <c r="F4356" t="e">
        <f>INDEX(Stammdaten[D Mitte mit Rinde (mm)],MATCH(Tabelle8[[#This Row],[Rank]],Stammdaten[Rank Verteilung D Mitte mit Rinde],0))</f>
        <v>#N/A</v>
      </c>
      <c r="G4356" t="e">
        <f>VLOOKUP(Tabelle8[[#This Row],[Rank]],Stammdaten[[Rank Verteilung D Mitte mit Rinde]:[Verteilung D Mitte mit Rinde]],2,FALSE)</f>
        <v>#N/A</v>
      </c>
      <c r="L4356">
        <v>4347</v>
      </c>
      <c r="M4356" t="e">
        <f>INDEX(Stammdaten[Abholzigkeit (mm/lfm)],MATCH(Tabelle9[[#This Row],[Rank]],Stammdaten[Rank Verteilung Abholzigkeit],0))</f>
        <v>#N/A</v>
      </c>
      <c r="N4356" t="e">
        <f>VLOOKUP(Tabelle9[[#This Row],[Rank]],Stammdaten[[Rank Verteilung Abholzigkeit]:[Verteilung Abholzigkeit]],2,FALSE)</f>
        <v>#N/A</v>
      </c>
      <c r="S4356">
        <v>4347</v>
      </c>
      <c r="T4356" t="e">
        <f>INDEX(Stammdaten[Krümmung (mm/lfm)],MATCH(Tabelle10[[#This Row],[Rank]],Stammdaten[Rank Verteilung Krümmung],0))</f>
        <v>#N/A</v>
      </c>
      <c r="U4356" t="e">
        <f>VLOOKUP(Tabelle10[[#This Row],[Rank]],Stammdaten[[Rank Verteilung Krümmung]:[Verteilung Krümmung]],2,FALSE)</f>
        <v>#N/A</v>
      </c>
      <c r="Z4356">
        <v>4347</v>
      </c>
      <c r="AA4356" t="e">
        <f>INDEX(Stammdaten[Ovalität (']0,1'])],MATCH(Tabelle1014[[#This Row],[Rank]],Stammdaten[Rank Verteilung Ovalität],0))</f>
        <v>#N/A</v>
      </c>
      <c r="AB4356" t="e">
        <f>VLOOKUP(Tabelle1014[[#This Row],[Rank]],Stammdaten[[Rank Verteilung Ovalität]:[Verteilung Ovalität]],2,FALSE)</f>
        <v>#N/A</v>
      </c>
    </row>
    <row r="4357" spans="5:28" x14ac:dyDescent="0.35">
      <c r="E4357">
        <v>4348</v>
      </c>
      <c r="F4357" t="e">
        <f>INDEX(Stammdaten[D Mitte mit Rinde (mm)],MATCH(Tabelle8[[#This Row],[Rank]],Stammdaten[Rank Verteilung D Mitte mit Rinde],0))</f>
        <v>#N/A</v>
      </c>
      <c r="G4357" t="e">
        <f>VLOOKUP(Tabelle8[[#This Row],[Rank]],Stammdaten[[Rank Verteilung D Mitte mit Rinde]:[Verteilung D Mitte mit Rinde]],2,FALSE)</f>
        <v>#N/A</v>
      </c>
      <c r="L4357">
        <v>4348</v>
      </c>
      <c r="M4357" t="e">
        <f>INDEX(Stammdaten[Abholzigkeit (mm/lfm)],MATCH(Tabelle9[[#This Row],[Rank]],Stammdaten[Rank Verteilung Abholzigkeit],0))</f>
        <v>#N/A</v>
      </c>
      <c r="N4357" t="e">
        <f>VLOOKUP(Tabelle9[[#This Row],[Rank]],Stammdaten[[Rank Verteilung Abholzigkeit]:[Verteilung Abholzigkeit]],2,FALSE)</f>
        <v>#N/A</v>
      </c>
      <c r="S4357">
        <v>4348</v>
      </c>
      <c r="T4357" t="e">
        <f>INDEX(Stammdaten[Krümmung (mm/lfm)],MATCH(Tabelle10[[#This Row],[Rank]],Stammdaten[Rank Verteilung Krümmung],0))</f>
        <v>#N/A</v>
      </c>
      <c r="U4357" t="e">
        <f>VLOOKUP(Tabelle10[[#This Row],[Rank]],Stammdaten[[Rank Verteilung Krümmung]:[Verteilung Krümmung]],2,FALSE)</f>
        <v>#N/A</v>
      </c>
      <c r="Z4357">
        <v>4348</v>
      </c>
      <c r="AA4357" t="e">
        <f>INDEX(Stammdaten[Ovalität (']0,1'])],MATCH(Tabelle1014[[#This Row],[Rank]],Stammdaten[Rank Verteilung Ovalität],0))</f>
        <v>#N/A</v>
      </c>
      <c r="AB4357" t="e">
        <f>VLOOKUP(Tabelle1014[[#This Row],[Rank]],Stammdaten[[Rank Verteilung Ovalität]:[Verteilung Ovalität]],2,FALSE)</f>
        <v>#N/A</v>
      </c>
    </row>
    <row r="4358" spans="5:28" x14ac:dyDescent="0.35">
      <c r="E4358">
        <v>4349</v>
      </c>
      <c r="F4358" t="e">
        <f>INDEX(Stammdaten[D Mitte mit Rinde (mm)],MATCH(Tabelle8[[#This Row],[Rank]],Stammdaten[Rank Verteilung D Mitte mit Rinde],0))</f>
        <v>#N/A</v>
      </c>
      <c r="G4358" t="e">
        <f>VLOOKUP(Tabelle8[[#This Row],[Rank]],Stammdaten[[Rank Verteilung D Mitte mit Rinde]:[Verteilung D Mitte mit Rinde]],2,FALSE)</f>
        <v>#N/A</v>
      </c>
      <c r="L4358">
        <v>4349</v>
      </c>
      <c r="M4358" t="e">
        <f>INDEX(Stammdaten[Abholzigkeit (mm/lfm)],MATCH(Tabelle9[[#This Row],[Rank]],Stammdaten[Rank Verteilung Abholzigkeit],0))</f>
        <v>#N/A</v>
      </c>
      <c r="N4358" t="e">
        <f>VLOOKUP(Tabelle9[[#This Row],[Rank]],Stammdaten[[Rank Verteilung Abholzigkeit]:[Verteilung Abholzigkeit]],2,FALSE)</f>
        <v>#N/A</v>
      </c>
      <c r="S4358">
        <v>4349</v>
      </c>
      <c r="T4358" t="e">
        <f>INDEX(Stammdaten[Krümmung (mm/lfm)],MATCH(Tabelle10[[#This Row],[Rank]],Stammdaten[Rank Verteilung Krümmung],0))</f>
        <v>#N/A</v>
      </c>
      <c r="U4358" t="e">
        <f>VLOOKUP(Tabelle10[[#This Row],[Rank]],Stammdaten[[Rank Verteilung Krümmung]:[Verteilung Krümmung]],2,FALSE)</f>
        <v>#N/A</v>
      </c>
      <c r="Z4358">
        <v>4349</v>
      </c>
      <c r="AA4358" t="e">
        <f>INDEX(Stammdaten[Ovalität (']0,1'])],MATCH(Tabelle1014[[#This Row],[Rank]],Stammdaten[Rank Verteilung Ovalität],0))</f>
        <v>#N/A</v>
      </c>
      <c r="AB4358" t="e">
        <f>VLOOKUP(Tabelle1014[[#This Row],[Rank]],Stammdaten[[Rank Verteilung Ovalität]:[Verteilung Ovalität]],2,FALSE)</f>
        <v>#N/A</v>
      </c>
    </row>
    <row r="4359" spans="5:28" x14ac:dyDescent="0.35">
      <c r="E4359">
        <v>4350</v>
      </c>
      <c r="F4359" t="e">
        <f>INDEX(Stammdaten[D Mitte mit Rinde (mm)],MATCH(Tabelle8[[#This Row],[Rank]],Stammdaten[Rank Verteilung D Mitte mit Rinde],0))</f>
        <v>#N/A</v>
      </c>
      <c r="G4359" t="e">
        <f>VLOOKUP(Tabelle8[[#This Row],[Rank]],Stammdaten[[Rank Verteilung D Mitte mit Rinde]:[Verteilung D Mitte mit Rinde]],2,FALSE)</f>
        <v>#N/A</v>
      </c>
      <c r="L4359">
        <v>4350</v>
      </c>
      <c r="M4359" t="e">
        <f>INDEX(Stammdaten[Abholzigkeit (mm/lfm)],MATCH(Tabelle9[[#This Row],[Rank]],Stammdaten[Rank Verteilung Abholzigkeit],0))</f>
        <v>#N/A</v>
      </c>
      <c r="N4359" t="e">
        <f>VLOOKUP(Tabelle9[[#This Row],[Rank]],Stammdaten[[Rank Verteilung Abholzigkeit]:[Verteilung Abholzigkeit]],2,FALSE)</f>
        <v>#N/A</v>
      </c>
      <c r="S4359">
        <v>4350</v>
      </c>
      <c r="T4359" t="e">
        <f>INDEX(Stammdaten[Krümmung (mm/lfm)],MATCH(Tabelle10[[#This Row],[Rank]],Stammdaten[Rank Verteilung Krümmung],0))</f>
        <v>#N/A</v>
      </c>
      <c r="U4359" t="e">
        <f>VLOOKUP(Tabelle10[[#This Row],[Rank]],Stammdaten[[Rank Verteilung Krümmung]:[Verteilung Krümmung]],2,FALSE)</f>
        <v>#N/A</v>
      </c>
      <c r="Z4359">
        <v>4350</v>
      </c>
      <c r="AA4359" t="e">
        <f>INDEX(Stammdaten[Ovalität (']0,1'])],MATCH(Tabelle1014[[#This Row],[Rank]],Stammdaten[Rank Verteilung Ovalität],0))</f>
        <v>#N/A</v>
      </c>
      <c r="AB4359" t="e">
        <f>VLOOKUP(Tabelle1014[[#This Row],[Rank]],Stammdaten[[Rank Verteilung Ovalität]:[Verteilung Ovalität]],2,FALSE)</f>
        <v>#N/A</v>
      </c>
    </row>
    <row r="4360" spans="5:28" x14ac:dyDescent="0.35">
      <c r="E4360">
        <v>4351</v>
      </c>
      <c r="F4360" t="e">
        <f>INDEX(Stammdaten[D Mitte mit Rinde (mm)],MATCH(Tabelle8[[#This Row],[Rank]],Stammdaten[Rank Verteilung D Mitte mit Rinde],0))</f>
        <v>#N/A</v>
      </c>
      <c r="G4360" t="e">
        <f>VLOOKUP(Tabelle8[[#This Row],[Rank]],Stammdaten[[Rank Verteilung D Mitte mit Rinde]:[Verteilung D Mitte mit Rinde]],2,FALSE)</f>
        <v>#N/A</v>
      </c>
      <c r="L4360">
        <v>4351</v>
      </c>
      <c r="M4360" t="e">
        <f>INDEX(Stammdaten[Abholzigkeit (mm/lfm)],MATCH(Tabelle9[[#This Row],[Rank]],Stammdaten[Rank Verteilung Abholzigkeit],0))</f>
        <v>#N/A</v>
      </c>
      <c r="N4360" t="e">
        <f>VLOOKUP(Tabelle9[[#This Row],[Rank]],Stammdaten[[Rank Verteilung Abholzigkeit]:[Verteilung Abholzigkeit]],2,FALSE)</f>
        <v>#N/A</v>
      </c>
      <c r="S4360">
        <v>4351</v>
      </c>
      <c r="T4360" t="e">
        <f>INDEX(Stammdaten[Krümmung (mm/lfm)],MATCH(Tabelle10[[#This Row],[Rank]],Stammdaten[Rank Verteilung Krümmung],0))</f>
        <v>#N/A</v>
      </c>
      <c r="U4360" t="e">
        <f>VLOOKUP(Tabelle10[[#This Row],[Rank]],Stammdaten[[Rank Verteilung Krümmung]:[Verteilung Krümmung]],2,FALSE)</f>
        <v>#N/A</v>
      </c>
      <c r="Z4360">
        <v>4351</v>
      </c>
      <c r="AA4360" t="e">
        <f>INDEX(Stammdaten[Ovalität (']0,1'])],MATCH(Tabelle1014[[#This Row],[Rank]],Stammdaten[Rank Verteilung Ovalität],0))</f>
        <v>#N/A</v>
      </c>
      <c r="AB4360" t="e">
        <f>VLOOKUP(Tabelle1014[[#This Row],[Rank]],Stammdaten[[Rank Verteilung Ovalität]:[Verteilung Ovalität]],2,FALSE)</f>
        <v>#N/A</v>
      </c>
    </row>
    <row r="4361" spans="5:28" x14ac:dyDescent="0.35">
      <c r="E4361">
        <v>4352</v>
      </c>
      <c r="F4361" t="e">
        <f>INDEX(Stammdaten[D Mitte mit Rinde (mm)],MATCH(Tabelle8[[#This Row],[Rank]],Stammdaten[Rank Verteilung D Mitte mit Rinde],0))</f>
        <v>#N/A</v>
      </c>
      <c r="G4361" t="e">
        <f>VLOOKUP(Tabelle8[[#This Row],[Rank]],Stammdaten[[Rank Verteilung D Mitte mit Rinde]:[Verteilung D Mitte mit Rinde]],2,FALSE)</f>
        <v>#N/A</v>
      </c>
      <c r="L4361">
        <v>4352</v>
      </c>
      <c r="M4361" t="e">
        <f>INDEX(Stammdaten[Abholzigkeit (mm/lfm)],MATCH(Tabelle9[[#This Row],[Rank]],Stammdaten[Rank Verteilung Abholzigkeit],0))</f>
        <v>#N/A</v>
      </c>
      <c r="N4361" t="e">
        <f>VLOOKUP(Tabelle9[[#This Row],[Rank]],Stammdaten[[Rank Verteilung Abholzigkeit]:[Verteilung Abholzigkeit]],2,FALSE)</f>
        <v>#N/A</v>
      </c>
      <c r="S4361">
        <v>4352</v>
      </c>
      <c r="T4361" t="e">
        <f>INDEX(Stammdaten[Krümmung (mm/lfm)],MATCH(Tabelle10[[#This Row],[Rank]],Stammdaten[Rank Verteilung Krümmung],0))</f>
        <v>#N/A</v>
      </c>
      <c r="U4361" t="e">
        <f>VLOOKUP(Tabelle10[[#This Row],[Rank]],Stammdaten[[Rank Verteilung Krümmung]:[Verteilung Krümmung]],2,FALSE)</f>
        <v>#N/A</v>
      </c>
      <c r="Z4361">
        <v>4352</v>
      </c>
      <c r="AA4361" t="e">
        <f>INDEX(Stammdaten[Ovalität (']0,1'])],MATCH(Tabelle1014[[#This Row],[Rank]],Stammdaten[Rank Verteilung Ovalität],0))</f>
        <v>#N/A</v>
      </c>
      <c r="AB4361" t="e">
        <f>VLOOKUP(Tabelle1014[[#This Row],[Rank]],Stammdaten[[Rank Verteilung Ovalität]:[Verteilung Ovalität]],2,FALSE)</f>
        <v>#N/A</v>
      </c>
    </row>
    <row r="4362" spans="5:28" x14ac:dyDescent="0.35">
      <c r="E4362">
        <v>4353</v>
      </c>
      <c r="F4362" t="e">
        <f>INDEX(Stammdaten[D Mitte mit Rinde (mm)],MATCH(Tabelle8[[#This Row],[Rank]],Stammdaten[Rank Verteilung D Mitte mit Rinde],0))</f>
        <v>#N/A</v>
      </c>
      <c r="G4362" t="e">
        <f>VLOOKUP(Tabelle8[[#This Row],[Rank]],Stammdaten[[Rank Verteilung D Mitte mit Rinde]:[Verteilung D Mitte mit Rinde]],2,FALSE)</f>
        <v>#N/A</v>
      </c>
      <c r="L4362">
        <v>4353</v>
      </c>
      <c r="M4362" t="e">
        <f>INDEX(Stammdaten[Abholzigkeit (mm/lfm)],MATCH(Tabelle9[[#This Row],[Rank]],Stammdaten[Rank Verteilung Abholzigkeit],0))</f>
        <v>#N/A</v>
      </c>
      <c r="N4362" t="e">
        <f>VLOOKUP(Tabelle9[[#This Row],[Rank]],Stammdaten[[Rank Verteilung Abholzigkeit]:[Verteilung Abholzigkeit]],2,FALSE)</f>
        <v>#N/A</v>
      </c>
      <c r="S4362">
        <v>4353</v>
      </c>
      <c r="T4362" t="e">
        <f>INDEX(Stammdaten[Krümmung (mm/lfm)],MATCH(Tabelle10[[#This Row],[Rank]],Stammdaten[Rank Verteilung Krümmung],0))</f>
        <v>#N/A</v>
      </c>
      <c r="U4362" t="e">
        <f>VLOOKUP(Tabelle10[[#This Row],[Rank]],Stammdaten[[Rank Verteilung Krümmung]:[Verteilung Krümmung]],2,FALSE)</f>
        <v>#N/A</v>
      </c>
      <c r="Z4362">
        <v>4353</v>
      </c>
      <c r="AA4362" t="e">
        <f>INDEX(Stammdaten[Ovalität (']0,1'])],MATCH(Tabelle1014[[#This Row],[Rank]],Stammdaten[Rank Verteilung Ovalität],0))</f>
        <v>#N/A</v>
      </c>
      <c r="AB4362" t="e">
        <f>VLOOKUP(Tabelle1014[[#This Row],[Rank]],Stammdaten[[Rank Verteilung Ovalität]:[Verteilung Ovalität]],2,FALSE)</f>
        <v>#N/A</v>
      </c>
    </row>
    <row r="4363" spans="5:28" x14ac:dyDescent="0.35">
      <c r="E4363">
        <v>4354</v>
      </c>
      <c r="F4363" t="e">
        <f>INDEX(Stammdaten[D Mitte mit Rinde (mm)],MATCH(Tabelle8[[#This Row],[Rank]],Stammdaten[Rank Verteilung D Mitte mit Rinde],0))</f>
        <v>#N/A</v>
      </c>
      <c r="G4363" t="e">
        <f>VLOOKUP(Tabelle8[[#This Row],[Rank]],Stammdaten[[Rank Verteilung D Mitte mit Rinde]:[Verteilung D Mitte mit Rinde]],2,FALSE)</f>
        <v>#N/A</v>
      </c>
      <c r="L4363">
        <v>4354</v>
      </c>
      <c r="M4363" t="e">
        <f>INDEX(Stammdaten[Abholzigkeit (mm/lfm)],MATCH(Tabelle9[[#This Row],[Rank]],Stammdaten[Rank Verteilung Abholzigkeit],0))</f>
        <v>#N/A</v>
      </c>
      <c r="N4363" t="e">
        <f>VLOOKUP(Tabelle9[[#This Row],[Rank]],Stammdaten[[Rank Verteilung Abholzigkeit]:[Verteilung Abholzigkeit]],2,FALSE)</f>
        <v>#N/A</v>
      </c>
      <c r="S4363">
        <v>4354</v>
      </c>
      <c r="T4363" t="e">
        <f>INDEX(Stammdaten[Krümmung (mm/lfm)],MATCH(Tabelle10[[#This Row],[Rank]],Stammdaten[Rank Verteilung Krümmung],0))</f>
        <v>#N/A</v>
      </c>
      <c r="U4363" t="e">
        <f>VLOOKUP(Tabelle10[[#This Row],[Rank]],Stammdaten[[Rank Verteilung Krümmung]:[Verteilung Krümmung]],2,FALSE)</f>
        <v>#N/A</v>
      </c>
      <c r="Z4363">
        <v>4354</v>
      </c>
      <c r="AA4363" t="e">
        <f>INDEX(Stammdaten[Ovalität (']0,1'])],MATCH(Tabelle1014[[#This Row],[Rank]],Stammdaten[Rank Verteilung Ovalität],0))</f>
        <v>#N/A</v>
      </c>
      <c r="AB4363" t="e">
        <f>VLOOKUP(Tabelle1014[[#This Row],[Rank]],Stammdaten[[Rank Verteilung Ovalität]:[Verteilung Ovalität]],2,FALSE)</f>
        <v>#N/A</v>
      </c>
    </row>
    <row r="4364" spans="5:28" x14ac:dyDescent="0.35">
      <c r="E4364">
        <v>4355</v>
      </c>
      <c r="F4364" t="e">
        <f>INDEX(Stammdaten[D Mitte mit Rinde (mm)],MATCH(Tabelle8[[#This Row],[Rank]],Stammdaten[Rank Verteilung D Mitte mit Rinde],0))</f>
        <v>#N/A</v>
      </c>
      <c r="G4364" t="e">
        <f>VLOOKUP(Tabelle8[[#This Row],[Rank]],Stammdaten[[Rank Verteilung D Mitte mit Rinde]:[Verteilung D Mitte mit Rinde]],2,FALSE)</f>
        <v>#N/A</v>
      </c>
      <c r="L4364">
        <v>4355</v>
      </c>
      <c r="M4364" t="e">
        <f>INDEX(Stammdaten[Abholzigkeit (mm/lfm)],MATCH(Tabelle9[[#This Row],[Rank]],Stammdaten[Rank Verteilung Abholzigkeit],0))</f>
        <v>#N/A</v>
      </c>
      <c r="N4364" t="e">
        <f>VLOOKUP(Tabelle9[[#This Row],[Rank]],Stammdaten[[Rank Verteilung Abholzigkeit]:[Verteilung Abholzigkeit]],2,FALSE)</f>
        <v>#N/A</v>
      </c>
      <c r="S4364">
        <v>4355</v>
      </c>
      <c r="T4364" t="e">
        <f>INDEX(Stammdaten[Krümmung (mm/lfm)],MATCH(Tabelle10[[#This Row],[Rank]],Stammdaten[Rank Verteilung Krümmung],0))</f>
        <v>#N/A</v>
      </c>
      <c r="U4364" t="e">
        <f>VLOOKUP(Tabelle10[[#This Row],[Rank]],Stammdaten[[Rank Verteilung Krümmung]:[Verteilung Krümmung]],2,FALSE)</f>
        <v>#N/A</v>
      </c>
      <c r="Z4364">
        <v>4355</v>
      </c>
      <c r="AA4364" t="e">
        <f>INDEX(Stammdaten[Ovalität (']0,1'])],MATCH(Tabelle1014[[#This Row],[Rank]],Stammdaten[Rank Verteilung Ovalität],0))</f>
        <v>#N/A</v>
      </c>
      <c r="AB4364" t="e">
        <f>VLOOKUP(Tabelle1014[[#This Row],[Rank]],Stammdaten[[Rank Verteilung Ovalität]:[Verteilung Ovalität]],2,FALSE)</f>
        <v>#N/A</v>
      </c>
    </row>
    <row r="4365" spans="5:28" x14ac:dyDescent="0.35">
      <c r="E4365">
        <v>4356</v>
      </c>
      <c r="F4365" t="e">
        <f>INDEX(Stammdaten[D Mitte mit Rinde (mm)],MATCH(Tabelle8[[#This Row],[Rank]],Stammdaten[Rank Verteilung D Mitte mit Rinde],0))</f>
        <v>#N/A</v>
      </c>
      <c r="G4365" t="e">
        <f>VLOOKUP(Tabelle8[[#This Row],[Rank]],Stammdaten[[Rank Verteilung D Mitte mit Rinde]:[Verteilung D Mitte mit Rinde]],2,FALSE)</f>
        <v>#N/A</v>
      </c>
      <c r="L4365">
        <v>4356</v>
      </c>
      <c r="M4365" t="e">
        <f>INDEX(Stammdaten[Abholzigkeit (mm/lfm)],MATCH(Tabelle9[[#This Row],[Rank]],Stammdaten[Rank Verteilung Abholzigkeit],0))</f>
        <v>#N/A</v>
      </c>
      <c r="N4365" t="e">
        <f>VLOOKUP(Tabelle9[[#This Row],[Rank]],Stammdaten[[Rank Verteilung Abholzigkeit]:[Verteilung Abholzigkeit]],2,FALSE)</f>
        <v>#N/A</v>
      </c>
      <c r="S4365">
        <v>4356</v>
      </c>
      <c r="T4365" t="e">
        <f>INDEX(Stammdaten[Krümmung (mm/lfm)],MATCH(Tabelle10[[#This Row],[Rank]],Stammdaten[Rank Verteilung Krümmung],0))</f>
        <v>#N/A</v>
      </c>
      <c r="U4365" t="e">
        <f>VLOOKUP(Tabelle10[[#This Row],[Rank]],Stammdaten[[Rank Verteilung Krümmung]:[Verteilung Krümmung]],2,FALSE)</f>
        <v>#N/A</v>
      </c>
      <c r="Z4365">
        <v>4356</v>
      </c>
      <c r="AA4365" t="e">
        <f>INDEX(Stammdaten[Ovalität (']0,1'])],MATCH(Tabelle1014[[#This Row],[Rank]],Stammdaten[Rank Verteilung Ovalität],0))</f>
        <v>#N/A</v>
      </c>
      <c r="AB4365" t="e">
        <f>VLOOKUP(Tabelle1014[[#This Row],[Rank]],Stammdaten[[Rank Verteilung Ovalität]:[Verteilung Ovalität]],2,FALSE)</f>
        <v>#N/A</v>
      </c>
    </row>
    <row r="4366" spans="5:28" x14ac:dyDescent="0.35">
      <c r="E4366">
        <v>4357</v>
      </c>
      <c r="F4366" t="e">
        <f>INDEX(Stammdaten[D Mitte mit Rinde (mm)],MATCH(Tabelle8[[#This Row],[Rank]],Stammdaten[Rank Verteilung D Mitte mit Rinde],0))</f>
        <v>#N/A</v>
      </c>
      <c r="G4366" t="e">
        <f>VLOOKUP(Tabelle8[[#This Row],[Rank]],Stammdaten[[Rank Verteilung D Mitte mit Rinde]:[Verteilung D Mitte mit Rinde]],2,FALSE)</f>
        <v>#N/A</v>
      </c>
      <c r="L4366">
        <v>4357</v>
      </c>
      <c r="M4366" t="e">
        <f>INDEX(Stammdaten[Abholzigkeit (mm/lfm)],MATCH(Tabelle9[[#This Row],[Rank]],Stammdaten[Rank Verteilung Abholzigkeit],0))</f>
        <v>#N/A</v>
      </c>
      <c r="N4366" t="e">
        <f>VLOOKUP(Tabelle9[[#This Row],[Rank]],Stammdaten[[Rank Verteilung Abholzigkeit]:[Verteilung Abholzigkeit]],2,FALSE)</f>
        <v>#N/A</v>
      </c>
      <c r="S4366">
        <v>4357</v>
      </c>
      <c r="T4366" t="e">
        <f>INDEX(Stammdaten[Krümmung (mm/lfm)],MATCH(Tabelle10[[#This Row],[Rank]],Stammdaten[Rank Verteilung Krümmung],0))</f>
        <v>#N/A</v>
      </c>
      <c r="U4366" t="e">
        <f>VLOOKUP(Tabelle10[[#This Row],[Rank]],Stammdaten[[Rank Verteilung Krümmung]:[Verteilung Krümmung]],2,FALSE)</f>
        <v>#N/A</v>
      </c>
      <c r="Z4366">
        <v>4357</v>
      </c>
      <c r="AA4366" t="e">
        <f>INDEX(Stammdaten[Ovalität (']0,1'])],MATCH(Tabelle1014[[#This Row],[Rank]],Stammdaten[Rank Verteilung Ovalität],0))</f>
        <v>#N/A</v>
      </c>
      <c r="AB4366" t="e">
        <f>VLOOKUP(Tabelle1014[[#This Row],[Rank]],Stammdaten[[Rank Verteilung Ovalität]:[Verteilung Ovalität]],2,FALSE)</f>
        <v>#N/A</v>
      </c>
    </row>
    <row r="4367" spans="5:28" x14ac:dyDescent="0.35">
      <c r="E4367">
        <v>4358</v>
      </c>
      <c r="F4367" t="e">
        <f>INDEX(Stammdaten[D Mitte mit Rinde (mm)],MATCH(Tabelle8[[#This Row],[Rank]],Stammdaten[Rank Verteilung D Mitte mit Rinde],0))</f>
        <v>#N/A</v>
      </c>
      <c r="G4367" t="e">
        <f>VLOOKUP(Tabelle8[[#This Row],[Rank]],Stammdaten[[Rank Verteilung D Mitte mit Rinde]:[Verteilung D Mitte mit Rinde]],2,FALSE)</f>
        <v>#N/A</v>
      </c>
      <c r="L4367">
        <v>4358</v>
      </c>
      <c r="M4367" t="e">
        <f>INDEX(Stammdaten[Abholzigkeit (mm/lfm)],MATCH(Tabelle9[[#This Row],[Rank]],Stammdaten[Rank Verteilung Abholzigkeit],0))</f>
        <v>#N/A</v>
      </c>
      <c r="N4367" t="e">
        <f>VLOOKUP(Tabelle9[[#This Row],[Rank]],Stammdaten[[Rank Verteilung Abholzigkeit]:[Verteilung Abholzigkeit]],2,FALSE)</f>
        <v>#N/A</v>
      </c>
      <c r="S4367">
        <v>4358</v>
      </c>
      <c r="T4367" t="e">
        <f>INDEX(Stammdaten[Krümmung (mm/lfm)],MATCH(Tabelle10[[#This Row],[Rank]],Stammdaten[Rank Verteilung Krümmung],0))</f>
        <v>#N/A</v>
      </c>
      <c r="U4367" t="e">
        <f>VLOOKUP(Tabelle10[[#This Row],[Rank]],Stammdaten[[Rank Verteilung Krümmung]:[Verteilung Krümmung]],2,FALSE)</f>
        <v>#N/A</v>
      </c>
      <c r="Z4367">
        <v>4358</v>
      </c>
      <c r="AA4367" t="e">
        <f>INDEX(Stammdaten[Ovalität (']0,1'])],MATCH(Tabelle1014[[#This Row],[Rank]],Stammdaten[Rank Verteilung Ovalität],0))</f>
        <v>#N/A</v>
      </c>
      <c r="AB4367" t="e">
        <f>VLOOKUP(Tabelle1014[[#This Row],[Rank]],Stammdaten[[Rank Verteilung Ovalität]:[Verteilung Ovalität]],2,FALSE)</f>
        <v>#N/A</v>
      </c>
    </row>
    <row r="4368" spans="5:28" x14ac:dyDescent="0.35">
      <c r="E4368">
        <v>4359</v>
      </c>
      <c r="F4368" t="e">
        <f>INDEX(Stammdaten[D Mitte mit Rinde (mm)],MATCH(Tabelle8[[#This Row],[Rank]],Stammdaten[Rank Verteilung D Mitte mit Rinde],0))</f>
        <v>#N/A</v>
      </c>
      <c r="G4368" t="e">
        <f>VLOOKUP(Tabelle8[[#This Row],[Rank]],Stammdaten[[Rank Verteilung D Mitte mit Rinde]:[Verteilung D Mitte mit Rinde]],2,FALSE)</f>
        <v>#N/A</v>
      </c>
      <c r="L4368">
        <v>4359</v>
      </c>
      <c r="M4368" t="e">
        <f>INDEX(Stammdaten[Abholzigkeit (mm/lfm)],MATCH(Tabelle9[[#This Row],[Rank]],Stammdaten[Rank Verteilung Abholzigkeit],0))</f>
        <v>#N/A</v>
      </c>
      <c r="N4368" t="e">
        <f>VLOOKUP(Tabelle9[[#This Row],[Rank]],Stammdaten[[Rank Verteilung Abholzigkeit]:[Verteilung Abholzigkeit]],2,FALSE)</f>
        <v>#N/A</v>
      </c>
      <c r="S4368">
        <v>4359</v>
      </c>
      <c r="T4368" t="e">
        <f>INDEX(Stammdaten[Krümmung (mm/lfm)],MATCH(Tabelle10[[#This Row],[Rank]],Stammdaten[Rank Verteilung Krümmung],0))</f>
        <v>#N/A</v>
      </c>
      <c r="U4368" t="e">
        <f>VLOOKUP(Tabelle10[[#This Row],[Rank]],Stammdaten[[Rank Verteilung Krümmung]:[Verteilung Krümmung]],2,FALSE)</f>
        <v>#N/A</v>
      </c>
      <c r="Z4368">
        <v>4359</v>
      </c>
      <c r="AA4368" t="e">
        <f>INDEX(Stammdaten[Ovalität (']0,1'])],MATCH(Tabelle1014[[#This Row],[Rank]],Stammdaten[Rank Verteilung Ovalität],0))</f>
        <v>#N/A</v>
      </c>
      <c r="AB4368" t="e">
        <f>VLOOKUP(Tabelle1014[[#This Row],[Rank]],Stammdaten[[Rank Verteilung Ovalität]:[Verteilung Ovalität]],2,FALSE)</f>
        <v>#N/A</v>
      </c>
    </row>
    <row r="4369" spans="5:28" x14ac:dyDescent="0.35">
      <c r="E4369">
        <v>4360</v>
      </c>
      <c r="F4369" t="e">
        <f>INDEX(Stammdaten[D Mitte mit Rinde (mm)],MATCH(Tabelle8[[#This Row],[Rank]],Stammdaten[Rank Verteilung D Mitte mit Rinde],0))</f>
        <v>#N/A</v>
      </c>
      <c r="G4369" t="e">
        <f>VLOOKUP(Tabelle8[[#This Row],[Rank]],Stammdaten[[Rank Verteilung D Mitte mit Rinde]:[Verteilung D Mitte mit Rinde]],2,FALSE)</f>
        <v>#N/A</v>
      </c>
      <c r="L4369">
        <v>4360</v>
      </c>
      <c r="M4369" t="e">
        <f>INDEX(Stammdaten[Abholzigkeit (mm/lfm)],MATCH(Tabelle9[[#This Row],[Rank]],Stammdaten[Rank Verteilung Abholzigkeit],0))</f>
        <v>#N/A</v>
      </c>
      <c r="N4369" t="e">
        <f>VLOOKUP(Tabelle9[[#This Row],[Rank]],Stammdaten[[Rank Verteilung Abholzigkeit]:[Verteilung Abholzigkeit]],2,FALSE)</f>
        <v>#N/A</v>
      </c>
      <c r="S4369">
        <v>4360</v>
      </c>
      <c r="T4369" t="e">
        <f>INDEX(Stammdaten[Krümmung (mm/lfm)],MATCH(Tabelle10[[#This Row],[Rank]],Stammdaten[Rank Verteilung Krümmung],0))</f>
        <v>#N/A</v>
      </c>
      <c r="U4369" t="e">
        <f>VLOOKUP(Tabelle10[[#This Row],[Rank]],Stammdaten[[Rank Verteilung Krümmung]:[Verteilung Krümmung]],2,FALSE)</f>
        <v>#N/A</v>
      </c>
      <c r="Z4369">
        <v>4360</v>
      </c>
      <c r="AA4369" t="e">
        <f>INDEX(Stammdaten[Ovalität (']0,1'])],MATCH(Tabelle1014[[#This Row],[Rank]],Stammdaten[Rank Verteilung Ovalität],0))</f>
        <v>#N/A</v>
      </c>
      <c r="AB4369" t="e">
        <f>VLOOKUP(Tabelle1014[[#This Row],[Rank]],Stammdaten[[Rank Verteilung Ovalität]:[Verteilung Ovalität]],2,FALSE)</f>
        <v>#N/A</v>
      </c>
    </row>
    <row r="4370" spans="5:28" x14ac:dyDescent="0.35">
      <c r="E4370">
        <v>4361</v>
      </c>
      <c r="F4370" t="e">
        <f>INDEX(Stammdaten[D Mitte mit Rinde (mm)],MATCH(Tabelle8[[#This Row],[Rank]],Stammdaten[Rank Verteilung D Mitte mit Rinde],0))</f>
        <v>#N/A</v>
      </c>
      <c r="G4370" t="e">
        <f>VLOOKUP(Tabelle8[[#This Row],[Rank]],Stammdaten[[Rank Verteilung D Mitte mit Rinde]:[Verteilung D Mitte mit Rinde]],2,FALSE)</f>
        <v>#N/A</v>
      </c>
      <c r="L4370">
        <v>4361</v>
      </c>
      <c r="M4370" t="e">
        <f>INDEX(Stammdaten[Abholzigkeit (mm/lfm)],MATCH(Tabelle9[[#This Row],[Rank]],Stammdaten[Rank Verteilung Abholzigkeit],0))</f>
        <v>#N/A</v>
      </c>
      <c r="N4370" t="e">
        <f>VLOOKUP(Tabelle9[[#This Row],[Rank]],Stammdaten[[Rank Verteilung Abholzigkeit]:[Verteilung Abholzigkeit]],2,FALSE)</f>
        <v>#N/A</v>
      </c>
      <c r="S4370">
        <v>4361</v>
      </c>
      <c r="T4370" t="e">
        <f>INDEX(Stammdaten[Krümmung (mm/lfm)],MATCH(Tabelle10[[#This Row],[Rank]],Stammdaten[Rank Verteilung Krümmung],0))</f>
        <v>#N/A</v>
      </c>
      <c r="U4370" t="e">
        <f>VLOOKUP(Tabelle10[[#This Row],[Rank]],Stammdaten[[Rank Verteilung Krümmung]:[Verteilung Krümmung]],2,FALSE)</f>
        <v>#N/A</v>
      </c>
      <c r="Z4370">
        <v>4361</v>
      </c>
      <c r="AA4370" t="e">
        <f>INDEX(Stammdaten[Ovalität (']0,1'])],MATCH(Tabelle1014[[#This Row],[Rank]],Stammdaten[Rank Verteilung Ovalität],0))</f>
        <v>#N/A</v>
      </c>
      <c r="AB4370" t="e">
        <f>VLOOKUP(Tabelle1014[[#This Row],[Rank]],Stammdaten[[Rank Verteilung Ovalität]:[Verteilung Ovalität]],2,FALSE)</f>
        <v>#N/A</v>
      </c>
    </row>
    <row r="4371" spans="5:28" x14ac:dyDescent="0.35">
      <c r="E4371">
        <v>4362</v>
      </c>
      <c r="F4371" t="e">
        <f>INDEX(Stammdaten[D Mitte mit Rinde (mm)],MATCH(Tabelle8[[#This Row],[Rank]],Stammdaten[Rank Verteilung D Mitte mit Rinde],0))</f>
        <v>#N/A</v>
      </c>
      <c r="G4371" t="e">
        <f>VLOOKUP(Tabelle8[[#This Row],[Rank]],Stammdaten[[Rank Verteilung D Mitte mit Rinde]:[Verteilung D Mitte mit Rinde]],2,FALSE)</f>
        <v>#N/A</v>
      </c>
      <c r="L4371">
        <v>4362</v>
      </c>
      <c r="M4371" t="e">
        <f>INDEX(Stammdaten[Abholzigkeit (mm/lfm)],MATCH(Tabelle9[[#This Row],[Rank]],Stammdaten[Rank Verteilung Abholzigkeit],0))</f>
        <v>#N/A</v>
      </c>
      <c r="N4371" t="e">
        <f>VLOOKUP(Tabelle9[[#This Row],[Rank]],Stammdaten[[Rank Verteilung Abholzigkeit]:[Verteilung Abholzigkeit]],2,FALSE)</f>
        <v>#N/A</v>
      </c>
      <c r="S4371">
        <v>4362</v>
      </c>
      <c r="T4371" t="e">
        <f>INDEX(Stammdaten[Krümmung (mm/lfm)],MATCH(Tabelle10[[#This Row],[Rank]],Stammdaten[Rank Verteilung Krümmung],0))</f>
        <v>#N/A</v>
      </c>
      <c r="U4371" t="e">
        <f>VLOOKUP(Tabelle10[[#This Row],[Rank]],Stammdaten[[Rank Verteilung Krümmung]:[Verteilung Krümmung]],2,FALSE)</f>
        <v>#N/A</v>
      </c>
      <c r="Z4371">
        <v>4362</v>
      </c>
      <c r="AA4371" t="e">
        <f>INDEX(Stammdaten[Ovalität (']0,1'])],MATCH(Tabelle1014[[#This Row],[Rank]],Stammdaten[Rank Verteilung Ovalität],0))</f>
        <v>#N/A</v>
      </c>
      <c r="AB4371" t="e">
        <f>VLOOKUP(Tabelle1014[[#This Row],[Rank]],Stammdaten[[Rank Verteilung Ovalität]:[Verteilung Ovalität]],2,FALSE)</f>
        <v>#N/A</v>
      </c>
    </row>
    <row r="4372" spans="5:28" x14ac:dyDescent="0.35">
      <c r="E4372">
        <v>4363</v>
      </c>
      <c r="F4372" t="e">
        <f>INDEX(Stammdaten[D Mitte mit Rinde (mm)],MATCH(Tabelle8[[#This Row],[Rank]],Stammdaten[Rank Verteilung D Mitte mit Rinde],0))</f>
        <v>#N/A</v>
      </c>
      <c r="G4372" t="e">
        <f>VLOOKUP(Tabelle8[[#This Row],[Rank]],Stammdaten[[Rank Verteilung D Mitte mit Rinde]:[Verteilung D Mitte mit Rinde]],2,FALSE)</f>
        <v>#N/A</v>
      </c>
      <c r="L4372">
        <v>4363</v>
      </c>
      <c r="M4372" t="e">
        <f>INDEX(Stammdaten[Abholzigkeit (mm/lfm)],MATCH(Tabelle9[[#This Row],[Rank]],Stammdaten[Rank Verteilung Abholzigkeit],0))</f>
        <v>#N/A</v>
      </c>
      <c r="N4372" t="e">
        <f>VLOOKUP(Tabelle9[[#This Row],[Rank]],Stammdaten[[Rank Verteilung Abholzigkeit]:[Verteilung Abholzigkeit]],2,FALSE)</f>
        <v>#N/A</v>
      </c>
      <c r="S4372">
        <v>4363</v>
      </c>
      <c r="T4372" t="e">
        <f>INDEX(Stammdaten[Krümmung (mm/lfm)],MATCH(Tabelle10[[#This Row],[Rank]],Stammdaten[Rank Verteilung Krümmung],0))</f>
        <v>#N/A</v>
      </c>
      <c r="U4372" t="e">
        <f>VLOOKUP(Tabelle10[[#This Row],[Rank]],Stammdaten[[Rank Verteilung Krümmung]:[Verteilung Krümmung]],2,FALSE)</f>
        <v>#N/A</v>
      </c>
      <c r="Z4372">
        <v>4363</v>
      </c>
      <c r="AA4372" t="e">
        <f>INDEX(Stammdaten[Ovalität (']0,1'])],MATCH(Tabelle1014[[#This Row],[Rank]],Stammdaten[Rank Verteilung Ovalität],0))</f>
        <v>#N/A</v>
      </c>
      <c r="AB4372" t="e">
        <f>VLOOKUP(Tabelle1014[[#This Row],[Rank]],Stammdaten[[Rank Verteilung Ovalität]:[Verteilung Ovalität]],2,FALSE)</f>
        <v>#N/A</v>
      </c>
    </row>
    <row r="4373" spans="5:28" x14ac:dyDescent="0.35">
      <c r="E4373">
        <v>4364</v>
      </c>
      <c r="F4373" t="e">
        <f>INDEX(Stammdaten[D Mitte mit Rinde (mm)],MATCH(Tabelle8[[#This Row],[Rank]],Stammdaten[Rank Verteilung D Mitte mit Rinde],0))</f>
        <v>#N/A</v>
      </c>
      <c r="G4373" t="e">
        <f>VLOOKUP(Tabelle8[[#This Row],[Rank]],Stammdaten[[Rank Verteilung D Mitte mit Rinde]:[Verteilung D Mitte mit Rinde]],2,FALSE)</f>
        <v>#N/A</v>
      </c>
      <c r="L4373">
        <v>4364</v>
      </c>
      <c r="M4373" t="e">
        <f>INDEX(Stammdaten[Abholzigkeit (mm/lfm)],MATCH(Tabelle9[[#This Row],[Rank]],Stammdaten[Rank Verteilung Abholzigkeit],0))</f>
        <v>#N/A</v>
      </c>
      <c r="N4373" t="e">
        <f>VLOOKUP(Tabelle9[[#This Row],[Rank]],Stammdaten[[Rank Verteilung Abholzigkeit]:[Verteilung Abholzigkeit]],2,FALSE)</f>
        <v>#N/A</v>
      </c>
      <c r="S4373">
        <v>4364</v>
      </c>
      <c r="T4373" t="e">
        <f>INDEX(Stammdaten[Krümmung (mm/lfm)],MATCH(Tabelle10[[#This Row],[Rank]],Stammdaten[Rank Verteilung Krümmung],0))</f>
        <v>#N/A</v>
      </c>
      <c r="U4373" t="e">
        <f>VLOOKUP(Tabelle10[[#This Row],[Rank]],Stammdaten[[Rank Verteilung Krümmung]:[Verteilung Krümmung]],2,FALSE)</f>
        <v>#N/A</v>
      </c>
      <c r="Z4373">
        <v>4364</v>
      </c>
      <c r="AA4373" t="e">
        <f>INDEX(Stammdaten[Ovalität (']0,1'])],MATCH(Tabelle1014[[#This Row],[Rank]],Stammdaten[Rank Verteilung Ovalität],0))</f>
        <v>#N/A</v>
      </c>
      <c r="AB4373" t="e">
        <f>VLOOKUP(Tabelle1014[[#This Row],[Rank]],Stammdaten[[Rank Verteilung Ovalität]:[Verteilung Ovalität]],2,FALSE)</f>
        <v>#N/A</v>
      </c>
    </row>
    <row r="4374" spans="5:28" x14ac:dyDescent="0.35">
      <c r="E4374">
        <v>4365</v>
      </c>
      <c r="F4374" t="e">
        <f>INDEX(Stammdaten[D Mitte mit Rinde (mm)],MATCH(Tabelle8[[#This Row],[Rank]],Stammdaten[Rank Verteilung D Mitte mit Rinde],0))</f>
        <v>#N/A</v>
      </c>
      <c r="G4374" t="e">
        <f>VLOOKUP(Tabelle8[[#This Row],[Rank]],Stammdaten[[Rank Verteilung D Mitte mit Rinde]:[Verteilung D Mitte mit Rinde]],2,FALSE)</f>
        <v>#N/A</v>
      </c>
      <c r="L4374">
        <v>4365</v>
      </c>
      <c r="M4374" t="e">
        <f>INDEX(Stammdaten[Abholzigkeit (mm/lfm)],MATCH(Tabelle9[[#This Row],[Rank]],Stammdaten[Rank Verteilung Abholzigkeit],0))</f>
        <v>#N/A</v>
      </c>
      <c r="N4374" t="e">
        <f>VLOOKUP(Tabelle9[[#This Row],[Rank]],Stammdaten[[Rank Verteilung Abholzigkeit]:[Verteilung Abholzigkeit]],2,FALSE)</f>
        <v>#N/A</v>
      </c>
      <c r="S4374">
        <v>4365</v>
      </c>
      <c r="T4374" t="e">
        <f>INDEX(Stammdaten[Krümmung (mm/lfm)],MATCH(Tabelle10[[#This Row],[Rank]],Stammdaten[Rank Verteilung Krümmung],0))</f>
        <v>#N/A</v>
      </c>
      <c r="U4374" t="e">
        <f>VLOOKUP(Tabelle10[[#This Row],[Rank]],Stammdaten[[Rank Verteilung Krümmung]:[Verteilung Krümmung]],2,FALSE)</f>
        <v>#N/A</v>
      </c>
      <c r="Z4374">
        <v>4365</v>
      </c>
      <c r="AA4374" t="e">
        <f>INDEX(Stammdaten[Ovalität (']0,1'])],MATCH(Tabelle1014[[#This Row],[Rank]],Stammdaten[Rank Verteilung Ovalität],0))</f>
        <v>#N/A</v>
      </c>
      <c r="AB4374" t="e">
        <f>VLOOKUP(Tabelle1014[[#This Row],[Rank]],Stammdaten[[Rank Verteilung Ovalität]:[Verteilung Ovalität]],2,FALSE)</f>
        <v>#N/A</v>
      </c>
    </row>
    <row r="4375" spans="5:28" x14ac:dyDescent="0.35">
      <c r="E4375">
        <v>4366</v>
      </c>
      <c r="F4375" t="e">
        <f>INDEX(Stammdaten[D Mitte mit Rinde (mm)],MATCH(Tabelle8[[#This Row],[Rank]],Stammdaten[Rank Verteilung D Mitte mit Rinde],0))</f>
        <v>#N/A</v>
      </c>
      <c r="G4375" t="e">
        <f>VLOOKUP(Tabelle8[[#This Row],[Rank]],Stammdaten[[Rank Verteilung D Mitte mit Rinde]:[Verteilung D Mitte mit Rinde]],2,FALSE)</f>
        <v>#N/A</v>
      </c>
      <c r="L4375">
        <v>4366</v>
      </c>
      <c r="M4375" t="e">
        <f>INDEX(Stammdaten[Abholzigkeit (mm/lfm)],MATCH(Tabelle9[[#This Row],[Rank]],Stammdaten[Rank Verteilung Abholzigkeit],0))</f>
        <v>#N/A</v>
      </c>
      <c r="N4375" t="e">
        <f>VLOOKUP(Tabelle9[[#This Row],[Rank]],Stammdaten[[Rank Verteilung Abholzigkeit]:[Verteilung Abholzigkeit]],2,FALSE)</f>
        <v>#N/A</v>
      </c>
      <c r="S4375">
        <v>4366</v>
      </c>
      <c r="T4375" t="e">
        <f>INDEX(Stammdaten[Krümmung (mm/lfm)],MATCH(Tabelle10[[#This Row],[Rank]],Stammdaten[Rank Verteilung Krümmung],0))</f>
        <v>#N/A</v>
      </c>
      <c r="U4375" t="e">
        <f>VLOOKUP(Tabelle10[[#This Row],[Rank]],Stammdaten[[Rank Verteilung Krümmung]:[Verteilung Krümmung]],2,FALSE)</f>
        <v>#N/A</v>
      </c>
      <c r="Z4375">
        <v>4366</v>
      </c>
      <c r="AA4375" t="e">
        <f>INDEX(Stammdaten[Ovalität (']0,1'])],MATCH(Tabelle1014[[#This Row],[Rank]],Stammdaten[Rank Verteilung Ovalität],0))</f>
        <v>#N/A</v>
      </c>
      <c r="AB4375" t="e">
        <f>VLOOKUP(Tabelle1014[[#This Row],[Rank]],Stammdaten[[Rank Verteilung Ovalität]:[Verteilung Ovalität]],2,FALSE)</f>
        <v>#N/A</v>
      </c>
    </row>
    <row r="4376" spans="5:28" x14ac:dyDescent="0.35">
      <c r="E4376">
        <v>4367</v>
      </c>
      <c r="F4376" t="e">
        <f>INDEX(Stammdaten[D Mitte mit Rinde (mm)],MATCH(Tabelle8[[#This Row],[Rank]],Stammdaten[Rank Verteilung D Mitte mit Rinde],0))</f>
        <v>#N/A</v>
      </c>
      <c r="G4376" t="e">
        <f>VLOOKUP(Tabelle8[[#This Row],[Rank]],Stammdaten[[Rank Verteilung D Mitte mit Rinde]:[Verteilung D Mitte mit Rinde]],2,FALSE)</f>
        <v>#N/A</v>
      </c>
      <c r="L4376">
        <v>4367</v>
      </c>
      <c r="M4376" t="e">
        <f>INDEX(Stammdaten[Abholzigkeit (mm/lfm)],MATCH(Tabelle9[[#This Row],[Rank]],Stammdaten[Rank Verteilung Abholzigkeit],0))</f>
        <v>#N/A</v>
      </c>
      <c r="N4376" t="e">
        <f>VLOOKUP(Tabelle9[[#This Row],[Rank]],Stammdaten[[Rank Verteilung Abholzigkeit]:[Verteilung Abholzigkeit]],2,FALSE)</f>
        <v>#N/A</v>
      </c>
      <c r="S4376">
        <v>4367</v>
      </c>
      <c r="T4376" t="e">
        <f>INDEX(Stammdaten[Krümmung (mm/lfm)],MATCH(Tabelle10[[#This Row],[Rank]],Stammdaten[Rank Verteilung Krümmung],0))</f>
        <v>#N/A</v>
      </c>
      <c r="U4376" t="e">
        <f>VLOOKUP(Tabelle10[[#This Row],[Rank]],Stammdaten[[Rank Verteilung Krümmung]:[Verteilung Krümmung]],2,FALSE)</f>
        <v>#N/A</v>
      </c>
      <c r="Z4376">
        <v>4367</v>
      </c>
      <c r="AA4376" t="e">
        <f>INDEX(Stammdaten[Ovalität (']0,1'])],MATCH(Tabelle1014[[#This Row],[Rank]],Stammdaten[Rank Verteilung Ovalität],0))</f>
        <v>#N/A</v>
      </c>
      <c r="AB4376" t="e">
        <f>VLOOKUP(Tabelle1014[[#This Row],[Rank]],Stammdaten[[Rank Verteilung Ovalität]:[Verteilung Ovalität]],2,FALSE)</f>
        <v>#N/A</v>
      </c>
    </row>
    <row r="4377" spans="5:28" x14ac:dyDescent="0.35">
      <c r="E4377">
        <v>4368</v>
      </c>
      <c r="F4377" t="e">
        <f>INDEX(Stammdaten[D Mitte mit Rinde (mm)],MATCH(Tabelle8[[#This Row],[Rank]],Stammdaten[Rank Verteilung D Mitte mit Rinde],0))</f>
        <v>#N/A</v>
      </c>
      <c r="G4377" t="e">
        <f>VLOOKUP(Tabelle8[[#This Row],[Rank]],Stammdaten[[Rank Verteilung D Mitte mit Rinde]:[Verteilung D Mitte mit Rinde]],2,FALSE)</f>
        <v>#N/A</v>
      </c>
      <c r="L4377">
        <v>4368</v>
      </c>
      <c r="M4377" t="e">
        <f>INDEX(Stammdaten[Abholzigkeit (mm/lfm)],MATCH(Tabelle9[[#This Row],[Rank]],Stammdaten[Rank Verteilung Abholzigkeit],0))</f>
        <v>#N/A</v>
      </c>
      <c r="N4377" t="e">
        <f>VLOOKUP(Tabelle9[[#This Row],[Rank]],Stammdaten[[Rank Verteilung Abholzigkeit]:[Verteilung Abholzigkeit]],2,FALSE)</f>
        <v>#N/A</v>
      </c>
      <c r="S4377">
        <v>4368</v>
      </c>
      <c r="T4377" t="e">
        <f>INDEX(Stammdaten[Krümmung (mm/lfm)],MATCH(Tabelle10[[#This Row],[Rank]],Stammdaten[Rank Verteilung Krümmung],0))</f>
        <v>#N/A</v>
      </c>
      <c r="U4377" t="e">
        <f>VLOOKUP(Tabelle10[[#This Row],[Rank]],Stammdaten[[Rank Verteilung Krümmung]:[Verteilung Krümmung]],2,FALSE)</f>
        <v>#N/A</v>
      </c>
      <c r="Z4377">
        <v>4368</v>
      </c>
      <c r="AA4377" t="e">
        <f>INDEX(Stammdaten[Ovalität (']0,1'])],MATCH(Tabelle1014[[#This Row],[Rank]],Stammdaten[Rank Verteilung Ovalität],0))</f>
        <v>#N/A</v>
      </c>
      <c r="AB4377" t="e">
        <f>VLOOKUP(Tabelle1014[[#This Row],[Rank]],Stammdaten[[Rank Verteilung Ovalität]:[Verteilung Ovalität]],2,FALSE)</f>
        <v>#N/A</v>
      </c>
    </row>
    <row r="4378" spans="5:28" x14ac:dyDescent="0.35">
      <c r="E4378">
        <v>4369</v>
      </c>
      <c r="F4378" t="e">
        <f>INDEX(Stammdaten[D Mitte mit Rinde (mm)],MATCH(Tabelle8[[#This Row],[Rank]],Stammdaten[Rank Verteilung D Mitte mit Rinde],0))</f>
        <v>#N/A</v>
      </c>
      <c r="G4378" t="e">
        <f>VLOOKUP(Tabelle8[[#This Row],[Rank]],Stammdaten[[Rank Verteilung D Mitte mit Rinde]:[Verteilung D Mitte mit Rinde]],2,FALSE)</f>
        <v>#N/A</v>
      </c>
      <c r="L4378">
        <v>4369</v>
      </c>
      <c r="M4378" t="e">
        <f>INDEX(Stammdaten[Abholzigkeit (mm/lfm)],MATCH(Tabelle9[[#This Row],[Rank]],Stammdaten[Rank Verteilung Abholzigkeit],0))</f>
        <v>#N/A</v>
      </c>
      <c r="N4378" t="e">
        <f>VLOOKUP(Tabelle9[[#This Row],[Rank]],Stammdaten[[Rank Verteilung Abholzigkeit]:[Verteilung Abholzigkeit]],2,FALSE)</f>
        <v>#N/A</v>
      </c>
      <c r="S4378">
        <v>4369</v>
      </c>
      <c r="T4378" t="e">
        <f>INDEX(Stammdaten[Krümmung (mm/lfm)],MATCH(Tabelle10[[#This Row],[Rank]],Stammdaten[Rank Verteilung Krümmung],0))</f>
        <v>#N/A</v>
      </c>
      <c r="U4378" t="e">
        <f>VLOOKUP(Tabelle10[[#This Row],[Rank]],Stammdaten[[Rank Verteilung Krümmung]:[Verteilung Krümmung]],2,FALSE)</f>
        <v>#N/A</v>
      </c>
      <c r="Z4378">
        <v>4369</v>
      </c>
      <c r="AA4378" t="e">
        <f>INDEX(Stammdaten[Ovalität (']0,1'])],MATCH(Tabelle1014[[#This Row],[Rank]],Stammdaten[Rank Verteilung Ovalität],0))</f>
        <v>#N/A</v>
      </c>
      <c r="AB4378" t="e">
        <f>VLOOKUP(Tabelle1014[[#This Row],[Rank]],Stammdaten[[Rank Verteilung Ovalität]:[Verteilung Ovalität]],2,FALSE)</f>
        <v>#N/A</v>
      </c>
    </row>
    <row r="4379" spans="5:28" x14ac:dyDescent="0.35">
      <c r="E4379">
        <v>4370</v>
      </c>
      <c r="F4379" t="e">
        <f>INDEX(Stammdaten[D Mitte mit Rinde (mm)],MATCH(Tabelle8[[#This Row],[Rank]],Stammdaten[Rank Verteilung D Mitte mit Rinde],0))</f>
        <v>#N/A</v>
      </c>
      <c r="G4379" t="e">
        <f>VLOOKUP(Tabelle8[[#This Row],[Rank]],Stammdaten[[Rank Verteilung D Mitte mit Rinde]:[Verteilung D Mitte mit Rinde]],2,FALSE)</f>
        <v>#N/A</v>
      </c>
      <c r="L4379">
        <v>4370</v>
      </c>
      <c r="M4379" t="e">
        <f>INDEX(Stammdaten[Abholzigkeit (mm/lfm)],MATCH(Tabelle9[[#This Row],[Rank]],Stammdaten[Rank Verteilung Abholzigkeit],0))</f>
        <v>#N/A</v>
      </c>
      <c r="N4379" t="e">
        <f>VLOOKUP(Tabelle9[[#This Row],[Rank]],Stammdaten[[Rank Verteilung Abholzigkeit]:[Verteilung Abholzigkeit]],2,FALSE)</f>
        <v>#N/A</v>
      </c>
      <c r="S4379">
        <v>4370</v>
      </c>
      <c r="T4379" t="e">
        <f>INDEX(Stammdaten[Krümmung (mm/lfm)],MATCH(Tabelle10[[#This Row],[Rank]],Stammdaten[Rank Verteilung Krümmung],0))</f>
        <v>#N/A</v>
      </c>
      <c r="U4379" t="e">
        <f>VLOOKUP(Tabelle10[[#This Row],[Rank]],Stammdaten[[Rank Verteilung Krümmung]:[Verteilung Krümmung]],2,FALSE)</f>
        <v>#N/A</v>
      </c>
      <c r="Z4379">
        <v>4370</v>
      </c>
      <c r="AA4379" t="e">
        <f>INDEX(Stammdaten[Ovalität (']0,1'])],MATCH(Tabelle1014[[#This Row],[Rank]],Stammdaten[Rank Verteilung Ovalität],0))</f>
        <v>#N/A</v>
      </c>
      <c r="AB4379" t="e">
        <f>VLOOKUP(Tabelle1014[[#This Row],[Rank]],Stammdaten[[Rank Verteilung Ovalität]:[Verteilung Ovalität]],2,FALSE)</f>
        <v>#N/A</v>
      </c>
    </row>
    <row r="4380" spans="5:28" x14ac:dyDescent="0.35">
      <c r="E4380">
        <v>4371</v>
      </c>
      <c r="F4380" t="e">
        <f>INDEX(Stammdaten[D Mitte mit Rinde (mm)],MATCH(Tabelle8[[#This Row],[Rank]],Stammdaten[Rank Verteilung D Mitte mit Rinde],0))</f>
        <v>#N/A</v>
      </c>
      <c r="G4380" t="e">
        <f>VLOOKUP(Tabelle8[[#This Row],[Rank]],Stammdaten[[Rank Verteilung D Mitte mit Rinde]:[Verteilung D Mitte mit Rinde]],2,FALSE)</f>
        <v>#N/A</v>
      </c>
      <c r="L4380">
        <v>4371</v>
      </c>
      <c r="M4380" t="e">
        <f>INDEX(Stammdaten[Abholzigkeit (mm/lfm)],MATCH(Tabelle9[[#This Row],[Rank]],Stammdaten[Rank Verteilung Abholzigkeit],0))</f>
        <v>#N/A</v>
      </c>
      <c r="N4380" t="e">
        <f>VLOOKUP(Tabelle9[[#This Row],[Rank]],Stammdaten[[Rank Verteilung Abholzigkeit]:[Verteilung Abholzigkeit]],2,FALSE)</f>
        <v>#N/A</v>
      </c>
      <c r="S4380">
        <v>4371</v>
      </c>
      <c r="T4380" t="e">
        <f>INDEX(Stammdaten[Krümmung (mm/lfm)],MATCH(Tabelle10[[#This Row],[Rank]],Stammdaten[Rank Verteilung Krümmung],0))</f>
        <v>#N/A</v>
      </c>
      <c r="U4380" t="e">
        <f>VLOOKUP(Tabelle10[[#This Row],[Rank]],Stammdaten[[Rank Verteilung Krümmung]:[Verteilung Krümmung]],2,FALSE)</f>
        <v>#N/A</v>
      </c>
      <c r="Z4380">
        <v>4371</v>
      </c>
      <c r="AA4380" t="e">
        <f>INDEX(Stammdaten[Ovalität (']0,1'])],MATCH(Tabelle1014[[#This Row],[Rank]],Stammdaten[Rank Verteilung Ovalität],0))</f>
        <v>#N/A</v>
      </c>
      <c r="AB4380" t="e">
        <f>VLOOKUP(Tabelle1014[[#This Row],[Rank]],Stammdaten[[Rank Verteilung Ovalität]:[Verteilung Ovalität]],2,FALSE)</f>
        <v>#N/A</v>
      </c>
    </row>
    <row r="4381" spans="5:28" x14ac:dyDescent="0.35">
      <c r="E4381">
        <v>4372</v>
      </c>
      <c r="F4381" t="e">
        <f>INDEX(Stammdaten[D Mitte mit Rinde (mm)],MATCH(Tabelle8[[#This Row],[Rank]],Stammdaten[Rank Verteilung D Mitte mit Rinde],0))</f>
        <v>#N/A</v>
      </c>
      <c r="G4381" t="e">
        <f>VLOOKUP(Tabelle8[[#This Row],[Rank]],Stammdaten[[Rank Verteilung D Mitte mit Rinde]:[Verteilung D Mitte mit Rinde]],2,FALSE)</f>
        <v>#N/A</v>
      </c>
      <c r="L4381">
        <v>4372</v>
      </c>
      <c r="M4381" t="e">
        <f>INDEX(Stammdaten[Abholzigkeit (mm/lfm)],MATCH(Tabelle9[[#This Row],[Rank]],Stammdaten[Rank Verteilung Abholzigkeit],0))</f>
        <v>#N/A</v>
      </c>
      <c r="N4381" t="e">
        <f>VLOOKUP(Tabelle9[[#This Row],[Rank]],Stammdaten[[Rank Verteilung Abholzigkeit]:[Verteilung Abholzigkeit]],2,FALSE)</f>
        <v>#N/A</v>
      </c>
      <c r="S4381">
        <v>4372</v>
      </c>
      <c r="T4381" t="e">
        <f>INDEX(Stammdaten[Krümmung (mm/lfm)],MATCH(Tabelle10[[#This Row],[Rank]],Stammdaten[Rank Verteilung Krümmung],0))</f>
        <v>#N/A</v>
      </c>
      <c r="U4381" t="e">
        <f>VLOOKUP(Tabelle10[[#This Row],[Rank]],Stammdaten[[Rank Verteilung Krümmung]:[Verteilung Krümmung]],2,FALSE)</f>
        <v>#N/A</v>
      </c>
      <c r="Z4381">
        <v>4372</v>
      </c>
      <c r="AA4381" t="e">
        <f>INDEX(Stammdaten[Ovalität (']0,1'])],MATCH(Tabelle1014[[#This Row],[Rank]],Stammdaten[Rank Verteilung Ovalität],0))</f>
        <v>#N/A</v>
      </c>
      <c r="AB4381" t="e">
        <f>VLOOKUP(Tabelle1014[[#This Row],[Rank]],Stammdaten[[Rank Verteilung Ovalität]:[Verteilung Ovalität]],2,FALSE)</f>
        <v>#N/A</v>
      </c>
    </row>
    <row r="4382" spans="5:28" x14ac:dyDescent="0.35">
      <c r="E4382">
        <v>4373</v>
      </c>
      <c r="F4382" t="e">
        <f>INDEX(Stammdaten[D Mitte mit Rinde (mm)],MATCH(Tabelle8[[#This Row],[Rank]],Stammdaten[Rank Verteilung D Mitte mit Rinde],0))</f>
        <v>#N/A</v>
      </c>
      <c r="G4382" t="e">
        <f>VLOOKUP(Tabelle8[[#This Row],[Rank]],Stammdaten[[Rank Verteilung D Mitte mit Rinde]:[Verteilung D Mitte mit Rinde]],2,FALSE)</f>
        <v>#N/A</v>
      </c>
      <c r="L4382">
        <v>4373</v>
      </c>
      <c r="M4382" t="e">
        <f>INDEX(Stammdaten[Abholzigkeit (mm/lfm)],MATCH(Tabelle9[[#This Row],[Rank]],Stammdaten[Rank Verteilung Abholzigkeit],0))</f>
        <v>#N/A</v>
      </c>
      <c r="N4382" t="e">
        <f>VLOOKUP(Tabelle9[[#This Row],[Rank]],Stammdaten[[Rank Verteilung Abholzigkeit]:[Verteilung Abholzigkeit]],2,FALSE)</f>
        <v>#N/A</v>
      </c>
      <c r="S4382">
        <v>4373</v>
      </c>
      <c r="T4382" t="e">
        <f>INDEX(Stammdaten[Krümmung (mm/lfm)],MATCH(Tabelle10[[#This Row],[Rank]],Stammdaten[Rank Verteilung Krümmung],0))</f>
        <v>#N/A</v>
      </c>
      <c r="U4382" t="e">
        <f>VLOOKUP(Tabelle10[[#This Row],[Rank]],Stammdaten[[Rank Verteilung Krümmung]:[Verteilung Krümmung]],2,FALSE)</f>
        <v>#N/A</v>
      </c>
      <c r="Z4382">
        <v>4373</v>
      </c>
      <c r="AA4382" t="e">
        <f>INDEX(Stammdaten[Ovalität (']0,1'])],MATCH(Tabelle1014[[#This Row],[Rank]],Stammdaten[Rank Verteilung Ovalität],0))</f>
        <v>#N/A</v>
      </c>
      <c r="AB4382" t="e">
        <f>VLOOKUP(Tabelle1014[[#This Row],[Rank]],Stammdaten[[Rank Verteilung Ovalität]:[Verteilung Ovalität]],2,FALSE)</f>
        <v>#N/A</v>
      </c>
    </row>
    <row r="4383" spans="5:28" x14ac:dyDescent="0.35">
      <c r="E4383">
        <v>4374</v>
      </c>
      <c r="F4383" t="e">
        <f>INDEX(Stammdaten[D Mitte mit Rinde (mm)],MATCH(Tabelle8[[#This Row],[Rank]],Stammdaten[Rank Verteilung D Mitte mit Rinde],0))</f>
        <v>#N/A</v>
      </c>
      <c r="G4383" t="e">
        <f>VLOOKUP(Tabelle8[[#This Row],[Rank]],Stammdaten[[Rank Verteilung D Mitte mit Rinde]:[Verteilung D Mitte mit Rinde]],2,FALSE)</f>
        <v>#N/A</v>
      </c>
      <c r="L4383">
        <v>4374</v>
      </c>
      <c r="M4383" t="e">
        <f>INDEX(Stammdaten[Abholzigkeit (mm/lfm)],MATCH(Tabelle9[[#This Row],[Rank]],Stammdaten[Rank Verteilung Abholzigkeit],0))</f>
        <v>#N/A</v>
      </c>
      <c r="N4383" t="e">
        <f>VLOOKUP(Tabelle9[[#This Row],[Rank]],Stammdaten[[Rank Verteilung Abholzigkeit]:[Verteilung Abholzigkeit]],2,FALSE)</f>
        <v>#N/A</v>
      </c>
      <c r="S4383">
        <v>4374</v>
      </c>
      <c r="T4383" t="e">
        <f>INDEX(Stammdaten[Krümmung (mm/lfm)],MATCH(Tabelle10[[#This Row],[Rank]],Stammdaten[Rank Verteilung Krümmung],0))</f>
        <v>#N/A</v>
      </c>
      <c r="U4383" t="e">
        <f>VLOOKUP(Tabelle10[[#This Row],[Rank]],Stammdaten[[Rank Verteilung Krümmung]:[Verteilung Krümmung]],2,FALSE)</f>
        <v>#N/A</v>
      </c>
      <c r="Z4383">
        <v>4374</v>
      </c>
      <c r="AA4383" t="e">
        <f>INDEX(Stammdaten[Ovalität (']0,1'])],MATCH(Tabelle1014[[#This Row],[Rank]],Stammdaten[Rank Verteilung Ovalität],0))</f>
        <v>#N/A</v>
      </c>
      <c r="AB4383" t="e">
        <f>VLOOKUP(Tabelle1014[[#This Row],[Rank]],Stammdaten[[Rank Verteilung Ovalität]:[Verteilung Ovalität]],2,FALSE)</f>
        <v>#N/A</v>
      </c>
    </row>
    <row r="4384" spans="5:28" x14ac:dyDescent="0.35">
      <c r="E4384">
        <v>4375</v>
      </c>
      <c r="F4384" t="e">
        <f>INDEX(Stammdaten[D Mitte mit Rinde (mm)],MATCH(Tabelle8[[#This Row],[Rank]],Stammdaten[Rank Verteilung D Mitte mit Rinde],0))</f>
        <v>#N/A</v>
      </c>
      <c r="G4384" t="e">
        <f>VLOOKUP(Tabelle8[[#This Row],[Rank]],Stammdaten[[Rank Verteilung D Mitte mit Rinde]:[Verteilung D Mitte mit Rinde]],2,FALSE)</f>
        <v>#N/A</v>
      </c>
      <c r="L4384">
        <v>4375</v>
      </c>
      <c r="M4384" t="e">
        <f>INDEX(Stammdaten[Abholzigkeit (mm/lfm)],MATCH(Tabelle9[[#This Row],[Rank]],Stammdaten[Rank Verteilung Abholzigkeit],0))</f>
        <v>#N/A</v>
      </c>
      <c r="N4384" t="e">
        <f>VLOOKUP(Tabelle9[[#This Row],[Rank]],Stammdaten[[Rank Verteilung Abholzigkeit]:[Verteilung Abholzigkeit]],2,FALSE)</f>
        <v>#N/A</v>
      </c>
      <c r="S4384">
        <v>4375</v>
      </c>
      <c r="T4384" t="e">
        <f>INDEX(Stammdaten[Krümmung (mm/lfm)],MATCH(Tabelle10[[#This Row],[Rank]],Stammdaten[Rank Verteilung Krümmung],0))</f>
        <v>#N/A</v>
      </c>
      <c r="U4384" t="e">
        <f>VLOOKUP(Tabelle10[[#This Row],[Rank]],Stammdaten[[Rank Verteilung Krümmung]:[Verteilung Krümmung]],2,FALSE)</f>
        <v>#N/A</v>
      </c>
      <c r="Z4384">
        <v>4375</v>
      </c>
      <c r="AA4384" t="e">
        <f>INDEX(Stammdaten[Ovalität (']0,1'])],MATCH(Tabelle1014[[#This Row],[Rank]],Stammdaten[Rank Verteilung Ovalität],0))</f>
        <v>#N/A</v>
      </c>
      <c r="AB4384" t="e">
        <f>VLOOKUP(Tabelle1014[[#This Row],[Rank]],Stammdaten[[Rank Verteilung Ovalität]:[Verteilung Ovalität]],2,FALSE)</f>
        <v>#N/A</v>
      </c>
    </row>
    <row r="4385" spans="5:28" x14ac:dyDescent="0.35">
      <c r="E4385">
        <v>4376</v>
      </c>
      <c r="F4385" t="e">
        <f>INDEX(Stammdaten[D Mitte mit Rinde (mm)],MATCH(Tabelle8[[#This Row],[Rank]],Stammdaten[Rank Verteilung D Mitte mit Rinde],0))</f>
        <v>#N/A</v>
      </c>
      <c r="G4385" t="e">
        <f>VLOOKUP(Tabelle8[[#This Row],[Rank]],Stammdaten[[Rank Verteilung D Mitte mit Rinde]:[Verteilung D Mitte mit Rinde]],2,FALSE)</f>
        <v>#N/A</v>
      </c>
      <c r="L4385">
        <v>4376</v>
      </c>
      <c r="M4385" t="e">
        <f>INDEX(Stammdaten[Abholzigkeit (mm/lfm)],MATCH(Tabelle9[[#This Row],[Rank]],Stammdaten[Rank Verteilung Abholzigkeit],0))</f>
        <v>#N/A</v>
      </c>
      <c r="N4385" t="e">
        <f>VLOOKUP(Tabelle9[[#This Row],[Rank]],Stammdaten[[Rank Verteilung Abholzigkeit]:[Verteilung Abholzigkeit]],2,FALSE)</f>
        <v>#N/A</v>
      </c>
      <c r="S4385">
        <v>4376</v>
      </c>
      <c r="T4385" t="e">
        <f>INDEX(Stammdaten[Krümmung (mm/lfm)],MATCH(Tabelle10[[#This Row],[Rank]],Stammdaten[Rank Verteilung Krümmung],0))</f>
        <v>#N/A</v>
      </c>
      <c r="U4385" t="e">
        <f>VLOOKUP(Tabelle10[[#This Row],[Rank]],Stammdaten[[Rank Verteilung Krümmung]:[Verteilung Krümmung]],2,FALSE)</f>
        <v>#N/A</v>
      </c>
      <c r="Z4385">
        <v>4376</v>
      </c>
      <c r="AA4385" t="e">
        <f>INDEX(Stammdaten[Ovalität (']0,1'])],MATCH(Tabelle1014[[#This Row],[Rank]],Stammdaten[Rank Verteilung Ovalität],0))</f>
        <v>#N/A</v>
      </c>
      <c r="AB4385" t="e">
        <f>VLOOKUP(Tabelle1014[[#This Row],[Rank]],Stammdaten[[Rank Verteilung Ovalität]:[Verteilung Ovalität]],2,FALSE)</f>
        <v>#N/A</v>
      </c>
    </row>
    <row r="4386" spans="5:28" x14ac:dyDescent="0.35">
      <c r="E4386">
        <v>4377</v>
      </c>
      <c r="F4386" t="e">
        <f>INDEX(Stammdaten[D Mitte mit Rinde (mm)],MATCH(Tabelle8[[#This Row],[Rank]],Stammdaten[Rank Verteilung D Mitte mit Rinde],0))</f>
        <v>#N/A</v>
      </c>
      <c r="G4386" t="e">
        <f>VLOOKUP(Tabelle8[[#This Row],[Rank]],Stammdaten[[Rank Verteilung D Mitte mit Rinde]:[Verteilung D Mitte mit Rinde]],2,FALSE)</f>
        <v>#N/A</v>
      </c>
      <c r="L4386">
        <v>4377</v>
      </c>
      <c r="M4386" t="e">
        <f>INDEX(Stammdaten[Abholzigkeit (mm/lfm)],MATCH(Tabelle9[[#This Row],[Rank]],Stammdaten[Rank Verteilung Abholzigkeit],0))</f>
        <v>#N/A</v>
      </c>
      <c r="N4386" t="e">
        <f>VLOOKUP(Tabelle9[[#This Row],[Rank]],Stammdaten[[Rank Verteilung Abholzigkeit]:[Verteilung Abholzigkeit]],2,FALSE)</f>
        <v>#N/A</v>
      </c>
      <c r="S4386">
        <v>4377</v>
      </c>
      <c r="T4386" t="e">
        <f>INDEX(Stammdaten[Krümmung (mm/lfm)],MATCH(Tabelle10[[#This Row],[Rank]],Stammdaten[Rank Verteilung Krümmung],0))</f>
        <v>#N/A</v>
      </c>
      <c r="U4386" t="e">
        <f>VLOOKUP(Tabelle10[[#This Row],[Rank]],Stammdaten[[Rank Verteilung Krümmung]:[Verteilung Krümmung]],2,FALSE)</f>
        <v>#N/A</v>
      </c>
      <c r="Z4386">
        <v>4377</v>
      </c>
      <c r="AA4386" t="e">
        <f>INDEX(Stammdaten[Ovalität (']0,1'])],MATCH(Tabelle1014[[#This Row],[Rank]],Stammdaten[Rank Verteilung Ovalität],0))</f>
        <v>#N/A</v>
      </c>
      <c r="AB4386" t="e">
        <f>VLOOKUP(Tabelle1014[[#This Row],[Rank]],Stammdaten[[Rank Verteilung Ovalität]:[Verteilung Ovalität]],2,FALSE)</f>
        <v>#N/A</v>
      </c>
    </row>
    <row r="4387" spans="5:28" x14ac:dyDescent="0.35">
      <c r="E4387">
        <v>4378</v>
      </c>
      <c r="F4387" t="e">
        <f>INDEX(Stammdaten[D Mitte mit Rinde (mm)],MATCH(Tabelle8[[#This Row],[Rank]],Stammdaten[Rank Verteilung D Mitte mit Rinde],0))</f>
        <v>#N/A</v>
      </c>
      <c r="G4387" t="e">
        <f>VLOOKUP(Tabelle8[[#This Row],[Rank]],Stammdaten[[Rank Verteilung D Mitte mit Rinde]:[Verteilung D Mitte mit Rinde]],2,FALSE)</f>
        <v>#N/A</v>
      </c>
      <c r="L4387">
        <v>4378</v>
      </c>
      <c r="M4387" t="e">
        <f>INDEX(Stammdaten[Abholzigkeit (mm/lfm)],MATCH(Tabelle9[[#This Row],[Rank]],Stammdaten[Rank Verteilung Abholzigkeit],0))</f>
        <v>#N/A</v>
      </c>
      <c r="N4387" t="e">
        <f>VLOOKUP(Tabelle9[[#This Row],[Rank]],Stammdaten[[Rank Verteilung Abholzigkeit]:[Verteilung Abholzigkeit]],2,FALSE)</f>
        <v>#N/A</v>
      </c>
      <c r="S4387">
        <v>4378</v>
      </c>
      <c r="T4387" t="e">
        <f>INDEX(Stammdaten[Krümmung (mm/lfm)],MATCH(Tabelle10[[#This Row],[Rank]],Stammdaten[Rank Verteilung Krümmung],0))</f>
        <v>#N/A</v>
      </c>
      <c r="U4387" t="e">
        <f>VLOOKUP(Tabelle10[[#This Row],[Rank]],Stammdaten[[Rank Verteilung Krümmung]:[Verteilung Krümmung]],2,FALSE)</f>
        <v>#N/A</v>
      </c>
      <c r="Z4387">
        <v>4378</v>
      </c>
      <c r="AA4387" t="e">
        <f>INDEX(Stammdaten[Ovalität (']0,1'])],MATCH(Tabelle1014[[#This Row],[Rank]],Stammdaten[Rank Verteilung Ovalität],0))</f>
        <v>#N/A</v>
      </c>
      <c r="AB4387" t="e">
        <f>VLOOKUP(Tabelle1014[[#This Row],[Rank]],Stammdaten[[Rank Verteilung Ovalität]:[Verteilung Ovalität]],2,FALSE)</f>
        <v>#N/A</v>
      </c>
    </row>
    <row r="4388" spans="5:28" x14ac:dyDescent="0.35">
      <c r="E4388">
        <v>4379</v>
      </c>
      <c r="F4388" t="e">
        <f>INDEX(Stammdaten[D Mitte mit Rinde (mm)],MATCH(Tabelle8[[#This Row],[Rank]],Stammdaten[Rank Verteilung D Mitte mit Rinde],0))</f>
        <v>#N/A</v>
      </c>
      <c r="G4388" t="e">
        <f>VLOOKUP(Tabelle8[[#This Row],[Rank]],Stammdaten[[Rank Verteilung D Mitte mit Rinde]:[Verteilung D Mitte mit Rinde]],2,FALSE)</f>
        <v>#N/A</v>
      </c>
      <c r="L4388">
        <v>4379</v>
      </c>
      <c r="M4388" t="e">
        <f>INDEX(Stammdaten[Abholzigkeit (mm/lfm)],MATCH(Tabelle9[[#This Row],[Rank]],Stammdaten[Rank Verteilung Abholzigkeit],0))</f>
        <v>#N/A</v>
      </c>
      <c r="N4388" t="e">
        <f>VLOOKUP(Tabelle9[[#This Row],[Rank]],Stammdaten[[Rank Verteilung Abholzigkeit]:[Verteilung Abholzigkeit]],2,FALSE)</f>
        <v>#N/A</v>
      </c>
      <c r="S4388">
        <v>4379</v>
      </c>
      <c r="T4388" t="e">
        <f>INDEX(Stammdaten[Krümmung (mm/lfm)],MATCH(Tabelle10[[#This Row],[Rank]],Stammdaten[Rank Verteilung Krümmung],0))</f>
        <v>#N/A</v>
      </c>
      <c r="U4388" t="e">
        <f>VLOOKUP(Tabelle10[[#This Row],[Rank]],Stammdaten[[Rank Verteilung Krümmung]:[Verteilung Krümmung]],2,FALSE)</f>
        <v>#N/A</v>
      </c>
      <c r="Z4388">
        <v>4379</v>
      </c>
      <c r="AA4388" t="e">
        <f>INDEX(Stammdaten[Ovalität (']0,1'])],MATCH(Tabelle1014[[#This Row],[Rank]],Stammdaten[Rank Verteilung Ovalität],0))</f>
        <v>#N/A</v>
      </c>
      <c r="AB4388" t="e">
        <f>VLOOKUP(Tabelle1014[[#This Row],[Rank]],Stammdaten[[Rank Verteilung Ovalität]:[Verteilung Ovalität]],2,FALSE)</f>
        <v>#N/A</v>
      </c>
    </row>
    <row r="4389" spans="5:28" x14ac:dyDescent="0.35">
      <c r="E4389">
        <v>4380</v>
      </c>
      <c r="F4389" t="e">
        <f>INDEX(Stammdaten[D Mitte mit Rinde (mm)],MATCH(Tabelle8[[#This Row],[Rank]],Stammdaten[Rank Verteilung D Mitte mit Rinde],0))</f>
        <v>#N/A</v>
      </c>
      <c r="G4389" t="e">
        <f>VLOOKUP(Tabelle8[[#This Row],[Rank]],Stammdaten[[Rank Verteilung D Mitte mit Rinde]:[Verteilung D Mitte mit Rinde]],2,FALSE)</f>
        <v>#N/A</v>
      </c>
      <c r="L4389">
        <v>4380</v>
      </c>
      <c r="M4389" t="e">
        <f>INDEX(Stammdaten[Abholzigkeit (mm/lfm)],MATCH(Tabelle9[[#This Row],[Rank]],Stammdaten[Rank Verteilung Abholzigkeit],0))</f>
        <v>#N/A</v>
      </c>
      <c r="N4389" t="e">
        <f>VLOOKUP(Tabelle9[[#This Row],[Rank]],Stammdaten[[Rank Verteilung Abholzigkeit]:[Verteilung Abholzigkeit]],2,FALSE)</f>
        <v>#N/A</v>
      </c>
      <c r="S4389">
        <v>4380</v>
      </c>
      <c r="T4389" t="e">
        <f>INDEX(Stammdaten[Krümmung (mm/lfm)],MATCH(Tabelle10[[#This Row],[Rank]],Stammdaten[Rank Verteilung Krümmung],0))</f>
        <v>#N/A</v>
      </c>
      <c r="U4389" t="e">
        <f>VLOOKUP(Tabelle10[[#This Row],[Rank]],Stammdaten[[Rank Verteilung Krümmung]:[Verteilung Krümmung]],2,FALSE)</f>
        <v>#N/A</v>
      </c>
      <c r="Z4389">
        <v>4380</v>
      </c>
      <c r="AA4389" t="e">
        <f>INDEX(Stammdaten[Ovalität (']0,1'])],MATCH(Tabelle1014[[#This Row],[Rank]],Stammdaten[Rank Verteilung Ovalität],0))</f>
        <v>#N/A</v>
      </c>
      <c r="AB4389" t="e">
        <f>VLOOKUP(Tabelle1014[[#This Row],[Rank]],Stammdaten[[Rank Verteilung Ovalität]:[Verteilung Ovalität]],2,FALSE)</f>
        <v>#N/A</v>
      </c>
    </row>
    <row r="4390" spans="5:28" x14ac:dyDescent="0.35">
      <c r="E4390">
        <v>4381</v>
      </c>
      <c r="F4390" t="e">
        <f>INDEX(Stammdaten[D Mitte mit Rinde (mm)],MATCH(Tabelle8[[#This Row],[Rank]],Stammdaten[Rank Verteilung D Mitte mit Rinde],0))</f>
        <v>#N/A</v>
      </c>
      <c r="G4390" t="e">
        <f>VLOOKUP(Tabelle8[[#This Row],[Rank]],Stammdaten[[Rank Verteilung D Mitte mit Rinde]:[Verteilung D Mitte mit Rinde]],2,FALSE)</f>
        <v>#N/A</v>
      </c>
      <c r="L4390">
        <v>4381</v>
      </c>
      <c r="M4390" t="e">
        <f>INDEX(Stammdaten[Abholzigkeit (mm/lfm)],MATCH(Tabelle9[[#This Row],[Rank]],Stammdaten[Rank Verteilung Abholzigkeit],0))</f>
        <v>#N/A</v>
      </c>
      <c r="N4390" t="e">
        <f>VLOOKUP(Tabelle9[[#This Row],[Rank]],Stammdaten[[Rank Verteilung Abholzigkeit]:[Verteilung Abholzigkeit]],2,FALSE)</f>
        <v>#N/A</v>
      </c>
      <c r="S4390">
        <v>4381</v>
      </c>
      <c r="T4390" t="e">
        <f>INDEX(Stammdaten[Krümmung (mm/lfm)],MATCH(Tabelle10[[#This Row],[Rank]],Stammdaten[Rank Verteilung Krümmung],0))</f>
        <v>#N/A</v>
      </c>
      <c r="U4390" t="e">
        <f>VLOOKUP(Tabelle10[[#This Row],[Rank]],Stammdaten[[Rank Verteilung Krümmung]:[Verteilung Krümmung]],2,FALSE)</f>
        <v>#N/A</v>
      </c>
      <c r="Z4390">
        <v>4381</v>
      </c>
      <c r="AA4390" t="e">
        <f>INDEX(Stammdaten[Ovalität (']0,1'])],MATCH(Tabelle1014[[#This Row],[Rank]],Stammdaten[Rank Verteilung Ovalität],0))</f>
        <v>#N/A</v>
      </c>
      <c r="AB4390" t="e">
        <f>VLOOKUP(Tabelle1014[[#This Row],[Rank]],Stammdaten[[Rank Verteilung Ovalität]:[Verteilung Ovalität]],2,FALSE)</f>
        <v>#N/A</v>
      </c>
    </row>
    <row r="4391" spans="5:28" x14ac:dyDescent="0.35">
      <c r="E4391">
        <v>4382</v>
      </c>
      <c r="F4391" t="e">
        <f>INDEX(Stammdaten[D Mitte mit Rinde (mm)],MATCH(Tabelle8[[#This Row],[Rank]],Stammdaten[Rank Verteilung D Mitte mit Rinde],0))</f>
        <v>#N/A</v>
      </c>
      <c r="G4391" t="e">
        <f>VLOOKUP(Tabelle8[[#This Row],[Rank]],Stammdaten[[Rank Verteilung D Mitte mit Rinde]:[Verteilung D Mitte mit Rinde]],2,FALSE)</f>
        <v>#N/A</v>
      </c>
      <c r="L4391">
        <v>4382</v>
      </c>
      <c r="M4391" t="e">
        <f>INDEX(Stammdaten[Abholzigkeit (mm/lfm)],MATCH(Tabelle9[[#This Row],[Rank]],Stammdaten[Rank Verteilung Abholzigkeit],0))</f>
        <v>#N/A</v>
      </c>
      <c r="N4391" t="e">
        <f>VLOOKUP(Tabelle9[[#This Row],[Rank]],Stammdaten[[Rank Verteilung Abholzigkeit]:[Verteilung Abholzigkeit]],2,FALSE)</f>
        <v>#N/A</v>
      </c>
      <c r="S4391">
        <v>4382</v>
      </c>
      <c r="T4391" t="e">
        <f>INDEX(Stammdaten[Krümmung (mm/lfm)],MATCH(Tabelle10[[#This Row],[Rank]],Stammdaten[Rank Verteilung Krümmung],0))</f>
        <v>#N/A</v>
      </c>
      <c r="U4391" t="e">
        <f>VLOOKUP(Tabelle10[[#This Row],[Rank]],Stammdaten[[Rank Verteilung Krümmung]:[Verteilung Krümmung]],2,FALSE)</f>
        <v>#N/A</v>
      </c>
      <c r="Z4391">
        <v>4382</v>
      </c>
      <c r="AA4391" t="e">
        <f>INDEX(Stammdaten[Ovalität (']0,1'])],MATCH(Tabelle1014[[#This Row],[Rank]],Stammdaten[Rank Verteilung Ovalität],0))</f>
        <v>#N/A</v>
      </c>
      <c r="AB4391" t="e">
        <f>VLOOKUP(Tabelle1014[[#This Row],[Rank]],Stammdaten[[Rank Verteilung Ovalität]:[Verteilung Ovalität]],2,FALSE)</f>
        <v>#N/A</v>
      </c>
    </row>
    <row r="4392" spans="5:28" x14ac:dyDescent="0.35">
      <c r="E4392">
        <v>4383</v>
      </c>
      <c r="F4392" t="e">
        <f>INDEX(Stammdaten[D Mitte mit Rinde (mm)],MATCH(Tabelle8[[#This Row],[Rank]],Stammdaten[Rank Verteilung D Mitte mit Rinde],0))</f>
        <v>#N/A</v>
      </c>
      <c r="G4392" t="e">
        <f>VLOOKUP(Tabelle8[[#This Row],[Rank]],Stammdaten[[Rank Verteilung D Mitte mit Rinde]:[Verteilung D Mitte mit Rinde]],2,FALSE)</f>
        <v>#N/A</v>
      </c>
      <c r="L4392">
        <v>4383</v>
      </c>
      <c r="M4392" t="e">
        <f>INDEX(Stammdaten[Abholzigkeit (mm/lfm)],MATCH(Tabelle9[[#This Row],[Rank]],Stammdaten[Rank Verteilung Abholzigkeit],0))</f>
        <v>#N/A</v>
      </c>
      <c r="N4392" t="e">
        <f>VLOOKUP(Tabelle9[[#This Row],[Rank]],Stammdaten[[Rank Verteilung Abholzigkeit]:[Verteilung Abholzigkeit]],2,FALSE)</f>
        <v>#N/A</v>
      </c>
      <c r="S4392">
        <v>4383</v>
      </c>
      <c r="T4392" t="e">
        <f>INDEX(Stammdaten[Krümmung (mm/lfm)],MATCH(Tabelle10[[#This Row],[Rank]],Stammdaten[Rank Verteilung Krümmung],0))</f>
        <v>#N/A</v>
      </c>
      <c r="U4392" t="e">
        <f>VLOOKUP(Tabelle10[[#This Row],[Rank]],Stammdaten[[Rank Verteilung Krümmung]:[Verteilung Krümmung]],2,FALSE)</f>
        <v>#N/A</v>
      </c>
      <c r="Z4392">
        <v>4383</v>
      </c>
      <c r="AA4392" t="e">
        <f>INDEX(Stammdaten[Ovalität (']0,1'])],MATCH(Tabelle1014[[#This Row],[Rank]],Stammdaten[Rank Verteilung Ovalität],0))</f>
        <v>#N/A</v>
      </c>
      <c r="AB4392" t="e">
        <f>VLOOKUP(Tabelle1014[[#This Row],[Rank]],Stammdaten[[Rank Verteilung Ovalität]:[Verteilung Ovalität]],2,FALSE)</f>
        <v>#N/A</v>
      </c>
    </row>
    <row r="4393" spans="5:28" x14ac:dyDescent="0.35">
      <c r="E4393">
        <v>4384</v>
      </c>
      <c r="F4393" t="e">
        <f>INDEX(Stammdaten[D Mitte mit Rinde (mm)],MATCH(Tabelle8[[#This Row],[Rank]],Stammdaten[Rank Verteilung D Mitte mit Rinde],0))</f>
        <v>#N/A</v>
      </c>
      <c r="G4393" t="e">
        <f>VLOOKUP(Tabelle8[[#This Row],[Rank]],Stammdaten[[Rank Verteilung D Mitte mit Rinde]:[Verteilung D Mitte mit Rinde]],2,FALSE)</f>
        <v>#N/A</v>
      </c>
      <c r="L4393">
        <v>4384</v>
      </c>
      <c r="M4393" t="e">
        <f>INDEX(Stammdaten[Abholzigkeit (mm/lfm)],MATCH(Tabelle9[[#This Row],[Rank]],Stammdaten[Rank Verteilung Abholzigkeit],0))</f>
        <v>#N/A</v>
      </c>
      <c r="N4393" t="e">
        <f>VLOOKUP(Tabelle9[[#This Row],[Rank]],Stammdaten[[Rank Verteilung Abholzigkeit]:[Verteilung Abholzigkeit]],2,FALSE)</f>
        <v>#N/A</v>
      </c>
      <c r="S4393">
        <v>4384</v>
      </c>
      <c r="T4393" t="e">
        <f>INDEX(Stammdaten[Krümmung (mm/lfm)],MATCH(Tabelle10[[#This Row],[Rank]],Stammdaten[Rank Verteilung Krümmung],0))</f>
        <v>#N/A</v>
      </c>
      <c r="U4393" t="e">
        <f>VLOOKUP(Tabelle10[[#This Row],[Rank]],Stammdaten[[Rank Verteilung Krümmung]:[Verteilung Krümmung]],2,FALSE)</f>
        <v>#N/A</v>
      </c>
      <c r="Z4393">
        <v>4384</v>
      </c>
      <c r="AA4393" t="e">
        <f>INDEX(Stammdaten[Ovalität (']0,1'])],MATCH(Tabelle1014[[#This Row],[Rank]],Stammdaten[Rank Verteilung Ovalität],0))</f>
        <v>#N/A</v>
      </c>
      <c r="AB4393" t="e">
        <f>VLOOKUP(Tabelle1014[[#This Row],[Rank]],Stammdaten[[Rank Verteilung Ovalität]:[Verteilung Ovalität]],2,FALSE)</f>
        <v>#N/A</v>
      </c>
    </row>
    <row r="4394" spans="5:28" x14ac:dyDescent="0.35">
      <c r="E4394">
        <v>4385</v>
      </c>
      <c r="F4394" t="e">
        <f>INDEX(Stammdaten[D Mitte mit Rinde (mm)],MATCH(Tabelle8[[#This Row],[Rank]],Stammdaten[Rank Verteilung D Mitte mit Rinde],0))</f>
        <v>#N/A</v>
      </c>
      <c r="G4394" t="e">
        <f>VLOOKUP(Tabelle8[[#This Row],[Rank]],Stammdaten[[Rank Verteilung D Mitte mit Rinde]:[Verteilung D Mitte mit Rinde]],2,FALSE)</f>
        <v>#N/A</v>
      </c>
      <c r="L4394">
        <v>4385</v>
      </c>
      <c r="M4394" t="e">
        <f>INDEX(Stammdaten[Abholzigkeit (mm/lfm)],MATCH(Tabelle9[[#This Row],[Rank]],Stammdaten[Rank Verteilung Abholzigkeit],0))</f>
        <v>#N/A</v>
      </c>
      <c r="N4394" t="e">
        <f>VLOOKUP(Tabelle9[[#This Row],[Rank]],Stammdaten[[Rank Verteilung Abholzigkeit]:[Verteilung Abholzigkeit]],2,FALSE)</f>
        <v>#N/A</v>
      </c>
      <c r="S4394">
        <v>4385</v>
      </c>
      <c r="T4394" t="e">
        <f>INDEX(Stammdaten[Krümmung (mm/lfm)],MATCH(Tabelle10[[#This Row],[Rank]],Stammdaten[Rank Verteilung Krümmung],0))</f>
        <v>#N/A</v>
      </c>
      <c r="U4394" t="e">
        <f>VLOOKUP(Tabelle10[[#This Row],[Rank]],Stammdaten[[Rank Verteilung Krümmung]:[Verteilung Krümmung]],2,FALSE)</f>
        <v>#N/A</v>
      </c>
      <c r="Z4394">
        <v>4385</v>
      </c>
      <c r="AA4394" t="e">
        <f>INDEX(Stammdaten[Ovalität (']0,1'])],MATCH(Tabelle1014[[#This Row],[Rank]],Stammdaten[Rank Verteilung Ovalität],0))</f>
        <v>#N/A</v>
      </c>
      <c r="AB4394" t="e">
        <f>VLOOKUP(Tabelle1014[[#This Row],[Rank]],Stammdaten[[Rank Verteilung Ovalität]:[Verteilung Ovalität]],2,FALSE)</f>
        <v>#N/A</v>
      </c>
    </row>
    <row r="4395" spans="5:28" x14ac:dyDescent="0.35">
      <c r="E4395">
        <v>4386</v>
      </c>
      <c r="F4395" t="e">
        <f>INDEX(Stammdaten[D Mitte mit Rinde (mm)],MATCH(Tabelle8[[#This Row],[Rank]],Stammdaten[Rank Verteilung D Mitte mit Rinde],0))</f>
        <v>#N/A</v>
      </c>
      <c r="G4395" t="e">
        <f>VLOOKUP(Tabelle8[[#This Row],[Rank]],Stammdaten[[Rank Verteilung D Mitte mit Rinde]:[Verteilung D Mitte mit Rinde]],2,FALSE)</f>
        <v>#N/A</v>
      </c>
      <c r="L4395">
        <v>4386</v>
      </c>
      <c r="M4395" t="e">
        <f>INDEX(Stammdaten[Abholzigkeit (mm/lfm)],MATCH(Tabelle9[[#This Row],[Rank]],Stammdaten[Rank Verteilung Abholzigkeit],0))</f>
        <v>#N/A</v>
      </c>
      <c r="N4395" t="e">
        <f>VLOOKUP(Tabelle9[[#This Row],[Rank]],Stammdaten[[Rank Verteilung Abholzigkeit]:[Verteilung Abholzigkeit]],2,FALSE)</f>
        <v>#N/A</v>
      </c>
      <c r="S4395">
        <v>4386</v>
      </c>
      <c r="T4395" t="e">
        <f>INDEX(Stammdaten[Krümmung (mm/lfm)],MATCH(Tabelle10[[#This Row],[Rank]],Stammdaten[Rank Verteilung Krümmung],0))</f>
        <v>#N/A</v>
      </c>
      <c r="U4395" t="e">
        <f>VLOOKUP(Tabelle10[[#This Row],[Rank]],Stammdaten[[Rank Verteilung Krümmung]:[Verteilung Krümmung]],2,FALSE)</f>
        <v>#N/A</v>
      </c>
      <c r="Z4395">
        <v>4386</v>
      </c>
      <c r="AA4395" t="e">
        <f>INDEX(Stammdaten[Ovalität (']0,1'])],MATCH(Tabelle1014[[#This Row],[Rank]],Stammdaten[Rank Verteilung Ovalität],0))</f>
        <v>#N/A</v>
      </c>
      <c r="AB4395" t="e">
        <f>VLOOKUP(Tabelle1014[[#This Row],[Rank]],Stammdaten[[Rank Verteilung Ovalität]:[Verteilung Ovalität]],2,FALSE)</f>
        <v>#N/A</v>
      </c>
    </row>
    <row r="4396" spans="5:28" x14ac:dyDescent="0.35">
      <c r="E4396">
        <v>4387</v>
      </c>
      <c r="F4396" t="e">
        <f>INDEX(Stammdaten[D Mitte mit Rinde (mm)],MATCH(Tabelle8[[#This Row],[Rank]],Stammdaten[Rank Verteilung D Mitte mit Rinde],0))</f>
        <v>#N/A</v>
      </c>
      <c r="G4396" t="e">
        <f>VLOOKUP(Tabelle8[[#This Row],[Rank]],Stammdaten[[Rank Verteilung D Mitte mit Rinde]:[Verteilung D Mitte mit Rinde]],2,FALSE)</f>
        <v>#N/A</v>
      </c>
      <c r="L4396">
        <v>4387</v>
      </c>
      <c r="M4396" t="e">
        <f>INDEX(Stammdaten[Abholzigkeit (mm/lfm)],MATCH(Tabelle9[[#This Row],[Rank]],Stammdaten[Rank Verteilung Abholzigkeit],0))</f>
        <v>#N/A</v>
      </c>
      <c r="N4396" t="e">
        <f>VLOOKUP(Tabelle9[[#This Row],[Rank]],Stammdaten[[Rank Verteilung Abholzigkeit]:[Verteilung Abholzigkeit]],2,FALSE)</f>
        <v>#N/A</v>
      </c>
      <c r="S4396">
        <v>4387</v>
      </c>
      <c r="T4396" t="e">
        <f>INDEX(Stammdaten[Krümmung (mm/lfm)],MATCH(Tabelle10[[#This Row],[Rank]],Stammdaten[Rank Verteilung Krümmung],0))</f>
        <v>#N/A</v>
      </c>
      <c r="U4396" t="e">
        <f>VLOOKUP(Tabelle10[[#This Row],[Rank]],Stammdaten[[Rank Verteilung Krümmung]:[Verteilung Krümmung]],2,FALSE)</f>
        <v>#N/A</v>
      </c>
      <c r="Z4396">
        <v>4387</v>
      </c>
      <c r="AA4396" t="e">
        <f>INDEX(Stammdaten[Ovalität (']0,1'])],MATCH(Tabelle1014[[#This Row],[Rank]],Stammdaten[Rank Verteilung Ovalität],0))</f>
        <v>#N/A</v>
      </c>
      <c r="AB4396" t="e">
        <f>VLOOKUP(Tabelle1014[[#This Row],[Rank]],Stammdaten[[Rank Verteilung Ovalität]:[Verteilung Ovalität]],2,FALSE)</f>
        <v>#N/A</v>
      </c>
    </row>
    <row r="4397" spans="5:28" x14ac:dyDescent="0.35">
      <c r="E4397">
        <v>4388</v>
      </c>
      <c r="F4397" t="e">
        <f>INDEX(Stammdaten[D Mitte mit Rinde (mm)],MATCH(Tabelle8[[#This Row],[Rank]],Stammdaten[Rank Verteilung D Mitte mit Rinde],0))</f>
        <v>#N/A</v>
      </c>
      <c r="G4397" t="e">
        <f>VLOOKUP(Tabelle8[[#This Row],[Rank]],Stammdaten[[Rank Verteilung D Mitte mit Rinde]:[Verteilung D Mitte mit Rinde]],2,FALSE)</f>
        <v>#N/A</v>
      </c>
      <c r="L4397">
        <v>4388</v>
      </c>
      <c r="M4397" t="e">
        <f>INDEX(Stammdaten[Abholzigkeit (mm/lfm)],MATCH(Tabelle9[[#This Row],[Rank]],Stammdaten[Rank Verteilung Abholzigkeit],0))</f>
        <v>#N/A</v>
      </c>
      <c r="N4397" t="e">
        <f>VLOOKUP(Tabelle9[[#This Row],[Rank]],Stammdaten[[Rank Verteilung Abholzigkeit]:[Verteilung Abholzigkeit]],2,FALSE)</f>
        <v>#N/A</v>
      </c>
      <c r="S4397">
        <v>4388</v>
      </c>
      <c r="T4397" t="e">
        <f>INDEX(Stammdaten[Krümmung (mm/lfm)],MATCH(Tabelle10[[#This Row],[Rank]],Stammdaten[Rank Verteilung Krümmung],0))</f>
        <v>#N/A</v>
      </c>
      <c r="U4397" t="e">
        <f>VLOOKUP(Tabelle10[[#This Row],[Rank]],Stammdaten[[Rank Verteilung Krümmung]:[Verteilung Krümmung]],2,FALSE)</f>
        <v>#N/A</v>
      </c>
      <c r="Z4397">
        <v>4388</v>
      </c>
      <c r="AA4397" t="e">
        <f>INDEX(Stammdaten[Ovalität (']0,1'])],MATCH(Tabelle1014[[#This Row],[Rank]],Stammdaten[Rank Verteilung Ovalität],0))</f>
        <v>#N/A</v>
      </c>
      <c r="AB4397" t="e">
        <f>VLOOKUP(Tabelle1014[[#This Row],[Rank]],Stammdaten[[Rank Verteilung Ovalität]:[Verteilung Ovalität]],2,FALSE)</f>
        <v>#N/A</v>
      </c>
    </row>
    <row r="4398" spans="5:28" x14ac:dyDescent="0.35">
      <c r="E4398">
        <v>4389</v>
      </c>
      <c r="F4398" t="e">
        <f>INDEX(Stammdaten[D Mitte mit Rinde (mm)],MATCH(Tabelle8[[#This Row],[Rank]],Stammdaten[Rank Verteilung D Mitte mit Rinde],0))</f>
        <v>#N/A</v>
      </c>
      <c r="G4398" t="e">
        <f>VLOOKUP(Tabelle8[[#This Row],[Rank]],Stammdaten[[Rank Verteilung D Mitte mit Rinde]:[Verteilung D Mitte mit Rinde]],2,FALSE)</f>
        <v>#N/A</v>
      </c>
      <c r="L4398">
        <v>4389</v>
      </c>
      <c r="M4398" t="e">
        <f>INDEX(Stammdaten[Abholzigkeit (mm/lfm)],MATCH(Tabelle9[[#This Row],[Rank]],Stammdaten[Rank Verteilung Abholzigkeit],0))</f>
        <v>#N/A</v>
      </c>
      <c r="N4398" t="e">
        <f>VLOOKUP(Tabelle9[[#This Row],[Rank]],Stammdaten[[Rank Verteilung Abholzigkeit]:[Verteilung Abholzigkeit]],2,FALSE)</f>
        <v>#N/A</v>
      </c>
      <c r="S4398">
        <v>4389</v>
      </c>
      <c r="T4398" t="e">
        <f>INDEX(Stammdaten[Krümmung (mm/lfm)],MATCH(Tabelle10[[#This Row],[Rank]],Stammdaten[Rank Verteilung Krümmung],0))</f>
        <v>#N/A</v>
      </c>
      <c r="U4398" t="e">
        <f>VLOOKUP(Tabelle10[[#This Row],[Rank]],Stammdaten[[Rank Verteilung Krümmung]:[Verteilung Krümmung]],2,FALSE)</f>
        <v>#N/A</v>
      </c>
      <c r="Z4398">
        <v>4389</v>
      </c>
      <c r="AA4398" t="e">
        <f>INDEX(Stammdaten[Ovalität (']0,1'])],MATCH(Tabelle1014[[#This Row],[Rank]],Stammdaten[Rank Verteilung Ovalität],0))</f>
        <v>#N/A</v>
      </c>
      <c r="AB4398" t="e">
        <f>VLOOKUP(Tabelle1014[[#This Row],[Rank]],Stammdaten[[Rank Verteilung Ovalität]:[Verteilung Ovalität]],2,FALSE)</f>
        <v>#N/A</v>
      </c>
    </row>
    <row r="4399" spans="5:28" x14ac:dyDescent="0.35">
      <c r="E4399">
        <v>4390</v>
      </c>
      <c r="F4399" t="e">
        <f>INDEX(Stammdaten[D Mitte mit Rinde (mm)],MATCH(Tabelle8[[#This Row],[Rank]],Stammdaten[Rank Verteilung D Mitte mit Rinde],0))</f>
        <v>#N/A</v>
      </c>
      <c r="G4399" t="e">
        <f>VLOOKUP(Tabelle8[[#This Row],[Rank]],Stammdaten[[Rank Verteilung D Mitte mit Rinde]:[Verteilung D Mitte mit Rinde]],2,FALSE)</f>
        <v>#N/A</v>
      </c>
      <c r="L4399">
        <v>4390</v>
      </c>
      <c r="M4399" t="e">
        <f>INDEX(Stammdaten[Abholzigkeit (mm/lfm)],MATCH(Tabelle9[[#This Row],[Rank]],Stammdaten[Rank Verteilung Abholzigkeit],0))</f>
        <v>#N/A</v>
      </c>
      <c r="N4399" t="e">
        <f>VLOOKUP(Tabelle9[[#This Row],[Rank]],Stammdaten[[Rank Verteilung Abholzigkeit]:[Verteilung Abholzigkeit]],2,FALSE)</f>
        <v>#N/A</v>
      </c>
      <c r="S4399">
        <v>4390</v>
      </c>
      <c r="T4399" t="e">
        <f>INDEX(Stammdaten[Krümmung (mm/lfm)],MATCH(Tabelle10[[#This Row],[Rank]],Stammdaten[Rank Verteilung Krümmung],0))</f>
        <v>#N/A</v>
      </c>
      <c r="U4399" t="e">
        <f>VLOOKUP(Tabelle10[[#This Row],[Rank]],Stammdaten[[Rank Verteilung Krümmung]:[Verteilung Krümmung]],2,FALSE)</f>
        <v>#N/A</v>
      </c>
      <c r="Z4399">
        <v>4390</v>
      </c>
      <c r="AA4399" t="e">
        <f>INDEX(Stammdaten[Ovalität (']0,1'])],MATCH(Tabelle1014[[#This Row],[Rank]],Stammdaten[Rank Verteilung Ovalität],0))</f>
        <v>#N/A</v>
      </c>
      <c r="AB4399" t="e">
        <f>VLOOKUP(Tabelle1014[[#This Row],[Rank]],Stammdaten[[Rank Verteilung Ovalität]:[Verteilung Ovalität]],2,FALSE)</f>
        <v>#N/A</v>
      </c>
    </row>
    <row r="4400" spans="5:28" x14ac:dyDescent="0.35">
      <c r="E4400">
        <v>4391</v>
      </c>
      <c r="F4400" t="e">
        <f>INDEX(Stammdaten[D Mitte mit Rinde (mm)],MATCH(Tabelle8[[#This Row],[Rank]],Stammdaten[Rank Verteilung D Mitte mit Rinde],0))</f>
        <v>#N/A</v>
      </c>
      <c r="G4400" t="e">
        <f>VLOOKUP(Tabelle8[[#This Row],[Rank]],Stammdaten[[Rank Verteilung D Mitte mit Rinde]:[Verteilung D Mitte mit Rinde]],2,FALSE)</f>
        <v>#N/A</v>
      </c>
      <c r="L4400">
        <v>4391</v>
      </c>
      <c r="M4400" t="e">
        <f>INDEX(Stammdaten[Abholzigkeit (mm/lfm)],MATCH(Tabelle9[[#This Row],[Rank]],Stammdaten[Rank Verteilung Abholzigkeit],0))</f>
        <v>#N/A</v>
      </c>
      <c r="N4400" t="e">
        <f>VLOOKUP(Tabelle9[[#This Row],[Rank]],Stammdaten[[Rank Verteilung Abholzigkeit]:[Verteilung Abholzigkeit]],2,FALSE)</f>
        <v>#N/A</v>
      </c>
      <c r="S4400">
        <v>4391</v>
      </c>
      <c r="T4400" t="e">
        <f>INDEX(Stammdaten[Krümmung (mm/lfm)],MATCH(Tabelle10[[#This Row],[Rank]],Stammdaten[Rank Verteilung Krümmung],0))</f>
        <v>#N/A</v>
      </c>
      <c r="U4400" t="e">
        <f>VLOOKUP(Tabelle10[[#This Row],[Rank]],Stammdaten[[Rank Verteilung Krümmung]:[Verteilung Krümmung]],2,FALSE)</f>
        <v>#N/A</v>
      </c>
      <c r="Z4400">
        <v>4391</v>
      </c>
      <c r="AA4400" t="e">
        <f>INDEX(Stammdaten[Ovalität (']0,1'])],MATCH(Tabelle1014[[#This Row],[Rank]],Stammdaten[Rank Verteilung Ovalität],0))</f>
        <v>#N/A</v>
      </c>
      <c r="AB4400" t="e">
        <f>VLOOKUP(Tabelle1014[[#This Row],[Rank]],Stammdaten[[Rank Verteilung Ovalität]:[Verteilung Ovalität]],2,FALSE)</f>
        <v>#N/A</v>
      </c>
    </row>
    <row r="4401" spans="5:28" x14ac:dyDescent="0.35">
      <c r="E4401">
        <v>4392</v>
      </c>
      <c r="F4401" t="e">
        <f>INDEX(Stammdaten[D Mitte mit Rinde (mm)],MATCH(Tabelle8[[#This Row],[Rank]],Stammdaten[Rank Verteilung D Mitte mit Rinde],0))</f>
        <v>#N/A</v>
      </c>
      <c r="G4401" t="e">
        <f>VLOOKUP(Tabelle8[[#This Row],[Rank]],Stammdaten[[Rank Verteilung D Mitte mit Rinde]:[Verteilung D Mitte mit Rinde]],2,FALSE)</f>
        <v>#N/A</v>
      </c>
      <c r="L4401">
        <v>4392</v>
      </c>
      <c r="M4401" t="e">
        <f>INDEX(Stammdaten[Abholzigkeit (mm/lfm)],MATCH(Tabelle9[[#This Row],[Rank]],Stammdaten[Rank Verteilung Abholzigkeit],0))</f>
        <v>#N/A</v>
      </c>
      <c r="N4401" t="e">
        <f>VLOOKUP(Tabelle9[[#This Row],[Rank]],Stammdaten[[Rank Verteilung Abholzigkeit]:[Verteilung Abholzigkeit]],2,FALSE)</f>
        <v>#N/A</v>
      </c>
      <c r="S4401">
        <v>4392</v>
      </c>
      <c r="T4401" t="e">
        <f>INDEX(Stammdaten[Krümmung (mm/lfm)],MATCH(Tabelle10[[#This Row],[Rank]],Stammdaten[Rank Verteilung Krümmung],0))</f>
        <v>#N/A</v>
      </c>
      <c r="U4401" t="e">
        <f>VLOOKUP(Tabelle10[[#This Row],[Rank]],Stammdaten[[Rank Verteilung Krümmung]:[Verteilung Krümmung]],2,FALSE)</f>
        <v>#N/A</v>
      </c>
      <c r="Z4401">
        <v>4392</v>
      </c>
      <c r="AA4401" t="e">
        <f>INDEX(Stammdaten[Ovalität (']0,1'])],MATCH(Tabelle1014[[#This Row],[Rank]],Stammdaten[Rank Verteilung Ovalität],0))</f>
        <v>#N/A</v>
      </c>
      <c r="AB4401" t="e">
        <f>VLOOKUP(Tabelle1014[[#This Row],[Rank]],Stammdaten[[Rank Verteilung Ovalität]:[Verteilung Ovalität]],2,FALSE)</f>
        <v>#N/A</v>
      </c>
    </row>
    <row r="4402" spans="5:28" x14ac:dyDescent="0.35">
      <c r="E4402">
        <v>4393</v>
      </c>
      <c r="F4402" t="e">
        <f>INDEX(Stammdaten[D Mitte mit Rinde (mm)],MATCH(Tabelle8[[#This Row],[Rank]],Stammdaten[Rank Verteilung D Mitte mit Rinde],0))</f>
        <v>#N/A</v>
      </c>
      <c r="G4402" t="e">
        <f>VLOOKUP(Tabelle8[[#This Row],[Rank]],Stammdaten[[Rank Verteilung D Mitte mit Rinde]:[Verteilung D Mitte mit Rinde]],2,FALSE)</f>
        <v>#N/A</v>
      </c>
      <c r="L4402">
        <v>4393</v>
      </c>
      <c r="M4402" t="e">
        <f>INDEX(Stammdaten[Abholzigkeit (mm/lfm)],MATCH(Tabelle9[[#This Row],[Rank]],Stammdaten[Rank Verteilung Abholzigkeit],0))</f>
        <v>#N/A</v>
      </c>
      <c r="N4402" t="e">
        <f>VLOOKUP(Tabelle9[[#This Row],[Rank]],Stammdaten[[Rank Verteilung Abholzigkeit]:[Verteilung Abholzigkeit]],2,FALSE)</f>
        <v>#N/A</v>
      </c>
      <c r="S4402">
        <v>4393</v>
      </c>
      <c r="T4402" t="e">
        <f>INDEX(Stammdaten[Krümmung (mm/lfm)],MATCH(Tabelle10[[#This Row],[Rank]],Stammdaten[Rank Verteilung Krümmung],0))</f>
        <v>#N/A</v>
      </c>
      <c r="U4402" t="e">
        <f>VLOOKUP(Tabelle10[[#This Row],[Rank]],Stammdaten[[Rank Verteilung Krümmung]:[Verteilung Krümmung]],2,FALSE)</f>
        <v>#N/A</v>
      </c>
      <c r="Z4402">
        <v>4393</v>
      </c>
      <c r="AA4402" t="e">
        <f>INDEX(Stammdaten[Ovalität (']0,1'])],MATCH(Tabelle1014[[#This Row],[Rank]],Stammdaten[Rank Verteilung Ovalität],0))</f>
        <v>#N/A</v>
      </c>
      <c r="AB4402" t="e">
        <f>VLOOKUP(Tabelle1014[[#This Row],[Rank]],Stammdaten[[Rank Verteilung Ovalität]:[Verteilung Ovalität]],2,FALSE)</f>
        <v>#N/A</v>
      </c>
    </row>
    <row r="4403" spans="5:28" x14ac:dyDescent="0.35">
      <c r="E4403">
        <v>4394</v>
      </c>
      <c r="F4403" t="e">
        <f>INDEX(Stammdaten[D Mitte mit Rinde (mm)],MATCH(Tabelle8[[#This Row],[Rank]],Stammdaten[Rank Verteilung D Mitte mit Rinde],0))</f>
        <v>#N/A</v>
      </c>
      <c r="G4403" t="e">
        <f>VLOOKUP(Tabelle8[[#This Row],[Rank]],Stammdaten[[Rank Verteilung D Mitte mit Rinde]:[Verteilung D Mitte mit Rinde]],2,FALSE)</f>
        <v>#N/A</v>
      </c>
      <c r="L4403">
        <v>4394</v>
      </c>
      <c r="M4403" t="e">
        <f>INDEX(Stammdaten[Abholzigkeit (mm/lfm)],MATCH(Tabelle9[[#This Row],[Rank]],Stammdaten[Rank Verteilung Abholzigkeit],0))</f>
        <v>#N/A</v>
      </c>
      <c r="N4403" t="e">
        <f>VLOOKUP(Tabelle9[[#This Row],[Rank]],Stammdaten[[Rank Verteilung Abholzigkeit]:[Verteilung Abholzigkeit]],2,FALSE)</f>
        <v>#N/A</v>
      </c>
      <c r="S4403">
        <v>4394</v>
      </c>
      <c r="T4403" t="e">
        <f>INDEX(Stammdaten[Krümmung (mm/lfm)],MATCH(Tabelle10[[#This Row],[Rank]],Stammdaten[Rank Verteilung Krümmung],0))</f>
        <v>#N/A</v>
      </c>
      <c r="U4403" t="e">
        <f>VLOOKUP(Tabelle10[[#This Row],[Rank]],Stammdaten[[Rank Verteilung Krümmung]:[Verteilung Krümmung]],2,FALSE)</f>
        <v>#N/A</v>
      </c>
      <c r="Z4403">
        <v>4394</v>
      </c>
      <c r="AA4403" t="e">
        <f>INDEX(Stammdaten[Ovalität (']0,1'])],MATCH(Tabelle1014[[#This Row],[Rank]],Stammdaten[Rank Verteilung Ovalität],0))</f>
        <v>#N/A</v>
      </c>
      <c r="AB4403" t="e">
        <f>VLOOKUP(Tabelle1014[[#This Row],[Rank]],Stammdaten[[Rank Verteilung Ovalität]:[Verteilung Ovalität]],2,FALSE)</f>
        <v>#N/A</v>
      </c>
    </row>
    <row r="4404" spans="5:28" x14ac:dyDescent="0.35">
      <c r="E4404">
        <v>4395</v>
      </c>
      <c r="F4404" t="e">
        <f>INDEX(Stammdaten[D Mitte mit Rinde (mm)],MATCH(Tabelle8[[#This Row],[Rank]],Stammdaten[Rank Verteilung D Mitte mit Rinde],0))</f>
        <v>#N/A</v>
      </c>
      <c r="G4404" t="e">
        <f>VLOOKUP(Tabelle8[[#This Row],[Rank]],Stammdaten[[Rank Verteilung D Mitte mit Rinde]:[Verteilung D Mitte mit Rinde]],2,FALSE)</f>
        <v>#N/A</v>
      </c>
      <c r="L4404">
        <v>4395</v>
      </c>
      <c r="M4404" t="e">
        <f>INDEX(Stammdaten[Abholzigkeit (mm/lfm)],MATCH(Tabelle9[[#This Row],[Rank]],Stammdaten[Rank Verteilung Abholzigkeit],0))</f>
        <v>#N/A</v>
      </c>
      <c r="N4404" t="e">
        <f>VLOOKUP(Tabelle9[[#This Row],[Rank]],Stammdaten[[Rank Verteilung Abholzigkeit]:[Verteilung Abholzigkeit]],2,FALSE)</f>
        <v>#N/A</v>
      </c>
      <c r="S4404">
        <v>4395</v>
      </c>
      <c r="T4404" t="e">
        <f>INDEX(Stammdaten[Krümmung (mm/lfm)],MATCH(Tabelle10[[#This Row],[Rank]],Stammdaten[Rank Verteilung Krümmung],0))</f>
        <v>#N/A</v>
      </c>
      <c r="U4404" t="e">
        <f>VLOOKUP(Tabelle10[[#This Row],[Rank]],Stammdaten[[Rank Verteilung Krümmung]:[Verteilung Krümmung]],2,FALSE)</f>
        <v>#N/A</v>
      </c>
      <c r="Z4404">
        <v>4395</v>
      </c>
      <c r="AA4404" t="e">
        <f>INDEX(Stammdaten[Ovalität (']0,1'])],MATCH(Tabelle1014[[#This Row],[Rank]],Stammdaten[Rank Verteilung Ovalität],0))</f>
        <v>#N/A</v>
      </c>
      <c r="AB4404" t="e">
        <f>VLOOKUP(Tabelle1014[[#This Row],[Rank]],Stammdaten[[Rank Verteilung Ovalität]:[Verteilung Ovalität]],2,FALSE)</f>
        <v>#N/A</v>
      </c>
    </row>
    <row r="4405" spans="5:28" x14ac:dyDescent="0.35">
      <c r="E4405">
        <v>4396</v>
      </c>
      <c r="F4405" t="e">
        <f>INDEX(Stammdaten[D Mitte mit Rinde (mm)],MATCH(Tabelle8[[#This Row],[Rank]],Stammdaten[Rank Verteilung D Mitte mit Rinde],0))</f>
        <v>#N/A</v>
      </c>
      <c r="G4405" t="e">
        <f>VLOOKUP(Tabelle8[[#This Row],[Rank]],Stammdaten[[Rank Verteilung D Mitte mit Rinde]:[Verteilung D Mitte mit Rinde]],2,FALSE)</f>
        <v>#N/A</v>
      </c>
      <c r="L4405">
        <v>4396</v>
      </c>
      <c r="M4405" t="e">
        <f>INDEX(Stammdaten[Abholzigkeit (mm/lfm)],MATCH(Tabelle9[[#This Row],[Rank]],Stammdaten[Rank Verteilung Abholzigkeit],0))</f>
        <v>#N/A</v>
      </c>
      <c r="N4405" t="e">
        <f>VLOOKUP(Tabelle9[[#This Row],[Rank]],Stammdaten[[Rank Verteilung Abholzigkeit]:[Verteilung Abholzigkeit]],2,FALSE)</f>
        <v>#N/A</v>
      </c>
      <c r="S4405">
        <v>4396</v>
      </c>
      <c r="T4405" t="e">
        <f>INDEX(Stammdaten[Krümmung (mm/lfm)],MATCH(Tabelle10[[#This Row],[Rank]],Stammdaten[Rank Verteilung Krümmung],0))</f>
        <v>#N/A</v>
      </c>
      <c r="U4405" t="e">
        <f>VLOOKUP(Tabelle10[[#This Row],[Rank]],Stammdaten[[Rank Verteilung Krümmung]:[Verteilung Krümmung]],2,FALSE)</f>
        <v>#N/A</v>
      </c>
      <c r="Z4405">
        <v>4396</v>
      </c>
      <c r="AA4405" t="e">
        <f>INDEX(Stammdaten[Ovalität (']0,1'])],MATCH(Tabelle1014[[#This Row],[Rank]],Stammdaten[Rank Verteilung Ovalität],0))</f>
        <v>#N/A</v>
      </c>
      <c r="AB4405" t="e">
        <f>VLOOKUP(Tabelle1014[[#This Row],[Rank]],Stammdaten[[Rank Verteilung Ovalität]:[Verteilung Ovalität]],2,FALSE)</f>
        <v>#N/A</v>
      </c>
    </row>
    <row r="4406" spans="5:28" x14ac:dyDescent="0.35">
      <c r="E4406">
        <v>4397</v>
      </c>
      <c r="F4406" t="e">
        <f>INDEX(Stammdaten[D Mitte mit Rinde (mm)],MATCH(Tabelle8[[#This Row],[Rank]],Stammdaten[Rank Verteilung D Mitte mit Rinde],0))</f>
        <v>#N/A</v>
      </c>
      <c r="G4406" t="e">
        <f>VLOOKUP(Tabelle8[[#This Row],[Rank]],Stammdaten[[Rank Verteilung D Mitte mit Rinde]:[Verteilung D Mitte mit Rinde]],2,FALSE)</f>
        <v>#N/A</v>
      </c>
      <c r="L4406">
        <v>4397</v>
      </c>
      <c r="M4406" t="e">
        <f>INDEX(Stammdaten[Abholzigkeit (mm/lfm)],MATCH(Tabelle9[[#This Row],[Rank]],Stammdaten[Rank Verteilung Abholzigkeit],0))</f>
        <v>#N/A</v>
      </c>
      <c r="N4406" t="e">
        <f>VLOOKUP(Tabelle9[[#This Row],[Rank]],Stammdaten[[Rank Verteilung Abholzigkeit]:[Verteilung Abholzigkeit]],2,FALSE)</f>
        <v>#N/A</v>
      </c>
      <c r="S4406">
        <v>4397</v>
      </c>
      <c r="T4406" t="e">
        <f>INDEX(Stammdaten[Krümmung (mm/lfm)],MATCH(Tabelle10[[#This Row],[Rank]],Stammdaten[Rank Verteilung Krümmung],0))</f>
        <v>#N/A</v>
      </c>
      <c r="U4406" t="e">
        <f>VLOOKUP(Tabelle10[[#This Row],[Rank]],Stammdaten[[Rank Verteilung Krümmung]:[Verteilung Krümmung]],2,FALSE)</f>
        <v>#N/A</v>
      </c>
      <c r="Z4406">
        <v>4397</v>
      </c>
      <c r="AA4406" t="e">
        <f>INDEX(Stammdaten[Ovalität (']0,1'])],MATCH(Tabelle1014[[#This Row],[Rank]],Stammdaten[Rank Verteilung Ovalität],0))</f>
        <v>#N/A</v>
      </c>
      <c r="AB4406" t="e">
        <f>VLOOKUP(Tabelle1014[[#This Row],[Rank]],Stammdaten[[Rank Verteilung Ovalität]:[Verteilung Ovalität]],2,FALSE)</f>
        <v>#N/A</v>
      </c>
    </row>
    <row r="4407" spans="5:28" x14ac:dyDescent="0.35">
      <c r="E4407">
        <v>4398</v>
      </c>
      <c r="F4407" t="e">
        <f>INDEX(Stammdaten[D Mitte mit Rinde (mm)],MATCH(Tabelle8[[#This Row],[Rank]],Stammdaten[Rank Verteilung D Mitte mit Rinde],0))</f>
        <v>#N/A</v>
      </c>
      <c r="G4407" t="e">
        <f>VLOOKUP(Tabelle8[[#This Row],[Rank]],Stammdaten[[Rank Verteilung D Mitte mit Rinde]:[Verteilung D Mitte mit Rinde]],2,FALSE)</f>
        <v>#N/A</v>
      </c>
      <c r="L4407">
        <v>4398</v>
      </c>
      <c r="M4407" t="e">
        <f>INDEX(Stammdaten[Abholzigkeit (mm/lfm)],MATCH(Tabelle9[[#This Row],[Rank]],Stammdaten[Rank Verteilung Abholzigkeit],0))</f>
        <v>#N/A</v>
      </c>
      <c r="N4407" t="e">
        <f>VLOOKUP(Tabelle9[[#This Row],[Rank]],Stammdaten[[Rank Verteilung Abholzigkeit]:[Verteilung Abholzigkeit]],2,FALSE)</f>
        <v>#N/A</v>
      </c>
      <c r="S4407">
        <v>4398</v>
      </c>
      <c r="T4407" t="e">
        <f>INDEX(Stammdaten[Krümmung (mm/lfm)],MATCH(Tabelle10[[#This Row],[Rank]],Stammdaten[Rank Verteilung Krümmung],0))</f>
        <v>#N/A</v>
      </c>
      <c r="U4407" t="e">
        <f>VLOOKUP(Tabelle10[[#This Row],[Rank]],Stammdaten[[Rank Verteilung Krümmung]:[Verteilung Krümmung]],2,FALSE)</f>
        <v>#N/A</v>
      </c>
      <c r="Z4407">
        <v>4398</v>
      </c>
      <c r="AA4407" t="e">
        <f>INDEX(Stammdaten[Ovalität (']0,1'])],MATCH(Tabelle1014[[#This Row],[Rank]],Stammdaten[Rank Verteilung Ovalität],0))</f>
        <v>#N/A</v>
      </c>
      <c r="AB4407" t="e">
        <f>VLOOKUP(Tabelle1014[[#This Row],[Rank]],Stammdaten[[Rank Verteilung Ovalität]:[Verteilung Ovalität]],2,FALSE)</f>
        <v>#N/A</v>
      </c>
    </row>
    <row r="4408" spans="5:28" x14ac:dyDescent="0.35">
      <c r="E4408">
        <v>4399</v>
      </c>
      <c r="F4408" t="e">
        <f>INDEX(Stammdaten[D Mitte mit Rinde (mm)],MATCH(Tabelle8[[#This Row],[Rank]],Stammdaten[Rank Verteilung D Mitte mit Rinde],0))</f>
        <v>#N/A</v>
      </c>
      <c r="G4408" t="e">
        <f>VLOOKUP(Tabelle8[[#This Row],[Rank]],Stammdaten[[Rank Verteilung D Mitte mit Rinde]:[Verteilung D Mitte mit Rinde]],2,FALSE)</f>
        <v>#N/A</v>
      </c>
      <c r="L4408">
        <v>4399</v>
      </c>
      <c r="M4408" t="e">
        <f>INDEX(Stammdaten[Abholzigkeit (mm/lfm)],MATCH(Tabelle9[[#This Row],[Rank]],Stammdaten[Rank Verteilung Abholzigkeit],0))</f>
        <v>#N/A</v>
      </c>
      <c r="N4408" t="e">
        <f>VLOOKUP(Tabelle9[[#This Row],[Rank]],Stammdaten[[Rank Verteilung Abholzigkeit]:[Verteilung Abholzigkeit]],2,FALSE)</f>
        <v>#N/A</v>
      </c>
      <c r="S4408">
        <v>4399</v>
      </c>
      <c r="T4408" t="e">
        <f>INDEX(Stammdaten[Krümmung (mm/lfm)],MATCH(Tabelle10[[#This Row],[Rank]],Stammdaten[Rank Verteilung Krümmung],0))</f>
        <v>#N/A</v>
      </c>
      <c r="U4408" t="e">
        <f>VLOOKUP(Tabelle10[[#This Row],[Rank]],Stammdaten[[Rank Verteilung Krümmung]:[Verteilung Krümmung]],2,FALSE)</f>
        <v>#N/A</v>
      </c>
      <c r="Z4408">
        <v>4399</v>
      </c>
      <c r="AA4408" t="e">
        <f>INDEX(Stammdaten[Ovalität (']0,1'])],MATCH(Tabelle1014[[#This Row],[Rank]],Stammdaten[Rank Verteilung Ovalität],0))</f>
        <v>#N/A</v>
      </c>
      <c r="AB4408" t="e">
        <f>VLOOKUP(Tabelle1014[[#This Row],[Rank]],Stammdaten[[Rank Verteilung Ovalität]:[Verteilung Ovalität]],2,FALSE)</f>
        <v>#N/A</v>
      </c>
    </row>
    <row r="4409" spans="5:28" x14ac:dyDescent="0.35">
      <c r="E4409">
        <v>4400</v>
      </c>
      <c r="F4409" t="e">
        <f>INDEX(Stammdaten[D Mitte mit Rinde (mm)],MATCH(Tabelle8[[#This Row],[Rank]],Stammdaten[Rank Verteilung D Mitte mit Rinde],0))</f>
        <v>#N/A</v>
      </c>
      <c r="G4409" t="e">
        <f>VLOOKUP(Tabelle8[[#This Row],[Rank]],Stammdaten[[Rank Verteilung D Mitte mit Rinde]:[Verteilung D Mitte mit Rinde]],2,FALSE)</f>
        <v>#N/A</v>
      </c>
      <c r="L4409">
        <v>4400</v>
      </c>
      <c r="M4409" t="e">
        <f>INDEX(Stammdaten[Abholzigkeit (mm/lfm)],MATCH(Tabelle9[[#This Row],[Rank]],Stammdaten[Rank Verteilung Abholzigkeit],0))</f>
        <v>#N/A</v>
      </c>
      <c r="N4409" t="e">
        <f>VLOOKUP(Tabelle9[[#This Row],[Rank]],Stammdaten[[Rank Verteilung Abholzigkeit]:[Verteilung Abholzigkeit]],2,FALSE)</f>
        <v>#N/A</v>
      </c>
      <c r="S4409">
        <v>4400</v>
      </c>
      <c r="T4409" t="e">
        <f>INDEX(Stammdaten[Krümmung (mm/lfm)],MATCH(Tabelle10[[#This Row],[Rank]],Stammdaten[Rank Verteilung Krümmung],0))</f>
        <v>#N/A</v>
      </c>
      <c r="U4409" t="e">
        <f>VLOOKUP(Tabelle10[[#This Row],[Rank]],Stammdaten[[Rank Verteilung Krümmung]:[Verteilung Krümmung]],2,FALSE)</f>
        <v>#N/A</v>
      </c>
      <c r="Z4409">
        <v>4400</v>
      </c>
      <c r="AA4409" t="e">
        <f>INDEX(Stammdaten[Ovalität (']0,1'])],MATCH(Tabelle1014[[#This Row],[Rank]],Stammdaten[Rank Verteilung Ovalität],0))</f>
        <v>#N/A</v>
      </c>
      <c r="AB4409" t="e">
        <f>VLOOKUP(Tabelle1014[[#This Row],[Rank]],Stammdaten[[Rank Verteilung Ovalität]:[Verteilung Ovalität]],2,FALSE)</f>
        <v>#N/A</v>
      </c>
    </row>
    <row r="4410" spans="5:28" x14ac:dyDescent="0.35">
      <c r="E4410">
        <v>4401</v>
      </c>
      <c r="F4410" t="e">
        <f>INDEX(Stammdaten[D Mitte mit Rinde (mm)],MATCH(Tabelle8[[#This Row],[Rank]],Stammdaten[Rank Verteilung D Mitte mit Rinde],0))</f>
        <v>#N/A</v>
      </c>
      <c r="G4410" t="e">
        <f>VLOOKUP(Tabelle8[[#This Row],[Rank]],Stammdaten[[Rank Verteilung D Mitte mit Rinde]:[Verteilung D Mitte mit Rinde]],2,FALSE)</f>
        <v>#N/A</v>
      </c>
      <c r="L4410">
        <v>4401</v>
      </c>
      <c r="M4410" t="e">
        <f>INDEX(Stammdaten[Abholzigkeit (mm/lfm)],MATCH(Tabelle9[[#This Row],[Rank]],Stammdaten[Rank Verteilung Abholzigkeit],0))</f>
        <v>#N/A</v>
      </c>
      <c r="N4410" t="e">
        <f>VLOOKUP(Tabelle9[[#This Row],[Rank]],Stammdaten[[Rank Verteilung Abholzigkeit]:[Verteilung Abholzigkeit]],2,FALSE)</f>
        <v>#N/A</v>
      </c>
      <c r="S4410">
        <v>4401</v>
      </c>
      <c r="T4410" t="e">
        <f>INDEX(Stammdaten[Krümmung (mm/lfm)],MATCH(Tabelle10[[#This Row],[Rank]],Stammdaten[Rank Verteilung Krümmung],0))</f>
        <v>#N/A</v>
      </c>
      <c r="U4410" t="e">
        <f>VLOOKUP(Tabelle10[[#This Row],[Rank]],Stammdaten[[Rank Verteilung Krümmung]:[Verteilung Krümmung]],2,FALSE)</f>
        <v>#N/A</v>
      </c>
      <c r="Z4410">
        <v>4401</v>
      </c>
      <c r="AA4410" t="e">
        <f>INDEX(Stammdaten[Ovalität (']0,1'])],MATCH(Tabelle1014[[#This Row],[Rank]],Stammdaten[Rank Verteilung Ovalität],0))</f>
        <v>#N/A</v>
      </c>
      <c r="AB4410" t="e">
        <f>VLOOKUP(Tabelle1014[[#This Row],[Rank]],Stammdaten[[Rank Verteilung Ovalität]:[Verteilung Ovalität]],2,FALSE)</f>
        <v>#N/A</v>
      </c>
    </row>
    <row r="4411" spans="5:28" x14ac:dyDescent="0.35">
      <c r="E4411">
        <v>4402</v>
      </c>
      <c r="F4411" t="e">
        <f>INDEX(Stammdaten[D Mitte mit Rinde (mm)],MATCH(Tabelle8[[#This Row],[Rank]],Stammdaten[Rank Verteilung D Mitte mit Rinde],0))</f>
        <v>#N/A</v>
      </c>
      <c r="G4411" t="e">
        <f>VLOOKUP(Tabelle8[[#This Row],[Rank]],Stammdaten[[Rank Verteilung D Mitte mit Rinde]:[Verteilung D Mitte mit Rinde]],2,FALSE)</f>
        <v>#N/A</v>
      </c>
      <c r="L4411">
        <v>4402</v>
      </c>
      <c r="M4411" t="e">
        <f>INDEX(Stammdaten[Abholzigkeit (mm/lfm)],MATCH(Tabelle9[[#This Row],[Rank]],Stammdaten[Rank Verteilung Abholzigkeit],0))</f>
        <v>#N/A</v>
      </c>
      <c r="N4411" t="e">
        <f>VLOOKUP(Tabelle9[[#This Row],[Rank]],Stammdaten[[Rank Verteilung Abholzigkeit]:[Verteilung Abholzigkeit]],2,FALSE)</f>
        <v>#N/A</v>
      </c>
      <c r="S4411">
        <v>4402</v>
      </c>
      <c r="T4411" t="e">
        <f>INDEX(Stammdaten[Krümmung (mm/lfm)],MATCH(Tabelle10[[#This Row],[Rank]],Stammdaten[Rank Verteilung Krümmung],0))</f>
        <v>#N/A</v>
      </c>
      <c r="U4411" t="e">
        <f>VLOOKUP(Tabelle10[[#This Row],[Rank]],Stammdaten[[Rank Verteilung Krümmung]:[Verteilung Krümmung]],2,FALSE)</f>
        <v>#N/A</v>
      </c>
      <c r="Z4411">
        <v>4402</v>
      </c>
      <c r="AA4411" t="e">
        <f>INDEX(Stammdaten[Ovalität (']0,1'])],MATCH(Tabelle1014[[#This Row],[Rank]],Stammdaten[Rank Verteilung Ovalität],0))</f>
        <v>#N/A</v>
      </c>
      <c r="AB4411" t="e">
        <f>VLOOKUP(Tabelle1014[[#This Row],[Rank]],Stammdaten[[Rank Verteilung Ovalität]:[Verteilung Ovalität]],2,FALSE)</f>
        <v>#N/A</v>
      </c>
    </row>
    <row r="4412" spans="5:28" x14ac:dyDescent="0.35">
      <c r="E4412">
        <v>4403</v>
      </c>
      <c r="F4412" t="e">
        <f>INDEX(Stammdaten[D Mitte mit Rinde (mm)],MATCH(Tabelle8[[#This Row],[Rank]],Stammdaten[Rank Verteilung D Mitte mit Rinde],0))</f>
        <v>#N/A</v>
      </c>
      <c r="G4412" t="e">
        <f>VLOOKUP(Tabelle8[[#This Row],[Rank]],Stammdaten[[Rank Verteilung D Mitte mit Rinde]:[Verteilung D Mitte mit Rinde]],2,FALSE)</f>
        <v>#N/A</v>
      </c>
      <c r="L4412">
        <v>4403</v>
      </c>
      <c r="M4412" t="e">
        <f>INDEX(Stammdaten[Abholzigkeit (mm/lfm)],MATCH(Tabelle9[[#This Row],[Rank]],Stammdaten[Rank Verteilung Abholzigkeit],0))</f>
        <v>#N/A</v>
      </c>
      <c r="N4412" t="e">
        <f>VLOOKUP(Tabelle9[[#This Row],[Rank]],Stammdaten[[Rank Verteilung Abholzigkeit]:[Verteilung Abholzigkeit]],2,FALSE)</f>
        <v>#N/A</v>
      </c>
      <c r="S4412">
        <v>4403</v>
      </c>
      <c r="T4412" t="e">
        <f>INDEX(Stammdaten[Krümmung (mm/lfm)],MATCH(Tabelle10[[#This Row],[Rank]],Stammdaten[Rank Verteilung Krümmung],0))</f>
        <v>#N/A</v>
      </c>
      <c r="U4412" t="e">
        <f>VLOOKUP(Tabelle10[[#This Row],[Rank]],Stammdaten[[Rank Verteilung Krümmung]:[Verteilung Krümmung]],2,FALSE)</f>
        <v>#N/A</v>
      </c>
      <c r="Z4412">
        <v>4403</v>
      </c>
      <c r="AA4412" t="e">
        <f>INDEX(Stammdaten[Ovalität (']0,1'])],MATCH(Tabelle1014[[#This Row],[Rank]],Stammdaten[Rank Verteilung Ovalität],0))</f>
        <v>#N/A</v>
      </c>
      <c r="AB4412" t="e">
        <f>VLOOKUP(Tabelle1014[[#This Row],[Rank]],Stammdaten[[Rank Verteilung Ovalität]:[Verteilung Ovalität]],2,FALSE)</f>
        <v>#N/A</v>
      </c>
    </row>
    <row r="4413" spans="5:28" x14ac:dyDescent="0.35">
      <c r="E4413">
        <v>4404</v>
      </c>
      <c r="F4413" t="e">
        <f>INDEX(Stammdaten[D Mitte mit Rinde (mm)],MATCH(Tabelle8[[#This Row],[Rank]],Stammdaten[Rank Verteilung D Mitte mit Rinde],0))</f>
        <v>#N/A</v>
      </c>
      <c r="G4413" t="e">
        <f>VLOOKUP(Tabelle8[[#This Row],[Rank]],Stammdaten[[Rank Verteilung D Mitte mit Rinde]:[Verteilung D Mitte mit Rinde]],2,FALSE)</f>
        <v>#N/A</v>
      </c>
      <c r="L4413">
        <v>4404</v>
      </c>
      <c r="M4413" t="e">
        <f>INDEX(Stammdaten[Abholzigkeit (mm/lfm)],MATCH(Tabelle9[[#This Row],[Rank]],Stammdaten[Rank Verteilung Abholzigkeit],0))</f>
        <v>#N/A</v>
      </c>
      <c r="N4413" t="e">
        <f>VLOOKUP(Tabelle9[[#This Row],[Rank]],Stammdaten[[Rank Verteilung Abholzigkeit]:[Verteilung Abholzigkeit]],2,FALSE)</f>
        <v>#N/A</v>
      </c>
      <c r="S4413">
        <v>4404</v>
      </c>
      <c r="T4413" t="e">
        <f>INDEX(Stammdaten[Krümmung (mm/lfm)],MATCH(Tabelle10[[#This Row],[Rank]],Stammdaten[Rank Verteilung Krümmung],0))</f>
        <v>#N/A</v>
      </c>
      <c r="U4413" t="e">
        <f>VLOOKUP(Tabelle10[[#This Row],[Rank]],Stammdaten[[Rank Verteilung Krümmung]:[Verteilung Krümmung]],2,FALSE)</f>
        <v>#N/A</v>
      </c>
      <c r="Z4413">
        <v>4404</v>
      </c>
      <c r="AA4413" t="e">
        <f>INDEX(Stammdaten[Ovalität (']0,1'])],MATCH(Tabelle1014[[#This Row],[Rank]],Stammdaten[Rank Verteilung Ovalität],0))</f>
        <v>#N/A</v>
      </c>
      <c r="AB4413" t="e">
        <f>VLOOKUP(Tabelle1014[[#This Row],[Rank]],Stammdaten[[Rank Verteilung Ovalität]:[Verteilung Ovalität]],2,FALSE)</f>
        <v>#N/A</v>
      </c>
    </row>
    <row r="4414" spans="5:28" x14ac:dyDescent="0.35">
      <c r="E4414">
        <v>4405</v>
      </c>
      <c r="F4414" t="e">
        <f>INDEX(Stammdaten[D Mitte mit Rinde (mm)],MATCH(Tabelle8[[#This Row],[Rank]],Stammdaten[Rank Verteilung D Mitte mit Rinde],0))</f>
        <v>#N/A</v>
      </c>
      <c r="G4414" t="e">
        <f>VLOOKUP(Tabelle8[[#This Row],[Rank]],Stammdaten[[Rank Verteilung D Mitte mit Rinde]:[Verteilung D Mitte mit Rinde]],2,FALSE)</f>
        <v>#N/A</v>
      </c>
      <c r="L4414">
        <v>4405</v>
      </c>
      <c r="M4414" t="e">
        <f>INDEX(Stammdaten[Abholzigkeit (mm/lfm)],MATCH(Tabelle9[[#This Row],[Rank]],Stammdaten[Rank Verteilung Abholzigkeit],0))</f>
        <v>#N/A</v>
      </c>
      <c r="N4414" t="e">
        <f>VLOOKUP(Tabelle9[[#This Row],[Rank]],Stammdaten[[Rank Verteilung Abholzigkeit]:[Verteilung Abholzigkeit]],2,FALSE)</f>
        <v>#N/A</v>
      </c>
      <c r="S4414">
        <v>4405</v>
      </c>
      <c r="T4414" t="e">
        <f>INDEX(Stammdaten[Krümmung (mm/lfm)],MATCH(Tabelle10[[#This Row],[Rank]],Stammdaten[Rank Verteilung Krümmung],0))</f>
        <v>#N/A</v>
      </c>
      <c r="U4414" t="e">
        <f>VLOOKUP(Tabelle10[[#This Row],[Rank]],Stammdaten[[Rank Verteilung Krümmung]:[Verteilung Krümmung]],2,FALSE)</f>
        <v>#N/A</v>
      </c>
      <c r="Z4414">
        <v>4405</v>
      </c>
      <c r="AA4414" t="e">
        <f>INDEX(Stammdaten[Ovalität (']0,1'])],MATCH(Tabelle1014[[#This Row],[Rank]],Stammdaten[Rank Verteilung Ovalität],0))</f>
        <v>#N/A</v>
      </c>
      <c r="AB4414" t="e">
        <f>VLOOKUP(Tabelle1014[[#This Row],[Rank]],Stammdaten[[Rank Verteilung Ovalität]:[Verteilung Ovalität]],2,FALSE)</f>
        <v>#N/A</v>
      </c>
    </row>
    <row r="4415" spans="5:28" x14ac:dyDescent="0.35">
      <c r="E4415">
        <v>4406</v>
      </c>
      <c r="F4415" t="e">
        <f>INDEX(Stammdaten[D Mitte mit Rinde (mm)],MATCH(Tabelle8[[#This Row],[Rank]],Stammdaten[Rank Verteilung D Mitte mit Rinde],0))</f>
        <v>#N/A</v>
      </c>
      <c r="G4415" t="e">
        <f>VLOOKUP(Tabelle8[[#This Row],[Rank]],Stammdaten[[Rank Verteilung D Mitte mit Rinde]:[Verteilung D Mitte mit Rinde]],2,FALSE)</f>
        <v>#N/A</v>
      </c>
      <c r="L4415">
        <v>4406</v>
      </c>
      <c r="M4415" t="e">
        <f>INDEX(Stammdaten[Abholzigkeit (mm/lfm)],MATCH(Tabelle9[[#This Row],[Rank]],Stammdaten[Rank Verteilung Abholzigkeit],0))</f>
        <v>#N/A</v>
      </c>
      <c r="N4415" t="e">
        <f>VLOOKUP(Tabelle9[[#This Row],[Rank]],Stammdaten[[Rank Verteilung Abholzigkeit]:[Verteilung Abholzigkeit]],2,FALSE)</f>
        <v>#N/A</v>
      </c>
      <c r="S4415">
        <v>4406</v>
      </c>
      <c r="T4415" t="e">
        <f>INDEX(Stammdaten[Krümmung (mm/lfm)],MATCH(Tabelle10[[#This Row],[Rank]],Stammdaten[Rank Verteilung Krümmung],0))</f>
        <v>#N/A</v>
      </c>
      <c r="U4415" t="e">
        <f>VLOOKUP(Tabelle10[[#This Row],[Rank]],Stammdaten[[Rank Verteilung Krümmung]:[Verteilung Krümmung]],2,FALSE)</f>
        <v>#N/A</v>
      </c>
      <c r="Z4415">
        <v>4406</v>
      </c>
      <c r="AA4415" t="e">
        <f>INDEX(Stammdaten[Ovalität (']0,1'])],MATCH(Tabelle1014[[#This Row],[Rank]],Stammdaten[Rank Verteilung Ovalität],0))</f>
        <v>#N/A</v>
      </c>
      <c r="AB4415" t="e">
        <f>VLOOKUP(Tabelle1014[[#This Row],[Rank]],Stammdaten[[Rank Verteilung Ovalität]:[Verteilung Ovalität]],2,FALSE)</f>
        <v>#N/A</v>
      </c>
    </row>
    <row r="4416" spans="5:28" x14ac:dyDescent="0.35">
      <c r="E4416">
        <v>4407</v>
      </c>
      <c r="F4416" t="e">
        <f>INDEX(Stammdaten[D Mitte mit Rinde (mm)],MATCH(Tabelle8[[#This Row],[Rank]],Stammdaten[Rank Verteilung D Mitte mit Rinde],0))</f>
        <v>#N/A</v>
      </c>
      <c r="G4416" t="e">
        <f>VLOOKUP(Tabelle8[[#This Row],[Rank]],Stammdaten[[Rank Verteilung D Mitte mit Rinde]:[Verteilung D Mitte mit Rinde]],2,FALSE)</f>
        <v>#N/A</v>
      </c>
      <c r="L4416">
        <v>4407</v>
      </c>
      <c r="M4416" t="e">
        <f>INDEX(Stammdaten[Abholzigkeit (mm/lfm)],MATCH(Tabelle9[[#This Row],[Rank]],Stammdaten[Rank Verteilung Abholzigkeit],0))</f>
        <v>#N/A</v>
      </c>
      <c r="N4416" t="e">
        <f>VLOOKUP(Tabelle9[[#This Row],[Rank]],Stammdaten[[Rank Verteilung Abholzigkeit]:[Verteilung Abholzigkeit]],2,FALSE)</f>
        <v>#N/A</v>
      </c>
      <c r="S4416">
        <v>4407</v>
      </c>
      <c r="T4416" t="e">
        <f>INDEX(Stammdaten[Krümmung (mm/lfm)],MATCH(Tabelle10[[#This Row],[Rank]],Stammdaten[Rank Verteilung Krümmung],0))</f>
        <v>#N/A</v>
      </c>
      <c r="U4416" t="e">
        <f>VLOOKUP(Tabelle10[[#This Row],[Rank]],Stammdaten[[Rank Verteilung Krümmung]:[Verteilung Krümmung]],2,FALSE)</f>
        <v>#N/A</v>
      </c>
      <c r="Z4416">
        <v>4407</v>
      </c>
      <c r="AA4416" t="e">
        <f>INDEX(Stammdaten[Ovalität (']0,1'])],MATCH(Tabelle1014[[#This Row],[Rank]],Stammdaten[Rank Verteilung Ovalität],0))</f>
        <v>#N/A</v>
      </c>
      <c r="AB4416" t="e">
        <f>VLOOKUP(Tabelle1014[[#This Row],[Rank]],Stammdaten[[Rank Verteilung Ovalität]:[Verteilung Ovalität]],2,FALSE)</f>
        <v>#N/A</v>
      </c>
    </row>
    <row r="4417" spans="5:28" x14ac:dyDescent="0.35">
      <c r="E4417">
        <v>4408</v>
      </c>
      <c r="F4417" t="e">
        <f>INDEX(Stammdaten[D Mitte mit Rinde (mm)],MATCH(Tabelle8[[#This Row],[Rank]],Stammdaten[Rank Verteilung D Mitte mit Rinde],0))</f>
        <v>#N/A</v>
      </c>
      <c r="G4417" t="e">
        <f>VLOOKUP(Tabelle8[[#This Row],[Rank]],Stammdaten[[Rank Verteilung D Mitte mit Rinde]:[Verteilung D Mitte mit Rinde]],2,FALSE)</f>
        <v>#N/A</v>
      </c>
      <c r="L4417">
        <v>4408</v>
      </c>
      <c r="M4417" t="e">
        <f>INDEX(Stammdaten[Abholzigkeit (mm/lfm)],MATCH(Tabelle9[[#This Row],[Rank]],Stammdaten[Rank Verteilung Abholzigkeit],0))</f>
        <v>#N/A</v>
      </c>
      <c r="N4417" t="e">
        <f>VLOOKUP(Tabelle9[[#This Row],[Rank]],Stammdaten[[Rank Verteilung Abholzigkeit]:[Verteilung Abholzigkeit]],2,FALSE)</f>
        <v>#N/A</v>
      </c>
      <c r="S4417">
        <v>4408</v>
      </c>
      <c r="T4417" t="e">
        <f>INDEX(Stammdaten[Krümmung (mm/lfm)],MATCH(Tabelle10[[#This Row],[Rank]],Stammdaten[Rank Verteilung Krümmung],0))</f>
        <v>#N/A</v>
      </c>
      <c r="U4417" t="e">
        <f>VLOOKUP(Tabelle10[[#This Row],[Rank]],Stammdaten[[Rank Verteilung Krümmung]:[Verteilung Krümmung]],2,FALSE)</f>
        <v>#N/A</v>
      </c>
      <c r="Z4417">
        <v>4408</v>
      </c>
      <c r="AA4417" t="e">
        <f>INDEX(Stammdaten[Ovalität (']0,1'])],MATCH(Tabelle1014[[#This Row],[Rank]],Stammdaten[Rank Verteilung Ovalität],0))</f>
        <v>#N/A</v>
      </c>
      <c r="AB4417" t="e">
        <f>VLOOKUP(Tabelle1014[[#This Row],[Rank]],Stammdaten[[Rank Verteilung Ovalität]:[Verteilung Ovalität]],2,FALSE)</f>
        <v>#N/A</v>
      </c>
    </row>
    <row r="4418" spans="5:28" x14ac:dyDescent="0.35">
      <c r="E4418">
        <v>4409</v>
      </c>
      <c r="F4418" t="e">
        <f>INDEX(Stammdaten[D Mitte mit Rinde (mm)],MATCH(Tabelle8[[#This Row],[Rank]],Stammdaten[Rank Verteilung D Mitte mit Rinde],0))</f>
        <v>#N/A</v>
      </c>
      <c r="G4418" t="e">
        <f>VLOOKUP(Tabelle8[[#This Row],[Rank]],Stammdaten[[Rank Verteilung D Mitte mit Rinde]:[Verteilung D Mitte mit Rinde]],2,FALSE)</f>
        <v>#N/A</v>
      </c>
      <c r="L4418">
        <v>4409</v>
      </c>
      <c r="M4418" t="e">
        <f>INDEX(Stammdaten[Abholzigkeit (mm/lfm)],MATCH(Tabelle9[[#This Row],[Rank]],Stammdaten[Rank Verteilung Abholzigkeit],0))</f>
        <v>#N/A</v>
      </c>
      <c r="N4418" t="e">
        <f>VLOOKUP(Tabelle9[[#This Row],[Rank]],Stammdaten[[Rank Verteilung Abholzigkeit]:[Verteilung Abholzigkeit]],2,FALSE)</f>
        <v>#N/A</v>
      </c>
      <c r="S4418">
        <v>4409</v>
      </c>
      <c r="T4418" t="e">
        <f>INDEX(Stammdaten[Krümmung (mm/lfm)],MATCH(Tabelle10[[#This Row],[Rank]],Stammdaten[Rank Verteilung Krümmung],0))</f>
        <v>#N/A</v>
      </c>
      <c r="U4418" t="e">
        <f>VLOOKUP(Tabelle10[[#This Row],[Rank]],Stammdaten[[Rank Verteilung Krümmung]:[Verteilung Krümmung]],2,FALSE)</f>
        <v>#N/A</v>
      </c>
      <c r="Z4418">
        <v>4409</v>
      </c>
      <c r="AA4418" t="e">
        <f>INDEX(Stammdaten[Ovalität (']0,1'])],MATCH(Tabelle1014[[#This Row],[Rank]],Stammdaten[Rank Verteilung Ovalität],0))</f>
        <v>#N/A</v>
      </c>
      <c r="AB4418" t="e">
        <f>VLOOKUP(Tabelle1014[[#This Row],[Rank]],Stammdaten[[Rank Verteilung Ovalität]:[Verteilung Ovalität]],2,FALSE)</f>
        <v>#N/A</v>
      </c>
    </row>
    <row r="4419" spans="5:28" x14ac:dyDescent="0.35">
      <c r="E4419">
        <v>4410</v>
      </c>
      <c r="F4419" t="e">
        <f>INDEX(Stammdaten[D Mitte mit Rinde (mm)],MATCH(Tabelle8[[#This Row],[Rank]],Stammdaten[Rank Verteilung D Mitte mit Rinde],0))</f>
        <v>#N/A</v>
      </c>
      <c r="G4419" t="e">
        <f>VLOOKUP(Tabelle8[[#This Row],[Rank]],Stammdaten[[Rank Verteilung D Mitte mit Rinde]:[Verteilung D Mitte mit Rinde]],2,FALSE)</f>
        <v>#N/A</v>
      </c>
      <c r="L4419">
        <v>4410</v>
      </c>
      <c r="M4419" t="e">
        <f>INDEX(Stammdaten[Abholzigkeit (mm/lfm)],MATCH(Tabelle9[[#This Row],[Rank]],Stammdaten[Rank Verteilung Abholzigkeit],0))</f>
        <v>#N/A</v>
      </c>
      <c r="N4419" t="e">
        <f>VLOOKUP(Tabelle9[[#This Row],[Rank]],Stammdaten[[Rank Verteilung Abholzigkeit]:[Verteilung Abholzigkeit]],2,FALSE)</f>
        <v>#N/A</v>
      </c>
      <c r="S4419">
        <v>4410</v>
      </c>
      <c r="T4419" t="e">
        <f>INDEX(Stammdaten[Krümmung (mm/lfm)],MATCH(Tabelle10[[#This Row],[Rank]],Stammdaten[Rank Verteilung Krümmung],0))</f>
        <v>#N/A</v>
      </c>
      <c r="U4419" t="e">
        <f>VLOOKUP(Tabelle10[[#This Row],[Rank]],Stammdaten[[Rank Verteilung Krümmung]:[Verteilung Krümmung]],2,FALSE)</f>
        <v>#N/A</v>
      </c>
      <c r="Z4419">
        <v>4410</v>
      </c>
      <c r="AA4419" t="e">
        <f>INDEX(Stammdaten[Ovalität (']0,1'])],MATCH(Tabelle1014[[#This Row],[Rank]],Stammdaten[Rank Verteilung Ovalität],0))</f>
        <v>#N/A</v>
      </c>
      <c r="AB4419" t="e">
        <f>VLOOKUP(Tabelle1014[[#This Row],[Rank]],Stammdaten[[Rank Verteilung Ovalität]:[Verteilung Ovalität]],2,FALSE)</f>
        <v>#N/A</v>
      </c>
    </row>
    <row r="4420" spans="5:28" x14ac:dyDescent="0.35">
      <c r="E4420">
        <v>4411</v>
      </c>
      <c r="F4420" t="e">
        <f>INDEX(Stammdaten[D Mitte mit Rinde (mm)],MATCH(Tabelle8[[#This Row],[Rank]],Stammdaten[Rank Verteilung D Mitte mit Rinde],0))</f>
        <v>#N/A</v>
      </c>
      <c r="G4420" t="e">
        <f>VLOOKUP(Tabelle8[[#This Row],[Rank]],Stammdaten[[Rank Verteilung D Mitte mit Rinde]:[Verteilung D Mitte mit Rinde]],2,FALSE)</f>
        <v>#N/A</v>
      </c>
      <c r="L4420">
        <v>4411</v>
      </c>
      <c r="M4420" t="e">
        <f>INDEX(Stammdaten[Abholzigkeit (mm/lfm)],MATCH(Tabelle9[[#This Row],[Rank]],Stammdaten[Rank Verteilung Abholzigkeit],0))</f>
        <v>#N/A</v>
      </c>
      <c r="N4420" t="e">
        <f>VLOOKUP(Tabelle9[[#This Row],[Rank]],Stammdaten[[Rank Verteilung Abholzigkeit]:[Verteilung Abholzigkeit]],2,FALSE)</f>
        <v>#N/A</v>
      </c>
      <c r="S4420">
        <v>4411</v>
      </c>
      <c r="T4420" t="e">
        <f>INDEX(Stammdaten[Krümmung (mm/lfm)],MATCH(Tabelle10[[#This Row],[Rank]],Stammdaten[Rank Verteilung Krümmung],0))</f>
        <v>#N/A</v>
      </c>
      <c r="U4420" t="e">
        <f>VLOOKUP(Tabelle10[[#This Row],[Rank]],Stammdaten[[Rank Verteilung Krümmung]:[Verteilung Krümmung]],2,FALSE)</f>
        <v>#N/A</v>
      </c>
      <c r="Z4420">
        <v>4411</v>
      </c>
      <c r="AA4420" t="e">
        <f>INDEX(Stammdaten[Ovalität (']0,1'])],MATCH(Tabelle1014[[#This Row],[Rank]],Stammdaten[Rank Verteilung Ovalität],0))</f>
        <v>#N/A</v>
      </c>
      <c r="AB4420" t="e">
        <f>VLOOKUP(Tabelle1014[[#This Row],[Rank]],Stammdaten[[Rank Verteilung Ovalität]:[Verteilung Ovalität]],2,FALSE)</f>
        <v>#N/A</v>
      </c>
    </row>
    <row r="4421" spans="5:28" x14ac:dyDescent="0.35">
      <c r="E4421">
        <v>4412</v>
      </c>
      <c r="F4421" t="e">
        <f>INDEX(Stammdaten[D Mitte mit Rinde (mm)],MATCH(Tabelle8[[#This Row],[Rank]],Stammdaten[Rank Verteilung D Mitte mit Rinde],0))</f>
        <v>#N/A</v>
      </c>
      <c r="G4421" t="e">
        <f>VLOOKUP(Tabelle8[[#This Row],[Rank]],Stammdaten[[Rank Verteilung D Mitte mit Rinde]:[Verteilung D Mitte mit Rinde]],2,FALSE)</f>
        <v>#N/A</v>
      </c>
      <c r="L4421">
        <v>4412</v>
      </c>
      <c r="M4421" t="e">
        <f>INDEX(Stammdaten[Abholzigkeit (mm/lfm)],MATCH(Tabelle9[[#This Row],[Rank]],Stammdaten[Rank Verteilung Abholzigkeit],0))</f>
        <v>#N/A</v>
      </c>
      <c r="N4421" t="e">
        <f>VLOOKUP(Tabelle9[[#This Row],[Rank]],Stammdaten[[Rank Verteilung Abholzigkeit]:[Verteilung Abholzigkeit]],2,FALSE)</f>
        <v>#N/A</v>
      </c>
      <c r="S4421">
        <v>4412</v>
      </c>
      <c r="T4421" t="e">
        <f>INDEX(Stammdaten[Krümmung (mm/lfm)],MATCH(Tabelle10[[#This Row],[Rank]],Stammdaten[Rank Verteilung Krümmung],0))</f>
        <v>#N/A</v>
      </c>
      <c r="U4421" t="e">
        <f>VLOOKUP(Tabelle10[[#This Row],[Rank]],Stammdaten[[Rank Verteilung Krümmung]:[Verteilung Krümmung]],2,FALSE)</f>
        <v>#N/A</v>
      </c>
      <c r="Z4421">
        <v>4412</v>
      </c>
      <c r="AA4421" t="e">
        <f>INDEX(Stammdaten[Ovalität (']0,1'])],MATCH(Tabelle1014[[#This Row],[Rank]],Stammdaten[Rank Verteilung Ovalität],0))</f>
        <v>#N/A</v>
      </c>
      <c r="AB4421" t="e">
        <f>VLOOKUP(Tabelle1014[[#This Row],[Rank]],Stammdaten[[Rank Verteilung Ovalität]:[Verteilung Ovalität]],2,FALSE)</f>
        <v>#N/A</v>
      </c>
    </row>
    <row r="4422" spans="5:28" x14ac:dyDescent="0.35">
      <c r="E4422">
        <v>4413</v>
      </c>
      <c r="F4422" t="e">
        <f>INDEX(Stammdaten[D Mitte mit Rinde (mm)],MATCH(Tabelle8[[#This Row],[Rank]],Stammdaten[Rank Verteilung D Mitte mit Rinde],0))</f>
        <v>#N/A</v>
      </c>
      <c r="G4422" t="e">
        <f>VLOOKUP(Tabelle8[[#This Row],[Rank]],Stammdaten[[Rank Verteilung D Mitte mit Rinde]:[Verteilung D Mitte mit Rinde]],2,FALSE)</f>
        <v>#N/A</v>
      </c>
      <c r="L4422">
        <v>4413</v>
      </c>
      <c r="M4422" t="e">
        <f>INDEX(Stammdaten[Abholzigkeit (mm/lfm)],MATCH(Tabelle9[[#This Row],[Rank]],Stammdaten[Rank Verteilung Abholzigkeit],0))</f>
        <v>#N/A</v>
      </c>
      <c r="N4422" t="e">
        <f>VLOOKUP(Tabelle9[[#This Row],[Rank]],Stammdaten[[Rank Verteilung Abholzigkeit]:[Verteilung Abholzigkeit]],2,FALSE)</f>
        <v>#N/A</v>
      </c>
      <c r="S4422">
        <v>4413</v>
      </c>
      <c r="T4422" t="e">
        <f>INDEX(Stammdaten[Krümmung (mm/lfm)],MATCH(Tabelle10[[#This Row],[Rank]],Stammdaten[Rank Verteilung Krümmung],0))</f>
        <v>#N/A</v>
      </c>
      <c r="U4422" t="e">
        <f>VLOOKUP(Tabelle10[[#This Row],[Rank]],Stammdaten[[Rank Verteilung Krümmung]:[Verteilung Krümmung]],2,FALSE)</f>
        <v>#N/A</v>
      </c>
      <c r="Z4422">
        <v>4413</v>
      </c>
      <c r="AA4422" t="e">
        <f>INDEX(Stammdaten[Ovalität (']0,1'])],MATCH(Tabelle1014[[#This Row],[Rank]],Stammdaten[Rank Verteilung Ovalität],0))</f>
        <v>#N/A</v>
      </c>
      <c r="AB4422" t="e">
        <f>VLOOKUP(Tabelle1014[[#This Row],[Rank]],Stammdaten[[Rank Verteilung Ovalität]:[Verteilung Ovalität]],2,FALSE)</f>
        <v>#N/A</v>
      </c>
    </row>
    <row r="4423" spans="5:28" x14ac:dyDescent="0.35">
      <c r="E4423">
        <v>4414</v>
      </c>
      <c r="F4423" t="e">
        <f>INDEX(Stammdaten[D Mitte mit Rinde (mm)],MATCH(Tabelle8[[#This Row],[Rank]],Stammdaten[Rank Verteilung D Mitte mit Rinde],0))</f>
        <v>#N/A</v>
      </c>
      <c r="G4423" t="e">
        <f>VLOOKUP(Tabelle8[[#This Row],[Rank]],Stammdaten[[Rank Verteilung D Mitte mit Rinde]:[Verteilung D Mitte mit Rinde]],2,FALSE)</f>
        <v>#N/A</v>
      </c>
      <c r="L4423">
        <v>4414</v>
      </c>
      <c r="M4423" t="e">
        <f>INDEX(Stammdaten[Abholzigkeit (mm/lfm)],MATCH(Tabelle9[[#This Row],[Rank]],Stammdaten[Rank Verteilung Abholzigkeit],0))</f>
        <v>#N/A</v>
      </c>
      <c r="N4423" t="e">
        <f>VLOOKUP(Tabelle9[[#This Row],[Rank]],Stammdaten[[Rank Verteilung Abholzigkeit]:[Verteilung Abholzigkeit]],2,FALSE)</f>
        <v>#N/A</v>
      </c>
      <c r="S4423">
        <v>4414</v>
      </c>
      <c r="T4423" t="e">
        <f>INDEX(Stammdaten[Krümmung (mm/lfm)],MATCH(Tabelle10[[#This Row],[Rank]],Stammdaten[Rank Verteilung Krümmung],0))</f>
        <v>#N/A</v>
      </c>
      <c r="U4423" t="e">
        <f>VLOOKUP(Tabelle10[[#This Row],[Rank]],Stammdaten[[Rank Verteilung Krümmung]:[Verteilung Krümmung]],2,FALSE)</f>
        <v>#N/A</v>
      </c>
      <c r="Z4423">
        <v>4414</v>
      </c>
      <c r="AA4423" t="e">
        <f>INDEX(Stammdaten[Ovalität (']0,1'])],MATCH(Tabelle1014[[#This Row],[Rank]],Stammdaten[Rank Verteilung Ovalität],0))</f>
        <v>#N/A</v>
      </c>
      <c r="AB4423" t="e">
        <f>VLOOKUP(Tabelle1014[[#This Row],[Rank]],Stammdaten[[Rank Verteilung Ovalität]:[Verteilung Ovalität]],2,FALSE)</f>
        <v>#N/A</v>
      </c>
    </row>
    <row r="4424" spans="5:28" x14ac:dyDescent="0.35">
      <c r="E4424">
        <v>4415</v>
      </c>
      <c r="F4424" t="e">
        <f>INDEX(Stammdaten[D Mitte mit Rinde (mm)],MATCH(Tabelle8[[#This Row],[Rank]],Stammdaten[Rank Verteilung D Mitte mit Rinde],0))</f>
        <v>#N/A</v>
      </c>
      <c r="G4424" t="e">
        <f>VLOOKUP(Tabelle8[[#This Row],[Rank]],Stammdaten[[Rank Verteilung D Mitte mit Rinde]:[Verteilung D Mitte mit Rinde]],2,FALSE)</f>
        <v>#N/A</v>
      </c>
      <c r="L4424">
        <v>4415</v>
      </c>
      <c r="M4424" t="e">
        <f>INDEX(Stammdaten[Abholzigkeit (mm/lfm)],MATCH(Tabelle9[[#This Row],[Rank]],Stammdaten[Rank Verteilung Abholzigkeit],0))</f>
        <v>#N/A</v>
      </c>
      <c r="N4424" t="e">
        <f>VLOOKUP(Tabelle9[[#This Row],[Rank]],Stammdaten[[Rank Verteilung Abholzigkeit]:[Verteilung Abholzigkeit]],2,FALSE)</f>
        <v>#N/A</v>
      </c>
      <c r="S4424">
        <v>4415</v>
      </c>
      <c r="T4424" t="e">
        <f>INDEX(Stammdaten[Krümmung (mm/lfm)],MATCH(Tabelle10[[#This Row],[Rank]],Stammdaten[Rank Verteilung Krümmung],0))</f>
        <v>#N/A</v>
      </c>
      <c r="U4424" t="e">
        <f>VLOOKUP(Tabelle10[[#This Row],[Rank]],Stammdaten[[Rank Verteilung Krümmung]:[Verteilung Krümmung]],2,FALSE)</f>
        <v>#N/A</v>
      </c>
      <c r="Z4424">
        <v>4415</v>
      </c>
      <c r="AA4424" t="e">
        <f>INDEX(Stammdaten[Ovalität (']0,1'])],MATCH(Tabelle1014[[#This Row],[Rank]],Stammdaten[Rank Verteilung Ovalität],0))</f>
        <v>#N/A</v>
      </c>
      <c r="AB4424" t="e">
        <f>VLOOKUP(Tabelle1014[[#This Row],[Rank]],Stammdaten[[Rank Verteilung Ovalität]:[Verteilung Ovalität]],2,FALSE)</f>
        <v>#N/A</v>
      </c>
    </row>
    <row r="4425" spans="5:28" x14ac:dyDescent="0.35">
      <c r="E4425">
        <v>4416</v>
      </c>
      <c r="F4425" t="e">
        <f>INDEX(Stammdaten[D Mitte mit Rinde (mm)],MATCH(Tabelle8[[#This Row],[Rank]],Stammdaten[Rank Verteilung D Mitte mit Rinde],0))</f>
        <v>#N/A</v>
      </c>
      <c r="G4425" t="e">
        <f>VLOOKUP(Tabelle8[[#This Row],[Rank]],Stammdaten[[Rank Verteilung D Mitte mit Rinde]:[Verteilung D Mitte mit Rinde]],2,FALSE)</f>
        <v>#N/A</v>
      </c>
      <c r="L4425">
        <v>4416</v>
      </c>
      <c r="M4425" t="e">
        <f>INDEX(Stammdaten[Abholzigkeit (mm/lfm)],MATCH(Tabelle9[[#This Row],[Rank]],Stammdaten[Rank Verteilung Abholzigkeit],0))</f>
        <v>#N/A</v>
      </c>
      <c r="N4425" t="e">
        <f>VLOOKUP(Tabelle9[[#This Row],[Rank]],Stammdaten[[Rank Verteilung Abholzigkeit]:[Verteilung Abholzigkeit]],2,FALSE)</f>
        <v>#N/A</v>
      </c>
      <c r="S4425">
        <v>4416</v>
      </c>
      <c r="T4425" t="e">
        <f>INDEX(Stammdaten[Krümmung (mm/lfm)],MATCH(Tabelle10[[#This Row],[Rank]],Stammdaten[Rank Verteilung Krümmung],0))</f>
        <v>#N/A</v>
      </c>
      <c r="U4425" t="e">
        <f>VLOOKUP(Tabelle10[[#This Row],[Rank]],Stammdaten[[Rank Verteilung Krümmung]:[Verteilung Krümmung]],2,FALSE)</f>
        <v>#N/A</v>
      </c>
      <c r="Z4425">
        <v>4416</v>
      </c>
      <c r="AA4425" t="e">
        <f>INDEX(Stammdaten[Ovalität (']0,1'])],MATCH(Tabelle1014[[#This Row],[Rank]],Stammdaten[Rank Verteilung Ovalität],0))</f>
        <v>#N/A</v>
      </c>
      <c r="AB4425" t="e">
        <f>VLOOKUP(Tabelle1014[[#This Row],[Rank]],Stammdaten[[Rank Verteilung Ovalität]:[Verteilung Ovalität]],2,FALSE)</f>
        <v>#N/A</v>
      </c>
    </row>
    <row r="4426" spans="5:28" x14ac:dyDescent="0.35">
      <c r="E4426">
        <v>4417</v>
      </c>
      <c r="F4426" t="e">
        <f>INDEX(Stammdaten[D Mitte mit Rinde (mm)],MATCH(Tabelle8[[#This Row],[Rank]],Stammdaten[Rank Verteilung D Mitte mit Rinde],0))</f>
        <v>#N/A</v>
      </c>
      <c r="G4426" t="e">
        <f>VLOOKUP(Tabelle8[[#This Row],[Rank]],Stammdaten[[Rank Verteilung D Mitte mit Rinde]:[Verteilung D Mitte mit Rinde]],2,FALSE)</f>
        <v>#N/A</v>
      </c>
      <c r="L4426">
        <v>4417</v>
      </c>
      <c r="M4426" t="e">
        <f>INDEX(Stammdaten[Abholzigkeit (mm/lfm)],MATCH(Tabelle9[[#This Row],[Rank]],Stammdaten[Rank Verteilung Abholzigkeit],0))</f>
        <v>#N/A</v>
      </c>
      <c r="N4426" t="e">
        <f>VLOOKUP(Tabelle9[[#This Row],[Rank]],Stammdaten[[Rank Verteilung Abholzigkeit]:[Verteilung Abholzigkeit]],2,FALSE)</f>
        <v>#N/A</v>
      </c>
      <c r="S4426">
        <v>4417</v>
      </c>
      <c r="T4426" t="e">
        <f>INDEX(Stammdaten[Krümmung (mm/lfm)],MATCH(Tabelle10[[#This Row],[Rank]],Stammdaten[Rank Verteilung Krümmung],0))</f>
        <v>#N/A</v>
      </c>
      <c r="U4426" t="e">
        <f>VLOOKUP(Tabelle10[[#This Row],[Rank]],Stammdaten[[Rank Verteilung Krümmung]:[Verteilung Krümmung]],2,FALSE)</f>
        <v>#N/A</v>
      </c>
      <c r="Z4426">
        <v>4417</v>
      </c>
      <c r="AA4426" t="e">
        <f>INDEX(Stammdaten[Ovalität (']0,1'])],MATCH(Tabelle1014[[#This Row],[Rank]],Stammdaten[Rank Verteilung Ovalität],0))</f>
        <v>#N/A</v>
      </c>
      <c r="AB4426" t="e">
        <f>VLOOKUP(Tabelle1014[[#This Row],[Rank]],Stammdaten[[Rank Verteilung Ovalität]:[Verteilung Ovalität]],2,FALSE)</f>
        <v>#N/A</v>
      </c>
    </row>
    <row r="4427" spans="5:28" x14ac:dyDescent="0.35">
      <c r="E4427">
        <v>4418</v>
      </c>
      <c r="F4427" t="e">
        <f>INDEX(Stammdaten[D Mitte mit Rinde (mm)],MATCH(Tabelle8[[#This Row],[Rank]],Stammdaten[Rank Verteilung D Mitte mit Rinde],0))</f>
        <v>#N/A</v>
      </c>
      <c r="G4427" t="e">
        <f>VLOOKUP(Tabelle8[[#This Row],[Rank]],Stammdaten[[Rank Verteilung D Mitte mit Rinde]:[Verteilung D Mitte mit Rinde]],2,FALSE)</f>
        <v>#N/A</v>
      </c>
      <c r="L4427">
        <v>4418</v>
      </c>
      <c r="M4427" t="e">
        <f>INDEX(Stammdaten[Abholzigkeit (mm/lfm)],MATCH(Tabelle9[[#This Row],[Rank]],Stammdaten[Rank Verteilung Abholzigkeit],0))</f>
        <v>#N/A</v>
      </c>
      <c r="N4427" t="e">
        <f>VLOOKUP(Tabelle9[[#This Row],[Rank]],Stammdaten[[Rank Verteilung Abholzigkeit]:[Verteilung Abholzigkeit]],2,FALSE)</f>
        <v>#N/A</v>
      </c>
      <c r="S4427">
        <v>4418</v>
      </c>
      <c r="T4427" t="e">
        <f>INDEX(Stammdaten[Krümmung (mm/lfm)],MATCH(Tabelle10[[#This Row],[Rank]],Stammdaten[Rank Verteilung Krümmung],0))</f>
        <v>#N/A</v>
      </c>
      <c r="U4427" t="e">
        <f>VLOOKUP(Tabelle10[[#This Row],[Rank]],Stammdaten[[Rank Verteilung Krümmung]:[Verteilung Krümmung]],2,FALSE)</f>
        <v>#N/A</v>
      </c>
      <c r="Z4427">
        <v>4418</v>
      </c>
      <c r="AA4427" t="e">
        <f>INDEX(Stammdaten[Ovalität (']0,1'])],MATCH(Tabelle1014[[#This Row],[Rank]],Stammdaten[Rank Verteilung Ovalität],0))</f>
        <v>#N/A</v>
      </c>
      <c r="AB4427" t="e">
        <f>VLOOKUP(Tabelle1014[[#This Row],[Rank]],Stammdaten[[Rank Verteilung Ovalität]:[Verteilung Ovalität]],2,FALSE)</f>
        <v>#N/A</v>
      </c>
    </row>
    <row r="4428" spans="5:28" x14ac:dyDescent="0.35">
      <c r="E4428">
        <v>4419</v>
      </c>
      <c r="F4428" t="e">
        <f>INDEX(Stammdaten[D Mitte mit Rinde (mm)],MATCH(Tabelle8[[#This Row],[Rank]],Stammdaten[Rank Verteilung D Mitte mit Rinde],0))</f>
        <v>#N/A</v>
      </c>
      <c r="G4428" t="e">
        <f>VLOOKUP(Tabelle8[[#This Row],[Rank]],Stammdaten[[Rank Verteilung D Mitte mit Rinde]:[Verteilung D Mitte mit Rinde]],2,FALSE)</f>
        <v>#N/A</v>
      </c>
      <c r="L4428">
        <v>4419</v>
      </c>
      <c r="M4428" t="e">
        <f>INDEX(Stammdaten[Abholzigkeit (mm/lfm)],MATCH(Tabelle9[[#This Row],[Rank]],Stammdaten[Rank Verteilung Abholzigkeit],0))</f>
        <v>#N/A</v>
      </c>
      <c r="N4428" t="e">
        <f>VLOOKUP(Tabelle9[[#This Row],[Rank]],Stammdaten[[Rank Verteilung Abholzigkeit]:[Verteilung Abholzigkeit]],2,FALSE)</f>
        <v>#N/A</v>
      </c>
      <c r="S4428">
        <v>4419</v>
      </c>
      <c r="T4428" t="e">
        <f>INDEX(Stammdaten[Krümmung (mm/lfm)],MATCH(Tabelle10[[#This Row],[Rank]],Stammdaten[Rank Verteilung Krümmung],0))</f>
        <v>#N/A</v>
      </c>
      <c r="U4428" t="e">
        <f>VLOOKUP(Tabelle10[[#This Row],[Rank]],Stammdaten[[Rank Verteilung Krümmung]:[Verteilung Krümmung]],2,FALSE)</f>
        <v>#N/A</v>
      </c>
      <c r="Z4428">
        <v>4419</v>
      </c>
      <c r="AA4428" t="e">
        <f>INDEX(Stammdaten[Ovalität (']0,1'])],MATCH(Tabelle1014[[#This Row],[Rank]],Stammdaten[Rank Verteilung Ovalität],0))</f>
        <v>#N/A</v>
      </c>
      <c r="AB4428" t="e">
        <f>VLOOKUP(Tabelle1014[[#This Row],[Rank]],Stammdaten[[Rank Verteilung Ovalität]:[Verteilung Ovalität]],2,FALSE)</f>
        <v>#N/A</v>
      </c>
    </row>
    <row r="4429" spans="5:28" x14ac:dyDescent="0.35">
      <c r="E4429">
        <v>4420</v>
      </c>
      <c r="F4429" t="e">
        <f>INDEX(Stammdaten[D Mitte mit Rinde (mm)],MATCH(Tabelle8[[#This Row],[Rank]],Stammdaten[Rank Verteilung D Mitte mit Rinde],0))</f>
        <v>#N/A</v>
      </c>
      <c r="G4429" t="e">
        <f>VLOOKUP(Tabelle8[[#This Row],[Rank]],Stammdaten[[Rank Verteilung D Mitte mit Rinde]:[Verteilung D Mitte mit Rinde]],2,FALSE)</f>
        <v>#N/A</v>
      </c>
      <c r="L4429">
        <v>4420</v>
      </c>
      <c r="M4429" t="e">
        <f>INDEX(Stammdaten[Abholzigkeit (mm/lfm)],MATCH(Tabelle9[[#This Row],[Rank]],Stammdaten[Rank Verteilung Abholzigkeit],0))</f>
        <v>#N/A</v>
      </c>
      <c r="N4429" t="e">
        <f>VLOOKUP(Tabelle9[[#This Row],[Rank]],Stammdaten[[Rank Verteilung Abholzigkeit]:[Verteilung Abholzigkeit]],2,FALSE)</f>
        <v>#N/A</v>
      </c>
      <c r="S4429">
        <v>4420</v>
      </c>
      <c r="T4429" t="e">
        <f>INDEX(Stammdaten[Krümmung (mm/lfm)],MATCH(Tabelle10[[#This Row],[Rank]],Stammdaten[Rank Verteilung Krümmung],0))</f>
        <v>#N/A</v>
      </c>
      <c r="U4429" t="e">
        <f>VLOOKUP(Tabelle10[[#This Row],[Rank]],Stammdaten[[Rank Verteilung Krümmung]:[Verteilung Krümmung]],2,FALSE)</f>
        <v>#N/A</v>
      </c>
      <c r="Z4429">
        <v>4420</v>
      </c>
      <c r="AA4429" t="e">
        <f>INDEX(Stammdaten[Ovalität (']0,1'])],MATCH(Tabelle1014[[#This Row],[Rank]],Stammdaten[Rank Verteilung Ovalität],0))</f>
        <v>#N/A</v>
      </c>
      <c r="AB4429" t="e">
        <f>VLOOKUP(Tabelle1014[[#This Row],[Rank]],Stammdaten[[Rank Verteilung Ovalität]:[Verteilung Ovalität]],2,FALSE)</f>
        <v>#N/A</v>
      </c>
    </row>
    <row r="4430" spans="5:28" x14ac:dyDescent="0.35">
      <c r="E4430">
        <v>4421</v>
      </c>
      <c r="F4430" t="e">
        <f>INDEX(Stammdaten[D Mitte mit Rinde (mm)],MATCH(Tabelle8[[#This Row],[Rank]],Stammdaten[Rank Verteilung D Mitte mit Rinde],0))</f>
        <v>#N/A</v>
      </c>
      <c r="G4430" t="e">
        <f>VLOOKUP(Tabelle8[[#This Row],[Rank]],Stammdaten[[Rank Verteilung D Mitte mit Rinde]:[Verteilung D Mitte mit Rinde]],2,FALSE)</f>
        <v>#N/A</v>
      </c>
      <c r="L4430">
        <v>4421</v>
      </c>
      <c r="M4430" t="e">
        <f>INDEX(Stammdaten[Abholzigkeit (mm/lfm)],MATCH(Tabelle9[[#This Row],[Rank]],Stammdaten[Rank Verteilung Abholzigkeit],0))</f>
        <v>#N/A</v>
      </c>
      <c r="N4430" t="e">
        <f>VLOOKUP(Tabelle9[[#This Row],[Rank]],Stammdaten[[Rank Verteilung Abholzigkeit]:[Verteilung Abholzigkeit]],2,FALSE)</f>
        <v>#N/A</v>
      </c>
      <c r="S4430">
        <v>4421</v>
      </c>
      <c r="T4430" t="e">
        <f>INDEX(Stammdaten[Krümmung (mm/lfm)],MATCH(Tabelle10[[#This Row],[Rank]],Stammdaten[Rank Verteilung Krümmung],0))</f>
        <v>#N/A</v>
      </c>
      <c r="U4430" t="e">
        <f>VLOOKUP(Tabelle10[[#This Row],[Rank]],Stammdaten[[Rank Verteilung Krümmung]:[Verteilung Krümmung]],2,FALSE)</f>
        <v>#N/A</v>
      </c>
      <c r="Z4430">
        <v>4421</v>
      </c>
      <c r="AA4430" t="e">
        <f>INDEX(Stammdaten[Ovalität (']0,1'])],MATCH(Tabelle1014[[#This Row],[Rank]],Stammdaten[Rank Verteilung Ovalität],0))</f>
        <v>#N/A</v>
      </c>
      <c r="AB4430" t="e">
        <f>VLOOKUP(Tabelle1014[[#This Row],[Rank]],Stammdaten[[Rank Verteilung Ovalität]:[Verteilung Ovalität]],2,FALSE)</f>
        <v>#N/A</v>
      </c>
    </row>
    <row r="4431" spans="5:28" x14ac:dyDescent="0.35">
      <c r="E4431">
        <v>4422</v>
      </c>
      <c r="F4431" t="e">
        <f>INDEX(Stammdaten[D Mitte mit Rinde (mm)],MATCH(Tabelle8[[#This Row],[Rank]],Stammdaten[Rank Verteilung D Mitte mit Rinde],0))</f>
        <v>#N/A</v>
      </c>
      <c r="G4431" t="e">
        <f>VLOOKUP(Tabelle8[[#This Row],[Rank]],Stammdaten[[Rank Verteilung D Mitte mit Rinde]:[Verteilung D Mitte mit Rinde]],2,FALSE)</f>
        <v>#N/A</v>
      </c>
      <c r="L4431">
        <v>4422</v>
      </c>
      <c r="M4431" t="e">
        <f>INDEX(Stammdaten[Abholzigkeit (mm/lfm)],MATCH(Tabelle9[[#This Row],[Rank]],Stammdaten[Rank Verteilung Abholzigkeit],0))</f>
        <v>#N/A</v>
      </c>
      <c r="N4431" t="e">
        <f>VLOOKUP(Tabelle9[[#This Row],[Rank]],Stammdaten[[Rank Verteilung Abholzigkeit]:[Verteilung Abholzigkeit]],2,FALSE)</f>
        <v>#N/A</v>
      </c>
      <c r="S4431">
        <v>4422</v>
      </c>
      <c r="T4431" t="e">
        <f>INDEX(Stammdaten[Krümmung (mm/lfm)],MATCH(Tabelle10[[#This Row],[Rank]],Stammdaten[Rank Verteilung Krümmung],0))</f>
        <v>#N/A</v>
      </c>
      <c r="U4431" t="e">
        <f>VLOOKUP(Tabelle10[[#This Row],[Rank]],Stammdaten[[Rank Verteilung Krümmung]:[Verteilung Krümmung]],2,FALSE)</f>
        <v>#N/A</v>
      </c>
      <c r="Z4431">
        <v>4422</v>
      </c>
      <c r="AA4431" t="e">
        <f>INDEX(Stammdaten[Ovalität (']0,1'])],MATCH(Tabelle1014[[#This Row],[Rank]],Stammdaten[Rank Verteilung Ovalität],0))</f>
        <v>#N/A</v>
      </c>
      <c r="AB4431" t="e">
        <f>VLOOKUP(Tabelle1014[[#This Row],[Rank]],Stammdaten[[Rank Verteilung Ovalität]:[Verteilung Ovalität]],2,FALSE)</f>
        <v>#N/A</v>
      </c>
    </row>
    <row r="4432" spans="5:28" x14ac:dyDescent="0.35">
      <c r="E4432">
        <v>4423</v>
      </c>
      <c r="F4432" t="e">
        <f>INDEX(Stammdaten[D Mitte mit Rinde (mm)],MATCH(Tabelle8[[#This Row],[Rank]],Stammdaten[Rank Verteilung D Mitte mit Rinde],0))</f>
        <v>#N/A</v>
      </c>
      <c r="G4432" t="e">
        <f>VLOOKUP(Tabelle8[[#This Row],[Rank]],Stammdaten[[Rank Verteilung D Mitte mit Rinde]:[Verteilung D Mitte mit Rinde]],2,FALSE)</f>
        <v>#N/A</v>
      </c>
      <c r="L4432">
        <v>4423</v>
      </c>
      <c r="M4432" t="e">
        <f>INDEX(Stammdaten[Abholzigkeit (mm/lfm)],MATCH(Tabelle9[[#This Row],[Rank]],Stammdaten[Rank Verteilung Abholzigkeit],0))</f>
        <v>#N/A</v>
      </c>
      <c r="N4432" t="e">
        <f>VLOOKUP(Tabelle9[[#This Row],[Rank]],Stammdaten[[Rank Verteilung Abholzigkeit]:[Verteilung Abholzigkeit]],2,FALSE)</f>
        <v>#N/A</v>
      </c>
      <c r="S4432">
        <v>4423</v>
      </c>
      <c r="T4432" t="e">
        <f>INDEX(Stammdaten[Krümmung (mm/lfm)],MATCH(Tabelle10[[#This Row],[Rank]],Stammdaten[Rank Verteilung Krümmung],0))</f>
        <v>#N/A</v>
      </c>
      <c r="U4432" t="e">
        <f>VLOOKUP(Tabelle10[[#This Row],[Rank]],Stammdaten[[Rank Verteilung Krümmung]:[Verteilung Krümmung]],2,FALSE)</f>
        <v>#N/A</v>
      </c>
      <c r="Z4432">
        <v>4423</v>
      </c>
      <c r="AA4432" t="e">
        <f>INDEX(Stammdaten[Ovalität (']0,1'])],MATCH(Tabelle1014[[#This Row],[Rank]],Stammdaten[Rank Verteilung Ovalität],0))</f>
        <v>#N/A</v>
      </c>
      <c r="AB4432" t="e">
        <f>VLOOKUP(Tabelle1014[[#This Row],[Rank]],Stammdaten[[Rank Verteilung Ovalität]:[Verteilung Ovalität]],2,FALSE)</f>
        <v>#N/A</v>
      </c>
    </row>
    <row r="4433" spans="5:28" x14ac:dyDescent="0.35">
      <c r="E4433">
        <v>4424</v>
      </c>
      <c r="F4433" t="e">
        <f>INDEX(Stammdaten[D Mitte mit Rinde (mm)],MATCH(Tabelle8[[#This Row],[Rank]],Stammdaten[Rank Verteilung D Mitte mit Rinde],0))</f>
        <v>#N/A</v>
      </c>
      <c r="G4433" t="e">
        <f>VLOOKUP(Tabelle8[[#This Row],[Rank]],Stammdaten[[Rank Verteilung D Mitte mit Rinde]:[Verteilung D Mitte mit Rinde]],2,FALSE)</f>
        <v>#N/A</v>
      </c>
      <c r="L4433">
        <v>4424</v>
      </c>
      <c r="M4433" t="e">
        <f>INDEX(Stammdaten[Abholzigkeit (mm/lfm)],MATCH(Tabelle9[[#This Row],[Rank]],Stammdaten[Rank Verteilung Abholzigkeit],0))</f>
        <v>#N/A</v>
      </c>
      <c r="N4433" t="e">
        <f>VLOOKUP(Tabelle9[[#This Row],[Rank]],Stammdaten[[Rank Verteilung Abholzigkeit]:[Verteilung Abholzigkeit]],2,FALSE)</f>
        <v>#N/A</v>
      </c>
      <c r="S4433">
        <v>4424</v>
      </c>
      <c r="T4433" t="e">
        <f>INDEX(Stammdaten[Krümmung (mm/lfm)],MATCH(Tabelle10[[#This Row],[Rank]],Stammdaten[Rank Verteilung Krümmung],0))</f>
        <v>#N/A</v>
      </c>
      <c r="U4433" t="e">
        <f>VLOOKUP(Tabelle10[[#This Row],[Rank]],Stammdaten[[Rank Verteilung Krümmung]:[Verteilung Krümmung]],2,FALSE)</f>
        <v>#N/A</v>
      </c>
      <c r="Z4433">
        <v>4424</v>
      </c>
      <c r="AA4433" t="e">
        <f>INDEX(Stammdaten[Ovalität (']0,1'])],MATCH(Tabelle1014[[#This Row],[Rank]],Stammdaten[Rank Verteilung Ovalität],0))</f>
        <v>#N/A</v>
      </c>
      <c r="AB4433" t="e">
        <f>VLOOKUP(Tabelle1014[[#This Row],[Rank]],Stammdaten[[Rank Verteilung Ovalität]:[Verteilung Ovalität]],2,FALSE)</f>
        <v>#N/A</v>
      </c>
    </row>
    <row r="4434" spans="5:28" x14ac:dyDescent="0.35">
      <c r="E4434">
        <v>4425</v>
      </c>
      <c r="F4434" t="e">
        <f>INDEX(Stammdaten[D Mitte mit Rinde (mm)],MATCH(Tabelle8[[#This Row],[Rank]],Stammdaten[Rank Verteilung D Mitte mit Rinde],0))</f>
        <v>#N/A</v>
      </c>
      <c r="G4434" t="e">
        <f>VLOOKUP(Tabelle8[[#This Row],[Rank]],Stammdaten[[Rank Verteilung D Mitte mit Rinde]:[Verteilung D Mitte mit Rinde]],2,FALSE)</f>
        <v>#N/A</v>
      </c>
      <c r="L4434">
        <v>4425</v>
      </c>
      <c r="M4434" t="e">
        <f>INDEX(Stammdaten[Abholzigkeit (mm/lfm)],MATCH(Tabelle9[[#This Row],[Rank]],Stammdaten[Rank Verteilung Abholzigkeit],0))</f>
        <v>#N/A</v>
      </c>
      <c r="N4434" t="e">
        <f>VLOOKUP(Tabelle9[[#This Row],[Rank]],Stammdaten[[Rank Verteilung Abholzigkeit]:[Verteilung Abholzigkeit]],2,FALSE)</f>
        <v>#N/A</v>
      </c>
      <c r="S4434">
        <v>4425</v>
      </c>
      <c r="T4434" t="e">
        <f>INDEX(Stammdaten[Krümmung (mm/lfm)],MATCH(Tabelle10[[#This Row],[Rank]],Stammdaten[Rank Verteilung Krümmung],0))</f>
        <v>#N/A</v>
      </c>
      <c r="U4434" t="e">
        <f>VLOOKUP(Tabelle10[[#This Row],[Rank]],Stammdaten[[Rank Verteilung Krümmung]:[Verteilung Krümmung]],2,FALSE)</f>
        <v>#N/A</v>
      </c>
      <c r="Z4434">
        <v>4425</v>
      </c>
      <c r="AA4434" t="e">
        <f>INDEX(Stammdaten[Ovalität (']0,1'])],MATCH(Tabelle1014[[#This Row],[Rank]],Stammdaten[Rank Verteilung Ovalität],0))</f>
        <v>#N/A</v>
      </c>
      <c r="AB4434" t="e">
        <f>VLOOKUP(Tabelle1014[[#This Row],[Rank]],Stammdaten[[Rank Verteilung Ovalität]:[Verteilung Ovalität]],2,FALSE)</f>
        <v>#N/A</v>
      </c>
    </row>
    <row r="4435" spans="5:28" x14ac:dyDescent="0.35">
      <c r="E4435">
        <v>4426</v>
      </c>
      <c r="F4435" t="e">
        <f>INDEX(Stammdaten[D Mitte mit Rinde (mm)],MATCH(Tabelle8[[#This Row],[Rank]],Stammdaten[Rank Verteilung D Mitte mit Rinde],0))</f>
        <v>#N/A</v>
      </c>
      <c r="G4435" t="e">
        <f>VLOOKUP(Tabelle8[[#This Row],[Rank]],Stammdaten[[Rank Verteilung D Mitte mit Rinde]:[Verteilung D Mitte mit Rinde]],2,FALSE)</f>
        <v>#N/A</v>
      </c>
      <c r="L4435">
        <v>4426</v>
      </c>
      <c r="M4435" t="e">
        <f>INDEX(Stammdaten[Abholzigkeit (mm/lfm)],MATCH(Tabelle9[[#This Row],[Rank]],Stammdaten[Rank Verteilung Abholzigkeit],0))</f>
        <v>#N/A</v>
      </c>
      <c r="N4435" t="e">
        <f>VLOOKUP(Tabelle9[[#This Row],[Rank]],Stammdaten[[Rank Verteilung Abholzigkeit]:[Verteilung Abholzigkeit]],2,FALSE)</f>
        <v>#N/A</v>
      </c>
      <c r="S4435">
        <v>4426</v>
      </c>
      <c r="T4435" t="e">
        <f>INDEX(Stammdaten[Krümmung (mm/lfm)],MATCH(Tabelle10[[#This Row],[Rank]],Stammdaten[Rank Verteilung Krümmung],0))</f>
        <v>#N/A</v>
      </c>
      <c r="U4435" t="e">
        <f>VLOOKUP(Tabelle10[[#This Row],[Rank]],Stammdaten[[Rank Verteilung Krümmung]:[Verteilung Krümmung]],2,FALSE)</f>
        <v>#N/A</v>
      </c>
      <c r="Z4435">
        <v>4426</v>
      </c>
      <c r="AA4435" t="e">
        <f>INDEX(Stammdaten[Ovalität (']0,1'])],MATCH(Tabelle1014[[#This Row],[Rank]],Stammdaten[Rank Verteilung Ovalität],0))</f>
        <v>#N/A</v>
      </c>
      <c r="AB4435" t="e">
        <f>VLOOKUP(Tabelle1014[[#This Row],[Rank]],Stammdaten[[Rank Verteilung Ovalität]:[Verteilung Ovalität]],2,FALSE)</f>
        <v>#N/A</v>
      </c>
    </row>
    <row r="4436" spans="5:28" x14ac:dyDescent="0.35">
      <c r="E4436">
        <v>4427</v>
      </c>
      <c r="F4436" t="e">
        <f>INDEX(Stammdaten[D Mitte mit Rinde (mm)],MATCH(Tabelle8[[#This Row],[Rank]],Stammdaten[Rank Verteilung D Mitte mit Rinde],0))</f>
        <v>#N/A</v>
      </c>
      <c r="G4436" t="e">
        <f>VLOOKUP(Tabelle8[[#This Row],[Rank]],Stammdaten[[Rank Verteilung D Mitte mit Rinde]:[Verteilung D Mitte mit Rinde]],2,FALSE)</f>
        <v>#N/A</v>
      </c>
      <c r="L4436">
        <v>4427</v>
      </c>
      <c r="M4436" t="e">
        <f>INDEX(Stammdaten[Abholzigkeit (mm/lfm)],MATCH(Tabelle9[[#This Row],[Rank]],Stammdaten[Rank Verteilung Abholzigkeit],0))</f>
        <v>#N/A</v>
      </c>
      <c r="N4436" t="e">
        <f>VLOOKUP(Tabelle9[[#This Row],[Rank]],Stammdaten[[Rank Verteilung Abholzigkeit]:[Verteilung Abholzigkeit]],2,FALSE)</f>
        <v>#N/A</v>
      </c>
      <c r="S4436">
        <v>4427</v>
      </c>
      <c r="T4436" t="e">
        <f>INDEX(Stammdaten[Krümmung (mm/lfm)],MATCH(Tabelle10[[#This Row],[Rank]],Stammdaten[Rank Verteilung Krümmung],0))</f>
        <v>#N/A</v>
      </c>
      <c r="U4436" t="e">
        <f>VLOOKUP(Tabelle10[[#This Row],[Rank]],Stammdaten[[Rank Verteilung Krümmung]:[Verteilung Krümmung]],2,FALSE)</f>
        <v>#N/A</v>
      </c>
      <c r="Z4436">
        <v>4427</v>
      </c>
      <c r="AA4436" t="e">
        <f>INDEX(Stammdaten[Ovalität (']0,1'])],MATCH(Tabelle1014[[#This Row],[Rank]],Stammdaten[Rank Verteilung Ovalität],0))</f>
        <v>#N/A</v>
      </c>
      <c r="AB4436" t="e">
        <f>VLOOKUP(Tabelle1014[[#This Row],[Rank]],Stammdaten[[Rank Verteilung Ovalität]:[Verteilung Ovalität]],2,FALSE)</f>
        <v>#N/A</v>
      </c>
    </row>
    <row r="4437" spans="5:28" x14ac:dyDescent="0.35">
      <c r="E4437">
        <v>4428</v>
      </c>
      <c r="F4437" t="e">
        <f>INDEX(Stammdaten[D Mitte mit Rinde (mm)],MATCH(Tabelle8[[#This Row],[Rank]],Stammdaten[Rank Verteilung D Mitte mit Rinde],0))</f>
        <v>#N/A</v>
      </c>
      <c r="G4437" t="e">
        <f>VLOOKUP(Tabelle8[[#This Row],[Rank]],Stammdaten[[Rank Verteilung D Mitte mit Rinde]:[Verteilung D Mitte mit Rinde]],2,FALSE)</f>
        <v>#N/A</v>
      </c>
      <c r="L4437">
        <v>4428</v>
      </c>
      <c r="M4437" t="e">
        <f>INDEX(Stammdaten[Abholzigkeit (mm/lfm)],MATCH(Tabelle9[[#This Row],[Rank]],Stammdaten[Rank Verteilung Abholzigkeit],0))</f>
        <v>#N/A</v>
      </c>
      <c r="N4437" t="e">
        <f>VLOOKUP(Tabelle9[[#This Row],[Rank]],Stammdaten[[Rank Verteilung Abholzigkeit]:[Verteilung Abholzigkeit]],2,FALSE)</f>
        <v>#N/A</v>
      </c>
      <c r="S4437">
        <v>4428</v>
      </c>
      <c r="T4437" t="e">
        <f>INDEX(Stammdaten[Krümmung (mm/lfm)],MATCH(Tabelle10[[#This Row],[Rank]],Stammdaten[Rank Verteilung Krümmung],0))</f>
        <v>#N/A</v>
      </c>
      <c r="U4437" t="e">
        <f>VLOOKUP(Tabelle10[[#This Row],[Rank]],Stammdaten[[Rank Verteilung Krümmung]:[Verteilung Krümmung]],2,FALSE)</f>
        <v>#N/A</v>
      </c>
      <c r="Z4437">
        <v>4428</v>
      </c>
      <c r="AA4437" t="e">
        <f>INDEX(Stammdaten[Ovalität (']0,1'])],MATCH(Tabelle1014[[#This Row],[Rank]],Stammdaten[Rank Verteilung Ovalität],0))</f>
        <v>#N/A</v>
      </c>
      <c r="AB4437" t="e">
        <f>VLOOKUP(Tabelle1014[[#This Row],[Rank]],Stammdaten[[Rank Verteilung Ovalität]:[Verteilung Ovalität]],2,FALSE)</f>
        <v>#N/A</v>
      </c>
    </row>
    <row r="4438" spans="5:28" x14ac:dyDescent="0.35">
      <c r="E4438">
        <v>4429</v>
      </c>
      <c r="F4438" t="e">
        <f>INDEX(Stammdaten[D Mitte mit Rinde (mm)],MATCH(Tabelle8[[#This Row],[Rank]],Stammdaten[Rank Verteilung D Mitte mit Rinde],0))</f>
        <v>#N/A</v>
      </c>
      <c r="G4438" t="e">
        <f>VLOOKUP(Tabelle8[[#This Row],[Rank]],Stammdaten[[Rank Verteilung D Mitte mit Rinde]:[Verteilung D Mitte mit Rinde]],2,FALSE)</f>
        <v>#N/A</v>
      </c>
      <c r="L4438">
        <v>4429</v>
      </c>
      <c r="M4438" t="e">
        <f>INDEX(Stammdaten[Abholzigkeit (mm/lfm)],MATCH(Tabelle9[[#This Row],[Rank]],Stammdaten[Rank Verteilung Abholzigkeit],0))</f>
        <v>#N/A</v>
      </c>
      <c r="N4438" t="e">
        <f>VLOOKUP(Tabelle9[[#This Row],[Rank]],Stammdaten[[Rank Verteilung Abholzigkeit]:[Verteilung Abholzigkeit]],2,FALSE)</f>
        <v>#N/A</v>
      </c>
      <c r="S4438">
        <v>4429</v>
      </c>
      <c r="T4438" t="e">
        <f>INDEX(Stammdaten[Krümmung (mm/lfm)],MATCH(Tabelle10[[#This Row],[Rank]],Stammdaten[Rank Verteilung Krümmung],0))</f>
        <v>#N/A</v>
      </c>
      <c r="U4438" t="e">
        <f>VLOOKUP(Tabelle10[[#This Row],[Rank]],Stammdaten[[Rank Verteilung Krümmung]:[Verteilung Krümmung]],2,FALSE)</f>
        <v>#N/A</v>
      </c>
      <c r="Z4438">
        <v>4429</v>
      </c>
      <c r="AA4438" t="e">
        <f>INDEX(Stammdaten[Ovalität (']0,1'])],MATCH(Tabelle1014[[#This Row],[Rank]],Stammdaten[Rank Verteilung Ovalität],0))</f>
        <v>#N/A</v>
      </c>
      <c r="AB4438" t="e">
        <f>VLOOKUP(Tabelle1014[[#This Row],[Rank]],Stammdaten[[Rank Verteilung Ovalität]:[Verteilung Ovalität]],2,FALSE)</f>
        <v>#N/A</v>
      </c>
    </row>
    <row r="4439" spans="5:28" x14ac:dyDescent="0.35">
      <c r="E4439">
        <v>4430</v>
      </c>
      <c r="F4439" t="e">
        <f>INDEX(Stammdaten[D Mitte mit Rinde (mm)],MATCH(Tabelle8[[#This Row],[Rank]],Stammdaten[Rank Verteilung D Mitte mit Rinde],0))</f>
        <v>#N/A</v>
      </c>
      <c r="G4439" t="e">
        <f>VLOOKUP(Tabelle8[[#This Row],[Rank]],Stammdaten[[Rank Verteilung D Mitte mit Rinde]:[Verteilung D Mitte mit Rinde]],2,FALSE)</f>
        <v>#N/A</v>
      </c>
      <c r="L4439">
        <v>4430</v>
      </c>
      <c r="M4439" t="e">
        <f>INDEX(Stammdaten[Abholzigkeit (mm/lfm)],MATCH(Tabelle9[[#This Row],[Rank]],Stammdaten[Rank Verteilung Abholzigkeit],0))</f>
        <v>#N/A</v>
      </c>
      <c r="N4439" t="e">
        <f>VLOOKUP(Tabelle9[[#This Row],[Rank]],Stammdaten[[Rank Verteilung Abholzigkeit]:[Verteilung Abholzigkeit]],2,FALSE)</f>
        <v>#N/A</v>
      </c>
      <c r="S4439">
        <v>4430</v>
      </c>
      <c r="T4439" t="e">
        <f>INDEX(Stammdaten[Krümmung (mm/lfm)],MATCH(Tabelle10[[#This Row],[Rank]],Stammdaten[Rank Verteilung Krümmung],0))</f>
        <v>#N/A</v>
      </c>
      <c r="U4439" t="e">
        <f>VLOOKUP(Tabelle10[[#This Row],[Rank]],Stammdaten[[Rank Verteilung Krümmung]:[Verteilung Krümmung]],2,FALSE)</f>
        <v>#N/A</v>
      </c>
      <c r="Z4439">
        <v>4430</v>
      </c>
      <c r="AA4439" t="e">
        <f>INDEX(Stammdaten[Ovalität (']0,1'])],MATCH(Tabelle1014[[#This Row],[Rank]],Stammdaten[Rank Verteilung Ovalität],0))</f>
        <v>#N/A</v>
      </c>
      <c r="AB4439" t="e">
        <f>VLOOKUP(Tabelle1014[[#This Row],[Rank]],Stammdaten[[Rank Verteilung Ovalität]:[Verteilung Ovalität]],2,FALSE)</f>
        <v>#N/A</v>
      </c>
    </row>
    <row r="4440" spans="5:28" x14ac:dyDescent="0.35">
      <c r="E4440">
        <v>4431</v>
      </c>
      <c r="F4440" t="e">
        <f>INDEX(Stammdaten[D Mitte mit Rinde (mm)],MATCH(Tabelle8[[#This Row],[Rank]],Stammdaten[Rank Verteilung D Mitte mit Rinde],0))</f>
        <v>#N/A</v>
      </c>
      <c r="G4440" t="e">
        <f>VLOOKUP(Tabelle8[[#This Row],[Rank]],Stammdaten[[Rank Verteilung D Mitte mit Rinde]:[Verteilung D Mitte mit Rinde]],2,FALSE)</f>
        <v>#N/A</v>
      </c>
      <c r="L4440">
        <v>4431</v>
      </c>
      <c r="M4440" t="e">
        <f>INDEX(Stammdaten[Abholzigkeit (mm/lfm)],MATCH(Tabelle9[[#This Row],[Rank]],Stammdaten[Rank Verteilung Abholzigkeit],0))</f>
        <v>#N/A</v>
      </c>
      <c r="N4440" t="e">
        <f>VLOOKUP(Tabelle9[[#This Row],[Rank]],Stammdaten[[Rank Verteilung Abholzigkeit]:[Verteilung Abholzigkeit]],2,FALSE)</f>
        <v>#N/A</v>
      </c>
      <c r="S4440">
        <v>4431</v>
      </c>
      <c r="T4440" t="e">
        <f>INDEX(Stammdaten[Krümmung (mm/lfm)],MATCH(Tabelle10[[#This Row],[Rank]],Stammdaten[Rank Verteilung Krümmung],0))</f>
        <v>#N/A</v>
      </c>
      <c r="U4440" t="e">
        <f>VLOOKUP(Tabelle10[[#This Row],[Rank]],Stammdaten[[Rank Verteilung Krümmung]:[Verteilung Krümmung]],2,FALSE)</f>
        <v>#N/A</v>
      </c>
      <c r="Z4440">
        <v>4431</v>
      </c>
      <c r="AA4440" t="e">
        <f>INDEX(Stammdaten[Ovalität (']0,1'])],MATCH(Tabelle1014[[#This Row],[Rank]],Stammdaten[Rank Verteilung Ovalität],0))</f>
        <v>#N/A</v>
      </c>
      <c r="AB4440" t="e">
        <f>VLOOKUP(Tabelle1014[[#This Row],[Rank]],Stammdaten[[Rank Verteilung Ovalität]:[Verteilung Ovalität]],2,FALSE)</f>
        <v>#N/A</v>
      </c>
    </row>
    <row r="4441" spans="5:28" x14ac:dyDescent="0.35">
      <c r="E4441">
        <v>4432</v>
      </c>
      <c r="F4441" t="e">
        <f>INDEX(Stammdaten[D Mitte mit Rinde (mm)],MATCH(Tabelle8[[#This Row],[Rank]],Stammdaten[Rank Verteilung D Mitte mit Rinde],0))</f>
        <v>#N/A</v>
      </c>
      <c r="G4441" t="e">
        <f>VLOOKUP(Tabelle8[[#This Row],[Rank]],Stammdaten[[Rank Verteilung D Mitte mit Rinde]:[Verteilung D Mitte mit Rinde]],2,FALSE)</f>
        <v>#N/A</v>
      </c>
      <c r="L4441">
        <v>4432</v>
      </c>
      <c r="M4441" t="e">
        <f>INDEX(Stammdaten[Abholzigkeit (mm/lfm)],MATCH(Tabelle9[[#This Row],[Rank]],Stammdaten[Rank Verteilung Abholzigkeit],0))</f>
        <v>#N/A</v>
      </c>
      <c r="N4441" t="e">
        <f>VLOOKUP(Tabelle9[[#This Row],[Rank]],Stammdaten[[Rank Verteilung Abholzigkeit]:[Verteilung Abholzigkeit]],2,FALSE)</f>
        <v>#N/A</v>
      </c>
      <c r="S4441">
        <v>4432</v>
      </c>
      <c r="T4441" t="e">
        <f>INDEX(Stammdaten[Krümmung (mm/lfm)],MATCH(Tabelle10[[#This Row],[Rank]],Stammdaten[Rank Verteilung Krümmung],0))</f>
        <v>#N/A</v>
      </c>
      <c r="U4441" t="e">
        <f>VLOOKUP(Tabelle10[[#This Row],[Rank]],Stammdaten[[Rank Verteilung Krümmung]:[Verteilung Krümmung]],2,FALSE)</f>
        <v>#N/A</v>
      </c>
      <c r="Z4441">
        <v>4432</v>
      </c>
      <c r="AA4441" t="e">
        <f>INDEX(Stammdaten[Ovalität (']0,1'])],MATCH(Tabelle1014[[#This Row],[Rank]],Stammdaten[Rank Verteilung Ovalität],0))</f>
        <v>#N/A</v>
      </c>
      <c r="AB4441" t="e">
        <f>VLOOKUP(Tabelle1014[[#This Row],[Rank]],Stammdaten[[Rank Verteilung Ovalität]:[Verteilung Ovalität]],2,FALSE)</f>
        <v>#N/A</v>
      </c>
    </row>
    <row r="4442" spans="5:28" x14ac:dyDescent="0.35">
      <c r="E4442">
        <v>4433</v>
      </c>
      <c r="F4442" t="e">
        <f>INDEX(Stammdaten[D Mitte mit Rinde (mm)],MATCH(Tabelle8[[#This Row],[Rank]],Stammdaten[Rank Verteilung D Mitte mit Rinde],0))</f>
        <v>#N/A</v>
      </c>
      <c r="G4442" t="e">
        <f>VLOOKUP(Tabelle8[[#This Row],[Rank]],Stammdaten[[Rank Verteilung D Mitte mit Rinde]:[Verteilung D Mitte mit Rinde]],2,FALSE)</f>
        <v>#N/A</v>
      </c>
      <c r="L4442">
        <v>4433</v>
      </c>
      <c r="M4442" t="e">
        <f>INDEX(Stammdaten[Abholzigkeit (mm/lfm)],MATCH(Tabelle9[[#This Row],[Rank]],Stammdaten[Rank Verteilung Abholzigkeit],0))</f>
        <v>#N/A</v>
      </c>
      <c r="N4442" t="e">
        <f>VLOOKUP(Tabelle9[[#This Row],[Rank]],Stammdaten[[Rank Verteilung Abholzigkeit]:[Verteilung Abholzigkeit]],2,FALSE)</f>
        <v>#N/A</v>
      </c>
      <c r="S4442">
        <v>4433</v>
      </c>
      <c r="T4442" t="e">
        <f>INDEX(Stammdaten[Krümmung (mm/lfm)],MATCH(Tabelle10[[#This Row],[Rank]],Stammdaten[Rank Verteilung Krümmung],0))</f>
        <v>#N/A</v>
      </c>
      <c r="U4442" t="e">
        <f>VLOOKUP(Tabelle10[[#This Row],[Rank]],Stammdaten[[Rank Verteilung Krümmung]:[Verteilung Krümmung]],2,FALSE)</f>
        <v>#N/A</v>
      </c>
      <c r="Z4442">
        <v>4433</v>
      </c>
      <c r="AA4442" t="e">
        <f>INDEX(Stammdaten[Ovalität (']0,1'])],MATCH(Tabelle1014[[#This Row],[Rank]],Stammdaten[Rank Verteilung Ovalität],0))</f>
        <v>#N/A</v>
      </c>
      <c r="AB4442" t="e">
        <f>VLOOKUP(Tabelle1014[[#This Row],[Rank]],Stammdaten[[Rank Verteilung Ovalität]:[Verteilung Ovalität]],2,FALSE)</f>
        <v>#N/A</v>
      </c>
    </row>
    <row r="4443" spans="5:28" x14ac:dyDescent="0.35">
      <c r="E4443">
        <v>4434</v>
      </c>
      <c r="F4443" t="e">
        <f>INDEX(Stammdaten[D Mitte mit Rinde (mm)],MATCH(Tabelle8[[#This Row],[Rank]],Stammdaten[Rank Verteilung D Mitte mit Rinde],0))</f>
        <v>#N/A</v>
      </c>
      <c r="G4443" t="e">
        <f>VLOOKUP(Tabelle8[[#This Row],[Rank]],Stammdaten[[Rank Verteilung D Mitte mit Rinde]:[Verteilung D Mitte mit Rinde]],2,FALSE)</f>
        <v>#N/A</v>
      </c>
      <c r="L4443">
        <v>4434</v>
      </c>
      <c r="M4443" t="e">
        <f>INDEX(Stammdaten[Abholzigkeit (mm/lfm)],MATCH(Tabelle9[[#This Row],[Rank]],Stammdaten[Rank Verteilung Abholzigkeit],0))</f>
        <v>#N/A</v>
      </c>
      <c r="N4443" t="e">
        <f>VLOOKUP(Tabelle9[[#This Row],[Rank]],Stammdaten[[Rank Verteilung Abholzigkeit]:[Verteilung Abholzigkeit]],2,FALSE)</f>
        <v>#N/A</v>
      </c>
      <c r="S4443">
        <v>4434</v>
      </c>
      <c r="T4443" t="e">
        <f>INDEX(Stammdaten[Krümmung (mm/lfm)],MATCH(Tabelle10[[#This Row],[Rank]],Stammdaten[Rank Verteilung Krümmung],0))</f>
        <v>#N/A</v>
      </c>
      <c r="U4443" t="e">
        <f>VLOOKUP(Tabelle10[[#This Row],[Rank]],Stammdaten[[Rank Verteilung Krümmung]:[Verteilung Krümmung]],2,FALSE)</f>
        <v>#N/A</v>
      </c>
      <c r="Z4443">
        <v>4434</v>
      </c>
      <c r="AA4443" t="e">
        <f>INDEX(Stammdaten[Ovalität (']0,1'])],MATCH(Tabelle1014[[#This Row],[Rank]],Stammdaten[Rank Verteilung Ovalität],0))</f>
        <v>#N/A</v>
      </c>
      <c r="AB4443" t="e">
        <f>VLOOKUP(Tabelle1014[[#This Row],[Rank]],Stammdaten[[Rank Verteilung Ovalität]:[Verteilung Ovalität]],2,FALSE)</f>
        <v>#N/A</v>
      </c>
    </row>
    <row r="4444" spans="5:28" x14ac:dyDescent="0.35">
      <c r="E4444">
        <v>4435</v>
      </c>
      <c r="F4444" t="e">
        <f>INDEX(Stammdaten[D Mitte mit Rinde (mm)],MATCH(Tabelle8[[#This Row],[Rank]],Stammdaten[Rank Verteilung D Mitte mit Rinde],0))</f>
        <v>#N/A</v>
      </c>
      <c r="G4444" t="e">
        <f>VLOOKUP(Tabelle8[[#This Row],[Rank]],Stammdaten[[Rank Verteilung D Mitte mit Rinde]:[Verteilung D Mitte mit Rinde]],2,FALSE)</f>
        <v>#N/A</v>
      </c>
      <c r="L4444">
        <v>4435</v>
      </c>
      <c r="M4444" t="e">
        <f>INDEX(Stammdaten[Abholzigkeit (mm/lfm)],MATCH(Tabelle9[[#This Row],[Rank]],Stammdaten[Rank Verteilung Abholzigkeit],0))</f>
        <v>#N/A</v>
      </c>
      <c r="N4444" t="e">
        <f>VLOOKUP(Tabelle9[[#This Row],[Rank]],Stammdaten[[Rank Verteilung Abholzigkeit]:[Verteilung Abholzigkeit]],2,FALSE)</f>
        <v>#N/A</v>
      </c>
      <c r="S4444">
        <v>4435</v>
      </c>
      <c r="T4444" t="e">
        <f>INDEX(Stammdaten[Krümmung (mm/lfm)],MATCH(Tabelle10[[#This Row],[Rank]],Stammdaten[Rank Verteilung Krümmung],0))</f>
        <v>#N/A</v>
      </c>
      <c r="U4444" t="e">
        <f>VLOOKUP(Tabelle10[[#This Row],[Rank]],Stammdaten[[Rank Verteilung Krümmung]:[Verteilung Krümmung]],2,FALSE)</f>
        <v>#N/A</v>
      </c>
      <c r="Z4444">
        <v>4435</v>
      </c>
      <c r="AA4444" t="e">
        <f>INDEX(Stammdaten[Ovalität (']0,1'])],MATCH(Tabelle1014[[#This Row],[Rank]],Stammdaten[Rank Verteilung Ovalität],0))</f>
        <v>#N/A</v>
      </c>
      <c r="AB4444" t="e">
        <f>VLOOKUP(Tabelle1014[[#This Row],[Rank]],Stammdaten[[Rank Verteilung Ovalität]:[Verteilung Ovalität]],2,FALSE)</f>
        <v>#N/A</v>
      </c>
    </row>
    <row r="4445" spans="5:28" x14ac:dyDescent="0.35">
      <c r="E4445">
        <v>4436</v>
      </c>
      <c r="F4445" t="e">
        <f>INDEX(Stammdaten[D Mitte mit Rinde (mm)],MATCH(Tabelle8[[#This Row],[Rank]],Stammdaten[Rank Verteilung D Mitte mit Rinde],0))</f>
        <v>#N/A</v>
      </c>
      <c r="G4445" t="e">
        <f>VLOOKUP(Tabelle8[[#This Row],[Rank]],Stammdaten[[Rank Verteilung D Mitte mit Rinde]:[Verteilung D Mitte mit Rinde]],2,FALSE)</f>
        <v>#N/A</v>
      </c>
      <c r="L4445">
        <v>4436</v>
      </c>
      <c r="M4445" t="e">
        <f>INDEX(Stammdaten[Abholzigkeit (mm/lfm)],MATCH(Tabelle9[[#This Row],[Rank]],Stammdaten[Rank Verteilung Abholzigkeit],0))</f>
        <v>#N/A</v>
      </c>
      <c r="N4445" t="e">
        <f>VLOOKUP(Tabelle9[[#This Row],[Rank]],Stammdaten[[Rank Verteilung Abholzigkeit]:[Verteilung Abholzigkeit]],2,FALSE)</f>
        <v>#N/A</v>
      </c>
      <c r="S4445">
        <v>4436</v>
      </c>
      <c r="T4445" t="e">
        <f>INDEX(Stammdaten[Krümmung (mm/lfm)],MATCH(Tabelle10[[#This Row],[Rank]],Stammdaten[Rank Verteilung Krümmung],0))</f>
        <v>#N/A</v>
      </c>
      <c r="U4445" t="e">
        <f>VLOOKUP(Tabelle10[[#This Row],[Rank]],Stammdaten[[Rank Verteilung Krümmung]:[Verteilung Krümmung]],2,FALSE)</f>
        <v>#N/A</v>
      </c>
      <c r="Z4445">
        <v>4436</v>
      </c>
      <c r="AA4445" t="e">
        <f>INDEX(Stammdaten[Ovalität (']0,1'])],MATCH(Tabelle1014[[#This Row],[Rank]],Stammdaten[Rank Verteilung Ovalität],0))</f>
        <v>#N/A</v>
      </c>
      <c r="AB4445" t="e">
        <f>VLOOKUP(Tabelle1014[[#This Row],[Rank]],Stammdaten[[Rank Verteilung Ovalität]:[Verteilung Ovalität]],2,FALSE)</f>
        <v>#N/A</v>
      </c>
    </row>
    <row r="4446" spans="5:28" x14ac:dyDescent="0.35">
      <c r="E4446">
        <v>4437</v>
      </c>
      <c r="F4446" t="e">
        <f>INDEX(Stammdaten[D Mitte mit Rinde (mm)],MATCH(Tabelle8[[#This Row],[Rank]],Stammdaten[Rank Verteilung D Mitte mit Rinde],0))</f>
        <v>#N/A</v>
      </c>
      <c r="G4446" t="e">
        <f>VLOOKUP(Tabelle8[[#This Row],[Rank]],Stammdaten[[Rank Verteilung D Mitte mit Rinde]:[Verteilung D Mitte mit Rinde]],2,FALSE)</f>
        <v>#N/A</v>
      </c>
      <c r="L4446">
        <v>4437</v>
      </c>
      <c r="M4446" t="e">
        <f>INDEX(Stammdaten[Abholzigkeit (mm/lfm)],MATCH(Tabelle9[[#This Row],[Rank]],Stammdaten[Rank Verteilung Abholzigkeit],0))</f>
        <v>#N/A</v>
      </c>
      <c r="N4446" t="e">
        <f>VLOOKUP(Tabelle9[[#This Row],[Rank]],Stammdaten[[Rank Verteilung Abholzigkeit]:[Verteilung Abholzigkeit]],2,FALSE)</f>
        <v>#N/A</v>
      </c>
      <c r="S4446">
        <v>4437</v>
      </c>
      <c r="T4446" t="e">
        <f>INDEX(Stammdaten[Krümmung (mm/lfm)],MATCH(Tabelle10[[#This Row],[Rank]],Stammdaten[Rank Verteilung Krümmung],0))</f>
        <v>#N/A</v>
      </c>
      <c r="U4446" t="e">
        <f>VLOOKUP(Tabelle10[[#This Row],[Rank]],Stammdaten[[Rank Verteilung Krümmung]:[Verteilung Krümmung]],2,FALSE)</f>
        <v>#N/A</v>
      </c>
      <c r="Z4446">
        <v>4437</v>
      </c>
      <c r="AA4446" t="e">
        <f>INDEX(Stammdaten[Ovalität (']0,1'])],MATCH(Tabelle1014[[#This Row],[Rank]],Stammdaten[Rank Verteilung Ovalität],0))</f>
        <v>#N/A</v>
      </c>
      <c r="AB4446" t="e">
        <f>VLOOKUP(Tabelle1014[[#This Row],[Rank]],Stammdaten[[Rank Verteilung Ovalität]:[Verteilung Ovalität]],2,FALSE)</f>
        <v>#N/A</v>
      </c>
    </row>
    <row r="4447" spans="5:28" x14ac:dyDescent="0.35">
      <c r="E4447">
        <v>4438</v>
      </c>
      <c r="F4447" t="e">
        <f>INDEX(Stammdaten[D Mitte mit Rinde (mm)],MATCH(Tabelle8[[#This Row],[Rank]],Stammdaten[Rank Verteilung D Mitte mit Rinde],0))</f>
        <v>#N/A</v>
      </c>
      <c r="G4447" t="e">
        <f>VLOOKUP(Tabelle8[[#This Row],[Rank]],Stammdaten[[Rank Verteilung D Mitte mit Rinde]:[Verteilung D Mitte mit Rinde]],2,FALSE)</f>
        <v>#N/A</v>
      </c>
      <c r="L4447">
        <v>4438</v>
      </c>
      <c r="M4447" t="e">
        <f>INDEX(Stammdaten[Abholzigkeit (mm/lfm)],MATCH(Tabelle9[[#This Row],[Rank]],Stammdaten[Rank Verteilung Abholzigkeit],0))</f>
        <v>#N/A</v>
      </c>
      <c r="N4447" t="e">
        <f>VLOOKUP(Tabelle9[[#This Row],[Rank]],Stammdaten[[Rank Verteilung Abholzigkeit]:[Verteilung Abholzigkeit]],2,FALSE)</f>
        <v>#N/A</v>
      </c>
      <c r="S4447">
        <v>4438</v>
      </c>
      <c r="T4447" t="e">
        <f>INDEX(Stammdaten[Krümmung (mm/lfm)],MATCH(Tabelle10[[#This Row],[Rank]],Stammdaten[Rank Verteilung Krümmung],0))</f>
        <v>#N/A</v>
      </c>
      <c r="U4447" t="e">
        <f>VLOOKUP(Tabelle10[[#This Row],[Rank]],Stammdaten[[Rank Verteilung Krümmung]:[Verteilung Krümmung]],2,FALSE)</f>
        <v>#N/A</v>
      </c>
      <c r="Z4447">
        <v>4438</v>
      </c>
      <c r="AA4447" t="e">
        <f>INDEX(Stammdaten[Ovalität (']0,1'])],MATCH(Tabelle1014[[#This Row],[Rank]],Stammdaten[Rank Verteilung Ovalität],0))</f>
        <v>#N/A</v>
      </c>
      <c r="AB4447" t="e">
        <f>VLOOKUP(Tabelle1014[[#This Row],[Rank]],Stammdaten[[Rank Verteilung Ovalität]:[Verteilung Ovalität]],2,FALSE)</f>
        <v>#N/A</v>
      </c>
    </row>
    <row r="4448" spans="5:28" x14ac:dyDescent="0.35">
      <c r="E4448">
        <v>4439</v>
      </c>
      <c r="F4448" t="e">
        <f>INDEX(Stammdaten[D Mitte mit Rinde (mm)],MATCH(Tabelle8[[#This Row],[Rank]],Stammdaten[Rank Verteilung D Mitte mit Rinde],0))</f>
        <v>#N/A</v>
      </c>
      <c r="G4448" t="e">
        <f>VLOOKUP(Tabelle8[[#This Row],[Rank]],Stammdaten[[Rank Verteilung D Mitte mit Rinde]:[Verteilung D Mitte mit Rinde]],2,FALSE)</f>
        <v>#N/A</v>
      </c>
      <c r="L4448">
        <v>4439</v>
      </c>
      <c r="M4448" t="e">
        <f>INDEX(Stammdaten[Abholzigkeit (mm/lfm)],MATCH(Tabelle9[[#This Row],[Rank]],Stammdaten[Rank Verteilung Abholzigkeit],0))</f>
        <v>#N/A</v>
      </c>
      <c r="N4448" t="e">
        <f>VLOOKUP(Tabelle9[[#This Row],[Rank]],Stammdaten[[Rank Verteilung Abholzigkeit]:[Verteilung Abholzigkeit]],2,FALSE)</f>
        <v>#N/A</v>
      </c>
      <c r="S4448">
        <v>4439</v>
      </c>
      <c r="T4448" t="e">
        <f>INDEX(Stammdaten[Krümmung (mm/lfm)],MATCH(Tabelle10[[#This Row],[Rank]],Stammdaten[Rank Verteilung Krümmung],0))</f>
        <v>#N/A</v>
      </c>
      <c r="U4448" t="e">
        <f>VLOOKUP(Tabelle10[[#This Row],[Rank]],Stammdaten[[Rank Verteilung Krümmung]:[Verteilung Krümmung]],2,FALSE)</f>
        <v>#N/A</v>
      </c>
      <c r="Z4448">
        <v>4439</v>
      </c>
      <c r="AA4448" t="e">
        <f>INDEX(Stammdaten[Ovalität (']0,1'])],MATCH(Tabelle1014[[#This Row],[Rank]],Stammdaten[Rank Verteilung Ovalität],0))</f>
        <v>#N/A</v>
      </c>
      <c r="AB4448" t="e">
        <f>VLOOKUP(Tabelle1014[[#This Row],[Rank]],Stammdaten[[Rank Verteilung Ovalität]:[Verteilung Ovalität]],2,FALSE)</f>
        <v>#N/A</v>
      </c>
    </row>
    <row r="4449" spans="5:28" x14ac:dyDescent="0.35">
      <c r="E4449">
        <v>4440</v>
      </c>
      <c r="F4449" t="e">
        <f>INDEX(Stammdaten[D Mitte mit Rinde (mm)],MATCH(Tabelle8[[#This Row],[Rank]],Stammdaten[Rank Verteilung D Mitte mit Rinde],0))</f>
        <v>#N/A</v>
      </c>
      <c r="G4449" t="e">
        <f>VLOOKUP(Tabelle8[[#This Row],[Rank]],Stammdaten[[Rank Verteilung D Mitte mit Rinde]:[Verteilung D Mitte mit Rinde]],2,FALSE)</f>
        <v>#N/A</v>
      </c>
      <c r="L4449">
        <v>4440</v>
      </c>
      <c r="M4449" t="e">
        <f>INDEX(Stammdaten[Abholzigkeit (mm/lfm)],MATCH(Tabelle9[[#This Row],[Rank]],Stammdaten[Rank Verteilung Abholzigkeit],0))</f>
        <v>#N/A</v>
      </c>
      <c r="N4449" t="e">
        <f>VLOOKUP(Tabelle9[[#This Row],[Rank]],Stammdaten[[Rank Verteilung Abholzigkeit]:[Verteilung Abholzigkeit]],2,FALSE)</f>
        <v>#N/A</v>
      </c>
      <c r="S4449">
        <v>4440</v>
      </c>
      <c r="T4449" t="e">
        <f>INDEX(Stammdaten[Krümmung (mm/lfm)],MATCH(Tabelle10[[#This Row],[Rank]],Stammdaten[Rank Verteilung Krümmung],0))</f>
        <v>#N/A</v>
      </c>
      <c r="U4449" t="e">
        <f>VLOOKUP(Tabelle10[[#This Row],[Rank]],Stammdaten[[Rank Verteilung Krümmung]:[Verteilung Krümmung]],2,FALSE)</f>
        <v>#N/A</v>
      </c>
      <c r="Z4449">
        <v>4440</v>
      </c>
      <c r="AA4449" t="e">
        <f>INDEX(Stammdaten[Ovalität (']0,1'])],MATCH(Tabelle1014[[#This Row],[Rank]],Stammdaten[Rank Verteilung Ovalität],0))</f>
        <v>#N/A</v>
      </c>
      <c r="AB4449" t="e">
        <f>VLOOKUP(Tabelle1014[[#This Row],[Rank]],Stammdaten[[Rank Verteilung Ovalität]:[Verteilung Ovalität]],2,FALSE)</f>
        <v>#N/A</v>
      </c>
    </row>
    <row r="4450" spans="5:28" x14ac:dyDescent="0.35">
      <c r="E4450">
        <v>4441</v>
      </c>
      <c r="F4450" t="e">
        <f>INDEX(Stammdaten[D Mitte mit Rinde (mm)],MATCH(Tabelle8[[#This Row],[Rank]],Stammdaten[Rank Verteilung D Mitte mit Rinde],0))</f>
        <v>#N/A</v>
      </c>
      <c r="G4450" t="e">
        <f>VLOOKUP(Tabelle8[[#This Row],[Rank]],Stammdaten[[Rank Verteilung D Mitte mit Rinde]:[Verteilung D Mitte mit Rinde]],2,FALSE)</f>
        <v>#N/A</v>
      </c>
      <c r="L4450">
        <v>4441</v>
      </c>
      <c r="M4450" t="e">
        <f>INDEX(Stammdaten[Abholzigkeit (mm/lfm)],MATCH(Tabelle9[[#This Row],[Rank]],Stammdaten[Rank Verteilung Abholzigkeit],0))</f>
        <v>#N/A</v>
      </c>
      <c r="N4450" t="e">
        <f>VLOOKUP(Tabelle9[[#This Row],[Rank]],Stammdaten[[Rank Verteilung Abholzigkeit]:[Verteilung Abholzigkeit]],2,FALSE)</f>
        <v>#N/A</v>
      </c>
      <c r="S4450">
        <v>4441</v>
      </c>
      <c r="T4450" t="e">
        <f>INDEX(Stammdaten[Krümmung (mm/lfm)],MATCH(Tabelle10[[#This Row],[Rank]],Stammdaten[Rank Verteilung Krümmung],0))</f>
        <v>#N/A</v>
      </c>
      <c r="U4450" t="e">
        <f>VLOOKUP(Tabelle10[[#This Row],[Rank]],Stammdaten[[Rank Verteilung Krümmung]:[Verteilung Krümmung]],2,FALSE)</f>
        <v>#N/A</v>
      </c>
      <c r="Z4450">
        <v>4441</v>
      </c>
      <c r="AA4450" t="e">
        <f>INDEX(Stammdaten[Ovalität (']0,1'])],MATCH(Tabelle1014[[#This Row],[Rank]],Stammdaten[Rank Verteilung Ovalität],0))</f>
        <v>#N/A</v>
      </c>
      <c r="AB4450" t="e">
        <f>VLOOKUP(Tabelle1014[[#This Row],[Rank]],Stammdaten[[Rank Verteilung Ovalität]:[Verteilung Ovalität]],2,FALSE)</f>
        <v>#N/A</v>
      </c>
    </row>
    <row r="4451" spans="5:28" x14ac:dyDescent="0.35">
      <c r="E4451">
        <v>4442</v>
      </c>
      <c r="F4451" t="e">
        <f>INDEX(Stammdaten[D Mitte mit Rinde (mm)],MATCH(Tabelle8[[#This Row],[Rank]],Stammdaten[Rank Verteilung D Mitte mit Rinde],0))</f>
        <v>#N/A</v>
      </c>
      <c r="G4451" t="e">
        <f>VLOOKUP(Tabelle8[[#This Row],[Rank]],Stammdaten[[Rank Verteilung D Mitte mit Rinde]:[Verteilung D Mitte mit Rinde]],2,FALSE)</f>
        <v>#N/A</v>
      </c>
      <c r="L4451">
        <v>4442</v>
      </c>
      <c r="M4451" t="e">
        <f>INDEX(Stammdaten[Abholzigkeit (mm/lfm)],MATCH(Tabelle9[[#This Row],[Rank]],Stammdaten[Rank Verteilung Abholzigkeit],0))</f>
        <v>#N/A</v>
      </c>
      <c r="N4451" t="e">
        <f>VLOOKUP(Tabelle9[[#This Row],[Rank]],Stammdaten[[Rank Verteilung Abholzigkeit]:[Verteilung Abholzigkeit]],2,FALSE)</f>
        <v>#N/A</v>
      </c>
      <c r="S4451">
        <v>4442</v>
      </c>
      <c r="T4451" t="e">
        <f>INDEX(Stammdaten[Krümmung (mm/lfm)],MATCH(Tabelle10[[#This Row],[Rank]],Stammdaten[Rank Verteilung Krümmung],0))</f>
        <v>#N/A</v>
      </c>
      <c r="U4451" t="e">
        <f>VLOOKUP(Tabelle10[[#This Row],[Rank]],Stammdaten[[Rank Verteilung Krümmung]:[Verteilung Krümmung]],2,FALSE)</f>
        <v>#N/A</v>
      </c>
      <c r="Z4451">
        <v>4442</v>
      </c>
      <c r="AA4451" t="e">
        <f>INDEX(Stammdaten[Ovalität (']0,1'])],MATCH(Tabelle1014[[#This Row],[Rank]],Stammdaten[Rank Verteilung Ovalität],0))</f>
        <v>#N/A</v>
      </c>
      <c r="AB4451" t="e">
        <f>VLOOKUP(Tabelle1014[[#This Row],[Rank]],Stammdaten[[Rank Verteilung Ovalität]:[Verteilung Ovalität]],2,FALSE)</f>
        <v>#N/A</v>
      </c>
    </row>
    <row r="4452" spans="5:28" x14ac:dyDescent="0.35">
      <c r="E4452">
        <v>4443</v>
      </c>
      <c r="F4452" t="e">
        <f>INDEX(Stammdaten[D Mitte mit Rinde (mm)],MATCH(Tabelle8[[#This Row],[Rank]],Stammdaten[Rank Verteilung D Mitte mit Rinde],0))</f>
        <v>#N/A</v>
      </c>
      <c r="G4452" t="e">
        <f>VLOOKUP(Tabelle8[[#This Row],[Rank]],Stammdaten[[Rank Verteilung D Mitte mit Rinde]:[Verteilung D Mitte mit Rinde]],2,FALSE)</f>
        <v>#N/A</v>
      </c>
      <c r="L4452">
        <v>4443</v>
      </c>
      <c r="M4452" t="e">
        <f>INDEX(Stammdaten[Abholzigkeit (mm/lfm)],MATCH(Tabelle9[[#This Row],[Rank]],Stammdaten[Rank Verteilung Abholzigkeit],0))</f>
        <v>#N/A</v>
      </c>
      <c r="N4452" t="e">
        <f>VLOOKUP(Tabelle9[[#This Row],[Rank]],Stammdaten[[Rank Verteilung Abholzigkeit]:[Verteilung Abholzigkeit]],2,FALSE)</f>
        <v>#N/A</v>
      </c>
      <c r="S4452">
        <v>4443</v>
      </c>
      <c r="T4452" t="e">
        <f>INDEX(Stammdaten[Krümmung (mm/lfm)],MATCH(Tabelle10[[#This Row],[Rank]],Stammdaten[Rank Verteilung Krümmung],0))</f>
        <v>#N/A</v>
      </c>
      <c r="U4452" t="e">
        <f>VLOOKUP(Tabelle10[[#This Row],[Rank]],Stammdaten[[Rank Verteilung Krümmung]:[Verteilung Krümmung]],2,FALSE)</f>
        <v>#N/A</v>
      </c>
      <c r="Z4452">
        <v>4443</v>
      </c>
      <c r="AA4452" t="e">
        <f>INDEX(Stammdaten[Ovalität (']0,1'])],MATCH(Tabelle1014[[#This Row],[Rank]],Stammdaten[Rank Verteilung Ovalität],0))</f>
        <v>#N/A</v>
      </c>
      <c r="AB4452" t="e">
        <f>VLOOKUP(Tabelle1014[[#This Row],[Rank]],Stammdaten[[Rank Verteilung Ovalität]:[Verteilung Ovalität]],2,FALSE)</f>
        <v>#N/A</v>
      </c>
    </row>
    <row r="4453" spans="5:28" x14ac:dyDescent="0.35">
      <c r="E4453">
        <v>4444</v>
      </c>
      <c r="F4453" t="e">
        <f>INDEX(Stammdaten[D Mitte mit Rinde (mm)],MATCH(Tabelle8[[#This Row],[Rank]],Stammdaten[Rank Verteilung D Mitte mit Rinde],0))</f>
        <v>#N/A</v>
      </c>
      <c r="G4453" t="e">
        <f>VLOOKUP(Tabelle8[[#This Row],[Rank]],Stammdaten[[Rank Verteilung D Mitte mit Rinde]:[Verteilung D Mitte mit Rinde]],2,FALSE)</f>
        <v>#N/A</v>
      </c>
      <c r="L4453">
        <v>4444</v>
      </c>
      <c r="M4453" t="e">
        <f>INDEX(Stammdaten[Abholzigkeit (mm/lfm)],MATCH(Tabelle9[[#This Row],[Rank]],Stammdaten[Rank Verteilung Abholzigkeit],0))</f>
        <v>#N/A</v>
      </c>
      <c r="N4453" t="e">
        <f>VLOOKUP(Tabelle9[[#This Row],[Rank]],Stammdaten[[Rank Verteilung Abholzigkeit]:[Verteilung Abholzigkeit]],2,FALSE)</f>
        <v>#N/A</v>
      </c>
      <c r="S4453">
        <v>4444</v>
      </c>
      <c r="T4453" t="e">
        <f>INDEX(Stammdaten[Krümmung (mm/lfm)],MATCH(Tabelle10[[#This Row],[Rank]],Stammdaten[Rank Verteilung Krümmung],0))</f>
        <v>#N/A</v>
      </c>
      <c r="U4453" t="e">
        <f>VLOOKUP(Tabelle10[[#This Row],[Rank]],Stammdaten[[Rank Verteilung Krümmung]:[Verteilung Krümmung]],2,FALSE)</f>
        <v>#N/A</v>
      </c>
      <c r="Z4453">
        <v>4444</v>
      </c>
      <c r="AA4453" t="e">
        <f>INDEX(Stammdaten[Ovalität (']0,1'])],MATCH(Tabelle1014[[#This Row],[Rank]],Stammdaten[Rank Verteilung Ovalität],0))</f>
        <v>#N/A</v>
      </c>
      <c r="AB4453" t="e">
        <f>VLOOKUP(Tabelle1014[[#This Row],[Rank]],Stammdaten[[Rank Verteilung Ovalität]:[Verteilung Ovalität]],2,FALSE)</f>
        <v>#N/A</v>
      </c>
    </row>
    <row r="4454" spans="5:28" x14ac:dyDescent="0.35">
      <c r="E4454">
        <v>4445</v>
      </c>
      <c r="F4454" t="e">
        <f>INDEX(Stammdaten[D Mitte mit Rinde (mm)],MATCH(Tabelle8[[#This Row],[Rank]],Stammdaten[Rank Verteilung D Mitte mit Rinde],0))</f>
        <v>#N/A</v>
      </c>
      <c r="G4454" t="e">
        <f>VLOOKUP(Tabelle8[[#This Row],[Rank]],Stammdaten[[Rank Verteilung D Mitte mit Rinde]:[Verteilung D Mitte mit Rinde]],2,FALSE)</f>
        <v>#N/A</v>
      </c>
      <c r="L4454">
        <v>4445</v>
      </c>
      <c r="M4454" t="e">
        <f>INDEX(Stammdaten[Abholzigkeit (mm/lfm)],MATCH(Tabelle9[[#This Row],[Rank]],Stammdaten[Rank Verteilung Abholzigkeit],0))</f>
        <v>#N/A</v>
      </c>
      <c r="N4454" t="e">
        <f>VLOOKUP(Tabelle9[[#This Row],[Rank]],Stammdaten[[Rank Verteilung Abholzigkeit]:[Verteilung Abholzigkeit]],2,FALSE)</f>
        <v>#N/A</v>
      </c>
      <c r="S4454">
        <v>4445</v>
      </c>
      <c r="T4454" t="e">
        <f>INDEX(Stammdaten[Krümmung (mm/lfm)],MATCH(Tabelle10[[#This Row],[Rank]],Stammdaten[Rank Verteilung Krümmung],0))</f>
        <v>#N/A</v>
      </c>
      <c r="U4454" t="e">
        <f>VLOOKUP(Tabelle10[[#This Row],[Rank]],Stammdaten[[Rank Verteilung Krümmung]:[Verteilung Krümmung]],2,FALSE)</f>
        <v>#N/A</v>
      </c>
      <c r="Z4454">
        <v>4445</v>
      </c>
      <c r="AA4454" t="e">
        <f>INDEX(Stammdaten[Ovalität (']0,1'])],MATCH(Tabelle1014[[#This Row],[Rank]],Stammdaten[Rank Verteilung Ovalität],0))</f>
        <v>#N/A</v>
      </c>
      <c r="AB4454" t="e">
        <f>VLOOKUP(Tabelle1014[[#This Row],[Rank]],Stammdaten[[Rank Verteilung Ovalität]:[Verteilung Ovalität]],2,FALSE)</f>
        <v>#N/A</v>
      </c>
    </row>
    <row r="4455" spans="5:28" x14ac:dyDescent="0.35">
      <c r="E4455">
        <v>4446</v>
      </c>
      <c r="F4455" t="e">
        <f>INDEX(Stammdaten[D Mitte mit Rinde (mm)],MATCH(Tabelle8[[#This Row],[Rank]],Stammdaten[Rank Verteilung D Mitte mit Rinde],0))</f>
        <v>#N/A</v>
      </c>
      <c r="G4455" t="e">
        <f>VLOOKUP(Tabelle8[[#This Row],[Rank]],Stammdaten[[Rank Verteilung D Mitte mit Rinde]:[Verteilung D Mitte mit Rinde]],2,FALSE)</f>
        <v>#N/A</v>
      </c>
      <c r="L4455">
        <v>4446</v>
      </c>
      <c r="M4455" t="e">
        <f>INDEX(Stammdaten[Abholzigkeit (mm/lfm)],MATCH(Tabelle9[[#This Row],[Rank]],Stammdaten[Rank Verteilung Abholzigkeit],0))</f>
        <v>#N/A</v>
      </c>
      <c r="N4455" t="e">
        <f>VLOOKUP(Tabelle9[[#This Row],[Rank]],Stammdaten[[Rank Verteilung Abholzigkeit]:[Verteilung Abholzigkeit]],2,FALSE)</f>
        <v>#N/A</v>
      </c>
      <c r="S4455">
        <v>4446</v>
      </c>
      <c r="T4455" t="e">
        <f>INDEX(Stammdaten[Krümmung (mm/lfm)],MATCH(Tabelle10[[#This Row],[Rank]],Stammdaten[Rank Verteilung Krümmung],0))</f>
        <v>#N/A</v>
      </c>
      <c r="U4455" t="e">
        <f>VLOOKUP(Tabelle10[[#This Row],[Rank]],Stammdaten[[Rank Verteilung Krümmung]:[Verteilung Krümmung]],2,FALSE)</f>
        <v>#N/A</v>
      </c>
      <c r="Z4455">
        <v>4446</v>
      </c>
      <c r="AA4455" t="e">
        <f>INDEX(Stammdaten[Ovalität (']0,1'])],MATCH(Tabelle1014[[#This Row],[Rank]],Stammdaten[Rank Verteilung Ovalität],0))</f>
        <v>#N/A</v>
      </c>
      <c r="AB4455" t="e">
        <f>VLOOKUP(Tabelle1014[[#This Row],[Rank]],Stammdaten[[Rank Verteilung Ovalität]:[Verteilung Ovalität]],2,FALSE)</f>
        <v>#N/A</v>
      </c>
    </row>
    <row r="4456" spans="5:28" x14ac:dyDescent="0.35">
      <c r="E4456">
        <v>4447</v>
      </c>
      <c r="F4456" t="e">
        <f>INDEX(Stammdaten[D Mitte mit Rinde (mm)],MATCH(Tabelle8[[#This Row],[Rank]],Stammdaten[Rank Verteilung D Mitte mit Rinde],0))</f>
        <v>#N/A</v>
      </c>
      <c r="G4456" t="e">
        <f>VLOOKUP(Tabelle8[[#This Row],[Rank]],Stammdaten[[Rank Verteilung D Mitte mit Rinde]:[Verteilung D Mitte mit Rinde]],2,FALSE)</f>
        <v>#N/A</v>
      </c>
      <c r="L4456">
        <v>4447</v>
      </c>
      <c r="M4456" t="e">
        <f>INDEX(Stammdaten[Abholzigkeit (mm/lfm)],MATCH(Tabelle9[[#This Row],[Rank]],Stammdaten[Rank Verteilung Abholzigkeit],0))</f>
        <v>#N/A</v>
      </c>
      <c r="N4456" t="e">
        <f>VLOOKUP(Tabelle9[[#This Row],[Rank]],Stammdaten[[Rank Verteilung Abholzigkeit]:[Verteilung Abholzigkeit]],2,FALSE)</f>
        <v>#N/A</v>
      </c>
      <c r="S4456">
        <v>4447</v>
      </c>
      <c r="T4456" t="e">
        <f>INDEX(Stammdaten[Krümmung (mm/lfm)],MATCH(Tabelle10[[#This Row],[Rank]],Stammdaten[Rank Verteilung Krümmung],0))</f>
        <v>#N/A</v>
      </c>
      <c r="U4456" t="e">
        <f>VLOOKUP(Tabelle10[[#This Row],[Rank]],Stammdaten[[Rank Verteilung Krümmung]:[Verteilung Krümmung]],2,FALSE)</f>
        <v>#N/A</v>
      </c>
      <c r="Z4456">
        <v>4447</v>
      </c>
      <c r="AA4456" t="e">
        <f>INDEX(Stammdaten[Ovalität (']0,1'])],MATCH(Tabelle1014[[#This Row],[Rank]],Stammdaten[Rank Verteilung Ovalität],0))</f>
        <v>#N/A</v>
      </c>
      <c r="AB4456" t="e">
        <f>VLOOKUP(Tabelle1014[[#This Row],[Rank]],Stammdaten[[Rank Verteilung Ovalität]:[Verteilung Ovalität]],2,FALSE)</f>
        <v>#N/A</v>
      </c>
    </row>
    <row r="4457" spans="5:28" x14ac:dyDescent="0.35">
      <c r="E4457">
        <v>4448</v>
      </c>
      <c r="F4457" t="e">
        <f>INDEX(Stammdaten[D Mitte mit Rinde (mm)],MATCH(Tabelle8[[#This Row],[Rank]],Stammdaten[Rank Verteilung D Mitte mit Rinde],0))</f>
        <v>#N/A</v>
      </c>
      <c r="G4457" t="e">
        <f>VLOOKUP(Tabelle8[[#This Row],[Rank]],Stammdaten[[Rank Verteilung D Mitte mit Rinde]:[Verteilung D Mitte mit Rinde]],2,FALSE)</f>
        <v>#N/A</v>
      </c>
      <c r="L4457">
        <v>4448</v>
      </c>
      <c r="M4457" t="e">
        <f>INDEX(Stammdaten[Abholzigkeit (mm/lfm)],MATCH(Tabelle9[[#This Row],[Rank]],Stammdaten[Rank Verteilung Abholzigkeit],0))</f>
        <v>#N/A</v>
      </c>
      <c r="N4457" t="e">
        <f>VLOOKUP(Tabelle9[[#This Row],[Rank]],Stammdaten[[Rank Verteilung Abholzigkeit]:[Verteilung Abholzigkeit]],2,FALSE)</f>
        <v>#N/A</v>
      </c>
      <c r="S4457">
        <v>4448</v>
      </c>
      <c r="T4457" t="e">
        <f>INDEX(Stammdaten[Krümmung (mm/lfm)],MATCH(Tabelle10[[#This Row],[Rank]],Stammdaten[Rank Verteilung Krümmung],0))</f>
        <v>#N/A</v>
      </c>
      <c r="U4457" t="e">
        <f>VLOOKUP(Tabelle10[[#This Row],[Rank]],Stammdaten[[Rank Verteilung Krümmung]:[Verteilung Krümmung]],2,FALSE)</f>
        <v>#N/A</v>
      </c>
      <c r="Z4457">
        <v>4448</v>
      </c>
      <c r="AA4457" t="e">
        <f>INDEX(Stammdaten[Ovalität (']0,1'])],MATCH(Tabelle1014[[#This Row],[Rank]],Stammdaten[Rank Verteilung Ovalität],0))</f>
        <v>#N/A</v>
      </c>
      <c r="AB4457" t="e">
        <f>VLOOKUP(Tabelle1014[[#This Row],[Rank]],Stammdaten[[Rank Verteilung Ovalität]:[Verteilung Ovalität]],2,FALSE)</f>
        <v>#N/A</v>
      </c>
    </row>
    <row r="4458" spans="5:28" x14ac:dyDescent="0.35">
      <c r="E4458">
        <v>4449</v>
      </c>
      <c r="F4458" t="e">
        <f>INDEX(Stammdaten[D Mitte mit Rinde (mm)],MATCH(Tabelle8[[#This Row],[Rank]],Stammdaten[Rank Verteilung D Mitte mit Rinde],0))</f>
        <v>#N/A</v>
      </c>
      <c r="G4458" t="e">
        <f>VLOOKUP(Tabelle8[[#This Row],[Rank]],Stammdaten[[Rank Verteilung D Mitte mit Rinde]:[Verteilung D Mitte mit Rinde]],2,FALSE)</f>
        <v>#N/A</v>
      </c>
      <c r="L4458">
        <v>4449</v>
      </c>
      <c r="M4458" t="e">
        <f>INDEX(Stammdaten[Abholzigkeit (mm/lfm)],MATCH(Tabelle9[[#This Row],[Rank]],Stammdaten[Rank Verteilung Abholzigkeit],0))</f>
        <v>#N/A</v>
      </c>
      <c r="N4458" t="e">
        <f>VLOOKUP(Tabelle9[[#This Row],[Rank]],Stammdaten[[Rank Verteilung Abholzigkeit]:[Verteilung Abholzigkeit]],2,FALSE)</f>
        <v>#N/A</v>
      </c>
      <c r="S4458">
        <v>4449</v>
      </c>
      <c r="T4458" t="e">
        <f>INDEX(Stammdaten[Krümmung (mm/lfm)],MATCH(Tabelle10[[#This Row],[Rank]],Stammdaten[Rank Verteilung Krümmung],0))</f>
        <v>#N/A</v>
      </c>
      <c r="U4458" t="e">
        <f>VLOOKUP(Tabelle10[[#This Row],[Rank]],Stammdaten[[Rank Verteilung Krümmung]:[Verteilung Krümmung]],2,FALSE)</f>
        <v>#N/A</v>
      </c>
      <c r="Z4458">
        <v>4449</v>
      </c>
      <c r="AA4458" t="e">
        <f>INDEX(Stammdaten[Ovalität (']0,1'])],MATCH(Tabelle1014[[#This Row],[Rank]],Stammdaten[Rank Verteilung Ovalität],0))</f>
        <v>#N/A</v>
      </c>
      <c r="AB4458" t="e">
        <f>VLOOKUP(Tabelle1014[[#This Row],[Rank]],Stammdaten[[Rank Verteilung Ovalität]:[Verteilung Ovalität]],2,FALSE)</f>
        <v>#N/A</v>
      </c>
    </row>
    <row r="4459" spans="5:28" x14ac:dyDescent="0.35">
      <c r="E4459">
        <v>4450</v>
      </c>
      <c r="F4459" t="e">
        <f>INDEX(Stammdaten[D Mitte mit Rinde (mm)],MATCH(Tabelle8[[#This Row],[Rank]],Stammdaten[Rank Verteilung D Mitte mit Rinde],0))</f>
        <v>#N/A</v>
      </c>
      <c r="G4459" t="e">
        <f>VLOOKUP(Tabelle8[[#This Row],[Rank]],Stammdaten[[Rank Verteilung D Mitte mit Rinde]:[Verteilung D Mitte mit Rinde]],2,FALSE)</f>
        <v>#N/A</v>
      </c>
      <c r="L4459">
        <v>4450</v>
      </c>
      <c r="M4459" t="e">
        <f>INDEX(Stammdaten[Abholzigkeit (mm/lfm)],MATCH(Tabelle9[[#This Row],[Rank]],Stammdaten[Rank Verteilung Abholzigkeit],0))</f>
        <v>#N/A</v>
      </c>
      <c r="N4459" t="e">
        <f>VLOOKUP(Tabelle9[[#This Row],[Rank]],Stammdaten[[Rank Verteilung Abholzigkeit]:[Verteilung Abholzigkeit]],2,FALSE)</f>
        <v>#N/A</v>
      </c>
      <c r="S4459">
        <v>4450</v>
      </c>
      <c r="T4459" t="e">
        <f>INDEX(Stammdaten[Krümmung (mm/lfm)],MATCH(Tabelle10[[#This Row],[Rank]],Stammdaten[Rank Verteilung Krümmung],0))</f>
        <v>#N/A</v>
      </c>
      <c r="U4459" t="e">
        <f>VLOOKUP(Tabelle10[[#This Row],[Rank]],Stammdaten[[Rank Verteilung Krümmung]:[Verteilung Krümmung]],2,FALSE)</f>
        <v>#N/A</v>
      </c>
      <c r="Z4459">
        <v>4450</v>
      </c>
      <c r="AA4459" t="e">
        <f>INDEX(Stammdaten[Ovalität (']0,1'])],MATCH(Tabelle1014[[#This Row],[Rank]],Stammdaten[Rank Verteilung Ovalität],0))</f>
        <v>#N/A</v>
      </c>
      <c r="AB4459" t="e">
        <f>VLOOKUP(Tabelle1014[[#This Row],[Rank]],Stammdaten[[Rank Verteilung Ovalität]:[Verteilung Ovalität]],2,FALSE)</f>
        <v>#N/A</v>
      </c>
    </row>
    <row r="4460" spans="5:28" x14ac:dyDescent="0.35">
      <c r="E4460">
        <v>4451</v>
      </c>
      <c r="F4460" t="e">
        <f>INDEX(Stammdaten[D Mitte mit Rinde (mm)],MATCH(Tabelle8[[#This Row],[Rank]],Stammdaten[Rank Verteilung D Mitte mit Rinde],0))</f>
        <v>#N/A</v>
      </c>
      <c r="G4460" t="e">
        <f>VLOOKUP(Tabelle8[[#This Row],[Rank]],Stammdaten[[Rank Verteilung D Mitte mit Rinde]:[Verteilung D Mitte mit Rinde]],2,FALSE)</f>
        <v>#N/A</v>
      </c>
      <c r="L4460">
        <v>4451</v>
      </c>
      <c r="M4460" t="e">
        <f>INDEX(Stammdaten[Abholzigkeit (mm/lfm)],MATCH(Tabelle9[[#This Row],[Rank]],Stammdaten[Rank Verteilung Abholzigkeit],0))</f>
        <v>#N/A</v>
      </c>
      <c r="N4460" t="e">
        <f>VLOOKUP(Tabelle9[[#This Row],[Rank]],Stammdaten[[Rank Verteilung Abholzigkeit]:[Verteilung Abholzigkeit]],2,FALSE)</f>
        <v>#N/A</v>
      </c>
      <c r="S4460">
        <v>4451</v>
      </c>
      <c r="T4460" t="e">
        <f>INDEX(Stammdaten[Krümmung (mm/lfm)],MATCH(Tabelle10[[#This Row],[Rank]],Stammdaten[Rank Verteilung Krümmung],0))</f>
        <v>#N/A</v>
      </c>
      <c r="U4460" t="e">
        <f>VLOOKUP(Tabelle10[[#This Row],[Rank]],Stammdaten[[Rank Verteilung Krümmung]:[Verteilung Krümmung]],2,FALSE)</f>
        <v>#N/A</v>
      </c>
      <c r="Z4460">
        <v>4451</v>
      </c>
      <c r="AA4460" t="e">
        <f>INDEX(Stammdaten[Ovalität (']0,1'])],MATCH(Tabelle1014[[#This Row],[Rank]],Stammdaten[Rank Verteilung Ovalität],0))</f>
        <v>#N/A</v>
      </c>
      <c r="AB4460" t="e">
        <f>VLOOKUP(Tabelle1014[[#This Row],[Rank]],Stammdaten[[Rank Verteilung Ovalität]:[Verteilung Ovalität]],2,FALSE)</f>
        <v>#N/A</v>
      </c>
    </row>
    <row r="4461" spans="5:28" x14ac:dyDescent="0.35">
      <c r="E4461">
        <v>4452</v>
      </c>
      <c r="F4461" t="e">
        <f>INDEX(Stammdaten[D Mitte mit Rinde (mm)],MATCH(Tabelle8[[#This Row],[Rank]],Stammdaten[Rank Verteilung D Mitte mit Rinde],0))</f>
        <v>#N/A</v>
      </c>
      <c r="G4461" t="e">
        <f>VLOOKUP(Tabelle8[[#This Row],[Rank]],Stammdaten[[Rank Verteilung D Mitte mit Rinde]:[Verteilung D Mitte mit Rinde]],2,FALSE)</f>
        <v>#N/A</v>
      </c>
      <c r="L4461">
        <v>4452</v>
      </c>
      <c r="M4461" t="e">
        <f>INDEX(Stammdaten[Abholzigkeit (mm/lfm)],MATCH(Tabelle9[[#This Row],[Rank]],Stammdaten[Rank Verteilung Abholzigkeit],0))</f>
        <v>#N/A</v>
      </c>
      <c r="N4461" t="e">
        <f>VLOOKUP(Tabelle9[[#This Row],[Rank]],Stammdaten[[Rank Verteilung Abholzigkeit]:[Verteilung Abholzigkeit]],2,FALSE)</f>
        <v>#N/A</v>
      </c>
      <c r="S4461">
        <v>4452</v>
      </c>
      <c r="T4461" t="e">
        <f>INDEX(Stammdaten[Krümmung (mm/lfm)],MATCH(Tabelle10[[#This Row],[Rank]],Stammdaten[Rank Verteilung Krümmung],0))</f>
        <v>#N/A</v>
      </c>
      <c r="U4461" t="e">
        <f>VLOOKUP(Tabelle10[[#This Row],[Rank]],Stammdaten[[Rank Verteilung Krümmung]:[Verteilung Krümmung]],2,FALSE)</f>
        <v>#N/A</v>
      </c>
      <c r="Z4461">
        <v>4452</v>
      </c>
      <c r="AA4461" t="e">
        <f>INDEX(Stammdaten[Ovalität (']0,1'])],MATCH(Tabelle1014[[#This Row],[Rank]],Stammdaten[Rank Verteilung Ovalität],0))</f>
        <v>#N/A</v>
      </c>
      <c r="AB4461" t="e">
        <f>VLOOKUP(Tabelle1014[[#This Row],[Rank]],Stammdaten[[Rank Verteilung Ovalität]:[Verteilung Ovalität]],2,FALSE)</f>
        <v>#N/A</v>
      </c>
    </row>
    <row r="4462" spans="5:28" x14ac:dyDescent="0.35">
      <c r="E4462">
        <v>4453</v>
      </c>
      <c r="F4462" t="e">
        <f>INDEX(Stammdaten[D Mitte mit Rinde (mm)],MATCH(Tabelle8[[#This Row],[Rank]],Stammdaten[Rank Verteilung D Mitte mit Rinde],0))</f>
        <v>#N/A</v>
      </c>
      <c r="G4462" t="e">
        <f>VLOOKUP(Tabelle8[[#This Row],[Rank]],Stammdaten[[Rank Verteilung D Mitte mit Rinde]:[Verteilung D Mitte mit Rinde]],2,FALSE)</f>
        <v>#N/A</v>
      </c>
      <c r="L4462">
        <v>4453</v>
      </c>
      <c r="M4462" t="e">
        <f>INDEX(Stammdaten[Abholzigkeit (mm/lfm)],MATCH(Tabelle9[[#This Row],[Rank]],Stammdaten[Rank Verteilung Abholzigkeit],0))</f>
        <v>#N/A</v>
      </c>
      <c r="N4462" t="e">
        <f>VLOOKUP(Tabelle9[[#This Row],[Rank]],Stammdaten[[Rank Verteilung Abholzigkeit]:[Verteilung Abholzigkeit]],2,FALSE)</f>
        <v>#N/A</v>
      </c>
      <c r="S4462">
        <v>4453</v>
      </c>
      <c r="T4462" t="e">
        <f>INDEX(Stammdaten[Krümmung (mm/lfm)],MATCH(Tabelle10[[#This Row],[Rank]],Stammdaten[Rank Verteilung Krümmung],0))</f>
        <v>#N/A</v>
      </c>
      <c r="U4462" t="e">
        <f>VLOOKUP(Tabelle10[[#This Row],[Rank]],Stammdaten[[Rank Verteilung Krümmung]:[Verteilung Krümmung]],2,FALSE)</f>
        <v>#N/A</v>
      </c>
      <c r="Z4462">
        <v>4453</v>
      </c>
      <c r="AA4462" t="e">
        <f>INDEX(Stammdaten[Ovalität (']0,1'])],MATCH(Tabelle1014[[#This Row],[Rank]],Stammdaten[Rank Verteilung Ovalität],0))</f>
        <v>#N/A</v>
      </c>
      <c r="AB4462" t="e">
        <f>VLOOKUP(Tabelle1014[[#This Row],[Rank]],Stammdaten[[Rank Verteilung Ovalität]:[Verteilung Ovalität]],2,FALSE)</f>
        <v>#N/A</v>
      </c>
    </row>
    <row r="4463" spans="5:28" x14ac:dyDescent="0.35">
      <c r="E4463">
        <v>4454</v>
      </c>
      <c r="F4463" t="e">
        <f>INDEX(Stammdaten[D Mitte mit Rinde (mm)],MATCH(Tabelle8[[#This Row],[Rank]],Stammdaten[Rank Verteilung D Mitte mit Rinde],0))</f>
        <v>#N/A</v>
      </c>
      <c r="G4463" t="e">
        <f>VLOOKUP(Tabelle8[[#This Row],[Rank]],Stammdaten[[Rank Verteilung D Mitte mit Rinde]:[Verteilung D Mitte mit Rinde]],2,FALSE)</f>
        <v>#N/A</v>
      </c>
      <c r="L4463">
        <v>4454</v>
      </c>
      <c r="M4463" t="e">
        <f>INDEX(Stammdaten[Abholzigkeit (mm/lfm)],MATCH(Tabelle9[[#This Row],[Rank]],Stammdaten[Rank Verteilung Abholzigkeit],0))</f>
        <v>#N/A</v>
      </c>
      <c r="N4463" t="e">
        <f>VLOOKUP(Tabelle9[[#This Row],[Rank]],Stammdaten[[Rank Verteilung Abholzigkeit]:[Verteilung Abholzigkeit]],2,FALSE)</f>
        <v>#N/A</v>
      </c>
      <c r="S4463">
        <v>4454</v>
      </c>
      <c r="T4463" t="e">
        <f>INDEX(Stammdaten[Krümmung (mm/lfm)],MATCH(Tabelle10[[#This Row],[Rank]],Stammdaten[Rank Verteilung Krümmung],0))</f>
        <v>#N/A</v>
      </c>
      <c r="U4463" t="e">
        <f>VLOOKUP(Tabelle10[[#This Row],[Rank]],Stammdaten[[Rank Verteilung Krümmung]:[Verteilung Krümmung]],2,FALSE)</f>
        <v>#N/A</v>
      </c>
      <c r="Z4463">
        <v>4454</v>
      </c>
      <c r="AA4463" t="e">
        <f>INDEX(Stammdaten[Ovalität (']0,1'])],MATCH(Tabelle1014[[#This Row],[Rank]],Stammdaten[Rank Verteilung Ovalität],0))</f>
        <v>#N/A</v>
      </c>
      <c r="AB4463" t="e">
        <f>VLOOKUP(Tabelle1014[[#This Row],[Rank]],Stammdaten[[Rank Verteilung Ovalität]:[Verteilung Ovalität]],2,FALSE)</f>
        <v>#N/A</v>
      </c>
    </row>
    <row r="4464" spans="5:28" x14ac:dyDescent="0.35">
      <c r="E4464">
        <v>4455</v>
      </c>
      <c r="F4464" t="e">
        <f>INDEX(Stammdaten[D Mitte mit Rinde (mm)],MATCH(Tabelle8[[#This Row],[Rank]],Stammdaten[Rank Verteilung D Mitte mit Rinde],0))</f>
        <v>#N/A</v>
      </c>
      <c r="G4464" t="e">
        <f>VLOOKUP(Tabelle8[[#This Row],[Rank]],Stammdaten[[Rank Verteilung D Mitte mit Rinde]:[Verteilung D Mitte mit Rinde]],2,FALSE)</f>
        <v>#N/A</v>
      </c>
      <c r="L4464">
        <v>4455</v>
      </c>
      <c r="M4464" t="e">
        <f>INDEX(Stammdaten[Abholzigkeit (mm/lfm)],MATCH(Tabelle9[[#This Row],[Rank]],Stammdaten[Rank Verteilung Abholzigkeit],0))</f>
        <v>#N/A</v>
      </c>
      <c r="N4464" t="e">
        <f>VLOOKUP(Tabelle9[[#This Row],[Rank]],Stammdaten[[Rank Verteilung Abholzigkeit]:[Verteilung Abholzigkeit]],2,FALSE)</f>
        <v>#N/A</v>
      </c>
      <c r="S4464">
        <v>4455</v>
      </c>
      <c r="T4464" t="e">
        <f>INDEX(Stammdaten[Krümmung (mm/lfm)],MATCH(Tabelle10[[#This Row],[Rank]],Stammdaten[Rank Verteilung Krümmung],0))</f>
        <v>#N/A</v>
      </c>
      <c r="U4464" t="e">
        <f>VLOOKUP(Tabelle10[[#This Row],[Rank]],Stammdaten[[Rank Verteilung Krümmung]:[Verteilung Krümmung]],2,FALSE)</f>
        <v>#N/A</v>
      </c>
      <c r="Z4464">
        <v>4455</v>
      </c>
      <c r="AA4464" t="e">
        <f>INDEX(Stammdaten[Ovalität (']0,1'])],MATCH(Tabelle1014[[#This Row],[Rank]],Stammdaten[Rank Verteilung Ovalität],0))</f>
        <v>#N/A</v>
      </c>
      <c r="AB4464" t="e">
        <f>VLOOKUP(Tabelle1014[[#This Row],[Rank]],Stammdaten[[Rank Verteilung Ovalität]:[Verteilung Ovalität]],2,FALSE)</f>
        <v>#N/A</v>
      </c>
    </row>
    <row r="4465" spans="5:28" x14ac:dyDescent="0.35">
      <c r="E4465">
        <v>4456</v>
      </c>
      <c r="F4465" t="e">
        <f>INDEX(Stammdaten[D Mitte mit Rinde (mm)],MATCH(Tabelle8[[#This Row],[Rank]],Stammdaten[Rank Verteilung D Mitte mit Rinde],0))</f>
        <v>#N/A</v>
      </c>
      <c r="G4465" t="e">
        <f>VLOOKUP(Tabelle8[[#This Row],[Rank]],Stammdaten[[Rank Verteilung D Mitte mit Rinde]:[Verteilung D Mitte mit Rinde]],2,FALSE)</f>
        <v>#N/A</v>
      </c>
      <c r="L4465">
        <v>4456</v>
      </c>
      <c r="M4465" t="e">
        <f>INDEX(Stammdaten[Abholzigkeit (mm/lfm)],MATCH(Tabelle9[[#This Row],[Rank]],Stammdaten[Rank Verteilung Abholzigkeit],0))</f>
        <v>#N/A</v>
      </c>
      <c r="N4465" t="e">
        <f>VLOOKUP(Tabelle9[[#This Row],[Rank]],Stammdaten[[Rank Verteilung Abholzigkeit]:[Verteilung Abholzigkeit]],2,FALSE)</f>
        <v>#N/A</v>
      </c>
      <c r="S4465">
        <v>4456</v>
      </c>
      <c r="T4465" t="e">
        <f>INDEX(Stammdaten[Krümmung (mm/lfm)],MATCH(Tabelle10[[#This Row],[Rank]],Stammdaten[Rank Verteilung Krümmung],0))</f>
        <v>#N/A</v>
      </c>
      <c r="U4465" t="e">
        <f>VLOOKUP(Tabelle10[[#This Row],[Rank]],Stammdaten[[Rank Verteilung Krümmung]:[Verteilung Krümmung]],2,FALSE)</f>
        <v>#N/A</v>
      </c>
      <c r="Z4465">
        <v>4456</v>
      </c>
      <c r="AA4465" t="e">
        <f>INDEX(Stammdaten[Ovalität (']0,1'])],MATCH(Tabelle1014[[#This Row],[Rank]],Stammdaten[Rank Verteilung Ovalität],0))</f>
        <v>#N/A</v>
      </c>
      <c r="AB4465" t="e">
        <f>VLOOKUP(Tabelle1014[[#This Row],[Rank]],Stammdaten[[Rank Verteilung Ovalität]:[Verteilung Ovalität]],2,FALSE)</f>
        <v>#N/A</v>
      </c>
    </row>
    <row r="4466" spans="5:28" x14ac:dyDescent="0.35">
      <c r="E4466">
        <v>4457</v>
      </c>
      <c r="F4466" t="e">
        <f>INDEX(Stammdaten[D Mitte mit Rinde (mm)],MATCH(Tabelle8[[#This Row],[Rank]],Stammdaten[Rank Verteilung D Mitte mit Rinde],0))</f>
        <v>#N/A</v>
      </c>
      <c r="G4466" t="e">
        <f>VLOOKUP(Tabelle8[[#This Row],[Rank]],Stammdaten[[Rank Verteilung D Mitte mit Rinde]:[Verteilung D Mitte mit Rinde]],2,FALSE)</f>
        <v>#N/A</v>
      </c>
      <c r="L4466">
        <v>4457</v>
      </c>
      <c r="M4466" t="e">
        <f>INDEX(Stammdaten[Abholzigkeit (mm/lfm)],MATCH(Tabelle9[[#This Row],[Rank]],Stammdaten[Rank Verteilung Abholzigkeit],0))</f>
        <v>#N/A</v>
      </c>
      <c r="N4466" t="e">
        <f>VLOOKUP(Tabelle9[[#This Row],[Rank]],Stammdaten[[Rank Verteilung Abholzigkeit]:[Verteilung Abholzigkeit]],2,FALSE)</f>
        <v>#N/A</v>
      </c>
      <c r="S4466">
        <v>4457</v>
      </c>
      <c r="T4466" t="e">
        <f>INDEX(Stammdaten[Krümmung (mm/lfm)],MATCH(Tabelle10[[#This Row],[Rank]],Stammdaten[Rank Verteilung Krümmung],0))</f>
        <v>#N/A</v>
      </c>
      <c r="U4466" t="e">
        <f>VLOOKUP(Tabelle10[[#This Row],[Rank]],Stammdaten[[Rank Verteilung Krümmung]:[Verteilung Krümmung]],2,FALSE)</f>
        <v>#N/A</v>
      </c>
      <c r="Z4466">
        <v>4457</v>
      </c>
      <c r="AA4466" t="e">
        <f>INDEX(Stammdaten[Ovalität (']0,1'])],MATCH(Tabelle1014[[#This Row],[Rank]],Stammdaten[Rank Verteilung Ovalität],0))</f>
        <v>#N/A</v>
      </c>
      <c r="AB4466" t="e">
        <f>VLOOKUP(Tabelle1014[[#This Row],[Rank]],Stammdaten[[Rank Verteilung Ovalität]:[Verteilung Ovalität]],2,FALSE)</f>
        <v>#N/A</v>
      </c>
    </row>
    <row r="4467" spans="5:28" x14ac:dyDescent="0.35">
      <c r="E4467">
        <v>4458</v>
      </c>
      <c r="F4467" t="e">
        <f>INDEX(Stammdaten[D Mitte mit Rinde (mm)],MATCH(Tabelle8[[#This Row],[Rank]],Stammdaten[Rank Verteilung D Mitte mit Rinde],0))</f>
        <v>#N/A</v>
      </c>
      <c r="G4467" t="e">
        <f>VLOOKUP(Tabelle8[[#This Row],[Rank]],Stammdaten[[Rank Verteilung D Mitte mit Rinde]:[Verteilung D Mitte mit Rinde]],2,FALSE)</f>
        <v>#N/A</v>
      </c>
      <c r="L4467">
        <v>4458</v>
      </c>
      <c r="M4467" t="e">
        <f>INDEX(Stammdaten[Abholzigkeit (mm/lfm)],MATCH(Tabelle9[[#This Row],[Rank]],Stammdaten[Rank Verteilung Abholzigkeit],0))</f>
        <v>#N/A</v>
      </c>
      <c r="N4467" t="e">
        <f>VLOOKUP(Tabelle9[[#This Row],[Rank]],Stammdaten[[Rank Verteilung Abholzigkeit]:[Verteilung Abholzigkeit]],2,FALSE)</f>
        <v>#N/A</v>
      </c>
      <c r="S4467">
        <v>4458</v>
      </c>
      <c r="T4467" t="e">
        <f>INDEX(Stammdaten[Krümmung (mm/lfm)],MATCH(Tabelle10[[#This Row],[Rank]],Stammdaten[Rank Verteilung Krümmung],0))</f>
        <v>#N/A</v>
      </c>
      <c r="U4467" t="e">
        <f>VLOOKUP(Tabelle10[[#This Row],[Rank]],Stammdaten[[Rank Verteilung Krümmung]:[Verteilung Krümmung]],2,FALSE)</f>
        <v>#N/A</v>
      </c>
      <c r="Z4467">
        <v>4458</v>
      </c>
      <c r="AA4467" t="e">
        <f>INDEX(Stammdaten[Ovalität (']0,1'])],MATCH(Tabelle1014[[#This Row],[Rank]],Stammdaten[Rank Verteilung Ovalität],0))</f>
        <v>#N/A</v>
      </c>
      <c r="AB4467" t="e">
        <f>VLOOKUP(Tabelle1014[[#This Row],[Rank]],Stammdaten[[Rank Verteilung Ovalität]:[Verteilung Ovalität]],2,FALSE)</f>
        <v>#N/A</v>
      </c>
    </row>
    <row r="4468" spans="5:28" x14ac:dyDescent="0.35">
      <c r="E4468">
        <v>4459</v>
      </c>
      <c r="F4468" t="e">
        <f>INDEX(Stammdaten[D Mitte mit Rinde (mm)],MATCH(Tabelle8[[#This Row],[Rank]],Stammdaten[Rank Verteilung D Mitte mit Rinde],0))</f>
        <v>#N/A</v>
      </c>
      <c r="G4468" t="e">
        <f>VLOOKUP(Tabelle8[[#This Row],[Rank]],Stammdaten[[Rank Verteilung D Mitte mit Rinde]:[Verteilung D Mitte mit Rinde]],2,FALSE)</f>
        <v>#N/A</v>
      </c>
      <c r="L4468">
        <v>4459</v>
      </c>
      <c r="M4468" t="e">
        <f>INDEX(Stammdaten[Abholzigkeit (mm/lfm)],MATCH(Tabelle9[[#This Row],[Rank]],Stammdaten[Rank Verteilung Abholzigkeit],0))</f>
        <v>#N/A</v>
      </c>
      <c r="N4468" t="e">
        <f>VLOOKUP(Tabelle9[[#This Row],[Rank]],Stammdaten[[Rank Verteilung Abholzigkeit]:[Verteilung Abholzigkeit]],2,FALSE)</f>
        <v>#N/A</v>
      </c>
      <c r="S4468">
        <v>4459</v>
      </c>
      <c r="T4468" t="e">
        <f>INDEX(Stammdaten[Krümmung (mm/lfm)],MATCH(Tabelle10[[#This Row],[Rank]],Stammdaten[Rank Verteilung Krümmung],0))</f>
        <v>#N/A</v>
      </c>
      <c r="U4468" t="e">
        <f>VLOOKUP(Tabelle10[[#This Row],[Rank]],Stammdaten[[Rank Verteilung Krümmung]:[Verteilung Krümmung]],2,FALSE)</f>
        <v>#N/A</v>
      </c>
      <c r="Z4468">
        <v>4459</v>
      </c>
      <c r="AA4468" t="e">
        <f>INDEX(Stammdaten[Ovalität (']0,1'])],MATCH(Tabelle1014[[#This Row],[Rank]],Stammdaten[Rank Verteilung Ovalität],0))</f>
        <v>#N/A</v>
      </c>
      <c r="AB4468" t="e">
        <f>VLOOKUP(Tabelle1014[[#This Row],[Rank]],Stammdaten[[Rank Verteilung Ovalität]:[Verteilung Ovalität]],2,FALSE)</f>
        <v>#N/A</v>
      </c>
    </row>
    <row r="4469" spans="5:28" x14ac:dyDescent="0.35">
      <c r="E4469">
        <v>4460</v>
      </c>
      <c r="F4469" t="e">
        <f>INDEX(Stammdaten[D Mitte mit Rinde (mm)],MATCH(Tabelle8[[#This Row],[Rank]],Stammdaten[Rank Verteilung D Mitte mit Rinde],0))</f>
        <v>#N/A</v>
      </c>
      <c r="G4469" t="e">
        <f>VLOOKUP(Tabelle8[[#This Row],[Rank]],Stammdaten[[Rank Verteilung D Mitte mit Rinde]:[Verteilung D Mitte mit Rinde]],2,FALSE)</f>
        <v>#N/A</v>
      </c>
      <c r="L4469">
        <v>4460</v>
      </c>
      <c r="M4469" t="e">
        <f>INDEX(Stammdaten[Abholzigkeit (mm/lfm)],MATCH(Tabelle9[[#This Row],[Rank]],Stammdaten[Rank Verteilung Abholzigkeit],0))</f>
        <v>#N/A</v>
      </c>
      <c r="N4469" t="e">
        <f>VLOOKUP(Tabelle9[[#This Row],[Rank]],Stammdaten[[Rank Verteilung Abholzigkeit]:[Verteilung Abholzigkeit]],2,FALSE)</f>
        <v>#N/A</v>
      </c>
      <c r="S4469">
        <v>4460</v>
      </c>
      <c r="T4469" t="e">
        <f>INDEX(Stammdaten[Krümmung (mm/lfm)],MATCH(Tabelle10[[#This Row],[Rank]],Stammdaten[Rank Verteilung Krümmung],0))</f>
        <v>#N/A</v>
      </c>
      <c r="U4469" t="e">
        <f>VLOOKUP(Tabelle10[[#This Row],[Rank]],Stammdaten[[Rank Verteilung Krümmung]:[Verteilung Krümmung]],2,FALSE)</f>
        <v>#N/A</v>
      </c>
      <c r="Z4469">
        <v>4460</v>
      </c>
      <c r="AA4469" t="e">
        <f>INDEX(Stammdaten[Ovalität (']0,1'])],MATCH(Tabelle1014[[#This Row],[Rank]],Stammdaten[Rank Verteilung Ovalität],0))</f>
        <v>#N/A</v>
      </c>
      <c r="AB4469" t="e">
        <f>VLOOKUP(Tabelle1014[[#This Row],[Rank]],Stammdaten[[Rank Verteilung Ovalität]:[Verteilung Ovalität]],2,FALSE)</f>
        <v>#N/A</v>
      </c>
    </row>
    <row r="4470" spans="5:28" x14ac:dyDescent="0.35">
      <c r="E4470">
        <v>4461</v>
      </c>
      <c r="F4470" t="e">
        <f>INDEX(Stammdaten[D Mitte mit Rinde (mm)],MATCH(Tabelle8[[#This Row],[Rank]],Stammdaten[Rank Verteilung D Mitte mit Rinde],0))</f>
        <v>#N/A</v>
      </c>
      <c r="G4470" t="e">
        <f>VLOOKUP(Tabelle8[[#This Row],[Rank]],Stammdaten[[Rank Verteilung D Mitte mit Rinde]:[Verteilung D Mitte mit Rinde]],2,FALSE)</f>
        <v>#N/A</v>
      </c>
      <c r="L4470">
        <v>4461</v>
      </c>
      <c r="M4470" t="e">
        <f>INDEX(Stammdaten[Abholzigkeit (mm/lfm)],MATCH(Tabelle9[[#This Row],[Rank]],Stammdaten[Rank Verteilung Abholzigkeit],0))</f>
        <v>#N/A</v>
      </c>
      <c r="N4470" t="e">
        <f>VLOOKUP(Tabelle9[[#This Row],[Rank]],Stammdaten[[Rank Verteilung Abholzigkeit]:[Verteilung Abholzigkeit]],2,FALSE)</f>
        <v>#N/A</v>
      </c>
      <c r="S4470">
        <v>4461</v>
      </c>
      <c r="T4470" t="e">
        <f>INDEX(Stammdaten[Krümmung (mm/lfm)],MATCH(Tabelle10[[#This Row],[Rank]],Stammdaten[Rank Verteilung Krümmung],0))</f>
        <v>#N/A</v>
      </c>
      <c r="U4470" t="e">
        <f>VLOOKUP(Tabelle10[[#This Row],[Rank]],Stammdaten[[Rank Verteilung Krümmung]:[Verteilung Krümmung]],2,FALSE)</f>
        <v>#N/A</v>
      </c>
      <c r="Z4470">
        <v>4461</v>
      </c>
      <c r="AA4470" t="e">
        <f>INDEX(Stammdaten[Ovalität (']0,1'])],MATCH(Tabelle1014[[#This Row],[Rank]],Stammdaten[Rank Verteilung Ovalität],0))</f>
        <v>#N/A</v>
      </c>
      <c r="AB4470" t="e">
        <f>VLOOKUP(Tabelle1014[[#This Row],[Rank]],Stammdaten[[Rank Verteilung Ovalität]:[Verteilung Ovalität]],2,FALSE)</f>
        <v>#N/A</v>
      </c>
    </row>
    <row r="4471" spans="5:28" x14ac:dyDescent="0.35">
      <c r="E4471">
        <v>4462</v>
      </c>
      <c r="F4471" t="e">
        <f>INDEX(Stammdaten[D Mitte mit Rinde (mm)],MATCH(Tabelle8[[#This Row],[Rank]],Stammdaten[Rank Verteilung D Mitte mit Rinde],0))</f>
        <v>#N/A</v>
      </c>
      <c r="G4471" t="e">
        <f>VLOOKUP(Tabelle8[[#This Row],[Rank]],Stammdaten[[Rank Verteilung D Mitte mit Rinde]:[Verteilung D Mitte mit Rinde]],2,FALSE)</f>
        <v>#N/A</v>
      </c>
      <c r="L4471">
        <v>4462</v>
      </c>
      <c r="M4471" t="e">
        <f>INDEX(Stammdaten[Abholzigkeit (mm/lfm)],MATCH(Tabelle9[[#This Row],[Rank]],Stammdaten[Rank Verteilung Abholzigkeit],0))</f>
        <v>#N/A</v>
      </c>
      <c r="N4471" t="e">
        <f>VLOOKUP(Tabelle9[[#This Row],[Rank]],Stammdaten[[Rank Verteilung Abholzigkeit]:[Verteilung Abholzigkeit]],2,FALSE)</f>
        <v>#N/A</v>
      </c>
      <c r="S4471">
        <v>4462</v>
      </c>
      <c r="T4471" t="e">
        <f>INDEX(Stammdaten[Krümmung (mm/lfm)],MATCH(Tabelle10[[#This Row],[Rank]],Stammdaten[Rank Verteilung Krümmung],0))</f>
        <v>#N/A</v>
      </c>
      <c r="U4471" t="e">
        <f>VLOOKUP(Tabelle10[[#This Row],[Rank]],Stammdaten[[Rank Verteilung Krümmung]:[Verteilung Krümmung]],2,FALSE)</f>
        <v>#N/A</v>
      </c>
      <c r="Z4471">
        <v>4462</v>
      </c>
      <c r="AA4471" t="e">
        <f>INDEX(Stammdaten[Ovalität (']0,1'])],MATCH(Tabelle1014[[#This Row],[Rank]],Stammdaten[Rank Verteilung Ovalität],0))</f>
        <v>#N/A</v>
      </c>
      <c r="AB4471" t="e">
        <f>VLOOKUP(Tabelle1014[[#This Row],[Rank]],Stammdaten[[Rank Verteilung Ovalität]:[Verteilung Ovalität]],2,FALSE)</f>
        <v>#N/A</v>
      </c>
    </row>
    <row r="4472" spans="5:28" x14ac:dyDescent="0.35">
      <c r="E4472">
        <v>4463</v>
      </c>
      <c r="F4472" t="e">
        <f>INDEX(Stammdaten[D Mitte mit Rinde (mm)],MATCH(Tabelle8[[#This Row],[Rank]],Stammdaten[Rank Verteilung D Mitte mit Rinde],0))</f>
        <v>#N/A</v>
      </c>
      <c r="G4472" t="e">
        <f>VLOOKUP(Tabelle8[[#This Row],[Rank]],Stammdaten[[Rank Verteilung D Mitte mit Rinde]:[Verteilung D Mitte mit Rinde]],2,FALSE)</f>
        <v>#N/A</v>
      </c>
      <c r="L4472">
        <v>4463</v>
      </c>
      <c r="M4472" t="e">
        <f>INDEX(Stammdaten[Abholzigkeit (mm/lfm)],MATCH(Tabelle9[[#This Row],[Rank]],Stammdaten[Rank Verteilung Abholzigkeit],0))</f>
        <v>#N/A</v>
      </c>
      <c r="N4472" t="e">
        <f>VLOOKUP(Tabelle9[[#This Row],[Rank]],Stammdaten[[Rank Verteilung Abholzigkeit]:[Verteilung Abholzigkeit]],2,FALSE)</f>
        <v>#N/A</v>
      </c>
      <c r="S4472">
        <v>4463</v>
      </c>
      <c r="T4472" t="e">
        <f>INDEX(Stammdaten[Krümmung (mm/lfm)],MATCH(Tabelle10[[#This Row],[Rank]],Stammdaten[Rank Verteilung Krümmung],0))</f>
        <v>#N/A</v>
      </c>
      <c r="U4472" t="e">
        <f>VLOOKUP(Tabelle10[[#This Row],[Rank]],Stammdaten[[Rank Verteilung Krümmung]:[Verteilung Krümmung]],2,FALSE)</f>
        <v>#N/A</v>
      </c>
      <c r="Z4472">
        <v>4463</v>
      </c>
      <c r="AA4472" t="e">
        <f>INDEX(Stammdaten[Ovalität (']0,1'])],MATCH(Tabelle1014[[#This Row],[Rank]],Stammdaten[Rank Verteilung Ovalität],0))</f>
        <v>#N/A</v>
      </c>
      <c r="AB4472" t="e">
        <f>VLOOKUP(Tabelle1014[[#This Row],[Rank]],Stammdaten[[Rank Verteilung Ovalität]:[Verteilung Ovalität]],2,FALSE)</f>
        <v>#N/A</v>
      </c>
    </row>
    <row r="4473" spans="5:28" x14ac:dyDescent="0.35">
      <c r="E4473">
        <v>4464</v>
      </c>
      <c r="F4473" t="e">
        <f>INDEX(Stammdaten[D Mitte mit Rinde (mm)],MATCH(Tabelle8[[#This Row],[Rank]],Stammdaten[Rank Verteilung D Mitte mit Rinde],0))</f>
        <v>#N/A</v>
      </c>
      <c r="G4473" t="e">
        <f>VLOOKUP(Tabelle8[[#This Row],[Rank]],Stammdaten[[Rank Verteilung D Mitte mit Rinde]:[Verteilung D Mitte mit Rinde]],2,FALSE)</f>
        <v>#N/A</v>
      </c>
      <c r="L4473">
        <v>4464</v>
      </c>
      <c r="M4473" t="e">
        <f>INDEX(Stammdaten[Abholzigkeit (mm/lfm)],MATCH(Tabelle9[[#This Row],[Rank]],Stammdaten[Rank Verteilung Abholzigkeit],0))</f>
        <v>#N/A</v>
      </c>
      <c r="N4473" t="e">
        <f>VLOOKUP(Tabelle9[[#This Row],[Rank]],Stammdaten[[Rank Verteilung Abholzigkeit]:[Verteilung Abholzigkeit]],2,FALSE)</f>
        <v>#N/A</v>
      </c>
      <c r="S4473">
        <v>4464</v>
      </c>
      <c r="T4473" t="e">
        <f>INDEX(Stammdaten[Krümmung (mm/lfm)],MATCH(Tabelle10[[#This Row],[Rank]],Stammdaten[Rank Verteilung Krümmung],0))</f>
        <v>#N/A</v>
      </c>
      <c r="U4473" t="e">
        <f>VLOOKUP(Tabelle10[[#This Row],[Rank]],Stammdaten[[Rank Verteilung Krümmung]:[Verteilung Krümmung]],2,FALSE)</f>
        <v>#N/A</v>
      </c>
      <c r="Z4473">
        <v>4464</v>
      </c>
      <c r="AA4473" t="e">
        <f>INDEX(Stammdaten[Ovalität (']0,1'])],MATCH(Tabelle1014[[#This Row],[Rank]],Stammdaten[Rank Verteilung Ovalität],0))</f>
        <v>#N/A</v>
      </c>
      <c r="AB4473" t="e">
        <f>VLOOKUP(Tabelle1014[[#This Row],[Rank]],Stammdaten[[Rank Verteilung Ovalität]:[Verteilung Ovalität]],2,FALSE)</f>
        <v>#N/A</v>
      </c>
    </row>
    <row r="4474" spans="5:28" x14ac:dyDescent="0.35">
      <c r="E4474">
        <v>4465</v>
      </c>
      <c r="F4474" t="e">
        <f>INDEX(Stammdaten[D Mitte mit Rinde (mm)],MATCH(Tabelle8[[#This Row],[Rank]],Stammdaten[Rank Verteilung D Mitte mit Rinde],0))</f>
        <v>#N/A</v>
      </c>
      <c r="G4474" t="e">
        <f>VLOOKUP(Tabelle8[[#This Row],[Rank]],Stammdaten[[Rank Verteilung D Mitte mit Rinde]:[Verteilung D Mitte mit Rinde]],2,FALSE)</f>
        <v>#N/A</v>
      </c>
      <c r="L4474">
        <v>4465</v>
      </c>
      <c r="M4474" t="e">
        <f>INDEX(Stammdaten[Abholzigkeit (mm/lfm)],MATCH(Tabelle9[[#This Row],[Rank]],Stammdaten[Rank Verteilung Abholzigkeit],0))</f>
        <v>#N/A</v>
      </c>
      <c r="N4474" t="e">
        <f>VLOOKUP(Tabelle9[[#This Row],[Rank]],Stammdaten[[Rank Verteilung Abholzigkeit]:[Verteilung Abholzigkeit]],2,FALSE)</f>
        <v>#N/A</v>
      </c>
      <c r="S4474">
        <v>4465</v>
      </c>
      <c r="T4474" t="e">
        <f>INDEX(Stammdaten[Krümmung (mm/lfm)],MATCH(Tabelle10[[#This Row],[Rank]],Stammdaten[Rank Verteilung Krümmung],0))</f>
        <v>#N/A</v>
      </c>
      <c r="U4474" t="e">
        <f>VLOOKUP(Tabelle10[[#This Row],[Rank]],Stammdaten[[Rank Verteilung Krümmung]:[Verteilung Krümmung]],2,FALSE)</f>
        <v>#N/A</v>
      </c>
      <c r="Z4474">
        <v>4465</v>
      </c>
      <c r="AA4474" t="e">
        <f>INDEX(Stammdaten[Ovalität (']0,1'])],MATCH(Tabelle1014[[#This Row],[Rank]],Stammdaten[Rank Verteilung Ovalität],0))</f>
        <v>#N/A</v>
      </c>
      <c r="AB4474" t="e">
        <f>VLOOKUP(Tabelle1014[[#This Row],[Rank]],Stammdaten[[Rank Verteilung Ovalität]:[Verteilung Ovalität]],2,FALSE)</f>
        <v>#N/A</v>
      </c>
    </row>
    <row r="4475" spans="5:28" x14ac:dyDescent="0.35">
      <c r="E4475">
        <v>4466</v>
      </c>
      <c r="F4475" t="e">
        <f>INDEX(Stammdaten[D Mitte mit Rinde (mm)],MATCH(Tabelle8[[#This Row],[Rank]],Stammdaten[Rank Verteilung D Mitte mit Rinde],0))</f>
        <v>#N/A</v>
      </c>
      <c r="G4475" t="e">
        <f>VLOOKUP(Tabelle8[[#This Row],[Rank]],Stammdaten[[Rank Verteilung D Mitte mit Rinde]:[Verteilung D Mitte mit Rinde]],2,FALSE)</f>
        <v>#N/A</v>
      </c>
      <c r="L4475">
        <v>4466</v>
      </c>
      <c r="M4475" t="e">
        <f>INDEX(Stammdaten[Abholzigkeit (mm/lfm)],MATCH(Tabelle9[[#This Row],[Rank]],Stammdaten[Rank Verteilung Abholzigkeit],0))</f>
        <v>#N/A</v>
      </c>
      <c r="N4475" t="e">
        <f>VLOOKUP(Tabelle9[[#This Row],[Rank]],Stammdaten[[Rank Verteilung Abholzigkeit]:[Verteilung Abholzigkeit]],2,FALSE)</f>
        <v>#N/A</v>
      </c>
      <c r="S4475">
        <v>4466</v>
      </c>
      <c r="T4475" t="e">
        <f>INDEX(Stammdaten[Krümmung (mm/lfm)],MATCH(Tabelle10[[#This Row],[Rank]],Stammdaten[Rank Verteilung Krümmung],0))</f>
        <v>#N/A</v>
      </c>
      <c r="U4475" t="e">
        <f>VLOOKUP(Tabelle10[[#This Row],[Rank]],Stammdaten[[Rank Verteilung Krümmung]:[Verteilung Krümmung]],2,FALSE)</f>
        <v>#N/A</v>
      </c>
      <c r="Z4475">
        <v>4466</v>
      </c>
      <c r="AA4475" t="e">
        <f>INDEX(Stammdaten[Ovalität (']0,1'])],MATCH(Tabelle1014[[#This Row],[Rank]],Stammdaten[Rank Verteilung Ovalität],0))</f>
        <v>#N/A</v>
      </c>
      <c r="AB4475" t="e">
        <f>VLOOKUP(Tabelle1014[[#This Row],[Rank]],Stammdaten[[Rank Verteilung Ovalität]:[Verteilung Ovalität]],2,FALSE)</f>
        <v>#N/A</v>
      </c>
    </row>
    <row r="4476" spans="5:28" x14ac:dyDescent="0.35">
      <c r="E4476">
        <v>4467</v>
      </c>
      <c r="F4476" t="e">
        <f>INDEX(Stammdaten[D Mitte mit Rinde (mm)],MATCH(Tabelle8[[#This Row],[Rank]],Stammdaten[Rank Verteilung D Mitte mit Rinde],0))</f>
        <v>#N/A</v>
      </c>
      <c r="G4476" t="e">
        <f>VLOOKUP(Tabelle8[[#This Row],[Rank]],Stammdaten[[Rank Verteilung D Mitte mit Rinde]:[Verteilung D Mitte mit Rinde]],2,FALSE)</f>
        <v>#N/A</v>
      </c>
      <c r="L4476">
        <v>4467</v>
      </c>
      <c r="M4476" t="e">
        <f>INDEX(Stammdaten[Abholzigkeit (mm/lfm)],MATCH(Tabelle9[[#This Row],[Rank]],Stammdaten[Rank Verteilung Abholzigkeit],0))</f>
        <v>#N/A</v>
      </c>
      <c r="N4476" t="e">
        <f>VLOOKUP(Tabelle9[[#This Row],[Rank]],Stammdaten[[Rank Verteilung Abholzigkeit]:[Verteilung Abholzigkeit]],2,FALSE)</f>
        <v>#N/A</v>
      </c>
      <c r="S4476">
        <v>4467</v>
      </c>
      <c r="T4476" t="e">
        <f>INDEX(Stammdaten[Krümmung (mm/lfm)],MATCH(Tabelle10[[#This Row],[Rank]],Stammdaten[Rank Verteilung Krümmung],0))</f>
        <v>#N/A</v>
      </c>
      <c r="U4476" t="e">
        <f>VLOOKUP(Tabelle10[[#This Row],[Rank]],Stammdaten[[Rank Verteilung Krümmung]:[Verteilung Krümmung]],2,FALSE)</f>
        <v>#N/A</v>
      </c>
      <c r="Z4476">
        <v>4467</v>
      </c>
      <c r="AA4476" t="e">
        <f>INDEX(Stammdaten[Ovalität (']0,1'])],MATCH(Tabelle1014[[#This Row],[Rank]],Stammdaten[Rank Verteilung Ovalität],0))</f>
        <v>#N/A</v>
      </c>
      <c r="AB4476" t="e">
        <f>VLOOKUP(Tabelle1014[[#This Row],[Rank]],Stammdaten[[Rank Verteilung Ovalität]:[Verteilung Ovalität]],2,FALSE)</f>
        <v>#N/A</v>
      </c>
    </row>
    <row r="4477" spans="5:28" x14ac:dyDescent="0.35">
      <c r="E4477">
        <v>4468</v>
      </c>
      <c r="F4477" t="e">
        <f>INDEX(Stammdaten[D Mitte mit Rinde (mm)],MATCH(Tabelle8[[#This Row],[Rank]],Stammdaten[Rank Verteilung D Mitte mit Rinde],0))</f>
        <v>#N/A</v>
      </c>
      <c r="G4477" t="e">
        <f>VLOOKUP(Tabelle8[[#This Row],[Rank]],Stammdaten[[Rank Verteilung D Mitte mit Rinde]:[Verteilung D Mitte mit Rinde]],2,FALSE)</f>
        <v>#N/A</v>
      </c>
      <c r="L4477">
        <v>4468</v>
      </c>
      <c r="M4477" t="e">
        <f>INDEX(Stammdaten[Abholzigkeit (mm/lfm)],MATCH(Tabelle9[[#This Row],[Rank]],Stammdaten[Rank Verteilung Abholzigkeit],0))</f>
        <v>#N/A</v>
      </c>
      <c r="N4477" t="e">
        <f>VLOOKUP(Tabelle9[[#This Row],[Rank]],Stammdaten[[Rank Verteilung Abholzigkeit]:[Verteilung Abholzigkeit]],2,FALSE)</f>
        <v>#N/A</v>
      </c>
      <c r="S4477">
        <v>4468</v>
      </c>
      <c r="T4477" t="e">
        <f>INDEX(Stammdaten[Krümmung (mm/lfm)],MATCH(Tabelle10[[#This Row],[Rank]],Stammdaten[Rank Verteilung Krümmung],0))</f>
        <v>#N/A</v>
      </c>
      <c r="U4477" t="e">
        <f>VLOOKUP(Tabelle10[[#This Row],[Rank]],Stammdaten[[Rank Verteilung Krümmung]:[Verteilung Krümmung]],2,FALSE)</f>
        <v>#N/A</v>
      </c>
      <c r="Z4477">
        <v>4468</v>
      </c>
      <c r="AA4477" t="e">
        <f>INDEX(Stammdaten[Ovalität (']0,1'])],MATCH(Tabelle1014[[#This Row],[Rank]],Stammdaten[Rank Verteilung Ovalität],0))</f>
        <v>#N/A</v>
      </c>
      <c r="AB4477" t="e">
        <f>VLOOKUP(Tabelle1014[[#This Row],[Rank]],Stammdaten[[Rank Verteilung Ovalität]:[Verteilung Ovalität]],2,FALSE)</f>
        <v>#N/A</v>
      </c>
    </row>
    <row r="4478" spans="5:28" x14ac:dyDescent="0.35">
      <c r="E4478">
        <v>4469</v>
      </c>
      <c r="F4478" t="e">
        <f>INDEX(Stammdaten[D Mitte mit Rinde (mm)],MATCH(Tabelle8[[#This Row],[Rank]],Stammdaten[Rank Verteilung D Mitte mit Rinde],0))</f>
        <v>#N/A</v>
      </c>
      <c r="G4478" t="e">
        <f>VLOOKUP(Tabelle8[[#This Row],[Rank]],Stammdaten[[Rank Verteilung D Mitte mit Rinde]:[Verteilung D Mitte mit Rinde]],2,FALSE)</f>
        <v>#N/A</v>
      </c>
      <c r="L4478">
        <v>4469</v>
      </c>
      <c r="M4478" t="e">
        <f>INDEX(Stammdaten[Abholzigkeit (mm/lfm)],MATCH(Tabelle9[[#This Row],[Rank]],Stammdaten[Rank Verteilung Abholzigkeit],0))</f>
        <v>#N/A</v>
      </c>
      <c r="N4478" t="e">
        <f>VLOOKUP(Tabelle9[[#This Row],[Rank]],Stammdaten[[Rank Verteilung Abholzigkeit]:[Verteilung Abholzigkeit]],2,FALSE)</f>
        <v>#N/A</v>
      </c>
      <c r="S4478">
        <v>4469</v>
      </c>
      <c r="T4478" t="e">
        <f>INDEX(Stammdaten[Krümmung (mm/lfm)],MATCH(Tabelle10[[#This Row],[Rank]],Stammdaten[Rank Verteilung Krümmung],0))</f>
        <v>#N/A</v>
      </c>
      <c r="U4478" t="e">
        <f>VLOOKUP(Tabelle10[[#This Row],[Rank]],Stammdaten[[Rank Verteilung Krümmung]:[Verteilung Krümmung]],2,FALSE)</f>
        <v>#N/A</v>
      </c>
      <c r="Z4478">
        <v>4469</v>
      </c>
      <c r="AA4478" t="e">
        <f>INDEX(Stammdaten[Ovalität (']0,1'])],MATCH(Tabelle1014[[#This Row],[Rank]],Stammdaten[Rank Verteilung Ovalität],0))</f>
        <v>#N/A</v>
      </c>
      <c r="AB4478" t="e">
        <f>VLOOKUP(Tabelle1014[[#This Row],[Rank]],Stammdaten[[Rank Verteilung Ovalität]:[Verteilung Ovalität]],2,FALSE)</f>
        <v>#N/A</v>
      </c>
    </row>
    <row r="4479" spans="5:28" x14ac:dyDescent="0.35">
      <c r="E4479">
        <v>4470</v>
      </c>
      <c r="F4479" t="e">
        <f>INDEX(Stammdaten[D Mitte mit Rinde (mm)],MATCH(Tabelle8[[#This Row],[Rank]],Stammdaten[Rank Verteilung D Mitte mit Rinde],0))</f>
        <v>#N/A</v>
      </c>
      <c r="G4479" t="e">
        <f>VLOOKUP(Tabelle8[[#This Row],[Rank]],Stammdaten[[Rank Verteilung D Mitte mit Rinde]:[Verteilung D Mitte mit Rinde]],2,FALSE)</f>
        <v>#N/A</v>
      </c>
      <c r="L4479">
        <v>4470</v>
      </c>
      <c r="M4479" t="e">
        <f>INDEX(Stammdaten[Abholzigkeit (mm/lfm)],MATCH(Tabelle9[[#This Row],[Rank]],Stammdaten[Rank Verteilung Abholzigkeit],0))</f>
        <v>#N/A</v>
      </c>
      <c r="N4479" t="e">
        <f>VLOOKUP(Tabelle9[[#This Row],[Rank]],Stammdaten[[Rank Verteilung Abholzigkeit]:[Verteilung Abholzigkeit]],2,FALSE)</f>
        <v>#N/A</v>
      </c>
      <c r="S4479">
        <v>4470</v>
      </c>
      <c r="T4479" t="e">
        <f>INDEX(Stammdaten[Krümmung (mm/lfm)],MATCH(Tabelle10[[#This Row],[Rank]],Stammdaten[Rank Verteilung Krümmung],0))</f>
        <v>#N/A</v>
      </c>
      <c r="U4479" t="e">
        <f>VLOOKUP(Tabelle10[[#This Row],[Rank]],Stammdaten[[Rank Verteilung Krümmung]:[Verteilung Krümmung]],2,FALSE)</f>
        <v>#N/A</v>
      </c>
      <c r="Z4479">
        <v>4470</v>
      </c>
      <c r="AA4479" t="e">
        <f>INDEX(Stammdaten[Ovalität (']0,1'])],MATCH(Tabelle1014[[#This Row],[Rank]],Stammdaten[Rank Verteilung Ovalität],0))</f>
        <v>#N/A</v>
      </c>
      <c r="AB4479" t="e">
        <f>VLOOKUP(Tabelle1014[[#This Row],[Rank]],Stammdaten[[Rank Verteilung Ovalität]:[Verteilung Ovalität]],2,FALSE)</f>
        <v>#N/A</v>
      </c>
    </row>
    <row r="4480" spans="5:28" x14ac:dyDescent="0.35">
      <c r="E4480">
        <v>4471</v>
      </c>
      <c r="F4480" t="e">
        <f>INDEX(Stammdaten[D Mitte mit Rinde (mm)],MATCH(Tabelle8[[#This Row],[Rank]],Stammdaten[Rank Verteilung D Mitte mit Rinde],0))</f>
        <v>#N/A</v>
      </c>
      <c r="G4480" t="e">
        <f>VLOOKUP(Tabelle8[[#This Row],[Rank]],Stammdaten[[Rank Verteilung D Mitte mit Rinde]:[Verteilung D Mitte mit Rinde]],2,FALSE)</f>
        <v>#N/A</v>
      </c>
      <c r="L4480">
        <v>4471</v>
      </c>
      <c r="M4480" t="e">
        <f>INDEX(Stammdaten[Abholzigkeit (mm/lfm)],MATCH(Tabelle9[[#This Row],[Rank]],Stammdaten[Rank Verteilung Abholzigkeit],0))</f>
        <v>#N/A</v>
      </c>
      <c r="N4480" t="e">
        <f>VLOOKUP(Tabelle9[[#This Row],[Rank]],Stammdaten[[Rank Verteilung Abholzigkeit]:[Verteilung Abholzigkeit]],2,FALSE)</f>
        <v>#N/A</v>
      </c>
      <c r="S4480">
        <v>4471</v>
      </c>
      <c r="T4480" t="e">
        <f>INDEX(Stammdaten[Krümmung (mm/lfm)],MATCH(Tabelle10[[#This Row],[Rank]],Stammdaten[Rank Verteilung Krümmung],0))</f>
        <v>#N/A</v>
      </c>
      <c r="U4480" t="e">
        <f>VLOOKUP(Tabelle10[[#This Row],[Rank]],Stammdaten[[Rank Verteilung Krümmung]:[Verteilung Krümmung]],2,FALSE)</f>
        <v>#N/A</v>
      </c>
      <c r="Z4480">
        <v>4471</v>
      </c>
      <c r="AA4480" t="e">
        <f>INDEX(Stammdaten[Ovalität (']0,1'])],MATCH(Tabelle1014[[#This Row],[Rank]],Stammdaten[Rank Verteilung Ovalität],0))</f>
        <v>#N/A</v>
      </c>
      <c r="AB4480" t="e">
        <f>VLOOKUP(Tabelle1014[[#This Row],[Rank]],Stammdaten[[Rank Verteilung Ovalität]:[Verteilung Ovalität]],2,FALSE)</f>
        <v>#N/A</v>
      </c>
    </row>
    <row r="4481" spans="5:28" x14ac:dyDescent="0.35">
      <c r="E4481">
        <v>4472</v>
      </c>
      <c r="F4481" t="e">
        <f>INDEX(Stammdaten[D Mitte mit Rinde (mm)],MATCH(Tabelle8[[#This Row],[Rank]],Stammdaten[Rank Verteilung D Mitte mit Rinde],0))</f>
        <v>#N/A</v>
      </c>
      <c r="G4481" t="e">
        <f>VLOOKUP(Tabelle8[[#This Row],[Rank]],Stammdaten[[Rank Verteilung D Mitte mit Rinde]:[Verteilung D Mitte mit Rinde]],2,FALSE)</f>
        <v>#N/A</v>
      </c>
      <c r="L4481">
        <v>4472</v>
      </c>
      <c r="M4481" t="e">
        <f>INDEX(Stammdaten[Abholzigkeit (mm/lfm)],MATCH(Tabelle9[[#This Row],[Rank]],Stammdaten[Rank Verteilung Abholzigkeit],0))</f>
        <v>#N/A</v>
      </c>
      <c r="N4481" t="e">
        <f>VLOOKUP(Tabelle9[[#This Row],[Rank]],Stammdaten[[Rank Verteilung Abholzigkeit]:[Verteilung Abholzigkeit]],2,FALSE)</f>
        <v>#N/A</v>
      </c>
      <c r="S4481">
        <v>4472</v>
      </c>
      <c r="T4481" t="e">
        <f>INDEX(Stammdaten[Krümmung (mm/lfm)],MATCH(Tabelle10[[#This Row],[Rank]],Stammdaten[Rank Verteilung Krümmung],0))</f>
        <v>#N/A</v>
      </c>
      <c r="U4481" t="e">
        <f>VLOOKUP(Tabelle10[[#This Row],[Rank]],Stammdaten[[Rank Verteilung Krümmung]:[Verteilung Krümmung]],2,FALSE)</f>
        <v>#N/A</v>
      </c>
      <c r="Z4481">
        <v>4472</v>
      </c>
      <c r="AA4481" t="e">
        <f>INDEX(Stammdaten[Ovalität (']0,1'])],MATCH(Tabelle1014[[#This Row],[Rank]],Stammdaten[Rank Verteilung Ovalität],0))</f>
        <v>#N/A</v>
      </c>
      <c r="AB4481" t="e">
        <f>VLOOKUP(Tabelle1014[[#This Row],[Rank]],Stammdaten[[Rank Verteilung Ovalität]:[Verteilung Ovalität]],2,FALSE)</f>
        <v>#N/A</v>
      </c>
    </row>
    <row r="4482" spans="5:28" x14ac:dyDescent="0.35">
      <c r="E4482">
        <v>4473</v>
      </c>
      <c r="F4482" t="e">
        <f>INDEX(Stammdaten[D Mitte mit Rinde (mm)],MATCH(Tabelle8[[#This Row],[Rank]],Stammdaten[Rank Verteilung D Mitte mit Rinde],0))</f>
        <v>#N/A</v>
      </c>
      <c r="G4482" t="e">
        <f>VLOOKUP(Tabelle8[[#This Row],[Rank]],Stammdaten[[Rank Verteilung D Mitte mit Rinde]:[Verteilung D Mitte mit Rinde]],2,FALSE)</f>
        <v>#N/A</v>
      </c>
      <c r="L4482">
        <v>4473</v>
      </c>
      <c r="M4482" t="e">
        <f>INDEX(Stammdaten[Abholzigkeit (mm/lfm)],MATCH(Tabelle9[[#This Row],[Rank]],Stammdaten[Rank Verteilung Abholzigkeit],0))</f>
        <v>#N/A</v>
      </c>
      <c r="N4482" t="e">
        <f>VLOOKUP(Tabelle9[[#This Row],[Rank]],Stammdaten[[Rank Verteilung Abholzigkeit]:[Verteilung Abholzigkeit]],2,FALSE)</f>
        <v>#N/A</v>
      </c>
      <c r="S4482">
        <v>4473</v>
      </c>
      <c r="T4482" t="e">
        <f>INDEX(Stammdaten[Krümmung (mm/lfm)],MATCH(Tabelle10[[#This Row],[Rank]],Stammdaten[Rank Verteilung Krümmung],0))</f>
        <v>#N/A</v>
      </c>
      <c r="U4482" t="e">
        <f>VLOOKUP(Tabelle10[[#This Row],[Rank]],Stammdaten[[Rank Verteilung Krümmung]:[Verteilung Krümmung]],2,FALSE)</f>
        <v>#N/A</v>
      </c>
      <c r="Z4482">
        <v>4473</v>
      </c>
      <c r="AA4482" t="e">
        <f>INDEX(Stammdaten[Ovalität (']0,1'])],MATCH(Tabelle1014[[#This Row],[Rank]],Stammdaten[Rank Verteilung Ovalität],0))</f>
        <v>#N/A</v>
      </c>
      <c r="AB4482" t="e">
        <f>VLOOKUP(Tabelle1014[[#This Row],[Rank]],Stammdaten[[Rank Verteilung Ovalität]:[Verteilung Ovalität]],2,FALSE)</f>
        <v>#N/A</v>
      </c>
    </row>
    <row r="4483" spans="5:28" x14ac:dyDescent="0.35">
      <c r="E4483">
        <v>4474</v>
      </c>
      <c r="F4483" t="e">
        <f>INDEX(Stammdaten[D Mitte mit Rinde (mm)],MATCH(Tabelle8[[#This Row],[Rank]],Stammdaten[Rank Verteilung D Mitte mit Rinde],0))</f>
        <v>#N/A</v>
      </c>
      <c r="G4483" t="e">
        <f>VLOOKUP(Tabelle8[[#This Row],[Rank]],Stammdaten[[Rank Verteilung D Mitte mit Rinde]:[Verteilung D Mitte mit Rinde]],2,FALSE)</f>
        <v>#N/A</v>
      </c>
      <c r="L4483">
        <v>4474</v>
      </c>
      <c r="M4483" t="e">
        <f>INDEX(Stammdaten[Abholzigkeit (mm/lfm)],MATCH(Tabelle9[[#This Row],[Rank]],Stammdaten[Rank Verteilung Abholzigkeit],0))</f>
        <v>#N/A</v>
      </c>
      <c r="N4483" t="e">
        <f>VLOOKUP(Tabelle9[[#This Row],[Rank]],Stammdaten[[Rank Verteilung Abholzigkeit]:[Verteilung Abholzigkeit]],2,FALSE)</f>
        <v>#N/A</v>
      </c>
      <c r="S4483">
        <v>4474</v>
      </c>
      <c r="T4483" t="e">
        <f>INDEX(Stammdaten[Krümmung (mm/lfm)],MATCH(Tabelle10[[#This Row],[Rank]],Stammdaten[Rank Verteilung Krümmung],0))</f>
        <v>#N/A</v>
      </c>
      <c r="U4483" t="e">
        <f>VLOOKUP(Tabelle10[[#This Row],[Rank]],Stammdaten[[Rank Verteilung Krümmung]:[Verteilung Krümmung]],2,FALSE)</f>
        <v>#N/A</v>
      </c>
      <c r="Z4483">
        <v>4474</v>
      </c>
      <c r="AA4483" t="e">
        <f>INDEX(Stammdaten[Ovalität (']0,1'])],MATCH(Tabelle1014[[#This Row],[Rank]],Stammdaten[Rank Verteilung Ovalität],0))</f>
        <v>#N/A</v>
      </c>
      <c r="AB4483" t="e">
        <f>VLOOKUP(Tabelle1014[[#This Row],[Rank]],Stammdaten[[Rank Verteilung Ovalität]:[Verteilung Ovalität]],2,FALSE)</f>
        <v>#N/A</v>
      </c>
    </row>
    <row r="4484" spans="5:28" x14ac:dyDescent="0.35">
      <c r="E4484">
        <v>4475</v>
      </c>
      <c r="F4484" t="e">
        <f>INDEX(Stammdaten[D Mitte mit Rinde (mm)],MATCH(Tabelle8[[#This Row],[Rank]],Stammdaten[Rank Verteilung D Mitte mit Rinde],0))</f>
        <v>#N/A</v>
      </c>
      <c r="G4484" t="e">
        <f>VLOOKUP(Tabelle8[[#This Row],[Rank]],Stammdaten[[Rank Verteilung D Mitte mit Rinde]:[Verteilung D Mitte mit Rinde]],2,FALSE)</f>
        <v>#N/A</v>
      </c>
      <c r="L4484">
        <v>4475</v>
      </c>
      <c r="M4484" t="e">
        <f>INDEX(Stammdaten[Abholzigkeit (mm/lfm)],MATCH(Tabelle9[[#This Row],[Rank]],Stammdaten[Rank Verteilung Abholzigkeit],0))</f>
        <v>#N/A</v>
      </c>
      <c r="N4484" t="e">
        <f>VLOOKUP(Tabelle9[[#This Row],[Rank]],Stammdaten[[Rank Verteilung Abholzigkeit]:[Verteilung Abholzigkeit]],2,FALSE)</f>
        <v>#N/A</v>
      </c>
      <c r="S4484">
        <v>4475</v>
      </c>
      <c r="T4484" t="e">
        <f>INDEX(Stammdaten[Krümmung (mm/lfm)],MATCH(Tabelle10[[#This Row],[Rank]],Stammdaten[Rank Verteilung Krümmung],0))</f>
        <v>#N/A</v>
      </c>
      <c r="U4484" t="e">
        <f>VLOOKUP(Tabelle10[[#This Row],[Rank]],Stammdaten[[Rank Verteilung Krümmung]:[Verteilung Krümmung]],2,FALSE)</f>
        <v>#N/A</v>
      </c>
      <c r="Z4484">
        <v>4475</v>
      </c>
      <c r="AA4484" t="e">
        <f>INDEX(Stammdaten[Ovalität (']0,1'])],MATCH(Tabelle1014[[#This Row],[Rank]],Stammdaten[Rank Verteilung Ovalität],0))</f>
        <v>#N/A</v>
      </c>
      <c r="AB4484" t="e">
        <f>VLOOKUP(Tabelle1014[[#This Row],[Rank]],Stammdaten[[Rank Verteilung Ovalität]:[Verteilung Ovalität]],2,FALSE)</f>
        <v>#N/A</v>
      </c>
    </row>
    <row r="4485" spans="5:28" x14ac:dyDescent="0.35">
      <c r="E4485">
        <v>4476</v>
      </c>
      <c r="F4485" t="e">
        <f>INDEX(Stammdaten[D Mitte mit Rinde (mm)],MATCH(Tabelle8[[#This Row],[Rank]],Stammdaten[Rank Verteilung D Mitte mit Rinde],0))</f>
        <v>#N/A</v>
      </c>
      <c r="G4485" t="e">
        <f>VLOOKUP(Tabelle8[[#This Row],[Rank]],Stammdaten[[Rank Verteilung D Mitte mit Rinde]:[Verteilung D Mitte mit Rinde]],2,FALSE)</f>
        <v>#N/A</v>
      </c>
      <c r="L4485">
        <v>4476</v>
      </c>
      <c r="M4485" t="e">
        <f>INDEX(Stammdaten[Abholzigkeit (mm/lfm)],MATCH(Tabelle9[[#This Row],[Rank]],Stammdaten[Rank Verteilung Abholzigkeit],0))</f>
        <v>#N/A</v>
      </c>
      <c r="N4485" t="e">
        <f>VLOOKUP(Tabelle9[[#This Row],[Rank]],Stammdaten[[Rank Verteilung Abholzigkeit]:[Verteilung Abholzigkeit]],2,FALSE)</f>
        <v>#N/A</v>
      </c>
      <c r="S4485">
        <v>4476</v>
      </c>
      <c r="T4485" t="e">
        <f>INDEX(Stammdaten[Krümmung (mm/lfm)],MATCH(Tabelle10[[#This Row],[Rank]],Stammdaten[Rank Verteilung Krümmung],0))</f>
        <v>#N/A</v>
      </c>
      <c r="U4485" t="e">
        <f>VLOOKUP(Tabelle10[[#This Row],[Rank]],Stammdaten[[Rank Verteilung Krümmung]:[Verteilung Krümmung]],2,FALSE)</f>
        <v>#N/A</v>
      </c>
      <c r="Z4485">
        <v>4476</v>
      </c>
      <c r="AA4485" t="e">
        <f>INDEX(Stammdaten[Ovalität (']0,1'])],MATCH(Tabelle1014[[#This Row],[Rank]],Stammdaten[Rank Verteilung Ovalität],0))</f>
        <v>#N/A</v>
      </c>
      <c r="AB4485" t="e">
        <f>VLOOKUP(Tabelle1014[[#This Row],[Rank]],Stammdaten[[Rank Verteilung Ovalität]:[Verteilung Ovalität]],2,FALSE)</f>
        <v>#N/A</v>
      </c>
    </row>
    <row r="4486" spans="5:28" x14ac:dyDescent="0.35">
      <c r="E4486">
        <v>4477</v>
      </c>
      <c r="F4486" t="e">
        <f>INDEX(Stammdaten[D Mitte mit Rinde (mm)],MATCH(Tabelle8[[#This Row],[Rank]],Stammdaten[Rank Verteilung D Mitte mit Rinde],0))</f>
        <v>#N/A</v>
      </c>
      <c r="G4486" t="e">
        <f>VLOOKUP(Tabelle8[[#This Row],[Rank]],Stammdaten[[Rank Verteilung D Mitte mit Rinde]:[Verteilung D Mitte mit Rinde]],2,FALSE)</f>
        <v>#N/A</v>
      </c>
      <c r="L4486">
        <v>4477</v>
      </c>
      <c r="M4486" t="e">
        <f>INDEX(Stammdaten[Abholzigkeit (mm/lfm)],MATCH(Tabelle9[[#This Row],[Rank]],Stammdaten[Rank Verteilung Abholzigkeit],0))</f>
        <v>#N/A</v>
      </c>
      <c r="N4486" t="e">
        <f>VLOOKUP(Tabelle9[[#This Row],[Rank]],Stammdaten[[Rank Verteilung Abholzigkeit]:[Verteilung Abholzigkeit]],2,FALSE)</f>
        <v>#N/A</v>
      </c>
      <c r="S4486">
        <v>4477</v>
      </c>
      <c r="T4486" t="e">
        <f>INDEX(Stammdaten[Krümmung (mm/lfm)],MATCH(Tabelle10[[#This Row],[Rank]],Stammdaten[Rank Verteilung Krümmung],0))</f>
        <v>#N/A</v>
      </c>
      <c r="U4486" t="e">
        <f>VLOOKUP(Tabelle10[[#This Row],[Rank]],Stammdaten[[Rank Verteilung Krümmung]:[Verteilung Krümmung]],2,FALSE)</f>
        <v>#N/A</v>
      </c>
      <c r="Z4486">
        <v>4477</v>
      </c>
      <c r="AA4486" t="e">
        <f>INDEX(Stammdaten[Ovalität (']0,1'])],MATCH(Tabelle1014[[#This Row],[Rank]],Stammdaten[Rank Verteilung Ovalität],0))</f>
        <v>#N/A</v>
      </c>
      <c r="AB4486" t="e">
        <f>VLOOKUP(Tabelle1014[[#This Row],[Rank]],Stammdaten[[Rank Verteilung Ovalität]:[Verteilung Ovalität]],2,FALSE)</f>
        <v>#N/A</v>
      </c>
    </row>
    <row r="4487" spans="5:28" x14ac:dyDescent="0.35">
      <c r="E4487">
        <v>4478</v>
      </c>
      <c r="F4487" t="e">
        <f>INDEX(Stammdaten[D Mitte mit Rinde (mm)],MATCH(Tabelle8[[#This Row],[Rank]],Stammdaten[Rank Verteilung D Mitte mit Rinde],0))</f>
        <v>#N/A</v>
      </c>
      <c r="G4487" t="e">
        <f>VLOOKUP(Tabelle8[[#This Row],[Rank]],Stammdaten[[Rank Verteilung D Mitte mit Rinde]:[Verteilung D Mitte mit Rinde]],2,FALSE)</f>
        <v>#N/A</v>
      </c>
      <c r="L4487">
        <v>4478</v>
      </c>
      <c r="M4487" t="e">
        <f>INDEX(Stammdaten[Abholzigkeit (mm/lfm)],MATCH(Tabelle9[[#This Row],[Rank]],Stammdaten[Rank Verteilung Abholzigkeit],0))</f>
        <v>#N/A</v>
      </c>
      <c r="N4487" t="e">
        <f>VLOOKUP(Tabelle9[[#This Row],[Rank]],Stammdaten[[Rank Verteilung Abholzigkeit]:[Verteilung Abholzigkeit]],2,FALSE)</f>
        <v>#N/A</v>
      </c>
      <c r="S4487">
        <v>4478</v>
      </c>
      <c r="T4487" t="e">
        <f>INDEX(Stammdaten[Krümmung (mm/lfm)],MATCH(Tabelle10[[#This Row],[Rank]],Stammdaten[Rank Verteilung Krümmung],0))</f>
        <v>#N/A</v>
      </c>
      <c r="U4487" t="e">
        <f>VLOOKUP(Tabelle10[[#This Row],[Rank]],Stammdaten[[Rank Verteilung Krümmung]:[Verteilung Krümmung]],2,FALSE)</f>
        <v>#N/A</v>
      </c>
      <c r="Z4487">
        <v>4478</v>
      </c>
      <c r="AA4487" t="e">
        <f>INDEX(Stammdaten[Ovalität (']0,1'])],MATCH(Tabelle1014[[#This Row],[Rank]],Stammdaten[Rank Verteilung Ovalität],0))</f>
        <v>#N/A</v>
      </c>
      <c r="AB4487" t="e">
        <f>VLOOKUP(Tabelle1014[[#This Row],[Rank]],Stammdaten[[Rank Verteilung Ovalität]:[Verteilung Ovalität]],2,FALSE)</f>
        <v>#N/A</v>
      </c>
    </row>
    <row r="4488" spans="5:28" x14ac:dyDescent="0.35">
      <c r="E4488">
        <v>4479</v>
      </c>
      <c r="F4488" t="e">
        <f>INDEX(Stammdaten[D Mitte mit Rinde (mm)],MATCH(Tabelle8[[#This Row],[Rank]],Stammdaten[Rank Verteilung D Mitte mit Rinde],0))</f>
        <v>#N/A</v>
      </c>
      <c r="G4488" t="e">
        <f>VLOOKUP(Tabelle8[[#This Row],[Rank]],Stammdaten[[Rank Verteilung D Mitte mit Rinde]:[Verteilung D Mitte mit Rinde]],2,FALSE)</f>
        <v>#N/A</v>
      </c>
      <c r="L4488">
        <v>4479</v>
      </c>
      <c r="M4488" t="e">
        <f>INDEX(Stammdaten[Abholzigkeit (mm/lfm)],MATCH(Tabelle9[[#This Row],[Rank]],Stammdaten[Rank Verteilung Abholzigkeit],0))</f>
        <v>#N/A</v>
      </c>
      <c r="N4488" t="e">
        <f>VLOOKUP(Tabelle9[[#This Row],[Rank]],Stammdaten[[Rank Verteilung Abholzigkeit]:[Verteilung Abholzigkeit]],2,FALSE)</f>
        <v>#N/A</v>
      </c>
      <c r="S4488">
        <v>4479</v>
      </c>
      <c r="T4488" t="e">
        <f>INDEX(Stammdaten[Krümmung (mm/lfm)],MATCH(Tabelle10[[#This Row],[Rank]],Stammdaten[Rank Verteilung Krümmung],0))</f>
        <v>#N/A</v>
      </c>
      <c r="U4488" t="e">
        <f>VLOOKUP(Tabelle10[[#This Row],[Rank]],Stammdaten[[Rank Verteilung Krümmung]:[Verteilung Krümmung]],2,FALSE)</f>
        <v>#N/A</v>
      </c>
      <c r="Z4488">
        <v>4479</v>
      </c>
      <c r="AA4488" t="e">
        <f>INDEX(Stammdaten[Ovalität (']0,1'])],MATCH(Tabelle1014[[#This Row],[Rank]],Stammdaten[Rank Verteilung Ovalität],0))</f>
        <v>#N/A</v>
      </c>
      <c r="AB4488" t="e">
        <f>VLOOKUP(Tabelle1014[[#This Row],[Rank]],Stammdaten[[Rank Verteilung Ovalität]:[Verteilung Ovalität]],2,FALSE)</f>
        <v>#N/A</v>
      </c>
    </row>
    <row r="4489" spans="5:28" x14ac:dyDescent="0.35">
      <c r="E4489">
        <v>4480</v>
      </c>
      <c r="F4489" t="e">
        <f>INDEX(Stammdaten[D Mitte mit Rinde (mm)],MATCH(Tabelle8[[#This Row],[Rank]],Stammdaten[Rank Verteilung D Mitte mit Rinde],0))</f>
        <v>#N/A</v>
      </c>
      <c r="G4489" t="e">
        <f>VLOOKUP(Tabelle8[[#This Row],[Rank]],Stammdaten[[Rank Verteilung D Mitte mit Rinde]:[Verteilung D Mitte mit Rinde]],2,FALSE)</f>
        <v>#N/A</v>
      </c>
      <c r="L4489">
        <v>4480</v>
      </c>
      <c r="M4489" t="e">
        <f>INDEX(Stammdaten[Abholzigkeit (mm/lfm)],MATCH(Tabelle9[[#This Row],[Rank]],Stammdaten[Rank Verteilung Abholzigkeit],0))</f>
        <v>#N/A</v>
      </c>
      <c r="N4489" t="e">
        <f>VLOOKUP(Tabelle9[[#This Row],[Rank]],Stammdaten[[Rank Verteilung Abholzigkeit]:[Verteilung Abholzigkeit]],2,FALSE)</f>
        <v>#N/A</v>
      </c>
      <c r="S4489">
        <v>4480</v>
      </c>
      <c r="T4489" t="e">
        <f>INDEX(Stammdaten[Krümmung (mm/lfm)],MATCH(Tabelle10[[#This Row],[Rank]],Stammdaten[Rank Verteilung Krümmung],0))</f>
        <v>#N/A</v>
      </c>
      <c r="U4489" t="e">
        <f>VLOOKUP(Tabelle10[[#This Row],[Rank]],Stammdaten[[Rank Verteilung Krümmung]:[Verteilung Krümmung]],2,FALSE)</f>
        <v>#N/A</v>
      </c>
      <c r="Z4489">
        <v>4480</v>
      </c>
      <c r="AA4489" t="e">
        <f>INDEX(Stammdaten[Ovalität (']0,1'])],MATCH(Tabelle1014[[#This Row],[Rank]],Stammdaten[Rank Verteilung Ovalität],0))</f>
        <v>#N/A</v>
      </c>
      <c r="AB4489" t="e">
        <f>VLOOKUP(Tabelle1014[[#This Row],[Rank]],Stammdaten[[Rank Verteilung Ovalität]:[Verteilung Ovalität]],2,FALSE)</f>
        <v>#N/A</v>
      </c>
    </row>
    <row r="4490" spans="5:28" x14ac:dyDescent="0.35">
      <c r="E4490">
        <v>4481</v>
      </c>
      <c r="F4490" t="e">
        <f>INDEX(Stammdaten[D Mitte mit Rinde (mm)],MATCH(Tabelle8[[#This Row],[Rank]],Stammdaten[Rank Verteilung D Mitte mit Rinde],0))</f>
        <v>#N/A</v>
      </c>
      <c r="G4490" t="e">
        <f>VLOOKUP(Tabelle8[[#This Row],[Rank]],Stammdaten[[Rank Verteilung D Mitte mit Rinde]:[Verteilung D Mitte mit Rinde]],2,FALSE)</f>
        <v>#N/A</v>
      </c>
      <c r="L4490">
        <v>4481</v>
      </c>
      <c r="M4490" t="e">
        <f>INDEX(Stammdaten[Abholzigkeit (mm/lfm)],MATCH(Tabelle9[[#This Row],[Rank]],Stammdaten[Rank Verteilung Abholzigkeit],0))</f>
        <v>#N/A</v>
      </c>
      <c r="N4490" t="e">
        <f>VLOOKUP(Tabelle9[[#This Row],[Rank]],Stammdaten[[Rank Verteilung Abholzigkeit]:[Verteilung Abholzigkeit]],2,FALSE)</f>
        <v>#N/A</v>
      </c>
      <c r="S4490">
        <v>4481</v>
      </c>
      <c r="T4490" t="e">
        <f>INDEX(Stammdaten[Krümmung (mm/lfm)],MATCH(Tabelle10[[#This Row],[Rank]],Stammdaten[Rank Verteilung Krümmung],0))</f>
        <v>#N/A</v>
      </c>
      <c r="U4490" t="e">
        <f>VLOOKUP(Tabelle10[[#This Row],[Rank]],Stammdaten[[Rank Verteilung Krümmung]:[Verteilung Krümmung]],2,FALSE)</f>
        <v>#N/A</v>
      </c>
      <c r="Z4490">
        <v>4481</v>
      </c>
      <c r="AA4490" t="e">
        <f>INDEX(Stammdaten[Ovalität (']0,1'])],MATCH(Tabelle1014[[#This Row],[Rank]],Stammdaten[Rank Verteilung Ovalität],0))</f>
        <v>#N/A</v>
      </c>
      <c r="AB4490" t="e">
        <f>VLOOKUP(Tabelle1014[[#This Row],[Rank]],Stammdaten[[Rank Verteilung Ovalität]:[Verteilung Ovalität]],2,FALSE)</f>
        <v>#N/A</v>
      </c>
    </row>
    <row r="4491" spans="5:28" x14ac:dyDescent="0.35">
      <c r="E4491">
        <v>4482</v>
      </c>
      <c r="F4491" t="e">
        <f>INDEX(Stammdaten[D Mitte mit Rinde (mm)],MATCH(Tabelle8[[#This Row],[Rank]],Stammdaten[Rank Verteilung D Mitte mit Rinde],0))</f>
        <v>#N/A</v>
      </c>
      <c r="G4491" t="e">
        <f>VLOOKUP(Tabelle8[[#This Row],[Rank]],Stammdaten[[Rank Verteilung D Mitte mit Rinde]:[Verteilung D Mitte mit Rinde]],2,FALSE)</f>
        <v>#N/A</v>
      </c>
      <c r="L4491">
        <v>4482</v>
      </c>
      <c r="M4491" t="e">
        <f>INDEX(Stammdaten[Abholzigkeit (mm/lfm)],MATCH(Tabelle9[[#This Row],[Rank]],Stammdaten[Rank Verteilung Abholzigkeit],0))</f>
        <v>#N/A</v>
      </c>
      <c r="N4491" t="e">
        <f>VLOOKUP(Tabelle9[[#This Row],[Rank]],Stammdaten[[Rank Verteilung Abholzigkeit]:[Verteilung Abholzigkeit]],2,FALSE)</f>
        <v>#N/A</v>
      </c>
      <c r="S4491">
        <v>4482</v>
      </c>
      <c r="T4491" t="e">
        <f>INDEX(Stammdaten[Krümmung (mm/lfm)],MATCH(Tabelle10[[#This Row],[Rank]],Stammdaten[Rank Verteilung Krümmung],0))</f>
        <v>#N/A</v>
      </c>
      <c r="U4491" t="e">
        <f>VLOOKUP(Tabelle10[[#This Row],[Rank]],Stammdaten[[Rank Verteilung Krümmung]:[Verteilung Krümmung]],2,FALSE)</f>
        <v>#N/A</v>
      </c>
      <c r="Z4491">
        <v>4482</v>
      </c>
      <c r="AA4491" t="e">
        <f>INDEX(Stammdaten[Ovalität (']0,1'])],MATCH(Tabelle1014[[#This Row],[Rank]],Stammdaten[Rank Verteilung Ovalität],0))</f>
        <v>#N/A</v>
      </c>
      <c r="AB4491" t="e">
        <f>VLOOKUP(Tabelle1014[[#This Row],[Rank]],Stammdaten[[Rank Verteilung Ovalität]:[Verteilung Ovalität]],2,FALSE)</f>
        <v>#N/A</v>
      </c>
    </row>
    <row r="4492" spans="5:28" x14ac:dyDescent="0.35">
      <c r="E4492">
        <v>4483</v>
      </c>
      <c r="F4492" t="e">
        <f>INDEX(Stammdaten[D Mitte mit Rinde (mm)],MATCH(Tabelle8[[#This Row],[Rank]],Stammdaten[Rank Verteilung D Mitte mit Rinde],0))</f>
        <v>#N/A</v>
      </c>
      <c r="G4492" t="e">
        <f>VLOOKUP(Tabelle8[[#This Row],[Rank]],Stammdaten[[Rank Verteilung D Mitte mit Rinde]:[Verteilung D Mitte mit Rinde]],2,FALSE)</f>
        <v>#N/A</v>
      </c>
      <c r="L4492">
        <v>4483</v>
      </c>
      <c r="M4492" t="e">
        <f>INDEX(Stammdaten[Abholzigkeit (mm/lfm)],MATCH(Tabelle9[[#This Row],[Rank]],Stammdaten[Rank Verteilung Abholzigkeit],0))</f>
        <v>#N/A</v>
      </c>
      <c r="N4492" t="e">
        <f>VLOOKUP(Tabelle9[[#This Row],[Rank]],Stammdaten[[Rank Verteilung Abholzigkeit]:[Verteilung Abholzigkeit]],2,FALSE)</f>
        <v>#N/A</v>
      </c>
      <c r="S4492">
        <v>4483</v>
      </c>
      <c r="T4492" t="e">
        <f>INDEX(Stammdaten[Krümmung (mm/lfm)],MATCH(Tabelle10[[#This Row],[Rank]],Stammdaten[Rank Verteilung Krümmung],0))</f>
        <v>#N/A</v>
      </c>
      <c r="U4492" t="e">
        <f>VLOOKUP(Tabelle10[[#This Row],[Rank]],Stammdaten[[Rank Verteilung Krümmung]:[Verteilung Krümmung]],2,FALSE)</f>
        <v>#N/A</v>
      </c>
      <c r="Z4492">
        <v>4483</v>
      </c>
      <c r="AA4492" t="e">
        <f>INDEX(Stammdaten[Ovalität (']0,1'])],MATCH(Tabelle1014[[#This Row],[Rank]],Stammdaten[Rank Verteilung Ovalität],0))</f>
        <v>#N/A</v>
      </c>
      <c r="AB4492" t="e">
        <f>VLOOKUP(Tabelle1014[[#This Row],[Rank]],Stammdaten[[Rank Verteilung Ovalität]:[Verteilung Ovalität]],2,FALSE)</f>
        <v>#N/A</v>
      </c>
    </row>
    <row r="4493" spans="5:28" x14ac:dyDescent="0.35">
      <c r="E4493">
        <v>4484</v>
      </c>
      <c r="F4493" t="e">
        <f>INDEX(Stammdaten[D Mitte mit Rinde (mm)],MATCH(Tabelle8[[#This Row],[Rank]],Stammdaten[Rank Verteilung D Mitte mit Rinde],0))</f>
        <v>#N/A</v>
      </c>
      <c r="G4493" t="e">
        <f>VLOOKUP(Tabelle8[[#This Row],[Rank]],Stammdaten[[Rank Verteilung D Mitte mit Rinde]:[Verteilung D Mitte mit Rinde]],2,FALSE)</f>
        <v>#N/A</v>
      </c>
      <c r="L4493">
        <v>4484</v>
      </c>
      <c r="M4493" t="e">
        <f>INDEX(Stammdaten[Abholzigkeit (mm/lfm)],MATCH(Tabelle9[[#This Row],[Rank]],Stammdaten[Rank Verteilung Abholzigkeit],0))</f>
        <v>#N/A</v>
      </c>
      <c r="N4493" t="e">
        <f>VLOOKUP(Tabelle9[[#This Row],[Rank]],Stammdaten[[Rank Verteilung Abholzigkeit]:[Verteilung Abholzigkeit]],2,FALSE)</f>
        <v>#N/A</v>
      </c>
      <c r="S4493">
        <v>4484</v>
      </c>
      <c r="T4493" t="e">
        <f>INDEX(Stammdaten[Krümmung (mm/lfm)],MATCH(Tabelle10[[#This Row],[Rank]],Stammdaten[Rank Verteilung Krümmung],0))</f>
        <v>#N/A</v>
      </c>
      <c r="U4493" t="e">
        <f>VLOOKUP(Tabelle10[[#This Row],[Rank]],Stammdaten[[Rank Verteilung Krümmung]:[Verteilung Krümmung]],2,FALSE)</f>
        <v>#N/A</v>
      </c>
      <c r="Z4493">
        <v>4484</v>
      </c>
      <c r="AA4493" t="e">
        <f>INDEX(Stammdaten[Ovalität (']0,1'])],MATCH(Tabelle1014[[#This Row],[Rank]],Stammdaten[Rank Verteilung Ovalität],0))</f>
        <v>#N/A</v>
      </c>
      <c r="AB4493" t="e">
        <f>VLOOKUP(Tabelle1014[[#This Row],[Rank]],Stammdaten[[Rank Verteilung Ovalität]:[Verteilung Ovalität]],2,FALSE)</f>
        <v>#N/A</v>
      </c>
    </row>
    <row r="4494" spans="5:28" x14ac:dyDescent="0.35">
      <c r="E4494">
        <v>4485</v>
      </c>
      <c r="F4494" t="e">
        <f>INDEX(Stammdaten[D Mitte mit Rinde (mm)],MATCH(Tabelle8[[#This Row],[Rank]],Stammdaten[Rank Verteilung D Mitte mit Rinde],0))</f>
        <v>#N/A</v>
      </c>
      <c r="G4494" t="e">
        <f>VLOOKUP(Tabelle8[[#This Row],[Rank]],Stammdaten[[Rank Verteilung D Mitte mit Rinde]:[Verteilung D Mitte mit Rinde]],2,FALSE)</f>
        <v>#N/A</v>
      </c>
      <c r="L4494">
        <v>4485</v>
      </c>
      <c r="M4494" t="e">
        <f>INDEX(Stammdaten[Abholzigkeit (mm/lfm)],MATCH(Tabelle9[[#This Row],[Rank]],Stammdaten[Rank Verteilung Abholzigkeit],0))</f>
        <v>#N/A</v>
      </c>
      <c r="N4494" t="e">
        <f>VLOOKUP(Tabelle9[[#This Row],[Rank]],Stammdaten[[Rank Verteilung Abholzigkeit]:[Verteilung Abholzigkeit]],2,FALSE)</f>
        <v>#N/A</v>
      </c>
      <c r="S4494">
        <v>4485</v>
      </c>
      <c r="T4494" t="e">
        <f>INDEX(Stammdaten[Krümmung (mm/lfm)],MATCH(Tabelle10[[#This Row],[Rank]],Stammdaten[Rank Verteilung Krümmung],0))</f>
        <v>#N/A</v>
      </c>
      <c r="U4494" t="e">
        <f>VLOOKUP(Tabelle10[[#This Row],[Rank]],Stammdaten[[Rank Verteilung Krümmung]:[Verteilung Krümmung]],2,FALSE)</f>
        <v>#N/A</v>
      </c>
      <c r="Z4494">
        <v>4485</v>
      </c>
      <c r="AA4494" t="e">
        <f>INDEX(Stammdaten[Ovalität (']0,1'])],MATCH(Tabelle1014[[#This Row],[Rank]],Stammdaten[Rank Verteilung Ovalität],0))</f>
        <v>#N/A</v>
      </c>
      <c r="AB4494" t="e">
        <f>VLOOKUP(Tabelle1014[[#This Row],[Rank]],Stammdaten[[Rank Verteilung Ovalität]:[Verteilung Ovalität]],2,FALSE)</f>
        <v>#N/A</v>
      </c>
    </row>
    <row r="4495" spans="5:28" x14ac:dyDescent="0.35">
      <c r="E4495">
        <v>4486</v>
      </c>
      <c r="F4495" t="e">
        <f>INDEX(Stammdaten[D Mitte mit Rinde (mm)],MATCH(Tabelle8[[#This Row],[Rank]],Stammdaten[Rank Verteilung D Mitte mit Rinde],0))</f>
        <v>#N/A</v>
      </c>
      <c r="G4495" t="e">
        <f>VLOOKUP(Tabelle8[[#This Row],[Rank]],Stammdaten[[Rank Verteilung D Mitte mit Rinde]:[Verteilung D Mitte mit Rinde]],2,FALSE)</f>
        <v>#N/A</v>
      </c>
      <c r="L4495">
        <v>4486</v>
      </c>
      <c r="M4495" t="e">
        <f>INDEX(Stammdaten[Abholzigkeit (mm/lfm)],MATCH(Tabelle9[[#This Row],[Rank]],Stammdaten[Rank Verteilung Abholzigkeit],0))</f>
        <v>#N/A</v>
      </c>
      <c r="N4495" t="e">
        <f>VLOOKUP(Tabelle9[[#This Row],[Rank]],Stammdaten[[Rank Verteilung Abholzigkeit]:[Verteilung Abholzigkeit]],2,FALSE)</f>
        <v>#N/A</v>
      </c>
      <c r="S4495">
        <v>4486</v>
      </c>
      <c r="T4495" t="e">
        <f>INDEX(Stammdaten[Krümmung (mm/lfm)],MATCH(Tabelle10[[#This Row],[Rank]],Stammdaten[Rank Verteilung Krümmung],0))</f>
        <v>#N/A</v>
      </c>
      <c r="U4495" t="e">
        <f>VLOOKUP(Tabelle10[[#This Row],[Rank]],Stammdaten[[Rank Verteilung Krümmung]:[Verteilung Krümmung]],2,FALSE)</f>
        <v>#N/A</v>
      </c>
      <c r="Z4495">
        <v>4486</v>
      </c>
      <c r="AA4495" t="e">
        <f>INDEX(Stammdaten[Ovalität (']0,1'])],MATCH(Tabelle1014[[#This Row],[Rank]],Stammdaten[Rank Verteilung Ovalität],0))</f>
        <v>#N/A</v>
      </c>
      <c r="AB4495" t="e">
        <f>VLOOKUP(Tabelle1014[[#This Row],[Rank]],Stammdaten[[Rank Verteilung Ovalität]:[Verteilung Ovalität]],2,FALSE)</f>
        <v>#N/A</v>
      </c>
    </row>
    <row r="4496" spans="5:28" x14ac:dyDescent="0.35">
      <c r="E4496">
        <v>4487</v>
      </c>
      <c r="F4496" t="e">
        <f>INDEX(Stammdaten[D Mitte mit Rinde (mm)],MATCH(Tabelle8[[#This Row],[Rank]],Stammdaten[Rank Verteilung D Mitte mit Rinde],0))</f>
        <v>#N/A</v>
      </c>
      <c r="G4496" t="e">
        <f>VLOOKUP(Tabelle8[[#This Row],[Rank]],Stammdaten[[Rank Verteilung D Mitte mit Rinde]:[Verteilung D Mitte mit Rinde]],2,FALSE)</f>
        <v>#N/A</v>
      </c>
      <c r="L4496">
        <v>4487</v>
      </c>
      <c r="M4496" t="e">
        <f>INDEX(Stammdaten[Abholzigkeit (mm/lfm)],MATCH(Tabelle9[[#This Row],[Rank]],Stammdaten[Rank Verteilung Abholzigkeit],0))</f>
        <v>#N/A</v>
      </c>
      <c r="N4496" t="e">
        <f>VLOOKUP(Tabelle9[[#This Row],[Rank]],Stammdaten[[Rank Verteilung Abholzigkeit]:[Verteilung Abholzigkeit]],2,FALSE)</f>
        <v>#N/A</v>
      </c>
      <c r="S4496">
        <v>4487</v>
      </c>
      <c r="T4496" t="e">
        <f>INDEX(Stammdaten[Krümmung (mm/lfm)],MATCH(Tabelle10[[#This Row],[Rank]],Stammdaten[Rank Verteilung Krümmung],0))</f>
        <v>#N/A</v>
      </c>
      <c r="U4496" t="e">
        <f>VLOOKUP(Tabelle10[[#This Row],[Rank]],Stammdaten[[Rank Verteilung Krümmung]:[Verteilung Krümmung]],2,FALSE)</f>
        <v>#N/A</v>
      </c>
      <c r="Z4496">
        <v>4487</v>
      </c>
      <c r="AA4496" t="e">
        <f>INDEX(Stammdaten[Ovalität (']0,1'])],MATCH(Tabelle1014[[#This Row],[Rank]],Stammdaten[Rank Verteilung Ovalität],0))</f>
        <v>#N/A</v>
      </c>
      <c r="AB4496" t="e">
        <f>VLOOKUP(Tabelle1014[[#This Row],[Rank]],Stammdaten[[Rank Verteilung Ovalität]:[Verteilung Ovalität]],2,FALSE)</f>
        <v>#N/A</v>
      </c>
    </row>
    <row r="4497" spans="5:28" x14ac:dyDescent="0.35">
      <c r="E4497">
        <v>4488</v>
      </c>
      <c r="F4497" t="e">
        <f>INDEX(Stammdaten[D Mitte mit Rinde (mm)],MATCH(Tabelle8[[#This Row],[Rank]],Stammdaten[Rank Verteilung D Mitte mit Rinde],0))</f>
        <v>#N/A</v>
      </c>
      <c r="G4497" t="e">
        <f>VLOOKUP(Tabelle8[[#This Row],[Rank]],Stammdaten[[Rank Verteilung D Mitte mit Rinde]:[Verteilung D Mitte mit Rinde]],2,FALSE)</f>
        <v>#N/A</v>
      </c>
      <c r="L4497">
        <v>4488</v>
      </c>
      <c r="M4497" t="e">
        <f>INDEX(Stammdaten[Abholzigkeit (mm/lfm)],MATCH(Tabelle9[[#This Row],[Rank]],Stammdaten[Rank Verteilung Abholzigkeit],0))</f>
        <v>#N/A</v>
      </c>
      <c r="N4497" t="e">
        <f>VLOOKUP(Tabelle9[[#This Row],[Rank]],Stammdaten[[Rank Verteilung Abholzigkeit]:[Verteilung Abholzigkeit]],2,FALSE)</f>
        <v>#N/A</v>
      </c>
      <c r="S4497">
        <v>4488</v>
      </c>
      <c r="T4497" t="e">
        <f>INDEX(Stammdaten[Krümmung (mm/lfm)],MATCH(Tabelle10[[#This Row],[Rank]],Stammdaten[Rank Verteilung Krümmung],0))</f>
        <v>#N/A</v>
      </c>
      <c r="U4497" t="e">
        <f>VLOOKUP(Tabelle10[[#This Row],[Rank]],Stammdaten[[Rank Verteilung Krümmung]:[Verteilung Krümmung]],2,FALSE)</f>
        <v>#N/A</v>
      </c>
      <c r="Z4497">
        <v>4488</v>
      </c>
      <c r="AA4497" t="e">
        <f>INDEX(Stammdaten[Ovalität (']0,1'])],MATCH(Tabelle1014[[#This Row],[Rank]],Stammdaten[Rank Verteilung Ovalität],0))</f>
        <v>#N/A</v>
      </c>
      <c r="AB4497" t="e">
        <f>VLOOKUP(Tabelle1014[[#This Row],[Rank]],Stammdaten[[Rank Verteilung Ovalität]:[Verteilung Ovalität]],2,FALSE)</f>
        <v>#N/A</v>
      </c>
    </row>
    <row r="4498" spans="5:28" x14ac:dyDescent="0.35">
      <c r="E4498">
        <v>4489</v>
      </c>
      <c r="F4498" t="e">
        <f>INDEX(Stammdaten[D Mitte mit Rinde (mm)],MATCH(Tabelle8[[#This Row],[Rank]],Stammdaten[Rank Verteilung D Mitte mit Rinde],0))</f>
        <v>#N/A</v>
      </c>
      <c r="G4498" t="e">
        <f>VLOOKUP(Tabelle8[[#This Row],[Rank]],Stammdaten[[Rank Verteilung D Mitte mit Rinde]:[Verteilung D Mitte mit Rinde]],2,FALSE)</f>
        <v>#N/A</v>
      </c>
      <c r="L4498">
        <v>4489</v>
      </c>
      <c r="M4498" t="e">
        <f>INDEX(Stammdaten[Abholzigkeit (mm/lfm)],MATCH(Tabelle9[[#This Row],[Rank]],Stammdaten[Rank Verteilung Abholzigkeit],0))</f>
        <v>#N/A</v>
      </c>
      <c r="N4498" t="e">
        <f>VLOOKUP(Tabelle9[[#This Row],[Rank]],Stammdaten[[Rank Verteilung Abholzigkeit]:[Verteilung Abholzigkeit]],2,FALSE)</f>
        <v>#N/A</v>
      </c>
      <c r="S4498">
        <v>4489</v>
      </c>
      <c r="T4498" t="e">
        <f>INDEX(Stammdaten[Krümmung (mm/lfm)],MATCH(Tabelle10[[#This Row],[Rank]],Stammdaten[Rank Verteilung Krümmung],0))</f>
        <v>#N/A</v>
      </c>
      <c r="U4498" t="e">
        <f>VLOOKUP(Tabelle10[[#This Row],[Rank]],Stammdaten[[Rank Verteilung Krümmung]:[Verteilung Krümmung]],2,FALSE)</f>
        <v>#N/A</v>
      </c>
      <c r="Z4498">
        <v>4489</v>
      </c>
      <c r="AA4498" t="e">
        <f>INDEX(Stammdaten[Ovalität (']0,1'])],MATCH(Tabelle1014[[#This Row],[Rank]],Stammdaten[Rank Verteilung Ovalität],0))</f>
        <v>#N/A</v>
      </c>
      <c r="AB4498" t="e">
        <f>VLOOKUP(Tabelle1014[[#This Row],[Rank]],Stammdaten[[Rank Verteilung Ovalität]:[Verteilung Ovalität]],2,FALSE)</f>
        <v>#N/A</v>
      </c>
    </row>
    <row r="4499" spans="5:28" x14ac:dyDescent="0.35">
      <c r="E4499">
        <v>4490</v>
      </c>
      <c r="F4499" t="e">
        <f>INDEX(Stammdaten[D Mitte mit Rinde (mm)],MATCH(Tabelle8[[#This Row],[Rank]],Stammdaten[Rank Verteilung D Mitte mit Rinde],0))</f>
        <v>#N/A</v>
      </c>
      <c r="G4499" t="e">
        <f>VLOOKUP(Tabelle8[[#This Row],[Rank]],Stammdaten[[Rank Verteilung D Mitte mit Rinde]:[Verteilung D Mitte mit Rinde]],2,FALSE)</f>
        <v>#N/A</v>
      </c>
      <c r="L4499">
        <v>4490</v>
      </c>
      <c r="M4499" t="e">
        <f>INDEX(Stammdaten[Abholzigkeit (mm/lfm)],MATCH(Tabelle9[[#This Row],[Rank]],Stammdaten[Rank Verteilung Abholzigkeit],0))</f>
        <v>#N/A</v>
      </c>
      <c r="N4499" t="e">
        <f>VLOOKUP(Tabelle9[[#This Row],[Rank]],Stammdaten[[Rank Verteilung Abholzigkeit]:[Verteilung Abholzigkeit]],2,FALSE)</f>
        <v>#N/A</v>
      </c>
      <c r="S4499">
        <v>4490</v>
      </c>
      <c r="T4499" t="e">
        <f>INDEX(Stammdaten[Krümmung (mm/lfm)],MATCH(Tabelle10[[#This Row],[Rank]],Stammdaten[Rank Verteilung Krümmung],0))</f>
        <v>#N/A</v>
      </c>
      <c r="U4499" t="e">
        <f>VLOOKUP(Tabelle10[[#This Row],[Rank]],Stammdaten[[Rank Verteilung Krümmung]:[Verteilung Krümmung]],2,FALSE)</f>
        <v>#N/A</v>
      </c>
      <c r="Z4499">
        <v>4490</v>
      </c>
      <c r="AA4499" t="e">
        <f>INDEX(Stammdaten[Ovalität (']0,1'])],MATCH(Tabelle1014[[#This Row],[Rank]],Stammdaten[Rank Verteilung Ovalität],0))</f>
        <v>#N/A</v>
      </c>
      <c r="AB4499" t="e">
        <f>VLOOKUP(Tabelle1014[[#This Row],[Rank]],Stammdaten[[Rank Verteilung Ovalität]:[Verteilung Ovalität]],2,FALSE)</f>
        <v>#N/A</v>
      </c>
    </row>
    <row r="4500" spans="5:28" x14ac:dyDescent="0.35">
      <c r="E4500">
        <v>4491</v>
      </c>
      <c r="F4500" t="e">
        <f>INDEX(Stammdaten[D Mitte mit Rinde (mm)],MATCH(Tabelle8[[#This Row],[Rank]],Stammdaten[Rank Verteilung D Mitte mit Rinde],0))</f>
        <v>#N/A</v>
      </c>
      <c r="G4500" t="e">
        <f>VLOOKUP(Tabelle8[[#This Row],[Rank]],Stammdaten[[Rank Verteilung D Mitte mit Rinde]:[Verteilung D Mitte mit Rinde]],2,FALSE)</f>
        <v>#N/A</v>
      </c>
      <c r="L4500">
        <v>4491</v>
      </c>
      <c r="M4500" t="e">
        <f>INDEX(Stammdaten[Abholzigkeit (mm/lfm)],MATCH(Tabelle9[[#This Row],[Rank]],Stammdaten[Rank Verteilung Abholzigkeit],0))</f>
        <v>#N/A</v>
      </c>
      <c r="N4500" t="e">
        <f>VLOOKUP(Tabelle9[[#This Row],[Rank]],Stammdaten[[Rank Verteilung Abholzigkeit]:[Verteilung Abholzigkeit]],2,FALSE)</f>
        <v>#N/A</v>
      </c>
      <c r="S4500">
        <v>4491</v>
      </c>
      <c r="T4500" t="e">
        <f>INDEX(Stammdaten[Krümmung (mm/lfm)],MATCH(Tabelle10[[#This Row],[Rank]],Stammdaten[Rank Verteilung Krümmung],0))</f>
        <v>#N/A</v>
      </c>
      <c r="U4500" t="e">
        <f>VLOOKUP(Tabelle10[[#This Row],[Rank]],Stammdaten[[Rank Verteilung Krümmung]:[Verteilung Krümmung]],2,FALSE)</f>
        <v>#N/A</v>
      </c>
      <c r="Z4500">
        <v>4491</v>
      </c>
      <c r="AA4500" t="e">
        <f>INDEX(Stammdaten[Ovalität (']0,1'])],MATCH(Tabelle1014[[#This Row],[Rank]],Stammdaten[Rank Verteilung Ovalität],0))</f>
        <v>#N/A</v>
      </c>
      <c r="AB4500" t="e">
        <f>VLOOKUP(Tabelle1014[[#This Row],[Rank]],Stammdaten[[Rank Verteilung Ovalität]:[Verteilung Ovalität]],2,FALSE)</f>
        <v>#N/A</v>
      </c>
    </row>
    <row r="4501" spans="5:28" x14ac:dyDescent="0.35">
      <c r="E4501">
        <v>4492</v>
      </c>
      <c r="F4501" t="e">
        <f>INDEX(Stammdaten[D Mitte mit Rinde (mm)],MATCH(Tabelle8[[#This Row],[Rank]],Stammdaten[Rank Verteilung D Mitte mit Rinde],0))</f>
        <v>#N/A</v>
      </c>
      <c r="G4501" t="e">
        <f>VLOOKUP(Tabelle8[[#This Row],[Rank]],Stammdaten[[Rank Verteilung D Mitte mit Rinde]:[Verteilung D Mitte mit Rinde]],2,FALSE)</f>
        <v>#N/A</v>
      </c>
      <c r="L4501">
        <v>4492</v>
      </c>
      <c r="M4501" t="e">
        <f>INDEX(Stammdaten[Abholzigkeit (mm/lfm)],MATCH(Tabelle9[[#This Row],[Rank]],Stammdaten[Rank Verteilung Abholzigkeit],0))</f>
        <v>#N/A</v>
      </c>
      <c r="N4501" t="e">
        <f>VLOOKUP(Tabelle9[[#This Row],[Rank]],Stammdaten[[Rank Verteilung Abholzigkeit]:[Verteilung Abholzigkeit]],2,FALSE)</f>
        <v>#N/A</v>
      </c>
      <c r="S4501">
        <v>4492</v>
      </c>
      <c r="T4501" t="e">
        <f>INDEX(Stammdaten[Krümmung (mm/lfm)],MATCH(Tabelle10[[#This Row],[Rank]],Stammdaten[Rank Verteilung Krümmung],0))</f>
        <v>#N/A</v>
      </c>
      <c r="U4501" t="e">
        <f>VLOOKUP(Tabelle10[[#This Row],[Rank]],Stammdaten[[Rank Verteilung Krümmung]:[Verteilung Krümmung]],2,FALSE)</f>
        <v>#N/A</v>
      </c>
      <c r="Z4501">
        <v>4492</v>
      </c>
      <c r="AA4501" t="e">
        <f>INDEX(Stammdaten[Ovalität (']0,1'])],MATCH(Tabelle1014[[#This Row],[Rank]],Stammdaten[Rank Verteilung Ovalität],0))</f>
        <v>#N/A</v>
      </c>
      <c r="AB4501" t="e">
        <f>VLOOKUP(Tabelle1014[[#This Row],[Rank]],Stammdaten[[Rank Verteilung Ovalität]:[Verteilung Ovalität]],2,FALSE)</f>
        <v>#N/A</v>
      </c>
    </row>
    <row r="4502" spans="5:28" x14ac:dyDescent="0.35">
      <c r="E4502">
        <v>4493</v>
      </c>
      <c r="F4502" t="e">
        <f>INDEX(Stammdaten[D Mitte mit Rinde (mm)],MATCH(Tabelle8[[#This Row],[Rank]],Stammdaten[Rank Verteilung D Mitte mit Rinde],0))</f>
        <v>#N/A</v>
      </c>
      <c r="G4502" t="e">
        <f>VLOOKUP(Tabelle8[[#This Row],[Rank]],Stammdaten[[Rank Verteilung D Mitte mit Rinde]:[Verteilung D Mitte mit Rinde]],2,FALSE)</f>
        <v>#N/A</v>
      </c>
      <c r="L4502">
        <v>4493</v>
      </c>
      <c r="M4502" t="e">
        <f>INDEX(Stammdaten[Abholzigkeit (mm/lfm)],MATCH(Tabelle9[[#This Row],[Rank]],Stammdaten[Rank Verteilung Abholzigkeit],0))</f>
        <v>#N/A</v>
      </c>
      <c r="N4502" t="e">
        <f>VLOOKUP(Tabelle9[[#This Row],[Rank]],Stammdaten[[Rank Verteilung Abholzigkeit]:[Verteilung Abholzigkeit]],2,FALSE)</f>
        <v>#N/A</v>
      </c>
      <c r="S4502">
        <v>4493</v>
      </c>
      <c r="T4502" t="e">
        <f>INDEX(Stammdaten[Krümmung (mm/lfm)],MATCH(Tabelle10[[#This Row],[Rank]],Stammdaten[Rank Verteilung Krümmung],0))</f>
        <v>#N/A</v>
      </c>
      <c r="U4502" t="e">
        <f>VLOOKUP(Tabelle10[[#This Row],[Rank]],Stammdaten[[Rank Verteilung Krümmung]:[Verteilung Krümmung]],2,FALSE)</f>
        <v>#N/A</v>
      </c>
      <c r="Z4502">
        <v>4493</v>
      </c>
      <c r="AA4502" t="e">
        <f>INDEX(Stammdaten[Ovalität (']0,1'])],MATCH(Tabelle1014[[#This Row],[Rank]],Stammdaten[Rank Verteilung Ovalität],0))</f>
        <v>#N/A</v>
      </c>
      <c r="AB4502" t="e">
        <f>VLOOKUP(Tabelle1014[[#This Row],[Rank]],Stammdaten[[Rank Verteilung Ovalität]:[Verteilung Ovalität]],2,FALSE)</f>
        <v>#N/A</v>
      </c>
    </row>
    <row r="4503" spans="5:28" x14ac:dyDescent="0.35">
      <c r="E4503">
        <v>4494</v>
      </c>
      <c r="F4503" t="e">
        <f>INDEX(Stammdaten[D Mitte mit Rinde (mm)],MATCH(Tabelle8[[#This Row],[Rank]],Stammdaten[Rank Verteilung D Mitte mit Rinde],0))</f>
        <v>#N/A</v>
      </c>
      <c r="G4503" t="e">
        <f>VLOOKUP(Tabelle8[[#This Row],[Rank]],Stammdaten[[Rank Verteilung D Mitte mit Rinde]:[Verteilung D Mitte mit Rinde]],2,FALSE)</f>
        <v>#N/A</v>
      </c>
      <c r="L4503">
        <v>4494</v>
      </c>
      <c r="M4503" t="e">
        <f>INDEX(Stammdaten[Abholzigkeit (mm/lfm)],MATCH(Tabelle9[[#This Row],[Rank]],Stammdaten[Rank Verteilung Abholzigkeit],0))</f>
        <v>#N/A</v>
      </c>
      <c r="N4503" t="e">
        <f>VLOOKUP(Tabelle9[[#This Row],[Rank]],Stammdaten[[Rank Verteilung Abholzigkeit]:[Verteilung Abholzigkeit]],2,FALSE)</f>
        <v>#N/A</v>
      </c>
      <c r="S4503">
        <v>4494</v>
      </c>
      <c r="T4503" t="e">
        <f>INDEX(Stammdaten[Krümmung (mm/lfm)],MATCH(Tabelle10[[#This Row],[Rank]],Stammdaten[Rank Verteilung Krümmung],0))</f>
        <v>#N/A</v>
      </c>
      <c r="U4503" t="e">
        <f>VLOOKUP(Tabelle10[[#This Row],[Rank]],Stammdaten[[Rank Verteilung Krümmung]:[Verteilung Krümmung]],2,FALSE)</f>
        <v>#N/A</v>
      </c>
      <c r="Z4503">
        <v>4494</v>
      </c>
      <c r="AA4503" t="e">
        <f>INDEX(Stammdaten[Ovalität (']0,1'])],MATCH(Tabelle1014[[#This Row],[Rank]],Stammdaten[Rank Verteilung Ovalität],0))</f>
        <v>#N/A</v>
      </c>
      <c r="AB4503" t="e">
        <f>VLOOKUP(Tabelle1014[[#This Row],[Rank]],Stammdaten[[Rank Verteilung Ovalität]:[Verteilung Ovalität]],2,FALSE)</f>
        <v>#N/A</v>
      </c>
    </row>
    <row r="4504" spans="5:28" x14ac:dyDescent="0.35">
      <c r="E4504">
        <v>4495</v>
      </c>
      <c r="F4504" t="e">
        <f>INDEX(Stammdaten[D Mitte mit Rinde (mm)],MATCH(Tabelle8[[#This Row],[Rank]],Stammdaten[Rank Verteilung D Mitte mit Rinde],0))</f>
        <v>#N/A</v>
      </c>
      <c r="G4504" t="e">
        <f>VLOOKUP(Tabelle8[[#This Row],[Rank]],Stammdaten[[Rank Verteilung D Mitte mit Rinde]:[Verteilung D Mitte mit Rinde]],2,FALSE)</f>
        <v>#N/A</v>
      </c>
      <c r="L4504">
        <v>4495</v>
      </c>
      <c r="M4504" t="e">
        <f>INDEX(Stammdaten[Abholzigkeit (mm/lfm)],MATCH(Tabelle9[[#This Row],[Rank]],Stammdaten[Rank Verteilung Abholzigkeit],0))</f>
        <v>#N/A</v>
      </c>
      <c r="N4504" t="e">
        <f>VLOOKUP(Tabelle9[[#This Row],[Rank]],Stammdaten[[Rank Verteilung Abholzigkeit]:[Verteilung Abholzigkeit]],2,FALSE)</f>
        <v>#N/A</v>
      </c>
      <c r="S4504">
        <v>4495</v>
      </c>
      <c r="T4504" t="e">
        <f>INDEX(Stammdaten[Krümmung (mm/lfm)],MATCH(Tabelle10[[#This Row],[Rank]],Stammdaten[Rank Verteilung Krümmung],0))</f>
        <v>#N/A</v>
      </c>
      <c r="U4504" t="e">
        <f>VLOOKUP(Tabelle10[[#This Row],[Rank]],Stammdaten[[Rank Verteilung Krümmung]:[Verteilung Krümmung]],2,FALSE)</f>
        <v>#N/A</v>
      </c>
      <c r="Z4504">
        <v>4495</v>
      </c>
      <c r="AA4504" t="e">
        <f>INDEX(Stammdaten[Ovalität (']0,1'])],MATCH(Tabelle1014[[#This Row],[Rank]],Stammdaten[Rank Verteilung Ovalität],0))</f>
        <v>#N/A</v>
      </c>
      <c r="AB4504" t="e">
        <f>VLOOKUP(Tabelle1014[[#This Row],[Rank]],Stammdaten[[Rank Verteilung Ovalität]:[Verteilung Ovalität]],2,FALSE)</f>
        <v>#N/A</v>
      </c>
    </row>
    <row r="4505" spans="5:28" x14ac:dyDescent="0.35">
      <c r="E4505">
        <v>4496</v>
      </c>
      <c r="F4505" t="e">
        <f>INDEX(Stammdaten[D Mitte mit Rinde (mm)],MATCH(Tabelle8[[#This Row],[Rank]],Stammdaten[Rank Verteilung D Mitte mit Rinde],0))</f>
        <v>#N/A</v>
      </c>
      <c r="G4505" t="e">
        <f>VLOOKUP(Tabelle8[[#This Row],[Rank]],Stammdaten[[Rank Verteilung D Mitte mit Rinde]:[Verteilung D Mitte mit Rinde]],2,FALSE)</f>
        <v>#N/A</v>
      </c>
      <c r="L4505">
        <v>4496</v>
      </c>
      <c r="M4505" t="e">
        <f>INDEX(Stammdaten[Abholzigkeit (mm/lfm)],MATCH(Tabelle9[[#This Row],[Rank]],Stammdaten[Rank Verteilung Abholzigkeit],0))</f>
        <v>#N/A</v>
      </c>
      <c r="N4505" t="e">
        <f>VLOOKUP(Tabelle9[[#This Row],[Rank]],Stammdaten[[Rank Verteilung Abholzigkeit]:[Verteilung Abholzigkeit]],2,FALSE)</f>
        <v>#N/A</v>
      </c>
      <c r="S4505">
        <v>4496</v>
      </c>
      <c r="T4505" t="e">
        <f>INDEX(Stammdaten[Krümmung (mm/lfm)],MATCH(Tabelle10[[#This Row],[Rank]],Stammdaten[Rank Verteilung Krümmung],0))</f>
        <v>#N/A</v>
      </c>
      <c r="U4505" t="e">
        <f>VLOOKUP(Tabelle10[[#This Row],[Rank]],Stammdaten[[Rank Verteilung Krümmung]:[Verteilung Krümmung]],2,FALSE)</f>
        <v>#N/A</v>
      </c>
      <c r="Z4505">
        <v>4496</v>
      </c>
      <c r="AA4505" t="e">
        <f>INDEX(Stammdaten[Ovalität (']0,1'])],MATCH(Tabelle1014[[#This Row],[Rank]],Stammdaten[Rank Verteilung Ovalität],0))</f>
        <v>#N/A</v>
      </c>
      <c r="AB4505" t="e">
        <f>VLOOKUP(Tabelle1014[[#This Row],[Rank]],Stammdaten[[Rank Verteilung Ovalität]:[Verteilung Ovalität]],2,FALSE)</f>
        <v>#N/A</v>
      </c>
    </row>
    <row r="4506" spans="5:28" x14ac:dyDescent="0.35">
      <c r="E4506">
        <v>4497</v>
      </c>
      <c r="F4506" t="e">
        <f>INDEX(Stammdaten[D Mitte mit Rinde (mm)],MATCH(Tabelle8[[#This Row],[Rank]],Stammdaten[Rank Verteilung D Mitte mit Rinde],0))</f>
        <v>#N/A</v>
      </c>
      <c r="G4506" t="e">
        <f>VLOOKUP(Tabelle8[[#This Row],[Rank]],Stammdaten[[Rank Verteilung D Mitte mit Rinde]:[Verteilung D Mitte mit Rinde]],2,FALSE)</f>
        <v>#N/A</v>
      </c>
      <c r="L4506">
        <v>4497</v>
      </c>
      <c r="M4506" t="e">
        <f>INDEX(Stammdaten[Abholzigkeit (mm/lfm)],MATCH(Tabelle9[[#This Row],[Rank]],Stammdaten[Rank Verteilung Abholzigkeit],0))</f>
        <v>#N/A</v>
      </c>
      <c r="N4506" t="e">
        <f>VLOOKUP(Tabelle9[[#This Row],[Rank]],Stammdaten[[Rank Verteilung Abholzigkeit]:[Verteilung Abholzigkeit]],2,FALSE)</f>
        <v>#N/A</v>
      </c>
      <c r="S4506">
        <v>4497</v>
      </c>
      <c r="T4506" t="e">
        <f>INDEX(Stammdaten[Krümmung (mm/lfm)],MATCH(Tabelle10[[#This Row],[Rank]],Stammdaten[Rank Verteilung Krümmung],0))</f>
        <v>#N/A</v>
      </c>
      <c r="U4506" t="e">
        <f>VLOOKUP(Tabelle10[[#This Row],[Rank]],Stammdaten[[Rank Verteilung Krümmung]:[Verteilung Krümmung]],2,FALSE)</f>
        <v>#N/A</v>
      </c>
      <c r="Z4506">
        <v>4497</v>
      </c>
      <c r="AA4506" t="e">
        <f>INDEX(Stammdaten[Ovalität (']0,1'])],MATCH(Tabelle1014[[#This Row],[Rank]],Stammdaten[Rank Verteilung Ovalität],0))</f>
        <v>#N/A</v>
      </c>
      <c r="AB4506" t="e">
        <f>VLOOKUP(Tabelle1014[[#This Row],[Rank]],Stammdaten[[Rank Verteilung Ovalität]:[Verteilung Ovalität]],2,FALSE)</f>
        <v>#N/A</v>
      </c>
    </row>
    <row r="4507" spans="5:28" x14ac:dyDescent="0.35">
      <c r="E4507">
        <v>4498</v>
      </c>
      <c r="F4507" t="e">
        <f>INDEX(Stammdaten[D Mitte mit Rinde (mm)],MATCH(Tabelle8[[#This Row],[Rank]],Stammdaten[Rank Verteilung D Mitte mit Rinde],0))</f>
        <v>#N/A</v>
      </c>
      <c r="G4507" t="e">
        <f>VLOOKUP(Tabelle8[[#This Row],[Rank]],Stammdaten[[Rank Verteilung D Mitte mit Rinde]:[Verteilung D Mitte mit Rinde]],2,FALSE)</f>
        <v>#N/A</v>
      </c>
      <c r="L4507">
        <v>4498</v>
      </c>
      <c r="M4507" t="e">
        <f>INDEX(Stammdaten[Abholzigkeit (mm/lfm)],MATCH(Tabelle9[[#This Row],[Rank]],Stammdaten[Rank Verteilung Abholzigkeit],0))</f>
        <v>#N/A</v>
      </c>
      <c r="N4507" t="e">
        <f>VLOOKUP(Tabelle9[[#This Row],[Rank]],Stammdaten[[Rank Verteilung Abholzigkeit]:[Verteilung Abholzigkeit]],2,FALSE)</f>
        <v>#N/A</v>
      </c>
      <c r="S4507">
        <v>4498</v>
      </c>
      <c r="T4507" t="e">
        <f>INDEX(Stammdaten[Krümmung (mm/lfm)],MATCH(Tabelle10[[#This Row],[Rank]],Stammdaten[Rank Verteilung Krümmung],0))</f>
        <v>#N/A</v>
      </c>
      <c r="U4507" t="e">
        <f>VLOOKUP(Tabelle10[[#This Row],[Rank]],Stammdaten[[Rank Verteilung Krümmung]:[Verteilung Krümmung]],2,FALSE)</f>
        <v>#N/A</v>
      </c>
      <c r="Z4507">
        <v>4498</v>
      </c>
      <c r="AA4507" t="e">
        <f>INDEX(Stammdaten[Ovalität (']0,1'])],MATCH(Tabelle1014[[#This Row],[Rank]],Stammdaten[Rank Verteilung Ovalität],0))</f>
        <v>#N/A</v>
      </c>
      <c r="AB4507" t="e">
        <f>VLOOKUP(Tabelle1014[[#This Row],[Rank]],Stammdaten[[Rank Verteilung Ovalität]:[Verteilung Ovalität]],2,FALSE)</f>
        <v>#N/A</v>
      </c>
    </row>
    <row r="4508" spans="5:28" x14ac:dyDescent="0.35">
      <c r="E4508">
        <v>4499</v>
      </c>
      <c r="F4508" t="e">
        <f>INDEX(Stammdaten[D Mitte mit Rinde (mm)],MATCH(Tabelle8[[#This Row],[Rank]],Stammdaten[Rank Verteilung D Mitte mit Rinde],0))</f>
        <v>#N/A</v>
      </c>
      <c r="G4508" t="e">
        <f>VLOOKUP(Tabelle8[[#This Row],[Rank]],Stammdaten[[Rank Verteilung D Mitte mit Rinde]:[Verteilung D Mitte mit Rinde]],2,FALSE)</f>
        <v>#N/A</v>
      </c>
      <c r="L4508">
        <v>4499</v>
      </c>
      <c r="M4508" t="e">
        <f>INDEX(Stammdaten[Abholzigkeit (mm/lfm)],MATCH(Tabelle9[[#This Row],[Rank]],Stammdaten[Rank Verteilung Abholzigkeit],0))</f>
        <v>#N/A</v>
      </c>
      <c r="N4508" t="e">
        <f>VLOOKUP(Tabelle9[[#This Row],[Rank]],Stammdaten[[Rank Verteilung Abholzigkeit]:[Verteilung Abholzigkeit]],2,FALSE)</f>
        <v>#N/A</v>
      </c>
      <c r="S4508">
        <v>4499</v>
      </c>
      <c r="T4508" t="e">
        <f>INDEX(Stammdaten[Krümmung (mm/lfm)],MATCH(Tabelle10[[#This Row],[Rank]],Stammdaten[Rank Verteilung Krümmung],0))</f>
        <v>#N/A</v>
      </c>
      <c r="U4508" t="e">
        <f>VLOOKUP(Tabelle10[[#This Row],[Rank]],Stammdaten[[Rank Verteilung Krümmung]:[Verteilung Krümmung]],2,FALSE)</f>
        <v>#N/A</v>
      </c>
      <c r="Z4508">
        <v>4499</v>
      </c>
      <c r="AA4508" t="e">
        <f>INDEX(Stammdaten[Ovalität (']0,1'])],MATCH(Tabelle1014[[#This Row],[Rank]],Stammdaten[Rank Verteilung Ovalität],0))</f>
        <v>#N/A</v>
      </c>
      <c r="AB4508" t="e">
        <f>VLOOKUP(Tabelle1014[[#This Row],[Rank]],Stammdaten[[Rank Verteilung Ovalität]:[Verteilung Ovalität]],2,FALSE)</f>
        <v>#N/A</v>
      </c>
    </row>
    <row r="4509" spans="5:28" x14ac:dyDescent="0.35">
      <c r="E4509">
        <v>4500</v>
      </c>
      <c r="F4509" t="e">
        <f>INDEX(Stammdaten[D Mitte mit Rinde (mm)],MATCH(Tabelle8[[#This Row],[Rank]],Stammdaten[Rank Verteilung D Mitte mit Rinde],0))</f>
        <v>#N/A</v>
      </c>
      <c r="G4509" t="e">
        <f>VLOOKUP(Tabelle8[[#This Row],[Rank]],Stammdaten[[Rank Verteilung D Mitte mit Rinde]:[Verteilung D Mitte mit Rinde]],2,FALSE)</f>
        <v>#N/A</v>
      </c>
      <c r="L4509">
        <v>4500</v>
      </c>
      <c r="M4509" t="e">
        <f>INDEX(Stammdaten[Abholzigkeit (mm/lfm)],MATCH(Tabelle9[[#This Row],[Rank]],Stammdaten[Rank Verteilung Abholzigkeit],0))</f>
        <v>#N/A</v>
      </c>
      <c r="N4509" t="e">
        <f>VLOOKUP(Tabelle9[[#This Row],[Rank]],Stammdaten[[Rank Verteilung Abholzigkeit]:[Verteilung Abholzigkeit]],2,FALSE)</f>
        <v>#N/A</v>
      </c>
      <c r="S4509">
        <v>4500</v>
      </c>
      <c r="T4509" t="e">
        <f>INDEX(Stammdaten[Krümmung (mm/lfm)],MATCH(Tabelle10[[#This Row],[Rank]],Stammdaten[Rank Verteilung Krümmung],0))</f>
        <v>#N/A</v>
      </c>
      <c r="U4509" t="e">
        <f>VLOOKUP(Tabelle10[[#This Row],[Rank]],Stammdaten[[Rank Verteilung Krümmung]:[Verteilung Krümmung]],2,FALSE)</f>
        <v>#N/A</v>
      </c>
      <c r="Z4509">
        <v>4500</v>
      </c>
      <c r="AA4509" t="e">
        <f>INDEX(Stammdaten[Ovalität (']0,1'])],MATCH(Tabelle1014[[#This Row],[Rank]],Stammdaten[Rank Verteilung Ovalität],0))</f>
        <v>#N/A</v>
      </c>
      <c r="AB4509" t="e">
        <f>VLOOKUP(Tabelle1014[[#This Row],[Rank]],Stammdaten[[Rank Verteilung Ovalität]:[Verteilung Ovalität]],2,FALSE)</f>
        <v>#N/A</v>
      </c>
    </row>
    <row r="4510" spans="5:28" x14ac:dyDescent="0.35">
      <c r="E4510">
        <v>4501</v>
      </c>
      <c r="F4510" t="e">
        <f>INDEX(Stammdaten[D Mitte mit Rinde (mm)],MATCH(Tabelle8[[#This Row],[Rank]],Stammdaten[Rank Verteilung D Mitte mit Rinde],0))</f>
        <v>#N/A</v>
      </c>
      <c r="G4510" t="e">
        <f>VLOOKUP(Tabelle8[[#This Row],[Rank]],Stammdaten[[Rank Verteilung D Mitte mit Rinde]:[Verteilung D Mitte mit Rinde]],2,FALSE)</f>
        <v>#N/A</v>
      </c>
      <c r="L4510">
        <v>4501</v>
      </c>
      <c r="M4510" t="e">
        <f>INDEX(Stammdaten[Abholzigkeit (mm/lfm)],MATCH(Tabelle9[[#This Row],[Rank]],Stammdaten[Rank Verteilung Abholzigkeit],0))</f>
        <v>#N/A</v>
      </c>
      <c r="N4510" t="e">
        <f>VLOOKUP(Tabelle9[[#This Row],[Rank]],Stammdaten[[Rank Verteilung Abholzigkeit]:[Verteilung Abholzigkeit]],2,FALSE)</f>
        <v>#N/A</v>
      </c>
      <c r="S4510">
        <v>4501</v>
      </c>
      <c r="T4510" t="e">
        <f>INDEX(Stammdaten[Krümmung (mm/lfm)],MATCH(Tabelle10[[#This Row],[Rank]],Stammdaten[Rank Verteilung Krümmung],0))</f>
        <v>#N/A</v>
      </c>
      <c r="U4510" t="e">
        <f>VLOOKUP(Tabelle10[[#This Row],[Rank]],Stammdaten[[Rank Verteilung Krümmung]:[Verteilung Krümmung]],2,FALSE)</f>
        <v>#N/A</v>
      </c>
      <c r="Z4510">
        <v>4501</v>
      </c>
      <c r="AA4510" t="e">
        <f>INDEX(Stammdaten[Ovalität (']0,1'])],MATCH(Tabelle1014[[#This Row],[Rank]],Stammdaten[Rank Verteilung Ovalität],0))</f>
        <v>#N/A</v>
      </c>
      <c r="AB4510" t="e">
        <f>VLOOKUP(Tabelle1014[[#This Row],[Rank]],Stammdaten[[Rank Verteilung Ovalität]:[Verteilung Ovalität]],2,FALSE)</f>
        <v>#N/A</v>
      </c>
    </row>
    <row r="4511" spans="5:28" x14ac:dyDescent="0.35">
      <c r="E4511">
        <v>4502</v>
      </c>
      <c r="F4511" t="e">
        <f>INDEX(Stammdaten[D Mitte mit Rinde (mm)],MATCH(Tabelle8[[#This Row],[Rank]],Stammdaten[Rank Verteilung D Mitte mit Rinde],0))</f>
        <v>#N/A</v>
      </c>
      <c r="G4511" t="e">
        <f>VLOOKUP(Tabelle8[[#This Row],[Rank]],Stammdaten[[Rank Verteilung D Mitte mit Rinde]:[Verteilung D Mitte mit Rinde]],2,FALSE)</f>
        <v>#N/A</v>
      </c>
      <c r="L4511">
        <v>4502</v>
      </c>
      <c r="M4511" t="e">
        <f>INDEX(Stammdaten[Abholzigkeit (mm/lfm)],MATCH(Tabelle9[[#This Row],[Rank]],Stammdaten[Rank Verteilung Abholzigkeit],0))</f>
        <v>#N/A</v>
      </c>
      <c r="N4511" t="e">
        <f>VLOOKUP(Tabelle9[[#This Row],[Rank]],Stammdaten[[Rank Verteilung Abholzigkeit]:[Verteilung Abholzigkeit]],2,FALSE)</f>
        <v>#N/A</v>
      </c>
      <c r="S4511">
        <v>4502</v>
      </c>
      <c r="T4511" t="e">
        <f>INDEX(Stammdaten[Krümmung (mm/lfm)],MATCH(Tabelle10[[#This Row],[Rank]],Stammdaten[Rank Verteilung Krümmung],0))</f>
        <v>#N/A</v>
      </c>
      <c r="U4511" t="e">
        <f>VLOOKUP(Tabelle10[[#This Row],[Rank]],Stammdaten[[Rank Verteilung Krümmung]:[Verteilung Krümmung]],2,FALSE)</f>
        <v>#N/A</v>
      </c>
      <c r="Z4511">
        <v>4502</v>
      </c>
      <c r="AA4511" t="e">
        <f>INDEX(Stammdaten[Ovalität (']0,1'])],MATCH(Tabelle1014[[#This Row],[Rank]],Stammdaten[Rank Verteilung Ovalität],0))</f>
        <v>#N/A</v>
      </c>
      <c r="AB4511" t="e">
        <f>VLOOKUP(Tabelle1014[[#This Row],[Rank]],Stammdaten[[Rank Verteilung Ovalität]:[Verteilung Ovalität]],2,FALSE)</f>
        <v>#N/A</v>
      </c>
    </row>
    <row r="4512" spans="5:28" x14ac:dyDescent="0.35">
      <c r="E4512">
        <v>4503</v>
      </c>
      <c r="F4512" t="e">
        <f>INDEX(Stammdaten[D Mitte mit Rinde (mm)],MATCH(Tabelle8[[#This Row],[Rank]],Stammdaten[Rank Verteilung D Mitte mit Rinde],0))</f>
        <v>#N/A</v>
      </c>
      <c r="G4512" t="e">
        <f>VLOOKUP(Tabelle8[[#This Row],[Rank]],Stammdaten[[Rank Verteilung D Mitte mit Rinde]:[Verteilung D Mitte mit Rinde]],2,FALSE)</f>
        <v>#N/A</v>
      </c>
      <c r="L4512">
        <v>4503</v>
      </c>
      <c r="M4512" t="e">
        <f>INDEX(Stammdaten[Abholzigkeit (mm/lfm)],MATCH(Tabelle9[[#This Row],[Rank]],Stammdaten[Rank Verteilung Abholzigkeit],0))</f>
        <v>#N/A</v>
      </c>
      <c r="N4512" t="e">
        <f>VLOOKUP(Tabelle9[[#This Row],[Rank]],Stammdaten[[Rank Verteilung Abholzigkeit]:[Verteilung Abholzigkeit]],2,FALSE)</f>
        <v>#N/A</v>
      </c>
      <c r="S4512">
        <v>4503</v>
      </c>
      <c r="T4512" t="e">
        <f>INDEX(Stammdaten[Krümmung (mm/lfm)],MATCH(Tabelle10[[#This Row],[Rank]],Stammdaten[Rank Verteilung Krümmung],0))</f>
        <v>#N/A</v>
      </c>
      <c r="U4512" t="e">
        <f>VLOOKUP(Tabelle10[[#This Row],[Rank]],Stammdaten[[Rank Verteilung Krümmung]:[Verteilung Krümmung]],2,FALSE)</f>
        <v>#N/A</v>
      </c>
      <c r="Z4512">
        <v>4503</v>
      </c>
      <c r="AA4512" t="e">
        <f>INDEX(Stammdaten[Ovalität (']0,1'])],MATCH(Tabelle1014[[#This Row],[Rank]],Stammdaten[Rank Verteilung Ovalität],0))</f>
        <v>#N/A</v>
      </c>
      <c r="AB4512" t="e">
        <f>VLOOKUP(Tabelle1014[[#This Row],[Rank]],Stammdaten[[Rank Verteilung Ovalität]:[Verteilung Ovalität]],2,FALSE)</f>
        <v>#N/A</v>
      </c>
    </row>
    <row r="4513" spans="5:28" x14ac:dyDescent="0.35">
      <c r="E4513">
        <v>4504</v>
      </c>
      <c r="F4513" t="e">
        <f>INDEX(Stammdaten[D Mitte mit Rinde (mm)],MATCH(Tabelle8[[#This Row],[Rank]],Stammdaten[Rank Verteilung D Mitte mit Rinde],0))</f>
        <v>#N/A</v>
      </c>
      <c r="G4513" t="e">
        <f>VLOOKUP(Tabelle8[[#This Row],[Rank]],Stammdaten[[Rank Verteilung D Mitte mit Rinde]:[Verteilung D Mitte mit Rinde]],2,FALSE)</f>
        <v>#N/A</v>
      </c>
      <c r="L4513">
        <v>4504</v>
      </c>
      <c r="M4513" t="e">
        <f>INDEX(Stammdaten[Abholzigkeit (mm/lfm)],MATCH(Tabelle9[[#This Row],[Rank]],Stammdaten[Rank Verteilung Abholzigkeit],0))</f>
        <v>#N/A</v>
      </c>
      <c r="N4513" t="e">
        <f>VLOOKUP(Tabelle9[[#This Row],[Rank]],Stammdaten[[Rank Verteilung Abholzigkeit]:[Verteilung Abholzigkeit]],2,FALSE)</f>
        <v>#N/A</v>
      </c>
      <c r="S4513">
        <v>4504</v>
      </c>
      <c r="T4513" t="e">
        <f>INDEX(Stammdaten[Krümmung (mm/lfm)],MATCH(Tabelle10[[#This Row],[Rank]],Stammdaten[Rank Verteilung Krümmung],0))</f>
        <v>#N/A</v>
      </c>
      <c r="U4513" t="e">
        <f>VLOOKUP(Tabelle10[[#This Row],[Rank]],Stammdaten[[Rank Verteilung Krümmung]:[Verteilung Krümmung]],2,FALSE)</f>
        <v>#N/A</v>
      </c>
      <c r="Z4513">
        <v>4504</v>
      </c>
      <c r="AA4513" t="e">
        <f>INDEX(Stammdaten[Ovalität (']0,1'])],MATCH(Tabelle1014[[#This Row],[Rank]],Stammdaten[Rank Verteilung Ovalität],0))</f>
        <v>#N/A</v>
      </c>
      <c r="AB4513" t="e">
        <f>VLOOKUP(Tabelle1014[[#This Row],[Rank]],Stammdaten[[Rank Verteilung Ovalität]:[Verteilung Ovalität]],2,FALSE)</f>
        <v>#N/A</v>
      </c>
    </row>
    <row r="4514" spans="5:28" x14ac:dyDescent="0.35">
      <c r="E4514">
        <v>4505</v>
      </c>
      <c r="F4514" t="e">
        <f>INDEX(Stammdaten[D Mitte mit Rinde (mm)],MATCH(Tabelle8[[#This Row],[Rank]],Stammdaten[Rank Verteilung D Mitte mit Rinde],0))</f>
        <v>#N/A</v>
      </c>
      <c r="G4514" t="e">
        <f>VLOOKUP(Tabelle8[[#This Row],[Rank]],Stammdaten[[Rank Verteilung D Mitte mit Rinde]:[Verteilung D Mitte mit Rinde]],2,FALSE)</f>
        <v>#N/A</v>
      </c>
      <c r="L4514">
        <v>4505</v>
      </c>
      <c r="M4514" t="e">
        <f>INDEX(Stammdaten[Abholzigkeit (mm/lfm)],MATCH(Tabelle9[[#This Row],[Rank]],Stammdaten[Rank Verteilung Abholzigkeit],0))</f>
        <v>#N/A</v>
      </c>
      <c r="N4514" t="e">
        <f>VLOOKUP(Tabelle9[[#This Row],[Rank]],Stammdaten[[Rank Verteilung Abholzigkeit]:[Verteilung Abholzigkeit]],2,FALSE)</f>
        <v>#N/A</v>
      </c>
      <c r="S4514">
        <v>4505</v>
      </c>
      <c r="T4514" t="e">
        <f>INDEX(Stammdaten[Krümmung (mm/lfm)],MATCH(Tabelle10[[#This Row],[Rank]],Stammdaten[Rank Verteilung Krümmung],0))</f>
        <v>#N/A</v>
      </c>
      <c r="U4514" t="e">
        <f>VLOOKUP(Tabelle10[[#This Row],[Rank]],Stammdaten[[Rank Verteilung Krümmung]:[Verteilung Krümmung]],2,FALSE)</f>
        <v>#N/A</v>
      </c>
      <c r="Z4514">
        <v>4505</v>
      </c>
      <c r="AA4514" t="e">
        <f>INDEX(Stammdaten[Ovalität (']0,1'])],MATCH(Tabelle1014[[#This Row],[Rank]],Stammdaten[Rank Verteilung Ovalität],0))</f>
        <v>#N/A</v>
      </c>
      <c r="AB4514" t="e">
        <f>VLOOKUP(Tabelle1014[[#This Row],[Rank]],Stammdaten[[Rank Verteilung Ovalität]:[Verteilung Ovalität]],2,FALSE)</f>
        <v>#N/A</v>
      </c>
    </row>
    <row r="4515" spans="5:28" x14ac:dyDescent="0.35">
      <c r="E4515">
        <v>4506</v>
      </c>
      <c r="F4515" t="e">
        <f>INDEX(Stammdaten[D Mitte mit Rinde (mm)],MATCH(Tabelle8[[#This Row],[Rank]],Stammdaten[Rank Verteilung D Mitte mit Rinde],0))</f>
        <v>#N/A</v>
      </c>
      <c r="G4515" t="e">
        <f>VLOOKUP(Tabelle8[[#This Row],[Rank]],Stammdaten[[Rank Verteilung D Mitte mit Rinde]:[Verteilung D Mitte mit Rinde]],2,FALSE)</f>
        <v>#N/A</v>
      </c>
      <c r="L4515">
        <v>4506</v>
      </c>
      <c r="M4515" t="e">
        <f>INDEX(Stammdaten[Abholzigkeit (mm/lfm)],MATCH(Tabelle9[[#This Row],[Rank]],Stammdaten[Rank Verteilung Abholzigkeit],0))</f>
        <v>#N/A</v>
      </c>
      <c r="N4515" t="e">
        <f>VLOOKUP(Tabelle9[[#This Row],[Rank]],Stammdaten[[Rank Verteilung Abholzigkeit]:[Verteilung Abholzigkeit]],2,FALSE)</f>
        <v>#N/A</v>
      </c>
      <c r="S4515">
        <v>4506</v>
      </c>
      <c r="T4515" t="e">
        <f>INDEX(Stammdaten[Krümmung (mm/lfm)],MATCH(Tabelle10[[#This Row],[Rank]],Stammdaten[Rank Verteilung Krümmung],0))</f>
        <v>#N/A</v>
      </c>
      <c r="U4515" t="e">
        <f>VLOOKUP(Tabelle10[[#This Row],[Rank]],Stammdaten[[Rank Verteilung Krümmung]:[Verteilung Krümmung]],2,FALSE)</f>
        <v>#N/A</v>
      </c>
      <c r="Z4515">
        <v>4506</v>
      </c>
      <c r="AA4515" t="e">
        <f>INDEX(Stammdaten[Ovalität (']0,1'])],MATCH(Tabelle1014[[#This Row],[Rank]],Stammdaten[Rank Verteilung Ovalität],0))</f>
        <v>#N/A</v>
      </c>
      <c r="AB4515" t="e">
        <f>VLOOKUP(Tabelle1014[[#This Row],[Rank]],Stammdaten[[Rank Verteilung Ovalität]:[Verteilung Ovalität]],2,FALSE)</f>
        <v>#N/A</v>
      </c>
    </row>
    <row r="4516" spans="5:28" x14ac:dyDescent="0.35">
      <c r="E4516">
        <v>4507</v>
      </c>
      <c r="F4516" t="e">
        <f>INDEX(Stammdaten[D Mitte mit Rinde (mm)],MATCH(Tabelle8[[#This Row],[Rank]],Stammdaten[Rank Verteilung D Mitte mit Rinde],0))</f>
        <v>#N/A</v>
      </c>
      <c r="G4516" t="e">
        <f>VLOOKUP(Tabelle8[[#This Row],[Rank]],Stammdaten[[Rank Verteilung D Mitte mit Rinde]:[Verteilung D Mitte mit Rinde]],2,FALSE)</f>
        <v>#N/A</v>
      </c>
      <c r="L4516">
        <v>4507</v>
      </c>
      <c r="M4516" t="e">
        <f>INDEX(Stammdaten[Abholzigkeit (mm/lfm)],MATCH(Tabelle9[[#This Row],[Rank]],Stammdaten[Rank Verteilung Abholzigkeit],0))</f>
        <v>#N/A</v>
      </c>
      <c r="N4516" t="e">
        <f>VLOOKUP(Tabelle9[[#This Row],[Rank]],Stammdaten[[Rank Verteilung Abholzigkeit]:[Verteilung Abholzigkeit]],2,FALSE)</f>
        <v>#N/A</v>
      </c>
      <c r="S4516">
        <v>4507</v>
      </c>
      <c r="T4516" t="e">
        <f>INDEX(Stammdaten[Krümmung (mm/lfm)],MATCH(Tabelle10[[#This Row],[Rank]],Stammdaten[Rank Verteilung Krümmung],0))</f>
        <v>#N/A</v>
      </c>
      <c r="U4516" t="e">
        <f>VLOOKUP(Tabelle10[[#This Row],[Rank]],Stammdaten[[Rank Verteilung Krümmung]:[Verteilung Krümmung]],2,FALSE)</f>
        <v>#N/A</v>
      </c>
      <c r="Z4516">
        <v>4507</v>
      </c>
      <c r="AA4516" t="e">
        <f>INDEX(Stammdaten[Ovalität (']0,1'])],MATCH(Tabelle1014[[#This Row],[Rank]],Stammdaten[Rank Verteilung Ovalität],0))</f>
        <v>#N/A</v>
      </c>
      <c r="AB4516" t="e">
        <f>VLOOKUP(Tabelle1014[[#This Row],[Rank]],Stammdaten[[Rank Verteilung Ovalität]:[Verteilung Ovalität]],2,FALSE)</f>
        <v>#N/A</v>
      </c>
    </row>
    <row r="4517" spans="5:28" x14ac:dyDescent="0.35">
      <c r="E4517">
        <v>4508</v>
      </c>
      <c r="F4517" t="e">
        <f>INDEX(Stammdaten[D Mitte mit Rinde (mm)],MATCH(Tabelle8[[#This Row],[Rank]],Stammdaten[Rank Verteilung D Mitte mit Rinde],0))</f>
        <v>#N/A</v>
      </c>
      <c r="G4517" t="e">
        <f>VLOOKUP(Tabelle8[[#This Row],[Rank]],Stammdaten[[Rank Verteilung D Mitte mit Rinde]:[Verteilung D Mitte mit Rinde]],2,FALSE)</f>
        <v>#N/A</v>
      </c>
      <c r="L4517">
        <v>4508</v>
      </c>
      <c r="M4517" t="e">
        <f>INDEX(Stammdaten[Abholzigkeit (mm/lfm)],MATCH(Tabelle9[[#This Row],[Rank]],Stammdaten[Rank Verteilung Abholzigkeit],0))</f>
        <v>#N/A</v>
      </c>
      <c r="N4517" t="e">
        <f>VLOOKUP(Tabelle9[[#This Row],[Rank]],Stammdaten[[Rank Verteilung Abholzigkeit]:[Verteilung Abholzigkeit]],2,FALSE)</f>
        <v>#N/A</v>
      </c>
      <c r="S4517">
        <v>4508</v>
      </c>
      <c r="T4517" t="e">
        <f>INDEX(Stammdaten[Krümmung (mm/lfm)],MATCH(Tabelle10[[#This Row],[Rank]],Stammdaten[Rank Verteilung Krümmung],0))</f>
        <v>#N/A</v>
      </c>
      <c r="U4517" t="e">
        <f>VLOOKUP(Tabelle10[[#This Row],[Rank]],Stammdaten[[Rank Verteilung Krümmung]:[Verteilung Krümmung]],2,FALSE)</f>
        <v>#N/A</v>
      </c>
      <c r="Z4517">
        <v>4508</v>
      </c>
      <c r="AA4517" t="e">
        <f>INDEX(Stammdaten[Ovalität (']0,1'])],MATCH(Tabelle1014[[#This Row],[Rank]],Stammdaten[Rank Verteilung Ovalität],0))</f>
        <v>#N/A</v>
      </c>
      <c r="AB4517" t="e">
        <f>VLOOKUP(Tabelle1014[[#This Row],[Rank]],Stammdaten[[Rank Verteilung Ovalität]:[Verteilung Ovalität]],2,FALSE)</f>
        <v>#N/A</v>
      </c>
    </row>
    <row r="4518" spans="5:28" x14ac:dyDescent="0.35">
      <c r="E4518">
        <v>4509</v>
      </c>
      <c r="F4518" t="e">
        <f>INDEX(Stammdaten[D Mitte mit Rinde (mm)],MATCH(Tabelle8[[#This Row],[Rank]],Stammdaten[Rank Verteilung D Mitte mit Rinde],0))</f>
        <v>#N/A</v>
      </c>
      <c r="G4518" t="e">
        <f>VLOOKUP(Tabelle8[[#This Row],[Rank]],Stammdaten[[Rank Verteilung D Mitte mit Rinde]:[Verteilung D Mitte mit Rinde]],2,FALSE)</f>
        <v>#N/A</v>
      </c>
      <c r="L4518">
        <v>4509</v>
      </c>
      <c r="M4518" t="e">
        <f>INDEX(Stammdaten[Abholzigkeit (mm/lfm)],MATCH(Tabelle9[[#This Row],[Rank]],Stammdaten[Rank Verteilung Abholzigkeit],0))</f>
        <v>#N/A</v>
      </c>
      <c r="N4518" t="e">
        <f>VLOOKUP(Tabelle9[[#This Row],[Rank]],Stammdaten[[Rank Verteilung Abholzigkeit]:[Verteilung Abholzigkeit]],2,FALSE)</f>
        <v>#N/A</v>
      </c>
      <c r="S4518">
        <v>4509</v>
      </c>
      <c r="T4518" t="e">
        <f>INDEX(Stammdaten[Krümmung (mm/lfm)],MATCH(Tabelle10[[#This Row],[Rank]],Stammdaten[Rank Verteilung Krümmung],0))</f>
        <v>#N/A</v>
      </c>
      <c r="U4518" t="e">
        <f>VLOOKUP(Tabelle10[[#This Row],[Rank]],Stammdaten[[Rank Verteilung Krümmung]:[Verteilung Krümmung]],2,FALSE)</f>
        <v>#N/A</v>
      </c>
      <c r="Z4518">
        <v>4509</v>
      </c>
      <c r="AA4518" t="e">
        <f>INDEX(Stammdaten[Ovalität (']0,1'])],MATCH(Tabelle1014[[#This Row],[Rank]],Stammdaten[Rank Verteilung Ovalität],0))</f>
        <v>#N/A</v>
      </c>
      <c r="AB4518" t="e">
        <f>VLOOKUP(Tabelle1014[[#This Row],[Rank]],Stammdaten[[Rank Verteilung Ovalität]:[Verteilung Ovalität]],2,FALSE)</f>
        <v>#N/A</v>
      </c>
    </row>
    <row r="4519" spans="5:28" x14ac:dyDescent="0.35">
      <c r="E4519">
        <v>4510</v>
      </c>
      <c r="F4519" t="e">
        <f>INDEX(Stammdaten[D Mitte mit Rinde (mm)],MATCH(Tabelle8[[#This Row],[Rank]],Stammdaten[Rank Verteilung D Mitte mit Rinde],0))</f>
        <v>#N/A</v>
      </c>
      <c r="G4519" t="e">
        <f>VLOOKUP(Tabelle8[[#This Row],[Rank]],Stammdaten[[Rank Verteilung D Mitte mit Rinde]:[Verteilung D Mitte mit Rinde]],2,FALSE)</f>
        <v>#N/A</v>
      </c>
      <c r="L4519">
        <v>4510</v>
      </c>
      <c r="M4519" t="e">
        <f>INDEX(Stammdaten[Abholzigkeit (mm/lfm)],MATCH(Tabelle9[[#This Row],[Rank]],Stammdaten[Rank Verteilung Abholzigkeit],0))</f>
        <v>#N/A</v>
      </c>
      <c r="N4519" t="e">
        <f>VLOOKUP(Tabelle9[[#This Row],[Rank]],Stammdaten[[Rank Verteilung Abholzigkeit]:[Verteilung Abholzigkeit]],2,FALSE)</f>
        <v>#N/A</v>
      </c>
      <c r="S4519">
        <v>4510</v>
      </c>
      <c r="T4519" t="e">
        <f>INDEX(Stammdaten[Krümmung (mm/lfm)],MATCH(Tabelle10[[#This Row],[Rank]],Stammdaten[Rank Verteilung Krümmung],0))</f>
        <v>#N/A</v>
      </c>
      <c r="U4519" t="e">
        <f>VLOOKUP(Tabelle10[[#This Row],[Rank]],Stammdaten[[Rank Verteilung Krümmung]:[Verteilung Krümmung]],2,FALSE)</f>
        <v>#N/A</v>
      </c>
      <c r="Z4519">
        <v>4510</v>
      </c>
      <c r="AA4519" t="e">
        <f>INDEX(Stammdaten[Ovalität (']0,1'])],MATCH(Tabelle1014[[#This Row],[Rank]],Stammdaten[Rank Verteilung Ovalität],0))</f>
        <v>#N/A</v>
      </c>
      <c r="AB4519" t="e">
        <f>VLOOKUP(Tabelle1014[[#This Row],[Rank]],Stammdaten[[Rank Verteilung Ovalität]:[Verteilung Ovalität]],2,FALSE)</f>
        <v>#N/A</v>
      </c>
    </row>
    <row r="4520" spans="5:28" x14ac:dyDescent="0.35">
      <c r="E4520">
        <v>4511</v>
      </c>
      <c r="F4520" t="e">
        <f>INDEX(Stammdaten[D Mitte mit Rinde (mm)],MATCH(Tabelle8[[#This Row],[Rank]],Stammdaten[Rank Verteilung D Mitte mit Rinde],0))</f>
        <v>#N/A</v>
      </c>
      <c r="G4520" t="e">
        <f>VLOOKUP(Tabelle8[[#This Row],[Rank]],Stammdaten[[Rank Verteilung D Mitte mit Rinde]:[Verteilung D Mitte mit Rinde]],2,FALSE)</f>
        <v>#N/A</v>
      </c>
      <c r="L4520">
        <v>4511</v>
      </c>
      <c r="M4520" t="e">
        <f>INDEX(Stammdaten[Abholzigkeit (mm/lfm)],MATCH(Tabelle9[[#This Row],[Rank]],Stammdaten[Rank Verteilung Abholzigkeit],0))</f>
        <v>#N/A</v>
      </c>
      <c r="N4520" t="e">
        <f>VLOOKUP(Tabelle9[[#This Row],[Rank]],Stammdaten[[Rank Verteilung Abholzigkeit]:[Verteilung Abholzigkeit]],2,FALSE)</f>
        <v>#N/A</v>
      </c>
      <c r="S4520">
        <v>4511</v>
      </c>
      <c r="T4520" t="e">
        <f>INDEX(Stammdaten[Krümmung (mm/lfm)],MATCH(Tabelle10[[#This Row],[Rank]],Stammdaten[Rank Verteilung Krümmung],0))</f>
        <v>#N/A</v>
      </c>
      <c r="U4520" t="e">
        <f>VLOOKUP(Tabelle10[[#This Row],[Rank]],Stammdaten[[Rank Verteilung Krümmung]:[Verteilung Krümmung]],2,FALSE)</f>
        <v>#N/A</v>
      </c>
      <c r="Z4520">
        <v>4511</v>
      </c>
      <c r="AA4520" t="e">
        <f>INDEX(Stammdaten[Ovalität (']0,1'])],MATCH(Tabelle1014[[#This Row],[Rank]],Stammdaten[Rank Verteilung Ovalität],0))</f>
        <v>#N/A</v>
      </c>
      <c r="AB4520" t="e">
        <f>VLOOKUP(Tabelle1014[[#This Row],[Rank]],Stammdaten[[Rank Verteilung Ovalität]:[Verteilung Ovalität]],2,FALSE)</f>
        <v>#N/A</v>
      </c>
    </row>
    <row r="4521" spans="5:28" x14ac:dyDescent="0.35">
      <c r="E4521">
        <v>4512</v>
      </c>
      <c r="F4521" t="e">
        <f>INDEX(Stammdaten[D Mitte mit Rinde (mm)],MATCH(Tabelle8[[#This Row],[Rank]],Stammdaten[Rank Verteilung D Mitte mit Rinde],0))</f>
        <v>#N/A</v>
      </c>
      <c r="G4521" t="e">
        <f>VLOOKUP(Tabelle8[[#This Row],[Rank]],Stammdaten[[Rank Verteilung D Mitte mit Rinde]:[Verteilung D Mitte mit Rinde]],2,FALSE)</f>
        <v>#N/A</v>
      </c>
      <c r="L4521">
        <v>4512</v>
      </c>
      <c r="M4521" t="e">
        <f>INDEX(Stammdaten[Abholzigkeit (mm/lfm)],MATCH(Tabelle9[[#This Row],[Rank]],Stammdaten[Rank Verteilung Abholzigkeit],0))</f>
        <v>#N/A</v>
      </c>
      <c r="N4521" t="e">
        <f>VLOOKUP(Tabelle9[[#This Row],[Rank]],Stammdaten[[Rank Verteilung Abholzigkeit]:[Verteilung Abholzigkeit]],2,FALSE)</f>
        <v>#N/A</v>
      </c>
      <c r="S4521">
        <v>4512</v>
      </c>
      <c r="T4521" t="e">
        <f>INDEX(Stammdaten[Krümmung (mm/lfm)],MATCH(Tabelle10[[#This Row],[Rank]],Stammdaten[Rank Verteilung Krümmung],0))</f>
        <v>#N/A</v>
      </c>
      <c r="U4521" t="e">
        <f>VLOOKUP(Tabelle10[[#This Row],[Rank]],Stammdaten[[Rank Verteilung Krümmung]:[Verteilung Krümmung]],2,FALSE)</f>
        <v>#N/A</v>
      </c>
      <c r="Z4521">
        <v>4512</v>
      </c>
      <c r="AA4521" t="e">
        <f>INDEX(Stammdaten[Ovalität (']0,1'])],MATCH(Tabelle1014[[#This Row],[Rank]],Stammdaten[Rank Verteilung Ovalität],0))</f>
        <v>#N/A</v>
      </c>
      <c r="AB4521" t="e">
        <f>VLOOKUP(Tabelle1014[[#This Row],[Rank]],Stammdaten[[Rank Verteilung Ovalität]:[Verteilung Ovalität]],2,FALSE)</f>
        <v>#N/A</v>
      </c>
    </row>
    <row r="4522" spans="5:28" x14ac:dyDescent="0.35">
      <c r="E4522">
        <v>4513</v>
      </c>
      <c r="F4522" t="e">
        <f>INDEX(Stammdaten[D Mitte mit Rinde (mm)],MATCH(Tabelle8[[#This Row],[Rank]],Stammdaten[Rank Verteilung D Mitte mit Rinde],0))</f>
        <v>#N/A</v>
      </c>
      <c r="G4522" t="e">
        <f>VLOOKUP(Tabelle8[[#This Row],[Rank]],Stammdaten[[Rank Verteilung D Mitte mit Rinde]:[Verteilung D Mitte mit Rinde]],2,FALSE)</f>
        <v>#N/A</v>
      </c>
      <c r="L4522">
        <v>4513</v>
      </c>
      <c r="M4522" t="e">
        <f>INDEX(Stammdaten[Abholzigkeit (mm/lfm)],MATCH(Tabelle9[[#This Row],[Rank]],Stammdaten[Rank Verteilung Abholzigkeit],0))</f>
        <v>#N/A</v>
      </c>
      <c r="N4522" t="e">
        <f>VLOOKUP(Tabelle9[[#This Row],[Rank]],Stammdaten[[Rank Verteilung Abholzigkeit]:[Verteilung Abholzigkeit]],2,FALSE)</f>
        <v>#N/A</v>
      </c>
      <c r="S4522">
        <v>4513</v>
      </c>
      <c r="T4522" t="e">
        <f>INDEX(Stammdaten[Krümmung (mm/lfm)],MATCH(Tabelle10[[#This Row],[Rank]],Stammdaten[Rank Verteilung Krümmung],0))</f>
        <v>#N/A</v>
      </c>
      <c r="U4522" t="e">
        <f>VLOOKUP(Tabelle10[[#This Row],[Rank]],Stammdaten[[Rank Verteilung Krümmung]:[Verteilung Krümmung]],2,FALSE)</f>
        <v>#N/A</v>
      </c>
      <c r="Z4522">
        <v>4513</v>
      </c>
      <c r="AA4522" t="e">
        <f>INDEX(Stammdaten[Ovalität (']0,1'])],MATCH(Tabelle1014[[#This Row],[Rank]],Stammdaten[Rank Verteilung Ovalität],0))</f>
        <v>#N/A</v>
      </c>
      <c r="AB4522" t="e">
        <f>VLOOKUP(Tabelle1014[[#This Row],[Rank]],Stammdaten[[Rank Verteilung Ovalität]:[Verteilung Ovalität]],2,FALSE)</f>
        <v>#N/A</v>
      </c>
    </row>
    <row r="4523" spans="5:28" x14ac:dyDescent="0.35">
      <c r="E4523">
        <v>4514</v>
      </c>
      <c r="F4523" t="e">
        <f>INDEX(Stammdaten[D Mitte mit Rinde (mm)],MATCH(Tabelle8[[#This Row],[Rank]],Stammdaten[Rank Verteilung D Mitte mit Rinde],0))</f>
        <v>#N/A</v>
      </c>
      <c r="G4523" t="e">
        <f>VLOOKUP(Tabelle8[[#This Row],[Rank]],Stammdaten[[Rank Verteilung D Mitte mit Rinde]:[Verteilung D Mitte mit Rinde]],2,FALSE)</f>
        <v>#N/A</v>
      </c>
      <c r="L4523">
        <v>4514</v>
      </c>
      <c r="M4523" t="e">
        <f>INDEX(Stammdaten[Abholzigkeit (mm/lfm)],MATCH(Tabelle9[[#This Row],[Rank]],Stammdaten[Rank Verteilung Abholzigkeit],0))</f>
        <v>#N/A</v>
      </c>
      <c r="N4523" t="e">
        <f>VLOOKUP(Tabelle9[[#This Row],[Rank]],Stammdaten[[Rank Verteilung Abholzigkeit]:[Verteilung Abholzigkeit]],2,FALSE)</f>
        <v>#N/A</v>
      </c>
      <c r="S4523">
        <v>4514</v>
      </c>
      <c r="T4523" t="e">
        <f>INDEX(Stammdaten[Krümmung (mm/lfm)],MATCH(Tabelle10[[#This Row],[Rank]],Stammdaten[Rank Verteilung Krümmung],0))</f>
        <v>#N/A</v>
      </c>
      <c r="U4523" t="e">
        <f>VLOOKUP(Tabelle10[[#This Row],[Rank]],Stammdaten[[Rank Verteilung Krümmung]:[Verteilung Krümmung]],2,FALSE)</f>
        <v>#N/A</v>
      </c>
      <c r="Z4523">
        <v>4514</v>
      </c>
      <c r="AA4523" t="e">
        <f>INDEX(Stammdaten[Ovalität (']0,1'])],MATCH(Tabelle1014[[#This Row],[Rank]],Stammdaten[Rank Verteilung Ovalität],0))</f>
        <v>#N/A</v>
      </c>
      <c r="AB4523" t="e">
        <f>VLOOKUP(Tabelle1014[[#This Row],[Rank]],Stammdaten[[Rank Verteilung Ovalität]:[Verteilung Ovalität]],2,FALSE)</f>
        <v>#N/A</v>
      </c>
    </row>
    <row r="4524" spans="5:28" x14ac:dyDescent="0.35">
      <c r="E4524">
        <v>4515</v>
      </c>
      <c r="F4524" t="e">
        <f>INDEX(Stammdaten[D Mitte mit Rinde (mm)],MATCH(Tabelle8[[#This Row],[Rank]],Stammdaten[Rank Verteilung D Mitte mit Rinde],0))</f>
        <v>#N/A</v>
      </c>
      <c r="G4524" t="e">
        <f>VLOOKUP(Tabelle8[[#This Row],[Rank]],Stammdaten[[Rank Verteilung D Mitte mit Rinde]:[Verteilung D Mitte mit Rinde]],2,FALSE)</f>
        <v>#N/A</v>
      </c>
      <c r="L4524">
        <v>4515</v>
      </c>
      <c r="M4524" t="e">
        <f>INDEX(Stammdaten[Abholzigkeit (mm/lfm)],MATCH(Tabelle9[[#This Row],[Rank]],Stammdaten[Rank Verteilung Abholzigkeit],0))</f>
        <v>#N/A</v>
      </c>
      <c r="N4524" t="e">
        <f>VLOOKUP(Tabelle9[[#This Row],[Rank]],Stammdaten[[Rank Verteilung Abholzigkeit]:[Verteilung Abholzigkeit]],2,FALSE)</f>
        <v>#N/A</v>
      </c>
      <c r="S4524">
        <v>4515</v>
      </c>
      <c r="T4524" t="e">
        <f>INDEX(Stammdaten[Krümmung (mm/lfm)],MATCH(Tabelle10[[#This Row],[Rank]],Stammdaten[Rank Verteilung Krümmung],0))</f>
        <v>#N/A</v>
      </c>
      <c r="U4524" t="e">
        <f>VLOOKUP(Tabelle10[[#This Row],[Rank]],Stammdaten[[Rank Verteilung Krümmung]:[Verteilung Krümmung]],2,FALSE)</f>
        <v>#N/A</v>
      </c>
      <c r="Z4524">
        <v>4515</v>
      </c>
      <c r="AA4524" t="e">
        <f>INDEX(Stammdaten[Ovalität (']0,1'])],MATCH(Tabelle1014[[#This Row],[Rank]],Stammdaten[Rank Verteilung Ovalität],0))</f>
        <v>#N/A</v>
      </c>
      <c r="AB4524" t="e">
        <f>VLOOKUP(Tabelle1014[[#This Row],[Rank]],Stammdaten[[Rank Verteilung Ovalität]:[Verteilung Ovalität]],2,FALSE)</f>
        <v>#N/A</v>
      </c>
    </row>
    <row r="4525" spans="5:28" x14ac:dyDescent="0.35">
      <c r="E4525">
        <v>4516</v>
      </c>
      <c r="F4525" t="e">
        <f>INDEX(Stammdaten[D Mitte mit Rinde (mm)],MATCH(Tabelle8[[#This Row],[Rank]],Stammdaten[Rank Verteilung D Mitte mit Rinde],0))</f>
        <v>#N/A</v>
      </c>
      <c r="G4525" t="e">
        <f>VLOOKUP(Tabelle8[[#This Row],[Rank]],Stammdaten[[Rank Verteilung D Mitte mit Rinde]:[Verteilung D Mitte mit Rinde]],2,FALSE)</f>
        <v>#N/A</v>
      </c>
      <c r="L4525">
        <v>4516</v>
      </c>
      <c r="M4525" t="e">
        <f>INDEX(Stammdaten[Abholzigkeit (mm/lfm)],MATCH(Tabelle9[[#This Row],[Rank]],Stammdaten[Rank Verteilung Abholzigkeit],0))</f>
        <v>#N/A</v>
      </c>
      <c r="N4525" t="e">
        <f>VLOOKUP(Tabelle9[[#This Row],[Rank]],Stammdaten[[Rank Verteilung Abholzigkeit]:[Verteilung Abholzigkeit]],2,FALSE)</f>
        <v>#N/A</v>
      </c>
      <c r="S4525">
        <v>4516</v>
      </c>
      <c r="T4525" t="e">
        <f>INDEX(Stammdaten[Krümmung (mm/lfm)],MATCH(Tabelle10[[#This Row],[Rank]],Stammdaten[Rank Verteilung Krümmung],0))</f>
        <v>#N/A</v>
      </c>
      <c r="U4525" t="e">
        <f>VLOOKUP(Tabelle10[[#This Row],[Rank]],Stammdaten[[Rank Verteilung Krümmung]:[Verteilung Krümmung]],2,FALSE)</f>
        <v>#N/A</v>
      </c>
      <c r="Z4525">
        <v>4516</v>
      </c>
      <c r="AA4525" t="e">
        <f>INDEX(Stammdaten[Ovalität (']0,1'])],MATCH(Tabelle1014[[#This Row],[Rank]],Stammdaten[Rank Verteilung Ovalität],0))</f>
        <v>#N/A</v>
      </c>
      <c r="AB4525" t="e">
        <f>VLOOKUP(Tabelle1014[[#This Row],[Rank]],Stammdaten[[Rank Verteilung Ovalität]:[Verteilung Ovalität]],2,FALSE)</f>
        <v>#N/A</v>
      </c>
    </row>
    <row r="4526" spans="5:28" x14ac:dyDescent="0.35">
      <c r="E4526">
        <v>4517</v>
      </c>
      <c r="F4526" t="e">
        <f>INDEX(Stammdaten[D Mitte mit Rinde (mm)],MATCH(Tabelle8[[#This Row],[Rank]],Stammdaten[Rank Verteilung D Mitte mit Rinde],0))</f>
        <v>#N/A</v>
      </c>
      <c r="G4526" t="e">
        <f>VLOOKUP(Tabelle8[[#This Row],[Rank]],Stammdaten[[Rank Verteilung D Mitte mit Rinde]:[Verteilung D Mitte mit Rinde]],2,FALSE)</f>
        <v>#N/A</v>
      </c>
      <c r="L4526">
        <v>4517</v>
      </c>
      <c r="M4526" t="e">
        <f>INDEX(Stammdaten[Abholzigkeit (mm/lfm)],MATCH(Tabelle9[[#This Row],[Rank]],Stammdaten[Rank Verteilung Abholzigkeit],0))</f>
        <v>#N/A</v>
      </c>
      <c r="N4526" t="e">
        <f>VLOOKUP(Tabelle9[[#This Row],[Rank]],Stammdaten[[Rank Verteilung Abholzigkeit]:[Verteilung Abholzigkeit]],2,FALSE)</f>
        <v>#N/A</v>
      </c>
      <c r="S4526">
        <v>4517</v>
      </c>
      <c r="T4526" t="e">
        <f>INDEX(Stammdaten[Krümmung (mm/lfm)],MATCH(Tabelle10[[#This Row],[Rank]],Stammdaten[Rank Verteilung Krümmung],0))</f>
        <v>#N/A</v>
      </c>
      <c r="U4526" t="e">
        <f>VLOOKUP(Tabelle10[[#This Row],[Rank]],Stammdaten[[Rank Verteilung Krümmung]:[Verteilung Krümmung]],2,FALSE)</f>
        <v>#N/A</v>
      </c>
      <c r="Z4526">
        <v>4517</v>
      </c>
      <c r="AA4526" t="e">
        <f>INDEX(Stammdaten[Ovalität (']0,1'])],MATCH(Tabelle1014[[#This Row],[Rank]],Stammdaten[Rank Verteilung Ovalität],0))</f>
        <v>#N/A</v>
      </c>
      <c r="AB4526" t="e">
        <f>VLOOKUP(Tabelle1014[[#This Row],[Rank]],Stammdaten[[Rank Verteilung Ovalität]:[Verteilung Ovalität]],2,FALSE)</f>
        <v>#N/A</v>
      </c>
    </row>
    <row r="4527" spans="5:28" x14ac:dyDescent="0.35">
      <c r="E4527">
        <v>4518</v>
      </c>
      <c r="F4527" t="e">
        <f>INDEX(Stammdaten[D Mitte mit Rinde (mm)],MATCH(Tabelle8[[#This Row],[Rank]],Stammdaten[Rank Verteilung D Mitte mit Rinde],0))</f>
        <v>#N/A</v>
      </c>
      <c r="G4527" t="e">
        <f>VLOOKUP(Tabelle8[[#This Row],[Rank]],Stammdaten[[Rank Verteilung D Mitte mit Rinde]:[Verteilung D Mitte mit Rinde]],2,FALSE)</f>
        <v>#N/A</v>
      </c>
      <c r="L4527">
        <v>4518</v>
      </c>
      <c r="M4527" t="e">
        <f>INDEX(Stammdaten[Abholzigkeit (mm/lfm)],MATCH(Tabelle9[[#This Row],[Rank]],Stammdaten[Rank Verteilung Abholzigkeit],0))</f>
        <v>#N/A</v>
      </c>
      <c r="N4527" t="e">
        <f>VLOOKUP(Tabelle9[[#This Row],[Rank]],Stammdaten[[Rank Verteilung Abholzigkeit]:[Verteilung Abholzigkeit]],2,FALSE)</f>
        <v>#N/A</v>
      </c>
      <c r="S4527">
        <v>4518</v>
      </c>
      <c r="T4527" t="e">
        <f>INDEX(Stammdaten[Krümmung (mm/lfm)],MATCH(Tabelle10[[#This Row],[Rank]],Stammdaten[Rank Verteilung Krümmung],0))</f>
        <v>#N/A</v>
      </c>
      <c r="U4527" t="e">
        <f>VLOOKUP(Tabelle10[[#This Row],[Rank]],Stammdaten[[Rank Verteilung Krümmung]:[Verteilung Krümmung]],2,FALSE)</f>
        <v>#N/A</v>
      </c>
      <c r="Z4527">
        <v>4518</v>
      </c>
      <c r="AA4527" t="e">
        <f>INDEX(Stammdaten[Ovalität (']0,1'])],MATCH(Tabelle1014[[#This Row],[Rank]],Stammdaten[Rank Verteilung Ovalität],0))</f>
        <v>#N/A</v>
      </c>
      <c r="AB4527" t="e">
        <f>VLOOKUP(Tabelle1014[[#This Row],[Rank]],Stammdaten[[Rank Verteilung Ovalität]:[Verteilung Ovalität]],2,FALSE)</f>
        <v>#N/A</v>
      </c>
    </row>
    <row r="4528" spans="5:28" x14ac:dyDescent="0.35">
      <c r="E4528">
        <v>4519</v>
      </c>
      <c r="F4528" t="e">
        <f>INDEX(Stammdaten[D Mitte mit Rinde (mm)],MATCH(Tabelle8[[#This Row],[Rank]],Stammdaten[Rank Verteilung D Mitte mit Rinde],0))</f>
        <v>#N/A</v>
      </c>
      <c r="G4528" t="e">
        <f>VLOOKUP(Tabelle8[[#This Row],[Rank]],Stammdaten[[Rank Verteilung D Mitte mit Rinde]:[Verteilung D Mitte mit Rinde]],2,FALSE)</f>
        <v>#N/A</v>
      </c>
      <c r="L4528">
        <v>4519</v>
      </c>
      <c r="M4528" t="e">
        <f>INDEX(Stammdaten[Abholzigkeit (mm/lfm)],MATCH(Tabelle9[[#This Row],[Rank]],Stammdaten[Rank Verteilung Abholzigkeit],0))</f>
        <v>#N/A</v>
      </c>
      <c r="N4528" t="e">
        <f>VLOOKUP(Tabelle9[[#This Row],[Rank]],Stammdaten[[Rank Verteilung Abholzigkeit]:[Verteilung Abholzigkeit]],2,FALSE)</f>
        <v>#N/A</v>
      </c>
      <c r="S4528">
        <v>4519</v>
      </c>
      <c r="T4528" t="e">
        <f>INDEX(Stammdaten[Krümmung (mm/lfm)],MATCH(Tabelle10[[#This Row],[Rank]],Stammdaten[Rank Verteilung Krümmung],0))</f>
        <v>#N/A</v>
      </c>
      <c r="U4528" t="e">
        <f>VLOOKUP(Tabelle10[[#This Row],[Rank]],Stammdaten[[Rank Verteilung Krümmung]:[Verteilung Krümmung]],2,FALSE)</f>
        <v>#N/A</v>
      </c>
      <c r="Z4528">
        <v>4519</v>
      </c>
      <c r="AA4528" t="e">
        <f>INDEX(Stammdaten[Ovalität (']0,1'])],MATCH(Tabelle1014[[#This Row],[Rank]],Stammdaten[Rank Verteilung Ovalität],0))</f>
        <v>#N/A</v>
      </c>
      <c r="AB4528" t="e">
        <f>VLOOKUP(Tabelle1014[[#This Row],[Rank]],Stammdaten[[Rank Verteilung Ovalität]:[Verteilung Ovalität]],2,FALSE)</f>
        <v>#N/A</v>
      </c>
    </row>
    <row r="4529" spans="5:28" x14ac:dyDescent="0.35">
      <c r="E4529">
        <v>4520</v>
      </c>
      <c r="F4529" t="e">
        <f>INDEX(Stammdaten[D Mitte mit Rinde (mm)],MATCH(Tabelle8[[#This Row],[Rank]],Stammdaten[Rank Verteilung D Mitte mit Rinde],0))</f>
        <v>#N/A</v>
      </c>
      <c r="G4529" t="e">
        <f>VLOOKUP(Tabelle8[[#This Row],[Rank]],Stammdaten[[Rank Verteilung D Mitte mit Rinde]:[Verteilung D Mitte mit Rinde]],2,FALSE)</f>
        <v>#N/A</v>
      </c>
      <c r="L4529">
        <v>4520</v>
      </c>
      <c r="M4529" t="e">
        <f>INDEX(Stammdaten[Abholzigkeit (mm/lfm)],MATCH(Tabelle9[[#This Row],[Rank]],Stammdaten[Rank Verteilung Abholzigkeit],0))</f>
        <v>#N/A</v>
      </c>
      <c r="N4529" t="e">
        <f>VLOOKUP(Tabelle9[[#This Row],[Rank]],Stammdaten[[Rank Verteilung Abholzigkeit]:[Verteilung Abholzigkeit]],2,FALSE)</f>
        <v>#N/A</v>
      </c>
      <c r="S4529">
        <v>4520</v>
      </c>
      <c r="T4529" t="e">
        <f>INDEX(Stammdaten[Krümmung (mm/lfm)],MATCH(Tabelle10[[#This Row],[Rank]],Stammdaten[Rank Verteilung Krümmung],0))</f>
        <v>#N/A</v>
      </c>
      <c r="U4529" t="e">
        <f>VLOOKUP(Tabelle10[[#This Row],[Rank]],Stammdaten[[Rank Verteilung Krümmung]:[Verteilung Krümmung]],2,FALSE)</f>
        <v>#N/A</v>
      </c>
      <c r="Z4529">
        <v>4520</v>
      </c>
      <c r="AA4529" t="e">
        <f>INDEX(Stammdaten[Ovalität (']0,1'])],MATCH(Tabelle1014[[#This Row],[Rank]],Stammdaten[Rank Verteilung Ovalität],0))</f>
        <v>#N/A</v>
      </c>
      <c r="AB4529" t="e">
        <f>VLOOKUP(Tabelle1014[[#This Row],[Rank]],Stammdaten[[Rank Verteilung Ovalität]:[Verteilung Ovalität]],2,FALSE)</f>
        <v>#N/A</v>
      </c>
    </row>
    <row r="4530" spans="5:28" x14ac:dyDescent="0.35">
      <c r="E4530">
        <v>4521</v>
      </c>
      <c r="F4530" t="e">
        <f>INDEX(Stammdaten[D Mitte mit Rinde (mm)],MATCH(Tabelle8[[#This Row],[Rank]],Stammdaten[Rank Verteilung D Mitte mit Rinde],0))</f>
        <v>#N/A</v>
      </c>
      <c r="G4530" t="e">
        <f>VLOOKUP(Tabelle8[[#This Row],[Rank]],Stammdaten[[Rank Verteilung D Mitte mit Rinde]:[Verteilung D Mitte mit Rinde]],2,FALSE)</f>
        <v>#N/A</v>
      </c>
      <c r="L4530">
        <v>4521</v>
      </c>
      <c r="M4530" t="e">
        <f>INDEX(Stammdaten[Abholzigkeit (mm/lfm)],MATCH(Tabelle9[[#This Row],[Rank]],Stammdaten[Rank Verteilung Abholzigkeit],0))</f>
        <v>#N/A</v>
      </c>
      <c r="N4530" t="e">
        <f>VLOOKUP(Tabelle9[[#This Row],[Rank]],Stammdaten[[Rank Verteilung Abholzigkeit]:[Verteilung Abholzigkeit]],2,FALSE)</f>
        <v>#N/A</v>
      </c>
      <c r="S4530">
        <v>4521</v>
      </c>
      <c r="T4530" t="e">
        <f>INDEX(Stammdaten[Krümmung (mm/lfm)],MATCH(Tabelle10[[#This Row],[Rank]],Stammdaten[Rank Verteilung Krümmung],0))</f>
        <v>#N/A</v>
      </c>
      <c r="U4530" t="e">
        <f>VLOOKUP(Tabelle10[[#This Row],[Rank]],Stammdaten[[Rank Verteilung Krümmung]:[Verteilung Krümmung]],2,FALSE)</f>
        <v>#N/A</v>
      </c>
      <c r="Z4530">
        <v>4521</v>
      </c>
      <c r="AA4530" t="e">
        <f>INDEX(Stammdaten[Ovalität (']0,1'])],MATCH(Tabelle1014[[#This Row],[Rank]],Stammdaten[Rank Verteilung Ovalität],0))</f>
        <v>#N/A</v>
      </c>
      <c r="AB4530" t="e">
        <f>VLOOKUP(Tabelle1014[[#This Row],[Rank]],Stammdaten[[Rank Verteilung Ovalität]:[Verteilung Ovalität]],2,FALSE)</f>
        <v>#N/A</v>
      </c>
    </row>
    <row r="4531" spans="5:28" x14ac:dyDescent="0.35">
      <c r="E4531">
        <v>4522</v>
      </c>
      <c r="F4531" t="e">
        <f>INDEX(Stammdaten[D Mitte mit Rinde (mm)],MATCH(Tabelle8[[#This Row],[Rank]],Stammdaten[Rank Verteilung D Mitte mit Rinde],0))</f>
        <v>#N/A</v>
      </c>
      <c r="G4531" t="e">
        <f>VLOOKUP(Tabelle8[[#This Row],[Rank]],Stammdaten[[Rank Verteilung D Mitte mit Rinde]:[Verteilung D Mitte mit Rinde]],2,FALSE)</f>
        <v>#N/A</v>
      </c>
      <c r="L4531">
        <v>4522</v>
      </c>
      <c r="M4531" t="e">
        <f>INDEX(Stammdaten[Abholzigkeit (mm/lfm)],MATCH(Tabelle9[[#This Row],[Rank]],Stammdaten[Rank Verteilung Abholzigkeit],0))</f>
        <v>#N/A</v>
      </c>
      <c r="N4531" t="e">
        <f>VLOOKUP(Tabelle9[[#This Row],[Rank]],Stammdaten[[Rank Verteilung Abholzigkeit]:[Verteilung Abholzigkeit]],2,FALSE)</f>
        <v>#N/A</v>
      </c>
      <c r="S4531">
        <v>4522</v>
      </c>
      <c r="T4531" t="e">
        <f>INDEX(Stammdaten[Krümmung (mm/lfm)],MATCH(Tabelle10[[#This Row],[Rank]],Stammdaten[Rank Verteilung Krümmung],0))</f>
        <v>#N/A</v>
      </c>
      <c r="U4531" t="e">
        <f>VLOOKUP(Tabelle10[[#This Row],[Rank]],Stammdaten[[Rank Verteilung Krümmung]:[Verteilung Krümmung]],2,FALSE)</f>
        <v>#N/A</v>
      </c>
      <c r="Z4531">
        <v>4522</v>
      </c>
      <c r="AA4531" t="e">
        <f>INDEX(Stammdaten[Ovalität (']0,1'])],MATCH(Tabelle1014[[#This Row],[Rank]],Stammdaten[Rank Verteilung Ovalität],0))</f>
        <v>#N/A</v>
      </c>
      <c r="AB4531" t="e">
        <f>VLOOKUP(Tabelle1014[[#This Row],[Rank]],Stammdaten[[Rank Verteilung Ovalität]:[Verteilung Ovalität]],2,FALSE)</f>
        <v>#N/A</v>
      </c>
    </row>
    <row r="4532" spans="5:28" x14ac:dyDescent="0.35">
      <c r="E4532">
        <v>4523</v>
      </c>
      <c r="F4532" t="e">
        <f>INDEX(Stammdaten[D Mitte mit Rinde (mm)],MATCH(Tabelle8[[#This Row],[Rank]],Stammdaten[Rank Verteilung D Mitte mit Rinde],0))</f>
        <v>#N/A</v>
      </c>
      <c r="G4532" t="e">
        <f>VLOOKUP(Tabelle8[[#This Row],[Rank]],Stammdaten[[Rank Verteilung D Mitte mit Rinde]:[Verteilung D Mitte mit Rinde]],2,FALSE)</f>
        <v>#N/A</v>
      </c>
      <c r="L4532">
        <v>4523</v>
      </c>
      <c r="M4532" t="e">
        <f>INDEX(Stammdaten[Abholzigkeit (mm/lfm)],MATCH(Tabelle9[[#This Row],[Rank]],Stammdaten[Rank Verteilung Abholzigkeit],0))</f>
        <v>#N/A</v>
      </c>
      <c r="N4532" t="e">
        <f>VLOOKUP(Tabelle9[[#This Row],[Rank]],Stammdaten[[Rank Verteilung Abholzigkeit]:[Verteilung Abholzigkeit]],2,FALSE)</f>
        <v>#N/A</v>
      </c>
      <c r="S4532">
        <v>4523</v>
      </c>
      <c r="T4532" t="e">
        <f>INDEX(Stammdaten[Krümmung (mm/lfm)],MATCH(Tabelle10[[#This Row],[Rank]],Stammdaten[Rank Verteilung Krümmung],0))</f>
        <v>#N/A</v>
      </c>
      <c r="U4532" t="e">
        <f>VLOOKUP(Tabelle10[[#This Row],[Rank]],Stammdaten[[Rank Verteilung Krümmung]:[Verteilung Krümmung]],2,FALSE)</f>
        <v>#N/A</v>
      </c>
      <c r="Z4532">
        <v>4523</v>
      </c>
      <c r="AA4532" t="e">
        <f>INDEX(Stammdaten[Ovalität (']0,1'])],MATCH(Tabelle1014[[#This Row],[Rank]],Stammdaten[Rank Verteilung Ovalität],0))</f>
        <v>#N/A</v>
      </c>
      <c r="AB4532" t="e">
        <f>VLOOKUP(Tabelle1014[[#This Row],[Rank]],Stammdaten[[Rank Verteilung Ovalität]:[Verteilung Ovalität]],2,FALSE)</f>
        <v>#N/A</v>
      </c>
    </row>
    <row r="4533" spans="5:28" x14ac:dyDescent="0.35">
      <c r="E4533">
        <v>4524</v>
      </c>
      <c r="F4533" t="e">
        <f>INDEX(Stammdaten[D Mitte mit Rinde (mm)],MATCH(Tabelle8[[#This Row],[Rank]],Stammdaten[Rank Verteilung D Mitte mit Rinde],0))</f>
        <v>#N/A</v>
      </c>
      <c r="G4533" t="e">
        <f>VLOOKUP(Tabelle8[[#This Row],[Rank]],Stammdaten[[Rank Verteilung D Mitte mit Rinde]:[Verteilung D Mitte mit Rinde]],2,FALSE)</f>
        <v>#N/A</v>
      </c>
      <c r="L4533">
        <v>4524</v>
      </c>
      <c r="M4533" t="e">
        <f>INDEX(Stammdaten[Abholzigkeit (mm/lfm)],MATCH(Tabelle9[[#This Row],[Rank]],Stammdaten[Rank Verteilung Abholzigkeit],0))</f>
        <v>#N/A</v>
      </c>
      <c r="N4533" t="e">
        <f>VLOOKUP(Tabelle9[[#This Row],[Rank]],Stammdaten[[Rank Verteilung Abholzigkeit]:[Verteilung Abholzigkeit]],2,FALSE)</f>
        <v>#N/A</v>
      </c>
      <c r="S4533">
        <v>4524</v>
      </c>
      <c r="T4533" t="e">
        <f>INDEX(Stammdaten[Krümmung (mm/lfm)],MATCH(Tabelle10[[#This Row],[Rank]],Stammdaten[Rank Verteilung Krümmung],0))</f>
        <v>#N/A</v>
      </c>
      <c r="U4533" t="e">
        <f>VLOOKUP(Tabelle10[[#This Row],[Rank]],Stammdaten[[Rank Verteilung Krümmung]:[Verteilung Krümmung]],2,FALSE)</f>
        <v>#N/A</v>
      </c>
      <c r="Z4533">
        <v>4524</v>
      </c>
      <c r="AA4533" t="e">
        <f>INDEX(Stammdaten[Ovalität (']0,1'])],MATCH(Tabelle1014[[#This Row],[Rank]],Stammdaten[Rank Verteilung Ovalität],0))</f>
        <v>#N/A</v>
      </c>
      <c r="AB4533" t="e">
        <f>VLOOKUP(Tabelle1014[[#This Row],[Rank]],Stammdaten[[Rank Verteilung Ovalität]:[Verteilung Ovalität]],2,FALSE)</f>
        <v>#N/A</v>
      </c>
    </row>
    <row r="4534" spans="5:28" x14ac:dyDescent="0.35">
      <c r="E4534">
        <v>4525</v>
      </c>
      <c r="F4534" t="e">
        <f>INDEX(Stammdaten[D Mitte mit Rinde (mm)],MATCH(Tabelle8[[#This Row],[Rank]],Stammdaten[Rank Verteilung D Mitte mit Rinde],0))</f>
        <v>#N/A</v>
      </c>
      <c r="G4534" t="e">
        <f>VLOOKUP(Tabelle8[[#This Row],[Rank]],Stammdaten[[Rank Verteilung D Mitte mit Rinde]:[Verteilung D Mitte mit Rinde]],2,FALSE)</f>
        <v>#N/A</v>
      </c>
      <c r="L4534">
        <v>4525</v>
      </c>
      <c r="M4534" t="e">
        <f>INDEX(Stammdaten[Abholzigkeit (mm/lfm)],MATCH(Tabelle9[[#This Row],[Rank]],Stammdaten[Rank Verteilung Abholzigkeit],0))</f>
        <v>#N/A</v>
      </c>
      <c r="N4534" t="e">
        <f>VLOOKUP(Tabelle9[[#This Row],[Rank]],Stammdaten[[Rank Verteilung Abholzigkeit]:[Verteilung Abholzigkeit]],2,FALSE)</f>
        <v>#N/A</v>
      </c>
      <c r="S4534">
        <v>4525</v>
      </c>
      <c r="T4534" t="e">
        <f>INDEX(Stammdaten[Krümmung (mm/lfm)],MATCH(Tabelle10[[#This Row],[Rank]],Stammdaten[Rank Verteilung Krümmung],0))</f>
        <v>#N/A</v>
      </c>
      <c r="U4534" t="e">
        <f>VLOOKUP(Tabelle10[[#This Row],[Rank]],Stammdaten[[Rank Verteilung Krümmung]:[Verteilung Krümmung]],2,FALSE)</f>
        <v>#N/A</v>
      </c>
      <c r="Z4534">
        <v>4525</v>
      </c>
      <c r="AA4534" t="e">
        <f>INDEX(Stammdaten[Ovalität (']0,1'])],MATCH(Tabelle1014[[#This Row],[Rank]],Stammdaten[Rank Verteilung Ovalität],0))</f>
        <v>#N/A</v>
      </c>
      <c r="AB4534" t="e">
        <f>VLOOKUP(Tabelle1014[[#This Row],[Rank]],Stammdaten[[Rank Verteilung Ovalität]:[Verteilung Ovalität]],2,FALSE)</f>
        <v>#N/A</v>
      </c>
    </row>
    <row r="4535" spans="5:28" x14ac:dyDescent="0.35">
      <c r="E4535">
        <v>4526</v>
      </c>
      <c r="F4535" t="e">
        <f>INDEX(Stammdaten[D Mitte mit Rinde (mm)],MATCH(Tabelle8[[#This Row],[Rank]],Stammdaten[Rank Verteilung D Mitte mit Rinde],0))</f>
        <v>#N/A</v>
      </c>
      <c r="G4535" t="e">
        <f>VLOOKUP(Tabelle8[[#This Row],[Rank]],Stammdaten[[Rank Verteilung D Mitte mit Rinde]:[Verteilung D Mitte mit Rinde]],2,FALSE)</f>
        <v>#N/A</v>
      </c>
      <c r="L4535">
        <v>4526</v>
      </c>
      <c r="M4535" t="e">
        <f>INDEX(Stammdaten[Abholzigkeit (mm/lfm)],MATCH(Tabelle9[[#This Row],[Rank]],Stammdaten[Rank Verteilung Abholzigkeit],0))</f>
        <v>#N/A</v>
      </c>
      <c r="N4535" t="e">
        <f>VLOOKUP(Tabelle9[[#This Row],[Rank]],Stammdaten[[Rank Verteilung Abholzigkeit]:[Verteilung Abholzigkeit]],2,FALSE)</f>
        <v>#N/A</v>
      </c>
      <c r="S4535">
        <v>4526</v>
      </c>
      <c r="T4535" t="e">
        <f>INDEX(Stammdaten[Krümmung (mm/lfm)],MATCH(Tabelle10[[#This Row],[Rank]],Stammdaten[Rank Verteilung Krümmung],0))</f>
        <v>#N/A</v>
      </c>
      <c r="U4535" t="e">
        <f>VLOOKUP(Tabelle10[[#This Row],[Rank]],Stammdaten[[Rank Verteilung Krümmung]:[Verteilung Krümmung]],2,FALSE)</f>
        <v>#N/A</v>
      </c>
      <c r="Z4535">
        <v>4526</v>
      </c>
      <c r="AA4535" t="e">
        <f>INDEX(Stammdaten[Ovalität (']0,1'])],MATCH(Tabelle1014[[#This Row],[Rank]],Stammdaten[Rank Verteilung Ovalität],0))</f>
        <v>#N/A</v>
      </c>
      <c r="AB4535" t="e">
        <f>VLOOKUP(Tabelle1014[[#This Row],[Rank]],Stammdaten[[Rank Verteilung Ovalität]:[Verteilung Ovalität]],2,FALSE)</f>
        <v>#N/A</v>
      </c>
    </row>
    <row r="4536" spans="5:28" x14ac:dyDescent="0.35">
      <c r="E4536">
        <v>4527</v>
      </c>
      <c r="F4536" t="e">
        <f>INDEX(Stammdaten[D Mitte mit Rinde (mm)],MATCH(Tabelle8[[#This Row],[Rank]],Stammdaten[Rank Verteilung D Mitte mit Rinde],0))</f>
        <v>#N/A</v>
      </c>
      <c r="G4536" t="e">
        <f>VLOOKUP(Tabelle8[[#This Row],[Rank]],Stammdaten[[Rank Verteilung D Mitte mit Rinde]:[Verteilung D Mitte mit Rinde]],2,FALSE)</f>
        <v>#N/A</v>
      </c>
      <c r="L4536">
        <v>4527</v>
      </c>
      <c r="M4536" t="e">
        <f>INDEX(Stammdaten[Abholzigkeit (mm/lfm)],MATCH(Tabelle9[[#This Row],[Rank]],Stammdaten[Rank Verteilung Abholzigkeit],0))</f>
        <v>#N/A</v>
      </c>
      <c r="N4536" t="e">
        <f>VLOOKUP(Tabelle9[[#This Row],[Rank]],Stammdaten[[Rank Verteilung Abholzigkeit]:[Verteilung Abholzigkeit]],2,FALSE)</f>
        <v>#N/A</v>
      </c>
      <c r="S4536">
        <v>4527</v>
      </c>
      <c r="T4536" t="e">
        <f>INDEX(Stammdaten[Krümmung (mm/lfm)],MATCH(Tabelle10[[#This Row],[Rank]],Stammdaten[Rank Verteilung Krümmung],0))</f>
        <v>#N/A</v>
      </c>
      <c r="U4536" t="e">
        <f>VLOOKUP(Tabelle10[[#This Row],[Rank]],Stammdaten[[Rank Verteilung Krümmung]:[Verteilung Krümmung]],2,FALSE)</f>
        <v>#N/A</v>
      </c>
      <c r="Z4536">
        <v>4527</v>
      </c>
      <c r="AA4536" t="e">
        <f>INDEX(Stammdaten[Ovalität (']0,1'])],MATCH(Tabelle1014[[#This Row],[Rank]],Stammdaten[Rank Verteilung Ovalität],0))</f>
        <v>#N/A</v>
      </c>
      <c r="AB4536" t="e">
        <f>VLOOKUP(Tabelle1014[[#This Row],[Rank]],Stammdaten[[Rank Verteilung Ovalität]:[Verteilung Ovalität]],2,FALSE)</f>
        <v>#N/A</v>
      </c>
    </row>
    <row r="4537" spans="5:28" x14ac:dyDescent="0.35">
      <c r="E4537">
        <v>4528</v>
      </c>
      <c r="F4537" t="e">
        <f>INDEX(Stammdaten[D Mitte mit Rinde (mm)],MATCH(Tabelle8[[#This Row],[Rank]],Stammdaten[Rank Verteilung D Mitte mit Rinde],0))</f>
        <v>#N/A</v>
      </c>
      <c r="G4537" t="e">
        <f>VLOOKUP(Tabelle8[[#This Row],[Rank]],Stammdaten[[Rank Verteilung D Mitte mit Rinde]:[Verteilung D Mitte mit Rinde]],2,FALSE)</f>
        <v>#N/A</v>
      </c>
      <c r="L4537">
        <v>4528</v>
      </c>
      <c r="M4537" t="e">
        <f>INDEX(Stammdaten[Abholzigkeit (mm/lfm)],MATCH(Tabelle9[[#This Row],[Rank]],Stammdaten[Rank Verteilung Abholzigkeit],0))</f>
        <v>#N/A</v>
      </c>
      <c r="N4537" t="e">
        <f>VLOOKUP(Tabelle9[[#This Row],[Rank]],Stammdaten[[Rank Verteilung Abholzigkeit]:[Verteilung Abholzigkeit]],2,FALSE)</f>
        <v>#N/A</v>
      </c>
      <c r="S4537">
        <v>4528</v>
      </c>
      <c r="T4537" t="e">
        <f>INDEX(Stammdaten[Krümmung (mm/lfm)],MATCH(Tabelle10[[#This Row],[Rank]],Stammdaten[Rank Verteilung Krümmung],0))</f>
        <v>#N/A</v>
      </c>
      <c r="U4537" t="e">
        <f>VLOOKUP(Tabelle10[[#This Row],[Rank]],Stammdaten[[Rank Verteilung Krümmung]:[Verteilung Krümmung]],2,FALSE)</f>
        <v>#N/A</v>
      </c>
      <c r="Z4537">
        <v>4528</v>
      </c>
      <c r="AA4537" t="e">
        <f>INDEX(Stammdaten[Ovalität (']0,1'])],MATCH(Tabelle1014[[#This Row],[Rank]],Stammdaten[Rank Verteilung Ovalität],0))</f>
        <v>#N/A</v>
      </c>
      <c r="AB4537" t="e">
        <f>VLOOKUP(Tabelle1014[[#This Row],[Rank]],Stammdaten[[Rank Verteilung Ovalität]:[Verteilung Ovalität]],2,FALSE)</f>
        <v>#N/A</v>
      </c>
    </row>
    <row r="4538" spans="5:28" x14ac:dyDescent="0.35">
      <c r="E4538">
        <v>4529</v>
      </c>
      <c r="F4538" t="e">
        <f>INDEX(Stammdaten[D Mitte mit Rinde (mm)],MATCH(Tabelle8[[#This Row],[Rank]],Stammdaten[Rank Verteilung D Mitte mit Rinde],0))</f>
        <v>#N/A</v>
      </c>
      <c r="G4538" t="e">
        <f>VLOOKUP(Tabelle8[[#This Row],[Rank]],Stammdaten[[Rank Verteilung D Mitte mit Rinde]:[Verteilung D Mitte mit Rinde]],2,FALSE)</f>
        <v>#N/A</v>
      </c>
      <c r="L4538">
        <v>4529</v>
      </c>
      <c r="M4538" t="e">
        <f>INDEX(Stammdaten[Abholzigkeit (mm/lfm)],MATCH(Tabelle9[[#This Row],[Rank]],Stammdaten[Rank Verteilung Abholzigkeit],0))</f>
        <v>#N/A</v>
      </c>
      <c r="N4538" t="e">
        <f>VLOOKUP(Tabelle9[[#This Row],[Rank]],Stammdaten[[Rank Verteilung Abholzigkeit]:[Verteilung Abholzigkeit]],2,FALSE)</f>
        <v>#N/A</v>
      </c>
      <c r="S4538">
        <v>4529</v>
      </c>
      <c r="T4538" t="e">
        <f>INDEX(Stammdaten[Krümmung (mm/lfm)],MATCH(Tabelle10[[#This Row],[Rank]],Stammdaten[Rank Verteilung Krümmung],0))</f>
        <v>#N/A</v>
      </c>
      <c r="U4538" t="e">
        <f>VLOOKUP(Tabelle10[[#This Row],[Rank]],Stammdaten[[Rank Verteilung Krümmung]:[Verteilung Krümmung]],2,FALSE)</f>
        <v>#N/A</v>
      </c>
      <c r="Z4538">
        <v>4529</v>
      </c>
      <c r="AA4538" t="e">
        <f>INDEX(Stammdaten[Ovalität (']0,1'])],MATCH(Tabelle1014[[#This Row],[Rank]],Stammdaten[Rank Verteilung Ovalität],0))</f>
        <v>#N/A</v>
      </c>
      <c r="AB4538" t="e">
        <f>VLOOKUP(Tabelle1014[[#This Row],[Rank]],Stammdaten[[Rank Verteilung Ovalität]:[Verteilung Ovalität]],2,FALSE)</f>
        <v>#N/A</v>
      </c>
    </row>
    <row r="4539" spans="5:28" x14ac:dyDescent="0.35">
      <c r="E4539">
        <v>4530</v>
      </c>
      <c r="F4539" t="e">
        <f>INDEX(Stammdaten[D Mitte mit Rinde (mm)],MATCH(Tabelle8[[#This Row],[Rank]],Stammdaten[Rank Verteilung D Mitte mit Rinde],0))</f>
        <v>#N/A</v>
      </c>
      <c r="G4539" t="e">
        <f>VLOOKUP(Tabelle8[[#This Row],[Rank]],Stammdaten[[Rank Verteilung D Mitte mit Rinde]:[Verteilung D Mitte mit Rinde]],2,FALSE)</f>
        <v>#N/A</v>
      </c>
      <c r="L4539">
        <v>4530</v>
      </c>
      <c r="M4539" t="e">
        <f>INDEX(Stammdaten[Abholzigkeit (mm/lfm)],MATCH(Tabelle9[[#This Row],[Rank]],Stammdaten[Rank Verteilung Abholzigkeit],0))</f>
        <v>#N/A</v>
      </c>
      <c r="N4539" t="e">
        <f>VLOOKUP(Tabelle9[[#This Row],[Rank]],Stammdaten[[Rank Verteilung Abholzigkeit]:[Verteilung Abholzigkeit]],2,FALSE)</f>
        <v>#N/A</v>
      </c>
      <c r="S4539">
        <v>4530</v>
      </c>
      <c r="T4539" t="e">
        <f>INDEX(Stammdaten[Krümmung (mm/lfm)],MATCH(Tabelle10[[#This Row],[Rank]],Stammdaten[Rank Verteilung Krümmung],0))</f>
        <v>#N/A</v>
      </c>
      <c r="U4539" t="e">
        <f>VLOOKUP(Tabelle10[[#This Row],[Rank]],Stammdaten[[Rank Verteilung Krümmung]:[Verteilung Krümmung]],2,FALSE)</f>
        <v>#N/A</v>
      </c>
      <c r="Z4539">
        <v>4530</v>
      </c>
      <c r="AA4539" t="e">
        <f>INDEX(Stammdaten[Ovalität (']0,1'])],MATCH(Tabelle1014[[#This Row],[Rank]],Stammdaten[Rank Verteilung Ovalität],0))</f>
        <v>#N/A</v>
      </c>
      <c r="AB4539" t="e">
        <f>VLOOKUP(Tabelle1014[[#This Row],[Rank]],Stammdaten[[Rank Verteilung Ovalität]:[Verteilung Ovalität]],2,FALSE)</f>
        <v>#N/A</v>
      </c>
    </row>
    <row r="4540" spans="5:28" x14ac:dyDescent="0.35">
      <c r="E4540">
        <v>4531</v>
      </c>
      <c r="F4540" t="e">
        <f>INDEX(Stammdaten[D Mitte mit Rinde (mm)],MATCH(Tabelle8[[#This Row],[Rank]],Stammdaten[Rank Verteilung D Mitte mit Rinde],0))</f>
        <v>#N/A</v>
      </c>
      <c r="G4540" t="e">
        <f>VLOOKUP(Tabelle8[[#This Row],[Rank]],Stammdaten[[Rank Verteilung D Mitte mit Rinde]:[Verteilung D Mitte mit Rinde]],2,FALSE)</f>
        <v>#N/A</v>
      </c>
      <c r="L4540">
        <v>4531</v>
      </c>
      <c r="M4540" t="e">
        <f>INDEX(Stammdaten[Abholzigkeit (mm/lfm)],MATCH(Tabelle9[[#This Row],[Rank]],Stammdaten[Rank Verteilung Abholzigkeit],0))</f>
        <v>#N/A</v>
      </c>
      <c r="N4540" t="e">
        <f>VLOOKUP(Tabelle9[[#This Row],[Rank]],Stammdaten[[Rank Verteilung Abholzigkeit]:[Verteilung Abholzigkeit]],2,FALSE)</f>
        <v>#N/A</v>
      </c>
      <c r="S4540">
        <v>4531</v>
      </c>
      <c r="T4540" t="e">
        <f>INDEX(Stammdaten[Krümmung (mm/lfm)],MATCH(Tabelle10[[#This Row],[Rank]],Stammdaten[Rank Verteilung Krümmung],0))</f>
        <v>#N/A</v>
      </c>
      <c r="U4540" t="e">
        <f>VLOOKUP(Tabelle10[[#This Row],[Rank]],Stammdaten[[Rank Verteilung Krümmung]:[Verteilung Krümmung]],2,FALSE)</f>
        <v>#N/A</v>
      </c>
      <c r="Z4540">
        <v>4531</v>
      </c>
      <c r="AA4540" t="e">
        <f>INDEX(Stammdaten[Ovalität (']0,1'])],MATCH(Tabelle1014[[#This Row],[Rank]],Stammdaten[Rank Verteilung Ovalität],0))</f>
        <v>#N/A</v>
      </c>
      <c r="AB4540" t="e">
        <f>VLOOKUP(Tabelle1014[[#This Row],[Rank]],Stammdaten[[Rank Verteilung Ovalität]:[Verteilung Ovalität]],2,FALSE)</f>
        <v>#N/A</v>
      </c>
    </row>
    <row r="4541" spans="5:28" x14ac:dyDescent="0.35">
      <c r="E4541">
        <v>4532</v>
      </c>
      <c r="F4541" t="e">
        <f>INDEX(Stammdaten[D Mitte mit Rinde (mm)],MATCH(Tabelle8[[#This Row],[Rank]],Stammdaten[Rank Verteilung D Mitte mit Rinde],0))</f>
        <v>#N/A</v>
      </c>
      <c r="G4541" t="e">
        <f>VLOOKUP(Tabelle8[[#This Row],[Rank]],Stammdaten[[Rank Verteilung D Mitte mit Rinde]:[Verteilung D Mitte mit Rinde]],2,FALSE)</f>
        <v>#N/A</v>
      </c>
      <c r="L4541">
        <v>4532</v>
      </c>
      <c r="M4541" t="e">
        <f>INDEX(Stammdaten[Abholzigkeit (mm/lfm)],MATCH(Tabelle9[[#This Row],[Rank]],Stammdaten[Rank Verteilung Abholzigkeit],0))</f>
        <v>#N/A</v>
      </c>
      <c r="N4541" t="e">
        <f>VLOOKUP(Tabelle9[[#This Row],[Rank]],Stammdaten[[Rank Verteilung Abholzigkeit]:[Verteilung Abholzigkeit]],2,FALSE)</f>
        <v>#N/A</v>
      </c>
      <c r="S4541">
        <v>4532</v>
      </c>
      <c r="T4541" t="e">
        <f>INDEX(Stammdaten[Krümmung (mm/lfm)],MATCH(Tabelle10[[#This Row],[Rank]],Stammdaten[Rank Verteilung Krümmung],0))</f>
        <v>#N/A</v>
      </c>
      <c r="U4541" t="e">
        <f>VLOOKUP(Tabelle10[[#This Row],[Rank]],Stammdaten[[Rank Verteilung Krümmung]:[Verteilung Krümmung]],2,FALSE)</f>
        <v>#N/A</v>
      </c>
      <c r="Z4541">
        <v>4532</v>
      </c>
      <c r="AA4541" t="e">
        <f>INDEX(Stammdaten[Ovalität (']0,1'])],MATCH(Tabelle1014[[#This Row],[Rank]],Stammdaten[Rank Verteilung Ovalität],0))</f>
        <v>#N/A</v>
      </c>
      <c r="AB4541" t="e">
        <f>VLOOKUP(Tabelle1014[[#This Row],[Rank]],Stammdaten[[Rank Verteilung Ovalität]:[Verteilung Ovalität]],2,FALSE)</f>
        <v>#N/A</v>
      </c>
    </row>
    <row r="4542" spans="5:28" x14ac:dyDescent="0.35">
      <c r="E4542">
        <v>4533</v>
      </c>
      <c r="F4542" t="e">
        <f>INDEX(Stammdaten[D Mitte mit Rinde (mm)],MATCH(Tabelle8[[#This Row],[Rank]],Stammdaten[Rank Verteilung D Mitte mit Rinde],0))</f>
        <v>#N/A</v>
      </c>
      <c r="G4542" t="e">
        <f>VLOOKUP(Tabelle8[[#This Row],[Rank]],Stammdaten[[Rank Verteilung D Mitte mit Rinde]:[Verteilung D Mitte mit Rinde]],2,FALSE)</f>
        <v>#N/A</v>
      </c>
      <c r="L4542">
        <v>4533</v>
      </c>
      <c r="M4542" t="e">
        <f>INDEX(Stammdaten[Abholzigkeit (mm/lfm)],MATCH(Tabelle9[[#This Row],[Rank]],Stammdaten[Rank Verteilung Abholzigkeit],0))</f>
        <v>#N/A</v>
      </c>
      <c r="N4542" t="e">
        <f>VLOOKUP(Tabelle9[[#This Row],[Rank]],Stammdaten[[Rank Verteilung Abholzigkeit]:[Verteilung Abholzigkeit]],2,FALSE)</f>
        <v>#N/A</v>
      </c>
      <c r="S4542">
        <v>4533</v>
      </c>
      <c r="T4542" t="e">
        <f>INDEX(Stammdaten[Krümmung (mm/lfm)],MATCH(Tabelle10[[#This Row],[Rank]],Stammdaten[Rank Verteilung Krümmung],0))</f>
        <v>#N/A</v>
      </c>
      <c r="U4542" t="e">
        <f>VLOOKUP(Tabelle10[[#This Row],[Rank]],Stammdaten[[Rank Verteilung Krümmung]:[Verteilung Krümmung]],2,FALSE)</f>
        <v>#N/A</v>
      </c>
      <c r="Z4542">
        <v>4533</v>
      </c>
      <c r="AA4542" t="e">
        <f>INDEX(Stammdaten[Ovalität (']0,1'])],MATCH(Tabelle1014[[#This Row],[Rank]],Stammdaten[Rank Verteilung Ovalität],0))</f>
        <v>#N/A</v>
      </c>
      <c r="AB4542" t="e">
        <f>VLOOKUP(Tabelle1014[[#This Row],[Rank]],Stammdaten[[Rank Verteilung Ovalität]:[Verteilung Ovalität]],2,FALSE)</f>
        <v>#N/A</v>
      </c>
    </row>
    <row r="4543" spans="5:28" x14ac:dyDescent="0.35">
      <c r="E4543">
        <v>4534</v>
      </c>
      <c r="F4543" t="e">
        <f>INDEX(Stammdaten[D Mitte mit Rinde (mm)],MATCH(Tabelle8[[#This Row],[Rank]],Stammdaten[Rank Verteilung D Mitte mit Rinde],0))</f>
        <v>#N/A</v>
      </c>
      <c r="G4543" t="e">
        <f>VLOOKUP(Tabelle8[[#This Row],[Rank]],Stammdaten[[Rank Verteilung D Mitte mit Rinde]:[Verteilung D Mitte mit Rinde]],2,FALSE)</f>
        <v>#N/A</v>
      </c>
      <c r="L4543">
        <v>4534</v>
      </c>
      <c r="M4543" t="e">
        <f>INDEX(Stammdaten[Abholzigkeit (mm/lfm)],MATCH(Tabelle9[[#This Row],[Rank]],Stammdaten[Rank Verteilung Abholzigkeit],0))</f>
        <v>#N/A</v>
      </c>
      <c r="N4543" t="e">
        <f>VLOOKUP(Tabelle9[[#This Row],[Rank]],Stammdaten[[Rank Verteilung Abholzigkeit]:[Verteilung Abholzigkeit]],2,FALSE)</f>
        <v>#N/A</v>
      </c>
      <c r="S4543">
        <v>4534</v>
      </c>
      <c r="T4543" t="e">
        <f>INDEX(Stammdaten[Krümmung (mm/lfm)],MATCH(Tabelle10[[#This Row],[Rank]],Stammdaten[Rank Verteilung Krümmung],0))</f>
        <v>#N/A</v>
      </c>
      <c r="U4543" t="e">
        <f>VLOOKUP(Tabelle10[[#This Row],[Rank]],Stammdaten[[Rank Verteilung Krümmung]:[Verteilung Krümmung]],2,FALSE)</f>
        <v>#N/A</v>
      </c>
      <c r="Z4543">
        <v>4534</v>
      </c>
      <c r="AA4543" t="e">
        <f>INDEX(Stammdaten[Ovalität (']0,1'])],MATCH(Tabelle1014[[#This Row],[Rank]],Stammdaten[Rank Verteilung Ovalität],0))</f>
        <v>#N/A</v>
      </c>
      <c r="AB4543" t="e">
        <f>VLOOKUP(Tabelle1014[[#This Row],[Rank]],Stammdaten[[Rank Verteilung Ovalität]:[Verteilung Ovalität]],2,FALSE)</f>
        <v>#N/A</v>
      </c>
    </row>
    <row r="4544" spans="5:28" x14ac:dyDescent="0.35">
      <c r="E4544">
        <v>4535</v>
      </c>
      <c r="F4544" t="e">
        <f>INDEX(Stammdaten[D Mitte mit Rinde (mm)],MATCH(Tabelle8[[#This Row],[Rank]],Stammdaten[Rank Verteilung D Mitte mit Rinde],0))</f>
        <v>#N/A</v>
      </c>
      <c r="G4544" t="e">
        <f>VLOOKUP(Tabelle8[[#This Row],[Rank]],Stammdaten[[Rank Verteilung D Mitte mit Rinde]:[Verteilung D Mitte mit Rinde]],2,FALSE)</f>
        <v>#N/A</v>
      </c>
      <c r="L4544">
        <v>4535</v>
      </c>
      <c r="M4544" t="e">
        <f>INDEX(Stammdaten[Abholzigkeit (mm/lfm)],MATCH(Tabelle9[[#This Row],[Rank]],Stammdaten[Rank Verteilung Abholzigkeit],0))</f>
        <v>#N/A</v>
      </c>
      <c r="N4544" t="e">
        <f>VLOOKUP(Tabelle9[[#This Row],[Rank]],Stammdaten[[Rank Verteilung Abholzigkeit]:[Verteilung Abholzigkeit]],2,FALSE)</f>
        <v>#N/A</v>
      </c>
      <c r="S4544">
        <v>4535</v>
      </c>
      <c r="T4544" t="e">
        <f>INDEX(Stammdaten[Krümmung (mm/lfm)],MATCH(Tabelle10[[#This Row],[Rank]],Stammdaten[Rank Verteilung Krümmung],0))</f>
        <v>#N/A</v>
      </c>
      <c r="U4544" t="e">
        <f>VLOOKUP(Tabelle10[[#This Row],[Rank]],Stammdaten[[Rank Verteilung Krümmung]:[Verteilung Krümmung]],2,FALSE)</f>
        <v>#N/A</v>
      </c>
      <c r="Z4544">
        <v>4535</v>
      </c>
      <c r="AA4544" t="e">
        <f>INDEX(Stammdaten[Ovalität (']0,1'])],MATCH(Tabelle1014[[#This Row],[Rank]],Stammdaten[Rank Verteilung Ovalität],0))</f>
        <v>#N/A</v>
      </c>
      <c r="AB4544" t="e">
        <f>VLOOKUP(Tabelle1014[[#This Row],[Rank]],Stammdaten[[Rank Verteilung Ovalität]:[Verteilung Ovalität]],2,FALSE)</f>
        <v>#N/A</v>
      </c>
    </row>
    <row r="4545" spans="5:28" x14ac:dyDescent="0.35">
      <c r="E4545">
        <v>4536</v>
      </c>
      <c r="F4545" t="e">
        <f>INDEX(Stammdaten[D Mitte mit Rinde (mm)],MATCH(Tabelle8[[#This Row],[Rank]],Stammdaten[Rank Verteilung D Mitte mit Rinde],0))</f>
        <v>#N/A</v>
      </c>
      <c r="G4545" t="e">
        <f>VLOOKUP(Tabelle8[[#This Row],[Rank]],Stammdaten[[Rank Verteilung D Mitte mit Rinde]:[Verteilung D Mitte mit Rinde]],2,FALSE)</f>
        <v>#N/A</v>
      </c>
      <c r="L4545">
        <v>4536</v>
      </c>
      <c r="M4545" t="e">
        <f>INDEX(Stammdaten[Abholzigkeit (mm/lfm)],MATCH(Tabelle9[[#This Row],[Rank]],Stammdaten[Rank Verteilung Abholzigkeit],0))</f>
        <v>#N/A</v>
      </c>
      <c r="N4545" t="e">
        <f>VLOOKUP(Tabelle9[[#This Row],[Rank]],Stammdaten[[Rank Verteilung Abholzigkeit]:[Verteilung Abholzigkeit]],2,FALSE)</f>
        <v>#N/A</v>
      </c>
      <c r="S4545">
        <v>4536</v>
      </c>
      <c r="T4545" t="e">
        <f>INDEX(Stammdaten[Krümmung (mm/lfm)],MATCH(Tabelle10[[#This Row],[Rank]],Stammdaten[Rank Verteilung Krümmung],0))</f>
        <v>#N/A</v>
      </c>
      <c r="U4545" t="e">
        <f>VLOOKUP(Tabelle10[[#This Row],[Rank]],Stammdaten[[Rank Verteilung Krümmung]:[Verteilung Krümmung]],2,FALSE)</f>
        <v>#N/A</v>
      </c>
      <c r="Z4545">
        <v>4536</v>
      </c>
      <c r="AA4545" t="e">
        <f>INDEX(Stammdaten[Ovalität (']0,1'])],MATCH(Tabelle1014[[#This Row],[Rank]],Stammdaten[Rank Verteilung Ovalität],0))</f>
        <v>#N/A</v>
      </c>
      <c r="AB4545" t="e">
        <f>VLOOKUP(Tabelle1014[[#This Row],[Rank]],Stammdaten[[Rank Verteilung Ovalität]:[Verteilung Ovalität]],2,FALSE)</f>
        <v>#N/A</v>
      </c>
    </row>
    <row r="4546" spans="5:28" x14ac:dyDescent="0.35">
      <c r="E4546">
        <v>4537</v>
      </c>
      <c r="F4546" t="e">
        <f>INDEX(Stammdaten[D Mitte mit Rinde (mm)],MATCH(Tabelle8[[#This Row],[Rank]],Stammdaten[Rank Verteilung D Mitte mit Rinde],0))</f>
        <v>#N/A</v>
      </c>
      <c r="G4546" t="e">
        <f>VLOOKUP(Tabelle8[[#This Row],[Rank]],Stammdaten[[Rank Verteilung D Mitte mit Rinde]:[Verteilung D Mitte mit Rinde]],2,FALSE)</f>
        <v>#N/A</v>
      </c>
      <c r="L4546">
        <v>4537</v>
      </c>
      <c r="M4546" t="e">
        <f>INDEX(Stammdaten[Abholzigkeit (mm/lfm)],MATCH(Tabelle9[[#This Row],[Rank]],Stammdaten[Rank Verteilung Abholzigkeit],0))</f>
        <v>#N/A</v>
      </c>
      <c r="N4546" t="e">
        <f>VLOOKUP(Tabelle9[[#This Row],[Rank]],Stammdaten[[Rank Verteilung Abholzigkeit]:[Verteilung Abholzigkeit]],2,FALSE)</f>
        <v>#N/A</v>
      </c>
      <c r="S4546">
        <v>4537</v>
      </c>
      <c r="T4546" t="e">
        <f>INDEX(Stammdaten[Krümmung (mm/lfm)],MATCH(Tabelle10[[#This Row],[Rank]],Stammdaten[Rank Verteilung Krümmung],0))</f>
        <v>#N/A</v>
      </c>
      <c r="U4546" t="e">
        <f>VLOOKUP(Tabelle10[[#This Row],[Rank]],Stammdaten[[Rank Verteilung Krümmung]:[Verteilung Krümmung]],2,FALSE)</f>
        <v>#N/A</v>
      </c>
      <c r="Z4546">
        <v>4537</v>
      </c>
      <c r="AA4546" t="e">
        <f>INDEX(Stammdaten[Ovalität (']0,1'])],MATCH(Tabelle1014[[#This Row],[Rank]],Stammdaten[Rank Verteilung Ovalität],0))</f>
        <v>#N/A</v>
      </c>
      <c r="AB4546" t="e">
        <f>VLOOKUP(Tabelle1014[[#This Row],[Rank]],Stammdaten[[Rank Verteilung Ovalität]:[Verteilung Ovalität]],2,FALSE)</f>
        <v>#N/A</v>
      </c>
    </row>
    <row r="4547" spans="5:28" x14ac:dyDescent="0.35">
      <c r="E4547">
        <v>4538</v>
      </c>
      <c r="F4547" t="e">
        <f>INDEX(Stammdaten[D Mitte mit Rinde (mm)],MATCH(Tabelle8[[#This Row],[Rank]],Stammdaten[Rank Verteilung D Mitte mit Rinde],0))</f>
        <v>#N/A</v>
      </c>
      <c r="G4547" t="e">
        <f>VLOOKUP(Tabelle8[[#This Row],[Rank]],Stammdaten[[Rank Verteilung D Mitte mit Rinde]:[Verteilung D Mitte mit Rinde]],2,FALSE)</f>
        <v>#N/A</v>
      </c>
      <c r="L4547">
        <v>4538</v>
      </c>
      <c r="M4547" t="e">
        <f>INDEX(Stammdaten[Abholzigkeit (mm/lfm)],MATCH(Tabelle9[[#This Row],[Rank]],Stammdaten[Rank Verteilung Abholzigkeit],0))</f>
        <v>#N/A</v>
      </c>
      <c r="N4547" t="e">
        <f>VLOOKUP(Tabelle9[[#This Row],[Rank]],Stammdaten[[Rank Verteilung Abholzigkeit]:[Verteilung Abholzigkeit]],2,FALSE)</f>
        <v>#N/A</v>
      </c>
      <c r="S4547">
        <v>4538</v>
      </c>
      <c r="T4547" t="e">
        <f>INDEX(Stammdaten[Krümmung (mm/lfm)],MATCH(Tabelle10[[#This Row],[Rank]],Stammdaten[Rank Verteilung Krümmung],0))</f>
        <v>#N/A</v>
      </c>
      <c r="U4547" t="e">
        <f>VLOOKUP(Tabelle10[[#This Row],[Rank]],Stammdaten[[Rank Verteilung Krümmung]:[Verteilung Krümmung]],2,FALSE)</f>
        <v>#N/A</v>
      </c>
      <c r="Z4547">
        <v>4538</v>
      </c>
      <c r="AA4547" t="e">
        <f>INDEX(Stammdaten[Ovalität (']0,1'])],MATCH(Tabelle1014[[#This Row],[Rank]],Stammdaten[Rank Verteilung Ovalität],0))</f>
        <v>#N/A</v>
      </c>
      <c r="AB4547" t="e">
        <f>VLOOKUP(Tabelle1014[[#This Row],[Rank]],Stammdaten[[Rank Verteilung Ovalität]:[Verteilung Ovalität]],2,FALSE)</f>
        <v>#N/A</v>
      </c>
    </row>
    <row r="4548" spans="5:28" x14ac:dyDescent="0.35">
      <c r="E4548">
        <v>4539</v>
      </c>
      <c r="F4548" t="e">
        <f>INDEX(Stammdaten[D Mitte mit Rinde (mm)],MATCH(Tabelle8[[#This Row],[Rank]],Stammdaten[Rank Verteilung D Mitte mit Rinde],0))</f>
        <v>#N/A</v>
      </c>
      <c r="G4548" t="e">
        <f>VLOOKUP(Tabelle8[[#This Row],[Rank]],Stammdaten[[Rank Verteilung D Mitte mit Rinde]:[Verteilung D Mitte mit Rinde]],2,FALSE)</f>
        <v>#N/A</v>
      </c>
      <c r="L4548">
        <v>4539</v>
      </c>
      <c r="M4548" t="e">
        <f>INDEX(Stammdaten[Abholzigkeit (mm/lfm)],MATCH(Tabelle9[[#This Row],[Rank]],Stammdaten[Rank Verteilung Abholzigkeit],0))</f>
        <v>#N/A</v>
      </c>
      <c r="N4548" t="e">
        <f>VLOOKUP(Tabelle9[[#This Row],[Rank]],Stammdaten[[Rank Verteilung Abholzigkeit]:[Verteilung Abholzigkeit]],2,FALSE)</f>
        <v>#N/A</v>
      </c>
      <c r="S4548">
        <v>4539</v>
      </c>
      <c r="T4548" t="e">
        <f>INDEX(Stammdaten[Krümmung (mm/lfm)],MATCH(Tabelle10[[#This Row],[Rank]],Stammdaten[Rank Verteilung Krümmung],0))</f>
        <v>#N/A</v>
      </c>
      <c r="U4548" t="e">
        <f>VLOOKUP(Tabelle10[[#This Row],[Rank]],Stammdaten[[Rank Verteilung Krümmung]:[Verteilung Krümmung]],2,FALSE)</f>
        <v>#N/A</v>
      </c>
      <c r="Z4548">
        <v>4539</v>
      </c>
      <c r="AA4548" t="e">
        <f>INDEX(Stammdaten[Ovalität (']0,1'])],MATCH(Tabelle1014[[#This Row],[Rank]],Stammdaten[Rank Verteilung Ovalität],0))</f>
        <v>#N/A</v>
      </c>
      <c r="AB4548" t="e">
        <f>VLOOKUP(Tabelle1014[[#This Row],[Rank]],Stammdaten[[Rank Verteilung Ovalität]:[Verteilung Ovalität]],2,FALSE)</f>
        <v>#N/A</v>
      </c>
    </row>
    <row r="4549" spans="5:28" x14ac:dyDescent="0.35">
      <c r="E4549">
        <v>4540</v>
      </c>
      <c r="F4549" t="e">
        <f>INDEX(Stammdaten[D Mitte mit Rinde (mm)],MATCH(Tabelle8[[#This Row],[Rank]],Stammdaten[Rank Verteilung D Mitte mit Rinde],0))</f>
        <v>#N/A</v>
      </c>
      <c r="G4549" t="e">
        <f>VLOOKUP(Tabelle8[[#This Row],[Rank]],Stammdaten[[Rank Verteilung D Mitte mit Rinde]:[Verteilung D Mitte mit Rinde]],2,FALSE)</f>
        <v>#N/A</v>
      </c>
      <c r="L4549">
        <v>4540</v>
      </c>
      <c r="M4549" t="e">
        <f>INDEX(Stammdaten[Abholzigkeit (mm/lfm)],MATCH(Tabelle9[[#This Row],[Rank]],Stammdaten[Rank Verteilung Abholzigkeit],0))</f>
        <v>#N/A</v>
      </c>
      <c r="N4549" t="e">
        <f>VLOOKUP(Tabelle9[[#This Row],[Rank]],Stammdaten[[Rank Verteilung Abholzigkeit]:[Verteilung Abholzigkeit]],2,FALSE)</f>
        <v>#N/A</v>
      </c>
      <c r="S4549">
        <v>4540</v>
      </c>
      <c r="T4549" t="e">
        <f>INDEX(Stammdaten[Krümmung (mm/lfm)],MATCH(Tabelle10[[#This Row],[Rank]],Stammdaten[Rank Verteilung Krümmung],0))</f>
        <v>#N/A</v>
      </c>
      <c r="U4549" t="e">
        <f>VLOOKUP(Tabelle10[[#This Row],[Rank]],Stammdaten[[Rank Verteilung Krümmung]:[Verteilung Krümmung]],2,FALSE)</f>
        <v>#N/A</v>
      </c>
      <c r="Z4549">
        <v>4540</v>
      </c>
      <c r="AA4549" t="e">
        <f>INDEX(Stammdaten[Ovalität (']0,1'])],MATCH(Tabelle1014[[#This Row],[Rank]],Stammdaten[Rank Verteilung Ovalität],0))</f>
        <v>#N/A</v>
      </c>
      <c r="AB4549" t="e">
        <f>VLOOKUP(Tabelle1014[[#This Row],[Rank]],Stammdaten[[Rank Verteilung Ovalität]:[Verteilung Ovalität]],2,FALSE)</f>
        <v>#N/A</v>
      </c>
    </row>
    <row r="4550" spans="5:28" x14ac:dyDescent="0.35">
      <c r="E4550">
        <v>4541</v>
      </c>
      <c r="F4550" t="e">
        <f>INDEX(Stammdaten[D Mitte mit Rinde (mm)],MATCH(Tabelle8[[#This Row],[Rank]],Stammdaten[Rank Verteilung D Mitte mit Rinde],0))</f>
        <v>#N/A</v>
      </c>
      <c r="G4550" t="e">
        <f>VLOOKUP(Tabelle8[[#This Row],[Rank]],Stammdaten[[Rank Verteilung D Mitte mit Rinde]:[Verteilung D Mitte mit Rinde]],2,FALSE)</f>
        <v>#N/A</v>
      </c>
      <c r="L4550">
        <v>4541</v>
      </c>
      <c r="M4550" t="e">
        <f>INDEX(Stammdaten[Abholzigkeit (mm/lfm)],MATCH(Tabelle9[[#This Row],[Rank]],Stammdaten[Rank Verteilung Abholzigkeit],0))</f>
        <v>#N/A</v>
      </c>
      <c r="N4550" t="e">
        <f>VLOOKUP(Tabelle9[[#This Row],[Rank]],Stammdaten[[Rank Verteilung Abholzigkeit]:[Verteilung Abholzigkeit]],2,FALSE)</f>
        <v>#N/A</v>
      </c>
      <c r="S4550">
        <v>4541</v>
      </c>
      <c r="T4550" t="e">
        <f>INDEX(Stammdaten[Krümmung (mm/lfm)],MATCH(Tabelle10[[#This Row],[Rank]],Stammdaten[Rank Verteilung Krümmung],0))</f>
        <v>#N/A</v>
      </c>
      <c r="U4550" t="e">
        <f>VLOOKUP(Tabelle10[[#This Row],[Rank]],Stammdaten[[Rank Verteilung Krümmung]:[Verteilung Krümmung]],2,FALSE)</f>
        <v>#N/A</v>
      </c>
      <c r="Z4550">
        <v>4541</v>
      </c>
      <c r="AA4550" t="e">
        <f>INDEX(Stammdaten[Ovalität (']0,1'])],MATCH(Tabelle1014[[#This Row],[Rank]],Stammdaten[Rank Verteilung Ovalität],0))</f>
        <v>#N/A</v>
      </c>
      <c r="AB4550" t="e">
        <f>VLOOKUP(Tabelle1014[[#This Row],[Rank]],Stammdaten[[Rank Verteilung Ovalität]:[Verteilung Ovalität]],2,FALSE)</f>
        <v>#N/A</v>
      </c>
    </row>
    <row r="4551" spans="5:28" x14ac:dyDescent="0.35">
      <c r="E4551">
        <v>4542</v>
      </c>
      <c r="F4551" t="e">
        <f>INDEX(Stammdaten[D Mitte mit Rinde (mm)],MATCH(Tabelle8[[#This Row],[Rank]],Stammdaten[Rank Verteilung D Mitte mit Rinde],0))</f>
        <v>#N/A</v>
      </c>
      <c r="G4551" t="e">
        <f>VLOOKUP(Tabelle8[[#This Row],[Rank]],Stammdaten[[Rank Verteilung D Mitte mit Rinde]:[Verteilung D Mitte mit Rinde]],2,FALSE)</f>
        <v>#N/A</v>
      </c>
      <c r="L4551">
        <v>4542</v>
      </c>
      <c r="M4551" t="e">
        <f>INDEX(Stammdaten[Abholzigkeit (mm/lfm)],MATCH(Tabelle9[[#This Row],[Rank]],Stammdaten[Rank Verteilung Abholzigkeit],0))</f>
        <v>#N/A</v>
      </c>
      <c r="N4551" t="e">
        <f>VLOOKUP(Tabelle9[[#This Row],[Rank]],Stammdaten[[Rank Verteilung Abholzigkeit]:[Verteilung Abholzigkeit]],2,FALSE)</f>
        <v>#N/A</v>
      </c>
      <c r="S4551">
        <v>4542</v>
      </c>
      <c r="T4551" t="e">
        <f>INDEX(Stammdaten[Krümmung (mm/lfm)],MATCH(Tabelle10[[#This Row],[Rank]],Stammdaten[Rank Verteilung Krümmung],0))</f>
        <v>#N/A</v>
      </c>
      <c r="U4551" t="e">
        <f>VLOOKUP(Tabelle10[[#This Row],[Rank]],Stammdaten[[Rank Verteilung Krümmung]:[Verteilung Krümmung]],2,FALSE)</f>
        <v>#N/A</v>
      </c>
      <c r="Z4551">
        <v>4542</v>
      </c>
      <c r="AA4551" t="e">
        <f>INDEX(Stammdaten[Ovalität (']0,1'])],MATCH(Tabelle1014[[#This Row],[Rank]],Stammdaten[Rank Verteilung Ovalität],0))</f>
        <v>#N/A</v>
      </c>
      <c r="AB4551" t="e">
        <f>VLOOKUP(Tabelle1014[[#This Row],[Rank]],Stammdaten[[Rank Verteilung Ovalität]:[Verteilung Ovalität]],2,FALSE)</f>
        <v>#N/A</v>
      </c>
    </row>
    <row r="4552" spans="5:28" x14ac:dyDescent="0.35">
      <c r="E4552">
        <v>4543</v>
      </c>
      <c r="F4552" t="e">
        <f>INDEX(Stammdaten[D Mitte mit Rinde (mm)],MATCH(Tabelle8[[#This Row],[Rank]],Stammdaten[Rank Verteilung D Mitte mit Rinde],0))</f>
        <v>#N/A</v>
      </c>
      <c r="G4552" t="e">
        <f>VLOOKUP(Tabelle8[[#This Row],[Rank]],Stammdaten[[Rank Verteilung D Mitte mit Rinde]:[Verteilung D Mitte mit Rinde]],2,FALSE)</f>
        <v>#N/A</v>
      </c>
      <c r="L4552">
        <v>4543</v>
      </c>
      <c r="M4552" t="e">
        <f>INDEX(Stammdaten[Abholzigkeit (mm/lfm)],MATCH(Tabelle9[[#This Row],[Rank]],Stammdaten[Rank Verteilung Abholzigkeit],0))</f>
        <v>#N/A</v>
      </c>
      <c r="N4552" t="e">
        <f>VLOOKUP(Tabelle9[[#This Row],[Rank]],Stammdaten[[Rank Verteilung Abholzigkeit]:[Verteilung Abholzigkeit]],2,FALSE)</f>
        <v>#N/A</v>
      </c>
      <c r="S4552">
        <v>4543</v>
      </c>
      <c r="T4552" t="e">
        <f>INDEX(Stammdaten[Krümmung (mm/lfm)],MATCH(Tabelle10[[#This Row],[Rank]],Stammdaten[Rank Verteilung Krümmung],0))</f>
        <v>#N/A</v>
      </c>
      <c r="U4552" t="e">
        <f>VLOOKUP(Tabelle10[[#This Row],[Rank]],Stammdaten[[Rank Verteilung Krümmung]:[Verteilung Krümmung]],2,FALSE)</f>
        <v>#N/A</v>
      </c>
      <c r="Z4552">
        <v>4543</v>
      </c>
      <c r="AA4552" t="e">
        <f>INDEX(Stammdaten[Ovalität (']0,1'])],MATCH(Tabelle1014[[#This Row],[Rank]],Stammdaten[Rank Verteilung Ovalität],0))</f>
        <v>#N/A</v>
      </c>
      <c r="AB4552" t="e">
        <f>VLOOKUP(Tabelle1014[[#This Row],[Rank]],Stammdaten[[Rank Verteilung Ovalität]:[Verteilung Ovalität]],2,FALSE)</f>
        <v>#N/A</v>
      </c>
    </row>
    <row r="4553" spans="5:28" x14ac:dyDescent="0.35">
      <c r="E4553">
        <v>4544</v>
      </c>
      <c r="F4553" t="e">
        <f>INDEX(Stammdaten[D Mitte mit Rinde (mm)],MATCH(Tabelle8[[#This Row],[Rank]],Stammdaten[Rank Verteilung D Mitte mit Rinde],0))</f>
        <v>#N/A</v>
      </c>
      <c r="G4553" t="e">
        <f>VLOOKUP(Tabelle8[[#This Row],[Rank]],Stammdaten[[Rank Verteilung D Mitte mit Rinde]:[Verteilung D Mitte mit Rinde]],2,FALSE)</f>
        <v>#N/A</v>
      </c>
      <c r="L4553">
        <v>4544</v>
      </c>
      <c r="M4553" t="e">
        <f>INDEX(Stammdaten[Abholzigkeit (mm/lfm)],MATCH(Tabelle9[[#This Row],[Rank]],Stammdaten[Rank Verteilung Abholzigkeit],0))</f>
        <v>#N/A</v>
      </c>
      <c r="N4553" t="e">
        <f>VLOOKUP(Tabelle9[[#This Row],[Rank]],Stammdaten[[Rank Verteilung Abholzigkeit]:[Verteilung Abholzigkeit]],2,FALSE)</f>
        <v>#N/A</v>
      </c>
      <c r="S4553">
        <v>4544</v>
      </c>
      <c r="T4553" t="e">
        <f>INDEX(Stammdaten[Krümmung (mm/lfm)],MATCH(Tabelle10[[#This Row],[Rank]],Stammdaten[Rank Verteilung Krümmung],0))</f>
        <v>#N/A</v>
      </c>
      <c r="U4553" t="e">
        <f>VLOOKUP(Tabelle10[[#This Row],[Rank]],Stammdaten[[Rank Verteilung Krümmung]:[Verteilung Krümmung]],2,FALSE)</f>
        <v>#N/A</v>
      </c>
      <c r="Z4553">
        <v>4544</v>
      </c>
      <c r="AA4553" t="e">
        <f>INDEX(Stammdaten[Ovalität (']0,1'])],MATCH(Tabelle1014[[#This Row],[Rank]],Stammdaten[Rank Verteilung Ovalität],0))</f>
        <v>#N/A</v>
      </c>
      <c r="AB4553" t="e">
        <f>VLOOKUP(Tabelle1014[[#This Row],[Rank]],Stammdaten[[Rank Verteilung Ovalität]:[Verteilung Ovalität]],2,FALSE)</f>
        <v>#N/A</v>
      </c>
    </row>
    <row r="4554" spans="5:28" x14ac:dyDescent="0.35">
      <c r="E4554">
        <v>4545</v>
      </c>
      <c r="F4554" t="e">
        <f>INDEX(Stammdaten[D Mitte mit Rinde (mm)],MATCH(Tabelle8[[#This Row],[Rank]],Stammdaten[Rank Verteilung D Mitte mit Rinde],0))</f>
        <v>#N/A</v>
      </c>
      <c r="G4554" t="e">
        <f>VLOOKUP(Tabelle8[[#This Row],[Rank]],Stammdaten[[Rank Verteilung D Mitte mit Rinde]:[Verteilung D Mitte mit Rinde]],2,FALSE)</f>
        <v>#N/A</v>
      </c>
      <c r="L4554">
        <v>4545</v>
      </c>
      <c r="M4554" t="e">
        <f>INDEX(Stammdaten[Abholzigkeit (mm/lfm)],MATCH(Tabelle9[[#This Row],[Rank]],Stammdaten[Rank Verteilung Abholzigkeit],0))</f>
        <v>#N/A</v>
      </c>
      <c r="N4554" t="e">
        <f>VLOOKUP(Tabelle9[[#This Row],[Rank]],Stammdaten[[Rank Verteilung Abholzigkeit]:[Verteilung Abholzigkeit]],2,FALSE)</f>
        <v>#N/A</v>
      </c>
      <c r="S4554">
        <v>4545</v>
      </c>
      <c r="T4554" t="e">
        <f>INDEX(Stammdaten[Krümmung (mm/lfm)],MATCH(Tabelle10[[#This Row],[Rank]],Stammdaten[Rank Verteilung Krümmung],0))</f>
        <v>#N/A</v>
      </c>
      <c r="U4554" t="e">
        <f>VLOOKUP(Tabelle10[[#This Row],[Rank]],Stammdaten[[Rank Verteilung Krümmung]:[Verteilung Krümmung]],2,FALSE)</f>
        <v>#N/A</v>
      </c>
      <c r="Z4554">
        <v>4545</v>
      </c>
      <c r="AA4554" t="e">
        <f>INDEX(Stammdaten[Ovalität (']0,1'])],MATCH(Tabelle1014[[#This Row],[Rank]],Stammdaten[Rank Verteilung Ovalität],0))</f>
        <v>#N/A</v>
      </c>
      <c r="AB4554" t="e">
        <f>VLOOKUP(Tabelle1014[[#This Row],[Rank]],Stammdaten[[Rank Verteilung Ovalität]:[Verteilung Ovalität]],2,FALSE)</f>
        <v>#N/A</v>
      </c>
    </row>
    <row r="4555" spans="5:28" x14ac:dyDescent="0.35">
      <c r="E4555">
        <v>4546</v>
      </c>
      <c r="F4555" t="e">
        <f>INDEX(Stammdaten[D Mitte mit Rinde (mm)],MATCH(Tabelle8[[#This Row],[Rank]],Stammdaten[Rank Verteilung D Mitte mit Rinde],0))</f>
        <v>#N/A</v>
      </c>
      <c r="G4555" t="e">
        <f>VLOOKUP(Tabelle8[[#This Row],[Rank]],Stammdaten[[Rank Verteilung D Mitte mit Rinde]:[Verteilung D Mitte mit Rinde]],2,FALSE)</f>
        <v>#N/A</v>
      </c>
      <c r="L4555">
        <v>4546</v>
      </c>
      <c r="M4555" t="e">
        <f>INDEX(Stammdaten[Abholzigkeit (mm/lfm)],MATCH(Tabelle9[[#This Row],[Rank]],Stammdaten[Rank Verteilung Abholzigkeit],0))</f>
        <v>#N/A</v>
      </c>
      <c r="N4555" t="e">
        <f>VLOOKUP(Tabelle9[[#This Row],[Rank]],Stammdaten[[Rank Verteilung Abholzigkeit]:[Verteilung Abholzigkeit]],2,FALSE)</f>
        <v>#N/A</v>
      </c>
      <c r="S4555">
        <v>4546</v>
      </c>
      <c r="T4555" t="e">
        <f>INDEX(Stammdaten[Krümmung (mm/lfm)],MATCH(Tabelle10[[#This Row],[Rank]],Stammdaten[Rank Verteilung Krümmung],0))</f>
        <v>#N/A</v>
      </c>
      <c r="U4555" t="e">
        <f>VLOOKUP(Tabelle10[[#This Row],[Rank]],Stammdaten[[Rank Verteilung Krümmung]:[Verteilung Krümmung]],2,FALSE)</f>
        <v>#N/A</v>
      </c>
      <c r="Z4555">
        <v>4546</v>
      </c>
      <c r="AA4555" t="e">
        <f>INDEX(Stammdaten[Ovalität (']0,1'])],MATCH(Tabelle1014[[#This Row],[Rank]],Stammdaten[Rank Verteilung Ovalität],0))</f>
        <v>#N/A</v>
      </c>
      <c r="AB4555" t="e">
        <f>VLOOKUP(Tabelle1014[[#This Row],[Rank]],Stammdaten[[Rank Verteilung Ovalität]:[Verteilung Ovalität]],2,FALSE)</f>
        <v>#N/A</v>
      </c>
    </row>
    <row r="4556" spans="5:28" x14ac:dyDescent="0.35">
      <c r="E4556">
        <v>4547</v>
      </c>
      <c r="F4556" t="e">
        <f>INDEX(Stammdaten[D Mitte mit Rinde (mm)],MATCH(Tabelle8[[#This Row],[Rank]],Stammdaten[Rank Verteilung D Mitte mit Rinde],0))</f>
        <v>#N/A</v>
      </c>
      <c r="G4556" t="e">
        <f>VLOOKUP(Tabelle8[[#This Row],[Rank]],Stammdaten[[Rank Verteilung D Mitte mit Rinde]:[Verteilung D Mitte mit Rinde]],2,FALSE)</f>
        <v>#N/A</v>
      </c>
      <c r="L4556">
        <v>4547</v>
      </c>
      <c r="M4556" t="e">
        <f>INDEX(Stammdaten[Abholzigkeit (mm/lfm)],MATCH(Tabelle9[[#This Row],[Rank]],Stammdaten[Rank Verteilung Abholzigkeit],0))</f>
        <v>#N/A</v>
      </c>
      <c r="N4556" t="e">
        <f>VLOOKUP(Tabelle9[[#This Row],[Rank]],Stammdaten[[Rank Verteilung Abholzigkeit]:[Verteilung Abholzigkeit]],2,FALSE)</f>
        <v>#N/A</v>
      </c>
      <c r="S4556">
        <v>4547</v>
      </c>
      <c r="T4556" t="e">
        <f>INDEX(Stammdaten[Krümmung (mm/lfm)],MATCH(Tabelle10[[#This Row],[Rank]],Stammdaten[Rank Verteilung Krümmung],0))</f>
        <v>#N/A</v>
      </c>
      <c r="U4556" t="e">
        <f>VLOOKUP(Tabelle10[[#This Row],[Rank]],Stammdaten[[Rank Verteilung Krümmung]:[Verteilung Krümmung]],2,FALSE)</f>
        <v>#N/A</v>
      </c>
      <c r="Z4556">
        <v>4547</v>
      </c>
      <c r="AA4556" t="e">
        <f>INDEX(Stammdaten[Ovalität (']0,1'])],MATCH(Tabelle1014[[#This Row],[Rank]],Stammdaten[Rank Verteilung Ovalität],0))</f>
        <v>#N/A</v>
      </c>
      <c r="AB4556" t="e">
        <f>VLOOKUP(Tabelle1014[[#This Row],[Rank]],Stammdaten[[Rank Verteilung Ovalität]:[Verteilung Ovalität]],2,FALSE)</f>
        <v>#N/A</v>
      </c>
    </row>
    <row r="4557" spans="5:28" x14ac:dyDescent="0.35">
      <c r="E4557">
        <v>4548</v>
      </c>
      <c r="F4557" t="e">
        <f>INDEX(Stammdaten[D Mitte mit Rinde (mm)],MATCH(Tabelle8[[#This Row],[Rank]],Stammdaten[Rank Verteilung D Mitte mit Rinde],0))</f>
        <v>#N/A</v>
      </c>
      <c r="G4557" t="e">
        <f>VLOOKUP(Tabelle8[[#This Row],[Rank]],Stammdaten[[Rank Verteilung D Mitte mit Rinde]:[Verteilung D Mitte mit Rinde]],2,FALSE)</f>
        <v>#N/A</v>
      </c>
      <c r="L4557">
        <v>4548</v>
      </c>
      <c r="M4557" t="e">
        <f>INDEX(Stammdaten[Abholzigkeit (mm/lfm)],MATCH(Tabelle9[[#This Row],[Rank]],Stammdaten[Rank Verteilung Abholzigkeit],0))</f>
        <v>#N/A</v>
      </c>
      <c r="N4557" t="e">
        <f>VLOOKUP(Tabelle9[[#This Row],[Rank]],Stammdaten[[Rank Verteilung Abholzigkeit]:[Verteilung Abholzigkeit]],2,FALSE)</f>
        <v>#N/A</v>
      </c>
      <c r="S4557">
        <v>4548</v>
      </c>
      <c r="T4557" t="e">
        <f>INDEX(Stammdaten[Krümmung (mm/lfm)],MATCH(Tabelle10[[#This Row],[Rank]],Stammdaten[Rank Verteilung Krümmung],0))</f>
        <v>#N/A</v>
      </c>
      <c r="U4557" t="e">
        <f>VLOOKUP(Tabelle10[[#This Row],[Rank]],Stammdaten[[Rank Verteilung Krümmung]:[Verteilung Krümmung]],2,FALSE)</f>
        <v>#N/A</v>
      </c>
      <c r="Z4557">
        <v>4548</v>
      </c>
      <c r="AA4557" t="e">
        <f>INDEX(Stammdaten[Ovalität (']0,1'])],MATCH(Tabelle1014[[#This Row],[Rank]],Stammdaten[Rank Verteilung Ovalität],0))</f>
        <v>#N/A</v>
      </c>
      <c r="AB4557" t="e">
        <f>VLOOKUP(Tabelle1014[[#This Row],[Rank]],Stammdaten[[Rank Verteilung Ovalität]:[Verteilung Ovalität]],2,FALSE)</f>
        <v>#N/A</v>
      </c>
    </row>
    <row r="4558" spans="5:28" x14ac:dyDescent="0.35">
      <c r="E4558">
        <v>4549</v>
      </c>
      <c r="F4558" t="e">
        <f>INDEX(Stammdaten[D Mitte mit Rinde (mm)],MATCH(Tabelle8[[#This Row],[Rank]],Stammdaten[Rank Verteilung D Mitte mit Rinde],0))</f>
        <v>#N/A</v>
      </c>
      <c r="G4558" t="e">
        <f>VLOOKUP(Tabelle8[[#This Row],[Rank]],Stammdaten[[Rank Verteilung D Mitte mit Rinde]:[Verteilung D Mitte mit Rinde]],2,FALSE)</f>
        <v>#N/A</v>
      </c>
      <c r="L4558">
        <v>4549</v>
      </c>
      <c r="M4558" t="e">
        <f>INDEX(Stammdaten[Abholzigkeit (mm/lfm)],MATCH(Tabelle9[[#This Row],[Rank]],Stammdaten[Rank Verteilung Abholzigkeit],0))</f>
        <v>#N/A</v>
      </c>
      <c r="N4558" t="e">
        <f>VLOOKUP(Tabelle9[[#This Row],[Rank]],Stammdaten[[Rank Verteilung Abholzigkeit]:[Verteilung Abholzigkeit]],2,FALSE)</f>
        <v>#N/A</v>
      </c>
      <c r="S4558">
        <v>4549</v>
      </c>
      <c r="T4558" t="e">
        <f>INDEX(Stammdaten[Krümmung (mm/lfm)],MATCH(Tabelle10[[#This Row],[Rank]],Stammdaten[Rank Verteilung Krümmung],0))</f>
        <v>#N/A</v>
      </c>
      <c r="U4558" t="e">
        <f>VLOOKUP(Tabelle10[[#This Row],[Rank]],Stammdaten[[Rank Verteilung Krümmung]:[Verteilung Krümmung]],2,FALSE)</f>
        <v>#N/A</v>
      </c>
      <c r="Z4558">
        <v>4549</v>
      </c>
      <c r="AA4558" t="e">
        <f>INDEX(Stammdaten[Ovalität (']0,1'])],MATCH(Tabelle1014[[#This Row],[Rank]],Stammdaten[Rank Verteilung Ovalität],0))</f>
        <v>#N/A</v>
      </c>
      <c r="AB4558" t="e">
        <f>VLOOKUP(Tabelle1014[[#This Row],[Rank]],Stammdaten[[Rank Verteilung Ovalität]:[Verteilung Ovalität]],2,FALSE)</f>
        <v>#N/A</v>
      </c>
    </row>
    <row r="4559" spans="5:28" x14ac:dyDescent="0.35">
      <c r="E4559">
        <v>4550</v>
      </c>
      <c r="F4559" t="e">
        <f>INDEX(Stammdaten[D Mitte mit Rinde (mm)],MATCH(Tabelle8[[#This Row],[Rank]],Stammdaten[Rank Verteilung D Mitte mit Rinde],0))</f>
        <v>#N/A</v>
      </c>
      <c r="G4559" t="e">
        <f>VLOOKUP(Tabelle8[[#This Row],[Rank]],Stammdaten[[Rank Verteilung D Mitte mit Rinde]:[Verteilung D Mitte mit Rinde]],2,FALSE)</f>
        <v>#N/A</v>
      </c>
      <c r="L4559">
        <v>4550</v>
      </c>
      <c r="M4559" t="e">
        <f>INDEX(Stammdaten[Abholzigkeit (mm/lfm)],MATCH(Tabelle9[[#This Row],[Rank]],Stammdaten[Rank Verteilung Abholzigkeit],0))</f>
        <v>#N/A</v>
      </c>
      <c r="N4559" t="e">
        <f>VLOOKUP(Tabelle9[[#This Row],[Rank]],Stammdaten[[Rank Verteilung Abholzigkeit]:[Verteilung Abholzigkeit]],2,FALSE)</f>
        <v>#N/A</v>
      </c>
      <c r="S4559">
        <v>4550</v>
      </c>
      <c r="T4559" t="e">
        <f>INDEX(Stammdaten[Krümmung (mm/lfm)],MATCH(Tabelle10[[#This Row],[Rank]],Stammdaten[Rank Verteilung Krümmung],0))</f>
        <v>#N/A</v>
      </c>
      <c r="U4559" t="e">
        <f>VLOOKUP(Tabelle10[[#This Row],[Rank]],Stammdaten[[Rank Verteilung Krümmung]:[Verteilung Krümmung]],2,FALSE)</f>
        <v>#N/A</v>
      </c>
      <c r="Z4559">
        <v>4550</v>
      </c>
      <c r="AA4559" t="e">
        <f>INDEX(Stammdaten[Ovalität (']0,1'])],MATCH(Tabelle1014[[#This Row],[Rank]],Stammdaten[Rank Verteilung Ovalität],0))</f>
        <v>#N/A</v>
      </c>
      <c r="AB4559" t="e">
        <f>VLOOKUP(Tabelle1014[[#This Row],[Rank]],Stammdaten[[Rank Verteilung Ovalität]:[Verteilung Ovalität]],2,FALSE)</f>
        <v>#N/A</v>
      </c>
    </row>
    <row r="4560" spans="5:28" x14ac:dyDescent="0.35">
      <c r="E4560">
        <v>4551</v>
      </c>
      <c r="F4560" t="e">
        <f>INDEX(Stammdaten[D Mitte mit Rinde (mm)],MATCH(Tabelle8[[#This Row],[Rank]],Stammdaten[Rank Verteilung D Mitte mit Rinde],0))</f>
        <v>#N/A</v>
      </c>
      <c r="G4560" t="e">
        <f>VLOOKUP(Tabelle8[[#This Row],[Rank]],Stammdaten[[Rank Verteilung D Mitte mit Rinde]:[Verteilung D Mitte mit Rinde]],2,FALSE)</f>
        <v>#N/A</v>
      </c>
      <c r="L4560">
        <v>4551</v>
      </c>
      <c r="M4560" t="e">
        <f>INDEX(Stammdaten[Abholzigkeit (mm/lfm)],MATCH(Tabelle9[[#This Row],[Rank]],Stammdaten[Rank Verteilung Abholzigkeit],0))</f>
        <v>#N/A</v>
      </c>
      <c r="N4560" t="e">
        <f>VLOOKUP(Tabelle9[[#This Row],[Rank]],Stammdaten[[Rank Verteilung Abholzigkeit]:[Verteilung Abholzigkeit]],2,FALSE)</f>
        <v>#N/A</v>
      </c>
      <c r="S4560">
        <v>4551</v>
      </c>
      <c r="T4560" t="e">
        <f>INDEX(Stammdaten[Krümmung (mm/lfm)],MATCH(Tabelle10[[#This Row],[Rank]],Stammdaten[Rank Verteilung Krümmung],0))</f>
        <v>#N/A</v>
      </c>
      <c r="U4560" t="e">
        <f>VLOOKUP(Tabelle10[[#This Row],[Rank]],Stammdaten[[Rank Verteilung Krümmung]:[Verteilung Krümmung]],2,FALSE)</f>
        <v>#N/A</v>
      </c>
      <c r="Z4560">
        <v>4551</v>
      </c>
      <c r="AA4560" t="e">
        <f>INDEX(Stammdaten[Ovalität (']0,1'])],MATCH(Tabelle1014[[#This Row],[Rank]],Stammdaten[Rank Verteilung Ovalität],0))</f>
        <v>#N/A</v>
      </c>
      <c r="AB4560" t="e">
        <f>VLOOKUP(Tabelle1014[[#This Row],[Rank]],Stammdaten[[Rank Verteilung Ovalität]:[Verteilung Ovalität]],2,FALSE)</f>
        <v>#N/A</v>
      </c>
    </row>
    <row r="4561" spans="5:28" x14ac:dyDescent="0.35">
      <c r="E4561">
        <v>4552</v>
      </c>
      <c r="F4561" t="e">
        <f>INDEX(Stammdaten[D Mitte mit Rinde (mm)],MATCH(Tabelle8[[#This Row],[Rank]],Stammdaten[Rank Verteilung D Mitte mit Rinde],0))</f>
        <v>#N/A</v>
      </c>
      <c r="G4561" t="e">
        <f>VLOOKUP(Tabelle8[[#This Row],[Rank]],Stammdaten[[Rank Verteilung D Mitte mit Rinde]:[Verteilung D Mitte mit Rinde]],2,FALSE)</f>
        <v>#N/A</v>
      </c>
      <c r="L4561">
        <v>4552</v>
      </c>
      <c r="M4561" t="e">
        <f>INDEX(Stammdaten[Abholzigkeit (mm/lfm)],MATCH(Tabelle9[[#This Row],[Rank]],Stammdaten[Rank Verteilung Abholzigkeit],0))</f>
        <v>#N/A</v>
      </c>
      <c r="N4561" t="e">
        <f>VLOOKUP(Tabelle9[[#This Row],[Rank]],Stammdaten[[Rank Verteilung Abholzigkeit]:[Verteilung Abholzigkeit]],2,FALSE)</f>
        <v>#N/A</v>
      </c>
      <c r="S4561">
        <v>4552</v>
      </c>
      <c r="T4561" t="e">
        <f>INDEX(Stammdaten[Krümmung (mm/lfm)],MATCH(Tabelle10[[#This Row],[Rank]],Stammdaten[Rank Verteilung Krümmung],0))</f>
        <v>#N/A</v>
      </c>
      <c r="U4561" t="e">
        <f>VLOOKUP(Tabelle10[[#This Row],[Rank]],Stammdaten[[Rank Verteilung Krümmung]:[Verteilung Krümmung]],2,FALSE)</f>
        <v>#N/A</v>
      </c>
      <c r="Z4561">
        <v>4552</v>
      </c>
      <c r="AA4561" t="e">
        <f>INDEX(Stammdaten[Ovalität (']0,1'])],MATCH(Tabelle1014[[#This Row],[Rank]],Stammdaten[Rank Verteilung Ovalität],0))</f>
        <v>#N/A</v>
      </c>
      <c r="AB4561" t="e">
        <f>VLOOKUP(Tabelle1014[[#This Row],[Rank]],Stammdaten[[Rank Verteilung Ovalität]:[Verteilung Ovalität]],2,FALSE)</f>
        <v>#N/A</v>
      </c>
    </row>
    <row r="4562" spans="5:28" x14ac:dyDescent="0.35">
      <c r="E4562">
        <v>4553</v>
      </c>
      <c r="F4562" t="e">
        <f>INDEX(Stammdaten[D Mitte mit Rinde (mm)],MATCH(Tabelle8[[#This Row],[Rank]],Stammdaten[Rank Verteilung D Mitte mit Rinde],0))</f>
        <v>#N/A</v>
      </c>
      <c r="G4562" t="e">
        <f>VLOOKUP(Tabelle8[[#This Row],[Rank]],Stammdaten[[Rank Verteilung D Mitte mit Rinde]:[Verteilung D Mitte mit Rinde]],2,FALSE)</f>
        <v>#N/A</v>
      </c>
      <c r="L4562">
        <v>4553</v>
      </c>
      <c r="M4562" t="e">
        <f>INDEX(Stammdaten[Abholzigkeit (mm/lfm)],MATCH(Tabelle9[[#This Row],[Rank]],Stammdaten[Rank Verteilung Abholzigkeit],0))</f>
        <v>#N/A</v>
      </c>
      <c r="N4562" t="e">
        <f>VLOOKUP(Tabelle9[[#This Row],[Rank]],Stammdaten[[Rank Verteilung Abholzigkeit]:[Verteilung Abholzigkeit]],2,FALSE)</f>
        <v>#N/A</v>
      </c>
      <c r="S4562">
        <v>4553</v>
      </c>
      <c r="T4562" t="e">
        <f>INDEX(Stammdaten[Krümmung (mm/lfm)],MATCH(Tabelle10[[#This Row],[Rank]],Stammdaten[Rank Verteilung Krümmung],0))</f>
        <v>#N/A</v>
      </c>
      <c r="U4562" t="e">
        <f>VLOOKUP(Tabelle10[[#This Row],[Rank]],Stammdaten[[Rank Verteilung Krümmung]:[Verteilung Krümmung]],2,FALSE)</f>
        <v>#N/A</v>
      </c>
      <c r="Z4562">
        <v>4553</v>
      </c>
      <c r="AA4562" t="e">
        <f>INDEX(Stammdaten[Ovalität (']0,1'])],MATCH(Tabelle1014[[#This Row],[Rank]],Stammdaten[Rank Verteilung Ovalität],0))</f>
        <v>#N/A</v>
      </c>
      <c r="AB4562" t="e">
        <f>VLOOKUP(Tabelle1014[[#This Row],[Rank]],Stammdaten[[Rank Verteilung Ovalität]:[Verteilung Ovalität]],2,FALSE)</f>
        <v>#N/A</v>
      </c>
    </row>
    <row r="4563" spans="5:28" x14ac:dyDescent="0.35">
      <c r="E4563">
        <v>4554</v>
      </c>
      <c r="F4563" t="e">
        <f>INDEX(Stammdaten[D Mitte mit Rinde (mm)],MATCH(Tabelle8[[#This Row],[Rank]],Stammdaten[Rank Verteilung D Mitte mit Rinde],0))</f>
        <v>#N/A</v>
      </c>
      <c r="G4563" t="e">
        <f>VLOOKUP(Tabelle8[[#This Row],[Rank]],Stammdaten[[Rank Verteilung D Mitte mit Rinde]:[Verteilung D Mitte mit Rinde]],2,FALSE)</f>
        <v>#N/A</v>
      </c>
      <c r="L4563">
        <v>4554</v>
      </c>
      <c r="M4563" t="e">
        <f>INDEX(Stammdaten[Abholzigkeit (mm/lfm)],MATCH(Tabelle9[[#This Row],[Rank]],Stammdaten[Rank Verteilung Abholzigkeit],0))</f>
        <v>#N/A</v>
      </c>
      <c r="N4563" t="e">
        <f>VLOOKUP(Tabelle9[[#This Row],[Rank]],Stammdaten[[Rank Verteilung Abholzigkeit]:[Verteilung Abholzigkeit]],2,FALSE)</f>
        <v>#N/A</v>
      </c>
      <c r="S4563">
        <v>4554</v>
      </c>
      <c r="T4563" t="e">
        <f>INDEX(Stammdaten[Krümmung (mm/lfm)],MATCH(Tabelle10[[#This Row],[Rank]],Stammdaten[Rank Verteilung Krümmung],0))</f>
        <v>#N/A</v>
      </c>
      <c r="U4563" t="e">
        <f>VLOOKUP(Tabelle10[[#This Row],[Rank]],Stammdaten[[Rank Verteilung Krümmung]:[Verteilung Krümmung]],2,FALSE)</f>
        <v>#N/A</v>
      </c>
      <c r="Z4563">
        <v>4554</v>
      </c>
      <c r="AA4563" t="e">
        <f>INDEX(Stammdaten[Ovalität (']0,1'])],MATCH(Tabelle1014[[#This Row],[Rank]],Stammdaten[Rank Verteilung Ovalität],0))</f>
        <v>#N/A</v>
      </c>
      <c r="AB4563" t="e">
        <f>VLOOKUP(Tabelle1014[[#This Row],[Rank]],Stammdaten[[Rank Verteilung Ovalität]:[Verteilung Ovalität]],2,FALSE)</f>
        <v>#N/A</v>
      </c>
    </row>
    <row r="4564" spans="5:28" x14ac:dyDescent="0.35">
      <c r="E4564">
        <v>4555</v>
      </c>
      <c r="F4564" t="e">
        <f>INDEX(Stammdaten[D Mitte mit Rinde (mm)],MATCH(Tabelle8[[#This Row],[Rank]],Stammdaten[Rank Verteilung D Mitte mit Rinde],0))</f>
        <v>#N/A</v>
      </c>
      <c r="G4564" t="e">
        <f>VLOOKUP(Tabelle8[[#This Row],[Rank]],Stammdaten[[Rank Verteilung D Mitte mit Rinde]:[Verteilung D Mitte mit Rinde]],2,FALSE)</f>
        <v>#N/A</v>
      </c>
      <c r="L4564">
        <v>4555</v>
      </c>
      <c r="M4564" t="e">
        <f>INDEX(Stammdaten[Abholzigkeit (mm/lfm)],MATCH(Tabelle9[[#This Row],[Rank]],Stammdaten[Rank Verteilung Abholzigkeit],0))</f>
        <v>#N/A</v>
      </c>
      <c r="N4564" t="e">
        <f>VLOOKUP(Tabelle9[[#This Row],[Rank]],Stammdaten[[Rank Verteilung Abholzigkeit]:[Verteilung Abholzigkeit]],2,FALSE)</f>
        <v>#N/A</v>
      </c>
      <c r="S4564">
        <v>4555</v>
      </c>
      <c r="T4564" t="e">
        <f>INDEX(Stammdaten[Krümmung (mm/lfm)],MATCH(Tabelle10[[#This Row],[Rank]],Stammdaten[Rank Verteilung Krümmung],0))</f>
        <v>#N/A</v>
      </c>
      <c r="U4564" t="e">
        <f>VLOOKUP(Tabelle10[[#This Row],[Rank]],Stammdaten[[Rank Verteilung Krümmung]:[Verteilung Krümmung]],2,FALSE)</f>
        <v>#N/A</v>
      </c>
      <c r="Z4564">
        <v>4555</v>
      </c>
      <c r="AA4564" t="e">
        <f>INDEX(Stammdaten[Ovalität (']0,1'])],MATCH(Tabelle1014[[#This Row],[Rank]],Stammdaten[Rank Verteilung Ovalität],0))</f>
        <v>#N/A</v>
      </c>
      <c r="AB4564" t="e">
        <f>VLOOKUP(Tabelle1014[[#This Row],[Rank]],Stammdaten[[Rank Verteilung Ovalität]:[Verteilung Ovalität]],2,FALSE)</f>
        <v>#N/A</v>
      </c>
    </row>
    <row r="4565" spans="5:28" x14ac:dyDescent="0.35">
      <c r="E4565">
        <v>4556</v>
      </c>
      <c r="F4565" t="e">
        <f>INDEX(Stammdaten[D Mitte mit Rinde (mm)],MATCH(Tabelle8[[#This Row],[Rank]],Stammdaten[Rank Verteilung D Mitte mit Rinde],0))</f>
        <v>#N/A</v>
      </c>
      <c r="G4565" t="e">
        <f>VLOOKUP(Tabelle8[[#This Row],[Rank]],Stammdaten[[Rank Verteilung D Mitte mit Rinde]:[Verteilung D Mitte mit Rinde]],2,FALSE)</f>
        <v>#N/A</v>
      </c>
      <c r="L4565">
        <v>4556</v>
      </c>
      <c r="M4565" t="e">
        <f>INDEX(Stammdaten[Abholzigkeit (mm/lfm)],MATCH(Tabelle9[[#This Row],[Rank]],Stammdaten[Rank Verteilung Abholzigkeit],0))</f>
        <v>#N/A</v>
      </c>
      <c r="N4565" t="e">
        <f>VLOOKUP(Tabelle9[[#This Row],[Rank]],Stammdaten[[Rank Verteilung Abholzigkeit]:[Verteilung Abholzigkeit]],2,FALSE)</f>
        <v>#N/A</v>
      </c>
      <c r="S4565">
        <v>4556</v>
      </c>
      <c r="T4565" t="e">
        <f>INDEX(Stammdaten[Krümmung (mm/lfm)],MATCH(Tabelle10[[#This Row],[Rank]],Stammdaten[Rank Verteilung Krümmung],0))</f>
        <v>#N/A</v>
      </c>
      <c r="U4565" t="e">
        <f>VLOOKUP(Tabelle10[[#This Row],[Rank]],Stammdaten[[Rank Verteilung Krümmung]:[Verteilung Krümmung]],2,FALSE)</f>
        <v>#N/A</v>
      </c>
      <c r="Z4565">
        <v>4556</v>
      </c>
      <c r="AA4565" t="e">
        <f>INDEX(Stammdaten[Ovalität (']0,1'])],MATCH(Tabelle1014[[#This Row],[Rank]],Stammdaten[Rank Verteilung Ovalität],0))</f>
        <v>#N/A</v>
      </c>
      <c r="AB4565" t="e">
        <f>VLOOKUP(Tabelle1014[[#This Row],[Rank]],Stammdaten[[Rank Verteilung Ovalität]:[Verteilung Ovalität]],2,FALSE)</f>
        <v>#N/A</v>
      </c>
    </row>
    <row r="4566" spans="5:28" x14ac:dyDescent="0.35">
      <c r="E4566">
        <v>4557</v>
      </c>
      <c r="F4566" t="e">
        <f>INDEX(Stammdaten[D Mitte mit Rinde (mm)],MATCH(Tabelle8[[#This Row],[Rank]],Stammdaten[Rank Verteilung D Mitte mit Rinde],0))</f>
        <v>#N/A</v>
      </c>
      <c r="G4566" t="e">
        <f>VLOOKUP(Tabelle8[[#This Row],[Rank]],Stammdaten[[Rank Verteilung D Mitte mit Rinde]:[Verteilung D Mitte mit Rinde]],2,FALSE)</f>
        <v>#N/A</v>
      </c>
      <c r="L4566">
        <v>4557</v>
      </c>
      <c r="M4566" t="e">
        <f>INDEX(Stammdaten[Abholzigkeit (mm/lfm)],MATCH(Tabelle9[[#This Row],[Rank]],Stammdaten[Rank Verteilung Abholzigkeit],0))</f>
        <v>#N/A</v>
      </c>
      <c r="N4566" t="e">
        <f>VLOOKUP(Tabelle9[[#This Row],[Rank]],Stammdaten[[Rank Verteilung Abholzigkeit]:[Verteilung Abholzigkeit]],2,FALSE)</f>
        <v>#N/A</v>
      </c>
      <c r="S4566">
        <v>4557</v>
      </c>
      <c r="T4566" t="e">
        <f>INDEX(Stammdaten[Krümmung (mm/lfm)],MATCH(Tabelle10[[#This Row],[Rank]],Stammdaten[Rank Verteilung Krümmung],0))</f>
        <v>#N/A</v>
      </c>
      <c r="U4566" t="e">
        <f>VLOOKUP(Tabelle10[[#This Row],[Rank]],Stammdaten[[Rank Verteilung Krümmung]:[Verteilung Krümmung]],2,FALSE)</f>
        <v>#N/A</v>
      </c>
      <c r="Z4566">
        <v>4557</v>
      </c>
      <c r="AA4566" t="e">
        <f>INDEX(Stammdaten[Ovalität (']0,1'])],MATCH(Tabelle1014[[#This Row],[Rank]],Stammdaten[Rank Verteilung Ovalität],0))</f>
        <v>#N/A</v>
      </c>
      <c r="AB4566" t="e">
        <f>VLOOKUP(Tabelle1014[[#This Row],[Rank]],Stammdaten[[Rank Verteilung Ovalität]:[Verteilung Ovalität]],2,FALSE)</f>
        <v>#N/A</v>
      </c>
    </row>
    <row r="4567" spans="5:28" x14ac:dyDescent="0.35">
      <c r="E4567">
        <v>4558</v>
      </c>
      <c r="F4567" t="e">
        <f>INDEX(Stammdaten[D Mitte mit Rinde (mm)],MATCH(Tabelle8[[#This Row],[Rank]],Stammdaten[Rank Verteilung D Mitte mit Rinde],0))</f>
        <v>#N/A</v>
      </c>
      <c r="G4567" t="e">
        <f>VLOOKUP(Tabelle8[[#This Row],[Rank]],Stammdaten[[Rank Verteilung D Mitte mit Rinde]:[Verteilung D Mitte mit Rinde]],2,FALSE)</f>
        <v>#N/A</v>
      </c>
      <c r="L4567">
        <v>4558</v>
      </c>
      <c r="M4567" t="e">
        <f>INDEX(Stammdaten[Abholzigkeit (mm/lfm)],MATCH(Tabelle9[[#This Row],[Rank]],Stammdaten[Rank Verteilung Abholzigkeit],0))</f>
        <v>#N/A</v>
      </c>
      <c r="N4567" t="e">
        <f>VLOOKUP(Tabelle9[[#This Row],[Rank]],Stammdaten[[Rank Verteilung Abholzigkeit]:[Verteilung Abholzigkeit]],2,FALSE)</f>
        <v>#N/A</v>
      </c>
      <c r="S4567">
        <v>4558</v>
      </c>
      <c r="T4567" t="e">
        <f>INDEX(Stammdaten[Krümmung (mm/lfm)],MATCH(Tabelle10[[#This Row],[Rank]],Stammdaten[Rank Verteilung Krümmung],0))</f>
        <v>#N/A</v>
      </c>
      <c r="U4567" t="e">
        <f>VLOOKUP(Tabelle10[[#This Row],[Rank]],Stammdaten[[Rank Verteilung Krümmung]:[Verteilung Krümmung]],2,FALSE)</f>
        <v>#N/A</v>
      </c>
      <c r="Z4567">
        <v>4558</v>
      </c>
      <c r="AA4567" t="e">
        <f>INDEX(Stammdaten[Ovalität (']0,1'])],MATCH(Tabelle1014[[#This Row],[Rank]],Stammdaten[Rank Verteilung Ovalität],0))</f>
        <v>#N/A</v>
      </c>
      <c r="AB4567" t="e">
        <f>VLOOKUP(Tabelle1014[[#This Row],[Rank]],Stammdaten[[Rank Verteilung Ovalität]:[Verteilung Ovalität]],2,FALSE)</f>
        <v>#N/A</v>
      </c>
    </row>
    <row r="4568" spans="5:28" x14ac:dyDescent="0.35">
      <c r="E4568">
        <v>4559</v>
      </c>
      <c r="F4568" t="e">
        <f>INDEX(Stammdaten[D Mitte mit Rinde (mm)],MATCH(Tabelle8[[#This Row],[Rank]],Stammdaten[Rank Verteilung D Mitte mit Rinde],0))</f>
        <v>#N/A</v>
      </c>
      <c r="G4568" t="e">
        <f>VLOOKUP(Tabelle8[[#This Row],[Rank]],Stammdaten[[Rank Verteilung D Mitte mit Rinde]:[Verteilung D Mitte mit Rinde]],2,FALSE)</f>
        <v>#N/A</v>
      </c>
      <c r="L4568">
        <v>4559</v>
      </c>
      <c r="M4568" t="e">
        <f>INDEX(Stammdaten[Abholzigkeit (mm/lfm)],MATCH(Tabelle9[[#This Row],[Rank]],Stammdaten[Rank Verteilung Abholzigkeit],0))</f>
        <v>#N/A</v>
      </c>
      <c r="N4568" t="e">
        <f>VLOOKUP(Tabelle9[[#This Row],[Rank]],Stammdaten[[Rank Verteilung Abholzigkeit]:[Verteilung Abholzigkeit]],2,FALSE)</f>
        <v>#N/A</v>
      </c>
      <c r="S4568">
        <v>4559</v>
      </c>
      <c r="T4568" t="e">
        <f>INDEX(Stammdaten[Krümmung (mm/lfm)],MATCH(Tabelle10[[#This Row],[Rank]],Stammdaten[Rank Verteilung Krümmung],0))</f>
        <v>#N/A</v>
      </c>
      <c r="U4568" t="e">
        <f>VLOOKUP(Tabelle10[[#This Row],[Rank]],Stammdaten[[Rank Verteilung Krümmung]:[Verteilung Krümmung]],2,FALSE)</f>
        <v>#N/A</v>
      </c>
      <c r="Z4568">
        <v>4559</v>
      </c>
      <c r="AA4568" t="e">
        <f>INDEX(Stammdaten[Ovalität (']0,1'])],MATCH(Tabelle1014[[#This Row],[Rank]],Stammdaten[Rank Verteilung Ovalität],0))</f>
        <v>#N/A</v>
      </c>
      <c r="AB4568" t="e">
        <f>VLOOKUP(Tabelle1014[[#This Row],[Rank]],Stammdaten[[Rank Verteilung Ovalität]:[Verteilung Ovalität]],2,FALSE)</f>
        <v>#N/A</v>
      </c>
    </row>
    <row r="4569" spans="5:28" x14ac:dyDescent="0.35">
      <c r="E4569">
        <v>4560</v>
      </c>
      <c r="F4569" t="e">
        <f>INDEX(Stammdaten[D Mitte mit Rinde (mm)],MATCH(Tabelle8[[#This Row],[Rank]],Stammdaten[Rank Verteilung D Mitte mit Rinde],0))</f>
        <v>#N/A</v>
      </c>
      <c r="G4569" t="e">
        <f>VLOOKUP(Tabelle8[[#This Row],[Rank]],Stammdaten[[Rank Verteilung D Mitte mit Rinde]:[Verteilung D Mitte mit Rinde]],2,FALSE)</f>
        <v>#N/A</v>
      </c>
      <c r="L4569">
        <v>4560</v>
      </c>
      <c r="M4569" t="e">
        <f>INDEX(Stammdaten[Abholzigkeit (mm/lfm)],MATCH(Tabelle9[[#This Row],[Rank]],Stammdaten[Rank Verteilung Abholzigkeit],0))</f>
        <v>#N/A</v>
      </c>
      <c r="N4569" t="e">
        <f>VLOOKUP(Tabelle9[[#This Row],[Rank]],Stammdaten[[Rank Verteilung Abholzigkeit]:[Verteilung Abholzigkeit]],2,FALSE)</f>
        <v>#N/A</v>
      </c>
      <c r="S4569">
        <v>4560</v>
      </c>
      <c r="T4569" t="e">
        <f>INDEX(Stammdaten[Krümmung (mm/lfm)],MATCH(Tabelle10[[#This Row],[Rank]],Stammdaten[Rank Verteilung Krümmung],0))</f>
        <v>#N/A</v>
      </c>
      <c r="U4569" t="e">
        <f>VLOOKUP(Tabelle10[[#This Row],[Rank]],Stammdaten[[Rank Verteilung Krümmung]:[Verteilung Krümmung]],2,FALSE)</f>
        <v>#N/A</v>
      </c>
      <c r="Z4569">
        <v>4560</v>
      </c>
      <c r="AA4569" t="e">
        <f>INDEX(Stammdaten[Ovalität (']0,1'])],MATCH(Tabelle1014[[#This Row],[Rank]],Stammdaten[Rank Verteilung Ovalität],0))</f>
        <v>#N/A</v>
      </c>
      <c r="AB4569" t="e">
        <f>VLOOKUP(Tabelle1014[[#This Row],[Rank]],Stammdaten[[Rank Verteilung Ovalität]:[Verteilung Ovalität]],2,FALSE)</f>
        <v>#N/A</v>
      </c>
    </row>
    <row r="4570" spans="5:28" x14ac:dyDescent="0.35">
      <c r="E4570">
        <v>4561</v>
      </c>
      <c r="F4570" t="e">
        <f>INDEX(Stammdaten[D Mitte mit Rinde (mm)],MATCH(Tabelle8[[#This Row],[Rank]],Stammdaten[Rank Verteilung D Mitte mit Rinde],0))</f>
        <v>#N/A</v>
      </c>
      <c r="G4570" t="e">
        <f>VLOOKUP(Tabelle8[[#This Row],[Rank]],Stammdaten[[Rank Verteilung D Mitte mit Rinde]:[Verteilung D Mitte mit Rinde]],2,FALSE)</f>
        <v>#N/A</v>
      </c>
      <c r="L4570">
        <v>4561</v>
      </c>
      <c r="M4570" t="e">
        <f>INDEX(Stammdaten[Abholzigkeit (mm/lfm)],MATCH(Tabelle9[[#This Row],[Rank]],Stammdaten[Rank Verteilung Abholzigkeit],0))</f>
        <v>#N/A</v>
      </c>
      <c r="N4570" t="e">
        <f>VLOOKUP(Tabelle9[[#This Row],[Rank]],Stammdaten[[Rank Verteilung Abholzigkeit]:[Verteilung Abholzigkeit]],2,FALSE)</f>
        <v>#N/A</v>
      </c>
      <c r="S4570">
        <v>4561</v>
      </c>
      <c r="T4570" t="e">
        <f>INDEX(Stammdaten[Krümmung (mm/lfm)],MATCH(Tabelle10[[#This Row],[Rank]],Stammdaten[Rank Verteilung Krümmung],0))</f>
        <v>#N/A</v>
      </c>
      <c r="U4570" t="e">
        <f>VLOOKUP(Tabelle10[[#This Row],[Rank]],Stammdaten[[Rank Verteilung Krümmung]:[Verteilung Krümmung]],2,FALSE)</f>
        <v>#N/A</v>
      </c>
      <c r="Z4570">
        <v>4561</v>
      </c>
      <c r="AA4570" t="e">
        <f>INDEX(Stammdaten[Ovalität (']0,1'])],MATCH(Tabelle1014[[#This Row],[Rank]],Stammdaten[Rank Verteilung Ovalität],0))</f>
        <v>#N/A</v>
      </c>
      <c r="AB4570" t="e">
        <f>VLOOKUP(Tabelle1014[[#This Row],[Rank]],Stammdaten[[Rank Verteilung Ovalität]:[Verteilung Ovalität]],2,FALSE)</f>
        <v>#N/A</v>
      </c>
    </row>
    <row r="4571" spans="5:28" x14ac:dyDescent="0.35">
      <c r="E4571">
        <v>4562</v>
      </c>
      <c r="F4571" t="e">
        <f>INDEX(Stammdaten[D Mitte mit Rinde (mm)],MATCH(Tabelle8[[#This Row],[Rank]],Stammdaten[Rank Verteilung D Mitte mit Rinde],0))</f>
        <v>#N/A</v>
      </c>
      <c r="G4571" t="e">
        <f>VLOOKUP(Tabelle8[[#This Row],[Rank]],Stammdaten[[Rank Verteilung D Mitte mit Rinde]:[Verteilung D Mitte mit Rinde]],2,FALSE)</f>
        <v>#N/A</v>
      </c>
      <c r="L4571">
        <v>4562</v>
      </c>
      <c r="M4571" t="e">
        <f>INDEX(Stammdaten[Abholzigkeit (mm/lfm)],MATCH(Tabelle9[[#This Row],[Rank]],Stammdaten[Rank Verteilung Abholzigkeit],0))</f>
        <v>#N/A</v>
      </c>
      <c r="N4571" t="e">
        <f>VLOOKUP(Tabelle9[[#This Row],[Rank]],Stammdaten[[Rank Verteilung Abholzigkeit]:[Verteilung Abholzigkeit]],2,FALSE)</f>
        <v>#N/A</v>
      </c>
      <c r="S4571">
        <v>4562</v>
      </c>
      <c r="T4571" t="e">
        <f>INDEX(Stammdaten[Krümmung (mm/lfm)],MATCH(Tabelle10[[#This Row],[Rank]],Stammdaten[Rank Verteilung Krümmung],0))</f>
        <v>#N/A</v>
      </c>
      <c r="U4571" t="e">
        <f>VLOOKUP(Tabelle10[[#This Row],[Rank]],Stammdaten[[Rank Verteilung Krümmung]:[Verteilung Krümmung]],2,FALSE)</f>
        <v>#N/A</v>
      </c>
      <c r="Z4571">
        <v>4562</v>
      </c>
      <c r="AA4571" t="e">
        <f>INDEX(Stammdaten[Ovalität (']0,1'])],MATCH(Tabelle1014[[#This Row],[Rank]],Stammdaten[Rank Verteilung Ovalität],0))</f>
        <v>#N/A</v>
      </c>
      <c r="AB4571" t="e">
        <f>VLOOKUP(Tabelle1014[[#This Row],[Rank]],Stammdaten[[Rank Verteilung Ovalität]:[Verteilung Ovalität]],2,FALSE)</f>
        <v>#N/A</v>
      </c>
    </row>
    <row r="4572" spans="5:28" x14ac:dyDescent="0.35">
      <c r="E4572">
        <v>4563</v>
      </c>
      <c r="F4572" t="e">
        <f>INDEX(Stammdaten[D Mitte mit Rinde (mm)],MATCH(Tabelle8[[#This Row],[Rank]],Stammdaten[Rank Verteilung D Mitte mit Rinde],0))</f>
        <v>#N/A</v>
      </c>
      <c r="G4572" t="e">
        <f>VLOOKUP(Tabelle8[[#This Row],[Rank]],Stammdaten[[Rank Verteilung D Mitte mit Rinde]:[Verteilung D Mitte mit Rinde]],2,FALSE)</f>
        <v>#N/A</v>
      </c>
      <c r="L4572">
        <v>4563</v>
      </c>
      <c r="M4572" t="e">
        <f>INDEX(Stammdaten[Abholzigkeit (mm/lfm)],MATCH(Tabelle9[[#This Row],[Rank]],Stammdaten[Rank Verteilung Abholzigkeit],0))</f>
        <v>#N/A</v>
      </c>
      <c r="N4572" t="e">
        <f>VLOOKUP(Tabelle9[[#This Row],[Rank]],Stammdaten[[Rank Verteilung Abholzigkeit]:[Verteilung Abholzigkeit]],2,FALSE)</f>
        <v>#N/A</v>
      </c>
      <c r="S4572">
        <v>4563</v>
      </c>
      <c r="T4572" t="e">
        <f>INDEX(Stammdaten[Krümmung (mm/lfm)],MATCH(Tabelle10[[#This Row],[Rank]],Stammdaten[Rank Verteilung Krümmung],0))</f>
        <v>#N/A</v>
      </c>
      <c r="U4572" t="e">
        <f>VLOOKUP(Tabelle10[[#This Row],[Rank]],Stammdaten[[Rank Verteilung Krümmung]:[Verteilung Krümmung]],2,FALSE)</f>
        <v>#N/A</v>
      </c>
      <c r="Z4572">
        <v>4563</v>
      </c>
      <c r="AA4572" t="e">
        <f>INDEX(Stammdaten[Ovalität (']0,1'])],MATCH(Tabelle1014[[#This Row],[Rank]],Stammdaten[Rank Verteilung Ovalität],0))</f>
        <v>#N/A</v>
      </c>
      <c r="AB4572" t="e">
        <f>VLOOKUP(Tabelle1014[[#This Row],[Rank]],Stammdaten[[Rank Verteilung Ovalität]:[Verteilung Ovalität]],2,FALSE)</f>
        <v>#N/A</v>
      </c>
    </row>
    <row r="4573" spans="5:28" x14ac:dyDescent="0.35">
      <c r="E4573">
        <v>4564</v>
      </c>
      <c r="F4573" t="e">
        <f>INDEX(Stammdaten[D Mitte mit Rinde (mm)],MATCH(Tabelle8[[#This Row],[Rank]],Stammdaten[Rank Verteilung D Mitte mit Rinde],0))</f>
        <v>#N/A</v>
      </c>
      <c r="G4573" t="e">
        <f>VLOOKUP(Tabelle8[[#This Row],[Rank]],Stammdaten[[Rank Verteilung D Mitte mit Rinde]:[Verteilung D Mitte mit Rinde]],2,FALSE)</f>
        <v>#N/A</v>
      </c>
      <c r="L4573">
        <v>4564</v>
      </c>
      <c r="M4573" t="e">
        <f>INDEX(Stammdaten[Abholzigkeit (mm/lfm)],MATCH(Tabelle9[[#This Row],[Rank]],Stammdaten[Rank Verteilung Abholzigkeit],0))</f>
        <v>#N/A</v>
      </c>
      <c r="N4573" t="e">
        <f>VLOOKUP(Tabelle9[[#This Row],[Rank]],Stammdaten[[Rank Verteilung Abholzigkeit]:[Verteilung Abholzigkeit]],2,FALSE)</f>
        <v>#N/A</v>
      </c>
      <c r="S4573">
        <v>4564</v>
      </c>
      <c r="T4573" t="e">
        <f>INDEX(Stammdaten[Krümmung (mm/lfm)],MATCH(Tabelle10[[#This Row],[Rank]],Stammdaten[Rank Verteilung Krümmung],0))</f>
        <v>#N/A</v>
      </c>
      <c r="U4573" t="e">
        <f>VLOOKUP(Tabelle10[[#This Row],[Rank]],Stammdaten[[Rank Verteilung Krümmung]:[Verteilung Krümmung]],2,FALSE)</f>
        <v>#N/A</v>
      </c>
      <c r="Z4573">
        <v>4564</v>
      </c>
      <c r="AA4573" t="e">
        <f>INDEX(Stammdaten[Ovalität (']0,1'])],MATCH(Tabelle1014[[#This Row],[Rank]],Stammdaten[Rank Verteilung Ovalität],0))</f>
        <v>#N/A</v>
      </c>
      <c r="AB4573" t="e">
        <f>VLOOKUP(Tabelle1014[[#This Row],[Rank]],Stammdaten[[Rank Verteilung Ovalität]:[Verteilung Ovalität]],2,FALSE)</f>
        <v>#N/A</v>
      </c>
    </row>
    <row r="4574" spans="5:28" x14ac:dyDescent="0.35">
      <c r="E4574">
        <v>4565</v>
      </c>
      <c r="F4574" t="e">
        <f>INDEX(Stammdaten[D Mitte mit Rinde (mm)],MATCH(Tabelle8[[#This Row],[Rank]],Stammdaten[Rank Verteilung D Mitte mit Rinde],0))</f>
        <v>#N/A</v>
      </c>
      <c r="G4574" t="e">
        <f>VLOOKUP(Tabelle8[[#This Row],[Rank]],Stammdaten[[Rank Verteilung D Mitte mit Rinde]:[Verteilung D Mitte mit Rinde]],2,FALSE)</f>
        <v>#N/A</v>
      </c>
      <c r="L4574">
        <v>4565</v>
      </c>
      <c r="M4574" t="e">
        <f>INDEX(Stammdaten[Abholzigkeit (mm/lfm)],MATCH(Tabelle9[[#This Row],[Rank]],Stammdaten[Rank Verteilung Abholzigkeit],0))</f>
        <v>#N/A</v>
      </c>
      <c r="N4574" t="e">
        <f>VLOOKUP(Tabelle9[[#This Row],[Rank]],Stammdaten[[Rank Verteilung Abholzigkeit]:[Verteilung Abholzigkeit]],2,FALSE)</f>
        <v>#N/A</v>
      </c>
      <c r="S4574">
        <v>4565</v>
      </c>
      <c r="T4574" t="e">
        <f>INDEX(Stammdaten[Krümmung (mm/lfm)],MATCH(Tabelle10[[#This Row],[Rank]],Stammdaten[Rank Verteilung Krümmung],0))</f>
        <v>#N/A</v>
      </c>
      <c r="U4574" t="e">
        <f>VLOOKUP(Tabelle10[[#This Row],[Rank]],Stammdaten[[Rank Verteilung Krümmung]:[Verteilung Krümmung]],2,FALSE)</f>
        <v>#N/A</v>
      </c>
      <c r="Z4574">
        <v>4565</v>
      </c>
      <c r="AA4574" t="e">
        <f>INDEX(Stammdaten[Ovalität (']0,1'])],MATCH(Tabelle1014[[#This Row],[Rank]],Stammdaten[Rank Verteilung Ovalität],0))</f>
        <v>#N/A</v>
      </c>
      <c r="AB4574" t="e">
        <f>VLOOKUP(Tabelle1014[[#This Row],[Rank]],Stammdaten[[Rank Verteilung Ovalität]:[Verteilung Ovalität]],2,FALSE)</f>
        <v>#N/A</v>
      </c>
    </row>
    <row r="4575" spans="5:28" x14ac:dyDescent="0.35">
      <c r="E4575">
        <v>4566</v>
      </c>
      <c r="F4575" t="e">
        <f>INDEX(Stammdaten[D Mitte mit Rinde (mm)],MATCH(Tabelle8[[#This Row],[Rank]],Stammdaten[Rank Verteilung D Mitte mit Rinde],0))</f>
        <v>#N/A</v>
      </c>
      <c r="G4575" t="e">
        <f>VLOOKUP(Tabelle8[[#This Row],[Rank]],Stammdaten[[Rank Verteilung D Mitte mit Rinde]:[Verteilung D Mitte mit Rinde]],2,FALSE)</f>
        <v>#N/A</v>
      </c>
      <c r="L4575">
        <v>4566</v>
      </c>
      <c r="M4575" t="e">
        <f>INDEX(Stammdaten[Abholzigkeit (mm/lfm)],MATCH(Tabelle9[[#This Row],[Rank]],Stammdaten[Rank Verteilung Abholzigkeit],0))</f>
        <v>#N/A</v>
      </c>
      <c r="N4575" t="e">
        <f>VLOOKUP(Tabelle9[[#This Row],[Rank]],Stammdaten[[Rank Verteilung Abholzigkeit]:[Verteilung Abholzigkeit]],2,FALSE)</f>
        <v>#N/A</v>
      </c>
      <c r="S4575">
        <v>4566</v>
      </c>
      <c r="T4575" t="e">
        <f>INDEX(Stammdaten[Krümmung (mm/lfm)],MATCH(Tabelle10[[#This Row],[Rank]],Stammdaten[Rank Verteilung Krümmung],0))</f>
        <v>#N/A</v>
      </c>
      <c r="U4575" t="e">
        <f>VLOOKUP(Tabelle10[[#This Row],[Rank]],Stammdaten[[Rank Verteilung Krümmung]:[Verteilung Krümmung]],2,FALSE)</f>
        <v>#N/A</v>
      </c>
      <c r="Z4575">
        <v>4566</v>
      </c>
      <c r="AA4575" t="e">
        <f>INDEX(Stammdaten[Ovalität (']0,1'])],MATCH(Tabelle1014[[#This Row],[Rank]],Stammdaten[Rank Verteilung Ovalität],0))</f>
        <v>#N/A</v>
      </c>
      <c r="AB4575" t="e">
        <f>VLOOKUP(Tabelle1014[[#This Row],[Rank]],Stammdaten[[Rank Verteilung Ovalität]:[Verteilung Ovalität]],2,FALSE)</f>
        <v>#N/A</v>
      </c>
    </row>
    <row r="4576" spans="5:28" x14ac:dyDescent="0.35">
      <c r="E4576">
        <v>4567</v>
      </c>
      <c r="F4576" t="e">
        <f>INDEX(Stammdaten[D Mitte mit Rinde (mm)],MATCH(Tabelle8[[#This Row],[Rank]],Stammdaten[Rank Verteilung D Mitte mit Rinde],0))</f>
        <v>#N/A</v>
      </c>
      <c r="G4576" t="e">
        <f>VLOOKUP(Tabelle8[[#This Row],[Rank]],Stammdaten[[Rank Verteilung D Mitte mit Rinde]:[Verteilung D Mitte mit Rinde]],2,FALSE)</f>
        <v>#N/A</v>
      </c>
      <c r="L4576">
        <v>4567</v>
      </c>
      <c r="M4576" t="e">
        <f>INDEX(Stammdaten[Abholzigkeit (mm/lfm)],MATCH(Tabelle9[[#This Row],[Rank]],Stammdaten[Rank Verteilung Abholzigkeit],0))</f>
        <v>#N/A</v>
      </c>
      <c r="N4576" t="e">
        <f>VLOOKUP(Tabelle9[[#This Row],[Rank]],Stammdaten[[Rank Verteilung Abholzigkeit]:[Verteilung Abholzigkeit]],2,FALSE)</f>
        <v>#N/A</v>
      </c>
      <c r="S4576">
        <v>4567</v>
      </c>
      <c r="T4576" t="e">
        <f>INDEX(Stammdaten[Krümmung (mm/lfm)],MATCH(Tabelle10[[#This Row],[Rank]],Stammdaten[Rank Verteilung Krümmung],0))</f>
        <v>#N/A</v>
      </c>
      <c r="U4576" t="e">
        <f>VLOOKUP(Tabelle10[[#This Row],[Rank]],Stammdaten[[Rank Verteilung Krümmung]:[Verteilung Krümmung]],2,FALSE)</f>
        <v>#N/A</v>
      </c>
      <c r="Z4576">
        <v>4567</v>
      </c>
      <c r="AA4576" t="e">
        <f>INDEX(Stammdaten[Ovalität (']0,1'])],MATCH(Tabelle1014[[#This Row],[Rank]],Stammdaten[Rank Verteilung Ovalität],0))</f>
        <v>#N/A</v>
      </c>
      <c r="AB4576" t="e">
        <f>VLOOKUP(Tabelle1014[[#This Row],[Rank]],Stammdaten[[Rank Verteilung Ovalität]:[Verteilung Ovalität]],2,FALSE)</f>
        <v>#N/A</v>
      </c>
    </row>
    <row r="4577" spans="5:28" x14ac:dyDescent="0.35">
      <c r="E4577">
        <v>4568</v>
      </c>
      <c r="F4577" t="e">
        <f>INDEX(Stammdaten[D Mitte mit Rinde (mm)],MATCH(Tabelle8[[#This Row],[Rank]],Stammdaten[Rank Verteilung D Mitte mit Rinde],0))</f>
        <v>#N/A</v>
      </c>
      <c r="G4577" t="e">
        <f>VLOOKUP(Tabelle8[[#This Row],[Rank]],Stammdaten[[Rank Verteilung D Mitte mit Rinde]:[Verteilung D Mitte mit Rinde]],2,FALSE)</f>
        <v>#N/A</v>
      </c>
      <c r="L4577">
        <v>4568</v>
      </c>
      <c r="M4577" t="e">
        <f>INDEX(Stammdaten[Abholzigkeit (mm/lfm)],MATCH(Tabelle9[[#This Row],[Rank]],Stammdaten[Rank Verteilung Abholzigkeit],0))</f>
        <v>#N/A</v>
      </c>
      <c r="N4577" t="e">
        <f>VLOOKUP(Tabelle9[[#This Row],[Rank]],Stammdaten[[Rank Verteilung Abholzigkeit]:[Verteilung Abholzigkeit]],2,FALSE)</f>
        <v>#N/A</v>
      </c>
      <c r="S4577">
        <v>4568</v>
      </c>
      <c r="T4577" t="e">
        <f>INDEX(Stammdaten[Krümmung (mm/lfm)],MATCH(Tabelle10[[#This Row],[Rank]],Stammdaten[Rank Verteilung Krümmung],0))</f>
        <v>#N/A</v>
      </c>
      <c r="U4577" t="e">
        <f>VLOOKUP(Tabelle10[[#This Row],[Rank]],Stammdaten[[Rank Verteilung Krümmung]:[Verteilung Krümmung]],2,FALSE)</f>
        <v>#N/A</v>
      </c>
      <c r="Z4577">
        <v>4568</v>
      </c>
      <c r="AA4577" t="e">
        <f>INDEX(Stammdaten[Ovalität (']0,1'])],MATCH(Tabelle1014[[#This Row],[Rank]],Stammdaten[Rank Verteilung Ovalität],0))</f>
        <v>#N/A</v>
      </c>
      <c r="AB4577" t="e">
        <f>VLOOKUP(Tabelle1014[[#This Row],[Rank]],Stammdaten[[Rank Verteilung Ovalität]:[Verteilung Ovalität]],2,FALSE)</f>
        <v>#N/A</v>
      </c>
    </row>
    <row r="4578" spans="5:28" x14ac:dyDescent="0.35">
      <c r="E4578">
        <v>4569</v>
      </c>
      <c r="F4578" t="e">
        <f>INDEX(Stammdaten[D Mitte mit Rinde (mm)],MATCH(Tabelle8[[#This Row],[Rank]],Stammdaten[Rank Verteilung D Mitte mit Rinde],0))</f>
        <v>#N/A</v>
      </c>
      <c r="G4578" t="e">
        <f>VLOOKUP(Tabelle8[[#This Row],[Rank]],Stammdaten[[Rank Verteilung D Mitte mit Rinde]:[Verteilung D Mitte mit Rinde]],2,FALSE)</f>
        <v>#N/A</v>
      </c>
      <c r="L4578">
        <v>4569</v>
      </c>
      <c r="M4578" t="e">
        <f>INDEX(Stammdaten[Abholzigkeit (mm/lfm)],MATCH(Tabelle9[[#This Row],[Rank]],Stammdaten[Rank Verteilung Abholzigkeit],0))</f>
        <v>#N/A</v>
      </c>
      <c r="N4578" t="e">
        <f>VLOOKUP(Tabelle9[[#This Row],[Rank]],Stammdaten[[Rank Verteilung Abholzigkeit]:[Verteilung Abholzigkeit]],2,FALSE)</f>
        <v>#N/A</v>
      </c>
      <c r="S4578">
        <v>4569</v>
      </c>
      <c r="T4578" t="e">
        <f>INDEX(Stammdaten[Krümmung (mm/lfm)],MATCH(Tabelle10[[#This Row],[Rank]],Stammdaten[Rank Verteilung Krümmung],0))</f>
        <v>#N/A</v>
      </c>
      <c r="U4578" t="e">
        <f>VLOOKUP(Tabelle10[[#This Row],[Rank]],Stammdaten[[Rank Verteilung Krümmung]:[Verteilung Krümmung]],2,FALSE)</f>
        <v>#N/A</v>
      </c>
      <c r="Z4578">
        <v>4569</v>
      </c>
      <c r="AA4578" t="e">
        <f>INDEX(Stammdaten[Ovalität (']0,1'])],MATCH(Tabelle1014[[#This Row],[Rank]],Stammdaten[Rank Verteilung Ovalität],0))</f>
        <v>#N/A</v>
      </c>
      <c r="AB4578" t="e">
        <f>VLOOKUP(Tabelle1014[[#This Row],[Rank]],Stammdaten[[Rank Verteilung Ovalität]:[Verteilung Ovalität]],2,FALSE)</f>
        <v>#N/A</v>
      </c>
    </row>
    <row r="4579" spans="5:28" x14ac:dyDescent="0.35">
      <c r="E4579">
        <v>4570</v>
      </c>
      <c r="F4579" t="e">
        <f>INDEX(Stammdaten[D Mitte mit Rinde (mm)],MATCH(Tabelle8[[#This Row],[Rank]],Stammdaten[Rank Verteilung D Mitte mit Rinde],0))</f>
        <v>#N/A</v>
      </c>
      <c r="G4579" t="e">
        <f>VLOOKUP(Tabelle8[[#This Row],[Rank]],Stammdaten[[Rank Verteilung D Mitte mit Rinde]:[Verteilung D Mitte mit Rinde]],2,FALSE)</f>
        <v>#N/A</v>
      </c>
      <c r="L4579">
        <v>4570</v>
      </c>
      <c r="M4579" t="e">
        <f>INDEX(Stammdaten[Abholzigkeit (mm/lfm)],MATCH(Tabelle9[[#This Row],[Rank]],Stammdaten[Rank Verteilung Abholzigkeit],0))</f>
        <v>#N/A</v>
      </c>
      <c r="N4579" t="e">
        <f>VLOOKUP(Tabelle9[[#This Row],[Rank]],Stammdaten[[Rank Verteilung Abholzigkeit]:[Verteilung Abholzigkeit]],2,FALSE)</f>
        <v>#N/A</v>
      </c>
      <c r="S4579">
        <v>4570</v>
      </c>
      <c r="T4579" t="e">
        <f>INDEX(Stammdaten[Krümmung (mm/lfm)],MATCH(Tabelle10[[#This Row],[Rank]],Stammdaten[Rank Verteilung Krümmung],0))</f>
        <v>#N/A</v>
      </c>
      <c r="U4579" t="e">
        <f>VLOOKUP(Tabelle10[[#This Row],[Rank]],Stammdaten[[Rank Verteilung Krümmung]:[Verteilung Krümmung]],2,FALSE)</f>
        <v>#N/A</v>
      </c>
      <c r="Z4579">
        <v>4570</v>
      </c>
      <c r="AA4579" t="e">
        <f>INDEX(Stammdaten[Ovalität (']0,1'])],MATCH(Tabelle1014[[#This Row],[Rank]],Stammdaten[Rank Verteilung Ovalität],0))</f>
        <v>#N/A</v>
      </c>
      <c r="AB4579" t="e">
        <f>VLOOKUP(Tabelle1014[[#This Row],[Rank]],Stammdaten[[Rank Verteilung Ovalität]:[Verteilung Ovalität]],2,FALSE)</f>
        <v>#N/A</v>
      </c>
    </row>
    <row r="4580" spans="5:28" x14ac:dyDescent="0.35">
      <c r="E4580">
        <v>4571</v>
      </c>
      <c r="F4580" t="e">
        <f>INDEX(Stammdaten[D Mitte mit Rinde (mm)],MATCH(Tabelle8[[#This Row],[Rank]],Stammdaten[Rank Verteilung D Mitte mit Rinde],0))</f>
        <v>#N/A</v>
      </c>
      <c r="G4580" t="e">
        <f>VLOOKUP(Tabelle8[[#This Row],[Rank]],Stammdaten[[Rank Verteilung D Mitte mit Rinde]:[Verteilung D Mitte mit Rinde]],2,FALSE)</f>
        <v>#N/A</v>
      </c>
      <c r="L4580">
        <v>4571</v>
      </c>
      <c r="M4580" t="e">
        <f>INDEX(Stammdaten[Abholzigkeit (mm/lfm)],MATCH(Tabelle9[[#This Row],[Rank]],Stammdaten[Rank Verteilung Abholzigkeit],0))</f>
        <v>#N/A</v>
      </c>
      <c r="N4580" t="e">
        <f>VLOOKUP(Tabelle9[[#This Row],[Rank]],Stammdaten[[Rank Verteilung Abholzigkeit]:[Verteilung Abholzigkeit]],2,FALSE)</f>
        <v>#N/A</v>
      </c>
      <c r="S4580">
        <v>4571</v>
      </c>
      <c r="T4580" t="e">
        <f>INDEX(Stammdaten[Krümmung (mm/lfm)],MATCH(Tabelle10[[#This Row],[Rank]],Stammdaten[Rank Verteilung Krümmung],0))</f>
        <v>#N/A</v>
      </c>
      <c r="U4580" t="e">
        <f>VLOOKUP(Tabelle10[[#This Row],[Rank]],Stammdaten[[Rank Verteilung Krümmung]:[Verteilung Krümmung]],2,FALSE)</f>
        <v>#N/A</v>
      </c>
      <c r="Z4580">
        <v>4571</v>
      </c>
      <c r="AA4580" t="e">
        <f>INDEX(Stammdaten[Ovalität (']0,1'])],MATCH(Tabelle1014[[#This Row],[Rank]],Stammdaten[Rank Verteilung Ovalität],0))</f>
        <v>#N/A</v>
      </c>
      <c r="AB4580" t="e">
        <f>VLOOKUP(Tabelle1014[[#This Row],[Rank]],Stammdaten[[Rank Verteilung Ovalität]:[Verteilung Ovalität]],2,FALSE)</f>
        <v>#N/A</v>
      </c>
    </row>
    <row r="4581" spans="5:28" x14ac:dyDescent="0.35">
      <c r="E4581">
        <v>4572</v>
      </c>
      <c r="F4581" t="e">
        <f>INDEX(Stammdaten[D Mitte mit Rinde (mm)],MATCH(Tabelle8[[#This Row],[Rank]],Stammdaten[Rank Verteilung D Mitte mit Rinde],0))</f>
        <v>#N/A</v>
      </c>
      <c r="G4581" t="e">
        <f>VLOOKUP(Tabelle8[[#This Row],[Rank]],Stammdaten[[Rank Verteilung D Mitte mit Rinde]:[Verteilung D Mitte mit Rinde]],2,FALSE)</f>
        <v>#N/A</v>
      </c>
      <c r="L4581">
        <v>4572</v>
      </c>
      <c r="M4581" t="e">
        <f>INDEX(Stammdaten[Abholzigkeit (mm/lfm)],MATCH(Tabelle9[[#This Row],[Rank]],Stammdaten[Rank Verteilung Abholzigkeit],0))</f>
        <v>#N/A</v>
      </c>
      <c r="N4581" t="e">
        <f>VLOOKUP(Tabelle9[[#This Row],[Rank]],Stammdaten[[Rank Verteilung Abholzigkeit]:[Verteilung Abholzigkeit]],2,FALSE)</f>
        <v>#N/A</v>
      </c>
      <c r="S4581">
        <v>4572</v>
      </c>
      <c r="T4581" t="e">
        <f>INDEX(Stammdaten[Krümmung (mm/lfm)],MATCH(Tabelle10[[#This Row],[Rank]],Stammdaten[Rank Verteilung Krümmung],0))</f>
        <v>#N/A</v>
      </c>
      <c r="U4581" t="e">
        <f>VLOOKUP(Tabelle10[[#This Row],[Rank]],Stammdaten[[Rank Verteilung Krümmung]:[Verteilung Krümmung]],2,FALSE)</f>
        <v>#N/A</v>
      </c>
      <c r="Z4581">
        <v>4572</v>
      </c>
      <c r="AA4581" t="e">
        <f>INDEX(Stammdaten[Ovalität (']0,1'])],MATCH(Tabelle1014[[#This Row],[Rank]],Stammdaten[Rank Verteilung Ovalität],0))</f>
        <v>#N/A</v>
      </c>
      <c r="AB4581" t="e">
        <f>VLOOKUP(Tabelle1014[[#This Row],[Rank]],Stammdaten[[Rank Verteilung Ovalität]:[Verteilung Ovalität]],2,FALSE)</f>
        <v>#N/A</v>
      </c>
    </row>
    <row r="4582" spans="5:28" x14ac:dyDescent="0.35">
      <c r="E4582">
        <v>4573</v>
      </c>
      <c r="F4582" t="e">
        <f>INDEX(Stammdaten[D Mitte mit Rinde (mm)],MATCH(Tabelle8[[#This Row],[Rank]],Stammdaten[Rank Verteilung D Mitte mit Rinde],0))</f>
        <v>#N/A</v>
      </c>
      <c r="G4582" t="e">
        <f>VLOOKUP(Tabelle8[[#This Row],[Rank]],Stammdaten[[Rank Verteilung D Mitte mit Rinde]:[Verteilung D Mitte mit Rinde]],2,FALSE)</f>
        <v>#N/A</v>
      </c>
      <c r="L4582">
        <v>4573</v>
      </c>
      <c r="M4582" t="e">
        <f>INDEX(Stammdaten[Abholzigkeit (mm/lfm)],MATCH(Tabelle9[[#This Row],[Rank]],Stammdaten[Rank Verteilung Abholzigkeit],0))</f>
        <v>#N/A</v>
      </c>
      <c r="N4582" t="e">
        <f>VLOOKUP(Tabelle9[[#This Row],[Rank]],Stammdaten[[Rank Verteilung Abholzigkeit]:[Verteilung Abholzigkeit]],2,FALSE)</f>
        <v>#N/A</v>
      </c>
      <c r="S4582">
        <v>4573</v>
      </c>
      <c r="T4582" t="e">
        <f>INDEX(Stammdaten[Krümmung (mm/lfm)],MATCH(Tabelle10[[#This Row],[Rank]],Stammdaten[Rank Verteilung Krümmung],0))</f>
        <v>#N/A</v>
      </c>
      <c r="U4582" t="e">
        <f>VLOOKUP(Tabelle10[[#This Row],[Rank]],Stammdaten[[Rank Verteilung Krümmung]:[Verteilung Krümmung]],2,FALSE)</f>
        <v>#N/A</v>
      </c>
      <c r="Z4582">
        <v>4573</v>
      </c>
      <c r="AA4582" t="e">
        <f>INDEX(Stammdaten[Ovalität (']0,1'])],MATCH(Tabelle1014[[#This Row],[Rank]],Stammdaten[Rank Verteilung Ovalität],0))</f>
        <v>#N/A</v>
      </c>
      <c r="AB4582" t="e">
        <f>VLOOKUP(Tabelle1014[[#This Row],[Rank]],Stammdaten[[Rank Verteilung Ovalität]:[Verteilung Ovalität]],2,FALSE)</f>
        <v>#N/A</v>
      </c>
    </row>
    <row r="4583" spans="5:28" x14ac:dyDescent="0.35">
      <c r="E4583">
        <v>4574</v>
      </c>
      <c r="F4583" t="e">
        <f>INDEX(Stammdaten[D Mitte mit Rinde (mm)],MATCH(Tabelle8[[#This Row],[Rank]],Stammdaten[Rank Verteilung D Mitte mit Rinde],0))</f>
        <v>#N/A</v>
      </c>
      <c r="G4583" t="e">
        <f>VLOOKUP(Tabelle8[[#This Row],[Rank]],Stammdaten[[Rank Verteilung D Mitte mit Rinde]:[Verteilung D Mitte mit Rinde]],2,FALSE)</f>
        <v>#N/A</v>
      </c>
      <c r="L4583">
        <v>4574</v>
      </c>
      <c r="M4583" t="e">
        <f>INDEX(Stammdaten[Abholzigkeit (mm/lfm)],MATCH(Tabelle9[[#This Row],[Rank]],Stammdaten[Rank Verteilung Abholzigkeit],0))</f>
        <v>#N/A</v>
      </c>
      <c r="N4583" t="e">
        <f>VLOOKUP(Tabelle9[[#This Row],[Rank]],Stammdaten[[Rank Verteilung Abholzigkeit]:[Verteilung Abholzigkeit]],2,FALSE)</f>
        <v>#N/A</v>
      </c>
      <c r="S4583">
        <v>4574</v>
      </c>
      <c r="T4583" t="e">
        <f>INDEX(Stammdaten[Krümmung (mm/lfm)],MATCH(Tabelle10[[#This Row],[Rank]],Stammdaten[Rank Verteilung Krümmung],0))</f>
        <v>#N/A</v>
      </c>
      <c r="U4583" t="e">
        <f>VLOOKUP(Tabelle10[[#This Row],[Rank]],Stammdaten[[Rank Verteilung Krümmung]:[Verteilung Krümmung]],2,FALSE)</f>
        <v>#N/A</v>
      </c>
      <c r="Z4583">
        <v>4574</v>
      </c>
      <c r="AA4583" t="e">
        <f>INDEX(Stammdaten[Ovalität (']0,1'])],MATCH(Tabelle1014[[#This Row],[Rank]],Stammdaten[Rank Verteilung Ovalität],0))</f>
        <v>#N/A</v>
      </c>
      <c r="AB4583" t="e">
        <f>VLOOKUP(Tabelle1014[[#This Row],[Rank]],Stammdaten[[Rank Verteilung Ovalität]:[Verteilung Ovalität]],2,FALSE)</f>
        <v>#N/A</v>
      </c>
    </row>
    <row r="4584" spans="5:28" x14ac:dyDescent="0.35">
      <c r="E4584">
        <v>4575</v>
      </c>
      <c r="F4584" t="e">
        <f>INDEX(Stammdaten[D Mitte mit Rinde (mm)],MATCH(Tabelle8[[#This Row],[Rank]],Stammdaten[Rank Verteilung D Mitte mit Rinde],0))</f>
        <v>#N/A</v>
      </c>
      <c r="G4584" t="e">
        <f>VLOOKUP(Tabelle8[[#This Row],[Rank]],Stammdaten[[Rank Verteilung D Mitte mit Rinde]:[Verteilung D Mitte mit Rinde]],2,FALSE)</f>
        <v>#N/A</v>
      </c>
      <c r="L4584">
        <v>4575</v>
      </c>
      <c r="M4584" t="e">
        <f>INDEX(Stammdaten[Abholzigkeit (mm/lfm)],MATCH(Tabelle9[[#This Row],[Rank]],Stammdaten[Rank Verteilung Abholzigkeit],0))</f>
        <v>#N/A</v>
      </c>
      <c r="N4584" t="e">
        <f>VLOOKUP(Tabelle9[[#This Row],[Rank]],Stammdaten[[Rank Verteilung Abholzigkeit]:[Verteilung Abholzigkeit]],2,FALSE)</f>
        <v>#N/A</v>
      </c>
      <c r="S4584">
        <v>4575</v>
      </c>
      <c r="T4584" t="e">
        <f>INDEX(Stammdaten[Krümmung (mm/lfm)],MATCH(Tabelle10[[#This Row],[Rank]],Stammdaten[Rank Verteilung Krümmung],0))</f>
        <v>#N/A</v>
      </c>
      <c r="U4584" t="e">
        <f>VLOOKUP(Tabelle10[[#This Row],[Rank]],Stammdaten[[Rank Verteilung Krümmung]:[Verteilung Krümmung]],2,FALSE)</f>
        <v>#N/A</v>
      </c>
      <c r="Z4584">
        <v>4575</v>
      </c>
      <c r="AA4584" t="e">
        <f>INDEX(Stammdaten[Ovalität (']0,1'])],MATCH(Tabelle1014[[#This Row],[Rank]],Stammdaten[Rank Verteilung Ovalität],0))</f>
        <v>#N/A</v>
      </c>
      <c r="AB4584" t="e">
        <f>VLOOKUP(Tabelle1014[[#This Row],[Rank]],Stammdaten[[Rank Verteilung Ovalität]:[Verteilung Ovalität]],2,FALSE)</f>
        <v>#N/A</v>
      </c>
    </row>
    <row r="4585" spans="5:28" x14ac:dyDescent="0.35">
      <c r="E4585">
        <v>4576</v>
      </c>
      <c r="F4585" t="e">
        <f>INDEX(Stammdaten[D Mitte mit Rinde (mm)],MATCH(Tabelle8[[#This Row],[Rank]],Stammdaten[Rank Verteilung D Mitte mit Rinde],0))</f>
        <v>#N/A</v>
      </c>
      <c r="G4585" t="e">
        <f>VLOOKUP(Tabelle8[[#This Row],[Rank]],Stammdaten[[Rank Verteilung D Mitte mit Rinde]:[Verteilung D Mitte mit Rinde]],2,FALSE)</f>
        <v>#N/A</v>
      </c>
      <c r="L4585">
        <v>4576</v>
      </c>
      <c r="M4585" t="e">
        <f>INDEX(Stammdaten[Abholzigkeit (mm/lfm)],MATCH(Tabelle9[[#This Row],[Rank]],Stammdaten[Rank Verteilung Abholzigkeit],0))</f>
        <v>#N/A</v>
      </c>
      <c r="N4585" t="e">
        <f>VLOOKUP(Tabelle9[[#This Row],[Rank]],Stammdaten[[Rank Verteilung Abholzigkeit]:[Verteilung Abholzigkeit]],2,FALSE)</f>
        <v>#N/A</v>
      </c>
      <c r="S4585">
        <v>4576</v>
      </c>
      <c r="T4585" t="e">
        <f>INDEX(Stammdaten[Krümmung (mm/lfm)],MATCH(Tabelle10[[#This Row],[Rank]],Stammdaten[Rank Verteilung Krümmung],0))</f>
        <v>#N/A</v>
      </c>
      <c r="U4585" t="e">
        <f>VLOOKUP(Tabelle10[[#This Row],[Rank]],Stammdaten[[Rank Verteilung Krümmung]:[Verteilung Krümmung]],2,FALSE)</f>
        <v>#N/A</v>
      </c>
      <c r="Z4585">
        <v>4576</v>
      </c>
      <c r="AA4585" t="e">
        <f>INDEX(Stammdaten[Ovalität (']0,1'])],MATCH(Tabelle1014[[#This Row],[Rank]],Stammdaten[Rank Verteilung Ovalität],0))</f>
        <v>#N/A</v>
      </c>
      <c r="AB4585" t="e">
        <f>VLOOKUP(Tabelle1014[[#This Row],[Rank]],Stammdaten[[Rank Verteilung Ovalität]:[Verteilung Ovalität]],2,FALSE)</f>
        <v>#N/A</v>
      </c>
    </row>
    <row r="4586" spans="5:28" x14ac:dyDescent="0.35">
      <c r="E4586">
        <v>4577</v>
      </c>
      <c r="F4586" t="e">
        <f>INDEX(Stammdaten[D Mitte mit Rinde (mm)],MATCH(Tabelle8[[#This Row],[Rank]],Stammdaten[Rank Verteilung D Mitte mit Rinde],0))</f>
        <v>#N/A</v>
      </c>
      <c r="G4586" t="e">
        <f>VLOOKUP(Tabelle8[[#This Row],[Rank]],Stammdaten[[Rank Verteilung D Mitte mit Rinde]:[Verteilung D Mitte mit Rinde]],2,FALSE)</f>
        <v>#N/A</v>
      </c>
      <c r="L4586">
        <v>4577</v>
      </c>
      <c r="M4586" t="e">
        <f>INDEX(Stammdaten[Abholzigkeit (mm/lfm)],MATCH(Tabelle9[[#This Row],[Rank]],Stammdaten[Rank Verteilung Abholzigkeit],0))</f>
        <v>#N/A</v>
      </c>
      <c r="N4586" t="e">
        <f>VLOOKUP(Tabelle9[[#This Row],[Rank]],Stammdaten[[Rank Verteilung Abholzigkeit]:[Verteilung Abholzigkeit]],2,FALSE)</f>
        <v>#N/A</v>
      </c>
      <c r="S4586">
        <v>4577</v>
      </c>
      <c r="T4586" t="e">
        <f>INDEX(Stammdaten[Krümmung (mm/lfm)],MATCH(Tabelle10[[#This Row],[Rank]],Stammdaten[Rank Verteilung Krümmung],0))</f>
        <v>#N/A</v>
      </c>
      <c r="U4586" t="e">
        <f>VLOOKUP(Tabelle10[[#This Row],[Rank]],Stammdaten[[Rank Verteilung Krümmung]:[Verteilung Krümmung]],2,FALSE)</f>
        <v>#N/A</v>
      </c>
      <c r="Z4586">
        <v>4577</v>
      </c>
      <c r="AA4586" t="e">
        <f>INDEX(Stammdaten[Ovalität (']0,1'])],MATCH(Tabelle1014[[#This Row],[Rank]],Stammdaten[Rank Verteilung Ovalität],0))</f>
        <v>#N/A</v>
      </c>
      <c r="AB4586" t="e">
        <f>VLOOKUP(Tabelle1014[[#This Row],[Rank]],Stammdaten[[Rank Verteilung Ovalität]:[Verteilung Ovalität]],2,FALSE)</f>
        <v>#N/A</v>
      </c>
    </row>
    <row r="4587" spans="5:28" x14ac:dyDescent="0.35">
      <c r="E4587">
        <v>4578</v>
      </c>
      <c r="F4587" t="e">
        <f>INDEX(Stammdaten[D Mitte mit Rinde (mm)],MATCH(Tabelle8[[#This Row],[Rank]],Stammdaten[Rank Verteilung D Mitte mit Rinde],0))</f>
        <v>#N/A</v>
      </c>
      <c r="G4587" t="e">
        <f>VLOOKUP(Tabelle8[[#This Row],[Rank]],Stammdaten[[Rank Verteilung D Mitte mit Rinde]:[Verteilung D Mitte mit Rinde]],2,FALSE)</f>
        <v>#N/A</v>
      </c>
      <c r="L4587">
        <v>4578</v>
      </c>
      <c r="M4587" t="e">
        <f>INDEX(Stammdaten[Abholzigkeit (mm/lfm)],MATCH(Tabelle9[[#This Row],[Rank]],Stammdaten[Rank Verteilung Abholzigkeit],0))</f>
        <v>#N/A</v>
      </c>
      <c r="N4587" t="e">
        <f>VLOOKUP(Tabelle9[[#This Row],[Rank]],Stammdaten[[Rank Verteilung Abholzigkeit]:[Verteilung Abholzigkeit]],2,FALSE)</f>
        <v>#N/A</v>
      </c>
      <c r="S4587">
        <v>4578</v>
      </c>
      <c r="T4587" t="e">
        <f>INDEX(Stammdaten[Krümmung (mm/lfm)],MATCH(Tabelle10[[#This Row],[Rank]],Stammdaten[Rank Verteilung Krümmung],0))</f>
        <v>#N/A</v>
      </c>
      <c r="U4587" t="e">
        <f>VLOOKUP(Tabelle10[[#This Row],[Rank]],Stammdaten[[Rank Verteilung Krümmung]:[Verteilung Krümmung]],2,FALSE)</f>
        <v>#N/A</v>
      </c>
      <c r="Z4587">
        <v>4578</v>
      </c>
      <c r="AA4587" t="e">
        <f>INDEX(Stammdaten[Ovalität (']0,1'])],MATCH(Tabelle1014[[#This Row],[Rank]],Stammdaten[Rank Verteilung Ovalität],0))</f>
        <v>#N/A</v>
      </c>
      <c r="AB4587" t="e">
        <f>VLOOKUP(Tabelle1014[[#This Row],[Rank]],Stammdaten[[Rank Verteilung Ovalität]:[Verteilung Ovalität]],2,FALSE)</f>
        <v>#N/A</v>
      </c>
    </row>
    <row r="4588" spans="5:28" x14ac:dyDescent="0.35">
      <c r="E4588">
        <v>4579</v>
      </c>
      <c r="F4588" t="e">
        <f>INDEX(Stammdaten[D Mitte mit Rinde (mm)],MATCH(Tabelle8[[#This Row],[Rank]],Stammdaten[Rank Verteilung D Mitte mit Rinde],0))</f>
        <v>#N/A</v>
      </c>
      <c r="G4588" t="e">
        <f>VLOOKUP(Tabelle8[[#This Row],[Rank]],Stammdaten[[Rank Verteilung D Mitte mit Rinde]:[Verteilung D Mitte mit Rinde]],2,FALSE)</f>
        <v>#N/A</v>
      </c>
      <c r="L4588">
        <v>4579</v>
      </c>
      <c r="M4588" t="e">
        <f>INDEX(Stammdaten[Abholzigkeit (mm/lfm)],MATCH(Tabelle9[[#This Row],[Rank]],Stammdaten[Rank Verteilung Abholzigkeit],0))</f>
        <v>#N/A</v>
      </c>
      <c r="N4588" t="e">
        <f>VLOOKUP(Tabelle9[[#This Row],[Rank]],Stammdaten[[Rank Verteilung Abholzigkeit]:[Verteilung Abholzigkeit]],2,FALSE)</f>
        <v>#N/A</v>
      </c>
      <c r="S4588">
        <v>4579</v>
      </c>
      <c r="T4588" t="e">
        <f>INDEX(Stammdaten[Krümmung (mm/lfm)],MATCH(Tabelle10[[#This Row],[Rank]],Stammdaten[Rank Verteilung Krümmung],0))</f>
        <v>#N/A</v>
      </c>
      <c r="U4588" t="e">
        <f>VLOOKUP(Tabelle10[[#This Row],[Rank]],Stammdaten[[Rank Verteilung Krümmung]:[Verteilung Krümmung]],2,FALSE)</f>
        <v>#N/A</v>
      </c>
      <c r="Z4588">
        <v>4579</v>
      </c>
      <c r="AA4588" t="e">
        <f>INDEX(Stammdaten[Ovalität (']0,1'])],MATCH(Tabelle1014[[#This Row],[Rank]],Stammdaten[Rank Verteilung Ovalität],0))</f>
        <v>#N/A</v>
      </c>
      <c r="AB4588" t="e">
        <f>VLOOKUP(Tabelle1014[[#This Row],[Rank]],Stammdaten[[Rank Verteilung Ovalität]:[Verteilung Ovalität]],2,FALSE)</f>
        <v>#N/A</v>
      </c>
    </row>
    <row r="4589" spans="5:28" x14ac:dyDescent="0.35">
      <c r="E4589">
        <v>4580</v>
      </c>
      <c r="F4589" t="e">
        <f>INDEX(Stammdaten[D Mitte mit Rinde (mm)],MATCH(Tabelle8[[#This Row],[Rank]],Stammdaten[Rank Verteilung D Mitte mit Rinde],0))</f>
        <v>#N/A</v>
      </c>
      <c r="G4589" t="e">
        <f>VLOOKUP(Tabelle8[[#This Row],[Rank]],Stammdaten[[Rank Verteilung D Mitte mit Rinde]:[Verteilung D Mitte mit Rinde]],2,FALSE)</f>
        <v>#N/A</v>
      </c>
      <c r="L4589">
        <v>4580</v>
      </c>
      <c r="M4589" t="e">
        <f>INDEX(Stammdaten[Abholzigkeit (mm/lfm)],MATCH(Tabelle9[[#This Row],[Rank]],Stammdaten[Rank Verteilung Abholzigkeit],0))</f>
        <v>#N/A</v>
      </c>
      <c r="N4589" t="e">
        <f>VLOOKUP(Tabelle9[[#This Row],[Rank]],Stammdaten[[Rank Verteilung Abholzigkeit]:[Verteilung Abholzigkeit]],2,FALSE)</f>
        <v>#N/A</v>
      </c>
      <c r="S4589">
        <v>4580</v>
      </c>
      <c r="T4589" t="e">
        <f>INDEX(Stammdaten[Krümmung (mm/lfm)],MATCH(Tabelle10[[#This Row],[Rank]],Stammdaten[Rank Verteilung Krümmung],0))</f>
        <v>#N/A</v>
      </c>
      <c r="U4589" t="e">
        <f>VLOOKUP(Tabelle10[[#This Row],[Rank]],Stammdaten[[Rank Verteilung Krümmung]:[Verteilung Krümmung]],2,FALSE)</f>
        <v>#N/A</v>
      </c>
      <c r="Z4589">
        <v>4580</v>
      </c>
      <c r="AA4589" t="e">
        <f>INDEX(Stammdaten[Ovalität (']0,1'])],MATCH(Tabelle1014[[#This Row],[Rank]],Stammdaten[Rank Verteilung Ovalität],0))</f>
        <v>#N/A</v>
      </c>
      <c r="AB4589" t="e">
        <f>VLOOKUP(Tabelle1014[[#This Row],[Rank]],Stammdaten[[Rank Verteilung Ovalität]:[Verteilung Ovalität]],2,FALSE)</f>
        <v>#N/A</v>
      </c>
    </row>
    <row r="4590" spans="5:28" x14ac:dyDescent="0.35">
      <c r="E4590">
        <v>4581</v>
      </c>
      <c r="F4590" t="e">
        <f>INDEX(Stammdaten[D Mitte mit Rinde (mm)],MATCH(Tabelle8[[#This Row],[Rank]],Stammdaten[Rank Verteilung D Mitte mit Rinde],0))</f>
        <v>#N/A</v>
      </c>
      <c r="G4590" t="e">
        <f>VLOOKUP(Tabelle8[[#This Row],[Rank]],Stammdaten[[Rank Verteilung D Mitte mit Rinde]:[Verteilung D Mitte mit Rinde]],2,FALSE)</f>
        <v>#N/A</v>
      </c>
      <c r="L4590">
        <v>4581</v>
      </c>
      <c r="M4590" t="e">
        <f>INDEX(Stammdaten[Abholzigkeit (mm/lfm)],MATCH(Tabelle9[[#This Row],[Rank]],Stammdaten[Rank Verteilung Abholzigkeit],0))</f>
        <v>#N/A</v>
      </c>
      <c r="N4590" t="e">
        <f>VLOOKUP(Tabelle9[[#This Row],[Rank]],Stammdaten[[Rank Verteilung Abholzigkeit]:[Verteilung Abholzigkeit]],2,FALSE)</f>
        <v>#N/A</v>
      </c>
      <c r="S4590">
        <v>4581</v>
      </c>
      <c r="T4590" t="e">
        <f>INDEX(Stammdaten[Krümmung (mm/lfm)],MATCH(Tabelle10[[#This Row],[Rank]],Stammdaten[Rank Verteilung Krümmung],0))</f>
        <v>#N/A</v>
      </c>
      <c r="U4590" t="e">
        <f>VLOOKUP(Tabelle10[[#This Row],[Rank]],Stammdaten[[Rank Verteilung Krümmung]:[Verteilung Krümmung]],2,FALSE)</f>
        <v>#N/A</v>
      </c>
      <c r="Z4590">
        <v>4581</v>
      </c>
      <c r="AA4590" t="e">
        <f>INDEX(Stammdaten[Ovalität (']0,1'])],MATCH(Tabelle1014[[#This Row],[Rank]],Stammdaten[Rank Verteilung Ovalität],0))</f>
        <v>#N/A</v>
      </c>
      <c r="AB4590" t="e">
        <f>VLOOKUP(Tabelle1014[[#This Row],[Rank]],Stammdaten[[Rank Verteilung Ovalität]:[Verteilung Ovalität]],2,FALSE)</f>
        <v>#N/A</v>
      </c>
    </row>
    <row r="4591" spans="5:28" x14ac:dyDescent="0.35">
      <c r="E4591">
        <v>4582</v>
      </c>
      <c r="F4591" t="e">
        <f>INDEX(Stammdaten[D Mitte mit Rinde (mm)],MATCH(Tabelle8[[#This Row],[Rank]],Stammdaten[Rank Verteilung D Mitte mit Rinde],0))</f>
        <v>#N/A</v>
      </c>
      <c r="G4591" t="e">
        <f>VLOOKUP(Tabelle8[[#This Row],[Rank]],Stammdaten[[Rank Verteilung D Mitte mit Rinde]:[Verteilung D Mitte mit Rinde]],2,FALSE)</f>
        <v>#N/A</v>
      </c>
      <c r="L4591">
        <v>4582</v>
      </c>
      <c r="M4591" t="e">
        <f>INDEX(Stammdaten[Abholzigkeit (mm/lfm)],MATCH(Tabelle9[[#This Row],[Rank]],Stammdaten[Rank Verteilung Abholzigkeit],0))</f>
        <v>#N/A</v>
      </c>
      <c r="N4591" t="e">
        <f>VLOOKUP(Tabelle9[[#This Row],[Rank]],Stammdaten[[Rank Verteilung Abholzigkeit]:[Verteilung Abholzigkeit]],2,FALSE)</f>
        <v>#N/A</v>
      </c>
      <c r="S4591">
        <v>4582</v>
      </c>
      <c r="T4591" t="e">
        <f>INDEX(Stammdaten[Krümmung (mm/lfm)],MATCH(Tabelle10[[#This Row],[Rank]],Stammdaten[Rank Verteilung Krümmung],0))</f>
        <v>#N/A</v>
      </c>
      <c r="U4591" t="e">
        <f>VLOOKUP(Tabelle10[[#This Row],[Rank]],Stammdaten[[Rank Verteilung Krümmung]:[Verteilung Krümmung]],2,FALSE)</f>
        <v>#N/A</v>
      </c>
      <c r="Z4591">
        <v>4582</v>
      </c>
      <c r="AA4591" t="e">
        <f>INDEX(Stammdaten[Ovalität (']0,1'])],MATCH(Tabelle1014[[#This Row],[Rank]],Stammdaten[Rank Verteilung Ovalität],0))</f>
        <v>#N/A</v>
      </c>
      <c r="AB4591" t="e">
        <f>VLOOKUP(Tabelle1014[[#This Row],[Rank]],Stammdaten[[Rank Verteilung Ovalität]:[Verteilung Ovalität]],2,FALSE)</f>
        <v>#N/A</v>
      </c>
    </row>
    <row r="4592" spans="5:28" x14ac:dyDescent="0.35">
      <c r="E4592">
        <v>4583</v>
      </c>
      <c r="F4592" t="e">
        <f>INDEX(Stammdaten[D Mitte mit Rinde (mm)],MATCH(Tabelle8[[#This Row],[Rank]],Stammdaten[Rank Verteilung D Mitte mit Rinde],0))</f>
        <v>#N/A</v>
      </c>
      <c r="G4592" t="e">
        <f>VLOOKUP(Tabelle8[[#This Row],[Rank]],Stammdaten[[Rank Verteilung D Mitte mit Rinde]:[Verteilung D Mitte mit Rinde]],2,FALSE)</f>
        <v>#N/A</v>
      </c>
      <c r="L4592">
        <v>4583</v>
      </c>
      <c r="M4592" t="e">
        <f>INDEX(Stammdaten[Abholzigkeit (mm/lfm)],MATCH(Tabelle9[[#This Row],[Rank]],Stammdaten[Rank Verteilung Abholzigkeit],0))</f>
        <v>#N/A</v>
      </c>
      <c r="N4592" t="e">
        <f>VLOOKUP(Tabelle9[[#This Row],[Rank]],Stammdaten[[Rank Verteilung Abholzigkeit]:[Verteilung Abholzigkeit]],2,FALSE)</f>
        <v>#N/A</v>
      </c>
      <c r="S4592">
        <v>4583</v>
      </c>
      <c r="T4592" t="e">
        <f>INDEX(Stammdaten[Krümmung (mm/lfm)],MATCH(Tabelle10[[#This Row],[Rank]],Stammdaten[Rank Verteilung Krümmung],0))</f>
        <v>#N/A</v>
      </c>
      <c r="U4592" t="e">
        <f>VLOOKUP(Tabelle10[[#This Row],[Rank]],Stammdaten[[Rank Verteilung Krümmung]:[Verteilung Krümmung]],2,FALSE)</f>
        <v>#N/A</v>
      </c>
      <c r="Z4592">
        <v>4583</v>
      </c>
      <c r="AA4592" t="e">
        <f>INDEX(Stammdaten[Ovalität (']0,1'])],MATCH(Tabelle1014[[#This Row],[Rank]],Stammdaten[Rank Verteilung Ovalität],0))</f>
        <v>#N/A</v>
      </c>
      <c r="AB4592" t="e">
        <f>VLOOKUP(Tabelle1014[[#This Row],[Rank]],Stammdaten[[Rank Verteilung Ovalität]:[Verteilung Ovalität]],2,FALSE)</f>
        <v>#N/A</v>
      </c>
    </row>
    <row r="4593" spans="5:28" x14ac:dyDescent="0.35">
      <c r="E4593">
        <v>4584</v>
      </c>
      <c r="F4593" t="e">
        <f>INDEX(Stammdaten[D Mitte mit Rinde (mm)],MATCH(Tabelle8[[#This Row],[Rank]],Stammdaten[Rank Verteilung D Mitte mit Rinde],0))</f>
        <v>#N/A</v>
      </c>
      <c r="G4593" t="e">
        <f>VLOOKUP(Tabelle8[[#This Row],[Rank]],Stammdaten[[Rank Verteilung D Mitte mit Rinde]:[Verteilung D Mitte mit Rinde]],2,FALSE)</f>
        <v>#N/A</v>
      </c>
      <c r="L4593">
        <v>4584</v>
      </c>
      <c r="M4593" t="e">
        <f>INDEX(Stammdaten[Abholzigkeit (mm/lfm)],MATCH(Tabelle9[[#This Row],[Rank]],Stammdaten[Rank Verteilung Abholzigkeit],0))</f>
        <v>#N/A</v>
      </c>
      <c r="N4593" t="e">
        <f>VLOOKUP(Tabelle9[[#This Row],[Rank]],Stammdaten[[Rank Verteilung Abholzigkeit]:[Verteilung Abholzigkeit]],2,FALSE)</f>
        <v>#N/A</v>
      </c>
      <c r="S4593">
        <v>4584</v>
      </c>
      <c r="T4593" t="e">
        <f>INDEX(Stammdaten[Krümmung (mm/lfm)],MATCH(Tabelle10[[#This Row],[Rank]],Stammdaten[Rank Verteilung Krümmung],0))</f>
        <v>#N/A</v>
      </c>
      <c r="U4593" t="e">
        <f>VLOOKUP(Tabelle10[[#This Row],[Rank]],Stammdaten[[Rank Verteilung Krümmung]:[Verteilung Krümmung]],2,FALSE)</f>
        <v>#N/A</v>
      </c>
      <c r="Z4593">
        <v>4584</v>
      </c>
      <c r="AA4593" t="e">
        <f>INDEX(Stammdaten[Ovalität (']0,1'])],MATCH(Tabelle1014[[#This Row],[Rank]],Stammdaten[Rank Verteilung Ovalität],0))</f>
        <v>#N/A</v>
      </c>
      <c r="AB4593" t="e">
        <f>VLOOKUP(Tabelle1014[[#This Row],[Rank]],Stammdaten[[Rank Verteilung Ovalität]:[Verteilung Ovalität]],2,FALSE)</f>
        <v>#N/A</v>
      </c>
    </row>
    <row r="4594" spans="5:28" x14ac:dyDescent="0.35">
      <c r="E4594">
        <v>4585</v>
      </c>
      <c r="F4594" t="e">
        <f>INDEX(Stammdaten[D Mitte mit Rinde (mm)],MATCH(Tabelle8[[#This Row],[Rank]],Stammdaten[Rank Verteilung D Mitte mit Rinde],0))</f>
        <v>#N/A</v>
      </c>
      <c r="G4594" t="e">
        <f>VLOOKUP(Tabelle8[[#This Row],[Rank]],Stammdaten[[Rank Verteilung D Mitte mit Rinde]:[Verteilung D Mitte mit Rinde]],2,FALSE)</f>
        <v>#N/A</v>
      </c>
      <c r="L4594">
        <v>4585</v>
      </c>
      <c r="M4594" t="e">
        <f>INDEX(Stammdaten[Abholzigkeit (mm/lfm)],MATCH(Tabelle9[[#This Row],[Rank]],Stammdaten[Rank Verteilung Abholzigkeit],0))</f>
        <v>#N/A</v>
      </c>
      <c r="N4594" t="e">
        <f>VLOOKUP(Tabelle9[[#This Row],[Rank]],Stammdaten[[Rank Verteilung Abholzigkeit]:[Verteilung Abholzigkeit]],2,FALSE)</f>
        <v>#N/A</v>
      </c>
      <c r="S4594">
        <v>4585</v>
      </c>
      <c r="T4594" t="e">
        <f>INDEX(Stammdaten[Krümmung (mm/lfm)],MATCH(Tabelle10[[#This Row],[Rank]],Stammdaten[Rank Verteilung Krümmung],0))</f>
        <v>#N/A</v>
      </c>
      <c r="U4594" t="e">
        <f>VLOOKUP(Tabelle10[[#This Row],[Rank]],Stammdaten[[Rank Verteilung Krümmung]:[Verteilung Krümmung]],2,FALSE)</f>
        <v>#N/A</v>
      </c>
      <c r="Z4594">
        <v>4585</v>
      </c>
      <c r="AA4594" t="e">
        <f>INDEX(Stammdaten[Ovalität (']0,1'])],MATCH(Tabelle1014[[#This Row],[Rank]],Stammdaten[Rank Verteilung Ovalität],0))</f>
        <v>#N/A</v>
      </c>
      <c r="AB4594" t="e">
        <f>VLOOKUP(Tabelle1014[[#This Row],[Rank]],Stammdaten[[Rank Verteilung Ovalität]:[Verteilung Ovalität]],2,FALSE)</f>
        <v>#N/A</v>
      </c>
    </row>
    <row r="4595" spans="5:28" x14ac:dyDescent="0.35">
      <c r="E4595">
        <v>4586</v>
      </c>
      <c r="F4595" t="e">
        <f>INDEX(Stammdaten[D Mitte mit Rinde (mm)],MATCH(Tabelle8[[#This Row],[Rank]],Stammdaten[Rank Verteilung D Mitte mit Rinde],0))</f>
        <v>#N/A</v>
      </c>
      <c r="G4595" t="e">
        <f>VLOOKUP(Tabelle8[[#This Row],[Rank]],Stammdaten[[Rank Verteilung D Mitte mit Rinde]:[Verteilung D Mitte mit Rinde]],2,FALSE)</f>
        <v>#N/A</v>
      </c>
      <c r="L4595">
        <v>4586</v>
      </c>
      <c r="M4595" t="e">
        <f>INDEX(Stammdaten[Abholzigkeit (mm/lfm)],MATCH(Tabelle9[[#This Row],[Rank]],Stammdaten[Rank Verteilung Abholzigkeit],0))</f>
        <v>#N/A</v>
      </c>
      <c r="N4595" t="e">
        <f>VLOOKUP(Tabelle9[[#This Row],[Rank]],Stammdaten[[Rank Verteilung Abholzigkeit]:[Verteilung Abholzigkeit]],2,FALSE)</f>
        <v>#N/A</v>
      </c>
      <c r="S4595">
        <v>4586</v>
      </c>
      <c r="T4595" t="e">
        <f>INDEX(Stammdaten[Krümmung (mm/lfm)],MATCH(Tabelle10[[#This Row],[Rank]],Stammdaten[Rank Verteilung Krümmung],0))</f>
        <v>#N/A</v>
      </c>
      <c r="U4595" t="e">
        <f>VLOOKUP(Tabelle10[[#This Row],[Rank]],Stammdaten[[Rank Verteilung Krümmung]:[Verteilung Krümmung]],2,FALSE)</f>
        <v>#N/A</v>
      </c>
      <c r="Z4595">
        <v>4586</v>
      </c>
      <c r="AA4595" t="e">
        <f>INDEX(Stammdaten[Ovalität (']0,1'])],MATCH(Tabelle1014[[#This Row],[Rank]],Stammdaten[Rank Verteilung Ovalität],0))</f>
        <v>#N/A</v>
      </c>
      <c r="AB4595" t="e">
        <f>VLOOKUP(Tabelle1014[[#This Row],[Rank]],Stammdaten[[Rank Verteilung Ovalität]:[Verteilung Ovalität]],2,FALSE)</f>
        <v>#N/A</v>
      </c>
    </row>
    <row r="4596" spans="5:28" x14ac:dyDescent="0.35">
      <c r="E4596">
        <v>4587</v>
      </c>
      <c r="F4596" t="e">
        <f>INDEX(Stammdaten[D Mitte mit Rinde (mm)],MATCH(Tabelle8[[#This Row],[Rank]],Stammdaten[Rank Verteilung D Mitte mit Rinde],0))</f>
        <v>#N/A</v>
      </c>
      <c r="G4596" t="e">
        <f>VLOOKUP(Tabelle8[[#This Row],[Rank]],Stammdaten[[Rank Verteilung D Mitte mit Rinde]:[Verteilung D Mitte mit Rinde]],2,FALSE)</f>
        <v>#N/A</v>
      </c>
      <c r="L4596">
        <v>4587</v>
      </c>
      <c r="M4596" t="e">
        <f>INDEX(Stammdaten[Abholzigkeit (mm/lfm)],MATCH(Tabelle9[[#This Row],[Rank]],Stammdaten[Rank Verteilung Abholzigkeit],0))</f>
        <v>#N/A</v>
      </c>
      <c r="N4596" t="e">
        <f>VLOOKUP(Tabelle9[[#This Row],[Rank]],Stammdaten[[Rank Verteilung Abholzigkeit]:[Verteilung Abholzigkeit]],2,FALSE)</f>
        <v>#N/A</v>
      </c>
      <c r="S4596">
        <v>4587</v>
      </c>
      <c r="T4596" t="e">
        <f>INDEX(Stammdaten[Krümmung (mm/lfm)],MATCH(Tabelle10[[#This Row],[Rank]],Stammdaten[Rank Verteilung Krümmung],0))</f>
        <v>#N/A</v>
      </c>
      <c r="U4596" t="e">
        <f>VLOOKUP(Tabelle10[[#This Row],[Rank]],Stammdaten[[Rank Verteilung Krümmung]:[Verteilung Krümmung]],2,FALSE)</f>
        <v>#N/A</v>
      </c>
      <c r="Z4596">
        <v>4587</v>
      </c>
      <c r="AA4596" t="e">
        <f>INDEX(Stammdaten[Ovalität (']0,1'])],MATCH(Tabelle1014[[#This Row],[Rank]],Stammdaten[Rank Verteilung Ovalität],0))</f>
        <v>#N/A</v>
      </c>
      <c r="AB4596" t="e">
        <f>VLOOKUP(Tabelle1014[[#This Row],[Rank]],Stammdaten[[Rank Verteilung Ovalität]:[Verteilung Ovalität]],2,FALSE)</f>
        <v>#N/A</v>
      </c>
    </row>
    <row r="4597" spans="5:28" x14ac:dyDescent="0.35">
      <c r="E4597">
        <v>4588</v>
      </c>
      <c r="F4597" t="e">
        <f>INDEX(Stammdaten[D Mitte mit Rinde (mm)],MATCH(Tabelle8[[#This Row],[Rank]],Stammdaten[Rank Verteilung D Mitte mit Rinde],0))</f>
        <v>#N/A</v>
      </c>
      <c r="G4597" t="e">
        <f>VLOOKUP(Tabelle8[[#This Row],[Rank]],Stammdaten[[Rank Verteilung D Mitte mit Rinde]:[Verteilung D Mitte mit Rinde]],2,FALSE)</f>
        <v>#N/A</v>
      </c>
      <c r="L4597">
        <v>4588</v>
      </c>
      <c r="M4597" t="e">
        <f>INDEX(Stammdaten[Abholzigkeit (mm/lfm)],MATCH(Tabelle9[[#This Row],[Rank]],Stammdaten[Rank Verteilung Abholzigkeit],0))</f>
        <v>#N/A</v>
      </c>
      <c r="N4597" t="e">
        <f>VLOOKUP(Tabelle9[[#This Row],[Rank]],Stammdaten[[Rank Verteilung Abholzigkeit]:[Verteilung Abholzigkeit]],2,FALSE)</f>
        <v>#N/A</v>
      </c>
      <c r="S4597">
        <v>4588</v>
      </c>
      <c r="T4597" t="e">
        <f>INDEX(Stammdaten[Krümmung (mm/lfm)],MATCH(Tabelle10[[#This Row],[Rank]],Stammdaten[Rank Verteilung Krümmung],0))</f>
        <v>#N/A</v>
      </c>
      <c r="U4597" t="e">
        <f>VLOOKUP(Tabelle10[[#This Row],[Rank]],Stammdaten[[Rank Verteilung Krümmung]:[Verteilung Krümmung]],2,FALSE)</f>
        <v>#N/A</v>
      </c>
      <c r="Z4597">
        <v>4588</v>
      </c>
      <c r="AA4597" t="e">
        <f>INDEX(Stammdaten[Ovalität (']0,1'])],MATCH(Tabelle1014[[#This Row],[Rank]],Stammdaten[Rank Verteilung Ovalität],0))</f>
        <v>#N/A</v>
      </c>
      <c r="AB4597" t="e">
        <f>VLOOKUP(Tabelle1014[[#This Row],[Rank]],Stammdaten[[Rank Verteilung Ovalität]:[Verteilung Ovalität]],2,FALSE)</f>
        <v>#N/A</v>
      </c>
    </row>
    <row r="4598" spans="5:28" x14ac:dyDescent="0.35">
      <c r="E4598">
        <v>4589</v>
      </c>
      <c r="F4598" t="e">
        <f>INDEX(Stammdaten[D Mitte mit Rinde (mm)],MATCH(Tabelle8[[#This Row],[Rank]],Stammdaten[Rank Verteilung D Mitte mit Rinde],0))</f>
        <v>#N/A</v>
      </c>
      <c r="G4598" t="e">
        <f>VLOOKUP(Tabelle8[[#This Row],[Rank]],Stammdaten[[Rank Verteilung D Mitte mit Rinde]:[Verteilung D Mitte mit Rinde]],2,FALSE)</f>
        <v>#N/A</v>
      </c>
      <c r="L4598">
        <v>4589</v>
      </c>
      <c r="M4598" t="e">
        <f>INDEX(Stammdaten[Abholzigkeit (mm/lfm)],MATCH(Tabelle9[[#This Row],[Rank]],Stammdaten[Rank Verteilung Abholzigkeit],0))</f>
        <v>#N/A</v>
      </c>
      <c r="N4598" t="e">
        <f>VLOOKUP(Tabelle9[[#This Row],[Rank]],Stammdaten[[Rank Verteilung Abholzigkeit]:[Verteilung Abholzigkeit]],2,FALSE)</f>
        <v>#N/A</v>
      </c>
      <c r="S4598">
        <v>4589</v>
      </c>
      <c r="T4598" t="e">
        <f>INDEX(Stammdaten[Krümmung (mm/lfm)],MATCH(Tabelle10[[#This Row],[Rank]],Stammdaten[Rank Verteilung Krümmung],0))</f>
        <v>#N/A</v>
      </c>
      <c r="U4598" t="e">
        <f>VLOOKUP(Tabelle10[[#This Row],[Rank]],Stammdaten[[Rank Verteilung Krümmung]:[Verteilung Krümmung]],2,FALSE)</f>
        <v>#N/A</v>
      </c>
      <c r="Z4598">
        <v>4589</v>
      </c>
      <c r="AA4598" t="e">
        <f>INDEX(Stammdaten[Ovalität (']0,1'])],MATCH(Tabelle1014[[#This Row],[Rank]],Stammdaten[Rank Verteilung Ovalität],0))</f>
        <v>#N/A</v>
      </c>
      <c r="AB4598" t="e">
        <f>VLOOKUP(Tabelle1014[[#This Row],[Rank]],Stammdaten[[Rank Verteilung Ovalität]:[Verteilung Ovalität]],2,FALSE)</f>
        <v>#N/A</v>
      </c>
    </row>
    <row r="4599" spans="5:28" x14ac:dyDescent="0.35">
      <c r="E4599">
        <v>4590</v>
      </c>
      <c r="F4599" t="e">
        <f>INDEX(Stammdaten[D Mitte mit Rinde (mm)],MATCH(Tabelle8[[#This Row],[Rank]],Stammdaten[Rank Verteilung D Mitte mit Rinde],0))</f>
        <v>#N/A</v>
      </c>
      <c r="G4599" t="e">
        <f>VLOOKUP(Tabelle8[[#This Row],[Rank]],Stammdaten[[Rank Verteilung D Mitte mit Rinde]:[Verteilung D Mitte mit Rinde]],2,FALSE)</f>
        <v>#N/A</v>
      </c>
      <c r="L4599">
        <v>4590</v>
      </c>
      <c r="M4599" t="e">
        <f>INDEX(Stammdaten[Abholzigkeit (mm/lfm)],MATCH(Tabelle9[[#This Row],[Rank]],Stammdaten[Rank Verteilung Abholzigkeit],0))</f>
        <v>#N/A</v>
      </c>
      <c r="N4599" t="e">
        <f>VLOOKUP(Tabelle9[[#This Row],[Rank]],Stammdaten[[Rank Verteilung Abholzigkeit]:[Verteilung Abholzigkeit]],2,FALSE)</f>
        <v>#N/A</v>
      </c>
      <c r="S4599">
        <v>4590</v>
      </c>
      <c r="T4599" t="e">
        <f>INDEX(Stammdaten[Krümmung (mm/lfm)],MATCH(Tabelle10[[#This Row],[Rank]],Stammdaten[Rank Verteilung Krümmung],0))</f>
        <v>#N/A</v>
      </c>
      <c r="U4599" t="e">
        <f>VLOOKUP(Tabelle10[[#This Row],[Rank]],Stammdaten[[Rank Verteilung Krümmung]:[Verteilung Krümmung]],2,FALSE)</f>
        <v>#N/A</v>
      </c>
      <c r="Z4599">
        <v>4590</v>
      </c>
      <c r="AA4599" t="e">
        <f>INDEX(Stammdaten[Ovalität (']0,1'])],MATCH(Tabelle1014[[#This Row],[Rank]],Stammdaten[Rank Verteilung Ovalität],0))</f>
        <v>#N/A</v>
      </c>
      <c r="AB4599" t="e">
        <f>VLOOKUP(Tabelle1014[[#This Row],[Rank]],Stammdaten[[Rank Verteilung Ovalität]:[Verteilung Ovalität]],2,FALSE)</f>
        <v>#N/A</v>
      </c>
    </row>
    <row r="4600" spans="5:28" x14ac:dyDescent="0.35">
      <c r="E4600">
        <v>4591</v>
      </c>
      <c r="F4600" t="e">
        <f>INDEX(Stammdaten[D Mitte mit Rinde (mm)],MATCH(Tabelle8[[#This Row],[Rank]],Stammdaten[Rank Verteilung D Mitte mit Rinde],0))</f>
        <v>#N/A</v>
      </c>
      <c r="G4600" t="e">
        <f>VLOOKUP(Tabelle8[[#This Row],[Rank]],Stammdaten[[Rank Verteilung D Mitte mit Rinde]:[Verteilung D Mitte mit Rinde]],2,FALSE)</f>
        <v>#N/A</v>
      </c>
      <c r="L4600">
        <v>4591</v>
      </c>
      <c r="M4600" t="e">
        <f>INDEX(Stammdaten[Abholzigkeit (mm/lfm)],MATCH(Tabelle9[[#This Row],[Rank]],Stammdaten[Rank Verteilung Abholzigkeit],0))</f>
        <v>#N/A</v>
      </c>
      <c r="N4600" t="e">
        <f>VLOOKUP(Tabelle9[[#This Row],[Rank]],Stammdaten[[Rank Verteilung Abholzigkeit]:[Verteilung Abholzigkeit]],2,FALSE)</f>
        <v>#N/A</v>
      </c>
      <c r="S4600">
        <v>4591</v>
      </c>
      <c r="T4600" t="e">
        <f>INDEX(Stammdaten[Krümmung (mm/lfm)],MATCH(Tabelle10[[#This Row],[Rank]],Stammdaten[Rank Verteilung Krümmung],0))</f>
        <v>#N/A</v>
      </c>
      <c r="U4600" t="e">
        <f>VLOOKUP(Tabelle10[[#This Row],[Rank]],Stammdaten[[Rank Verteilung Krümmung]:[Verteilung Krümmung]],2,FALSE)</f>
        <v>#N/A</v>
      </c>
      <c r="Z4600">
        <v>4591</v>
      </c>
      <c r="AA4600" t="e">
        <f>INDEX(Stammdaten[Ovalität (']0,1'])],MATCH(Tabelle1014[[#This Row],[Rank]],Stammdaten[Rank Verteilung Ovalität],0))</f>
        <v>#N/A</v>
      </c>
      <c r="AB4600" t="e">
        <f>VLOOKUP(Tabelle1014[[#This Row],[Rank]],Stammdaten[[Rank Verteilung Ovalität]:[Verteilung Ovalität]],2,FALSE)</f>
        <v>#N/A</v>
      </c>
    </row>
    <row r="4601" spans="5:28" x14ac:dyDescent="0.35">
      <c r="E4601">
        <v>4592</v>
      </c>
      <c r="F4601" t="e">
        <f>INDEX(Stammdaten[D Mitte mit Rinde (mm)],MATCH(Tabelle8[[#This Row],[Rank]],Stammdaten[Rank Verteilung D Mitte mit Rinde],0))</f>
        <v>#N/A</v>
      </c>
      <c r="G4601" t="e">
        <f>VLOOKUP(Tabelle8[[#This Row],[Rank]],Stammdaten[[Rank Verteilung D Mitte mit Rinde]:[Verteilung D Mitte mit Rinde]],2,FALSE)</f>
        <v>#N/A</v>
      </c>
      <c r="L4601">
        <v>4592</v>
      </c>
      <c r="M4601" t="e">
        <f>INDEX(Stammdaten[Abholzigkeit (mm/lfm)],MATCH(Tabelle9[[#This Row],[Rank]],Stammdaten[Rank Verteilung Abholzigkeit],0))</f>
        <v>#N/A</v>
      </c>
      <c r="N4601" t="e">
        <f>VLOOKUP(Tabelle9[[#This Row],[Rank]],Stammdaten[[Rank Verteilung Abholzigkeit]:[Verteilung Abholzigkeit]],2,FALSE)</f>
        <v>#N/A</v>
      </c>
      <c r="S4601">
        <v>4592</v>
      </c>
      <c r="T4601" t="e">
        <f>INDEX(Stammdaten[Krümmung (mm/lfm)],MATCH(Tabelle10[[#This Row],[Rank]],Stammdaten[Rank Verteilung Krümmung],0))</f>
        <v>#N/A</v>
      </c>
      <c r="U4601" t="e">
        <f>VLOOKUP(Tabelle10[[#This Row],[Rank]],Stammdaten[[Rank Verteilung Krümmung]:[Verteilung Krümmung]],2,FALSE)</f>
        <v>#N/A</v>
      </c>
      <c r="Z4601">
        <v>4592</v>
      </c>
      <c r="AA4601" t="e">
        <f>INDEX(Stammdaten[Ovalität (']0,1'])],MATCH(Tabelle1014[[#This Row],[Rank]],Stammdaten[Rank Verteilung Ovalität],0))</f>
        <v>#N/A</v>
      </c>
      <c r="AB4601" t="e">
        <f>VLOOKUP(Tabelle1014[[#This Row],[Rank]],Stammdaten[[Rank Verteilung Ovalität]:[Verteilung Ovalität]],2,FALSE)</f>
        <v>#N/A</v>
      </c>
    </row>
    <row r="4602" spans="5:28" x14ac:dyDescent="0.35">
      <c r="E4602">
        <v>4593</v>
      </c>
      <c r="F4602" t="e">
        <f>INDEX(Stammdaten[D Mitte mit Rinde (mm)],MATCH(Tabelle8[[#This Row],[Rank]],Stammdaten[Rank Verteilung D Mitte mit Rinde],0))</f>
        <v>#N/A</v>
      </c>
      <c r="G4602" t="e">
        <f>VLOOKUP(Tabelle8[[#This Row],[Rank]],Stammdaten[[Rank Verteilung D Mitte mit Rinde]:[Verteilung D Mitte mit Rinde]],2,FALSE)</f>
        <v>#N/A</v>
      </c>
      <c r="L4602">
        <v>4593</v>
      </c>
      <c r="M4602" t="e">
        <f>INDEX(Stammdaten[Abholzigkeit (mm/lfm)],MATCH(Tabelle9[[#This Row],[Rank]],Stammdaten[Rank Verteilung Abholzigkeit],0))</f>
        <v>#N/A</v>
      </c>
      <c r="N4602" t="e">
        <f>VLOOKUP(Tabelle9[[#This Row],[Rank]],Stammdaten[[Rank Verteilung Abholzigkeit]:[Verteilung Abholzigkeit]],2,FALSE)</f>
        <v>#N/A</v>
      </c>
      <c r="S4602">
        <v>4593</v>
      </c>
      <c r="T4602" t="e">
        <f>INDEX(Stammdaten[Krümmung (mm/lfm)],MATCH(Tabelle10[[#This Row],[Rank]],Stammdaten[Rank Verteilung Krümmung],0))</f>
        <v>#N/A</v>
      </c>
      <c r="U4602" t="e">
        <f>VLOOKUP(Tabelle10[[#This Row],[Rank]],Stammdaten[[Rank Verteilung Krümmung]:[Verteilung Krümmung]],2,FALSE)</f>
        <v>#N/A</v>
      </c>
      <c r="Z4602">
        <v>4593</v>
      </c>
      <c r="AA4602" t="e">
        <f>INDEX(Stammdaten[Ovalität (']0,1'])],MATCH(Tabelle1014[[#This Row],[Rank]],Stammdaten[Rank Verteilung Ovalität],0))</f>
        <v>#N/A</v>
      </c>
      <c r="AB4602" t="e">
        <f>VLOOKUP(Tabelle1014[[#This Row],[Rank]],Stammdaten[[Rank Verteilung Ovalität]:[Verteilung Ovalität]],2,FALSE)</f>
        <v>#N/A</v>
      </c>
    </row>
    <row r="4603" spans="5:28" x14ac:dyDescent="0.35">
      <c r="E4603">
        <v>4594</v>
      </c>
      <c r="F4603" t="e">
        <f>INDEX(Stammdaten[D Mitte mit Rinde (mm)],MATCH(Tabelle8[[#This Row],[Rank]],Stammdaten[Rank Verteilung D Mitte mit Rinde],0))</f>
        <v>#N/A</v>
      </c>
      <c r="G4603" t="e">
        <f>VLOOKUP(Tabelle8[[#This Row],[Rank]],Stammdaten[[Rank Verteilung D Mitte mit Rinde]:[Verteilung D Mitte mit Rinde]],2,FALSE)</f>
        <v>#N/A</v>
      </c>
      <c r="L4603">
        <v>4594</v>
      </c>
      <c r="M4603" t="e">
        <f>INDEX(Stammdaten[Abholzigkeit (mm/lfm)],MATCH(Tabelle9[[#This Row],[Rank]],Stammdaten[Rank Verteilung Abholzigkeit],0))</f>
        <v>#N/A</v>
      </c>
      <c r="N4603" t="e">
        <f>VLOOKUP(Tabelle9[[#This Row],[Rank]],Stammdaten[[Rank Verteilung Abholzigkeit]:[Verteilung Abholzigkeit]],2,FALSE)</f>
        <v>#N/A</v>
      </c>
      <c r="S4603">
        <v>4594</v>
      </c>
      <c r="T4603" t="e">
        <f>INDEX(Stammdaten[Krümmung (mm/lfm)],MATCH(Tabelle10[[#This Row],[Rank]],Stammdaten[Rank Verteilung Krümmung],0))</f>
        <v>#N/A</v>
      </c>
      <c r="U4603" t="e">
        <f>VLOOKUP(Tabelle10[[#This Row],[Rank]],Stammdaten[[Rank Verteilung Krümmung]:[Verteilung Krümmung]],2,FALSE)</f>
        <v>#N/A</v>
      </c>
      <c r="Z4603">
        <v>4594</v>
      </c>
      <c r="AA4603" t="e">
        <f>INDEX(Stammdaten[Ovalität (']0,1'])],MATCH(Tabelle1014[[#This Row],[Rank]],Stammdaten[Rank Verteilung Ovalität],0))</f>
        <v>#N/A</v>
      </c>
      <c r="AB4603" t="e">
        <f>VLOOKUP(Tabelle1014[[#This Row],[Rank]],Stammdaten[[Rank Verteilung Ovalität]:[Verteilung Ovalität]],2,FALSE)</f>
        <v>#N/A</v>
      </c>
    </row>
    <row r="4604" spans="5:28" x14ac:dyDescent="0.35">
      <c r="E4604">
        <v>4595</v>
      </c>
      <c r="F4604" t="e">
        <f>INDEX(Stammdaten[D Mitte mit Rinde (mm)],MATCH(Tabelle8[[#This Row],[Rank]],Stammdaten[Rank Verteilung D Mitte mit Rinde],0))</f>
        <v>#N/A</v>
      </c>
      <c r="G4604" t="e">
        <f>VLOOKUP(Tabelle8[[#This Row],[Rank]],Stammdaten[[Rank Verteilung D Mitte mit Rinde]:[Verteilung D Mitte mit Rinde]],2,FALSE)</f>
        <v>#N/A</v>
      </c>
      <c r="L4604">
        <v>4595</v>
      </c>
      <c r="M4604" t="e">
        <f>INDEX(Stammdaten[Abholzigkeit (mm/lfm)],MATCH(Tabelle9[[#This Row],[Rank]],Stammdaten[Rank Verteilung Abholzigkeit],0))</f>
        <v>#N/A</v>
      </c>
      <c r="N4604" t="e">
        <f>VLOOKUP(Tabelle9[[#This Row],[Rank]],Stammdaten[[Rank Verteilung Abholzigkeit]:[Verteilung Abholzigkeit]],2,FALSE)</f>
        <v>#N/A</v>
      </c>
      <c r="S4604">
        <v>4595</v>
      </c>
      <c r="T4604" t="e">
        <f>INDEX(Stammdaten[Krümmung (mm/lfm)],MATCH(Tabelle10[[#This Row],[Rank]],Stammdaten[Rank Verteilung Krümmung],0))</f>
        <v>#N/A</v>
      </c>
      <c r="U4604" t="e">
        <f>VLOOKUP(Tabelle10[[#This Row],[Rank]],Stammdaten[[Rank Verteilung Krümmung]:[Verteilung Krümmung]],2,FALSE)</f>
        <v>#N/A</v>
      </c>
      <c r="Z4604">
        <v>4595</v>
      </c>
      <c r="AA4604" t="e">
        <f>INDEX(Stammdaten[Ovalität (']0,1'])],MATCH(Tabelle1014[[#This Row],[Rank]],Stammdaten[Rank Verteilung Ovalität],0))</f>
        <v>#N/A</v>
      </c>
      <c r="AB4604" t="e">
        <f>VLOOKUP(Tabelle1014[[#This Row],[Rank]],Stammdaten[[Rank Verteilung Ovalität]:[Verteilung Ovalität]],2,FALSE)</f>
        <v>#N/A</v>
      </c>
    </row>
    <row r="4605" spans="5:28" x14ac:dyDescent="0.35">
      <c r="E4605">
        <v>4596</v>
      </c>
      <c r="F4605" t="e">
        <f>INDEX(Stammdaten[D Mitte mit Rinde (mm)],MATCH(Tabelle8[[#This Row],[Rank]],Stammdaten[Rank Verteilung D Mitte mit Rinde],0))</f>
        <v>#N/A</v>
      </c>
      <c r="G4605" t="e">
        <f>VLOOKUP(Tabelle8[[#This Row],[Rank]],Stammdaten[[Rank Verteilung D Mitte mit Rinde]:[Verteilung D Mitte mit Rinde]],2,FALSE)</f>
        <v>#N/A</v>
      </c>
      <c r="L4605">
        <v>4596</v>
      </c>
      <c r="M4605" t="e">
        <f>INDEX(Stammdaten[Abholzigkeit (mm/lfm)],MATCH(Tabelle9[[#This Row],[Rank]],Stammdaten[Rank Verteilung Abholzigkeit],0))</f>
        <v>#N/A</v>
      </c>
      <c r="N4605" t="e">
        <f>VLOOKUP(Tabelle9[[#This Row],[Rank]],Stammdaten[[Rank Verteilung Abholzigkeit]:[Verteilung Abholzigkeit]],2,FALSE)</f>
        <v>#N/A</v>
      </c>
      <c r="S4605">
        <v>4596</v>
      </c>
      <c r="T4605" t="e">
        <f>INDEX(Stammdaten[Krümmung (mm/lfm)],MATCH(Tabelle10[[#This Row],[Rank]],Stammdaten[Rank Verteilung Krümmung],0))</f>
        <v>#N/A</v>
      </c>
      <c r="U4605" t="e">
        <f>VLOOKUP(Tabelle10[[#This Row],[Rank]],Stammdaten[[Rank Verteilung Krümmung]:[Verteilung Krümmung]],2,FALSE)</f>
        <v>#N/A</v>
      </c>
      <c r="Z4605">
        <v>4596</v>
      </c>
      <c r="AA4605" t="e">
        <f>INDEX(Stammdaten[Ovalität (']0,1'])],MATCH(Tabelle1014[[#This Row],[Rank]],Stammdaten[Rank Verteilung Ovalität],0))</f>
        <v>#N/A</v>
      </c>
      <c r="AB4605" t="e">
        <f>VLOOKUP(Tabelle1014[[#This Row],[Rank]],Stammdaten[[Rank Verteilung Ovalität]:[Verteilung Ovalität]],2,FALSE)</f>
        <v>#N/A</v>
      </c>
    </row>
    <row r="4606" spans="5:28" x14ac:dyDescent="0.35">
      <c r="E4606">
        <v>4597</v>
      </c>
      <c r="F4606" t="e">
        <f>INDEX(Stammdaten[D Mitte mit Rinde (mm)],MATCH(Tabelle8[[#This Row],[Rank]],Stammdaten[Rank Verteilung D Mitte mit Rinde],0))</f>
        <v>#N/A</v>
      </c>
      <c r="G4606" t="e">
        <f>VLOOKUP(Tabelle8[[#This Row],[Rank]],Stammdaten[[Rank Verteilung D Mitte mit Rinde]:[Verteilung D Mitte mit Rinde]],2,FALSE)</f>
        <v>#N/A</v>
      </c>
      <c r="L4606">
        <v>4597</v>
      </c>
      <c r="M4606" t="e">
        <f>INDEX(Stammdaten[Abholzigkeit (mm/lfm)],MATCH(Tabelle9[[#This Row],[Rank]],Stammdaten[Rank Verteilung Abholzigkeit],0))</f>
        <v>#N/A</v>
      </c>
      <c r="N4606" t="e">
        <f>VLOOKUP(Tabelle9[[#This Row],[Rank]],Stammdaten[[Rank Verteilung Abholzigkeit]:[Verteilung Abholzigkeit]],2,FALSE)</f>
        <v>#N/A</v>
      </c>
      <c r="S4606">
        <v>4597</v>
      </c>
      <c r="T4606" t="e">
        <f>INDEX(Stammdaten[Krümmung (mm/lfm)],MATCH(Tabelle10[[#This Row],[Rank]],Stammdaten[Rank Verteilung Krümmung],0))</f>
        <v>#N/A</v>
      </c>
      <c r="U4606" t="e">
        <f>VLOOKUP(Tabelle10[[#This Row],[Rank]],Stammdaten[[Rank Verteilung Krümmung]:[Verteilung Krümmung]],2,FALSE)</f>
        <v>#N/A</v>
      </c>
      <c r="Z4606">
        <v>4597</v>
      </c>
      <c r="AA4606" t="e">
        <f>INDEX(Stammdaten[Ovalität (']0,1'])],MATCH(Tabelle1014[[#This Row],[Rank]],Stammdaten[Rank Verteilung Ovalität],0))</f>
        <v>#N/A</v>
      </c>
      <c r="AB4606" t="e">
        <f>VLOOKUP(Tabelle1014[[#This Row],[Rank]],Stammdaten[[Rank Verteilung Ovalität]:[Verteilung Ovalität]],2,FALSE)</f>
        <v>#N/A</v>
      </c>
    </row>
    <row r="4607" spans="5:28" x14ac:dyDescent="0.35">
      <c r="E4607">
        <v>4598</v>
      </c>
      <c r="F4607" t="e">
        <f>INDEX(Stammdaten[D Mitte mit Rinde (mm)],MATCH(Tabelle8[[#This Row],[Rank]],Stammdaten[Rank Verteilung D Mitte mit Rinde],0))</f>
        <v>#N/A</v>
      </c>
      <c r="G4607" t="e">
        <f>VLOOKUP(Tabelle8[[#This Row],[Rank]],Stammdaten[[Rank Verteilung D Mitte mit Rinde]:[Verteilung D Mitte mit Rinde]],2,FALSE)</f>
        <v>#N/A</v>
      </c>
      <c r="L4607">
        <v>4598</v>
      </c>
      <c r="M4607" t="e">
        <f>INDEX(Stammdaten[Abholzigkeit (mm/lfm)],MATCH(Tabelle9[[#This Row],[Rank]],Stammdaten[Rank Verteilung Abholzigkeit],0))</f>
        <v>#N/A</v>
      </c>
      <c r="N4607" t="e">
        <f>VLOOKUP(Tabelle9[[#This Row],[Rank]],Stammdaten[[Rank Verteilung Abholzigkeit]:[Verteilung Abholzigkeit]],2,FALSE)</f>
        <v>#N/A</v>
      </c>
      <c r="S4607">
        <v>4598</v>
      </c>
      <c r="T4607" t="e">
        <f>INDEX(Stammdaten[Krümmung (mm/lfm)],MATCH(Tabelle10[[#This Row],[Rank]],Stammdaten[Rank Verteilung Krümmung],0))</f>
        <v>#N/A</v>
      </c>
      <c r="U4607" t="e">
        <f>VLOOKUP(Tabelle10[[#This Row],[Rank]],Stammdaten[[Rank Verteilung Krümmung]:[Verteilung Krümmung]],2,FALSE)</f>
        <v>#N/A</v>
      </c>
      <c r="Z4607">
        <v>4598</v>
      </c>
      <c r="AA4607" t="e">
        <f>INDEX(Stammdaten[Ovalität (']0,1'])],MATCH(Tabelle1014[[#This Row],[Rank]],Stammdaten[Rank Verteilung Ovalität],0))</f>
        <v>#N/A</v>
      </c>
      <c r="AB4607" t="e">
        <f>VLOOKUP(Tabelle1014[[#This Row],[Rank]],Stammdaten[[Rank Verteilung Ovalität]:[Verteilung Ovalität]],2,FALSE)</f>
        <v>#N/A</v>
      </c>
    </row>
    <row r="4608" spans="5:28" x14ac:dyDescent="0.35">
      <c r="E4608">
        <v>4599</v>
      </c>
      <c r="F4608" t="e">
        <f>INDEX(Stammdaten[D Mitte mit Rinde (mm)],MATCH(Tabelle8[[#This Row],[Rank]],Stammdaten[Rank Verteilung D Mitte mit Rinde],0))</f>
        <v>#N/A</v>
      </c>
      <c r="G4608" t="e">
        <f>VLOOKUP(Tabelle8[[#This Row],[Rank]],Stammdaten[[Rank Verteilung D Mitte mit Rinde]:[Verteilung D Mitte mit Rinde]],2,FALSE)</f>
        <v>#N/A</v>
      </c>
      <c r="L4608">
        <v>4599</v>
      </c>
      <c r="M4608" t="e">
        <f>INDEX(Stammdaten[Abholzigkeit (mm/lfm)],MATCH(Tabelle9[[#This Row],[Rank]],Stammdaten[Rank Verteilung Abholzigkeit],0))</f>
        <v>#N/A</v>
      </c>
      <c r="N4608" t="e">
        <f>VLOOKUP(Tabelle9[[#This Row],[Rank]],Stammdaten[[Rank Verteilung Abholzigkeit]:[Verteilung Abholzigkeit]],2,FALSE)</f>
        <v>#N/A</v>
      </c>
      <c r="S4608">
        <v>4599</v>
      </c>
      <c r="T4608" t="e">
        <f>INDEX(Stammdaten[Krümmung (mm/lfm)],MATCH(Tabelle10[[#This Row],[Rank]],Stammdaten[Rank Verteilung Krümmung],0))</f>
        <v>#N/A</v>
      </c>
      <c r="U4608" t="e">
        <f>VLOOKUP(Tabelle10[[#This Row],[Rank]],Stammdaten[[Rank Verteilung Krümmung]:[Verteilung Krümmung]],2,FALSE)</f>
        <v>#N/A</v>
      </c>
      <c r="Z4608">
        <v>4599</v>
      </c>
      <c r="AA4608" t="e">
        <f>INDEX(Stammdaten[Ovalität (']0,1'])],MATCH(Tabelle1014[[#This Row],[Rank]],Stammdaten[Rank Verteilung Ovalität],0))</f>
        <v>#N/A</v>
      </c>
      <c r="AB4608" t="e">
        <f>VLOOKUP(Tabelle1014[[#This Row],[Rank]],Stammdaten[[Rank Verteilung Ovalität]:[Verteilung Ovalität]],2,FALSE)</f>
        <v>#N/A</v>
      </c>
    </row>
    <row r="4609" spans="5:28" x14ac:dyDescent="0.35">
      <c r="E4609">
        <v>4600</v>
      </c>
      <c r="F4609" t="e">
        <f>INDEX(Stammdaten[D Mitte mit Rinde (mm)],MATCH(Tabelle8[[#This Row],[Rank]],Stammdaten[Rank Verteilung D Mitte mit Rinde],0))</f>
        <v>#N/A</v>
      </c>
      <c r="G4609" t="e">
        <f>VLOOKUP(Tabelle8[[#This Row],[Rank]],Stammdaten[[Rank Verteilung D Mitte mit Rinde]:[Verteilung D Mitte mit Rinde]],2,FALSE)</f>
        <v>#N/A</v>
      </c>
      <c r="L4609">
        <v>4600</v>
      </c>
      <c r="M4609" t="e">
        <f>INDEX(Stammdaten[Abholzigkeit (mm/lfm)],MATCH(Tabelle9[[#This Row],[Rank]],Stammdaten[Rank Verteilung Abholzigkeit],0))</f>
        <v>#N/A</v>
      </c>
      <c r="N4609" t="e">
        <f>VLOOKUP(Tabelle9[[#This Row],[Rank]],Stammdaten[[Rank Verteilung Abholzigkeit]:[Verteilung Abholzigkeit]],2,FALSE)</f>
        <v>#N/A</v>
      </c>
      <c r="S4609">
        <v>4600</v>
      </c>
      <c r="T4609" t="e">
        <f>INDEX(Stammdaten[Krümmung (mm/lfm)],MATCH(Tabelle10[[#This Row],[Rank]],Stammdaten[Rank Verteilung Krümmung],0))</f>
        <v>#N/A</v>
      </c>
      <c r="U4609" t="e">
        <f>VLOOKUP(Tabelle10[[#This Row],[Rank]],Stammdaten[[Rank Verteilung Krümmung]:[Verteilung Krümmung]],2,FALSE)</f>
        <v>#N/A</v>
      </c>
      <c r="Z4609">
        <v>4600</v>
      </c>
      <c r="AA4609" t="e">
        <f>INDEX(Stammdaten[Ovalität (']0,1'])],MATCH(Tabelle1014[[#This Row],[Rank]],Stammdaten[Rank Verteilung Ovalität],0))</f>
        <v>#N/A</v>
      </c>
      <c r="AB4609" t="e">
        <f>VLOOKUP(Tabelle1014[[#This Row],[Rank]],Stammdaten[[Rank Verteilung Ovalität]:[Verteilung Ovalität]],2,FALSE)</f>
        <v>#N/A</v>
      </c>
    </row>
    <row r="4610" spans="5:28" x14ac:dyDescent="0.35">
      <c r="E4610">
        <v>4601</v>
      </c>
      <c r="F4610" t="e">
        <f>INDEX(Stammdaten[D Mitte mit Rinde (mm)],MATCH(Tabelle8[[#This Row],[Rank]],Stammdaten[Rank Verteilung D Mitte mit Rinde],0))</f>
        <v>#N/A</v>
      </c>
      <c r="G4610" t="e">
        <f>VLOOKUP(Tabelle8[[#This Row],[Rank]],Stammdaten[[Rank Verteilung D Mitte mit Rinde]:[Verteilung D Mitte mit Rinde]],2,FALSE)</f>
        <v>#N/A</v>
      </c>
      <c r="L4610">
        <v>4601</v>
      </c>
      <c r="M4610" t="e">
        <f>INDEX(Stammdaten[Abholzigkeit (mm/lfm)],MATCH(Tabelle9[[#This Row],[Rank]],Stammdaten[Rank Verteilung Abholzigkeit],0))</f>
        <v>#N/A</v>
      </c>
      <c r="N4610" t="e">
        <f>VLOOKUP(Tabelle9[[#This Row],[Rank]],Stammdaten[[Rank Verteilung Abholzigkeit]:[Verteilung Abholzigkeit]],2,FALSE)</f>
        <v>#N/A</v>
      </c>
      <c r="S4610">
        <v>4601</v>
      </c>
      <c r="T4610" t="e">
        <f>INDEX(Stammdaten[Krümmung (mm/lfm)],MATCH(Tabelle10[[#This Row],[Rank]],Stammdaten[Rank Verteilung Krümmung],0))</f>
        <v>#N/A</v>
      </c>
      <c r="U4610" t="e">
        <f>VLOOKUP(Tabelle10[[#This Row],[Rank]],Stammdaten[[Rank Verteilung Krümmung]:[Verteilung Krümmung]],2,FALSE)</f>
        <v>#N/A</v>
      </c>
      <c r="Z4610">
        <v>4601</v>
      </c>
      <c r="AA4610" t="e">
        <f>INDEX(Stammdaten[Ovalität (']0,1'])],MATCH(Tabelle1014[[#This Row],[Rank]],Stammdaten[Rank Verteilung Ovalität],0))</f>
        <v>#N/A</v>
      </c>
      <c r="AB4610" t="e">
        <f>VLOOKUP(Tabelle1014[[#This Row],[Rank]],Stammdaten[[Rank Verteilung Ovalität]:[Verteilung Ovalität]],2,FALSE)</f>
        <v>#N/A</v>
      </c>
    </row>
    <row r="4611" spans="5:28" x14ac:dyDescent="0.35">
      <c r="E4611">
        <v>4602</v>
      </c>
      <c r="F4611" t="e">
        <f>INDEX(Stammdaten[D Mitte mit Rinde (mm)],MATCH(Tabelle8[[#This Row],[Rank]],Stammdaten[Rank Verteilung D Mitte mit Rinde],0))</f>
        <v>#N/A</v>
      </c>
      <c r="G4611" t="e">
        <f>VLOOKUP(Tabelle8[[#This Row],[Rank]],Stammdaten[[Rank Verteilung D Mitte mit Rinde]:[Verteilung D Mitte mit Rinde]],2,FALSE)</f>
        <v>#N/A</v>
      </c>
      <c r="L4611">
        <v>4602</v>
      </c>
      <c r="M4611" t="e">
        <f>INDEX(Stammdaten[Abholzigkeit (mm/lfm)],MATCH(Tabelle9[[#This Row],[Rank]],Stammdaten[Rank Verteilung Abholzigkeit],0))</f>
        <v>#N/A</v>
      </c>
      <c r="N4611" t="e">
        <f>VLOOKUP(Tabelle9[[#This Row],[Rank]],Stammdaten[[Rank Verteilung Abholzigkeit]:[Verteilung Abholzigkeit]],2,FALSE)</f>
        <v>#N/A</v>
      </c>
      <c r="S4611">
        <v>4602</v>
      </c>
      <c r="T4611" t="e">
        <f>INDEX(Stammdaten[Krümmung (mm/lfm)],MATCH(Tabelle10[[#This Row],[Rank]],Stammdaten[Rank Verteilung Krümmung],0))</f>
        <v>#N/A</v>
      </c>
      <c r="U4611" t="e">
        <f>VLOOKUP(Tabelle10[[#This Row],[Rank]],Stammdaten[[Rank Verteilung Krümmung]:[Verteilung Krümmung]],2,FALSE)</f>
        <v>#N/A</v>
      </c>
      <c r="Z4611">
        <v>4602</v>
      </c>
      <c r="AA4611" t="e">
        <f>INDEX(Stammdaten[Ovalität (']0,1'])],MATCH(Tabelle1014[[#This Row],[Rank]],Stammdaten[Rank Verteilung Ovalität],0))</f>
        <v>#N/A</v>
      </c>
      <c r="AB4611" t="e">
        <f>VLOOKUP(Tabelle1014[[#This Row],[Rank]],Stammdaten[[Rank Verteilung Ovalität]:[Verteilung Ovalität]],2,FALSE)</f>
        <v>#N/A</v>
      </c>
    </row>
    <row r="4612" spans="5:28" x14ac:dyDescent="0.35">
      <c r="E4612">
        <v>4603</v>
      </c>
      <c r="F4612" t="e">
        <f>INDEX(Stammdaten[D Mitte mit Rinde (mm)],MATCH(Tabelle8[[#This Row],[Rank]],Stammdaten[Rank Verteilung D Mitte mit Rinde],0))</f>
        <v>#N/A</v>
      </c>
      <c r="G4612" t="e">
        <f>VLOOKUP(Tabelle8[[#This Row],[Rank]],Stammdaten[[Rank Verteilung D Mitte mit Rinde]:[Verteilung D Mitte mit Rinde]],2,FALSE)</f>
        <v>#N/A</v>
      </c>
      <c r="L4612">
        <v>4603</v>
      </c>
      <c r="M4612" t="e">
        <f>INDEX(Stammdaten[Abholzigkeit (mm/lfm)],MATCH(Tabelle9[[#This Row],[Rank]],Stammdaten[Rank Verteilung Abholzigkeit],0))</f>
        <v>#N/A</v>
      </c>
      <c r="N4612" t="e">
        <f>VLOOKUP(Tabelle9[[#This Row],[Rank]],Stammdaten[[Rank Verteilung Abholzigkeit]:[Verteilung Abholzigkeit]],2,FALSE)</f>
        <v>#N/A</v>
      </c>
      <c r="S4612">
        <v>4603</v>
      </c>
      <c r="T4612" t="e">
        <f>INDEX(Stammdaten[Krümmung (mm/lfm)],MATCH(Tabelle10[[#This Row],[Rank]],Stammdaten[Rank Verteilung Krümmung],0))</f>
        <v>#N/A</v>
      </c>
      <c r="U4612" t="e">
        <f>VLOOKUP(Tabelle10[[#This Row],[Rank]],Stammdaten[[Rank Verteilung Krümmung]:[Verteilung Krümmung]],2,FALSE)</f>
        <v>#N/A</v>
      </c>
      <c r="Z4612">
        <v>4603</v>
      </c>
      <c r="AA4612" t="e">
        <f>INDEX(Stammdaten[Ovalität (']0,1'])],MATCH(Tabelle1014[[#This Row],[Rank]],Stammdaten[Rank Verteilung Ovalität],0))</f>
        <v>#N/A</v>
      </c>
      <c r="AB4612" t="e">
        <f>VLOOKUP(Tabelle1014[[#This Row],[Rank]],Stammdaten[[Rank Verteilung Ovalität]:[Verteilung Ovalität]],2,FALSE)</f>
        <v>#N/A</v>
      </c>
    </row>
    <row r="4613" spans="5:28" x14ac:dyDescent="0.35">
      <c r="E4613">
        <v>4604</v>
      </c>
      <c r="F4613" t="e">
        <f>INDEX(Stammdaten[D Mitte mit Rinde (mm)],MATCH(Tabelle8[[#This Row],[Rank]],Stammdaten[Rank Verteilung D Mitte mit Rinde],0))</f>
        <v>#N/A</v>
      </c>
      <c r="G4613" t="e">
        <f>VLOOKUP(Tabelle8[[#This Row],[Rank]],Stammdaten[[Rank Verteilung D Mitte mit Rinde]:[Verteilung D Mitte mit Rinde]],2,FALSE)</f>
        <v>#N/A</v>
      </c>
      <c r="L4613">
        <v>4604</v>
      </c>
      <c r="M4613" t="e">
        <f>INDEX(Stammdaten[Abholzigkeit (mm/lfm)],MATCH(Tabelle9[[#This Row],[Rank]],Stammdaten[Rank Verteilung Abholzigkeit],0))</f>
        <v>#N/A</v>
      </c>
      <c r="N4613" t="e">
        <f>VLOOKUP(Tabelle9[[#This Row],[Rank]],Stammdaten[[Rank Verteilung Abholzigkeit]:[Verteilung Abholzigkeit]],2,FALSE)</f>
        <v>#N/A</v>
      </c>
      <c r="S4613">
        <v>4604</v>
      </c>
      <c r="T4613" t="e">
        <f>INDEX(Stammdaten[Krümmung (mm/lfm)],MATCH(Tabelle10[[#This Row],[Rank]],Stammdaten[Rank Verteilung Krümmung],0))</f>
        <v>#N/A</v>
      </c>
      <c r="U4613" t="e">
        <f>VLOOKUP(Tabelle10[[#This Row],[Rank]],Stammdaten[[Rank Verteilung Krümmung]:[Verteilung Krümmung]],2,FALSE)</f>
        <v>#N/A</v>
      </c>
      <c r="Z4613">
        <v>4604</v>
      </c>
      <c r="AA4613" t="e">
        <f>INDEX(Stammdaten[Ovalität (']0,1'])],MATCH(Tabelle1014[[#This Row],[Rank]],Stammdaten[Rank Verteilung Ovalität],0))</f>
        <v>#N/A</v>
      </c>
      <c r="AB4613" t="e">
        <f>VLOOKUP(Tabelle1014[[#This Row],[Rank]],Stammdaten[[Rank Verteilung Ovalität]:[Verteilung Ovalität]],2,FALSE)</f>
        <v>#N/A</v>
      </c>
    </row>
    <row r="4614" spans="5:28" x14ac:dyDescent="0.35">
      <c r="E4614">
        <v>4605</v>
      </c>
      <c r="F4614" t="e">
        <f>INDEX(Stammdaten[D Mitte mit Rinde (mm)],MATCH(Tabelle8[[#This Row],[Rank]],Stammdaten[Rank Verteilung D Mitte mit Rinde],0))</f>
        <v>#N/A</v>
      </c>
      <c r="G4614" t="e">
        <f>VLOOKUP(Tabelle8[[#This Row],[Rank]],Stammdaten[[Rank Verteilung D Mitte mit Rinde]:[Verteilung D Mitte mit Rinde]],2,FALSE)</f>
        <v>#N/A</v>
      </c>
      <c r="L4614">
        <v>4605</v>
      </c>
      <c r="M4614" t="e">
        <f>INDEX(Stammdaten[Abholzigkeit (mm/lfm)],MATCH(Tabelle9[[#This Row],[Rank]],Stammdaten[Rank Verteilung Abholzigkeit],0))</f>
        <v>#N/A</v>
      </c>
      <c r="N4614" t="e">
        <f>VLOOKUP(Tabelle9[[#This Row],[Rank]],Stammdaten[[Rank Verteilung Abholzigkeit]:[Verteilung Abholzigkeit]],2,FALSE)</f>
        <v>#N/A</v>
      </c>
      <c r="S4614">
        <v>4605</v>
      </c>
      <c r="T4614" t="e">
        <f>INDEX(Stammdaten[Krümmung (mm/lfm)],MATCH(Tabelle10[[#This Row],[Rank]],Stammdaten[Rank Verteilung Krümmung],0))</f>
        <v>#N/A</v>
      </c>
      <c r="U4614" t="e">
        <f>VLOOKUP(Tabelle10[[#This Row],[Rank]],Stammdaten[[Rank Verteilung Krümmung]:[Verteilung Krümmung]],2,FALSE)</f>
        <v>#N/A</v>
      </c>
      <c r="Z4614">
        <v>4605</v>
      </c>
      <c r="AA4614" t="e">
        <f>INDEX(Stammdaten[Ovalität (']0,1'])],MATCH(Tabelle1014[[#This Row],[Rank]],Stammdaten[Rank Verteilung Ovalität],0))</f>
        <v>#N/A</v>
      </c>
      <c r="AB4614" t="e">
        <f>VLOOKUP(Tabelle1014[[#This Row],[Rank]],Stammdaten[[Rank Verteilung Ovalität]:[Verteilung Ovalität]],2,FALSE)</f>
        <v>#N/A</v>
      </c>
    </row>
    <row r="4615" spans="5:28" x14ac:dyDescent="0.35">
      <c r="E4615">
        <v>4606</v>
      </c>
      <c r="F4615" t="e">
        <f>INDEX(Stammdaten[D Mitte mit Rinde (mm)],MATCH(Tabelle8[[#This Row],[Rank]],Stammdaten[Rank Verteilung D Mitte mit Rinde],0))</f>
        <v>#N/A</v>
      </c>
      <c r="G4615" t="e">
        <f>VLOOKUP(Tabelle8[[#This Row],[Rank]],Stammdaten[[Rank Verteilung D Mitte mit Rinde]:[Verteilung D Mitte mit Rinde]],2,FALSE)</f>
        <v>#N/A</v>
      </c>
      <c r="L4615">
        <v>4606</v>
      </c>
      <c r="M4615" t="e">
        <f>INDEX(Stammdaten[Abholzigkeit (mm/lfm)],MATCH(Tabelle9[[#This Row],[Rank]],Stammdaten[Rank Verteilung Abholzigkeit],0))</f>
        <v>#N/A</v>
      </c>
      <c r="N4615" t="e">
        <f>VLOOKUP(Tabelle9[[#This Row],[Rank]],Stammdaten[[Rank Verteilung Abholzigkeit]:[Verteilung Abholzigkeit]],2,FALSE)</f>
        <v>#N/A</v>
      </c>
      <c r="S4615">
        <v>4606</v>
      </c>
      <c r="T4615" t="e">
        <f>INDEX(Stammdaten[Krümmung (mm/lfm)],MATCH(Tabelle10[[#This Row],[Rank]],Stammdaten[Rank Verteilung Krümmung],0))</f>
        <v>#N/A</v>
      </c>
      <c r="U4615" t="e">
        <f>VLOOKUP(Tabelle10[[#This Row],[Rank]],Stammdaten[[Rank Verteilung Krümmung]:[Verteilung Krümmung]],2,FALSE)</f>
        <v>#N/A</v>
      </c>
      <c r="Z4615">
        <v>4606</v>
      </c>
      <c r="AA4615" t="e">
        <f>INDEX(Stammdaten[Ovalität (']0,1'])],MATCH(Tabelle1014[[#This Row],[Rank]],Stammdaten[Rank Verteilung Ovalität],0))</f>
        <v>#N/A</v>
      </c>
      <c r="AB4615" t="e">
        <f>VLOOKUP(Tabelle1014[[#This Row],[Rank]],Stammdaten[[Rank Verteilung Ovalität]:[Verteilung Ovalität]],2,FALSE)</f>
        <v>#N/A</v>
      </c>
    </row>
    <row r="4616" spans="5:28" x14ac:dyDescent="0.35">
      <c r="E4616">
        <v>4607</v>
      </c>
      <c r="F4616" t="e">
        <f>INDEX(Stammdaten[D Mitte mit Rinde (mm)],MATCH(Tabelle8[[#This Row],[Rank]],Stammdaten[Rank Verteilung D Mitte mit Rinde],0))</f>
        <v>#N/A</v>
      </c>
      <c r="G4616" t="e">
        <f>VLOOKUP(Tabelle8[[#This Row],[Rank]],Stammdaten[[Rank Verteilung D Mitte mit Rinde]:[Verteilung D Mitte mit Rinde]],2,FALSE)</f>
        <v>#N/A</v>
      </c>
      <c r="L4616">
        <v>4607</v>
      </c>
      <c r="M4616" t="e">
        <f>INDEX(Stammdaten[Abholzigkeit (mm/lfm)],MATCH(Tabelle9[[#This Row],[Rank]],Stammdaten[Rank Verteilung Abholzigkeit],0))</f>
        <v>#N/A</v>
      </c>
      <c r="N4616" t="e">
        <f>VLOOKUP(Tabelle9[[#This Row],[Rank]],Stammdaten[[Rank Verteilung Abholzigkeit]:[Verteilung Abholzigkeit]],2,FALSE)</f>
        <v>#N/A</v>
      </c>
      <c r="S4616">
        <v>4607</v>
      </c>
      <c r="T4616" t="e">
        <f>INDEX(Stammdaten[Krümmung (mm/lfm)],MATCH(Tabelle10[[#This Row],[Rank]],Stammdaten[Rank Verteilung Krümmung],0))</f>
        <v>#N/A</v>
      </c>
      <c r="U4616" t="e">
        <f>VLOOKUP(Tabelle10[[#This Row],[Rank]],Stammdaten[[Rank Verteilung Krümmung]:[Verteilung Krümmung]],2,FALSE)</f>
        <v>#N/A</v>
      </c>
      <c r="Z4616">
        <v>4607</v>
      </c>
      <c r="AA4616" t="e">
        <f>INDEX(Stammdaten[Ovalität (']0,1'])],MATCH(Tabelle1014[[#This Row],[Rank]],Stammdaten[Rank Verteilung Ovalität],0))</f>
        <v>#N/A</v>
      </c>
      <c r="AB4616" t="e">
        <f>VLOOKUP(Tabelle1014[[#This Row],[Rank]],Stammdaten[[Rank Verteilung Ovalität]:[Verteilung Ovalität]],2,FALSE)</f>
        <v>#N/A</v>
      </c>
    </row>
    <row r="4617" spans="5:28" x14ac:dyDescent="0.35">
      <c r="E4617">
        <v>4608</v>
      </c>
      <c r="F4617" t="e">
        <f>INDEX(Stammdaten[D Mitte mit Rinde (mm)],MATCH(Tabelle8[[#This Row],[Rank]],Stammdaten[Rank Verteilung D Mitte mit Rinde],0))</f>
        <v>#N/A</v>
      </c>
      <c r="G4617" t="e">
        <f>VLOOKUP(Tabelle8[[#This Row],[Rank]],Stammdaten[[Rank Verteilung D Mitte mit Rinde]:[Verteilung D Mitte mit Rinde]],2,FALSE)</f>
        <v>#N/A</v>
      </c>
      <c r="L4617">
        <v>4608</v>
      </c>
      <c r="M4617" t="e">
        <f>INDEX(Stammdaten[Abholzigkeit (mm/lfm)],MATCH(Tabelle9[[#This Row],[Rank]],Stammdaten[Rank Verteilung Abholzigkeit],0))</f>
        <v>#N/A</v>
      </c>
      <c r="N4617" t="e">
        <f>VLOOKUP(Tabelle9[[#This Row],[Rank]],Stammdaten[[Rank Verteilung Abholzigkeit]:[Verteilung Abholzigkeit]],2,FALSE)</f>
        <v>#N/A</v>
      </c>
      <c r="S4617">
        <v>4608</v>
      </c>
      <c r="T4617" t="e">
        <f>INDEX(Stammdaten[Krümmung (mm/lfm)],MATCH(Tabelle10[[#This Row],[Rank]],Stammdaten[Rank Verteilung Krümmung],0))</f>
        <v>#N/A</v>
      </c>
      <c r="U4617" t="e">
        <f>VLOOKUP(Tabelle10[[#This Row],[Rank]],Stammdaten[[Rank Verteilung Krümmung]:[Verteilung Krümmung]],2,FALSE)</f>
        <v>#N/A</v>
      </c>
      <c r="Z4617">
        <v>4608</v>
      </c>
      <c r="AA4617" t="e">
        <f>INDEX(Stammdaten[Ovalität (']0,1'])],MATCH(Tabelle1014[[#This Row],[Rank]],Stammdaten[Rank Verteilung Ovalität],0))</f>
        <v>#N/A</v>
      </c>
      <c r="AB4617" t="e">
        <f>VLOOKUP(Tabelle1014[[#This Row],[Rank]],Stammdaten[[Rank Verteilung Ovalität]:[Verteilung Ovalität]],2,FALSE)</f>
        <v>#N/A</v>
      </c>
    </row>
    <row r="4618" spans="5:28" x14ac:dyDescent="0.35">
      <c r="E4618">
        <v>4609</v>
      </c>
      <c r="F4618" t="e">
        <f>INDEX(Stammdaten[D Mitte mit Rinde (mm)],MATCH(Tabelle8[[#This Row],[Rank]],Stammdaten[Rank Verteilung D Mitte mit Rinde],0))</f>
        <v>#N/A</v>
      </c>
      <c r="G4618" t="e">
        <f>VLOOKUP(Tabelle8[[#This Row],[Rank]],Stammdaten[[Rank Verteilung D Mitte mit Rinde]:[Verteilung D Mitte mit Rinde]],2,FALSE)</f>
        <v>#N/A</v>
      </c>
      <c r="L4618">
        <v>4609</v>
      </c>
      <c r="M4618" t="e">
        <f>INDEX(Stammdaten[Abholzigkeit (mm/lfm)],MATCH(Tabelle9[[#This Row],[Rank]],Stammdaten[Rank Verteilung Abholzigkeit],0))</f>
        <v>#N/A</v>
      </c>
      <c r="N4618" t="e">
        <f>VLOOKUP(Tabelle9[[#This Row],[Rank]],Stammdaten[[Rank Verteilung Abholzigkeit]:[Verteilung Abholzigkeit]],2,FALSE)</f>
        <v>#N/A</v>
      </c>
      <c r="S4618">
        <v>4609</v>
      </c>
      <c r="T4618" t="e">
        <f>INDEX(Stammdaten[Krümmung (mm/lfm)],MATCH(Tabelle10[[#This Row],[Rank]],Stammdaten[Rank Verteilung Krümmung],0))</f>
        <v>#N/A</v>
      </c>
      <c r="U4618" t="e">
        <f>VLOOKUP(Tabelle10[[#This Row],[Rank]],Stammdaten[[Rank Verteilung Krümmung]:[Verteilung Krümmung]],2,FALSE)</f>
        <v>#N/A</v>
      </c>
      <c r="Z4618">
        <v>4609</v>
      </c>
      <c r="AA4618" t="e">
        <f>INDEX(Stammdaten[Ovalität (']0,1'])],MATCH(Tabelle1014[[#This Row],[Rank]],Stammdaten[Rank Verteilung Ovalität],0))</f>
        <v>#N/A</v>
      </c>
      <c r="AB4618" t="e">
        <f>VLOOKUP(Tabelle1014[[#This Row],[Rank]],Stammdaten[[Rank Verteilung Ovalität]:[Verteilung Ovalität]],2,FALSE)</f>
        <v>#N/A</v>
      </c>
    </row>
    <row r="4619" spans="5:28" x14ac:dyDescent="0.35">
      <c r="E4619">
        <v>4610</v>
      </c>
      <c r="F4619" t="e">
        <f>INDEX(Stammdaten[D Mitte mit Rinde (mm)],MATCH(Tabelle8[[#This Row],[Rank]],Stammdaten[Rank Verteilung D Mitte mit Rinde],0))</f>
        <v>#N/A</v>
      </c>
      <c r="G4619" t="e">
        <f>VLOOKUP(Tabelle8[[#This Row],[Rank]],Stammdaten[[Rank Verteilung D Mitte mit Rinde]:[Verteilung D Mitte mit Rinde]],2,FALSE)</f>
        <v>#N/A</v>
      </c>
      <c r="L4619">
        <v>4610</v>
      </c>
      <c r="M4619" t="e">
        <f>INDEX(Stammdaten[Abholzigkeit (mm/lfm)],MATCH(Tabelle9[[#This Row],[Rank]],Stammdaten[Rank Verteilung Abholzigkeit],0))</f>
        <v>#N/A</v>
      </c>
      <c r="N4619" t="e">
        <f>VLOOKUP(Tabelle9[[#This Row],[Rank]],Stammdaten[[Rank Verteilung Abholzigkeit]:[Verteilung Abholzigkeit]],2,FALSE)</f>
        <v>#N/A</v>
      </c>
      <c r="S4619">
        <v>4610</v>
      </c>
      <c r="T4619" t="e">
        <f>INDEX(Stammdaten[Krümmung (mm/lfm)],MATCH(Tabelle10[[#This Row],[Rank]],Stammdaten[Rank Verteilung Krümmung],0))</f>
        <v>#N/A</v>
      </c>
      <c r="U4619" t="e">
        <f>VLOOKUP(Tabelle10[[#This Row],[Rank]],Stammdaten[[Rank Verteilung Krümmung]:[Verteilung Krümmung]],2,FALSE)</f>
        <v>#N/A</v>
      </c>
      <c r="Z4619">
        <v>4610</v>
      </c>
      <c r="AA4619" t="e">
        <f>INDEX(Stammdaten[Ovalität (']0,1'])],MATCH(Tabelle1014[[#This Row],[Rank]],Stammdaten[Rank Verteilung Ovalität],0))</f>
        <v>#N/A</v>
      </c>
      <c r="AB4619" t="e">
        <f>VLOOKUP(Tabelle1014[[#This Row],[Rank]],Stammdaten[[Rank Verteilung Ovalität]:[Verteilung Ovalität]],2,FALSE)</f>
        <v>#N/A</v>
      </c>
    </row>
    <row r="4620" spans="5:28" x14ac:dyDescent="0.35">
      <c r="E4620">
        <v>4611</v>
      </c>
      <c r="F4620" t="e">
        <f>INDEX(Stammdaten[D Mitte mit Rinde (mm)],MATCH(Tabelle8[[#This Row],[Rank]],Stammdaten[Rank Verteilung D Mitte mit Rinde],0))</f>
        <v>#N/A</v>
      </c>
      <c r="G4620" t="e">
        <f>VLOOKUP(Tabelle8[[#This Row],[Rank]],Stammdaten[[Rank Verteilung D Mitte mit Rinde]:[Verteilung D Mitte mit Rinde]],2,FALSE)</f>
        <v>#N/A</v>
      </c>
      <c r="L4620">
        <v>4611</v>
      </c>
      <c r="M4620" t="e">
        <f>INDEX(Stammdaten[Abholzigkeit (mm/lfm)],MATCH(Tabelle9[[#This Row],[Rank]],Stammdaten[Rank Verteilung Abholzigkeit],0))</f>
        <v>#N/A</v>
      </c>
      <c r="N4620" t="e">
        <f>VLOOKUP(Tabelle9[[#This Row],[Rank]],Stammdaten[[Rank Verteilung Abholzigkeit]:[Verteilung Abholzigkeit]],2,FALSE)</f>
        <v>#N/A</v>
      </c>
      <c r="S4620">
        <v>4611</v>
      </c>
      <c r="T4620" t="e">
        <f>INDEX(Stammdaten[Krümmung (mm/lfm)],MATCH(Tabelle10[[#This Row],[Rank]],Stammdaten[Rank Verteilung Krümmung],0))</f>
        <v>#N/A</v>
      </c>
      <c r="U4620" t="e">
        <f>VLOOKUP(Tabelle10[[#This Row],[Rank]],Stammdaten[[Rank Verteilung Krümmung]:[Verteilung Krümmung]],2,FALSE)</f>
        <v>#N/A</v>
      </c>
      <c r="Z4620">
        <v>4611</v>
      </c>
      <c r="AA4620" t="e">
        <f>INDEX(Stammdaten[Ovalität (']0,1'])],MATCH(Tabelle1014[[#This Row],[Rank]],Stammdaten[Rank Verteilung Ovalität],0))</f>
        <v>#N/A</v>
      </c>
      <c r="AB4620" t="e">
        <f>VLOOKUP(Tabelle1014[[#This Row],[Rank]],Stammdaten[[Rank Verteilung Ovalität]:[Verteilung Ovalität]],2,FALSE)</f>
        <v>#N/A</v>
      </c>
    </row>
    <row r="4621" spans="5:28" x14ac:dyDescent="0.35">
      <c r="E4621">
        <v>4612</v>
      </c>
      <c r="F4621" t="e">
        <f>INDEX(Stammdaten[D Mitte mit Rinde (mm)],MATCH(Tabelle8[[#This Row],[Rank]],Stammdaten[Rank Verteilung D Mitte mit Rinde],0))</f>
        <v>#N/A</v>
      </c>
      <c r="G4621" t="e">
        <f>VLOOKUP(Tabelle8[[#This Row],[Rank]],Stammdaten[[Rank Verteilung D Mitte mit Rinde]:[Verteilung D Mitte mit Rinde]],2,FALSE)</f>
        <v>#N/A</v>
      </c>
      <c r="L4621">
        <v>4612</v>
      </c>
      <c r="M4621" t="e">
        <f>INDEX(Stammdaten[Abholzigkeit (mm/lfm)],MATCH(Tabelle9[[#This Row],[Rank]],Stammdaten[Rank Verteilung Abholzigkeit],0))</f>
        <v>#N/A</v>
      </c>
      <c r="N4621" t="e">
        <f>VLOOKUP(Tabelle9[[#This Row],[Rank]],Stammdaten[[Rank Verteilung Abholzigkeit]:[Verteilung Abholzigkeit]],2,FALSE)</f>
        <v>#N/A</v>
      </c>
      <c r="S4621">
        <v>4612</v>
      </c>
      <c r="T4621" t="e">
        <f>INDEX(Stammdaten[Krümmung (mm/lfm)],MATCH(Tabelle10[[#This Row],[Rank]],Stammdaten[Rank Verteilung Krümmung],0))</f>
        <v>#N/A</v>
      </c>
      <c r="U4621" t="e">
        <f>VLOOKUP(Tabelle10[[#This Row],[Rank]],Stammdaten[[Rank Verteilung Krümmung]:[Verteilung Krümmung]],2,FALSE)</f>
        <v>#N/A</v>
      </c>
      <c r="Z4621">
        <v>4612</v>
      </c>
      <c r="AA4621" t="e">
        <f>INDEX(Stammdaten[Ovalität (']0,1'])],MATCH(Tabelle1014[[#This Row],[Rank]],Stammdaten[Rank Verteilung Ovalität],0))</f>
        <v>#N/A</v>
      </c>
      <c r="AB4621" t="e">
        <f>VLOOKUP(Tabelle1014[[#This Row],[Rank]],Stammdaten[[Rank Verteilung Ovalität]:[Verteilung Ovalität]],2,FALSE)</f>
        <v>#N/A</v>
      </c>
    </row>
    <row r="4622" spans="5:28" x14ac:dyDescent="0.35">
      <c r="E4622">
        <v>4613</v>
      </c>
      <c r="F4622" t="e">
        <f>INDEX(Stammdaten[D Mitte mit Rinde (mm)],MATCH(Tabelle8[[#This Row],[Rank]],Stammdaten[Rank Verteilung D Mitte mit Rinde],0))</f>
        <v>#N/A</v>
      </c>
      <c r="G4622" t="e">
        <f>VLOOKUP(Tabelle8[[#This Row],[Rank]],Stammdaten[[Rank Verteilung D Mitte mit Rinde]:[Verteilung D Mitte mit Rinde]],2,FALSE)</f>
        <v>#N/A</v>
      </c>
      <c r="L4622">
        <v>4613</v>
      </c>
      <c r="M4622" t="e">
        <f>INDEX(Stammdaten[Abholzigkeit (mm/lfm)],MATCH(Tabelle9[[#This Row],[Rank]],Stammdaten[Rank Verteilung Abholzigkeit],0))</f>
        <v>#N/A</v>
      </c>
      <c r="N4622" t="e">
        <f>VLOOKUP(Tabelle9[[#This Row],[Rank]],Stammdaten[[Rank Verteilung Abholzigkeit]:[Verteilung Abholzigkeit]],2,FALSE)</f>
        <v>#N/A</v>
      </c>
      <c r="S4622">
        <v>4613</v>
      </c>
      <c r="T4622" t="e">
        <f>INDEX(Stammdaten[Krümmung (mm/lfm)],MATCH(Tabelle10[[#This Row],[Rank]],Stammdaten[Rank Verteilung Krümmung],0))</f>
        <v>#N/A</v>
      </c>
      <c r="U4622" t="e">
        <f>VLOOKUP(Tabelle10[[#This Row],[Rank]],Stammdaten[[Rank Verteilung Krümmung]:[Verteilung Krümmung]],2,FALSE)</f>
        <v>#N/A</v>
      </c>
      <c r="Z4622">
        <v>4613</v>
      </c>
      <c r="AA4622" t="e">
        <f>INDEX(Stammdaten[Ovalität (']0,1'])],MATCH(Tabelle1014[[#This Row],[Rank]],Stammdaten[Rank Verteilung Ovalität],0))</f>
        <v>#N/A</v>
      </c>
      <c r="AB4622" t="e">
        <f>VLOOKUP(Tabelle1014[[#This Row],[Rank]],Stammdaten[[Rank Verteilung Ovalität]:[Verteilung Ovalität]],2,FALSE)</f>
        <v>#N/A</v>
      </c>
    </row>
    <row r="4623" spans="5:28" x14ac:dyDescent="0.35">
      <c r="E4623">
        <v>4614</v>
      </c>
      <c r="F4623" t="e">
        <f>INDEX(Stammdaten[D Mitte mit Rinde (mm)],MATCH(Tabelle8[[#This Row],[Rank]],Stammdaten[Rank Verteilung D Mitte mit Rinde],0))</f>
        <v>#N/A</v>
      </c>
      <c r="G4623" t="e">
        <f>VLOOKUP(Tabelle8[[#This Row],[Rank]],Stammdaten[[Rank Verteilung D Mitte mit Rinde]:[Verteilung D Mitte mit Rinde]],2,FALSE)</f>
        <v>#N/A</v>
      </c>
      <c r="L4623">
        <v>4614</v>
      </c>
      <c r="M4623" t="e">
        <f>INDEX(Stammdaten[Abholzigkeit (mm/lfm)],MATCH(Tabelle9[[#This Row],[Rank]],Stammdaten[Rank Verteilung Abholzigkeit],0))</f>
        <v>#N/A</v>
      </c>
      <c r="N4623" t="e">
        <f>VLOOKUP(Tabelle9[[#This Row],[Rank]],Stammdaten[[Rank Verteilung Abholzigkeit]:[Verteilung Abholzigkeit]],2,FALSE)</f>
        <v>#N/A</v>
      </c>
      <c r="S4623">
        <v>4614</v>
      </c>
      <c r="T4623" t="e">
        <f>INDEX(Stammdaten[Krümmung (mm/lfm)],MATCH(Tabelle10[[#This Row],[Rank]],Stammdaten[Rank Verteilung Krümmung],0))</f>
        <v>#N/A</v>
      </c>
      <c r="U4623" t="e">
        <f>VLOOKUP(Tabelle10[[#This Row],[Rank]],Stammdaten[[Rank Verteilung Krümmung]:[Verteilung Krümmung]],2,FALSE)</f>
        <v>#N/A</v>
      </c>
      <c r="Z4623">
        <v>4614</v>
      </c>
      <c r="AA4623" t="e">
        <f>INDEX(Stammdaten[Ovalität (']0,1'])],MATCH(Tabelle1014[[#This Row],[Rank]],Stammdaten[Rank Verteilung Ovalität],0))</f>
        <v>#N/A</v>
      </c>
      <c r="AB4623" t="e">
        <f>VLOOKUP(Tabelle1014[[#This Row],[Rank]],Stammdaten[[Rank Verteilung Ovalität]:[Verteilung Ovalität]],2,FALSE)</f>
        <v>#N/A</v>
      </c>
    </row>
    <row r="4624" spans="5:28" x14ac:dyDescent="0.35">
      <c r="E4624">
        <v>4615</v>
      </c>
      <c r="F4624" t="e">
        <f>INDEX(Stammdaten[D Mitte mit Rinde (mm)],MATCH(Tabelle8[[#This Row],[Rank]],Stammdaten[Rank Verteilung D Mitte mit Rinde],0))</f>
        <v>#N/A</v>
      </c>
      <c r="G4624" t="e">
        <f>VLOOKUP(Tabelle8[[#This Row],[Rank]],Stammdaten[[Rank Verteilung D Mitte mit Rinde]:[Verteilung D Mitte mit Rinde]],2,FALSE)</f>
        <v>#N/A</v>
      </c>
      <c r="L4624">
        <v>4615</v>
      </c>
      <c r="M4624" t="e">
        <f>INDEX(Stammdaten[Abholzigkeit (mm/lfm)],MATCH(Tabelle9[[#This Row],[Rank]],Stammdaten[Rank Verteilung Abholzigkeit],0))</f>
        <v>#N/A</v>
      </c>
      <c r="N4624" t="e">
        <f>VLOOKUP(Tabelle9[[#This Row],[Rank]],Stammdaten[[Rank Verteilung Abholzigkeit]:[Verteilung Abholzigkeit]],2,FALSE)</f>
        <v>#N/A</v>
      </c>
      <c r="S4624">
        <v>4615</v>
      </c>
      <c r="T4624" t="e">
        <f>INDEX(Stammdaten[Krümmung (mm/lfm)],MATCH(Tabelle10[[#This Row],[Rank]],Stammdaten[Rank Verteilung Krümmung],0))</f>
        <v>#N/A</v>
      </c>
      <c r="U4624" t="e">
        <f>VLOOKUP(Tabelle10[[#This Row],[Rank]],Stammdaten[[Rank Verteilung Krümmung]:[Verteilung Krümmung]],2,FALSE)</f>
        <v>#N/A</v>
      </c>
      <c r="Z4624">
        <v>4615</v>
      </c>
      <c r="AA4624" t="e">
        <f>INDEX(Stammdaten[Ovalität (']0,1'])],MATCH(Tabelle1014[[#This Row],[Rank]],Stammdaten[Rank Verteilung Ovalität],0))</f>
        <v>#N/A</v>
      </c>
      <c r="AB4624" t="e">
        <f>VLOOKUP(Tabelle1014[[#This Row],[Rank]],Stammdaten[[Rank Verteilung Ovalität]:[Verteilung Ovalität]],2,FALSE)</f>
        <v>#N/A</v>
      </c>
    </row>
    <row r="4625" spans="5:28" x14ac:dyDescent="0.35">
      <c r="E4625">
        <v>4616</v>
      </c>
      <c r="F4625" t="e">
        <f>INDEX(Stammdaten[D Mitte mit Rinde (mm)],MATCH(Tabelle8[[#This Row],[Rank]],Stammdaten[Rank Verteilung D Mitte mit Rinde],0))</f>
        <v>#N/A</v>
      </c>
      <c r="G4625" t="e">
        <f>VLOOKUP(Tabelle8[[#This Row],[Rank]],Stammdaten[[Rank Verteilung D Mitte mit Rinde]:[Verteilung D Mitte mit Rinde]],2,FALSE)</f>
        <v>#N/A</v>
      </c>
      <c r="L4625">
        <v>4616</v>
      </c>
      <c r="M4625" t="e">
        <f>INDEX(Stammdaten[Abholzigkeit (mm/lfm)],MATCH(Tabelle9[[#This Row],[Rank]],Stammdaten[Rank Verteilung Abholzigkeit],0))</f>
        <v>#N/A</v>
      </c>
      <c r="N4625" t="e">
        <f>VLOOKUP(Tabelle9[[#This Row],[Rank]],Stammdaten[[Rank Verteilung Abholzigkeit]:[Verteilung Abholzigkeit]],2,FALSE)</f>
        <v>#N/A</v>
      </c>
      <c r="S4625">
        <v>4616</v>
      </c>
      <c r="T4625" t="e">
        <f>INDEX(Stammdaten[Krümmung (mm/lfm)],MATCH(Tabelle10[[#This Row],[Rank]],Stammdaten[Rank Verteilung Krümmung],0))</f>
        <v>#N/A</v>
      </c>
      <c r="U4625" t="e">
        <f>VLOOKUP(Tabelle10[[#This Row],[Rank]],Stammdaten[[Rank Verteilung Krümmung]:[Verteilung Krümmung]],2,FALSE)</f>
        <v>#N/A</v>
      </c>
      <c r="Z4625">
        <v>4616</v>
      </c>
      <c r="AA4625" t="e">
        <f>INDEX(Stammdaten[Ovalität (']0,1'])],MATCH(Tabelle1014[[#This Row],[Rank]],Stammdaten[Rank Verteilung Ovalität],0))</f>
        <v>#N/A</v>
      </c>
      <c r="AB4625" t="e">
        <f>VLOOKUP(Tabelle1014[[#This Row],[Rank]],Stammdaten[[Rank Verteilung Ovalität]:[Verteilung Ovalität]],2,FALSE)</f>
        <v>#N/A</v>
      </c>
    </row>
    <row r="4626" spans="5:28" x14ac:dyDescent="0.35">
      <c r="E4626">
        <v>4617</v>
      </c>
      <c r="F4626" t="e">
        <f>INDEX(Stammdaten[D Mitte mit Rinde (mm)],MATCH(Tabelle8[[#This Row],[Rank]],Stammdaten[Rank Verteilung D Mitte mit Rinde],0))</f>
        <v>#N/A</v>
      </c>
      <c r="G4626" t="e">
        <f>VLOOKUP(Tabelle8[[#This Row],[Rank]],Stammdaten[[Rank Verteilung D Mitte mit Rinde]:[Verteilung D Mitte mit Rinde]],2,FALSE)</f>
        <v>#N/A</v>
      </c>
      <c r="L4626">
        <v>4617</v>
      </c>
      <c r="M4626" t="e">
        <f>INDEX(Stammdaten[Abholzigkeit (mm/lfm)],MATCH(Tabelle9[[#This Row],[Rank]],Stammdaten[Rank Verteilung Abholzigkeit],0))</f>
        <v>#N/A</v>
      </c>
      <c r="N4626" t="e">
        <f>VLOOKUP(Tabelle9[[#This Row],[Rank]],Stammdaten[[Rank Verteilung Abholzigkeit]:[Verteilung Abholzigkeit]],2,FALSE)</f>
        <v>#N/A</v>
      </c>
      <c r="S4626">
        <v>4617</v>
      </c>
      <c r="T4626" t="e">
        <f>INDEX(Stammdaten[Krümmung (mm/lfm)],MATCH(Tabelle10[[#This Row],[Rank]],Stammdaten[Rank Verteilung Krümmung],0))</f>
        <v>#N/A</v>
      </c>
      <c r="U4626" t="e">
        <f>VLOOKUP(Tabelle10[[#This Row],[Rank]],Stammdaten[[Rank Verteilung Krümmung]:[Verteilung Krümmung]],2,FALSE)</f>
        <v>#N/A</v>
      </c>
      <c r="Z4626">
        <v>4617</v>
      </c>
      <c r="AA4626" t="e">
        <f>INDEX(Stammdaten[Ovalität (']0,1'])],MATCH(Tabelle1014[[#This Row],[Rank]],Stammdaten[Rank Verteilung Ovalität],0))</f>
        <v>#N/A</v>
      </c>
      <c r="AB4626" t="e">
        <f>VLOOKUP(Tabelle1014[[#This Row],[Rank]],Stammdaten[[Rank Verteilung Ovalität]:[Verteilung Ovalität]],2,FALSE)</f>
        <v>#N/A</v>
      </c>
    </row>
    <row r="4627" spans="5:28" x14ac:dyDescent="0.35">
      <c r="E4627">
        <v>4618</v>
      </c>
      <c r="F4627" t="e">
        <f>INDEX(Stammdaten[D Mitte mit Rinde (mm)],MATCH(Tabelle8[[#This Row],[Rank]],Stammdaten[Rank Verteilung D Mitte mit Rinde],0))</f>
        <v>#N/A</v>
      </c>
      <c r="G4627" t="e">
        <f>VLOOKUP(Tabelle8[[#This Row],[Rank]],Stammdaten[[Rank Verteilung D Mitte mit Rinde]:[Verteilung D Mitte mit Rinde]],2,FALSE)</f>
        <v>#N/A</v>
      </c>
      <c r="L4627">
        <v>4618</v>
      </c>
      <c r="M4627" t="e">
        <f>INDEX(Stammdaten[Abholzigkeit (mm/lfm)],MATCH(Tabelle9[[#This Row],[Rank]],Stammdaten[Rank Verteilung Abholzigkeit],0))</f>
        <v>#N/A</v>
      </c>
      <c r="N4627" t="e">
        <f>VLOOKUP(Tabelle9[[#This Row],[Rank]],Stammdaten[[Rank Verteilung Abholzigkeit]:[Verteilung Abholzigkeit]],2,FALSE)</f>
        <v>#N/A</v>
      </c>
      <c r="S4627">
        <v>4618</v>
      </c>
      <c r="T4627" t="e">
        <f>INDEX(Stammdaten[Krümmung (mm/lfm)],MATCH(Tabelle10[[#This Row],[Rank]],Stammdaten[Rank Verteilung Krümmung],0))</f>
        <v>#N/A</v>
      </c>
      <c r="U4627" t="e">
        <f>VLOOKUP(Tabelle10[[#This Row],[Rank]],Stammdaten[[Rank Verteilung Krümmung]:[Verteilung Krümmung]],2,FALSE)</f>
        <v>#N/A</v>
      </c>
      <c r="Z4627">
        <v>4618</v>
      </c>
      <c r="AA4627" t="e">
        <f>INDEX(Stammdaten[Ovalität (']0,1'])],MATCH(Tabelle1014[[#This Row],[Rank]],Stammdaten[Rank Verteilung Ovalität],0))</f>
        <v>#N/A</v>
      </c>
      <c r="AB4627" t="e">
        <f>VLOOKUP(Tabelle1014[[#This Row],[Rank]],Stammdaten[[Rank Verteilung Ovalität]:[Verteilung Ovalität]],2,FALSE)</f>
        <v>#N/A</v>
      </c>
    </row>
    <row r="4628" spans="5:28" x14ac:dyDescent="0.35">
      <c r="E4628">
        <v>4619</v>
      </c>
      <c r="F4628" t="e">
        <f>INDEX(Stammdaten[D Mitte mit Rinde (mm)],MATCH(Tabelle8[[#This Row],[Rank]],Stammdaten[Rank Verteilung D Mitte mit Rinde],0))</f>
        <v>#N/A</v>
      </c>
      <c r="G4628" t="e">
        <f>VLOOKUP(Tabelle8[[#This Row],[Rank]],Stammdaten[[Rank Verteilung D Mitte mit Rinde]:[Verteilung D Mitte mit Rinde]],2,FALSE)</f>
        <v>#N/A</v>
      </c>
      <c r="L4628">
        <v>4619</v>
      </c>
      <c r="M4628" t="e">
        <f>INDEX(Stammdaten[Abholzigkeit (mm/lfm)],MATCH(Tabelle9[[#This Row],[Rank]],Stammdaten[Rank Verteilung Abholzigkeit],0))</f>
        <v>#N/A</v>
      </c>
      <c r="N4628" t="e">
        <f>VLOOKUP(Tabelle9[[#This Row],[Rank]],Stammdaten[[Rank Verteilung Abholzigkeit]:[Verteilung Abholzigkeit]],2,FALSE)</f>
        <v>#N/A</v>
      </c>
      <c r="S4628">
        <v>4619</v>
      </c>
      <c r="T4628" t="e">
        <f>INDEX(Stammdaten[Krümmung (mm/lfm)],MATCH(Tabelle10[[#This Row],[Rank]],Stammdaten[Rank Verteilung Krümmung],0))</f>
        <v>#N/A</v>
      </c>
      <c r="U4628" t="e">
        <f>VLOOKUP(Tabelle10[[#This Row],[Rank]],Stammdaten[[Rank Verteilung Krümmung]:[Verteilung Krümmung]],2,FALSE)</f>
        <v>#N/A</v>
      </c>
      <c r="Z4628">
        <v>4619</v>
      </c>
      <c r="AA4628" t="e">
        <f>INDEX(Stammdaten[Ovalität (']0,1'])],MATCH(Tabelle1014[[#This Row],[Rank]],Stammdaten[Rank Verteilung Ovalität],0))</f>
        <v>#N/A</v>
      </c>
      <c r="AB4628" t="e">
        <f>VLOOKUP(Tabelle1014[[#This Row],[Rank]],Stammdaten[[Rank Verteilung Ovalität]:[Verteilung Ovalität]],2,FALSE)</f>
        <v>#N/A</v>
      </c>
    </row>
    <row r="4629" spans="5:28" x14ac:dyDescent="0.35">
      <c r="E4629">
        <v>4620</v>
      </c>
      <c r="F4629" t="e">
        <f>INDEX(Stammdaten[D Mitte mit Rinde (mm)],MATCH(Tabelle8[[#This Row],[Rank]],Stammdaten[Rank Verteilung D Mitte mit Rinde],0))</f>
        <v>#N/A</v>
      </c>
      <c r="G4629" t="e">
        <f>VLOOKUP(Tabelle8[[#This Row],[Rank]],Stammdaten[[Rank Verteilung D Mitte mit Rinde]:[Verteilung D Mitte mit Rinde]],2,FALSE)</f>
        <v>#N/A</v>
      </c>
      <c r="L4629">
        <v>4620</v>
      </c>
      <c r="M4629" t="e">
        <f>INDEX(Stammdaten[Abholzigkeit (mm/lfm)],MATCH(Tabelle9[[#This Row],[Rank]],Stammdaten[Rank Verteilung Abholzigkeit],0))</f>
        <v>#N/A</v>
      </c>
      <c r="N4629" t="e">
        <f>VLOOKUP(Tabelle9[[#This Row],[Rank]],Stammdaten[[Rank Verteilung Abholzigkeit]:[Verteilung Abholzigkeit]],2,FALSE)</f>
        <v>#N/A</v>
      </c>
      <c r="S4629">
        <v>4620</v>
      </c>
      <c r="T4629" t="e">
        <f>INDEX(Stammdaten[Krümmung (mm/lfm)],MATCH(Tabelle10[[#This Row],[Rank]],Stammdaten[Rank Verteilung Krümmung],0))</f>
        <v>#N/A</v>
      </c>
      <c r="U4629" t="e">
        <f>VLOOKUP(Tabelle10[[#This Row],[Rank]],Stammdaten[[Rank Verteilung Krümmung]:[Verteilung Krümmung]],2,FALSE)</f>
        <v>#N/A</v>
      </c>
      <c r="Z4629">
        <v>4620</v>
      </c>
      <c r="AA4629" t="e">
        <f>INDEX(Stammdaten[Ovalität (']0,1'])],MATCH(Tabelle1014[[#This Row],[Rank]],Stammdaten[Rank Verteilung Ovalität],0))</f>
        <v>#N/A</v>
      </c>
      <c r="AB4629" t="e">
        <f>VLOOKUP(Tabelle1014[[#This Row],[Rank]],Stammdaten[[Rank Verteilung Ovalität]:[Verteilung Ovalität]],2,FALSE)</f>
        <v>#N/A</v>
      </c>
    </row>
    <row r="4630" spans="5:28" x14ac:dyDescent="0.35">
      <c r="E4630">
        <v>4621</v>
      </c>
      <c r="F4630" t="e">
        <f>INDEX(Stammdaten[D Mitte mit Rinde (mm)],MATCH(Tabelle8[[#This Row],[Rank]],Stammdaten[Rank Verteilung D Mitte mit Rinde],0))</f>
        <v>#N/A</v>
      </c>
      <c r="G4630" t="e">
        <f>VLOOKUP(Tabelle8[[#This Row],[Rank]],Stammdaten[[Rank Verteilung D Mitte mit Rinde]:[Verteilung D Mitte mit Rinde]],2,FALSE)</f>
        <v>#N/A</v>
      </c>
      <c r="L4630">
        <v>4621</v>
      </c>
      <c r="M4630" t="e">
        <f>INDEX(Stammdaten[Abholzigkeit (mm/lfm)],MATCH(Tabelle9[[#This Row],[Rank]],Stammdaten[Rank Verteilung Abholzigkeit],0))</f>
        <v>#N/A</v>
      </c>
      <c r="N4630" t="e">
        <f>VLOOKUP(Tabelle9[[#This Row],[Rank]],Stammdaten[[Rank Verteilung Abholzigkeit]:[Verteilung Abholzigkeit]],2,FALSE)</f>
        <v>#N/A</v>
      </c>
      <c r="S4630">
        <v>4621</v>
      </c>
      <c r="T4630" t="e">
        <f>INDEX(Stammdaten[Krümmung (mm/lfm)],MATCH(Tabelle10[[#This Row],[Rank]],Stammdaten[Rank Verteilung Krümmung],0))</f>
        <v>#N/A</v>
      </c>
      <c r="U4630" t="e">
        <f>VLOOKUP(Tabelle10[[#This Row],[Rank]],Stammdaten[[Rank Verteilung Krümmung]:[Verteilung Krümmung]],2,FALSE)</f>
        <v>#N/A</v>
      </c>
      <c r="Z4630">
        <v>4621</v>
      </c>
      <c r="AA4630" t="e">
        <f>INDEX(Stammdaten[Ovalität (']0,1'])],MATCH(Tabelle1014[[#This Row],[Rank]],Stammdaten[Rank Verteilung Ovalität],0))</f>
        <v>#N/A</v>
      </c>
      <c r="AB4630" t="e">
        <f>VLOOKUP(Tabelle1014[[#This Row],[Rank]],Stammdaten[[Rank Verteilung Ovalität]:[Verteilung Ovalität]],2,FALSE)</f>
        <v>#N/A</v>
      </c>
    </row>
    <row r="4631" spans="5:28" x14ac:dyDescent="0.35">
      <c r="E4631">
        <v>4622</v>
      </c>
      <c r="F4631" t="e">
        <f>INDEX(Stammdaten[D Mitte mit Rinde (mm)],MATCH(Tabelle8[[#This Row],[Rank]],Stammdaten[Rank Verteilung D Mitte mit Rinde],0))</f>
        <v>#N/A</v>
      </c>
      <c r="G4631" t="e">
        <f>VLOOKUP(Tabelle8[[#This Row],[Rank]],Stammdaten[[Rank Verteilung D Mitte mit Rinde]:[Verteilung D Mitte mit Rinde]],2,FALSE)</f>
        <v>#N/A</v>
      </c>
      <c r="L4631">
        <v>4622</v>
      </c>
      <c r="M4631" t="e">
        <f>INDEX(Stammdaten[Abholzigkeit (mm/lfm)],MATCH(Tabelle9[[#This Row],[Rank]],Stammdaten[Rank Verteilung Abholzigkeit],0))</f>
        <v>#N/A</v>
      </c>
      <c r="N4631" t="e">
        <f>VLOOKUP(Tabelle9[[#This Row],[Rank]],Stammdaten[[Rank Verteilung Abholzigkeit]:[Verteilung Abholzigkeit]],2,FALSE)</f>
        <v>#N/A</v>
      </c>
      <c r="S4631">
        <v>4622</v>
      </c>
      <c r="T4631" t="e">
        <f>INDEX(Stammdaten[Krümmung (mm/lfm)],MATCH(Tabelle10[[#This Row],[Rank]],Stammdaten[Rank Verteilung Krümmung],0))</f>
        <v>#N/A</v>
      </c>
      <c r="U4631" t="e">
        <f>VLOOKUP(Tabelle10[[#This Row],[Rank]],Stammdaten[[Rank Verteilung Krümmung]:[Verteilung Krümmung]],2,FALSE)</f>
        <v>#N/A</v>
      </c>
      <c r="Z4631">
        <v>4622</v>
      </c>
      <c r="AA4631" t="e">
        <f>INDEX(Stammdaten[Ovalität (']0,1'])],MATCH(Tabelle1014[[#This Row],[Rank]],Stammdaten[Rank Verteilung Ovalität],0))</f>
        <v>#N/A</v>
      </c>
      <c r="AB4631" t="e">
        <f>VLOOKUP(Tabelle1014[[#This Row],[Rank]],Stammdaten[[Rank Verteilung Ovalität]:[Verteilung Ovalität]],2,FALSE)</f>
        <v>#N/A</v>
      </c>
    </row>
    <row r="4632" spans="5:28" x14ac:dyDescent="0.35">
      <c r="E4632">
        <v>4623</v>
      </c>
      <c r="F4632" t="e">
        <f>INDEX(Stammdaten[D Mitte mit Rinde (mm)],MATCH(Tabelle8[[#This Row],[Rank]],Stammdaten[Rank Verteilung D Mitte mit Rinde],0))</f>
        <v>#N/A</v>
      </c>
      <c r="G4632" t="e">
        <f>VLOOKUP(Tabelle8[[#This Row],[Rank]],Stammdaten[[Rank Verteilung D Mitte mit Rinde]:[Verteilung D Mitte mit Rinde]],2,FALSE)</f>
        <v>#N/A</v>
      </c>
      <c r="L4632">
        <v>4623</v>
      </c>
      <c r="M4632" t="e">
        <f>INDEX(Stammdaten[Abholzigkeit (mm/lfm)],MATCH(Tabelle9[[#This Row],[Rank]],Stammdaten[Rank Verteilung Abholzigkeit],0))</f>
        <v>#N/A</v>
      </c>
      <c r="N4632" t="e">
        <f>VLOOKUP(Tabelle9[[#This Row],[Rank]],Stammdaten[[Rank Verteilung Abholzigkeit]:[Verteilung Abholzigkeit]],2,FALSE)</f>
        <v>#N/A</v>
      </c>
      <c r="S4632">
        <v>4623</v>
      </c>
      <c r="T4632" t="e">
        <f>INDEX(Stammdaten[Krümmung (mm/lfm)],MATCH(Tabelle10[[#This Row],[Rank]],Stammdaten[Rank Verteilung Krümmung],0))</f>
        <v>#N/A</v>
      </c>
      <c r="U4632" t="e">
        <f>VLOOKUP(Tabelle10[[#This Row],[Rank]],Stammdaten[[Rank Verteilung Krümmung]:[Verteilung Krümmung]],2,FALSE)</f>
        <v>#N/A</v>
      </c>
      <c r="Z4632">
        <v>4623</v>
      </c>
      <c r="AA4632" t="e">
        <f>INDEX(Stammdaten[Ovalität (']0,1'])],MATCH(Tabelle1014[[#This Row],[Rank]],Stammdaten[Rank Verteilung Ovalität],0))</f>
        <v>#N/A</v>
      </c>
      <c r="AB4632" t="e">
        <f>VLOOKUP(Tabelle1014[[#This Row],[Rank]],Stammdaten[[Rank Verteilung Ovalität]:[Verteilung Ovalität]],2,FALSE)</f>
        <v>#N/A</v>
      </c>
    </row>
    <row r="4633" spans="5:28" x14ac:dyDescent="0.35">
      <c r="E4633">
        <v>4624</v>
      </c>
      <c r="F4633" t="e">
        <f>INDEX(Stammdaten[D Mitte mit Rinde (mm)],MATCH(Tabelle8[[#This Row],[Rank]],Stammdaten[Rank Verteilung D Mitte mit Rinde],0))</f>
        <v>#N/A</v>
      </c>
      <c r="G4633" t="e">
        <f>VLOOKUP(Tabelle8[[#This Row],[Rank]],Stammdaten[[Rank Verteilung D Mitte mit Rinde]:[Verteilung D Mitte mit Rinde]],2,FALSE)</f>
        <v>#N/A</v>
      </c>
      <c r="L4633">
        <v>4624</v>
      </c>
      <c r="M4633" t="e">
        <f>INDEX(Stammdaten[Abholzigkeit (mm/lfm)],MATCH(Tabelle9[[#This Row],[Rank]],Stammdaten[Rank Verteilung Abholzigkeit],0))</f>
        <v>#N/A</v>
      </c>
      <c r="N4633" t="e">
        <f>VLOOKUP(Tabelle9[[#This Row],[Rank]],Stammdaten[[Rank Verteilung Abholzigkeit]:[Verteilung Abholzigkeit]],2,FALSE)</f>
        <v>#N/A</v>
      </c>
      <c r="S4633">
        <v>4624</v>
      </c>
      <c r="T4633" t="e">
        <f>INDEX(Stammdaten[Krümmung (mm/lfm)],MATCH(Tabelle10[[#This Row],[Rank]],Stammdaten[Rank Verteilung Krümmung],0))</f>
        <v>#N/A</v>
      </c>
      <c r="U4633" t="e">
        <f>VLOOKUP(Tabelle10[[#This Row],[Rank]],Stammdaten[[Rank Verteilung Krümmung]:[Verteilung Krümmung]],2,FALSE)</f>
        <v>#N/A</v>
      </c>
      <c r="Z4633">
        <v>4624</v>
      </c>
      <c r="AA4633" t="e">
        <f>INDEX(Stammdaten[Ovalität (']0,1'])],MATCH(Tabelle1014[[#This Row],[Rank]],Stammdaten[Rank Verteilung Ovalität],0))</f>
        <v>#N/A</v>
      </c>
      <c r="AB4633" t="e">
        <f>VLOOKUP(Tabelle1014[[#This Row],[Rank]],Stammdaten[[Rank Verteilung Ovalität]:[Verteilung Ovalität]],2,FALSE)</f>
        <v>#N/A</v>
      </c>
    </row>
    <row r="4634" spans="5:28" x14ac:dyDescent="0.35">
      <c r="E4634">
        <v>4625</v>
      </c>
      <c r="F4634" t="e">
        <f>INDEX(Stammdaten[D Mitte mit Rinde (mm)],MATCH(Tabelle8[[#This Row],[Rank]],Stammdaten[Rank Verteilung D Mitte mit Rinde],0))</f>
        <v>#N/A</v>
      </c>
      <c r="G4634" t="e">
        <f>VLOOKUP(Tabelle8[[#This Row],[Rank]],Stammdaten[[Rank Verteilung D Mitte mit Rinde]:[Verteilung D Mitte mit Rinde]],2,FALSE)</f>
        <v>#N/A</v>
      </c>
      <c r="L4634">
        <v>4625</v>
      </c>
      <c r="M4634" t="e">
        <f>INDEX(Stammdaten[Abholzigkeit (mm/lfm)],MATCH(Tabelle9[[#This Row],[Rank]],Stammdaten[Rank Verteilung Abholzigkeit],0))</f>
        <v>#N/A</v>
      </c>
      <c r="N4634" t="e">
        <f>VLOOKUP(Tabelle9[[#This Row],[Rank]],Stammdaten[[Rank Verteilung Abholzigkeit]:[Verteilung Abholzigkeit]],2,FALSE)</f>
        <v>#N/A</v>
      </c>
      <c r="S4634">
        <v>4625</v>
      </c>
      <c r="T4634" t="e">
        <f>INDEX(Stammdaten[Krümmung (mm/lfm)],MATCH(Tabelle10[[#This Row],[Rank]],Stammdaten[Rank Verteilung Krümmung],0))</f>
        <v>#N/A</v>
      </c>
      <c r="U4634" t="e">
        <f>VLOOKUP(Tabelle10[[#This Row],[Rank]],Stammdaten[[Rank Verteilung Krümmung]:[Verteilung Krümmung]],2,FALSE)</f>
        <v>#N/A</v>
      </c>
      <c r="Z4634">
        <v>4625</v>
      </c>
      <c r="AA4634" t="e">
        <f>INDEX(Stammdaten[Ovalität (']0,1'])],MATCH(Tabelle1014[[#This Row],[Rank]],Stammdaten[Rank Verteilung Ovalität],0))</f>
        <v>#N/A</v>
      </c>
      <c r="AB4634" t="e">
        <f>VLOOKUP(Tabelle1014[[#This Row],[Rank]],Stammdaten[[Rank Verteilung Ovalität]:[Verteilung Ovalität]],2,FALSE)</f>
        <v>#N/A</v>
      </c>
    </row>
    <row r="4635" spans="5:28" x14ac:dyDescent="0.35">
      <c r="E4635">
        <v>4626</v>
      </c>
      <c r="F4635" t="e">
        <f>INDEX(Stammdaten[D Mitte mit Rinde (mm)],MATCH(Tabelle8[[#This Row],[Rank]],Stammdaten[Rank Verteilung D Mitte mit Rinde],0))</f>
        <v>#N/A</v>
      </c>
      <c r="G4635" t="e">
        <f>VLOOKUP(Tabelle8[[#This Row],[Rank]],Stammdaten[[Rank Verteilung D Mitte mit Rinde]:[Verteilung D Mitte mit Rinde]],2,FALSE)</f>
        <v>#N/A</v>
      </c>
      <c r="L4635">
        <v>4626</v>
      </c>
      <c r="M4635" t="e">
        <f>INDEX(Stammdaten[Abholzigkeit (mm/lfm)],MATCH(Tabelle9[[#This Row],[Rank]],Stammdaten[Rank Verteilung Abholzigkeit],0))</f>
        <v>#N/A</v>
      </c>
      <c r="N4635" t="e">
        <f>VLOOKUP(Tabelle9[[#This Row],[Rank]],Stammdaten[[Rank Verteilung Abholzigkeit]:[Verteilung Abholzigkeit]],2,FALSE)</f>
        <v>#N/A</v>
      </c>
      <c r="S4635">
        <v>4626</v>
      </c>
      <c r="T4635" t="e">
        <f>INDEX(Stammdaten[Krümmung (mm/lfm)],MATCH(Tabelle10[[#This Row],[Rank]],Stammdaten[Rank Verteilung Krümmung],0))</f>
        <v>#N/A</v>
      </c>
      <c r="U4635" t="e">
        <f>VLOOKUP(Tabelle10[[#This Row],[Rank]],Stammdaten[[Rank Verteilung Krümmung]:[Verteilung Krümmung]],2,FALSE)</f>
        <v>#N/A</v>
      </c>
      <c r="Z4635">
        <v>4626</v>
      </c>
      <c r="AA4635" t="e">
        <f>INDEX(Stammdaten[Ovalität (']0,1'])],MATCH(Tabelle1014[[#This Row],[Rank]],Stammdaten[Rank Verteilung Ovalität],0))</f>
        <v>#N/A</v>
      </c>
      <c r="AB4635" t="e">
        <f>VLOOKUP(Tabelle1014[[#This Row],[Rank]],Stammdaten[[Rank Verteilung Ovalität]:[Verteilung Ovalität]],2,FALSE)</f>
        <v>#N/A</v>
      </c>
    </row>
    <row r="4636" spans="5:28" x14ac:dyDescent="0.35">
      <c r="E4636">
        <v>4627</v>
      </c>
      <c r="F4636" t="e">
        <f>INDEX(Stammdaten[D Mitte mit Rinde (mm)],MATCH(Tabelle8[[#This Row],[Rank]],Stammdaten[Rank Verteilung D Mitte mit Rinde],0))</f>
        <v>#N/A</v>
      </c>
      <c r="G4636" t="e">
        <f>VLOOKUP(Tabelle8[[#This Row],[Rank]],Stammdaten[[Rank Verteilung D Mitte mit Rinde]:[Verteilung D Mitte mit Rinde]],2,FALSE)</f>
        <v>#N/A</v>
      </c>
      <c r="L4636">
        <v>4627</v>
      </c>
      <c r="M4636" t="e">
        <f>INDEX(Stammdaten[Abholzigkeit (mm/lfm)],MATCH(Tabelle9[[#This Row],[Rank]],Stammdaten[Rank Verteilung Abholzigkeit],0))</f>
        <v>#N/A</v>
      </c>
      <c r="N4636" t="e">
        <f>VLOOKUP(Tabelle9[[#This Row],[Rank]],Stammdaten[[Rank Verteilung Abholzigkeit]:[Verteilung Abholzigkeit]],2,FALSE)</f>
        <v>#N/A</v>
      </c>
      <c r="S4636">
        <v>4627</v>
      </c>
      <c r="T4636" t="e">
        <f>INDEX(Stammdaten[Krümmung (mm/lfm)],MATCH(Tabelle10[[#This Row],[Rank]],Stammdaten[Rank Verteilung Krümmung],0))</f>
        <v>#N/A</v>
      </c>
      <c r="U4636" t="e">
        <f>VLOOKUP(Tabelle10[[#This Row],[Rank]],Stammdaten[[Rank Verteilung Krümmung]:[Verteilung Krümmung]],2,FALSE)</f>
        <v>#N/A</v>
      </c>
      <c r="Z4636">
        <v>4627</v>
      </c>
      <c r="AA4636" t="e">
        <f>INDEX(Stammdaten[Ovalität (']0,1'])],MATCH(Tabelle1014[[#This Row],[Rank]],Stammdaten[Rank Verteilung Ovalität],0))</f>
        <v>#N/A</v>
      </c>
      <c r="AB4636" t="e">
        <f>VLOOKUP(Tabelle1014[[#This Row],[Rank]],Stammdaten[[Rank Verteilung Ovalität]:[Verteilung Ovalität]],2,FALSE)</f>
        <v>#N/A</v>
      </c>
    </row>
    <row r="4637" spans="5:28" x14ac:dyDescent="0.35">
      <c r="E4637">
        <v>4628</v>
      </c>
      <c r="F4637" t="e">
        <f>INDEX(Stammdaten[D Mitte mit Rinde (mm)],MATCH(Tabelle8[[#This Row],[Rank]],Stammdaten[Rank Verteilung D Mitte mit Rinde],0))</f>
        <v>#N/A</v>
      </c>
      <c r="G4637" t="e">
        <f>VLOOKUP(Tabelle8[[#This Row],[Rank]],Stammdaten[[Rank Verteilung D Mitte mit Rinde]:[Verteilung D Mitte mit Rinde]],2,FALSE)</f>
        <v>#N/A</v>
      </c>
      <c r="L4637">
        <v>4628</v>
      </c>
      <c r="M4637" t="e">
        <f>INDEX(Stammdaten[Abholzigkeit (mm/lfm)],MATCH(Tabelle9[[#This Row],[Rank]],Stammdaten[Rank Verteilung Abholzigkeit],0))</f>
        <v>#N/A</v>
      </c>
      <c r="N4637" t="e">
        <f>VLOOKUP(Tabelle9[[#This Row],[Rank]],Stammdaten[[Rank Verteilung Abholzigkeit]:[Verteilung Abholzigkeit]],2,FALSE)</f>
        <v>#N/A</v>
      </c>
      <c r="S4637">
        <v>4628</v>
      </c>
      <c r="T4637" t="e">
        <f>INDEX(Stammdaten[Krümmung (mm/lfm)],MATCH(Tabelle10[[#This Row],[Rank]],Stammdaten[Rank Verteilung Krümmung],0))</f>
        <v>#N/A</v>
      </c>
      <c r="U4637" t="e">
        <f>VLOOKUP(Tabelle10[[#This Row],[Rank]],Stammdaten[[Rank Verteilung Krümmung]:[Verteilung Krümmung]],2,FALSE)</f>
        <v>#N/A</v>
      </c>
      <c r="Z4637">
        <v>4628</v>
      </c>
      <c r="AA4637" t="e">
        <f>INDEX(Stammdaten[Ovalität (']0,1'])],MATCH(Tabelle1014[[#This Row],[Rank]],Stammdaten[Rank Verteilung Ovalität],0))</f>
        <v>#N/A</v>
      </c>
      <c r="AB4637" t="e">
        <f>VLOOKUP(Tabelle1014[[#This Row],[Rank]],Stammdaten[[Rank Verteilung Ovalität]:[Verteilung Ovalität]],2,FALSE)</f>
        <v>#N/A</v>
      </c>
    </row>
    <row r="4638" spans="5:28" x14ac:dyDescent="0.35">
      <c r="E4638">
        <v>4629</v>
      </c>
      <c r="F4638" t="e">
        <f>INDEX(Stammdaten[D Mitte mit Rinde (mm)],MATCH(Tabelle8[[#This Row],[Rank]],Stammdaten[Rank Verteilung D Mitte mit Rinde],0))</f>
        <v>#N/A</v>
      </c>
      <c r="G4638" t="e">
        <f>VLOOKUP(Tabelle8[[#This Row],[Rank]],Stammdaten[[Rank Verteilung D Mitte mit Rinde]:[Verteilung D Mitte mit Rinde]],2,FALSE)</f>
        <v>#N/A</v>
      </c>
      <c r="L4638">
        <v>4629</v>
      </c>
      <c r="M4638" t="e">
        <f>INDEX(Stammdaten[Abholzigkeit (mm/lfm)],MATCH(Tabelle9[[#This Row],[Rank]],Stammdaten[Rank Verteilung Abholzigkeit],0))</f>
        <v>#N/A</v>
      </c>
      <c r="N4638" t="e">
        <f>VLOOKUP(Tabelle9[[#This Row],[Rank]],Stammdaten[[Rank Verteilung Abholzigkeit]:[Verteilung Abholzigkeit]],2,FALSE)</f>
        <v>#N/A</v>
      </c>
      <c r="S4638">
        <v>4629</v>
      </c>
      <c r="T4638" t="e">
        <f>INDEX(Stammdaten[Krümmung (mm/lfm)],MATCH(Tabelle10[[#This Row],[Rank]],Stammdaten[Rank Verteilung Krümmung],0))</f>
        <v>#N/A</v>
      </c>
      <c r="U4638" t="e">
        <f>VLOOKUP(Tabelle10[[#This Row],[Rank]],Stammdaten[[Rank Verteilung Krümmung]:[Verteilung Krümmung]],2,FALSE)</f>
        <v>#N/A</v>
      </c>
      <c r="Z4638">
        <v>4629</v>
      </c>
      <c r="AA4638" t="e">
        <f>INDEX(Stammdaten[Ovalität (']0,1'])],MATCH(Tabelle1014[[#This Row],[Rank]],Stammdaten[Rank Verteilung Ovalität],0))</f>
        <v>#N/A</v>
      </c>
      <c r="AB4638" t="e">
        <f>VLOOKUP(Tabelle1014[[#This Row],[Rank]],Stammdaten[[Rank Verteilung Ovalität]:[Verteilung Ovalität]],2,FALSE)</f>
        <v>#N/A</v>
      </c>
    </row>
    <row r="4639" spans="5:28" x14ac:dyDescent="0.35">
      <c r="E4639">
        <v>4630</v>
      </c>
      <c r="F4639" t="e">
        <f>INDEX(Stammdaten[D Mitte mit Rinde (mm)],MATCH(Tabelle8[[#This Row],[Rank]],Stammdaten[Rank Verteilung D Mitte mit Rinde],0))</f>
        <v>#N/A</v>
      </c>
      <c r="G4639" t="e">
        <f>VLOOKUP(Tabelle8[[#This Row],[Rank]],Stammdaten[[Rank Verteilung D Mitte mit Rinde]:[Verteilung D Mitte mit Rinde]],2,FALSE)</f>
        <v>#N/A</v>
      </c>
      <c r="L4639">
        <v>4630</v>
      </c>
      <c r="M4639" t="e">
        <f>INDEX(Stammdaten[Abholzigkeit (mm/lfm)],MATCH(Tabelle9[[#This Row],[Rank]],Stammdaten[Rank Verteilung Abholzigkeit],0))</f>
        <v>#N/A</v>
      </c>
      <c r="N4639" t="e">
        <f>VLOOKUP(Tabelle9[[#This Row],[Rank]],Stammdaten[[Rank Verteilung Abholzigkeit]:[Verteilung Abholzigkeit]],2,FALSE)</f>
        <v>#N/A</v>
      </c>
      <c r="S4639">
        <v>4630</v>
      </c>
      <c r="T4639" t="e">
        <f>INDEX(Stammdaten[Krümmung (mm/lfm)],MATCH(Tabelle10[[#This Row],[Rank]],Stammdaten[Rank Verteilung Krümmung],0))</f>
        <v>#N/A</v>
      </c>
      <c r="U4639" t="e">
        <f>VLOOKUP(Tabelle10[[#This Row],[Rank]],Stammdaten[[Rank Verteilung Krümmung]:[Verteilung Krümmung]],2,FALSE)</f>
        <v>#N/A</v>
      </c>
      <c r="Z4639">
        <v>4630</v>
      </c>
      <c r="AA4639" t="e">
        <f>INDEX(Stammdaten[Ovalität (']0,1'])],MATCH(Tabelle1014[[#This Row],[Rank]],Stammdaten[Rank Verteilung Ovalität],0))</f>
        <v>#N/A</v>
      </c>
      <c r="AB4639" t="e">
        <f>VLOOKUP(Tabelle1014[[#This Row],[Rank]],Stammdaten[[Rank Verteilung Ovalität]:[Verteilung Ovalität]],2,FALSE)</f>
        <v>#N/A</v>
      </c>
    </row>
    <row r="4640" spans="5:28" x14ac:dyDescent="0.35">
      <c r="E4640">
        <v>4631</v>
      </c>
      <c r="F4640" t="e">
        <f>INDEX(Stammdaten[D Mitte mit Rinde (mm)],MATCH(Tabelle8[[#This Row],[Rank]],Stammdaten[Rank Verteilung D Mitte mit Rinde],0))</f>
        <v>#N/A</v>
      </c>
      <c r="G4640" t="e">
        <f>VLOOKUP(Tabelle8[[#This Row],[Rank]],Stammdaten[[Rank Verteilung D Mitte mit Rinde]:[Verteilung D Mitte mit Rinde]],2,FALSE)</f>
        <v>#N/A</v>
      </c>
      <c r="L4640">
        <v>4631</v>
      </c>
      <c r="M4640" t="e">
        <f>INDEX(Stammdaten[Abholzigkeit (mm/lfm)],MATCH(Tabelle9[[#This Row],[Rank]],Stammdaten[Rank Verteilung Abholzigkeit],0))</f>
        <v>#N/A</v>
      </c>
      <c r="N4640" t="e">
        <f>VLOOKUP(Tabelle9[[#This Row],[Rank]],Stammdaten[[Rank Verteilung Abholzigkeit]:[Verteilung Abholzigkeit]],2,FALSE)</f>
        <v>#N/A</v>
      </c>
      <c r="S4640">
        <v>4631</v>
      </c>
      <c r="T4640" t="e">
        <f>INDEX(Stammdaten[Krümmung (mm/lfm)],MATCH(Tabelle10[[#This Row],[Rank]],Stammdaten[Rank Verteilung Krümmung],0))</f>
        <v>#N/A</v>
      </c>
      <c r="U4640" t="e">
        <f>VLOOKUP(Tabelle10[[#This Row],[Rank]],Stammdaten[[Rank Verteilung Krümmung]:[Verteilung Krümmung]],2,FALSE)</f>
        <v>#N/A</v>
      </c>
      <c r="Z4640">
        <v>4631</v>
      </c>
      <c r="AA4640" t="e">
        <f>INDEX(Stammdaten[Ovalität (']0,1'])],MATCH(Tabelle1014[[#This Row],[Rank]],Stammdaten[Rank Verteilung Ovalität],0))</f>
        <v>#N/A</v>
      </c>
      <c r="AB4640" t="e">
        <f>VLOOKUP(Tabelle1014[[#This Row],[Rank]],Stammdaten[[Rank Verteilung Ovalität]:[Verteilung Ovalität]],2,FALSE)</f>
        <v>#N/A</v>
      </c>
    </row>
    <row r="4641" spans="5:28" x14ac:dyDescent="0.35">
      <c r="E4641">
        <v>4632</v>
      </c>
      <c r="F4641" t="e">
        <f>INDEX(Stammdaten[D Mitte mit Rinde (mm)],MATCH(Tabelle8[[#This Row],[Rank]],Stammdaten[Rank Verteilung D Mitte mit Rinde],0))</f>
        <v>#N/A</v>
      </c>
      <c r="G4641" t="e">
        <f>VLOOKUP(Tabelle8[[#This Row],[Rank]],Stammdaten[[Rank Verteilung D Mitte mit Rinde]:[Verteilung D Mitte mit Rinde]],2,FALSE)</f>
        <v>#N/A</v>
      </c>
      <c r="L4641">
        <v>4632</v>
      </c>
      <c r="M4641" t="e">
        <f>INDEX(Stammdaten[Abholzigkeit (mm/lfm)],MATCH(Tabelle9[[#This Row],[Rank]],Stammdaten[Rank Verteilung Abholzigkeit],0))</f>
        <v>#N/A</v>
      </c>
      <c r="N4641" t="e">
        <f>VLOOKUP(Tabelle9[[#This Row],[Rank]],Stammdaten[[Rank Verteilung Abholzigkeit]:[Verteilung Abholzigkeit]],2,FALSE)</f>
        <v>#N/A</v>
      </c>
      <c r="S4641">
        <v>4632</v>
      </c>
      <c r="T4641" t="e">
        <f>INDEX(Stammdaten[Krümmung (mm/lfm)],MATCH(Tabelle10[[#This Row],[Rank]],Stammdaten[Rank Verteilung Krümmung],0))</f>
        <v>#N/A</v>
      </c>
      <c r="U4641" t="e">
        <f>VLOOKUP(Tabelle10[[#This Row],[Rank]],Stammdaten[[Rank Verteilung Krümmung]:[Verteilung Krümmung]],2,FALSE)</f>
        <v>#N/A</v>
      </c>
      <c r="Z4641">
        <v>4632</v>
      </c>
      <c r="AA4641" t="e">
        <f>INDEX(Stammdaten[Ovalität (']0,1'])],MATCH(Tabelle1014[[#This Row],[Rank]],Stammdaten[Rank Verteilung Ovalität],0))</f>
        <v>#N/A</v>
      </c>
      <c r="AB4641" t="e">
        <f>VLOOKUP(Tabelle1014[[#This Row],[Rank]],Stammdaten[[Rank Verteilung Ovalität]:[Verteilung Ovalität]],2,FALSE)</f>
        <v>#N/A</v>
      </c>
    </row>
    <row r="4642" spans="5:28" x14ac:dyDescent="0.35">
      <c r="E4642">
        <v>4633</v>
      </c>
      <c r="F4642" t="e">
        <f>INDEX(Stammdaten[D Mitte mit Rinde (mm)],MATCH(Tabelle8[[#This Row],[Rank]],Stammdaten[Rank Verteilung D Mitte mit Rinde],0))</f>
        <v>#N/A</v>
      </c>
      <c r="G4642" t="e">
        <f>VLOOKUP(Tabelle8[[#This Row],[Rank]],Stammdaten[[Rank Verteilung D Mitte mit Rinde]:[Verteilung D Mitte mit Rinde]],2,FALSE)</f>
        <v>#N/A</v>
      </c>
      <c r="L4642">
        <v>4633</v>
      </c>
      <c r="M4642" t="e">
        <f>INDEX(Stammdaten[Abholzigkeit (mm/lfm)],MATCH(Tabelle9[[#This Row],[Rank]],Stammdaten[Rank Verteilung Abholzigkeit],0))</f>
        <v>#N/A</v>
      </c>
      <c r="N4642" t="e">
        <f>VLOOKUP(Tabelle9[[#This Row],[Rank]],Stammdaten[[Rank Verteilung Abholzigkeit]:[Verteilung Abholzigkeit]],2,FALSE)</f>
        <v>#N/A</v>
      </c>
      <c r="S4642">
        <v>4633</v>
      </c>
      <c r="T4642" t="e">
        <f>INDEX(Stammdaten[Krümmung (mm/lfm)],MATCH(Tabelle10[[#This Row],[Rank]],Stammdaten[Rank Verteilung Krümmung],0))</f>
        <v>#N/A</v>
      </c>
      <c r="U4642" t="e">
        <f>VLOOKUP(Tabelle10[[#This Row],[Rank]],Stammdaten[[Rank Verteilung Krümmung]:[Verteilung Krümmung]],2,FALSE)</f>
        <v>#N/A</v>
      </c>
      <c r="Z4642">
        <v>4633</v>
      </c>
      <c r="AA4642" t="e">
        <f>INDEX(Stammdaten[Ovalität (']0,1'])],MATCH(Tabelle1014[[#This Row],[Rank]],Stammdaten[Rank Verteilung Ovalität],0))</f>
        <v>#N/A</v>
      </c>
      <c r="AB4642" t="e">
        <f>VLOOKUP(Tabelle1014[[#This Row],[Rank]],Stammdaten[[Rank Verteilung Ovalität]:[Verteilung Ovalität]],2,FALSE)</f>
        <v>#N/A</v>
      </c>
    </row>
    <row r="4643" spans="5:28" x14ac:dyDescent="0.35">
      <c r="E4643">
        <v>4634</v>
      </c>
      <c r="F4643" t="e">
        <f>INDEX(Stammdaten[D Mitte mit Rinde (mm)],MATCH(Tabelle8[[#This Row],[Rank]],Stammdaten[Rank Verteilung D Mitte mit Rinde],0))</f>
        <v>#N/A</v>
      </c>
      <c r="G4643" t="e">
        <f>VLOOKUP(Tabelle8[[#This Row],[Rank]],Stammdaten[[Rank Verteilung D Mitte mit Rinde]:[Verteilung D Mitte mit Rinde]],2,FALSE)</f>
        <v>#N/A</v>
      </c>
      <c r="L4643">
        <v>4634</v>
      </c>
      <c r="M4643" t="e">
        <f>INDEX(Stammdaten[Abholzigkeit (mm/lfm)],MATCH(Tabelle9[[#This Row],[Rank]],Stammdaten[Rank Verteilung Abholzigkeit],0))</f>
        <v>#N/A</v>
      </c>
      <c r="N4643" t="e">
        <f>VLOOKUP(Tabelle9[[#This Row],[Rank]],Stammdaten[[Rank Verteilung Abholzigkeit]:[Verteilung Abholzigkeit]],2,FALSE)</f>
        <v>#N/A</v>
      </c>
      <c r="S4643">
        <v>4634</v>
      </c>
      <c r="T4643" t="e">
        <f>INDEX(Stammdaten[Krümmung (mm/lfm)],MATCH(Tabelle10[[#This Row],[Rank]],Stammdaten[Rank Verteilung Krümmung],0))</f>
        <v>#N/A</v>
      </c>
      <c r="U4643" t="e">
        <f>VLOOKUP(Tabelle10[[#This Row],[Rank]],Stammdaten[[Rank Verteilung Krümmung]:[Verteilung Krümmung]],2,FALSE)</f>
        <v>#N/A</v>
      </c>
      <c r="Z4643">
        <v>4634</v>
      </c>
      <c r="AA4643" t="e">
        <f>INDEX(Stammdaten[Ovalität (']0,1'])],MATCH(Tabelle1014[[#This Row],[Rank]],Stammdaten[Rank Verteilung Ovalität],0))</f>
        <v>#N/A</v>
      </c>
      <c r="AB4643" t="e">
        <f>VLOOKUP(Tabelle1014[[#This Row],[Rank]],Stammdaten[[Rank Verteilung Ovalität]:[Verteilung Ovalität]],2,FALSE)</f>
        <v>#N/A</v>
      </c>
    </row>
    <row r="4644" spans="5:28" x14ac:dyDescent="0.35">
      <c r="E4644">
        <v>4635</v>
      </c>
      <c r="F4644" t="e">
        <f>INDEX(Stammdaten[D Mitte mit Rinde (mm)],MATCH(Tabelle8[[#This Row],[Rank]],Stammdaten[Rank Verteilung D Mitte mit Rinde],0))</f>
        <v>#N/A</v>
      </c>
      <c r="G4644" t="e">
        <f>VLOOKUP(Tabelle8[[#This Row],[Rank]],Stammdaten[[Rank Verteilung D Mitte mit Rinde]:[Verteilung D Mitte mit Rinde]],2,FALSE)</f>
        <v>#N/A</v>
      </c>
      <c r="L4644">
        <v>4635</v>
      </c>
      <c r="M4644" t="e">
        <f>INDEX(Stammdaten[Abholzigkeit (mm/lfm)],MATCH(Tabelle9[[#This Row],[Rank]],Stammdaten[Rank Verteilung Abholzigkeit],0))</f>
        <v>#N/A</v>
      </c>
      <c r="N4644" t="e">
        <f>VLOOKUP(Tabelle9[[#This Row],[Rank]],Stammdaten[[Rank Verteilung Abholzigkeit]:[Verteilung Abholzigkeit]],2,FALSE)</f>
        <v>#N/A</v>
      </c>
      <c r="S4644">
        <v>4635</v>
      </c>
      <c r="T4644" t="e">
        <f>INDEX(Stammdaten[Krümmung (mm/lfm)],MATCH(Tabelle10[[#This Row],[Rank]],Stammdaten[Rank Verteilung Krümmung],0))</f>
        <v>#N/A</v>
      </c>
      <c r="U4644" t="e">
        <f>VLOOKUP(Tabelle10[[#This Row],[Rank]],Stammdaten[[Rank Verteilung Krümmung]:[Verteilung Krümmung]],2,FALSE)</f>
        <v>#N/A</v>
      </c>
      <c r="Z4644">
        <v>4635</v>
      </c>
      <c r="AA4644" t="e">
        <f>INDEX(Stammdaten[Ovalität (']0,1'])],MATCH(Tabelle1014[[#This Row],[Rank]],Stammdaten[Rank Verteilung Ovalität],0))</f>
        <v>#N/A</v>
      </c>
      <c r="AB4644" t="e">
        <f>VLOOKUP(Tabelle1014[[#This Row],[Rank]],Stammdaten[[Rank Verteilung Ovalität]:[Verteilung Ovalität]],2,FALSE)</f>
        <v>#N/A</v>
      </c>
    </row>
    <row r="4645" spans="5:28" x14ac:dyDescent="0.35">
      <c r="E4645">
        <v>4636</v>
      </c>
      <c r="F4645" t="e">
        <f>INDEX(Stammdaten[D Mitte mit Rinde (mm)],MATCH(Tabelle8[[#This Row],[Rank]],Stammdaten[Rank Verteilung D Mitte mit Rinde],0))</f>
        <v>#N/A</v>
      </c>
      <c r="G4645" t="e">
        <f>VLOOKUP(Tabelle8[[#This Row],[Rank]],Stammdaten[[Rank Verteilung D Mitte mit Rinde]:[Verteilung D Mitte mit Rinde]],2,FALSE)</f>
        <v>#N/A</v>
      </c>
      <c r="L4645">
        <v>4636</v>
      </c>
      <c r="M4645" t="e">
        <f>INDEX(Stammdaten[Abholzigkeit (mm/lfm)],MATCH(Tabelle9[[#This Row],[Rank]],Stammdaten[Rank Verteilung Abholzigkeit],0))</f>
        <v>#N/A</v>
      </c>
      <c r="N4645" t="e">
        <f>VLOOKUP(Tabelle9[[#This Row],[Rank]],Stammdaten[[Rank Verteilung Abholzigkeit]:[Verteilung Abholzigkeit]],2,FALSE)</f>
        <v>#N/A</v>
      </c>
      <c r="S4645">
        <v>4636</v>
      </c>
      <c r="T4645" t="e">
        <f>INDEX(Stammdaten[Krümmung (mm/lfm)],MATCH(Tabelle10[[#This Row],[Rank]],Stammdaten[Rank Verteilung Krümmung],0))</f>
        <v>#N/A</v>
      </c>
      <c r="U4645" t="e">
        <f>VLOOKUP(Tabelle10[[#This Row],[Rank]],Stammdaten[[Rank Verteilung Krümmung]:[Verteilung Krümmung]],2,FALSE)</f>
        <v>#N/A</v>
      </c>
      <c r="Z4645">
        <v>4636</v>
      </c>
      <c r="AA4645" t="e">
        <f>INDEX(Stammdaten[Ovalität (']0,1'])],MATCH(Tabelle1014[[#This Row],[Rank]],Stammdaten[Rank Verteilung Ovalität],0))</f>
        <v>#N/A</v>
      </c>
      <c r="AB4645" t="e">
        <f>VLOOKUP(Tabelle1014[[#This Row],[Rank]],Stammdaten[[Rank Verteilung Ovalität]:[Verteilung Ovalität]],2,FALSE)</f>
        <v>#N/A</v>
      </c>
    </row>
    <row r="4646" spans="5:28" x14ac:dyDescent="0.35">
      <c r="E4646">
        <v>4637</v>
      </c>
      <c r="F4646" t="e">
        <f>INDEX(Stammdaten[D Mitte mit Rinde (mm)],MATCH(Tabelle8[[#This Row],[Rank]],Stammdaten[Rank Verteilung D Mitte mit Rinde],0))</f>
        <v>#N/A</v>
      </c>
      <c r="G4646" t="e">
        <f>VLOOKUP(Tabelle8[[#This Row],[Rank]],Stammdaten[[Rank Verteilung D Mitte mit Rinde]:[Verteilung D Mitte mit Rinde]],2,FALSE)</f>
        <v>#N/A</v>
      </c>
      <c r="L4646">
        <v>4637</v>
      </c>
      <c r="M4646" t="e">
        <f>INDEX(Stammdaten[Abholzigkeit (mm/lfm)],MATCH(Tabelle9[[#This Row],[Rank]],Stammdaten[Rank Verteilung Abholzigkeit],0))</f>
        <v>#N/A</v>
      </c>
      <c r="N4646" t="e">
        <f>VLOOKUP(Tabelle9[[#This Row],[Rank]],Stammdaten[[Rank Verteilung Abholzigkeit]:[Verteilung Abholzigkeit]],2,FALSE)</f>
        <v>#N/A</v>
      </c>
      <c r="S4646">
        <v>4637</v>
      </c>
      <c r="T4646" t="e">
        <f>INDEX(Stammdaten[Krümmung (mm/lfm)],MATCH(Tabelle10[[#This Row],[Rank]],Stammdaten[Rank Verteilung Krümmung],0))</f>
        <v>#N/A</v>
      </c>
      <c r="U4646" t="e">
        <f>VLOOKUP(Tabelle10[[#This Row],[Rank]],Stammdaten[[Rank Verteilung Krümmung]:[Verteilung Krümmung]],2,FALSE)</f>
        <v>#N/A</v>
      </c>
      <c r="Z4646">
        <v>4637</v>
      </c>
      <c r="AA4646" t="e">
        <f>INDEX(Stammdaten[Ovalität (']0,1'])],MATCH(Tabelle1014[[#This Row],[Rank]],Stammdaten[Rank Verteilung Ovalität],0))</f>
        <v>#N/A</v>
      </c>
      <c r="AB4646" t="e">
        <f>VLOOKUP(Tabelle1014[[#This Row],[Rank]],Stammdaten[[Rank Verteilung Ovalität]:[Verteilung Ovalität]],2,FALSE)</f>
        <v>#N/A</v>
      </c>
    </row>
    <row r="4647" spans="5:28" x14ac:dyDescent="0.35">
      <c r="E4647">
        <v>4638</v>
      </c>
      <c r="F4647" t="e">
        <f>INDEX(Stammdaten[D Mitte mit Rinde (mm)],MATCH(Tabelle8[[#This Row],[Rank]],Stammdaten[Rank Verteilung D Mitte mit Rinde],0))</f>
        <v>#N/A</v>
      </c>
      <c r="G4647" t="e">
        <f>VLOOKUP(Tabelle8[[#This Row],[Rank]],Stammdaten[[Rank Verteilung D Mitte mit Rinde]:[Verteilung D Mitte mit Rinde]],2,FALSE)</f>
        <v>#N/A</v>
      </c>
      <c r="L4647">
        <v>4638</v>
      </c>
      <c r="M4647" t="e">
        <f>INDEX(Stammdaten[Abholzigkeit (mm/lfm)],MATCH(Tabelle9[[#This Row],[Rank]],Stammdaten[Rank Verteilung Abholzigkeit],0))</f>
        <v>#N/A</v>
      </c>
      <c r="N4647" t="e">
        <f>VLOOKUP(Tabelle9[[#This Row],[Rank]],Stammdaten[[Rank Verteilung Abholzigkeit]:[Verteilung Abholzigkeit]],2,FALSE)</f>
        <v>#N/A</v>
      </c>
      <c r="S4647">
        <v>4638</v>
      </c>
      <c r="T4647" t="e">
        <f>INDEX(Stammdaten[Krümmung (mm/lfm)],MATCH(Tabelle10[[#This Row],[Rank]],Stammdaten[Rank Verteilung Krümmung],0))</f>
        <v>#N/A</v>
      </c>
      <c r="U4647" t="e">
        <f>VLOOKUP(Tabelle10[[#This Row],[Rank]],Stammdaten[[Rank Verteilung Krümmung]:[Verteilung Krümmung]],2,FALSE)</f>
        <v>#N/A</v>
      </c>
      <c r="Z4647">
        <v>4638</v>
      </c>
      <c r="AA4647" t="e">
        <f>INDEX(Stammdaten[Ovalität (']0,1'])],MATCH(Tabelle1014[[#This Row],[Rank]],Stammdaten[Rank Verteilung Ovalität],0))</f>
        <v>#N/A</v>
      </c>
      <c r="AB4647" t="e">
        <f>VLOOKUP(Tabelle1014[[#This Row],[Rank]],Stammdaten[[Rank Verteilung Ovalität]:[Verteilung Ovalität]],2,FALSE)</f>
        <v>#N/A</v>
      </c>
    </row>
    <row r="4648" spans="5:28" x14ac:dyDescent="0.35">
      <c r="E4648">
        <v>4639</v>
      </c>
      <c r="F4648" t="e">
        <f>INDEX(Stammdaten[D Mitte mit Rinde (mm)],MATCH(Tabelle8[[#This Row],[Rank]],Stammdaten[Rank Verteilung D Mitte mit Rinde],0))</f>
        <v>#N/A</v>
      </c>
      <c r="G4648" t="e">
        <f>VLOOKUP(Tabelle8[[#This Row],[Rank]],Stammdaten[[Rank Verteilung D Mitte mit Rinde]:[Verteilung D Mitte mit Rinde]],2,FALSE)</f>
        <v>#N/A</v>
      </c>
      <c r="L4648">
        <v>4639</v>
      </c>
      <c r="M4648" t="e">
        <f>INDEX(Stammdaten[Abholzigkeit (mm/lfm)],MATCH(Tabelle9[[#This Row],[Rank]],Stammdaten[Rank Verteilung Abholzigkeit],0))</f>
        <v>#N/A</v>
      </c>
      <c r="N4648" t="e">
        <f>VLOOKUP(Tabelle9[[#This Row],[Rank]],Stammdaten[[Rank Verteilung Abholzigkeit]:[Verteilung Abholzigkeit]],2,FALSE)</f>
        <v>#N/A</v>
      </c>
      <c r="S4648">
        <v>4639</v>
      </c>
      <c r="T4648" t="e">
        <f>INDEX(Stammdaten[Krümmung (mm/lfm)],MATCH(Tabelle10[[#This Row],[Rank]],Stammdaten[Rank Verteilung Krümmung],0))</f>
        <v>#N/A</v>
      </c>
      <c r="U4648" t="e">
        <f>VLOOKUP(Tabelle10[[#This Row],[Rank]],Stammdaten[[Rank Verteilung Krümmung]:[Verteilung Krümmung]],2,FALSE)</f>
        <v>#N/A</v>
      </c>
      <c r="Z4648">
        <v>4639</v>
      </c>
      <c r="AA4648" t="e">
        <f>INDEX(Stammdaten[Ovalität (']0,1'])],MATCH(Tabelle1014[[#This Row],[Rank]],Stammdaten[Rank Verteilung Ovalität],0))</f>
        <v>#N/A</v>
      </c>
      <c r="AB4648" t="e">
        <f>VLOOKUP(Tabelle1014[[#This Row],[Rank]],Stammdaten[[Rank Verteilung Ovalität]:[Verteilung Ovalität]],2,FALSE)</f>
        <v>#N/A</v>
      </c>
    </row>
    <row r="4649" spans="5:28" x14ac:dyDescent="0.35">
      <c r="E4649">
        <v>4640</v>
      </c>
      <c r="F4649" t="e">
        <f>INDEX(Stammdaten[D Mitte mit Rinde (mm)],MATCH(Tabelle8[[#This Row],[Rank]],Stammdaten[Rank Verteilung D Mitte mit Rinde],0))</f>
        <v>#N/A</v>
      </c>
      <c r="G4649" t="e">
        <f>VLOOKUP(Tabelle8[[#This Row],[Rank]],Stammdaten[[Rank Verteilung D Mitte mit Rinde]:[Verteilung D Mitte mit Rinde]],2,FALSE)</f>
        <v>#N/A</v>
      </c>
      <c r="L4649">
        <v>4640</v>
      </c>
      <c r="M4649" t="e">
        <f>INDEX(Stammdaten[Abholzigkeit (mm/lfm)],MATCH(Tabelle9[[#This Row],[Rank]],Stammdaten[Rank Verteilung Abholzigkeit],0))</f>
        <v>#N/A</v>
      </c>
      <c r="N4649" t="e">
        <f>VLOOKUP(Tabelle9[[#This Row],[Rank]],Stammdaten[[Rank Verteilung Abholzigkeit]:[Verteilung Abholzigkeit]],2,FALSE)</f>
        <v>#N/A</v>
      </c>
      <c r="S4649">
        <v>4640</v>
      </c>
      <c r="T4649" t="e">
        <f>INDEX(Stammdaten[Krümmung (mm/lfm)],MATCH(Tabelle10[[#This Row],[Rank]],Stammdaten[Rank Verteilung Krümmung],0))</f>
        <v>#N/A</v>
      </c>
      <c r="U4649" t="e">
        <f>VLOOKUP(Tabelle10[[#This Row],[Rank]],Stammdaten[[Rank Verteilung Krümmung]:[Verteilung Krümmung]],2,FALSE)</f>
        <v>#N/A</v>
      </c>
      <c r="Z4649">
        <v>4640</v>
      </c>
      <c r="AA4649" t="e">
        <f>INDEX(Stammdaten[Ovalität (']0,1'])],MATCH(Tabelle1014[[#This Row],[Rank]],Stammdaten[Rank Verteilung Ovalität],0))</f>
        <v>#N/A</v>
      </c>
      <c r="AB4649" t="e">
        <f>VLOOKUP(Tabelle1014[[#This Row],[Rank]],Stammdaten[[Rank Verteilung Ovalität]:[Verteilung Ovalität]],2,FALSE)</f>
        <v>#N/A</v>
      </c>
    </row>
    <row r="4650" spans="5:28" x14ac:dyDescent="0.35">
      <c r="E4650">
        <v>4641</v>
      </c>
      <c r="F4650" t="e">
        <f>INDEX(Stammdaten[D Mitte mit Rinde (mm)],MATCH(Tabelle8[[#This Row],[Rank]],Stammdaten[Rank Verteilung D Mitte mit Rinde],0))</f>
        <v>#N/A</v>
      </c>
      <c r="G4650" t="e">
        <f>VLOOKUP(Tabelle8[[#This Row],[Rank]],Stammdaten[[Rank Verteilung D Mitte mit Rinde]:[Verteilung D Mitte mit Rinde]],2,FALSE)</f>
        <v>#N/A</v>
      </c>
      <c r="L4650">
        <v>4641</v>
      </c>
      <c r="M4650" t="e">
        <f>INDEX(Stammdaten[Abholzigkeit (mm/lfm)],MATCH(Tabelle9[[#This Row],[Rank]],Stammdaten[Rank Verteilung Abholzigkeit],0))</f>
        <v>#N/A</v>
      </c>
      <c r="N4650" t="e">
        <f>VLOOKUP(Tabelle9[[#This Row],[Rank]],Stammdaten[[Rank Verteilung Abholzigkeit]:[Verteilung Abholzigkeit]],2,FALSE)</f>
        <v>#N/A</v>
      </c>
      <c r="S4650">
        <v>4641</v>
      </c>
      <c r="T4650" t="e">
        <f>INDEX(Stammdaten[Krümmung (mm/lfm)],MATCH(Tabelle10[[#This Row],[Rank]],Stammdaten[Rank Verteilung Krümmung],0))</f>
        <v>#N/A</v>
      </c>
      <c r="U4650" t="e">
        <f>VLOOKUP(Tabelle10[[#This Row],[Rank]],Stammdaten[[Rank Verteilung Krümmung]:[Verteilung Krümmung]],2,FALSE)</f>
        <v>#N/A</v>
      </c>
      <c r="Z4650">
        <v>4641</v>
      </c>
      <c r="AA4650" t="e">
        <f>INDEX(Stammdaten[Ovalität (']0,1'])],MATCH(Tabelle1014[[#This Row],[Rank]],Stammdaten[Rank Verteilung Ovalität],0))</f>
        <v>#N/A</v>
      </c>
      <c r="AB4650" t="e">
        <f>VLOOKUP(Tabelle1014[[#This Row],[Rank]],Stammdaten[[Rank Verteilung Ovalität]:[Verteilung Ovalität]],2,FALSE)</f>
        <v>#N/A</v>
      </c>
    </row>
    <row r="4651" spans="5:28" x14ac:dyDescent="0.35">
      <c r="E4651">
        <v>4642</v>
      </c>
      <c r="F4651" t="e">
        <f>INDEX(Stammdaten[D Mitte mit Rinde (mm)],MATCH(Tabelle8[[#This Row],[Rank]],Stammdaten[Rank Verteilung D Mitte mit Rinde],0))</f>
        <v>#N/A</v>
      </c>
      <c r="G4651" t="e">
        <f>VLOOKUP(Tabelle8[[#This Row],[Rank]],Stammdaten[[Rank Verteilung D Mitte mit Rinde]:[Verteilung D Mitte mit Rinde]],2,FALSE)</f>
        <v>#N/A</v>
      </c>
      <c r="L4651">
        <v>4642</v>
      </c>
      <c r="M4651" t="e">
        <f>INDEX(Stammdaten[Abholzigkeit (mm/lfm)],MATCH(Tabelle9[[#This Row],[Rank]],Stammdaten[Rank Verteilung Abholzigkeit],0))</f>
        <v>#N/A</v>
      </c>
      <c r="N4651" t="e">
        <f>VLOOKUP(Tabelle9[[#This Row],[Rank]],Stammdaten[[Rank Verteilung Abholzigkeit]:[Verteilung Abholzigkeit]],2,FALSE)</f>
        <v>#N/A</v>
      </c>
      <c r="S4651">
        <v>4642</v>
      </c>
      <c r="T4651" t="e">
        <f>INDEX(Stammdaten[Krümmung (mm/lfm)],MATCH(Tabelle10[[#This Row],[Rank]],Stammdaten[Rank Verteilung Krümmung],0))</f>
        <v>#N/A</v>
      </c>
      <c r="U4651" t="e">
        <f>VLOOKUP(Tabelle10[[#This Row],[Rank]],Stammdaten[[Rank Verteilung Krümmung]:[Verteilung Krümmung]],2,FALSE)</f>
        <v>#N/A</v>
      </c>
      <c r="Z4651">
        <v>4642</v>
      </c>
      <c r="AA4651" t="e">
        <f>INDEX(Stammdaten[Ovalität (']0,1'])],MATCH(Tabelle1014[[#This Row],[Rank]],Stammdaten[Rank Verteilung Ovalität],0))</f>
        <v>#N/A</v>
      </c>
      <c r="AB4651" t="e">
        <f>VLOOKUP(Tabelle1014[[#This Row],[Rank]],Stammdaten[[Rank Verteilung Ovalität]:[Verteilung Ovalität]],2,FALSE)</f>
        <v>#N/A</v>
      </c>
    </row>
    <row r="4652" spans="5:28" x14ac:dyDescent="0.35">
      <c r="E4652">
        <v>4643</v>
      </c>
      <c r="F4652" t="e">
        <f>INDEX(Stammdaten[D Mitte mit Rinde (mm)],MATCH(Tabelle8[[#This Row],[Rank]],Stammdaten[Rank Verteilung D Mitte mit Rinde],0))</f>
        <v>#N/A</v>
      </c>
      <c r="G4652" t="e">
        <f>VLOOKUP(Tabelle8[[#This Row],[Rank]],Stammdaten[[Rank Verteilung D Mitte mit Rinde]:[Verteilung D Mitte mit Rinde]],2,FALSE)</f>
        <v>#N/A</v>
      </c>
      <c r="L4652">
        <v>4643</v>
      </c>
      <c r="M4652" t="e">
        <f>INDEX(Stammdaten[Abholzigkeit (mm/lfm)],MATCH(Tabelle9[[#This Row],[Rank]],Stammdaten[Rank Verteilung Abholzigkeit],0))</f>
        <v>#N/A</v>
      </c>
      <c r="N4652" t="e">
        <f>VLOOKUP(Tabelle9[[#This Row],[Rank]],Stammdaten[[Rank Verteilung Abholzigkeit]:[Verteilung Abholzigkeit]],2,FALSE)</f>
        <v>#N/A</v>
      </c>
      <c r="S4652">
        <v>4643</v>
      </c>
      <c r="T4652" t="e">
        <f>INDEX(Stammdaten[Krümmung (mm/lfm)],MATCH(Tabelle10[[#This Row],[Rank]],Stammdaten[Rank Verteilung Krümmung],0))</f>
        <v>#N/A</v>
      </c>
      <c r="U4652" t="e">
        <f>VLOOKUP(Tabelle10[[#This Row],[Rank]],Stammdaten[[Rank Verteilung Krümmung]:[Verteilung Krümmung]],2,FALSE)</f>
        <v>#N/A</v>
      </c>
      <c r="Z4652">
        <v>4643</v>
      </c>
      <c r="AA4652" t="e">
        <f>INDEX(Stammdaten[Ovalität (']0,1'])],MATCH(Tabelle1014[[#This Row],[Rank]],Stammdaten[Rank Verteilung Ovalität],0))</f>
        <v>#N/A</v>
      </c>
      <c r="AB4652" t="e">
        <f>VLOOKUP(Tabelle1014[[#This Row],[Rank]],Stammdaten[[Rank Verteilung Ovalität]:[Verteilung Ovalität]],2,FALSE)</f>
        <v>#N/A</v>
      </c>
    </row>
    <row r="4653" spans="5:28" x14ac:dyDescent="0.35">
      <c r="E4653">
        <v>4644</v>
      </c>
      <c r="F4653" t="e">
        <f>INDEX(Stammdaten[D Mitte mit Rinde (mm)],MATCH(Tabelle8[[#This Row],[Rank]],Stammdaten[Rank Verteilung D Mitte mit Rinde],0))</f>
        <v>#N/A</v>
      </c>
      <c r="G4653" t="e">
        <f>VLOOKUP(Tabelle8[[#This Row],[Rank]],Stammdaten[[Rank Verteilung D Mitte mit Rinde]:[Verteilung D Mitte mit Rinde]],2,FALSE)</f>
        <v>#N/A</v>
      </c>
      <c r="L4653">
        <v>4644</v>
      </c>
      <c r="M4653" t="e">
        <f>INDEX(Stammdaten[Abholzigkeit (mm/lfm)],MATCH(Tabelle9[[#This Row],[Rank]],Stammdaten[Rank Verteilung Abholzigkeit],0))</f>
        <v>#N/A</v>
      </c>
      <c r="N4653" t="e">
        <f>VLOOKUP(Tabelle9[[#This Row],[Rank]],Stammdaten[[Rank Verteilung Abholzigkeit]:[Verteilung Abholzigkeit]],2,FALSE)</f>
        <v>#N/A</v>
      </c>
      <c r="S4653">
        <v>4644</v>
      </c>
      <c r="T4653" t="e">
        <f>INDEX(Stammdaten[Krümmung (mm/lfm)],MATCH(Tabelle10[[#This Row],[Rank]],Stammdaten[Rank Verteilung Krümmung],0))</f>
        <v>#N/A</v>
      </c>
      <c r="U4653" t="e">
        <f>VLOOKUP(Tabelle10[[#This Row],[Rank]],Stammdaten[[Rank Verteilung Krümmung]:[Verteilung Krümmung]],2,FALSE)</f>
        <v>#N/A</v>
      </c>
      <c r="Z4653">
        <v>4644</v>
      </c>
      <c r="AA4653" t="e">
        <f>INDEX(Stammdaten[Ovalität (']0,1'])],MATCH(Tabelle1014[[#This Row],[Rank]],Stammdaten[Rank Verteilung Ovalität],0))</f>
        <v>#N/A</v>
      </c>
      <c r="AB4653" t="e">
        <f>VLOOKUP(Tabelle1014[[#This Row],[Rank]],Stammdaten[[Rank Verteilung Ovalität]:[Verteilung Ovalität]],2,FALSE)</f>
        <v>#N/A</v>
      </c>
    </row>
    <row r="4654" spans="5:28" x14ac:dyDescent="0.35">
      <c r="E4654">
        <v>4645</v>
      </c>
      <c r="F4654" t="e">
        <f>INDEX(Stammdaten[D Mitte mit Rinde (mm)],MATCH(Tabelle8[[#This Row],[Rank]],Stammdaten[Rank Verteilung D Mitte mit Rinde],0))</f>
        <v>#N/A</v>
      </c>
      <c r="G4654" t="e">
        <f>VLOOKUP(Tabelle8[[#This Row],[Rank]],Stammdaten[[Rank Verteilung D Mitte mit Rinde]:[Verteilung D Mitte mit Rinde]],2,FALSE)</f>
        <v>#N/A</v>
      </c>
      <c r="L4654">
        <v>4645</v>
      </c>
      <c r="M4654" t="e">
        <f>INDEX(Stammdaten[Abholzigkeit (mm/lfm)],MATCH(Tabelle9[[#This Row],[Rank]],Stammdaten[Rank Verteilung Abholzigkeit],0))</f>
        <v>#N/A</v>
      </c>
      <c r="N4654" t="e">
        <f>VLOOKUP(Tabelle9[[#This Row],[Rank]],Stammdaten[[Rank Verteilung Abholzigkeit]:[Verteilung Abholzigkeit]],2,FALSE)</f>
        <v>#N/A</v>
      </c>
      <c r="S4654">
        <v>4645</v>
      </c>
      <c r="T4654" t="e">
        <f>INDEX(Stammdaten[Krümmung (mm/lfm)],MATCH(Tabelle10[[#This Row],[Rank]],Stammdaten[Rank Verteilung Krümmung],0))</f>
        <v>#N/A</v>
      </c>
      <c r="U4654" t="e">
        <f>VLOOKUP(Tabelle10[[#This Row],[Rank]],Stammdaten[[Rank Verteilung Krümmung]:[Verteilung Krümmung]],2,FALSE)</f>
        <v>#N/A</v>
      </c>
      <c r="Z4654">
        <v>4645</v>
      </c>
      <c r="AA4654" t="e">
        <f>INDEX(Stammdaten[Ovalität (']0,1'])],MATCH(Tabelle1014[[#This Row],[Rank]],Stammdaten[Rank Verteilung Ovalität],0))</f>
        <v>#N/A</v>
      </c>
      <c r="AB4654" t="e">
        <f>VLOOKUP(Tabelle1014[[#This Row],[Rank]],Stammdaten[[Rank Verteilung Ovalität]:[Verteilung Ovalität]],2,FALSE)</f>
        <v>#N/A</v>
      </c>
    </row>
    <row r="4655" spans="5:28" x14ac:dyDescent="0.35">
      <c r="E4655">
        <v>4646</v>
      </c>
      <c r="F4655" t="e">
        <f>INDEX(Stammdaten[D Mitte mit Rinde (mm)],MATCH(Tabelle8[[#This Row],[Rank]],Stammdaten[Rank Verteilung D Mitte mit Rinde],0))</f>
        <v>#N/A</v>
      </c>
      <c r="G4655" t="e">
        <f>VLOOKUP(Tabelle8[[#This Row],[Rank]],Stammdaten[[Rank Verteilung D Mitte mit Rinde]:[Verteilung D Mitte mit Rinde]],2,FALSE)</f>
        <v>#N/A</v>
      </c>
      <c r="L4655">
        <v>4646</v>
      </c>
      <c r="M4655" t="e">
        <f>INDEX(Stammdaten[Abholzigkeit (mm/lfm)],MATCH(Tabelle9[[#This Row],[Rank]],Stammdaten[Rank Verteilung Abholzigkeit],0))</f>
        <v>#N/A</v>
      </c>
      <c r="N4655" t="e">
        <f>VLOOKUP(Tabelle9[[#This Row],[Rank]],Stammdaten[[Rank Verteilung Abholzigkeit]:[Verteilung Abholzigkeit]],2,FALSE)</f>
        <v>#N/A</v>
      </c>
      <c r="S4655">
        <v>4646</v>
      </c>
      <c r="T4655" t="e">
        <f>INDEX(Stammdaten[Krümmung (mm/lfm)],MATCH(Tabelle10[[#This Row],[Rank]],Stammdaten[Rank Verteilung Krümmung],0))</f>
        <v>#N/A</v>
      </c>
      <c r="U4655" t="e">
        <f>VLOOKUP(Tabelle10[[#This Row],[Rank]],Stammdaten[[Rank Verteilung Krümmung]:[Verteilung Krümmung]],2,FALSE)</f>
        <v>#N/A</v>
      </c>
      <c r="Z4655">
        <v>4646</v>
      </c>
      <c r="AA4655" t="e">
        <f>INDEX(Stammdaten[Ovalität (']0,1'])],MATCH(Tabelle1014[[#This Row],[Rank]],Stammdaten[Rank Verteilung Ovalität],0))</f>
        <v>#N/A</v>
      </c>
      <c r="AB4655" t="e">
        <f>VLOOKUP(Tabelle1014[[#This Row],[Rank]],Stammdaten[[Rank Verteilung Ovalität]:[Verteilung Ovalität]],2,FALSE)</f>
        <v>#N/A</v>
      </c>
    </row>
    <row r="4656" spans="5:28" x14ac:dyDescent="0.35">
      <c r="E4656">
        <v>4647</v>
      </c>
      <c r="F4656" t="e">
        <f>INDEX(Stammdaten[D Mitte mit Rinde (mm)],MATCH(Tabelle8[[#This Row],[Rank]],Stammdaten[Rank Verteilung D Mitte mit Rinde],0))</f>
        <v>#N/A</v>
      </c>
      <c r="G4656" t="e">
        <f>VLOOKUP(Tabelle8[[#This Row],[Rank]],Stammdaten[[Rank Verteilung D Mitte mit Rinde]:[Verteilung D Mitte mit Rinde]],2,FALSE)</f>
        <v>#N/A</v>
      </c>
      <c r="L4656">
        <v>4647</v>
      </c>
      <c r="M4656" t="e">
        <f>INDEX(Stammdaten[Abholzigkeit (mm/lfm)],MATCH(Tabelle9[[#This Row],[Rank]],Stammdaten[Rank Verteilung Abholzigkeit],0))</f>
        <v>#N/A</v>
      </c>
      <c r="N4656" t="e">
        <f>VLOOKUP(Tabelle9[[#This Row],[Rank]],Stammdaten[[Rank Verteilung Abholzigkeit]:[Verteilung Abholzigkeit]],2,FALSE)</f>
        <v>#N/A</v>
      </c>
      <c r="S4656">
        <v>4647</v>
      </c>
      <c r="T4656" t="e">
        <f>INDEX(Stammdaten[Krümmung (mm/lfm)],MATCH(Tabelle10[[#This Row],[Rank]],Stammdaten[Rank Verteilung Krümmung],0))</f>
        <v>#N/A</v>
      </c>
      <c r="U4656" t="e">
        <f>VLOOKUP(Tabelle10[[#This Row],[Rank]],Stammdaten[[Rank Verteilung Krümmung]:[Verteilung Krümmung]],2,FALSE)</f>
        <v>#N/A</v>
      </c>
      <c r="Z4656">
        <v>4647</v>
      </c>
      <c r="AA4656" t="e">
        <f>INDEX(Stammdaten[Ovalität (']0,1'])],MATCH(Tabelle1014[[#This Row],[Rank]],Stammdaten[Rank Verteilung Ovalität],0))</f>
        <v>#N/A</v>
      </c>
      <c r="AB4656" t="e">
        <f>VLOOKUP(Tabelle1014[[#This Row],[Rank]],Stammdaten[[Rank Verteilung Ovalität]:[Verteilung Ovalität]],2,FALSE)</f>
        <v>#N/A</v>
      </c>
    </row>
    <row r="4657" spans="5:28" x14ac:dyDescent="0.35">
      <c r="E4657">
        <v>4648</v>
      </c>
      <c r="F4657" t="e">
        <f>INDEX(Stammdaten[D Mitte mit Rinde (mm)],MATCH(Tabelle8[[#This Row],[Rank]],Stammdaten[Rank Verteilung D Mitte mit Rinde],0))</f>
        <v>#N/A</v>
      </c>
      <c r="G4657" t="e">
        <f>VLOOKUP(Tabelle8[[#This Row],[Rank]],Stammdaten[[Rank Verteilung D Mitte mit Rinde]:[Verteilung D Mitte mit Rinde]],2,FALSE)</f>
        <v>#N/A</v>
      </c>
      <c r="L4657">
        <v>4648</v>
      </c>
      <c r="M4657" t="e">
        <f>INDEX(Stammdaten[Abholzigkeit (mm/lfm)],MATCH(Tabelle9[[#This Row],[Rank]],Stammdaten[Rank Verteilung Abholzigkeit],0))</f>
        <v>#N/A</v>
      </c>
      <c r="N4657" t="e">
        <f>VLOOKUP(Tabelle9[[#This Row],[Rank]],Stammdaten[[Rank Verteilung Abholzigkeit]:[Verteilung Abholzigkeit]],2,FALSE)</f>
        <v>#N/A</v>
      </c>
      <c r="S4657">
        <v>4648</v>
      </c>
      <c r="T4657" t="e">
        <f>INDEX(Stammdaten[Krümmung (mm/lfm)],MATCH(Tabelle10[[#This Row],[Rank]],Stammdaten[Rank Verteilung Krümmung],0))</f>
        <v>#N/A</v>
      </c>
      <c r="U4657" t="e">
        <f>VLOOKUP(Tabelle10[[#This Row],[Rank]],Stammdaten[[Rank Verteilung Krümmung]:[Verteilung Krümmung]],2,FALSE)</f>
        <v>#N/A</v>
      </c>
      <c r="Z4657">
        <v>4648</v>
      </c>
      <c r="AA4657" t="e">
        <f>INDEX(Stammdaten[Ovalität (']0,1'])],MATCH(Tabelle1014[[#This Row],[Rank]],Stammdaten[Rank Verteilung Ovalität],0))</f>
        <v>#N/A</v>
      </c>
      <c r="AB4657" t="e">
        <f>VLOOKUP(Tabelle1014[[#This Row],[Rank]],Stammdaten[[Rank Verteilung Ovalität]:[Verteilung Ovalität]],2,FALSE)</f>
        <v>#N/A</v>
      </c>
    </row>
    <row r="4658" spans="5:28" x14ac:dyDescent="0.35">
      <c r="E4658">
        <v>4649</v>
      </c>
      <c r="F4658" t="e">
        <f>INDEX(Stammdaten[D Mitte mit Rinde (mm)],MATCH(Tabelle8[[#This Row],[Rank]],Stammdaten[Rank Verteilung D Mitte mit Rinde],0))</f>
        <v>#N/A</v>
      </c>
      <c r="G4658" t="e">
        <f>VLOOKUP(Tabelle8[[#This Row],[Rank]],Stammdaten[[Rank Verteilung D Mitte mit Rinde]:[Verteilung D Mitte mit Rinde]],2,FALSE)</f>
        <v>#N/A</v>
      </c>
      <c r="L4658">
        <v>4649</v>
      </c>
      <c r="M4658" t="e">
        <f>INDEX(Stammdaten[Abholzigkeit (mm/lfm)],MATCH(Tabelle9[[#This Row],[Rank]],Stammdaten[Rank Verteilung Abholzigkeit],0))</f>
        <v>#N/A</v>
      </c>
      <c r="N4658" t="e">
        <f>VLOOKUP(Tabelle9[[#This Row],[Rank]],Stammdaten[[Rank Verteilung Abholzigkeit]:[Verteilung Abholzigkeit]],2,FALSE)</f>
        <v>#N/A</v>
      </c>
      <c r="S4658">
        <v>4649</v>
      </c>
      <c r="T4658" t="e">
        <f>INDEX(Stammdaten[Krümmung (mm/lfm)],MATCH(Tabelle10[[#This Row],[Rank]],Stammdaten[Rank Verteilung Krümmung],0))</f>
        <v>#N/A</v>
      </c>
      <c r="U4658" t="e">
        <f>VLOOKUP(Tabelle10[[#This Row],[Rank]],Stammdaten[[Rank Verteilung Krümmung]:[Verteilung Krümmung]],2,FALSE)</f>
        <v>#N/A</v>
      </c>
      <c r="Z4658">
        <v>4649</v>
      </c>
      <c r="AA4658" t="e">
        <f>INDEX(Stammdaten[Ovalität (']0,1'])],MATCH(Tabelle1014[[#This Row],[Rank]],Stammdaten[Rank Verteilung Ovalität],0))</f>
        <v>#N/A</v>
      </c>
      <c r="AB4658" t="e">
        <f>VLOOKUP(Tabelle1014[[#This Row],[Rank]],Stammdaten[[Rank Verteilung Ovalität]:[Verteilung Ovalität]],2,FALSE)</f>
        <v>#N/A</v>
      </c>
    </row>
    <row r="4659" spans="5:28" x14ac:dyDescent="0.35">
      <c r="E4659">
        <v>4650</v>
      </c>
      <c r="F4659" t="e">
        <f>INDEX(Stammdaten[D Mitte mit Rinde (mm)],MATCH(Tabelle8[[#This Row],[Rank]],Stammdaten[Rank Verteilung D Mitte mit Rinde],0))</f>
        <v>#N/A</v>
      </c>
      <c r="G4659" t="e">
        <f>VLOOKUP(Tabelle8[[#This Row],[Rank]],Stammdaten[[Rank Verteilung D Mitte mit Rinde]:[Verteilung D Mitte mit Rinde]],2,FALSE)</f>
        <v>#N/A</v>
      </c>
      <c r="L4659">
        <v>4650</v>
      </c>
      <c r="M4659" t="e">
        <f>INDEX(Stammdaten[Abholzigkeit (mm/lfm)],MATCH(Tabelle9[[#This Row],[Rank]],Stammdaten[Rank Verteilung Abholzigkeit],0))</f>
        <v>#N/A</v>
      </c>
      <c r="N4659" t="e">
        <f>VLOOKUP(Tabelle9[[#This Row],[Rank]],Stammdaten[[Rank Verteilung Abholzigkeit]:[Verteilung Abholzigkeit]],2,FALSE)</f>
        <v>#N/A</v>
      </c>
      <c r="S4659">
        <v>4650</v>
      </c>
      <c r="T4659" t="e">
        <f>INDEX(Stammdaten[Krümmung (mm/lfm)],MATCH(Tabelle10[[#This Row],[Rank]],Stammdaten[Rank Verteilung Krümmung],0))</f>
        <v>#N/A</v>
      </c>
      <c r="U4659" t="e">
        <f>VLOOKUP(Tabelle10[[#This Row],[Rank]],Stammdaten[[Rank Verteilung Krümmung]:[Verteilung Krümmung]],2,FALSE)</f>
        <v>#N/A</v>
      </c>
      <c r="Z4659">
        <v>4650</v>
      </c>
      <c r="AA4659" t="e">
        <f>INDEX(Stammdaten[Ovalität (']0,1'])],MATCH(Tabelle1014[[#This Row],[Rank]],Stammdaten[Rank Verteilung Ovalität],0))</f>
        <v>#N/A</v>
      </c>
      <c r="AB4659" t="e">
        <f>VLOOKUP(Tabelle1014[[#This Row],[Rank]],Stammdaten[[Rank Verteilung Ovalität]:[Verteilung Ovalität]],2,FALSE)</f>
        <v>#N/A</v>
      </c>
    </row>
    <row r="4660" spans="5:28" x14ac:dyDescent="0.35">
      <c r="E4660">
        <v>4651</v>
      </c>
      <c r="F4660" t="e">
        <f>INDEX(Stammdaten[D Mitte mit Rinde (mm)],MATCH(Tabelle8[[#This Row],[Rank]],Stammdaten[Rank Verteilung D Mitte mit Rinde],0))</f>
        <v>#N/A</v>
      </c>
      <c r="G4660" t="e">
        <f>VLOOKUP(Tabelle8[[#This Row],[Rank]],Stammdaten[[Rank Verteilung D Mitte mit Rinde]:[Verteilung D Mitte mit Rinde]],2,FALSE)</f>
        <v>#N/A</v>
      </c>
      <c r="L4660">
        <v>4651</v>
      </c>
      <c r="M4660" t="e">
        <f>INDEX(Stammdaten[Abholzigkeit (mm/lfm)],MATCH(Tabelle9[[#This Row],[Rank]],Stammdaten[Rank Verteilung Abholzigkeit],0))</f>
        <v>#N/A</v>
      </c>
      <c r="N4660" t="e">
        <f>VLOOKUP(Tabelle9[[#This Row],[Rank]],Stammdaten[[Rank Verteilung Abholzigkeit]:[Verteilung Abholzigkeit]],2,FALSE)</f>
        <v>#N/A</v>
      </c>
      <c r="S4660">
        <v>4651</v>
      </c>
      <c r="T4660" t="e">
        <f>INDEX(Stammdaten[Krümmung (mm/lfm)],MATCH(Tabelle10[[#This Row],[Rank]],Stammdaten[Rank Verteilung Krümmung],0))</f>
        <v>#N/A</v>
      </c>
      <c r="U4660" t="e">
        <f>VLOOKUP(Tabelle10[[#This Row],[Rank]],Stammdaten[[Rank Verteilung Krümmung]:[Verteilung Krümmung]],2,FALSE)</f>
        <v>#N/A</v>
      </c>
      <c r="Z4660">
        <v>4651</v>
      </c>
      <c r="AA4660" t="e">
        <f>INDEX(Stammdaten[Ovalität (']0,1'])],MATCH(Tabelle1014[[#This Row],[Rank]],Stammdaten[Rank Verteilung Ovalität],0))</f>
        <v>#N/A</v>
      </c>
      <c r="AB4660" t="e">
        <f>VLOOKUP(Tabelle1014[[#This Row],[Rank]],Stammdaten[[Rank Verteilung Ovalität]:[Verteilung Ovalität]],2,FALSE)</f>
        <v>#N/A</v>
      </c>
    </row>
    <row r="4661" spans="5:28" x14ac:dyDescent="0.35">
      <c r="E4661">
        <v>4652</v>
      </c>
      <c r="F4661" t="e">
        <f>INDEX(Stammdaten[D Mitte mit Rinde (mm)],MATCH(Tabelle8[[#This Row],[Rank]],Stammdaten[Rank Verteilung D Mitte mit Rinde],0))</f>
        <v>#N/A</v>
      </c>
      <c r="G4661" t="e">
        <f>VLOOKUP(Tabelle8[[#This Row],[Rank]],Stammdaten[[Rank Verteilung D Mitte mit Rinde]:[Verteilung D Mitte mit Rinde]],2,FALSE)</f>
        <v>#N/A</v>
      </c>
      <c r="L4661">
        <v>4652</v>
      </c>
      <c r="M4661" t="e">
        <f>INDEX(Stammdaten[Abholzigkeit (mm/lfm)],MATCH(Tabelle9[[#This Row],[Rank]],Stammdaten[Rank Verteilung Abholzigkeit],0))</f>
        <v>#N/A</v>
      </c>
      <c r="N4661" t="e">
        <f>VLOOKUP(Tabelle9[[#This Row],[Rank]],Stammdaten[[Rank Verteilung Abholzigkeit]:[Verteilung Abholzigkeit]],2,FALSE)</f>
        <v>#N/A</v>
      </c>
      <c r="S4661">
        <v>4652</v>
      </c>
      <c r="T4661" t="e">
        <f>INDEX(Stammdaten[Krümmung (mm/lfm)],MATCH(Tabelle10[[#This Row],[Rank]],Stammdaten[Rank Verteilung Krümmung],0))</f>
        <v>#N/A</v>
      </c>
      <c r="U4661" t="e">
        <f>VLOOKUP(Tabelle10[[#This Row],[Rank]],Stammdaten[[Rank Verteilung Krümmung]:[Verteilung Krümmung]],2,FALSE)</f>
        <v>#N/A</v>
      </c>
      <c r="Z4661">
        <v>4652</v>
      </c>
      <c r="AA4661" t="e">
        <f>INDEX(Stammdaten[Ovalität (']0,1'])],MATCH(Tabelle1014[[#This Row],[Rank]],Stammdaten[Rank Verteilung Ovalität],0))</f>
        <v>#N/A</v>
      </c>
      <c r="AB4661" t="e">
        <f>VLOOKUP(Tabelle1014[[#This Row],[Rank]],Stammdaten[[Rank Verteilung Ovalität]:[Verteilung Ovalität]],2,FALSE)</f>
        <v>#N/A</v>
      </c>
    </row>
    <row r="4662" spans="5:28" x14ac:dyDescent="0.35">
      <c r="E4662">
        <v>4653</v>
      </c>
      <c r="F4662" t="e">
        <f>INDEX(Stammdaten[D Mitte mit Rinde (mm)],MATCH(Tabelle8[[#This Row],[Rank]],Stammdaten[Rank Verteilung D Mitte mit Rinde],0))</f>
        <v>#N/A</v>
      </c>
      <c r="G4662" t="e">
        <f>VLOOKUP(Tabelle8[[#This Row],[Rank]],Stammdaten[[Rank Verteilung D Mitte mit Rinde]:[Verteilung D Mitte mit Rinde]],2,FALSE)</f>
        <v>#N/A</v>
      </c>
      <c r="L4662">
        <v>4653</v>
      </c>
      <c r="M4662" t="e">
        <f>INDEX(Stammdaten[Abholzigkeit (mm/lfm)],MATCH(Tabelle9[[#This Row],[Rank]],Stammdaten[Rank Verteilung Abholzigkeit],0))</f>
        <v>#N/A</v>
      </c>
      <c r="N4662" t="e">
        <f>VLOOKUP(Tabelle9[[#This Row],[Rank]],Stammdaten[[Rank Verteilung Abholzigkeit]:[Verteilung Abholzigkeit]],2,FALSE)</f>
        <v>#N/A</v>
      </c>
      <c r="S4662">
        <v>4653</v>
      </c>
      <c r="T4662" t="e">
        <f>INDEX(Stammdaten[Krümmung (mm/lfm)],MATCH(Tabelle10[[#This Row],[Rank]],Stammdaten[Rank Verteilung Krümmung],0))</f>
        <v>#N/A</v>
      </c>
      <c r="U4662" t="e">
        <f>VLOOKUP(Tabelle10[[#This Row],[Rank]],Stammdaten[[Rank Verteilung Krümmung]:[Verteilung Krümmung]],2,FALSE)</f>
        <v>#N/A</v>
      </c>
      <c r="Z4662">
        <v>4653</v>
      </c>
      <c r="AA4662" t="e">
        <f>INDEX(Stammdaten[Ovalität (']0,1'])],MATCH(Tabelle1014[[#This Row],[Rank]],Stammdaten[Rank Verteilung Ovalität],0))</f>
        <v>#N/A</v>
      </c>
      <c r="AB4662" t="e">
        <f>VLOOKUP(Tabelle1014[[#This Row],[Rank]],Stammdaten[[Rank Verteilung Ovalität]:[Verteilung Ovalität]],2,FALSE)</f>
        <v>#N/A</v>
      </c>
    </row>
    <row r="4663" spans="5:28" x14ac:dyDescent="0.35">
      <c r="E4663">
        <v>4654</v>
      </c>
      <c r="F4663" t="e">
        <f>INDEX(Stammdaten[D Mitte mit Rinde (mm)],MATCH(Tabelle8[[#This Row],[Rank]],Stammdaten[Rank Verteilung D Mitte mit Rinde],0))</f>
        <v>#N/A</v>
      </c>
      <c r="G4663" t="e">
        <f>VLOOKUP(Tabelle8[[#This Row],[Rank]],Stammdaten[[Rank Verteilung D Mitte mit Rinde]:[Verteilung D Mitte mit Rinde]],2,FALSE)</f>
        <v>#N/A</v>
      </c>
      <c r="L4663">
        <v>4654</v>
      </c>
      <c r="M4663" t="e">
        <f>INDEX(Stammdaten[Abholzigkeit (mm/lfm)],MATCH(Tabelle9[[#This Row],[Rank]],Stammdaten[Rank Verteilung Abholzigkeit],0))</f>
        <v>#N/A</v>
      </c>
      <c r="N4663" t="e">
        <f>VLOOKUP(Tabelle9[[#This Row],[Rank]],Stammdaten[[Rank Verteilung Abholzigkeit]:[Verteilung Abholzigkeit]],2,FALSE)</f>
        <v>#N/A</v>
      </c>
      <c r="S4663">
        <v>4654</v>
      </c>
      <c r="T4663" t="e">
        <f>INDEX(Stammdaten[Krümmung (mm/lfm)],MATCH(Tabelle10[[#This Row],[Rank]],Stammdaten[Rank Verteilung Krümmung],0))</f>
        <v>#N/A</v>
      </c>
      <c r="U4663" t="e">
        <f>VLOOKUP(Tabelle10[[#This Row],[Rank]],Stammdaten[[Rank Verteilung Krümmung]:[Verteilung Krümmung]],2,FALSE)</f>
        <v>#N/A</v>
      </c>
      <c r="Z4663">
        <v>4654</v>
      </c>
      <c r="AA4663" t="e">
        <f>INDEX(Stammdaten[Ovalität (']0,1'])],MATCH(Tabelle1014[[#This Row],[Rank]],Stammdaten[Rank Verteilung Ovalität],0))</f>
        <v>#N/A</v>
      </c>
      <c r="AB4663" t="e">
        <f>VLOOKUP(Tabelle1014[[#This Row],[Rank]],Stammdaten[[Rank Verteilung Ovalität]:[Verteilung Ovalität]],2,FALSE)</f>
        <v>#N/A</v>
      </c>
    </row>
    <row r="4664" spans="5:28" x14ac:dyDescent="0.35">
      <c r="E4664">
        <v>4655</v>
      </c>
      <c r="F4664" t="e">
        <f>INDEX(Stammdaten[D Mitte mit Rinde (mm)],MATCH(Tabelle8[[#This Row],[Rank]],Stammdaten[Rank Verteilung D Mitte mit Rinde],0))</f>
        <v>#N/A</v>
      </c>
      <c r="G4664" t="e">
        <f>VLOOKUP(Tabelle8[[#This Row],[Rank]],Stammdaten[[Rank Verteilung D Mitte mit Rinde]:[Verteilung D Mitte mit Rinde]],2,FALSE)</f>
        <v>#N/A</v>
      </c>
      <c r="L4664">
        <v>4655</v>
      </c>
      <c r="M4664" t="e">
        <f>INDEX(Stammdaten[Abholzigkeit (mm/lfm)],MATCH(Tabelle9[[#This Row],[Rank]],Stammdaten[Rank Verteilung Abholzigkeit],0))</f>
        <v>#N/A</v>
      </c>
      <c r="N4664" t="e">
        <f>VLOOKUP(Tabelle9[[#This Row],[Rank]],Stammdaten[[Rank Verteilung Abholzigkeit]:[Verteilung Abholzigkeit]],2,FALSE)</f>
        <v>#N/A</v>
      </c>
      <c r="S4664">
        <v>4655</v>
      </c>
      <c r="T4664" t="e">
        <f>INDEX(Stammdaten[Krümmung (mm/lfm)],MATCH(Tabelle10[[#This Row],[Rank]],Stammdaten[Rank Verteilung Krümmung],0))</f>
        <v>#N/A</v>
      </c>
      <c r="U4664" t="e">
        <f>VLOOKUP(Tabelle10[[#This Row],[Rank]],Stammdaten[[Rank Verteilung Krümmung]:[Verteilung Krümmung]],2,FALSE)</f>
        <v>#N/A</v>
      </c>
      <c r="Z4664">
        <v>4655</v>
      </c>
      <c r="AA4664" t="e">
        <f>INDEX(Stammdaten[Ovalität (']0,1'])],MATCH(Tabelle1014[[#This Row],[Rank]],Stammdaten[Rank Verteilung Ovalität],0))</f>
        <v>#N/A</v>
      </c>
      <c r="AB4664" t="e">
        <f>VLOOKUP(Tabelle1014[[#This Row],[Rank]],Stammdaten[[Rank Verteilung Ovalität]:[Verteilung Ovalität]],2,FALSE)</f>
        <v>#N/A</v>
      </c>
    </row>
    <row r="4665" spans="5:28" x14ac:dyDescent="0.35">
      <c r="E4665">
        <v>4656</v>
      </c>
      <c r="F4665" t="e">
        <f>INDEX(Stammdaten[D Mitte mit Rinde (mm)],MATCH(Tabelle8[[#This Row],[Rank]],Stammdaten[Rank Verteilung D Mitte mit Rinde],0))</f>
        <v>#N/A</v>
      </c>
      <c r="G4665" t="e">
        <f>VLOOKUP(Tabelle8[[#This Row],[Rank]],Stammdaten[[Rank Verteilung D Mitte mit Rinde]:[Verteilung D Mitte mit Rinde]],2,FALSE)</f>
        <v>#N/A</v>
      </c>
      <c r="L4665">
        <v>4656</v>
      </c>
      <c r="M4665" t="e">
        <f>INDEX(Stammdaten[Abholzigkeit (mm/lfm)],MATCH(Tabelle9[[#This Row],[Rank]],Stammdaten[Rank Verteilung Abholzigkeit],0))</f>
        <v>#N/A</v>
      </c>
      <c r="N4665" t="e">
        <f>VLOOKUP(Tabelle9[[#This Row],[Rank]],Stammdaten[[Rank Verteilung Abholzigkeit]:[Verteilung Abholzigkeit]],2,FALSE)</f>
        <v>#N/A</v>
      </c>
      <c r="S4665">
        <v>4656</v>
      </c>
      <c r="T4665" t="e">
        <f>INDEX(Stammdaten[Krümmung (mm/lfm)],MATCH(Tabelle10[[#This Row],[Rank]],Stammdaten[Rank Verteilung Krümmung],0))</f>
        <v>#N/A</v>
      </c>
      <c r="U4665" t="e">
        <f>VLOOKUP(Tabelle10[[#This Row],[Rank]],Stammdaten[[Rank Verteilung Krümmung]:[Verteilung Krümmung]],2,FALSE)</f>
        <v>#N/A</v>
      </c>
      <c r="Z4665">
        <v>4656</v>
      </c>
      <c r="AA4665" t="e">
        <f>INDEX(Stammdaten[Ovalität (']0,1'])],MATCH(Tabelle1014[[#This Row],[Rank]],Stammdaten[Rank Verteilung Ovalität],0))</f>
        <v>#N/A</v>
      </c>
      <c r="AB4665" t="e">
        <f>VLOOKUP(Tabelle1014[[#This Row],[Rank]],Stammdaten[[Rank Verteilung Ovalität]:[Verteilung Ovalität]],2,FALSE)</f>
        <v>#N/A</v>
      </c>
    </row>
    <row r="4666" spans="5:28" x14ac:dyDescent="0.35">
      <c r="E4666">
        <v>4657</v>
      </c>
      <c r="F4666" t="e">
        <f>INDEX(Stammdaten[D Mitte mit Rinde (mm)],MATCH(Tabelle8[[#This Row],[Rank]],Stammdaten[Rank Verteilung D Mitte mit Rinde],0))</f>
        <v>#N/A</v>
      </c>
      <c r="G4666" t="e">
        <f>VLOOKUP(Tabelle8[[#This Row],[Rank]],Stammdaten[[Rank Verteilung D Mitte mit Rinde]:[Verteilung D Mitte mit Rinde]],2,FALSE)</f>
        <v>#N/A</v>
      </c>
      <c r="L4666">
        <v>4657</v>
      </c>
      <c r="M4666" t="e">
        <f>INDEX(Stammdaten[Abholzigkeit (mm/lfm)],MATCH(Tabelle9[[#This Row],[Rank]],Stammdaten[Rank Verteilung Abholzigkeit],0))</f>
        <v>#N/A</v>
      </c>
      <c r="N4666" t="e">
        <f>VLOOKUP(Tabelle9[[#This Row],[Rank]],Stammdaten[[Rank Verteilung Abholzigkeit]:[Verteilung Abholzigkeit]],2,FALSE)</f>
        <v>#N/A</v>
      </c>
      <c r="S4666">
        <v>4657</v>
      </c>
      <c r="T4666" t="e">
        <f>INDEX(Stammdaten[Krümmung (mm/lfm)],MATCH(Tabelle10[[#This Row],[Rank]],Stammdaten[Rank Verteilung Krümmung],0))</f>
        <v>#N/A</v>
      </c>
      <c r="U4666" t="e">
        <f>VLOOKUP(Tabelle10[[#This Row],[Rank]],Stammdaten[[Rank Verteilung Krümmung]:[Verteilung Krümmung]],2,FALSE)</f>
        <v>#N/A</v>
      </c>
      <c r="Z4666">
        <v>4657</v>
      </c>
      <c r="AA4666" t="e">
        <f>INDEX(Stammdaten[Ovalität (']0,1'])],MATCH(Tabelle1014[[#This Row],[Rank]],Stammdaten[Rank Verteilung Ovalität],0))</f>
        <v>#N/A</v>
      </c>
      <c r="AB4666" t="e">
        <f>VLOOKUP(Tabelle1014[[#This Row],[Rank]],Stammdaten[[Rank Verteilung Ovalität]:[Verteilung Ovalität]],2,FALSE)</f>
        <v>#N/A</v>
      </c>
    </row>
    <row r="4667" spans="5:28" x14ac:dyDescent="0.35">
      <c r="E4667">
        <v>4658</v>
      </c>
      <c r="F4667" t="e">
        <f>INDEX(Stammdaten[D Mitte mit Rinde (mm)],MATCH(Tabelle8[[#This Row],[Rank]],Stammdaten[Rank Verteilung D Mitte mit Rinde],0))</f>
        <v>#N/A</v>
      </c>
      <c r="G4667" t="e">
        <f>VLOOKUP(Tabelle8[[#This Row],[Rank]],Stammdaten[[Rank Verteilung D Mitte mit Rinde]:[Verteilung D Mitte mit Rinde]],2,FALSE)</f>
        <v>#N/A</v>
      </c>
      <c r="L4667">
        <v>4658</v>
      </c>
      <c r="M4667" t="e">
        <f>INDEX(Stammdaten[Abholzigkeit (mm/lfm)],MATCH(Tabelle9[[#This Row],[Rank]],Stammdaten[Rank Verteilung Abholzigkeit],0))</f>
        <v>#N/A</v>
      </c>
      <c r="N4667" t="e">
        <f>VLOOKUP(Tabelle9[[#This Row],[Rank]],Stammdaten[[Rank Verteilung Abholzigkeit]:[Verteilung Abholzigkeit]],2,FALSE)</f>
        <v>#N/A</v>
      </c>
      <c r="S4667">
        <v>4658</v>
      </c>
      <c r="T4667" t="e">
        <f>INDEX(Stammdaten[Krümmung (mm/lfm)],MATCH(Tabelle10[[#This Row],[Rank]],Stammdaten[Rank Verteilung Krümmung],0))</f>
        <v>#N/A</v>
      </c>
      <c r="U4667" t="e">
        <f>VLOOKUP(Tabelle10[[#This Row],[Rank]],Stammdaten[[Rank Verteilung Krümmung]:[Verteilung Krümmung]],2,FALSE)</f>
        <v>#N/A</v>
      </c>
      <c r="Z4667">
        <v>4658</v>
      </c>
      <c r="AA4667" t="e">
        <f>INDEX(Stammdaten[Ovalität (']0,1'])],MATCH(Tabelle1014[[#This Row],[Rank]],Stammdaten[Rank Verteilung Ovalität],0))</f>
        <v>#N/A</v>
      </c>
      <c r="AB4667" t="e">
        <f>VLOOKUP(Tabelle1014[[#This Row],[Rank]],Stammdaten[[Rank Verteilung Ovalität]:[Verteilung Ovalität]],2,FALSE)</f>
        <v>#N/A</v>
      </c>
    </row>
    <row r="4668" spans="5:28" x14ac:dyDescent="0.35">
      <c r="E4668">
        <v>4659</v>
      </c>
      <c r="F4668" t="e">
        <f>INDEX(Stammdaten[D Mitte mit Rinde (mm)],MATCH(Tabelle8[[#This Row],[Rank]],Stammdaten[Rank Verteilung D Mitte mit Rinde],0))</f>
        <v>#N/A</v>
      </c>
      <c r="G4668" t="e">
        <f>VLOOKUP(Tabelle8[[#This Row],[Rank]],Stammdaten[[Rank Verteilung D Mitte mit Rinde]:[Verteilung D Mitte mit Rinde]],2,FALSE)</f>
        <v>#N/A</v>
      </c>
      <c r="L4668">
        <v>4659</v>
      </c>
      <c r="M4668" t="e">
        <f>INDEX(Stammdaten[Abholzigkeit (mm/lfm)],MATCH(Tabelle9[[#This Row],[Rank]],Stammdaten[Rank Verteilung Abholzigkeit],0))</f>
        <v>#N/A</v>
      </c>
      <c r="N4668" t="e">
        <f>VLOOKUP(Tabelle9[[#This Row],[Rank]],Stammdaten[[Rank Verteilung Abholzigkeit]:[Verteilung Abholzigkeit]],2,FALSE)</f>
        <v>#N/A</v>
      </c>
      <c r="S4668">
        <v>4659</v>
      </c>
      <c r="T4668" t="e">
        <f>INDEX(Stammdaten[Krümmung (mm/lfm)],MATCH(Tabelle10[[#This Row],[Rank]],Stammdaten[Rank Verteilung Krümmung],0))</f>
        <v>#N/A</v>
      </c>
      <c r="U4668" t="e">
        <f>VLOOKUP(Tabelle10[[#This Row],[Rank]],Stammdaten[[Rank Verteilung Krümmung]:[Verteilung Krümmung]],2,FALSE)</f>
        <v>#N/A</v>
      </c>
      <c r="Z4668">
        <v>4659</v>
      </c>
      <c r="AA4668" t="e">
        <f>INDEX(Stammdaten[Ovalität (']0,1'])],MATCH(Tabelle1014[[#This Row],[Rank]],Stammdaten[Rank Verteilung Ovalität],0))</f>
        <v>#N/A</v>
      </c>
      <c r="AB4668" t="e">
        <f>VLOOKUP(Tabelle1014[[#This Row],[Rank]],Stammdaten[[Rank Verteilung Ovalität]:[Verteilung Ovalität]],2,FALSE)</f>
        <v>#N/A</v>
      </c>
    </row>
    <row r="4669" spans="5:28" x14ac:dyDescent="0.35">
      <c r="E4669">
        <v>4660</v>
      </c>
      <c r="F4669" t="e">
        <f>INDEX(Stammdaten[D Mitte mit Rinde (mm)],MATCH(Tabelle8[[#This Row],[Rank]],Stammdaten[Rank Verteilung D Mitte mit Rinde],0))</f>
        <v>#N/A</v>
      </c>
      <c r="G4669" t="e">
        <f>VLOOKUP(Tabelle8[[#This Row],[Rank]],Stammdaten[[Rank Verteilung D Mitte mit Rinde]:[Verteilung D Mitte mit Rinde]],2,FALSE)</f>
        <v>#N/A</v>
      </c>
      <c r="L4669">
        <v>4660</v>
      </c>
      <c r="M4669" t="e">
        <f>INDEX(Stammdaten[Abholzigkeit (mm/lfm)],MATCH(Tabelle9[[#This Row],[Rank]],Stammdaten[Rank Verteilung Abholzigkeit],0))</f>
        <v>#N/A</v>
      </c>
      <c r="N4669" t="e">
        <f>VLOOKUP(Tabelle9[[#This Row],[Rank]],Stammdaten[[Rank Verteilung Abholzigkeit]:[Verteilung Abholzigkeit]],2,FALSE)</f>
        <v>#N/A</v>
      </c>
      <c r="S4669">
        <v>4660</v>
      </c>
      <c r="T4669" t="e">
        <f>INDEX(Stammdaten[Krümmung (mm/lfm)],MATCH(Tabelle10[[#This Row],[Rank]],Stammdaten[Rank Verteilung Krümmung],0))</f>
        <v>#N/A</v>
      </c>
      <c r="U4669" t="e">
        <f>VLOOKUP(Tabelle10[[#This Row],[Rank]],Stammdaten[[Rank Verteilung Krümmung]:[Verteilung Krümmung]],2,FALSE)</f>
        <v>#N/A</v>
      </c>
      <c r="Z4669">
        <v>4660</v>
      </c>
      <c r="AA4669" t="e">
        <f>INDEX(Stammdaten[Ovalität (']0,1'])],MATCH(Tabelle1014[[#This Row],[Rank]],Stammdaten[Rank Verteilung Ovalität],0))</f>
        <v>#N/A</v>
      </c>
      <c r="AB4669" t="e">
        <f>VLOOKUP(Tabelle1014[[#This Row],[Rank]],Stammdaten[[Rank Verteilung Ovalität]:[Verteilung Ovalität]],2,FALSE)</f>
        <v>#N/A</v>
      </c>
    </row>
    <row r="4670" spans="5:28" x14ac:dyDescent="0.35">
      <c r="E4670">
        <v>4661</v>
      </c>
      <c r="F4670" t="e">
        <f>INDEX(Stammdaten[D Mitte mit Rinde (mm)],MATCH(Tabelle8[[#This Row],[Rank]],Stammdaten[Rank Verteilung D Mitte mit Rinde],0))</f>
        <v>#N/A</v>
      </c>
      <c r="G4670" t="e">
        <f>VLOOKUP(Tabelle8[[#This Row],[Rank]],Stammdaten[[Rank Verteilung D Mitte mit Rinde]:[Verteilung D Mitte mit Rinde]],2,FALSE)</f>
        <v>#N/A</v>
      </c>
      <c r="L4670">
        <v>4661</v>
      </c>
      <c r="M4670" t="e">
        <f>INDEX(Stammdaten[Abholzigkeit (mm/lfm)],MATCH(Tabelle9[[#This Row],[Rank]],Stammdaten[Rank Verteilung Abholzigkeit],0))</f>
        <v>#N/A</v>
      </c>
      <c r="N4670" t="e">
        <f>VLOOKUP(Tabelle9[[#This Row],[Rank]],Stammdaten[[Rank Verteilung Abholzigkeit]:[Verteilung Abholzigkeit]],2,FALSE)</f>
        <v>#N/A</v>
      </c>
      <c r="S4670">
        <v>4661</v>
      </c>
      <c r="T4670" t="e">
        <f>INDEX(Stammdaten[Krümmung (mm/lfm)],MATCH(Tabelle10[[#This Row],[Rank]],Stammdaten[Rank Verteilung Krümmung],0))</f>
        <v>#N/A</v>
      </c>
      <c r="U4670" t="e">
        <f>VLOOKUP(Tabelle10[[#This Row],[Rank]],Stammdaten[[Rank Verteilung Krümmung]:[Verteilung Krümmung]],2,FALSE)</f>
        <v>#N/A</v>
      </c>
      <c r="Z4670">
        <v>4661</v>
      </c>
      <c r="AA4670" t="e">
        <f>INDEX(Stammdaten[Ovalität (']0,1'])],MATCH(Tabelle1014[[#This Row],[Rank]],Stammdaten[Rank Verteilung Ovalität],0))</f>
        <v>#N/A</v>
      </c>
      <c r="AB4670" t="e">
        <f>VLOOKUP(Tabelle1014[[#This Row],[Rank]],Stammdaten[[Rank Verteilung Ovalität]:[Verteilung Ovalität]],2,FALSE)</f>
        <v>#N/A</v>
      </c>
    </row>
    <row r="4671" spans="5:28" x14ac:dyDescent="0.35">
      <c r="E4671">
        <v>4662</v>
      </c>
      <c r="F4671" t="e">
        <f>INDEX(Stammdaten[D Mitte mit Rinde (mm)],MATCH(Tabelle8[[#This Row],[Rank]],Stammdaten[Rank Verteilung D Mitte mit Rinde],0))</f>
        <v>#N/A</v>
      </c>
      <c r="G4671" t="e">
        <f>VLOOKUP(Tabelle8[[#This Row],[Rank]],Stammdaten[[Rank Verteilung D Mitte mit Rinde]:[Verteilung D Mitte mit Rinde]],2,FALSE)</f>
        <v>#N/A</v>
      </c>
      <c r="L4671">
        <v>4662</v>
      </c>
      <c r="M4671" t="e">
        <f>INDEX(Stammdaten[Abholzigkeit (mm/lfm)],MATCH(Tabelle9[[#This Row],[Rank]],Stammdaten[Rank Verteilung Abholzigkeit],0))</f>
        <v>#N/A</v>
      </c>
      <c r="N4671" t="e">
        <f>VLOOKUP(Tabelle9[[#This Row],[Rank]],Stammdaten[[Rank Verteilung Abholzigkeit]:[Verteilung Abholzigkeit]],2,FALSE)</f>
        <v>#N/A</v>
      </c>
      <c r="S4671">
        <v>4662</v>
      </c>
      <c r="T4671" t="e">
        <f>INDEX(Stammdaten[Krümmung (mm/lfm)],MATCH(Tabelle10[[#This Row],[Rank]],Stammdaten[Rank Verteilung Krümmung],0))</f>
        <v>#N/A</v>
      </c>
      <c r="U4671" t="e">
        <f>VLOOKUP(Tabelle10[[#This Row],[Rank]],Stammdaten[[Rank Verteilung Krümmung]:[Verteilung Krümmung]],2,FALSE)</f>
        <v>#N/A</v>
      </c>
      <c r="Z4671">
        <v>4662</v>
      </c>
      <c r="AA4671" t="e">
        <f>INDEX(Stammdaten[Ovalität (']0,1'])],MATCH(Tabelle1014[[#This Row],[Rank]],Stammdaten[Rank Verteilung Ovalität],0))</f>
        <v>#N/A</v>
      </c>
      <c r="AB4671" t="e">
        <f>VLOOKUP(Tabelle1014[[#This Row],[Rank]],Stammdaten[[Rank Verteilung Ovalität]:[Verteilung Ovalität]],2,FALSE)</f>
        <v>#N/A</v>
      </c>
    </row>
    <row r="4672" spans="5:28" x14ac:dyDescent="0.35">
      <c r="E4672">
        <v>4663</v>
      </c>
      <c r="F4672" t="e">
        <f>INDEX(Stammdaten[D Mitte mit Rinde (mm)],MATCH(Tabelle8[[#This Row],[Rank]],Stammdaten[Rank Verteilung D Mitte mit Rinde],0))</f>
        <v>#N/A</v>
      </c>
      <c r="G4672" t="e">
        <f>VLOOKUP(Tabelle8[[#This Row],[Rank]],Stammdaten[[Rank Verteilung D Mitte mit Rinde]:[Verteilung D Mitte mit Rinde]],2,FALSE)</f>
        <v>#N/A</v>
      </c>
      <c r="L4672">
        <v>4663</v>
      </c>
      <c r="M4672" t="e">
        <f>INDEX(Stammdaten[Abholzigkeit (mm/lfm)],MATCH(Tabelle9[[#This Row],[Rank]],Stammdaten[Rank Verteilung Abholzigkeit],0))</f>
        <v>#N/A</v>
      </c>
      <c r="N4672" t="e">
        <f>VLOOKUP(Tabelle9[[#This Row],[Rank]],Stammdaten[[Rank Verteilung Abholzigkeit]:[Verteilung Abholzigkeit]],2,FALSE)</f>
        <v>#N/A</v>
      </c>
      <c r="S4672">
        <v>4663</v>
      </c>
      <c r="T4672" t="e">
        <f>INDEX(Stammdaten[Krümmung (mm/lfm)],MATCH(Tabelle10[[#This Row],[Rank]],Stammdaten[Rank Verteilung Krümmung],0))</f>
        <v>#N/A</v>
      </c>
      <c r="U4672" t="e">
        <f>VLOOKUP(Tabelle10[[#This Row],[Rank]],Stammdaten[[Rank Verteilung Krümmung]:[Verteilung Krümmung]],2,FALSE)</f>
        <v>#N/A</v>
      </c>
      <c r="Z4672">
        <v>4663</v>
      </c>
      <c r="AA4672" t="e">
        <f>INDEX(Stammdaten[Ovalität (']0,1'])],MATCH(Tabelle1014[[#This Row],[Rank]],Stammdaten[Rank Verteilung Ovalität],0))</f>
        <v>#N/A</v>
      </c>
      <c r="AB4672" t="e">
        <f>VLOOKUP(Tabelle1014[[#This Row],[Rank]],Stammdaten[[Rank Verteilung Ovalität]:[Verteilung Ovalität]],2,FALSE)</f>
        <v>#N/A</v>
      </c>
    </row>
    <row r="4673" spans="5:28" x14ac:dyDescent="0.35">
      <c r="E4673">
        <v>4664</v>
      </c>
      <c r="F4673" t="e">
        <f>INDEX(Stammdaten[D Mitte mit Rinde (mm)],MATCH(Tabelle8[[#This Row],[Rank]],Stammdaten[Rank Verteilung D Mitte mit Rinde],0))</f>
        <v>#N/A</v>
      </c>
      <c r="G4673" t="e">
        <f>VLOOKUP(Tabelle8[[#This Row],[Rank]],Stammdaten[[Rank Verteilung D Mitte mit Rinde]:[Verteilung D Mitte mit Rinde]],2,FALSE)</f>
        <v>#N/A</v>
      </c>
      <c r="L4673">
        <v>4664</v>
      </c>
      <c r="M4673" t="e">
        <f>INDEX(Stammdaten[Abholzigkeit (mm/lfm)],MATCH(Tabelle9[[#This Row],[Rank]],Stammdaten[Rank Verteilung Abholzigkeit],0))</f>
        <v>#N/A</v>
      </c>
      <c r="N4673" t="e">
        <f>VLOOKUP(Tabelle9[[#This Row],[Rank]],Stammdaten[[Rank Verteilung Abholzigkeit]:[Verteilung Abholzigkeit]],2,FALSE)</f>
        <v>#N/A</v>
      </c>
      <c r="S4673">
        <v>4664</v>
      </c>
      <c r="T4673" t="e">
        <f>INDEX(Stammdaten[Krümmung (mm/lfm)],MATCH(Tabelle10[[#This Row],[Rank]],Stammdaten[Rank Verteilung Krümmung],0))</f>
        <v>#N/A</v>
      </c>
      <c r="U4673" t="e">
        <f>VLOOKUP(Tabelle10[[#This Row],[Rank]],Stammdaten[[Rank Verteilung Krümmung]:[Verteilung Krümmung]],2,FALSE)</f>
        <v>#N/A</v>
      </c>
      <c r="Z4673">
        <v>4664</v>
      </c>
      <c r="AA4673" t="e">
        <f>INDEX(Stammdaten[Ovalität (']0,1'])],MATCH(Tabelle1014[[#This Row],[Rank]],Stammdaten[Rank Verteilung Ovalität],0))</f>
        <v>#N/A</v>
      </c>
      <c r="AB4673" t="e">
        <f>VLOOKUP(Tabelle1014[[#This Row],[Rank]],Stammdaten[[Rank Verteilung Ovalität]:[Verteilung Ovalität]],2,FALSE)</f>
        <v>#N/A</v>
      </c>
    </row>
    <row r="4674" spans="5:28" x14ac:dyDescent="0.35">
      <c r="E4674">
        <v>4665</v>
      </c>
      <c r="F4674" t="e">
        <f>INDEX(Stammdaten[D Mitte mit Rinde (mm)],MATCH(Tabelle8[[#This Row],[Rank]],Stammdaten[Rank Verteilung D Mitte mit Rinde],0))</f>
        <v>#N/A</v>
      </c>
      <c r="G4674" t="e">
        <f>VLOOKUP(Tabelle8[[#This Row],[Rank]],Stammdaten[[Rank Verteilung D Mitte mit Rinde]:[Verteilung D Mitte mit Rinde]],2,FALSE)</f>
        <v>#N/A</v>
      </c>
      <c r="L4674">
        <v>4665</v>
      </c>
      <c r="M4674" t="e">
        <f>INDEX(Stammdaten[Abholzigkeit (mm/lfm)],MATCH(Tabelle9[[#This Row],[Rank]],Stammdaten[Rank Verteilung Abholzigkeit],0))</f>
        <v>#N/A</v>
      </c>
      <c r="N4674" t="e">
        <f>VLOOKUP(Tabelle9[[#This Row],[Rank]],Stammdaten[[Rank Verteilung Abholzigkeit]:[Verteilung Abholzigkeit]],2,FALSE)</f>
        <v>#N/A</v>
      </c>
      <c r="S4674">
        <v>4665</v>
      </c>
      <c r="T4674" t="e">
        <f>INDEX(Stammdaten[Krümmung (mm/lfm)],MATCH(Tabelle10[[#This Row],[Rank]],Stammdaten[Rank Verteilung Krümmung],0))</f>
        <v>#N/A</v>
      </c>
      <c r="U4674" t="e">
        <f>VLOOKUP(Tabelle10[[#This Row],[Rank]],Stammdaten[[Rank Verteilung Krümmung]:[Verteilung Krümmung]],2,FALSE)</f>
        <v>#N/A</v>
      </c>
      <c r="Z4674">
        <v>4665</v>
      </c>
      <c r="AA4674" t="e">
        <f>INDEX(Stammdaten[Ovalität (']0,1'])],MATCH(Tabelle1014[[#This Row],[Rank]],Stammdaten[Rank Verteilung Ovalität],0))</f>
        <v>#N/A</v>
      </c>
      <c r="AB4674" t="e">
        <f>VLOOKUP(Tabelle1014[[#This Row],[Rank]],Stammdaten[[Rank Verteilung Ovalität]:[Verteilung Ovalität]],2,FALSE)</f>
        <v>#N/A</v>
      </c>
    </row>
    <row r="4675" spans="5:28" x14ac:dyDescent="0.35">
      <c r="E4675">
        <v>4666</v>
      </c>
      <c r="F4675" t="e">
        <f>INDEX(Stammdaten[D Mitte mit Rinde (mm)],MATCH(Tabelle8[[#This Row],[Rank]],Stammdaten[Rank Verteilung D Mitte mit Rinde],0))</f>
        <v>#N/A</v>
      </c>
      <c r="G4675" t="e">
        <f>VLOOKUP(Tabelle8[[#This Row],[Rank]],Stammdaten[[Rank Verteilung D Mitte mit Rinde]:[Verteilung D Mitte mit Rinde]],2,FALSE)</f>
        <v>#N/A</v>
      </c>
      <c r="L4675">
        <v>4666</v>
      </c>
      <c r="M4675" t="e">
        <f>INDEX(Stammdaten[Abholzigkeit (mm/lfm)],MATCH(Tabelle9[[#This Row],[Rank]],Stammdaten[Rank Verteilung Abholzigkeit],0))</f>
        <v>#N/A</v>
      </c>
      <c r="N4675" t="e">
        <f>VLOOKUP(Tabelle9[[#This Row],[Rank]],Stammdaten[[Rank Verteilung Abholzigkeit]:[Verteilung Abholzigkeit]],2,FALSE)</f>
        <v>#N/A</v>
      </c>
      <c r="S4675">
        <v>4666</v>
      </c>
      <c r="T4675" t="e">
        <f>INDEX(Stammdaten[Krümmung (mm/lfm)],MATCH(Tabelle10[[#This Row],[Rank]],Stammdaten[Rank Verteilung Krümmung],0))</f>
        <v>#N/A</v>
      </c>
      <c r="U4675" t="e">
        <f>VLOOKUP(Tabelle10[[#This Row],[Rank]],Stammdaten[[Rank Verteilung Krümmung]:[Verteilung Krümmung]],2,FALSE)</f>
        <v>#N/A</v>
      </c>
      <c r="Z4675">
        <v>4666</v>
      </c>
      <c r="AA4675" t="e">
        <f>INDEX(Stammdaten[Ovalität (']0,1'])],MATCH(Tabelle1014[[#This Row],[Rank]],Stammdaten[Rank Verteilung Ovalität],0))</f>
        <v>#N/A</v>
      </c>
      <c r="AB4675" t="e">
        <f>VLOOKUP(Tabelle1014[[#This Row],[Rank]],Stammdaten[[Rank Verteilung Ovalität]:[Verteilung Ovalität]],2,FALSE)</f>
        <v>#N/A</v>
      </c>
    </row>
    <row r="4676" spans="5:28" x14ac:dyDescent="0.35">
      <c r="E4676">
        <v>4667</v>
      </c>
      <c r="F4676" t="e">
        <f>INDEX(Stammdaten[D Mitte mit Rinde (mm)],MATCH(Tabelle8[[#This Row],[Rank]],Stammdaten[Rank Verteilung D Mitte mit Rinde],0))</f>
        <v>#N/A</v>
      </c>
      <c r="G4676" t="e">
        <f>VLOOKUP(Tabelle8[[#This Row],[Rank]],Stammdaten[[Rank Verteilung D Mitte mit Rinde]:[Verteilung D Mitte mit Rinde]],2,FALSE)</f>
        <v>#N/A</v>
      </c>
      <c r="L4676">
        <v>4667</v>
      </c>
      <c r="M4676" t="e">
        <f>INDEX(Stammdaten[Abholzigkeit (mm/lfm)],MATCH(Tabelle9[[#This Row],[Rank]],Stammdaten[Rank Verteilung Abholzigkeit],0))</f>
        <v>#N/A</v>
      </c>
      <c r="N4676" t="e">
        <f>VLOOKUP(Tabelle9[[#This Row],[Rank]],Stammdaten[[Rank Verteilung Abholzigkeit]:[Verteilung Abholzigkeit]],2,FALSE)</f>
        <v>#N/A</v>
      </c>
      <c r="S4676">
        <v>4667</v>
      </c>
      <c r="T4676" t="e">
        <f>INDEX(Stammdaten[Krümmung (mm/lfm)],MATCH(Tabelle10[[#This Row],[Rank]],Stammdaten[Rank Verteilung Krümmung],0))</f>
        <v>#N/A</v>
      </c>
      <c r="U4676" t="e">
        <f>VLOOKUP(Tabelle10[[#This Row],[Rank]],Stammdaten[[Rank Verteilung Krümmung]:[Verteilung Krümmung]],2,FALSE)</f>
        <v>#N/A</v>
      </c>
      <c r="Z4676">
        <v>4667</v>
      </c>
      <c r="AA4676" t="e">
        <f>INDEX(Stammdaten[Ovalität (']0,1'])],MATCH(Tabelle1014[[#This Row],[Rank]],Stammdaten[Rank Verteilung Ovalität],0))</f>
        <v>#N/A</v>
      </c>
      <c r="AB4676" t="e">
        <f>VLOOKUP(Tabelle1014[[#This Row],[Rank]],Stammdaten[[Rank Verteilung Ovalität]:[Verteilung Ovalität]],2,FALSE)</f>
        <v>#N/A</v>
      </c>
    </row>
    <row r="4677" spans="5:28" x14ac:dyDescent="0.35">
      <c r="E4677">
        <v>4668</v>
      </c>
      <c r="F4677" t="e">
        <f>INDEX(Stammdaten[D Mitte mit Rinde (mm)],MATCH(Tabelle8[[#This Row],[Rank]],Stammdaten[Rank Verteilung D Mitte mit Rinde],0))</f>
        <v>#N/A</v>
      </c>
      <c r="G4677" t="e">
        <f>VLOOKUP(Tabelle8[[#This Row],[Rank]],Stammdaten[[Rank Verteilung D Mitte mit Rinde]:[Verteilung D Mitte mit Rinde]],2,FALSE)</f>
        <v>#N/A</v>
      </c>
      <c r="L4677">
        <v>4668</v>
      </c>
      <c r="M4677" t="e">
        <f>INDEX(Stammdaten[Abholzigkeit (mm/lfm)],MATCH(Tabelle9[[#This Row],[Rank]],Stammdaten[Rank Verteilung Abholzigkeit],0))</f>
        <v>#N/A</v>
      </c>
      <c r="N4677" t="e">
        <f>VLOOKUP(Tabelle9[[#This Row],[Rank]],Stammdaten[[Rank Verteilung Abholzigkeit]:[Verteilung Abholzigkeit]],2,FALSE)</f>
        <v>#N/A</v>
      </c>
      <c r="S4677">
        <v>4668</v>
      </c>
      <c r="T4677" t="e">
        <f>INDEX(Stammdaten[Krümmung (mm/lfm)],MATCH(Tabelle10[[#This Row],[Rank]],Stammdaten[Rank Verteilung Krümmung],0))</f>
        <v>#N/A</v>
      </c>
      <c r="U4677" t="e">
        <f>VLOOKUP(Tabelle10[[#This Row],[Rank]],Stammdaten[[Rank Verteilung Krümmung]:[Verteilung Krümmung]],2,FALSE)</f>
        <v>#N/A</v>
      </c>
      <c r="Z4677">
        <v>4668</v>
      </c>
      <c r="AA4677" t="e">
        <f>INDEX(Stammdaten[Ovalität (']0,1'])],MATCH(Tabelle1014[[#This Row],[Rank]],Stammdaten[Rank Verteilung Ovalität],0))</f>
        <v>#N/A</v>
      </c>
      <c r="AB4677" t="e">
        <f>VLOOKUP(Tabelle1014[[#This Row],[Rank]],Stammdaten[[Rank Verteilung Ovalität]:[Verteilung Ovalität]],2,FALSE)</f>
        <v>#N/A</v>
      </c>
    </row>
    <row r="4678" spans="5:28" x14ac:dyDescent="0.35">
      <c r="E4678">
        <v>4669</v>
      </c>
      <c r="F4678" t="e">
        <f>INDEX(Stammdaten[D Mitte mit Rinde (mm)],MATCH(Tabelle8[[#This Row],[Rank]],Stammdaten[Rank Verteilung D Mitte mit Rinde],0))</f>
        <v>#N/A</v>
      </c>
      <c r="G4678" t="e">
        <f>VLOOKUP(Tabelle8[[#This Row],[Rank]],Stammdaten[[Rank Verteilung D Mitte mit Rinde]:[Verteilung D Mitte mit Rinde]],2,FALSE)</f>
        <v>#N/A</v>
      </c>
      <c r="L4678">
        <v>4669</v>
      </c>
      <c r="M4678" t="e">
        <f>INDEX(Stammdaten[Abholzigkeit (mm/lfm)],MATCH(Tabelle9[[#This Row],[Rank]],Stammdaten[Rank Verteilung Abholzigkeit],0))</f>
        <v>#N/A</v>
      </c>
      <c r="N4678" t="e">
        <f>VLOOKUP(Tabelle9[[#This Row],[Rank]],Stammdaten[[Rank Verteilung Abholzigkeit]:[Verteilung Abholzigkeit]],2,FALSE)</f>
        <v>#N/A</v>
      </c>
      <c r="S4678">
        <v>4669</v>
      </c>
      <c r="T4678" t="e">
        <f>INDEX(Stammdaten[Krümmung (mm/lfm)],MATCH(Tabelle10[[#This Row],[Rank]],Stammdaten[Rank Verteilung Krümmung],0))</f>
        <v>#N/A</v>
      </c>
      <c r="U4678" t="e">
        <f>VLOOKUP(Tabelle10[[#This Row],[Rank]],Stammdaten[[Rank Verteilung Krümmung]:[Verteilung Krümmung]],2,FALSE)</f>
        <v>#N/A</v>
      </c>
      <c r="Z4678">
        <v>4669</v>
      </c>
      <c r="AA4678" t="e">
        <f>INDEX(Stammdaten[Ovalität (']0,1'])],MATCH(Tabelle1014[[#This Row],[Rank]],Stammdaten[Rank Verteilung Ovalität],0))</f>
        <v>#N/A</v>
      </c>
      <c r="AB4678" t="e">
        <f>VLOOKUP(Tabelle1014[[#This Row],[Rank]],Stammdaten[[Rank Verteilung Ovalität]:[Verteilung Ovalität]],2,FALSE)</f>
        <v>#N/A</v>
      </c>
    </row>
    <row r="4679" spans="5:28" x14ac:dyDescent="0.35">
      <c r="E4679">
        <v>4670</v>
      </c>
      <c r="F4679" t="e">
        <f>INDEX(Stammdaten[D Mitte mit Rinde (mm)],MATCH(Tabelle8[[#This Row],[Rank]],Stammdaten[Rank Verteilung D Mitte mit Rinde],0))</f>
        <v>#N/A</v>
      </c>
      <c r="G4679" t="e">
        <f>VLOOKUP(Tabelle8[[#This Row],[Rank]],Stammdaten[[Rank Verteilung D Mitte mit Rinde]:[Verteilung D Mitte mit Rinde]],2,FALSE)</f>
        <v>#N/A</v>
      </c>
      <c r="L4679">
        <v>4670</v>
      </c>
      <c r="M4679" t="e">
        <f>INDEX(Stammdaten[Abholzigkeit (mm/lfm)],MATCH(Tabelle9[[#This Row],[Rank]],Stammdaten[Rank Verteilung Abholzigkeit],0))</f>
        <v>#N/A</v>
      </c>
      <c r="N4679" t="e">
        <f>VLOOKUP(Tabelle9[[#This Row],[Rank]],Stammdaten[[Rank Verteilung Abholzigkeit]:[Verteilung Abholzigkeit]],2,FALSE)</f>
        <v>#N/A</v>
      </c>
      <c r="S4679">
        <v>4670</v>
      </c>
      <c r="T4679" t="e">
        <f>INDEX(Stammdaten[Krümmung (mm/lfm)],MATCH(Tabelle10[[#This Row],[Rank]],Stammdaten[Rank Verteilung Krümmung],0))</f>
        <v>#N/A</v>
      </c>
      <c r="U4679" t="e">
        <f>VLOOKUP(Tabelle10[[#This Row],[Rank]],Stammdaten[[Rank Verteilung Krümmung]:[Verteilung Krümmung]],2,FALSE)</f>
        <v>#N/A</v>
      </c>
      <c r="Z4679">
        <v>4670</v>
      </c>
      <c r="AA4679" t="e">
        <f>INDEX(Stammdaten[Ovalität (']0,1'])],MATCH(Tabelle1014[[#This Row],[Rank]],Stammdaten[Rank Verteilung Ovalität],0))</f>
        <v>#N/A</v>
      </c>
      <c r="AB4679" t="e">
        <f>VLOOKUP(Tabelle1014[[#This Row],[Rank]],Stammdaten[[Rank Verteilung Ovalität]:[Verteilung Ovalität]],2,FALSE)</f>
        <v>#N/A</v>
      </c>
    </row>
    <row r="4680" spans="5:28" x14ac:dyDescent="0.35">
      <c r="E4680">
        <v>4671</v>
      </c>
      <c r="F4680" t="e">
        <f>INDEX(Stammdaten[D Mitte mit Rinde (mm)],MATCH(Tabelle8[[#This Row],[Rank]],Stammdaten[Rank Verteilung D Mitte mit Rinde],0))</f>
        <v>#N/A</v>
      </c>
      <c r="G4680" t="e">
        <f>VLOOKUP(Tabelle8[[#This Row],[Rank]],Stammdaten[[Rank Verteilung D Mitte mit Rinde]:[Verteilung D Mitte mit Rinde]],2,FALSE)</f>
        <v>#N/A</v>
      </c>
      <c r="L4680">
        <v>4671</v>
      </c>
      <c r="M4680" t="e">
        <f>INDEX(Stammdaten[Abholzigkeit (mm/lfm)],MATCH(Tabelle9[[#This Row],[Rank]],Stammdaten[Rank Verteilung Abholzigkeit],0))</f>
        <v>#N/A</v>
      </c>
      <c r="N4680" t="e">
        <f>VLOOKUP(Tabelle9[[#This Row],[Rank]],Stammdaten[[Rank Verteilung Abholzigkeit]:[Verteilung Abholzigkeit]],2,FALSE)</f>
        <v>#N/A</v>
      </c>
      <c r="S4680">
        <v>4671</v>
      </c>
      <c r="T4680" t="e">
        <f>INDEX(Stammdaten[Krümmung (mm/lfm)],MATCH(Tabelle10[[#This Row],[Rank]],Stammdaten[Rank Verteilung Krümmung],0))</f>
        <v>#N/A</v>
      </c>
      <c r="U4680" t="e">
        <f>VLOOKUP(Tabelle10[[#This Row],[Rank]],Stammdaten[[Rank Verteilung Krümmung]:[Verteilung Krümmung]],2,FALSE)</f>
        <v>#N/A</v>
      </c>
      <c r="Z4680">
        <v>4671</v>
      </c>
      <c r="AA4680" t="e">
        <f>INDEX(Stammdaten[Ovalität (']0,1'])],MATCH(Tabelle1014[[#This Row],[Rank]],Stammdaten[Rank Verteilung Ovalität],0))</f>
        <v>#N/A</v>
      </c>
      <c r="AB4680" t="e">
        <f>VLOOKUP(Tabelle1014[[#This Row],[Rank]],Stammdaten[[Rank Verteilung Ovalität]:[Verteilung Ovalität]],2,FALSE)</f>
        <v>#N/A</v>
      </c>
    </row>
    <row r="4681" spans="5:28" x14ac:dyDescent="0.35">
      <c r="E4681">
        <v>4672</v>
      </c>
      <c r="F4681" t="e">
        <f>INDEX(Stammdaten[D Mitte mit Rinde (mm)],MATCH(Tabelle8[[#This Row],[Rank]],Stammdaten[Rank Verteilung D Mitte mit Rinde],0))</f>
        <v>#N/A</v>
      </c>
      <c r="G4681" t="e">
        <f>VLOOKUP(Tabelle8[[#This Row],[Rank]],Stammdaten[[Rank Verteilung D Mitte mit Rinde]:[Verteilung D Mitte mit Rinde]],2,FALSE)</f>
        <v>#N/A</v>
      </c>
      <c r="L4681">
        <v>4672</v>
      </c>
      <c r="M4681" t="e">
        <f>INDEX(Stammdaten[Abholzigkeit (mm/lfm)],MATCH(Tabelle9[[#This Row],[Rank]],Stammdaten[Rank Verteilung Abholzigkeit],0))</f>
        <v>#N/A</v>
      </c>
      <c r="N4681" t="e">
        <f>VLOOKUP(Tabelle9[[#This Row],[Rank]],Stammdaten[[Rank Verteilung Abholzigkeit]:[Verteilung Abholzigkeit]],2,FALSE)</f>
        <v>#N/A</v>
      </c>
      <c r="S4681">
        <v>4672</v>
      </c>
      <c r="T4681" t="e">
        <f>INDEX(Stammdaten[Krümmung (mm/lfm)],MATCH(Tabelle10[[#This Row],[Rank]],Stammdaten[Rank Verteilung Krümmung],0))</f>
        <v>#N/A</v>
      </c>
      <c r="U4681" t="e">
        <f>VLOOKUP(Tabelle10[[#This Row],[Rank]],Stammdaten[[Rank Verteilung Krümmung]:[Verteilung Krümmung]],2,FALSE)</f>
        <v>#N/A</v>
      </c>
      <c r="Z4681">
        <v>4672</v>
      </c>
      <c r="AA4681" t="e">
        <f>INDEX(Stammdaten[Ovalität (']0,1'])],MATCH(Tabelle1014[[#This Row],[Rank]],Stammdaten[Rank Verteilung Ovalität],0))</f>
        <v>#N/A</v>
      </c>
      <c r="AB4681" t="e">
        <f>VLOOKUP(Tabelle1014[[#This Row],[Rank]],Stammdaten[[Rank Verteilung Ovalität]:[Verteilung Ovalität]],2,FALSE)</f>
        <v>#N/A</v>
      </c>
    </row>
    <row r="4682" spans="5:28" x14ac:dyDescent="0.35">
      <c r="E4682">
        <v>4673</v>
      </c>
      <c r="F4682" t="e">
        <f>INDEX(Stammdaten[D Mitte mit Rinde (mm)],MATCH(Tabelle8[[#This Row],[Rank]],Stammdaten[Rank Verteilung D Mitte mit Rinde],0))</f>
        <v>#N/A</v>
      </c>
      <c r="G4682" t="e">
        <f>VLOOKUP(Tabelle8[[#This Row],[Rank]],Stammdaten[[Rank Verteilung D Mitte mit Rinde]:[Verteilung D Mitte mit Rinde]],2,FALSE)</f>
        <v>#N/A</v>
      </c>
      <c r="L4682">
        <v>4673</v>
      </c>
      <c r="M4682" t="e">
        <f>INDEX(Stammdaten[Abholzigkeit (mm/lfm)],MATCH(Tabelle9[[#This Row],[Rank]],Stammdaten[Rank Verteilung Abholzigkeit],0))</f>
        <v>#N/A</v>
      </c>
      <c r="N4682" t="e">
        <f>VLOOKUP(Tabelle9[[#This Row],[Rank]],Stammdaten[[Rank Verteilung Abholzigkeit]:[Verteilung Abholzigkeit]],2,FALSE)</f>
        <v>#N/A</v>
      </c>
      <c r="S4682">
        <v>4673</v>
      </c>
      <c r="T4682" t="e">
        <f>INDEX(Stammdaten[Krümmung (mm/lfm)],MATCH(Tabelle10[[#This Row],[Rank]],Stammdaten[Rank Verteilung Krümmung],0))</f>
        <v>#N/A</v>
      </c>
      <c r="U4682" t="e">
        <f>VLOOKUP(Tabelle10[[#This Row],[Rank]],Stammdaten[[Rank Verteilung Krümmung]:[Verteilung Krümmung]],2,FALSE)</f>
        <v>#N/A</v>
      </c>
      <c r="Z4682">
        <v>4673</v>
      </c>
      <c r="AA4682" t="e">
        <f>INDEX(Stammdaten[Ovalität (']0,1'])],MATCH(Tabelle1014[[#This Row],[Rank]],Stammdaten[Rank Verteilung Ovalität],0))</f>
        <v>#N/A</v>
      </c>
      <c r="AB4682" t="e">
        <f>VLOOKUP(Tabelle1014[[#This Row],[Rank]],Stammdaten[[Rank Verteilung Ovalität]:[Verteilung Ovalität]],2,FALSE)</f>
        <v>#N/A</v>
      </c>
    </row>
    <row r="4683" spans="5:28" x14ac:dyDescent="0.35">
      <c r="E4683">
        <v>4674</v>
      </c>
      <c r="F4683" t="e">
        <f>INDEX(Stammdaten[D Mitte mit Rinde (mm)],MATCH(Tabelle8[[#This Row],[Rank]],Stammdaten[Rank Verteilung D Mitte mit Rinde],0))</f>
        <v>#N/A</v>
      </c>
      <c r="G4683" t="e">
        <f>VLOOKUP(Tabelle8[[#This Row],[Rank]],Stammdaten[[Rank Verteilung D Mitte mit Rinde]:[Verteilung D Mitte mit Rinde]],2,FALSE)</f>
        <v>#N/A</v>
      </c>
      <c r="L4683">
        <v>4674</v>
      </c>
      <c r="M4683" t="e">
        <f>INDEX(Stammdaten[Abholzigkeit (mm/lfm)],MATCH(Tabelle9[[#This Row],[Rank]],Stammdaten[Rank Verteilung Abholzigkeit],0))</f>
        <v>#N/A</v>
      </c>
      <c r="N4683" t="e">
        <f>VLOOKUP(Tabelle9[[#This Row],[Rank]],Stammdaten[[Rank Verteilung Abholzigkeit]:[Verteilung Abholzigkeit]],2,FALSE)</f>
        <v>#N/A</v>
      </c>
      <c r="S4683">
        <v>4674</v>
      </c>
      <c r="T4683" t="e">
        <f>INDEX(Stammdaten[Krümmung (mm/lfm)],MATCH(Tabelle10[[#This Row],[Rank]],Stammdaten[Rank Verteilung Krümmung],0))</f>
        <v>#N/A</v>
      </c>
      <c r="U4683" t="e">
        <f>VLOOKUP(Tabelle10[[#This Row],[Rank]],Stammdaten[[Rank Verteilung Krümmung]:[Verteilung Krümmung]],2,FALSE)</f>
        <v>#N/A</v>
      </c>
      <c r="Z4683">
        <v>4674</v>
      </c>
      <c r="AA4683" t="e">
        <f>INDEX(Stammdaten[Ovalität (']0,1'])],MATCH(Tabelle1014[[#This Row],[Rank]],Stammdaten[Rank Verteilung Ovalität],0))</f>
        <v>#N/A</v>
      </c>
      <c r="AB4683" t="e">
        <f>VLOOKUP(Tabelle1014[[#This Row],[Rank]],Stammdaten[[Rank Verteilung Ovalität]:[Verteilung Ovalität]],2,FALSE)</f>
        <v>#N/A</v>
      </c>
    </row>
    <row r="4684" spans="5:28" x14ac:dyDescent="0.35">
      <c r="E4684">
        <v>4675</v>
      </c>
      <c r="F4684" t="e">
        <f>INDEX(Stammdaten[D Mitte mit Rinde (mm)],MATCH(Tabelle8[[#This Row],[Rank]],Stammdaten[Rank Verteilung D Mitte mit Rinde],0))</f>
        <v>#N/A</v>
      </c>
      <c r="G4684" t="e">
        <f>VLOOKUP(Tabelle8[[#This Row],[Rank]],Stammdaten[[Rank Verteilung D Mitte mit Rinde]:[Verteilung D Mitte mit Rinde]],2,FALSE)</f>
        <v>#N/A</v>
      </c>
      <c r="L4684">
        <v>4675</v>
      </c>
      <c r="M4684" t="e">
        <f>INDEX(Stammdaten[Abholzigkeit (mm/lfm)],MATCH(Tabelle9[[#This Row],[Rank]],Stammdaten[Rank Verteilung Abholzigkeit],0))</f>
        <v>#N/A</v>
      </c>
      <c r="N4684" t="e">
        <f>VLOOKUP(Tabelle9[[#This Row],[Rank]],Stammdaten[[Rank Verteilung Abholzigkeit]:[Verteilung Abholzigkeit]],2,FALSE)</f>
        <v>#N/A</v>
      </c>
      <c r="S4684">
        <v>4675</v>
      </c>
      <c r="T4684" t="e">
        <f>INDEX(Stammdaten[Krümmung (mm/lfm)],MATCH(Tabelle10[[#This Row],[Rank]],Stammdaten[Rank Verteilung Krümmung],0))</f>
        <v>#N/A</v>
      </c>
      <c r="U4684" t="e">
        <f>VLOOKUP(Tabelle10[[#This Row],[Rank]],Stammdaten[[Rank Verteilung Krümmung]:[Verteilung Krümmung]],2,FALSE)</f>
        <v>#N/A</v>
      </c>
      <c r="Z4684">
        <v>4675</v>
      </c>
      <c r="AA4684" t="e">
        <f>INDEX(Stammdaten[Ovalität (']0,1'])],MATCH(Tabelle1014[[#This Row],[Rank]],Stammdaten[Rank Verteilung Ovalität],0))</f>
        <v>#N/A</v>
      </c>
      <c r="AB4684" t="e">
        <f>VLOOKUP(Tabelle1014[[#This Row],[Rank]],Stammdaten[[Rank Verteilung Ovalität]:[Verteilung Ovalität]],2,FALSE)</f>
        <v>#N/A</v>
      </c>
    </row>
    <row r="4685" spans="5:28" x14ac:dyDescent="0.35">
      <c r="E4685">
        <v>4676</v>
      </c>
      <c r="F4685" t="e">
        <f>INDEX(Stammdaten[D Mitte mit Rinde (mm)],MATCH(Tabelle8[[#This Row],[Rank]],Stammdaten[Rank Verteilung D Mitte mit Rinde],0))</f>
        <v>#N/A</v>
      </c>
      <c r="G4685" t="e">
        <f>VLOOKUP(Tabelle8[[#This Row],[Rank]],Stammdaten[[Rank Verteilung D Mitte mit Rinde]:[Verteilung D Mitte mit Rinde]],2,FALSE)</f>
        <v>#N/A</v>
      </c>
      <c r="L4685">
        <v>4676</v>
      </c>
      <c r="M4685" t="e">
        <f>INDEX(Stammdaten[Abholzigkeit (mm/lfm)],MATCH(Tabelle9[[#This Row],[Rank]],Stammdaten[Rank Verteilung Abholzigkeit],0))</f>
        <v>#N/A</v>
      </c>
      <c r="N4685" t="e">
        <f>VLOOKUP(Tabelle9[[#This Row],[Rank]],Stammdaten[[Rank Verteilung Abholzigkeit]:[Verteilung Abholzigkeit]],2,FALSE)</f>
        <v>#N/A</v>
      </c>
      <c r="S4685">
        <v>4676</v>
      </c>
      <c r="T4685" t="e">
        <f>INDEX(Stammdaten[Krümmung (mm/lfm)],MATCH(Tabelle10[[#This Row],[Rank]],Stammdaten[Rank Verteilung Krümmung],0))</f>
        <v>#N/A</v>
      </c>
      <c r="U4685" t="e">
        <f>VLOOKUP(Tabelle10[[#This Row],[Rank]],Stammdaten[[Rank Verteilung Krümmung]:[Verteilung Krümmung]],2,FALSE)</f>
        <v>#N/A</v>
      </c>
      <c r="Z4685">
        <v>4676</v>
      </c>
      <c r="AA4685" t="e">
        <f>INDEX(Stammdaten[Ovalität (']0,1'])],MATCH(Tabelle1014[[#This Row],[Rank]],Stammdaten[Rank Verteilung Ovalität],0))</f>
        <v>#N/A</v>
      </c>
      <c r="AB4685" t="e">
        <f>VLOOKUP(Tabelle1014[[#This Row],[Rank]],Stammdaten[[Rank Verteilung Ovalität]:[Verteilung Ovalität]],2,FALSE)</f>
        <v>#N/A</v>
      </c>
    </row>
    <row r="4686" spans="5:28" x14ac:dyDescent="0.35">
      <c r="E4686">
        <v>4677</v>
      </c>
      <c r="F4686" t="e">
        <f>INDEX(Stammdaten[D Mitte mit Rinde (mm)],MATCH(Tabelle8[[#This Row],[Rank]],Stammdaten[Rank Verteilung D Mitte mit Rinde],0))</f>
        <v>#N/A</v>
      </c>
      <c r="G4686" t="e">
        <f>VLOOKUP(Tabelle8[[#This Row],[Rank]],Stammdaten[[Rank Verteilung D Mitte mit Rinde]:[Verteilung D Mitte mit Rinde]],2,FALSE)</f>
        <v>#N/A</v>
      </c>
      <c r="L4686">
        <v>4677</v>
      </c>
      <c r="M4686" t="e">
        <f>INDEX(Stammdaten[Abholzigkeit (mm/lfm)],MATCH(Tabelle9[[#This Row],[Rank]],Stammdaten[Rank Verteilung Abholzigkeit],0))</f>
        <v>#N/A</v>
      </c>
      <c r="N4686" t="e">
        <f>VLOOKUP(Tabelle9[[#This Row],[Rank]],Stammdaten[[Rank Verteilung Abholzigkeit]:[Verteilung Abholzigkeit]],2,FALSE)</f>
        <v>#N/A</v>
      </c>
      <c r="S4686">
        <v>4677</v>
      </c>
      <c r="T4686" t="e">
        <f>INDEX(Stammdaten[Krümmung (mm/lfm)],MATCH(Tabelle10[[#This Row],[Rank]],Stammdaten[Rank Verteilung Krümmung],0))</f>
        <v>#N/A</v>
      </c>
      <c r="U4686" t="e">
        <f>VLOOKUP(Tabelle10[[#This Row],[Rank]],Stammdaten[[Rank Verteilung Krümmung]:[Verteilung Krümmung]],2,FALSE)</f>
        <v>#N/A</v>
      </c>
      <c r="Z4686">
        <v>4677</v>
      </c>
      <c r="AA4686" t="e">
        <f>INDEX(Stammdaten[Ovalität (']0,1'])],MATCH(Tabelle1014[[#This Row],[Rank]],Stammdaten[Rank Verteilung Ovalität],0))</f>
        <v>#N/A</v>
      </c>
      <c r="AB4686" t="e">
        <f>VLOOKUP(Tabelle1014[[#This Row],[Rank]],Stammdaten[[Rank Verteilung Ovalität]:[Verteilung Ovalität]],2,FALSE)</f>
        <v>#N/A</v>
      </c>
    </row>
    <row r="4687" spans="5:28" x14ac:dyDescent="0.35">
      <c r="E4687">
        <v>4678</v>
      </c>
      <c r="F4687" t="e">
        <f>INDEX(Stammdaten[D Mitte mit Rinde (mm)],MATCH(Tabelle8[[#This Row],[Rank]],Stammdaten[Rank Verteilung D Mitte mit Rinde],0))</f>
        <v>#N/A</v>
      </c>
      <c r="G4687" t="e">
        <f>VLOOKUP(Tabelle8[[#This Row],[Rank]],Stammdaten[[Rank Verteilung D Mitte mit Rinde]:[Verteilung D Mitte mit Rinde]],2,FALSE)</f>
        <v>#N/A</v>
      </c>
      <c r="L4687">
        <v>4678</v>
      </c>
      <c r="M4687" t="e">
        <f>INDEX(Stammdaten[Abholzigkeit (mm/lfm)],MATCH(Tabelle9[[#This Row],[Rank]],Stammdaten[Rank Verteilung Abholzigkeit],0))</f>
        <v>#N/A</v>
      </c>
      <c r="N4687" t="e">
        <f>VLOOKUP(Tabelle9[[#This Row],[Rank]],Stammdaten[[Rank Verteilung Abholzigkeit]:[Verteilung Abholzigkeit]],2,FALSE)</f>
        <v>#N/A</v>
      </c>
      <c r="S4687">
        <v>4678</v>
      </c>
      <c r="T4687" t="e">
        <f>INDEX(Stammdaten[Krümmung (mm/lfm)],MATCH(Tabelle10[[#This Row],[Rank]],Stammdaten[Rank Verteilung Krümmung],0))</f>
        <v>#N/A</v>
      </c>
      <c r="U4687" t="e">
        <f>VLOOKUP(Tabelle10[[#This Row],[Rank]],Stammdaten[[Rank Verteilung Krümmung]:[Verteilung Krümmung]],2,FALSE)</f>
        <v>#N/A</v>
      </c>
      <c r="Z4687">
        <v>4678</v>
      </c>
      <c r="AA4687" t="e">
        <f>INDEX(Stammdaten[Ovalität (']0,1'])],MATCH(Tabelle1014[[#This Row],[Rank]],Stammdaten[Rank Verteilung Ovalität],0))</f>
        <v>#N/A</v>
      </c>
      <c r="AB4687" t="e">
        <f>VLOOKUP(Tabelle1014[[#This Row],[Rank]],Stammdaten[[Rank Verteilung Ovalität]:[Verteilung Ovalität]],2,FALSE)</f>
        <v>#N/A</v>
      </c>
    </row>
    <row r="4688" spans="5:28" x14ac:dyDescent="0.35">
      <c r="E4688">
        <v>4679</v>
      </c>
      <c r="F4688" t="e">
        <f>INDEX(Stammdaten[D Mitte mit Rinde (mm)],MATCH(Tabelle8[[#This Row],[Rank]],Stammdaten[Rank Verteilung D Mitte mit Rinde],0))</f>
        <v>#N/A</v>
      </c>
      <c r="G4688" t="e">
        <f>VLOOKUP(Tabelle8[[#This Row],[Rank]],Stammdaten[[Rank Verteilung D Mitte mit Rinde]:[Verteilung D Mitte mit Rinde]],2,FALSE)</f>
        <v>#N/A</v>
      </c>
      <c r="L4688">
        <v>4679</v>
      </c>
      <c r="M4688" t="e">
        <f>INDEX(Stammdaten[Abholzigkeit (mm/lfm)],MATCH(Tabelle9[[#This Row],[Rank]],Stammdaten[Rank Verteilung Abholzigkeit],0))</f>
        <v>#N/A</v>
      </c>
      <c r="N4688" t="e">
        <f>VLOOKUP(Tabelle9[[#This Row],[Rank]],Stammdaten[[Rank Verteilung Abholzigkeit]:[Verteilung Abholzigkeit]],2,FALSE)</f>
        <v>#N/A</v>
      </c>
      <c r="S4688">
        <v>4679</v>
      </c>
      <c r="T4688" t="e">
        <f>INDEX(Stammdaten[Krümmung (mm/lfm)],MATCH(Tabelle10[[#This Row],[Rank]],Stammdaten[Rank Verteilung Krümmung],0))</f>
        <v>#N/A</v>
      </c>
      <c r="U4688" t="e">
        <f>VLOOKUP(Tabelle10[[#This Row],[Rank]],Stammdaten[[Rank Verteilung Krümmung]:[Verteilung Krümmung]],2,FALSE)</f>
        <v>#N/A</v>
      </c>
      <c r="Z4688">
        <v>4679</v>
      </c>
      <c r="AA4688" t="e">
        <f>INDEX(Stammdaten[Ovalität (']0,1'])],MATCH(Tabelle1014[[#This Row],[Rank]],Stammdaten[Rank Verteilung Ovalität],0))</f>
        <v>#N/A</v>
      </c>
      <c r="AB4688" t="e">
        <f>VLOOKUP(Tabelle1014[[#This Row],[Rank]],Stammdaten[[Rank Verteilung Ovalität]:[Verteilung Ovalität]],2,FALSE)</f>
        <v>#N/A</v>
      </c>
    </row>
    <row r="4689" spans="5:28" x14ac:dyDescent="0.35">
      <c r="E4689">
        <v>4680</v>
      </c>
      <c r="F4689" t="e">
        <f>INDEX(Stammdaten[D Mitte mit Rinde (mm)],MATCH(Tabelle8[[#This Row],[Rank]],Stammdaten[Rank Verteilung D Mitte mit Rinde],0))</f>
        <v>#N/A</v>
      </c>
      <c r="G4689" t="e">
        <f>VLOOKUP(Tabelle8[[#This Row],[Rank]],Stammdaten[[Rank Verteilung D Mitte mit Rinde]:[Verteilung D Mitte mit Rinde]],2,FALSE)</f>
        <v>#N/A</v>
      </c>
      <c r="L4689">
        <v>4680</v>
      </c>
      <c r="M4689" t="e">
        <f>INDEX(Stammdaten[Abholzigkeit (mm/lfm)],MATCH(Tabelle9[[#This Row],[Rank]],Stammdaten[Rank Verteilung Abholzigkeit],0))</f>
        <v>#N/A</v>
      </c>
      <c r="N4689" t="e">
        <f>VLOOKUP(Tabelle9[[#This Row],[Rank]],Stammdaten[[Rank Verteilung Abholzigkeit]:[Verteilung Abholzigkeit]],2,FALSE)</f>
        <v>#N/A</v>
      </c>
      <c r="S4689">
        <v>4680</v>
      </c>
      <c r="T4689" t="e">
        <f>INDEX(Stammdaten[Krümmung (mm/lfm)],MATCH(Tabelle10[[#This Row],[Rank]],Stammdaten[Rank Verteilung Krümmung],0))</f>
        <v>#N/A</v>
      </c>
      <c r="U4689" t="e">
        <f>VLOOKUP(Tabelle10[[#This Row],[Rank]],Stammdaten[[Rank Verteilung Krümmung]:[Verteilung Krümmung]],2,FALSE)</f>
        <v>#N/A</v>
      </c>
      <c r="Z4689">
        <v>4680</v>
      </c>
      <c r="AA4689" t="e">
        <f>INDEX(Stammdaten[Ovalität (']0,1'])],MATCH(Tabelle1014[[#This Row],[Rank]],Stammdaten[Rank Verteilung Ovalität],0))</f>
        <v>#N/A</v>
      </c>
      <c r="AB4689" t="e">
        <f>VLOOKUP(Tabelle1014[[#This Row],[Rank]],Stammdaten[[Rank Verteilung Ovalität]:[Verteilung Ovalität]],2,FALSE)</f>
        <v>#N/A</v>
      </c>
    </row>
    <row r="4690" spans="5:28" x14ac:dyDescent="0.35">
      <c r="E4690">
        <v>4681</v>
      </c>
      <c r="F4690" t="e">
        <f>INDEX(Stammdaten[D Mitte mit Rinde (mm)],MATCH(Tabelle8[[#This Row],[Rank]],Stammdaten[Rank Verteilung D Mitte mit Rinde],0))</f>
        <v>#N/A</v>
      </c>
      <c r="G4690" t="e">
        <f>VLOOKUP(Tabelle8[[#This Row],[Rank]],Stammdaten[[Rank Verteilung D Mitte mit Rinde]:[Verteilung D Mitte mit Rinde]],2,FALSE)</f>
        <v>#N/A</v>
      </c>
      <c r="L4690">
        <v>4681</v>
      </c>
      <c r="M4690" t="e">
        <f>INDEX(Stammdaten[Abholzigkeit (mm/lfm)],MATCH(Tabelle9[[#This Row],[Rank]],Stammdaten[Rank Verteilung Abholzigkeit],0))</f>
        <v>#N/A</v>
      </c>
      <c r="N4690" t="e">
        <f>VLOOKUP(Tabelle9[[#This Row],[Rank]],Stammdaten[[Rank Verteilung Abholzigkeit]:[Verteilung Abholzigkeit]],2,FALSE)</f>
        <v>#N/A</v>
      </c>
      <c r="S4690">
        <v>4681</v>
      </c>
      <c r="T4690" t="e">
        <f>INDEX(Stammdaten[Krümmung (mm/lfm)],MATCH(Tabelle10[[#This Row],[Rank]],Stammdaten[Rank Verteilung Krümmung],0))</f>
        <v>#N/A</v>
      </c>
      <c r="U4690" t="e">
        <f>VLOOKUP(Tabelle10[[#This Row],[Rank]],Stammdaten[[Rank Verteilung Krümmung]:[Verteilung Krümmung]],2,FALSE)</f>
        <v>#N/A</v>
      </c>
      <c r="Z4690">
        <v>4681</v>
      </c>
      <c r="AA4690" t="e">
        <f>INDEX(Stammdaten[Ovalität (']0,1'])],MATCH(Tabelle1014[[#This Row],[Rank]],Stammdaten[Rank Verteilung Ovalität],0))</f>
        <v>#N/A</v>
      </c>
      <c r="AB4690" t="e">
        <f>VLOOKUP(Tabelle1014[[#This Row],[Rank]],Stammdaten[[Rank Verteilung Ovalität]:[Verteilung Ovalität]],2,FALSE)</f>
        <v>#N/A</v>
      </c>
    </row>
    <row r="4691" spans="5:28" x14ac:dyDescent="0.35">
      <c r="E4691">
        <v>4682</v>
      </c>
      <c r="F4691" t="e">
        <f>INDEX(Stammdaten[D Mitte mit Rinde (mm)],MATCH(Tabelle8[[#This Row],[Rank]],Stammdaten[Rank Verteilung D Mitte mit Rinde],0))</f>
        <v>#N/A</v>
      </c>
      <c r="G4691" t="e">
        <f>VLOOKUP(Tabelle8[[#This Row],[Rank]],Stammdaten[[Rank Verteilung D Mitte mit Rinde]:[Verteilung D Mitte mit Rinde]],2,FALSE)</f>
        <v>#N/A</v>
      </c>
      <c r="L4691">
        <v>4682</v>
      </c>
      <c r="M4691" t="e">
        <f>INDEX(Stammdaten[Abholzigkeit (mm/lfm)],MATCH(Tabelle9[[#This Row],[Rank]],Stammdaten[Rank Verteilung Abholzigkeit],0))</f>
        <v>#N/A</v>
      </c>
      <c r="N4691" t="e">
        <f>VLOOKUP(Tabelle9[[#This Row],[Rank]],Stammdaten[[Rank Verteilung Abholzigkeit]:[Verteilung Abholzigkeit]],2,FALSE)</f>
        <v>#N/A</v>
      </c>
      <c r="S4691">
        <v>4682</v>
      </c>
      <c r="T4691" t="e">
        <f>INDEX(Stammdaten[Krümmung (mm/lfm)],MATCH(Tabelle10[[#This Row],[Rank]],Stammdaten[Rank Verteilung Krümmung],0))</f>
        <v>#N/A</v>
      </c>
      <c r="U4691" t="e">
        <f>VLOOKUP(Tabelle10[[#This Row],[Rank]],Stammdaten[[Rank Verteilung Krümmung]:[Verteilung Krümmung]],2,FALSE)</f>
        <v>#N/A</v>
      </c>
      <c r="Z4691">
        <v>4682</v>
      </c>
      <c r="AA4691" t="e">
        <f>INDEX(Stammdaten[Ovalität (']0,1'])],MATCH(Tabelle1014[[#This Row],[Rank]],Stammdaten[Rank Verteilung Ovalität],0))</f>
        <v>#N/A</v>
      </c>
      <c r="AB4691" t="e">
        <f>VLOOKUP(Tabelle1014[[#This Row],[Rank]],Stammdaten[[Rank Verteilung Ovalität]:[Verteilung Ovalität]],2,FALSE)</f>
        <v>#N/A</v>
      </c>
    </row>
    <row r="4692" spans="5:28" x14ac:dyDescent="0.35">
      <c r="E4692">
        <v>4683</v>
      </c>
      <c r="F4692" t="e">
        <f>INDEX(Stammdaten[D Mitte mit Rinde (mm)],MATCH(Tabelle8[[#This Row],[Rank]],Stammdaten[Rank Verteilung D Mitte mit Rinde],0))</f>
        <v>#N/A</v>
      </c>
      <c r="G4692" t="e">
        <f>VLOOKUP(Tabelle8[[#This Row],[Rank]],Stammdaten[[Rank Verteilung D Mitte mit Rinde]:[Verteilung D Mitte mit Rinde]],2,FALSE)</f>
        <v>#N/A</v>
      </c>
      <c r="L4692">
        <v>4683</v>
      </c>
      <c r="M4692" t="e">
        <f>INDEX(Stammdaten[Abholzigkeit (mm/lfm)],MATCH(Tabelle9[[#This Row],[Rank]],Stammdaten[Rank Verteilung Abholzigkeit],0))</f>
        <v>#N/A</v>
      </c>
      <c r="N4692" t="e">
        <f>VLOOKUP(Tabelle9[[#This Row],[Rank]],Stammdaten[[Rank Verteilung Abholzigkeit]:[Verteilung Abholzigkeit]],2,FALSE)</f>
        <v>#N/A</v>
      </c>
      <c r="S4692">
        <v>4683</v>
      </c>
      <c r="T4692" t="e">
        <f>INDEX(Stammdaten[Krümmung (mm/lfm)],MATCH(Tabelle10[[#This Row],[Rank]],Stammdaten[Rank Verteilung Krümmung],0))</f>
        <v>#N/A</v>
      </c>
      <c r="U4692" t="e">
        <f>VLOOKUP(Tabelle10[[#This Row],[Rank]],Stammdaten[[Rank Verteilung Krümmung]:[Verteilung Krümmung]],2,FALSE)</f>
        <v>#N/A</v>
      </c>
      <c r="Z4692">
        <v>4683</v>
      </c>
      <c r="AA4692" t="e">
        <f>INDEX(Stammdaten[Ovalität (']0,1'])],MATCH(Tabelle1014[[#This Row],[Rank]],Stammdaten[Rank Verteilung Ovalität],0))</f>
        <v>#N/A</v>
      </c>
      <c r="AB4692" t="e">
        <f>VLOOKUP(Tabelle1014[[#This Row],[Rank]],Stammdaten[[Rank Verteilung Ovalität]:[Verteilung Ovalität]],2,FALSE)</f>
        <v>#N/A</v>
      </c>
    </row>
    <row r="4693" spans="5:28" x14ac:dyDescent="0.35">
      <c r="E4693">
        <v>4684</v>
      </c>
      <c r="F4693" t="e">
        <f>INDEX(Stammdaten[D Mitte mit Rinde (mm)],MATCH(Tabelle8[[#This Row],[Rank]],Stammdaten[Rank Verteilung D Mitte mit Rinde],0))</f>
        <v>#N/A</v>
      </c>
      <c r="G4693" t="e">
        <f>VLOOKUP(Tabelle8[[#This Row],[Rank]],Stammdaten[[Rank Verteilung D Mitte mit Rinde]:[Verteilung D Mitte mit Rinde]],2,FALSE)</f>
        <v>#N/A</v>
      </c>
      <c r="L4693">
        <v>4684</v>
      </c>
      <c r="M4693" t="e">
        <f>INDEX(Stammdaten[Abholzigkeit (mm/lfm)],MATCH(Tabelle9[[#This Row],[Rank]],Stammdaten[Rank Verteilung Abholzigkeit],0))</f>
        <v>#N/A</v>
      </c>
      <c r="N4693" t="e">
        <f>VLOOKUP(Tabelle9[[#This Row],[Rank]],Stammdaten[[Rank Verteilung Abholzigkeit]:[Verteilung Abholzigkeit]],2,FALSE)</f>
        <v>#N/A</v>
      </c>
      <c r="S4693">
        <v>4684</v>
      </c>
      <c r="T4693" t="e">
        <f>INDEX(Stammdaten[Krümmung (mm/lfm)],MATCH(Tabelle10[[#This Row],[Rank]],Stammdaten[Rank Verteilung Krümmung],0))</f>
        <v>#N/A</v>
      </c>
      <c r="U4693" t="e">
        <f>VLOOKUP(Tabelle10[[#This Row],[Rank]],Stammdaten[[Rank Verteilung Krümmung]:[Verteilung Krümmung]],2,FALSE)</f>
        <v>#N/A</v>
      </c>
      <c r="Z4693">
        <v>4684</v>
      </c>
      <c r="AA4693" t="e">
        <f>INDEX(Stammdaten[Ovalität (']0,1'])],MATCH(Tabelle1014[[#This Row],[Rank]],Stammdaten[Rank Verteilung Ovalität],0))</f>
        <v>#N/A</v>
      </c>
      <c r="AB4693" t="e">
        <f>VLOOKUP(Tabelle1014[[#This Row],[Rank]],Stammdaten[[Rank Verteilung Ovalität]:[Verteilung Ovalität]],2,FALSE)</f>
        <v>#N/A</v>
      </c>
    </row>
    <row r="4694" spans="5:28" x14ac:dyDescent="0.35">
      <c r="E4694">
        <v>4685</v>
      </c>
      <c r="F4694" t="e">
        <f>INDEX(Stammdaten[D Mitte mit Rinde (mm)],MATCH(Tabelle8[[#This Row],[Rank]],Stammdaten[Rank Verteilung D Mitte mit Rinde],0))</f>
        <v>#N/A</v>
      </c>
      <c r="G4694" t="e">
        <f>VLOOKUP(Tabelle8[[#This Row],[Rank]],Stammdaten[[Rank Verteilung D Mitte mit Rinde]:[Verteilung D Mitte mit Rinde]],2,FALSE)</f>
        <v>#N/A</v>
      </c>
      <c r="L4694">
        <v>4685</v>
      </c>
      <c r="M4694" t="e">
        <f>INDEX(Stammdaten[Abholzigkeit (mm/lfm)],MATCH(Tabelle9[[#This Row],[Rank]],Stammdaten[Rank Verteilung Abholzigkeit],0))</f>
        <v>#N/A</v>
      </c>
      <c r="N4694" t="e">
        <f>VLOOKUP(Tabelle9[[#This Row],[Rank]],Stammdaten[[Rank Verteilung Abholzigkeit]:[Verteilung Abholzigkeit]],2,FALSE)</f>
        <v>#N/A</v>
      </c>
      <c r="S4694">
        <v>4685</v>
      </c>
      <c r="T4694" t="e">
        <f>INDEX(Stammdaten[Krümmung (mm/lfm)],MATCH(Tabelle10[[#This Row],[Rank]],Stammdaten[Rank Verteilung Krümmung],0))</f>
        <v>#N/A</v>
      </c>
      <c r="U4694" t="e">
        <f>VLOOKUP(Tabelle10[[#This Row],[Rank]],Stammdaten[[Rank Verteilung Krümmung]:[Verteilung Krümmung]],2,FALSE)</f>
        <v>#N/A</v>
      </c>
      <c r="Z4694">
        <v>4685</v>
      </c>
      <c r="AA4694" t="e">
        <f>INDEX(Stammdaten[Ovalität (']0,1'])],MATCH(Tabelle1014[[#This Row],[Rank]],Stammdaten[Rank Verteilung Ovalität],0))</f>
        <v>#N/A</v>
      </c>
      <c r="AB4694" t="e">
        <f>VLOOKUP(Tabelle1014[[#This Row],[Rank]],Stammdaten[[Rank Verteilung Ovalität]:[Verteilung Ovalität]],2,FALSE)</f>
        <v>#N/A</v>
      </c>
    </row>
    <row r="4695" spans="5:28" x14ac:dyDescent="0.35">
      <c r="E4695">
        <v>4686</v>
      </c>
      <c r="F4695" t="e">
        <f>INDEX(Stammdaten[D Mitte mit Rinde (mm)],MATCH(Tabelle8[[#This Row],[Rank]],Stammdaten[Rank Verteilung D Mitte mit Rinde],0))</f>
        <v>#N/A</v>
      </c>
      <c r="G4695" t="e">
        <f>VLOOKUP(Tabelle8[[#This Row],[Rank]],Stammdaten[[Rank Verteilung D Mitte mit Rinde]:[Verteilung D Mitte mit Rinde]],2,FALSE)</f>
        <v>#N/A</v>
      </c>
      <c r="L4695">
        <v>4686</v>
      </c>
      <c r="M4695" t="e">
        <f>INDEX(Stammdaten[Abholzigkeit (mm/lfm)],MATCH(Tabelle9[[#This Row],[Rank]],Stammdaten[Rank Verteilung Abholzigkeit],0))</f>
        <v>#N/A</v>
      </c>
      <c r="N4695" t="e">
        <f>VLOOKUP(Tabelle9[[#This Row],[Rank]],Stammdaten[[Rank Verteilung Abholzigkeit]:[Verteilung Abholzigkeit]],2,FALSE)</f>
        <v>#N/A</v>
      </c>
      <c r="S4695">
        <v>4686</v>
      </c>
      <c r="T4695" t="e">
        <f>INDEX(Stammdaten[Krümmung (mm/lfm)],MATCH(Tabelle10[[#This Row],[Rank]],Stammdaten[Rank Verteilung Krümmung],0))</f>
        <v>#N/A</v>
      </c>
      <c r="U4695" t="e">
        <f>VLOOKUP(Tabelle10[[#This Row],[Rank]],Stammdaten[[Rank Verteilung Krümmung]:[Verteilung Krümmung]],2,FALSE)</f>
        <v>#N/A</v>
      </c>
      <c r="Z4695">
        <v>4686</v>
      </c>
      <c r="AA4695" t="e">
        <f>INDEX(Stammdaten[Ovalität (']0,1'])],MATCH(Tabelle1014[[#This Row],[Rank]],Stammdaten[Rank Verteilung Ovalität],0))</f>
        <v>#N/A</v>
      </c>
      <c r="AB4695" t="e">
        <f>VLOOKUP(Tabelle1014[[#This Row],[Rank]],Stammdaten[[Rank Verteilung Ovalität]:[Verteilung Ovalität]],2,FALSE)</f>
        <v>#N/A</v>
      </c>
    </row>
    <row r="4696" spans="5:28" x14ac:dyDescent="0.35">
      <c r="E4696">
        <v>4687</v>
      </c>
      <c r="F4696" t="e">
        <f>INDEX(Stammdaten[D Mitte mit Rinde (mm)],MATCH(Tabelle8[[#This Row],[Rank]],Stammdaten[Rank Verteilung D Mitte mit Rinde],0))</f>
        <v>#N/A</v>
      </c>
      <c r="G4696" t="e">
        <f>VLOOKUP(Tabelle8[[#This Row],[Rank]],Stammdaten[[Rank Verteilung D Mitte mit Rinde]:[Verteilung D Mitte mit Rinde]],2,FALSE)</f>
        <v>#N/A</v>
      </c>
      <c r="L4696">
        <v>4687</v>
      </c>
      <c r="M4696" t="e">
        <f>INDEX(Stammdaten[Abholzigkeit (mm/lfm)],MATCH(Tabelle9[[#This Row],[Rank]],Stammdaten[Rank Verteilung Abholzigkeit],0))</f>
        <v>#N/A</v>
      </c>
      <c r="N4696" t="e">
        <f>VLOOKUP(Tabelle9[[#This Row],[Rank]],Stammdaten[[Rank Verteilung Abholzigkeit]:[Verteilung Abholzigkeit]],2,FALSE)</f>
        <v>#N/A</v>
      </c>
      <c r="S4696">
        <v>4687</v>
      </c>
      <c r="T4696" t="e">
        <f>INDEX(Stammdaten[Krümmung (mm/lfm)],MATCH(Tabelle10[[#This Row],[Rank]],Stammdaten[Rank Verteilung Krümmung],0))</f>
        <v>#N/A</v>
      </c>
      <c r="U4696" t="e">
        <f>VLOOKUP(Tabelle10[[#This Row],[Rank]],Stammdaten[[Rank Verteilung Krümmung]:[Verteilung Krümmung]],2,FALSE)</f>
        <v>#N/A</v>
      </c>
      <c r="Z4696">
        <v>4687</v>
      </c>
      <c r="AA4696" t="e">
        <f>INDEX(Stammdaten[Ovalität (']0,1'])],MATCH(Tabelle1014[[#This Row],[Rank]],Stammdaten[Rank Verteilung Ovalität],0))</f>
        <v>#N/A</v>
      </c>
      <c r="AB4696" t="e">
        <f>VLOOKUP(Tabelle1014[[#This Row],[Rank]],Stammdaten[[Rank Verteilung Ovalität]:[Verteilung Ovalität]],2,FALSE)</f>
        <v>#N/A</v>
      </c>
    </row>
    <row r="4697" spans="5:28" x14ac:dyDescent="0.35">
      <c r="E4697">
        <v>4688</v>
      </c>
      <c r="F4697" t="e">
        <f>INDEX(Stammdaten[D Mitte mit Rinde (mm)],MATCH(Tabelle8[[#This Row],[Rank]],Stammdaten[Rank Verteilung D Mitte mit Rinde],0))</f>
        <v>#N/A</v>
      </c>
      <c r="G4697" t="e">
        <f>VLOOKUP(Tabelle8[[#This Row],[Rank]],Stammdaten[[Rank Verteilung D Mitte mit Rinde]:[Verteilung D Mitte mit Rinde]],2,FALSE)</f>
        <v>#N/A</v>
      </c>
      <c r="L4697">
        <v>4688</v>
      </c>
      <c r="M4697" t="e">
        <f>INDEX(Stammdaten[Abholzigkeit (mm/lfm)],MATCH(Tabelle9[[#This Row],[Rank]],Stammdaten[Rank Verteilung Abholzigkeit],0))</f>
        <v>#N/A</v>
      </c>
      <c r="N4697" t="e">
        <f>VLOOKUP(Tabelle9[[#This Row],[Rank]],Stammdaten[[Rank Verteilung Abholzigkeit]:[Verteilung Abholzigkeit]],2,FALSE)</f>
        <v>#N/A</v>
      </c>
      <c r="S4697">
        <v>4688</v>
      </c>
      <c r="T4697" t="e">
        <f>INDEX(Stammdaten[Krümmung (mm/lfm)],MATCH(Tabelle10[[#This Row],[Rank]],Stammdaten[Rank Verteilung Krümmung],0))</f>
        <v>#N/A</v>
      </c>
      <c r="U4697" t="e">
        <f>VLOOKUP(Tabelle10[[#This Row],[Rank]],Stammdaten[[Rank Verteilung Krümmung]:[Verteilung Krümmung]],2,FALSE)</f>
        <v>#N/A</v>
      </c>
      <c r="Z4697">
        <v>4688</v>
      </c>
      <c r="AA4697" t="e">
        <f>INDEX(Stammdaten[Ovalität (']0,1'])],MATCH(Tabelle1014[[#This Row],[Rank]],Stammdaten[Rank Verteilung Ovalität],0))</f>
        <v>#N/A</v>
      </c>
      <c r="AB4697" t="e">
        <f>VLOOKUP(Tabelle1014[[#This Row],[Rank]],Stammdaten[[Rank Verteilung Ovalität]:[Verteilung Ovalität]],2,FALSE)</f>
        <v>#N/A</v>
      </c>
    </row>
    <row r="4698" spans="5:28" x14ac:dyDescent="0.35">
      <c r="E4698">
        <v>4689</v>
      </c>
      <c r="F4698" t="e">
        <f>INDEX(Stammdaten[D Mitte mit Rinde (mm)],MATCH(Tabelle8[[#This Row],[Rank]],Stammdaten[Rank Verteilung D Mitte mit Rinde],0))</f>
        <v>#N/A</v>
      </c>
      <c r="G4698" t="e">
        <f>VLOOKUP(Tabelle8[[#This Row],[Rank]],Stammdaten[[Rank Verteilung D Mitte mit Rinde]:[Verteilung D Mitte mit Rinde]],2,FALSE)</f>
        <v>#N/A</v>
      </c>
      <c r="L4698">
        <v>4689</v>
      </c>
      <c r="M4698" t="e">
        <f>INDEX(Stammdaten[Abholzigkeit (mm/lfm)],MATCH(Tabelle9[[#This Row],[Rank]],Stammdaten[Rank Verteilung Abholzigkeit],0))</f>
        <v>#N/A</v>
      </c>
      <c r="N4698" t="e">
        <f>VLOOKUP(Tabelle9[[#This Row],[Rank]],Stammdaten[[Rank Verteilung Abholzigkeit]:[Verteilung Abholzigkeit]],2,FALSE)</f>
        <v>#N/A</v>
      </c>
      <c r="S4698">
        <v>4689</v>
      </c>
      <c r="T4698" t="e">
        <f>INDEX(Stammdaten[Krümmung (mm/lfm)],MATCH(Tabelle10[[#This Row],[Rank]],Stammdaten[Rank Verteilung Krümmung],0))</f>
        <v>#N/A</v>
      </c>
      <c r="U4698" t="e">
        <f>VLOOKUP(Tabelle10[[#This Row],[Rank]],Stammdaten[[Rank Verteilung Krümmung]:[Verteilung Krümmung]],2,FALSE)</f>
        <v>#N/A</v>
      </c>
      <c r="Z4698">
        <v>4689</v>
      </c>
      <c r="AA4698" t="e">
        <f>INDEX(Stammdaten[Ovalität (']0,1'])],MATCH(Tabelle1014[[#This Row],[Rank]],Stammdaten[Rank Verteilung Ovalität],0))</f>
        <v>#N/A</v>
      </c>
      <c r="AB4698" t="e">
        <f>VLOOKUP(Tabelle1014[[#This Row],[Rank]],Stammdaten[[Rank Verteilung Ovalität]:[Verteilung Ovalität]],2,FALSE)</f>
        <v>#N/A</v>
      </c>
    </row>
    <row r="4699" spans="5:28" x14ac:dyDescent="0.35">
      <c r="E4699">
        <v>4690</v>
      </c>
      <c r="F4699" t="e">
        <f>INDEX(Stammdaten[D Mitte mit Rinde (mm)],MATCH(Tabelle8[[#This Row],[Rank]],Stammdaten[Rank Verteilung D Mitte mit Rinde],0))</f>
        <v>#N/A</v>
      </c>
      <c r="G4699" t="e">
        <f>VLOOKUP(Tabelle8[[#This Row],[Rank]],Stammdaten[[Rank Verteilung D Mitte mit Rinde]:[Verteilung D Mitte mit Rinde]],2,FALSE)</f>
        <v>#N/A</v>
      </c>
      <c r="L4699">
        <v>4690</v>
      </c>
      <c r="M4699" t="e">
        <f>INDEX(Stammdaten[Abholzigkeit (mm/lfm)],MATCH(Tabelle9[[#This Row],[Rank]],Stammdaten[Rank Verteilung Abholzigkeit],0))</f>
        <v>#N/A</v>
      </c>
      <c r="N4699" t="e">
        <f>VLOOKUP(Tabelle9[[#This Row],[Rank]],Stammdaten[[Rank Verteilung Abholzigkeit]:[Verteilung Abholzigkeit]],2,FALSE)</f>
        <v>#N/A</v>
      </c>
      <c r="S4699">
        <v>4690</v>
      </c>
      <c r="T4699" t="e">
        <f>INDEX(Stammdaten[Krümmung (mm/lfm)],MATCH(Tabelle10[[#This Row],[Rank]],Stammdaten[Rank Verteilung Krümmung],0))</f>
        <v>#N/A</v>
      </c>
      <c r="U4699" t="e">
        <f>VLOOKUP(Tabelle10[[#This Row],[Rank]],Stammdaten[[Rank Verteilung Krümmung]:[Verteilung Krümmung]],2,FALSE)</f>
        <v>#N/A</v>
      </c>
      <c r="Z4699">
        <v>4690</v>
      </c>
      <c r="AA4699" t="e">
        <f>INDEX(Stammdaten[Ovalität (']0,1'])],MATCH(Tabelle1014[[#This Row],[Rank]],Stammdaten[Rank Verteilung Ovalität],0))</f>
        <v>#N/A</v>
      </c>
      <c r="AB4699" t="e">
        <f>VLOOKUP(Tabelle1014[[#This Row],[Rank]],Stammdaten[[Rank Verteilung Ovalität]:[Verteilung Ovalität]],2,FALSE)</f>
        <v>#N/A</v>
      </c>
    </row>
    <row r="4700" spans="5:28" x14ac:dyDescent="0.35">
      <c r="E4700">
        <v>4691</v>
      </c>
      <c r="F4700" t="e">
        <f>INDEX(Stammdaten[D Mitte mit Rinde (mm)],MATCH(Tabelle8[[#This Row],[Rank]],Stammdaten[Rank Verteilung D Mitte mit Rinde],0))</f>
        <v>#N/A</v>
      </c>
      <c r="G4700" t="e">
        <f>VLOOKUP(Tabelle8[[#This Row],[Rank]],Stammdaten[[Rank Verteilung D Mitte mit Rinde]:[Verteilung D Mitte mit Rinde]],2,FALSE)</f>
        <v>#N/A</v>
      </c>
      <c r="L4700">
        <v>4691</v>
      </c>
      <c r="M4700" t="e">
        <f>INDEX(Stammdaten[Abholzigkeit (mm/lfm)],MATCH(Tabelle9[[#This Row],[Rank]],Stammdaten[Rank Verteilung Abholzigkeit],0))</f>
        <v>#N/A</v>
      </c>
      <c r="N4700" t="e">
        <f>VLOOKUP(Tabelle9[[#This Row],[Rank]],Stammdaten[[Rank Verteilung Abholzigkeit]:[Verteilung Abholzigkeit]],2,FALSE)</f>
        <v>#N/A</v>
      </c>
      <c r="S4700">
        <v>4691</v>
      </c>
      <c r="T4700" t="e">
        <f>INDEX(Stammdaten[Krümmung (mm/lfm)],MATCH(Tabelle10[[#This Row],[Rank]],Stammdaten[Rank Verteilung Krümmung],0))</f>
        <v>#N/A</v>
      </c>
      <c r="U4700" t="e">
        <f>VLOOKUP(Tabelle10[[#This Row],[Rank]],Stammdaten[[Rank Verteilung Krümmung]:[Verteilung Krümmung]],2,FALSE)</f>
        <v>#N/A</v>
      </c>
      <c r="Z4700">
        <v>4691</v>
      </c>
      <c r="AA4700" t="e">
        <f>INDEX(Stammdaten[Ovalität (']0,1'])],MATCH(Tabelle1014[[#This Row],[Rank]],Stammdaten[Rank Verteilung Ovalität],0))</f>
        <v>#N/A</v>
      </c>
      <c r="AB4700" t="e">
        <f>VLOOKUP(Tabelle1014[[#This Row],[Rank]],Stammdaten[[Rank Verteilung Ovalität]:[Verteilung Ovalität]],2,FALSE)</f>
        <v>#N/A</v>
      </c>
    </row>
    <row r="4701" spans="5:28" x14ac:dyDescent="0.35">
      <c r="E4701">
        <v>4692</v>
      </c>
      <c r="F4701" t="e">
        <f>INDEX(Stammdaten[D Mitte mit Rinde (mm)],MATCH(Tabelle8[[#This Row],[Rank]],Stammdaten[Rank Verteilung D Mitte mit Rinde],0))</f>
        <v>#N/A</v>
      </c>
      <c r="G4701" t="e">
        <f>VLOOKUP(Tabelle8[[#This Row],[Rank]],Stammdaten[[Rank Verteilung D Mitte mit Rinde]:[Verteilung D Mitte mit Rinde]],2,FALSE)</f>
        <v>#N/A</v>
      </c>
      <c r="L4701">
        <v>4692</v>
      </c>
      <c r="M4701" t="e">
        <f>INDEX(Stammdaten[Abholzigkeit (mm/lfm)],MATCH(Tabelle9[[#This Row],[Rank]],Stammdaten[Rank Verteilung Abholzigkeit],0))</f>
        <v>#N/A</v>
      </c>
      <c r="N4701" t="e">
        <f>VLOOKUP(Tabelle9[[#This Row],[Rank]],Stammdaten[[Rank Verteilung Abholzigkeit]:[Verteilung Abholzigkeit]],2,FALSE)</f>
        <v>#N/A</v>
      </c>
      <c r="S4701">
        <v>4692</v>
      </c>
      <c r="T4701" t="e">
        <f>INDEX(Stammdaten[Krümmung (mm/lfm)],MATCH(Tabelle10[[#This Row],[Rank]],Stammdaten[Rank Verteilung Krümmung],0))</f>
        <v>#N/A</v>
      </c>
      <c r="U4701" t="e">
        <f>VLOOKUP(Tabelle10[[#This Row],[Rank]],Stammdaten[[Rank Verteilung Krümmung]:[Verteilung Krümmung]],2,FALSE)</f>
        <v>#N/A</v>
      </c>
      <c r="Z4701">
        <v>4692</v>
      </c>
      <c r="AA4701" t="e">
        <f>INDEX(Stammdaten[Ovalität (']0,1'])],MATCH(Tabelle1014[[#This Row],[Rank]],Stammdaten[Rank Verteilung Ovalität],0))</f>
        <v>#N/A</v>
      </c>
      <c r="AB4701" t="e">
        <f>VLOOKUP(Tabelle1014[[#This Row],[Rank]],Stammdaten[[Rank Verteilung Ovalität]:[Verteilung Ovalität]],2,FALSE)</f>
        <v>#N/A</v>
      </c>
    </row>
    <row r="4702" spans="5:28" x14ac:dyDescent="0.35">
      <c r="E4702">
        <v>4693</v>
      </c>
      <c r="F4702" t="e">
        <f>INDEX(Stammdaten[D Mitte mit Rinde (mm)],MATCH(Tabelle8[[#This Row],[Rank]],Stammdaten[Rank Verteilung D Mitte mit Rinde],0))</f>
        <v>#N/A</v>
      </c>
      <c r="G4702" t="e">
        <f>VLOOKUP(Tabelle8[[#This Row],[Rank]],Stammdaten[[Rank Verteilung D Mitte mit Rinde]:[Verteilung D Mitte mit Rinde]],2,FALSE)</f>
        <v>#N/A</v>
      </c>
      <c r="L4702">
        <v>4693</v>
      </c>
      <c r="M4702" t="e">
        <f>INDEX(Stammdaten[Abholzigkeit (mm/lfm)],MATCH(Tabelle9[[#This Row],[Rank]],Stammdaten[Rank Verteilung Abholzigkeit],0))</f>
        <v>#N/A</v>
      </c>
      <c r="N4702" t="e">
        <f>VLOOKUP(Tabelle9[[#This Row],[Rank]],Stammdaten[[Rank Verteilung Abholzigkeit]:[Verteilung Abholzigkeit]],2,FALSE)</f>
        <v>#N/A</v>
      </c>
      <c r="S4702">
        <v>4693</v>
      </c>
      <c r="T4702" t="e">
        <f>INDEX(Stammdaten[Krümmung (mm/lfm)],MATCH(Tabelle10[[#This Row],[Rank]],Stammdaten[Rank Verteilung Krümmung],0))</f>
        <v>#N/A</v>
      </c>
      <c r="U4702" t="e">
        <f>VLOOKUP(Tabelle10[[#This Row],[Rank]],Stammdaten[[Rank Verteilung Krümmung]:[Verteilung Krümmung]],2,FALSE)</f>
        <v>#N/A</v>
      </c>
      <c r="Z4702">
        <v>4693</v>
      </c>
      <c r="AA4702" t="e">
        <f>INDEX(Stammdaten[Ovalität (']0,1'])],MATCH(Tabelle1014[[#This Row],[Rank]],Stammdaten[Rank Verteilung Ovalität],0))</f>
        <v>#N/A</v>
      </c>
      <c r="AB4702" t="e">
        <f>VLOOKUP(Tabelle1014[[#This Row],[Rank]],Stammdaten[[Rank Verteilung Ovalität]:[Verteilung Ovalität]],2,FALSE)</f>
        <v>#N/A</v>
      </c>
    </row>
    <row r="4703" spans="5:28" x14ac:dyDescent="0.35">
      <c r="E4703">
        <v>4694</v>
      </c>
      <c r="F4703" t="e">
        <f>INDEX(Stammdaten[D Mitte mit Rinde (mm)],MATCH(Tabelle8[[#This Row],[Rank]],Stammdaten[Rank Verteilung D Mitte mit Rinde],0))</f>
        <v>#N/A</v>
      </c>
      <c r="G4703" t="e">
        <f>VLOOKUP(Tabelle8[[#This Row],[Rank]],Stammdaten[[Rank Verteilung D Mitte mit Rinde]:[Verteilung D Mitte mit Rinde]],2,FALSE)</f>
        <v>#N/A</v>
      </c>
      <c r="L4703">
        <v>4694</v>
      </c>
      <c r="M4703" t="e">
        <f>INDEX(Stammdaten[Abholzigkeit (mm/lfm)],MATCH(Tabelle9[[#This Row],[Rank]],Stammdaten[Rank Verteilung Abholzigkeit],0))</f>
        <v>#N/A</v>
      </c>
      <c r="N4703" t="e">
        <f>VLOOKUP(Tabelle9[[#This Row],[Rank]],Stammdaten[[Rank Verteilung Abholzigkeit]:[Verteilung Abholzigkeit]],2,FALSE)</f>
        <v>#N/A</v>
      </c>
      <c r="S4703">
        <v>4694</v>
      </c>
      <c r="T4703" t="e">
        <f>INDEX(Stammdaten[Krümmung (mm/lfm)],MATCH(Tabelle10[[#This Row],[Rank]],Stammdaten[Rank Verteilung Krümmung],0))</f>
        <v>#N/A</v>
      </c>
      <c r="U4703" t="e">
        <f>VLOOKUP(Tabelle10[[#This Row],[Rank]],Stammdaten[[Rank Verteilung Krümmung]:[Verteilung Krümmung]],2,FALSE)</f>
        <v>#N/A</v>
      </c>
      <c r="Z4703">
        <v>4694</v>
      </c>
      <c r="AA4703" t="e">
        <f>INDEX(Stammdaten[Ovalität (']0,1'])],MATCH(Tabelle1014[[#This Row],[Rank]],Stammdaten[Rank Verteilung Ovalität],0))</f>
        <v>#N/A</v>
      </c>
      <c r="AB4703" t="e">
        <f>VLOOKUP(Tabelle1014[[#This Row],[Rank]],Stammdaten[[Rank Verteilung Ovalität]:[Verteilung Ovalität]],2,FALSE)</f>
        <v>#N/A</v>
      </c>
    </row>
    <row r="4704" spans="5:28" x14ac:dyDescent="0.35">
      <c r="E4704">
        <v>4695</v>
      </c>
      <c r="F4704" t="e">
        <f>INDEX(Stammdaten[D Mitte mit Rinde (mm)],MATCH(Tabelle8[[#This Row],[Rank]],Stammdaten[Rank Verteilung D Mitte mit Rinde],0))</f>
        <v>#N/A</v>
      </c>
      <c r="G4704" t="e">
        <f>VLOOKUP(Tabelle8[[#This Row],[Rank]],Stammdaten[[Rank Verteilung D Mitte mit Rinde]:[Verteilung D Mitte mit Rinde]],2,FALSE)</f>
        <v>#N/A</v>
      </c>
      <c r="L4704">
        <v>4695</v>
      </c>
      <c r="M4704" t="e">
        <f>INDEX(Stammdaten[Abholzigkeit (mm/lfm)],MATCH(Tabelle9[[#This Row],[Rank]],Stammdaten[Rank Verteilung Abholzigkeit],0))</f>
        <v>#N/A</v>
      </c>
      <c r="N4704" t="e">
        <f>VLOOKUP(Tabelle9[[#This Row],[Rank]],Stammdaten[[Rank Verteilung Abholzigkeit]:[Verteilung Abholzigkeit]],2,FALSE)</f>
        <v>#N/A</v>
      </c>
      <c r="S4704">
        <v>4695</v>
      </c>
      <c r="T4704" t="e">
        <f>INDEX(Stammdaten[Krümmung (mm/lfm)],MATCH(Tabelle10[[#This Row],[Rank]],Stammdaten[Rank Verteilung Krümmung],0))</f>
        <v>#N/A</v>
      </c>
      <c r="U4704" t="e">
        <f>VLOOKUP(Tabelle10[[#This Row],[Rank]],Stammdaten[[Rank Verteilung Krümmung]:[Verteilung Krümmung]],2,FALSE)</f>
        <v>#N/A</v>
      </c>
      <c r="Z4704">
        <v>4695</v>
      </c>
      <c r="AA4704" t="e">
        <f>INDEX(Stammdaten[Ovalität (']0,1'])],MATCH(Tabelle1014[[#This Row],[Rank]],Stammdaten[Rank Verteilung Ovalität],0))</f>
        <v>#N/A</v>
      </c>
      <c r="AB4704" t="e">
        <f>VLOOKUP(Tabelle1014[[#This Row],[Rank]],Stammdaten[[Rank Verteilung Ovalität]:[Verteilung Ovalität]],2,FALSE)</f>
        <v>#N/A</v>
      </c>
    </row>
    <row r="4705" spans="5:28" x14ac:dyDescent="0.35">
      <c r="E4705">
        <v>4696</v>
      </c>
      <c r="F4705" t="e">
        <f>INDEX(Stammdaten[D Mitte mit Rinde (mm)],MATCH(Tabelle8[[#This Row],[Rank]],Stammdaten[Rank Verteilung D Mitte mit Rinde],0))</f>
        <v>#N/A</v>
      </c>
      <c r="G4705" t="e">
        <f>VLOOKUP(Tabelle8[[#This Row],[Rank]],Stammdaten[[Rank Verteilung D Mitte mit Rinde]:[Verteilung D Mitte mit Rinde]],2,FALSE)</f>
        <v>#N/A</v>
      </c>
      <c r="L4705">
        <v>4696</v>
      </c>
      <c r="M4705" t="e">
        <f>INDEX(Stammdaten[Abholzigkeit (mm/lfm)],MATCH(Tabelle9[[#This Row],[Rank]],Stammdaten[Rank Verteilung Abholzigkeit],0))</f>
        <v>#N/A</v>
      </c>
      <c r="N4705" t="e">
        <f>VLOOKUP(Tabelle9[[#This Row],[Rank]],Stammdaten[[Rank Verteilung Abholzigkeit]:[Verteilung Abholzigkeit]],2,FALSE)</f>
        <v>#N/A</v>
      </c>
      <c r="S4705">
        <v>4696</v>
      </c>
      <c r="T4705" t="e">
        <f>INDEX(Stammdaten[Krümmung (mm/lfm)],MATCH(Tabelle10[[#This Row],[Rank]],Stammdaten[Rank Verteilung Krümmung],0))</f>
        <v>#N/A</v>
      </c>
      <c r="U4705" t="e">
        <f>VLOOKUP(Tabelle10[[#This Row],[Rank]],Stammdaten[[Rank Verteilung Krümmung]:[Verteilung Krümmung]],2,FALSE)</f>
        <v>#N/A</v>
      </c>
      <c r="Z4705">
        <v>4696</v>
      </c>
      <c r="AA4705" t="e">
        <f>INDEX(Stammdaten[Ovalität (']0,1'])],MATCH(Tabelle1014[[#This Row],[Rank]],Stammdaten[Rank Verteilung Ovalität],0))</f>
        <v>#N/A</v>
      </c>
      <c r="AB4705" t="e">
        <f>VLOOKUP(Tabelle1014[[#This Row],[Rank]],Stammdaten[[Rank Verteilung Ovalität]:[Verteilung Ovalität]],2,FALSE)</f>
        <v>#N/A</v>
      </c>
    </row>
    <row r="4706" spans="5:28" x14ac:dyDescent="0.35">
      <c r="E4706">
        <v>4697</v>
      </c>
      <c r="F4706" t="e">
        <f>INDEX(Stammdaten[D Mitte mit Rinde (mm)],MATCH(Tabelle8[[#This Row],[Rank]],Stammdaten[Rank Verteilung D Mitte mit Rinde],0))</f>
        <v>#N/A</v>
      </c>
      <c r="G4706" t="e">
        <f>VLOOKUP(Tabelle8[[#This Row],[Rank]],Stammdaten[[Rank Verteilung D Mitte mit Rinde]:[Verteilung D Mitte mit Rinde]],2,FALSE)</f>
        <v>#N/A</v>
      </c>
      <c r="L4706">
        <v>4697</v>
      </c>
      <c r="M4706" t="e">
        <f>INDEX(Stammdaten[Abholzigkeit (mm/lfm)],MATCH(Tabelle9[[#This Row],[Rank]],Stammdaten[Rank Verteilung Abholzigkeit],0))</f>
        <v>#N/A</v>
      </c>
      <c r="N4706" t="e">
        <f>VLOOKUP(Tabelle9[[#This Row],[Rank]],Stammdaten[[Rank Verteilung Abholzigkeit]:[Verteilung Abholzigkeit]],2,FALSE)</f>
        <v>#N/A</v>
      </c>
      <c r="S4706">
        <v>4697</v>
      </c>
      <c r="T4706" t="e">
        <f>INDEX(Stammdaten[Krümmung (mm/lfm)],MATCH(Tabelle10[[#This Row],[Rank]],Stammdaten[Rank Verteilung Krümmung],0))</f>
        <v>#N/A</v>
      </c>
      <c r="U4706" t="e">
        <f>VLOOKUP(Tabelle10[[#This Row],[Rank]],Stammdaten[[Rank Verteilung Krümmung]:[Verteilung Krümmung]],2,FALSE)</f>
        <v>#N/A</v>
      </c>
      <c r="Z4706">
        <v>4697</v>
      </c>
      <c r="AA4706" t="e">
        <f>INDEX(Stammdaten[Ovalität (']0,1'])],MATCH(Tabelle1014[[#This Row],[Rank]],Stammdaten[Rank Verteilung Ovalität],0))</f>
        <v>#N/A</v>
      </c>
      <c r="AB4706" t="e">
        <f>VLOOKUP(Tabelle1014[[#This Row],[Rank]],Stammdaten[[Rank Verteilung Ovalität]:[Verteilung Ovalität]],2,FALSE)</f>
        <v>#N/A</v>
      </c>
    </row>
    <row r="4707" spans="5:28" x14ac:dyDescent="0.35">
      <c r="E4707">
        <v>4698</v>
      </c>
      <c r="F4707" t="e">
        <f>INDEX(Stammdaten[D Mitte mit Rinde (mm)],MATCH(Tabelle8[[#This Row],[Rank]],Stammdaten[Rank Verteilung D Mitte mit Rinde],0))</f>
        <v>#N/A</v>
      </c>
      <c r="G4707" t="e">
        <f>VLOOKUP(Tabelle8[[#This Row],[Rank]],Stammdaten[[Rank Verteilung D Mitte mit Rinde]:[Verteilung D Mitte mit Rinde]],2,FALSE)</f>
        <v>#N/A</v>
      </c>
      <c r="L4707">
        <v>4698</v>
      </c>
      <c r="M4707" t="e">
        <f>INDEX(Stammdaten[Abholzigkeit (mm/lfm)],MATCH(Tabelle9[[#This Row],[Rank]],Stammdaten[Rank Verteilung Abholzigkeit],0))</f>
        <v>#N/A</v>
      </c>
      <c r="N4707" t="e">
        <f>VLOOKUP(Tabelle9[[#This Row],[Rank]],Stammdaten[[Rank Verteilung Abholzigkeit]:[Verteilung Abholzigkeit]],2,FALSE)</f>
        <v>#N/A</v>
      </c>
      <c r="S4707">
        <v>4698</v>
      </c>
      <c r="T4707" t="e">
        <f>INDEX(Stammdaten[Krümmung (mm/lfm)],MATCH(Tabelle10[[#This Row],[Rank]],Stammdaten[Rank Verteilung Krümmung],0))</f>
        <v>#N/A</v>
      </c>
      <c r="U4707" t="e">
        <f>VLOOKUP(Tabelle10[[#This Row],[Rank]],Stammdaten[[Rank Verteilung Krümmung]:[Verteilung Krümmung]],2,FALSE)</f>
        <v>#N/A</v>
      </c>
      <c r="Z4707">
        <v>4698</v>
      </c>
      <c r="AA4707" t="e">
        <f>INDEX(Stammdaten[Ovalität (']0,1'])],MATCH(Tabelle1014[[#This Row],[Rank]],Stammdaten[Rank Verteilung Ovalität],0))</f>
        <v>#N/A</v>
      </c>
      <c r="AB4707" t="e">
        <f>VLOOKUP(Tabelle1014[[#This Row],[Rank]],Stammdaten[[Rank Verteilung Ovalität]:[Verteilung Ovalität]],2,FALSE)</f>
        <v>#N/A</v>
      </c>
    </row>
    <row r="4708" spans="5:28" x14ac:dyDescent="0.35">
      <c r="E4708">
        <v>4699</v>
      </c>
      <c r="F4708" t="e">
        <f>INDEX(Stammdaten[D Mitte mit Rinde (mm)],MATCH(Tabelle8[[#This Row],[Rank]],Stammdaten[Rank Verteilung D Mitte mit Rinde],0))</f>
        <v>#N/A</v>
      </c>
      <c r="G4708" t="e">
        <f>VLOOKUP(Tabelle8[[#This Row],[Rank]],Stammdaten[[Rank Verteilung D Mitte mit Rinde]:[Verteilung D Mitte mit Rinde]],2,FALSE)</f>
        <v>#N/A</v>
      </c>
      <c r="L4708">
        <v>4699</v>
      </c>
      <c r="M4708" t="e">
        <f>INDEX(Stammdaten[Abholzigkeit (mm/lfm)],MATCH(Tabelle9[[#This Row],[Rank]],Stammdaten[Rank Verteilung Abholzigkeit],0))</f>
        <v>#N/A</v>
      </c>
      <c r="N4708" t="e">
        <f>VLOOKUP(Tabelle9[[#This Row],[Rank]],Stammdaten[[Rank Verteilung Abholzigkeit]:[Verteilung Abholzigkeit]],2,FALSE)</f>
        <v>#N/A</v>
      </c>
      <c r="S4708">
        <v>4699</v>
      </c>
      <c r="T4708" t="e">
        <f>INDEX(Stammdaten[Krümmung (mm/lfm)],MATCH(Tabelle10[[#This Row],[Rank]],Stammdaten[Rank Verteilung Krümmung],0))</f>
        <v>#N/A</v>
      </c>
      <c r="U4708" t="e">
        <f>VLOOKUP(Tabelle10[[#This Row],[Rank]],Stammdaten[[Rank Verteilung Krümmung]:[Verteilung Krümmung]],2,FALSE)</f>
        <v>#N/A</v>
      </c>
      <c r="Z4708">
        <v>4699</v>
      </c>
      <c r="AA4708" t="e">
        <f>INDEX(Stammdaten[Ovalität (']0,1'])],MATCH(Tabelle1014[[#This Row],[Rank]],Stammdaten[Rank Verteilung Ovalität],0))</f>
        <v>#N/A</v>
      </c>
      <c r="AB4708" t="e">
        <f>VLOOKUP(Tabelle1014[[#This Row],[Rank]],Stammdaten[[Rank Verteilung Ovalität]:[Verteilung Ovalität]],2,FALSE)</f>
        <v>#N/A</v>
      </c>
    </row>
    <row r="4709" spans="5:28" x14ac:dyDescent="0.35">
      <c r="E4709">
        <v>4700</v>
      </c>
      <c r="F4709" t="e">
        <f>INDEX(Stammdaten[D Mitte mit Rinde (mm)],MATCH(Tabelle8[[#This Row],[Rank]],Stammdaten[Rank Verteilung D Mitte mit Rinde],0))</f>
        <v>#N/A</v>
      </c>
      <c r="G4709" t="e">
        <f>VLOOKUP(Tabelle8[[#This Row],[Rank]],Stammdaten[[Rank Verteilung D Mitte mit Rinde]:[Verteilung D Mitte mit Rinde]],2,FALSE)</f>
        <v>#N/A</v>
      </c>
      <c r="L4709">
        <v>4700</v>
      </c>
      <c r="M4709" t="e">
        <f>INDEX(Stammdaten[Abholzigkeit (mm/lfm)],MATCH(Tabelle9[[#This Row],[Rank]],Stammdaten[Rank Verteilung Abholzigkeit],0))</f>
        <v>#N/A</v>
      </c>
      <c r="N4709" t="e">
        <f>VLOOKUP(Tabelle9[[#This Row],[Rank]],Stammdaten[[Rank Verteilung Abholzigkeit]:[Verteilung Abholzigkeit]],2,FALSE)</f>
        <v>#N/A</v>
      </c>
      <c r="S4709">
        <v>4700</v>
      </c>
      <c r="T4709" t="e">
        <f>INDEX(Stammdaten[Krümmung (mm/lfm)],MATCH(Tabelle10[[#This Row],[Rank]],Stammdaten[Rank Verteilung Krümmung],0))</f>
        <v>#N/A</v>
      </c>
      <c r="U4709" t="e">
        <f>VLOOKUP(Tabelle10[[#This Row],[Rank]],Stammdaten[[Rank Verteilung Krümmung]:[Verteilung Krümmung]],2,FALSE)</f>
        <v>#N/A</v>
      </c>
      <c r="Z4709">
        <v>4700</v>
      </c>
      <c r="AA4709" t="e">
        <f>INDEX(Stammdaten[Ovalität (']0,1'])],MATCH(Tabelle1014[[#This Row],[Rank]],Stammdaten[Rank Verteilung Ovalität],0))</f>
        <v>#N/A</v>
      </c>
      <c r="AB4709" t="e">
        <f>VLOOKUP(Tabelle1014[[#This Row],[Rank]],Stammdaten[[Rank Verteilung Ovalität]:[Verteilung Ovalität]],2,FALSE)</f>
        <v>#N/A</v>
      </c>
    </row>
    <row r="4710" spans="5:28" x14ac:dyDescent="0.35">
      <c r="E4710">
        <v>4701</v>
      </c>
      <c r="F4710" t="e">
        <f>INDEX(Stammdaten[D Mitte mit Rinde (mm)],MATCH(Tabelle8[[#This Row],[Rank]],Stammdaten[Rank Verteilung D Mitte mit Rinde],0))</f>
        <v>#N/A</v>
      </c>
      <c r="G4710" t="e">
        <f>VLOOKUP(Tabelle8[[#This Row],[Rank]],Stammdaten[[Rank Verteilung D Mitte mit Rinde]:[Verteilung D Mitte mit Rinde]],2,FALSE)</f>
        <v>#N/A</v>
      </c>
      <c r="L4710">
        <v>4701</v>
      </c>
      <c r="M4710" t="e">
        <f>INDEX(Stammdaten[Abholzigkeit (mm/lfm)],MATCH(Tabelle9[[#This Row],[Rank]],Stammdaten[Rank Verteilung Abholzigkeit],0))</f>
        <v>#N/A</v>
      </c>
      <c r="N4710" t="e">
        <f>VLOOKUP(Tabelle9[[#This Row],[Rank]],Stammdaten[[Rank Verteilung Abholzigkeit]:[Verteilung Abholzigkeit]],2,FALSE)</f>
        <v>#N/A</v>
      </c>
      <c r="S4710">
        <v>4701</v>
      </c>
      <c r="T4710" t="e">
        <f>INDEX(Stammdaten[Krümmung (mm/lfm)],MATCH(Tabelle10[[#This Row],[Rank]],Stammdaten[Rank Verteilung Krümmung],0))</f>
        <v>#N/A</v>
      </c>
      <c r="U4710" t="e">
        <f>VLOOKUP(Tabelle10[[#This Row],[Rank]],Stammdaten[[Rank Verteilung Krümmung]:[Verteilung Krümmung]],2,FALSE)</f>
        <v>#N/A</v>
      </c>
      <c r="Z4710">
        <v>4701</v>
      </c>
      <c r="AA4710" t="e">
        <f>INDEX(Stammdaten[Ovalität (']0,1'])],MATCH(Tabelle1014[[#This Row],[Rank]],Stammdaten[Rank Verteilung Ovalität],0))</f>
        <v>#N/A</v>
      </c>
      <c r="AB4710" t="e">
        <f>VLOOKUP(Tabelle1014[[#This Row],[Rank]],Stammdaten[[Rank Verteilung Ovalität]:[Verteilung Ovalität]],2,FALSE)</f>
        <v>#N/A</v>
      </c>
    </row>
    <row r="4711" spans="5:28" x14ac:dyDescent="0.35">
      <c r="E4711">
        <v>4702</v>
      </c>
      <c r="F4711" t="e">
        <f>INDEX(Stammdaten[D Mitte mit Rinde (mm)],MATCH(Tabelle8[[#This Row],[Rank]],Stammdaten[Rank Verteilung D Mitte mit Rinde],0))</f>
        <v>#N/A</v>
      </c>
      <c r="G4711" t="e">
        <f>VLOOKUP(Tabelle8[[#This Row],[Rank]],Stammdaten[[Rank Verteilung D Mitte mit Rinde]:[Verteilung D Mitte mit Rinde]],2,FALSE)</f>
        <v>#N/A</v>
      </c>
      <c r="L4711">
        <v>4702</v>
      </c>
      <c r="M4711" t="e">
        <f>INDEX(Stammdaten[Abholzigkeit (mm/lfm)],MATCH(Tabelle9[[#This Row],[Rank]],Stammdaten[Rank Verteilung Abholzigkeit],0))</f>
        <v>#N/A</v>
      </c>
      <c r="N4711" t="e">
        <f>VLOOKUP(Tabelle9[[#This Row],[Rank]],Stammdaten[[Rank Verteilung Abholzigkeit]:[Verteilung Abholzigkeit]],2,FALSE)</f>
        <v>#N/A</v>
      </c>
      <c r="S4711">
        <v>4702</v>
      </c>
      <c r="T4711" t="e">
        <f>INDEX(Stammdaten[Krümmung (mm/lfm)],MATCH(Tabelle10[[#This Row],[Rank]],Stammdaten[Rank Verteilung Krümmung],0))</f>
        <v>#N/A</v>
      </c>
      <c r="U4711" t="e">
        <f>VLOOKUP(Tabelle10[[#This Row],[Rank]],Stammdaten[[Rank Verteilung Krümmung]:[Verteilung Krümmung]],2,FALSE)</f>
        <v>#N/A</v>
      </c>
      <c r="Z4711">
        <v>4702</v>
      </c>
      <c r="AA4711" t="e">
        <f>INDEX(Stammdaten[Ovalität (']0,1'])],MATCH(Tabelle1014[[#This Row],[Rank]],Stammdaten[Rank Verteilung Ovalität],0))</f>
        <v>#N/A</v>
      </c>
      <c r="AB4711" t="e">
        <f>VLOOKUP(Tabelle1014[[#This Row],[Rank]],Stammdaten[[Rank Verteilung Ovalität]:[Verteilung Ovalität]],2,FALSE)</f>
        <v>#N/A</v>
      </c>
    </row>
    <row r="4712" spans="5:28" x14ac:dyDescent="0.35">
      <c r="E4712">
        <v>4703</v>
      </c>
      <c r="F4712" t="e">
        <f>INDEX(Stammdaten[D Mitte mit Rinde (mm)],MATCH(Tabelle8[[#This Row],[Rank]],Stammdaten[Rank Verteilung D Mitte mit Rinde],0))</f>
        <v>#N/A</v>
      </c>
      <c r="G4712" t="e">
        <f>VLOOKUP(Tabelle8[[#This Row],[Rank]],Stammdaten[[Rank Verteilung D Mitte mit Rinde]:[Verteilung D Mitte mit Rinde]],2,FALSE)</f>
        <v>#N/A</v>
      </c>
      <c r="L4712">
        <v>4703</v>
      </c>
      <c r="M4712" t="e">
        <f>INDEX(Stammdaten[Abholzigkeit (mm/lfm)],MATCH(Tabelle9[[#This Row],[Rank]],Stammdaten[Rank Verteilung Abholzigkeit],0))</f>
        <v>#N/A</v>
      </c>
      <c r="N4712" t="e">
        <f>VLOOKUP(Tabelle9[[#This Row],[Rank]],Stammdaten[[Rank Verteilung Abholzigkeit]:[Verteilung Abholzigkeit]],2,FALSE)</f>
        <v>#N/A</v>
      </c>
      <c r="S4712">
        <v>4703</v>
      </c>
      <c r="T4712" t="e">
        <f>INDEX(Stammdaten[Krümmung (mm/lfm)],MATCH(Tabelle10[[#This Row],[Rank]],Stammdaten[Rank Verteilung Krümmung],0))</f>
        <v>#N/A</v>
      </c>
      <c r="U4712" t="e">
        <f>VLOOKUP(Tabelle10[[#This Row],[Rank]],Stammdaten[[Rank Verteilung Krümmung]:[Verteilung Krümmung]],2,FALSE)</f>
        <v>#N/A</v>
      </c>
      <c r="Z4712">
        <v>4703</v>
      </c>
      <c r="AA4712" t="e">
        <f>INDEX(Stammdaten[Ovalität (']0,1'])],MATCH(Tabelle1014[[#This Row],[Rank]],Stammdaten[Rank Verteilung Ovalität],0))</f>
        <v>#N/A</v>
      </c>
      <c r="AB4712" t="e">
        <f>VLOOKUP(Tabelle1014[[#This Row],[Rank]],Stammdaten[[Rank Verteilung Ovalität]:[Verteilung Ovalität]],2,FALSE)</f>
        <v>#N/A</v>
      </c>
    </row>
    <row r="4713" spans="5:28" x14ac:dyDescent="0.35">
      <c r="E4713">
        <v>4704</v>
      </c>
      <c r="F4713" t="e">
        <f>INDEX(Stammdaten[D Mitte mit Rinde (mm)],MATCH(Tabelle8[[#This Row],[Rank]],Stammdaten[Rank Verteilung D Mitte mit Rinde],0))</f>
        <v>#N/A</v>
      </c>
      <c r="G4713" t="e">
        <f>VLOOKUP(Tabelle8[[#This Row],[Rank]],Stammdaten[[Rank Verteilung D Mitte mit Rinde]:[Verteilung D Mitte mit Rinde]],2,FALSE)</f>
        <v>#N/A</v>
      </c>
      <c r="L4713">
        <v>4704</v>
      </c>
      <c r="M4713" t="e">
        <f>INDEX(Stammdaten[Abholzigkeit (mm/lfm)],MATCH(Tabelle9[[#This Row],[Rank]],Stammdaten[Rank Verteilung Abholzigkeit],0))</f>
        <v>#N/A</v>
      </c>
      <c r="N4713" t="e">
        <f>VLOOKUP(Tabelle9[[#This Row],[Rank]],Stammdaten[[Rank Verteilung Abholzigkeit]:[Verteilung Abholzigkeit]],2,FALSE)</f>
        <v>#N/A</v>
      </c>
      <c r="S4713">
        <v>4704</v>
      </c>
      <c r="T4713" t="e">
        <f>INDEX(Stammdaten[Krümmung (mm/lfm)],MATCH(Tabelle10[[#This Row],[Rank]],Stammdaten[Rank Verteilung Krümmung],0))</f>
        <v>#N/A</v>
      </c>
      <c r="U4713" t="e">
        <f>VLOOKUP(Tabelle10[[#This Row],[Rank]],Stammdaten[[Rank Verteilung Krümmung]:[Verteilung Krümmung]],2,FALSE)</f>
        <v>#N/A</v>
      </c>
      <c r="Z4713">
        <v>4704</v>
      </c>
      <c r="AA4713" t="e">
        <f>INDEX(Stammdaten[Ovalität (']0,1'])],MATCH(Tabelle1014[[#This Row],[Rank]],Stammdaten[Rank Verteilung Ovalität],0))</f>
        <v>#N/A</v>
      </c>
      <c r="AB4713" t="e">
        <f>VLOOKUP(Tabelle1014[[#This Row],[Rank]],Stammdaten[[Rank Verteilung Ovalität]:[Verteilung Ovalität]],2,FALSE)</f>
        <v>#N/A</v>
      </c>
    </row>
    <row r="4714" spans="5:28" x14ac:dyDescent="0.35">
      <c r="E4714">
        <v>4705</v>
      </c>
      <c r="F4714" t="e">
        <f>INDEX(Stammdaten[D Mitte mit Rinde (mm)],MATCH(Tabelle8[[#This Row],[Rank]],Stammdaten[Rank Verteilung D Mitte mit Rinde],0))</f>
        <v>#N/A</v>
      </c>
      <c r="G4714" t="e">
        <f>VLOOKUP(Tabelle8[[#This Row],[Rank]],Stammdaten[[Rank Verteilung D Mitte mit Rinde]:[Verteilung D Mitte mit Rinde]],2,FALSE)</f>
        <v>#N/A</v>
      </c>
      <c r="L4714">
        <v>4705</v>
      </c>
      <c r="M4714" t="e">
        <f>INDEX(Stammdaten[Abholzigkeit (mm/lfm)],MATCH(Tabelle9[[#This Row],[Rank]],Stammdaten[Rank Verteilung Abholzigkeit],0))</f>
        <v>#N/A</v>
      </c>
      <c r="N4714" t="e">
        <f>VLOOKUP(Tabelle9[[#This Row],[Rank]],Stammdaten[[Rank Verteilung Abholzigkeit]:[Verteilung Abholzigkeit]],2,FALSE)</f>
        <v>#N/A</v>
      </c>
      <c r="S4714">
        <v>4705</v>
      </c>
      <c r="T4714" t="e">
        <f>INDEX(Stammdaten[Krümmung (mm/lfm)],MATCH(Tabelle10[[#This Row],[Rank]],Stammdaten[Rank Verteilung Krümmung],0))</f>
        <v>#N/A</v>
      </c>
      <c r="U4714" t="e">
        <f>VLOOKUP(Tabelle10[[#This Row],[Rank]],Stammdaten[[Rank Verteilung Krümmung]:[Verteilung Krümmung]],2,FALSE)</f>
        <v>#N/A</v>
      </c>
      <c r="Z4714">
        <v>4705</v>
      </c>
      <c r="AA4714" t="e">
        <f>INDEX(Stammdaten[Ovalität (']0,1'])],MATCH(Tabelle1014[[#This Row],[Rank]],Stammdaten[Rank Verteilung Ovalität],0))</f>
        <v>#N/A</v>
      </c>
      <c r="AB4714" t="e">
        <f>VLOOKUP(Tabelle1014[[#This Row],[Rank]],Stammdaten[[Rank Verteilung Ovalität]:[Verteilung Ovalität]],2,FALSE)</f>
        <v>#N/A</v>
      </c>
    </row>
    <row r="4715" spans="5:28" x14ac:dyDescent="0.35">
      <c r="E4715">
        <v>4706</v>
      </c>
      <c r="F4715" t="e">
        <f>INDEX(Stammdaten[D Mitte mit Rinde (mm)],MATCH(Tabelle8[[#This Row],[Rank]],Stammdaten[Rank Verteilung D Mitte mit Rinde],0))</f>
        <v>#N/A</v>
      </c>
      <c r="G4715" t="e">
        <f>VLOOKUP(Tabelle8[[#This Row],[Rank]],Stammdaten[[Rank Verteilung D Mitte mit Rinde]:[Verteilung D Mitte mit Rinde]],2,FALSE)</f>
        <v>#N/A</v>
      </c>
      <c r="L4715">
        <v>4706</v>
      </c>
      <c r="M4715" t="e">
        <f>INDEX(Stammdaten[Abholzigkeit (mm/lfm)],MATCH(Tabelle9[[#This Row],[Rank]],Stammdaten[Rank Verteilung Abholzigkeit],0))</f>
        <v>#N/A</v>
      </c>
      <c r="N4715" t="e">
        <f>VLOOKUP(Tabelle9[[#This Row],[Rank]],Stammdaten[[Rank Verteilung Abholzigkeit]:[Verteilung Abholzigkeit]],2,FALSE)</f>
        <v>#N/A</v>
      </c>
      <c r="S4715">
        <v>4706</v>
      </c>
      <c r="T4715" t="e">
        <f>INDEX(Stammdaten[Krümmung (mm/lfm)],MATCH(Tabelle10[[#This Row],[Rank]],Stammdaten[Rank Verteilung Krümmung],0))</f>
        <v>#N/A</v>
      </c>
      <c r="U4715" t="e">
        <f>VLOOKUP(Tabelle10[[#This Row],[Rank]],Stammdaten[[Rank Verteilung Krümmung]:[Verteilung Krümmung]],2,FALSE)</f>
        <v>#N/A</v>
      </c>
      <c r="Z4715">
        <v>4706</v>
      </c>
      <c r="AA4715" t="e">
        <f>INDEX(Stammdaten[Ovalität (']0,1'])],MATCH(Tabelle1014[[#This Row],[Rank]],Stammdaten[Rank Verteilung Ovalität],0))</f>
        <v>#N/A</v>
      </c>
      <c r="AB4715" t="e">
        <f>VLOOKUP(Tabelle1014[[#This Row],[Rank]],Stammdaten[[Rank Verteilung Ovalität]:[Verteilung Ovalität]],2,FALSE)</f>
        <v>#N/A</v>
      </c>
    </row>
    <row r="4716" spans="5:28" x14ac:dyDescent="0.35">
      <c r="E4716">
        <v>4707</v>
      </c>
      <c r="F4716" t="e">
        <f>INDEX(Stammdaten[D Mitte mit Rinde (mm)],MATCH(Tabelle8[[#This Row],[Rank]],Stammdaten[Rank Verteilung D Mitte mit Rinde],0))</f>
        <v>#N/A</v>
      </c>
      <c r="G4716" t="e">
        <f>VLOOKUP(Tabelle8[[#This Row],[Rank]],Stammdaten[[Rank Verteilung D Mitte mit Rinde]:[Verteilung D Mitte mit Rinde]],2,FALSE)</f>
        <v>#N/A</v>
      </c>
      <c r="L4716">
        <v>4707</v>
      </c>
      <c r="M4716" t="e">
        <f>INDEX(Stammdaten[Abholzigkeit (mm/lfm)],MATCH(Tabelle9[[#This Row],[Rank]],Stammdaten[Rank Verteilung Abholzigkeit],0))</f>
        <v>#N/A</v>
      </c>
      <c r="N4716" t="e">
        <f>VLOOKUP(Tabelle9[[#This Row],[Rank]],Stammdaten[[Rank Verteilung Abholzigkeit]:[Verteilung Abholzigkeit]],2,FALSE)</f>
        <v>#N/A</v>
      </c>
      <c r="S4716">
        <v>4707</v>
      </c>
      <c r="T4716" t="e">
        <f>INDEX(Stammdaten[Krümmung (mm/lfm)],MATCH(Tabelle10[[#This Row],[Rank]],Stammdaten[Rank Verteilung Krümmung],0))</f>
        <v>#N/A</v>
      </c>
      <c r="U4716" t="e">
        <f>VLOOKUP(Tabelle10[[#This Row],[Rank]],Stammdaten[[Rank Verteilung Krümmung]:[Verteilung Krümmung]],2,FALSE)</f>
        <v>#N/A</v>
      </c>
      <c r="Z4716">
        <v>4707</v>
      </c>
      <c r="AA4716" t="e">
        <f>INDEX(Stammdaten[Ovalität (']0,1'])],MATCH(Tabelle1014[[#This Row],[Rank]],Stammdaten[Rank Verteilung Ovalität],0))</f>
        <v>#N/A</v>
      </c>
      <c r="AB4716" t="e">
        <f>VLOOKUP(Tabelle1014[[#This Row],[Rank]],Stammdaten[[Rank Verteilung Ovalität]:[Verteilung Ovalität]],2,FALSE)</f>
        <v>#N/A</v>
      </c>
    </row>
    <row r="4717" spans="5:28" x14ac:dyDescent="0.35">
      <c r="E4717">
        <v>4708</v>
      </c>
      <c r="F4717" t="e">
        <f>INDEX(Stammdaten[D Mitte mit Rinde (mm)],MATCH(Tabelle8[[#This Row],[Rank]],Stammdaten[Rank Verteilung D Mitte mit Rinde],0))</f>
        <v>#N/A</v>
      </c>
      <c r="G4717" t="e">
        <f>VLOOKUP(Tabelle8[[#This Row],[Rank]],Stammdaten[[Rank Verteilung D Mitte mit Rinde]:[Verteilung D Mitte mit Rinde]],2,FALSE)</f>
        <v>#N/A</v>
      </c>
      <c r="L4717">
        <v>4708</v>
      </c>
      <c r="M4717" t="e">
        <f>INDEX(Stammdaten[Abholzigkeit (mm/lfm)],MATCH(Tabelle9[[#This Row],[Rank]],Stammdaten[Rank Verteilung Abholzigkeit],0))</f>
        <v>#N/A</v>
      </c>
      <c r="N4717" t="e">
        <f>VLOOKUP(Tabelle9[[#This Row],[Rank]],Stammdaten[[Rank Verteilung Abholzigkeit]:[Verteilung Abholzigkeit]],2,FALSE)</f>
        <v>#N/A</v>
      </c>
      <c r="S4717">
        <v>4708</v>
      </c>
      <c r="T4717" t="e">
        <f>INDEX(Stammdaten[Krümmung (mm/lfm)],MATCH(Tabelle10[[#This Row],[Rank]],Stammdaten[Rank Verteilung Krümmung],0))</f>
        <v>#N/A</v>
      </c>
      <c r="U4717" t="e">
        <f>VLOOKUP(Tabelle10[[#This Row],[Rank]],Stammdaten[[Rank Verteilung Krümmung]:[Verteilung Krümmung]],2,FALSE)</f>
        <v>#N/A</v>
      </c>
      <c r="Z4717">
        <v>4708</v>
      </c>
      <c r="AA4717" t="e">
        <f>INDEX(Stammdaten[Ovalität (']0,1'])],MATCH(Tabelle1014[[#This Row],[Rank]],Stammdaten[Rank Verteilung Ovalität],0))</f>
        <v>#N/A</v>
      </c>
      <c r="AB4717" t="e">
        <f>VLOOKUP(Tabelle1014[[#This Row],[Rank]],Stammdaten[[Rank Verteilung Ovalität]:[Verteilung Ovalität]],2,FALSE)</f>
        <v>#N/A</v>
      </c>
    </row>
    <row r="4718" spans="5:28" x14ac:dyDescent="0.35">
      <c r="E4718">
        <v>4709</v>
      </c>
      <c r="F4718" t="e">
        <f>INDEX(Stammdaten[D Mitte mit Rinde (mm)],MATCH(Tabelle8[[#This Row],[Rank]],Stammdaten[Rank Verteilung D Mitte mit Rinde],0))</f>
        <v>#N/A</v>
      </c>
      <c r="G4718" t="e">
        <f>VLOOKUP(Tabelle8[[#This Row],[Rank]],Stammdaten[[Rank Verteilung D Mitte mit Rinde]:[Verteilung D Mitte mit Rinde]],2,FALSE)</f>
        <v>#N/A</v>
      </c>
      <c r="L4718">
        <v>4709</v>
      </c>
      <c r="M4718" t="e">
        <f>INDEX(Stammdaten[Abholzigkeit (mm/lfm)],MATCH(Tabelle9[[#This Row],[Rank]],Stammdaten[Rank Verteilung Abholzigkeit],0))</f>
        <v>#N/A</v>
      </c>
      <c r="N4718" t="e">
        <f>VLOOKUP(Tabelle9[[#This Row],[Rank]],Stammdaten[[Rank Verteilung Abholzigkeit]:[Verteilung Abholzigkeit]],2,FALSE)</f>
        <v>#N/A</v>
      </c>
      <c r="S4718">
        <v>4709</v>
      </c>
      <c r="T4718" t="e">
        <f>INDEX(Stammdaten[Krümmung (mm/lfm)],MATCH(Tabelle10[[#This Row],[Rank]],Stammdaten[Rank Verteilung Krümmung],0))</f>
        <v>#N/A</v>
      </c>
      <c r="U4718" t="e">
        <f>VLOOKUP(Tabelle10[[#This Row],[Rank]],Stammdaten[[Rank Verteilung Krümmung]:[Verteilung Krümmung]],2,FALSE)</f>
        <v>#N/A</v>
      </c>
      <c r="Z4718">
        <v>4709</v>
      </c>
      <c r="AA4718" t="e">
        <f>INDEX(Stammdaten[Ovalität (']0,1'])],MATCH(Tabelle1014[[#This Row],[Rank]],Stammdaten[Rank Verteilung Ovalität],0))</f>
        <v>#N/A</v>
      </c>
      <c r="AB4718" t="e">
        <f>VLOOKUP(Tabelle1014[[#This Row],[Rank]],Stammdaten[[Rank Verteilung Ovalität]:[Verteilung Ovalität]],2,FALSE)</f>
        <v>#N/A</v>
      </c>
    </row>
    <row r="4719" spans="5:28" x14ac:dyDescent="0.35">
      <c r="E4719">
        <v>4710</v>
      </c>
      <c r="F4719" t="e">
        <f>INDEX(Stammdaten[D Mitte mit Rinde (mm)],MATCH(Tabelle8[[#This Row],[Rank]],Stammdaten[Rank Verteilung D Mitte mit Rinde],0))</f>
        <v>#N/A</v>
      </c>
      <c r="G4719" t="e">
        <f>VLOOKUP(Tabelle8[[#This Row],[Rank]],Stammdaten[[Rank Verteilung D Mitte mit Rinde]:[Verteilung D Mitte mit Rinde]],2,FALSE)</f>
        <v>#N/A</v>
      </c>
      <c r="L4719">
        <v>4710</v>
      </c>
      <c r="M4719" t="e">
        <f>INDEX(Stammdaten[Abholzigkeit (mm/lfm)],MATCH(Tabelle9[[#This Row],[Rank]],Stammdaten[Rank Verteilung Abholzigkeit],0))</f>
        <v>#N/A</v>
      </c>
      <c r="N4719" t="e">
        <f>VLOOKUP(Tabelle9[[#This Row],[Rank]],Stammdaten[[Rank Verteilung Abholzigkeit]:[Verteilung Abholzigkeit]],2,FALSE)</f>
        <v>#N/A</v>
      </c>
      <c r="S4719">
        <v>4710</v>
      </c>
      <c r="T4719" t="e">
        <f>INDEX(Stammdaten[Krümmung (mm/lfm)],MATCH(Tabelle10[[#This Row],[Rank]],Stammdaten[Rank Verteilung Krümmung],0))</f>
        <v>#N/A</v>
      </c>
      <c r="U4719" t="e">
        <f>VLOOKUP(Tabelle10[[#This Row],[Rank]],Stammdaten[[Rank Verteilung Krümmung]:[Verteilung Krümmung]],2,FALSE)</f>
        <v>#N/A</v>
      </c>
      <c r="Z4719">
        <v>4710</v>
      </c>
      <c r="AA4719" t="e">
        <f>INDEX(Stammdaten[Ovalität (']0,1'])],MATCH(Tabelle1014[[#This Row],[Rank]],Stammdaten[Rank Verteilung Ovalität],0))</f>
        <v>#N/A</v>
      </c>
      <c r="AB4719" t="e">
        <f>VLOOKUP(Tabelle1014[[#This Row],[Rank]],Stammdaten[[Rank Verteilung Ovalität]:[Verteilung Ovalität]],2,FALSE)</f>
        <v>#N/A</v>
      </c>
    </row>
    <row r="4720" spans="5:28" x14ac:dyDescent="0.35">
      <c r="E4720">
        <v>4711</v>
      </c>
      <c r="F4720" t="e">
        <f>INDEX(Stammdaten[D Mitte mit Rinde (mm)],MATCH(Tabelle8[[#This Row],[Rank]],Stammdaten[Rank Verteilung D Mitte mit Rinde],0))</f>
        <v>#N/A</v>
      </c>
      <c r="G4720" t="e">
        <f>VLOOKUP(Tabelle8[[#This Row],[Rank]],Stammdaten[[Rank Verteilung D Mitte mit Rinde]:[Verteilung D Mitte mit Rinde]],2,FALSE)</f>
        <v>#N/A</v>
      </c>
      <c r="L4720">
        <v>4711</v>
      </c>
      <c r="M4720" t="e">
        <f>INDEX(Stammdaten[Abholzigkeit (mm/lfm)],MATCH(Tabelle9[[#This Row],[Rank]],Stammdaten[Rank Verteilung Abholzigkeit],0))</f>
        <v>#N/A</v>
      </c>
      <c r="N4720" t="e">
        <f>VLOOKUP(Tabelle9[[#This Row],[Rank]],Stammdaten[[Rank Verteilung Abholzigkeit]:[Verteilung Abholzigkeit]],2,FALSE)</f>
        <v>#N/A</v>
      </c>
      <c r="S4720">
        <v>4711</v>
      </c>
      <c r="T4720" t="e">
        <f>INDEX(Stammdaten[Krümmung (mm/lfm)],MATCH(Tabelle10[[#This Row],[Rank]],Stammdaten[Rank Verteilung Krümmung],0))</f>
        <v>#N/A</v>
      </c>
      <c r="U4720" t="e">
        <f>VLOOKUP(Tabelle10[[#This Row],[Rank]],Stammdaten[[Rank Verteilung Krümmung]:[Verteilung Krümmung]],2,FALSE)</f>
        <v>#N/A</v>
      </c>
      <c r="Z4720">
        <v>4711</v>
      </c>
      <c r="AA4720" t="e">
        <f>INDEX(Stammdaten[Ovalität (']0,1'])],MATCH(Tabelle1014[[#This Row],[Rank]],Stammdaten[Rank Verteilung Ovalität],0))</f>
        <v>#N/A</v>
      </c>
      <c r="AB4720" t="e">
        <f>VLOOKUP(Tabelle1014[[#This Row],[Rank]],Stammdaten[[Rank Verteilung Ovalität]:[Verteilung Ovalität]],2,FALSE)</f>
        <v>#N/A</v>
      </c>
    </row>
    <row r="4721" spans="5:28" x14ac:dyDescent="0.35">
      <c r="E4721">
        <v>4712</v>
      </c>
      <c r="F4721" t="e">
        <f>INDEX(Stammdaten[D Mitte mit Rinde (mm)],MATCH(Tabelle8[[#This Row],[Rank]],Stammdaten[Rank Verteilung D Mitte mit Rinde],0))</f>
        <v>#N/A</v>
      </c>
      <c r="G4721" t="e">
        <f>VLOOKUP(Tabelle8[[#This Row],[Rank]],Stammdaten[[Rank Verteilung D Mitte mit Rinde]:[Verteilung D Mitte mit Rinde]],2,FALSE)</f>
        <v>#N/A</v>
      </c>
      <c r="L4721">
        <v>4712</v>
      </c>
      <c r="M4721" t="e">
        <f>INDEX(Stammdaten[Abholzigkeit (mm/lfm)],MATCH(Tabelle9[[#This Row],[Rank]],Stammdaten[Rank Verteilung Abholzigkeit],0))</f>
        <v>#N/A</v>
      </c>
      <c r="N4721" t="e">
        <f>VLOOKUP(Tabelle9[[#This Row],[Rank]],Stammdaten[[Rank Verteilung Abholzigkeit]:[Verteilung Abholzigkeit]],2,FALSE)</f>
        <v>#N/A</v>
      </c>
      <c r="S4721">
        <v>4712</v>
      </c>
      <c r="T4721" t="e">
        <f>INDEX(Stammdaten[Krümmung (mm/lfm)],MATCH(Tabelle10[[#This Row],[Rank]],Stammdaten[Rank Verteilung Krümmung],0))</f>
        <v>#N/A</v>
      </c>
      <c r="U4721" t="e">
        <f>VLOOKUP(Tabelle10[[#This Row],[Rank]],Stammdaten[[Rank Verteilung Krümmung]:[Verteilung Krümmung]],2,FALSE)</f>
        <v>#N/A</v>
      </c>
      <c r="Z4721">
        <v>4712</v>
      </c>
      <c r="AA4721" t="e">
        <f>INDEX(Stammdaten[Ovalität (']0,1'])],MATCH(Tabelle1014[[#This Row],[Rank]],Stammdaten[Rank Verteilung Ovalität],0))</f>
        <v>#N/A</v>
      </c>
      <c r="AB4721" t="e">
        <f>VLOOKUP(Tabelle1014[[#This Row],[Rank]],Stammdaten[[Rank Verteilung Ovalität]:[Verteilung Ovalität]],2,FALSE)</f>
        <v>#N/A</v>
      </c>
    </row>
    <row r="4722" spans="5:28" x14ac:dyDescent="0.35">
      <c r="E4722">
        <v>4713</v>
      </c>
      <c r="F4722" t="e">
        <f>INDEX(Stammdaten[D Mitte mit Rinde (mm)],MATCH(Tabelle8[[#This Row],[Rank]],Stammdaten[Rank Verteilung D Mitte mit Rinde],0))</f>
        <v>#N/A</v>
      </c>
      <c r="G4722" t="e">
        <f>VLOOKUP(Tabelle8[[#This Row],[Rank]],Stammdaten[[Rank Verteilung D Mitte mit Rinde]:[Verteilung D Mitte mit Rinde]],2,FALSE)</f>
        <v>#N/A</v>
      </c>
      <c r="L4722">
        <v>4713</v>
      </c>
      <c r="M4722" t="e">
        <f>INDEX(Stammdaten[Abholzigkeit (mm/lfm)],MATCH(Tabelle9[[#This Row],[Rank]],Stammdaten[Rank Verteilung Abholzigkeit],0))</f>
        <v>#N/A</v>
      </c>
      <c r="N4722" t="e">
        <f>VLOOKUP(Tabelle9[[#This Row],[Rank]],Stammdaten[[Rank Verteilung Abholzigkeit]:[Verteilung Abholzigkeit]],2,FALSE)</f>
        <v>#N/A</v>
      </c>
      <c r="S4722">
        <v>4713</v>
      </c>
      <c r="T4722" t="e">
        <f>INDEX(Stammdaten[Krümmung (mm/lfm)],MATCH(Tabelle10[[#This Row],[Rank]],Stammdaten[Rank Verteilung Krümmung],0))</f>
        <v>#N/A</v>
      </c>
      <c r="U4722" t="e">
        <f>VLOOKUP(Tabelle10[[#This Row],[Rank]],Stammdaten[[Rank Verteilung Krümmung]:[Verteilung Krümmung]],2,FALSE)</f>
        <v>#N/A</v>
      </c>
      <c r="Z4722">
        <v>4713</v>
      </c>
      <c r="AA4722" t="e">
        <f>INDEX(Stammdaten[Ovalität (']0,1'])],MATCH(Tabelle1014[[#This Row],[Rank]],Stammdaten[Rank Verteilung Ovalität],0))</f>
        <v>#N/A</v>
      </c>
      <c r="AB4722" t="e">
        <f>VLOOKUP(Tabelle1014[[#This Row],[Rank]],Stammdaten[[Rank Verteilung Ovalität]:[Verteilung Ovalität]],2,FALSE)</f>
        <v>#N/A</v>
      </c>
    </row>
    <row r="4723" spans="5:28" x14ac:dyDescent="0.35">
      <c r="E4723">
        <v>4714</v>
      </c>
      <c r="F4723" t="e">
        <f>INDEX(Stammdaten[D Mitte mit Rinde (mm)],MATCH(Tabelle8[[#This Row],[Rank]],Stammdaten[Rank Verteilung D Mitte mit Rinde],0))</f>
        <v>#N/A</v>
      </c>
      <c r="G4723" t="e">
        <f>VLOOKUP(Tabelle8[[#This Row],[Rank]],Stammdaten[[Rank Verteilung D Mitte mit Rinde]:[Verteilung D Mitte mit Rinde]],2,FALSE)</f>
        <v>#N/A</v>
      </c>
      <c r="L4723">
        <v>4714</v>
      </c>
      <c r="M4723" t="e">
        <f>INDEX(Stammdaten[Abholzigkeit (mm/lfm)],MATCH(Tabelle9[[#This Row],[Rank]],Stammdaten[Rank Verteilung Abholzigkeit],0))</f>
        <v>#N/A</v>
      </c>
      <c r="N4723" t="e">
        <f>VLOOKUP(Tabelle9[[#This Row],[Rank]],Stammdaten[[Rank Verteilung Abholzigkeit]:[Verteilung Abholzigkeit]],2,FALSE)</f>
        <v>#N/A</v>
      </c>
      <c r="S4723">
        <v>4714</v>
      </c>
      <c r="T4723" t="e">
        <f>INDEX(Stammdaten[Krümmung (mm/lfm)],MATCH(Tabelle10[[#This Row],[Rank]],Stammdaten[Rank Verteilung Krümmung],0))</f>
        <v>#N/A</v>
      </c>
      <c r="U4723" t="e">
        <f>VLOOKUP(Tabelle10[[#This Row],[Rank]],Stammdaten[[Rank Verteilung Krümmung]:[Verteilung Krümmung]],2,FALSE)</f>
        <v>#N/A</v>
      </c>
      <c r="Z4723">
        <v>4714</v>
      </c>
      <c r="AA4723" t="e">
        <f>INDEX(Stammdaten[Ovalität (']0,1'])],MATCH(Tabelle1014[[#This Row],[Rank]],Stammdaten[Rank Verteilung Ovalität],0))</f>
        <v>#N/A</v>
      </c>
      <c r="AB4723" t="e">
        <f>VLOOKUP(Tabelle1014[[#This Row],[Rank]],Stammdaten[[Rank Verteilung Ovalität]:[Verteilung Ovalität]],2,FALSE)</f>
        <v>#N/A</v>
      </c>
    </row>
    <row r="4724" spans="5:28" x14ac:dyDescent="0.35">
      <c r="E4724">
        <v>4715</v>
      </c>
      <c r="F4724" t="e">
        <f>INDEX(Stammdaten[D Mitte mit Rinde (mm)],MATCH(Tabelle8[[#This Row],[Rank]],Stammdaten[Rank Verteilung D Mitte mit Rinde],0))</f>
        <v>#N/A</v>
      </c>
      <c r="G4724" t="e">
        <f>VLOOKUP(Tabelle8[[#This Row],[Rank]],Stammdaten[[Rank Verteilung D Mitte mit Rinde]:[Verteilung D Mitte mit Rinde]],2,FALSE)</f>
        <v>#N/A</v>
      </c>
      <c r="L4724">
        <v>4715</v>
      </c>
      <c r="M4724" t="e">
        <f>INDEX(Stammdaten[Abholzigkeit (mm/lfm)],MATCH(Tabelle9[[#This Row],[Rank]],Stammdaten[Rank Verteilung Abholzigkeit],0))</f>
        <v>#N/A</v>
      </c>
      <c r="N4724" t="e">
        <f>VLOOKUP(Tabelle9[[#This Row],[Rank]],Stammdaten[[Rank Verteilung Abholzigkeit]:[Verteilung Abholzigkeit]],2,FALSE)</f>
        <v>#N/A</v>
      </c>
      <c r="S4724">
        <v>4715</v>
      </c>
      <c r="T4724" t="e">
        <f>INDEX(Stammdaten[Krümmung (mm/lfm)],MATCH(Tabelle10[[#This Row],[Rank]],Stammdaten[Rank Verteilung Krümmung],0))</f>
        <v>#N/A</v>
      </c>
      <c r="U4724" t="e">
        <f>VLOOKUP(Tabelle10[[#This Row],[Rank]],Stammdaten[[Rank Verteilung Krümmung]:[Verteilung Krümmung]],2,FALSE)</f>
        <v>#N/A</v>
      </c>
      <c r="Z4724">
        <v>4715</v>
      </c>
      <c r="AA4724" t="e">
        <f>INDEX(Stammdaten[Ovalität (']0,1'])],MATCH(Tabelle1014[[#This Row],[Rank]],Stammdaten[Rank Verteilung Ovalität],0))</f>
        <v>#N/A</v>
      </c>
      <c r="AB4724" t="e">
        <f>VLOOKUP(Tabelle1014[[#This Row],[Rank]],Stammdaten[[Rank Verteilung Ovalität]:[Verteilung Ovalität]],2,FALSE)</f>
        <v>#N/A</v>
      </c>
    </row>
    <row r="4725" spans="5:28" x14ac:dyDescent="0.35">
      <c r="E4725">
        <v>4716</v>
      </c>
      <c r="F4725" t="e">
        <f>INDEX(Stammdaten[D Mitte mit Rinde (mm)],MATCH(Tabelle8[[#This Row],[Rank]],Stammdaten[Rank Verteilung D Mitte mit Rinde],0))</f>
        <v>#N/A</v>
      </c>
      <c r="G4725" t="e">
        <f>VLOOKUP(Tabelle8[[#This Row],[Rank]],Stammdaten[[Rank Verteilung D Mitte mit Rinde]:[Verteilung D Mitte mit Rinde]],2,FALSE)</f>
        <v>#N/A</v>
      </c>
      <c r="L4725">
        <v>4716</v>
      </c>
      <c r="M4725" t="e">
        <f>INDEX(Stammdaten[Abholzigkeit (mm/lfm)],MATCH(Tabelle9[[#This Row],[Rank]],Stammdaten[Rank Verteilung Abholzigkeit],0))</f>
        <v>#N/A</v>
      </c>
      <c r="N4725" t="e">
        <f>VLOOKUP(Tabelle9[[#This Row],[Rank]],Stammdaten[[Rank Verteilung Abholzigkeit]:[Verteilung Abholzigkeit]],2,FALSE)</f>
        <v>#N/A</v>
      </c>
      <c r="S4725">
        <v>4716</v>
      </c>
      <c r="T4725" t="e">
        <f>INDEX(Stammdaten[Krümmung (mm/lfm)],MATCH(Tabelle10[[#This Row],[Rank]],Stammdaten[Rank Verteilung Krümmung],0))</f>
        <v>#N/A</v>
      </c>
      <c r="U4725" t="e">
        <f>VLOOKUP(Tabelle10[[#This Row],[Rank]],Stammdaten[[Rank Verteilung Krümmung]:[Verteilung Krümmung]],2,FALSE)</f>
        <v>#N/A</v>
      </c>
      <c r="Z4725">
        <v>4716</v>
      </c>
      <c r="AA4725" t="e">
        <f>INDEX(Stammdaten[Ovalität (']0,1'])],MATCH(Tabelle1014[[#This Row],[Rank]],Stammdaten[Rank Verteilung Ovalität],0))</f>
        <v>#N/A</v>
      </c>
      <c r="AB4725" t="e">
        <f>VLOOKUP(Tabelle1014[[#This Row],[Rank]],Stammdaten[[Rank Verteilung Ovalität]:[Verteilung Ovalität]],2,FALSE)</f>
        <v>#N/A</v>
      </c>
    </row>
    <row r="4726" spans="5:28" x14ac:dyDescent="0.35">
      <c r="E4726">
        <v>4717</v>
      </c>
      <c r="F4726" t="e">
        <f>INDEX(Stammdaten[D Mitte mit Rinde (mm)],MATCH(Tabelle8[[#This Row],[Rank]],Stammdaten[Rank Verteilung D Mitte mit Rinde],0))</f>
        <v>#N/A</v>
      </c>
      <c r="G4726" t="e">
        <f>VLOOKUP(Tabelle8[[#This Row],[Rank]],Stammdaten[[Rank Verteilung D Mitte mit Rinde]:[Verteilung D Mitte mit Rinde]],2,FALSE)</f>
        <v>#N/A</v>
      </c>
      <c r="L4726">
        <v>4717</v>
      </c>
      <c r="M4726" t="e">
        <f>INDEX(Stammdaten[Abholzigkeit (mm/lfm)],MATCH(Tabelle9[[#This Row],[Rank]],Stammdaten[Rank Verteilung Abholzigkeit],0))</f>
        <v>#N/A</v>
      </c>
      <c r="N4726" t="e">
        <f>VLOOKUP(Tabelle9[[#This Row],[Rank]],Stammdaten[[Rank Verteilung Abholzigkeit]:[Verteilung Abholzigkeit]],2,FALSE)</f>
        <v>#N/A</v>
      </c>
      <c r="S4726">
        <v>4717</v>
      </c>
      <c r="T4726" t="e">
        <f>INDEX(Stammdaten[Krümmung (mm/lfm)],MATCH(Tabelle10[[#This Row],[Rank]],Stammdaten[Rank Verteilung Krümmung],0))</f>
        <v>#N/A</v>
      </c>
      <c r="U4726" t="e">
        <f>VLOOKUP(Tabelle10[[#This Row],[Rank]],Stammdaten[[Rank Verteilung Krümmung]:[Verteilung Krümmung]],2,FALSE)</f>
        <v>#N/A</v>
      </c>
      <c r="Z4726">
        <v>4717</v>
      </c>
      <c r="AA4726" t="e">
        <f>INDEX(Stammdaten[Ovalität (']0,1'])],MATCH(Tabelle1014[[#This Row],[Rank]],Stammdaten[Rank Verteilung Ovalität],0))</f>
        <v>#N/A</v>
      </c>
      <c r="AB4726" t="e">
        <f>VLOOKUP(Tabelle1014[[#This Row],[Rank]],Stammdaten[[Rank Verteilung Ovalität]:[Verteilung Ovalität]],2,FALSE)</f>
        <v>#N/A</v>
      </c>
    </row>
    <row r="4727" spans="5:28" x14ac:dyDescent="0.35">
      <c r="E4727">
        <v>4718</v>
      </c>
      <c r="F4727" t="e">
        <f>INDEX(Stammdaten[D Mitte mit Rinde (mm)],MATCH(Tabelle8[[#This Row],[Rank]],Stammdaten[Rank Verteilung D Mitte mit Rinde],0))</f>
        <v>#N/A</v>
      </c>
      <c r="G4727" t="e">
        <f>VLOOKUP(Tabelle8[[#This Row],[Rank]],Stammdaten[[Rank Verteilung D Mitte mit Rinde]:[Verteilung D Mitte mit Rinde]],2,FALSE)</f>
        <v>#N/A</v>
      </c>
      <c r="L4727">
        <v>4718</v>
      </c>
      <c r="M4727" t="e">
        <f>INDEX(Stammdaten[Abholzigkeit (mm/lfm)],MATCH(Tabelle9[[#This Row],[Rank]],Stammdaten[Rank Verteilung Abholzigkeit],0))</f>
        <v>#N/A</v>
      </c>
      <c r="N4727" t="e">
        <f>VLOOKUP(Tabelle9[[#This Row],[Rank]],Stammdaten[[Rank Verteilung Abholzigkeit]:[Verteilung Abholzigkeit]],2,FALSE)</f>
        <v>#N/A</v>
      </c>
      <c r="S4727">
        <v>4718</v>
      </c>
      <c r="T4727" t="e">
        <f>INDEX(Stammdaten[Krümmung (mm/lfm)],MATCH(Tabelle10[[#This Row],[Rank]],Stammdaten[Rank Verteilung Krümmung],0))</f>
        <v>#N/A</v>
      </c>
      <c r="U4727" t="e">
        <f>VLOOKUP(Tabelle10[[#This Row],[Rank]],Stammdaten[[Rank Verteilung Krümmung]:[Verteilung Krümmung]],2,FALSE)</f>
        <v>#N/A</v>
      </c>
      <c r="Z4727">
        <v>4718</v>
      </c>
      <c r="AA4727" t="e">
        <f>INDEX(Stammdaten[Ovalität (']0,1'])],MATCH(Tabelle1014[[#This Row],[Rank]],Stammdaten[Rank Verteilung Ovalität],0))</f>
        <v>#N/A</v>
      </c>
      <c r="AB4727" t="e">
        <f>VLOOKUP(Tabelle1014[[#This Row],[Rank]],Stammdaten[[Rank Verteilung Ovalität]:[Verteilung Ovalität]],2,FALSE)</f>
        <v>#N/A</v>
      </c>
    </row>
    <row r="4728" spans="5:28" x14ac:dyDescent="0.35">
      <c r="E4728">
        <v>4719</v>
      </c>
      <c r="F4728" t="e">
        <f>INDEX(Stammdaten[D Mitte mit Rinde (mm)],MATCH(Tabelle8[[#This Row],[Rank]],Stammdaten[Rank Verteilung D Mitte mit Rinde],0))</f>
        <v>#N/A</v>
      </c>
      <c r="G4728" t="e">
        <f>VLOOKUP(Tabelle8[[#This Row],[Rank]],Stammdaten[[Rank Verteilung D Mitte mit Rinde]:[Verteilung D Mitte mit Rinde]],2,FALSE)</f>
        <v>#N/A</v>
      </c>
      <c r="L4728">
        <v>4719</v>
      </c>
      <c r="M4728" t="e">
        <f>INDEX(Stammdaten[Abholzigkeit (mm/lfm)],MATCH(Tabelle9[[#This Row],[Rank]],Stammdaten[Rank Verteilung Abholzigkeit],0))</f>
        <v>#N/A</v>
      </c>
      <c r="N4728" t="e">
        <f>VLOOKUP(Tabelle9[[#This Row],[Rank]],Stammdaten[[Rank Verteilung Abholzigkeit]:[Verteilung Abholzigkeit]],2,FALSE)</f>
        <v>#N/A</v>
      </c>
      <c r="S4728">
        <v>4719</v>
      </c>
      <c r="T4728" t="e">
        <f>INDEX(Stammdaten[Krümmung (mm/lfm)],MATCH(Tabelle10[[#This Row],[Rank]],Stammdaten[Rank Verteilung Krümmung],0))</f>
        <v>#N/A</v>
      </c>
      <c r="U4728" t="e">
        <f>VLOOKUP(Tabelle10[[#This Row],[Rank]],Stammdaten[[Rank Verteilung Krümmung]:[Verteilung Krümmung]],2,FALSE)</f>
        <v>#N/A</v>
      </c>
      <c r="Z4728">
        <v>4719</v>
      </c>
      <c r="AA4728" t="e">
        <f>INDEX(Stammdaten[Ovalität (']0,1'])],MATCH(Tabelle1014[[#This Row],[Rank]],Stammdaten[Rank Verteilung Ovalität],0))</f>
        <v>#N/A</v>
      </c>
      <c r="AB4728" t="e">
        <f>VLOOKUP(Tabelle1014[[#This Row],[Rank]],Stammdaten[[Rank Verteilung Ovalität]:[Verteilung Ovalität]],2,FALSE)</f>
        <v>#N/A</v>
      </c>
    </row>
    <row r="4729" spans="5:28" x14ac:dyDescent="0.35">
      <c r="E4729">
        <v>4720</v>
      </c>
      <c r="F4729" t="e">
        <f>INDEX(Stammdaten[D Mitte mit Rinde (mm)],MATCH(Tabelle8[[#This Row],[Rank]],Stammdaten[Rank Verteilung D Mitte mit Rinde],0))</f>
        <v>#N/A</v>
      </c>
      <c r="G4729" t="e">
        <f>VLOOKUP(Tabelle8[[#This Row],[Rank]],Stammdaten[[Rank Verteilung D Mitte mit Rinde]:[Verteilung D Mitte mit Rinde]],2,FALSE)</f>
        <v>#N/A</v>
      </c>
      <c r="L4729">
        <v>4720</v>
      </c>
      <c r="M4729" t="e">
        <f>INDEX(Stammdaten[Abholzigkeit (mm/lfm)],MATCH(Tabelle9[[#This Row],[Rank]],Stammdaten[Rank Verteilung Abholzigkeit],0))</f>
        <v>#N/A</v>
      </c>
      <c r="N4729" t="e">
        <f>VLOOKUP(Tabelle9[[#This Row],[Rank]],Stammdaten[[Rank Verteilung Abholzigkeit]:[Verteilung Abholzigkeit]],2,FALSE)</f>
        <v>#N/A</v>
      </c>
      <c r="S4729">
        <v>4720</v>
      </c>
      <c r="T4729" t="e">
        <f>INDEX(Stammdaten[Krümmung (mm/lfm)],MATCH(Tabelle10[[#This Row],[Rank]],Stammdaten[Rank Verteilung Krümmung],0))</f>
        <v>#N/A</v>
      </c>
      <c r="U4729" t="e">
        <f>VLOOKUP(Tabelle10[[#This Row],[Rank]],Stammdaten[[Rank Verteilung Krümmung]:[Verteilung Krümmung]],2,FALSE)</f>
        <v>#N/A</v>
      </c>
      <c r="Z4729">
        <v>4720</v>
      </c>
      <c r="AA4729" t="e">
        <f>INDEX(Stammdaten[Ovalität (']0,1'])],MATCH(Tabelle1014[[#This Row],[Rank]],Stammdaten[Rank Verteilung Ovalität],0))</f>
        <v>#N/A</v>
      </c>
      <c r="AB4729" t="e">
        <f>VLOOKUP(Tabelle1014[[#This Row],[Rank]],Stammdaten[[Rank Verteilung Ovalität]:[Verteilung Ovalität]],2,FALSE)</f>
        <v>#N/A</v>
      </c>
    </row>
    <row r="4730" spans="5:28" x14ac:dyDescent="0.35">
      <c r="E4730">
        <v>4721</v>
      </c>
      <c r="F4730" t="e">
        <f>INDEX(Stammdaten[D Mitte mit Rinde (mm)],MATCH(Tabelle8[[#This Row],[Rank]],Stammdaten[Rank Verteilung D Mitte mit Rinde],0))</f>
        <v>#N/A</v>
      </c>
      <c r="G4730" t="e">
        <f>VLOOKUP(Tabelle8[[#This Row],[Rank]],Stammdaten[[Rank Verteilung D Mitte mit Rinde]:[Verteilung D Mitte mit Rinde]],2,FALSE)</f>
        <v>#N/A</v>
      </c>
      <c r="L4730">
        <v>4721</v>
      </c>
      <c r="M4730" t="e">
        <f>INDEX(Stammdaten[Abholzigkeit (mm/lfm)],MATCH(Tabelle9[[#This Row],[Rank]],Stammdaten[Rank Verteilung Abholzigkeit],0))</f>
        <v>#N/A</v>
      </c>
      <c r="N4730" t="e">
        <f>VLOOKUP(Tabelle9[[#This Row],[Rank]],Stammdaten[[Rank Verteilung Abholzigkeit]:[Verteilung Abholzigkeit]],2,FALSE)</f>
        <v>#N/A</v>
      </c>
      <c r="S4730">
        <v>4721</v>
      </c>
      <c r="T4730" t="e">
        <f>INDEX(Stammdaten[Krümmung (mm/lfm)],MATCH(Tabelle10[[#This Row],[Rank]],Stammdaten[Rank Verteilung Krümmung],0))</f>
        <v>#N/A</v>
      </c>
      <c r="U4730" t="e">
        <f>VLOOKUP(Tabelle10[[#This Row],[Rank]],Stammdaten[[Rank Verteilung Krümmung]:[Verteilung Krümmung]],2,FALSE)</f>
        <v>#N/A</v>
      </c>
      <c r="Z4730">
        <v>4721</v>
      </c>
      <c r="AA4730" t="e">
        <f>INDEX(Stammdaten[Ovalität (']0,1'])],MATCH(Tabelle1014[[#This Row],[Rank]],Stammdaten[Rank Verteilung Ovalität],0))</f>
        <v>#N/A</v>
      </c>
      <c r="AB4730" t="e">
        <f>VLOOKUP(Tabelle1014[[#This Row],[Rank]],Stammdaten[[Rank Verteilung Ovalität]:[Verteilung Ovalität]],2,FALSE)</f>
        <v>#N/A</v>
      </c>
    </row>
    <row r="4731" spans="5:28" x14ac:dyDescent="0.35">
      <c r="E4731">
        <v>4722</v>
      </c>
      <c r="F4731" t="e">
        <f>INDEX(Stammdaten[D Mitte mit Rinde (mm)],MATCH(Tabelle8[[#This Row],[Rank]],Stammdaten[Rank Verteilung D Mitte mit Rinde],0))</f>
        <v>#N/A</v>
      </c>
      <c r="G4731" t="e">
        <f>VLOOKUP(Tabelle8[[#This Row],[Rank]],Stammdaten[[Rank Verteilung D Mitte mit Rinde]:[Verteilung D Mitte mit Rinde]],2,FALSE)</f>
        <v>#N/A</v>
      </c>
      <c r="L4731">
        <v>4722</v>
      </c>
      <c r="M4731" t="e">
        <f>INDEX(Stammdaten[Abholzigkeit (mm/lfm)],MATCH(Tabelle9[[#This Row],[Rank]],Stammdaten[Rank Verteilung Abholzigkeit],0))</f>
        <v>#N/A</v>
      </c>
      <c r="N4731" t="e">
        <f>VLOOKUP(Tabelle9[[#This Row],[Rank]],Stammdaten[[Rank Verteilung Abholzigkeit]:[Verteilung Abholzigkeit]],2,FALSE)</f>
        <v>#N/A</v>
      </c>
      <c r="S4731">
        <v>4722</v>
      </c>
      <c r="T4731" t="e">
        <f>INDEX(Stammdaten[Krümmung (mm/lfm)],MATCH(Tabelle10[[#This Row],[Rank]],Stammdaten[Rank Verteilung Krümmung],0))</f>
        <v>#N/A</v>
      </c>
      <c r="U4731" t="e">
        <f>VLOOKUP(Tabelle10[[#This Row],[Rank]],Stammdaten[[Rank Verteilung Krümmung]:[Verteilung Krümmung]],2,FALSE)</f>
        <v>#N/A</v>
      </c>
      <c r="Z4731">
        <v>4722</v>
      </c>
      <c r="AA4731" t="e">
        <f>INDEX(Stammdaten[Ovalität (']0,1'])],MATCH(Tabelle1014[[#This Row],[Rank]],Stammdaten[Rank Verteilung Ovalität],0))</f>
        <v>#N/A</v>
      </c>
      <c r="AB4731" t="e">
        <f>VLOOKUP(Tabelle1014[[#This Row],[Rank]],Stammdaten[[Rank Verteilung Ovalität]:[Verteilung Ovalität]],2,FALSE)</f>
        <v>#N/A</v>
      </c>
    </row>
    <row r="4732" spans="5:28" x14ac:dyDescent="0.35">
      <c r="E4732">
        <v>4723</v>
      </c>
      <c r="F4732" t="e">
        <f>INDEX(Stammdaten[D Mitte mit Rinde (mm)],MATCH(Tabelle8[[#This Row],[Rank]],Stammdaten[Rank Verteilung D Mitte mit Rinde],0))</f>
        <v>#N/A</v>
      </c>
      <c r="G4732" t="e">
        <f>VLOOKUP(Tabelle8[[#This Row],[Rank]],Stammdaten[[Rank Verteilung D Mitte mit Rinde]:[Verteilung D Mitte mit Rinde]],2,FALSE)</f>
        <v>#N/A</v>
      </c>
      <c r="L4732">
        <v>4723</v>
      </c>
      <c r="M4732" t="e">
        <f>INDEX(Stammdaten[Abholzigkeit (mm/lfm)],MATCH(Tabelle9[[#This Row],[Rank]],Stammdaten[Rank Verteilung Abholzigkeit],0))</f>
        <v>#N/A</v>
      </c>
      <c r="N4732" t="e">
        <f>VLOOKUP(Tabelle9[[#This Row],[Rank]],Stammdaten[[Rank Verteilung Abholzigkeit]:[Verteilung Abholzigkeit]],2,FALSE)</f>
        <v>#N/A</v>
      </c>
      <c r="S4732">
        <v>4723</v>
      </c>
      <c r="T4732" t="e">
        <f>INDEX(Stammdaten[Krümmung (mm/lfm)],MATCH(Tabelle10[[#This Row],[Rank]],Stammdaten[Rank Verteilung Krümmung],0))</f>
        <v>#N/A</v>
      </c>
      <c r="U4732" t="e">
        <f>VLOOKUP(Tabelle10[[#This Row],[Rank]],Stammdaten[[Rank Verteilung Krümmung]:[Verteilung Krümmung]],2,FALSE)</f>
        <v>#N/A</v>
      </c>
      <c r="Z4732">
        <v>4723</v>
      </c>
      <c r="AA4732" t="e">
        <f>INDEX(Stammdaten[Ovalität (']0,1'])],MATCH(Tabelle1014[[#This Row],[Rank]],Stammdaten[Rank Verteilung Ovalität],0))</f>
        <v>#N/A</v>
      </c>
      <c r="AB4732" t="e">
        <f>VLOOKUP(Tabelle1014[[#This Row],[Rank]],Stammdaten[[Rank Verteilung Ovalität]:[Verteilung Ovalität]],2,FALSE)</f>
        <v>#N/A</v>
      </c>
    </row>
    <row r="4733" spans="5:28" x14ac:dyDescent="0.35">
      <c r="E4733">
        <v>4724</v>
      </c>
      <c r="F4733" t="e">
        <f>INDEX(Stammdaten[D Mitte mit Rinde (mm)],MATCH(Tabelle8[[#This Row],[Rank]],Stammdaten[Rank Verteilung D Mitte mit Rinde],0))</f>
        <v>#N/A</v>
      </c>
      <c r="G4733" t="e">
        <f>VLOOKUP(Tabelle8[[#This Row],[Rank]],Stammdaten[[Rank Verteilung D Mitte mit Rinde]:[Verteilung D Mitte mit Rinde]],2,FALSE)</f>
        <v>#N/A</v>
      </c>
      <c r="L4733">
        <v>4724</v>
      </c>
      <c r="M4733" t="e">
        <f>INDEX(Stammdaten[Abholzigkeit (mm/lfm)],MATCH(Tabelle9[[#This Row],[Rank]],Stammdaten[Rank Verteilung Abholzigkeit],0))</f>
        <v>#N/A</v>
      </c>
      <c r="N4733" t="e">
        <f>VLOOKUP(Tabelle9[[#This Row],[Rank]],Stammdaten[[Rank Verteilung Abholzigkeit]:[Verteilung Abholzigkeit]],2,FALSE)</f>
        <v>#N/A</v>
      </c>
      <c r="S4733">
        <v>4724</v>
      </c>
      <c r="T4733" t="e">
        <f>INDEX(Stammdaten[Krümmung (mm/lfm)],MATCH(Tabelle10[[#This Row],[Rank]],Stammdaten[Rank Verteilung Krümmung],0))</f>
        <v>#N/A</v>
      </c>
      <c r="U4733" t="e">
        <f>VLOOKUP(Tabelle10[[#This Row],[Rank]],Stammdaten[[Rank Verteilung Krümmung]:[Verteilung Krümmung]],2,FALSE)</f>
        <v>#N/A</v>
      </c>
      <c r="Z4733">
        <v>4724</v>
      </c>
      <c r="AA4733" t="e">
        <f>INDEX(Stammdaten[Ovalität (']0,1'])],MATCH(Tabelle1014[[#This Row],[Rank]],Stammdaten[Rank Verteilung Ovalität],0))</f>
        <v>#N/A</v>
      </c>
      <c r="AB4733" t="e">
        <f>VLOOKUP(Tabelle1014[[#This Row],[Rank]],Stammdaten[[Rank Verteilung Ovalität]:[Verteilung Ovalität]],2,FALSE)</f>
        <v>#N/A</v>
      </c>
    </row>
    <row r="4734" spans="5:28" x14ac:dyDescent="0.35">
      <c r="E4734">
        <v>4725</v>
      </c>
      <c r="F4734" t="e">
        <f>INDEX(Stammdaten[D Mitte mit Rinde (mm)],MATCH(Tabelle8[[#This Row],[Rank]],Stammdaten[Rank Verteilung D Mitte mit Rinde],0))</f>
        <v>#N/A</v>
      </c>
      <c r="G4734" t="e">
        <f>VLOOKUP(Tabelle8[[#This Row],[Rank]],Stammdaten[[Rank Verteilung D Mitte mit Rinde]:[Verteilung D Mitte mit Rinde]],2,FALSE)</f>
        <v>#N/A</v>
      </c>
      <c r="L4734">
        <v>4725</v>
      </c>
      <c r="M4734" t="e">
        <f>INDEX(Stammdaten[Abholzigkeit (mm/lfm)],MATCH(Tabelle9[[#This Row],[Rank]],Stammdaten[Rank Verteilung Abholzigkeit],0))</f>
        <v>#N/A</v>
      </c>
      <c r="N4734" t="e">
        <f>VLOOKUP(Tabelle9[[#This Row],[Rank]],Stammdaten[[Rank Verteilung Abholzigkeit]:[Verteilung Abholzigkeit]],2,FALSE)</f>
        <v>#N/A</v>
      </c>
      <c r="S4734">
        <v>4725</v>
      </c>
      <c r="T4734" t="e">
        <f>INDEX(Stammdaten[Krümmung (mm/lfm)],MATCH(Tabelle10[[#This Row],[Rank]],Stammdaten[Rank Verteilung Krümmung],0))</f>
        <v>#N/A</v>
      </c>
      <c r="U4734" t="e">
        <f>VLOOKUP(Tabelle10[[#This Row],[Rank]],Stammdaten[[Rank Verteilung Krümmung]:[Verteilung Krümmung]],2,FALSE)</f>
        <v>#N/A</v>
      </c>
      <c r="Z4734">
        <v>4725</v>
      </c>
      <c r="AA4734" t="e">
        <f>INDEX(Stammdaten[Ovalität (']0,1'])],MATCH(Tabelle1014[[#This Row],[Rank]],Stammdaten[Rank Verteilung Ovalität],0))</f>
        <v>#N/A</v>
      </c>
      <c r="AB4734" t="e">
        <f>VLOOKUP(Tabelle1014[[#This Row],[Rank]],Stammdaten[[Rank Verteilung Ovalität]:[Verteilung Ovalität]],2,FALSE)</f>
        <v>#N/A</v>
      </c>
    </row>
    <row r="4735" spans="5:28" x14ac:dyDescent="0.35">
      <c r="E4735">
        <v>4726</v>
      </c>
      <c r="F4735" t="e">
        <f>INDEX(Stammdaten[D Mitte mit Rinde (mm)],MATCH(Tabelle8[[#This Row],[Rank]],Stammdaten[Rank Verteilung D Mitte mit Rinde],0))</f>
        <v>#N/A</v>
      </c>
      <c r="G4735" t="e">
        <f>VLOOKUP(Tabelle8[[#This Row],[Rank]],Stammdaten[[Rank Verteilung D Mitte mit Rinde]:[Verteilung D Mitte mit Rinde]],2,FALSE)</f>
        <v>#N/A</v>
      </c>
      <c r="L4735">
        <v>4726</v>
      </c>
      <c r="M4735" t="e">
        <f>INDEX(Stammdaten[Abholzigkeit (mm/lfm)],MATCH(Tabelle9[[#This Row],[Rank]],Stammdaten[Rank Verteilung Abholzigkeit],0))</f>
        <v>#N/A</v>
      </c>
      <c r="N4735" t="e">
        <f>VLOOKUP(Tabelle9[[#This Row],[Rank]],Stammdaten[[Rank Verteilung Abholzigkeit]:[Verteilung Abholzigkeit]],2,FALSE)</f>
        <v>#N/A</v>
      </c>
      <c r="S4735">
        <v>4726</v>
      </c>
      <c r="T4735" t="e">
        <f>INDEX(Stammdaten[Krümmung (mm/lfm)],MATCH(Tabelle10[[#This Row],[Rank]],Stammdaten[Rank Verteilung Krümmung],0))</f>
        <v>#N/A</v>
      </c>
      <c r="U4735" t="e">
        <f>VLOOKUP(Tabelle10[[#This Row],[Rank]],Stammdaten[[Rank Verteilung Krümmung]:[Verteilung Krümmung]],2,FALSE)</f>
        <v>#N/A</v>
      </c>
      <c r="Z4735">
        <v>4726</v>
      </c>
      <c r="AA4735" t="e">
        <f>INDEX(Stammdaten[Ovalität (']0,1'])],MATCH(Tabelle1014[[#This Row],[Rank]],Stammdaten[Rank Verteilung Ovalität],0))</f>
        <v>#N/A</v>
      </c>
      <c r="AB4735" t="e">
        <f>VLOOKUP(Tabelle1014[[#This Row],[Rank]],Stammdaten[[Rank Verteilung Ovalität]:[Verteilung Ovalität]],2,FALSE)</f>
        <v>#N/A</v>
      </c>
    </row>
    <row r="4736" spans="5:28" x14ac:dyDescent="0.35">
      <c r="E4736">
        <v>4727</v>
      </c>
      <c r="F4736" t="e">
        <f>INDEX(Stammdaten[D Mitte mit Rinde (mm)],MATCH(Tabelle8[[#This Row],[Rank]],Stammdaten[Rank Verteilung D Mitte mit Rinde],0))</f>
        <v>#N/A</v>
      </c>
      <c r="G4736" t="e">
        <f>VLOOKUP(Tabelle8[[#This Row],[Rank]],Stammdaten[[Rank Verteilung D Mitte mit Rinde]:[Verteilung D Mitte mit Rinde]],2,FALSE)</f>
        <v>#N/A</v>
      </c>
      <c r="L4736">
        <v>4727</v>
      </c>
      <c r="M4736" t="e">
        <f>INDEX(Stammdaten[Abholzigkeit (mm/lfm)],MATCH(Tabelle9[[#This Row],[Rank]],Stammdaten[Rank Verteilung Abholzigkeit],0))</f>
        <v>#N/A</v>
      </c>
      <c r="N4736" t="e">
        <f>VLOOKUP(Tabelle9[[#This Row],[Rank]],Stammdaten[[Rank Verteilung Abholzigkeit]:[Verteilung Abholzigkeit]],2,FALSE)</f>
        <v>#N/A</v>
      </c>
      <c r="S4736">
        <v>4727</v>
      </c>
      <c r="T4736" t="e">
        <f>INDEX(Stammdaten[Krümmung (mm/lfm)],MATCH(Tabelle10[[#This Row],[Rank]],Stammdaten[Rank Verteilung Krümmung],0))</f>
        <v>#N/A</v>
      </c>
      <c r="U4736" t="e">
        <f>VLOOKUP(Tabelle10[[#This Row],[Rank]],Stammdaten[[Rank Verteilung Krümmung]:[Verteilung Krümmung]],2,FALSE)</f>
        <v>#N/A</v>
      </c>
      <c r="Z4736">
        <v>4727</v>
      </c>
      <c r="AA4736" t="e">
        <f>INDEX(Stammdaten[Ovalität (']0,1'])],MATCH(Tabelle1014[[#This Row],[Rank]],Stammdaten[Rank Verteilung Ovalität],0))</f>
        <v>#N/A</v>
      </c>
      <c r="AB4736" t="e">
        <f>VLOOKUP(Tabelle1014[[#This Row],[Rank]],Stammdaten[[Rank Verteilung Ovalität]:[Verteilung Ovalität]],2,FALSE)</f>
        <v>#N/A</v>
      </c>
    </row>
    <row r="4737" spans="5:28" x14ac:dyDescent="0.35">
      <c r="E4737">
        <v>4728</v>
      </c>
      <c r="F4737" t="e">
        <f>INDEX(Stammdaten[D Mitte mit Rinde (mm)],MATCH(Tabelle8[[#This Row],[Rank]],Stammdaten[Rank Verteilung D Mitte mit Rinde],0))</f>
        <v>#N/A</v>
      </c>
      <c r="G4737" t="e">
        <f>VLOOKUP(Tabelle8[[#This Row],[Rank]],Stammdaten[[Rank Verteilung D Mitte mit Rinde]:[Verteilung D Mitte mit Rinde]],2,FALSE)</f>
        <v>#N/A</v>
      </c>
      <c r="L4737">
        <v>4728</v>
      </c>
      <c r="M4737" t="e">
        <f>INDEX(Stammdaten[Abholzigkeit (mm/lfm)],MATCH(Tabelle9[[#This Row],[Rank]],Stammdaten[Rank Verteilung Abholzigkeit],0))</f>
        <v>#N/A</v>
      </c>
      <c r="N4737" t="e">
        <f>VLOOKUP(Tabelle9[[#This Row],[Rank]],Stammdaten[[Rank Verteilung Abholzigkeit]:[Verteilung Abholzigkeit]],2,FALSE)</f>
        <v>#N/A</v>
      </c>
      <c r="S4737">
        <v>4728</v>
      </c>
      <c r="T4737" t="e">
        <f>INDEX(Stammdaten[Krümmung (mm/lfm)],MATCH(Tabelle10[[#This Row],[Rank]],Stammdaten[Rank Verteilung Krümmung],0))</f>
        <v>#N/A</v>
      </c>
      <c r="U4737" t="e">
        <f>VLOOKUP(Tabelle10[[#This Row],[Rank]],Stammdaten[[Rank Verteilung Krümmung]:[Verteilung Krümmung]],2,FALSE)</f>
        <v>#N/A</v>
      </c>
      <c r="Z4737">
        <v>4728</v>
      </c>
      <c r="AA4737" t="e">
        <f>INDEX(Stammdaten[Ovalität (']0,1'])],MATCH(Tabelle1014[[#This Row],[Rank]],Stammdaten[Rank Verteilung Ovalität],0))</f>
        <v>#N/A</v>
      </c>
      <c r="AB4737" t="e">
        <f>VLOOKUP(Tabelle1014[[#This Row],[Rank]],Stammdaten[[Rank Verteilung Ovalität]:[Verteilung Ovalität]],2,FALSE)</f>
        <v>#N/A</v>
      </c>
    </row>
    <row r="4738" spans="5:28" x14ac:dyDescent="0.35">
      <c r="E4738">
        <v>4729</v>
      </c>
      <c r="F4738" t="e">
        <f>INDEX(Stammdaten[D Mitte mit Rinde (mm)],MATCH(Tabelle8[[#This Row],[Rank]],Stammdaten[Rank Verteilung D Mitte mit Rinde],0))</f>
        <v>#N/A</v>
      </c>
      <c r="G4738" t="e">
        <f>VLOOKUP(Tabelle8[[#This Row],[Rank]],Stammdaten[[Rank Verteilung D Mitte mit Rinde]:[Verteilung D Mitte mit Rinde]],2,FALSE)</f>
        <v>#N/A</v>
      </c>
      <c r="L4738">
        <v>4729</v>
      </c>
      <c r="M4738" t="e">
        <f>INDEX(Stammdaten[Abholzigkeit (mm/lfm)],MATCH(Tabelle9[[#This Row],[Rank]],Stammdaten[Rank Verteilung Abholzigkeit],0))</f>
        <v>#N/A</v>
      </c>
      <c r="N4738" t="e">
        <f>VLOOKUP(Tabelle9[[#This Row],[Rank]],Stammdaten[[Rank Verteilung Abholzigkeit]:[Verteilung Abholzigkeit]],2,FALSE)</f>
        <v>#N/A</v>
      </c>
      <c r="S4738">
        <v>4729</v>
      </c>
      <c r="T4738" t="e">
        <f>INDEX(Stammdaten[Krümmung (mm/lfm)],MATCH(Tabelle10[[#This Row],[Rank]],Stammdaten[Rank Verteilung Krümmung],0))</f>
        <v>#N/A</v>
      </c>
      <c r="U4738" t="e">
        <f>VLOOKUP(Tabelle10[[#This Row],[Rank]],Stammdaten[[Rank Verteilung Krümmung]:[Verteilung Krümmung]],2,FALSE)</f>
        <v>#N/A</v>
      </c>
      <c r="Z4738">
        <v>4729</v>
      </c>
      <c r="AA4738" t="e">
        <f>INDEX(Stammdaten[Ovalität (']0,1'])],MATCH(Tabelle1014[[#This Row],[Rank]],Stammdaten[Rank Verteilung Ovalität],0))</f>
        <v>#N/A</v>
      </c>
      <c r="AB4738" t="e">
        <f>VLOOKUP(Tabelle1014[[#This Row],[Rank]],Stammdaten[[Rank Verteilung Ovalität]:[Verteilung Ovalität]],2,FALSE)</f>
        <v>#N/A</v>
      </c>
    </row>
    <row r="4739" spans="5:28" x14ac:dyDescent="0.35">
      <c r="E4739">
        <v>4730</v>
      </c>
      <c r="F4739" t="e">
        <f>INDEX(Stammdaten[D Mitte mit Rinde (mm)],MATCH(Tabelle8[[#This Row],[Rank]],Stammdaten[Rank Verteilung D Mitte mit Rinde],0))</f>
        <v>#N/A</v>
      </c>
      <c r="G4739" t="e">
        <f>VLOOKUP(Tabelle8[[#This Row],[Rank]],Stammdaten[[Rank Verteilung D Mitte mit Rinde]:[Verteilung D Mitte mit Rinde]],2,FALSE)</f>
        <v>#N/A</v>
      </c>
      <c r="L4739">
        <v>4730</v>
      </c>
      <c r="M4739" t="e">
        <f>INDEX(Stammdaten[Abholzigkeit (mm/lfm)],MATCH(Tabelle9[[#This Row],[Rank]],Stammdaten[Rank Verteilung Abholzigkeit],0))</f>
        <v>#N/A</v>
      </c>
      <c r="N4739" t="e">
        <f>VLOOKUP(Tabelle9[[#This Row],[Rank]],Stammdaten[[Rank Verteilung Abholzigkeit]:[Verteilung Abholzigkeit]],2,FALSE)</f>
        <v>#N/A</v>
      </c>
      <c r="S4739">
        <v>4730</v>
      </c>
      <c r="T4739" t="e">
        <f>INDEX(Stammdaten[Krümmung (mm/lfm)],MATCH(Tabelle10[[#This Row],[Rank]],Stammdaten[Rank Verteilung Krümmung],0))</f>
        <v>#N/A</v>
      </c>
      <c r="U4739" t="e">
        <f>VLOOKUP(Tabelle10[[#This Row],[Rank]],Stammdaten[[Rank Verteilung Krümmung]:[Verteilung Krümmung]],2,FALSE)</f>
        <v>#N/A</v>
      </c>
      <c r="Z4739">
        <v>4730</v>
      </c>
      <c r="AA4739" t="e">
        <f>INDEX(Stammdaten[Ovalität (']0,1'])],MATCH(Tabelle1014[[#This Row],[Rank]],Stammdaten[Rank Verteilung Ovalität],0))</f>
        <v>#N/A</v>
      </c>
      <c r="AB4739" t="e">
        <f>VLOOKUP(Tabelle1014[[#This Row],[Rank]],Stammdaten[[Rank Verteilung Ovalität]:[Verteilung Ovalität]],2,FALSE)</f>
        <v>#N/A</v>
      </c>
    </row>
    <row r="4740" spans="5:28" x14ac:dyDescent="0.35">
      <c r="E4740">
        <v>4731</v>
      </c>
      <c r="F4740" t="e">
        <f>INDEX(Stammdaten[D Mitte mit Rinde (mm)],MATCH(Tabelle8[[#This Row],[Rank]],Stammdaten[Rank Verteilung D Mitte mit Rinde],0))</f>
        <v>#N/A</v>
      </c>
      <c r="G4740" t="e">
        <f>VLOOKUP(Tabelle8[[#This Row],[Rank]],Stammdaten[[Rank Verteilung D Mitte mit Rinde]:[Verteilung D Mitte mit Rinde]],2,FALSE)</f>
        <v>#N/A</v>
      </c>
      <c r="L4740">
        <v>4731</v>
      </c>
      <c r="M4740" t="e">
        <f>INDEX(Stammdaten[Abholzigkeit (mm/lfm)],MATCH(Tabelle9[[#This Row],[Rank]],Stammdaten[Rank Verteilung Abholzigkeit],0))</f>
        <v>#N/A</v>
      </c>
      <c r="N4740" t="e">
        <f>VLOOKUP(Tabelle9[[#This Row],[Rank]],Stammdaten[[Rank Verteilung Abholzigkeit]:[Verteilung Abholzigkeit]],2,FALSE)</f>
        <v>#N/A</v>
      </c>
      <c r="S4740">
        <v>4731</v>
      </c>
      <c r="T4740" t="e">
        <f>INDEX(Stammdaten[Krümmung (mm/lfm)],MATCH(Tabelle10[[#This Row],[Rank]],Stammdaten[Rank Verteilung Krümmung],0))</f>
        <v>#N/A</v>
      </c>
      <c r="U4740" t="e">
        <f>VLOOKUP(Tabelle10[[#This Row],[Rank]],Stammdaten[[Rank Verteilung Krümmung]:[Verteilung Krümmung]],2,FALSE)</f>
        <v>#N/A</v>
      </c>
      <c r="Z4740">
        <v>4731</v>
      </c>
      <c r="AA4740" t="e">
        <f>INDEX(Stammdaten[Ovalität (']0,1'])],MATCH(Tabelle1014[[#This Row],[Rank]],Stammdaten[Rank Verteilung Ovalität],0))</f>
        <v>#N/A</v>
      </c>
      <c r="AB4740" t="e">
        <f>VLOOKUP(Tabelle1014[[#This Row],[Rank]],Stammdaten[[Rank Verteilung Ovalität]:[Verteilung Ovalität]],2,FALSE)</f>
        <v>#N/A</v>
      </c>
    </row>
    <row r="4741" spans="5:28" x14ac:dyDescent="0.35">
      <c r="E4741">
        <v>4732</v>
      </c>
      <c r="F4741" t="e">
        <f>INDEX(Stammdaten[D Mitte mit Rinde (mm)],MATCH(Tabelle8[[#This Row],[Rank]],Stammdaten[Rank Verteilung D Mitte mit Rinde],0))</f>
        <v>#N/A</v>
      </c>
      <c r="G4741" t="e">
        <f>VLOOKUP(Tabelle8[[#This Row],[Rank]],Stammdaten[[Rank Verteilung D Mitte mit Rinde]:[Verteilung D Mitte mit Rinde]],2,FALSE)</f>
        <v>#N/A</v>
      </c>
      <c r="L4741">
        <v>4732</v>
      </c>
      <c r="M4741" t="e">
        <f>INDEX(Stammdaten[Abholzigkeit (mm/lfm)],MATCH(Tabelle9[[#This Row],[Rank]],Stammdaten[Rank Verteilung Abholzigkeit],0))</f>
        <v>#N/A</v>
      </c>
      <c r="N4741" t="e">
        <f>VLOOKUP(Tabelle9[[#This Row],[Rank]],Stammdaten[[Rank Verteilung Abholzigkeit]:[Verteilung Abholzigkeit]],2,FALSE)</f>
        <v>#N/A</v>
      </c>
      <c r="S4741">
        <v>4732</v>
      </c>
      <c r="T4741" t="e">
        <f>INDEX(Stammdaten[Krümmung (mm/lfm)],MATCH(Tabelle10[[#This Row],[Rank]],Stammdaten[Rank Verteilung Krümmung],0))</f>
        <v>#N/A</v>
      </c>
      <c r="U4741" t="e">
        <f>VLOOKUP(Tabelle10[[#This Row],[Rank]],Stammdaten[[Rank Verteilung Krümmung]:[Verteilung Krümmung]],2,FALSE)</f>
        <v>#N/A</v>
      </c>
      <c r="Z4741">
        <v>4732</v>
      </c>
      <c r="AA4741" t="e">
        <f>INDEX(Stammdaten[Ovalität (']0,1'])],MATCH(Tabelle1014[[#This Row],[Rank]],Stammdaten[Rank Verteilung Ovalität],0))</f>
        <v>#N/A</v>
      </c>
      <c r="AB4741" t="e">
        <f>VLOOKUP(Tabelle1014[[#This Row],[Rank]],Stammdaten[[Rank Verteilung Ovalität]:[Verteilung Ovalität]],2,FALSE)</f>
        <v>#N/A</v>
      </c>
    </row>
    <row r="4742" spans="5:28" x14ac:dyDescent="0.35">
      <c r="E4742">
        <v>4733</v>
      </c>
      <c r="F4742" t="e">
        <f>INDEX(Stammdaten[D Mitte mit Rinde (mm)],MATCH(Tabelle8[[#This Row],[Rank]],Stammdaten[Rank Verteilung D Mitte mit Rinde],0))</f>
        <v>#N/A</v>
      </c>
      <c r="G4742" t="e">
        <f>VLOOKUP(Tabelle8[[#This Row],[Rank]],Stammdaten[[Rank Verteilung D Mitte mit Rinde]:[Verteilung D Mitte mit Rinde]],2,FALSE)</f>
        <v>#N/A</v>
      </c>
      <c r="L4742">
        <v>4733</v>
      </c>
      <c r="M4742" t="e">
        <f>INDEX(Stammdaten[Abholzigkeit (mm/lfm)],MATCH(Tabelle9[[#This Row],[Rank]],Stammdaten[Rank Verteilung Abholzigkeit],0))</f>
        <v>#N/A</v>
      </c>
      <c r="N4742" t="e">
        <f>VLOOKUP(Tabelle9[[#This Row],[Rank]],Stammdaten[[Rank Verteilung Abholzigkeit]:[Verteilung Abholzigkeit]],2,FALSE)</f>
        <v>#N/A</v>
      </c>
      <c r="S4742">
        <v>4733</v>
      </c>
      <c r="T4742" t="e">
        <f>INDEX(Stammdaten[Krümmung (mm/lfm)],MATCH(Tabelle10[[#This Row],[Rank]],Stammdaten[Rank Verteilung Krümmung],0))</f>
        <v>#N/A</v>
      </c>
      <c r="U4742" t="e">
        <f>VLOOKUP(Tabelle10[[#This Row],[Rank]],Stammdaten[[Rank Verteilung Krümmung]:[Verteilung Krümmung]],2,FALSE)</f>
        <v>#N/A</v>
      </c>
      <c r="Z4742">
        <v>4733</v>
      </c>
      <c r="AA4742" t="e">
        <f>INDEX(Stammdaten[Ovalität (']0,1'])],MATCH(Tabelle1014[[#This Row],[Rank]],Stammdaten[Rank Verteilung Ovalität],0))</f>
        <v>#N/A</v>
      </c>
      <c r="AB4742" t="e">
        <f>VLOOKUP(Tabelle1014[[#This Row],[Rank]],Stammdaten[[Rank Verteilung Ovalität]:[Verteilung Ovalität]],2,FALSE)</f>
        <v>#N/A</v>
      </c>
    </row>
    <row r="4743" spans="5:28" x14ac:dyDescent="0.35">
      <c r="E4743">
        <v>4734</v>
      </c>
      <c r="F4743" t="e">
        <f>INDEX(Stammdaten[D Mitte mit Rinde (mm)],MATCH(Tabelle8[[#This Row],[Rank]],Stammdaten[Rank Verteilung D Mitte mit Rinde],0))</f>
        <v>#N/A</v>
      </c>
      <c r="G4743" t="e">
        <f>VLOOKUP(Tabelle8[[#This Row],[Rank]],Stammdaten[[Rank Verteilung D Mitte mit Rinde]:[Verteilung D Mitte mit Rinde]],2,FALSE)</f>
        <v>#N/A</v>
      </c>
      <c r="L4743">
        <v>4734</v>
      </c>
      <c r="M4743" t="e">
        <f>INDEX(Stammdaten[Abholzigkeit (mm/lfm)],MATCH(Tabelle9[[#This Row],[Rank]],Stammdaten[Rank Verteilung Abholzigkeit],0))</f>
        <v>#N/A</v>
      </c>
      <c r="N4743" t="e">
        <f>VLOOKUP(Tabelle9[[#This Row],[Rank]],Stammdaten[[Rank Verteilung Abholzigkeit]:[Verteilung Abholzigkeit]],2,FALSE)</f>
        <v>#N/A</v>
      </c>
      <c r="S4743">
        <v>4734</v>
      </c>
      <c r="T4743" t="e">
        <f>INDEX(Stammdaten[Krümmung (mm/lfm)],MATCH(Tabelle10[[#This Row],[Rank]],Stammdaten[Rank Verteilung Krümmung],0))</f>
        <v>#N/A</v>
      </c>
      <c r="U4743" t="e">
        <f>VLOOKUP(Tabelle10[[#This Row],[Rank]],Stammdaten[[Rank Verteilung Krümmung]:[Verteilung Krümmung]],2,FALSE)</f>
        <v>#N/A</v>
      </c>
      <c r="Z4743">
        <v>4734</v>
      </c>
      <c r="AA4743" t="e">
        <f>INDEX(Stammdaten[Ovalität (']0,1'])],MATCH(Tabelle1014[[#This Row],[Rank]],Stammdaten[Rank Verteilung Ovalität],0))</f>
        <v>#N/A</v>
      </c>
      <c r="AB4743" t="e">
        <f>VLOOKUP(Tabelle1014[[#This Row],[Rank]],Stammdaten[[Rank Verteilung Ovalität]:[Verteilung Ovalität]],2,FALSE)</f>
        <v>#N/A</v>
      </c>
    </row>
    <row r="4744" spans="5:28" x14ac:dyDescent="0.35">
      <c r="E4744">
        <v>4735</v>
      </c>
      <c r="F4744" t="e">
        <f>INDEX(Stammdaten[D Mitte mit Rinde (mm)],MATCH(Tabelle8[[#This Row],[Rank]],Stammdaten[Rank Verteilung D Mitte mit Rinde],0))</f>
        <v>#N/A</v>
      </c>
      <c r="G4744" t="e">
        <f>VLOOKUP(Tabelle8[[#This Row],[Rank]],Stammdaten[[Rank Verteilung D Mitte mit Rinde]:[Verteilung D Mitte mit Rinde]],2,FALSE)</f>
        <v>#N/A</v>
      </c>
      <c r="L4744">
        <v>4735</v>
      </c>
      <c r="M4744" t="e">
        <f>INDEX(Stammdaten[Abholzigkeit (mm/lfm)],MATCH(Tabelle9[[#This Row],[Rank]],Stammdaten[Rank Verteilung Abholzigkeit],0))</f>
        <v>#N/A</v>
      </c>
      <c r="N4744" t="e">
        <f>VLOOKUP(Tabelle9[[#This Row],[Rank]],Stammdaten[[Rank Verteilung Abholzigkeit]:[Verteilung Abholzigkeit]],2,FALSE)</f>
        <v>#N/A</v>
      </c>
      <c r="S4744">
        <v>4735</v>
      </c>
      <c r="T4744" t="e">
        <f>INDEX(Stammdaten[Krümmung (mm/lfm)],MATCH(Tabelle10[[#This Row],[Rank]],Stammdaten[Rank Verteilung Krümmung],0))</f>
        <v>#N/A</v>
      </c>
      <c r="U4744" t="e">
        <f>VLOOKUP(Tabelle10[[#This Row],[Rank]],Stammdaten[[Rank Verteilung Krümmung]:[Verteilung Krümmung]],2,FALSE)</f>
        <v>#N/A</v>
      </c>
      <c r="Z4744">
        <v>4735</v>
      </c>
      <c r="AA4744" t="e">
        <f>INDEX(Stammdaten[Ovalität (']0,1'])],MATCH(Tabelle1014[[#This Row],[Rank]],Stammdaten[Rank Verteilung Ovalität],0))</f>
        <v>#N/A</v>
      </c>
      <c r="AB4744" t="e">
        <f>VLOOKUP(Tabelle1014[[#This Row],[Rank]],Stammdaten[[Rank Verteilung Ovalität]:[Verteilung Ovalität]],2,FALSE)</f>
        <v>#N/A</v>
      </c>
    </row>
    <row r="4745" spans="5:28" x14ac:dyDescent="0.35">
      <c r="E4745">
        <v>4736</v>
      </c>
      <c r="F4745" t="e">
        <f>INDEX(Stammdaten[D Mitte mit Rinde (mm)],MATCH(Tabelle8[[#This Row],[Rank]],Stammdaten[Rank Verteilung D Mitte mit Rinde],0))</f>
        <v>#N/A</v>
      </c>
      <c r="G4745" t="e">
        <f>VLOOKUP(Tabelle8[[#This Row],[Rank]],Stammdaten[[Rank Verteilung D Mitte mit Rinde]:[Verteilung D Mitte mit Rinde]],2,FALSE)</f>
        <v>#N/A</v>
      </c>
      <c r="L4745">
        <v>4736</v>
      </c>
      <c r="M4745" t="e">
        <f>INDEX(Stammdaten[Abholzigkeit (mm/lfm)],MATCH(Tabelle9[[#This Row],[Rank]],Stammdaten[Rank Verteilung Abholzigkeit],0))</f>
        <v>#N/A</v>
      </c>
      <c r="N4745" t="e">
        <f>VLOOKUP(Tabelle9[[#This Row],[Rank]],Stammdaten[[Rank Verteilung Abholzigkeit]:[Verteilung Abholzigkeit]],2,FALSE)</f>
        <v>#N/A</v>
      </c>
      <c r="S4745">
        <v>4736</v>
      </c>
      <c r="T4745" t="e">
        <f>INDEX(Stammdaten[Krümmung (mm/lfm)],MATCH(Tabelle10[[#This Row],[Rank]],Stammdaten[Rank Verteilung Krümmung],0))</f>
        <v>#N/A</v>
      </c>
      <c r="U4745" t="e">
        <f>VLOOKUP(Tabelle10[[#This Row],[Rank]],Stammdaten[[Rank Verteilung Krümmung]:[Verteilung Krümmung]],2,FALSE)</f>
        <v>#N/A</v>
      </c>
      <c r="Z4745">
        <v>4736</v>
      </c>
      <c r="AA4745" t="e">
        <f>INDEX(Stammdaten[Ovalität (']0,1'])],MATCH(Tabelle1014[[#This Row],[Rank]],Stammdaten[Rank Verteilung Ovalität],0))</f>
        <v>#N/A</v>
      </c>
      <c r="AB4745" t="e">
        <f>VLOOKUP(Tabelle1014[[#This Row],[Rank]],Stammdaten[[Rank Verteilung Ovalität]:[Verteilung Ovalität]],2,FALSE)</f>
        <v>#N/A</v>
      </c>
    </row>
    <row r="4746" spans="5:28" x14ac:dyDescent="0.35">
      <c r="E4746">
        <v>4737</v>
      </c>
      <c r="F4746" t="e">
        <f>INDEX(Stammdaten[D Mitte mit Rinde (mm)],MATCH(Tabelle8[[#This Row],[Rank]],Stammdaten[Rank Verteilung D Mitte mit Rinde],0))</f>
        <v>#N/A</v>
      </c>
      <c r="G4746" t="e">
        <f>VLOOKUP(Tabelle8[[#This Row],[Rank]],Stammdaten[[Rank Verteilung D Mitte mit Rinde]:[Verteilung D Mitte mit Rinde]],2,FALSE)</f>
        <v>#N/A</v>
      </c>
      <c r="L4746">
        <v>4737</v>
      </c>
      <c r="M4746" t="e">
        <f>INDEX(Stammdaten[Abholzigkeit (mm/lfm)],MATCH(Tabelle9[[#This Row],[Rank]],Stammdaten[Rank Verteilung Abholzigkeit],0))</f>
        <v>#N/A</v>
      </c>
      <c r="N4746" t="e">
        <f>VLOOKUP(Tabelle9[[#This Row],[Rank]],Stammdaten[[Rank Verteilung Abholzigkeit]:[Verteilung Abholzigkeit]],2,FALSE)</f>
        <v>#N/A</v>
      </c>
      <c r="S4746">
        <v>4737</v>
      </c>
      <c r="T4746" t="e">
        <f>INDEX(Stammdaten[Krümmung (mm/lfm)],MATCH(Tabelle10[[#This Row],[Rank]],Stammdaten[Rank Verteilung Krümmung],0))</f>
        <v>#N/A</v>
      </c>
      <c r="U4746" t="e">
        <f>VLOOKUP(Tabelle10[[#This Row],[Rank]],Stammdaten[[Rank Verteilung Krümmung]:[Verteilung Krümmung]],2,FALSE)</f>
        <v>#N/A</v>
      </c>
      <c r="Z4746">
        <v>4737</v>
      </c>
      <c r="AA4746" t="e">
        <f>INDEX(Stammdaten[Ovalität (']0,1'])],MATCH(Tabelle1014[[#This Row],[Rank]],Stammdaten[Rank Verteilung Ovalität],0))</f>
        <v>#N/A</v>
      </c>
      <c r="AB4746" t="e">
        <f>VLOOKUP(Tabelle1014[[#This Row],[Rank]],Stammdaten[[Rank Verteilung Ovalität]:[Verteilung Ovalität]],2,FALSE)</f>
        <v>#N/A</v>
      </c>
    </row>
    <row r="4747" spans="5:28" x14ac:dyDescent="0.35">
      <c r="E4747">
        <v>4738</v>
      </c>
      <c r="F4747" t="e">
        <f>INDEX(Stammdaten[D Mitte mit Rinde (mm)],MATCH(Tabelle8[[#This Row],[Rank]],Stammdaten[Rank Verteilung D Mitte mit Rinde],0))</f>
        <v>#N/A</v>
      </c>
      <c r="G4747" t="e">
        <f>VLOOKUP(Tabelle8[[#This Row],[Rank]],Stammdaten[[Rank Verteilung D Mitte mit Rinde]:[Verteilung D Mitte mit Rinde]],2,FALSE)</f>
        <v>#N/A</v>
      </c>
      <c r="L4747">
        <v>4738</v>
      </c>
      <c r="M4747" t="e">
        <f>INDEX(Stammdaten[Abholzigkeit (mm/lfm)],MATCH(Tabelle9[[#This Row],[Rank]],Stammdaten[Rank Verteilung Abholzigkeit],0))</f>
        <v>#N/A</v>
      </c>
      <c r="N4747" t="e">
        <f>VLOOKUP(Tabelle9[[#This Row],[Rank]],Stammdaten[[Rank Verteilung Abholzigkeit]:[Verteilung Abholzigkeit]],2,FALSE)</f>
        <v>#N/A</v>
      </c>
      <c r="S4747">
        <v>4738</v>
      </c>
      <c r="T4747" t="e">
        <f>INDEX(Stammdaten[Krümmung (mm/lfm)],MATCH(Tabelle10[[#This Row],[Rank]],Stammdaten[Rank Verteilung Krümmung],0))</f>
        <v>#N/A</v>
      </c>
      <c r="U4747" t="e">
        <f>VLOOKUP(Tabelle10[[#This Row],[Rank]],Stammdaten[[Rank Verteilung Krümmung]:[Verteilung Krümmung]],2,FALSE)</f>
        <v>#N/A</v>
      </c>
      <c r="Z4747">
        <v>4738</v>
      </c>
      <c r="AA4747" t="e">
        <f>INDEX(Stammdaten[Ovalität (']0,1'])],MATCH(Tabelle1014[[#This Row],[Rank]],Stammdaten[Rank Verteilung Ovalität],0))</f>
        <v>#N/A</v>
      </c>
      <c r="AB4747" t="e">
        <f>VLOOKUP(Tabelle1014[[#This Row],[Rank]],Stammdaten[[Rank Verteilung Ovalität]:[Verteilung Ovalität]],2,FALSE)</f>
        <v>#N/A</v>
      </c>
    </row>
    <row r="4748" spans="5:28" x14ac:dyDescent="0.35">
      <c r="E4748">
        <v>4739</v>
      </c>
      <c r="F4748" t="e">
        <f>INDEX(Stammdaten[D Mitte mit Rinde (mm)],MATCH(Tabelle8[[#This Row],[Rank]],Stammdaten[Rank Verteilung D Mitte mit Rinde],0))</f>
        <v>#N/A</v>
      </c>
      <c r="G4748" t="e">
        <f>VLOOKUP(Tabelle8[[#This Row],[Rank]],Stammdaten[[Rank Verteilung D Mitte mit Rinde]:[Verteilung D Mitte mit Rinde]],2,FALSE)</f>
        <v>#N/A</v>
      </c>
      <c r="L4748">
        <v>4739</v>
      </c>
      <c r="M4748" t="e">
        <f>INDEX(Stammdaten[Abholzigkeit (mm/lfm)],MATCH(Tabelle9[[#This Row],[Rank]],Stammdaten[Rank Verteilung Abholzigkeit],0))</f>
        <v>#N/A</v>
      </c>
      <c r="N4748" t="e">
        <f>VLOOKUP(Tabelle9[[#This Row],[Rank]],Stammdaten[[Rank Verteilung Abholzigkeit]:[Verteilung Abholzigkeit]],2,FALSE)</f>
        <v>#N/A</v>
      </c>
      <c r="S4748">
        <v>4739</v>
      </c>
      <c r="T4748" t="e">
        <f>INDEX(Stammdaten[Krümmung (mm/lfm)],MATCH(Tabelle10[[#This Row],[Rank]],Stammdaten[Rank Verteilung Krümmung],0))</f>
        <v>#N/A</v>
      </c>
      <c r="U4748" t="e">
        <f>VLOOKUP(Tabelle10[[#This Row],[Rank]],Stammdaten[[Rank Verteilung Krümmung]:[Verteilung Krümmung]],2,FALSE)</f>
        <v>#N/A</v>
      </c>
      <c r="Z4748">
        <v>4739</v>
      </c>
      <c r="AA4748" t="e">
        <f>INDEX(Stammdaten[Ovalität (']0,1'])],MATCH(Tabelle1014[[#This Row],[Rank]],Stammdaten[Rank Verteilung Ovalität],0))</f>
        <v>#N/A</v>
      </c>
      <c r="AB4748" t="e">
        <f>VLOOKUP(Tabelle1014[[#This Row],[Rank]],Stammdaten[[Rank Verteilung Ovalität]:[Verteilung Ovalität]],2,FALSE)</f>
        <v>#N/A</v>
      </c>
    </row>
    <row r="4749" spans="5:28" x14ac:dyDescent="0.35">
      <c r="E4749">
        <v>4740</v>
      </c>
      <c r="F4749" t="e">
        <f>INDEX(Stammdaten[D Mitte mit Rinde (mm)],MATCH(Tabelle8[[#This Row],[Rank]],Stammdaten[Rank Verteilung D Mitte mit Rinde],0))</f>
        <v>#N/A</v>
      </c>
      <c r="G4749" t="e">
        <f>VLOOKUP(Tabelle8[[#This Row],[Rank]],Stammdaten[[Rank Verteilung D Mitte mit Rinde]:[Verteilung D Mitte mit Rinde]],2,FALSE)</f>
        <v>#N/A</v>
      </c>
      <c r="L4749">
        <v>4740</v>
      </c>
      <c r="M4749" t="e">
        <f>INDEX(Stammdaten[Abholzigkeit (mm/lfm)],MATCH(Tabelle9[[#This Row],[Rank]],Stammdaten[Rank Verteilung Abholzigkeit],0))</f>
        <v>#N/A</v>
      </c>
      <c r="N4749" t="e">
        <f>VLOOKUP(Tabelle9[[#This Row],[Rank]],Stammdaten[[Rank Verteilung Abholzigkeit]:[Verteilung Abholzigkeit]],2,FALSE)</f>
        <v>#N/A</v>
      </c>
      <c r="S4749">
        <v>4740</v>
      </c>
      <c r="T4749" t="e">
        <f>INDEX(Stammdaten[Krümmung (mm/lfm)],MATCH(Tabelle10[[#This Row],[Rank]],Stammdaten[Rank Verteilung Krümmung],0))</f>
        <v>#N/A</v>
      </c>
      <c r="U4749" t="e">
        <f>VLOOKUP(Tabelle10[[#This Row],[Rank]],Stammdaten[[Rank Verteilung Krümmung]:[Verteilung Krümmung]],2,FALSE)</f>
        <v>#N/A</v>
      </c>
      <c r="Z4749">
        <v>4740</v>
      </c>
      <c r="AA4749" t="e">
        <f>INDEX(Stammdaten[Ovalität (']0,1'])],MATCH(Tabelle1014[[#This Row],[Rank]],Stammdaten[Rank Verteilung Ovalität],0))</f>
        <v>#N/A</v>
      </c>
      <c r="AB4749" t="e">
        <f>VLOOKUP(Tabelle1014[[#This Row],[Rank]],Stammdaten[[Rank Verteilung Ovalität]:[Verteilung Ovalität]],2,FALSE)</f>
        <v>#N/A</v>
      </c>
    </row>
    <row r="4750" spans="5:28" x14ac:dyDescent="0.35">
      <c r="E4750">
        <v>4741</v>
      </c>
      <c r="F4750" t="e">
        <f>INDEX(Stammdaten[D Mitte mit Rinde (mm)],MATCH(Tabelle8[[#This Row],[Rank]],Stammdaten[Rank Verteilung D Mitte mit Rinde],0))</f>
        <v>#N/A</v>
      </c>
      <c r="G4750" t="e">
        <f>VLOOKUP(Tabelle8[[#This Row],[Rank]],Stammdaten[[Rank Verteilung D Mitte mit Rinde]:[Verteilung D Mitte mit Rinde]],2,FALSE)</f>
        <v>#N/A</v>
      </c>
      <c r="L4750">
        <v>4741</v>
      </c>
      <c r="M4750" t="e">
        <f>INDEX(Stammdaten[Abholzigkeit (mm/lfm)],MATCH(Tabelle9[[#This Row],[Rank]],Stammdaten[Rank Verteilung Abholzigkeit],0))</f>
        <v>#N/A</v>
      </c>
      <c r="N4750" t="e">
        <f>VLOOKUP(Tabelle9[[#This Row],[Rank]],Stammdaten[[Rank Verteilung Abholzigkeit]:[Verteilung Abholzigkeit]],2,FALSE)</f>
        <v>#N/A</v>
      </c>
      <c r="S4750">
        <v>4741</v>
      </c>
      <c r="T4750" t="e">
        <f>INDEX(Stammdaten[Krümmung (mm/lfm)],MATCH(Tabelle10[[#This Row],[Rank]],Stammdaten[Rank Verteilung Krümmung],0))</f>
        <v>#N/A</v>
      </c>
      <c r="U4750" t="e">
        <f>VLOOKUP(Tabelle10[[#This Row],[Rank]],Stammdaten[[Rank Verteilung Krümmung]:[Verteilung Krümmung]],2,FALSE)</f>
        <v>#N/A</v>
      </c>
      <c r="Z4750">
        <v>4741</v>
      </c>
      <c r="AA4750" t="e">
        <f>INDEX(Stammdaten[Ovalität (']0,1'])],MATCH(Tabelle1014[[#This Row],[Rank]],Stammdaten[Rank Verteilung Ovalität],0))</f>
        <v>#N/A</v>
      </c>
      <c r="AB4750" t="e">
        <f>VLOOKUP(Tabelle1014[[#This Row],[Rank]],Stammdaten[[Rank Verteilung Ovalität]:[Verteilung Ovalität]],2,FALSE)</f>
        <v>#N/A</v>
      </c>
    </row>
    <row r="4751" spans="5:28" x14ac:dyDescent="0.35">
      <c r="E4751">
        <v>4742</v>
      </c>
      <c r="F4751" t="e">
        <f>INDEX(Stammdaten[D Mitte mit Rinde (mm)],MATCH(Tabelle8[[#This Row],[Rank]],Stammdaten[Rank Verteilung D Mitte mit Rinde],0))</f>
        <v>#N/A</v>
      </c>
      <c r="G4751" t="e">
        <f>VLOOKUP(Tabelle8[[#This Row],[Rank]],Stammdaten[[Rank Verteilung D Mitte mit Rinde]:[Verteilung D Mitte mit Rinde]],2,FALSE)</f>
        <v>#N/A</v>
      </c>
      <c r="L4751">
        <v>4742</v>
      </c>
      <c r="M4751" t="e">
        <f>INDEX(Stammdaten[Abholzigkeit (mm/lfm)],MATCH(Tabelle9[[#This Row],[Rank]],Stammdaten[Rank Verteilung Abholzigkeit],0))</f>
        <v>#N/A</v>
      </c>
      <c r="N4751" t="e">
        <f>VLOOKUP(Tabelle9[[#This Row],[Rank]],Stammdaten[[Rank Verteilung Abholzigkeit]:[Verteilung Abholzigkeit]],2,FALSE)</f>
        <v>#N/A</v>
      </c>
      <c r="S4751">
        <v>4742</v>
      </c>
      <c r="T4751" t="e">
        <f>INDEX(Stammdaten[Krümmung (mm/lfm)],MATCH(Tabelle10[[#This Row],[Rank]],Stammdaten[Rank Verteilung Krümmung],0))</f>
        <v>#N/A</v>
      </c>
      <c r="U4751" t="e">
        <f>VLOOKUP(Tabelle10[[#This Row],[Rank]],Stammdaten[[Rank Verteilung Krümmung]:[Verteilung Krümmung]],2,FALSE)</f>
        <v>#N/A</v>
      </c>
      <c r="Z4751">
        <v>4742</v>
      </c>
      <c r="AA4751" t="e">
        <f>INDEX(Stammdaten[Ovalität (']0,1'])],MATCH(Tabelle1014[[#This Row],[Rank]],Stammdaten[Rank Verteilung Ovalität],0))</f>
        <v>#N/A</v>
      </c>
      <c r="AB4751" t="e">
        <f>VLOOKUP(Tabelle1014[[#This Row],[Rank]],Stammdaten[[Rank Verteilung Ovalität]:[Verteilung Ovalität]],2,FALSE)</f>
        <v>#N/A</v>
      </c>
    </row>
    <row r="4752" spans="5:28" x14ac:dyDescent="0.35">
      <c r="E4752">
        <v>4743</v>
      </c>
      <c r="F4752" t="e">
        <f>INDEX(Stammdaten[D Mitte mit Rinde (mm)],MATCH(Tabelle8[[#This Row],[Rank]],Stammdaten[Rank Verteilung D Mitte mit Rinde],0))</f>
        <v>#N/A</v>
      </c>
      <c r="G4752" t="e">
        <f>VLOOKUP(Tabelle8[[#This Row],[Rank]],Stammdaten[[Rank Verteilung D Mitte mit Rinde]:[Verteilung D Mitte mit Rinde]],2,FALSE)</f>
        <v>#N/A</v>
      </c>
      <c r="L4752">
        <v>4743</v>
      </c>
      <c r="M4752" t="e">
        <f>INDEX(Stammdaten[Abholzigkeit (mm/lfm)],MATCH(Tabelle9[[#This Row],[Rank]],Stammdaten[Rank Verteilung Abholzigkeit],0))</f>
        <v>#N/A</v>
      </c>
      <c r="N4752" t="e">
        <f>VLOOKUP(Tabelle9[[#This Row],[Rank]],Stammdaten[[Rank Verteilung Abholzigkeit]:[Verteilung Abholzigkeit]],2,FALSE)</f>
        <v>#N/A</v>
      </c>
      <c r="S4752">
        <v>4743</v>
      </c>
      <c r="T4752" t="e">
        <f>INDEX(Stammdaten[Krümmung (mm/lfm)],MATCH(Tabelle10[[#This Row],[Rank]],Stammdaten[Rank Verteilung Krümmung],0))</f>
        <v>#N/A</v>
      </c>
      <c r="U4752" t="e">
        <f>VLOOKUP(Tabelle10[[#This Row],[Rank]],Stammdaten[[Rank Verteilung Krümmung]:[Verteilung Krümmung]],2,FALSE)</f>
        <v>#N/A</v>
      </c>
      <c r="Z4752">
        <v>4743</v>
      </c>
      <c r="AA4752" t="e">
        <f>INDEX(Stammdaten[Ovalität (']0,1'])],MATCH(Tabelle1014[[#This Row],[Rank]],Stammdaten[Rank Verteilung Ovalität],0))</f>
        <v>#N/A</v>
      </c>
      <c r="AB4752" t="e">
        <f>VLOOKUP(Tabelle1014[[#This Row],[Rank]],Stammdaten[[Rank Verteilung Ovalität]:[Verteilung Ovalität]],2,FALSE)</f>
        <v>#N/A</v>
      </c>
    </row>
    <row r="4753" spans="5:28" x14ac:dyDescent="0.35">
      <c r="E4753">
        <v>4744</v>
      </c>
      <c r="F4753" t="e">
        <f>INDEX(Stammdaten[D Mitte mit Rinde (mm)],MATCH(Tabelle8[[#This Row],[Rank]],Stammdaten[Rank Verteilung D Mitte mit Rinde],0))</f>
        <v>#N/A</v>
      </c>
      <c r="G4753" t="e">
        <f>VLOOKUP(Tabelle8[[#This Row],[Rank]],Stammdaten[[Rank Verteilung D Mitte mit Rinde]:[Verteilung D Mitte mit Rinde]],2,FALSE)</f>
        <v>#N/A</v>
      </c>
      <c r="L4753">
        <v>4744</v>
      </c>
      <c r="M4753" t="e">
        <f>INDEX(Stammdaten[Abholzigkeit (mm/lfm)],MATCH(Tabelle9[[#This Row],[Rank]],Stammdaten[Rank Verteilung Abholzigkeit],0))</f>
        <v>#N/A</v>
      </c>
      <c r="N4753" t="e">
        <f>VLOOKUP(Tabelle9[[#This Row],[Rank]],Stammdaten[[Rank Verteilung Abholzigkeit]:[Verteilung Abholzigkeit]],2,FALSE)</f>
        <v>#N/A</v>
      </c>
      <c r="S4753">
        <v>4744</v>
      </c>
      <c r="T4753" t="e">
        <f>INDEX(Stammdaten[Krümmung (mm/lfm)],MATCH(Tabelle10[[#This Row],[Rank]],Stammdaten[Rank Verteilung Krümmung],0))</f>
        <v>#N/A</v>
      </c>
      <c r="U4753" t="e">
        <f>VLOOKUP(Tabelle10[[#This Row],[Rank]],Stammdaten[[Rank Verteilung Krümmung]:[Verteilung Krümmung]],2,FALSE)</f>
        <v>#N/A</v>
      </c>
      <c r="Z4753">
        <v>4744</v>
      </c>
      <c r="AA4753" t="e">
        <f>INDEX(Stammdaten[Ovalität (']0,1'])],MATCH(Tabelle1014[[#This Row],[Rank]],Stammdaten[Rank Verteilung Ovalität],0))</f>
        <v>#N/A</v>
      </c>
      <c r="AB4753" t="e">
        <f>VLOOKUP(Tabelle1014[[#This Row],[Rank]],Stammdaten[[Rank Verteilung Ovalität]:[Verteilung Ovalität]],2,FALSE)</f>
        <v>#N/A</v>
      </c>
    </row>
    <row r="4754" spans="5:28" x14ac:dyDescent="0.35">
      <c r="E4754">
        <v>4745</v>
      </c>
      <c r="F4754" t="e">
        <f>INDEX(Stammdaten[D Mitte mit Rinde (mm)],MATCH(Tabelle8[[#This Row],[Rank]],Stammdaten[Rank Verteilung D Mitte mit Rinde],0))</f>
        <v>#N/A</v>
      </c>
      <c r="G4754" t="e">
        <f>VLOOKUP(Tabelle8[[#This Row],[Rank]],Stammdaten[[Rank Verteilung D Mitte mit Rinde]:[Verteilung D Mitte mit Rinde]],2,FALSE)</f>
        <v>#N/A</v>
      </c>
      <c r="L4754">
        <v>4745</v>
      </c>
      <c r="M4754" t="e">
        <f>INDEX(Stammdaten[Abholzigkeit (mm/lfm)],MATCH(Tabelle9[[#This Row],[Rank]],Stammdaten[Rank Verteilung Abholzigkeit],0))</f>
        <v>#N/A</v>
      </c>
      <c r="N4754" t="e">
        <f>VLOOKUP(Tabelle9[[#This Row],[Rank]],Stammdaten[[Rank Verteilung Abholzigkeit]:[Verteilung Abholzigkeit]],2,FALSE)</f>
        <v>#N/A</v>
      </c>
      <c r="S4754">
        <v>4745</v>
      </c>
      <c r="T4754" t="e">
        <f>INDEX(Stammdaten[Krümmung (mm/lfm)],MATCH(Tabelle10[[#This Row],[Rank]],Stammdaten[Rank Verteilung Krümmung],0))</f>
        <v>#N/A</v>
      </c>
      <c r="U4754" t="e">
        <f>VLOOKUP(Tabelle10[[#This Row],[Rank]],Stammdaten[[Rank Verteilung Krümmung]:[Verteilung Krümmung]],2,FALSE)</f>
        <v>#N/A</v>
      </c>
      <c r="Z4754">
        <v>4745</v>
      </c>
      <c r="AA4754" t="e">
        <f>INDEX(Stammdaten[Ovalität (']0,1'])],MATCH(Tabelle1014[[#This Row],[Rank]],Stammdaten[Rank Verteilung Ovalität],0))</f>
        <v>#N/A</v>
      </c>
      <c r="AB4754" t="e">
        <f>VLOOKUP(Tabelle1014[[#This Row],[Rank]],Stammdaten[[Rank Verteilung Ovalität]:[Verteilung Ovalität]],2,FALSE)</f>
        <v>#N/A</v>
      </c>
    </row>
    <row r="4755" spans="5:28" x14ac:dyDescent="0.35">
      <c r="E4755">
        <v>4746</v>
      </c>
      <c r="F4755" t="e">
        <f>INDEX(Stammdaten[D Mitte mit Rinde (mm)],MATCH(Tabelle8[[#This Row],[Rank]],Stammdaten[Rank Verteilung D Mitte mit Rinde],0))</f>
        <v>#N/A</v>
      </c>
      <c r="G4755" t="e">
        <f>VLOOKUP(Tabelle8[[#This Row],[Rank]],Stammdaten[[Rank Verteilung D Mitte mit Rinde]:[Verteilung D Mitte mit Rinde]],2,FALSE)</f>
        <v>#N/A</v>
      </c>
      <c r="L4755">
        <v>4746</v>
      </c>
      <c r="M4755" t="e">
        <f>INDEX(Stammdaten[Abholzigkeit (mm/lfm)],MATCH(Tabelle9[[#This Row],[Rank]],Stammdaten[Rank Verteilung Abholzigkeit],0))</f>
        <v>#N/A</v>
      </c>
      <c r="N4755" t="e">
        <f>VLOOKUP(Tabelle9[[#This Row],[Rank]],Stammdaten[[Rank Verteilung Abholzigkeit]:[Verteilung Abholzigkeit]],2,FALSE)</f>
        <v>#N/A</v>
      </c>
      <c r="S4755">
        <v>4746</v>
      </c>
      <c r="T4755" t="e">
        <f>INDEX(Stammdaten[Krümmung (mm/lfm)],MATCH(Tabelle10[[#This Row],[Rank]],Stammdaten[Rank Verteilung Krümmung],0))</f>
        <v>#N/A</v>
      </c>
      <c r="U4755" t="e">
        <f>VLOOKUP(Tabelle10[[#This Row],[Rank]],Stammdaten[[Rank Verteilung Krümmung]:[Verteilung Krümmung]],2,FALSE)</f>
        <v>#N/A</v>
      </c>
      <c r="Z4755">
        <v>4746</v>
      </c>
      <c r="AA4755" t="e">
        <f>INDEX(Stammdaten[Ovalität (']0,1'])],MATCH(Tabelle1014[[#This Row],[Rank]],Stammdaten[Rank Verteilung Ovalität],0))</f>
        <v>#N/A</v>
      </c>
      <c r="AB4755" t="e">
        <f>VLOOKUP(Tabelle1014[[#This Row],[Rank]],Stammdaten[[Rank Verteilung Ovalität]:[Verteilung Ovalität]],2,FALSE)</f>
        <v>#N/A</v>
      </c>
    </row>
    <row r="4756" spans="5:28" x14ac:dyDescent="0.35">
      <c r="E4756">
        <v>4747</v>
      </c>
      <c r="F4756" t="e">
        <f>INDEX(Stammdaten[D Mitte mit Rinde (mm)],MATCH(Tabelle8[[#This Row],[Rank]],Stammdaten[Rank Verteilung D Mitte mit Rinde],0))</f>
        <v>#N/A</v>
      </c>
      <c r="G4756" t="e">
        <f>VLOOKUP(Tabelle8[[#This Row],[Rank]],Stammdaten[[Rank Verteilung D Mitte mit Rinde]:[Verteilung D Mitte mit Rinde]],2,FALSE)</f>
        <v>#N/A</v>
      </c>
      <c r="L4756">
        <v>4747</v>
      </c>
      <c r="M4756" t="e">
        <f>INDEX(Stammdaten[Abholzigkeit (mm/lfm)],MATCH(Tabelle9[[#This Row],[Rank]],Stammdaten[Rank Verteilung Abholzigkeit],0))</f>
        <v>#N/A</v>
      </c>
      <c r="N4756" t="e">
        <f>VLOOKUP(Tabelle9[[#This Row],[Rank]],Stammdaten[[Rank Verteilung Abholzigkeit]:[Verteilung Abholzigkeit]],2,FALSE)</f>
        <v>#N/A</v>
      </c>
      <c r="S4756">
        <v>4747</v>
      </c>
      <c r="T4756" t="e">
        <f>INDEX(Stammdaten[Krümmung (mm/lfm)],MATCH(Tabelle10[[#This Row],[Rank]],Stammdaten[Rank Verteilung Krümmung],0))</f>
        <v>#N/A</v>
      </c>
      <c r="U4756" t="e">
        <f>VLOOKUP(Tabelle10[[#This Row],[Rank]],Stammdaten[[Rank Verteilung Krümmung]:[Verteilung Krümmung]],2,FALSE)</f>
        <v>#N/A</v>
      </c>
      <c r="Z4756">
        <v>4747</v>
      </c>
      <c r="AA4756" t="e">
        <f>INDEX(Stammdaten[Ovalität (']0,1'])],MATCH(Tabelle1014[[#This Row],[Rank]],Stammdaten[Rank Verteilung Ovalität],0))</f>
        <v>#N/A</v>
      </c>
      <c r="AB4756" t="e">
        <f>VLOOKUP(Tabelle1014[[#This Row],[Rank]],Stammdaten[[Rank Verteilung Ovalität]:[Verteilung Ovalität]],2,FALSE)</f>
        <v>#N/A</v>
      </c>
    </row>
    <row r="4757" spans="5:28" x14ac:dyDescent="0.35">
      <c r="E4757">
        <v>4748</v>
      </c>
      <c r="F4757" t="e">
        <f>INDEX(Stammdaten[D Mitte mit Rinde (mm)],MATCH(Tabelle8[[#This Row],[Rank]],Stammdaten[Rank Verteilung D Mitte mit Rinde],0))</f>
        <v>#N/A</v>
      </c>
      <c r="G4757" t="e">
        <f>VLOOKUP(Tabelle8[[#This Row],[Rank]],Stammdaten[[Rank Verteilung D Mitte mit Rinde]:[Verteilung D Mitte mit Rinde]],2,FALSE)</f>
        <v>#N/A</v>
      </c>
      <c r="L4757">
        <v>4748</v>
      </c>
      <c r="M4757" t="e">
        <f>INDEX(Stammdaten[Abholzigkeit (mm/lfm)],MATCH(Tabelle9[[#This Row],[Rank]],Stammdaten[Rank Verteilung Abholzigkeit],0))</f>
        <v>#N/A</v>
      </c>
      <c r="N4757" t="e">
        <f>VLOOKUP(Tabelle9[[#This Row],[Rank]],Stammdaten[[Rank Verteilung Abholzigkeit]:[Verteilung Abholzigkeit]],2,FALSE)</f>
        <v>#N/A</v>
      </c>
      <c r="S4757">
        <v>4748</v>
      </c>
      <c r="T4757" t="e">
        <f>INDEX(Stammdaten[Krümmung (mm/lfm)],MATCH(Tabelle10[[#This Row],[Rank]],Stammdaten[Rank Verteilung Krümmung],0))</f>
        <v>#N/A</v>
      </c>
      <c r="U4757" t="e">
        <f>VLOOKUP(Tabelle10[[#This Row],[Rank]],Stammdaten[[Rank Verteilung Krümmung]:[Verteilung Krümmung]],2,FALSE)</f>
        <v>#N/A</v>
      </c>
      <c r="Z4757">
        <v>4748</v>
      </c>
      <c r="AA4757" t="e">
        <f>INDEX(Stammdaten[Ovalität (']0,1'])],MATCH(Tabelle1014[[#This Row],[Rank]],Stammdaten[Rank Verteilung Ovalität],0))</f>
        <v>#N/A</v>
      </c>
      <c r="AB4757" t="e">
        <f>VLOOKUP(Tabelle1014[[#This Row],[Rank]],Stammdaten[[Rank Verteilung Ovalität]:[Verteilung Ovalität]],2,FALSE)</f>
        <v>#N/A</v>
      </c>
    </row>
    <row r="4758" spans="5:28" x14ac:dyDescent="0.35">
      <c r="E4758">
        <v>4749</v>
      </c>
      <c r="F4758" t="e">
        <f>INDEX(Stammdaten[D Mitte mit Rinde (mm)],MATCH(Tabelle8[[#This Row],[Rank]],Stammdaten[Rank Verteilung D Mitte mit Rinde],0))</f>
        <v>#N/A</v>
      </c>
      <c r="G4758" t="e">
        <f>VLOOKUP(Tabelle8[[#This Row],[Rank]],Stammdaten[[Rank Verteilung D Mitte mit Rinde]:[Verteilung D Mitte mit Rinde]],2,FALSE)</f>
        <v>#N/A</v>
      </c>
      <c r="L4758">
        <v>4749</v>
      </c>
      <c r="M4758" t="e">
        <f>INDEX(Stammdaten[Abholzigkeit (mm/lfm)],MATCH(Tabelle9[[#This Row],[Rank]],Stammdaten[Rank Verteilung Abholzigkeit],0))</f>
        <v>#N/A</v>
      </c>
      <c r="N4758" t="e">
        <f>VLOOKUP(Tabelle9[[#This Row],[Rank]],Stammdaten[[Rank Verteilung Abholzigkeit]:[Verteilung Abholzigkeit]],2,FALSE)</f>
        <v>#N/A</v>
      </c>
      <c r="S4758">
        <v>4749</v>
      </c>
      <c r="T4758" t="e">
        <f>INDEX(Stammdaten[Krümmung (mm/lfm)],MATCH(Tabelle10[[#This Row],[Rank]],Stammdaten[Rank Verteilung Krümmung],0))</f>
        <v>#N/A</v>
      </c>
      <c r="U4758" t="e">
        <f>VLOOKUP(Tabelle10[[#This Row],[Rank]],Stammdaten[[Rank Verteilung Krümmung]:[Verteilung Krümmung]],2,FALSE)</f>
        <v>#N/A</v>
      </c>
      <c r="Z4758">
        <v>4749</v>
      </c>
      <c r="AA4758" t="e">
        <f>INDEX(Stammdaten[Ovalität (']0,1'])],MATCH(Tabelle1014[[#This Row],[Rank]],Stammdaten[Rank Verteilung Ovalität],0))</f>
        <v>#N/A</v>
      </c>
      <c r="AB4758" t="e">
        <f>VLOOKUP(Tabelle1014[[#This Row],[Rank]],Stammdaten[[Rank Verteilung Ovalität]:[Verteilung Ovalität]],2,FALSE)</f>
        <v>#N/A</v>
      </c>
    </row>
    <row r="4759" spans="5:28" x14ac:dyDescent="0.35">
      <c r="E4759">
        <v>4750</v>
      </c>
      <c r="F4759" t="e">
        <f>INDEX(Stammdaten[D Mitte mit Rinde (mm)],MATCH(Tabelle8[[#This Row],[Rank]],Stammdaten[Rank Verteilung D Mitte mit Rinde],0))</f>
        <v>#N/A</v>
      </c>
      <c r="G4759" t="e">
        <f>VLOOKUP(Tabelle8[[#This Row],[Rank]],Stammdaten[[Rank Verteilung D Mitte mit Rinde]:[Verteilung D Mitte mit Rinde]],2,FALSE)</f>
        <v>#N/A</v>
      </c>
      <c r="L4759">
        <v>4750</v>
      </c>
      <c r="M4759" t="e">
        <f>INDEX(Stammdaten[Abholzigkeit (mm/lfm)],MATCH(Tabelle9[[#This Row],[Rank]],Stammdaten[Rank Verteilung Abholzigkeit],0))</f>
        <v>#N/A</v>
      </c>
      <c r="N4759" t="e">
        <f>VLOOKUP(Tabelle9[[#This Row],[Rank]],Stammdaten[[Rank Verteilung Abholzigkeit]:[Verteilung Abholzigkeit]],2,FALSE)</f>
        <v>#N/A</v>
      </c>
      <c r="S4759">
        <v>4750</v>
      </c>
      <c r="T4759" t="e">
        <f>INDEX(Stammdaten[Krümmung (mm/lfm)],MATCH(Tabelle10[[#This Row],[Rank]],Stammdaten[Rank Verteilung Krümmung],0))</f>
        <v>#N/A</v>
      </c>
      <c r="U4759" t="e">
        <f>VLOOKUP(Tabelle10[[#This Row],[Rank]],Stammdaten[[Rank Verteilung Krümmung]:[Verteilung Krümmung]],2,FALSE)</f>
        <v>#N/A</v>
      </c>
      <c r="Z4759">
        <v>4750</v>
      </c>
      <c r="AA4759" t="e">
        <f>INDEX(Stammdaten[Ovalität (']0,1'])],MATCH(Tabelle1014[[#This Row],[Rank]],Stammdaten[Rank Verteilung Ovalität],0))</f>
        <v>#N/A</v>
      </c>
      <c r="AB4759" t="e">
        <f>VLOOKUP(Tabelle1014[[#This Row],[Rank]],Stammdaten[[Rank Verteilung Ovalität]:[Verteilung Ovalität]],2,FALSE)</f>
        <v>#N/A</v>
      </c>
    </row>
    <row r="4760" spans="5:28" x14ac:dyDescent="0.35">
      <c r="E4760">
        <v>4751</v>
      </c>
      <c r="F4760" t="e">
        <f>INDEX(Stammdaten[D Mitte mit Rinde (mm)],MATCH(Tabelle8[[#This Row],[Rank]],Stammdaten[Rank Verteilung D Mitte mit Rinde],0))</f>
        <v>#N/A</v>
      </c>
      <c r="G4760" t="e">
        <f>VLOOKUP(Tabelle8[[#This Row],[Rank]],Stammdaten[[Rank Verteilung D Mitte mit Rinde]:[Verteilung D Mitte mit Rinde]],2,FALSE)</f>
        <v>#N/A</v>
      </c>
      <c r="L4760">
        <v>4751</v>
      </c>
      <c r="M4760" t="e">
        <f>INDEX(Stammdaten[Abholzigkeit (mm/lfm)],MATCH(Tabelle9[[#This Row],[Rank]],Stammdaten[Rank Verteilung Abholzigkeit],0))</f>
        <v>#N/A</v>
      </c>
      <c r="N4760" t="e">
        <f>VLOOKUP(Tabelle9[[#This Row],[Rank]],Stammdaten[[Rank Verteilung Abholzigkeit]:[Verteilung Abholzigkeit]],2,FALSE)</f>
        <v>#N/A</v>
      </c>
      <c r="S4760">
        <v>4751</v>
      </c>
      <c r="T4760" t="e">
        <f>INDEX(Stammdaten[Krümmung (mm/lfm)],MATCH(Tabelle10[[#This Row],[Rank]],Stammdaten[Rank Verteilung Krümmung],0))</f>
        <v>#N/A</v>
      </c>
      <c r="U4760" t="e">
        <f>VLOOKUP(Tabelle10[[#This Row],[Rank]],Stammdaten[[Rank Verteilung Krümmung]:[Verteilung Krümmung]],2,FALSE)</f>
        <v>#N/A</v>
      </c>
      <c r="Z4760">
        <v>4751</v>
      </c>
      <c r="AA4760" t="e">
        <f>INDEX(Stammdaten[Ovalität (']0,1'])],MATCH(Tabelle1014[[#This Row],[Rank]],Stammdaten[Rank Verteilung Ovalität],0))</f>
        <v>#N/A</v>
      </c>
      <c r="AB4760" t="e">
        <f>VLOOKUP(Tabelle1014[[#This Row],[Rank]],Stammdaten[[Rank Verteilung Ovalität]:[Verteilung Ovalität]],2,FALSE)</f>
        <v>#N/A</v>
      </c>
    </row>
    <row r="4761" spans="5:28" x14ac:dyDescent="0.35">
      <c r="E4761">
        <v>4752</v>
      </c>
      <c r="F4761" t="e">
        <f>INDEX(Stammdaten[D Mitte mit Rinde (mm)],MATCH(Tabelle8[[#This Row],[Rank]],Stammdaten[Rank Verteilung D Mitte mit Rinde],0))</f>
        <v>#N/A</v>
      </c>
      <c r="G4761" t="e">
        <f>VLOOKUP(Tabelle8[[#This Row],[Rank]],Stammdaten[[Rank Verteilung D Mitte mit Rinde]:[Verteilung D Mitte mit Rinde]],2,FALSE)</f>
        <v>#N/A</v>
      </c>
      <c r="L4761">
        <v>4752</v>
      </c>
      <c r="M4761" t="e">
        <f>INDEX(Stammdaten[Abholzigkeit (mm/lfm)],MATCH(Tabelle9[[#This Row],[Rank]],Stammdaten[Rank Verteilung Abholzigkeit],0))</f>
        <v>#N/A</v>
      </c>
      <c r="N4761" t="e">
        <f>VLOOKUP(Tabelle9[[#This Row],[Rank]],Stammdaten[[Rank Verteilung Abholzigkeit]:[Verteilung Abholzigkeit]],2,FALSE)</f>
        <v>#N/A</v>
      </c>
      <c r="S4761">
        <v>4752</v>
      </c>
      <c r="T4761" t="e">
        <f>INDEX(Stammdaten[Krümmung (mm/lfm)],MATCH(Tabelle10[[#This Row],[Rank]],Stammdaten[Rank Verteilung Krümmung],0))</f>
        <v>#N/A</v>
      </c>
      <c r="U4761" t="e">
        <f>VLOOKUP(Tabelle10[[#This Row],[Rank]],Stammdaten[[Rank Verteilung Krümmung]:[Verteilung Krümmung]],2,FALSE)</f>
        <v>#N/A</v>
      </c>
      <c r="Z4761">
        <v>4752</v>
      </c>
      <c r="AA4761" t="e">
        <f>INDEX(Stammdaten[Ovalität (']0,1'])],MATCH(Tabelle1014[[#This Row],[Rank]],Stammdaten[Rank Verteilung Ovalität],0))</f>
        <v>#N/A</v>
      </c>
      <c r="AB4761" t="e">
        <f>VLOOKUP(Tabelle1014[[#This Row],[Rank]],Stammdaten[[Rank Verteilung Ovalität]:[Verteilung Ovalität]],2,FALSE)</f>
        <v>#N/A</v>
      </c>
    </row>
    <row r="4762" spans="5:28" x14ac:dyDescent="0.35">
      <c r="E4762">
        <v>4753</v>
      </c>
      <c r="F4762" t="e">
        <f>INDEX(Stammdaten[D Mitte mit Rinde (mm)],MATCH(Tabelle8[[#This Row],[Rank]],Stammdaten[Rank Verteilung D Mitte mit Rinde],0))</f>
        <v>#N/A</v>
      </c>
      <c r="G4762" t="e">
        <f>VLOOKUP(Tabelle8[[#This Row],[Rank]],Stammdaten[[Rank Verteilung D Mitte mit Rinde]:[Verteilung D Mitte mit Rinde]],2,FALSE)</f>
        <v>#N/A</v>
      </c>
      <c r="L4762">
        <v>4753</v>
      </c>
      <c r="M4762" t="e">
        <f>INDEX(Stammdaten[Abholzigkeit (mm/lfm)],MATCH(Tabelle9[[#This Row],[Rank]],Stammdaten[Rank Verteilung Abholzigkeit],0))</f>
        <v>#N/A</v>
      </c>
      <c r="N4762" t="e">
        <f>VLOOKUP(Tabelle9[[#This Row],[Rank]],Stammdaten[[Rank Verteilung Abholzigkeit]:[Verteilung Abholzigkeit]],2,FALSE)</f>
        <v>#N/A</v>
      </c>
      <c r="S4762">
        <v>4753</v>
      </c>
      <c r="T4762" t="e">
        <f>INDEX(Stammdaten[Krümmung (mm/lfm)],MATCH(Tabelle10[[#This Row],[Rank]],Stammdaten[Rank Verteilung Krümmung],0))</f>
        <v>#N/A</v>
      </c>
      <c r="U4762" t="e">
        <f>VLOOKUP(Tabelle10[[#This Row],[Rank]],Stammdaten[[Rank Verteilung Krümmung]:[Verteilung Krümmung]],2,FALSE)</f>
        <v>#N/A</v>
      </c>
      <c r="Z4762">
        <v>4753</v>
      </c>
      <c r="AA4762" t="e">
        <f>INDEX(Stammdaten[Ovalität (']0,1'])],MATCH(Tabelle1014[[#This Row],[Rank]],Stammdaten[Rank Verteilung Ovalität],0))</f>
        <v>#N/A</v>
      </c>
      <c r="AB4762" t="e">
        <f>VLOOKUP(Tabelle1014[[#This Row],[Rank]],Stammdaten[[Rank Verteilung Ovalität]:[Verteilung Ovalität]],2,FALSE)</f>
        <v>#N/A</v>
      </c>
    </row>
    <row r="4763" spans="5:28" x14ac:dyDescent="0.35">
      <c r="E4763">
        <v>4754</v>
      </c>
      <c r="F4763" t="e">
        <f>INDEX(Stammdaten[D Mitte mit Rinde (mm)],MATCH(Tabelle8[[#This Row],[Rank]],Stammdaten[Rank Verteilung D Mitte mit Rinde],0))</f>
        <v>#N/A</v>
      </c>
      <c r="G4763" t="e">
        <f>VLOOKUP(Tabelle8[[#This Row],[Rank]],Stammdaten[[Rank Verteilung D Mitte mit Rinde]:[Verteilung D Mitte mit Rinde]],2,FALSE)</f>
        <v>#N/A</v>
      </c>
      <c r="L4763">
        <v>4754</v>
      </c>
      <c r="M4763" t="e">
        <f>INDEX(Stammdaten[Abholzigkeit (mm/lfm)],MATCH(Tabelle9[[#This Row],[Rank]],Stammdaten[Rank Verteilung Abholzigkeit],0))</f>
        <v>#N/A</v>
      </c>
      <c r="N4763" t="e">
        <f>VLOOKUP(Tabelle9[[#This Row],[Rank]],Stammdaten[[Rank Verteilung Abholzigkeit]:[Verteilung Abholzigkeit]],2,FALSE)</f>
        <v>#N/A</v>
      </c>
      <c r="S4763">
        <v>4754</v>
      </c>
      <c r="T4763" t="e">
        <f>INDEX(Stammdaten[Krümmung (mm/lfm)],MATCH(Tabelle10[[#This Row],[Rank]],Stammdaten[Rank Verteilung Krümmung],0))</f>
        <v>#N/A</v>
      </c>
      <c r="U4763" t="e">
        <f>VLOOKUP(Tabelle10[[#This Row],[Rank]],Stammdaten[[Rank Verteilung Krümmung]:[Verteilung Krümmung]],2,FALSE)</f>
        <v>#N/A</v>
      </c>
      <c r="Z4763">
        <v>4754</v>
      </c>
      <c r="AA4763" t="e">
        <f>INDEX(Stammdaten[Ovalität (']0,1'])],MATCH(Tabelle1014[[#This Row],[Rank]],Stammdaten[Rank Verteilung Ovalität],0))</f>
        <v>#N/A</v>
      </c>
      <c r="AB4763" t="e">
        <f>VLOOKUP(Tabelle1014[[#This Row],[Rank]],Stammdaten[[Rank Verteilung Ovalität]:[Verteilung Ovalität]],2,FALSE)</f>
        <v>#N/A</v>
      </c>
    </row>
    <row r="4764" spans="5:28" x14ac:dyDescent="0.35">
      <c r="E4764">
        <v>4755</v>
      </c>
      <c r="F4764" t="e">
        <f>INDEX(Stammdaten[D Mitte mit Rinde (mm)],MATCH(Tabelle8[[#This Row],[Rank]],Stammdaten[Rank Verteilung D Mitte mit Rinde],0))</f>
        <v>#N/A</v>
      </c>
      <c r="G4764" t="e">
        <f>VLOOKUP(Tabelle8[[#This Row],[Rank]],Stammdaten[[Rank Verteilung D Mitte mit Rinde]:[Verteilung D Mitte mit Rinde]],2,FALSE)</f>
        <v>#N/A</v>
      </c>
      <c r="L4764">
        <v>4755</v>
      </c>
      <c r="M4764" t="e">
        <f>INDEX(Stammdaten[Abholzigkeit (mm/lfm)],MATCH(Tabelle9[[#This Row],[Rank]],Stammdaten[Rank Verteilung Abholzigkeit],0))</f>
        <v>#N/A</v>
      </c>
      <c r="N4764" t="e">
        <f>VLOOKUP(Tabelle9[[#This Row],[Rank]],Stammdaten[[Rank Verteilung Abholzigkeit]:[Verteilung Abholzigkeit]],2,FALSE)</f>
        <v>#N/A</v>
      </c>
      <c r="S4764">
        <v>4755</v>
      </c>
      <c r="T4764" t="e">
        <f>INDEX(Stammdaten[Krümmung (mm/lfm)],MATCH(Tabelle10[[#This Row],[Rank]],Stammdaten[Rank Verteilung Krümmung],0))</f>
        <v>#N/A</v>
      </c>
      <c r="U4764" t="e">
        <f>VLOOKUP(Tabelle10[[#This Row],[Rank]],Stammdaten[[Rank Verteilung Krümmung]:[Verteilung Krümmung]],2,FALSE)</f>
        <v>#N/A</v>
      </c>
      <c r="Z4764">
        <v>4755</v>
      </c>
      <c r="AA4764" t="e">
        <f>INDEX(Stammdaten[Ovalität (']0,1'])],MATCH(Tabelle1014[[#This Row],[Rank]],Stammdaten[Rank Verteilung Ovalität],0))</f>
        <v>#N/A</v>
      </c>
      <c r="AB4764" t="e">
        <f>VLOOKUP(Tabelle1014[[#This Row],[Rank]],Stammdaten[[Rank Verteilung Ovalität]:[Verteilung Ovalität]],2,FALSE)</f>
        <v>#N/A</v>
      </c>
    </row>
    <row r="4765" spans="5:28" x14ac:dyDescent="0.35">
      <c r="E4765">
        <v>4756</v>
      </c>
      <c r="F4765" t="e">
        <f>INDEX(Stammdaten[D Mitte mit Rinde (mm)],MATCH(Tabelle8[[#This Row],[Rank]],Stammdaten[Rank Verteilung D Mitte mit Rinde],0))</f>
        <v>#N/A</v>
      </c>
      <c r="G4765" t="e">
        <f>VLOOKUP(Tabelle8[[#This Row],[Rank]],Stammdaten[[Rank Verteilung D Mitte mit Rinde]:[Verteilung D Mitte mit Rinde]],2,FALSE)</f>
        <v>#N/A</v>
      </c>
      <c r="L4765">
        <v>4756</v>
      </c>
      <c r="M4765" t="e">
        <f>INDEX(Stammdaten[Abholzigkeit (mm/lfm)],MATCH(Tabelle9[[#This Row],[Rank]],Stammdaten[Rank Verteilung Abholzigkeit],0))</f>
        <v>#N/A</v>
      </c>
      <c r="N4765" t="e">
        <f>VLOOKUP(Tabelle9[[#This Row],[Rank]],Stammdaten[[Rank Verteilung Abholzigkeit]:[Verteilung Abholzigkeit]],2,FALSE)</f>
        <v>#N/A</v>
      </c>
      <c r="S4765">
        <v>4756</v>
      </c>
      <c r="T4765" t="e">
        <f>INDEX(Stammdaten[Krümmung (mm/lfm)],MATCH(Tabelle10[[#This Row],[Rank]],Stammdaten[Rank Verteilung Krümmung],0))</f>
        <v>#N/A</v>
      </c>
      <c r="U4765" t="e">
        <f>VLOOKUP(Tabelle10[[#This Row],[Rank]],Stammdaten[[Rank Verteilung Krümmung]:[Verteilung Krümmung]],2,FALSE)</f>
        <v>#N/A</v>
      </c>
      <c r="Z4765">
        <v>4756</v>
      </c>
      <c r="AA4765" t="e">
        <f>INDEX(Stammdaten[Ovalität (']0,1'])],MATCH(Tabelle1014[[#This Row],[Rank]],Stammdaten[Rank Verteilung Ovalität],0))</f>
        <v>#N/A</v>
      </c>
      <c r="AB4765" t="e">
        <f>VLOOKUP(Tabelle1014[[#This Row],[Rank]],Stammdaten[[Rank Verteilung Ovalität]:[Verteilung Ovalität]],2,FALSE)</f>
        <v>#N/A</v>
      </c>
    </row>
    <row r="4766" spans="5:28" x14ac:dyDescent="0.35">
      <c r="E4766">
        <v>4757</v>
      </c>
      <c r="F4766" t="e">
        <f>INDEX(Stammdaten[D Mitte mit Rinde (mm)],MATCH(Tabelle8[[#This Row],[Rank]],Stammdaten[Rank Verteilung D Mitte mit Rinde],0))</f>
        <v>#N/A</v>
      </c>
      <c r="G4766" t="e">
        <f>VLOOKUP(Tabelle8[[#This Row],[Rank]],Stammdaten[[Rank Verteilung D Mitte mit Rinde]:[Verteilung D Mitte mit Rinde]],2,FALSE)</f>
        <v>#N/A</v>
      </c>
      <c r="L4766">
        <v>4757</v>
      </c>
      <c r="M4766" t="e">
        <f>INDEX(Stammdaten[Abholzigkeit (mm/lfm)],MATCH(Tabelle9[[#This Row],[Rank]],Stammdaten[Rank Verteilung Abholzigkeit],0))</f>
        <v>#N/A</v>
      </c>
      <c r="N4766" t="e">
        <f>VLOOKUP(Tabelle9[[#This Row],[Rank]],Stammdaten[[Rank Verteilung Abholzigkeit]:[Verteilung Abholzigkeit]],2,FALSE)</f>
        <v>#N/A</v>
      </c>
      <c r="S4766">
        <v>4757</v>
      </c>
      <c r="T4766" t="e">
        <f>INDEX(Stammdaten[Krümmung (mm/lfm)],MATCH(Tabelle10[[#This Row],[Rank]],Stammdaten[Rank Verteilung Krümmung],0))</f>
        <v>#N/A</v>
      </c>
      <c r="U4766" t="e">
        <f>VLOOKUP(Tabelle10[[#This Row],[Rank]],Stammdaten[[Rank Verteilung Krümmung]:[Verteilung Krümmung]],2,FALSE)</f>
        <v>#N/A</v>
      </c>
      <c r="Z4766">
        <v>4757</v>
      </c>
      <c r="AA4766" t="e">
        <f>INDEX(Stammdaten[Ovalität (']0,1'])],MATCH(Tabelle1014[[#This Row],[Rank]],Stammdaten[Rank Verteilung Ovalität],0))</f>
        <v>#N/A</v>
      </c>
      <c r="AB4766" t="e">
        <f>VLOOKUP(Tabelle1014[[#This Row],[Rank]],Stammdaten[[Rank Verteilung Ovalität]:[Verteilung Ovalität]],2,FALSE)</f>
        <v>#N/A</v>
      </c>
    </row>
    <row r="4767" spans="5:28" x14ac:dyDescent="0.35">
      <c r="E4767">
        <v>4758</v>
      </c>
      <c r="F4767" t="e">
        <f>INDEX(Stammdaten[D Mitte mit Rinde (mm)],MATCH(Tabelle8[[#This Row],[Rank]],Stammdaten[Rank Verteilung D Mitte mit Rinde],0))</f>
        <v>#N/A</v>
      </c>
      <c r="G4767" t="e">
        <f>VLOOKUP(Tabelle8[[#This Row],[Rank]],Stammdaten[[Rank Verteilung D Mitte mit Rinde]:[Verteilung D Mitte mit Rinde]],2,FALSE)</f>
        <v>#N/A</v>
      </c>
      <c r="L4767">
        <v>4758</v>
      </c>
      <c r="M4767" t="e">
        <f>INDEX(Stammdaten[Abholzigkeit (mm/lfm)],MATCH(Tabelle9[[#This Row],[Rank]],Stammdaten[Rank Verteilung Abholzigkeit],0))</f>
        <v>#N/A</v>
      </c>
      <c r="N4767" t="e">
        <f>VLOOKUP(Tabelle9[[#This Row],[Rank]],Stammdaten[[Rank Verteilung Abholzigkeit]:[Verteilung Abholzigkeit]],2,FALSE)</f>
        <v>#N/A</v>
      </c>
      <c r="S4767">
        <v>4758</v>
      </c>
      <c r="T4767" t="e">
        <f>INDEX(Stammdaten[Krümmung (mm/lfm)],MATCH(Tabelle10[[#This Row],[Rank]],Stammdaten[Rank Verteilung Krümmung],0))</f>
        <v>#N/A</v>
      </c>
      <c r="U4767" t="e">
        <f>VLOOKUP(Tabelle10[[#This Row],[Rank]],Stammdaten[[Rank Verteilung Krümmung]:[Verteilung Krümmung]],2,FALSE)</f>
        <v>#N/A</v>
      </c>
      <c r="Z4767">
        <v>4758</v>
      </c>
      <c r="AA4767" t="e">
        <f>INDEX(Stammdaten[Ovalität (']0,1'])],MATCH(Tabelle1014[[#This Row],[Rank]],Stammdaten[Rank Verteilung Ovalität],0))</f>
        <v>#N/A</v>
      </c>
      <c r="AB4767" t="e">
        <f>VLOOKUP(Tabelle1014[[#This Row],[Rank]],Stammdaten[[Rank Verteilung Ovalität]:[Verteilung Ovalität]],2,FALSE)</f>
        <v>#N/A</v>
      </c>
    </row>
    <row r="4768" spans="5:28" x14ac:dyDescent="0.35">
      <c r="E4768">
        <v>4759</v>
      </c>
      <c r="F4768" t="e">
        <f>INDEX(Stammdaten[D Mitte mit Rinde (mm)],MATCH(Tabelle8[[#This Row],[Rank]],Stammdaten[Rank Verteilung D Mitte mit Rinde],0))</f>
        <v>#N/A</v>
      </c>
      <c r="G4768" t="e">
        <f>VLOOKUP(Tabelle8[[#This Row],[Rank]],Stammdaten[[Rank Verteilung D Mitte mit Rinde]:[Verteilung D Mitte mit Rinde]],2,FALSE)</f>
        <v>#N/A</v>
      </c>
      <c r="L4768">
        <v>4759</v>
      </c>
      <c r="M4768" t="e">
        <f>INDEX(Stammdaten[Abholzigkeit (mm/lfm)],MATCH(Tabelle9[[#This Row],[Rank]],Stammdaten[Rank Verteilung Abholzigkeit],0))</f>
        <v>#N/A</v>
      </c>
      <c r="N4768" t="e">
        <f>VLOOKUP(Tabelle9[[#This Row],[Rank]],Stammdaten[[Rank Verteilung Abholzigkeit]:[Verteilung Abholzigkeit]],2,FALSE)</f>
        <v>#N/A</v>
      </c>
      <c r="S4768">
        <v>4759</v>
      </c>
      <c r="T4768" t="e">
        <f>INDEX(Stammdaten[Krümmung (mm/lfm)],MATCH(Tabelle10[[#This Row],[Rank]],Stammdaten[Rank Verteilung Krümmung],0))</f>
        <v>#N/A</v>
      </c>
      <c r="U4768" t="e">
        <f>VLOOKUP(Tabelle10[[#This Row],[Rank]],Stammdaten[[Rank Verteilung Krümmung]:[Verteilung Krümmung]],2,FALSE)</f>
        <v>#N/A</v>
      </c>
      <c r="Z4768">
        <v>4759</v>
      </c>
      <c r="AA4768" t="e">
        <f>INDEX(Stammdaten[Ovalität (']0,1'])],MATCH(Tabelle1014[[#This Row],[Rank]],Stammdaten[Rank Verteilung Ovalität],0))</f>
        <v>#N/A</v>
      </c>
      <c r="AB4768" t="e">
        <f>VLOOKUP(Tabelle1014[[#This Row],[Rank]],Stammdaten[[Rank Verteilung Ovalität]:[Verteilung Ovalität]],2,FALSE)</f>
        <v>#N/A</v>
      </c>
    </row>
    <row r="4769" spans="5:28" x14ac:dyDescent="0.35">
      <c r="E4769">
        <v>4760</v>
      </c>
      <c r="F4769" t="e">
        <f>INDEX(Stammdaten[D Mitte mit Rinde (mm)],MATCH(Tabelle8[[#This Row],[Rank]],Stammdaten[Rank Verteilung D Mitte mit Rinde],0))</f>
        <v>#N/A</v>
      </c>
      <c r="G4769" t="e">
        <f>VLOOKUP(Tabelle8[[#This Row],[Rank]],Stammdaten[[Rank Verteilung D Mitte mit Rinde]:[Verteilung D Mitte mit Rinde]],2,FALSE)</f>
        <v>#N/A</v>
      </c>
      <c r="L4769">
        <v>4760</v>
      </c>
      <c r="M4769" t="e">
        <f>INDEX(Stammdaten[Abholzigkeit (mm/lfm)],MATCH(Tabelle9[[#This Row],[Rank]],Stammdaten[Rank Verteilung Abholzigkeit],0))</f>
        <v>#N/A</v>
      </c>
      <c r="N4769" t="e">
        <f>VLOOKUP(Tabelle9[[#This Row],[Rank]],Stammdaten[[Rank Verteilung Abholzigkeit]:[Verteilung Abholzigkeit]],2,FALSE)</f>
        <v>#N/A</v>
      </c>
      <c r="S4769">
        <v>4760</v>
      </c>
      <c r="T4769" t="e">
        <f>INDEX(Stammdaten[Krümmung (mm/lfm)],MATCH(Tabelle10[[#This Row],[Rank]],Stammdaten[Rank Verteilung Krümmung],0))</f>
        <v>#N/A</v>
      </c>
      <c r="U4769" t="e">
        <f>VLOOKUP(Tabelle10[[#This Row],[Rank]],Stammdaten[[Rank Verteilung Krümmung]:[Verteilung Krümmung]],2,FALSE)</f>
        <v>#N/A</v>
      </c>
      <c r="Z4769">
        <v>4760</v>
      </c>
      <c r="AA4769" t="e">
        <f>INDEX(Stammdaten[Ovalität (']0,1'])],MATCH(Tabelle1014[[#This Row],[Rank]],Stammdaten[Rank Verteilung Ovalität],0))</f>
        <v>#N/A</v>
      </c>
      <c r="AB4769" t="e">
        <f>VLOOKUP(Tabelle1014[[#This Row],[Rank]],Stammdaten[[Rank Verteilung Ovalität]:[Verteilung Ovalität]],2,FALSE)</f>
        <v>#N/A</v>
      </c>
    </row>
    <row r="4770" spans="5:28" x14ac:dyDescent="0.35">
      <c r="E4770">
        <v>4761</v>
      </c>
      <c r="F4770" t="e">
        <f>INDEX(Stammdaten[D Mitte mit Rinde (mm)],MATCH(Tabelle8[[#This Row],[Rank]],Stammdaten[Rank Verteilung D Mitte mit Rinde],0))</f>
        <v>#N/A</v>
      </c>
      <c r="G4770" t="e">
        <f>VLOOKUP(Tabelle8[[#This Row],[Rank]],Stammdaten[[Rank Verteilung D Mitte mit Rinde]:[Verteilung D Mitte mit Rinde]],2,FALSE)</f>
        <v>#N/A</v>
      </c>
      <c r="L4770">
        <v>4761</v>
      </c>
      <c r="M4770" t="e">
        <f>INDEX(Stammdaten[Abholzigkeit (mm/lfm)],MATCH(Tabelle9[[#This Row],[Rank]],Stammdaten[Rank Verteilung Abholzigkeit],0))</f>
        <v>#N/A</v>
      </c>
      <c r="N4770" t="e">
        <f>VLOOKUP(Tabelle9[[#This Row],[Rank]],Stammdaten[[Rank Verteilung Abholzigkeit]:[Verteilung Abholzigkeit]],2,FALSE)</f>
        <v>#N/A</v>
      </c>
      <c r="S4770">
        <v>4761</v>
      </c>
      <c r="T4770" t="e">
        <f>INDEX(Stammdaten[Krümmung (mm/lfm)],MATCH(Tabelle10[[#This Row],[Rank]],Stammdaten[Rank Verteilung Krümmung],0))</f>
        <v>#N/A</v>
      </c>
      <c r="U4770" t="e">
        <f>VLOOKUP(Tabelle10[[#This Row],[Rank]],Stammdaten[[Rank Verteilung Krümmung]:[Verteilung Krümmung]],2,FALSE)</f>
        <v>#N/A</v>
      </c>
      <c r="Z4770">
        <v>4761</v>
      </c>
      <c r="AA4770" t="e">
        <f>INDEX(Stammdaten[Ovalität (']0,1'])],MATCH(Tabelle1014[[#This Row],[Rank]],Stammdaten[Rank Verteilung Ovalität],0))</f>
        <v>#N/A</v>
      </c>
      <c r="AB4770" t="e">
        <f>VLOOKUP(Tabelle1014[[#This Row],[Rank]],Stammdaten[[Rank Verteilung Ovalität]:[Verteilung Ovalität]],2,FALSE)</f>
        <v>#N/A</v>
      </c>
    </row>
    <row r="4771" spans="5:28" x14ac:dyDescent="0.35">
      <c r="E4771">
        <v>4762</v>
      </c>
      <c r="F4771" t="e">
        <f>INDEX(Stammdaten[D Mitte mit Rinde (mm)],MATCH(Tabelle8[[#This Row],[Rank]],Stammdaten[Rank Verteilung D Mitte mit Rinde],0))</f>
        <v>#N/A</v>
      </c>
      <c r="G4771" t="e">
        <f>VLOOKUP(Tabelle8[[#This Row],[Rank]],Stammdaten[[Rank Verteilung D Mitte mit Rinde]:[Verteilung D Mitte mit Rinde]],2,FALSE)</f>
        <v>#N/A</v>
      </c>
      <c r="L4771">
        <v>4762</v>
      </c>
      <c r="M4771" t="e">
        <f>INDEX(Stammdaten[Abholzigkeit (mm/lfm)],MATCH(Tabelle9[[#This Row],[Rank]],Stammdaten[Rank Verteilung Abholzigkeit],0))</f>
        <v>#N/A</v>
      </c>
      <c r="N4771" t="e">
        <f>VLOOKUP(Tabelle9[[#This Row],[Rank]],Stammdaten[[Rank Verteilung Abholzigkeit]:[Verteilung Abholzigkeit]],2,FALSE)</f>
        <v>#N/A</v>
      </c>
      <c r="S4771">
        <v>4762</v>
      </c>
      <c r="T4771" t="e">
        <f>INDEX(Stammdaten[Krümmung (mm/lfm)],MATCH(Tabelle10[[#This Row],[Rank]],Stammdaten[Rank Verteilung Krümmung],0))</f>
        <v>#N/A</v>
      </c>
      <c r="U4771" t="e">
        <f>VLOOKUP(Tabelle10[[#This Row],[Rank]],Stammdaten[[Rank Verteilung Krümmung]:[Verteilung Krümmung]],2,FALSE)</f>
        <v>#N/A</v>
      </c>
      <c r="Z4771">
        <v>4762</v>
      </c>
      <c r="AA4771" t="e">
        <f>INDEX(Stammdaten[Ovalität (']0,1'])],MATCH(Tabelle1014[[#This Row],[Rank]],Stammdaten[Rank Verteilung Ovalität],0))</f>
        <v>#N/A</v>
      </c>
      <c r="AB4771" t="e">
        <f>VLOOKUP(Tabelle1014[[#This Row],[Rank]],Stammdaten[[Rank Verteilung Ovalität]:[Verteilung Ovalität]],2,FALSE)</f>
        <v>#N/A</v>
      </c>
    </row>
    <row r="4772" spans="5:28" x14ac:dyDescent="0.35">
      <c r="E4772">
        <v>4763</v>
      </c>
      <c r="F4772" t="e">
        <f>INDEX(Stammdaten[D Mitte mit Rinde (mm)],MATCH(Tabelle8[[#This Row],[Rank]],Stammdaten[Rank Verteilung D Mitte mit Rinde],0))</f>
        <v>#N/A</v>
      </c>
      <c r="G4772" t="e">
        <f>VLOOKUP(Tabelle8[[#This Row],[Rank]],Stammdaten[[Rank Verteilung D Mitte mit Rinde]:[Verteilung D Mitte mit Rinde]],2,FALSE)</f>
        <v>#N/A</v>
      </c>
      <c r="L4772">
        <v>4763</v>
      </c>
      <c r="M4772" t="e">
        <f>INDEX(Stammdaten[Abholzigkeit (mm/lfm)],MATCH(Tabelle9[[#This Row],[Rank]],Stammdaten[Rank Verteilung Abholzigkeit],0))</f>
        <v>#N/A</v>
      </c>
      <c r="N4772" t="e">
        <f>VLOOKUP(Tabelle9[[#This Row],[Rank]],Stammdaten[[Rank Verteilung Abholzigkeit]:[Verteilung Abholzigkeit]],2,FALSE)</f>
        <v>#N/A</v>
      </c>
      <c r="S4772">
        <v>4763</v>
      </c>
      <c r="T4772" t="e">
        <f>INDEX(Stammdaten[Krümmung (mm/lfm)],MATCH(Tabelle10[[#This Row],[Rank]],Stammdaten[Rank Verteilung Krümmung],0))</f>
        <v>#N/A</v>
      </c>
      <c r="U4772" t="e">
        <f>VLOOKUP(Tabelle10[[#This Row],[Rank]],Stammdaten[[Rank Verteilung Krümmung]:[Verteilung Krümmung]],2,FALSE)</f>
        <v>#N/A</v>
      </c>
      <c r="Z4772">
        <v>4763</v>
      </c>
      <c r="AA4772" t="e">
        <f>INDEX(Stammdaten[Ovalität (']0,1'])],MATCH(Tabelle1014[[#This Row],[Rank]],Stammdaten[Rank Verteilung Ovalität],0))</f>
        <v>#N/A</v>
      </c>
      <c r="AB4772" t="e">
        <f>VLOOKUP(Tabelle1014[[#This Row],[Rank]],Stammdaten[[Rank Verteilung Ovalität]:[Verteilung Ovalität]],2,FALSE)</f>
        <v>#N/A</v>
      </c>
    </row>
    <row r="4773" spans="5:28" x14ac:dyDescent="0.35">
      <c r="E4773">
        <v>4764</v>
      </c>
      <c r="F4773" t="e">
        <f>INDEX(Stammdaten[D Mitte mit Rinde (mm)],MATCH(Tabelle8[[#This Row],[Rank]],Stammdaten[Rank Verteilung D Mitte mit Rinde],0))</f>
        <v>#N/A</v>
      </c>
      <c r="G4773" t="e">
        <f>VLOOKUP(Tabelle8[[#This Row],[Rank]],Stammdaten[[Rank Verteilung D Mitte mit Rinde]:[Verteilung D Mitte mit Rinde]],2,FALSE)</f>
        <v>#N/A</v>
      </c>
      <c r="L4773">
        <v>4764</v>
      </c>
      <c r="M4773" t="e">
        <f>INDEX(Stammdaten[Abholzigkeit (mm/lfm)],MATCH(Tabelle9[[#This Row],[Rank]],Stammdaten[Rank Verteilung Abholzigkeit],0))</f>
        <v>#N/A</v>
      </c>
      <c r="N4773" t="e">
        <f>VLOOKUP(Tabelle9[[#This Row],[Rank]],Stammdaten[[Rank Verteilung Abholzigkeit]:[Verteilung Abholzigkeit]],2,FALSE)</f>
        <v>#N/A</v>
      </c>
      <c r="S4773">
        <v>4764</v>
      </c>
      <c r="T4773" t="e">
        <f>INDEX(Stammdaten[Krümmung (mm/lfm)],MATCH(Tabelle10[[#This Row],[Rank]],Stammdaten[Rank Verteilung Krümmung],0))</f>
        <v>#N/A</v>
      </c>
      <c r="U4773" t="e">
        <f>VLOOKUP(Tabelle10[[#This Row],[Rank]],Stammdaten[[Rank Verteilung Krümmung]:[Verteilung Krümmung]],2,FALSE)</f>
        <v>#N/A</v>
      </c>
      <c r="Z4773">
        <v>4764</v>
      </c>
      <c r="AA4773" t="e">
        <f>INDEX(Stammdaten[Ovalität (']0,1'])],MATCH(Tabelle1014[[#This Row],[Rank]],Stammdaten[Rank Verteilung Ovalität],0))</f>
        <v>#N/A</v>
      </c>
      <c r="AB4773" t="e">
        <f>VLOOKUP(Tabelle1014[[#This Row],[Rank]],Stammdaten[[Rank Verteilung Ovalität]:[Verteilung Ovalität]],2,FALSE)</f>
        <v>#N/A</v>
      </c>
    </row>
    <row r="4774" spans="5:28" x14ac:dyDescent="0.35">
      <c r="E4774">
        <v>4765</v>
      </c>
      <c r="F4774" t="e">
        <f>INDEX(Stammdaten[D Mitte mit Rinde (mm)],MATCH(Tabelle8[[#This Row],[Rank]],Stammdaten[Rank Verteilung D Mitte mit Rinde],0))</f>
        <v>#N/A</v>
      </c>
      <c r="G4774" t="e">
        <f>VLOOKUP(Tabelle8[[#This Row],[Rank]],Stammdaten[[Rank Verteilung D Mitte mit Rinde]:[Verteilung D Mitte mit Rinde]],2,FALSE)</f>
        <v>#N/A</v>
      </c>
      <c r="L4774">
        <v>4765</v>
      </c>
      <c r="M4774" t="e">
        <f>INDEX(Stammdaten[Abholzigkeit (mm/lfm)],MATCH(Tabelle9[[#This Row],[Rank]],Stammdaten[Rank Verteilung Abholzigkeit],0))</f>
        <v>#N/A</v>
      </c>
      <c r="N4774" t="e">
        <f>VLOOKUP(Tabelle9[[#This Row],[Rank]],Stammdaten[[Rank Verteilung Abholzigkeit]:[Verteilung Abholzigkeit]],2,FALSE)</f>
        <v>#N/A</v>
      </c>
      <c r="S4774">
        <v>4765</v>
      </c>
      <c r="T4774" t="e">
        <f>INDEX(Stammdaten[Krümmung (mm/lfm)],MATCH(Tabelle10[[#This Row],[Rank]],Stammdaten[Rank Verteilung Krümmung],0))</f>
        <v>#N/A</v>
      </c>
      <c r="U4774" t="e">
        <f>VLOOKUP(Tabelle10[[#This Row],[Rank]],Stammdaten[[Rank Verteilung Krümmung]:[Verteilung Krümmung]],2,FALSE)</f>
        <v>#N/A</v>
      </c>
      <c r="Z4774">
        <v>4765</v>
      </c>
      <c r="AA4774" t="e">
        <f>INDEX(Stammdaten[Ovalität (']0,1'])],MATCH(Tabelle1014[[#This Row],[Rank]],Stammdaten[Rank Verteilung Ovalität],0))</f>
        <v>#N/A</v>
      </c>
      <c r="AB4774" t="e">
        <f>VLOOKUP(Tabelle1014[[#This Row],[Rank]],Stammdaten[[Rank Verteilung Ovalität]:[Verteilung Ovalität]],2,FALSE)</f>
        <v>#N/A</v>
      </c>
    </row>
    <row r="4775" spans="5:28" x14ac:dyDescent="0.35">
      <c r="E4775">
        <v>4766</v>
      </c>
      <c r="F4775" t="e">
        <f>INDEX(Stammdaten[D Mitte mit Rinde (mm)],MATCH(Tabelle8[[#This Row],[Rank]],Stammdaten[Rank Verteilung D Mitte mit Rinde],0))</f>
        <v>#N/A</v>
      </c>
      <c r="G4775" t="e">
        <f>VLOOKUP(Tabelle8[[#This Row],[Rank]],Stammdaten[[Rank Verteilung D Mitte mit Rinde]:[Verteilung D Mitte mit Rinde]],2,FALSE)</f>
        <v>#N/A</v>
      </c>
      <c r="L4775">
        <v>4766</v>
      </c>
      <c r="M4775" t="e">
        <f>INDEX(Stammdaten[Abholzigkeit (mm/lfm)],MATCH(Tabelle9[[#This Row],[Rank]],Stammdaten[Rank Verteilung Abholzigkeit],0))</f>
        <v>#N/A</v>
      </c>
      <c r="N4775" t="e">
        <f>VLOOKUP(Tabelle9[[#This Row],[Rank]],Stammdaten[[Rank Verteilung Abholzigkeit]:[Verteilung Abholzigkeit]],2,FALSE)</f>
        <v>#N/A</v>
      </c>
      <c r="S4775">
        <v>4766</v>
      </c>
      <c r="T4775" t="e">
        <f>INDEX(Stammdaten[Krümmung (mm/lfm)],MATCH(Tabelle10[[#This Row],[Rank]],Stammdaten[Rank Verteilung Krümmung],0))</f>
        <v>#N/A</v>
      </c>
      <c r="U4775" t="e">
        <f>VLOOKUP(Tabelle10[[#This Row],[Rank]],Stammdaten[[Rank Verteilung Krümmung]:[Verteilung Krümmung]],2,FALSE)</f>
        <v>#N/A</v>
      </c>
      <c r="Z4775">
        <v>4766</v>
      </c>
      <c r="AA4775" t="e">
        <f>INDEX(Stammdaten[Ovalität (']0,1'])],MATCH(Tabelle1014[[#This Row],[Rank]],Stammdaten[Rank Verteilung Ovalität],0))</f>
        <v>#N/A</v>
      </c>
      <c r="AB4775" t="e">
        <f>VLOOKUP(Tabelle1014[[#This Row],[Rank]],Stammdaten[[Rank Verteilung Ovalität]:[Verteilung Ovalität]],2,FALSE)</f>
        <v>#N/A</v>
      </c>
    </row>
    <row r="4776" spans="5:28" x14ac:dyDescent="0.35">
      <c r="E4776">
        <v>4767</v>
      </c>
      <c r="F4776" t="e">
        <f>INDEX(Stammdaten[D Mitte mit Rinde (mm)],MATCH(Tabelle8[[#This Row],[Rank]],Stammdaten[Rank Verteilung D Mitte mit Rinde],0))</f>
        <v>#N/A</v>
      </c>
      <c r="G4776" t="e">
        <f>VLOOKUP(Tabelle8[[#This Row],[Rank]],Stammdaten[[Rank Verteilung D Mitte mit Rinde]:[Verteilung D Mitte mit Rinde]],2,FALSE)</f>
        <v>#N/A</v>
      </c>
      <c r="L4776">
        <v>4767</v>
      </c>
      <c r="M4776" t="e">
        <f>INDEX(Stammdaten[Abholzigkeit (mm/lfm)],MATCH(Tabelle9[[#This Row],[Rank]],Stammdaten[Rank Verteilung Abholzigkeit],0))</f>
        <v>#N/A</v>
      </c>
      <c r="N4776" t="e">
        <f>VLOOKUP(Tabelle9[[#This Row],[Rank]],Stammdaten[[Rank Verteilung Abholzigkeit]:[Verteilung Abholzigkeit]],2,FALSE)</f>
        <v>#N/A</v>
      </c>
      <c r="S4776">
        <v>4767</v>
      </c>
      <c r="T4776" t="e">
        <f>INDEX(Stammdaten[Krümmung (mm/lfm)],MATCH(Tabelle10[[#This Row],[Rank]],Stammdaten[Rank Verteilung Krümmung],0))</f>
        <v>#N/A</v>
      </c>
      <c r="U4776" t="e">
        <f>VLOOKUP(Tabelle10[[#This Row],[Rank]],Stammdaten[[Rank Verteilung Krümmung]:[Verteilung Krümmung]],2,FALSE)</f>
        <v>#N/A</v>
      </c>
      <c r="Z4776">
        <v>4767</v>
      </c>
      <c r="AA4776" t="e">
        <f>INDEX(Stammdaten[Ovalität (']0,1'])],MATCH(Tabelle1014[[#This Row],[Rank]],Stammdaten[Rank Verteilung Ovalität],0))</f>
        <v>#N/A</v>
      </c>
      <c r="AB4776" t="e">
        <f>VLOOKUP(Tabelle1014[[#This Row],[Rank]],Stammdaten[[Rank Verteilung Ovalität]:[Verteilung Ovalität]],2,FALSE)</f>
        <v>#N/A</v>
      </c>
    </row>
    <row r="4777" spans="5:28" x14ac:dyDescent="0.35">
      <c r="E4777">
        <v>4768</v>
      </c>
      <c r="F4777" t="e">
        <f>INDEX(Stammdaten[D Mitte mit Rinde (mm)],MATCH(Tabelle8[[#This Row],[Rank]],Stammdaten[Rank Verteilung D Mitte mit Rinde],0))</f>
        <v>#N/A</v>
      </c>
      <c r="G4777" t="e">
        <f>VLOOKUP(Tabelle8[[#This Row],[Rank]],Stammdaten[[Rank Verteilung D Mitte mit Rinde]:[Verteilung D Mitte mit Rinde]],2,FALSE)</f>
        <v>#N/A</v>
      </c>
      <c r="L4777">
        <v>4768</v>
      </c>
      <c r="M4777" t="e">
        <f>INDEX(Stammdaten[Abholzigkeit (mm/lfm)],MATCH(Tabelle9[[#This Row],[Rank]],Stammdaten[Rank Verteilung Abholzigkeit],0))</f>
        <v>#N/A</v>
      </c>
      <c r="N4777" t="e">
        <f>VLOOKUP(Tabelle9[[#This Row],[Rank]],Stammdaten[[Rank Verteilung Abholzigkeit]:[Verteilung Abholzigkeit]],2,FALSE)</f>
        <v>#N/A</v>
      </c>
      <c r="S4777">
        <v>4768</v>
      </c>
      <c r="T4777" t="e">
        <f>INDEX(Stammdaten[Krümmung (mm/lfm)],MATCH(Tabelle10[[#This Row],[Rank]],Stammdaten[Rank Verteilung Krümmung],0))</f>
        <v>#N/A</v>
      </c>
      <c r="U4777" t="e">
        <f>VLOOKUP(Tabelle10[[#This Row],[Rank]],Stammdaten[[Rank Verteilung Krümmung]:[Verteilung Krümmung]],2,FALSE)</f>
        <v>#N/A</v>
      </c>
      <c r="Z4777">
        <v>4768</v>
      </c>
      <c r="AA4777" t="e">
        <f>INDEX(Stammdaten[Ovalität (']0,1'])],MATCH(Tabelle1014[[#This Row],[Rank]],Stammdaten[Rank Verteilung Ovalität],0))</f>
        <v>#N/A</v>
      </c>
      <c r="AB4777" t="e">
        <f>VLOOKUP(Tabelle1014[[#This Row],[Rank]],Stammdaten[[Rank Verteilung Ovalität]:[Verteilung Ovalität]],2,FALSE)</f>
        <v>#N/A</v>
      </c>
    </row>
    <row r="4778" spans="5:28" x14ac:dyDescent="0.35">
      <c r="E4778">
        <v>4769</v>
      </c>
      <c r="F4778" t="e">
        <f>INDEX(Stammdaten[D Mitte mit Rinde (mm)],MATCH(Tabelle8[[#This Row],[Rank]],Stammdaten[Rank Verteilung D Mitte mit Rinde],0))</f>
        <v>#N/A</v>
      </c>
      <c r="G4778" t="e">
        <f>VLOOKUP(Tabelle8[[#This Row],[Rank]],Stammdaten[[Rank Verteilung D Mitte mit Rinde]:[Verteilung D Mitte mit Rinde]],2,FALSE)</f>
        <v>#N/A</v>
      </c>
      <c r="L4778">
        <v>4769</v>
      </c>
      <c r="M4778" t="e">
        <f>INDEX(Stammdaten[Abholzigkeit (mm/lfm)],MATCH(Tabelle9[[#This Row],[Rank]],Stammdaten[Rank Verteilung Abholzigkeit],0))</f>
        <v>#N/A</v>
      </c>
      <c r="N4778" t="e">
        <f>VLOOKUP(Tabelle9[[#This Row],[Rank]],Stammdaten[[Rank Verteilung Abholzigkeit]:[Verteilung Abholzigkeit]],2,FALSE)</f>
        <v>#N/A</v>
      </c>
      <c r="S4778">
        <v>4769</v>
      </c>
      <c r="T4778" t="e">
        <f>INDEX(Stammdaten[Krümmung (mm/lfm)],MATCH(Tabelle10[[#This Row],[Rank]],Stammdaten[Rank Verteilung Krümmung],0))</f>
        <v>#N/A</v>
      </c>
      <c r="U4778" t="e">
        <f>VLOOKUP(Tabelle10[[#This Row],[Rank]],Stammdaten[[Rank Verteilung Krümmung]:[Verteilung Krümmung]],2,FALSE)</f>
        <v>#N/A</v>
      </c>
      <c r="Z4778">
        <v>4769</v>
      </c>
      <c r="AA4778" t="e">
        <f>INDEX(Stammdaten[Ovalität (']0,1'])],MATCH(Tabelle1014[[#This Row],[Rank]],Stammdaten[Rank Verteilung Ovalität],0))</f>
        <v>#N/A</v>
      </c>
      <c r="AB4778" t="e">
        <f>VLOOKUP(Tabelle1014[[#This Row],[Rank]],Stammdaten[[Rank Verteilung Ovalität]:[Verteilung Ovalität]],2,FALSE)</f>
        <v>#N/A</v>
      </c>
    </row>
    <row r="4779" spans="5:28" x14ac:dyDescent="0.35">
      <c r="E4779">
        <v>4770</v>
      </c>
      <c r="F4779" t="e">
        <f>INDEX(Stammdaten[D Mitte mit Rinde (mm)],MATCH(Tabelle8[[#This Row],[Rank]],Stammdaten[Rank Verteilung D Mitte mit Rinde],0))</f>
        <v>#N/A</v>
      </c>
      <c r="G4779" t="e">
        <f>VLOOKUP(Tabelle8[[#This Row],[Rank]],Stammdaten[[Rank Verteilung D Mitte mit Rinde]:[Verteilung D Mitte mit Rinde]],2,FALSE)</f>
        <v>#N/A</v>
      </c>
      <c r="L4779">
        <v>4770</v>
      </c>
      <c r="M4779" t="e">
        <f>INDEX(Stammdaten[Abholzigkeit (mm/lfm)],MATCH(Tabelle9[[#This Row],[Rank]],Stammdaten[Rank Verteilung Abholzigkeit],0))</f>
        <v>#N/A</v>
      </c>
      <c r="N4779" t="e">
        <f>VLOOKUP(Tabelle9[[#This Row],[Rank]],Stammdaten[[Rank Verteilung Abholzigkeit]:[Verteilung Abholzigkeit]],2,FALSE)</f>
        <v>#N/A</v>
      </c>
      <c r="S4779">
        <v>4770</v>
      </c>
      <c r="T4779" t="e">
        <f>INDEX(Stammdaten[Krümmung (mm/lfm)],MATCH(Tabelle10[[#This Row],[Rank]],Stammdaten[Rank Verteilung Krümmung],0))</f>
        <v>#N/A</v>
      </c>
      <c r="U4779" t="e">
        <f>VLOOKUP(Tabelle10[[#This Row],[Rank]],Stammdaten[[Rank Verteilung Krümmung]:[Verteilung Krümmung]],2,FALSE)</f>
        <v>#N/A</v>
      </c>
      <c r="Z4779">
        <v>4770</v>
      </c>
      <c r="AA4779" t="e">
        <f>INDEX(Stammdaten[Ovalität (']0,1'])],MATCH(Tabelle1014[[#This Row],[Rank]],Stammdaten[Rank Verteilung Ovalität],0))</f>
        <v>#N/A</v>
      </c>
      <c r="AB4779" t="e">
        <f>VLOOKUP(Tabelle1014[[#This Row],[Rank]],Stammdaten[[Rank Verteilung Ovalität]:[Verteilung Ovalität]],2,FALSE)</f>
        <v>#N/A</v>
      </c>
    </row>
    <row r="4780" spans="5:28" x14ac:dyDescent="0.35">
      <c r="E4780">
        <v>4771</v>
      </c>
      <c r="F4780" t="e">
        <f>INDEX(Stammdaten[D Mitte mit Rinde (mm)],MATCH(Tabelle8[[#This Row],[Rank]],Stammdaten[Rank Verteilung D Mitte mit Rinde],0))</f>
        <v>#N/A</v>
      </c>
      <c r="G4780" t="e">
        <f>VLOOKUP(Tabelle8[[#This Row],[Rank]],Stammdaten[[Rank Verteilung D Mitte mit Rinde]:[Verteilung D Mitte mit Rinde]],2,FALSE)</f>
        <v>#N/A</v>
      </c>
      <c r="L4780">
        <v>4771</v>
      </c>
      <c r="M4780" t="e">
        <f>INDEX(Stammdaten[Abholzigkeit (mm/lfm)],MATCH(Tabelle9[[#This Row],[Rank]],Stammdaten[Rank Verteilung Abholzigkeit],0))</f>
        <v>#N/A</v>
      </c>
      <c r="N4780" t="e">
        <f>VLOOKUP(Tabelle9[[#This Row],[Rank]],Stammdaten[[Rank Verteilung Abholzigkeit]:[Verteilung Abholzigkeit]],2,FALSE)</f>
        <v>#N/A</v>
      </c>
      <c r="S4780">
        <v>4771</v>
      </c>
      <c r="T4780" t="e">
        <f>INDEX(Stammdaten[Krümmung (mm/lfm)],MATCH(Tabelle10[[#This Row],[Rank]],Stammdaten[Rank Verteilung Krümmung],0))</f>
        <v>#N/A</v>
      </c>
      <c r="U4780" t="e">
        <f>VLOOKUP(Tabelle10[[#This Row],[Rank]],Stammdaten[[Rank Verteilung Krümmung]:[Verteilung Krümmung]],2,FALSE)</f>
        <v>#N/A</v>
      </c>
      <c r="Z4780">
        <v>4771</v>
      </c>
      <c r="AA4780" t="e">
        <f>INDEX(Stammdaten[Ovalität (']0,1'])],MATCH(Tabelle1014[[#This Row],[Rank]],Stammdaten[Rank Verteilung Ovalität],0))</f>
        <v>#N/A</v>
      </c>
      <c r="AB4780" t="e">
        <f>VLOOKUP(Tabelle1014[[#This Row],[Rank]],Stammdaten[[Rank Verteilung Ovalität]:[Verteilung Ovalität]],2,FALSE)</f>
        <v>#N/A</v>
      </c>
    </row>
    <row r="4781" spans="5:28" x14ac:dyDescent="0.35">
      <c r="E4781">
        <v>4772</v>
      </c>
      <c r="F4781" t="e">
        <f>INDEX(Stammdaten[D Mitte mit Rinde (mm)],MATCH(Tabelle8[[#This Row],[Rank]],Stammdaten[Rank Verteilung D Mitte mit Rinde],0))</f>
        <v>#N/A</v>
      </c>
      <c r="G4781" t="e">
        <f>VLOOKUP(Tabelle8[[#This Row],[Rank]],Stammdaten[[Rank Verteilung D Mitte mit Rinde]:[Verteilung D Mitte mit Rinde]],2,FALSE)</f>
        <v>#N/A</v>
      </c>
      <c r="L4781">
        <v>4772</v>
      </c>
      <c r="M4781" t="e">
        <f>INDEX(Stammdaten[Abholzigkeit (mm/lfm)],MATCH(Tabelle9[[#This Row],[Rank]],Stammdaten[Rank Verteilung Abholzigkeit],0))</f>
        <v>#N/A</v>
      </c>
      <c r="N4781" t="e">
        <f>VLOOKUP(Tabelle9[[#This Row],[Rank]],Stammdaten[[Rank Verteilung Abholzigkeit]:[Verteilung Abholzigkeit]],2,FALSE)</f>
        <v>#N/A</v>
      </c>
      <c r="S4781">
        <v>4772</v>
      </c>
      <c r="T4781" t="e">
        <f>INDEX(Stammdaten[Krümmung (mm/lfm)],MATCH(Tabelle10[[#This Row],[Rank]],Stammdaten[Rank Verteilung Krümmung],0))</f>
        <v>#N/A</v>
      </c>
      <c r="U4781" t="e">
        <f>VLOOKUP(Tabelle10[[#This Row],[Rank]],Stammdaten[[Rank Verteilung Krümmung]:[Verteilung Krümmung]],2,FALSE)</f>
        <v>#N/A</v>
      </c>
      <c r="Z4781">
        <v>4772</v>
      </c>
      <c r="AA4781" t="e">
        <f>INDEX(Stammdaten[Ovalität (']0,1'])],MATCH(Tabelle1014[[#This Row],[Rank]],Stammdaten[Rank Verteilung Ovalität],0))</f>
        <v>#N/A</v>
      </c>
      <c r="AB4781" t="e">
        <f>VLOOKUP(Tabelle1014[[#This Row],[Rank]],Stammdaten[[Rank Verteilung Ovalität]:[Verteilung Ovalität]],2,FALSE)</f>
        <v>#N/A</v>
      </c>
    </row>
    <row r="4782" spans="5:28" x14ac:dyDescent="0.35">
      <c r="E4782">
        <v>4773</v>
      </c>
      <c r="F4782" t="e">
        <f>INDEX(Stammdaten[D Mitte mit Rinde (mm)],MATCH(Tabelle8[[#This Row],[Rank]],Stammdaten[Rank Verteilung D Mitte mit Rinde],0))</f>
        <v>#N/A</v>
      </c>
      <c r="G4782" t="e">
        <f>VLOOKUP(Tabelle8[[#This Row],[Rank]],Stammdaten[[Rank Verteilung D Mitte mit Rinde]:[Verteilung D Mitte mit Rinde]],2,FALSE)</f>
        <v>#N/A</v>
      </c>
      <c r="L4782">
        <v>4773</v>
      </c>
      <c r="M4782" t="e">
        <f>INDEX(Stammdaten[Abholzigkeit (mm/lfm)],MATCH(Tabelle9[[#This Row],[Rank]],Stammdaten[Rank Verteilung Abholzigkeit],0))</f>
        <v>#N/A</v>
      </c>
      <c r="N4782" t="e">
        <f>VLOOKUP(Tabelle9[[#This Row],[Rank]],Stammdaten[[Rank Verteilung Abholzigkeit]:[Verteilung Abholzigkeit]],2,FALSE)</f>
        <v>#N/A</v>
      </c>
      <c r="S4782">
        <v>4773</v>
      </c>
      <c r="T4782" t="e">
        <f>INDEX(Stammdaten[Krümmung (mm/lfm)],MATCH(Tabelle10[[#This Row],[Rank]],Stammdaten[Rank Verteilung Krümmung],0))</f>
        <v>#N/A</v>
      </c>
      <c r="U4782" t="e">
        <f>VLOOKUP(Tabelle10[[#This Row],[Rank]],Stammdaten[[Rank Verteilung Krümmung]:[Verteilung Krümmung]],2,FALSE)</f>
        <v>#N/A</v>
      </c>
      <c r="Z4782">
        <v>4773</v>
      </c>
      <c r="AA4782" t="e">
        <f>INDEX(Stammdaten[Ovalität (']0,1'])],MATCH(Tabelle1014[[#This Row],[Rank]],Stammdaten[Rank Verteilung Ovalität],0))</f>
        <v>#N/A</v>
      </c>
      <c r="AB4782" t="e">
        <f>VLOOKUP(Tabelle1014[[#This Row],[Rank]],Stammdaten[[Rank Verteilung Ovalität]:[Verteilung Ovalität]],2,FALSE)</f>
        <v>#N/A</v>
      </c>
    </row>
    <row r="4783" spans="5:28" x14ac:dyDescent="0.35">
      <c r="E4783">
        <v>4774</v>
      </c>
      <c r="F4783" t="e">
        <f>INDEX(Stammdaten[D Mitte mit Rinde (mm)],MATCH(Tabelle8[[#This Row],[Rank]],Stammdaten[Rank Verteilung D Mitte mit Rinde],0))</f>
        <v>#N/A</v>
      </c>
      <c r="G4783" t="e">
        <f>VLOOKUP(Tabelle8[[#This Row],[Rank]],Stammdaten[[Rank Verteilung D Mitte mit Rinde]:[Verteilung D Mitte mit Rinde]],2,FALSE)</f>
        <v>#N/A</v>
      </c>
      <c r="L4783">
        <v>4774</v>
      </c>
      <c r="M4783" t="e">
        <f>INDEX(Stammdaten[Abholzigkeit (mm/lfm)],MATCH(Tabelle9[[#This Row],[Rank]],Stammdaten[Rank Verteilung Abholzigkeit],0))</f>
        <v>#N/A</v>
      </c>
      <c r="N4783" t="e">
        <f>VLOOKUP(Tabelle9[[#This Row],[Rank]],Stammdaten[[Rank Verteilung Abholzigkeit]:[Verteilung Abholzigkeit]],2,FALSE)</f>
        <v>#N/A</v>
      </c>
      <c r="S4783">
        <v>4774</v>
      </c>
      <c r="T4783" t="e">
        <f>INDEX(Stammdaten[Krümmung (mm/lfm)],MATCH(Tabelle10[[#This Row],[Rank]],Stammdaten[Rank Verteilung Krümmung],0))</f>
        <v>#N/A</v>
      </c>
      <c r="U4783" t="e">
        <f>VLOOKUP(Tabelle10[[#This Row],[Rank]],Stammdaten[[Rank Verteilung Krümmung]:[Verteilung Krümmung]],2,FALSE)</f>
        <v>#N/A</v>
      </c>
      <c r="Z4783">
        <v>4774</v>
      </c>
      <c r="AA4783" t="e">
        <f>INDEX(Stammdaten[Ovalität (']0,1'])],MATCH(Tabelle1014[[#This Row],[Rank]],Stammdaten[Rank Verteilung Ovalität],0))</f>
        <v>#N/A</v>
      </c>
      <c r="AB4783" t="e">
        <f>VLOOKUP(Tabelle1014[[#This Row],[Rank]],Stammdaten[[Rank Verteilung Ovalität]:[Verteilung Ovalität]],2,FALSE)</f>
        <v>#N/A</v>
      </c>
    </row>
    <row r="4784" spans="5:28" x14ac:dyDescent="0.35">
      <c r="E4784">
        <v>4775</v>
      </c>
      <c r="F4784" t="e">
        <f>INDEX(Stammdaten[D Mitte mit Rinde (mm)],MATCH(Tabelle8[[#This Row],[Rank]],Stammdaten[Rank Verteilung D Mitte mit Rinde],0))</f>
        <v>#N/A</v>
      </c>
      <c r="G4784" t="e">
        <f>VLOOKUP(Tabelle8[[#This Row],[Rank]],Stammdaten[[Rank Verteilung D Mitte mit Rinde]:[Verteilung D Mitte mit Rinde]],2,FALSE)</f>
        <v>#N/A</v>
      </c>
      <c r="L4784">
        <v>4775</v>
      </c>
      <c r="M4784" t="e">
        <f>INDEX(Stammdaten[Abholzigkeit (mm/lfm)],MATCH(Tabelle9[[#This Row],[Rank]],Stammdaten[Rank Verteilung Abholzigkeit],0))</f>
        <v>#N/A</v>
      </c>
      <c r="N4784" t="e">
        <f>VLOOKUP(Tabelle9[[#This Row],[Rank]],Stammdaten[[Rank Verteilung Abholzigkeit]:[Verteilung Abholzigkeit]],2,FALSE)</f>
        <v>#N/A</v>
      </c>
      <c r="S4784">
        <v>4775</v>
      </c>
      <c r="T4784" t="e">
        <f>INDEX(Stammdaten[Krümmung (mm/lfm)],MATCH(Tabelle10[[#This Row],[Rank]],Stammdaten[Rank Verteilung Krümmung],0))</f>
        <v>#N/A</v>
      </c>
      <c r="U4784" t="e">
        <f>VLOOKUP(Tabelle10[[#This Row],[Rank]],Stammdaten[[Rank Verteilung Krümmung]:[Verteilung Krümmung]],2,FALSE)</f>
        <v>#N/A</v>
      </c>
      <c r="Z4784">
        <v>4775</v>
      </c>
      <c r="AA4784" t="e">
        <f>INDEX(Stammdaten[Ovalität (']0,1'])],MATCH(Tabelle1014[[#This Row],[Rank]],Stammdaten[Rank Verteilung Ovalität],0))</f>
        <v>#N/A</v>
      </c>
      <c r="AB4784" t="e">
        <f>VLOOKUP(Tabelle1014[[#This Row],[Rank]],Stammdaten[[Rank Verteilung Ovalität]:[Verteilung Ovalität]],2,FALSE)</f>
        <v>#N/A</v>
      </c>
    </row>
    <row r="4785" spans="5:28" x14ac:dyDescent="0.35">
      <c r="E4785">
        <v>4776</v>
      </c>
      <c r="F4785" t="e">
        <f>INDEX(Stammdaten[D Mitte mit Rinde (mm)],MATCH(Tabelle8[[#This Row],[Rank]],Stammdaten[Rank Verteilung D Mitte mit Rinde],0))</f>
        <v>#N/A</v>
      </c>
      <c r="G4785" t="e">
        <f>VLOOKUP(Tabelle8[[#This Row],[Rank]],Stammdaten[[Rank Verteilung D Mitte mit Rinde]:[Verteilung D Mitte mit Rinde]],2,FALSE)</f>
        <v>#N/A</v>
      </c>
      <c r="L4785">
        <v>4776</v>
      </c>
      <c r="M4785" t="e">
        <f>INDEX(Stammdaten[Abholzigkeit (mm/lfm)],MATCH(Tabelle9[[#This Row],[Rank]],Stammdaten[Rank Verteilung Abholzigkeit],0))</f>
        <v>#N/A</v>
      </c>
      <c r="N4785" t="e">
        <f>VLOOKUP(Tabelle9[[#This Row],[Rank]],Stammdaten[[Rank Verteilung Abholzigkeit]:[Verteilung Abholzigkeit]],2,FALSE)</f>
        <v>#N/A</v>
      </c>
      <c r="S4785">
        <v>4776</v>
      </c>
      <c r="T4785" t="e">
        <f>INDEX(Stammdaten[Krümmung (mm/lfm)],MATCH(Tabelle10[[#This Row],[Rank]],Stammdaten[Rank Verteilung Krümmung],0))</f>
        <v>#N/A</v>
      </c>
      <c r="U4785" t="e">
        <f>VLOOKUP(Tabelle10[[#This Row],[Rank]],Stammdaten[[Rank Verteilung Krümmung]:[Verteilung Krümmung]],2,FALSE)</f>
        <v>#N/A</v>
      </c>
      <c r="Z4785">
        <v>4776</v>
      </c>
      <c r="AA4785" t="e">
        <f>INDEX(Stammdaten[Ovalität (']0,1'])],MATCH(Tabelle1014[[#This Row],[Rank]],Stammdaten[Rank Verteilung Ovalität],0))</f>
        <v>#N/A</v>
      </c>
      <c r="AB4785" t="e">
        <f>VLOOKUP(Tabelle1014[[#This Row],[Rank]],Stammdaten[[Rank Verteilung Ovalität]:[Verteilung Ovalität]],2,FALSE)</f>
        <v>#N/A</v>
      </c>
    </row>
    <row r="4786" spans="5:28" x14ac:dyDescent="0.35">
      <c r="E4786">
        <v>4777</v>
      </c>
      <c r="F4786" t="e">
        <f>INDEX(Stammdaten[D Mitte mit Rinde (mm)],MATCH(Tabelle8[[#This Row],[Rank]],Stammdaten[Rank Verteilung D Mitte mit Rinde],0))</f>
        <v>#N/A</v>
      </c>
      <c r="G4786" t="e">
        <f>VLOOKUP(Tabelle8[[#This Row],[Rank]],Stammdaten[[Rank Verteilung D Mitte mit Rinde]:[Verteilung D Mitte mit Rinde]],2,FALSE)</f>
        <v>#N/A</v>
      </c>
      <c r="L4786">
        <v>4777</v>
      </c>
      <c r="M4786" t="e">
        <f>INDEX(Stammdaten[Abholzigkeit (mm/lfm)],MATCH(Tabelle9[[#This Row],[Rank]],Stammdaten[Rank Verteilung Abholzigkeit],0))</f>
        <v>#N/A</v>
      </c>
      <c r="N4786" t="e">
        <f>VLOOKUP(Tabelle9[[#This Row],[Rank]],Stammdaten[[Rank Verteilung Abholzigkeit]:[Verteilung Abholzigkeit]],2,FALSE)</f>
        <v>#N/A</v>
      </c>
      <c r="S4786">
        <v>4777</v>
      </c>
      <c r="T4786" t="e">
        <f>INDEX(Stammdaten[Krümmung (mm/lfm)],MATCH(Tabelle10[[#This Row],[Rank]],Stammdaten[Rank Verteilung Krümmung],0))</f>
        <v>#N/A</v>
      </c>
      <c r="U4786" t="e">
        <f>VLOOKUP(Tabelle10[[#This Row],[Rank]],Stammdaten[[Rank Verteilung Krümmung]:[Verteilung Krümmung]],2,FALSE)</f>
        <v>#N/A</v>
      </c>
      <c r="Z4786">
        <v>4777</v>
      </c>
      <c r="AA4786" t="e">
        <f>INDEX(Stammdaten[Ovalität (']0,1'])],MATCH(Tabelle1014[[#This Row],[Rank]],Stammdaten[Rank Verteilung Ovalität],0))</f>
        <v>#N/A</v>
      </c>
      <c r="AB4786" t="e">
        <f>VLOOKUP(Tabelle1014[[#This Row],[Rank]],Stammdaten[[Rank Verteilung Ovalität]:[Verteilung Ovalität]],2,FALSE)</f>
        <v>#N/A</v>
      </c>
    </row>
    <row r="4787" spans="5:28" x14ac:dyDescent="0.35">
      <c r="E4787">
        <v>4778</v>
      </c>
      <c r="F4787" t="e">
        <f>INDEX(Stammdaten[D Mitte mit Rinde (mm)],MATCH(Tabelle8[[#This Row],[Rank]],Stammdaten[Rank Verteilung D Mitte mit Rinde],0))</f>
        <v>#N/A</v>
      </c>
      <c r="G4787" t="e">
        <f>VLOOKUP(Tabelle8[[#This Row],[Rank]],Stammdaten[[Rank Verteilung D Mitte mit Rinde]:[Verteilung D Mitte mit Rinde]],2,FALSE)</f>
        <v>#N/A</v>
      </c>
      <c r="L4787">
        <v>4778</v>
      </c>
      <c r="M4787" t="e">
        <f>INDEX(Stammdaten[Abholzigkeit (mm/lfm)],MATCH(Tabelle9[[#This Row],[Rank]],Stammdaten[Rank Verteilung Abholzigkeit],0))</f>
        <v>#N/A</v>
      </c>
      <c r="N4787" t="e">
        <f>VLOOKUP(Tabelle9[[#This Row],[Rank]],Stammdaten[[Rank Verteilung Abholzigkeit]:[Verteilung Abholzigkeit]],2,FALSE)</f>
        <v>#N/A</v>
      </c>
      <c r="S4787">
        <v>4778</v>
      </c>
      <c r="T4787" t="e">
        <f>INDEX(Stammdaten[Krümmung (mm/lfm)],MATCH(Tabelle10[[#This Row],[Rank]],Stammdaten[Rank Verteilung Krümmung],0))</f>
        <v>#N/A</v>
      </c>
      <c r="U4787" t="e">
        <f>VLOOKUP(Tabelle10[[#This Row],[Rank]],Stammdaten[[Rank Verteilung Krümmung]:[Verteilung Krümmung]],2,FALSE)</f>
        <v>#N/A</v>
      </c>
      <c r="Z4787">
        <v>4778</v>
      </c>
      <c r="AA4787" t="e">
        <f>INDEX(Stammdaten[Ovalität (']0,1'])],MATCH(Tabelle1014[[#This Row],[Rank]],Stammdaten[Rank Verteilung Ovalität],0))</f>
        <v>#N/A</v>
      </c>
      <c r="AB4787" t="e">
        <f>VLOOKUP(Tabelle1014[[#This Row],[Rank]],Stammdaten[[Rank Verteilung Ovalität]:[Verteilung Ovalität]],2,FALSE)</f>
        <v>#N/A</v>
      </c>
    </row>
    <row r="4788" spans="5:28" x14ac:dyDescent="0.35">
      <c r="E4788">
        <v>4779</v>
      </c>
      <c r="F4788" t="e">
        <f>INDEX(Stammdaten[D Mitte mit Rinde (mm)],MATCH(Tabelle8[[#This Row],[Rank]],Stammdaten[Rank Verteilung D Mitte mit Rinde],0))</f>
        <v>#N/A</v>
      </c>
      <c r="G4788" t="e">
        <f>VLOOKUP(Tabelle8[[#This Row],[Rank]],Stammdaten[[Rank Verteilung D Mitte mit Rinde]:[Verteilung D Mitte mit Rinde]],2,FALSE)</f>
        <v>#N/A</v>
      </c>
      <c r="L4788">
        <v>4779</v>
      </c>
      <c r="M4788" t="e">
        <f>INDEX(Stammdaten[Abholzigkeit (mm/lfm)],MATCH(Tabelle9[[#This Row],[Rank]],Stammdaten[Rank Verteilung Abholzigkeit],0))</f>
        <v>#N/A</v>
      </c>
      <c r="N4788" t="e">
        <f>VLOOKUP(Tabelle9[[#This Row],[Rank]],Stammdaten[[Rank Verteilung Abholzigkeit]:[Verteilung Abholzigkeit]],2,FALSE)</f>
        <v>#N/A</v>
      </c>
      <c r="S4788">
        <v>4779</v>
      </c>
      <c r="T4788" t="e">
        <f>INDEX(Stammdaten[Krümmung (mm/lfm)],MATCH(Tabelle10[[#This Row],[Rank]],Stammdaten[Rank Verteilung Krümmung],0))</f>
        <v>#N/A</v>
      </c>
      <c r="U4788" t="e">
        <f>VLOOKUP(Tabelle10[[#This Row],[Rank]],Stammdaten[[Rank Verteilung Krümmung]:[Verteilung Krümmung]],2,FALSE)</f>
        <v>#N/A</v>
      </c>
      <c r="Z4788">
        <v>4779</v>
      </c>
      <c r="AA4788" t="e">
        <f>INDEX(Stammdaten[Ovalität (']0,1'])],MATCH(Tabelle1014[[#This Row],[Rank]],Stammdaten[Rank Verteilung Ovalität],0))</f>
        <v>#N/A</v>
      </c>
      <c r="AB4788" t="e">
        <f>VLOOKUP(Tabelle1014[[#This Row],[Rank]],Stammdaten[[Rank Verteilung Ovalität]:[Verteilung Ovalität]],2,FALSE)</f>
        <v>#N/A</v>
      </c>
    </row>
    <row r="4789" spans="5:28" x14ac:dyDescent="0.35">
      <c r="E4789">
        <v>4780</v>
      </c>
      <c r="F4789" t="e">
        <f>INDEX(Stammdaten[D Mitte mit Rinde (mm)],MATCH(Tabelle8[[#This Row],[Rank]],Stammdaten[Rank Verteilung D Mitte mit Rinde],0))</f>
        <v>#N/A</v>
      </c>
      <c r="G4789" t="e">
        <f>VLOOKUP(Tabelle8[[#This Row],[Rank]],Stammdaten[[Rank Verteilung D Mitte mit Rinde]:[Verteilung D Mitte mit Rinde]],2,FALSE)</f>
        <v>#N/A</v>
      </c>
      <c r="L4789">
        <v>4780</v>
      </c>
      <c r="M4789" t="e">
        <f>INDEX(Stammdaten[Abholzigkeit (mm/lfm)],MATCH(Tabelle9[[#This Row],[Rank]],Stammdaten[Rank Verteilung Abholzigkeit],0))</f>
        <v>#N/A</v>
      </c>
      <c r="N4789" t="e">
        <f>VLOOKUP(Tabelle9[[#This Row],[Rank]],Stammdaten[[Rank Verteilung Abholzigkeit]:[Verteilung Abholzigkeit]],2,FALSE)</f>
        <v>#N/A</v>
      </c>
      <c r="S4789">
        <v>4780</v>
      </c>
      <c r="T4789" t="e">
        <f>INDEX(Stammdaten[Krümmung (mm/lfm)],MATCH(Tabelle10[[#This Row],[Rank]],Stammdaten[Rank Verteilung Krümmung],0))</f>
        <v>#N/A</v>
      </c>
      <c r="U4789" t="e">
        <f>VLOOKUP(Tabelle10[[#This Row],[Rank]],Stammdaten[[Rank Verteilung Krümmung]:[Verteilung Krümmung]],2,FALSE)</f>
        <v>#N/A</v>
      </c>
      <c r="Z4789">
        <v>4780</v>
      </c>
      <c r="AA4789" t="e">
        <f>INDEX(Stammdaten[Ovalität (']0,1'])],MATCH(Tabelle1014[[#This Row],[Rank]],Stammdaten[Rank Verteilung Ovalität],0))</f>
        <v>#N/A</v>
      </c>
      <c r="AB4789" t="e">
        <f>VLOOKUP(Tabelle1014[[#This Row],[Rank]],Stammdaten[[Rank Verteilung Ovalität]:[Verteilung Ovalität]],2,FALSE)</f>
        <v>#N/A</v>
      </c>
    </row>
    <row r="4790" spans="5:28" x14ac:dyDescent="0.35">
      <c r="E4790">
        <v>4781</v>
      </c>
      <c r="F4790" t="e">
        <f>INDEX(Stammdaten[D Mitte mit Rinde (mm)],MATCH(Tabelle8[[#This Row],[Rank]],Stammdaten[Rank Verteilung D Mitte mit Rinde],0))</f>
        <v>#N/A</v>
      </c>
      <c r="G4790" t="e">
        <f>VLOOKUP(Tabelle8[[#This Row],[Rank]],Stammdaten[[Rank Verteilung D Mitte mit Rinde]:[Verteilung D Mitte mit Rinde]],2,FALSE)</f>
        <v>#N/A</v>
      </c>
      <c r="L4790">
        <v>4781</v>
      </c>
      <c r="M4790" t="e">
        <f>INDEX(Stammdaten[Abholzigkeit (mm/lfm)],MATCH(Tabelle9[[#This Row],[Rank]],Stammdaten[Rank Verteilung Abholzigkeit],0))</f>
        <v>#N/A</v>
      </c>
      <c r="N4790" t="e">
        <f>VLOOKUP(Tabelle9[[#This Row],[Rank]],Stammdaten[[Rank Verteilung Abholzigkeit]:[Verteilung Abholzigkeit]],2,FALSE)</f>
        <v>#N/A</v>
      </c>
      <c r="S4790">
        <v>4781</v>
      </c>
      <c r="T4790" t="e">
        <f>INDEX(Stammdaten[Krümmung (mm/lfm)],MATCH(Tabelle10[[#This Row],[Rank]],Stammdaten[Rank Verteilung Krümmung],0))</f>
        <v>#N/A</v>
      </c>
      <c r="U4790" t="e">
        <f>VLOOKUP(Tabelle10[[#This Row],[Rank]],Stammdaten[[Rank Verteilung Krümmung]:[Verteilung Krümmung]],2,FALSE)</f>
        <v>#N/A</v>
      </c>
      <c r="Z4790">
        <v>4781</v>
      </c>
      <c r="AA4790" t="e">
        <f>INDEX(Stammdaten[Ovalität (']0,1'])],MATCH(Tabelle1014[[#This Row],[Rank]],Stammdaten[Rank Verteilung Ovalität],0))</f>
        <v>#N/A</v>
      </c>
      <c r="AB4790" t="e">
        <f>VLOOKUP(Tabelle1014[[#This Row],[Rank]],Stammdaten[[Rank Verteilung Ovalität]:[Verteilung Ovalität]],2,FALSE)</f>
        <v>#N/A</v>
      </c>
    </row>
    <row r="4791" spans="5:28" x14ac:dyDescent="0.35">
      <c r="E4791">
        <v>4782</v>
      </c>
      <c r="F4791" t="e">
        <f>INDEX(Stammdaten[D Mitte mit Rinde (mm)],MATCH(Tabelle8[[#This Row],[Rank]],Stammdaten[Rank Verteilung D Mitte mit Rinde],0))</f>
        <v>#N/A</v>
      </c>
      <c r="G4791" t="e">
        <f>VLOOKUP(Tabelle8[[#This Row],[Rank]],Stammdaten[[Rank Verteilung D Mitte mit Rinde]:[Verteilung D Mitte mit Rinde]],2,FALSE)</f>
        <v>#N/A</v>
      </c>
      <c r="L4791">
        <v>4782</v>
      </c>
      <c r="M4791" t="e">
        <f>INDEX(Stammdaten[Abholzigkeit (mm/lfm)],MATCH(Tabelle9[[#This Row],[Rank]],Stammdaten[Rank Verteilung Abholzigkeit],0))</f>
        <v>#N/A</v>
      </c>
      <c r="N4791" t="e">
        <f>VLOOKUP(Tabelle9[[#This Row],[Rank]],Stammdaten[[Rank Verteilung Abholzigkeit]:[Verteilung Abholzigkeit]],2,FALSE)</f>
        <v>#N/A</v>
      </c>
      <c r="S4791">
        <v>4782</v>
      </c>
      <c r="T4791" t="e">
        <f>INDEX(Stammdaten[Krümmung (mm/lfm)],MATCH(Tabelle10[[#This Row],[Rank]],Stammdaten[Rank Verteilung Krümmung],0))</f>
        <v>#N/A</v>
      </c>
      <c r="U4791" t="e">
        <f>VLOOKUP(Tabelle10[[#This Row],[Rank]],Stammdaten[[Rank Verteilung Krümmung]:[Verteilung Krümmung]],2,FALSE)</f>
        <v>#N/A</v>
      </c>
      <c r="Z4791">
        <v>4782</v>
      </c>
      <c r="AA4791" t="e">
        <f>INDEX(Stammdaten[Ovalität (']0,1'])],MATCH(Tabelle1014[[#This Row],[Rank]],Stammdaten[Rank Verteilung Ovalität],0))</f>
        <v>#N/A</v>
      </c>
      <c r="AB4791" t="e">
        <f>VLOOKUP(Tabelle1014[[#This Row],[Rank]],Stammdaten[[Rank Verteilung Ovalität]:[Verteilung Ovalität]],2,FALSE)</f>
        <v>#N/A</v>
      </c>
    </row>
    <row r="4792" spans="5:28" x14ac:dyDescent="0.35">
      <c r="E4792">
        <v>4783</v>
      </c>
      <c r="F4792" t="e">
        <f>INDEX(Stammdaten[D Mitte mit Rinde (mm)],MATCH(Tabelle8[[#This Row],[Rank]],Stammdaten[Rank Verteilung D Mitte mit Rinde],0))</f>
        <v>#N/A</v>
      </c>
      <c r="G4792" t="e">
        <f>VLOOKUP(Tabelle8[[#This Row],[Rank]],Stammdaten[[Rank Verteilung D Mitte mit Rinde]:[Verteilung D Mitte mit Rinde]],2,FALSE)</f>
        <v>#N/A</v>
      </c>
      <c r="L4792">
        <v>4783</v>
      </c>
      <c r="M4792" t="e">
        <f>INDEX(Stammdaten[Abholzigkeit (mm/lfm)],MATCH(Tabelle9[[#This Row],[Rank]],Stammdaten[Rank Verteilung Abholzigkeit],0))</f>
        <v>#N/A</v>
      </c>
      <c r="N4792" t="e">
        <f>VLOOKUP(Tabelle9[[#This Row],[Rank]],Stammdaten[[Rank Verteilung Abholzigkeit]:[Verteilung Abholzigkeit]],2,FALSE)</f>
        <v>#N/A</v>
      </c>
      <c r="S4792">
        <v>4783</v>
      </c>
      <c r="T4792" t="e">
        <f>INDEX(Stammdaten[Krümmung (mm/lfm)],MATCH(Tabelle10[[#This Row],[Rank]],Stammdaten[Rank Verteilung Krümmung],0))</f>
        <v>#N/A</v>
      </c>
      <c r="U4792" t="e">
        <f>VLOOKUP(Tabelle10[[#This Row],[Rank]],Stammdaten[[Rank Verteilung Krümmung]:[Verteilung Krümmung]],2,FALSE)</f>
        <v>#N/A</v>
      </c>
      <c r="Z4792">
        <v>4783</v>
      </c>
      <c r="AA4792" t="e">
        <f>INDEX(Stammdaten[Ovalität (']0,1'])],MATCH(Tabelle1014[[#This Row],[Rank]],Stammdaten[Rank Verteilung Ovalität],0))</f>
        <v>#N/A</v>
      </c>
      <c r="AB4792" t="e">
        <f>VLOOKUP(Tabelle1014[[#This Row],[Rank]],Stammdaten[[Rank Verteilung Ovalität]:[Verteilung Ovalität]],2,FALSE)</f>
        <v>#N/A</v>
      </c>
    </row>
    <row r="4793" spans="5:28" x14ac:dyDescent="0.35">
      <c r="E4793">
        <v>4784</v>
      </c>
      <c r="F4793" t="e">
        <f>INDEX(Stammdaten[D Mitte mit Rinde (mm)],MATCH(Tabelle8[[#This Row],[Rank]],Stammdaten[Rank Verteilung D Mitte mit Rinde],0))</f>
        <v>#N/A</v>
      </c>
      <c r="G4793" t="e">
        <f>VLOOKUP(Tabelle8[[#This Row],[Rank]],Stammdaten[[Rank Verteilung D Mitte mit Rinde]:[Verteilung D Mitte mit Rinde]],2,FALSE)</f>
        <v>#N/A</v>
      </c>
      <c r="L4793">
        <v>4784</v>
      </c>
      <c r="M4793" t="e">
        <f>INDEX(Stammdaten[Abholzigkeit (mm/lfm)],MATCH(Tabelle9[[#This Row],[Rank]],Stammdaten[Rank Verteilung Abholzigkeit],0))</f>
        <v>#N/A</v>
      </c>
      <c r="N4793" t="e">
        <f>VLOOKUP(Tabelle9[[#This Row],[Rank]],Stammdaten[[Rank Verteilung Abholzigkeit]:[Verteilung Abholzigkeit]],2,FALSE)</f>
        <v>#N/A</v>
      </c>
      <c r="S4793">
        <v>4784</v>
      </c>
      <c r="T4793" t="e">
        <f>INDEX(Stammdaten[Krümmung (mm/lfm)],MATCH(Tabelle10[[#This Row],[Rank]],Stammdaten[Rank Verteilung Krümmung],0))</f>
        <v>#N/A</v>
      </c>
      <c r="U4793" t="e">
        <f>VLOOKUP(Tabelle10[[#This Row],[Rank]],Stammdaten[[Rank Verteilung Krümmung]:[Verteilung Krümmung]],2,FALSE)</f>
        <v>#N/A</v>
      </c>
      <c r="Z4793">
        <v>4784</v>
      </c>
      <c r="AA4793" t="e">
        <f>INDEX(Stammdaten[Ovalität (']0,1'])],MATCH(Tabelle1014[[#This Row],[Rank]],Stammdaten[Rank Verteilung Ovalität],0))</f>
        <v>#N/A</v>
      </c>
      <c r="AB4793" t="e">
        <f>VLOOKUP(Tabelle1014[[#This Row],[Rank]],Stammdaten[[Rank Verteilung Ovalität]:[Verteilung Ovalität]],2,FALSE)</f>
        <v>#N/A</v>
      </c>
    </row>
    <row r="4794" spans="5:28" x14ac:dyDescent="0.35">
      <c r="E4794">
        <v>4785</v>
      </c>
      <c r="F4794" t="e">
        <f>INDEX(Stammdaten[D Mitte mit Rinde (mm)],MATCH(Tabelle8[[#This Row],[Rank]],Stammdaten[Rank Verteilung D Mitte mit Rinde],0))</f>
        <v>#N/A</v>
      </c>
      <c r="G4794" t="e">
        <f>VLOOKUP(Tabelle8[[#This Row],[Rank]],Stammdaten[[Rank Verteilung D Mitte mit Rinde]:[Verteilung D Mitte mit Rinde]],2,FALSE)</f>
        <v>#N/A</v>
      </c>
      <c r="L4794">
        <v>4785</v>
      </c>
      <c r="M4794" t="e">
        <f>INDEX(Stammdaten[Abholzigkeit (mm/lfm)],MATCH(Tabelle9[[#This Row],[Rank]],Stammdaten[Rank Verteilung Abholzigkeit],0))</f>
        <v>#N/A</v>
      </c>
      <c r="N4794" t="e">
        <f>VLOOKUP(Tabelle9[[#This Row],[Rank]],Stammdaten[[Rank Verteilung Abholzigkeit]:[Verteilung Abholzigkeit]],2,FALSE)</f>
        <v>#N/A</v>
      </c>
      <c r="S4794">
        <v>4785</v>
      </c>
      <c r="T4794" t="e">
        <f>INDEX(Stammdaten[Krümmung (mm/lfm)],MATCH(Tabelle10[[#This Row],[Rank]],Stammdaten[Rank Verteilung Krümmung],0))</f>
        <v>#N/A</v>
      </c>
      <c r="U4794" t="e">
        <f>VLOOKUP(Tabelle10[[#This Row],[Rank]],Stammdaten[[Rank Verteilung Krümmung]:[Verteilung Krümmung]],2,FALSE)</f>
        <v>#N/A</v>
      </c>
      <c r="Z4794">
        <v>4785</v>
      </c>
      <c r="AA4794" t="e">
        <f>INDEX(Stammdaten[Ovalität (']0,1'])],MATCH(Tabelle1014[[#This Row],[Rank]],Stammdaten[Rank Verteilung Ovalität],0))</f>
        <v>#N/A</v>
      </c>
      <c r="AB4794" t="e">
        <f>VLOOKUP(Tabelle1014[[#This Row],[Rank]],Stammdaten[[Rank Verteilung Ovalität]:[Verteilung Ovalität]],2,FALSE)</f>
        <v>#N/A</v>
      </c>
    </row>
    <row r="4795" spans="5:28" x14ac:dyDescent="0.35">
      <c r="E4795">
        <v>4786</v>
      </c>
      <c r="F4795" t="e">
        <f>INDEX(Stammdaten[D Mitte mit Rinde (mm)],MATCH(Tabelle8[[#This Row],[Rank]],Stammdaten[Rank Verteilung D Mitte mit Rinde],0))</f>
        <v>#N/A</v>
      </c>
      <c r="G4795" t="e">
        <f>VLOOKUP(Tabelle8[[#This Row],[Rank]],Stammdaten[[Rank Verteilung D Mitte mit Rinde]:[Verteilung D Mitte mit Rinde]],2,FALSE)</f>
        <v>#N/A</v>
      </c>
      <c r="L4795">
        <v>4786</v>
      </c>
      <c r="M4795" t="e">
        <f>INDEX(Stammdaten[Abholzigkeit (mm/lfm)],MATCH(Tabelle9[[#This Row],[Rank]],Stammdaten[Rank Verteilung Abholzigkeit],0))</f>
        <v>#N/A</v>
      </c>
      <c r="N4795" t="e">
        <f>VLOOKUP(Tabelle9[[#This Row],[Rank]],Stammdaten[[Rank Verteilung Abholzigkeit]:[Verteilung Abholzigkeit]],2,FALSE)</f>
        <v>#N/A</v>
      </c>
      <c r="S4795">
        <v>4786</v>
      </c>
      <c r="T4795" t="e">
        <f>INDEX(Stammdaten[Krümmung (mm/lfm)],MATCH(Tabelle10[[#This Row],[Rank]],Stammdaten[Rank Verteilung Krümmung],0))</f>
        <v>#N/A</v>
      </c>
      <c r="U4795" t="e">
        <f>VLOOKUP(Tabelle10[[#This Row],[Rank]],Stammdaten[[Rank Verteilung Krümmung]:[Verteilung Krümmung]],2,FALSE)</f>
        <v>#N/A</v>
      </c>
      <c r="Z4795">
        <v>4786</v>
      </c>
      <c r="AA4795" t="e">
        <f>INDEX(Stammdaten[Ovalität (']0,1'])],MATCH(Tabelle1014[[#This Row],[Rank]],Stammdaten[Rank Verteilung Ovalität],0))</f>
        <v>#N/A</v>
      </c>
      <c r="AB4795" t="e">
        <f>VLOOKUP(Tabelle1014[[#This Row],[Rank]],Stammdaten[[Rank Verteilung Ovalität]:[Verteilung Ovalität]],2,FALSE)</f>
        <v>#N/A</v>
      </c>
    </row>
    <row r="4796" spans="5:28" x14ac:dyDescent="0.35">
      <c r="E4796">
        <v>4787</v>
      </c>
      <c r="F4796" t="e">
        <f>INDEX(Stammdaten[D Mitte mit Rinde (mm)],MATCH(Tabelle8[[#This Row],[Rank]],Stammdaten[Rank Verteilung D Mitte mit Rinde],0))</f>
        <v>#N/A</v>
      </c>
      <c r="G4796" t="e">
        <f>VLOOKUP(Tabelle8[[#This Row],[Rank]],Stammdaten[[Rank Verteilung D Mitte mit Rinde]:[Verteilung D Mitte mit Rinde]],2,FALSE)</f>
        <v>#N/A</v>
      </c>
      <c r="L4796">
        <v>4787</v>
      </c>
      <c r="M4796" t="e">
        <f>INDEX(Stammdaten[Abholzigkeit (mm/lfm)],MATCH(Tabelle9[[#This Row],[Rank]],Stammdaten[Rank Verteilung Abholzigkeit],0))</f>
        <v>#N/A</v>
      </c>
      <c r="N4796" t="e">
        <f>VLOOKUP(Tabelle9[[#This Row],[Rank]],Stammdaten[[Rank Verteilung Abholzigkeit]:[Verteilung Abholzigkeit]],2,FALSE)</f>
        <v>#N/A</v>
      </c>
      <c r="S4796">
        <v>4787</v>
      </c>
      <c r="T4796" t="e">
        <f>INDEX(Stammdaten[Krümmung (mm/lfm)],MATCH(Tabelle10[[#This Row],[Rank]],Stammdaten[Rank Verteilung Krümmung],0))</f>
        <v>#N/A</v>
      </c>
      <c r="U4796" t="e">
        <f>VLOOKUP(Tabelle10[[#This Row],[Rank]],Stammdaten[[Rank Verteilung Krümmung]:[Verteilung Krümmung]],2,FALSE)</f>
        <v>#N/A</v>
      </c>
      <c r="Z4796">
        <v>4787</v>
      </c>
      <c r="AA4796" t="e">
        <f>INDEX(Stammdaten[Ovalität (']0,1'])],MATCH(Tabelle1014[[#This Row],[Rank]],Stammdaten[Rank Verteilung Ovalität],0))</f>
        <v>#N/A</v>
      </c>
      <c r="AB4796" t="e">
        <f>VLOOKUP(Tabelle1014[[#This Row],[Rank]],Stammdaten[[Rank Verteilung Ovalität]:[Verteilung Ovalität]],2,FALSE)</f>
        <v>#N/A</v>
      </c>
    </row>
    <row r="4797" spans="5:28" x14ac:dyDescent="0.35">
      <c r="E4797">
        <v>4788</v>
      </c>
      <c r="F4797" t="e">
        <f>INDEX(Stammdaten[D Mitte mit Rinde (mm)],MATCH(Tabelle8[[#This Row],[Rank]],Stammdaten[Rank Verteilung D Mitte mit Rinde],0))</f>
        <v>#N/A</v>
      </c>
      <c r="G4797" t="e">
        <f>VLOOKUP(Tabelle8[[#This Row],[Rank]],Stammdaten[[Rank Verteilung D Mitte mit Rinde]:[Verteilung D Mitte mit Rinde]],2,FALSE)</f>
        <v>#N/A</v>
      </c>
      <c r="L4797">
        <v>4788</v>
      </c>
      <c r="M4797" t="e">
        <f>INDEX(Stammdaten[Abholzigkeit (mm/lfm)],MATCH(Tabelle9[[#This Row],[Rank]],Stammdaten[Rank Verteilung Abholzigkeit],0))</f>
        <v>#N/A</v>
      </c>
      <c r="N4797" t="e">
        <f>VLOOKUP(Tabelle9[[#This Row],[Rank]],Stammdaten[[Rank Verteilung Abholzigkeit]:[Verteilung Abholzigkeit]],2,FALSE)</f>
        <v>#N/A</v>
      </c>
      <c r="S4797">
        <v>4788</v>
      </c>
      <c r="T4797" t="e">
        <f>INDEX(Stammdaten[Krümmung (mm/lfm)],MATCH(Tabelle10[[#This Row],[Rank]],Stammdaten[Rank Verteilung Krümmung],0))</f>
        <v>#N/A</v>
      </c>
      <c r="U4797" t="e">
        <f>VLOOKUP(Tabelle10[[#This Row],[Rank]],Stammdaten[[Rank Verteilung Krümmung]:[Verteilung Krümmung]],2,FALSE)</f>
        <v>#N/A</v>
      </c>
      <c r="Z4797">
        <v>4788</v>
      </c>
      <c r="AA4797" t="e">
        <f>INDEX(Stammdaten[Ovalität (']0,1'])],MATCH(Tabelle1014[[#This Row],[Rank]],Stammdaten[Rank Verteilung Ovalität],0))</f>
        <v>#N/A</v>
      </c>
      <c r="AB4797" t="e">
        <f>VLOOKUP(Tabelle1014[[#This Row],[Rank]],Stammdaten[[Rank Verteilung Ovalität]:[Verteilung Ovalität]],2,FALSE)</f>
        <v>#N/A</v>
      </c>
    </row>
    <row r="4798" spans="5:28" x14ac:dyDescent="0.35">
      <c r="E4798">
        <v>4789</v>
      </c>
      <c r="F4798" t="e">
        <f>INDEX(Stammdaten[D Mitte mit Rinde (mm)],MATCH(Tabelle8[[#This Row],[Rank]],Stammdaten[Rank Verteilung D Mitte mit Rinde],0))</f>
        <v>#N/A</v>
      </c>
      <c r="G4798" t="e">
        <f>VLOOKUP(Tabelle8[[#This Row],[Rank]],Stammdaten[[Rank Verteilung D Mitte mit Rinde]:[Verteilung D Mitte mit Rinde]],2,FALSE)</f>
        <v>#N/A</v>
      </c>
      <c r="L4798">
        <v>4789</v>
      </c>
      <c r="M4798" t="e">
        <f>INDEX(Stammdaten[Abholzigkeit (mm/lfm)],MATCH(Tabelle9[[#This Row],[Rank]],Stammdaten[Rank Verteilung Abholzigkeit],0))</f>
        <v>#N/A</v>
      </c>
      <c r="N4798" t="e">
        <f>VLOOKUP(Tabelle9[[#This Row],[Rank]],Stammdaten[[Rank Verteilung Abholzigkeit]:[Verteilung Abholzigkeit]],2,FALSE)</f>
        <v>#N/A</v>
      </c>
      <c r="S4798">
        <v>4789</v>
      </c>
      <c r="T4798" t="e">
        <f>INDEX(Stammdaten[Krümmung (mm/lfm)],MATCH(Tabelle10[[#This Row],[Rank]],Stammdaten[Rank Verteilung Krümmung],0))</f>
        <v>#N/A</v>
      </c>
      <c r="U4798" t="e">
        <f>VLOOKUP(Tabelle10[[#This Row],[Rank]],Stammdaten[[Rank Verteilung Krümmung]:[Verteilung Krümmung]],2,FALSE)</f>
        <v>#N/A</v>
      </c>
      <c r="Z4798">
        <v>4789</v>
      </c>
      <c r="AA4798" t="e">
        <f>INDEX(Stammdaten[Ovalität (']0,1'])],MATCH(Tabelle1014[[#This Row],[Rank]],Stammdaten[Rank Verteilung Ovalität],0))</f>
        <v>#N/A</v>
      </c>
      <c r="AB4798" t="e">
        <f>VLOOKUP(Tabelle1014[[#This Row],[Rank]],Stammdaten[[Rank Verteilung Ovalität]:[Verteilung Ovalität]],2,FALSE)</f>
        <v>#N/A</v>
      </c>
    </row>
    <row r="4799" spans="5:28" x14ac:dyDescent="0.35">
      <c r="E4799">
        <v>4790</v>
      </c>
      <c r="F4799" t="e">
        <f>INDEX(Stammdaten[D Mitte mit Rinde (mm)],MATCH(Tabelle8[[#This Row],[Rank]],Stammdaten[Rank Verteilung D Mitte mit Rinde],0))</f>
        <v>#N/A</v>
      </c>
      <c r="G4799" t="e">
        <f>VLOOKUP(Tabelle8[[#This Row],[Rank]],Stammdaten[[Rank Verteilung D Mitte mit Rinde]:[Verteilung D Mitte mit Rinde]],2,FALSE)</f>
        <v>#N/A</v>
      </c>
      <c r="L4799">
        <v>4790</v>
      </c>
      <c r="M4799" t="e">
        <f>INDEX(Stammdaten[Abholzigkeit (mm/lfm)],MATCH(Tabelle9[[#This Row],[Rank]],Stammdaten[Rank Verteilung Abholzigkeit],0))</f>
        <v>#N/A</v>
      </c>
      <c r="N4799" t="e">
        <f>VLOOKUP(Tabelle9[[#This Row],[Rank]],Stammdaten[[Rank Verteilung Abholzigkeit]:[Verteilung Abholzigkeit]],2,FALSE)</f>
        <v>#N/A</v>
      </c>
      <c r="S4799">
        <v>4790</v>
      </c>
      <c r="T4799" t="e">
        <f>INDEX(Stammdaten[Krümmung (mm/lfm)],MATCH(Tabelle10[[#This Row],[Rank]],Stammdaten[Rank Verteilung Krümmung],0))</f>
        <v>#N/A</v>
      </c>
      <c r="U4799" t="e">
        <f>VLOOKUP(Tabelle10[[#This Row],[Rank]],Stammdaten[[Rank Verteilung Krümmung]:[Verteilung Krümmung]],2,FALSE)</f>
        <v>#N/A</v>
      </c>
      <c r="Z4799">
        <v>4790</v>
      </c>
      <c r="AA4799" t="e">
        <f>INDEX(Stammdaten[Ovalität (']0,1'])],MATCH(Tabelle1014[[#This Row],[Rank]],Stammdaten[Rank Verteilung Ovalität],0))</f>
        <v>#N/A</v>
      </c>
      <c r="AB4799" t="e">
        <f>VLOOKUP(Tabelle1014[[#This Row],[Rank]],Stammdaten[[Rank Verteilung Ovalität]:[Verteilung Ovalität]],2,FALSE)</f>
        <v>#N/A</v>
      </c>
    </row>
    <row r="4800" spans="5:28" x14ac:dyDescent="0.35">
      <c r="E4800">
        <v>4791</v>
      </c>
      <c r="F4800" t="e">
        <f>INDEX(Stammdaten[D Mitte mit Rinde (mm)],MATCH(Tabelle8[[#This Row],[Rank]],Stammdaten[Rank Verteilung D Mitte mit Rinde],0))</f>
        <v>#N/A</v>
      </c>
      <c r="G4800" t="e">
        <f>VLOOKUP(Tabelle8[[#This Row],[Rank]],Stammdaten[[Rank Verteilung D Mitte mit Rinde]:[Verteilung D Mitte mit Rinde]],2,FALSE)</f>
        <v>#N/A</v>
      </c>
      <c r="L4800">
        <v>4791</v>
      </c>
      <c r="M4800" t="e">
        <f>INDEX(Stammdaten[Abholzigkeit (mm/lfm)],MATCH(Tabelle9[[#This Row],[Rank]],Stammdaten[Rank Verteilung Abholzigkeit],0))</f>
        <v>#N/A</v>
      </c>
      <c r="N4800" t="e">
        <f>VLOOKUP(Tabelle9[[#This Row],[Rank]],Stammdaten[[Rank Verteilung Abholzigkeit]:[Verteilung Abholzigkeit]],2,FALSE)</f>
        <v>#N/A</v>
      </c>
      <c r="S4800">
        <v>4791</v>
      </c>
      <c r="T4800" t="e">
        <f>INDEX(Stammdaten[Krümmung (mm/lfm)],MATCH(Tabelle10[[#This Row],[Rank]],Stammdaten[Rank Verteilung Krümmung],0))</f>
        <v>#N/A</v>
      </c>
      <c r="U4800" t="e">
        <f>VLOOKUP(Tabelle10[[#This Row],[Rank]],Stammdaten[[Rank Verteilung Krümmung]:[Verteilung Krümmung]],2,FALSE)</f>
        <v>#N/A</v>
      </c>
      <c r="Z4800">
        <v>4791</v>
      </c>
      <c r="AA4800" t="e">
        <f>INDEX(Stammdaten[Ovalität (']0,1'])],MATCH(Tabelle1014[[#This Row],[Rank]],Stammdaten[Rank Verteilung Ovalität],0))</f>
        <v>#N/A</v>
      </c>
      <c r="AB4800" t="e">
        <f>VLOOKUP(Tabelle1014[[#This Row],[Rank]],Stammdaten[[Rank Verteilung Ovalität]:[Verteilung Ovalität]],2,FALSE)</f>
        <v>#N/A</v>
      </c>
    </row>
    <row r="4801" spans="5:28" x14ac:dyDescent="0.35">
      <c r="E4801">
        <v>4792</v>
      </c>
      <c r="F4801" t="e">
        <f>INDEX(Stammdaten[D Mitte mit Rinde (mm)],MATCH(Tabelle8[[#This Row],[Rank]],Stammdaten[Rank Verteilung D Mitte mit Rinde],0))</f>
        <v>#N/A</v>
      </c>
      <c r="G4801" t="e">
        <f>VLOOKUP(Tabelle8[[#This Row],[Rank]],Stammdaten[[Rank Verteilung D Mitte mit Rinde]:[Verteilung D Mitte mit Rinde]],2,FALSE)</f>
        <v>#N/A</v>
      </c>
      <c r="L4801">
        <v>4792</v>
      </c>
      <c r="M4801" t="e">
        <f>INDEX(Stammdaten[Abholzigkeit (mm/lfm)],MATCH(Tabelle9[[#This Row],[Rank]],Stammdaten[Rank Verteilung Abholzigkeit],0))</f>
        <v>#N/A</v>
      </c>
      <c r="N4801" t="e">
        <f>VLOOKUP(Tabelle9[[#This Row],[Rank]],Stammdaten[[Rank Verteilung Abholzigkeit]:[Verteilung Abholzigkeit]],2,FALSE)</f>
        <v>#N/A</v>
      </c>
      <c r="S4801">
        <v>4792</v>
      </c>
      <c r="T4801" t="e">
        <f>INDEX(Stammdaten[Krümmung (mm/lfm)],MATCH(Tabelle10[[#This Row],[Rank]],Stammdaten[Rank Verteilung Krümmung],0))</f>
        <v>#N/A</v>
      </c>
      <c r="U4801" t="e">
        <f>VLOOKUP(Tabelle10[[#This Row],[Rank]],Stammdaten[[Rank Verteilung Krümmung]:[Verteilung Krümmung]],2,FALSE)</f>
        <v>#N/A</v>
      </c>
      <c r="Z4801">
        <v>4792</v>
      </c>
      <c r="AA4801" t="e">
        <f>INDEX(Stammdaten[Ovalität (']0,1'])],MATCH(Tabelle1014[[#This Row],[Rank]],Stammdaten[Rank Verteilung Ovalität],0))</f>
        <v>#N/A</v>
      </c>
      <c r="AB4801" t="e">
        <f>VLOOKUP(Tabelle1014[[#This Row],[Rank]],Stammdaten[[Rank Verteilung Ovalität]:[Verteilung Ovalität]],2,FALSE)</f>
        <v>#N/A</v>
      </c>
    </row>
    <row r="4802" spans="5:28" x14ac:dyDescent="0.35">
      <c r="E4802">
        <v>4793</v>
      </c>
      <c r="F4802" t="e">
        <f>INDEX(Stammdaten[D Mitte mit Rinde (mm)],MATCH(Tabelle8[[#This Row],[Rank]],Stammdaten[Rank Verteilung D Mitte mit Rinde],0))</f>
        <v>#N/A</v>
      </c>
      <c r="G4802" t="e">
        <f>VLOOKUP(Tabelle8[[#This Row],[Rank]],Stammdaten[[Rank Verteilung D Mitte mit Rinde]:[Verteilung D Mitte mit Rinde]],2,FALSE)</f>
        <v>#N/A</v>
      </c>
      <c r="L4802">
        <v>4793</v>
      </c>
      <c r="M4802" t="e">
        <f>INDEX(Stammdaten[Abholzigkeit (mm/lfm)],MATCH(Tabelle9[[#This Row],[Rank]],Stammdaten[Rank Verteilung Abholzigkeit],0))</f>
        <v>#N/A</v>
      </c>
      <c r="N4802" t="e">
        <f>VLOOKUP(Tabelle9[[#This Row],[Rank]],Stammdaten[[Rank Verteilung Abholzigkeit]:[Verteilung Abholzigkeit]],2,FALSE)</f>
        <v>#N/A</v>
      </c>
      <c r="S4802">
        <v>4793</v>
      </c>
      <c r="T4802" t="e">
        <f>INDEX(Stammdaten[Krümmung (mm/lfm)],MATCH(Tabelle10[[#This Row],[Rank]],Stammdaten[Rank Verteilung Krümmung],0))</f>
        <v>#N/A</v>
      </c>
      <c r="U4802" t="e">
        <f>VLOOKUP(Tabelle10[[#This Row],[Rank]],Stammdaten[[Rank Verteilung Krümmung]:[Verteilung Krümmung]],2,FALSE)</f>
        <v>#N/A</v>
      </c>
      <c r="Z4802">
        <v>4793</v>
      </c>
      <c r="AA4802" t="e">
        <f>INDEX(Stammdaten[Ovalität (']0,1'])],MATCH(Tabelle1014[[#This Row],[Rank]],Stammdaten[Rank Verteilung Ovalität],0))</f>
        <v>#N/A</v>
      </c>
      <c r="AB4802" t="e">
        <f>VLOOKUP(Tabelle1014[[#This Row],[Rank]],Stammdaten[[Rank Verteilung Ovalität]:[Verteilung Ovalität]],2,FALSE)</f>
        <v>#N/A</v>
      </c>
    </row>
    <row r="4803" spans="5:28" x14ac:dyDescent="0.35">
      <c r="E4803">
        <v>4794</v>
      </c>
      <c r="F4803" t="e">
        <f>INDEX(Stammdaten[D Mitte mit Rinde (mm)],MATCH(Tabelle8[[#This Row],[Rank]],Stammdaten[Rank Verteilung D Mitte mit Rinde],0))</f>
        <v>#N/A</v>
      </c>
      <c r="G4803" t="e">
        <f>VLOOKUP(Tabelle8[[#This Row],[Rank]],Stammdaten[[Rank Verteilung D Mitte mit Rinde]:[Verteilung D Mitte mit Rinde]],2,FALSE)</f>
        <v>#N/A</v>
      </c>
      <c r="L4803">
        <v>4794</v>
      </c>
      <c r="M4803" t="e">
        <f>INDEX(Stammdaten[Abholzigkeit (mm/lfm)],MATCH(Tabelle9[[#This Row],[Rank]],Stammdaten[Rank Verteilung Abholzigkeit],0))</f>
        <v>#N/A</v>
      </c>
      <c r="N4803" t="e">
        <f>VLOOKUP(Tabelle9[[#This Row],[Rank]],Stammdaten[[Rank Verteilung Abholzigkeit]:[Verteilung Abholzigkeit]],2,FALSE)</f>
        <v>#N/A</v>
      </c>
      <c r="S4803">
        <v>4794</v>
      </c>
      <c r="T4803" t="e">
        <f>INDEX(Stammdaten[Krümmung (mm/lfm)],MATCH(Tabelle10[[#This Row],[Rank]],Stammdaten[Rank Verteilung Krümmung],0))</f>
        <v>#N/A</v>
      </c>
      <c r="U4803" t="e">
        <f>VLOOKUP(Tabelle10[[#This Row],[Rank]],Stammdaten[[Rank Verteilung Krümmung]:[Verteilung Krümmung]],2,FALSE)</f>
        <v>#N/A</v>
      </c>
      <c r="Z4803">
        <v>4794</v>
      </c>
      <c r="AA4803" t="e">
        <f>INDEX(Stammdaten[Ovalität (']0,1'])],MATCH(Tabelle1014[[#This Row],[Rank]],Stammdaten[Rank Verteilung Ovalität],0))</f>
        <v>#N/A</v>
      </c>
      <c r="AB4803" t="e">
        <f>VLOOKUP(Tabelle1014[[#This Row],[Rank]],Stammdaten[[Rank Verteilung Ovalität]:[Verteilung Ovalität]],2,FALSE)</f>
        <v>#N/A</v>
      </c>
    </row>
    <row r="4804" spans="5:28" x14ac:dyDescent="0.35">
      <c r="E4804">
        <v>4795</v>
      </c>
      <c r="F4804" t="e">
        <f>INDEX(Stammdaten[D Mitte mit Rinde (mm)],MATCH(Tabelle8[[#This Row],[Rank]],Stammdaten[Rank Verteilung D Mitte mit Rinde],0))</f>
        <v>#N/A</v>
      </c>
      <c r="G4804" t="e">
        <f>VLOOKUP(Tabelle8[[#This Row],[Rank]],Stammdaten[[Rank Verteilung D Mitte mit Rinde]:[Verteilung D Mitte mit Rinde]],2,FALSE)</f>
        <v>#N/A</v>
      </c>
      <c r="L4804">
        <v>4795</v>
      </c>
      <c r="M4804" t="e">
        <f>INDEX(Stammdaten[Abholzigkeit (mm/lfm)],MATCH(Tabelle9[[#This Row],[Rank]],Stammdaten[Rank Verteilung Abholzigkeit],0))</f>
        <v>#N/A</v>
      </c>
      <c r="N4804" t="e">
        <f>VLOOKUP(Tabelle9[[#This Row],[Rank]],Stammdaten[[Rank Verteilung Abholzigkeit]:[Verteilung Abholzigkeit]],2,FALSE)</f>
        <v>#N/A</v>
      </c>
      <c r="S4804">
        <v>4795</v>
      </c>
      <c r="T4804" t="e">
        <f>INDEX(Stammdaten[Krümmung (mm/lfm)],MATCH(Tabelle10[[#This Row],[Rank]],Stammdaten[Rank Verteilung Krümmung],0))</f>
        <v>#N/A</v>
      </c>
      <c r="U4804" t="e">
        <f>VLOOKUP(Tabelle10[[#This Row],[Rank]],Stammdaten[[Rank Verteilung Krümmung]:[Verteilung Krümmung]],2,FALSE)</f>
        <v>#N/A</v>
      </c>
      <c r="Z4804">
        <v>4795</v>
      </c>
      <c r="AA4804" t="e">
        <f>INDEX(Stammdaten[Ovalität (']0,1'])],MATCH(Tabelle1014[[#This Row],[Rank]],Stammdaten[Rank Verteilung Ovalität],0))</f>
        <v>#N/A</v>
      </c>
      <c r="AB4804" t="e">
        <f>VLOOKUP(Tabelle1014[[#This Row],[Rank]],Stammdaten[[Rank Verteilung Ovalität]:[Verteilung Ovalität]],2,FALSE)</f>
        <v>#N/A</v>
      </c>
    </row>
    <row r="4805" spans="5:28" x14ac:dyDescent="0.35">
      <c r="E4805">
        <v>4796</v>
      </c>
      <c r="F4805" t="e">
        <f>INDEX(Stammdaten[D Mitte mit Rinde (mm)],MATCH(Tabelle8[[#This Row],[Rank]],Stammdaten[Rank Verteilung D Mitte mit Rinde],0))</f>
        <v>#N/A</v>
      </c>
      <c r="G4805" t="e">
        <f>VLOOKUP(Tabelle8[[#This Row],[Rank]],Stammdaten[[Rank Verteilung D Mitte mit Rinde]:[Verteilung D Mitte mit Rinde]],2,FALSE)</f>
        <v>#N/A</v>
      </c>
      <c r="L4805">
        <v>4796</v>
      </c>
      <c r="M4805" t="e">
        <f>INDEX(Stammdaten[Abholzigkeit (mm/lfm)],MATCH(Tabelle9[[#This Row],[Rank]],Stammdaten[Rank Verteilung Abholzigkeit],0))</f>
        <v>#N/A</v>
      </c>
      <c r="N4805" t="e">
        <f>VLOOKUP(Tabelle9[[#This Row],[Rank]],Stammdaten[[Rank Verteilung Abholzigkeit]:[Verteilung Abholzigkeit]],2,FALSE)</f>
        <v>#N/A</v>
      </c>
      <c r="S4805">
        <v>4796</v>
      </c>
      <c r="T4805" t="e">
        <f>INDEX(Stammdaten[Krümmung (mm/lfm)],MATCH(Tabelle10[[#This Row],[Rank]],Stammdaten[Rank Verteilung Krümmung],0))</f>
        <v>#N/A</v>
      </c>
      <c r="U4805" t="e">
        <f>VLOOKUP(Tabelle10[[#This Row],[Rank]],Stammdaten[[Rank Verteilung Krümmung]:[Verteilung Krümmung]],2,FALSE)</f>
        <v>#N/A</v>
      </c>
      <c r="Z4805">
        <v>4796</v>
      </c>
      <c r="AA4805" t="e">
        <f>INDEX(Stammdaten[Ovalität (']0,1'])],MATCH(Tabelle1014[[#This Row],[Rank]],Stammdaten[Rank Verteilung Ovalität],0))</f>
        <v>#N/A</v>
      </c>
      <c r="AB4805" t="e">
        <f>VLOOKUP(Tabelle1014[[#This Row],[Rank]],Stammdaten[[Rank Verteilung Ovalität]:[Verteilung Ovalität]],2,FALSE)</f>
        <v>#N/A</v>
      </c>
    </row>
    <row r="4806" spans="5:28" x14ac:dyDescent="0.35">
      <c r="E4806">
        <v>4797</v>
      </c>
      <c r="F4806" t="e">
        <f>INDEX(Stammdaten[D Mitte mit Rinde (mm)],MATCH(Tabelle8[[#This Row],[Rank]],Stammdaten[Rank Verteilung D Mitte mit Rinde],0))</f>
        <v>#N/A</v>
      </c>
      <c r="G4806" t="e">
        <f>VLOOKUP(Tabelle8[[#This Row],[Rank]],Stammdaten[[Rank Verteilung D Mitte mit Rinde]:[Verteilung D Mitte mit Rinde]],2,FALSE)</f>
        <v>#N/A</v>
      </c>
      <c r="L4806">
        <v>4797</v>
      </c>
      <c r="M4806" t="e">
        <f>INDEX(Stammdaten[Abholzigkeit (mm/lfm)],MATCH(Tabelle9[[#This Row],[Rank]],Stammdaten[Rank Verteilung Abholzigkeit],0))</f>
        <v>#N/A</v>
      </c>
      <c r="N4806" t="e">
        <f>VLOOKUP(Tabelle9[[#This Row],[Rank]],Stammdaten[[Rank Verteilung Abholzigkeit]:[Verteilung Abholzigkeit]],2,FALSE)</f>
        <v>#N/A</v>
      </c>
      <c r="S4806">
        <v>4797</v>
      </c>
      <c r="T4806" t="e">
        <f>INDEX(Stammdaten[Krümmung (mm/lfm)],MATCH(Tabelle10[[#This Row],[Rank]],Stammdaten[Rank Verteilung Krümmung],0))</f>
        <v>#N/A</v>
      </c>
      <c r="U4806" t="e">
        <f>VLOOKUP(Tabelle10[[#This Row],[Rank]],Stammdaten[[Rank Verteilung Krümmung]:[Verteilung Krümmung]],2,FALSE)</f>
        <v>#N/A</v>
      </c>
      <c r="Z4806">
        <v>4797</v>
      </c>
      <c r="AA4806" t="e">
        <f>INDEX(Stammdaten[Ovalität (']0,1'])],MATCH(Tabelle1014[[#This Row],[Rank]],Stammdaten[Rank Verteilung Ovalität],0))</f>
        <v>#N/A</v>
      </c>
      <c r="AB4806" t="e">
        <f>VLOOKUP(Tabelle1014[[#This Row],[Rank]],Stammdaten[[Rank Verteilung Ovalität]:[Verteilung Ovalität]],2,FALSE)</f>
        <v>#N/A</v>
      </c>
    </row>
    <row r="4807" spans="5:28" x14ac:dyDescent="0.35">
      <c r="E4807">
        <v>4798</v>
      </c>
      <c r="F4807" t="e">
        <f>INDEX(Stammdaten[D Mitte mit Rinde (mm)],MATCH(Tabelle8[[#This Row],[Rank]],Stammdaten[Rank Verteilung D Mitte mit Rinde],0))</f>
        <v>#N/A</v>
      </c>
      <c r="G4807" t="e">
        <f>VLOOKUP(Tabelle8[[#This Row],[Rank]],Stammdaten[[Rank Verteilung D Mitte mit Rinde]:[Verteilung D Mitte mit Rinde]],2,FALSE)</f>
        <v>#N/A</v>
      </c>
      <c r="L4807">
        <v>4798</v>
      </c>
      <c r="M4807" t="e">
        <f>INDEX(Stammdaten[Abholzigkeit (mm/lfm)],MATCH(Tabelle9[[#This Row],[Rank]],Stammdaten[Rank Verteilung Abholzigkeit],0))</f>
        <v>#N/A</v>
      </c>
      <c r="N4807" t="e">
        <f>VLOOKUP(Tabelle9[[#This Row],[Rank]],Stammdaten[[Rank Verteilung Abholzigkeit]:[Verteilung Abholzigkeit]],2,FALSE)</f>
        <v>#N/A</v>
      </c>
      <c r="S4807">
        <v>4798</v>
      </c>
      <c r="T4807" t="e">
        <f>INDEX(Stammdaten[Krümmung (mm/lfm)],MATCH(Tabelle10[[#This Row],[Rank]],Stammdaten[Rank Verteilung Krümmung],0))</f>
        <v>#N/A</v>
      </c>
      <c r="U4807" t="e">
        <f>VLOOKUP(Tabelle10[[#This Row],[Rank]],Stammdaten[[Rank Verteilung Krümmung]:[Verteilung Krümmung]],2,FALSE)</f>
        <v>#N/A</v>
      </c>
      <c r="Z4807">
        <v>4798</v>
      </c>
      <c r="AA4807" t="e">
        <f>INDEX(Stammdaten[Ovalität (']0,1'])],MATCH(Tabelle1014[[#This Row],[Rank]],Stammdaten[Rank Verteilung Ovalität],0))</f>
        <v>#N/A</v>
      </c>
      <c r="AB4807" t="e">
        <f>VLOOKUP(Tabelle1014[[#This Row],[Rank]],Stammdaten[[Rank Verteilung Ovalität]:[Verteilung Ovalität]],2,FALSE)</f>
        <v>#N/A</v>
      </c>
    </row>
    <row r="4808" spans="5:28" x14ac:dyDescent="0.35">
      <c r="E4808">
        <v>4799</v>
      </c>
      <c r="F4808" t="e">
        <f>INDEX(Stammdaten[D Mitte mit Rinde (mm)],MATCH(Tabelle8[[#This Row],[Rank]],Stammdaten[Rank Verteilung D Mitte mit Rinde],0))</f>
        <v>#N/A</v>
      </c>
      <c r="G4808" t="e">
        <f>VLOOKUP(Tabelle8[[#This Row],[Rank]],Stammdaten[[Rank Verteilung D Mitte mit Rinde]:[Verteilung D Mitte mit Rinde]],2,FALSE)</f>
        <v>#N/A</v>
      </c>
      <c r="L4808">
        <v>4799</v>
      </c>
      <c r="M4808" t="e">
        <f>INDEX(Stammdaten[Abholzigkeit (mm/lfm)],MATCH(Tabelle9[[#This Row],[Rank]],Stammdaten[Rank Verteilung Abholzigkeit],0))</f>
        <v>#N/A</v>
      </c>
      <c r="N4808" t="e">
        <f>VLOOKUP(Tabelle9[[#This Row],[Rank]],Stammdaten[[Rank Verteilung Abholzigkeit]:[Verteilung Abholzigkeit]],2,FALSE)</f>
        <v>#N/A</v>
      </c>
      <c r="S4808">
        <v>4799</v>
      </c>
      <c r="T4808" t="e">
        <f>INDEX(Stammdaten[Krümmung (mm/lfm)],MATCH(Tabelle10[[#This Row],[Rank]],Stammdaten[Rank Verteilung Krümmung],0))</f>
        <v>#N/A</v>
      </c>
      <c r="U4808" t="e">
        <f>VLOOKUP(Tabelle10[[#This Row],[Rank]],Stammdaten[[Rank Verteilung Krümmung]:[Verteilung Krümmung]],2,FALSE)</f>
        <v>#N/A</v>
      </c>
      <c r="Z4808">
        <v>4799</v>
      </c>
      <c r="AA4808" t="e">
        <f>INDEX(Stammdaten[Ovalität (']0,1'])],MATCH(Tabelle1014[[#This Row],[Rank]],Stammdaten[Rank Verteilung Ovalität],0))</f>
        <v>#N/A</v>
      </c>
      <c r="AB4808" t="e">
        <f>VLOOKUP(Tabelle1014[[#This Row],[Rank]],Stammdaten[[Rank Verteilung Ovalität]:[Verteilung Ovalität]],2,FALSE)</f>
        <v>#N/A</v>
      </c>
    </row>
    <row r="4809" spans="5:28" x14ac:dyDescent="0.35">
      <c r="E4809">
        <v>4800</v>
      </c>
      <c r="F4809" t="e">
        <f>INDEX(Stammdaten[D Mitte mit Rinde (mm)],MATCH(Tabelle8[[#This Row],[Rank]],Stammdaten[Rank Verteilung D Mitte mit Rinde],0))</f>
        <v>#N/A</v>
      </c>
      <c r="G4809" t="e">
        <f>VLOOKUP(Tabelle8[[#This Row],[Rank]],Stammdaten[[Rank Verteilung D Mitte mit Rinde]:[Verteilung D Mitte mit Rinde]],2,FALSE)</f>
        <v>#N/A</v>
      </c>
      <c r="L4809">
        <v>4800</v>
      </c>
      <c r="M4809" t="e">
        <f>INDEX(Stammdaten[Abholzigkeit (mm/lfm)],MATCH(Tabelle9[[#This Row],[Rank]],Stammdaten[Rank Verteilung Abholzigkeit],0))</f>
        <v>#N/A</v>
      </c>
      <c r="N4809" t="e">
        <f>VLOOKUP(Tabelle9[[#This Row],[Rank]],Stammdaten[[Rank Verteilung Abholzigkeit]:[Verteilung Abholzigkeit]],2,FALSE)</f>
        <v>#N/A</v>
      </c>
      <c r="S4809">
        <v>4800</v>
      </c>
      <c r="T4809" t="e">
        <f>INDEX(Stammdaten[Krümmung (mm/lfm)],MATCH(Tabelle10[[#This Row],[Rank]],Stammdaten[Rank Verteilung Krümmung],0))</f>
        <v>#N/A</v>
      </c>
      <c r="U4809" t="e">
        <f>VLOOKUP(Tabelle10[[#This Row],[Rank]],Stammdaten[[Rank Verteilung Krümmung]:[Verteilung Krümmung]],2,FALSE)</f>
        <v>#N/A</v>
      </c>
      <c r="Z4809">
        <v>4800</v>
      </c>
      <c r="AA4809" t="e">
        <f>INDEX(Stammdaten[Ovalität (']0,1'])],MATCH(Tabelle1014[[#This Row],[Rank]],Stammdaten[Rank Verteilung Ovalität],0))</f>
        <v>#N/A</v>
      </c>
      <c r="AB4809" t="e">
        <f>VLOOKUP(Tabelle1014[[#This Row],[Rank]],Stammdaten[[Rank Verteilung Ovalität]:[Verteilung Ovalität]],2,FALSE)</f>
        <v>#N/A</v>
      </c>
    </row>
    <row r="4810" spans="5:28" x14ac:dyDescent="0.35">
      <c r="E4810">
        <v>4801</v>
      </c>
      <c r="F4810" t="e">
        <f>INDEX(Stammdaten[D Mitte mit Rinde (mm)],MATCH(Tabelle8[[#This Row],[Rank]],Stammdaten[Rank Verteilung D Mitte mit Rinde],0))</f>
        <v>#N/A</v>
      </c>
      <c r="G4810" t="e">
        <f>VLOOKUP(Tabelle8[[#This Row],[Rank]],Stammdaten[[Rank Verteilung D Mitte mit Rinde]:[Verteilung D Mitte mit Rinde]],2,FALSE)</f>
        <v>#N/A</v>
      </c>
      <c r="L4810">
        <v>4801</v>
      </c>
      <c r="M4810" t="e">
        <f>INDEX(Stammdaten[Abholzigkeit (mm/lfm)],MATCH(Tabelle9[[#This Row],[Rank]],Stammdaten[Rank Verteilung Abholzigkeit],0))</f>
        <v>#N/A</v>
      </c>
      <c r="N4810" t="e">
        <f>VLOOKUP(Tabelle9[[#This Row],[Rank]],Stammdaten[[Rank Verteilung Abholzigkeit]:[Verteilung Abholzigkeit]],2,FALSE)</f>
        <v>#N/A</v>
      </c>
      <c r="S4810">
        <v>4801</v>
      </c>
      <c r="T4810" t="e">
        <f>INDEX(Stammdaten[Krümmung (mm/lfm)],MATCH(Tabelle10[[#This Row],[Rank]],Stammdaten[Rank Verteilung Krümmung],0))</f>
        <v>#N/A</v>
      </c>
      <c r="U4810" t="e">
        <f>VLOOKUP(Tabelle10[[#This Row],[Rank]],Stammdaten[[Rank Verteilung Krümmung]:[Verteilung Krümmung]],2,FALSE)</f>
        <v>#N/A</v>
      </c>
      <c r="Z4810">
        <v>4801</v>
      </c>
      <c r="AA4810" t="e">
        <f>INDEX(Stammdaten[Ovalität (']0,1'])],MATCH(Tabelle1014[[#This Row],[Rank]],Stammdaten[Rank Verteilung Ovalität],0))</f>
        <v>#N/A</v>
      </c>
      <c r="AB4810" t="e">
        <f>VLOOKUP(Tabelle1014[[#This Row],[Rank]],Stammdaten[[Rank Verteilung Ovalität]:[Verteilung Ovalität]],2,FALSE)</f>
        <v>#N/A</v>
      </c>
    </row>
    <row r="4811" spans="5:28" x14ac:dyDescent="0.35">
      <c r="E4811">
        <v>4802</v>
      </c>
      <c r="F4811" t="e">
        <f>INDEX(Stammdaten[D Mitte mit Rinde (mm)],MATCH(Tabelle8[[#This Row],[Rank]],Stammdaten[Rank Verteilung D Mitte mit Rinde],0))</f>
        <v>#N/A</v>
      </c>
      <c r="G4811" t="e">
        <f>VLOOKUP(Tabelle8[[#This Row],[Rank]],Stammdaten[[Rank Verteilung D Mitte mit Rinde]:[Verteilung D Mitte mit Rinde]],2,FALSE)</f>
        <v>#N/A</v>
      </c>
      <c r="L4811">
        <v>4802</v>
      </c>
      <c r="M4811" t="e">
        <f>INDEX(Stammdaten[Abholzigkeit (mm/lfm)],MATCH(Tabelle9[[#This Row],[Rank]],Stammdaten[Rank Verteilung Abholzigkeit],0))</f>
        <v>#N/A</v>
      </c>
      <c r="N4811" t="e">
        <f>VLOOKUP(Tabelle9[[#This Row],[Rank]],Stammdaten[[Rank Verteilung Abholzigkeit]:[Verteilung Abholzigkeit]],2,FALSE)</f>
        <v>#N/A</v>
      </c>
      <c r="S4811">
        <v>4802</v>
      </c>
      <c r="T4811" t="e">
        <f>INDEX(Stammdaten[Krümmung (mm/lfm)],MATCH(Tabelle10[[#This Row],[Rank]],Stammdaten[Rank Verteilung Krümmung],0))</f>
        <v>#N/A</v>
      </c>
      <c r="U4811" t="e">
        <f>VLOOKUP(Tabelle10[[#This Row],[Rank]],Stammdaten[[Rank Verteilung Krümmung]:[Verteilung Krümmung]],2,FALSE)</f>
        <v>#N/A</v>
      </c>
      <c r="Z4811">
        <v>4802</v>
      </c>
      <c r="AA4811" t="e">
        <f>INDEX(Stammdaten[Ovalität (']0,1'])],MATCH(Tabelle1014[[#This Row],[Rank]],Stammdaten[Rank Verteilung Ovalität],0))</f>
        <v>#N/A</v>
      </c>
      <c r="AB4811" t="e">
        <f>VLOOKUP(Tabelle1014[[#This Row],[Rank]],Stammdaten[[Rank Verteilung Ovalität]:[Verteilung Ovalität]],2,FALSE)</f>
        <v>#N/A</v>
      </c>
    </row>
    <row r="4812" spans="5:28" x14ac:dyDescent="0.35">
      <c r="E4812">
        <v>4803</v>
      </c>
      <c r="F4812" t="e">
        <f>INDEX(Stammdaten[D Mitte mit Rinde (mm)],MATCH(Tabelle8[[#This Row],[Rank]],Stammdaten[Rank Verteilung D Mitte mit Rinde],0))</f>
        <v>#N/A</v>
      </c>
      <c r="G4812" t="e">
        <f>VLOOKUP(Tabelle8[[#This Row],[Rank]],Stammdaten[[Rank Verteilung D Mitte mit Rinde]:[Verteilung D Mitte mit Rinde]],2,FALSE)</f>
        <v>#N/A</v>
      </c>
      <c r="L4812">
        <v>4803</v>
      </c>
      <c r="M4812" t="e">
        <f>INDEX(Stammdaten[Abholzigkeit (mm/lfm)],MATCH(Tabelle9[[#This Row],[Rank]],Stammdaten[Rank Verteilung Abholzigkeit],0))</f>
        <v>#N/A</v>
      </c>
      <c r="N4812" t="e">
        <f>VLOOKUP(Tabelle9[[#This Row],[Rank]],Stammdaten[[Rank Verteilung Abholzigkeit]:[Verteilung Abholzigkeit]],2,FALSE)</f>
        <v>#N/A</v>
      </c>
      <c r="S4812">
        <v>4803</v>
      </c>
      <c r="T4812" t="e">
        <f>INDEX(Stammdaten[Krümmung (mm/lfm)],MATCH(Tabelle10[[#This Row],[Rank]],Stammdaten[Rank Verteilung Krümmung],0))</f>
        <v>#N/A</v>
      </c>
      <c r="U4812" t="e">
        <f>VLOOKUP(Tabelle10[[#This Row],[Rank]],Stammdaten[[Rank Verteilung Krümmung]:[Verteilung Krümmung]],2,FALSE)</f>
        <v>#N/A</v>
      </c>
      <c r="Z4812">
        <v>4803</v>
      </c>
      <c r="AA4812" t="e">
        <f>INDEX(Stammdaten[Ovalität (']0,1'])],MATCH(Tabelle1014[[#This Row],[Rank]],Stammdaten[Rank Verteilung Ovalität],0))</f>
        <v>#N/A</v>
      </c>
      <c r="AB4812" t="e">
        <f>VLOOKUP(Tabelle1014[[#This Row],[Rank]],Stammdaten[[Rank Verteilung Ovalität]:[Verteilung Ovalität]],2,FALSE)</f>
        <v>#N/A</v>
      </c>
    </row>
    <row r="4813" spans="5:28" x14ac:dyDescent="0.35">
      <c r="E4813">
        <v>4804</v>
      </c>
      <c r="F4813" t="e">
        <f>INDEX(Stammdaten[D Mitte mit Rinde (mm)],MATCH(Tabelle8[[#This Row],[Rank]],Stammdaten[Rank Verteilung D Mitte mit Rinde],0))</f>
        <v>#N/A</v>
      </c>
      <c r="G4813" t="e">
        <f>VLOOKUP(Tabelle8[[#This Row],[Rank]],Stammdaten[[Rank Verteilung D Mitte mit Rinde]:[Verteilung D Mitte mit Rinde]],2,FALSE)</f>
        <v>#N/A</v>
      </c>
      <c r="L4813">
        <v>4804</v>
      </c>
      <c r="M4813" t="e">
        <f>INDEX(Stammdaten[Abholzigkeit (mm/lfm)],MATCH(Tabelle9[[#This Row],[Rank]],Stammdaten[Rank Verteilung Abholzigkeit],0))</f>
        <v>#N/A</v>
      </c>
      <c r="N4813" t="e">
        <f>VLOOKUP(Tabelle9[[#This Row],[Rank]],Stammdaten[[Rank Verteilung Abholzigkeit]:[Verteilung Abholzigkeit]],2,FALSE)</f>
        <v>#N/A</v>
      </c>
      <c r="S4813">
        <v>4804</v>
      </c>
      <c r="T4813" t="e">
        <f>INDEX(Stammdaten[Krümmung (mm/lfm)],MATCH(Tabelle10[[#This Row],[Rank]],Stammdaten[Rank Verteilung Krümmung],0))</f>
        <v>#N/A</v>
      </c>
      <c r="U4813" t="e">
        <f>VLOOKUP(Tabelle10[[#This Row],[Rank]],Stammdaten[[Rank Verteilung Krümmung]:[Verteilung Krümmung]],2,FALSE)</f>
        <v>#N/A</v>
      </c>
      <c r="Z4813">
        <v>4804</v>
      </c>
      <c r="AA4813" t="e">
        <f>INDEX(Stammdaten[Ovalität (']0,1'])],MATCH(Tabelle1014[[#This Row],[Rank]],Stammdaten[Rank Verteilung Ovalität],0))</f>
        <v>#N/A</v>
      </c>
      <c r="AB4813" t="e">
        <f>VLOOKUP(Tabelle1014[[#This Row],[Rank]],Stammdaten[[Rank Verteilung Ovalität]:[Verteilung Ovalität]],2,FALSE)</f>
        <v>#N/A</v>
      </c>
    </row>
    <row r="4814" spans="5:28" x14ac:dyDescent="0.35">
      <c r="E4814">
        <v>4805</v>
      </c>
      <c r="F4814" t="e">
        <f>INDEX(Stammdaten[D Mitte mit Rinde (mm)],MATCH(Tabelle8[[#This Row],[Rank]],Stammdaten[Rank Verteilung D Mitte mit Rinde],0))</f>
        <v>#N/A</v>
      </c>
      <c r="G4814" t="e">
        <f>VLOOKUP(Tabelle8[[#This Row],[Rank]],Stammdaten[[Rank Verteilung D Mitte mit Rinde]:[Verteilung D Mitte mit Rinde]],2,FALSE)</f>
        <v>#N/A</v>
      </c>
      <c r="L4814">
        <v>4805</v>
      </c>
      <c r="M4814" t="e">
        <f>INDEX(Stammdaten[Abholzigkeit (mm/lfm)],MATCH(Tabelle9[[#This Row],[Rank]],Stammdaten[Rank Verteilung Abholzigkeit],0))</f>
        <v>#N/A</v>
      </c>
      <c r="N4814" t="e">
        <f>VLOOKUP(Tabelle9[[#This Row],[Rank]],Stammdaten[[Rank Verteilung Abholzigkeit]:[Verteilung Abholzigkeit]],2,FALSE)</f>
        <v>#N/A</v>
      </c>
      <c r="S4814">
        <v>4805</v>
      </c>
      <c r="T4814" t="e">
        <f>INDEX(Stammdaten[Krümmung (mm/lfm)],MATCH(Tabelle10[[#This Row],[Rank]],Stammdaten[Rank Verteilung Krümmung],0))</f>
        <v>#N/A</v>
      </c>
      <c r="U4814" t="e">
        <f>VLOOKUP(Tabelle10[[#This Row],[Rank]],Stammdaten[[Rank Verteilung Krümmung]:[Verteilung Krümmung]],2,FALSE)</f>
        <v>#N/A</v>
      </c>
      <c r="Z4814">
        <v>4805</v>
      </c>
      <c r="AA4814" t="e">
        <f>INDEX(Stammdaten[Ovalität (']0,1'])],MATCH(Tabelle1014[[#This Row],[Rank]],Stammdaten[Rank Verteilung Ovalität],0))</f>
        <v>#N/A</v>
      </c>
      <c r="AB4814" t="e">
        <f>VLOOKUP(Tabelle1014[[#This Row],[Rank]],Stammdaten[[Rank Verteilung Ovalität]:[Verteilung Ovalität]],2,FALSE)</f>
        <v>#N/A</v>
      </c>
    </row>
    <row r="4815" spans="5:28" x14ac:dyDescent="0.35">
      <c r="E4815">
        <v>4806</v>
      </c>
      <c r="F4815" t="e">
        <f>INDEX(Stammdaten[D Mitte mit Rinde (mm)],MATCH(Tabelle8[[#This Row],[Rank]],Stammdaten[Rank Verteilung D Mitte mit Rinde],0))</f>
        <v>#N/A</v>
      </c>
      <c r="G4815" t="e">
        <f>VLOOKUP(Tabelle8[[#This Row],[Rank]],Stammdaten[[Rank Verteilung D Mitte mit Rinde]:[Verteilung D Mitte mit Rinde]],2,FALSE)</f>
        <v>#N/A</v>
      </c>
      <c r="L4815">
        <v>4806</v>
      </c>
      <c r="M4815" t="e">
        <f>INDEX(Stammdaten[Abholzigkeit (mm/lfm)],MATCH(Tabelle9[[#This Row],[Rank]],Stammdaten[Rank Verteilung Abholzigkeit],0))</f>
        <v>#N/A</v>
      </c>
      <c r="N4815" t="e">
        <f>VLOOKUP(Tabelle9[[#This Row],[Rank]],Stammdaten[[Rank Verteilung Abholzigkeit]:[Verteilung Abholzigkeit]],2,FALSE)</f>
        <v>#N/A</v>
      </c>
      <c r="S4815">
        <v>4806</v>
      </c>
      <c r="T4815" t="e">
        <f>INDEX(Stammdaten[Krümmung (mm/lfm)],MATCH(Tabelle10[[#This Row],[Rank]],Stammdaten[Rank Verteilung Krümmung],0))</f>
        <v>#N/A</v>
      </c>
      <c r="U4815" t="e">
        <f>VLOOKUP(Tabelle10[[#This Row],[Rank]],Stammdaten[[Rank Verteilung Krümmung]:[Verteilung Krümmung]],2,FALSE)</f>
        <v>#N/A</v>
      </c>
      <c r="Z4815">
        <v>4806</v>
      </c>
      <c r="AA4815" t="e">
        <f>INDEX(Stammdaten[Ovalität (']0,1'])],MATCH(Tabelle1014[[#This Row],[Rank]],Stammdaten[Rank Verteilung Ovalität],0))</f>
        <v>#N/A</v>
      </c>
      <c r="AB4815" t="e">
        <f>VLOOKUP(Tabelle1014[[#This Row],[Rank]],Stammdaten[[Rank Verteilung Ovalität]:[Verteilung Ovalität]],2,FALSE)</f>
        <v>#N/A</v>
      </c>
    </row>
    <row r="4816" spans="5:28" x14ac:dyDescent="0.35">
      <c r="E4816">
        <v>4807</v>
      </c>
      <c r="F4816" t="e">
        <f>INDEX(Stammdaten[D Mitte mit Rinde (mm)],MATCH(Tabelle8[[#This Row],[Rank]],Stammdaten[Rank Verteilung D Mitte mit Rinde],0))</f>
        <v>#N/A</v>
      </c>
      <c r="G4816" t="e">
        <f>VLOOKUP(Tabelle8[[#This Row],[Rank]],Stammdaten[[Rank Verteilung D Mitte mit Rinde]:[Verteilung D Mitte mit Rinde]],2,FALSE)</f>
        <v>#N/A</v>
      </c>
      <c r="L4816">
        <v>4807</v>
      </c>
      <c r="M4816" t="e">
        <f>INDEX(Stammdaten[Abholzigkeit (mm/lfm)],MATCH(Tabelle9[[#This Row],[Rank]],Stammdaten[Rank Verteilung Abholzigkeit],0))</f>
        <v>#N/A</v>
      </c>
      <c r="N4816" t="e">
        <f>VLOOKUP(Tabelle9[[#This Row],[Rank]],Stammdaten[[Rank Verteilung Abholzigkeit]:[Verteilung Abholzigkeit]],2,FALSE)</f>
        <v>#N/A</v>
      </c>
      <c r="S4816">
        <v>4807</v>
      </c>
      <c r="T4816" t="e">
        <f>INDEX(Stammdaten[Krümmung (mm/lfm)],MATCH(Tabelle10[[#This Row],[Rank]],Stammdaten[Rank Verteilung Krümmung],0))</f>
        <v>#N/A</v>
      </c>
      <c r="U4816" t="e">
        <f>VLOOKUP(Tabelle10[[#This Row],[Rank]],Stammdaten[[Rank Verteilung Krümmung]:[Verteilung Krümmung]],2,FALSE)</f>
        <v>#N/A</v>
      </c>
      <c r="Z4816">
        <v>4807</v>
      </c>
      <c r="AA4816" t="e">
        <f>INDEX(Stammdaten[Ovalität (']0,1'])],MATCH(Tabelle1014[[#This Row],[Rank]],Stammdaten[Rank Verteilung Ovalität],0))</f>
        <v>#N/A</v>
      </c>
      <c r="AB4816" t="e">
        <f>VLOOKUP(Tabelle1014[[#This Row],[Rank]],Stammdaten[[Rank Verteilung Ovalität]:[Verteilung Ovalität]],2,FALSE)</f>
        <v>#N/A</v>
      </c>
    </row>
    <row r="4817" spans="5:28" x14ac:dyDescent="0.35">
      <c r="E4817">
        <v>4808</v>
      </c>
      <c r="F4817" t="e">
        <f>INDEX(Stammdaten[D Mitte mit Rinde (mm)],MATCH(Tabelle8[[#This Row],[Rank]],Stammdaten[Rank Verteilung D Mitte mit Rinde],0))</f>
        <v>#N/A</v>
      </c>
      <c r="G4817" t="e">
        <f>VLOOKUP(Tabelle8[[#This Row],[Rank]],Stammdaten[[Rank Verteilung D Mitte mit Rinde]:[Verteilung D Mitte mit Rinde]],2,FALSE)</f>
        <v>#N/A</v>
      </c>
      <c r="L4817">
        <v>4808</v>
      </c>
      <c r="M4817" t="e">
        <f>INDEX(Stammdaten[Abholzigkeit (mm/lfm)],MATCH(Tabelle9[[#This Row],[Rank]],Stammdaten[Rank Verteilung Abholzigkeit],0))</f>
        <v>#N/A</v>
      </c>
      <c r="N4817" t="e">
        <f>VLOOKUP(Tabelle9[[#This Row],[Rank]],Stammdaten[[Rank Verteilung Abholzigkeit]:[Verteilung Abholzigkeit]],2,FALSE)</f>
        <v>#N/A</v>
      </c>
      <c r="S4817">
        <v>4808</v>
      </c>
      <c r="T4817" t="e">
        <f>INDEX(Stammdaten[Krümmung (mm/lfm)],MATCH(Tabelle10[[#This Row],[Rank]],Stammdaten[Rank Verteilung Krümmung],0))</f>
        <v>#N/A</v>
      </c>
      <c r="U4817" t="e">
        <f>VLOOKUP(Tabelle10[[#This Row],[Rank]],Stammdaten[[Rank Verteilung Krümmung]:[Verteilung Krümmung]],2,FALSE)</f>
        <v>#N/A</v>
      </c>
      <c r="Z4817">
        <v>4808</v>
      </c>
      <c r="AA4817" t="e">
        <f>INDEX(Stammdaten[Ovalität (']0,1'])],MATCH(Tabelle1014[[#This Row],[Rank]],Stammdaten[Rank Verteilung Ovalität],0))</f>
        <v>#N/A</v>
      </c>
      <c r="AB4817" t="e">
        <f>VLOOKUP(Tabelle1014[[#This Row],[Rank]],Stammdaten[[Rank Verteilung Ovalität]:[Verteilung Ovalität]],2,FALSE)</f>
        <v>#N/A</v>
      </c>
    </row>
    <row r="4818" spans="5:28" x14ac:dyDescent="0.35">
      <c r="E4818">
        <v>4809</v>
      </c>
      <c r="F4818" t="e">
        <f>INDEX(Stammdaten[D Mitte mit Rinde (mm)],MATCH(Tabelle8[[#This Row],[Rank]],Stammdaten[Rank Verteilung D Mitte mit Rinde],0))</f>
        <v>#N/A</v>
      </c>
      <c r="G4818" t="e">
        <f>VLOOKUP(Tabelle8[[#This Row],[Rank]],Stammdaten[[Rank Verteilung D Mitte mit Rinde]:[Verteilung D Mitte mit Rinde]],2,FALSE)</f>
        <v>#N/A</v>
      </c>
      <c r="L4818">
        <v>4809</v>
      </c>
      <c r="M4818" t="e">
        <f>INDEX(Stammdaten[Abholzigkeit (mm/lfm)],MATCH(Tabelle9[[#This Row],[Rank]],Stammdaten[Rank Verteilung Abholzigkeit],0))</f>
        <v>#N/A</v>
      </c>
      <c r="N4818" t="e">
        <f>VLOOKUP(Tabelle9[[#This Row],[Rank]],Stammdaten[[Rank Verteilung Abholzigkeit]:[Verteilung Abholzigkeit]],2,FALSE)</f>
        <v>#N/A</v>
      </c>
      <c r="S4818">
        <v>4809</v>
      </c>
      <c r="T4818" t="e">
        <f>INDEX(Stammdaten[Krümmung (mm/lfm)],MATCH(Tabelle10[[#This Row],[Rank]],Stammdaten[Rank Verteilung Krümmung],0))</f>
        <v>#N/A</v>
      </c>
      <c r="U4818" t="e">
        <f>VLOOKUP(Tabelle10[[#This Row],[Rank]],Stammdaten[[Rank Verteilung Krümmung]:[Verteilung Krümmung]],2,FALSE)</f>
        <v>#N/A</v>
      </c>
      <c r="Z4818">
        <v>4809</v>
      </c>
      <c r="AA4818" t="e">
        <f>INDEX(Stammdaten[Ovalität (']0,1'])],MATCH(Tabelle1014[[#This Row],[Rank]],Stammdaten[Rank Verteilung Ovalität],0))</f>
        <v>#N/A</v>
      </c>
      <c r="AB4818" t="e">
        <f>VLOOKUP(Tabelle1014[[#This Row],[Rank]],Stammdaten[[Rank Verteilung Ovalität]:[Verteilung Ovalität]],2,FALSE)</f>
        <v>#N/A</v>
      </c>
    </row>
    <row r="4819" spans="5:28" x14ac:dyDescent="0.35">
      <c r="E4819">
        <v>4810</v>
      </c>
      <c r="F4819" t="e">
        <f>INDEX(Stammdaten[D Mitte mit Rinde (mm)],MATCH(Tabelle8[[#This Row],[Rank]],Stammdaten[Rank Verteilung D Mitte mit Rinde],0))</f>
        <v>#N/A</v>
      </c>
      <c r="G4819" t="e">
        <f>VLOOKUP(Tabelle8[[#This Row],[Rank]],Stammdaten[[Rank Verteilung D Mitte mit Rinde]:[Verteilung D Mitte mit Rinde]],2,FALSE)</f>
        <v>#N/A</v>
      </c>
      <c r="L4819">
        <v>4810</v>
      </c>
      <c r="M4819" t="e">
        <f>INDEX(Stammdaten[Abholzigkeit (mm/lfm)],MATCH(Tabelle9[[#This Row],[Rank]],Stammdaten[Rank Verteilung Abholzigkeit],0))</f>
        <v>#N/A</v>
      </c>
      <c r="N4819" t="e">
        <f>VLOOKUP(Tabelle9[[#This Row],[Rank]],Stammdaten[[Rank Verteilung Abholzigkeit]:[Verteilung Abholzigkeit]],2,FALSE)</f>
        <v>#N/A</v>
      </c>
      <c r="S4819">
        <v>4810</v>
      </c>
      <c r="T4819" t="e">
        <f>INDEX(Stammdaten[Krümmung (mm/lfm)],MATCH(Tabelle10[[#This Row],[Rank]],Stammdaten[Rank Verteilung Krümmung],0))</f>
        <v>#N/A</v>
      </c>
      <c r="U4819" t="e">
        <f>VLOOKUP(Tabelle10[[#This Row],[Rank]],Stammdaten[[Rank Verteilung Krümmung]:[Verteilung Krümmung]],2,FALSE)</f>
        <v>#N/A</v>
      </c>
      <c r="Z4819">
        <v>4810</v>
      </c>
      <c r="AA4819" t="e">
        <f>INDEX(Stammdaten[Ovalität (']0,1'])],MATCH(Tabelle1014[[#This Row],[Rank]],Stammdaten[Rank Verteilung Ovalität],0))</f>
        <v>#N/A</v>
      </c>
      <c r="AB4819" t="e">
        <f>VLOOKUP(Tabelle1014[[#This Row],[Rank]],Stammdaten[[Rank Verteilung Ovalität]:[Verteilung Ovalität]],2,FALSE)</f>
        <v>#N/A</v>
      </c>
    </row>
    <row r="4820" spans="5:28" x14ac:dyDescent="0.35">
      <c r="E4820">
        <v>4811</v>
      </c>
      <c r="F4820" t="e">
        <f>INDEX(Stammdaten[D Mitte mit Rinde (mm)],MATCH(Tabelle8[[#This Row],[Rank]],Stammdaten[Rank Verteilung D Mitte mit Rinde],0))</f>
        <v>#N/A</v>
      </c>
      <c r="G4820" t="e">
        <f>VLOOKUP(Tabelle8[[#This Row],[Rank]],Stammdaten[[Rank Verteilung D Mitte mit Rinde]:[Verteilung D Mitte mit Rinde]],2,FALSE)</f>
        <v>#N/A</v>
      </c>
      <c r="L4820">
        <v>4811</v>
      </c>
      <c r="M4820" t="e">
        <f>INDEX(Stammdaten[Abholzigkeit (mm/lfm)],MATCH(Tabelle9[[#This Row],[Rank]],Stammdaten[Rank Verteilung Abholzigkeit],0))</f>
        <v>#N/A</v>
      </c>
      <c r="N4820" t="e">
        <f>VLOOKUP(Tabelle9[[#This Row],[Rank]],Stammdaten[[Rank Verteilung Abholzigkeit]:[Verteilung Abholzigkeit]],2,FALSE)</f>
        <v>#N/A</v>
      </c>
      <c r="S4820">
        <v>4811</v>
      </c>
      <c r="T4820" t="e">
        <f>INDEX(Stammdaten[Krümmung (mm/lfm)],MATCH(Tabelle10[[#This Row],[Rank]],Stammdaten[Rank Verteilung Krümmung],0))</f>
        <v>#N/A</v>
      </c>
      <c r="U4820" t="e">
        <f>VLOOKUP(Tabelle10[[#This Row],[Rank]],Stammdaten[[Rank Verteilung Krümmung]:[Verteilung Krümmung]],2,FALSE)</f>
        <v>#N/A</v>
      </c>
      <c r="Z4820">
        <v>4811</v>
      </c>
      <c r="AA4820" t="e">
        <f>INDEX(Stammdaten[Ovalität (']0,1'])],MATCH(Tabelle1014[[#This Row],[Rank]],Stammdaten[Rank Verteilung Ovalität],0))</f>
        <v>#N/A</v>
      </c>
      <c r="AB4820" t="e">
        <f>VLOOKUP(Tabelle1014[[#This Row],[Rank]],Stammdaten[[Rank Verteilung Ovalität]:[Verteilung Ovalität]],2,FALSE)</f>
        <v>#N/A</v>
      </c>
    </row>
    <row r="4821" spans="5:28" x14ac:dyDescent="0.35">
      <c r="E4821">
        <v>4812</v>
      </c>
      <c r="F4821" t="e">
        <f>INDEX(Stammdaten[D Mitte mit Rinde (mm)],MATCH(Tabelle8[[#This Row],[Rank]],Stammdaten[Rank Verteilung D Mitte mit Rinde],0))</f>
        <v>#N/A</v>
      </c>
      <c r="G4821" t="e">
        <f>VLOOKUP(Tabelle8[[#This Row],[Rank]],Stammdaten[[Rank Verteilung D Mitte mit Rinde]:[Verteilung D Mitte mit Rinde]],2,FALSE)</f>
        <v>#N/A</v>
      </c>
      <c r="L4821">
        <v>4812</v>
      </c>
      <c r="M4821" t="e">
        <f>INDEX(Stammdaten[Abholzigkeit (mm/lfm)],MATCH(Tabelle9[[#This Row],[Rank]],Stammdaten[Rank Verteilung Abholzigkeit],0))</f>
        <v>#N/A</v>
      </c>
      <c r="N4821" t="e">
        <f>VLOOKUP(Tabelle9[[#This Row],[Rank]],Stammdaten[[Rank Verteilung Abholzigkeit]:[Verteilung Abholzigkeit]],2,FALSE)</f>
        <v>#N/A</v>
      </c>
      <c r="S4821">
        <v>4812</v>
      </c>
      <c r="T4821" t="e">
        <f>INDEX(Stammdaten[Krümmung (mm/lfm)],MATCH(Tabelle10[[#This Row],[Rank]],Stammdaten[Rank Verteilung Krümmung],0))</f>
        <v>#N/A</v>
      </c>
      <c r="U4821" t="e">
        <f>VLOOKUP(Tabelle10[[#This Row],[Rank]],Stammdaten[[Rank Verteilung Krümmung]:[Verteilung Krümmung]],2,FALSE)</f>
        <v>#N/A</v>
      </c>
      <c r="Z4821">
        <v>4812</v>
      </c>
      <c r="AA4821" t="e">
        <f>INDEX(Stammdaten[Ovalität (']0,1'])],MATCH(Tabelle1014[[#This Row],[Rank]],Stammdaten[Rank Verteilung Ovalität],0))</f>
        <v>#N/A</v>
      </c>
      <c r="AB4821" t="e">
        <f>VLOOKUP(Tabelle1014[[#This Row],[Rank]],Stammdaten[[Rank Verteilung Ovalität]:[Verteilung Ovalität]],2,FALSE)</f>
        <v>#N/A</v>
      </c>
    </row>
    <row r="4822" spans="5:28" x14ac:dyDescent="0.35">
      <c r="E4822">
        <v>4813</v>
      </c>
      <c r="F4822" t="e">
        <f>INDEX(Stammdaten[D Mitte mit Rinde (mm)],MATCH(Tabelle8[[#This Row],[Rank]],Stammdaten[Rank Verteilung D Mitte mit Rinde],0))</f>
        <v>#N/A</v>
      </c>
      <c r="G4822" t="e">
        <f>VLOOKUP(Tabelle8[[#This Row],[Rank]],Stammdaten[[Rank Verteilung D Mitte mit Rinde]:[Verteilung D Mitte mit Rinde]],2,FALSE)</f>
        <v>#N/A</v>
      </c>
      <c r="L4822">
        <v>4813</v>
      </c>
      <c r="M4822" t="e">
        <f>INDEX(Stammdaten[Abholzigkeit (mm/lfm)],MATCH(Tabelle9[[#This Row],[Rank]],Stammdaten[Rank Verteilung Abholzigkeit],0))</f>
        <v>#N/A</v>
      </c>
      <c r="N4822" t="e">
        <f>VLOOKUP(Tabelle9[[#This Row],[Rank]],Stammdaten[[Rank Verteilung Abholzigkeit]:[Verteilung Abholzigkeit]],2,FALSE)</f>
        <v>#N/A</v>
      </c>
      <c r="S4822">
        <v>4813</v>
      </c>
      <c r="T4822" t="e">
        <f>INDEX(Stammdaten[Krümmung (mm/lfm)],MATCH(Tabelle10[[#This Row],[Rank]],Stammdaten[Rank Verteilung Krümmung],0))</f>
        <v>#N/A</v>
      </c>
      <c r="U4822" t="e">
        <f>VLOOKUP(Tabelle10[[#This Row],[Rank]],Stammdaten[[Rank Verteilung Krümmung]:[Verteilung Krümmung]],2,FALSE)</f>
        <v>#N/A</v>
      </c>
      <c r="Z4822">
        <v>4813</v>
      </c>
      <c r="AA4822" t="e">
        <f>INDEX(Stammdaten[Ovalität (']0,1'])],MATCH(Tabelle1014[[#This Row],[Rank]],Stammdaten[Rank Verteilung Ovalität],0))</f>
        <v>#N/A</v>
      </c>
      <c r="AB4822" t="e">
        <f>VLOOKUP(Tabelle1014[[#This Row],[Rank]],Stammdaten[[Rank Verteilung Ovalität]:[Verteilung Ovalität]],2,FALSE)</f>
        <v>#N/A</v>
      </c>
    </row>
    <row r="4823" spans="5:28" x14ac:dyDescent="0.35">
      <c r="E4823">
        <v>4814</v>
      </c>
      <c r="F4823" t="e">
        <f>INDEX(Stammdaten[D Mitte mit Rinde (mm)],MATCH(Tabelle8[[#This Row],[Rank]],Stammdaten[Rank Verteilung D Mitte mit Rinde],0))</f>
        <v>#N/A</v>
      </c>
      <c r="G4823" t="e">
        <f>VLOOKUP(Tabelle8[[#This Row],[Rank]],Stammdaten[[Rank Verteilung D Mitte mit Rinde]:[Verteilung D Mitte mit Rinde]],2,FALSE)</f>
        <v>#N/A</v>
      </c>
      <c r="L4823">
        <v>4814</v>
      </c>
      <c r="M4823" t="e">
        <f>INDEX(Stammdaten[Abholzigkeit (mm/lfm)],MATCH(Tabelle9[[#This Row],[Rank]],Stammdaten[Rank Verteilung Abholzigkeit],0))</f>
        <v>#N/A</v>
      </c>
      <c r="N4823" t="e">
        <f>VLOOKUP(Tabelle9[[#This Row],[Rank]],Stammdaten[[Rank Verteilung Abholzigkeit]:[Verteilung Abholzigkeit]],2,FALSE)</f>
        <v>#N/A</v>
      </c>
      <c r="S4823">
        <v>4814</v>
      </c>
      <c r="T4823" t="e">
        <f>INDEX(Stammdaten[Krümmung (mm/lfm)],MATCH(Tabelle10[[#This Row],[Rank]],Stammdaten[Rank Verteilung Krümmung],0))</f>
        <v>#N/A</v>
      </c>
      <c r="U4823" t="e">
        <f>VLOOKUP(Tabelle10[[#This Row],[Rank]],Stammdaten[[Rank Verteilung Krümmung]:[Verteilung Krümmung]],2,FALSE)</f>
        <v>#N/A</v>
      </c>
      <c r="Z4823">
        <v>4814</v>
      </c>
      <c r="AA4823" t="e">
        <f>INDEX(Stammdaten[Ovalität (']0,1'])],MATCH(Tabelle1014[[#This Row],[Rank]],Stammdaten[Rank Verteilung Ovalität],0))</f>
        <v>#N/A</v>
      </c>
      <c r="AB4823" t="e">
        <f>VLOOKUP(Tabelle1014[[#This Row],[Rank]],Stammdaten[[Rank Verteilung Ovalität]:[Verteilung Ovalität]],2,FALSE)</f>
        <v>#N/A</v>
      </c>
    </row>
    <row r="4824" spans="5:28" x14ac:dyDescent="0.35">
      <c r="E4824">
        <v>4815</v>
      </c>
      <c r="F4824" t="e">
        <f>INDEX(Stammdaten[D Mitte mit Rinde (mm)],MATCH(Tabelle8[[#This Row],[Rank]],Stammdaten[Rank Verteilung D Mitte mit Rinde],0))</f>
        <v>#N/A</v>
      </c>
      <c r="G4824" t="e">
        <f>VLOOKUP(Tabelle8[[#This Row],[Rank]],Stammdaten[[Rank Verteilung D Mitte mit Rinde]:[Verteilung D Mitte mit Rinde]],2,FALSE)</f>
        <v>#N/A</v>
      </c>
      <c r="L4824">
        <v>4815</v>
      </c>
      <c r="M4824" t="e">
        <f>INDEX(Stammdaten[Abholzigkeit (mm/lfm)],MATCH(Tabelle9[[#This Row],[Rank]],Stammdaten[Rank Verteilung Abholzigkeit],0))</f>
        <v>#N/A</v>
      </c>
      <c r="N4824" t="e">
        <f>VLOOKUP(Tabelle9[[#This Row],[Rank]],Stammdaten[[Rank Verteilung Abholzigkeit]:[Verteilung Abholzigkeit]],2,FALSE)</f>
        <v>#N/A</v>
      </c>
      <c r="S4824">
        <v>4815</v>
      </c>
      <c r="T4824" t="e">
        <f>INDEX(Stammdaten[Krümmung (mm/lfm)],MATCH(Tabelle10[[#This Row],[Rank]],Stammdaten[Rank Verteilung Krümmung],0))</f>
        <v>#N/A</v>
      </c>
      <c r="U4824" t="e">
        <f>VLOOKUP(Tabelle10[[#This Row],[Rank]],Stammdaten[[Rank Verteilung Krümmung]:[Verteilung Krümmung]],2,FALSE)</f>
        <v>#N/A</v>
      </c>
      <c r="Z4824">
        <v>4815</v>
      </c>
      <c r="AA4824" t="e">
        <f>INDEX(Stammdaten[Ovalität (']0,1'])],MATCH(Tabelle1014[[#This Row],[Rank]],Stammdaten[Rank Verteilung Ovalität],0))</f>
        <v>#N/A</v>
      </c>
      <c r="AB4824" t="e">
        <f>VLOOKUP(Tabelle1014[[#This Row],[Rank]],Stammdaten[[Rank Verteilung Ovalität]:[Verteilung Ovalität]],2,FALSE)</f>
        <v>#N/A</v>
      </c>
    </row>
    <row r="4825" spans="5:28" x14ac:dyDescent="0.35">
      <c r="E4825">
        <v>4816</v>
      </c>
      <c r="F4825" t="e">
        <f>INDEX(Stammdaten[D Mitte mit Rinde (mm)],MATCH(Tabelle8[[#This Row],[Rank]],Stammdaten[Rank Verteilung D Mitte mit Rinde],0))</f>
        <v>#N/A</v>
      </c>
      <c r="G4825" t="e">
        <f>VLOOKUP(Tabelle8[[#This Row],[Rank]],Stammdaten[[Rank Verteilung D Mitte mit Rinde]:[Verteilung D Mitte mit Rinde]],2,FALSE)</f>
        <v>#N/A</v>
      </c>
      <c r="L4825">
        <v>4816</v>
      </c>
      <c r="M4825" t="e">
        <f>INDEX(Stammdaten[Abholzigkeit (mm/lfm)],MATCH(Tabelle9[[#This Row],[Rank]],Stammdaten[Rank Verteilung Abholzigkeit],0))</f>
        <v>#N/A</v>
      </c>
      <c r="N4825" t="e">
        <f>VLOOKUP(Tabelle9[[#This Row],[Rank]],Stammdaten[[Rank Verteilung Abholzigkeit]:[Verteilung Abholzigkeit]],2,FALSE)</f>
        <v>#N/A</v>
      </c>
      <c r="S4825">
        <v>4816</v>
      </c>
      <c r="T4825" t="e">
        <f>INDEX(Stammdaten[Krümmung (mm/lfm)],MATCH(Tabelle10[[#This Row],[Rank]],Stammdaten[Rank Verteilung Krümmung],0))</f>
        <v>#N/A</v>
      </c>
      <c r="U4825" t="e">
        <f>VLOOKUP(Tabelle10[[#This Row],[Rank]],Stammdaten[[Rank Verteilung Krümmung]:[Verteilung Krümmung]],2,FALSE)</f>
        <v>#N/A</v>
      </c>
      <c r="Z4825">
        <v>4816</v>
      </c>
      <c r="AA4825" t="e">
        <f>INDEX(Stammdaten[Ovalität (']0,1'])],MATCH(Tabelle1014[[#This Row],[Rank]],Stammdaten[Rank Verteilung Ovalität],0))</f>
        <v>#N/A</v>
      </c>
      <c r="AB4825" t="e">
        <f>VLOOKUP(Tabelle1014[[#This Row],[Rank]],Stammdaten[[Rank Verteilung Ovalität]:[Verteilung Ovalität]],2,FALSE)</f>
        <v>#N/A</v>
      </c>
    </row>
    <row r="4826" spans="5:28" x14ac:dyDescent="0.35">
      <c r="E4826">
        <v>4817</v>
      </c>
      <c r="F4826" t="e">
        <f>INDEX(Stammdaten[D Mitte mit Rinde (mm)],MATCH(Tabelle8[[#This Row],[Rank]],Stammdaten[Rank Verteilung D Mitte mit Rinde],0))</f>
        <v>#N/A</v>
      </c>
      <c r="G4826" t="e">
        <f>VLOOKUP(Tabelle8[[#This Row],[Rank]],Stammdaten[[Rank Verteilung D Mitte mit Rinde]:[Verteilung D Mitte mit Rinde]],2,FALSE)</f>
        <v>#N/A</v>
      </c>
      <c r="L4826">
        <v>4817</v>
      </c>
      <c r="M4826" t="e">
        <f>INDEX(Stammdaten[Abholzigkeit (mm/lfm)],MATCH(Tabelle9[[#This Row],[Rank]],Stammdaten[Rank Verteilung Abholzigkeit],0))</f>
        <v>#N/A</v>
      </c>
      <c r="N4826" t="e">
        <f>VLOOKUP(Tabelle9[[#This Row],[Rank]],Stammdaten[[Rank Verteilung Abholzigkeit]:[Verteilung Abholzigkeit]],2,FALSE)</f>
        <v>#N/A</v>
      </c>
      <c r="S4826">
        <v>4817</v>
      </c>
      <c r="T4826" t="e">
        <f>INDEX(Stammdaten[Krümmung (mm/lfm)],MATCH(Tabelle10[[#This Row],[Rank]],Stammdaten[Rank Verteilung Krümmung],0))</f>
        <v>#N/A</v>
      </c>
      <c r="U4826" t="e">
        <f>VLOOKUP(Tabelle10[[#This Row],[Rank]],Stammdaten[[Rank Verteilung Krümmung]:[Verteilung Krümmung]],2,FALSE)</f>
        <v>#N/A</v>
      </c>
      <c r="Z4826">
        <v>4817</v>
      </c>
      <c r="AA4826" t="e">
        <f>INDEX(Stammdaten[Ovalität (']0,1'])],MATCH(Tabelle1014[[#This Row],[Rank]],Stammdaten[Rank Verteilung Ovalität],0))</f>
        <v>#N/A</v>
      </c>
      <c r="AB4826" t="e">
        <f>VLOOKUP(Tabelle1014[[#This Row],[Rank]],Stammdaten[[Rank Verteilung Ovalität]:[Verteilung Ovalität]],2,FALSE)</f>
        <v>#N/A</v>
      </c>
    </row>
    <row r="4827" spans="5:28" x14ac:dyDescent="0.35">
      <c r="E4827">
        <v>4818</v>
      </c>
      <c r="F4827" t="e">
        <f>INDEX(Stammdaten[D Mitte mit Rinde (mm)],MATCH(Tabelle8[[#This Row],[Rank]],Stammdaten[Rank Verteilung D Mitte mit Rinde],0))</f>
        <v>#N/A</v>
      </c>
      <c r="G4827" t="e">
        <f>VLOOKUP(Tabelle8[[#This Row],[Rank]],Stammdaten[[Rank Verteilung D Mitte mit Rinde]:[Verteilung D Mitte mit Rinde]],2,FALSE)</f>
        <v>#N/A</v>
      </c>
      <c r="L4827">
        <v>4818</v>
      </c>
      <c r="M4827" t="e">
        <f>INDEX(Stammdaten[Abholzigkeit (mm/lfm)],MATCH(Tabelle9[[#This Row],[Rank]],Stammdaten[Rank Verteilung Abholzigkeit],0))</f>
        <v>#N/A</v>
      </c>
      <c r="N4827" t="e">
        <f>VLOOKUP(Tabelle9[[#This Row],[Rank]],Stammdaten[[Rank Verteilung Abholzigkeit]:[Verteilung Abholzigkeit]],2,FALSE)</f>
        <v>#N/A</v>
      </c>
      <c r="S4827">
        <v>4818</v>
      </c>
      <c r="T4827" t="e">
        <f>INDEX(Stammdaten[Krümmung (mm/lfm)],MATCH(Tabelle10[[#This Row],[Rank]],Stammdaten[Rank Verteilung Krümmung],0))</f>
        <v>#N/A</v>
      </c>
      <c r="U4827" t="e">
        <f>VLOOKUP(Tabelle10[[#This Row],[Rank]],Stammdaten[[Rank Verteilung Krümmung]:[Verteilung Krümmung]],2,FALSE)</f>
        <v>#N/A</v>
      </c>
      <c r="Z4827">
        <v>4818</v>
      </c>
      <c r="AA4827" t="e">
        <f>INDEX(Stammdaten[Ovalität (']0,1'])],MATCH(Tabelle1014[[#This Row],[Rank]],Stammdaten[Rank Verteilung Ovalität],0))</f>
        <v>#N/A</v>
      </c>
      <c r="AB4827" t="e">
        <f>VLOOKUP(Tabelle1014[[#This Row],[Rank]],Stammdaten[[Rank Verteilung Ovalität]:[Verteilung Ovalität]],2,FALSE)</f>
        <v>#N/A</v>
      </c>
    </row>
    <row r="4828" spans="5:28" x14ac:dyDescent="0.35">
      <c r="E4828">
        <v>4819</v>
      </c>
      <c r="F4828" t="e">
        <f>INDEX(Stammdaten[D Mitte mit Rinde (mm)],MATCH(Tabelle8[[#This Row],[Rank]],Stammdaten[Rank Verteilung D Mitte mit Rinde],0))</f>
        <v>#N/A</v>
      </c>
      <c r="G4828" t="e">
        <f>VLOOKUP(Tabelle8[[#This Row],[Rank]],Stammdaten[[Rank Verteilung D Mitte mit Rinde]:[Verteilung D Mitte mit Rinde]],2,FALSE)</f>
        <v>#N/A</v>
      </c>
      <c r="L4828">
        <v>4819</v>
      </c>
      <c r="M4828" t="e">
        <f>INDEX(Stammdaten[Abholzigkeit (mm/lfm)],MATCH(Tabelle9[[#This Row],[Rank]],Stammdaten[Rank Verteilung Abholzigkeit],0))</f>
        <v>#N/A</v>
      </c>
      <c r="N4828" t="e">
        <f>VLOOKUP(Tabelle9[[#This Row],[Rank]],Stammdaten[[Rank Verteilung Abholzigkeit]:[Verteilung Abholzigkeit]],2,FALSE)</f>
        <v>#N/A</v>
      </c>
      <c r="S4828">
        <v>4819</v>
      </c>
      <c r="T4828" t="e">
        <f>INDEX(Stammdaten[Krümmung (mm/lfm)],MATCH(Tabelle10[[#This Row],[Rank]],Stammdaten[Rank Verteilung Krümmung],0))</f>
        <v>#N/A</v>
      </c>
      <c r="U4828" t="e">
        <f>VLOOKUP(Tabelle10[[#This Row],[Rank]],Stammdaten[[Rank Verteilung Krümmung]:[Verteilung Krümmung]],2,FALSE)</f>
        <v>#N/A</v>
      </c>
      <c r="Z4828">
        <v>4819</v>
      </c>
      <c r="AA4828" t="e">
        <f>INDEX(Stammdaten[Ovalität (']0,1'])],MATCH(Tabelle1014[[#This Row],[Rank]],Stammdaten[Rank Verteilung Ovalität],0))</f>
        <v>#N/A</v>
      </c>
      <c r="AB4828" t="e">
        <f>VLOOKUP(Tabelle1014[[#This Row],[Rank]],Stammdaten[[Rank Verteilung Ovalität]:[Verteilung Ovalität]],2,FALSE)</f>
        <v>#N/A</v>
      </c>
    </row>
    <row r="4829" spans="5:28" x14ac:dyDescent="0.35">
      <c r="E4829">
        <v>4820</v>
      </c>
      <c r="F4829" t="e">
        <f>INDEX(Stammdaten[D Mitte mit Rinde (mm)],MATCH(Tabelle8[[#This Row],[Rank]],Stammdaten[Rank Verteilung D Mitte mit Rinde],0))</f>
        <v>#N/A</v>
      </c>
      <c r="G4829" t="e">
        <f>VLOOKUP(Tabelle8[[#This Row],[Rank]],Stammdaten[[Rank Verteilung D Mitte mit Rinde]:[Verteilung D Mitte mit Rinde]],2,FALSE)</f>
        <v>#N/A</v>
      </c>
      <c r="L4829">
        <v>4820</v>
      </c>
      <c r="M4829" t="e">
        <f>INDEX(Stammdaten[Abholzigkeit (mm/lfm)],MATCH(Tabelle9[[#This Row],[Rank]],Stammdaten[Rank Verteilung Abholzigkeit],0))</f>
        <v>#N/A</v>
      </c>
      <c r="N4829" t="e">
        <f>VLOOKUP(Tabelle9[[#This Row],[Rank]],Stammdaten[[Rank Verteilung Abholzigkeit]:[Verteilung Abholzigkeit]],2,FALSE)</f>
        <v>#N/A</v>
      </c>
      <c r="S4829">
        <v>4820</v>
      </c>
      <c r="T4829" t="e">
        <f>INDEX(Stammdaten[Krümmung (mm/lfm)],MATCH(Tabelle10[[#This Row],[Rank]],Stammdaten[Rank Verteilung Krümmung],0))</f>
        <v>#N/A</v>
      </c>
      <c r="U4829" t="e">
        <f>VLOOKUP(Tabelle10[[#This Row],[Rank]],Stammdaten[[Rank Verteilung Krümmung]:[Verteilung Krümmung]],2,FALSE)</f>
        <v>#N/A</v>
      </c>
      <c r="Z4829">
        <v>4820</v>
      </c>
      <c r="AA4829" t="e">
        <f>INDEX(Stammdaten[Ovalität (']0,1'])],MATCH(Tabelle1014[[#This Row],[Rank]],Stammdaten[Rank Verteilung Ovalität],0))</f>
        <v>#N/A</v>
      </c>
      <c r="AB4829" t="e">
        <f>VLOOKUP(Tabelle1014[[#This Row],[Rank]],Stammdaten[[Rank Verteilung Ovalität]:[Verteilung Ovalität]],2,FALSE)</f>
        <v>#N/A</v>
      </c>
    </row>
    <row r="4830" spans="5:28" x14ac:dyDescent="0.35">
      <c r="E4830">
        <v>4821</v>
      </c>
      <c r="F4830" t="e">
        <f>INDEX(Stammdaten[D Mitte mit Rinde (mm)],MATCH(Tabelle8[[#This Row],[Rank]],Stammdaten[Rank Verteilung D Mitte mit Rinde],0))</f>
        <v>#N/A</v>
      </c>
      <c r="G4830" t="e">
        <f>VLOOKUP(Tabelle8[[#This Row],[Rank]],Stammdaten[[Rank Verteilung D Mitte mit Rinde]:[Verteilung D Mitte mit Rinde]],2,FALSE)</f>
        <v>#N/A</v>
      </c>
      <c r="L4830">
        <v>4821</v>
      </c>
      <c r="M4830" t="e">
        <f>INDEX(Stammdaten[Abholzigkeit (mm/lfm)],MATCH(Tabelle9[[#This Row],[Rank]],Stammdaten[Rank Verteilung Abholzigkeit],0))</f>
        <v>#N/A</v>
      </c>
      <c r="N4830" t="e">
        <f>VLOOKUP(Tabelle9[[#This Row],[Rank]],Stammdaten[[Rank Verteilung Abholzigkeit]:[Verteilung Abholzigkeit]],2,FALSE)</f>
        <v>#N/A</v>
      </c>
      <c r="S4830">
        <v>4821</v>
      </c>
      <c r="T4830" t="e">
        <f>INDEX(Stammdaten[Krümmung (mm/lfm)],MATCH(Tabelle10[[#This Row],[Rank]],Stammdaten[Rank Verteilung Krümmung],0))</f>
        <v>#N/A</v>
      </c>
      <c r="U4830" t="e">
        <f>VLOOKUP(Tabelle10[[#This Row],[Rank]],Stammdaten[[Rank Verteilung Krümmung]:[Verteilung Krümmung]],2,FALSE)</f>
        <v>#N/A</v>
      </c>
      <c r="Z4830">
        <v>4821</v>
      </c>
      <c r="AA4830" t="e">
        <f>INDEX(Stammdaten[Ovalität (']0,1'])],MATCH(Tabelle1014[[#This Row],[Rank]],Stammdaten[Rank Verteilung Ovalität],0))</f>
        <v>#N/A</v>
      </c>
      <c r="AB4830" t="e">
        <f>VLOOKUP(Tabelle1014[[#This Row],[Rank]],Stammdaten[[Rank Verteilung Ovalität]:[Verteilung Ovalität]],2,FALSE)</f>
        <v>#N/A</v>
      </c>
    </row>
    <row r="4831" spans="5:28" x14ac:dyDescent="0.35">
      <c r="E4831">
        <v>4822</v>
      </c>
      <c r="F4831" t="e">
        <f>INDEX(Stammdaten[D Mitte mit Rinde (mm)],MATCH(Tabelle8[[#This Row],[Rank]],Stammdaten[Rank Verteilung D Mitte mit Rinde],0))</f>
        <v>#N/A</v>
      </c>
      <c r="G4831" t="e">
        <f>VLOOKUP(Tabelle8[[#This Row],[Rank]],Stammdaten[[Rank Verteilung D Mitte mit Rinde]:[Verteilung D Mitte mit Rinde]],2,FALSE)</f>
        <v>#N/A</v>
      </c>
      <c r="L4831">
        <v>4822</v>
      </c>
      <c r="M4831" t="e">
        <f>INDEX(Stammdaten[Abholzigkeit (mm/lfm)],MATCH(Tabelle9[[#This Row],[Rank]],Stammdaten[Rank Verteilung Abholzigkeit],0))</f>
        <v>#N/A</v>
      </c>
      <c r="N4831" t="e">
        <f>VLOOKUP(Tabelle9[[#This Row],[Rank]],Stammdaten[[Rank Verteilung Abholzigkeit]:[Verteilung Abholzigkeit]],2,FALSE)</f>
        <v>#N/A</v>
      </c>
      <c r="S4831">
        <v>4822</v>
      </c>
      <c r="T4831" t="e">
        <f>INDEX(Stammdaten[Krümmung (mm/lfm)],MATCH(Tabelle10[[#This Row],[Rank]],Stammdaten[Rank Verteilung Krümmung],0))</f>
        <v>#N/A</v>
      </c>
      <c r="U4831" t="e">
        <f>VLOOKUP(Tabelle10[[#This Row],[Rank]],Stammdaten[[Rank Verteilung Krümmung]:[Verteilung Krümmung]],2,FALSE)</f>
        <v>#N/A</v>
      </c>
      <c r="Z4831">
        <v>4822</v>
      </c>
      <c r="AA4831" t="e">
        <f>INDEX(Stammdaten[Ovalität (']0,1'])],MATCH(Tabelle1014[[#This Row],[Rank]],Stammdaten[Rank Verteilung Ovalität],0))</f>
        <v>#N/A</v>
      </c>
      <c r="AB4831" t="e">
        <f>VLOOKUP(Tabelle1014[[#This Row],[Rank]],Stammdaten[[Rank Verteilung Ovalität]:[Verteilung Ovalität]],2,FALSE)</f>
        <v>#N/A</v>
      </c>
    </row>
    <row r="4832" spans="5:28" x14ac:dyDescent="0.35">
      <c r="E4832">
        <v>4823</v>
      </c>
      <c r="F4832" t="e">
        <f>INDEX(Stammdaten[D Mitte mit Rinde (mm)],MATCH(Tabelle8[[#This Row],[Rank]],Stammdaten[Rank Verteilung D Mitte mit Rinde],0))</f>
        <v>#N/A</v>
      </c>
      <c r="G4832" t="e">
        <f>VLOOKUP(Tabelle8[[#This Row],[Rank]],Stammdaten[[Rank Verteilung D Mitte mit Rinde]:[Verteilung D Mitte mit Rinde]],2,FALSE)</f>
        <v>#N/A</v>
      </c>
      <c r="L4832">
        <v>4823</v>
      </c>
      <c r="M4832" t="e">
        <f>INDEX(Stammdaten[Abholzigkeit (mm/lfm)],MATCH(Tabelle9[[#This Row],[Rank]],Stammdaten[Rank Verteilung Abholzigkeit],0))</f>
        <v>#N/A</v>
      </c>
      <c r="N4832" t="e">
        <f>VLOOKUP(Tabelle9[[#This Row],[Rank]],Stammdaten[[Rank Verteilung Abholzigkeit]:[Verteilung Abholzigkeit]],2,FALSE)</f>
        <v>#N/A</v>
      </c>
      <c r="S4832">
        <v>4823</v>
      </c>
      <c r="T4832" t="e">
        <f>INDEX(Stammdaten[Krümmung (mm/lfm)],MATCH(Tabelle10[[#This Row],[Rank]],Stammdaten[Rank Verteilung Krümmung],0))</f>
        <v>#N/A</v>
      </c>
      <c r="U4832" t="e">
        <f>VLOOKUP(Tabelle10[[#This Row],[Rank]],Stammdaten[[Rank Verteilung Krümmung]:[Verteilung Krümmung]],2,FALSE)</f>
        <v>#N/A</v>
      </c>
      <c r="Z4832">
        <v>4823</v>
      </c>
      <c r="AA4832" t="e">
        <f>INDEX(Stammdaten[Ovalität (']0,1'])],MATCH(Tabelle1014[[#This Row],[Rank]],Stammdaten[Rank Verteilung Ovalität],0))</f>
        <v>#N/A</v>
      </c>
      <c r="AB4832" t="e">
        <f>VLOOKUP(Tabelle1014[[#This Row],[Rank]],Stammdaten[[Rank Verteilung Ovalität]:[Verteilung Ovalität]],2,FALSE)</f>
        <v>#N/A</v>
      </c>
    </row>
    <row r="4833" spans="5:28" x14ac:dyDescent="0.35">
      <c r="E4833">
        <v>4824</v>
      </c>
      <c r="F4833" t="e">
        <f>INDEX(Stammdaten[D Mitte mit Rinde (mm)],MATCH(Tabelle8[[#This Row],[Rank]],Stammdaten[Rank Verteilung D Mitte mit Rinde],0))</f>
        <v>#N/A</v>
      </c>
      <c r="G4833" t="e">
        <f>VLOOKUP(Tabelle8[[#This Row],[Rank]],Stammdaten[[Rank Verteilung D Mitte mit Rinde]:[Verteilung D Mitte mit Rinde]],2,FALSE)</f>
        <v>#N/A</v>
      </c>
      <c r="L4833">
        <v>4824</v>
      </c>
      <c r="M4833" t="e">
        <f>INDEX(Stammdaten[Abholzigkeit (mm/lfm)],MATCH(Tabelle9[[#This Row],[Rank]],Stammdaten[Rank Verteilung Abholzigkeit],0))</f>
        <v>#N/A</v>
      </c>
      <c r="N4833" t="e">
        <f>VLOOKUP(Tabelle9[[#This Row],[Rank]],Stammdaten[[Rank Verteilung Abholzigkeit]:[Verteilung Abholzigkeit]],2,FALSE)</f>
        <v>#N/A</v>
      </c>
      <c r="S4833">
        <v>4824</v>
      </c>
      <c r="T4833" t="e">
        <f>INDEX(Stammdaten[Krümmung (mm/lfm)],MATCH(Tabelle10[[#This Row],[Rank]],Stammdaten[Rank Verteilung Krümmung],0))</f>
        <v>#N/A</v>
      </c>
      <c r="U4833" t="e">
        <f>VLOOKUP(Tabelle10[[#This Row],[Rank]],Stammdaten[[Rank Verteilung Krümmung]:[Verteilung Krümmung]],2,FALSE)</f>
        <v>#N/A</v>
      </c>
      <c r="Z4833">
        <v>4824</v>
      </c>
      <c r="AA4833" t="e">
        <f>INDEX(Stammdaten[Ovalität (']0,1'])],MATCH(Tabelle1014[[#This Row],[Rank]],Stammdaten[Rank Verteilung Ovalität],0))</f>
        <v>#N/A</v>
      </c>
      <c r="AB4833" t="e">
        <f>VLOOKUP(Tabelle1014[[#This Row],[Rank]],Stammdaten[[Rank Verteilung Ovalität]:[Verteilung Ovalität]],2,FALSE)</f>
        <v>#N/A</v>
      </c>
    </row>
    <row r="4834" spans="5:28" x14ac:dyDescent="0.35">
      <c r="E4834">
        <v>4825</v>
      </c>
      <c r="F4834" t="e">
        <f>INDEX(Stammdaten[D Mitte mit Rinde (mm)],MATCH(Tabelle8[[#This Row],[Rank]],Stammdaten[Rank Verteilung D Mitte mit Rinde],0))</f>
        <v>#N/A</v>
      </c>
      <c r="G4834" t="e">
        <f>VLOOKUP(Tabelle8[[#This Row],[Rank]],Stammdaten[[Rank Verteilung D Mitte mit Rinde]:[Verteilung D Mitte mit Rinde]],2,FALSE)</f>
        <v>#N/A</v>
      </c>
      <c r="L4834">
        <v>4825</v>
      </c>
      <c r="M4834" t="e">
        <f>INDEX(Stammdaten[Abholzigkeit (mm/lfm)],MATCH(Tabelle9[[#This Row],[Rank]],Stammdaten[Rank Verteilung Abholzigkeit],0))</f>
        <v>#N/A</v>
      </c>
      <c r="N4834" t="e">
        <f>VLOOKUP(Tabelle9[[#This Row],[Rank]],Stammdaten[[Rank Verteilung Abholzigkeit]:[Verteilung Abholzigkeit]],2,FALSE)</f>
        <v>#N/A</v>
      </c>
      <c r="S4834">
        <v>4825</v>
      </c>
      <c r="T4834" t="e">
        <f>INDEX(Stammdaten[Krümmung (mm/lfm)],MATCH(Tabelle10[[#This Row],[Rank]],Stammdaten[Rank Verteilung Krümmung],0))</f>
        <v>#N/A</v>
      </c>
      <c r="U4834" t="e">
        <f>VLOOKUP(Tabelle10[[#This Row],[Rank]],Stammdaten[[Rank Verteilung Krümmung]:[Verteilung Krümmung]],2,FALSE)</f>
        <v>#N/A</v>
      </c>
      <c r="Z4834">
        <v>4825</v>
      </c>
      <c r="AA4834" t="e">
        <f>INDEX(Stammdaten[Ovalität (']0,1'])],MATCH(Tabelle1014[[#This Row],[Rank]],Stammdaten[Rank Verteilung Ovalität],0))</f>
        <v>#N/A</v>
      </c>
      <c r="AB4834" t="e">
        <f>VLOOKUP(Tabelle1014[[#This Row],[Rank]],Stammdaten[[Rank Verteilung Ovalität]:[Verteilung Ovalität]],2,FALSE)</f>
        <v>#N/A</v>
      </c>
    </row>
    <row r="4835" spans="5:28" x14ac:dyDescent="0.35">
      <c r="E4835">
        <v>4826</v>
      </c>
      <c r="F4835" t="e">
        <f>INDEX(Stammdaten[D Mitte mit Rinde (mm)],MATCH(Tabelle8[[#This Row],[Rank]],Stammdaten[Rank Verteilung D Mitte mit Rinde],0))</f>
        <v>#N/A</v>
      </c>
      <c r="G4835" t="e">
        <f>VLOOKUP(Tabelle8[[#This Row],[Rank]],Stammdaten[[Rank Verteilung D Mitte mit Rinde]:[Verteilung D Mitte mit Rinde]],2,FALSE)</f>
        <v>#N/A</v>
      </c>
      <c r="L4835">
        <v>4826</v>
      </c>
      <c r="M4835" t="e">
        <f>INDEX(Stammdaten[Abholzigkeit (mm/lfm)],MATCH(Tabelle9[[#This Row],[Rank]],Stammdaten[Rank Verteilung Abholzigkeit],0))</f>
        <v>#N/A</v>
      </c>
      <c r="N4835" t="e">
        <f>VLOOKUP(Tabelle9[[#This Row],[Rank]],Stammdaten[[Rank Verteilung Abholzigkeit]:[Verteilung Abholzigkeit]],2,FALSE)</f>
        <v>#N/A</v>
      </c>
      <c r="S4835">
        <v>4826</v>
      </c>
      <c r="T4835" t="e">
        <f>INDEX(Stammdaten[Krümmung (mm/lfm)],MATCH(Tabelle10[[#This Row],[Rank]],Stammdaten[Rank Verteilung Krümmung],0))</f>
        <v>#N/A</v>
      </c>
      <c r="U4835" t="e">
        <f>VLOOKUP(Tabelle10[[#This Row],[Rank]],Stammdaten[[Rank Verteilung Krümmung]:[Verteilung Krümmung]],2,FALSE)</f>
        <v>#N/A</v>
      </c>
      <c r="Z4835">
        <v>4826</v>
      </c>
      <c r="AA4835" t="e">
        <f>INDEX(Stammdaten[Ovalität (']0,1'])],MATCH(Tabelle1014[[#This Row],[Rank]],Stammdaten[Rank Verteilung Ovalität],0))</f>
        <v>#N/A</v>
      </c>
      <c r="AB4835" t="e">
        <f>VLOOKUP(Tabelle1014[[#This Row],[Rank]],Stammdaten[[Rank Verteilung Ovalität]:[Verteilung Ovalität]],2,FALSE)</f>
        <v>#N/A</v>
      </c>
    </row>
    <row r="4836" spans="5:28" x14ac:dyDescent="0.35">
      <c r="E4836">
        <v>4827</v>
      </c>
      <c r="F4836" t="e">
        <f>INDEX(Stammdaten[D Mitte mit Rinde (mm)],MATCH(Tabelle8[[#This Row],[Rank]],Stammdaten[Rank Verteilung D Mitte mit Rinde],0))</f>
        <v>#N/A</v>
      </c>
      <c r="G4836" t="e">
        <f>VLOOKUP(Tabelle8[[#This Row],[Rank]],Stammdaten[[Rank Verteilung D Mitte mit Rinde]:[Verteilung D Mitte mit Rinde]],2,FALSE)</f>
        <v>#N/A</v>
      </c>
      <c r="L4836">
        <v>4827</v>
      </c>
      <c r="M4836" t="e">
        <f>INDEX(Stammdaten[Abholzigkeit (mm/lfm)],MATCH(Tabelle9[[#This Row],[Rank]],Stammdaten[Rank Verteilung Abholzigkeit],0))</f>
        <v>#N/A</v>
      </c>
      <c r="N4836" t="e">
        <f>VLOOKUP(Tabelle9[[#This Row],[Rank]],Stammdaten[[Rank Verteilung Abholzigkeit]:[Verteilung Abholzigkeit]],2,FALSE)</f>
        <v>#N/A</v>
      </c>
      <c r="S4836">
        <v>4827</v>
      </c>
      <c r="T4836" t="e">
        <f>INDEX(Stammdaten[Krümmung (mm/lfm)],MATCH(Tabelle10[[#This Row],[Rank]],Stammdaten[Rank Verteilung Krümmung],0))</f>
        <v>#N/A</v>
      </c>
      <c r="U4836" t="e">
        <f>VLOOKUP(Tabelle10[[#This Row],[Rank]],Stammdaten[[Rank Verteilung Krümmung]:[Verteilung Krümmung]],2,FALSE)</f>
        <v>#N/A</v>
      </c>
      <c r="Z4836">
        <v>4827</v>
      </c>
      <c r="AA4836" t="e">
        <f>INDEX(Stammdaten[Ovalität (']0,1'])],MATCH(Tabelle1014[[#This Row],[Rank]],Stammdaten[Rank Verteilung Ovalität],0))</f>
        <v>#N/A</v>
      </c>
      <c r="AB4836" t="e">
        <f>VLOOKUP(Tabelle1014[[#This Row],[Rank]],Stammdaten[[Rank Verteilung Ovalität]:[Verteilung Ovalität]],2,FALSE)</f>
        <v>#N/A</v>
      </c>
    </row>
    <row r="4837" spans="5:28" x14ac:dyDescent="0.35">
      <c r="E4837">
        <v>4828</v>
      </c>
      <c r="F4837" t="e">
        <f>INDEX(Stammdaten[D Mitte mit Rinde (mm)],MATCH(Tabelle8[[#This Row],[Rank]],Stammdaten[Rank Verteilung D Mitte mit Rinde],0))</f>
        <v>#N/A</v>
      </c>
      <c r="G4837" t="e">
        <f>VLOOKUP(Tabelle8[[#This Row],[Rank]],Stammdaten[[Rank Verteilung D Mitte mit Rinde]:[Verteilung D Mitte mit Rinde]],2,FALSE)</f>
        <v>#N/A</v>
      </c>
      <c r="L4837">
        <v>4828</v>
      </c>
      <c r="M4837" t="e">
        <f>INDEX(Stammdaten[Abholzigkeit (mm/lfm)],MATCH(Tabelle9[[#This Row],[Rank]],Stammdaten[Rank Verteilung Abholzigkeit],0))</f>
        <v>#N/A</v>
      </c>
      <c r="N4837" t="e">
        <f>VLOOKUP(Tabelle9[[#This Row],[Rank]],Stammdaten[[Rank Verteilung Abholzigkeit]:[Verteilung Abholzigkeit]],2,FALSE)</f>
        <v>#N/A</v>
      </c>
      <c r="S4837">
        <v>4828</v>
      </c>
      <c r="T4837" t="e">
        <f>INDEX(Stammdaten[Krümmung (mm/lfm)],MATCH(Tabelle10[[#This Row],[Rank]],Stammdaten[Rank Verteilung Krümmung],0))</f>
        <v>#N/A</v>
      </c>
      <c r="U4837" t="e">
        <f>VLOOKUP(Tabelle10[[#This Row],[Rank]],Stammdaten[[Rank Verteilung Krümmung]:[Verteilung Krümmung]],2,FALSE)</f>
        <v>#N/A</v>
      </c>
      <c r="Z4837">
        <v>4828</v>
      </c>
      <c r="AA4837" t="e">
        <f>INDEX(Stammdaten[Ovalität (']0,1'])],MATCH(Tabelle1014[[#This Row],[Rank]],Stammdaten[Rank Verteilung Ovalität],0))</f>
        <v>#N/A</v>
      </c>
      <c r="AB4837" t="e">
        <f>VLOOKUP(Tabelle1014[[#This Row],[Rank]],Stammdaten[[Rank Verteilung Ovalität]:[Verteilung Ovalität]],2,FALSE)</f>
        <v>#N/A</v>
      </c>
    </row>
    <row r="4838" spans="5:28" x14ac:dyDescent="0.35">
      <c r="E4838">
        <v>4829</v>
      </c>
      <c r="F4838" t="e">
        <f>INDEX(Stammdaten[D Mitte mit Rinde (mm)],MATCH(Tabelle8[[#This Row],[Rank]],Stammdaten[Rank Verteilung D Mitte mit Rinde],0))</f>
        <v>#N/A</v>
      </c>
      <c r="G4838" t="e">
        <f>VLOOKUP(Tabelle8[[#This Row],[Rank]],Stammdaten[[Rank Verteilung D Mitte mit Rinde]:[Verteilung D Mitte mit Rinde]],2,FALSE)</f>
        <v>#N/A</v>
      </c>
      <c r="L4838">
        <v>4829</v>
      </c>
      <c r="M4838" t="e">
        <f>INDEX(Stammdaten[Abholzigkeit (mm/lfm)],MATCH(Tabelle9[[#This Row],[Rank]],Stammdaten[Rank Verteilung Abholzigkeit],0))</f>
        <v>#N/A</v>
      </c>
      <c r="N4838" t="e">
        <f>VLOOKUP(Tabelle9[[#This Row],[Rank]],Stammdaten[[Rank Verteilung Abholzigkeit]:[Verteilung Abholzigkeit]],2,FALSE)</f>
        <v>#N/A</v>
      </c>
      <c r="S4838">
        <v>4829</v>
      </c>
      <c r="T4838" t="e">
        <f>INDEX(Stammdaten[Krümmung (mm/lfm)],MATCH(Tabelle10[[#This Row],[Rank]],Stammdaten[Rank Verteilung Krümmung],0))</f>
        <v>#N/A</v>
      </c>
      <c r="U4838" t="e">
        <f>VLOOKUP(Tabelle10[[#This Row],[Rank]],Stammdaten[[Rank Verteilung Krümmung]:[Verteilung Krümmung]],2,FALSE)</f>
        <v>#N/A</v>
      </c>
      <c r="Z4838">
        <v>4829</v>
      </c>
      <c r="AA4838" t="e">
        <f>INDEX(Stammdaten[Ovalität (']0,1'])],MATCH(Tabelle1014[[#This Row],[Rank]],Stammdaten[Rank Verteilung Ovalität],0))</f>
        <v>#N/A</v>
      </c>
      <c r="AB4838" t="e">
        <f>VLOOKUP(Tabelle1014[[#This Row],[Rank]],Stammdaten[[Rank Verteilung Ovalität]:[Verteilung Ovalität]],2,FALSE)</f>
        <v>#N/A</v>
      </c>
    </row>
    <row r="4839" spans="5:28" x14ac:dyDescent="0.35">
      <c r="E4839">
        <v>4830</v>
      </c>
      <c r="F4839" t="e">
        <f>INDEX(Stammdaten[D Mitte mit Rinde (mm)],MATCH(Tabelle8[[#This Row],[Rank]],Stammdaten[Rank Verteilung D Mitte mit Rinde],0))</f>
        <v>#N/A</v>
      </c>
      <c r="G4839" t="e">
        <f>VLOOKUP(Tabelle8[[#This Row],[Rank]],Stammdaten[[Rank Verteilung D Mitte mit Rinde]:[Verteilung D Mitte mit Rinde]],2,FALSE)</f>
        <v>#N/A</v>
      </c>
      <c r="L4839">
        <v>4830</v>
      </c>
      <c r="M4839" t="e">
        <f>INDEX(Stammdaten[Abholzigkeit (mm/lfm)],MATCH(Tabelle9[[#This Row],[Rank]],Stammdaten[Rank Verteilung Abholzigkeit],0))</f>
        <v>#N/A</v>
      </c>
      <c r="N4839" t="e">
        <f>VLOOKUP(Tabelle9[[#This Row],[Rank]],Stammdaten[[Rank Verteilung Abholzigkeit]:[Verteilung Abholzigkeit]],2,FALSE)</f>
        <v>#N/A</v>
      </c>
      <c r="S4839">
        <v>4830</v>
      </c>
      <c r="T4839" t="e">
        <f>INDEX(Stammdaten[Krümmung (mm/lfm)],MATCH(Tabelle10[[#This Row],[Rank]],Stammdaten[Rank Verteilung Krümmung],0))</f>
        <v>#N/A</v>
      </c>
      <c r="U4839" t="e">
        <f>VLOOKUP(Tabelle10[[#This Row],[Rank]],Stammdaten[[Rank Verteilung Krümmung]:[Verteilung Krümmung]],2,FALSE)</f>
        <v>#N/A</v>
      </c>
      <c r="Z4839">
        <v>4830</v>
      </c>
      <c r="AA4839" t="e">
        <f>INDEX(Stammdaten[Ovalität (']0,1'])],MATCH(Tabelle1014[[#This Row],[Rank]],Stammdaten[Rank Verteilung Ovalität],0))</f>
        <v>#N/A</v>
      </c>
      <c r="AB4839" t="e">
        <f>VLOOKUP(Tabelle1014[[#This Row],[Rank]],Stammdaten[[Rank Verteilung Ovalität]:[Verteilung Ovalität]],2,FALSE)</f>
        <v>#N/A</v>
      </c>
    </row>
    <row r="4840" spans="5:28" x14ac:dyDescent="0.35">
      <c r="E4840">
        <v>4831</v>
      </c>
      <c r="F4840" t="e">
        <f>INDEX(Stammdaten[D Mitte mit Rinde (mm)],MATCH(Tabelle8[[#This Row],[Rank]],Stammdaten[Rank Verteilung D Mitte mit Rinde],0))</f>
        <v>#N/A</v>
      </c>
      <c r="G4840" t="e">
        <f>VLOOKUP(Tabelle8[[#This Row],[Rank]],Stammdaten[[Rank Verteilung D Mitte mit Rinde]:[Verteilung D Mitte mit Rinde]],2,FALSE)</f>
        <v>#N/A</v>
      </c>
      <c r="L4840">
        <v>4831</v>
      </c>
      <c r="M4840" t="e">
        <f>INDEX(Stammdaten[Abholzigkeit (mm/lfm)],MATCH(Tabelle9[[#This Row],[Rank]],Stammdaten[Rank Verteilung Abholzigkeit],0))</f>
        <v>#N/A</v>
      </c>
      <c r="N4840" t="e">
        <f>VLOOKUP(Tabelle9[[#This Row],[Rank]],Stammdaten[[Rank Verteilung Abholzigkeit]:[Verteilung Abholzigkeit]],2,FALSE)</f>
        <v>#N/A</v>
      </c>
      <c r="S4840">
        <v>4831</v>
      </c>
      <c r="T4840" t="e">
        <f>INDEX(Stammdaten[Krümmung (mm/lfm)],MATCH(Tabelle10[[#This Row],[Rank]],Stammdaten[Rank Verteilung Krümmung],0))</f>
        <v>#N/A</v>
      </c>
      <c r="U4840" t="e">
        <f>VLOOKUP(Tabelle10[[#This Row],[Rank]],Stammdaten[[Rank Verteilung Krümmung]:[Verteilung Krümmung]],2,FALSE)</f>
        <v>#N/A</v>
      </c>
      <c r="Z4840">
        <v>4831</v>
      </c>
      <c r="AA4840" t="e">
        <f>INDEX(Stammdaten[Ovalität (']0,1'])],MATCH(Tabelle1014[[#This Row],[Rank]],Stammdaten[Rank Verteilung Ovalität],0))</f>
        <v>#N/A</v>
      </c>
      <c r="AB4840" t="e">
        <f>VLOOKUP(Tabelle1014[[#This Row],[Rank]],Stammdaten[[Rank Verteilung Ovalität]:[Verteilung Ovalität]],2,FALSE)</f>
        <v>#N/A</v>
      </c>
    </row>
    <row r="4841" spans="5:28" x14ac:dyDescent="0.35">
      <c r="E4841">
        <v>4832</v>
      </c>
      <c r="F4841" t="e">
        <f>INDEX(Stammdaten[D Mitte mit Rinde (mm)],MATCH(Tabelle8[[#This Row],[Rank]],Stammdaten[Rank Verteilung D Mitte mit Rinde],0))</f>
        <v>#N/A</v>
      </c>
      <c r="G4841" t="e">
        <f>VLOOKUP(Tabelle8[[#This Row],[Rank]],Stammdaten[[Rank Verteilung D Mitte mit Rinde]:[Verteilung D Mitte mit Rinde]],2,FALSE)</f>
        <v>#N/A</v>
      </c>
      <c r="L4841">
        <v>4832</v>
      </c>
      <c r="M4841" t="e">
        <f>INDEX(Stammdaten[Abholzigkeit (mm/lfm)],MATCH(Tabelle9[[#This Row],[Rank]],Stammdaten[Rank Verteilung Abholzigkeit],0))</f>
        <v>#N/A</v>
      </c>
      <c r="N4841" t="e">
        <f>VLOOKUP(Tabelle9[[#This Row],[Rank]],Stammdaten[[Rank Verteilung Abholzigkeit]:[Verteilung Abholzigkeit]],2,FALSE)</f>
        <v>#N/A</v>
      </c>
      <c r="S4841">
        <v>4832</v>
      </c>
      <c r="T4841" t="e">
        <f>INDEX(Stammdaten[Krümmung (mm/lfm)],MATCH(Tabelle10[[#This Row],[Rank]],Stammdaten[Rank Verteilung Krümmung],0))</f>
        <v>#N/A</v>
      </c>
      <c r="U4841" t="e">
        <f>VLOOKUP(Tabelle10[[#This Row],[Rank]],Stammdaten[[Rank Verteilung Krümmung]:[Verteilung Krümmung]],2,FALSE)</f>
        <v>#N/A</v>
      </c>
      <c r="Z4841">
        <v>4832</v>
      </c>
      <c r="AA4841" t="e">
        <f>INDEX(Stammdaten[Ovalität (']0,1'])],MATCH(Tabelle1014[[#This Row],[Rank]],Stammdaten[Rank Verteilung Ovalität],0))</f>
        <v>#N/A</v>
      </c>
      <c r="AB4841" t="e">
        <f>VLOOKUP(Tabelle1014[[#This Row],[Rank]],Stammdaten[[Rank Verteilung Ovalität]:[Verteilung Ovalität]],2,FALSE)</f>
        <v>#N/A</v>
      </c>
    </row>
    <row r="4842" spans="5:28" x14ac:dyDescent="0.35">
      <c r="E4842">
        <v>4833</v>
      </c>
      <c r="F4842" t="e">
        <f>INDEX(Stammdaten[D Mitte mit Rinde (mm)],MATCH(Tabelle8[[#This Row],[Rank]],Stammdaten[Rank Verteilung D Mitte mit Rinde],0))</f>
        <v>#N/A</v>
      </c>
      <c r="G4842" t="e">
        <f>VLOOKUP(Tabelle8[[#This Row],[Rank]],Stammdaten[[Rank Verteilung D Mitte mit Rinde]:[Verteilung D Mitte mit Rinde]],2,FALSE)</f>
        <v>#N/A</v>
      </c>
      <c r="L4842">
        <v>4833</v>
      </c>
      <c r="M4842" t="e">
        <f>INDEX(Stammdaten[Abholzigkeit (mm/lfm)],MATCH(Tabelle9[[#This Row],[Rank]],Stammdaten[Rank Verteilung Abholzigkeit],0))</f>
        <v>#N/A</v>
      </c>
      <c r="N4842" t="e">
        <f>VLOOKUP(Tabelle9[[#This Row],[Rank]],Stammdaten[[Rank Verteilung Abholzigkeit]:[Verteilung Abholzigkeit]],2,FALSE)</f>
        <v>#N/A</v>
      </c>
      <c r="S4842">
        <v>4833</v>
      </c>
      <c r="T4842" t="e">
        <f>INDEX(Stammdaten[Krümmung (mm/lfm)],MATCH(Tabelle10[[#This Row],[Rank]],Stammdaten[Rank Verteilung Krümmung],0))</f>
        <v>#N/A</v>
      </c>
      <c r="U4842" t="e">
        <f>VLOOKUP(Tabelle10[[#This Row],[Rank]],Stammdaten[[Rank Verteilung Krümmung]:[Verteilung Krümmung]],2,FALSE)</f>
        <v>#N/A</v>
      </c>
      <c r="Z4842">
        <v>4833</v>
      </c>
      <c r="AA4842" t="e">
        <f>INDEX(Stammdaten[Ovalität (']0,1'])],MATCH(Tabelle1014[[#This Row],[Rank]],Stammdaten[Rank Verteilung Ovalität],0))</f>
        <v>#N/A</v>
      </c>
      <c r="AB4842" t="e">
        <f>VLOOKUP(Tabelle1014[[#This Row],[Rank]],Stammdaten[[Rank Verteilung Ovalität]:[Verteilung Ovalität]],2,FALSE)</f>
        <v>#N/A</v>
      </c>
    </row>
    <row r="4843" spans="5:28" x14ac:dyDescent="0.35">
      <c r="E4843">
        <v>4834</v>
      </c>
      <c r="F4843" t="e">
        <f>INDEX(Stammdaten[D Mitte mit Rinde (mm)],MATCH(Tabelle8[[#This Row],[Rank]],Stammdaten[Rank Verteilung D Mitte mit Rinde],0))</f>
        <v>#N/A</v>
      </c>
      <c r="G4843" t="e">
        <f>VLOOKUP(Tabelle8[[#This Row],[Rank]],Stammdaten[[Rank Verteilung D Mitte mit Rinde]:[Verteilung D Mitte mit Rinde]],2,FALSE)</f>
        <v>#N/A</v>
      </c>
      <c r="L4843">
        <v>4834</v>
      </c>
      <c r="M4843" t="e">
        <f>INDEX(Stammdaten[Abholzigkeit (mm/lfm)],MATCH(Tabelle9[[#This Row],[Rank]],Stammdaten[Rank Verteilung Abholzigkeit],0))</f>
        <v>#N/A</v>
      </c>
      <c r="N4843" t="e">
        <f>VLOOKUP(Tabelle9[[#This Row],[Rank]],Stammdaten[[Rank Verteilung Abholzigkeit]:[Verteilung Abholzigkeit]],2,FALSE)</f>
        <v>#N/A</v>
      </c>
      <c r="S4843">
        <v>4834</v>
      </c>
      <c r="T4843" t="e">
        <f>INDEX(Stammdaten[Krümmung (mm/lfm)],MATCH(Tabelle10[[#This Row],[Rank]],Stammdaten[Rank Verteilung Krümmung],0))</f>
        <v>#N/A</v>
      </c>
      <c r="U4843" t="e">
        <f>VLOOKUP(Tabelle10[[#This Row],[Rank]],Stammdaten[[Rank Verteilung Krümmung]:[Verteilung Krümmung]],2,FALSE)</f>
        <v>#N/A</v>
      </c>
      <c r="Z4843">
        <v>4834</v>
      </c>
      <c r="AA4843" t="e">
        <f>INDEX(Stammdaten[Ovalität (']0,1'])],MATCH(Tabelle1014[[#This Row],[Rank]],Stammdaten[Rank Verteilung Ovalität],0))</f>
        <v>#N/A</v>
      </c>
      <c r="AB4843" t="e">
        <f>VLOOKUP(Tabelle1014[[#This Row],[Rank]],Stammdaten[[Rank Verteilung Ovalität]:[Verteilung Ovalität]],2,FALSE)</f>
        <v>#N/A</v>
      </c>
    </row>
    <row r="4844" spans="5:28" x14ac:dyDescent="0.35">
      <c r="E4844">
        <v>4835</v>
      </c>
      <c r="F4844" t="e">
        <f>INDEX(Stammdaten[D Mitte mit Rinde (mm)],MATCH(Tabelle8[[#This Row],[Rank]],Stammdaten[Rank Verteilung D Mitte mit Rinde],0))</f>
        <v>#N/A</v>
      </c>
      <c r="G4844" t="e">
        <f>VLOOKUP(Tabelle8[[#This Row],[Rank]],Stammdaten[[Rank Verteilung D Mitte mit Rinde]:[Verteilung D Mitte mit Rinde]],2,FALSE)</f>
        <v>#N/A</v>
      </c>
      <c r="L4844">
        <v>4835</v>
      </c>
      <c r="M4844" t="e">
        <f>INDEX(Stammdaten[Abholzigkeit (mm/lfm)],MATCH(Tabelle9[[#This Row],[Rank]],Stammdaten[Rank Verteilung Abholzigkeit],0))</f>
        <v>#N/A</v>
      </c>
      <c r="N4844" t="e">
        <f>VLOOKUP(Tabelle9[[#This Row],[Rank]],Stammdaten[[Rank Verteilung Abholzigkeit]:[Verteilung Abholzigkeit]],2,FALSE)</f>
        <v>#N/A</v>
      </c>
      <c r="S4844">
        <v>4835</v>
      </c>
      <c r="T4844" t="e">
        <f>INDEX(Stammdaten[Krümmung (mm/lfm)],MATCH(Tabelle10[[#This Row],[Rank]],Stammdaten[Rank Verteilung Krümmung],0))</f>
        <v>#N/A</v>
      </c>
      <c r="U4844" t="e">
        <f>VLOOKUP(Tabelle10[[#This Row],[Rank]],Stammdaten[[Rank Verteilung Krümmung]:[Verteilung Krümmung]],2,FALSE)</f>
        <v>#N/A</v>
      </c>
      <c r="Z4844">
        <v>4835</v>
      </c>
      <c r="AA4844" t="e">
        <f>INDEX(Stammdaten[Ovalität (']0,1'])],MATCH(Tabelle1014[[#This Row],[Rank]],Stammdaten[Rank Verteilung Ovalität],0))</f>
        <v>#N/A</v>
      </c>
      <c r="AB4844" t="e">
        <f>VLOOKUP(Tabelle1014[[#This Row],[Rank]],Stammdaten[[Rank Verteilung Ovalität]:[Verteilung Ovalität]],2,FALSE)</f>
        <v>#N/A</v>
      </c>
    </row>
    <row r="4845" spans="5:28" x14ac:dyDescent="0.35">
      <c r="E4845">
        <v>4836</v>
      </c>
      <c r="F4845" t="e">
        <f>INDEX(Stammdaten[D Mitte mit Rinde (mm)],MATCH(Tabelle8[[#This Row],[Rank]],Stammdaten[Rank Verteilung D Mitte mit Rinde],0))</f>
        <v>#N/A</v>
      </c>
      <c r="G4845" t="e">
        <f>VLOOKUP(Tabelle8[[#This Row],[Rank]],Stammdaten[[Rank Verteilung D Mitte mit Rinde]:[Verteilung D Mitte mit Rinde]],2,FALSE)</f>
        <v>#N/A</v>
      </c>
      <c r="L4845">
        <v>4836</v>
      </c>
      <c r="M4845" t="e">
        <f>INDEX(Stammdaten[Abholzigkeit (mm/lfm)],MATCH(Tabelle9[[#This Row],[Rank]],Stammdaten[Rank Verteilung Abholzigkeit],0))</f>
        <v>#N/A</v>
      </c>
      <c r="N4845" t="e">
        <f>VLOOKUP(Tabelle9[[#This Row],[Rank]],Stammdaten[[Rank Verteilung Abholzigkeit]:[Verteilung Abholzigkeit]],2,FALSE)</f>
        <v>#N/A</v>
      </c>
      <c r="S4845">
        <v>4836</v>
      </c>
      <c r="T4845" t="e">
        <f>INDEX(Stammdaten[Krümmung (mm/lfm)],MATCH(Tabelle10[[#This Row],[Rank]],Stammdaten[Rank Verteilung Krümmung],0))</f>
        <v>#N/A</v>
      </c>
      <c r="U4845" t="e">
        <f>VLOOKUP(Tabelle10[[#This Row],[Rank]],Stammdaten[[Rank Verteilung Krümmung]:[Verteilung Krümmung]],2,FALSE)</f>
        <v>#N/A</v>
      </c>
      <c r="Z4845">
        <v>4836</v>
      </c>
      <c r="AA4845" t="e">
        <f>INDEX(Stammdaten[Ovalität (']0,1'])],MATCH(Tabelle1014[[#This Row],[Rank]],Stammdaten[Rank Verteilung Ovalität],0))</f>
        <v>#N/A</v>
      </c>
      <c r="AB4845" t="e">
        <f>VLOOKUP(Tabelle1014[[#This Row],[Rank]],Stammdaten[[Rank Verteilung Ovalität]:[Verteilung Ovalität]],2,FALSE)</f>
        <v>#N/A</v>
      </c>
    </row>
    <row r="4846" spans="5:28" x14ac:dyDescent="0.35">
      <c r="E4846">
        <v>4837</v>
      </c>
      <c r="F4846" t="e">
        <f>INDEX(Stammdaten[D Mitte mit Rinde (mm)],MATCH(Tabelle8[[#This Row],[Rank]],Stammdaten[Rank Verteilung D Mitte mit Rinde],0))</f>
        <v>#N/A</v>
      </c>
      <c r="G4846" t="e">
        <f>VLOOKUP(Tabelle8[[#This Row],[Rank]],Stammdaten[[Rank Verteilung D Mitte mit Rinde]:[Verteilung D Mitte mit Rinde]],2,FALSE)</f>
        <v>#N/A</v>
      </c>
      <c r="L4846">
        <v>4837</v>
      </c>
      <c r="M4846" t="e">
        <f>INDEX(Stammdaten[Abholzigkeit (mm/lfm)],MATCH(Tabelle9[[#This Row],[Rank]],Stammdaten[Rank Verteilung Abholzigkeit],0))</f>
        <v>#N/A</v>
      </c>
      <c r="N4846" t="e">
        <f>VLOOKUP(Tabelle9[[#This Row],[Rank]],Stammdaten[[Rank Verteilung Abholzigkeit]:[Verteilung Abholzigkeit]],2,FALSE)</f>
        <v>#N/A</v>
      </c>
      <c r="S4846">
        <v>4837</v>
      </c>
      <c r="T4846" t="e">
        <f>INDEX(Stammdaten[Krümmung (mm/lfm)],MATCH(Tabelle10[[#This Row],[Rank]],Stammdaten[Rank Verteilung Krümmung],0))</f>
        <v>#N/A</v>
      </c>
      <c r="U4846" t="e">
        <f>VLOOKUP(Tabelle10[[#This Row],[Rank]],Stammdaten[[Rank Verteilung Krümmung]:[Verteilung Krümmung]],2,FALSE)</f>
        <v>#N/A</v>
      </c>
      <c r="Z4846">
        <v>4837</v>
      </c>
      <c r="AA4846" t="e">
        <f>INDEX(Stammdaten[Ovalität (']0,1'])],MATCH(Tabelle1014[[#This Row],[Rank]],Stammdaten[Rank Verteilung Ovalität],0))</f>
        <v>#N/A</v>
      </c>
      <c r="AB4846" t="e">
        <f>VLOOKUP(Tabelle1014[[#This Row],[Rank]],Stammdaten[[Rank Verteilung Ovalität]:[Verteilung Ovalität]],2,FALSE)</f>
        <v>#N/A</v>
      </c>
    </row>
    <row r="4847" spans="5:28" x14ac:dyDescent="0.35">
      <c r="E4847">
        <v>4838</v>
      </c>
      <c r="F4847" t="e">
        <f>INDEX(Stammdaten[D Mitte mit Rinde (mm)],MATCH(Tabelle8[[#This Row],[Rank]],Stammdaten[Rank Verteilung D Mitte mit Rinde],0))</f>
        <v>#N/A</v>
      </c>
      <c r="G4847" t="e">
        <f>VLOOKUP(Tabelle8[[#This Row],[Rank]],Stammdaten[[Rank Verteilung D Mitte mit Rinde]:[Verteilung D Mitte mit Rinde]],2,FALSE)</f>
        <v>#N/A</v>
      </c>
      <c r="L4847">
        <v>4838</v>
      </c>
      <c r="M4847" t="e">
        <f>INDEX(Stammdaten[Abholzigkeit (mm/lfm)],MATCH(Tabelle9[[#This Row],[Rank]],Stammdaten[Rank Verteilung Abholzigkeit],0))</f>
        <v>#N/A</v>
      </c>
      <c r="N4847" t="e">
        <f>VLOOKUP(Tabelle9[[#This Row],[Rank]],Stammdaten[[Rank Verteilung Abholzigkeit]:[Verteilung Abholzigkeit]],2,FALSE)</f>
        <v>#N/A</v>
      </c>
      <c r="S4847">
        <v>4838</v>
      </c>
      <c r="T4847" t="e">
        <f>INDEX(Stammdaten[Krümmung (mm/lfm)],MATCH(Tabelle10[[#This Row],[Rank]],Stammdaten[Rank Verteilung Krümmung],0))</f>
        <v>#N/A</v>
      </c>
      <c r="U4847" t="e">
        <f>VLOOKUP(Tabelle10[[#This Row],[Rank]],Stammdaten[[Rank Verteilung Krümmung]:[Verteilung Krümmung]],2,FALSE)</f>
        <v>#N/A</v>
      </c>
      <c r="Z4847">
        <v>4838</v>
      </c>
      <c r="AA4847" t="e">
        <f>INDEX(Stammdaten[Ovalität (']0,1'])],MATCH(Tabelle1014[[#This Row],[Rank]],Stammdaten[Rank Verteilung Ovalität],0))</f>
        <v>#N/A</v>
      </c>
      <c r="AB4847" t="e">
        <f>VLOOKUP(Tabelle1014[[#This Row],[Rank]],Stammdaten[[Rank Verteilung Ovalität]:[Verteilung Ovalität]],2,FALSE)</f>
        <v>#N/A</v>
      </c>
    </row>
    <row r="4848" spans="5:28" x14ac:dyDescent="0.35">
      <c r="E4848">
        <v>4839</v>
      </c>
      <c r="F4848" t="e">
        <f>INDEX(Stammdaten[D Mitte mit Rinde (mm)],MATCH(Tabelle8[[#This Row],[Rank]],Stammdaten[Rank Verteilung D Mitte mit Rinde],0))</f>
        <v>#N/A</v>
      </c>
      <c r="G4848" t="e">
        <f>VLOOKUP(Tabelle8[[#This Row],[Rank]],Stammdaten[[Rank Verteilung D Mitte mit Rinde]:[Verteilung D Mitte mit Rinde]],2,FALSE)</f>
        <v>#N/A</v>
      </c>
      <c r="L4848">
        <v>4839</v>
      </c>
      <c r="M4848" t="e">
        <f>INDEX(Stammdaten[Abholzigkeit (mm/lfm)],MATCH(Tabelle9[[#This Row],[Rank]],Stammdaten[Rank Verteilung Abholzigkeit],0))</f>
        <v>#N/A</v>
      </c>
      <c r="N4848" t="e">
        <f>VLOOKUP(Tabelle9[[#This Row],[Rank]],Stammdaten[[Rank Verteilung Abholzigkeit]:[Verteilung Abholzigkeit]],2,FALSE)</f>
        <v>#N/A</v>
      </c>
      <c r="S4848">
        <v>4839</v>
      </c>
      <c r="T4848" t="e">
        <f>INDEX(Stammdaten[Krümmung (mm/lfm)],MATCH(Tabelle10[[#This Row],[Rank]],Stammdaten[Rank Verteilung Krümmung],0))</f>
        <v>#N/A</v>
      </c>
      <c r="U4848" t="e">
        <f>VLOOKUP(Tabelle10[[#This Row],[Rank]],Stammdaten[[Rank Verteilung Krümmung]:[Verteilung Krümmung]],2,FALSE)</f>
        <v>#N/A</v>
      </c>
      <c r="Z4848">
        <v>4839</v>
      </c>
      <c r="AA4848" t="e">
        <f>INDEX(Stammdaten[Ovalität (']0,1'])],MATCH(Tabelle1014[[#This Row],[Rank]],Stammdaten[Rank Verteilung Ovalität],0))</f>
        <v>#N/A</v>
      </c>
      <c r="AB4848" t="e">
        <f>VLOOKUP(Tabelle1014[[#This Row],[Rank]],Stammdaten[[Rank Verteilung Ovalität]:[Verteilung Ovalität]],2,FALSE)</f>
        <v>#N/A</v>
      </c>
    </row>
    <row r="4849" spans="5:28" x14ac:dyDescent="0.35">
      <c r="E4849">
        <v>4840</v>
      </c>
      <c r="F4849" t="e">
        <f>INDEX(Stammdaten[D Mitte mit Rinde (mm)],MATCH(Tabelle8[[#This Row],[Rank]],Stammdaten[Rank Verteilung D Mitte mit Rinde],0))</f>
        <v>#N/A</v>
      </c>
      <c r="G4849" t="e">
        <f>VLOOKUP(Tabelle8[[#This Row],[Rank]],Stammdaten[[Rank Verteilung D Mitte mit Rinde]:[Verteilung D Mitte mit Rinde]],2,FALSE)</f>
        <v>#N/A</v>
      </c>
      <c r="L4849">
        <v>4840</v>
      </c>
      <c r="M4849" t="e">
        <f>INDEX(Stammdaten[Abholzigkeit (mm/lfm)],MATCH(Tabelle9[[#This Row],[Rank]],Stammdaten[Rank Verteilung Abholzigkeit],0))</f>
        <v>#N/A</v>
      </c>
      <c r="N4849" t="e">
        <f>VLOOKUP(Tabelle9[[#This Row],[Rank]],Stammdaten[[Rank Verteilung Abholzigkeit]:[Verteilung Abholzigkeit]],2,FALSE)</f>
        <v>#N/A</v>
      </c>
      <c r="S4849">
        <v>4840</v>
      </c>
      <c r="T4849" t="e">
        <f>INDEX(Stammdaten[Krümmung (mm/lfm)],MATCH(Tabelle10[[#This Row],[Rank]],Stammdaten[Rank Verteilung Krümmung],0))</f>
        <v>#N/A</v>
      </c>
      <c r="U4849" t="e">
        <f>VLOOKUP(Tabelle10[[#This Row],[Rank]],Stammdaten[[Rank Verteilung Krümmung]:[Verteilung Krümmung]],2,FALSE)</f>
        <v>#N/A</v>
      </c>
      <c r="Z4849">
        <v>4840</v>
      </c>
      <c r="AA4849" t="e">
        <f>INDEX(Stammdaten[Ovalität (']0,1'])],MATCH(Tabelle1014[[#This Row],[Rank]],Stammdaten[Rank Verteilung Ovalität],0))</f>
        <v>#N/A</v>
      </c>
      <c r="AB4849" t="e">
        <f>VLOOKUP(Tabelle1014[[#This Row],[Rank]],Stammdaten[[Rank Verteilung Ovalität]:[Verteilung Ovalität]],2,FALSE)</f>
        <v>#N/A</v>
      </c>
    </row>
    <row r="4850" spans="5:28" x14ac:dyDescent="0.35">
      <c r="E4850">
        <v>4841</v>
      </c>
      <c r="F4850" t="e">
        <f>INDEX(Stammdaten[D Mitte mit Rinde (mm)],MATCH(Tabelle8[[#This Row],[Rank]],Stammdaten[Rank Verteilung D Mitte mit Rinde],0))</f>
        <v>#N/A</v>
      </c>
      <c r="G4850" t="e">
        <f>VLOOKUP(Tabelle8[[#This Row],[Rank]],Stammdaten[[Rank Verteilung D Mitte mit Rinde]:[Verteilung D Mitte mit Rinde]],2,FALSE)</f>
        <v>#N/A</v>
      </c>
      <c r="L4850">
        <v>4841</v>
      </c>
      <c r="M4850" t="e">
        <f>INDEX(Stammdaten[Abholzigkeit (mm/lfm)],MATCH(Tabelle9[[#This Row],[Rank]],Stammdaten[Rank Verteilung Abholzigkeit],0))</f>
        <v>#N/A</v>
      </c>
      <c r="N4850" t="e">
        <f>VLOOKUP(Tabelle9[[#This Row],[Rank]],Stammdaten[[Rank Verteilung Abholzigkeit]:[Verteilung Abholzigkeit]],2,FALSE)</f>
        <v>#N/A</v>
      </c>
      <c r="S4850">
        <v>4841</v>
      </c>
      <c r="T4850" t="e">
        <f>INDEX(Stammdaten[Krümmung (mm/lfm)],MATCH(Tabelle10[[#This Row],[Rank]],Stammdaten[Rank Verteilung Krümmung],0))</f>
        <v>#N/A</v>
      </c>
      <c r="U4850" t="e">
        <f>VLOOKUP(Tabelle10[[#This Row],[Rank]],Stammdaten[[Rank Verteilung Krümmung]:[Verteilung Krümmung]],2,FALSE)</f>
        <v>#N/A</v>
      </c>
      <c r="Z4850">
        <v>4841</v>
      </c>
      <c r="AA4850" t="e">
        <f>INDEX(Stammdaten[Ovalität (']0,1'])],MATCH(Tabelle1014[[#This Row],[Rank]],Stammdaten[Rank Verteilung Ovalität],0))</f>
        <v>#N/A</v>
      </c>
      <c r="AB4850" t="e">
        <f>VLOOKUP(Tabelle1014[[#This Row],[Rank]],Stammdaten[[Rank Verteilung Ovalität]:[Verteilung Ovalität]],2,FALSE)</f>
        <v>#N/A</v>
      </c>
    </row>
    <row r="4851" spans="5:28" x14ac:dyDescent="0.35">
      <c r="E4851">
        <v>4842</v>
      </c>
      <c r="F4851" t="e">
        <f>INDEX(Stammdaten[D Mitte mit Rinde (mm)],MATCH(Tabelle8[[#This Row],[Rank]],Stammdaten[Rank Verteilung D Mitte mit Rinde],0))</f>
        <v>#N/A</v>
      </c>
      <c r="G4851" t="e">
        <f>VLOOKUP(Tabelle8[[#This Row],[Rank]],Stammdaten[[Rank Verteilung D Mitte mit Rinde]:[Verteilung D Mitte mit Rinde]],2,FALSE)</f>
        <v>#N/A</v>
      </c>
      <c r="L4851">
        <v>4842</v>
      </c>
      <c r="M4851" t="e">
        <f>INDEX(Stammdaten[Abholzigkeit (mm/lfm)],MATCH(Tabelle9[[#This Row],[Rank]],Stammdaten[Rank Verteilung Abholzigkeit],0))</f>
        <v>#N/A</v>
      </c>
      <c r="N4851" t="e">
        <f>VLOOKUP(Tabelle9[[#This Row],[Rank]],Stammdaten[[Rank Verteilung Abholzigkeit]:[Verteilung Abholzigkeit]],2,FALSE)</f>
        <v>#N/A</v>
      </c>
      <c r="S4851">
        <v>4842</v>
      </c>
      <c r="T4851" t="e">
        <f>INDEX(Stammdaten[Krümmung (mm/lfm)],MATCH(Tabelle10[[#This Row],[Rank]],Stammdaten[Rank Verteilung Krümmung],0))</f>
        <v>#N/A</v>
      </c>
      <c r="U4851" t="e">
        <f>VLOOKUP(Tabelle10[[#This Row],[Rank]],Stammdaten[[Rank Verteilung Krümmung]:[Verteilung Krümmung]],2,FALSE)</f>
        <v>#N/A</v>
      </c>
      <c r="Z4851">
        <v>4842</v>
      </c>
      <c r="AA4851" t="e">
        <f>INDEX(Stammdaten[Ovalität (']0,1'])],MATCH(Tabelle1014[[#This Row],[Rank]],Stammdaten[Rank Verteilung Ovalität],0))</f>
        <v>#N/A</v>
      </c>
      <c r="AB4851" t="e">
        <f>VLOOKUP(Tabelle1014[[#This Row],[Rank]],Stammdaten[[Rank Verteilung Ovalität]:[Verteilung Ovalität]],2,FALSE)</f>
        <v>#N/A</v>
      </c>
    </row>
    <row r="4852" spans="5:28" x14ac:dyDescent="0.35">
      <c r="E4852">
        <v>4843</v>
      </c>
      <c r="F4852" t="e">
        <f>INDEX(Stammdaten[D Mitte mit Rinde (mm)],MATCH(Tabelle8[[#This Row],[Rank]],Stammdaten[Rank Verteilung D Mitte mit Rinde],0))</f>
        <v>#N/A</v>
      </c>
      <c r="G4852" t="e">
        <f>VLOOKUP(Tabelle8[[#This Row],[Rank]],Stammdaten[[Rank Verteilung D Mitte mit Rinde]:[Verteilung D Mitte mit Rinde]],2,FALSE)</f>
        <v>#N/A</v>
      </c>
      <c r="L4852">
        <v>4843</v>
      </c>
      <c r="M4852" t="e">
        <f>INDEX(Stammdaten[Abholzigkeit (mm/lfm)],MATCH(Tabelle9[[#This Row],[Rank]],Stammdaten[Rank Verteilung Abholzigkeit],0))</f>
        <v>#N/A</v>
      </c>
      <c r="N4852" t="e">
        <f>VLOOKUP(Tabelle9[[#This Row],[Rank]],Stammdaten[[Rank Verteilung Abholzigkeit]:[Verteilung Abholzigkeit]],2,FALSE)</f>
        <v>#N/A</v>
      </c>
      <c r="S4852">
        <v>4843</v>
      </c>
      <c r="T4852" t="e">
        <f>INDEX(Stammdaten[Krümmung (mm/lfm)],MATCH(Tabelle10[[#This Row],[Rank]],Stammdaten[Rank Verteilung Krümmung],0))</f>
        <v>#N/A</v>
      </c>
      <c r="U4852" t="e">
        <f>VLOOKUP(Tabelle10[[#This Row],[Rank]],Stammdaten[[Rank Verteilung Krümmung]:[Verteilung Krümmung]],2,FALSE)</f>
        <v>#N/A</v>
      </c>
      <c r="Z4852">
        <v>4843</v>
      </c>
      <c r="AA4852" t="e">
        <f>INDEX(Stammdaten[Ovalität (']0,1'])],MATCH(Tabelle1014[[#This Row],[Rank]],Stammdaten[Rank Verteilung Ovalität],0))</f>
        <v>#N/A</v>
      </c>
      <c r="AB4852" t="e">
        <f>VLOOKUP(Tabelle1014[[#This Row],[Rank]],Stammdaten[[Rank Verteilung Ovalität]:[Verteilung Ovalität]],2,FALSE)</f>
        <v>#N/A</v>
      </c>
    </row>
    <row r="4853" spans="5:28" x14ac:dyDescent="0.35">
      <c r="E4853">
        <v>4844</v>
      </c>
      <c r="F4853" t="e">
        <f>INDEX(Stammdaten[D Mitte mit Rinde (mm)],MATCH(Tabelle8[[#This Row],[Rank]],Stammdaten[Rank Verteilung D Mitte mit Rinde],0))</f>
        <v>#N/A</v>
      </c>
      <c r="G4853" t="e">
        <f>VLOOKUP(Tabelle8[[#This Row],[Rank]],Stammdaten[[Rank Verteilung D Mitte mit Rinde]:[Verteilung D Mitte mit Rinde]],2,FALSE)</f>
        <v>#N/A</v>
      </c>
      <c r="L4853">
        <v>4844</v>
      </c>
      <c r="M4853" t="e">
        <f>INDEX(Stammdaten[Abholzigkeit (mm/lfm)],MATCH(Tabelle9[[#This Row],[Rank]],Stammdaten[Rank Verteilung Abholzigkeit],0))</f>
        <v>#N/A</v>
      </c>
      <c r="N4853" t="e">
        <f>VLOOKUP(Tabelle9[[#This Row],[Rank]],Stammdaten[[Rank Verteilung Abholzigkeit]:[Verteilung Abholzigkeit]],2,FALSE)</f>
        <v>#N/A</v>
      </c>
      <c r="S4853">
        <v>4844</v>
      </c>
      <c r="T4853" t="e">
        <f>INDEX(Stammdaten[Krümmung (mm/lfm)],MATCH(Tabelle10[[#This Row],[Rank]],Stammdaten[Rank Verteilung Krümmung],0))</f>
        <v>#N/A</v>
      </c>
      <c r="U4853" t="e">
        <f>VLOOKUP(Tabelle10[[#This Row],[Rank]],Stammdaten[[Rank Verteilung Krümmung]:[Verteilung Krümmung]],2,FALSE)</f>
        <v>#N/A</v>
      </c>
      <c r="Z4853">
        <v>4844</v>
      </c>
      <c r="AA4853" t="e">
        <f>INDEX(Stammdaten[Ovalität (']0,1'])],MATCH(Tabelle1014[[#This Row],[Rank]],Stammdaten[Rank Verteilung Ovalität],0))</f>
        <v>#N/A</v>
      </c>
      <c r="AB4853" t="e">
        <f>VLOOKUP(Tabelle1014[[#This Row],[Rank]],Stammdaten[[Rank Verteilung Ovalität]:[Verteilung Ovalität]],2,FALSE)</f>
        <v>#N/A</v>
      </c>
    </row>
    <row r="4854" spans="5:28" x14ac:dyDescent="0.35">
      <c r="E4854">
        <v>4845</v>
      </c>
      <c r="F4854" t="e">
        <f>INDEX(Stammdaten[D Mitte mit Rinde (mm)],MATCH(Tabelle8[[#This Row],[Rank]],Stammdaten[Rank Verteilung D Mitte mit Rinde],0))</f>
        <v>#N/A</v>
      </c>
      <c r="G4854" t="e">
        <f>VLOOKUP(Tabelle8[[#This Row],[Rank]],Stammdaten[[Rank Verteilung D Mitte mit Rinde]:[Verteilung D Mitte mit Rinde]],2,FALSE)</f>
        <v>#N/A</v>
      </c>
      <c r="L4854">
        <v>4845</v>
      </c>
      <c r="M4854" t="e">
        <f>INDEX(Stammdaten[Abholzigkeit (mm/lfm)],MATCH(Tabelle9[[#This Row],[Rank]],Stammdaten[Rank Verteilung Abholzigkeit],0))</f>
        <v>#N/A</v>
      </c>
      <c r="N4854" t="e">
        <f>VLOOKUP(Tabelle9[[#This Row],[Rank]],Stammdaten[[Rank Verteilung Abholzigkeit]:[Verteilung Abholzigkeit]],2,FALSE)</f>
        <v>#N/A</v>
      </c>
      <c r="S4854">
        <v>4845</v>
      </c>
      <c r="T4854" t="e">
        <f>INDEX(Stammdaten[Krümmung (mm/lfm)],MATCH(Tabelle10[[#This Row],[Rank]],Stammdaten[Rank Verteilung Krümmung],0))</f>
        <v>#N/A</v>
      </c>
      <c r="U4854" t="e">
        <f>VLOOKUP(Tabelle10[[#This Row],[Rank]],Stammdaten[[Rank Verteilung Krümmung]:[Verteilung Krümmung]],2,FALSE)</f>
        <v>#N/A</v>
      </c>
      <c r="Z4854">
        <v>4845</v>
      </c>
      <c r="AA4854" t="e">
        <f>INDEX(Stammdaten[Ovalität (']0,1'])],MATCH(Tabelle1014[[#This Row],[Rank]],Stammdaten[Rank Verteilung Ovalität],0))</f>
        <v>#N/A</v>
      </c>
      <c r="AB4854" t="e">
        <f>VLOOKUP(Tabelle1014[[#This Row],[Rank]],Stammdaten[[Rank Verteilung Ovalität]:[Verteilung Ovalität]],2,FALSE)</f>
        <v>#N/A</v>
      </c>
    </row>
    <row r="4855" spans="5:28" x14ac:dyDescent="0.35">
      <c r="E4855">
        <v>4846</v>
      </c>
      <c r="F4855" t="e">
        <f>INDEX(Stammdaten[D Mitte mit Rinde (mm)],MATCH(Tabelle8[[#This Row],[Rank]],Stammdaten[Rank Verteilung D Mitte mit Rinde],0))</f>
        <v>#N/A</v>
      </c>
      <c r="G4855" t="e">
        <f>VLOOKUP(Tabelle8[[#This Row],[Rank]],Stammdaten[[Rank Verteilung D Mitte mit Rinde]:[Verteilung D Mitte mit Rinde]],2,FALSE)</f>
        <v>#N/A</v>
      </c>
      <c r="L4855">
        <v>4846</v>
      </c>
      <c r="M4855" t="e">
        <f>INDEX(Stammdaten[Abholzigkeit (mm/lfm)],MATCH(Tabelle9[[#This Row],[Rank]],Stammdaten[Rank Verteilung Abholzigkeit],0))</f>
        <v>#N/A</v>
      </c>
      <c r="N4855" t="e">
        <f>VLOOKUP(Tabelle9[[#This Row],[Rank]],Stammdaten[[Rank Verteilung Abholzigkeit]:[Verteilung Abholzigkeit]],2,FALSE)</f>
        <v>#N/A</v>
      </c>
      <c r="S4855">
        <v>4846</v>
      </c>
      <c r="T4855" t="e">
        <f>INDEX(Stammdaten[Krümmung (mm/lfm)],MATCH(Tabelle10[[#This Row],[Rank]],Stammdaten[Rank Verteilung Krümmung],0))</f>
        <v>#N/A</v>
      </c>
      <c r="U4855" t="e">
        <f>VLOOKUP(Tabelle10[[#This Row],[Rank]],Stammdaten[[Rank Verteilung Krümmung]:[Verteilung Krümmung]],2,FALSE)</f>
        <v>#N/A</v>
      </c>
      <c r="Z4855">
        <v>4846</v>
      </c>
      <c r="AA4855" t="e">
        <f>INDEX(Stammdaten[Ovalität (']0,1'])],MATCH(Tabelle1014[[#This Row],[Rank]],Stammdaten[Rank Verteilung Ovalität],0))</f>
        <v>#N/A</v>
      </c>
      <c r="AB4855" t="e">
        <f>VLOOKUP(Tabelle1014[[#This Row],[Rank]],Stammdaten[[Rank Verteilung Ovalität]:[Verteilung Ovalität]],2,FALSE)</f>
        <v>#N/A</v>
      </c>
    </row>
    <row r="4856" spans="5:28" x14ac:dyDescent="0.35">
      <c r="E4856">
        <v>4847</v>
      </c>
      <c r="F4856" t="e">
        <f>INDEX(Stammdaten[D Mitte mit Rinde (mm)],MATCH(Tabelle8[[#This Row],[Rank]],Stammdaten[Rank Verteilung D Mitte mit Rinde],0))</f>
        <v>#N/A</v>
      </c>
      <c r="G4856" t="e">
        <f>VLOOKUP(Tabelle8[[#This Row],[Rank]],Stammdaten[[Rank Verteilung D Mitte mit Rinde]:[Verteilung D Mitte mit Rinde]],2,FALSE)</f>
        <v>#N/A</v>
      </c>
      <c r="L4856">
        <v>4847</v>
      </c>
      <c r="M4856" t="e">
        <f>INDEX(Stammdaten[Abholzigkeit (mm/lfm)],MATCH(Tabelle9[[#This Row],[Rank]],Stammdaten[Rank Verteilung Abholzigkeit],0))</f>
        <v>#N/A</v>
      </c>
      <c r="N4856" t="e">
        <f>VLOOKUP(Tabelle9[[#This Row],[Rank]],Stammdaten[[Rank Verteilung Abholzigkeit]:[Verteilung Abholzigkeit]],2,FALSE)</f>
        <v>#N/A</v>
      </c>
      <c r="S4856">
        <v>4847</v>
      </c>
      <c r="T4856" t="e">
        <f>INDEX(Stammdaten[Krümmung (mm/lfm)],MATCH(Tabelle10[[#This Row],[Rank]],Stammdaten[Rank Verteilung Krümmung],0))</f>
        <v>#N/A</v>
      </c>
      <c r="U4856" t="e">
        <f>VLOOKUP(Tabelle10[[#This Row],[Rank]],Stammdaten[[Rank Verteilung Krümmung]:[Verteilung Krümmung]],2,FALSE)</f>
        <v>#N/A</v>
      </c>
      <c r="Z4856">
        <v>4847</v>
      </c>
      <c r="AA4856" t="e">
        <f>INDEX(Stammdaten[Ovalität (']0,1'])],MATCH(Tabelle1014[[#This Row],[Rank]],Stammdaten[Rank Verteilung Ovalität],0))</f>
        <v>#N/A</v>
      </c>
      <c r="AB4856" t="e">
        <f>VLOOKUP(Tabelle1014[[#This Row],[Rank]],Stammdaten[[Rank Verteilung Ovalität]:[Verteilung Ovalität]],2,FALSE)</f>
        <v>#N/A</v>
      </c>
    </row>
    <row r="4857" spans="5:28" x14ac:dyDescent="0.35">
      <c r="E4857">
        <v>4848</v>
      </c>
      <c r="F4857" t="e">
        <f>INDEX(Stammdaten[D Mitte mit Rinde (mm)],MATCH(Tabelle8[[#This Row],[Rank]],Stammdaten[Rank Verteilung D Mitte mit Rinde],0))</f>
        <v>#N/A</v>
      </c>
      <c r="G4857" t="e">
        <f>VLOOKUP(Tabelle8[[#This Row],[Rank]],Stammdaten[[Rank Verteilung D Mitte mit Rinde]:[Verteilung D Mitte mit Rinde]],2,FALSE)</f>
        <v>#N/A</v>
      </c>
      <c r="L4857">
        <v>4848</v>
      </c>
      <c r="M4857" t="e">
        <f>INDEX(Stammdaten[Abholzigkeit (mm/lfm)],MATCH(Tabelle9[[#This Row],[Rank]],Stammdaten[Rank Verteilung Abholzigkeit],0))</f>
        <v>#N/A</v>
      </c>
      <c r="N4857" t="e">
        <f>VLOOKUP(Tabelle9[[#This Row],[Rank]],Stammdaten[[Rank Verteilung Abholzigkeit]:[Verteilung Abholzigkeit]],2,FALSE)</f>
        <v>#N/A</v>
      </c>
      <c r="S4857">
        <v>4848</v>
      </c>
      <c r="T4857" t="e">
        <f>INDEX(Stammdaten[Krümmung (mm/lfm)],MATCH(Tabelle10[[#This Row],[Rank]],Stammdaten[Rank Verteilung Krümmung],0))</f>
        <v>#N/A</v>
      </c>
      <c r="U4857" t="e">
        <f>VLOOKUP(Tabelle10[[#This Row],[Rank]],Stammdaten[[Rank Verteilung Krümmung]:[Verteilung Krümmung]],2,FALSE)</f>
        <v>#N/A</v>
      </c>
      <c r="Z4857">
        <v>4848</v>
      </c>
      <c r="AA4857" t="e">
        <f>INDEX(Stammdaten[Ovalität (']0,1'])],MATCH(Tabelle1014[[#This Row],[Rank]],Stammdaten[Rank Verteilung Ovalität],0))</f>
        <v>#N/A</v>
      </c>
      <c r="AB4857" t="e">
        <f>VLOOKUP(Tabelle1014[[#This Row],[Rank]],Stammdaten[[Rank Verteilung Ovalität]:[Verteilung Ovalität]],2,FALSE)</f>
        <v>#N/A</v>
      </c>
    </row>
    <row r="4858" spans="5:28" x14ac:dyDescent="0.35">
      <c r="E4858">
        <v>4849</v>
      </c>
      <c r="F4858" t="e">
        <f>INDEX(Stammdaten[D Mitte mit Rinde (mm)],MATCH(Tabelle8[[#This Row],[Rank]],Stammdaten[Rank Verteilung D Mitte mit Rinde],0))</f>
        <v>#N/A</v>
      </c>
      <c r="G4858" t="e">
        <f>VLOOKUP(Tabelle8[[#This Row],[Rank]],Stammdaten[[Rank Verteilung D Mitte mit Rinde]:[Verteilung D Mitte mit Rinde]],2,FALSE)</f>
        <v>#N/A</v>
      </c>
      <c r="L4858">
        <v>4849</v>
      </c>
      <c r="M4858" t="e">
        <f>INDEX(Stammdaten[Abholzigkeit (mm/lfm)],MATCH(Tabelle9[[#This Row],[Rank]],Stammdaten[Rank Verteilung Abholzigkeit],0))</f>
        <v>#N/A</v>
      </c>
      <c r="N4858" t="e">
        <f>VLOOKUP(Tabelle9[[#This Row],[Rank]],Stammdaten[[Rank Verteilung Abholzigkeit]:[Verteilung Abholzigkeit]],2,FALSE)</f>
        <v>#N/A</v>
      </c>
      <c r="S4858">
        <v>4849</v>
      </c>
      <c r="T4858" t="e">
        <f>INDEX(Stammdaten[Krümmung (mm/lfm)],MATCH(Tabelle10[[#This Row],[Rank]],Stammdaten[Rank Verteilung Krümmung],0))</f>
        <v>#N/A</v>
      </c>
      <c r="U4858" t="e">
        <f>VLOOKUP(Tabelle10[[#This Row],[Rank]],Stammdaten[[Rank Verteilung Krümmung]:[Verteilung Krümmung]],2,FALSE)</f>
        <v>#N/A</v>
      </c>
      <c r="Z4858">
        <v>4849</v>
      </c>
      <c r="AA4858" t="e">
        <f>INDEX(Stammdaten[Ovalität (']0,1'])],MATCH(Tabelle1014[[#This Row],[Rank]],Stammdaten[Rank Verteilung Ovalität],0))</f>
        <v>#N/A</v>
      </c>
      <c r="AB4858" t="e">
        <f>VLOOKUP(Tabelle1014[[#This Row],[Rank]],Stammdaten[[Rank Verteilung Ovalität]:[Verteilung Ovalität]],2,FALSE)</f>
        <v>#N/A</v>
      </c>
    </row>
    <row r="4859" spans="5:28" x14ac:dyDescent="0.35">
      <c r="E4859">
        <v>4850</v>
      </c>
      <c r="F4859" t="e">
        <f>INDEX(Stammdaten[D Mitte mit Rinde (mm)],MATCH(Tabelle8[[#This Row],[Rank]],Stammdaten[Rank Verteilung D Mitte mit Rinde],0))</f>
        <v>#N/A</v>
      </c>
      <c r="G4859" t="e">
        <f>VLOOKUP(Tabelle8[[#This Row],[Rank]],Stammdaten[[Rank Verteilung D Mitte mit Rinde]:[Verteilung D Mitte mit Rinde]],2,FALSE)</f>
        <v>#N/A</v>
      </c>
      <c r="L4859">
        <v>4850</v>
      </c>
      <c r="M4859" t="e">
        <f>INDEX(Stammdaten[Abholzigkeit (mm/lfm)],MATCH(Tabelle9[[#This Row],[Rank]],Stammdaten[Rank Verteilung Abholzigkeit],0))</f>
        <v>#N/A</v>
      </c>
      <c r="N4859" t="e">
        <f>VLOOKUP(Tabelle9[[#This Row],[Rank]],Stammdaten[[Rank Verteilung Abholzigkeit]:[Verteilung Abholzigkeit]],2,FALSE)</f>
        <v>#N/A</v>
      </c>
      <c r="S4859">
        <v>4850</v>
      </c>
      <c r="T4859" t="e">
        <f>INDEX(Stammdaten[Krümmung (mm/lfm)],MATCH(Tabelle10[[#This Row],[Rank]],Stammdaten[Rank Verteilung Krümmung],0))</f>
        <v>#N/A</v>
      </c>
      <c r="U4859" t="e">
        <f>VLOOKUP(Tabelle10[[#This Row],[Rank]],Stammdaten[[Rank Verteilung Krümmung]:[Verteilung Krümmung]],2,FALSE)</f>
        <v>#N/A</v>
      </c>
      <c r="Z4859">
        <v>4850</v>
      </c>
      <c r="AA4859" t="e">
        <f>INDEX(Stammdaten[Ovalität (']0,1'])],MATCH(Tabelle1014[[#This Row],[Rank]],Stammdaten[Rank Verteilung Ovalität],0))</f>
        <v>#N/A</v>
      </c>
      <c r="AB4859" t="e">
        <f>VLOOKUP(Tabelle1014[[#This Row],[Rank]],Stammdaten[[Rank Verteilung Ovalität]:[Verteilung Ovalität]],2,FALSE)</f>
        <v>#N/A</v>
      </c>
    </row>
    <row r="4860" spans="5:28" x14ac:dyDescent="0.35">
      <c r="E4860">
        <v>4851</v>
      </c>
      <c r="F4860" t="e">
        <f>INDEX(Stammdaten[D Mitte mit Rinde (mm)],MATCH(Tabelle8[[#This Row],[Rank]],Stammdaten[Rank Verteilung D Mitte mit Rinde],0))</f>
        <v>#N/A</v>
      </c>
      <c r="G4860" t="e">
        <f>VLOOKUP(Tabelle8[[#This Row],[Rank]],Stammdaten[[Rank Verteilung D Mitte mit Rinde]:[Verteilung D Mitte mit Rinde]],2,FALSE)</f>
        <v>#N/A</v>
      </c>
      <c r="L4860">
        <v>4851</v>
      </c>
      <c r="M4860" t="e">
        <f>INDEX(Stammdaten[Abholzigkeit (mm/lfm)],MATCH(Tabelle9[[#This Row],[Rank]],Stammdaten[Rank Verteilung Abholzigkeit],0))</f>
        <v>#N/A</v>
      </c>
      <c r="N4860" t="e">
        <f>VLOOKUP(Tabelle9[[#This Row],[Rank]],Stammdaten[[Rank Verteilung Abholzigkeit]:[Verteilung Abholzigkeit]],2,FALSE)</f>
        <v>#N/A</v>
      </c>
      <c r="S4860">
        <v>4851</v>
      </c>
      <c r="T4860" t="e">
        <f>INDEX(Stammdaten[Krümmung (mm/lfm)],MATCH(Tabelle10[[#This Row],[Rank]],Stammdaten[Rank Verteilung Krümmung],0))</f>
        <v>#N/A</v>
      </c>
      <c r="U4860" t="e">
        <f>VLOOKUP(Tabelle10[[#This Row],[Rank]],Stammdaten[[Rank Verteilung Krümmung]:[Verteilung Krümmung]],2,FALSE)</f>
        <v>#N/A</v>
      </c>
      <c r="Z4860">
        <v>4851</v>
      </c>
      <c r="AA4860" t="e">
        <f>INDEX(Stammdaten[Ovalität (']0,1'])],MATCH(Tabelle1014[[#This Row],[Rank]],Stammdaten[Rank Verteilung Ovalität],0))</f>
        <v>#N/A</v>
      </c>
      <c r="AB4860" t="e">
        <f>VLOOKUP(Tabelle1014[[#This Row],[Rank]],Stammdaten[[Rank Verteilung Ovalität]:[Verteilung Ovalität]],2,FALSE)</f>
        <v>#N/A</v>
      </c>
    </row>
    <row r="4861" spans="5:28" x14ac:dyDescent="0.35">
      <c r="E4861">
        <v>4852</v>
      </c>
      <c r="F4861" t="e">
        <f>INDEX(Stammdaten[D Mitte mit Rinde (mm)],MATCH(Tabelle8[[#This Row],[Rank]],Stammdaten[Rank Verteilung D Mitte mit Rinde],0))</f>
        <v>#N/A</v>
      </c>
      <c r="G4861" t="e">
        <f>VLOOKUP(Tabelle8[[#This Row],[Rank]],Stammdaten[[Rank Verteilung D Mitte mit Rinde]:[Verteilung D Mitte mit Rinde]],2,FALSE)</f>
        <v>#N/A</v>
      </c>
      <c r="L4861">
        <v>4852</v>
      </c>
      <c r="M4861" t="e">
        <f>INDEX(Stammdaten[Abholzigkeit (mm/lfm)],MATCH(Tabelle9[[#This Row],[Rank]],Stammdaten[Rank Verteilung Abholzigkeit],0))</f>
        <v>#N/A</v>
      </c>
      <c r="N4861" t="e">
        <f>VLOOKUP(Tabelle9[[#This Row],[Rank]],Stammdaten[[Rank Verteilung Abholzigkeit]:[Verteilung Abholzigkeit]],2,FALSE)</f>
        <v>#N/A</v>
      </c>
      <c r="S4861">
        <v>4852</v>
      </c>
      <c r="T4861" t="e">
        <f>INDEX(Stammdaten[Krümmung (mm/lfm)],MATCH(Tabelle10[[#This Row],[Rank]],Stammdaten[Rank Verteilung Krümmung],0))</f>
        <v>#N/A</v>
      </c>
      <c r="U4861" t="e">
        <f>VLOOKUP(Tabelle10[[#This Row],[Rank]],Stammdaten[[Rank Verteilung Krümmung]:[Verteilung Krümmung]],2,FALSE)</f>
        <v>#N/A</v>
      </c>
      <c r="Z4861">
        <v>4852</v>
      </c>
      <c r="AA4861" t="e">
        <f>INDEX(Stammdaten[Ovalität (']0,1'])],MATCH(Tabelle1014[[#This Row],[Rank]],Stammdaten[Rank Verteilung Ovalität],0))</f>
        <v>#N/A</v>
      </c>
      <c r="AB4861" t="e">
        <f>VLOOKUP(Tabelle1014[[#This Row],[Rank]],Stammdaten[[Rank Verteilung Ovalität]:[Verteilung Ovalität]],2,FALSE)</f>
        <v>#N/A</v>
      </c>
    </row>
    <row r="4862" spans="5:28" x14ac:dyDescent="0.35">
      <c r="E4862">
        <v>4853</v>
      </c>
      <c r="F4862" t="e">
        <f>INDEX(Stammdaten[D Mitte mit Rinde (mm)],MATCH(Tabelle8[[#This Row],[Rank]],Stammdaten[Rank Verteilung D Mitte mit Rinde],0))</f>
        <v>#N/A</v>
      </c>
      <c r="G4862" t="e">
        <f>VLOOKUP(Tabelle8[[#This Row],[Rank]],Stammdaten[[Rank Verteilung D Mitte mit Rinde]:[Verteilung D Mitte mit Rinde]],2,FALSE)</f>
        <v>#N/A</v>
      </c>
      <c r="L4862">
        <v>4853</v>
      </c>
      <c r="M4862" t="e">
        <f>INDEX(Stammdaten[Abholzigkeit (mm/lfm)],MATCH(Tabelle9[[#This Row],[Rank]],Stammdaten[Rank Verteilung Abholzigkeit],0))</f>
        <v>#N/A</v>
      </c>
      <c r="N4862" t="e">
        <f>VLOOKUP(Tabelle9[[#This Row],[Rank]],Stammdaten[[Rank Verteilung Abholzigkeit]:[Verteilung Abholzigkeit]],2,FALSE)</f>
        <v>#N/A</v>
      </c>
      <c r="S4862">
        <v>4853</v>
      </c>
      <c r="T4862" t="e">
        <f>INDEX(Stammdaten[Krümmung (mm/lfm)],MATCH(Tabelle10[[#This Row],[Rank]],Stammdaten[Rank Verteilung Krümmung],0))</f>
        <v>#N/A</v>
      </c>
      <c r="U4862" t="e">
        <f>VLOOKUP(Tabelle10[[#This Row],[Rank]],Stammdaten[[Rank Verteilung Krümmung]:[Verteilung Krümmung]],2,FALSE)</f>
        <v>#N/A</v>
      </c>
      <c r="Z4862">
        <v>4853</v>
      </c>
      <c r="AA4862" t="e">
        <f>INDEX(Stammdaten[Ovalität (']0,1'])],MATCH(Tabelle1014[[#This Row],[Rank]],Stammdaten[Rank Verteilung Ovalität],0))</f>
        <v>#N/A</v>
      </c>
      <c r="AB4862" t="e">
        <f>VLOOKUP(Tabelle1014[[#This Row],[Rank]],Stammdaten[[Rank Verteilung Ovalität]:[Verteilung Ovalität]],2,FALSE)</f>
        <v>#N/A</v>
      </c>
    </row>
    <row r="4863" spans="5:28" x14ac:dyDescent="0.35">
      <c r="E4863">
        <v>4854</v>
      </c>
      <c r="F4863" t="e">
        <f>INDEX(Stammdaten[D Mitte mit Rinde (mm)],MATCH(Tabelle8[[#This Row],[Rank]],Stammdaten[Rank Verteilung D Mitte mit Rinde],0))</f>
        <v>#N/A</v>
      </c>
      <c r="G4863" t="e">
        <f>VLOOKUP(Tabelle8[[#This Row],[Rank]],Stammdaten[[Rank Verteilung D Mitte mit Rinde]:[Verteilung D Mitte mit Rinde]],2,FALSE)</f>
        <v>#N/A</v>
      </c>
      <c r="L4863">
        <v>4854</v>
      </c>
      <c r="M4863" t="e">
        <f>INDEX(Stammdaten[Abholzigkeit (mm/lfm)],MATCH(Tabelle9[[#This Row],[Rank]],Stammdaten[Rank Verteilung Abholzigkeit],0))</f>
        <v>#N/A</v>
      </c>
      <c r="N4863" t="e">
        <f>VLOOKUP(Tabelle9[[#This Row],[Rank]],Stammdaten[[Rank Verteilung Abholzigkeit]:[Verteilung Abholzigkeit]],2,FALSE)</f>
        <v>#N/A</v>
      </c>
      <c r="S4863">
        <v>4854</v>
      </c>
      <c r="T4863" t="e">
        <f>INDEX(Stammdaten[Krümmung (mm/lfm)],MATCH(Tabelle10[[#This Row],[Rank]],Stammdaten[Rank Verteilung Krümmung],0))</f>
        <v>#N/A</v>
      </c>
      <c r="U4863" t="e">
        <f>VLOOKUP(Tabelle10[[#This Row],[Rank]],Stammdaten[[Rank Verteilung Krümmung]:[Verteilung Krümmung]],2,FALSE)</f>
        <v>#N/A</v>
      </c>
      <c r="Z4863">
        <v>4854</v>
      </c>
      <c r="AA4863" t="e">
        <f>INDEX(Stammdaten[Ovalität (']0,1'])],MATCH(Tabelle1014[[#This Row],[Rank]],Stammdaten[Rank Verteilung Ovalität],0))</f>
        <v>#N/A</v>
      </c>
      <c r="AB4863" t="e">
        <f>VLOOKUP(Tabelle1014[[#This Row],[Rank]],Stammdaten[[Rank Verteilung Ovalität]:[Verteilung Ovalität]],2,FALSE)</f>
        <v>#N/A</v>
      </c>
    </row>
    <row r="4864" spans="5:28" x14ac:dyDescent="0.35">
      <c r="E4864">
        <v>4855</v>
      </c>
      <c r="F4864" t="e">
        <f>INDEX(Stammdaten[D Mitte mit Rinde (mm)],MATCH(Tabelle8[[#This Row],[Rank]],Stammdaten[Rank Verteilung D Mitte mit Rinde],0))</f>
        <v>#N/A</v>
      </c>
      <c r="G4864" t="e">
        <f>VLOOKUP(Tabelle8[[#This Row],[Rank]],Stammdaten[[Rank Verteilung D Mitte mit Rinde]:[Verteilung D Mitte mit Rinde]],2,FALSE)</f>
        <v>#N/A</v>
      </c>
      <c r="L4864">
        <v>4855</v>
      </c>
      <c r="M4864" t="e">
        <f>INDEX(Stammdaten[Abholzigkeit (mm/lfm)],MATCH(Tabelle9[[#This Row],[Rank]],Stammdaten[Rank Verteilung Abholzigkeit],0))</f>
        <v>#N/A</v>
      </c>
      <c r="N4864" t="e">
        <f>VLOOKUP(Tabelle9[[#This Row],[Rank]],Stammdaten[[Rank Verteilung Abholzigkeit]:[Verteilung Abholzigkeit]],2,FALSE)</f>
        <v>#N/A</v>
      </c>
      <c r="S4864">
        <v>4855</v>
      </c>
      <c r="T4864" t="e">
        <f>INDEX(Stammdaten[Krümmung (mm/lfm)],MATCH(Tabelle10[[#This Row],[Rank]],Stammdaten[Rank Verteilung Krümmung],0))</f>
        <v>#N/A</v>
      </c>
      <c r="U4864" t="e">
        <f>VLOOKUP(Tabelle10[[#This Row],[Rank]],Stammdaten[[Rank Verteilung Krümmung]:[Verteilung Krümmung]],2,FALSE)</f>
        <v>#N/A</v>
      </c>
      <c r="Z4864">
        <v>4855</v>
      </c>
      <c r="AA4864" t="e">
        <f>INDEX(Stammdaten[Ovalität (']0,1'])],MATCH(Tabelle1014[[#This Row],[Rank]],Stammdaten[Rank Verteilung Ovalität],0))</f>
        <v>#N/A</v>
      </c>
      <c r="AB4864" t="e">
        <f>VLOOKUP(Tabelle1014[[#This Row],[Rank]],Stammdaten[[Rank Verteilung Ovalität]:[Verteilung Ovalität]],2,FALSE)</f>
        <v>#N/A</v>
      </c>
    </row>
    <row r="4865" spans="5:28" x14ac:dyDescent="0.35">
      <c r="E4865">
        <v>4856</v>
      </c>
      <c r="F4865" t="e">
        <f>INDEX(Stammdaten[D Mitte mit Rinde (mm)],MATCH(Tabelle8[[#This Row],[Rank]],Stammdaten[Rank Verteilung D Mitte mit Rinde],0))</f>
        <v>#N/A</v>
      </c>
      <c r="G4865" t="e">
        <f>VLOOKUP(Tabelle8[[#This Row],[Rank]],Stammdaten[[Rank Verteilung D Mitte mit Rinde]:[Verteilung D Mitte mit Rinde]],2,FALSE)</f>
        <v>#N/A</v>
      </c>
      <c r="L4865">
        <v>4856</v>
      </c>
      <c r="M4865" t="e">
        <f>INDEX(Stammdaten[Abholzigkeit (mm/lfm)],MATCH(Tabelle9[[#This Row],[Rank]],Stammdaten[Rank Verteilung Abholzigkeit],0))</f>
        <v>#N/A</v>
      </c>
      <c r="N4865" t="e">
        <f>VLOOKUP(Tabelle9[[#This Row],[Rank]],Stammdaten[[Rank Verteilung Abholzigkeit]:[Verteilung Abholzigkeit]],2,FALSE)</f>
        <v>#N/A</v>
      </c>
      <c r="S4865">
        <v>4856</v>
      </c>
      <c r="T4865" t="e">
        <f>INDEX(Stammdaten[Krümmung (mm/lfm)],MATCH(Tabelle10[[#This Row],[Rank]],Stammdaten[Rank Verteilung Krümmung],0))</f>
        <v>#N/A</v>
      </c>
      <c r="U4865" t="e">
        <f>VLOOKUP(Tabelle10[[#This Row],[Rank]],Stammdaten[[Rank Verteilung Krümmung]:[Verteilung Krümmung]],2,FALSE)</f>
        <v>#N/A</v>
      </c>
      <c r="Z4865">
        <v>4856</v>
      </c>
      <c r="AA4865" t="e">
        <f>INDEX(Stammdaten[Ovalität (']0,1'])],MATCH(Tabelle1014[[#This Row],[Rank]],Stammdaten[Rank Verteilung Ovalität],0))</f>
        <v>#N/A</v>
      </c>
      <c r="AB4865" t="e">
        <f>VLOOKUP(Tabelle1014[[#This Row],[Rank]],Stammdaten[[Rank Verteilung Ovalität]:[Verteilung Ovalität]],2,FALSE)</f>
        <v>#N/A</v>
      </c>
    </row>
    <row r="4866" spans="5:28" x14ac:dyDescent="0.35">
      <c r="E4866">
        <v>4857</v>
      </c>
      <c r="F4866" t="e">
        <f>INDEX(Stammdaten[D Mitte mit Rinde (mm)],MATCH(Tabelle8[[#This Row],[Rank]],Stammdaten[Rank Verteilung D Mitte mit Rinde],0))</f>
        <v>#N/A</v>
      </c>
      <c r="G4866" t="e">
        <f>VLOOKUP(Tabelle8[[#This Row],[Rank]],Stammdaten[[Rank Verteilung D Mitte mit Rinde]:[Verteilung D Mitte mit Rinde]],2,FALSE)</f>
        <v>#N/A</v>
      </c>
      <c r="L4866">
        <v>4857</v>
      </c>
      <c r="M4866" t="e">
        <f>INDEX(Stammdaten[Abholzigkeit (mm/lfm)],MATCH(Tabelle9[[#This Row],[Rank]],Stammdaten[Rank Verteilung Abholzigkeit],0))</f>
        <v>#N/A</v>
      </c>
      <c r="N4866" t="e">
        <f>VLOOKUP(Tabelle9[[#This Row],[Rank]],Stammdaten[[Rank Verteilung Abholzigkeit]:[Verteilung Abholzigkeit]],2,FALSE)</f>
        <v>#N/A</v>
      </c>
      <c r="S4866">
        <v>4857</v>
      </c>
      <c r="T4866" t="e">
        <f>INDEX(Stammdaten[Krümmung (mm/lfm)],MATCH(Tabelle10[[#This Row],[Rank]],Stammdaten[Rank Verteilung Krümmung],0))</f>
        <v>#N/A</v>
      </c>
      <c r="U4866" t="e">
        <f>VLOOKUP(Tabelle10[[#This Row],[Rank]],Stammdaten[[Rank Verteilung Krümmung]:[Verteilung Krümmung]],2,FALSE)</f>
        <v>#N/A</v>
      </c>
      <c r="Z4866">
        <v>4857</v>
      </c>
      <c r="AA4866" t="e">
        <f>INDEX(Stammdaten[Ovalität (']0,1'])],MATCH(Tabelle1014[[#This Row],[Rank]],Stammdaten[Rank Verteilung Ovalität],0))</f>
        <v>#N/A</v>
      </c>
      <c r="AB4866" t="e">
        <f>VLOOKUP(Tabelle1014[[#This Row],[Rank]],Stammdaten[[Rank Verteilung Ovalität]:[Verteilung Ovalität]],2,FALSE)</f>
        <v>#N/A</v>
      </c>
    </row>
    <row r="4867" spans="5:28" x14ac:dyDescent="0.35">
      <c r="E4867">
        <v>4858</v>
      </c>
      <c r="F4867" t="e">
        <f>INDEX(Stammdaten[D Mitte mit Rinde (mm)],MATCH(Tabelle8[[#This Row],[Rank]],Stammdaten[Rank Verteilung D Mitte mit Rinde],0))</f>
        <v>#N/A</v>
      </c>
      <c r="G4867" t="e">
        <f>VLOOKUP(Tabelle8[[#This Row],[Rank]],Stammdaten[[Rank Verteilung D Mitte mit Rinde]:[Verteilung D Mitte mit Rinde]],2,FALSE)</f>
        <v>#N/A</v>
      </c>
      <c r="L4867">
        <v>4858</v>
      </c>
      <c r="M4867" t="e">
        <f>INDEX(Stammdaten[Abholzigkeit (mm/lfm)],MATCH(Tabelle9[[#This Row],[Rank]],Stammdaten[Rank Verteilung Abholzigkeit],0))</f>
        <v>#N/A</v>
      </c>
      <c r="N4867" t="e">
        <f>VLOOKUP(Tabelle9[[#This Row],[Rank]],Stammdaten[[Rank Verteilung Abholzigkeit]:[Verteilung Abholzigkeit]],2,FALSE)</f>
        <v>#N/A</v>
      </c>
      <c r="S4867">
        <v>4858</v>
      </c>
      <c r="T4867" t="e">
        <f>INDEX(Stammdaten[Krümmung (mm/lfm)],MATCH(Tabelle10[[#This Row],[Rank]],Stammdaten[Rank Verteilung Krümmung],0))</f>
        <v>#N/A</v>
      </c>
      <c r="U4867" t="e">
        <f>VLOOKUP(Tabelle10[[#This Row],[Rank]],Stammdaten[[Rank Verteilung Krümmung]:[Verteilung Krümmung]],2,FALSE)</f>
        <v>#N/A</v>
      </c>
      <c r="Z4867">
        <v>4858</v>
      </c>
      <c r="AA4867" t="e">
        <f>INDEX(Stammdaten[Ovalität (']0,1'])],MATCH(Tabelle1014[[#This Row],[Rank]],Stammdaten[Rank Verteilung Ovalität],0))</f>
        <v>#N/A</v>
      </c>
      <c r="AB4867" t="e">
        <f>VLOOKUP(Tabelle1014[[#This Row],[Rank]],Stammdaten[[Rank Verteilung Ovalität]:[Verteilung Ovalität]],2,FALSE)</f>
        <v>#N/A</v>
      </c>
    </row>
    <row r="4868" spans="5:28" x14ac:dyDescent="0.35">
      <c r="E4868">
        <v>4859</v>
      </c>
      <c r="F4868" t="e">
        <f>INDEX(Stammdaten[D Mitte mit Rinde (mm)],MATCH(Tabelle8[[#This Row],[Rank]],Stammdaten[Rank Verteilung D Mitte mit Rinde],0))</f>
        <v>#N/A</v>
      </c>
      <c r="G4868" t="e">
        <f>VLOOKUP(Tabelle8[[#This Row],[Rank]],Stammdaten[[Rank Verteilung D Mitte mit Rinde]:[Verteilung D Mitte mit Rinde]],2,FALSE)</f>
        <v>#N/A</v>
      </c>
      <c r="L4868">
        <v>4859</v>
      </c>
      <c r="M4868" t="e">
        <f>INDEX(Stammdaten[Abholzigkeit (mm/lfm)],MATCH(Tabelle9[[#This Row],[Rank]],Stammdaten[Rank Verteilung Abholzigkeit],0))</f>
        <v>#N/A</v>
      </c>
      <c r="N4868" t="e">
        <f>VLOOKUP(Tabelle9[[#This Row],[Rank]],Stammdaten[[Rank Verteilung Abholzigkeit]:[Verteilung Abholzigkeit]],2,FALSE)</f>
        <v>#N/A</v>
      </c>
      <c r="S4868">
        <v>4859</v>
      </c>
      <c r="T4868" t="e">
        <f>INDEX(Stammdaten[Krümmung (mm/lfm)],MATCH(Tabelle10[[#This Row],[Rank]],Stammdaten[Rank Verteilung Krümmung],0))</f>
        <v>#N/A</v>
      </c>
      <c r="U4868" t="e">
        <f>VLOOKUP(Tabelle10[[#This Row],[Rank]],Stammdaten[[Rank Verteilung Krümmung]:[Verteilung Krümmung]],2,FALSE)</f>
        <v>#N/A</v>
      </c>
      <c r="Z4868">
        <v>4859</v>
      </c>
      <c r="AA4868" t="e">
        <f>INDEX(Stammdaten[Ovalität (']0,1'])],MATCH(Tabelle1014[[#This Row],[Rank]],Stammdaten[Rank Verteilung Ovalität],0))</f>
        <v>#N/A</v>
      </c>
      <c r="AB4868" t="e">
        <f>VLOOKUP(Tabelle1014[[#This Row],[Rank]],Stammdaten[[Rank Verteilung Ovalität]:[Verteilung Ovalität]],2,FALSE)</f>
        <v>#N/A</v>
      </c>
    </row>
    <row r="4869" spans="5:28" x14ac:dyDescent="0.35">
      <c r="E4869">
        <v>4860</v>
      </c>
      <c r="F4869" t="e">
        <f>INDEX(Stammdaten[D Mitte mit Rinde (mm)],MATCH(Tabelle8[[#This Row],[Rank]],Stammdaten[Rank Verteilung D Mitte mit Rinde],0))</f>
        <v>#N/A</v>
      </c>
      <c r="G4869" t="e">
        <f>VLOOKUP(Tabelle8[[#This Row],[Rank]],Stammdaten[[Rank Verteilung D Mitte mit Rinde]:[Verteilung D Mitte mit Rinde]],2,FALSE)</f>
        <v>#N/A</v>
      </c>
      <c r="L4869">
        <v>4860</v>
      </c>
      <c r="M4869" t="e">
        <f>INDEX(Stammdaten[Abholzigkeit (mm/lfm)],MATCH(Tabelle9[[#This Row],[Rank]],Stammdaten[Rank Verteilung Abholzigkeit],0))</f>
        <v>#N/A</v>
      </c>
      <c r="N4869" t="e">
        <f>VLOOKUP(Tabelle9[[#This Row],[Rank]],Stammdaten[[Rank Verteilung Abholzigkeit]:[Verteilung Abholzigkeit]],2,FALSE)</f>
        <v>#N/A</v>
      </c>
      <c r="S4869">
        <v>4860</v>
      </c>
      <c r="T4869" t="e">
        <f>INDEX(Stammdaten[Krümmung (mm/lfm)],MATCH(Tabelle10[[#This Row],[Rank]],Stammdaten[Rank Verteilung Krümmung],0))</f>
        <v>#N/A</v>
      </c>
      <c r="U4869" t="e">
        <f>VLOOKUP(Tabelle10[[#This Row],[Rank]],Stammdaten[[Rank Verteilung Krümmung]:[Verteilung Krümmung]],2,FALSE)</f>
        <v>#N/A</v>
      </c>
      <c r="Z4869">
        <v>4860</v>
      </c>
      <c r="AA4869" t="e">
        <f>INDEX(Stammdaten[Ovalität (']0,1'])],MATCH(Tabelle1014[[#This Row],[Rank]],Stammdaten[Rank Verteilung Ovalität],0))</f>
        <v>#N/A</v>
      </c>
      <c r="AB4869" t="e">
        <f>VLOOKUP(Tabelle1014[[#This Row],[Rank]],Stammdaten[[Rank Verteilung Ovalität]:[Verteilung Ovalität]],2,FALSE)</f>
        <v>#N/A</v>
      </c>
    </row>
    <row r="4870" spans="5:28" x14ac:dyDescent="0.35">
      <c r="E4870">
        <v>4861</v>
      </c>
      <c r="F4870" t="e">
        <f>INDEX(Stammdaten[D Mitte mit Rinde (mm)],MATCH(Tabelle8[[#This Row],[Rank]],Stammdaten[Rank Verteilung D Mitte mit Rinde],0))</f>
        <v>#N/A</v>
      </c>
      <c r="G4870" t="e">
        <f>VLOOKUP(Tabelle8[[#This Row],[Rank]],Stammdaten[[Rank Verteilung D Mitte mit Rinde]:[Verteilung D Mitte mit Rinde]],2,FALSE)</f>
        <v>#N/A</v>
      </c>
      <c r="L4870">
        <v>4861</v>
      </c>
      <c r="M4870" t="e">
        <f>INDEX(Stammdaten[Abholzigkeit (mm/lfm)],MATCH(Tabelle9[[#This Row],[Rank]],Stammdaten[Rank Verteilung Abholzigkeit],0))</f>
        <v>#N/A</v>
      </c>
      <c r="N4870" t="e">
        <f>VLOOKUP(Tabelle9[[#This Row],[Rank]],Stammdaten[[Rank Verteilung Abholzigkeit]:[Verteilung Abholzigkeit]],2,FALSE)</f>
        <v>#N/A</v>
      </c>
      <c r="S4870">
        <v>4861</v>
      </c>
      <c r="T4870" t="e">
        <f>INDEX(Stammdaten[Krümmung (mm/lfm)],MATCH(Tabelle10[[#This Row],[Rank]],Stammdaten[Rank Verteilung Krümmung],0))</f>
        <v>#N/A</v>
      </c>
      <c r="U4870" t="e">
        <f>VLOOKUP(Tabelle10[[#This Row],[Rank]],Stammdaten[[Rank Verteilung Krümmung]:[Verteilung Krümmung]],2,FALSE)</f>
        <v>#N/A</v>
      </c>
      <c r="Z4870">
        <v>4861</v>
      </c>
      <c r="AA4870" t="e">
        <f>INDEX(Stammdaten[Ovalität (']0,1'])],MATCH(Tabelle1014[[#This Row],[Rank]],Stammdaten[Rank Verteilung Ovalität],0))</f>
        <v>#N/A</v>
      </c>
      <c r="AB4870" t="e">
        <f>VLOOKUP(Tabelle1014[[#This Row],[Rank]],Stammdaten[[Rank Verteilung Ovalität]:[Verteilung Ovalität]],2,FALSE)</f>
        <v>#N/A</v>
      </c>
    </row>
    <row r="4871" spans="5:28" x14ac:dyDescent="0.35">
      <c r="E4871">
        <v>4862</v>
      </c>
      <c r="F4871" t="e">
        <f>INDEX(Stammdaten[D Mitte mit Rinde (mm)],MATCH(Tabelle8[[#This Row],[Rank]],Stammdaten[Rank Verteilung D Mitte mit Rinde],0))</f>
        <v>#N/A</v>
      </c>
      <c r="G4871" t="e">
        <f>VLOOKUP(Tabelle8[[#This Row],[Rank]],Stammdaten[[Rank Verteilung D Mitte mit Rinde]:[Verteilung D Mitte mit Rinde]],2,FALSE)</f>
        <v>#N/A</v>
      </c>
      <c r="L4871">
        <v>4862</v>
      </c>
      <c r="M4871" t="e">
        <f>INDEX(Stammdaten[Abholzigkeit (mm/lfm)],MATCH(Tabelle9[[#This Row],[Rank]],Stammdaten[Rank Verteilung Abholzigkeit],0))</f>
        <v>#N/A</v>
      </c>
      <c r="N4871" t="e">
        <f>VLOOKUP(Tabelle9[[#This Row],[Rank]],Stammdaten[[Rank Verteilung Abholzigkeit]:[Verteilung Abholzigkeit]],2,FALSE)</f>
        <v>#N/A</v>
      </c>
      <c r="S4871">
        <v>4862</v>
      </c>
      <c r="T4871" t="e">
        <f>INDEX(Stammdaten[Krümmung (mm/lfm)],MATCH(Tabelle10[[#This Row],[Rank]],Stammdaten[Rank Verteilung Krümmung],0))</f>
        <v>#N/A</v>
      </c>
      <c r="U4871" t="e">
        <f>VLOOKUP(Tabelle10[[#This Row],[Rank]],Stammdaten[[Rank Verteilung Krümmung]:[Verteilung Krümmung]],2,FALSE)</f>
        <v>#N/A</v>
      </c>
      <c r="Z4871">
        <v>4862</v>
      </c>
      <c r="AA4871" t="e">
        <f>INDEX(Stammdaten[Ovalität (']0,1'])],MATCH(Tabelle1014[[#This Row],[Rank]],Stammdaten[Rank Verteilung Ovalität],0))</f>
        <v>#N/A</v>
      </c>
      <c r="AB4871" t="e">
        <f>VLOOKUP(Tabelle1014[[#This Row],[Rank]],Stammdaten[[Rank Verteilung Ovalität]:[Verteilung Ovalität]],2,FALSE)</f>
        <v>#N/A</v>
      </c>
    </row>
    <row r="4872" spans="5:28" x14ac:dyDescent="0.35">
      <c r="E4872">
        <v>4863</v>
      </c>
      <c r="F4872" t="e">
        <f>INDEX(Stammdaten[D Mitte mit Rinde (mm)],MATCH(Tabelle8[[#This Row],[Rank]],Stammdaten[Rank Verteilung D Mitte mit Rinde],0))</f>
        <v>#N/A</v>
      </c>
      <c r="G4872" t="e">
        <f>VLOOKUP(Tabelle8[[#This Row],[Rank]],Stammdaten[[Rank Verteilung D Mitte mit Rinde]:[Verteilung D Mitte mit Rinde]],2,FALSE)</f>
        <v>#N/A</v>
      </c>
      <c r="L4872">
        <v>4863</v>
      </c>
      <c r="M4872" t="e">
        <f>INDEX(Stammdaten[Abholzigkeit (mm/lfm)],MATCH(Tabelle9[[#This Row],[Rank]],Stammdaten[Rank Verteilung Abholzigkeit],0))</f>
        <v>#N/A</v>
      </c>
      <c r="N4872" t="e">
        <f>VLOOKUP(Tabelle9[[#This Row],[Rank]],Stammdaten[[Rank Verteilung Abholzigkeit]:[Verteilung Abholzigkeit]],2,FALSE)</f>
        <v>#N/A</v>
      </c>
      <c r="S4872">
        <v>4863</v>
      </c>
      <c r="T4872" t="e">
        <f>INDEX(Stammdaten[Krümmung (mm/lfm)],MATCH(Tabelle10[[#This Row],[Rank]],Stammdaten[Rank Verteilung Krümmung],0))</f>
        <v>#N/A</v>
      </c>
      <c r="U4872" t="e">
        <f>VLOOKUP(Tabelle10[[#This Row],[Rank]],Stammdaten[[Rank Verteilung Krümmung]:[Verteilung Krümmung]],2,FALSE)</f>
        <v>#N/A</v>
      </c>
      <c r="Z4872">
        <v>4863</v>
      </c>
      <c r="AA4872" t="e">
        <f>INDEX(Stammdaten[Ovalität (']0,1'])],MATCH(Tabelle1014[[#This Row],[Rank]],Stammdaten[Rank Verteilung Ovalität],0))</f>
        <v>#N/A</v>
      </c>
      <c r="AB4872" t="e">
        <f>VLOOKUP(Tabelle1014[[#This Row],[Rank]],Stammdaten[[Rank Verteilung Ovalität]:[Verteilung Ovalität]],2,FALSE)</f>
        <v>#N/A</v>
      </c>
    </row>
    <row r="4873" spans="5:28" x14ac:dyDescent="0.35">
      <c r="E4873">
        <v>4864</v>
      </c>
      <c r="F4873" t="e">
        <f>INDEX(Stammdaten[D Mitte mit Rinde (mm)],MATCH(Tabelle8[[#This Row],[Rank]],Stammdaten[Rank Verteilung D Mitte mit Rinde],0))</f>
        <v>#N/A</v>
      </c>
      <c r="G4873" t="e">
        <f>VLOOKUP(Tabelle8[[#This Row],[Rank]],Stammdaten[[Rank Verteilung D Mitte mit Rinde]:[Verteilung D Mitte mit Rinde]],2,FALSE)</f>
        <v>#N/A</v>
      </c>
      <c r="L4873">
        <v>4864</v>
      </c>
      <c r="M4873" t="e">
        <f>INDEX(Stammdaten[Abholzigkeit (mm/lfm)],MATCH(Tabelle9[[#This Row],[Rank]],Stammdaten[Rank Verteilung Abholzigkeit],0))</f>
        <v>#N/A</v>
      </c>
      <c r="N4873" t="e">
        <f>VLOOKUP(Tabelle9[[#This Row],[Rank]],Stammdaten[[Rank Verteilung Abholzigkeit]:[Verteilung Abholzigkeit]],2,FALSE)</f>
        <v>#N/A</v>
      </c>
      <c r="S4873">
        <v>4864</v>
      </c>
      <c r="T4873" t="e">
        <f>INDEX(Stammdaten[Krümmung (mm/lfm)],MATCH(Tabelle10[[#This Row],[Rank]],Stammdaten[Rank Verteilung Krümmung],0))</f>
        <v>#N/A</v>
      </c>
      <c r="U4873" t="e">
        <f>VLOOKUP(Tabelle10[[#This Row],[Rank]],Stammdaten[[Rank Verteilung Krümmung]:[Verteilung Krümmung]],2,FALSE)</f>
        <v>#N/A</v>
      </c>
      <c r="Z4873">
        <v>4864</v>
      </c>
      <c r="AA4873" t="e">
        <f>INDEX(Stammdaten[Ovalität (']0,1'])],MATCH(Tabelle1014[[#This Row],[Rank]],Stammdaten[Rank Verteilung Ovalität],0))</f>
        <v>#N/A</v>
      </c>
      <c r="AB4873" t="e">
        <f>VLOOKUP(Tabelle1014[[#This Row],[Rank]],Stammdaten[[Rank Verteilung Ovalität]:[Verteilung Ovalität]],2,FALSE)</f>
        <v>#N/A</v>
      </c>
    </row>
    <row r="4874" spans="5:28" x14ac:dyDescent="0.35">
      <c r="E4874">
        <v>4865</v>
      </c>
      <c r="F4874" t="e">
        <f>INDEX(Stammdaten[D Mitte mit Rinde (mm)],MATCH(Tabelle8[[#This Row],[Rank]],Stammdaten[Rank Verteilung D Mitte mit Rinde],0))</f>
        <v>#N/A</v>
      </c>
      <c r="G4874" t="e">
        <f>VLOOKUP(Tabelle8[[#This Row],[Rank]],Stammdaten[[Rank Verteilung D Mitte mit Rinde]:[Verteilung D Mitte mit Rinde]],2,FALSE)</f>
        <v>#N/A</v>
      </c>
      <c r="L4874">
        <v>4865</v>
      </c>
      <c r="M4874" t="e">
        <f>INDEX(Stammdaten[Abholzigkeit (mm/lfm)],MATCH(Tabelle9[[#This Row],[Rank]],Stammdaten[Rank Verteilung Abholzigkeit],0))</f>
        <v>#N/A</v>
      </c>
      <c r="N4874" t="e">
        <f>VLOOKUP(Tabelle9[[#This Row],[Rank]],Stammdaten[[Rank Verteilung Abholzigkeit]:[Verteilung Abholzigkeit]],2,FALSE)</f>
        <v>#N/A</v>
      </c>
      <c r="S4874">
        <v>4865</v>
      </c>
      <c r="T4874" t="e">
        <f>INDEX(Stammdaten[Krümmung (mm/lfm)],MATCH(Tabelle10[[#This Row],[Rank]],Stammdaten[Rank Verteilung Krümmung],0))</f>
        <v>#N/A</v>
      </c>
      <c r="U4874" t="e">
        <f>VLOOKUP(Tabelle10[[#This Row],[Rank]],Stammdaten[[Rank Verteilung Krümmung]:[Verteilung Krümmung]],2,FALSE)</f>
        <v>#N/A</v>
      </c>
      <c r="Z4874">
        <v>4865</v>
      </c>
      <c r="AA4874" t="e">
        <f>INDEX(Stammdaten[Ovalität (']0,1'])],MATCH(Tabelle1014[[#This Row],[Rank]],Stammdaten[Rank Verteilung Ovalität],0))</f>
        <v>#N/A</v>
      </c>
      <c r="AB4874" t="e">
        <f>VLOOKUP(Tabelle1014[[#This Row],[Rank]],Stammdaten[[Rank Verteilung Ovalität]:[Verteilung Ovalität]],2,FALSE)</f>
        <v>#N/A</v>
      </c>
    </row>
    <row r="4875" spans="5:28" x14ac:dyDescent="0.35">
      <c r="E4875">
        <v>4866</v>
      </c>
      <c r="F4875" t="e">
        <f>INDEX(Stammdaten[D Mitte mit Rinde (mm)],MATCH(Tabelle8[[#This Row],[Rank]],Stammdaten[Rank Verteilung D Mitte mit Rinde],0))</f>
        <v>#N/A</v>
      </c>
      <c r="G4875" t="e">
        <f>VLOOKUP(Tabelle8[[#This Row],[Rank]],Stammdaten[[Rank Verteilung D Mitte mit Rinde]:[Verteilung D Mitte mit Rinde]],2,FALSE)</f>
        <v>#N/A</v>
      </c>
      <c r="L4875">
        <v>4866</v>
      </c>
      <c r="M4875" t="e">
        <f>INDEX(Stammdaten[Abholzigkeit (mm/lfm)],MATCH(Tabelle9[[#This Row],[Rank]],Stammdaten[Rank Verteilung Abholzigkeit],0))</f>
        <v>#N/A</v>
      </c>
      <c r="N4875" t="e">
        <f>VLOOKUP(Tabelle9[[#This Row],[Rank]],Stammdaten[[Rank Verteilung Abholzigkeit]:[Verteilung Abholzigkeit]],2,FALSE)</f>
        <v>#N/A</v>
      </c>
      <c r="S4875">
        <v>4866</v>
      </c>
      <c r="T4875" t="e">
        <f>INDEX(Stammdaten[Krümmung (mm/lfm)],MATCH(Tabelle10[[#This Row],[Rank]],Stammdaten[Rank Verteilung Krümmung],0))</f>
        <v>#N/A</v>
      </c>
      <c r="U4875" t="e">
        <f>VLOOKUP(Tabelle10[[#This Row],[Rank]],Stammdaten[[Rank Verteilung Krümmung]:[Verteilung Krümmung]],2,FALSE)</f>
        <v>#N/A</v>
      </c>
      <c r="Z4875">
        <v>4866</v>
      </c>
      <c r="AA4875" t="e">
        <f>INDEX(Stammdaten[Ovalität (']0,1'])],MATCH(Tabelle1014[[#This Row],[Rank]],Stammdaten[Rank Verteilung Ovalität],0))</f>
        <v>#N/A</v>
      </c>
      <c r="AB4875" t="e">
        <f>VLOOKUP(Tabelle1014[[#This Row],[Rank]],Stammdaten[[Rank Verteilung Ovalität]:[Verteilung Ovalität]],2,FALSE)</f>
        <v>#N/A</v>
      </c>
    </row>
    <row r="4876" spans="5:28" x14ac:dyDescent="0.35">
      <c r="E4876">
        <v>4867</v>
      </c>
      <c r="F4876" t="e">
        <f>INDEX(Stammdaten[D Mitte mit Rinde (mm)],MATCH(Tabelle8[[#This Row],[Rank]],Stammdaten[Rank Verteilung D Mitte mit Rinde],0))</f>
        <v>#N/A</v>
      </c>
      <c r="G4876" t="e">
        <f>VLOOKUP(Tabelle8[[#This Row],[Rank]],Stammdaten[[Rank Verteilung D Mitte mit Rinde]:[Verteilung D Mitte mit Rinde]],2,FALSE)</f>
        <v>#N/A</v>
      </c>
      <c r="L4876">
        <v>4867</v>
      </c>
      <c r="M4876" t="e">
        <f>INDEX(Stammdaten[Abholzigkeit (mm/lfm)],MATCH(Tabelle9[[#This Row],[Rank]],Stammdaten[Rank Verteilung Abholzigkeit],0))</f>
        <v>#N/A</v>
      </c>
      <c r="N4876" t="e">
        <f>VLOOKUP(Tabelle9[[#This Row],[Rank]],Stammdaten[[Rank Verteilung Abholzigkeit]:[Verteilung Abholzigkeit]],2,FALSE)</f>
        <v>#N/A</v>
      </c>
      <c r="S4876">
        <v>4867</v>
      </c>
      <c r="T4876" t="e">
        <f>INDEX(Stammdaten[Krümmung (mm/lfm)],MATCH(Tabelle10[[#This Row],[Rank]],Stammdaten[Rank Verteilung Krümmung],0))</f>
        <v>#N/A</v>
      </c>
      <c r="U4876" t="e">
        <f>VLOOKUP(Tabelle10[[#This Row],[Rank]],Stammdaten[[Rank Verteilung Krümmung]:[Verteilung Krümmung]],2,FALSE)</f>
        <v>#N/A</v>
      </c>
      <c r="Z4876">
        <v>4867</v>
      </c>
      <c r="AA4876" t="e">
        <f>INDEX(Stammdaten[Ovalität (']0,1'])],MATCH(Tabelle1014[[#This Row],[Rank]],Stammdaten[Rank Verteilung Ovalität],0))</f>
        <v>#N/A</v>
      </c>
      <c r="AB4876" t="e">
        <f>VLOOKUP(Tabelle1014[[#This Row],[Rank]],Stammdaten[[Rank Verteilung Ovalität]:[Verteilung Ovalität]],2,FALSE)</f>
        <v>#N/A</v>
      </c>
    </row>
    <row r="4877" spans="5:28" x14ac:dyDescent="0.35">
      <c r="E4877">
        <v>4868</v>
      </c>
      <c r="F4877" t="e">
        <f>INDEX(Stammdaten[D Mitte mit Rinde (mm)],MATCH(Tabelle8[[#This Row],[Rank]],Stammdaten[Rank Verteilung D Mitte mit Rinde],0))</f>
        <v>#N/A</v>
      </c>
      <c r="G4877" t="e">
        <f>VLOOKUP(Tabelle8[[#This Row],[Rank]],Stammdaten[[Rank Verteilung D Mitte mit Rinde]:[Verteilung D Mitte mit Rinde]],2,FALSE)</f>
        <v>#N/A</v>
      </c>
      <c r="L4877">
        <v>4868</v>
      </c>
      <c r="M4877" t="e">
        <f>INDEX(Stammdaten[Abholzigkeit (mm/lfm)],MATCH(Tabelle9[[#This Row],[Rank]],Stammdaten[Rank Verteilung Abholzigkeit],0))</f>
        <v>#N/A</v>
      </c>
      <c r="N4877" t="e">
        <f>VLOOKUP(Tabelle9[[#This Row],[Rank]],Stammdaten[[Rank Verteilung Abholzigkeit]:[Verteilung Abholzigkeit]],2,FALSE)</f>
        <v>#N/A</v>
      </c>
      <c r="S4877">
        <v>4868</v>
      </c>
      <c r="T4877" t="e">
        <f>INDEX(Stammdaten[Krümmung (mm/lfm)],MATCH(Tabelle10[[#This Row],[Rank]],Stammdaten[Rank Verteilung Krümmung],0))</f>
        <v>#N/A</v>
      </c>
      <c r="U4877" t="e">
        <f>VLOOKUP(Tabelle10[[#This Row],[Rank]],Stammdaten[[Rank Verteilung Krümmung]:[Verteilung Krümmung]],2,FALSE)</f>
        <v>#N/A</v>
      </c>
      <c r="Z4877">
        <v>4868</v>
      </c>
      <c r="AA4877" t="e">
        <f>INDEX(Stammdaten[Ovalität (']0,1'])],MATCH(Tabelle1014[[#This Row],[Rank]],Stammdaten[Rank Verteilung Ovalität],0))</f>
        <v>#N/A</v>
      </c>
      <c r="AB4877" t="e">
        <f>VLOOKUP(Tabelle1014[[#This Row],[Rank]],Stammdaten[[Rank Verteilung Ovalität]:[Verteilung Ovalität]],2,FALSE)</f>
        <v>#N/A</v>
      </c>
    </row>
    <row r="4878" spans="5:28" x14ac:dyDescent="0.35">
      <c r="E4878">
        <v>4869</v>
      </c>
      <c r="F4878" t="e">
        <f>INDEX(Stammdaten[D Mitte mit Rinde (mm)],MATCH(Tabelle8[[#This Row],[Rank]],Stammdaten[Rank Verteilung D Mitte mit Rinde],0))</f>
        <v>#N/A</v>
      </c>
      <c r="G4878" t="e">
        <f>VLOOKUP(Tabelle8[[#This Row],[Rank]],Stammdaten[[Rank Verteilung D Mitte mit Rinde]:[Verteilung D Mitte mit Rinde]],2,FALSE)</f>
        <v>#N/A</v>
      </c>
      <c r="L4878">
        <v>4869</v>
      </c>
      <c r="M4878" t="e">
        <f>INDEX(Stammdaten[Abholzigkeit (mm/lfm)],MATCH(Tabelle9[[#This Row],[Rank]],Stammdaten[Rank Verteilung Abholzigkeit],0))</f>
        <v>#N/A</v>
      </c>
      <c r="N4878" t="e">
        <f>VLOOKUP(Tabelle9[[#This Row],[Rank]],Stammdaten[[Rank Verteilung Abholzigkeit]:[Verteilung Abholzigkeit]],2,FALSE)</f>
        <v>#N/A</v>
      </c>
      <c r="S4878">
        <v>4869</v>
      </c>
      <c r="T4878" t="e">
        <f>INDEX(Stammdaten[Krümmung (mm/lfm)],MATCH(Tabelle10[[#This Row],[Rank]],Stammdaten[Rank Verteilung Krümmung],0))</f>
        <v>#N/A</v>
      </c>
      <c r="U4878" t="e">
        <f>VLOOKUP(Tabelle10[[#This Row],[Rank]],Stammdaten[[Rank Verteilung Krümmung]:[Verteilung Krümmung]],2,FALSE)</f>
        <v>#N/A</v>
      </c>
      <c r="Z4878">
        <v>4869</v>
      </c>
      <c r="AA4878" t="e">
        <f>INDEX(Stammdaten[Ovalität (']0,1'])],MATCH(Tabelle1014[[#This Row],[Rank]],Stammdaten[Rank Verteilung Ovalität],0))</f>
        <v>#N/A</v>
      </c>
      <c r="AB4878" t="e">
        <f>VLOOKUP(Tabelle1014[[#This Row],[Rank]],Stammdaten[[Rank Verteilung Ovalität]:[Verteilung Ovalität]],2,FALSE)</f>
        <v>#N/A</v>
      </c>
    </row>
    <row r="4879" spans="5:28" x14ac:dyDescent="0.35">
      <c r="E4879">
        <v>4870</v>
      </c>
      <c r="F4879" t="e">
        <f>INDEX(Stammdaten[D Mitte mit Rinde (mm)],MATCH(Tabelle8[[#This Row],[Rank]],Stammdaten[Rank Verteilung D Mitte mit Rinde],0))</f>
        <v>#N/A</v>
      </c>
      <c r="G4879" t="e">
        <f>VLOOKUP(Tabelle8[[#This Row],[Rank]],Stammdaten[[Rank Verteilung D Mitte mit Rinde]:[Verteilung D Mitte mit Rinde]],2,FALSE)</f>
        <v>#N/A</v>
      </c>
      <c r="L4879">
        <v>4870</v>
      </c>
      <c r="M4879" t="e">
        <f>INDEX(Stammdaten[Abholzigkeit (mm/lfm)],MATCH(Tabelle9[[#This Row],[Rank]],Stammdaten[Rank Verteilung Abholzigkeit],0))</f>
        <v>#N/A</v>
      </c>
      <c r="N4879" t="e">
        <f>VLOOKUP(Tabelle9[[#This Row],[Rank]],Stammdaten[[Rank Verteilung Abholzigkeit]:[Verteilung Abholzigkeit]],2,FALSE)</f>
        <v>#N/A</v>
      </c>
      <c r="S4879">
        <v>4870</v>
      </c>
      <c r="T4879" t="e">
        <f>INDEX(Stammdaten[Krümmung (mm/lfm)],MATCH(Tabelle10[[#This Row],[Rank]],Stammdaten[Rank Verteilung Krümmung],0))</f>
        <v>#N/A</v>
      </c>
      <c r="U4879" t="e">
        <f>VLOOKUP(Tabelle10[[#This Row],[Rank]],Stammdaten[[Rank Verteilung Krümmung]:[Verteilung Krümmung]],2,FALSE)</f>
        <v>#N/A</v>
      </c>
      <c r="Z4879">
        <v>4870</v>
      </c>
      <c r="AA4879" t="e">
        <f>INDEX(Stammdaten[Ovalität (']0,1'])],MATCH(Tabelle1014[[#This Row],[Rank]],Stammdaten[Rank Verteilung Ovalität],0))</f>
        <v>#N/A</v>
      </c>
      <c r="AB4879" t="e">
        <f>VLOOKUP(Tabelle1014[[#This Row],[Rank]],Stammdaten[[Rank Verteilung Ovalität]:[Verteilung Ovalität]],2,FALSE)</f>
        <v>#N/A</v>
      </c>
    </row>
    <row r="4880" spans="5:28" x14ac:dyDescent="0.35">
      <c r="E4880">
        <v>4871</v>
      </c>
      <c r="F4880" t="e">
        <f>INDEX(Stammdaten[D Mitte mit Rinde (mm)],MATCH(Tabelle8[[#This Row],[Rank]],Stammdaten[Rank Verteilung D Mitte mit Rinde],0))</f>
        <v>#N/A</v>
      </c>
      <c r="G4880" t="e">
        <f>VLOOKUP(Tabelle8[[#This Row],[Rank]],Stammdaten[[Rank Verteilung D Mitte mit Rinde]:[Verteilung D Mitte mit Rinde]],2,FALSE)</f>
        <v>#N/A</v>
      </c>
      <c r="L4880">
        <v>4871</v>
      </c>
      <c r="M4880" t="e">
        <f>INDEX(Stammdaten[Abholzigkeit (mm/lfm)],MATCH(Tabelle9[[#This Row],[Rank]],Stammdaten[Rank Verteilung Abholzigkeit],0))</f>
        <v>#N/A</v>
      </c>
      <c r="N4880" t="e">
        <f>VLOOKUP(Tabelle9[[#This Row],[Rank]],Stammdaten[[Rank Verteilung Abholzigkeit]:[Verteilung Abholzigkeit]],2,FALSE)</f>
        <v>#N/A</v>
      </c>
      <c r="S4880">
        <v>4871</v>
      </c>
      <c r="T4880" t="e">
        <f>INDEX(Stammdaten[Krümmung (mm/lfm)],MATCH(Tabelle10[[#This Row],[Rank]],Stammdaten[Rank Verteilung Krümmung],0))</f>
        <v>#N/A</v>
      </c>
      <c r="U4880" t="e">
        <f>VLOOKUP(Tabelle10[[#This Row],[Rank]],Stammdaten[[Rank Verteilung Krümmung]:[Verteilung Krümmung]],2,FALSE)</f>
        <v>#N/A</v>
      </c>
      <c r="Z4880">
        <v>4871</v>
      </c>
      <c r="AA4880" t="e">
        <f>INDEX(Stammdaten[Ovalität (']0,1'])],MATCH(Tabelle1014[[#This Row],[Rank]],Stammdaten[Rank Verteilung Ovalität],0))</f>
        <v>#N/A</v>
      </c>
      <c r="AB4880" t="e">
        <f>VLOOKUP(Tabelle1014[[#This Row],[Rank]],Stammdaten[[Rank Verteilung Ovalität]:[Verteilung Ovalität]],2,FALSE)</f>
        <v>#N/A</v>
      </c>
    </row>
    <row r="4881" spans="5:28" x14ac:dyDescent="0.35">
      <c r="E4881">
        <v>4872</v>
      </c>
      <c r="F4881" t="e">
        <f>INDEX(Stammdaten[D Mitte mit Rinde (mm)],MATCH(Tabelle8[[#This Row],[Rank]],Stammdaten[Rank Verteilung D Mitte mit Rinde],0))</f>
        <v>#N/A</v>
      </c>
      <c r="G4881" t="e">
        <f>VLOOKUP(Tabelle8[[#This Row],[Rank]],Stammdaten[[Rank Verteilung D Mitte mit Rinde]:[Verteilung D Mitte mit Rinde]],2,FALSE)</f>
        <v>#N/A</v>
      </c>
      <c r="L4881">
        <v>4872</v>
      </c>
      <c r="M4881" t="e">
        <f>INDEX(Stammdaten[Abholzigkeit (mm/lfm)],MATCH(Tabelle9[[#This Row],[Rank]],Stammdaten[Rank Verteilung Abholzigkeit],0))</f>
        <v>#N/A</v>
      </c>
      <c r="N4881" t="e">
        <f>VLOOKUP(Tabelle9[[#This Row],[Rank]],Stammdaten[[Rank Verteilung Abholzigkeit]:[Verteilung Abholzigkeit]],2,FALSE)</f>
        <v>#N/A</v>
      </c>
      <c r="S4881">
        <v>4872</v>
      </c>
      <c r="T4881" t="e">
        <f>INDEX(Stammdaten[Krümmung (mm/lfm)],MATCH(Tabelle10[[#This Row],[Rank]],Stammdaten[Rank Verteilung Krümmung],0))</f>
        <v>#N/A</v>
      </c>
      <c r="U4881" t="e">
        <f>VLOOKUP(Tabelle10[[#This Row],[Rank]],Stammdaten[[Rank Verteilung Krümmung]:[Verteilung Krümmung]],2,FALSE)</f>
        <v>#N/A</v>
      </c>
      <c r="Z4881">
        <v>4872</v>
      </c>
      <c r="AA4881" t="e">
        <f>INDEX(Stammdaten[Ovalität (']0,1'])],MATCH(Tabelle1014[[#This Row],[Rank]],Stammdaten[Rank Verteilung Ovalität],0))</f>
        <v>#N/A</v>
      </c>
      <c r="AB4881" t="e">
        <f>VLOOKUP(Tabelle1014[[#This Row],[Rank]],Stammdaten[[Rank Verteilung Ovalität]:[Verteilung Ovalität]],2,FALSE)</f>
        <v>#N/A</v>
      </c>
    </row>
    <row r="4882" spans="5:28" x14ac:dyDescent="0.35">
      <c r="E4882">
        <v>4873</v>
      </c>
      <c r="F4882" t="e">
        <f>INDEX(Stammdaten[D Mitte mit Rinde (mm)],MATCH(Tabelle8[[#This Row],[Rank]],Stammdaten[Rank Verteilung D Mitte mit Rinde],0))</f>
        <v>#N/A</v>
      </c>
      <c r="G4882" t="e">
        <f>VLOOKUP(Tabelle8[[#This Row],[Rank]],Stammdaten[[Rank Verteilung D Mitte mit Rinde]:[Verteilung D Mitte mit Rinde]],2,FALSE)</f>
        <v>#N/A</v>
      </c>
      <c r="L4882">
        <v>4873</v>
      </c>
      <c r="M4882" t="e">
        <f>INDEX(Stammdaten[Abholzigkeit (mm/lfm)],MATCH(Tabelle9[[#This Row],[Rank]],Stammdaten[Rank Verteilung Abholzigkeit],0))</f>
        <v>#N/A</v>
      </c>
      <c r="N4882" t="e">
        <f>VLOOKUP(Tabelle9[[#This Row],[Rank]],Stammdaten[[Rank Verteilung Abholzigkeit]:[Verteilung Abholzigkeit]],2,FALSE)</f>
        <v>#N/A</v>
      </c>
      <c r="S4882">
        <v>4873</v>
      </c>
      <c r="T4882" t="e">
        <f>INDEX(Stammdaten[Krümmung (mm/lfm)],MATCH(Tabelle10[[#This Row],[Rank]],Stammdaten[Rank Verteilung Krümmung],0))</f>
        <v>#N/A</v>
      </c>
      <c r="U4882" t="e">
        <f>VLOOKUP(Tabelle10[[#This Row],[Rank]],Stammdaten[[Rank Verteilung Krümmung]:[Verteilung Krümmung]],2,FALSE)</f>
        <v>#N/A</v>
      </c>
      <c r="Z4882">
        <v>4873</v>
      </c>
      <c r="AA4882" t="e">
        <f>INDEX(Stammdaten[Ovalität (']0,1'])],MATCH(Tabelle1014[[#This Row],[Rank]],Stammdaten[Rank Verteilung Ovalität],0))</f>
        <v>#N/A</v>
      </c>
      <c r="AB4882" t="e">
        <f>VLOOKUP(Tabelle1014[[#This Row],[Rank]],Stammdaten[[Rank Verteilung Ovalität]:[Verteilung Ovalität]],2,FALSE)</f>
        <v>#N/A</v>
      </c>
    </row>
    <row r="4883" spans="5:28" x14ac:dyDescent="0.35">
      <c r="E4883">
        <v>4874</v>
      </c>
      <c r="F4883" t="e">
        <f>INDEX(Stammdaten[D Mitte mit Rinde (mm)],MATCH(Tabelle8[[#This Row],[Rank]],Stammdaten[Rank Verteilung D Mitte mit Rinde],0))</f>
        <v>#N/A</v>
      </c>
      <c r="G4883" t="e">
        <f>VLOOKUP(Tabelle8[[#This Row],[Rank]],Stammdaten[[Rank Verteilung D Mitte mit Rinde]:[Verteilung D Mitte mit Rinde]],2,FALSE)</f>
        <v>#N/A</v>
      </c>
      <c r="L4883">
        <v>4874</v>
      </c>
      <c r="M4883" t="e">
        <f>INDEX(Stammdaten[Abholzigkeit (mm/lfm)],MATCH(Tabelle9[[#This Row],[Rank]],Stammdaten[Rank Verteilung Abholzigkeit],0))</f>
        <v>#N/A</v>
      </c>
      <c r="N4883" t="e">
        <f>VLOOKUP(Tabelle9[[#This Row],[Rank]],Stammdaten[[Rank Verteilung Abholzigkeit]:[Verteilung Abholzigkeit]],2,FALSE)</f>
        <v>#N/A</v>
      </c>
      <c r="S4883">
        <v>4874</v>
      </c>
      <c r="T4883" t="e">
        <f>INDEX(Stammdaten[Krümmung (mm/lfm)],MATCH(Tabelle10[[#This Row],[Rank]],Stammdaten[Rank Verteilung Krümmung],0))</f>
        <v>#N/A</v>
      </c>
      <c r="U4883" t="e">
        <f>VLOOKUP(Tabelle10[[#This Row],[Rank]],Stammdaten[[Rank Verteilung Krümmung]:[Verteilung Krümmung]],2,FALSE)</f>
        <v>#N/A</v>
      </c>
      <c r="Z4883">
        <v>4874</v>
      </c>
      <c r="AA4883" t="e">
        <f>INDEX(Stammdaten[Ovalität (']0,1'])],MATCH(Tabelle1014[[#This Row],[Rank]],Stammdaten[Rank Verteilung Ovalität],0))</f>
        <v>#N/A</v>
      </c>
      <c r="AB4883" t="e">
        <f>VLOOKUP(Tabelle1014[[#This Row],[Rank]],Stammdaten[[Rank Verteilung Ovalität]:[Verteilung Ovalität]],2,FALSE)</f>
        <v>#N/A</v>
      </c>
    </row>
    <row r="4884" spans="5:28" x14ac:dyDescent="0.35">
      <c r="E4884">
        <v>4875</v>
      </c>
      <c r="F4884" t="e">
        <f>INDEX(Stammdaten[D Mitte mit Rinde (mm)],MATCH(Tabelle8[[#This Row],[Rank]],Stammdaten[Rank Verteilung D Mitte mit Rinde],0))</f>
        <v>#N/A</v>
      </c>
      <c r="G4884" t="e">
        <f>VLOOKUP(Tabelle8[[#This Row],[Rank]],Stammdaten[[Rank Verteilung D Mitte mit Rinde]:[Verteilung D Mitte mit Rinde]],2,FALSE)</f>
        <v>#N/A</v>
      </c>
      <c r="L4884">
        <v>4875</v>
      </c>
      <c r="M4884" t="e">
        <f>INDEX(Stammdaten[Abholzigkeit (mm/lfm)],MATCH(Tabelle9[[#This Row],[Rank]],Stammdaten[Rank Verteilung Abholzigkeit],0))</f>
        <v>#N/A</v>
      </c>
      <c r="N4884" t="e">
        <f>VLOOKUP(Tabelle9[[#This Row],[Rank]],Stammdaten[[Rank Verteilung Abholzigkeit]:[Verteilung Abholzigkeit]],2,FALSE)</f>
        <v>#N/A</v>
      </c>
      <c r="S4884">
        <v>4875</v>
      </c>
      <c r="T4884" t="e">
        <f>INDEX(Stammdaten[Krümmung (mm/lfm)],MATCH(Tabelle10[[#This Row],[Rank]],Stammdaten[Rank Verteilung Krümmung],0))</f>
        <v>#N/A</v>
      </c>
      <c r="U4884" t="e">
        <f>VLOOKUP(Tabelle10[[#This Row],[Rank]],Stammdaten[[Rank Verteilung Krümmung]:[Verteilung Krümmung]],2,FALSE)</f>
        <v>#N/A</v>
      </c>
      <c r="Z4884">
        <v>4875</v>
      </c>
      <c r="AA4884" t="e">
        <f>INDEX(Stammdaten[Ovalität (']0,1'])],MATCH(Tabelle1014[[#This Row],[Rank]],Stammdaten[Rank Verteilung Ovalität],0))</f>
        <v>#N/A</v>
      </c>
      <c r="AB4884" t="e">
        <f>VLOOKUP(Tabelle1014[[#This Row],[Rank]],Stammdaten[[Rank Verteilung Ovalität]:[Verteilung Ovalität]],2,FALSE)</f>
        <v>#N/A</v>
      </c>
    </row>
    <row r="4885" spans="5:28" x14ac:dyDescent="0.35">
      <c r="E4885">
        <v>4876</v>
      </c>
      <c r="F4885" t="e">
        <f>INDEX(Stammdaten[D Mitte mit Rinde (mm)],MATCH(Tabelle8[[#This Row],[Rank]],Stammdaten[Rank Verteilung D Mitte mit Rinde],0))</f>
        <v>#N/A</v>
      </c>
      <c r="G4885" t="e">
        <f>VLOOKUP(Tabelle8[[#This Row],[Rank]],Stammdaten[[Rank Verteilung D Mitte mit Rinde]:[Verteilung D Mitte mit Rinde]],2,FALSE)</f>
        <v>#N/A</v>
      </c>
      <c r="L4885">
        <v>4876</v>
      </c>
      <c r="M4885" t="e">
        <f>INDEX(Stammdaten[Abholzigkeit (mm/lfm)],MATCH(Tabelle9[[#This Row],[Rank]],Stammdaten[Rank Verteilung Abholzigkeit],0))</f>
        <v>#N/A</v>
      </c>
      <c r="N4885" t="e">
        <f>VLOOKUP(Tabelle9[[#This Row],[Rank]],Stammdaten[[Rank Verteilung Abholzigkeit]:[Verteilung Abholzigkeit]],2,FALSE)</f>
        <v>#N/A</v>
      </c>
      <c r="S4885">
        <v>4876</v>
      </c>
      <c r="T4885" t="e">
        <f>INDEX(Stammdaten[Krümmung (mm/lfm)],MATCH(Tabelle10[[#This Row],[Rank]],Stammdaten[Rank Verteilung Krümmung],0))</f>
        <v>#N/A</v>
      </c>
      <c r="U4885" t="e">
        <f>VLOOKUP(Tabelle10[[#This Row],[Rank]],Stammdaten[[Rank Verteilung Krümmung]:[Verteilung Krümmung]],2,FALSE)</f>
        <v>#N/A</v>
      </c>
      <c r="Z4885">
        <v>4876</v>
      </c>
      <c r="AA4885" t="e">
        <f>INDEX(Stammdaten[Ovalität (']0,1'])],MATCH(Tabelle1014[[#This Row],[Rank]],Stammdaten[Rank Verteilung Ovalität],0))</f>
        <v>#N/A</v>
      </c>
      <c r="AB4885" t="e">
        <f>VLOOKUP(Tabelle1014[[#This Row],[Rank]],Stammdaten[[Rank Verteilung Ovalität]:[Verteilung Ovalität]],2,FALSE)</f>
        <v>#N/A</v>
      </c>
    </row>
    <row r="4886" spans="5:28" x14ac:dyDescent="0.35">
      <c r="E4886">
        <v>4877</v>
      </c>
      <c r="F4886" t="e">
        <f>INDEX(Stammdaten[D Mitte mit Rinde (mm)],MATCH(Tabelle8[[#This Row],[Rank]],Stammdaten[Rank Verteilung D Mitte mit Rinde],0))</f>
        <v>#N/A</v>
      </c>
      <c r="G4886" t="e">
        <f>VLOOKUP(Tabelle8[[#This Row],[Rank]],Stammdaten[[Rank Verteilung D Mitte mit Rinde]:[Verteilung D Mitte mit Rinde]],2,FALSE)</f>
        <v>#N/A</v>
      </c>
      <c r="L4886">
        <v>4877</v>
      </c>
      <c r="M4886" t="e">
        <f>INDEX(Stammdaten[Abholzigkeit (mm/lfm)],MATCH(Tabelle9[[#This Row],[Rank]],Stammdaten[Rank Verteilung Abholzigkeit],0))</f>
        <v>#N/A</v>
      </c>
      <c r="N4886" t="e">
        <f>VLOOKUP(Tabelle9[[#This Row],[Rank]],Stammdaten[[Rank Verteilung Abholzigkeit]:[Verteilung Abholzigkeit]],2,FALSE)</f>
        <v>#N/A</v>
      </c>
      <c r="S4886">
        <v>4877</v>
      </c>
      <c r="T4886" t="e">
        <f>INDEX(Stammdaten[Krümmung (mm/lfm)],MATCH(Tabelle10[[#This Row],[Rank]],Stammdaten[Rank Verteilung Krümmung],0))</f>
        <v>#N/A</v>
      </c>
      <c r="U4886" t="e">
        <f>VLOOKUP(Tabelle10[[#This Row],[Rank]],Stammdaten[[Rank Verteilung Krümmung]:[Verteilung Krümmung]],2,FALSE)</f>
        <v>#N/A</v>
      </c>
      <c r="Z4886">
        <v>4877</v>
      </c>
      <c r="AA4886" t="e">
        <f>INDEX(Stammdaten[Ovalität (']0,1'])],MATCH(Tabelle1014[[#This Row],[Rank]],Stammdaten[Rank Verteilung Ovalität],0))</f>
        <v>#N/A</v>
      </c>
      <c r="AB4886" t="e">
        <f>VLOOKUP(Tabelle1014[[#This Row],[Rank]],Stammdaten[[Rank Verteilung Ovalität]:[Verteilung Ovalität]],2,FALSE)</f>
        <v>#N/A</v>
      </c>
    </row>
    <row r="4887" spans="5:28" x14ac:dyDescent="0.35">
      <c r="E4887">
        <v>4878</v>
      </c>
      <c r="F4887" t="e">
        <f>INDEX(Stammdaten[D Mitte mit Rinde (mm)],MATCH(Tabelle8[[#This Row],[Rank]],Stammdaten[Rank Verteilung D Mitte mit Rinde],0))</f>
        <v>#N/A</v>
      </c>
      <c r="G4887" t="e">
        <f>VLOOKUP(Tabelle8[[#This Row],[Rank]],Stammdaten[[Rank Verteilung D Mitte mit Rinde]:[Verteilung D Mitte mit Rinde]],2,FALSE)</f>
        <v>#N/A</v>
      </c>
      <c r="L4887">
        <v>4878</v>
      </c>
      <c r="M4887" t="e">
        <f>INDEX(Stammdaten[Abholzigkeit (mm/lfm)],MATCH(Tabelle9[[#This Row],[Rank]],Stammdaten[Rank Verteilung Abholzigkeit],0))</f>
        <v>#N/A</v>
      </c>
      <c r="N4887" t="e">
        <f>VLOOKUP(Tabelle9[[#This Row],[Rank]],Stammdaten[[Rank Verteilung Abholzigkeit]:[Verteilung Abholzigkeit]],2,FALSE)</f>
        <v>#N/A</v>
      </c>
      <c r="S4887">
        <v>4878</v>
      </c>
      <c r="T4887" t="e">
        <f>INDEX(Stammdaten[Krümmung (mm/lfm)],MATCH(Tabelle10[[#This Row],[Rank]],Stammdaten[Rank Verteilung Krümmung],0))</f>
        <v>#N/A</v>
      </c>
      <c r="U4887" t="e">
        <f>VLOOKUP(Tabelle10[[#This Row],[Rank]],Stammdaten[[Rank Verteilung Krümmung]:[Verteilung Krümmung]],2,FALSE)</f>
        <v>#N/A</v>
      </c>
      <c r="Z4887">
        <v>4878</v>
      </c>
      <c r="AA4887" t="e">
        <f>INDEX(Stammdaten[Ovalität (']0,1'])],MATCH(Tabelle1014[[#This Row],[Rank]],Stammdaten[Rank Verteilung Ovalität],0))</f>
        <v>#N/A</v>
      </c>
      <c r="AB4887" t="e">
        <f>VLOOKUP(Tabelle1014[[#This Row],[Rank]],Stammdaten[[Rank Verteilung Ovalität]:[Verteilung Ovalität]],2,FALSE)</f>
        <v>#N/A</v>
      </c>
    </row>
    <row r="4888" spans="5:28" x14ac:dyDescent="0.35">
      <c r="E4888">
        <v>4879</v>
      </c>
      <c r="F4888" t="e">
        <f>INDEX(Stammdaten[D Mitte mit Rinde (mm)],MATCH(Tabelle8[[#This Row],[Rank]],Stammdaten[Rank Verteilung D Mitte mit Rinde],0))</f>
        <v>#N/A</v>
      </c>
      <c r="G4888" t="e">
        <f>VLOOKUP(Tabelle8[[#This Row],[Rank]],Stammdaten[[Rank Verteilung D Mitte mit Rinde]:[Verteilung D Mitte mit Rinde]],2,FALSE)</f>
        <v>#N/A</v>
      </c>
      <c r="L4888">
        <v>4879</v>
      </c>
      <c r="M4888" t="e">
        <f>INDEX(Stammdaten[Abholzigkeit (mm/lfm)],MATCH(Tabelle9[[#This Row],[Rank]],Stammdaten[Rank Verteilung Abholzigkeit],0))</f>
        <v>#N/A</v>
      </c>
      <c r="N4888" t="e">
        <f>VLOOKUP(Tabelle9[[#This Row],[Rank]],Stammdaten[[Rank Verteilung Abholzigkeit]:[Verteilung Abholzigkeit]],2,FALSE)</f>
        <v>#N/A</v>
      </c>
      <c r="S4888">
        <v>4879</v>
      </c>
      <c r="T4888" t="e">
        <f>INDEX(Stammdaten[Krümmung (mm/lfm)],MATCH(Tabelle10[[#This Row],[Rank]],Stammdaten[Rank Verteilung Krümmung],0))</f>
        <v>#N/A</v>
      </c>
      <c r="U4888" t="e">
        <f>VLOOKUP(Tabelle10[[#This Row],[Rank]],Stammdaten[[Rank Verteilung Krümmung]:[Verteilung Krümmung]],2,FALSE)</f>
        <v>#N/A</v>
      </c>
      <c r="Z4888">
        <v>4879</v>
      </c>
      <c r="AA4888" t="e">
        <f>INDEX(Stammdaten[Ovalität (']0,1'])],MATCH(Tabelle1014[[#This Row],[Rank]],Stammdaten[Rank Verteilung Ovalität],0))</f>
        <v>#N/A</v>
      </c>
      <c r="AB4888" t="e">
        <f>VLOOKUP(Tabelle1014[[#This Row],[Rank]],Stammdaten[[Rank Verteilung Ovalität]:[Verteilung Ovalität]],2,FALSE)</f>
        <v>#N/A</v>
      </c>
    </row>
    <row r="4889" spans="5:28" x14ac:dyDescent="0.35">
      <c r="E4889">
        <v>4880</v>
      </c>
      <c r="F4889" t="e">
        <f>INDEX(Stammdaten[D Mitte mit Rinde (mm)],MATCH(Tabelle8[[#This Row],[Rank]],Stammdaten[Rank Verteilung D Mitte mit Rinde],0))</f>
        <v>#N/A</v>
      </c>
      <c r="G4889" t="e">
        <f>VLOOKUP(Tabelle8[[#This Row],[Rank]],Stammdaten[[Rank Verteilung D Mitte mit Rinde]:[Verteilung D Mitte mit Rinde]],2,FALSE)</f>
        <v>#N/A</v>
      </c>
      <c r="L4889">
        <v>4880</v>
      </c>
      <c r="M4889" t="e">
        <f>INDEX(Stammdaten[Abholzigkeit (mm/lfm)],MATCH(Tabelle9[[#This Row],[Rank]],Stammdaten[Rank Verteilung Abholzigkeit],0))</f>
        <v>#N/A</v>
      </c>
      <c r="N4889" t="e">
        <f>VLOOKUP(Tabelle9[[#This Row],[Rank]],Stammdaten[[Rank Verteilung Abholzigkeit]:[Verteilung Abholzigkeit]],2,FALSE)</f>
        <v>#N/A</v>
      </c>
      <c r="S4889">
        <v>4880</v>
      </c>
      <c r="T4889" t="e">
        <f>INDEX(Stammdaten[Krümmung (mm/lfm)],MATCH(Tabelle10[[#This Row],[Rank]],Stammdaten[Rank Verteilung Krümmung],0))</f>
        <v>#N/A</v>
      </c>
      <c r="U4889" t="e">
        <f>VLOOKUP(Tabelle10[[#This Row],[Rank]],Stammdaten[[Rank Verteilung Krümmung]:[Verteilung Krümmung]],2,FALSE)</f>
        <v>#N/A</v>
      </c>
      <c r="Z4889">
        <v>4880</v>
      </c>
      <c r="AA4889" t="e">
        <f>INDEX(Stammdaten[Ovalität (']0,1'])],MATCH(Tabelle1014[[#This Row],[Rank]],Stammdaten[Rank Verteilung Ovalität],0))</f>
        <v>#N/A</v>
      </c>
      <c r="AB4889" t="e">
        <f>VLOOKUP(Tabelle1014[[#This Row],[Rank]],Stammdaten[[Rank Verteilung Ovalität]:[Verteilung Ovalität]],2,FALSE)</f>
        <v>#N/A</v>
      </c>
    </row>
    <row r="4890" spans="5:28" x14ac:dyDescent="0.35">
      <c r="E4890">
        <v>4881</v>
      </c>
      <c r="F4890" t="e">
        <f>INDEX(Stammdaten[D Mitte mit Rinde (mm)],MATCH(Tabelle8[[#This Row],[Rank]],Stammdaten[Rank Verteilung D Mitte mit Rinde],0))</f>
        <v>#N/A</v>
      </c>
      <c r="G4890" t="e">
        <f>VLOOKUP(Tabelle8[[#This Row],[Rank]],Stammdaten[[Rank Verteilung D Mitte mit Rinde]:[Verteilung D Mitte mit Rinde]],2,FALSE)</f>
        <v>#N/A</v>
      </c>
      <c r="L4890">
        <v>4881</v>
      </c>
      <c r="M4890" t="e">
        <f>INDEX(Stammdaten[Abholzigkeit (mm/lfm)],MATCH(Tabelle9[[#This Row],[Rank]],Stammdaten[Rank Verteilung Abholzigkeit],0))</f>
        <v>#N/A</v>
      </c>
      <c r="N4890" t="e">
        <f>VLOOKUP(Tabelle9[[#This Row],[Rank]],Stammdaten[[Rank Verteilung Abholzigkeit]:[Verteilung Abholzigkeit]],2,FALSE)</f>
        <v>#N/A</v>
      </c>
      <c r="S4890">
        <v>4881</v>
      </c>
      <c r="T4890" t="e">
        <f>INDEX(Stammdaten[Krümmung (mm/lfm)],MATCH(Tabelle10[[#This Row],[Rank]],Stammdaten[Rank Verteilung Krümmung],0))</f>
        <v>#N/A</v>
      </c>
      <c r="U4890" t="e">
        <f>VLOOKUP(Tabelle10[[#This Row],[Rank]],Stammdaten[[Rank Verteilung Krümmung]:[Verteilung Krümmung]],2,FALSE)</f>
        <v>#N/A</v>
      </c>
      <c r="Z4890">
        <v>4881</v>
      </c>
      <c r="AA4890" t="e">
        <f>INDEX(Stammdaten[Ovalität (']0,1'])],MATCH(Tabelle1014[[#This Row],[Rank]],Stammdaten[Rank Verteilung Ovalität],0))</f>
        <v>#N/A</v>
      </c>
      <c r="AB4890" t="e">
        <f>VLOOKUP(Tabelle1014[[#This Row],[Rank]],Stammdaten[[Rank Verteilung Ovalität]:[Verteilung Ovalität]],2,FALSE)</f>
        <v>#N/A</v>
      </c>
    </row>
    <row r="4891" spans="5:28" x14ac:dyDescent="0.35">
      <c r="E4891">
        <v>4882</v>
      </c>
      <c r="F4891" t="e">
        <f>INDEX(Stammdaten[D Mitte mit Rinde (mm)],MATCH(Tabelle8[[#This Row],[Rank]],Stammdaten[Rank Verteilung D Mitte mit Rinde],0))</f>
        <v>#N/A</v>
      </c>
      <c r="G4891" t="e">
        <f>VLOOKUP(Tabelle8[[#This Row],[Rank]],Stammdaten[[Rank Verteilung D Mitte mit Rinde]:[Verteilung D Mitte mit Rinde]],2,FALSE)</f>
        <v>#N/A</v>
      </c>
      <c r="L4891">
        <v>4882</v>
      </c>
      <c r="M4891" t="e">
        <f>INDEX(Stammdaten[Abholzigkeit (mm/lfm)],MATCH(Tabelle9[[#This Row],[Rank]],Stammdaten[Rank Verteilung Abholzigkeit],0))</f>
        <v>#N/A</v>
      </c>
      <c r="N4891" t="e">
        <f>VLOOKUP(Tabelle9[[#This Row],[Rank]],Stammdaten[[Rank Verteilung Abholzigkeit]:[Verteilung Abholzigkeit]],2,FALSE)</f>
        <v>#N/A</v>
      </c>
      <c r="S4891">
        <v>4882</v>
      </c>
      <c r="T4891" t="e">
        <f>INDEX(Stammdaten[Krümmung (mm/lfm)],MATCH(Tabelle10[[#This Row],[Rank]],Stammdaten[Rank Verteilung Krümmung],0))</f>
        <v>#N/A</v>
      </c>
      <c r="U4891" t="e">
        <f>VLOOKUP(Tabelle10[[#This Row],[Rank]],Stammdaten[[Rank Verteilung Krümmung]:[Verteilung Krümmung]],2,FALSE)</f>
        <v>#N/A</v>
      </c>
      <c r="Z4891">
        <v>4882</v>
      </c>
      <c r="AA4891" t="e">
        <f>INDEX(Stammdaten[Ovalität (']0,1'])],MATCH(Tabelle1014[[#This Row],[Rank]],Stammdaten[Rank Verteilung Ovalität],0))</f>
        <v>#N/A</v>
      </c>
      <c r="AB4891" t="e">
        <f>VLOOKUP(Tabelle1014[[#This Row],[Rank]],Stammdaten[[Rank Verteilung Ovalität]:[Verteilung Ovalität]],2,FALSE)</f>
        <v>#N/A</v>
      </c>
    </row>
    <row r="4892" spans="5:28" x14ac:dyDescent="0.35">
      <c r="E4892">
        <v>4883</v>
      </c>
      <c r="F4892" t="e">
        <f>INDEX(Stammdaten[D Mitte mit Rinde (mm)],MATCH(Tabelle8[[#This Row],[Rank]],Stammdaten[Rank Verteilung D Mitte mit Rinde],0))</f>
        <v>#N/A</v>
      </c>
      <c r="G4892" t="e">
        <f>VLOOKUP(Tabelle8[[#This Row],[Rank]],Stammdaten[[Rank Verteilung D Mitte mit Rinde]:[Verteilung D Mitte mit Rinde]],2,FALSE)</f>
        <v>#N/A</v>
      </c>
      <c r="L4892">
        <v>4883</v>
      </c>
      <c r="M4892" t="e">
        <f>INDEX(Stammdaten[Abholzigkeit (mm/lfm)],MATCH(Tabelle9[[#This Row],[Rank]],Stammdaten[Rank Verteilung Abholzigkeit],0))</f>
        <v>#N/A</v>
      </c>
      <c r="N4892" t="e">
        <f>VLOOKUP(Tabelle9[[#This Row],[Rank]],Stammdaten[[Rank Verteilung Abholzigkeit]:[Verteilung Abholzigkeit]],2,FALSE)</f>
        <v>#N/A</v>
      </c>
      <c r="S4892">
        <v>4883</v>
      </c>
      <c r="T4892" t="e">
        <f>INDEX(Stammdaten[Krümmung (mm/lfm)],MATCH(Tabelle10[[#This Row],[Rank]],Stammdaten[Rank Verteilung Krümmung],0))</f>
        <v>#N/A</v>
      </c>
      <c r="U4892" t="e">
        <f>VLOOKUP(Tabelle10[[#This Row],[Rank]],Stammdaten[[Rank Verteilung Krümmung]:[Verteilung Krümmung]],2,FALSE)</f>
        <v>#N/A</v>
      </c>
      <c r="Z4892">
        <v>4883</v>
      </c>
      <c r="AA4892" t="e">
        <f>INDEX(Stammdaten[Ovalität (']0,1'])],MATCH(Tabelle1014[[#This Row],[Rank]],Stammdaten[Rank Verteilung Ovalität],0))</f>
        <v>#N/A</v>
      </c>
      <c r="AB4892" t="e">
        <f>VLOOKUP(Tabelle1014[[#This Row],[Rank]],Stammdaten[[Rank Verteilung Ovalität]:[Verteilung Ovalität]],2,FALSE)</f>
        <v>#N/A</v>
      </c>
    </row>
    <row r="4893" spans="5:28" x14ac:dyDescent="0.35">
      <c r="E4893">
        <v>4884</v>
      </c>
      <c r="F4893" t="e">
        <f>INDEX(Stammdaten[D Mitte mit Rinde (mm)],MATCH(Tabelle8[[#This Row],[Rank]],Stammdaten[Rank Verteilung D Mitte mit Rinde],0))</f>
        <v>#N/A</v>
      </c>
      <c r="G4893" t="e">
        <f>VLOOKUP(Tabelle8[[#This Row],[Rank]],Stammdaten[[Rank Verteilung D Mitte mit Rinde]:[Verteilung D Mitte mit Rinde]],2,FALSE)</f>
        <v>#N/A</v>
      </c>
      <c r="L4893">
        <v>4884</v>
      </c>
      <c r="M4893" t="e">
        <f>INDEX(Stammdaten[Abholzigkeit (mm/lfm)],MATCH(Tabelle9[[#This Row],[Rank]],Stammdaten[Rank Verteilung Abholzigkeit],0))</f>
        <v>#N/A</v>
      </c>
      <c r="N4893" t="e">
        <f>VLOOKUP(Tabelle9[[#This Row],[Rank]],Stammdaten[[Rank Verteilung Abholzigkeit]:[Verteilung Abholzigkeit]],2,FALSE)</f>
        <v>#N/A</v>
      </c>
      <c r="S4893">
        <v>4884</v>
      </c>
      <c r="T4893" t="e">
        <f>INDEX(Stammdaten[Krümmung (mm/lfm)],MATCH(Tabelle10[[#This Row],[Rank]],Stammdaten[Rank Verteilung Krümmung],0))</f>
        <v>#N/A</v>
      </c>
      <c r="U4893" t="e">
        <f>VLOOKUP(Tabelle10[[#This Row],[Rank]],Stammdaten[[Rank Verteilung Krümmung]:[Verteilung Krümmung]],2,FALSE)</f>
        <v>#N/A</v>
      </c>
      <c r="Z4893">
        <v>4884</v>
      </c>
      <c r="AA4893" t="e">
        <f>INDEX(Stammdaten[Ovalität (']0,1'])],MATCH(Tabelle1014[[#This Row],[Rank]],Stammdaten[Rank Verteilung Ovalität],0))</f>
        <v>#N/A</v>
      </c>
      <c r="AB4893" t="e">
        <f>VLOOKUP(Tabelle1014[[#This Row],[Rank]],Stammdaten[[Rank Verteilung Ovalität]:[Verteilung Ovalität]],2,FALSE)</f>
        <v>#N/A</v>
      </c>
    </row>
    <row r="4894" spans="5:28" x14ac:dyDescent="0.35">
      <c r="E4894">
        <v>4885</v>
      </c>
      <c r="F4894" t="e">
        <f>INDEX(Stammdaten[D Mitte mit Rinde (mm)],MATCH(Tabelle8[[#This Row],[Rank]],Stammdaten[Rank Verteilung D Mitte mit Rinde],0))</f>
        <v>#N/A</v>
      </c>
      <c r="G4894" t="e">
        <f>VLOOKUP(Tabelle8[[#This Row],[Rank]],Stammdaten[[Rank Verteilung D Mitte mit Rinde]:[Verteilung D Mitte mit Rinde]],2,FALSE)</f>
        <v>#N/A</v>
      </c>
      <c r="L4894">
        <v>4885</v>
      </c>
      <c r="M4894" t="e">
        <f>INDEX(Stammdaten[Abholzigkeit (mm/lfm)],MATCH(Tabelle9[[#This Row],[Rank]],Stammdaten[Rank Verteilung Abholzigkeit],0))</f>
        <v>#N/A</v>
      </c>
      <c r="N4894" t="e">
        <f>VLOOKUP(Tabelle9[[#This Row],[Rank]],Stammdaten[[Rank Verteilung Abholzigkeit]:[Verteilung Abholzigkeit]],2,FALSE)</f>
        <v>#N/A</v>
      </c>
      <c r="S4894">
        <v>4885</v>
      </c>
      <c r="T4894" t="e">
        <f>INDEX(Stammdaten[Krümmung (mm/lfm)],MATCH(Tabelle10[[#This Row],[Rank]],Stammdaten[Rank Verteilung Krümmung],0))</f>
        <v>#N/A</v>
      </c>
      <c r="U4894" t="e">
        <f>VLOOKUP(Tabelle10[[#This Row],[Rank]],Stammdaten[[Rank Verteilung Krümmung]:[Verteilung Krümmung]],2,FALSE)</f>
        <v>#N/A</v>
      </c>
      <c r="Z4894">
        <v>4885</v>
      </c>
      <c r="AA4894" t="e">
        <f>INDEX(Stammdaten[Ovalität (']0,1'])],MATCH(Tabelle1014[[#This Row],[Rank]],Stammdaten[Rank Verteilung Ovalität],0))</f>
        <v>#N/A</v>
      </c>
      <c r="AB4894" t="e">
        <f>VLOOKUP(Tabelle1014[[#This Row],[Rank]],Stammdaten[[Rank Verteilung Ovalität]:[Verteilung Ovalität]],2,FALSE)</f>
        <v>#N/A</v>
      </c>
    </row>
    <row r="4895" spans="5:28" x14ac:dyDescent="0.35">
      <c r="E4895">
        <v>4886</v>
      </c>
      <c r="F4895" t="e">
        <f>INDEX(Stammdaten[D Mitte mit Rinde (mm)],MATCH(Tabelle8[[#This Row],[Rank]],Stammdaten[Rank Verteilung D Mitte mit Rinde],0))</f>
        <v>#N/A</v>
      </c>
      <c r="G4895" t="e">
        <f>VLOOKUP(Tabelle8[[#This Row],[Rank]],Stammdaten[[Rank Verteilung D Mitte mit Rinde]:[Verteilung D Mitte mit Rinde]],2,FALSE)</f>
        <v>#N/A</v>
      </c>
      <c r="L4895">
        <v>4886</v>
      </c>
      <c r="M4895" t="e">
        <f>INDEX(Stammdaten[Abholzigkeit (mm/lfm)],MATCH(Tabelle9[[#This Row],[Rank]],Stammdaten[Rank Verteilung Abholzigkeit],0))</f>
        <v>#N/A</v>
      </c>
      <c r="N4895" t="e">
        <f>VLOOKUP(Tabelle9[[#This Row],[Rank]],Stammdaten[[Rank Verteilung Abholzigkeit]:[Verteilung Abholzigkeit]],2,FALSE)</f>
        <v>#N/A</v>
      </c>
      <c r="S4895">
        <v>4886</v>
      </c>
      <c r="T4895" t="e">
        <f>INDEX(Stammdaten[Krümmung (mm/lfm)],MATCH(Tabelle10[[#This Row],[Rank]],Stammdaten[Rank Verteilung Krümmung],0))</f>
        <v>#N/A</v>
      </c>
      <c r="U4895" t="e">
        <f>VLOOKUP(Tabelle10[[#This Row],[Rank]],Stammdaten[[Rank Verteilung Krümmung]:[Verteilung Krümmung]],2,FALSE)</f>
        <v>#N/A</v>
      </c>
      <c r="Z4895">
        <v>4886</v>
      </c>
      <c r="AA4895" t="e">
        <f>INDEX(Stammdaten[Ovalität (']0,1'])],MATCH(Tabelle1014[[#This Row],[Rank]],Stammdaten[Rank Verteilung Ovalität],0))</f>
        <v>#N/A</v>
      </c>
      <c r="AB4895" t="e">
        <f>VLOOKUP(Tabelle1014[[#This Row],[Rank]],Stammdaten[[Rank Verteilung Ovalität]:[Verteilung Ovalität]],2,FALSE)</f>
        <v>#N/A</v>
      </c>
    </row>
    <row r="4896" spans="5:28" x14ac:dyDescent="0.35">
      <c r="E4896">
        <v>4887</v>
      </c>
      <c r="F4896" t="e">
        <f>INDEX(Stammdaten[D Mitte mit Rinde (mm)],MATCH(Tabelle8[[#This Row],[Rank]],Stammdaten[Rank Verteilung D Mitte mit Rinde],0))</f>
        <v>#N/A</v>
      </c>
      <c r="G4896" t="e">
        <f>VLOOKUP(Tabelle8[[#This Row],[Rank]],Stammdaten[[Rank Verteilung D Mitte mit Rinde]:[Verteilung D Mitte mit Rinde]],2,FALSE)</f>
        <v>#N/A</v>
      </c>
      <c r="L4896">
        <v>4887</v>
      </c>
      <c r="M4896" t="e">
        <f>INDEX(Stammdaten[Abholzigkeit (mm/lfm)],MATCH(Tabelle9[[#This Row],[Rank]],Stammdaten[Rank Verteilung Abholzigkeit],0))</f>
        <v>#N/A</v>
      </c>
      <c r="N4896" t="e">
        <f>VLOOKUP(Tabelle9[[#This Row],[Rank]],Stammdaten[[Rank Verteilung Abholzigkeit]:[Verteilung Abholzigkeit]],2,FALSE)</f>
        <v>#N/A</v>
      </c>
      <c r="S4896">
        <v>4887</v>
      </c>
      <c r="T4896" t="e">
        <f>INDEX(Stammdaten[Krümmung (mm/lfm)],MATCH(Tabelle10[[#This Row],[Rank]],Stammdaten[Rank Verteilung Krümmung],0))</f>
        <v>#N/A</v>
      </c>
      <c r="U4896" t="e">
        <f>VLOOKUP(Tabelle10[[#This Row],[Rank]],Stammdaten[[Rank Verteilung Krümmung]:[Verteilung Krümmung]],2,FALSE)</f>
        <v>#N/A</v>
      </c>
      <c r="Z4896">
        <v>4887</v>
      </c>
      <c r="AA4896" t="e">
        <f>INDEX(Stammdaten[Ovalität (']0,1'])],MATCH(Tabelle1014[[#This Row],[Rank]],Stammdaten[Rank Verteilung Ovalität],0))</f>
        <v>#N/A</v>
      </c>
      <c r="AB4896" t="e">
        <f>VLOOKUP(Tabelle1014[[#This Row],[Rank]],Stammdaten[[Rank Verteilung Ovalität]:[Verteilung Ovalität]],2,FALSE)</f>
        <v>#N/A</v>
      </c>
    </row>
    <row r="4897" spans="5:28" x14ac:dyDescent="0.35">
      <c r="E4897">
        <v>4888</v>
      </c>
      <c r="F4897" t="e">
        <f>INDEX(Stammdaten[D Mitte mit Rinde (mm)],MATCH(Tabelle8[[#This Row],[Rank]],Stammdaten[Rank Verteilung D Mitte mit Rinde],0))</f>
        <v>#N/A</v>
      </c>
      <c r="G4897" t="e">
        <f>VLOOKUP(Tabelle8[[#This Row],[Rank]],Stammdaten[[Rank Verteilung D Mitte mit Rinde]:[Verteilung D Mitte mit Rinde]],2,FALSE)</f>
        <v>#N/A</v>
      </c>
      <c r="L4897">
        <v>4888</v>
      </c>
      <c r="M4897" t="e">
        <f>INDEX(Stammdaten[Abholzigkeit (mm/lfm)],MATCH(Tabelle9[[#This Row],[Rank]],Stammdaten[Rank Verteilung Abholzigkeit],0))</f>
        <v>#N/A</v>
      </c>
      <c r="N4897" t="e">
        <f>VLOOKUP(Tabelle9[[#This Row],[Rank]],Stammdaten[[Rank Verteilung Abholzigkeit]:[Verteilung Abholzigkeit]],2,FALSE)</f>
        <v>#N/A</v>
      </c>
      <c r="S4897">
        <v>4888</v>
      </c>
      <c r="T4897" t="e">
        <f>INDEX(Stammdaten[Krümmung (mm/lfm)],MATCH(Tabelle10[[#This Row],[Rank]],Stammdaten[Rank Verteilung Krümmung],0))</f>
        <v>#N/A</v>
      </c>
      <c r="U4897" t="e">
        <f>VLOOKUP(Tabelle10[[#This Row],[Rank]],Stammdaten[[Rank Verteilung Krümmung]:[Verteilung Krümmung]],2,FALSE)</f>
        <v>#N/A</v>
      </c>
      <c r="Z4897">
        <v>4888</v>
      </c>
      <c r="AA4897" t="e">
        <f>INDEX(Stammdaten[Ovalität (']0,1'])],MATCH(Tabelle1014[[#This Row],[Rank]],Stammdaten[Rank Verteilung Ovalität],0))</f>
        <v>#N/A</v>
      </c>
      <c r="AB4897" t="e">
        <f>VLOOKUP(Tabelle1014[[#This Row],[Rank]],Stammdaten[[Rank Verteilung Ovalität]:[Verteilung Ovalität]],2,FALSE)</f>
        <v>#N/A</v>
      </c>
    </row>
    <row r="4898" spans="5:28" x14ac:dyDescent="0.35">
      <c r="E4898">
        <v>4889</v>
      </c>
      <c r="F4898" t="e">
        <f>INDEX(Stammdaten[D Mitte mit Rinde (mm)],MATCH(Tabelle8[[#This Row],[Rank]],Stammdaten[Rank Verteilung D Mitte mit Rinde],0))</f>
        <v>#N/A</v>
      </c>
      <c r="G4898" t="e">
        <f>VLOOKUP(Tabelle8[[#This Row],[Rank]],Stammdaten[[Rank Verteilung D Mitte mit Rinde]:[Verteilung D Mitte mit Rinde]],2,FALSE)</f>
        <v>#N/A</v>
      </c>
      <c r="L4898">
        <v>4889</v>
      </c>
      <c r="M4898" t="e">
        <f>INDEX(Stammdaten[Abholzigkeit (mm/lfm)],MATCH(Tabelle9[[#This Row],[Rank]],Stammdaten[Rank Verteilung Abholzigkeit],0))</f>
        <v>#N/A</v>
      </c>
      <c r="N4898" t="e">
        <f>VLOOKUP(Tabelle9[[#This Row],[Rank]],Stammdaten[[Rank Verteilung Abholzigkeit]:[Verteilung Abholzigkeit]],2,FALSE)</f>
        <v>#N/A</v>
      </c>
      <c r="S4898">
        <v>4889</v>
      </c>
      <c r="T4898" t="e">
        <f>INDEX(Stammdaten[Krümmung (mm/lfm)],MATCH(Tabelle10[[#This Row],[Rank]],Stammdaten[Rank Verteilung Krümmung],0))</f>
        <v>#N/A</v>
      </c>
      <c r="U4898" t="e">
        <f>VLOOKUP(Tabelle10[[#This Row],[Rank]],Stammdaten[[Rank Verteilung Krümmung]:[Verteilung Krümmung]],2,FALSE)</f>
        <v>#N/A</v>
      </c>
      <c r="Z4898">
        <v>4889</v>
      </c>
      <c r="AA4898" t="e">
        <f>INDEX(Stammdaten[Ovalität (']0,1'])],MATCH(Tabelle1014[[#This Row],[Rank]],Stammdaten[Rank Verteilung Ovalität],0))</f>
        <v>#N/A</v>
      </c>
      <c r="AB4898" t="e">
        <f>VLOOKUP(Tabelle1014[[#This Row],[Rank]],Stammdaten[[Rank Verteilung Ovalität]:[Verteilung Ovalität]],2,FALSE)</f>
        <v>#N/A</v>
      </c>
    </row>
    <row r="4899" spans="5:28" x14ac:dyDescent="0.35">
      <c r="E4899">
        <v>4890</v>
      </c>
      <c r="F4899" t="e">
        <f>INDEX(Stammdaten[D Mitte mit Rinde (mm)],MATCH(Tabelle8[[#This Row],[Rank]],Stammdaten[Rank Verteilung D Mitte mit Rinde],0))</f>
        <v>#N/A</v>
      </c>
      <c r="G4899" t="e">
        <f>VLOOKUP(Tabelle8[[#This Row],[Rank]],Stammdaten[[Rank Verteilung D Mitte mit Rinde]:[Verteilung D Mitte mit Rinde]],2,FALSE)</f>
        <v>#N/A</v>
      </c>
      <c r="L4899">
        <v>4890</v>
      </c>
      <c r="M4899" t="e">
        <f>INDEX(Stammdaten[Abholzigkeit (mm/lfm)],MATCH(Tabelle9[[#This Row],[Rank]],Stammdaten[Rank Verteilung Abholzigkeit],0))</f>
        <v>#N/A</v>
      </c>
      <c r="N4899" t="e">
        <f>VLOOKUP(Tabelle9[[#This Row],[Rank]],Stammdaten[[Rank Verteilung Abholzigkeit]:[Verteilung Abholzigkeit]],2,FALSE)</f>
        <v>#N/A</v>
      </c>
      <c r="S4899">
        <v>4890</v>
      </c>
      <c r="T4899" t="e">
        <f>INDEX(Stammdaten[Krümmung (mm/lfm)],MATCH(Tabelle10[[#This Row],[Rank]],Stammdaten[Rank Verteilung Krümmung],0))</f>
        <v>#N/A</v>
      </c>
      <c r="U4899" t="e">
        <f>VLOOKUP(Tabelle10[[#This Row],[Rank]],Stammdaten[[Rank Verteilung Krümmung]:[Verteilung Krümmung]],2,FALSE)</f>
        <v>#N/A</v>
      </c>
      <c r="Z4899">
        <v>4890</v>
      </c>
      <c r="AA4899" t="e">
        <f>INDEX(Stammdaten[Ovalität (']0,1'])],MATCH(Tabelle1014[[#This Row],[Rank]],Stammdaten[Rank Verteilung Ovalität],0))</f>
        <v>#N/A</v>
      </c>
      <c r="AB4899" t="e">
        <f>VLOOKUP(Tabelle1014[[#This Row],[Rank]],Stammdaten[[Rank Verteilung Ovalität]:[Verteilung Ovalität]],2,FALSE)</f>
        <v>#N/A</v>
      </c>
    </row>
    <row r="4900" spans="5:28" x14ac:dyDescent="0.35">
      <c r="E4900">
        <v>4891</v>
      </c>
      <c r="F4900" t="e">
        <f>INDEX(Stammdaten[D Mitte mit Rinde (mm)],MATCH(Tabelle8[[#This Row],[Rank]],Stammdaten[Rank Verteilung D Mitte mit Rinde],0))</f>
        <v>#N/A</v>
      </c>
      <c r="G4900" t="e">
        <f>VLOOKUP(Tabelle8[[#This Row],[Rank]],Stammdaten[[Rank Verteilung D Mitte mit Rinde]:[Verteilung D Mitte mit Rinde]],2,FALSE)</f>
        <v>#N/A</v>
      </c>
      <c r="L4900">
        <v>4891</v>
      </c>
      <c r="M4900" t="e">
        <f>INDEX(Stammdaten[Abholzigkeit (mm/lfm)],MATCH(Tabelle9[[#This Row],[Rank]],Stammdaten[Rank Verteilung Abholzigkeit],0))</f>
        <v>#N/A</v>
      </c>
      <c r="N4900" t="e">
        <f>VLOOKUP(Tabelle9[[#This Row],[Rank]],Stammdaten[[Rank Verteilung Abholzigkeit]:[Verteilung Abholzigkeit]],2,FALSE)</f>
        <v>#N/A</v>
      </c>
      <c r="S4900">
        <v>4891</v>
      </c>
      <c r="T4900" t="e">
        <f>INDEX(Stammdaten[Krümmung (mm/lfm)],MATCH(Tabelle10[[#This Row],[Rank]],Stammdaten[Rank Verteilung Krümmung],0))</f>
        <v>#N/A</v>
      </c>
      <c r="U4900" t="e">
        <f>VLOOKUP(Tabelle10[[#This Row],[Rank]],Stammdaten[[Rank Verteilung Krümmung]:[Verteilung Krümmung]],2,FALSE)</f>
        <v>#N/A</v>
      </c>
      <c r="Z4900">
        <v>4891</v>
      </c>
      <c r="AA4900" t="e">
        <f>INDEX(Stammdaten[Ovalität (']0,1'])],MATCH(Tabelle1014[[#This Row],[Rank]],Stammdaten[Rank Verteilung Ovalität],0))</f>
        <v>#N/A</v>
      </c>
      <c r="AB4900" t="e">
        <f>VLOOKUP(Tabelle1014[[#This Row],[Rank]],Stammdaten[[Rank Verteilung Ovalität]:[Verteilung Ovalität]],2,FALSE)</f>
        <v>#N/A</v>
      </c>
    </row>
    <row r="4901" spans="5:28" x14ac:dyDescent="0.35">
      <c r="E4901">
        <v>4892</v>
      </c>
      <c r="F4901" t="e">
        <f>INDEX(Stammdaten[D Mitte mit Rinde (mm)],MATCH(Tabelle8[[#This Row],[Rank]],Stammdaten[Rank Verteilung D Mitte mit Rinde],0))</f>
        <v>#N/A</v>
      </c>
      <c r="G4901" t="e">
        <f>VLOOKUP(Tabelle8[[#This Row],[Rank]],Stammdaten[[Rank Verteilung D Mitte mit Rinde]:[Verteilung D Mitte mit Rinde]],2,FALSE)</f>
        <v>#N/A</v>
      </c>
      <c r="L4901">
        <v>4892</v>
      </c>
      <c r="M4901" t="e">
        <f>INDEX(Stammdaten[Abholzigkeit (mm/lfm)],MATCH(Tabelle9[[#This Row],[Rank]],Stammdaten[Rank Verteilung Abholzigkeit],0))</f>
        <v>#N/A</v>
      </c>
      <c r="N4901" t="e">
        <f>VLOOKUP(Tabelle9[[#This Row],[Rank]],Stammdaten[[Rank Verteilung Abholzigkeit]:[Verteilung Abholzigkeit]],2,FALSE)</f>
        <v>#N/A</v>
      </c>
      <c r="S4901">
        <v>4892</v>
      </c>
      <c r="T4901" t="e">
        <f>INDEX(Stammdaten[Krümmung (mm/lfm)],MATCH(Tabelle10[[#This Row],[Rank]],Stammdaten[Rank Verteilung Krümmung],0))</f>
        <v>#N/A</v>
      </c>
      <c r="U4901" t="e">
        <f>VLOOKUP(Tabelle10[[#This Row],[Rank]],Stammdaten[[Rank Verteilung Krümmung]:[Verteilung Krümmung]],2,FALSE)</f>
        <v>#N/A</v>
      </c>
      <c r="Z4901">
        <v>4892</v>
      </c>
      <c r="AA4901" t="e">
        <f>INDEX(Stammdaten[Ovalität (']0,1'])],MATCH(Tabelle1014[[#This Row],[Rank]],Stammdaten[Rank Verteilung Ovalität],0))</f>
        <v>#N/A</v>
      </c>
      <c r="AB4901" t="e">
        <f>VLOOKUP(Tabelle1014[[#This Row],[Rank]],Stammdaten[[Rank Verteilung Ovalität]:[Verteilung Ovalität]],2,FALSE)</f>
        <v>#N/A</v>
      </c>
    </row>
    <row r="4902" spans="5:28" x14ac:dyDescent="0.35">
      <c r="E4902">
        <v>4893</v>
      </c>
      <c r="F4902" t="e">
        <f>INDEX(Stammdaten[D Mitte mit Rinde (mm)],MATCH(Tabelle8[[#This Row],[Rank]],Stammdaten[Rank Verteilung D Mitte mit Rinde],0))</f>
        <v>#N/A</v>
      </c>
      <c r="G4902" t="e">
        <f>VLOOKUP(Tabelle8[[#This Row],[Rank]],Stammdaten[[Rank Verteilung D Mitte mit Rinde]:[Verteilung D Mitte mit Rinde]],2,FALSE)</f>
        <v>#N/A</v>
      </c>
      <c r="L4902">
        <v>4893</v>
      </c>
      <c r="M4902" t="e">
        <f>INDEX(Stammdaten[Abholzigkeit (mm/lfm)],MATCH(Tabelle9[[#This Row],[Rank]],Stammdaten[Rank Verteilung Abholzigkeit],0))</f>
        <v>#N/A</v>
      </c>
      <c r="N4902" t="e">
        <f>VLOOKUP(Tabelle9[[#This Row],[Rank]],Stammdaten[[Rank Verteilung Abholzigkeit]:[Verteilung Abholzigkeit]],2,FALSE)</f>
        <v>#N/A</v>
      </c>
      <c r="S4902">
        <v>4893</v>
      </c>
      <c r="T4902" t="e">
        <f>INDEX(Stammdaten[Krümmung (mm/lfm)],MATCH(Tabelle10[[#This Row],[Rank]],Stammdaten[Rank Verteilung Krümmung],0))</f>
        <v>#N/A</v>
      </c>
      <c r="U4902" t="e">
        <f>VLOOKUP(Tabelle10[[#This Row],[Rank]],Stammdaten[[Rank Verteilung Krümmung]:[Verteilung Krümmung]],2,FALSE)</f>
        <v>#N/A</v>
      </c>
      <c r="Z4902">
        <v>4893</v>
      </c>
      <c r="AA4902" t="e">
        <f>INDEX(Stammdaten[Ovalität (']0,1'])],MATCH(Tabelle1014[[#This Row],[Rank]],Stammdaten[Rank Verteilung Ovalität],0))</f>
        <v>#N/A</v>
      </c>
      <c r="AB4902" t="e">
        <f>VLOOKUP(Tabelle1014[[#This Row],[Rank]],Stammdaten[[Rank Verteilung Ovalität]:[Verteilung Ovalität]],2,FALSE)</f>
        <v>#N/A</v>
      </c>
    </row>
    <row r="4903" spans="5:28" x14ac:dyDescent="0.35">
      <c r="E4903">
        <v>4894</v>
      </c>
      <c r="F4903" t="e">
        <f>INDEX(Stammdaten[D Mitte mit Rinde (mm)],MATCH(Tabelle8[[#This Row],[Rank]],Stammdaten[Rank Verteilung D Mitte mit Rinde],0))</f>
        <v>#N/A</v>
      </c>
      <c r="G4903" t="e">
        <f>VLOOKUP(Tabelle8[[#This Row],[Rank]],Stammdaten[[Rank Verteilung D Mitte mit Rinde]:[Verteilung D Mitte mit Rinde]],2,FALSE)</f>
        <v>#N/A</v>
      </c>
      <c r="L4903">
        <v>4894</v>
      </c>
      <c r="M4903" t="e">
        <f>INDEX(Stammdaten[Abholzigkeit (mm/lfm)],MATCH(Tabelle9[[#This Row],[Rank]],Stammdaten[Rank Verteilung Abholzigkeit],0))</f>
        <v>#N/A</v>
      </c>
      <c r="N4903" t="e">
        <f>VLOOKUP(Tabelle9[[#This Row],[Rank]],Stammdaten[[Rank Verteilung Abholzigkeit]:[Verteilung Abholzigkeit]],2,FALSE)</f>
        <v>#N/A</v>
      </c>
      <c r="S4903">
        <v>4894</v>
      </c>
      <c r="T4903" t="e">
        <f>INDEX(Stammdaten[Krümmung (mm/lfm)],MATCH(Tabelle10[[#This Row],[Rank]],Stammdaten[Rank Verteilung Krümmung],0))</f>
        <v>#N/A</v>
      </c>
      <c r="U4903" t="e">
        <f>VLOOKUP(Tabelle10[[#This Row],[Rank]],Stammdaten[[Rank Verteilung Krümmung]:[Verteilung Krümmung]],2,FALSE)</f>
        <v>#N/A</v>
      </c>
      <c r="Z4903">
        <v>4894</v>
      </c>
      <c r="AA4903" t="e">
        <f>INDEX(Stammdaten[Ovalität (']0,1'])],MATCH(Tabelle1014[[#This Row],[Rank]],Stammdaten[Rank Verteilung Ovalität],0))</f>
        <v>#N/A</v>
      </c>
      <c r="AB4903" t="e">
        <f>VLOOKUP(Tabelle1014[[#This Row],[Rank]],Stammdaten[[Rank Verteilung Ovalität]:[Verteilung Ovalität]],2,FALSE)</f>
        <v>#N/A</v>
      </c>
    </row>
    <row r="4904" spans="5:28" x14ac:dyDescent="0.35">
      <c r="E4904">
        <v>4895</v>
      </c>
      <c r="F4904" t="e">
        <f>INDEX(Stammdaten[D Mitte mit Rinde (mm)],MATCH(Tabelle8[[#This Row],[Rank]],Stammdaten[Rank Verteilung D Mitte mit Rinde],0))</f>
        <v>#N/A</v>
      </c>
      <c r="G4904" t="e">
        <f>VLOOKUP(Tabelle8[[#This Row],[Rank]],Stammdaten[[Rank Verteilung D Mitte mit Rinde]:[Verteilung D Mitte mit Rinde]],2,FALSE)</f>
        <v>#N/A</v>
      </c>
      <c r="L4904">
        <v>4895</v>
      </c>
      <c r="M4904" t="e">
        <f>INDEX(Stammdaten[Abholzigkeit (mm/lfm)],MATCH(Tabelle9[[#This Row],[Rank]],Stammdaten[Rank Verteilung Abholzigkeit],0))</f>
        <v>#N/A</v>
      </c>
      <c r="N4904" t="e">
        <f>VLOOKUP(Tabelle9[[#This Row],[Rank]],Stammdaten[[Rank Verteilung Abholzigkeit]:[Verteilung Abholzigkeit]],2,FALSE)</f>
        <v>#N/A</v>
      </c>
      <c r="S4904">
        <v>4895</v>
      </c>
      <c r="T4904" t="e">
        <f>INDEX(Stammdaten[Krümmung (mm/lfm)],MATCH(Tabelle10[[#This Row],[Rank]],Stammdaten[Rank Verteilung Krümmung],0))</f>
        <v>#N/A</v>
      </c>
      <c r="U4904" t="e">
        <f>VLOOKUP(Tabelle10[[#This Row],[Rank]],Stammdaten[[Rank Verteilung Krümmung]:[Verteilung Krümmung]],2,FALSE)</f>
        <v>#N/A</v>
      </c>
      <c r="Z4904">
        <v>4895</v>
      </c>
      <c r="AA4904" t="e">
        <f>INDEX(Stammdaten[Ovalität (']0,1'])],MATCH(Tabelle1014[[#This Row],[Rank]],Stammdaten[Rank Verteilung Ovalität],0))</f>
        <v>#N/A</v>
      </c>
      <c r="AB4904" t="e">
        <f>VLOOKUP(Tabelle1014[[#This Row],[Rank]],Stammdaten[[Rank Verteilung Ovalität]:[Verteilung Ovalität]],2,FALSE)</f>
        <v>#N/A</v>
      </c>
    </row>
    <row r="4905" spans="5:28" x14ac:dyDescent="0.35">
      <c r="E4905">
        <v>4896</v>
      </c>
      <c r="F4905" t="e">
        <f>INDEX(Stammdaten[D Mitte mit Rinde (mm)],MATCH(Tabelle8[[#This Row],[Rank]],Stammdaten[Rank Verteilung D Mitte mit Rinde],0))</f>
        <v>#N/A</v>
      </c>
      <c r="G4905" t="e">
        <f>VLOOKUP(Tabelle8[[#This Row],[Rank]],Stammdaten[[Rank Verteilung D Mitte mit Rinde]:[Verteilung D Mitte mit Rinde]],2,FALSE)</f>
        <v>#N/A</v>
      </c>
      <c r="L4905">
        <v>4896</v>
      </c>
      <c r="M4905" t="e">
        <f>INDEX(Stammdaten[Abholzigkeit (mm/lfm)],MATCH(Tabelle9[[#This Row],[Rank]],Stammdaten[Rank Verteilung Abholzigkeit],0))</f>
        <v>#N/A</v>
      </c>
      <c r="N4905" t="e">
        <f>VLOOKUP(Tabelle9[[#This Row],[Rank]],Stammdaten[[Rank Verteilung Abholzigkeit]:[Verteilung Abholzigkeit]],2,FALSE)</f>
        <v>#N/A</v>
      </c>
      <c r="S4905">
        <v>4896</v>
      </c>
      <c r="T4905" t="e">
        <f>INDEX(Stammdaten[Krümmung (mm/lfm)],MATCH(Tabelle10[[#This Row],[Rank]],Stammdaten[Rank Verteilung Krümmung],0))</f>
        <v>#N/A</v>
      </c>
      <c r="U4905" t="e">
        <f>VLOOKUP(Tabelle10[[#This Row],[Rank]],Stammdaten[[Rank Verteilung Krümmung]:[Verteilung Krümmung]],2,FALSE)</f>
        <v>#N/A</v>
      </c>
      <c r="Z4905">
        <v>4896</v>
      </c>
      <c r="AA4905" t="e">
        <f>INDEX(Stammdaten[Ovalität (']0,1'])],MATCH(Tabelle1014[[#This Row],[Rank]],Stammdaten[Rank Verteilung Ovalität],0))</f>
        <v>#N/A</v>
      </c>
      <c r="AB4905" t="e">
        <f>VLOOKUP(Tabelle1014[[#This Row],[Rank]],Stammdaten[[Rank Verteilung Ovalität]:[Verteilung Ovalität]],2,FALSE)</f>
        <v>#N/A</v>
      </c>
    </row>
    <row r="4906" spans="5:28" x14ac:dyDescent="0.35">
      <c r="E4906">
        <v>4897</v>
      </c>
      <c r="F4906" t="e">
        <f>INDEX(Stammdaten[D Mitte mit Rinde (mm)],MATCH(Tabelle8[[#This Row],[Rank]],Stammdaten[Rank Verteilung D Mitte mit Rinde],0))</f>
        <v>#N/A</v>
      </c>
      <c r="G4906" t="e">
        <f>VLOOKUP(Tabelle8[[#This Row],[Rank]],Stammdaten[[Rank Verteilung D Mitte mit Rinde]:[Verteilung D Mitte mit Rinde]],2,FALSE)</f>
        <v>#N/A</v>
      </c>
      <c r="L4906">
        <v>4897</v>
      </c>
      <c r="M4906" t="e">
        <f>INDEX(Stammdaten[Abholzigkeit (mm/lfm)],MATCH(Tabelle9[[#This Row],[Rank]],Stammdaten[Rank Verteilung Abholzigkeit],0))</f>
        <v>#N/A</v>
      </c>
      <c r="N4906" t="e">
        <f>VLOOKUP(Tabelle9[[#This Row],[Rank]],Stammdaten[[Rank Verteilung Abholzigkeit]:[Verteilung Abholzigkeit]],2,FALSE)</f>
        <v>#N/A</v>
      </c>
      <c r="S4906">
        <v>4897</v>
      </c>
      <c r="T4906" t="e">
        <f>INDEX(Stammdaten[Krümmung (mm/lfm)],MATCH(Tabelle10[[#This Row],[Rank]],Stammdaten[Rank Verteilung Krümmung],0))</f>
        <v>#N/A</v>
      </c>
      <c r="U4906" t="e">
        <f>VLOOKUP(Tabelle10[[#This Row],[Rank]],Stammdaten[[Rank Verteilung Krümmung]:[Verteilung Krümmung]],2,FALSE)</f>
        <v>#N/A</v>
      </c>
      <c r="Z4906">
        <v>4897</v>
      </c>
      <c r="AA4906" t="e">
        <f>INDEX(Stammdaten[Ovalität (']0,1'])],MATCH(Tabelle1014[[#This Row],[Rank]],Stammdaten[Rank Verteilung Ovalität],0))</f>
        <v>#N/A</v>
      </c>
      <c r="AB4906" t="e">
        <f>VLOOKUP(Tabelle1014[[#This Row],[Rank]],Stammdaten[[Rank Verteilung Ovalität]:[Verteilung Ovalität]],2,FALSE)</f>
        <v>#N/A</v>
      </c>
    </row>
    <row r="4907" spans="5:28" x14ac:dyDescent="0.35">
      <c r="E4907">
        <v>4898</v>
      </c>
      <c r="F4907" t="e">
        <f>INDEX(Stammdaten[D Mitte mit Rinde (mm)],MATCH(Tabelle8[[#This Row],[Rank]],Stammdaten[Rank Verteilung D Mitte mit Rinde],0))</f>
        <v>#N/A</v>
      </c>
      <c r="G4907" t="e">
        <f>VLOOKUP(Tabelle8[[#This Row],[Rank]],Stammdaten[[Rank Verteilung D Mitte mit Rinde]:[Verteilung D Mitte mit Rinde]],2,FALSE)</f>
        <v>#N/A</v>
      </c>
      <c r="L4907">
        <v>4898</v>
      </c>
      <c r="M4907" t="e">
        <f>INDEX(Stammdaten[Abholzigkeit (mm/lfm)],MATCH(Tabelle9[[#This Row],[Rank]],Stammdaten[Rank Verteilung Abholzigkeit],0))</f>
        <v>#N/A</v>
      </c>
      <c r="N4907" t="e">
        <f>VLOOKUP(Tabelle9[[#This Row],[Rank]],Stammdaten[[Rank Verteilung Abholzigkeit]:[Verteilung Abholzigkeit]],2,FALSE)</f>
        <v>#N/A</v>
      </c>
      <c r="S4907">
        <v>4898</v>
      </c>
      <c r="T4907" t="e">
        <f>INDEX(Stammdaten[Krümmung (mm/lfm)],MATCH(Tabelle10[[#This Row],[Rank]],Stammdaten[Rank Verteilung Krümmung],0))</f>
        <v>#N/A</v>
      </c>
      <c r="U4907" t="e">
        <f>VLOOKUP(Tabelle10[[#This Row],[Rank]],Stammdaten[[Rank Verteilung Krümmung]:[Verteilung Krümmung]],2,FALSE)</f>
        <v>#N/A</v>
      </c>
      <c r="Z4907">
        <v>4898</v>
      </c>
      <c r="AA4907" t="e">
        <f>INDEX(Stammdaten[Ovalität (']0,1'])],MATCH(Tabelle1014[[#This Row],[Rank]],Stammdaten[Rank Verteilung Ovalität],0))</f>
        <v>#N/A</v>
      </c>
      <c r="AB4907" t="e">
        <f>VLOOKUP(Tabelle1014[[#This Row],[Rank]],Stammdaten[[Rank Verteilung Ovalität]:[Verteilung Ovalität]],2,FALSE)</f>
        <v>#N/A</v>
      </c>
    </row>
    <row r="4908" spans="5:28" x14ac:dyDescent="0.35">
      <c r="E4908">
        <v>4899</v>
      </c>
      <c r="F4908" t="e">
        <f>INDEX(Stammdaten[D Mitte mit Rinde (mm)],MATCH(Tabelle8[[#This Row],[Rank]],Stammdaten[Rank Verteilung D Mitte mit Rinde],0))</f>
        <v>#N/A</v>
      </c>
      <c r="G4908" t="e">
        <f>VLOOKUP(Tabelle8[[#This Row],[Rank]],Stammdaten[[Rank Verteilung D Mitte mit Rinde]:[Verteilung D Mitte mit Rinde]],2,FALSE)</f>
        <v>#N/A</v>
      </c>
      <c r="L4908">
        <v>4899</v>
      </c>
      <c r="M4908" t="e">
        <f>INDEX(Stammdaten[Abholzigkeit (mm/lfm)],MATCH(Tabelle9[[#This Row],[Rank]],Stammdaten[Rank Verteilung Abholzigkeit],0))</f>
        <v>#N/A</v>
      </c>
      <c r="N4908" t="e">
        <f>VLOOKUP(Tabelle9[[#This Row],[Rank]],Stammdaten[[Rank Verteilung Abholzigkeit]:[Verteilung Abholzigkeit]],2,FALSE)</f>
        <v>#N/A</v>
      </c>
      <c r="S4908">
        <v>4899</v>
      </c>
      <c r="T4908" t="e">
        <f>INDEX(Stammdaten[Krümmung (mm/lfm)],MATCH(Tabelle10[[#This Row],[Rank]],Stammdaten[Rank Verteilung Krümmung],0))</f>
        <v>#N/A</v>
      </c>
      <c r="U4908" t="e">
        <f>VLOOKUP(Tabelle10[[#This Row],[Rank]],Stammdaten[[Rank Verteilung Krümmung]:[Verteilung Krümmung]],2,FALSE)</f>
        <v>#N/A</v>
      </c>
      <c r="Z4908">
        <v>4899</v>
      </c>
      <c r="AA4908" t="e">
        <f>INDEX(Stammdaten[Ovalität (']0,1'])],MATCH(Tabelle1014[[#This Row],[Rank]],Stammdaten[Rank Verteilung Ovalität],0))</f>
        <v>#N/A</v>
      </c>
      <c r="AB4908" t="e">
        <f>VLOOKUP(Tabelle1014[[#This Row],[Rank]],Stammdaten[[Rank Verteilung Ovalität]:[Verteilung Ovalität]],2,FALSE)</f>
        <v>#N/A</v>
      </c>
    </row>
    <row r="4909" spans="5:28" x14ac:dyDescent="0.35">
      <c r="E4909">
        <v>4900</v>
      </c>
      <c r="F4909" t="e">
        <f>INDEX(Stammdaten[D Mitte mit Rinde (mm)],MATCH(Tabelle8[[#This Row],[Rank]],Stammdaten[Rank Verteilung D Mitte mit Rinde],0))</f>
        <v>#N/A</v>
      </c>
      <c r="G4909" t="e">
        <f>VLOOKUP(Tabelle8[[#This Row],[Rank]],Stammdaten[[Rank Verteilung D Mitte mit Rinde]:[Verteilung D Mitte mit Rinde]],2,FALSE)</f>
        <v>#N/A</v>
      </c>
      <c r="L4909">
        <v>4900</v>
      </c>
      <c r="M4909" t="e">
        <f>INDEX(Stammdaten[Abholzigkeit (mm/lfm)],MATCH(Tabelle9[[#This Row],[Rank]],Stammdaten[Rank Verteilung Abholzigkeit],0))</f>
        <v>#N/A</v>
      </c>
      <c r="N4909" t="e">
        <f>VLOOKUP(Tabelle9[[#This Row],[Rank]],Stammdaten[[Rank Verteilung Abholzigkeit]:[Verteilung Abholzigkeit]],2,FALSE)</f>
        <v>#N/A</v>
      </c>
      <c r="S4909">
        <v>4900</v>
      </c>
      <c r="T4909" t="e">
        <f>INDEX(Stammdaten[Krümmung (mm/lfm)],MATCH(Tabelle10[[#This Row],[Rank]],Stammdaten[Rank Verteilung Krümmung],0))</f>
        <v>#N/A</v>
      </c>
      <c r="U4909" t="e">
        <f>VLOOKUP(Tabelle10[[#This Row],[Rank]],Stammdaten[[Rank Verteilung Krümmung]:[Verteilung Krümmung]],2,FALSE)</f>
        <v>#N/A</v>
      </c>
      <c r="Z4909">
        <v>4900</v>
      </c>
      <c r="AA4909" t="e">
        <f>INDEX(Stammdaten[Ovalität (']0,1'])],MATCH(Tabelle1014[[#This Row],[Rank]],Stammdaten[Rank Verteilung Ovalität],0))</f>
        <v>#N/A</v>
      </c>
      <c r="AB4909" t="e">
        <f>VLOOKUP(Tabelle1014[[#This Row],[Rank]],Stammdaten[[Rank Verteilung Ovalität]:[Verteilung Ovalität]],2,FALSE)</f>
        <v>#N/A</v>
      </c>
    </row>
    <row r="4910" spans="5:28" x14ac:dyDescent="0.35">
      <c r="E4910">
        <v>4901</v>
      </c>
      <c r="F4910" t="e">
        <f>INDEX(Stammdaten[D Mitte mit Rinde (mm)],MATCH(Tabelle8[[#This Row],[Rank]],Stammdaten[Rank Verteilung D Mitte mit Rinde],0))</f>
        <v>#N/A</v>
      </c>
      <c r="G4910" t="e">
        <f>VLOOKUP(Tabelle8[[#This Row],[Rank]],Stammdaten[[Rank Verteilung D Mitte mit Rinde]:[Verteilung D Mitte mit Rinde]],2,FALSE)</f>
        <v>#N/A</v>
      </c>
      <c r="L4910">
        <v>4901</v>
      </c>
      <c r="M4910" t="e">
        <f>INDEX(Stammdaten[Abholzigkeit (mm/lfm)],MATCH(Tabelle9[[#This Row],[Rank]],Stammdaten[Rank Verteilung Abholzigkeit],0))</f>
        <v>#N/A</v>
      </c>
      <c r="N4910" t="e">
        <f>VLOOKUP(Tabelle9[[#This Row],[Rank]],Stammdaten[[Rank Verteilung Abholzigkeit]:[Verteilung Abholzigkeit]],2,FALSE)</f>
        <v>#N/A</v>
      </c>
      <c r="S4910">
        <v>4901</v>
      </c>
      <c r="T4910" t="e">
        <f>INDEX(Stammdaten[Krümmung (mm/lfm)],MATCH(Tabelle10[[#This Row],[Rank]],Stammdaten[Rank Verteilung Krümmung],0))</f>
        <v>#N/A</v>
      </c>
      <c r="U4910" t="e">
        <f>VLOOKUP(Tabelle10[[#This Row],[Rank]],Stammdaten[[Rank Verteilung Krümmung]:[Verteilung Krümmung]],2,FALSE)</f>
        <v>#N/A</v>
      </c>
      <c r="Z4910">
        <v>4901</v>
      </c>
      <c r="AA4910" t="e">
        <f>INDEX(Stammdaten[Ovalität (']0,1'])],MATCH(Tabelle1014[[#This Row],[Rank]],Stammdaten[Rank Verteilung Ovalität],0))</f>
        <v>#N/A</v>
      </c>
      <c r="AB4910" t="e">
        <f>VLOOKUP(Tabelle1014[[#This Row],[Rank]],Stammdaten[[Rank Verteilung Ovalität]:[Verteilung Ovalität]],2,FALSE)</f>
        <v>#N/A</v>
      </c>
    </row>
    <row r="4911" spans="5:28" x14ac:dyDescent="0.35">
      <c r="E4911">
        <v>4902</v>
      </c>
      <c r="F4911" t="e">
        <f>INDEX(Stammdaten[D Mitte mit Rinde (mm)],MATCH(Tabelle8[[#This Row],[Rank]],Stammdaten[Rank Verteilung D Mitte mit Rinde],0))</f>
        <v>#N/A</v>
      </c>
      <c r="G4911" t="e">
        <f>VLOOKUP(Tabelle8[[#This Row],[Rank]],Stammdaten[[Rank Verteilung D Mitte mit Rinde]:[Verteilung D Mitte mit Rinde]],2,FALSE)</f>
        <v>#N/A</v>
      </c>
      <c r="L4911">
        <v>4902</v>
      </c>
      <c r="M4911" t="e">
        <f>INDEX(Stammdaten[Abholzigkeit (mm/lfm)],MATCH(Tabelle9[[#This Row],[Rank]],Stammdaten[Rank Verteilung Abholzigkeit],0))</f>
        <v>#N/A</v>
      </c>
      <c r="N4911" t="e">
        <f>VLOOKUP(Tabelle9[[#This Row],[Rank]],Stammdaten[[Rank Verteilung Abholzigkeit]:[Verteilung Abholzigkeit]],2,FALSE)</f>
        <v>#N/A</v>
      </c>
      <c r="S4911">
        <v>4902</v>
      </c>
      <c r="T4911" t="e">
        <f>INDEX(Stammdaten[Krümmung (mm/lfm)],MATCH(Tabelle10[[#This Row],[Rank]],Stammdaten[Rank Verteilung Krümmung],0))</f>
        <v>#N/A</v>
      </c>
      <c r="U4911" t="e">
        <f>VLOOKUP(Tabelle10[[#This Row],[Rank]],Stammdaten[[Rank Verteilung Krümmung]:[Verteilung Krümmung]],2,FALSE)</f>
        <v>#N/A</v>
      </c>
      <c r="Z4911">
        <v>4902</v>
      </c>
      <c r="AA4911" t="e">
        <f>INDEX(Stammdaten[Ovalität (']0,1'])],MATCH(Tabelle1014[[#This Row],[Rank]],Stammdaten[Rank Verteilung Ovalität],0))</f>
        <v>#N/A</v>
      </c>
      <c r="AB4911" t="e">
        <f>VLOOKUP(Tabelle1014[[#This Row],[Rank]],Stammdaten[[Rank Verteilung Ovalität]:[Verteilung Ovalität]],2,FALSE)</f>
        <v>#N/A</v>
      </c>
    </row>
    <row r="4912" spans="5:28" x14ac:dyDescent="0.35">
      <c r="E4912">
        <v>4903</v>
      </c>
      <c r="F4912" t="e">
        <f>INDEX(Stammdaten[D Mitte mit Rinde (mm)],MATCH(Tabelle8[[#This Row],[Rank]],Stammdaten[Rank Verteilung D Mitte mit Rinde],0))</f>
        <v>#N/A</v>
      </c>
      <c r="G4912" t="e">
        <f>VLOOKUP(Tabelle8[[#This Row],[Rank]],Stammdaten[[Rank Verteilung D Mitte mit Rinde]:[Verteilung D Mitte mit Rinde]],2,FALSE)</f>
        <v>#N/A</v>
      </c>
      <c r="L4912">
        <v>4903</v>
      </c>
      <c r="M4912" t="e">
        <f>INDEX(Stammdaten[Abholzigkeit (mm/lfm)],MATCH(Tabelle9[[#This Row],[Rank]],Stammdaten[Rank Verteilung Abholzigkeit],0))</f>
        <v>#N/A</v>
      </c>
      <c r="N4912" t="e">
        <f>VLOOKUP(Tabelle9[[#This Row],[Rank]],Stammdaten[[Rank Verteilung Abholzigkeit]:[Verteilung Abholzigkeit]],2,FALSE)</f>
        <v>#N/A</v>
      </c>
      <c r="S4912">
        <v>4903</v>
      </c>
      <c r="T4912" t="e">
        <f>INDEX(Stammdaten[Krümmung (mm/lfm)],MATCH(Tabelle10[[#This Row],[Rank]],Stammdaten[Rank Verteilung Krümmung],0))</f>
        <v>#N/A</v>
      </c>
      <c r="U4912" t="e">
        <f>VLOOKUP(Tabelle10[[#This Row],[Rank]],Stammdaten[[Rank Verteilung Krümmung]:[Verteilung Krümmung]],2,FALSE)</f>
        <v>#N/A</v>
      </c>
      <c r="Z4912">
        <v>4903</v>
      </c>
      <c r="AA4912" t="e">
        <f>INDEX(Stammdaten[Ovalität (']0,1'])],MATCH(Tabelle1014[[#This Row],[Rank]],Stammdaten[Rank Verteilung Ovalität],0))</f>
        <v>#N/A</v>
      </c>
      <c r="AB4912" t="e">
        <f>VLOOKUP(Tabelle1014[[#This Row],[Rank]],Stammdaten[[Rank Verteilung Ovalität]:[Verteilung Ovalität]],2,FALSE)</f>
        <v>#N/A</v>
      </c>
    </row>
    <row r="4913" spans="5:28" x14ac:dyDescent="0.35">
      <c r="E4913">
        <v>4904</v>
      </c>
      <c r="F4913" t="e">
        <f>INDEX(Stammdaten[D Mitte mit Rinde (mm)],MATCH(Tabelle8[[#This Row],[Rank]],Stammdaten[Rank Verteilung D Mitte mit Rinde],0))</f>
        <v>#N/A</v>
      </c>
      <c r="G4913" t="e">
        <f>VLOOKUP(Tabelle8[[#This Row],[Rank]],Stammdaten[[Rank Verteilung D Mitte mit Rinde]:[Verteilung D Mitte mit Rinde]],2,FALSE)</f>
        <v>#N/A</v>
      </c>
      <c r="L4913">
        <v>4904</v>
      </c>
      <c r="M4913" t="e">
        <f>INDEX(Stammdaten[Abholzigkeit (mm/lfm)],MATCH(Tabelle9[[#This Row],[Rank]],Stammdaten[Rank Verteilung Abholzigkeit],0))</f>
        <v>#N/A</v>
      </c>
      <c r="N4913" t="e">
        <f>VLOOKUP(Tabelle9[[#This Row],[Rank]],Stammdaten[[Rank Verteilung Abholzigkeit]:[Verteilung Abholzigkeit]],2,FALSE)</f>
        <v>#N/A</v>
      </c>
      <c r="S4913">
        <v>4904</v>
      </c>
      <c r="T4913" t="e">
        <f>INDEX(Stammdaten[Krümmung (mm/lfm)],MATCH(Tabelle10[[#This Row],[Rank]],Stammdaten[Rank Verteilung Krümmung],0))</f>
        <v>#N/A</v>
      </c>
      <c r="U4913" t="e">
        <f>VLOOKUP(Tabelle10[[#This Row],[Rank]],Stammdaten[[Rank Verteilung Krümmung]:[Verteilung Krümmung]],2,FALSE)</f>
        <v>#N/A</v>
      </c>
      <c r="Z4913">
        <v>4904</v>
      </c>
      <c r="AA4913" t="e">
        <f>INDEX(Stammdaten[Ovalität (']0,1'])],MATCH(Tabelle1014[[#This Row],[Rank]],Stammdaten[Rank Verteilung Ovalität],0))</f>
        <v>#N/A</v>
      </c>
      <c r="AB4913" t="e">
        <f>VLOOKUP(Tabelle1014[[#This Row],[Rank]],Stammdaten[[Rank Verteilung Ovalität]:[Verteilung Ovalität]],2,FALSE)</f>
        <v>#N/A</v>
      </c>
    </row>
    <row r="4914" spans="5:28" x14ac:dyDescent="0.35">
      <c r="E4914">
        <v>4905</v>
      </c>
      <c r="F4914" t="e">
        <f>INDEX(Stammdaten[D Mitte mit Rinde (mm)],MATCH(Tabelle8[[#This Row],[Rank]],Stammdaten[Rank Verteilung D Mitte mit Rinde],0))</f>
        <v>#N/A</v>
      </c>
      <c r="G4914" t="e">
        <f>VLOOKUP(Tabelle8[[#This Row],[Rank]],Stammdaten[[Rank Verteilung D Mitte mit Rinde]:[Verteilung D Mitte mit Rinde]],2,FALSE)</f>
        <v>#N/A</v>
      </c>
      <c r="L4914">
        <v>4905</v>
      </c>
      <c r="M4914" t="e">
        <f>INDEX(Stammdaten[Abholzigkeit (mm/lfm)],MATCH(Tabelle9[[#This Row],[Rank]],Stammdaten[Rank Verteilung Abholzigkeit],0))</f>
        <v>#N/A</v>
      </c>
      <c r="N4914" t="e">
        <f>VLOOKUP(Tabelle9[[#This Row],[Rank]],Stammdaten[[Rank Verteilung Abholzigkeit]:[Verteilung Abholzigkeit]],2,FALSE)</f>
        <v>#N/A</v>
      </c>
      <c r="S4914">
        <v>4905</v>
      </c>
      <c r="T4914" t="e">
        <f>INDEX(Stammdaten[Krümmung (mm/lfm)],MATCH(Tabelle10[[#This Row],[Rank]],Stammdaten[Rank Verteilung Krümmung],0))</f>
        <v>#N/A</v>
      </c>
      <c r="U4914" t="e">
        <f>VLOOKUP(Tabelle10[[#This Row],[Rank]],Stammdaten[[Rank Verteilung Krümmung]:[Verteilung Krümmung]],2,FALSE)</f>
        <v>#N/A</v>
      </c>
      <c r="Z4914">
        <v>4905</v>
      </c>
      <c r="AA4914" t="e">
        <f>INDEX(Stammdaten[Ovalität (']0,1'])],MATCH(Tabelle1014[[#This Row],[Rank]],Stammdaten[Rank Verteilung Ovalität],0))</f>
        <v>#N/A</v>
      </c>
      <c r="AB4914" t="e">
        <f>VLOOKUP(Tabelle1014[[#This Row],[Rank]],Stammdaten[[Rank Verteilung Ovalität]:[Verteilung Ovalität]],2,FALSE)</f>
        <v>#N/A</v>
      </c>
    </row>
    <row r="4915" spans="5:28" x14ac:dyDescent="0.35">
      <c r="E4915">
        <v>4906</v>
      </c>
      <c r="F4915" t="e">
        <f>INDEX(Stammdaten[D Mitte mit Rinde (mm)],MATCH(Tabelle8[[#This Row],[Rank]],Stammdaten[Rank Verteilung D Mitte mit Rinde],0))</f>
        <v>#N/A</v>
      </c>
      <c r="G4915" t="e">
        <f>VLOOKUP(Tabelle8[[#This Row],[Rank]],Stammdaten[[Rank Verteilung D Mitte mit Rinde]:[Verteilung D Mitte mit Rinde]],2,FALSE)</f>
        <v>#N/A</v>
      </c>
      <c r="L4915">
        <v>4906</v>
      </c>
      <c r="M4915" t="e">
        <f>INDEX(Stammdaten[Abholzigkeit (mm/lfm)],MATCH(Tabelle9[[#This Row],[Rank]],Stammdaten[Rank Verteilung Abholzigkeit],0))</f>
        <v>#N/A</v>
      </c>
      <c r="N4915" t="e">
        <f>VLOOKUP(Tabelle9[[#This Row],[Rank]],Stammdaten[[Rank Verteilung Abholzigkeit]:[Verteilung Abholzigkeit]],2,FALSE)</f>
        <v>#N/A</v>
      </c>
      <c r="S4915">
        <v>4906</v>
      </c>
      <c r="T4915" t="e">
        <f>INDEX(Stammdaten[Krümmung (mm/lfm)],MATCH(Tabelle10[[#This Row],[Rank]],Stammdaten[Rank Verteilung Krümmung],0))</f>
        <v>#N/A</v>
      </c>
      <c r="U4915" t="e">
        <f>VLOOKUP(Tabelle10[[#This Row],[Rank]],Stammdaten[[Rank Verteilung Krümmung]:[Verteilung Krümmung]],2,FALSE)</f>
        <v>#N/A</v>
      </c>
      <c r="Z4915">
        <v>4906</v>
      </c>
      <c r="AA4915" t="e">
        <f>INDEX(Stammdaten[Ovalität (']0,1'])],MATCH(Tabelle1014[[#This Row],[Rank]],Stammdaten[Rank Verteilung Ovalität],0))</f>
        <v>#N/A</v>
      </c>
      <c r="AB4915" t="e">
        <f>VLOOKUP(Tabelle1014[[#This Row],[Rank]],Stammdaten[[Rank Verteilung Ovalität]:[Verteilung Ovalität]],2,FALSE)</f>
        <v>#N/A</v>
      </c>
    </row>
    <row r="4916" spans="5:28" x14ac:dyDescent="0.35">
      <c r="E4916">
        <v>4907</v>
      </c>
      <c r="F4916" t="e">
        <f>INDEX(Stammdaten[D Mitte mit Rinde (mm)],MATCH(Tabelle8[[#This Row],[Rank]],Stammdaten[Rank Verteilung D Mitte mit Rinde],0))</f>
        <v>#N/A</v>
      </c>
      <c r="G4916" t="e">
        <f>VLOOKUP(Tabelle8[[#This Row],[Rank]],Stammdaten[[Rank Verteilung D Mitte mit Rinde]:[Verteilung D Mitte mit Rinde]],2,FALSE)</f>
        <v>#N/A</v>
      </c>
      <c r="L4916">
        <v>4907</v>
      </c>
      <c r="M4916" t="e">
        <f>INDEX(Stammdaten[Abholzigkeit (mm/lfm)],MATCH(Tabelle9[[#This Row],[Rank]],Stammdaten[Rank Verteilung Abholzigkeit],0))</f>
        <v>#N/A</v>
      </c>
      <c r="N4916" t="e">
        <f>VLOOKUP(Tabelle9[[#This Row],[Rank]],Stammdaten[[Rank Verteilung Abholzigkeit]:[Verteilung Abholzigkeit]],2,FALSE)</f>
        <v>#N/A</v>
      </c>
      <c r="S4916">
        <v>4907</v>
      </c>
      <c r="T4916" t="e">
        <f>INDEX(Stammdaten[Krümmung (mm/lfm)],MATCH(Tabelle10[[#This Row],[Rank]],Stammdaten[Rank Verteilung Krümmung],0))</f>
        <v>#N/A</v>
      </c>
      <c r="U4916" t="e">
        <f>VLOOKUP(Tabelle10[[#This Row],[Rank]],Stammdaten[[Rank Verteilung Krümmung]:[Verteilung Krümmung]],2,FALSE)</f>
        <v>#N/A</v>
      </c>
      <c r="Z4916">
        <v>4907</v>
      </c>
      <c r="AA4916" t="e">
        <f>INDEX(Stammdaten[Ovalität (']0,1'])],MATCH(Tabelle1014[[#This Row],[Rank]],Stammdaten[Rank Verteilung Ovalität],0))</f>
        <v>#N/A</v>
      </c>
      <c r="AB4916" t="e">
        <f>VLOOKUP(Tabelle1014[[#This Row],[Rank]],Stammdaten[[Rank Verteilung Ovalität]:[Verteilung Ovalität]],2,FALSE)</f>
        <v>#N/A</v>
      </c>
    </row>
    <row r="4917" spans="5:28" x14ac:dyDescent="0.35">
      <c r="E4917">
        <v>4908</v>
      </c>
      <c r="F4917" t="e">
        <f>INDEX(Stammdaten[D Mitte mit Rinde (mm)],MATCH(Tabelle8[[#This Row],[Rank]],Stammdaten[Rank Verteilung D Mitte mit Rinde],0))</f>
        <v>#N/A</v>
      </c>
      <c r="G4917" t="e">
        <f>VLOOKUP(Tabelle8[[#This Row],[Rank]],Stammdaten[[Rank Verteilung D Mitte mit Rinde]:[Verteilung D Mitte mit Rinde]],2,FALSE)</f>
        <v>#N/A</v>
      </c>
      <c r="L4917">
        <v>4908</v>
      </c>
      <c r="M4917" t="e">
        <f>INDEX(Stammdaten[Abholzigkeit (mm/lfm)],MATCH(Tabelle9[[#This Row],[Rank]],Stammdaten[Rank Verteilung Abholzigkeit],0))</f>
        <v>#N/A</v>
      </c>
      <c r="N4917" t="e">
        <f>VLOOKUP(Tabelle9[[#This Row],[Rank]],Stammdaten[[Rank Verteilung Abholzigkeit]:[Verteilung Abholzigkeit]],2,FALSE)</f>
        <v>#N/A</v>
      </c>
      <c r="S4917">
        <v>4908</v>
      </c>
      <c r="T4917" t="e">
        <f>INDEX(Stammdaten[Krümmung (mm/lfm)],MATCH(Tabelle10[[#This Row],[Rank]],Stammdaten[Rank Verteilung Krümmung],0))</f>
        <v>#N/A</v>
      </c>
      <c r="U4917" t="e">
        <f>VLOOKUP(Tabelle10[[#This Row],[Rank]],Stammdaten[[Rank Verteilung Krümmung]:[Verteilung Krümmung]],2,FALSE)</f>
        <v>#N/A</v>
      </c>
      <c r="Z4917">
        <v>4908</v>
      </c>
      <c r="AA4917" t="e">
        <f>INDEX(Stammdaten[Ovalität (']0,1'])],MATCH(Tabelle1014[[#This Row],[Rank]],Stammdaten[Rank Verteilung Ovalität],0))</f>
        <v>#N/A</v>
      </c>
      <c r="AB4917" t="e">
        <f>VLOOKUP(Tabelle1014[[#This Row],[Rank]],Stammdaten[[Rank Verteilung Ovalität]:[Verteilung Ovalität]],2,FALSE)</f>
        <v>#N/A</v>
      </c>
    </row>
    <row r="4918" spans="5:28" x14ac:dyDescent="0.35">
      <c r="E4918">
        <v>4909</v>
      </c>
      <c r="F4918" t="e">
        <f>INDEX(Stammdaten[D Mitte mit Rinde (mm)],MATCH(Tabelle8[[#This Row],[Rank]],Stammdaten[Rank Verteilung D Mitte mit Rinde],0))</f>
        <v>#N/A</v>
      </c>
      <c r="G4918" t="e">
        <f>VLOOKUP(Tabelle8[[#This Row],[Rank]],Stammdaten[[Rank Verteilung D Mitte mit Rinde]:[Verteilung D Mitte mit Rinde]],2,FALSE)</f>
        <v>#N/A</v>
      </c>
      <c r="L4918">
        <v>4909</v>
      </c>
      <c r="M4918" t="e">
        <f>INDEX(Stammdaten[Abholzigkeit (mm/lfm)],MATCH(Tabelle9[[#This Row],[Rank]],Stammdaten[Rank Verteilung Abholzigkeit],0))</f>
        <v>#N/A</v>
      </c>
      <c r="N4918" t="e">
        <f>VLOOKUP(Tabelle9[[#This Row],[Rank]],Stammdaten[[Rank Verteilung Abholzigkeit]:[Verteilung Abholzigkeit]],2,FALSE)</f>
        <v>#N/A</v>
      </c>
      <c r="S4918">
        <v>4909</v>
      </c>
      <c r="T4918" t="e">
        <f>INDEX(Stammdaten[Krümmung (mm/lfm)],MATCH(Tabelle10[[#This Row],[Rank]],Stammdaten[Rank Verteilung Krümmung],0))</f>
        <v>#N/A</v>
      </c>
      <c r="U4918" t="e">
        <f>VLOOKUP(Tabelle10[[#This Row],[Rank]],Stammdaten[[Rank Verteilung Krümmung]:[Verteilung Krümmung]],2,FALSE)</f>
        <v>#N/A</v>
      </c>
      <c r="Z4918">
        <v>4909</v>
      </c>
      <c r="AA4918" t="e">
        <f>INDEX(Stammdaten[Ovalität (']0,1'])],MATCH(Tabelle1014[[#This Row],[Rank]],Stammdaten[Rank Verteilung Ovalität],0))</f>
        <v>#N/A</v>
      </c>
      <c r="AB4918" t="e">
        <f>VLOOKUP(Tabelle1014[[#This Row],[Rank]],Stammdaten[[Rank Verteilung Ovalität]:[Verteilung Ovalität]],2,FALSE)</f>
        <v>#N/A</v>
      </c>
    </row>
    <row r="4919" spans="5:28" x14ac:dyDescent="0.35">
      <c r="E4919">
        <v>4910</v>
      </c>
      <c r="F4919" t="e">
        <f>INDEX(Stammdaten[D Mitte mit Rinde (mm)],MATCH(Tabelle8[[#This Row],[Rank]],Stammdaten[Rank Verteilung D Mitte mit Rinde],0))</f>
        <v>#N/A</v>
      </c>
      <c r="G4919" t="e">
        <f>VLOOKUP(Tabelle8[[#This Row],[Rank]],Stammdaten[[Rank Verteilung D Mitte mit Rinde]:[Verteilung D Mitte mit Rinde]],2,FALSE)</f>
        <v>#N/A</v>
      </c>
      <c r="L4919">
        <v>4910</v>
      </c>
      <c r="M4919" t="e">
        <f>INDEX(Stammdaten[Abholzigkeit (mm/lfm)],MATCH(Tabelle9[[#This Row],[Rank]],Stammdaten[Rank Verteilung Abholzigkeit],0))</f>
        <v>#N/A</v>
      </c>
      <c r="N4919" t="e">
        <f>VLOOKUP(Tabelle9[[#This Row],[Rank]],Stammdaten[[Rank Verteilung Abholzigkeit]:[Verteilung Abholzigkeit]],2,FALSE)</f>
        <v>#N/A</v>
      </c>
      <c r="S4919">
        <v>4910</v>
      </c>
      <c r="T4919" t="e">
        <f>INDEX(Stammdaten[Krümmung (mm/lfm)],MATCH(Tabelle10[[#This Row],[Rank]],Stammdaten[Rank Verteilung Krümmung],0))</f>
        <v>#N/A</v>
      </c>
      <c r="U4919" t="e">
        <f>VLOOKUP(Tabelle10[[#This Row],[Rank]],Stammdaten[[Rank Verteilung Krümmung]:[Verteilung Krümmung]],2,FALSE)</f>
        <v>#N/A</v>
      </c>
      <c r="Z4919">
        <v>4910</v>
      </c>
      <c r="AA4919" t="e">
        <f>INDEX(Stammdaten[Ovalität (']0,1'])],MATCH(Tabelle1014[[#This Row],[Rank]],Stammdaten[Rank Verteilung Ovalität],0))</f>
        <v>#N/A</v>
      </c>
      <c r="AB4919" t="e">
        <f>VLOOKUP(Tabelle1014[[#This Row],[Rank]],Stammdaten[[Rank Verteilung Ovalität]:[Verteilung Ovalität]],2,FALSE)</f>
        <v>#N/A</v>
      </c>
    </row>
    <row r="4920" spans="5:28" x14ac:dyDescent="0.35">
      <c r="E4920">
        <v>4911</v>
      </c>
      <c r="F4920" t="e">
        <f>INDEX(Stammdaten[D Mitte mit Rinde (mm)],MATCH(Tabelle8[[#This Row],[Rank]],Stammdaten[Rank Verteilung D Mitte mit Rinde],0))</f>
        <v>#N/A</v>
      </c>
      <c r="G4920" t="e">
        <f>VLOOKUP(Tabelle8[[#This Row],[Rank]],Stammdaten[[Rank Verteilung D Mitte mit Rinde]:[Verteilung D Mitte mit Rinde]],2,FALSE)</f>
        <v>#N/A</v>
      </c>
      <c r="L4920">
        <v>4911</v>
      </c>
      <c r="M4920" t="e">
        <f>INDEX(Stammdaten[Abholzigkeit (mm/lfm)],MATCH(Tabelle9[[#This Row],[Rank]],Stammdaten[Rank Verteilung Abholzigkeit],0))</f>
        <v>#N/A</v>
      </c>
      <c r="N4920" t="e">
        <f>VLOOKUP(Tabelle9[[#This Row],[Rank]],Stammdaten[[Rank Verteilung Abholzigkeit]:[Verteilung Abholzigkeit]],2,FALSE)</f>
        <v>#N/A</v>
      </c>
      <c r="S4920">
        <v>4911</v>
      </c>
      <c r="T4920" t="e">
        <f>INDEX(Stammdaten[Krümmung (mm/lfm)],MATCH(Tabelle10[[#This Row],[Rank]],Stammdaten[Rank Verteilung Krümmung],0))</f>
        <v>#N/A</v>
      </c>
      <c r="U4920" t="e">
        <f>VLOOKUP(Tabelle10[[#This Row],[Rank]],Stammdaten[[Rank Verteilung Krümmung]:[Verteilung Krümmung]],2,FALSE)</f>
        <v>#N/A</v>
      </c>
      <c r="Z4920">
        <v>4911</v>
      </c>
      <c r="AA4920" t="e">
        <f>INDEX(Stammdaten[Ovalität (']0,1'])],MATCH(Tabelle1014[[#This Row],[Rank]],Stammdaten[Rank Verteilung Ovalität],0))</f>
        <v>#N/A</v>
      </c>
      <c r="AB4920" t="e">
        <f>VLOOKUP(Tabelle1014[[#This Row],[Rank]],Stammdaten[[Rank Verteilung Ovalität]:[Verteilung Ovalität]],2,FALSE)</f>
        <v>#N/A</v>
      </c>
    </row>
    <row r="4921" spans="5:28" x14ac:dyDescent="0.35">
      <c r="E4921">
        <v>4912</v>
      </c>
      <c r="F4921" t="e">
        <f>INDEX(Stammdaten[D Mitte mit Rinde (mm)],MATCH(Tabelle8[[#This Row],[Rank]],Stammdaten[Rank Verteilung D Mitte mit Rinde],0))</f>
        <v>#N/A</v>
      </c>
      <c r="G4921" t="e">
        <f>VLOOKUP(Tabelle8[[#This Row],[Rank]],Stammdaten[[Rank Verteilung D Mitte mit Rinde]:[Verteilung D Mitte mit Rinde]],2,FALSE)</f>
        <v>#N/A</v>
      </c>
      <c r="L4921">
        <v>4912</v>
      </c>
      <c r="M4921" t="e">
        <f>INDEX(Stammdaten[Abholzigkeit (mm/lfm)],MATCH(Tabelle9[[#This Row],[Rank]],Stammdaten[Rank Verteilung Abholzigkeit],0))</f>
        <v>#N/A</v>
      </c>
      <c r="N4921" t="e">
        <f>VLOOKUP(Tabelle9[[#This Row],[Rank]],Stammdaten[[Rank Verteilung Abholzigkeit]:[Verteilung Abholzigkeit]],2,FALSE)</f>
        <v>#N/A</v>
      </c>
      <c r="S4921">
        <v>4912</v>
      </c>
      <c r="T4921" t="e">
        <f>INDEX(Stammdaten[Krümmung (mm/lfm)],MATCH(Tabelle10[[#This Row],[Rank]],Stammdaten[Rank Verteilung Krümmung],0))</f>
        <v>#N/A</v>
      </c>
      <c r="U4921" t="e">
        <f>VLOOKUP(Tabelle10[[#This Row],[Rank]],Stammdaten[[Rank Verteilung Krümmung]:[Verteilung Krümmung]],2,FALSE)</f>
        <v>#N/A</v>
      </c>
      <c r="Z4921">
        <v>4912</v>
      </c>
      <c r="AA4921" t="e">
        <f>INDEX(Stammdaten[Ovalität (']0,1'])],MATCH(Tabelle1014[[#This Row],[Rank]],Stammdaten[Rank Verteilung Ovalität],0))</f>
        <v>#N/A</v>
      </c>
      <c r="AB4921" t="e">
        <f>VLOOKUP(Tabelle1014[[#This Row],[Rank]],Stammdaten[[Rank Verteilung Ovalität]:[Verteilung Ovalität]],2,FALSE)</f>
        <v>#N/A</v>
      </c>
    </row>
    <row r="4922" spans="5:28" x14ac:dyDescent="0.35">
      <c r="E4922">
        <v>4913</v>
      </c>
      <c r="F4922" t="e">
        <f>INDEX(Stammdaten[D Mitte mit Rinde (mm)],MATCH(Tabelle8[[#This Row],[Rank]],Stammdaten[Rank Verteilung D Mitte mit Rinde],0))</f>
        <v>#N/A</v>
      </c>
      <c r="G4922" t="e">
        <f>VLOOKUP(Tabelle8[[#This Row],[Rank]],Stammdaten[[Rank Verteilung D Mitte mit Rinde]:[Verteilung D Mitte mit Rinde]],2,FALSE)</f>
        <v>#N/A</v>
      </c>
      <c r="L4922">
        <v>4913</v>
      </c>
      <c r="M4922" t="e">
        <f>INDEX(Stammdaten[Abholzigkeit (mm/lfm)],MATCH(Tabelle9[[#This Row],[Rank]],Stammdaten[Rank Verteilung Abholzigkeit],0))</f>
        <v>#N/A</v>
      </c>
      <c r="N4922" t="e">
        <f>VLOOKUP(Tabelle9[[#This Row],[Rank]],Stammdaten[[Rank Verteilung Abholzigkeit]:[Verteilung Abholzigkeit]],2,FALSE)</f>
        <v>#N/A</v>
      </c>
      <c r="S4922">
        <v>4913</v>
      </c>
      <c r="T4922" t="e">
        <f>INDEX(Stammdaten[Krümmung (mm/lfm)],MATCH(Tabelle10[[#This Row],[Rank]],Stammdaten[Rank Verteilung Krümmung],0))</f>
        <v>#N/A</v>
      </c>
      <c r="U4922" t="e">
        <f>VLOOKUP(Tabelle10[[#This Row],[Rank]],Stammdaten[[Rank Verteilung Krümmung]:[Verteilung Krümmung]],2,FALSE)</f>
        <v>#N/A</v>
      </c>
      <c r="Z4922">
        <v>4913</v>
      </c>
      <c r="AA4922" t="e">
        <f>INDEX(Stammdaten[Ovalität (']0,1'])],MATCH(Tabelle1014[[#This Row],[Rank]],Stammdaten[Rank Verteilung Ovalität],0))</f>
        <v>#N/A</v>
      </c>
      <c r="AB4922" t="e">
        <f>VLOOKUP(Tabelle1014[[#This Row],[Rank]],Stammdaten[[Rank Verteilung Ovalität]:[Verteilung Ovalität]],2,FALSE)</f>
        <v>#N/A</v>
      </c>
    </row>
    <row r="4923" spans="5:28" x14ac:dyDescent="0.35">
      <c r="E4923">
        <v>4914</v>
      </c>
      <c r="F4923" t="e">
        <f>INDEX(Stammdaten[D Mitte mit Rinde (mm)],MATCH(Tabelle8[[#This Row],[Rank]],Stammdaten[Rank Verteilung D Mitte mit Rinde],0))</f>
        <v>#N/A</v>
      </c>
      <c r="G4923" t="e">
        <f>VLOOKUP(Tabelle8[[#This Row],[Rank]],Stammdaten[[Rank Verteilung D Mitte mit Rinde]:[Verteilung D Mitte mit Rinde]],2,FALSE)</f>
        <v>#N/A</v>
      </c>
      <c r="L4923">
        <v>4914</v>
      </c>
      <c r="M4923" t="e">
        <f>INDEX(Stammdaten[Abholzigkeit (mm/lfm)],MATCH(Tabelle9[[#This Row],[Rank]],Stammdaten[Rank Verteilung Abholzigkeit],0))</f>
        <v>#N/A</v>
      </c>
      <c r="N4923" t="e">
        <f>VLOOKUP(Tabelle9[[#This Row],[Rank]],Stammdaten[[Rank Verteilung Abholzigkeit]:[Verteilung Abholzigkeit]],2,FALSE)</f>
        <v>#N/A</v>
      </c>
      <c r="S4923">
        <v>4914</v>
      </c>
      <c r="T4923" t="e">
        <f>INDEX(Stammdaten[Krümmung (mm/lfm)],MATCH(Tabelle10[[#This Row],[Rank]],Stammdaten[Rank Verteilung Krümmung],0))</f>
        <v>#N/A</v>
      </c>
      <c r="U4923" t="e">
        <f>VLOOKUP(Tabelle10[[#This Row],[Rank]],Stammdaten[[Rank Verteilung Krümmung]:[Verteilung Krümmung]],2,FALSE)</f>
        <v>#N/A</v>
      </c>
      <c r="Z4923">
        <v>4914</v>
      </c>
      <c r="AA4923" t="e">
        <f>INDEX(Stammdaten[Ovalität (']0,1'])],MATCH(Tabelle1014[[#This Row],[Rank]],Stammdaten[Rank Verteilung Ovalität],0))</f>
        <v>#N/A</v>
      </c>
      <c r="AB4923" t="e">
        <f>VLOOKUP(Tabelle1014[[#This Row],[Rank]],Stammdaten[[Rank Verteilung Ovalität]:[Verteilung Ovalität]],2,FALSE)</f>
        <v>#N/A</v>
      </c>
    </row>
    <row r="4924" spans="5:28" x14ac:dyDescent="0.35">
      <c r="E4924">
        <v>4915</v>
      </c>
      <c r="F4924" t="e">
        <f>INDEX(Stammdaten[D Mitte mit Rinde (mm)],MATCH(Tabelle8[[#This Row],[Rank]],Stammdaten[Rank Verteilung D Mitte mit Rinde],0))</f>
        <v>#N/A</v>
      </c>
      <c r="G4924" t="e">
        <f>VLOOKUP(Tabelle8[[#This Row],[Rank]],Stammdaten[[Rank Verteilung D Mitte mit Rinde]:[Verteilung D Mitte mit Rinde]],2,FALSE)</f>
        <v>#N/A</v>
      </c>
      <c r="L4924">
        <v>4915</v>
      </c>
      <c r="M4924" t="e">
        <f>INDEX(Stammdaten[Abholzigkeit (mm/lfm)],MATCH(Tabelle9[[#This Row],[Rank]],Stammdaten[Rank Verteilung Abholzigkeit],0))</f>
        <v>#N/A</v>
      </c>
      <c r="N4924" t="e">
        <f>VLOOKUP(Tabelle9[[#This Row],[Rank]],Stammdaten[[Rank Verteilung Abholzigkeit]:[Verteilung Abholzigkeit]],2,FALSE)</f>
        <v>#N/A</v>
      </c>
      <c r="S4924">
        <v>4915</v>
      </c>
      <c r="T4924" t="e">
        <f>INDEX(Stammdaten[Krümmung (mm/lfm)],MATCH(Tabelle10[[#This Row],[Rank]],Stammdaten[Rank Verteilung Krümmung],0))</f>
        <v>#N/A</v>
      </c>
      <c r="U4924" t="e">
        <f>VLOOKUP(Tabelle10[[#This Row],[Rank]],Stammdaten[[Rank Verteilung Krümmung]:[Verteilung Krümmung]],2,FALSE)</f>
        <v>#N/A</v>
      </c>
      <c r="Z4924">
        <v>4915</v>
      </c>
      <c r="AA4924" t="e">
        <f>INDEX(Stammdaten[Ovalität (']0,1'])],MATCH(Tabelle1014[[#This Row],[Rank]],Stammdaten[Rank Verteilung Ovalität],0))</f>
        <v>#N/A</v>
      </c>
      <c r="AB4924" t="e">
        <f>VLOOKUP(Tabelle1014[[#This Row],[Rank]],Stammdaten[[Rank Verteilung Ovalität]:[Verteilung Ovalität]],2,FALSE)</f>
        <v>#N/A</v>
      </c>
    </row>
    <row r="4925" spans="5:28" x14ac:dyDescent="0.35">
      <c r="E4925">
        <v>4916</v>
      </c>
      <c r="F4925" t="e">
        <f>INDEX(Stammdaten[D Mitte mit Rinde (mm)],MATCH(Tabelle8[[#This Row],[Rank]],Stammdaten[Rank Verteilung D Mitte mit Rinde],0))</f>
        <v>#N/A</v>
      </c>
      <c r="G4925" t="e">
        <f>VLOOKUP(Tabelle8[[#This Row],[Rank]],Stammdaten[[Rank Verteilung D Mitte mit Rinde]:[Verteilung D Mitte mit Rinde]],2,FALSE)</f>
        <v>#N/A</v>
      </c>
      <c r="L4925">
        <v>4916</v>
      </c>
      <c r="M4925" t="e">
        <f>INDEX(Stammdaten[Abholzigkeit (mm/lfm)],MATCH(Tabelle9[[#This Row],[Rank]],Stammdaten[Rank Verteilung Abholzigkeit],0))</f>
        <v>#N/A</v>
      </c>
      <c r="N4925" t="e">
        <f>VLOOKUP(Tabelle9[[#This Row],[Rank]],Stammdaten[[Rank Verteilung Abholzigkeit]:[Verteilung Abholzigkeit]],2,FALSE)</f>
        <v>#N/A</v>
      </c>
      <c r="S4925">
        <v>4916</v>
      </c>
      <c r="T4925" t="e">
        <f>INDEX(Stammdaten[Krümmung (mm/lfm)],MATCH(Tabelle10[[#This Row],[Rank]],Stammdaten[Rank Verteilung Krümmung],0))</f>
        <v>#N/A</v>
      </c>
      <c r="U4925" t="e">
        <f>VLOOKUP(Tabelle10[[#This Row],[Rank]],Stammdaten[[Rank Verteilung Krümmung]:[Verteilung Krümmung]],2,FALSE)</f>
        <v>#N/A</v>
      </c>
      <c r="Z4925">
        <v>4916</v>
      </c>
      <c r="AA4925" t="e">
        <f>INDEX(Stammdaten[Ovalität (']0,1'])],MATCH(Tabelle1014[[#This Row],[Rank]],Stammdaten[Rank Verteilung Ovalität],0))</f>
        <v>#N/A</v>
      </c>
      <c r="AB4925" t="e">
        <f>VLOOKUP(Tabelle1014[[#This Row],[Rank]],Stammdaten[[Rank Verteilung Ovalität]:[Verteilung Ovalität]],2,FALSE)</f>
        <v>#N/A</v>
      </c>
    </row>
    <row r="4926" spans="5:28" x14ac:dyDescent="0.35">
      <c r="E4926">
        <v>4917</v>
      </c>
      <c r="F4926" t="e">
        <f>INDEX(Stammdaten[D Mitte mit Rinde (mm)],MATCH(Tabelle8[[#This Row],[Rank]],Stammdaten[Rank Verteilung D Mitte mit Rinde],0))</f>
        <v>#N/A</v>
      </c>
      <c r="G4926" t="e">
        <f>VLOOKUP(Tabelle8[[#This Row],[Rank]],Stammdaten[[Rank Verteilung D Mitte mit Rinde]:[Verteilung D Mitte mit Rinde]],2,FALSE)</f>
        <v>#N/A</v>
      </c>
      <c r="L4926">
        <v>4917</v>
      </c>
      <c r="M4926" t="e">
        <f>INDEX(Stammdaten[Abholzigkeit (mm/lfm)],MATCH(Tabelle9[[#This Row],[Rank]],Stammdaten[Rank Verteilung Abholzigkeit],0))</f>
        <v>#N/A</v>
      </c>
      <c r="N4926" t="e">
        <f>VLOOKUP(Tabelle9[[#This Row],[Rank]],Stammdaten[[Rank Verteilung Abholzigkeit]:[Verteilung Abholzigkeit]],2,FALSE)</f>
        <v>#N/A</v>
      </c>
      <c r="S4926">
        <v>4917</v>
      </c>
      <c r="T4926" t="e">
        <f>INDEX(Stammdaten[Krümmung (mm/lfm)],MATCH(Tabelle10[[#This Row],[Rank]],Stammdaten[Rank Verteilung Krümmung],0))</f>
        <v>#N/A</v>
      </c>
      <c r="U4926" t="e">
        <f>VLOOKUP(Tabelle10[[#This Row],[Rank]],Stammdaten[[Rank Verteilung Krümmung]:[Verteilung Krümmung]],2,FALSE)</f>
        <v>#N/A</v>
      </c>
      <c r="Z4926">
        <v>4917</v>
      </c>
      <c r="AA4926" t="e">
        <f>INDEX(Stammdaten[Ovalität (']0,1'])],MATCH(Tabelle1014[[#This Row],[Rank]],Stammdaten[Rank Verteilung Ovalität],0))</f>
        <v>#N/A</v>
      </c>
      <c r="AB4926" t="e">
        <f>VLOOKUP(Tabelle1014[[#This Row],[Rank]],Stammdaten[[Rank Verteilung Ovalität]:[Verteilung Ovalität]],2,FALSE)</f>
        <v>#N/A</v>
      </c>
    </row>
    <row r="4927" spans="5:28" x14ac:dyDescent="0.35">
      <c r="E4927">
        <v>4918</v>
      </c>
      <c r="F4927" t="e">
        <f>INDEX(Stammdaten[D Mitte mit Rinde (mm)],MATCH(Tabelle8[[#This Row],[Rank]],Stammdaten[Rank Verteilung D Mitte mit Rinde],0))</f>
        <v>#N/A</v>
      </c>
      <c r="G4927" t="e">
        <f>VLOOKUP(Tabelle8[[#This Row],[Rank]],Stammdaten[[Rank Verteilung D Mitte mit Rinde]:[Verteilung D Mitte mit Rinde]],2,FALSE)</f>
        <v>#N/A</v>
      </c>
      <c r="L4927">
        <v>4918</v>
      </c>
      <c r="M4927" t="e">
        <f>INDEX(Stammdaten[Abholzigkeit (mm/lfm)],MATCH(Tabelle9[[#This Row],[Rank]],Stammdaten[Rank Verteilung Abholzigkeit],0))</f>
        <v>#N/A</v>
      </c>
      <c r="N4927" t="e">
        <f>VLOOKUP(Tabelle9[[#This Row],[Rank]],Stammdaten[[Rank Verteilung Abholzigkeit]:[Verteilung Abholzigkeit]],2,FALSE)</f>
        <v>#N/A</v>
      </c>
      <c r="S4927">
        <v>4918</v>
      </c>
      <c r="T4927" t="e">
        <f>INDEX(Stammdaten[Krümmung (mm/lfm)],MATCH(Tabelle10[[#This Row],[Rank]],Stammdaten[Rank Verteilung Krümmung],0))</f>
        <v>#N/A</v>
      </c>
      <c r="U4927" t="e">
        <f>VLOOKUP(Tabelle10[[#This Row],[Rank]],Stammdaten[[Rank Verteilung Krümmung]:[Verteilung Krümmung]],2,FALSE)</f>
        <v>#N/A</v>
      </c>
      <c r="Z4927">
        <v>4918</v>
      </c>
      <c r="AA4927" t="e">
        <f>INDEX(Stammdaten[Ovalität (']0,1'])],MATCH(Tabelle1014[[#This Row],[Rank]],Stammdaten[Rank Verteilung Ovalität],0))</f>
        <v>#N/A</v>
      </c>
      <c r="AB4927" t="e">
        <f>VLOOKUP(Tabelle1014[[#This Row],[Rank]],Stammdaten[[Rank Verteilung Ovalität]:[Verteilung Ovalität]],2,FALSE)</f>
        <v>#N/A</v>
      </c>
    </row>
    <row r="4928" spans="5:28" x14ac:dyDescent="0.35">
      <c r="E4928">
        <v>4919</v>
      </c>
      <c r="F4928" t="e">
        <f>INDEX(Stammdaten[D Mitte mit Rinde (mm)],MATCH(Tabelle8[[#This Row],[Rank]],Stammdaten[Rank Verteilung D Mitte mit Rinde],0))</f>
        <v>#N/A</v>
      </c>
      <c r="G4928" t="e">
        <f>VLOOKUP(Tabelle8[[#This Row],[Rank]],Stammdaten[[Rank Verteilung D Mitte mit Rinde]:[Verteilung D Mitte mit Rinde]],2,FALSE)</f>
        <v>#N/A</v>
      </c>
      <c r="L4928">
        <v>4919</v>
      </c>
      <c r="M4928" t="e">
        <f>INDEX(Stammdaten[Abholzigkeit (mm/lfm)],MATCH(Tabelle9[[#This Row],[Rank]],Stammdaten[Rank Verteilung Abholzigkeit],0))</f>
        <v>#N/A</v>
      </c>
      <c r="N4928" t="e">
        <f>VLOOKUP(Tabelle9[[#This Row],[Rank]],Stammdaten[[Rank Verteilung Abholzigkeit]:[Verteilung Abholzigkeit]],2,FALSE)</f>
        <v>#N/A</v>
      </c>
      <c r="S4928">
        <v>4919</v>
      </c>
      <c r="T4928" t="e">
        <f>INDEX(Stammdaten[Krümmung (mm/lfm)],MATCH(Tabelle10[[#This Row],[Rank]],Stammdaten[Rank Verteilung Krümmung],0))</f>
        <v>#N/A</v>
      </c>
      <c r="U4928" t="e">
        <f>VLOOKUP(Tabelle10[[#This Row],[Rank]],Stammdaten[[Rank Verteilung Krümmung]:[Verteilung Krümmung]],2,FALSE)</f>
        <v>#N/A</v>
      </c>
      <c r="Z4928">
        <v>4919</v>
      </c>
      <c r="AA4928" t="e">
        <f>INDEX(Stammdaten[Ovalität (']0,1'])],MATCH(Tabelle1014[[#This Row],[Rank]],Stammdaten[Rank Verteilung Ovalität],0))</f>
        <v>#N/A</v>
      </c>
      <c r="AB4928" t="e">
        <f>VLOOKUP(Tabelle1014[[#This Row],[Rank]],Stammdaten[[Rank Verteilung Ovalität]:[Verteilung Ovalität]],2,FALSE)</f>
        <v>#N/A</v>
      </c>
    </row>
    <row r="4929" spans="5:28" x14ac:dyDescent="0.35">
      <c r="E4929">
        <v>4920</v>
      </c>
      <c r="F4929" t="e">
        <f>INDEX(Stammdaten[D Mitte mit Rinde (mm)],MATCH(Tabelle8[[#This Row],[Rank]],Stammdaten[Rank Verteilung D Mitte mit Rinde],0))</f>
        <v>#N/A</v>
      </c>
      <c r="G4929" t="e">
        <f>VLOOKUP(Tabelle8[[#This Row],[Rank]],Stammdaten[[Rank Verteilung D Mitte mit Rinde]:[Verteilung D Mitte mit Rinde]],2,FALSE)</f>
        <v>#N/A</v>
      </c>
      <c r="L4929">
        <v>4920</v>
      </c>
      <c r="M4929" t="e">
        <f>INDEX(Stammdaten[Abholzigkeit (mm/lfm)],MATCH(Tabelle9[[#This Row],[Rank]],Stammdaten[Rank Verteilung Abholzigkeit],0))</f>
        <v>#N/A</v>
      </c>
      <c r="N4929" t="e">
        <f>VLOOKUP(Tabelle9[[#This Row],[Rank]],Stammdaten[[Rank Verteilung Abholzigkeit]:[Verteilung Abholzigkeit]],2,FALSE)</f>
        <v>#N/A</v>
      </c>
      <c r="S4929">
        <v>4920</v>
      </c>
      <c r="T4929" t="e">
        <f>INDEX(Stammdaten[Krümmung (mm/lfm)],MATCH(Tabelle10[[#This Row],[Rank]],Stammdaten[Rank Verteilung Krümmung],0))</f>
        <v>#N/A</v>
      </c>
      <c r="U4929" t="e">
        <f>VLOOKUP(Tabelle10[[#This Row],[Rank]],Stammdaten[[Rank Verteilung Krümmung]:[Verteilung Krümmung]],2,FALSE)</f>
        <v>#N/A</v>
      </c>
      <c r="Z4929">
        <v>4920</v>
      </c>
      <c r="AA4929" t="e">
        <f>INDEX(Stammdaten[Ovalität (']0,1'])],MATCH(Tabelle1014[[#This Row],[Rank]],Stammdaten[Rank Verteilung Ovalität],0))</f>
        <v>#N/A</v>
      </c>
      <c r="AB4929" t="e">
        <f>VLOOKUP(Tabelle1014[[#This Row],[Rank]],Stammdaten[[Rank Verteilung Ovalität]:[Verteilung Ovalität]],2,FALSE)</f>
        <v>#N/A</v>
      </c>
    </row>
    <row r="4930" spans="5:28" x14ac:dyDescent="0.35">
      <c r="E4930">
        <v>4921</v>
      </c>
      <c r="F4930" t="e">
        <f>INDEX(Stammdaten[D Mitte mit Rinde (mm)],MATCH(Tabelle8[[#This Row],[Rank]],Stammdaten[Rank Verteilung D Mitte mit Rinde],0))</f>
        <v>#N/A</v>
      </c>
      <c r="G4930" t="e">
        <f>VLOOKUP(Tabelle8[[#This Row],[Rank]],Stammdaten[[Rank Verteilung D Mitte mit Rinde]:[Verteilung D Mitte mit Rinde]],2,FALSE)</f>
        <v>#N/A</v>
      </c>
      <c r="L4930">
        <v>4921</v>
      </c>
      <c r="M4930" t="e">
        <f>INDEX(Stammdaten[Abholzigkeit (mm/lfm)],MATCH(Tabelle9[[#This Row],[Rank]],Stammdaten[Rank Verteilung Abholzigkeit],0))</f>
        <v>#N/A</v>
      </c>
      <c r="N4930" t="e">
        <f>VLOOKUP(Tabelle9[[#This Row],[Rank]],Stammdaten[[Rank Verteilung Abholzigkeit]:[Verteilung Abholzigkeit]],2,FALSE)</f>
        <v>#N/A</v>
      </c>
      <c r="S4930">
        <v>4921</v>
      </c>
      <c r="T4930" t="e">
        <f>INDEX(Stammdaten[Krümmung (mm/lfm)],MATCH(Tabelle10[[#This Row],[Rank]],Stammdaten[Rank Verteilung Krümmung],0))</f>
        <v>#N/A</v>
      </c>
      <c r="U4930" t="e">
        <f>VLOOKUP(Tabelle10[[#This Row],[Rank]],Stammdaten[[Rank Verteilung Krümmung]:[Verteilung Krümmung]],2,FALSE)</f>
        <v>#N/A</v>
      </c>
      <c r="Z4930">
        <v>4921</v>
      </c>
      <c r="AA4930" t="e">
        <f>INDEX(Stammdaten[Ovalität (']0,1'])],MATCH(Tabelle1014[[#This Row],[Rank]],Stammdaten[Rank Verteilung Ovalität],0))</f>
        <v>#N/A</v>
      </c>
      <c r="AB4930" t="e">
        <f>VLOOKUP(Tabelle1014[[#This Row],[Rank]],Stammdaten[[Rank Verteilung Ovalität]:[Verteilung Ovalität]],2,FALSE)</f>
        <v>#N/A</v>
      </c>
    </row>
    <row r="4931" spans="5:28" x14ac:dyDescent="0.35">
      <c r="E4931">
        <v>4922</v>
      </c>
      <c r="F4931" t="e">
        <f>INDEX(Stammdaten[D Mitte mit Rinde (mm)],MATCH(Tabelle8[[#This Row],[Rank]],Stammdaten[Rank Verteilung D Mitte mit Rinde],0))</f>
        <v>#N/A</v>
      </c>
      <c r="G4931" t="e">
        <f>VLOOKUP(Tabelle8[[#This Row],[Rank]],Stammdaten[[Rank Verteilung D Mitte mit Rinde]:[Verteilung D Mitte mit Rinde]],2,FALSE)</f>
        <v>#N/A</v>
      </c>
      <c r="L4931">
        <v>4922</v>
      </c>
      <c r="M4931" t="e">
        <f>INDEX(Stammdaten[Abholzigkeit (mm/lfm)],MATCH(Tabelle9[[#This Row],[Rank]],Stammdaten[Rank Verteilung Abholzigkeit],0))</f>
        <v>#N/A</v>
      </c>
      <c r="N4931" t="e">
        <f>VLOOKUP(Tabelle9[[#This Row],[Rank]],Stammdaten[[Rank Verteilung Abholzigkeit]:[Verteilung Abholzigkeit]],2,FALSE)</f>
        <v>#N/A</v>
      </c>
      <c r="S4931">
        <v>4922</v>
      </c>
      <c r="T4931" t="e">
        <f>INDEX(Stammdaten[Krümmung (mm/lfm)],MATCH(Tabelle10[[#This Row],[Rank]],Stammdaten[Rank Verteilung Krümmung],0))</f>
        <v>#N/A</v>
      </c>
      <c r="U4931" t="e">
        <f>VLOOKUP(Tabelle10[[#This Row],[Rank]],Stammdaten[[Rank Verteilung Krümmung]:[Verteilung Krümmung]],2,FALSE)</f>
        <v>#N/A</v>
      </c>
      <c r="Z4931">
        <v>4922</v>
      </c>
      <c r="AA4931" t="e">
        <f>INDEX(Stammdaten[Ovalität (']0,1'])],MATCH(Tabelle1014[[#This Row],[Rank]],Stammdaten[Rank Verteilung Ovalität],0))</f>
        <v>#N/A</v>
      </c>
      <c r="AB4931" t="e">
        <f>VLOOKUP(Tabelle1014[[#This Row],[Rank]],Stammdaten[[Rank Verteilung Ovalität]:[Verteilung Ovalität]],2,FALSE)</f>
        <v>#N/A</v>
      </c>
    </row>
    <row r="4932" spans="5:28" x14ac:dyDescent="0.35">
      <c r="E4932">
        <v>4923</v>
      </c>
      <c r="F4932" t="e">
        <f>INDEX(Stammdaten[D Mitte mit Rinde (mm)],MATCH(Tabelle8[[#This Row],[Rank]],Stammdaten[Rank Verteilung D Mitte mit Rinde],0))</f>
        <v>#N/A</v>
      </c>
      <c r="G4932" t="e">
        <f>VLOOKUP(Tabelle8[[#This Row],[Rank]],Stammdaten[[Rank Verteilung D Mitte mit Rinde]:[Verteilung D Mitte mit Rinde]],2,FALSE)</f>
        <v>#N/A</v>
      </c>
      <c r="L4932">
        <v>4923</v>
      </c>
      <c r="M4932" t="e">
        <f>INDEX(Stammdaten[Abholzigkeit (mm/lfm)],MATCH(Tabelle9[[#This Row],[Rank]],Stammdaten[Rank Verteilung Abholzigkeit],0))</f>
        <v>#N/A</v>
      </c>
      <c r="N4932" t="e">
        <f>VLOOKUP(Tabelle9[[#This Row],[Rank]],Stammdaten[[Rank Verteilung Abholzigkeit]:[Verteilung Abholzigkeit]],2,FALSE)</f>
        <v>#N/A</v>
      </c>
      <c r="S4932">
        <v>4923</v>
      </c>
      <c r="T4932" t="e">
        <f>INDEX(Stammdaten[Krümmung (mm/lfm)],MATCH(Tabelle10[[#This Row],[Rank]],Stammdaten[Rank Verteilung Krümmung],0))</f>
        <v>#N/A</v>
      </c>
      <c r="U4932" t="e">
        <f>VLOOKUP(Tabelle10[[#This Row],[Rank]],Stammdaten[[Rank Verteilung Krümmung]:[Verteilung Krümmung]],2,FALSE)</f>
        <v>#N/A</v>
      </c>
      <c r="Z4932">
        <v>4923</v>
      </c>
      <c r="AA4932" t="e">
        <f>INDEX(Stammdaten[Ovalität (']0,1'])],MATCH(Tabelle1014[[#This Row],[Rank]],Stammdaten[Rank Verteilung Ovalität],0))</f>
        <v>#N/A</v>
      </c>
      <c r="AB4932" t="e">
        <f>VLOOKUP(Tabelle1014[[#This Row],[Rank]],Stammdaten[[Rank Verteilung Ovalität]:[Verteilung Ovalität]],2,FALSE)</f>
        <v>#N/A</v>
      </c>
    </row>
    <row r="4933" spans="5:28" x14ac:dyDescent="0.35">
      <c r="E4933">
        <v>4924</v>
      </c>
      <c r="F4933" t="e">
        <f>INDEX(Stammdaten[D Mitte mit Rinde (mm)],MATCH(Tabelle8[[#This Row],[Rank]],Stammdaten[Rank Verteilung D Mitte mit Rinde],0))</f>
        <v>#N/A</v>
      </c>
      <c r="G4933" t="e">
        <f>VLOOKUP(Tabelle8[[#This Row],[Rank]],Stammdaten[[Rank Verteilung D Mitte mit Rinde]:[Verteilung D Mitte mit Rinde]],2,FALSE)</f>
        <v>#N/A</v>
      </c>
      <c r="L4933">
        <v>4924</v>
      </c>
      <c r="M4933" t="e">
        <f>INDEX(Stammdaten[Abholzigkeit (mm/lfm)],MATCH(Tabelle9[[#This Row],[Rank]],Stammdaten[Rank Verteilung Abholzigkeit],0))</f>
        <v>#N/A</v>
      </c>
      <c r="N4933" t="e">
        <f>VLOOKUP(Tabelle9[[#This Row],[Rank]],Stammdaten[[Rank Verteilung Abholzigkeit]:[Verteilung Abholzigkeit]],2,FALSE)</f>
        <v>#N/A</v>
      </c>
      <c r="S4933">
        <v>4924</v>
      </c>
      <c r="T4933" t="e">
        <f>INDEX(Stammdaten[Krümmung (mm/lfm)],MATCH(Tabelle10[[#This Row],[Rank]],Stammdaten[Rank Verteilung Krümmung],0))</f>
        <v>#N/A</v>
      </c>
      <c r="U4933" t="e">
        <f>VLOOKUP(Tabelle10[[#This Row],[Rank]],Stammdaten[[Rank Verteilung Krümmung]:[Verteilung Krümmung]],2,FALSE)</f>
        <v>#N/A</v>
      </c>
      <c r="Z4933">
        <v>4924</v>
      </c>
      <c r="AA4933" t="e">
        <f>INDEX(Stammdaten[Ovalität (']0,1'])],MATCH(Tabelle1014[[#This Row],[Rank]],Stammdaten[Rank Verteilung Ovalität],0))</f>
        <v>#N/A</v>
      </c>
      <c r="AB4933" t="e">
        <f>VLOOKUP(Tabelle1014[[#This Row],[Rank]],Stammdaten[[Rank Verteilung Ovalität]:[Verteilung Ovalität]],2,FALSE)</f>
        <v>#N/A</v>
      </c>
    </row>
    <row r="4934" spans="5:28" x14ac:dyDescent="0.35">
      <c r="E4934">
        <v>4925</v>
      </c>
      <c r="F4934" t="e">
        <f>INDEX(Stammdaten[D Mitte mit Rinde (mm)],MATCH(Tabelle8[[#This Row],[Rank]],Stammdaten[Rank Verteilung D Mitte mit Rinde],0))</f>
        <v>#N/A</v>
      </c>
      <c r="G4934" t="e">
        <f>VLOOKUP(Tabelle8[[#This Row],[Rank]],Stammdaten[[Rank Verteilung D Mitte mit Rinde]:[Verteilung D Mitte mit Rinde]],2,FALSE)</f>
        <v>#N/A</v>
      </c>
      <c r="L4934">
        <v>4925</v>
      </c>
      <c r="M4934" t="e">
        <f>INDEX(Stammdaten[Abholzigkeit (mm/lfm)],MATCH(Tabelle9[[#This Row],[Rank]],Stammdaten[Rank Verteilung Abholzigkeit],0))</f>
        <v>#N/A</v>
      </c>
      <c r="N4934" t="e">
        <f>VLOOKUP(Tabelle9[[#This Row],[Rank]],Stammdaten[[Rank Verteilung Abholzigkeit]:[Verteilung Abholzigkeit]],2,FALSE)</f>
        <v>#N/A</v>
      </c>
      <c r="S4934">
        <v>4925</v>
      </c>
      <c r="T4934" t="e">
        <f>INDEX(Stammdaten[Krümmung (mm/lfm)],MATCH(Tabelle10[[#This Row],[Rank]],Stammdaten[Rank Verteilung Krümmung],0))</f>
        <v>#N/A</v>
      </c>
      <c r="U4934" t="e">
        <f>VLOOKUP(Tabelle10[[#This Row],[Rank]],Stammdaten[[Rank Verteilung Krümmung]:[Verteilung Krümmung]],2,FALSE)</f>
        <v>#N/A</v>
      </c>
      <c r="Z4934">
        <v>4925</v>
      </c>
      <c r="AA4934" t="e">
        <f>INDEX(Stammdaten[Ovalität (']0,1'])],MATCH(Tabelle1014[[#This Row],[Rank]],Stammdaten[Rank Verteilung Ovalität],0))</f>
        <v>#N/A</v>
      </c>
      <c r="AB4934" t="e">
        <f>VLOOKUP(Tabelle1014[[#This Row],[Rank]],Stammdaten[[Rank Verteilung Ovalität]:[Verteilung Ovalität]],2,FALSE)</f>
        <v>#N/A</v>
      </c>
    </row>
    <row r="4935" spans="5:28" x14ac:dyDescent="0.35">
      <c r="E4935">
        <v>4926</v>
      </c>
      <c r="F4935" t="e">
        <f>INDEX(Stammdaten[D Mitte mit Rinde (mm)],MATCH(Tabelle8[[#This Row],[Rank]],Stammdaten[Rank Verteilung D Mitte mit Rinde],0))</f>
        <v>#N/A</v>
      </c>
      <c r="G4935" t="e">
        <f>VLOOKUP(Tabelle8[[#This Row],[Rank]],Stammdaten[[Rank Verteilung D Mitte mit Rinde]:[Verteilung D Mitte mit Rinde]],2,FALSE)</f>
        <v>#N/A</v>
      </c>
      <c r="L4935">
        <v>4926</v>
      </c>
      <c r="M4935" t="e">
        <f>INDEX(Stammdaten[Abholzigkeit (mm/lfm)],MATCH(Tabelle9[[#This Row],[Rank]],Stammdaten[Rank Verteilung Abholzigkeit],0))</f>
        <v>#N/A</v>
      </c>
      <c r="N4935" t="e">
        <f>VLOOKUP(Tabelle9[[#This Row],[Rank]],Stammdaten[[Rank Verteilung Abholzigkeit]:[Verteilung Abholzigkeit]],2,FALSE)</f>
        <v>#N/A</v>
      </c>
      <c r="S4935">
        <v>4926</v>
      </c>
      <c r="T4935" t="e">
        <f>INDEX(Stammdaten[Krümmung (mm/lfm)],MATCH(Tabelle10[[#This Row],[Rank]],Stammdaten[Rank Verteilung Krümmung],0))</f>
        <v>#N/A</v>
      </c>
      <c r="U4935" t="e">
        <f>VLOOKUP(Tabelle10[[#This Row],[Rank]],Stammdaten[[Rank Verteilung Krümmung]:[Verteilung Krümmung]],2,FALSE)</f>
        <v>#N/A</v>
      </c>
      <c r="Z4935">
        <v>4926</v>
      </c>
      <c r="AA4935" t="e">
        <f>INDEX(Stammdaten[Ovalität (']0,1'])],MATCH(Tabelle1014[[#This Row],[Rank]],Stammdaten[Rank Verteilung Ovalität],0))</f>
        <v>#N/A</v>
      </c>
      <c r="AB4935" t="e">
        <f>VLOOKUP(Tabelle1014[[#This Row],[Rank]],Stammdaten[[Rank Verteilung Ovalität]:[Verteilung Ovalität]],2,FALSE)</f>
        <v>#N/A</v>
      </c>
    </row>
    <row r="4936" spans="5:28" x14ac:dyDescent="0.35">
      <c r="E4936">
        <v>4927</v>
      </c>
      <c r="F4936" t="e">
        <f>INDEX(Stammdaten[D Mitte mit Rinde (mm)],MATCH(Tabelle8[[#This Row],[Rank]],Stammdaten[Rank Verteilung D Mitte mit Rinde],0))</f>
        <v>#N/A</v>
      </c>
      <c r="G4936" t="e">
        <f>VLOOKUP(Tabelle8[[#This Row],[Rank]],Stammdaten[[Rank Verteilung D Mitte mit Rinde]:[Verteilung D Mitte mit Rinde]],2,FALSE)</f>
        <v>#N/A</v>
      </c>
      <c r="L4936">
        <v>4927</v>
      </c>
      <c r="M4936" t="e">
        <f>INDEX(Stammdaten[Abholzigkeit (mm/lfm)],MATCH(Tabelle9[[#This Row],[Rank]],Stammdaten[Rank Verteilung Abholzigkeit],0))</f>
        <v>#N/A</v>
      </c>
      <c r="N4936" t="e">
        <f>VLOOKUP(Tabelle9[[#This Row],[Rank]],Stammdaten[[Rank Verteilung Abholzigkeit]:[Verteilung Abholzigkeit]],2,FALSE)</f>
        <v>#N/A</v>
      </c>
      <c r="S4936">
        <v>4927</v>
      </c>
      <c r="T4936" t="e">
        <f>INDEX(Stammdaten[Krümmung (mm/lfm)],MATCH(Tabelle10[[#This Row],[Rank]],Stammdaten[Rank Verteilung Krümmung],0))</f>
        <v>#N/A</v>
      </c>
      <c r="U4936" t="e">
        <f>VLOOKUP(Tabelle10[[#This Row],[Rank]],Stammdaten[[Rank Verteilung Krümmung]:[Verteilung Krümmung]],2,FALSE)</f>
        <v>#N/A</v>
      </c>
      <c r="Z4936">
        <v>4927</v>
      </c>
      <c r="AA4936" t="e">
        <f>INDEX(Stammdaten[Ovalität (']0,1'])],MATCH(Tabelle1014[[#This Row],[Rank]],Stammdaten[Rank Verteilung Ovalität],0))</f>
        <v>#N/A</v>
      </c>
      <c r="AB4936" t="e">
        <f>VLOOKUP(Tabelle1014[[#This Row],[Rank]],Stammdaten[[Rank Verteilung Ovalität]:[Verteilung Ovalität]],2,FALSE)</f>
        <v>#N/A</v>
      </c>
    </row>
    <row r="4937" spans="5:28" x14ac:dyDescent="0.35">
      <c r="E4937">
        <v>4928</v>
      </c>
      <c r="F4937" t="e">
        <f>INDEX(Stammdaten[D Mitte mit Rinde (mm)],MATCH(Tabelle8[[#This Row],[Rank]],Stammdaten[Rank Verteilung D Mitte mit Rinde],0))</f>
        <v>#N/A</v>
      </c>
      <c r="G4937" t="e">
        <f>VLOOKUP(Tabelle8[[#This Row],[Rank]],Stammdaten[[Rank Verteilung D Mitte mit Rinde]:[Verteilung D Mitte mit Rinde]],2,FALSE)</f>
        <v>#N/A</v>
      </c>
      <c r="L4937">
        <v>4928</v>
      </c>
      <c r="M4937" t="e">
        <f>INDEX(Stammdaten[Abholzigkeit (mm/lfm)],MATCH(Tabelle9[[#This Row],[Rank]],Stammdaten[Rank Verteilung Abholzigkeit],0))</f>
        <v>#N/A</v>
      </c>
      <c r="N4937" t="e">
        <f>VLOOKUP(Tabelle9[[#This Row],[Rank]],Stammdaten[[Rank Verteilung Abholzigkeit]:[Verteilung Abholzigkeit]],2,FALSE)</f>
        <v>#N/A</v>
      </c>
      <c r="S4937">
        <v>4928</v>
      </c>
      <c r="T4937" t="e">
        <f>INDEX(Stammdaten[Krümmung (mm/lfm)],MATCH(Tabelle10[[#This Row],[Rank]],Stammdaten[Rank Verteilung Krümmung],0))</f>
        <v>#N/A</v>
      </c>
      <c r="U4937" t="e">
        <f>VLOOKUP(Tabelle10[[#This Row],[Rank]],Stammdaten[[Rank Verteilung Krümmung]:[Verteilung Krümmung]],2,FALSE)</f>
        <v>#N/A</v>
      </c>
      <c r="Z4937">
        <v>4928</v>
      </c>
      <c r="AA4937" t="e">
        <f>INDEX(Stammdaten[Ovalität (']0,1'])],MATCH(Tabelle1014[[#This Row],[Rank]],Stammdaten[Rank Verteilung Ovalität],0))</f>
        <v>#N/A</v>
      </c>
      <c r="AB4937" t="e">
        <f>VLOOKUP(Tabelle1014[[#This Row],[Rank]],Stammdaten[[Rank Verteilung Ovalität]:[Verteilung Ovalität]],2,FALSE)</f>
        <v>#N/A</v>
      </c>
    </row>
    <row r="4938" spans="5:28" x14ac:dyDescent="0.35">
      <c r="E4938">
        <v>4929</v>
      </c>
      <c r="F4938" t="e">
        <f>INDEX(Stammdaten[D Mitte mit Rinde (mm)],MATCH(Tabelle8[[#This Row],[Rank]],Stammdaten[Rank Verteilung D Mitte mit Rinde],0))</f>
        <v>#N/A</v>
      </c>
      <c r="G4938" t="e">
        <f>VLOOKUP(Tabelle8[[#This Row],[Rank]],Stammdaten[[Rank Verteilung D Mitte mit Rinde]:[Verteilung D Mitte mit Rinde]],2,FALSE)</f>
        <v>#N/A</v>
      </c>
      <c r="L4938">
        <v>4929</v>
      </c>
      <c r="M4938" t="e">
        <f>INDEX(Stammdaten[Abholzigkeit (mm/lfm)],MATCH(Tabelle9[[#This Row],[Rank]],Stammdaten[Rank Verteilung Abholzigkeit],0))</f>
        <v>#N/A</v>
      </c>
      <c r="N4938" t="e">
        <f>VLOOKUP(Tabelle9[[#This Row],[Rank]],Stammdaten[[Rank Verteilung Abholzigkeit]:[Verteilung Abholzigkeit]],2,FALSE)</f>
        <v>#N/A</v>
      </c>
      <c r="S4938">
        <v>4929</v>
      </c>
      <c r="T4938" t="e">
        <f>INDEX(Stammdaten[Krümmung (mm/lfm)],MATCH(Tabelle10[[#This Row],[Rank]],Stammdaten[Rank Verteilung Krümmung],0))</f>
        <v>#N/A</v>
      </c>
      <c r="U4938" t="e">
        <f>VLOOKUP(Tabelle10[[#This Row],[Rank]],Stammdaten[[Rank Verteilung Krümmung]:[Verteilung Krümmung]],2,FALSE)</f>
        <v>#N/A</v>
      </c>
      <c r="Z4938">
        <v>4929</v>
      </c>
      <c r="AA4938" t="e">
        <f>INDEX(Stammdaten[Ovalität (']0,1'])],MATCH(Tabelle1014[[#This Row],[Rank]],Stammdaten[Rank Verteilung Ovalität],0))</f>
        <v>#N/A</v>
      </c>
      <c r="AB4938" t="e">
        <f>VLOOKUP(Tabelle1014[[#This Row],[Rank]],Stammdaten[[Rank Verteilung Ovalität]:[Verteilung Ovalität]],2,FALSE)</f>
        <v>#N/A</v>
      </c>
    </row>
    <row r="4939" spans="5:28" x14ac:dyDescent="0.35">
      <c r="E4939">
        <v>4930</v>
      </c>
      <c r="F4939" t="e">
        <f>INDEX(Stammdaten[D Mitte mit Rinde (mm)],MATCH(Tabelle8[[#This Row],[Rank]],Stammdaten[Rank Verteilung D Mitte mit Rinde],0))</f>
        <v>#N/A</v>
      </c>
      <c r="G4939" t="e">
        <f>VLOOKUP(Tabelle8[[#This Row],[Rank]],Stammdaten[[Rank Verteilung D Mitte mit Rinde]:[Verteilung D Mitte mit Rinde]],2,FALSE)</f>
        <v>#N/A</v>
      </c>
      <c r="L4939">
        <v>4930</v>
      </c>
      <c r="M4939" t="e">
        <f>INDEX(Stammdaten[Abholzigkeit (mm/lfm)],MATCH(Tabelle9[[#This Row],[Rank]],Stammdaten[Rank Verteilung Abholzigkeit],0))</f>
        <v>#N/A</v>
      </c>
      <c r="N4939" t="e">
        <f>VLOOKUP(Tabelle9[[#This Row],[Rank]],Stammdaten[[Rank Verteilung Abholzigkeit]:[Verteilung Abholzigkeit]],2,FALSE)</f>
        <v>#N/A</v>
      </c>
      <c r="S4939">
        <v>4930</v>
      </c>
      <c r="T4939" t="e">
        <f>INDEX(Stammdaten[Krümmung (mm/lfm)],MATCH(Tabelle10[[#This Row],[Rank]],Stammdaten[Rank Verteilung Krümmung],0))</f>
        <v>#N/A</v>
      </c>
      <c r="U4939" t="e">
        <f>VLOOKUP(Tabelle10[[#This Row],[Rank]],Stammdaten[[Rank Verteilung Krümmung]:[Verteilung Krümmung]],2,FALSE)</f>
        <v>#N/A</v>
      </c>
      <c r="Z4939">
        <v>4930</v>
      </c>
      <c r="AA4939" t="e">
        <f>INDEX(Stammdaten[Ovalität (']0,1'])],MATCH(Tabelle1014[[#This Row],[Rank]],Stammdaten[Rank Verteilung Ovalität],0))</f>
        <v>#N/A</v>
      </c>
      <c r="AB4939" t="e">
        <f>VLOOKUP(Tabelle1014[[#This Row],[Rank]],Stammdaten[[Rank Verteilung Ovalität]:[Verteilung Ovalität]],2,FALSE)</f>
        <v>#N/A</v>
      </c>
    </row>
    <row r="4940" spans="5:28" x14ac:dyDescent="0.35">
      <c r="E4940">
        <v>4931</v>
      </c>
      <c r="F4940" t="e">
        <f>INDEX(Stammdaten[D Mitte mit Rinde (mm)],MATCH(Tabelle8[[#This Row],[Rank]],Stammdaten[Rank Verteilung D Mitte mit Rinde],0))</f>
        <v>#N/A</v>
      </c>
      <c r="G4940" t="e">
        <f>VLOOKUP(Tabelle8[[#This Row],[Rank]],Stammdaten[[Rank Verteilung D Mitte mit Rinde]:[Verteilung D Mitte mit Rinde]],2,FALSE)</f>
        <v>#N/A</v>
      </c>
      <c r="L4940">
        <v>4931</v>
      </c>
      <c r="M4940" t="e">
        <f>INDEX(Stammdaten[Abholzigkeit (mm/lfm)],MATCH(Tabelle9[[#This Row],[Rank]],Stammdaten[Rank Verteilung Abholzigkeit],0))</f>
        <v>#N/A</v>
      </c>
      <c r="N4940" t="e">
        <f>VLOOKUP(Tabelle9[[#This Row],[Rank]],Stammdaten[[Rank Verteilung Abholzigkeit]:[Verteilung Abholzigkeit]],2,FALSE)</f>
        <v>#N/A</v>
      </c>
      <c r="S4940">
        <v>4931</v>
      </c>
      <c r="T4940" t="e">
        <f>INDEX(Stammdaten[Krümmung (mm/lfm)],MATCH(Tabelle10[[#This Row],[Rank]],Stammdaten[Rank Verteilung Krümmung],0))</f>
        <v>#N/A</v>
      </c>
      <c r="U4940" t="e">
        <f>VLOOKUP(Tabelle10[[#This Row],[Rank]],Stammdaten[[Rank Verteilung Krümmung]:[Verteilung Krümmung]],2,FALSE)</f>
        <v>#N/A</v>
      </c>
      <c r="Z4940">
        <v>4931</v>
      </c>
      <c r="AA4940" t="e">
        <f>INDEX(Stammdaten[Ovalität (']0,1'])],MATCH(Tabelle1014[[#This Row],[Rank]],Stammdaten[Rank Verteilung Ovalität],0))</f>
        <v>#N/A</v>
      </c>
      <c r="AB4940" t="e">
        <f>VLOOKUP(Tabelle1014[[#This Row],[Rank]],Stammdaten[[Rank Verteilung Ovalität]:[Verteilung Ovalität]],2,FALSE)</f>
        <v>#N/A</v>
      </c>
    </row>
    <row r="4941" spans="5:28" x14ac:dyDescent="0.35">
      <c r="E4941">
        <v>4932</v>
      </c>
      <c r="F4941" t="e">
        <f>INDEX(Stammdaten[D Mitte mit Rinde (mm)],MATCH(Tabelle8[[#This Row],[Rank]],Stammdaten[Rank Verteilung D Mitte mit Rinde],0))</f>
        <v>#N/A</v>
      </c>
      <c r="G4941" t="e">
        <f>VLOOKUP(Tabelle8[[#This Row],[Rank]],Stammdaten[[Rank Verteilung D Mitte mit Rinde]:[Verteilung D Mitte mit Rinde]],2,FALSE)</f>
        <v>#N/A</v>
      </c>
      <c r="L4941">
        <v>4932</v>
      </c>
      <c r="M4941" t="e">
        <f>INDEX(Stammdaten[Abholzigkeit (mm/lfm)],MATCH(Tabelle9[[#This Row],[Rank]],Stammdaten[Rank Verteilung Abholzigkeit],0))</f>
        <v>#N/A</v>
      </c>
      <c r="N4941" t="e">
        <f>VLOOKUP(Tabelle9[[#This Row],[Rank]],Stammdaten[[Rank Verteilung Abholzigkeit]:[Verteilung Abholzigkeit]],2,FALSE)</f>
        <v>#N/A</v>
      </c>
      <c r="S4941">
        <v>4932</v>
      </c>
      <c r="T4941" t="e">
        <f>INDEX(Stammdaten[Krümmung (mm/lfm)],MATCH(Tabelle10[[#This Row],[Rank]],Stammdaten[Rank Verteilung Krümmung],0))</f>
        <v>#N/A</v>
      </c>
      <c r="U4941" t="e">
        <f>VLOOKUP(Tabelle10[[#This Row],[Rank]],Stammdaten[[Rank Verteilung Krümmung]:[Verteilung Krümmung]],2,FALSE)</f>
        <v>#N/A</v>
      </c>
      <c r="Z4941">
        <v>4932</v>
      </c>
      <c r="AA4941" t="e">
        <f>INDEX(Stammdaten[Ovalität (']0,1'])],MATCH(Tabelle1014[[#This Row],[Rank]],Stammdaten[Rank Verteilung Ovalität],0))</f>
        <v>#N/A</v>
      </c>
      <c r="AB4941" t="e">
        <f>VLOOKUP(Tabelle1014[[#This Row],[Rank]],Stammdaten[[Rank Verteilung Ovalität]:[Verteilung Ovalität]],2,FALSE)</f>
        <v>#N/A</v>
      </c>
    </row>
    <row r="4942" spans="5:28" x14ac:dyDescent="0.35">
      <c r="E4942">
        <v>4933</v>
      </c>
      <c r="F4942" t="e">
        <f>INDEX(Stammdaten[D Mitte mit Rinde (mm)],MATCH(Tabelle8[[#This Row],[Rank]],Stammdaten[Rank Verteilung D Mitte mit Rinde],0))</f>
        <v>#N/A</v>
      </c>
      <c r="G4942" t="e">
        <f>VLOOKUP(Tabelle8[[#This Row],[Rank]],Stammdaten[[Rank Verteilung D Mitte mit Rinde]:[Verteilung D Mitte mit Rinde]],2,FALSE)</f>
        <v>#N/A</v>
      </c>
      <c r="L4942">
        <v>4933</v>
      </c>
      <c r="M4942" t="e">
        <f>INDEX(Stammdaten[Abholzigkeit (mm/lfm)],MATCH(Tabelle9[[#This Row],[Rank]],Stammdaten[Rank Verteilung Abholzigkeit],0))</f>
        <v>#N/A</v>
      </c>
      <c r="N4942" t="e">
        <f>VLOOKUP(Tabelle9[[#This Row],[Rank]],Stammdaten[[Rank Verteilung Abholzigkeit]:[Verteilung Abholzigkeit]],2,FALSE)</f>
        <v>#N/A</v>
      </c>
      <c r="S4942">
        <v>4933</v>
      </c>
      <c r="T4942" t="e">
        <f>INDEX(Stammdaten[Krümmung (mm/lfm)],MATCH(Tabelle10[[#This Row],[Rank]],Stammdaten[Rank Verteilung Krümmung],0))</f>
        <v>#N/A</v>
      </c>
      <c r="U4942" t="e">
        <f>VLOOKUP(Tabelle10[[#This Row],[Rank]],Stammdaten[[Rank Verteilung Krümmung]:[Verteilung Krümmung]],2,FALSE)</f>
        <v>#N/A</v>
      </c>
      <c r="Z4942">
        <v>4933</v>
      </c>
      <c r="AA4942" t="e">
        <f>INDEX(Stammdaten[Ovalität (']0,1'])],MATCH(Tabelle1014[[#This Row],[Rank]],Stammdaten[Rank Verteilung Ovalität],0))</f>
        <v>#N/A</v>
      </c>
      <c r="AB4942" t="e">
        <f>VLOOKUP(Tabelle1014[[#This Row],[Rank]],Stammdaten[[Rank Verteilung Ovalität]:[Verteilung Ovalität]],2,FALSE)</f>
        <v>#N/A</v>
      </c>
    </row>
    <row r="4943" spans="5:28" x14ac:dyDescent="0.35">
      <c r="E4943">
        <v>4934</v>
      </c>
      <c r="F4943" t="e">
        <f>INDEX(Stammdaten[D Mitte mit Rinde (mm)],MATCH(Tabelle8[[#This Row],[Rank]],Stammdaten[Rank Verteilung D Mitte mit Rinde],0))</f>
        <v>#N/A</v>
      </c>
      <c r="G4943" t="e">
        <f>VLOOKUP(Tabelle8[[#This Row],[Rank]],Stammdaten[[Rank Verteilung D Mitte mit Rinde]:[Verteilung D Mitte mit Rinde]],2,FALSE)</f>
        <v>#N/A</v>
      </c>
      <c r="L4943">
        <v>4934</v>
      </c>
      <c r="M4943" t="e">
        <f>INDEX(Stammdaten[Abholzigkeit (mm/lfm)],MATCH(Tabelle9[[#This Row],[Rank]],Stammdaten[Rank Verteilung Abholzigkeit],0))</f>
        <v>#N/A</v>
      </c>
      <c r="N4943" t="e">
        <f>VLOOKUP(Tabelle9[[#This Row],[Rank]],Stammdaten[[Rank Verteilung Abholzigkeit]:[Verteilung Abholzigkeit]],2,FALSE)</f>
        <v>#N/A</v>
      </c>
      <c r="S4943">
        <v>4934</v>
      </c>
      <c r="T4943" t="e">
        <f>INDEX(Stammdaten[Krümmung (mm/lfm)],MATCH(Tabelle10[[#This Row],[Rank]],Stammdaten[Rank Verteilung Krümmung],0))</f>
        <v>#N/A</v>
      </c>
      <c r="U4943" t="e">
        <f>VLOOKUP(Tabelle10[[#This Row],[Rank]],Stammdaten[[Rank Verteilung Krümmung]:[Verteilung Krümmung]],2,FALSE)</f>
        <v>#N/A</v>
      </c>
      <c r="Z4943">
        <v>4934</v>
      </c>
      <c r="AA4943" t="e">
        <f>INDEX(Stammdaten[Ovalität (']0,1'])],MATCH(Tabelle1014[[#This Row],[Rank]],Stammdaten[Rank Verteilung Ovalität],0))</f>
        <v>#N/A</v>
      </c>
      <c r="AB4943" t="e">
        <f>VLOOKUP(Tabelle1014[[#This Row],[Rank]],Stammdaten[[Rank Verteilung Ovalität]:[Verteilung Ovalität]],2,FALSE)</f>
        <v>#N/A</v>
      </c>
    </row>
    <row r="4944" spans="5:28" x14ac:dyDescent="0.35">
      <c r="E4944">
        <v>4935</v>
      </c>
      <c r="F4944" t="e">
        <f>INDEX(Stammdaten[D Mitte mit Rinde (mm)],MATCH(Tabelle8[[#This Row],[Rank]],Stammdaten[Rank Verteilung D Mitte mit Rinde],0))</f>
        <v>#N/A</v>
      </c>
      <c r="G4944" t="e">
        <f>VLOOKUP(Tabelle8[[#This Row],[Rank]],Stammdaten[[Rank Verteilung D Mitte mit Rinde]:[Verteilung D Mitte mit Rinde]],2,FALSE)</f>
        <v>#N/A</v>
      </c>
      <c r="L4944">
        <v>4935</v>
      </c>
      <c r="M4944" t="e">
        <f>INDEX(Stammdaten[Abholzigkeit (mm/lfm)],MATCH(Tabelle9[[#This Row],[Rank]],Stammdaten[Rank Verteilung Abholzigkeit],0))</f>
        <v>#N/A</v>
      </c>
      <c r="N4944" t="e">
        <f>VLOOKUP(Tabelle9[[#This Row],[Rank]],Stammdaten[[Rank Verteilung Abholzigkeit]:[Verteilung Abholzigkeit]],2,FALSE)</f>
        <v>#N/A</v>
      </c>
      <c r="S4944">
        <v>4935</v>
      </c>
      <c r="T4944" t="e">
        <f>INDEX(Stammdaten[Krümmung (mm/lfm)],MATCH(Tabelle10[[#This Row],[Rank]],Stammdaten[Rank Verteilung Krümmung],0))</f>
        <v>#N/A</v>
      </c>
      <c r="U4944" t="e">
        <f>VLOOKUP(Tabelle10[[#This Row],[Rank]],Stammdaten[[Rank Verteilung Krümmung]:[Verteilung Krümmung]],2,FALSE)</f>
        <v>#N/A</v>
      </c>
      <c r="Z4944">
        <v>4935</v>
      </c>
      <c r="AA4944" t="e">
        <f>INDEX(Stammdaten[Ovalität (']0,1'])],MATCH(Tabelle1014[[#This Row],[Rank]],Stammdaten[Rank Verteilung Ovalität],0))</f>
        <v>#N/A</v>
      </c>
      <c r="AB4944" t="e">
        <f>VLOOKUP(Tabelle1014[[#This Row],[Rank]],Stammdaten[[Rank Verteilung Ovalität]:[Verteilung Ovalität]],2,FALSE)</f>
        <v>#N/A</v>
      </c>
    </row>
    <row r="4945" spans="5:28" x14ac:dyDescent="0.35">
      <c r="E4945">
        <v>4936</v>
      </c>
      <c r="F4945" t="e">
        <f>INDEX(Stammdaten[D Mitte mit Rinde (mm)],MATCH(Tabelle8[[#This Row],[Rank]],Stammdaten[Rank Verteilung D Mitte mit Rinde],0))</f>
        <v>#N/A</v>
      </c>
      <c r="G4945" t="e">
        <f>VLOOKUP(Tabelle8[[#This Row],[Rank]],Stammdaten[[Rank Verteilung D Mitte mit Rinde]:[Verteilung D Mitte mit Rinde]],2,FALSE)</f>
        <v>#N/A</v>
      </c>
      <c r="L4945">
        <v>4936</v>
      </c>
      <c r="M4945" t="e">
        <f>INDEX(Stammdaten[Abholzigkeit (mm/lfm)],MATCH(Tabelle9[[#This Row],[Rank]],Stammdaten[Rank Verteilung Abholzigkeit],0))</f>
        <v>#N/A</v>
      </c>
      <c r="N4945" t="e">
        <f>VLOOKUP(Tabelle9[[#This Row],[Rank]],Stammdaten[[Rank Verteilung Abholzigkeit]:[Verteilung Abholzigkeit]],2,FALSE)</f>
        <v>#N/A</v>
      </c>
      <c r="S4945">
        <v>4936</v>
      </c>
      <c r="T4945" t="e">
        <f>INDEX(Stammdaten[Krümmung (mm/lfm)],MATCH(Tabelle10[[#This Row],[Rank]],Stammdaten[Rank Verteilung Krümmung],0))</f>
        <v>#N/A</v>
      </c>
      <c r="U4945" t="e">
        <f>VLOOKUP(Tabelle10[[#This Row],[Rank]],Stammdaten[[Rank Verteilung Krümmung]:[Verteilung Krümmung]],2,FALSE)</f>
        <v>#N/A</v>
      </c>
      <c r="Z4945">
        <v>4936</v>
      </c>
      <c r="AA4945" t="e">
        <f>INDEX(Stammdaten[Ovalität (']0,1'])],MATCH(Tabelle1014[[#This Row],[Rank]],Stammdaten[Rank Verteilung Ovalität],0))</f>
        <v>#N/A</v>
      </c>
      <c r="AB4945" t="e">
        <f>VLOOKUP(Tabelle1014[[#This Row],[Rank]],Stammdaten[[Rank Verteilung Ovalität]:[Verteilung Ovalität]],2,FALSE)</f>
        <v>#N/A</v>
      </c>
    </row>
    <row r="4946" spans="5:28" x14ac:dyDescent="0.35">
      <c r="E4946">
        <v>4937</v>
      </c>
      <c r="F4946" t="e">
        <f>INDEX(Stammdaten[D Mitte mit Rinde (mm)],MATCH(Tabelle8[[#This Row],[Rank]],Stammdaten[Rank Verteilung D Mitte mit Rinde],0))</f>
        <v>#N/A</v>
      </c>
      <c r="G4946" t="e">
        <f>VLOOKUP(Tabelle8[[#This Row],[Rank]],Stammdaten[[Rank Verteilung D Mitte mit Rinde]:[Verteilung D Mitte mit Rinde]],2,FALSE)</f>
        <v>#N/A</v>
      </c>
      <c r="L4946">
        <v>4937</v>
      </c>
      <c r="M4946" t="e">
        <f>INDEX(Stammdaten[Abholzigkeit (mm/lfm)],MATCH(Tabelle9[[#This Row],[Rank]],Stammdaten[Rank Verteilung Abholzigkeit],0))</f>
        <v>#N/A</v>
      </c>
      <c r="N4946" t="e">
        <f>VLOOKUP(Tabelle9[[#This Row],[Rank]],Stammdaten[[Rank Verteilung Abholzigkeit]:[Verteilung Abholzigkeit]],2,FALSE)</f>
        <v>#N/A</v>
      </c>
      <c r="S4946">
        <v>4937</v>
      </c>
      <c r="T4946" t="e">
        <f>INDEX(Stammdaten[Krümmung (mm/lfm)],MATCH(Tabelle10[[#This Row],[Rank]],Stammdaten[Rank Verteilung Krümmung],0))</f>
        <v>#N/A</v>
      </c>
      <c r="U4946" t="e">
        <f>VLOOKUP(Tabelle10[[#This Row],[Rank]],Stammdaten[[Rank Verteilung Krümmung]:[Verteilung Krümmung]],2,FALSE)</f>
        <v>#N/A</v>
      </c>
      <c r="Z4946">
        <v>4937</v>
      </c>
      <c r="AA4946" t="e">
        <f>INDEX(Stammdaten[Ovalität (']0,1'])],MATCH(Tabelle1014[[#This Row],[Rank]],Stammdaten[Rank Verteilung Ovalität],0))</f>
        <v>#N/A</v>
      </c>
      <c r="AB4946" t="e">
        <f>VLOOKUP(Tabelle1014[[#This Row],[Rank]],Stammdaten[[Rank Verteilung Ovalität]:[Verteilung Ovalität]],2,FALSE)</f>
        <v>#N/A</v>
      </c>
    </row>
    <row r="4947" spans="5:28" x14ac:dyDescent="0.35">
      <c r="E4947">
        <v>4938</v>
      </c>
      <c r="F4947" t="e">
        <f>INDEX(Stammdaten[D Mitte mit Rinde (mm)],MATCH(Tabelle8[[#This Row],[Rank]],Stammdaten[Rank Verteilung D Mitte mit Rinde],0))</f>
        <v>#N/A</v>
      </c>
      <c r="G4947" t="e">
        <f>VLOOKUP(Tabelle8[[#This Row],[Rank]],Stammdaten[[Rank Verteilung D Mitte mit Rinde]:[Verteilung D Mitte mit Rinde]],2,FALSE)</f>
        <v>#N/A</v>
      </c>
      <c r="L4947">
        <v>4938</v>
      </c>
      <c r="M4947" t="e">
        <f>INDEX(Stammdaten[Abholzigkeit (mm/lfm)],MATCH(Tabelle9[[#This Row],[Rank]],Stammdaten[Rank Verteilung Abholzigkeit],0))</f>
        <v>#N/A</v>
      </c>
      <c r="N4947" t="e">
        <f>VLOOKUP(Tabelle9[[#This Row],[Rank]],Stammdaten[[Rank Verteilung Abholzigkeit]:[Verteilung Abholzigkeit]],2,FALSE)</f>
        <v>#N/A</v>
      </c>
      <c r="S4947">
        <v>4938</v>
      </c>
      <c r="T4947" t="e">
        <f>INDEX(Stammdaten[Krümmung (mm/lfm)],MATCH(Tabelle10[[#This Row],[Rank]],Stammdaten[Rank Verteilung Krümmung],0))</f>
        <v>#N/A</v>
      </c>
      <c r="U4947" t="e">
        <f>VLOOKUP(Tabelle10[[#This Row],[Rank]],Stammdaten[[Rank Verteilung Krümmung]:[Verteilung Krümmung]],2,FALSE)</f>
        <v>#N/A</v>
      </c>
      <c r="Z4947">
        <v>4938</v>
      </c>
      <c r="AA4947" t="e">
        <f>INDEX(Stammdaten[Ovalität (']0,1'])],MATCH(Tabelle1014[[#This Row],[Rank]],Stammdaten[Rank Verteilung Ovalität],0))</f>
        <v>#N/A</v>
      </c>
      <c r="AB4947" t="e">
        <f>VLOOKUP(Tabelle1014[[#This Row],[Rank]],Stammdaten[[Rank Verteilung Ovalität]:[Verteilung Ovalität]],2,FALSE)</f>
        <v>#N/A</v>
      </c>
    </row>
    <row r="4948" spans="5:28" x14ac:dyDescent="0.35">
      <c r="E4948">
        <v>4939</v>
      </c>
      <c r="F4948" t="e">
        <f>INDEX(Stammdaten[D Mitte mit Rinde (mm)],MATCH(Tabelle8[[#This Row],[Rank]],Stammdaten[Rank Verteilung D Mitte mit Rinde],0))</f>
        <v>#N/A</v>
      </c>
      <c r="G4948" t="e">
        <f>VLOOKUP(Tabelle8[[#This Row],[Rank]],Stammdaten[[Rank Verteilung D Mitte mit Rinde]:[Verteilung D Mitte mit Rinde]],2,FALSE)</f>
        <v>#N/A</v>
      </c>
      <c r="L4948">
        <v>4939</v>
      </c>
      <c r="M4948" t="e">
        <f>INDEX(Stammdaten[Abholzigkeit (mm/lfm)],MATCH(Tabelle9[[#This Row],[Rank]],Stammdaten[Rank Verteilung Abholzigkeit],0))</f>
        <v>#N/A</v>
      </c>
      <c r="N4948" t="e">
        <f>VLOOKUP(Tabelle9[[#This Row],[Rank]],Stammdaten[[Rank Verteilung Abholzigkeit]:[Verteilung Abholzigkeit]],2,FALSE)</f>
        <v>#N/A</v>
      </c>
      <c r="S4948">
        <v>4939</v>
      </c>
      <c r="T4948" t="e">
        <f>INDEX(Stammdaten[Krümmung (mm/lfm)],MATCH(Tabelle10[[#This Row],[Rank]],Stammdaten[Rank Verteilung Krümmung],0))</f>
        <v>#N/A</v>
      </c>
      <c r="U4948" t="e">
        <f>VLOOKUP(Tabelle10[[#This Row],[Rank]],Stammdaten[[Rank Verteilung Krümmung]:[Verteilung Krümmung]],2,FALSE)</f>
        <v>#N/A</v>
      </c>
      <c r="Z4948">
        <v>4939</v>
      </c>
      <c r="AA4948" t="e">
        <f>INDEX(Stammdaten[Ovalität (']0,1'])],MATCH(Tabelle1014[[#This Row],[Rank]],Stammdaten[Rank Verteilung Ovalität],0))</f>
        <v>#N/A</v>
      </c>
      <c r="AB4948" t="e">
        <f>VLOOKUP(Tabelle1014[[#This Row],[Rank]],Stammdaten[[Rank Verteilung Ovalität]:[Verteilung Ovalität]],2,FALSE)</f>
        <v>#N/A</v>
      </c>
    </row>
    <row r="4949" spans="5:28" x14ac:dyDescent="0.35">
      <c r="E4949">
        <v>4940</v>
      </c>
      <c r="F4949" t="e">
        <f>INDEX(Stammdaten[D Mitte mit Rinde (mm)],MATCH(Tabelle8[[#This Row],[Rank]],Stammdaten[Rank Verteilung D Mitte mit Rinde],0))</f>
        <v>#N/A</v>
      </c>
      <c r="G4949" t="e">
        <f>VLOOKUP(Tabelle8[[#This Row],[Rank]],Stammdaten[[Rank Verteilung D Mitte mit Rinde]:[Verteilung D Mitte mit Rinde]],2,FALSE)</f>
        <v>#N/A</v>
      </c>
      <c r="L4949">
        <v>4940</v>
      </c>
      <c r="M4949" t="e">
        <f>INDEX(Stammdaten[Abholzigkeit (mm/lfm)],MATCH(Tabelle9[[#This Row],[Rank]],Stammdaten[Rank Verteilung Abholzigkeit],0))</f>
        <v>#N/A</v>
      </c>
      <c r="N4949" t="e">
        <f>VLOOKUP(Tabelle9[[#This Row],[Rank]],Stammdaten[[Rank Verteilung Abholzigkeit]:[Verteilung Abholzigkeit]],2,FALSE)</f>
        <v>#N/A</v>
      </c>
      <c r="S4949">
        <v>4940</v>
      </c>
      <c r="T4949" t="e">
        <f>INDEX(Stammdaten[Krümmung (mm/lfm)],MATCH(Tabelle10[[#This Row],[Rank]],Stammdaten[Rank Verteilung Krümmung],0))</f>
        <v>#N/A</v>
      </c>
      <c r="U4949" t="e">
        <f>VLOOKUP(Tabelle10[[#This Row],[Rank]],Stammdaten[[Rank Verteilung Krümmung]:[Verteilung Krümmung]],2,FALSE)</f>
        <v>#N/A</v>
      </c>
      <c r="Z4949">
        <v>4940</v>
      </c>
      <c r="AA4949" t="e">
        <f>INDEX(Stammdaten[Ovalität (']0,1'])],MATCH(Tabelle1014[[#This Row],[Rank]],Stammdaten[Rank Verteilung Ovalität],0))</f>
        <v>#N/A</v>
      </c>
      <c r="AB4949" t="e">
        <f>VLOOKUP(Tabelle1014[[#This Row],[Rank]],Stammdaten[[Rank Verteilung Ovalität]:[Verteilung Ovalität]],2,FALSE)</f>
        <v>#N/A</v>
      </c>
    </row>
    <row r="4950" spans="5:28" x14ac:dyDescent="0.35">
      <c r="E4950">
        <v>4941</v>
      </c>
      <c r="F4950" t="e">
        <f>INDEX(Stammdaten[D Mitte mit Rinde (mm)],MATCH(Tabelle8[[#This Row],[Rank]],Stammdaten[Rank Verteilung D Mitte mit Rinde],0))</f>
        <v>#N/A</v>
      </c>
      <c r="G4950" t="e">
        <f>VLOOKUP(Tabelle8[[#This Row],[Rank]],Stammdaten[[Rank Verteilung D Mitte mit Rinde]:[Verteilung D Mitte mit Rinde]],2,FALSE)</f>
        <v>#N/A</v>
      </c>
      <c r="L4950">
        <v>4941</v>
      </c>
      <c r="M4950" t="e">
        <f>INDEX(Stammdaten[Abholzigkeit (mm/lfm)],MATCH(Tabelle9[[#This Row],[Rank]],Stammdaten[Rank Verteilung Abholzigkeit],0))</f>
        <v>#N/A</v>
      </c>
      <c r="N4950" t="e">
        <f>VLOOKUP(Tabelle9[[#This Row],[Rank]],Stammdaten[[Rank Verteilung Abholzigkeit]:[Verteilung Abholzigkeit]],2,FALSE)</f>
        <v>#N/A</v>
      </c>
      <c r="S4950">
        <v>4941</v>
      </c>
      <c r="T4950" t="e">
        <f>INDEX(Stammdaten[Krümmung (mm/lfm)],MATCH(Tabelle10[[#This Row],[Rank]],Stammdaten[Rank Verteilung Krümmung],0))</f>
        <v>#N/A</v>
      </c>
      <c r="U4950" t="e">
        <f>VLOOKUP(Tabelle10[[#This Row],[Rank]],Stammdaten[[Rank Verteilung Krümmung]:[Verteilung Krümmung]],2,FALSE)</f>
        <v>#N/A</v>
      </c>
      <c r="Z4950">
        <v>4941</v>
      </c>
      <c r="AA4950" t="e">
        <f>INDEX(Stammdaten[Ovalität (']0,1'])],MATCH(Tabelle1014[[#This Row],[Rank]],Stammdaten[Rank Verteilung Ovalität],0))</f>
        <v>#N/A</v>
      </c>
      <c r="AB4950" t="e">
        <f>VLOOKUP(Tabelle1014[[#This Row],[Rank]],Stammdaten[[Rank Verteilung Ovalität]:[Verteilung Ovalität]],2,FALSE)</f>
        <v>#N/A</v>
      </c>
    </row>
    <row r="4951" spans="5:28" x14ac:dyDescent="0.35">
      <c r="E4951">
        <v>4942</v>
      </c>
      <c r="F4951" t="e">
        <f>INDEX(Stammdaten[D Mitte mit Rinde (mm)],MATCH(Tabelle8[[#This Row],[Rank]],Stammdaten[Rank Verteilung D Mitte mit Rinde],0))</f>
        <v>#N/A</v>
      </c>
      <c r="G4951" t="e">
        <f>VLOOKUP(Tabelle8[[#This Row],[Rank]],Stammdaten[[Rank Verteilung D Mitte mit Rinde]:[Verteilung D Mitte mit Rinde]],2,FALSE)</f>
        <v>#N/A</v>
      </c>
      <c r="L4951">
        <v>4942</v>
      </c>
      <c r="M4951" t="e">
        <f>INDEX(Stammdaten[Abholzigkeit (mm/lfm)],MATCH(Tabelle9[[#This Row],[Rank]],Stammdaten[Rank Verteilung Abholzigkeit],0))</f>
        <v>#N/A</v>
      </c>
      <c r="N4951" t="e">
        <f>VLOOKUP(Tabelle9[[#This Row],[Rank]],Stammdaten[[Rank Verteilung Abholzigkeit]:[Verteilung Abholzigkeit]],2,FALSE)</f>
        <v>#N/A</v>
      </c>
      <c r="S4951">
        <v>4942</v>
      </c>
      <c r="T4951" t="e">
        <f>INDEX(Stammdaten[Krümmung (mm/lfm)],MATCH(Tabelle10[[#This Row],[Rank]],Stammdaten[Rank Verteilung Krümmung],0))</f>
        <v>#N/A</v>
      </c>
      <c r="U4951" t="e">
        <f>VLOOKUP(Tabelle10[[#This Row],[Rank]],Stammdaten[[Rank Verteilung Krümmung]:[Verteilung Krümmung]],2,FALSE)</f>
        <v>#N/A</v>
      </c>
      <c r="Z4951">
        <v>4942</v>
      </c>
      <c r="AA4951" t="e">
        <f>INDEX(Stammdaten[Ovalität (']0,1'])],MATCH(Tabelle1014[[#This Row],[Rank]],Stammdaten[Rank Verteilung Ovalität],0))</f>
        <v>#N/A</v>
      </c>
      <c r="AB4951" t="e">
        <f>VLOOKUP(Tabelle1014[[#This Row],[Rank]],Stammdaten[[Rank Verteilung Ovalität]:[Verteilung Ovalität]],2,FALSE)</f>
        <v>#N/A</v>
      </c>
    </row>
    <row r="4952" spans="5:28" x14ac:dyDescent="0.35">
      <c r="E4952">
        <v>4943</v>
      </c>
      <c r="F4952" t="e">
        <f>INDEX(Stammdaten[D Mitte mit Rinde (mm)],MATCH(Tabelle8[[#This Row],[Rank]],Stammdaten[Rank Verteilung D Mitte mit Rinde],0))</f>
        <v>#N/A</v>
      </c>
      <c r="G4952" t="e">
        <f>VLOOKUP(Tabelle8[[#This Row],[Rank]],Stammdaten[[Rank Verteilung D Mitte mit Rinde]:[Verteilung D Mitte mit Rinde]],2,FALSE)</f>
        <v>#N/A</v>
      </c>
      <c r="L4952">
        <v>4943</v>
      </c>
      <c r="M4952" t="e">
        <f>INDEX(Stammdaten[Abholzigkeit (mm/lfm)],MATCH(Tabelle9[[#This Row],[Rank]],Stammdaten[Rank Verteilung Abholzigkeit],0))</f>
        <v>#N/A</v>
      </c>
      <c r="N4952" t="e">
        <f>VLOOKUP(Tabelle9[[#This Row],[Rank]],Stammdaten[[Rank Verteilung Abholzigkeit]:[Verteilung Abholzigkeit]],2,FALSE)</f>
        <v>#N/A</v>
      </c>
      <c r="S4952">
        <v>4943</v>
      </c>
      <c r="T4952" t="e">
        <f>INDEX(Stammdaten[Krümmung (mm/lfm)],MATCH(Tabelle10[[#This Row],[Rank]],Stammdaten[Rank Verteilung Krümmung],0))</f>
        <v>#N/A</v>
      </c>
      <c r="U4952" t="e">
        <f>VLOOKUP(Tabelle10[[#This Row],[Rank]],Stammdaten[[Rank Verteilung Krümmung]:[Verteilung Krümmung]],2,FALSE)</f>
        <v>#N/A</v>
      </c>
      <c r="Z4952">
        <v>4943</v>
      </c>
      <c r="AA4952" t="e">
        <f>INDEX(Stammdaten[Ovalität (']0,1'])],MATCH(Tabelle1014[[#This Row],[Rank]],Stammdaten[Rank Verteilung Ovalität],0))</f>
        <v>#N/A</v>
      </c>
      <c r="AB4952" t="e">
        <f>VLOOKUP(Tabelle1014[[#This Row],[Rank]],Stammdaten[[Rank Verteilung Ovalität]:[Verteilung Ovalität]],2,FALSE)</f>
        <v>#N/A</v>
      </c>
    </row>
    <row r="4953" spans="5:28" x14ac:dyDescent="0.35">
      <c r="E4953">
        <v>4944</v>
      </c>
      <c r="F4953" t="e">
        <f>INDEX(Stammdaten[D Mitte mit Rinde (mm)],MATCH(Tabelle8[[#This Row],[Rank]],Stammdaten[Rank Verteilung D Mitte mit Rinde],0))</f>
        <v>#N/A</v>
      </c>
      <c r="G4953" t="e">
        <f>VLOOKUP(Tabelle8[[#This Row],[Rank]],Stammdaten[[Rank Verteilung D Mitte mit Rinde]:[Verteilung D Mitte mit Rinde]],2,FALSE)</f>
        <v>#N/A</v>
      </c>
      <c r="L4953">
        <v>4944</v>
      </c>
      <c r="M4953" t="e">
        <f>INDEX(Stammdaten[Abholzigkeit (mm/lfm)],MATCH(Tabelle9[[#This Row],[Rank]],Stammdaten[Rank Verteilung Abholzigkeit],0))</f>
        <v>#N/A</v>
      </c>
      <c r="N4953" t="e">
        <f>VLOOKUP(Tabelle9[[#This Row],[Rank]],Stammdaten[[Rank Verteilung Abholzigkeit]:[Verteilung Abholzigkeit]],2,FALSE)</f>
        <v>#N/A</v>
      </c>
      <c r="S4953">
        <v>4944</v>
      </c>
      <c r="T4953" t="e">
        <f>INDEX(Stammdaten[Krümmung (mm/lfm)],MATCH(Tabelle10[[#This Row],[Rank]],Stammdaten[Rank Verteilung Krümmung],0))</f>
        <v>#N/A</v>
      </c>
      <c r="U4953" t="e">
        <f>VLOOKUP(Tabelle10[[#This Row],[Rank]],Stammdaten[[Rank Verteilung Krümmung]:[Verteilung Krümmung]],2,FALSE)</f>
        <v>#N/A</v>
      </c>
      <c r="Z4953">
        <v>4944</v>
      </c>
      <c r="AA4953" t="e">
        <f>INDEX(Stammdaten[Ovalität (']0,1'])],MATCH(Tabelle1014[[#This Row],[Rank]],Stammdaten[Rank Verteilung Ovalität],0))</f>
        <v>#N/A</v>
      </c>
      <c r="AB4953" t="e">
        <f>VLOOKUP(Tabelle1014[[#This Row],[Rank]],Stammdaten[[Rank Verteilung Ovalität]:[Verteilung Ovalität]],2,FALSE)</f>
        <v>#N/A</v>
      </c>
    </row>
    <row r="4954" spans="5:28" x14ac:dyDescent="0.35">
      <c r="E4954">
        <v>4945</v>
      </c>
      <c r="F4954" t="e">
        <f>INDEX(Stammdaten[D Mitte mit Rinde (mm)],MATCH(Tabelle8[[#This Row],[Rank]],Stammdaten[Rank Verteilung D Mitte mit Rinde],0))</f>
        <v>#N/A</v>
      </c>
      <c r="G4954" t="e">
        <f>VLOOKUP(Tabelle8[[#This Row],[Rank]],Stammdaten[[Rank Verteilung D Mitte mit Rinde]:[Verteilung D Mitte mit Rinde]],2,FALSE)</f>
        <v>#N/A</v>
      </c>
      <c r="L4954">
        <v>4945</v>
      </c>
      <c r="M4954" t="e">
        <f>INDEX(Stammdaten[Abholzigkeit (mm/lfm)],MATCH(Tabelle9[[#This Row],[Rank]],Stammdaten[Rank Verteilung Abholzigkeit],0))</f>
        <v>#N/A</v>
      </c>
      <c r="N4954" t="e">
        <f>VLOOKUP(Tabelle9[[#This Row],[Rank]],Stammdaten[[Rank Verteilung Abholzigkeit]:[Verteilung Abholzigkeit]],2,FALSE)</f>
        <v>#N/A</v>
      </c>
      <c r="S4954">
        <v>4945</v>
      </c>
      <c r="T4954" t="e">
        <f>INDEX(Stammdaten[Krümmung (mm/lfm)],MATCH(Tabelle10[[#This Row],[Rank]],Stammdaten[Rank Verteilung Krümmung],0))</f>
        <v>#N/A</v>
      </c>
      <c r="U4954" t="e">
        <f>VLOOKUP(Tabelle10[[#This Row],[Rank]],Stammdaten[[Rank Verteilung Krümmung]:[Verteilung Krümmung]],2,FALSE)</f>
        <v>#N/A</v>
      </c>
      <c r="Z4954">
        <v>4945</v>
      </c>
      <c r="AA4954" t="e">
        <f>INDEX(Stammdaten[Ovalität (']0,1'])],MATCH(Tabelle1014[[#This Row],[Rank]],Stammdaten[Rank Verteilung Ovalität],0))</f>
        <v>#N/A</v>
      </c>
      <c r="AB4954" t="e">
        <f>VLOOKUP(Tabelle1014[[#This Row],[Rank]],Stammdaten[[Rank Verteilung Ovalität]:[Verteilung Ovalität]],2,FALSE)</f>
        <v>#N/A</v>
      </c>
    </row>
    <row r="4955" spans="5:28" x14ac:dyDescent="0.35">
      <c r="E4955">
        <v>4946</v>
      </c>
      <c r="F4955" t="e">
        <f>INDEX(Stammdaten[D Mitte mit Rinde (mm)],MATCH(Tabelle8[[#This Row],[Rank]],Stammdaten[Rank Verteilung D Mitte mit Rinde],0))</f>
        <v>#N/A</v>
      </c>
      <c r="G4955" t="e">
        <f>VLOOKUP(Tabelle8[[#This Row],[Rank]],Stammdaten[[Rank Verteilung D Mitte mit Rinde]:[Verteilung D Mitte mit Rinde]],2,FALSE)</f>
        <v>#N/A</v>
      </c>
      <c r="L4955">
        <v>4946</v>
      </c>
      <c r="M4955" t="e">
        <f>INDEX(Stammdaten[Abholzigkeit (mm/lfm)],MATCH(Tabelle9[[#This Row],[Rank]],Stammdaten[Rank Verteilung Abholzigkeit],0))</f>
        <v>#N/A</v>
      </c>
      <c r="N4955" t="e">
        <f>VLOOKUP(Tabelle9[[#This Row],[Rank]],Stammdaten[[Rank Verteilung Abholzigkeit]:[Verteilung Abholzigkeit]],2,FALSE)</f>
        <v>#N/A</v>
      </c>
      <c r="S4955">
        <v>4946</v>
      </c>
      <c r="T4955" t="e">
        <f>INDEX(Stammdaten[Krümmung (mm/lfm)],MATCH(Tabelle10[[#This Row],[Rank]],Stammdaten[Rank Verteilung Krümmung],0))</f>
        <v>#N/A</v>
      </c>
      <c r="U4955" t="e">
        <f>VLOOKUP(Tabelle10[[#This Row],[Rank]],Stammdaten[[Rank Verteilung Krümmung]:[Verteilung Krümmung]],2,FALSE)</f>
        <v>#N/A</v>
      </c>
      <c r="Z4955">
        <v>4946</v>
      </c>
      <c r="AA4955" t="e">
        <f>INDEX(Stammdaten[Ovalität (']0,1'])],MATCH(Tabelle1014[[#This Row],[Rank]],Stammdaten[Rank Verteilung Ovalität],0))</f>
        <v>#N/A</v>
      </c>
      <c r="AB4955" t="e">
        <f>VLOOKUP(Tabelle1014[[#This Row],[Rank]],Stammdaten[[Rank Verteilung Ovalität]:[Verteilung Ovalität]],2,FALSE)</f>
        <v>#N/A</v>
      </c>
    </row>
    <row r="4956" spans="5:28" x14ac:dyDescent="0.35">
      <c r="E4956">
        <v>4947</v>
      </c>
      <c r="F4956" t="e">
        <f>INDEX(Stammdaten[D Mitte mit Rinde (mm)],MATCH(Tabelle8[[#This Row],[Rank]],Stammdaten[Rank Verteilung D Mitte mit Rinde],0))</f>
        <v>#N/A</v>
      </c>
      <c r="G4956" t="e">
        <f>VLOOKUP(Tabelle8[[#This Row],[Rank]],Stammdaten[[Rank Verteilung D Mitte mit Rinde]:[Verteilung D Mitte mit Rinde]],2,FALSE)</f>
        <v>#N/A</v>
      </c>
      <c r="L4956">
        <v>4947</v>
      </c>
      <c r="M4956" t="e">
        <f>INDEX(Stammdaten[Abholzigkeit (mm/lfm)],MATCH(Tabelle9[[#This Row],[Rank]],Stammdaten[Rank Verteilung Abholzigkeit],0))</f>
        <v>#N/A</v>
      </c>
      <c r="N4956" t="e">
        <f>VLOOKUP(Tabelle9[[#This Row],[Rank]],Stammdaten[[Rank Verteilung Abholzigkeit]:[Verteilung Abholzigkeit]],2,FALSE)</f>
        <v>#N/A</v>
      </c>
      <c r="S4956">
        <v>4947</v>
      </c>
      <c r="T4956" t="e">
        <f>INDEX(Stammdaten[Krümmung (mm/lfm)],MATCH(Tabelle10[[#This Row],[Rank]],Stammdaten[Rank Verteilung Krümmung],0))</f>
        <v>#N/A</v>
      </c>
      <c r="U4956" t="e">
        <f>VLOOKUP(Tabelle10[[#This Row],[Rank]],Stammdaten[[Rank Verteilung Krümmung]:[Verteilung Krümmung]],2,FALSE)</f>
        <v>#N/A</v>
      </c>
      <c r="Z4956">
        <v>4947</v>
      </c>
      <c r="AA4956" t="e">
        <f>INDEX(Stammdaten[Ovalität (']0,1'])],MATCH(Tabelle1014[[#This Row],[Rank]],Stammdaten[Rank Verteilung Ovalität],0))</f>
        <v>#N/A</v>
      </c>
      <c r="AB4956" t="e">
        <f>VLOOKUP(Tabelle1014[[#This Row],[Rank]],Stammdaten[[Rank Verteilung Ovalität]:[Verteilung Ovalität]],2,FALSE)</f>
        <v>#N/A</v>
      </c>
    </row>
    <row r="4957" spans="5:28" x14ac:dyDescent="0.35">
      <c r="E4957">
        <v>4948</v>
      </c>
      <c r="F4957" t="e">
        <f>INDEX(Stammdaten[D Mitte mit Rinde (mm)],MATCH(Tabelle8[[#This Row],[Rank]],Stammdaten[Rank Verteilung D Mitte mit Rinde],0))</f>
        <v>#N/A</v>
      </c>
      <c r="G4957" t="e">
        <f>VLOOKUP(Tabelle8[[#This Row],[Rank]],Stammdaten[[Rank Verteilung D Mitte mit Rinde]:[Verteilung D Mitte mit Rinde]],2,FALSE)</f>
        <v>#N/A</v>
      </c>
      <c r="L4957">
        <v>4948</v>
      </c>
      <c r="M4957" t="e">
        <f>INDEX(Stammdaten[Abholzigkeit (mm/lfm)],MATCH(Tabelle9[[#This Row],[Rank]],Stammdaten[Rank Verteilung Abholzigkeit],0))</f>
        <v>#N/A</v>
      </c>
      <c r="N4957" t="e">
        <f>VLOOKUP(Tabelle9[[#This Row],[Rank]],Stammdaten[[Rank Verteilung Abholzigkeit]:[Verteilung Abholzigkeit]],2,FALSE)</f>
        <v>#N/A</v>
      </c>
      <c r="S4957">
        <v>4948</v>
      </c>
      <c r="T4957" t="e">
        <f>INDEX(Stammdaten[Krümmung (mm/lfm)],MATCH(Tabelle10[[#This Row],[Rank]],Stammdaten[Rank Verteilung Krümmung],0))</f>
        <v>#N/A</v>
      </c>
      <c r="U4957" t="e">
        <f>VLOOKUP(Tabelle10[[#This Row],[Rank]],Stammdaten[[Rank Verteilung Krümmung]:[Verteilung Krümmung]],2,FALSE)</f>
        <v>#N/A</v>
      </c>
      <c r="Z4957">
        <v>4948</v>
      </c>
      <c r="AA4957" t="e">
        <f>INDEX(Stammdaten[Ovalität (']0,1'])],MATCH(Tabelle1014[[#This Row],[Rank]],Stammdaten[Rank Verteilung Ovalität],0))</f>
        <v>#N/A</v>
      </c>
      <c r="AB4957" t="e">
        <f>VLOOKUP(Tabelle1014[[#This Row],[Rank]],Stammdaten[[Rank Verteilung Ovalität]:[Verteilung Ovalität]],2,FALSE)</f>
        <v>#N/A</v>
      </c>
    </row>
    <row r="4958" spans="5:28" x14ac:dyDescent="0.35">
      <c r="E4958">
        <v>4949</v>
      </c>
      <c r="F4958" t="e">
        <f>INDEX(Stammdaten[D Mitte mit Rinde (mm)],MATCH(Tabelle8[[#This Row],[Rank]],Stammdaten[Rank Verteilung D Mitte mit Rinde],0))</f>
        <v>#N/A</v>
      </c>
      <c r="G4958" t="e">
        <f>VLOOKUP(Tabelle8[[#This Row],[Rank]],Stammdaten[[Rank Verteilung D Mitte mit Rinde]:[Verteilung D Mitte mit Rinde]],2,FALSE)</f>
        <v>#N/A</v>
      </c>
      <c r="L4958">
        <v>4949</v>
      </c>
      <c r="M4958" t="e">
        <f>INDEX(Stammdaten[Abholzigkeit (mm/lfm)],MATCH(Tabelle9[[#This Row],[Rank]],Stammdaten[Rank Verteilung Abholzigkeit],0))</f>
        <v>#N/A</v>
      </c>
      <c r="N4958" t="e">
        <f>VLOOKUP(Tabelle9[[#This Row],[Rank]],Stammdaten[[Rank Verteilung Abholzigkeit]:[Verteilung Abholzigkeit]],2,FALSE)</f>
        <v>#N/A</v>
      </c>
      <c r="S4958">
        <v>4949</v>
      </c>
      <c r="T4958" t="e">
        <f>INDEX(Stammdaten[Krümmung (mm/lfm)],MATCH(Tabelle10[[#This Row],[Rank]],Stammdaten[Rank Verteilung Krümmung],0))</f>
        <v>#N/A</v>
      </c>
      <c r="U4958" t="e">
        <f>VLOOKUP(Tabelle10[[#This Row],[Rank]],Stammdaten[[Rank Verteilung Krümmung]:[Verteilung Krümmung]],2,FALSE)</f>
        <v>#N/A</v>
      </c>
      <c r="Z4958">
        <v>4949</v>
      </c>
      <c r="AA4958" t="e">
        <f>INDEX(Stammdaten[Ovalität (']0,1'])],MATCH(Tabelle1014[[#This Row],[Rank]],Stammdaten[Rank Verteilung Ovalität],0))</f>
        <v>#N/A</v>
      </c>
      <c r="AB4958" t="e">
        <f>VLOOKUP(Tabelle1014[[#This Row],[Rank]],Stammdaten[[Rank Verteilung Ovalität]:[Verteilung Ovalität]],2,FALSE)</f>
        <v>#N/A</v>
      </c>
    </row>
    <row r="4959" spans="5:28" x14ac:dyDescent="0.35">
      <c r="E4959">
        <v>4950</v>
      </c>
      <c r="F4959" t="e">
        <f>INDEX(Stammdaten[D Mitte mit Rinde (mm)],MATCH(Tabelle8[[#This Row],[Rank]],Stammdaten[Rank Verteilung D Mitte mit Rinde],0))</f>
        <v>#N/A</v>
      </c>
      <c r="G4959" t="e">
        <f>VLOOKUP(Tabelle8[[#This Row],[Rank]],Stammdaten[[Rank Verteilung D Mitte mit Rinde]:[Verteilung D Mitte mit Rinde]],2,FALSE)</f>
        <v>#N/A</v>
      </c>
      <c r="L4959">
        <v>4950</v>
      </c>
      <c r="M4959" t="e">
        <f>INDEX(Stammdaten[Abholzigkeit (mm/lfm)],MATCH(Tabelle9[[#This Row],[Rank]],Stammdaten[Rank Verteilung Abholzigkeit],0))</f>
        <v>#N/A</v>
      </c>
      <c r="N4959" t="e">
        <f>VLOOKUP(Tabelle9[[#This Row],[Rank]],Stammdaten[[Rank Verteilung Abholzigkeit]:[Verteilung Abholzigkeit]],2,FALSE)</f>
        <v>#N/A</v>
      </c>
      <c r="S4959">
        <v>4950</v>
      </c>
      <c r="T4959" t="e">
        <f>INDEX(Stammdaten[Krümmung (mm/lfm)],MATCH(Tabelle10[[#This Row],[Rank]],Stammdaten[Rank Verteilung Krümmung],0))</f>
        <v>#N/A</v>
      </c>
      <c r="U4959" t="e">
        <f>VLOOKUP(Tabelle10[[#This Row],[Rank]],Stammdaten[[Rank Verteilung Krümmung]:[Verteilung Krümmung]],2,FALSE)</f>
        <v>#N/A</v>
      </c>
      <c r="Z4959">
        <v>4950</v>
      </c>
      <c r="AA4959" t="e">
        <f>INDEX(Stammdaten[Ovalität (']0,1'])],MATCH(Tabelle1014[[#This Row],[Rank]],Stammdaten[Rank Verteilung Ovalität],0))</f>
        <v>#N/A</v>
      </c>
      <c r="AB4959" t="e">
        <f>VLOOKUP(Tabelle1014[[#This Row],[Rank]],Stammdaten[[Rank Verteilung Ovalität]:[Verteilung Ovalität]],2,FALSE)</f>
        <v>#N/A</v>
      </c>
    </row>
    <row r="4960" spans="5:28" x14ac:dyDescent="0.35">
      <c r="E4960">
        <v>4951</v>
      </c>
      <c r="F4960" t="e">
        <f>INDEX(Stammdaten[D Mitte mit Rinde (mm)],MATCH(Tabelle8[[#This Row],[Rank]],Stammdaten[Rank Verteilung D Mitte mit Rinde],0))</f>
        <v>#N/A</v>
      </c>
      <c r="G4960" t="e">
        <f>VLOOKUP(Tabelle8[[#This Row],[Rank]],Stammdaten[[Rank Verteilung D Mitte mit Rinde]:[Verteilung D Mitte mit Rinde]],2,FALSE)</f>
        <v>#N/A</v>
      </c>
      <c r="L4960">
        <v>4951</v>
      </c>
      <c r="M4960" t="e">
        <f>INDEX(Stammdaten[Abholzigkeit (mm/lfm)],MATCH(Tabelle9[[#This Row],[Rank]],Stammdaten[Rank Verteilung Abholzigkeit],0))</f>
        <v>#N/A</v>
      </c>
      <c r="N4960" t="e">
        <f>VLOOKUP(Tabelle9[[#This Row],[Rank]],Stammdaten[[Rank Verteilung Abholzigkeit]:[Verteilung Abholzigkeit]],2,FALSE)</f>
        <v>#N/A</v>
      </c>
      <c r="S4960">
        <v>4951</v>
      </c>
      <c r="T4960" t="e">
        <f>INDEX(Stammdaten[Krümmung (mm/lfm)],MATCH(Tabelle10[[#This Row],[Rank]],Stammdaten[Rank Verteilung Krümmung],0))</f>
        <v>#N/A</v>
      </c>
      <c r="U4960" t="e">
        <f>VLOOKUP(Tabelle10[[#This Row],[Rank]],Stammdaten[[Rank Verteilung Krümmung]:[Verteilung Krümmung]],2,FALSE)</f>
        <v>#N/A</v>
      </c>
      <c r="Z4960">
        <v>4951</v>
      </c>
      <c r="AA4960" t="e">
        <f>INDEX(Stammdaten[Ovalität (']0,1'])],MATCH(Tabelle1014[[#This Row],[Rank]],Stammdaten[Rank Verteilung Ovalität],0))</f>
        <v>#N/A</v>
      </c>
      <c r="AB4960" t="e">
        <f>VLOOKUP(Tabelle1014[[#This Row],[Rank]],Stammdaten[[Rank Verteilung Ovalität]:[Verteilung Ovalität]],2,FALSE)</f>
        <v>#N/A</v>
      </c>
    </row>
    <row r="4961" spans="5:28" x14ac:dyDescent="0.35">
      <c r="E4961">
        <v>4952</v>
      </c>
      <c r="F4961" t="e">
        <f>INDEX(Stammdaten[D Mitte mit Rinde (mm)],MATCH(Tabelle8[[#This Row],[Rank]],Stammdaten[Rank Verteilung D Mitte mit Rinde],0))</f>
        <v>#N/A</v>
      </c>
      <c r="G4961" t="e">
        <f>VLOOKUP(Tabelle8[[#This Row],[Rank]],Stammdaten[[Rank Verteilung D Mitte mit Rinde]:[Verteilung D Mitte mit Rinde]],2,FALSE)</f>
        <v>#N/A</v>
      </c>
      <c r="L4961">
        <v>4952</v>
      </c>
      <c r="M4961" t="e">
        <f>INDEX(Stammdaten[Abholzigkeit (mm/lfm)],MATCH(Tabelle9[[#This Row],[Rank]],Stammdaten[Rank Verteilung Abholzigkeit],0))</f>
        <v>#N/A</v>
      </c>
      <c r="N4961" t="e">
        <f>VLOOKUP(Tabelle9[[#This Row],[Rank]],Stammdaten[[Rank Verteilung Abholzigkeit]:[Verteilung Abholzigkeit]],2,FALSE)</f>
        <v>#N/A</v>
      </c>
      <c r="S4961">
        <v>4952</v>
      </c>
      <c r="T4961" t="e">
        <f>INDEX(Stammdaten[Krümmung (mm/lfm)],MATCH(Tabelle10[[#This Row],[Rank]],Stammdaten[Rank Verteilung Krümmung],0))</f>
        <v>#N/A</v>
      </c>
      <c r="U4961" t="e">
        <f>VLOOKUP(Tabelle10[[#This Row],[Rank]],Stammdaten[[Rank Verteilung Krümmung]:[Verteilung Krümmung]],2,FALSE)</f>
        <v>#N/A</v>
      </c>
      <c r="Z4961">
        <v>4952</v>
      </c>
      <c r="AA4961" t="e">
        <f>INDEX(Stammdaten[Ovalität (']0,1'])],MATCH(Tabelle1014[[#This Row],[Rank]],Stammdaten[Rank Verteilung Ovalität],0))</f>
        <v>#N/A</v>
      </c>
      <c r="AB4961" t="e">
        <f>VLOOKUP(Tabelle1014[[#This Row],[Rank]],Stammdaten[[Rank Verteilung Ovalität]:[Verteilung Ovalität]],2,FALSE)</f>
        <v>#N/A</v>
      </c>
    </row>
    <row r="4962" spans="5:28" x14ac:dyDescent="0.35">
      <c r="E4962">
        <v>4953</v>
      </c>
      <c r="F4962" t="e">
        <f>INDEX(Stammdaten[D Mitte mit Rinde (mm)],MATCH(Tabelle8[[#This Row],[Rank]],Stammdaten[Rank Verteilung D Mitte mit Rinde],0))</f>
        <v>#N/A</v>
      </c>
      <c r="G4962" t="e">
        <f>VLOOKUP(Tabelle8[[#This Row],[Rank]],Stammdaten[[Rank Verteilung D Mitte mit Rinde]:[Verteilung D Mitte mit Rinde]],2,FALSE)</f>
        <v>#N/A</v>
      </c>
      <c r="L4962">
        <v>4953</v>
      </c>
      <c r="M4962" t="e">
        <f>INDEX(Stammdaten[Abholzigkeit (mm/lfm)],MATCH(Tabelle9[[#This Row],[Rank]],Stammdaten[Rank Verteilung Abholzigkeit],0))</f>
        <v>#N/A</v>
      </c>
      <c r="N4962" t="e">
        <f>VLOOKUP(Tabelle9[[#This Row],[Rank]],Stammdaten[[Rank Verteilung Abholzigkeit]:[Verteilung Abholzigkeit]],2,FALSE)</f>
        <v>#N/A</v>
      </c>
      <c r="S4962">
        <v>4953</v>
      </c>
      <c r="T4962" t="e">
        <f>INDEX(Stammdaten[Krümmung (mm/lfm)],MATCH(Tabelle10[[#This Row],[Rank]],Stammdaten[Rank Verteilung Krümmung],0))</f>
        <v>#N/A</v>
      </c>
      <c r="U4962" t="e">
        <f>VLOOKUP(Tabelle10[[#This Row],[Rank]],Stammdaten[[Rank Verteilung Krümmung]:[Verteilung Krümmung]],2,FALSE)</f>
        <v>#N/A</v>
      </c>
      <c r="Z4962">
        <v>4953</v>
      </c>
      <c r="AA4962" t="e">
        <f>INDEX(Stammdaten[Ovalität (']0,1'])],MATCH(Tabelle1014[[#This Row],[Rank]],Stammdaten[Rank Verteilung Ovalität],0))</f>
        <v>#N/A</v>
      </c>
      <c r="AB4962" t="e">
        <f>VLOOKUP(Tabelle1014[[#This Row],[Rank]],Stammdaten[[Rank Verteilung Ovalität]:[Verteilung Ovalität]],2,FALSE)</f>
        <v>#N/A</v>
      </c>
    </row>
    <row r="4963" spans="5:28" x14ac:dyDescent="0.35">
      <c r="E4963">
        <v>4954</v>
      </c>
      <c r="F4963" t="e">
        <f>INDEX(Stammdaten[D Mitte mit Rinde (mm)],MATCH(Tabelle8[[#This Row],[Rank]],Stammdaten[Rank Verteilung D Mitte mit Rinde],0))</f>
        <v>#N/A</v>
      </c>
      <c r="G4963" t="e">
        <f>VLOOKUP(Tabelle8[[#This Row],[Rank]],Stammdaten[[Rank Verteilung D Mitte mit Rinde]:[Verteilung D Mitte mit Rinde]],2,FALSE)</f>
        <v>#N/A</v>
      </c>
      <c r="L4963">
        <v>4954</v>
      </c>
      <c r="M4963" t="e">
        <f>INDEX(Stammdaten[Abholzigkeit (mm/lfm)],MATCH(Tabelle9[[#This Row],[Rank]],Stammdaten[Rank Verteilung Abholzigkeit],0))</f>
        <v>#N/A</v>
      </c>
      <c r="N4963" t="e">
        <f>VLOOKUP(Tabelle9[[#This Row],[Rank]],Stammdaten[[Rank Verteilung Abholzigkeit]:[Verteilung Abholzigkeit]],2,FALSE)</f>
        <v>#N/A</v>
      </c>
      <c r="S4963">
        <v>4954</v>
      </c>
      <c r="T4963" t="e">
        <f>INDEX(Stammdaten[Krümmung (mm/lfm)],MATCH(Tabelle10[[#This Row],[Rank]],Stammdaten[Rank Verteilung Krümmung],0))</f>
        <v>#N/A</v>
      </c>
      <c r="U4963" t="e">
        <f>VLOOKUP(Tabelle10[[#This Row],[Rank]],Stammdaten[[Rank Verteilung Krümmung]:[Verteilung Krümmung]],2,FALSE)</f>
        <v>#N/A</v>
      </c>
      <c r="Z4963">
        <v>4954</v>
      </c>
      <c r="AA4963" t="e">
        <f>INDEX(Stammdaten[Ovalität (']0,1'])],MATCH(Tabelle1014[[#This Row],[Rank]],Stammdaten[Rank Verteilung Ovalität],0))</f>
        <v>#N/A</v>
      </c>
      <c r="AB4963" t="e">
        <f>VLOOKUP(Tabelle1014[[#This Row],[Rank]],Stammdaten[[Rank Verteilung Ovalität]:[Verteilung Ovalität]],2,FALSE)</f>
        <v>#N/A</v>
      </c>
    </row>
    <row r="4964" spans="5:28" x14ac:dyDescent="0.35">
      <c r="E4964">
        <v>4955</v>
      </c>
      <c r="F4964" t="e">
        <f>INDEX(Stammdaten[D Mitte mit Rinde (mm)],MATCH(Tabelle8[[#This Row],[Rank]],Stammdaten[Rank Verteilung D Mitte mit Rinde],0))</f>
        <v>#N/A</v>
      </c>
      <c r="G4964" t="e">
        <f>VLOOKUP(Tabelle8[[#This Row],[Rank]],Stammdaten[[Rank Verteilung D Mitte mit Rinde]:[Verteilung D Mitte mit Rinde]],2,FALSE)</f>
        <v>#N/A</v>
      </c>
      <c r="L4964">
        <v>4955</v>
      </c>
      <c r="M4964" t="e">
        <f>INDEX(Stammdaten[Abholzigkeit (mm/lfm)],MATCH(Tabelle9[[#This Row],[Rank]],Stammdaten[Rank Verteilung Abholzigkeit],0))</f>
        <v>#N/A</v>
      </c>
      <c r="N4964" t="e">
        <f>VLOOKUP(Tabelle9[[#This Row],[Rank]],Stammdaten[[Rank Verteilung Abholzigkeit]:[Verteilung Abholzigkeit]],2,FALSE)</f>
        <v>#N/A</v>
      </c>
      <c r="S4964">
        <v>4955</v>
      </c>
      <c r="T4964" t="e">
        <f>INDEX(Stammdaten[Krümmung (mm/lfm)],MATCH(Tabelle10[[#This Row],[Rank]],Stammdaten[Rank Verteilung Krümmung],0))</f>
        <v>#N/A</v>
      </c>
      <c r="U4964" t="e">
        <f>VLOOKUP(Tabelle10[[#This Row],[Rank]],Stammdaten[[Rank Verteilung Krümmung]:[Verteilung Krümmung]],2,FALSE)</f>
        <v>#N/A</v>
      </c>
      <c r="Z4964">
        <v>4955</v>
      </c>
      <c r="AA4964" t="e">
        <f>INDEX(Stammdaten[Ovalität (']0,1'])],MATCH(Tabelle1014[[#This Row],[Rank]],Stammdaten[Rank Verteilung Ovalität],0))</f>
        <v>#N/A</v>
      </c>
      <c r="AB4964" t="e">
        <f>VLOOKUP(Tabelle1014[[#This Row],[Rank]],Stammdaten[[Rank Verteilung Ovalität]:[Verteilung Ovalität]],2,FALSE)</f>
        <v>#N/A</v>
      </c>
    </row>
    <row r="4965" spans="5:28" x14ac:dyDescent="0.35">
      <c r="E4965">
        <v>4956</v>
      </c>
      <c r="F4965" t="e">
        <f>INDEX(Stammdaten[D Mitte mit Rinde (mm)],MATCH(Tabelle8[[#This Row],[Rank]],Stammdaten[Rank Verteilung D Mitte mit Rinde],0))</f>
        <v>#N/A</v>
      </c>
      <c r="G4965" t="e">
        <f>VLOOKUP(Tabelle8[[#This Row],[Rank]],Stammdaten[[Rank Verteilung D Mitte mit Rinde]:[Verteilung D Mitte mit Rinde]],2,FALSE)</f>
        <v>#N/A</v>
      </c>
      <c r="L4965">
        <v>4956</v>
      </c>
      <c r="M4965" t="e">
        <f>INDEX(Stammdaten[Abholzigkeit (mm/lfm)],MATCH(Tabelle9[[#This Row],[Rank]],Stammdaten[Rank Verteilung Abholzigkeit],0))</f>
        <v>#N/A</v>
      </c>
      <c r="N4965" t="e">
        <f>VLOOKUP(Tabelle9[[#This Row],[Rank]],Stammdaten[[Rank Verteilung Abholzigkeit]:[Verteilung Abholzigkeit]],2,FALSE)</f>
        <v>#N/A</v>
      </c>
      <c r="S4965">
        <v>4956</v>
      </c>
      <c r="T4965" t="e">
        <f>INDEX(Stammdaten[Krümmung (mm/lfm)],MATCH(Tabelle10[[#This Row],[Rank]],Stammdaten[Rank Verteilung Krümmung],0))</f>
        <v>#N/A</v>
      </c>
      <c r="U4965" t="e">
        <f>VLOOKUP(Tabelle10[[#This Row],[Rank]],Stammdaten[[Rank Verteilung Krümmung]:[Verteilung Krümmung]],2,FALSE)</f>
        <v>#N/A</v>
      </c>
      <c r="Z4965">
        <v>4956</v>
      </c>
      <c r="AA4965" t="e">
        <f>INDEX(Stammdaten[Ovalität (']0,1'])],MATCH(Tabelle1014[[#This Row],[Rank]],Stammdaten[Rank Verteilung Ovalität],0))</f>
        <v>#N/A</v>
      </c>
      <c r="AB4965" t="e">
        <f>VLOOKUP(Tabelle1014[[#This Row],[Rank]],Stammdaten[[Rank Verteilung Ovalität]:[Verteilung Ovalität]],2,FALSE)</f>
        <v>#N/A</v>
      </c>
    </row>
    <row r="4966" spans="5:28" x14ac:dyDescent="0.35">
      <c r="E4966">
        <v>4957</v>
      </c>
      <c r="F4966" t="e">
        <f>INDEX(Stammdaten[D Mitte mit Rinde (mm)],MATCH(Tabelle8[[#This Row],[Rank]],Stammdaten[Rank Verteilung D Mitte mit Rinde],0))</f>
        <v>#N/A</v>
      </c>
      <c r="G4966" t="e">
        <f>VLOOKUP(Tabelle8[[#This Row],[Rank]],Stammdaten[[Rank Verteilung D Mitte mit Rinde]:[Verteilung D Mitte mit Rinde]],2,FALSE)</f>
        <v>#N/A</v>
      </c>
      <c r="L4966">
        <v>4957</v>
      </c>
      <c r="M4966" t="e">
        <f>INDEX(Stammdaten[Abholzigkeit (mm/lfm)],MATCH(Tabelle9[[#This Row],[Rank]],Stammdaten[Rank Verteilung Abholzigkeit],0))</f>
        <v>#N/A</v>
      </c>
      <c r="N4966" t="e">
        <f>VLOOKUP(Tabelle9[[#This Row],[Rank]],Stammdaten[[Rank Verteilung Abholzigkeit]:[Verteilung Abholzigkeit]],2,FALSE)</f>
        <v>#N/A</v>
      </c>
      <c r="S4966">
        <v>4957</v>
      </c>
      <c r="T4966" t="e">
        <f>INDEX(Stammdaten[Krümmung (mm/lfm)],MATCH(Tabelle10[[#This Row],[Rank]],Stammdaten[Rank Verteilung Krümmung],0))</f>
        <v>#N/A</v>
      </c>
      <c r="U4966" t="e">
        <f>VLOOKUP(Tabelle10[[#This Row],[Rank]],Stammdaten[[Rank Verteilung Krümmung]:[Verteilung Krümmung]],2,FALSE)</f>
        <v>#N/A</v>
      </c>
      <c r="Z4966">
        <v>4957</v>
      </c>
      <c r="AA4966" t="e">
        <f>INDEX(Stammdaten[Ovalität (']0,1'])],MATCH(Tabelle1014[[#This Row],[Rank]],Stammdaten[Rank Verteilung Ovalität],0))</f>
        <v>#N/A</v>
      </c>
      <c r="AB4966" t="e">
        <f>VLOOKUP(Tabelle1014[[#This Row],[Rank]],Stammdaten[[Rank Verteilung Ovalität]:[Verteilung Ovalität]],2,FALSE)</f>
        <v>#N/A</v>
      </c>
    </row>
    <row r="4967" spans="5:28" x14ac:dyDescent="0.35">
      <c r="E4967">
        <v>4958</v>
      </c>
      <c r="F4967" t="e">
        <f>INDEX(Stammdaten[D Mitte mit Rinde (mm)],MATCH(Tabelle8[[#This Row],[Rank]],Stammdaten[Rank Verteilung D Mitte mit Rinde],0))</f>
        <v>#N/A</v>
      </c>
      <c r="G4967" t="e">
        <f>VLOOKUP(Tabelle8[[#This Row],[Rank]],Stammdaten[[Rank Verteilung D Mitte mit Rinde]:[Verteilung D Mitte mit Rinde]],2,FALSE)</f>
        <v>#N/A</v>
      </c>
      <c r="L4967">
        <v>4958</v>
      </c>
      <c r="M4967" t="e">
        <f>INDEX(Stammdaten[Abholzigkeit (mm/lfm)],MATCH(Tabelle9[[#This Row],[Rank]],Stammdaten[Rank Verteilung Abholzigkeit],0))</f>
        <v>#N/A</v>
      </c>
      <c r="N4967" t="e">
        <f>VLOOKUP(Tabelle9[[#This Row],[Rank]],Stammdaten[[Rank Verteilung Abholzigkeit]:[Verteilung Abholzigkeit]],2,FALSE)</f>
        <v>#N/A</v>
      </c>
      <c r="S4967">
        <v>4958</v>
      </c>
      <c r="T4967" t="e">
        <f>INDEX(Stammdaten[Krümmung (mm/lfm)],MATCH(Tabelle10[[#This Row],[Rank]],Stammdaten[Rank Verteilung Krümmung],0))</f>
        <v>#N/A</v>
      </c>
      <c r="U4967" t="e">
        <f>VLOOKUP(Tabelle10[[#This Row],[Rank]],Stammdaten[[Rank Verteilung Krümmung]:[Verteilung Krümmung]],2,FALSE)</f>
        <v>#N/A</v>
      </c>
      <c r="Z4967">
        <v>4958</v>
      </c>
      <c r="AA4967" t="e">
        <f>INDEX(Stammdaten[Ovalität (']0,1'])],MATCH(Tabelle1014[[#This Row],[Rank]],Stammdaten[Rank Verteilung Ovalität],0))</f>
        <v>#N/A</v>
      </c>
      <c r="AB4967" t="e">
        <f>VLOOKUP(Tabelle1014[[#This Row],[Rank]],Stammdaten[[Rank Verteilung Ovalität]:[Verteilung Ovalität]],2,FALSE)</f>
        <v>#N/A</v>
      </c>
    </row>
    <row r="4968" spans="5:28" x14ac:dyDescent="0.35">
      <c r="E4968">
        <v>4959</v>
      </c>
      <c r="F4968" t="e">
        <f>INDEX(Stammdaten[D Mitte mit Rinde (mm)],MATCH(Tabelle8[[#This Row],[Rank]],Stammdaten[Rank Verteilung D Mitte mit Rinde],0))</f>
        <v>#N/A</v>
      </c>
      <c r="G4968" t="e">
        <f>VLOOKUP(Tabelle8[[#This Row],[Rank]],Stammdaten[[Rank Verteilung D Mitte mit Rinde]:[Verteilung D Mitte mit Rinde]],2,FALSE)</f>
        <v>#N/A</v>
      </c>
      <c r="L4968">
        <v>4959</v>
      </c>
      <c r="M4968" t="e">
        <f>INDEX(Stammdaten[Abholzigkeit (mm/lfm)],MATCH(Tabelle9[[#This Row],[Rank]],Stammdaten[Rank Verteilung Abholzigkeit],0))</f>
        <v>#N/A</v>
      </c>
      <c r="N4968" t="e">
        <f>VLOOKUP(Tabelle9[[#This Row],[Rank]],Stammdaten[[Rank Verteilung Abholzigkeit]:[Verteilung Abholzigkeit]],2,FALSE)</f>
        <v>#N/A</v>
      </c>
      <c r="S4968">
        <v>4959</v>
      </c>
      <c r="T4968" t="e">
        <f>INDEX(Stammdaten[Krümmung (mm/lfm)],MATCH(Tabelle10[[#This Row],[Rank]],Stammdaten[Rank Verteilung Krümmung],0))</f>
        <v>#N/A</v>
      </c>
      <c r="U4968" t="e">
        <f>VLOOKUP(Tabelle10[[#This Row],[Rank]],Stammdaten[[Rank Verteilung Krümmung]:[Verteilung Krümmung]],2,FALSE)</f>
        <v>#N/A</v>
      </c>
      <c r="Z4968">
        <v>4959</v>
      </c>
      <c r="AA4968" t="e">
        <f>INDEX(Stammdaten[Ovalität (']0,1'])],MATCH(Tabelle1014[[#This Row],[Rank]],Stammdaten[Rank Verteilung Ovalität],0))</f>
        <v>#N/A</v>
      </c>
      <c r="AB4968" t="e">
        <f>VLOOKUP(Tabelle1014[[#This Row],[Rank]],Stammdaten[[Rank Verteilung Ovalität]:[Verteilung Ovalität]],2,FALSE)</f>
        <v>#N/A</v>
      </c>
    </row>
    <row r="4969" spans="5:28" x14ac:dyDescent="0.35">
      <c r="E4969">
        <v>4960</v>
      </c>
      <c r="F4969" t="e">
        <f>INDEX(Stammdaten[D Mitte mit Rinde (mm)],MATCH(Tabelle8[[#This Row],[Rank]],Stammdaten[Rank Verteilung D Mitte mit Rinde],0))</f>
        <v>#N/A</v>
      </c>
      <c r="G4969" t="e">
        <f>VLOOKUP(Tabelle8[[#This Row],[Rank]],Stammdaten[[Rank Verteilung D Mitte mit Rinde]:[Verteilung D Mitte mit Rinde]],2,FALSE)</f>
        <v>#N/A</v>
      </c>
      <c r="L4969">
        <v>4960</v>
      </c>
      <c r="M4969" t="e">
        <f>INDEX(Stammdaten[Abholzigkeit (mm/lfm)],MATCH(Tabelle9[[#This Row],[Rank]],Stammdaten[Rank Verteilung Abholzigkeit],0))</f>
        <v>#N/A</v>
      </c>
      <c r="N4969" t="e">
        <f>VLOOKUP(Tabelle9[[#This Row],[Rank]],Stammdaten[[Rank Verteilung Abholzigkeit]:[Verteilung Abholzigkeit]],2,FALSE)</f>
        <v>#N/A</v>
      </c>
      <c r="S4969">
        <v>4960</v>
      </c>
      <c r="T4969" t="e">
        <f>INDEX(Stammdaten[Krümmung (mm/lfm)],MATCH(Tabelle10[[#This Row],[Rank]],Stammdaten[Rank Verteilung Krümmung],0))</f>
        <v>#N/A</v>
      </c>
      <c r="U4969" t="e">
        <f>VLOOKUP(Tabelle10[[#This Row],[Rank]],Stammdaten[[Rank Verteilung Krümmung]:[Verteilung Krümmung]],2,FALSE)</f>
        <v>#N/A</v>
      </c>
      <c r="Z4969">
        <v>4960</v>
      </c>
      <c r="AA4969" t="e">
        <f>INDEX(Stammdaten[Ovalität (']0,1'])],MATCH(Tabelle1014[[#This Row],[Rank]],Stammdaten[Rank Verteilung Ovalität],0))</f>
        <v>#N/A</v>
      </c>
      <c r="AB4969" t="e">
        <f>VLOOKUP(Tabelle1014[[#This Row],[Rank]],Stammdaten[[Rank Verteilung Ovalität]:[Verteilung Ovalität]],2,FALSE)</f>
        <v>#N/A</v>
      </c>
    </row>
    <row r="4970" spans="5:28" x14ac:dyDescent="0.35">
      <c r="E4970">
        <v>4961</v>
      </c>
      <c r="F4970" t="e">
        <f>INDEX(Stammdaten[D Mitte mit Rinde (mm)],MATCH(Tabelle8[[#This Row],[Rank]],Stammdaten[Rank Verteilung D Mitte mit Rinde],0))</f>
        <v>#N/A</v>
      </c>
      <c r="G4970" t="e">
        <f>VLOOKUP(Tabelle8[[#This Row],[Rank]],Stammdaten[[Rank Verteilung D Mitte mit Rinde]:[Verteilung D Mitte mit Rinde]],2,FALSE)</f>
        <v>#N/A</v>
      </c>
      <c r="L4970">
        <v>4961</v>
      </c>
      <c r="M4970" t="e">
        <f>INDEX(Stammdaten[Abholzigkeit (mm/lfm)],MATCH(Tabelle9[[#This Row],[Rank]],Stammdaten[Rank Verteilung Abholzigkeit],0))</f>
        <v>#N/A</v>
      </c>
      <c r="N4970" t="e">
        <f>VLOOKUP(Tabelle9[[#This Row],[Rank]],Stammdaten[[Rank Verteilung Abholzigkeit]:[Verteilung Abholzigkeit]],2,FALSE)</f>
        <v>#N/A</v>
      </c>
      <c r="S4970">
        <v>4961</v>
      </c>
      <c r="T4970" t="e">
        <f>INDEX(Stammdaten[Krümmung (mm/lfm)],MATCH(Tabelle10[[#This Row],[Rank]],Stammdaten[Rank Verteilung Krümmung],0))</f>
        <v>#N/A</v>
      </c>
      <c r="U4970" t="e">
        <f>VLOOKUP(Tabelle10[[#This Row],[Rank]],Stammdaten[[Rank Verteilung Krümmung]:[Verteilung Krümmung]],2,FALSE)</f>
        <v>#N/A</v>
      </c>
      <c r="Z4970">
        <v>4961</v>
      </c>
      <c r="AA4970" t="e">
        <f>INDEX(Stammdaten[Ovalität (']0,1'])],MATCH(Tabelle1014[[#This Row],[Rank]],Stammdaten[Rank Verteilung Ovalität],0))</f>
        <v>#N/A</v>
      </c>
      <c r="AB4970" t="e">
        <f>VLOOKUP(Tabelle1014[[#This Row],[Rank]],Stammdaten[[Rank Verteilung Ovalität]:[Verteilung Ovalität]],2,FALSE)</f>
        <v>#N/A</v>
      </c>
    </row>
    <row r="4971" spans="5:28" x14ac:dyDescent="0.35">
      <c r="E4971">
        <v>4962</v>
      </c>
      <c r="F4971" t="e">
        <f>INDEX(Stammdaten[D Mitte mit Rinde (mm)],MATCH(Tabelle8[[#This Row],[Rank]],Stammdaten[Rank Verteilung D Mitte mit Rinde],0))</f>
        <v>#N/A</v>
      </c>
      <c r="G4971" t="e">
        <f>VLOOKUP(Tabelle8[[#This Row],[Rank]],Stammdaten[[Rank Verteilung D Mitte mit Rinde]:[Verteilung D Mitte mit Rinde]],2,FALSE)</f>
        <v>#N/A</v>
      </c>
      <c r="L4971">
        <v>4962</v>
      </c>
      <c r="M4971" t="e">
        <f>INDEX(Stammdaten[Abholzigkeit (mm/lfm)],MATCH(Tabelle9[[#This Row],[Rank]],Stammdaten[Rank Verteilung Abholzigkeit],0))</f>
        <v>#N/A</v>
      </c>
      <c r="N4971" t="e">
        <f>VLOOKUP(Tabelle9[[#This Row],[Rank]],Stammdaten[[Rank Verteilung Abholzigkeit]:[Verteilung Abholzigkeit]],2,FALSE)</f>
        <v>#N/A</v>
      </c>
      <c r="S4971">
        <v>4962</v>
      </c>
      <c r="T4971" t="e">
        <f>INDEX(Stammdaten[Krümmung (mm/lfm)],MATCH(Tabelle10[[#This Row],[Rank]],Stammdaten[Rank Verteilung Krümmung],0))</f>
        <v>#N/A</v>
      </c>
      <c r="U4971" t="e">
        <f>VLOOKUP(Tabelle10[[#This Row],[Rank]],Stammdaten[[Rank Verteilung Krümmung]:[Verteilung Krümmung]],2,FALSE)</f>
        <v>#N/A</v>
      </c>
      <c r="Z4971">
        <v>4962</v>
      </c>
      <c r="AA4971" t="e">
        <f>INDEX(Stammdaten[Ovalität (']0,1'])],MATCH(Tabelle1014[[#This Row],[Rank]],Stammdaten[Rank Verteilung Ovalität],0))</f>
        <v>#N/A</v>
      </c>
      <c r="AB4971" t="e">
        <f>VLOOKUP(Tabelle1014[[#This Row],[Rank]],Stammdaten[[Rank Verteilung Ovalität]:[Verteilung Ovalität]],2,FALSE)</f>
        <v>#N/A</v>
      </c>
    </row>
    <row r="4972" spans="5:28" x14ac:dyDescent="0.35">
      <c r="E4972">
        <v>4963</v>
      </c>
      <c r="F4972" t="e">
        <f>INDEX(Stammdaten[D Mitte mit Rinde (mm)],MATCH(Tabelle8[[#This Row],[Rank]],Stammdaten[Rank Verteilung D Mitte mit Rinde],0))</f>
        <v>#N/A</v>
      </c>
      <c r="G4972" t="e">
        <f>VLOOKUP(Tabelle8[[#This Row],[Rank]],Stammdaten[[Rank Verteilung D Mitte mit Rinde]:[Verteilung D Mitte mit Rinde]],2,FALSE)</f>
        <v>#N/A</v>
      </c>
      <c r="L4972">
        <v>4963</v>
      </c>
      <c r="M4972" t="e">
        <f>INDEX(Stammdaten[Abholzigkeit (mm/lfm)],MATCH(Tabelle9[[#This Row],[Rank]],Stammdaten[Rank Verteilung Abholzigkeit],0))</f>
        <v>#N/A</v>
      </c>
      <c r="N4972" t="e">
        <f>VLOOKUP(Tabelle9[[#This Row],[Rank]],Stammdaten[[Rank Verteilung Abholzigkeit]:[Verteilung Abholzigkeit]],2,FALSE)</f>
        <v>#N/A</v>
      </c>
      <c r="S4972">
        <v>4963</v>
      </c>
      <c r="T4972" t="e">
        <f>INDEX(Stammdaten[Krümmung (mm/lfm)],MATCH(Tabelle10[[#This Row],[Rank]],Stammdaten[Rank Verteilung Krümmung],0))</f>
        <v>#N/A</v>
      </c>
      <c r="U4972" t="e">
        <f>VLOOKUP(Tabelle10[[#This Row],[Rank]],Stammdaten[[Rank Verteilung Krümmung]:[Verteilung Krümmung]],2,FALSE)</f>
        <v>#N/A</v>
      </c>
      <c r="Z4972">
        <v>4963</v>
      </c>
      <c r="AA4972" t="e">
        <f>INDEX(Stammdaten[Ovalität (']0,1'])],MATCH(Tabelle1014[[#This Row],[Rank]],Stammdaten[Rank Verteilung Ovalität],0))</f>
        <v>#N/A</v>
      </c>
      <c r="AB4972" t="e">
        <f>VLOOKUP(Tabelle1014[[#This Row],[Rank]],Stammdaten[[Rank Verteilung Ovalität]:[Verteilung Ovalität]],2,FALSE)</f>
        <v>#N/A</v>
      </c>
    </row>
    <row r="4973" spans="5:28" x14ac:dyDescent="0.35">
      <c r="E4973">
        <v>4964</v>
      </c>
      <c r="F4973" t="e">
        <f>INDEX(Stammdaten[D Mitte mit Rinde (mm)],MATCH(Tabelle8[[#This Row],[Rank]],Stammdaten[Rank Verteilung D Mitte mit Rinde],0))</f>
        <v>#N/A</v>
      </c>
      <c r="G4973" t="e">
        <f>VLOOKUP(Tabelle8[[#This Row],[Rank]],Stammdaten[[Rank Verteilung D Mitte mit Rinde]:[Verteilung D Mitte mit Rinde]],2,FALSE)</f>
        <v>#N/A</v>
      </c>
      <c r="L4973">
        <v>4964</v>
      </c>
      <c r="M4973" t="e">
        <f>INDEX(Stammdaten[Abholzigkeit (mm/lfm)],MATCH(Tabelle9[[#This Row],[Rank]],Stammdaten[Rank Verteilung Abholzigkeit],0))</f>
        <v>#N/A</v>
      </c>
      <c r="N4973" t="e">
        <f>VLOOKUP(Tabelle9[[#This Row],[Rank]],Stammdaten[[Rank Verteilung Abholzigkeit]:[Verteilung Abholzigkeit]],2,FALSE)</f>
        <v>#N/A</v>
      </c>
      <c r="S4973">
        <v>4964</v>
      </c>
      <c r="T4973" t="e">
        <f>INDEX(Stammdaten[Krümmung (mm/lfm)],MATCH(Tabelle10[[#This Row],[Rank]],Stammdaten[Rank Verteilung Krümmung],0))</f>
        <v>#N/A</v>
      </c>
      <c r="U4973" t="e">
        <f>VLOOKUP(Tabelle10[[#This Row],[Rank]],Stammdaten[[Rank Verteilung Krümmung]:[Verteilung Krümmung]],2,FALSE)</f>
        <v>#N/A</v>
      </c>
      <c r="Z4973">
        <v>4964</v>
      </c>
      <c r="AA4973" t="e">
        <f>INDEX(Stammdaten[Ovalität (']0,1'])],MATCH(Tabelle1014[[#This Row],[Rank]],Stammdaten[Rank Verteilung Ovalität],0))</f>
        <v>#N/A</v>
      </c>
      <c r="AB4973" t="e">
        <f>VLOOKUP(Tabelle1014[[#This Row],[Rank]],Stammdaten[[Rank Verteilung Ovalität]:[Verteilung Ovalität]],2,FALSE)</f>
        <v>#N/A</v>
      </c>
    </row>
    <row r="4974" spans="5:28" x14ac:dyDescent="0.35">
      <c r="E4974">
        <v>4965</v>
      </c>
      <c r="F4974" t="e">
        <f>INDEX(Stammdaten[D Mitte mit Rinde (mm)],MATCH(Tabelle8[[#This Row],[Rank]],Stammdaten[Rank Verteilung D Mitte mit Rinde],0))</f>
        <v>#N/A</v>
      </c>
      <c r="G4974" t="e">
        <f>VLOOKUP(Tabelle8[[#This Row],[Rank]],Stammdaten[[Rank Verteilung D Mitte mit Rinde]:[Verteilung D Mitte mit Rinde]],2,FALSE)</f>
        <v>#N/A</v>
      </c>
      <c r="L4974">
        <v>4965</v>
      </c>
      <c r="M4974" t="e">
        <f>INDEX(Stammdaten[Abholzigkeit (mm/lfm)],MATCH(Tabelle9[[#This Row],[Rank]],Stammdaten[Rank Verteilung Abholzigkeit],0))</f>
        <v>#N/A</v>
      </c>
      <c r="N4974" t="e">
        <f>VLOOKUP(Tabelle9[[#This Row],[Rank]],Stammdaten[[Rank Verteilung Abholzigkeit]:[Verteilung Abholzigkeit]],2,FALSE)</f>
        <v>#N/A</v>
      </c>
      <c r="S4974">
        <v>4965</v>
      </c>
      <c r="T4974" t="e">
        <f>INDEX(Stammdaten[Krümmung (mm/lfm)],MATCH(Tabelle10[[#This Row],[Rank]],Stammdaten[Rank Verteilung Krümmung],0))</f>
        <v>#N/A</v>
      </c>
      <c r="U4974" t="e">
        <f>VLOOKUP(Tabelle10[[#This Row],[Rank]],Stammdaten[[Rank Verteilung Krümmung]:[Verteilung Krümmung]],2,FALSE)</f>
        <v>#N/A</v>
      </c>
      <c r="Z4974">
        <v>4965</v>
      </c>
      <c r="AA4974" t="e">
        <f>INDEX(Stammdaten[Ovalität (']0,1'])],MATCH(Tabelle1014[[#This Row],[Rank]],Stammdaten[Rank Verteilung Ovalität],0))</f>
        <v>#N/A</v>
      </c>
      <c r="AB4974" t="e">
        <f>VLOOKUP(Tabelle1014[[#This Row],[Rank]],Stammdaten[[Rank Verteilung Ovalität]:[Verteilung Ovalität]],2,FALSE)</f>
        <v>#N/A</v>
      </c>
    </row>
    <row r="4975" spans="5:28" x14ac:dyDescent="0.35">
      <c r="E4975">
        <v>4966</v>
      </c>
      <c r="F4975" t="e">
        <f>INDEX(Stammdaten[D Mitte mit Rinde (mm)],MATCH(Tabelle8[[#This Row],[Rank]],Stammdaten[Rank Verteilung D Mitte mit Rinde],0))</f>
        <v>#N/A</v>
      </c>
      <c r="G4975" t="e">
        <f>VLOOKUP(Tabelle8[[#This Row],[Rank]],Stammdaten[[Rank Verteilung D Mitte mit Rinde]:[Verteilung D Mitte mit Rinde]],2,FALSE)</f>
        <v>#N/A</v>
      </c>
      <c r="L4975">
        <v>4966</v>
      </c>
      <c r="M4975" t="e">
        <f>INDEX(Stammdaten[Abholzigkeit (mm/lfm)],MATCH(Tabelle9[[#This Row],[Rank]],Stammdaten[Rank Verteilung Abholzigkeit],0))</f>
        <v>#N/A</v>
      </c>
      <c r="N4975" t="e">
        <f>VLOOKUP(Tabelle9[[#This Row],[Rank]],Stammdaten[[Rank Verteilung Abholzigkeit]:[Verteilung Abholzigkeit]],2,FALSE)</f>
        <v>#N/A</v>
      </c>
      <c r="S4975">
        <v>4966</v>
      </c>
      <c r="T4975" t="e">
        <f>INDEX(Stammdaten[Krümmung (mm/lfm)],MATCH(Tabelle10[[#This Row],[Rank]],Stammdaten[Rank Verteilung Krümmung],0))</f>
        <v>#N/A</v>
      </c>
      <c r="U4975" t="e">
        <f>VLOOKUP(Tabelle10[[#This Row],[Rank]],Stammdaten[[Rank Verteilung Krümmung]:[Verteilung Krümmung]],2,FALSE)</f>
        <v>#N/A</v>
      </c>
      <c r="Z4975">
        <v>4966</v>
      </c>
      <c r="AA4975" t="e">
        <f>INDEX(Stammdaten[Ovalität (']0,1'])],MATCH(Tabelle1014[[#This Row],[Rank]],Stammdaten[Rank Verteilung Ovalität],0))</f>
        <v>#N/A</v>
      </c>
      <c r="AB4975" t="e">
        <f>VLOOKUP(Tabelle1014[[#This Row],[Rank]],Stammdaten[[Rank Verteilung Ovalität]:[Verteilung Ovalität]],2,FALSE)</f>
        <v>#N/A</v>
      </c>
    </row>
    <row r="4976" spans="5:28" x14ac:dyDescent="0.35">
      <c r="E4976">
        <v>4967</v>
      </c>
      <c r="F4976" t="e">
        <f>INDEX(Stammdaten[D Mitte mit Rinde (mm)],MATCH(Tabelle8[[#This Row],[Rank]],Stammdaten[Rank Verteilung D Mitte mit Rinde],0))</f>
        <v>#N/A</v>
      </c>
      <c r="G4976" t="e">
        <f>VLOOKUP(Tabelle8[[#This Row],[Rank]],Stammdaten[[Rank Verteilung D Mitte mit Rinde]:[Verteilung D Mitte mit Rinde]],2,FALSE)</f>
        <v>#N/A</v>
      </c>
      <c r="L4976">
        <v>4967</v>
      </c>
      <c r="M4976" t="e">
        <f>INDEX(Stammdaten[Abholzigkeit (mm/lfm)],MATCH(Tabelle9[[#This Row],[Rank]],Stammdaten[Rank Verteilung Abholzigkeit],0))</f>
        <v>#N/A</v>
      </c>
      <c r="N4976" t="e">
        <f>VLOOKUP(Tabelle9[[#This Row],[Rank]],Stammdaten[[Rank Verteilung Abholzigkeit]:[Verteilung Abholzigkeit]],2,FALSE)</f>
        <v>#N/A</v>
      </c>
      <c r="S4976">
        <v>4967</v>
      </c>
      <c r="T4976" t="e">
        <f>INDEX(Stammdaten[Krümmung (mm/lfm)],MATCH(Tabelle10[[#This Row],[Rank]],Stammdaten[Rank Verteilung Krümmung],0))</f>
        <v>#N/A</v>
      </c>
      <c r="U4976" t="e">
        <f>VLOOKUP(Tabelle10[[#This Row],[Rank]],Stammdaten[[Rank Verteilung Krümmung]:[Verteilung Krümmung]],2,FALSE)</f>
        <v>#N/A</v>
      </c>
      <c r="Z4976">
        <v>4967</v>
      </c>
      <c r="AA4976" t="e">
        <f>INDEX(Stammdaten[Ovalität (']0,1'])],MATCH(Tabelle1014[[#This Row],[Rank]],Stammdaten[Rank Verteilung Ovalität],0))</f>
        <v>#N/A</v>
      </c>
      <c r="AB4976" t="e">
        <f>VLOOKUP(Tabelle1014[[#This Row],[Rank]],Stammdaten[[Rank Verteilung Ovalität]:[Verteilung Ovalität]],2,FALSE)</f>
        <v>#N/A</v>
      </c>
    </row>
    <row r="4977" spans="5:28" x14ac:dyDescent="0.35">
      <c r="E4977">
        <v>4968</v>
      </c>
      <c r="F4977" t="e">
        <f>INDEX(Stammdaten[D Mitte mit Rinde (mm)],MATCH(Tabelle8[[#This Row],[Rank]],Stammdaten[Rank Verteilung D Mitte mit Rinde],0))</f>
        <v>#N/A</v>
      </c>
      <c r="G4977" t="e">
        <f>VLOOKUP(Tabelle8[[#This Row],[Rank]],Stammdaten[[Rank Verteilung D Mitte mit Rinde]:[Verteilung D Mitte mit Rinde]],2,FALSE)</f>
        <v>#N/A</v>
      </c>
      <c r="L4977">
        <v>4968</v>
      </c>
      <c r="M4977" t="e">
        <f>INDEX(Stammdaten[Abholzigkeit (mm/lfm)],MATCH(Tabelle9[[#This Row],[Rank]],Stammdaten[Rank Verteilung Abholzigkeit],0))</f>
        <v>#N/A</v>
      </c>
      <c r="N4977" t="e">
        <f>VLOOKUP(Tabelle9[[#This Row],[Rank]],Stammdaten[[Rank Verteilung Abholzigkeit]:[Verteilung Abholzigkeit]],2,FALSE)</f>
        <v>#N/A</v>
      </c>
      <c r="S4977">
        <v>4968</v>
      </c>
      <c r="T4977" t="e">
        <f>INDEX(Stammdaten[Krümmung (mm/lfm)],MATCH(Tabelle10[[#This Row],[Rank]],Stammdaten[Rank Verteilung Krümmung],0))</f>
        <v>#N/A</v>
      </c>
      <c r="U4977" t="e">
        <f>VLOOKUP(Tabelle10[[#This Row],[Rank]],Stammdaten[[Rank Verteilung Krümmung]:[Verteilung Krümmung]],2,FALSE)</f>
        <v>#N/A</v>
      </c>
      <c r="Z4977">
        <v>4968</v>
      </c>
      <c r="AA4977" t="e">
        <f>INDEX(Stammdaten[Ovalität (']0,1'])],MATCH(Tabelle1014[[#This Row],[Rank]],Stammdaten[Rank Verteilung Ovalität],0))</f>
        <v>#N/A</v>
      </c>
      <c r="AB4977" t="e">
        <f>VLOOKUP(Tabelle1014[[#This Row],[Rank]],Stammdaten[[Rank Verteilung Ovalität]:[Verteilung Ovalität]],2,FALSE)</f>
        <v>#N/A</v>
      </c>
    </row>
    <row r="4978" spans="5:28" x14ac:dyDescent="0.35">
      <c r="E4978">
        <v>4969</v>
      </c>
      <c r="F4978" t="e">
        <f>INDEX(Stammdaten[D Mitte mit Rinde (mm)],MATCH(Tabelle8[[#This Row],[Rank]],Stammdaten[Rank Verteilung D Mitte mit Rinde],0))</f>
        <v>#N/A</v>
      </c>
      <c r="G4978" t="e">
        <f>VLOOKUP(Tabelle8[[#This Row],[Rank]],Stammdaten[[Rank Verteilung D Mitte mit Rinde]:[Verteilung D Mitte mit Rinde]],2,FALSE)</f>
        <v>#N/A</v>
      </c>
      <c r="L4978">
        <v>4969</v>
      </c>
      <c r="M4978" t="e">
        <f>INDEX(Stammdaten[Abholzigkeit (mm/lfm)],MATCH(Tabelle9[[#This Row],[Rank]],Stammdaten[Rank Verteilung Abholzigkeit],0))</f>
        <v>#N/A</v>
      </c>
      <c r="N4978" t="e">
        <f>VLOOKUP(Tabelle9[[#This Row],[Rank]],Stammdaten[[Rank Verteilung Abholzigkeit]:[Verteilung Abholzigkeit]],2,FALSE)</f>
        <v>#N/A</v>
      </c>
      <c r="S4978">
        <v>4969</v>
      </c>
      <c r="T4978" t="e">
        <f>INDEX(Stammdaten[Krümmung (mm/lfm)],MATCH(Tabelle10[[#This Row],[Rank]],Stammdaten[Rank Verteilung Krümmung],0))</f>
        <v>#N/A</v>
      </c>
      <c r="U4978" t="e">
        <f>VLOOKUP(Tabelle10[[#This Row],[Rank]],Stammdaten[[Rank Verteilung Krümmung]:[Verteilung Krümmung]],2,FALSE)</f>
        <v>#N/A</v>
      </c>
      <c r="Z4978">
        <v>4969</v>
      </c>
      <c r="AA4978" t="e">
        <f>INDEX(Stammdaten[Ovalität (']0,1'])],MATCH(Tabelle1014[[#This Row],[Rank]],Stammdaten[Rank Verteilung Ovalität],0))</f>
        <v>#N/A</v>
      </c>
      <c r="AB4978" t="e">
        <f>VLOOKUP(Tabelle1014[[#This Row],[Rank]],Stammdaten[[Rank Verteilung Ovalität]:[Verteilung Ovalität]],2,FALSE)</f>
        <v>#N/A</v>
      </c>
    </row>
    <row r="4979" spans="5:28" x14ac:dyDescent="0.35">
      <c r="E4979">
        <v>4970</v>
      </c>
      <c r="F4979" t="e">
        <f>INDEX(Stammdaten[D Mitte mit Rinde (mm)],MATCH(Tabelle8[[#This Row],[Rank]],Stammdaten[Rank Verteilung D Mitte mit Rinde],0))</f>
        <v>#N/A</v>
      </c>
      <c r="G4979" t="e">
        <f>VLOOKUP(Tabelle8[[#This Row],[Rank]],Stammdaten[[Rank Verteilung D Mitte mit Rinde]:[Verteilung D Mitte mit Rinde]],2,FALSE)</f>
        <v>#N/A</v>
      </c>
      <c r="L4979">
        <v>4970</v>
      </c>
      <c r="M4979" t="e">
        <f>INDEX(Stammdaten[Abholzigkeit (mm/lfm)],MATCH(Tabelle9[[#This Row],[Rank]],Stammdaten[Rank Verteilung Abholzigkeit],0))</f>
        <v>#N/A</v>
      </c>
      <c r="N4979" t="e">
        <f>VLOOKUP(Tabelle9[[#This Row],[Rank]],Stammdaten[[Rank Verteilung Abholzigkeit]:[Verteilung Abholzigkeit]],2,FALSE)</f>
        <v>#N/A</v>
      </c>
      <c r="S4979">
        <v>4970</v>
      </c>
      <c r="T4979" t="e">
        <f>INDEX(Stammdaten[Krümmung (mm/lfm)],MATCH(Tabelle10[[#This Row],[Rank]],Stammdaten[Rank Verteilung Krümmung],0))</f>
        <v>#N/A</v>
      </c>
      <c r="U4979" t="e">
        <f>VLOOKUP(Tabelle10[[#This Row],[Rank]],Stammdaten[[Rank Verteilung Krümmung]:[Verteilung Krümmung]],2,FALSE)</f>
        <v>#N/A</v>
      </c>
      <c r="Z4979">
        <v>4970</v>
      </c>
      <c r="AA4979" t="e">
        <f>INDEX(Stammdaten[Ovalität (']0,1'])],MATCH(Tabelle1014[[#This Row],[Rank]],Stammdaten[Rank Verteilung Ovalität],0))</f>
        <v>#N/A</v>
      </c>
      <c r="AB4979" t="e">
        <f>VLOOKUP(Tabelle1014[[#This Row],[Rank]],Stammdaten[[Rank Verteilung Ovalität]:[Verteilung Ovalität]],2,FALSE)</f>
        <v>#N/A</v>
      </c>
    </row>
    <row r="4980" spans="5:28" x14ac:dyDescent="0.35">
      <c r="E4980">
        <v>4971</v>
      </c>
      <c r="F4980" t="e">
        <f>INDEX(Stammdaten[D Mitte mit Rinde (mm)],MATCH(Tabelle8[[#This Row],[Rank]],Stammdaten[Rank Verteilung D Mitte mit Rinde],0))</f>
        <v>#N/A</v>
      </c>
      <c r="G4980" t="e">
        <f>VLOOKUP(Tabelle8[[#This Row],[Rank]],Stammdaten[[Rank Verteilung D Mitte mit Rinde]:[Verteilung D Mitte mit Rinde]],2,FALSE)</f>
        <v>#N/A</v>
      </c>
      <c r="L4980">
        <v>4971</v>
      </c>
      <c r="M4980" t="e">
        <f>INDEX(Stammdaten[Abholzigkeit (mm/lfm)],MATCH(Tabelle9[[#This Row],[Rank]],Stammdaten[Rank Verteilung Abholzigkeit],0))</f>
        <v>#N/A</v>
      </c>
      <c r="N4980" t="e">
        <f>VLOOKUP(Tabelle9[[#This Row],[Rank]],Stammdaten[[Rank Verteilung Abholzigkeit]:[Verteilung Abholzigkeit]],2,FALSE)</f>
        <v>#N/A</v>
      </c>
      <c r="S4980">
        <v>4971</v>
      </c>
      <c r="T4980" t="e">
        <f>INDEX(Stammdaten[Krümmung (mm/lfm)],MATCH(Tabelle10[[#This Row],[Rank]],Stammdaten[Rank Verteilung Krümmung],0))</f>
        <v>#N/A</v>
      </c>
      <c r="U4980" t="e">
        <f>VLOOKUP(Tabelle10[[#This Row],[Rank]],Stammdaten[[Rank Verteilung Krümmung]:[Verteilung Krümmung]],2,FALSE)</f>
        <v>#N/A</v>
      </c>
      <c r="Z4980">
        <v>4971</v>
      </c>
      <c r="AA4980" t="e">
        <f>INDEX(Stammdaten[Ovalität (']0,1'])],MATCH(Tabelle1014[[#This Row],[Rank]],Stammdaten[Rank Verteilung Ovalität],0))</f>
        <v>#N/A</v>
      </c>
      <c r="AB4980" t="e">
        <f>VLOOKUP(Tabelle1014[[#This Row],[Rank]],Stammdaten[[Rank Verteilung Ovalität]:[Verteilung Ovalität]],2,FALSE)</f>
        <v>#N/A</v>
      </c>
    </row>
    <row r="4981" spans="5:28" x14ac:dyDescent="0.35">
      <c r="E4981">
        <v>4972</v>
      </c>
      <c r="F4981" t="e">
        <f>INDEX(Stammdaten[D Mitte mit Rinde (mm)],MATCH(Tabelle8[[#This Row],[Rank]],Stammdaten[Rank Verteilung D Mitte mit Rinde],0))</f>
        <v>#N/A</v>
      </c>
      <c r="G4981" t="e">
        <f>VLOOKUP(Tabelle8[[#This Row],[Rank]],Stammdaten[[Rank Verteilung D Mitte mit Rinde]:[Verteilung D Mitte mit Rinde]],2,FALSE)</f>
        <v>#N/A</v>
      </c>
      <c r="L4981">
        <v>4972</v>
      </c>
      <c r="M4981" t="e">
        <f>INDEX(Stammdaten[Abholzigkeit (mm/lfm)],MATCH(Tabelle9[[#This Row],[Rank]],Stammdaten[Rank Verteilung Abholzigkeit],0))</f>
        <v>#N/A</v>
      </c>
      <c r="N4981" t="e">
        <f>VLOOKUP(Tabelle9[[#This Row],[Rank]],Stammdaten[[Rank Verteilung Abholzigkeit]:[Verteilung Abholzigkeit]],2,FALSE)</f>
        <v>#N/A</v>
      </c>
      <c r="S4981">
        <v>4972</v>
      </c>
      <c r="T4981" t="e">
        <f>INDEX(Stammdaten[Krümmung (mm/lfm)],MATCH(Tabelle10[[#This Row],[Rank]],Stammdaten[Rank Verteilung Krümmung],0))</f>
        <v>#N/A</v>
      </c>
      <c r="U4981" t="e">
        <f>VLOOKUP(Tabelle10[[#This Row],[Rank]],Stammdaten[[Rank Verteilung Krümmung]:[Verteilung Krümmung]],2,FALSE)</f>
        <v>#N/A</v>
      </c>
      <c r="Z4981">
        <v>4972</v>
      </c>
      <c r="AA4981" t="e">
        <f>INDEX(Stammdaten[Ovalität (']0,1'])],MATCH(Tabelle1014[[#This Row],[Rank]],Stammdaten[Rank Verteilung Ovalität],0))</f>
        <v>#N/A</v>
      </c>
      <c r="AB4981" t="e">
        <f>VLOOKUP(Tabelle1014[[#This Row],[Rank]],Stammdaten[[Rank Verteilung Ovalität]:[Verteilung Ovalität]],2,FALSE)</f>
        <v>#N/A</v>
      </c>
    </row>
    <row r="4982" spans="5:28" x14ac:dyDescent="0.35">
      <c r="E4982">
        <v>4973</v>
      </c>
      <c r="F4982" t="e">
        <f>INDEX(Stammdaten[D Mitte mit Rinde (mm)],MATCH(Tabelle8[[#This Row],[Rank]],Stammdaten[Rank Verteilung D Mitte mit Rinde],0))</f>
        <v>#N/A</v>
      </c>
      <c r="G4982" t="e">
        <f>VLOOKUP(Tabelle8[[#This Row],[Rank]],Stammdaten[[Rank Verteilung D Mitte mit Rinde]:[Verteilung D Mitte mit Rinde]],2,FALSE)</f>
        <v>#N/A</v>
      </c>
      <c r="L4982">
        <v>4973</v>
      </c>
      <c r="M4982" t="e">
        <f>INDEX(Stammdaten[Abholzigkeit (mm/lfm)],MATCH(Tabelle9[[#This Row],[Rank]],Stammdaten[Rank Verteilung Abholzigkeit],0))</f>
        <v>#N/A</v>
      </c>
      <c r="N4982" t="e">
        <f>VLOOKUP(Tabelle9[[#This Row],[Rank]],Stammdaten[[Rank Verteilung Abholzigkeit]:[Verteilung Abholzigkeit]],2,FALSE)</f>
        <v>#N/A</v>
      </c>
      <c r="S4982">
        <v>4973</v>
      </c>
      <c r="T4982" t="e">
        <f>INDEX(Stammdaten[Krümmung (mm/lfm)],MATCH(Tabelle10[[#This Row],[Rank]],Stammdaten[Rank Verteilung Krümmung],0))</f>
        <v>#N/A</v>
      </c>
      <c r="U4982" t="e">
        <f>VLOOKUP(Tabelle10[[#This Row],[Rank]],Stammdaten[[Rank Verteilung Krümmung]:[Verteilung Krümmung]],2,FALSE)</f>
        <v>#N/A</v>
      </c>
      <c r="Z4982">
        <v>4973</v>
      </c>
      <c r="AA4982" t="e">
        <f>INDEX(Stammdaten[Ovalität (']0,1'])],MATCH(Tabelle1014[[#This Row],[Rank]],Stammdaten[Rank Verteilung Ovalität],0))</f>
        <v>#N/A</v>
      </c>
      <c r="AB4982" t="e">
        <f>VLOOKUP(Tabelle1014[[#This Row],[Rank]],Stammdaten[[Rank Verteilung Ovalität]:[Verteilung Ovalität]],2,FALSE)</f>
        <v>#N/A</v>
      </c>
    </row>
    <row r="4983" spans="5:28" x14ac:dyDescent="0.35">
      <c r="E4983">
        <v>4974</v>
      </c>
      <c r="F4983" t="e">
        <f>INDEX(Stammdaten[D Mitte mit Rinde (mm)],MATCH(Tabelle8[[#This Row],[Rank]],Stammdaten[Rank Verteilung D Mitte mit Rinde],0))</f>
        <v>#N/A</v>
      </c>
      <c r="G4983" t="e">
        <f>VLOOKUP(Tabelle8[[#This Row],[Rank]],Stammdaten[[Rank Verteilung D Mitte mit Rinde]:[Verteilung D Mitte mit Rinde]],2,FALSE)</f>
        <v>#N/A</v>
      </c>
      <c r="L4983">
        <v>4974</v>
      </c>
      <c r="M4983" t="e">
        <f>INDEX(Stammdaten[Abholzigkeit (mm/lfm)],MATCH(Tabelle9[[#This Row],[Rank]],Stammdaten[Rank Verteilung Abholzigkeit],0))</f>
        <v>#N/A</v>
      </c>
      <c r="N4983" t="e">
        <f>VLOOKUP(Tabelle9[[#This Row],[Rank]],Stammdaten[[Rank Verteilung Abholzigkeit]:[Verteilung Abholzigkeit]],2,FALSE)</f>
        <v>#N/A</v>
      </c>
      <c r="S4983">
        <v>4974</v>
      </c>
      <c r="T4983" t="e">
        <f>INDEX(Stammdaten[Krümmung (mm/lfm)],MATCH(Tabelle10[[#This Row],[Rank]],Stammdaten[Rank Verteilung Krümmung],0))</f>
        <v>#N/A</v>
      </c>
      <c r="U4983" t="e">
        <f>VLOOKUP(Tabelle10[[#This Row],[Rank]],Stammdaten[[Rank Verteilung Krümmung]:[Verteilung Krümmung]],2,FALSE)</f>
        <v>#N/A</v>
      </c>
      <c r="Z4983">
        <v>4974</v>
      </c>
      <c r="AA4983" t="e">
        <f>INDEX(Stammdaten[Ovalität (']0,1'])],MATCH(Tabelle1014[[#This Row],[Rank]],Stammdaten[Rank Verteilung Ovalität],0))</f>
        <v>#N/A</v>
      </c>
      <c r="AB4983" t="e">
        <f>VLOOKUP(Tabelle1014[[#This Row],[Rank]],Stammdaten[[Rank Verteilung Ovalität]:[Verteilung Ovalität]],2,FALSE)</f>
        <v>#N/A</v>
      </c>
    </row>
    <row r="4984" spans="5:28" x14ac:dyDescent="0.35">
      <c r="E4984">
        <v>4975</v>
      </c>
      <c r="F4984" t="e">
        <f>INDEX(Stammdaten[D Mitte mit Rinde (mm)],MATCH(Tabelle8[[#This Row],[Rank]],Stammdaten[Rank Verteilung D Mitte mit Rinde],0))</f>
        <v>#N/A</v>
      </c>
      <c r="G4984" t="e">
        <f>VLOOKUP(Tabelle8[[#This Row],[Rank]],Stammdaten[[Rank Verteilung D Mitte mit Rinde]:[Verteilung D Mitte mit Rinde]],2,FALSE)</f>
        <v>#N/A</v>
      </c>
      <c r="L4984">
        <v>4975</v>
      </c>
      <c r="M4984" t="e">
        <f>INDEX(Stammdaten[Abholzigkeit (mm/lfm)],MATCH(Tabelle9[[#This Row],[Rank]],Stammdaten[Rank Verteilung Abholzigkeit],0))</f>
        <v>#N/A</v>
      </c>
      <c r="N4984" t="e">
        <f>VLOOKUP(Tabelle9[[#This Row],[Rank]],Stammdaten[[Rank Verteilung Abholzigkeit]:[Verteilung Abholzigkeit]],2,FALSE)</f>
        <v>#N/A</v>
      </c>
      <c r="S4984">
        <v>4975</v>
      </c>
      <c r="T4984" t="e">
        <f>INDEX(Stammdaten[Krümmung (mm/lfm)],MATCH(Tabelle10[[#This Row],[Rank]],Stammdaten[Rank Verteilung Krümmung],0))</f>
        <v>#N/A</v>
      </c>
      <c r="U4984" t="e">
        <f>VLOOKUP(Tabelle10[[#This Row],[Rank]],Stammdaten[[Rank Verteilung Krümmung]:[Verteilung Krümmung]],2,FALSE)</f>
        <v>#N/A</v>
      </c>
      <c r="Z4984">
        <v>4975</v>
      </c>
      <c r="AA4984" t="e">
        <f>INDEX(Stammdaten[Ovalität (']0,1'])],MATCH(Tabelle1014[[#This Row],[Rank]],Stammdaten[Rank Verteilung Ovalität],0))</f>
        <v>#N/A</v>
      </c>
      <c r="AB4984" t="e">
        <f>VLOOKUP(Tabelle1014[[#This Row],[Rank]],Stammdaten[[Rank Verteilung Ovalität]:[Verteilung Ovalität]],2,FALSE)</f>
        <v>#N/A</v>
      </c>
    </row>
    <row r="4985" spans="5:28" x14ac:dyDescent="0.35">
      <c r="E4985">
        <v>4976</v>
      </c>
      <c r="F4985" t="e">
        <f>INDEX(Stammdaten[D Mitte mit Rinde (mm)],MATCH(Tabelle8[[#This Row],[Rank]],Stammdaten[Rank Verteilung D Mitte mit Rinde],0))</f>
        <v>#N/A</v>
      </c>
      <c r="G4985" t="e">
        <f>VLOOKUP(Tabelle8[[#This Row],[Rank]],Stammdaten[[Rank Verteilung D Mitte mit Rinde]:[Verteilung D Mitte mit Rinde]],2,FALSE)</f>
        <v>#N/A</v>
      </c>
      <c r="L4985">
        <v>4976</v>
      </c>
      <c r="M4985" t="e">
        <f>INDEX(Stammdaten[Abholzigkeit (mm/lfm)],MATCH(Tabelle9[[#This Row],[Rank]],Stammdaten[Rank Verteilung Abholzigkeit],0))</f>
        <v>#N/A</v>
      </c>
      <c r="N4985" t="e">
        <f>VLOOKUP(Tabelle9[[#This Row],[Rank]],Stammdaten[[Rank Verteilung Abholzigkeit]:[Verteilung Abholzigkeit]],2,FALSE)</f>
        <v>#N/A</v>
      </c>
      <c r="S4985">
        <v>4976</v>
      </c>
      <c r="T4985" t="e">
        <f>INDEX(Stammdaten[Krümmung (mm/lfm)],MATCH(Tabelle10[[#This Row],[Rank]],Stammdaten[Rank Verteilung Krümmung],0))</f>
        <v>#N/A</v>
      </c>
      <c r="U4985" t="e">
        <f>VLOOKUP(Tabelle10[[#This Row],[Rank]],Stammdaten[[Rank Verteilung Krümmung]:[Verteilung Krümmung]],2,FALSE)</f>
        <v>#N/A</v>
      </c>
      <c r="Z4985">
        <v>4976</v>
      </c>
      <c r="AA4985" t="e">
        <f>INDEX(Stammdaten[Ovalität (']0,1'])],MATCH(Tabelle1014[[#This Row],[Rank]],Stammdaten[Rank Verteilung Ovalität],0))</f>
        <v>#N/A</v>
      </c>
      <c r="AB4985" t="e">
        <f>VLOOKUP(Tabelle1014[[#This Row],[Rank]],Stammdaten[[Rank Verteilung Ovalität]:[Verteilung Ovalität]],2,FALSE)</f>
        <v>#N/A</v>
      </c>
    </row>
    <row r="4986" spans="5:28" x14ac:dyDescent="0.35">
      <c r="E4986">
        <v>4977</v>
      </c>
      <c r="F4986" t="e">
        <f>INDEX(Stammdaten[D Mitte mit Rinde (mm)],MATCH(Tabelle8[[#This Row],[Rank]],Stammdaten[Rank Verteilung D Mitte mit Rinde],0))</f>
        <v>#N/A</v>
      </c>
      <c r="G4986" t="e">
        <f>VLOOKUP(Tabelle8[[#This Row],[Rank]],Stammdaten[[Rank Verteilung D Mitte mit Rinde]:[Verteilung D Mitte mit Rinde]],2,FALSE)</f>
        <v>#N/A</v>
      </c>
      <c r="L4986">
        <v>4977</v>
      </c>
      <c r="M4986" t="e">
        <f>INDEX(Stammdaten[Abholzigkeit (mm/lfm)],MATCH(Tabelle9[[#This Row],[Rank]],Stammdaten[Rank Verteilung Abholzigkeit],0))</f>
        <v>#N/A</v>
      </c>
      <c r="N4986" t="e">
        <f>VLOOKUP(Tabelle9[[#This Row],[Rank]],Stammdaten[[Rank Verteilung Abholzigkeit]:[Verteilung Abholzigkeit]],2,FALSE)</f>
        <v>#N/A</v>
      </c>
      <c r="S4986">
        <v>4977</v>
      </c>
      <c r="T4986" t="e">
        <f>INDEX(Stammdaten[Krümmung (mm/lfm)],MATCH(Tabelle10[[#This Row],[Rank]],Stammdaten[Rank Verteilung Krümmung],0))</f>
        <v>#N/A</v>
      </c>
      <c r="U4986" t="e">
        <f>VLOOKUP(Tabelle10[[#This Row],[Rank]],Stammdaten[[Rank Verteilung Krümmung]:[Verteilung Krümmung]],2,FALSE)</f>
        <v>#N/A</v>
      </c>
      <c r="Z4986">
        <v>4977</v>
      </c>
      <c r="AA4986" t="e">
        <f>INDEX(Stammdaten[Ovalität (']0,1'])],MATCH(Tabelle1014[[#This Row],[Rank]],Stammdaten[Rank Verteilung Ovalität],0))</f>
        <v>#N/A</v>
      </c>
      <c r="AB4986" t="e">
        <f>VLOOKUP(Tabelle1014[[#This Row],[Rank]],Stammdaten[[Rank Verteilung Ovalität]:[Verteilung Ovalität]],2,FALSE)</f>
        <v>#N/A</v>
      </c>
    </row>
    <row r="4987" spans="5:28" x14ac:dyDescent="0.35">
      <c r="E4987">
        <v>4978</v>
      </c>
      <c r="F4987" t="e">
        <f>INDEX(Stammdaten[D Mitte mit Rinde (mm)],MATCH(Tabelle8[[#This Row],[Rank]],Stammdaten[Rank Verteilung D Mitte mit Rinde],0))</f>
        <v>#N/A</v>
      </c>
      <c r="G4987" t="e">
        <f>VLOOKUP(Tabelle8[[#This Row],[Rank]],Stammdaten[[Rank Verteilung D Mitte mit Rinde]:[Verteilung D Mitte mit Rinde]],2,FALSE)</f>
        <v>#N/A</v>
      </c>
      <c r="L4987">
        <v>4978</v>
      </c>
      <c r="M4987" t="e">
        <f>INDEX(Stammdaten[Abholzigkeit (mm/lfm)],MATCH(Tabelle9[[#This Row],[Rank]],Stammdaten[Rank Verteilung Abholzigkeit],0))</f>
        <v>#N/A</v>
      </c>
      <c r="N4987" t="e">
        <f>VLOOKUP(Tabelle9[[#This Row],[Rank]],Stammdaten[[Rank Verteilung Abholzigkeit]:[Verteilung Abholzigkeit]],2,FALSE)</f>
        <v>#N/A</v>
      </c>
      <c r="S4987">
        <v>4978</v>
      </c>
      <c r="T4987" t="e">
        <f>INDEX(Stammdaten[Krümmung (mm/lfm)],MATCH(Tabelle10[[#This Row],[Rank]],Stammdaten[Rank Verteilung Krümmung],0))</f>
        <v>#N/A</v>
      </c>
      <c r="U4987" t="e">
        <f>VLOOKUP(Tabelle10[[#This Row],[Rank]],Stammdaten[[Rank Verteilung Krümmung]:[Verteilung Krümmung]],2,FALSE)</f>
        <v>#N/A</v>
      </c>
      <c r="Z4987">
        <v>4978</v>
      </c>
      <c r="AA4987" t="e">
        <f>INDEX(Stammdaten[Ovalität (']0,1'])],MATCH(Tabelle1014[[#This Row],[Rank]],Stammdaten[Rank Verteilung Ovalität],0))</f>
        <v>#N/A</v>
      </c>
      <c r="AB4987" t="e">
        <f>VLOOKUP(Tabelle1014[[#This Row],[Rank]],Stammdaten[[Rank Verteilung Ovalität]:[Verteilung Ovalität]],2,FALSE)</f>
        <v>#N/A</v>
      </c>
    </row>
    <row r="4988" spans="5:28" x14ac:dyDescent="0.35">
      <c r="E4988">
        <v>4979</v>
      </c>
      <c r="F4988" t="e">
        <f>INDEX(Stammdaten[D Mitte mit Rinde (mm)],MATCH(Tabelle8[[#This Row],[Rank]],Stammdaten[Rank Verteilung D Mitte mit Rinde],0))</f>
        <v>#N/A</v>
      </c>
      <c r="G4988" t="e">
        <f>VLOOKUP(Tabelle8[[#This Row],[Rank]],Stammdaten[[Rank Verteilung D Mitte mit Rinde]:[Verteilung D Mitte mit Rinde]],2,FALSE)</f>
        <v>#N/A</v>
      </c>
      <c r="L4988">
        <v>4979</v>
      </c>
      <c r="M4988" t="e">
        <f>INDEX(Stammdaten[Abholzigkeit (mm/lfm)],MATCH(Tabelle9[[#This Row],[Rank]],Stammdaten[Rank Verteilung Abholzigkeit],0))</f>
        <v>#N/A</v>
      </c>
      <c r="N4988" t="e">
        <f>VLOOKUP(Tabelle9[[#This Row],[Rank]],Stammdaten[[Rank Verteilung Abholzigkeit]:[Verteilung Abholzigkeit]],2,FALSE)</f>
        <v>#N/A</v>
      </c>
      <c r="S4988">
        <v>4979</v>
      </c>
      <c r="T4988" t="e">
        <f>INDEX(Stammdaten[Krümmung (mm/lfm)],MATCH(Tabelle10[[#This Row],[Rank]],Stammdaten[Rank Verteilung Krümmung],0))</f>
        <v>#N/A</v>
      </c>
      <c r="U4988" t="e">
        <f>VLOOKUP(Tabelle10[[#This Row],[Rank]],Stammdaten[[Rank Verteilung Krümmung]:[Verteilung Krümmung]],2,FALSE)</f>
        <v>#N/A</v>
      </c>
      <c r="Z4988">
        <v>4979</v>
      </c>
      <c r="AA4988" t="e">
        <f>INDEX(Stammdaten[Ovalität (']0,1'])],MATCH(Tabelle1014[[#This Row],[Rank]],Stammdaten[Rank Verteilung Ovalität],0))</f>
        <v>#N/A</v>
      </c>
      <c r="AB4988" t="e">
        <f>VLOOKUP(Tabelle1014[[#This Row],[Rank]],Stammdaten[[Rank Verteilung Ovalität]:[Verteilung Ovalität]],2,FALSE)</f>
        <v>#N/A</v>
      </c>
    </row>
    <row r="4989" spans="5:28" x14ac:dyDescent="0.35">
      <c r="E4989">
        <v>4980</v>
      </c>
      <c r="F4989" t="e">
        <f>INDEX(Stammdaten[D Mitte mit Rinde (mm)],MATCH(Tabelle8[[#This Row],[Rank]],Stammdaten[Rank Verteilung D Mitte mit Rinde],0))</f>
        <v>#N/A</v>
      </c>
      <c r="G4989" t="e">
        <f>VLOOKUP(Tabelle8[[#This Row],[Rank]],Stammdaten[[Rank Verteilung D Mitte mit Rinde]:[Verteilung D Mitte mit Rinde]],2,FALSE)</f>
        <v>#N/A</v>
      </c>
      <c r="L4989">
        <v>4980</v>
      </c>
      <c r="M4989" t="e">
        <f>INDEX(Stammdaten[Abholzigkeit (mm/lfm)],MATCH(Tabelle9[[#This Row],[Rank]],Stammdaten[Rank Verteilung Abholzigkeit],0))</f>
        <v>#N/A</v>
      </c>
      <c r="N4989" t="e">
        <f>VLOOKUP(Tabelle9[[#This Row],[Rank]],Stammdaten[[Rank Verteilung Abholzigkeit]:[Verteilung Abholzigkeit]],2,FALSE)</f>
        <v>#N/A</v>
      </c>
      <c r="S4989">
        <v>4980</v>
      </c>
      <c r="T4989" t="e">
        <f>INDEX(Stammdaten[Krümmung (mm/lfm)],MATCH(Tabelle10[[#This Row],[Rank]],Stammdaten[Rank Verteilung Krümmung],0))</f>
        <v>#N/A</v>
      </c>
      <c r="U4989" t="e">
        <f>VLOOKUP(Tabelle10[[#This Row],[Rank]],Stammdaten[[Rank Verteilung Krümmung]:[Verteilung Krümmung]],2,FALSE)</f>
        <v>#N/A</v>
      </c>
      <c r="Z4989">
        <v>4980</v>
      </c>
      <c r="AA4989" t="e">
        <f>INDEX(Stammdaten[Ovalität (']0,1'])],MATCH(Tabelle1014[[#This Row],[Rank]],Stammdaten[Rank Verteilung Ovalität],0))</f>
        <v>#N/A</v>
      </c>
      <c r="AB4989" t="e">
        <f>VLOOKUP(Tabelle1014[[#This Row],[Rank]],Stammdaten[[Rank Verteilung Ovalität]:[Verteilung Ovalität]],2,FALSE)</f>
        <v>#N/A</v>
      </c>
    </row>
    <row r="4990" spans="5:28" x14ac:dyDescent="0.35">
      <c r="E4990">
        <v>4981</v>
      </c>
      <c r="F4990" t="e">
        <f>INDEX(Stammdaten[D Mitte mit Rinde (mm)],MATCH(Tabelle8[[#This Row],[Rank]],Stammdaten[Rank Verteilung D Mitte mit Rinde],0))</f>
        <v>#N/A</v>
      </c>
      <c r="G4990" t="e">
        <f>VLOOKUP(Tabelle8[[#This Row],[Rank]],Stammdaten[[Rank Verteilung D Mitte mit Rinde]:[Verteilung D Mitte mit Rinde]],2,FALSE)</f>
        <v>#N/A</v>
      </c>
      <c r="L4990">
        <v>4981</v>
      </c>
      <c r="M4990" t="e">
        <f>INDEX(Stammdaten[Abholzigkeit (mm/lfm)],MATCH(Tabelle9[[#This Row],[Rank]],Stammdaten[Rank Verteilung Abholzigkeit],0))</f>
        <v>#N/A</v>
      </c>
      <c r="N4990" t="e">
        <f>VLOOKUP(Tabelle9[[#This Row],[Rank]],Stammdaten[[Rank Verteilung Abholzigkeit]:[Verteilung Abholzigkeit]],2,FALSE)</f>
        <v>#N/A</v>
      </c>
      <c r="S4990">
        <v>4981</v>
      </c>
      <c r="T4990" t="e">
        <f>INDEX(Stammdaten[Krümmung (mm/lfm)],MATCH(Tabelle10[[#This Row],[Rank]],Stammdaten[Rank Verteilung Krümmung],0))</f>
        <v>#N/A</v>
      </c>
      <c r="U4990" t="e">
        <f>VLOOKUP(Tabelle10[[#This Row],[Rank]],Stammdaten[[Rank Verteilung Krümmung]:[Verteilung Krümmung]],2,FALSE)</f>
        <v>#N/A</v>
      </c>
      <c r="Z4990">
        <v>4981</v>
      </c>
      <c r="AA4990" t="e">
        <f>INDEX(Stammdaten[Ovalität (']0,1'])],MATCH(Tabelle1014[[#This Row],[Rank]],Stammdaten[Rank Verteilung Ovalität],0))</f>
        <v>#N/A</v>
      </c>
      <c r="AB4990" t="e">
        <f>VLOOKUP(Tabelle1014[[#This Row],[Rank]],Stammdaten[[Rank Verteilung Ovalität]:[Verteilung Ovalität]],2,FALSE)</f>
        <v>#N/A</v>
      </c>
    </row>
    <row r="4991" spans="5:28" x14ac:dyDescent="0.35">
      <c r="E4991">
        <v>4982</v>
      </c>
      <c r="F4991" t="e">
        <f>INDEX(Stammdaten[D Mitte mit Rinde (mm)],MATCH(Tabelle8[[#This Row],[Rank]],Stammdaten[Rank Verteilung D Mitte mit Rinde],0))</f>
        <v>#N/A</v>
      </c>
      <c r="G4991" t="e">
        <f>VLOOKUP(Tabelle8[[#This Row],[Rank]],Stammdaten[[Rank Verteilung D Mitte mit Rinde]:[Verteilung D Mitte mit Rinde]],2,FALSE)</f>
        <v>#N/A</v>
      </c>
      <c r="L4991">
        <v>4982</v>
      </c>
      <c r="M4991" t="e">
        <f>INDEX(Stammdaten[Abholzigkeit (mm/lfm)],MATCH(Tabelle9[[#This Row],[Rank]],Stammdaten[Rank Verteilung Abholzigkeit],0))</f>
        <v>#N/A</v>
      </c>
      <c r="N4991" t="e">
        <f>VLOOKUP(Tabelle9[[#This Row],[Rank]],Stammdaten[[Rank Verteilung Abholzigkeit]:[Verteilung Abholzigkeit]],2,FALSE)</f>
        <v>#N/A</v>
      </c>
      <c r="S4991">
        <v>4982</v>
      </c>
      <c r="T4991" t="e">
        <f>INDEX(Stammdaten[Krümmung (mm/lfm)],MATCH(Tabelle10[[#This Row],[Rank]],Stammdaten[Rank Verteilung Krümmung],0))</f>
        <v>#N/A</v>
      </c>
      <c r="U4991" t="e">
        <f>VLOOKUP(Tabelle10[[#This Row],[Rank]],Stammdaten[[Rank Verteilung Krümmung]:[Verteilung Krümmung]],2,FALSE)</f>
        <v>#N/A</v>
      </c>
      <c r="Z4991">
        <v>4982</v>
      </c>
      <c r="AA4991" t="e">
        <f>INDEX(Stammdaten[Ovalität (']0,1'])],MATCH(Tabelle1014[[#This Row],[Rank]],Stammdaten[Rank Verteilung Ovalität],0))</f>
        <v>#N/A</v>
      </c>
      <c r="AB4991" t="e">
        <f>VLOOKUP(Tabelle1014[[#This Row],[Rank]],Stammdaten[[Rank Verteilung Ovalität]:[Verteilung Ovalität]],2,FALSE)</f>
        <v>#N/A</v>
      </c>
    </row>
    <row r="4992" spans="5:28" x14ac:dyDescent="0.35">
      <c r="E4992">
        <v>4983</v>
      </c>
      <c r="F4992" t="e">
        <f>INDEX(Stammdaten[D Mitte mit Rinde (mm)],MATCH(Tabelle8[[#This Row],[Rank]],Stammdaten[Rank Verteilung D Mitte mit Rinde],0))</f>
        <v>#N/A</v>
      </c>
      <c r="G4992" t="e">
        <f>VLOOKUP(Tabelle8[[#This Row],[Rank]],Stammdaten[[Rank Verteilung D Mitte mit Rinde]:[Verteilung D Mitte mit Rinde]],2,FALSE)</f>
        <v>#N/A</v>
      </c>
      <c r="L4992">
        <v>4983</v>
      </c>
      <c r="M4992" t="e">
        <f>INDEX(Stammdaten[Abholzigkeit (mm/lfm)],MATCH(Tabelle9[[#This Row],[Rank]],Stammdaten[Rank Verteilung Abholzigkeit],0))</f>
        <v>#N/A</v>
      </c>
      <c r="N4992" t="e">
        <f>VLOOKUP(Tabelle9[[#This Row],[Rank]],Stammdaten[[Rank Verteilung Abholzigkeit]:[Verteilung Abholzigkeit]],2,FALSE)</f>
        <v>#N/A</v>
      </c>
      <c r="S4992">
        <v>4983</v>
      </c>
      <c r="T4992" t="e">
        <f>INDEX(Stammdaten[Krümmung (mm/lfm)],MATCH(Tabelle10[[#This Row],[Rank]],Stammdaten[Rank Verteilung Krümmung],0))</f>
        <v>#N/A</v>
      </c>
      <c r="U4992" t="e">
        <f>VLOOKUP(Tabelle10[[#This Row],[Rank]],Stammdaten[[Rank Verteilung Krümmung]:[Verteilung Krümmung]],2,FALSE)</f>
        <v>#N/A</v>
      </c>
      <c r="Z4992">
        <v>4983</v>
      </c>
      <c r="AA4992" t="e">
        <f>INDEX(Stammdaten[Ovalität (']0,1'])],MATCH(Tabelle1014[[#This Row],[Rank]],Stammdaten[Rank Verteilung Ovalität],0))</f>
        <v>#N/A</v>
      </c>
      <c r="AB4992" t="e">
        <f>VLOOKUP(Tabelle1014[[#This Row],[Rank]],Stammdaten[[Rank Verteilung Ovalität]:[Verteilung Ovalität]],2,FALSE)</f>
        <v>#N/A</v>
      </c>
    </row>
    <row r="4993" spans="5:28" x14ac:dyDescent="0.35">
      <c r="E4993">
        <v>4984</v>
      </c>
      <c r="F4993" t="e">
        <f>INDEX(Stammdaten[D Mitte mit Rinde (mm)],MATCH(Tabelle8[[#This Row],[Rank]],Stammdaten[Rank Verteilung D Mitte mit Rinde],0))</f>
        <v>#N/A</v>
      </c>
      <c r="G4993" t="e">
        <f>VLOOKUP(Tabelle8[[#This Row],[Rank]],Stammdaten[[Rank Verteilung D Mitte mit Rinde]:[Verteilung D Mitte mit Rinde]],2,FALSE)</f>
        <v>#N/A</v>
      </c>
      <c r="L4993">
        <v>4984</v>
      </c>
      <c r="M4993" t="e">
        <f>INDEX(Stammdaten[Abholzigkeit (mm/lfm)],MATCH(Tabelle9[[#This Row],[Rank]],Stammdaten[Rank Verteilung Abholzigkeit],0))</f>
        <v>#N/A</v>
      </c>
      <c r="N4993" t="e">
        <f>VLOOKUP(Tabelle9[[#This Row],[Rank]],Stammdaten[[Rank Verteilung Abholzigkeit]:[Verteilung Abholzigkeit]],2,FALSE)</f>
        <v>#N/A</v>
      </c>
      <c r="S4993">
        <v>4984</v>
      </c>
      <c r="T4993" t="e">
        <f>INDEX(Stammdaten[Krümmung (mm/lfm)],MATCH(Tabelle10[[#This Row],[Rank]],Stammdaten[Rank Verteilung Krümmung],0))</f>
        <v>#N/A</v>
      </c>
      <c r="U4993" t="e">
        <f>VLOOKUP(Tabelle10[[#This Row],[Rank]],Stammdaten[[Rank Verteilung Krümmung]:[Verteilung Krümmung]],2,FALSE)</f>
        <v>#N/A</v>
      </c>
      <c r="Z4993">
        <v>4984</v>
      </c>
      <c r="AA4993" t="e">
        <f>INDEX(Stammdaten[Ovalität (']0,1'])],MATCH(Tabelle1014[[#This Row],[Rank]],Stammdaten[Rank Verteilung Ovalität],0))</f>
        <v>#N/A</v>
      </c>
      <c r="AB4993" t="e">
        <f>VLOOKUP(Tabelle1014[[#This Row],[Rank]],Stammdaten[[Rank Verteilung Ovalität]:[Verteilung Ovalität]],2,FALSE)</f>
        <v>#N/A</v>
      </c>
    </row>
    <row r="4994" spans="5:28" x14ac:dyDescent="0.35">
      <c r="E4994">
        <v>4985</v>
      </c>
      <c r="F4994" t="e">
        <f>INDEX(Stammdaten[D Mitte mit Rinde (mm)],MATCH(Tabelle8[[#This Row],[Rank]],Stammdaten[Rank Verteilung D Mitte mit Rinde],0))</f>
        <v>#N/A</v>
      </c>
      <c r="G4994" t="e">
        <f>VLOOKUP(Tabelle8[[#This Row],[Rank]],Stammdaten[[Rank Verteilung D Mitte mit Rinde]:[Verteilung D Mitte mit Rinde]],2,FALSE)</f>
        <v>#N/A</v>
      </c>
      <c r="L4994">
        <v>4985</v>
      </c>
      <c r="M4994" t="e">
        <f>INDEX(Stammdaten[Abholzigkeit (mm/lfm)],MATCH(Tabelle9[[#This Row],[Rank]],Stammdaten[Rank Verteilung Abholzigkeit],0))</f>
        <v>#N/A</v>
      </c>
      <c r="N4994" t="e">
        <f>VLOOKUP(Tabelle9[[#This Row],[Rank]],Stammdaten[[Rank Verteilung Abholzigkeit]:[Verteilung Abholzigkeit]],2,FALSE)</f>
        <v>#N/A</v>
      </c>
      <c r="S4994">
        <v>4985</v>
      </c>
      <c r="T4994" t="e">
        <f>INDEX(Stammdaten[Krümmung (mm/lfm)],MATCH(Tabelle10[[#This Row],[Rank]],Stammdaten[Rank Verteilung Krümmung],0))</f>
        <v>#N/A</v>
      </c>
      <c r="U4994" t="e">
        <f>VLOOKUP(Tabelle10[[#This Row],[Rank]],Stammdaten[[Rank Verteilung Krümmung]:[Verteilung Krümmung]],2,FALSE)</f>
        <v>#N/A</v>
      </c>
      <c r="Z4994">
        <v>4985</v>
      </c>
      <c r="AA4994" t="e">
        <f>INDEX(Stammdaten[Ovalität (']0,1'])],MATCH(Tabelle1014[[#This Row],[Rank]],Stammdaten[Rank Verteilung Ovalität],0))</f>
        <v>#N/A</v>
      </c>
      <c r="AB4994" t="e">
        <f>VLOOKUP(Tabelle1014[[#This Row],[Rank]],Stammdaten[[Rank Verteilung Ovalität]:[Verteilung Ovalität]],2,FALSE)</f>
        <v>#N/A</v>
      </c>
    </row>
    <row r="4995" spans="5:28" x14ac:dyDescent="0.35">
      <c r="E4995">
        <v>4986</v>
      </c>
      <c r="F4995" t="e">
        <f>INDEX(Stammdaten[D Mitte mit Rinde (mm)],MATCH(Tabelle8[[#This Row],[Rank]],Stammdaten[Rank Verteilung D Mitte mit Rinde],0))</f>
        <v>#N/A</v>
      </c>
      <c r="G4995" t="e">
        <f>VLOOKUP(Tabelle8[[#This Row],[Rank]],Stammdaten[[Rank Verteilung D Mitte mit Rinde]:[Verteilung D Mitte mit Rinde]],2,FALSE)</f>
        <v>#N/A</v>
      </c>
      <c r="L4995">
        <v>4986</v>
      </c>
      <c r="M4995" t="e">
        <f>INDEX(Stammdaten[Abholzigkeit (mm/lfm)],MATCH(Tabelle9[[#This Row],[Rank]],Stammdaten[Rank Verteilung Abholzigkeit],0))</f>
        <v>#N/A</v>
      </c>
      <c r="N4995" t="e">
        <f>VLOOKUP(Tabelle9[[#This Row],[Rank]],Stammdaten[[Rank Verteilung Abholzigkeit]:[Verteilung Abholzigkeit]],2,FALSE)</f>
        <v>#N/A</v>
      </c>
      <c r="S4995">
        <v>4986</v>
      </c>
      <c r="T4995" t="e">
        <f>INDEX(Stammdaten[Krümmung (mm/lfm)],MATCH(Tabelle10[[#This Row],[Rank]],Stammdaten[Rank Verteilung Krümmung],0))</f>
        <v>#N/A</v>
      </c>
      <c r="U4995" t="e">
        <f>VLOOKUP(Tabelle10[[#This Row],[Rank]],Stammdaten[[Rank Verteilung Krümmung]:[Verteilung Krümmung]],2,FALSE)</f>
        <v>#N/A</v>
      </c>
      <c r="Z4995">
        <v>4986</v>
      </c>
      <c r="AA4995" t="e">
        <f>INDEX(Stammdaten[Ovalität (']0,1'])],MATCH(Tabelle1014[[#This Row],[Rank]],Stammdaten[Rank Verteilung Ovalität],0))</f>
        <v>#N/A</v>
      </c>
      <c r="AB4995" t="e">
        <f>VLOOKUP(Tabelle1014[[#This Row],[Rank]],Stammdaten[[Rank Verteilung Ovalität]:[Verteilung Ovalität]],2,FALSE)</f>
        <v>#N/A</v>
      </c>
    </row>
    <row r="4996" spans="5:28" x14ac:dyDescent="0.35">
      <c r="E4996">
        <v>4987</v>
      </c>
      <c r="F4996" t="e">
        <f>INDEX(Stammdaten[D Mitte mit Rinde (mm)],MATCH(Tabelle8[[#This Row],[Rank]],Stammdaten[Rank Verteilung D Mitte mit Rinde],0))</f>
        <v>#N/A</v>
      </c>
      <c r="G4996" t="e">
        <f>VLOOKUP(Tabelle8[[#This Row],[Rank]],Stammdaten[[Rank Verteilung D Mitte mit Rinde]:[Verteilung D Mitte mit Rinde]],2,FALSE)</f>
        <v>#N/A</v>
      </c>
      <c r="L4996">
        <v>4987</v>
      </c>
      <c r="M4996" t="e">
        <f>INDEX(Stammdaten[Abholzigkeit (mm/lfm)],MATCH(Tabelle9[[#This Row],[Rank]],Stammdaten[Rank Verteilung Abholzigkeit],0))</f>
        <v>#N/A</v>
      </c>
      <c r="N4996" t="e">
        <f>VLOOKUP(Tabelle9[[#This Row],[Rank]],Stammdaten[[Rank Verteilung Abholzigkeit]:[Verteilung Abholzigkeit]],2,FALSE)</f>
        <v>#N/A</v>
      </c>
      <c r="S4996">
        <v>4987</v>
      </c>
      <c r="T4996" t="e">
        <f>INDEX(Stammdaten[Krümmung (mm/lfm)],MATCH(Tabelle10[[#This Row],[Rank]],Stammdaten[Rank Verteilung Krümmung],0))</f>
        <v>#N/A</v>
      </c>
      <c r="U4996" t="e">
        <f>VLOOKUP(Tabelle10[[#This Row],[Rank]],Stammdaten[[Rank Verteilung Krümmung]:[Verteilung Krümmung]],2,FALSE)</f>
        <v>#N/A</v>
      </c>
      <c r="Z4996">
        <v>4987</v>
      </c>
      <c r="AA4996" t="e">
        <f>INDEX(Stammdaten[Ovalität (']0,1'])],MATCH(Tabelle1014[[#This Row],[Rank]],Stammdaten[Rank Verteilung Ovalität],0))</f>
        <v>#N/A</v>
      </c>
      <c r="AB4996" t="e">
        <f>VLOOKUP(Tabelle1014[[#This Row],[Rank]],Stammdaten[[Rank Verteilung Ovalität]:[Verteilung Ovalität]],2,FALSE)</f>
        <v>#N/A</v>
      </c>
    </row>
    <row r="4997" spans="5:28" x14ac:dyDescent="0.35">
      <c r="E4997">
        <v>4988</v>
      </c>
      <c r="F4997" t="e">
        <f>INDEX(Stammdaten[D Mitte mit Rinde (mm)],MATCH(Tabelle8[[#This Row],[Rank]],Stammdaten[Rank Verteilung D Mitte mit Rinde],0))</f>
        <v>#N/A</v>
      </c>
      <c r="G4997" t="e">
        <f>VLOOKUP(Tabelle8[[#This Row],[Rank]],Stammdaten[[Rank Verteilung D Mitte mit Rinde]:[Verteilung D Mitte mit Rinde]],2,FALSE)</f>
        <v>#N/A</v>
      </c>
      <c r="L4997">
        <v>4988</v>
      </c>
      <c r="M4997" t="e">
        <f>INDEX(Stammdaten[Abholzigkeit (mm/lfm)],MATCH(Tabelle9[[#This Row],[Rank]],Stammdaten[Rank Verteilung Abholzigkeit],0))</f>
        <v>#N/A</v>
      </c>
      <c r="N4997" t="e">
        <f>VLOOKUP(Tabelle9[[#This Row],[Rank]],Stammdaten[[Rank Verteilung Abholzigkeit]:[Verteilung Abholzigkeit]],2,FALSE)</f>
        <v>#N/A</v>
      </c>
      <c r="S4997">
        <v>4988</v>
      </c>
      <c r="T4997" t="e">
        <f>INDEX(Stammdaten[Krümmung (mm/lfm)],MATCH(Tabelle10[[#This Row],[Rank]],Stammdaten[Rank Verteilung Krümmung],0))</f>
        <v>#N/A</v>
      </c>
      <c r="U4997" t="e">
        <f>VLOOKUP(Tabelle10[[#This Row],[Rank]],Stammdaten[[Rank Verteilung Krümmung]:[Verteilung Krümmung]],2,FALSE)</f>
        <v>#N/A</v>
      </c>
      <c r="Z4997">
        <v>4988</v>
      </c>
      <c r="AA4997" t="e">
        <f>INDEX(Stammdaten[Ovalität (']0,1'])],MATCH(Tabelle1014[[#This Row],[Rank]],Stammdaten[Rank Verteilung Ovalität],0))</f>
        <v>#N/A</v>
      </c>
      <c r="AB4997" t="e">
        <f>VLOOKUP(Tabelle1014[[#This Row],[Rank]],Stammdaten[[Rank Verteilung Ovalität]:[Verteilung Ovalität]],2,FALSE)</f>
        <v>#N/A</v>
      </c>
    </row>
    <row r="4998" spans="5:28" x14ac:dyDescent="0.35">
      <c r="E4998">
        <v>4989</v>
      </c>
      <c r="F4998" t="e">
        <f>INDEX(Stammdaten[D Mitte mit Rinde (mm)],MATCH(Tabelle8[[#This Row],[Rank]],Stammdaten[Rank Verteilung D Mitte mit Rinde],0))</f>
        <v>#N/A</v>
      </c>
      <c r="G4998" t="e">
        <f>VLOOKUP(Tabelle8[[#This Row],[Rank]],Stammdaten[[Rank Verteilung D Mitte mit Rinde]:[Verteilung D Mitte mit Rinde]],2,FALSE)</f>
        <v>#N/A</v>
      </c>
      <c r="L4998">
        <v>4989</v>
      </c>
      <c r="M4998" t="e">
        <f>INDEX(Stammdaten[Abholzigkeit (mm/lfm)],MATCH(Tabelle9[[#This Row],[Rank]],Stammdaten[Rank Verteilung Abholzigkeit],0))</f>
        <v>#N/A</v>
      </c>
      <c r="N4998" t="e">
        <f>VLOOKUP(Tabelle9[[#This Row],[Rank]],Stammdaten[[Rank Verteilung Abholzigkeit]:[Verteilung Abholzigkeit]],2,FALSE)</f>
        <v>#N/A</v>
      </c>
      <c r="S4998">
        <v>4989</v>
      </c>
      <c r="T4998" t="e">
        <f>INDEX(Stammdaten[Krümmung (mm/lfm)],MATCH(Tabelle10[[#This Row],[Rank]],Stammdaten[Rank Verteilung Krümmung],0))</f>
        <v>#N/A</v>
      </c>
      <c r="U4998" t="e">
        <f>VLOOKUP(Tabelle10[[#This Row],[Rank]],Stammdaten[[Rank Verteilung Krümmung]:[Verteilung Krümmung]],2,FALSE)</f>
        <v>#N/A</v>
      </c>
      <c r="Z4998">
        <v>4989</v>
      </c>
      <c r="AA4998" t="e">
        <f>INDEX(Stammdaten[Ovalität (']0,1'])],MATCH(Tabelle1014[[#This Row],[Rank]],Stammdaten[Rank Verteilung Ovalität],0))</f>
        <v>#N/A</v>
      </c>
      <c r="AB4998" t="e">
        <f>VLOOKUP(Tabelle1014[[#This Row],[Rank]],Stammdaten[[Rank Verteilung Ovalität]:[Verteilung Ovalität]],2,FALSE)</f>
        <v>#N/A</v>
      </c>
    </row>
    <row r="4999" spans="5:28" x14ac:dyDescent="0.35">
      <c r="E4999">
        <v>4990</v>
      </c>
      <c r="F4999" t="e">
        <f>INDEX(Stammdaten[D Mitte mit Rinde (mm)],MATCH(Tabelle8[[#This Row],[Rank]],Stammdaten[Rank Verteilung D Mitte mit Rinde],0))</f>
        <v>#N/A</v>
      </c>
      <c r="G4999" t="e">
        <f>VLOOKUP(Tabelle8[[#This Row],[Rank]],Stammdaten[[Rank Verteilung D Mitte mit Rinde]:[Verteilung D Mitte mit Rinde]],2,FALSE)</f>
        <v>#N/A</v>
      </c>
      <c r="L4999">
        <v>4990</v>
      </c>
      <c r="M4999" t="e">
        <f>INDEX(Stammdaten[Abholzigkeit (mm/lfm)],MATCH(Tabelle9[[#This Row],[Rank]],Stammdaten[Rank Verteilung Abholzigkeit],0))</f>
        <v>#N/A</v>
      </c>
      <c r="N4999" t="e">
        <f>VLOOKUP(Tabelle9[[#This Row],[Rank]],Stammdaten[[Rank Verteilung Abholzigkeit]:[Verteilung Abholzigkeit]],2,FALSE)</f>
        <v>#N/A</v>
      </c>
      <c r="S4999">
        <v>4990</v>
      </c>
      <c r="T4999" t="e">
        <f>INDEX(Stammdaten[Krümmung (mm/lfm)],MATCH(Tabelle10[[#This Row],[Rank]],Stammdaten[Rank Verteilung Krümmung],0))</f>
        <v>#N/A</v>
      </c>
      <c r="U4999" t="e">
        <f>VLOOKUP(Tabelle10[[#This Row],[Rank]],Stammdaten[[Rank Verteilung Krümmung]:[Verteilung Krümmung]],2,FALSE)</f>
        <v>#N/A</v>
      </c>
      <c r="Z4999">
        <v>4990</v>
      </c>
      <c r="AA4999" t="e">
        <f>INDEX(Stammdaten[Ovalität (']0,1'])],MATCH(Tabelle1014[[#This Row],[Rank]],Stammdaten[Rank Verteilung Ovalität],0))</f>
        <v>#N/A</v>
      </c>
      <c r="AB4999" t="e">
        <f>VLOOKUP(Tabelle1014[[#This Row],[Rank]],Stammdaten[[Rank Verteilung Ovalität]:[Verteilung Ovalität]],2,FALSE)</f>
        <v>#N/A</v>
      </c>
    </row>
    <row r="5000" spans="5:28" x14ac:dyDescent="0.35">
      <c r="E5000">
        <v>4991</v>
      </c>
      <c r="F5000" t="e">
        <f>INDEX(Stammdaten[D Mitte mit Rinde (mm)],MATCH(Tabelle8[[#This Row],[Rank]],Stammdaten[Rank Verteilung D Mitte mit Rinde],0))</f>
        <v>#N/A</v>
      </c>
      <c r="G5000" t="e">
        <f>VLOOKUP(Tabelle8[[#This Row],[Rank]],Stammdaten[[Rank Verteilung D Mitte mit Rinde]:[Verteilung D Mitte mit Rinde]],2,FALSE)</f>
        <v>#N/A</v>
      </c>
      <c r="L5000">
        <v>4991</v>
      </c>
      <c r="M5000" t="e">
        <f>INDEX(Stammdaten[Abholzigkeit (mm/lfm)],MATCH(Tabelle9[[#This Row],[Rank]],Stammdaten[Rank Verteilung Abholzigkeit],0))</f>
        <v>#N/A</v>
      </c>
      <c r="N5000" t="e">
        <f>VLOOKUP(Tabelle9[[#This Row],[Rank]],Stammdaten[[Rank Verteilung Abholzigkeit]:[Verteilung Abholzigkeit]],2,FALSE)</f>
        <v>#N/A</v>
      </c>
      <c r="S5000">
        <v>4991</v>
      </c>
      <c r="T5000" t="e">
        <f>INDEX(Stammdaten[Krümmung (mm/lfm)],MATCH(Tabelle10[[#This Row],[Rank]],Stammdaten[Rank Verteilung Krümmung],0))</f>
        <v>#N/A</v>
      </c>
      <c r="U5000" t="e">
        <f>VLOOKUP(Tabelle10[[#This Row],[Rank]],Stammdaten[[Rank Verteilung Krümmung]:[Verteilung Krümmung]],2,FALSE)</f>
        <v>#N/A</v>
      </c>
      <c r="Z5000">
        <v>4991</v>
      </c>
      <c r="AA5000" t="e">
        <f>INDEX(Stammdaten[Ovalität (']0,1'])],MATCH(Tabelle1014[[#This Row],[Rank]],Stammdaten[Rank Verteilung Ovalität],0))</f>
        <v>#N/A</v>
      </c>
      <c r="AB5000" t="e">
        <f>VLOOKUP(Tabelle1014[[#This Row],[Rank]],Stammdaten[[Rank Verteilung Ovalität]:[Verteilung Ovalität]],2,FALSE)</f>
        <v>#N/A</v>
      </c>
    </row>
    <row r="5001" spans="5:28" x14ac:dyDescent="0.35">
      <c r="E5001">
        <v>4992</v>
      </c>
      <c r="F5001" t="e">
        <f>INDEX(Stammdaten[D Mitte mit Rinde (mm)],MATCH(Tabelle8[[#This Row],[Rank]],Stammdaten[Rank Verteilung D Mitte mit Rinde],0))</f>
        <v>#N/A</v>
      </c>
      <c r="G5001" t="e">
        <f>VLOOKUP(Tabelle8[[#This Row],[Rank]],Stammdaten[[Rank Verteilung D Mitte mit Rinde]:[Verteilung D Mitte mit Rinde]],2,FALSE)</f>
        <v>#N/A</v>
      </c>
      <c r="L5001">
        <v>4992</v>
      </c>
      <c r="M5001" t="e">
        <f>INDEX(Stammdaten[Abholzigkeit (mm/lfm)],MATCH(Tabelle9[[#This Row],[Rank]],Stammdaten[Rank Verteilung Abholzigkeit],0))</f>
        <v>#N/A</v>
      </c>
      <c r="N5001" t="e">
        <f>VLOOKUP(Tabelle9[[#This Row],[Rank]],Stammdaten[[Rank Verteilung Abholzigkeit]:[Verteilung Abholzigkeit]],2,FALSE)</f>
        <v>#N/A</v>
      </c>
      <c r="S5001">
        <v>4992</v>
      </c>
      <c r="T5001" t="e">
        <f>INDEX(Stammdaten[Krümmung (mm/lfm)],MATCH(Tabelle10[[#This Row],[Rank]],Stammdaten[Rank Verteilung Krümmung],0))</f>
        <v>#N/A</v>
      </c>
      <c r="U5001" t="e">
        <f>VLOOKUP(Tabelle10[[#This Row],[Rank]],Stammdaten[[Rank Verteilung Krümmung]:[Verteilung Krümmung]],2,FALSE)</f>
        <v>#N/A</v>
      </c>
      <c r="Z5001">
        <v>4992</v>
      </c>
      <c r="AA5001" t="e">
        <f>INDEX(Stammdaten[Ovalität (']0,1'])],MATCH(Tabelle1014[[#This Row],[Rank]],Stammdaten[Rank Verteilung Ovalität],0))</f>
        <v>#N/A</v>
      </c>
      <c r="AB5001" t="e">
        <f>VLOOKUP(Tabelle1014[[#This Row],[Rank]],Stammdaten[[Rank Verteilung Ovalität]:[Verteilung Ovalität]],2,FALSE)</f>
        <v>#N/A</v>
      </c>
    </row>
    <row r="5002" spans="5:28" x14ac:dyDescent="0.35">
      <c r="E5002">
        <v>4993</v>
      </c>
      <c r="F5002" t="e">
        <f>INDEX(Stammdaten[D Mitte mit Rinde (mm)],MATCH(Tabelle8[[#This Row],[Rank]],Stammdaten[Rank Verteilung D Mitte mit Rinde],0))</f>
        <v>#N/A</v>
      </c>
      <c r="G5002" t="e">
        <f>VLOOKUP(Tabelle8[[#This Row],[Rank]],Stammdaten[[Rank Verteilung D Mitte mit Rinde]:[Verteilung D Mitte mit Rinde]],2,FALSE)</f>
        <v>#N/A</v>
      </c>
      <c r="L5002">
        <v>4993</v>
      </c>
      <c r="M5002" t="e">
        <f>INDEX(Stammdaten[Abholzigkeit (mm/lfm)],MATCH(Tabelle9[[#This Row],[Rank]],Stammdaten[Rank Verteilung Abholzigkeit],0))</f>
        <v>#N/A</v>
      </c>
      <c r="N5002" t="e">
        <f>VLOOKUP(Tabelle9[[#This Row],[Rank]],Stammdaten[[Rank Verteilung Abholzigkeit]:[Verteilung Abholzigkeit]],2,FALSE)</f>
        <v>#N/A</v>
      </c>
      <c r="S5002">
        <v>4993</v>
      </c>
      <c r="T5002" t="e">
        <f>INDEX(Stammdaten[Krümmung (mm/lfm)],MATCH(Tabelle10[[#This Row],[Rank]],Stammdaten[Rank Verteilung Krümmung],0))</f>
        <v>#N/A</v>
      </c>
      <c r="U5002" t="e">
        <f>VLOOKUP(Tabelle10[[#This Row],[Rank]],Stammdaten[[Rank Verteilung Krümmung]:[Verteilung Krümmung]],2,FALSE)</f>
        <v>#N/A</v>
      </c>
      <c r="Z5002">
        <v>4993</v>
      </c>
      <c r="AA5002" t="e">
        <f>INDEX(Stammdaten[Ovalität (']0,1'])],MATCH(Tabelle1014[[#This Row],[Rank]],Stammdaten[Rank Verteilung Ovalität],0))</f>
        <v>#N/A</v>
      </c>
      <c r="AB5002" t="e">
        <f>VLOOKUP(Tabelle1014[[#This Row],[Rank]],Stammdaten[[Rank Verteilung Ovalität]:[Verteilung Ovalität]],2,FALSE)</f>
        <v>#N/A</v>
      </c>
    </row>
    <row r="5003" spans="5:28" x14ac:dyDescent="0.35">
      <c r="E5003">
        <v>4994</v>
      </c>
      <c r="F5003" t="e">
        <f>INDEX(Stammdaten[D Mitte mit Rinde (mm)],MATCH(Tabelle8[[#This Row],[Rank]],Stammdaten[Rank Verteilung D Mitte mit Rinde],0))</f>
        <v>#N/A</v>
      </c>
      <c r="G5003" t="e">
        <f>VLOOKUP(Tabelle8[[#This Row],[Rank]],Stammdaten[[Rank Verteilung D Mitte mit Rinde]:[Verteilung D Mitte mit Rinde]],2,FALSE)</f>
        <v>#N/A</v>
      </c>
      <c r="L5003">
        <v>4994</v>
      </c>
      <c r="M5003" t="e">
        <f>INDEX(Stammdaten[Abholzigkeit (mm/lfm)],MATCH(Tabelle9[[#This Row],[Rank]],Stammdaten[Rank Verteilung Abholzigkeit],0))</f>
        <v>#N/A</v>
      </c>
      <c r="N5003" t="e">
        <f>VLOOKUP(Tabelle9[[#This Row],[Rank]],Stammdaten[[Rank Verteilung Abholzigkeit]:[Verteilung Abholzigkeit]],2,FALSE)</f>
        <v>#N/A</v>
      </c>
      <c r="S5003">
        <v>4994</v>
      </c>
      <c r="T5003" t="e">
        <f>INDEX(Stammdaten[Krümmung (mm/lfm)],MATCH(Tabelle10[[#This Row],[Rank]],Stammdaten[Rank Verteilung Krümmung],0))</f>
        <v>#N/A</v>
      </c>
      <c r="U5003" t="e">
        <f>VLOOKUP(Tabelle10[[#This Row],[Rank]],Stammdaten[[Rank Verteilung Krümmung]:[Verteilung Krümmung]],2,FALSE)</f>
        <v>#N/A</v>
      </c>
      <c r="Z5003">
        <v>4994</v>
      </c>
      <c r="AA5003" t="e">
        <f>INDEX(Stammdaten[Ovalität (']0,1'])],MATCH(Tabelle1014[[#This Row],[Rank]],Stammdaten[Rank Verteilung Ovalität],0))</f>
        <v>#N/A</v>
      </c>
      <c r="AB5003" t="e">
        <f>VLOOKUP(Tabelle1014[[#This Row],[Rank]],Stammdaten[[Rank Verteilung Ovalität]:[Verteilung Ovalität]],2,FALSE)</f>
        <v>#N/A</v>
      </c>
    </row>
    <row r="5004" spans="5:28" x14ac:dyDescent="0.35">
      <c r="E5004">
        <v>4995</v>
      </c>
      <c r="F5004" t="e">
        <f>INDEX(Stammdaten[D Mitte mit Rinde (mm)],MATCH(Tabelle8[[#This Row],[Rank]],Stammdaten[Rank Verteilung D Mitte mit Rinde],0))</f>
        <v>#N/A</v>
      </c>
      <c r="G5004" t="e">
        <f>VLOOKUP(Tabelle8[[#This Row],[Rank]],Stammdaten[[Rank Verteilung D Mitte mit Rinde]:[Verteilung D Mitte mit Rinde]],2,FALSE)</f>
        <v>#N/A</v>
      </c>
      <c r="L5004">
        <v>4995</v>
      </c>
      <c r="M5004" t="e">
        <f>INDEX(Stammdaten[Abholzigkeit (mm/lfm)],MATCH(Tabelle9[[#This Row],[Rank]],Stammdaten[Rank Verteilung Abholzigkeit],0))</f>
        <v>#N/A</v>
      </c>
      <c r="N5004" t="e">
        <f>VLOOKUP(Tabelle9[[#This Row],[Rank]],Stammdaten[[Rank Verteilung Abholzigkeit]:[Verteilung Abholzigkeit]],2,FALSE)</f>
        <v>#N/A</v>
      </c>
      <c r="S5004">
        <v>4995</v>
      </c>
      <c r="T5004" t="e">
        <f>INDEX(Stammdaten[Krümmung (mm/lfm)],MATCH(Tabelle10[[#This Row],[Rank]],Stammdaten[Rank Verteilung Krümmung],0))</f>
        <v>#N/A</v>
      </c>
      <c r="U5004" t="e">
        <f>VLOOKUP(Tabelle10[[#This Row],[Rank]],Stammdaten[[Rank Verteilung Krümmung]:[Verteilung Krümmung]],2,FALSE)</f>
        <v>#N/A</v>
      </c>
      <c r="Z5004">
        <v>4995</v>
      </c>
      <c r="AA5004" t="e">
        <f>INDEX(Stammdaten[Ovalität (']0,1'])],MATCH(Tabelle1014[[#This Row],[Rank]],Stammdaten[Rank Verteilung Ovalität],0))</f>
        <v>#N/A</v>
      </c>
      <c r="AB5004" t="e">
        <f>VLOOKUP(Tabelle1014[[#This Row],[Rank]],Stammdaten[[Rank Verteilung Ovalität]:[Verteilung Ovalität]],2,FALSE)</f>
        <v>#N/A</v>
      </c>
    </row>
    <row r="5005" spans="5:28" x14ac:dyDescent="0.35">
      <c r="E5005">
        <v>4996</v>
      </c>
      <c r="F5005" t="e">
        <f>INDEX(Stammdaten[D Mitte mit Rinde (mm)],MATCH(Tabelle8[[#This Row],[Rank]],Stammdaten[Rank Verteilung D Mitte mit Rinde],0))</f>
        <v>#N/A</v>
      </c>
      <c r="G5005" t="e">
        <f>VLOOKUP(Tabelle8[[#This Row],[Rank]],Stammdaten[[Rank Verteilung D Mitte mit Rinde]:[Verteilung D Mitte mit Rinde]],2,FALSE)</f>
        <v>#N/A</v>
      </c>
      <c r="L5005">
        <v>4996</v>
      </c>
      <c r="M5005" t="e">
        <f>INDEX(Stammdaten[Abholzigkeit (mm/lfm)],MATCH(Tabelle9[[#This Row],[Rank]],Stammdaten[Rank Verteilung Abholzigkeit],0))</f>
        <v>#N/A</v>
      </c>
      <c r="N5005" t="e">
        <f>VLOOKUP(Tabelle9[[#This Row],[Rank]],Stammdaten[[Rank Verteilung Abholzigkeit]:[Verteilung Abholzigkeit]],2,FALSE)</f>
        <v>#N/A</v>
      </c>
      <c r="S5005">
        <v>4996</v>
      </c>
      <c r="T5005" t="e">
        <f>INDEX(Stammdaten[Krümmung (mm/lfm)],MATCH(Tabelle10[[#This Row],[Rank]],Stammdaten[Rank Verteilung Krümmung],0))</f>
        <v>#N/A</v>
      </c>
      <c r="U5005" t="e">
        <f>VLOOKUP(Tabelle10[[#This Row],[Rank]],Stammdaten[[Rank Verteilung Krümmung]:[Verteilung Krümmung]],2,FALSE)</f>
        <v>#N/A</v>
      </c>
      <c r="Z5005">
        <v>4996</v>
      </c>
      <c r="AA5005" t="e">
        <f>INDEX(Stammdaten[Ovalität (']0,1'])],MATCH(Tabelle1014[[#This Row],[Rank]],Stammdaten[Rank Verteilung Ovalität],0))</f>
        <v>#N/A</v>
      </c>
      <c r="AB5005" t="e">
        <f>VLOOKUP(Tabelle1014[[#This Row],[Rank]],Stammdaten[[Rank Verteilung Ovalität]:[Verteilung Ovalität]],2,FALSE)</f>
        <v>#N/A</v>
      </c>
    </row>
    <row r="5006" spans="5:28" x14ac:dyDescent="0.35">
      <c r="E5006">
        <v>4997</v>
      </c>
      <c r="F5006" t="e">
        <f>INDEX(Stammdaten[D Mitte mit Rinde (mm)],MATCH(Tabelle8[[#This Row],[Rank]],Stammdaten[Rank Verteilung D Mitte mit Rinde],0))</f>
        <v>#N/A</v>
      </c>
      <c r="G5006" t="e">
        <f>VLOOKUP(Tabelle8[[#This Row],[Rank]],Stammdaten[[Rank Verteilung D Mitte mit Rinde]:[Verteilung D Mitte mit Rinde]],2,FALSE)</f>
        <v>#N/A</v>
      </c>
      <c r="L5006">
        <v>4997</v>
      </c>
      <c r="M5006" t="e">
        <f>INDEX(Stammdaten[Abholzigkeit (mm/lfm)],MATCH(Tabelle9[[#This Row],[Rank]],Stammdaten[Rank Verteilung Abholzigkeit],0))</f>
        <v>#N/A</v>
      </c>
      <c r="N5006" t="e">
        <f>VLOOKUP(Tabelle9[[#This Row],[Rank]],Stammdaten[[Rank Verteilung Abholzigkeit]:[Verteilung Abholzigkeit]],2,FALSE)</f>
        <v>#N/A</v>
      </c>
      <c r="S5006">
        <v>4997</v>
      </c>
      <c r="T5006" t="e">
        <f>INDEX(Stammdaten[Krümmung (mm/lfm)],MATCH(Tabelle10[[#This Row],[Rank]],Stammdaten[Rank Verteilung Krümmung],0))</f>
        <v>#N/A</v>
      </c>
      <c r="U5006" t="e">
        <f>VLOOKUP(Tabelle10[[#This Row],[Rank]],Stammdaten[[Rank Verteilung Krümmung]:[Verteilung Krümmung]],2,FALSE)</f>
        <v>#N/A</v>
      </c>
      <c r="Z5006">
        <v>4997</v>
      </c>
      <c r="AA5006" t="e">
        <f>INDEX(Stammdaten[Ovalität (']0,1'])],MATCH(Tabelle1014[[#This Row],[Rank]],Stammdaten[Rank Verteilung Ovalität],0))</f>
        <v>#N/A</v>
      </c>
      <c r="AB5006" t="e">
        <f>VLOOKUP(Tabelle1014[[#This Row],[Rank]],Stammdaten[[Rank Verteilung Ovalität]:[Verteilung Ovalität]],2,FALSE)</f>
        <v>#N/A</v>
      </c>
    </row>
    <row r="5007" spans="5:28" x14ac:dyDescent="0.35">
      <c r="E5007">
        <v>4998</v>
      </c>
      <c r="F5007" t="e">
        <f>INDEX(Stammdaten[D Mitte mit Rinde (mm)],MATCH(Tabelle8[[#This Row],[Rank]],Stammdaten[Rank Verteilung D Mitte mit Rinde],0))</f>
        <v>#N/A</v>
      </c>
      <c r="G5007" t="e">
        <f>VLOOKUP(Tabelle8[[#This Row],[Rank]],Stammdaten[[Rank Verteilung D Mitte mit Rinde]:[Verteilung D Mitte mit Rinde]],2,FALSE)</f>
        <v>#N/A</v>
      </c>
      <c r="L5007">
        <v>4998</v>
      </c>
      <c r="M5007" t="e">
        <f>INDEX(Stammdaten[Abholzigkeit (mm/lfm)],MATCH(Tabelle9[[#This Row],[Rank]],Stammdaten[Rank Verteilung Abholzigkeit],0))</f>
        <v>#N/A</v>
      </c>
      <c r="N5007" t="e">
        <f>VLOOKUP(Tabelle9[[#This Row],[Rank]],Stammdaten[[Rank Verteilung Abholzigkeit]:[Verteilung Abholzigkeit]],2,FALSE)</f>
        <v>#N/A</v>
      </c>
      <c r="S5007">
        <v>4998</v>
      </c>
      <c r="T5007" t="e">
        <f>INDEX(Stammdaten[Krümmung (mm/lfm)],MATCH(Tabelle10[[#This Row],[Rank]],Stammdaten[Rank Verteilung Krümmung],0))</f>
        <v>#N/A</v>
      </c>
      <c r="U5007" t="e">
        <f>VLOOKUP(Tabelle10[[#This Row],[Rank]],Stammdaten[[Rank Verteilung Krümmung]:[Verteilung Krümmung]],2,FALSE)</f>
        <v>#N/A</v>
      </c>
      <c r="Z5007">
        <v>4998</v>
      </c>
      <c r="AA5007" t="e">
        <f>INDEX(Stammdaten[Ovalität (']0,1'])],MATCH(Tabelle1014[[#This Row],[Rank]],Stammdaten[Rank Verteilung Ovalität],0))</f>
        <v>#N/A</v>
      </c>
      <c r="AB5007" t="e">
        <f>VLOOKUP(Tabelle1014[[#This Row],[Rank]],Stammdaten[[Rank Verteilung Ovalität]:[Verteilung Ovalität]],2,FALSE)</f>
        <v>#N/A</v>
      </c>
    </row>
    <row r="5008" spans="5:28" x14ac:dyDescent="0.35">
      <c r="E5008">
        <v>4999</v>
      </c>
      <c r="F5008" t="e">
        <f>INDEX(Stammdaten[D Mitte mit Rinde (mm)],MATCH(Tabelle8[[#This Row],[Rank]],Stammdaten[Rank Verteilung D Mitte mit Rinde],0))</f>
        <v>#N/A</v>
      </c>
      <c r="G5008" t="e">
        <f>VLOOKUP(Tabelle8[[#This Row],[Rank]],Stammdaten[[Rank Verteilung D Mitte mit Rinde]:[Verteilung D Mitte mit Rinde]],2,FALSE)</f>
        <v>#N/A</v>
      </c>
      <c r="L5008">
        <v>4999</v>
      </c>
      <c r="M5008" t="e">
        <f>INDEX(Stammdaten[Abholzigkeit (mm/lfm)],MATCH(Tabelle9[[#This Row],[Rank]],Stammdaten[Rank Verteilung Abholzigkeit],0))</f>
        <v>#N/A</v>
      </c>
      <c r="N5008" t="e">
        <f>VLOOKUP(Tabelle9[[#This Row],[Rank]],Stammdaten[[Rank Verteilung Abholzigkeit]:[Verteilung Abholzigkeit]],2,FALSE)</f>
        <v>#N/A</v>
      </c>
      <c r="S5008">
        <v>4999</v>
      </c>
      <c r="T5008" t="e">
        <f>INDEX(Stammdaten[Krümmung (mm/lfm)],MATCH(Tabelle10[[#This Row],[Rank]],Stammdaten[Rank Verteilung Krümmung],0))</f>
        <v>#N/A</v>
      </c>
      <c r="U5008" t="e">
        <f>VLOOKUP(Tabelle10[[#This Row],[Rank]],Stammdaten[[Rank Verteilung Krümmung]:[Verteilung Krümmung]],2,FALSE)</f>
        <v>#N/A</v>
      </c>
      <c r="Z5008">
        <v>4999</v>
      </c>
      <c r="AA5008" t="e">
        <f>INDEX(Stammdaten[Ovalität (']0,1'])],MATCH(Tabelle1014[[#This Row],[Rank]],Stammdaten[Rank Verteilung Ovalität],0))</f>
        <v>#N/A</v>
      </c>
      <c r="AB5008" t="e">
        <f>VLOOKUP(Tabelle1014[[#This Row],[Rank]],Stammdaten[[Rank Verteilung Ovalität]:[Verteilung Ovalität]],2,FALSE)</f>
        <v>#N/A</v>
      </c>
    </row>
    <row r="5009" spans="5:28" x14ac:dyDescent="0.35">
      <c r="E5009">
        <v>5000</v>
      </c>
      <c r="F5009" t="e">
        <f>INDEX(Stammdaten[D Mitte mit Rinde (mm)],MATCH(Tabelle8[[#This Row],[Rank]],Stammdaten[Rank Verteilung D Mitte mit Rinde],0))</f>
        <v>#N/A</v>
      </c>
      <c r="G5009" t="e">
        <f>VLOOKUP(Tabelle8[[#This Row],[Rank]],Stammdaten[[Rank Verteilung D Mitte mit Rinde]:[Verteilung D Mitte mit Rinde]],2,FALSE)</f>
        <v>#N/A</v>
      </c>
      <c r="L5009">
        <v>5000</v>
      </c>
      <c r="M5009" t="e">
        <f>INDEX(Stammdaten[Abholzigkeit (mm/lfm)],MATCH(Tabelle9[[#This Row],[Rank]],Stammdaten[Rank Verteilung Abholzigkeit],0))</f>
        <v>#N/A</v>
      </c>
      <c r="N5009" t="e">
        <f>VLOOKUP(Tabelle9[[#This Row],[Rank]],Stammdaten[[Rank Verteilung Abholzigkeit]:[Verteilung Abholzigkeit]],2,FALSE)</f>
        <v>#N/A</v>
      </c>
      <c r="S5009">
        <v>5000</v>
      </c>
      <c r="T5009" t="e">
        <f>INDEX(Stammdaten[Krümmung (mm/lfm)],MATCH(Tabelle10[[#This Row],[Rank]],Stammdaten[Rank Verteilung Krümmung],0))</f>
        <v>#N/A</v>
      </c>
      <c r="U5009" t="e">
        <f>VLOOKUP(Tabelle10[[#This Row],[Rank]],Stammdaten[[Rank Verteilung Krümmung]:[Verteilung Krümmung]],2,FALSE)</f>
        <v>#N/A</v>
      </c>
      <c r="Z5009">
        <v>5000</v>
      </c>
      <c r="AA5009" t="e">
        <f>INDEX(Stammdaten[Ovalität (']0,1'])],MATCH(Tabelle1014[[#This Row],[Rank]],Stammdaten[Rank Verteilung Ovalität],0))</f>
        <v>#N/A</v>
      </c>
      <c r="AB5009" t="e">
        <f>VLOOKUP(Tabelle1014[[#This Row],[Rank]],Stammdaten[[Rank Verteilung Ovalität]:[Verteilung Ovalität]],2,FALSE)</f>
        <v>#N/A</v>
      </c>
    </row>
  </sheetData>
  <pageMargins left="0.7" right="0.7" top="0.78740157499999996" bottom="0.78740157499999996" header="0.3" footer="0.3"/>
  <pageSetup orientation="portrait" r:id="rId5"/>
  <tableParts count="5"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8</vt:i4>
      </vt:variant>
    </vt:vector>
  </HeadingPairs>
  <TitlesOfParts>
    <vt:vector size="13" baseType="lpstr">
      <vt:lpstr>Daten</vt:lpstr>
      <vt:lpstr>Verteilungen</vt:lpstr>
      <vt:lpstr>Eingabeparameter</vt:lpstr>
      <vt:lpstr>Ausgaben</vt:lpstr>
      <vt:lpstr>Datenaufbereitung</vt:lpstr>
      <vt:lpstr>Abholzigkeit_Mittelwert</vt:lpstr>
      <vt:lpstr>Abholzigkeit_Standardabweichung</vt:lpstr>
      <vt:lpstr>D_Mitte_mR_Mittelwert</vt:lpstr>
      <vt:lpstr>D_Mitte_mR_Standardabweichung</vt:lpstr>
      <vt:lpstr>Krümmung_Mittelwert</vt:lpstr>
      <vt:lpstr>Krümmung_Standardabweichung</vt:lpstr>
      <vt:lpstr>Ovalität_Mittelwert</vt:lpstr>
      <vt:lpstr>Ovalität_Standardabweichung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philippe</cp:lastModifiedBy>
  <dcterms:created xsi:type="dcterms:W3CDTF">2019-08-26T14:00:30Z</dcterms:created>
  <dcterms:modified xsi:type="dcterms:W3CDTF">2021-01-11T13:04:57Z</dcterms:modified>
</cp:coreProperties>
</file>